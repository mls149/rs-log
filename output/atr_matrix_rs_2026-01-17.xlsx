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TR Matrix" sheetId="1" state="visible" r:id="rId1"/>
  </sheets>
  <definedNames>
    <definedName name="_xlnm._FilterDatabase" localSheetId="0" hidden="1">'ATR Matrix'!$A$2:$AN$2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</fonts>
  <fills count="1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63BE7B"/>
      </patternFill>
    </fill>
    <fill>
      <patternFill patternType="solid">
        <fgColor rgb="FFFF0000"/>
        <bgColor rgb="FF63BE7B"/>
      </patternFill>
    </fill>
    <fill>
      <patternFill patternType="solid">
        <fgColor theme="0" tint="-0.499984740745262"/>
        <bgColor rgb="FF63BE7B"/>
      </patternFill>
    </fill>
    <fill>
      <patternFill patternType="solid">
        <fgColor rgb="FF00B050"/>
        <bgColor rgb="FF63BE7B"/>
      </patternFill>
    </fill>
    <fill>
      <patternFill patternType="solid">
        <fgColor rgb="FFFFFF00"/>
        <bgColor rgb="FF63BE7B"/>
      </patternFill>
    </fill>
    <fill>
      <patternFill patternType="solid">
        <fgColor rgb="FFFFC000"/>
        <bgColor rgb="FF63BE7B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3">
    <xf numFmtId="0" fontId="0" fillId="0" borderId="0"/>
    <xf numFmtId="0" fontId="1" fillId="2" borderId="0"/>
    <xf numFmtId="0" fontId="2" fillId="3" borderId="0"/>
  </cellStyleXfs>
  <cellXfs count="95">
    <xf numFmtId="0" fontId="0" fillId="0" borderId="0" pivotButton="0" quotePrefix="0" xfId="0"/>
    <xf numFmtId="0" fontId="5" fillId="4" borderId="1" applyAlignment="1" pivotButton="0" quotePrefix="0" xfId="0">
      <alignment horizontal="left"/>
    </xf>
    <xf numFmtId="0" fontId="0" fillId="4" borderId="1" pivotButton="0" quotePrefix="0" xfId="0"/>
    <xf numFmtId="0" fontId="4" fillId="4" borderId="2" pivotButton="0" quotePrefix="0" xfId="0"/>
    <xf numFmtId="0" fontId="4" fillId="4" borderId="2" applyAlignment="1" pivotButton="0" quotePrefix="0" xfId="0">
      <alignment horizontal="center"/>
    </xf>
    <xf numFmtId="0" fontId="0" fillId="4" borderId="3" pivotButton="0" quotePrefix="0" xfId="0"/>
    <xf numFmtId="0" fontId="5" fillId="4" borderId="2" applyAlignment="1" pivotButton="0" quotePrefix="0" xfId="0">
      <alignment horizontal="center"/>
    </xf>
    <xf numFmtId="0" fontId="5" fillId="4" borderId="4" applyAlignment="1" pivotButton="0" quotePrefix="0" xfId="0">
      <alignment horizontal="left"/>
    </xf>
    <xf numFmtId="0" fontId="5" fillId="4" borderId="3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10" fontId="5" fillId="4" borderId="2" applyAlignment="1" pivotButton="0" quotePrefix="0" xfId="0">
      <alignment horizontal="center"/>
    </xf>
    <xf numFmtId="2" fontId="5" fillId="4" borderId="2" applyAlignment="1" pivotButton="0" quotePrefix="0" xfId="0">
      <alignment horizontal="center"/>
    </xf>
    <xf numFmtId="0" fontId="3" fillId="5" borderId="5" applyAlignment="1" pivotButton="0" quotePrefix="0" xfId="2">
      <alignment horizontal="left"/>
    </xf>
    <xf numFmtId="0" fontId="3" fillId="5" borderId="6" applyAlignment="1" pivotButton="0" quotePrefix="0" xfId="2">
      <alignment horizontal="left"/>
    </xf>
    <xf numFmtId="0" fontId="3" fillId="5" borderId="7" applyAlignment="1" pivotButton="0" quotePrefix="0" xfId="2">
      <alignment horizontal="center"/>
    </xf>
    <xf numFmtId="0" fontId="5" fillId="2" borderId="1" pivotButton="0" quotePrefix="0" xfId="1"/>
    <xf numFmtId="0" fontId="5" fillId="2" borderId="2" pivotButton="0" quotePrefix="0" xfId="1"/>
    <xf numFmtId="0" fontId="5" fillId="2" borderId="3" pivotButton="0" quotePrefix="0" xfId="1"/>
    <xf numFmtId="0" fontId="4" fillId="6" borderId="1" pivotButton="0" quotePrefix="0" xfId="0"/>
    <xf numFmtId="0" fontId="0" fillId="6" borderId="3" pivotButton="0" quotePrefix="0" xfId="0"/>
    <xf numFmtId="9" fontId="5" fillId="3" borderId="2" applyAlignment="1" pivotButton="0" quotePrefix="1" xfId="2">
      <alignment horizontal="center"/>
    </xf>
    <xf numFmtId="9" fontId="5" fillId="3" borderId="2" applyAlignment="1" pivotButton="0" quotePrefix="0" xfId="2">
      <alignment horizontal="center"/>
    </xf>
    <xf numFmtId="0" fontId="3" fillId="7" borderId="10" applyAlignment="1" pivotButton="0" quotePrefix="0" xfId="0">
      <alignment horizontal="left"/>
    </xf>
    <xf numFmtId="0" fontId="3" fillId="8" borderId="11" applyAlignment="1" pivotButton="0" quotePrefix="0" xfId="0">
      <alignment horizontal="left"/>
    </xf>
    <xf numFmtId="0" fontId="3" fillId="8" borderId="12" applyAlignment="1" pivotButton="0" quotePrefix="0" xfId="0">
      <alignment horizontal="left"/>
    </xf>
    <xf numFmtId="0" fontId="3" fillId="8" borderId="13" applyAlignment="1" pivotButton="0" quotePrefix="0" xfId="0">
      <alignment horizontal="left"/>
    </xf>
    <xf numFmtId="0" fontId="3" fillId="7" borderId="11" applyAlignment="1" pivotButton="0" quotePrefix="0" xfId="0">
      <alignment horizontal="left"/>
    </xf>
    <xf numFmtId="0" fontId="3" fillId="7" borderId="12" applyAlignment="1" pivotButton="0" quotePrefix="0" xfId="0">
      <alignment horizontal="left"/>
    </xf>
    <xf numFmtId="0" fontId="3" fillId="7" borderId="14" applyAlignment="1" pivotButton="0" quotePrefix="0" xfId="0">
      <alignment horizontal="left"/>
    </xf>
    <xf numFmtId="0" fontId="3" fillId="8" borderId="8" applyAlignment="1" pivotButton="0" quotePrefix="0" xfId="0">
      <alignment horizontal="left"/>
    </xf>
    <xf numFmtId="0" fontId="3" fillId="8" borderId="14" applyAlignment="1" pivotButton="0" quotePrefix="0" xfId="0">
      <alignment horizontal="left"/>
    </xf>
    <xf numFmtId="0" fontId="3" fillId="8" borderId="9" applyAlignment="1" pivotButton="0" quotePrefix="0" xfId="0">
      <alignment horizontal="left"/>
    </xf>
    <xf numFmtId="0" fontId="3" fillId="9" borderId="11" applyAlignment="1" pivotButton="0" quotePrefix="0" xfId="0">
      <alignment horizontal="left"/>
    </xf>
    <xf numFmtId="0" fontId="3" fillId="9" borderId="12" applyAlignment="1" pivotButton="0" quotePrefix="0" xfId="0">
      <alignment horizontal="center"/>
    </xf>
    <xf numFmtId="0" fontId="5" fillId="3" borderId="13" applyAlignment="1" pivotButton="0" quotePrefix="0" xfId="2">
      <alignment horizontal="center"/>
    </xf>
    <xf numFmtId="0" fontId="3" fillId="10" borderId="9" applyAlignment="1" pivotButton="0" quotePrefix="0" xfId="0">
      <alignment horizontal="center"/>
    </xf>
    <xf numFmtId="0" fontId="5" fillId="11" borderId="11" applyAlignment="1" pivotButton="0" quotePrefix="0" xfId="0">
      <alignment horizontal="center"/>
    </xf>
    <xf numFmtId="0" fontId="5" fillId="11" borderId="12" applyAlignment="1" pivotButton="0" quotePrefix="0" xfId="0">
      <alignment horizontal="center"/>
    </xf>
    <xf numFmtId="0" fontId="5" fillId="11" borderId="13" applyAlignment="1" pivotButton="0" quotePrefix="0" xfId="0">
      <alignment horizontal="center"/>
    </xf>
    <xf numFmtId="0" fontId="5" fillId="12" borderId="11" applyAlignment="1" pivotButton="0" quotePrefix="0" xfId="0">
      <alignment horizontal="center"/>
    </xf>
    <xf numFmtId="0" fontId="5" fillId="13" borderId="13" applyAlignment="1" pivotButton="0" quotePrefix="0" xfId="0">
      <alignment horizontal="center"/>
    </xf>
    <xf numFmtId="0" fontId="5" fillId="8" borderId="15" applyAlignment="1" pivotButton="0" quotePrefix="0" xfId="0">
      <alignment horizontal="center"/>
    </xf>
    <xf numFmtId="0" fontId="5" fillId="8" borderId="12" applyAlignment="1" pivotButton="0" quotePrefix="0" xfId="0">
      <alignment horizontal="center"/>
    </xf>
    <xf numFmtId="0" fontId="3" fillId="8" borderId="12" applyAlignment="1" pivotButton="0" quotePrefix="0" xfId="0">
      <alignment horizontal="center"/>
    </xf>
    <xf numFmtId="0" fontId="3" fillId="8" borderId="13" applyAlignment="1" pivotButton="0" quotePrefix="0" xfId="0">
      <alignment horizontal="center"/>
    </xf>
    <xf numFmtId="10" fontId="0" fillId="0" borderId="18" applyAlignment="1" pivotButton="0" quotePrefix="0" xfId="0">
      <alignment horizontal="right"/>
    </xf>
    <xf numFmtId="164" fontId="0" fillId="0" borderId="17" pivotButton="0" quotePrefix="0" xfId="0"/>
    <xf numFmtId="2" fontId="0" fillId="0" borderId="17" pivotButton="0" quotePrefix="0" xfId="0"/>
    <xf numFmtId="2" fontId="0" fillId="0" borderId="18" pivotButton="0" quotePrefix="0" xfId="0"/>
    <xf numFmtId="2" fontId="0" fillId="0" borderId="20" pivotButton="0" quotePrefix="0" xfId="0"/>
    <xf numFmtId="2" fontId="0" fillId="0" borderId="19" pivotButton="0" quotePrefix="0" xfId="0"/>
    <xf numFmtId="2" fontId="0" fillId="0" borderId="24" pivotButton="0" quotePrefix="0" xfId="0"/>
    <xf numFmtId="164" fontId="0" fillId="0" borderId="16" pivotButton="0" quotePrefix="0" xfId="0"/>
    <xf numFmtId="10" fontId="0" fillId="0" borderId="19" pivotButton="0" quotePrefix="0" xfId="0"/>
    <xf numFmtId="2" fontId="0" fillId="0" borderId="25" pivotButton="0" quotePrefix="0" xfId="0"/>
    <xf numFmtId="2" fontId="0" fillId="0" borderId="16" pivotButton="0" quotePrefix="0" xfId="0"/>
    <xf numFmtId="2" fontId="0" fillId="0" borderId="28" pivotButton="0" quotePrefix="0" xfId="0"/>
    <xf numFmtId="2" fontId="0" fillId="0" borderId="29" pivotButton="0" quotePrefix="0" xfId="0"/>
    <xf numFmtId="10" fontId="0" fillId="0" borderId="31" pivotButton="0" quotePrefix="0" xfId="0"/>
    <xf numFmtId="2" fontId="0" fillId="0" borderId="31" pivotButton="0" quotePrefix="0" xfId="0"/>
    <xf numFmtId="164" fontId="0" fillId="0" borderId="28" pivotButton="0" quotePrefix="0" xfId="0"/>
    <xf numFmtId="2" fontId="0" fillId="0" borderId="32" pivotButton="0" quotePrefix="0" xfId="0"/>
    <xf numFmtId="164" fontId="0" fillId="0" borderId="33" pivotButton="0" quotePrefix="0" xfId="0"/>
    <xf numFmtId="2" fontId="0" fillId="0" borderId="33" pivotButton="0" quotePrefix="0" xfId="0"/>
    <xf numFmtId="0" fontId="0" fillId="14" borderId="21" pivotButton="0" quotePrefix="0" xfId="0"/>
    <xf numFmtId="10" fontId="0" fillId="14" borderId="17" applyAlignment="1" pivotButton="0" quotePrefix="0" xfId="0">
      <alignment horizontal="right"/>
    </xf>
    <xf numFmtId="10" fontId="0" fillId="14" borderId="18" applyAlignment="1" pivotButton="0" quotePrefix="0" xfId="0">
      <alignment horizontal="right"/>
    </xf>
    <xf numFmtId="164" fontId="0" fillId="14" borderId="18" applyAlignment="1" pivotButton="0" quotePrefix="0" xfId="0">
      <alignment horizontal="right"/>
    </xf>
    <xf numFmtId="164" fontId="0" fillId="14" borderId="20" applyAlignment="1" pivotButton="0" quotePrefix="0" xfId="0">
      <alignment horizontal="right"/>
    </xf>
    <xf numFmtId="0" fontId="0" fillId="14" borderId="27" pivotButton="0" quotePrefix="0" xfId="0"/>
    <xf numFmtId="10" fontId="0" fillId="14" borderId="28" applyAlignment="1" pivotButton="0" quotePrefix="0" xfId="0">
      <alignment horizontal="right"/>
    </xf>
    <xf numFmtId="10" fontId="0" fillId="14" borderId="25" applyAlignment="1" pivotButton="0" quotePrefix="0" xfId="0">
      <alignment horizontal="right"/>
    </xf>
    <xf numFmtId="164" fontId="0" fillId="14" borderId="25" applyAlignment="1" pivotButton="0" quotePrefix="0" xfId="0">
      <alignment horizontal="right"/>
    </xf>
    <xf numFmtId="164" fontId="0" fillId="14" borderId="29" applyAlignment="1" pivotButton="0" quotePrefix="0" xfId="0">
      <alignment horizontal="right"/>
    </xf>
    <xf numFmtId="2" fontId="0" fillId="14" borderId="18" pivotButton="0" quotePrefix="0" xfId="0"/>
    <xf numFmtId="2" fontId="0" fillId="14" borderId="25" pivotButton="0" quotePrefix="0" xfId="0"/>
    <xf numFmtId="2" fontId="0" fillId="14" borderId="22" pivotButton="0" quotePrefix="0" xfId="0"/>
    <xf numFmtId="2" fontId="0" fillId="14" borderId="17" pivotButton="0" quotePrefix="0" xfId="0"/>
    <xf numFmtId="2" fontId="0" fillId="14" borderId="20" pivotButton="0" quotePrefix="0" xfId="0"/>
    <xf numFmtId="2" fontId="0" fillId="14" borderId="30" pivotButton="0" quotePrefix="0" xfId="0"/>
    <xf numFmtId="2" fontId="0" fillId="14" borderId="28" pivotButton="0" quotePrefix="0" xfId="0"/>
    <xf numFmtId="2" fontId="0" fillId="14" borderId="29" pivotButton="0" quotePrefix="0" xfId="0"/>
    <xf numFmtId="2" fontId="0" fillId="14" borderId="23" pivotButton="0" quotePrefix="0" xfId="0"/>
    <xf numFmtId="2" fontId="0" fillId="14" borderId="26" pivotButton="0" quotePrefix="0" xfId="0"/>
    <xf numFmtId="0" fontId="0" fillId="15" borderId="0" pivotButton="0" quotePrefix="0" xfId="0"/>
    <xf numFmtId="10" fontId="0" fillId="15" borderId="0" applyAlignment="1" pivotButton="0" quotePrefix="0" xfId="0">
      <alignment horizontal="right"/>
    </xf>
    <xf numFmtId="164" fontId="0" fillId="15" borderId="0" applyAlignment="1" pivotButton="0" quotePrefix="0" xfId="0">
      <alignment horizontal="right"/>
    </xf>
    <xf numFmtId="2" fontId="0" fillId="15" borderId="0" pivotButton="0" quotePrefix="0" xfId="0"/>
    <xf numFmtId="10" fontId="0" fillId="15" borderId="0" pivotButton="0" quotePrefix="0" xfId="0"/>
    <xf numFmtId="164" fontId="0" fillId="15" borderId="0" pivotButton="0" quotePrefix="0" xfId="0"/>
    <xf numFmtId="0" fontId="4" fillId="15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3" fillId="8" borderId="0" applyAlignment="1" pivotButton="0" quotePrefix="0" xfId="0">
      <alignment horizontal="left"/>
    </xf>
    <xf numFmtId="2" fontId="0" fillId="0" borderId="0" pivotButton="0" quotePrefix="0" xfId="0"/>
  </cellXfs>
  <cellStyles count="3">
    <cellStyle name="Normal" xfId="0" builtinId="0"/>
    <cellStyle name="Good" xfId="1" builtinId="26"/>
    <cellStyle name="Bad" xfId="2" builtinId="27"/>
  </cellStyles>
  <dxfs count="2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theme="0" tint="-0.249946592608417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theme="7" tint="0.7999816888943144"/>
        </patternFill>
      </fill>
    </dxf>
    <dxf>
      <fill>
        <patternFill>
          <bgColor rgb="FFFFC7CE"/>
        </patternFill>
      </fill>
    </dxf>
    <dxf>
      <fill>
        <patternFill>
          <bgColor rgb="FFF8696B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CCFF"/>
    <outlinePr summaryBelow="1" summaryRight="1"/>
    <pageSetUpPr/>
  </sheetPr>
  <dimension ref="A1:AO2900"/>
  <sheetViews>
    <sheetView tabSelected="1" zoomScale="70" zoomScaleNormal="100" workbookViewId="0">
      <pane ySplit="2" topLeftCell="A3" activePane="bottomLeft" state="frozen"/>
      <selection pane="bottomLeft" activeCell="A3" sqref="A3"/>
    </sheetView>
  </sheetViews>
  <sheetFormatPr baseColWidth="8" defaultRowHeight="14.4"/>
  <cols>
    <col width="8.33203125" bestFit="1" customWidth="1" min="1" max="1"/>
    <col width="7.44140625" customWidth="1" min="2" max="2"/>
    <col width="11.109375" customWidth="1" min="3" max="3"/>
    <col width="8.21875" customWidth="1" min="4" max="4"/>
    <col width="8.88671875" bestFit="1" customWidth="1" min="5" max="5"/>
    <col width="9.109375" customWidth="1" min="6" max="6"/>
    <col width="8.5546875" customWidth="1" min="7" max="7"/>
    <col width="9.109375" customWidth="1" min="8" max="9"/>
    <col width="9.33203125" bestFit="1" customWidth="1" min="10" max="10"/>
    <col width="9.33203125" customWidth="1" min="11" max="11"/>
    <col width="10.33203125" bestFit="1" customWidth="1" min="12" max="12"/>
    <col width="8.109375" bestFit="1" customWidth="1" min="13" max="14"/>
    <col width="11.109375" bestFit="1" customWidth="1" min="15" max="16"/>
    <col width="6.77734375" customWidth="1" min="17" max="17"/>
    <col width="9.109375" customWidth="1" min="18" max="18"/>
    <col width="9.109375" customWidth="1" min="20" max="21"/>
    <col width="7" bestFit="1" customWidth="1" min="32" max="32"/>
    <col width="7.109375" bestFit="1" customWidth="1" min="33" max="33"/>
    <col width="7.109375" customWidth="1" min="34" max="34"/>
    <col width="8.88671875" customWidth="1" min="35" max="37"/>
    <col width="32.77734375" customWidth="1" min="38" max="38"/>
    <col width="20.33203125" customWidth="1" min="39" max="39"/>
    <col width="13.33203125" customWidth="1" min="40" max="40"/>
  </cols>
  <sheetData>
    <row r="1" ht="15.6" customHeight="1" thickBot="1" thickTop="1">
      <c r="A1" s="1" t="inlineStr">
        <is>
          <t>MATRIX</t>
        </is>
      </c>
      <c r="B1" s="2" t="n"/>
      <c r="C1" s="3" t="inlineStr">
        <is>
          <t xml:space="preserve">       PERFORMANCE</t>
        </is>
      </c>
      <c r="D1" s="4" t="n"/>
      <c r="E1" s="5" t="n"/>
      <c r="F1" s="1" t="n"/>
      <c r="G1" s="6" t="inlineStr">
        <is>
          <t>ENTRY</t>
        </is>
      </c>
      <c r="H1" s="6" t="n"/>
      <c r="I1" s="7" t="n"/>
      <c r="J1" s="1" t="n"/>
      <c r="K1" s="6" t="inlineStr">
        <is>
          <t>MOVING AVERAGES</t>
        </is>
      </c>
      <c r="L1" s="8" t="n"/>
      <c r="M1" s="9" t="n"/>
      <c r="N1" s="10">
        <f>IFERROR(AVERAGE(N3:N2885),"")</f>
        <v/>
      </c>
      <c r="O1" s="11">
        <f>IFERROR(AVERAGE(O3:O2885),"")</f>
        <v/>
      </c>
      <c r="P1" s="11">
        <f>IFERROR(AVERAGE(P3:P2885),"")</f>
        <v/>
      </c>
      <c r="Q1" s="12" t="n"/>
      <c r="R1" s="13" t="inlineStr">
        <is>
          <t>STOP LOSS</t>
        </is>
      </c>
      <c r="S1" s="14" t="n"/>
      <c r="T1" s="4" t="inlineStr">
        <is>
          <t>SMA50</t>
        </is>
      </c>
      <c r="U1" s="15" t="n"/>
      <c r="V1" s="16" t="inlineStr">
        <is>
          <t xml:space="preserve">            ENTRY</t>
        </is>
      </c>
      <c r="W1" s="16" t="n"/>
      <c r="X1" s="17" t="n"/>
      <c r="Y1" s="18" t="inlineStr">
        <is>
          <t xml:space="preserve">             HOLD</t>
        </is>
      </c>
      <c r="Z1" s="19" t="n"/>
      <c r="AA1" s="20" t="inlineStr">
        <is>
          <t>-20%</t>
        </is>
      </c>
      <c r="AB1" s="21">
        <f>AA1</f>
        <v/>
      </c>
      <c r="AC1" s="21">
        <f>AB1</f>
        <v/>
      </c>
      <c r="AD1" s="21">
        <f>AC1</f>
        <v/>
      </c>
      <c r="AE1" s="21">
        <f>AD1</f>
        <v/>
      </c>
      <c r="AF1" s="7" t="inlineStr">
        <is>
          <t>Return</t>
        </is>
      </c>
      <c r="AG1" s="7" t="inlineStr">
        <is>
          <t>Reward</t>
        </is>
      </c>
      <c r="AH1" s="92" t="n"/>
      <c r="AI1" s="92" t="n"/>
      <c r="AJ1" s="92" t="n"/>
      <c r="AK1" s="92" t="n"/>
      <c r="AL1" s="84" t="n"/>
    </row>
    <row r="2" ht="15" customHeight="1" thickTop="1">
      <c r="A2" s="22" t="inlineStr">
        <is>
          <t>Ticker</t>
        </is>
      </c>
      <c r="B2" s="23" t="inlineStr">
        <is>
          <t>Chg</t>
        </is>
      </c>
      <c r="C2" s="24" t="inlineStr">
        <is>
          <t>Open Chg</t>
        </is>
      </c>
      <c r="D2" s="24" t="inlineStr">
        <is>
          <t>Week</t>
        </is>
      </c>
      <c r="E2" s="25" t="inlineStr">
        <is>
          <t>Month</t>
        </is>
      </c>
      <c r="F2" s="26" t="inlineStr">
        <is>
          <t>Min</t>
        </is>
      </c>
      <c r="G2" s="27" t="inlineStr">
        <is>
          <t>Actual</t>
        </is>
      </c>
      <c r="H2" s="28" t="inlineStr">
        <is>
          <t>Max</t>
        </is>
      </c>
      <c r="I2" s="29" t="inlineStr">
        <is>
          <t>Last</t>
        </is>
      </c>
      <c r="J2" s="23" t="inlineStr">
        <is>
          <t>EMA10</t>
        </is>
      </c>
      <c r="K2" s="24" t="inlineStr">
        <is>
          <t>SMA20</t>
        </is>
      </c>
      <c r="L2" s="25" t="inlineStr">
        <is>
          <t>SMA200</t>
        </is>
      </c>
      <c r="M2" s="23" t="inlineStr">
        <is>
          <t>ATR $</t>
        </is>
      </c>
      <c r="N2" s="30" t="inlineStr">
        <is>
          <t>ATR%</t>
        </is>
      </c>
      <c r="O2" s="31" t="inlineStr">
        <is>
          <t>ATR Ext $</t>
        </is>
      </c>
      <c r="P2" s="31" t="inlineStr">
        <is>
          <t>ATR Ext %</t>
        </is>
      </c>
      <c r="Q2" s="32" t="inlineStr">
        <is>
          <t>%</t>
        </is>
      </c>
      <c r="R2" s="33" t="n">
        <v>-2</v>
      </c>
      <c r="S2" s="34" t="n">
        <v>-1</v>
      </c>
      <c r="T2" s="35" t="n">
        <v>0</v>
      </c>
      <c r="U2" s="36" t="n">
        <v>1</v>
      </c>
      <c r="V2" s="37" t="n">
        <v>2</v>
      </c>
      <c r="W2" s="37" t="n">
        <v>3</v>
      </c>
      <c r="X2" s="38" t="n">
        <v>4</v>
      </c>
      <c r="Y2" s="39" t="n">
        <v>5</v>
      </c>
      <c r="Z2" s="40" t="n">
        <v>6</v>
      </c>
      <c r="AA2" s="41" t="n">
        <v>7</v>
      </c>
      <c r="AB2" s="42" t="n">
        <v>8</v>
      </c>
      <c r="AC2" s="42" t="n">
        <v>9</v>
      </c>
      <c r="AD2" s="43" t="n">
        <v>10</v>
      </c>
      <c r="AE2" s="44" t="n">
        <v>11</v>
      </c>
      <c r="AF2" s="29" t="inlineStr">
        <is>
          <t>Max</t>
        </is>
      </c>
      <c r="AG2" s="29" t="inlineStr">
        <is>
          <t>Risk</t>
        </is>
      </c>
      <c r="AH2" s="93" t="inlineStr">
        <is>
          <t>Supertrend</t>
        </is>
      </c>
      <c r="AI2" s="93" t="inlineStr">
        <is>
          <t>MACD-V</t>
        </is>
      </c>
      <c r="AJ2" s="93" t="inlineStr">
        <is>
          <t>MACD-V Trend</t>
        </is>
      </c>
      <c r="AK2" s="93" t="inlineStr">
        <is>
          <t>OTT Signal</t>
        </is>
      </c>
      <c r="AL2" s="90" t="inlineStr">
        <is>
          <t>Name</t>
        </is>
      </c>
      <c r="AM2" s="91" t="inlineStr">
        <is>
          <t>Sector</t>
        </is>
      </c>
      <c r="AN2" s="91" t="inlineStr">
        <is>
          <t>Universe</t>
        </is>
      </c>
    </row>
    <row r="3">
      <c r="A3" s="64" t="inlineStr">
        <is>
          <t>TSLA</t>
        </is>
      </c>
      <c r="B3" s="65" t="n">
        <v>-0.005</v>
      </c>
      <c r="C3" s="66" t="n">
        <v>0.0042</v>
      </c>
      <c r="D3" s="67" t="n">
        <v>-0.0304</v>
      </c>
      <c r="E3" s="68" t="n">
        <v>0.3076</v>
      </c>
      <c r="F3" s="47">
        <f>IF(A3="","",IF(MIN(H3,MAX(J3:K3))=0,"",MIN(H3,MAX(J3:K3))))</f>
        <v/>
      </c>
      <c r="G3" s="74" t="n"/>
      <c r="H3" s="49">
        <f>IF(M3="","",IFERROR(ROUND(AVERAGE(T3+M3*{7,8,9,10,11})/1.21,4),""))</f>
        <v/>
      </c>
      <c r="I3" s="76" t="n">
        <v>339.34</v>
      </c>
      <c r="J3" s="77" t="n">
        <v>332.29</v>
      </c>
      <c r="K3" s="74" t="n">
        <v>311.83</v>
      </c>
      <c r="L3" s="78" t="n">
        <v>299.21</v>
      </c>
      <c r="M3" s="77" t="n">
        <v>16.16</v>
      </c>
      <c r="N3" s="45">
        <f>IF(M3="","",IFERROR(M3/I3,""))</f>
        <v/>
      </c>
      <c r="O3" s="50">
        <f>IF(A3="","",IFERROR((IF(G3="",I3,G3)-T3)/M3,""))</f>
        <v/>
      </c>
      <c r="P3" s="50">
        <f>IFERROR((I3/T3-1)/N3,"")</f>
        <v/>
      </c>
      <c r="Q3" s="46">
        <f>IF(OR(T3="",I3&lt;T3),"",IFERROR(R3/IF(G3="",I3,G3)-1,""))</f>
        <v/>
      </c>
      <c r="R3" s="48">
        <f>IF($M3="","",MAX(IF($G3="",$I3,$G3)*(1/1.1),IF($G3="",$I3,$G3)+(R$2*$M3)))</f>
        <v/>
      </c>
      <c r="S3" s="49">
        <f>IF($M3="","",MAX(IF($G3="",$I3,$G3)*(1/1.1),IF($G3="",$I3,$G3)+(S$2*$M3)))</f>
        <v/>
      </c>
      <c r="T3" s="82" t="n">
        <v>276.9</v>
      </c>
      <c r="U3" s="47">
        <f>IF(OR($M3="",$T3=""),"",$T3+(U$2*$M3))</f>
        <v/>
      </c>
      <c r="V3" s="48">
        <f>IF(OR($M3="",$T3=""),"",$T3+(V$2*$M3))</f>
        <v/>
      </c>
      <c r="W3" s="48">
        <f>IF(OR($M3="",$T3=""),"",$T3+(W$2*$M3))</f>
        <v/>
      </c>
      <c r="X3" s="49">
        <f>IF(OR($M3="",$T3=""),"",$T3+(X$2*$M3))</f>
        <v/>
      </c>
      <c r="Y3" s="47">
        <f>IF(OR($M3="",$T3=""),"",$T3+(Y$2*$M3))</f>
        <v/>
      </c>
      <c r="Z3" s="49">
        <f>IF(OR($M3="",$T3=""),"",$T3+(Z$2*$M3))</f>
        <v/>
      </c>
      <c r="AA3" s="51">
        <f>IF(OR($M3="",$T3=""),"",$T3+(AA$2*$M3))</f>
        <v/>
      </c>
      <c r="AB3" s="48">
        <f>IF(OR($M3="",$T3=""),"",$T3+(AB$2*$M3))</f>
        <v/>
      </c>
      <c r="AC3" s="48">
        <f>IF(OR($M3="",$T3=""),"",$T3+(AC$2*$M3))</f>
        <v/>
      </c>
      <c r="AD3" s="48">
        <f>IF(OR($M3="",$T3=""),"",$T3+(AD$2*$M3))</f>
        <v/>
      </c>
      <c r="AE3" s="49">
        <f>IF(OR($M3="",$T3=""),"",$T3+(AE$2*$M3))</f>
        <v/>
      </c>
      <c r="AF3" s="52">
        <f>IF(OR(T3="",I3&lt;T3),"",IFERROR(AVERAGE(T3+M3*{7,8,9,10,11})/IF(G3="",I3,G3)-1,""))</f>
        <v/>
      </c>
      <c r="AG3" s="49">
        <f>IF(OR(T3="",I3&lt;T3),"",IFERROR(AF3/-(R3/IF(G3="",I3,G3)-1),""))</f>
        <v/>
      </c>
      <c r="AH3" s="94" t="n"/>
      <c r="AI3" s="94" t="n"/>
      <c r="AJ3" s="94" t="n"/>
      <c r="AK3" s="94" t="n"/>
      <c r="AL3" s="84" t="n"/>
    </row>
    <row r="4">
      <c r="A4" s="64" t="inlineStr">
        <is>
          <t>SPY</t>
        </is>
      </c>
      <c r="B4" s="65" t="n"/>
      <c r="C4" s="66" t="n"/>
      <c r="D4" s="67" t="n"/>
      <c r="E4" s="68" t="n"/>
      <c r="F4" s="47">
        <f>IF(A4="","",IF(MIN(H4,MAX(J4:K4))=0,"",MIN(H4,MAX(J4:K4))))</f>
        <v/>
      </c>
      <c r="G4" s="74" t="n"/>
      <c r="H4" s="49">
        <f>IF(M4="","",IFERROR(ROUND(AVERAGE(T4+M4*{7,8,9,10,11})/1.21,4),""))</f>
        <v/>
      </c>
      <c r="I4" s="76" t="n">
        <v>691.6599731445312</v>
      </c>
      <c r="J4" s="77" t="n">
        <v>690.972266906059</v>
      </c>
      <c r="K4" s="74" t="n">
        <v>688.3184967041016</v>
      </c>
      <c r="L4" s="78" t="n">
        <v>633.8101000976562</v>
      </c>
      <c r="M4" s="77" t="n">
        <v>5.580977845574574</v>
      </c>
      <c r="N4" s="53">
        <f>IF(M4="","",IFERROR(M4/I4,""))</f>
        <v/>
      </c>
      <c r="O4" s="50">
        <f>IF(A4="","",IFERROR((IF(G4="",I4,G4)-T4)/M4,""))</f>
        <v/>
      </c>
      <c r="P4" s="50">
        <f>IFERROR((I4/T4-1)/N4,"")</f>
        <v/>
      </c>
      <c r="Q4" s="46">
        <f>IF(OR(T4="",I4&lt;T4),"",IFERROR(R4/IF(G4="",I4,G4)-1,""))</f>
        <v/>
      </c>
      <c r="R4" s="48">
        <f>IF($M4="","",MAX(IF($G4="",$I4,$G4)*(1/1.1),IF($G4="",$I4,$G4)+(R$2*$M4)))</f>
        <v/>
      </c>
      <c r="S4" s="49">
        <f>IF($M4="","",MAX(IF($G4="",$I4,$G4)*(1/1.1),IF($G4="",$I4,$G4)+(S$2*$M4)))</f>
        <v/>
      </c>
      <c r="T4" s="82" t="n">
        <v>681.1144006347656</v>
      </c>
      <c r="U4" s="47">
        <f>IF(OR($M4="",$T4=""),"",$T4+(U$2*$M4))</f>
        <v/>
      </c>
      <c r="V4" s="48">
        <f>IF(OR($M4="",$T4=""),"",$T4+(V$2*$M4))</f>
        <v/>
      </c>
      <c r="W4" s="48">
        <f>IF(OR($M4="",$T4=""),"",$T4+(W$2*$M4))</f>
        <v/>
      </c>
      <c r="X4" s="49">
        <f>IF(OR($M4="",$T4=""),"",$T4+(X$2*$M4))</f>
        <v/>
      </c>
      <c r="Y4" s="47">
        <f>IF(OR($M4="",$T4=""),"",$T4+(Y$2*$M4))</f>
        <v/>
      </c>
      <c r="Z4" s="49">
        <f>IF(OR($M4="",$T4=""),"",$T4+(Z$2*$M4))</f>
        <v/>
      </c>
      <c r="AA4" s="51">
        <f>IF(OR($M4="",$T4=""),"",$T4+(AA$2*$M4))</f>
        <v/>
      </c>
      <c r="AB4" s="48">
        <f>IF(OR($M4="",$T4=""),"",$T4+(AB$2*$M4))</f>
        <v/>
      </c>
      <c r="AC4" s="48">
        <f>IF(OR($M4="",$T4=""),"",$T4+(AC$2*$M4))</f>
        <v/>
      </c>
      <c r="AD4" s="48">
        <f>IF(OR($M4="",$T4=""),"",$T4+(AD$2*$M4))</f>
        <v/>
      </c>
      <c r="AE4" s="49">
        <f>IF(OR($M4="",$T4=""),"",$T4+(AE$2*$M4))</f>
        <v/>
      </c>
      <c r="AF4" s="52">
        <f>IF(OR(T4="",I4&lt;T4),"",IFERROR(AVERAGE(T4+M4*{7,8,9,10,11})/IF(G4="",I4,G4)-1,""))</f>
        <v/>
      </c>
      <c r="AG4" s="55">
        <f>IF(OR(T4="",I4&lt;T4),"",IFERROR(AF4/-(R4/IF(G4="",I4,G4)-1),""))</f>
        <v/>
      </c>
      <c r="AH4" s="94" t="n">
        <v>1</v>
      </c>
      <c r="AI4" s="94" t="n">
        <v>53.49413322195231</v>
      </c>
      <c r="AJ4" s="94" t="n">
        <v>1</v>
      </c>
      <c r="AK4" s="94" t="inlineStr">
        <is>
          <t>OTT Up Trend</t>
        </is>
      </c>
      <c r="AL4" s="84" t="inlineStr">
        <is>
          <t>SPDR S&amp;P 500</t>
        </is>
      </c>
      <c r="AM4" t="inlineStr">
        <is>
          <t>Unknown</t>
        </is>
      </c>
      <c r="AN4" t="inlineStr">
        <is>
          <t>Unknown</t>
        </is>
      </c>
      <c r="AO4" t="inlineStr">
        <is>
          <t>Nil</t>
        </is>
      </c>
    </row>
    <row r="5">
      <c r="A5" s="64" t="inlineStr">
        <is>
          <t>QQQ</t>
        </is>
      </c>
      <c r="B5" s="65" t="n"/>
      <c r="C5" s="66" t="n"/>
      <c r="D5" s="67" t="n"/>
      <c r="E5" s="68" t="n"/>
      <c r="F5" s="47">
        <f>IF(A5="","",IF(MIN(H5,MAX(J5:K5))=0,"",MIN(H5,MAX(J5:K5))))</f>
        <v/>
      </c>
      <c r="G5" s="74" t="n"/>
      <c r="H5" s="49">
        <f>IF(M5="","",IFERROR(ROUND(AVERAGE(T5+M5*{7,8,9,10,11})/1.21,4),""))</f>
        <v/>
      </c>
      <c r="I5" s="76" t="n">
        <v>621.260009765625</v>
      </c>
      <c r="J5" s="77" t="n">
        <v>622.0063958726321</v>
      </c>
      <c r="K5" s="74" t="n">
        <v>620.5789978027344</v>
      </c>
      <c r="L5" s="78" t="n">
        <v>565.6250494384766</v>
      </c>
      <c r="M5" s="77" t="n">
        <v>7.823435876551314</v>
      </c>
      <c r="N5" s="53">
        <f>IF(M5="","",IFERROR(M5/I5,""))</f>
        <v/>
      </c>
      <c r="O5" s="50">
        <f>IF(A5="","",IFERROR((IF(G5="",I5,G5)-T5)/M5,""))</f>
        <v/>
      </c>
      <c r="P5" s="50">
        <f>IFERROR((I5/T5-1)/N5,"")</f>
        <v/>
      </c>
      <c r="Q5" s="46">
        <f>IF(OR(T5="",I5&lt;T5),"",IFERROR(R5/IF(G5="",I5,G5)-1,""))</f>
        <v/>
      </c>
      <c r="R5" s="48">
        <f>IF($M5="","",MAX(IF($G5="",$I5,$G5)*(1/1.1),IF($G5="",$I5,$G5)+(R$2*$M5)))</f>
        <v/>
      </c>
      <c r="S5" s="49">
        <f>IF($M5="","",MAX(IF($G5="",$I5,$G5)*(1/1.1),IF($G5="",$I5,$G5)+(S$2*$M5)))</f>
        <v/>
      </c>
      <c r="T5" s="82" t="n">
        <v>616.2501977539063</v>
      </c>
      <c r="U5" s="47">
        <f>IF(OR($M5="",$T5=""),"",$T5+(U$2*$M5))</f>
        <v/>
      </c>
      <c r="V5" s="48">
        <f>IF(OR($M5="",$T5=""),"",$T5+(V$2*$M5))</f>
        <v/>
      </c>
      <c r="W5" s="48">
        <f>IF(OR($M5="",$T5=""),"",$T5+(W$2*$M5))</f>
        <v/>
      </c>
      <c r="X5" s="49">
        <f>IF(OR($M5="",$T5=""),"",$T5+(X$2*$M5))</f>
        <v/>
      </c>
      <c r="Y5" s="47">
        <f>IF(OR($M5="",$T5=""),"",$T5+(Y$2*$M5))</f>
        <v/>
      </c>
      <c r="Z5" s="49">
        <f>IF(OR($M5="",$T5=""),"",$T5+(Z$2*$M5))</f>
        <v/>
      </c>
      <c r="AA5" s="51">
        <f>IF(OR($M5="",$T5=""),"",$T5+(AA$2*$M5))</f>
        <v/>
      </c>
      <c r="AB5" s="48">
        <f>IF(OR($M5="",$T5=""),"",$T5+(AB$2*$M5))</f>
        <v/>
      </c>
      <c r="AC5" s="48">
        <f>IF(OR($M5="",$T5=""),"",$T5+(AC$2*$M5))</f>
        <v/>
      </c>
      <c r="AD5" s="48">
        <f>IF(OR($M5="",$T5=""),"",$T5+(AD$2*$M5))</f>
        <v/>
      </c>
      <c r="AE5" s="49">
        <f>IF(OR($M5="",$T5=""),"",$T5+(AE$2*$M5))</f>
        <v/>
      </c>
      <c r="AF5" s="52">
        <f>IF(OR(T5="",I5&lt;T5),"",IFERROR(AVERAGE(T5+M5*{7,8,9,10,11})/IF(G5="",I5,G5)-1,""))</f>
        <v/>
      </c>
      <c r="AG5" s="55">
        <f>IF(OR(T5="",I5&lt;T5),"",IFERROR(AF5/-(R5/IF(G5="",I5,G5)-1),""))</f>
        <v/>
      </c>
      <c r="AH5" s="94" t="n">
        <v>-1</v>
      </c>
      <c r="AI5" s="94" t="n">
        <v>22.37529734608172</v>
      </c>
      <c r="AJ5" s="94" t="n">
        <v>0</v>
      </c>
      <c r="AK5" s="94" t="inlineStr">
        <is>
          <t>OTT Up Trend</t>
        </is>
      </c>
      <c r="AL5" s="84" t="inlineStr">
        <is>
          <t>Invesco QQQ Trust, Series 1</t>
        </is>
      </c>
      <c r="AM5" t="inlineStr">
        <is>
          <t>Unknown</t>
        </is>
      </c>
      <c r="AN5" t="inlineStr">
        <is>
          <t>Unknown</t>
        </is>
      </c>
      <c r="AO5" t="inlineStr">
        <is>
          <t>Nil</t>
        </is>
      </c>
    </row>
    <row r="6">
      <c r="A6" s="64" t="inlineStr">
        <is>
          <t>SATS</t>
        </is>
      </c>
      <c r="B6" s="65" t="n"/>
      <c r="C6" s="66" t="n"/>
      <c r="D6" s="67" t="n"/>
      <c r="E6" s="68" t="n"/>
      <c r="F6" s="47">
        <f>IF(A6="","",IF(MIN(H6,MAX(J6:K6))=0,"",MIN(H6,MAX(J6:K6))))</f>
        <v/>
      </c>
      <c r="G6" s="74" t="n"/>
      <c r="H6" s="49">
        <f>IF(M6="","",IFERROR(ROUND(AVERAGE(T6+M6*{7,8,9,10,11})/1.21,4),""))</f>
        <v/>
      </c>
      <c r="I6" s="76" t="n">
        <v>123.2699966430664</v>
      </c>
      <c r="J6" s="77" t="n">
        <v>120.6412862240746</v>
      </c>
      <c r="K6" s="74" t="n">
        <v>113.8439990997314</v>
      </c>
      <c r="L6" s="78" t="n">
        <v>53.81190005302429</v>
      </c>
      <c r="M6" s="77" t="n">
        <v>5.824593517807354</v>
      </c>
      <c r="N6" s="53">
        <f>IF(M6="","",IFERROR(M6/I6,""))</f>
        <v/>
      </c>
      <c r="O6" s="50">
        <f>IF(A6="","",IFERROR((IF(G6="",I6,G6)-T6)/M6,""))</f>
        <v/>
      </c>
      <c r="P6" s="50">
        <f>IFERROR((I6/T6-1)/N6,"")</f>
        <v/>
      </c>
      <c r="Q6" s="46">
        <f>IF(OR(T6="",I6&lt;T6),"",IFERROR(R6/IF(G6="",I6,G6)-1,""))</f>
        <v/>
      </c>
      <c r="R6" s="48">
        <f>IF($M6="","",MAX(IF($G6="",$I6,$G6)*(1/1.1),IF($G6="",$I6,$G6)+(R$2*$M6)))</f>
        <v/>
      </c>
      <c r="S6" s="49">
        <f>IF($M6="","",MAX(IF($G6="",$I6,$G6)*(1/1.1),IF($G6="",$I6,$G6)+(S$2*$M6)))</f>
        <v/>
      </c>
      <c r="T6" s="82" t="n">
        <v>93.13359970092773</v>
      </c>
      <c r="U6" s="47">
        <f>IF(OR($M6="",$T6=""),"",$T6+(U$2*$M6))</f>
        <v/>
      </c>
      <c r="V6" s="48">
        <f>IF(OR($M6="",$T6=""),"",$T6+(V$2*$M6))</f>
        <v/>
      </c>
      <c r="W6" s="48">
        <f>IF(OR($M6="",$T6=""),"",$T6+(W$2*$M6))</f>
        <v/>
      </c>
      <c r="X6" s="49">
        <f>IF(OR($M6="",$T6=""),"",$T6+(X$2*$M6))</f>
        <v/>
      </c>
      <c r="Y6" s="47">
        <f>IF(OR($M6="",$T6=""),"",$T6+(Y$2*$M6))</f>
        <v/>
      </c>
      <c r="Z6" s="49">
        <f>IF(OR($M6="",$T6=""),"",$T6+(Z$2*$M6))</f>
        <v/>
      </c>
      <c r="AA6" s="51">
        <f>IF(OR($M6="",$T6=""),"",$T6+(AA$2*$M6))</f>
        <v/>
      </c>
      <c r="AB6" s="48">
        <f>IF(OR($M6="",$T6=""),"",$T6+(AB$2*$M6))</f>
        <v/>
      </c>
      <c r="AC6" s="48">
        <f>IF(OR($M6="",$T6=""),"",$T6+(AC$2*$M6))</f>
        <v/>
      </c>
      <c r="AD6" s="48">
        <f>IF(OR($M6="",$T6=""),"",$T6+(AD$2*$M6))</f>
        <v/>
      </c>
      <c r="AE6" s="49">
        <f>IF(OR($M6="",$T6=""),"",$T6+(AE$2*$M6))</f>
        <v/>
      </c>
      <c r="AF6" s="52">
        <f>IF(OR(T6="",I6&lt;T6),"",IFERROR(AVERAGE(T6+M6*{7,8,9,10,11})/IF(G6="",I6,G6)-1,""))</f>
        <v/>
      </c>
      <c r="AG6" s="55">
        <f>IF(OR(T6="",I6&lt;T6),"",IFERROR(AF6/-(R6/IF(G6="",I6,G6)-1),""))</f>
        <v/>
      </c>
      <c r="AH6" s="94" t="n">
        <v>1</v>
      </c>
      <c r="AI6" s="94" t="n">
        <v>173.9875408424489</v>
      </c>
      <c r="AJ6" s="94" t="n">
        <v>0</v>
      </c>
      <c r="AK6" s="94" t="inlineStr">
        <is>
          <t>OTT Up Trend</t>
        </is>
      </c>
      <c r="AL6" s="84" t="inlineStr">
        <is>
          <t>EchoStar Corporation</t>
        </is>
      </c>
      <c r="AM6" t="inlineStr">
        <is>
          <t>Communication Services</t>
        </is>
      </c>
      <c r="AN6" t="inlineStr">
        <is>
          <t>Telecom Services</t>
        </is>
      </c>
      <c r="AO6" t="n">
        <v>99</v>
      </c>
    </row>
    <row r="7">
      <c r="A7" s="64" t="inlineStr">
        <is>
          <t>HL</t>
        </is>
      </c>
      <c r="B7" s="65" t="n"/>
      <c r="C7" s="66" t="n"/>
      <c r="D7" s="67" t="n"/>
      <c r="E7" s="68" t="n"/>
      <c r="F7" s="47">
        <f>IF(A7="","",IF(MIN(H7,MAX(J7:K7))=0,"",MIN(H7,MAX(J7:K7))))</f>
        <v/>
      </c>
      <c r="G7" s="74" t="n"/>
      <c r="H7" s="49">
        <f>IF(M7="","",IFERROR(ROUND(AVERAGE(T7+M7*{7,8,9,10,11})/1.21,4),""))</f>
        <v/>
      </c>
      <c r="I7" s="76" t="n">
        <v>26.54000091552734</v>
      </c>
      <c r="J7" s="77" t="n">
        <v>23.47954672525952</v>
      </c>
      <c r="K7" s="74" t="n">
        <v>21.37450008392334</v>
      </c>
      <c r="L7" s="78" t="n">
        <v>10.39175001859665</v>
      </c>
      <c r="M7" s="77" t="n">
        <v>1.599951092800232</v>
      </c>
      <c r="N7" s="53">
        <f>IF(M7="","",IFERROR(M7/I7,""))</f>
        <v/>
      </c>
      <c r="O7" s="50">
        <f>IF(A7="","",IFERROR((IF(G7="",I7,G7)-T7)/M7,""))</f>
        <v/>
      </c>
      <c r="P7" s="50">
        <f>IFERROR((I7/T7-1)/N7,"")</f>
        <v/>
      </c>
      <c r="Q7" s="46">
        <f>IF(OR(T7="",I7&lt;T7),"",IFERROR(R7/IF(G7="",I7,G7)-1,""))</f>
        <v/>
      </c>
      <c r="R7" s="48">
        <f>IF($M7="","",MAX(IF($G7="",$I7,$G7)*(1/1.1),IF($G7="",$I7,$G7)+(R$2*$M7)))</f>
        <v/>
      </c>
      <c r="S7" s="49">
        <f>IF($M7="","",MAX(IF($G7="",$I7,$G7)*(1/1.1),IF($G7="",$I7,$G7)+(S$2*$M7)))</f>
        <v/>
      </c>
      <c r="T7" s="82" t="n">
        <v>18.08000007629395</v>
      </c>
      <c r="U7" s="47">
        <f>IF(OR($M7="",$T7=""),"",$T7+(U$2*$M7))</f>
        <v/>
      </c>
      <c r="V7" s="48">
        <f>IF(OR($M7="",$T7=""),"",$T7+(V$2*$M7))</f>
        <v/>
      </c>
      <c r="W7" s="48">
        <f>IF(OR($M7="",$T7=""),"",$T7+(W$2*$M7))</f>
        <v/>
      </c>
      <c r="X7" s="49">
        <f>IF(OR($M7="",$T7=""),"",$T7+(X$2*$M7))</f>
        <v/>
      </c>
      <c r="Y7" s="47">
        <f>IF(OR($M7="",$T7=""),"",$T7+(Y$2*$M7))</f>
        <v/>
      </c>
      <c r="Z7" s="49">
        <f>IF(OR($M7="",$T7=""),"",$T7+(Z$2*$M7))</f>
        <v/>
      </c>
      <c r="AA7" s="51">
        <f>IF(OR($M7="",$T7=""),"",$T7+(AA$2*$M7))</f>
        <v/>
      </c>
      <c r="AB7" s="48">
        <f>IF(OR($M7="",$T7=""),"",$T7+(AB$2*$M7))</f>
        <v/>
      </c>
      <c r="AC7" s="48">
        <f>IF(OR($M7="",$T7=""),"",$T7+(AC$2*$M7))</f>
        <v/>
      </c>
      <c r="AD7" s="48">
        <f>IF(OR($M7="",$T7=""),"",$T7+(AD$2*$M7))</f>
        <v/>
      </c>
      <c r="AE7" s="49">
        <f>IF(OR($M7="",$T7=""),"",$T7+(AE$2*$M7))</f>
        <v/>
      </c>
      <c r="AF7" s="52">
        <f>IF(OR(T7="",I7&lt;T7),"",IFERROR(AVERAGE(T7+M7*{7,8,9,10,11})/IF(G7="",I7,G7)-1,""))</f>
        <v/>
      </c>
      <c r="AG7" s="55">
        <f>IF(OR(T7="",I7&lt;T7),"",IFERROR(AF7/-(R7/IF(G7="",I7,G7)-1),""))</f>
        <v/>
      </c>
      <c r="AH7" s="94" t="n">
        <v>1</v>
      </c>
      <c r="AI7" s="94" t="n">
        <v>148.0365471137803</v>
      </c>
      <c r="AJ7" s="94" t="n">
        <v>1</v>
      </c>
      <c r="AK7" s="94" t="inlineStr">
        <is>
          <t>OTT Up Trend</t>
        </is>
      </c>
      <c r="AL7" s="84" t="inlineStr">
        <is>
          <t>Hecla Mining Company</t>
        </is>
      </c>
      <c r="AM7" t="inlineStr">
        <is>
          <t>Basic Materials</t>
        </is>
      </c>
      <c r="AN7" t="inlineStr">
        <is>
          <t>Other Precious Metals &amp; Mining</t>
        </is>
      </c>
      <c r="AO7" t="n">
        <v>99</v>
      </c>
    </row>
    <row r="8">
      <c r="A8" s="64" t="inlineStr">
        <is>
          <t>WDC</t>
        </is>
      </c>
      <c r="B8" s="65" t="n"/>
      <c r="C8" s="66" t="n"/>
      <c r="D8" s="67" t="n"/>
      <c r="E8" s="68" t="n"/>
      <c r="F8" s="47">
        <f>IF(A8="","",IF(MIN(H8,MAX(J8:K8))=0,"",MIN(H8,MAX(J8:K8))))</f>
        <v/>
      </c>
      <c r="G8" s="74" t="n"/>
      <c r="H8" s="49">
        <f>IF(M8="","",IFERROR(ROUND(AVERAGE(T8+M8*{7,8,9,10,11})/1.21,4),""))</f>
        <v/>
      </c>
      <c r="I8" s="76" t="n">
        <v>221.5099945068359</v>
      </c>
      <c r="J8" s="77" t="n">
        <v>208.1854047478623</v>
      </c>
      <c r="K8" s="74" t="n">
        <v>193.3969993591309</v>
      </c>
      <c r="L8" s="78" t="n">
        <v>100.5654497337341</v>
      </c>
      <c r="M8" s="77" t="n">
        <v>13.16860387936814</v>
      </c>
      <c r="N8" s="53">
        <f>IF(M8="","",IFERROR(M8/I8,""))</f>
        <v/>
      </c>
      <c r="O8" s="50">
        <f>IF(A8="","",IFERROR((IF(G8="",I8,G8)-T8)/M8,""))</f>
        <v/>
      </c>
      <c r="P8" s="50">
        <f>IFERROR((I8/T8-1)/N8,"")</f>
        <v/>
      </c>
      <c r="Q8" s="46">
        <f>IF(OR(T8="",I8&lt;T8),"",IFERROR(R8/IF(G8="",I8,G8)-1,""))</f>
        <v/>
      </c>
      <c r="R8" s="48">
        <f>IF($M8="","",MAX(IF($G8="",$I8,$G8)*(1/1.1),IF($G8="",$I8,$G8)+(R$2*$M8)))</f>
        <v/>
      </c>
      <c r="S8" s="49">
        <f>IF($M8="","",MAX(IF($G8="",$I8,$G8)*(1/1.1),IF($G8="",$I8,$G8)+(S$2*$M8)))</f>
        <v/>
      </c>
      <c r="T8" s="82" t="n">
        <v>175.2543997192383</v>
      </c>
      <c r="U8" s="47">
        <f>IF(OR($M8="",$T8=""),"",$T8+(U$2*$M8))</f>
        <v/>
      </c>
      <c r="V8" s="48">
        <f>IF(OR($M8="",$T8=""),"",$T8+(V$2*$M8))</f>
        <v/>
      </c>
      <c r="W8" s="48">
        <f>IF(OR($M8="",$T8=""),"",$T8+(W$2*$M8))</f>
        <v/>
      </c>
      <c r="X8" s="49">
        <f>IF(OR($M8="",$T8=""),"",$T8+(X$2*$M8))</f>
        <v/>
      </c>
      <c r="Y8" s="47">
        <f>IF(OR($M8="",$T8=""),"",$T8+(Y$2*$M8))</f>
        <v/>
      </c>
      <c r="Z8" s="49">
        <f>IF(OR($M8="",$T8=""),"",$T8+(Z$2*$M8))</f>
        <v/>
      </c>
      <c r="AA8" s="51">
        <f>IF(OR($M8="",$T8=""),"",$T8+(AA$2*$M8))</f>
        <v/>
      </c>
      <c r="AB8" s="48">
        <f>IF(OR($M8="",$T8=""),"",$T8+(AB$2*$M8))</f>
        <v/>
      </c>
      <c r="AC8" s="48">
        <f>IF(OR($M8="",$T8=""),"",$T8+(AC$2*$M8))</f>
        <v/>
      </c>
      <c r="AD8" s="48">
        <f>IF(OR($M8="",$T8=""),"",$T8+(AD$2*$M8))</f>
        <v/>
      </c>
      <c r="AE8" s="49">
        <f>IF(OR($M8="",$T8=""),"",$T8+(AE$2*$M8))</f>
        <v/>
      </c>
      <c r="AF8" s="52">
        <f>IF(OR(T8="",I8&lt;T8),"",IFERROR(AVERAGE(T8+M8*{7,8,9,10,11})/IF(G8="",I8,G8)-1,""))</f>
        <v/>
      </c>
      <c r="AG8" s="55">
        <f>IF(OR(T8="",I8&lt;T8),"",IFERROR(AF8/-(R8/IF(G8="",I8,G8)-1),""))</f>
        <v/>
      </c>
      <c r="AH8" s="94" t="n">
        <v>1</v>
      </c>
      <c r="AI8" s="94" t="n">
        <v>114.3081279800425</v>
      </c>
      <c r="AJ8" s="94" t="n">
        <v>1</v>
      </c>
      <c r="AK8" s="94" t="inlineStr">
        <is>
          <t>OTT Up Trend</t>
        </is>
      </c>
      <c r="AL8" s="84" t="inlineStr">
        <is>
          <t>Western Digital Corporation</t>
        </is>
      </c>
      <c r="AM8" t="inlineStr">
        <is>
          <t>Technology</t>
        </is>
      </c>
      <c r="AN8" t="inlineStr">
        <is>
          <t>Computer Hardware</t>
        </is>
      </c>
      <c r="AO8" t="n">
        <v>99</v>
      </c>
    </row>
    <row r="9">
      <c r="A9" s="64" t="inlineStr">
        <is>
          <t>LITE</t>
        </is>
      </c>
      <c r="B9" s="65" t="n"/>
      <c r="C9" s="66" t="n"/>
      <c r="D9" s="67" t="n"/>
      <c r="E9" s="68" t="n"/>
      <c r="F9" s="47">
        <f>IF(A9="","",IF(MIN(H9,MAX(J9:K9))=0,"",MIN(H9,MAX(J9:K9))))</f>
        <v/>
      </c>
      <c r="G9" s="74" t="n"/>
      <c r="H9" s="49">
        <f>IF(M9="","",IFERROR(ROUND(AVERAGE(T9+M9*{7,8,9,10,11})/1.21,4),""))</f>
        <v/>
      </c>
      <c r="I9" s="76" t="n">
        <v>324.25</v>
      </c>
      <c r="J9" s="77" t="n">
        <v>349.1883852631287</v>
      </c>
      <c r="K9" s="74" t="n">
        <v>365.9199981689453</v>
      </c>
      <c r="L9" s="78" t="n">
        <v>163.4326746940613</v>
      </c>
      <c r="M9" s="77" t="n">
        <v>29.78534034212682</v>
      </c>
      <c r="N9" s="53">
        <f>IF(M9="","",IFERROR(M9/I9,""))</f>
        <v/>
      </c>
      <c r="O9" s="50">
        <f>IF(A9="","",IFERROR((IF(G9="",I9,G9)-T9)/M9,""))</f>
        <v/>
      </c>
      <c r="P9" s="50">
        <f>IFERROR((I9/T9-1)/N9,"")</f>
        <v/>
      </c>
      <c r="Q9" s="46">
        <f>IF(OR(T9="",I9&lt;T9),"",IFERROR(R9/IF(G9="",I9,G9)-1,""))</f>
        <v/>
      </c>
      <c r="R9" s="48">
        <f>IF($M9="","",MAX(IF($G9="",$I9,$G9)*(1/1.1),IF($G9="",$I9,$G9)+(R$2*$M9)))</f>
        <v/>
      </c>
      <c r="S9" s="49">
        <f>IF($M9="","",MAX(IF($G9="",$I9,$G9)*(1/1.1),IF($G9="",$I9,$G9)+(S$2*$M9)))</f>
        <v/>
      </c>
      <c r="T9" s="82" t="n">
        <v>320.9367990112304</v>
      </c>
      <c r="U9" s="47">
        <f>IF(OR($M9="",$T9=""),"",$T9+(U$2*$M9))</f>
        <v/>
      </c>
      <c r="V9" s="48">
        <f>IF(OR($M9="",$T9=""),"",$T9+(V$2*$M9))</f>
        <v/>
      </c>
      <c r="W9" s="48">
        <f>IF(OR($M9="",$T9=""),"",$T9+(W$2*$M9))</f>
        <v/>
      </c>
      <c r="X9" s="49">
        <f>IF(OR($M9="",$T9=""),"",$T9+(X$2*$M9))</f>
        <v/>
      </c>
      <c r="Y9" s="47">
        <f>IF(OR($M9="",$T9=""),"",$T9+(Y$2*$M9))</f>
        <v/>
      </c>
      <c r="Z9" s="49">
        <f>IF(OR($M9="",$T9=""),"",$T9+(Z$2*$M9))</f>
        <v/>
      </c>
      <c r="AA9" s="51">
        <f>IF(OR($M9="",$T9=""),"",$T9+(AA$2*$M9))</f>
        <v/>
      </c>
      <c r="AB9" s="48">
        <f>IF(OR($M9="",$T9=""),"",$T9+(AB$2*$M9))</f>
        <v/>
      </c>
      <c r="AC9" s="48">
        <f>IF(OR($M9="",$T9=""),"",$T9+(AC$2*$M9))</f>
        <v/>
      </c>
      <c r="AD9" s="48">
        <f>IF(OR($M9="",$T9=""),"",$T9+(AD$2*$M9))</f>
        <v/>
      </c>
      <c r="AE9" s="49">
        <f>IF(OR($M9="",$T9=""),"",$T9+(AE$2*$M9))</f>
        <v/>
      </c>
      <c r="AF9" s="52">
        <f>IF(OR(T9="",I9&lt;T9),"",IFERROR(AVERAGE(T9+M9*{7,8,9,10,11})/IF(G9="",I9,G9)-1,""))</f>
        <v/>
      </c>
      <c r="AG9" s="55">
        <f>IF(OR(T9="",I9&lt;T9),"",IFERROR(AF9/-(R9/IF(G9="",I9,G9)-1),""))</f>
        <v/>
      </c>
      <c r="AH9" s="94" t="n">
        <v>1</v>
      </c>
      <c r="AI9" s="94" t="n">
        <v>16.1074206665783</v>
      </c>
      <c r="AJ9" s="94" t="n">
        <v>0</v>
      </c>
      <c r="AK9" s="94" t="inlineStr">
        <is>
          <t>OTT Up Trend</t>
        </is>
      </c>
      <c r="AL9" s="84" t="inlineStr">
        <is>
          <t>Lumentum Holdings Inc.</t>
        </is>
      </c>
      <c r="AM9" t="inlineStr">
        <is>
          <t>Technology</t>
        </is>
      </c>
      <c r="AN9" t="inlineStr">
        <is>
          <t>Communication Equipment</t>
        </is>
      </c>
      <c r="AO9" t="n">
        <v>99</v>
      </c>
    </row>
    <row r="10">
      <c r="A10" s="64" t="inlineStr">
        <is>
          <t>ARWR</t>
        </is>
      </c>
      <c r="B10" s="65" t="n"/>
      <c r="C10" s="66" t="n"/>
      <c r="D10" s="67" t="n"/>
      <c r="E10" s="68" t="n"/>
      <c r="F10" s="47">
        <f>IF(A10="","",IF(MIN(H10,MAX(J10:K10))=0,"",MIN(H10,MAX(J10:K10))))</f>
        <v/>
      </c>
      <c r="G10" s="74" t="n"/>
      <c r="H10" s="49">
        <f>IF(M10="","",IFERROR(ROUND(AVERAGE(T10+M10*{7,8,9,10,11})/1.21,4),""))</f>
        <v/>
      </c>
      <c r="I10" s="76" t="n">
        <v>63.84000015258789</v>
      </c>
      <c r="J10" s="77" t="n">
        <v>65.77615817398184</v>
      </c>
      <c r="K10" s="74" t="n">
        <v>67.10975074768066</v>
      </c>
      <c r="L10" s="78" t="n">
        <v>30.73082504749298</v>
      </c>
      <c r="M10" s="77" t="n">
        <v>3.97471258516076</v>
      </c>
      <c r="N10" s="53">
        <f>IF(M10="","",IFERROR(M10/I10,""))</f>
        <v/>
      </c>
      <c r="O10" s="50">
        <f>IF(A10="","",IFERROR((IF(G10="",I10,G10)-T10)/M10,""))</f>
        <v/>
      </c>
      <c r="P10" s="50">
        <f>IFERROR((I10/T10-1)/N10,"")</f>
        <v/>
      </c>
      <c r="Q10" s="46">
        <f>IF(OR(T10="",I10&lt;T10),"",IFERROR(R10/IF(G10="",I10,G10)-1,""))</f>
        <v/>
      </c>
      <c r="R10" s="48">
        <f>IF($M10="","",MAX(IF($G10="",$I10,$G10)*(1/1.1),IF($G10="",$I10,$G10)+(R$2*$M10)))</f>
        <v/>
      </c>
      <c r="S10" s="49">
        <f>IF($M10="","",MAX(IF($G10="",$I10,$G10)*(1/1.1),IF($G10="",$I10,$G10)+(S$2*$M10)))</f>
        <v/>
      </c>
      <c r="T10" s="82" t="n">
        <v>58.33180030822754</v>
      </c>
      <c r="U10" s="47">
        <f>IF(OR($M10="",$T10=""),"",$T10+(U$2*$M10))</f>
        <v/>
      </c>
      <c r="V10" s="48">
        <f>IF(OR($M10="",$T10=""),"",$T10+(V$2*$M10))</f>
        <v/>
      </c>
      <c r="W10" s="48">
        <f>IF(OR($M10="",$T10=""),"",$T10+(W$2*$M10))</f>
        <v/>
      </c>
      <c r="X10" s="49">
        <f>IF(OR($M10="",$T10=""),"",$T10+(X$2*$M10))</f>
        <v/>
      </c>
      <c r="Y10" s="47">
        <f>IF(OR($M10="",$T10=""),"",$T10+(Y$2*$M10))</f>
        <v/>
      </c>
      <c r="Z10" s="49">
        <f>IF(OR($M10="",$T10=""),"",$T10+(Z$2*$M10))</f>
        <v/>
      </c>
      <c r="AA10" s="51">
        <f>IF(OR($M10="",$T10=""),"",$T10+(AA$2*$M10))</f>
        <v/>
      </c>
      <c r="AB10" s="48">
        <f>IF(OR($M10="",$T10=""),"",$T10+(AB$2*$M10))</f>
        <v/>
      </c>
      <c r="AC10" s="48">
        <f>IF(OR($M10="",$T10=""),"",$T10+(AC$2*$M10))</f>
        <v/>
      </c>
      <c r="AD10" s="48">
        <f>IF(OR($M10="",$T10=""),"",$T10+(AD$2*$M10))</f>
        <v/>
      </c>
      <c r="AE10" s="49">
        <f>IF(OR($M10="",$T10=""),"",$T10+(AE$2*$M10))</f>
        <v/>
      </c>
      <c r="AF10" s="52">
        <f>IF(OR(T10="",I10&lt;T10),"",IFERROR(AVERAGE(T10+M10*{7,8,9,10,11})/IF(G10="",I10,G10)-1,""))</f>
        <v/>
      </c>
      <c r="AG10" s="55">
        <f>IF(OR(T10="",I10&lt;T10),"",IFERROR(AF10/-(R10/IF(G10="",I10,G10)-1),""))</f>
        <v/>
      </c>
      <c r="AH10" s="94" t="n">
        <v>1</v>
      </c>
      <c r="AI10" s="94" t="n">
        <v>35.80285101493297</v>
      </c>
      <c r="AJ10" s="94" t="n">
        <v>0</v>
      </c>
      <c r="AK10" s="94" t="inlineStr">
        <is>
          <t>OTT Up Trend</t>
        </is>
      </c>
      <c r="AL10" s="84" t="inlineStr">
        <is>
          <t>Arrowhead Pharmaceuticals, Inc.</t>
        </is>
      </c>
      <c r="AM10" t="inlineStr">
        <is>
          <t>Healthcare</t>
        </is>
      </c>
      <c r="AN10" t="inlineStr">
        <is>
          <t>Biotechnology</t>
        </is>
      </c>
      <c r="AO10" t="n">
        <v>99</v>
      </c>
    </row>
    <row r="11">
      <c r="A11" s="64" t="inlineStr">
        <is>
          <t>VSAT</t>
        </is>
      </c>
      <c r="B11" s="65" t="n"/>
      <c r="C11" s="66" t="n"/>
      <c r="D11" s="67" t="n"/>
      <c r="E11" s="68" t="n"/>
      <c r="F11" s="47">
        <f>IF(A11="","",IF(MIN(H11,MAX(J11:K11))=0,"",MIN(H11,MAX(J11:K11))))</f>
        <v/>
      </c>
      <c r="G11" s="74" t="n"/>
      <c r="H11" s="49">
        <f>IF(M11="","",IFERROR(ROUND(AVERAGE(T11+M11*{7,8,9,10,11})/1.21,4),""))</f>
        <v/>
      </c>
      <c r="I11" s="76" t="n">
        <v>45.93999862670898</v>
      </c>
      <c r="J11" s="77" t="n">
        <v>41.57910114994608</v>
      </c>
      <c r="K11" s="74" t="n">
        <v>38.26300010681152</v>
      </c>
      <c r="L11" s="78" t="n">
        <v>24.29650002479553</v>
      </c>
      <c r="M11" s="77" t="n">
        <v>2.489097229803981</v>
      </c>
      <c r="N11" s="53">
        <f>IF(M11="","",IFERROR(M11/I11,""))</f>
        <v/>
      </c>
      <c r="O11" s="50">
        <f>IF(A11="","",IFERROR((IF(G11="",I11,G11)-T11)/M11,""))</f>
        <v/>
      </c>
      <c r="P11" s="50">
        <f>IFERROR((I11/T11-1)/N11,"")</f>
        <v/>
      </c>
      <c r="Q11" s="46">
        <f>IF(OR(T11="",I11&lt;T11),"",IFERROR(R11/IF(G11="",I11,G11)-1,""))</f>
        <v/>
      </c>
      <c r="R11" s="48">
        <f>IF($M11="","",MAX(IF($G11="",$I11,$G11)*(1/1.1),IF($G11="",$I11,$G11)+(R$2*$M11)))</f>
        <v/>
      </c>
      <c r="S11" s="49">
        <f>IF($M11="","",MAX(IF($G11="",$I11,$G11)*(1/1.1),IF($G11="",$I11,$G11)+(S$2*$M11)))</f>
        <v/>
      </c>
      <c r="T11" s="82" t="n">
        <v>36.29740009307861</v>
      </c>
      <c r="U11" s="47">
        <f>IF(OR($M11="",$T11=""),"",$T11+(U$2*$M11))</f>
        <v/>
      </c>
      <c r="V11" s="48">
        <f>IF(OR($M11="",$T11=""),"",$T11+(V$2*$M11))</f>
        <v/>
      </c>
      <c r="W11" s="48">
        <f>IF(OR($M11="",$T11=""),"",$T11+(W$2*$M11))</f>
        <v/>
      </c>
      <c r="X11" s="49">
        <f>IF(OR($M11="",$T11=""),"",$T11+(X$2*$M11))</f>
        <v/>
      </c>
      <c r="Y11" s="47">
        <f>IF(OR($M11="",$T11=""),"",$T11+(Y$2*$M11))</f>
        <v/>
      </c>
      <c r="Z11" s="49">
        <f>IF(OR($M11="",$T11=""),"",$T11+(Z$2*$M11))</f>
        <v/>
      </c>
      <c r="AA11" s="51">
        <f>IF(OR($M11="",$T11=""),"",$T11+(AA$2*$M11))</f>
        <v/>
      </c>
      <c r="AB11" s="48">
        <f>IF(OR($M11="",$T11=""),"",$T11+(AB$2*$M11))</f>
        <v/>
      </c>
      <c r="AC11" s="48">
        <f>IF(OR($M11="",$T11=""),"",$T11+(AC$2*$M11))</f>
        <v/>
      </c>
      <c r="AD11" s="48">
        <f>IF(OR($M11="",$T11=""),"",$T11+(AD$2*$M11))</f>
        <v/>
      </c>
      <c r="AE11" s="49">
        <f>IF(OR($M11="",$T11=""),"",$T11+(AE$2*$M11))</f>
        <v/>
      </c>
      <c r="AF11" s="52">
        <f>IF(OR(T11="",I11&lt;T11),"",IFERROR(AVERAGE(T11+M11*{7,8,9,10,11})/IF(G11="",I11,G11)-1,""))</f>
        <v/>
      </c>
      <c r="AG11" s="55">
        <f>IF(OR(T11="",I11&lt;T11),"",IFERROR(AF11/-(R11/IF(G11="",I11,G11)-1),""))</f>
        <v/>
      </c>
      <c r="AH11" s="94" t="n">
        <v>1</v>
      </c>
      <c r="AI11" s="94" t="n">
        <v>94.76257544634315</v>
      </c>
      <c r="AJ11" s="94" t="n">
        <v>1</v>
      </c>
      <c r="AK11" s="94" t="inlineStr">
        <is>
          <t>OTT Up Trend</t>
        </is>
      </c>
      <c r="AL11" s="84" t="inlineStr">
        <is>
          <t>ViaSat, Inc.</t>
        </is>
      </c>
      <c r="AM11" t="inlineStr">
        <is>
          <t>Technology</t>
        </is>
      </c>
      <c r="AN11" t="inlineStr">
        <is>
          <t>Communication Equipment</t>
        </is>
      </c>
      <c r="AO11" t="n">
        <v>99</v>
      </c>
    </row>
    <row r="12">
      <c r="A12" s="64" t="inlineStr">
        <is>
          <t>MU</t>
        </is>
      </c>
      <c r="B12" s="65" t="n"/>
      <c r="C12" s="66" t="n"/>
      <c r="D12" s="67" t="n"/>
      <c r="E12" s="68" t="n"/>
      <c r="F12" s="47">
        <f>IF(A12="","",IF(MIN(H12,MAX(J12:K12))=0,"",MIN(H12,MAX(J12:K12))))</f>
        <v/>
      </c>
      <c r="G12" s="74" t="n"/>
      <c r="H12" s="49">
        <f>IF(M12="","",IFERROR(ROUND(AVERAGE(T12+M12*{7,8,9,10,11})/1.21,4),""))</f>
        <v/>
      </c>
      <c r="I12" s="76" t="n">
        <v>362.75</v>
      </c>
      <c r="J12" s="77" t="n">
        <v>334.4499014705215</v>
      </c>
      <c r="K12" s="74" t="n">
        <v>310.5299995422363</v>
      </c>
      <c r="L12" s="78" t="n">
        <v>161.3771500396728</v>
      </c>
      <c r="M12" s="77" t="n">
        <v>16.43122833867409</v>
      </c>
      <c r="N12" s="53">
        <f>IF(M12="","",IFERROR(M12/I12,""))</f>
        <v/>
      </c>
      <c r="O12" s="50">
        <f>IF(A12="","",IFERROR((IF(G12="",I12,G12)-T12)/M12,""))</f>
        <v/>
      </c>
      <c r="P12" s="50">
        <f>IFERROR((I12/T12-1)/N12,"")</f>
        <v/>
      </c>
      <c r="Q12" s="46">
        <f>IF(OR(T12="",I12&lt;T12),"",IFERROR(R12/IF(G12="",I12,G12)-1,""))</f>
        <v/>
      </c>
      <c r="R12" s="48">
        <f>IF($M12="","",MAX(IF($G12="",$I12,$G12)*(1/1.1),IF($G12="",$I12,$G12)+(R$2*$M12)))</f>
        <v/>
      </c>
      <c r="S12" s="49">
        <f>IF($M12="","",MAX(IF($G12="",$I12,$G12)*(1/1.1),IF($G12="",$I12,$G12)+(S$2*$M12)))</f>
        <v/>
      </c>
      <c r="T12" s="82" t="n">
        <v>266.0781988525391</v>
      </c>
      <c r="U12" s="47">
        <f>IF(OR($M12="",$T12=""),"",$T12+(U$2*$M12))</f>
        <v/>
      </c>
      <c r="V12" s="48">
        <f>IF(OR($M12="",$T12=""),"",$T12+(V$2*$M12))</f>
        <v/>
      </c>
      <c r="W12" s="48">
        <f>IF(OR($M12="",$T12=""),"",$T12+(W$2*$M12))</f>
        <v/>
      </c>
      <c r="X12" s="49">
        <f>IF(OR($M12="",$T12=""),"",$T12+(X$2*$M12))</f>
        <v/>
      </c>
      <c r="Y12" s="47">
        <f>IF(OR($M12="",$T12=""),"",$T12+(Y$2*$M12))</f>
        <v/>
      </c>
      <c r="Z12" s="49">
        <f>IF(OR($M12="",$T12=""),"",$T12+(Z$2*$M12))</f>
        <v/>
      </c>
      <c r="AA12" s="51">
        <f>IF(OR($M12="",$T12=""),"",$T12+(AA$2*$M12))</f>
        <v/>
      </c>
      <c r="AB12" s="48">
        <f>IF(OR($M12="",$T12=""),"",$T12+(AB$2*$M12))</f>
        <v/>
      </c>
      <c r="AC12" s="48">
        <f>IF(OR($M12="",$T12=""),"",$T12+(AC$2*$M12))</f>
        <v/>
      </c>
      <c r="AD12" s="48">
        <f>IF(OR($M12="",$T12=""),"",$T12+(AD$2*$M12))</f>
        <v/>
      </c>
      <c r="AE12" s="49">
        <f>IF(OR($M12="",$T12=""),"",$T12+(AE$2*$M12))</f>
        <v/>
      </c>
      <c r="AF12" s="52">
        <f>IF(OR(T12="",I12&lt;T12),"",IFERROR(AVERAGE(T12+M12*{7,8,9,10,11})/IF(G12="",I12,G12)-1,""))</f>
        <v/>
      </c>
      <c r="AG12" s="55">
        <f>IF(OR(T12="",I12&lt;T12),"",IFERROR(AF12/-(R12/IF(G12="",I12,G12)-1),""))</f>
        <v/>
      </c>
      <c r="AH12" s="94" t="n">
        <v>1</v>
      </c>
      <c r="AI12" s="94" t="n">
        <v>173.2380043756405</v>
      </c>
      <c r="AJ12" s="94" t="n">
        <v>1</v>
      </c>
      <c r="AK12" s="94" t="inlineStr">
        <is>
          <t>OTT Up Trend</t>
        </is>
      </c>
      <c r="AL12" s="84" t="inlineStr">
        <is>
          <t>Micron Technology, Inc.</t>
        </is>
      </c>
      <c r="AM12" t="inlineStr">
        <is>
          <t>Technology</t>
        </is>
      </c>
      <c r="AN12" t="inlineStr">
        <is>
          <t>Semiconductors</t>
        </is>
      </c>
      <c r="AO12" t="n">
        <v>99</v>
      </c>
    </row>
    <row r="13">
      <c r="A13" s="64" t="inlineStr">
        <is>
          <t>TTMI</t>
        </is>
      </c>
      <c r="B13" s="65" t="n"/>
      <c r="C13" s="66" t="n"/>
      <c r="D13" s="67" t="n"/>
      <c r="E13" s="68" t="n"/>
      <c r="F13" s="47">
        <f>IF(A13="","",IF(MIN(H13,MAX(J13:K13))=0,"",MIN(H13,MAX(J13:K13))))</f>
        <v/>
      </c>
      <c r="G13" s="74" t="n"/>
      <c r="H13" s="49">
        <f>IF(M13="","",IFERROR(ROUND(AVERAGE(T13+M13*{7,8,9,10,11})/1.21,4),""))</f>
        <v/>
      </c>
      <c r="I13" s="76" t="n">
        <v>101.0100021362305</v>
      </c>
      <c r="J13" s="77" t="n">
        <v>86.54650825251497</v>
      </c>
      <c r="K13" s="74" t="n">
        <v>76.22149887084962</v>
      </c>
      <c r="L13" s="78" t="n">
        <v>48.67309988021851</v>
      </c>
      <c r="M13" s="77" t="n">
        <v>5.884234170927474</v>
      </c>
      <c r="N13" s="53">
        <f>IF(M13="","",IFERROR(M13/I13,""))</f>
        <v/>
      </c>
      <c r="O13" s="50">
        <f>IF(A13="","",IFERROR((IF(G13="",I13,G13)-T13)/M13,""))</f>
        <v/>
      </c>
      <c r="P13" s="50">
        <f>IFERROR((I13/T13-1)/N13,"")</f>
        <v/>
      </c>
      <c r="Q13" s="46">
        <f>IF(OR(T13="",I13&lt;T13),"",IFERROR(R13/IF(G13="",I13,G13)-1,""))</f>
        <v/>
      </c>
      <c r="R13" s="48">
        <f>IF($M13="","",MAX(IF($G13="",$I13,$G13)*(1/1.1),IF($G13="",$I13,$G13)+(R$2*$M13)))</f>
        <v/>
      </c>
      <c r="S13" s="49">
        <f>IF($M13="","",MAX(IF($G13="",$I13,$G13)*(1/1.1),IF($G13="",$I13,$G13)+(S$2*$M13)))</f>
        <v/>
      </c>
      <c r="T13" s="82" t="n">
        <v>71.65139938354493</v>
      </c>
      <c r="U13" s="47">
        <f>IF(OR($M13="",$T13=""),"",$T13+(U$2*$M13))</f>
        <v/>
      </c>
      <c r="V13" s="48">
        <f>IF(OR($M13="",$T13=""),"",$T13+(V$2*$M13))</f>
        <v/>
      </c>
      <c r="W13" s="48">
        <f>IF(OR($M13="",$T13=""),"",$T13+(W$2*$M13))</f>
        <v/>
      </c>
      <c r="X13" s="49">
        <f>IF(OR($M13="",$T13=""),"",$T13+(X$2*$M13))</f>
        <v/>
      </c>
      <c r="Y13" s="47">
        <f>IF(OR($M13="",$T13=""),"",$T13+(Y$2*$M13))</f>
        <v/>
      </c>
      <c r="Z13" s="49">
        <f>IF(OR($M13="",$T13=""),"",$T13+(Z$2*$M13))</f>
        <v/>
      </c>
      <c r="AA13" s="51">
        <f>IF(OR($M13="",$T13=""),"",$T13+(AA$2*$M13))</f>
        <v/>
      </c>
      <c r="AB13" s="48">
        <f>IF(OR($M13="",$T13=""),"",$T13+(AB$2*$M13))</f>
        <v/>
      </c>
      <c r="AC13" s="48">
        <f>IF(OR($M13="",$T13=""),"",$T13+(AC$2*$M13))</f>
        <v/>
      </c>
      <c r="AD13" s="48">
        <f>IF(OR($M13="",$T13=""),"",$T13+(AD$2*$M13))</f>
        <v/>
      </c>
      <c r="AE13" s="49">
        <f>IF(OR($M13="",$T13=""),"",$T13+(AE$2*$M13))</f>
        <v/>
      </c>
      <c r="AF13" s="52">
        <f>IF(OR(T13="",I13&lt;T13),"",IFERROR(AVERAGE(T13+M13*{7,8,9,10,11})/IF(G13="",I13,G13)-1,""))</f>
        <v/>
      </c>
      <c r="AG13" s="55">
        <f>IF(OR(T13="",I13&lt;T13),"",IFERROR(AF13/-(R13/IF(G13="",I13,G13)-1),""))</f>
        <v/>
      </c>
      <c r="AH13" s="94" t="n">
        <v>1</v>
      </c>
      <c r="AI13" s="94" t="n">
        <v>133.6615473235171</v>
      </c>
      <c r="AJ13" s="94" t="n">
        <v>1</v>
      </c>
      <c r="AK13" s="94" t="inlineStr">
        <is>
          <t>OTT Up Trend</t>
        </is>
      </c>
      <c r="AL13" s="84" t="inlineStr">
        <is>
          <t>TTM Technologies, Inc.</t>
        </is>
      </c>
      <c r="AM13" t="inlineStr">
        <is>
          <t>Technology</t>
        </is>
      </c>
      <c r="AN13" t="inlineStr">
        <is>
          <t>Electronic Components</t>
        </is>
      </c>
      <c r="AO13" t="n">
        <v>99</v>
      </c>
    </row>
    <row r="14">
      <c r="A14" s="64" t="inlineStr">
        <is>
          <t>VICR</t>
        </is>
      </c>
      <c r="B14" s="65" t="n"/>
      <c r="C14" s="66" t="n"/>
      <c r="D14" s="67" t="n"/>
      <c r="E14" s="68" t="n"/>
      <c r="F14" s="47">
        <f>IF(A14="","",IF(MIN(H14,MAX(J14:K14))=0,"",MIN(H14,MAX(J14:K14))))</f>
        <v/>
      </c>
      <c r="G14" s="74" t="n"/>
      <c r="H14" s="49">
        <f>IF(M14="","",IFERROR(ROUND(AVERAGE(T14+M14*{7,8,9,10,11})/1.21,4),""))</f>
        <v/>
      </c>
      <c r="I14" s="76" t="n">
        <v>149.8800048828125</v>
      </c>
      <c r="J14" s="77" t="n">
        <v>138.6219793649265</v>
      </c>
      <c r="K14" s="74" t="n">
        <v>125.1589996337891</v>
      </c>
      <c r="L14" s="78" t="n">
        <v>64.03820020675658</v>
      </c>
      <c r="M14" s="77" t="n">
        <v>8.615726812628047</v>
      </c>
      <c r="N14" s="53">
        <f>IF(M14="","",IFERROR(M14/I14,""))</f>
        <v/>
      </c>
      <c r="O14" s="50">
        <f>IF(A14="","",IFERROR((IF(G14="",I14,G14)-T14)/M14,""))</f>
        <v/>
      </c>
      <c r="P14" s="50">
        <f>IFERROR((I14/T14-1)/N14,"")</f>
        <v/>
      </c>
      <c r="Q14" s="46">
        <f>IF(OR(T14="",I14&lt;T14),"",IFERROR(R14/IF(G14="",I14,G14)-1,""))</f>
        <v/>
      </c>
      <c r="R14" s="48">
        <f>IF($M14="","",MAX(IF($G14="",$I14,$G14)*(1/1.1),IF($G14="",$I14,$G14)+(R$2*$M14)))</f>
        <v/>
      </c>
      <c r="S14" s="49">
        <f>IF($M14="","",MAX(IF($G14="",$I14,$G14)*(1/1.1),IF($G14="",$I14,$G14)+(S$2*$M14)))</f>
        <v/>
      </c>
      <c r="T14" s="82" t="n">
        <v>105.1890002441406</v>
      </c>
      <c r="U14" s="47">
        <f>IF(OR($M14="",$T14=""),"",$T14+(U$2*$M14))</f>
        <v/>
      </c>
      <c r="V14" s="48">
        <f>IF(OR($M14="",$T14=""),"",$T14+(V$2*$M14))</f>
        <v/>
      </c>
      <c r="W14" s="48">
        <f>IF(OR($M14="",$T14=""),"",$T14+(W$2*$M14))</f>
        <v/>
      </c>
      <c r="X14" s="49">
        <f>IF(OR($M14="",$T14=""),"",$T14+(X$2*$M14))</f>
        <v/>
      </c>
      <c r="Y14" s="47">
        <f>IF(OR($M14="",$T14=""),"",$T14+(Y$2*$M14))</f>
        <v/>
      </c>
      <c r="Z14" s="49">
        <f>IF(OR($M14="",$T14=""),"",$T14+(Z$2*$M14))</f>
        <v/>
      </c>
      <c r="AA14" s="51">
        <f>IF(OR($M14="",$T14=""),"",$T14+(AA$2*$M14))</f>
        <v/>
      </c>
      <c r="AB14" s="48">
        <f>IF(OR($M14="",$T14=""),"",$T14+(AB$2*$M14))</f>
        <v/>
      </c>
      <c r="AC14" s="48">
        <f>IF(OR($M14="",$T14=""),"",$T14+(AC$2*$M14))</f>
        <v/>
      </c>
      <c r="AD14" s="48">
        <f>IF(OR($M14="",$T14=""),"",$T14+(AD$2*$M14))</f>
        <v/>
      </c>
      <c r="AE14" s="49">
        <f>IF(OR($M14="",$T14=""),"",$T14+(AE$2*$M14))</f>
        <v/>
      </c>
      <c r="AF14" s="52">
        <f>IF(OR(T14="",I14&lt;T14),"",IFERROR(AVERAGE(T14+M14*{7,8,9,10,11})/IF(G14="",I14,G14)-1,""))</f>
        <v/>
      </c>
      <c r="AG14" s="55">
        <f>IF(OR(T14="",I14&lt;T14),"",IFERROR(AF14/-(R14/IF(G14="",I14,G14)-1),""))</f>
        <v/>
      </c>
      <c r="AH14" s="94" t="n">
        <v>1</v>
      </c>
      <c r="AI14" s="94" t="n">
        <v>178.9377656130538</v>
      </c>
      <c r="AJ14" s="94" t="n">
        <v>1</v>
      </c>
      <c r="AK14" s="94" t="inlineStr">
        <is>
          <t>OTT Up Trend</t>
        </is>
      </c>
      <c r="AL14" s="84" t="inlineStr">
        <is>
          <t>Vicor Corporation</t>
        </is>
      </c>
      <c r="AM14" t="inlineStr">
        <is>
          <t>Technology</t>
        </is>
      </c>
      <c r="AN14" t="inlineStr">
        <is>
          <t>Electronic Components</t>
        </is>
      </c>
      <c r="AO14" t="n">
        <v>99</v>
      </c>
    </row>
    <row r="15">
      <c r="A15" s="64" t="inlineStr">
        <is>
          <t>KTOS</t>
        </is>
      </c>
      <c r="B15" s="65" t="n"/>
      <c r="C15" s="66" t="n"/>
      <c r="D15" s="67" t="n"/>
      <c r="E15" s="68" t="n"/>
      <c r="F15" s="47">
        <f>IF(A15="","",IF(MIN(H15,MAX(J15:K15))=0,"",MIN(H15,MAX(J15:K15))))</f>
        <v/>
      </c>
      <c r="G15" s="74" t="n"/>
      <c r="H15" s="49">
        <f>IF(M15="","",IFERROR(ROUND(AVERAGE(T15+M15*{7,8,9,10,11})/1.21,4),""))</f>
        <v/>
      </c>
      <c r="I15" s="76" t="n">
        <v>130.7200012207031</v>
      </c>
      <c r="J15" s="77" t="n">
        <v>112.3843043272236</v>
      </c>
      <c r="K15" s="74" t="n">
        <v>94.11700057983398</v>
      </c>
      <c r="L15" s="78" t="n">
        <v>63.69294999122619</v>
      </c>
      <c r="M15" s="77" t="n">
        <v>6.372995180010328</v>
      </c>
      <c r="N15" s="53">
        <f>IF(M15="","",IFERROR(M15/I15,""))</f>
        <v/>
      </c>
      <c r="O15" s="50">
        <f>IF(A15="","",IFERROR((IF(G15="",I15,G15)-T15)/M15,""))</f>
        <v/>
      </c>
      <c r="P15" s="50">
        <f>IFERROR((I15/T15-1)/N15,"")</f>
        <v/>
      </c>
      <c r="Q15" s="46">
        <f>IF(OR(T15="",I15&lt;T15),"",IFERROR(R15/IF(G15="",I15,G15)-1,""))</f>
        <v/>
      </c>
      <c r="R15" s="48">
        <f>IF($M15="","",MAX(IF($G15="",$I15,$G15)*(1/1.1),IF($G15="",$I15,$G15)+(R$2*$M15)))</f>
        <v/>
      </c>
      <c r="S15" s="49">
        <f>IF($M15="","",MAX(IF($G15="",$I15,$G15)*(1/1.1),IF($G15="",$I15,$G15)+(S$2*$M15)))</f>
        <v/>
      </c>
      <c r="T15" s="82" t="n">
        <v>82.18799987792968</v>
      </c>
      <c r="U15" s="47">
        <f>IF(OR($M15="",$T15=""),"",$T15+(U$2*$M15))</f>
        <v/>
      </c>
      <c r="V15" s="48">
        <f>IF(OR($M15="",$T15=""),"",$T15+(V$2*$M15))</f>
        <v/>
      </c>
      <c r="W15" s="48">
        <f>IF(OR($M15="",$T15=""),"",$T15+(W$2*$M15))</f>
        <v/>
      </c>
      <c r="X15" s="49">
        <f>IF(OR($M15="",$T15=""),"",$T15+(X$2*$M15))</f>
        <v/>
      </c>
      <c r="Y15" s="47">
        <f>IF(OR($M15="",$T15=""),"",$T15+(Y$2*$M15))</f>
        <v/>
      </c>
      <c r="Z15" s="49">
        <f>IF(OR($M15="",$T15=""),"",$T15+(Z$2*$M15))</f>
        <v/>
      </c>
      <c r="AA15" s="51">
        <f>IF(OR($M15="",$T15=""),"",$T15+(AA$2*$M15))</f>
        <v/>
      </c>
      <c r="AB15" s="48">
        <f>IF(OR($M15="",$T15=""),"",$T15+(AB$2*$M15))</f>
        <v/>
      </c>
      <c r="AC15" s="48">
        <f>IF(OR($M15="",$T15=""),"",$T15+(AC$2*$M15))</f>
        <v/>
      </c>
      <c r="AD15" s="48">
        <f>IF(OR($M15="",$T15=""),"",$T15+(AD$2*$M15))</f>
        <v/>
      </c>
      <c r="AE15" s="49">
        <f>IF(OR($M15="",$T15=""),"",$T15+(AE$2*$M15))</f>
        <v/>
      </c>
      <c r="AF15" s="52">
        <f>IF(OR(T15="",I15&lt;T15),"",IFERROR(AVERAGE(T15+M15*{7,8,9,10,11})/IF(G15="",I15,G15)-1,""))</f>
        <v/>
      </c>
      <c r="AG15" s="55">
        <f>IF(OR(T15="",I15&lt;T15),"",IFERROR(AF15/-(R15/IF(G15="",I15,G15)-1),""))</f>
        <v/>
      </c>
      <c r="AH15" s="94" t="n">
        <v>1</v>
      </c>
      <c r="AI15" s="94" t="n">
        <v>225.5440348008017</v>
      </c>
      <c r="AJ15" s="94" t="n">
        <v>1</v>
      </c>
      <c r="AK15" s="94" t="inlineStr">
        <is>
          <t>OTT Up Trend</t>
        </is>
      </c>
      <c r="AL15" s="84" t="inlineStr">
        <is>
          <t>Kratos Defense &amp; Security Solut</t>
        </is>
      </c>
      <c r="AM15" t="inlineStr">
        <is>
          <t>Industrials</t>
        </is>
      </c>
      <c r="AN15" t="inlineStr">
        <is>
          <t>Aerospace &amp; Defense</t>
        </is>
      </c>
      <c r="AO15" t="n">
        <v>99</v>
      </c>
    </row>
    <row r="16">
      <c r="A16" s="64" t="inlineStr">
        <is>
          <t>STX</t>
        </is>
      </c>
      <c r="B16" s="65" t="n"/>
      <c r="C16" s="66" t="n"/>
      <c r="D16" s="67" t="n"/>
      <c r="E16" s="68" t="n"/>
      <c r="F16" s="47">
        <f>IF(A16="","",IF(MIN(H16,MAX(J16:K16))=0,"",MIN(H16,MAX(J16:K16))))</f>
        <v/>
      </c>
      <c r="G16" s="74" t="n"/>
      <c r="H16" s="49">
        <f>IF(M16="","",IFERROR(ROUND(AVERAGE(T16+M16*{7,8,9,10,11})/1.21,4),""))</f>
        <v/>
      </c>
      <c r="I16" s="76" t="n">
        <v>326.2300109863281</v>
      </c>
      <c r="J16" s="77" t="n">
        <v>311.2345973301453</v>
      </c>
      <c r="K16" s="74" t="n">
        <v>298.2775009155274</v>
      </c>
      <c r="L16" s="78" t="n">
        <v>186.3584502792359</v>
      </c>
      <c r="M16" s="77" t="n">
        <v>17.8150857690654</v>
      </c>
      <c r="N16" s="53">
        <f>IF(M16="","",IFERROR(M16/I16,""))</f>
        <v/>
      </c>
      <c r="O16" s="50">
        <f>IF(A16="","",IFERROR((IF(G16="",I16,G16)-T16)/M16,""))</f>
        <v/>
      </c>
      <c r="P16" s="50">
        <f>IFERROR((I16/T16-1)/N16,"")</f>
        <v/>
      </c>
      <c r="Q16" s="46">
        <f>IF(OR(T16="",I16&lt;T16),"",IFERROR(R16/IF(G16="",I16,G16)-1,""))</f>
        <v/>
      </c>
      <c r="R16" s="48">
        <f>IF($M16="","",MAX(IF($G16="",$I16,$G16)*(1/1.1),IF($G16="",$I16,$G16)+(R$2*$M16)))</f>
        <v/>
      </c>
      <c r="S16" s="49">
        <f>IF($M16="","",MAX(IF($G16="",$I16,$G16)*(1/1.1),IF($G16="",$I16,$G16)+(S$2*$M16)))</f>
        <v/>
      </c>
      <c r="T16" s="82" t="n">
        <v>283.1174017333984</v>
      </c>
      <c r="U16" s="47">
        <f>IF(OR($M16="",$T16=""),"",$T16+(U$2*$M16))</f>
        <v/>
      </c>
      <c r="V16" s="48">
        <f>IF(OR($M16="",$T16=""),"",$T16+(V$2*$M16))</f>
        <v/>
      </c>
      <c r="W16" s="48">
        <f>IF(OR($M16="",$T16=""),"",$T16+(W$2*$M16))</f>
        <v/>
      </c>
      <c r="X16" s="49">
        <f>IF(OR($M16="",$T16=""),"",$T16+(X$2*$M16))</f>
        <v/>
      </c>
      <c r="Y16" s="47">
        <f>IF(OR($M16="",$T16=""),"",$T16+(Y$2*$M16))</f>
        <v/>
      </c>
      <c r="Z16" s="49">
        <f>IF(OR($M16="",$T16=""),"",$T16+(Z$2*$M16))</f>
        <v/>
      </c>
      <c r="AA16" s="51">
        <f>IF(OR($M16="",$T16=""),"",$T16+(AA$2*$M16))</f>
        <v/>
      </c>
      <c r="AB16" s="48">
        <f>IF(OR($M16="",$T16=""),"",$T16+(AB$2*$M16))</f>
        <v/>
      </c>
      <c r="AC16" s="48">
        <f>IF(OR($M16="",$T16=""),"",$T16+(AC$2*$M16))</f>
        <v/>
      </c>
      <c r="AD16" s="48">
        <f>IF(OR($M16="",$T16=""),"",$T16+(AD$2*$M16))</f>
        <v/>
      </c>
      <c r="AE16" s="49">
        <f>IF(OR($M16="",$T16=""),"",$T16+(AE$2*$M16))</f>
        <v/>
      </c>
      <c r="AF16" s="52">
        <f>IF(OR(T16="",I16&lt;T16),"",IFERROR(AVERAGE(T16+M16*{7,8,9,10,11})/IF(G16="",I16,G16)-1,""))</f>
        <v/>
      </c>
      <c r="AG16" s="55">
        <f>IF(OR(T16="",I16&lt;T16),"",IFERROR(AF16/-(R16/IF(G16="",I16,G16)-1),""))</f>
        <v/>
      </c>
      <c r="AH16" s="94" t="n">
        <v>1</v>
      </c>
      <c r="AI16" s="94" t="n">
        <v>69.58144532551785</v>
      </c>
      <c r="AJ16" s="94" t="n">
        <v>1</v>
      </c>
      <c r="AK16" s="94" t="inlineStr">
        <is>
          <t>OTT Up Trend</t>
        </is>
      </c>
      <c r="AL16" s="84" t="inlineStr">
        <is>
          <t>Seagate Technology Holdings PLC</t>
        </is>
      </c>
      <c r="AM16" t="inlineStr">
        <is>
          <t>Technology</t>
        </is>
      </c>
      <c r="AN16" t="inlineStr">
        <is>
          <t>Computer Hardware</t>
        </is>
      </c>
      <c r="AO16" t="n">
        <v>99</v>
      </c>
    </row>
    <row r="17">
      <c r="A17" s="64" t="inlineStr">
        <is>
          <t>CIEN</t>
        </is>
      </c>
      <c r="B17" s="65" t="n"/>
      <c r="C17" s="66" t="n"/>
      <c r="D17" s="67" t="n"/>
      <c r="E17" s="68" t="n"/>
      <c r="F17" s="47">
        <f>IF(A17="","",IF(MIN(H17,MAX(J17:K17))=0,"",MIN(H17,MAX(J17:K17))))</f>
        <v/>
      </c>
      <c r="G17" s="74" t="n"/>
      <c r="H17" s="49">
        <f>IF(M17="","",IFERROR(ROUND(AVERAGE(T17+M17*{7,8,9,10,11})/1.21,4),""))</f>
        <v/>
      </c>
      <c r="I17" s="76" t="n">
        <v>243.4199981689453</v>
      </c>
      <c r="J17" s="77" t="n">
        <v>240.1422082282724</v>
      </c>
      <c r="K17" s="74" t="n">
        <v>238.1869979858398</v>
      </c>
      <c r="L17" s="78" t="n">
        <v>129.8597995758057</v>
      </c>
      <c r="M17" s="77" t="n">
        <v>14.60519823029568</v>
      </c>
      <c r="N17" s="53">
        <f>IF(M17="","",IFERROR(M17/I17,""))</f>
        <v/>
      </c>
      <c r="O17" s="50">
        <f>IF(A17="","",IFERROR((IF(G17="",I17,G17)-T17)/M17,""))</f>
        <v/>
      </c>
      <c r="P17" s="50">
        <f>IFERROR((I17/T17-1)/N17,"")</f>
        <v/>
      </c>
      <c r="Q17" s="46">
        <f>IF(OR(T17="",I17&lt;T17),"",IFERROR(R17/IF(G17="",I17,G17)-1,""))</f>
        <v/>
      </c>
      <c r="R17" s="48">
        <f>IF($M17="","",MAX(IF($G17="",$I17,$G17)*(1/1.1),IF($G17="",$I17,$G17)+(R$2*$M17)))</f>
        <v/>
      </c>
      <c r="S17" s="49">
        <f>IF($M17="","",MAX(IF($G17="",$I17,$G17)*(1/1.1),IF($G17="",$I17,$G17)+(S$2*$M17)))</f>
        <v/>
      </c>
      <c r="T17" s="82" t="n">
        <v>216.4731991577148</v>
      </c>
      <c r="U17" s="47">
        <f>IF(OR($M17="",$T17=""),"",$T17+(U$2*$M17))</f>
        <v/>
      </c>
      <c r="V17" s="48">
        <f>IF(OR($M17="",$T17=""),"",$T17+(V$2*$M17))</f>
        <v/>
      </c>
      <c r="W17" s="48">
        <f>IF(OR($M17="",$T17=""),"",$T17+(W$2*$M17))</f>
        <v/>
      </c>
      <c r="X17" s="49">
        <f>IF(OR($M17="",$T17=""),"",$T17+(X$2*$M17))</f>
        <v/>
      </c>
      <c r="Y17" s="47">
        <f>IF(OR($M17="",$T17=""),"",$T17+(Y$2*$M17))</f>
        <v/>
      </c>
      <c r="Z17" s="49">
        <f>IF(OR($M17="",$T17=""),"",$T17+(Z$2*$M17))</f>
        <v/>
      </c>
      <c r="AA17" s="51">
        <f>IF(OR($M17="",$T17=""),"",$T17+(AA$2*$M17))</f>
        <v/>
      </c>
      <c r="AB17" s="48">
        <f>IF(OR($M17="",$T17=""),"",$T17+(AB$2*$M17))</f>
        <v/>
      </c>
      <c r="AC17" s="48">
        <f>IF(OR($M17="",$T17=""),"",$T17+(AC$2*$M17))</f>
        <v/>
      </c>
      <c r="AD17" s="48">
        <f>IF(OR($M17="",$T17=""),"",$T17+(AD$2*$M17))</f>
        <v/>
      </c>
      <c r="AE17" s="49">
        <f>IF(OR($M17="",$T17=""),"",$T17+(AE$2*$M17))</f>
        <v/>
      </c>
      <c r="AF17" s="52">
        <f>IF(OR(T17="",I17&lt;T17),"",IFERROR(AVERAGE(T17+M17*{7,8,9,10,11})/IF(G17="",I17,G17)-1,""))</f>
        <v/>
      </c>
      <c r="AG17" s="55">
        <f>IF(OR(T17="",I17&lt;T17),"",IFERROR(AF17/-(R17/IF(G17="",I17,G17)-1),""))</f>
        <v/>
      </c>
      <c r="AH17" s="94" t="n">
        <v>1</v>
      </c>
      <c r="AI17" s="94" t="n">
        <v>58.93975970215338</v>
      </c>
      <c r="AJ17" s="94" t="n">
        <v>0</v>
      </c>
      <c r="AK17" s="94" t="inlineStr">
        <is>
          <t>OTT Up Trend</t>
        </is>
      </c>
      <c r="AL17" s="84" t="inlineStr">
        <is>
          <t>Ciena Corporation</t>
        </is>
      </c>
      <c r="AM17" t="inlineStr">
        <is>
          <t>Technology</t>
        </is>
      </c>
      <c r="AN17" t="inlineStr">
        <is>
          <t>Communication Equipment</t>
        </is>
      </c>
      <c r="AO17" t="n">
        <v>99</v>
      </c>
    </row>
    <row r="18">
      <c r="A18" s="64" t="inlineStr">
        <is>
          <t>VSCO</t>
        </is>
      </c>
      <c r="B18" s="65" t="n"/>
      <c r="C18" s="66" t="n"/>
      <c r="D18" s="67" t="n"/>
      <c r="E18" s="68" t="n"/>
      <c r="F18" s="47">
        <f>IF(A18="","",IF(MIN(H18,MAX(J18:K18))=0,"",MIN(H18,MAX(J18:K18))))</f>
        <v/>
      </c>
      <c r="G18" s="74" t="n"/>
      <c r="H18" s="49">
        <f>IF(M18="","",IFERROR(ROUND(AVERAGE(T18+M18*{7,8,9,10,11})/1.21,4),""))</f>
        <v/>
      </c>
      <c r="I18" s="76" t="n">
        <v>59.86000061035156</v>
      </c>
      <c r="J18" s="77" t="n">
        <v>60.32154260645247</v>
      </c>
      <c r="K18" s="74" t="n">
        <v>57.91450004577636</v>
      </c>
      <c r="L18" s="78" t="n">
        <v>29.18909996986389</v>
      </c>
      <c r="M18" s="77" t="n">
        <v>2.864972609585337</v>
      </c>
      <c r="N18" s="53">
        <f>IF(M18="","",IFERROR(M18/I18,""))</f>
        <v/>
      </c>
      <c r="O18" s="50">
        <f>IF(A18="","",IFERROR((IF(G18="",I18,G18)-T18)/M18,""))</f>
        <v/>
      </c>
      <c r="P18" s="50">
        <f>IFERROR((I18/T18-1)/N18,"")</f>
        <v/>
      </c>
      <c r="Q18" s="46">
        <f>IF(OR(T18="",I18&lt;T18),"",IFERROR(R18/IF(G18="",I18,G18)-1,""))</f>
        <v/>
      </c>
      <c r="R18" s="48">
        <f>IF($M18="","",MAX(IF($G18="",$I18,$G18)*(1/1.1),IF($G18="",$I18,$G18)+(R$2*$M18)))</f>
        <v/>
      </c>
      <c r="S18" s="49">
        <f>IF($M18="","",MAX(IF($G18="",$I18,$G18)*(1/1.1),IF($G18="",$I18,$G18)+(S$2*$M18)))</f>
        <v/>
      </c>
      <c r="T18" s="82" t="n">
        <v>48.34680007934571</v>
      </c>
      <c r="U18" s="47">
        <f>IF(OR($M18="",$T18=""),"",$T18+(U$2*$M18))</f>
        <v/>
      </c>
      <c r="V18" s="48">
        <f>IF(OR($M18="",$T18=""),"",$T18+(V$2*$M18))</f>
        <v/>
      </c>
      <c r="W18" s="48">
        <f>IF(OR($M18="",$T18=""),"",$T18+(W$2*$M18))</f>
        <v/>
      </c>
      <c r="X18" s="49">
        <f>IF(OR($M18="",$T18=""),"",$T18+(X$2*$M18))</f>
        <v/>
      </c>
      <c r="Y18" s="47">
        <f>IF(OR($M18="",$T18=""),"",$T18+(Y$2*$M18))</f>
        <v/>
      </c>
      <c r="Z18" s="49">
        <f>IF(OR($M18="",$T18=""),"",$T18+(Z$2*$M18))</f>
        <v/>
      </c>
      <c r="AA18" s="51">
        <f>IF(OR($M18="",$T18=""),"",$T18+(AA$2*$M18))</f>
        <v/>
      </c>
      <c r="AB18" s="48">
        <f>IF(OR($M18="",$T18=""),"",$T18+(AB$2*$M18))</f>
        <v/>
      </c>
      <c r="AC18" s="48">
        <f>IF(OR($M18="",$T18=""),"",$T18+(AC$2*$M18))</f>
        <v/>
      </c>
      <c r="AD18" s="48">
        <f>IF(OR($M18="",$T18=""),"",$T18+(AD$2*$M18))</f>
        <v/>
      </c>
      <c r="AE18" s="49">
        <f>IF(OR($M18="",$T18=""),"",$T18+(AE$2*$M18))</f>
        <v/>
      </c>
      <c r="AF18" s="52">
        <f>IF(OR(T18="",I18&lt;T18),"",IFERROR(AVERAGE(T18+M18*{7,8,9,10,11})/IF(G18="",I18,G18)-1,""))</f>
        <v/>
      </c>
      <c r="AG18" s="55">
        <f>IF(OR(T18="",I18&lt;T18),"",IFERROR(AF18/-(R18/IF(G18="",I18,G18)-1),""))</f>
        <v/>
      </c>
      <c r="AH18" s="94" t="n">
        <v>1</v>
      </c>
      <c r="AI18" s="94" t="n">
        <v>143.9177553226258</v>
      </c>
      <c r="AJ18" s="94" t="n">
        <v>0</v>
      </c>
      <c r="AK18" s="94" t="inlineStr">
        <is>
          <t>OTT Up Trend</t>
        </is>
      </c>
      <c r="AL18" s="84" t="inlineStr">
        <is>
          <t>Victorias Secret &amp; Co.</t>
        </is>
      </c>
      <c r="AM18" t="inlineStr">
        <is>
          <t>Consumer Cyclical</t>
        </is>
      </c>
      <c r="AN18" t="inlineStr">
        <is>
          <t>Apparel Retail</t>
        </is>
      </c>
      <c r="AO18" t="n">
        <v>99</v>
      </c>
    </row>
    <row r="19">
      <c r="A19" s="64" t="inlineStr">
        <is>
          <t>WBD</t>
        </is>
      </c>
      <c r="B19" s="65" t="n"/>
      <c r="C19" s="66" t="n"/>
      <c r="D19" s="67" t="n"/>
      <c r="E19" s="68" t="n"/>
      <c r="F19" s="47">
        <f>IF(A19="","",IF(MIN(H19,MAX(J19:K19))=0,"",MIN(H19,MAX(J19:K19))))</f>
        <v/>
      </c>
      <c r="G19" s="74" t="n"/>
      <c r="H19" s="49">
        <f>IF(M19="","",IFERROR(ROUND(AVERAGE(T19+M19*{7,8,9,10,11})/1.21,4),""))</f>
        <v/>
      </c>
      <c r="I19" s="76" t="n">
        <v>28.57999992370605</v>
      </c>
      <c r="J19" s="77" t="n">
        <v>28.59483823311921</v>
      </c>
      <c r="K19" s="74" t="n">
        <v>28.60649995803833</v>
      </c>
      <c r="L19" s="78" t="n">
        <v>16.24990004301071</v>
      </c>
      <c r="M19" s="77" t="n">
        <v>0.6428697651649139</v>
      </c>
      <c r="N19" s="53">
        <f>IF(M19="","",IFERROR(M19/I19,""))</f>
        <v/>
      </c>
      <c r="O19" s="50">
        <f>IF(A19="","",IFERROR((IF(G19="",I19,G19)-T19)/M19,""))</f>
        <v/>
      </c>
      <c r="P19" s="50">
        <f>IFERROR((I19/T19-1)/N19,"")</f>
        <v/>
      </c>
      <c r="Q19" s="46">
        <f>IF(OR(T19="",I19&lt;T19),"",IFERROR(R19/IF(G19="",I19,G19)-1,""))</f>
        <v/>
      </c>
      <c r="R19" s="48">
        <f>IF($M19="","",MAX(IF($G19="",$I19,$G19)*(1/1.1),IF($G19="",$I19,$G19)+(R$2*$M19)))</f>
        <v/>
      </c>
      <c r="S19" s="49">
        <f>IF($M19="","",MAX(IF($G19="",$I19,$G19)*(1/1.1),IF($G19="",$I19,$G19)+(S$2*$M19)))</f>
        <v/>
      </c>
      <c r="T19" s="82" t="n">
        <v>26.3507999420166</v>
      </c>
      <c r="U19" s="47">
        <f>IF(OR($M19="",$T19=""),"",$T19+(U$2*$M19))</f>
        <v/>
      </c>
      <c r="V19" s="48">
        <f>IF(OR($M19="",$T19=""),"",$T19+(V$2*$M19))</f>
        <v/>
      </c>
      <c r="W19" s="48">
        <f>IF(OR($M19="",$T19=""),"",$T19+(W$2*$M19))</f>
        <v/>
      </c>
      <c r="X19" s="49">
        <f>IF(OR($M19="",$T19=""),"",$T19+(X$2*$M19))</f>
        <v/>
      </c>
      <c r="Y19" s="47">
        <f>IF(OR($M19="",$T19=""),"",$T19+(Y$2*$M19))</f>
        <v/>
      </c>
      <c r="Z19" s="49">
        <f>IF(OR($M19="",$T19=""),"",$T19+(Z$2*$M19))</f>
        <v/>
      </c>
      <c r="AA19" s="51">
        <f>IF(OR($M19="",$T19=""),"",$T19+(AA$2*$M19))</f>
        <v/>
      </c>
      <c r="AB19" s="48">
        <f>IF(OR($M19="",$T19=""),"",$T19+(AB$2*$M19))</f>
        <v/>
      </c>
      <c r="AC19" s="48">
        <f>IF(OR($M19="",$T19=""),"",$T19+(AC$2*$M19))</f>
        <v/>
      </c>
      <c r="AD19" s="48">
        <f>IF(OR($M19="",$T19=""),"",$T19+(AD$2*$M19))</f>
        <v/>
      </c>
      <c r="AE19" s="49">
        <f>IF(OR($M19="",$T19=""),"",$T19+(AE$2*$M19))</f>
        <v/>
      </c>
      <c r="AF19" s="52">
        <f>IF(OR(T19="",I19&lt;T19),"",IFERROR(AVERAGE(T19+M19*{7,8,9,10,11})/IF(G19="",I19,G19)-1,""))</f>
        <v/>
      </c>
      <c r="AG19" s="55">
        <f>IF(OR(T19="",I19&lt;T19),"",IFERROR(AF19/-(R19/IF(G19="",I19,G19)-1),""))</f>
        <v/>
      </c>
      <c r="AH19" s="94" t="n">
        <v>1</v>
      </c>
      <c r="AI19" s="94" t="n">
        <v>80.67237933853851</v>
      </c>
      <c r="AJ19" s="94" t="n">
        <v>0</v>
      </c>
      <c r="AK19" s="94" t="inlineStr">
        <is>
          <t>OTT Up Trend</t>
        </is>
      </c>
      <c r="AL19" s="84" t="inlineStr">
        <is>
          <t>Warner Bros. Discovery, Inc. -</t>
        </is>
      </c>
      <c r="AM19" t="inlineStr">
        <is>
          <t>Communication Services</t>
        </is>
      </c>
      <c r="AN19" t="inlineStr">
        <is>
          <t>Entertainment</t>
        </is>
      </c>
      <c r="AO19" t="n">
        <v>99</v>
      </c>
    </row>
    <row r="20">
      <c r="A20" s="64" t="inlineStr">
        <is>
          <t>LRCX</t>
        </is>
      </c>
      <c r="B20" s="65" t="n"/>
      <c r="C20" s="66" t="n"/>
      <c r="D20" s="67" t="n"/>
      <c r="E20" s="68" t="n"/>
      <c r="F20" s="47">
        <f>IF(A20="","",IF(MIN(H20,MAX(J20:K20))=0,"",MIN(H20,MAX(J20:K20))))</f>
        <v/>
      </c>
      <c r="G20" s="74" t="n"/>
      <c r="H20" s="49">
        <f>IF(M20="","",IFERROR(ROUND(AVERAGE(T20+M20*{7,8,9,10,11})/1.21,4),""))</f>
        <v/>
      </c>
      <c r="I20" s="76" t="n">
        <v>222.9600067138672</v>
      </c>
      <c r="J20" s="77" t="n">
        <v>208.9978544778061</v>
      </c>
      <c r="K20" s="74" t="n">
        <v>192.8400001525879</v>
      </c>
      <c r="L20" s="78" t="n">
        <v>119.3420997238159</v>
      </c>
      <c r="M20" s="77" t="n">
        <v>9.051829772157603</v>
      </c>
      <c r="N20" s="53">
        <f>IF(M20="","",IFERROR(M20/I20,""))</f>
        <v/>
      </c>
      <c r="O20" s="50">
        <f>IF(A20="","",IFERROR((IF(G20="",I20,G20)-T20)/M20,""))</f>
        <v/>
      </c>
      <c r="P20" s="50">
        <f>IFERROR((I20/T20-1)/N20,"")</f>
        <v/>
      </c>
      <c r="Q20" s="46">
        <f>IF(OR(T20="",I20&lt;T20),"",IFERROR(R20/IF(G20="",I20,G20)-1,""))</f>
        <v/>
      </c>
      <c r="R20" s="48">
        <f>IF($M20="","",MAX(IF($G20="",$I20,$G20)*(1/1.1),IF($G20="",$I20,$G20)+(R$2*$M20)))</f>
        <v/>
      </c>
      <c r="S20" s="49">
        <f>IF($M20="","",MAX(IF($G20="",$I20,$G20)*(1/1.1),IF($G20="",$I20,$G20)+(S$2*$M20)))</f>
        <v/>
      </c>
      <c r="T20" s="82" t="n">
        <v>171.2845999145508</v>
      </c>
      <c r="U20" s="47">
        <f>IF(OR($M20="",$T20=""),"",$T20+(U$2*$M20))</f>
        <v/>
      </c>
      <c r="V20" s="48">
        <f>IF(OR($M20="",$T20=""),"",$T20+(V$2*$M20))</f>
        <v/>
      </c>
      <c r="W20" s="48">
        <f>IF(OR($M20="",$T20=""),"",$T20+(W$2*$M20))</f>
        <v/>
      </c>
      <c r="X20" s="49">
        <f>IF(OR($M20="",$T20=""),"",$T20+(X$2*$M20))</f>
        <v/>
      </c>
      <c r="Y20" s="47">
        <f>IF(OR($M20="",$T20=""),"",$T20+(Y$2*$M20))</f>
        <v/>
      </c>
      <c r="Z20" s="49">
        <f>IF(OR($M20="",$T20=""),"",$T20+(Z$2*$M20))</f>
        <v/>
      </c>
      <c r="AA20" s="51">
        <f>IF(OR($M20="",$T20=""),"",$T20+(AA$2*$M20))</f>
        <v/>
      </c>
      <c r="AB20" s="48">
        <f>IF(OR($M20="",$T20=""),"",$T20+(AB$2*$M20))</f>
        <v/>
      </c>
      <c r="AC20" s="48">
        <f>IF(OR($M20="",$T20=""),"",$T20+(AC$2*$M20))</f>
        <v/>
      </c>
      <c r="AD20" s="48">
        <f>IF(OR($M20="",$T20=""),"",$T20+(AD$2*$M20))</f>
        <v/>
      </c>
      <c r="AE20" s="49">
        <f>IF(OR($M20="",$T20=""),"",$T20+(AE$2*$M20))</f>
        <v/>
      </c>
      <c r="AF20" s="52">
        <f>IF(OR(T20="",I20&lt;T20),"",IFERROR(AVERAGE(T20+M20*{7,8,9,10,11})/IF(G20="",I20,G20)-1,""))</f>
        <v/>
      </c>
      <c r="AG20" s="55">
        <f>IF(OR(T20="",I20&lt;T20),"",IFERROR(AF20/-(R20/IF(G20="",I20,G20)-1),""))</f>
        <v/>
      </c>
      <c r="AH20" s="94" t="n">
        <v>1</v>
      </c>
      <c r="AI20" s="94" t="n">
        <v>185.0033142455875</v>
      </c>
      <c r="AJ20" s="94" t="n">
        <v>1</v>
      </c>
      <c r="AK20" s="94" t="inlineStr">
        <is>
          <t>OTT Up Trend</t>
        </is>
      </c>
      <c r="AL20" s="84" t="inlineStr">
        <is>
          <t>Lam Research Corporation</t>
        </is>
      </c>
      <c r="AM20" t="inlineStr">
        <is>
          <t>Technology</t>
        </is>
      </c>
      <c r="AN20" t="inlineStr">
        <is>
          <t>Semiconductor Equipment &amp; Materials</t>
        </is>
      </c>
      <c r="AO20" t="n">
        <v>99</v>
      </c>
    </row>
    <row r="21">
      <c r="A21" s="64" t="inlineStr">
        <is>
          <t>INDV</t>
        </is>
      </c>
      <c r="B21" s="65" t="n"/>
      <c r="C21" s="66" t="n"/>
      <c r="D21" s="67" t="n"/>
      <c r="E21" s="68" t="n"/>
      <c r="F21" s="47">
        <f>IF(A21="","",IF(MIN(H21,MAX(J21:K21))=0,"",MIN(H21,MAX(J21:K21))))</f>
        <v/>
      </c>
      <c r="G21" s="74" t="n"/>
      <c r="H21" s="49">
        <f>IF(M21="","",IFERROR(ROUND(AVERAGE(T21+M21*{7,8,9,10,11})/1.21,4),""))</f>
        <v/>
      </c>
      <c r="I21" s="76" t="n">
        <v>32.54000091552734</v>
      </c>
      <c r="J21" s="77" t="n">
        <v>34.22943966847674</v>
      </c>
      <c r="K21" s="74" t="n">
        <v>35.32524967193604</v>
      </c>
      <c r="L21" s="78" t="n">
        <v>21.9438498878479</v>
      </c>
      <c r="M21" s="77" t="n">
        <v>1.149260677967627</v>
      </c>
      <c r="N21" s="53">
        <f>IF(M21="","",IFERROR(M21/I21,""))</f>
        <v/>
      </c>
      <c r="O21" s="50">
        <f>IF(A21="","",IFERROR((IF(G21="",I21,G21)-T21)/M21,""))</f>
        <v/>
      </c>
      <c r="P21" s="50">
        <f>IFERROR((I21/T21-1)/N21,"")</f>
        <v/>
      </c>
      <c r="Q21" s="46">
        <f>IF(OR(T21="",I21&lt;T21),"",IFERROR(R21/IF(G21="",I21,G21)-1,""))</f>
        <v/>
      </c>
      <c r="R21" s="48">
        <f>IF($M21="","",MAX(IF($G21="",$I21,$G21)*(1/1.1),IF($G21="",$I21,$G21)+(R$2*$M21)))</f>
        <v/>
      </c>
      <c r="S21" s="49">
        <f>IF($M21="","",MAX(IF($G21="",$I21,$G21)*(1/1.1),IF($G21="",$I21,$G21)+(S$2*$M21)))</f>
        <v/>
      </c>
      <c r="T21" s="82" t="n">
        <v>34.10709968566894</v>
      </c>
      <c r="U21" s="47">
        <f>IF(OR($M21="",$T21=""),"",$T21+(U$2*$M21))</f>
        <v/>
      </c>
      <c r="V21" s="48">
        <f>IF(OR($M21="",$T21=""),"",$T21+(V$2*$M21))</f>
        <v/>
      </c>
      <c r="W21" s="48">
        <f>IF(OR($M21="",$T21=""),"",$T21+(W$2*$M21))</f>
        <v/>
      </c>
      <c r="X21" s="49">
        <f>IF(OR($M21="",$T21=""),"",$T21+(X$2*$M21))</f>
        <v/>
      </c>
      <c r="Y21" s="47">
        <f>IF(OR($M21="",$T21=""),"",$T21+(Y$2*$M21))</f>
        <v/>
      </c>
      <c r="Z21" s="49">
        <f>IF(OR($M21="",$T21=""),"",$T21+(Z$2*$M21))</f>
        <v/>
      </c>
      <c r="AA21" s="51">
        <f>IF(OR($M21="",$T21=""),"",$T21+(AA$2*$M21))</f>
        <v/>
      </c>
      <c r="AB21" s="48">
        <f>IF(OR($M21="",$T21=""),"",$T21+(AB$2*$M21))</f>
        <v/>
      </c>
      <c r="AC21" s="48">
        <f>IF(OR($M21="",$T21=""),"",$T21+(AC$2*$M21))</f>
        <v/>
      </c>
      <c r="AD21" s="48">
        <f>IF(OR($M21="",$T21=""),"",$T21+(AD$2*$M21))</f>
        <v/>
      </c>
      <c r="AE21" s="49">
        <f>IF(OR($M21="",$T21=""),"",$T21+(AE$2*$M21))</f>
        <v/>
      </c>
      <c r="AF21" s="52">
        <f>IF(OR(T21="",I21&lt;T21),"",IFERROR(AVERAGE(T21+M21*{7,8,9,10,11})/IF(G21="",I21,G21)-1,""))</f>
        <v/>
      </c>
      <c r="AG21" s="55">
        <f>IF(OR(T21="",I21&lt;T21),"",IFERROR(AF21/-(R21/IF(G21="",I21,G21)-1),""))</f>
        <v/>
      </c>
      <c r="AH21" s="94" t="n">
        <v>-1</v>
      </c>
      <c r="AI21" s="94" t="n">
        <v>-18.09476668308365</v>
      </c>
      <c r="AJ21" s="94" t="n">
        <v>0</v>
      </c>
      <c r="AK21" s="94" t="inlineStr">
        <is>
          <t>None</t>
        </is>
      </c>
      <c r="AL21" s="84" t="inlineStr">
        <is>
          <t>Indivior PLC</t>
        </is>
      </c>
      <c r="AM21" t="inlineStr">
        <is>
          <t>Healthcare</t>
        </is>
      </c>
      <c r="AN21" t="inlineStr">
        <is>
          <t>Drug Manufacturers - Specialty &amp; Generic</t>
        </is>
      </c>
      <c r="AO21" t="n">
        <v>98</v>
      </c>
    </row>
    <row r="22">
      <c r="A22" s="64" t="inlineStr">
        <is>
          <t>FTRE</t>
        </is>
      </c>
      <c r="B22" s="65" t="n"/>
      <c r="C22" s="66" t="n"/>
      <c r="D22" s="67" t="n"/>
      <c r="E22" s="68" t="n"/>
      <c r="F22" s="47">
        <f>IF(A22="","",IF(MIN(H22,MAX(J22:K22))=0,"",MIN(H22,MAX(J22:K22))))</f>
        <v/>
      </c>
      <c r="G22" s="74" t="n"/>
      <c r="H22" s="49">
        <f>IF(M22="","",IFERROR(ROUND(AVERAGE(T22+M22*{7,8,9,10,11})/1.21,4),""))</f>
        <v/>
      </c>
      <c r="I22" s="76" t="n">
        <v>16.5</v>
      </c>
      <c r="J22" s="77" t="n">
        <v>16.95822432391971</v>
      </c>
      <c r="K22" s="74" t="n">
        <v>17.26100010871887</v>
      </c>
      <c r="L22" s="78" t="n">
        <v>8.976050009727478</v>
      </c>
      <c r="M22" s="77" t="n">
        <v>1.109991558058579</v>
      </c>
      <c r="N22" s="53">
        <f>IF(M22="","",IFERROR(M22/I22,""))</f>
        <v/>
      </c>
      <c r="O22" s="50">
        <f>IF(A22="","",IFERROR((IF(G22="",I22,G22)-T22)/M22,""))</f>
        <v/>
      </c>
      <c r="P22" s="50">
        <f>IFERROR((I22/T22-1)/N22,"")</f>
        <v/>
      </c>
      <c r="Q22" s="46">
        <f>IF(OR(T22="",I22&lt;T22),"",IFERROR(R22/IF(G22="",I22,G22)-1,""))</f>
        <v/>
      </c>
      <c r="R22" s="48">
        <f>IF($M22="","",MAX(IF($G22="",$I22,$G22)*(1/1.1),IF($G22="",$I22,$G22)+(R$2*$M22)))</f>
        <v/>
      </c>
      <c r="S22" s="49">
        <f>IF($M22="","",MAX(IF($G22="",$I22,$G22)*(1/1.1),IF($G22="",$I22,$G22)+(S$2*$M22)))</f>
        <v/>
      </c>
      <c r="T22" s="82" t="n">
        <v>14.55500003814697</v>
      </c>
      <c r="U22" s="47">
        <f>IF(OR($M22="",$T22=""),"",$T22+(U$2*$M22))</f>
        <v/>
      </c>
      <c r="V22" s="48">
        <f>IF(OR($M22="",$T22=""),"",$T22+(V$2*$M22))</f>
        <v/>
      </c>
      <c r="W22" s="48">
        <f>IF(OR($M22="",$T22=""),"",$T22+(W$2*$M22))</f>
        <v/>
      </c>
      <c r="X22" s="49">
        <f>IF(OR($M22="",$T22=""),"",$T22+(X$2*$M22))</f>
        <v/>
      </c>
      <c r="Y22" s="47">
        <f>IF(OR($M22="",$T22=""),"",$T22+(Y$2*$M22))</f>
        <v/>
      </c>
      <c r="Z22" s="49">
        <f>IF(OR($M22="",$T22=""),"",$T22+(Z$2*$M22))</f>
        <v/>
      </c>
      <c r="AA22" s="51">
        <f>IF(OR($M22="",$T22=""),"",$T22+(AA$2*$M22))</f>
        <v/>
      </c>
      <c r="AB22" s="48">
        <f>IF(OR($M22="",$T22=""),"",$T22+(AB$2*$M22))</f>
        <v/>
      </c>
      <c r="AC22" s="48">
        <f>IF(OR($M22="",$T22=""),"",$T22+(AC$2*$M22))</f>
        <v/>
      </c>
      <c r="AD22" s="48">
        <f>IF(OR($M22="",$T22=""),"",$T22+(AD$2*$M22))</f>
        <v/>
      </c>
      <c r="AE22" s="49">
        <f>IF(OR($M22="",$T22=""),"",$T22+(AE$2*$M22))</f>
        <v/>
      </c>
      <c r="AF22" s="52">
        <f>IF(OR(T22="",I22&lt;T22),"",IFERROR(AVERAGE(T22+M22*{7,8,9,10,11})/IF(G22="",I22,G22)-1,""))</f>
        <v/>
      </c>
      <c r="AG22" s="55">
        <f>IF(OR(T22="",I22&lt;T22),"",IFERROR(AF22/-(R22/IF(G22="",I22,G22)-1),""))</f>
        <v/>
      </c>
      <c r="AH22" s="94" t="n">
        <v>1</v>
      </c>
      <c r="AI22" s="94" t="n">
        <v>55.31469565384712</v>
      </c>
      <c r="AJ22" s="94" t="n">
        <v>0</v>
      </c>
      <c r="AK22" s="94" t="inlineStr">
        <is>
          <t>None</t>
        </is>
      </c>
      <c r="AL22" s="84" t="inlineStr">
        <is>
          <t>Fortrea Holdings Inc.</t>
        </is>
      </c>
      <c r="AM22" t="inlineStr">
        <is>
          <t>Healthcare</t>
        </is>
      </c>
      <c r="AN22" t="inlineStr">
        <is>
          <t>Biotechnology</t>
        </is>
      </c>
      <c r="AO22" t="n">
        <v>98</v>
      </c>
    </row>
    <row r="23">
      <c r="A23" s="64" t="inlineStr">
        <is>
          <t>FORM</t>
        </is>
      </c>
      <c r="B23" s="65" t="n"/>
      <c r="C23" s="66" t="n"/>
      <c r="D23" s="67" t="n"/>
      <c r="E23" s="68" t="n"/>
      <c r="F23" s="47">
        <f>IF(A23="","",IF(MIN(H23,MAX(J23:K23))=0,"",MIN(H23,MAX(J23:K23))))</f>
        <v/>
      </c>
      <c r="G23" s="74" t="n"/>
      <c r="H23" s="49">
        <f>IF(M23="","",IFERROR(ROUND(AVERAGE(T23+M23*{7,8,9,10,11})/1.21,4),""))</f>
        <v/>
      </c>
      <c r="I23" s="76" t="n">
        <v>78.30999755859375</v>
      </c>
      <c r="J23" s="77" t="n">
        <v>70.19378454258961</v>
      </c>
      <c r="K23" s="74" t="n">
        <v>63.38049945831299</v>
      </c>
      <c r="L23" s="78" t="n">
        <v>39.46484993934632</v>
      </c>
      <c r="M23" s="77" t="n">
        <v>3.173282344229127</v>
      </c>
      <c r="N23" s="53">
        <f>IF(M23="","",IFERROR(M23/I23,""))</f>
        <v/>
      </c>
      <c r="O23" s="50">
        <f>IF(A23="","",IFERROR((IF(G23="",I23,G23)-T23)/M23,""))</f>
        <v/>
      </c>
      <c r="P23" s="50">
        <f>IFERROR((I23/T23-1)/N23,"")</f>
        <v/>
      </c>
      <c r="Q23" s="46">
        <f>IF(OR(T23="",I23&lt;T23),"",IFERROR(R23/IF(G23="",I23,G23)-1,""))</f>
        <v/>
      </c>
      <c r="R23" s="48">
        <f>IF($M23="","",MAX(IF($G23="",$I23,$G23)*(1/1.1),IF($G23="",$I23,$G23)+(R$2*$M23)))</f>
        <v/>
      </c>
      <c r="S23" s="49">
        <f>IF($M23="","",MAX(IF($G23="",$I23,$G23)*(1/1.1),IF($G23="",$I23,$G23)+(S$2*$M23)))</f>
        <v/>
      </c>
      <c r="T23" s="82" t="n">
        <v>57.71299980163574</v>
      </c>
      <c r="U23" s="47">
        <f>IF(OR($M23="",$T23=""),"",$T23+(U$2*$M23))</f>
        <v/>
      </c>
      <c r="V23" s="48">
        <f>IF(OR($M23="",$T23=""),"",$T23+(V$2*$M23))</f>
        <v/>
      </c>
      <c r="W23" s="48">
        <f>IF(OR($M23="",$T23=""),"",$T23+(W$2*$M23))</f>
        <v/>
      </c>
      <c r="X23" s="49">
        <f>IF(OR($M23="",$T23=""),"",$T23+(X$2*$M23))</f>
        <v/>
      </c>
      <c r="Y23" s="47">
        <f>IF(OR($M23="",$T23=""),"",$T23+(Y$2*$M23))</f>
        <v/>
      </c>
      <c r="Z23" s="49">
        <f>IF(OR($M23="",$T23=""),"",$T23+(Z$2*$M23))</f>
        <v/>
      </c>
      <c r="AA23" s="51">
        <f>IF(OR($M23="",$T23=""),"",$T23+(AA$2*$M23))</f>
        <v/>
      </c>
      <c r="AB23" s="48">
        <f>IF(OR($M23="",$T23=""),"",$T23+(AB$2*$M23))</f>
        <v/>
      </c>
      <c r="AC23" s="48">
        <f>IF(OR($M23="",$T23=""),"",$T23+(AC$2*$M23))</f>
        <v/>
      </c>
      <c r="AD23" s="48">
        <f>IF(OR($M23="",$T23=""),"",$T23+(AD$2*$M23))</f>
        <v/>
      </c>
      <c r="AE23" s="49">
        <f>IF(OR($M23="",$T23=""),"",$T23+(AE$2*$M23))</f>
        <v/>
      </c>
      <c r="AF23" s="52">
        <f>IF(OR(T23="",I23&lt;T23),"",IFERROR(AVERAGE(T23+M23*{7,8,9,10,11})/IF(G23="",I23,G23)-1,""))</f>
        <v/>
      </c>
      <c r="AG23" s="55">
        <f>IF(OR(T23="",I23&lt;T23),"",IFERROR(AF23/-(R23/IF(G23="",I23,G23)-1),""))</f>
        <v/>
      </c>
      <c r="AH23" s="94" t="n">
        <v>1</v>
      </c>
      <c r="AI23" s="94" t="n">
        <v>185.6970744661368</v>
      </c>
      <c r="AJ23" s="94" t="n">
        <v>1</v>
      </c>
      <c r="AK23" s="94" t="inlineStr">
        <is>
          <t>OTT Up Trend</t>
        </is>
      </c>
      <c r="AL23" s="84" t="inlineStr">
        <is>
          <t>FormFactor, Inc.</t>
        </is>
      </c>
      <c r="AM23" t="inlineStr">
        <is>
          <t>Technology</t>
        </is>
      </c>
      <c r="AN23" t="inlineStr">
        <is>
          <t>Semiconductor Equipment &amp; Materials</t>
        </is>
      </c>
      <c r="AO23" t="n">
        <v>98</v>
      </c>
    </row>
    <row r="24">
      <c r="A24" s="64" t="inlineStr">
        <is>
          <t>COHR</t>
        </is>
      </c>
      <c r="B24" s="65" t="n"/>
      <c r="C24" s="66" t="n"/>
      <c r="D24" s="67" t="n"/>
      <c r="E24" s="68" t="n"/>
      <c r="F24" s="47">
        <f>IF(A24="","",IF(MIN(H24,MAX(J24:K24))=0,"",MIN(H24,MAX(J24:K24))))</f>
        <v/>
      </c>
      <c r="G24" s="74" t="n"/>
      <c r="H24" s="49">
        <f>IF(M24="","",IFERROR(ROUND(AVERAGE(T24+M24*{7,8,9,10,11})/1.21,4),""))</f>
        <v/>
      </c>
      <c r="I24" s="76" t="n">
        <v>191.0399932861328</v>
      </c>
      <c r="J24" s="77" t="n">
        <v>188.0512284088315</v>
      </c>
      <c r="K24" s="74" t="n">
        <v>187.5914993286133</v>
      </c>
      <c r="L24" s="78" t="n">
        <v>112.0791997528076</v>
      </c>
      <c r="M24" s="77" t="n">
        <v>12.83510070788208</v>
      </c>
      <c r="N24" s="53">
        <f>IF(M24="","",IFERROR(M24/I24,""))</f>
        <v/>
      </c>
      <c r="O24" s="50">
        <f>IF(A24="","",IFERROR((IF(G24="",I24,G24)-T24)/M24,""))</f>
        <v/>
      </c>
      <c r="P24" s="50">
        <f>IFERROR((I24/T24-1)/N24,"")</f>
        <v/>
      </c>
      <c r="Q24" s="46">
        <f>IF(OR(T24="",I24&lt;T24),"",IFERROR(R24/IF(G24="",I24,G24)-1,""))</f>
        <v/>
      </c>
      <c r="R24" s="48">
        <f>IF($M24="","",MAX(IF($G24="",$I24,$G24)*(1/1.1),IF($G24="",$I24,$G24)+(R$2*$M24)))</f>
        <v/>
      </c>
      <c r="S24" s="49">
        <f>IF($M24="","",MAX(IF($G24="",$I24,$G24)*(1/1.1),IF($G24="",$I24,$G24)+(S$2*$M24)))</f>
        <v/>
      </c>
      <c r="T24" s="82" t="n">
        <v>172.2125994873047</v>
      </c>
      <c r="U24" s="47">
        <f>IF(OR($M24="",$T24=""),"",$T24+(U$2*$M24))</f>
        <v/>
      </c>
      <c r="V24" s="48">
        <f>IF(OR($M24="",$T24=""),"",$T24+(V$2*$M24))</f>
        <v/>
      </c>
      <c r="W24" s="48">
        <f>IF(OR($M24="",$T24=""),"",$T24+(W$2*$M24))</f>
        <v/>
      </c>
      <c r="X24" s="49">
        <f>IF(OR($M24="",$T24=""),"",$T24+(X$2*$M24))</f>
        <v/>
      </c>
      <c r="Y24" s="47">
        <f>IF(OR($M24="",$T24=""),"",$T24+(Y$2*$M24))</f>
        <v/>
      </c>
      <c r="Z24" s="49">
        <f>IF(OR($M24="",$T24=""),"",$T24+(Z$2*$M24))</f>
        <v/>
      </c>
      <c r="AA24" s="51">
        <f>IF(OR($M24="",$T24=""),"",$T24+(AA$2*$M24))</f>
        <v/>
      </c>
      <c r="AB24" s="48">
        <f>IF(OR($M24="",$T24=""),"",$T24+(AB$2*$M24))</f>
        <v/>
      </c>
      <c r="AC24" s="48">
        <f>IF(OR($M24="",$T24=""),"",$T24+(AC$2*$M24))</f>
        <v/>
      </c>
      <c r="AD24" s="48">
        <f>IF(OR($M24="",$T24=""),"",$T24+(AD$2*$M24))</f>
        <v/>
      </c>
      <c r="AE24" s="49">
        <f>IF(OR($M24="",$T24=""),"",$T24+(AE$2*$M24))</f>
        <v/>
      </c>
      <c r="AF24" s="52">
        <f>IF(OR(T24="",I24&lt;T24),"",IFERROR(AVERAGE(T24+M24*{7,8,9,10,11})/IF(G24="",I24,G24)-1,""))</f>
        <v/>
      </c>
      <c r="AG24" s="55">
        <f>IF(OR(T24="",I24&lt;T24),"",IFERROR(AF24/-(R24/IF(G24="",I24,G24)-1),""))</f>
        <v/>
      </c>
      <c r="AH24" s="94" t="n">
        <v>1</v>
      </c>
      <c r="AI24" s="94" t="n">
        <v>39.28785386861504</v>
      </c>
      <c r="AJ24" s="94" t="n">
        <v>0</v>
      </c>
      <c r="AK24" s="94" t="inlineStr">
        <is>
          <t>OTT Up Trend</t>
        </is>
      </c>
      <c r="AL24" s="84" t="inlineStr">
        <is>
          <t>Coherent Corp.</t>
        </is>
      </c>
      <c r="AM24" t="inlineStr">
        <is>
          <t>Technology</t>
        </is>
      </c>
      <c r="AN24" t="inlineStr">
        <is>
          <t>Scientific &amp; Technical Instruments</t>
        </is>
      </c>
      <c r="AO24" t="n">
        <v>98</v>
      </c>
    </row>
    <row r="25">
      <c r="A25" s="64" t="inlineStr">
        <is>
          <t>TER</t>
        </is>
      </c>
      <c r="B25" s="65" t="n"/>
      <c r="C25" s="66" t="n"/>
      <c r="D25" s="67" t="n"/>
      <c r="E25" s="68" t="n"/>
      <c r="F25" s="47">
        <f>IF(A25="","",IF(MIN(H25,MAX(J25:K25))=0,"",MIN(H25,MAX(J25:K25))))</f>
        <v/>
      </c>
      <c r="G25" s="74" t="n"/>
      <c r="H25" s="49">
        <f>IF(M25="","",IFERROR(ROUND(AVERAGE(T25+M25*{7,8,9,10,11})/1.21,4),""))</f>
        <v/>
      </c>
      <c r="I25" s="76" t="n">
        <v>228.1499938964844</v>
      </c>
      <c r="J25" s="77" t="n">
        <v>222.2130108775139</v>
      </c>
      <c r="K25" s="74" t="n">
        <v>210.8994979858398</v>
      </c>
      <c r="L25" s="78" t="n">
        <v>126.4769998550415</v>
      </c>
      <c r="M25" s="77" t="n">
        <v>7.768611284127823</v>
      </c>
      <c r="N25" s="53">
        <f>IF(M25="","",IFERROR(M25/I25,""))</f>
        <v/>
      </c>
      <c r="O25" s="50">
        <f>IF(A25="","",IFERROR((IF(G25="",I25,G25)-T25)/M25,""))</f>
        <v/>
      </c>
      <c r="P25" s="50">
        <f>IFERROR((I25/T25-1)/N25,"")</f>
        <v/>
      </c>
      <c r="Q25" s="46">
        <f>IF(OR(T25="",I25&lt;T25),"",IFERROR(R25/IF(G25="",I25,G25)-1,""))</f>
        <v/>
      </c>
      <c r="R25" s="48">
        <f>IF($M25="","",MAX(IF($G25="",$I25,$G25)*(1/1.1),IF($G25="",$I25,$G25)+(R$2*$M25)))</f>
        <v/>
      </c>
      <c r="S25" s="49">
        <f>IF($M25="","",MAX(IF($G25="",$I25,$G25)*(1/1.1),IF($G25="",$I25,$G25)+(S$2*$M25)))</f>
        <v/>
      </c>
      <c r="T25" s="82" t="n">
        <v>194.0537994384766</v>
      </c>
      <c r="U25" s="47">
        <f>IF(OR($M25="",$T25=""),"",$T25+(U$2*$M25))</f>
        <v/>
      </c>
      <c r="V25" s="48">
        <f>IF(OR($M25="",$T25=""),"",$T25+(V$2*$M25))</f>
        <v/>
      </c>
      <c r="W25" s="48">
        <f>IF(OR($M25="",$T25=""),"",$T25+(W$2*$M25))</f>
        <v/>
      </c>
      <c r="X25" s="49">
        <f>IF(OR($M25="",$T25=""),"",$T25+(X$2*$M25))</f>
        <v/>
      </c>
      <c r="Y25" s="47">
        <f>IF(OR($M25="",$T25=""),"",$T25+(Y$2*$M25))</f>
        <v/>
      </c>
      <c r="Z25" s="49">
        <f>IF(OR($M25="",$T25=""),"",$T25+(Z$2*$M25))</f>
        <v/>
      </c>
      <c r="AA25" s="51">
        <f>IF(OR($M25="",$T25=""),"",$T25+(AA$2*$M25))</f>
        <v/>
      </c>
      <c r="AB25" s="48">
        <f>IF(OR($M25="",$T25=""),"",$T25+(AB$2*$M25))</f>
        <v/>
      </c>
      <c r="AC25" s="48">
        <f>IF(OR($M25="",$T25=""),"",$T25+(AC$2*$M25))</f>
        <v/>
      </c>
      <c r="AD25" s="48">
        <f>IF(OR($M25="",$T25=""),"",$T25+(AD$2*$M25))</f>
        <v/>
      </c>
      <c r="AE25" s="49">
        <f>IF(OR($M25="",$T25=""),"",$T25+(AE$2*$M25))</f>
        <v/>
      </c>
      <c r="AF25" s="52">
        <f>IF(OR(T25="",I25&lt;T25),"",IFERROR(AVERAGE(T25+M25*{7,8,9,10,11})/IF(G25="",I25,G25)-1,""))</f>
        <v/>
      </c>
      <c r="AG25" s="55">
        <f>IF(OR(T25="",I25&lt;T25),"",IFERROR(AF25/-(R25/IF(G25="",I25,G25)-1),""))</f>
        <v/>
      </c>
      <c r="AH25" s="94" t="n">
        <v>1</v>
      </c>
      <c r="AI25" s="94" t="n">
        <v>141.8843982087866</v>
      </c>
      <c r="AJ25" s="94" t="n">
        <v>1</v>
      </c>
      <c r="AK25" s="94" t="inlineStr">
        <is>
          <t>OTT Up Trend</t>
        </is>
      </c>
      <c r="AL25" s="84" t="inlineStr">
        <is>
          <t>Teradyne, Inc.</t>
        </is>
      </c>
      <c r="AM25" t="inlineStr">
        <is>
          <t>Technology</t>
        </is>
      </c>
      <c r="AN25" t="inlineStr">
        <is>
          <t>Semiconductor Equipment &amp; Materials</t>
        </is>
      </c>
      <c r="AO25" t="n">
        <v>98</v>
      </c>
    </row>
    <row r="26">
      <c r="A26" s="64" t="inlineStr">
        <is>
          <t>ALB</t>
        </is>
      </c>
      <c r="B26" s="65" t="n"/>
      <c r="C26" s="66" t="n"/>
      <c r="D26" s="67" t="n"/>
      <c r="E26" s="68" t="n"/>
      <c r="F26" s="47">
        <f>IF(A26="","",IF(MIN(H26,MAX(J26:K26))=0,"",MIN(H26,MAX(J26:K26))))</f>
        <v/>
      </c>
      <c r="G26" s="74" t="n"/>
      <c r="H26" s="49">
        <f>IF(M26="","",IFERROR(ROUND(AVERAGE(T26+M26*{7,8,9,10,11})/1.21,4),""))</f>
        <v/>
      </c>
      <c r="I26" s="76" t="n">
        <v>163.0399932861328</v>
      </c>
      <c r="J26" s="77" t="n">
        <v>164.4209480103021</v>
      </c>
      <c r="K26" s="74" t="n">
        <v>154.7474990844727</v>
      </c>
      <c r="L26" s="78" t="n">
        <v>87.92634994506835</v>
      </c>
      <c r="M26" s="77" t="n">
        <v>7.276414556895343</v>
      </c>
      <c r="N26" s="53">
        <f>IF(M26="","",IFERROR(M26/I26,""))</f>
        <v/>
      </c>
      <c r="O26" s="50">
        <f>IF(A26="","",IFERROR((IF(G26="",I26,G26)-T26)/M26,""))</f>
        <v/>
      </c>
      <c r="P26" s="50">
        <f>IFERROR((I26/T26-1)/N26,"")</f>
        <v/>
      </c>
      <c r="Q26" s="46">
        <f>IF(OR(T26="",I26&lt;T26),"",IFERROR(R26/IF(G26="",I26,G26)-1,""))</f>
        <v/>
      </c>
      <c r="R26" s="48">
        <f>IF($M26="","",MAX(IF($G26="",$I26,$G26)*(1/1.1),IF($G26="",$I26,$G26)+(R$2*$M26)))</f>
        <v/>
      </c>
      <c r="S26" s="49">
        <f>IF($M26="","",MAX(IF($G26="",$I26,$G26)*(1/1.1),IF($G26="",$I26,$G26)+(S$2*$M26)))</f>
        <v/>
      </c>
      <c r="T26" s="82" t="n">
        <v>134.0241999816895</v>
      </c>
      <c r="U26" s="47">
        <f>IF(OR($M26="",$T26=""),"",$T26+(U$2*$M26))</f>
        <v/>
      </c>
      <c r="V26" s="48">
        <f>IF(OR($M26="",$T26=""),"",$T26+(V$2*$M26))</f>
        <v/>
      </c>
      <c r="W26" s="48">
        <f>IF(OR($M26="",$T26=""),"",$T26+(W$2*$M26))</f>
        <v/>
      </c>
      <c r="X26" s="49">
        <f>IF(OR($M26="",$T26=""),"",$T26+(X$2*$M26))</f>
        <v/>
      </c>
      <c r="Y26" s="47">
        <f>IF(OR($M26="",$T26=""),"",$T26+(Y$2*$M26))</f>
        <v/>
      </c>
      <c r="Z26" s="49">
        <f>IF(OR($M26="",$T26=""),"",$T26+(Z$2*$M26))</f>
        <v/>
      </c>
      <c r="AA26" s="51">
        <f>IF(OR($M26="",$T26=""),"",$T26+(AA$2*$M26))</f>
        <v/>
      </c>
      <c r="AB26" s="48">
        <f>IF(OR($M26="",$T26=""),"",$T26+(AB$2*$M26))</f>
        <v/>
      </c>
      <c r="AC26" s="48">
        <f>IF(OR($M26="",$T26=""),"",$T26+(AC$2*$M26))</f>
        <v/>
      </c>
      <c r="AD26" s="48">
        <f>IF(OR($M26="",$T26=""),"",$T26+(AD$2*$M26))</f>
        <v/>
      </c>
      <c r="AE26" s="49">
        <f>IF(OR($M26="",$T26=""),"",$T26+(AE$2*$M26))</f>
        <v/>
      </c>
      <c r="AF26" s="52">
        <f>IF(OR(T26="",I26&lt;T26),"",IFERROR(AVERAGE(T26+M26*{7,8,9,10,11})/IF(G26="",I26,G26)-1,""))</f>
        <v/>
      </c>
      <c r="AG26" s="55">
        <f>IF(OR(T26="",I26&lt;T26),"",IFERROR(AF26/-(R26/IF(G26="",I26,G26)-1),""))</f>
        <v/>
      </c>
      <c r="AH26" s="94" t="n">
        <v>1</v>
      </c>
      <c r="AI26" s="94" t="n">
        <v>165.2454380281957</v>
      </c>
      <c r="AJ26" s="94" t="n">
        <v>1</v>
      </c>
      <c r="AK26" s="94" t="inlineStr">
        <is>
          <t>OTT Up Trend</t>
        </is>
      </c>
      <c r="AL26" s="84" t="inlineStr">
        <is>
          <t>Albemarle Corporation</t>
        </is>
      </c>
      <c r="AM26" t="inlineStr">
        <is>
          <t>Basic Materials</t>
        </is>
      </c>
      <c r="AN26" t="inlineStr">
        <is>
          <t>Specialty Chemicals</t>
        </is>
      </c>
      <c r="AO26" t="n">
        <v>98</v>
      </c>
    </row>
    <row r="27">
      <c r="A27" s="64" t="inlineStr">
        <is>
          <t>CENX</t>
        </is>
      </c>
      <c r="B27" s="65" t="n"/>
      <c r="C27" s="66" t="n"/>
      <c r="D27" s="67" t="n"/>
      <c r="E27" s="68" t="n"/>
      <c r="F27" s="47">
        <f>IF(A27="","",IF(MIN(H27,MAX(J27:K27))=0,"",MIN(H27,MAX(J27:K27))))</f>
        <v/>
      </c>
      <c r="G27" s="74" t="n"/>
      <c r="H27" s="49">
        <f>IF(M27="","",IFERROR(ROUND(AVERAGE(T27+M27*{7,8,9,10,11})/1.21,4),""))</f>
        <v/>
      </c>
      <c r="I27" s="76" t="n">
        <v>47.56999969482422</v>
      </c>
      <c r="J27" s="77" t="n">
        <v>45.44349629863459</v>
      </c>
      <c r="K27" s="74" t="n">
        <v>41.98449993133545</v>
      </c>
      <c r="L27" s="78" t="n">
        <v>24.90344999790192</v>
      </c>
      <c r="M27" s="77" t="n">
        <v>2.171650028011896</v>
      </c>
      <c r="N27" s="53">
        <f>IF(M27="","",IFERROR(M27/I27,""))</f>
        <v/>
      </c>
      <c r="O27" s="50">
        <f>IF(A27="","",IFERROR((IF(G27="",I27,G27)-T27)/M27,""))</f>
        <v/>
      </c>
      <c r="P27" s="50">
        <f>IFERROR((I27/T27-1)/N27,"")</f>
        <v/>
      </c>
      <c r="Q27" s="46">
        <f>IF(OR(T27="",I27&lt;T27),"",IFERROR(R27/IF(G27="",I27,G27)-1,""))</f>
        <v/>
      </c>
      <c r="R27" s="48">
        <f>IF($M27="","",MAX(IF($G27="",$I27,$G27)*(1/1.1),IF($G27="",$I27,$G27)+(R$2*$M27)))</f>
        <v/>
      </c>
      <c r="S27" s="49">
        <f>IF($M27="","",MAX(IF($G27="",$I27,$G27)*(1/1.1),IF($G27="",$I27,$G27)+(S$2*$M27)))</f>
        <v/>
      </c>
      <c r="T27" s="82" t="n">
        <v>34.64579998016357</v>
      </c>
      <c r="U27" s="47">
        <f>IF(OR($M27="",$T27=""),"",$T27+(U$2*$M27))</f>
        <v/>
      </c>
      <c r="V27" s="48">
        <f>IF(OR($M27="",$T27=""),"",$T27+(V$2*$M27))</f>
        <v/>
      </c>
      <c r="W27" s="48">
        <f>IF(OR($M27="",$T27=""),"",$T27+(W$2*$M27))</f>
        <v/>
      </c>
      <c r="X27" s="49">
        <f>IF(OR($M27="",$T27=""),"",$T27+(X$2*$M27))</f>
        <v/>
      </c>
      <c r="Y27" s="47">
        <f>IF(OR($M27="",$T27=""),"",$T27+(Y$2*$M27))</f>
        <v/>
      </c>
      <c r="Z27" s="49">
        <f>IF(OR($M27="",$T27=""),"",$T27+(Z$2*$M27))</f>
        <v/>
      </c>
      <c r="AA27" s="51">
        <f>IF(OR($M27="",$T27=""),"",$T27+(AA$2*$M27))</f>
        <v/>
      </c>
      <c r="AB27" s="48">
        <f>IF(OR($M27="",$T27=""),"",$T27+(AB$2*$M27))</f>
        <v/>
      </c>
      <c r="AC27" s="48">
        <f>IF(OR($M27="",$T27=""),"",$T27+(AC$2*$M27))</f>
        <v/>
      </c>
      <c r="AD27" s="48">
        <f>IF(OR($M27="",$T27=""),"",$T27+(AD$2*$M27))</f>
        <v/>
      </c>
      <c r="AE27" s="49">
        <f>IF(OR($M27="",$T27=""),"",$T27+(AE$2*$M27))</f>
        <v/>
      </c>
      <c r="AF27" s="52">
        <f>IF(OR(T27="",I27&lt;T27),"",IFERROR(AVERAGE(T27+M27*{7,8,9,10,11})/IF(G27="",I27,G27)-1,""))</f>
        <v/>
      </c>
      <c r="AG27" s="55">
        <f>IF(OR(T27="",I27&lt;T27),"",IFERROR(AF27/-(R27/IF(G27="",I27,G27)-1),""))</f>
        <v/>
      </c>
      <c r="AH27" s="94" t="n">
        <v>1</v>
      </c>
      <c r="AI27" s="94" t="n">
        <v>197.8719544921714</v>
      </c>
      <c r="AJ27" s="94" t="n">
        <v>1</v>
      </c>
      <c r="AK27" s="94" t="inlineStr">
        <is>
          <t>OTT Up Trend</t>
        </is>
      </c>
      <c r="AL27" s="84" t="inlineStr">
        <is>
          <t>Century Aluminum Company</t>
        </is>
      </c>
      <c r="AM27" t="inlineStr">
        <is>
          <t>Basic Materials</t>
        </is>
      </c>
      <c r="AN27" t="inlineStr">
        <is>
          <t>Aluminum</t>
        </is>
      </c>
      <c r="AO27" t="n">
        <v>98</v>
      </c>
    </row>
    <row r="28">
      <c r="A28" s="64" t="inlineStr">
        <is>
          <t>ACMR</t>
        </is>
      </c>
      <c r="B28" s="65" t="n"/>
      <c r="C28" s="66" t="n"/>
      <c r="D28" s="67" t="n"/>
      <c r="E28" s="68" t="n"/>
      <c r="F28" s="47">
        <f>IF(A28="","",IF(MIN(H28,MAX(J28:K28))=0,"",MIN(H28,MAX(J28:K28))))</f>
        <v/>
      </c>
      <c r="G28" s="74" t="n"/>
      <c r="H28" s="49">
        <f>IF(M28="","",IFERROR(ROUND(AVERAGE(T28+M28*{7,8,9,10,11})/1.21,4),""))</f>
        <v/>
      </c>
      <c r="I28" s="76" t="n">
        <v>53.61999893188477</v>
      </c>
      <c r="J28" s="77" t="n">
        <v>49.96470691935959</v>
      </c>
      <c r="K28" s="74" t="n">
        <v>45.31875038146973</v>
      </c>
      <c r="L28" s="78" t="n">
        <v>31.01435005187988</v>
      </c>
      <c r="M28" s="77" t="n">
        <v>2.475619125714796</v>
      </c>
      <c r="N28" s="53">
        <f>IF(M28="","",IFERROR(M28/I28,""))</f>
        <v/>
      </c>
      <c r="O28" s="50">
        <f>IF(A28="","",IFERROR((IF(G28="",I28,G28)-T28)/M28,""))</f>
        <v/>
      </c>
      <c r="P28" s="50">
        <f>IFERROR((I28/T28-1)/N28,"")</f>
        <v/>
      </c>
      <c r="Q28" s="46">
        <f>IF(OR(T28="",I28&lt;T28),"",IFERROR(R28/IF(G28="",I28,G28)-1,""))</f>
        <v/>
      </c>
      <c r="R28" s="48">
        <f>IF($M28="","",MAX(IF($G28="",$I28,$G28)*(1/1.1),IF($G28="",$I28,$G28)+(R$2*$M28)))</f>
        <v/>
      </c>
      <c r="S28" s="49">
        <f>IF($M28="","",MAX(IF($G28="",$I28,$G28)*(1/1.1),IF($G28="",$I28,$G28)+(S$2*$M28)))</f>
        <v/>
      </c>
      <c r="T28" s="82" t="n">
        <v>38.43730010986328</v>
      </c>
      <c r="U28" s="47">
        <f>IF(OR($M28="",$T28=""),"",$T28+(U$2*$M28))</f>
        <v/>
      </c>
      <c r="V28" s="48">
        <f>IF(OR($M28="",$T28=""),"",$T28+(V$2*$M28))</f>
        <v/>
      </c>
      <c r="W28" s="48">
        <f>IF(OR($M28="",$T28=""),"",$T28+(W$2*$M28))</f>
        <v/>
      </c>
      <c r="X28" s="49">
        <f>IF(OR($M28="",$T28=""),"",$T28+(X$2*$M28))</f>
        <v/>
      </c>
      <c r="Y28" s="47">
        <f>IF(OR($M28="",$T28=""),"",$T28+(Y$2*$M28))</f>
        <v/>
      </c>
      <c r="Z28" s="49">
        <f>IF(OR($M28="",$T28=""),"",$T28+(Z$2*$M28))</f>
        <v/>
      </c>
      <c r="AA28" s="51">
        <f>IF(OR($M28="",$T28=""),"",$T28+(AA$2*$M28))</f>
        <v/>
      </c>
      <c r="AB28" s="48">
        <f>IF(OR($M28="",$T28=""),"",$T28+(AB$2*$M28))</f>
        <v/>
      </c>
      <c r="AC28" s="48">
        <f>IF(OR($M28="",$T28=""),"",$T28+(AC$2*$M28))</f>
        <v/>
      </c>
      <c r="AD28" s="48">
        <f>IF(OR($M28="",$T28=""),"",$T28+(AD$2*$M28))</f>
        <v/>
      </c>
      <c r="AE28" s="49">
        <f>IF(OR($M28="",$T28=""),"",$T28+(AE$2*$M28))</f>
        <v/>
      </c>
      <c r="AF28" s="52">
        <f>IF(OR(T28="",I28&lt;T28),"",IFERROR(AVERAGE(T28+M28*{7,8,9,10,11})/IF(G28="",I28,G28)-1,""))</f>
        <v/>
      </c>
      <c r="AG28" s="55">
        <f>IF(OR(T28="",I28&lt;T28),"",IFERROR(AF28/-(R28/IF(G28="",I28,G28)-1),""))</f>
        <v/>
      </c>
      <c r="AH28" s="94" t="n">
        <v>1</v>
      </c>
      <c r="AI28" s="94" t="n">
        <v>178.6795411494563</v>
      </c>
      <c r="AJ28" s="94" t="n">
        <v>1</v>
      </c>
      <c r="AK28" s="94" t="inlineStr">
        <is>
          <t>OTT Up Trend</t>
        </is>
      </c>
      <c r="AL28" s="84" t="inlineStr">
        <is>
          <t>ACM Research, Inc.</t>
        </is>
      </c>
      <c r="AM28" t="inlineStr">
        <is>
          <t>Technology</t>
        </is>
      </c>
      <c r="AN28" t="inlineStr">
        <is>
          <t>Semiconductor Equipment &amp; Materials</t>
        </is>
      </c>
      <c r="AO28" t="n">
        <v>98</v>
      </c>
    </row>
    <row r="29">
      <c r="A29" s="64" t="inlineStr">
        <is>
          <t>NVRI</t>
        </is>
      </c>
      <c r="B29" s="65" t="n"/>
      <c r="C29" s="66" t="n"/>
      <c r="D29" s="67" t="n"/>
      <c r="E29" s="68" t="n"/>
      <c r="F29" s="47">
        <f>IF(A29="","",IF(MIN(H29,MAX(J29:K29))=0,"",MIN(H29,MAX(J29:K29))))</f>
        <v/>
      </c>
      <c r="G29" s="74" t="n"/>
      <c r="H29" s="49">
        <f>IF(M29="","",IFERROR(ROUND(AVERAGE(T29+M29*{7,8,9,10,11})/1.21,4),""))</f>
        <v/>
      </c>
      <c r="I29" s="76" t="n">
        <v>18.44000053405762</v>
      </c>
      <c r="J29" s="77" t="n">
        <v>18.37497625969064</v>
      </c>
      <c r="K29" s="74" t="n">
        <v>18.21650009155274</v>
      </c>
      <c r="L29" s="78" t="n">
        <v>11.3234999871254</v>
      </c>
      <c r="M29" s="77" t="n">
        <v>0.3369442657727749</v>
      </c>
      <c r="N29" s="53">
        <f>IF(M29="","",IFERROR(M29/I29,""))</f>
        <v/>
      </c>
      <c r="O29" s="50">
        <f>IF(A29="","",IFERROR((IF(G29="",I29,G29)-T29)/M29,""))</f>
        <v/>
      </c>
      <c r="P29" s="50">
        <f>IFERROR((I29/T29-1)/N29,"")</f>
        <v/>
      </c>
      <c r="Q29" s="46">
        <f>IF(OR(T29="",I29&lt;T29),"",IFERROR(R29/IF(G29="",I29,G29)-1,""))</f>
        <v/>
      </c>
      <c r="R29" s="48">
        <f>IF($M29="","",MAX(IF($G29="",$I29,$G29)*(1/1.1),IF($G29="",$I29,$G29)+(R$2*$M29)))</f>
        <v/>
      </c>
      <c r="S29" s="49">
        <f>IF($M29="","",MAX(IF($G29="",$I29,$G29)*(1/1.1),IF($G29="",$I29,$G29)+(S$2*$M29)))</f>
        <v/>
      </c>
      <c r="T29" s="82" t="n">
        <v>16.93300001144409</v>
      </c>
      <c r="U29" s="47">
        <f>IF(OR($M29="",$T29=""),"",$T29+(U$2*$M29))</f>
        <v/>
      </c>
      <c r="V29" s="48">
        <f>IF(OR($M29="",$T29=""),"",$T29+(V$2*$M29))</f>
        <v/>
      </c>
      <c r="W29" s="48">
        <f>IF(OR($M29="",$T29=""),"",$T29+(W$2*$M29))</f>
        <v/>
      </c>
      <c r="X29" s="49">
        <f>IF(OR($M29="",$T29=""),"",$T29+(X$2*$M29))</f>
        <v/>
      </c>
      <c r="Y29" s="47">
        <f>IF(OR($M29="",$T29=""),"",$T29+(Y$2*$M29))</f>
        <v/>
      </c>
      <c r="Z29" s="49">
        <f>IF(OR($M29="",$T29=""),"",$T29+(Z$2*$M29))</f>
        <v/>
      </c>
      <c r="AA29" s="51">
        <f>IF(OR($M29="",$T29=""),"",$T29+(AA$2*$M29))</f>
        <v/>
      </c>
      <c r="AB29" s="48">
        <f>IF(OR($M29="",$T29=""),"",$T29+(AB$2*$M29))</f>
        <v/>
      </c>
      <c r="AC29" s="48">
        <f>IF(OR($M29="",$T29=""),"",$T29+(AC$2*$M29))</f>
        <v/>
      </c>
      <c r="AD29" s="48">
        <f>IF(OR($M29="",$T29=""),"",$T29+(AD$2*$M29))</f>
        <v/>
      </c>
      <c r="AE29" s="49">
        <f>IF(OR($M29="",$T29=""),"",$T29+(AE$2*$M29))</f>
        <v/>
      </c>
      <c r="AF29" s="52">
        <f>IF(OR(T29="",I29&lt;T29),"",IFERROR(AVERAGE(T29+M29*{7,8,9,10,11})/IF(G29="",I29,G29)-1,""))</f>
        <v/>
      </c>
      <c r="AG29" s="55">
        <f>IF(OR(T29="",I29&lt;T29),"",IFERROR(AF29/-(R29/IF(G29="",I29,G29)-1),""))</f>
        <v/>
      </c>
      <c r="AH29" s="94" t="n">
        <v>1</v>
      </c>
      <c r="AI29" s="94" t="n">
        <v>95.46683536618887</v>
      </c>
      <c r="AJ29" s="94" t="n">
        <v>0</v>
      </c>
      <c r="AK29" s="94" t="inlineStr">
        <is>
          <t>OTT Up Trend</t>
        </is>
      </c>
      <c r="AL29" s="84" t="inlineStr">
        <is>
          <t>Enviri Corporation</t>
        </is>
      </c>
      <c r="AM29" t="inlineStr">
        <is>
          <t>Industrials</t>
        </is>
      </c>
      <c r="AN29" t="inlineStr">
        <is>
          <t>Waste Management</t>
        </is>
      </c>
      <c r="AO29" t="n">
        <v>98</v>
      </c>
    </row>
    <row r="30">
      <c r="A30" s="64" t="inlineStr">
        <is>
          <t>AMKR</t>
        </is>
      </c>
      <c r="B30" s="65" t="n"/>
      <c r="C30" s="66" t="n"/>
      <c r="D30" s="67" t="n"/>
      <c r="E30" s="68" t="n"/>
      <c r="F30" s="47">
        <f>IF(A30="","",IF(MIN(H30,MAX(J30:K30))=0,"",MIN(H30,MAX(J30:K30))))</f>
        <v/>
      </c>
      <c r="G30" s="74" t="n"/>
      <c r="H30" s="49">
        <f>IF(M30="","",IFERROR(ROUND(AVERAGE(T30+M30*{7,8,9,10,11})/1.21,4),""))</f>
        <v/>
      </c>
      <c r="I30" s="76" t="n">
        <v>48</v>
      </c>
      <c r="J30" s="77" t="n">
        <v>48.7830183618598</v>
      </c>
      <c r="K30" s="74" t="n">
        <v>45.52050018310547</v>
      </c>
      <c r="L30" s="78" t="n">
        <v>27.45774995326996</v>
      </c>
      <c r="M30" s="77" t="n">
        <v>2.820501730705806</v>
      </c>
      <c r="N30" s="53">
        <f>IF(M30="","",IFERROR(M30/I30,""))</f>
        <v/>
      </c>
      <c r="O30" s="50">
        <f>IF(A30="","",IFERROR((IF(G30="",I30,G30)-T30)/M30,""))</f>
        <v/>
      </c>
      <c r="P30" s="50">
        <f>IFERROR((I30/T30-1)/N30,"")</f>
        <v/>
      </c>
      <c r="Q30" s="46">
        <f>IF(OR(T30="",I30&lt;T30),"",IFERROR(R30/IF(G30="",I30,G30)-1,""))</f>
        <v/>
      </c>
      <c r="R30" s="48">
        <f>IF($M30="","",MAX(IF($G30="",$I30,$G30)*(1/1.1),IF($G30="",$I30,$G30)+(R$2*$M30)))</f>
        <v/>
      </c>
      <c r="S30" s="49">
        <f>IF($M30="","",MAX(IF($G30="",$I30,$G30)*(1/1.1),IF($G30="",$I30,$G30)+(S$2*$M30)))</f>
        <v/>
      </c>
      <c r="T30" s="82" t="n">
        <v>40.74540000915528</v>
      </c>
      <c r="U30" s="47">
        <f>IF(OR($M30="",$T30=""),"",$T30+(U$2*$M30))</f>
        <v/>
      </c>
      <c r="V30" s="48">
        <f>IF(OR($M30="",$T30=""),"",$T30+(V$2*$M30))</f>
        <v/>
      </c>
      <c r="W30" s="48">
        <f>IF(OR($M30="",$T30=""),"",$T30+(W$2*$M30))</f>
        <v/>
      </c>
      <c r="X30" s="49">
        <f>IF(OR($M30="",$T30=""),"",$T30+(X$2*$M30))</f>
        <v/>
      </c>
      <c r="Y30" s="47">
        <f>IF(OR($M30="",$T30=""),"",$T30+(Y$2*$M30))</f>
        <v/>
      </c>
      <c r="Z30" s="49">
        <f>IF(OR($M30="",$T30=""),"",$T30+(Z$2*$M30))</f>
        <v/>
      </c>
      <c r="AA30" s="51">
        <f>IF(OR($M30="",$T30=""),"",$T30+(AA$2*$M30))</f>
        <v/>
      </c>
      <c r="AB30" s="48">
        <f>IF(OR($M30="",$T30=""),"",$T30+(AB$2*$M30))</f>
        <v/>
      </c>
      <c r="AC30" s="48">
        <f>IF(OR($M30="",$T30=""),"",$T30+(AC$2*$M30))</f>
        <v/>
      </c>
      <c r="AD30" s="48">
        <f>IF(OR($M30="",$T30=""),"",$T30+(AD$2*$M30))</f>
        <v/>
      </c>
      <c r="AE30" s="49">
        <f>IF(OR($M30="",$T30=""),"",$T30+(AE$2*$M30))</f>
        <v/>
      </c>
      <c r="AF30" s="52">
        <f>IF(OR(T30="",I30&lt;T30),"",IFERROR(AVERAGE(T30+M30*{7,8,9,10,11})/IF(G30="",I30,G30)-1,""))</f>
        <v/>
      </c>
      <c r="AG30" s="55">
        <f>IF(OR(T30="",I30&lt;T30),"",IFERROR(AF30/-(R30/IF(G30="",I30,G30)-1),""))</f>
        <v/>
      </c>
      <c r="AH30" s="94" t="n">
        <v>1</v>
      </c>
      <c r="AI30" s="94" t="n">
        <v>115.9886448506151</v>
      </c>
      <c r="AJ30" s="94" t="n">
        <v>0</v>
      </c>
      <c r="AK30" s="94" t="inlineStr">
        <is>
          <t>OTT Up Trend</t>
        </is>
      </c>
      <c r="AL30" s="84" t="inlineStr">
        <is>
          <t>Amkor Technology, Inc.</t>
        </is>
      </c>
      <c r="AM30" t="inlineStr">
        <is>
          <t>Technology</t>
        </is>
      </c>
      <c r="AN30" t="inlineStr">
        <is>
          <t>Semiconductor Equipment &amp; Materials</t>
        </is>
      </c>
      <c r="AO30" t="n">
        <v>98</v>
      </c>
    </row>
    <row r="31">
      <c r="A31" s="64" t="inlineStr">
        <is>
          <t>FIX</t>
        </is>
      </c>
      <c r="B31" s="65" t="n"/>
      <c r="C31" s="66" t="n"/>
      <c r="D31" s="67" t="n"/>
      <c r="E31" s="68" t="n"/>
      <c r="F31" s="47">
        <f>IF(A31="","",IF(MIN(H31,MAX(J31:K31))=0,"",MIN(H31,MAX(J31:K31))))</f>
        <v/>
      </c>
      <c r="G31" s="74" t="n"/>
      <c r="H31" s="49">
        <f>IF(M31="","",IFERROR(ROUND(AVERAGE(T31+M31*{7,8,9,10,11})/1.21,4),""))</f>
        <v/>
      </c>
      <c r="I31" s="76" t="n">
        <v>1119.97998046875</v>
      </c>
      <c r="J31" s="77" t="n">
        <v>1049.771610049711</v>
      </c>
      <c r="K31" s="74" t="n">
        <v>999.5875</v>
      </c>
      <c r="L31" s="78" t="n">
        <v>703.0352494812012</v>
      </c>
      <c r="M31" s="77" t="n">
        <v>48.23295509141359</v>
      </c>
      <c r="N31" s="53">
        <f>IF(M31="","",IFERROR(M31/I31,""))</f>
        <v/>
      </c>
      <c r="O31" s="50">
        <f>IF(A31="","",IFERROR((IF(G31="",I31,G31)-T31)/M31,""))</f>
        <v/>
      </c>
      <c r="P31" s="50">
        <f>IFERROR((I31/T31-1)/N31,"")</f>
        <v/>
      </c>
      <c r="Q31" s="46">
        <f>IF(OR(T31="",I31&lt;T31),"",IFERROR(R31/IF(G31="",I31,G31)-1,""))</f>
        <v/>
      </c>
      <c r="R31" s="48">
        <f>IF($M31="","",MAX(IF($G31="",$I31,$G31)*(1/1.1),IF($G31="",$I31,$G31)+(R$2*$M31)))</f>
        <v/>
      </c>
      <c r="S31" s="49">
        <f>IF($M31="","",MAX(IF($G31="",$I31,$G31)*(1/1.1),IF($G31="",$I31,$G31)+(S$2*$M31)))</f>
        <v/>
      </c>
      <c r="T31" s="82" t="n">
        <v>973.07240234375</v>
      </c>
      <c r="U31" s="47">
        <f>IF(OR($M31="",$T31=""),"",$T31+(U$2*$M31))</f>
        <v/>
      </c>
      <c r="V31" s="48">
        <f>IF(OR($M31="",$T31=""),"",$T31+(V$2*$M31))</f>
        <v/>
      </c>
      <c r="W31" s="48">
        <f>IF(OR($M31="",$T31=""),"",$T31+(W$2*$M31))</f>
        <v/>
      </c>
      <c r="X31" s="49">
        <f>IF(OR($M31="",$T31=""),"",$T31+(X$2*$M31))</f>
        <v/>
      </c>
      <c r="Y31" s="47">
        <f>IF(OR($M31="",$T31=""),"",$T31+(Y$2*$M31))</f>
        <v/>
      </c>
      <c r="Z31" s="49">
        <f>IF(OR($M31="",$T31=""),"",$T31+(Z$2*$M31))</f>
        <v/>
      </c>
      <c r="AA31" s="51">
        <f>IF(OR($M31="",$T31=""),"",$T31+(AA$2*$M31))</f>
        <v/>
      </c>
      <c r="AB31" s="48">
        <f>IF(OR($M31="",$T31=""),"",$T31+(AB$2*$M31))</f>
        <v/>
      </c>
      <c r="AC31" s="48">
        <f>IF(OR($M31="",$T31=""),"",$T31+(AC$2*$M31))</f>
        <v/>
      </c>
      <c r="AD31" s="48">
        <f>IF(OR($M31="",$T31=""),"",$T31+(AD$2*$M31))</f>
        <v/>
      </c>
      <c r="AE31" s="49">
        <f>IF(OR($M31="",$T31=""),"",$T31+(AE$2*$M31))</f>
        <v/>
      </c>
      <c r="AF31" s="52">
        <f>IF(OR(T31="",I31&lt;T31),"",IFERROR(AVERAGE(T31+M31*{7,8,9,10,11})/IF(G31="",I31,G31)-1,""))</f>
        <v/>
      </c>
      <c r="AG31" s="55">
        <f>IF(OR(T31="",I31&lt;T31),"",IFERROR(AF31/-(R31/IF(G31="",I31,G31)-1),""))</f>
        <v/>
      </c>
      <c r="AH31" s="94" t="n">
        <v>1</v>
      </c>
      <c r="AI31" s="94" t="n">
        <v>74.51899223228521</v>
      </c>
      <c r="AJ31" s="94" t="n">
        <v>1</v>
      </c>
      <c r="AK31" s="94" t="inlineStr">
        <is>
          <t>OTT Up Trend</t>
        </is>
      </c>
      <c r="AL31" s="84" t="inlineStr">
        <is>
          <t>Comfort Systems USA, Inc.</t>
        </is>
      </c>
      <c r="AM31" t="inlineStr">
        <is>
          <t>Industrials</t>
        </is>
      </c>
      <c r="AN31" t="inlineStr">
        <is>
          <t>Engineering &amp; Construction</t>
        </is>
      </c>
      <c r="AO31" t="n">
        <v>98</v>
      </c>
    </row>
    <row r="32">
      <c r="A32" s="64" t="inlineStr">
        <is>
          <t>AEO</t>
        </is>
      </c>
      <c r="B32" s="65" t="n"/>
      <c r="C32" s="66" t="n"/>
      <c r="D32" s="67" t="n"/>
      <c r="E32" s="68" t="n"/>
      <c r="F32" s="47">
        <f>IF(A32="","",IF(MIN(H32,MAX(J32:K32))=0,"",MIN(H32,MAX(J32:K32))))</f>
        <v/>
      </c>
      <c r="G32" s="74" t="n"/>
      <c r="H32" s="49">
        <f>IF(M32="","",IFERROR(ROUND(AVERAGE(T32+M32*{7,8,9,10,11})/1.21,4),""))</f>
        <v/>
      </c>
      <c r="I32" s="76" t="n">
        <v>25.44000053405762</v>
      </c>
      <c r="J32" s="77" t="n">
        <v>26.25618374622672</v>
      </c>
      <c r="K32" s="74" t="n">
        <v>26.74050035476684</v>
      </c>
      <c r="L32" s="78" t="n">
        <v>15.43220000743866</v>
      </c>
      <c r="M32" s="77" t="n">
        <v>1.193325195646349</v>
      </c>
      <c r="N32" s="53">
        <f>IF(M32="","",IFERROR(M32/I32,""))</f>
        <v/>
      </c>
      <c r="O32" s="50">
        <f>IF(A32="","",IFERROR((IF(G32="",I32,G32)-T32)/M32,""))</f>
        <v/>
      </c>
      <c r="P32" s="50">
        <f>IFERROR((I32/T32-1)/N32,"")</f>
        <v/>
      </c>
      <c r="Q32" s="46">
        <f>IF(OR(T32="",I32&lt;T32),"",IFERROR(R32/IF(G32="",I32,G32)-1,""))</f>
        <v/>
      </c>
      <c r="R32" s="48">
        <f>IF($M32="","",MAX(IF($G32="",$I32,$G32)*(1/1.1),IF($G32="",$I32,$G32)+(R$2*$M32)))</f>
        <v/>
      </c>
      <c r="S32" s="49">
        <f>IF($M32="","",MAX(IF($G32="",$I32,$G32)*(1/1.1),IF($G32="",$I32,$G32)+(S$2*$M32)))</f>
        <v/>
      </c>
      <c r="T32" s="82" t="n">
        <v>23.14880012512207</v>
      </c>
      <c r="U32" s="47">
        <f>IF(OR($M32="",$T32=""),"",$T32+(U$2*$M32))</f>
        <v/>
      </c>
      <c r="V32" s="48">
        <f>IF(OR($M32="",$T32=""),"",$T32+(V$2*$M32))</f>
        <v/>
      </c>
      <c r="W32" s="48">
        <f>IF(OR($M32="",$T32=""),"",$T32+(W$2*$M32))</f>
        <v/>
      </c>
      <c r="X32" s="49">
        <f>IF(OR($M32="",$T32=""),"",$T32+(X$2*$M32))</f>
        <v/>
      </c>
      <c r="Y32" s="47">
        <f>IF(OR($M32="",$T32=""),"",$T32+(Y$2*$M32))</f>
        <v/>
      </c>
      <c r="Z32" s="49">
        <f>IF(OR($M32="",$T32=""),"",$T32+(Z$2*$M32))</f>
        <v/>
      </c>
      <c r="AA32" s="51">
        <f>IF(OR($M32="",$T32=""),"",$T32+(AA$2*$M32))</f>
        <v/>
      </c>
      <c r="AB32" s="48">
        <f>IF(OR($M32="",$T32=""),"",$T32+(AB$2*$M32))</f>
        <v/>
      </c>
      <c r="AC32" s="48">
        <f>IF(OR($M32="",$T32=""),"",$T32+(AC$2*$M32))</f>
        <v/>
      </c>
      <c r="AD32" s="48">
        <f>IF(OR($M32="",$T32=""),"",$T32+(AD$2*$M32))</f>
        <v/>
      </c>
      <c r="AE32" s="49">
        <f>IF(OR($M32="",$T32=""),"",$T32+(AE$2*$M32))</f>
        <v/>
      </c>
      <c r="AF32" s="52">
        <f>IF(OR(T32="",I32&lt;T32),"",IFERROR(AVERAGE(T32+M32*{7,8,9,10,11})/IF(G32="",I32,G32)-1,""))</f>
        <v/>
      </c>
      <c r="AG32" s="55">
        <f>IF(OR(T32="",I32&lt;T32),"",IFERROR(AF32/-(R32/IF(G32="",I32,G32)-1),""))</f>
        <v/>
      </c>
      <c r="AH32" s="94" t="n">
        <v>1</v>
      </c>
      <c r="AI32" s="94" t="n">
        <v>59.28027108355374</v>
      </c>
      <c r="AJ32" s="94" t="n">
        <v>0</v>
      </c>
      <c r="AK32" s="94" t="inlineStr">
        <is>
          <t>OTT Turned Up</t>
        </is>
      </c>
      <c r="AL32" s="84" t="inlineStr">
        <is>
          <t>American Eagle Outfitters, Inc.</t>
        </is>
      </c>
      <c r="AM32" t="inlineStr">
        <is>
          <t>Consumer Cyclical</t>
        </is>
      </c>
      <c r="AN32" t="inlineStr">
        <is>
          <t>Apparel Retail</t>
        </is>
      </c>
      <c r="AO32" t="n">
        <v>98</v>
      </c>
    </row>
    <row r="33">
      <c r="A33" s="64" t="inlineStr">
        <is>
          <t>MKSI</t>
        </is>
      </c>
      <c r="B33" s="65" t="n"/>
      <c r="C33" s="66" t="n"/>
      <c r="D33" s="67" t="n"/>
      <c r="E33" s="68" t="n"/>
      <c r="F33" s="47">
        <f>IF(A33="","",IF(MIN(H33,MAX(J33:K33))=0,"",MIN(H33,MAX(J33:K33))))</f>
        <v/>
      </c>
      <c r="G33" s="74" t="n"/>
      <c r="H33" s="49">
        <f>IF(M33="","",IFERROR(ROUND(AVERAGE(T33+M33*{7,8,9,10,11})/1.21,4),""))</f>
        <v/>
      </c>
      <c r="I33" s="76" t="n">
        <v>203.9900054931641</v>
      </c>
      <c r="J33" s="77" t="n">
        <v>189.3210210716948</v>
      </c>
      <c r="K33" s="74" t="n">
        <v>175.4290000915527</v>
      </c>
      <c r="L33" s="78" t="n">
        <v>116.6458999252319</v>
      </c>
      <c r="M33" s="77" t="n">
        <v>7.578313816617161</v>
      </c>
      <c r="N33" s="53">
        <f>IF(M33="","",IFERROR(M33/I33,""))</f>
        <v/>
      </c>
      <c r="O33" s="50">
        <f>IF(A33="","",IFERROR((IF(G33="",I33,G33)-T33)/M33,""))</f>
        <v/>
      </c>
      <c r="P33" s="50">
        <f>IFERROR((I33/T33-1)/N33,"")</f>
        <v/>
      </c>
      <c r="Q33" s="46">
        <f>IF(OR(T33="",I33&lt;T33),"",IFERROR(R33/IF(G33="",I33,G33)-1,""))</f>
        <v/>
      </c>
      <c r="R33" s="48">
        <f>IF($M33="","",MAX(IF($G33="",$I33,$G33)*(1/1.1),IF($G33="",$I33,$G33)+(R$2*$M33)))</f>
        <v/>
      </c>
      <c r="S33" s="49">
        <f>IF($M33="","",MAX(IF($G33="",$I33,$G33)*(1/1.1),IF($G33="",$I33,$G33)+(S$2*$M33)))</f>
        <v/>
      </c>
      <c r="T33" s="82" t="n">
        <v>162.3360006713867</v>
      </c>
      <c r="U33" s="47">
        <f>IF(OR($M33="",$T33=""),"",$T33+(U$2*$M33))</f>
        <v/>
      </c>
      <c r="V33" s="48">
        <f>IF(OR($M33="",$T33=""),"",$T33+(V$2*$M33))</f>
        <v/>
      </c>
      <c r="W33" s="48">
        <f>IF(OR($M33="",$T33=""),"",$T33+(W$2*$M33))</f>
        <v/>
      </c>
      <c r="X33" s="49">
        <f>IF(OR($M33="",$T33=""),"",$T33+(X$2*$M33))</f>
        <v/>
      </c>
      <c r="Y33" s="47">
        <f>IF(OR($M33="",$T33=""),"",$T33+(Y$2*$M33))</f>
        <v/>
      </c>
      <c r="Z33" s="49">
        <f>IF(OR($M33="",$T33=""),"",$T33+(Z$2*$M33))</f>
        <v/>
      </c>
      <c r="AA33" s="51">
        <f>IF(OR($M33="",$T33=""),"",$T33+(AA$2*$M33))</f>
        <v/>
      </c>
      <c r="AB33" s="48">
        <f>IF(OR($M33="",$T33=""),"",$T33+(AB$2*$M33))</f>
        <v/>
      </c>
      <c r="AC33" s="48">
        <f>IF(OR($M33="",$T33=""),"",$T33+(AC$2*$M33))</f>
        <v/>
      </c>
      <c r="AD33" s="48">
        <f>IF(OR($M33="",$T33=""),"",$T33+(AD$2*$M33))</f>
        <v/>
      </c>
      <c r="AE33" s="49">
        <f>IF(OR($M33="",$T33=""),"",$T33+(AE$2*$M33))</f>
        <v/>
      </c>
      <c r="AF33" s="52">
        <f>IF(OR(T33="",I33&lt;T33),"",IFERROR(AVERAGE(T33+M33*{7,8,9,10,11})/IF(G33="",I33,G33)-1,""))</f>
        <v/>
      </c>
      <c r="AG33" s="55">
        <f>IF(OR(T33="",I33&lt;T33),"",IFERROR(AF33/-(R33/IF(G33="",I33,G33)-1),""))</f>
        <v/>
      </c>
      <c r="AH33" s="94" t="n">
        <v>1</v>
      </c>
      <c r="AI33" s="94" t="n">
        <v>159.375738337902</v>
      </c>
      <c r="AJ33" s="94" t="n">
        <v>1</v>
      </c>
      <c r="AK33" s="94" t="inlineStr">
        <is>
          <t>OTT Up Trend</t>
        </is>
      </c>
      <c r="AL33" s="84" t="inlineStr">
        <is>
          <t>MKS Inc.</t>
        </is>
      </c>
      <c r="AM33" t="inlineStr">
        <is>
          <t>Technology</t>
        </is>
      </c>
      <c r="AN33" t="inlineStr">
        <is>
          <t>Scientific &amp; Technical Instruments</t>
        </is>
      </c>
      <c r="AO33" t="n">
        <v>98</v>
      </c>
    </row>
    <row r="34">
      <c r="A34" s="64" t="inlineStr">
        <is>
          <t>AEIS</t>
        </is>
      </c>
      <c r="B34" s="65" t="n"/>
      <c r="C34" s="66" t="n"/>
      <c r="D34" s="67" t="n"/>
      <c r="E34" s="68" t="n"/>
      <c r="F34" s="47">
        <f>IF(A34="","",IF(MIN(H34,MAX(J34:K34))=0,"",MIN(H34,MAX(J34:K34))))</f>
        <v/>
      </c>
      <c r="G34" s="74" t="n"/>
      <c r="H34" s="49">
        <f>IF(M34="","",IFERROR(ROUND(AVERAGE(T34+M34*{7,8,9,10,11})/1.21,4),""))</f>
        <v/>
      </c>
      <c r="I34" s="76" t="n">
        <v>253.8600006103516</v>
      </c>
      <c r="J34" s="77" t="n">
        <v>235.5924149699085</v>
      </c>
      <c r="K34" s="74" t="n">
        <v>224.0069984436035</v>
      </c>
      <c r="L34" s="78" t="n">
        <v>159.7015998840332</v>
      </c>
      <c r="M34" s="77" t="n">
        <v>10.32232105889548</v>
      </c>
      <c r="N34" s="53">
        <f>IF(M34="","",IFERROR(M34/I34,""))</f>
        <v/>
      </c>
      <c r="O34" s="50">
        <f>IF(A34="","",IFERROR((IF(G34="",I34,G34)-T34)/M34,""))</f>
        <v/>
      </c>
      <c r="P34" s="50">
        <f>IFERROR((I34/T34-1)/N34,"")</f>
        <v/>
      </c>
      <c r="Q34" s="46">
        <f>IF(OR(T34="",I34&lt;T34),"",IFERROR(R34/IF(G34="",I34,G34)-1,""))</f>
        <v/>
      </c>
      <c r="R34" s="48">
        <f>IF($M34="","",MAX(IF($G34="",$I34,$G34)*(1/1.1),IF($G34="",$I34,$G34)+(R$2*$M34)))</f>
        <v/>
      </c>
      <c r="S34" s="49">
        <f>IF($M34="","",MAX(IF($G34="",$I34,$G34)*(1/1.1),IF($G34="",$I34,$G34)+(S$2*$M34)))</f>
        <v/>
      </c>
      <c r="T34" s="82" t="n">
        <v>216.3259994506836</v>
      </c>
      <c r="U34" s="47">
        <f>IF(OR($M34="",$T34=""),"",$T34+(U$2*$M34))</f>
        <v/>
      </c>
      <c r="V34" s="48">
        <f>IF(OR($M34="",$T34=""),"",$T34+(V$2*$M34))</f>
        <v/>
      </c>
      <c r="W34" s="48">
        <f>IF(OR($M34="",$T34=""),"",$T34+(W$2*$M34))</f>
        <v/>
      </c>
      <c r="X34" s="49">
        <f>IF(OR($M34="",$T34=""),"",$T34+(X$2*$M34))</f>
        <v/>
      </c>
      <c r="Y34" s="47">
        <f>IF(OR($M34="",$T34=""),"",$T34+(Y$2*$M34))</f>
        <v/>
      </c>
      <c r="Z34" s="49">
        <f>IF(OR($M34="",$T34=""),"",$T34+(Z$2*$M34))</f>
        <v/>
      </c>
      <c r="AA34" s="51">
        <f>IF(OR($M34="",$T34=""),"",$T34+(AA$2*$M34))</f>
        <v/>
      </c>
      <c r="AB34" s="48">
        <f>IF(OR($M34="",$T34=""),"",$T34+(AB$2*$M34))</f>
        <v/>
      </c>
      <c r="AC34" s="48">
        <f>IF(OR($M34="",$T34=""),"",$T34+(AC$2*$M34))</f>
        <v/>
      </c>
      <c r="AD34" s="48">
        <f>IF(OR($M34="",$T34=""),"",$T34+(AD$2*$M34))</f>
        <v/>
      </c>
      <c r="AE34" s="49">
        <f>IF(OR($M34="",$T34=""),"",$T34+(AE$2*$M34))</f>
        <v/>
      </c>
      <c r="AF34" s="52">
        <f>IF(OR(T34="",I34&lt;T34),"",IFERROR(AVERAGE(T34+M34*{7,8,9,10,11})/IF(G34="",I34,G34)-1,""))</f>
        <v/>
      </c>
      <c r="AG34" s="55">
        <f>IF(OR(T34="",I34&lt;T34),"",IFERROR(AF34/-(R34/IF(G34="",I34,G34)-1),""))</f>
        <v/>
      </c>
      <c r="AH34" s="94" t="n">
        <v>1</v>
      </c>
      <c r="AI34" s="94" t="n">
        <v>90.44941626075045</v>
      </c>
      <c r="AJ34" s="94" t="n">
        <v>1</v>
      </c>
      <c r="AK34" s="94" t="inlineStr">
        <is>
          <t>OTT Up Trend</t>
        </is>
      </c>
      <c r="AL34" s="84" t="inlineStr">
        <is>
          <t>Advanced Energy Industries, Inc</t>
        </is>
      </c>
      <c r="AM34" t="inlineStr">
        <is>
          <t>Industrials</t>
        </is>
      </c>
      <c r="AN34" t="inlineStr">
        <is>
          <t>Electrical Equipment &amp; Parts</t>
        </is>
      </c>
      <c r="AO34" t="n">
        <v>98</v>
      </c>
    </row>
    <row r="35">
      <c r="A35" s="64" t="inlineStr">
        <is>
          <t>AA</t>
        </is>
      </c>
      <c r="B35" s="65" t="n"/>
      <c r="C35" s="66" t="n"/>
      <c r="D35" s="67" t="n"/>
      <c r="E35" s="68" t="n"/>
      <c r="F35" s="47">
        <f>IF(A35="","",IF(MIN(H35,MAX(J35:K35))=0,"",MIN(H35,MAX(J35:K35))))</f>
        <v/>
      </c>
      <c r="G35" s="74" t="n"/>
      <c r="H35" s="49">
        <f>IF(M35="","",IFERROR(ROUND(AVERAGE(T35+M35*{7,8,9,10,11})/1.21,4),""))</f>
        <v/>
      </c>
      <c r="I35" s="76" t="n">
        <v>60.06999969482422</v>
      </c>
      <c r="J35" s="77" t="n">
        <v>61.77112017313533</v>
      </c>
      <c r="K35" s="74" t="n">
        <v>58.22500038146973</v>
      </c>
      <c r="L35" s="78" t="n">
        <v>34.70860010147095</v>
      </c>
      <c r="M35" s="77" t="n">
        <v>2.420733878143122</v>
      </c>
      <c r="N35" s="53">
        <f>IF(M35="","",IFERROR(M35/I35,""))</f>
        <v/>
      </c>
      <c r="O35" s="50">
        <f>IF(A35="","",IFERROR((IF(G35="",I35,G35)-T35)/M35,""))</f>
        <v/>
      </c>
      <c r="P35" s="50">
        <f>IFERROR((I35/T35-1)/N35,"")</f>
        <v/>
      </c>
      <c r="Q35" s="46">
        <f>IF(OR(T35="",I35&lt;T35),"",IFERROR(R35/IF(G35="",I35,G35)-1,""))</f>
        <v/>
      </c>
      <c r="R35" s="48">
        <f>IF($M35="","",MAX(IF($G35="",$I35,$G35)*(1/1.1),IF($G35="",$I35,$G35)+(R$2*$M35)))</f>
        <v/>
      </c>
      <c r="S35" s="49">
        <f>IF($M35="","",MAX(IF($G35="",$I35,$G35)*(1/1.1),IF($G35="",$I35,$G35)+(S$2*$M35)))</f>
        <v/>
      </c>
      <c r="T35" s="82" t="n">
        <v>47.77220031738281</v>
      </c>
      <c r="U35" s="47">
        <f>IF(OR($M35="",$T35=""),"",$T35+(U$2*$M35))</f>
        <v/>
      </c>
      <c r="V35" s="48">
        <f>IF(OR($M35="",$T35=""),"",$T35+(V$2*$M35))</f>
        <v/>
      </c>
      <c r="W35" s="48">
        <f>IF(OR($M35="",$T35=""),"",$T35+(W$2*$M35))</f>
        <v/>
      </c>
      <c r="X35" s="49">
        <f>IF(OR($M35="",$T35=""),"",$T35+(X$2*$M35))</f>
        <v/>
      </c>
      <c r="Y35" s="47">
        <f>IF(OR($M35="",$T35=""),"",$T35+(Y$2*$M35))</f>
        <v/>
      </c>
      <c r="Z35" s="49">
        <f>IF(OR($M35="",$T35=""),"",$T35+(Z$2*$M35))</f>
        <v/>
      </c>
      <c r="AA35" s="51">
        <f>IF(OR($M35="",$T35=""),"",$T35+(AA$2*$M35))</f>
        <v/>
      </c>
      <c r="AB35" s="48">
        <f>IF(OR($M35="",$T35=""),"",$T35+(AB$2*$M35))</f>
        <v/>
      </c>
      <c r="AC35" s="48">
        <f>IF(OR($M35="",$T35=""),"",$T35+(AC$2*$M35))</f>
        <v/>
      </c>
      <c r="AD35" s="48">
        <f>IF(OR($M35="",$T35=""),"",$T35+(AD$2*$M35))</f>
        <v/>
      </c>
      <c r="AE35" s="49">
        <f>IF(OR($M35="",$T35=""),"",$T35+(AE$2*$M35))</f>
        <v/>
      </c>
      <c r="AF35" s="52">
        <f>IF(OR(T35="",I35&lt;T35),"",IFERROR(AVERAGE(T35+M35*{7,8,9,10,11})/IF(G35="",I35,G35)-1,""))</f>
        <v/>
      </c>
      <c r="AG35" s="55">
        <f>IF(OR(T35="",I35&lt;T35),"",IFERROR(AF35/-(R35/IF(G35="",I35,G35)-1),""))</f>
        <v/>
      </c>
      <c r="AH35" s="94" t="n">
        <v>1</v>
      </c>
      <c r="AI35" s="94" t="n">
        <v>217.9445087422469</v>
      </c>
      <c r="AJ35" s="94" t="n">
        <v>0</v>
      </c>
      <c r="AK35" s="94" t="inlineStr">
        <is>
          <t>OTT Up Trend</t>
        </is>
      </c>
      <c r="AL35" s="84" t="inlineStr">
        <is>
          <t>Alcoa Corporation</t>
        </is>
      </c>
      <c r="AM35" t="inlineStr">
        <is>
          <t>Basic Materials</t>
        </is>
      </c>
      <c r="AN35" t="inlineStr">
        <is>
          <t>Aluminum</t>
        </is>
      </c>
      <c r="AO35" t="n">
        <v>98</v>
      </c>
    </row>
    <row r="36">
      <c r="A36" s="64" t="inlineStr">
        <is>
          <t>BTU</t>
        </is>
      </c>
      <c r="B36" s="65" t="n"/>
      <c r="C36" s="66" t="n"/>
      <c r="D36" s="67" t="n"/>
      <c r="E36" s="68" t="n"/>
      <c r="F36" s="47">
        <f>IF(A36="","",IF(MIN(H36,MAX(J36:K36))=0,"",MIN(H36,MAX(J36:K36))))</f>
        <v/>
      </c>
      <c r="G36" s="74" t="n"/>
      <c r="H36" s="49">
        <f>IF(M36="","",IFERROR(ROUND(AVERAGE(T36+M36*{7,8,9,10,11})/1.21,4),""))</f>
        <v/>
      </c>
      <c r="I36" s="76" t="n">
        <v>36.36000061035156</v>
      </c>
      <c r="J36" s="77" t="n">
        <v>34.10052504002805</v>
      </c>
      <c r="K36" s="74" t="n">
        <v>32.12450037002564</v>
      </c>
      <c r="L36" s="78" t="n">
        <v>20.973100066185</v>
      </c>
      <c r="M36" s="77" t="n">
        <v>1.62606768150223</v>
      </c>
      <c r="N36" s="53">
        <f>IF(M36="","",IFERROR(M36/I36,""))</f>
        <v/>
      </c>
      <c r="O36" s="50">
        <f>IF(A36="","",IFERROR((IF(G36="",I36,G36)-T36)/M36,""))</f>
        <v/>
      </c>
      <c r="P36" s="50">
        <f>IFERROR((I36/T36-1)/N36,"")</f>
        <v/>
      </c>
      <c r="Q36" s="46">
        <f>IF(OR(T36="",I36&lt;T36),"",IFERROR(R36/IF(G36="",I36,G36)-1,""))</f>
        <v/>
      </c>
      <c r="R36" s="48">
        <f>IF($M36="","",MAX(IF($G36="",$I36,$G36)*(1/1.1),IF($G36="",$I36,$G36)+(R$2*$M36)))</f>
        <v/>
      </c>
      <c r="S36" s="49">
        <f>IF($M36="","",MAX(IF($G36="",$I36,$G36)*(1/1.1),IF($G36="",$I36,$G36)+(S$2*$M36)))</f>
        <v/>
      </c>
      <c r="T36" s="82" t="n">
        <v>29.86440010070801</v>
      </c>
      <c r="U36" s="47">
        <f>IF(OR($M36="",$T36=""),"",$T36+(U$2*$M36))</f>
        <v/>
      </c>
      <c r="V36" s="48">
        <f>IF(OR($M36="",$T36=""),"",$T36+(V$2*$M36))</f>
        <v/>
      </c>
      <c r="W36" s="48">
        <f>IF(OR($M36="",$T36=""),"",$T36+(W$2*$M36))</f>
        <v/>
      </c>
      <c r="X36" s="49">
        <f>IF(OR($M36="",$T36=""),"",$T36+(X$2*$M36))</f>
        <v/>
      </c>
      <c r="Y36" s="47">
        <f>IF(OR($M36="",$T36=""),"",$T36+(Y$2*$M36))</f>
        <v/>
      </c>
      <c r="Z36" s="49">
        <f>IF(OR($M36="",$T36=""),"",$T36+(Z$2*$M36))</f>
        <v/>
      </c>
      <c r="AA36" s="51">
        <f>IF(OR($M36="",$T36=""),"",$T36+(AA$2*$M36))</f>
        <v/>
      </c>
      <c r="AB36" s="48">
        <f>IF(OR($M36="",$T36=""),"",$T36+(AB$2*$M36))</f>
        <v/>
      </c>
      <c r="AC36" s="48">
        <f>IF(OR($M36="",$T36=""),"",$T36+(AC$2*$M36))</f>
        <v/>
      </c>
      <c r="AD36" s="48">
        <f>IF(OR($M36="",$T36=""),"",$T36+(AD$2*$M36))</f>
        <v/>
      </c>
      <c r="AE36" s="49">
        <f>IF(OR($M36="",$T36=""),"",$T36+(AE$2*$M36))</f>
        <v/>
      </c>
      <c r="AF36" s="52">
        <f>IF(OR(T36="",I36&lt;T36),"",IFERROR(AVERAGE(T36+M36*{7,8,9,10,11})/IF(G36="",I36,G36)-1,""))</f>
        <v/>
      </c>
      <c r="AG36" s="55">
        <f>IF(OR(T36="",I36&lt;T36),"",IFERROR(AF36/-(R36/IF(G36="",I36,G36)-1),""))</f>
        <v/>
      </c>
      <c r="AH36" s="94" t="n">
        <v>1</v>
      </c>
      <c r="AI36" s="94" t="n">
        <v>111.4405225650757</v>
      </c>
      <c r="AJ36" s="94" t="n">
        <v>1</v>
      </c>
      <c r="AK36" s="94" t="inlineStr">
        <is>
          <t>OTT Up Trend</t>
        </is>
      </c>
      <c r="AL36" s="84" t="inlineStr">
        <is>
          <t>Peabody Energy Corporation</t>
        </is>
      </c>
      <c r="AM36" t="inlineStr">
        <is>
          <t>Energy</t>
        </is>
      </c>
      <c r="AN36" t="inlineStr">
        <is>
          <t>Thermal Coal</t>
        </is>
      </c>
      <c r="AO36" t="n">
        <v>97</v>
      </c>
    </row>
    <row r="37">
      <c r="A37" s="64" t="inlineStr">
        <is>
          <t>INTC</t>
        </is>
      </c>
      <c r="B37" s="65" t="n"/>
      <c r="C37" s="66" t="n"/>
      <c r="D37" s="67" t="n"/>
      <c r="E37" s="68" t="n"/>
      <c r="F37" s="47">
        <f>IF(A37="","",IF(MIN(H37,MAX(J37:K37))=0,"",MIN(H37,MAX(J37:K37))))</f>
        <v/>
      </c>
      <c r="G37" s="74" t="n"/>
      <c r="H37" s="49">
        <f>IF(M37="","",IFERROR(ROUND(AVERAGE(T37+M37*{7,8,9,10,11})/1.21,4),""))</f>
        <v/>
      </c>
      <c r="I37" s="76" t="n">
        <v>46.95999908447266</v>
      </c>
      <c r="J37" s="77" t="n">
        <v>44.80191681004456</v>
      </c>
      <c r="K37" s="74" t="n">
        <v>40.62450008392334</v>
      </c>
      <c r="L37" s="78" t="n">
        <v>28.56609997749329</v>
      </c>
      <c r="M37" s="77" t="n">
        <v>2.337346291248743</v>
      </c>
      <c r="N37" s="53">
        <f>IF(M37="","",IFERROR(M37/I37,""))</f>
        <v/>
      </c>
      <c r="O37" s="50">
        <f>IF(A37="","",IFERROR((IF(G37="",I37,G37)-T37)/M37,""))</f>
        <v/>
      </c>
      <c r="P37" s="50">
        <f>IFERROR((I37/T37-1)/N37,"")</f>
        <v/>
      </c>
      <c r="Q37" s="46">
        <f>IF(OR(T37="",I37&lt;T37),"",IFERROR(R37/IF(G37="",I37,G37)-1,""))</f>
        <v/>
      </c>
      <c r="R37" s="48">
        <f>IF($M37="","",MAX(IF($G37="",$I37,$G37)*(1/1.1),IF($G37="",$I37,$G37)+(R$2*$M37)))</f>
        <v/>
      </c>
      <c r="S37" s="49">
        <f>IF($M37="","",MAX(IF($G37="",$I37,$G37)*(1/1.1),IF($G37="",$I37,$G37)+(S$2*$M37)))</f>
        <v/>
      </c>
      <c r="T37" s="82" t="n">
        <v>39.04140014648438</v>
      </c>
      <c r="U37" s="47">
        <f>IF(OR($M37="",$T37=""),"",$T37+(U$2*$M37))</f>
        <v/>
      </c>
      <c r="V37" s="48">
        <f>IF(OR($M37="",$T37=""),"",$T37+(V$2*$M37))</f>
        <v/>
      </c>
      <c r="W37" s="48">
        <f>IF(OR($M37="",$T37=""),"",$T37+(W$2*$M37))</f>
        <v/>
      </c>
      <c r="X37" s="49">
        <f>IF(OR($M37="",$T37=""),"",$T37+(X$2*$M37))</f>
        <v/>
      </c>
      <c r="Y37" s="47">
        <f>IF(OR($M37="",$T37=""),"",$T37+(Y$2*$M37))</f>
        <v/>
      </c>
      <c r="Z37" s="49">
        <f>IF(OR($M37="",$T37=""),"",$T37+(Z$2*$M37))</f>
        <v/>
      </c>
      <c r="AA37" s="51">
        <f>IF(OR($M37="",$T37=""),"",$T37+(AA$2*$M37))</f>
        <v/>
      </c>
      <c r="AB37" s="48">
        <f>IF(OR($M37="",$T37=""),"",$T37+(AB$2*$M37))</f>
        <v/>
      </c>
      <c r="AC37" s="48">
        <f>IF(OR($M37="",$T37=""),"",$T37+(AC$2*$M37))</f>
        <v/>
      </c>
      <c r="AD37" s="48">
        <f>IF(OR($M37="",$T37=""),"",$T37+(AD$2*$M37))</f>
        <v/>
      </c>
      <c r="AE37" s="49">
        <f>IF(OR($M37="",$T37=""),"",$T37+(AE$2*$M37))</f>
        <v/>
      </c>
      <c r="AF37" s="52">
        <f>IF(OR(T37="",I37&lt;T37),"",IFERROR(AVERAGE(T37+M37*{7,8,9,10,11})/IF(G37="",I37,G37)-1,""))</f>
        <v/>
      </c>
      <c r="AG37" s="55">
        <f>IF(OR(T37="",I37&lt;T37),"",IFERROR(AF37/-(R37/IF(G37="",I37,G37)-1),""))</f>
        <v/>
      </c>
      <c r="AH37" s="94" t="n">
        <v>1</v>
      </c>
      <c r="AI37" s="94" t="n">
        <v>121.0431542594544</v>
      </c>
      <c r="AJ37" s="94" t="n">
        <v>1</v>
      </c>
      <c r="AK37" s="94" t="inlineStr">
        <is>
          <t>OTT Up Trend</t>
        </is>
      </c>
      <c r="AL37" s="84" t="inlineStr">
        <is>
          <t>Intel Corporation</t>
        </is>
      </c>
      <c r="AM37" t="inlineStr">
        <is>
          <t>Technology</t>
        </is>
      </c>
      <c r="AN37" t="inlineStr">
        <is>
          <t>Semiconductors</t>
        </is>
      </c>
      <c r="AO37" t="n">
        <v>97</v>
      </c>
    </row>
    <row r="38">
      <c r="A38" s="64" t="inlineStr">
        <is>
          <t>ATI</t>
        </is>
      </c>
      <c r="B38" s="65" t="n"/>
      <c r="C38" s="66" t="n"/>
      <c r="D38" s="67" t="n"/>
      <c r="E38" s="68" t="n"/>
      <c r="F38" s="47">
        <f>IF(A38="","",IF(MIN(H38,MAX(J38:K38))=0,"",MIN(H38,MAX(J38:K38))))</f>
        <v/>
      </c>
      <c r="G38" s="74" t="n"/>
      <c r="H38" s="49">
        <f>IF(M38="","",IFERROR(ROUND(AVERAGE(T38+M38*{7,8,9,10,11})/1.21,4),""))</f>
        <v/>
      </c>
      <c r="I38" s="76" t="n">
        <v>124.3499984741211</v>
      </c>
      <c r="J38" s="77" t="n">
        <v>122.1692811097227</v>
      </c>
      <c r="K38" s="74" t="n">
        <v>118.9354991912842</v>
      </c>
      <c r="L38" s="78" t="n">
        <v>84.78715021133422</v>
      </c>
      <c r="M38" s="77" t="n">
        <v>3.491104290568719</v>
      </c>
      <c r="N38" s="53">
        <f>IF(M38="","",IFERROR(M38/I38,""))</f>
        <v/>
      </c>
      <c r="O38" s="50">
        <f>IF(A38="","",IFERROR((IF(G38="",I38,G38)-T38)/M38,""))</f>
        <v/>
      </c>
      <c r="P38" s="50">
        <f>IFERROR((I38/T38-1)/N38,"")</f>
        <v/>
      </c>
      <c r="Q38" s="46">
        <f>IF(OR(T38="",I38&lt;T38),"",IFERROR(R38/IF(G38="",I38,G38)-1,""))</f>
        <v/>
      </c>
      <c r="R38" s="48">
        <f>IF($M38="","",MAX(IF($G38="",$I38,$G38)*(1/1.1),IF($G38="",$I38,$G38)+(R$2*$M38)))</f>
        <v/>
      </c>
      <c r="S38" s="49">
        <f>IF($M38="","",MAX(IF($G38="",$I38,$G38)*(1/1.1),IF($G38="",$I38,$G38)+(S$2*$M38)))</f>
        <v/>
      </c>
      <c r="T38" s="82" t="n">
        <v>107.8414002990723</v>
      </c>
      <c r="U38" s="47">
        <f>IF(OR($M38="",$T38=""),"",$T38+(U$2*$M38))</f>
        <v/>
      </c>
      <c r="V38" s="48">
        <f>IF(OR($M38="",$T38=""),"",$T38+(V$2*$M38))</f>
        <v/>
      </c>
      <c r="W38" s="48">
        <f>IF(OR($M38="",$T38=""),"",$T38+(W$2*$M38))</f>
        <v/>
      </c>
      <c r="X38" s="49">
        <f>IF(OR($M38="",$T38=""),"",$T38+(X$2*$M38))</f>
        <v/>
      </c>
      <c r="Y38" s="47">
        <f>IF(OR($M38="",$T38=""),"",$T38+(Y$2*$M38))</f>
        <v/>
      </c>
      <c r="Z38" s="49">
        <f>IF(OR($M38="",$T38=""),"",$T38+(Z$2*$M38))</f>
        <v/>
      </c>
      <c r="AA38" s="51">
        <f>IF(OR($M38="",$T38=""),"",$T38+(AA$2*$M38))</f>
        <v/>
      </c>
      <c r="AB38" s="48">
        <f>IF(OR($M38="",$T38=""),"",$T38+(AB$2*$M38))</f>
        <v/>
      </c>
      <c r="AC38" s="48">
        <f>IF(OR($M38="",$T38=""),"",$T38+(AC$2*$M38))</f>
        <v/>
      </c>
      <c r="AD38" s="48">
        <f>IF(OR($M38="",$T38=""),"",$T38+(AD$2*$M38))</f>
        <v/>
      </c>
      <c r="AE38" s="49">
        <f>IF(OR($M38="",$T38=""),"",$T38+(AE$2*$M38))</f>
        <v/>
      </c>
      <c r="AF38" s="52">
        <f>IF(OR(T38="",I38&lt;T38),"",IFERROR(AVERAGE(T38+M38*{7,8,9,10,11})/IF(G38="",I38,G38)-1,""))</f>
        <v/>
      </c>
      <c r="AG38" s="55">
        <f>IF(OR(T38="",I38&lt;T38),"",IFERROR(AF38/-(R38/IF(G38="",I38,G38)-1),""))</f>
        <v/>
      </c>
      <c r="AH38" s="94" t="n">
        <v>1</v>
      </c>
      <c r="AI38" s="94" t="n">
        <v>146.9250774017873</v>
      </c>
      <c r="AJ38" s="94" t="n">
        <v>0</v>
      </c>
      <c r="AK38" s="94" t="inlineStr">
        <is>
          <t>OTT Up Trend</t>
        </is>
      </c>
      <c r="AL38" s="84" t="inlineStr">
        <is>
          <t>ATI Inc.</t>
        </is>
      </c>
      <c r="AM38" t="inlineStr">
        <is>
          <t>Industrials</t>
        </is>
      </c>
      <c r="AN38" t="inlineStr">
        <is>
          <t>Metal Fabrication</t>
        </is>
      </c>
      <c r="AO38" t="n">
        <v>97</v>
      </c>
    </row>
    <row r="39">
      <c r="A39" s="64" t="inlineStr">
        <is>
          <t>NEM</t>
        </is>
      </c>
      <c r="B39" s="65" t="n"/>
      <c r="C39" s="66" t="n"/>
      <c r="D39" s="67" t="n"/>
      <c r="E39" s="68" t="n"/>
      <c r="F39" s="47">
        <f>IF(A39="","",IF(MIN(H39,MAX(J39:K39))=0,"",MIN(H39,MAX(J39:K39))))</f>
        <v/>
      </c>
      <c r="G39" s="74" t="n"/>
      <c r="H39" s="49">
        <f>IF(M39="","",IFERROR(ROUND(AVERAGE(T39+M39*{7,8,9,10,11})/1.21,4),""))</f>
        <v/>
      </c>
      <c r="I39" s="76" t="n">
        <v>114.120002746582</v>
      </c>
      <c r="J39" s="77" t="n">
        <v>110.8497161346366</v>
      </c>
      <c r="K39" s="74" t="n">
        <v>106.5349994659424</v>
      </c>
      <c r="L39" s="78" t="n">
        <v>73.57479986190796</v>
      </c>
      <c r="M39" s="77" t="n">
        <v>3.574209464646239</v>
      </c>
      <c r="N39" s="53">
        <f>IF(M39="","",IFERROR(M39/I39,""))</f>
        <v/>
      </c>
      <c r="O39" s="50">
        <f>IF(A39="","",IFERROR((IF(G39="",I39,G39)-T39)/M39,""))</f>
        <v/>
      </c>
      <c r="P39" s="50">
        <f>IFERROR((I39/T39-1)/N39,"")</f>
        <v/>
      </c>
      <c r="Q39" s="46">
        <f>IF(OR(T39="",I39&lt;T39),"",IFERROR(R39/IF(G39="",I39,G39)-1,""))</f>
        <v/>
      </c>
      <c r="R39" s="48">
        <f>IF($M39="","",MAX(IF($G39="",$I39,$G39)*(1/1.1),IF($G39="",$I39,$G39)+(R$2*$M39)))</f>
        <v/>
      </c>
      <c r="S39" s="49">
        <f>IF($M39="","",MAX(IF($G39="",$I39,$G39)*(1/1.1),IF($G39="",$I39,$G39)+(S$2*$M39)))</f>
        <v/>
      </c>
      <c r="T39" s="82" t="n">
        <v>96.64899963378906</v>
      </c>
      <c r="U39" s="47">
        <f>IF(OR($M39="",$T39=""),"",$T39+(U$2*$M39))</f>
        <v/>
      </c>
      <c r="V39" s="48">
        <f>IF(OR($M39="",$T39=""),"",$T39+(V$2*$M39))</f>
        <v/>
      </c>
      <c r="W39" s="48">
        <f>IF(OR($M39="",$T39=""),"",$T39+(W$2*$M39))</f>
        <v/>
      </c>
      <c r="X39" s="49">
        <f>IF(OR($M39="",$T39=""),"",$T39+(X$2*$M39))</f>
        <v/>
      </c>
      <c r="Y39" s="47">
        <f>IF(OR($M39="",$T39=""),"",$T39+(Y$2*$M39))</f>
        <v/>
      </c>
      <c r="Z39" s="49">
        <f>IF(OR($M39="",$T39=""),"",$T39+(Z$2*$M39))</f>
        <v/>
      </c>
      <c r="AA39" s="51">
        <f>IF(OR($M39="",$T39=""),"",$T39+(AA$2*$M39))</f>
        <v/>
      </c>
      <c r="AB39" s="48">
        <f>IF(OR($M39="",$T39=""),"",$T39+(AB$2*$M39))</f>
        <v/>
      </c>
      <c r="AC39" s="48">
        <f>IF(OR($M39="",$T39=""),"",$T39+(AC$2*$M39))</f>
        <v/>
      </c>
      <c r="AD39" s="48">
        <f>IF(OR($M39="",$T39=""),"",$T39+(AD$2*$M39))</f>
        <v/>
      </c>
      <c r="AE39" s="49">
        <f>IF(OR($M39="",$T39=""),"",$T39+(AE$2*$M39))</f>
        <v/>
      </c>
      <c r="AF39" s="52">
        <f>IF(OR(T39="",I39&lt;T39),"",IFERROR(AVERAGE(T39+M39*{7,8,9,10,11})/IF(G39="",I39,G39)-1,""))</f>
        <v/>
      </c>
      <c r="AG39" s="55">
        <f>IF(OR(T39="",I39&lt;T39),"",IFERROR(AF39/-(R39/IF(G39="",I39,G39)-1),""))</f>
        <v/>
      </c>
      <c r="AH39" s="94" t="n">
        <v>1</v>
      </c>
      <c r="AI39" s="94" t="n">
        <v>143.3063714170982</v>
      </c>
      <c r="AJ39" s="94" t="n">
        <v>1</v>
      </c>
      <c r="AK39" s="94" t="inlineStr">
        <is>
          <t>OTT Up Trend</t>
        </is>
      </c>
      <c r="AL39" s="84" t="inlineStr">
        <is>
          <t>Newmont Corporation</t>
        </is>
      </c>
      <c r="AM39" t="inlineStr">
        <is>
          <t>Basic Materials</t>
        </is>
      </c>
      <c r="AN39" t="inlineStr">
        <is>
          <t>Gold</t>
        </is>
      </c>
      <c r="AO39" t="n">
        <v>97</v>
      </c>
    </row>
    <row r="40">
      <c r="A40" s="64" t="inlineStr">
        <is>
          <t>RCUS</t>
        </is>
      </c>
      <c r="B40" s="65" t="n"/>
      <c r="C40" s="66" t="n"/>
      <c r="D40" s="67" t="n"/>
      <c r="E40" s="68" t="n"/>
      <c r="F40" s="47">
        <f>IF(A40="","",IF(MIN(H40,MAX(J40:K40))=0,"",MIN(H40,MAX(J40:K40))))</f>
        <v/>
      </c>
      <c r="G40" s="74" t="n"/>
      <c r="H40" s="49">
        <f>IF(M40="","",IFERROR(ROUND(AVERAGE(T40+M40*{7,8,9,10,11})/1.21,4),""))</f>
        <v/>
      </c>
      <c r="I40" s="76" t="n">
        <v>21.79999923706055</v>
      </c>
      <c r="J40" s="77" t="n">
        <v>22.35960946708357</v>
      </c>
      <c r="K40" s="74" t="n">
        <v>22.55</v>
      </c>
      <c r="L40" s="78" t="n">
        <v>13.68789999485016</v>
      </c>
      <c r="M40" s="77" t="n">
        <v>1.414650773027973</v>
      </c>
      <c r="N40" s="53">
        <f>IF(M40="","",IFERROR(M40/I40,""))</f>
        <v/>
      </c>
      <c r="O40" s="50">
        <f>IF(A40="","",IFERROR((IF(G40="",I40,G40)-T40)/M40,""))</f>
        <v/>
      </c>
      <c r="P40" s="50">
        <f>IFERROR((I40/T40-1)/N40,"")</f>
        <v/>
      </c>
      <c r="Q40" s="46">
        <f>IF(OR(T40="",I40&lt;T40),"",IFERROR(R40/IF(G40="",I40,G40)-1,""))</f>
        <v/>
      </c>
      <c r="R40" s="48">
        <f>IF($M40="","",MAX(IF($G40="",$I40,$G40)*(1/1.1),IF($G40="",$I40,$G40)+(R$2*$M40)))</f>
        <v/>
      </c>
      <c r="S40" s="49">
        <f>IF($M40="","",MAX(IF($G40="",$I40,$G40)*(1/1.1),IF($G40="",$I40,$G40)+(S$2*$M40)))</f>
        <v/>
      </c>
      <c r="T40" s="82" t="n">
        <v>22.58459999084473</v>
      </c>
      <c r="U40" s="47">
        <f>IF(OR($M40="",$T40=""),"",$T40+(U$2*$M40))</f>
        <v/>
      </c>
      <c r="V40" s="48">
        <f>IF(OR($M40="",$T40=""),"",$T40+(V$2*$M40))</f>
        <v/>
      </c>
      <c r="W40" s="48">
        <f>IF(OR($M40="",$T40=""),"",$T40+(W$2*$M40))</f>
        <v/>
      </c>
      <c r="X40" s="49">
        <f>IF(OR($M40="",$T40=""),"",$T40+(X$2*$M40))</f>
        <v/>
      </c>
      <c r="Y40" s="47">
        <f>IF(OR($M40="",$T40=""),"",$T40+(Y$2*$M40))</f>
        <v/>
      </c>
      <c r="Z40" s="49">
        <f>IF(OR($M40="",$T40=""),"",$T40+(Z$2*$M40))</f>
        <v/>
      </c>
      <c r="AA40" s="51">
        <f>IF(OR($M40="",$T40=""),"",$T40+(AA$2*$M40))</f>
        <v/>
      </c>
      <c r="AB40" s="48">
        <f>IF(OR($M40="",$T40=""),"",$T40+(AB$2*$M40))</f>
        <v/>
      </c>
      <c r="AC40" s="48">
        <f>IF(OR($M40="",$T40=""),"",$T40+(AC$2*$M40))</f>
        <v/>
      </c>
      <c r="AD40" s="48">
        <f>IF(OR($M40="",$T40=""),"",$T40+(AD$2*$M40))</f>
        <v/>
      </c>
      <c r="AE40" s="49">
        <f>IF(OR($M40="",$T40=""),"",$T40+(AE$2*$M40))</f>
        <v/>
      </c>
      <c r="AF40" s="52">
        <f>IF(OR(T40="",I40&lt;T40),"",IFERROR(AVERAGE(T40+M40*{7,8,9,10,11})/IF(G40="",I40,G40)-1,""))</f>
        <v/>
      </c>
      <c r="AG40" s="55">
        <f>IF(OR(T40="",I40&lt;T40),"",IFERROR(AF40/-(R40/IF(G40="",I40,G40)-1),""))</f>
        <v/>
      </c>
      <c r="AH40" s="94" t="n">
        <v>-1</v>
      </c>
      <c r="AI40" s="94" t="n">
        <v>-9.093517444521817</v>
      </c>
      <c r="AJ40" s="94" t="n">
        <v>0</v>
      </c>
      <c r="AK40" s="94" t="inlineStr">
        <is>
          <t>None</t>
        </is>
      </c>
      <c r="AL40" s="84" t="inlineStr">
        <is>
          <t>Arcus Biosciences, Inc.</t>
        </is>
      </c>
      <c r="AM40" t="inlineStr">
        <is>
          <t>Healthcare</t>
        </is>
      </c>
      <c r="AN40" t="inlineStr">
        <is>
          <t>Biotechnology</t>
        </is>
      </c>
      <c r="AO40" t="n">
        <v>97</v>
      </c>
    </row>
    <row r="41">
      <c r="A41" s="64" t="inlineStr">
        <is>
          <t>MODG</t>
        </is>
      </c>
      <c r="B41" s="65" t="n"/>
      <c r="C41" s="66" t="n"/>
      <c r="D41" s="67" t="n"/>
      <c r="E41" s="68" t="n"/>
      <c r="F41" s="47">
        <f>IF(A41="","",IF(MIN(H41,MAX(J41:K41))=0,"",MIN(H41,MAX(J41:K41))))</f>
        <v/>
      </c>
      <c r="G41" s="74" t="n"/>
      <c r="H41" s="49">
        <f>IF(M41="","",IFERROR(ROUND(AVERAGE(T41+M41*{7,8,9,10,11})/1.21,4),""))</f>
        <v/>
      </c>
      <c r="I41" s="76" t="n">
        <v>15.14000034332275</v>
      </c>
      <c r="J41" s="77" t="n">
        <v>13.97371812709467</v>
      </c>
      <c r="K41" s="74" t="n">
        <v>12.89800004959107</v>
      </c>
      <c r="L41" s="78" t="n">
        <v>9.205400018692016</v>
      </c>
      <c r="M41" s="77" t="n">
        <v>0.5184216592107979</v>
      </c>
      <c r="N41" s="53">
        <f>IF(M41="","",IFERROR(M41/I41,""))</f>
        <v/>
      </c>
      <c r="O41" s="50">
        <f>IF(A41="","",IFERROR((IF(G41="",I41,G41)-T41)/M41,""))</f>
        <v/>
      </c>
      <c r="P41" s="50">
        <f>IFERROR((I41/T41-1)/N41,"")</f>
        <v/>
      </c>
      <c r="Q41" s="46">
        <f>IF(OR(T41="",I41&lt;T41),"",IFERROR(R41/IF(G41="",I41,G41)-1,""))</f>
        <v/>
      </c>
      <c r="R41" s="48">
        <f>IF($M41="","",MAX(IF($G41="",$I41,$G41)*(1/1.1),IF($G41="",$I41,$G41)+(R$2*$M41)))</f>
        <v/>
      </c>
      <c r="S41" s="49">
        <f>IF($M41="","",MAX(IF($G41="",$I41,$G41)*(1/1.1),IF($G41="",$I41,$G41)+(S$2*$M41)))</f>
        <v/>
      </c>
      <c r="T41" s="82" t="n">
        <v>11.82340005874634</v>
      </c>
      <c r="U41" s="47">
        <f>IF(OR($M41="",$T41=""),"",$T41+(U$2*$M41))</f>
        <v/>
      </c>
      <c r="V41" s="48">
        <f>IF(OR($M41="",$T41=""),"",$T41+(V$2*$M41))</f>
        <v/>
      </c>
      <c r="W41" s="48">
        <f>IF(OR($M41="",$T41=""),"",$T41+(W$2*$M41))</f>
        <v/>
      </c>
      <c r="X41" s="49">
        <f>IF(OR($M41="",$T41=""),"",$T41+(X$2*$M41))</f>
        <v/>
      </c>
      <c r="Y41" s="47">
        <f>IF(OR($M41="",$T41=""),"",$T41+(Y$2*$M41))</f>
        <v/>
      </c>
      <c r="Z41" s="49">
        <f>IF(OR($M41="",$T41=""),"",$T41+(Z$2*$M41))</f>
        <v/>
      </c>
      <c r="AA41" s="51">
        <f>IF(OR($M41="",$T41=""),"",$T41+(AA$2*$M41))</f>
        <v/>
      </c>
      <c r="AB41" s="48">
        <f>IF(OR($M41="",$T41=""),"",$T41+(AB$2*$M41))</f>
        <v/>
      </c>
      <c r="AC41" s="48">
        <f>IF(OR($M41="",$T41=""),"",$T41+(AC$2*$M41))</f>
        <v/>
      </c>
      <c r="AD41" s="48">
        <f>IF(OR($M41="",$T41=""),"",$T41+(AD$2*$M41))</f>
        <v/>
      </c>
      <c r="AE41" s="49">
        <f>IF(OR($M41="",$T41=""),"",$T41+(AE$2*$M41))</f>
        <v/>
      </c>
      <c r="AF41" s="52">
        <f>IF(OR(T41="",I41&lt;T41),"",IFERROR(AVERAGE(T41+M41*{7,8,9,10,11})/IF(G41="",I41,G41)-1,""))</f>
        <v/>
      </c>
      <c r="AG41" s="55">
        <f>IF(OR(T41="",I41&lt;T41),"",IFERROR(AF41/-(R41/IF(G41="",I41,G41)-1),""))</f>
        <v/>
      </c>
      <c r="AH41" s="94" t="n">
        <v>1</v>
      </c>
      <c r="AI41" s="94" t="n">
        <v>170.2410641249561</v>
      </c>
      <c r="AJ41" s="94" t="n">
        <v>1</v>
      </c>
      <c r="AK41" s="94" t="inlineStr">
        <is>
          <t>OTT Up Trend</t>
        </is>
      </c>
      <c r="AL41" s="84" t="inlineStr">
        <is>
          <t>Topgolf Callaway Brands Corp.</t>
        </is>
      </c>
      <c r="AM41" t="inlineStr">
        <is>
          <t>Consumer Cyclical</t>
        </is>
      </c>
      <c r="AN41" t="inlineStr">
        <is>
          <t>Leisure</t>
        </is>
      </c>
      <c r="AO41" t="n">
        <v>97</v>
      </c>
    </row>
    <row r="42">
      <c r="A42" s="64" t="inlineStr">
        <is>
          <t>MRCY</t>
        </is>
      </c>
      <c r="B42" s="65" t="n"/>
      <c r="C42" s="66" t="n"/>
      <c r="D42" s="67" t="n"/>
      <c r="E42" s="68" t="n"/>
      <c r="F42" s="47">
        <f>IF(A42="","",IF(MIN(H42,MAX(J42:K42))=0,"",MIN(H42,MAX(J42:K42))))</f>
        <v/>
      </c>
      <c r="G42" s="74" t="n"/>
      <c r="H42" s="49">
        <f>IF(M42="","",IFERROR(ROUND(AVERAGE(T42+M42*{7,8,9,10,11})/1.21,4),""))</f>
        <v/>
      </c>
      <c r="I42" s="76" t="n">
        <v>103.0199966430664</v>
      </c>
      <c r="J42" s="77" t="n">
        <v>94.11386516277088</v>
      </c>
      <c r="K42" s="74" t="n">
        <v>83.35799980163574</v>
      </c>
      <c r="L42" s="78" t="n">
        <v>63.63005002975464</v>
      </c>
      <c r="M42" s="77" t="n">
        <v>3.538950507156643</v>
      </c>
      <c r="N42" s="53">
        <f>IF(M42="","",IFERROR(M42/I42,""))</f>
        <v/>
      </c>
      <c r="O42" s="50">
        <f>IF(A42="","",IFERROR((IF(G42="",I42,G42)-T42)/M42,""))</f>
        <v/>
      </c>
      <c r="P42" s="50">
        <f>IFERROR((I42/T42-1)/N42,"")</f>
        <v/>
      </c>
      <c r="Q42" s="46">
        <f>IF(OR(T42="",I42&lt;T42),"",IFERROR(R42/IF(G42="",I42,G42)-1,""))</f>
        <v/>
      </c>
      <c r="R42" s="48">
        <f>IF($M42="","",MAX(IF($G42="",$I42,$G42)*(1/1.1),IF($G42="",$I42,$G42)+(R$2*$M42)))</f>
        <v/>
      </c>
      <c r="S42" s="49">
        <f>IF($M42="","",MAX(IF($G42="",$I42,$G42)*(1/1.1),IF($G42="",$I42,$G42)+(S$2*$M42)))</f>
        <v/>
      </c>
      <c r="T42" s="82" t="n">
        <v>76.03820037841797</v>
      </c>
      <c r="U42" s="47">
        <f>IF(OR($M42="",$T42=""),"",$T42+(U$2*$M42))</f>
        <v/>
      </c>
      <c r="V42" s="48">
        <f>IF(OR($M42="",$T42=""),"",$T42+(V$2*$M42))</f>
        <v/>
      </c>
      <c r="W42" s="48">
        <f>IF(OR($M42="",$T42=""),"",$T42+(W$2*$M42))</f>
        <v/>
      </c>
      <c r="X42" s="49">
        <f>IF(OR($M42="",$T42=""),"",$T42+(X$2*$M42))</f>
        <v/>
      </c>
      <c r="Y42" s="47">
        <f>IF(OR($M42="",$T42=""),"",$T42+(Y$2*$M42))</f>
        <v/>
      </c>
      <c r="Z42" s="49">
        <f>IF(OR($M42="",$T42=""),"",$T42+(Z$2*$M42))</f>
        <v/>
      </c>
      <c r="AA42" s="51">
        <f>IF(OR($M42="",$T42=""),"",$T42+(AA$2*$M42))</f>
        <v/>
      </c>
      <c r="AB42" s="48">
        <f>IF(OR($M42="",$T42=""),"",$T42+(AB$2*$M42))</f>
        <v/>
      </c>
      <c r="AC42" s="48">
        <f>IF(OR($M42="",$T42=""),"",$T42+(AC$2*$M42))</f>
        <v/>
      </c>
      <c r="AD42" s="48">
        <f>IF(OR($M42="",$T42=""),"",$T42+(AD$2*$M42))</f>
        <v/>
      </c>
      <c r="AE42" s="49">
        <f>IF(OR($M42="",$T42=""),"",$T42+(AE$2*$M42))</f>
        <v/>
      </c>
      <c r="AF42" s="52">
        <f>IF(OR(T42="",I42&lt;T42),"",IFERROR(AVERAGE(T42+M42*{7,8,9,10,11})/IF(G42="",I42,G42)-1,""))</f>
        <v/>
      </c>
      <c r="AG42" s="55">
        <f>IF(OR(T42="",I42&lt;T42),"",IFERROR(AF42/-(R42/IF(G42="",I42,G42)-1),""))</f>
        <v/>
      </c>
      <c r="AH42" s="94" t="n">
        <v>1</v>
      </c>
      <c r="AI42" s="94" t="n">
        <v>234.3741881813307</v>
      </c>
      <c r="AJ42" s="94" t="n">
        <v>1</v>
      </c>
      <c r="AK42" s="94" t="inlineStr">
        <is>
          <t>OTT Up Trend</t>
        </is>
      </c>
      <c r="AL42" s="84" t="inlineStr">
        <is>
          <t>Mercury Systems Inc</t>
        </is>
      </c>
      <c r="AM42" t="inlineStr">
        <is>
          <t>Industrials</t>
        </is>
      </c>
      <c r="AN42" t="inlineStr">
        <is>
          <t>Aerospace &amp; Defense</t>
        </is>
      </c>
      <c r="AO42" t="n">
        <v>97</v>
      </c>
    </row>
    <row r="43">
      <c r="A43" s="64" t="inlineStr">
        <is>
          <t>DAN</t>
        </is>
      </c>
      <c r="B43" s="65" t="n"/>
      <c r="C43" s="66" t="n"/>
      <c r="D43" s="67" t="n"/>
      <c r="E43" s="68" t="n"/>
      <c r="F43" s="47">
        <f>IF(A43="","",IF(MIN(H43,MAX(J43:K43))=0,"",MIN(H43,MAX(J43:K43))))</f>
        <v/>
      </c>
      <c r="G43" s="74" t="n"/>
      <c r="H43" s="49">
        <f>IF(M43="","",IFERROR(ROUND(AVERAGE(T43+M43*{7,8,9,10,11})/1.21,4),""))</f>
        <v/>
      </c>
      <c r="I43" s="76" t="n">
        <v>27.53000068664551</v>
      </c>
      <c r="J43" s="77" t="n">
        <v>26.65698660542049</v>
      </c>
      <c r="K43" s="74" t="n">
        <v>25.29649982452393</v>
      </c>
      <c r="L43" s="78" t="n">
        <v>18.7277499961853</v>
      </c>
      <c r="M43" s="77" t="n">
        <v>0.7732052620489981</v>
      </c>
      <c r="N43" s="53">
        <f>IF(M43="","",IFERROR(M43/I43,""))</f>
        <v/>
      </c>
      <c r="O43" s="50">
        <f>IF(A43="","",IFERROR((IF(G43="",I43,G43)-T43)/M43,""))</f>
        <v/>
      </c>
      <c r="P43" s="50">
        <f>IFERROR((I43/T43-1)/N43,"")</f>
        <v/>
      </c>
      <c r="Q43" s="46">
        <f>IF(OR(T43="",I43&lt;T43),"",IFERROR(R43/IF(G43="",I43,G43)-1,""))</f>
        <v/>
      </c>
      <c r="R43" s="48">
        <f>IF($M43="","",MAX(IF($G43="",$I43,$G43)*(1/1.1),IF($G43="",$I43,$G43)+(R$2*$M43)))</f>
        <v/>
      </c>
      <c r="S43" s="49">
        <f>IF($M43="","",MAX(IF($G43="",$I43,$G43)*(1/1.1),IF($G43="",$I43,$G43)+(S$2*$M43)))</f>
        <v/>
      </c>
      <c r="T43" s="82" t="n">
        <v>23.14059982299805</v>
      </c>
      <c r="U43" s="47">
        <f>IF(OR($M43="",$T43=""),"",$T43+(U$2*$M43))</f>
        <v/>
      </c>
      <c r="V43" s="48">
        <f>IF(OR($M43="",$T43=""),"",$T43+(V$2*$M43))</f>
        <v/>
      </c>
      <c r="W43" s="48">
        <f>IF(OR($M43="",$T43=""),"",$T43+(W$2*$M43))</f>
        <v/>
      </c>
      <c r="X43" s="49">
        <f>IF(OR($M43="",$T43=""),"",$T43+(X$2*$M43))</f>
        <v/>
      </c>
      <c r="Y43" s="47">
        <f>IF(OR($M43="",$T43=""),"",$T43+(Y$2*$M43))</f>
        <v/>
      </c>
      <c r="Z43" s="49">
        <f>IF(OR($M43="",$T43=""),"",$T43+(Z$2*$M43))</f>
        <v/>
      </c>
      <c r="AA43" s="51">
        <f>IF(OR($M43="",$T43=""),"",$T43+(AA$2*$M43))</f>
        <v/>
      </c>
      <c r="AB43" s="48">
        <f>IF(OR($M43="",$T43=""),"",$T43+(AB$2*$M43))</f>
        <v/>
      </c>
      <c r="AC43" s="48">
        <f>IF(OR($M43="",$T43=""),"",$T43+(AC$2*$M43))</f>
        <v/>
      </c>
      <c r="AD43" s="48">
        <f>IF(OR($M43="",$T43=""),"",$T43+(AD$2*$M43))</f>
        <v/>
      </c>
      <c r="AE43" s="49">
        <f>IF(OR($M43="",$T43=""),"",$T43+(AE$2*$M43))</f>
        <v/>
      </c>
      <c r="AF43" s="52">
        <f>IF(OR(T43="",I43&lt;T43),"",IFERROR(AVERAGE(T43+M43*{7,8,9,10,11})/IF(G43="",I43,G43)-1,""))</f>
        <v/>
      </c>
      <c r="AG43" s="55">
        <f>IF(OR(T43="",I43&lt;T43),"",IFERROR(AF43/-(R43/IF(G43="",I43,G43)-1),""))</f>
        <v/>
      </c>
      <c r="AH43" s="94" t="n">
        <v>1</v>
      </c>
      <c r="AI43" s="94" t="n">
        <v>179.8243668518613</v>
      </c>
      <c r="AJ43" s="94" t="n">
        <v>1</v>
      </c>
      <c r="AK43" s="94" t="inlineStr">
        <is>
          <t>OTT Up Trend</t>
        </is>
      </c>
      <c r="AL43" s="84" t="inlineStr">
        <is>
          <t>Dana Incorporated</t>
        </is>
      </c>
      <c r="AM43" t="inlineStr">
        <is>
          <t>Consumer Cyclical</t>
        </is>
      </c>
      <c r="AN43" t="inlineStr">
        <is>
          <t>Auto Parts</t>
        </is>
      </c>
      <c r="AO43" t="n">
        <v>97</v>
      </c>
    </row>
    <row r="44">
      <c r="A44" s="64" t="inlineStr">
        <is>
          <t>KLAC</t>
        </is>
      </c>
      <c r="B44" s="65" t="n"/>
      <c r="C44" s="66" t="n"/>
      <c r="D44" s="67" t="n"/>
      <c r="E44" s="68" t="n"/>
      <c r="F44" s="47">
        <f>IF(A44="","",IF(MIN(H44,MAX(J44:K44))=0,"",MIN(H44,MAX(J44:K44))))</f>
        <v/>
      </c>
      <c r="G44" s="74" t="n"/>
      <c r="H44" s="49">
        <f>IF(M44="","",IFERROR(ROUND(AVERAGE(T44+M44*{7,8,9,10,11})/1.21,4),""))</f>
        <v/>
      </c>
      <c r="I44" s="76" t="n">
        <v>1567.819946289062</v>
      </c>
      <c r="J44" s="77" t="n">
        <v>1434.866409707915</v>
      </c>
      <c r="K44" s="74" t="n">
        <v>1340.082989501953</v>
      </c>
      <c r="L44" s="78" t="n">
        <v>981.2921472167968</v>
      </c>
      <c r="M44" s="77" t="n">
        <v>52.07286309818333</v>
      </c>
      <c r="N44" s="53">
        <f>IF(M44="","",IFERROR(M44/I44,""))</f>
        <v/>
      </c>
      <c r="O44" s="50">
        <f>IF(A44="","",IFERROR((IF(G44="",I44,G44)-T44)/M44,""))</f>
        <v/>
      </c>
      <c r="P44" s="50">
        <f>IFERROR((I44/T44-1)/N44,"")</f>
        <v/>
      </c>
      <c r="Q44" s="46">
        <f>IF(OR(T44="",I44&lt;T44),"",IFERROR(R44/IF(G44="",I44,G44)-1,""))</f>
        <v/>
      </c>
      <c r="R44" s="48">
        <f>IF($M44="","",MAX(IF($G44="",$I44,$G44)*(1/1.1),IF($G44="",$I44,$G44)+(R$2*$M44)))</f>
        <v/>
      </c>
      <c r="S44" s="49">
        <f>IF($M44="","",MAX(IF($G44="",$I44,$G44)*(1/1.1),IF($G44="",$I44,$G44)+(S$2*$M44)))</f>
        <v/>
      </c>
      <c r="T44" s="82" t="n">
        <v>1246.088188476562</v>
      </c>
      <c r="U44" s="47">
        <f>IF(OR($M44="",$T44=""),"",$T44+(U$2*$M44))</f>
        <v/>
      </c>
      <c r="V44" s="48">
        <f>IF(OR($M44="",$T44=""),"",$T44+(V$2*$M44))</f>
        <v/>
      </c>
      <c r="W44" s="48">
        <f>IF(OR($M44="",$T44=""),"",$T44+(W$2*$M44))</f>
        <v/>
      </c>
      <c r="X44" s="49">
        <f>IF(OR($M44="",$T44=""),"",$T44+(X$2*$M44))</f>
        <v/>
      </c>
      <c r="Y44" s="47">
        <f>IF(OR($M44="",$T44=""),"",$T44+(Y$2*$M44))</f>
        <v/>
      </c>
      <c r="Z44" s="49">
        <f>IF(OR($M44="",$T44=""),"",$T44+(Z$2*$M44))</f>
        <v/>
      </c>
      <c r="AA44" s="51">
        <f>IF(OR($M44="",$T44=""),"",$T44+(AA$2*$M44))</f>
        <v/>
      </c>
      <c r="AB44" s="48">
        <f>IF(OR($M44="",$T44=""),"",$T44+(AB$2*$M44))</f>
        <v/>
      </c>
      <c r="AC44" s="48">
        <f>IF(OR($M44="",$T44=""),"",$T44+(AC$2*$M44))</f>
        <v/>
      </c>
      <c r="AD44" s="48">
        <f>IF(OR($M44="",$T44=""),"",$T44+(AD$2*$M44))</f>
        <v/>
      </c>
      <c r="AE44" s="49">
        <f>IF(OR($M44="",$T44=""),"",$T44+(AE$2*$M44))</f>
        <v/>
      </c>
      <c r="AF44" s="52">
        <f>IF(OR(T44="",I44&lt;T44),"",IFERROR(AVERAGE(T44+M44*{7,8,9,10,11})/IF(G44="",I44,G44)-1,""))</f>
        <v/>
      </c>
      <c r="AG44" s="55">
        <f>IF(OR(T44="",I44&lt;T44),"",IFERROR(AF44/-(R44/IF(G44="",I44,G44)-1),""))</f>
        <v/>
      </c>
      <c r="AH44" s="94" t="n">
        <v>1</v>
      </c>
      <c r="AI44" s="94" t="n">
        <v>164.8500989902933</v>
      </c>
      <c r="AJ44" s="94" t="n">
        <v>1</v>
      </c>
      <c r="AK44" s="94" t="inlineStr">
        <is>
          <t>OTT Up Trend</t>
        </is>
      </c>
      <c r="AL44" s="84" t="inlineStr">
        <is>
          <t>KLA Corporation</t>
        </is>
      </c>
      <c r="AM44" t="inlineStr">
        <is>
          <t>Technology</t>
        </is>
      </c>
      <c r="AN44" t="inlineStr">
        <is>
          <t>Semiconductor Equipment &amp; Materials</t>
        </is>
      </c>
      <c r="AO44" t="n">
        <v>97</v>
      </c>
    </row>
    <row r="45">
      <c r="A45" s="64" t="inlineStr">
        <is>
          <t>BTSG</t>
        </is>
      </c>
      <c r="B45" s="65" t="n"/>
      <c r="C45" s="66" t="n"/>
      <c r="D45" s="67" t="n"/>
      <c r="E45" s="68" t="n"/>
      <c r="F45" s="47">
        <f>IF(A45="","",IF(MIN(H45,MAX(J45:K45))=0,"",MIN(H45,MAX(J45:K45))))</f>
        <v/>
      </c>
      <c r="G45" s="74" t="n"/>
      <c r="H45" s="49">
        <f>IF(M45="","",IFERROR(ROUND(AVERAGE(T45+M45*{7,8,9,10,11})/1.21,4),""))</f>
        <v/>
      </c>
      <c r="I45" s="76" t="n">
        <v>39.20000076293945</v>
      </c>
      <c r="J45" s="77" t="n">
        <v>38.82072080850791</v>
      </c>
      <c r="K45" s="74" t="n">
        <v>38.38349952697754</v>
      </c>
      <c r="L45" s="78" t="n">
        <v>26.69432491779327</v>
      </c>
      <c r="M45" s="77" t="n">
        <v>1.245854498743217</v>
      </c>
      <c r="N45" s="53">
        <f>IF(M45="","",IFERROR(M45/I45,""))</f>
        <v/>
      </c>
      <c r="O45" s="50">
        <f>IF(A45="","",IFERROR((IF(G45="",I45,G45)-T45)/M45,""))</f>
        <v/>
      </c>
      <c r="P45" s="50">
        <f>IFERROR((I45/T45-1)/N45,"")</f>
        <v/>
      </c>
      <c r="Q45" s="46">
        <f>IF(OR(T45="",I45&lt;T45),"",IFERROR(R45/IF(G45="",I45,G45)-1,""))</f>
        <v/>
      </c>
      <c r="R45" s="48">
        <f>IF($M45="","",MAX(IF($G45="",$I45,$G45)*(1/1.1),IF($G45="",$I45,$G45)+(R$2*$M45)))</f>
        <v/>
      </c>
      <c r="S45" s="49">
        <f>IF($M45="","",MAX(IF($G45="",$I45,$G45)*(1/1.1),IF($G45="",$I45,$G45)+(S$2*$M45)))</f>
        <v/>
      </c>
      <c r="T45" s="82" t="n">
        <v>36.00539978027344</v>
      </c>
      <c r="U45" s="47">
        <f>IF(OR($M45="",$T45=""),"",$T45+(U$2*$M45))</f>
        <v/>
      </c>
      <c r="V45" s="48">
        <f>IF(OR($M45="",$T45=""),"",$T45+(V$2*$M45))</f>
        <v/>
      </c>
      <c r="W45" s="48">
        <f>IF(OR($M45="",$T45=""),"",$T45+(W$2*$M45))</f>
        <v/>
      </c>
      <c r="X45" s="49">
        <f>IF(OR($M45="",$T45=""),"",$T45+(X$2*$M45))</f>
        <v/>
      </c>
      <c r="Y45" s="47">
        <f>IF(OR($M45="",$T45=""),"",$T45+(Y$2*$M45))</f>
        <v/>
      </c>
      <c r="Z45" s="49">
        <f>IF(OR($M45="",$T45=""),"",$T45+(Z$2*$M45))</f>
        <v/>
      </c>
      <c r="AA45" s="51">
        <f>IF(OR($M45="",$T45=""),"",$T45+(AA$2*$M45))</f>
        <v/>
      </c>
      <c r="AB45" s="48">
        <f>IF(OR($M45="",$T45=""),"",$T45+(AB$2*$M45))</f>
        <v/>
      </c>
      <c r="AC45" s="48">
        <f>IF(OR($M45="",$T45=""),"",$T45+(AC$2*$M45))</f>
        <v/>
      </c>
      <c r="AD45" s="48">
        <f>IF(OR($M45="",$T45=""),"",$T45+(AD$2*$M45))</f>
        <v/>
      </c>
      <c r="AE45" s="49">
        <f>IF(OR($M45="",$T45=""),"",$T45+(AE$2*$M45))</f>
        <v/>
      </c>
      <c r="AF45" s="52">
        <f>IF(OR(T45="",I45&lt;T45),"",IFERROR(AVERAGE(T45+M45*{7,8,9,10,11})/IF(G45="",I45,G45)-1,""))</f>
        <v/>
      </c>
      <c r="AG45" s="55">
        <f>IF(OR(T45="",I45&lt;T45),"",IFERROR(AF45/-(R45/IF(G45="",I45,G45)-1),""))</f>
        <v/>
      </c>
      <c r="AH45" s="94" t="n">
        <v>1</v>
      </c>
      <c r="AI45" s="94" t="n">
        <v>74.09290720751257</v>
      </c>
      <c r="AJ45" s="94" t="n">
        <v>0</v>
      </c>
      <c r="AK45" s="94" t="inlineStr">
        <is>
          <t>None</t>
        </is>
      </c>
      <c r="AL45" s="84" t="inlineStr">
        <is>
          <t>BrightSpring Health Services, I</t>
        </is>
      </c>
      <c r="AM45" t="inlineStr">
        <is>
          <t>Healthcare</t>
        </is>
      </c>
      <c r="AN45" t="inlineStr">
        <is>
          <t>Health Information Services</t>
        </is>
      </c>
      <c r="AO45" t="n">
        <v>97</v>
      </c>
    </row>
    <row r="46">
      <c r="A46" s="64" t="inlineStr">
        <is>
          <t>ROIV</t>
        </is>
      </c>
      <c r="B46" s="65" t="n"/>
      <c r="C46" s="66" t="n"/>
      <c r="D46" s="67" t="n"/>
      <c r="E46" s="68" t="n"/>
      <c r="F46" s="47">
        <f>IF(A46="","",IF(MIN(H46,MAX(J46:K46))=0,"",MIN(H46,MAX(J46:K46))))</f>
        <v/>
      </c>
      <c r="G46" s="74" t="n"/>
      <c r="H46" s="49">
        <f>IF(M46="","",IFERROR(ROUND(AVERAGE(T46+M46*{7,8,9,10,11})/1.21,4),""))</f>
        <v/>
      </c>
      <c r="I46" s="76" t="n">
        <v>23.1299991607666</v>
      </c>
      <c r="J46" s="77" t="n">
        <v>22.71848958935134</v>
      </c>
      <c r="K46" s="74" t="n">
        <v>22.27550001144409</v>
      </c>
      <c r="L46" s="78" t="n">
        <v>14.81772500514984</v>
      </c>
      <c r="M46" s="77" t="n">
        <v>0.7743093073859669</v>
      </c>
      <c r="N46" s="53">
        <f>IF(M46="","",IFERROR(M46/I46,""))</f>
        <v/>
      </c>
      <c r="O46" s="50">
        <f>IF(A46="","",IFERROR((IF(G46="",I46,G46)-T46)/M46,""))</f>
        <v/>
      </c>
      <c r="P46" s="50">
        <f>IFERROR((I46/T46-1)/N46,"")</f>
        <v/>
      </c>
      <c r="Q46" s="46">
        <f>IF(OR(T46="",I46&lt;T46),"",IFERROR(R46/IF(G46="",I46,G46)-1,""))</f>
        <v/>
      </c>
      <c r="R46" s="48">
        <f>IF($M46="","",MAX(IF($G46="",$I46,$G46)*(1/1.1),IF($G46="",$I46,$G46)+(R$2*$M46)))</f>
        <v/>
      </c>
      <c r="S46" s="49">
        <f>IF($M46="","",MAX(IF($G46="",$I46,$G46)*(1/1.1),IF($G46="",$I46,$G46)+(S$2*$M46)))</f>
        <v/>
      </c>
      <c r="T46" s="82" t="n">
        <v>21.4346000289917</v>
      </c>
      <c r="U46" s="47">
        <f>IF(OR($M46="",$T46=""),"",$T46+(U$2*$M46))</f>
        <v/>
      </c>
      <c r="V46" s="48">
        <f>IF(OR($M46="",$T46=""),"",$T46+(V$2*$M46))</f>
        <v/>
      </c>
      <c r="W46" s="48">
        <f>IF(OR($M46="",$T46=""),"",$T46+(W$2*$M46))</f>
        <v/>
      </c>
      <c r="X46" s="49">
        <f>IF(OR($M46="",$T46=""),"",$T46+(X$2*$M46))</f>
        <v/>
      </c>
      <c r="Y46" s="47">
        <f>IF(OR($M46="",$T46=""),"",$T46+(Y$2*$M46))</f>
        <v/>
      </c>
      <c r="Z46" s="49">
        <f>IF(OR($M46="",$T46=""),"",$T46+(Z$2*$M46))</f>
        <v/>
      </c>
      <c r="AA46" s="51">
        <f>IF(OR($M46="",$T46=""),"",$T46+(AA$2*$M46))</f>
        <v/>
      </c>
      <c r="AB46" s="48">
        <f>IF(OR($M46="",$T46=""),"",$T46+(AB$2*$M46))</f>
        <v/>
      </c>
      <c r="AC46" s="48">
        <f>IF(OR($M46="",$T46=""),"",$T46+(AC$2*$M46))</f>
        <v/>
      </c>
      <c r="AD46" s="48">
        <f>IF(OR($M46="",$T46=""),"",$T46+(AD$2*$M46))</f>
        <v/>
      </c>
      <c r="AE46" s="49">
        <f>IF(OR($M46="",$T46=""),"",$T46+(AE$2*$M46))</f>
        <v/>
      </c>
      <c r="AF46" s="52">
        <f>IF(OR(T46="",I46&lt;T46),"",IFERROR(AVERAGE(T46+M46*{7,8,9,10,11})/IF(G46="",I46,G46)-1,""))</f>
        <v/>
      </c>
      <c r="AG46" s="55">
        <f>IF(OR(T46="",I46&lt;T46),"",IFERROR(AF46/-(R46/IF(G46="",I46,G46)-1),""))</f>
        <v/>
      </c>
      <c r="AH46" s="94" t="n">
        <v>1</v>
      </c>
      <c r="AI46" s="94" t="n">
        <v>72.62495090958522</v>
      </c>
      <c r="AJ46" s="94" t="n">
        <v>1</v>
      </c>
      <c r="AK46" s="94" t="inlineStr">
        <is>
          <t>OTT Up Trend</t>
        </is>
      </c>
      <c r="AL46" s="84" t="inlineStr">
        <is>
          <t>Roivant Sciences Ltd.</t>
        </is>
      </c>
      <c r="AM46" t="inlineStr">
        <is>
          <t>Healthcare</t>
        </is>
      </c>
      <c r="AN46" t="inlineStr">
        <is>
          <t>Biotechnology</t>
        </is>
      </c>
      <c r="AO46" t="n">
        <v>97</v>
      </c>
    </row>
    <row r="47">
      <c r="A47" s="64" t="inlineStr">
        <is>
          <t>SANM</t>
        </is>
      </c>
      <c r="B47" s="65" t="n"/>
      <c r="C47" s="66" t="n"/>
      <c r="D47" s="67" t="n"/>
      <c r="E47" s="68" t="n"/>
      <c r="F47" s="47">
        <f>IF(A47="","",IF(MIN(H47,MAX(J47:K47))=0,"",MIN(H47,MAX(J47:K47))))</f>
        <v/>
      </c>
      <c r="G47" s="74" t="n"/>
      <c r="H47" s="49">
        <f>IF(M47="","",IFERROR(ROUND(AVERAGE(T47+M47*{7,8,9,10,11})/1.21,4),""))</f>
        <v/>
      </c>
      <c r="I47" s="76" t="n">
        <v>177.4400024414062</v>
      </c>
      <c r="J47" s="77" t="n">
        <v>164.4512141039327</v>
      </c>
      <c r="K47" s="74" t="n">
        <v>156.9145004272461</v>
      </c>
      <c r="L47" s="78" t="n">
        <v>117.3029001235962</v>
      </c>
      <c r="M47" s="77" t="n">
        <v>7.901352080912772</v>
      </c>
      <c r="N47" s="53">
        <f>IF(M47="","",IFERROR(M47/I47,""))</f>
        <v/>
      </c>
      <c r="O47" s="50">
        <f>IF(A47="","",IFERROR((IF(G47="",I47,G47)-T47)/M47,""))</f>
        <v/>
      </c>
      <c r="P47" s="50">
        <f>IFERROR((I47/T47-1)/N47,"")</f>
        <v/>
      </c>
      <c r="Q47" s="46">
        <f>IF(OR(T47="",I47&lt;T47),"",IFERROR(R47/IF(G47="",I47,G47)-1,""))</f>
        <v/>
      </c>
      <c r="R47" s="48">
        <f>IF($M47="","",MAX(IF($G47="",$I47,$G47)*(1/1.1),IF($G47="",$I47,$G47)+(R$2*$M47)))</f>
        <v/>
      </c>
      <c r="S47" s="49">
        <f>IF($M47="","",MAX(IF($G47="",$I47,$G47)*(1/1.1),IF($G47="",$I47,$G47)+(S$2*$M47)))</f>
        <v/>
      </c>
      <c r="T47" s="82" t="n">
        <v>158.6242001342773</v>
      </c>
      <c r="U47" s="47">
        <f>IF(OR($M47="",$T47=""),"",$T47+(U$2*$M47))</f>
        <v/>
      </c>
      <c r="V47" s="48">
        <f>IF(OR($M47="",$T47=""),"",$T47+(V$2*$M47))</f>
        <v/>
      </c>
      <c r="W47" s="48">
        <f>IF(OR($M47="",$T47=""),"",$T47+(W$2*$M47))</f>
        <v/>
      </c>
      <c r="X47" s="49">
        <f>IF(OR($M47="",$T47=""),"",$T47+(X$2*$M47))</f>
        <v/>
      </c>
      <c r="Y47" s="47">
        <f>IF(OR($M47="",$T47=""),"",$T47+(Y$2*$M47))</f>
        <v/>
      </c>
      <c r="Z47" s="49">
        <f>IF(OR($M47="",$T47=""),"",$T47+(Z$2*$M47))</f>
        <v/>
      </c>
      <c r="AA47" s="51">
        <f>IF(OR($M47="",$T47=""),"",$T47+(AA$2*$M47))</f>
        <v/>
      </c>
      <c r="AB47" s="48">
        <f>IF(OR($M47="",$T47=""),"",$T47+(AB$2*$M47))</f>
        <v/>
      </c>
      <c r="AC47" s="48">
        <f>IF(OR($M47="",$T47=""),"",$T47+(AC$2*$M47))</f>
        <v/>
      </c>
      <c r="AD47" s="48">
        <f>IF(OR($M47="",$T47=""),"",$T47+(AD$2*$M47))</f>
        <v/>
      </c>
      <c r="AE47" s="49">
        <f>IF(OR($M47="",$T47=""),"",$T47+(AE$2*$M47))</f>
        <v/>
      </c>
      <c r="AF47" s="52">
        <f>IF(OR(T47="",I47&lt;T47),"",IFERROR(AVERAGE(T47+M47*{7,8,9,10,11})/IF(G47="",I47,G47)-1,""))</f>
        <v/>
      </c>
      <c r="AG47" s="55">
        <f>IF(OR(T47="",I47&lt;T47),"",IFERROR(AF47/-(R47/IF(G47="",I47,G47)-1),""))</f>
        <v/>
      </c>
      <c r="AH47" s="94" t="n">
        <v>1</v>
      </c>
      <c r="AI47" s="94" t="n">
        <v>54.19619157185505</v>
      </c>
      <c r="AJ47" s="94" t="n">
        <v>1</v>
      </c>
      <c r="AK47" s="94" t="inlineStr">
        <is>
          <t>OTT Turned Up</t>
        </is>
      </c>
      <c r="AL47" s="84" t="inlineStr">
        <is>
          <t>Sanmina Corporation</t>
        </is>
      </c>
      <c r="AM47" t="inlineStr">
        <is>
          <t>Technology</t>
        </is>
      </c>
      <c r="AN47" t="inlineStr">
        <is>
          <t>Electronic Components</t>
        </is>
      </c>
      <c r="AO47" t="n">
        <v>97</v>
      </c>
    </row>
    <row r="48">
      <c r="A48" s="64" t="inlineStr">
        <is>
          <t>FIVE</t>
        </is>
      </c>
      <c r="B48" s="65" t="n"/>
      <c r="C48" s="66" t="n"/>
      <c r="D48" s="67" t="n"/>
      <c r="E48" s="68" t="n"/>
      <c r="F48" s="47">
        <f>IF(A48="","",IF(MIN(H48,MAX(J48:K48))=0,"",MIN(H48,MAX(J48:K48))))</f>
        <v/>
      </c>
      <c r="G48" s="74" t="n"/>
      <c r="H48" s="49">
        <f>IF(M48="","",IFERROR(ROUND(AVERAGE(T48+M48*{7,8,9,10,11})/1.21,4),""))</f>
        <v/>
      </c>
      <c r="I48" s="76" t="n">
        <v>196.6900024414062</v>
      </c>
      <c r="J48" s="77" t="n">
        <v>197.0889557328114</v>
      </c>
      <c r="K48" s="74" t="n">
        <v>193.3199989318848</v>
      </c>
      <c r="L48" s="78" t="n">
        <v>138.0245996665955</v>
      </c>
      <c r="M48" s="77" t="n">
        <v>6.196669813426857</v>
      </c>
      <c r="N48" s="53">
        <f>IF(M48="","",IFERROR(M48/I48,""))</f>
        <v/>
      </c>
      <c r="O48" s="50">
        <f>IF(A48="","",IFERROR((IF(G48="",I48,G48)-T48)/M48,""))</f>
        <v/>
      </c>
      <c r="P48" s="50">
        <f>IFERROR((I48/T48-1)/N48,"")</f>
        <v/>
      </c>
      <c r="Q48" s="46">
        <f>IF(OR(T48="",I48&lt;T48),"",IFERROR(R48/IF(G48="",I48,G48)-1,""))</f>
        <v/>
      </c>
      <c r="R48" s="48">
        <f>IF($M48="","",MAX(IF($G48="",$I48,$G48)*(1/1.1),IF($G48="",$I48,$G48)+(R$2*$M48)))</f>
        <v/>
      </c>
      <c r="S48" s="49">
        <f>IF($M48="","",MAX(IF($G48="",$I48,$G48)*(1/1.1),IF($G48="",$I48,$G48)+(S$2*$M48)))</f>
        <v/>
      </c>
      <c r="T48" s="82" t="n">
        <v>174.5757995605469</v>
      </c>
      <c r="U48" s="47">
        <f>IF(OR($M48="",$T48=""),"",$T48+(U$2*$M48))</f>
        <v/>
      </c>
      <c r="V48" s="48">
        <f>IF(OR($M48="",$T48=""),"",$T48+(V$2*$M48))</f>
        <v/>
      </c>
      <c r="W48" s="48">
        <f>IF(OR($M48="",$T48=""),"",$T48+(W$2*$M48))</f>
        <v/>
      </c>
      <c r="X48" s="49">
        <f>IF(OR($M48="",$T48=""),"",$T48+(X$2*$M48))</f>
        <v/>
      </c>
      <c r="Y48" s="47">
        <f>IF(OR($M48="",$T48=""),"",$T48+(Y$2*$M48))</f>
        <v/>
      </c>
      <c r="Z48" s="49">
        <f>IF(OR($M48="",$T48=""),"",$T48+(Z$2*$M48))</f>
        <v/>
      </c>
      <c r="AA48" s="51">
        <f>IF(OR($M48="",$T48=""),"",$T48+(AA$2*$M48))</f>
        <v/>
      </c>
      <c r="AB48" s="48">
        <f>IF(OR($M48="",$T48=""),"",$T48+(AB$2*$M48))</f>
        <v/>
      </c>
      <c r="AC48" s="48">
        <f>IF(OR($M48="",$T48=""),"",$T48+(AC$2*$M48))</f>
        <v/>
      </c>
      <c r="AD48" s="48">
        <f>IF(OR($M48="",$T48=""),"",$T48+(AD$2*$M48))</f>
        <v/>
      </c>
      <c r="AE48" s="49">
        <f>IF(OR($M48="",$T48=""),"",$T48+(AE$2*$M48))</f>
        <v/>
      </c>
      <c r="AF48" s="52">
        <f>IF(OR(T48="",I48&lt;T48),"",IFERROR(AVERAGE(T48+M48*{7,8,9,10,11})/IF(G48="",I48,G48)-1,""))</f>
        <v/>
      </c>
      <c r="AG48" s="55">
        <f>IF(OR(T48="",I48&lt;T48),"",IFERROR(AF48/-(R48/IF(G48="",I48,G48)-1),""))</f>
        <v/>
      </c>
      <c r="AH48" s="94" t="n">
        <v>1</v>
      </c>
      <c r="AI48" s="94" t="n">
        <v>111.8568183418383</v>
      </c>
      <c r="AJ48" s="94" t="n">
        <v>0</v>
      </c>
      <c r="AK48" s="94" t="inlineStr">
        <is>
          <t>OTT Up Trend</t>
        </is>
      </c>
      <c r="AL48" s="84" t="inlineStr">
        <is>
          <t>Five Below, Inc.</t>
        </is>
      </c>
      <c r="AM48" t="inlineStr">
        <is>
          <t>Consumer Cyclical</t>
        </is>
      </c>
      <c r="AN48" t="inlineStr">
        <is>
          <t>Specialty Retail</t>
        </is>
      </c>
      <c r="AO48" t="n">
        <v>97</v>
      </c>
    </row>
    <row r="49">
      <c r="A49" s="64" t="inlineStr">
        <is>
          <t>KALU</t>
        </is>
      </c>
      <c r="B49" s="65" t="n"/>
      <c r="C49" s="66" t="n"/>
      <c r="D49" s="67" t="n"/>
      <c r="E49" s="68" t="n"/>
      <c r="F49" s="47">
        <f>IF(A49="","",IF(MIN(H49,MAX(J49:K49))=0,"",MIN(H49,MAX(J49:K49))))</f>
        <v/>
      </c>
      <c r="G49" s="74" t="n"/>
      <c r="H49" s="49">
        <f>IF(M49="","",IFERROR(ROUND(AVERAGE(T49+M49*{7,8,9,10,11})/1.21,4),""))</f>
        <v/>
      </c>
      <c r="I49" s="76" t="n">
        <v>128.2400054931641</v>
      </c>
      <c r="J49" s="77" t="n">
        <v>125.3261224822593</v>
      </c>
      <c r="K49" s="74" t="n">
        <v>120.8365009307861</v>
      </c>
      <c r="L49" s="78" t="n">
        <v>83.55369998931884</v>
      </c>
      <c r="M49" s="77" t="n">
        <v>3.818784491269716</v>
      </c>
      <c r="N49" s="53">
        <f>IF(M49="","",IFERROR(M49/I49,""))</f>
        <v/>
      </c>
      <c r="O49" s="50">
        <f>IF(A49="","",IFERROR((IF(G49="",I49,G49)-T49)/M49,""))</f>
        <v/>
      </c>
      <c r="P49" s="50">
        <f>IFERROR((I49/T49-1)/N49,"")</f>
        <v/>
      </c>
      <c r="Q49" s="46">
        <f>IF(OR(T49="",I49&lt;T49),"",IFERROR(R49/IF(G49="",I49,G49)-1,""))</f>
        <v/>
      </c>
      <c r="R49" s="48">
        <f>IF($M49="","",MAX(IF($G49="",$I49,$G49)*(1/1.1),IF($G49="",$I49,$G49)+(R$2*$M49)))</f>
        <v/>
      </c>
      <c r="S49" s="49">
        <f>IF($M49="","",MAX(IF($G49="",$I49,$G49)*(1/1.1),IF($G49="",$I49,$G49)+(S$2*$M49)))</f>
        <v/>
      </c>
      <c r="T49" s="82" t="n">
        <v>107.404200592041</v>
      </c>
      <c r="U49" s="47">
        <f>IF(OR($M49="",$T49=""),"",$T49+(U$2*$M49))</f>
        <v/>
      </c>
      <c r="V49" s="48">
        <f>IF(OR($M49="",$T49=""),"",$T49+(V$2*$M49))</f>
        <v/>
      </c>
      <c r="W49" s="48">
        <f>IF(OR($M49="",$T49=""),"",$T49+(W$2*$M49))</f>
        <v/>
      </c>
      <c r="X49" s="49">
        <f>IF(OR($M49="",$T49=""),"",$T49+(X$2*$M49))</f>
        <v/>
      </c>
      <c r="Y49" s="47">
        <f>IF(OR($M49="",$T49=""),"",$T49+(Y$2*$M49))</f>
        <v/>
      </c>
      <c r="Z49" s="49">
        <f>IF(OR($M49="",$T49=""),"",$T49+(Z$2*$M49))</f>
        <v/>
      </c>
      <c r="AA49" s="51">
        <f>IF(OR($M49="",$T49=""),"",$T49+(AA$2*$M49))</f>
        <v/>
      </c>
      <c r="AB49" s="48">
        <f>IF(OR($M49="",$T49=""),"",$T49+(AB$2*$M49))</f>
        <v/>
      </c>
      <c r="AC49" s="48">
        <f>IF(OR($M49="",$T49=""),"",$T49+(AC$2*$M49))</f>
        <v/>
      </c>
      <c r="AD49" s="48">
        <f>IF(OR($M49="",$T49=""),"",$T49+(AD$2*$M49))</f>
        <v/>
      </c>
      <c r="AE49" s="49">
        <f>IF(OR($M49="",$T49=""),"",$T49+(AE$2*$M49))</f>
        <v/>
      </c>
      <c r="AF49" s="52">
        <f>IF(OR(T49="",I49&lt;T49),"",IFERROR(AVERAGE(T49+M49*{7,8,9,10,11})/IF(G49="",I49,G49)-1,""))</f>
        <v/>
      </c>
      <c r="AG49" s="55">
        <f>IF(OR(T49="",I49&lt;T49),"",IFERROR(AF49/-(R49/IF(G49="",I49,G49)-1),""))</f>
        <v/>
      </c>
      <c r="AH49" s="94" t="n">
        <v>1</v>
      </c>
      <c r="AI49" s="94" t="n">
        <v>168.0815453531126</v>
      </c>
      <c r="AJ49" s="94" t="n">
        <v>0</v>
      </c>
      <c r="AK49" s="94" t="inlineStr">
        <is>
          <t>OTT Up Trend</t>
        </is>
      </c>
      <c r="AL49" s="84" t="inlineStr">
        <is>
          <t>Kaiser Aluminum Corporation</t>
        </is>
      </c>
      <c r="AM49" t="inlineStr">
        <is>
          <t>Basic Materials</t>
        </is>
      </c>
      <c r="AN49" t="inlineStr">
        <is>
          <t>Aluminum</t>
        </is>
      </c>
      <c r="AO49" t="n">
        <v>97</v>
      </c>
    </row>
    <row r="50">
      <c r="A50" s="64" t="inlineStr">
        <is>
          <t>ELAN</t>
        </is>
      </c>
      <c r="B50" s="65" t="n"/>
      <c r="C50" s="66" t="n"/>
      <c r="D50" s="67" t="n"/>
      <c r="E50" s="68" t="n"/>
      <c r="F50" s="47">
        <f>IF(A50="","",IF(MIN(H50,MAX(J50:K50))=0,"",MIN(H50,MAX(J50:K50))))</f>
        <v/>
      </c>
      <c r="G50" s="74" t="n"/>
      <c r="H50" s="49">
        <f>IF(M50="","",IFERROR(ROUND(AVERAGE(T50+M50*{7,8,9,10,11})/1.21,4),""))</f>
        <v/>
      </c>
      <c r="I50" s="76" t="n">
        <v>24.53000068664551</v>
      </c>
      <c r="J50" s="77" t="n">
        <v>23.83656451798345</v>
      </c>
      <c r="K50" s="74" t="n">
        <v>23.11599988937378</v>
      </c>
      <c r="L50" s="78" t="n">
        <v>17.19840002059937</v>
      </c>
      <c r="M50" s="77" t="n">
        <v>0.6813371235624299</v>
      </c>
      <c r="N50" s="53">
        <f>IF(M50="","",IFERROR(M50/I50,""))</f>
        <v/>
      </c>
      <c r="O50" s="50">
        <f>IF(A50="","",IFERROR((IF(G50="",I50,G50)-T50)/M50,""))</f>
        <v/>
      </c>
      <c r="P50" s="50">
        <f>IFERROR((I50/T50-1)/N50,"")</f>
        <v/>
      </c>
      <c r="Q50" s="46">
        <f>IF(OR(T50="",I50&lt;T50),"",IFERROR(R50/IF(G50="",I50,G50)-1,""))</f>
        <v/>
      </c>
      <c r="R50" s="48">
        <f>IF($M50="","",MAX(IF($G50="",$I50,$G50)*(1/1.1),IF($G50="",$I50,$G50)+(R$2*$M50)))</f>
        <v/>
      </c>
      <c r="S50" s="49">
        <f>IF($M50="","",MAX(IF($G50="",$I50,$G50)*(1/1.1),IF($G50="",$I50,$G50)+(S$2*$M50)))</f>
        <v/>
      </c>
      <c r="T50" s="82" t="n">
        <v>22.42959999084472</v>
      </c>
      <c r="U50" s="47">
        <f>IF(OR($M50="",$T50=""),"",$T50+(U$2*$M50))</f>
        <v/>
      </c>
      <c r="V50" s="48">
        <f>IF(OR($M50="",$T50=""),"",$T50+(V$2*$M50))</f>
        <v/>
      </c>
      <c r="W50" s="48">
        <f>IF(OR($M50="",$T50=""),"",$T50+(W$2*$M50))</f>
        <v/>
      </c>
      <c r="X50" s="49">
        <f>IF(OR($M50="",$T50=""),"",$T50+(X$2*$M50))</f>
        <v/>
      </c>
      <c r="Y50" s="47">
        <f>IF(OR($M50="",$T50=""),"",$T50+(Y$2*$M50))</f>
        <v/>
      </c>
      <c r="Z50" s="49">
        <f>IF(OR($M50="",$T50=""),"",$T50+(Z$2*$M50))</f>
        <v/>
      </c>
      <c r="AA50" s="51">
        <f>IF(OR($M50="",$T50=""),"",$T50+(AA$2*$M50))</f>
        <v/>
      </c>
      <c r="AB50" s="48">
        <f>IF(OR($M50="",$T50=""),"",$T50+(AB$2*$M50))</f>
        <v/>
      </c>
      <c r="AC50" s="48">
        <f>IF(OR($M50="",$T50=""),"",$T50+(AC$2*$M50))</f>
        <v/>
      </c>
      <c r="AD50" s="48">
        <f>IF(OR($M50="",$T50=""),"",$T50+(AD$2*$M50))</f>
        <v/>
      </c>
      <c r="AE50" s="49">
        <f>IF(OR($M50="",$T50=""),"",$T50+(AE$2*$M50))</f>
        <v/>
      </c>
      <c r="AF50" s="52">
        <f>IF(OR(T50="",I50&lt;T50),"",IFERROR(AVERAGE(T50+M50*{7,8,9,10,11})/IF(G50="",I50,G50)-1,""))</f>
        <v/>
      </c>
      <c r="AG50" s="55">
        <f>IF(OR(T50="",I50&lt;T50),"",IFERROR(AF50/-(R50/IF(G50="",I50,G50)-1),""))</f>
        <v/>
      </c>
      <c r="AH50" s="94" t="n">
        <v>1</v>
      </c>
      <c r="AI50" s="94" t="n">
        <v>89.39396359736865</v>
      </c>
      <c r="AJ50" s="94" t="n">
        <v>1</v>
      </c>
      <c r="AK50" s="94" t="inlineStr">
        <is>
          <t>OTT Up Trend</t>
        </is>
      </c>
      <c r="AL50" s="84" t="inlineStr">
        <is>
          <t>Elanco Animal Health Incorporat</t>
        </is>
      </c>
      <c r="AM50" t="inlineStr">
        <is>
          <t>Healthcare</t>
        </is>
      </c>
      <c r="AN50" t="inlineStr">
        <is>
          <t>Drug Manufacturers - Specialty &amp; Generic</t>
        </is>
      </c>
      <c r="AO50" t="n">
        <v>97</v>
      </c>
    </row>
    <row r="51">
      <c r="A51" s="64" t="inlineStr">
        <is>
          <t>HII</t>
        </is>
      </c>
      <c r="B51" s="65" t="n"/>
      <c r="C51" s="66" t="n"/>
      <c r="D51" s="67" t="n"/>
      <c r="E51" s="68" t="n"/>
      <c r="F51" s="47">
        <f>IF(A51="","",IF(MIN(H51,MAX(J51:K51))=0,"",MIN(H51,MAX(J51:K51))))</f>
        <v/>
      </c>
      <c r="G51" s="74" t="n"/>
      <c r="H51" s="49">
        <f>IF(M51="","",IFERROR(ROUND(AVERAGE(T51+M51*{7,8,9,10,11})/1.21,4),""))</f>
        <v/>
      </c>
      <c r="I51" s="76" t="n">
        <v>425.8999938964844</v>
      </c>
      <c r="J51" s="77" t="n">
        <v>396.4539964009027</v>
      </c>
      <c r="K51" s="74" t="n">
        <v>368.723503112793</v>
      </c>
      <c r="L51" s="78" t="n">
        <v>274.1711003112793</v>
      </c>
      <c r="M51" s="77" t="n">
        <v>12.71908557285861</v>
      </c>
      <c r="N51" s="53">
        <f>IF(M51="","",IFERROR(M51/I51,""))</f>
        <v/>
      </c>
      <c r="O51" s="50">
        <f>IF(A51="","",IFERROR((IF(G51="",I51,G51)-T51)/M51,""))</f>
        <v/>
      </c>
      <c r="P51" s="50">
        <f>IFERROR((I51/T51-1)/N51,"")</f>
        <v/>
      </c>
      <c r="Q51" s="46">
        <f>IF(OR(T51="",I51&lt;T51),"",IFERROR(R51/IF(G51="",I51,G51)-1,""))</f>
        <v/>
      </c>
      <c r="R51" s="48">
        <f>IF($M51="","",MAX(IF($G51="",$I51,$G51)*(1/1.1),IF($G51="",$I51,$G51)+(R$2*$M51)))</f>
        <v/>
      </c>
      <c r="S51" s="49">
        <f>IF($M51="","",MAX(IF($G51="",$I51,$G51)*(1/1.1),IF($G51="",$I51,$G51)+(S$2*$M51)))</f>
        <v/>
      </c>
      <c r="T51" s="82" t="n">
        <v>336.0092022705078</v>
      </c>
      <c r="U51" s="47">
        <f>IF(OR($M51="",$T51=""),"",$T51+(U$2*$M51))</f>
        <v/>
      </c>
      <c r="V51" s="48">
        <f>IF(OR($M51="",$T51=""),"",$T51+(V$2*$M51))</f>
        <v/>
      </c>
      <c r="W51" s="48">
        <f>IF(OR($M51="",$T51=""),"",$T51+(W$2*$M51))</f>
        <v/>
      </c>
      <c r="X51" s="49">
        <f>IF(OR($M51="",$T51=""),"",$T51+(X$2*$M51))</f>
        <v/>
      </c>
      <c r="Y51" s="47">
        <f>IF(OR($M51="",$T51=""),"",$T51+(Y$2*$M51))</f>
        <v/>
      </c>
      <c r="Z51" s="49">
        <f>IF(OR($M51="",$T51=""),"",$T51+(Z$2*$M51))</f>
        <v/>
      </c>
      <c r="AA51" s="51">
        <f>IF(OR($M51="",$T51=""),"",$T51+(AA$2*$M51))</f>
        <v/>
      </c>
      <c r="AB51" s="48">
        <f>IF(OR($M51="",$T51=""),"",$T51+(AB$2*$M51))</f>
        <v/>
      </c>
      <c r="AC51" s="48">
        <f>IF(OR($M51="",$T51=""),"",$T51+(AC$2*$M51))</f>
        <v/>
      </c>
      <c r="AD51" s="48">
        <f>IF(OR($M51="",$T51=""),"",$T51+(AD$2*$M51))</f>
        <v/>
      </c>
      <c r="AE51" s="49">
        <f>IF(OR($M51="",$T51=""),"",$T51+(AE$2*$M51))</f>
        <v/>
      </c>
      <c r="AF51" s="52">
        <f>IF(OR(T51="",I51&lt;T51),"",IFERROR(AVERAGE(T51+M51*{7,8,9,10,11})/IF(G51="",I51,G51)-1,""))</f>
        <v/>
      </c>
      <c r="AG51" s="55">
        <f>IF(OR(T51="",I51&lt;T51),"",IFERROR(AF51/-(R51/IF(G51="",I51,G51)-1),""))</f>
        <v/>
      </c>
      <c r="AH51" s="94" t="n">
        <v>1</v>
      </c>
      <c r="AI51" s="94" t="n">
        <v>216.5229954280865</v>
      </c>
      <c r="AJ51" s="94" t="n">
        <v>1</v>
      </c>
      <c r="AK51" s="94" t="inlineStr">
        <is>
          <t>OTT Up Trend</t>
        </is>
      </c>
      <c r="AL51" s="84" t="inlineStr">
        <is>
          <t>Huntington Ingalls Industries,</t>
        </is>
      </c>
      <c r="AM51" t="inlineStr">
        <is>
          <t>Industrials</t>
        </is>
      </c>
      <c r="AN51" t="inlineStr">
        <is>
          <t>Aerospace &amp; Defense</t>
        </is>
      </c>
      <c r="AO51" t="n">
        <v>96</v>
      </c>
    </row>
    <row r="52">
      <c r="A52" s="64" t="inlineStr">
        <is>
          <t>SITM</t>
        </is>
      </c>
      <c r="B52" s="65" t="n"/>
      <c r="C52" s="66" t="n"/>
      <c r="D52" s="67" t="n"/>
      <c r="E52" s="68" t="n"/>
      <c r="F52" s="47">
        <f>IF(A52="","",IF(MIN(H52,MAX(J52:K52))=0,"",MIN(H52,MAX(J52:K52))))</f>
        <v/>
      </c>
      <c r="G52" s="74" t="n"/>
      <c r="H52" s="49">
        <f>IF(M52="","",IFERROR(ROUND(AVERAGE(T52+M52*{7,8,9,10,11})/1.21,4),""))</f>
        <v/>
      </c>
      <c r="I52" s="76" t="n">
        <v>371.4400024414062</v>
      </c>
      <c r="J52" s="77" t="n">
        <v>353.6633965309462</v>
      </c>
      <c r="K52" s="74" t="n">
        <v>358.0054992675781</v>
      </c>
      <c r="L52" s="78" t="n">
        <v>248.7421253585815</v>
      </c>
      <c r="M52" s="77" t="n">
        <v>19.8437256877415</v>
      </c>
      <c r="N52" s="53">
        <f>IF(M52="","",IFERROR(M52/I52,""))</f>
        <v/>
      </c>
      <c r="O52" s="50">
        <f>IF(A52="","",IFERROR((IF(G52="",I52,G52)-T52)/M52,""))</f>
        <v/>
      </c>
      <c r="P52" s="50">
        <f>IFERROR((I52/T52-1)/N52,"")</f>
        <v/>
      </c>
      <c r="Q52" s="46">
        <f>IF(OR(T52="",I52&lt;T52),"",IFERROR(R52/IF(G52="",I52,G52)-1,""))</f>
        <v/>
      </c>
      <c r="R52" s="48">
        <f>IF($M52="","",MAX(IF($G52="",$I52,$G52)*(1/1.1),IF($G52="",$I52,$G52)+(R$2*$M52)))</f>
        <v/>
      </c>
      <c r="S52" s="49">
        <f>IF($M52="","",MAX(IF($G52="",$I52,$G52)*(1/1.1),IF($G52="",$I52,$G52)+(S$2*$M52)))</f>
        <v/>
      </c>
      <c r="T52" s="82" t="n">
        <v>333.1825982666016</v>
      </c>
      <c r="U52" s="47">
        <f>IF(OR($M52="",$T52=""),"",$T52+(U$2*$M52))</f>
        <v/>
      </c>
      <c r="V52" s="48">
        <f>IF(OR($M52="",$T52=""),"",$T52+(V$2*$M52))</f>
        <v/>
      </c>
      <c r="W52" s="48">
        <f>IF(OR($M52="",$T52=""),"",$T52+(W$2*$M52))</f>
        <v/>
      </c>
      <c r="X52" s="49">
        <f>IF(OR($M52="",$T52=""),"",$T52+(X$2*$M52))</f>
        <v/>
      </c>
      <c r="Y52" s="47">
        <f>IF(OR($M52="",$T52=""),"",$T52+(Y$2*$M52))</f>
        <v/>
      </c>
      <c r="Z52" s="49">
        <f>IF(OR($M52="",$T52=""),"",$T52+(Z$2*$M52))</f>
        <v/>
      </c>
      <c r="AA52" s="51">
        <f>IF(OR($M52="",$T52=""),"",$T52+(AA$2*$M52))</f>
        <v/>
      </c>
      <c r="AB52" s="48">
        <f>IF(OR($M52="",$T52=""),"",$T52+(AB$2*$M52))</f>
        <v/>
      </c>
      <c r="AC52" s="48">
        <f>IF(OR($M52="",$T52=""),"",$T52+(AC$2*$M52))</f>
        <v/>
      </c>
      <c r="AD52" s="48">
        <f>IF(OR($M52="",$T52=""),"",$T52+(AD$2*$M52))</f>
        <v/>
      </c>
      <c r="AE52" s="49">
        <f>IF(OR($M52="",$T52=""),"",$T52+(AE$2*$M52))</f>
        <v/>
      </c>
      <c r="AF52" s="52">
        <f>IF(OR(T52="",I52&lt;T52),"",IFERROR(AVERAGE(T52+M52*{7,8,9,10,11})/IF(G52="",I52,G52)-1,""))</f>
        <v/>
      </c>
      <c r="AG52" s="55">
        <f>IF(OR(T52="",I52&lt;T52),"",IFERROR(AF52/-(R52/IF(G52="",I52,G52)-1),""))</f>
        <v/>
      </c>
      <c r="AH52" s="94" t="n">
        <v>1</v>
      </c>
      <c r="AI52" s="94" t="n">
        <v>19.56305324055687</v>
      </c>
      <c r="AJ52" s="94" t="n">
        <v>0</v>
      </c>
      <c r="AK52" s="94" t="inlineStr">
        <is>
          <t>OTT Up Trend</t>
        </is>
      </c>
      <c r="AL52" s="84" t="inlineStr">
        <is>
          <t>SiTime Corporation</t>
        </is>
      </c>
      <c r="AM52" t="inlineStr">
        <is>
          <t>Technology</t>
        </is>
      </c>
      <c r="AN52" t="inlineStr">
        <is>
          <t>Semiconductors</t>
        </is>
      </c>
      <c r="AO52" t="n">
        <v>96</v>
      </c>
    </row>
    <row r="53">
      <c r="A53" s="64" t="inlineStr">
        <is>
          <t>FN</t>
        </is>
      </c>
      <c r="B53" s="65" t="n"/>
      <c r="C53" s="66" t="n"/>
      <c r="D53" s="67" t="n"/>
      <c r="E53" s="68" t="n"/>
      <c r="F53" s="47">
        <f>IF(A53="","",IF(MIN(H53,MAX(J53:K53))=0,"",MIN(H53,MAX(J53:K53))))</f>
        <v/>
      </c>
      <c r="G53" s="74" t="n"/>
      <c r="H53" s="49">
        <f>IF(M53="","",IFERROR(ROUND(AVERAGE(T53+M53*{7,8,9,10,11})/1.21,4),""))</f>
        <v/>
      </c>
      <c r="I53" s="76" t="n">
        <v>494.4500122070312</v>
      </c>
      <c r="J53" s="77" t="n">
        <v>477.8063767998266</v>
      </c>
      <c r="K53" s="74" t="n">
        <v>472.2464996337891</v>
      </c>
      <c r="L53" s="78" t="n">
        <v>338.6470001220703</v>
      </c>
      <c r="M53" s="77" t="n">
        <v>28.13148458523541</v>
      </c>
      <c r="N53" s="53">
        <f>IF(M53="","",IFERROR(M53/I53,""))</f>
        <v/>
      </c>
      <c r="O53" s="50">
        <f>IF(A53="","",IFERROR((IF(G53="",I53,G53)-T53)/M53,""))</f>
        <v/>
      </c>
      <c r="P53" s="50">
        <f>IFERROR((I53/T53-1)/N53,"")</f>
        <v/>
      </c>
      <c r="Q53" s="46">
        <f>IF(OR(T53="",I53&lt;T53),"",IFERROR(R53/IF(G53="",I53,G53)-1,""))</f>
        <v/>
      </c>
      <c r="R53" s="48">
        <f>IF($M53="","",MAX(IF($G53="",$I53,$G53)*(1/1.1),IF($G53="",$I53,$G53)+(R$2*$M53)))</f>
        <v/>
      </c>
      <c r="S53" s="49">
        <f>IF($M53="","",MAX(IF($G53="",$I53,$G53)*(1/1.1),IF($G53="",$I53,$G53)+(S$2*$M53)))</f>
        <v/>
      </c>
      <c r="T53" s="82" t="n">
        <v>458.7674005126953</v>
      </c>
      <c r="U53" s="47">
        <f>IF(OR($M53="",$T53=""),"",$T53+(U$2*$M53))</f>
        <v/>
      </c>
      <c r="V53" s="48">
        <f>IF(OR($M53="",$T53=""),"",$T53+(V$2*$M53))</f>
        <v/>
      </c>
      <c r="W53" s="48">
        <f>IF(OR($M53="",$T53=""),"",$T53+(W$2*$M53))</f>
        <v/>
      </c>
      <c r="X53" s="49">
        <f>IF(OR($M53="",$T53=""),"",$T53+(X$2*$M53))</f>
        <v/>
      </c>
      <c r="Y53" s="47">
        <f>IF(OR($M53="",$T53=""),"",$T53+(Y$2*$M53))</f>
        <v/>
      </c>
      <c r="Z53" s="49">
        <f>IF(OR($M53="",$T53=""),"",$T53+(Z$2*$M53))</f>
        <v/>
      </c>
      <c r="AA53" s="51">
        <f>IF(OR($M53="",$T53=""),"",$T53+(AA$2*$M53))</f>
        <v/>
      </c>
      <c r="AB53" s="48">
        <f>IF(OR($M53="",$T53=""),"",$T53+(AB$2*$M53))</f>
        <v/>
      </c>
      <c r="AC53" s="48">
        <f>IF(OR($M53="",$T53=""),"",$T53+(AC$2*$M53))</f>
        <v/>
      </c>
      <c r="AD53" s="48">
        <f>IF(OR($M53="",$T53=""),"",$T53+(AD$2*$M53))</f>
        <v/>
      </c>
      <c r="AE53" s="49">
        <f>IF(OR($M53="",$T53=""),"",$T53+(AE$2*$M53))</f>
        <v/>
      </c>
      <c r="AF53" s="52">
        <f>IF(OR(T53="",I53&lt;T53),"",IFERROR(AVERAGE(T53+M53*{7,8,9,10,11})/IF(G53="",I53,G53)-1,""))</f>
        <v/>
      </c>
      <c r="AG53" s="55">
        <f>IF(OR(T53="",I53&lt;T53),"",IFERROR(AF53/-(R53/IF(G53="",I53,G53)-1),""))</f>
        <v/>
      </c>
      <c r="AH53" s="94" t="n">
        <v>-1</v>
      </c>
      <c r="AI53" s="94" t="n">
        <v>25.53303883527144</v>
      </c>
      <c r="AJ53" s="94" t="n">
        <v>1</v>
      </c>
      <c r="AK53" s="94" t="inlineStr">
        <is>
          <t>OTT Turned Up</t>
        </is>
      </c>
      <c r="AL53" s="84" t="inlineStr">
        <is>
          <t>Fabrinet</t>
        </is>
      </c>
      <c r="AM53" t="inlineStr">
        <is>
          <t>Technology</t>
        </is>
      </c>
      <c r="AN53" t="inlineStr">
        <is>
          <t>Electronic Components</t>
        </is>
      </c>
      <c r="AO53" t="n">
        <v>96</v>
      </c>
    </row>
    <row r="54">
      <c r="A54" s="64" t="inlineStr">
        <is>
          <t>HCC</t>
        </is>
      </c>
      <c r="B54" s="65" t="n"/>
      <c r="C54" s="66" t="n"/>
      <c r="D54" s="67" t="n"/>
      <c r="E54" s="68" t="n"/>
      <c r="F54" s="47">
        <f>IF(A54="","",IF(MIN(H54,MAX(J54:K54))=0,"",MIN(H54,MAX(J54:K54))))</f>
        <v/>
      </c>
      <c r="G54" s="74" t="n"/>
      <c r="H54" s="49">
        <f>IF(M54="","",IFERROR(ROUND(AVERAGE(T54+M54*{7,8,9,10,11})/1.21,4),""))</f>
        <v/>
      </c>
      <c r="I54" s="76" t="n">
        <v>100.0699996948242</v>
      </c>
      <c r="J54" s="77" t="n">
        <v>97.64247463629914</v>
      </c>
      <c r="K54" s="74" t="n">
        <v>92.69050102233886</v>
      </c>
      <c r="L54" s="78" t="n">
        <v>61.78640005111694</v>
      </c>
      <c r="M54" s="77" t="n">
        <v>3.388447849501632</v>
      </c>
      <c r="N54" s="53">
        <f>IF(M54="","",IFERROR(M54/I54,""))</f>
        <v/>
      </c>
      <c r="O54" s="50">
        <f>IF(A54="","",IFERROR((IF(G54="",I54,G54)-T54)/M54,""))</f>
        <v/>
      </c>
      <c r="P54" s="50">
        <f>IFERROR((I54/T54-1)/N54,"")</f>
        <v/>
      </c>
      <c r="Q54" s="46">
        <f>IF(OR(T54="",I54&lt;T54),"",IFERROR(R54/IF(G54="",I54,G54)-1,""))</f>
        <v/>
      </c>
      <c r="R54" s="48">
        <f>IF($M54="","",MAX(IF($G54="",$I54,$G54)*(1/1.1),IF($G54="",$I54,$G54)+(R$2*$M54)))</f>
        <v/>
      </c>
      <c r="S54" s="49">
        <f>IF($M54="","",MAX(IF($G54="",$I54,$G54)*(1/1.1),IF($G54="",$I54,$G54)+(S$2*$M54)))</f>
        <v/>
      </c>
      <c r="T54" s="82" t="n">
        <v>84.85520080566407</v>
      </c>
      <c r="U54" s="47">
        <f>IF(OR($M54="",$T54=""),"",$T54+(U$2*$M54))</f>
        <v/>
      </c>
      <c r="V54" s="48">
        <f>IF(OR($M54="",$T54=""),"",$T54+(V$2*$M54))</f>
        <v/>
      </c>
      <c r="W54" s="48">
        <f>IF(OR($M54="",$T54=""),"",$T54+(W$2*$M54))</f>
        <v/>
      </c>
      <c r="X54" s="49">
        <f>IF(OR($M54="",$T54=""),"",$T54+(X$2*$M54))</f>
        <v/>
      </c>
      <c r="Y54" s="47">
        <f>IF(OR($M54="",$T54=""),"",$T54+(Y$2*$M54))</f>
        <v/>
      </c>
      <c r="Z54" s="49">
        <f>IF(OR($M54="",$T54=""),"",$T54+(Z$2*$M54))</f>
        <v/>
      </c>
      <c r="AA54" s="51">
        <f>IF(OR($M54="",$T54=""),"",$T54+(AA$2*$M54))</f>
        <v/>
      </c>
      <c r="AB54" s="48">
        <f>IF(OR($M54="",$T54=""),"",$T54+(AB$2*$M54))</f>
        <v/>
      </c>
      <c r="AC54" s="48">
        <f>IF(OR($M54="",$T54=""),"",$T54+(AC$2*$M54))</f>
        <v/>
      </c>
      <c r="AD54" s="48">
        <f>IF(OR($M54="",$T54=""),"",$T54+(AD$2*$M54))</f>
        <v/>
      </c>
      <c r="AE54" s="49">
        <f>IF(OR($M54="",$T54=""),"",$T54+(AE$2*$M54))</f>
        <v/>
      </c>
      <c r="AF54" s="52">
        <f>IF(OR(T54="",I54&lt;T54),"",IFERROR(AVERAGE(T54+M54*{7,8,9,10,11})/IF(G54="",I54,G54)-1,""))</f>
        <v/>
      </c>
      <c r="AG54" s="55">
        <f>IF(OR(T54="",I54&lt;T54),"",IFERROR(AF54/-(R54/IF(G54="",I54,G54)-1),""))</f>
        <v/>
      </c>
      <c r="AH54" s="94" t="n">
        <v>1</v>
      </c>
      <c r="AI54" s="94" t="n">
        <v>156.4421976827236</v>
      </c>
      <c r="AJ54" s="94" t="n">
        <v>1</v>
      </c>
      <c r="AK54" s="94" t="inlineStr">
        <is>
          <t>OTT Up Trend</t>
        </is>
      </c>
      <c r="AL54" s="84" t="inlineStr">
        <is>
          <t>Warrior Met Coal, Inc.</t>
        </is>
      </c>
      <c r="AM54" t="inlineStr">
        <is>
          <t>Basic Materials</t>
        </is>
      </c>
      <c r="AN54" t="inlineStr">
        <is>
          <t>Coking Coal</t>
        </is>
      </c>
      <c r="AO54" t="n">
        <v>96</v>
      </c>
    </row>
    <row r="55">
      <c r="A55" s="64" t="inlineStr">
        <is>
          <t>AMAT</t>
        </is>
      </c>
      <c r="B55" s="65" t="n"/>
      <c r="C55" s="66" t="n"/>
      <c r="D55" s="67" t="n"/>
      <c r="E55" s="68" t="n"/>
      <c r="F55" s="47">
        <f>IF(A55="","",IF(MIN(H55,MAX(J55:K55))=0,"",MIN(H55,MAX(J55:K55))))</f>
        <v/>
      </c>
      <c r="G55" s="74" t="n"/>
      <c r="H55" s="49">
        <f>IF(M55="","",IFERROR(ROUND(AVERAGE(T55+M55*{7,8,9,10,11})/1.21,4),""))</f>
        <v/>
      </c>
      <c r="I55" s="76" t="n">
        <v>327.010009765625</v>
      </c>
      <c r="J55" s="77" t="n">
        <v>301.959758998738</v>
      </c>
      <c r="K55" s="74" t="n">
        <v>280.8075012207031</v>
      </c>
      <c r="L55" s="78" t="n">
        <v>199.5918003845215</v>
      </c>
      <c r="M55" s="77" t="n">
        <v>11.00719625247342</v>
      </c>
      <c r="N55" s="53">
        <f>IF(M55="","",IFERROR(M55/I55,""))</f>
        <v/>
      </c>
      <c r="O55" s="50">
        <f>IF(A55="","",IFERROR((IF(G55="",I55,G55)-T55)/M55,""))</f>
        <v/>
      </c>
      <c r="P55" s="50">
        <f>IFERROR((I55/T55-1)/N55,"")</f>
        <v/>
      </c>
      <c r="Q55" s="46">
        <f>IF(OR(T55="",I55&lt;T55),"",IFERROR(R55/IF(G55="",I55,G55)-1,""))</f>
        <v/>
      </c>
      <c r="R55" s="48">
        <f>IF($M55="","",MAX(IF($G55="",$I55,$G55)*(1/1.1),IF($G55="",$I55,$G55)+(R$2*$M55)))</f>
        <v/>
      </c>
      <c r="S55" s="49">
        <f>IF($M55="","",MAX(IF($G55="",$I55,$G55)*(1/1.1),IF($G55="",$I55,$G55)+(S$2*$M55)))</f>
        <v/>
      </c>
      <c r="T55" s="82" t="n">
        <v>260.1489999389648</v>
      </c>
      <c r="U55" s="47">
        <f>IF(OR($M55="",$T55=""),"",$T55+(U$2*$M55))</f>
        <v/>
      </c>
      <c r="V55" s="48">
        <f>IF(OR($M55="",$T55=""),"",$T55+(V$2*$M55))</f>
        <v/>
      </c>
      <c r="W55" s="48">
        <f>IF(OR($M55="",$T55=""),"",$T55+(W$2*$M55))</f>
        <v/>
      </c>
      <c r="X55" s="49">
        <f>IF(OR($M55="",$T55=""),"",$T55+(X$2*$M55))</f>
        <v/>
      </c>
      <c r="Y55" s="47">
        <f>IF(OR($M55="",$T55=""),"",$T55+(Y$2*$M55))</f>
        <v/>
      </c>
      <c r="Z55" s="49">
        <f>IF(OR($M55="",$T55=""),"",$T55+(Z$2*$M55))</f>
        <v/>
      </c>
      <c r="AA55" s="51">
        <f>IF(OR($M55="",$T55=""),"",$T55+(AA$2*$M55))</f>
        <v/>
      </c>
      <c r="AB55" s="48">
        <f>IF(OR($M55="",$T55=""),"",$T55+(AB$2*$M55))</f>
        <v/>
      </c>
      <c r="AC55" s="48">
        <f>IF(OR($M55="",$T55=""),"",$T55+(AC$2*$M55))</f>
        <v/>
      </c>
      <c r="AD55" s="48">
        <f>IF(OR($M55="",$T55=""),"",$T55+(AD$2*$M55))</f>
        <v/>
      </c>
      <c r="AE55" s="49">
        <f>IF(OR($M55="",$T55=""),"",$T55+(AE$2*$M55))</f>
        <v/>
      </c>
      <c r="AF55" s="52">
        <f>IF(OR(T55="",I55&lt;T55),"",IFERROR(AVERAGE(T55+M55*{7,8,9,10,11})/IF(G55="",I55,G55)-1,""))</f>
        <v/>
      </c>
      <c r="AG55" s="55">
        <f>IF(OR(T55="",I55&lt;T55),"",IFERROR(AF55/-(R55/IF(G55="",I55,G55)-1),""))</f>
        <v/>
      </c>
      <c r="AH55" s="94" t="n">
        <v>1</v>
      </c>
      <c r="AI55" s="94" t="n">
        <v>165.1003914992994</v>
      </c>
      <c r="AJ55" s="94" t="n">
        <v>1</v>
      </c>
      <c r="AK55" s="94" t="inlineStr">
        <is>
          <t>OTT Up Trend</t>
        </is>
      </c>
      <c r="AL55" s="84" t="inlineStr">
        <is>
          <t>Applied Materials, Inc.</t>
        </is>
      </c>
      <c r="AM55" t="inlineStr">
        <is>
          <t>Technology</t>
        </is>
      </c>
      <c r="AN55" t="inlineStr">
        <is>
          <t>Semiconductor Equipment &amp; Materials</t>
        </is>
      </c>
      <c r="AO55" t="n">
        <v>96</v>
      </c>
    </row>
    <row r="56">
      <c r="A56" s="64" t="inlineStr">
        <is>
          <t>MP</t>
        </is>
      </c>
      <c r="B56" s="65" t="n"/>
      <c r="C56" s="66" t="n"/>
      <c r="D56" s="67" t="n"/>
      <c r="E56" s="68" t="n"/>
      <c r="F56" s="47">
        <f>IF(A56="","",IF(MIN(H56,MAX(J56:K56))=0,"",MIN(H56,MAX(J56:K56))))</f>
        <v/>
      </c>
      <c r="G56" s="74" t="n"/>
      <c r="H56" s="49">
        <f>IF(M56="","",IFERROR(ROUND(AVERAGE(T56+M56*{7,8,9,10,11})/1.21,4),""))</f>
        <v/>
      </c>
      <c r="I56" s="76" t="n">
        <v>68.98000335693359</v>
      </c>
      <c r="J56" s="77" t="n">
        <v>63.93021701129684</v>
      </c>
      <c r="K56" s="74" t="n">
        <v>58.4265001296997</v>
      </c>
      <c r="L56" s="78" t="n">
        <v>51.6753999042511</v>
      </c>
      <c r="M56" s="77" t="n">
        <v>3.909981827105612</v>
      </c>
      <c r="N56" s="53">
        <f>IF(M56="","",IFERROR(M56/I56,""))</f>
        <v/>
      </c>
      <c r="O56" s="50">
        <f>IF(A56="","",IFERROR((IF(G56="",I56,G56)-T56)/M56,""))</f>
        <v/>
      </c>
      <c r="P56" s="50">
        <f>IFERROR((I56/T56-1)/N56,"")</f>
        <v/>
      </c>
      <c r="Q56" s="46">
        <f>IF(OR(T56="",I56&lt;T56),"",IFERROR(R56/IF(G56="",I56,G56)-1,""))</f>
        <v/>
      </c>
      <c r="R56" s="48">
        <f>IF($M56="","",MAX(IF($G56="",$I56,$G56)*(1/1.1),IF($G56="",$I56,$G56)+(R$2*$M56)))</f>
        <v/>
      </c>
      <c r="S56" s="49">
        <f>IF($M56="","",MAX(IF($G56="",$I56,$G56)*(1/1.1),IF($G56="",$I56,$G56)+(S$2*$M56)))</f>
        <v/>
      </c>
      <c r="T56" s="82" t="n">
        <v>58.44699989318848</v>
      </c>
      <c r="U56" s="47">
        <f>IF(OR($M56="",$T56=""),"",$T56+(U$2*$M56))</f>
        <v/>
      </c>
      <c r="V56" s="48">
        <f>IF(OR($M56="",$T56=""),"",$T56+(V$2*$M56))</f>
        <v/>
      </c>
      <c r="W56" s="48">
        <f>IF(OR($M56="",$T56=""),"",$T56+(W$2*$M56))</f>
        <v/>
      </c>
      <c r="X56" s="49">
        <f>IF(OR($M56="",$T56=""),"",$T56+(X$2*$M56))</f>
        <v/>
      </c>
      <c r="Y56" s="47">
        <f>IF(OR($M56="",$T56=""),"",$T56+(Y$2*$M56))</f>
        <v/>
      </c>
      <c r="Z56" s="49">
        <f>IF(OR($M56="",$T56=""),"",$T56+(Z$2*$M56))</f>
        <v/>
      </c>
      <c r="AA56" s="51">
        <f>IF(OR($M56="",$T56=""),"",$T56+(AA$2*$M56))</f>
        <v/>
      </c>
      <c r="AB56" s="48">
        <f>IF(OR($M56="",$T56=""),"",$T56+(AB$2*$M56))</f>
        <v/>
      </c>
      <c r="AC56" s="48">
        <f>IF(OR($M56="",$T56=""),"",$T56+(AC$2*$M56))</f>
        <v/>
      </c>
      <c r="AD56" s="48">
        <f>IF(OR($M56="",$T56=""),"",$T56+(AD$2*$M56))</f>
        <v/>
      </c>
      <c r="AE56" s="49">
        <f>IF(OR($M56="",$T56=""),"",$T56+(AE$2*$M56))</f>
        <v/>
      </c>
      <c r="AF56" s="52">
        <f>IF(OR(T56="",I56&lt;T56),"",IFERROR(AVERAGE(T56+M56*{7,8,9,10,11})/IF(G56="",I56,G56)-1,""))</f>
        <v/>
      </c>
      <c r="AG56" s="55">
        <f>IF(OR(T56="",I56&lt;T56),"",IFERROR(AF56/-(R56/IF(G56="",I56,G56)-1),""))</f>
        <v/>
      </c>
      <c r="AH56" s="94" t="n">
        <v>1</v>
      </c>
      <c r="AI56" s="94" t="n">
        <v>65.19196767684704</v>
      </c>
      <c r="AJ56" s="94" t="n">
        <v>1</v>
      </c>
      <c r="AK56" s="94" t="inlineStr">
        <is>
          <t>OTT Turned Up</t>
        </is>
      </c>
      <c r="AL56" s="84" t="inlineStr">
        <is>
          <t>MP Materials Corp.</t>
        </is>
      </c>
      <c r="AM56" t="inlineStr">
        <is>
          <t>Basic Materials</t>
        </is>
      </c>
      <c r="AN56" t="inlineStr">
        <is>
          <t>Other Industrial Metals &amp; Mining</t>
        </is>
      </c>
      <c r="AO56" t="n">
        <v>96</v>
      </c>
    </row>
    <row r="57">
      <c r="A57" s="64" t="inlineStr">
        <is>
          <t>AVAV</t>
        </is>
      </c>
      <c r="B57" s="65" t="n"/>
      <c r="C57" s="66" t="n"/>
      <c r="D57" s="67" t="n"/>
      <c r="E57" s="68" t="n"/>
      <c r="F57" s="47">
        <f>IF(A57="","",IF(MIN(H57,MAX(J57:K57))=0,"",MIN(H57,MAX(J57:K57))))</f>
        <v/>
      </c>
      <c r="G57" s="74" t="n"/>
      <c r="H57" s="49">
        <f>IF(M57="","",IFERROR(ROUND(AVERAGE(T57+M57*{7,8,9,10,11})/1.21,4),""))</f>
        <v/>
      </c>
      <c r="I57" s="76" t="n">
        <v>392.8599853515625</v>
      </c>
      <c r="J57" s="77" t="n">
        <v>352.1040772734735</v>
      </c>
      <c r="K57" s="74" t="n">
        <v>301.3904975891113</v>
      </c>
      <c r="L57" s="78" t="n">
        <v>254.1864003753662</v>
      </c>
      <c r="M57" s="77" t="n">
        <v>20.50832126750788</v>
      </c>
      <c r="N57" s="53">
        <f>IF(M57="","",IFERROR(M57/I57,""))</f>
        <v/>
      </c>
      <c r="O57" s="50">
        <f>IF(A57="","",IFERROR((IF(G57="",I57,G57)-T57)/M57,""))</f>
        <v/>
      </c>
      <c r="P57" s="50">
        <f>IFERROR((I57/T57-1)/N57,"")</f>
        <v/>
      </c>
      <c r="Q57" s="46">
        <f>IF(OR(T57="",I57&lt;T57),"",IFERROR(R57/IF(G57="",I57,G57)-1,""))</f>
        <v/>
      </c>
      <c r="R57" s="48">
        <f>IF($M57="","",MAX(IF($G57="",$I57,$G57)*(1/1.1),IF($G57="",$I57,$G57)+(R$2*$M57)))</f>
        <v/>
      </c>
      <c r="S57" s="49">
        <f>IF($M57="","",MAX(IF($G57="",$I57,$G57)*(1/1.1),IF($G57="",$I57,$G57)+(S$2*$M57)))</f>
        <v/>
      </c>
      <c r="T57" s="82" t="n">
        <v>289.4274002075196</v>
      </c>
      <c r="U57" s="47">
        <f>IF(OR($M57="",$T57=""),"",$T57+(U$2*$M57))</f>
        <v/>
      </c>
      <c r="V57" s="48">
        <f>IF(OR($M57="",$T57=""),"",$T57+(V$2*$M57))</f>
        <v/>
      </c>
      <c r="W57" s="48">
        <f>IF(OR($M57="",$T57=""),"",$T57+(W$2*$M57))</f>
        <v/>
      </c>
      <c r="X57" s="49">
        <f>IF(OR($M57="",$T57=""),"",$T57+(X$2*$M57))</f>
        <v/>
      </c>
      <c r="Y57" s="47">
        <f>IF(OR($M57="",$T57=""),"",$T57+(Y$2*$M57))</f>
        <v/>
      </c>
      <c r="Z57" s="49">
        <f>IF(OR($M57="",$T57=""),"",$T57+(Z$2*$M57))</f>
        <v/>
      </c>
      <c r="AA57" s="51">
        <f>IF(OR($M57="",$T57=""),"",$T57+(AA$2*$M57))</f>
        <v/>
      </c>
      <c r="AB57" s="48">
        <f>IF(OR($M57="",$T57=""),"",$T57+(AB$2*$M57))</f>
        <v/>
      </c>
      <c r="AC57" s="48">
        <f>IF(OR($M57="",$T57=""),"",$T57+(AC$2*$M57))</f>
        <v/>
      </c>
      <c r="AD57" s="48">
        <f>IF(OR($M57="",$T57=""),"",$T57+(AD$2*$M57))</f>
        <v/>
      </c>
      <c r="AE57" s="49">
        <f>IF(OR($M57="",$T57=""),"",$T57+(AE$2*$M57))</f>
        <v/>
      </c>
      <c r="AF57" s="52">
        <f>IF(OR(T57="",I57&lt;T57),"",IFERROR(AVERAGE(T57+M57*{7,8,9,10,11})/IF(G57="",I57,G57)-1,""))</f>
        <v/>
      </c>
      <c r="AG57" s="55">
        <f>IF(OR(T57="",I57&lt;T57),"",IFERROR(AF57/-(R57/IF(G57="",I57,G57)-1),""))</f>
        <v/>
      </c>
      <c r="AH57" s="94" t="n">
        <v>1</v>
      </c>
      <c r="AI57" s="94" t="n">
        <v>163.4083677976327</v>
      </c>
      <c r="AJ57" s="94" t="n">
        <v>1</v>
      </c>
      <c r="AK57" s="94" t="inlineStr">
        <is>
          <t>OTT Up Trend</t>
        </is>
      </c>
      <c r="AL57" s="84" t="inlineStr">
        <is>
          <t>AeroVironment, Inc.</t>
        </is>
      </c>
      <c r="AM57" t="inlineStr">
        <is>
          <t>Industrials</t>
        </is>
      </c>
      <c r="AN57" t="inlineStr">
        <is>
          <t>Aerospace &amp; Defense</t>
        </is>
      </c>
      <c r="AO57" t="n">
        <v>96</v>
      </c>
    </row>
    <row r="58">
      <c r="A58" s="64" t="inlineStr">
        <is>
          <t>KSS</t>
        </is>
      </c>
      <c r="B58" s="65" t="n"/>
      <c r="C58" s="66" t="n"/>
      <c r="D58" s="67" t="n"/>
      <c r="E58" s="68" t="n"/>
      <c r="F58" s="47">
        <f>IF(A58="","",IF(MIN(H58,MAX(J58:K58))=0,"",MIN(H58,MAX(J58:K58))))</f>
        <v/>
      </c>
      <c r="G58" s="74" t="n"/>
      <c r="H58" s="49">
        <f>IF(M58="","",IFERROR(ROUND(AVERAGE(T58+M58*{7,8,9,10,11})/1.21,4),""))</f>
        <v/>
      </c>
      <c r="I58" s="76" t="n">
        <v>18.6200008392334</v>
      </c>
      <c r="J58" s="77" t="n">
        <v>20.0483073330596</v>
      </c>
      <c r="K58" s="74" t="n">
        <v>20.95650014877319</v>
      </c>
      <c r="L58" s="78" t="n">
        <v>13.73000000715256</v>
      </c>
      <c r="M58" s="77" t="n">
        <v>1.153068121477212</v>
      </c>
      <c r="N58" s="53">
        <f>IF(M58="","",IFERROR(M58/I58,""))</f>
        <v/>
      </c>
      <c r="O58" s="50">
        <f>IF(A58="","",IFERROR((IF(G58="",I58,G58)-T58)/M58,""))</f>
        <v/>
      </c>
      <c r="P58" s="50">
        <f>IFERROR((I58/T58-1)/N58,"")</f>
        <v/>
      </c>
      <c r="Q58" s="46">
        <f>IF(OR(T58="",I58&lt;T58),"",IFERROR(R58/IF(G58="",I58,G58)-1,""))</f>
        <v/>
      </c>
      <c r="R58" s="48">
        <f>IF($M58="","",MAX(IF($G58="",$I58,$G58)*(1/1.1),IF($G58="",$I58,$G58)+(R$2*$M58)))</f>
        <v/>
      </c>
      <c r="S58" s="49">
        <f>IF($M58="","",MAX(IF($G58="",$I58,$G58)*(1/1.1),IF($G58="",$I58,$G58)+(S$2*$M58)))</f>
        <v/>
      </c>
      <c r="T58" s="82" t="n">
        <v>20.50460000991821</v>
      </c>
      <c r="U58" s="47">
        <f>IF(OR($M58="",$T58=""),"",$T58+(U$2*$M58))</f>
        <v/>
      </c>
      <c r="V58" s="48">
        <f>IF(OR($M58="",$T58=""),"",$T58+(V$2*$M58))</f>
        <v/>
      </c>
      <c r="W58" s="48">
        <f>IF(OR($M58="",$T58=""),"",$T58+(W$2*$M58))</f>
        <v/>
      </c>
      <c r="X58" s="49">
        <f>IF(OR($M58="",$T58=""),"",$T58+(X$2*$M58))</f>
        <v/>
      </c>
      <c r="Y58" s="47">
        <f>IF(OR($M58="",$T58=""),"",$T58+(Y$2*$M58))</f>
        <v/>
      </c>
      <c r="Z58" s="49">
        <f>IF(OR($M58="",$T58=""),"",$T58+(Z$2*$M58))</f>
        <v/>
      </c>
      <c r="AA58" s="51">
        <f>IF(OR($M58="",$T58=""),"",$T58+(AA$2*$M58))</f>
        <v/>
      </c>
      <c r="AB58" s="48">
        <f>IF(OR($M58="",$T58=""),"",$T58+(AB$2*$M58))</f>
        <v/>
      </c>
      <c r="AC58" s="48">
        <f>IF(OR($M58="",$T58=""),"",$T58+(AC$2*$M58))</f>
        <v/>
      </c>
      <c r="AD58" s="48">
        <f>IF(OR($M58="",$T58=""),"",$T58+(AD$2*$M58))</f>
        <v/>
      </c>
      <c r="AE58" s="49">
        <f>IF(OR($M58="",$T58=""),"",$T58+(AE$2*$M58))</f>
        <v/>
      </c>
      <c r="AF58" s="52">
        <f>IF(OR(T58="",I58&lt;T58),"",IFERROR(AVERAGE(T58+M58*{7,8,9,10,11})/IF(G58="",I58,G58)-1,""))</f>
        <v/>
      </c>
      <c r="AG58" s="55">
        <f>IF(OR(T58="",I58&lt;T58),"",IFERROR(AF58/-(R58/IF(G58="",I58,G58)-1),""))</f>
        <v/>
      </c>
      <c r="AH58" s="94" t="n">
        <v>-1</v>
      </c>
      <c r="AI58" s="94" t="n">
        <v>-40.8929636725719</v>
      </c>
      <c r="AJ58" s="94" t="n">
        <v>0</v>
      </c>
      <c r="AK58" s="94" t="inlineStr">
        <is>
          <t>None</t>
        </is>
      </c>
      <c r="AL58" s="84" t="inlineStr">
        <is>
          <t>Kohl's Corporation</t>
        </is>
      </c>
      <c r="AM58" t="inlineStr">
        <is>
          <t>Consumer Cyclical</t>
        </is>
      </c>
      <c r="AN58" t="inlineStr">
        <is>
          <t>Department Stores</t>
        </is>
      </c>
      <c r="AO58" t="n">
        <v>96</v>
      </c>
    </row>
    <row r="59">
      <c r="A59" s="64" t="inlineStr">
        <is>
          <t>MTSI</t>
        </is>
      </c>
      <c r="B59" s="65" t="n"/>
      <c r="C59" s="66" t="n"/>
      <c r="D59" s="67" t="n"/>
      <c r="E59" s="68" t="n"/>
      <c r="F59" s="47">
        <f>IF(A59="","",IF(MIN(H59,MAX(J59:K59))=0,"",MIN(H59,MAX(J59:K59))))</f>
        <v/>
      </c>
      <c r="G59" s="74" t="n"/>
      <c r="H59" s="49">
        <f>IF(M59="","",IFERROR(ROUND(AVERAGE(T59+M59*{7,8,9,10,11})/1.21,4),""))</f>
        <v/>
      </c>
      <c r="I59" s="76" t="n">
        <v>220.6799926757812</v>
      </c>
      <c r="J59" s="77" t="n">
        <v>199.4856474780676</v>
      </c>
      <c r="K59" s="74" t="n">
        <v>183.2184989929199</v>
      </c>
      <c r="L59" s="78" t="n">
        <v>139.2168001174927</v>
      </c>
      <c r="M59" s="77" t="n">
        <v>8.518999600108481</v>
      </c>
      <c r="N59" s="53">
        <f>IF(M59="","",IFERROR(M59/I59,""))</f>
        <v/>
      </c>
      <c r="O59" s="50">
        <f>IF(A59="","",IFERROR((IF(G59="",I59,G59)-T59)/M59,""))</f>
        <v/>
      </c>
      <c r="P59" s="50">
        <f>IFERROR((I59/T59-1)/N59,"")</f>
        <v/>
      </c>
      <c r="Q59" s="46">
        <f>IF(OR(T59="",I59&lt;T59),"",IFERROR(R59/IF(G59="",I59,G59)-1,""))</f>
        <v/>
      </c>
      <c r="R59" s="48">
        <f>IF($M59="","",MAX(IF($G59="",$I59,$G59)*(1/1.1),IF($G59="",$I59,$G59)+(R$2*$M59)))</f>
        <v/>
      </c>
      <c r="S59" s="49">
        <f>IF($M59="","",MAX(IF($G59="",$I59,$G59)*(1/1.1),IF($G59="",$I59,$G59)+(S$2*$M59)))</f>
        <v/>
      </c>
      <c r="T59" s="82" t="n">
        <v>176.2988000488281</v>
      </c>
      <c r="U59" s="47">
        <f>IF(OR($M59="",$T59=""),"",$T59+(U$2*$M59))</f>
        <v/>
      </c>
      <c r="V59" s="48">
        <f>IF(OR($M59="",$T59=""),"",$T59+(V$2*$M59))</f>
        <v/>
      </c>
      <c r="W59" s="48">
        <f>IF(OR($M59="",$T59=""),"",$T59+(W$2*$M59))</f>
        <v/>
      </c>
      <c r="X59" s="49">
        <f>IF(OR($M59="",$T59=""),"",$T59+(X$2*$M59))</f>
        <v/>
      </c>
      <c r="Y59" s="47">
        <f>IF(OR($M59="",$T59=""),"",$T59+(Y$2*$M59))</f>
        <v/>
      </c>
      <c r="Z59" s="49">
        <f>IF(OR($M59="",$T59=""),"",$T59+(Z$2*$M59))</f>
        <v/>
      </c>
      <c r="AA59" s="51">
        <f>IF(OR($M59="",$T59=""),"",$T59+(AA$2*$M59))</f>
        <v/>
      </c>
      <c r="AB59" s="48">
        <f>IF(OR($M59="",$T59=""),"",$T59+(AB$2*$M59))</f>
        <v/>
      </c>
      <c r="AC59" s="48">
        <f>IF(OR($M59="",$T59=""),"",$T59+(AC$2*$M59))</f>
        <v/>
      </c>
      <c r="AD59" s="48">
        <f>IF(OR($M59="",$T59=""),"",$T59+(AD$2*$M59))</f>
        <v/>
      </c>
      <c r="AE59" s="49">
        <f>IF(OR($M59="",$T59=""),"",$T59+(AE$2*$M59))</f>
        <v/>
      </c>
      <c r="AF59" s="52">
        <f>IF(OR(T59="",I59&lt;T59),"",IFERROR(AVERAGE(T59+M59*{7,8,9,10,11})/IF(G59="",I59,G59)-1,""))</f>
        <v/>
      </c>
      <c r="AG59" s="55">
        <f>IF(OR(T59="",I59&lt;T59),"",IFERROR(AF59/-(R59/IF(G59="",I59,G59)-1),""))</f>
        <v/>
      </c>
      <c r="AH59" s="94" t="n">
        <v>1</v>
      </c>
      <c r="AI59" s="94" t="n">
        <v>139.7060367572862</v>
      </c>
      <c r="AJ59" s="94" t="n">
        <v>1</v>
      </c>
      <c r="AK59" s="94" t="inlineStr">
        <is>
          <t>OTT Up Trend</t>
        </is>
      </c>
      <c r="AL59" s="84" t="inlineStr">
        <is>
          <t>MACOM Technology Solutions Hold</t>
        </is>
      </c>
      <c r="AM59" t="inlineStr">
        <is>
          <t>Technology</t>
        </is>
      </c>
      <c r="AN59" t="inlineStr">
        <is>
          <t>Semiconductors</t>
        </is>
      </c>
      <c r="AO59" t="n">
        <v>96</v>
      </c>
    </row>
    <row r="60">
      <c r="A60" s="64" t="inlineStr">
        <is>
          <t>POWL</t>
        </is>
      </c>
      <c r="B60" s="65" t="n"/>
      <c r="C60" s="66" t="n"/>
      <c r="D60" s="67" t="n"/>
      <c r="E60" s="68" t="n"/>
      <c r="F60" s="47">
        <f>IF(A60="","",IF(MIN(H60,MAX(J60:K60))=0,"",MIN(H60,MAX(J60:K60))))</f>
        <v/>
      </c>
      <c r="G60" s="74" t="n"/>
      <c r="H60" s="49">
        <f>IF(M60="","",IFERROR(ROUND(AVERAGE(T60+M60*{7,8,9,10,11})/1.21,4),""))</f>
        <v/>
      </c>
      <c r="I60" s="76" t="n">
        <v>419.9800109863281</v>
      </c>
      <c r="J60" s="77" t="n">
        <v>385.6607267146727</v>
      </c>
      <c r="K60" s="74" t="n">
        <v>358.1760009765625</v>
      </c>
      <c r="L60" s="78" t="n">
        <v>265.2696504211426</v>
      </c>
      <c r="M60" s="77" t="n">
        <v>19.58785603764872</v>
      </c>
      <c r="N60" s="53">
        <f>IF(M60="","",IFERROR(M60/I60,""))</f>
        <v/>
      </c>
      <c r="O60" s="50">
        <f>IF(A60="","",IFERROR((IF(G60="",I60,G60)-T60)/M60,""))</f>
        <v/>
      </c>
      <c r="P60" s="50">
        <f>IFERROR((I60/T60-1)/N60,"")</f>
        <v/>
      </c>
      <c r="Q60" s="46">
        <f>IF(OR(T60="",I60&lt;T60),"",IFERROR(R60/IF(G60="",I60,G60)-1,""))</f>
        <v/>
      </c>
      <c r="R60" s="48">
        <f>IF($M60="","",MAX(IF($G60="",$I60,$G60)*(1/1.1),IF($G60="",$I60,$G60)+(R$2*$M60)))</f>
        <v/>
      </c>
      <c r="S60" s="49">
        <f>IF($M60="","",MAX(IF($G60="",$I60,$G60)*(1/1.1),IF($G60="",$I60,$G60)+(S$2*$M60)))</f>
        <v/>
      </c>
      <c r="T60" s="82" t="n">
        <v>343.5941998291016</v>
      </c>
      <c r="U60" s="47">
        <f>IF(OR($M60="",$T60=""),"",$T60+(U$2*$M60))</f>
        <v/>
      </c>
      <c r="V60" s="48">
        <f>IF(OR($M60="",$T60=""),"",$T60+(V$2*$M60))</f>
        <v/>
      </c>
      <c r="W60" s="48">
        <f>IF(OR($M60="",$T60=""),"",$T60+(W$2*$M60))</f>
        <v/>
      </c>
      <c r="X60" s="49">
        <f>IF(OR($M60="",$T60=""),"",$T60+(X$2*$M60))</f>
        <v/>
      </c>
      <c r="Y60" s="47">
        <f>IF(OR($M60="",$T60=""),"",$T60+(Y$2*$M60))</f>
        <v/>
      </c>
      <c r="Z60" s="49">
        <f>IF(OR($M60="",$T60=""),"",$T60+(Z$2*$M60))</f>
        <v/>
      </c>
      <c r="AA60" s="51">
        <f>IF(OR($M60="",$T60=""),"",$T60+(AA$2*$M60))</f>
        <v/>
      </c>
      <c r="AB60" s="48">
        <f>IF(OR($M60="",$T60=""),"",$T60+(AB$2*$M60))</f>
        <v/>
      </c>
      <c r="AC60" s="48">
        <f>IF(OR($M60="",$T60=""),"",$T60+(AC$2*$M60))</f>
        <v/>
      </c>
      <c r="AD60" s="48">
        <f>IF(OR($M60="",$T60=""),"",$T60+(AD$2*$M60))</f>
        <v/>
      </c>
      <c r="AE60" s="49">
        <f>IF(OR($M60="",$T60=""),"",$T60+(AE$2*$M60))</f>
        <v/>
      </c>
      <c r="AF60" s="52">
        <f>IF(OR(T60="",I60&lt;T60),"",IFERROR(AVERAGE(T60+M60*{7,8,9,10,11})/IF(G60="",I60,G60)-1,""))</f>
        <v/>
      </c>
      <c r="AG60" s="55">
        <f>IF(OR(T60="",I60&lt;T60),"",IFERROR(AF60/-(R60/IF(G60="",I60,G60)-1),""))</f>
        <v/>
      </c>
      <c r="AH60" s="94" t="n">
        <v>1</v>
      </c>
      <c r="AI60" s="94" t="n">
        <v>97.35682783249347</v>
      </c>
      <c r="AJ60" s="94" t="n">
        <v>1</v>
      </c>
      <c r="AK60" s="94" t="inlineStr">
        <is>
          <t>OTT Up Trend</t>
        </is>
      </c>
      <c r="AL60" s="84" t="inlineStr">
        <is>
          <t>Powell Industries, Inc.</t>
        </is>
      </c>
      <c r="AM60" t="inlineStr">
        <is>
          <t>Industrials</t>
        </is>
      </c>
      <c r="AN60" t="inlineStr">
        <is>
          <t>Electrical Equipment &amp; Parts</t>
        </is>
      </c>
      <c r="AO60" t="n">
        <v>96</v>
      </c>
    </row>
    <row r="61">
      <c r="A61" s="64" t="inlineStr">
        <is>
          <t>KRYS</t>
        </is>
      </c>
      <c r="B61" s="65" t="n"/>
      <c r="C61" s="66" t="n"/>
      <c r="D61" s="67" t="n"/>
      <c r="E61" s="68" t="n"/>
      <c r="F61" s="47">
        <f>IF(A61="","",IF(MIN(H61,MAX(J61:K61))=0,"",MIN(H61,MAX(J61:K61))))</f>
        <v/>
      </c>
      <c r="G61" s="74" t="n"/>
      <c r="H61" s="49">
        <f>IF(M61="","",IFERROR(ROUND(AVERAGE(T61+M61*{7,8,9,10,11})/1.21,4),""))</f>
        <v/>
      </c>
      <c r="I61" s="76" t="n">
        <v>285.0400085449219</v>
      </c>
      <c r="J61" s="77" t="n">
        <v>272.1105974927736</v>
      </c>
      <c r="K61" s="74" t="n">
        <v>257.4650009155274</v>
      </c>
      <c r="L61" s="78" t="n">
        <v>174.5122007369995</v>
      </c>
      <c r="M61" s="77" t="n">
        <v>10.88052509935509</v>
      </c>
      <c r="N61" s="53">
        <f>IF(M61="","",IFERROR(M61/I61,""))</f>
        <v/>
      </c>
      <c r="O61" s="50">
        <f>IF(A61="","",IFERROR((IF(G61="",I61,G61)-T61)/M61,""))</f>
        <v/>
      </c>
      <c r="P61" s="50">
        <f>IFERROR((I61/T61-1)/N61,"")</f>
        <v/>
      </c>
      <c r="Q61" s="46">
        <f>IF(OR(T61="",I61&lt;T61),"",IFERROR(R61/IF(G61="",I61,G61)-1,""))</f>
        <v/>
      </c>
      <c r="R61" s="48">
        <f>IF($M61="","",MAX(IF($G61="",$I61,$G61)*(1/1.1),IF($G61="",$I61,$G61)+(R$2*$M61)))</f>
        <v/>
      </c>
      <c r="S61" s="49">
        <f>IF($M61="","",MAX(IF($G61="",$I61,$G61)*(1/1.1),IF($G61="",$I61,$G61)+(S$2*$M61)))</f>
        <v/>
      </c>
      <c r="T61" s="82" t="n">
        <v>233.6558010864258</v>
      </c>
      <c r="U61" s="47">
        <f>IF(OR($M61="",$T61=""),"",$T61+(U$2*$M61))</f>
        <v/>
      </c>
      <c r="V61" s="48">
        <f>IF(OR($M61="",$T61=""),"",$T61+(V$2*$M61))</f>
        <v/>
      </c>
      <c r="W61" s="48">
        <f>IF(OR($M61="",$T61=""),"",$T61+(W$2*$M61))</f>
        <v/>
      </c>
      <c r="X61" s="49">
        <f>IF(OR($M61="",$T61=""),"",$T61+(X$2*$M61))</f>
        <v/>
      </c>
      <c r="Y61" s="47">
        <f>IF(OR($M61="",$T61=""),"",$T61+(Y$2*$M61))</f>
        <v/>
      </c>
      <c r="Z61" s="49">
        <f>IF(OR($M61="",$T61=""),"",$T61+(Z$2*$M61))</f>
        <v/>
      </c>
      <c r="AA61" s="51">
        <f>IF(OR($M61="",$T61=""),"",$T61+(AA$2*$M61))</f>
        <v/>
      </c>
      <c r="AB61" s="48">
        <f>IF(OR($M61="",$T61=""),"",$T61+(AB$2*$M61))</f>
        <v/>
      </c>
      <c r="AC61" s="48">
        <f>IF(OR($M61="",$T61=""),"",$T61+(AC$2*$M61))</f>
        <v/>
      </c>
      <c r="AD61" s="48">
        <f>IF(OR($M61="",$T61=""),"",$T61+(AD$2*$M61))</f>
        <v/>
      </c>
      <c r="AE61" s="49">
        <f>IF(OR($M61="",$T61=""),"",$T61+(AE$2*$M61))</f>
        <v/>
      </c>
      <c r="AF61" s="52">
        <f>IF(OR(T61="",I61&lt;T61),"",IFERROR(AVERAGE(T61+M61*{7,8,9,10,11})/IF(G61="",I61,G61)-1,""))</f>
        <v/>
      </c>
      <c r="AG61" s="55">
        <f>IF(OR(T61="",I61&lt;T61),"",IFERROR(AF61/-(R61/IF(G61="",I61,G61)-1),""))</f>
        <v/>
      </c>
      <c r="AH61" s="94" t="n">
        <v>1</v>
      </c>
      <c r="AI61" s="94" t="n">
        <v>150.0564805128973</v>
      </c>
      <c r="AJ61" s="94" t="n">
        <v>1</v>
      </c>
      <c r="AK61" s="94" t="inlineStr">
        <is>
          <t>OTT Up Trend</t>
        </is>
      </c>
      <c r="AL61" s="84" t="inlineStr">
        <is>
          <t>Krystal Biotech, Inc.</t>
        </is>
      </c>
      <c r="AM61" t="inlineStr">
        <is>
          <t>Healthcare</t>
        </is>
      </c>
      <c r="AN61" t="inlineStr">
        <is>
          <t>Biotechnology</t>
        </is>
      </c>
      <c r="AO61" t="n">
        <v>96</v>
      </c>
    </row>
    <row r="62">
      <c r="A62" s="64" t="inlineStr">
        <is>
          <t>APH</t>
        </is>
      </c>
      <c r="B62" s="65" t="n"/>
      <c r="C62" s="66" t="n"/>
      <c r="D62" s="67" t="n"/>
      <c r="E62" s="68" t="n"/>
      <c r="F62" s="47">
        <f>IF(A62="","",IF(MIN(H62,MAX(J62:K62))=0,"",MIN(H62,MAX(J62:K62))))</f>
        <v/>
      </c>
      <c r="G62" s="74" t="n"/>
      <c r="H62" s="49">
        <f>IF(M62="","",IFERROR(ROUND(AVERAGE(T62+M62*{7,8,9,10,11})/1.21,4),""))</f>
        <v/>
      </c>
      <c r="I62" s="76" t="n">
        <v>154.3899993896484</v>
      </c>
      <c r="J62" s="77" t="n">
        <v>146.1731920469381</v>
      </c>
      <c r="K62" s="74" t="n">
        <v>140.325</v>
      </c>
      <c r="L62" s="78" t="n">
        <v>110.8660000038147</v>
      </c>
      <c r="M62" s="77" t="n">
        <v>4.740539504940253</v>
      </c>
      <c r="N62" s="53">
        <f>IF(M62="","",IFERROR(M62/I62,""))</f>
        <v/>
      </c>
      <c r="O62" s="50">
        <f>IF(A62="","",IFERROR((IF(G62="",I62,G62)-T62)/M62,""))</f>
        <v/>
      </c>
      <c r="P62" s="50">
        <f>IFERROR((I62/T62-1)/N62,"")</f>
        <v/>
      </c>
      <c r="Q62" s="46">
        <f>IF(OR(T62="",I62&lt;T62),"",IFERROR(R62/IF(G62="",I62,G62)-1,""))</f>
        <v/>
      </c>
      <c r="R62" s="48">
        <f>IF($M62="","",MAX(IF($G62="",$I62,$G62)*(1/1.1),IF($G62="",$I62,$G62)+(R$2*$M62)))</f>
        <v/>
      </c>
      <c r="S62" s="49">
        <f>IF($M62="","",MAX(IF($G62="",$I62,$G62)*(1/1.1),IF($G62="",$I62,$G62)+(S$2*$M62)))</f>
        <v/>
      </c>
      <c r="T62" s="82" t="n">
        <v>138.1774003601074</v>
      </c>
      <c r="U62" s="47">
        <f>IF(OR($M62="",$T62=""),"",$T62+(U$2*$M62))</f>
        <v/>
      </c>
      <c r="V62" s="48">
        <f>IF(OR($M62="",$T62=""),"",$T62+(V$2*$M62))</f>
        <v/>
      </c>
      <c r="W62" s="48">
        <f>IF(OR($M62="",$T62=""),"",$T62+(W$2*$M62))</f>
        <v/>
      </c>
      <c r="X62" s="49">
        <f>IF(OR($M62="",$T62=""),"",$T62+(X$2*$M62))</f>
        <v/>
      </c>
      <c r="Y62" s="47">
        <f>IF(OR($M62="",$T62=""),"",$T62+(Y$2*$M62))</f>
        <v/>
      </c>
      <c r="Z62" s="49">
        <f>IF(OR($M62="",$T62=""),"",$T62+(Z$2*$M62))</f>
        <v/>
      </c>
      <c r="AA62" s="51">
        <f>IF(OR($M62="",$T62=""),"",$T62+(AA$2*$M62))</f>
        <v/>
      </c>
      <c r="AB62" s="48">
        <f>IF(OR($M62="",$T62=""),"",$T62+(AB$2*$M62))</f>
        <v/>
      </c>
      <c r="AC62" s="48">
        <f>IF(OR($M62="",$T62=""),"",$T62+(AC$2*$M62))</f>
        <v/>
      </c>
      <c r="AD62" s="48">
        <f>IF(OR($M62="",$T62=""),"",$T62+(AD$2*$M62))</f>
        <v/>
      </c>
      <c r="AE62" s="49">
        <f>IF(OR($M62="",$T62=""),"",$T62+(AE$2*$M62))</f>
        <v/>
      </c>
      <c r="AF62" s="52">
        <f>IF(OR(T62="",I62&lt;T62),"",IFERROR(AVERAGE(T62+M62*{7,8,9,10,11})/IF(G62="",I62,G62)-1,""))</f>
        <v/>
      </c>
      <c r="AG62" s="55">
        <f>IF(OR(T62="",I62&lt;T62),"",IFERROR(AF62/-(R62/IF(G62="",I62,G62)-1),""))</f>
        <v/>
      </c>
      <c r="AH62" s="94" t="n">
        <v>1</v>
      </c>
      <c r="AI62" s="94" t="n">
        <v>89.70416541634032</v>
      </c>
      <c r="AJ62" s="94" t="n">
        <v>1</v>
      </c>
      <c r="AK62" s="94" t="inlineStr">
        <is>
          <t>OTT Up Trend</t>
        </is>
      </c>
      <c r="AL62" s="84" t="inlineStr">
        <is>
          <t>Amphenol Corporation</t>
        </is>
      </c>
      <c r="AM62" t="inlineStr">
        <is>
          <t>Technology</t>
        </is>
      </c>
      <c r="AN62" t="inlineStr">
        <is>
          <t>Electronic Components</t>
        </is>
      </c>
      <c r="AO62" t="n">
        <v>96</v>
      </c>
    </row>
    <row r="63">
      <c r="A63" s="64" t="inlineStr">
        <is>
          <t>ENS</t>
        </is>
      </c>
      <c r="B63" s="65" t="n"/>
      <c r="C63" s="66" t="n"/>
      <c r="D63" s="67" t="n"/>
      <c r="E63" s="68" t="n"/>
      <c r="F63" s="47">
        <f>IF(A63="","",IF(MIN(H63,MAX(J63:K63))=0,"",MIN(H63,MAX(J63:K63))))</f>
        <v/>
      </c>
      <c r="G63" s="74" t="n"/>
      <c r="H63" s="49">
        <f>IF(M63="","",IFERROR(ROUND(AVERAGE(T63+M63*{7,8,9,10,11})/1.21,4),""))</f>
        <v/>
      </c>
      <c r="I63" s="76" t="n">
        <v>168.1499938964844</v>
      </c>
      <c r="J63" s="77" t="n">
        <v>161.0898902733488</v>
      </c>
      <c r="K63" s="74" t="n">
        <v>154.5244995117187</v>
      </c>
      <c r="L63" s="78" t="n">
        <v>109.5475</v>
      </c>
      <c r="M63" s="77" t="n">
        <v>4.365466656959379</v>
      </c>
      <c r="N63" s="53">
        <f>IF(M63="","",IFERROR(M63/I63,""))</f>
        <v/>
      </c>
      <c r="O63" s="50">
        <f>IF(A63="","",IFERROR((IF(G63="",I63,G63)-T63)/M63,""))</f>
        <v/>
      </c>
      <c r="P63" s="50">
        <f>IFERROR((I63/T63-1)/N63,"")</f>
        <v/>
      </c>
      <c r="Q63" s="46">
        <f>IF(OR(T63="",I63&lt;T63),"",IFERROR(R63/IF(G63="",I63,G63)-1,""))</f>
        <v/>
      </c>
      <c r="R63" s="48">
        <f>IF($M63="","",MAX(IF($G63="",$I63,$G63)*(1/1.1),IF($G63="",$I63,$G63)+(R$2*$M63)))</f>
        <v/>
      </c>
      <c r="S63" s="49">
        <f>IF($M63="","",MAX(IF($G63="",$I63,$G63)*(1/1.1),IF($G63="",$I63,$G63)+(S$2*$M63)))</f>
        <v/>
      </c>
      <c r="T63" s="82" t="n">
        <v>146.2982006835938</v>
      </c>
      <c r="U63" s="47">
        <f>IF(OR($M63="",$T63=""),"",$T63+(U$2*$M63))</f>
        <v/>
      </c>
      <c r="V63" s="48">
        <f>IF(OR($M63="",$T63=""),"",$T63+(V$2*$M63))</f>
        <v/>
      </c>
      <c r="W63" s="48">
        <f>IF(OR($M63="",$T63=""),"",$T63+(W$2*$M63))</f>
        <v/>
      </c>
      <c r="X63" s="49">
        <f>IF(OR($M63="",$T63=""),"",$T63+(X$2*$M63))</f>
        <v/>
      </c>
      <c r="Y63" s="47">
        <f>IF(OR($M63="",$T63=""),"",$T63+(Y$2*$M63))</f>
        <v/>
      </c>
      <c r="Z63" s="49">
        <f>IF(OR($M63="",$T63=""),"",$T63+(Z$2*$M63))</f>
        <v/>
      </c>
      <c r="AA63" s="51">
        <f>IF(OR($M63="",$T63=""),"",$T63+(AA$2*$M63))</f>
        <v/>
      </c>
      <c r="AB63" s="48">
        <f>IF(OR($M63="",$T63=""),"",$T63+(AB$2*$M63))</f>
        <v/>
      </c>
      <c r="AC63" s="48">
        <f>IF(OR($M63="",$T63=""),"",$T63+(AC$2*$M63))</f>
        <v/>
      </c>
      <c r="AD63" s="48">
        <f>IF(OR($M63="",$T63=""),"",$T63+(AD$2*$M63))</f>
        <v/>
      </c>
      <c r="AE63" s="49">
        <f>IF(OR($M63="",$T63=""),"",$T63+(AE$2*$M63))</f>
        <v/>
      </c>
      <c r="AF63" s="52">
        <f>IF(OR(T63="",I63&lt;T63),"",IFERROR(AVERAGE(T63+M63*{7,8,9,10,11})/IF(G63="",I63,G63)-1,""))</f>
        <v/>
      </c>
      <c r="AG63" s="55">
        <f>IF(OR(T63="",I63&lt;T63),"",IFERROR(AF63/-(R63/IF(G63="",I63,G63)-1),""))</f>
        <v/>
      </c>
      <c r="AH63" s="94" t="n">
        <v>1</v>
      </c>
      <c r="AI63" s="94" t="n">
        <v>140.7038384112903</v>
      </c>
      <c r="AJ63" s="94" t="n">
        <v>1</v>
      </c>
      <c r="AK63" s="94" t="inlineStr">
        <is>
          <t>OTT Up Trend</t>
        </is>
      </c>
      <c r="AL63" s="84" t="inlineStr">
        <is>
          <t>EnerSys</t>
        </is>
      </c>
      <c r="AM63" t="inlineStr">
        <is>
          <t>Industrials</t>
        </is>
      </c>
      <c r="AN63" t="inlineStr">
        <is>
          <t>Electrical Equipment &amp; Parts</t>
        </is>
      </c>
      <c r="AO63" t="n">
        <v>96</v>
      </c>
    </row>
    <row r="64">
      <c r="A64" s="64" t="inlineStr">
        <is>
          <t>LUMN</t>
        </is>
      </c>
      <c r="B64" s="65" t="n"/>
      <c r="C64" s="66" t="n"/>
      <c r="D64" s="67" t="n"/>
      <c r="E64" s="68" t="n"/>
      <c r="F64" s="47">
        <f>IF(A64="","",IF(MIN(H64,MAX(J64:K64))=0,"",MIN(H64,MAX(J64:K64))))</f>
        <v/>
      </c>
      <c r="G64" s="74" t="n"/>
      <c r="H64" s="49">
        <f>IF(M64="","",IFERROR(ROUND(AVERAGE(T64+M64*{7,8,9,10,11})/1.21,4),""))</f>
        <v/>
      </c>
      <c r="I64" s="76" t="n">
        <v>8.449999809265137</v>
      </c>
      <c r="J64" s="77" t="n">
        <v>8.188089731075479</v>
      </c>
      <c r="K64" s="74" t="n">
        <v>7.957999968528748</v>
      </c>
      <c r="L64" s="78" t="n">
        <v>5.796649987697601</v>
      </c>
      <c r="M64" s="77" t="n">
        <v>0.4512644689039616</v>
      </c>
      <c r="N64" s="53">
        <f>IF(M64="","",IFERROR(M64/I64,""))</f>
        <v/>
      </c>
      <c r="O64" s="50">
        <f>IF(A64="","",IFERROR((IF(G64="",I64,G64)-T64)/M64,""))</f>
        <v/>
      </c>
      <c r="P64" s="50">
        <f>IFERROR((I64/T64-1)/N64,"")</f>
        <v/>
      </c>
      <c r="Q64" s="46">
        <f>IF(OR(T64="",I64&lt;T64),"",IFERROR(R64/IF(G64="",I64,G64)-1,""))</f>
        <v/>
      </c>
      <c r="R64" s="48">
        <f>IF($M64="","",MAX(IF($G64="",$I64,$G64)*(1/1.1),IF($G64="",$I64,$G64)+(R$2*$M64)))</f>
        <v/>
      </c>
      <c r="S64" s="49">
        <f>IF($M64="","",MAX(IF($G64="",$I64,$G64)*(1/1.1),IF($G64="",$I64,$G64)+(S$2*$M64)))</f>
        <v/>
      </c>
      <c r="T64" s="82" t="n">
        <v>8.334999990463256</v>
      </c>
      <c r="U64" s="47">
        <f>IF(OR($M64="",$T64=""),"",$T64+(U$2*$M64))</f>
        <v/>
      </c>
      <c r="V64" s="48">
        <f>IF(OR($M64="",$T64=""),"",$T64+(V$2*$M64))</f>
        <v/>
      </c>
      <c r="W64" s="48">
        <f>IF(OR($M64="",$T64=""),"",$T64+(W$2*$M64))</f>
        <v/>
      </c>
      <c r="X64" s="49">
        <f>IF(OR($M64="",$T64=""),"",$T64+(X$2*$M64))</f>
        <v/>
      </c>
      <c r="Y64" s="47">
        <f>IF(OR($M64="",$T64=""),"",$T64+(Y$2*$M64))</f>
        <v/>
      </c>
      <c r="Z64" s="49">
        <f>IF(OR($M64="",$T64=""),"",$T64+(Z$2*$M64))</f>
        <v/>
      </c>
      <c r="AA64" s="51">
        <f>IF(OR($M64="",$T64=""),"",$T64+(AA$2*$M64))</f>
        <v/>
      </c>
      <c r="AB64" s="48">
        <f>IF(OR($M64="",$T64=""),"",$T64+(AB$2*$M64))</f>
        <v/>
      </c>
      <c r="AC64" s="48">
        <f>IF(OR($M64="",$T64=""),"",$T64+(AC$2*$M64))</f>
        <v/>
      </c>
      <c r="AD64" s="48">
        <f>IF(OR($M64="",$T64=""),"",$T64+(AD$2*$M64))</f>
        <v/>
      </c>
      <c r="AE64" s="49">
        <f>IF(OR($M64="",$T64=""),"",$T64+(AE$2*$M64))</f>
        <v/>
      </c>
      <c r="AF64" s="52">
        <f>IF(OR(T64="",I64&lt;T64),"",IFERROR(AVERAGE(T64+M64*{7,8,9,10,11})/IF(G64="",I64,G64)-1,""))</f>
        <v/>
      </c>
      <c r="AG64" s="55">
        <f>IF(OR(T64="",I64&lt;T64),"",IFERROR(AF64/-(R64/IF(G64="",I64,G64)-1),""))</f>
        <v/>
      </c>
      <c r="AH64" s="94" t="n">
        <v>-1</v>
      </c>
      <c r="AI64" s="94" t="n">
        <v>7.873478392340208</v>
      </c>
      <c r="AJ64" s="94" t="n">
        <v>1</v>
      </c>
      <c r="AK64" s="94" t="inlineStr">
        <is>
          <t>None</t>
        </is>
      </c>
      <c r="AL64" s="84" t="inlineStr">
        <is>
          <t>Lumen Technologies, Inc.</t>
        </is>
      </c>
      <c r="AM64" t="inlineStr">
        <is>
          <t>Communication Services</t>
        </is>
      </c>
      <c r="AN64" t="inlineStr">
        <is>
          <t>Telecom Services</t>
        </is>
      </c>
      <c r="AO64" t="n">
        <v>96</v>
      </c>
    </row>
    <row r="65">
      <c r="A65" s="64" t="inlineStr">
        <is>
          <t>ONTO</t>
        </is>
      </c>
      <c r="B65" s="65" t="n"/>
      <c r="C65" s="66" t="n"/>
      <c r="D65" s="67" t="n"/>
      <c r="E65" s="68" t="n"/>
      <c r="F65" s="47">
        <f>IF(A65="","",IF(MIN(H65,MAX(J65:K65))=0,"",MIN(H65,MAX(J65:K65))))</f>
        <v/>
      </c>
      <c r="G65" s="74" t="n"/>
      <c r="H65" s="49">
        <f>IF(M65="","",IFERROR(ROUND(AVERAGE(T65+M65*{7,8,9,10,11})/1.21,4),""))</f>
        <v/>
      </c>
      <c r="I65" s="76" t="n">
        <v>220.2599945068359</v>
      </c>
      <c r="J65" s="77" t="n">
        <v>196.6171421734771</v>
      </c>
      <c r="K65" s="74" t="n">
        <v>177.0985000610352</v>
      </c>
      <c r="L65" s="78" t="n">
        <v>122.7602000045776</v>
      </c>
      <c r="M65" s="77" t="n">
        <v>8.84018699285183</v>
      </c>
      <c r="N65" s="53">
        <f>IF(M65="","",IFERROR(M65/I65,""))</f>
        <v/>
      </c>
      <c r="O65" s="50">
        <f>IF(A65="","",IFERROR((IF(G65="",I65,G65)-T65)/M65,""))</f>
        <v/>
      </c>
      <c r="P65" s="50">
        <f>IFERROR((I65/T65-1)/N65,"")</f>
        <v/>
      </c>
      <c r="Q65" s="46">
        <f>IF(OR(T65="",I65&lt;T65),"",IFERROR(R65/IF(G65="",I65,G65)-1,""))</f>
        <v/>
      </c>
      <c r="R65" s="48">
        <f>IF($M65="","",MAX(IF($G65="",$I65,$G65)*(1/1.1),IF($G65="",$I65,$G65)+(R$2*$M65)))</f>
        <v/>
      </c>
      <c r="S65" s="49">
        <f>IF($M65="","",MAX(IF($G65="",$I65,$G65)*(1/1.1),IF($G65="",$I65,$G65)+(S$2*$M65)))</f>
        <v/>
      </c>
      <c r="T65" s="82" t="n">
        <v>156.9183995056152</v>
      </c>
      <c r="U65" s="47">
        <f>IF(OR($M65="",$T65=""),"",$T65+(U$2*$M65))</f>
        <v/>
      </c>
      <c r="V65" s="48">
        <f>IF(OR($M65="",$T65=""),"",$T65+(V$2*$M65))</f>
        <v/>
      </c>
      <c r="W65" s="48">
        <f>IF(OR($M65="",$T65=""),"",$T65+(W$2*$M65))</f>
        <v/>
      </c>
      <c r="X65" s="49">
        <f>IF(OR($M65="",$T65=""),"",$T65+(X$2*$M65))</f>
        <v/>
      </c>
      <c r="Y65" s="47">
        <f>IF(OR($M65="",$T65=""),"",$T65+(Y$2*$M65))</f>
        <v/>
      </c>
      <c r="Z65" s="49">
        <f>IF(OR($M65="",$T65=""),"",$T65+(Z$2*$M65))</f>
        <v/>
      </c>
      <c r="AA65" s="51">
        <f>IF(OR($M65="",$T65=""),"",$T65+(AA$2*$M65))</f>
        <v/>
      </c>
      <c r="AB65" s="48">
        <f>IF(OR($M65="",$T65=""),"",$T65+(AB$2*$M65))</f>
        <v/>
      </c>
      <c r="AC65" s="48">
        <f>IF(OR($M65="",$T65=""),"",$T65+(AC$2*$M65))</f>
        <v/>
      </c>
      <c r="AD65" s="48">
        <f>IF(OR($M65="",$T65=""),"",$T65+(AD$2*$M65))</f>
        <v/>
      </c>
      <c r="AE65" s="49">
        <f>IF(OR($M65="",$T65=""),"",$T65+(AE$2*$M65))</f>
        <v/>
      </c>
      <c r="AF65" s="52">
        <f>IF(OR(T65="",I65&lt;T65),"",IFERROR(AVERAGE(T65+M65*{7,8,9,10,11})/IF(G65="",I65,G65)-1,""))</f>
        <v/>
      </c>
      <c r="AG65" s="55">
        <f>IF(OR(T65="",I65&lt;T65),"",IFERROR(AF65/-(R65/IF(G65="",I65,G65)-1),""))</f>
        <v/>
      </c>
      <c r="AH65" s="94" t="n">
        <v>1</v>
      </c>
      <c r="AI65" s="94" t="n">
        <v>195.2685470413152</v>
      </c>
      <c r="AJ65" s="94" t="n">
        <v>1</v>
      </c>
      <c r="AK65" s="94" t="inlineStr">
        <is>
          <t>OTT Up Trend</t>
        </is>
      </c>
      <c r="AL65" s="84" t="inlineStr">
        <is>
          <t>Onto Innovation Inc.</t>
        </is>
      </c>
      <c r="AM65" t="inlineStr">
        <is>
          <t>Technology</t>
        </is>
      </c>
      <c r="AN65" t="inlineStr">
        <is>
          <t>Semiconductor Equipment &amp; Materials</t>
        </is>
      </c>
      <c r="AO65" t="n">
        <v>96</v>
      </c>
    </row>
    <row r="66">
      <c r="A66" s="64" t="inlineStr">
        <is>
          <t>VIAV</t>
        </is>
      </c>
      <c r="B66" s="65" t="n"/>
      <c r="C66" s="66" t="n"/>
      <c r="D66" s="67" t="n"/>
      <c r="E66" s="68" t="n"/>
      <c r="F66" s="47">
        <f>IF(A66="","",IF(MIN(H66,MAX(J66:K66))=0,"",MIN(H66,MAX(J66:K66))))</f>
        <v/>
      </c>
      <c r="G66" s="74" t="n"/>
      <c r="H66" s="49">
        <f>IF(M66="","",IFERROR(ROUND(AVERAGE(T66+M66*{7,8,9,10,11})/1.21,4),""))</f>
        <v/>
      </c>
      <c r="I66" s="76" t="n">
        <v>18.60000038146973</v>
      </c>
      <c r="J66" s="77" t="n">
        <v>18.21044112743574</v>
      </c>
      <c r="K66" s="74" t="n">
        <v>18.1060001373291</v>
      </c>
      <c r="L66" s="78" t="n">
        <v>12.62564998149872</v>
      </c>
      <c r="M66" s="77" t="n">
        <v>0.7274983625845728</v>
      </c>
      <c r="N66" s="53">
        <f>IF(M66="","",IFERROR(M66/I66,""))</f>
        <v/>
      </c>
      <c r="O66" s="50">
        <f>IF(A66="","",IFERROR((IF(G66="",I66,G66)-T66)/M66,""))</f>
        <v/>
      </c>
      <c r="P66" s="50">
        <f>IFERROR((I66/T66-1)/N66,"")</f>
        <v/>
      </c>
      <c r="Q66" s="46">
        <f>IF(OR(T66="",I66&lt;T66),"",IFERROR(R66/IF(G66="",I66,G66)-1,""))</f>
        <v/>
      </c>
      <c r="R66" s="48">
        <f>IF($M66="","",MAX(IF($G66="",$I66,$G66)*(1/1.1),IF($G66="",$I66,$G66)+(R$2*$M66)))</f>
        <v/>
      </c>
      <c r="S66" s="49">
        <f>IF($M66="","",MAX(IF($G66="",$I66,$G66)*(1/1.1),IF($G66="",$I66,$G66)+(S$2*$M66)))</f>
        <v/>
      </c>
      <c r="T66" s="82" t="n">
        <v>17.77880002975464</v>
      </c>
      <c r="U66" s="47">
        <f>IF(OR($M66="",$T66=""),"",$T66+(U$2*$M66))</f>
        <v/>
      </c>
      <c r="V66" s="48">
        <f>IF(OR($M66="",$T66=""),"",$T66+(V$2*$M66))</f>
        <v/>
      </c>
      <c r="W66" s="48">
        <f>IF(OR($M66="",$T66=""),"",$T66+(W$2*$M66))</f>
        <v/>
      </c>
      <c r="X66" s="49">
        <f>IF(OR($M66="",$T66=""),"",$T66+(X$2*$M66))</f>
        <v/>
      </c>
      <c r="Y66" s="47">
        <f>IF(OR($M66="",$T66=""),"",$T66+(Y$2*$M66))</f>
        <v/>
      </c>
      <c r="Z66" s="49">
        <f>IF(OR($M66="",$T66=""),"",$T66+(Z$2*$M66))</f>
        <v/>
      </c>
      <c r="AA66" s="51">
        <f>IF(OR($M66="",$T66=""),"",$T66+(AA$2*$M66))</f>
        <v/>
      </c>
      <c r="AB66" s="48">
        <f>IF(OR($M66="",$T66=""),"",$T66+(AB$2*$M66))</f>
        <v/>
      </c>
      <c r="AC66" s="48">
        <f>IF(OR($M66="",$T66=""),"",$T66+(AC$2*$M66))</f>
        <v/>
      </c>
      <c r="AD66" s="48">
        <f>IF(OR($M66="",$T66=""),"",$T66+(AD$2*$M66))</f>
        <v/>
      </c>
      <c r="AE66" s="49">
        <f>IF(OR($M66="",$T66=""),"",$T66+(AE$2*$M66))</f>
        <v/>
      </c>
      <c r="AF66" s="52">
        <f>IF(OR(T66="",I66&lt;T66),"",IFERROR(AVERAGE(T66+M66*{7,8,9,10,11})/IF(G66="",I66,G66)-1,""))</f>
        <v/>
      </c>
      <c r="AG66" s="55">
        <f>IF(OR(T66="",I66&lt;T66),"",IFERROR(AF66/-(R66/IF(G66="",I66,G66)-1),""))</f>
        <v/>
      </c>
      <c r="AH66" s="94" t="n">
        <v>1</v>
      </c>
      <c r="AI66" s="94" t="n">
        <v>28.50004247447669</v>
      </c>
      <c r="AJ66" s="94" t="n">
        <v>0</v>
      </c>
      <c r="AK66" s="94" t="inlineStr">
        <is>
          <t>None</t>
        </is>
      </c>
      <c r="AL66" s="84" t="inlineStr">
        <is>
          <t>Viavi Solutions Inc.</t>
        </is>
      </c>
      <c r="AM66" t="inlineStr">
        <is>
          <t>Technology</t>
        </is>
      </c>
      <c r="AN66" t="inlineStr">
        <is>
          <t>Communication Equipment</t>
        </is>
      </c>
      <c r="AO66" t="n">
        <v>95</v>
      </c>
    </row>
    <row r="67">
      <c r="A67" s="64" t="inlineStr">
        <is>
          <t>DY</t>
        </is>
      </c>
      <c r="B67" s="65" t="n"/>
      <c r="C67" s="66" t="n"/>
      <c r="D67" s="67" t="n"/>
      <c r="E67" s="68" t="n"/>
      <c r="F67" s="47">
        <f>IF(A67="","",IF(MIN(H67,MAX(J67:K67))=0,"",MIN(H67,MAX(J67:K67))))</f>
        <v/>
      </c>
      <c r="G67" s="74" t="n"/>
      <c r="H67" s="49">
        <f>IF(M67="","",IFERROR(ROUND(AVERAGE(T67+M67*{7,8,9,10,11})/1.21,4),""))</f>
        <v/>
      </c>
      <c r="I67" s="76" t="n">
        <v>370.6099853515625</v>
      </c>
      <c r="J67" s="77" t="n">
        <v>355.1182622501211</v>
      </c>
      <c r="K67" s="74" t="n">
        <v>348.7029968261719</v>
      </c>
      <c r="L67" s="78" t="n">
        <v>264.4563993835449</v>
      </c>
      <c r="M67" s="77" t="n">
        <v>11.72878960555097</v>
      </c>
      <c r="N67" s="53">
        <f>IF(M67="","",IFERROR(M67/I67,""))</f>
        <v/>
      </c>
      <c r="O67" s="50">
        <f>IF(A67="","",IFERROR((IF(G67="",I67,G67)-T67)/M67,""))</f>
        <v/>
      </c>
      <c r="P67" s="50">
        <f>IFERROR((I67/T67-1)/N67,"")</f>
        <v/>
      </c>
      <c r="Q67" s="46">
        <f>IF(OR(T67="",I67&lt;T67),"",IFERROR(R67/IF(G67="",I67,G67)-1,""))</f>
        <v/>
      </c>
      <c r="R67" s="48">
        <f>IF($M67="","",MAX(IF($G67="",$I67,$G67)*(1/1.1),IF($G67="",$I67,$G67)+(R$2*$M67)))</f>
        <v/>
      </c>
      <c r="S67" s="49">
        <f>IF($M67="","",MAX(IF($G67="",$I67,$G67)*(1/1.1),IF($G67="",$I67,$G67)+(S$2*$M67)))</f>
        <v/>
      </c>
      <c r="T67" s="82" t="n">
        <v>336.4479974365235</v>
      </c>
      <c r="U67" s="47">
        <f>IF(OR($M67="",$T67=""),"",$T67+(U$2*$M67))</f>
        <v/>
      </c>
      <c r="V67" s="48">
        <f>IF(OR($M67="",$T67=""),"",$T67+(V$2*$M67))</f>
        <v/>
      </c>
      <c r="W67" s="48">
        <f>IF(OR($M67="",$T67=""),"",$T67+(W$2*$M67))</f>
        <v/>
      </c>
      <c r="X67" s="49">
        <f>IF(OR($M67="",$T67=""),"",$T67+(X$2*$M67))</f>
        <v/>
      </c>
      <c r="Y67" s="47">
        <f>IF(OR($M67="",$T67=""),"",$T67+(Y$2*$M67))</f>
        <v/>
      </c>
      <c r="Z67" s="49">
        <f>IF(OR($M67="",$T67=""),"",$T67+(Z$2*$M67))</f>
        <v/>
      </c>
      <c r="AA67" s="51">
        <f>IF(OR($M67="",$T67=""),"",$T67+(AA$2*$M67))</f>
        <v/>
      </c>
      <c r="AB67" s="48">
        <f>IF(OR($M67="",$T67=""),"",$T67+(AB$2*$M67))</f>
        <v/>
      </c>
      <c r="AC67" s="48">
        <f>IF(OR($M67="",$T67=""),"",$T67+(AC$2*$M67))</f>
        <v/>
      </c>
      <c r="AD67" s="48">
        <f>IF(OR($M67="",$T67=""),"",$T67+(AD$2*$M67))</f>
        <v/>
      </c>
      <c r="AE67" s="49">
        <f>IF(OR($M67="",$T67=""),"",$T67+(AE$2*$M67))</f>
        <v/>
      </c>
      <c r="AF67" s="52">
        <f>IF(OR(T67="",I67&lt;T67),"",IFERROR(AVERAGE(T67+M67*{7,8,9,10,11})/IF(G67="",I67,G67)-1,""))</f>
        <v/>
      </c>
      <c r="AG67" s="55">
        <f>IF(OR(T67="",I67&lt;T67),"",IFERROR(AF67/-(R67/IF(G67="",I67,G67)-1),""))</f>
        <v/>
      </c>
      <c r="AH67" s="94" t="n">
        <v>1</v>
      </c>
      <c r="AI67" s="94" t="n">
        <v>52.69676496324342</v>
      </c>
      <c r="AJ67" s="94" t="n">
        <v>1</v>
      </c>
      <c r="AK67" s="94" t="inlineStr">
        <is>
          <t>OTT Up Trend</t>
        </is>
      </c>
      <c r="AL67" s="84" t="inlineStr">
        <is>
          <t>Dycom Industries, Inc.</t>
        </is>
      </c>
      <c r="AM67" t="inlineStr">
        <is>
          <t>Industrials</t>
        </is>
      </c>
      <c r="AN67" t="inlineStr">
        <is>
          <t>Engineering &amp; Construction</t>
        </is>
      </c>
      <c r="AO67" t="n">
        <v>95</v>
      </c>
    </row>
    <row r="68">
      <c r="A68" s="64" t="inlineStr">
        <is>
          <t>PRIM</t>
        </is>
      </c>
      <c r="B68" s="65" t="n"/>
      <c r="C68" s="66" t="n"/>
      <c r="D68" s="67" t="n"/>
      <c r="E68" s="68" t="n"/>
      <c r="F68" s="47">
        <f>IF(A68="","",IF(MIN(H68,MAX(J68:K68))=0,"",MIN(H68,MAX(J68:K68))))</f>
        <v/>
      </c>
      <c r="G68" s="74" t="n"/>
      <c r="H68" s="49">
        <f>IF(M68="","",IFERROR(ROUND(AVERAGE(T68+M68*{7,8,9,10,11})/1.21,4),""))</f>
        <v/>
      </c>
      <c r="I68" s="76" t="n">
        <v>149.3899993896484</v>
      </c>
      <c r="J68" s="77" t="n">
        <v>137.5179755912263</v>
      </c>
      <c r="K68" s="74" t="n">
        <v>131.0924987792969</v>
      </c>
      <c r="L68" s="78" t="n">
        <v>104.2704501724243</v>
      </c>
      <c r="M68" s="77" t="n">
        <v>5.803663746600855</v>
      </c>
      <c r="N68" s="53">
        <f>IF(M68="","",IFERROR(M68/I68,""))</f>
        <v/>
      </c>
      <c r="O68" s="50">
        <f>IF(A68="","",IFERROR((IF(G68="",I68,G68)-T68)/M68,""))</f>
        <v/>
      </c>
      <c r="P68" s="50">
        <f>IFERROR((I68/T68-1)/N68,"")</f>
        <v/>
      </c>
      <c r="Q68" s="46">
        <f>IF(OR(T68="",I68&lt;T68),"",IFERROR(R68/IF(G68="",I68,G68)-1,""))</f>
        <v/>
      </c>
      <c r="R68" s="48">
        <f>IF($M68="","",MAX(IF($G68="",$I68,$G68)*(1/1.1),IF($G68="",$I68,$G68)+(R$2*$M68)))</f>
        <v/>
      </c>
      <c r="S68" s="49">
        <f>IF($M68="","",MAX(IF($G68="",$I68,$G68)*(1/1.1),IF($G68="",$I68,$G68)+(S$2*$M68)))</f>
        <v/>
      </c>
      <c r="T68" s="82" t="n">
        <v>127.561600189209</v>
      </c>
      <c r="U68" s="47">
        <f>IF(OR($M68="",$T68=""),"",$T68+(U$2*$M68))</f>
        <v/>
      </c>
      <c r="V68" s="48">
        <f>IF(OR($M68="",$T68=""),"",$T68+(V$2*$M68))</f>
        <v/>
      </c>
      <c r="W68" s="48">
        <f>IF(OR($M68="",$T68=""),"",$T68+(W$2*$M68))</f>
        <v/>
      </c>
      <c r="X68" s="49">
        <f>IF(OR($M68="",$T68=""),"",$T68+(X$2*$M68))</f>
        <v/>
      </c>
      <c r="Y68" s="47">
        <f>IF(OR($M68="",$T68=""),"",$T68+(Y$2*$M68))</f>
        <v/>
      </c>
      <c r="Z68" s="49">
        <f>IF(OR($M68="",$T68=""),"",$T68+(Z$2*$M68))</f>
        <v/>
      </c>
      <c r="AA68" s="51">
        <f>IF(OR($M68="",$T68=""),"",$T68+(AA$2*$M68))</f>
        <v/>
      </c>
      <c r="AB68" s="48">
        <f>IF(OR($M68="",$T68=""),"",$T68+(AB$2*$M68))</f>
        <v/>
      </c>
      <c r="AC68" s="48">
        <f>IF(OR($M68="",$T68=""),"",$T68+(AC$2*$M68))</f>
        <v/>
      </c>
      <c r="AD68" s="48">
        <f>IF(OR($M68="",$T68=""),"",$T68+(AD$2*$M68))</f>
        <v/>
      </c>
      <c r="AE68" s="49">
        <f>IF(OR($M68="",$T68=""),"",$T68+(AE$2*$M68))</f>
        <v/>
      </c>
      <c r="AF68" s="52">
        <f>IF(OR(T68="",I68&lt;T68),"",IFERROR(AVERAGE(T68+M68*{7,8,9,10,11})/IF(G68="",I68,G68)-1,""))</f>
        <v/>
      </c>
      <c r="AG68" s="55">
        <f>IF(OR(T68="",I68&lt;T68),"",IFERROR(AF68/-(R68/IF(G68="",I68,G68)-1),""))</f>
        <v/>
      </c>
      <c r="AH68" s="94" t="n">
        <v>1</v>
      </c>
      <c r="AI68" s="94" t="n">
        <v>69.68761778543485</v>
      </c>
      <c r="AJ68" s="94" t="n">
        <v>1</v>
      </c>
      <c r="AK68" s="94" t="inlineStr">
        <is>
          <t>None</t>
        </is>
      </c>
      <c r="AL68" s="84" t="inlineStr">
        <is>
          <t>Primoris Services Corporation</t>
        </is>
      </c>
      <c r="AM68" t="inlineStr">
        <is>
          <t>Industrials</t>
        </is>
      </c>
      <c r="AN68" t="inlineStr">
        <is>
          <t>Engineering &amp; Construction</t>
        </is>
      </c>
      <c r="AO68" t="n">
        <v>95</v>
      </c>
    </row>
    <row r="69">
      <c r="A69" s="64" t="inlineStr">
        <is>
          <t>CHRW</t>
        </is>
      </c>
      <c r="B69" s="65" t="n"/>
      <c r="C69" s="66" t="n"/>
      <c r="D69" s="67" t="n"/>
      <c r="E69" s="68" t="n"/>
      <c r="F69" s="47">
        <f>IF(A69="","",IF(MIN(H69,MAX(J69:K69))=0,"",MIN(H69,MAX(J69:K69))))</f>
        <v/>
      </c>
      <c r="G69" s="74" t="n"/>
      <c r="H69" s="49">
        <f>IF(M69="","",IFERROR(ROUND(AVERAGE(T69+M69*{7,8,9,10,11})/1.21,4),""))</f>
        <v/>
      </c>
      <c r="I69" s="76" t="n">
        <v>175.7700042724609</v>
      </c>
      <c r="J69" s="77" t="n">
        <v>171.2088527293632</v>
      </c>
      <c r="K69" s="74" t="n">
        <v>167.4390007019043</v>
      </c>
      <c r="L69" s="78" t="n">
        <v>122.7029500961304</v>
      </c>
      <c r="M69" s="77" t="n">
        <v>3.345852782225726</v>
      </c>
      <c r="N69" s="53">
        <f>IF(M69="","",IFERROR(M69/I69,""))</f>
        <v/>
      </c>
      <c r="O69" s="50">
        <f>IF(A69="","",IFERROR((IF(G69="",I69,G69)-T69)/M69,""))</f>
        <v/>
      </c>
      <c r="P69" s="50">
        <f>IFERROR((I69/T69-1)/N69,"")</f>
        <v/>
      </c>
      <c r="Q69" s="46">
        <f>IF(OR(T69="",I69&lt;T69),"",IFERROR(R69/IF(G69="",I69,G69)-1,""))</f>
        <v/>
      </c>
      <c r="R69" s="48">
        <f>IF($M69="","",MAX(IF($G69="",$I69,$G69)*(1/1.1),IF($G69="",$I69,$G69)+(R$2*$M69)))</f>
        <v/>
      </c>
      <c r="S69" s="49">
        <f>IF($M69="","",MAX(IF($G69="",$I69,$G69)*(1/1.1),IF($G69="",$I69,$G69)+(S$2*$M69)))</f>
        <v/>
      </c>
      <c r="T69" s="82" t="n">
        <v>159.9678009033203</v>
      </c>
      <c r="U69" s="47">
        <f>IF(OR($M69="",$T69=""),"",$T69+(U$2*$M69))</f>
        <v/>
      </c>
      <c r="V69" s="48">
        <f>IF(OR($M69="",$T69=""),"",$T69+(V$2*$M69))</f>
        <v/>
      </c>
      <c r="W69" s="48">
        <f>IF(OR($M69="",$T69=""),"",$T69+(W$2*$M69))</f>
        <v/>
      </c>
      <c r="X69" s="49">
        <f>IF(OR($M69="",$T69=""),"",$T69+(X$2*$M69))</f>
        <v/>
      </c>
      <c r="Y69" s="47">
        <f>IF(OR($M69="",$T69=""),"",$T69+(Y$2*$M69))</f>
        <v/>
      </c>
      <c r="Z69" s="49">
        <f>IF(OR($M69="",$T69=""),"",$T69+(Z$2*$M69))</f>
        <v/>
      </c>
      <c r="AA69" s="51">
        <f>IF(OR($M69="",$T69=""),"",$T69+(AA$2*$M69))</f>
        <v/>
      </c>
      <c r="AB69" s="48">
        <f>IF(OR($M69="",$T69=""),"",$T69+(AB$2*$M69))</f>
        <v/>
      </c>
      <c r="AC69" s="48">
        <f>IF(OR($M69="",$T69=""),"",$T69+(AC$2*$M69))</f>
        <v/>
      </c>
      <c r="AD69" s="48">
        <f>IF(OR($M69="",$T69=""),"",$T69+(AD$2*$M69))</f>
        <v/>
      </c>
      <c r="AE69" s="49">
        <f>IF(OR($M69="",$T69=""),"",$T69+(AE$2*$M69))</f>
        <v/>
      </c>
      <c r="AF69" s="52">
        <f>IF(OR(T69="",I69&lt;T69),"",IFERROR(AVERAGE(T69+M69*{7,8,9,10,11})/IF(G69="",I69,G69)-1,""))</f>
        <v/>
      </c>
      <c r="AG69" s="55">
        <f>IF(OR(T69="",I69&lt;T69),"",IFERROR(AF69/-(R69/IF(G69="",I69,G69)-1),""))</f>
        <v/>
      </c>
      <c r="AH69" s="94" t="n">
        <v>1</v>
      </c>
      <c r="AI69" s="94" t="n">
        <v>130.3957684866067</v>
      </c>
      <c r="AJ69" s="94" t="n">
        <v>1</v>
      </c>
      <c r="AK69" s="94" t="inlineStr">
        <is>
          <t>OTT Up Trend</t>
        </is>
      </c>
      <c r="AL69" s="84" t="inlineStr">
        <is>
          <t>C.H. Robinson Worldwide, Inc.</t>
        </is>
      </c>
      <c r="AM69" t="inlineStr">
        <is>
          <t>Industrials</t>
        </is>
      </c>
      <c r="AN69" t="inlineStr">
        <is>
          <t>Integrated Freight &amp; Logistics</t>
        </is>
      </c>
      <c r="AO69" t="n">
        <v>95</v>
      </c>
    </row>
    <row r="70">
      <c r="A70" s="64" t="inlineStr">
        <is>
          <t>NXT</t>
        </is>
      </c>
      <c r="B70" s="65" t="n"/>
      <c r="C70" s="66" t="n"/>
      <c r="D70" s="67" t="n"/>
      <c r="E70" s="68" t="n"/>
      <c r="F70" s="47">
        <f>IF(A70="","",IF(MIN(H70,MAX(J70:K70))=0,"",MIN(H70,MAX(J70:K70))))</f>
        <v/>
      </c>
      <c r="G70" s="74" t="n"/>
      <c r="H70" s="49">
        <f>IF(M70="","",IFERROR(ROUND(AVERAGE(T70+M70*{7,8,9,10,11})/1.21,4),""))</f>
        <v/>
      </c>
      <c r="I70" s="76" t="n">
        <v>96.36000061035156</v>
      </c>
      <c r="J70" s="77" t="n">
        <v>94.76525717983216</v>
      </c>
      <c r="K70" s="74" t="n">
        <v>91.92049980163574</v>
      </c>
      <c r="L70" s="78" t="n">
        <v>70.12934988021851</v>
      </c>
      <c r="M70" s="77" t="n">
        <v>5.096161684759296</v>
      </c>
      <c r="N70" s="53">
        <f>IF(M70="","",IFERROR(M70/I70,""))</f>
        <v/>
      </c>
      <c r="O70" s="50">
        <f>IF(A70="","",IFERROR((IF(G70="",I70,G70)-T70)/M70,""))</f>
        <v/>
      </c>
      <c r="P70" s="50">
        <f>IFERROR((I70/T70-1)/N70,"")</f>
        <v/>
      </c>
      <c r="Q70" s="46">
        <f>IF(OR(T70="",I70&lt;T70),"",IFERROR(R70/IF(G70="",I70,G70)-1,""))</f>
        <v/>
      </c>
      <c r="R70" s="48">
        <f>IF($M70="","",MAX(IF($G70="",$I70,$G70)*(1/1.1),IF($G70="",$I70,$G70)+(R$2*$M70)))</f>
        <v/>
      </c>
      <c r="S70" s="49">
        <f>IF($M70="","",MAX(IF($G70="",$I70,$G70)*(1/1.1),IF($G70="",$I70,$G70)+(S$2*$M70)))</f>
        <v/>
      </c>
      <c r="T70" s="82" t="n">
        <v>92.11539978027344</v>
      </c>
      <c r="U70" s="47">
        <f>IF(OR($M70="",$T70=""),"",$T70+(U$2*$M70))</f>
        <v/>
      </c>
      <c r="V70" s="48">
        <f>IF(OR($M70="",$T70=""),"",$T70+(V$2*$M70))</f>
        <v/>
      </c>
      <c r="W70" s="48">
        <f>IF(OR($M70="",$T70=""),"",$T70+(W$2*$M70))</f>
        <v/>
      </c>
      <c r="X70" s="49">
        <f>IF(OR($M70="",$T70=""),"",$T70+(X$2*$M70))</f>
        <v/>
      </c>
      <c r="Y70" s="47">
        <f>IF(OR($M70="",$T70=""),"",$T70+(Y$2*$M70))</f>
        <v/>
      </c>
      <c r="Z70" s="49">
        <f>IF(OR($M70="",$T70=""),"",$T70+(Z$2*$M70))</f>
        <v/>
      </c>
      <c r="AA70" s="51">
        <f>IF(OR($M70="",$T70=""),"",$T70+(AA$2*$M70))</f>
        <v/>
      </c>
      <c r="AB70" s="48">
        <f>IF(OR($M70="",$T70=""),"",$T70+(AB$2*$M70))</f>
        <v/>
      </c>
      <c r="AC70" s="48">
        <f>IF(OR($M70="",$T70=""),"",$T70+(AC$2*$M70))</f>
        <v/>
      </c>
      <c r="AD70" s="48">
        <f>IF(OR($M70="",$T70=""),"",$T70+(AD$2*$M70))</f>
        <v/>
      </c>
      <c r="AE70" s="49">
        <f>IF(OR($M70="",$T70=""),"",$T70+(AE$2*$M70))</f>
        <v/>
      </c>
      <c r="AF70" s="52">
        <f>IF(OR(T70="",I70&lt;T70),"",IFERROR(AVERAGE(T70+M70*{7,8,9,10,11})/IF(G70="",I70,G70)-1,""))</f>
        <v/>
      </c>
      <c r="AG70" s="55">
        <f>IF(OR(T70="",I70&lt;T70),"",IFERROR(AF70/-(R70/IF(G70="",I70,G70)-1),""))</f>
        <v/>
      </c>
      <c r="AH70" s="94" t="n">
        <v>1</v>
      </c>
      <c r="AI70" s="94" t="n">
        <v>36.57932972234013</v>
      </c>
      <c r="AJ70" s="94" t="n">
        <v>1</v>
      </c>
      <c r="AK70" s="94" t="inlineStr">
        <is>
          <t>None</t>
        </is>
      </c>
      <c r="AL70" s="84" t="inlineStr">
        <is>
          <t>Nextpower Inc.</t>
        </is>
      </c>
      <c r="AM70" t="inlineStr">
        <is>
          <t>Technology</t>
        </is>
      </c>
      <c r="AN70" t="inlineStr">
        <is>
          <t>Solar</t>
        </is>
      </c>
      <c r="AO70" t="n">
        <v>95</v>
      </c>
    </row>
    <row r="71">
      <c r="A71" s="64" t="inlineStr">
        <is>
          <t>UCTT</t>
        </is>
      </c>
      <c r="B71" s="65" t="n"/>
      <c r="C71" s="66" t="n"/>
      <c r="D71" s="67" t="n"/>
      <c r="E71" s="68" t="n"/>
      <c r="F71" s="47">
        <f>IF(A71="","",IF(MIN(H71,MAX(J71:K71))=0,"",MIN(H71,MAX(J71:K71))))</f>
        <v/>
      </c>
      <c r="G71" s="74" t="n"/>
      <c r="H71" s="49">
        <f>IF(M71="","",IFERROR(ROUND(AVERAGE(T71+M71*{7,8,9,10,11})/1.21,4),""))</f>
        <v/>
      </c>
      <c r="I71" s="76" t="n">
        <v>43.75</v>
      </c>
      <c r="J71" s="77" t="n">
        <v>37.1266057986697</v>
      </c>
      <c r="K71" s="74" t="n">
        <v>31.11199989318848</v>
      </c>
      <c r="L71" s="78" t="n">
        <v>24.58964999198913</v>
      </c>
      <c r="M71" s="77" t="n">
        <v>2.071714192465246</v>
      </c>
      <c r="N71" s="53">
        <f>IF(M71="","",IFERROR(M71/I71,""))</f>
        <v/>
      </c>
      <c r="O71" s="50">
        <f>IF(A71="","",IFERROR((IF(G71="",I71,G71)-T71)/M71,""))</f>
        <v/>
      </c>
      <c r="P71" s="50">
        <f>IFERROR((I71/T71-1)/N71,"")</f>
        <v/>
      </c>
      <c r="Q71" s="46">
        <f>IF(OR(T71="",I71&lt;T71),"",IFERROR(R71/IF(G71="",I71,G71)-1,""))</f>
        <v/>
      </c>
      <c r="R71" s="48">
        <f>IF($M71="","",MAX(IF($G71="",$I71,$G71)*(1/1.1),IF($G71="",$I71,$G71)+(R$2*$M71)))</f>
        <v/>
      </c>
      <c r="S71" s="49">
        <f>IF($M71="","",MAX(IF($G71="",$I71,$G71)*(1/1.1),IF($G71="",$I71,$G71)+(S$2*$M71)))</f>
        <v/>
      </c>
      <c r="T71" s="82" t="n">
        <v>27.5947998046875</v>
      </c>
      <c r="U71" s="47">
        <f>IF(OR($M71="",$T71=""),"",$T71+(U$2*$M71))</f>
        <v/>
      </c>
      <c r="V71" s="48">
        <f>IF(OR($M71="",$T71=""),"",$T71+(V$2*$M71))</f>
        <v/>
      </c>
      <c r="W71" s="48">
        <f>IF(OR($M71="",$T71=""),"",$T71+(W$2*$M71))</f>
        <v/>
      </c>
      <c r="X71" s="49">
        <f>IF(OR($M71="",$T71=""),"",$T71+(X$2*$M71))</f>
        <v/>
      </c>
      <c r="Y71" s="47">
        <f>IF(OR($M71="",$T71=""),"",$T71+(Y$2*$M71))</f>
        <v/>
      </c>
      <c r="Z71" s="49">
        <f>IF(OR($M71="",$T71=""),"",$T71+(Z$2*$M71))</f>
        <v/>
      </c>
      <c r="AA71" s="51">
        <f>IF(OR($M71="",$T71=""),"",$T71+(AA$2*$M71))</f>
        <v/>
      </c>
      <c r="AB71" s="48">
        <f>IF(OR($M71="",$T71=""),"",$T71+(AB$2*$M71))</f>
        <v/>
      </c>
      <c r="AC71" s="48">
        <f>IF(OR($M71="",$T71=""),"",$T71+(AC$2*$M71))</f>
        <v/>
      </c>
      <c r="AD71" s="48">
        <f>IF(OR($M71="",$T71=""),"",$T71+(AD$2*$M71))</f>
        <v/>
      </c>
      <c r="AE71" s="49">
        <f>IF(OR($M71="",$T71=""),"",$T71+(AE$2*$M71))</f>
        <v/>
      </c>
      <c r="AF71" s="52">
        <f>IF(OR(T71="",I71&lt;T71),"",IFERROR(AVERAGE(T71+M71*{7,8,9,10,11})/IF(G71="",I71,G71)-1,""))</f>
        <v/>
      </c>
      <c r="AG71" s="55">
        <f>IF(OR(T71="",I71&lt;T71),"",IFERROR(AF71/-(R71/IF(G71="",I71,G71)-1),""))</f>
        <v/>
      </c>
      <c r="AH71" s="94" t="n">
        <v>1</v>
      </c>
      <c r="AI71" s="94" t="n">
        <v>232.116584694265</v>
      </c>
      <c r="AJ71" s="94" t="n">
        <v>1</v>
      </c>
      <c r="AK71" s="94" t="inlineStr">
        <is>
          <t>OTT Up Trend</t>
        </is>
      </c>
      <c r="AL71" s="84" t="inlineStr">
        <is>
          <t>Ultra Clean Holdings, Inc.</t>
        </is>
      </c>
      <c r="AM71" t="inlineStr">
        <is>
          <t>Technology</t>
        </is>
      </c>
      <c r="AN71" t="inlineStr">
        <is>
          <t>Semiconductor Equipment &amp; Materials</t>
        </is>
      </c>
      <c r="AO71" t="n">
        <v>95</v>
      </c>
    </row>
    <row r="72">
      <c r="A72" s="64" t="inlineStr">
        <is>
          <t>IVZ</t>
        </is>
      </c>
      <c r="B72" s="65" t="n"/>
      <c r="C72" s="66" t="n"/>
      <c r="D72" s="67" t="n"/>
      <c r="E72" s="68" t="n"/>
      <c r="F72" s="47">
        <f>IF(A72="","",IF(MIN(H72,MAX(J72:K72))=0,"",MIN(H72,MAX(J72:K72))))</f>
        <v/>
      </c>
      <c r="G72" s="74" t="n"/>
      <c r="H72" s="49">
        <f>IF(M72="","",IFERROR(ROUND(AVERAGE(T72+M72*{7,8,9,10,11})/1.21,4),""))</f>
        <v/>
      </c>
      <c r="I72" s="76" t="n">
        <v>29.44000053405762</v>
      </c>
      <c r="J72" s="77" t="n">
        <v>28.46611354452907</v>
      </c>
      <c r="K72" s="74" t="n">
        <v>27.68349990844727</v>
      </c>
      <c r="L72" s="78" t="n">
        <v>20.39455001831055</v>
      </c>
      <c r="M72" s="77" t="n">
        <v>0.6992929479199226</v>
      </c>
      <c r="N72" s="53">
        <f>IF(M72="","",IFERROR(M72/I72,""))</f>
        <v/>
      </c>
      <c r="O72" s="50">
        <f>IF(A72="","",IFERROR((IF(G72="",I72,G72)-T72)/M72,""))</f>
        <v/>
      </c>
      <c r="P72" s="50">
        <f>IFERROR((I72/T72-1)/N72,"")</f>
        <v/>
      </c>
      <c r="Q72" s="46">
        <f>IF(OR(T72="",I72&lt;T72),"",IFERROR(R72/IF(G72="",I72,G72)-1,""))</f>
        <v/>
      </c>
      <c r="R72" s="48">
        <f>IF($M72="","",MAX(IF($G72="",$I72,$G72)*(1/1.1),IF($G72="",$I72,$G72)+(R$2*$M72)))</f>
        <v/>
      </c>
      <c r="S72" s="49">
        <f>IF($M72="","",MAX(IF($G72="",$I72,$G72)*(1/1.1),IF($G72="",$I72,$G72)+(S$2*$M72)))</f>
        <v/>
      </c>
      <c r="T72" s="82" t="n">
        <v>25.80379997253418</v>
      </c>
      <c r="U72" s="47">
        <f>IF(OR($M72="",$T72=""),"",$T72+(U$2*$M72))</f>
        <v/>
      </c>
      <c r="V72" s="48">
        <f>IF(OR($M72="",$T72=""),"",$T72+(V$2*$M72))</f>
        <v/>
      </c>
      <c r="W72" s="48">
        <f>IF(OR($M72="",$T72=""),"",$T72+(W$2*$M72))</f>
        <v/>
      </c>
      <c r="X72" s="49">
        <f>IF(OR($M72="",$T72=""),"",$T72+(X$2*$M72))</f>
        <v/>
      </c>
      <c r="Y72" s="47">
        <f>IF(OR($M72="",$T72=""),"",$T72+(Y$2*$M72))</f>
        <v/>
      </c>
      <c r="Z72" s="49">
        <f>IF(OR($M72="",$T72=""),"",$T72+(Z$2*$M72))</f>
        <v/>
      </c>
      <c r="AA72" s="51">
        <f>IF(OR($M72="",$T72=""),"",$T72+(AA$2*$M72))</f>
        <v/>
      </c>
      <c r="AB72" s="48">
        <f>IF(OR($M72="",$T72=""),"",$T72+(AB$2*$M72))</f>
        <v/>
      </c>
      <c r="AC72" s="48">
        <f>IF(OR($M72="",$T72=""),"",$T72+(AC$2*$M72))</f>
        <v/>
      </c>
      <c r="AD72" s="48">
        <f>IF(OR($M72="",$T72=""),"",$T72+(AD$2*$M72))</f>
        <v/>
      </c>
      <c r="AE72" s="49">
        <f>IF(OR($M72="",$T72=""),"",$T72+(AE$2*$M72))</f>
        <v/>
      </c>
      <c r="AF72" s="52">
        <f>IF(OR(T72="",I72&lt;T72),"",IFERROR(AVERAGE(T72+M72*{7,8,9,10,11})/IF(G72="",I72,G72)-1,""))</f>
        <v/>
      </c>
      <c r="AG72" s="55">
        <f>IF(OR(T72="",I72&lt;T72),"",IFERROR(AF72/-(R72/IF(G72="",I72,G72)-1),""))</f>
        <v/>
      </c>
      <c r="AH72" s="94" t="n">
        <v>1</v>
      </c>
      <c r="AI72" s="94" t="n">
        <v>129.0816976431923</v>
      </c>
      <c r="AJ72" s="94" t="n">
        <v>1</v>
      </c>
      <c r="AK72" s="94" t="inlineStr">
        <is>
          <t>OTT Up Trend</t>
        </is>
      </c>
      <c r="AL72" s="84" t="inlineStr">
        <is>
          <t>Invesco Ltd</t>
        </is>
      </c>
      <c r="AM72" t="inlineStr">
        <is>
          <t>Financial Services</t>
        </is>
      </c>
      <c r="AN72" t="inlineStr">
        <is>
          <t>Asset Management</t>
        </is>
      </c>
      <c r="AO72" t="n">
        <v>95</v>
      </c>
    </row>
    <row r="73">
      <c r="A73" s="64" t="inlineStr">
        <is>
          <t>EYE</t>
        </is>
      </c>
      <c r="B73" s="65" t="n"/>
      <c r="C73" s="66" t="n"/>
      <c r="D73" s="67" t="n"/>
      <c r="E73" s="68" t="n"/>
      <c r="F73" s="47">
        <f>IF(A73="","",IF(MIN(H73,MAX(J73:K73))=0,"",MIN(H73,MAX(J73:K73))))</f>
        <v/>
      </c>
      <c r="G73" s="74" t="n"/>
      <c r="H73" s="49">
        <f>IF(M73="","",IFERROR(ROUND(AVERAGE(T73+M73*{7,8,9,10,11})/1.21,4),""))</f>
        <v/>
      </c>
      <c r="I73" s="76" t="n">
        <v>28.01000022888184</v>
      </c>
      <c r="J73" s="77" t="n">
        <v>27.8174593102018</v>
      </c>
      <c r="K73" s="74" t="n">
        <v>27.45550003051758</v>
      </c>
      <c r="L73" s="78" t="n">
        <v>23.19065001487732</v>
      </c>
      <c r="M73" s="77" t="n">
        <v>1.251431478036529</v>
      </c>
      <c r="N73" s="53">
        <f>IF(M73="","",IFERROR(M73/I73,""))</f>
        <v/>
      </c>
      <c r="O73" s="50">
        <f>IF(A73="","",IFERROR((IF(G73="",I73,G73)-T73)/M73,""))</f>
        <v/>
      </c>
      <c r="P73" s="50">
        <f>IFERROR((I73/T73-1)/N73,"")</f>
        <v/>
      </c>
      <c r="Q73" s="46">
        <f>IF(OR(T73="",I73&lt;T73),"",IFERROR(R73/IF(G73="",I73,G73)-1,""))</f>
        <v/>
      </c>
      <c r="R73" s="48">
        <f>IF($M73="","",MAX(IF($G73="",$I73,$G73)*(1/1.1),IF($G73="",$I73,$G73)+(R$2*$M73)))</f>
        <v/>
      </c>
      <c r="S73" s="49">
        <f>IF($M73="","",MAX(IF($G73="",$I73,$G73)*(1/1.1),IF($G73="",$I73,$G73)+(S$2*$M73)))</f>
        <v/>
      </c>
      <c r="T73" s="82" t="n">
        <v>27.07429996490479</v>
      </c>
      <c r="U73" s="47">
        <f>IF(OR($M73="",$T73=""),"",$T73+(U$2*$M73))</f>
        <v/>
      </c>
      <c r="V73" s="48">
        <f>IF(OR($M73="",$T73=""),"",$T73+(V$2*$M73))</f>
        <v/>
      </c>
      <c r="W73" s="48">
        <f>IF(OR($M73="",$T73=""),"",$T73+(W$2*$M73))</f>
        <v/>
      </c>
      <c r="X73" s="49">
        <f>IF(OR($M73="",$T73=""),"",$T73+(X$2*$M73))</f>
        <v/>
      </c>
      <c r="Y73" s="47">
        <f>IF(OR($M73="",$T73=""),"",$T73+(Y$2*$M73))</f>
        <v/>
      </c>
      <c r="Z73" s="49">
        <f>IF(OR($M73="",$T73=""),"",$T73+(Z$2*$M73))</f>
        <v/>
      </c>
      <c r="AA73" s="51">
        <f>IF(OR($M73="",$T73=""),"",$T73+(AA$2*$M73))</f>
        <v/>
      </c>
      <c r="AB73" s="48">
        <f>IF(OR($M73="",$T73=""),"",$T73+(AB$2*$M73))</f>
        <v/>
      </c>
      <c r="AC73" s="48">
        <f>IF(OR($M73="",$T73=""),"",$T73+(AC$2*$M73))</f>
        <v/>
      </c>
      <c r="AD73" s="48">
        <f>IF(OR($M73="",$T73=""),"",$T73+(AD$2*$M73))</f>
        <v/>
      </c>
      <c r="AE73" s="49">
        <f>IF(OR($M73="",$T73=""),"",$T73+(AE$2*$M73))</f>
        <v/>
      </c>
      <c r="AF73" s="52">
        <f>IF(OR(T73="",I73&lt;T73),"",IFERROR(AVERAGE(T73+M73*{7,8,9,10,11})/IF(G73="",I73,G73)-1,""))</f>
        <v/>
      </c>
      <c r="AG73" s="55">
        <f>IF(OR(T73="",I73&lt;T73),"",IFERROR(AF73/-(R73/IF(G73="",I73,G73)-1),""))</f>
        <v/>
      </c>
      <c r="AH73" s="94" t="n">
        <v>1</v>
      </c>
      <c r="AI73" s="94" t="n">
        <v>14.81798673550979</v>
      </c>
      <c r="AJ73" s="94" t="n">
        <v>1</v>
      </c>
      <c r="AK73" s="94" t="inlineStr">
        <is>
          <t>None</t>
        </is>
      </c>
      <c r="AL73" s="84" t="inlineStr">
        <is>
          <t>National Vision Holdings, Inc.</t>
        </is>
      </c>
      <c r="AM73" t="inlineStr">
        <is>
          <t>Consumer Cyclical</t>
        </is>
      </c>
      <c r="AN73" t="inlineStr">
        <is>
          <t>Specialty Retail</t>
        </is>
      </c>
      <c r="AO73" t="n">
        <v>95</v>
      </c>
    </row>
    <row r="74">
      <c r="A74" s="64" t="inlineStr">
        <is>
          <t>AMR</t>
        </is>
      </c>
      <c r="B74" s="65" t="n"/>
      <c r="C74" s="66" t="n"/>
      <c r="D74" s="67" t="n"/>
      <c r="E74" s="68" t="n"/>
      <c r="F74" s="47">
        <f>IF(A74="","",IF(MIN(H74,MAX(J74:K74))=0,"",MIN(H74,MAX(J74:K74))))</f>
        <v/>
      </c>
      <c r="G74" s="74" t="n"/>
      <c r="H74" s="49">
        <f>IF(M74="","",IFERROR(ROUND(AVERAGE(T74+M74*{7,8,9,10,11})/1.21,4),""))</f>
        <v/>
      </c>
      <c r="I74" s="76" t="n">
        <v>240.8200073242188</v>
      </c>
      <c r="J74" s="77" t="n">
        <v>234.7982900596894</v>
      </c>
      <c r="K74" s="74" t="n">
        <v>219.3615013122559</v>
      </c>
      <c r="L74" s="78" t="n">
        <v>147.9548999023438</v>
      </c>
      <c r="M74" s="77" t="n">
        <v>11.75729813337487</v>
      </c>
      <c r="N74" s="53">
        <f>IF(M74="","",IFERROR(M74/I74,""))</f>
        <v/>
      </c>
      <c r="O74" s="50">
        <f>IF(A74="","",IFERROR((IF(G74="",I74,G74)-T74)/M74,""))</f>
        <v/>
      </c>
      <c r="P74" s="50">
        <f>IFERROR((I74/T74-1)/N74,"")</f>
        <v/>
      </c>
      <c r="Q74" s="46">
        <f>IF(OR(T74="",I74&lt;T74),"",IFERROR(R74/IF(G74="",I74,G74)-1,""))</f>
        <v/>
      </c>
      <c r="R74" s="48">
        <f>IF($M74="","",MAX(IF($G74="",$I74,$G74)*(1/1.1),IF($G74="",$I74,$G74)+(R$2*$M74)))</f>
        <v/>
      </c>
      <c r="S74" s="49">
        <f>IF($M74="","",MAX(IF($G74="",$I74,$G74)*(1/1.1),IF($G74="",$I74,$G74)+(S$2*$M74)))</f>
        <v/>
      </c>
      <c r="T74" s="82" t="n">
        <v>189.7796002197266</v>
      </c>
      <c r="U74" s="47">
        <f>IF(OR($M74="",$T74=""),"",$T74+(U$2*$M74))</f>
        <v/>
      </c>
      <c r="V74" s="48">
        <f>IF(OR($M74="",$T74=""),"",$T74+(V$2*$M74))</f>
        <v/>
      </c>
      <c r="W74" s="48">
        <f>IF(OR($M74="",$T74=""),"",$T74+(W$2*$M74))</f>
        <v/>
      </c>
      <c r="X74" s="49">
        <f>IF(OR($M74="",$T74=""),"",$T74+(X$2*$M74))</f>
        <v/>
      </c>
      <c r="Y74" s="47">
        <f>IF(OR($M74="",$T74=""),"",$T74+(Y$2*$M74))</f>
        <v/>
      </c>
      <c r="Z74" s="49">
        <f>IF(OR($M74="",$T74=""),"",$T74+(Z$2*$M74))</f>
        <v/>
      </c>
      <c r="AA74" s="51">
        <f>IF(OR($M74="",$T74=""),"",$T74+(AA$2*$M74))</f>
        <v/>
      </c>
      <c r="AB74" s="48">
        <f>IF(OR($M74="",$T74=""),"",$T74+(AB$2*$M74))</f>
        <v/>
      </c>
      <c r="AC74" s="48">
        <f>IF(OR($M74="",$T74=""),"",$T74+(AC$2*$M74))</f>
        <v/>
      </c>
      <c r="AD74" s="48">
        <f>IF(OR($M74="",$T74=""),"",$T74+(AD$2*$M74))</f>
        <v/>
      </c>
      <c r="AE74" s="49">
        <f>IF(OR($M74="",$T74=""),"",$T74+(AE$2*$M74))</f>
        <v/>
      </c>
      <c r="AF74" s="52">
        <f>IF(OR(T74="",I74&lt;T74),"",IFERROR(AVERAGE(T74+M74*{7,8,9,10,11})/IF(G74="",I74,G74)-1,""))</f>
        <v/>
      </c>
      <c r="AG74" s="55">
        <f>IF(OR(T74="",I74&lt;T74),"",IFERROR(AF74/-(R74/IF(G74="",I74,G74)-1),""))</f>
        <v/>
      </c>
      <c r="AH74" s="94" t="n">
        <v>1</v>
      </c>
      <c r="AI74" s="94" t="n">
        <v>153.2888736366401</v>
      </c>
      <c r="AJ74" s="94" t="n">
        <v>1</v>
      </c>
      <c r="AK74" s="94" t="inlineStr">
        <is>
          <t>OTT Up Trend</t>
        </is>
      </c>
      <c r="AL74" s="84" t="inlineStr">
        <is>
          <t>Alpha Metallurgical Resources,</t>
        </is>
      </c>
      <c r="AM74" t="inlineStr">
        <is>
          <t>Basic Materials</t>
        </is>
      </c>
      <c r="AN74" t="inlineStr">
        <is>
          <t>Coking Coal</t>
        </is>
      </c>
      <c r="AO74" t="n">
        <v>95</v>
      </c>
    </row>
    <row r="75">
      <c r="A75" s="64" t="inlineStr">
        <is>
          <t>GOOGL</t>
        </is>
      </c>
      <c r="B75" s="65" t="n"/>
      <c r="C75" s="66" t="n"/>
      <c r="D75" s="67" t="n"/>
      <c r="E75" s="68" t="n"/>
      <c r="F75" s="47">
        <f>IF(A75="","",IF(MIN(H75,MAX(J75:K75))=0,"",MIN(H75,MAX(J75:K75))))</f>
        <v/>
      </c>
      <c r="G75" s="74" t="n"/>
      <c r="H75" s="49">
        <f>IF(M75="","",IFERROR(ROUND(AVERAGE(T75+M75*{7,8,9,10,11})/1.21,4),""))</f>
        <v/>
      </c>
      <c r="I75" s="76" t="n">
        <v>330</v>
      </c>
      <c r="J75" s="77" t="n">
        <v>327.8455082802723</v>
      </c>
      <c r="K75" s="74" t="n">
        <v>319.5115005493164</v>
      </c>
      <c r="L75" s="78" t="n">
        <v>226.3632501220703</v>
      </c>
      <c r="M75" s="77" t="n">
        <v>7.444622374942892</v>
      </c>
      <c r="N75" s="53">
        <f>IF(M75="","",IFERROR(M75/I75,""))</f>
        <v/>
      </c>
      <c r="O75" s="50">
        <f>IF(A75="","",IFERROR((IF(G75="",I75,G75)-T75)/M75,""))</f>
        <v/>
      </c>
      <c r="P75" s="50">
        <f>IFERROR((I75/T75-1)/N75,"")</f>
        <v/>
      </c>
      <c r="Q75" s="46">
        <f>IF(OR(T75="",I75&lt;T75),"",IFERROR(R75/IF(G75="",I75,G75)-1,""))</f>
        <v/>
      </c>
      <c r="R75" s="48">
        <f>IF($M75="","",MAX(IF($G75="",$I75,$G75)*(1/1.1),IF($G75="",$I75,$G75)+(R$2*$M75)))</f>
        <v/>
      </c>
      <c r="S75" s="49">
        <f>IF($M75="","",MAX(IF($G75="",$I75,$G75)*(1/1.1),IF($G75="",$I75,$G75)+(S$2*$M75)))</f>
        <v/>
      </c>
      <c r="T75" s="82" t="n">
        <v>309.3609997558594</v>
      </c>
      <c r="U75" s="47">
        <f>IF(OR($M75="",$T75=""),"",$T75+(U$2*$M75))</f>
        <v/>
      </c>
      <c r="V75" s="48">
        <f>IF(OR($M75="",$T75=""),"",$T75+(V$2*$M75))</f>
        <v/>
      </c>
      <c r="W75" s="48">
        <f>IF(OR($M75="",$T75=""),"",$T75+(W$2*$M75))</f>
        <v/>
      </c>
      <c r="X75" s="49">
        <f>IF(OR($M75="",$T75=""),"",$T75+(X$2*$M75))</f>
        <v/>
      </c>
      <c r="Y75" s="47">
        <f>IF(OR($M75="",$T75=""),"",$T75+(Y$2*$M75))</f>
        <v/>
      </c>
      <c r="Z75" s="49">
        <f>IF(OR($M75="",$T75=""),"",$T75+(Z$2*$M75))</f>
        <v/>
      </c>
      <c r="AA75" s="51">
        <f>IF(OR($M75="",$T75=""),"",$T75+(AA$2*$M75))</f>
        <v/>
      </c>
      <c r="AB75" s="48">
        <f>IF(OR($M75="",$T75=""),"",$T75+(AB$2*$M75))</f>
        <v/>
      </c>
      <c r="AC75" s="48">
        <f>IF(OR($M75="",$T75=""),"",$T75+(AC$2*$M75))</f>
        <v/>
      </c>
      <c r="AD75" s="48">
        <f>IF(OR($M75="",$T75=""),"",$T75+(AD$2*$M75))</f>
        <v/>
      </c>
      <c r="AE75" s="49">
        <f>IF(OR($M75="",$T75=""),"",$T75+(AE$2*$M75))</f>
        <v/>
      </c>
      <c r="AF75" s="52">
        <f>IF(OR(T75="",I75&lt;T75),"",IFERROR(AVERAGE(T75+M75*{7,8,9,10,11})/IF(G75="",I75,G75)-1,""))</f>
        <v/>
      </c>
      <c r="AG75" s="55">
        <f>IF(OR(T75="",I75&lt;T75),"",IFERROR(AF75/-(R75/IF(G75="",I75,G75)-1),""))</f>
        <v/>
      </c>
      <c r="AH75" s="94" t="n">
        <v>1</v>
      </c>
      <c r="AI75" s="94" t="n">
        <v>96.76891235985073</v>
      </c>
      <c r="AJ75" s="94" t="n">
        <v>1</v>
      </c>
      <c r="AK75" s="94" t="inlineStr">
        <is>
          <t>OTT Up Trend</t>
        </is>
      </c>
      <c r="AL75" s="84" t="inlineStr">
        <is>
          <t>Alphabet Inc.</t>
        </is>
      </c>
      <c r="AM75" t="inlineStr">
        <is>
          <t>Communication Services</t>
        </is>
      </c>
      <c r="AN75" t="inlineStr">
        <is>
          <t>Internet Content &amp; Information</t>
        </is>
      </c>
      <c r="AO75" t="n">
        <v>95</v>
      </c>
    </row>
    <row r="76">
      <c r="A76" s="64" t="inlineStr">
        <is>
          <t>GLW</t>
        </is>
      </c>
      <c r="B76" s="65" t="n"/>
      <c r="C76" s="66" t="n"/>
      <c r="D76" s="67" t="n"/>
      <c r="E76" s="68" t="n"/>
      <c r="F76" s="47">
        <f>IF(A76="","",IF(MIN(H76,MAX(J76:K76))=0,"",MIN(H76,MAX(J76:K76))))</f>
        <v/>
      </c>
      <c r="G76" s="74" t="n"/>
      <c r="H76" s="49">
        <f>IF(M76="","",IFERROR(ROUND(AVERAGE(T76+M76*{7,8,9,10,11})/1.21,4),""))</f>
        <v/>
      </c>
      <c r="I76" s="76" t="n">
        <v>94.19999694824219</v>
      </c>
      <c r="J76" s="77" t="n">
        <v>90.24457640132181</v>
      </c>
      <c r="K76" s="74" t="n">
        <v>88.99749946594238</v>
      </c>
      <c r="L76" s="78" t="n">
        <v>67.67354982376099</v>
      </c>
      <c r="M76" s="77" t="n">
        <v>3.090324573237282</v>
      </c>
      <c r="N76" s="53">
        <f>IF(M76="","",IFERROR(M76/I76,""))</f>
        <v/>
      </c>
      <c r="O76" s="50">
        <f>IF(A76="","",IFERROR((IF(G76="",I76,G76)-T76)/M76,""))</f>
        <v/>
      </c>
      <c r="P76" s="50">
        <f>IFERROR((I76/T76-1)/N76,"")</f>
        <v/>
      </c>
      <c r="Q76" s="46">
        <f>IF(OR(T76="",I76&lt;T76),"",IFERROR(R76/IF(G76="",I76,G76)-1,""))</f>
        <v/>
      </c>
      <c r="R76" s="48">
        <f>IF($M76="","",MAX(IF($G76="",$I76,$G76)*(1/1.1),IF($G76="",$I76,$G76)+(R$2*$M76)))</f>
        <v/>
      </c>
      <c r="S76" s="49">
        <f>IF($M76="","",MAX(IF($G76="",$I76,$G76)*(1/1.1),IF($G76="",$I76,$G76)+(S$2*$M76)))</f>
        <v/>
      </c>
      <c r="T76" s="82" t="n">
        <v>86.86579956054688</v>
      </c>
      <c r="U76" s="47">
        <f>IF(OR($M76="",$T76=""),"",$T76+(U$2*$M76))</f>
        <v/>
      </c>
      <c r="V76" s="48">
        <f>IF(OR($M76="",$T76=""),"",$T76+(V$2*$M76))</f>
        <v/>
      </c>
      <c r="W76" s="48">
        <f>IF(OR($M76="",$T76=""),"",$T76+(W$2*$M76))</f>
        <v/>
      </c>
      <c r="X76" s="49">
        <f>IF(OR($M76="",$T76=""),"",$T76+(X$2*$M76))</f>
        <v/>
      </c>
      <c r="Y76" s="47">
        <f>IF(OR($M76="",$T76=""),"",$T76+(Y$2*$M76))</f>
        <v/>
      </c>
      <c r="Z76" s="49">
        <f>IF(OR($M76="",$T76=""),"",$T76+(Z$2*$M76))</f>
        <v/>
      </c>
      <c r="AA76" s="51">
        <f>IF(OR($M76="",$T76=""),"",$T76+(AA$2*$M76))</f>
        <v/>
      </c>
      <c r="AB76" s="48">
        <f>IF(OR($M76="",$T76=""),"",$T76+(AB$2*$M76))</f>
        <v/>
      </c>
      <c r="AC76" s="48">
        <f>IF(OR($M76="",$T76=""),"",$T76+(AC$2*$M76))</f>
        <v/>
      </c>
      <c r="AD76" s="48">
        <f>IF(OR($M76="",$T76=""),"",$T76+(AD$2*$M76))</f>
        <v/>
      </c>
      <c r="AE76" s="49">
        <f>IF(OR($M76="",$T76=""),"",$T76+(AE$2*$M76))</f>
        <v/>
      </c>
      <c r="AF76" s="52">
        <f>IF(OR(T76="",I76&lt;T76),"",IFERROR(AVERAGE(T76+M76*{7,8,9,10,11})/IF(G76="",I76,G76)-1,""))</f>
        <v/>
      </c>
      <c r="AG76" s="55">
        <f>IF(OR(T76="",I76&lt;T76),"",IFERROR(AF76/-(R76/IF(G76="",I76,G76)-1),""))</f>
        <v/>
      </c>
      <c r="AH76" s="94" t="n">
        <v>1</v>
      </c>
      <c r="AI76" s="94" t="n">
        <v>39.06241774084491</v>
      </c>
      <c r="AJ76" s="94" t="n">
        <v>1</v>
      </c>
      <c r="AK76" s="94" t="inlineStr">
        <is>
          <t>None</t>
        </is>
      </c>
      <c r="AL76" s="84" t="inlineStr">
        <is>
          <t>Corning Incorporated</t>
        </is>
      </c>
      <c r="AM76" t="inlineStr">
        <is>
          <t>Technology</t>
        </is>
      </c>
      <c r="AN76" t="inlineStr">
        <is>
          <t>Electronic Components</t>
        </is>
      </c>
      <c r="AO76" t="n">
        <v>95</v>
      </c>
    </row>
    <row r="77">
      <c r="A77" s="64" t="inlineStr">
        <is>
          <t>CMI</t>
        </is>
      </c>
      <c r="B77" s="65" t="n"/>
      <c r="C77" s="66" t="n"/>
      <c r="D77" s="67" t="n"/>
      <c r="E77" s="68" t="n"/>
      <c r="F77" s="47">
        <f>IF(A77="","",IF(MIN(H77,MAX(J77:K77))=0,"",MIN(H77,MAX(J77:K77))))</f>
        <v/>
      </c>
      <c r="G77" s="74" t="n"/>
      <c r="H77" s="49">
        <f>IF(M77="","",IFERROR(ROUND(AVERAGE(T77+M77*{7,8,9,10,11})/1.21,4),""))</f>
        <v/>
      </c>
      <c r="I77" s="76" t="n">
        <v>578.9400024414062</v>
      </c>
      <c r="J77" s="77" t="n">
        <v>557.4544549377229</v>
      </c>
      <c r="K77" s="74" t="n">
        <v>535.1900070190429</v>
      </c>
      <c r="L77" s="78" t="n">
        <v>397.0720002746582</v>
      </c>
      <c r="M77" s="77" t="n">
        <v>10.95175368846203</v>
      </c>
      <c r="N77" s="53">
        <f>IF(M77="","",IFERROR(M77/I77,""))</f>
        <v/>
      </c>
      <c r="O77" s="50">
        <f>IF(A77="","",IFERROR((IF(G77="",I77,G77)-T77)/M77,""))</f>
        <v/>
      </c>
      <c r="P77" s="50">
        <f>IFERROR((I77/T77-1)/N77,"")</f>
        <v/>
      </c>
      <c r="Q77" s="46">
        <f>IF(OR(T77="",I77&lt;T77),"",IFERROR(R77/IF(G77="",I77,G77)-1,""))</f>
        <v/>
      </c>
      <c r="R77" s="48">
        <f>IF($M77="","",MAX(IF($G77="",$I77,$G77)*(1/1.1),IF($G77="",$I77,$G77)+(R$2*$M77)))</f>
        <v/>
      </c>
      <c r="S77" s="49">
        <f>IF($M77="","",MAX(IF($G77="",$I77,$G77)*(1/1.1),IF($G77="",$I77,$G77)+(S$2*$M77)))</f>
        <v/>
      </c>
      <c r="T77" s="82" t="n">
        <v>507.5698028564453</v>
      </c>
      <c r="U77" s="47">
        <f>IF(OR($M77="",$T77=""),"",$T77+(U$2*$M77))</f>
        <v/>
      </c>
      <c r="V77" s="48">
        <f>IF(OR($M77="",$T77=""),"",$T77+(V$2*$M77))</f>
        <v/>
      </c>
      <c r="W77" s="48">
        <f>IF(OR($M77="",$T77=""),"",$T77+(W$2*$M77))</f>
        <v/>
      </c>
      <c r="X77" s="49">
        <f>IF(OR($M77="",$T77=""),"",$T77+(X$2*$M77))</f>
        <v/>
      </c>
      <c r="Y77" s="47">
        <f>IF(OR($M77="",$T77=""),"",$T77+(Y$2*$M77))</f>
        <v/>
      </c>
      <c r="Z77" s="49">
        <f>IF(OR($M77="",$T77=""),"",$T77+(Z$2*$M77))</f>
        <v/>
      </c>
      <c r="AA77" s="51">
        <f>IF(OR($M77="",$T77=""),"",$T77+(AA$2*$M77))</f>
        <v/>
      </c>
      <c r="AB77" s="48">
        <f>IF(OR($M77="",$T77=""),"",$T77+(AB$2*$M77))</f>
        <v/>
      </c>
      <c r="AC77" s="48">
        <f>IF(OR($M77="",$T77=""),"",$T77+(AC$2*$M77))</f>
        <v/>
      </c>
      <c r="AD77" s="48">
        <f>IF(OR($M77="",$T77=""),"",$T77+(AD$2*$M77))</f>
        <v/>
      </c>
      <c r="AE77" s="49">
        <f>IF(OR($M77="",$T77=""),"",$T77+(AE$2*$M77))</f>
        <v/>
      </c>
      <c r="AF77" s="52">
        <f>IF(OR(T77="",I77&lt;T77),"",IFERROR(AVERAGE(T77+M77*{7,8,9,10,11})/IF(G77="",I77,G77)-1,""))</f>
        <v/>
      </c>
      <c r="AG77" s="55">
        <f>IF(OR(T77="",I77&lt;T77),"",IFERROR(AF77/-(R77/IF(G77="",I77,G77)-1),""))</f>
        <v/>
      </c>
      <c r="AH77" s="94" t="n">
        <v>1</v>
      </c>
      <c r="AI77" s="94" t="n">
        <v>174.8573549715086</v>
      </c>
      <c r="AJ77" s="94" t="n">
        <v>1</v>
      </c>
      <c r="AK77" s="94" t="inlineStr">
        <is>
          <t>OTT Up Trend</t>
        </is>
      </c>
      <c r="AL77" s="84" t="inlineStr">
        <is>
          <t>Cummins Inc.</t>
        </is>
      </c>
      <c r="AM77" t="inlineStr">
        <is>
          <t>Industrials</t>
        </is>
      </c>
      <c r="AN77" t="inlineStr">
        <is>
          <t>Specialty Industrial Machinery</t>
        </is>
      </c>
      <c r="AO77" t="n">
        <v>95</v>
      </c>
    </row>
    <row r="78">
      <c r="A78" s="64" t="inlineStr">
        <is>
          <t>GOOG</t>
        </is>
      </c>
      <c r="B78" s="65" t="n"/>
      <c r="C78" s="66" t="n"/>
      <c r="D78" s="67" t="n"/>
      <c r="E78" s="68" t="n"/>
      <c r="F78" s="47">
        <f>IF(A78="","",IF(MIN(H78,MAX(J78:K78))=0,"",MIN(H78,MAX(J78:K78))))</f>
        <v/>
      </c>
      <c r="G78" s="74" t="n"/>
      <c r="H78" s="49">
        <f>IF(M78="","",IFERROR(ROUND(AVERAGE(T78+M78*{7,8,9,10,11})/1.21,4),""))</f>
        <v/>
      </c>
      <c r="I78" s="76" t="n">
        <v>330.3399963378906</v>
      </c>
      <c r="J78" s="77" t="n">
        <v>328.380087061724</v>
      </c>
      <c r="K78" s="74" t="n">
        <v>320.3239990234375</v>
      </c>
      <c r="L78" s="78" t="n">
        <v>227.3338999938965</v>
      </c>
      <c r="M78" s="77" t="n">
        <v>7.384479209021691</v>
      </c>
      <c r="N78" s="53">
        <f>IF(M78="","",IFERROR(M78/I78,""))</f>
        <v/>
      </c>
      <c r="O78" s="50">
        <f>IF(A78="","",IFERROR((IF(G78="",I78,G78)-T78)/M78,""))</f>
        <v/>
      </c>
      <c r="P78" s="50">
        <f>IFERROR((I78/T78-1)/N78,"")</f>
        <v/>
      </c>
      <c r="Q78" s="46">
        <f>IF(OR(T78="",I78&lt;T78),"",IFERROR(R78/IF(G78="",I78,G78)-1,""))</f>
        <v/>
      </c>
      <c r="R78" s="48">
        <f>IF($M78="","",MAX(IF($G78="",$I78,$G78)*(1/1.1),IF($G78="",$I78,$G78)+(R$2*$M78)))</f>
        <v/>
      </c>
      <c r="S78" s="49">
        <f>IF($M78="","",MAX(IF($G78="",$I78,$G78)*(1/1.1),IF($G78="",$I78,$G78)+(S$2*$M78)))</f>
        <v/>
      </c>
      <c r="T78" s="82" t="n">
        <v>310.0517999267578</v>
      </c>
      <c r="U78" s="47">
        <f>IF(OR($M78="",$T78=""),"",$T78+(U$2*$M78))</f>
        <v/>
      </c>
      <c r="V78" s="48">
        <f>IF(OR($M78="",$T78=""),"",$T78+(V$2*$M78))</f>
        <v/>
      </c>
      <c r="W78" s="48">
        <f>IF(OR($M78="",$T78=""),"",$T78+(W$2*$M78))</f>
        <v/>
      </c>
      <c r="X78" s="49">
        <f>IF(OR($M78="",$T78=""),"",$T78+(X$2*$M78))</f>
        <v/>
      </c>
      <c r="Y78" s="47">
        <f>IF(OR($M78="",$T78=""),"",$T78+(Y$2*$M78))</f>
        <v/>
      </c>
      <c r="Z78" s="49">
        <f>IF(OR($M78="",$T78=""),"",$T78+(Z$2*$M78))</f>
        <v/>
      </c>
      <c r="AA78" s="51">
        <f>IF(OR($M78="",$T78=""),"",$T78+(AA$2*$M78))</f>
        <v/>
      </c>
      <c r="AB78" s="48">
        <f>IF(OR($M78="",$T78=""),"",$T78+(AB$2*$M78))</f>
        <v/>
      </c>
      <c r="AC78" s="48">
        <f>IF(OR($M78="",$T78=""),"",$T78+(AC$2*$M78))</f>
        <v/>
      </c>
      <c r="AD78" s="48">
        <f>IF(OR($M78="",$T78=""),"",$T78+(AD$2*$M78))</f>
        <v/>
      </c>
      <c r="AE78" s="49">
        <f>IF(OR($M78="",$T78=""),"",$T78+(AE$2*$M78))</f>
        <v/>
      </c>
      <c r="AF78" s="52">
        <f>IF(OR(T78="",I78&lt;T78),"",IFERROR(AVERAGE(T78+M78*{7,8,9,10,11})/IF(G78="",I78,G78)-1,""))</f>
        <v/>
      </c>
      <c r="AG78" s="55">
        <f>IF(OR(T78="",I78&lt;T78),"",IFERROR(AF78/-(R78/IF(G78="",I78,G78)-1),""))</f>
        <v/>
      </c>
      <c r="AH78" s="94" t="n">
        <v>1</v>
      </c>
      <c r="AI78" s="94" t="n">
        <v>96.00672034046967</v>
      </c>
      <c r="AJ78" s="94" t="n">
        <v>1</v>
      </c>
      <c r="AK78" s="94" t="inlineStr">
        <is>
          <t>OTT Up Trend</t>
        </is>
      </c>
      <c r="AL78" s="84" t="inlineStr">
        <is>
          <t>Alphabet Inc.</t>
        </is>
      </c>
      <c r="AM78" t="inlineStr">
        <is>
          <t>Communication Services</t>
        </is>
      </c>
      <c r="AN78" t="inlineStr">
        <is>
          <t>Internet Content &amp; Information</t>
        </is>
      </c>
      <c r="AO78" t="n">
        <v>95</v>
      </c>
    </row>
    <row r="79">
      <c r="A79" s="64" t="inlineStr">
        <is>
          <t>FTI</t>
        </is>
      </c>
      <c r="B79" s="65" t="n"/>
      <c r="C79" s="66" t="n"/>
      <c r="D79" s="67" t="n"/>
      <c r="E79" s="68" t="n"/>
      <c r="F79" s="47">
        <f>IF(A79="","",IF(MIN(H79,MAX(J79:K79))=0,"",MIN(H79,MAX(J79:K79))))</f>
        <v/>
      </c>
      <c r="G79" s="74" t="n"/>
      <c r="H79" s="49">
        <f>IF(M79="","",IFERROR(ROUND(AVERAGE(T79+M79*{7,8,9,10,11})/1.21,4),""))</f>
        <v/>
      </c>
      <c r="I79" s="76" t="n">
        <v>52.15999984741211</v>
      </c>
      <c r="J79" s="77" t="n">
        <v>50.22887252333238</v>
      </c>
      <c r="K79" s="74" t="n">
        <v>47.58500022888184</v>
      </c>
      <c r="L79" s="78" t="n">
        <v>37.16064994812012</v>
      </c>
      <c r="M79" s="77" t="n">
        <v>1.272986519193945</v>
      </c>
      <c r="N79" s="53">
        <f>IF(M79="","",IFERROR(M79/I79,""))</f>
        <v/>
      </c>
      <c r="O79" s="50">
        <f>IF(A79="","",IFERROR((IF(G79="",I79,G79)-T79)/M79,""))</f>
        <v/>
      </c>
      <c r="P79" s="50">
        <f>IFERROR((I79/T79-1)/N79,"")</f>
        <v/>
      </c>
      <c r="Q79" s="46">
        <f>IF(OR(T79="",I79&lt;T79),"",IFERROR(R79/IF(G79="",I79,G79)-1,""))</f>
        <v/>
      </c>
      <c r="R79" s="48">
        <f>IF($M79="","",MAX(IF($G79="",$I79,$G79)*(1/1.1),IF($G79="",$I79,$G79)+(R$2*$M79)))</f>
        <v/>
      </c>
      <c r="S79" s="49">
        <f>IF($M79="","",MAX(IF($G79="",$I79,$G79)*(1/1.1),IF($G79="",$I79,$G79)+(S$2*$M79)))</f>
        <v/>
      </c>
      <c r="T79" s="82" t="n">
        <v>45.78480003356933</v>
      </c>
      <c r="U79" s="47">
        <f>IF(OR($M79="",$T79=""),"",$T79+(U$2*$M79))</f>
        <v/>
      </c>
      <c r="V79" s="48">
        <f>IF(OR($M79="",$T79=""),"",$T79+(V$2*$M79))</f>
        <v/>
      </c>
      <c r="W79" s="48">
        <f>IF(OR($M79="",$T79=""),"",$T79+(W$2*$M79))</f>
        <v/>
      </c>
      <c r="X79" s="49">
        <f>IF(OR($M79="",$T79=""),"",$T79+(X$2*$M79))</f>
        <v/>
      </c>
      <c r="Y79" s="47">
        <f>IF(OR($M79="",$T79=""),"",$T79+(Y$2*$M79))</f>
        <v/>
      </c>
      <c r="Z79" s="49">
        <f>IF(OR($M79="",$T79=""),"",$T79+(Z$2*$M79))</f>
        <v/>
      </c>
      <c r="AA79" s="51">
        <f>IF(OR($M79="",$T79=""),"",$T79+(AA$2*$M79))</f>
        <v/>
      </c>
      <c r="AB79" s="48">
        <f>IF(OR($M79="",$T79=""),"",$T79+(AB$2*$M79))</f>
        <v/>
      </c>
      <c r="AC79" s="48">
        <f>IF(OR($M79="",$T79=""),"",$T79+(AC$2*$M79))</f>
        <v/>
      </c>
      <c r="AD79" s="48">
        <f>IF(OR($M79="",$T79=""),"",$T79+(AD$2*$M79))</f>
        <v/>
      </c>
      <c r="AE79" s="49">
        <f>IF(OR($M79="",$T79=""),"",$T79+(AE$2*$M79))</f>
        <v/>
      </c>
      <c r="AF79" s="52">
        <f>IF(OR(T79="",I79&lt;T79),"",IFERROR(AVERAGE(T79+M79*{7,8,9,10,11})/IF(G79="",I79,G79)-1,""))</f>
        <v/>
      </c>
      <c r="AG79" s="55">
        <f>IF(OR(T79="",I79&lt;T79),"",IFERROR(AF79/-(R79/IF(G79="",I79,G79)-1),""))</f>
        <v/>
      </c>
      <c r="AH79" s="94" t="n">
        <v>1</v>
      </c>
      <c r="AI79" s="94" t="n">
        <v>154.3804148445454</v>
      </c>
      <c r="AJ79" s="94" t="n">
        <v>1</v>
      </c>
      <c r="AK79" s="94" t="inlineStr">
        <is>
          <t>OTT Up Trend</t>
        </is>
      </c>
      <c r="AL79" s="84" t="inlineStr">
        <is>
          <t>TechnipFMC plc</t>
        </is>
      </c>
      <c r="AM79" t="inlineStr">
        <is>
          <t>Energy</t>
        </is>
      </c>
      <c r="AN79" t="inlineStr">
        <is>
          <t>Oil &amp; Gas Equipment &amp; Services</t>
        </is>
      </c>
      <c r="AO79" t="n">
        <v>95</v>
      </c>
    </row>
    <row r="80">
      <c r="A80" s="64" t="inlineStr">
        <is>
          <t>AMG</t>
        </is>
      </c>
      <c r="B80" s="65" t="n"/>
      <c r="C80" s="66" t="n"/>
      <c r="D80" s="67" t="n"/>
      <c r="E80" s="68" t="n"/>
      <c r="F80" s="47">
        <f>IF(A80="","",IF(MIN(H80,MAX(J80:K80))=0,"",MIN(H80,MAX(J80:K80))))</f>
        <v/>
      </c>
      <c r="G80" s="74" t="n"/>
      <c r="H80" s="49">
        <f>IF(M80="","",IFERROR(ROUND(AVERAGE(T80+M80*{7,8,9,10,11})/1.21,4),""))</f>
        <v/>
      </c>
      <c r="I80" s="76" t="n">
        <v>326.1199951171875</v>
      </c>
      <c r="J80" s="77" t="n">
        <v>312.0331518546508</v>
      </c>
      <c r="K80" s="74" t="n">
        <v>300.2115020751953</v>
      </c>
      <c r="L80" s="78" t="n">
        <v>223.2324504852295</v>
      </c>
      <c r="M80" s="77" t="n">
        <v>7.107543131382061</v>
      </c>
      <c r="N80" s="53">
        <f>IF(M80="","",IFERROR(M80/I80,""))</f>
        <v/>
      </c>
      <c r="O80" s="50">
        <f>IF(A80="","",IFERROR((IF(G80="",I80,G80)-T80)/M80,""))</f>
        <v/>
      </c>
      <c r="P80" s="50">
        <f>IFERROR((I80/T80-1)/N80,"")</f>
        <v/>
      </c>
      <c r="Q80" s="46">
        <f>IF(OR(T80="",I80&lt;T80),"",IFERROR(R80/IF(G80="",I80,G80)-1,""))</f>
        <v/>
      </c>
      <c r="R80" s="48">
        <f>IF($M80="","",MAX(IF($G80="",$I80,$G80)*(1/1.1),IF($G80="",$I80,$G80)+(R$2*$M80)))</f>
        <v/>
      </c>
      <c r="S80" s="49">
        <f>IF($M80="","",MAX(IF($G80="",$I80,$G80)*(1/1.1),IF($G80="",$I80,$G80)+(S$2*$M80)))</f>
        <v/>
      </c>
      <c r="T80" s="82" t="n">
        <v>279.1638003540039</v>
      </c>
      <c r="U80" s="47">
        <f>IF(OR($M80="",$T80=""),"",$T80+(U$2*$M80))</f>
        <v/>
      </c>
      <c r="V80" s="48">
        <f>IF(OR($M80="",$T80=""),"",$T80+(V$2*$M80))</f>
        <v/>
      </c>
      <c r="W80" s="48">
        <f>IF(OR($M80="",$T80=""),"",$T80+(W$2*$M80))</f>
        <v/>
      </c>
      <c r="X80" s="49">
        <f>IF(OR($M80="",$T80=""),"",$T80+(X$2*$M80))</f>
        <v/>
      </c>
      <c r="Y80" s="47">
        <f>IF(OR($M80="",$T80=""),"",$T80+(Y$2*$M80))</f>
        <v/>
      </c>
      <c r="Z80" s="49">
        <f>IF(OR($M80="",$T80=""),"",$T80+(Z$2*$M80))</f>
        <v/>
      </c>
      <c r="AA80" s="51">
        <f>IF(OR($M80="",$T80=""),"",$T80+(AA$2*$M80))</f>
        <v/>
      </c>
      <c r="AB80" s="48">
        <f>IF(OR($M80="",$T80=""),"",$T80+(AB$2*$M80))</f>
        <v/>
      </c>
      <c r="AC80" s="48">
        <f>IF(OR($M80="",$T80=""),"",$T80+(AC$2*$M80))</f>
        <v/>
      </c>
      <c r="AD80" s="48">
        <f>IF(OR($M80="",$T80=""),"",$T80+(AD$2*$M80))</f>
        <v/>
      </c>
      <c r="AE80" s="49">
        <f>IF(OR($M80="",$T80=""),"",$T80+(AE$2*$M80))</f>
        <v/>
      </c>
      <c r="AF80" s="52">
        <f>IF(OR(T80="",I80&lt;T80),"",IFERROR(AVERAGE(T80+M80*{7,8,9,10,11})/IF(G80="",I80,G80)-1,""))</f>
        <v/>
      </c>
      <c r="AG80" s="55">
        <f>IF(OR(T80="",I80&lt;T80),"",IFERROR(AF80/-(R80/IF(G80="",I80,G80)-1),""))</f>
        <v/>
      </c>
      <c r="AH80" s="94" t="n">
        <v>1</v>
      </c>
      <c r="AI80" s="94" t="n">
        <v>177.4662749085383</v>
      </c>
      <c r="AJ80" s="94" t="n">
        <v>1</v>
      </c>
      <c r="AK80" s="94" t="inlineStr">
        <is>
          <t>OTT Up Trend</t>
        </is>
      </c>
      <c r="AL80" s="84" t="inlineStr">
        <is>
          <t>Affiliated Managers Group, Inc.</t>
        </is>
      </c>
      <c r="AM80" t="inlineStr">
        <is>
          <t>Financial Services</t>
        </is>
      </c>
      <c r="AN80" t="inlineStr">
        <is>
          <t>Asset Management</t>
        </is>
      </c>
      <c r="AO80" t="n">
        <v>95</v>
      </c>
    </row>
    <row r="81">
      <c r="A81" s="64" t="inlineStr">
        <is>
          <t>RUN</t>
        </is>
      </c>
      <c r="B81" s="65" t="n"/>
      <c r="C81" s="66" t="n"/>
      <c r="D81" s="67" t="n"/>
      <c r="E81" s="68" t="n"/>
      <c r="F81" s="47">
        <f>IF(A81="","",IF(MIN(H81,MAX(J81:K81))=0,"",MIN(H81,MAX(J81:K81))))</f>
        <v/>
      </c>
      <c r="G81" s="74" t="n"/>
      <c r="H81" s="49">
        <f>IF(M81="","",IFERROR(ROUND(AVERAGE(T81+M81*{7,8,9,10,11})/1.21,4),""))</f>
        <v/>
      </c>
      <c r="I81" s="76" t="n">
        <v>18.22999954223633</v>
      </c>
      <c r="J81" s="77" t="n">
        <v>18.42425430430808</v>
      </c>
      <c r="K81" s="74" t="n">
        <v>18.8024998664856</v>
      </c>
      <c r="L81" s="78" t="n">
        <v>13.83520001173019</v>
      </c>
      <c r="M81" s="77" t="n">
        <v>1.221541651341872</v>
      </c>
      <c r="N81" s="53">
        <f>IF(M81="","",IFERROR(M81/I81,""))</f>
        <v/>
      </c>
      <c r="O81" s="50">
        <f>IF(A81="","",IFERROR((IF(G81="",I81,G81)-T81)/M81,""))</f>
        <v/>
      </c>
      <c r="P81" s="50">
        <f>IFERROR((I81/T81-1)/N81,"")</f>
        <v/>
      </c>
      <c r="Q81" s="46">
        <f>IF(OR(T81="",I81&lt;T81),"",IFERROR(R81/IF(G81="",I81,G81)-1,""))</f>
        <v/>
      </c>
      <c r="R81" s="48">
        <f>IF($M81="","",MAX(IF($G81="",$I81,$G81)*(1/1.1),IF($G81="",$I81,$G81)+(R$2*$M81)))</f>
        <v/>
      </c>
      <c r="S81" s="49">
        <f>IF($M81="","",MAX(IF($G81="",$I81,$G81)*(1/1.1),IF($G81="",$I81,$G81)+(S$2*$M81)))</f>
        <v/>
      </c>
      <c r="T81" s="82" t="n">
        <v>18.62639995574951</v>
      </c>
      <c r="U81" s="47">
        <f>IF(OR($M81="",$T81=""),"",$T81+(U$2*$M81))</f>
        <v/>
      </c>
      <c r="V81" s="48">
        <f>IF(OR($M81="",$T81=""),"",$T81+(V$2*$M81))</f>
        <v/>
      </c>
      <c r="W81" s="48">
        <f>IF(OR($M81="",$T81=""),"",$T81+(W$2*$M81))</f>
        <v/>
      </c>
      <c r="X81" s="49">
        <f>IF(OR($M81="",$T81=""),"",$T81+(X$2*$M81))</f>
        <v/>
      </c>
      <c r="Y81" s="47">
        <f>IF(OR($M81="",$T81=""),"",$T81+(Y$2*$M81))</f>
        <v/>
      </c>
      <c r="Z81" s="49">
        <f>IF(OR($M81="",$T81=""),"",$T81+(Z$2*$M81))</f>
        <v/>
      </c>
      <c r="AA81" s="51">
        <f>IF(OR($M81="",$T81=""),"",$T81+(AA$2*$M81))</f>
        <v/>
      </c>
      <c r="AB81" s="48">
        <f>IF(OR($M81="",$T81=""),"",$T81+(AB$2*$M81))</f>
        <v/>
      </c>
      <c r="AC81" s="48">
        <f>IF(OR($M81="",$T81=""),"",$T81+(AC$2*$M81))</f>
        <v/>
      </c>
      <c r="AD81" s="48">
        <f>IF(OR($M81="",$T81=""),"",$T81+(AD$2*$M81))</f>
        <v/>
      </c>
      <c r="AE81" s="49">
        <f>IF(OR($M81="",$T81=""),"",$T81+(AE$2*$M81))</f>
        <v/>
      </c>
      <c r="AF81" s="52">
        <f>IF(OR(T81="",I81&lt;T81),"",IFERROR(AVERAGE(T81+M81*{7,8,9,10,11})/IF(G81="",I81,G81)-1,""))</f>
        <v/>
      </c>
      <c r="AG81" s="55">
        <f>IF(OR(T81="",I81&lt;T81),"",IFERROR(AF81/-(R81/IF(G81="",I81,G81)-1),""))</f>
        <v/>
      </c>
      <c r="AH81" s="94" t="n">
        <v>-1</v>
      </c>
      <c r="AI81" s="94" t="n">
        <v>-8.296783889652335</v>
      </c>
      <c r="AJ81" s="94" t="n">
        <v>0</v>
      </c>
      <c r="AK81" s="94" t="inlineStr">
        <is>
          <t>None</t>
        </is>
      </c>
      <c r="AL81" s="84" t="inlineStr">
        <is>
          <t>Sunrun Inc.</t>
        </is>
      </c>
      <c r="AM81" t="inlineStr">
        <is>
          <t>Technology</t>
        </is>
      </c>
      <c r="AN81" t="inlineStr">
        <is>
          <t>Solar</t>
        </is>
      </c>
      <c r="AO81" t="n">
        <v>94</v>
      </c>
    </row>
    <row r="82">
      <c r="A82" s="64" t="inlineStr">
        <is>
          <t>MEDP</t>
        </is>
      </c>
      <c r="B82" s="65" t="n"/>
      <c r="C82" s="66" t="n"/>
      <c r="D82" s="67" t="n"/>
      <c r="E82" s="68" t="n"/>
      <c r="F82" s="47">
        <f>IF(A82="","",IF(MIN(H82,MAX(J82:K82))=0,"",MIN(H82,MAX(J82:K82))))</f>
        <v/>
      </c>
      <c r="G82" s="74" t="n"/>
      <c r="H82" s="49">
        <f>IF(M82="","",IFERROR(ROUND(AVERAGE(T82+M82*{7,8,9,10,11})/1.21,4),""))</f>
        <v/>
      </c>
      <c r="I82" s="76" t="n">
        <v>610.9000244140625</v>
      </c>
      <c r="J82" s="77" t="n">
        <v>603.2268399748467</v>
      </c>
      <c r="K82" s="74" t="n">
        <v>586.8790069580078</v>
      </c>
      <c r="L82" s="78" t="n">
        <v>446.0795509338379</v>
      </c>
      <c r="M82" s="77" t="n">
        <v>16.39285065004791</v>
      </c>
      <c r="N82" s="53">
        <f>IF(M82="","",IFERROR(M82/I82,""))</f>
        <v/>
      </c>
      <c r="O82" s="50">
        <f>IF(A82="","",IFERROR((IF(G82="",I82,G82)-T82)/M82,""))</f>
        <v/>
      </c>
      <c r="P82" s="50">
        <f>IFERROR((I82/T82-1)/N82,"")</f>
        <v/>
      </c>
      <c r="Q82" s="46">
        <f>IF(OR(T82="",I82&lt;T82),"",IFERROR(R82/IF(G82="",I82,G82)-1,""))</f>
        <v/>
      </c>
      <c r="R82" s="48">
        <f>IF($M82="","",MAX(IF($G82="",$I82,$G82)*(1/1.1),IF($G82="",$I82,$G82)+(R$2*$M82)))</f>
        <v/>
      </c>
      <c r="S82" s="49">
        <f>IF($M82="","",MAX(IF($G82="",$I82,$G82)*(1/1.1),IF($G82="",$I82,$G82)+(S$2*$M82)))</f>
        <v/>
      </c>
      <c r="T82" s="82" t="n">
        <v>583.3892041015625</v>
      </c>
      <c r="U82" s="47">
        <f>IF(OR($M82="",$T82=""),"",$T82+(U$2*$M82))</f>
        <v/>
      </c>
      <c r="V82" s="48">
        <f>IF(OR($M82="",$T82=""),"",$T82+(V$2*$M82))</f>
        <v/>
      </c>
      <c r="W82" s="48">
        <f>IF(OR($M82="",$T82=""),"",$T82+(W$2*$M82))</f>
        <v/>
      </c>
      <c r="X82" s="49">
        <f>IF(OR($M82="",$T82=""),"",$T82+(X$2*$M82))</f>
        <v/>
      </c>
      <c r="Y82" s="47">
        <f>IF(OR($M82="",$T82=""),"",$T82+(Y$2*$M82))</f>
        <v/>
      </c>
      <c r="Z82" s="49">
        <f>IF(OR($M82="",$T82=""),"",$T82+(Z$2*$M82))</f>
        <v/>
      </c>
      <c r="AA82" s="51">
        <f>IF(OR($M82="",$T82=""),"",$T82+(AA$2*$M82))</f>
        <v/>
      </c>
      <c r="AB82" s="48">
        <f>IF(OR($M82="",$T82=""),"",$T82+(AB$2*$M82))</f>
        <v/>
      </c>
      <c r="AC82" s="48">
        <f>IF(OR($M82="",$T82=""),"",$T82+(AC$2*$M82))</f>
        <v/>
      </c>
      <c r="AD82" s="48">
        <f>IF(OR($M82="",$T82=""),"",$T82+(AD$2*$M82))</f>
        <v/>
      </c>
      <c r="AE82" s="49">
        <f>IF(OR($M82="",$T82=""),"",$T82+(AE$2*$M82))</f>
        <v/>
      </c>
      <c r="AF82" s="52">
        <f>IF(OR(T82="",I82&lt;T82),"",IFERROR(AVERAGE(T82+M82*{7,8,9,10,11})/IF(G82="",I82,G82)-1,""))</f>
        <v/>
      </c>
      <c r="AG82" s="55">
        <f>IF(OR(T82="",I82&lt;T82),"",IFERROR(AF82/-(R82/IF(G82="",I82,G82)-1),""))</f>
        <v/>
      </c>
      <c r="AH82" s="94" t="n">
        <v>1</v>
      </c>
      <c r="AI82" s="94" t="n">
        <v>69.85326470121286</v>
      </c>
      <c r="AJ82" s="94" t="n">
        <v>1</v>
      </c>
      <c r="AK82" s="94" t="inlineStr">
        <is>
          <t>OTT Up Trend</t>
        </is>
      </c>
      <c r="AL82" s="84" t="inlineStr">
        <is>
          <t>Medpace Holdings, Inc.</t>
        </is>
      </c>
      <c r="AM82" t="inlineStr">
        <is>
          <t>Healthcare</t>
        </is>
      </c>
      <c r="AN82" t="inlineStr">
        <is>
          <t>Diagnostics &amp; Research</t>
        </is>
      </c>
      <c r="AO82" t="n">
        <v>94</v>
      </c>
    </row>
    <row r="83">
      <c r="A83" s="64" t="inlineStr">
        <is>
          <t>PLAB</t>
        </is>
      </c>
      <c r="B83" s="65" t="n"/>
      <c r="C83" s="66" t="n"/>
      <c r="D83" s="67" t="n"/>
      <c r="E83" s="68" t="n"/>
      <c r="F83" s="47">
        <f>IF(A83="","",IF(MIN(H83,MAX(J83:K83))=0,"",MIN(H83,MAX(J83:K83))))</f>
        <v/>
      </c>
      <c r="G83" s="74" t="n"/>
      <c r="H83" s="49">
        <f>IF(M83="","",IFERROR(ROUND(AVERAGE(T83+M83*{7,8,9,10,11})/1.21,4),""))</f>
        <v/>
      </c>
      <c r="I83" s="76" t="n">
        <v>34.52999877929688</v>
      </c>
      <c r="J83" s="77" t="n">
        <v>33.50928251379209</v>
      </c>
      <c r="K83" s="74" t="n">
        <v>33.4935001373291</v>
      </c>
      <c r="L83" s="78" t="n">
        <v>22.64589999198914</v>
      </c>
      <c r="M83" s="77" t="n">
        <v>1.915326987371842</v>
      </c>
      <c r="N83" s="53">
        <f>IF(M83="","",IFERROR(M83/I83,""))</f>
        <v/>
      </c>
      <c r="O83" s="50">
        <f>IF(A83="","",IFERROR((IF(G83="",I83,G83)-T83)/M83,""))</f>
        <v/>
      </c>
      <c r="P83" s="50">
        <f>IFERROR((I83/T83-1)/N83,"")</f>
        <v/>
      </c>
      <c r="Q83" s="46">
        <f>IF(OR(T83="",I83&lt;T83),"",IFERROR(R83/IF(G83="",I83,G83)-1,""))</f>
        <v/>
      </c>
      <c r="R83" s="48">
        <f>IF($M83="","",MAX(IF($G83="",$I83,$G83)*(1/1.1),IF($G83="",$I83,$G83)+(R$2*$M83)))</f>
        <v/>
      </c>
      <c r="S83" s="49">
        <f>IF($M83="","",MAX(IF($G83="",$I83,$G83)*(1/1.1),IF($G83="",$I83,$G83)+(S$2*$M83)))</f>
        <v/>
      </c>
      <c r="T83" s="82" t="n">
        <v>28.54320003509521</v>
      </c>
      <c r="U83" s="47">
        <f>IF(OR($M83="",$T83=""),"",$T83+(U$2*$M83))</f>
        <v/>
      </c>
      <c r="V83" s="48">
        <f>IF(OR($M83="",$T83=""),"",$T83+(V$2*$M83))</f>
        <v/>
      </c>
      <c r="W83" s="48">
        <f>IF(OR($M83="",$T83=""),"",$T83+(W$2*$M83))</f>
        <v/>
      </c>
      <c r="X83" s="49">
        <f>IF(OR($M83="",$T83=""),"",$T83+(X$2*$M83))</f>
        <v/>
      </c>
      <c r="Y83" s="47">
        <f>IF(OR($M83="",$T83=""),"",$T83+(Y$2*$M83))</f>
        <v/>
      </c>
      <c r="Z83" s="49">
        <f>IF(OR($M83="",$T83=""),"",$T83+(Z$2*$M83))</f>
        <v/>
      </c>
      <c r="AA83" s="51">
        <f>IF(OR($M83="",$T83=""),"",$T83+(AA$2*$M83))</f>
        <v/>
      </c>
      <c r="AB83" s="48">
        <f>IF(OR($M83="",$T83=""),"",$T83+(AB$2*$M83))</f>
        <v/>
      </c>
      <c r="AC83" s="48">
        <f>IF(OR($M83="",$T83=""),"",$T83+(AC$2*$M83))</f>
        <v/>
      </c>
      <c r="AD83" s="48">
        <f>IF(OR($M83="",$T83=""),"",$T83+(AD$2*$M83))</f>
        <v/>
      </c>
      <c r="AE83" s="49">
        <f>IF(OR($M83="",$T83=""),"",$T83+(AE$2*$M83))</f>
        <v/>
      </c>
      <c r="AF83" s="52">
        <f>IF(OR(T83="",I83&lt;T83),"",IFERROR(AVERAGE(T83+M83*{7,8,9,10,11})/IF(G83="",I83,G83)-1,""))</f>
        <v/>
      </c>
      <c r="AG83" s="55">
        <f>IF(OR(T83="",I83&lt;T83),"",IFERROR(AF83/-(R83/IF(G83="",I83,G83)-1),""))</f>
        <v/>
      </c>
      <c r="AH83" s="94" t="n">
        <v>-1</v>
      </c>
      <c r="AI83" s="94" t="n">
        <v>67.76153667721304</v>
      </c>
      <c r="AJ83" s="94" t="n">
        <v>0</v>
      </c>
      <c r="AK83" s="94" t="inlineStr">
        <is>
          <t>OTT Up Trend</t>
        </is>
      </c>
      <c r="AL83" s="84" t="inlineStr">
        <is>
          <t>Photronics, Inc.</t>
        </is>
      </c>
      <c r="AM83" t="inlineStr">
        <is>
          <t>Technology</t>
        </is>
      </c>
      <c r="AN83" t="inlineStr">
        <is>
          <t>Semiconductor Equipment &amp; Materials</t>
        </is>
      </c>
      <c r="AO83" t="n">
        <v>94</v>
      </c>
    </row>
    <row r="84">
      <c r="A84" s="64" t="inlineStr">
        <is>
          <t>AXL</t>
        </is>
      </c>
      <c r="B84" s="65" t="n"/>
      <c r="C84" s="66" t="n"/>
      <c r="D84" s="67" t="n"/>
      <c r="E84" s="68" t="n"/>
      <c r="F84" s="47">
        <f>IF(A84="","",IF(MIN(H84,MAX(J84:K84))=0,"",MIN(H84,MAX(J84:K84))))</f>
        <v/>
      </c>
      <c r="G84" s="74" t="n"/>
      <c r="H84" s="49">
        <f>IF(M84="","",IFERROR(ROUND(AVERAGE(T84+M84*{7,8,9,10,11})/1.21,4),""))</f>
        <v/>
      </c>
      <c r="I84" s="76" t="n">
        <v>7.699999809265137</v>
      </c>
      <c r="J84" s="77" t="n">
        <v>7.463534139600014</v>
      </c>
      <c r="K84" s="74" t="n">
        <v>6.969499969482422</v>
      </c>
      <c r="L84" s="78" t="n">
        <v>5.33674999833107</v>
      </c>
      <c r="M84" s="77" t="n">
        <v>0.2876018067820938</v>
      </c>
      <c r="N84" s="53">
        <f>IF(M84="","",IFERROR(M84/I84,""))</f>
        <v/>
      </c>
      <c r="O84" s="50">
        <f>IF(A84="","",IFERROR((IF(G84="",I84,G84)-T84)/M84,""))</f>
        <v/>
      </c>
      <c r="P84" s="50">
        <f>IFERROR((I84/T84-1)/N84,"")</f>
        <v/>
      </c>
      <c r="Q84" s="46">
        <f>IF(OR(T84="",I84&lt;T84),"",IFERROR(R84/IF(G84="",I84,G84)-1,""))</f>
        <v/>
      </c>
      <c r="R84" s="48">
        <f>IF($M84="","",MAX(IF($G84="",$I84,$G84)*(1/1.1),IF($G84="",$I84,$G84)+(R$2*$M84)))</f>
        <v/>
      </c>
      <c r="S84" s="49">
        <f>IF($M84="","",MAX(IF($G84="",$I84,$G84)*(1/1.1),IF($G84="",$I84,$G84)+(S$2*$M84)))</f>
        <v/>
      </c>
      <c r="T84" s="82" t="n">
        <v>6.576400003433228</v>
      </c>
      <c r="U84" s="47">
        <f>IF(OR($M84="",$T84=""),"",$T84+(U$2*$M84))</f>
        <v/>
      </c>
      <c r="V84" s="48">
        <f>IF(OR($M84="",$T84=""),"",$T84+(V$2*$M84))</f>
        <v/>
      </c>
      <c r="W84" s="48">
        <f>IF(OR($M84="",$T84=""),"",$T84+(W$2*$M84))</f>
        <v/>
      </c>
      <c r="X84" s="49">
        <f>IF(OR($M84="",$T84=""),"",$T84+(X$2*$M84))</f>
        <v/>
      </c>
      <c r="Y84" s="47">
        <f>IF(OR($M84="",$T84=""),"",$T84+(Y$2*$M84))</f>
        <v/>
      </c>
      <c r="Z84" s="49">
        <f>IF(OR($M84="",$T84=""),"",$T84+(Z$2*$M84))</f>
        <v/>
      </c>
      <c r="AA84" s="51">
        <f>IF(OR($M84="",$T84=""),"",$T84+(AA$2*$M84))</f>
        <v/>
      </c>
      <c r="AB84" s="48">
        <f>IF(OR($M84="",$T84=""),"",$T84+(AB$2*$M84))</f>
        <v/>
      </c>
      <c r="AC84" s="48">
        <f>IF(OR($M84="",$T84=""),"",$T84+(AC$2*$M84))</f>
        <v/>
      </c>
      <c r="AD84" s="48">
        <f>IF(OR($M84="",$T84=""),"",$T84+(AD$2*$M84))</f>
        <v/>
      </c>
      <c r="AE84" s="49">
        <f>IF(OR($M84="",$T84=""),"",$T84+(AE$2*$M84))</f>
        <v/>
      </c>
      <c r="AF84" s="52">
        <f>IF(OR(T84="",I84&lt;T84),"",IFERROR(AVERAGE(T84+M84*{7,8,9,10,11})/IF(G84="",I84,G84)-1,""))</f>
        <v/>
      </c>
      <c r="AG84" s="55">
        <f>IF(OR(T84="",I84&lt;T84),"",IFERROR(AF84/-(R84/IF(G84="",I84,G84)-1),""))</f>
        <v/>
      </c>
      <c r="AH84" s="94" t="n">
        <v>1</v>
      </c>
      <c r="AI84" s="94" t="n">
        <v>137.5064598836237</v>
      </c>
      <c r="AJ84" s="94" t="n">
        <v>1</v>
      </c>
      <c r="AK84" s="94" t="inlineStr">
        <is>
          <t>OTT Up Trend</t>
        </is>
      </c>
      <c r="AL84" s="84" t="inlineStr">
        <is>
          <t>American Axle &amp; Manufacturing H</t>
        </is>
      </c>
      <c r="AM84" t="inlineStr">
        <is>
          <t>Consumer Cyclical</t>
        </is>
      </c>
      <c r="AN84" t="inlineStr">
        <is>
          <t>Auto Parts</t>
        </is>
      </c>
      <c r="AO84" t="n">
        <v>94</v>
      </c>
    </row>
    <row r="85">
      <c r="A85" s="64" t="inlineStr">
        <is>
          <t>XPEL</t>
        </is>
      </c>
      <c r="B85" s="65" t="n"/>
      <c r="C85" s="66" t="n"/>
      <c r="D85" s="67" t="n"/>
      <c r="E85" s="68" t="n"/>
      <c r="F85" s="47">
        <f>IF(A85="","",IF(MIN(H85,MAX(J85:K85))=0,"",MIN(H85,MAX(J85:K85))))</f>
        <v/>
      </c>
      <c r="G85" s="74" t="n"/>
      <c r="H85" s="49">
        <f>IF(M85="","",IFERROR(ROUND(AVERAGE(T85+M85*{7,8,9,10,11})/1.21,4),""))</f>
        <v/>
      </c>
      <c r="I85" s="76" t="n">
        <v>54.25</v>
      </c>
      <c r="J85" s="77" t="n">
        <v>53.45995974507528</v>
      </c>
      <c r="K85" s="74" t="n">
        <v>52.41774997711182</v>
      </c>
      <c r="L85" s="78" t="n">
        <v>37.7368999671936</v>
      </c>
      <c r="M85" s="77" t="n">
        <v>1.624810005669231</v>
      </c>
      <c r="N85" s="53">
        <f>IF(M85="","",IFERROR(M85/I85,""))</f>
        <v/>
      </c>
      <c r="O85" s="50">
        <f>IF(A85="","",IFERROR((IF(G85="",I85,G85)-T85)/M85,""))</f>
        <v/>
      </c>
      <c r="P85" s="50">
        <f>IFERROR((I85/T85-1)/N85,"")</f>
        <v/>
      </c>
      <c r="Q85" s="46">
        <f>IF(OR(T85="",I85&lt;T85),"",IFERROR(R85/IF(G85="",I85,G85)-1,""))</f>
        <v/>
      </c>
      <c r="R85" s="48">
        <f>IF($M85="","",MAX(IF($G85="",$I85,$G85)*(1/1.1),IF($G85="",$I85,$G85)+(R$2*$M85)))</f>
        <v/>
      </c>
      <c r="S85" s="49">
        <f>IF($M85="","",MAX(IF($G85="",$I85,$G85)*(1/1.1),IF($G85="",$I85,$G85)+(S$2*$M85)))</f>
        <v/>
      </c>
      <c r="T85" s="82" t="n">
        <v>47.84129989624024</v>
      </c>
      <c r="U85" s="47">
        <f>IF(OR($M85="",$T85=""),"",$T85+(U$2*$M85))</f>
        <v/>
      </c>
      <c r="V85" s="48">
        <f>IF(OR($M85="",$T85=""),"",$T85+(V$2*$M85))</f>
        <v/>
      </c>
      <c r="W85" s="48">
        <f>IF(OR($M85="",$T85=""),"",$T85+(W$2*$M85))</f>
        <v/>
      </c>
      <c r="X85" s="49">
        <f>IF(OR($M85="",$T85=""),"",$T85+(X$2*$M85))</f>
        <v/>
      </c>
      <c r="Y85" s="47">
        <f>IF(OR($M85="",$T85=""),"",$T85+(Y$2*$M85))</f>
        <v/>
      </c>
      <c r="Z85" s="49">
        <f>IF(OR($M85="",$T85=""),"",$T85+(Z$2*$M85))</f>
        <v/>
      </c>
      <c r="AA85" s="51">
        <f>IF(OR($M85="",$T85=""),"",$T85+(AA$2*$M85))</f>
        <v/>
      </c>
      <c r="AB85" s="48">
        <f>IF(OR($M85="",$T85=""),"",$T85+(AB$2*$M85))</f>
        <v/>
      </c>
      <c r="AC85" s="48">
        <f>IF(OR($M85="",$T85=""),"",$T85+(AC$2*$M85))</f>
        <v/>
      </c>
      <c r="AD85" s="48">
        <f>IF(OR($M85="",$T85=""),"",$T85+(AD$2*$M85))</f>
        <v/>
      </c>
      <c r="AE85" s="49">
        <f>IF(OR($M85="",$T85=""),"",$T85+(AE$2*$M85))</f>
        <v/>
      </c>
      <c r="AF85" s="52">
        <f>IF(OR(T85="",I85&lt;T85),"",IFERROR(AVERAGE(T85+M85*{7,8,9,10,11})/IF(G85="",I85,G85)-1,""))</f>
        <v/>
      </c>
      <c r="AG85" s="55">
        <f>IF(OR(T85="",I85&lt;T85),"",IFERROR(AF85/-(R85/IF(G85="",I85,G85)-1),""))</f>
        <v/>
      </c>
      <c r="AH85" s="94" t="n">
        <v>1</v>
      </c>
      <c r="AI85" s="94" t="n">
        <v>111.7625232181258</v>
      </c>
      <c r="AJ85" s="94" t="n">
        <v>0</v>
      </c>
      <c r="AK85" s="94" t="inlineStr">
        <is>
          <t>OTT Up Trend</t>
        </is>
      </c>
      <c r="AL85" s="84" t="inlineStr">
        <is>
          <t>XPEL, Inc.</t>
        </is>
      </c>
      <c r="AM85" t="inlineStr">
        <is>
          <t>Consumer Cyclical</t>
        </is>
      </c>
      <c r="AN85" t="inlineStr">
        <is>
          <t>Auto Parts</t>
        </is>
      </c>
      <c r="AO85" t="n">
        <v>94</v>
      </c>
    </row>
    <row r="86">
      <c r="A86" s="64" t="inlineStr">
        <is>
          <t>PARR</t>
        </is>
      </c>
      <c r="B86" s="65" t="n"/>
      <c r="C86" s="66" t="n"/>
      <c r="D86" s="67" t="n"/>
      <c r="E86" s="68" t="n"/>
      <c r="F86" s="47">
        <f>IF(A86="","",IF(MIN(H86,MAX(J86:K86))=0,"",MIN(H86,MAX(J86:K86))))</f>
        <v/>
      </c>
      <c r="G86" s="74" t="n"/>
      <c r="H86" s="49">
        <f>IF(M86="","",IFERROR(ROUND(AVERAGE(T86+M86*{7,8,9,10,11})/1.21,4),""))</f>
        <v/>
      </c>
      <c r="I86" s="76" t="n">
        <v>36.86999893188477</v>
      </c>
      <c r="J86" s="77" t="n">
        <v>37.29644905419508</v>
      </c>
      <c r="K86" s="74" t="n">
        <v>36.57999954223633</v>
      </c>
      <c r="L86" s="78" t="n">
        <v>31.0017999458313</v>
      </c>
      <c r="M86" s="77" t="n">
        <v>1.862951666483738</v>
      </c>
      <c r="N86" s="53">
        <f>IF(M86="","",IFERROR(M86/I86,""))</f>
        <v/>
      </c>
      <c r="O86" s="50">
        <f>IF(A86="","",IFERROR((IF(G86="",I86,G86)-T86)/M86,""))</f>
        <v/>
      </c>
      <c r="P86" s="50">
        <f>IFERROR((I86/T86-1)/N86,"")</f>
        <v/>
      </c>
      <c r="Q86" s="46">
        <f>IF(OR(T86="",I86&lt;T86),"",IFERROR(R86/IF(G86="",I86,G86)-1,""))</f>
        <v/>
      </c>
      <c r="R86" s="48">
        <f>IF($M86="","",MAX(IF($G86="",$I86,$G86)*(1/1.1),IF($G86="",$I86,$G86)+(R$2*$M86)))</f>
        <v/>
      </c>
      <c r="S86" s="49">
        <f>IF($M86="","",MAX(IF($G86="",$I86,$G86)*(1/1.1),IF($G86="",$I86,$G86)+(S$2*$M86)))</f>
        <v/>
      </c>
      <c r="T86" s="82" t="n">
        <v>40.43599990844726</v>
      </c>
      <c r="U86" s="47">
        <f>IF(OR($M86="",$T86=""),"",$T86+(U$2*$M86))</f>
        <v/>
      </c>
      <c r="V86" s="48">
        <f>IF(OR($M86="",$T86=""),"",$T86+(V$2*$M86))</f>
        <v/>
      </c>
      <c r="W86" s="48">
        <f>IF(OR($M86="",$T86=""),"",$T86+(W$2*$M86))</f>
        <v/>
      </c>
      <c r="X86" s="49">
        <f>IF(OR($M86="",$T86=""),"",$T86+(X$2*$M86))</f>
        <v/>
      </c>
      <c r="Y86" s="47">
        <f>IF(OR($M86="",$T86=""),"",$T86+(Y$2*$M86))</f>
        <v/>
      </c>
      <c r="Z86" s="49">
        <f>IF(OR($M86="",$T86=""),"",$T86+(Z$2*$M86))</f>
        <v/>
      </c>
      <c r="AA86" s="51">
        <f>IF(OR($M86="",$T86=""),"",$T86+(AA$2*$M86))</f>
        <v/>
      </c>
      <c r="AB86" s="48">
        <f>IF(OR($M86="",$T86=""),"",$T86+(AB$2*$M86))</f>
        <v/>
      </c>
      <c r="AC86" s="48">
        <f>IF(OR($M86="",$T86=""),"",$T86+(AC$2*$M86))</f>
        <v/>
      </c>
      <c r="AD86" s="48">
        <f>IF(OR($M86="",$T86=""),"",$T86+(AD$2*$M86))</f>
        <v/>
      </c>
      <c r="AE86" s="49">
        <f>IF(OR($M86="",$T86=""),"",$T86+(AE$2*$M86))</f>
        <v/>
      </c>
      <c r="AF86" s="52">
        <f>IF(OR(T86="",I86&lt;T86),"",IFERROR(AVERAGE(T86+M86*{7,8,9,10,11})/IF(G86="",I86,G86)-1,""))</f>
        <v/>
      </c>
      <c r="AG86" s="55">
        <f>IF(OR(T86="",I86&lt;T86),"",IFERROR(AF86/-(R86/IF(G86="",I86,G86)-1),""))</f>
        <v/>
      </c>
      <c r="AH86" s="94" t="n">
        <v>-1</v>
      </c>
      <c r="AI86" s="94" t="n">
        <v>-34.74172154130424</v>
      </c>
      <c r="AJ86" s="94" t="n">
        <v>1</v>
      </c>
      <c r="AK86" s="94" t="inlineStr">
        <is>
          <t>None</t>
        </is>
      </c>
      <c r="AL86" s="84" t="inlineStr">
        <is>
          <t>Par Pacific Holdings, Inc. Comm</t>
        </is>
      </c>
      <c r="AM86" t="inlineStr">
        <is>
          <t>Energy</t>
        </is>
      </c>
      <c r="AN86" t="inlineStr">
        <is>
          <t>Oil &amp; Gas Refining &amp; Marketing</t>
        </is>
      </c>
      <c r="AO86" t="n">
        <v>94</v>
      </c>
    </row>
    <row r="87">
      <c r="A87" s="64" t="inlineStr">
        <is>
          <t>SEDG</t>
        </is>
      </c>
      <c r="B87" s="65" t="n"/>
      <c r="C87" s="66" t="n"/>
      <c r="D87" s="67" t="n"/>
      <c r="E87" s="68" t="n"/>
      <c r="F87" s="47">
        <f>IF(A87="","",IF(MIN(H87,MAX(J87:K87))=0,"",MIN(H87,MAX(J87:K87))))</f>
        <v/>
      </c>
      <c r="G87" s="74" t="n"/>
      <c r="H87" s="49">
        <f>IF(M87="","",IFERROR(ROUND(AVERAGE(T87+M87*{7,8,9,10,11})/1.21,4),""))</f>
        <v/>
      </c>
      <c r="I87" s="76" t="n">
        <v>33.90999984741211</v>
      </c>
      <c r="J87" s="77" t="n">
        <v>33.02176377242262</v>
      </c>
      <c r="K87" s="74" t="n">
        <v>31.31900005340576</v>
      </c>
      <c r="L87" s="78" t="n">
        <v>27.55400004863739</v>
      </c>
      <c r="M87" s="77" t="n">
        <v>2.23858469943099</v>
      </c>
      <c r="N87" s="53">
        <f>IF(M87="","",IFERROR(M87/I87,""))</f>
        <v/>
      </c>
      <c r="O87" s="50">
        <f>IF(A87="","",IFERROR((IF(G87="",I87,G87)-T87)/M87,""))</f>
        <v/>
      </c>
      <c r="P87" s="50">
        <f>IFERROR((I87/T87-1)/N87,"")</f>
        <v/>
      </c>
      <c r="Q87" s="46">
        <f>IF(OR(T87="",I87&lt;T87),"",IFERROR(R87/IF(G87="",I87,G87)-1,""))</f>
        <v/>
      </c>
      <c r="R87" s="48">
        <f>IF($M87="","",MAX(IF($G87="",$I87,$G87)*(1/1.1),IF($G87="",$I87,$G87)+(R$2*$M87)))</f>
        <v/>
      </c>
      <c r="S87" s="49">
        <f>IF($M87="","",MAX(IF($G87="",$I87,$G87)*(1/1.1),IF($G87="",$I87,$G87)+(S$2*$M87)))</f>
        <v/>
      </c>
      <c r="T87" s="82" t="n">
        <v>33.24740009307861</v>
      </c>
      <c r="U87" s="47">
        <f>IF(OR($M87="",$T87=""),"",$T87+(U$2*$M87))</f>
        <v/>
      </c>
      <c r="V87" s="48">
        <f>IF(OR($M87="",$T87=""),"",$T87+(V$2*$M87))</f>
        <v/>
      </c>
      <c r="W87" s="48">
        <f>IF(OR($M87="",$T87=""),"",$T87+(W$2*$M87))</f>
        <v/>
      </c>
      <c r="X87" s="49">
        <f>IF(OR($M87="",$T87=""),"",$T87+(X$2*$M87))</f>
        <v/>
      </c>
      <c r="Y87" s="47">
        <f>IF(OR($M87="",$T87=""),"",$T87+(Y$2*$M87))</f>
        <v/>
      </c>
      <c r="Z87" s="49">
        <f>IF(OR($M87="",$T87=""),"",$T87+(Z$2*$M87))</f>
        <v/>
      </c>
      <c r="AA87" s="51">
        <f>IF(OR($M87="",$T87=""),"",$T87+(AA$2*$M87))</f>
        <v/>
      </c>
      <c r="AB87" s="48">
        <f>IF(OR($M87="",$T87=""),"",$T87+(AB$2*$M87))</f>
        <v/>
      </c>
      <c r="AC87" s="48">
        <f>IF(OR($M87="",$T87=""),"",$T87+(AC$2*$M87))</f>
        <v/>
      </c>
      <c r="AD87" s="48">
        <f>IF(OR($M87="",$T87=""),"",$T87+(AD$2*$M87))</f>
        <v/>
      </c>
      <c r="AE87" s="49">
        <f>IF(OR($M87="",$T87=""),"",$T87+(AE$2*$M87))</f>
        <v/>
      </c>
      <c r="AF87" s="52">
        <f>IF(OR(T87="",I87&lt;T87),"",IFERROR(AVERAGE(T87+M87*{7,8,9,10,11})/IF(G87="",I87,G87)-1,""))</f>
        <v/>
      </c>
      <c r="AG87" s="55">
        <f>IF(OR(T87="",I87&lt;T87),"",IFERROR(AF87/-(R87/IF(G87="",I87,G87)-1),""))</f>
        <v/>
      </c>
      <c r="AH87" s="94" t="n">
        <v>1</v>
      </c>
      <c r="AI87" s="94" t="n">
        <v>23.66728150930163</v>
      </c>
      <c r="AJ87" s="94" t="n">
        <v>1</v>
      </c>
      <c r="AK87" s="94" t="inlineStr">
        <is>
          <t>OTT_MAvg Crossed Up</t>
        </is>
      </c>
      <c r="AL87" s="84" t="inlineStr">
        <is>
          <t>SolarEdge Technologies, Inc.</t>
        </is>
      </c>
      <c r="AM87" t="inlineStr">
        <is>
          <t>Technology</t>
        </is>
      </c>
      <c r="AN87" t="inlineStr">
        <is>
          <t>Solar</t>
        </is>
      </c>
      <c r="AO87" t="n">
        <v>94</v>
      </c>
    </row>
    <row r="88">
      <c r="A88" s="64" t="inlineStr">
        <is>
          <t>AMD</t>
        </is>
      </c>
      <c r="B88" s="65" t="n"/>
      <c r="C88" s="66" t="n"/>
      <c r="D88" s="67" t="n"/>
      <c r="E88" s="68" t="n"/>
      <c r="F88" s="47">
        <f>IF(A88="","",IF(MIN(H88,MAX(J88:K88))=0,"",MIN(H88,MAX(J88:K88))))</f>
        <v/>
      </c>
      <c r="G88" s="74" t="n"/>
      <c r="H88" s="49">
        <f>IF(M88="","",IFERROR(ROUND(AVERAGE(T88+M88*{7,8,9,10,11})/1.21,4),""))</f>
        <v/>
      </c>
      <c r="I88" s="76" t="n">
        <v>231.8300018310547</v>
      </c>
      <c r="J88" s="77" t="n">
        <v>219.6967740059828</v>
      </c>
      <c r="K88" s="74" t="n">
        <v>215.4129997253418</v>
      </c>
      <c r="L88" s="78" t="n">
        <v>168.6909498214722</v>
      </c>
      <c r="M88" s="77" t="n">
        <v>9.291850783773953</v>
      </c>
      <c r="N88" s="53">
        <f>IF(M88="","",IFERROR(M88/I88,""))</f>
        <v/>
      </c>
      <c r="O88" s="50">
        <f>IF(A88="","",IFERROR((IF(G88="",I88,G88)-T88)/M88,""))</f>
        <v/>
      </c>
      <c r="P88" s="50">
        <f>IFERROR((I88/T88-1)/N88,"")</f>
        <v/>
      </c>
      <c r="Q88" s="46">
        <f>IF(OR(T88="",I88&lt;T88),"",IFERROR(R88/IF(G88="",I88,G88)-1,""))</f>
        <v/>
      </c>
      <c r="R88" s="48">
        <f>IF($M88="","",MAX(IF($G88="",$I88,$G88)*(1/1.1),IF($G88="",$I88,$G88)+(R$2*$M88)))</f>
        <v/>
      </c>
      <c r="S88" s="49">
        <f>IF($M88="","",MAX(IF($G88="",$I88,$G88)*(1/1.1),IF($G88="",$I88,$G88)+(S$2*$M88)))</f>
        <v/>
      </c>
      <c r="T88" s="82" t="n">
        <v>220.5173999023438</v>
      </c>
      <c r="U88" s="47">
        <f>IF(OR($M88="",$T88=""),"",$T88+(U$2*$M88))</f>
        <v/>
      </c>
      <c r="V88" s="48">
        <f>IF(OR($M88="",$T88=""),"",$T88+(V$2*$M88))</f>
        <v/>
      </c>
      <c r="W88" s="48">
        <f>IF(OR($M88="",$T88=""),"",$T88+(W$2*$M88))</f>
        <v/>
      </c>
      <c r="X88" s="49">
        <f>IF(OR($M88="",$T88=""),"",$T88+(X$2*$M88))</f>
        <v/>
      </c>
      <c r="Y88" s="47">
        <f>IF(OR($M88="",$T88=""),"",$T88+(Y$2*$M88))</f>
        <v/>
      </c>
      <c r="Z88" s="49">
        <f>IF(OR($M88="",$T88=""),"",$T88+(Z$2*$M88))</f>
        <v/>
      </c>
      <c r="AA88" s="51">
        <f>IF(OR($M88="",$T88=""),"",$T88+(AA$2*$M88))</f>
        <v/>
      </c>
      <c r="AB88" s="48">
        <f>IF(OR($M88="",$T88=""),"",$T88+(AB$2*$M88))</f>
        <v/>
      </c>
      <c r="AC88" s="48">
        <f>IF(OR($M88="",$T88=""),"",$T88+(AC$2*$M88))</f>
        <v/>
      </c>
      <c r="AD88" s="48">
        <f>IF(OR($M88="",$T88=""),"",$T88+(AD$2*$M88))</f>
        <v/>
      </c>
      <c r="AE88" s="49">
        <f>IF(OR($M88="",$T88=""),"",$T88+(AE$2*$M88))</f>
        <v/>
      </c>
      <c r="AF88" s="52">
        <f>IF(OR(T88="",I88&lt;T88),"",IFERROR(AVERAGE(T88+M88*{7,8,9,10,11})/IF(G88="",I88,G88)-1,""))</f>
        <v/>
      </c>
      <c r="AG88" s="55">
        <f>IF(OR(T88="",I88&lt;T88),"",IFERROR(AF88/-(R88/IF(G88="",I88,G88)-1),""))</f>
        <v/>
      </c>
      <c r="AH88" s="94" t="n">
        <v>1</v>
      </c>
      <c r="AI88" s="94" t="n">
        <v>15.72427295331646</v>
      </c>
      <c r="AJ88" s="94" t="n">
        <v>1</v>
      </c>
      <c r="AK88" s="94" t="inlineStr">
        <is>
          <t>None</t>
        </is>
      </c>
      <c r="AL88" s="84" t="inlineStr">
        <is>
          <t>Advanced Micro Devices, Inc.</t>
        </is>
      </c>
      <c r="AM88" t="inlineStr">
        <is>
          <t>Technology</t>
        </is>
      </c>
      <c r="AN88" t="inlineStr">
        <is>
          <t>Semiconductors</t>
        </is>
      </c>
      <c r="AO88" t="n">
        <v>94</v>
      </c>
    </row>
    <row r="89">
      <c r="A89" s="64" t="inlineStr">
        <is>
          <t>OMCL</t>
        </is>
      </c>
      <c r="B89" s="65" t="n"/>
      <c r="C89" s="66" t="n"/>
      <c r="D89" s="67" t="n"/>
      <c r="E89" s="68" t="n"/>
      <c r="F89" s="47">
        <f>IF(A89="","",IF(MIN(H89,MAX(J89:K89))=0,"",MIN(H89,MAX(J89:K89))))</f>
        <v/>
      </c>
      <c r="G89" s="74" t="n"/>
      <c r="H89" s="49">
        <f>IF(M89="","",IFERROR(ROUND(AVERAGE(T89+M89*{7,8,9,10,11})/1.21,4),""))</f>
        <v/>
      </c>
      <c r="I89" s="76" t="n">
        <v>50.52000045776367</v>
      </c>
      <c r="J89" s="77" t="n">
        <v>49.70933355909373</v>
      </c>
      <c r="K89" s="74" t="n">
        <v>47.83099994659424</v>
      </c>
      <c r="L89" s="78" t="n">
        <v>33.35125002861023</v>
      </c>
      <c r="M89" s="77" t="n">
        <v>1.70454699321842</v>
      </c>
      <c r="N89" s="53">
        <f>IF(M89="","",IFERROR(M89/I89,""))</f>
        <v/>
      </c>
      <c r="O89" s="50">
        <f>IF(A89="","",IFERROR((IF(G89="",I89,G89)-T89)/M89,""))</f>
        <v/>
      </c>
      <c r="P89" s="50">
        <f>IFERROR((I89/T89-1)/N89,"")</f>
        <v/>
      </c>
      <c r="Q89" s="46">
        <f>IF(OR(T89="",I89&lt;T89),"",IFERROR(R89/IF(G89="",I89,G89)-1,""))</f>
        <v/>
      </c>
      <c r="R89" s="48">
        <f>IF($M89="","",MAX(IF($G89="",$I89,$G89)*(1/1.1),IF($G89="",$I89,$G89)+(R$2*$M89)))</f>
        <v/>
      </c>
      <c r="S89" s="49">
        <f>IF($M89="","",MAX(IF($G89="",$I89,$G89)*(1/1.1),IF($G89="",$I89,$G89)+(S$2*$M89)))</f>
        <v/>
      </c>
      <c r="T89" s="82" t="n">
        <v>42.24520004272461</v>
      </c>
      <c r="U89" s="47">
        <f>IF(OR($M89="",$T89=""),"",$T89+(U$2*$M89))</f>
        <v/>
      </c>
      <c r="V89" s="48">
        <f>IF(OR($M89="",$T89=""),"",$T89+(V$2*$M89))</f>
        <v/>
      </c>
      <c r="W89" s="48">
        <f>IF(OR($M89="",$T89=""),"",$T89+(W$2*$M89))</f>
        <v/>
      </c>
      <c r="X89" s="49">
        <f>IF(OR($M89="",$T89=""),"",$T89+(X$2*$M89))</f>
        <v/>
      </c>
      <c r="Y89" s="47">
        <f>IF(OR($M89="",$T89=""),"",$T89+(Y$2*$M89))</f>
        <v/>
      </c>
      <c r="Z89" s="49">
        <f>IF(OR($M89="",$T89=""),"",$T89+(Z$2*$M89))</f>
        <v/>
      </c>
      <c r="AA89" s="51">
        <f>IF(OR($M89="",$T89=""),"",$T89+(AA$2*$M89))</f>
        <v/>
      </c>
      <c r="AB89" s="48">
        <f>IF(OR($M89="",$T89=""),"",$T89+(AB$2*$M89))</f>
        <v/>
      </c>
      <c r="AC89" s="48">
        <f>IF(OR($M89="",$T89=""),"",$T89+(AC$2*$M89))</f>
        <v/>
      </c>
      <c r="AD89" s="48">
        <f>IF(OR($M89="",$T89=""),"",$T89+(AD$2*$M89))</f>
        <v/>
      </c>
      <c r="AE89" s="49">
        <f>IF(OR($M89="",$T89=""),"",$T89+(AE$2*$M89))</f>
        <v/>
      </c>
      <c r="AF89" s="52">
        <f>IF(OR(T89="",I89&lt;T89),"",IFERROR(AVERAGE(T89+M89*{7,8,9,10,11})/IF(G89="",I89,G89)-1,""))</f>
        <v/>
      </c>
      <c r="AG89" s="55">
        <f>IF(OR(T89="",I89&lt;T89),"",IFERROR(AF89/-(R89/IF(G89="",I89,G89)-1),""))</f>
        <v/>
      </c>
      <c r="AH89" s="94" t="n">
        <v>1</v>
      </c>
      <c r="AI89" s="94" t="n">
        <v>158.3965664636427</v>
      </c>
      <c r="AJ89" s="94" t="n">
        <v>0</v>
      </c>
      <c r="AK89" s="94" t="inlineStr">
        <is>
          <t>OTT Up Trend</t>
        </is>
      </c>
      <c r="AL89" s="84" t="inlineStr">
        <is>
          <t>Omnicell, Inc.</t>
        </is>
      </c>
      <c r="AM89" t="inlineStr">
        <is>
          <t>Healthcare</t>
        </is>
      </c>
      <c r="AN89" t="inlineStr">
        <is>
          <t>Health Information Services</t>
        </is>
      </c>
      <c r="AO89" t="n">
        <v>94</v>
      </c>
    </row>
    <row r="90">
      <c r="A90" s="64" t="inlineStr">
        <is>
          <t>DG</t>
        </is>
      </c>
      <c r="B90" s="65" t="n"/>
      <c r="C90" s="66" t="n"/>
      <c r="D90" s="67" t="n"/>
      <c r="E90" s="68" t="n"/>
      <c r="F90" s="47">
        <f>IF(A90="","",IF(MIN(H90,MAX(J90:K90))=0,"",MIN(H90,MAX(J90:K90))))</f>
        <v/>
      </c>
      <c r="G90" s="74" t="n"/>
      <c r="H90" s="49">
        <f>IF(M90="","",IFERROR(ROUND(AVERAGE(T90+M90*{7,8,9,10,11})/1.21,4),""))</f>
        <v/>
      </c>
      <c r="I90" s="76" t="n">
        <v>148.7400054931641</v>
      </c>
      <c r="J90" s="77" t="n">
        <v>146.5330776204956</v>
      </c>
      <c r="K90" s="74" t="n">
        <v>141.3675003051758</v>
      </c>
      <c r="L90" s="78" t="n">
        <v>109.1230997467041</v>
      </c>
      <c r="M90" s="77" t="n">
        <v>4.064050659831384</v>
      </c>
      <c r="N90" s="53">
        <f>IF(M90="","",IFERROR(M90/I90,""))</f>
        <v/>
      </c>
      <c r="O90" s="50">
        <f>IF(A90="","",IFERROR((IF(G90="",I90,G90)-T90)/M90,""))</f>
        <v/>
      </c>
      <c r="P90" s="50">
        <f>IFERROR((I90/T90-1)/N90,"")</f>
        <v/>
      </c>
      <c r="Q90" s="46">
        <f>IF(OR(T90="",I90&lt;T90),"",IFERROR(R90/IF(G90="",I90,G90)-1,""))</f>
        <v/>
      </c>
      <c r="R90" s="48">
        <f>IF($M90="","",MAX(IF($G90="",$I90,$G90)*(1/1.1),IF($G90="",$I90,$G90)+(R$2*$M90)))</f>
        <v/>
      </c>
      <c r="S90" s="49">
        <f>IF($M90="","",MAX(IF($G90="",$I90,$G90)*(1/1.1),IF($G90="",$I90,$G90)+(S$2*$M90)))</f>
        <v/>
      </c>
      <c r="T90" s="82" t="n">
        <v>124.1117997741699</v>
      </c>
      <c r="U90" s="47">
        <f>IF(OR($M90="",$T90=""),"",$T90+(U$2*$M90))</f>
        <v/>
      </c>
      <c r="V90" s="48">
        <f>IF(OR($M90="",$T90=""),"",$T90+(V$2*$M90))</f>
        <v/>
      </c>
      <c r="W90" s="48">
        <f>IF(OR($M90="",$T90=""),"",$T90+(W$2*$M90))</f>
        <v/>
      </c>
      <c r="X90" s="49">
        <f>IF(OR($M90="",$T90=""),"",$T90+(X$2*$M90))</f>
        <v/>
      </c>
      <c r="Y90" s="47">
        <f>IF(OR($M90="",$T90=""),"",$T90+(Y$2*$M90))</f>
        <v/>
      </c>
      <c r="Z90" s="49">
        <f>IF(OR($M90="",$T90=""),"",$T90+(Z$2*$M90))</f>
        <v/>
      </c>
      <c r="AA90" s="51">
        <f>IF(OR($M90="",$T90=""),"",$T90+(AA$2*$M90))</f>
        <v/>
      </c>
      <c r="AB90" s="48">
        <f>IF(OR($M90="",$T90=""),"",$T90+(AB$2*$M90))</f>
        <v/>
      </c>
      <c r="AC90" s="48">
        <f>IF(OR($M90="",$T90=""),"",$T90+(AC$2*$M90))</f>
        <v/>
      </c>
      <c r="AD90" s="48">
        <f>IF(OR($M90="",$T90=""),"",$T90+(AD$2*$M90))</f>
        <v/>
      </c>
      <c r="AE90" s="49">
        <f>IF(OR($M90="",$T90=""),"",$T90+(AE$2*$M90))</f>
        <v/>
      </c>
      <c r="AF90" s="52">
        <f>IF(OR(T90="",I90&lt;T90),"",IFERROR(AVERAGE(T90+M90*{7,8,9,10,11})/IF(G90="",I90,G90)-1,""))</f>
        <v/>
      </c>
      <c r="AG90" s="55">
        <f>IF(OR(T90="",I90&lt;T90),"",IFERROR(AF90/-(R90/IF(G90="",I90,G90)-1),""))</f>
        <v/>
      </c>
      <c r="AH90" s="94" t="n">
        <v>1</v>
      </c>
      <c r="AI90" s="94" t="n">
        <v>184.0418774160777</v>
      </c>
      <c r="AJ90" s="94" t="n">
        <v>0</v>
      </c>
      <c r="AK90" s="94" t="inlineStr">
        <is>
          <t>OTT Up Trend</t>
        </is>
      </c>
      <c r="AL90" s="84" t="inlineStr">
        <is>
          <t>Dollar General Corporation</t>
        </is>
      </c>
      <c r="AM90" t="inlineStr">
        <is>
          <t>Consumer Defensive</t>
        </is>
      </c>
      <c r="AN90" t="inlineStr">
        <is>
          <t>Discount Stores</t>
        </is>
      </c>
      <c r="AO90" t="n">
        <v>94</v>
      </c>
    </row>
    <row r="91">
      <c r="A91" s="64" t="inlineStr">
        <is>
          <t>SCHL</t>
        </is>
      </c>
      <c r="B91" s="65" t="n"/>
      <c r="C91" s="66" t="n"/>
      <c r="D91" s="67" t="n"/>
      <c r="E91" s="68" t="n"/>
      <c r="F91" s="47">
        <f>IF(A91="","",IF(MIN(H91,MAX(J91:K91))=0,"",MIN(H91,MAX(J91:K91))))</f>
        <v/>
      </c>
      <c r="G91" s="74" t="n"/>
      <c r="H91" s="49">
        <f>IF(M91="","",IFERROR(ROUND(AVERAGE(T91+M91*{7,8,9,10,11})/1.21,4),""))</f>
        <v/>
      </c>
      <c r="I91" s="76" t="n">
        <v>34.40000152587891</v>
      </c>
      <c r="J91" s="77" t="n">
        <v>33.15856322654284</v>
      </c>
      <c r="K91" s="74" t="n">
        <v>31.10700006484985</v>
      </c>
      <c r="L91" s="78" t="n">
        <v>24.44545001029968</v>
      </c>
      <c r="M91" s="77" t="n">
        <v>1.133037954500756</v>
      </c>
      <c r="N91" s="53">
        <f>IF(M91="","",IFERROR(M91/I91,""))</f>
        <v/>
      </c>
      <c r="O91" s="50">
        <f>IF(A91="","",IFERROR((IF(G91="",I91,G91)-T91)/M91,""))</f>
        <v/>
      </c>
      <c r="P91" s="50">
        <f>IFERROR((I91/T91-1)/N91,"")</f>
        <v/>
      </c>
      <c r="Q91" s="46">
        <f>IF(OR(T91="",I91&lt;T91),"",IFERROR(R91/IF(G91="",I91,G91)-1,""))</f>
        <v/>
      </c>
      <c r="R91" s="48">
        <f>IF($M91="","",MAX(IF($G91="",$I91,$G91)*(1/1.1),IF($G91="",$I91,$G91)+(R$2*$M91)))</f>
        <v/>
      </c>
      <c r="S91" s="49">
        <f>IF($M91="","",MAX(IF($G91="",$I91,$G91)*(1/1.1),IF($G91="",$I91,$G91)+(S$2*$M91)))</f>
        <v/>
      </c>
      <c r="T91" s="82" t="n">
        <v>29.60999992370606</v>
      </c>
      <c r="U91" s="47">
        <f>IF(OR($M91="",$T91=""),"",$T91+(U$2*$M91))</f>
        <v/>
      </c>
      <c r="V91" s="48">
        <f>IF(OR($M91="",$T91=""),"",$T91+(V$2*$M91))</f>
        <v/>
      </c>
      <c r="W91" s="48">
        <f>IF(OR($M91="",$T91=""),"",$T91+(W$2*$M91))</f>
        <v/>
      </c>
      <c r="X91" s="49">
        <f>IF(OR($M91="",$T91=""),"",$T91+(X$2*$M91))</f>
        <v/>
      </c>
      <c r="Y91" s="47">
        <f>IF(OR($M91="",$T91=""),"",$T91+(Y$2*$M91))</f>
        <v/>
      </c>
      <c r="Z91" s="49">
        <f>IF(OR($M91="",$T91=""),"",$T91+(Z$2*$M91))</f>
        <v/>
      </c>
      <c r="AA91" s="51">
        <f>IF(OR($M91="",$T91=""),"",$T91+(AA$2*$M91))</f>
        <v/>
      </c>
      <c r="AB91" s="48">
        <f>IF(OR($M91="",$T91=""),"",$T91+(AB$2*$M91))</f>
        <v/>
      </c>
      <c r="AC91" s="48">
        <f>IF(OR($M91="",$T91=""),"",$T91+(AC$2*$M91))</f>
        <v/>
      </c>
      <c r="AD91" s="48">
        <f>IF(OR($M91="",$T91=""),"",$T91+(AD$2*$M91))</f>
        <v/>
      </c>
      <c r="AE91" s="49">
        <f>IF(OR($M91="",$T91=""),"",$T91+(AE$2*$M91))</f>
        <v/>
      </c>
      <c r="AF91" s="52">
        <f>IF(OR(T91="",I91&lt;T91),"",IFERROR(AVERAGE(T91+M91*{7,8,9,10,11})/IF(G91="",I91,G91)-1,""))</f>
        <v/>
      </c>
      <c r="AG91" s="55">
        <f>IF(OR(T91="",I91&lt;T91),"",IFERROR(AF91/-(R91/IF(G91="",I91,G91)-1),""))</f>
        <v/>
      </c>
      <c r="AH91" s="94" t="n">
        <v>1</v>
      </c>
      <c r="AI91" s="94" t="n">
        <v>132.980641566081</v>
      </c>
      <c r="AJ91" s="94" t="n">
        <v>1</v>
      </c>
      <c r="AK91" s="94" t="inlineStr">
        <is>
          <t>OTT Up Trend</t>
        </is>
      </c>
      <c r="AL91" s="84" t="inlineStr">
        <is>
          <t>Scholastic Corporation</t>
        </is>
      </c>
      <c r="AM91" t="inlineStr">
        <is>
          <t>Communication Services</t>
        </is>
      </c>
      <c r="AN91" t="inlineStr">
        <is>
          <t>Publishing</t>
        </is>
      </c>
      <c r="AO91" t="n">
        <v>94</v>
      </c>
    </row>
    <row r="92">
      <c r="A92" s="64" t="inlineStr">
        <is>
          <t>CAT</t>
        </is>
      </c>
      <c r="B92" s="65" t="n"/>
      <c r="C92" s="66" t="n"/>
      <c r="D92" s="67" t="n"/>
      <c r="E92" s="68" t="n"/>
      <c r="F92" s="47">
        <f>IF(A92="","",IF(MIN(H92,MAX(J92:K92))=0,"",MIN(H92,MAX(J92:K92))))</f>
        <v/>
      </c>
      <c r="G92" s="74" t="n"/>
      <c r="H92" s="49">
        <f>IF(M92="","",IFERROR(ROUND(AVERAGE(T92+M92*{7,8,9,10,11})/1.21,4),""))</f>
        <v/>
      </c>
      <c r="I92" s="76" t="n">
        <v>646.8900146484375</v>
      </c>
      <c r="J92" s="77" t="n">
        <v>626.8518226982505</v>
      </c>
      <c r="K92" s="74" t="n">
        <v>603.075</v>
      </c>
      <c r="L92" s="78" t="n">
        <v>450.4322996520996</v>
      </c>
      <c r="M92" s="77" t="n">
        <v>15.70384709148451</v>
      </c>
      <c r="N92" s="53">
        <f>IF(M92="","",IFERROR(M92/I92,""))</f>
        <v/>
      </c>
      <c r="O92" s="50">
        <f>IF(A92="","",IFERROR((IF(G92="",I92,G92)-T92)/M92,""))</f>
        <v/>
      </c>
      <c r="P92" s="50">
        <f>IFERROR((I92/T92-1)/N92,"")</f>
        <v/>
      </c>
      <c r="Q92" s="46">
        <f>IF(OR(T92="",I92&lt;T92),"",IFERROR(R92/IF(G92="",I92,G92)-1,""))</f>
        <v/>
      </c>
      <c r="R92" s="48">
        <f>IF($M92="","",MAX(IF($G92="",$I92,$G92)*(1/1.1),IF($G92="",$I92,$G92)+(R$2*$M92)))</f>
        <v/>
      </c>
      <c r="S92" s="49">
        <f>IF($M92="","",MAX(IF($G92="",$I92,$G92)*(1/1.1),IF($G92="",$I92,$G92)+(S$2*$M92)))</f>
        <v/>
      </c>
      <c r="T92" s="82" t="n">
        <v>586.4367980957031</v>
      </c>
      <c r="U92" s="47">
        <f>IF(OR($M92="",$T92=""),"",$T92+(U$2*$M92))</f>
        <v/>
      </c>
      <c r="V92" s="48">
        <f>IF(OR($M92="",$T92=""),"",$T92+(V$2*$M92))</f>
        <v/>
      </c>
      <c r="W92" s="48">
        <f>IF(OR($M92="",$T92=""),"",$T92+(W$2*$M92))</f>
        <v/>
      </c>
      <c r="X92" s="49">
        <f>IF(OR($M92="",$T92=""),"",$T92+(X$2*$M92))</f>
        <v/>
      </c>
      <c r="Y92" s="47">
        <f>IF(OR($M92="",$T92=""),"",$T92+(Y$2*$M92))</f>
        <v/>
      </c>
      <c r="Z92" s="49">
        <f>IF(OR($M92="",$T92=""),"",$T92+(Z$2*$M92))</f>
        <v/>
      </c>
      <c r="AA92" s="51">
        <f>IF(OR($M92="",$T92=""),"",$T92+(AA$2*$M92))</f>
        <v/>
      </c>
      <c r="AB92" s="48">
        <f>IF(OR($M92="",$T92=""),"",$T92+(AB$2*$M92))</f>
        <v/>
      </c>
      <c r="AC92" s="48">
        <f>IF(OR($M92="",$T92=""),"",$T92+(AC$2*$M92))</f>
        <v/>
      </c>
      <c r="AD92" s="48">
        <f>IF(OR($M92="",$T92=""),"",$T92+(AD$2*$M92))</f>
        <v/>
      </c>
      <c r="AE92" s="49">
        <f>IF(OR($M92="",$T92=""),"",$T92+(AE$2*$M92))</f>
        <v/>
      </c>
      <c r="AF92" s="52">
        <f>IF(OR(T92="",I92&lt;T92),"",IFERROR(AVERAGE(T92+M92*{7,8,9,10,11})/IF(G92="",I92,G92)-1,""))</f>
        <v/>
      </c>
      <c r="AG92" s="55">
        <f>IF(OR(T92="",I92&lt;T92),"",IFERROR(AF92/-(R92/IF(G92="",I92,G92)-1),""))</f>
        <v/>
      </c>
      <c r="AH92" s="94" t="n">
        <v>1</v>
      </c>
      <c r="AI92" s="94" t="n">
        <v>109.2765591887031</v>
      </c>
      <c r="AJ92" s="94" t="n">
        <v>1</v>
      </c>
      <c r="AK92" s="94" t="inlineStr">
        <is>
          <t>OTT Up Trend</t>
        </is>
      </c>
      <c r="AL92" s="84" t="inlineStr">
        <is>
          <t>Caterpillar, Inc.</t>
        </is>
      </c>
      <c r="AM92" t="inlineStr">
        <is>
          <t>Industrials</t>
        </is>
      </c>
      <c r="AN92" t="inlineStr">
        <is>
          <t>Farm &amp; Heavy Construction Machinery</t>
        </is>
      </c>
      <c r="AO92" t="n">
        <v>94</v>
      </c>
    </row>
    <row r="93">
      <c r="A93" s="64" t="inlineStr">
        <is>
          <t>NEOG</t>
        </is>
      </c>
      <c r="B93" s="65" t="n"/>
      <c r="C93" s="66" t="n"/>
      <c r="D93" s="67" t="n"/>
      <c r="E93" s="68" t="n"/>
      <c r="F93" s="47">
        <f>IF(A93="","",IF(MIN(H93,MAX(J93:K93))=0,"",MIN(H93,MAX(J93:K93))))</f>
        <v/>
      </c>
      <c r="G93" s="74" t="n"/>
      <c r="H93" s="49">
        <f>IF(M93="","",IFERROR(ROUND(AVERAGE(T93+M93*{7,8,9,10,11})/1.21,4),""))</f>
        <v/>
      </c>
      <c r="I93" s="76" t="n">
        <v>9.25</v>
      </c>
      <c r="J93" s="77" t="n">
        <v>8.84496634129953</v>
      </c>
      <c r="K93" s="74" t="n">
        <v>7.975999975204468</v>
      </c>
      <c r="L93" s="78" t="n">
        <v>5.933249983787537</v>
      </c>
      <c r="M93" s="77" t="n">
        <v>0.5191415739032273</v>
      </c>
      <c r="N93" s="53">
        <f>IF(M93="","",IFERROR(M93/I93,""))</f>
        <v/>
      </c>
      <c r="O93" s="50">
        <f>IF(A93="","",IFERROR((IF(G93="",I93,G93)-T93)/M93,""))</f>
        <v/>
      </c>
      <c r="P93" s="50">
        <f>IFERROR((I93/T93-1)/N93,"")</f>
        <v/>
      </c>
      <c r="Q93" s="46">
        <f>IF(OR(T93="",I93&lt;T93),"",IFERROR(R93/IF(G93="",I93,G93)-1,""))</f>
        <v/>
      </c>
      <c r="R93" s="48">
        <f>IF($M93="","",MAX(IF($G93="",$I93,$G93)*(1/1.1),IF($G93="",$I93,$G93)+(R$2*$M93)))</f>
        <v/>
      </c>
      <c r="S93" s="49">
        <f>IF($M93="","",MAX(IF($G93="",$I93,$G93)*(1/1.1),IF($G93="",$I93,$G93)+(S$2*$M93)))</f>
        <v/>
      </c>
      <c r="T93" s="82" t="n">
        <v>6.942799997329712</v>
      </c>
      <c r="U93" s="47">
        <f>IF(OR($M93="",$T93=""),"",$T93+(U$2*$M93))</f>
        <v/>
      </c>
      <c r="V93" s="48">
        <f>IF(OR($M93="",$T93=""),"",$T93+(V$2*$M93))</f>
        <v/>
      </c>
      <c r="W93" s="48">
        <f>IF(OR($M93="",$T93=""),"",$T93+(W$2*$M93))</f>
        <v/>
      </c>
      <c r="X93" s="49">
        <f>IF(OR($M93="",$T93=""),"",$T93+(X$2*$M93))</f>
        <v/>
      </c>
      <c r="Y93" s="47">
        <f>IF(OR($M93="",$T93=""),"",$T93+(Y$2*$M93))</f>
        <v/>
      </c>
      <c r="Z93" s="49">
        <f>IF(OR($M93="",$T93=""),"",$T93+(Z$2*$M93))</f>
        <v/>
      </c>
      <c r="AA93" s="51">
        <f>IF(OR($M93="",$T93=""),"",$T93+(AA$2*$M93))</f>
        <v/>
      </c>
      <c r="AB93" s="48">
        <f>IF(OR($M93="",$T93=""),"",$T93+(AB$2*$M93))</f>
        <v/>
      </c>
      <c r="AC93" s="48">
        <f>IF(OR($M93="",$T93=""),"",$T93+(AC$2*$M93))</f>
        <v/>
      </c>
      <c r="AD93" s="48">
        <f>IF(OR($M93="",$T93=""),"",$T93+(AD$2*$M93))</f>
        <v/>
      </c>
      <c r="AE93" s="49">
        <f>IF(OR($M93="",$T93=""),"",$T93+(AE$2*$M93))</f>
        <v/>
      </c>
      <c r="AF93" s="52">
        <f>IF(OR(T93="",I93&lt;T93),"",IFERROR(AVERAGE(T93+M93*{7,8,9,10,11})/IF(G93="",I93,G93)-1,""))</f>
        <v/>
      </c>
      <c r="AG93" s="55">
        <f>IF(OR(T93="",I93&lt;T93),"",IFERROR(AF93/-(R93/IF(G93="",I93,G93)-1),""))</f>
        <v/>
      </c>
      <c r="AH93" s="94" t="n">
        <v>1</v>
      </c>
      <c r="AI93" s="94" t="n">
        <v>168.902227749388</v>
      </c>
      <c r="AJ93" s="94" t="n">
        <v>1</v>
      </c>
      <c r="AK93" s="94" t="inlineStr">
        <is>
          <t>OTT Up Trend</t>
        </is>
      </c>
      <c r="AL93" s="84" t="inlineStr">
        <is>
          <t>Neogen Corporation</t>
        </is>
      </c>
      <c r="AM93" t="inlineStr">
        <is>
          <t>Healthcare</t>
        </is>
      </c>
      <c r="AN93" t="inlineStr">
        <is>
          <t>Diagnostics &amp; Research</t>
        </is>
      </c>
      <c r="AO93" t="n">
        <v>94</v>
      </c>
    </row>
    <row r="94">
      <c r="A94" s="64" t="inlineStr">
        <is>
          <t>RMBS</t>
        </is>
      </c>
      <c r="B94" s="65" t="n"/>
      <c r="C94" s="66" t="n"/>
      <c r="D94" s="67" t="n"/>
      <c r="E94" s="68" t="n"/>
      <c r="F94" s="47">
        <f>IF(A94="","",IF(MIN(H94,MAX(J94:K94))=0,"",MIN(H94,MAX(J94:K94))))</f>
        <v/>
      </c>
      <c r="G94" s="74" t="n"/>
      <c r="H94" s="49">
        <f>IF(M94="","",IFERROR(ROUND(AVERAGE(T94+M94*{7,8,9,10,11})/1.21,4),""))</f>
        <v/>
      </c>
      <c r="I94" s="76" t="n">
        <v>107.9899978637695</v>
      </c>
      <c r="J94" s="77" t="n">
        <v>98.84392816694657</v>
      </c>
      <c r="K94" s="74" t="n">
        <v>95.81450042724609</v>
      </c>
      <c r="L94" s="78" t="n">
        <v>77.8566999053955</v>
      </c>
      <c r="M94" s="77" t="n">
        <v>4.94678534506464</v>
      </c>
      <c r="N94" s="53">
        <f>IF(M94="","",IFERROR(M94/I94,""))</f>
        <v/>
      </c>
      <c r="O94" s="50">
        <f>IF(A94="","",IFERROR((IF(G94="",I94,G94)-T94)/M94,""))</f>
        <v/>
      </c>
      <c r="P94" s="50">
        <f>IFERROR((I94/T94-1)/N94,"")</f>
        <v/>
      </c>
      <c r="Q94" s="46">
        <f>IF(OR(T94="",I94&lt;T94),"",IFERROR(R94/IF(G94="",I94,G94)-1,""))</f>
        <v/>
      </c>
      <c r="R94" s="48">
        <f>IF($M94="","",MAX(IF($G94="",$I94,$G94)*(1/1.1),IF($G94="",$I94,$G94)+(R$2*$M94)))</f>
        <v/>
      </c>
      <c r="S94" s="49">
        <f>IF($M94="","",MAX(IF($G94="",$I94,$G94)*(1/1.1),IF($G94="",$I94,$G94)+(S$2*$M94)))</f>
        <v/>
      </c>
      <c r="T94" s="82" t="n">
        <v>96.99979995727539</v>
      </c>
      <c r="U94" s="47">
        <f>IF(OR($M94="",$T94=""),"",$T94+(U$2*$M94))</f>
        <v/>
      </c>
      <c r="V94" s="48">
        <f>IF(OR($M94="",$T94=""),"",$T94+(V$2*$M94))</f>
        <v/>
      </c>
      <c r="W94" s="48">
        <f>IF(OR($M94="",$T94=""),"",$T94+(W$2*$M94))</f>
        <v/>
      </c>
      <c r="X94" s="49">
        <f>IF(OR($M94="",$T94=""),"",$T94+(X$2*$M94))</f>
        <v/>
      </c>
      <c r="Y94" s="47">
        <f>IF(OR($M94="",$T94=""),"",$T94+(Y$2*$M94))</f>
        <v/>
      </c>
      <c r="Z94" s="49">
        <f>IF(OR($M94="",$T94=""),"",$T94+(Z$2*$M94))</f>
        <v/>
      </c>
      <c r="AA94" s="51">
        <f>IF(OR($M94="",$T94=""),"",$T94+(AA$2*$M94))</f>
        <v/>
      </c>
      <c r="AB94" s="48">
        <f>IF(OR($M94="",$T94=""),"",$T94+(AB$2*$M94))</f>
        <v/>
      </c>
      <c r="AC94" s="48">
        <f>IF(OR($M94="",$T94=""),"",$T94+(AC$2*$M94))</f>
        <v/>
      </c>
      <c r="AD94" s="48">
        <f>IF(OR($M94="",$T94=""),"",$T94+(AD$2*$M94))</f>
        <v/>
      </c>
      <c r="AE94" s="49">
        <f>IF(OR($M94="",$T94=""),"",$T94+(AE$2*$M94))</f>
        <v/>
      </c>
      <c r="AF94" s="52">
        <f>IF(OR(T94="",I94&lt;T94),"",IFERROR(AVERAGE(T94+M94*{7,8,9,10,11})/IF(G94="",I94,G94)-1,""))</f>
        <v/>
      </c>
      <c r="AG94" s="55">
        <f>IF(OR(T94="",I94&lt;T94),"",IFERROR(AF94/-(R94/IF(G94="",I94,G94)-1),""))</f>
        <v/>
      </c>
      <c r="AH94" s="94" t="n">
        <v>1</v>
      </c>
      <c r="AI94" s="94" t="n">
        <v>23.9562534508623</v>
      </c>
      <c r="AJ94" s="94" t="n">
        <v>1</v>
      </c>
      <c r="AK94" s="94" t="inlineStr">
        <is>
          <t>None</t>
        </is>
      </c>
      <c r="AL94" s="84" t="inlineStr">
        <is>
          <t>Rambus, Inc.</t>
        </is>
      </c>
      <c r="AM94" t="inlineStr">
        <is>
          <t>Technology</t>
        </is>
      </c>
      <c r="AN94" t="inlineStr">
        <is>
          <t>Semiconductors</t>
        </is>
      </c>
      <c r="AO94" t="n">
        <v>94</v>
      </c>
    </row>
    <row r="95">
      <c r="A95" s="64" t="inlineStr">
        <is>
          <t>CVNA</t>
        </is>
      </c>
      <c r="B95" s="65" t="n"/>
      <c r="C95" s="66" t="n"/>
      <c r="D95" s="67" t="n"/>
      <c r="E95" s="68" t="n"/>
      <c r="F95" s="47">
        <f>IF(A95="","",IF(MIN(H95,MAX(J95:K95))=0,"",MIN(H95,MAX(J95:K95))))</f>
        <v/>
      </c>
      <c r="G95" s="74" t="n"/>
      <c r="H95" s="49">
        <f>IF(M95="","",IFERROR(ROUND(AVERAGE(T95+M95*{7,8,9,10,11})/1.21,4),""))</f>
        <v/>
      </c>
      <c r="I95" s="76" t="n">
        <v>443.1199951171875</v>
      </c>
      <c r="J95" s="77" t="n">
        <v>451.1328342974683</v>
      </c>
      <c r="K95" s="74" t="n">
        <v>443.7469955444336</v>
      </c>
      <c r="L95" s="78" t="n">
        <v>341.9353504180908</v>
      </c>
      <c r="M95" s="77" t="n">
        <v>19.28953699940197</v>
      </c>
      <c r="N95" s="53">
        <f>IF(M95="","",IFERROR(M95/I95,""))</f>
        <v/>
      </c>
      <c r="O95" s="50">
        <f>IF(A95="","",IFERROR((IF(G95="",I95,G95)-T95)/M95,""))</f>
        <v/>
      </c>
      <c r="P95" s="50">
        <f>IFERROR((I95/T95-1)/N95,"")</f>
        <v/>
      </c>
      <c r="Q95" s="46">
        <f>IF(OR(T95="",I95&lt;T95),"",IFERROR(R95/IF(G95="",I95,G95)-1,""))</f>
        <v/>
      </c>
      <c r="R95" s="48">
        <f>IF($M95="","",MAX(IF($G95="",$I95,$G95)*(1/1.1),IF($G95="",$I95,$G95)+(R$2*$M95)))</f>
        <v/>
      </c>
      <c r="S95" s="49">
        <f>IF($M95="","",MAX(IF($G95="",$I95,$G95)*(1/1.1),IF($G95="",$I95,$G95)+(S$2*$M95)))</f>
        <v/>
      </c>
      <c r="T95" s="82" t="n">
        <v>400.0181988525391</v>
      </c>
      <c r="U95" s="47">
        <f>IF(OR($M95="",$T95=""),"",$T95+(U$2*$M95))</f>
        <v/>
      </c>
      <c r="V95" s="48">
        <f>IF(OR($M95="",$T95=""),"",$T95+(V$2*$M95))</f>
        <v/>
      </c>
      <c r="W95" s="48">
        <f>IF(OR($M95="",$T95=""),"",$T95+(W$2*$M95))</f>
        <v/>
      </c>
      <c r="X95" s="49">
        <f>IF(OR($M95="",$T95=""),"",$T95+(X$2*$M95))</f>
        <v/>
      </c>
      <c r="Y95" s="47">
        <f>IF(OR($M95="",$T95=""),"",$T95+(Y$2*$M95))</f>
        <v/>
      </c>
      <c r="Z95" s="49">
        <f>IF(OR($M95="",$T95=""),"",$T95+(Z$2*$M95))</f>
        <v/>
      </c>
      <c r="AA95" s="51">
        <f>IF(OR($M95="",$T95=""),"",$T95+(AA$2*$M95))</f>
        <v/>
      </c>
      <c r="AB95" s="48">
        <f>IF(OR($M95="",$T95=""),"",$T95+(AB$2*$M95))</f>
        <v/>
      </c>
      <c r="AC95" s="48">
        <f>IF(OR($M95="",$T95=""),"",$T95+(AC$2*$M95))</f>
        <v/>
      </c>
      <c r="AD95" s="48">
        <f>IF(OR($M95="",$T95=""),"",$T95+(AD$2*$M95))</f>
        <v/>
      </c>
      <c r="AE95" s="49">
        <f>IF(OR($M95="",$T95=""),"",$T95+(AE$2*$M95))</f>
        <v/>
      </c>
      <c r="AF95" s="52">
        <f>IF(OR(T95="",I95&lt;T95),"",IFERROR(AVERAGE(T95+M95*{7,8,9,10,11})/IF(G95="",I95,G95)-1,""))</f>
        <v/>
      </c>
      <c r="AG95" s="55">
        <f>IF(OR(T95="",I95&lt;T95),"",IFERROR(AF95/-(R95/IF(G95="",I95,G95)-1),""))</f>
        <v/>
      </c>
      <c r="AH95" s="94" t="n">
        <v>1</v>
      </c>
      <c r="AI95" s="94" t="n">
        <v>66.5707474594699</v>
      </c>
      <c r="AJ95" s="94" t="n">
        <v>0</v>
      </c>
      <c r="AK95" s="94" t="inlineStr">
        <is>
          <t>OTT Up Trend</t>
        </is>
      </c>
      <c r="AL95" s="84" t="inlineStr">
        <is>
          <t>Carvana Co.</t>
        </is>
      </c>
      <c r="AM95" t="inlineStr">
        <is>
          <t>Consumer Cyclical</t>
        </is>
      </c>
      <c r="AN95" t="inlineStr">
        <is>
          <t>Auto &amp; Truck Dealerships</t>
        </is>
      </c>
      <c r="AO95" t="n">
        <v>94</v>
      </c>
    </row>
    <row r="96">
      <c r="A96" s="64" t="inlineStr">
        <is>
          <t>AAMI</t>
        </is>
      </c>
      <c r="B96" s="65" t="n"/>
      <c r="C96" s="66" t="n"/>
      <c r="D96" s="67" t="n"/>
      <c r="E96" s="68" t="n"/>
      <c r="F96" s="47">
        <f>IF(A96="","",IF(MIN(H96,MAX(J96:K96))=0,"",MIN(H96,MAX(J96:K96))))</f>
        <v/>
      </c>
      <c r="G96" s="74" t="n"/>
      <c r="H96" s="49">
        <f>IF(M96="","",IFERROR(ROUND(AVERAGE(T96+M96*{7,8,9,10,11})/1.21,4),""))</f>
        <v/>
      </c>
      <c r="I96" s="76" t="n">
        <v>54.43000030517578</v>
      </c>
      <c r="J96" s="77" t="n">
        <v>51.99489335243201</v>
      </c>
      <c r="K96" s="74" t="n">
        <v>49.75799999237061</v>
      </c>
      <c r="L96" s="78" t="n">
        <v>40.70769991874695</v>
      </c>
      <c r="M96" s="77" t="n">
        <v>1.757586608287829</v>
      </c>
      <c r="N96" s="53">
        <f>IF(M96="","",IFERROR(M96/I96,""))</f>
        <v/>
      </c>
      <c r="O96" s="50">
        <f>IF(A96="","",IFERROR((IF(G96="",I96,G96)-T96)/M96,""))</f>
        <v/>
      </c>
      <c r="P96" s="50">
        <f>IFERROR((I96/T96-1)/N96,"")</f>
        <v/>
      </c>
      <c r="Q96" s="46">
        <f>IF(OR(T96="",I96&lt;T96),"",IFERROR(R96/IF(G96="",I96,G96)-1,""))</f>
        <v/>
      </c>
      <c r="R96" s="48">
        <f>IF($M96="","",MAX(IF($G96="",$I96,$G96)*(1/1.1),IF($G96="",$I96,$G96)+(R$2*$M96)))</f>
        <v/>
      </c>
      <c r="S96" s="49">
        <f>IF($M96="","",MAX(IF($G96="",$I96,$G96)*(1/1.1),IF($G96="",$I96,$G96)+(S$2*$M96)))</f>
        <v/>
      </c>
      <c r="T96" s="82" t="n">
        <v>46.91239997863769</v>
      </c>
      <c r="U96" s="47">
        <f>IF(OR($M96="",$T96=""),"",$T96+(U$2*$M96))</f>
        <v/>
      </c>
      <c r="V96" s="48">
        <f>IF(OR($M96="",$T96=""),"",$T96+(V$2*$M96))</f>
        <v/>
      </c>
      <c r="W96" s="48">
        <f>IF(OR($M96="",$T96=""),"",$T96+(W$2*$M96))</f>
        <v/>
      </c>
      <c r="X96" s="49">
        <f>IF(OR($M96="",$T96=""),"",$T96+(X$2*$M96))</f>
        <v/>
      </c>
      <c r="Y96" s="47">
        <f>IF(OR($M96="",$T96=""),"",$T96+(Y$2*$M96))</f>
        <v/>
      </c>
      <c r="Z96" s="49">
        <f>IF(OR($M96="",$T96=""),"",$T96+(Z$2*$M96))</f>
        <v/>
      </c>
      <c r="AA96" s="51">
        <f>IF(OR($M96="",$T96=""),"",$T96+(AA$2*$M96))</f>
        <v/>
      </c>
      <c r="AB96" s="48">
        <f>IF(OR($M96="",$T96=""),"",$T96+(AB$2*$M96))</f>
        <v/>
      </c>
      <c r="AC96" s="48">
        <f>IF(OR($M96="",$T96=""),"",$T96+(AC$2*$M96))</f>
        <v/>
      </c>
      <c r="AD96" s="48">
        <f>IF(OR($M96="",$T96=""),"",$T96+(AD$2*$M96))</f>
        <v/>
      </c>
      <c r="AE96" s="49">
        <f>IF(OR($M96="",$T96=""),"",$T96+(AE$2*$M96))</f>
        <v/>
      </c>
      <c r="AF96" s="52">
        <f>IF(OR(T96="",I96&lt;T96),"",IFERROR(AVERAGE(T96+M96*{7,8,9,10,11})/IF(G96="",I96,G96)-1,""))</f>
        <v/>
      </c>
      <c r="AG96" s="55">
        <f>IF(OR(T96="",I96&lt;T96),"",IFERROR(AF96/-(R96/IF(G96="",I96,G96)-1),""))</f>
        <v/>
      </c>
      <c r="AH96" s="94" t="n">
        <v>1</v>
      </c>
      <c r="AI96" s="94" t="n">
        <v>108.7582175935175</v>
      </c>
      <c r="AJ96" s="94" t="n">
        <v>1</v>
      </c>
      <c r="AK96" s="94" t="inlineStr">
        <is>
          <t>OTT Up Trend</t>
        </is>
      </c>
      <c r="AL96" s="84" t="inlineStr">
        <is>
          <t>Acadian Asset Management Inc.</t>
        </is>
      </c>
      <c r="AM96" t="inlineStr">
        <is>
          <t>Financial Services</t>
        </is>
      </c>
      <c r="AN96" t="inlineStr">
        <is>
          <t>Asset Management</t>
        </is>
      </c>
      <c r="AO96" t="n">
        <v>93</v>
      </c>
    </row>
    <row r="97">
      <c r="A97" s="64" t="inlineStr">
        <is>
          <t>M</t>
        </is>
      </c>
      <c r="B97" s="65" t="n"/>
      <c r="C97" s="66" t="n"/>
      <c r="D97" s="67" t="n"/>
      <c r="E97" s="68" t="n"/>
      <c r="F97" s="47">
        <f>IF(A97="","",IF(MIN(H97,MAX(J97:K97))=0,"",MIN(H97,MAX(J97:K97))))</f>
        <v/>
      </c>
      <c r="G97" s="74" t="n"/>
      <c r="H97" s="49">
        <f>IF(M97="","",IFERROR(ROUND(AVERAGE(T97+M97*{7,8,9,10,11})/1.21,4),""))</f>
        <v/>
      </c>
      <c r="I97" s="76" t="n">
        <v>21.73999977111816</v>
      </c>
      <c r="J97" s="77" t="n">
        <v>22.12274392589014</v>
      </c>
      <c r="K97" s="74" t="n">
        <v>22.52099990844727</v>
      </c>
      <c r="L97" s="78" t="n">
        <v>15.84304996013641</v>
      </c>
      <c r="M97" s="77" t="n">
        <v>0.8437177345003785</v>
      </c>
      <c r="N97" s="53">
        <f>IF(M97="","",IFERROR(M97/I97,""))</f>
        <v/>
      </c>
      <c r="O97" s="50">
        <f>IF(A97="","",IFERROR((IF(G97="",I97,G97)-T97)/M97,""))</f>
        <v/>
      </c>
      <c r="P97" s="50">
        <f>IFERROR((I97/T97-1)/N97,"")</f>
        <v/>
      </c>
      <c r="Q97" s="46">
        <f>IF(OR(T97="",I97&lt;T97),"",IFERROR(R97/IF(G97="",I97,G97)-1,""))</f>
        <v/>
      </c>
      <c r="R97" s="48">
        <f>IF($M97="","",MAX(IF($G97="",$I97,$G97)*(1/1.1),IF($G97="",$I97,$G97)+(R$2*$M97)))</f>
        <v/>
      </c>
      <c r="S97" s="49">
        <f>IF($M97="","",MAX(IF($G97="",$I97,$G97)*(1/1.1),IF($G97="",$I97,$G97)+(S$2*$M97)))</f>
        <v/>
      </c>
      <c r="T97" s="82" t="n">
        <v>21.93619995117188</v>
      </c>
      <c r="U97" s="47">
        <f>IF(OR($M97="",$T97=""),"",$T97+(U$2*$M97))</f>
        <v/>
      </c>
      <c r="V97" s="48">
        <f>IF(OR($M97="",$T97=""),"",$T97+(V$2*$M97))</f>
        <v/>
      </c>
      <c r="W97" s="48">
        <f>IF(OR($M97="",$T97=""),"",$T97+(W$2*$M97))</f>
        <v/>
      </c>
      <c r="X97" s="49">
        <f>IF(OR($M97="",$T97=""),"",$T97+(X$2*$M97))</f>
        <v/>
      </c>
      <c r="Y97" s="47">
        <f>IF(OR($M97="",$T97=""),"",$T97+(Y$2*$M97))</f>
        <v/>
      </c>
      <c r="Z97" s="49">
        <f>IF(OR($M97="",$T97=""),"",$T97+(Z$2*$M97))</f>
        <v/>
      </c>
      <c r="AA97" s="51">
        <f>IF(OR($M97="",$T97=""),"",$T97+(AA$2*$M97))</f>
        <v/>
      </c>
      <c r="AB97" s="48">
        <f>IF(OR($M97="",$T97=""),"",$T97+(AB$2*$M97))</f>
        <v/>
      </c>
      <c r="AC97" s="48">
        <f>IF(OR($M97="",$T97=""),"",$T97+(AC$2*$M97))</f>
        <v/>
      </c>
      <c r="AD97" s="48">
        <f>IF(OR($M97="",$T97=""),"",$T97+(AD$2*$M97))</f>
        <v/>
      </c>
      <c r="AE97" s="49">
        <f>IF(OR($M97="",$T97=""),"",$T97+(AE$2*$M97))</f>
        <v/>
      </c>
      <c r="AF97" s="52">
        <f>IF(OR(T97="",I97&lt;T97),"",IFERROR(AVERAGE(T97+M97*{7,8,9,10,11})/IF(G97="",I97,G97)-1,""))</f>
        <v/>
      </c>
      <c r="AG97" s="55">
        <f>IF(OR(T97="",I97&lt;T97),"",IFERROR(AF97/-(R97/IF(G97="",I97,G97)-1),""))</f>
        <v/>
      </c>
      <c r="AH97" s="94" t="n">
        <v>-1</v>
      </c>
      <c r="AI97" s="94" t="n">
        <v>-9.78069489107973</v>
      </c>
      <c r="AJ97" s="94" t="n">
        <v>0</v>
      </c>
      <c r="AK97" s="94" t="inlineStr">
        <is>
          <t>None</t>
        </is>
      </c>
      <c r="AL97" s="84" t="inlineStr">
        <is>
          <t>Macy's Inc</t>
        </is>
      </c>
      <c r="AM97" t="inlineStr">
        <is>
          <t>Consumer Cyclical</t>
        </is>
      </c>
      <c r="AN97" t="inlineStr">
        <is>
          <t>Department Stores</t>
        </is>
      </c>
      <c r="AO97" t="n">
        <v>93</v>
      </c>
    </row>
    <row r="98">
      <c r="A98" s="64" t="inlineStr">
        <is>
          <t>TMDX</t>
        </is>
      </c>
      <c r="B98" s="65" t="n"/>
      <c r="C98" s="66" t="n"/>
      <c r="D98" s="67" t="n"/>
      <c r="E98" s="68" t="n"/>
      <c r="F98" s="47">
        <f>IF(A98="","",IF(MIN(H98,MAX(J98:K98))=0,"",MIN(H98,MAX(J98:K98))))</f>
        <v/>
      </c>
      <c r="G98" s="74" t="n"/>
      <c r="H98" s="49">
        <f>IF(M98="","",IFERROR(ROUND(AVERAGE(T98+M98*{7,8,9,10,11})/1.21,4),""))</f>
        <v/>
      </c>
      <c r="I98" s="76" t="n">
        <v>143.3699951171875</v>
      </c>
      <c r="J98" s="77" t="n">
        <v>138.0160260305011</v>
      </c>
      <c r="K98" s="74" t="n">
        <v>131.2025012969971</v>
      </c>
      <c r="L98" s="78" t="n">
        <v>118.8107504272461</v>
      </c>
      <c r="M98" s="77" t="n">
        <v>6.865928034218014</v>
      </c>
      <c r="N98" s="53">
        <f>IF(M98="","",IFERROR(M98/I98,""))</f>
        <v/>
      </c>
      <c r="O98" s="50">
        <f>IF(A98="","",IFERROR((IF(G98="",I98,G98)-T98)/M98,""))</f>
        <v/>
      </c>
      <c r="P98" s="50">
        <f>IFERROR((I98/T98-1)/N98,"")</f>
        <v/>
      </c>
      <c r="Q98" s="46">
        <f>IF(OR(T98="",I98&lt;T98),"",IFERROR(R98/IF(G98="",I98,G98)-1,""))</f>
        <v/>
      </c>
      <c r="R98" s="48">
        <f>IF($M98="","",MAX(IF($G98="",$I98,$G98)*(1/1.1),IF($G98="",$I98,$G98)+(R$2*$M98)))</f>
        <v/>
      </c>
      <c r="S98" s="49">
        <f>IF($M98="","",MAX(IF($G98="",$I98,$G98)*(1/1.1),IF($G98="",$I98,$G98)+(S$2*$M98)))</f>
        <v/>
      </c>
      <c r="T98" s="82" t="n">
        <v>130.3692012023926</v>
      </c>
      <c r="U98" s="47">
        <f>IF(OR($M98="",$T98=""),"",$T98+(U$2*$M98))</f>
        <v/>
      </c>
      <c r="V98" s="48">
        <f>IF(OR($M98="",$T98=""),"",$T98+(V$2*$M98))</f>
        <v/>
      </c>
      <c r="W98" s="48">
        <f>IF(OR($M98="",$T98=""),"",$T98+(W$2*$M98))</f>
        <v/>
      </c>
      <c r="X98" s="49">
        <f>IF(OR($M98="",$T98=""),"",$T98+(X$2*$M98))</f>
        <v/>
      </c>
      <c r="Y98" s="47">
        <f>IF(OR($M98="",$T98=""),"",$T98+(Y$2*$M98))</f>
        <v/>
      </c>
      <c r="Z98" s="49">
        <f>IF(OR($M98="",$T98=""),"",$T98+(Z$2*$M98))</f>
        <v/>
      </c>
      <c r="AA98" s="51">
        <f>IF(OR($M98="",$T98=""),"",$T98+(AA$2*$M98))</f>
        <v/>
      </c>
      <c r="AB98" s="48">
        <f>IF(OR($M98="",$T98=""),"",$T98+(AB$2*$M98))</f>
        <v/>
      </c>
      <c r="AC98" s="48">
        <f>IF(OR($M98="",$T98=""),"",$T98+(AC$2*$M98))</f>
        <v/>
      </c>
      <c r="AD98" s="48">
        <f>IF(OR($M98="",$T98=""),"",$T98+(AD$2*$M98))</f>
        <v/>
      </c>
      <c r="AE98" s="49">
        <f>IF(OR($M98="",$T98=""),"",$T98+(AE$2*$M98))</f>
        <v/>
      </c>
      <c r="AF98" s="52">
        <f>IF(OR(T98="",I98&lt;T98),"",IFERROR(AVERAGE(T98+M98*{7,8,9,10,11})/IF(G98="",I98,G98)-1,""))</f>
        <v/>
      </c>
      <c r="AG98" s="55">
        <f>IF(OR(T98="",I98&lt;T98),"",IFERROR(AF98/-(R98/IF(G98="",I98,G98)-1),""))</f>
        <v/>
      </c>
      <c r="AH98" s="94" t="n">
        <v>1</v>
      </c>
      <c r="AI98" s="94" t="n">
        <v>54.37023054880667</v>
      </c>
      <c r="AJ98" s="94" t="n">
        <v>1</v>
      </c>
      <c r="AK98" s="94" t="inlineStr">
        <is>
          <t>OTT Turned Up</t>
        </is>
      </c>
      <c r="AL98" s="84" t="inlineStr">
        <is>
          <t>TransMedics Group, Inc.</t>
        </is>
      </c>
      <c r="AM98" t="inlineStr">
        <is>
          <t>Healthcare</t>
        </is>
      </c>
      <c r="AN98" t="inlineStr">
        <is>
          <t>Medical Devices</t>
        </is>
      </c>
      <c r="AO98" t="n">
        <v>93</v>
      </c>
    </row>
    <row r="99">
      <c r="A99" s="64" t="inlineStr">
        <is>
          <t>PAHC</t>
        </is>
      </c>
      <c r="B99" s="65" t="n"/>
      <c r="C99" s="66" t="n"/>
      <c r="D99" s="67" t="n"/>
      <c r="E99" s="68" t="n"/>
      <c r="F99" s="47">
        <f>IF(A99="","",IF(MIN(H99,MAX(J99:K99))=0,"",MIN(H99,MAX(J99:K99))))</f>
        <v/>
      </c>
      <c r="G99" s="74" t="n"/>
      <c r="H99" s="49">
        <f>IF(M99="","",IFERROR(ROUND(AVERAGE(T99+M99*{7,8,9,10,11})/1.21,4),""))</f>
        <v/>
      </c>
      <c r="I99" s="76" t="n">
        <v>41.06999969482422</v>
      </c>
      <c r="J99" s="77" t="n">
        <v>39.81081406000607</v>
      </c>
      <c r="K99" s="74" t="n">
        <v>38.82399997711182</v>
      </c>
      <c r="L99" s="78" t="n">
        <v>32.39115001678467</v>
      </c>
      <c r="M99" s="77" t="n">
        <v>1.537090997520467</v>
      </c>
      <c r="N99" s="53">
        <f>IF(M99="","",IFERROR(M99/I99,""))</f>
        <v/>
      </c>
      <c r="O99" s="50">
        <f>IF(A99="","",IFERROR((IF(G99="",I99,G99)-T99)/M99,""))</f>
        <v/>
      </c>
      <c r="P99" s="50">
        <f>IFERROR((I99/T99-1)/N99,"")</f>
        <v/>
      </c>
      <c r="Q99" s="46">
        <f>IF(OR(T99="",I99&lt;T99),"",IFERROR(R99/IF(G99="",I99,G99)-1,""))</f>
        <v/>
      </c>
      <c r="R99" s="48">
        <f>IF($M99="","",MAX(IF($G99="",$I99,$G99)*(1/1.1),IF($G99="",$I99,$G99)+(R$2*$M99)))</f>
        <v/>
      </c>
      <c r="S99" s="49">
        <f>IF($M99="","",MAX(IF($G99="",$I99,$G99)*(1/1.1),IF($G99="",$I99,$G99)+(S$2*$M99)))</f>
        <v/>
      </c>
      <c r="T99" s="82" t="n">
        <v>40.78120018005371</v>
      </c>
      <c r="U99" s="47">
        <f>IF(OR($M99="",$T99=""),"",$T99+(U$2*$M99))</f>
        <v/>
      </c>
      <c r="V99" s="48">
        <f>IF(OR($M99="",$T99=""),"",$T99+(V$2*$M99))</f>
        <v/>
      </c>
      <c r="W99" s="48">
        <f>IF(OR($M99="",$T99=""),"",$T99+(W$2*$M99))</f>
        <v/>
      </c>
      <c r="X99" s="49">
        <f>IF(OR($M99="",$T99=""),"",$T99+(X$2*$M99))</f>
        <v/>
      </c>
      <c r="Y99" s="47">
        <f>IF(OR($M99="",$T99=""),"",$T99+(Y$2*$M99))</f>
        <v/>
      </c>
      <c r="Z99" s="49">
        <f>IF(OR($M99="",$T99=""),"",$T99+(Z$2*$M99))</f>
        <v/>
      </c>
      <c r="AA99" s="51">
        <f>IF(OR($M99="",$T99=""),"",$T99+(AA$2*$M99))</f>
        <v/>
      </c>
      <c r="AB99" s="48">
        <f>IF(OR($M99="",$T99=""),"",$T99+(AB$2*$M99))</f>
        <v/>
      </c>
      <c r="AC99" s="48">
        <f>IF(OR($M99="",$T99=""),"",$T99+(AC$2*$M99))</f>
        <v/>
      </c>
      <c r="AD99" s="48">
        <f>IF(OR($M99="",$T99=""),"",$T99+(AD$2*$M99))</f>
        <v/>
      </c>
      <c r="AE99" s="49">
        <f>IF(OR($M99="",$T99=""),"",$T99+(AE$2*$M99))</f>
        <v/>
      </c>
      <c r="AF99" s="52">
        <f>IF(OR(T99="",I99&lt;T99),"",IFERROR(AVERAGE(T99+M99*{7,8,9,10,11})/IF(G99="",I99,G99)-1,""))</f>
        <v/>
      </c>
      <c r="AG99" s="55">
        <f>IF(OR(T99="",I99&lt;T99),"",IFERROR(AF99/-(R99/IF(G99="",I99,G99)-1),""))</f>
        <v/>
      </c>
      <c r="AH99" s="94" t="n">
        <v>-1</v>
      </c>
      <c r="AI99" s="94" t="n">
        <v>4.646427789821073</v>
      </c>
      <c r="AJ99" s="94" t="n">
        <v>1</v>
      </c>
      <c r="AK99" s="94" t="inlineStr">
        <is>
          <t>None</t>
        </is>
      </c>
      <c r="AL99" s="84" t="inlineStr">
        <is>
          <t>Phibro Animal Health Corporatio</t>
        </is>
      </c>
      <c r="AM99" t="inlineStr">
        <is>
          <t>Healthcare</t>
        </is>
      </c>
      <c r="AN99" t="inlineStr">
        <is>
          <t>Drug Manufacturers - Specialty &amp; Generic</t>
        </is>
      </c>
      <c r="AO99" t="n">
        <v>93</v>
      </c>
    </row>
    <row r="100">
      <c r="A100" s="64" t="inlineStr">
        <is>
          <t>DLTR</t>
        </is>
      </c>
      <c r="B100" s="65" t="n"/>
      <c r="C100" s="66" t="n"/>
      <c r="D100" s="67" t="n"/>
      <c r="E100" s="68" t="n"/>
      <c r="F100" s="47">
        <f>IF(A100="","",IF(MIN(H100,MAX(J100:K100))=0,"",MIN(H100,MAX(J100:K100))))</f>
        <v/>
      </c>
      <c r="G100" s="74" t="n"/>
      <c r="H100" s="49">
        <f>IF(M100="","",IFERROR(ROUND(AVERAGE(T100+M100*{7,8,9,10,11})/1.21,4),""))</f>
        <v/>
      </c>
      <c r="I100" s="76" t="n">
        <v>139.9499969482422</v>
      </c>
      <c r="J100" s="77" t="n">
        <v>135.7146081502181</v>
      </c>
      <c r="K100" s="74" t="n">
        <v>129.7669998168945</v>
      </c>
      <c r="L100" s="78" t="n">
        <v>102.3200001144409</v>
      </c>
      <c r="M100" s="77" t="n">
        <v>3.891621814084391</v>
      </c>
      <c r="N100" s="53">
        <f>IF(M100="","",IFERROR(M100/I100,""))</f>
        <v/>
      </c>
      <c r="O100" s="50">
        <f>IF(A100="","",IFERROR((IF(G100="",I100,G100)-T100)/M100,""))</f>
        <v/>
      </c>
      <c r="P100" s="50">
        <f>IFERROR((I100/T100-1)/N100,"")</f>
        <v/>
      </c>
      <c r="Q100" s="46">
        <f>IF(OR(T100="",I100&lt;T100),"",IFERROR(R100/IF(G100="",I100,G100)-1,""))</f>
        <v/>
      </c>
      <c r="R100" s="48">
        <f>IF($M100="","",MAX(IF($G100="",$I100,$G100)*(1/1.1),IF($G100="",$I100,$G100)+(R$2*$M100)))</f>
        <v/>
      </c>
      <c r="S100" s="49">
        <f>IF($M100="","",MAX(IF($G100="",$I100,$G100)*(1/1.1),IF($G100="",$I100,$G100)+(S$2*$M100)))</f>
        <v/>
      </c>
      <c r="T100" s="82" t="n">
        <v>119.0245997619629</v>
      </c>
      <c r="U100" s="47">
        <f>IF(OR($M100="",$T100=""),"",$T100+(U$2*$M100))</f>
        <v/>
      </c>
      <c r="V100" s="48">
        <f>IF(OR($M100="",$T100=""),"",$T100+(V$2*$M100))</f>
        <v/>
      </c>
      <c r="W100" s="48">
        <f>IF(OR($M100="",$T100=""),"",$T100+(W$2*$M100))</f>
        <v/>
      </c>
      <c r="X100" s="49">
        <f>IF(OR($M100="",$T100=""),"",$T100+(X$2*$M100))</f>
        <v/>
      </c>
      <c r="Y100" s="47">
        <f>IF(OR($M100="",$T100=""),"",$T100+(Y$2*$M100))</f>
        <v/>
      </c>
      <c r="Z100" s="49">
        <f>IF(OR($M100="",$T100=""),"",$T100+(Z$2*$M100))</f>
        <v/>
      </c>
      <c r="AA100" s="51">
        <f>IF(OR($M100="",$T100=""),"",$T100+(AA$2*$M100))</f>
        <v/>
      </c>
      <c r="AB100" s="48">
        <f>IF(OR($M100="",$T100=""),"",$T100+(AB$2*$M100))</f>
        <v/>
      </c>
      <c r="AC100" s="48">
        <f>IF(OR($M100="",$T100=""),"",$T100+(AC$2*$M100))</f>
        <v/>
      </c>
      <c r="AD100" s="48">
        <f>IF(OR($M100="",$T100=""),"",$T100+(AD$2*$M100))</f>
        <v/>
      </c>
      <c r="AE100" s="49">
        <f>IF(OR($M100="",$T100=""),"",$T100+(AE$2*$M100))</f>
        <v/>
      </c>
      <c r="AF100" s="52">
        <f>IF(OR(T100="",I100&lt;T100),"",IFERROR(AVERAGE(T100+M100*{7,8,9,10,11})/IF(G100="",I100,G100)-1,""))</f>
        <v/>
      </c>
      <c r="AG100" s="55">
        <f>IF(OR(T100="",I100&lt;T100),"",IFERROR(AF100/-(R100/IF(G100="",I100,G100)-1),""))</f>
        <v/>
      </c>
      <c r="AH100" s="94" t="n">
        <v>1</v>
      </c>
      <c r="AI100" s="94" t="n">
        <v>149.1846930280821</v>
      </c>
      <c r="AJ100" s="94" t="n">
        <v>1</v>
      </c>
      <c r="AK100" s="94" t="inlineStr">
        <is>
          <t>OTT Up Trend</t>
        </is>
      </c>
      <c r="AL100" s="84" t="inlineStr">
        <is>
          <t>Dollar Tree, Inc.</t>
        </is>
      </c>
      <c r="AM100" t="inlineStr">
        <is>
          <t>Consumer Defensive</t>
        </is>
      </c>
      <c r="AN100" t="inlineStr">
        <is>
          <t>Discount Stores</t>
        </is>
      </c>
      <c r="AO100" t="n">
        <v>93</v>
      </c>
    </row>
    <row r="101">
      <c r="A101" s="64" t="inlineStr">
        <is>
          <t>AMTM</t>
        </is>
      </c>
      <c r="B101" s="65" t="n"/>
      <c r="C101" s="66" t="n"/>
      <c r="D101" s="67" t="n"/>
      <c r="E101" s="68" t="n"/>
      <c r="F101" s="47">
        <f>IF(A101="","",IF(MIN(H101,MAX(J101:K101))=0,"",MIN(H101,MAX(J101:K101))))</f>
        <v/>
      </c>
      <c r="G101" s="74" t="n"/>
      <c r="H101" s="49">
        <f>IF(M101="","",IFERROR(ROUND(AVERAGE(T101+M101*{7,8,9,10,11})/1.21,4),""))</f>
        <v/>
      </c>
      <c r="I101" s="76" t="n">
        <v>34.79999923706055</v>
      </c>
      <c r="J101" s="77" t="n">
        <v>33.36237539989343</v>
      </c>
      <c r="K101" s="74" t="n">
        <v>31.3895001411438</v>
      </c>
      <c r="L101" s="78" t="n">
        <v>24.17774996757507</v>
      </c>
      <c r="M101" s="77" t="n">
        <v>0.9682531437262246</v>
      </c>
      <c r="N101" s="53">
        <f>IF(M101="","",IFERROR(M101/I101,""))</f>
        <v/>
      </c>
      <c r="O101" s="50">
        <f>IF(A101="","",IFERROR((IF(G101="",I101,G101)-T101)/M101,""))</f>
        <v/>
      </c>
      <c r="P101" s="50">
        <f>IFERROR((I101/T101-1)/N101,"")</f>
        <v/>
      </c>
      <c r="Q101" s="46">
        <f>IF(OR(T101="",I101&lt;T101),"",IFERROR(R101/IF(G101="",I101,G101)-1,""))</f>
        <v/>
      </c>
      <c r="R101" s="48">
        <f>IF($M101="","",MAX(IF($G101="",$I101,$G101)*(1/1.1),IF($G101="",$I101,$G101)+(R$2*$M101)))</f>
        <v/>
      </c>
      <c r="S101" s="49">
        <f>IF($M101="","",MAX(IF($G101="",$I101,$G101)*(1/1.1),IF($G101="",$I101,$G101)+(S$2*$M101)))</f>
        <v/>
      </c>
      <c r="T101" s="82" t="n">
        <v>28.31679992675781</v>
      </c>
      <c r="U101" s="47">
        <f>IF(OR($M101="",$T101=""),"",$T101+(U$2*$M101))</f>
        <v/>
      </c>
      <c r="V101" s="48">
        <f>IF(OR($M101="",$T101=""),"",$T101+(V$2*$M101))</f>
        <v/>
      </c>
      <c r="W101" s="48">
        <f>IF(OR($M101="",$T101=""),"",$T101+(W$2*$M101))</f>
        <v/>
      </c>
      <c r="X101" s="49">
        <f>IF(OR($M101="",$T101=""),"",$T101+(X$2*$M101))</f>
        <v/>
      </c>
      <c r="Y101" s="47">
        <f>IF(OR($M101="",$T101=""),"",$T101+(Y$2*$M101))</f>
        <v/>
      </c>
      <c r="Z101" s="49">
        <f>IF(OR($M101="",$T101=""),"",$T101+(Z$2*$M101))</f>
        <v/>
      </c>
      <c r="AA101" s="51">
        <f>IF(OR($M101="",$T101=""),"",$T101+(AA$2*$M101))</f>
        <v/>
      </c>
      <c r="AB101" s="48">
        <f>IF(OR($M101="",$T101=""),"",$T101+(AB$2*$M101))</f>
        <v/>
      </c>
      <c r="AC101" s="48">
        <f>IF(OR($M101="",$T101=""),"",$T101+(AC$2*$M101))</f>
        <v/>
      </c>
      <c r="AD101" s="48">
        <f>IF(OR($M101="",$T101=""),"",$T101+(AD$2*$M101))</f>
        <v/>
      </c>
      <c r="AE101" s="49">
        <f>IF(OR($M101="",$T101=""),"",$T101+(AE$2*$M101))</f>
        <v/>
      </c>
      <c r="AF101" s="52">
        <f>IF(OR(T101="",I101&lt;T101),"",IFERROR(AVERAGE(T101+M101*{7,8,9,10,11})/IF(G101="",I101,G101)-1,""))</f>
        <v/>
      </c>
      <c r="AG101" s="55">
        <f>IF(OR(T101="",I101&lt;T101),"",IFERROR(AF101/-(R101/IF(G101="",I101,G101)-1),""))</f>
        <v/>
      </c>
      <c r="AH101" s="94" t="n">
        <v>1</v>
      </c>
      <c r="AI101" s="94" t="n">
        <v>174.9815079181153</v>
      </c>
      <c r="AJ101" s="94" t="n">
        <v>1</v>
      </c>
      <c r="AK101" s="94" t="inlineStr">
        <is>
          <t>None</t>
        </is>
      </c>
      <c r="AL101" s="84" t="inlineStr">
        <is>
          <t>Amentum Holdings, Inc.</t>
        </is>
      </c>
      <c r="AM101" t="inlineStr">
        <is>
          <t>Industrials</t>
        </is>
      </c>
      <c r="AN101" t="inlineStr">
        <is>
          <t>Specialty Business Services</t>
        </is>
      </c>
      <c r="AO101" t="n">
        <v>93</v>
      </c>
    </row>
    <row r="102">
      <c r="A102" s="64" t="inlineStr">
        <is>
          <t>SHOO</t>
        </is>
      </c>
      <c r="B102" s="65" t="n"/>
      <c r="C102" s="66" t="n"/>
      <c r="D102" s="67" t="n"/>
      <c r="E102" s="68" t="n"/>
      <c r="F102" s="47">
        <f>IF(A102="","",IF(MIN(H102,MAX(J102:K102))=0,"",MIN(H102,MAX(J102:K102))))</f>
        <v/>
      </c>
      <c r="G102" s="74" t="n"/>
      <c r="H102" s="49">
        <f>IF(M102="","",IFERROR(ROUND(AVERAGE(T102+M102*{7,8,9,10,11})/1.21,4),""))</f>
        <v/>
      </c>
      <c r="I102" s="76" t="n">
        <v>45.59999847412109</v>
      </c>
      <c r="J102" s="77" t="n">
        <v>45.03343218309412</v>
      </c>
      <c r="K102" s="74" t="n">
        <v>43.86549949645996</v>
      </c>
      <c r="L102" s="78" t="n">
        <v>30.91364999771118</v>
      </c>
      <c r="M102" s="77" t="n">
        <v>1.251801957459497</v>
      </c>
      <c r="N102" s="53">
        <f>IF(M102="","",IFERROR(M102/I102,""))</f>
        <v/>
      </c>
      <c r="O102" s="50">
        <f>IF(A102="","",IFERROR((IF(G102="",I102,G102)-T102)/M102,""))</f>
        <v/>
      </c>
      <c r="P102" s="50">
        <f>IFERROR((I102/T102-1)/N102,"")</f>
        <v/>
      </c>
      <c r="Q102" s="46">
        <f>IF(OR(T102="",I102&lt;T102),"",IFERROR(R102/IF(G102="",I102,G102)-1,""))</f>
        <v/>
      </c>
      <c r="R102" s="48">
        <f>IF($M102="","",MAX(IF($G102="",$I102,$G102)*(1/1.1),IF($G102="",$I102,$G102)+(R$2*$M102)))</f>
        <v/>
      </c>
      <c r="S102" s="49">
        <f>IF($M102="","",MAX(IF($G102="",$I102,$G102)*(1/1.1),IF($G102="",$I102,$G102)+(S$2*$M102)))</f>
        <v/>
      </c>
      <c r="T102" s="82" t="n">
        <v>42.04899978637695</v>
      </c>
      <c r="U102" s="47">
        <f>IF(OR($M102="",$T102=""),"",$T102+(U$2*$M102))</f>
        <v/>
      </c>
      <c r="V102" s="48">
        <f>IF(OR($M102="",$T102=""),"",$T102+(V$2*$M102))</f>
        <v/>
      </c>
      <c r="W102" s="48">
        <f>IF(OR($M102="",$T102=""),"",$T102+(W$2*$M102))</f>
        <v/>
      </c>
      <c r="X102" s="49">
        <f>IF(OR($M102="",$T102=""),"",$T102+(X$2*$M102))</f>
        <v/>
      </c>
      <c r="Y102" s="47">
        <f>IF(OR($M102="",$T102=""),"",$T102+(Y$2*$M102))</f>
        <v/>
      </c>
      <c r="Z102" s="49">
        <f>IF(OR($M102="",$T102=""),"",$T102+(Z$2*$M102))</f>
        <v/>
      </c>
      <c r="AA102" s="51">
        <f>IF(OR($M102="",$T102=""),"",$T102+(AA$2*$M102))</f>
        <v/>
      </c>
      <c r="AB102" s="48">
        <f>IF(OR($M102="",$T102=""),"",$T102+(AB$2*$M102))</f>
        <v/>
      </c>
      <c r="AC102" s="48">
        <f>IF(OR($M102="",$T102=""),"",$T102+(AC$2*$M102))</f>
        <v/>
      </c>
      <c r="AD102" s="48">
        <f>IF(OR($M102="",$T102=""),"",$T102+(AD$2*$M102))</f>
        <v/>
      </c>
      <c r="AE102" s="49">
        <f>IF(OR($M102="",$T102=""),"",$T102+(AE$2*$M102))</f>
        <v/>
      </c>
      <c r="AF102" s="52">
        <f>IF(OR(T102="",I102&lt;T102),"",IFERROR(AVERAGE(T102+M102*{7,8,9,10,11})/IF(G102="",I102,G102)-1,""))</f>
        <v/>
      </c>
      <c r="AG102" s="55">
        <f>IF(OR(T102="",I102&lt;T102),"",IFERROR(AF102/-(R102/IF(G102="",I102,G102)-1),""))</f>
        <v/>
      </c>
      <c r="AH102" s="94" t="n">
        <v>1</v>
      </c>
      <c r="AI102" s="94" t="n">
        <v>85.36767999770476</v>
      </c>
      <c r="AJ102" s="94" t="n">
        <v>1</v>
      </c>
      <c r="AK102" s="94" t="inlineStr">
        <is>
          <t>OTT Up Trend</t>
        </is>
      </c>
      <c r="AL102" s="84" t="inlineStr">
        <is>
          <t>Steven Madden, Ltd.</t>
        </is>
      </c>
      <c r="AM102" t="inlineStr">
        <is>
          <t>Consumer Cyclical</t>
        </is>
      </c>
      <c r="AN102" t="inlineStr">
        <is>
          <t>Footwear &amp; Accessories</t>
        </is>
      </c>
      <c r="AO102" t="n">
        <v>93</v>
      </c>
    </row>
    <row r="103">
      <c r="A103" s="64" t="inlineStr">
        <is>
          <t>KLIC</t>
        </is>
      </c>
      <c r="B103" s="65" t="n"/>
      <c r="C103" s="66" t="n"/>
      <c r="D103" s="67" t="n"/>
      <c r="E103" s="68" t="n"/>
      <c r="F103" s="47">
        <f>IF(A103="","",IF(MIN(H103,MAX(J103:K103))=0,"",MIN(H103,MAX(J103:K103))))</f>
        <v/>
      </c>
      <c r="G103" s="74" t="n"/>
      <c r="H103" s="49">
        <f>IF(M103="","",IFERROR(ROUND(AVERAGE(T103+M103*{7,8,9,10,11})/1.21,4),""))</f>
        <v/>
      </c>
      <c r="I103" s="76" t="n">
        <v>57.54999923706055</v>
      </c>
      <c r="J103" s="77" t="n">
        <v>55.06015425567337</v>
      </c>
      <c r="K103" s="74" t="n">
        <v>50.84349994659424</v>
      </c>
      <c r="L103" s="78" t="n">
        <v>38.29859993934631</v>
      </c>
      <c r="M103" s="77" t="n">
        <v>2.065161003743318</v>
      </c>
      <c r="N103" s="53">
        <f>IF(M103="","",IFERROR(M103/I103,""))</f>
        <v/>
      </c>
      <c r="O103" s="50">
        <f>IF(A103="","",IFERROR((IF(G103="",I103,G103)-T103)/M103,""))</f>
        <v/>
      </c>
      <c r="P103" s="50">
        <f>IFERROR((I103/T103-1)/N103,"")</f>
        <v/>
      </c>
      <c r="Q103" s="46">
        <f>IF(OR(T103="",I103&lt;T103),"",IFERROR(R103/IF(G103="",I103,G103)-1,""))</f>
        <v/>
      </c>
      <c r="R103" s="48">
        <f>IF($M103="","",MAX(IF($G103="",$I103,$G103)*(1/1.1),IF($G103="",$I103,$G103)+(R$2*$M103)))</f>
        <v/>
      </c>
      <c r="S103" s="49">
        <f>IF($M103="","",MAX(IF($G103="",$I103,$G103)*(1/1.1),IF($G103="",$I103,$G103)+(S$2*$M103)))</f>
        <v/>
      </c>
      <c r="T103" s="82" t="n">
        <v>46.07980003356933</v>
      </c>
      <c r="U103" s="47">
        <f>IF(OR($M103="",$T103=""),"",$T103+(U$2*$M103))</f>
        <v/>
      </c>
      <c r="V103" s="48">
        <f>IF(OR($M103="",$T103=""),"",$T103+(V$2*$M103))</f>
        <v/>
      </c>
      <c r="W103" s="48">
        <f>IF(OR($M103="",$T103=""),"",$T103+(W$2*$M103))</f>
        <v/>
      </c>
      <c r="X103" s="49">
        <f>IF(OR($M103="",$T103=""),"",$T103+(X$2*$M103))</f>
        <v/>
      </c>
      <c r="Y103" s="47">
        <f>IF(OR($M103="",$T103=""),"",$T103+(Y$2*$M103))</f>
        <v/>
      </c>
      <c r="Z103" s="49">
        <f>IF(OR($M103="",$T103=""),"",$T103+(Z$2*$M103))</f>
        <v/>
      </c>
      <c r="AA103" s="51">
        <f>IF(OR($M103="",$T103=""),"",$T103+(AA$2*$M103))</f>
        <v/>
      </c>
      <c r="AB103" s="48">
        <f>IF(OR($M103="",$T103=""),"",$T103+(AB$2*$M103))</f>
        <v/>
      </c>
      <c r="AC103" s="48">
        <f>IF(OR($M103="",$T103=""),"",$T103+(AC$2*$M103))</f>
        <v/>
      </c>
      <c r="AD103" s="48">
        <f>IF(OR($M103="",$T103=""),"",$T103+(AD$2*$M103))</f>
        <v/>
      </c>
      <c r="AE103" s="49">
        <f>IF(OR($M103="",$T103=""),"",$T103+(AE$2*$M103))</f>
        <v/>
      </c>
      <c r="AF103" s="52">
        <f>IF(OR(T103="",I103&lt;T103),"",IFERROR(AVERAGE(T103+M103*{7,8,9,10,11})/IF(G103="",I103,G103)-1,""))</f>
        <v/>
      </c>
      <c r="AG103" s="55">
        <f>IF(OR(T103="",I103&lt;T103),"",IFERROR(AF103/-(R103/IF(G103="",I103,G103)-1),""))</f>
        <v/>
      </c>
      <c r="AH103" s="94" t="n">
        <v>1</v>
      </c>
      <c r="AI103" s="94" t="n">
        <v>177.5075277899288</v>
      </c>
      <c r="AJ103" s="94" t="n">
        <v>1</v>
      </c>
      <c r="AK103" s="94" t="inlineStr">
        <is>
          <t>OTT Up Trend</t>
        </is>
      </c>
      <c r="AL103" s="84" t="inlineStr">
        <is>
          <t>Kulicke and Soffa Industries, I</t>
        </is>
      </c>
      <c r="AM103" t="inlineStr">
        <is>
          <t>Technology</t>
        </is>
      </c>
      <c r="AN103" t="inlineStr">
        <is>
          <t>Semiconductor Equipment &amp; Materials</t>
        </is>
      </c>
      <c r="AO103" t="n">
        <v>93</v>
      </c>
    </row>
    <row r="104">
      <c r="A104" s="64" t="inlineStr">
        <is>
          <t>STRL</t>
        </is>
      </c>
      <c r="B104" s="65" t="n"/>
      <c r="C104" s="66" t="n"/>
      <c r="D104" s="67" t="n"/>
      <c r="E104" s="68" t="n"/>
      <c r="F104" s="47">
        <f>IF(A104="","",IF(MIN(H104,MAX(J104:K104))=0,"",MIN(H104,MAX(J104:K104))))</f>
        <v/>
      </c>
      <c r="G104" s="74" t="n"/>
      <c r="H104" s="49">
        <f>IF(M104="","",IFERROR(ROUND(AVERAGE(T104+M104*{7,8,9,10,11})/1.21,4),""))</f>
        <v/>
      </c>
      <c r="I104" s="76" t="n">
        <v>350.9599914550781</v>
      </c>
      <c r="J104" s="77" t="n">
        <v>323.9222157209741</v>
      </c>
      <c r="K104" s="74" t="n">
        <v>315.6214965820312</v>
      </c>
      <c r="L104" s="78" t="n">
        <v>272.2227494049072</v>
      </c>
      <c r="M104" s="77" t="n">
        <v>17.12850870219154</v>
      </c>
      <c r="N104" s="53">
        <f>IF(M104="","",IFERROR(M104/I104,""))</f>
        <v/>
      </c>
      <c r="O104" s="50">
        <f>IF(A104="","",IFERROR((IF(G104="",I104,G104)-T104)/M104,""))</f>
        <v/>
      </c>
      <c r="P104" s="50">
        <f>IFERROR((I104/T104-1)/N104,"")</f>
        <v/>
      </c>
      <c r="Q104" s="46">
        <f>IF(OR(T104="",I104&lt;T104),"",IFERROR(R104/IF(G104="",I104,G104)-1,""))</f>
        <v/>
      </c>
      <c r="R104" s="48">
        <f>IF($M104="","",MAX(IF($G104="",$I104,$G104)*(1/1.1),IF($G104="",$I104,$G104)+(R$2*$M104)))</f>
        <v/>
      </c>
      <c r="S104" s="49">
        <f>IF($M104="","",MAX(IF($G104="",$I104,$G104)*(1/1.1),IF($G104="",$I104,$G104)+(S$2*$M104)))</f>
        <v/>
      </c>
      <c r="T104" s="82" t="n">
        <v>329.5717999267578</v>
      </c>
      <c r="U104" s="47">
        <f>IF(OR($M104="",$T104=""),"",$T104+(U$2*$M104))</f>
        <v/>
      </c>
      <c r="V104" s="48">
        <f>IF(OR($M104="",$T104=""),"",$T104+(V$2*$M104))</f>
        <v/>
      </c>
      <c r="W104" s="48">
        <f>IF(OR($M104="",$T104=""),"",$T104+(W$2*$M104))</f>
        <v/>
      </c>
      <c r="X104" s="49">
        <f>IF(OR($M104="",$T104=""),"",$T104+(X$2*$M104))</f>
        <v/>
      </c>
      <c r="Y104" s="47">
        <f>IF(OR($M104="",$T104=""),"",$T104+(Y$2*$M104))</f>
        <v/>
      </c>
      <c r="Z104" s="49">
        <f>IF(OR($M104="",$T104=""),"",$T104+(Z$2*$M104))</f>
        <v/>
      </c>
      <c r="AA104" s="51">
        <f>IF(OR($M104="",$T104=""),"",$T104+(AA$2*$M104))</f>
        <v/>
      </c>
      <c r="AB104" s="48">
        <f>IF(OR($M104="",$T104=""),"",$T104+(AB$2*$M104))</f>
        <v/>
      </c>
      <c r="AC104" s="48">
        <f>IF(OR($M104="",$T104=""),"",$T104+(AC$2*$M104))</f>
        <v/>
      </c>
      <c r="AD104" s="48">
        <f>IF(OR($M104="",$T104=""),"",$T104+(AD$2*$M104))</f>
        <v/>
      </c>
      <c r="AE104" s="49">
        <f>IF(OR($M104="",$T104=""),"",$T104+(AE$2*$M104))</f>
        <v/>
      </c>
      <c r="AF104" s="52">
        <f>IF(OR(T104="",I104&lt;T104),"",IFERROR(AVERAGE(T104+M104*{7,8,9,10,11})/IF(G104="",I104,G104)-1,""))</f>
        <v/>
      </c>
      <c r="AG104" s="55">
        <f>IF(OR(T104="",I104&lt;T104),"",IFERROR(AF104/-(R104/IF(G104="",I104,G104)-1),""))</f>
        <v/>
      </c>
      <c r="AH104" s="94" t="n">
        <v>-1</v>
      </c>
      <c r="AI104" s="94" t="n">
        <v>6.685440100672755</v>
      </c>
      <c r="AJ104" s="94" t="n">
        <v>1</v>
      </c>
      <c r="AK104" s="94" t="inlineStr">
        <is>
          <t>OTT Down Trend</t>
        </is>
      </c>
      <c r="AL104" s="84" t="inlineStr">
        <is>
          <t>Sterling Infrastructure, Inc.</t>
        </is>
      </c>
      <c r="AM104" t="inlineStr">
        <is>
          <t>Industrials</t>
        </is>
      </c>
      <c r="AN104" t="inlineStr">
        <is>
          <t>Engineering &amp; Construction</t>
        </is>
      </c>
      <c r="AO104" t="n">
        <v>93</v>
      </c>
    </row>
    <row r="105">
      <c r="A105" s="64" t="inlineStr">
        <is>
          <t>SMTC</t>
        </is>
      </c>
      <c r="B105" s="65" t="n"/>
      <c r="C105" s="66" t="n"/>
      <c r="D105" s="67" t="n"/>
      <c r="E105" s="68" t="n"/>
      <c r="F105" s="47">
        <f>IF(A105="","",IF(MIN(H105,MAX(J105:K105))=0,"",MIN(H105,MAX(J105:K105))))</f>
        <v/>
      </c>
      <c r="G105" s="74" t="n"/>
      <c r="H105" s="49">
        <f>IF(M105="","",IFERROR(ROUND(AVERAGE(T105+M105*{7,8,9,10,11})/1.21,4),""))</f>
        <v/>
      </c>
      <c r="I105" s="76" t="n">
        <v>77.55999755859375</v>
      </c>
      <c r="J105" s="77" t="n">
        <v>76.29592397666316</v>
      </c>
      <c r="K105" s="74" t="n">
        <v>75.46100158691407</v>
      </c>
      <c r="L105" s="78" t="n">
        <v>55.12135001182556</v>
      </c>
      <c r="M105" s="77" t="n">
        <v>4.008407264033212</v>
      </c>
      <c r="N105" s="53">
        <f>IF(M105="","",IFERROR(M105/I105,""))</f>
        <v/>
      </c>
      <c r="O105" s="50">
        <f>IF(A105="","",IFERROR((IF(G105="",I105,G105)-T105)/M105,""))</f>
        <v/>
      </c>
      <c r="P105" s="50">
        <f>IFERROR((I105/T105-1)/N105,"")</f>
        <v/>
      </c>
      <c r="Q105" s="46">
        <f>IF(OR(T105="",I105&lt;T105),"",IFERROR(R105/IF(G105="",I105,G105)-1,""))</f>
        <v/>
      </c>
      <c r="R105" s="48">
        <f>IF($M105="","",MAX(IF($G105="",$I105,$G105)*(1/1.1),IF($G105="",$I105,$G105)+(R$2*$M105)))</f>
        <v/>
      </c>
      <c r="S105" s="49">
        <f>IF($M105="","",MAX(IF($G105="",$I105,$G105)*(1/1.1),IF($G105="",$I105,$G105)+(S$2*$M105)))</f>
        <v/>
      </c>
      <c r="T105" s="82" t="n">
        <v>73.1420002746582</v>
      </c>
      <c r="U105" s="47">
        <f>IF(OR($M105="",$T105=""),"",$T105+(U$2*$M105))</f>
        <v/>
      </c>
      <c r="V105" s="48">
        <f>IF(OR($M105="",$T105=""),"",$T105+(V$2*$M105))</f>
        <v/>
      </c>
      <c r="W105" s="48">
        <f>IF(OR($M105="",$T105=""),"",$T105+(W$2*$M105))</f>
        <v/>
      </c>
      <c r="X105" s="49">
        <f>IF(OR($M105="",$T105=""),"",$T105+(X$2*$M105))</f>
        <v/>
      </c>
      <c r="Y105" s="47">
        <f>IF(OR($M105="",$T105=""),"",$T105+(Y$2*$M105))</f>
        <v/>
      </c>
      <c r="Z105" s="49">
        <f>IF(OR($M105="",$T105=""),"",$T105+(Z$2*$M105))</f>
        <v/>
      </c>
      <c r="AA105" s="51">
        <f>IF(OR($M105="",$T105=""),"",$T105+(AA$2*$M105))</f>
        <v/>
      </c>
      <c r="AB105" s="48">
        <f>IF(OR($M105="",$T105=""),"",$T105+(AB$2*$M105))</f>
        <v/>
      </c>
      <c r="AC105" s="48">
        <f>IF(OR($M105="",$T105=""),"",$T105+(AC$2*$M105))</f>
        <v/>
      </c>
      <c r="AD105" s="48">
        <f>IF(OR($M105="",$T105=""),"",$T105+(AD$2*$M105))</f>
        <v/>
      </c>
      <c r="AE105" s="49">
        <f>IF(OR($M105="",$T105=""),"",$T105+(AE$2*$M105))</f>
        <v/>
      </c>
      <c r="AF105" s="52">
        <f>IF(OR(T105="",I105&lt;T105),"",IFERROR(AVERAGE(T105+M105*{7,8,9,10,11})/IF(G105="",I105,G105)-1,""))</f>
        <v/>
      </c>
      <c r="AG105" s="55">
        <f>IF(OR(T105="",I105&lt;T105),"",IFERROR(AF105/-(R105/IF(G105="",I105,G105)-1),""))</f>
        <v/>
      </c>
      <c r="AH105" s="94" t="n">
        <v>1</v>
      </c>
      <c r="AI105" s="94" t="n">
        <v>25.78345970171696</v>
      </c>
      <c r="AJ105" s="94" t="n">
        <v>1</v>
      </c>
      <c r="AK105" s="94" t="inlineStr">
        <is>
          <t>OTT Up Trend</t>
        </is>
      </c>
      <c r="AL105" s="84" t="inlineStr">
        <is>
          <t>Semtech Corporation</t>
        </is>
      </c>
      <c r="AM105" t="inlineStr">
        <is>
          <t>Technology</t>
        </is>
      </c>
      <c r="AN105" t="inlineStr">
        <is>
          <t>Semiconductors</t>
        </is>
      </c>
      <c r="AO105" t="n">
        <v>93</v>
      </c>
    </row>
    <row r="106">
      <c r="A106" s="64" t="inlineStr">
        <is>
          <t>MLI</t>
        </is>
      </c>
      <c r="B106" s="65" t="n"/>
      <c r="C106" s="66" t="n"/>
      <c r="D106" s="67" t="n"/>
      <c r="E106" s="68" t="n"/>
      <c r="F106" s="47">
        <f>IF(A106="","",IF(MIN(H106,MAX(J106:K106))=0,"",MIN(H106,MAX(J106:K106))))</f>
        <v/>
      </c>
      <c r="G106" s="74" t="n"/>
      <c r="H106" s="49">
        <f>IF(M106="","",IFERROR(ROUND(AVERAGE(T106+M106*{7,8,9,10,11})/1.21,4),""))</f>
        <v/>
      </c>
      <c r="I106" s="76" t="n">
        <v>132.8300018310547</v>
      </c>
      <c r="J106" s="77" t="n">
        <v>125.6539427642403</v>
      </c>
      <c r="K106" s="74" t="n">
        <v>120.5515003204346</v>
      </c>
      <c r="L106" s="78" t="n">
        <v>93.60305027008057</v>
      </c>
      <c r="M106" s="77" t="n">
        <v>2.500365368556902</v>
      </c>
      <c r="N106" s="53">
        <f>IF(M106="","",IFERROR(M106/I106,""))</f>
        <v/>
      </c>
      <c r="O106" s="50">
        <f>IF(A106="","",IFERROR((IF(G106="",I106,G106)-T106)/M106,""))</f>
        <v/>
      </c>
      <c r="P106" s="50">
        <f>IFERROR((I106/T106-1)/N106,"")</f>
        <v/>
      </c>
      <c r="Q106" s="46">
        <f>IF(OR(T106="",I106&lt;T106),"",IFERROR(R106/IF(G106="",I106,G106)-1,""))</f>
        <v/>
      </c>
      <c r="R106" s="48">
        <f>IF($M106="","",MAX(IF($G106="",$I106,$G106)*(1/1.1),IF($G106="",$I106,$G106)+(R$2*$M106)))</f>
        <v/>
      </c>
      <c r="S106" s="49">
        <f>IF($M106="","",MAX(IF($G106="",$I106,$G106)*(1/1.1),IF($G106="",$I106,$G106)+(S$2*$M106)))</f>
        <v/>
      </c>
      <c r="T106" s="82" t="n">
        <v>114.0023999023438</v>
      </c>
      <c r="U106" s="47">
        <f>IF(OR($M106="",$T106=""),"",$T106+(U$2*$M106))</f>
        <v/>
      </c>
      <c r="V106" s="48">
        <f>IF(OR($M106="",$T106=""),"",$T106+(V$2*$M106))</f>
        <v/>
      </c>
      <c r="W106" s="48">
        <f>IF(OR($M106="",$T106=""),"",$T106+(W$2*$M106))</f>
        <v/>
      </c>
      <c r="X106" s="49">
        <f>IF(OR($M106="",$T106=""),"",$T106+(X$2*$M106))</f>
        <v/>
      </c>
      <c r="Y106" s="47">
        <f>IF(OR($M106="",$T106=""),"",$T106+(Y$2*$M106))</f>
        <v/>
      </c>
      <c r="Z106" s="49">
        <f>IF(OR($M106="",$T106=""),"",$T106+(Z$2*$M106))</f>
        <v/>
      </c>
      <c r="AA106" s="51">
        <f>IF(OR($M106="",$T106=""),"",$T106+(AA$2*$M106))</f>
        <v/>
      </c>
      <c r="AB106" s="48">
        <f>IF(OR($M106="",$T106=""),"",$T106+(AB$2*$M106))</f>
        <v/>
      </c>
      <c r="AC106" s="48">
        <f>IF(OR($M106="",$T106=""),"",$T106+(AC$2*$M106))</f>
        <v/>
      </c>
      <c r="AD106" s="48">
        <f>IF(OR($M106="",$T106=""),"",$T106+(AD$2*$M106))</f>
        <v/>
      </c>
      <c r="AE106" s="49">
        <f>IF(OR($M106="",$T106=""),"",$T106+(AE$2*$M106))</f>
        <v/>
      </c>
      <c r="AF106" s="52">
        <f>IF(OR(T106="",I106&lt;T106),"",IFERROR(AVERAGE(T106+M106*{7,8,9,10,11})/IF(G106="",I106,G106)-1,""))</f>
        <v/>
      </c>
      <c r="AG106" s="55">
        <f>IF(OR(T106="",I106&lt;T106),"",IFERROR(AF106/-(R106/IF(G106="",I106,G106)-1),""))</f>
        <v/>
      </c>
      <c r="AH106" s="94" t="n">
        <v>1</v>
      </c>
      <c r="AI106" s="94" t="n">
        <v>189.3030680834779</v>
      </c>
      <c r="AJ106" s="94" t="n">
        <v>1</v>
      </c>
      <c r="AK106" s="94" t="inlineStr">
        <is>
          <t>OTT Up Trend</t>
        </is>
      </c>
      <c r="AL106" s="84" t="inlineStr">
        <is>
          <t>Mueller Industries, Inc.</t>
        </is>
      </c>
      <c r="AM106" t="inlineStr">
        <is>
          <t>Industrials</t>
        </is>
      </c>
      <c r="AN106" t="inlineStr">
        <is>
          <t>Metal Fabrication</t>
        </is>
      </c>
      <c r="AO106" t="n">
        <v>93</v>
      </c>
    </row>
    <row r="107">
      <c r="A107" s="64" t="inlineStr">
        <is>
          <t>KMT</t>
        </is>
      </c>
      <c r="B107" s="65" t="n"/>
      <c r="C107" s="66" t="n"/>
      <c r="D107" s="67" t="n"/>
      <c r="E107" s="68" t="n"/>
      <c r="F107" s="47">
        <f>IF(A107="","",IF(MIN(H107,MAX(J107:K107))=0,"",MIN(H107,MAX(J107:K107))))</f>
        <v/>
      </c>
      <c r="G107" s="74" t="n"/>
      <c r="H107" s="49">
        <f>IF(M107="","",IFERROR(ROUND(AVERAGE(T107+M107*{7,8,9,10,11})/1.21,4),""))</f>
        <v/>
      </c>
      <c r="I107" s="76" t="n">
        <v>34.02000045776367</v>
      </c>
      <c r="J107" s="77" t="n">
        <v>32.0351682866425</v>
      </c>
      <c r="K107" s="74" t="n">
        <v>30.18900012969971</v>
      </c>
      <c r="L107" s="78" t="n">
        <v>23.42790010452271</v>
      </c>
      <c r="M107" s="77" t="n">
        <v>0.9375808176740739</v>
      </c>
      <c r="N107" s="53">
        <f>IF(M107="","",IFERROR(M107/I107,""))</f>
        <v/>
      </c>
      <c r="O107" s="50">
        <f>IF(A107="","",IFERROR((IF(G107="",I107,G107)-T107)/M107,""))</f>
        <v/>
      </c>
      <c r="P107" s="50">
        <f>IFERROR((I107/T107-1)/N107,"")</f>
        <v/>
      </c>
      <c r="Q107" s="46">
        <f>IF(OR(T107="",I107&lt;T107),"",IFERROR(R107/IF(G107="",I107,G107)-1,""))</f>
        <v/>
      </c>
      <c r="R107" s="48">
        <f>IF($M107="","",MAX(IF($G107="",$I107,$G107)*(1/1.1),IF($G107="",$I107,$G107)+(R$2*$M107)))</f>
        <v/>
      </c>
      <c r="S107" s="49">
        <f>IF($M107="","",MAX(IF($G107="",$I107,$G107)*(1/1.1),IF($G107="",$I107,$G107)+(S$2*$M107)))</f>
        <v/>
      </c>
      <c r="T107" s="82" t="n">
        <v>28.5442000579834</v>
      </c>
      <c r="U107" s="47">
        <f>IF(OR($M107="",$T107=""),"",$T107+(U$2*$M107))</f>
        <v/>
      </c>
      <c r="V107" s="48">
        <f>IF(OR($M107="",$T107=""),"",$T107+(V$2*$M107))</f>
        <v/>
      </c>
      <c r="W107" s="48">
        <f>IF(OR($M107="",$T107=""),"",$T107+(W$2*$M107))</f>
        <v/>
      </c>
      <c r="X107" s="49">
        <f>IF(OR($M107="",$T107=""),"",$T107+(X$2*$M107))</f>
        <v/>
      </c>
      <c r="Y107" s="47">
        <f>IF(OR($M107="",$T107=""),"",$T107+(Y$2*$M107))</f>
        <v/>
      </c>
      <c r="Z107" s="49">
        <f>IF(OR($M107="",$T107=""),"",$T107+(Z$2*$M107))</f>
        <v/>
      </c>
      <c r="AA107" s="51">
        <f>IF(OR($M107="",$T107=""),"",$T107+(AA$2*$M107))</f>
        <v/>
      </c>
      <c r="AB107" s="48">
        <f>IF(OR($M107="",$T107=""),"",$T107+(AB$2*$M107))</f>
        <v/>
      </c>
      <c r="AC107" s="48">
        <f>IF(OR($M107="",$T107=""),"",$T107+(AC$2*$M107))</f>
        <v/>
      </c>
      <c r="AD107" s="48">
        <f>IF(OR($M107="",$T107=""),"",$T107+(AD$2*$M107))</f>
        <v/>
      </c>
      <c r="AE107" s="49">
        <f>IF(OR($M107="",$T107=""),"",$T107+(AE$2*$M107))</f>
        <v/>
      </c>
      <c r="AF107" s="52">
        <f>IF(OR(T107="",I107&lt;T107),"",IFERROR(AVERAGE(T107+M107*{7,8,9,10,11})/IF(G107="",I107,G107)-1,""))</f>
        <v/>
      </c>
      <c r="AG107" s="55">
        <f>IF(OR(T107="",I107&lt;T107),"",IFERROR(AF107/-(R107/IF(G107="",I107,G107)-1),""))</f>
        <v/>
      </c>
      <c r="AH107" s="94" t="n">
        <v>1</v>
      </c>
      <c r="AI107" s="94" t="n">
        <v>180.0314525469866</v>
      </c>
      <c r="AJ107" s="94" t="n">
        <v>1</v>
      </c>
      <c r="AK107" s="94" t="inlineStr">
        <is>
          <t>OTT Up Trend</t>
        </is>
      </c>
      <c r="AL107" s="84" t="inlineStr">
        <is>
          <t>Kennametal Inc.</t>
        </is>
      </c>
      <c r="AM107" t="inlineStr">
        <is>
          <t>Industrials</t>
        </is>
      </c>
      <c r="AN107" t="inlineStr">
        <is>
          <t>Tools &amp; Accessories</t>
        </is>
      </c>
      <c r="AO107" t="n">
        <v>93</v>
      </c>
    </row>
    <row r="108">
      <c r="A108" s="64" t="inlineStr">
        <is>
          <t>RGLD</t>
        </is>
      </c>
      <c r="B108" s="65" t="n"/>
      <c r="C108" s="66" t="n"/>
      <c r="D108" s="67" t="n"/>
      <c r="E108" s="68" t="n"/>
      <c r="F108" s="47">
        <f>IF(A108="","",IF(MIN(H108,MAX(J108:K108))=0,"",MIN(H108,MAX(J108:K108))))</f>
        <v/>
      </c>
      <c r="G108" s="74" t="n"/>
      <c r="H108" s="49">
        <f>IF(M108="","",IFERROR(ROUND(AVERAGE(T108+M108*{7,8,9,10,11})/1.21,4),""))</f>
        <v/>
      </c>
      <c r="I108" s="76" t="n">
        <v>265.1199951171875</v>
      </c>
      <c r="J108" s="77" t="n">
        <v>249.5053921454521</v>
      </c>
      <c r="K108" s="74" t="n">
        <v>238.0579986572266</v>
      </c>
      <c r="L108" s="78" t="n">
        <v>186.4109998321533</v>
      </c>
      <c r="M108" s="77" t="n">
        <v>7.749029822870418</v>
      </c>
      <c r="N108" s="53">
        <f>IF(M108="","",IFERROR(M108/I108,""))</f>
        <v/>
      </c>
      <c r="O108" s="50">
        <f>IF(A108="","",IFERROR((IF(G108="",I108,G108)-T108)/M108,""))</f>
        <v/>
      </c>
      <c r="P108" s="50">
        <f>IFERROR((I108/T108-1)/N108,"")</f>
        <v/>
      </c>
      <c r="Q108" s="46">
        <f>IF(OR(T108="",I108&lt;T108),"",IFERROR(R108/IF(G108="",I108,G108)-1,""))</f>
        <v/>
      </c>
      <c r="R108" s="48">
        <f>IF($M108="","",MAX(IF($G108="",$I108,$G108)*(1/1.1),IF($G108="",$I108,$G108)+(R$2*$M108)))</f>
        <v/>
      </c>
      <c r="S108" s="49">
        <f>IF($M108="","",MAX(IF($G108="",$I108,$G108)*(1/1.1),IF($G108="",$I108,$G108)+(S$2*$M108)))</f>
        <v/>
      </c>
      <c r="T108" s="82" t="n">
        <v>212.9357995605469</v>
      </c>
      <c r="U108" s="47">
        <f>IF(OR($M108="",$T108=""),"",$T108+(U$2*$M108))</f>
        <v/>
      </c>
      <c r="V108" s="48">
        <f>IF(OR($M108="",$T108=""),"",$T108+(V$2*$M108))</f>
        <v/>
      </c>
      <c r="W108" s="48">
        <f>IF(OR($M108="",$T108=""),"",$T108+(W$2*$M108))</f>
        <v/>
      </c>
      <c r="X108" s="49">
        <f>IF(OR($M108="",$T108=""),"",$T108+(X$2*$M108))</f>
        <v/>
      </c>
      <c r="Y108" s="47">
        <f>IF(OR($M108="",$T108=""),"",$T108+(Y$2*$M108))</f>
        <v/>
      </c>
      <c r="Z108" s="49">
        <f>IF(OR($M108="",$T108=""),"",$T108+(Z$2*$M108))</f>
        <v/>
      </c>
      <c r="AA108" s="51">
        <f>IF(OR($M108="",$T108=""),"",$T108+(AA$2*$M108))</f>
        <v/>
      </c>
      <c r="AB108" s="48">
        <f>IF(OR($M108="",$T108=""),"",$T108+(AB$2*$M108))</f>
        <v/>
      </c>
      <c r="AC108" s="48">
        <f>IF(OR($M108="",$T108=""),"",$T108+(AC$2*$M108))</f>
        <v/>
      </c>
      <c r="AD108" s="48">
        <f>IF(OR($M108="",$T108=""),"",$T108+(AD$2*$M108))</f>
        <v/>
      </c>
      <c r="AE108" s="49">
        <f>IF(OR($M108="",$T108=""),"",$T108+(AE$2*$M108))</f>
        <v/>
      </c>
      <c r="AF108" s="52">
        <f>IF(OR(T108="",I108&lt;T108),"",IFERROR(AVERAGE(T108+M108*{7,8,9,10,11})/IF(G108="",I108,G108)-1,""))</f>
        <v/>
      </c>
      <c r="AG108" s="55">
        <f>IF(OR(T108="",I108&lt;T108),"",IFERROR(AF108/-(R108/IF(G108="",I108,G108)-1),""))</f>
        <v/>
      </c>
      <c r="AH108" s="94" t="n">
        <v>1</v>
      </c>
      <c r="AI108" s="94" t="n">
        <v>179.2925467500472</v>
      </c>
      <c r="AJ108" s="94" t="n">
        <v>1</v>
      </c>
      <c r="AK108" s="94" t="inlineStr">
        <is>
          <t>OTT Up Trend</t>
        </is>
      </c>
      <c r="AL108" s="84" t="inlineStr">
        <is>
          <t>Royal Gold, Inc.</t>
        </is>
      </c>
      <c r="AM108" t="inlineStr">
        <is>
          <t>Basic Materials</t>
        </is>
      </c>
      <c r="AN108" t="inlineStr">
        <is>
          <t>Gold</t>
        </is>
      </c>
      <c r="AO108" t="n">
        <v>93</v>
      </c>
    </row>
    <row r="109">
      <c r="A109" s="64" t="inlineStr">
        <is>
          <t>DOCN</t>
        </is>
      </c>
      <c r="B109" s="65" t="n"/>
      <c r="C109" s="66" t="n"/>
      <c r="D109" s="67" t="n"/>
      <c r="E109" s="68" t="n"/>
      <c r="F109" s="47">
        <f>IF(A109="","",IF(MIN(H109,MAX(J109:K109))=0,"",MIN(H109,MAX(J109:K109))))</f>
        <v/>
      </c>
      <c r="G109" s="74" t="n"/>
      <c r="H109" s="49">
        <f>IF(M109="","",IFERROR(ROUND(AVERAGE(T109+M109*{7,8,9,10,11})/1.21,4),""))</f>
        <v/>
      </c>
      <c r="I109" s="76" t="n">
        <v>52.7599983215332</v>
      </c>
      <c r="J109" s="77" t="n">
        <v>52.59155128228149</v>
      </c>
      <c r="K109" s="74" t="n">
        <v>50.86950016021729</v>
      </c>
      <c r="L109" s="78" t="n">
        <v>36.02294994354248</v>
      </c>
      <c r="M109" s="77" t="n">
        <v>2.420127992002003</v>
      </c>
      <c r="N109" s="53">
        <f>IF(M109="","",IFERROR(M109/I109,""))</f>
        <v/>
      </c>
      <c r="O109" s="50">
        <f>IF(A109="","",IFERROR((IF(G109="",I109,G109)-T109)/M109,""))</f>
        <v/>
      </c>
      <c r="P109" s="50">
        <f>IFERROR((I109/T109-1)/N109,"")</f>
        <v/>
      </c>
      <c r="Q109" s="46">
        <f>IF(OR(T109="",I109&lt;T109),"",IFERROR(R109/IF(G109="",I109,G109)-1,""))</f>
        <v/>
      </c>
      <c r="R109" s="48">
        <f>IF($M109="","",MAX(IF($G109="",$I109,$G109)*(1/1.1),IF($G109="",$I109,$G109)+(R$2*$M109)))</f>
        <v/>
      </c>
      <c r="S109" s="49">
        <f>IF($M109="","",MAX(IF($G109="",$I109,$G109)*(1/1.1),IF($G109="",$I109,$G109)+(S$2*$M109)))</f>
        <v/>
      </c>
      <c r="T109" s="82" t="n">
        <v>48.20780006408691</v>
      </c>
      <c r="U109" s="47">
        <f>IF(OR($M109="",$T109=""),"",$T109+(U$2*$M109))</f>
        <v/>
      </c>
      <c r="V109" s="48">
        <f>IF(OR($M109="",$T109=""),"",$T109+(V$2*$M109))</f>
        <v/>
      </c>
      <c r="W109" s="48">
        <f>IF(OR($M109="",$T109=""),"",$T109+(W$2*$M109))</f>
        <v/>
      </c>
      <c r="X109" s="49">
        <f>IF(OR($M109="",$T109=""),"",$T109+(X$2*$M109))</f>
        <v/>
      </c>
      <c r="Y109" s="47">
        <f>IF(OR($M109="",$T109=""),"",$T109+(Y$2*$M109))</f>
        <v/>
      </c>
      <c r="Z109" s="49">
        <f>IF(OR($M109="",$T109=""),"",$T109+(Z$2*$M109))</f>
        <v/>
      </c>
      <c r="AA109" s="51">
        <f>IF(OR($M109="",$T109=""),"",$T109+(AA$2*$M109))</f>
        <v/>
      </c>
      <c r="AB109" s="48">
        <f>IF(OR($M109="",$T109=""),"",$T109+(AB$2*$M109))</f>
        <v/>
      </c>
      <c r="AC109" s="48">
        <f>IF(OR($M109="",$T109=""),"",$T109+(AC$2*$M109))</f>
        <v/>
      </c>
      <c r="AD109" s="48">
        <f>IF(OR($M109="",$T109=""),"",$T109+(AD$2*$M109))</f>
        <v/>
      </c>
      <c r="AE109" s="49">
        <f>IF(OR($M109="",$T109=""),"",$T109+(AE$2*$M109))</f>
        <v/>
      </c>
      <c r="AF109" s="52">
        <f>IF(OR(T109="",I109&lt;T109),"",IFERROR(AVERAGE(T109+M109*{7,8,9,10,11})/IF(G109="",I109,G109)-1,""))</f>
        <v/>
      </c>
      <c r="AG109" s="55">
        <f>IF(OR(T109="",I109&lt;T109),"",IFERROR(AF109/-(R109/IF(G109="",I109,G109)-1),""))</f>
        <v/>
      </c>
      <c r="AH109" s="94" t="n">
        <v>1</v>
      </c>
      <c r="AI109" s="94" t="n">
        <v>77.02969910155663</v>
      </c>
      <c r="AJ109" s="94" t="n">
        <v>1</v>
      </c>
      <c r="AK109" s="94" t="inlineStr">
        <is>
          <t>OTT Up Trend</t>
        </is>
      </c>
      <c r="AL109" s="84" t="inlineStr">
        <is>
          <t>DigitalOcean Holdings, Inc.</t>
        </is>
      </c>
      <c r="AM109" t="inlineStr">
        <is>
          <t>Technology</t>
        </is>
      </c>
      <c r="AN109" t="inlineStr">
        <is>
          <t>Software - Infrastructure</t>
        </is>
      </c>
      <c r="AO109" t="n">
        <v>93</v>
      </c>
    </row>
    <row r="110">
      <c r="A110" s="64" t="inlineStr">
        <is>
          <t>WWD</t>
        </is>
      </c>
      <c r="B110" s="65" t="n"/>
      <c r="C110" s="66" t="n"/>
      <c r="D110" s="67" t="n"/>
      <c r="E110" s="68" t="n"/>
      <c r="F110" s="47">
        <f>IF(A110="","",IF(MIN(H110,MAX(J110:K110))=0,"",MIN(H110,MAX(J110:K110))))</f>
        <v/>
      </c>
      <c r="G110" s="74" t="n"/>
      <c r="H110" s="49">
        <f>IF(M110="","",IFERROR(ROUND(AVERAGE(T110+M110*{7,8,9,10,11})/1.21,4),""))</f>
        <v/>
      </c>
      <c r="I110" s="76" t="n">
        <v>333.0599975585938</v>
      </c>
      <c r="J110" s="77" t="n">
        <v>326.2175737167009</v>
      </c>
      <c r="K110" s="74" t="n">
        <v>317.3755020141601</v>
      </c>
      <c r="L110" s="78" t="n">
        <v>247.9381005859375</v>
      </c>
      <c r="M110" s="77" t="n">
        <v>8.244554107962395</v>
      </c>
      <c r="N110" s="53">
        <f>IF(M110="","",IFERROR(M110/I110,""))</f>
        <v/>
      </c>
      <c r="O110" s="50">
        <f>IF(A110="","",IFERROR((IF(G110="",I110,G110)-T110)/M110,""))</f>
        <v/>
      </c>
      <c r="P110" s="50">
        <f>IFERROR((I110/T110-1)/N110,"")</f>
        <v/>
      </c>
      <c r="Q110" s="46">
        <f>IF(OR(T110="",I110&lt;T110),"",IFERROR(R110/IF(G110="",I110,G110)-1,""))</f>
        <v/>
      </c>
      <c r="R110" s="48">
        <f>IF($M110="","",MAX(IF($G110="",$I110,$G110)*(1/1.1),IF($G110="",$I110,$G110)+(R$2*$M110)))</f>
        <v/>
      </c>
      <c r="S110" s="49">
        <f>IF($M110="","",MAX(IF($G110="",$I110,$G110)*(1/1.1),IF($G110="",$I110,$G110)+(S$2*$M110)))</f>
        <v/>
      </c>
      <c r="T110" s="82" t="n">
        <v>295.5712023925781</v>
      </c>
      <c r="U110" s="47">
        <f>IF(OR($M110="",$T110=""),"",$T110+(U$2*$M110))</f>
        <v/>
      </c>
      <c r="V110" s="48">
        <f>IF(OR($M110="",$T110=""),"",$T110+(V$2*$M110))</f>
        <v/>
      </c>
      <c r="W110" s="48">
        <f>IF(OR($M110="",$T110=""),"",$T110+(W$2*$M110))</f>
        <v/>
      </c>
      <c r="X110" s="49">
        <f>IF(OR($M110="",$T110=""),"",$T110+(X$2*$M110))</f>
        <v/>
      </c>
      <c r="Y110" s="47">
        <f>IF(OR($M110="",$T110=""),"",$T110+(Y$2*$M110))</f>
        <v/>
      </c>
      <c r="Z110" s="49">
        <f>IF(OR($M110="",$T110=""),"",$T110+(Z$2*$M110))</f>
        <v/>
      </c>
      <c r="AA110" s="51">
        <f>IF(OR($M110="",$T110=""),"",$T110+(AA$2*$M110))</f>
        <v/>
      </c>
      <c r="AB110" s="48">
        <f>IF(OR($M110="",$T110=""),"",$T110+(AB$2*$M110))</f>
        <v/>
      </c>
      <c r="AC110" s="48">
        <f>IF(OR($M110="",$T110=""),"",$T110+(AC$2*$M110))</f>
        <v/>
      </c>
      <c r="AD110" s="48">
        <f>IF(OR($M110="",$T110=""),"",$T110+(AD$2*$M110))</f>
        <v/>
      </c>
      <c r="AE110" s="49">
        <f>IF(OR($M110="",$T110=""),"",$T110+(AE$2*$M110))</f>
        <v/>
      </c>
      <c r="AF110" s="52">
        <f>IF(OR(T110="",I110&lt;T110),"",IFERROR(AVERAGE(T110+M110*{7,8,9,10,11})/IF(G110="",I110,G110)-1,""))</f>
        <v/>
      </c>
      <c r="AG110" s="55">
        <f>IF(OR(T110="",I110&lt;T110),"",IFERROR(AF110/-(R110/IF(G110="",I110,G110)-1),""))</f>
        <v/>
      </c>
      <c r="AH110" s="94" t="n">
        <v>1</v>
      </c>
      <c r="AI110" s="94" t="n">
        <v>129.6306416563126</v>
      </c>
      <c r="AJ110" s="94" t="n">
        <v>1</v>
      </c>
      <c r="AK110" s="94" t="inlineStr">
        <is>
          <t>OTT Up Trend</t>
        </is>
      </c>
      <c r="AL110" s="84" t="inlineStr">
        <is>
          <t>Woodward, Inc.</t>
        </is>
      </c>
      <c r="AM110" t="inlineStr">
        <is>
          <t>Industrials</t>
        </is>
      </c>
      <c r="AN110" t="inlineStr">
        <is>
          <t>Aerospace &amp; Defense</t>
        </is>
      </c>
      <c r="AO110" t="n">
        <v>93</v>
      </c>
    </row>
    <row r="111">
      <c r="A111" s="64" t="inlineStr">
        <is>
          <t>LCII</t>
        </is>
      </c>
      <c r="B111" s="65" t="n"/>
      <c r="C111" s="66" t="n"/>
      <c r="D111" s="67" t="n"/>
      <c r="E111" s="68" t="n"/>
      <c r="F111" s="47">
        <f>IF(A111="","",IF(MIN(H111,MAX(J111:K111))=0,"",MIN(H111,MAX(J111:K111))))</f>
        <v/>
      </c>
      <c r="G111" s="74" t="n"/>
      <c r="H111" s="49">
        <f>IF(M111="","",IFERROR(ROUND(AVERAGE(T111+M111*{7,8,9,10,11})/1.21,4),""))</f>
        <v/>
      </c>
      <c r="I111" s="76" t="n">
        <v>137.3999938964844</v>
      </c>
      <c r="J111" s="77" t="n">
        <v>131.6942304533462</v>
      </c>
      <c r="K111" s="74" t="n">
        <v>127.0429985046387</v>
      </c>
      <c r="L111" s="78" t="n">
        <v>99.15134979248047</v>
      </c>
      <c r="M111" s="77" t="n">
        <v>3.033482525001963</v>
      </c>
      <c r="N111" s="53">
        <f>IF(M111="","",IFERROR(M111/I111,""))</f>
        <v/>
      </c>
      <c r="O111" s="50">
        <f>IF(A111="","",IFERROR((IF(G111="",I111,G111)-T111)/M111,""))</f>
        <v/>
      </c>
      <c r="P111" s="50">
        <f>IFERROR((I111/T111-1)/N111,"")</f>
        <v/>
      </c>
      <c r="Q111" s="46">
        <f>IF(OR(T111="",I111&lt;T111),"",IFERROR(R111/IF(G111="",I111,G111)-1,""))</f>
        <v/>
      </c>
      <c r="R111" s="48">
        <f>IF($M111="","",MAX(IF($G111="",$I111,$G111)*(1/1.1),IF($G111="",$I111,$G111)+(R$2*$M111)))</f>
        <v/>
      </c>
      <c r="S111" s="49">
        <f>IF($M111="","",MAX(IF($G111="",$I111,$G111)*(1/1.1),IF($G111="",$I111,$G111)+(S$2*$M111)))</f>
        <v/>
      </c>
      <c r="T111" s="82" t="n">
        <v>118.8703994750977</v>
      </c>
      <c r="U111" s="47">
        <f>IF(OR($M111="",$T111=""),"",$T111+(U$2*$M111))</f>
        <v/>
      </c>
      <c r="V111" s="48">
        <f>IF(OR($M111="",$T111=""),"",$T111+(V$2*$M111))</f>
        <v/>
      </c>
      <c r="W111" s="48">
        <f>IF(OR($M111="",$T111=""),"",$T111+(W$2*$M111))</f>
        <v/>
      </c>
      <c r="X111" s="49">
        <f>IF(OR($M111="",$T111=""),"",$T111+(X$2*$M111))</f>
        <v/>
      </c>
      <c r="Y111" s="47">
        <f>IF(OR($M111="",$T111=""),"",$T111+(Y$2*$M111))</f>
        <v/>
      </c>
      <c r="Z111" s="49">
        <f>IF(OR($M111="",$T111=""),"",$T111+(Z$2*$M111))</f>
        <v/>
      </c>
      <c r="AA111" s="51">
        <f>IF(OR($M111="",$T111=""),"",$T111+(AA$2*$M111))</f>
        <v/>
      </c>
      <c r="AB111" s="48">
        <f>IF(OR($M111="",$T111=""),"",$T111+(AB$2*$M111))</f>
        <v/>
      </c>
      <c r="AC111" s="48">
        <f>IF(OR($M111="",$T111=""),"",$T111+(AC$2*$M111))</f>
        <v/>
      </c>
      <c r="AD111" s="48">
        <f>IF(OR($M111="",$T111=""),"",$T111+(AD$2*$M111))</f>
        <v/>
      </c>
      <c r="AE111" s="49">
        <f>IF(OR($M111="",$T111=""),"",$T111+(AE$2*$M111))</f>
        <v/>
      </c>
      <c r="AF111" s="52">
        <f>IF(OR(T111="",I111&lt;T111),"",IFERROR(AVERAGE(T111+M111*{7,8,9,10,11})/IF(G111="",I111,G111)-1,""))</f>
        <v/>
      </c>
      <c r="AG111" s="55">
        <f>IF(OR(T111="",I111&lt;T111),"",IFERROR(AF111/-(R111/IF(G111="",I111,G111)-1),""))</f>
        <v/>
      </c>
      <c r="AH111" s="94" t="n">
        <v>1</v>
      </c>
      <c r="AI111" s="94" t="n">
        <v>164.3855710413163</v>
      </c>
      <c r="AJ111" s="94" t="n">
        <v>1</v>
      </c>
      <c r="AK111" s="94" t="inlineStr">
        <is>
          <t>OTT Up Trend</t>
        </is>
      </c>
      <c r="AL111" s="84" t="inlineStr">
        <is>
          <t>LCI Industries</t>
        </is>
      </c>
      <c r="AM111" t="inlineStr">
        <is>
          <t>Consumer Cyclical</t>
        </is>
      </c>
      <c r="AN111" t="inlineStr">
        <is>
          <t>Recreational Vehicles</t>
        </is>
      </c>
      <c r="AO111" t="n">
        <v>92</v>
      </c>
    </row>
    <row r="112">
      <c r="A112" s="64" t="inlineStr">
        <is>
          <t>CW</t>
        </is>
      </c>
      <c r="B112" s="65" t="n"/>
      <c r="C112" s="66" t="n"/>
      <c r="D112" s="67" t="n"/>
      <c r="E112" s="68" t="n"/>
      <c r="F112" s="47">
        <f>IF(A112="","",IF(MIN(H112,MAX(J112:K112))=0,"",MIN(H112,MAX(J112:K112))))</f>
        <v/>
      </c>
      <c r="G112" s="74" t="n"/>
      <c r="H112" s="49">
        <f>IF(M112="","",IFERROR(ROUND(AVERAGE(T112+M112*{7,8,9,10,11})/1.21,4),""))</f>
        <v/>
      </c>
      <c r="I112" s="76" t="n">
        <v>663.8400268554688</v>
      </c>
      <c r="J112" s="77" t="n">
        <v>623.3127502337435</v>
      </c>
      <c r="K112" s="74" t="n">
        <v>589.2704986572265</v>
      </c>
      <c r="L112" s="78" t="n">
        <v>490.6153497314453</v>
      </c>
      <c r="M112" s="77" t="n">
        <v>19.09797740268261</v>
      </c>
      <c r="N112" s="53">
        <f>IF(M112="","",IFERROR(M112/I112,""))</f>
        <v/>
      </c>
      <c r="O112" s="50">
        <f>IF(A112="","",IFERROR((IF(G112="",I112,G112)-T112)/M112,""))</f>
        <v/>
      </c>
      <c r="P112" s="50">
        <f>IFERROR((I112/T112-1)/N112,"")</f>
        <v/>
      </c>
      <c r="Q112" s="46">
        <f>IF(OR(T112="",I112&lt;T112),"",IFERROR(R112/IF(G112="",I112,G112)-1,""))</f>
        <v/>
      </c>
      <c r="R112" s="48">
        <f>IF($M112="","",MAX(IF($G112="",$I112,$G112)*(1/1.1),IF($G112="",$I112,$G112)+(R$2*$M112)))</f>
        <v/>
      </c>
      <c r="S112" s="49">
        <f>IF($M112="","",MAX(IF($G112="",$I112,$G112)*(1/1.1),IF($G112="",$I112,$G112)+(S$2*$M112)))</f>
        <v/>
      </c>
      <c r="T112" s="82" t="n">
        <v>567.9743994140625</v>
      </c>
      <c r="U112" s="47">
        <f>IF(OR($M112="",$T112=""),"",$T112+(U$2*$M112))</f>
        <v/>
      </c>
      <c r="V112" s="48">
        <f>IF(OR($M112="",$T112=""),"",$T112+(V$2*$M112))</f>
        <v/>
      </c>
      <c r="W112" s="48">
        <f>IF(OR($M112="",$T112=""),"",$T112+(W$2*$M112))</f>
        <v/>
      </c>
      <c r="X112" s="49">
        <f>IF(OR($M112="",$T112=""),"",$T112+(X$2*$M112))</f>
        <v/>
      </c>
      <c r="Y112" s="47">
        <f>IF(OR($M112="",$T112=""),"",$T112+(Y$2*$M112))</f>
        <v/>
      </c>
      <c r="Z112" s="49">
        <f>IF(OR($M112="",$T112=""),"",$T112+(Z$2*$M112))</f>
        <v/>
      </c>
      <c r="AA112" s="51">
        <f>IF(OR($M112="",$T112=""),"",$T112+(AA$2*$M112))</f>
        <v/>
      </c>
      <c r="AB112" s="48">
        <f>IF(OR($M112="",$T112=""),"",$T112+(AB$2*$M112))</f>
        <v/>
      </c>
      <c r="AC112" s="48">
        <f>IF(OR($M112="",$T112=""),"",$T112+(AC$2*$M112))</f>
        <v/>
      </c>
      <c r="AD112" s="48">
        <f>IF(OR($M112="",$T112=""),"",$T112+(AD$2*$M112))</f>
        <v/>
      </c>
      <c r="AE112" s="49">
        <f>IF(OR($M112="",$T112=""),"",$T112+(AE$2*$M112))</f>
        <v/>
      </c>
      <c r="AF112" s="52">
        <f>IF(OR(T112="",I112&lt;T112),"",IFERROR(AVERAGE(T112+M112*{7,8,9,10,11})/IF(G112="",I112,G112)-1,""))</f>
        <v/>
      </c>
      <c r="AG112" s="55">
        <f>IF(OR(T112="",I112&lt;T112),"",IFERROR(AF112/-(R112/IF(G112="",I112,G112)-1),""))</f>
        <v/>
      </c>
      <c r="AH112" s="94" t="n">
        <v>1</v>
      </c>
      <c r="AI112" s="94" t="n">
        <v>133.6088529841227</v>
      </c>
      <c r="AJ112" s="94" t="n">
        <v>1</v>
      </c>
      <c r="AK112" s="94" t="inlineStr">
        <is>
          <t>OTT Up Trend</t>
        </is>
      </c>
      <c r="AL112" s="84" t="inlineStr">
        <is>
          <t>Curtiss-Wright Corporation</t>
        </is>
      </c>
      <c r="AM112" t="inlineStr">
        <is>
          <t>Industrials</t>
        </is>
      </c>
      <c r="AN112" t="inlineStr">
        <is>
          <t>Aerospace &amp; Defense</t>
        </is>
      </c>
      <c r="AO112" t="n">
        <v>92</v>
      </c>
    </row>
    <row r="113">
      <c r="A113" s="64" t="inlineStr">
        <is>
          <t>HOOD</t>
        </is>
      </c>
      <c r="B113" s="65" t="n"/>
      <c r="C113" s="66" t="n"/>
      <c r="D113" s="67" t="n"/>
      <c r="E113" s="68" t="n"/>
      <c r="F113" s="47">
        <f>IF(A113="","",IF(MIN(H113,MAX(J113:K113))=0,"",MIN(H113,MAX(J113:K113))))</f>
        <v/>
      </c>
      <c r="G113" s="74" t="n"/>
      <c r="H113" s="49">
        <f>IF(M113="","",IFERROR(ROUND(AVERAGE(T113+M113*{7,8,9,10,11})/1.21,4),""))</f>
        <v/>
      </c>
      <c r="I113" s="76" t="n">
        <v>108.7399978637695</v>
      </c>
      <c r="J113" s="77" t="n">
        <v>115.4400086788833</v>
      </c>
      <c r="K113" s="74" t="n">
        <v>117.498498916626</v>
      </c>
      <c r="L113" s="78" t="n">
        <v>101.070549659729</v>
      </c>
      <c r="M113" s="77" t="n">
        <v>5.674674376896177</v>
      </c>
      <c r="N113" s="53">
        <f>IF(M113="","",IFERROR(M113/I113,""))</f>
        <v/>
      </c>
      <c r="O113" s="50">
        <f>IF(A113="","",IFERROR((IF(G113="",I113,G113)-T113)/M113,""))</f>
        <v/>
      </c>
      <c r="P113" s="50">
        <f>IFERROR((I113/T113-1)/N113,"")</f>
        <v/>
      </c>
      <c r="Q113" s="46">
        <f>IF(OR(T113="",I113&lt;T113),"",IFERROR(R113/IF(G113="",I113,G113)-1,""))</f>
        <v/>
      </c>
      <c r="R113" s="48">
        <f>IF($M113="","",MAX(IF($G113="",$I113,$G113)*(1/1.1),IF($G113="",$I113,$G113)+(R$2*$M113)))</f>
        <v/>
      </c>
      <c r="S113" s="49">
        <f>IF($M113="","",MAX(IF($G113="",$I113,$G113)*(1/1.1),IF($G113="",$I113,$G113)+(S$2*$M113)))</f>
        <v/>
      </c>
      <c r="T113" s="82" t="n">
        <v>121.9375996398926</v>
      </c>
      <c r="U113" s="47">
        <f>IF(OR($M113="",$T113=""),"",$T113+(U$2*$M113))</f>
        <v/>
      </c>
      <c r="V113" s="48">
        <f>IF(OR($M113="",$T113=""),"",$T113+(V$2*$M113))</f>
        <v/>
      </c>
      <c r="W113" s="48">
        <f>IF(OR($M113="",$T113=""),"",$T113+(W$2*$M113))</f>
        <v/>
      </c>
      <c r="X113" s="49">
        <f>IF(OR($M113="",$T113=""),"",$T113+(X$2*$M113))</f>
        <v/>
      </c>
      <c r="Y113" s="47">
        <f>IF(OR($M113="",$T113=""),"",$T113+(Y$2*$M113))</f>
        <v/>
      </c>
      <c r="Z113" s="49">
        <f>IF(OR($M113="",$T113=""),"",$T113+(Z$2*$M113))</f>
        <v/>
      </c>
      <c r="AA113" s="51">
        <f>IF(OR($M113="",$T113=""),"",$T113+(AA$2*$M113))</f>
        <v/>
      </c>
      <c r="AB113" s="48">
        <f>IF(OR($M113="",$T113=""),"",$T113+(AB$2*$M113))</f>
        <v/>
      </c>
      <c r="AC113" s="48">
        <f>IF(OR($M113="",$T113=""),"",$T113+(AC$2*$M113))</f>
        <v/>
      </c>
      <c r="AD113" s="48">
        <f>IF(OR($M113="",$T113=""),"",$T113+(AD$2*$M113))</f>
        <v/>
      </c>
      <c r="AE113" s="49">
        <f>IF(OR($M113="",$T113=""),"",$T113+(AE$2*$M113))</f>
        <v/>
      </c>
      <c r="AF113" s="52">
        <f>IF(OR(T113="",I113&lt;T113),"",IFERROR(AVERAGE(T113+M113*{7,8,9,10,11})/IF(G113="",I113,G113)-1,""))</f>
        <v/>
      </c>
      <c r="AG113" s="55">
        <f>IF(OR(T113="",I113&lt;T113),"",IFERROR(AF113/-(R113/IF(G113="",I113,G113)-1),""))</f>
        <v/>
      </c>
      <c r="AH113" s="94" t="n">
        <v>-1</v>
      </c>
      <c r="AI113" s="94" t="n">
        <v>-42.32317133767684</v>
      </c>
      <c r="AJ113" s="94" t="n">
        <v>0</v>
      </c>
      <c r="AK113" s="94" t="inlineStr">
        <is>
          <t>OTT Down Trend</t>
        </is>
      </c>
      <c r="AL113" s="84" t="inlineStr">
        <is>
          <t>Robinhood Markets, Inc.</t>
        </is>
      </c>
      <c r="AM113" t="inlineStr">
        <is>
          <t>Financial Services</t>
        </is>
      </c>
      <c r="AN113" t="inlineStr">
        <is>
          <t>Capital Markets</t>
        </is>
      </c>
      <c r="AO113" t="n">
        <v>92</v>
      </c>
    </row>
    <row r="114">
      <c r="A114" s="64" t="inlineStr">
        <is>
          <t>BC</t>
        </is>
      </c>
      <c r="B114" s="65" t="n"/>
      <c r="C114" s="66" t="n"/>
      <c r="D114" s="67" t="n"/>
      <c r="E114" s="68" t="n"/>
      <c r="F114" s="47">
        <f>IF(A114="","",IF(MIN(H114,MAX(J114:K114))=0,"",MIN(H114,MAX(J114:K114))))</f>
        <v/>
      </c>
      <c r="G114" s="74" t="n"/>
      <c r="H114" s="49">
        <f>IF(M114="","",IFERROR(ROUND(AVERAGE(T114+M114*{7,8,9,10,11})/1.21,4),""))</f>
        <v/>
      </c>
      <c r="I114" s="76" t="n">
        <v>88.63999938964844</v>
      </c>
      <c r="J114" s="77" t="n">
        <v>85.5073079397639</v>
      </c>
      <c r="K114" s="74" t="n">
        <v>80.68050041198731</v>
      </c>
      <c r="L114" s="78" t="n">
        <v>61.60230003356934</v>
      </c>
      <c r="M114" s="77" t="n">
        <v>2.300742619181611</v>
      </c>
      <c r="N114" s="53">
        <f>IF(M114="","",IFERROR(M114/I114,""))</f>
        <v/>
      </c>
      <c r="O114" s="50">
        <f>IF(A114="","",IFERROR((IF(G114="",I114,G114)-T114)/M114,""))</f>
        <v/>
      </c>
      <c r="P114" s="50">
        <f>IFERROR((I114/T114-1)/N114,"")</f>
        <v/>
      </c>
      <c r="Q114" s="46">
        <f>IF(OR(T114="",I114&lt;T114),"",IFERROR(R114/IF(G114="",I114,G114)-1,""))</f>
        <v/>
      </c>
      <c r="R114" s="48">
        <f>IF($M114="","",MAX(IF($G114="",$I114,$G114)*(1/1.1),IF($G114="",$I114,$G114)+(R$2*$M114)))</f>
        <v/>
      </c>
      <c r="S114" s="49">
        <f>IF($M114="","",MAX(IF($G114="",$I114,$G114)*(1/1.1),IF($G114="",$I114,$G114)+(S$2*$M114)))</f>
        <v/>
      </c>
      <c r="T114" s="82" t="n">
        <v>72.82500053405762</v>
      </c>
      <c r="U114" s="47">
        <f>IF(OR($M114="",$T114=""),"",$T114+(U$2*$M114))</f>
        <v/>
      </c>
      <c r="V114" s="48">
        <f>IF(OR($M114="",$T114=""),"",$T114+(V$2*$M114))</f>
        <v/>
      </c>
      <c r="W114" s="48">
        <f>IF(OR($M114="",$T114=""),"",$T114+(W$2*$M114))</f>
        <v/>
      </c>
      <c r="X114" s="49">
        <f>IF(OR($M114="",$T114=""),"",$T114+(X$2*$M114))</f>
        <v/>
      </c>
      <c r="Y114" s="47">
        <f>IF(OR($M114="",$T114=""),"",$T114+(Y$2*$M114))</f>
        <v/>
      </c>
      <c r="Z114" s="49">
        <f>IF(OR($M114="",$T114=""),"",$T114+(Z$2*$M114))</f>
        <v/>
      </c>
      <c r="AA114" s="51">
        <f>IF(OR($M114="",$T114=""),"",$T114+(AA$2*$M114))</f>
        <v/>
      </c>
      <c r="AB114" s="48">
        <f>IF(OR($M114="",$T114=""),"",$T114+(AB$2*$M114))</f>
        <v/>
      </c>
      <c r="AC114" s="48">
        <f>IF(OR($M114="",$T114=""),"",$T114+(AC$2*$M114))</f>
        <v/>
      </c>
      <c r="AD114" s="48">
        <f>IF(OR($M114="",$T114=""),"",$T114+(AD$2*$M114))</f>
        <v/>
      </c>
      <c r="AE114" s="49">
        <f>IF(OR($M114="",$T114=""),"",$T114+(AE$2*$M114))</f>
        <v/>
      </c>
      <c r="AF114" s="52">
        <f>IF(OR(T114="",I114&lt;T114),"",IFERROR(AVERAGE(T114+M114*{7,8,9,10,11})/IF(G114="",I114,G114)-1,""))</f>
        <v/>
      </c>
      <c r="AG114" s="55">
        <f>IF(OR(T114="",I114&lt;T114),"",IFERROR(AF114/-(R114/IF(G114="",I114,G114)-1),""))</f>
        <v/>
      </c>
      <c r="AH114" s="94" t="n">
        <v>1</v>
      </c>
      <c r="AI114" s="94" t="n">
        <v>204.1636093183099</v>
      </c>
      <c r="AJ114" s="94" t="n">
        <v>1</v>
      </c>
      <c r="AK114" s="94" t="inlineStr">
        <is>
          <t>OTT Up Trend</t>
        </is>
      </c>
      <c r="AL114" s="84" t="inlineStr">
        <is>
          <t>Brunswick Corporation</t>
        </is>
      </c>
      <c r="AM114" t="inlineStr">
        <is>
          <t>Consumer Cyclical</t>
        </is>
      </c>
      <c r="AN114" t="inlineStr">
        <is>
          <t>Recreational Vehicles</t>
        </is>
      </c>
      <c r="AO114" t="n">
        <v>92</v>
      </c>
    </row>
    <row r="115">
      <c r="A115" s="64" t="inlineStr">
        <is>
          <t>GM</t>
        </is>
      </c>
      <c r="B115" s="65" t="n"/>
      <c r="C115" s="66" t="n"/>
      <c r="D115" s="67" t="n"/>
      <c r="E115" s="68" t="n"/>
      <c r="F115" s="47">
        <f>IF(A115="","",IF(MIN(H115,MAX(J115:K115))=0,"",MIN(H115,MAX(J115:K115))))</f>
        <v/>
      </c>
      <c r="G115" s="74" t="n"/>
      <c r="H115" s="49">
        <f>IF(M115="","",IFERROR(ROUND(AVERAGE(T115+M115*{7,8,9,10,11})/1.21,4),""))</f>
        <v/>
      </c>
      <c r="I115" s="76" t="n">
        <v>80.81999969482422</v>
      </c>
      <c r="J115" s="77" t="n">
        <v>81.94946269653181</v>
      </c>
      <c r="K115" s="74" t="n">
        <v>82.35700035095215</v>
      </c>
      <c r="L115" s="78" t="n">
        <v>59.3842000579834</v>
      </c>
      <c r="M115" s="77" t="n">
        <v>1.798781921030089</v>
      </c>
      <c r="N115" s="53">
        <f>IF(M115="","",IFERROR(M115/I115,""))</f>
        <v/>
      </c>
      <c r="O115" s="50">
        <f>IF(A115="","",IFERROR((IF(G115="",I115,G115)-T115)/M115,""))</f>
        <v/>
      </c>
      <c r="P115" s="50">
        <f>IFERROR((I115/T115-1)/N115,"")</f>
        <v/>
      </c>
      <c r="Q115" s="46">
        <f>IF(OR(T115="",I115&lt;T115),"",IFERROR(R115/IF(G115="",I115,G115)-1,""))</f>
        <v/>
      </c>
      <c r="R115" s="48">
        <f>IF($M115="","",MAX(IF($G115="",$I115,$G115)*(1/1.1),IF($G115="",$I115,$G115)+(R$2*$M115)))</f>
        <v/>
      </c>
      <c r="S115" s="49">
        <f>IF($M115="","",MAX(IF($G115="",$I115,$G115)*(1/1.1),IF($G115="",$I115,$G115)+(S$2*$M115)))</f>
        <v/>
      </c>
      <c r="T115" s="82" t="n">
        <v>77.14280029296874</v>
      </c>
      <c r="U115" s="47">
        <f>IF(OR($M115="",$T115=""),"",$T115+(U$2*$M115))</f>
        <v/>
      </c>
      <c r="V115" s="48">
        <f>IF(OR($M115="",$T115=""),"",$T115+(V$2*$M115))</f>
        <v/>
      </c>
      <c r="W115" s="48">
        <f>IF(OR($M115="",$T115=""),"",$T115+(W$2*$M115))</f>
        <v/>
      </c>
      <c r="X115" s="49">
        <f>IF(OR($M115="",$T115=""),"",$T115+(X$2*$M115))</f>
        <v/>
      </c>
      <c r="Y115" s="47">
        <f>IF(OR($M115="",$T115=""),"",$T115+(Y$2*$M115))</f>
        <v/>
      </c>
      <c r="Z115" s="49">
        <f>IF(OR($M115="",$T115=""),"",$T115+(Z$2*$M115))</f>
        <v/>
      </c>
      <c r="AA115" s="51">
        <f>IF(OR($M115="",$T115=""),"",$T115+(AA$2*$M115))</f>
        <v/>
      </c>
      <c r="AB115" s="48">
        <f>IF(OR($M115="",$T115=""),"",$T115+(AB$2*$M115))</f>
        <v/>
      </c>
      <c r="AC115" s="48">
        <f>IF(OR($M115="",$T115=""),"",$T115+(AC$2*$M115))</f>
        <v/>
      </c>
      <c r="AD115" s="48">
        <f>IF(OR($M115="",$T115=""),"",$T115+(AD$2*$M115))</f>
        <v/>
      </c>
      <c r="AE115" s="49">
        <f>IF(OR($M115="",$T115=""),"",$T115+(AE$2*$M115))</f>
        <v/>
      </c>
      <c r="AF115" s="52">
        <f>IF(OR(T115="",I115&lt;T115),"",IFERROR(AVERAGE(T115+M115*{7,8,9,10,11})/IF(G115="",I115,G115)-1,""))</f>
        <v/>
      </c>
      <c r="AG115" s="55">
        <f>IF(OR(T115="",I115&lt;T115),"",IFERROR(AF115/-(R115/IF(G115="",I115,G115)-1),""))</f>
        <v/>
      </c>
      <c r="AH115" s="94" t="n">
        <v>1</v>
      </c>
      <c r="AI115" s="94" t="n">
        <v>71.68637228166354</v>
      </c>
      <c r="AJ115" s="94" t="n">
        <v>0</v>
      </c>
      <c r="AK115" s="94" t="inlineStr">
        <is>
          <t>OTT Up Trend</t>
        </is>
      </c>
      <c r="AL115" s="84" t="inlineStr">
        <is>
          <t>General Motors Company</t>
        </is>
      </c>
      <c r="AM115" t="inlineStr">
        <is>
          <t>Consumer Cyclical</t>
        </is>
      </c>
      <c r="AN115" t="inlineStr">
        <is>
          <t>Auto Manufacturers</t>
        </is>
      </c>
      <c r="AO115" t="n">
        <v>92</v>
      </c>
    </row>
    <row r="116">
      <c r="A116" s="64" t="inlineStr">
        <is>
          <t>CLB</t>
        </is>
      </c>
      <c r="B116" s="65" t="n"/>
      <c r="C116" s="66" t="n"/>
      <c r="D116" s="67" t="n"/>
      <c r="E116" s="68" t="n"/>
      <c r="F116" s="47">
        <f>IF(A116="","",IF(MIN(H116,MAX(J116:K116))=0,"",MIN(H116,MAX(J116:K116))))</f>
        <v/>
      </c>
      <c r="G116" s="74" t="n"/>
      <c r="H116" s="49">
        <f>IF(M116="","",IFERROR(ROUND(AVERAGE(T116+M116*{7,8,9,10,11})/1.21,4),""))</f>
        <v/>
      </c>
      <c r="I116" s="76" t="n">
        <v>19.43000030517578</v>
      </c>
      <c r="J116" s="77" t="n">
        <v>18.74715799996296</v>
      </c>
      <c r="K116" s="74" t="n">
        <v>17.61100015640259</v>
      </c>
      <c r="L116" s="78" t="n">
        <v>13.14349999904633</v>
      </c>
      <c r="M116" s="77" t="n">
        <v>0.6618355308268151</v>
      </c>
      <c r="N116" s="53">
        <f>IF(M116="","",IFERROR(M116/I116,""))</f>
        <v/>
      </c>
      <c r="O116" s="50">
        <f>IF(A116="","",IFERROR((IF(G116="",I116,G116)-T116)/M116,""))</f>
        <v/>
      </c>
      <c r="P116" s="50">
        <f>IFERROR((I116/T116-1)/N116,"")</f>
        <v/>
      </c>
      <c r="Q116" s="46">
        <f>IF(OR(T116="",I116&lt;T116),"",IFERROR(R116/IF(G116="",I116,G116)-1,""))</f>
        <v/>
      </c>
      <c r="R116" s="48">
        <f>IF($M116="","",MAX(IF($G116="",$I116,$G116)*(1/1.1),IF($G116="",$I116,$G116)+(R$2*$M116)))</f>
        <v/>
      </c>
      <c r="S116" s="49">
        <f>IF($M116="","",MAX(IF($G116="",$I116,$G116)*(1/1.1),IF($G116="",$I116,$G116)+(S$2*$M116)))</f>
        <v/>
      </c>
      <c r="T116" s="82" t="n">
        <v>16.46640003204346</v>
      </c>
      <c r="U116" s="47">
        <f>IF(OR($M116="",$T116=""),"",$T116+(U$2*$M116))</f>
        <v/>
      </c>
      <c r="V116" s="48">
        <f>IF(OR($M116="",$T116=""),"",$T116+(V$2*$M116))</f>
        <v/>
      </c>
      <c r="W116" s="48">
        <f>IF(OR($M116="",$T116=""),"",$T116+(W$2*$M116))</f>
        <v/>
      </c>
      <c r="X116" s="49">
        <f>IF(OR($M116="",$T116=""),"",$T116+(X$2*$M116))</f>
        <v/>
      </c>
      <c r="Y116" s="47">
        <f>IF(OR($M116="",$T116=""),"",$T116+(Y$2*$M116))</f>
        <v/>
      </c>
      <c r="Z116" s="49">
        <f>IF(OR($M116="",$T116=""),"",$T116+(Z$2*$M116))</f>
        <v/>
      </c>
      <c r="AA116" s="51">
        <f>IF(OR($M116="",$T116=""),"",$T116+(AA$2*$M116))</f>
        <v/>
      </c>
      <c r="AB116" s="48">
        <f>IF(OR($M116="",$T116=""),"",$T116+(AB$2*$M116))</f>
        <v/>
      </c>
      <c r="AC116" s="48">
        <f>IF(OR($M116="",$T116=""),"",$T116+(AC$2*$M116))</f>
        <v/>
      </c>
      <c r="AD116" s="48">
        <f>IF(OR($M116="",$T116=""),"",$T116+(AD$2*$M116))</f>
        <v/>
      </c>
      <c r="AE116" s="49">
        <f>IF(OR($M116="",$T116=""),"",$T116+(AE$2*$M116))</f>
        <v/>
      </c>
      <c r="AF116" s="52">
        <f>IF(OR(T116="",I116&lt;T116),"",IFERROR(AVERAGE(T116+M116*{7,8,9,10,11})/IF(G116="",I116,G116)-1,""))</f>
        <v/>
      </c>
      <c r="AG116" s="55">
        <f>IF(OR(T116="",I116&lt;T116),"",IFERROR(AF116/-(R116/IF(G116="",I116,G116)-1),""))</f>
        <v/>
      </c>
      <c r="AH116" s="94" t="n">
        <v>1</v>
      </c>
      <c r="AI116" s="94" t="n">
        <v>138.5482204666052</v>
      </c>
      <c r="AJ116" s="94" t="n">
        <v>1</v>
      </c>
      <c r="AK116" s="94" t="inlineStr">
        <is>
          <t>OTT Up Trend</t>
        </is>
      </c>
      <c r="AL116" s="84" t="inlineStr">
        <is>
          <t>Core Laboratories Inc.</t>
        </is>
      </c>
      <c r="AM116" t="inlineStr">
        <is>
          <t>Energy</t>
        </is>
      </c>
      <c r="AN116" t="inlineStr">
        <is>
          <t>Oil &amp; Gas Equipment &amp; Services</t>
        </is>
      </c>
      <c r="AO116" t="n">
        <v>92</v>
      </c>
    </row>
    <row r="117">
      <c r="A117" s="64" t="inlineStr">
        <is>
          <t>MD</t>
        </is>
      </c>
      <c r="B117" s="65" t="n"/>
      <c r="C117" s="66" t="n"/>
      <c r="D117" s="67" t="n"/>
      <c r="E117" s="68" t="n"/>
      <c r="F117" s="47">
        <f>IF(A117="","",IF(MIN(H117,MAX(J117:K117))=0,"",MIN(H117,MAX(J117:K117))))</f>
        <v/>
      </c>
      <c r="G117" s="74" t="n"/>
      <c r="H117" s="49">
        <f>IF(M117="","",IFERROR(ROUND(AVERAGE(T117+M117*{7,8,9,10,11})/1.21,4),""))</f>
        <v/>
      </c>
      <c r="I117" s="76" t="n">
        <v>21.86000061035156</v>
      </c>
      <c r="J117" s="77" t="n">
        <v>22.15191220533945</v>
      </c>
      <c r="K117" s="74" t="n">
        <v>21.95700006484985</v>
      </c>
      <c r="L117" s="78" t="n">
        <v>16.74840001106262</v>
      </c>
      <c r="M117" s="77" t="n">
        <v>0.6958430569567887</v>
      </c>
      <c r="N117" s="53">
        <f>IF(M117="","",IFERROR(M117/I117,""))</f>
        <v/>
      </c>
      <c r="O117" s="50">
        <f>IF(A117="","",IFERROR((IF(G117="",I117,G117)-T117)/M117,""))</f>
        <v/>
      </c>
      <c r="P117" s="50">
        <f>IFERROR((I117/T117-1)/N117,"")</f>
        <v/>
      </c>
      <c r="Q117" s="46">
        <f>IF(OR(T117="",I117&lt;T117),"",IFERROR(R117/IF(G117="",I117,G117)-1,""))</f>
        <v/>
      </c>
      <c r="R117" s="48">
        <f>IF($M117="","",MAX(IF($G117="",$I117,$G117)*(1/1.1),IF($G117="",$I117,$G117)+(R$2*$M117)))</f>
        <v/>
      </c>
      <c r="S117" s="49">
        <f>IF($M117="","",MAX(IF($G117="",$I117,$G117)*(1/1.1),IF($G117="",$I117,$G117)+(S$2*$M117)))</f>
        <v/>
      </c>
      <c r="T117" s="82" t="n">
        <v>22.43880004882812</v>
      </c>
      <c r="U117" s="47">
        <f>IF(OR($M117="",$T117=""),"",$T117+(U$2*$M117))</f>
        <v/>
      </c>
      <c r="V117" s="48">
        <f>IF(OR($M117="",$T117=""),"",$T117+(V$2*$M117))</f>
        <v/>
      </c>
      <c r="W117" s="48">
        <f>IF(OR($M117="",$T117=""),"",$T117+(W$2*$M117))</f>
        <v/>
      </c>
      <c r="X117" s="49">
        <f>IF(OR($M117="",$T117=""),"",$T117+(X$2*$M117))</f>
        <v/>
      </c>
      <c r="Y117" s="47">
        <f>IF(OR($M117="",$T117=""),"",$T117+(Y$2*$M117))</f>
        <v/>
      </c>
      <c r="Z117" s="49">
        <f>IF(OR($M117="",$T117=""),"",$T117+(Z$2*$M117))</f>
        <v/>
      </c>
      <c r="AA117" s="51">
        <f>IF(OR($M117="",$T117=""),"",$T117+(AA$2*$M117))</f>
        <v/>
      </c>
      <c r="AB117" s="48">
        <f>IF(OR($M117="",$T117=""),"",$T117+(AB$2*$M117))</f>
        <v/>
      </c>
      <c r="AC117" s="48">
        <f>IF(OR($M117="",$T117=""),"",$T117+(AC$2*$M117))</f>
        <v/>
      </c>
      <c r="AD117" s="48">
        <f>IF(OR($M117="",$T117=""),"",$T117+(AD$2*$M117))</f>
        <v/>
      </c>
      <c r="AE117" s="49">
        <f>IF(OR($M117="",$T117=""),"",$T117+(AE$2*$M117))</f>
        <v/>
      </c>
      <c r="AF117" s="52">
        <f>IF(OR(T117="",I117&lt;T117),"",IFERROR(AVERAGE(T117+M117*{7,8,9,10,11})/IF(G117="",I117,G117)-1,""))</f>
        <v/>
      </c>
      <c r="AG117" s="55">
        <f>IF(OR(T117="",I117&lt;T117),"",IFERROR(AF117/-(R117/IF(G117="",I117,G117)-1),""))</f>
        <v/>
      </c>
      <c r="AH117" s="94" t="n">
        <v>-1</v>
      </c>
      <c r="AI117" s="94" t="n">
        <v>10.45016513788406</v>
      </c>
      <c r="AJ117" s="94" t="n">
        <v>1</v>
      </c>
      <c r="AK117" s="94" t="inlineStr">
        <is>
          <t>None</t>
        </is>
      </c>
      <c r="AL117" s="84" t="inlineStr">
        <is>
          <t>Pediatrix Medical Group, Inc.</t>
        </is>
      </c>
      <c r="AM117" t="inlineStr">
        <is>
          <t>Healthcare</t>
        </is>
      </c>
      <c r="AN117" t="inlineStr">
        <is>
          <t>Medical Care Facilities</t>
        </is>
      </c>
      <c r="AO117" t="n">
        <v>92</v>
      </c>
    </row>
    <row r="118">
      <c r="A118" s="64" t="inlineStr">
        <is>
          <t>CRS</t>
        </is>
      </c>
      <c r="B118" s="65" t="n"/>
      <c r="C118" s="66" t="n"/>
      <c r="D118" s="67" t="n"/>
      <c r="E118" s="68" t="n"/>
      <c r="F118" s="47">
        <f>IF(A118="","",IF(MIN(H118,MAX(J118:K118))=0,"",MIN(H118,MAX(J118:K118))))</f>
        <v/>
      </c>
      <c r="G118" s="74" t="n"/>
      <c r="H118" s="49">
        <f>IF(M118="","",IFERROR(ROUND(AVERAGE(T118+M118*{7,8,9,10,11})/1.21,4),""))</f>
        <v/>
      </c>
      <c r="I118" s="76" t="n">
        <v>335.4400024414062</v>
      </c>
      <c r="J118" s="77" t="n">
        <v>329.9770298196833</v>
      </c>
      <c r="K118" s="74" t="n">
        <v>329.4190002441406</v>
      </c>
      <c r="L118" s="78" t="n">
        <v>262.9784501647949</v>
      </c>
      <c r="M118" s="77" t="n">
        <v>13.39496101431147</v>
      </c>
      <c r="N118" s="53">
        <f>IF(M118="","",IFERROR(M118/I118,""))</f>
        <v/>
      </c>
      <c r="O118" s="50">
        <f>IF(A118="","",IFERROR((IF(G118="",I118,G118)-T118)/M118,""))</f>
        <v/>
      </c>
      <c r="P118" s="50">
        <f>IFERROR((I118/T118-1)/N118,"")</f>
        <v/>
      </c>
      <c r="Q118" s="46">
        <f>IF(OR(T118="",I118&lt;T118),"",IFERROR(R118/IF(G118="",I118,G118)-1,""))</f>
        <v/>
      </c>
      <c r="R118" s="48">
        <f>IF($M118="","",MAX(IF($G118="",$I118,$G118)*(1/1.1),IF($G118="",$I118,$G118)+(R$2*$M118)))</f>
        <v/>
      </c>
      <c r="S118" s="49">
        <f>IF($M118="","",MAX(IF($G118="",$I118,$G118)*(1/1.1),IF($G118="",$I118,$G118)+(S$2*$M118)))</f>
        <v/>
      </c>
      <c r="T118" s="82" t="n">
        <v>322.6712005615234</v>
      </c>
      <c r="U118" s="47">
        <f>IF(OR($M118="",$T118=""),"",$T118+(U$2*$M118))</f>
        <v/>
      </c>
      <c r="V118" s="48">
        <f>IF(OR($M118="",$T118=""),"",$T118+(V$2*$M118))</f>
        <v/>
      </c>
      <c r="W118" s="48">
        <f>IF(OR($M118="",$T118=""),"",$T118+(W$2*$M118))</f>
        <v/>
      </c>
      <c r="X118" s="49">
        <f>IF(OR($M118="",$T118=""),"",$T118+(X$2*$M118))</f>
        <v/>
      </c>
      <c r="Y118" s="47">
        <f>IF(OR($M118="",$T118=""),"",$T118+(Y$2*$M118))</f>
        <v/>
      </c>
      <c r="Z118" s="49">
        <f>IF(OR($M118="",$T118=""),"",$T118+(Z$2*$M118))</f>
        <v/>
      </c>
      <c r="AA118" s="51">
        <f>IF(OR($M118="",$T118=""),"",$T118+(AA$2*$M118))</f>
        <v/>
      </c>
      <c r="AB118" s="48">
        <f>IF(OR($M118="",$T118=""),"",$T118+(AB$2*$M118))</f>
        <v/>
      </c>
      <c r="AC118" s="48">
        <f>IF(OR($M118="",$T118=""),"",$T118+(AC$2*$M118))</f>
        <v/>
      </c>
      <c r="AD118" s="48">
        <f>IF(OR($M118="",$T118=""),"",$T118+(AD$2*$M118))</f>
        <v/>
      </c>
      <c r="AE118" s="49">
        <f>IF(OR($M118="",$T118=""),"",$T118+(AE$2*$M118))</f>
        <v/>
      </c>
      <c r="AF118" s="52">
        <f>IF(OR(T118="",I118&lt;T118),"",IFERROR(AVERAGE(T118+M118*{7,8,9,10,11})/IF(G118="",I118,G118)-1,""))</f>
        <v/>
      </c>
      <c r="AG118" s="55">
        <f>IF(OR(T118="",I118&lt;T118),"",IFERROR(AF118/-(R118/IF(G118="",I118,G118)-1),""))</f>
        <v/>
      </c>
      <c r="AH118" s="94" t="n">
        <v>1</v>
      </c>
      <c r="AI118" s="94" t="n">
        <v>27.25510242651258</v>
      </c>
      <c r="AJ118" s="94" t="n">
        <v>0</v>
      </c>
      <c r="AK118" s="94" t="inlineStr">
        <is>
          <t>OTT Up Trend</t>
        </is>
      </c>
      <c r="AL118" s="84" t="inlineStr">
        <is>
          <t>Carpenter Technology Corporatio</t>
        </is>
      </c>
      <c r="AM118" t="inlineStr">
        <is>
          <t>Industrials</t>
        </is>
      </c>
      <c r="AN118" t="inlineStr">
        <is>
          <t>Metal Fabrication</t>
        </is>
      </c>
      <c r="AO118" t="n">
        <v>92</v>
      </c>
    </row>
    <row r="119">
      <c r="A119" s="64" t="inlineStr">
        <is>
          <t>SNCY</t>
        </is>
      </c>
      <c r="B119" s="65" t="n"/>
      <c r="C119" s="66" t="n"/>
      <c r="D119" s="67" t="n"/>
      <c r="E119" s="68" t="n"/>
      <c r="F119" s="47">
        <f>IF(A119="","",IF(MIN(H119,MAX(J119:K119))=0,"",MIN(H119,MAX(J119:K119))))</f>
        <v/>
      </c>
      <c r="G119" s="74" t="n"/>
      <c r="H119" s="49">
        <f>IF(M119="","",IFERROR(ROUND(AVERAGE(T119+M119*{7,8,9,10,11})/1.21,4),""))</f>
        <v/>
      </c>
      <c r="I119" s="76" t="n">
        <v>17.71500015258789</v>
      </c>
      <c r="J119" s="77" t="n">
        <v>16.57693260613193</v>
      </c>
      <c r="K119" s="74" t="n">
        <v>15.47025003433228</v>
      </c>
      <c r="L119" s="78" t="n">
        <v>12.28870002746582</v>
      </c>
      <c r="M119" s="77" t="n">
        <v>0.6761004080782599</v>
      </c>
      <c r="N119" s="53">
        <f>IF(M119="","",IFERROR(M119/I119,""))</f>
        <v/>
      </c>
      <c r="O119" s="50">
        <f>IF(A119="","",IFERROR((IF(G119="",I119,G119)-T119)/M119,""))</f>
        <v/>
      </c>
      <c r="P119" s="50">
        <f>IFERROR((I119/T119-1)/N119,"")</f>
        <v/>
      </c>
      <c r="Q119" s="46">
        <f>IF(OR(T119="",I119&lt;T119),"",IFERROR(R119/IF(G119="",I119,G119)-1,""))</f>
        <v/>
      </c>
      <c r="R119" s="48">
        <f>IF($M119="","",MAX(IF($G119="",$I119,$G119)*(1/1.1),IF($G119="",$I119,$G119)+(R$2*$M119)))</f>
        <v/>
      </c>
      <c r="S119" s="49">
        <f>IF($M119="","",MAX(IF($G119="",$I119,$G119)*(1/1.1),IF($G119="",$I119,$G119)+(S$2*$M119)))</f>
        <v/>
      </c>
      <c r="T119" s="82" t="n">
        <v>14.15840003967285</v>
      </c>
      <c r="U119" s="47">
        <f>IF(OR($M119="",$T119=""),"",$T119+(U$2*$M119))</f>
        <v/>
      </c>
      <c r="V119" s="48">
        <f>IF(OR($M119="",$T119=""),"",$T119+(V$2*$M119))</f>
        <v/>
      </c>
      <c r="W119" s="48">
        <f>IF(OR($M119="",$T119=""),"",$T119+(W$2*$M119))</f>
        <v/>
      </c>
      <c r="X119" s="49">
        <f>IF(OR($M119="",$T119=""),"",$T119+(X$2*$M119))</f>
        <v/>
      </c>
      <c r="Y119" s="47">
        <f>IF(OR($M119="",$T119=""),"",$T119+(Y$2*$M119))</f>
        <v/>
      </c>
      <c r="Z119" s="49">
        <f>IF(OR($M119="",$T119=""),"",$T119+(Z$2*$M119))</f>
        <v/>
      </c>
      <c r="AA119" s="51">
        <f>IF(OR($M119="",$T119=""),"",$T119+(AA$2*$M119))</f>
        <v/>
      </c>
      <c r="AB119" s="48">
        <f>IF(OR($M119="",$T119=""),"",$T119+(AB$2*$M119))</f>
        <v/>
      </c>
      <c r="AC119" s="48">
        <f>IF(OR($M119="",$T119=""),"",$T119+(AC$2*$M119))</f>
        <v/>
      </c>
      <c r="AD119" s="48">
        <f>IF(OR($M119="",$T119=""),"",$T119+(AD$2*$M119))</f>
        <v/>
      </c>
      <c r="AE119" s="49">
        <f>IF(OR($M119="",$T119=""),"",$T119+(AE$2*$M119))</f>
        <v/>
      </c>
      <c r="AF119" s="52">
        <f>IF(OR(T119="",I119&lt;T119),"",IFERROR(AVERAGE(T119+M119*{7,8,9,10,11})/IF(G119="",I119,G119)-1,""))</f>
        <v/>
      </c>
      <c r="AG119" s="55">
        <f>IF(OR(T119="",I119&lt;T119),"",IFERROR(AF119/-(R119/IF(G119="",I119,G119)-1),""))</f>
        <v/>
      </c>
      <c r="AH119" s="94" t="n">
        <v>1</v>
      </c>
      <c r="AI119" s="94" t="n">
        <v>143.3805969446282</v>
      </c>
      <c r="AJ119" s="94" t="n">
        <v>1</v>
      </c>
      <c r="AK119" s="94" t="inlineStr">
        <is>
          <t>OTT Up Trend</t>
        </is>
      </c>
      <c r="AL119" s="84" t="inlineStr">
        <is>
          <t>Sun Country Airlines Holdings,</t>
        </is>
      </c>
      <c r="AM119" t="inlineStr">
        <is>
          <t>Industrials</t>
        </is>
      </c>
      <c r="AN119" t="inlineStr">
        <is>
          <t>Airlines</t>
        </is>
      </c>
      <c r="AO119" t="n">
        <v>92</v>
      </c>
    </row>
    <row r="120">
      <c r="A120" s="64" t="inlineStr">
        <is>
          <t>OUT</t>
        </is>
      </c>
      <c r="B120" s="65" t="n"/>
      <c r="C120" s="66" t="n"/>
      <c r="D120" s="67" t="n"/>
      <c r="E120" s="68" t="n"/>
      <c r="F120" s="47">
        <f>IF(A120="","",IF(MIN(H120,MAX(J120:K120))=0,"",MIN(H120,MAX(J120:K120))))</f>
        <v/>
      </c>
      <c r="G120" s="74" t="n"/>
      <c r="H120" s="49">
        <f>IF(M120="","",IFERROR(ROUND(AVERAGE(T120+M120*{7,8,9,10,11})/1.21,4),""))</f>
        <v/>
      </c>
      <c r="I120" s="76" t="n">
        <v>25.20000076293945</v>
      </c>
      <c r="J120" s="77" t="n">
        <v>24.41757964954125</v>
      </c>
      <c r="K120" s="74" t="n">
        <v>24.21950006484985</v>
      </c>
      <c r="L120" s="78" t="n">
        <v>18.57100000858307</v>
      </c>
      <c r="M120" s="77" t="n">
        <v>0.5105965518945086</v>
      </c>
      <c r="N120" s="53">
        <f>IF(M120="","",IFERROR(M120/I120,""))</f>
        <v/>
      </c>
      <c r="O120" s="50">
        <f>IF(A120="","",IFERROR((IF(G120="",I120,G120)-T120)/M120,""))</f>
        <v/>
      </c>
      <c r="P120" s="50">
        <f>IFERROR((I120/T120-1)/N120,"")</f>
        <v/>
      </c>
      <c r="Q120" s="46">
        <f>IF(OR(T120="",I120&lt;T120),"",IFERROR(R120/IF(G120="",I120,G120)-1,""))</f>
        <v/>
      </c>
      <c r="R120" s="48">
        <f>IF($M120="","",MAX(IF($G120="",$I120,$G120)*(1/1.1),IF($G120="",$I120,$G120)+(R$2*$M120)))</f>
        <v/>
      </c>
      <c r="S120" s="49">
        <f>IF($M120="","",MAX(IF($G120="",$I120,$G120)*(1/1.1),IF($G120="",$I120,$G120)+(S$2*$M120)))</f>
        <v/>
      </c>
      <c r="T120" s="82" t="n">
        <v>23.11100006103516</v>
      </c>
      <c r="U120" s="47">
        <f>IF(OR($M120="",$T120=""),"",$T120+(U$2*$M120))</f>
        <v/>
      </c>
      <c r="V120" s="48">
        <f>IF(OR($M120="",$T120=""),"",$T120+(V$2*$M120))</f>
        <v/>
      </c>
      <c r="W120" s="48">
        <f>IF(OR($M120="",$T120=""),"",$T120+(W$2*$M120))</f>
        <v/>
      </c>
      <c r="X120" s="49">
        <f>IF(OR($M120="",$T120=""),"",$T120+(X$2*$M120))</f>
        <v/>
      </c>
      <c r="Y120" s="47">
        <f>IF(OR($M120="",$T120=""),"",$T120+(Y$2*$M120))</f>
        <v/>
      </c>
      <c r="Z120" s="49">
        <f>IF(OR($M120="",$T120=""),"",$T120+(Z$2*$M120))</f>
        <v/>
      </c>
      <c r="AA120" s="51">
        <f>IF(OR($M120="",$T120=""),"",$T120+(AA$2*$M120))</f>
        <v/>
      </c>
      <c r="AB120" s="48">
        <f>IF(OR($M120="",$T120=""),"",$T120+(AB$2*$M120))</f>
        <v/>
      </c>
      <c r="AC120" s="48">
        <f>IF(OR($M120="",$T120=""),"",$T120+(AC$2*$M120))</f>
        <v/>
      </c>
      <c r="AD120" s="48">
        <f>IF(OR($M120="",$T120=""),"",$T120+(AD$2*$M120))</f>
        <v/>
      </c>
      <c r="AE120" s="49">
        <f>IF(OR($M120="",$T120=""),"",$T120+(AE$2*$M120))</f>
        <v/>
      </c>
      <c r="AF120" s="52">
        <f>IF(OR(T120="",I120&lt;T120),"",IFERROR(AVERAGE(T120+M120*{7,8,9,10,11})/IF(G120="",I120,G120)-1,""))</f>
        <v/>
      </c>
      <c r="AG120" s="55">
        <f>IF(OR(T120="",I120&lt;T120),"",IFERROR(AF120/-(R120/IF(G120="",I120,G120)-1),""))</f>
        <v/>
      </c>
      <c r="AH120" s="94" t="n">
        <v>1</v>
      </c>
      <c r="AI120" s="94" t="n">
        <v>81.22397348386765</v>
      </c>
      <c r="AJ120" s="94" t="n">
        <v>0</v>
      </c>
      <c r="AK120" s="94" t="inlineStr">
        <is>
          <t>OTT Turned Up</t>
        </is>
      </c>
      <c r="AL120" s="84" t="inlineStr">
        <is>
          <t>OUTFRONT Media Inc.</t>
        </is>
      </c>
      <c r="AM120" t="inlineStr">
        <is>
          <t>Real Estate</t>
        </is>
      </c>
      <c r="AN120" t="inlineStr">
        <is>
          <t>REIT - Specialty</t>
        </is>
      </c>
      <c r="AO120" t="n">
        <v>92</v>
      </c>
    </row>
    <row r="121">
      <c r="A121" s="64" t="inlineStr">
        <is>
          <t>NVT</t>
        </is>
      </c>
      <c r="B121" s="65" t="n"/>
      <c r="C121" s="66" t="n"/>
      <c r="D121" s="67" t="n"/>
      <c r="E121" s="68" t="n"/>
      <c r="F121" s="47">
        <f>IF(A121="","",IF(MIN(H121,MAX(J121:K121))=0,"",MIN(H121,MAX(J121:K121))))</f>
        <v/>
      </c>
      <c r="G121" s="74" t="n"/>
      <c r="H121" s="49">
        <f>IF(M121="","",IFERROR(ROUND(AVERAGE(T121+M121*{7,8,9,10,11})/1.21,4),""))</f>
        <v/>
      </c>
      <c r="I121" s="76" t="n">
        <v>112.5</v>
      </c>
      <c r="J121" s="77" t="n">
        <v>107.0419257102852</v>
      </c>
      <c r="K121" s="74" t="n">
        <v>104.9560005187988</v>
      </c>
      <c r="L121" s="78" t="n">
        <v>85.67605016708374</v>
      </c>
      <c r="M121" s="77" t="n">
        <v>3.870561272550111</v>
      </c>
      <c r="N121" s="53">
        <f>IF(M121="","",IFERROR(M121/I121,""))</f>
        <v/>
      </c>
      <c r="O121" s="50">
        <f>IF(A121="","",IFERROR((IF(G121="",I121,G121)-T121)/M121,""))</f>
        <v/>
      </c>
      <c r="P121" s="50">
        <f>IFERROR((I121/T121-1)/N121,"")</f>
        <v/>
      </c>
      <c r="Q121" s="46">
        <f>IF(OR(T121="",I121&lt;T121),"",IFERROR(R121/IF(G121="",I121,G121)-1,""))</f>
        <v/>
      </c>
      <c r="R121" s="48">
        <f>IF($M121="","",MAX(IF($G121="",$I121,$G121)*(1/1.1),IF($G121="",$I121,$G121)+(R$2*$M121)))</f>
        <v/>
      </c>
      <c r="S121" s="49">
        <f>IF($M121="","",MAX(IF($G121="",$I121,$G121)*(1/1.1),IF($G121="",$I121,$G121)+(S$2*$M121)))</f>
        <v/>
      </c>
      <c r="T121" s="82" t="n">
        <v>105.6753999328613</v>
      </c>
      <c r="U121" s="47">
        <f>IF(OR($M121="",$T121=""),"",$T121+(U$2*$M121))</f>
        <v/>
      </c>
      <c r="V121" s="48">
        <f>IF(OR($M121="",$T121=""),"",$T121+(V$2*$M121))</f>
        <v/>
      </c>
      <c r="W121" s="48">
        <f>IF(OR($M121="",$T121=""),"",$T121+(W$2*$M121))</f>
        <v/>
      </c>
      <c r="X121" s="49">
        <f>IF(OR($M121="",$T121=""),"",$T121+(X$2*$M121))</f>
        <v/>
      </c>
      <c r="Y121" s="47">
        <f>IF(OR($M121="",$T121=""),"",$T121+(Y$2*$M121))</f>
        <v/>
      </c>
      <c r="Z121" s="49">
        <f>IF(OR($M121="",$T121=""),"",$T121+(Z$2*$M121))</f>
        <v/>
      </c>
      <c r="AA121" s="51">
        <f>IF(OR($M121="",$T121=""),"",$T121+(AA$2*$M121))</f>
        <v/>
      </c>
      <c r="AB121" s="48">
        <f>IF(OR($M121="",$T121=""),"",$T121+(AB$2*$M121))</f>
        <v/>
      </c>
      <c r="AC121" s="48">
        <f>IF(OR($M121="",$T121=""),"",$T121+(AC$2*$M121))</f>
        <v/>
      </c>
      <c r="AD121" s="48">
        <f>IF(OR($M121="",$T121=""),"",$T121+(AD$2*$M121))</f>
        <v/>
      </c>
      <c r="AE121" s="49">
        <f>IF(OR($M121="",$T121=""),"",$T121+(AE$2*$M121))</f>
        <v/>
      </c>
      <c r="AF121" s="52">
        <f>IF(OR(T121="",I121&lt;T121),"",IFERROR(AVERAGE(T121+M121*{7,8,9,10,11})/IF(G121="",I121,G121)-1,""))</f>
        <v/>
      </c>
      <c r="AG121" s="55">
        <f>IF(OR(T121="",I121&lt;T121),"",IFERROR(AF121/-(R121/IF(G121="",I121,G121)-1),""))</f>
        <v/>
      </c>
      <c r="AH121" s="94" t="n">
        <v>1</v>
      </c>
      <c r="AI121" s="94" t="n">
        <v>28.35263524831734</v>
      </c>
      <c r="AJ121" s="94" t="n">
        <v>1</v>
      </c>
      <c r="AK121" s="94" t="inlineStr">
        <is>
          <t>OTT Up Trend</t>
        </is>
      </c>
      <c r="AL121" s="84" t="inlineStr">
        <is>
          <t>nVent Electric plc</t>
        </is>
      </c>
      <c r="AM121" t="inlineStr">
        <is>
          <t>Industrials</t>
        </is>
      </c>
      <c r="AN121" t="inlineStr">
        <is>
          <t>Electrical Equipment &amp; Parts</t>
        </is>
      </c>
      <c r="AO121" t="n">
        <v>92</v>
      </c>
    </row>
    <row r="122">
      <c r="A122" s="64" t="inlineStr">
        <is>
          <t>IBP</t>
        </is>
      </c>
      <c r="B122" s="65" t="n"/>
      <c r="C122" s="66" t="n"/>
      <c r="D122" s="67" t="n"/>
      <c r="E122" s="68" t="n"/>
      <c r="F122" s="47">
        <f>IF(A122="","",IF(MIN(H122,MAX(J122:K122))=0,"",MIN(H122,MAX(J122:K122))))</f>
        <v/>
      </c>
      <c r="G122" s="74" t="n"/>
      <c r="H122" s="49">
        <f>IF(M122="","",IFERROR(ROUND(AVERAGE(T122+M122*{7,8,9,10,11})/1.21,4),""))</f>
        <v/>
      </c>
      <c r="I122" s="76" t="n">
        <v>309.7000122070312</v>
      </c>
      <c r="J122" s="77" t="n">
        <v>296.1922814813855</v>
      </c>
      <c r="K122" s="74" t="n">
        <v>278.8175048828125</v>
      </c>
      <c r="L122" s="78" t="n">
        <v>225.3977496337891</v>
      </c>
      <c r="M122" s="77" t="n">
        <v>12.11676500138271</v>
      </c>
      <c r="N122" s="53">
        <f>IF(M122="","",IFERROR(M122/I122,""))</f>
        <v/>
      </c>
      <c r="O122" s="50">
        <f>IF(A122="","",IFERROR((IF(G122="",I122,G122)-T122)/M122,""))</f>
        <v/>
      </c>
      <c r="P122" s="50">
        <f>IFERROR((I122/T122-1)/N122,"")</f>
        <v/>
      </c>
      <c r="Q122" s="46">
        <f>IF(OR(T122="",I122&lt;T122),"",IFERROR(R122/IF(G122="",I122,G122)-1,""))</f>
        <v/>
      </c>
      <c r="R122" s="48">
        <f>IF($M122="","",MAX(IF($G122="",$I122,$G122)*(1/1.1),IF($G122="",$I122,$G122)+(R$2*$M122)))</f>
        <v/>
      </c>
      <c r="S122" s="49">
        <f>IF($M122="","",MAX(IF($G122="",$I122,$G122)*(1/1.1),IF($G122="",$I122,$G122)+(S$2*$M122)))</f>
        <v/>
      </c>
      <c r="T122" s="82" t="n">
        <v>268.6804000854492</v>
      </c>
      <c r="U122" s="47">
        <f>IF(OR($M122="",$T122=""),"",$T122+(U$2*$M122))</f>
        <v/>
      </c>
      <c r="V122" s="48">
        <f>IF(OR($M122="",$T122=""),"",$T122+(V$2*$M122))</f>
        <v/>
      </c>
      <c r="W122" s="48">
        <f>IF(OR($M122="",$T122=""),"",$T122+(W$2*$M122))</f>
        <v/>
      </c>
      <c r="X122" s="49">
        <f>IF(OR($M122="",$T122=""),"",$T122+(X$2*$M122))</f>
        <v/>
      </c>
      <c r="Y122" s="47">
        <f>IF(OR($M122="",$T122=""),"",$T122+(Y$2*$M122))</f>
        <v/>
      </c>
      <c r="Z122" s="49">
        <f>IF(OR($M122="",$T122=""),"",$T122+(Z$2*$M122))</f>
        <v/>
      </c>
      <c r="AA122" s="51">
        <f>IF(OR($M122="",$T122=""),"",$T122+(AA$2*$M122))</f>
        <v/>
      </c>
      <c r="AB122" s="48">
        <f>IF(OR($M122="",$T122=""),"",$T122+(AB$2*$M122))</f>
        <v/>
      </c>
      <c r="AC122" s="48">
        <f>IF(OR($M122="",$T122=""),"",$T122+(AC$2*$M122))</f>
        <v/>
      </c>
      <c r="AD122" s="48">
        <f>IF(OR($M122="",$T122=""),"",$T122+(AD$2*$M122))</f>
        <v/>
      </c>
      <c r="AE122" s="49">
        <f>IF(OR($M122="",$T122=""),"",$T122+(AE$2*$M122))</f>
        <v/>
      </c>
      <c r="AF122" s="52">
        <f>IF(OR(T122="",I122&lt;T122),"",IFERROR(AVERAGE(T122+M122*{7,8,9,10,11})/IF(G122="",I122,G122)-1,""))</f>
        <v/>
      </c>
      <c r="AG122" s="55">
        <f>IF(OR(T122="",I122&lt;T122),"",IFERROR(AF122/-(R122/IF(G122="",I122,G122)-1),""))</f>
        <v/>
      </c>
      <c r="AH122" s="94" t="n">
        <v>1</v>
      </c>
      <c r="AI122" s="94" t="n">
        <v>104.5692396045985</v>
      </c>
      <c r="AJ122" s="94" t="n">
        <v>1</v>
      </c>
      <c r="AK122" s="94" t="inlineStr">
        <is>
          <t>OTT Up Trend</t>
        </is>
      </c>
      <c r="AL122" s="84" t="inlineStr">
        <is>
          <t>Installed Building Products, In</t>
        </is>
      </c>
      <c r="AM122" t="inlineStr">
        <is>
          <t>Consumer Cyclical</t>
        </is>
      </c>
      <c r="AN122" t="inlineStr">
        <is>
          <t>Residential Construction</t>
        </is>
      </c>
      <c r="AO122" t="n">
        <v>92</v>
      </c>
    </row>
    <row r="123">
      <c r="A123" s="64" t="inlineStr">
        <is>
          <t>FLS</t>
        </is>
      </c>
      <c r="B123" s="65" t="n"/>
      <c r="C123" s="66" t="n"/>
      <c r="D123" s="67" t="n"/>
      <c r="E123" s="68" t="n"/>
      <c r="F123" s="47">
        <f>IF(A123="","",IF(MIN(H123,MAX(J123:K123))=0,"",MIN(H123,MAX(J123:K123))))</f>
        <v/>
      </c>
      <c r="G123" s="74" t="n"/>
      <c r="H123" s="49">
        <f>IF(M123="","",IFERROR(ROUND(AVERAGE(T123+M123*{7,8,9,10,11})/1.21,4),""))</f>
        <v/>
      </c>
      <c r="I123" s="76" t="n">
        <v>77.16999816894531</v>
      </c>
      <c r="J123" s="77" t="n">
        <v>74.37458249120108</v>
      </c>
      <c r="K123" s="74" t="n">
        <v>72.32999954223632</v>
      </c>
      <c r="L123" s="78" t="n">
        <v>56.32539991378784</v>
      </c>
      <c r="M123" s="77" t="n">
        <v>1.612823052309335</v>
      </c>
      <c r="N123" s="53">
        <f>IF(M123="","",IFERROR(M123/I123,""))</f>
        <v/>
      </c>
      <c r="O123" s="50">
        <f>IF(A123="","",IFERROR((IF(G123="",I123,G123)-T123)/M123,""))</f>
        <v/>
      </c>
      <c r="P123" s="50">
        <f>IFERROR((I123/T123-1)/N123,"")</f>
        <v/>
      </c>
      <c r="Q123" s="46">
        <f>IF(OR(T123="",I123&lt;T123),"",IFERROR(R123/IF(G123="",I123,G123)-1,""))</f>
        <v/>
      </c>
      <c r="R123" s="48">
        <f>IF($M123="","",MAX(IF($G123="",$I123,$G123)*(1/1.1),IF($G123="",$I123,$G123)+(R$2*$M123)))</f>
        <v/>
      </c>
      <c r="S123" s="49">
        <f>IF($M123="","",MAX(IF($G123="",$I123,$G123)*(1/1.1),IF($G123="",$I123,$G123)+(S$2*$M123)))</f>
        <v/>
      </c>
      <c r="T123" s="82" t="n">
        <v>70.84199951171875</v>
      </c>
      <c r="U123" s="47">
        <f>IF(OR($M123="",$T123=""),"",$T123+(U$2*$M123))</f>
        <v/>
      </c>
      <c r="V123" s="48">
        <f>IF(OR($M123="",$T123=""),"",$T123+(V$2*$M123))</f>
        <v/>
      </c>
      <c r="W123" s="48">
        <f>IF(OR($M123="",$T123=""),"",$T123+(W$2*$M123))</f>
        <v/>
      </c>
      <c r="X123" s="49">
        <f>IF(OR($M123="",$T123=""),"",$T123+(X$2*$M123))</f>
        <v/>
      </c>
      <c r="Y123" s="47">
        <f>IF(OR($M123="",$T123=""),"",$T123+(Y$2*$M123))</f>
        <v/>
      </c>
      <c r="Z123" s="49">
        <f>IF(OR($M123="",$T123=""),"",$T123+(Z$2*$M123))</f>
        <v/>
      </c>
      <c r="AA123" s="51">
        <f>IF(OR($M123="",$T123=""),"",$T123+(AA$2*$M123))</f>
        <v/>
      </c>
      <c r="AB123" s="48">
        <f>IF(OR($M123="",$T123=""),"",$T123+(AB$2*$M123))</f>
        <v/>
      </c>
      <c r="AC123" s="48">
        <f>IF(OR($M123="",$T123=""),"",$T123+(AC$2*$M123))</f>
        <v/>
      </c>
      <c r="AD123" s="48">
        <f>IF(OR($M123="",$T123=""),"",$T123+(AD$2*$M123))</f>
        <v/>
      </c>
      <c r="AE123" s="49">
        <f>IF(OR($M123="",$T123=""),"",$T123+(AE$2*$M123))</f>
        <v/>
      </c>
      <c r="AF123" s="52">
        <f>IF(OR(T123="",I123&lt;T123),"",IFERROR(AVERAGE(T123+M123*{7,8,9,10,11})/IF(G123="",I123,G123)-1,""))</f>
        <v/>
      </c>
      <c r="AG123" s="55">
        <f>IF(OR(T123="",I123&lt;T123),"",IFERROR(AF123/-(R123/IF(G123="",I123,G123)-1),""))</f>
        <v/>
      </c>
      <c r="AH123" s="94" t="n">
        <v>1</v>
      </c>
      <c r="AI123" s="94" t="n">
        <v>97.15423131508241</v>
      </c>
      <c r="AJ123" s="94" t="n">
        <v>1</v>
      </c>
      <c r="AK123" s="94" t="inlineStr">
        <is>
          <t>OTT Up Trend</t>
        </is>
      </c>
      <c r="AL123" s="84" t="inlineStr">
        <is>
          <t>Flowserve Corporation</t>
        </is>
      </c>
      <c r="AM123" t="inlineStr">
        <is>
          <t>Industrials</t>
        </is>
      </c>
      <c r="AN123" t="inlineStr">
        <is>
          <t>Specialty Industrial Machinery</t>
        </is>
      </c>
      <c r="AO123" t="n">
        <v>92</v>
      </c>
    </row>
    <row r="124">
      <c r="A124" s="64" t="inlineStr">
        <is>
          <t>BWXT</t>
        </is>
      </c>
      <c r="B124" s="65" t="n"/>
      <c r="C124" s="66" t="n"/>
      <c r="D124" s="67" t="n"/>
      <c r="E124" s="68" t="n"/>
      <c r="F124" s="47">
        <f>IF(A124="","",IF(MIN(H124,MAX(J124:K124))=0,"",MIN(H124,MAX(J124:K124))))</f>
        <v/>
      </c>
      <c r="G124" s="74" t="n"/>
      <c r="H124" s="49">
        <f>IF(M124="","",IFERROR(ROUND(AVERAGE(T124+M124*{7,8,9,10,11})/1.21,4),""))</f>
        <v/>
      </c>
      <c r="I124" s="76" t="n">
        <v>217.8899993896484</v>
      </c>
      <c r="J124" s="77" t="n">
        <v>203.0118455507628</v>
      </c>
      <c r="K124" s="74" t="n">
        <v>189.2205001831055</v>
      </c>
      <c r="L124" s="78" t="n">
        <v>158.2516494750977</v>
      </c>
      <c r="M124" s="77" t="n">
        <v>7.152465478094451</v>
      </c>
      <c r="N124" s="53">
        <f>IF(M124="","",IFERROR(M124/I124,""))</f>
        <v/>
      </c>
      <c r="O124" s="50">
        <f>IF(A124="","",IFERROR((IF(G124="",I124,G124)-T124)/M124,""))</f>
        <v/>
      </c>
      <c r="P124" s="50">
        <f>IFERROR((I124/T124-1)/N124,"")</f>
        <v/>
      </c>
      <c r="Q124" s="46">
        <f>IF(OR(T124="",I124&lt;T124),"",IFERROR(R124/IF(G124="",I124,G124)-1,""))</f>
        <v/>
      </c>
      <c r="R124" s="48">
        <f>IF($M124="","",MAX(IF($G124="",$I124,$G124)*(1/1.1),IF($G124="",$I124,$G124)+(R$2*$M124)))</f>
        <v/>
      </c>
      <c r="S124" s="49">
        <f>IF($M124="","",MAX(IF($G124="",$I124,$G124)*(1/1.1),IF($G124="",$I124,$G124)+(S$2*$M124)))</f>
        <v/>
      </c>
      <c r="T124" s="82" t="n">
        <v>183.8607989501953</v>
      </c>
      <c r="U124" s="47">
        <f>IF(OR($M124="",$T124=""),"",$T124+(U$2*$M124))</f>
        <v/>
      </c>
      <c r="V124" s="48">
        <f>IF(OR($M124="",$T124=""),"",$T124+(V$2*$M124))</f>
        <v/>
      </c>
      <c r="W124" s="48">
        <f>IF(OR($M124="",$T124=""),"",$T124+(W$2*$M124))</f>
        <v/>
      </c>
      <c r="X124" s="49">
        <f>IF(OR($M124="",$T124=""),"",$T124+(X$2*$M124))</f>
        <v/>
      </c>
      <c r="Y124" s="47">
        <f>IF(OR($M124="",$T124=""),"",$T124+(Y$2*$M124))</f>
        <v/>
      </c>
      <c r="Z124" s="49">
        <f>IF(OR($M124="",$T124=""),"",$T124+(Z$2*$M124))</f>
        <v/>
      </c>
      <c r="AA124" s="51">
        <f>IF(OR($M124="",$T124=""),"",$T124+(AA$2*$M124))</f>
        <v/>
      </c>
      <c r="AB124" s="48">
        <f>IF(OR($M124="",$T124=""),"",$T124+(AB$2*$M124))</f>
        <v/>
      </c>
      <c r="AC124" s="48">
        <f>IF(OR($M124="",$T124=""),"",$T124+(AC$2*$M124))</f>
        <v/>
      </c>
      <c r="AD124" s="48">
        <f>IF(OR($M124="",$T124=""),"",$T124+(AD$2*$M124))</f>
        <v/>
      </c>
      <c r="AE124" s="49">
        <f>IF(OR($M124="",$T124=""),"",$T124+(AE$2*$M124))</f>
        <v/>
      </c>
      <c r="AF124" s="52">
        <f>IF(OR(T124="",I124&lt;T124),"",IFERROR(AVERAGE(T124+M124*{7,8,9,10,11})/IF(G124="",I124,G124)-1,""))</f>
        <v/>
      </c>
      <c r="AG124" s="55">
        <f>IF(OR(T124="",I124&lt;T124),"",IFERROR(AF124/-(R124/IF(G124="",I124,G124)-1),""))</f>
        <v/>
      </c>
      <c r="AH124" s="94" t="n">
        <v>1</v>
      </c>
      <c r="AI124" s="94" t="n">
        <v>126.4346082245979</v>
      </c>
      <c r="AJ124" s="94" t="n">
        <v>1</v>
      </c>
      <c r="AK124" s="94" t="inlineStr">
        <is>
          <t>OTT Up Trend</t>
        </is>
      </c>
      <c r="AL124" s="84" t="inlineStr">
        <is>
          <t>BWX Technologies, Inc.</t>
        </is>
      </c>
      <c r="AM124" t="inlineStr">
        <is>
          <t>Industrials</t>
        </is>
      </c>
      <c r="AN124" t="inlineStr">
        <is>
          <t>Aerospace &amp; Defense</t>
        </is>
      </c>
      <c r="AO124" t="n">
        <v>92</v>
      </c>
    </row>
    <row r="125">
      <c r="A125" s="64" t="inlineStr">
        <is>
          <t>EXPE</t>
        </is>
      </c>
      <c r="B125" s="65" t="n"/>
      <c r="C125" s="66" t="n"/>
      <c r="D125" s="67" t="n"/>
      <c r="E125" s="68" t="n"/>
      <c r="F125" s="47">
        <f>IF(A125="","",IF(MIN(H125,MAX(J125:K125))=0,"",MIN(H125,MAX(J125:K125))))</f>
        <v/>
      </c>
      <c r="G125" s="74" t="n"/>
      <c r="H125" s="49">
        <f>IF(M125="","",IFERROR(ROUND(AVERAGE(T125+M125*{7,8,9,10,11})/1.21,4),""))</f>
        <v/>
      </c>
      <c r="I125" s="76" t="n">
        <v>285.1099853515625</v>
      </c>
      <c r="J125" s="77" t="n">
        <v>291.7723815755274</v>
      </c>
      <c r="K125" s="74" t="n">
        <v>290.3854995727539</v>
      </c>
      <c r="L125" s="78" t="n">
        <v>208.9084502410889</v>
      </c>
      <c r="M125" s="77" t="n">
        <v>8.33724510648471</v>
      </c>
      <c r="N125" s="53">
        <f>IF(M125="","",IFERROR(M125/I125,""))</f>
        <v/>
      </c>
      <c r="O125" s="50">
        <f>IF(A125="","",IFERROR((IF(G125="",I125,G125)-T125)/M125,""))</f>
        <v/>
      </c>
      <c r="P125" s="50">
        <f>IFERROR((I125/T125-1)/N125,"")</f>
        <v/>
      </c>
      <c r="Q125" s="46">
        <f>IF(OR(T125="",I125&lt;T125),"",IFERROR(R125/IF(G125="",I125,G125)-1,""))</f>
        <v/>
      </c>
      <c r="R125" s="48">
        <f>IF($M125="","",MAX(IF($G125="",$I125,$G125)*(1/1.1),IF($G125="",$I125,$G125)+(R$2*$M125)))</f>
        <v/>
      </c>
      <c r="S125" s="49">
        <f>IF($M125="","",MAX(IF($G125="",$I125,$G125)*(1/1.1),IF($G125="",$I125,$G125)+(S$2*$M125)))</f>
        <v/>
      </c>
      <c r="T125" s="82" t="n">
        <v>271.5748013305664</v>
      </c>
      <c r="U125" s="47">
        <f>IF(OR($M125="",$T125=""),"",$T125+(U$2*$M125))</f>
        <v/>
      </c>
      <c r="V125" s="48">
        <f>IF(OR($M125="",$T125=""),"",$T125+(V$2*$M125))</f>
        <v/>
      </c>
      <c r="W125" s="48">
        <f>IF(OR($M125="",$T125=""),"",$T125+(W$2*$M125))</f>
        <v/>
      </c>
      <c r="X125" s="49">
        <f>IF(OR($M125="",$T125=""),"",$T125+(X$2*$M125))</f>
        <v/>
      </c>
      <c r="Y125" s="47">
        <f>IF(OR($M125="",$T125=""),"",$T125+(Y$2*$M125))</f>
        <v/>
      </c>
      <c r="Z125" s="49">
        <f>IF(OR($M125="",$T125=""),"",$T125+(Z$2*$M125))</f>
        <v/>
      </c>
      <c r="AA125" s="51">
        <f>IF(OR($M125="",$T125=""),"",$T125+(AA$2*$M125))</f>
        <v/>
      </c>
      <c r="AB125" s="48">
        <f>IF(OR($M125="",$T125=""),"",$T125+(AB$2*$M125))</f>
        <v/>
      </c>
      <c r="AC125" s="48">
        <f>IF(OR($M125="",$T125=""),"",$T125+(AC$2*$M125))</f>
        <v/>
      </c>
      <c r="AD125" s="48">
        <f>IF(OR($M125="",$T125=""),"",$T125+(AD$2*$M125))</f>
        <v/>
      </c>
      <c r="AE125" s="49">
        <f>IF(OR($M125="",$T125=""),"",$T125+(AE$2*$M125))</f>
        <v/>
      </c>
      <c r="AF125" s="52">
        <f>IF(OR(T125="",I125&lt;T125),"",IFERROR(AVERAGE(T125+M125*{7,8,9,10,11})/IF(G125="",I125,G125)-1,""))</f>
        <v/>
      </c>
      <c r="AG125" s="55">
        <f>IF(OR(T125="",I125&lt;T125),"",IFERROR(AF125/-(R125/IF(G125="",I125,G125)-1),""))</f>
        <v/>
      </c>
      <c r="AH125" s="94" t="n">
        <v>1</v>
      </c>
      <c r="AI125" s="94" t="n">
        <v>77.53026052588278</v>
      </c>
      <c r="AJ125" s="94" t="n">
        <v>0</v>
      </c>
      <c r="AK125" s="94" t="inlineStr">
        <is>
          <t>OTT Up Trend</t>
        </is>
      </c>
      <c r="AL125" s="84" t="inlineStr">
        <is>
          <t>Expedia Group, Inc.</t>
        </is>
      </c>
      <c r="AM125" t="inlineStr">
        <is>
          <t>Consumer Cyclical</t>
        </is>
      </c>
      <c r="AN125" t="inlineStr">
        <is>
          <t>Travel Services</t>
        </is>
      </c>
      <c r="AO125" t="n">
        <v>92</v>
      </c>
    </row>
    <row r="126">
      <c r="A126" s="64" t="inlineStr">
        <is>
          <t>PTGX</t>
        </is>
      </c>
      <c r="B126" s="65" t="n"/>
      <c r="C126" s="66" t="n"/>
      <c r="D126" s="67" t="n"/>
      <c r="E126" s="68" t="n"/>
      <c r="F126" s="47">
        <f>IF(A126="","",IF(MIN(H126,MAX(J126:K126))=0,"",MIN(H126,MAX(J126:K126))))</f>
        <v/>
      </c>
      <c r="G126" s="74" t="n"/>
      <c r="H126" s="49">
        <f>IF(M126="","",IFERROR(ROUND(AVERAGE(T126+M126*{7,8,9,10,11})/1.21,4),""))</f>
        <v/>
      </c>
      <c r="I126" s="76" t="n">
        <v>81.98999786376953</v>
      </c>
      <c r="J126" s="77" t="n">
        <v>83.27849893233638</v>
      </c>
      <c r="K126" s="74" t="n">
        <v>84.90499992370606</v>
      </c>
      <c r="L126" s="78" t="n">
        <v>63.57349992752075</v>
      </c>
      <c r="M126" s="77" t="n">
        <v>3.124914816362624</v>
      </c>
      <c r="N126" s="53">
        <f>IF(M126="","",IFERROR(M126/I126,""))</f>
        <v/>
      </c>
      <c r="O126" s="50">
        <f>IF(A126="","",IFERROR((IF(G126="",I126,G126)-T126)/M126,""))</f>
        <v/>
      </c>
      <c r="P126" s="50">
        <f>IFERROR((I126/T126-1)/N126,"")</f>
        <v/>
      </c>
      <c r="Q126" s="46">
        <f>IF(OR(T126="",I126&lt;T126),"",IFERROR(R126/IF(G126="",I126,G126)-1,""))</f>
        <v/>
      </c>
      <c r="R126" s="48">
        <f>IF($M126="","",MAX(IF($G126="",$I126,$G126)*(1/1.1),IF($G126="",$I126,$G126)+(R$2*$M126)))</f>
        <v/>
      </c>
      <c r="S126" s="49">
        <f>IF($M126="","",MAX(IF($G126="",$I126,$G126)*(1/1.1),IF($G126="",$I126,$G126)+(S$2*$M126)))</f>
        <v/>
      </c>
      <c r="T126" s="82" t="n">
        <v>86.10199966430665</v>
      </c>
      <c r="U126" s="47">
        <f>IF(OR($M126="",$T126=""),"",$T126+(U$2*$M126))</f>
        <v/>
      </c>
      <c r="V126" s="48">
        <f>IF(OR($M126="",$T126=""),"",$T126+(V$2*$M126))</f>
        <v/>
      </c>
      <c r="W126" s="48">
        <f>IF(OR($M126="",$T126=""),"",$T126+(W$2*$M126))</f>
        <v/>
      </c>
      <c r="X126" s="49">
        <f>IF(OR($M126="",$T126=""),"",$T126+(X$2*$M126))</f>
        <v/>
      </c>
      <c r="Y126" s="47">
        <f>IF(OR($M126="",$T126=""),"",$T126+(Y$2*$M126))</f>
        <v/>
      </c>
      <c r="Z126" s="49">
        <f>IF(OR($M126="",$T126=""),"",$T126+(Z$2*$M126))</f>
        <v/>
      </c>
      <c r="AA126" s="51">
        <f>IF(OR($M126="",$T126=""),"",$T126+(AA$2*$M126))</f>
        <v/>
      </c>
      <c r="AB126" s="48">
        <f>IF(OR($M126="",$T126=""),"",$T126+(AB$2*$M126))</f>
        <v/>
      </c>
      <c r="AC126" s="48">
        <f>IF(OR($M126="",$T126=""),"",$T126+(AC$2*$M126))</f>
        <v/>
      </c>
      <c r="AD126" s="48">
        <f>IF(OR($M126="",$T126=""),"",$T126+(AD$2*$M126))</f>
        <v/>
      </c>
      <c r="AE126" s="49">
        <f>IF(OR($M126="",$T126=""),"",$T126+(AE$2*$M126))</f>
        <v/>
      </c>
      <c r="AF126" s="52">
        <f>IF(OR(T126="",I126&lt;T126),"",IFERROR(AVERAGE(T126+M126*{7,8,9,10,11})/IF(G126="",I126,G126)-1,""))</f>
        <v/>
      </c>
      <c r="AG126" s="55">
        <f>IF(OR(T126="",I126&lt;T126),"",IFERROR(AF126/-(R126/IF(G126="",I126,G126)-1),""))</f>
        <v/>
      </c>
      <c r="AH126" s="94" t="n">
        <v>-1</v>
      </c>
      <c r="AI126" s="94" t="n">
        <v>-38.88693121860679</v>
      </c>
      <c r="AJ126" s="94" t="n">
        <v>0</v>
      </c>
      <c r="AK126" s="94" t="inlineStr">
        <is>
          <t>None</t>
        </is>
      </c>
      <c r="AL126" s="84" t="inlineStr">
        <is>
          <t>Protagonist Therapeutics, Inc.</t>
        </is>
      </c>
      <c r="AM126" t="inlineStr">
        <is>
          <t>Healthcare</t>
        </is>
      </c>
      <c r="AN126" t="inlineStr">
        <is>
          <t>Biotechnology</t>
        </is>
      </c>
      <c r="AO126" t="n">
        <v>91</v>
      </c>
    </row>
    <row r="127">
      <c r="A127" s="64" t="inlineStr">
        <is>
          <t>YETI</t>
        </is>
      </c>
      <c r="B127" s="65" t="n"/>
      <c r="C127" s="66" t="n"/>
      <c r="D127" s="67" t="n"/>
      <c r="E127" s="68" t="n"/>
      <c r="F127" s="47">
        <f>IF(A127="","",IF(MIN(H127,MAX(J127:K127))=0,"",MIN(H127,MAX(J127:K127))))</f>
        <v/>
      </c>
      <c r="G127" s="74" t="n"/>
      <c r="H127" s="49">
        <f>IF(M127="","",IFERROR(ROUND(AVERAGE(T127+M127*{7,8,9,10,11})/1.21,4),""))</f>
        <v/>
      </c>
      <c r="I127" s="76" t="n">
        <v>50.77000045776367</v>
      </c>
      <c r="J127" s="77" t="n">
        <v>48.67872367276774</v>
      </c>
      <c r="K127" s="74" t="n">
        <v>46.79500007629395</v>
      </c>
      <c r="L127" s="78" t="n">
        <v>35.28900005340576</v>
      </c>
      <c r="M127" s="77" t="n">
        <v>1.519949262161495</v>
      </c>
      <c r="N127" s="53">
        <f>IF(M127="","",IFERROR(M127/I127,""))</f>
        <v/>
      </c>
      <c r="O127" s="50">
        <f>IF(A127="","",IFERROR((IF(G127="",I127,G127)-T127)/M127,""))</f>
        <v/>
      </c>
      <c r="P127" s="50">
        <f>IFERROR((I127/T127-1)/N127,"")</f>
        <v/>
      </c>
      <c r="Q127" s="46">
        <f>IF(OR(T127="",I127&lt;T127),"",IFERROR(R127/IF(G127="",I127,G127)-1,""))</f>
        <v/>
      </c>
      <c r="R127" s="48">
        <f>IF($M127="","",MAX(IF($G127="",$I127,$G127)*(1/1.1),IF($G127="",$I127,$G127)+(R$2*$M127)))</f>
        <v/>
      </c>
      <c r="S127" s="49">
        <f>IF($M127="","",MAX(IF($G127="",$I127,$G127)*(1/1.1),IF($G127="",$I127,$G127)+(S$2*$M127)))</f>
        <v/>
      </c>
      <c r="T127" s="82" t="n">
        <v>42.80879997253418</v>
      </c>
      <c r="U127" s="47">
        <f>IF(OR($M127="",$T127=""),"",$T127+(U$2*$M127))</f>
        <v/>
      </c>
      <c r="V127" s="48">
        <f>IF(OR($M127="",$T127=""),"",$T127+(V$2*$M127))</f>
        <v/>
      </c>
      <c r="W127" s="48">
        <f>IF(OR($M127="",$T127=""),"",$T127+(W$2*$M127))</f>
        <v/>
      </c>
      <c r="X127" s="49">
        <f>IF(OR($M127="",$T127=""),"",$T127+(X$2*$M127))</f>
        <v/>
      </c>
      <c r="Y127" s="47">
        <f>IF(OR($M127="",$T127=""),"",$T127+(Y$2*$M127))</f>
        <v/>
      </c>
      <c r="Z127" s="49">
        <f>IF(OR($M127="",$T127=""),"",$T127+(Z$2*$M127))</f>
        <v/>
      </c>
      <c r="AA127" s="51">
        <f>IF(OR($M127="",$T127=""),"",$T127+(AA$2*$M127))</f>
        <v/>
      </c>
      <c r="AB127" s="48">
        <f>IF(OR($M127="",$T127=""),"",$T127+(AB$2*$M127))</f>
        <v/>
      </c>
      <c r="AC127" s="48">
        <f>IF(OR($M127="",$T127=""),"",$T127+(AC$2*$M127))</f>
        <v/>
      </c>
      <c r="AD127" s="48">
        <f>IF(OR($M127="",$T127=""),"",$T127+(AD$2*$M127))</f>
        <v/>
      </c>
      <c r="AE127" s="49">
        <f>IF(OR($M127="",$T127=""),"",$T127+(AE$2*$M127))</f>
        <v/>
      </c>
      <c r="AF127" s="52">
        <f>IF(OR(T127="",I127&lt;T127),"",IFERROR(AVERAGE(T127+M127*{7,8,9,10,11})/IF(G127="",I127,G127)-1,""))</f>
        <v/>
      </c>
      <c r="AG127" s="55">
        <f>IF(OR(T127="",I127&lt;T127),"",IFERROR(AF127/-(R127/IF(G127="",I127,G127)-1),""))</f>
        <v/>
      </c>
      <c r="AH127" s="94" t="n">
        <v>1</v>
      </c>
      <c r="AI127" s="94" t="n">
        <v>141.8047934152836</v>
      </c>
      <c r="AJ127" s="94" t="n">
        <v>1</v>
      </c>
      <c r="AK127" s="94" t="inlineStr">
        <is>
          <t>OTT Up Trend</t>
        </is>
      </c>
      <c r="AL127" s="84" t="inlineStr">
        <is>
          <t>YETI Holdings, Inc.</t>
        </is>
      </c>
      <c r="AM127" t="inlineStr">
        <is>
          <t>Consumer Cyclical</t>
        </is>
      </c>
      <c r="AN127" t="inlineStr">
        <is>
          <t>Leisure</t>
        </is>
      </c>
      <c r="AO127" t="n">
        <v>91</v>
      </c>
    </row>
    <row r="128">
      <c r="A128" s="64" t="inlineStr">
        <is>
          <t>MYRG</t>
        </is>
      </c>
      <c r="B128" s="65" t="n"/>
      <c r="C128" s="66" t="n"/>
      <c r="D128" s="67" t="n"/>
      <c r="E128" s="68" t="n"/>
      <c r="F128" s="47">
        <f>IF(A128="","",IF(MIN(H128,MAX(J128:K128))=0,"",MIN(H128,MAX(J128:K128))))</f>
        <v/>
      </c>
      <c r="G128" s="74" t="n"/>
      <c r="H128" s="49">
        <f>IF(M128="","",IFERROR(ROUND(AVERAGE(T128+M128*{7,8,9,10,11})/1.21,4),""))</f>
        <v/>
      </c>
      <c r="I128" s="76" t="n">
        <v>250.3699951171875</v>
      </c>
      <c r="J128" s="77" t="n">
        <v>234.4019302471329</v>
      </c>
      <c r="K128" s="74" t="n">
        <v>228.1605003356934</v>
      </c>
      <c r="L128" s="78" t="n">
        <v>187.1338998031616</v>
      </c>
      <c r="M128" s="77" t="n">
        <v>10.17134681502378</v>
      </c>
      <c r="N128" s="53">
        <f>IF(M128="","",IFERROR(M128/I128,""))</f>
        <v/>
      </c>
      <c r="O128" s="50">
        <f>IF(A128="","",IFERROR((IF(G128="",I128,G128)-T128)/M128,""))</f>
        <v/>
      </c>
      <c r="P128" s="50">
        <f>IFERROR((I128/T128-1)/N128,"")</f>
        <v/>
      </c>
      <c r="Q128" s="46">
        <f>IF(OR(T128="",I128&lt;T128),"",IFERROR(R128/IF(G128="",I128,G128)-1,""))</f>
        <v/>
      </c>
      <c r="R128" s="48">
        <f>IF($M128="","",MAX(IF($G128="",$I128,$G128)*(1/1.1),IF($G128="",$I128,$G128)+(R$2*$M128)))</f>
        <v/>
      </c>
      <c r="S128" s="49">
        <f>IF($M128="","",MAX(IF($G128="",$I128,$G128)*(1/1.1),IF($G128="",$I128,$G128)+(S$2*$M128)))</f>
        <v/>
      </c>
      <c r="T128" s="82" t="n">
        <v>224.9523992919922</v>
      </c>
      <c r="U128" s="47">
        <f>IF(OR($M128="",$T128=""),"",$T128+(U$2*$M128))</f>
        <v/>
      </c>
      <c r="V128" s="48">
        <f>IF(OR($M128="",$T128=""),"",$T128+(V$2*$M128))</f>
        <v/>
      </c>
      <c r="W128" s="48">
        <f>IF(OR($M128="",$T128=""),"",$T128+(W$2*$M128))</f>
        <v/>
      </c>
      <c r="X128" s="49">
        <f>IF(OR($M128="",$T128=""),"",$T128+(X$2*$M128))</f>
        <v/>
      </c>
      <c r="Y128" s="47">
        <f>IF(OR($M128="",$T128=""),"",$T128+(Y$2*$M128))</f>
        <v/>
      </c>
      <c r="Z128" s="49">
        <f>IF(OR($M128="",$T128=""),"",$T128+(Z$2*$M128))</f>
        <v/>
      </c>
      <c r="AA128" s="51">
        <f>IF(OR($M128="",$T128=""),"",$T128+(AA$2*$M128))</f>
        <v/>
      </c>
      <c r="AB128" s="48">
        <f>IF(OR($M128="",$T128=""),"",$T128+(AB$2*$M128))</f>
        <v/>
      </c>
      <c r="AC128" s="48">
        <f>IF(OR($M128="",$T128=""),"",$T128+(AC$2*$M128))</f>
        <v/>
      </c>
      <c r="AD128" s="48">
        <f>IF(OR($M128="",$T128=""),"",$T128+(AD$2*$M128))</f>
        <v/>
      </c>
      <c r="AE128" s="49">
        <f>IF(OR($M128="",$T128=""),"",$T128+(AE$2*$M128))</f>
        <v/>
      </c>
      <c r="AF128" s="52">
        <f>IF(OR(T128="",I128&lt;T128),"",IFERROR(AVERAGE(T128+M128*{7,8,9,10,11})/IF(G128="",I128,G128)-1,""))</f>
        <v/>
      </c>
      <c r="AG128" s="55">
        <f>IF(OR(T128="",I128&lt;T128),"",IFERROR(AF128/-(R128/IF(G128="",I128,G128)-1),""))</f>
        <v/>
      </c>
      <c r="AH128" s="94" t="n">
        <v>1</v>
      </c>
      <c r="AI128" s="94" t="n">
        <v>47.08970318707657</v>
      </c>
      <c r="AJ128" s="94" t="n">
        <v>1</v>
      </c>
      <c r="AK128" s="94" t="inlineStr">
        <is>
          <t>OTT Up Trend</t>
        </is>
      </c>
      <c r="AL128" s="84" t="inlineStr">
        <is>
          <t>MYR Group, Inc.</t>
        </is>
      </c>
      <c r="AM128" t="inlineStr">
        <is>
          <t>Industrials</t>
        </is>
      </c>
      <c r="AN128" t="inlineStr">
        <is>
          <t>Engineering &amp; Construction</t>
        </is>
      </c>
      <c r="AO128" t="n">
        <v>91</v>
      </c>
    </row>
    <row r="129">
      <c r="A129" s="64" t="inlineStr">
        <is>
          <t>MOG-A</t>
        </is>
      </c>
      <c r="B129" s="65" t="n"/>
      <c r="C129" s="66" t="n"/>
      <c r="D129" s="67" t="n"/>
      <c r="E129" s="68" t="n"/>
      <c r="F129" s="47">
        <f>IF(A129="","",IF(MIN(H129,MAX(J129:K129))=0,"",MIN(H129,MAX(J129:K129))))</f>
        <v/>
      </c>
      <c r="G129" s="74" t="n"/>
      <c r="H129" s="49">
        <f>IF(M129="","",IFERROR(ROUND(AVERAGE(T129+M129*{7,8,9,10,11})/1.21,4),""))</f>
        <v/>
      </c>
      <c r="I129" s="76" t="n">
        <v>290.7999877929688</v>
      </c>
      <c r="J129" s="77" t="n">
        <v>275.4952505726287</v>
      </c>
      <c r="K129" s="74" t="n">
        <v>260.6204978942871</v>
      </c>
      <c r="L129" s="78" t="n">
        <v>200.4151997375488</v>
      </c>
      <c r="M129" s="77" t="n">
        <v>6.205857524123601</v>
      </c>
      <c r="N129" s="53">
        <f>IF(M129="","",IFERROR(M129/I129,""))</f>
        <v/>
      </c>
      <c r="O129" s="50">
        <f>IF(A129="","",IFERROR((IF(G129="",I129,G129)-T129)/M129,""))</f>
        <v/>
      </c>
      <c r="P129" s="50">
        <f>IFERROR((I129/T129-1)/N129,"")</f>
        <v/>
      </c>
      <c r="Q129" s="46">
        <f>IF(OR(T129="",I129&lt;T129),"",IFERROR(R129/IF(G129="",I129,G129)-1,""))</f>
        <v/>
      </c>
      <c r="R129" s="48">
        <f>IF($M129="","",MAX(IF($G129="",$I129,$G129)*(1/1.1),IF($G129="",$I129,$G129)+(R$2*$M129)))</f>
        <v/>
      </c>
      <c r="S129" s="49">
        <f>IF($M129="","",MAX(IF($G129="",$I129,$G129)*(1/1.1),IF($G129="",$I129,$G129)+(S$2*$M129)))</f>
        <v/>
      </c>
      <c r="T129" s="82" t="n">
        <v>236.726598815918</v>
      </c>
      <c r="U129" s="47">
        <f>IF(OR($M129="",$T129=""),"",$T129+(U$2*$M129))</f>
        <v/>
      </c>
      <c r="V129" s="48">
        <f>IF(OR($M129="",$T129=""),"",$T129+(V$2*$M129))</f>
        <v/>
      </c>
      <c r="W129" s="48">
        <f>IF(OR($M129="",$T129=""),"",$T129+(W$2*$M129))</f>
        <v/>
      </c>
      <c r="X129" s="49">
        <f>IF(OR($M129="",$T129=""),"",$T129+(X$2*$M129))</f>
        <v/>
      </c>
      <c r="Y129" s="47">
        <f>IF(OR($M129="",$T129=""),"",$T129+(Y$2*$M129))</f>
        <v/>
      </c>
      <c r="Z129" s="49">
        <f>IF(OR($M129="",$T129=""),"",$T129+(Z$2*$M129))</f>
        <v/>
      </c>
      <c r="AA129" s="51">
        <f>IF(OR($M129="",$T129=""),"",$T129+(AA$2*$M129))</f>
        <v/>
      </c>
      <c r="AB129" s="48">
        <f>IF(OR($M129="",$T129=""),"",$T129+(AB$2*$M129))</f>
        <v/>
      </c>
      <c r="AC129" s="48">
        <f>IF(OR($M129="",$T129=""),"",$T129+(AC$2*$M129))</f>
        <v/>
      </c>
      <c r="AD129" s="48">
        <f>IF(OR($M129="",$T129=""),"",$T129+(AD$2*$M129))</f>
        <v/>
      </c>
      <c r="AE129" s="49">
        <f>IF(OR($M129="",$T129=""),"",$T129+(AE$2*$M129))</f>
        <v/>
      </c>
      <c r="AF129" s="52">
        <f>IF(OR(T129="",I129&lt;T129),"",IFERROR(AVERAGE(T129+M129*{7,8,9,10,11})/IF(G129="",I129,G129)-1,""))</f>
        <v/>
      </c>
      <c r="AG129" s="55">
        <f>IF(OR(T129="",I129&lt;T129),"",IFERROR(AF129/-(R129/IF(G129="",I129,G129)-1),""))</f>
        <v/>
      </c>
      <c r="AH129" s="94" t="n">
        <v>1</v>
      </c>
      <c r="AI129" s="94" t="n">
        <v>232.4561325375961</v>
      </c>
      <c r="AJ129" s="94" t="n">
        <v>1</v>
      </c>
      <c r="AK129" s="94" t="inlineStr">
        <is>
          <t>OTT Up Trend</t>
        </is>
      </c>
      <c r="AL129" s="84" t="inlineStr">
        <is>
          <t>Moog Inc.</t>
        </is>
      </c>
      <c r="AM129" t="inlineStr">
        <is>
          <t>Industrials</t>
        </is>
      </c>
      <c r="AN129" t="inlineStr">
        <is>
          <t>Aerospace &amp; Defense</t>
        </is>
      </c>
      <c r="AO129" t="inlineStr">
        <is>
          <t>Nil</t>
        </is>
      </c>
    </row>
    <row r="130">
      <c r="A130" s="64" t="inlineStr">
        <is>
          <t>APP</t>
        </is>
      </c>
      <c r="B130" s="65" t="n"/>
      <c r="C130" s="66" t="n"/>
      <c r="D130" s="67" t="n"/>
      <c r="E130" s="68" t="n"/>
      <c r="F130" s="47">
        <f>IF(A130="","",IF(MIN(H130,MAX(J130:K130))=0,"",MIN(H130,MAX(J130:K130))))</f>
        <v/>
      </c>
      <c r="G130" s="74" t="n"/>
      <c r="H130" s="49">
        <f>IF(M130="","",IFERROR(ROUND(AVERAGE(T130+M130*{7,8,9,10,11})/1.21,4),""))</f>
        <v/>
      </c>
      <c r="I130" s="76" t="n">
        <v>568.760009765625</v>
      </c>
      <c r="J130" s="77" t="n">
        <v>627.4857988087091</v>
      </c>
      <c r="K130" s="74" t="n">
        <v>663.6149993896485</v>
      </c>
      <c r="L130" s="78" t="n">
        <v>482.7197503662109</v>
      </c>
      <c r="M130" s="77" t="n">
        <v>37.99837951287464</v>
      </c>
      <c r="N130" s="53">
        <f>IF(M130="","",IFERROR(M130/I130,""))</f>
        <v/>
      </c>
      <c r="O130" s="50">
        <f>IF(A130="","",IFERROR((IF(G130="",I130,G130)-T130)/M130,""))</f>
        <v/>
      </c>
      <c r="P130" s="50">
        <f>IFERROR((I130/T130-1)/N130,"")</f>
        <v/>
      </c>
      <c r="Q130" s="46">
        <f>IF(OR(T130="",I130&lt;T130),"",IFERROR(R130/IF(G130="",I130,G130)-1,""))</f>
        <v/>
      </c>
      <c r="R130" s="48">
        <f>IF($M130="","",MAX(IF($G130="",$I130,$G130)*(1/1.1),IF($G130="",$I130,$G130)+(R$2*$M130)))</f>
        <v/>
      </c>
      <c r="S130" s="49">
        <f>IF($M130="","",MAX(IF($G130="",$I130,$G130)*(1/1.1),IF($G130="",$I130,$G130)+(S$2*$M130)))</f>
        <v/>
      </c>
      <c r="T130" s="82" t="n">
        <v>636.8619006347657</v>
      </c>
      <c r="U130" s="47">
        <f>IF(OR($M130="",$T130=""),"",$T130+(U$2*$M130))</f>
        <v/>
      </c>
      <c r="V130" s="48">
        <f>IF(OR($M130="",$T130=""),"",$T130+(V$2*$M130))</f>
        <v/>
      </c>
      <c r="W130" s="48">
        <f>IF(OR($M130="",$T130=""),"",$T130+(W$2*$M130))</f>
        <v/>
      </c>
      <c r="X130" s="49">
        <f>IF(OR($M130="",$T130=""),"",$T130+(X$2*$M130))</f>
        <v/>
      </c>
      <c r="Y130" s="47">
        <f>IF(OR($M130="",$T130=""),"",$T130+(Y$2*$M130))</f>
        <v/>
      </c>
      <c r="Z130" s="49">
        <f>IF(OR($M130="",$T130=""),"",$T130+(Z$2*$M130))</f>
        <v/>
      </c>
      <c r="AA130" s="51">
        <f>IF(OR($M130="",$T130=""),"",$T130+(AA$2*$M130))</f>
        <v/>
      </c>
      <c r="AB130" s="48">
        <f>IF(OR($M130="",$T130=""),"",$T130+(AB$2*$M130))</f>
        <v/>
      </c>
      <c r="AC130" s="48">
        <f>IF(OR($M130="",$T130=""),"",$T130+(AC$2*$M130))</f>
        <v/>
      </c>
      <c r="AD130" s="48">
        <f>IF(OR($M130="",$T130=""),"",$T130+(AD$2*$M130))</f>
        <v/>
      </c>
      <c r="AE130" s="49">
        <f>IF(OR($M130="",$T130=""),"",$T130+(AE$2*$M130))</f>
        <v/>
      </c>
      <c r="AF130" s="52">
        <f>IF(OR(T130="",I130&lt;T130),"",IFERROR(AVERAGE(T130+M130*{7,8,9,10,11})/IF(G130="",I130,G130)-1,""))</f>
        <v/>
      </c>
      <c r="AG130" s="55">
        <f>IF(OR(T130="",I130&lt;T130),"",IFERROR(AF130/-(R130/IF(G130="",I130,G130)-1),""))</f>
        <v/>
      </c>
      <c r="AH130" s="94" t="n">
        <v>-1</v>
      </c>
      <c r="AI130" s="94" t="n">
        <v>-37.6119302961701</v>
      </c>
      <c r="AJ130" s="94" t="n">
        <v>0</v>
      </c>
      <c r="AK130" s="94" t="inlineStr">
        <is>
          <t>None</t>
        </is>
      </c>
      <c r="AL130" s="84" t="inlineStr">
        <is>
          <t>Applovin Corporation</t>
        </is>
      </c>
      <c r="AM130" t="inlineStr">
        <is>
          <t>Communication Services</t>
        </is>
      </c>
      <c r="AN130" t="inlineStr">
        <is>
          <t>Advertising Agencies</t>
        </is>
      </c>
      <c r="AO130" t="n">
        <v>91</v>
      </c>
    </row>
    <row r="131">
      <c r="A131" s="64" t="inlineStr">
        <is>
          <t>HP</t>
        </is>
      </c>
      <c r="B131" s="65" t="n"/>
      <c r="C131" s="66" t="n"/>
      <c r="D131" s="67" t="n"/>
      <c r="E131" s="68" t="n"/>
      <c r="F131" s="47">
        <f>IF(A131="","",IF(MIN(H131,MAX(J131:K131))=0,"",MIN(H131,MAX(J131:K131))))</f>
        <v/>
      </c>
      <c r="G131" s="74" t="n"/>
      <c r="H131" s="49">
        <f>IF(M131="","",IFERROR(ROUND(AVERAGE(T131+M131*{7,8,9,10,11})/1.21,4),""))</f>
        <v/>
      </c>
      <c r="I131" s="76" t="n">
        <v>32.38000106811523</v>
      </c>
      <c r="J131" s="77" t="n">
        <v>31.25925961061106</v>
      </c>
      <c r="K131" s="74" t="n">
        <v>29.86700010299683</v>
      </c>
      <c r="L131" s="78" t="n">
        <v>21.66624997615814</v>
      </c>
      <c r="M131" s="77" t="n">
        <v>1.161911038503302</v>
      </c>
      <c r="N131" s="53">
        <f>IF(M131="","",IFERROR(M131/I131,""))</f>
        <v/>
      </c>
      <c r="O131" s="50">
        <f>IF(A131="","",IFERROR((IF(G131="",I131,G131)-T131)/M131,""))</f>
        <v/>
      </c>
      <c r="P131" s="50">
        <f>IFERROR((I131/T131-1)/N131,"")</f>
        <v/>
      </c>
      <c r="Q131" s="46">
        <f>IF(OR(T131="",I131&lt;T131),"",IFERROR(R131/IF(G131="",I131,G131)-1,""))</f>
        <v/>
      </c>
      <c r="R131" s="48">
        <f>IF($M131="","",MAX(IF($G131="",$I131,$G131)*(1/1.1),IF($G131="",$I131,$G131)+(R$2*$M131)))</f>
        <v/>
      </c>
      <c r="S131" s="49">
        <f>IF($M131="","",MAX(IF($G131="",$I131,$G131)*(1/1.1),IF($G131="",$I131,$G131)+(S$2*$M131)))</f>
        <v/>
      </c>
      <c r="T131" s="82" t="n">
        <v>28.7626000213623</v>
      </c>
      <c r="U131" s="47">
        <f>IF(OR($M131="",$T131=""),"",$T131+(U$2*$M131))</f>
        <v/>
      </c>
      <c r="V131" s="48">
        <f>IF(OR($M131="",$T131=""),"",$T131+(V$2*$M131))</f>
        <v/>
      </c>
      <c r="W131" s="48">
        <f>IF(OR($M131="",$T131=""),"",$T131+(W$2*$M131))</f>
        <v/>
      </c>
      <c r="X131" s="49">
        <f>IF(OR($M131="",$T131=""),"",$T131+(X$2*$M131))</f>
        <v/>
      </c>
      <c r="Y131" s="47">
        <f>IF(OR($M131="",$T131=""),"",$T131+(Y$2*$M131))</f>
        <v/>
      </c>
      <c r="Z131" s="49">
        <f>IF(OR($M131="",$T131=""),"",$T131+(Z$2*$M131))</f>
        <v/>
      </c>
      <c r="AA131" s="51">
        <f>IF(OR($M131="",$T131=""),"",$T131+(AA$2*$M131))</f>
        <v/>
      </c>
      <c r="AB131" s="48">
        <f>IF(OR($M131="",$T131=""),"",$T131+(AB$2*$M131))</f>
        <v/>
      </c>
      <c r="AC131" s="48">
        <f>IF(OR($M131="",$T131=""),"",$T131+(AC$2*$M131))</f>
        <v/>
      </c>
      <c r="AD131" s="48">
        <f>IF(OR($M131="",$T131=""),"",$T131+(AD$2*$M131))</f>
        <v/>
      </c>
      <c r="AE131" s="49">
        <f>IF(OR($M131="",$T131=""),"",$T131+(AE$2*$M131))</f>
        <v/>
      </c>
      <c r="AF131" s="52">
        <f>IF(OR(T131="",I131&lt;T131),"",IFERROR(AVERAGE(T131+M131*{7,8,9,10,11})/IF(G131="",I131,G131)-1,""))</f>
        <v/>
      </c>
      <c r="AG131" s="55">
        <f>IF(OR(T131="",I131&lt;T131),"",IFERROR(AF131/-(R131/IF(G131="",I131,G131)-1),""))</f>
        <v/>
      </c>
      <c r="AH131" s="94" t="n">
        <v>1</v>
      </c>
      <c r="AI131" s="94" t="n">
        <v>90.63947688524235</v>
      </c>
      <c r="AJ131" s="94" t="n">
        <v>1</v>
      </c>
      <c r="AK131" s="94" t="inlineStr">
        <is>
          <t>OTT Up Trend</t>
        </is>
      </c>
      <c r="AL131" s="84" t="inlineStr">
        <is>
          <t>Helmerich &amp; Payne, Inc.</t>
        </is>
      </c>
      <c r="AM131" t="inlineStr">
        <is>
          <t>Energy</t>
        </is>
      </c>
      <c r="AN131" t="inlineStr">
        <is>
          <t>Oil &amp; Gas Drilling</t>
        </is>
      </c>
      <c r="AO131" t="n">
        <v>91</v>
      </c>
    </row>
    <row r="132">
      <c r="A132" s="64" t="inlineStr">
        <is>
          <t>MRNA</t>
        </is>
      </c>
      <c r="B132" s="65" t="n"/>
      <c r="C132" s="66" t="n"/>
      <c r="D132" s="67" t="n"/>
      <c r="E132" s="68" t="n"/>
      <c r="F132" s="47">
        <f>IF(A132="","",IF(MIN(H132,MAX(J132:K132))=0,"",MIN(H132,MAX(J132:K132))))</f>
        <v/>
      </c>
      <c r="G132" s="74" t="n"/>
      <c r="H132" s="49">
        <f>IF(M132="","",IFERROR(ROUND(AVERAGE(T132+M132*{7,8,9,10,11})/1.21,4),""))</f>
        <v/>
      </c>
      <c r="I132" s="76" t="n">
        <v>41.83000183105469</v>
      </c>
      <c r="J132" s="77" t="n">
        <v>37.24903196881714</v>
      </c>
      <c r="K132" s="74" t="n">
        <v>34.24450016021729</v>
      </c>
      <c r="L132" s="78" t="n">
        <v>27.63789995193481</v>
      </c>
      <c r="M132" s="77" t="n">
        <v>2.18513406178062</v>
      </c>
      <c r="N132" s="53">
        <f>IF(M132="","",IFERROR(M132/I132,""))</f>
        <v/>
      </c>
      <c r="O132" s="50">
        <f>IF(A132="","",IFERROR((IF(G132="",I132,G132)-T132)/M132,""))</f>
        <v/>
      </c>
      <c r="P132" s="50">
        <f>IFERROR((I132/T132-1)/N132,"")</f>
        <v/>
      </c>
      <c r="Q132" s="46">
        <f>IF(OR(T132="",I132&lt;T132),"",IFERROR(R132/IF(G132="",I132,G132)-1,""))</f>
        <v/>
      </c>
      <c r="R132" s="48">
        <f>IF($M132="","",MAX(IF($G132="",$I132,$G132)*(1/1.1),IF($G132="",$I132,$G132)+(R$2*$M132)))</f>
        <v/>
      </c>
      <c r="S132" s="49">
        <f>IF($M132="","",MAX(IF($G132="",$I132,$G132)*(1/1.1),IF($G132="",$I132,$G132)+(S$2*$M132)))</f>
        <v/>
      </c>
      <c r="T132" s="82" t="n">
        <v>29.32</v>
      </c>
      <c r="U132" s="47">
        <f>IF(OR($M132="",$T132=""),"",$T132+(U$2*$M132))</f>
        <v/>
      </c>
      <c r="V132" s="48">
        <f>IF(OR($M132="",$T132=""),"",$T132+(V$2*$M132))</f>
        <v/>
      </c>
      <c r="W132" s="48">
        <f>IF(OR($M132="",$T132=""),"",$T132+(W$2*$M132))</f>
        <v/>
      </c>
      <c r="X132" s="49">
        <f>IF(OR($M132="",$T132=""),"",$T132+(X$2*$M132))</f>
        <v/>
      </c>
      <c r="Y132" s="47">
        <f>IF(OR($M132="",$T132=""),"",$T132+(Y$2*$M132))</f>
        <v/>
      </c>
      <c r="Z132" s="49">
        <f>IF(OR($M132="",$T132=""),"",$T132+(Z$2*$M132))</f>
        <v/>
      </c>
      <c r="AA132" s="51">
        <f>IF(OR($M132="",$T132=""),"",$T132+(AA$2*$M132))</f>
        <v/>
      </c>
      <c r="AB132" s="48">
        <f>IF(OR($M132="",$T132=""),"",$T132+(AB$2*$M132))</f>
        <v/>
      </c>
      <c r="AC132" s="48">
        <f>IF(OR($M132="",$T132=""),"",$T132+(AC$2*$M132))</f>
        <v/>
      </c>
      <c r="AD132" s="48">
        <f>IF(OR($M132="",$T132=""),"",$T132+(AD$2*$M132))</f>
        <v/>
      </c>
      <c r="AE132" s="49">
        <f>IF(OR($M132="",$T132=""),"",$T132+(AE$2*$M132))</f>
        <v/>
      </c>
      <c r="AF132" s="52">
        <f>IF(OR(T132="",I132&lt;T132),"",IFERROR(AVERAGE(T132+M132*{7,8,9,10,11})/IF(G132="",I132,G132)-1,""))</f>
        <v/>
      </c>
      <c r="AG132" s="55">
        <f>IF(OR(T132="",I132&lt;T132),"",IFERROR(AF132/-(R132/IF(G132="",I132,G132)-1),""))</f>
        <v/>
      </c>
      <c r="AH132" s="94" t="n">
        <v>1</v>
      </c>
      <c r="AI132" s="94" t="n">
        <v>153.8867135363674</v>
      </c>
      <c r="AJ132" s="94" t="n">
        <v>1</v>
      </c>
      <c r="AK132" s="94" t="inlineStr">
        <is>
          <t>OTT Up Trend</t>
        </is>
      </c>
      <c r="AL132" s="84" t="inlineStr">
        <is>
          <t>Moderna, Inc.</t>
        </is>
      </c>
      <c r="AM132" t="inlineStr">
        <is>
          <t>Healthcare</t>
        </is>
      </c>
      <c r="AN132" t="inlineStr">
        <is>
          <t>Biotechnology</t>
        </is>
      </c>
      <c r="AO132" t="n">
        <v>91</v>
      </c>
    </row>
    <row r="133">
      <c r="A133" s="64" t="inlineStr">
        <is>
          <t>PDFS</t>
        </is>
      </c>
      <c r="B133" s="65" t="n"/>
      <c r="C133" s="66" t="n"/>
      <c r="D133" s="67" t="n"/>
      <c r="E133" s="68" t="n"/>
      <c r="F133" s="47">
        <f>IF(A133="","",IF(MIN(H133,MAX(J133:K133))=0,"",MIN(H133,MAX(J133:K133))))</f>
        <v/>
      </c>
      <c r="G133" s="74" t="n"/>
      <c r="H133" s="49">
        <f>IF(M133="","",IFERROR(ROUND(AVERAGE(T133+M133*{7,8,9,10,11})/1.21,4),""))</f>
        <v/>
      </c>
      <c r="I133" s="76" t="n">
        <v>35.7599983215332</v>
      </c>
      <c r="J133" s="77" t="n">
        <v>32.72326522608129</v>
      </c>
      <c r="K133" s="74" t="n">
        <v>30.68399982452393</v>
      </c>
      <c r="L133" s="78" t="n">
        <v>23.3888000202179</v>
      </c>
      <c r="M133" s="77" t="n">
        <v>1.277307804337306</v>
      </c>
      <c r="N133" s="53">
        <f>IF(M133="","",IFERROR(M133/I133,""))</f>
        <v/>
      </c>
      <c r="O133" s="50">
        <f>IF(A133="","",IFERROR((IF(G133="",I133,G133)-T133)/M133,""))</f>
        <v/>
      </c>
      <c r="P133" s="50">
        <f>IFERROR((I133/T133-1)/N133,"")</f>
        <v/>
      </c>
      <c r="Q133" s="46">
        <f>IF(OR(T133="",I133&lt;T133),"",IFERROR(R133/IF(G133="",I133,G133)-1,""))</f>
        <v/>
      </c>
      <c r="R133" s="48">
        <f>IF($M133="","",MAX(IF($G133="",$I133,$G133)*(1/1.1),IF($G133="",$I133,$G133)+(R$2*$M133)))</f>
        <v/>
      </c>
      <c r="S133" s="49">
        <f>IF($M133="","",MAX(IF($G133="",$I133,$G133)*(1/1.1),IF($G133="",$I133,$G133)+(S$2*$M133)))</f>
        <v/>
      </c>
      <c r="T133" s="82" t="n">
        <v>28.78959999084473</v>
      </c>
      <c r="U133" s="47">
        <f>IF(OR($M133="",$T133=""),"",$T133+(U$2*$M133))</f>
        <v/>
      </c>
      <c r="V133" s="48">
        <f>IF(OR($M133="",$T133=""),"",$T133+(V$2*$M133))</f>
        <v/>
      </c>
      <c r="W133" s="48">
        <f>IF(OR($M133="",$T133=""),"",$T133+(W$2*$M133))</f>
        <v/>
      </c>
      <c r="X133" s="49">
        <f>IF(OR($M133="",$T133=""),"",$T133+(X$2*$M133))</f>
        <v/>
      </c>
      <c r="Y133" s="47">
        <f>IF(OR($M133="",$T133=""),"",$T133+(Y$2*$M133))</f>
        <v/>
      </c>
      <c r="Z133" s="49">
        <f>IF(OR($M133="",$T133=""),"",$T133+(Z$2*$M133))</f>
        <v/>
      </c>
      <c r="AA133" s="51">
        <f>IF(OR($M133="",$T133=""),"",$T133+(AA$2*$M133))</f>
        <v/>
      </c>
      <c r="AB133" s="48">
        <f>IF(OR($M133="",$T133=""),"",$T133+(AB$2*$M133))</f>
        <v/>
      </c>
      <c r="AC133" s="48">
        <f>IF(OR($M133="",$T133=""),"",$T133+(AC$2*$M133))</f>
        <v/>
      </c>
      <c r="AD133" s="48">
        <f>IF(OR($M133="",$T133=""),"",$T133+(AD$2*$M133))</f>
        <v/>
      </c>
      <c r="AE133" s="49">
        <f>IF(OR($M133="",$T133=""),"",$T133+(AE$2*$M133))</f>
        <v/>
      </c>
      <c r="AF133" s="52">
        <f>IF(OR(T133="",I133&lt;T133),"",IFERROR(AVERAGE(T133+M133*{7,8,9,10,11})/IF(G133="",I133,G133)-1,""))</f>
        <v/>
      </c>
      <c r="AG133" s="55">
        <f>IF(OR(T133="",I133&lt;T133),"",IFERROR(AF133/-(R133/IF(G133="",I133,G133)-1),""))</f>
        <v/>
      </c>
      <c r="AH133" s="94" t="n">
        <v>1</v>
      </c>
      <c r="AI133" s="94" t="n">
        <v>122.7021759203641</v>
      </c>
      <c r="AJ133" s="94" t="n">
        <v>1</v>
      </c>
      <c r="AK133" s="94" t="inlineStr">
        <is>
          <t>OTT Up Trend</t>
        </is>
      </c>
      <c r="AL133" s="84" t="inlineStr">
        <is>
          <t>PDF Solutions, Inc.</t>
        </is>
      </c>
      <c r="AM133" t="inlineStr">
        <is>
          <t>Technology</t>
        </is>
      </c>
      <c r="AN133" t="inlineStr">
        <is>
          <t>Software - Application</t>
        </is>
      </c>
      <c r="AO133" t="n">
        <v>91</v>
      </c>
    </row>
    <row r="134">
      <c r="A134" s="64" t="inlineStr">
        <is>
          <t>REZI</t>
        </is>
      </c>
      <c r="B134" s="65" t="n"/>
      <c r="C134" s="66" t="n"/>
      <c r="D134" s="67" t="n"/>
      <c r="E134" s="68" t="n"/>
      <c r="F134" s="47">
        <f>IF(A134="","",IF(MIN(H134,MAX(J134:K134))=0,"",MIN(H134,MAX(J134:K134))))</f>
        <v/>
      </c>
      <c r="G134" s="74" t="n"/>
      <c r="H134" s="49">
        <f>IF(M134="","",IFERROR(ROUND(AVERAGE(T134+M134*{7,8,9,10,11})/1.21,4),""))</f>
        <v/>
      </c>
      <c r="I134" s="76" t="n">
        <v>37.88000106811523</v>
      </c>
      <c r="J134" s="77" t="n">
        <v>37.16163152560545</v>
      </c>
      <c r="K134" s="74" t="n">
        <v>36.2295000076294</v>
      </c>
      <c r="L134" s="78" t="n">
        <v>29.68670005321503</v>
      </c>
      <c r="M134" s="77" t="n">
        <v>1.31184761680762</v>
      </c>
      <c r="N134" s="53">
        <f>IF(M134="","",IFERROR(M134/I134,""))</f>
        <v/>
      </c>
      <c r="O134" s="50">
        <f>IF(A134="","",IFERROR((IF(G134="",I134,G134)-T134)/M134,""))</f>
        <v/>
      </c>
      <c r="P134" s="50">
        <f>IFERROR((I134/T134-1)/N134,"")</f>
        <v/>
      </c>
      <c r="Q134" s="46">
        <f>IF(OR(T134="",I134&lt;T134),"",IFERROR(R134/IF(G134="",I134,G134)-1,""))</f>
        <v/>
      </c>
      <c r="R134" s="48">
        <f>IF($M134="","",MAX(IF($G134="",$I134,$G134)*(1/1.1),IF($G134="",$I134,$G134)+(R$2*$M134)))</f>
        <v/>
      </c>
      <c r="S134" s="49">
        <f>IF($M134="","",MAX(IF($G134="",$I134,$G134)*(1/1.1),IF($G134="",$I134,$G134)+(S$2*$M134)))</f>
        <v/>
      </c>
      <c r="T134" s="82" t="n">
        <v>34.27080009460449</v>
      </c>
      <c r="U134" s="47">
        <f>IF(OR($M134="",$T134=""),"",$T134+(U$2*$M134))</f>
        <v/>
      </c>
      <c r="V134" s="48">
        <f>IF(OR($M134="",$T134=""),"",$T134+(V$2*$M134))</f>
        <v/>
      </c>
      <c r="W134" s="48">
        <f>IF(OR($M134="",$T134=""),"",$T134+(W$2*$M134))</f>
        <v/>
      </c>
      <c r="X134" s="49">
        <f>IF(OR($M134="",$T134=""),"",$T134+(X$2*$M134))</f>
        <v/>
      </c>
      <c r="Y134" s="47">
        <f>IF(OR($M134="",$T134=""),"",$T134+(Y$2*$M134))</f>
        <v/>
      </c>
      <c r="Z134" s="49">
        <f>IF(OR($M134="",$T134=""),"",$T134+(Z$2*$M134))</f>
        <v/>
      </c>
      <c r="AA134" s="51">
        <f>IF(OR($M134="",$T134=""),"",$T134+(AA$2*$M134))</f>
        <v/>
      </c>
      <c r="AB134" s="48">
        <f>IF(OR($M134="",$T134=""),"",$T134+(AB$2*$M134))</f>
        <v/>
      </c>
      <c r="AC134" s="48">
        <f>IF(OR($M134="",$T134=""),"",$T134+(AC$2*$M134))</f>
        <v/>
      </c>
      <c r="AD134" s="48">
        <f>IF(OR($M134="",$T134=""),"",$T134+(AD$2*$M134))</f>
        <v/>
      </c>
      <c r="AE134" s="49">
        <f>IF(OR($M134="",$T134=""),"",$T134+(AE$2*$M134))</f>
        <v/>
      </c>
      <c r="AF134" s="52">
        <f>IF(OR(T134="",I134&lt;T134),"",IFERROR(AVERAGE(T134+M134*{7,8,9,10,11})/IF(G134="",I134,G134)-1,""))</f>
        <v/>
      </c>
      <c r="AG134" s="55">
        <f>IF(OR(T134="",I134&lt;T134),"",IFERROR(AF134/-(R134/IF(G134="",I134,G134)-1),""))</f>
        <v/>
      </c>
      <c r="AH134" s="94" t="n">
        <v>1</v>
      </c>
      <c r="AI134" s="94" t="n">
        <v>56.36494145148044</v>
      </c>
      <c r="AJ134" s="94" t="n">
        <v>1</v>
      </c>
      <c r="AK134" s="94" t="inlineStr">
        <is>
          <t>OTT Up Trend</t>
        </is>
      </c>
      <c r="AL134" s="84" t="inlineStr">
        <is>
          <t>Resideo Technologies, Inc.</t>
        </is>
      </c>
      <c r="AM134" t="inlineStr">
        <is>
          <t>Industrials</t>
        </is>
      </c>
      <c r="AN134" t="inlineStr">
        <is>
          <t>Industrial Distribution</t>
        </is>
      </c>
      <c r="AO134" t="n">
        <v>91</v>
      </c>
    </row>
    <row r="135">
      <c r="A135" s="64" t="inlineStr">
        <is>
          <t>ILMN</t>
        </is>
      </c>
      <c r="B135" s="65" t="n"/>
      <c r="C135" s="66" t="n"/>
      <c r="D135" s="67" t="n"/>
      <c r="E135" s="68" t="n"/>
      <c r="F135" s="47">
        <f>IF(A135="","",IF(MIN(H135,MAX(J135:K135))=0,"",MIN(H135,MAX(J135:K135))))</f>
        <v/>
      </c>
      <c r="G135" s="74" t="n"/>
      <c r="H135" s="49">
        <f>IF(M135="","",IFERROR(ROUND(AVERAGE(T135+M135*{7,8,9,10,11})/1.21,4),""))</f>
        <v/>
      </c>
      <c r="I135" s="76" t="n">
        <v>141.6499938964844</v>
      </c>
      <c r="J135" s="77" t="n">
        <v>142.9972582091606</v>
      </c>
      <c r="K135" s="74" t="n">
        <v>139.5515014648437</v>
      </c>
      <c r="L135" s="78" t="n">
        <v>101.9863004684448</v>
      </c>
      <c r="M135" s="77" t="n">
        <v>4.78112325929771</v>
      </c>
      <c r="N135" s="53">
        <f>IF(M135="","",IFERROR(M135/I135,""))</f>
        <v/>
      </c>
      <c r="O135" s="50">
        <f>IF(A135="","",IFERROR((IF(G135="",I135,G135)-T135)/M135,""))</f>
        <v/>
      </c>
      <c r="P135" s="50">
        <f>IFERROR((I135/T135-1)/N135,"")</f>
        <v/>
      </c>
      <c r="Q135" s="46">
        <f>IF(OR(T135="",I135&lt;T135),"",IFERROR(R135/IF(G135="",I135,G135)-1,""))</f>
        <v/>
      </c>
      <c r="R135" s="48">
        <f>IF($M135="","",MAX(IF($G135="",$I135,$G135)*(1/1.1),IF($G135="",$I135,$G135)+(R$2*$M135)))</f>
        <v/>
      </c>
      <c r="S135" s="49">
        <f>IF($M135="","",MAX(IF($G135="",$I135,$G135)*(1/1.1),IF($G135="",$I135,$G135)+(S$2*$M135)))</f>
        <v/>
      </c>
      <c r="T135" s="82" t="n">
        <v>131.7674008178711</v>
      </c>
      <c r="U135" s="47">
        <f>IF(OR($M135="",$T135=""),"",$T135+(U$2*$M135))</f>
        <v/>
      </c>
      <c r="V135" s="48">
        <f>IF(OR($M135="",$T135=""),"",$T135+(V$2*$M135))</f>
        <v/>
      </c>
      <c r="W135" s="48">
        <f>IF(OR($M135="",$T135=""),"",$T135+(W$2*$M135))</f>
        <v/>
      </c>
      <c r="X135" s="49">
        <f>IF(OR($M135="",$T135=""),"",$T135+(X$2*$M135))</f>
        <v/>
      </c>
      <c r="Y135" s="47">
        <f>IF(OR($M135="",$T135=""),"",$T135+(Y$2*$M135))</f>
        <v/>
      </c>
      <c r="Z135" s="49">
        <f>IF(OR($M135="",$T135=""),"",$T135+(Z$2*$M135))</f>
        <v/>
      </c>
      <c r="AA135" s="51">
        <f>IF(OR($M135="",$T135=""),"",$T135+(AA$2*$M135))</f>
        <v/>
      </c>
      <c r="AB135" s="48">
        <f>IF(OR($M135="",$T135=""),"",$T135+(AB$2*$M135))</f>
        <v/>
      </c>
      <c r="AC135" s="48">
        <f>IF(OR($M135="",$T135=""),"",$T135+(AC$2*$M135))</f>
        <v/>
      </c>
      <c r="AD135" s="48">
        <f>IF(OR($M135="",$T135=""),"",$T135+(AD$2*$M135))</f>
        <v/>
      </c>
      <c r="AE135" s="49">
        <f>IF(OR($M135="",$T135=""),"",$T135+(AE$2*$M135))</f>
        <v/>
      </c>
      <c r="AF135" s="52">
        <f>IF(OR(T135="",I135&lt;T135),"",IFERROR(AVERAGE(T135+M135*{7,8,9,10,11})/IF(G135="",I135,G135)-1,""))</f>
        <v/>
      </c>
      <c r="AG135" s="55">
        <f>IF(OR(T135="",I135&lt;T135),"",IFERROR(AF135/-(R135/IF(G135="",I135,G135)-1),""))</f>
        <v/>
      </c>
      <c r="AH135" s="94" t="n">
        <v>1</v>
      </c>
      <c r="AI135" s="94" t="n">
        <v>93.06814464994669</v>
      </c>
      <c r="AJ135" s="94" t="n">
        <v>0</v>
      </c>
      <c r="AK135" s="94" t="inlineStr">
        <is>
          <t>OTT Up Trend</t>
        </is>
      </c>
      <c r="AL135" s="84" t="inlineStr">
        <is>
          <t>Illumina, Inc.</t>
        </is>
      </c>
      <c r="AM135" t="inlineStr">
        <is>
          <t>Healthcare</t>
        </is>
      </c>
      <c r="AN135" t="inlineStr">
        <is>
          <t>Diagnostics &amp; Research</t>
        </is>
      </c>
      <c r="AO135" t="n">
        <v>91</v>
      </c>
    </row>
    <row r="136">
      <c r="A136" s="64" t="inlineStr">
        <is>
          <t>ALGT</t>
        </is>
      </c>
      <c r="B136" s="65" t="n"/>
      <c r="C136" s="66" t="n"/>
      <c r="D136" s="67" t="n"/>
      <c r="E136" s="68" t="n"/>
      <c r="F136" s="47">
        <f>IF(A136="","",IF(MIN(H136,MAX(J136:K136))=0,"",MIN(H136,MAX(J136:K136))))</f>
        <v/>
      </c>
      <c r="G136" s="74" t="n"/>
      <c r="H136" s="49">
        <f>IF(M136="","",IFERROR(ROUND(AVERAGE(T136+M136*{7,8,9,10,11})/1.21,4),""))</f>
        <v/>
      </c>
      <c r="I136" s="76" t="n">
        <v>89.94999694824219</v>
      </c>
      <c r="J136" s="77" t="n">
        <v>89.09098738064071</v>
      </c>
      <c r="K136" s="74" t="n">
        <v>87.9814998626709</v>
      </c>
      <c r="L136" s="78" t="n">
        <v>61.92709999084472</v>
      </c>
      <c r="M136" s="77" t="n">
        <v>3.894860249793414</v>
      </c>
      <c r="N136" s="53">
        <f>IF(M136="","",IFERROR(M136/I136,""))</f>
        <v/>
      </c>
      <c r="O136" s="50">
        <f>IF(A136="","",IFERROR((IF(G136="",I136,G136)-T136)/M136,""))</f>
        <v/>
      </c>
      <c r="P136" s="50">
        <f>IFERROR((I136/T136-1)/N136,"")</f>
        <v/>
      </c>
      <c r="Q136" s="46">
        <f>IF(OR(T136="",I136&lt;T136),"",IFERROR(R136/IF(G136="",I136,G136)-1,""))</f>
        <v/>
      </c>
      <c r="R136" s="48">
        <f>IF($M136="","",MAX(IF($G136="",$I136,$G136)*(1/1.1),IF($G136="",$I136,$G136)+(R$2*$M136)))</f>
        <v/>
      </c>
      <c r="S136" s="49">
        <f>IF($M136="","",MAX(IF($G136="",$I136,$G136)*(1/1.1),IF($G136="",$I136,$G136)+(S$2*$M136)))</f>
        <v/>
      </c>
      <c r="T136" s="82" t="n">
        <v>79.8420002746582</v>
      </c>
      <c r="U136" s="47">
        <f>IF(OR($M136="",$T136=""),"",$T136+(U$2*$M136))</f>
        <v/>
      </c>
      <c r="V136" s="48">
        <f>IF(OR($M136="",$T136=""),"",$T136+(V$2*$M136))</f>
        <v/>
      </c>
      <c r="W136" s="48">
        <f>IF(OR($M136="",$T136=""),"",$T136+(W$2*$M136))</f>
        <v/>
      </c>
      <c r="X136" s="49">
        <f>IF(OR($M136="",$T136=""),"",$T136+(X$2*$M136))</f>
        <v/>
      </c>
      <c r="Y136" s="47">
        <f>IF(OR($M136="",$T136=""),"",$T136+(Y$2*$M136))</f>
        <v/>
      </c>
      <c r="Z136" s="49">
        <f>IF(OR($M136="",$T136=""),"",$T136+(Z$2*$M136))</f>
        <v/>
      </c>
      <c r="AA136" s="51">
        <f>IF(OR($M136="",$T136=""),"",$T136+(AA$2*$M136))</f>
        <v/>
      </c>
      <c r="AB136" s="48">
        <f>IF(OR($M136="",$T136=""),"",$T136+(AB$2*$M136))</f>
        <v/>
      </c>
      <c r="AC136" s="48">
        <f>IF(OR($M136="",$T136=""),"",$T136+(AC$2*$M136))</f>
        <v/>
      </c>
      <c r="AD136" s="48">
        <f>IF(OR($M136="",$T136=""),"",$T136+(AD$2*$M136))</f>
        <v/>
      </c>
      <c r="AE136" s="49">
        <f>IF(OR($M136="",$T136=""),"",$T136+(AE$2*$M136))</f>
        <v/>
      </c>
      <c r="AF136" s="52">
        <f>IF(OR(T136="",I136&lt;T136),"",IFERROR(AVERAGE(T136+M136*{7,8,9,10,11})/IF(G136="",I136,G136)-1,""))</f>
        <v/>
      </c>
      <c r="AG136" s="55">
        <f>IF(OR(T136="",I136&lt;T136),"",IFERROR(AF136/-(R136/IF(G136="",I136,G136)-1),""))</f>
        <v/>
      </c>
      <c r="AH136" s="94" t="n">
        <v>1</v>
      </c>
      <c r="AI136" s="94" t="n">
        <v>68.8119742514165</v>
      </c>
      <c r="AJ136" s="94" t="n">
        <v>0</v>
      </c>
      <c r="AK136" s="94" t="inlineStr">
        <is>
          <t>OTT Up Trend</t>
        </is>
      </c>
      <c r="AL136" s="84" t="inlineStr">
        <is>
          <t>Allegiant Travel Company</t>
        </is>
      </c>
      <c r="AM136" t="inlineStr">
        <is>
          <t>Industrials</t>
        </is>
      </c>
      <c r="AN136" t="inlineStr">
        <is>
          <t>Airlines</t>
        </is>
      </c>
      <c r="AO136" t="n">
        <v>91</v>
      </c>
    </row>
    <row r="137">
      <c r="A137" s="64" t="inlineStr">
        <is>
          <t>GS</t>
        </is>
      </c>
      <c r="B137" s="65" t="n"/>
      <c r="C137" s="66" t="n"/>
      <c r="D137" s="67" t="n"/>
      <c r="E137" s="68" t="n"/>
      <c r="F137" s="47">
        <f>IF(A137="","",IF(MIN(H137,MAX(J137:K137))=0,"",MIN(H137,MAX(J137:K137))))</f>
        <v/>
      </c>
      <c r="G137" s="74" t="n"/>
      <c r="H137" s="49">
        <f>IF(M137="","",IFERROR(ROUND(AVERAGE(T137+M137*{7,8,9,10,11})/1.21,4),""))</f>
        <v/>
      </c>
      <c r="I137" s="76" t="n">
        <v>962</v>
      </c>
      <c r="J137" s="77" t="n">
        <v>943.2754517775302</v>
      </c>
      <c r="K137" s="74" t="n">
        <v>921.7609985351562</v>
      </c>
      <c r="L137" s="78" t="n">
        <v>727.073650970459</v>
      </c>
      <c r="M137" s="77" t="n">
        <v>23.04644805835942</v>
      </c>
      <c r="N137" s="53">
        <f>IF(M137="","",IFERROR(M137/I137,""))</f>
        <v/>
      </c>
      <c r="O137" s="50">
        <f>IF(A137="","",IFERROR((IF(G137="",I137,G137)-T137)/M137,""))</f>
        <v/>
      </c>
      <c r="P137" s="50">
        <f>IFERROR((I137/T137-1)/N137,"")</f>
        <v/>
      </c>
      <c r="Q137" s="46">
        <f>IF(OR(T137="",I137&lt;T137),"",IFERROR(R137/IF(G137="",I137,G137)-1,""))</f>
        <v/>
      </c>
      <c r="R137" s="48">
        <f>IF($M137="","",MAX(IF($G137="",$I137,$G137)*(1/1.1),IF($G137="",$I137,$G137)+(R$2*$M137)))</f>
        <v/>
      </c>
      <c r="S137" s="49">
        <f>IF($M137="","",MAX(IF($G137="",$I137,$G137)*(1/1.1),IF($G137="",$I137,$G137)+(S$2*$M137)))</f>
        <v/>
      </c>
      <c r="T137" s="82" t="n">
        <v>863.8676037597656</v>
      </c>
      <c r="U137" s="47">
        <f>IF(OR($M137="",$T137=""),"",$T137+(U$2*$M137))</f>
        <v/>
      </c>
      <c r="V137" s="48">
        <f>IF(OR($M137="",$T137=""),"",$T137+(V$2*$M137))</f>
        <v/>
      </c>
      <c r="W137" s="48">
        <f>IF(OR($M137="",$T137=""),"",$T137+(W$2*$M137))</f>
        <v/>
      </c>
      <c r="X137" s="49">
        <f>IF(OR($M137="",$T137=""),"",$T137+(X$2*$M137))</f>
        <v/>
      </c>
      <c r="Y137" s="47">
        <f>IF(OR($M137="",$T137=""),"",$T137+(Y$2*$M137))</f>
        <v/>
      </c>
      <c r="Z137" s="49">
        <f>IF(OR($M137="",$T137=""),"",$T137+(Z$2*$M137))</f>
        <v/>
      </c>
      <c r="AA137" s="51">
        <f>IF(OR($M137="",$T137=""),"",$T137+(AA$2*$M137))</f>
        <v/>
      </c>
      <c r="AB137" s="48">
        <f>IF(OR($M137="",$T137=""),"",$T137+(AB$2*$M137))</f>
        <v/>
      </c>
      <c r="AC137" s="48">
        <f>IF(OR($M137="",$T137=""),"",$T137+(AC$2*$M137))</f>
        <v/>
      </c>
      <c r="AD137" s="48">
        <f>IF(OR($M137="",$T137=""),"",$T137+(AD$2*$M137))</f>
        <v/>
      </c>
      <c r="AE137" s="49">
        <f>IF(OR($M137="",$T137=""),"",$T137+(AE$2*$M137))</f>
        <v/>
      </c>
      <c r="AF137" s="52">
        <f>IF(OR(T137="",I137&lt;T137),"",IFERROR(AVERAGE(T137+M137*{7,8,9,10,11})/IF(G137="",I137,G137)-1,""))</f>
        <v/>
      </c>
      <c r="AG137" s="55">
        <f>IF(OR(T137="",I137&lt;T137),"",IFERROR(AF137/-(R137/IF(G137="",I137,G137)-1),""))</f>
        <v/>
      </c>
      <c r="AH137" s="94" t="n">
        <v>1</v>
      </c>
      <c r="AI137" s="94" t="n">
        <v>121.9582938996026</v>
      </c>
      <c r="AJ137" s="94" t="n">
        <v>0</v>
      </c>
      <c r="AK137" s="94" t="inlineStr">
        <is>
          <t>OTT Up Trend</t>
        </is>
      </c>
      <c r="AL137" s="84" t="inlineStr">
        <is>
          <t>Goldman Sachs Group, Inc. (The)</t>
        </is>
      </c>
      <c r="AM137" t="inlineStr">
        <is>
          <t>Financial Services</t>
        </is>
      </c>
      <c r="AN137" t="inlineStr">
        <is>
          <t>Capital Markets</t>
        </is>
      </c>
      <c r="AO137" t="n">
        <v>91</v>
      </c>
    </row>
    <row r="138">
      <c r="A138" s="64" t="inlineStr">
        <is>
          <t>TPR</t>
        </is>
      </c>
      <c r="B138" s="65" t="n"/>
      <c r="C138" s="66" t="n"/>
      <c r="D138" s="67" t="n"/>
      <c r="E138" s="68" t="n"/>
      <c r="F138" s="47">
        <f>IF(A138="","",IF(MIN(H138,MAX(J138:K138))=0,"",MIN(H138,MAX(J138:K138))))</f>
        <v/>
      </c>
      <c r="G138" s="74" t="n"/>
      <c r="H138" s="49">
        <f>IF(M138="","",IFERROR(ROUND(AVERAGE(T138+M138*{7,8,9,10,11})/1.21,4),""))</f>
        <v/>
      </c>
      <c r="I138" s="76" t="n">
        <v>130.6900024414062</v>
      </c>
      <c r="J138" s="77" t="n">
        <v>132.0099584629641</v>
      </c>
      <c r="K138" s="74" t="n">
        <v>130.6495002746582</v>
      </c>
      <c r="L138" s="78" t="n">
        <v>100.4474001312256</v>
      </c>
      <c r="M138" s="77" t="n">
        <v>3.235567344780925</v>
      </c>
      <c r="N138" s="53">
        <f>IF(M138="","",IFERROR(M138/I138,""))</f>
        <v/>
      </c>
      <c r="O138" s="50">
        <f>IF(A138="","",IFERROR((IF(G138="",I138,G138)-T138)/M138,""))</f>
        <v/>
      </c>
      <c r="P138" s="50">
        <f>IFERROR((I138/T138-1)/N138,"")</f>
        <v/>
      </c>
      <c r="Q138" s="46">
        <f>IF(OR(T138="",I138&lt;T138),"",IFERROR(R138/IF(G138="",I138,G138)-1,""))</f>
        <v/>
      </c>
      <c r="R138" s="48">
        <f>IF($M138="","",MAX(IF($G138="",$I138,$G138)*(1/1.1),IF($G138="",$I138,$G138)+(R$2*$M138)))</f>
        <v/>
      </c>
      <c r="S138" s="49">
        <f>IF($M138="","",MAX(IF($G138="",$I138,$G138)*(1/1.1),IF($G138="",$I138,$G138)+(S$2*$M138)))</f>
        <v/>
      </c>
      <c r="T138" s="82" t="n">
        <v>118.4534001159668</v>
      </c>
      <c r="U138" s="47">
        <f>IF(OR($M138="",$T138=""),"",$T138+(U$2*$M138))</f>
        <v/>
      </c>
      <c r="V138" s="48">
        <f>IF(OR($M138="",$T138=""),"",$T138+(V$2*$M138))</f>
        <v/>
      </c>
      <c r="W138" s="48">
        <f>IF(OR($M138="",$T138=""),"",$T138+(W$2*$M138))</f>
        <v/>
      </c>
      <c r="X138" s="49">
        <f>IF(OR($M138="",$T138=""),"",$T138+(X$2*$M138))</f>
        <v/>
      </c>
      <c r="Y138" s="47">
        <f>IF(OR($M138="",$T138=""),"",$T138+(Y$2*$M138))</f>
        <v/>
      </c>
      <c r="Z138" s="49">
        <f>IF(OR($M138="",$T138=""),"",$T138+(Z$2*$M138))</f>
        <v/>
      </c>
      <c r="AA138" s="51">
        <f>IF(OR($M138="",$T138=""),"",$T138+(AA$2*$M138))</f>
        <v/>
      </c>
      <c r="AB138" s="48">
        <f>IF(OR($M138="",$T138=""),"",$T138+(AB$2*$M138))</f>
        <v/>
      </c>
      <c r="AC138" s="48">
        <f>IF(OR($M138="",$T138=""),"",$T138+(AC$2*$M138))</f>
        <v/>
      </c>
      <c r="AD138" s="48">
        <f>IF(OR($M138="",$T138=""),"",$T138+(AD$2*$M138))</f>
        <v/>
      </c>
      <c r="AE138" s="49">
        <f>IF(OR($M138="",$T138=""),"",$T138+(AE$2*$M138))</f>
        <v/>
      </c>
      <c r="AF138" s="52">
        <f>IF(OR(T138="",I138&lt;T138),"",IFERROR(AVERAGE(T138+M138*{7,8,9,10,11})/IF(G138="",I138,G138)-1,""))</f>
        <v/>
      </c>
      <c r="AG138" s="55">
        <f>IF(OR(T138="",I138&lt;T138),"",IFERROR(AF138/-(R138/IF(G138="",I138,G138)-1),""))</f>
        <v/>
      </c>
      <c r="AH138" s="94" t="n">
        <v>1</v>
      </c>
      <c r="AI138" s="94" t="n">
        <v>111.2241194290365</v>
      </c>
      <c r="AJ138" s="94" t="n">
        <v>0</v>
      </c>
      <c r="AK138" s="94" t="inlineStr">
        <is>
          <t>OTT Up Trend</t>
        </is>
      </c>
      <c r="AL138" s="84" t="inlineStr">
        <is>
          <t>Tapestry, Inc.</t>
        </is>
      </c>
      <c r="AM138" t="inlineStr">
        <is>
          <t>Consumer Cyclical</t>
        </is>
      </c>
      <c r="AN138" t="inlineStr">
        <is>
          <t>Luxury Goods</t>
        </is>
      </c>
      <c r="AO138" t="n">
        <v>91</v>
      </c>
    </row>
    <row r="139">
      <c r="A139" s="64" t="inlineStr">
        <is>
          <t>LSCC</t>
        </is>
      </c>
      <c r="B139" s="65" t="n"/>
      <c r="C139" s="66" t="n"/>
      <c r="D139" s="67" t="n"/>
      <c r="E139" s="68" t="n"/>
      <c r="F139" s="47">
        <f>IF(A139="","",IF(MIN(H139,MAX(J139:K139))=0,"",MIN(H139,MAX(J139:K139))))</f>
        <v/>
      </c>
      <c r="G139" s="74" t="n"/>
      <c r="H139" s="49">
        <f>IF(M139="","",IFERROR(ROUND(AVERAGE(T139+M139*{7,8,9,10,11})/1.21,4),""))</f>
        <v/>
      </c>
      <c r="I139" s="76" t="n">
        <v>83.22000122070312</v>
      </c>
      <c r="J139" s="77" t="n">
        <v>83.09130154029988</v>
      </c>
      <c r="K139" s="74" t="n">
        <v>79.73450012207032</v>
      </c>
      <c r="L139" s="78" t="n">
        <v>61.41640007019043</v>
      </c>
      <c r="M139" s="77" t="n">
        <v>3.614240660546</v>
      </c>
      <c r="N139" s="53">
        <f>IF(M139="","",IFERROR(M139/I139,""))</f>
        <v/>
      </c>
      <c r="O139" s="50">
        <f>IF(A139="","",IFERROR((IF(G139="",I139,G139)-T139)/M139,""))</f>
        <v/>
      </c>
      <c r="P139" s="50">
        <f>IFERROR((I139/T139-1)/N139,"")</f>
        <v/>
      </c>
      <c r="Q139" s="46">
        <f>IF(OR(T139="",I139&lt;T139),"",IFERROR(R139/IF(G139="",I139,G139)-1,""))</f>
        <v/>
      </c>
      <c r="R139" s="48">
        <f>IF($M139="","",MAX(IF($G139="",$I139,$G139)*(1/1.1),IF($G139="",$I139,$G139)+(R$2*$M139)))</f>
        <v/>
      </c>
      <c r="S139" s="49">
        <f>IF($M139="","",MAX(IF($G139="",$I139,$G139)*(1/1.1),IF($G139="",$I139,$G139)+(S$2*$M139)))</f>
        <v/>
      </c>
      <c r="T139" s="82" t="n">
        <v>73.8328002166748</v>
      </c>
      <c r="U139" s="47">
        <f>IF(OR($M139="",$T139=""),"",$T139+(U$2*$M139))</f>
        <v/>
      </c>
      <c r="V139" s="48">
        <f>IF(OR($M139="",$T139=""),"",$T139+(V$2*$M139))</f>
        <v/>
      </c>
      <c r="W139" s="48">
        <f>IF(OR($M139="",$T139=""),"",$T139+(W$2*$M139))</f>
        <v/>
      </c>
      <c r="X139" s="49">
        <f>IF(OR($M139="",$T139=""),"",$T139+(X$2*$M139))</f>
        <v/>
      </c>
      <c r="Y139" s="47">
        <f>IF(OR($M139="",$T139=""),"",$T139+(Y$2*$M139))</f>
        <v/>
      </c>
      <c r="Z139" s="49">
        <f>IF(OR($M139="",$T139=""),"",$T139+(Z$2*$M139))</f>
        <v/>
      </c>
      <c r="AA139" s="51">
        <f>IF(OR($M139="",$T139=""),"",$T139+(AA$2*$M139))</f>
        <v/>
      </c>
      <c r="AB139" s="48">
        <f>IF(OR($M139="",$T139=""),"",$T139+(AB$2*$M139))</f>
        <v/>
      </c>
      <c r="AC139" s="48">
        <f>IF(OR($M139="",$T139=""),"",$T139+(AC$2*$M139))</f>
        <v/>
      </c>
      <c r="AD139" s="48">
        <f>IF(OR($M139="",$T139=""),"",$T139+(AD$2*$M139))</f>
        <v/>
      </c>
      <c r="AE139" s="49">
        <f>IF(OR($M139="",$T139=""),"",$T139+(AE$2*$M139))</f>
        <v/>
      </c>
      <c r="AF139" s="52">
        <f>IF(OR(T139="",I139&lt;T139),"",IFERROR(AVERAGE(T139+M139*{7,8,9,10,11})/IF(G139="",I139,G139)-1,""))</f>
        <v/>
      </c>
      <c r="AG139" s="55">
        <f>IF(OR(T139="",I139&lt;T139),"",IFERROR(AF139/-(R139/IF(G139="",I139,G139)-1),""))</f>
        <v/>
      </c>
      <c r="AH139" s="94" t="n">
        <v>1</v>
      </c>
      <c r="AI139" s="94" t="n">
        <v>91.57967995470985</v>
      </c>
      <c r="AJ139" s="94" t="n">
        <v>1</v>
      </c>
      <c r="AK139" s="94" t="inlineStr">
        <is>
          <t>OTT Up Trend</t>
        </is>
      </c>
      <c r="AL139" s="84" t="inlineStr">
        <is>
          <t>Lattice Semiconductor Corporati</t>
        </is>
      </c>
      <c r="AM139" t="inlineStr">
        <is>
          <t>Technology</t>
        </is>
      </c>
      <c r="AN139" t="inlineStr">
        <is>
          <t>Semiconductors</t>
        </is>
      </c>
      <c r="AO139" t="n">
        <v>91</v>
      </c>
    </row>
    <row r="140">
      <c r="A140" s="64" t="inlineStr">
        <is>
          <t>ENVA</t>
        </is>
      </c>
      <c r="B140" s="65" t="n"/>
      <c r="C140" s="66" t="n"/>
      <c r="D140" s="67" t="n"/>
      <c r="E140" s="68" t="n"/>
      <c r="F140" s="47">
        <f>IF(A140="","",IF(MIN(H140,MAX(J140:K140))=0,"",MIN(H140,MAX(J140:K140))))</f>
        <v/>
      </c>
      <c r="G140" s="74" t="n"/>
      <c r="H140" s="49">
        <f>IF(M140="","",IFERROR(ROUND(AVERAGE(T140+M140*{7,8,9,10,11})/1.21,4),""))</f>
        <v/>
      </c>
      <c r="I140" s="76" t="n">
        <v>156.8699951171875</v>
      </c>
      <c r="J140" s="77" t="n">
        <v>159.0314173418273</v>
      </c>
      <c r="K140" s="74" t="n">
        <v>161.4435012817383</v>
      </c>
      <c r="L140" s="78" t="n">
        <v>116.1324998855591</v>
      </c>
      <c r="M140" s="77" t="n">
        <v>4.877644280767458</v>
      </c>
      <c r="N140" s="53">
        <f>IF(M140="","",IFERROR(M140/I140,""))</f>
        <v/>
      </c>
      <c r="O140" s="50">
        <f>IF(A140="","",IFERROR((IF(G140="",I140,G140)-T140)/M140,""))</f>
        <v/>
      </c>
      <c r="P140" s="50">
        <f>IFERROR((I140/T140-1)/N140,"")</f>
        <v/>
      </c>
      <c r="Q140" s="46">
        <f>IF(OR(T140="",I140&lt;T140),"",IFERROR(R140/IF(G140="",I140,G140)-1,""))</f>
        <v/>
      </c>
      <c r="R140" s="48">
        <f>IF($M140="","",MAX(IF($G140="",$I140,$G140)*(1/1.1),IF($G140="",$I140,$G140)+(R$2*$M140)))</f>
        <v/>
      </c>
      <c r="S140" s="49">
        <f>IF($M140="","",MAX(IF($G140="",$I140,$G140)*(1/1.1),IF($G140="",$I140,$G140)+(S$2*$M140)))</f>
        <v/>
      </c>
      <c r="T140" s="82" t="n">
        <v>145.0346003723145</v>
      </c>
      <c r="U140" s="47">
        <f>IF(OR($M140="",$T140=""),"",$T140+(U$2*$M140))</f>
        <v/>
      </c>
      <c r="V140" s="48">
        <f>IF(OR($M140="",$T140=""),"",$T140+(V$2*$M140))</f>
        <v/>
      </c>
      <c r="W140" s="48">
        <f>IF(OR($M140="",$T140=""),"",$T140+(W$2*$M140))</f>
        <v/>
      </c>
      <c r="X140" s="49">
        <f>IF(OR($M140="",$T140=""),"",$T140+(X$2*$M140))</f>
        <v/>
      </c>
      <c r="Y140" s="47">
        <f>IF(OR($M140="",$T140=""),"",$T140+(Y$2*$M140))</f>
        <v/>
      </c>
      <c r="Z140" s="49">
        <f>IF(OR($M140="",$T140=""),"",$T140+(Z$2*$M140))</f>
        <v/>
      </c>
      <c r="AA140" s="51">
        <f>IF(OR($M140="",$T140=""),"",$T140+(AA$2*$M140))</f>
        <v/>
      </c>
      <c r="AB140" s="48">
        <f>IF(OR($M140="",$T140=""),"",$T140+(AB$2*$M140))</f>
        <v/>
      </c>
      <c r="AC140" s="48">
        <f>IF(OR($M140="",$T140=""),"",$T140+(AC$2*$M140))</f>
        <v/>
      </c>
      <c r="AD140" s="48">
        <f>IF(OR($M140="",$T140=""),"",$T140+(AD$2*$M140))</f>
        <v/>
      </c>
      <c r="AE140" s="49">
        <f>IF(OR($M140="",$T140=""),"",$T140+(AE$2*$M140))</f>
        <v/>
      </c>
      <c r="AF140" s="52">
        <f>IF(OR(T140="",I140&lt;T140),"",IFERROR(AVERAGE(T140+M140*{7,8,9,10,11})/IF(G140="",I140,G140)-1,""))</f>
        <v/>
      </c>
      <c r="AG140" s="55">
        <f>IF(OR(T140="",I140&lt;T140),"",IFERROR(AF140/-(R140/IF(G140="",I140,G140)-1),""))</f>
        <v/>
      </c>
      <c r="AH140" s="94" t="n">
        <v>1</v>
      </c>
      <c r="AI140" s="94" t="n">
        <v>66.99242359617799</v>
      </c>
      <c r="AJ140" s="94" t="n">
        <v>0</v>
      </c>
      <c r="AK140" s="94" t="inlineStr">
        <is>
          <t>OTT Up Trend</t>
        </is>
      </c>
      <c r="AL140" s="84" t="inlineStr">
        <is>
          <t>Enova International, Inc.</t>
        </is>
      </c>
      <c r="AM140" t="inlineStr">
        <is>
          <t>Financial Services</t>
        </is>
      </c>
      <c r="AN140" t="inlineStr">
        <is>
          <t>Credit Services</t>
        </is>
      </c>
      <c r="AO140" t="n">
        <v>91</v>
      </c>
    </row>
    <row r="141">
      <c r="A141" s="64" t="inlineStr">
        <is>
          <t>WGO</t>
        </is>
      </c>
      <c r="B141" s="65" t="n"/>
      <c r="C141" s="66" t="n"/>
      <c r="D141" s="67" t="n"/>
      <c r="E141" s="68" t="n"/>
      <c r="F141" s="47">
        <f>IF(A141="","",IF(MIN(H141,MAX(J141:K141))=0,"",MIN(H141,MAX(J141:K141))))</f>
        <v/>
      </c>
      <c r="G141" s="74" t="n"/>
      <c r="H141" s="49">
        <f>IF(M141="","",IFERROR(ROUND(AVERAGE(T141+M141*{7,8,9,10,11})/1.21,4),""))</f>
        <v/>
      </c>
      <c r="I141" s="76" t="n">
        <v>47.79000091552734</v>
      </c>
      <c r="J141" s="77" t="n">
        <v>45.08267219886301</v>
      </c>
      <c r="K141" s="74" t="n">
        <v>43.1100004196167</v>
      </c>
      <c r="L141" s="78" t="n">
        <v>34.64605015754699</v>
      </c>
      <c r="M141" s="77" t="n">
        <v>1.752583126134235</v>
      </c>
      <c r="N141" s="53">
        <f>IF(M141="","",IFERROR(M141/I141,""))</f>
        <v/>
      </c>
      <c r="O141" s="50">
        <f>IF(A141="","",IFERROR((IF(G141="",I141,G141)-T141)/M141,""))</f>
        <v/>
      </c>
      <c r="P141" s="50">
        <f>IFERROR((I141/T141-1)/N141,"")</f>
        <v/>
      </c>
      <c r="Q141" s="46">
        <f>IF(OR(T141="",I141&lt;T141),"",IFERROR(R141/IF(G141="",I141,G141)-1,""))</f>
        <v/>
      </c>
      <c r="R141" s="48">
        <f>IF($M141="","",MAX(IF($G141="",$I141,$G141)*(1/1.1),IF($G141="",$I141,$G141)+(R$2*$M141)))</f>
        <v/>
      </c>
      <c r="S141" s="49">
        <f>IF($M141="","",MAX(IF($G141="",$I141,$G141)*(1/1.1),IF($G141="",$I141,$G141)+(S$2*$M141)))</f>
        <v/>
      </c>
      <c r="T141" s="82" t="n">
        <v>39.1794002532959</v>
      </c>
      <c r="U141" s="47">
        <f>IF(OR($M141="",$T141=""),"",$T141+(U$2*$M141))</f>
        <v/>
      </c>
      <c r="V141" s="48">
        <f>IF(OR($M141="",$T141=""),"",$T141+(V$2*$M141))</f>
        <v/>
      </c>
      <c r="W141" s="48">
        <f>IF(OR($M141="",$T141=""),"",$T141+(W$2*$M141))</f>
        <v/>
      </c>
      <c r="X141" s="49">
        <f>IF(OR($M141="",$T141=""),"",$T141+(X$2*$M141))</f>
        <v/>
      </c>
      <c r="Y141" s="47">
        <f>IF(OR($M141="",$T141=""),"",$T141+(Y$2*$M141))</f>
        <v/>
      </c>
      <c r="Z141" s="49">
        <f>IF(OR($M141="",$T141=""),"",$T141+(Z$2*$M141))</f>
        <v/>
      </c>
      <c r="AA141" s="51">
        <f>IF(OR($M141="",$T141=""),"",$T141+(AA$2*$M141))</f>
        <v/>
      </c>
      <c r="AB141" s="48">
        <f>IF(OR($M141="",$T141=""),"",$T141+(AB$2*$M141))</f>
        <v/>
      </c>
      <c r="AC141" s="48">
        <f>IF(OR($M141="",$T141=""),"",$T141+(AC$2*$M141))</f>
        <v/>
      </c>
      <c r="AD141" s="48">
        <f>IF(OR($M141="",$T141=""),"",$T141+(AD$2*$M141))</f>
        <v/>
      </c>
      <c r="AE141" s="49">
        <f>IF(OR($M141="",$T141=""),"",$T141+(AE$2*$M141))</f>
        <v/>
      </c>
      <c r="AF141" s="52">
        <f>IF(OR(T141="",I141&lt;T141),"",IFERROR(AVERAGE(T141+M141*{7,8,9,10,11})/IF(G141="",I141,G141)-1,""))</f>
        <v/>
      </c>
      <c r="AG141" s="55">
        <f>IF(OR(T141="",I141&lt;T141),"",IFERROR(AF141/-(R141/IF(G141="",I141,G141)-1),""))</f>
        <v/>
      </c>
      <c r="AH141" s="94" t="n">
        <v>1</v>
      </c>
      <c r="AI141" s="94" t="n">
        <v>120.2130066495135</v>
      </c>
      <c r="AJ141" s="94" t="n">
        <v>1</v>
      </c>
      <c r="AK141" s="94" t="inlineStr">
        <is>
          <t>OTT Up Trend</t>
        </is>
      </c>
      <c r="AL141" s="84" t="inlineStr">
        <is>
          <t>Winnebago Industries, Inc.</t>
        </is>
      </c>
      <c r="AM141" t="inlineStr">
        <is>
          <t>Consumer Cyclical</t>
        </is>
      </c>
      <c r="AN141" t="inlineStr">
        <is>
          <t>Recreational Vehicles</t>
        </is>
      </c>
      <c r="AO141" t="n">
        <v>90</v>
      </c>
    </row>
    <row r="142">
      <c r="A142" s="64" t="inlineStr">
        <is>
          <t>SHC</t>
        </is>
      </c>
      <c r="B142" s="65" t="n"/>
      <c r="C142" s="66" t="n"/>
      <c r="D142" s="67" t="n"/>
      <c r="E142" s="68" t="n"/>
      <c r="F142" s="47">
        <f>IF(A142="","",IF(MIN(H142,MAX(J142:K142))=0,"",MIN(H142,MAX(J142:K142))))</f>
        <v/>
      </c>
      <c r="G142" s="74" t="n"/>
      <c r="H142" s="49">
        <f>IF(M142="","",IFERROR(ROUND(AVERAGE(T142+M142*{7,8,9,10,11})/1.21,4),""))</f>
        <v/>
      </c>
      <c r="I142" s="76" t="n">
        <v>19.18000030517578</v>
      </c>
      <c r="J142" s="77" t="n">
        <v>18.86750856004086</v>
      </c>
      <c r="K142" s="74" t="n">
        <v>18.23650007247925</v>
      </c>
      <c r="L142" s="78" t="n">
        <v>14.39577497959137</v>
      </c>
      <c r="M142" s="77" t="n">
        <v>0.4431528997602593</v>
      </c>
      <c r="N142" s="53">
        <f>IF(M142="","",IFERROR(M142/I142,""))</f>
        <v/>
      </c>
      <c r="O142" s="50">
        <f>IF(A142="","",IFERROR((IF(G142="",I142,G142)-T142)/M142,""))</f>
        <v/>
      </c>
      <c r="P142" s="50">
        <f>IFERROR((I142/T142-1)/N142,"")</f>
        <v/>
      </c>
      <c r="Q142" s="46">
        <f>IF(OR(T142="",I142&lt;T142),"",IFERROR(R142/IF(G142="",I142,G142)-1,""))</f>
        <v/>
      </c>
      <c r="R142" s="48">
        <f>IF($M142="","",MAX(IF($G142="",$I142,$G142)*(1/1.1),IF($G142="",$I142,$G142)+(R$2*$M142)))</f>
        <v/>
      </c>
      <c r="S142" s="49">
        <f>IF($M142="","",MAX(IF($G142="",$I142,$G142)*(1/1.1),IF($G142="",$I142,$G142)+(S$2*$M142)))</f>
        <v/>
      </c>
      <c r="T142" s="82" t="n">
        <v>17.16260002136231</v>
      </c>
      <c r="U142" s="47">
        <f>IF(OR($M142="",$T142=""),"",$T142+(U$2*$M142))</f>
        <v/>
      </c>
      <c r="V142" s="48">
        <f>IF(OR($M142="",$T142=""),"",$T142+(V$2*$M142))</f>
        <v/>
      </c>
      <c r="W142" s="48">
        <f>IF(OR($M142="",$T142=""),"",$T142+(W$2*$M142))</f>
        <v/>
      </c>
      <c r="X142" s="49">
        <f>IF(OR($M142="",$T142=""),"",$T142+(X$2*$M142))</f>
        <v/>
      </c>
      <c r="Y142" s="47">
        <f>IF(OR($M142="",$T142=""),"",$T142+(Y$2*$M142))</f>
        <v/>
      </c>
      <c r="Z142" s="49">
        <f>IF(OR($M142="",$T142=""),"",$T142+(Z$2*$M142))</f>
        <v/>
      </c>
      <c r="AA142" s="51">
        <f>IF(OR($M142="",$T142=""),"",$T142+(AA$2*$M142))</f>
        <v/>
      </c>
      <c r="AB142" s="48">
        <f>IF(OR($M142="",$T142=""),"",$T142+(AB$2*$M142))</f>
        <v/>
      </c>
      <c r="AC142" s="48">
        <f>IF(OR($M142="",$T142=""),"",$T142+(AC$2*$M142))</f>
        <v/>
      </c>
      <c r="AD142" s="48">
        <f>IF(OR($M142="",$T142=""),"",$T142+(AD$2*$M142))</f>
        <v/>
      </c>
      <c r="AE142" s="49">
        <f>IF(OR($M142="",$T142=""),"",$T142+(AE$2*$M142))</f>
        <v/>
      </c>
      <c r="AF142" s="52">
        <f>IF(OR(T142="",I142&lt;T142),"",IFERROR(AVERAGE(T142+M142*{7,8,9,10,11})/IF(G142="",I142,G142)-1,""))</f>
        <v/>
      </c>
      <c r="AG142" s="55">
        <f>IF(OR(T142="",I142&lt;T142),"",IFERROR(AF142/-(R142/IF(G142="",I142,G142)-1),""))</f>
        <v/>
      </c>
      <c r="AH142" s="94" t="n">
        <v>1</v>
      </c>
      <c r="AI142" s="94" t="n">
        <v>138.2841966998203</v>
      </c>
      <c r="AJ142" s="94" t="n">
        <v>1</v>
      </c>
      <c r="AK142" s="94" t="inlineStr">
        <is>
          <t>OTT Up Trend</t>
        </is>
      </c>
      <c r="AL142" s="84" t="inlineStr">
        <is>
          <t>Sotera Health Company</t>
        </is>
      </c>
      <c r="AM142" t="inlineStr">
        <is>
          <t>Healthcare</t>
        </is>
      </c>
      <c r="AN142" t="inlineStr">
        <is>
          <t>Diagnostics &amp; Research</t>
        </is>
      </c>
      <c r="AO142" t="n">
        <v>90</v>
      </c>
    </row>
    <row r="143">
      <c r="A143" s="64" t="inlineStr">
        <is>
          <t>FCX</t>
        </is>
      </c>
      <c r="B143" s="65" t="n"/>
      <c r="C143" s="66" t="n"/>
      <c r="D143" s="67" t="n"/>
      <c r="E143" s="68" t="n"/>
      <c r="F143" s="47">
        <f>IF(A143="","",IF(MIN(H143,MAX(J143:K143))=0,"",MIN(H143,MAX(J143:K143))))</f>
        <v/>
      </c>
      <c r="G143" s="74" t="n"/>
      <c r="H143" s="49">
        <f>IF(M143="","",IFERROR(ROUND(AVERAGE(T143+M143*{7,8,9,10,11})/1.21,4),""))</f>
        <v/>
      </c>
      <c r="I143" s="76" t="n">
        <v>58.70999908447266</v>
      </c>
      <c r="J143" s="77" t="n">
        <v>57.3286226947899</v>
      </c>
      <c r="K143" s="74" t="n">
        <v>54.20299987792968</v>
      </c>
      <c r="L143" s="78" t="n">
        <v>42.4609498500824</v>
      </c>
      <c r="M143" s="77" t="n">
        <v>1.807876433844102</v>
      </c>
      <c r="N143" s="53">
        <f>IF(M143="","",IFERROR(M143/I143,""))</f>
        <v/>
      </c>
      <c r="O143" s="50">
        <f>IF(A143="","",IFERROR((IF(G143="",I143,G143)-T143)/M143,""))</f>
        <v/>
      </c>
      <c r="P143" s="50">
        <f>IFERROR((I143/T143-1)/N143,"")</f>
        <v/>
      </c>
      <c r="Q143" s="46">
        <f>IF(OR(T143="",I143&lt;T143),"",IFERROR(R143/IF(G143="",I143,G143)-1,""))</f>
        <v/>
      </c>
      <c r="R143" s="48">
        <f>IF($M143="","",MAX(IF($G143="",$I143,$G143)*(1/1.1),IF($G143="",$I143,$G143)+(R$2*$M143)))</f>
        <v/>
      </c>
      <c r="S143" s="49">
        <f>IF($M143="","",MAX(IF($G143="",$I143,$G143)*(1/1.1),IF($G143="",$I143,$G143)+(S$2*$M143)))</f>
        <v/>
      </c>
      <c r="T143" s="82" t="n">
        <v>47.38000015258789</v>
      </c>
      <c r="U143" s="47">
        <f>IF(OR($M143="",$T143=""),"",$T143+(U$2*$M143))</f>
        <v/>
      </c>
      <c r="V143" s="48">
        <f>IF(OR($M143="",$T143=""),"",$T143+(V$2*$M143))</f>
        <v/>
      </c>
      <c r="W143" s="48">
        <f>IF(OR($M143="",$T143=""),"",$T143+(W$2*$M143))</f>
        <v/>
      </c>
      <c r="X143" s="49">
        <f>IF(OR($M143="",$T143=""),"",$T143+(X$2*$M143))</f>
        <v/>
      </c>
      <c r="Y143" s="47">
        <f>IF(OR($M143="",$T143=""),"",$T143+(Y$2*$M143))</f>
        <v/>
      </c>
      <c r="Z143" s="49">
        <f>IF(OR($M143="",$T143=""),"",$T143+(Z$2*$M143))</f>
        <v/>
      </c>
      <c r="AA143" s="51">
        <f>IF(OR($M143="",$T143=""),"",$T143+(AA$2*$M143))</f>
        <v/>
      </c>
      <c r="AB143" s="48">
        <f>IF(OR($M143="",$T143=""),"",$T143+(AB$2*$M143))</f>
        <v/>
      </c>
      <c r="AC143" s="48">
        <f>IF(OR($M143="",$T143=""),"",$T143+(AC$2*$M143))</f>
        <v/>
      </c>
      <c r="AD143" s="48">
        <f>IF(OR($M143="",$T143=""),"",$T143+(AD$2*$M143))</f>
        <v/>
      </c>
      <c r="AE143" s="49">
        <f>IF(OR($M143="",$T143=""),"",$T143+(AE$2*$M143))</f>
        <v/>
      </c>
      <c r="AF143" s="52">
        <f>IF(OR(T143="",I143&lt;T143),"",IFERROR(AVERAGE(T143+M143*{7,8,9,10,11})/IF(G143="",I143,G143)-1,""))</f>
        <v/>
      </c>
      <c r="AG143" s="55">
        <f>IF(OR(T143="",I143&lt;T143),"",IFERROR(AF143/-(R143/IF(G143="",I143,G143)-1),""))</f>
        <v/>
      </c>
      <c r="AH143" s="94" t="n">
        <v>1</v>
      </c>
      <c r="AI143" s="94" t="n">
        <v>204.3004185563534</v>
      </c>
      <c r="AJ143" s="94" t="n">
        <v>1</v>
      </c>
      <c r="AK143" s="94" t="inlineStr">
        <is>
          <t>OTT Up Trend</t>
        </is>
      </c>
      <c r="AL143" s="84" t="inlineStr">
        <is>
          <t>Freeport-McMoRan, Inc.</t>
        </is>
      </c>
      <c r="AM143" t="inlineStr">
        <is>
          <t>Basic Materials</t>
        </is>
      </c>
      <c r="AN143" t="inlineStr">
        <is>
          <t>Copper</t>
        </is>
      </c>
      <c r="AO143" t="n">
        <v>90</v>
      </c>
    </row>
    <row r="144">
      <c r="A144" s="64" t="inlineStr">
        <is>
          <t>HCSG</t>
        </is>
      </c>
      <c r="B144" s="65" t="n"/>
      <c r="C144" s="66" t="n"/>
      <c r="D144" s="67" t="n"/>
      <c r="E144" s="68" t="n"/>
      <c r="F144" s="47">
        <f>IF(A144="","",IF(MIN(H144,MAX(J144:K144))=0,"",MIN(H144,MAX(J144:K144))))</f>
        <v/>
      </c>
      <c r="G144" s="74" t="n"/>
      <c r="H144" s="49">
        <f>IF(M144="","",IFERROR(ROUND(AVERAGE(T144+M144*{7,8,9,10,11})/1.21,4),""))</f>
        <v/>
      </c>
      <c r="I144" s="76" t="n">
        <v>19.09000015258789</v>
      </c>
      <c r="J144" s="77" t="n">
        <v>19.11553777047518</v>
      </c>
      <c r="K144" s="74" t="n">
        <v>19.19250030517578</v>
      </c>
      <c r="L144" s="78" t="n">
        <v>15.61800005912781</v>
      </c>
      <c r="M144" s="77" t="n">
        <v>0.6508332980954498</v>
      </c>
      <c r="N144" s="53">
        <f>IF(M144="","",IFERROR(M144/I144,""))</f>
        <v/>
      </c>
      <c r="O144" s="50">
        <f>IF(A144="","",IFERROR((IF(G144="",I144,G144)-T144)/M144,""))</f>
        <v/>
      </c>
      <c r="P144" s="50">
        <f>IFERROR((I144/T144-1)/N144,"")</f>
        <v/>
      </c>
      <c r="Q144" s="46">
        <f>IF(OR(T144="",I144&lt;T144),"",IFERROR(R144/IF(G144="",I144,G144)-1,""))</f>
        <v/>
      </c>
      <c r="R144" s="48">
        <f>IF($M144="","",MAX(IF($G144="",$I144,$G144)*(1/1.1),IF($G144="",$I144,$G144)+(R$2*$M144)))</f>
        <v/>
      </c>
      <c r="S144" s="49">
        <f>IF($M144="","",MAX(IF($G144="",$I144,$G144)*(1/1.1),IF($G144="",$I144,$G144)+(S$2*$M144)))</f>
        <v/>
      </c>
      <c r="T144" s="82" t="n">
        <v>18.63900016784668</v>
      </c>
      <c r="U144" s="47">
        <f>IF(OR($M144="",$T144=""),"",$T144+(U$2*$M144))</f>
        <v/>
      </c>
      <c r="V144" s="48">
        <f>IF(OR($M144="",$T144=""),"",$T144+(V$2*$M144))</f>
        <v/>
      </c>
      <c r="W144" s="48">
        <f>IF(OR($M144="",$T144=""),"",$T144+(W$2*$M144))</f>
        <v/>
      </c>
      <c r="X144" s="49">
        <f>IF(OR($M144="",$T144=""),"",$T144+(X$2*$M144))</f>
        <v/>
      </c>
      <c r="Y144" s="47">
        <f>IF(OR($M144="",$T144=""),"",$T144+(Y$2*$M144))</f>
        <v/>
      </c>
      <c r="Z144" s="49">
        <f>IF(OR($M144="",$T144=""),"",$T144+(Z$2*$M144))</f>
        <v/>
      </c>
      <c r="AA144" s="51">
        <f>IF(OR($M144="",$T144=""),"",$T144+(AA$2*$M144))</f>
        <v/>
      </c>
      <c r="AB144" s="48">
        <f>IF(OR($M144="",$T144=""),"",$T144+(AB$2*$M144))</f>
        <v/>
      </c>
      <c r="AC144" s="48">
        <f>IF(OR($M144="",$T144=""),"",$T144+(AC$2*$M144))</f>
        <v/>
      </c>
      <c r="AD144" s="48">
        <f>IF(OR($M144="",$T144=""),"",$T144+(AD$2*$M144))</f>
        <v/>
      </c>
      <c r="AE144" s="49">
        <f>IF(OR($M144="",$T144=""),"",$T144+(AE$2*$M144))</f>
        <v/>
      </c>
      <c r="AF144" s="52">
        <f>IF(OR(T144="",I144&lt;T144),"",IFERROR(AVERAGE(T144+M144*{7,8,9,10,11})/IF(G144="",I144,G144)-1,""))</f>
        <v/>
      </c>
      <c r="AG144" s="55">
        <f>IF(OR(T144="",I144&lt;T144),"",IFERROR(AF144/-(R144/IF(G144="",I144,G144)-1),""))</f>
        <v/>
      </c>
      <c r="AH144" s="94" t="n">
        <v>-1</v>
      </c>
      <c r="AI144" s="94" t="n">
        <v>16.50431218390046</v>
      </c>
      <c r="AJ144" s="94" t="n">
        <v>0</v>
      </c>
      <c r="AK144" s="94" t="inlineStr">
        <is>
          <t>None</t>
        </is>
      </c>
      <c r="AL144" s="84" t="inlineStr">
        <is>
          <t>Healthcare Services Group, Inc.</t>
        </is>
      </c>
      <c r="AM144" t="inlineStr">
        <is>
          <t>Healthcare</t>
        </is>
      </c>
      <c r="AN144" t="inlineStr">
        <is>
          <t>Medical Care Facilities</t>
        </is>
      </c>
      <c r="AO144" t="n">
        <v>90</v>
      </c>
    </row>
    <row r="145">
      <c r="A145" s="64" t="inlineStr">
        <is>
          <t>ADAM</t>
        </is>
      </c>
      <c r="B145" s="65" t="n"/>
      <c r="C145" s="66" t="n"/>
      <c r="D145" s="67" t="n"/>
      <c r="E145" s="68" t="n"/>
      <c r="F145" s="47">
        <f>IF(A145="","",IF(MIN(H145,MAX(J145:K145))=0,"",MIN(H145,MAX(J145:K145))))</f>
        <v/>
      </c>
      <c r="G145" s="74" t="n"/>
      <c r="H145" s="49">
        <f>IF(M145="","",IFERROR(ROUND(AVERAGE(T145+M145*{7,8,9,10,11})/1.21,4),""))</f>
        <v/>
      </c>
      <c r="I145" s="76" t="n">
        <v>8.729999542236328</v>
      </c>
      <c r="J145" s="77" t="n">
        <v>7.996433425202302</v>
      </c>
      <c r="K145" s="74" t="n">
        <v>7.591000008583069</v>
      </c>
      <c r="L145" s="78" t="n">
        <v>6.860300004482269</v>
      </c>
      <c r="M145" s="77" t="n">
        <v>0.2208317977515471</v>
      </c>
      <c r="N145" s="53">
        <f>IF(M145="","",IFERROR(M145/I145,""))</f>
        <v/>
      </c>
      <c r="O145" s="50">
        <f>IF(A145="","",IFERROR((IF(G145="",I145,G145)-T145)/M145,""))</f>
        <v/>
      </c>
      <c r="P145" s="50">
        <f>IFERROR((I145/T145-1)/N145,"")</f>
        <v/>
      </c>
      <c r="Q145" s="46">
        <f>IF(OR(T145="",I145&lt;T145),"",IFERROR(R145/IF(G145="",I145,G145)-1,""))</f>
        <v/>
      </c>
      <c r="R145" s="48">
        <f>IF($M145="","",MAX(IF($G145="",$I145,$G145)*(1/1.1),IF($G145="",$I145,$G145)+(R$2*$M145)))</f>
        <v/>
      </c>
      <c r="S145" s="49">
        <f>IF($M145="","",MAX(IF($G145="",$I145,$G145)*(1/1.1),IF($G145="",$I145,$G145)+(S$2*$M145)))</f>
        <v/>
      </c>
      <c r="T145" s="82" t="n">
        <v>7.373600006103516</v>
      </c>
      <c r="U145" s="47">
        <f>IF(OR($M145="",$T145=""),"",$T145+(U$2*$M145))</f>
        <v/>
      </c>
      <c r="V145" s="48">
        <f>IF(OR($M145="",$T145=""),"",$T145+(V$2*$M145))</f>
        <v/>
      </c>
      <c r="W145" s="48">
        <f>IF(OR($M145="",$T145=""),"",$T145+(W$2*$M145))</f>
        <v/>
      </c>
      <c r="X145" s="49">
        <f>IF(OR($M145="",$T145=""),"",$T145+(X$2*$M145))</f>
        <v/>
      </c>
      <c r="Y145" s="47">
        <f>IF(OR($M145="",$T145=""),"",$T145+(Y$2*$M145))</f>
        <v/>
      </c>
      <c r="Z145" s="49">
        <f>IF(OR($M145="",$T145=""),"",$T145+(Z$2*$M145))</f>
        <v/>
      </c>
      <c r="AA145" s="51">
        <f>IF(OR($M145="",$T145=""),"",$T145+(AA$2*$M145))</f>
        <v/>
      </c>
      <c r="AB145" s="48">
        <f>IF(OR($M145="",$T145=""),"",$T145+(AB$2*$M145))</f>
        <v/>
      </c>
      <c r="AC145" s="48">
        <f>IF(OR($M145="",$T145=""),"",$T145+(AC$2*$M145))</f>
        <v/>
      </c>
      <c r="AD145" s="48">
        <f>IF(OR($M145="",$T145=""),"",$T145+(AD$2*$M145))</f>
        <v/>
      </c>
      <c r="AE145" s="49">
        <f>IF(OR($M145="",$T145=""),"",$T145+(AE$2*$M145))</f>
        <v/>
      </c>
      <c r="AF145" s="52">
        <f>IF(OR(T145="",I145&lt;T145),"",IFERROR(AVERAGE(T145+M145*{7,8,9,10,11})/IF(G145="",I145,G145)-1,""))</f>
        <v/>
      </c>
      <c r="AG145" s="55">
        <f>IF(OR(T145="",I145&lt;T145),"",IFERROR(AF145/-(R145/IF(G145="",I145,G145)-1),""))</f>
        <v/>
      </c>
      <c r="AH145" s="94" t="n">
        <v>1</v>
      </c>
      <c r="AI145" s="94" t="n">
        <v>140.2523346475076</v>
      </c>
      <c r="AJ145" s="94" t="n">
        <v>1</v>
      </c>
      <c r="AK145" s="94" t="inlineStr">
        <is>
          <t>OTT Up Trend</t>
        </is>
      </c>
      <c r="AL145" s="84" t="inlineStr">
        <is>
          <t>Adamas Trust, Inc.</t>
        </is>
      </c>
      <c r="AM145" t="inlineStr">
        <is>
          <t>Real Estate</t>
        </is>
      </c>
      <c r="AN145" t="inlineStr">
        <is>
          <t>REIT - Mortgage</t>
        </is>
      </c>
      <c r="AO145" t="n">
        <v>90</v>
      </c>
    </row>
    <row r="146">
      <c r="A146" s="64" t="inlineStr">
        <is>
          <t>MTZ</t>
        </is>
      </c>
      <c r="B146" s="65" t="n"/>
      <c r="C146" s="66" t="n"/>
      <c r="D146" s="67" t="n"/>
      <c r="E146" s="68" t="n"/>
      <c r="F146" s="47">
        <f>IF(A146="","",IF(MIN(H146,MAX(J146:K146))=0,"",MIN(H146,MAX(J146:K146))))</f>
        <v/>
      </c>
      <c r="G146" s="74" t="n"/>
      <c r="H146" s="49">
        <f>IF(M146="","",IFERROR(ROUND(AVERAGE(T146+M146*{7,8,9,10,11})/1.21,4),""))</f>
        <v/>
      </c>
      <c r="I146" s="76" t="n">
        <v>242.3099975585938</v>
      </c>
      <c r="J146" s="77" t="n">
        <v>229.8580422980733</v>
      </c>
      <c r="K146" s="74" t="n">
        <v>225.7154991149902</v>
      </c>
      <c r="L146" s="78" t="n">
        <v>182.4299998855591</v>
      </c>
      <c r="M146" s="77" t="n">
        <v>9.476429778616335</v>
      </c>
      <c r="N146" s="53">
        <f>IF(M146="","",IFERROR(M146/I146,""))</f>
        <v/>
      </c>
      <c r="O146" s="50">
        <f>IF(A146="","",IFERROR((IF(G146="",I146,G146)-T146)/M146,""))</f>
        <v/>
      </c>
      <c r="P146" s="50">
        <f>IFERROR((I146/T146-1)/N146,"")</f>
        <v/>
      </c>
      <c r="Q146" s="46">
        <f>IF(OR(T146="",I146&lt;T146),"",IFERROR(R146/IF(G146="",I146,G146)-1,""))</f>
        <v/>
      </c>
      <c r="R146" s="48">
        <f>IF($M146="","",MAX(IF($G146="",$I146,$G146)*(1/1.1),IF($G146="",$I146,$G146)+(R$2*$M146)))</f>
        <v/>
      </c>
      <c r="S146" s="49">
        <f>IF($M146="","",MAX(IF($G146="",$I146,$G146)*(1/1.1),IF($G146="",$I146,$G146)+(S$2*$M146)))</f>
        <v/>
      </c>
      <c r="T146" s="82" t="n">
        <v>214.9919998168945</v>
      </c>
      <c r="U146" s="47">
        <f>IF(OR($M146="",$T146=""),"",$T146+(U$2*$M146))</f>
        <v/>
      </c>
      <c r="V146" s="48">
        <f>IF(OR($M146="",$T146=""),"",$T146+(V$2*$M146))</f>
        <v/>
      </c>
      <c r="W146" s="48">
        <f>IF(OR($M146="",$T146=""),"",$T146+(W$2*$M146))</f>
        <v/>
      </c>
      <c r="X146" s="49">
        <f>IF(OR($M146="",$T146=""),"",$T146+(X$2*$M146))</f>
        <v/>
      </c>
      <c r="Y146" s="47">
        <f>IF(OR($M146="",$T146=""),"",$T146+(Y$2*$M146))</f>
        <v/>
      </c>
      <c r="Z146" s="49">
        <f>IF(OR($M146="",$T146=""),"",$T146+(Z$2*$M146))</f>
        <v/>
      </c>
      <c r="AA146" s="51">
        <f>IF(OR($M146="",$T146=""),"",$T146+(AA$2*$M146))</f>
        <v/>
      </c>
      <c r="AB146" s="48">
        <f>IF(OR($M146="",$T146=""),"",$T146+(AB$2*$M146))</f>
        <v/>
      </c>
      <c r="AC146" s="48">
        <f>IF(OR($M146="",$T146=""),"",$T146+(AC$2*$M146))</f>
        <v/>
      </c>
      <c r="AD146" s="48">
        <f>IF(OR($M146="",$T146=""),"",$T146+(AD$2*$M146))</f>
        <v/>
      </c>
      <c r="AE146" s="49">
        <f>IF(OR($M146="",$T146=""),"",$T146+(AE$2*$M146))</f>
        <v/>
      </c>
      <c r="AF146" s="52">
        <f>IF(OR(T146="",I146&lt;T146),"",IFERROR(AVERAGE(T146+M146*{7,8,9,10,11})/IF(G146="",I146,G146)-1,""))</f>
        <v/>
      </c>
      <c r="AG146" s="55">
        <f>IF(OR(T146="",I146&lt;T146),"",IFERROR(AF146/-(R146/IF(G146="",I146,G146)-1),""))</f>
        <v/>
      </c>
      <c r="AH146" s="94" t="n">
        <v>1</v>
      </c>
      <c r="AI146" s="94" t="n">
        <v>51.06181435122608</v>
      </c>
      <c r="AJ146" s="94" t="n">
        <v>1</v>
      </c>
      <c r="AK146" s="94" t="inlineStr">
        <is>
          <t>OTT Up Trend</t>
        </is>
      </c>
      <c r="AL146" s="84" t="inlineStr">
        <is>
          <t>MasTec, Inc.</t>
        </is>
      </c>
      <c r="AM146" t="inlineStr">
        <is>
          <t>Industrials</t>
        </is>
      </c>
      <c r="AN146" t="inlineStr">
        <is>
          <t>Engineering &amp; Construction</t>
        </is>
      </c>
      <c r="AO146" t="n">
        <v>90</v>
      </c>
    </row>
    <row r="147">
      <c r="A147" s="64" t="inlineStr">
        <is>
          <t>NGVT</t>
        </is>
      </c>
      <c r="B147" s="65" t="n"/>
      <c r="C147" s="66" t="n"/>
      <c r="D147" s="67" t="n"/>
      <c r="E147" s="68" t="n"/>
      <c r="F147" s="47">
        <f>IF(A147="","",IF(MIN(H147,MAX(J147:K147))=0,"",MIN(H147,MAX(J147:K147))))</f>
        <v/>
      </c>
      <c r="G147" s="74" t="n"/>
      <c r="H147" s="49">
        <f>IF(M147="","",IFERROR(ROUND(AVERAGE(T147+M147*{7,8,9,10,11})/1.21,4),""))</f>
        <v/>
      </c>
      <c r="I147" s="76" t="n">
        <v>66.16999816894531</v>
      </c>
      <c r="J147" s="77" t="n">
        <v>64.52502099421656</v>
      </c>
      <c r="K147" s="74" t="n">
        <v>62</v>
      </c>
      <c r="L147" s="78" t="n">
        <v>49.29655000686645</v>
      </c>
      <c r="M147" s="77" t="n">
        <v>1.841464269524599</v>
      </c>
      <c r="N147" s="53">
        <f>IF(M147="","",IFERROR(M147/I147,""))</f>
        <v/>
      </c>
      <c r="O147" s="50">
        <f>IF(A147="","",IFERROR((IF(G147="",I147,G147)-T147)/M147,""))</f>
        <v/>
      </c>
      <c r="P147" s="50">
        <f>IFERROR((I147/T147-1)/N147,"")</f>
        <v/>
      </c>
      <c r="Q147" s="46">
        <f>IF(OR(T147="",I147&lt;T147),"",IFERROR(R147/IF(G147="",I147,G147)-1,""))</f>
        <v/>
      </c>
      <c r="R147" s="48">
        <f>IF($M147="","",MAX(IF($G147="",$I147,$G147)*(1/1.1),IF($G147="",$I147,$G147)+(R$2*$M147)))</f>
        <v/>
      </c>
      <c r="S147" s="49">
        <f>IF($M147="","",MAX(IF($G147="",$I147,$G147)*(1/1.1),IF($G147="",$I147,$G147)+(S$2*$M147)))</f>
        <v/>
      </c>
      <c r="T147" s="82" t="n">
        <v>56.15779991149903</v>
      </c>
      <c r="U147" s="47">
        <f>IF(OR($M147="",$T147=""),"",$T147+(U$2*$M147))</f>
        <v/>
      </c>
      <c r="V147" s="48">
        <f>IF(OR($M147="",$T147=""),"",$T147+(V$2*$M147))</f>
        <v/>
      </c>
      <c r="W147" s="48">
        <f>IF(OR($M147="",$T147=""),"",$T147+(W$2*$M147))</f>
        <v/>
      </c>
      <c r="X147" s="49">
        <f>IF(OR($M147="",$T147=""),"",$T147+(X$2*$M147))</f>
        <v/>
      </c>
      <c r="Y147" s="47">
        <f>IF(OR($M147="",$T147=""),"",$T147+(Y$2*$M147))</f>
        <v/>
      </c>
      <c r="Z147" s="49">
        <f>IF(OR($M147="",$T147=""),"",$T147+(Z$2*$M147))</f>
        <v/>
      </c>
      <c r="AA147" s="51">
        <f>IF(OR($M147="",$T147=""),"",$T147+(AA$2*$M147))</f>
        <v/>
      </c>
      <c r="AB147" s="48">
        <f>IF(OR($M147="",$T147=""),"",$T147+(AB$2*$M147))</f>
        <v/>
      </c>
      <c r="AC147" s="48">
        <f>IF(OR($M147="",$T147=""),"",$T147+(AC$2*$M147))</f>
        <v/>
      </c>
      <c r="AD147" s="48">
        <f>IF(OR($M147="",$T147=""),"",$T147+(AD$2*$M147))</f>
        <v/>
      </c>
      <c r="AE147" s="49">
        <f>IF(OR($M147="",$T147=""),"",$T147+(AE$2*$M147))</f>
        <v/>
      </c>
      <c r="AF147" s="52">
        <f>IF(OR(T147="",I147&lt;T147),"",IFERROR(AVERAGE(T147+M147*{7,8,9,10,11})/IF(G147="",I147,G147)-1,""))</f>
        <v/>
      </c>
      <c r="AG147" s="55">
        <f>IF(OR(T147="",I147&lt;T147),"",IFERROR(AF147/-(R147/IF(G147="",I147,G147)-1),""))</f>
        <v/>
      </c>
      <c r="AH147" s="94" t="n">
        <v>1</v>
      </c>
      <c r="AI147" s="94" t="n">
        <v>146.3567891207409</v>
      </c>
      <c r="AJ147" s="94" t="n">
        <v>1</v>
      </c>
      <c r="AK147" s="94" t="inlineStr">
        <is>
          <t>OTT Up Trend</t>
        </is>
      </c>
      <c r="AL147" s="84" t="inlineStr">
        <is>
          <t>Ingevity Corporation</t>
        </is>
      </c>
      <c r="AM147" t="inlineStr">
        <is>
          <t>Basic Materials</t>
        </is>
      </c>
      <c r="AN147" t="inlineStr">
        <is>
          <t>Specialty Chemicals</t>
        </is>
      </c>
      <c r="AO147" t="n">
        <v>90</v>
      </c>
    </row>
    <row r="148">
      <c r="A148" s="64" t="inlineStr">
        <is>
          <t>DVAX</t>
        </is>
      </c>
      <c r="B148" s="65" t="n"/>
      <c r="C148" s="66" t="n"/>
      <c r="D148" s="67" t="n"/>
      <c r="E148" s="68" t="n"/>
      <c r="F148" s="47">
        <f>IF(A148="","",IF(MIN(H148,MAX(J148:K148))=0,"",MIN(H148,MAX(J148:K148))))</f>
        <v/>
      </c>
      <c r="G148" s="74" t="n"/>
      <c r="H148" s="49">
        <f>IF(M148="","",IFERROR(ROUND(AVERAGE(T148+M148*{7,8,9,10,11})/1.21,4),""))</f>
        <v/>
      </c>
      <c r="I148" s="76" t="n">
        <v>15.63000011444092</v>
      </c>
      <c r="J148" s="77" t="n">
        <v>15.37535096868419</v>
      </c>
      <c r="K148" s="74" t="n">
        <v>14.58000001907349</v>
      </c>
      <c r="L148" s="78" t="n">
        <v>10.91154999256134</v>
      </c>
      <c r="M148" s="77" t="n">
        <v>0.2424960298498476</v>
      </c>
      <c r="N148" s="53">
        <f>IF(M148="","",IFERROR(M148/I148,""))</f>
        <v/>
      </c>
      <c r="O148" s="50">
        <f>IF(A148="","",IFERROR((IF(G148="",I148,G148)-T148)/M148,""))</f>
        <v/>
      </c>
      <c r="P148" s="50">
        <f>IFERROR((I148/T148-1)/N148,"")</f>
        <v/>
      </c>
      <c r="Q148" s="46">
        <f>IF(OR(T148="",I148&lt;T148),"",IFERROR(R148/IF(G148="",I148,G148)-1,""))</f>
        <v/>
      </c>
      <c r="R148" s="48">
        <f>IF($M148="","",MAX(IF($G148="",$I148,$G148)*(1/1.1),IF($G148="",$I148,$G148)+(R$2*$M148)))</f>
        <v/>
      </c>
      <c r="S148" s="49">
        <f>IF($M148="","",MAX(IF($G148="",$I148,$G148)*(1/1.1),IF($G148="",$I148,$G148)+(S$2*$M148)))</f>
        <v/>
      </c>
      <c r="T148" s="82" t="n">
        <v>12.43740005493164</v>
      </c>
      <c r="U148" s="47">
        <f>IF(OR($M148="",$T148=""),"",$T148+(U$2*$M148))</f>
        <v/>
      </c>
      <c r="V148" s="48">
        <f>IF(OR($M148="",$T148=""),"",$T148+(V$2*$M148))</f>
        <v/>
      </c>
      <c r="W148" s="48">
        <f>IF(OR($M148="",$T148=""),"",$T148+(W$2*$M148))</f>
        <v/>
      </c>
      <c r="X148" s="49">
        <f>IF(OR($M148="",$T148=""),"",$T148+(X$2*$M148))</f>
        <v/>
      </c>
      <c r="Y148" s="47">
        <f>IF(OR($M148="",$T148=""),"",$T148+(Y$2*$M148))</f>
        <v/>
      </c>
      <c r="Z148" s="49">
        <f>IF(OR($M148="",$T148=""),"",$T148+(Z$2*$M148))</f>
        <v/>
      </c>
      <c r="AA148" s="51">
        <f>IF(OR($M148="",$T148=""),"",$T148+(AA$2*$M148))</f>
        <v/>
      </c>
      <c r="AB148" s="48">
        <f>IF(OR($M148="",$T148=""),"",$T148+(AB$2*$M148))</f>
        <v/>
      </c>
      <c r="AC148" s="48">
        <f>IF(OR($M148="",$T148=""),"",$T148+(AC$2*$M148))</f>
        <v/>
      </c>
      <c r="AD148" s="48">
        <f>IF(OR($M148="",$T148=""),"",$T148+(AD$2*$M148))</f>
        <v/>
      </c>
      <c r="AE148" s="49">
        <f>IF(OR($M148="",$T148=""),"",$T148+(AE$2*$M148))</f>
        <v/>
      </c>
      <c r="AF148" s="52">
        <f>IF(OR(T148="",I148&lt;T148),"",IFERROR(AVERAGE(T148+M148*{7,8,9,10,11})/IF(G148="",I148,G148)-1,""))</f>
        <v/>
      </c>
      <c r="AG148" s="55">
        <f>IF(OR(T148="",I148&lt;T148),"",IFERROR(AF148/-(R148/IF(G148="",I148,G148)-1),""))</f>
        <v/>
      </c>
      <c r="AH148" s="94" t="n">
        <v>1</v>
      </c>
      <c r="AI148" s="94" t="n">
        <v>374.0634147970728</v>
      </c>
      <c r="AJ148" s="94" t="n">
        <v>1</v>
      </c>
      <c r="AK148" s="94" t="inlineStr">
        <is>
          <t>OTT Up Trend</t>
        </is>
      </c>
      <c r="AL148" s="84" t="inlineStr">
        <is>
          <t>Dynavax Technologies Corporatio</t>
        </is>
      </c>
      <c r="AM148" t="inlineStr">
        <is>
          <t>Healthcare</t>
        </is>
      </c>
      <c r="AN148" t="inlineStr">
        <is>
          <t>Drug Manufacturers - Specialty &amp; Generic</t>
        </is>
      </c>
      <c r="AO148" t="n">
        <v>90</v>
      </c>
    </row>
    <row r="149">
      <c r="A149" s="64" t="inlineStr">
        <is>
          <t>WCC</t>
        </is>
      </c>
      <c r="B149" s="65" t="n"/>
      <c r="C149" s="66" t="n"/>
      <c r="D149" s="67" t="n"/>
      <c r="E149" s="68" t="n"/>
      <c r="F149" s="47">
        <f>IF(A149="","",IF(MIN(H149,MAX(J149:K149))=0,"",MIN(H149,MAX(J149:K149))))</f>
        <v/>
      </c>
      <c r="G149" s="74" t="n"/>
      <c r="H149" s="49">
        <f>IF(M149="","",IFERROR(ROUND(AVERAGE(T149+M149*{7,8,9,10,11})/1.21,4),""))</f>
        <v/>
      </c>
      <c r="I149" s="76" t="n">
        <v>281.6300048828125</v>
      </c>
      <c r="J149" s="77" t="n">
        <v>273.084929390711</v>
      </c>
      <c r="K149" s="74" t="n">
        <v>262.0949966430664</v>
      </c>
      <c r="L149" s="78" t="n">
        <v>210.9393493652344</v>
      </c>
      <c r="M149" s="77" t="n">
        <v>8.230942295028088</v>
      </c>
      <c r="N149" s="53">
        <f>IF(M149="","",IFERROR(M149/I149,""))</f>
        <v/>
      </c>
      <c r="O149" s="50">
        <f>IF(A149="","",IFERROR((IF(G149="",I149,G149)-T149)/M149,""))</f>
        <v/>
      </c>
      <c r="P149" s="50">
        <f>IFERROR((I149/T149-1)/N149,"")</f>
        <v/>
      </c>
      <c r="Q149" s="46">
        <f>IF(OR(T149="",I149&lt;T149),"",IFERROR(R149/IF(G149="",I149,G149)-1,""))</f>
        <v/>
      </c>
      <c r="R149" s="48">
        <f>IF($M149="","",MAX(IF($G149="",$I149,$G149)*(1/1.1),IF($G149="",$I149,$G149)+(R$2*$M149)))</f>
        <v/>
      </c>
      <c r="S149" s="49">
        <f>IF($M149="","",MAX(IF($G149="",$I149,$G149)*(1/1.1),IF($G149="",$I149,$G149)+(S$2*$M149)))</f>
        <v/>
      </c>
      <c r="T149" s="82" t="n">
        <v>261.4351983642578</v>
      </c>
      <c r="U149" s="47">
        <f>IF(OR($M149="",$T149=""),"",$T149+(U$2*$M149))</f>
        <v/>
      </c>
      <c r="V149" s="48">
        <f>IF(OR($M149="",$T149=""),"",$T149+(V$2*$M149))</f>
        <v/>
      </c>
      <c r="W149" s="48">
        <f>IF(OR($M149="",$T149=""),"",$T149+(W$2*$M149))</f>
        <v/>
      </c>
      <c r="X149" s="49">
        <f>IF(OR($M149="",$T149=""),"",$T149+(X$2*$M149))</f>
        <v/>
      </c>
      <c r="Y149" s="47">
        <f>IF(OR($M149="",$T149=""),"",$T149+(Y$2*$M149))</f>
        <v/>
      </c>
      <c r="Z149" s="49">
        <f>IF(OR($M149="",$T149=""),"",$T149+(Z$2*$M149))</f>
        <v/>
      </c>
      <c r="AA149" s="51">
        <f>IF(OR($M149="",$T149=""),"",$T149+(AA$2*$M149))</f>
        <v/>
      </c>
      <c r="AB149" s="48">
        <f>IF(OR($M149="",$T149=""),"",$T149+(AB$2*$M149))</f>
        <v/>
      </c>
      <c r="AC149" s="48">
        <f>IF(OR($M149="",$T149=""),"",$T149+(AC$2*$M149))</f>
        <v/>
      </c>
      <c r="AD149" s="48">
        <f>IF(OR($M149="",$T149=""),"",$T149+(AD$2*$M149))</f>
        <v/>
      </c>
      <c r="AE149" s="49">
        <f>IF(OR($M149="",$T149=""),"",$T149+(AE$2*$M149))</f>
        <v/>
      </c>
      <c r="AF149" s="52">
        <f>IF(OR(T149="",I149&lt;T149),"",IFERROR(AVERAGE(T149+M149*{7,8,9,10,11})/IF(G149="",I149,G149)-1,""))</f>
        <v/>
      </c>
      <c r="AG149" s="55">
        <f>IF(OR(T149="",I149&lt;T149),"",IFERROR(AF149/-(R149/IF(G149="",I149,G149)-1),""))</f>
        <v/>
      </c>
      <c r="AH149" s="94" t="n">
        <v>1</v>
      </c>
      <c r="AI149" s="94" t="n">
        <v>73.75838904282639</v>
      </c>
      <c r="AJ149" s="94" t="n">
        <v>1</v>
      </c>
      <c r="AK149" s="94" t="inlineStr">
        <is>
          <t>OTT Up Trend</t>
        </is>
      </c>
      <c r="AL149" s="84" t="inlineStr">
        <is>
          <t>WESCO International, Inc.</t>
        </is>
      </c>
      <c r="AM149" t="inlineStr">
        <is>
          <t>Industrials</t>
        </is>
      </c>
      <c r="AN149" t="inlineStr">
        <is>
          <t>Industrial Distribution</t>
        </is>
      </c>
      <c r="AO149" t="n">
        <v>90</v>
      </c>
    </row>
    <row r="150">
      <c r="A150" s="64" t="inlineStr">
        <is>
          <t>CAH</t>
        </is>
      </c>
      <c r="B150" s="65" t="n"/>
      <c r="C150" s="66" t="n"/>
      <c r="D150" s="67" t="n"/>
      <c r="E150" s="68" t="n"/>
      <c r="F150" s="47">
        <f>IF(A150="","",IF(MIN(H150,MAX(J150:K150))=0,"",MIN(H150,MAX(J150:K150))))</f>
        <v/>
      </c>
      <c r="G150" s="74" t="n"/>
      <c r="H150" s="49">
        <f>IF(M150="","",IFERROR(ROUND(AVERAGE(T150+M150*{7,8,9,10,11})/1.21,4),""))</f>
        <v/>
      </c>
      <c r="I150" s="76" t="n">
        <v>212.4499969482422</v>
      </c>
      <c r="J150" s="77" t="n">
        <v>208.6616270344882</v>
      </c>
      <c r="K150" s="74" t="n">
        <v>206.5614997863769</v>
      </c>
      <c r="L150" s="78" t="n">
        <v>166.3777502822876</v>
      </c>
      <c r="M150" s="77" t="n">
        <v>4.056629967617368</v>
      </c>
      <c r="N150" s="53">
        <f>IF(M150="","",IFERROR(M150/I150,""))</f>
        <v/>
      </c>
      <c r="O150" s="50">
        <f>IF(A150="","",IFERROR((IF(G150="",I150,G150)-T150)/M150,""))</f>
        <v/>
      </c>
      <c r="P150" s="50">
        <f>IFERROR((I150/T150-1)/N150,"")</f>
        <v/>
      </c>
      <c r="Q150" s="46">
        <f>IF(OR(T150="",I150&lt;T150),"",IFERROR(R150/IF(G150="",I150,G150)-1,""))</f>
        <v/>
      </c>
      <c r="R150" s="48">
        <f>IF($M150="","",MAX(IF($G150="",$I150,$G150)*(1/1.1),IF($G150="",$I150,$G150)+(R$2*$M150)))</f>
        <v/>
      </c>
      <c r="S150" s="49">
        <f>IF($M150="","",MAX(IF($G150="",$I150,$G150)*(1/1.1),IF($G150="",$I150,$G150)+(S$2*$M150)))</f>
        <v/>
      </c>
      <c r="T150" s="82" t="n">
        <v>204.8557998657226</v>
      </c>
      <c r="U150" s="47">
        <f>IF(OR($M150="",$T150=""),"",$T150+(U$2*$M150))</f>
        <v/>
      </c>
      <c r="V150" s="48">
        <f>IF(OR($M150="",$T150=""),"",$T150+(V$2*$M150))</f>
        <v/>
      </c>
      <c r="W150" s="48">
        <f>IF(OR($M150="",$T150=""),"",$T150+(W$2*$M150))</f>
        <v/>
      </c>
      <c r="X150" s="49">
        <f>IF(OR($M150="",$T150=""),"",$T150+(X$2*$M150))</f>
        <v/>
      </c>
      <c r="Y150" s="47">
        <f>IF(OR($M150="",$T150=""),"",$T150+(Y$2*$M150))</f>
        <v/>
      </c>
      <c r="Z150" s="49">
        <f>IF(OR($M150="",$T150=""),"",$T150+(Z$2*$M150))</f>
        <v/>
      </c>
      <c r="AA150" s="51">
        <f>IF(OR($M150="",$T150=""),"",$T150+(AA$2*$M150))</f>
        <v/>
      </c>
      <c r="AB150" s="48">
        <f>IF(OR($M150="",$T150=""),"",$T150+(AB$2*$M150))</f>
        <v/>
      </c>
      <c r="AC150" s="48">
        <f>IF(OR($M150="",$T150=""),"",$T150+(AC$2*$M150))</f>
        <v/>
      </c>
      <c r="AD150" s="48">
        <f>IF(OR($M150="",$T150=""),"",$T150+(AD$2*$M150))</f>
        <v/>
      </c>
      <c r="AE150" s="49">
        <f>IF(OR($M150="",$T150=""),"",$T150+(AE$2*$M150))</f>
        <v/>
      </c>
      <c r="AF150" s="52">
        <f>IF(OR(T150="",I150&lt;T150),"",IFERROR(AVERAGE(T150+M150*{7,8,9,10,11})/IF(G150="",I150,G150)-1,""))</f>
        <v/>
      </c>
      <c r="AG150" s="55">
        <f>IF(OR(T150="",I150&lt;T150),"",IFERROR(AF150/-(R150/IF(G150="",I150,G150)-1),""))</f>
        <v/>
      </c>
      <c r="AH150" s="94" t="n">
        <v>1</v>
      </c>
      <c r="AI150" s="94" t="n">
        <v>66.80932890037916</v>
      </c>
      <c r="AJ150" s="94" t="n">
        <v>1</v>
      </c>
      <c r="AK150" s="94" t="inlineStr">
        <is>
          <t>OTT Turned Up</t>
        </is>
      </c>
      <c r="AL150" s="84" t="inlineStr">
        <is>
          <t>Cardinal Health, Inc.</t>
        </is>
      </c>
      <c r="AM150" t="inlineStr">
        <is>
          <t>Healthcare</t>
        </is>
      </c>
      <c r="AN150" t="inlineStr">
        <is>
          <t>Medical Distribution</t>
        </is>
      </c>
      <c r="AO150" t="n">
        <v>90</v>
      </c>
    </row>
    <row r="151">
      <c r="A151" s="64" t="inlineStr">
        <is>
          <t>TWO</t>
        </is>
      </c>
      <c r="B151" s="65" t="n"/>
      <c r="C151" s="66" t="n"/>
      <c r="D151" s="67" t="n"/>
      <c r="E151" s="68" t="n"/>
      <c r="F151" s="47">
        <f>IF(A151="","",IF(MIN(H151,MAX(J151:K151))=0,"",MIN(H151,MAX(J151:K151))))</f>
        <v/>
      </c>
      <c r="G151" s="74" t="n"/>
      <c r="H151" s="49">
        <f>IF(M151="","",IFERROR(ROUND(AVERAGE(T151+M151*{7,8,9,10,11})/1.21,4),""))</f>
        <v/>
      </c>
      <c r="I151" s="76" t="n">
        <v>14.10000038146973</v>
      </c>
      <c r="J151" s="77" t="n">
        <v>12.3376291984327</v>
      </c>
      <c r="K151" s="74" t="n">
        <v>11.4414999961853</v>
      </c>
      <c r="L151" s="78" t="n">
        <v>10.49954999923706</v>
      </c>
      <c r="M151" s="77" t="n">
        <v>0.5235744771273381</v>
      </c>
      <c r="N151" s="53">
        <f>IF(M151="","",IFERROR(M151/I151,""))</f>
        <v/>
      </c>
      <c r="O151" s="50">
        <f>IF(A151="","",IFERROR((IF(G151="",I151,G151)-T151)/M151,""))</f>
        <v/>
      </c>
      <c r="P151" s="50">
        <f>IFERROR((I151/T151-1)/N151,"")</f>
        <v/>
      </c>
      <c r="Q151" s="46">
        <f>IF(OR(T151="",I151&lt;T151),"",IFERROR(R151/IF(G151="",I151,G151)-1,""))</f>
        <v/>
      </c>
      <c r="R151" s="48">
        <f>IF($M151="","",MAX(IF($G151="",$I151,$G151)*(1/1.1),IF($G151="",$I151,$G151)+(R$2*$M151)))</f>
        <v/>
      </c>
      <c r="S151" s="49">
        <f>IF($M151="","",MAX(IF($G151="",$I151,$G151)*(1/1.1),IF($G151="",$I151,$G151)+(S$2*$M151)))</f>
        <v/>
      </c>
      <c r="T151" s="82" t="n">
        <v>10.52440002441406</v>
      </c>
      <c r="U151" s="47">
        <f>IF(OR($M151="",$T151=""),"",$T151+(U$2*$M151))</f>
        <v/>
      </c>
      <c r="V151" s="48">
        <f>IF(OR($M151="",$T151=""),"",$T151+(V$2*$M151))</f>
        <v/>
      </c>
      <c r="W151" s="48">
        <f>IF(OR($M151="",$T151=""),"",$T151+(W$2*$M151))</f>
        <v/>
      </c>
      <c r="X151" s="49">
        <f>IF(OR($M151="",$T151=""),"",$T151+(X$2*$M151))</f>
        <v/>
      </c>
      <c r="Y151" s="47">
        <f>IF(OR($M151="",$T151=""),"",$T151+(Y$2*$M151))</f>
        <v/>
      </c>
      <c r="Z151" s="49">
        <f>IF(OR($M151="",$T151=""),"",$T151+(Z$2*$M151))</f>
        <v/>
      </c>
      <c r="AA151" s="51">
        <f>IF(OR($M151="",$T151=""),"",$T151+(AA$2*$M151))</f>
        <v/>
      </c>
      <c r="AB151" s="48">
        <f>IF(OR($M151="",$T151=""),"",$T151+(AB$2*$M151))</f>
        <v/>
      </c>
      <c r="AC151" s="48">
        <f>IF(OR($M151="",$T151=""),"",$T151+(AC$2*$M151))</f>
        <v/>
      </c>
      <c r="AD151" s="48">
        <f>IF(OR($M151="",$T151=""),"",$T151+(AD$2*$M151))</f>
        <v/>
      </c>
      <c r="AE151" s="49">
        <f>IF(OR($M151="",$T151=""),"",$T151+(AE$2*$M151))</f>
        <v/>
      </c>
      <c r="AF151" s="52">
        <f>IF(OR(T151="",I151&lt;T151),"",IFERROR(AVERAGE(T151+M151*{7,8,9,10,11})/IF(G151="",I151,G151)-1,""))</f>
        <v/>
      </c>
      <c r="AG151" s="55">
        <f>IF(OR(T151="",I151&lt;T151),"",IFERROR(AF151/-(R151/IF(G151="",I151,G151)-1),""))</f>
        <v/>
      </c>
      <c r="AH151" s="94" t="n">
        <v>1</v>
      </c>
      <c r="AI151" s="94" t="n">
        <v>181.4466634503256</v>
      </c>
      <c r="AJ151" s="94" t="n">
        <v>1</v>
      </c>
      <c r="AK151" s="94" t="inlineStr">
        <is>
          <t>OTT Up Trend</t>
        </is>
      </c>
      <c r="AL151" s="84" t="inlineStr">
        <is>
          <t>Two Harbors Investment Corp</t>
        </is>
      </c>
      <c r="AM151" t="inlineStr">
        <is>
          <t>Real Estate</t>
        </is>
      </c>
      <c r="AN151" t="inlineStr">
        <is>
          <t>REIT - Mortgage</t>
        </is>
      </c>
      <c r="AO151" t="n">
        <v>90</v>
      </c>
    </row>
    <row r="152">
      <c r="A152" s="64" t="inlineStr">
        <is>
          <t>PLTR</t>
        </is>
      </c>
      <c r="B152" s="65" t="n"/>
      <c r="C152" s="66" t="n"/>
      <c r="D152" s="67" t="n"/>
      <c r="E152" s="68" t="n"/>
      <c r="F152" s="47">
        <f>IF(A152="","",IF(MIN(H152,MAX(J152:K152))=0,"",MIN(H152,MAX(J152:K152))))</f>
        <v/>
      </c>
      <c r="G152" s="74" t="n"/>
      <c r="H152" s="49">
        <f>IF(M152="","",IFERROR(ROUND(AVERAGE(T152+M152*{7,8,9,10,11})/1.21,4),""))</f>
        <v/>
      </c>
      <c r="I152" s="76" t="n">
        <v>170.9600067138672</v>
      </c>
      <c r="J152" s="77" t="n">
        <v>177.3715272061584</v>
      </c>
      <c r="K152" s="74" t="n">
        <v>181.7635009765625</v>
      </c>
      <c r="L152" s="78" t="n">
        <v>155.4388751602173</v>
      </c>
      <c r="M152" s="77" t="n">
        <v>7.448371976351578</v>
      </c>
      <c r="N152" s="53">
        <f>IF(M152="","",IFERROR(M152/I152,""))</f>
        <v/>
      </c>
      <c r="O152" s="50">
        <f>IF(A152="","",IFERROR((IF(G152="",I152,G152)-T152)/M152,""))</f>
        <v/>
      </c>
      <c r="P152" s="50">
        <f>IFERROR((I152/T152-1)/N152,"")</f>
        <v/>
      </c>
      <c r="Q152" s="46">
        <f>IF(OR(T152="",I152&lt;T152),"",IFERROR(R152/IF(G152="",I152,G152)-1,""))</f>
        <v/>
      </c>
      <c r="R152" s="48">
        <f>IF($M152="","",MAX(IF($G152="",$I152,$G152)*(1/1.1),IF($G152="",$I152,$G152)+(R$2*$M152)))</f>
        <v/>
      </c>
      <c r="S152" s="49">
        <f>IF($M152="","",MAX(IF($G152="",$I152,$G152)*(1/1.1),IF($G152="",$I152,$G152)+(S$2*$M152)))</f>
        <v/>
      </c>
      <c r="T152" s="82" t="n">
        <v>178.2047003173828</v>
      </c>
      <c r="U152" s="47">
        <f>IF(OR($M152="",$T152=""),"",$T152+(U$2*$M152))</f>
        <v/>
      </c>
      <c r="V152" s="48">
        <f>IF(OR($M152="",$T152=""),"",$T152+(V$2*$M152))</f>
        <v/>
      </c>
      <c r="W152" s="48">
        <f>IF(OR($M152="",$T152=""),"",$T152+(W$2*$M152))</f>
        <v/>
      </c>
      <c r="X152" s="49">
        <f>IF(OR($M152="",$T152=""),"",$T152+(X$2*$M152))</f>
        <v/>
      </c>
      <c r="Y152" s="47">
        <f>IF(OR($M152="",$T152=""),"",$T152+(Y$2*$M152))</f>
        <v/>
      </c>
      <c r="Z152" s="49">
        <f>IF(OR($M152="",$T152=""),"",$T152+(Z$2*$M152))</f>
        <v/>
      </c>
      <c r="AA152" s="51">
        <f>IF(OR($M152="",$T152=""),"",$T152+(AA$2*$M152))</f>
        <v/>
      </c>
      <c r="AB152" s="48">
        <f>IF(OR($M152="",$T152=""),"",$T152+(AB$2*$M152))</f>
        <v/>
      </c>
      <c r="AC152" s="48">
        <f>IF(OR($M152="",$T152=""),"",$T152+(AC$2*$M152))</f>
        <v/>
      </c>
      <c r="AD152" s="48">
        <f>IF(OR($M152="",$T152=""),"",$T152+(AD$2*$M152))</f>
        <v/>
      </c>
      <c r="AE152" s="49">
        <f>IF(OR($M152="",$T152=""),"",$T152+(AE$2*$M152))</f>
        <v/>
      </c>
      <c r="AF152" s="52">
        <f>IF(OR(T152="",I152&lt;T152),"",IFERROR(AVERAGE(T152+M152*{7,8,9,10,11})/IF(G152="",I152,G152)-1,""))</f>
        <v/>
      </c>
      <c r="AG152" s="55">
        <f>IF(OR(T152="",I152&lt;T152),"",IFERROR(AF152/-(R152/IF(G152="",I152,G152)-1),""))</f>
        <v/>
      </c>
      <c r="AH152" s="94" t="n">
        <v>-1</v>
      </c>
      <c r="AI152" s="94" t="n">
        <v>-19.3084929664925</v>
      </c>
      <c r="AJ152" s="94" t="n">
        <v>0</v>
      </c>
      <c r="AK152" s="94" t="inlineStr">
        <is>
          <t>None</t>
        </is>
      </c>
      <c r="AL152" s="84" t="inlineStr">
        <is>
          <t>Palantir Technologies Inc.</t>
        </is>
      </c>
      <c r="AM152" t="inlineStr">
        <is>
          <t>Technology</t>
        </is>
      </c>
      <c r="AN152" t="inlineStr">
        <is>
          <t>Software - Infrastructure</t>
        </is>
      </c>
      <c r="AO152" t="n">
        <v>90</v>
      </c>
    </row>
    <row r="153">
      <c r="A153" s="64" t="inlineStr">
        <is>
          <t>GEV</t>
        </is>
      </c>
      <c r="B153" s="65" t="n"/>
      <c r="C153" s="66" t="n"/>
      <c r="D153" s="67" t="n"/>
      <c r="E153" s="68" t="n"/>
      <c r="F153" s="47">
        <f>IF(A153="","",IF(MIN(H153,MAX(J153:K153))=0,"",MIN(H153,MAX(J153:K153))))</f>
        <v/>
      </c>
      <c r="G153" s="74" t="n"/>
      <c r="H153" s="49">
        <f>IF(M153="","",IFERROR(ROUND(AVERAGE(T153+M153*{7,8,9,10,11})/1.21,4),""))</f>
        <v/>
      </c>
      <c r="I153" s="76" t="n">
        <v>681.5499877929688</v>
      </c>
      <c r="J153" s="77" t="n">
        <v>654.6509472641093</v>
      </c>
      <c r="K153" s="74" t="n">
        <v>657.4100067138672</v>
      </c>
      <c r="L153" s="78" t="n">
        <v>552.3697505187988</v>
      </c>
      <c r="M153" s="77" t="n">
        <v>27.74127587284562</v>
      </c>
      <c r="N153" s="53">
        <f>IF(M153="","",IFERROR(M153/I153,""))</f>
        <v/>
      </c>
      <c r="O153" s="50">
        <f>IF(A153="","",IFERROR((IF(G153="",I153,G153)-T153)/M153,""))</f>
        <v/>
      </c>
      <c r="P153" s="50">
        <f>IFERROR((I153/T153-1)/N153,"")</f>
        <v/>
      </c>
      <c r="Q153" s="46">
        <f>IF(OR(T153="",I153&lt;T153),"",IFERROR(R153/IF(G153="",I153,G153)-1,""))</f>
        <v/>
      </c>
      <c r="R153" s="48">
        <f>IF($M153="","",MAX(IF($G153="",$I153,$G153)*(1/1.1),IF($G153="",$I153,$G153)+(R$2*$M153)))</f>
        <v/>
      </c>
      <c r="S153" s="49">
        <f>IF($M153="","",MAX(IF($G153="",$I153,$G153)*(1/1.1),IF($G153="",$I153,$G153)+(S$2*$M153)))</f>
        <v/>
      </c>
      <c r="T153" s="82" t="n">
        <v>625.0688037109375</v>
      </c>
      <c r="U153" s="47">
        <f>IF(OR($M153="",$T153=""),"",$T153+(U$2*$M153))</f>
        <v/>
      </c>
      <c r="V153" s="48">
        <f>IF(OR($M153="",$T153=""),"",$T153+(V$2*$M153))</f>
        <v/>
      </c>
      <c r="W153" s="48">
        <f>IF(OR($M153="",$T153=""),"",$T153+(W$2*$M153))</f>
        <v/>
      </c>
      <c r="X153" s="49">
        <f>IF(OR($M153="",$T153=""),"",$T153+(X$2*$M153))</f>
        <v/>
      </c>
      <c r="Y153" s="47">
        <f>IF(OR($M153="",$T153=""),"",$T153+(Y$2*$M153))</f>
        <v/>
      </c>
      <c r="Z153" s="49">
        <f>IF(OR($M153="",$T153=""),"",$T153+(Z$2*$M153))</f>
        <v/>
      </c>
      <c r="AA153" s="51">
        <f>IF(OR($M153="",$T153=""),"",$T153+(AA$2*$M153))</f>
        <v/>
      </c>
      <c r="AB153" s="48">
        <f>IF(OR($M153="",$T153=""),"",$T153+(AB$2*$M153))</f>
        <v/>
      </c>
      <c r="AC153" s="48">
        <f>IF(OR($M153="",$T153=""),"",$T153+(AC$2*$M153))</f>
        <v/>
      </c>
      <c r="AD153" s="48">
        <f>IF(OR($M153="",$T153=""),"",$T153+(AD$2*$M153))</f>
        <v/>
      </c>
      <c r="AE153" s="49">
        <f>IF(OR($M153="",$T153=""),"",$T153+(AE$2*$M153))</f>
        <v/>
      </c>
      <c r="AF153" s="52">
        <f>IF(OR(T153="",I153&lt;T153),"",IFERROR(AVERAGE(T153+M153*{7,8,9,10,11})/IF(G153="",I153,G153)-1,""))</f>
        <v/>
      </c>
      <c r="AG153" s="55">
        <f>IF(OR(T153="",I153&lt;T153),"",IFERROR(AF153/-(R153/IF(G153="",I153,G153)-1),""))</f>
        <v/>
      </c>
      <c r="AH153" s="94" t="n">
        <v>1</v>
      </c>
      <c r="AI153" s="94" t="n">
        <v>18.65772873381196</v>
      </c>
      <c r="AJ153" s="94" t="n">
        <v>0</v>
      </c>
      <c r="AK153" s="94" t="inlineStr">
        <is>
          <t>None</t>
        </is>
      </c>
      <c r="AL153" s="84" t="inlineStr">
        <is>
          <t>GE Vernova Inc.</t>
        </is>
      </c>
      <c r="AM153" t="inlineStr">
        <is>
          <t>Industrials</t>
        </is>
      </c>
      <c r="AN153" t="inlineStr">
        <is>
          <t>Specialty Industrial Machinery</t>
        </is>
      </c>
      <c r="AO153" t="n">
        <v>90</v>
      </c>
    </row>
    <row r="154">
      <c r="A154" s="64" t="inlineStr">
        <is>
          <t>CRL</t>
        </is>
      </c>
      <c r="B154" s="65" t="n"/>
      <c r="C154" s="66" t="n"/>
      <c r="D154" s="67" t="n"/>
      <c r="E154" s="68" t="n"/>
      <c r="F154" s="47">
        <f>IF(A154="","",IF(MIN(H154,MAX(J154:K154))=0,"",MIN(H154,MAX(J154:K154))))</f>
        <v/>
      </c>
      <c r="G154" s="74" t="n"/>
      <c r="H154" s="49">
        <f>IF(M154="","",IFERROR(ROUND(AVERAGE(T154+M154*{7,8,9,10,11})/1.21,4),""))</f>
        <v/>
      </c>
      <c r="I154" s="76" t="n">
        <v>219.6999969482422</v>
      </c>
      <c r="J154" s="77" t="n">
        <v>216.3495677382026</v>
      </c>
      <c r="K154" s="74" t="n">
        <v>209.2825012207031</v>
      </c>
      <c r="L154" s="78" t="n">
        <v>161.3642500686645</v>
      </c>
      <c r="M154" s="77" t="n">
        <v>6.928639849406767</v>
      </c>
      <c r="N154" s="53">
        <f>IF(M154="","",IFERROR(M154/I154,""))</f>
        <v/>
      </c>
      <c r="O154" s="50">
        <f>IF(A154="","",IFERROR((IF(G154="",I154,G154)-T154)/M154,""))</f>
        <v/>
      </c>
      <c r="P154" s="50">
        <f>IFERROR((I154/T154-1)/N154,"")</f>
        <v/>
      </c>
      <c r="Q154" s="46">
        <f>IF(OR(T154="",I154&lt;T154),"",IFERROR(R154/IF(G154="",I154,G154)-1,""))</f>
        <v/>
      </c>
      <c r="R154" s="48">
        <f>IF($M154="","",MAX(IF($G154="",$I154,$G154)*(1/1.1),IF($G154="",$I154,$G154)+(R$2*$M154)))</f>
        <v/>
      </c>
      <c r="S154" s="49">
        <f>IF($M154="","",MAX(IF($G154="",$I154,$G154)*(1/1.1),IF($G154="",$I154,$G154)+(S$2*$M154)))</f>
        <v/>
      </c>
      <c r="T154" s="82" t="n">
        <v>190.2822003173828</v>
      </c>
      <c r="U154" s="47">
        <f>IF(OR($M154="",$T154=""),"",$T154+(U$2*$M154))</f>
        <v/>
      </c>
      <c r="V154" s="48">
        <f>IF(OR($M154="",$T154=""),"",$T154+(V$2*$M154))</f>
        <v/>
      </c>
      <c r="W154" s="48">
        <f>IF(OR($M154="",$T154=""),"",$T154+(W$2*$M154))</f>
        <v/>
      </c>
      <c r="X154" s="49">
        <f>IF(OR($M154="",$T154=""),"",$T154+(X$2*$M154))</f>
        <v/>
      </c>
      <c r="Y154" s="47">
        <f>IF(OR($M154="",$T154=""),"",$T154+(Y$2*$M154))</f>
        <v/>
      </c>
      <c r="Z154" s="49">
        <f>IF(OR($M154="",$T154=""),"",$T154+(Z$2*$M154))</f>
        <v/>
      </c>
      <c r="AA154" s="51">
        <f>IF(OR($M154="",$T154=""),"",$T154+(AA$2*$M154))</f>
        <v/>
      </c>
      <c r="AB154" s="48">
        <f>IF(OR($M154="",$T154=""),"",$T154+(AB$2*$M154))</f>
        <v/>
      </c>
      <c r="AC154" s="48">
        <f>IF(OR($M154="",$T154=""),"",$T154+(AC$2*$M154))</f>
        <v/>
      </c>
      <c r="AD154" s="48">
        <f>IF(OR($M154="",$T154=""),"",$T154+(AD$2*$M154))</f>
        <v/>
      </c>
      <c r="AE154" s="49">
        <f>IF(OR($M154="",$T154=""),"",$T154+(AE$2*$M154))</f>
        <v/>
      </c>
      <c r="AF154" s="52">
        <f>IF(OR(T154="",I154&lt;T154),"",IFERROR(AVERAGE(T154+M154*{7,8,9,10,11})/IF(G154="",I154,G154)-1,""))</f>
        <v/>
      </c>
      <c r="AG154" s="55">
        <f>IF(OR(T154="",I154&lt;T154),"",IFERROR(AF154/-(R154/IF(G154="",I154,G154)-1),""))</f>
        <v/>
      </c>
      <c r="AH154" s="94" t="n">
        <v>1</v>
      </c>
      <c r="AI154" s="94" t="n">
        <v>130.4915091097091</v>
      </c>
      <c r="AJ154" s="94" t="n">
        <v>0</v>
      </c>
      <c r="AK154" s="94" t="inlineStr">
        <is>
          <t>OTT Up Trend</t>
        </is>
      </c>
      <c r="AL154" s="84" t="inlineStr">
        <is>
          <t>Charles River Laboratories Inte</t>
        </is>
      </c>
      <c r="AM154" t="inlineStr">
        <is>
          <t>Healthcare</t>
        </is>
      </c>
      <c r="AN154" t="inlineStr">
        <is>
          <t>Diagnostics &amp; Research</t>
        </is>
      </c>
      <c r="AO154" t="n">
        <v>90</v>
      </c>
    </row>
    <row r="155">
      <c r="A155" s="64" t="inlineStr">
        <is>
          <t>INSW</t>
        </is>
      </c>
      <c r="B155" s="65" t="n"/>
      <c r="C155" s="66" t="n"/>
      <c r="D155" s="67" t="n"/>
      <c r="E155" s="68" t="n"/>
      <c r="F155" s="47">
        <f>IF(A155="","",IF(MIN(H155,MAX(J155:K155))=0,"",MIN(H155,MAX(J155:K155))))</f>
        <v/>
      </c>
      <c r="G155" s="74" t="n"/>
      <c r="H155" s="49">
        <f>IF(M155="","",IFERROR(ROUND(AVERAGE(T155+M155*{7,8,9,10,11})/1.21,4),""))</f>
        <v/>
      </c>
      <c r="I155" s="76" t="n">
        <v>56.36999893188477</v>
      </c>
      <c r="J155" s="77" t="n">
        <v>54.10217247482816</v>
      </c>
      <c r="K155" s="74" t="n">
        <v>50.99699954986572</v>
      </c>
      <c r="L155" s="78" t="n">
        <v>43.52704996109009</v>
      </c>
      <c r="M155" s="77" t="n">
        <v>1.767598470154014</v>
      </c>
      <c r="N155" s="53">
        <f>IF(M155="","",IFERROR(M155/I155,""))</f>
        <v/>
      </c>
      <c r="O155" s="50">
        <f>IF(A155="","",IFERROR((IF(G155="",I155,G155)-T155)/M155,""))</f>
        <v/>
      </c>
      <c r="P155" s="50">
        <f>IFERROR((I155/T155-1)/N155,"")</f>
        <v/>
      </c>
      <c r="Q155" s="46">
        <f>IF(OR(T155="",I155&lt;T155),"",IFERROR(R155/IF(G155="",I155,G155)-1,""))</f>
        <v/>
      </c>
      <c r="R155" s="48">
        <f>IF($M155="","",MAX(IF($G155="",$I155,$G155)*(1/1.1),IF($G155="",$I155,$G155)+(R$2*$M155)))</f>
        <v/>
      </c>
      <c r="S155" s="49">
        <f>IF($M155="","",MAX(IF($G155="",$I155,$G155)*(1/1.1),IF($G155="",$I155,$G155)+(S$2*$M155)))</f>
        <v/>
      </c>
      <c r="T155" s="82" t="n">
        <v>51.59279991149902</v>
      </c>
      <c r="U155" s="47">
        <f>IF(OR($M155="",$T155=""),"",$T155+(U$2*$M155))</f>
        <v/>
      </c>
      <c r="V155" s="48">
        <f>IF(OR($M155="",$T155=""),"",$T155+(V$2*$M155))</f>
        <v/>
      </c>
      <c r="W155" s="48">
        <f>IF(OR($M155="",$T155=""),"",$T155+(W$2*$M155))</f>
        <v/>
      </c>
      <c r="X155" s="49">
        <f>IF(OR($M155="",$T155=""),"",$T155+(X$2*$M155))</f>
        <v/>
      </c>
      <c r="Y155" s="47">
        <f>IF(OR($M155="",$T155=""),"",$T155+(Y$2*$M155))</f>
        <v/>
      </c>
      <c r="Z155" s="49">
        <f>IF(OR($M155="",$T155=""),"",$T155+(Z$2*$M155))</f>
        <v/>
      </c>
      <c r="AA155" s="51">
        <f>IF(OR($M155="",$T155=""),"",$T155+(AA$2*$M155))</f>
        <v/>
      </c>
      <c r="AB155" s="48">
        <f>IF(OR($M155="",$T155=""),"",$T155+(AB$2*$M155))</f>
        <v/>
      </c>
      <c r="AC155" s="48">
        <f>IF(OR($M155="",$T155=""),"",$T155+(AC$2*$M155))</f>
        <v/>
      </c>
      <c r="AD155" s="48">
        <f>IF(OR($M155="",$T155=""),"",$T155+(AD$2*$M155))</f>
        <v/>
      </c>
      <c r="AE155" s="49">
        <f>IF(OR($M155="",$T155=""),"",$T155+(AE$2*$M155))</f>
        <v/>
      </c>
      <c r="AF155" s="52">
        <f>IF(OR(T155="",I155&lt;T155),"",IFERROR(AVERAGE(T155+M155*{7,8,9,10,11})/IF(G155="",I155,G155)-1,""))</f>
        <v/>
      </c>
      <c r="AG155" s="55">
        <f>IF(OR(T155="",I155&lt;T155),"",IFERROR(AF155/-(R155/IF(G155="",I155,G155)-1),""))</f>
        <v/>
      </c>
      <c r="AH155" s="94" t="n">
        <v>1</v>
      </c>
      <c r="AI155" s="94" t="n">
        <v>100.6036151219242</v>
      </c>
      <c r="AJ155" s="94" t="n">
        <v>1</v>
      </c>
      <c r="AK155" s="94" t="inlineStr">
        <is>
          <t>OTT Up Trend</t>
        </is>
      </c>
      <c r="AL155" s="84" t="inlineStr">
        <is>
          <t>International Seaways, Inc.</t>
        </is>
      </c>
      <c r="AM155" t="inlineStr">
        <is>
          <t>Energy</t>
        </is>
      </c>
      <c r="AN155" t="inlineStr">
        <is>
          <t>Oil &amp; Gas Midstream</t>
        </is>
      </c>
      <c r="AO155" t="n">
        <v>90</v>
      </c>
    </row>
    <row r="156">
      <c r="A156" s="64" t="inlineStr">
        <is>
          <t>AIR</t>
        </is>
      </c>
      <c r="B156" s="65" t="n"/>
      <c r="C156" s="66" t="n"/>
      <c r="D156" s="67" t="n"/>
      <c r="E156" s="68" t="n"/>
      <c r="F156" s="47">
        <f>IF(A156="","",IF(MIN(H156,MAX(J156:K156))=0,"",MIN(H156,MAX(J156:K156))))</f>
        <v/>
      </c>
      <c r="G156" s="74" t="n"/>
      <c r="H156" s="49">
        <f>IF(M156="","",IFERROR(ROUND(AVERAGE(T156+M156*{7,8,9,10,11})/1.21,4),""))</f>
        <v/>
      </c>
      <c r="I156" s="76" t="n">
        <v>105.0800018310547</v>
      </c>
      <c r="J156" s="77" t="n">
        <v>97.76152354013061</v>
      </c>
      <c r="K156" s="74" t="n">
        <v>90.54999961853028</v>
      </c>
      <c r="L156" s="78" t="n">
        <v>74.42514982223511</v>
      </c>
      <c r="M156" s="77" t="n">
        <v>3.250986487288747</v>
      </c>
      <c r="N156" s="53">
        <f>IF(M156="","",IFERROR(M156/I156,""))</f>
        <v/>
      </c>
      <c r="O156" s="50">
        <f>IF(A156="","",IFERROR((IF(G156="",I156,G156)-T156)/M156,""))</f>
        <v/>
      </c>
      <c r="P156" s="50">
        <f>IFERROR((I156/T156-1)/N156,"")</f>
        <v/>
      </c>
      <c r="Q156" s="46">
        <f>IF(OR(T156="",I156&lt;T156),"",IFERROR(R156/IF(G156="",I156,G156)-1,""))</f>
        <v/>
      </c>
      <c r="R156" s="48">
        <f>IF($M156="","",MAX(IF($G156="",$I156,$G156)*(1/1.1),IF($G156="",$I156,$G156)+(R$2*$M156)))</f>
        <v/>
      </c>
      <c r="S156" s="49">
        <f>IF($M156="","",MAX(IF($G156="",$I156,$G156)*(1/1.1),IF($G156="",$I156,$G156)+(S$2*$M156)))</f>
        <v/>
      </c>
      <c r="T156" s="82" t="n">
        <v>85.21059936523437</v>
      </c>
      <c r="U156" s="47">
        <f>IF(OR($M156="",$T156=""),"",$T156+(U$2*$M156))</f>
        <v/>
      </c>
      <c r="V156" s="48">
        <f>IF(OR($M156="",$T156=""),"",$T156+(V$2*$M156))</f>
        <v/>
      </c>
      <c r="W156" s="48">
        <f>IF(OR($M156="",$T156=""),"",$T156+(W$2*$M156))</f>
        <v/>
      </c>
      <c r="X156" s="49">
        <f>IF(OR($M156="",$T156=""),"",$T156+(X$2*$M156))</f>
        <v/>
      </c>
      <c r="Y156" s="47">
        <f>IF(OR($M156="",$T156=""),"",$T156+(Y$2*$M156))</f>
        <v/>
      </c>
      <c r="Z156" s="49">
        <f>IF(OR($M156="",$T156=""),"",$T156+(Z$2*$M156))</f>
        <v/>
      </c>
      <c r="AA156" s="51">
        <f>IF(OR($M156="",$T156=""),"",$T156+(AA$2*$M156))</f>
        <v/>
      </c>
      <c r="AB156" s="48">
        <f>IF(OR($M156="",$T156=""),"",$T156+(AB$2*$M156))</f>
        <v/>
      </c>
      <c r="AC156" s="48">
        <f>IF(OR($M156="",$T156=""),"",$T156+(AC$2*$M156))</f>
        <v/>
      </c>
      <c r="AD156" s="48">
        <f>IF(OR($M156="",$T156=""),"",$T156+(AD$2*$M156))</f>
        <v/>
      </c>
      <c r="AE156" s="49">
        <f>IF(OR($M156="",$T156=""),"",$T156+(AE$2*$M156))</f>
        <v/>
      </c>
      <c r="AF156" s="52">
        <f>IF(OR(T156="",I156&lt;T156),"",IFERROR(AVERAGE(T156+M156*{7,8,9,10,11})/IF(G156="",I156,G156)-1,""))</f>
        <v/>
      </c>
      <c r="AG156" s="55">
        <f>IF(OR(T156="",I156&lt;T156),"",IFERROR(AF156/-(R156/IF(G156="",I156,G156)-1),""))</f>
        <v/>
      </c>
      <c r="AH156" s="94" t="n">
        <v>1</v>
      </c>
      <c r="AI156" s="94" t="n">
        <v>174.7717427080028</v>
      </c>
      <c r="AJ156" s="94" t="n">
        <v>1</v>
      </c>
      <c r="AK156" s="94" t="inlineStr">
        <is>
          <t>OTT Up Trend</t>
        </is>
      </c>
      <c r="AL156" s="84" t="inlineStr">
        <is>
          <t>AAR Corp.</t>
        </is>
      </c>
      <c r="AM156" t="inlineStr">
        <is>
          <t>Industrials</t>
        </is>
      </c>
      <c r="AN156" t="inlineStr">
        <is>
          <t>Aerospace &amp; Defense</t>
        </is>
      </c>
      <c r="AO156" t="n">
        <v>89</v>
      </c>
    </row>
    <row r="157">
      <c r="A157" s="64" t="inlineStr">
        <is>
          <t>WFRD</t>
        </is>
      </c>
      <c r="B157" s="65" t="n"/>
      <c r="C157" s="66" t="n"/>
      <c r="D157" s="67" t="n"/>
      <c r="E157" s="68" t="n"/>
      <c r="F157" s="47">
        <f>IF(A157="","",IF(MIN(H157,MAX(J157:K157))=0,"",MIN(H157,MAX(J157:K157))))</f>
        <v/>
      </c>
      <c r="G157" s="74" t="n"/>
      <c r="H157" s="49">
        <f>IF(M157="","",IFERROR(ROUND(AVERAGE(T157+M157*{7,8,9,10,11})/1.21,4),""))</f>
        <v/>
      </c>
      <c r="I157" s="76" t="n">
        <v>83.73999786376953</v>
      </c>
      <c r="J157" s="77" t="n">
        <v>85.2217715432601</v>
      </c>
      <c r="K157" s="74" t="n">
        <v>82.96749992370606</v>
      </c>
      <c r="L157" s="78" t="n">
        <v>61.12520011901856</v>
      </c>
      <c r="M157" s="77" t="n">
        <v>2.86524593744656</v>
      </c>
      <c r="N157" s="53">
        <f>IF(M157="","",IFERROR(M157/I157,""))</f>
        <v/>
      </c>
      <c r="O157" s="50">
        <f>IF(A157="","",IFERROR((IF(G157="",I157,G157)-T157)/M157,""))</f>
        <v/>
      </c>
      <c r="P157" s="50">
        <f>IFERROR((I157/T157-1)/N157,"")</f>
        <v/>
      </c>
      <c r="Q157" s="46">
        <f>IF(OR(T157="",I157&lt;T157),"",IFERROR(R157/IF(G157="",I157,G157)-1,""))</f>
        <v/>
      </c>
      <c r="R157" s="48">
        <f>IF($M157="","",MAX(IF($G157="",$I157,$G157)*(1/1.1),IF($G157="",$I157,$G157)+(R$2*$M157)))</f>
        <v/>
      </c>
      <c r="S157" s="49">
        <f>IF($M157="","",MAX(IF($G157="",$I157,$G157)*(1/1.1),IF($G157="",$I157,$G157)+(S$2*$M157)))</f>
        <v/>
      </c>
      <c r="T157" s="82" t="n">
        <v>78.20749984741211</v>
      </c>
      <c r="U157" s="47">
        <f>IF(OR($M157="",$T157=""),"",$T157+(U$2*$M157))</f>
        <v/>
      </c>
      <c r="V157" s="48">
        <f>IF(OR($M157="",$T157=""),"",$T157+(V$2*$M157))</f>
        <v/>
      </c>
      <c r="W157" s="48">
        <f>IF(OR($M157="",$T157=""),"",$T157+(W$2*$M157))</f>
        <v/>
      </c>
      <c r="X157" s="49">
        <f>IF(OR($M157="",$T157=""),"",$T157+(X$2*$M157))</f>
        <v/>
      </c>
      <c r="Y157" s="47">
        <f>IF(OR($M157="",$T157=""),"",$T157+(Y$2*$M157))</f>
        <v/>
      </c>
      <c r="Z157" s="49">
        <f>IF(OR($M157="",$T157=""),"",$T157+(Z$2*$M157))</f>
        <v/>
      </c>
      <c r="AA157" s="51">
        <f>IF(OR($M157="",$T157=""),"",$T157+(AA$2*$M157))</f>
        <v/>
      </c>
      <c r="AB157" s="48">
        <f>IF(OR($M157="",$T157=""),"",$T157+(AB$2*$M157))</f>
        <v/>
      </c>
      <c r="AC157" s="48">
        <f>IF(OR($M157="",$T157=""),"",$T157+(AC$2*$M157))</f>
        <v/>
      </c>
      <c r="AD157" s="48">
        <f>IF(OR($M157="",$T157=""),"",$T157+(AD$2*$M157))</f>
        <v/>
      </c>
      <c r="AE157" s="49">
        <f>IF(OR($M157="",$T157=""),"",$T157+(AE$2*$M157))</f>
        <v/>
      </c>
      <c r="AF157" s="52">
        <f>IF(OR(T157="",I157&lt;T157),"",IFERROR(AVERAGE(T157+M157*{7,8,9,10,11})/IF(G157="",I157,G157)-1,""))</f>
        <v/>
      </c>
      <c r="AG157" s="55">
        <f>IF(OR(T157="",I157&lt;T157),"",IFERROR(AF157/-(R157/IF(G157="",I157,G157)-1),""))</f>
        <v/>
      </c>
      <c r="AH157" s="94" t="n">
        <v>1</v>
      </c>
      <c r="AI157" s="94" t="n">
        <v>87.63071073962169</v>
      </c>
      <c r="AJ157" s="94" t="n">
        <v>0</v>
      </c>
      <c r="AK157" s="94" t="inlineStr">
        <is>
          <t>OTT Up Trend</t>
        </is>
      </c>
      <c r="AL157" s="84" t="inlineStr">
        <is>
          <t>Weatherford International plc</t>
        </is>
      </c>
      <c r="AM157" t="inlineStr">
        <is>
          <t>Energy</t>
        </is>
      </c>
      <c r="AN157" t="inlineStr">
        <is>
          <t>Oil &amp; Gas Equipment &amp; Services</t>
        </is>
      </c>
      <c r="AO157" t="n">
        <v>89</v>
      </c>
    </row>
    <row r="158">
      <c r="A158" s="64" t="inlineStr">
        <is>
          <t>APG</t>
        </is>
      </c>
      <c r="B158" s="65" t="n"/>
      <c r="C158" s="66" t="n"/>
      <c r="D158" s="67" t="n"/>
      <c r="E158" s="68" t="n"/>
      <c r="F158" s="47">
        <f>IF(A158="","",IF(MIN(H158,MAX(J158:K158))=0,"",MIN(H158,MAX(J158:K158))))</f>
        <v/>
      </c>
      <c r="G158" s="74" t="n"/>
      <c r="H158" s="49">
        <f>IF(M158="","",IFERROR(ROUND(AVERAGE(T158+M158*{7,8,9,10,11})/1.21,4),""))</f>
        <v/>
      </c>
      <c r="I158" s="76" t="n">
        <v>42.81999969482422</v>
      </c>
      <c r="J158" s="77" t="n">
        <v>41.73523987327377</v>
      </c>
      <c r="K158" s="74" t="n">
        <v>40.40300045013428</v>
      </c>
      <c r="L158" s="78" t="n">
        <v>34.04330005645752</v>
      </c>
      <c r="M158" s="77" t="n">
        <v>1.010101397856407</v>
      </c>
      <c r="N158" s="53">
        <f>IF(M158="","",IFERROR(M158/I158,""))</f>
        <v/>
      </c>
      <c r="O158" s="50">
        <f>IF(A158="","",IFERROR((IF(G158="",I158,G158)-T158)/M158,""))</f>
        <v/>
      </c>
      <c r="P158" s="50">
        <f>IFERROR((I158/T158-1)/N158,"")</f>
        <v/>
      </c>
      <c r="Q158" s="46">
        <f>IF(OR(T158="",I158&lt;T158),"",IFERROR(R158/IF(G158="",I158,G158)-1,""))</f>
        <v/>
      </c>
      <c r="R158" s="48">
        <f>IF($M158="","",MAX(IF($G158="",$I158,$G158)*(1/1.1),IF($G158="",$I158,$G158)+(R$2*$M158)))</f>
        <v/>
      </c>
      <c r="S158" s="49">
        <f>IF($M158="","",MAX(IF($G158="",$I158,$G158)*(1/1.1),IF($G158="",$I158,$G158)+(S$2*$M158)))</f>
        <v/>
      </c>
      <c r="T158" s="82" t="n">
        <v>39.07980033874512</v>
      </c>
      <c r="U158" s="47">
        <f>IF(OR($M158="",$T158=""),"",$T158+(U$2*$M158))</f>
        <v/>
      </c>
      <c r="V158" s="48">
        <f>IF(OR($M158="",$T158=""),"",$T158+(V$2*$M158))</f>
        <v/>
      </c>
      <c r="W158" s="48">
        <f>IF(OR($M158="",$T158=""),"",$T158+(W$2*$M158))</f>
        <v/>
      </c>
      <c r="X158" s="49">
        <f>IF(OR($M158="",$T158=""),"",$T158+(X$2*$M158))</f>
        <v/>
      </c>
      <c r="Y158" s="47">
        <f>IF(OR($M158="",$T158=""),"",$T158+(Y$2*$M158))</f>
        <v/>
      </c>
      <c r="Z158" s="49">
        <f>IF(OR($M158="",$T158=""),"",$T158+(Z$2*$M158))</f>
        <v/>
      </c>
      <c r="AA158" s="51">
        <f>IF(OR($M158="",$T158=""),"",$T158+(AA$2*$M158))</f>
        <v/>
      </c>
      <c r="AB158" s="48">
        <f>IF(OR($M158="",$T158=""),"",$T158+(AB$2*$M158))</f>
        <v/>
      </c>
      <c r="AC158" s="48">
        <f>IF(OR($M158="",$T158=""),"",$T158+(AC$2*$M158))</f>
        <v/>
      </c>
      <c r="AD158" s="48">
        <f>IF(OR($M158="",$T158=""),"",$T158+(AD$2*$M158))</f>
        <v/>
      </c>
      <c r="AE158" s="49">
        <f>IF(OR($M158="",$T158=""),"",$T158+(AE$2*$M158))</f>
        <v/>
      </c>
      <c r="AF158" s="52">
        <f>IF(OR(T158="",I158&lt;T158),"",IFERROR(AVERAGE(T158+M158*{7,8,9,10,11})/IF(G158="",I158,G158)-1,""))</f>
        <v/>
      </c>
      <c r="AG158" s="55">
        <f>IF(OR(T158="",I158&lt;T158),"",IFERROR(AF158/-(R158/IF(G158="",I158,G158)-1),""))</f>
        <v/>
      </c>
      <c r="AH158" s="94" t="n">
        <v>1</v>
      </c>
      <c r="AI158" s="94" t="n">
        <v>111.0717005990585</v>
      </c>
      <c r="AJ158" s="94" t="n">
        <v>1</v>
      </c>
      <c r="AK158" s="94" t="inlineStr">
        <is>
          <t>OTT Up Trend</t>
        </is>
      </c>
      <c r="AL158" s="84" t="inlineStr">
        <is>
          <t>APi Group Corporation</t>
        </is>
      </c>
      <c r="AM158" t="inlineStr">
        <is>
          <t>Industrials</t>
        </is>
      </c>
      <c r="AN158" t="inlineStr">
        <is>
          <t>Engineering &amp; Construction</t>
        </is>
      </c>
      <c r="AO158" t="n">
        <v>89</v>
      </c>
    </row>
    <row r="159">
      <c r="A159" s="64" t="inlineStr">
        <is>
          <t>INCY</t>
        </is>
      </c>
      <c r="B159" s="65" t="n"/>
      <c r="C159" s="66" t="n"/>
      <c r="D159" s="67" t="n"/>
      <c r="E159" s="68" t="n"/>
      <c r="F159" s="47">
        <f>IF(A159="","",IF(MIN(H159,MAX(J159:K159))=0,"",MIN(H159,MAX(J159:K159))))</f>
        <v/>
      </c>
      <c r="G159" s="74" t="n"/>
      <c r="H159" s="49">
        <f>IF(M159="","",IFERROR(ROUND(AVERAGE(T159+M159*{7,8,9,10,11})/1.21,4),""))</f>
        <v/>
      </c>
      <c r="I159" s="76" t="n">
        <v>106.2099990844727</v>
      </c>
      <c r="J159" s="77" t="n">
        <v>105.0038904076426</v>
      </c>
      <c r="K159" s="74" t="n">
        <v>102.9765003204346</v>
      </c>
      <c r="L159" s="78" t="n">
        <v>81.39269994735717</v>
      </c>
      <c r="M159" s="77" t="n">
        <v>3.414142029748017</v>
      </c>
      <c r="N159" s="53">
        <f>IF(M159="","",IFERROR(M159/I159,""))</f>
        <v/>
      </c>
      <c r="O159" s="50">
        <f>IF(A159="","",IFERROR((IF(G159="",I159,G159)-T159)/M159,""))</f>
        <v/>
      </c>
      <c r="P159" s="50">
        <f>IFERROR((I159/T159-1)/N159,"")</f>
        <v/>
      </c>
      <c r="Q159" s="46">
        <f>IF(OR(T159="",I159&lt;T159),"",IFERROR(R159/IF(G159="",I159,G159)-1,""))</f>
        <v/>
      </c>
      <c r="R159" s="48">
        <f>IF($M159="","",MAX(IF($G159="",$I159,$G159)*(1/1.1),IF($G159="",$I159,$G159)+(R$2*$M159)))</f>
        <v/>
      </c>
      <c r="S159" s="49">
        <f>IF($M159="","",MAX(IF($G159="",$I159,$G159)*(1/1.1),IF($G159="",$I159,$G159)+(S$2*$M159)))</f>
        <v/>
      </c>
      <c r="T159" s="82" t="n">
        <v>102.4654002380371</v>
      </c>
      <c r="U159" s="47">
        <f>IF(OR($M159="",$T159=""),"",$T159+(U$2*$M159))</f>
        <v/>
      </c>
      <c r="V159" s="48">
        <f>IF(OR($M159="",$T159=""),"",$T159+(V$2*$M159))</f>
        <v/>
      </c>
      <c r="W159" s="48">
        <f>IF(OR($M159="",$T159=""),"",$T159+(W$2*$M159))</f>
        <v/>
      </c>
      <c r="X159" s="49">
        <f>IF(OR($M159="",$T159=""),"",$T159+(X$2*$M159))</f>
        <v/>
      </c>
      <c r="Y159" s="47">
        <f>IF(OR($M159="",$T159=""),"",$T159+(Y$2*$M159))</f>
        <v/>
      </c>
      <c r="Z159" s="49">
        <f>IF(OR($M159="",$T159=""),"",$T159+(Z$2*$M159))</f>
        <v/>
      </c>
      <c r="AA159" s="51">
        <f>IF(OR($M159="",$T159=""),"",$T159+(AA$2*$M159))</f>
        <v/>
      </c>
      <c r="AB159" s="48">
        <f>IF(OR($M159="",$T159=""),"",$T159+(AB$2*$M159))</f>
        <v/>
      </c>
      <c r="AC159" s="48">
        <f>IF(OR($M159="",$T159=""),"",$T159+(AC$2*$M159))</f>
        <v/>
      </c>
      <c r="AD159" s="48">
        <f>IF(OR($M159="",$T159=""),"",$T159+(AD$2*$M159))</f>
        <v/>
      </c>
      <c r="AE159" s="49">
        <f>IF(OR($M159="",$T159=""),"",$T159+(AE$2*$M159))</f>
        <v/>
      </c>
      <c r="AF159" s="52">
        <f>IF(OR(T159="",I159&lt;T159),"",IFERROR(AVERAGE(T159+M159*{7,8,9,10,11})/IF(G159="",I159,G159)-1,""))</f>
        <v/>
      </c>
      <c r="AG159" s="55">
        <f>IF(OR(T159="",I159&lt;T159),"",IFERROR(AF159/-(R159/IF(G159="",I159,G159)-1),""))</f>
        <v/>
      </c>
      <c r="AH159" s="94" t="n">
        <v>1</v>
      </c>
      <c r="AI159" s="94" t="n">
        <v>52.69871850651404</v>
      </c>
      <c r="AJ159" s="94" t="n">
        <v>1</v>
      </c>
      <c r="AK159" s="94" t="inlineStr">
        <is>
          <t>OTT Up Trend</t>
        </is>
      </c>
      <c r="AL159" s="84" t="inlineStr">
        <is>
          <t>Incyte Corporation</t>
        </is>
      </c>
      <c r="AM159" t="inlineStr">
        <is>
          <t>Healthcare</t>
        </is>
      </c>
      <c r="AN159" t="inlineStr">
        <is>
          <t>Biotechnology</t>
        </is>
      </c>
      <c r="AO159" t="n">
        <v>89</v>
      </c>
    </row>
    <row r="160">
      <c r="A160" s="64" t="inlineStr">
        <is>
          <t>INVX</t>
        </is>
      </c>
      <c r="B160" s="65" t="n"/>
      <c r="C160" s="66" t="n"/>
      <c r="D160" s="67" t="n"/>
      <c r="E160" s="68" t="n"/>
      <c r="F160" s="47">
        <f>IF(A160="","",IF(MIN(H160,MAX(J160:K160))=0,"",MIN(H160,MAX(J160:K160))))</f>
        <v/>
      </c>
      <c r="G160" s="74" t="n"/>
      <c r="H160" s="49">
        <f>IF(M160="","",IFERROR(ROUND(AVERAGE(T160+M160*{7,8,9,10,11})/1.21,4),""))</f>
        <v/>
      </c>
      <c r="I160" s="76" t="n">
        <v>24.29999923706055</v>
      </c>
      <c r="J160" s="77" t="n">
        <v>23.74472104207573</v>
      </c>
      <c r="K160" s="74" t="n">
        <v>22.88100004196167</v>
      </c>
      <c r="L160" s="78" t="n">
        <v>17.97435006141663</v>
      </c>
      <c r="M160" s="77" t="n">
        <v>0.7765175792179987</v>
      </c>
      <c r="N160" s="53">
        <f>IF(M160="","",IFERROR(M160/I160,""))</f>
        <v/>
      </c>
      <c r="O160" s="50">
        <f>IF(A160="","",IFERROR((IF(G160="",I160,G160)-T160)/M160,""))</f>
        <v/>
      </c>
      <c r="P160" s="50">
        <f>IFERROR((I160/T160-1)/N160,"")</f>
        <v/>
      </c>
      <c r="Q160" s="46">
        <f>IF(OR(T160="",I160&lt;T160),"",IFERROR(R160/IF(G160="",I160,G160)-1,""))</f>
        <v/>
      </c>
      <c r="R160" s="48">
        <f>IF($M160="","",MAX(IF($G160="",$I160,$G160)*(1/1.1),IF($G160="",$I160,$G160)+(R$2*$M160)))</f>
        <v/>
      </c>
      <c r="S160" s="49">
        <f>IF($M160="","",MAX(IF($G160="",$I160,$G160)*(1/1.1),IF($G160="",$I160,$G160)+(S$2*$M160)))</f>
        <v/>
      </c>
      <c r="T160" s="82" t="n">
        <v>22.36720016479492</v>
      </c>
      <c r="U160" s="47">
        <f>IF(OR($M160="",$T160=""),"",$T160+(U$2*$M160))</f>
        <v/>
      </c>
      <c r="V160" s="48">
        <f>IF(OR($M160="",$T160=""),"",$T160+(V$2*$M160))</f>
        <v/>
      </c>
      <c r="W160" s="48">
        <f>IF(OR($M160="",$T160=""),"",$T160+(W$2*$M160))</f>
        <v/>
      </c>
      <c r="X160" s="49">
        <f>IF(OR($M160="",$T160=""),"",$T160+(X$2*$M160))</f>
        <v/>
      </c>
      <c r="Y160" s="47">
        <f>IF(OR($M160="",$T160=""),"",$T160+(Y$2*$M160))</f>
        <v/>
      </c>
      <c r="Z160" s="49">
        <f>IF(OR($M160="",$T160=""),"",$T160+(Z$2*$M160))</f>
        <v/>
      </c>
      <c r="AA160" s="51">
        <f>IF(OR($M160="",$T160=""),"",$T160+(AA$2*$M160))</f>
        <v/>
      </c>
      <c r="AB160" s="48">
        <f>IF(OR($M160="",$T160=""),"",$T160+(AB$2*$M160))</f>
        <v/>
      </c>
      <c r="AC160" s="48">
        <f>IF(OR($M160="",$T160=""),"",$T160+(AC$2*$M160))</f>
        <v/>
      </c>
      <c r="AD160" s="48">
        <f>IF(OR($M160="",$T160=""),"",$T160+(AD$2*$M160))</f>
        <v/>
      </c>
      <c r="AE160" s="49">
        <f>IF(OR($M160="",$T160=""),"",$T160+(AE$2*$M160))</f>
        <v/>
      </c>
      <c r="AF160" s="52">
        <f>IF(OR(T160="",I160&lt;T160),"",IFERROR(AVERAGE(T160+M160*{7,8,9,10,11})/IF(G160="",I160,G160)-1,""))</f>
        <v/>
      </c>
      <c r="AG160" s="55">
        <f>IF(OR(T160="",I160&lt;T160),"",IFERROR(AF160/-(R160/IF(G160="",I160,G160)-1),""))</f>
        <v/>
      </c>
      <c r="AH160" s="94" t="n">
        <v>1</v>
      </c>
      <c r="AI160" s="94" t="n">
        <v>74.95217770117209</v>
      </c>
      <c r="AJ160" s="94" t="n">
        <v>1</v>
      </c>
      <c r="AK160" s="94" t="inlineStr">
        <is>
          <t>OTT Up Trend</t>
        </is>
      </c>
      <c r="AL160" s="84" t="inlineStr">
        <is>
          <t>Innovex International, Inc.</t>
        </is>
      </c>
      <c r="AM160" t="inlineStr">
        <is>
          <t>Energy</t>
        </is>
      </c>
      <c r="AN160" t="inlineStr">
        <is>
          <t>Oil &amp; Gas Equipment &amp; Services</t>
        </is>
      </c>
      <c r="AO160" t="n">
        <v>89</v>
      </c>
    </row>
    <row r="161">
      <c r="A161" s="64" t="inlineStr">
        <is>
          <t>GMED</t>
        </is>
      </c>
      <c r="B161" s="65" t="n"/>
      <c r="C161" s="66" t="n"/>
      <c r="D161" s="67" t="n"/>
      <c r="E161" s="68" t="n"/>
      <c r="F161" s="47">
        <f>IF(A161="","",IF(MIN(H161,MAX(J161:K161))=0,"",MIN(H161,MAX(J161:K161))))</f>
        <v/>
      </c>
      <c r="G161" s="74" t="n"/>
      <c r="H161" s="49">
        <f>IF(M161="","",IFERROR(ROUND(AVERAGE(T161+M161*{7,8,9,10,11})/1.21,4),""))</f>
        <v/>
      </c>
      <c r="I161" s="76" t="n">
        <v>93.47000122070312</v>
      </c>
      <c r="J161" s="77" t="n">
        <v>92.07230711427965</v>
      </c>
      <c r="K161" s="74" t="n">
        <v>90.24400062561035</v>
      </c>
      <c r="L161" s="78" t="n">
        <v>67.43879991531372</v>
      </c>
      <c r="M161" s="77" t="n">
        <v>2.8894065561558</v>
      </c>
      <c r="N161" s="53">
        <f>IF(M161="","",IFERROR(M161/I161,""))</f>
        <v/>
      </c>
      <c r="O161" s="50">
        <f>IF(A161="","",IFERROR((IF(G161="",I161,G161)-T161)/M161,""))</f>
        <v/>
      </c>
      <c r="P161" s="50">
        <f>IFERROR((I161/T161-1)/N161,"")</f>
        <v/>
      </c>
      <c r="Q161" s="46">
        <f>IF(OR(T161="",I161&lt;T161),"",IFERROR(R161/IF(G161="",I161,G161)-1,""))</f>
        <v/>
      </c>
      <c r="R161" s="48">
        <f>IF($M161="","",MAX(IF($G161="",$I161,$G161)*(1/1.1),IF($G161="",$I161,$G161)+(R$2*$M161)))</f>
        <v/>
      </c>
      <c r="S161" s="49">
        <f>IF($M161="","",MAX(IF($G161="",$I161,$G161)*(1/1.1),IF($G161="",$I161,$G161)+(S$2*$M161)))</f>
        <v/>
      </c>
      <c r="T161" s="82" t="n">
        <v>87.228999710083</v>
      </c>
      <c r="U161" s="47">
        <f>IF(OR($M161="",$T161=""),"",$T161+(U$2*$M161))</f>
        <v/>
      </c>
      <c r="V161" s="48">
        <f>IF(OR($M161="",$T161=""),"",$T161+(V$2*$M161))</f>
        <v/>
      </c>
      <c r="W161" s="48">
        <f>IF(OR($M161="",$T161=""),"",$T161+(W$2*$M161))</f>
        <v/>
      </c>
      <c r="X161" s="49">
        <f>IF(OR($M161="",$T161=""),"",$T161+(X$2*$M161))</f>
        <v/>
      </c>
      <c r="Y161" s="47">
        <f>IF(OR($M161="",$T161=""),"",$T161+(Y$2*$M161))</f>
        <v/>
      </c>
      <c r="Z161" s="49">
        <f>IF(OR($M161="",$T161=""),"",$T161+(Z$2*$M161))</f>
        <v/>
      </c>
      <c r="AA161" s="51">
        <f>IF(OR($M161="",$T161=""),"",$T161+(AA$2*$M161))</f>
        <v/>
      </c>
      <c r="AB161" s="48">
        <f>IF(OR($M161="",$T161=""),"",$T161+(AB$2*$M161))</f>
        <v/>
      </c>
      <c r="AC161" s="48">
        <f>IF(OR($M161="",$T161=""),"",$T161+(AC$2*$M161))</f>
        <v/>
      </c>
      <c r="AD161" s="48">
        <f>IF(OR($M161="",$T161=""),"",$T161+(AD$2*$M161))</f>
        <v/>
      </c>
      <c r="AE161" s="49">
        <f>IF(OR($M161="",$T161=""),"",$T161+(AE$2*$M161))</f>
        <v/>
      </c>
      <c r="AF161" s="52">
        <f>IF(OR(T161="",I161&lt;T161),"",IFERROR(AVERAGE(T161+M161*{7,8,9,10,11})/IF(G161="",I161,G161)-1,""))</f>
        <v/>
      </c>
      <c r="AG161" s="55">
        <f>IF(OR(T161="",I161&lt;T161),"",IFERROR(AF161/-(R161/IF(G161="",I161,G161)-1),""))</f>
        <v/>
      </c>
      <c r="AH161" s="94" t="n">
        <v>1</v>
      </c>
      <c r="AI161" s="94" t="n">
        <v>79.18288599800873</v>
      </c>
      <c r="AJ161" s="94" t="n">
        <v>0</v>
      </c>
      <c r="AK161" s="94" t="inlineStr">
        <is>
          <t>OTT Up Trend</t>
        </is>
      </c>
      <c r="AL161" s="84" t="inlineStr">
        <is>
          <t>Globus Medical, Inc.</t>
        </is>
      </c>
      <c r="AM161" t="inlineStr">
        <is>
          <t>Healthcare</t>
        </is>
      </c>
      <c r="AN161" t="inlineStr">
        <is>
          <t>Medical Devices</t>
        </is>
      </c>
      <c r="AO161" t="n">
        <v>89</v>
      </c>
    </row>
    <row r="162">
      <c r="A162" s="64" t="inlineStr">
        <is>
          <t>ULTA</t>
        </is>
      </c>
      <c r="B162" s="65" t="n"/>
      <c r="C162" s="66" t="n"/>
      <c r="D162" s="67" t="n"/>
      <c r="E162" s="68" t="n"/>
      <c r="F162" s="47">
        <f>IF(A162="","",IF(MIN(H162,MAX(J162:K162))=0,"",MIN(H162,MAX(J162:K162))))</f>
        <v/>
      </c>
      <c r="G162" s="74" t="n"/>
      <c r="H162" s="49">
        <f>IF(M162="","",IFERROR(ROUND(AVERAGE(T162+M162*{7,8,9,10,11})/1.21,4),""))</f>
        <v/>
      </c>
      <c r="I162" s="76" t="n">
        <v>663.47998046875</v>
      </c>
      <c r="J162" s="77" t="n">
        <v>653.936597238203</v>
      </c>
      <c r="K162" s="74" t="n">
        <v>632.0275024414062</v>
      </c>
      <c r="L162" s="78" t="n">
        <v>502.1879508972168</v>
      </c>
      <c r="M162" s="77" t="n">
        <v>13.53075464500293</v>
      </c>
      <c r="N162" s="53">
        <f>IF(M162="","",IFERROR(M162/I162,""))</f>
        <v/>
      </c>
      <c r="O162" s="50">
        <f>IF(A162="","",IFERROR((IF(G162="",I162,G162)-T162)/M162,""))</f>
        <v/>
      </c>
      <c r="P162" s="50">
        <f>IFERROR((I162/T162-1)/N162,"")</f>
        <v/>
      </c>
      <c r="Q162" s="46">
        <f>IF(OR(T162="",I162&lt;T162),"",IFERROR(R162/IF(G162="",I162,G162)-1,""))</f>
        <v/>
      </c>
      <c r="R162" s="48">
        <f>IF($M162="","",MAX(IF($G162="",$I162,$G162)*(1/1.1),IF($G162="",$I162,$G162)+(R$2*$M162)))</f>
        <v/>
      </c>
      <c r="S162" s="49">
        <f>IF($M162="","",MAX(IF($G162="",$I162,$G162)*(1/1.1),IF($G162="",$I162,$G162)+(S$2*$M162)))</f>
        <v/>
      </c>
      <c r="T162" s="82" t="n">
        <v>579.8802038574219</v>
      </c>
      <c r="U162" s="47">
        <f>IF(OR($M162="",$T162=""),"",$T162+(U$2*$M162))</f>
        <v/>
      </c>
      <c r="V162" s="48">
        <f>IF(OR($M162="",$T162=""),"",$T162+(V$2*$M162))</f>
        <v/>
      </c>
      <c r="W162" s="48">
        <f>IF(OR($M162="",$T162=""),"",$T162+(W$2*$M162))</f>
        <v/>
      </c>
      <c r="X162" s="49">
        <f>IF(OR($M162="",$T162=""),"",$T162+(X$2*$M162))</f>
        <v/>
      </c>
      <c r="Y162" s="47">
        <f>IF(OR($M162="",$T162=""),"",$T162+(Y$2*$M162))</f>
        <v/>
      </c>
      <c r="Z162" s="49">
        <f>IF(OR($M162="",$T162=""),"",$T162+(Z$2*$M162))</f>
        <v/>
      </c>
      <c r="AA162" s="51">
        <f>IF(OR($M162="",$T162=""),"",$T162+(AA$2*$M162))</f>
        <v/>
      </c>
      <c r="AB162" s="48">
        <f>IF(OR($M162="",$T162=""),"",$T162+(AB$2*$M162))</f>
        <v/>
      </c>
      <c r="AC162" s="48">
        <f>IF(OR($M162="",$T162=""),"",$T162+(AC$2*$M162))</f>
        <v/>
      </c>
      <c r="AD162" s="48">
        <f>IF(OR($M162="",$T162=""),"",$T162+(AD$2*$M162))</f>
        <v/>
      </c>
      <c r="AE162" s="49">
        <f>IF(OR($M162="",$T162=""),"",$T162+(AE$2*$M162))</f>
        <v/>
      </c>
      <c r="AF162" s="52">
        <f>IF(OR(T162="",I162&lt;T162),"",IFERROR(AVERAGE(T162+M162*{7,8,9,10,11})/IF(G162="",I162,G162)-1,""))</f>
        <v/>
      </c>
      <c r="AG162" s="55">
        <f>IF(OR(T162="",I162&lt;T162),"",IFERROR(AF162/-(R162/IF(G162="",I162,G162)-1),""))</f>
        <v/>
      </c>
      <c r="AH162" s="94" t="n">
        <v>1</v>
      </c>
      <c r="AI162" s="94" t="n">
        <v>171.3446218392423</v>
      </c>
      <c r="AJ162" s="94" t="n">
        <v>1</v>
      </c>
      <c r="AK162" s="94" t="inlineStr">
        <is>
          <t>OTT Up Trend</t>
        </is>
      </c>
      <c r="AL162" s="84" t="inlineStr">
        <is>
          <t>Ulta Beauty, Inc.</t>
        </is>
      </c>
      <c r="AM162" t="inlineStr">
        <is>
          <t>Consumer Cyclical</t>
        </is>
      </c>
      <c r="AN162" t="inlineStr">
        <is>
          <t>Specialty Retail</t>
        </is>
      </c>
      <c r="AO162" t="n">
        <v>89</v>
      </c>
    </row>
    <row r="163">
      <c r="A163" s="64" t="inlineStr">
        <is>
          <t>EL</t>
        </is>
      </c>
      <c r="B163" s="65" t="n"/>
      <c r="C163" s="66" t="n"/>
      <c r="D163" s="67" t="n"/>
      <c r="E163" s="68" t="n"/>
      <c r="F163" s="47">
        <f>IF(A163="","",IF(MIN(H163,MAX(J163:K163))=0,"",MIN(H163,MAX(J163:K163))))</f>
        <v/>
      </c>
      <c r="G163" s="74" t="n"/>
      <c r="H163" s="49">
        <f>IF(M163="","",IFERROR(ROUND(AVERAGE(T163+M163*{7,8,9,10,11})/1.21,4),""))</f>
        <v/>
      </c>
      <c r="I163" s="76" t="n">
        <v>115.0500030517578</v>
      </c>
      <c r="J163" s="77" t="n">
        <v>112.8091672353735</v>
      </c>
      <c r="K163" s="74" t="n">
        <v>109.668000793457</v>
      </c>
      <c r="L163" s="78" t="n">
        <v>85.29409984588624</v>
      </c>
      <c r="M163" s="77" t="n">
        <v>3.234040466124218</v>
      </c>
      <c r="N163" s="53">
        <f>IF(M163="","",IFERROR(M163/I163,""))</f>
        <v/>
      </c>
      <c r="O163" s="50">
        <f>IF(A163="","",IFERROR((IF(G163="",I163,G163)-T163)/M163,""))</f>
        <v/>
      </c>
      <c r="P163" s="50">
        <f>IFERROR((I163/T163-1)/N163,"")</f>
        <v/>
      </c>
      <c r="Q163" s="46">
        <f>IF(OR(T163="",I163&lt;T163),"",IFERROR(R163/IF(G163="",I163,G163)-1,""))</f>
        <v/>
      </c>
      <c r="R163" s="48">
        <f>IF($M163="","",MAX(IF($G163="",$I163,$G163)*(1/1.1),IF($G163="",$I163,$G163)+(R$2*$M163)))</f>
        <v/>
      </c>
      <c r="S163" s="49">
        <f>IF($M163="","",MAX(IF($G163="",$I163,$G163)*(1/1.1),IF($G163="",$I163,$G163)+(S$2*$M163)))</f>
        <v/>
      </c>
      <c r="T163" s="82" t="n">
        <v>101.1727998352051</v>
      </c>
      <c r="U163" s="47">
        <f>IF(OR($M163="",$T163=""),"",$T163+(U$2*$M163))</f>
        <v/>
      </c>
      <c r="V163" s="48">
        <f>IF(OR($M163="",$T163=""),"",$T163+(V$2*$M163))</f>
        <v/>
      </c>
      <c r="W163" s="48">
        <f>IF(OR($M163="",$T163=""),"",$T163+(W$2*$M163))</f>
        <v/>
      </c>
      <c r="X163" s="49">
        <f>IF(OR($M163="",$T163=""),"",$T163+(X$2*$M163))</f>
        <v/>
      </c>
      <c r="Y163" s="47">
        <f>IF(OR($M163="",$T163=""),"",$T163+(Y$2*$M163))</f>
        <v/>
      </c>
      <c r="Z163" s="49">
        <f>IF(OR($M163="",$T163=""),"",$T163+(Z$2*$M163))</f>
        <v/>
      </c>
      <c r="AA163" s="51">
        <f>IF(OR($M163="",$T163=""),"",$T163+(AA$2*$M163))</f>
        <v/>
      </c>
      <c r="AB163" s="48">
        <f>IF(OR($M163="",$T163=""),"",$T163+(AB$2*$M163))</f>
        <v/>
      </c>
      <c r="AC163" s="48">
        <f>IF(OR($M163="",$T163=""),"",$T163+(AC$2*$M163))</f>
        <v/>
      </c>
      <c r="AD163" s="48">
        <f>IF(OR($M163="",$T163=""),"",$T163+(AD$2*$M163))</f>
        <v/>
      </c>
      <c r="AE163" s="49">
        <f>IF(OR($M163="",$T163=""),"",$T163+(AE$2*$M163))</f>
        <v/>
      </c>
      <c r="AF163" s="52">
        <f>IF(OR(T163="",I163&lt;T163),"",IFERROR(AVERAGE(T163+M163*{7,8,9,10,11})/IF(G163="",I163,G163)-1,""))</f>
        <v/>
      </c>
      <c r="AG163" s="55">
        <f>IF(OR(T163="",I163&lt;T163),"",IFERROR(AF163/-(R163/IF(G163="",I163,G163)-1),""))</f>
        <v/>
      </c>
      <c r="AH163" s="94" t="n">
        <v>1</v>
      </c>
      <c r="AI163" s="94" t="n">
        <v>116.8359515927947</v>
      </c>
      <c r="AJ163" s="94" t="n">
        <v>1</v>
      </c>
      <c r="AK163" s="94" t="inlineStr">
        <is>
          <t>OTT Up Trend</t>
        </is>
      </c>
      <c r="AL163" s="84" t="inlineStr">
        <is>
          <t>Estee Lauder Companies, Inc. (T</t>
        </is>
      </c>
      <c r="AM163" t="inlineStr">
        <is>
          <t>Consumer Defensive</t>
        </is>
      </c>
      <c r="AN163" t="inlineStr">
        <is>
          <t>Household &amp; Personal Products</t>
        </is>
      </c>
      <c r="AO163" t="n">
        <v>89</v>
      </c>
    </row>
    <row r="164">
      <c r="A164" s="64" t="inlineStr">
        <is>
          <t>CMC</t>
        </is>
      </c>
      <c r="B164" s="65" t="n"/>
      <c r="C164" s="66" t="n"/>
      <c r="D164" s="67" t="n"/>
      <c r="E164" s="68" t="n"/>
      <c r="F164" s="47">
        <f>IF(A164="","",IF(MIN(H164,MAX(J164:K164))=0,"",MIN(H164,MAX(J164:K164))))</f>
        <v/>
      </c>
      <c r="G164" s="74" t="n"/>
      <c r="H164" s="49">
        <f>IF(M164="","",IFERROR(ROUND(AVERAGE(T164+M164*{7,8,9,10,11})/1.21,4),""))</f>
        <v/>
      </c>
      <c r="I164" s="76" t="n">
        <v>74.41999816894531</v>
      </c>
      <c r="J164" s="77" t="n">
        <v>73.4775683312167</v>
      </c>
      <c r="K164" s="74" t="n">
        <v>71.93850059509278</v>
      </c>
      <c r="L164" s="78" t="n">
        <v>55.8729500579834</v>
      </c>
      <c r="M164" s="77" t="n">
        <v>2.025354677907913</v>
      </c>
      <c r="N164" s="53">
        <f>IF(M164="","",IFERROR(M164/I164,""))</f>
        <v/>
      </c>
      <c r="O164" s="50">
        <f>IF(A164="","",IFERROR((IF(G164="",I164,G164)-T164)/M164,""))</f>
        <v/>
      </c>
      <c r="P164" s="50">
        <f>IFERROR((I164/T164-1)/N164,"")</f>
        <v/>
      </c>
      <c r="Q164" s="46">
        <f>IF(OR(T164="",I164&lt;T164),"",IFERROR(R164/IF(G164="",I164,G164)-1,""))</f>
        <v/>
      </c>
      <c r="R164" s="48">
        <f>IF($M164="","",MAX(IF($G164="",$I164,$G164)*(1/1.1),IF($G164="",$I164,$G164)+(R$2*$M164)))</f>
        <v/>
      </c>
      <c r="S164" s="49">
        <f>IF($M164="","",MAX(IF($G164="",$I164,$G164)*(1/1.1),IF($G164="",$I164,$G164)+(S$2*$M164)))</f>
        <v/>
      </c>
      <c r="T164" s="82" t="n">
        <v>66.69880027770996</v>
      </c>
      <c r="U164" s="47">
        <f>IF(OR($M164="",$T164=""),"",$T164+(U$2*$M164))</f>
        <v/>
      </c>
      <c r="V164" s="48">
        <f>IF(OR($M164="",$T164=""),"",$T164+(V$2*$M164))</f>
        <v/>
      </c>
      <c r="W164" s="48">
        <f>IF(OR($M164="",$T164=""),"",$T164+(W$2*$M164))</f>
        <v/>
      </c>
      <c r="X164" s="49">
        <f>IF(OR($M164="",$T164=""),"",$T164+(X$2*$M164))</f>
        <v/>
      </c>
      <c r="Y164" s="47">
        <f>IF(OR($M164="",$T164=""),"",$T164+(Y$2*$M164))</f>
        <v/>
      </c>
      <c r="Z164" s="49">
        <f>IF(OR($M164="",$T164=""),"",$T164+(Z$2*$M164))</f>
        <v/>
      </c>
      <c r="AA164" s="51">
        <f>IF(OR($M164="",$T164=""),"",$T164+(AA$2*$M164))</f>
        <v/>
      </c>
      <c r="AB164" s="48">
        <f>IF(OR($M164="",$T164=""),"",$T164+(AB$2*$M164))</f>
        <v/>
      </c>
      <c r="AC164" s="48">
        <f>IF(OR($M164="",$T164=""),"",$T164+(AC$2*$M164))</f>
        <v/>
      </c>
      <c r="AD164" s="48">
        <f>IF(OR($M164="",$T164=""),"",$T164+(AD$2*$M164))</f>
        <v/>
      </c>
      <c r="AE164" s="49">
        <f>IF(OR($M164="",$T164=""),"",$T164+(AE$2*$M164))</f>
        <v/>
      </c>
      <c r="AF164" s="52">
        <f>IF(OR(T164="",I164&lt;T164),"",IFERROR(AVERAGE(T164+M164*{7,8,9,10,11})/IF(G164="",I164,G164)-1,""))</f>
        <v/>
      </c>
      <c r="AG164" s="55">
        <f>IF(OR(T164="",I164&lt;T164),"",IFERROR(AF164/-(R164/IF(G164="",I164,G164)-1),""))</f>
        <v/>
      </c>
      <c r="AH164" s="94" t="n">
        <v>1</v>
      </c>
      <c r="AI164" s="94" t="n">
        <v>106.7316337443382</v>
      </c>
      <c r="AJ164" s="94" t="n">
        <v>0</v>
      </c>
      <c r="AK164" s="94" t="inlineStr">
        <is>
          <t>OTT Up Trend</t>
        </is>
      </c>
      <c r="AL164" s="84" t="inlineStr">
        <is>
          <t>Commercial Metals Company</t>
        </is>
      </c>
      <c r="AM164" t="inlineStr">
        <is>
          <t>Basic Materials</t>
        </is>
      </c>
      <c r="AN164" t="inlineStr">
        <is>
          <t>Steel</t>
        </is>
      </c>
      <c r="AO164" t="n">
        <v>89</v>
      </c>
    </row>
    <row r="165">
      <c r="A165" s="64" t="inlineStr">
        <is>
          <t>DLX</t>
        </is>
      </c>
      <c r="B165" s="65" t="n"/>
      <c r="C165" s="66" t="n"/>
      <c r="D165" s="67" t="n"/>
      <c r="E165" s="68" t="n"/>
      <c r="F165" s="47">
        <f>IF(A165="","",IF(MIN(H165,MAX(J165:K165))=0,"",MIN(H165,MAX(J165:K165))))</f>
        <v/>
      </c>
      <c r="G165" s="74" t="n"/>
      <c r="H165" s="49">
        <f>IF(M165="","",IFERROR(ROUND(AVERAGE(T165+M165*{7,8,9,10,11})/1.21,4),""))</f>
        <v/>
      </c>
      <c r="I165" s="76" t="n">
        <v>24.46999931335449</v>
      </c>
      <c r="J165" s="77" t="n">
        <v>23.50158680635299</v>
      </c>
      <c r="K165" s="74" t="n">
        <v>22.86149997711182</v>
      </c>
      <c r="L165" s="78" t="n">
        <v>18.13084997653961</v>
      </c>
      <c r="M165" s="77" t="n">
        <v>0.6241363375355579</v>
      </c>
      <c r="N165" s="53">
        <f>IF(M165="","",IFERROR(M165/I165,""))</f>
        <v/>
      </c>
      <c r="O165" s="50">
        <f>IF(A165="","",IFERROR((IF(G165="",I165,G165)-T165)/M165,""))</f>
        <v/>
      </c>
      <c r="P165" s="50">
        <f>IFERROR((I165/T165-1)/N165,"")</f>
        <v/>
      </c>
      <c r="Q165" s="46">
        <f>IF(OR(T165="",I165&lt;T165),"",IFERROR(R165/IF(G165="",I165,G165)-1,""))</f>
        <v/>
      </c>
      <c r="R165" s="48">
        <f>IF($M165="","",MAX(IF($G165="",$I165,$G165)*(1/1.1),IF($G165="",$I165,$G165)+(R$2*$M165)))</f>
        <v/>
      </c>
      <c r="S165" s="49">
        <f>IF($M165="","",MAX(IF($G165="",$I165,$G165)*(1/1.1),IF($G165="",$I165,$G165)+(S$2*$M165)))</f>
        <v/>
      </c>
      <c r="T165" s="82" t="n">
        <v>21.51619995117187</v>
      </c>
      <c r="U165" s="47">
        <f>IF(OR($M165="",$T165=""),"",$T165+(U$2*$M165))</f>
        <v/>
      </c>
      <c r="V165" s="48">
        <f>IF(OR($M165="",$T165=""),"",$T165+(V$2*$M165))</f>
        <v/>
      </c>
      <c r="W165" s="48">
        <f>IF(OR($M165="",$T165=""),"",$T165+(W$2*$M165))</f>
        <v/>
      </c>
      <c r="X165" s="49">
        <f>IF(OR($M165="",$T165=""),"",$T165+(X$2*$M165))</f>
        <v/>
      </c>
      <c r="Y165" s="47">
        <f>IF(OR($M165="",$T165=""),"",$T165+(Y$2*$M165))</f>
        <v/>
      </c>
      <c r="Z165" s="49">
        <f>IF(OR($M165="",$T165=""),"",$T165+(Z$2*$M165))</f>
        <v/>
      </c>
      <c r="AA165" s="51">
        <f>IF(OR($M165="",$T165=""),"",$T165+(AA$2*$M165))</f>
        <v/>
      </c>
      <c r="AB165" s="48">
        <f>IF(OR($M165="",$T165=""),"",$T165+(AB$2*$M165))</f>
        <v/>
      </c>
      <c r="AC165" s="48">
        <f>IF(OR($M165="",$T165=""),"",$T165+(AC$2*$M165))</f>
        <v/>
      </c>
      <c r="AD165" s="48">
        <f>IF(OR($M165="",$T165=""),"",$T165+(AD$2*$M165))</f>
        <v/>
      </c>
      <c r="AE165" s="49">
        <f>IF(OR($M165="",$T165=""),"",$T165+(AE$2*$M165))</f>
        <v/>
      </c>
      <c r="AF165" s="52">
        <f>IF(OR(T165="",I165&lt;T165),"",IFERROR(AVERAGE(T165+M165*{7,8,9,10,11})/IF(G165="",I165,G165)-1,""))</f>
        <v/>
      </c>
      <c r="AG165" s="55">
        <f>IF(OR(T165="",I165&lt;T165),"",IFERROR(AF165/-(R165/IF(G165="",I165,G165)-1),""))</f>
        <v/>
      </c>
      <c r="AH165" s="94" t="n">
        <v>1</v>
      </c>
      <c r="AI165" s="94" t="n">
        <v>116.1823645088337</v>
      </c>
      <c r="AJ165" s="94" t="n">
        <v>1</v>
      </c>
      <c r="AK165" s="94" t="inlineStr">
        <is>
          <t>OTT Up Trend</t>
        </is>
      </c>
      <c r="AL165" s="84" t="inlineStr">
        <is>
          <t>Deluxe Corporation</t>
        </is>
      </c>
      <c r="AM165" t="inlineStr">
        <is>
          <t>Industrials</t>
        </is>
      </c>
      <c r="AN165" t="inlineStr">
        <is>
          <t>Conglomerates</t>
        </is>
      </c>
      <c r="AO165" t="n">
        <v>89</v>
      </c>
    </row>
    <row r="166">
      <c r="A166" s="64" t="inlineStr">
        <is>
          <t>HWM</t>
        </is>
      </c>
      <c r="B166" s="65" t="n"/>
      <c r="C166" s="66" t="n"/>
      <c r="D166" s="67" t="n"/>
      <c r="E166" s="68" t="n"/>
      <c r="F166" s="47">
        <f>IF(A166="","",IF(MIN(H166,MAX(J166:K166))=0,"",MIN(H166,MAX(J166:K166))))</f>
        <v/>
      </c>
      <c r="G166" s="74" t="n"/>
      <c r="H166" s="49">
        <f>IF(M166="","",IFERROR(ROUND(AVERAGE(T166+M166*{7,8,9,10,11})/1.21,4),""))</f>
        <v/>
      </c>
      <c r="I166" s="76" t="n">
        <v>224.8899993896484</v>
      </c>
      <c r="J166" s="77" t="n">
        <v>218.282811310264</v>
      </c>
      <c r="K166" s="74" t="n">
        <v>212.6320007324219</v>
      </c>
      <c r="L166" s="78" t="n">
        <v>180.9966500854492</v>
      </c>
      <c r="M166" s="77" t="n">
        <v>5.55181749093378</v>
      </c>
      <c r="N166" s="53">
        <f>IF(M166="","",IFERROR(M166/I166,""))</f>
        <v/>
      </c>
      <c r="O166" s="50">
        <f>IF(A166="","",IFERROR((IF(G166="",I166,G166)-T166)/M166,""))</f>
        <v/>
      </c>
      <c r="P166" s="50">
        <f>IFERROR((I166/T166-1)/N166,"")</f>
        <v/>
      </c>
      <c r="Q166" s="46">
        <f>IF(OR(T166="",I166&lt;T166),"",IFERROR(R166/IF(G166="",I166,G166)-1,""))</f>
        <v/>
      </c>
      <c r="R166" s="48">
        <f>IF($M166="","",MAX(IF($G166="",$I166,$G166)*(1/1.1),IF($G166="",$I166,$G166)+(R$2*$M166)))</f>
        <v/>
      </c>
      <c r="S166" s="49">
        <f>IF($M166="","",MAX(IF($G166="",$I166,$G166)*(1/1.1),IF($G166="",$I166,$G166)+(S$2*$M166)))</f>
        <v/>
      </c>
      <c r="T166" s="82" t="n">
        <v>204.8629998779297</v>
      </c>
      <c r="U166" s="47">
        <f>IF(OR($M166="",$T166=""),"",$T166+(U$2*$M166))</f>
        <v/>
      </c>
      <c r="V166" s="48">
        <f>IF(OR($M166="",$T166=""),"",$T166+(V$2*$M166))</f>
        <v/>
      </c>
      <c r="W166" s="48">
        <f>IF(OR($M166="",$T166=""),"",$T166+(W$2*$M166))</f>
        <v/>
      </c>
      <c r="X166" s="49">
        <f>IF(OR($M166="",$T166=""),"",$T166+(X$2*$M166))</f>
        <v/>
      </c>
      <c r="Y166" s="47">
        <f>IF(OR($M166="",$T166=""),"",$T166+(Y$2*$M166))</f>
        <v/>
      </c>
      <c r="Z166" s="49">
        <f>IF(OR($M166="",$T166=""),"",$T166+(Z$2*$M166))</f>
        <v/>
      </c>
      <c r="AA166" s="51">
        <f>IF(OR($M166="",$T166=""),"",$T166+(AA$2*$M166))</f>
        <v/>
      </c>
      <c r="AB166" s="48">
        <f>IF(OR($M166="",$T166=""),"",$T166+(AB$2*$M166))</f>
        <v/>
      </c>
      <c r="AC166" s="48">
        <f>IF(OR($M166="",$T166=""),"",$T166+(AC$2*$M166))</f>
        <v/>
      </c>
      <c r="AD166" s="48">
        <f>IF(OR($M166="",$T166=""),"",$T166+(AD$2*$M166))</f>
        <v/>
      </c>
      <c r="AE166" s="49">
        <f>IF(OR($M166="",$T166=""),"",$T166+(AE$2*$M166))</f>
        <v/>
      </c>
      <c r="AF166" s="52">
        <f>IF(OR(T166="",I166&lt;T166),"",IFERROR(AVERAGE(T166+M166*{7,8,9,10,11})/IF(G166="",I166,G166)-1,""))</f>
        <v/>
      </c>
      <c r="AG166" s="55">
        <f>IF(OR(T166="",I166&lt;T166),"",IFERROR(AF166/-(R166/IF(G166="",I166,G166)-1),""))</f>
        <v/>
      </c>
      <c r="AH166" s="94" t="n">
        <v>1</v>
      </c>
      <c r="AI166" s="94" t="n">
        <v>104.4218601857173</v>
      </c>
      <c r="AJ166" s="94" t="n">
        <v>1</v>
      </c>
      <c r="AK166" s="94" t="inlineStr">
        <is>
          <t>OTT Up Trend</t>
        </is>
      </c>
      <c r="AL166" s="84" t="inlineStr">
        <is>
          <t>Howmet Aerospace Inc.</t>
        </is>
      </c>
      <c r="AM166" t="inlineStr">
        <is>
          <t>Industrials</t>
        </is>
      </c>
      <c r="AN166" t="inlineStr">
        <is>
          <t>Aerospace &amp; Defense</t>
        </is>
      </c>
      <c r="AO166" t="n">
        <v>89</v>
      </c>
    </row>
    <row r="167">
      <c r="A167" s="64" t="inlineStr">
        <is>
          <t>MPWR</t>
        </is>
      </c>
      <c r="B167" s="65" t="n"/>
      <c r="C167" s="66" t="n"/>
      <c r="D167" s="67" t="n"/>
      <c r="E167" s="68" t="n"/>
      <c r="F167" s="47">
        <f>IF(A167="","",IF(MIN(H167,MAX(J167:K167))=0,"",MIN(H167,MAX(J167:K167))))</f>
        <v/>
      </c>
      <c r="G167" s="74" t="n"/>
      <c r="H167" s="49">
        <f>IF(M167="","",IFERROR(ROUND(AVERAGE(T167+M167*{7,8,9,10,11})/1.21,4),""))</f>
        <v/>
      </c>
      <c r="I167" s="76" t="n">
        <v>1033.170043945312</v>
      </c>
      <c r="J167" s="77" t="n">
        <v>984.2677213561051</v>
      </c>
      <c r="K167" s="74" t="n">
        <v>958.2894958496094</v>
      </c>
      <c r="L167" s="78" t="n">
        <v>815.7617021179199</v>
      </c>
      <c r="M167" s="77" t="n">
        <v>35.74150501341551</v>
      </c>
      <c r="N167" s="53">
        <f>IF(M167="","",IFERROR(M167/I167,""))</f>
        <v/>
      </c>
      <c r="O167" s="50">
        <f>IF(A167="","",IFERROR((IF(G167="",I167,G167)-T167)/M167,""))</f>
        <v/>
      </c>
      <c r="P167" s="50">
        <f>IFERROR((I167/T167-1)/N167,"")</f>
        <v/>
      </c>
      <c r="Q167" s="46">
        <f>IF(OR(T167="",I167&lt;T167),"",IFERROR(R167/IF(G167="",I167,G167)-1,""))</f>
        <v/>
      </c>
      <c r="R167" s="48">
        <f>IF($M167="","",MAX(IF($G167="",$I167,$G167)*(1/1.1),IF($G167="",$I167,$G167)+(R$2*$M167)))</f>
        <v/>
      </c>
      <c r="S167" s="49">
        <f>IF($M167="","",MAX(IF($G167="",$I167,$G167)*(1/1.1),IF($G167="",$I167,$G167)+(S$2*$M167)))</f>
        <v/>
      </c>
      <c r="T167" s="82" t="n">
        <v>945.2019995117188</v>
      </c>
      <c r="U167" s="47">
        <f>IF(OR($M167="",$T167=""),"",$T167+(U$2*$M167))</f>
        <v/>
      </c>
      <c r="V167" s="48">
        <f>IF(OR($M167="",$T167=""),"",$T167+(V$2*$M167))</f>
        <v/>
      </c>
      <c r="W167" s="48">
        <f>IF(OR($M167="",$T167=""),"",$T167+(W$2*$M167))</f>
        <v/>
      </c>
      <c r="X167" s="49">
        <f>IF(OR($M167="",$T167=""),"",$T167+(X$2*$M167))</f>
        <v/>
      </c>
      <c r="Y167" s="47">
        <f>IF(OR($M167="",$T167=""),"",$T167+(Y$2*$M167))</f>
        <v/>
      </c>
      <c r="Z167" s="49">
        <f>IF(OR($M167="",$T167=""),"",$T167+(Z$2*$M167))</f>
        <v/>
      </c>
      <c r="AA167" s="51">
        <f>IF(OR($M167="",$T167=""),"",$T167+(AA$2*$M167))</f>
        <v/>
      </c>
      <c r="AB167" s="48">
        <f>IF(OR($M167="",$T167=""),"",$T167+(AB$2*$M167))</f>
        <v/>
      </c>
      <c r="AC167" s="48">
        <f>IF(OR($M167="",$T167=""),"",$T167+(AC$2*$M167))</f>
        <v/>
      </c>
      <c r="AD167" s="48">
        <f>IF(OR($M167="",$T167=""),"",$T167+(AD$2*$M167))</f>
        <v/>
      </c>
      <c r="AE167" s="49">
        <f>IF(OR($M167="",$T167=""),"",$T167+(AE$2*$M167))</f>
        <v/>
      </c>
      <c r="AF167" s="52">
        <f>IF(OR(T167="",I167&lt;T167),"",IFERROR(AVERAGE(T167+M167*{7,8,9,10,11})/IF(G167="",I167,G167)-1,""))</f>
        <v/>
      </c>
      <c r="AG167" s="55">
        <f>IF(OR(T167="",I167&lt;T167),"",IFERROR(AF167/-(R167/IF(G167="",I167,G167)-1),""))</f>
        <v/>
      </c>
      <c r="AH167" s="94" t="n">
        <v>1</v>
      </c>
      <c r="AI167" s="94" t="n">
        <v>42.61408090643075</v>
      </c>
      <c r="AJ167" s="94" t="n">
        <v>1</v>
      </c>
      <c r="AK167" s="94" t="inlineStr">
        <is>
          <t>None</t>
        </is>
      </c>
      <c r="AL167" s="84" t="inlineStr">
        <is>
          <t>Monolithic Power Systems, Inc.</t>
        </is>
      </c>
      <c r="AM167" t="inlineStr">
        <is>
          <t>Technology</t>
        </is>
      </c>
      <c r="AN167" t="inlineStr">
        <is>
          <t>Semiconductors</t>
        </is>
      </c>
      <c r="AO167" t="n">
        <v>89</v>
      </c>
    </row>
    <row r="168">
      <c r="A168" s="64" t="inlineStr">
        <is>
          <t>ECG</t>
        </is>
      </c>
      <c r="B168" s="65" t="n"/>
      <c r="C168" s="66" t="n"/>
      <c r="D168" s="67" t="n"/>
      <c r="E168" s="68" t="n"/>
      <c r="F168" s="47">
        <f>IF(A168="","",IF(MIN(H168,MAX(J168:K168))=0,"",MIN(H168,MAX(J168:K168))))</f>
        <v/>
      </c>
      <c r="G168" s="74" t="n"/>
      <c r="H168" s="49">
        <f>IF(M168="","",IFERROR(ROUND(AVERAGE(T168+M168*{7,8,9,10,11})/1.21,4),""))</f>
        <v/>
      </c>
      <c r="I168" s="76" t="n">
        <v>92.59999847412109</v>
      </c>
      <c r="J168" s="77" t="n">
        <v>88.42079317200543</v>
      </c>
      <c r="K168" s="74" t="n">
        <v>88.37849998474121</v>
      </c>
      <c r="L168" s="78" t="n">
        <v>72.75974983215332</v>
      </c>
      <c r="M168" s="77" t="n">
        <v>4.021399043143843</v>
      </c>
      <c r="N168" s="53">
        <f>IF(M168="","",IFERROR(M168/I168,""))</f>
        <v/>
      </c>
      <c r="O168" s="50">
        <f>IF(A168="","",IFERROR((IF(G168="",I168,G168)-T168)/M168,""))</f>
        <v/>
      </c>
      <c r="P168" s="50">
        <f>IFERROR((I168/T168-1)/N168,"")</f>
        <v/>
      </c>
      <c r="Q168" s="46">
        <f>IF(OR(T168="",I168&lt;T168),"",IFERROR(R168/IF(G168="",I168,G168)-1,""))</f>
        <v/>
      </c>
      <c r="R168" s="48">
        <f>IF($M168="","",MAX(IF($G168="",$I168,$G168)*(1/1.1),IF($G168="",$I168,$G168)+(R$2*$M168)))</f>
        <v/>
      </c>
      <c r="S168" s="49">
        <f>IF($M168="","",MAX(IF($G168="",$I168,$G168)*(1/1.1),IF($G168="",$I168,$G168)+(S$2*$M168)))</f>
        <v/>
      </c>
      <c r="T168" s="82" t="n">
        <v>90.16699966430664</v>
      </c>
      <c r="U168" s="47">
        <f>IF(OR($M168="",$T168=""),"",$T168+(U$2*$M168))</f>
        <v/>
      </c>
      <c r="V168" s="48">
        <f>IF(OR($M168="",$T168=""),"",$T168+(V$2*$M168))</f>
        <v/>
      </c>
      <c r="W168" s="48">
        <f>IF(OR($M168="",$T168=""),"",$T168+(W$2*$M168))</f>
        <v/>
      </c>
      <c r="X168" s="49">
        <f>IF(OR($M168="",$T168=""),"",$T168+(X$2*$M168))</f>
        <v/>
      </c>
      <c r="Y168" s="47">
        <f>IF(OR($M168="",$T168=""),"",$T168+(Y$2*$M168))</f>
        <v/>
      </c>
      <c r="Z168" s="49">
        <f>IF(OR($M168="",$T168=""),"",$T168+(Z$2*$M168))</f>
        <v/>
      </c>
      <c r="AA168" s="51">
        <f>IF(OR($M168="",$T168=""),"",$T168+(AA$2*$M168))</f>
        <v/>
      </c>
      <c r="AB168" s="48">
        <f>IF(OR($M168="",$T168=""),"",$T168+(AB$2*$M168))</f>
        <v/>
      </c>
      <c r="AC168" s="48">
        <f>IF(OR($M168="",$T168=""),"",$T168+(AC$2*$M168))</f>
        <v/>
      </c>
      <c r="AD168" s="48">
        <f>IF(OR($M168="",$T168=""),"",$T168+(AD$2*$M168))</f>
        <v/>
      </c>
      <c r="AE168" s="49">
        <f>IF(OR($M168="",$T168=""),"",$T168+(AE$2*$M168))</f>
        <v/>
      </c>
      <c r="AF168" s="52">
        <f>IF(OR(T168="",I168&lt;T168),"",IFERROR(AVERAGE(T168+M168*{7,8,9,10,11})/IF(G168="",I168,G168)-1,""))</f>
        <v/>
      </c>
      <c r="AG168" s="55">
        <f>IF(OR(T168="",I168&lt;T168),"",IFERROR(AF168/-(R168/IF(G168="",I168,G168)-1),""))</f>
        <v/>
      </c>
      <c r="AH168" s="94" t="n">
        <v>-1</v>
      </c>
      <c r="AI168" s="94" t="n">
        <v>-8.474461370125493</v>
      </c>
      <c r="AJ168" s="94" t="n">
        <v>1</v>
      </c>
      <c r="AK168" s="94" t="inlineStr">
        <is>
          <t>None</t>
        </is>
      </c>
      <c r="AL168" s="84" t="inlineStr">
        <is>
          <t>Everus Construction Group, Inc.</t>
        </is>
      </c>
      <c r="AM168" t="inlineStr">
        <is>
          <t>Industrials</t>
        </is>
      </c>
      <c r="AN168" t="inlineStr">
        <is>
          <t>Engineering &amp; Construction</t>
        </is>
      </c>
      <c r="AO168" t="n">
        <v>89</v>
      </c>
    </row>
    <row r="169">
      <c r="A169" s="64" t="inlineStr">
        <is>
          <t>COLL</t>
        </is>
      </c>
      <c r="B169" s="65" t="n"/>
      <c r="C169" s="66" t="n"/>
      <c r="D169" s="67" t="n"/>
      <c r="E169" s="68" t="n"/>
      <c r="F169" s="47">
        <f>IF(A169="","",IF(MIN(H169,MAX(J169:K169))=0,"",MIN(H169,MAX(J169:K169))))</f>
        <v/>
      </c>
      <c r="G169" s="74" t="n"/>
      <c r="H169" s="49">
        <f>IF(M169="","",IFERROR(ROUND(AVERAGE(T169+M169*{7,8,9,10,11})/1.21,4),""))</f>
        <v/>
      </c>
      <c r="I169" s="76" t="n">
        <v>45.59999847412109</v>
      </c>
      <c r="J169" s="77" t="n">
        <v>46.84786981683067</v>
      </c>
      <c r="K169" s="74" t="n">
        <v>47.58649997711181</v>
      </c>
      <c r="L169" s="78" t="n">
        <v>35.77452496528625</v>
      </c>
      <c r="M169" s="77" t="n">
        <v>1.718710717262853</v>
      </c>
      <c r="N169" s="53">
        <f>IF(M169="","",IFERROR(M169/I169,""))</f>
        <v/>
      </c>
      <c r="O169" s="50">
        <f>IF(A169="","",IFERROR((IF(G169="",I169,G169)-T169)/M169,""))</f>
        <v/>
      </c>
      <c r="P169" s="50">
        <f>IFERROR((I169/T169-1)/N169,"")</f>
        <v/>
      </c>
      <c r="Q169" s="46">
        <f>IF(OR(T169="",I169&lt;T169),"",IFERROR(R169/IF(G169="",I169,G169)-1,""))</f>
        <v/>
      </c>
      <c r="R169" s="48">
        <f>IF($M169="","",MAX(IF($G169="",$I169,$G169)*(1/1.1),IF($G169="",$I169,$G169)+(R$2*$M169)))</f>
        <v/>
      </c>
      <c r="S169" s="49">
        <f>IF($M169="","",MAX(IF($G169="",$I169,$G169)*(1/1.1),IF($G169="",$I169,$G169)+(S$2*$M169)))</f>
        <v/>
      </c>
      <c r="T169" s="82" t="n">
        <v>46.63829986572266</v>
      </c>
      <c r="U169" s="47">
        <f>IF(OR($M169="",$T169=""),"",$T169+(U$2*$M169))</f>
        <v/>
      </c>
      <c r="V169" s="48">
        <f>IF(OR($M169="",$T169=""),"",$T169+(V$2*$M169))</f>
        <v/>
      </c>
      <c r="W169" s="48">
        <f>IF(OR($M169="",$T169=""),"",$T169+(W$2*$M169))</f>
        <v/>
      </c>
      <c r="X169" s="49">
        <f>IF(OR($M169="",$T169=""),"",$T169+(X$2*$M169))</f>
        <v/>
      </c>
      <c r="Y169" s="47">
        <f>IF(OR($M169="",$T169=""),"",$T169+(Y$2*$M169))</f>
        <v/>
      </c>
      <c r="Z169" s="49">
        <f>IF(OR($M169="",$T169=""),"",$T169+(Z$2*$M169))</f>
        <v/>
      </c>
      <c r="AA169" s="51">
        <f>IF(OR($M169="",$T169=""),"",$T169+(AA$2*$M169))</f>
        <v/>
      </c>
      <c r="AB169" s="48">
        <f>IF(OR($M169="",$T169=""),"",$T169+(AB$2*$M169))</f>
        <v/>
      </c>
      <c r="AC169" s="48">
        <f>IF(OR($M169="",$T169=""),"",$T169+(AC$2*$M169))</f>
        <v/>
      </c>
      <c r="AD169" s="48">
        <f>IF(OR($M169="",$T169=""),"",$T169+(AD$2*$M169))</f>
        <v/>
      </c>
      <c r="AE169" s="49">
        <f>IF(OR($M169="",$T169=""),"",$T169+(AE$2*$M169))</f>
        <v/>
      </c>
      <c r="AF169" s="52">
        <f>IF(OR(T169="",I169&lt;T169),"",IFERROR(AVERAGE(T169+M169*{7,8,9,10,11})/IF(G169="",I169,G169)-1,""))</f>
        <v/>
      </c>
      <c r="AG169" s="55">
        <f>IF(OR(T169="",I169&lt;T169),"",IFERROR(AF169/-(R169/IF(G169="",I169,G169)-1),""))</f>
        <v/>
      </c>
      <c r="AH169" s="94" t="n">
        <v>-1</v>
      </c>
      <c r="AI169" s="94" t="n">
        <v>-1.139822771885574</v>
      </c>
      <c r="AJ169" s="94" t="n">
        <v>0</v>
      </c>
      <c r="AK169" s="94" t="inlineStr">
        <is>
          <t>None</t>
        </is>
      </c>
      <c r="AL169" s="84" t="inlineStr">
        <is>
          <t>Collegium Pharmaceutical, Inc.</t>
        </is>
      </c>
      <c r="AM169" t="inlineStr">
        <is>
          <t>Healthcare</t>
        </is>
      </c>
      <c r="AN169" t="inlineStr">
        <is>
          <t>Drug Manufacturers - Specialty &amp; Generic</t>
        </is>
      </c>
      <c r="AO169" t="n">
        <v>89</v>
      </c>
    </row>
    <row r="170">
      <c r="A170" s="64" t="inlineStr">
        <is>
          <t>RTX</t>
        </is>
      </c>
      <c r="B170" s="65" t="n"/>
      <c r="C170" s="66" t="n"/>
      <c r="D170" s="67" t="n"/>
      <c r="E170" s="68" t="n"/>
      <c r="F170" s="47">
        <f>IF(A170="","",IF(MIN(H170,MAX(J170:K170))=0,"",MIN(H170,MAX(J170:K170))))</f>
        <v/>
      </c>
      <c r="G170" s="74" t="n"/>
      <c r="H170" s="49">
        <f>IF(M170="","",IFERROR(ROUND(AVERAGE(T170+M170*{7,8,9,10,11})/1.21,4),""))</f>
        <v/>
      </c>
      <c r="I170" s="76" t="n">
        <v>201.9199981689453</v>
      </c>
      <c r="J170" s="77" t="n">
        <v>194.0983306594821</v>
      </c>
      <c r="K170" s="74" t="n">
        <v>188.5474975585938</v>
      </c>
      <c r="L170" s="78" t="n">
        <v>156.479700088501</v>
      </c>
      <c r="M170" s="77" t="n">
        <v>4.219241576445661</v>
      </c>
      <c r="N170" s="53">
        <f>IF(M170="","",IFERROR(M170/I170,""))</f>
        <v/>
      </c>
      <c r="O170" s="50">
        <f>IF(A170="","",IFERROR((IF(G170="",I170,G170)-T170)/M170,""))</f>
        <v/>
      </c>
      <c r="P170" s="50">
        <f>IFERROR((I170/T170-1)/N170,"")</f>
        <v/>
      </c>
      <c r="Q170" s="46">
        <f>IF(OR(T170="",I170&lt;T170),"",IFERROR(R170/IF(G170="",I170,G170)-1,""))</f>
        <v/>
      </c>
      <c r="R170" s="48">
        <f>IF($M170="","",MAX(IF($G170="",$I170,$G170)*(1/1.1),IF($G170="",$I170,$G170)+(R$2*$M170)))</f>
        <v/>
      </c>
      <c r="S170" s="49">
        <f>IF($M170="","",MAX(IF($G170="",$I170,$G170)*(1/1.1),IF($G170="",$I170,$G170)+(S$2*$M170)))</f>
        <v/>
      </c>
      <c r="T170" s="82" t="n">
        <v>180.0729995727539</v>
      </c>
      <c r="U170" s="47">
        <f>IF(OR($M170="",$T170=""),"",$T170+(U$2*$M170))</f>
        <v/>
      </c>
      <c r="V170" s="48">
        <f>IF(OR($M170="",$T170=""),"",$T170+(V$2*$M170))</f>
        <v/>
      </c>
      <c r="W170" s="48">
        <f>IF(OR($M170="",$T170=""),"",$T170+(W$2*$M170))</f>
        <v/>
      </c>
      <c r="X170" s="49">
        <f>IF(OR($M170="",$T170=""),"",$T170+(X$2*$M170))</f>
        <v/>
      </c>
      <c r="Y170" s="47">
        <f>IF(OR($M170="",$T170=""),"",$T170+(Y$2*$M170))</f>
        <v/>
      </c>
      <c r="Z170" s="49">
        <f>IF(OR($M170="",$T170=""),"",$T170+(Z$2*$M170))</f>
        <v/>
      </c>
      <c r="AA170" s="51">
        <f>IF(OR($M170="",$T170=""),"",$T170+(AA$2*$M170))</f>
        <v/>
      </c>
      <c r="AB170" s="48">
        <f>IF(OR($M170="",$T170=""),"",$T170+(AB$2*$M170))</f>
        <v/>
      </c>
      <c r="AC170" s="48">
        <f>IF(OR($M170="",$T170=""),"",$T170+(AC$2*$M170))</f>
        <v/>
      </c>
      <c r="AD170" s="48">
        <f>IF(OR($M170="",$T170=""),"",$T170+(AD$2*$M170))</f>
        <v/>
      </c>
      <c r="AE170" s="49">
        <f>IF(OR($M170="",$T170=""),"",$T170+(AE$2*$M170))</f>
        <v/>
      </c>
      <c r="AF170" s="52">
        <f>IF(OR(T170="",I170&lt;T170),"",IFERROR(AVERAGE(T170+M170*{7,8,9,10,11})/IF(G170="",I170,G170)-1,""))</f>
        <v/>
      </c>
      <c r="AG170" s="55">
        <f>IF(OR(T170="",I170&lt;T170),"",IFERROR(AF170/-(R170/IF(G170="",I170,G170)-1),""))</f>
        <v/>
      </c>
      <c r="AH170" s="94" t="n">
        <v>1</v>
      </c>
      <c r="AI170" s="94" t="n">
        <v>141.5270457292109</v>
      </c>
      <c r="AJ170" s="94" t="n">
        <v>1</v>
      </c>
      <c r="AK170" s="94" t="inlineStr">
        <is>
          <t>OTT Up Trend</t>
        </is>
      </c>
      <c r="AL170" s="84" t="inlineStr">
        <is>
          <t>RTX Corporation</t>
        </is>
      </c>
      <c r="AM170" t="inlineStr">
        <is>
          <t>Industrials</t>
        </is>
      </c>
      <c r="AN170" t="inlineStr">
        <is>
          <t>Aerospace &amp; Defense</t>
        </is>
      </c>
      <c r="AO170" t="n">
        <v>89</v>
      </c>
    </row>
    <row r="171">
      <c r="A171" s="64" t="inlineStr">
        <is>
          <t>CMA</t>
        </is>
      </c>
      <c r="B171" s="65" t="n"/>
      <c r="C171" s="66" t="n"/>
      <c r="D171" s="67" t="n"/>
      <c r="E171" s="68" t="n"/>
      <c r="F171" s="47">
        <f>IF(A171="","",IF(MIN(H171,MAX(J171:K171))=0,"",MIN(H171,MAX(J171:K171))))</f>
        <v/>
      </c>
      <c r="G171" s="74" t="n"/>
      <c r="H171" s="49">
        <f>IF(M171="","",IFERROR(ROUND(AVERAGE(T171+M171*{7,8,9,10,11})/1.21,4),""))</f>
        <v/>
      </c>
      <c r="I171" s="76" t="n">
        <v>91.59999847412109</v>
      </c>
      <c r="J171" s="77" t="n">
        <v>90.68062167089511</v>
      </c>
      <c r="K171" s="74" t="n">
        <v>89.67749977111816</v>
      </c>
      <c r="L171" s="78" t="n">
        <v>69.30995000839233</v>
      </c>
      <c r="M171" s="77" t="n">
        <v>1.773824034274517</v>
      </c>
      <c r="N171" s="53">
        <f>IF(M171="","",IFERROR(M171/I171,""))</f>
        <v/>
      </c>
      <c r="O171" s="50">
        <f>IF(A171="","",IFERROR((IF(G171="",I171,G171)-T171)/M171,""))</f>
        <v/>
      </c>
      <c r="P171" s="50">
        <f>IFERROR((I171/T171-1)/N171,"")</f>
        <v/>
      </c>
      <c r="Q171" s="46">
        <f>IF(OR(T171="",I171&lt;T171),"",IFERROR(R171/IF(G171="",I171,G171)-1,""))</f>
        <v/>
      </c>
      <c r="R171" s="48">
        <f>IF($M171="","",MAX(IF($G171="",$I171,$G171)*(1/1.1),IF($G171="",$I171,$G171)+(R$2*$M171)))</f>
        <v/>
      </c>
      <c r="S171" s="49">
        <f>IF($M171="","",MAX(IF($G171="",$I171,$G171)*(1/1.1),IF($G171="",$I171,$G171)+(S$2*$M171)))</f>
        <v/>
      </c>
      <c r="T171" s="82" t="n">
        <v>84.71900009155273</v>
      </c>
      <c r="U171" s="47">
        <f>IF(OR($M171="",$T171=""),"",$T171+(U$2*$M171))</f>
        <v/>
      </c>
      <c r="V171" s="48">
        <f>IF(OR($M171="",$T171=""),"",$T171+(V$2*$M171))</f>
        <v/>
      </c>
      <c r="W171" s="48">
        <f>IF(OR($M171="",$T171=""),"",$T171+(W$2*$M171))</f>
        <v/>
      </c>
      <c r="X171" s="49">
        <f>IF(OR($M171="",$T171=""),"",$T171+(X$2*$M171))</f>
        <v/>
      </c>
      <c r="Y171" s="47">
        <f>IF(OR($M171="",$T171=""),"",$T171+(Y$2*$M171))</f>
        <v/>
      </c>
      <c r="Z171" s="49">
        <f>IF(OR($M171="",$T171=""),"",$T171+(Z$2*$M171))</f>
        <v/>
      </c>
      <c r="AA171" s="51">
        <f>IF(OR($M171="",$T171=""),"",$T171+(AA$2*$M171))</f>
        <v/>
      </c>
      <c r="AB171" s="48">
        <f>IF(OR($M171="",$T171=""),"",$T171+(AB$2*$M171))</f>
        <v/>
      </c>
      <c r="AC171" s="48">
        <f>IF(OR($M171="",$T171=""),"",$T171+(AC$2*$M171))</f>
        <v/>
      </c>
      <c r="AD171" s="48">
        <f>IF(OR($M171="",$T171=""),"",$T171+(AD$2*$M171))</f>
        <v/>
      </c>
      <c r="AE171" s="49">
        <f>IF(OR($M171="",$T171=""),"",$T171+(AE$2*$M171))</f>
        <v/>
      </c>
      <c r="AF171" s="52">
        <f>IF(OR(T171="",I171&lt;T171),"",IFERROR(AVERAGE(T171+M171*{7,8,9,10,11})/IF(G171="",I171,G171)-1,""))</f>
        <v/>
      </c>
      <c r="AG171" s="55">
        <f>IF(OR(T171="",I171&lt;T171),"",IFERROR(AF171/-(R171/IF(G171="",I171,G171)-1),""))</f>
        <v/>
      </c>
      <c r="AH171" s="94" t="n">
        <v>1</v>
      </c>
      <c r="AI171" s="94" t="n">
        <v>101.0155155401071</v>
      </c>
      <c r="AJ171" s="94" t="n">
        <v>0</v>
      </c>
      <c r="AK171" s="94" t="inlineStr">
        <is>
          <t>OTT Up Trend</t>
        </is>
      </c>
      <c r="AL171" s="84" t="inlineStr">
        <is>
          <t>Comerica Incorporated</t>
        </is>
      </c>
      <c r="AM171" t="inlineStr">
        <is>
          <t>Financial Services</t>
        </is>
      </c>
      <c r="AN171" t="inlineStr">
        <is>
          <t>Banks - Regional</t>
        </is>
      </c>
      <c r="AO171" t="n">
        <v>88</v>
      </c>
    </row>
    <row r="172">
      <c r="A172" s="64" t="inlineStr">
        <is>
          <t>EXPD</t>
        </is>
      </c>
      <c r="B172" s="65" t="n"/>
      <c r="C172" s="66" t="n"/>
      <c r="D172" s="67" t="n"/>
      <c r="E172" s="68" t="n"/>
      <c r="F172" s="47">
        <f>IF(A172="","",IF(MIN(H172,MAX(J172:K172))=0,"",MIN(H172,MAX(J172:K172))))</f>
        <v/>
      </c>
      <c r="G172" s="74" t="n"/>
      <c r="H172" s="49">
        <f>IF(M172="","",IFERROR(ROUND(AVERAGE(T172+M172*{7,8,9,10,11})/1.21,4),""))</f>
        <v/>
      </c>
      <c r="I172" s="76" t="n">
        <v>162.4100036621094</v>
      </c>
      <c r="J172" s="77" t="n">
        <v>159.6360396042032</v>
      </c>
      <c r="K172" s="74" t="n">
        <v>155.5074981689453</v>
      </c>
      <c r="L172" s="78" t="n">
        <v>124.437149810791</v>
      </c>
      <c r="M172" s="77" t="n">
        <v>2.740126881740824</v>
      </c>
      <c r="N172" s="53">
        <f>IF(M172="","",IFERROR(M172/I172,""))</f>
        <v/>
      </c>
      <c r="O172" s="50">
        <f>IF(A172="","",IFERROR((IF(G172="",I172,G172)-T172)/M172,""))</f>
        <v/>
      </c>
      <c r="P172" s="50">
        <f>IFERROR((I172/T172-1)/N172,"")</f>
        <v/>
      </c>
      <c r="Q172" s="46">
        <f>IF(OR(T172="",I172&lt;T172),"",IFERROR(R172/IF(G172="",I172,G172)-1,""))</f>
        <v/>
      </c>
      <c r="R172" s="48">
        <f>IF($M172="","",MAX(IF($G172="",$I172,$G172)*(1/1.1),IF($G172="",$I172,$G172)+(R$2*$M172)))</f>
        <v/>
      </c>
      <c r="S172" s="49">
        <f>IF($M172="","",MAX(IF($G172="",$I172,$G172)*(1/1.1),IF($G172="",$I172,$G172)+(S$2*$M172)))</f>
        <v/>
      </c>
      <c r="T172" s="82" t="n">
        <v>149.0517990112305</v>
      </c>
      <c r="U172" s="47">
        <f>IF(OR($M172="",$T172=""),"",$T172+(U$2*$M172))</f>
        <v/>
      </c>
      <c r="V172" s="48">
        <f>IF(OR($M172="",$T172=""),"",$T172+(V$2*$M172))</f>
        <v/>
      </c>
      <c r="W172" s="48">
        <f>IF(OR($M172="",$T172=""),"",$T172+(W$2*$M172))</f>
        <v/>
      </c>
      <c r="X172" s="49">
        <f>IF(OR($M172="",$T172=""),"",$T172+(X$2*$M172))</f>
        <v/>
      </c>
      <c r="Y172" s="47">
        <f>IF(OR($M172="",$T172=""),"",$T172+(Y$2*$M172))</f>
        <v/>
      </c>
      <c r="Z172" s="49">
        <f>IF(OR($M172="",$T172=""),"",$T172+(Z$2*$M172))</f>
        <v/>
      </c>
      <c r="AA172" s="51">
        <f>IF(OR($M172="",$T172=""),"",$T172+(AA$2*$M172))</f>
        <v/>
      </c>
      <c r="AB172" s="48">
        <f>IF(OR($M172="",$T172=""),"",$T172+(AB$2*$M172))</f>
        <v/>
      </c>
      <c r="AC172" s="48">
        <f>IF(OR($M172="",$T172=""),"",$T172+(AC$2*$M172))</f>
        <v/>
      </c>
      <c r="AD172" s="48">
        <f>IF(OR($M172="",$T172=""),"",$T172+(AD$2*$M172))</f>
        <v/>
      </c>
      <c r="AE172" s="49">
        <f>IF(OR($M172="",$T172=""),"",$T172+(AE$2*$M172))</f>
        <v/>
      </c>
      <c r="AF172" s="52">
        <f>IF(OR(T172="",I172&lt;T172),"",IFERROR(AVERAGE(T172+M172*{7,8,9,10,11})/IF(G172="",I172,G172)-1,""))</f>
        <v/>
      </c>
      <c r="AG172" s="55">
        <f>IF(OR(T172="",I172&lt;T172),"",IFERROR(AF172/-(R172/IF(G172="",I172,G172)-1),""))</f>
        <v/>
      </c>
      <c r="AH172" s="94" t="n">
        <v>1</v>
      </c>
      <c r="AI172" s="94" t="n">
        <v>148.1757395449391</v>
      </c>
      <c r="AJ172" s="94" t="n">
        <v>1</v>
      </c>
      <c r="AK172" s="94" t="inlineStr">
        <is>
          <t>OTT Up Trend</t>
        </is>
      </c>
      <c r="AL172" s="84" t="inlineStr">
        <is>
          <t>Expeditors International of Was</t>
        </is>
      </c>
      <c r="AM172" t="inlineStr">
        <is>
          <t>Industrials</t>
        </is>
      </c>
      <c r="AN172" t="inlineStr">
        <is>
          <t>Integrated Freight &amp; Logistics</t>
        </is>
      </c>
      <c r="AO172" t="n">
        <v>88</v>
      </c>
    </row>
    <row r="173">
      <c r="A173" s="64" t="inlineStr">
        <is>
          <t>EVR</t>
        </is>
      </c>
      <c r="B173" s="65" t="n"/>
      <c r="C173" s="66" t="n"/>
      <c r="D173" s="67" t="n"/>
      <c r="E173" s="68" t="n"/>
      <c r="F173" s="47">
        <f>IF(A173="","",IF(MIN(H173,MAX(J173:K173))=0,"",MIN(H173,MAX(J173:K173))))</f>
        <v/>
      </c>
      <c r="G173" s="74" t="n"/>
      <c r="H173" s="49">
        <f>IF(M173="","",IFERROR(ROUND(AVERAGE(T173+M173*{7,8,9,10,11})/1.21,4),""))</f>
        <v/>
      </c>
      <c r="I173" s="76" t="n">
        <v>378.8399963378906</v>
      </c>
      <c r="J173" s="77" t="n">
        <v>369.2397773030218</v>
      </c>
      <c r="K173" s="74" t="n">
        <v>358.8190017700196</v>
      </c>
      <c r="L173" s="78" t="n">
        <v>290.6214002227783</v>
      </c>
      <c r="M173" s="77" t="n">
        <v>11.63365730576228</v>
      </c>
      <c r="N173" s="53">
        <f>IF(M173="","",IFERROR(M173/I173,""))</f>
        <v/>
      </c>
      <c r="O173" s="50">
        <f>IF(A173="","",IFERROR((IF(G173="",I173,G173)-T173)/M173,""))</f>
        <v/>
      </c>
      <c r="P173" s="50">
        <f>IFERROR((I173/T173-1)/N173,"")</f>
        <v/>
      </c>
      <c r="Q173" s="46">
        <f>IF(OR(T173="",I173&lt;T173),"",IFERROR(R173/IF(G173="",I173,G173)-1,""))</f>
        <v/>
      </c>
      <c r="R173" s="48">
        <f>IF($M173="","",MAX(IF($G173="",$I173,$G173)*(1/1.1),IF($G173="",$I173,$G173)+(R$2*$M173)))</f>
        <v/>
      </c>
      <c r="S173" s="49">
        <f>IF($M173="","",MAX(IF($G173="",$I173,$G173)*(1/1.1),IF($G173="",$I173,$G173)+(S$2*$M173)))</f>
        <v/>
      </c>
      <c r="T173" s="82" t="n">
        <v>334.7462005615234</v>
      </c>
      <c r="U173" s="47">
        <f>IF(OR($M173="",$T173=""),"",$T173+(U$2*$M173))</f>
        <v/>
      </c>
      <c r="V173" s="48">
        <f>IF(OR($M173="",$T173=""),"",$T173+(V$2*$M173))</f>
        <v/>
      </c>
      <c r="W173" s="48">
        <f>IF(OR($M173="",$T173=""),"",$T173+(W$2*$M173))</f>
        <v/>
      </c>
      <c r="X173" s="49">
        <f>IF(OR($M173="",$T173=""),"",$T173+(X$2*$M173))</f>
        <v/>
      </c>
      <c r="Y173" s="47">
        <f>IF(OR($M173="",$T173=""),"",$T173+(Y$2*$M173))</f>
        <v/>
      </c>
      <c r="Z173" s="49">
        <f>IF(OR($M173="",$T173=""),"",$T173+(Z$2*$M173))</f>
        <v/>
      </c>
      <c r="AA173" s="51">
        <f>IF(OR($M173="",$T173=""),"",$T173+(AA$2*$M173))</f>
        <v/>
      </c>
      <c r="AB173" s="48">
        <f>IF(OR($M173="",$T173=""),"",$T173+(AB$2*$M173))</f>
        <v/>
      </c>
      <c r="AC173" s="48">
        <f>IF(OR($M173="",$T173=""),"",$T173+(AC$2*$M173))</f>
        <v/>
      </c>
      <c r="AD173" s="48">
        <f>IF(OR($M173="",$T173=""),"",$T173+(AD$2*$M173))</f>
        <v/>
      </c>
      <c r="AE173" s="49">
        <f>IF(OR($M173="",$T173=""),"",$T173+(AE$2*$M173))</f>
        <v/>
      </c>
      <c r="AF173" s="52">
        <f>IF(OR(T173="",I173&lt;T173),"",IFERROR(AVERAGE(T173+M173*{7,8,9,10,11})/IF(G173="",I173,G173)-1,""))</f>
        <v/>
      </c>
      <c r="AG173" s="55">
        <f>IF(OR(T173="",I173&lt;T173),"",IFERROR(AF173/-(R173/IF(G173="",I173,G173)-1),""))</f>
        <v/>
      </c>
      <c r="AH173" s="94" t="n">
        <v>1</v>
      </c>
      <c r="AI173" s="94" t="n">
        <v>103.3906679596884</v>
      </c>
      <c r="AJ173" s="94" t="n">
        <v>1</v>
      </c>
      <c r="AK173" s="94" t="inlineStr">
        <is>
          <t>OTT Up Trend</t>
        </is>
      </c>
      <c r="AL173" s="84" t="inlineStr">
        <is>
          <t>Evercore Inc.</t>
        </is>
      </c>
      <c r="AM173" t="inlineStr">
        <is>
          <t>Financial Services</t>
        </is>
      </c>
      <c r="AN173" t="inlineStr">
        <is>
          <t>Capital Markets</t>
        </is>
      </c>
      <c r="AO173" t="n">
        <v>88</v>
      </c>
    </row>
    <row r="174">
      <c r="A174" s="64" t="inlineStr">
        <is>
          <t>C</t>
        </is>
      </c>
      <c r="B174" s="65" t="n"/>
      <c r="C174" s="66" t="n"/>
      <c r="D174" s="67" t="n"/>
      <c r="E174" s="68" t="n"/>
      <c r="F174" s="47">
        <f>IF(A174="","",IF(MIN(H174,MAX(J174:K174))=0,"",MIN(H174,MAX(J174:K174))))</f>
        <v/>
      </c>
      <c r="G174" s="74" t="n"/>
      <c r="H174" s="49">
        <f>IF(M174="","",IFERROR(ROUND(AVERAGE(T174+M174*{7,8,9,10,11})/1.21,4),""))</f>
        <v/>
      </c>
      <c r="I174" s="76" t="n">
        <v>118.0400009155273</v>
      </c>
      <c r="J174" s="77" t="n">
        <v>117.7571070135347</v>
      </c>
      <c r="K174" s="74" t="n">
        <v>118.4444999694824</v>
      </c>
      <c r="L174" s="78" t="n">
        <v>92.19935003280639</v>
      </c>
      <c r="M174" s="77" t="n">
        <v>3.141043138060613</v>
      </c>
      <c r="N174" s="53">
        <f>IF(M174="","",IFERROR(M174/I174,""))</f>
        <v/>
      </c>
      <c r="O174" s="50">
        <f>IF(A174="","",IFERROR((IF(G174="",I174,G174)-T174)/M174,""))</f>
        <v/>
      </c>
      <c r="P174" s="50">
        <f>IFERROR((I174/T174-1)/N174,"")</f>
        <v/>
      </c>
      <c r="Q174" s="46">
        <f>IF(OR(T174="",I174&lt;T174),"",IFERROR(R174/IF(G174="",I174,G174)-1,""))</f>
        <v/>
      </c>
      <c r="R174" s="48">
        <f>IF($M174="","",MAX(IF($G174="",$I174,$G174)*(1/1.1),IF($G174="",$I174,$G174)+(R$2*$M174)))</f>
        <v/>
      </c>
      <c r="S174" s="49">
        <f>IF($M174="","",MAX(IF($G174="",$I174,$G174)*(1/1.1),IF($G174="",$I174,$G174)+(S$2*$M174)))</f>
        <v/>
      </c>
      <c r="T174" s="82" t="n">
        <v>109.9144000244141</v>
      </c>
      <c r="U174" s="47">
        <f>IF(OR($M174="",$T174=""),"",$T174+(U$2*$M174))</f>
        <v/>
      </c>
      <c r="V174" s="48">
        <f>IF(OR($M174="",$T174=""),"",$T174+(V$2*$M174))</f>
        <v/>
      </c>
      <c r="W174" s="48">
        <f>IF(OR($M174="",$T174=""),"",$T174+(W$2*$M174))</f>
        <v/>
      </c>
      <c r="X174" s="49">
        <f>IF(OR($M174="",$T174=""),"",$T174+(X$2*$M174))</f>
        <v/>
      </c>
      <c r="Y174" s="47">
        <f>IF(OR($M174="",$T174=""),"",$T174+(Y$2*$M174))</f>
        <v/>
      </c>
      <c r="Z174" s="49">
        <f>IF(OR($M174="",$T174=""),"",$T174+(Z$2*$M174))</f>
        <v/>
      </c>
      <c r="AA174" s="51">
        <f>IF(OR($M174="",$T174=""),"",$T174+(AA$2*$M174))</f>
        <v/>
      </c>
      <c r="AB174" s="48">
        <f>IF(OR($M174="",$T174=""),"",$T174+(AB$2*$M174))</f>
        <v/>
      </c>
      <c r="AC174" s="48">
        <f>IF(OR($M174="",$T174=""),"",$T174+(AC$2*$M174))</f>
        <v/>
      </c>
      <c r="AD174" s="48">
        <f>IF(OR($M174="",$T174=""),"",$T174+(AD$2*$M174))</f>
        <v/>
      </c>
      <c r="AE174" s="49">
        <f>IF(OR($M174="",$T174=""),"",$T174+(AE$2*$M174))</f>
        <v/>
      </c>
      <c r="AF174" s="52">
        <f>IF(OR(T174="",I174&lt;T174),"",IFERROR(AVERAGE(T174+M174*{7,8,9,10,11})/IF(G174="",I174,G174)-1,""))</f>
        <v/>
      </c>
      <c r="AG174" s="55">
        <f>IF(OR(T174="",I174&lt;T174),"",IFERROR(AF174/-(R174/IF(G174="",I174,G174)-1),""))</f>
        <v/>
      </c>
      <c r="AH174" s="94" t="n">
        <v>-1</v>
      </c>
      <c r="AI174" s="94" t="n">
        <v>67.65860894376148</v>
      </c>
      <c r="AJ174" s="94" t="n">
        <v>0</v>
      </c>
      <c r="AK174" s="94" t="inlineStr">
        <is>
          <t>None</t>
        </is>
      </c>
      <c r="AL174" s="84" t="inlineStr">
        <is>
          <t>Citigroup, Inc.</t>
        </is>
      </c>
      <c r="AM174" t="inlineStr">
        <is>
          <t>Financial Services</t>
        </is>
      </c>
      <c r="AN174" t="inlineStr">
        <is>
          <t>Banks - Diversified</t>
        </is>
      </c>
      <c r="AO174" t="n">
        <v>88</v>
      </c>
    </row>
    <row r="175">
      <c r="A175" s="64" t="inlineStr">
        <is>
          <t>COHU</t>
        </is>
      </c>
      <c r="B175" s="65" t="n"/>
      <c r="C175" s="66" t="n"/>
      <c r="D175" s="67" t="n"/>
      <c r="E175" s="68" t="n"/>
      <c r="F175" s="47">
        <f>IF(A175="","",IF(MIN(H175,MAX(J175:K175))=0,"",MIN(H175,MAX(J175:K175))))</f>
        <v/>
      </c>
      <c r="G175" s="74" t="n"/>
      <c r="H175" s="49">
        <f>IF(M175="","",IFERROR(ROUND(AVERAGE(T175+M175*{7,8,9,10,11})/1.21,4),""))</f>
        <v/>
      </c>
      <c r="I175" s="76" t="n">
        <v>28.25</v>
      </c>
      <c r="J175" s="77" t="n">
        <v>27.25318939360298</v>
      </c>
      <c r="K175" s="74" t="n">
        <v>25.44950008392334</v>
      </c>
      <c r="L175" s="78" t="n">
        <v>20.42875002384186</v>
      </c>
      <c r="M175" s="77" t="n">
        <v>1.069620234421169</v>
      </c>
      <c r="N175" s="53">
        <f>IF(M175="","",IFERROR(M175/I175,""))</f>
        <v/>
      </c>
      <c r="O175" s="50">
        <f>IF(A175="","",IFERROR((IF(G175="",I175,G175)-T175)/M175,""))</f>
        <v/>
      </c>
      <c r="P175" s="50">
        <f>IFERROR((I175/T175-1)/N175,"")</f>
        <v/>
      </c>
      <c r="Q175" s="46">
        <f>IF(OR(T175="",I175&lt;T175),"",IFERROR(R175/IF(G175="",I175,G175)-1,""))</f>
        <v/>
      </c>
      <c r="R175" s="48">
        <f>IF($M175="","",MAX(IF($G175="",$I175,$G175)*(1/1.1),IF($G175="",$I175,$G175)+(R$2*$M175)))</f>
        <v/>
      </c>
      <c r="S175" s="49">
        <f>IF($M175="","",MAX(IF($G175="",$I175,$G175)*(1/1.1),IF($G175="",$I175,$G175)+(S$2*$M175)))</f>
        <v/>
      </c>
      <c r="T175" s="82" t="n">
        <v>24.31999996185303</v>
      </c>
      <c r="U175" s="47">
        <f>IF(OR($M175="",$T175=""),"",$T175+(U$2*$M175))</f>
        <v/>
      </c>
      <c r="V175" s="48">
        <f>IF(OR($M175="",$T175=""),"",$T175+(V$2*$M175))</f>
        <v/>
      </c>
      <c r="W175" s="48">
        <f>IF(OR($M175="",$T175=""),"",$T175+(W$2*$M175))</f>
        <v/>
      </c>
      <c r="X175" s="49">
        <f>IF(OR($M175="",$T175=""),"",$T175+(X$2*$M175))</f>
        <v/>
      </c>
      <c r="Y175" s="47">
        <f>IF(OR($M175="",$T175=""),"",$T175+(Y$2*$M175))</f>
        <v/>
      </c>
      <c r="Z175" s="49">
        <f>IF(OR($M175="",$T175=""),"",$T175+(Z$2*$M175))</f>
        <v/>
      </c>
      <c r="AA175" s="51">
        <f>IF(OR($M175="",$T175=""),"",$T175+(AA$2*$M175))</f>
        <v/>
      </c>
      <c r="AB175" s="48">
        <f>IF(OR($M175="",$T175=""),"",$T175+(AB$2*$M175))</f>
        <v/>
      </c>
      <c r="AC175" s="48">
        <f>IF(OR($M175="",$T175=""),"",$T175+(AC$2*$M175))</f>
        <v/>
      </c>
      <c r="AD175" s="48">
        <f>IF(OR($M175="",$T175=""),"",$T175+(AD$2*$M175))</f>
        <v/>
      </c>
      <c r="AE175" s="49">
        <f>IF(OR($M175="",$T175=""),"",$T175+(AE$2*$M175))</f>
        <v/>
      </c>
      <c r="AF175" s="52">
        <f>IF(OR(T175="",I175&lt;T175),"",IFERROR(AVERAGE(T175+M175*{7,8,9,10,11})/IF(G175="",I175,G175)-1,""))</f>
        <v/>
      </c>
      <c r="AG175" s="55">
        <f>IF(OR(T175="",I175&lt;T175),"",IFERROR(AF175/-(R175/IF(G175="",I175,G175)-1),""))</f>
        <v/>
      </c>
      <c r="AH175" s="94" t="n">
        <v>1</v>
      </c>
      <c r="AI175" s="94" t="n">
        <v>123.4714021362352</v>
      </c>
      <c r="AJ175" s="94" t="n">
        <v>1</v>
      </c>
      <c r="AK175" s="94" t="inlineStr">
        <is>
          <t>OTT Up Trend</t>
        </is>
      </c>
      <c r="AL175" s="84" t="inlineStr">
        <is>
          <t>Cohu, Inc.</t>
        </is>
      </c>
      <c r="AM175" t="inlineStr">
        <is>
          <t>Technology</t>
        </is>
      </c>
      <c r="AN175" t="inlineStr">
        <is>
          <t>Semiconductor Equipment &amp; Materials</t>
        </is>
      </c>
      <c r="AO175" t="n">
        <v>88</v>
      </c>
    </row>
    <row r="176">
      <c r="A176" s="64" t="inlineStr">
        <is>
          <t>ECPG</t>
        </is>
      </c>
      <c r="B176" s="65" t="n"/>
      <c r="C176" s="66" t="n"/>
      <c r="D176" s="67" t="n"/>
      <c r="E176" s="68" t="n"/>
      <c r="F176" s="47">
        <f>IF(A176="","",IF(MIN(H176,MAX(J176:K176))=0,"",MIN(H176,MAX(J176:K176))))</f>
        <v/>
      </c>
      <c r="G176" s="74" t="n"/>
      <c r="H176" s="49">
        <f>IF(M176="","",IFERROR(ROUND(AVERAGE(T176+M176*{7,8,9,10,11})/1.21,4),""))</f>
        <v/>
      </c>
      <c r="I176" s="76" t="n">
        <v>56.22000122070312</v>
      </c>
      <c r="J176" s="77" t="n">
        <v>55.83175212388668</v>
      </c>
      <c r="K176" s="74" t="n">
        <v>55.53250007629394</v>
      </c>
      <c r="L176" s="78" t="n">
        <v>42.71040019989014</v>
      </c>
      <c r="M176" s="77" t="n">
        <v>1.389264900430014</v>
      </c>
      <c r="N176" s="53">
        <f>IF(M176="","",IFERROR(M176/I176,""))</f>
        <v/>
      </c>
      <c r="O176" s="50">
        <f>IF(A176="","",IFERROR((IF(G176="",I176,G176)-T176)/M176,""))</f>
        <v/>
      </c>
      <c r="P176" s="50">
        <f>IFERROR((I176/T176-1)/N176,"")</f>
        <v/>
      </c>
      <c r="Q176" s="46">
        <f>IF(OR(T176="",I176&lt;T176),"",IFERROR(R176/IF(G176="",I176,G176)-1,""))</f>
        <v/>
      </c>
      <c r="R176" s="48">
        <f>IF($M176="","",MAX(IF($G176="",$I176,$G176)*(1/1.1),IF($G176="",$I176,$G176)+(R$2*$M176)))</f>
        <v/>
      </c>
      <c r="S176" s="49">
        <f>IF($M176="","",MAX(IF($G176="",$I176,$G176)*(1/1.1),IF($G176="",$I176,$G176)+(S$2*$M176)))</f>
        <v/>
      </c>
      <c r="T176" s="82" t="n">
        <v>52.7744002532959</v>
      </c>
      <c r="U176" s="47">
        <f>IF(OR($M176="",$T176=""),"",$T176+(U$2*$M176))</f>
        <v/>
      </c>
      <c r="V176" s="48">
        <f>IF(OR($M176="",$T176=""),"",$T176+(V$2*$M176))</f>
        <v/>
      </c>
      <c r="W176" s="48">
        <f>IF(OR($M176="",$T176=""),"",$T176+(W$2*$M176))</f>
        <v/>
      </c>
      <c r="X176" s="49">
        <f>IF(OR($M176="",$T176=""),"",$T176+(X$2*$M176))</f>
        <v/>
      </c>
      <c r="Y176" s="47">
        <f>IF(OR($M176="",$T176=""),"",$T176+(Y$2*$M176))</f>
        <v/>
      </c>
      <c r="Z176" s="49">
        <f>IF(OR($M176="",$T176=""),"",$T176+(Z$2*$M176))</f>
        <v/>
      </c>
      <c r="AA176" s="51">
        <f>IF(OR($M176="",$T176=""),"",$T176+(AA$2*$M176))</f>
        <v/>
      </c>
      <c r="AB176" s="48">
        <f>IF(OR($M176="",$T176=""),"",$T176+(AB$2*$M176))</f>
        <v/>
      </c>
      <c r="AC176" s="48">
        <f>IF(OR($M176="",$T176=""),"",$T176+(AC$2*$M176))</f>
        <v/>
      </c>
      <c r="AD176" s="48">
        <f>IF(OR($M176="",$T176=""),"",$T176+(AD$2*$M176))</f>
        <v/>
      </c>
      <c r="AE176" s="49">
        <f>IF(OR($M176="",$T176=""),"",$T176+(AE$2*$M176))</f>
        <v/>
      </c>
      <c r="AF176" s="52">
        <f>IF(OR(T176="",I176&lt;T176),"",IFERROR(AVERAGE(T176+M176*{7,8,9,10,11})/IF(G176="",I176,G176)-1,""))</f>
        <v/>
      </c>
      <c r="AG176" s="55">
        <f>IF(OR(T176="",I176&lt;T176),"",IFERROR(AF176/-(R176/IF(G176="",I176,G176)-1),""))</f>
        <v/>
      </c>
      <c r="AH176" s="94" t="n">
        <v>1</v>
      </c>
      <c r="AI176" s="94" t="n">
        <v>62.55322435249272</v>
      </c>
      <c r="AJ176" s="94" t="n">
        <v>0</v>
      </c>
      <c r="AK176" s="94" t="inlineStr">
        <is>
          <t>OTT Up Trend</t>
        </is>
      </c>
      <c r="AL176" s="84" t="inlineStr">
        <is>
          <t>Encore Capital Group Inc</t>
        </is>
      </c>
      <c r="AM176" t="inlineStr">
        <is>
          <t>Financial Services</t>
        </is>
      </c>
      <c r="AN176" t="inlineStr">
        <is>
          <t>Credit Services</t>
        </is>
      </c>
      <c r="AO176" t="n">
        <v>88</v>
      </c>
    </row>
    <row r="177">
      <c r="A177" s="64" t="inlineStr">
        <is>
          <t>PHIN</t>
        </is>
      </c>
      <c r="B177" s="65" t="n"/>
      <c r="C177" s="66" t="n"/>
      <c r="D177" s="67" t="n"/>
      <c r="E177" s="68" t="n"/>
      <c r="F177" s="47">
        <f>IF(A177="","",IF(MIN(H177,MAX(J177:K177))=0,"",MIN(H177,MAX(J177:K177))))</f>
        <v/>
      </c>
      <c r="G177" s="74" t="n"/>
      <c r="H177" s="49">
        <f>IF(M177="","",IFERROR(ROUND(AVERAGE(T177+M177*{7,8,9,10,11})/1.21,4),""))</f>
        <v/>
      </c>
      <c r="I177" s="76" t="n">
        <v>69.34999847412109</v>
      </c>
      <c r="J177" s="77" t="n">
        <v>68.06620467947485</v>
      </c>
      <c r="K177" s="74" t="n">
        <v>65.0850004196167</v>
      </c>
      <c r="L177" s="78" t="n">
        <v>51.57065002441406</v>
      </c>
      <c r="M177" s="77" t="n">
        <v>1.621741380763214</v>
      </c>
      <c r="N177" s="53">
        <f>IF(M177="","",IFERROR(M177/I177,""))</f>
        <v/>
      </c>
      <c r="O177" s="50">
        <f>IF(A177="","",IFERROR((IF(G177="",I177,G177)-T177)/M177,""))</f>
        <v/>
      </c>
      <c r="P177" s="50">
        <f>IFERROR((I177/T177-1)/N177,"")</f>
        <v/>
      </c>
      <c r="Q177" s="46">
        <f>IF(OR(T177="",I177&lt;T177),"",IFERROR(R177/IF(G177="",I177,G177)-1,""))</f>
        <v/>
      </c>
      <c r="R177" s="48">
        <f>IF($M177="","",MAX(IF($G177="",$I177,$G177)*(1/1.1),IF($G177="",$I177,$G177)+(R$2*$M177)))</f>
        <v/>
      </c>
      <c r="S177" s="49">
        <f>IF($M177="","",MAX(IF($G177="",$I177,$G177)*(1/1.1),IF($G177="",$I177,$G177)+(S$2*$M177)))</f>
        <v/>
      </c>
      <c r="T177" s="82" t="n">
        <v>58.88080017089844</v>
      </c>
      <c r="U177" s="47">
        <f>IF(OR($M177="",$T177=""),"",$T177+(U$2*$M177))</f>
        <v/>
      </c>
      <c r="V177" s="48">
        <f>IF(OR($M177="",$T177=""),"",$T177+(V$2*$M177))</f>
        <v/>
      </c>
      <c r="W177" s="48">
        <f>IF(OR($M177="",$T177=""),"",$T177+(W$2*$M177))</f>
        <v/>
      </c>
      <c r="X177" s="49">
        <f>IF(OR($M177="",$T177=""),"",$T177+(X$2*$M177))</f>
        <v/>
      </c>
      <c r="Y177" s="47">
        <f>IF(OR($M177="",$T177=""),"",$T177+(Y$2*$M177))</f>
        <v/>
      </c>
      <c r="Z177" s="49">
        <f>IF(OR($M177="",$T177=""),"",$T177+(Z$2*$M177))</f>
        <v/>
      </c>
      <c r="AA177" s="51">
        <f>IF(OR($M177="",$T177=""),"",$T177+(AA$2*$M177))</f>
        <v/>
      </c>
      <c r="AB177" s="48">
        <f>IF(OR($M177="",$T177=""),"",$T177+(AB$2*$M177))</f>
        <v/>
      </c>
      <c r="AC177" s="48">
        <f>IF(OR($M177="",$T177=""),"",$T177+(AC$2*$M177))</f>
        <v/>
      </c>
      <c r="AD177" s="48">
        <f>IF(OR($M177="",$T177=""),"",$T177+(AD$2*$M177))</f>
        <v/>
      </c>
      <c r="AE177" s="49">
        <f>IF(OR($M177="",$T177=""),"",$T177+(AE$2*$M177))</f>
        <v/>
      </c>
      <c r="AF177" s="52">
        <f>IF(OR(T177="",I177&lt;T177),"",IFERROR(AVERAGE(T177+M177*{7,8,9,10,11})/IF(G177="",I177,G177)-1,""))</f>
        <v/>
      </c>
      <c r="AG177" s="55">
        <f>IF(OR(T177="",I177&lt;T177),"",IFERROR(AF177/-(R177/IF(G177="",I177,G177)-1),""))</f>
        <v/>
      </c>
      <c r="AH177" s="94" t="n">
        <v>1</v>
      </c>
      <c r="AI177" s="94" t="n">
        <v>213.5455535784017</v>
      </c>
      <c r="AJ177" s="94" t="n">
        <v>1</v>
      </c>
      <c r="AK177" s="94" t="inlineStr">
        <is>
          <t>None</t>
        </is>
      </c>
      <c r="AL177" s="84" t="inlineStr">
        <is>
          <t>PHINIA Inc.</t>
        </is>
      </c>
      <c r="AM177" t="inlineStr">
        <is>
          <t>Consumer Cyclical</t>
        </is>
      </c>
      <c r="AN177" t="inlineStr">
        <is>
          <t>Auto Parts</t>
        </is>
      </c>
      <c r="AO177" t="n">
        <v>88</v>
      </c>
    </row>
    <row r="178">
      <c r="A178" s="64" t="inlineStr">
        <is>
          <t>LEG</t>
        </is>
      </c>
      <c r="B178" s="65" t="n"/>
      <c r="C178" s="66" t="n"/>
      <c r="D178" s="67" t="n"/>
      <c r="E178" s="68" t="n"/>
      <c r="F178" s="47">
        <f>IF(A178="","",IF(MIN(H178,MAX(J178:K178))=0,"",MIN(H178,MAX(J178:K178))))</f>
        <v/>
      </c>
      <c r="G178" s="74" t="n"/>
      <c r="H178" s="49">
        <f>IF(M178="","",IFERROR(ROUND(AVERAGE(T178+M178*{7,8,9,10,11})/1.21,4),""))</f>
        <v/>
      </c>
      <c r="I178" s="76" t="n">
        <v>12.55000019073486</v>
      </c>
      <c r="J178" s="77" t="n">
        <v>12.14726039473044</v>
      </c>
      <c r="K178" s="74" t="n">
        <v>11.56050004959106</v>
      </c>
      <c r="L178" s="78" t="n">
        <v>9.487849993705749</v>
      </c>
      <c r="M178" s="77" t="n">
        <v>0.3481606385525514</v>
      </c>
      <c r="N178" s="53">
        <f>IF(M178="","",IFERROR(M178/I178,""))</f>
        <v/>
      </c>
      <c r="O178" s="50">
        <f>IF(A178="","",IFERROR((IF(G178="",I178,G178)-T178)/M178,""))</f>
        <v/>
      </c>
      <c r="P178" s="50">
        <f>IFERROR((I178/T178-1)/N178,"")</f>
        <v/>
      </c>
      <c r="Q178" s="46">
        <f>IF(OR(T178="",I178&lt;T178),"",IFERROR(R178/IF(G178="",I178,G178)-1,""))</f>
        <v/>
      </c>
      <c r="R178" s="48">
        <f>IF($M178="","",MAX(IF($G178="",$I178,$G178)*(1/1.1),IF($G178="",$I178,$G178)+(R$2*$M178)))</f>
        <v/>
      </c>
      <c r="S178" s="49">
        <f>IF($M178="","",MAX(IF($G178="",$I178,$G178)*(1/1.1),IF($G178="",$I178,$G178)+(S$2*$M178)))</f>
        <v/>
      </c>
      <c r="T178" s="82" t="n">
        <v>10.70360000610352</v>
      </c>
      <c r="U178" s="47">
        <f>IF(OR($M178="",$T178=""),"",$T178+(U$2*$M178))</f>
        <v/>
      </c>
      <c r="V178" s="48">
        <f>IF(OR($M178="",$T178=""),"",$T178+(V$2*$M178))</f>
        <v/>
      </c>
      <c r="W178" s="48">
        <f>IF(OR($M178="",$T178=""),"",$T178+(W$2*$M178))</f>
        <v/>
      </c>
      <c r="X178" s="49">
        <f>IF(OR($M178="",$T178=""),"",$T178+(X$2*$M178))</f>
        <v/>
      </c>
      <c r="Y178" s="47">
        <f>IF(OR($M178="",$T178=""),"",$T178+(Y$2*$M178))</f>
        <v/>
      </c>
      <c r="Z178" s="49">
        <f>IF(OR($M178="",$T178=""),"",$T178+(Z$2*$M178))</f>
        <v/>
      </c>
      <c r="AA178" s="51">
        <f>IF(OR($M178="",$T178=""),"",$T178+(AA$2*$M178))</f>
        <v/>
      </c>
      <c r="AB178" s="48">
        <f>IF(OR($M178="",$T178=""),"",$T178+(AB$2*$M178))</f>
        <v/>
      </c>
      <c r="AC178" s="48">
        <f>IF(OR($M178="",$T178=""),"",$T178+(AC$2*$M178))</f>
        <v/>
      </c>
      <c r="AD178" s="48">
        <f>IF(OR($M178="",$T178=""),"",$T178+(AD$2*$M178))</f>
        <v/>
      </c>
      <c r="AE178" s="49">
        <f>IF(OR($M178="",$T178=""),"",$T178+(AE$2*$M178))</f>
        <v/>
      </c>
      <c r="AF178" s="52">
        <f>IF(OR(T178="",I178&lt;T178),"",IFERROR(AVERAGE(T178+M178*{7,8,9,10,11})/IF(G178="",I178,G178)-1,""))</f>
        <v/>
      </c>
      <c r="AG178" s="55">
        <f>IF(OR(T178="",I178&lt;T178),"",IFERROR(AF178/-(R178/IF(G178="",I178,G178)-1),""))</f>
        <v/>
      </c>
      <c r="AH178" s="94" t="n">
        <v>1</v>
      </c>
      <c r="AI178" s="94" t="n">
        <v>139.9981547565316</v>
      </c>
      <c r="AJ178" s="94" t="n">
        <v>1</v>
      </c>
      <c r="AK178" s="94" t="inlineStr">
        <is>
          <t>OTT Up Trend</t>
        </is>
      </c>
      <c r="AL178" s="84" t="inlineStr">
        <is>
          <t>Leggett &amp; Platt, Incorporated</t>
        </is>
      </c>
      <c r="AM178" t="inlineStr">
        <is>
          <t>Consumer Cyclical</t>
        </is>
      </c>
      <c r="AN178" t="inlineStr">
        <is>
          <t>Furnishings, Fixtures &amp; Appliances</t>
        </is>
      </c>
      <c r="AO178" t="n">
        <v>88</v>
      </c>
    </row>
    <row r="179">
      <c r="A179" s="64" t="inlineStr">
        <is>
          <t>MCY</t>
        </is>
      </c>
      <c r="B179" s="65" t="n"/>
      <c r="C179" s="66" t="n"/>
      <c r="D179" s="67" t="n"/>
      <c r="E179" s="68" t="n"/>
      <c r="F179" s="47">
        <f>IF(A179="","",IF(MIN(H179,MAX(J179:K179))=0,"",MIN(H179,MAX(J179:K179))))</f>
        <v/>
      </c>
      <c r="G179" s="74" t="n"/>
      <c r="H179" s="49">
        <f>IF(M179="","",IFERROR(ROUND(AVERAGE(T179+M179*{7,8,9,10,11})/1.21,4),""))</f>
        <v/>
      </c>
      <c r="I179" s="76" t="n">
        <v>91.08999633789062</v>
      </c>
      <c r="J179" s="77" t="n">
        <v>90.74009102556965</v>
      </c>
      <c r="K179" s="74" t="n">
        <v>91.99899940490722</v>
      </c>
      <c r="L179" s="78" t="n">
        <v>74.49434976577759</v>
      </c>
      <c r="M179" s="77" t="n">
        <v>2.061309055541774</v>
      </c>
      <c r="N179" s="53">
        <f>IF(M179="","",IFERROR(M179/I179,""))</f>
        <v/>
      </c>
      <c r="O179" s="50">
        <f>IF(A179="","",IFERROR((IF(G179="",I179,G179)-T179)/M179,""))</f>
        <v/>
      </c>
      <c r="P179" s="50">
        <f>IFERROR((I179/T179-1)/N179,"")</f>
        <v/>
      </c>
      <c r="Q179" s="46">
        <f>IF(OR(T179="",I179&lt;T179),"",IFERROR(R179/IF(G179="",I179,G179)-1,""))</f>
        <v/>
      </c>
      <c r="R179" s="48">
        <f>IF($M179="","",MAX(IF($G179="",$I179,$G179)*(1/1.1),IF($G179="",$I179,$G179)+(R$2*$M179)))</f>
        <v/>
      </c>
      <c r="S179" s="49">
        <f>IF($M179="","",MAX(IF($G179="",$I179,$G179)*(1/1.1),IF($G179="",$I179,$G179)+(S$2*$M179)))</f>
        <v/>
      </c>
      <c r="T179" s="82" t="n">
        <v>90.59779953002929</v>
      </c>
      <c r="U179" s="47">
        <f>IF(OR($M179="",$T179=""),"",$T179+(U$2*$M179))</f>
        <v/>
      </c>
      <c r="V179" s="48">
        <f>IF(OR($M179="",$T179=""),"",$T179+(V$2*$M179))</f>
        <v/>
      </c>
      <c r="W179" s="48">
        <f>IF(OR($M179="",$T179=""),"",$T179+(W$2*$M179))</f>
        <v/>
      </c>
      <c r="X179" s="49">
        <f>IF(OR($M179="",$T179=""),"",$T179+(X$2*$M179))</f>
        <v/>
      </c>
      <c r="Y179" s="47">
        <f>IF(OR($M179="",$T179=""),"",$T179+(Y$2*$M179))</f>
        <v/>
      </c>
      <c r="Z179" s="49">
        <f>IF(OR($M179="",$T179=""),"",$T179+(Z$2*$M179))</f>
        <v/>
      </c>
      <c r="AA179" s="51">
        <f>IF(OR($M179="",$T179=""),"",$T179+(AA$2*$M179))</f>
        <v/>
      </c>
      <c r="AB179" s="48">
        <f>IF(OR($M179="",$T179=""),"",$T179+(AB$2*$M179))</f>
        <v/>
      </c>
      <c r="AC179" s="48">
        <f>IF(OR($M179="",$T179=""),"",$T179+(AC$2*$M179))</f>
        <v/>
      </c>
      <c r="AD179" s="48">
        <f>IF(OR($M179="",$T179=""),"",$T179+(AD$2*$M179))</f>
        <v/>
      </c>
      <c r="AE179" s="49">
        <f>IF(OR($M179="",$T179=""),"",$T179+(AE$2*$M179))</f>
        <v/>
      </c>
      <c r="AF179" s="52">
        <f>IF(OR(T179="",I179&lt;T179),"",IFERROR(AVERAGE(T179+M179*{7,8,9,10,11})/IF(G179="",I179,G179)-1,""))</f>
        <v/>
      </c>
      <c r="AG179" s="55">
        <f>IF(OR(T179="",I179&lt;T179),"",IFERROR(AF179/-(R179/IF(G179="",I179,G179)-1),""))</f>
        <v/>
      </c>
      <c r="AH179" s="94" t="n">
        <v>-1</v>
      </c>
      <c r="AI179" s="94" t="n">
        <v>-7.708992437828918</v>
      </c>
      <c r="AJ179" s="94" t="n">
        <v>0</v>
      </c>
      <c r="AK179" s="94" t="inlineStr">
        <is>
          <t>None</t>
        </is>
      </c>
      <c r="AL179" s="84" t="inlineStr">
        <is>
          <t>Mercury General Corporation</t>
        </is>
      </c>
      <c r="AM179" t="inlineStr">
        <is>
          <t>Financial Services</t>
        </is>
      </c>
      <c r="AN179" t="inlineStr">
        <is>
          <t>Insurance - Property &amp; Casualty</t>
        </is>
      </c>
      <c r="AO179" t="n">
        <v>88</v>
      </c>
    </row>
    <row r="180">
      <c r="A180" s="64" t="inlineStr">
        <is>
          <t>MTRN</t>
        </is>
      </c>
      <c r="B180" s="65" t="n"/>
      <c r="C180" s="66" t="n"/>
      <c r="D180" s="67" t="n"/>
      <c r="E180" s="68" t="n"/>
      <c r="F180" s="47">
        <f>IF(A180="","",IF(MIN(H180,MAX(J180:K180))=0,"",MIN(H180,MAX(J180:K180))))</f>
        <v/>
      </c>
      <c r="G180" s="74" t="n"/>
      <c r="H180" s="49">
        <f>IF(M180="","",IFERROR(ROUND(AVERAGE(T180+M180*{7,8,9,10,11})/1.21,4),""))</f>
        <v/>
      </c>
      <c r="I180" s="76" t="n">
        <v>145.9100036621094</v>
      </c>
      <c r="J180" s="77" t="n">
        <v>140.2891867663803</v>
      </c>
      <c r="K180" s="74" t="n">
        <v>133.1924991607666</v>
      </c>
      <c r="L180" s="78" t="n">
        <v>104.7075498962402</v>
      </c>
      <c r="M180" s="77" t="n">
        <v>4.030179140682238</v>
      </c>
      <c r="N180" s="53">
        <f>IF(M180="","",IFERROR(M180/I180,""))</f>
        <v/>
      </c>
      <c r="O180" s="50">
        <f>IF(A180="","",IFERROR((IF(G180="",I180,G180)-T180)/M180,""))</f>
        <v/>
      </c>
      <c r="P180" s="50">
        <f>IFERROR((I180/T180-1)/N180,"")</f>
        <v/>
      </c>
      <c r="Q180" s="46">
        <f>IF(OR(T180="",I180&lt;T180),"",IFERROR(R180/IF(G180="",I180,G180)-1,""))</f>
        <v/>
      </c>
      <c r="R180" s="48">
        <f>IF($M180="","",MAX(IF($G180="",$I180,$G180)*(1/1.1),IF($G180="",$I180,$G180)+(R$2*$M180)))</f>
        <v/>
      </c>
      <c r="S180" s="49">
        <f>IF($M180="","",MAX(IF($G180="",$I180,$G180)*(1/1.1),IF($G180="",$I180,$G180)+(S$2*$M180)))</f>
        <v/>
      </c>
      <c r="T180" s="82" t="n">
        <v>125.6835995483398</v>
      </c>
      <c r="U180" s="47">
        <f>IF(OR($M180="",$T180=""),"",$T180+(U$2*$M180))</f>
        <v/>
      </c>
      <c r="V180" s="48">
        <f>IF(OR($M180="",$T180=""),"",$T180+(V$2*$M180))</f>
        <v/>
      </c>
      <c r="W180" s="48">
        <f>IF(OR($M180="",$T180=""),"",$T180+(W$2*$M180))</f>
        <v/>
      </c>
      <c r="X180" s="49">
        <f>IF(OR($M180="",$T180=""),"",$T180+(X$2*$M180))</f>
        <v/>
      </c>
      <c r="Y180" s="47">
        <f>IF(OR($M180="",$T180=""),"",$T180+(Y$2*$M180))</f>
        <v/>
      </c>
      <c r="Z180" s="49">
        <f>IF(OR($M180="",$T180=""),"",$T180+(Z$2*$M180))</f>
        <v/>
      </c>
      <c r="AA180" s="51">
        <f>IF(OR($M180="",$T180=""),"",$T180+(AA$2*$M180))</f>
        <v/>
      </c>
      <c r="AB180" s="48">
        <f>IF(OR($M180="",$T180=""),"",$T180+(AB$2*$M180))</f>
        <v/>
      </c>
      <c r="AC180" s="48">
        <f>IF(OR($M180="",$T180=""),"",$T180+(AC$2*$M180))</f>
        <v/>
      </c>
      <c r="AD180" s="48">
        <f>IF(OR($M180="",$T180=""),"",$T180+(AD$2*$M180))</f>
        <v/>
      </c>
      <c r="AE180" s="49">
        <f>IF(OR($M180="",$T180=""),"",$T180+(AE$2*$M180))</f>
        <v/>
      </c>
      <c r="AF180" s="52">
        <f>IF(OR(T180="",I180&lt;T180),"",IFERROR(AVERAGE(T180+M180*{7,8,9,10,11})/IF(G180="",I180,G180)-1,""))</f>
        <v/>
      </c>
      <c r="AG180" s="55">
        <f>IF(OR(T180="",I180&lt;T180),"",IFERROR(AF180/-(R180/IF(G180="",I180,G180)-1),""))</f>
        <v/>
      </c>
      <c r="AH180" s="94" t="n">
        <v>1</v>
      </c>
      <c r="AI180" s="94" t="n">
        <v>138.129535090965</v>
      </c>
      <c r="AJ180" s="94" t="n">
        <v>1</v>
      </c>
      <c r="AK180" s="94" t="inlineStr">
        <is>
          <t>OTT Up Trend</t>
        </is>
      </c>
      <c r="AL180" s="84" t="inlineStr">
        <is>
          <t>Materion Corporation</t>
        </is>
      </c>
      <c r="AM180" t="inlineStr">
        <is>
          <t>Basic Materials</t>
        </is>
      </c>
      <c r="AN180" t="inlineStr">
        <is>
          <t>Other Industrial Metals &amp; Mining</t>
        </is>
      </c>
      <c r="AO180" t="n">
        <v>88</v>
      </c>
    </row>
    <row r="181">
      <c r="A181" s="64" t="inlineStr">
        <is>
          <t>CVCO</t>
        </is>
      </c>
      <c r="B181" s="65" t="n"/>
      <c r="C181" s="66" t="n"/>
      <c r="D181" s="67" t="n"/>
      <c r="E181" s="68" t="n"/>
      <c r="F181" s="47">
        <f>IF(A181="","",IF(MIN(H181,MAX(J181:K181))=0,"",MIN(H181,MAX(J181:K181))))</f>
        <v/>
      </c>
      <c r="G181" s="74" t="n"/>
      <c r="H181" s="49">
        <f>IF(M181="","",IFERROR(ROUND(AVERAGE(T181+M181*{7,8,9,10,11})/1.21,4),""))</f>
        <v/>
      </c>
      <c r="I181" s="76" t="n">
        <v>697.760009765625</v>
      </c>
      <c r="J181" s="77" t="n">
        <v>663.5079169439996</v>
      </c>
      <c r="K181" s="74" t="n">
        <v>628.3865051269531</v>
      </c>
      <c r="L181" s="78" t="n">
        <v>516.1821493530274</v>
      </c>
      <c r="M181" s="77" t="n">
        <v>22.24172937485569</v>
      </c>
      <c r="N181" s="53">
        <f>IF(M181="","",IFERROR(M181/I181,""))</f>
        <v/>
      </c>
      <c r="O181" s="50">
        <f>IF(A181="","",IFERROR((IF(G181="",I181,G181)-T181)/M181,""))</f>
        <v/>
      </c>
      <c r="P181" s="50">
        <f>IFERROR((I181/T181-1)/N181,"")</f>
        <v/>
      </c>
      <c r="Q181" s="46">
        <f>IF(OR(T181="",I181&lt;T181),"",IFERROR(R181/IF(G181="",I181,G181)-1,""))</f>
        <v/>
      </c>
      <c r="R181" s="48">
        <f>IF($M181="","",MAX(IF($G181="",$I181,$G181)*(1/1.1),IF($G181="",$I181,$G181)+(R$2*$M181)))</f>
        <v/>
      </c>
      <c r="S181" s="49">
        <f>IF($M181="","",MAX(IF($G181="",$I181,$G181)*(1/1.1),IF($G181="",$I181,$G181)+(S$2*$M181)))</f>
        <v/>
      </c>
      <c r="T181" s="82" t="n">
        <v>596.9518017578125</v>
      </c>
      <c r="U181" s="47">
        <f>IF(OR($M181="",$T181=""),"",$T181+(U$2*$M181))</f>
        <v/>
      </c>
      <c r="V181" s="48">
        <f>IF(OR($M181="",$T181=""),"",$T181+(V$2*$M181))</f>
        <v/>
      </c>
      <c r="W181" s="48">
        <f>IF(OR($M181="",$T181=""),"",$T181+(W$2*$M181))</f>
        <v/>
      </c>
      <c r="X181" s="49">
        <f>IF(OR($M181="",$T181=""),"",$T181+(X$2*$M181))</f>
        <v/>
      </c>
      <c r="Y181" s="47">
        <f>IF(OR($M181="",$T181=""),"",$T181+(Y$2*$M181))</f>
        <v/>
      </c>
      <c r="Z181" s="49">
        <f>IF(OR($M181="",$T181=""),"",$T181+(Z$2*$M181))</f>
        <v/>
      </c>
      <c r="AA181" s="51">
        <f>IF(OR($M181="",$T181=""),"",$T181+(AA$2*$M181))</f>
        <v/>
      </c>
      <c r="AB181" s="48">
        <f>IF(OR($M181="",$T181=""),"",$T181+(AB$2*$M181))</f>
        <v/>
      </c>
      <c r="AC181" s="48">
        <f>IF(OR($M181="",$T181=""),"",$T181+(AC$2*$M181))</f>
        <v/>
      </c>
      <c r="AD181" s="48">
        <f>IF(OR($M181="",$T181=""),"",$T181+(AD$2*$M181))</f>
        <v/>
      </c>
      <c r="AE181" s="49">
        <f>IF(OR($M181="",$T181=""),"",$T181+(AE$2*$M181))</f>
        <v/>
      </c>
      <c r="AF181" s="52">
        <f>IF(OR(T181="",I181&lt;T181),"",IFERROR(AVERAGE(T181+M181*{7,8,9,10,11})/IF(G181="",I181,G181)-1,""))</f>
        <v/>
      </c>
      <c r="AG181" s="55">
        <f>IF(OR(T181="",I181&lt;T181),"",IFERROR(AF181/-(R181/IF(G181="",I181,G181)-1),""))</f>
        <v/>
      </c>
      <c r="AH181" s="94" t="n">
        <v>1</v>
      </c>
      <c r="AI181" s="94" t="n">
        <v>124.9731599900531</v>
      </c>
      <c r="AJ181" s="94" t="n">
        <v>1</v>
      </c>
      <c r="AK181" s="94" t="inlineStr">
        <is>
          <t>OTT Up Trend</t>
        </is>
      </c>
      <c r="AL181" s="84" t="inlineStr">
        <is>
          <t>Cavco Industries, Inc.</t>
        </is>
      </c>
      <c r="AM181" t="inlineStr">
        <is>
          <t>Consumer Cyclical</t>
        </is>
      </c>
      <c r="AN181" t="inlineStr">
        <is>
          <t>Residential Construction</t>
        </is>
      </c>
      <c r="AO181" t="n">
        <v>88</v>
      </c>
    </row>
    <row r="182">
      <c r="A182" s="64" t="inlineStr">
        <is>
          <t>HAL</t>
        </is>
      </c>
      <c r="B182" s="65" t="n"/>
      <c r="C182" s="66" t="n"/>
      <c r="D182" s="67" t="n"/>
      <c r="E182" s="68" t="n"/>
      <c r="F182" s="47">
        <f>IF(A182="","",IF(MIN(H182,MAX(J182:K182))=0,"",MIN(H182,MAX(J182:K182))))</f>
        <v/>
      </c>
      <c r="G182" s="74" t="n"/>
      <c r="H182" s="49">
        <f>IF(M182="","",IFERROR(ROUND(AVERAGE(T182+M182*{7,8,9,10,11})/1.21,4),""))</f>
        <v/>
      </c>
      <c r="I182" s="76" t="n">
        <v>32.56999969482422</v>
      </c>
      <c r="J182" s="77" t="n">
        <v>31.84723174025669</v>
      </c>
      <c r="K182" s="74" t="n">
        <v>30.14299983978271</v>
      </c>
      <c r="L182" s="78" t="n">
        <v>23.65445001602173</v>
      </c>
      <c r="M182" s="77" t="n">
        <v>1.018965429799279</v>
      </c>
      <c r="N182" s="53">
        <f>IF(M182="","",IFERROR(M182/I182,""))</f>
        <v/>
      </c>
      <c r="O182" s="50">
        <f>IF(A182="","",IFERROR((IF(G182="",I182,G182)-T182)/M182,""))</f>
        <v/>
      </c>
      <c r="P182" s="50">
        <f>IFERROR((I182/T182-1)/N182,"")</f>
        <v/>
      </c>
      <c r="Q182" s="46">
        <f>IF(OR(T182="",I182&lt;T182),"",IFERROR(R182/IF(G182="",I182,G182)-1,""))</f>
        <v/>
      </c>
      <c r="R182" s="48">
        <f>IF($M182="","",MAX(IF($G182="",$I182,$G182)*(1/1.1),IF($G182="",$I182,$G182)+(R$2*$M182)))</f>
        <v/>
      </c>
      <c r="S182" s="49">
        <f>IF($M182="","",MAX(IF($G182="",$I182,$G182)*(1/1.1),IF($G182="",$I182,$G182)+(S$2*$M182)))</f>
        <v/>
      </c>
      <c r="T182" s="82" t="n">
        <v>28.41119998931885</v>
      </c>
      <c r="U182" s="47">
        <f>IF(OR($M182="",$T182=""),"",$T182+(U$2*$M182))</f>
        <v/>
      </c>
      <c r="V182" s="48">
        <f>IF(OR($M182="",$T182=""),"",$T182+(V$2*$M182))</f>
        <v/>
      </c>
      <c r="W182" s="48">
        <f>IF(OR($M182="",$T182=""),"",$T182+(W$2*$M182))</f>
        <v/>
      </c>
      <c r="X182" s="49">
        <f>IF(OR($M182="",$T182=""),"",$T182+(X$2*$M182))</f>
        <v/>
      </c>
      <c r="Y182" s="47">
        <f>IF(OR($M182="",$T182=""),"",$T182+(Y$2*$M182))</f>
        <v/>
      </c>
      <c r="Z182" s="49">
        <f>IF(OR($M182="",$T182=""),"",$T182+(Z$2*$M182))</f>
        <v/>
      </c>
      <c r="AA182" s="51">
        <f>IF(OR($M182="",$T182=""),"",$T182+(AA$2*$M182))</f>
        <v/>
      </c>
      <c r="AB182" s="48">
        <f>IF(OR($M182="",$T182=""),"",$T182+(AB$2*$M182))</f>
        <v/>
      </c>
      <c r="AC182" s="48">
        <f>IF(OR($M182="",$T182=""),"",$T182+(AC$2*$M182))</f>
        <v/>
      </c>
      <c r="AD182" s="48">
        <f>IF(OR($M182="",$T182=""),"",$T182+(AD$2*$M182))</f>
        <v/>
      </c>
      <c r="AE182" s="49">
        <f>IF(OR($M182="",$T182=""),"",$T182+(AE$2*$M182))</f>
        <v/>
      </c>
      <c r="AF182" s="52">
        <f>IF(OR(T182="",I182&lt;T182),"",IFERROR(AVERAGE(T182+M182*{7,8,9,10,11})/IF(G182="",I182,G182)-1,""))</f>
        <v/>
      </c>
      <c r="AG182" s="55">
        <f>IF(OR(T182="",I182&lt;T182),"",IFERROR(AF182/-(R182/IF(G182="",I182,G182)-1),""))</f>
        <v/>
      </c>
      <c r="AH182" s="94" t="n">
        <v>1</v>
      </c>
      <c r="AI182" s="94" t="n">
        <v>143.7714522511206</v>
      </c>
      <c r="AJ182" s="94" t="n">
        <v>1</v>
      </c>
      <c r="AK182" s="94" t="inlineStr">
        <is>
          <t>OTT Up Trend</t>
        </is>
      </c>
      <c r="AL182" s="84" t="inlineStr">
        <is>
          <t>Halliburton Company</t>
        </is>
      </c>
      <c r="AM182" t="inlineStr">
        <is>
          <t>Energy</t>
        </is>
      </c>
      <c r="AN182" t="inlineStr">
        <is>
          <t>Oil &amp; Gas Equipment &amp; Services</t>
        </is>
      </c>
      <c r="AO182" t="n">
        <v>88</v>
      </c>
    </row>
    <row r="183">
      <c r="A183" s="64" t="inlineStr">
        <is>
          <t>PII</t>
        </is>
      </c>
      <c r="B183" s="65" t="n"/>
      <c r="C183" s="66" t="n"/>
      <c r="D183" s="67" t="n"/>
      <c r="E183" s="68" t="n"/>
      <c r="F183" s="47">
        <f>IF(A183="","",IF(MIN(H183,MAX(J183:K183))=0,"",MIN(H183,MAX(J183:K183))))</f>
        <v/>
      </c>
      <c r="G183" s="74" t="n"/>
      <c r="H183" s="49">
        <f>IF(M183="","",IFERROR(ROUND(AVERAGE(T183+M183*{7,8,9,10,11})/1.21,4),""))</f>
        <v/>
      </c>
      <c r="I183" s="76" t="n">
        <v>69.94999694824219</v>
      </c>
      <c r="J183" s="77" t="n">
        <v>69.98902283803267</v>
      </c>
      <c r="K183" s="74" t="n">
        <v>68.57150001525879</v>
      </c>
      <c r="L183" s="78" t="n">
        <v>53.65565005302429</v>
      </c>
      <c r="M183" s="77" t="n">
        <v>2.29374394389992</v>
      </c>
      <c r="N183" s="53">
        <f>IF(M183="","",IFERROR(M183/I183,""))</f>
        <v/>
      </c>
      <c r="O183" s="50">
        <f>IF(A183="","",IFERROR((IF(G183="",I183,G183)-T183)/M183,""))</f>
        <v/>
      </c>
      <c r="P183" s="50">
        <f>IFERROR((I183/T183-1)/N183,"")</f>
        <v/>
      </c>
      <c r="Q183" s="46">
        <f>IF(OR(T183="",I183&lt;T183),"",IFERROR(R183/IF(G183="",I183,G183)-1,""))</f>
        <v/>
      </c>
      <c r="R183" s="48">
        <f>IF($M183="","",MAX(IF($G183="",$I183,$G183)*(1/1.1),IF($G183="",$I183,$G183)+(R$2*$M183)))</f>
        <v/>
      </c>
      <c r="S183" s="49">
        <f>IF($M183="","",MAX(IF($G183="",$I183,$G183)*(1/1.1),IF($G183="",$I183,$G183)+(S$2*$M183)))</f>
        <v/>
      </c>
      <c r="T183" s="82" t="n">
        <v>66.92599990844727</v>
      </c>
      <c r="U183" s="47">
        <f>IF(OR($M183="",$T183=""),"",$T183+(U$2*$M183))</f>
        <v/>
      </c>
      <c r="V183" s="48">
        <f>IF(OR($M183="",$T183=""),"",$T183+(V$2*$M183))</f>
        <v/>
      </c>
      <c r="W183" s="48">
        <f>IF(OR($M183="",$T183=""),"",$T183+(W$2*$M183))</f>
        <v/>
      </c>
      <c r="X183" s="49">
        <f>IF(OR($M183="",$T183=""),"",$T183+(X$2*$M183))</f>
        <v/>
      </c>
      <c r="Y183" s="47">
        <f>IF(OR($M183="",$T183=""),"",$T183+(Y$2*$M183))</f>
        <v/>
      </c>
      <c r="Z183" s="49">
        <f>IF(OR($M183="",$T183=""),"",$T183+(Z$2*$M183))</f>
        <v/>
      </c>
      <c r="AA183" s="51">
        <f>IF(OR($M183="",$T183=""),"",$T183+(AA$2*$M183))</f>
        <v/>
      </c>
      <c r="AB183" s="48">
        <f>IF(OR($M183="",$T183=""),"",$T183+(AB$2*$M183))</f>
        <v/>
      </c>
      <c r="AC183" s="48">
        <f>IF(OR($M183="",$T183=""),"",$T183+(AC$2*$M183))</f>
        <v/>
      </c>
      <c r="AD183" s="48">
        <f>IF(OR($M183="",$T183=""),"",$T183+(AD$2*$M183))</f>
        <v/>
      </c>
      <c r="AE183" s="49">
        <f>IF(OR($M183="",$T183=""),"",$T183+(AE$2*$M183))</f>
        <v/>
      </c>
      <c r="AF183" s="52">
        <f>IF(OR(T183="",I183&lt;T183),"",IFERROR(AVERAGE(T183+M183*{7,8,9,10,11})/IF(G183="",I183,G183)-1,""))</f>
        <v/>
      </c>
      <c r="AG183" s="55">
        <f>IF(OR(T183="",I183&lt;T183),"",IFERROR(AF183/-(R183/IF(G183="",I183,G183)-1),""))</f>
        <v/>
      </c>
      <c r="AH183" s="94" t="n">
        <v>1</v>
      </c>
      <c r="AI183" s="94" t="n">
        <v>46.9502020658127</v>
      </c>
      <c r="AJ183" s="94" t="n">
        <v>1</v>
      </c>
      <c r="AK183" s="94" t="inlineStr">
        <is>
          <t>OTT Up Trend</t>
        </is>
      </c>
      <c r="AL183" s="84" t="inlineStr">
        <is>
          <t>Polaris Inc.</t>
        </is>
      </c>
      <c r="AM183" t="inlineStr">
        <is>
          <t>Consumer Cyclical</t>
        </is>
      </c>
      <c r="AN183" t="inlineStr">
        <is>
          <t>Recreational Vehicles</t>
        </is>
      </c>
      <c r="AO183" t="n">
        <v>88</v>
      </c>
    </row>
    <row r="184">
      <c r="A184" s="64" t="inlineStr">
        <is>
          <t>RBC</t>
        </is>
      </c>
      <c r="B184" s="65" t="n"/>
      <c r="C184" s="66" t="n"/>
      <c r="D184" s="67" t="n"/>
      <c r="E184" s="68" t="n"/>
      <c r="F184" s="47">
        <f>IF(A184="","",IF(MIN(H184,MAX(J184:K184))=0,"",MIN(H184,MAX(J184:K184))))</f>
        <v/>
      </c>
      <c r="G184" s="74" t="n"/>
      <c r="H184" s="49">
        <f>IF(M184="","",IFERROR(ROUND(AVERAGE(T184+M184*{7,8,9,10,11})/1.21,4),""))</f>
        <v/>
      </c>
      <c r="I184" s="76" t="n">
        <v>498.8200073242188</v>
      </c>
      <c r="J184" s="77" t="n">
        <v>484.7680033376053</v>
      </c>
      <c r="K184" s="74" t="n">
        <v>469.4689987182617</v>
      </c>
      <c r="L184" s="78" t="n">
        <v>394.355749206543</v>
      </c>
      <c r="M184" s="77" t="n">
        <v>10.81410379316737</v>
      </c>
      <c r="N184" s="53">
        <f>IF(M184="","",IFERROR(M184/I184,""))</f>
        <v/>
      </c>
      <c r="O184" s="50">
        <f>IF(A184="","",IFERROR((IF(G184="",I184,G184)-T184)/M184,""))</f>
        <v/>
      </c>
      <c r="P184" s="50">
        <f>IFERROR((I184/T184-1)/N184,"")</f>
        <v/>
      </c>
      <c r="Q184" s="46">
        <f>IF(OR(T184="",I184&lt;T184),"",IFERROR(R184/IF(G184="",I184,G184)-1,""))</f>
        <v/>
      </c>
      <c r="R184" s="48">
        <f>IF($M184="","",MAX(IF($G184="",$I184,$G184)*(1/1.1),IF($G184="",$I184,$G184)+(R$2*$M184)))</f>
        <v/>
      </c>
      <c r="S184" s="49">
        <f>IF($M184="","",MAX(IF($G184="",$I184,$G184)*(1/1.1),IF($G184="",$I184,$G184)+(S$2*$M184)))</f>
        <v/>
      </c>
      <c r="T184" s="82" t="n">
        <v>451.774400024414</v>
      </c>
      <c r="U184" s="47">
        <f>IF(OR($M184="",$T184=""),"",$T184+(U$2*$M184))</f>
        <v/>
      </c>
      <c r="V184" s="48">
        <f>IF(OR($M184="",$T184=""),"",$T184+(V$2*$M184))</f>
        <v/>
      </c>
      <c r="W184" s="48">
        <f>IF(OR($M184="",$T184=""),"",$T184+(W$2*$M184))</f>
        <v/>
      </c>
      <c r="X184" s="49">
        <f>IF(OR($M184="",$T184=""),"",$T184+(X$2*$M184))</f>
        <v/>
      </c>
      <c r="Y184" s="47">
        <f>IF(OR($M184="",$T184=""),"",$T184+(Y$2*$M184))</f>
        <v/>
      </c>
      <c r="Z184" s="49">
        <f>IF(OR($M184="",$T184=""),"",$T184+(Z$2*$M184))</f>
        <v/>
      </c>
      <c r="AA184" s="51">
        <f>IF(OR($M184="",$T184=""),"",$T184+(AA$2*$M184))</f>
        <v/>
      </c>
      <c r="AB184" s="48">
        <f>IF(OR($M184="",$T184=""),"",$T184+(AB$2*$M184))</f>
        <v/>
      </c>
      <c r="AC184" s="48">
        <f>IF(OR($M184="",$T184=""),"",$T184+(AC$2*$M184))</f>
        <v/>
      </c>
      <c r="AD184" s="48">
        <f>IF(OR($M184="",$T184=""),"",$T184+(AD$2*$M184))</f>
        <v/>
      </c>
      <c r="AE184" s="49">
        <f>IF(OR($M184="",$T184=""),"",$T184+(AE$2*$M184))</f>
        <v/>
      </c>
      <c r="AF184" s="52">
        <f>IF(OR(T184="",I184&lt;T184),"",IFERROR(AVERAGE(T184+M184*{7,8,9,10,11})/IF(G184="",I184,G184)-1,""))</f>
        <v/>
      </c>
      <c r="AG184" s="55">
        <f>IF(OR(T184="",I184&lt;T184),"",IFERROR(AF184/-(R184/IF(G184="",I184,G184)-1),""))</f>
        <v/>
      </c>
      <c r="AH184" s="94" t="n">
        <v>1</v>
      </c>
      <c r="AI184" s="94" t="n">
        <v>126.1506323714512</v>
      </c>
      <c r="AJ184" s="94" t="n">
        <v>1</v>
      </c>
      <c r="AK184" s="94" t="inlineStr">
        <is>
          <t>OTT Up Trend</t>
        </is>
      </c>
      <c r="AL184" s="84" t="inlineStr">
        <is>
          <t>RBC Bearings Incorporated</t>
        </is>
      </c>
      <c r="AM184" t="inlineStr">
        <is>
          <t>Industrials</t>
        </is>
      </c>
      <c r="AN184" t="inlineStr">
        <is>
          <t>Tools &amp; Accessories</t>
        </is>
      </c>
      <c r="AO184" t="n">
        <v>88</v>
      </c>
    </row>
    <row r="185">
      <c r="A185" s="64" t="inlineStr">
        <is>
          <t>TEL</t>
        </is>
      </c>
      <c r="B185" s="65" t="n"/>
      <c r="C185" s="66" t="n"/>
      <c r="D185" s="67" t="n"/>
      <c r="E185" s="68" t="n"/>
      <c r="F185" s="47">
        <f>IF(A185="","",IF(MIN(H185,MAX(J185:K185))=0,"",MIN(H185,MAX(J185:K185))))</f>
        <v/>
      </c>
      <c r="G185" s="74" t="n"/>
      <c r="H185" s="49">
        <f>IF(M185="","",IFERROR(ROUND(AVERAGE(T185+M185*{7,8,9,10,11})/1.21,4),""))</f>
        <v/>
      </c>
      <c r="I185" s="76" t="n">
        <v>241.0099945068359</v>
      </c>
      <c r="J185" s="77" t="n">
        <v>235.9760045486199</v>
      </c>
      <c r="K185" s="74" t="n">
        <v>232.6804992675781</v>
      </c>
      <c r="L185" s="78" t="n">
        <v>197.3808492660523</v>
      </c>
      <c r="M185" s="77" t="n">
        <v>5.087047639296323</v>
      </c>
      <c r="N185" s="53">
        <f>IF(M185="","",IFERROR(M185/I185,""))</f>
        <v/>
      </c>
      <c r="O185" s="50">
        <f>IF(A185="","",IFERROR((IF(G185="",I185,G185)-T185)/M185,""))</f>
        <v/>
      </c>
      <c r="P185" s="50">
        <f>IFERROR((I185/T185-1)/N185,"")</f>
        <v/>
      </c>
      <c r="Q185" s="46">
        <f>IF(OR(T185="",I185&lt;T185),"",IFERROR(R185/IF(G185="",I185,G185)-1,""))</f>
        <v/>
      </c>
      <c r="R185" s="48">
        <f>IF($M185="","",MAX(IF($G185="",$I185,$G185)*(1/1.1),IF($G185="",$I185,$G185)+(R$2*$M185)))</f>
        <v/>
      </c>
      <c r="S185" s="49">
        <f>IF($M185="","",MAX(IF($G185="",$I185,$G185)*(1/1.1),IF($G185="",$I185,$G185)+(S$2*$M185)))</f>
        <v/>
      </c>
      <c r="T185" s="82" t="n">
        <v>233.0185992431641</v>
      </c>
      <c r="U185" s="47">
        <f>IF(OR($M185="",$T185=""),"",$T185+(U$2*$M185))</f>
        <v/>
      </c>
      <c r="V185" s="48">
        <f>IF(OR($M185="",$T185=""),"",$T185+(V$2*$M185))</f>
        <v/>
      </c>
      <c r="W185" s="48">
        <f>IF(OR($M185="",$T185=""),"",$T185+(W$2*$M185))</f>
        <v/>
      </c>
      <c r="X185" s="49">
        <f>IF(OR($M185="",$T185=""),"",$T185+(X$2*$M185))</f>
        <v/>
      </c>
      <c r="Y185" s="47">
        <f>IF(OR($M185="",$T185=""),"",$T185+(Y$2*$M185))</f>
        <v/>
      </c>
      <c r="Z185" s="49">
        <f>IF(OR($M185="",$T185=""),"",$T185+(Z$2*$M185))</f>
        <v/>
      </c>
      <c r="AA185" s="51">
        <f>IF(OR($M185="",$T185=""),"",$T185+(AA$2*$M185))</f>
        <v/>
      </c>
      <c r="AB185" s="48">
        <f>IF(OR($M185="",$T185=""),"",$T185+(AB$2*$M185))</f>
        <v/>
      </c>
      <c r="AC185" s="48">
        <f>IF(OR($M185="",$T185=""),"",$T185+(AC$2*$M185))</f>
        <v/>
      </c>
      <c r="AD185" s="48">
        <f>IF(OR($M185="",$T185=""),"",$T185+(AD$2*$M185))</f>
        <v/>
      </c>
      <c r="AE185" s="49">
        <f>IF(OR($M185="",$T185=""),"",$T185+(AE$2*$M185))</f>
        <v/>
      </c>
      <c r="AF185" s="52">
        <f>IF(OR(T185="",I185&lt;T185),"",IFERROR(AVERAGE(T185+M185*{7,8,9,10,11})/IF(G185="",I185,G185)-1,""))</f>
        <v/>
      </c>
      <c r="AG185" s="55">
        <f>IF(OR(T185="",I185&lt;T185),"",IFERROR(AF185/-(R185/IF(G185="",I185,G185)-1),""))</f>
        <v/>
      </c>
      <c r="AH185" s="94" t="n">
        <v>-1</v>
      </c>
      <c r="AI185" s="94" t="n">
        <v>36.1911095580739</v>
      </c>
      <c r="AJ185" s="94" t="n">
        <v>1</v>
      </c>
      <c r="AK185" s="94" t="inlineStr">
        <is>
          <t>None</t>
        </is>
      </c>
      <c r="AL185" s="84" t="inlineStr">
        <is>
          <t>TE Connectivity plc</t>
        </is>
      </c>
      <c r="AM185" t="inlineStr">
        <is>
          <t>Technology</t>
        </is>
      </c>
      <c r="AN185" t="inlineStr">
        <is>
          <t>Electronic Components</t>
        </is>
      </c>
      <c r="AO185" t="n">
        <v>88</v>
      </c>
    </row>
    <row r="186">
      <c r="A186" s="64" t="inlineStr">
        <is>
          <t>MIR</t>
        </is>
      </c>
      <c r="B186" s="65" t="n"/>
      <c r="C186" s="66" t="n"/>
      <c r="D186" s="67" t="n"/>
      <c r="E186" s="68" t="n"/>
      <c r="F186" s="47">
        <f>IF(A186="","",IF(MIN(H186,MAX(J186:K186))=0,"",MIN(H186,MAX(J186:K186))))</f>
        <v/>
      </c>
      <c r="G186" s="74" t="n"/>
      <c r="H186" s="49">
        <f>IF(M186="","",IFERROR(ROUND(AVERAGE(T186+M186*{7,8,9,10,11})/1.21,4),""))</f>
        <v/>
      </c>
      <c r="I186" s="76" t="n">
        <v>26.93000030517578</v>
      </c>
      <c r="J186" s="77" t="n">
        <v>25.9304024765304</v>
      </c>
      <c r="K186" s="74" t="n">
        <v>24.73949995040893</v>
      </c>
      <c r="L186" s="78" t="n">
        <v>21.57840002536774</v>
      </c>
      <c r="M186" s="77" t="n">
        <v>0.9985672995894594</v>
      </c>
      <c r="N186" s="53">
        <f>IF(M186="","",IFERROR(M186/I186,""))</f>
        <v/>
      </c>
      <c r="O186" s="50">
        <f>IF(A186="","",IFERROR((IF(G186="",I186,G186)-T186)/M186,""))</f>
        <v/>
      </c>
      <c r="P186" s="50">
        <f>IFERROR((I186/T186-1)/N186,"")</f>
        <v/>
      </c>
      <c r="Q186" s="46">
        <f>IF(OR(T186="",I186&lt;T186),"",IFERROR(R186/IF(G186="",I186,G186)-1,""))</f>
        <v/>
      </c>
      <c r="R186" s="48">
        <f>IF($M186="","",MAX(IF($G186="",$I186,$G186)*(1/1.1),IF($G186="",$I186,$G186)+(R$2*$M186)))</f>
        <v/>
      </c>
      <c r="S186" s="49">
        <f>IF($M186="","",MAX(IF($G186="",$I186,$G186)*(1/1.1),IF($G186="",$I186,$G186)+(S$2*$M186)))</f>
        <v/>
      </c>
      <c r="T186" s="82" t="n">
        <v>25.06380001068115</v>
      </c>
      <c r="U186" s="47">
        <f>IF(OR($M186="",$T186=""),"",$T186+(U$2*$M186))</f>
        <v/>
      </c>
      <c r="V186" s="48">
        <f>IF(OR($M186="",$T186=""),"",$T186+(V$2*$M186))</f>
        <v/>
      </c>
      <c r="W186" s="48">
        <f>IF(OR($M186="",$T186=""),"",$T186+(W$2*$M186))</f>
        <v/>
      </c>
      <c r="X186" s="49">
        <f>IF(OR($M186="",$T186=""),"",$T186+(X$2*$M186))</f>
        <v/>
      </c>
      <c r="Y186" s="47">
        <f>IF(OR($M186="",$T186=""),"",$T186+(Y$2*$M186))</f>
        <v/>
      </c>
      <c r="Z186" s="49">
        <f>IF(OR($M186="",$T186=""),"",$T186+(Z$2*$M186))</f>
        <v/>
      </c>
      <c r="AA186" s="51">
        <f>IF(OR($M186="",$T186=""),"",$T186+(AA$2*$M186))</f>
        <v/>
      </c>
      <c r="AB186" s="48">
        <f>IF(OR($M186="",$T186=""),"",$T186+(AB$2*$M186))</f>
        <v/>
      </c>
      <c r="AC186" s="48">
        <f>IF(OR($M186="",$T186=""),"",$T186+(AC$2*$M186))</f>
        <v/>
      </c>
      <c r="AD186" s="48">
        <f>IF(OR($M186="",$T186=""),"",$T186+(AD$2*$M186))</f>
        <v/>
      </c>
      <c r="AE186" s="49">
        <f>IF(OR($M186="",$T186=""),"",$T186+(AE$2*$M186))</f>
        <v/>
      </c>
      <c r="AF186" s="52">
        <f>IF(OR(T186="",I186&lt;T186),"",IFERROR(AVERAGE(T186+M186*{7,8,9,10,11})/IF(G186="",I186,G186)-1,""))</f>
        <v/>
      </c>
      <c r="AG186" s="55">
        <f>IF(OR(T186="",I186&lt;T186),"",IFERROR(AF186/-(R186/IF(G186="",I186,G186)-1),""))</f>
        <v/>
      </c>
      <c r="AH186" s="94" t="n">
        <v>1</v>
      </c>
      <c r="AI186" s="94" t="n">
        <v>52.76137199585577</v>
      </c>
      <c r="AJ186" s="94" t="n">
        <v>1</v>
      </c>
      <c r="AK186" s="94" t="inlineStr">
        <is>
          <t>None</t>
        </is>
      </c>
      <c r="AL186" s="84" t="inlineStr">
        <is>
          <t>Mirion Technologies, Inc.</t>
        </is>
      </c>
      <c r="AM186" t="inlineStr">
        <is>
          <t>Industrials</t>
        </is>
      </c>
      <c r="AN186" t="inlineStr">
        <is>
          <t>Specialty Industrial Machinery</t>
        </is>
      </c>
      <c r="AO186" t="n">
        <v>87</v>
      </c>
    </row>
    <row r="187">
      <c r="A187" s="64" t="inlineStr">
        <is>
          <t>CWK</t>
        </is>
      </c>
      <c r="B187" s="65" t="n"/>
      <c r="C187" s="66" t="n"/>
      <c r="D187" s="67" t="n"/>
      <c r="E187" s="68" t="n"/>
      <c r="F187" s="47">
        <f>IF(A187="","",IF(MIN(H187,MAX(J187:K187))=0,"",MIN(H187,MAX(J187:K187))))</f>
        <v/>
      </c>
      <c r="G187" s="74" t="n"/>
      <c r="H187" s="49">
        <f>IF(M187="","",IFERROR(ROUND(AVERAGE(T187+M187*{7,8,9,10,11})/1.21,4),""))</f>
        <v/>
      </c>
      <c r="I187" s="76" t="n">
        <v>17.20000076293945</v>
      </c>
      <c r="J187" s="77" t="n">
        <v>16.7328790696787</v>
      </c>
      <c r="K187" s="74" t="n">
        <v>16.51500015258789</v>
      </c>
      <c r="L187" s="78" t="n">
        <v>13.48680000066757</v>
      </c>
      <c r="M187" s="77" t="n">
        <v>0.5589810368734204</v>
      </c>
      <c r="N187" s="53">
        <f>IF(M187="","",IFERROR(M187/I187,""))</f>
        <v/>
      </c>
      <c r="O187" s="50">
        <f>IF(A187="","",IFERROR((IF(G187="",I187,G187)-T187)/M187,""))</f>
        <v/>
      </c>
      <c r="P187" s="50">
        <f>IFERROR((I187/T187-1)/N187,"")</f>
        <v/>
      </c>
      <c r="Q187" s="46">
        <f>IF(OR(T187="",I187&lt;T187),"",IFERROR(R187/IF(G187="",I187,G187)-1,""))</f>
        <v/>
      </c>
      <c r="R187" s="48">
        <f>IF($M187="","",MAX(IF($G187="",$I187,$G187)*(1/1.1),IF($G187="",$I187,$G187)+(R$2*$M187)))</f>
        <v/>
      </c>
      <c r="S187" s="49">
        <f>IF($M187="","",MAX(IF($G187="",$I187,$G187)*(1/1.1),IF($G187="",$I187,$G187)+(S$2*$M187)))</f>
        <v/>
      </c>
      <c r="T187" s="82" t="n">
        <v>16.01540006637573</v>
      </c>
      <c r="U187" s="47">
        <f>IF(OR($M187="",$T187=""),"",$T187+(U$2*$M187))</f>
        <v/>
      </c>
      <c r="V187" s="48">
        <f>IF(OR($M187="",$T187=""),"",$T187+(V$2*$M187))</f>
        <v/>
      </c>
      <c r="W187" s="48">
        <f>IF(OR($M187="",$T187=""),"",$T187+(W$2*$M187))</f>
        <v/>
      </c>
      <c r="X187" s="49">
        <f>IF(OR($M187="",$T187=""),"",$T187+(X$2*$M187))</f>
        <v/>
      </c>
      <c r="Y187" s="47">
        <f>IF(OR($M187="",$T187=""),"",$T187+(Y$2*$M187))</f>
        <v/>
      </c>
      <c r="Z187" s="49">
        <f>IF(OR($M187="",$T187=""),"",$T187+(Z$2*$M187))</f>
        <v/>
      </c>
      <c r="AA187" s="51">
        <f>IF(OR($M187="",$T187=""),"",$T187+(AA$2*$M187))</f>
        <v/>
      </c>
      <c r="AB187" s="48">
        <f>IF(OR($M187="",$T187=""),"",$T187+(AB$2*$M187))</f>
        <v/>
      </c>
      <c r="AC187" s="48">
        <f>IF(OR($M187="",$T187=""),"",$T187+(AC$2*$M187))</f>
        <v/>
      </c>
      <c r="AD187" s="48">
        <f>IF(OR($M187="",$T187=""),"",$T187+(AD$2*$M187))</f>
        <v/>
      </c>
      <c r="AE187" s="49">
        <f>IF(OR($M187="",$T187=""),"",$T187+(AE$2*$M187))</f>
        <v/>
      </c>
      <c r="AF187" s="52">
        <f>IF(OR(T187="",I187&lt;T187),"",IFERROR(AVERAGE(T187+M187*{7,8,9,10,11})/IF(G187="",I187,G187)-1,""))</f>
        <v/>
      </c>
      <c r="AG187" s="55">
        <f>IF(OR(T187="",I187&lt;T187),"",IFERROR(AF187/-(R187/IF(G187="",I187,G187)-1),""))</f>
        <v/>
      </c>
      <c r="AH187" s="94" t="n">
        <v>1</v>
      </c>
      <c r="AI187" s="94" t="n">
        <v>48.77572686989291</v>
      </c>
      <c r="AJ187" s="94" t="n">
        <v>1</v>
      </c>
      <c r="AK187" s="94" t="inlineStr">
        <is>
          <t>OTT Up Trend</t>
        </is>
      </c>
      <c r="AL187" s="84" t="inlineStr">
        <is>
          <t>Cushman &amp; Wakefield Ltd.</t>
        </is>
      </c>
      <c r="AM187" t="inlineStr">
        <is>
          <t>Real Estate</t>
        </is>
      </c>
      <c r="AN187" t="inlineStr">
        <is>
          <t>Real Estate Services</t>
        </is>
      </c>
      <c r="AO187" t="n">
        <v>87</v>
      </c>
    </row>
    <row r="188">
      <c r="A188" s="64" t="inlineStr">
        <is>
          <t>LGND</t>
        </is>
      </c>
      <c r="B188" s="65" t="n"/>
      <c r="C188" s="66" t="n"/>
      <c r="D188" s="67" t="n"/>
      <c r="E188" s="68" t="n"/>
      <c r="F188" s="47">
        <f>IF(A188="","",IF(MIN(H188,MAX(J188:K188))=0,"",MIN(H188,MAX(J188:K188))))</f>
        <v/>
      </c>
      <c r="G188" s="74" t="n"/>
      <c r="H188" s="49">
        <f>IF(M188="","",IFERROR(ROUND(AVERAGE(T188+M188*{7,8,9,10,11})/1.21,4),""))</f>
        <v/>
      </c>
      <c r="I188" s="76" t="n">
        <v>192.9700012207031</v>
      </c>
      <c r="J188" s="77" t="n">
        <v>196.2640423034972</v>
      </c>
      <c r="K188" s="74" t="n">
        <v>196.3755012512207</v>
      </c>
      <c r="L188" s="78" t="n">
        <v>152.4980006027222</v>
      </c>
      <c r="M188" s="77" t="n">
        <v>8.478473515970773</v>
      </c>
      <c r="N188" s="53">
        <f>IF(M188="","",IFERROR(M188/I188,""))</f>
        <v/>
      </c>
      <c r="O188" s="50">
        <f>IF(A188="","",IFERROR((IF(G188="",I188,G188)-T188)/M188,""))</f>
        <v/>
      </c>
      <c r="P188" s="50">
        <f>IFERROR((I188/T188-1)/N188,"")</f>
        <v/>
      </c>
      <c r="Q188" s="46">
        <f>IF(OR(T188="",I188&lt;T188),"",IFERROR(R188/IF(G188="",I188,G188)-1,""))</f>
        <v/>
      </c>
      <c r="R188" s="48">
        <f>IF($M188="","",MAX(IF($G188="",$I188,$G188)*(1/1.1),IF($G188="",$I188,$G188)+(R$2*$M188)))</f>
        <v/>
      </c>
      <c r="S188" s="49">
        <f>IF($M188="","",MAX(IF($G188="",$I188,$G188)*(1/1.1),IF($G188="",$I188,$G188)+(S$2*$M188)))</f>
        <v/>
      </c>
      <c r="T188" s="82" t="n">
        <v>197.0512008666992</v>
      </c>
      <c r="U188" s="47">
        <f>IF(OR($M188="",$T188=""),"",$T188+(U$2*$M188))</f>
        <v/>
      </c>
      <c r="V188" s="48">
        <f>IF(OR($M188="",$T188=""),"",$T188+(V$2*$M188))</f>
        <v/>
      </c>
      <c r="W188" s="48">
        <f>IF(OR($M188="",$T188=""),"",$T188+(W$2*$M188))</f>
        <v/>
      </c>
      <c r="X188" s="49">
        <f>IF(OR($M188="",$T188=""),"",$T188+(X$2*$M188))</f>
        <v/>
      </c>
      <c r="Y188" s="47">
        <f>IF(OR($M188="",$T188=""),"",$T188+(Y$2*$M188))</f>
        <v/>
      </c>
      <c r="Z188" s="49">
        <f>IF(OR($M188="",$T188=""),"",$T188+(Z$2*$M188))</f>
        <v/>
      </c>
      <c r="AA188" s="51">
        <f>IF(OR($M188="",$T188=""),"",$T188+(AA$2*$M188))</f>
        <v/>
      </c>
      <c r="AB188" s="48">
        <f>IF(OR($M188="",$T188=""),"",$T188+(AB$2*$M188))</f>
        <v/>
      </c>
      <c r="AC188" s="48">
        <f>IF(OR($M188="",$T188=""),"",$T188+(AC$2*$M188))</f>
        <v/>
      </c>
      <c r="AD188" s="48">
        <f>IF(OR($M188="",$T188=""),"",$T188+(AD$2*$M188))</f>
        <v/>
      </c>
      <c r="AE188" s="49">
        <f>IF(OR($M188="",$T188=""),"",$T188+(AE$2*$M188))</f>
        <v/>
      </c>
      <c r="AF188" s="52">
        <f>IF(OR(T188="",I188&lt;T188),"",IFERROR(AVERAGE(T188+M188*{7,8,9,10,11})/IF(G188="",I188,G188)-1,""))</f>
        <v/>
      </c>
      <c r="AG188" s="55">
        <f>IF(OR(T188="",I188&lt;T188),"",IFERROR(AF188/-(R188/IF(G188="",I188,G188)-1),""))</f>
        <v/>
      </c>
      <c r="AH188" s="94" t="n">
        <v>1</v>
      </c>
      <c r="AI188" s="94" t="n">
        <v>7.906196834526763</v>
      </c>
      <c r="AJ188" s="94" t="n">
        <v>0</v>
      </c>
      <c r="AK188" s="94" t="inlineStr">
        <is>
          <t>OTT Turned Up</t>
        </is>
      </c>
      <c r="AL188" s="84" t="inlineStr">
        <is>
          <t>Ligand Pharmaceuticals Incorpor</t>
        </is>
      </c>
      <c r="AM188" t="inlineStr">
        <is>
          <t>Healthcare</t>
        </is>
      </c>
      <c r="AN188" t="inlineStr">
        <is>
          <t>Biotechnology</t>
        </is>
      </c>
      <c r="AO188" t="n">
        <v>87</v>
      </c>
    </row>
    <row r="189">
      <c r="A189" s="64" t="inlineStr">
        <is>
          <t>MATX</t>
        </is>
      </c>
      <c r="B189" s="65" t="n"/>
      <c r="C189" s="66" t="n"/>
      <c r="D189" s="67" t="n"/>
      <c r="E189" s="68" t="n"/>
      <c r="F189" s="47">
        <f>IF(A189="","",IF(MIN(H189,MAX(J189:K189))=0,"",MIN(H189,MAX(J189:K189))))</f>
        <v/>
      </c>
      <c r="G189" s="74" t="n"/>
      <c r="H189" s="49">
        <f>IF(M189="","",IFERROR(ROUND(AVERAGE(T189+M189*{7,8,9,10,11})/1.21,4),""))</f>
        <v/>
      </c>
      <c r="I189" s="76" t="n">
        <v>146.2599945068359</v>
      </c>
      <c r="J189" s="77" t="n">
        <v>135.0198742105394</v>
      </c>
      <c r="K189" s="74" t="n">
        <v>129.0770000457764</v>
      </c>
      <c r="L189" s="78" t="n">
        <v>109.14005027771</v>
      </c>
      <c r="M189" s="77" t="n">
        <v>3.710856598730412</v>
      </c>
      <c r="N189" s="53">
        <f>IF(M189="","",IFERROR(M189/I189,""))</f>
        <v/>
      </c>
      <c r="O189" s="50">
        <f>IF(A189="","",IFERROR((IF(G189="",I189,G189)-T189)/M189,""))</f>
        <v/>
      </c>
      <c r="P189" s="50">
        <f>IFERROR((I189/T189-1)/N189,"")</f>
        <v/>
      </c>
      <c r="Q189" s="46">
        <f>IF(OR(T189="",I189&lt;T189),"",IFERROR(R189/IF(G189="",I189,G189)-1,""))</f>
        <v/>
      </c>
      <c r="R189" s="48">
        <f>IF($M189="","",MAX(IF($G189="",$I189,$G189)*(1/1.1),IF($G189="",$I189,$G189)+(R$2*$M189)))</f>
        <v/>
      </c>
      <c r="S189" s="49">
        <f>IF($M189="","",MAX(IF($G189="",$I189,$G189)*(1/1.1),IF($G189="",$I189,$G189)+(S$2*$M189)))</f>
        <v/>
      </c>
      <c r="T189" s="82" t="n">
        <v>118.6914001464844</v>
      </c>
      <c r="U189" s="47">
        <f>IF(OR($M189="",$T189=""),"",$T189+(U$2*$M189))</f>
        <v/>
      </c>
      <c r="V189" s="48">
        <f>IF(OR($M189="",$T189=""),"",$T189+(V$2*$M189))</f>
        <v/>
      </c>
      <c r="W189" s="48">
        <f>IF(OR($M189="",$T189=""),"",$T189+(W$2*$M189))</f>
        <v/>
      </c>
      <c r="X189" s="49">
        <f>IF(OR($M189="",$T189=""),"",$T189+(X$2*$M189))</f>
        <v/>
      </c>
      <c r="Y189" s="47">
        <f>IF(OR($M189="",$T189=""),"",$T189+(Y$2*$M189))</f>
        <v/>
      </c>
      <c r="Z189" s="49">
        <f>IF(OR($M189="",$T189=""),"",$T189+(Z$2*$M189))</f>
        <v/>
      </c>
      <c r="AA189" s="51">
        <f>IF(OR($M189="",$T189=""),"",$T189+(AA$2*$M189))</f>
        <v/>
      </c>
      <c r="AB189" s="48">
        <f>IF(OR($M189="",$T189=""),"",$T189+(AB$2*$M189))</f>
        <v/>
      </c>
      <c r="AC189" s="48">
        <f>IF(OR($M189="",$T189=""),"",$T189+(AC$2*$M189))</f>
        <v/>
      </c>
      <c r="AD189" s="48">
        <f>IF(OR($M189="",$T189=""),"",$T189+(AD$2*$M189))</f>
        <v/>
      </c>
      <c r="AE189" s="49">
        <f>IF(OR($M189="",$T189=""),"",$T189+(AE$2*$M189))</f>
        <v/>
      </c>
      <c r="AF189" s="52">
        <f>IF(OR(T189="",I189&lt;T189),"",IFERROR(AVERAGE(T189+M189*{7,8,9,10,11})/IF(G189="",I189,G189)-1,""))</f>
        <v/>
      </c>
      <c r="AG189" s="55">
        <f>IF(OR(T189="",I189&lt;T189),"",IFERROR(AF189/-(R189/IF(G189="",I189,G189)-1),""))</f>
        <v/>
      </c>
      <c r="AH189" s="94" t="n">
        <v>1</v>
      </c>
      <c r="AI189" s="94" t="n">
        <v>175.3432606231725</v>
      </c>
      <c r="AJ189" s="94" t="n">
        <v>1</v>
      </c>
      <c r="AK189" s="94" t="inlineStr">
        <is>
          <t>OTT Up Trend</t>
        </is>
      </c>
      <c r="AL189" s="84" t="inlineStr">
        <is>
          <t>Matson, Inc.</t>
        </is>
      </c>
      <c r="AM189" t="inlineStr">
        <is>
          <t>Industrials</t>
        </is>
      </c>
      <c r="AN189" t="inlineStr">
        <is>
          <t>Marine Shipping</t>
        </is>
      </c>
      <c r="AO189" t="n">
        <v>87</v>
      </c>
    </row>
    <row r="190">
      <c r="A190" s="64" t="inlineStr">
        <is>
          <t>CUBI</t>
        </is>
      </c>
      <c r="B190" s="65" t="n"/>
      <c r="C190" s="66" t="n"/>
      <c r="D190" s="67" t="n"/>
      <c r="E190" s="68" t="n"/>
      <c r="F190" s="47">
        <f>IF(A190="","",IF(MIN(H190,MAX(J190:K190))=0,"",MIN(H190,MAX(J190:K190))))</f>
        <v/>
      </c>
      <c r="G190" s="74" t="n"/>
      <c r="H190" s="49">
        <f>IF(M190="","",IFERROR(ROUND(AVERAGE(T190+M190*{7,8,9,10,11})/1.21,4),""))</f>
        <v/>
      </c>
      <c r="I190" s="76" t="n">
        <v>78.45999908447266</v>
      </c>
      <c r="J190" s="77" t="n">
        <v>77.52910907765079</v>
      </c>
      <c r="K190" s="74" t="n">
        <v>76.67800140380859</v>
      </c>
      <c r="L190" s="78" t="n">
        <v>62.71180015563965</v>
      </c>
      <c r="M190" s="77" t="n">
        <v>1.93808151732614</v>
      </c>
      <c r="N190" s="53">
        <f>IF(M190="","",IFERROR(M190/I190,""))</f>
        <v/>
      </c>
      <c r="O190" s="50">
        <f>IF(A190="","",IFERROR((IF(G190="",I190,G190)-T190)/M190,""))</f>
        <v/>
      </c>
      <c r="P190" s="50">
        <f>IFERROR((I190/T190-1)/N190,"")</f>
        <v/>
      </c>
      <c r="Q190" s="46">
        <f>IF(OR(T190="",I190&lt;T190),"",IFERROR(R190/IF(G190="",I190,G190)-1,""))</f>
        <v/>
      </c>
      <c r="R190" s="48">
        <f>IF($M190="","",MAX(IF($G190="",$I190,$G190)*(1/1.1),IF($G190="",$I190,$G190)+(R$2*$M190)))</f>
        <v/>
      </c>
      <c r="S190" s="49">
        <f>IF($M190="","",MAX(IF($G190="",$I190,$G190)*(1/1.1),IF($G190="",$I190,$G190)+(S$2*$M190)))</f>
        <v/>
      </c>
      <c r="T190" s="82" t="n">
        <v>72.0182006072998</v>
      </c>
      <c r="U190" s="47">
        <f>IF(OR($M190="",$T190=""),"",$T190+(U$2*$M190))</f>
        <v/>
      </c>
      <c r="V190" s="48">
        <f>IF(OR($M190="",$T190=""),"",$T190+(V$2*$M190))</f>
        <v/>
      </c>
      <c r="W190" s="48">
        <f>IF(OR($M190="",$T190=""),"",$T190+(W$2*$M190))</f>
        <v/>
      </c>
      <c r="X190" s="49">
        <f>IF(OR($M190="",$T190=""),"",$T190+(X$2*$M190))</f>
        <v/>
      </c>
      <c r="Y190" s="47">
        <f>IF(OR($M190="",$T190=""),"",$T190+(Y$2*$M190))</f>
        <v/>
      </c>
      <c r="Z190" s="49">
        <f>IF(OR($M190="",$T190=""),"",$T190+(Z$2*$M190))</f>
        <v/>
      </c>
      <c r="AA190" s="51">
        <f>IF(OR($M190="",$T190=""),"",$T190+(AA$2*$M190))</f>
        <v/>
      </c>
      <c r="AB190" s="48">
        <f>IF(OR($M190="",$T190=""),"",$T190+(AB$2*$M190))</f>
        <v/>
      </c>
      <c r="AC190" s="48">
        <f>IF(OR($M190="",$T190=""),"",$T190+(AC$2*$M190))</f>
        <v/>
      </c>
      <c r="AD190" s="48">
        <f>IF(OR($M190="",$T190=""),"",$T190+(AD$2*$M190))</f>
        <v/>
      </c>
      <c r="AE190" s="49">
        <f>IF(OR($M190="",$T190=""),"",$T190+(AE$2*$M190))</f>
        <v/>
      </c>
      <c r="AF190" s="52">
        <f>IF(OR(T190="",I190&lt;T190),"",IFERROR(AVERAGE(T190+M190*{7,8,9,10,11})/IF(G190="",I190,G190)-1,""))</f>
        <v/>
      </c>
      <c r="AG190" s="55">
        <f>IF(OR(T190="",I190&lt;T190),"",IFERROR(AF190/-(R190/IF(G190="",I190,G190)-1),""))</f>
        <v/>
      </c>
      <c r="AH190" s="94" t="n">
        <v>1</v>
      </c>
      <c r="AI190" s="94" t="n">
        <v>85.38034786413805</v>
      </c>
      <c r="AJ190" s="94" t="n">
        <v>0</v>
      </c>
      <c r="AK190" s="94" t="inlineStr">
        <is>
          <t>OTT Up Trend</t>
        </is>
      </c>
      <c r="AL190" s="84" t="inlineStr">
        <is>
          <t>Customers Bancorp, Inc</t>
        </is>
      </c>
      <c r="AM190" t="inlineStr">
        <is>
          <t>Financial Services</t>
        </is>
      </c>
      <c r="AN190" t="inlineStr">
        <is>
          <t>Banks - Regional</t>
        </is>
      </c>
      <c r="AO190" t="n">
        <v>87</v>
      </c>
    </row>
    <row r="191">
      <c r="A191" s="64" t="inlineStr">
        <is>
          <t>LBRT</t>
        </is>
      </c>
      <c r="B191" s="65" t="n"/>
      <c r="C191" s="66" t="n"/>
      <c r="D191" s="67" t="n"/>
      <c r="E191" s="68" t="n"/>
      <c r="F191" s="47">
        <f>IF(A191="","",IF(MIN(H191,MAX(J191:K191))=0,"",MIN(H191,MAX(J191:K191))))</f>
        <v/>
      </c>
      <c r="G191" s="74" t="n"/>
      <c r="H191" s="49">
        <f>IF(M191="","",IFERROR(ROUND(AVERAGE(T191+M191*{7,8,9,10,11})/1.21,4),""))</f>
        <v/>
      </c>
      <c r="I191" s="76" t="n">
        <v>20.19000053405762</v>
      </c>
      <c r="J191" s="77" t="n">
        <v>19.6830223777175</v>
      </c>
      <c r="K191" s="74" t="n">
        <v>18.93049983978272</v>
      </c>
      <c r="L191" s="78" t="n">
        <v>13.79489997863769</v>
      </c>
      <c r="M191" s="77" t="n">
        <v>0.9389928537540747</v>
      </c>
      <c r="N191" s="53">
        <f>IF(M191="","",IFERROR(M191/I191,""))</f>
        <v/>
      </c>
      <c r="O191" s="50">
        <f>IF(A191="","",IFERROR((IF(G191="",I191,G191)-T191)/M191,""))</f>
        <v/>
      </c>
      <c r="P191" s="50">
        <f>IFERROR((I191/T191-1)/N191,"")</f>
        <v/>
      </c>
      <c r="Q191" s="46">
        <f>IF(OR(T191="",I191&lt;T191),"",IFERROR(R191/IF(G191="",I191,G191)-1,""))</f>
        <v/>
      </c>
      <c r="R191" s="48">
        <f>IF($M191="","",MAX(IF($G191="",$I191,$G191)*(1/1.1),IF($G191="",$I191,$G191)+(R$2*$M191)))</f>
        <v/>
      </c>
      <c r="S191" s="49">
        <f>IF($M191="","",MAX(IF($G191="",$I191,$G191)*(1/1.1),IF($G191="",$I191,$G191)+(S$2*$M191)))</f>
        <v/>
      </c>
      <c r="T191" s="82" t="n">
        <v>18.26739995956421</v>
      </c>
      <c r="U191" s="47">
        <f>IF(OR($M191="",$T191=""),"",$T191+(U$2*$M191))</f>
        <v/>
      </c>
      <c r="V191" s="48">
        <f>IF(OR($M191="",$T191=""),"",$T191+(V$2*$M191))</f>
        <v/>
      </c>
      <c r="W191" s="48">
        <f>IF(OR($M191="",$T191=""),"",$T191+(W$2*$M191))</f>
        <v/>
      </c>
      <c r="X191" s="49">
        <f>IF(OR($M191="",$T191=""),"",$T191+(X$2*$M191))</f>
        <v/>
      </c>
      <c r="Y191" s="47">
        <f>IF(OR($M191="",$T191=""),"",$T191+(Y$2*$M191))</f>
        <v/>
      </c>
      <c r="Z191" s="49">
        <f>IF(OR($M191="",$T191=""),"",$T191+(Z$2*$M191))</f>
        <v/>
      </c>
      <c r="AA191" s="51">
        <f>IF(OR($M191="",$T191=""),"",$T191+(AA$2*$M191))</f>
        <v/>
      </c>
      <c r="AB191" s="48">
        <f>IF(OR($M191="",$T191=""),"",$T191+(AB$2*$M191))</f>
        <v/>
      </c>
      <c r="AC191" s="48">
        <f>IF(OR($M191="",$T191=""),"",$T191+(AC$2*$M191))</f>
        <v/>
      </c>
      <c r="AD191" s="48">
        <f>IF(OR($M191="",$T191=""),"",$T191+(AD$2*$M191))</f>
        <v/>
      </c>
      <c r="AE191" s="49">
        <f>IF(OR($M191="",$T191=""),"",$T191+(AE$2*$M191))</f>
        <v/>
      </c>
      <c r="AF191" s="52">
        <f>IF(OR(T191="",I191&lt;T191),"",IFERROR(AVERAGE(T191+M191*{7,8,9,10,11})/IF(G191="",I191,G191)-1,""))</f>
        <v/>
      </c>
      <c r="AG191" s="55">
        <f>IF(OR(T191="",I191&lt;T191),"",IFERROR(AF191/-(R191/IF(G191="",I191,G191)-1),""))</f>
        <v/>
      </c>
      <c r="AH191" s="94" t="n">
        <v>-1</v>
      </c>
      <c r="AI191" s="94" t="n">
        <v>59.31657373954442</v>
      </c>
      <c r="AJ191" s="94" t="n">
        <v>1</v>
      </c>
      <c r="AK191" s="94" t="inlineStr">
        <is>
          <t>OTT Up Trend</t>
        </is>
      </c>
      <c r="AL191" s="84" t="inlineStr">
        <is>
          <t>Liberty Energy Inc.</t>
        </is>
      </c>
      <c r="AM191" t="inlineStr">
        <is>
          <t>Energy</t>
        </is>
      </c>
      <c r="AN191" t="inlineStr">
        <is>
          <t>Oil &amp; Gas Equipment &amp; Services</t>
        </is>
      </c>
      <c r="AO191" t="n">
        <v>87</v>
      </c>
    </row>
    <row r="192">
      <c r="A192" s="64" t="inlineStr">
        <is>
          <t>PH</t>
        </is>
      </c>
      <c r="B192" s="65" t="n"/>
      <c r="C192" s="66" t="n"/>
      <c r="D192" s="67" t="n"/>
      <c r="E192" s="68" t="n"/>
      <c r="F192" s="47">
        <f>IF(A192="","",IF(MIN(H192,MAX(J192:K192))=0,"",MIN(H192,MAX(J192:K192))))</f>
        <v/>
      </c>
      <c r="G192" s="74" t="n"/>
      <c r="H192" s="49">
        <f>IF(M192="","",IFERROR(ROUND(AVERAGE(T192+M192*{7,8,9,10,11})/1.21,4),""))</f>
        <v/>
      </c>
      <c r="I192" s="76" t="n">
        <v>944.27001953125</v>
      </c>
      <c r="J192" s="77" t="n">
        <v>926.635724906138</v>
      </c>
      <c r="K192" s="74" t="n">
        <v>905.4185028076172</v>
      </c>
      <c r="L192" s="78" t="n">
        <v>741.6267504882812</v>
      </c>
      <c r="M192" s="77" t="n">
        <v>16.45845094040387</v>
      </c>
      <c r="N192" s="53">
        <f>IF(M192="","",IFERROR(M192/I192,""))</f>
        <v/>
      </c>
      <c r="O192" s="50">
        <f>IF(A192="","",IFERROR((IF(G192="",I192,G192)-T192)/M192,""))</f>
        <v/>
      </c>
      <c r="P192" s="50">
        <f>IFERROR((I192/T192-1)/N192,"")</f>
        <v/>
      </c>
      <c r="Q192" s="46">
        <f>IF(OR(T192="",I192&lt;T192),"",IFERROR(R192/IF(G192="",I192,G192)-1,""))</f>
        <v/>
      </c>
      <c r="R192" s="48">
        <f>IF($M192="","",MAX(IF($G192="",$I192,$G192)*(1/1.1),IF($G192="",$I192,$G192)+(R$2*$M192)))</f>
        <v/>
      </c>
      <c r="S192" s="49">
        <f>IF($M192="","",MAX(IF($G192="",$I192,$G192)*(1/1.1),IF($G192="",$I192,$G192)+(S$2*$M192)))</f>
        <v/>
      </c>
      <c r="T192" s="82" t="n">
        <v>873.9106005859375</v>
      </c>
      <c r="U192" s="47">
        <f>IF(OR($M192="",$T192=""),"",$T192+(U$2*$M192))</f>
        <v/>
      </c>
      <c r="V192" s="48">
        <f>IF(OR($M192="",$T192=""),"",$T192+(V$2*$M192))</f>
        <v/>
      </c>
      <c r="W192" s="48">
        <f>IF(OR($M192="",$T192=""),"",$T192+(W$2*$M192))</f>
        <v/>
      </c>
      <c r="X192" s="49">
        <f>IF(OR($M192="",$T192=""),"",$T192+(X$2*$M192))</f>
        <v/>
      </c>
      <c r="Y192" s="47">
        <f>IF(OR($M192="",$T192=""),"",$T192+(Y$2*$M192))</f>
        <v/>
      </c>
      <c r="Z192" s="49">
        <f>IF(OR($M192="",$T192=""),"",$T192+(Z$2*$M192))</f>
        <v/>
      </c>
      <c r="AA192" s="51">
        <f>IF(OR($M192="",$T192=""),"",$T192+(AA$2*$M192))</f>
        <v/>
      </c>
      <c r="AB192" s="48">
        <f>IF(OR($M192="",$T192=""),"",$T192+(AB$2*$M192))</f>
        <v/>
      </c>
      <c r="AC192" s="48">
        <f>IF(OR($M192="",$T192=""),"",$T192+(AC$2*$M192))</f>
        <v/>
      </c>
      <c r="AD192" s="48">
        <f>IF(OR($M192="",$T192=""),"",$T192+(AD$2*$M192))</f>
        <v/>
      </c>
      <c r="AE192" s="49">
        <f>IF(OR($M192="",$T192=""),"",$T192+(AE$2*$M192))</f>
        <v/>
      </c>
      <c r="AF192" s="52">
        <f>IF(OR(T192="",I192&lt;T192),"",IFERROR(AVERAGE(T192+M192*{7,8,9,10,11})/IF(G192="",I192,G192)-1,""))</f>
        <v/>
      </c>
      <c r="AG192" s="55">
        <f>IF(OR(T192="",I192&lt;T192),"",IFERROR(AF192/-(R192/IF(G192="",I192,G192)-1),""))</f>
        <v/>
      </c>
      <c r="AH192" s="94" t="n">
        <v>1</v>
      </c>
      <c r="AI192" s="94" t="n">
        <v>123.8410145713395</v>
      </c>
      <c r="AJ192" s="94" t="n">
        <v>1</v>
      </c>
      <c r="AK192" s="94" t="inlineStr">
        <is>
          <t>OTT Up Trend</t>
        </is>
      </c>
      <c r="AL192" s="84" t="inlineStr">
        <is>
          <t>Parker-Hannifin Corporation</t>
        </is>
      </c>
      <c r="AM192" t="inlineStr">
        <is>
          <t>Industrials</t>
        </is>
      </c>
      <c r="AN192" t="inlineStr">
        <is>
          <t>Specialty Industrial Machinery</t>
        </is>
      </c>
      <c r="AO192" t="n">
        <v>87</v>
      </c>
    </row>
    <row r="193">
      <c r="A193" s="64" t="inlineStr">
        <is>
          <t>SBH</t>
        </is>
      </c>
      <c r="B193" s="65" t="n"/>
      <c r="C193" s="66" t="n"/>
      <c r="D193" s="67" t="n"/>
      <c r="E193" s="68" t="n"/>
      <c r="F193" s="47">
        <f>IF(A193="","",IF(MIN(H193,MAX(J193:K193))=0,"",MIN(H193,MAX(J193:K193))))</f>
        <v/>
      </c>
      <c r="G193" s="74" t="n"/>
      <c r="H193" s="49">
        <f>IF(M193="","",IFERROR(ROUND(AVERAGE(T193+M193*{7,8,9,10,11})/1.21,4),""))</f>
        <v/>
      </c>
      <c r="I193" s="76" t="n">
        <v>15.46000003814697</v>
      </c>
      <c r="J193" s="77" t="n">
        <v>15.46758318945517</v>
      </c>
      <c r="K193" s="74" t="n">
        <v>15.13800001144409</v>
      </c>
      <c r="L193" s="78" t="n">
        <v>12.31740000486374</v>
      </c>
      <c r="M193" s="77" t="n">
        <v>0.6074235338049627</v>
      </c>
      <c r="N193" s="53">
        <f>IF(M193="","",IFERROR(M193/I193,""))</f>
        <v/>
      </c>
      <c r="O193" s="50">
        <f>IF(A193="","",IFERROR((IF(G193="",I193,G193)-T193)/M193,""))</f>
        <v/>
      </c>
      <c r="P193" s="50">
        <f>IFERROR((I193/T193-1)/N193,"")</f>
        <v/>
      </c>
      <c r="Q193" s="46">
        <f>IF(OR(T193="",I193&lt;T193),"",IFERROR(R193/IF(G193="",I193,G193)-1,""))</f>
        <v/>
      </c>
      <c r="R193" s="48">
        <f>IF($M193="","",MAX(IF($G193="",$I193,$G193)*(1/1.1),IF($G193="",$I193,$G193)+(R$2*$M193)))</f>
        <v/>
      </c>
      <c r="S193" s="49">
        <f>IF($M193="","",MAX(IF($G193="",$I193,$G193)*(1/1.1),IF($G193="",$I193,$G193)+(S$2*$M193)))</f>
        <v/>
      </c>
      <c r="T193" s="82" t="n">
        <v>15.08339998245239</v>
      </c>
      <c r="U193" s="47">
        <f>IF(OR($M193="",$T193=""),"",$T193+(U$2*$M193))</f>
        <v/>
      </c>
      <c r="V193" s="48">
        <f>IF(OR($M193="",$T193=""),"",$T193+(V$2*$M193))</f>
        <v/>
      </c>
      <c r="W193" s="48">
        <f>IF(OR($M193="",$T193=""),"",$T193+(W$2*$M193))</f>
        <v/>
      </c>
      <c r="X193" s="49">
        <f>IF(OR($M193="",$T193=""),"",$T193+(X$2*$M193))</f>
        <v/>
      </c>
      <c r="Y193" s="47">
        <f>IF(OR($M193="",$T193=""),"",$T193+(Y$2*$M193))</f>
        <v/>
      </c>
      <c r="Z193" s="49">
        <f>IF(OR($M193="",$T193=""),"",$T193+(Z$2*$M193))</f>
        <v/>
      </c>
      <c r="AA193" s="51">
        <f>IF(OR($M193="",$T193=""),"",$T193+(AA$2*$M193))</f>
        <v/>
      </c>
      <c r="AB193" s="48">
        <f>IF(OR($M193="",$T193=""),"",$T193+(AB$2*$M193))</f>
        <v/>
      </c>
      <c r="AC193" s="48">
        <f>IF(OR($M193="",$T193=""),"",$T193+(AC$2*$M193))</f>
        <v/>
      </c>
      <c r="AD193" s="48">
        <f>IF(OR($M193="",$T193=""),"",$T193+(AD$2*$M193))</f>
        <v/>
      </c>
      <c r="AE193" s="49">
        <f>IF(OR($M193="",$T193=""),"",$T193+(AE$2*$M193))</f>
        <v/>
      </c>
      <c r="AF193" s="52">
        <f>IF(OR(T193="",I193&lt;T193),"",IFERROR(AVERAGE(T193+M193*{7,8,9,10,11})/IF(G193="",I193,G193)-1,""))</f>
        <v/>
      </c>
      <c r="AG193" s="55">
        <f>IF(OR(T193="",I193&lt;T193),"",IFERROR(AF193/-(R193/IF(G193="",I193,G193)-1),""))</f>
        <v/>
      </c>
      <c r="AH193" s="94" t="n">
        <v>1</v>
      </c>
      <c r="AI193" s="94" t="n">
        <v>25.50655116903819</v>
      </c>
      <c r="AJ193" s="94" t="n">
        <v>1</v>
      </c>
      <c r="AK193" s="94" t="inlineStr">
        <is>
          <t>OTT Turned Up</t>
        </is>
      </c>
      <c r="AL193" s="84" t="inlineStr">
        <is>
          <t>Sally Beauty Holdings, Inc. (Na</t>
        </is>
      </c>
      <c r="AM193" t="inlineStr">
        <is>
          <t>Consumer Cyclical</t>
        </is>
      </c>
      <c r="AN193" t="inlineStr">
        <is>
          <t>Specialty Retail</t>
        </is>
      </c>
      <c r="AO193" t="n">
        <v>87</v>
      </c>
    </row>
    <row r="194">
      <c r="A194" s="64" t="inlineStr">
        <is>
          <t>DD</t>
        </is>
      </c>
      <c r="B194" s="65" t="n"/>
      <c r="C194" s="66" t="n"/>
      <c r="D194" s="67" t="n"/>
      <c r="E194" s="68" t="n"/>
      <c r="F194" s="47">
        <f>IF(A194="","",IF(MIN(H194,MAX(J194:K194))=0,"",MIN(H194,MAX(J194:K194))))</f>
        <v/>
      </c>
      <c r="G194" s="74" t="n"/>
      <c r="H194" s="49">
        <f>IF(M194="","",IFERROR(ROUND(AVERAGE(T194+M194*{7,8,9,10,11})/1.21,4),""))</f>
        <v/>
      </c>
      <c r="I194" s="76" t="n">
        <v>42.86000061035156</v>
      </c>
      <c r="J194" s="77" t="n">
        <v>42.90760904326266</v>
      </c>
      <c r="K194" s="74" t="n">
        <v>42.0754997253418</v>
      </c>
      <c r="L194" s="78" t="n">
        <v>32.85031207084656</v>
      </c>
      <c r="M194" s="77" t="n">
        <v>0.928682805660958</v>
      </c>
      <c r="N194" s="53">
        <f>IF(M194="","",IFERROR(M194/I194,""))</f>
        <v/>
      </c>
      <c r="O194" s="50">
        <f>IF(A194="","",IFERROR((IF(G194="",I194,G194)-T194)/M194,""))</f>
        <v/>
      </c>
      <c r="P194" s="50">
        <f>IFERROR((I194/T194-1)/N194,"")</f>
        <v/>
      </c>
      <c r="Q194" s="46">
        <f>IF(OR(T194="",I194&lt;T194),"",IFERROR(R194/IF(G194="",I194,G194)-1,""))</f>
        <v/>
      </c>
      <c r="R194" s="48">
        <f>IF($M194="","",MAX(IF($G194="",$I194,$G194)*(1/1.1),IF($G194="",$I194,$G194)+(R$2*$M194)))</f>
        <v/>
      </c>
      <c r="S194" s="49">
        <f>IF($M194="","",MAX(IF($G194="",$I194,$G194)*(1/1.1),IF($G194="",$I194,$G194)+(S$2*$M194)))</f>
        <v/>
      </c>
      <c r="T194" s="82" t="n">
        <v>40.69660003662109</v>
      </c>
      <c r="U194" s="47">
        <f>IF(OR($M194="",$T194=""),"",$T194+(U$2*$M194))</f>
        <v/>
      </c>
      <c r="V194" s="48">
        <f>IF(OR($M194="",$T194=""),"",$T194+(V$2*$M194))</f>
        <v/>
      </c>
      <c r="W194" s="48">
        <f>IF(OR($M194="",$T194=""),"",$T194+(W$2*$M194))</f>
        <v/>
      </c>
      <c r="X194" s="49">
        <f>IF(OR($M194="",$T194=""),"",$T194+(X$2*$M194))</f>
        <v/>
      </c>
      <c r="Y194" s="47">
        <f>IF(OR($M194="",$T194=""),"",$T194+(Y$2*$M194))</f>
        <v/>
      </c>
      <c r="Z194" s="49">
        <f>IF(OR($M194="",$T194=""),"",$T194+(Z$2*$M194))</f>
        <v/>
      </c>
      <c r="AA194" s="51">
        <f>IF(OR($M194="",$T194=""),"",$T194+(AA$2*$M194))</f>
        <v/>
      </c>
      <c r="AB194" s="48">
        <f>IF(OR($M194="",$T194=""),"",$T194+(AB$2*$M194))</f>
        <v/>
      </c>
      <c r="AC194" s="48">
        <f>IF(OR($M194="",$T194=""),"",$T194+(AC$2*$M194))</f>
        <v/>
      </c>
      <c r="AD194" s="48">
        <f>IF(OR($M194="",$T194=""),"",$T194+(AD$2*$M194))</f>
        <v/>
      </c>
      <c r="AE194" s="49">
        <f>IF(OR($M194="",$T194=""),"",$T194+(AE$2*$M194))</f>
        <v/>
      </c>
      <c r="AF194" s="52">
        <f>IF(OR(T194="",I194&lt;T194),"",IFERROR(AVERAGE(T194+M194*{7,8,9,10,11})/IF(G194="",I194,G194)-1,""))</f>
        <v/>
      </c>
      <c r="AG194" s="55">
        <f>IF(OR(T194="",I194&lt;T194),"",IFERROR(AF194/-(R194/IF(G194="",I194,G194)-1),""))</f>
        <v/>
      </c>
      <c r="AH194" s="94" t="n">
        <v>1</v>
      </c>
      <c r="AI194" s="94" t="n">
        <v>100.4859356350602</v>
      </c>
      <c r="AJ194" s="94" t="n">
        <v>0</v>
      </c>
      <c r="AK194" s="94" t="inlineStr">
        <is>
          <t>OTT Up Trend</t>
        </is>
      </c>
      <c r="AL194" s="84" t="inlineStr">
        <is>
          <t>DuPont de Nemours, Inc.</t>
        </is>
      </c>
      <c r="AM194" t="inlineStr">
        <is>
          <t>Basic Materials</t>
        </is>
      </c>
      <c r="AN194" t="inlineStr">
        <is>
          <t>Specialty Chemicals</t>
        </is>
      </c>
      <c r="AO194" t="n">
        <v>87</v>
      </c>
    </row>
    <row r="195">
      <c r="A195" s="64" t="inlineStr">
        <is>
          <t>OSK</t>
        </is>
      </c>
      <c r="B195" s="65" t="n"/>
      <c r="C195" s="66" t="n"/>
      <c r="D195" s="67" t="n"/>
      <c r="E195" s="68" t="n"/>
      <c r="F195" s="47">
        <f>IF(A195="","",IF(MIN(H195,MAX(J195:K195))=0,"",MIN(H195,MAX(J195:K195))))</f>
        <v/>
      </c>
      <c r="G195" s="74" t="n"/>
      <c r="H195" s="49">
        <f>IF(M195="","",IFERROR(ROUND(AVERAGE(T195+M195*{7,8,9,10,11})/1.21,4),""))</f>
        <v/>
      </c>
      <c r="I195" s="76" t="n">
        <v>152.25</v>
      </c>
      <c r="J195" s="77" t="n">
        <v>147.2148452847328</v>
      </c>
      <c r="K195" s="74" t="n">
        <v>138.6755016326904</v>
      </c>
      <c r="L195" s="78" t="n">
        <v>121.3042505645752</v>
      </c>
      <c r="M195" s="77" t="n">
        <v>3.954739507966767</v>
      </c>
      <c r="N195" s="53">
        <f>IF(M195="","",IFERROR(M195/I195,""))</f>
        <v/>
      </c>
      <c r="O195" s="50">
        <f>IF(A195="","",IFERROR((IF(G195="",I195,G195)-T195)/M195,""))</f>
        <v/>
      </c>
      <c r="P195" s="50">
        <f>IFERROR((I195/T195-1)/N195,"")</f>
        <v/>
      </c>
      <c r="Q195" s="46">
        <f>IF(OR(T195="",I195&lt;T195),"",IFERROR(R195/IF(G195="",I195,G195)-1,""))</f>
        <v/>
      </c>
      <c r="R195" s="48">
        <f>IF($M195="","",MAX(IF($G195="",$I195,$G195)*(1/1.1),IF($G195="",$I195,$G195)+(R$2*$M195)))</f>
        <v/>
      </c>
      <c r="S195" s="49">
        <f>IF($M195="","",MAX(IF($G195="",$I195,$G195)*(1/1.1),IF($G195="",$I195,$G195)+(S$2*$M195)))</f>
        <v/>
      </c>
      <c r="T195" s="82" t="n">
        <v>131.2096006774902</v>
      </c>
      <c r="U195" s="47">
        <f>IF(OR($M195="",$T195=""),"",$T195+(U$2*$M195))</f>
        <v/>
      </c>
      <c r="V195" s="48">
        <f>IF(OR($M195="",$T195=""),"",$T195+(V$2*$M195))</f>
        <v/>
      </c>
      <c r="W195" s="48">
        <f>IF(OR($M195="",$T195=""),"",$T195+(W$2*$M195))</f>
        <v/>
      </c>
      <c r="X195" s="49">
        <f>IF(OR($M195="",$T195=""),"",$T195+(X$2*$M195))</f>
        <v/>
      </c>
      <c r="Y195" s="47">
        <f>IF(OR($M195="",$T195=""),"",$T195+(Y$2*$M195))</f>
        <v/>
      </c>
      <c r="Z195" s="49">
        <f>IF(OR($M195="",$T195=""),"",$T195+(Z$2*$M195))</f>
        <v/>
      </c>
      <c r="AA195" s="51">
        <f>IF(OR($M195="",$T195=""),"",$T195+(AA$2*$M195))</f>
        <v/>
      </c>
      <c r="AB195" s="48">
        <f>IF(OR($M195="",$T195=""),"",$T195+(AB$2*$M195))</f>
        <v/>
      </c>
      <c r="AC195" s="48">
        <f>IF(OR($M195="",$T195=""),"",$T195+(AC$2*$M195))</f>
        <v/>
      </c>
      <c r="AD195" s="48">
        <f>IF(OR($M195="",$T195=""),"",$T195+(AD$2*$M195))</f>
        <v/>
      </c>
      <c r="AE195" s="49">
        <f>IF(OR($M195="",$T195=""),"",$T195+(AE$2*$M195))</f>
        <v/>
      </c>
      <c r="AF195" s="52">
        <f>IF(OR(T195="",I195&lt;T195),"",IFERROR(AVERAGE(T195+M195*{7,8,9,10,11})/IF(G195="",I195,G195)-1,""))</f>
        <v/>
      </c>
      <c r="AG195" s="55">
        <f>IF(OR(T195="",I195&lt;T195),"",IFERROR(AF195/-(R195/IF(G195="",I195,G195)-1),""))</f>
        <v/>
      </c>
      <c r="AH195" s="94" t="n">
        <v>1</v>
      </c>
      <c r="AI195" s="94" t="n">
        <v>161.8955744383213</v>
      </c>
      <c r="AJ195" s="94" t="n">
        <v>1</v>
      </c>
      <c r="AK195" s="94" t="inlineStr">
        <is>
          <t>OTT Up Trend</t>
        </is>
      </c>
      <c r="AL195" s="84" t="inlineStr">
        <is>
          <t>Oshkosh Corporation (Holding Co</t>
        </is>
      </c>
      <c r="AM195" t="inlineStr">
        <is>
          <t>Industrials</t>
        </is>
      </c>
      <c r="AN195" t="inlineStr">
        <is>
          <t>Farm &amp; Heavy Construction Machinery</t>
        </is>
      </c>
      <c r="AO195" t="n">
        <v>87</v>
      </c>
    </row>
    <row r="196">
      <c r="A196" s="64" t="inlineStr">
        <is>
          <t>PATK</t>
        </is>
      </c>
      <c r="B196" s="65" t="n"/>
      <c r="C196" s="66" t="n"/>
      <c r="D196" s="67" t="n"/>
      <c r="E196" s="68" t="n"/>
      <c r="F196" s="47">
        <f>IF(A196="","",IF(MIN(H196,MAX(J196:K196))=0,"",MIN(H196,MAX(J196:K196))))</f>
        <v/>
      </c>
      <c r="G196" s="74" t="n"/>
      <c r="H196" s="49">
        <f>IF(M196="","",IFERROR(ROUND(AVERAGE(T196+M196*{7,8,9,10,11})/1.21,4),""))</f>
        <v/>
      </c>
      <c r="I196" s="76" t="n">
        <v>128.1499938964844</v>
      </c>
      <c r="J196" s="77" t="n">
        <v>119.7895838685367</v>
      </c>
      <c r="K196" s="74" t="n">
        <v>114.7684997558594</v>
      </c>
      <c r="L196" s="78" t="n">
        <v>99.61234981536865</v>
      </c>
      <c r="M196" s="77" t="n">
        <v>3.419221803100822</v>
      </c>
      <c r="N196" s="53">
        <f>IF(M196="","",IFERROR(M196/I196,""))</f>
        <v/>
      </c>
      <c r="O196" s="50">
        <f>IF(A196="","",IFERROR((IF(G196="",I196,G196)-T196)/M196,""))</f>
        <v/>
      </c>
      <c r="P196" s="50">
        <f>IFERROR((I196/T196-1)/N196,"")</f>
        <v/>
      </c>
      <c r="Q196" s="46">
        <f>IF(OR(T196="",I196&lt;T196),"",IFERROR(R196/IF(G196="",I196,G196)-1,""))</f>
        <v/>
      </c>
      <c r="R196" s="48">
        <f>IF($M196="","",MAX(IF($G196="",$I196,$G196)*(1/1.1),IF($G196="",$I196,$G196)+(R$2*$M196)))</f>
        <v/>
      </c>
      <c r="S196" s="49">
        <f>IF($M196="","",MAX(IF($G196="",$I196,$G196)*(1/1.1),IF($G196="",$I196,$G196)+(S$2*$M196)))</f>
        <v/>
      </c>
      <c r="T196" s="82" t="n">
        <v>109.7833999633789</v>
      </c>
      <c r="U196" s="47">
        <f>IF(OR($M196="",$T196=""),"",$T196+(U$2*$M196))</f>
        <v/>
      </c>
      <c r="V196" s="48">
        <f>IF(OR($M196="",$T196=""),"",$T196+(V$2*$M196))</f>
        <v/>
      </c>
      <c r="W196" s="48">
        <f>IF(OR($M196="",$T196=""),"",$T196+(W$2*$M196))</f>
        <v/>
      </c>
      <c r="X196" s="49">
        <f>IF(OR($M196="",$T196=""),"",$T196+(X$2*$M196))</f>
        <v/>
      </c>
      <c r="Y196" s="47">
        <f>IF(OR($M196="",$T196=""),"",$T196+(Y$2*$M196))</f>
        <v/>
      </c>
      <c r="Z196" s="49">
        <f>IF(OR($M196="",$T196=""),"",$T196+(Z$2*$M196))</f>
        <v/>
      </c>
      <c r="AA196" s="51">
        <f>IF(OR($M196="",$T196=""),"",$T196+(AA$2*$M196))</f>
        <v/>
      </c>
      <c r="AB196" s="48">
        <f>IF(OR($M196="",$T196=""),"",$T196+(AB$2*$M196))</f>
        <v/>
      </c>
      <c r="AC196" s="48">
        <f>IF(OR($M196="",$T196=""),"",$T196+(AC$2*$M196))</f>
        <v/>
      </c>
      <c r="AD196" s="48">
        <f>IF(OR($M196="",$T196=""),"",$T196+(AD$2*$M196))</f>
        <v/>
      </c>
      <c r="AE196" s="49">
        <f>IF(OR($M196="",$T196=""),"",$T196+(AE$2*$M196))</f>
        <v/>
      </c>
      <c r="AF196" s="52">
        <f>IF(OR(T196="",I196&lt;T196),"",IFERROR(AVERAGE(T196+M196*{7,8,9,10,11})/IF(G196="",I196,G196)-1,""))</f>
        <v/>
      </c>
      <c r="AG196" s="55">
        <f>IF(OR(T196="",I196&lt;T196),"",IFERROR(AF196/-(R196/IF(G196="",I196,G196)-1),""))</f>
        <v/>
      </c>
      <c r="AH196" s="94" t="n">
        <v>1</v>
      </c>
      <c r="AI196" s="94" t="n">
        <v>115.8789911672235</v>
      </c>
      <c r="AJ196" s="94" t="n">
        <v>1</v>
      </c>
      <c r="AK196" s="94" t="inlineStr">
        <is>
          <t>OTT Up Trend</t>
        </is>
      </c>
      <c r="AL196" s="84" t="inlineStr">
        <is>
          <t>Patrick Industries, Inc.</t>
        </is>
      </c>
      <c r="AM196" t="inlineStr">
        <is>
          <t>Consumer Cyclical</t>
        </is>
      </c>
      <c r="AN196" t="inlineStr">
        <is>
          <t>Recreational Vehicles</t>
        </is>
      </c>
      <c r="AO196" t="n">
        <v>87</v>
      </c>
    </row>
    <row r="197">
      <c r="A197" s="64" t="inlineStr">
        <is>
          <t>IDXX</t>
        </is>
      </c>
      <c r="B197" s="65" t="n"/>
      <c r="C197" s="66" t="n"/>
      <c r="D197" s="67" t="n"/>
      <c r="E197" s="68" t="n"/>
      <c r="F197" s="47">
        <f>IF(A197="","",IF(MIN(H197,MAX(J197:K197))=0,"",MIN(H197,MAX(J197:K197))))</f>
        <v/>
      </c>
      <c r="G197" s="74" t="n"/>
      <c r="H197" s="49">
        <f>IF(M197="","",IFERROR(ROUND(AVERAGE(T197+M197*{7,8,9,10,11})/1.21,4),""))</f>
        <v/>
      </c>
      <c r="I197" s="76" t="n">
        <v>715.3699951171875</v>
      </c>
      <c r="J197" s="77" t="n">
        <v>709.2923557910117</v>
      </c>
      <c r="K197" s="74" t="n">
        <v>699.0689971923828</v>
      </c>
      <c r="L197" s="78" t="n">
        <v>597.1858491516114</v>
      </c>
      <c r="M197" s="77" t="n">
        <v>15.72146838265291</v>
      </c>
      <c r="N197" s="53">
        <f>IF(M197="","",IFERROR(M197/I197,""))</f>
        <v/>
      </c>
      <c r="O197" s="50">
        <f>IF(A197="","",IFERROR((IF(G197="",I197,G197)-T197)/M197,""))</f>
        <v/>
      </c>
      <c r="P197" s="50">
        <f>IFERROR((I197/T197-1)/N197,"")</f>
        <v/>
      </c>
      <c r="Q197" s="46">
        <f>IF(OR(T197="",I197&lt;T197),"",IFERROR(R197/IF(G197="",I197,G197)-1,""))</f>
        <v/>
      </c>
      <c r="R197" s="48">
        <f>IF($M197="","",MAX(IF($G197="",$I197,$G197)*(1/1.1),IF($G197="",$I197,$G197)+(R$2*$M197)))</f>
        <v/>
      </c>
      <c r="S197" s="49">
        <f>IF($M197="","",MAX(IF($G197="",$I197,$G197)*(1/1.1),IF($G197="",$I197,$G197)+(S$2*$M197)))</f>
        <v/>
      </c>
      <c r="T197" s="82" t="n">
        <v>707.1561962890624</v>
      </c>
      <c r="U197" s="47">
        <f>IF(OR($M197="",$T197=""),"",$T197+(U$2*$M197))</f>
        <v/>
      </c>
      <c r="V197" s="48">
        <f>IF(OR($M197="",$T197=""),"",$T197+(V$2*$M197))</f>
        <v/>
      </c>
      <c r="W197" s="48">
        <f>IF(OR($M197="",$T197=""),"",$T197+(W$2*$M197))</f>
        <v/>
      </c>
      <c r="X197" s="49">
        <f>IF(OR($M197="",$T197=""),"",$T197+(X$2*$M197))</f>
        <v/>
      </c>
      <c r="Y197" s="47">
        <f>IF(OR($M197="",$T197=""),"",$T197+(Y$2*$M197))</f>
        <v/>
      </c>
      <c r="Z197" s="49">
        <f>IF(OR($M197="",$T197=""),"",$T197+(Z$2*$M197))</f>
        <v/>
      </c>
      <c r="AA197" s="51">
        <f>IF(OR($M197="",$T197=""),"",$T197+(AA$2*$M197))</f>
        <v/>
      </c>
      <c r="AB197" s="48">
        <f>IF(OR($M197="",$T197=""),"",$T197+(AB$2*$M197))</f>
        <v/>
      </c>
      <c r="AC197" s="48">
        <f>IF(OR($M197="",$T197=""),"",$T197+(AC$2*$M197))</f>
        <v/>
      </c>
      <c r="AD197" s="48">
        <f>IF(OR($M197="",$T197=""),"",$T197+(AD$2*$M197))</f>
        <v/>
      </c>
      <c r="AE197" s="49">
        <f>IF(OR($M197="",$T197=""),"",$T197+(AE$2*$M197))</f>
        <v/>
      </c>
      <c r="AF197" s="52">
        <f>IF(OR(T197="",I197&lt;T197),"",IFERROR(AVERAGE(T197+M197*{7,8,9,10,11})/IF(G197="",I197,G197)-1,""))</f>
        <v/>
      </c>
      <c r="AG197" s="55">
        <f>IF(OR(T197="",I197&lt;T197),"",IFERROR(AF197/-(R197/IF(G197="",I197,G197)-1),""))</f>
        <v/>
      </c>
      <c r="AH197" s="94" t="n">
        <v>1</v>
      </c>
      <c r="AI197" s="94" t="n">
        <v>25.93607614579805</v>
      </c>
      <c r="AJ197" s="94" t="n">
        <v>1</v>
      </c>
      <c r="AK197" s="94" t="inlineStr">
        <is>
          <t>OTT Turned Up</t>
        </is>
      </c>
      <c r="AL197" s="84" t="inlineStr">
        <is>
          <t>IDEXX Laboratories, Inc.</t>
        </is>
      </c>
      <c r="AM197" t="inlineStr">
        <is>
          <t>Healthcare</t>
        </is>
      </c>
      <c r="AN197" t="inlineStr">
        <is>
          <t>Diagnostics &amp; Research</t>
        </is>
      </c>
      <c r="AO197" t="n">
        <v>87</v>
      </c>
    </row>
    <row r="198">
      <c r="A198" s="64" t="inlineStr">
        <is>
          <t>DCI</t>
        </is>
      </c>
      <c r="B198" s="65" t="n"/>
      <c r="C198" s="66" t="n"/>
      <c r="D198" s="67" t="n"/>
      <c r="E198" s="68" t="n"/>
      <c r="F198" s="47">
        <f>IF(A198="","",IF(MIN(H198,MAX(J198:K198))=0,"",MIN(H198,MAX(J198:K198))))</f>
        <v/>
      </c>
      <c r="G198" s="74" t="n"/>
      <c r="H198" s="49">
        <f>IF(M198="","",IFERROR(ROUND(AVERAGE(T198+M198*{7,8,9,10,11})/1.21,4),""))</f>
        <v/>
      </c>
      <c r="I198" s="76" t="n">
        <v>101.5599975585938</v>
      </c>
      <c r="J198" s="77" t="n">
        <v>96.64393384121131</v>
      </c>
      <c r="K198" s="74" t="n">
        <v>93.35250015258789</v>
      </c>
      <c r="L198" s="78" t="n">
        <v>77.66290016174317</v>
      </c>
      <c r="M198" s="77" t="n">
        <v>1.771777944818298</v>
      </c>
      <c r="N198" s="53">
        <f>IF(M198="","",IFERROR(M198/I198,""))</f>
        <v/>
      </c>
      <c r="O198" s="50">
        <f>IF(A198="","",IFERROR((IF(G198="",I198,G198)-T198)/M198,""))</f>
        <v/>
      </c>
      <c r="P198" s="50">
        <f>IFERROR((I198/T198-1)/N198,"")</f>
        <v/>
      </c>
      <c r="Q198" s="46">
        <f>IF(OR(T198="",I198&lt;T198),"",IFERROR(R198/IF(G198="",I198,G198)-1,""))</f>
        <v/>
      </c>
      <c r="R198" s="48">
        <f>IF($M198="","",MAX(IF($G198="",$I198,$G198)*(1/1.1),IF($G198="",$I198,$G198)+(R$2*$M198)))</f>
        <v/>
      </c>
      <c r="S198" s="49">
        <f>IF($M198="","",MAX(IF($G198="",$I198,$G198)*(1/1.1),IF($G198="",$I198,$G198)+(S$2*$M198)))</f>
        <v/>
      </c>
      <c r="T198" s="82" t="n">
        <v>90.67040008544922</v>
      </c>
      <c r="U198" s="47">
        <f>IF(OR($M198="",$T198=""),"",$T198+(U$2*$M198))</f>
        <v/>
      </c>
      <c r="V198" s="48">
        <f>IF(OR($M198="",$T198=""),"",$T198+(V$2*$M198))</f>
        <v/>
      </c>
      <c r="W198" s="48">
        <f>IF(OR($M198="",$T198=""),"",$T198+(W$2*$M198))</f>
        <v/>
      </c>
      <c r="X198" s="49">
        <f>IF(OR($M198="",$T198=""),"",$T198+(X$2*$M198))</f>
        <v/>
      </c>
      <c r="Y198" s="47">
        <f>IF(OR($M198="",$T198=""),"",$T198+(Y$2*$M198))</f>
        <v/>
      </c>
      <c r="Z198" s="49">
        <f>IF(OR($M198="",$T198=""),"",$T198+(Z$2*$M198))</f>
        <v/>
      </c>
      <c r="AA198" s="51">
        <f>IF(OR($M198="",$T198=""),"",$T198+(AA$2*$M198))</f>
        <v/>
      </c>
      <c r="AB198" s="48">
        <f>IF(OR($M198="",$T198=""),"",$T198+(AB$2*$M198))</f>
        <v/>
      </c>
      <c r="AC198" s="48">
        <f>IF(OR($M198="",$T198=""),"",$T198+(AC$2*$M198))</f>
        <v/>
      </c>
      <c r="AD198" s="48">
        <f>IF(OR($M198="",$T198=""),"",$T198+(AD$2*$M198))</f>
        <v/>
      </c>
      <c r="AE198" s="49">
        <f>IF(OR($M198="",$T198=""),"",$T198+(AE$2*$M198))</f>
        <v/>
      </c>
      <c r="AF198" s="52">
        <f>IF(OR(T198="",I198&lt;T198),"",IFERROR(AVERAGE(T198+M198*{7,8,9,10,11})/IF(G198="",I198,G198)-1,""))</f>
        <v/>
      </c>
      <c r="AG198" s="55">
        <f>IF(OR(T198="",I198&lt;T198),"",IFERROR(AF198/-(R198/IF(G198="",I198,G198)-1),""))</f>
        <v/>
      </c>
      <c r="AH198" s="94" t="n">
        <v>1</v>
      </c>
      <c r="AI198" s="94" t="n">
        <v>145.5111581176046</v>
      </c>
      <c r="AJ198" s="94" t="n">
        <v>1</v>
      </c>
      <c r="AK198" s="94" t="inlineStr">
        <is>
          <t>OTT Up Trend</t>
        </is>
      </c>
      <c r="AL198" s="84" t="inlineStr">
        <is>
          <t>Donaldson Company, Inc.</t>
        </is>
      </c>
      <c r="AM198" t="inlineStr">
        <is>
          <t>Industrials</t>
        </is>
      </c>
      <c r="AN198" t="inlineStr">
        <is>
          <t>Specialty Industrial Machinery</t>
        </is>
      </c>
      <c r="AO198" t="n">
        <v>87</v>
      </c>
    </row>
    <row r="199">
      <c r="A199" s="64" t="inlineStr">
        <is>
          <t>JAZZ</t>
        </is>
      </c>
      <c r="B199" s="65" t="n"/>
      <c r="C199" s="66" t="n"/>
      <c r="D199" s="67" t="n"/>
      <c r="E199" s="68" t="n"/>
      <c r="F199" s="47">
        <f>IF(A199="","",IF(MIN(H199,MAX(J199:K199))=0,"",MIN(H199,MAX(J199:K199))))</f>
        <v/>
      </c>
      <c r="G199" s="74" t="n"/>
      <c r="H199" s="49">
        <f>IF(M199="","",IFERROR(ROUND(AVERAGE(T199+M199*{7,8,9,10,11})/1.21,4),""))</f>
        <v/>
      </c>
      <c r="I199" s="76" t="n">
        <v>169.4100036621094</v>
      </c>
      <c r="J199" s="77" t="n">
        <v>167.7905081248927</v>
      </c>
      <c r="K199" s="74" t="n">
        <v>168.375</v>
      </c>
      <c r="L199" s="78" t="n">
        <v>129.7042504501343</v>
      </c>
      <c r="M199" s="77" t="n">
        <v>5.563430933848856</v>
      </c>
      <c r="N199" s="53">
        <f>IF(M199="","",IFERROR(M199/I199,""))</f>
        <v/>
      </c>
      <c r="O199" s="50">
        <f>IF(A199="","",IFERROR((IF(G199="",I199,G199)-T199)/M199,""))</f>
        <v/>
      </c>
      <c r="P199" s="50">
        <f>IFERROR((I199/T199-1)/N199,"")</f>
        <v/>
      </c>
      <c r="Q199" s="46">
        <f>IF(OR(T199="",I199&lt;T199),"",IFERROR(R199/IF(G199="",I199,G199)-1,""))</f>
        <v/>
      </c>
      <c r="R199" s="48">
        <f>IF($M199="","",MAX(IF($G199="",$I199,$G199)*(1/1.1),IF($G199="",$I199,$G199)+(R$2*$M199)))</f>
        <v/>
      </c>
      <c r="S199" s="49">
        <f>IF($M199="","",MAX(IF($G199="",$I199,$G199)*(1/1.1),IF($G199="",$I199,$G199)+(S$2*$M199)))</f>
        <v/>
      </c>
      <c r="T199" s="82" t="n">
        <v>164.5752005004883</v>
      </c>
      <c r="U199" s="47">
        <f>IF(OR($M199="",$T199=""),"",$T199+(U$2*$M199))</f>
        <v/>
      </c>
      <c r="V199" s="48">
        <f>IF(OR($M199="",$T199=""),"",$T199+(V$2*$M199))</f>
        <v/>
      </c>
      <c r="W199" s="48">
        <f>IF(OR($M199="",$T199=""),"",$T199+(W$2*$M199))</f>
        <v/>
      </c>
      <c r="X199" s="49">
        <f>IF(OR($M199="",$T199=""),"",$T199+(X$2*$M199))</f>
        <v/>
      </c>
      <c r="Y199" s="47">
        <f>IF(OR($M199="",$T199=""),"",$T199+(Y$2*$M199))</f>
        <v/>
      </c>
      <c r="Z199" s="49">
        <f>IF(OR($M199="",$T199=""),"",$T199+(Z$2*$M199))</f>
        <v/>
      </c>
      <c r="AA199" s="51">
        <f>IF(OR($M199="",$T199=""),"",$T199+(AA$2*$M199))</f>
        <v/>
      </c>
      <c r="AB199" s="48">
        <f>IF(OR($M199="",$T199=""),"",$T199+(AB$2*$M199))</f>
        <v/>
      </c>
      <c r="AC199" s="48">
        <f>IF(OR($M199="",$T199=""),"",$T199+(AC$2*$M199))</f>
        <v/>
      </c>
      <c r="AD199" s="48">
        <f>IF(OR($M199="",$T199=""),"",$T199+(AD$2*$M199))</f>
        <v/>
      </c>
      <c r="AE199" s="49">
        <f>IF(OR($M199="",$T199=""),"",$T199+(AE$2*$M199))</f>
        <v/>
      </c>
      <c r="AF199" s="52">
        <f>IF(OR(T199="",I199&lt;T199),"",IFERROR(AVERAGE(T199+M199*{7,8,9,10,11})/IF(G199="",I199,G199)-1,""))</f>
        <v/>
      </c>
      <c r="AG199" s="55">
        <f>IF(OR(T199="",I199&lt;T199),"",IFERROR(AF199/-(R199/IF(G199="",I199,G199)-1),""))</f>
        <v/>
      </c>
      <c r="AH199" s="94" t="n">
        <v>-1</v>
      </c>
      <c r="AI199" s="94" t="n">
        <v>14.53924061232247</v>
      </c>
      <c r="AJ199" s="94" t="n">
        <v>0</v>
      </c>
      <c r="AK199" s="94" t="inlineStr">
        <is>
          <t>None</t>
        </is>
      </c>
      <c r="AL199" s="84" t="inlineStr">
        <is>
          <t>Jazz Pharmaceuticals plc</t>
        </is>
      </c>
      <c r="AM199" t="inlineStr">
        <is>
          <t>Healthcare</t>
        </is>
      </c>
      <c r="AN199" t="inlineStr">
        <is>
          <t>Biotechnology</t>
        </is>
      </c>
      <c r="AO199" t="n">
        <v>87</v>
      </c>
    </row>
    <row r="200">
      <c r="A200" s="64" t="inlineStr">
        <is>
          <t>GE</t>
        </is>
      </c>
      <c r="B200" s="65" t="n"/>
      <c r="C200" s="66" t="n"/>
      <c r="D200" s="67" t="n"/>
      <c r="E200" s="68" t="n"/>
      <c r="F200" s="47">
        <f>IF(A200="","",IF(MIN(H200,MAX(J200:K200))=0,"",MIN(H200,MAX(J200:K200))))</f>
        <v/>
      </c>
      <c r="G200" s="74" t="n"/>
      <c r="H200" s="49">
        <f>IF(M200="","",IFERROR(ROUND(AVERAGE(T200+M200*{7,8,9,10,11})/1.21,4),""))</f>
        <v/>
      </c>
      <c r="I200" s="76" t="n">
        <v>325.1199951171875</v>
      </c>
      <c r="J200" s="77" t="n">
        <v>320.9823878561673</v>
      </c>
      <c r="K200" s="74" t="n">
        <v>317.5035034179688</v>
      </c>
      <c r="L200" s="78" t="n">
        <v>268.5700504302978</v>
      </c>
      <c r="M200" s="77" t="n">
        <v>7.776199330863589</v>
      </c>
      <c r="N200" s="53">
        <f>IF(M200="","",IFERROR(M200/I200,""))</f>
        <v/>
      </c>
      <c r="O200" s="50">
        <f>IF(A200="","",IFERROR((IF(G200="",I200,G200)-T200)/M200,""))</f>
        <v/>
      </c>
      <c r="P200" s="50">
        <f>IFERROR((I200/T200-1)/N200,"")</f>
        <v/>
      </c>
      <c r="Q200" s="46">
        <f>IF(OR(T200="",I200&lt;T200),"",IFERROR(R200/IF(G200="",I200,G200)-1,""))</f>
        <v/>
      </c>
      <c r="R200" s="48">
        <f>IF($M200="","",MAX(IF($G200="",$I200,$G200)*(1/1.1),IF($G200="",$I200,$G200)+(R$2*$M200)))</f>
        <v/>
      </c>
      <c r="S200" s="49">
        <f>IF($M200="","",MAX(IF($G200="",$I200,$G200)*(1/1.1),IF($G200="",$I200,$G200)+(S$2*$M200)))</f>
        <v/>
      </c>
      <c r="T200" s="82" t="n">
        <v>304.8850018310547</v>
      </c>
      <c r="U200" s="47">
        <f>IF(OR($M200="",$T200=""),"",$T200+(U$2*$M200))</f>
        <v/>
      </c>
      <c r="V200" s="48">
        <f>IF(OR($M200="",$T200=""),"",$T200+(V$2*$M200))</f>
        <v/>
      </c>
      <c r="W200" s="48">
        <f>IF(OR($M200="",$T200=""),"",$T200+(W$2*$M200))</f>
        <v/>
      </c>
      <c r="X200" s="49">
        <f>IF(OR($M200="",$T200=""),"",$T200+(X$2*$M200))</f>
        <v/>
      </c>
      <c r="Y200" s="47">
        <f>IF(OR($M200="",$T200=""),"",$T200+(Y$2*$M200))</f>
        <v/>
      </c>
      <c r="Z200" s="49">
        <f>IF(OR($M200="",$T200=""),"",$T200+(Z$2*$M200))</f>
        <v/>
      </c>
      <c r="AA200" s="51">
        <f>IF(OR($M200="",$T200=""),"",$T200+(AA$2*$M200))</f>
        <v/>
      </c>
      <c r="AB200" s="48">
        <f>IF(OR($M200="",$T200=""),"",$T200+(AB$2*$M200))</f>
        <v/>
      </c>
      <c r="AC200" s="48">
        <f>IF(OR($M200="",$T200=""),"",$T200+(AC$2*$M200))</f>
        <v/>
      </c>
      <c r="AD200" s="48">
        <f>IF(OR($M200="",$T200=""),"",$T200+(AD$2*$M200))</f>
        <v/>
      </c>
      <c r="AE200" s="49">
        <f>IF(OR($M200="",$T200=""),"",$T200+(AE$2*$M200))</f>
        <v/>
      </c>
      <c r="AF200" s="52">
        <f>IF(OR(T200="",I200&lt;T200),"",IFERROR(AVERAGE(T200+M200*{7,8,9,10,11})/IF(G200="",I200,G200)-1,""))</f>
        <v/>
      </c>
      <c r="AG200" s="55">
        <f>IF(OR(T200="",I200&lt;T200),"",IFERROR(AF200/-(R200/IF(G200="",I200,G200)-1),""))</f>
        <v/>
      </c>
      <c r="AH200" s="94" t="n">
        <v>1</v>
      </c>
      <c r="AI200" s="94" t="n">
        <v>77.47302854859407</v>
      </c>
      <c r="AJ200" s="94" t="n">
        <v>0</v>
      </c>
      <c r="AK200" s="94" t="inlineStr">
        <is>
          <t>OTT Up Trend</t>
        </is>
      </c>
      <c r="AL200" s="84" t="inlineStr">
        <is>
          <t>GE Aerospace</t>
        </is>
      </c>
      <c r="AM200" t="inlineStr">
        <is>
          <t>Industrials</t>
        </is>
      </c>
      <c r="AN200" t="inlineStr">
        <is>
          <t>Aerospace &amp; Defense</t>
        </is>
      </c>
      <c r="AO200" t="n">
        <v>87</v>
      </c>
    </row>
    <row r="201">
      <c r="A201" s="64" t="inlineStr">
        <is>
          <t>NOV</t>
        </is>
      </c>
      <c r="B201" s="65" t="n"/>
      <c r="C201" s="66" t="n"/>
      <c r="D201" s="67" t="n"/>
      <c r="E201" s="68" t="n"/>
      <c r="F201" s="47">
        <f>IF(A201="","",IF(MIN(H201,MAX(J201:K201))=0,"",MIN(H201,MAX(J201:K201))))</f>
        <v/>
      </c>
      <c r="G201" s="74" t="n"/>
      <c r="H201" s="49">
        <f>IF(M201="","",IFERROR(ROUND(AVERAGE(T201+M201*{7,8,9,10,11})/1.21,4),""))</f>
        <v/>
      </c>
      <c r="I201" s="76" t="n">
        <v>18</v>
      </c>
      <c r="J201" s="77" t="n">
        <v>17.42267973581144</v>
      </c>
      <c r="K201" s="74" t="n">
        <v>16.62399997711181</v>
      </c>
      <c r="L201" s="78" t="n">
        <v>13.66589997291565</v>
      </c>
      <c r="M201" s="77" t="n">
        <v>0.5471533082028756</v>
      </c>
      <c r="N201" s="53">
        <f>IF(M201="","",IFERROR(M201/I201,""))</f>
        <v/>
      </c>
      <c r="O201" s="50">
        <f>IF(A201="","",IFERROR((IF(G201="",I201,G201)-T201)/M201,""))</f>
        <v/>
      </c>
      <c r="P201" s="50">
        <f>IFERROR((I201/T201-1)/N201,"")</f>
        <v/>
      </c>
      <c r="Q201" s="46">
        <f>IF(OR(T201="",I201&lt;T201),"",IFERROR(R201/IF(G201="",I201,G201)-1,""))</f>
        <v/>
      </c>
      <c r="R201" s="48">
        <f>IF($M201="","",MAX(IF($G201="",$I201,$G201)*(1/1.1),IF($G201="",$I201,$G201)+(R$2*$M201)))</f>
        <v/>
      </c>
      <c r="S201" s="49">
        <f>IF($M201="","",MAX(IF($G201="",$I201,$G201)*(1/1.1),IF($G201="",$I201,$G201)+(S$2*$M201)))</f>
        <v/>
      </c>
      <c r="T201" s="82" t="n">
        <v>15.99419994354248</v>
      </c>
      <c r="U201" s="47">
        <f>IF(OR($M201="",$T201=""),"",$T201+(U$2*$M201))</f>
        <v/>
      </c>
      <c r="V201" s="48">
        <f>IF(OR($M201="",$T201=""),"",$T201+(V$2*$M201))</f>
        <v/>
      </c>
      <c r="W201" s="48">
        <f>IF(OR($M201="",$T201=""),"",$T201+(W$2*$M201))</f>
        <v/>
      </c>
      <c r="X201" s="49">
        <f>IF(OR($M201="",$T201=""),"",$T201+(X$2*$M201))</f>
        <v/>
      </c>
      <c r="Y201" s="47">
        <f>IF(OR($M201="",$T201=""),"",$T201+(Y$2*$M201))</f>
        <v/>
      </c>
      <c r="Z201" s="49">
        <f>IF(OR($M201="",$T201=""),"",$T201+(Z$2*$M201))</f>
        <v/>
      </c>
      <c r="AA201" s="51">
        <f>IF(OR($M201="",$T201=""),"",$T201+(AA$2*$M201))</f>
        <v/>
      </c>
      <c r="AB201" s="48">
        <f>IF(OR($M201="",$T201=""),"",$T201+(AB$2*$M201))</f>
        <v/>
      </c>
      <c r="AC201" s="48">
        <f>IF(OR($M201="",$T201=""),"",$T201+(AC$2*$M201))</f>
        <v/>
      </c>
      <c r="AD201" s="48">
        <f>IF(OR($M201="",$T201=""),"",$T201+(AD$2*$M201))</f>
        <v/>
      </c>
      <c r="AE201" s="49">
        <f>IF(OR($M201="",$T201=""),"",$T201+(AE$2*$M201))</f>
        <v/>
      </c>
      <c r="AF201" s="52">
        <f>IF(OR(T201="",I201&lt;T201),"",IFERROR(AVERAGE(T201+M201*{7,8,9,10,11})/IF(G201="",I201,G201)-1,""))</f>
        <v/>
      </c>
      <c r="AG201" s="55">
        <f>IF(OR(T201="",I201&lt;T201),"",IFERROR(AF201/-(R201/IF(G201="",I201,G201)-1),""))</f>
        <v/>
      </c>
      <c r="AH201" s="94" t="n">
        <v>1</v>
      </c>
      <c r="AI201" s="94" t="n">
        <v>114.4009633393244</v>
      </c>
      <c r="AJ201" s="94" t="n">
        <v>1</v>
      </c>
      <c r="AK201" s="94" t="inlineStr">
        <is>
          <t>OTT Up Trend</t>
        </is>
      </c>
      <c r="AL201" s="84" t="inlineStr">
        <is>
          <t>NOV Inc.</t>
        </is>
      </c>
      <c r="AM201" t="inlineStr">
        <is>
          <t>Energy</t>
        </is>
      </c>
      <c r="AN201" t="inlineStr">
        <is>
          <t>Oil &amp; Gas Equipment &amp; Services</t>
        </is>
      </c>
      <c r="AO201" t="n">
        <v>86</v>
      </c>
    </row>
    <row r="202">
      <c r="A202" s="64" t="inlineStr">
        <is>
          <t>LHX</t>
        </is>
      </c>
      <c r="B202" s="65" t="n"/>
      <c r="C202" s="66" t="n"/>
      <c r="D202" s="67" t="n"/>
      <c r="E202" s="68" t="n"/>
      <c r="F202" s="47">
        <f>IF(A202="","",IF(MIN(H202,MAX(J202:K202))=0,"",MIN(H202,MAX(J202:K202))))</f>
        <v/>
      </c>
      <c r="G202" s="74" t="n"/>
      <c r="H202" s="49">
        <f>IF(M202="","",IFERROR(ROUND(AVERAGE(T202+M202*{7,8,9,10,11})/1.21,4),""))</f>
        <v/>
      </c>
      <c r="I202" s="76" t="n">
        <v>346.4599914550781</v>
      </c>
      <c r="J202" s="77" t="n">
        <v>331.5023278495956</v>
      </c>
      <c r="K202" s="74" t="n">
        <v>312.8115005493164</v>
      </c>
      <c r="L202" s="78" t="n">
        <v>268.2125503540039</v>
      </c>
      <c r="M202" s="77" t="n">
        <v>9.422457513817328</v>
      </c>
      <c r="N202" s="53">
        <f>IF(M202="","",IFERROR(M202/I202,""))</f>
        <v/>
      </c>
      <c r="O202" s="50">
        <f>IF(A202="","",IFERROR((IF(G202="",I202,G202)-T202)/M202,""))</f>
        <v/>
      </c>
      <c r="P202" s="50">
        <f>IFERROR((I202/T202-1)/N202,"")</f>
        <v/>
      </c>
      <c r="Q202" s="46">
        <f>IF(OR(T202="",I202&lt;T202),"",IFERROR(R202/IF(G202="",I202,G202)-1,""))</f>
        <v/>
      </c>
      <c r="R202" s="48">
        <f>IF($M202="","",MAX(IF($G202="",$I202,$G202)*(1/1.1),IF($G202="",$I202,$G202)+(R$2*$M202)))</f>
        <v/>
      </c>
      <c r="S202" s="49">
        <f>IF($M202="","",MAX(IF($G202="",$I202,$G202)*(1/1.1),IF($G202="",$I202,$G202)+(S$2*$M202)))</f>
        <v/>
      </c>
      <c r="T202" s="82" t="n">
        <v>295.5508001708984</v>
      </c>
      <c r="U202" s="47">
        <f>IF(OR($M202="",$T202=""),"",$T202+(U$2*$M202))</f>
        <v/>
      </c>
      <c r="V202" s="48">
        <f>IF(OR($M202="",$T202=""),"",$T202+(V$2*$M202))</f>
        <v/>
      </c>
      <c r="W202" s="48">
        <f>IF(OR($M202="",$T202=""),"",$T202+(W$2*$M202))</f>
        <v/>
      </c>
      <c r="X202" s="49">
        <f>IF(OR($M202="",$T202=""),"",$T202+(X$2*$M202))</f>
        <v/>
      </c>
      <c r="Y202" s="47">
        <f>IF(OR($M202="",$T202=""),"",$T202+(Y$2*$M202))</f>
        <v/>
      </c>
      <c r="Z202" s="49">
        <f>IF(OR($M202="",$T202=""),"",$T202+(Z$2*$M202))</f>
        <v/>
      </c>
      <c r="AA202" s="51">
        <f>IF(OR($M202="",$T202=""),"",$T202+(AA$2*$M202))</f>
        <v/>
      </c>
      <c r="AB202" s="48">
        <f>IF(OR($M202="",$T202=""),"",$T202+(AB$2*$M202))</f>
        <v/>
      </c>
      <c r="AC202" s="48">
        <f>IF(OR($M202="",$T202=""),"",$T202+(AC$2*$M202))</f>
        <v/>
      </c>
      <c r="AD202" s="48">
        <f>IF(OR($M202="",$T202=""),"",$T202+(AD$2*$M202))</f>
        <v/>
      </c>
      <c r="AE202" s="49">
        <f>IF(OR($M202="",$T202=""),"",$T202+(AE$2*$M202))</f>
        <v/>
      </c>
      <c r="AF202" s="52">
        <f>IF(OR(T202="",I202&lt;T202),"",IFERROR(AVERAGE(T202+M202*{7,8,9,10,11})/IF(G202="",I202,G202)-1,""))</f>
        <v/>
      </c>
      <c r="AG202" s="55">
        <f>IF(OR(T202="",I202&lt;T202),"",IFERROR(AF202/-(R202/IF(G202="",I202,G202)-1),""))</f>
        <v/>
      </c>
      <c r="AH202" s="94" t="n">
        <v>1</v>
      </c>
      <c r="AI202" s="94" t="n">
        <v>184.9648972953963</v>
      </c>
      <c r="AJ202" s="94" t="n">
        <v>1</v>
      </c>
      <c r="AK202" s="94" t="inlineStr">
        <is>
          <t>OTT Up Trend</t>
        </is>
      </c>
      <c r="AL202" s="84" t="inlineStr">
        <is>
          <t>L3Harris Technologies, Inc.</t>
        </is>
      </c>
      <c r="AM202" t="inlineStr">
        <is>
          <t>Industrials</t>
        </is>
      </c>
      <c r="AN202" t="inlineStr">
        <is>
          <t>Aerospace &amp; Defense</t>
        </is>
      </c>
      <c r="AO202" t="n">
        <v>86</v>
      </c>
    </row>
    <row r="203">
      <c r="A203" s="64" t="inlineStr">
        <is>
          <t>VTRS</t>
        </is>
      </c>
      <c r="B203" s="65" t="n"/>
      <c r="C203" s="66" t="n"/>
      <c r="D203" s="67" t="n"/>
      <c r="E203" s="68" t="n"/>
      <c r="F203" s="47">
        <f>IF(A203="","",IF(MIN(H203,MAX(J203:K203))=0,"",MIN(H203,MAX(J203:K203))))</f>
        <v/>
      </c>
      <c r="G203" s="74" t="n"/>
      <c r="H203" s="49">
        <f>IF(M203="","",IFERROR(ROUND(AVERAGE(T203+M203*{7,8,9,10,11})/1.21,4),""))</f>
        <v/>
      </c>
      <c r="I203" s="76" t="n">
        <v>12.85999965667725</v>
      </c>
      <c r="J203" s="77" t="n">
        <v>12.77095268134987</v>
      </c>
      <c r="K203" s="74" t="n">
        <v>12.48849997520447</v>
      </c>
      <c r="L203" s="78" t="n">
        <v>9.845249996185302</v>
      </c>
      <c r="M203" s="77" t="n">
        <v>0.3335949955609785</v>
      </c>
      <c r="N203" s="53">
        <f>IF(M203="","",IFERROR(M203/I203,""))</f>
        <v/>
      </c>
      <c r="O203" s="50">
        <f>IF(A203="","",IFERROR((IF(G203="",I203,G203)-T203)/M203,""))</f>
        <v/>
      </c>
      <c r="P203" s="50">
        <f>IFERROR((I203/T203-1)/N203,"")</f>
        <v/>
      </c>
      <c r="Q203" s="46">
        <f>IF(OR(T203="",I203&lt;T203),"",IFERROR(R203/IF(G203="",I203,G203)-1,""))</f>
        <v/>
      </c>
      <c r="R203" s="48">
        <f>IF($M203="","",MAX(IF($G203="",$I203,$G203)*(1/1.1),IF($G203="",$I203,$G203)+(R$2*$M203)))</f>
        <v/>
      </c>
      <c r="S203" s="49">
        <f>IF($M203="","",MAX(IF($G203="",$I203,$G203)*(1/1.1),IF($G203="",$I203,$G203)+(S$2*$M203)))</f>
        <v/>
      </c>
      <c r="T203" s="82" t="n">
        <v>11.51159997940064</v>
      </c>
      <c r="U203" s="47">
        <f>IF(OR($M203="",$T203=""),"",$T203+(U$2*$M203))</f>
        <v/>
      </c>
      <c r="V203" s="48">
        <f>IF(OR($M203="",$T203=""),"",$T203+(V$2*$M203))</f>
        <v/>
      </c>
      <c r="W203" s="48">
        <f>IF(OR($M203="",$T203=""),"",$T203+(W$2*$M203))</f>
        <v/>
      </c>
      <c r="X203" s="49">
        <f>IF(OR($M203="",$T203=""),"",$T203+(X$2*$M203))</f>
        <v/>
      </c>
      <c r="Y203" s="47">
        <f>IF(OR($M203="",$T203=""),"",$T203+(Y$2*$M203))</f>
        <v/>
      </c>
      <c r="Z203" s="49">
        <f>IF(OR($M203="",$T203=""),"",$T203+(Z$2*$M203))</f>
        <v/>
      </c>
      <c r="AA203" s="51">
        <f>IF(OR($M203="",$T203=""),"",$T203+(AA$2*$M203))</f>
        <v/>
      </c>
      <c r="AB203" s="48">
        <f>IF(OR($M203="",$T203=""),"",$T203+(AB$2*$M203))</f>
        <v/>
      </c>
      <c r="AC203" s="48">
        <f>IF(OR($M203="",$T203=""),"",$T203+(AC$2*$M203))</f>
        <v/>
      </c>
      <c r="AD203" s="48">
        <f>IF(OR($M203="",$T203=""),"",$T203+(AD$2*$M203))</f>
        <v/>
      </c>
      <c r="AE203" s="49">
        <f>IF(OR($M203="",$T203=""),"",$T203+(AE$2*$M203))</f>
        <v/>
      </c>
      <c r="AF203" s="52">
        <f>IF(OR(T203="",I203&lt;T203),"",IFERROR(AVERAGE(T203+M203*{7,8,9,10,11})/IF(G203="",I203,G203)-1,""))</f>
        <v/>
      </c>
      <c r="AG203" s="55">
        <f>IF(OR(T203="",I203&lt;T203),"",IFERROR(AF203/-(R203/IF(G203="",I203,G203)-1),""))</f>
        <v/>
      </c>
      <c r="AH203" s="94" t="n">
        <v>1</v>
      </c>
      <c r="AI203" s="94" t="n">
        <v>136.6460036843805</v>
      </c>
      <c r="AJ203" s="94" t="n">
        <v>0</v>
      </c>
      <c r="AK203" s="94" t="inlineStr">
        <is>
          <t>OTT Up Trend</t>
        </is>
      </c>
      <c r="AL203" s="84" t="inlineStr">
        <is>
          <t>Viatris Inc.</t>
        </is>
      </c>
      <c r="AM203" t="inlineStr">
        <is>
          <t>Healthcare</t>
        </is>
      </c>
      <c r="AN203" t="inlineStr">
        <is>
          <t>Drug Manufacturers - Specialty &amp; Generic</t>
        </is>
      </c>
      <c r="AO203" t="n">
        <v>86</v>
      </c>
    </row>
    <row r="204">
      <c r="A204" s="64" t="inlineStr">
        <is>
          <t>WT</t>
        </is>
      </c>
      <c r="B204" s="65" t="n"/>
      <c r="C204" s="66" t="n"/>
      <c r="D204" s="67" t="n"/>
      <c r="E204" s="68" t="n"/>
      <c r="F204" s="47">
        <f>IF(A204="","",IF(MIN(H204,MAX(J204:K204))=0,"",MIN(H204,MAX(J204:K204))))</f>
        <v/>
      </c>
      <c r="G204" s="74" t="n"/>
      <c r="H204" s="49">
        <f>IF(M204="","",IFERROR(ROUND(AVERAGE(T204+M204*{7,8,9,10,11})/1.21,4),""))</f>
        <v/>
      </c>
      <c r="I204" s="76" t="n">
        <v>15.15999984741211</v>
      </c>
      <c r="J204" s="77" t="n">
        <v>13.75333803033777</v>
      </c>
      <c r="K204" s="74" t="n">
        <v>13.05449995994568</v>
      </c>
      <c r="L204" s="78" t="n">
        <v>11.74399998188019</v>
      </c>
      <c r="M204" s="77" t="n">
        <v>0.4344792425253678</v>
      </c>
      <c r="N204" s="53">
        <f>IF(M204="","",IFERROR(M204/I204,""))</f>
        <v/>
      </c>
      <c r="O204" s="50">
        <f>IF(A204="","",IFERROR((IF(G204="",I204,G204)-T204)/M204,""))</f>
        <v/>
      </c>
      <c r="P204" s="50">
        <f>IFERROR((I204/T204-1)/N204,"")</f>
        <v/>
      </c>
      <c r="Q204" s="46">
        <f>IF(OR(T204="",I204&lt;T204),"",IFERROR(R204/IF(G204="",I204,G204)-1,""))</f>
        <v/>
      </c>
      <c r="R204" s="48">
        <f>IF($M204="","",MAX(IF($G204="",$I204,$G204)*(1/1.1),IF($G204="",$I204,$G204)+(R$2*$M204)))</f>
        <v/>
      </c>
      <c r="S204" s="49">
        <f>IF($M204="","",MAX(IF($G204="",$I204,$G204)*(1/1.1),IF($G204="",$I204,$G204)+(S$2*$M204)))</f>
        <v/>
      </c>
      <c r="T204" s="82" t="n">
        <v>12.04919998168945</v>
      </c>
      <c r="U204" s="47">
        <f>IF(OR($M204="",$T204=""),"",$T204+(U$2*$M204))</f>
        <v/>
      </c>
      <c r="V204" s="48">
        <f>IF(OR($M204="",$T204=""),"",$T204+(V$2*$M204))</f>
        <v/>
      </c>
      <c r="W204" s="48">
        <f>IF(OR($M204="",$T204=""),"",$T204+(W$2*$M204))</f>
        <v/>
      </c>
      <c r="X204" s="49">
        <f>IF(OR($M204="",$T204=""),"",$T204+(X$2*$M204))</f>
        <v/>
      </c>
      <c r="Y204" s="47">
        <f>IF(OR($M204="",$T204=""),"",$T204+(Y$2*$M204))</f>
        <v/>
      </c>
      <c r="Z204" s="49">
        <f>IF(OR($M204="",$T204=""),"",$T204+(Z$2*$M204))</f>
        <v/>
      </c>
      <c r="AA204" s="51">
        <f>IF(OR($M204="",$T204=""),"",$T204+(AA$2*$M204))</f>
        <v/>
      </c>
      <c r="AB204" s="48">
        <f>IF(OR($M204="",$T204=""),"",$T204+(AB$2*$M204))</f>
        <v/>
      </c>
      <c r="AC204" s="48">
        <f>IF(OR($M204="",$T204=""),"",$T204+(AC$2*$M204))</f>
        <v/>
      </c>
      <c r="AD204" s="48">
        <f>IF(OR($M204="",$T204=""),"",$T204+(AD$2*$M204))</f>
        <v/>
      </c>
      <c r="AE204" s="49">
        <f>IF(OR($M204="",$T204=""),"",$T204+(AE$2*$M204))</f>
        <v/>
      </c>
      <c r="AF204" s="52">
        <f>IF(OR(T204="",I204&lt;T204),"",IFERROR(AVERAGE(T204+M204*{7,8,9,10,11})/IF(G204="",I204,G204)-1,""))</f>
        <v/>
      </c>
      <c r="AG204" s="55">
        <f>IF(OR(T204="",I204&lt;T204),"",IFERROR(AF204/-(R204/IF(G204="",I204,G204)-1),""))</f>
        <v/>
      </c>
      <c r="AH204" s="94" t="n">
        <v>1</v>
      </c>
      <c r="AI204" s="94" t="n">
        <v>166.5035391052886</v>
      </c>
      <c r="AJ204" s="94" t="n">
        <v>1</v>
      </c>
      <c r="AK204" s="94" t="inlineStr">
        <is>
          <t>OTT Up Trend</t>
        </is>
      </c>
      <c r="AL204" s="84" t="inlineStr">
        <is>
          <t>WisdomTree, Inc.</t>
        </is>
      </c>
      <c r="AM204" t="inlineStr">
        <is>
          <t>Financial Services</t>
        </is>
      </c>
      <c r="AN204" t="inlineStr">
        <is>
          <t>Asset Management</t>
        </is>
      </c>
      <c r="AO204" t="n">
        <v>86</v>
      </c>
    </row>
    <row r="205">
      <c r="A205" s="64" t="inlineStr">
        <is>
          <t>OSIS</t>
        </is>
      </c>
      <c r="B205" s="65" t="n"/>
      <c r="C205" s="66" t="n"/>
      <c r="D205" s="67" t="n"/>
      <c r="E205" s="68" t="n"/>
      <c r="F205" s="47">
        <f>IF(A205="","",IF(MIN(H205,MAX(J205:K205))=0,"",MIN(H205,MAX(J205:K205))))</f>
        <v/>
      </c>
      <c r="G205" s="74" t="n"/>
      <c r="H205" s="49">
        <f>IF(M205="","",IFERROR(ROUND(AVERAGE(T205+M205*{7,8,9,10,11})/1.21,4),""))</f>
        <v/>
      </c>
      <c r="I205" s="76" t="n">
        <v>291.989990234375</v>
      </c>
      <c r="J205" s="77" t="n">
        <v>280.4915943154094</v>
      </c>
      <c r="K205" s="74" t="n">
        <v>272.963500213623</v>
      </c>
      <c r="L205" s="78" t="n">
        <v>237.1097006988525</v>
      </c>
      <c r="M205" s="77" t="n">
        <v>10.06653694311079</v>
      </c>
      <c r="N205" s="53">
        <f>IF(M205="","",IFERROR(M205/I205,""))</f>
        <v/>
      </c>
      <c r="O205" s="50">
        <f>IF(A205="","",IFERROR((IF(G205="",I205,G205)-T205)/M205,""))</f>
        <v/>
      </c>
      <c r="P205" s="50">
        <f>IFERROR((I205/T205-1)/N205,"")</f>
        <v/>
      </c>
      <c r="Q205" s="46">
        <f>IF(OR(T205="",I205&lt;T205),"",IFERROR(R205/IF(G205="",I205,G205)-1,""))</f>
        <v/>
      </c>
      <c r="R205" s="48">
        <f>IF($M205="","",MAX(IF($G205="",$I205,$G205)*(1/1.1),IF($G205="",$I205,$G205)+(R$2*$M205)))</f>
        <v/>
      </c>
      <c r="S205" s="49">
        <f>IF($M205="","",MAX(IF($G205="",$I205,$G205)*(1/1.1),IF($G205="",$I205,$G205)+(S$2*$M205)))</f>
        <v/>
      </c>
      <c r="T205" s="82" t="n">
        <v>269.2084002685547</v>
      </c>
      <c r="U205" s="47">
        <f>IF(OR($M205="",$T205=""),"",$T205+(U$2*$M205))</f>
        <v/>
      </c>
      <c r="V205" s="48">
        <f>IF(OR($M205="",$T205=""),"",$T205+(V$2*$M205))</f>
        <v/>
      </c>
      <c r="W205" s="48">
        <f>IF(OR($M205="",$T205=""),"",$T205+(W$2*$M205))</f>
        <v/>
      </c>
      <c r="X205" s="49">
        <f>IF(OR($M205="",$T205=""),"",$T205+(X$2*$M205))</f>
        <v/>
      </c>
      <c r="Y205" s="47">
        <f>IF(OR($M205="",$T205=""),"",$T205+(Y$2*$M205))</f>
        <v/>
      </c>
      <c r="Z205" s="49">
        <f>IF(OR($M205="",$T205=""),"",$T205+(Z$2*$M205))</f>
        <v/>
      </c>
      <c r="AA205" s="51">
        <f>IF(OR($M205="",$T205=""),"",$T205+(AA$2*$M205))</f>
        <v/>
      </c>
      <c r="AB205" s="48">
        <f>IF(OR($M205="",$T205=""),"",$T205+(AB$2*$M205))</f>
        <v/>
      </c>
      <c r="AC205" s="48">
        <f>IF(OR($M205="",$T205=""),"",$T205+(AC$2*$M205))</f>
        <v/>
      </c>
      <c r="AD205" s="48">
        <f>IF(OR($M205="",$T205=""),"",$T205+(AD$2*$M205))</f>
        <v/>
      </c>
      <c r="AE205" s="49">
        <f>IF(OR($M205="",$T205=""),"",$T205+(AE$2*$M205))</f>
        <v/>
      </c>
      <c r="AF205" s="52">
        <f>IF(OR(T205="",I205&lt;T205),"",IFERROR(AVERAGE(T205+M205*{7,8,9,10,11})/IF(G205="",I205,G205)-1,""))</f>
        <v/>
      </c>
      <c r="AG205" s="55">
        <f>IF(OR(T205="",I205&lt;T205),"",IFERROR(AF205/-(R205/IF(G205="",I205,G205)-1),""))</f>
        <v/>
      </c>
      <c r="AH205" s="94" t="n">
        <v>1</v>
      </c>
      <c r="AI205" s="94" t="n">
        <v>57.79751357265811</v>
      </c>
      <c r="AJ205" s="94" t="n">
        <v>1</v>
      </c>
      <c r="AK205" s="94" t="inlineStr">
        <is>
          <t>OTT Up Trend</t>
        </is>
      </c>
      <c r="AL205" s="84" t="inlineStr">
        <is>
          <t>OSI Systems, Inc.</t>
        </is>
      </c>
      <c r="AM205" t="inlineStr">
        <is>
          <t>Technology</t>
        </is>
      </c>
      <c r="AN205" t="inlineStr">
        <is>
          <t>Electronic Components</t>
        </is>
      </c>
      <c r="AO205" t="n">
        <v>86</v>
      </c>
    </row>
    <row r="206">
      <c r="A206" s="64" t="inlineStr">
        <is>
          <t>TNL</t>
        </is>
      </c>
      <c r="B206" s="65" t="n"/>
      <c r="C206" s="66" t="n"/>
      <c r="D206" s="67" t="n"/>
      <c r="E206" s="68" t="n"/>
      <c r="F206" s="47">
        <f>IF(A206="","",IF(MIN(H206,MAX(J206:K206))=0,"",MIN(H206,MAX(J206:K206))))</f>
        <v/>
      </c>
      <c r="G206" s="74" t="n"/>
      <c r="H206" s="49">
        <f>IF(M206="","",IFERROR(ROUND(AVERAGE(T206+M206*{7,8,9,10,11})/1.21,4),""))</f>
        <v/>
      </c>
      <c r="I206" s="76" t="n">
        <v>72.41000366210938</v>
      </c>
      <c r="J206" s="77" t="n">
        <v>73.47023712427396</v>
      </c>
      <c r="K206" s="74" t="n">
        <v>72.97449951171875</v>
      </c>
      <c r="L206" s="78" t="n">
        <v>58.5659499168396</v>
      </c>
      <c r="M206" s="77" t="n">
        <v>1.806520422267744</v>
      </c>
      <c r="N206" s="53">
        <f>IF(M206="","",IFERROR(M206/I206,""))</f>
        <v/>
      </c>
      <c r="O206" s="50">
        <f>IF(A206="","",IFERROR((IF(G206="",I206,G206)-T206)/M206,""))</f>
        <v/>
      </c>
      <c r="P206" s="50">
        <f>IFERROR((I206/T206-1)/N206,"")</f>
        <v/>
      </c>
      <c r="Q206" s="46">
        <f>IF(OR(T206="",I206&lt;T206),"",IFERROR(R206/IF(G206="",I206,G206)-1,""))</f>
        <v/>
      </c>
      <c r="R206" s="48">
        <f>IF($M206="","",MAX(IF($G206="",$I206,$G206)*(1/1.1),IF($G206="",$I206,$G206)+(R$2*$M206)))</f>
        <v/>
      </c>
      <c r="S206" s="49">
        <f>IF($M206="","",MAX(IF($G206="",$I206,$G206)*(1/1.1),IF($G206="",$I206,$G206)+(S$2*$M206)))</f>
        <v/>
      </c>
      <c r="T206" s="82" t="n">
        <v>69.08459968566895</v>
      </c>
      <c r="U206" s="47">
        <f>IF(OR($M206="",$T206=""),"",$T206+(U$2*$M206))</f>
        <v/>
      </c>
      <c r="V206" s="48">
        <f>IF(OR($M206="",$T206=""),"",$T206+(V$2*$M206))</f>
        <v/>
      </c>
      <c r="W206" s="48">
        <f>IF(OR($M206="",$T206=""),"",$T206+(W$2*$M206))</f>
        <v/>
      </c>
      <c r="X206" s="49">
        <f>IF(OR($M206="",$T206=""),"",$T206+(X$2*$M206))</f>
        <v/>
      </c>
      <c r="Y206" s="47">
        <f>IF(OR($M206="",$T206=""),"",$T206+(Y$2*$M206))</f>
        <v/>
      </c>
      <c r="Z206" s="49">
        <f>IF(OR($M206="",$T206=""),"",$T206+(Z$2*$M206))</f>
        <v/>
      </c>
      <c r="AA206" s="51">
        <f>IF(OR($M206="",$T206=""),"",$T206+(AA$2*$M206))</f>
        <v/>
      </c>
      <c r="AB206" s="48">
        <f>IF(OR($M206="",$T206=""),"",$T206+(AB$2*$M206))</f>
        <v/>
      </c>
      <c r="AC206" s="48">
        <f>IF(OR($M206="",$T206=""),"",$T206+(AC$2*$M206))</f>
        <v/>
      </c>
      <c r="AD206" s="48">
        <f>IF(OR($M206="",$T206=""),"",$T206+(AD$2*$M206))</f>
        <v/>
      </c>
      <c r="AE206" s="49">
        <f>IF(OR($M206="",$T206=""),"",$T206+(AE$2*$M206))</f>
        <v/>
      </c>
      <c r="AF206" s="52">
        <f>IF(OR(T206="",I206&lt;T206),"",IFERROR(AVERAGE(T206+M206*{7,8,9,10,11})/IF(G206="",I206,G206)-1,""))</f>
        <v/>
      </c>
      <c r="AG206" s="55">
        <f>IF(OR(T206="",I206&lt;T206),"",IFERROR(AF206/-(R206/IF(G206="",I206,G206)-1),""))</f>
        <v/>
      </c>
      <c r="AH206" s="94" t="n">
        <v>1</v>
      </c>
      <c r="AI206" s="94" t="n">
        <v>72.97222804958146</v>
      </c>
      <c r="AJ206" s="94" t="n">
        <v>0</v>
      </c>
      <c r="AK206" s="94" t="inlineStr">
        <is>
          <t>OTT Up Trend</t>
        </is>
      </c>
      <c r="AL206" s="84" t="inlineStr">
        <is>
          <t>Travel   Leisure Co.</t>
        </is>
      </c>
      <c r="AM206" t="inlineStr">
        <is>
          <t>Consumer Cyclical</t>
        </is>
      </c>
      <c r="AN206" t="inlineStr">
        <is>
          <t>Travel Services</t>
        </is>
      </c>
      <c r="AO206" t="n">
        <v>86</v>
      </c>
    </row>
    <row r="207">
      <c r="A207" s="64" t="inlineStr">
        <is>
          <t>ADEA</t>
        </is>
      </c>
      <c r="B207" s="65" t="n"/>
      <c r="C207" s="66" t="n"/>
      <c r="D207" s="67" t="n"/>
      <c r="E207" s="68" t="n"/>
      <c r="F207" s="47">
        <f>IF(A207="","",IF(MIN(H207,MAX(J207:K207))=0,"",MIN(H207,MAX(J207:K207))))</f>
        <v/>
      </c>
      <c r="G207" s="74" t="n"/>
      <c r="H207" s="49">
        <f>IF(M207="","",IFERROR(ROUND(AVERAGE(T207+M207*{7,8,9,10,11})/1.21,4),""))</f>
        <v/>
      </c>
      <c r="I207" s="76" t="n">
        <v>19.41500091552734</v>
      </c>
      <c r="J207" s="77" t="n">
        <v>18.55592557807331</v>
      </c>
      <c r="K207" s="74" t="n">
        <v>17.51425018310547</v>
      </c>
      <c r="L207" s="78" t="n">
        <v>14.45077506065369</v>
      </c>
      <c r="M207" s="77" t="n">
        <v>0.7236928385857427</v>
      </c>
      <c r="N207" s="53">
        <f>IF(M207="","",IFERROR(M207/I207,""))</f>
        <v/>
      </c>
      <c r="O207" s="50">
        <f>IF(A207="","",IFERROR((IF(G207="",I207,G207)-T207)/M207,""))</f>
        <v/>
      </c>
      <c r="P207" s="50">
        <f>IFERROR((I207/T207-1)/N207,"")</f>
        <v/>
      </c>
      <c r="Q207" s="46">
        <f>IF(OR(T207="",I207&lt;T207),"",IFERROR(R207/IF(G207="",I207,G207)-1,""))</f>
        <v/>
      </c>
      <c r="R207" s="48">
        <f>IF($M207="","",MAX(IF($G207="",$I207,$G207)*(1/1.1),IF($G207="",$I207,$G207)+(R$2*$M207)))</f>
        <v/>
      </c>
      <c r="S207" s="49">
        <f>IF($M207="","",MAX(IF($G207="",$I207,$G207)*(1/1.1),IF($G207="",$I207,$G207)+(S$2*$M207)))</f>
        <v/>
      </c>
      <c r="T207" s="82" t="n">
        <v>14.73010009765625</v>
      </c>
      <c r="U207" s="47">
        <f>IF(OR($M207="",$T207=""),"",$T207+(U$2*$M207))</f>
        <v/>
      </c>
      <c r="V207" s="48">
        <f>IF(OR($M207="",$T207=""),"",$T207+(V$2*$M207))</f>
        <v/>
      </c>
      <c r="W207" s="48">
        <f>IF(OR($M207="",$T207=""),"",$T207+(W$2*$M207))</f>
        <v/>
      </c>
      <c r="X207" s="49">
        <f>IF(OR($M207="",$T207=""),"",$T207+(X$2*$M207))</f>
        <v/>
      </c>
      <c r="Y207" s="47">
        <f>IF(OR($M207="",$T207=""),"",$T207+(Y$2*$M207))</f>
        <v/>
      </c>
      <c r="Z207" s="49">
        <f>IF(OR($M207="",$T207=""),"",$T207+(Z$2*$M207))</f>
        <v/>
      </c>
      <c r="AA207" s="51">
        <f>IF(OR($M207="",$T207=""),"",$T207+(AA$2*$M207))</f>
        <v/>
      </c>
      <c r="AB207" s="48">
        <f>IF(OR($M207="",$T207=""),"",$T207+(AB$2*$M207))</f>
        <v/>
      </c>
      <c r="AC207" s="48">
        <f>IF(OR($M207="",$T207=""),"",$T207+(AC$2*$M207))</f>
        <v/>
      </c>
      <c r="AD207" s="48">
        <f>IF(OR($M207="",$T207=""),"",$T207+(AD$2*$M207))</f>
        <v/>
      </c>
      <c r="AE207" s="49">
        <f>IF(OR($M207="",$T207=""),"",$T207+(AE$2*$M207))</f>
        <v/>
      </c>
      <c r="AF207" s="52">
        <f>IF(OR(T207="",I207&lt;T207),"",IFERROR(AVERAGE(T207+M207*{7,8,9,10,11})/IF(G207="",I207,G207)-1,""))</f>
        <v/>
      </c>
      <c r="AG207" s="55">
        <f>IF(OR(T207="",I207&lt;T207),"",IFERROR(AF207/-(R207/IF(G207="",I207,G207)-1),""))</f>
        <v/>
      </c>
      <c r="AH207" s="94" t="n">
        <v>1</v>
      </c>
      <c r="AI207" s="94" t="n">
        <v>185.1118989580706</v>
      </c>
      <c r="AJ207" s="94" t="n">
        <v>1</v>
      </c>
      <c r="AK207" s="94" t="inlineStr">
        <is>
          <t>OTT Up Trend</t>
        </is>
      </c>
      <c r="AL207" s="84" t="inlineStr">
        <is>
          <t>Adeia Inc.</t>
        </is>
      </c>
      <c r="AM207" t="inlineStr">
        <is>
          <t>Technology</t>
        </is>
      </c>
      <c r="AN207" t="inlineStr">
        <is>
          <t>Software - Application</t>
        </is>
      </c>
      <c r="AO207" t="n">
        <v>86</v>
      </c>
    </row>
    <row r="208">
      <c r="A208" s="64" t="inlineStr">
        <is>
          <t>MS</t>
        </is>
      </c>
      <c r="B208" s="65" t="n"/>
      <c r="C208" s="66" t="n"/>
      <c r="D208" s="67" t="n"/>
      <c r="E208" s="68" t="n"/>
      <c r="F208" s="47">
        <f>IF(A208="","",IF(MIN(H208,MAX(J208:K208))=0,"",MIN(H208,MAX(J208:K208))))</f>
        <v/>
      </c>
      <c r="G208" s="74" t="n"/>
      <c r="H208" s="49">
        <f>IF(M208="","",IFERROR(ROUND(AVERAGE(T208+M208*{7,8,9,10,11})/1.21,4),""))</f>
        <v/>
      </c>
      <c r="I208" s="76" t="n">
        <v>189.0899963378906</v>
      </c>
      <c r="J208" s="77" t="n">
        <v>185.4917758761284</v>
      </c>
      <c r="K208" s="74" t="n">
        <v>182.5839981079102</v>
      </c>
      <c r="L208" s="78" t="n">
        <v>148.3374494552612</v>
      </c>
      <c r="M208" s="77" t="n">
        <v>4.002589104482744</v>
      </c>
      <c r="N208" s="53">
        <f>IF(M208="","",IFERROR(M208/I208,""))</f>
        <v/>
      </c>
      <c r="O208" s="50">
        <f>IF(A208="","",IFERROR((IF(G208="",I208,G208)-T208)/M208,""))</f>
        <v/>
      </c>
      <c r="P208" s="50">
        <f>IFERROR((I208/T208-1)/N208,"")</f>
        <v/>
      </c>
      <c r="Q208" s="46">
        <f>IF(OR(T208="",I208&lt;T208),"",IFERROR(R208/IF(G208="",I208,G208)-1,""))</f>
        <v/>
      </c>
      <c r="R208" s="48">
        <f>IF($M208="","",MAX(IF($G208="",$I208,$G208)*(1/1.1),IF($G208="",$I208,$G208)+(R$2*$M208)))</f>
        <v/>
      </c>
      <c r="S208" s="49">
        <f>IF($M208="","",MAX(IF($G208="",$I208,$G208)*(1/1.1),IF($G208="",$I208,$G208)+(S$2*$M208)))</f>
        <v/>
      </c>
      <c r="T208" s="82" t="n">
        <v>174.4745986938477</v>
      </c>
      <c r="U208" s="47">
        <f>IF(OR($M208="",$T208=""),"",$T208+(U$2*$M208))</f>
        <v/>
      </c>
      <c r="V208" s="48">
        <f>IF(OR($M208="",$T208=""),"",$T208+(V$2*$M208))</f>
        <v/>
      </c>
      <c r="W208" s="48">
        <f>IF(OR($M208="",$T208=""),"",$T208+(W$2*$M208))</f>
        <v/>
      </c>
      <c r="X208" s="49">
        <f>IF(OR($M208="",$T208=""),"",$T208+(X$2*$M208))</f>
        <v/>
      </c>
      <c r="Y208" s="47">
        <f>IF(OR($M208="",$T208=""),"",$T208+(Y$2*$M208))</f>
        <v/>
      </c>
      <c r="Z208" s="49">
        <f>IF(OR($M208="",$T208=""),"",$T208+(Z$2*$M208))</f>
        <v/>
      </c>
      <c r="AA208" s="51">
        <f>IF(OR($M208="",$T208=""),"",$T208+(AA$2*$M208))</f>
        <v/>
      </c>
      <c r="AB208" s="48">
        <f>IF(OR($M208="",$T208=""),"",$T208+(AB$2*$M208))</f>
        <v/>
      </c>
      <c r="AC208" s="48">
        <f>IF(OR($M208="",$T208=""),"",$T208+(AC$2*$M208))</f>
        <v/>
      </c>
      <c r="AD208" s="48">
        <f>IF(OR($M208="",$T208=""),"",$T208+(AD$2*$M208))</f>
        <v/>
      </c>
      <c r="AE208" s="49">
        <f>IF(OR($M208="",$T208=""),"",$T208+(AE$2*$M208))</f>
        <v/>
      </c>
      <c r="AF208" s="52">
        <f>IF(OR(T208="",I208&lt;T208),"",IFERROR(AVERAGE(T208+M208*{7,8,9,10,11})/IF(G208="",I208,G208)-1,""))</f>
        <v/>
      </c>
      <c r="AG208" s="55">
        <f>IF(OR(T208="",I208&lt;T208),"",IFERROR(AF208/-(R208/IF(G208="",I208,G208)-1),""))</f>
        <v/>
      </c>
      <c r="AH208" s="94" t="n">
        <v>1</v>
      </c>
      <c r="AI208" s="94" t="n">
        <v>94.58208083998124</v>
      </c>
      <c r="AJ208" s="94" t="n">
        <v>0</v>
      </c>
      <c r="AK208" s="94" t="inlineStr">
        <is>
          <t>OTT Up Trend</t>
        </is>
      </c>
      <c r="AL208" s="84" t="inlineStr">
        <is>
          <t>Morgan Stanley</t>
        </is>
      </c>
      <c r="AM208" t="inlineStr">
        <is>
          <t>Financial Services</t>
        </is>
      </c>
      <c r="AN208" t="inlineStr">
        <is>
          <t>Capital Markets</t>
        </is>
      </c>
      <c r="AO208" t="n">
        <v>86</v>
      </c>
    </row>
    <row r="209">
      <c r="A209" s="64" t="inlineStr">
        <is>
          <t>JOE</t>
        </is>
      </c>
      <c r="B209" s="65" t="n"/>
      <c r="C209" s="66" t="n"/>
      <c r="D209" s="67" t="n"/>
      <c r="E209" s="68" t="n"/>
      <c r="F209" s="47">
        <f>IF(A209="","",IF(MIN(H209,MAX(J209:K209))=0,"",MIN(H209,MAX(J209:K209))))</f>
        <v/>
      </c>
      <c r="G209" s="74" t="n"/>
      <c r="H209" s="49">
        <f>IF(M209="","",IFERROR(ROUND(AVERAGE(T209+M209*{7,8,9,10,11})/1.21,4),""))</f>
        <v/>
      </c>
      <c r="I209" s="76" t="n">
        <v>65.38999938964844</v>
      </c>
      <c r="J209" s="77" t="n">
        <v>63.85671157534946</v>
      </c>
      <c r="K209" s="74" t="n">
        <v>61.85500011444092</v>
      </c>
      <c r="L209" s="78" t="n">
        <v>51.1712998008728</v>
      </c>
      <c r="M209" s="77" t="n">
        <v>1.577574449716825</v>
      </c>
      <c r="N209" s="53">
        <f>IF(M209="","",IFERROR(M209/I209,""))</f>
        <v/>
      </c>
      <c r="O209" s="50">
        <f>IF(A209="","",IFERROR((IF(G209="",I209,G209)-T209)/M209,""))</f>
        <v/>
      </c>
      <c r="P209" s="50">
        <f>IFERROR((I209/T209-1)/N209,"")</f>
        <v/>
      </c>
      <c r="Q209" s="46">
        <f>IF(OR(T209="",I209&lt;T209),"",IFERROR(R209/IF(G209="",I209,G209)-1,""))</f>
        <v/>
      </c>
      <c r="R209" s="48">
        <f>IF($M209="","",MAX(IF($G209="",$I209,$G209)*(1/1.1),IF($G209="",$I209,$G209)+(R$2*$M209)))</f>
        <v/>
      </c>
      <c r="S209" s="49">
        <f>IF($M209="","",MAX(IF($G209="",$I209,$G209)*(1/1.1),IF($G209="",$I209,$G209)+(S$2*$M209)))</f>
        <v/>
      </c>
      <c r="T209" s="82" t="n">
        <v>60.53219985961914</v>
      </c>
      <c r="U209" s="47">
        <f>IF(OR($M209="",$T209=""),"",$T209+(U$2*$M209))</f>
        <v/>
      </c>
      <c r="V209" s="48">
        <f>IF(OR($M209="",$T209=""),"",$T209+(V$2*$M209))</f>
        <v/>
      </c>
      <c r="W209" s="48">
        <f>IF(OR($M209="",$T209=""),"",$T209+(W$2*$M209))</f>
        <v/>
      </c>
      <c r="X209" s="49">
        <f>IF(OR($M209="",$T209=""),"",$T209+(X$2*$M209))</f>
        <v/>
      </c>
      <c r="Y209" s="47">
        <f>IF(OR($M209="",$T209=""),"",$T209+(Y$2*$M209))</f>
        <v/>
      </c>
      <c r="Z209" s="49">
        <f>IF(OR($M209="",$T209=""),"",$T209+(Z$2*$M209))</f>
        <v/>
      </c>
      <c r="AA209" s="51">
        <f>IF(OR($M209="",$T209=""),"",$T209+(AA$2*$M209))</f>
        <v/>
      </c>
      <c r="AB209" s="48">
        <f>IF(OR($M209="",$T209=""),"",$T209+(AB$2*$M209))</f>
        <v/>
      </c>
      <c r="AC209" s="48">
        <f>IF(OR($M209="",$T209=""),"",$T209+(AC$2*$M209))</f>
        <v/>
      </c>
      <c r="AD209" s="48">
        <f>IF(OR($M209="",$T209=""),"",$T209+(AD$2*$M209))</f>
        <v/>
      </c>
      <c r="AE209" s="49">
        <f>IF(OR($M209="",$T209=""),"",$T209+(AE$2*$M209))</f>
        <v/>
      </c>
      <c r="AF209" s="52">
        <f>IF(OR(T209="",I209&lt;T209),"",IFERROR(AVERAGE(T209+M209*{7,8,9,10,11})/IF(G209="",I209,G209)-1,""))</f>
        <v/>
      </c>
      <c r="AG209" s="55">
        <f>IF(OR(T209="",I209&lt;T209),"",IFERROR(AF209/-(R209/IF(G209="",I209,G209)-1),""))</f>
        <v/>
      </c>
      <c r="AH209" s="94" t="n">
        <v>1</v>
      </c>
      <c r="AI209" s="94" t="n">
        <v>94.92927454608134</v>
      </c>
      <c r="AJ209" s="94" t="n">
        <v>1</v>
      </c>
      <c r="AK209" s="94" t="inlineStr">
        <is>
          <t>OTT Up Trend</t>
        </is>
      </c>
      <c r="AL209" s="84" t="inlineStr">
        <is>
          <t>St. Joe Company (The)</t>
        </is>
      </c>
      <c r="AM209" t="inlineStr">
        <is>
          <t>Real Estate</t>
        </is>
      </c>
      <c r="AN209" t="inlineStr">
        <is>
          <t>Real Estate - Diversified</t>
        </is>
      </c>
      <c r="AO209" t="n">
        <v>86</v>
      </c>
    </row>
    <row r="210">
      <c r="A210" s="64" t="inlineStr">
        <is>
          <t>SXI</t>
        </is>
      </c>
      <c r="B210" s="65" t="n"/>
      <c r="C210" s="66" t="n"/>
      <c r="D210" s="67" t="n"/>
      <c r="E210" s="68" t="n"/>
      <c r="F210" s="47">
        <f>IF(A210="","",IF(MIN(H210,MAX(J210:K210))=0,"",MIN(H210,MAX(J210:K210))))</f>
        <v/>
      </c>
      <c r="G210" s="74" t="n"/>
      <c r="H210" s="49">
        <f>IF(M210="","",IFERROR(ROUND(AVERAGE(T210+M210*{7,8,9,10,11})/1.21,4),""))</f>
        <v/>
      </c>
      <c r="I210" s="76" t="n">
        <v>249.9799957275391</v>
      </c>
      <c r="J210" s="77" t="n">
        <v>241.6167893085761</v>
      </c>
      <c r="K210" s="74" t="n">
        <v>233.1379989624023</v>
      </c>
      <c r="L210" s="78" t="n">
        <v>193.4731495666504</v>
      </c>
      <c r="M210" s="77" t="n">
        <v>7.215012160565184</v>
      </c>
      <c r="N210" s="53">
        <f>IF(M210="","",IFERROR(M210/I210,""))</f>
        <v/>
      </c>
      <c r="O210" s="50">
        <f>IF(A210="","",IFERROR((IF(G210="",I210,G210)-T210)/M210,""))</f>
        <v/>
      </c>
      <c r="P210" s="50">
        <f>IFERROR((I210/T210-1)/N210,"")</f>
        <v/>
      </c>
      <c r="Q210" s="46">
        <f>IF(OR(T210="",I210&lt;T210),"",IFERROR(R210/IF(G210="",I210,G210)-1,""))</f>
        <v/>
      </c>
      <c r="R210" s="48">
        <f>IF($M210="","",MAX(IF($G210="",$I210,$G210)*(1/1.1),IF($G210="",$I210,$G210)+(R$2*$M210)))</f>
        <v/>
      </c>
      <c r="S210" s="49">
        <f>IF($M210="","",MAX(IF($G210="",$I210,$G210)*(1/1.1),IF($G210="",$I210,$G210)+(S$2*$M210)))</f>
        <v/>
      </c>
      <c r="T210" s="82" t="n">
        <v>234.5247994995117</v>
      </c>
      <c r="U210" s="47">
        <f>IF(OR($M210="",$T210=""),"",$T210+(U$2*$M210))</f>
        <v/>
      </c>
      <c r="V210" s="48">
        <f>IF(OR($M210="",$T210=""),"",$T210+(V$2*$M210))</f>
        <v/>
      </c>
      <c r="W210" s="48">
        <f>IF(OR($M210="",$T210=""),"",$T210+(W$2*$M210))</f>
        <v/>
      </c>
      <c r="X210" s="49">
        <f>IF(OR($M210="",$T210=""),"",$T210+(X$2*$M210))</f>
        <v/>
      </c>
      <c r="Y210" s="47">
        <f>IF(OR($M210="",$T210=""),"",$T210+(Y$2*$M210))</f>
        <v/>
      </c>
      <c r="Z210" s="49">
        <f>IF(OR($M210="",$T210=""),"",$T210+(Z$2*$M210))</f>
        <v/>
      </c>
      <c r="AA210" s="51">
        <f>IF(OR($M210="",$T210=""),"",$T210+(AA$2*$M210))</f>
        <v/>
      </c>
      <c r="AB210" s="48">
        <f>IF(OR($M210="",$T210=""),"",$T210+(AB$2*$M210))</f>
        <v/>
      </c>
      <c r="AC210" s="48">
        <f>IF(OR($M210="",$T210=""),"",$T210+(AC$2*$M210))</f>
        <v/>
      </c>
      <c r="AD210" s="48">
        <f>IF(OR($M210="",$T210=""),"",$T210+(AD$2*$M210))</f>
        <v/>
      </c>
      <c r="AE210" s="49">
        <f>IF(OR($M210="",$T210=""),"",$T210+(AE$2*$M210))</f>
        <v/>
      </c>
      <c r="AF210" s="52">
        <f>IF(OR(T210="",I210&lt;T210),"",IFERROR(AVERAGE(T210+M210*{7,8,9,10,11})/IF(G210="",I210,G210)-1,""))</f>
        <v/>
      </c>
      <c r="AG210" s="55">
        <f>IF(OR(T210="",I210&lt;T210),"",IFERROR(AF210/-(R210/IF(G210="",I210,G210)-1),""))</f>
        <v/>
      </c>
      <c r="AH210" s="94" t="n">
        <v>1</v>
      </c>
      <c r="AI210" s="94" t="n">
        <v>53.92841688738761</v>
      </c>
      <c r="AJ210" s="94" t="n">
        <v>1</v>
      </c>
      <c r="AK210" s="94" t="inlineStr">
        <is>
          <t>OTT Turned Up</t>
        </is>
      </c>
      <c r="AL210" s="84" t="inlineStr">
        <is>
          <t>Standex International Corporati</t>
        </is>
      </c>
      <c r="AM210" t="inlineStr">
        <is>
          <t>Industrials</t>
        </is>
      </c>
      <c r="AN210" t="inlineStr">
        <is>
          <t>Specialty Industrial Machinery</t>
        </is>
      </c>
      <c r="AO210" t="n">
        <v>86</v>
      </c>
    </row>
    <row r="211">
      <c r="A211" s="64" t="inlineStr">
        <is>
          <t>WS</t>
        </is>
      </c>
      <c r="B211" s="65" t="n"/>
      <c r="C211" s="66" t="n"/>
      <c r="D211" s="67" t="n"/>
      <c r="E211" s="68" t="n"/>
      <c r="F211" s="47">
        <f>IF(A211="","",IF(MIN(H211,MAX(J211:K211))=0,"",MIN(H211,MAX(J211:K211))))</f>
        <v/>
      </c>
      <c r="G211" s="74" t="n"/>
      <c r="H211" s="49">
        <f>IF(M211="","",IFERROR(ROUND(AVERAGE(T211+M211*{7,8,9,10,11})/1.21,4),""))</f>
        <v/>
      </c>
      <c r="I211" s="76" t="n">
        <v>40.06000137329102</v>
      </c>
      <c r="J211" s="77" t="n">
        <v>37.38682572817829</v>
      </c>
      <c r="K211" s="74" t="n">
        <v>36.35200004577636</v>
      </c>
      <c r="L211" s="78" t="n">
        <v>30.60899998664856</v>
      </c>
      <c r="M211" s="77" t="n">
        <v>1.430674714434974</v>
      </c>
      <c r="N211" s="53">
        <f>IF(M211="","",IFERROR(M211/I211,""))</f>
        <v/>
      </c>
      <c r="O211" s="50">
        <f>IF(A211="","",IFERROR((IF(G211="",I211,G211)-T211)/M211,""))</f>
        <v/>
      </c>
      <c r="P211" s="50">
        <f>IFERROR((I211/T211-1)/N211,"")</f>
        <v/>
      </c>
      <c r="Q211" s="46">
        <f>IF(OR(T211="",I211&lt;T211),"",IFERROR(R211/IF(G211="",I211,G211)-1,""))</f>
        <v/>
      </c>
      <c r="R211" s="48">
        <f>IF($M211="","",MAX(IF($G211="",$I211,$G211)*(1/1.1),IF($G211="",$I211,$G211)+(R$2*$M211)))</f>
        <v/>
      </c>
      <c r="S211" s="49">
        <f>IF($M211="","",MAX(IF($G211="",$I211,$G211)*(1/1.1),IF($G211="",$I211,$G211)+(S$2*$M211)))</f>
        <v/>
      </c>
      <c r="T211" s="82" t="n">
        <v>34.65940006256103</v>
      </c>
      <c r="U211" s="47">
        <f>IF(OR($M211="",$T211=""),"",$T211+(U$2*$M211))</f>
        <v/>
      </c>
      <c r="V211" s="48">
        <f>IF(OR($M211="",$T211=""),"",$T211+(V$2*$M211))</f>
        <v/>
      </c>
      <c r="W211" s="48">
        <f>IF(OR($M211="",$T211=""),"",$T211+(W$2*$M211))</f>
        <v/>
      </c>
      <c r="X211" s="49">
        <f>IF(OR($M211="",$T211=""),"",$T211+(X$2*$M211))</f>
        <v/>
      </c>
      <c r="Y211" s="47">
        <f>IF(OR($M211="",$T211=""),"",$T211+(Y$2*$M211))</f>
        <v/>
      </c>
      <c r="Z211" s="49">
        <f>IF(OR($M211="",$T211=""),"",$T211+(Z$2*$M211))</f>
        <v/>
      </c>
      <c r="AA211" s="51">
        <f>IF(OR($M211="",$T211=""),"",$T211+(AA$2*$M211))</f>
        <v/>
      </c>
      <c r="AB211" s="48">
        <f>IF(OR($M211="",$T211=""),"",$T211+(AB$2*$M211))</f>
        <v/>
      </c>
      <c r="AC211" s="48">
        <f>IF(OR($M211="",$T211=""),"",$T211+(AC$2*$M211))</f>
        <v/>
      </c>
      <c r="AD211" s="48">
        <f>IF(OR($M211="",$T211=""),"",$T211+(AD$2*$M211))</f>
        <v/>
      </c>
      <c r="AE211" s="49">
        <f>IF(OR($M211="",$T211=""),"",$T211+(AE$2*$M211))</f>
        <v/>
      </c>
      <c r="AF211" s="52">
        <f>IF(OR(T211="",I211&lt;T211),"",IFERROR(AVERAGE(T211+M211*{7,8,9,10,11})/IF(G211="",I211,G211)-1,""))</f>
        <v/>
      </c>
      <c r="AG211" s="55">
        <f>IF(OR(T211="",I211&lt;T211),"",IFERROR(AF211/-(R211/IF(G211="",I211,G211)-1),""))</f>
        <v/>
      </c>
      <c r="AH211" s="94" t="n">
        <v>1</v>
      </c>
      <c r="AI211" s="94" t="n">
        <v>74.44346063783773</v>
      </c>
      <c r="AJ211" s="94" t="n">
        <v>1</v>
      </c>
      <c r="AK211" s="94" t="inlineStr">
        <is>
          <t>None</t>
        </is>
      </c>
      <c r="AL211" s="84" t="inlineStr">
        <is>
          <t>Worthington Steel, Inc.</t>
        </is>
      </c>
      <c r="AM211" t="inlineStr">
        <is>
          <t>Basic Materials</t>
        </is>
      </c>
      <c r="AN211" t="inlineStr">
        <is>
          <t>Steel</t>
        </is>
      </c>
      <c r="AO211" t="n">
        <v>86</v>
      </c>
    </row>
    <row r="212">
      <c r="A212" s="64" t="inlineStr">
        <is>
          <t>BANC</t>
        </is>
      </c>
      <c r="B212" s="65" t="n"/>
      <c r="C212" s="66" t="n"/>
      <c r="D212" s="67" t="n"/>
      <c r="E212" s="68" t="n"/>
      <c r="F212" s="47">
        <f>IF(A212="","",IF(MIN(H212,MAX(J212:K212))=0,"",MIN(H212,MAX(J212:K212))))</f>
        <v/>
      </c>
      <c r="G212" s="74" t="n"/>
      <c r="H212" s="49">
        <f>IF(M212="","",IFERROR(ROUND(AVERAGE(T212+M212*{7,8,9,10,11})/1.21,4),""))</f>
        <v/>
      </c>
      <c r="I212" s="76" t="n">
        <v>20.79999923706055</v>
      </c>
      <c r="J212" s="77" t="n">
        <v>20.32678885323191</v>
      </c>
      <c r="K212" s="74" t="n">
        <v>19.96600008010864</v>
      </c>
      <c r="L212" s="78" t="n">
        <v>16.01150003433228</v>
      </c>
      <c r="M212" s="77" t="n">
        <v>0.4803151864845492</v>
      </c>
      <c r="N212" s="53">
        <f>IF(M212="","",IFERROR(M212/I212,""))</f>
        <v/>
      </c>
      <c r="O212" s="50">
        <f>IF(A212="","",IFERROR((IF(G212="",I212,G212)-T212)/M212,""))</f>
        <v/>
      </c>
      <c r="P212" s="50">
        <f>IFERROR((I212/T212-1)/N212,"")</f>
        <v/>
      </c>
      <c r="Q212" s="46">
        <f>IF(OR(T212="",I212&lt;T212),"",IFERROR(R212/IF(G212="",I212,G212)-1,""))</f>
        <v/>
      </c>
      <c r="R212" s="48">
        <f>IF($M212="","",MAX(IF($G212="",$I212,$G212)*(1/1.1),IF($G212="",$I212,$G212)+(R$2*$M212)))</f>
        <v/>
      </c>
      <c r="S212" s="49">
        <f>IF($M212="","",MAX(IF($G212="",$I212,$G212)*(1/1.1),IF($G212="",$I212,$G212)+(S$2*$M212)))</f>
        <v/>
      </c>
      <c r="T212" s="82" t="n">
        <v>18.91600002288818</v>
      </c>
      <c r="U212" s="47">
        <f>IF(OR($M212="",$T212=""),"",$T212+(U$2*$M212))</f>
        <v/>
      </c>
      <c r="V212" s="48">
        <f>IF(OR($M212="",$T212=""),"",$T212+(V$2*$M212))</f>
        <v/>
      </c>
      <c r="W212" s="48">
        <f>IF(OR($M212="",$T212=""),"",$T212+(W$2*$M212))</f>
        <v/>
      </c>
      <c r="X212" s="49">
        <f>IF(OR($M212="",$T212=""),"",$T212+(X$2*$M212))</f>
        <v/>
      </c>
      <c r="Y212" s="47">
        <f>IF(OR($M212="",$T212=""),"",$T212+(Y$2*$M212))</f>
        <v/>
      </c>
      <c r="Z212" s="49">
        <f>IF(OR($M212="",$T212=""),"",$T212+(Z$2*$M212))</f>
        <v/>
      </c>
      <c r="AA212" s="51">
        <f>IF(OR($M212="",$T212=""),"",$T212+(AA$2*$M212))</f>
        <v/>
      </c>
      <c r="AB212" s="48">
        <f>IF(OR($M212="",$T212=""),"",$T212+(AB$2*$M212))</f>
        <v/>
      </c>
      <c r="AC212" s="48">
        <f>IF(OR($M212="",$T212=""),"",$T212+(AC$2*$M212))</f>
        <v/>
      </c>
      <c r="AD212" s="48">
        <f>IF(OR($M212="",$T212=""),"",$T212+(AD$2*$M212))</f>
        <v/>
      </c>
      <c r="AE212" s="49">
        <f>IF(OR($M212="",$T212=""),"",$T212+(AE$2*$M212))</f>
        <v/>
      </c>
      <c r="AF212" s="52">
        <f>IF(OR(T212="",I212&lt;T212),"",IFERROR(AVERAGE(T212+M212*{7,8,9,10,11})/IF(G212="",I212,G212)-1,""))</f>
        <v/>
      </c>
      <c r="AG212" s="55">
        <f>IF(OR(T212="",I212&lt;T212),"",IFERROR(AF212/-(R212/IF(G212="",I212,G212)-1),""))</f>
        <v/>
      </c>
      <c r="AH212" s="94" t="n">
        <v>1</v>
      </c>
      <c r="AI212" s="94" t="n">
        <v>95.28335133090286</v>
      </c>
      <c r="AJ212" s="94" t="n">
        <v>1</v>
      </c>
      <c r="AK212" s="94" t="inlineStr">
        <is>
          <t>OTT Up Trend</t>
        </is>
      </c>
      <c r="AL212" s="84" t="inlineStr">
        <is>
          <t>Banc of California, Inc.</t>
        </is>
      </c>
      <c r="AM212" t="inlineStr">
        <is>
          <t>Financial Services</t>
        </is>
      </c>
      <c r="AN212" t="inlineStr">
        <is>
          <t>Banks - Regional</t>
        </is>
      </c>
      <c r="AO212" t="n">
        <v>86</v>
      </c>
    </row>
    <row r="213">
      <c r="A213" s="64" t="inlineStr">
        <is>
          <t>SYNA</t>
        </is>
      </c>
      <c r="B213" s="65" t="n"/>
      <c r="C213" s="66" t="n"/>
      <c r="D213" s="67" t="n"/>
      <c r="E213" s="68" t="n"/>
      <c r="F213" s="47">
        <f>IF(A213="","",IF(MIN(H213,MAX(J213:K213))=0,"",MIN(H213,MAX(J213:K213))))</f>
        <v/>
      </c>
      <c r="G213" s="74" t="n"/>
      <c r="H213" s="49">
        <f>IF(M213="","",IFERROR(ROUND(AVERAGE(T213+M213*{7,8,9,10,11})/1.21,4),""))</f>
        <v/>
      </c>
      <c r="I213" s="76" t="n">
        <v>91.01999664306641</v>
      </c>
      <c r="J213" s="77" t="n">
        <v>85.78203238790469</v>
      </c>
      <c r="K213" s="74" t="n">
        <v>79.96100044250488</v>
      </c>
      <c r="L213" s="78" t="n">
        <v>66.82240016937256</v>
      </c>
      <c r="M213" s="77" t="n">
        <v>3.581671929482634</v>
      </c>
      <c r="N213" s="53">
        <f>IF(M213="","",IFERROR(M213/I213,""))</f>
        <v/>
      </c>
      <c r="O213" s="50">
        <f>IF(A213="","",IFERROR((IF(G213="",I213,G213)-T213)/M213,""))</f>
        <v/>
      </c>
      <c r="P213" s="50">
        <f>IFERROR((I213/T213-1)/N213,"")</f>
        <v/>
      </c>
      <c r="Q213" s="46">
        <f>IF(OR(T213="",I213&lt;T213),"",IFERROR(R213/IF(G213="",I213,G213)-1,""))</f>
        <v/>
      </c>
      <c r="R213" s="48">
        <f>IF($M213="","",MAX(IF($G213="",$I213,$G213)*(1/1.1),IF($G213="",$I213,$G213)+(R$2*$M213)))</f>
        <v/>
      </c>
      <c r="S213" s="49">
        <f>IF($M213="","",MAX(IF($G213="",$I213,$G213)*(1/1.1),IF($G213="",$I213,$G213)+(S$2*$M213)))</f>
        <v/>
      </c>
      <c r="T213" s="82" t="n">
        <v>73.94680030822754</v>
      </c>
      <c r="U213" s="47">
        <f>IF(OR($M213="",$T213=""),"",$T213+(U$2*$M213))</f>
        <v/>
      </c>
      <c r="V213" s="48">
        <f>IF(OR($M213="",$T213=""),"",$T213+(V$2*$M213))</f>
        <v/>
      </c>
      <c r="W213" s="48">
        <f>IF(OR($M213="",$T213=""),"",$T213+(W$2*$M213))</f>
        <v/>
      </c>
      <c r="X213" s="49">
        <f>IF(OR($M213="",$T213=""),"",$T213+(X$2*$M213))</f>
        <v/>
      </c>
      <c r="Y213" s="47">
        <f>IF(OR($M213="",$T213=""),"",$T213+(Y$2*$M213))</f>
        <v/>
      </c>
      <c r="Z213" s="49">
        <f>IF(OR($M213="",$T213=""),"",$T213+(Z$2*$M213))</f>
        <v/>
      </c>
      <c r="AA213" s="51">
        <f>IF(OR($M213="",$T213=""),"",$T213+(AA$2*$M213))</f>
        <v/>
      </c>
      <c r="AB213" s="48">
        <f>IF(OR($M213="",$T213=""),"",$T213+(AB$2*$M213))</f>
        <v/>
      </c>
      <c r="AC213" s="48">
        <f>IF(OR($M213="",$T213=""),"",$T213+(AC$2*$M213))</f>
        <v/>
      </c>
      <c r="AD213" s="48">
        <f>IF(OR($M213="",$T213=""),"",$T213+(AD$2*$M213))</f>
        <v/>
      </c>
      <c r="AE213" s="49">
        <f>IF(OR($M213="",$T213=""),"",$T213+(AE$2*$M213))</f>
        <v/>
      </c>
      <c r="AF213" s="52">
        <f>IF(OR(T213="",I213&lt;T213),"",IFERROR(AVERAGE(T213+M213*{7,8,9,10,11})/IF(G213="",I213,G213)-1,""))</f>
        <v/>
      </c>
      <c r="AG213" s="55">
        <f>IF(OR(T213="",I213&lt;T213),"",IFERROR(AF213/-(R213/IF(G213="",I213,G213)-1),""))</f>
        <v/>
      </c>
      <c r="AH213" s="94" t="n">
        <v>1</v>
      </c>
      <c r="AI213" s="94" t="n">
        <v>136.5572571496195</v>
      </c>
      <c r="AJ213" s="94" t="n">
        <v>1</v>
      </c>
      <c r="AK213" s="94" t="inlineStr">
        <is>
          <t>OTT Up Trend</t>
        </is>
      </c>
      <c r="AL213" s="84" t="inlineStr">
        <is>
          <t>Synaptics Incorporated</t>
        </is>
      </c>
      <c r="AM213" t="inlineStr">
        <is>
          <t>Technology</t>
        </is>
      </c>
      <c r="AN213" t="inlineStr">
        <is>
          <t>Semiconductors</t>
        </is>
      </c>
      <c r="AO213" t="n">
        <v>86</v>
      </c>
    </row>
    <row r="214">
      <c r="A214" s="64" t="inlineStr">
        <is>
          <t>PEN</t>
        </is>
      </c>
      <c r="B214" s="65" t="n"/>
      <c r="C214" s="66" t="n"/>
      <c r="D214" s="67" t="n"/>
      <c r="E214" s="68" t="n"/>
      <c r="F214" s="47">
        <f>IF(A214="","",IF(MIN(H214,MAX(J214:K214))=0,"",MIN(H214,MAX(J214:K214))))</f>
        <v/>
      </c>
      <c r="G214" s="74" t="n"/>
      <c r="H214" s="49">
        <f>IF(M214="","",IFERROR(ROUND(AVERAGE(T214+M214*{7,8,9,10,11})/1.21,4),""))</f>
        <v/>
      </c>
      <c r="I214" s="76" t="n">
        <v>350.7799987792969</v>
      </c>
      <c r="J214" s="77" t="n">
        <v>325.8491662288819</v>
      </c>
      <c r="K214" s="74" t="n">
        <v>318.580500793457</v>
      </c>
      <c r="L214" s="78" t="n">
        <v>269.7737003326416</v>
      </c>
      <c r="M214" s="77" t="n">
        <v>12.28007076791771</v>
      </c>
      <c r="N214" s="53">
        <f>IF(M214="","",IFERROR(M214/I214,""))</f>
        <v/>
      </c>
      <c r="O214" s="50">
        <f>IF(A214="","",IFERROR((IF(G214="",I214,G214)-T214)/M214,""))</f>
        <v/>
      </c>
      <c r="P214" s="50">
        <f>IFERROR((I214/T214-1)/N214,"")</f>
        <v/>
      </c>
      <c r="Q214" s="46">
        <f>IF(OR(T214="",I214&lt;T214),"",IFERROR(R214/IF(G214="",I214,G214)-1,""))</f>
        <v/>
      </c>
      <c r="R214" s="48">
        <f>IF($M214="","",MAX(IF($G214="",$I214,$G214)*(1/1.1),IF($G214="",$I214,$G214)+(R$2*$M214)))</f>
        <v/>
      </c>
      <c r="S214" s="49">
        <f>IF($M214="","",MAX(IF($G214="",$I214,$G214)*(1/1.1),IF($G214="",$I214,$G214)+(S$2*$M214)))</f>
        <v/>
      </c>
      <c r="T214" s="82" t="n">
        <v>300.1335995483398</v>
      </c>
      <c r="U214" s="47">
        <f>IF(OR($M214="",$T214=""),"",$T214+(U$2*$M214))</f>
        <v/>
      </c>
      <c r="V214" s="48">
        <f>IF(OR($M214="",$T214=""),"",$T214+(V$2*$M214))</f>
        <v/>
      </c>
      <c r="W214" s="48">
        <f>IF(OR($M214="",$T214=""),"",$T214+(W$2*$M214))</f>
        <v/>
      </c>
      <c r="X214" s="49">
        <f>IF(OR($M214="",$T214=""),"",$T214+(X$2*$M214))</f>
        <v/>
      </c>
      <c r="Y214" s="47">
        <f>IF(OR($M214="",$T214=""),"",$T214+(Y$2*$M214))</f>
        <v/>
      </c>
      <c r="Z214" s="49">
        <f>IF(OR($M214="",$T214=""),"",$T214+(Z$2*$M214))</f>
        <v/>
      </c>
      <c r="AA214" s="51">
        <f>IF(OR($M214="",$T214=""),"",$T214+(AA$2*$M214))</f>
        <v/>
      </c>
      <c r="AB214" s="48">
        <f>IF(OR($M214="",$T214=""),"",$T214+(AB$2*$M214))</f>
        <v/>
      </c>
      <c r="AC214" s="48">
        <f>IF(OR($M214="",$T214=""),"",$T214+(AC$2*$M214))</f>
        <v/>
      </c>
      <c r="AD214" s="48">
        <f>IF(OR($M214="",$T214=""),"",$T214+(AD$2*$M214))</f>
        <v/>
      </c>
      <c r="AE214" s="49">
        <f>IF(OR($M214="",$T214=""),"",$T214+(AE$2*$M214))</f>
        <v/>
      </c>
      <c r="AF214" s="52">
        <f>IF(OR(T214="",I214&lt;T214),"",IFERROR(AVERAGE(T214+M214*{7,8,9,10,11})/IF(G214="",I214,G214)-1,""))</f>
        <v/>
      </c>
      <c r="AG214" s="55">
        <f>IF(OR(T214="",I214&lt;T214),"",IFERROR(AF214/-(R214/IF(G214="",I214,G214)-1),""))</f>
        <v/>
      </c>
      <c r="AH214" s="94" t="n">
        <v>1</v>
      </c>
      <c r="AI214" s="94" t="n">
        <v>86.3819584067453</v>
      </c>
      <c r="AJ214" s="94" t="n">
        <v>1</v>
      </c>
      <c r="AK214" s="94" t="inlineStr">
        <is>
          <t>OTT Up Trend</t>
        </is>
      </c>
      <c r="AL214" s="84" t="inlineStr">
        <is>
          <t>Penumbra, Inc.</t>
        </is>
      </c>
      <c r="AM214" t="inlineStr">
        <is>
          <t>Healthcare</t>
        </is>
      </c>
      <c r="AN214" t="inlineStr">
        <is>
          <t>Medical Devices</t>
        </is>
      </c>
      <c r="AO214" t="n">
        <v>86</v>
      </c>
    </row>
    <row r="215">
      <c r="A215" s="64" t="inlineStr">
        <is>
          <t>EZPW</t>
        </is>
      </c>
      <c r="B215" s="65" t="n"/>
      <c r="C215" s="66" t="n"/>
      <c r="D215" s="67" t="n"/>
      <c r="E215" s="68" t="n"/>
      <c r="F215" s="47">
        <f>IF(A215="","",IF(MIN(H215,MAX(J215:K215))=0,"",MIN(H215,MAX(J215:K215))))</f>
        <v/>
      </c>
      <c r="G215" s="74" t="n"/>
      <c r="H215" s="49">
        <f>IF(M215="","",IFERROR(ROUND(AVERAGE(T215+M215*{7,8,9,10,11})/1.21,4),""))</f>
        <v/>
      </c>
      <c r="I215" s="76" t="n">
        <v>21.43000030517578</v>
      </c>
      <c r="J215" s="77" t="n">
        <v>21.21677245128407</v>
      </c>
      <c r="K215" s="74" t="n">
        <v>20.55949993133545</v>
      </c>
      <c r="L215" s="78" t="n">
        <v>16.61729998111725</v>
      </c>
      <c r="M215" s="77" t="n">
        <v>0.6199790434600478</v>
      </c>
      <c r="N215" s="53">
        <f>IF(M215="","",IFERROR(M215/I215,""))</f>
        <v/>
      </c>
      <c r="O215" s="50">
        <f>IF(A215="","",IFERROR((IF(G215="",I215,G215)-T215)/M215,""))</f>
        <v/>
      </c>
      <c r="P215" s="50">
        <f>IFERROR((I215/T215-1)/N215,"")</f>
        <v/>
      </c>
      <c r="Q215" s="46">
        <f>IF(OR(T215="",I215&lt;T215),"",IFERROR(R215/IF(G215="",I215,G215)-1,""))</f>
        <v/>
      </c>
      <c r="R215" s="48">
        <f>IF($M215="","",MAX(IF($G215="",$I215,$G215)*(1/1.1),IF($G215="",$I215,$G215)+(R$2*$M215)))</f>
        <v/>
      </c>
      <c r="S215" s="49">
        <f>IF($M215="","",MAX(IF($G215="",$I215,$G215)*(1/1.1),IF($G215="",$I215,$G215)+(S$2*$M215)))</f>
        <v/>
      </c>
      <c r="T215" s="82" t="n">
        <v>19.63000003814697</v>
      </c>
      <c r="U215" s="47">
        <f>IF(OR($M215="",$T215=""),"",$T215+(U$2*$M215))</f>
        <v/>
      </c>
      <c r="V215" s="48">
        <f>IF(OR($M215="",$T215=""),"",$T215+(V$2*$M215))</f>
        <v/>
      </c>
      <c r="W215" s="48">
        <f>IF(OR($M215="",$T215=""),"",$T215+(W$2*$M215))</f>
        <v/>
      </c>
      <c r="X215" s="49">
        <f>IF(OR($M215="",$T215=""),"",$T215+(X$2*$M215))</f>
        <v/>
      </c>
      <c r="Y215" s="47">
        <f>IF(OR($M215="",$T215=""),"",$T215+(Y$2*$M215))</f>
        <v/>
      </c>
      <c r="Z215" s="49">
        <f>IF(OR($M215="",$T215=""),"",$T215+(Z$2*$M215))</f>
        <v/>
      </c>
      <c r="AA215" s="51">
        <f>IF(OR($M215="",$T215=""),"",$T215+(AA$2*$M215))</f>
        <v/>
      </c>
      <c r="AB215" s="48">
        <f>IF(OR($M215="",$T215=""),"",$T215+(AB$2*$M215))</f>
        <v/>
      </c>
      <c r="AC215" s="48">
        <f>IF(OR($M215="",$T215=""),"",$T215+(AC$2*$M215))</f>
        <v/>
      </c>
      <c r="AD215" s="48">
        <f>IF(OR($M215="",$T215=""),"",$T215+(AD$2*$M215))</f>
        <v/>
      </c>
      <c r="AE215" s="49">
        <f>IF(OR($M215="",$T215=""),"",$T215+(AE$2*$M215))</f>
        <v/>
      </c>
      <c r="AF215" s="52">
        <f>IF(OR(T215="",I215&lt;T215),"",IFERROR(AVERAGE(T215+M215*{7,8,9,10,11})/IF(G215="",I215,G215)-1,""))</f>
        <v/>
      </c>
      <c r="AG215" s="55">
        <f>IF(OR(T215="",I215&lt;T215),"",IFERROR(AF215/-(R215/IF(G215="",I215,G215)-1),""))</f>
        <v/>
      </c>
      <c r="AH215" s="94" t="n">
        <v>1</v>
      </c>
      <c r="AI215" s="94" t="n">
        <v>88.99439691579538</v>
      </c>
      <c r="AJ215" s="94" t="n">
        <v>1</v>
      </c>
      <c r="AK215" s="94" t="inlineStr">
        <is>
          <t>OTT Up Trend</t>
        </is>
      </c>
      <c r="AL215" s="84" t="inlineStr">
        <is>
          <t>EZCORP, Inc.</t>
        </is>
      </c>
      <c r="AM215" t="inlineStr">
        <is>
          <t>Financial Services</t>
        </is>
      </c>
      <c r="AN215" t="inlineStr">
        <is>
          <t>Credit Services</t>
        </is>
      </c>
      <c r="AO215" t="n">
        <v>86</v>
      </c>
    </row>
    <row r="216">
      <c r="A216" s="64" t="inlineStr">
        <is>
          <t>JBL</t>
        </is>
      </c>
      <c r="B216" s="65" t="n"/>
      <c r="C216" s="66" t="n"/>
      <c r="D216" s="67" t="n"/>
      <c r="E216" s="68" t="n"/>
      <c r="F216" s="47">
        <f>IF(A216="","",IF(MIN(H216,MAX(J216:K216))=0,"",MIN(H216,MAX(J216:K216))))</f>
        <v/>
      </c>
      <c r="G216" s="74" t="n"/>
      <c r="H216" s="49">
        <f>IF(M216="","",IFERROR(ROUND(AVERAGE(T216+M216*{7,8,9,10,11})/1.21,4),""))</f>
        <v/>
      </c>
      <c r="I216" s="76" t="n">
        <v>251.2899932861328</v>
      </c>
      <c r="J216" s="77" t="n">
        <v>238.4160950205105</v>
      </c>
      <c r="K216" s="74" t="n">
        <v>232.4514999389648</v>
      </c>
      <c r="L216" s="78" t="n">
        <v>200.3930995559692</v>
      </c>
      <c r="M216" s="77" t="n">
        <v>9.374892294243514</v>
      </c>
      <c r="N216" s="53">
        <f>IF(M216="","",IFERROR(M216/I216,""))</f>
        <v/>
      </c>
      <c r="O216" s="50">
        <f>IF(A216="","",IFERROR((IF(G216="",I216,G216)-T216)/M216,""))</f>
        <v/>
      </c>
      <c r="P216" s="50">
        <f>IFERROR((I216/T216-1)/N216,"")</f>
        <v/>
      </c>
      <c r="Q216" s="46">
        <f>IF(OR(T216="",I216&lt;T216),"",IFERROR(R216/IF(G216="",I216,G216)-1,""))</f>
        <v/>
      </c>
      <c r="R216" s="48">
        <f>IF($M216="","",MAX(IF($G216="",$I216,$G216)*(1/1.1),IF($G216="",$I216,$G216)+(R$2*$M216)))</f>
        <v/>
      </c>
      <c r="S216" s="49">
        <f>IF($M216="","",MAX(IF($G216="",$I216,$G216)*(1/1.1),IF($G216="",$I216,$G216)+(S$2*$M216)))</f>
        <v/>
      </c>
      <c r="T216" s="82" t="n">
        <v>220.3329998779297</v>
      </c>
      <c r="U216" s="47">
        <f>IF(OR($M216="",$T216=""),"",$T216+(U$2*$M216))</f>
        <v/>
      </c>
      <c r="V216" s="48">
        <f>IF(OR($M216="",$T216=""),"",$T216+(V$2*$M216))</f>
        <v/>
      </c>
      <c r="W216" s="48">
        <f>IF(OR($M216="",$T216=""),"",$T216+(W$2*$M216))</f>
        <v/>
      </c>
      <c r="X216" s="49">
        <f>IF(OR($M216="",$T216=""),"",$T216+(X$2*$M216))</f>
        <v/>
      </c>
      <c r="Y216" s="47">
        <f>IF(OR($M216="",$T216=""),"",$T216+(Y$2*$M216))</f>
        <v/>
      </c>
      <c r="Z216" s="49">
        <f>IF(OR($M216="",$T216=""),"",$T216+(Z$2*$M216))</f>
        <v/>
      </c>
      <c r="AA216" s="51">
        <f>IF(OR($M216="",$T216=""),"",$T216+(AA$2*$M216))</f>
        <v/>
      </c>
      <c r="AB216" s="48">
        <f>IF(OR($M216="",$T216=""),"",$T216+(AB$2*$M216))</f>
        <v/>
      </c>
      <c r="AC216" s="48">
        <f>IF(OR($M216="",$T216=""),"",$T216+(AC$2*$M216))</f>
        <v/>
      </c>
      <c r="AD216" s="48">
        <f>IF(OR($M216="",$T216=""),"",$T216+(AD$2*$M216))</f>
        <v/>
      </c>
      <c r="AE216" s="49">
        <f>IF(OR($M216="",$T216=""),"",$T216+(AE$2*$M216))</f>
        <v/>
      </c>
      <c r="AF216" s="52">
        <f>IF(OR(T216="",I216&lt;T216),"",IFERROR(AVERAGE(T216+M216*{7,8,9,10,11})/IF(G216="",I216,G216)-1,""))</f>
        <v/>
      </c>
      <c r="AG216" s="55">
        <f>IF(OR(T216="",I216&lt;T216),"",IFERROR(AF216/-(R216/IF(G216="",I216,G216)-1),""))</f>
        <v/>
      </c>
      <c r="AH216" s="94" t="n">
        <v>1</v>
      </c>
      <c r="AI216" s="94" t="n">
        <v>71.44723394378862</v>
      </c>
      <c r="AJ216" s="94" t="n">
        <v>1</v>
      </c>
      <c r="AK216" s="94" t="inlineStr">
        <is>
          <t>OTT Up Trend</t>
        </is>
      </c>
      <c r="AL216" s="84" t="inlineStr">
        <is>
          <t>Jabil Inc.</t>
        </is>
      </c>
      <c r="AM216" t="inlineStr">
        <is>
          <t>Technology</t>
        </is>
      </c>
      <c r="AN216" t="inlineStr">
        <is>
          <t>Electronic Components</t>
        </is>
      </c>
      <c r="AO216" t="n">
        <v>85</v>
      </c>
    </row>
    <row r="217">
      <c r="A217" s="64" t="inlineStr">
        <is>
          <t>ANDE</t>
        </is>
      </c>
      <c r="B217" s="65" t="n"/>
      <c r="C217" s="66" t="n"/>
      <c r="D217" s="67" t="n"/>
      <c r="E217" s="68" t="n"/>
      <c r="F217" s="47">
        <f>IF(A217="","",IF(MIN(H217,MAX(J217:K217))=0,"",MIN(H217,MAX(J217:K217))))</f>
        <v/>
      </c>
      <c r="G217" s="74" t="n"/>
      <c r="H217" s="49">
        <f>IF(M217="","",IFERROR(ROUND(AVERAGE(T217+M217*{7,8,9,10,11})/1.21,4),""))</f>
        <v/>
      </c>
      <c r="I217" s="76" t="n">
        <v>57.84999847412109</v>
      </c>
      <c r="J217" s="77" t="n">
        <v>55.98619580035972</v>
      </c>
      <c r="K217" s="74" t="n">
        <v>54.47599983215332</v>
      </c>
      <c r="L217" s="78" t="n">
        <v>42.1396999835968</v>
      </c>
      <c r="M217" s="77" t="n">
        <v>1.39796603888805</v>
      </c>
      <c r="N217" s="53">
        <f>IF(M217="","",IFERROR(M217/I217,""))</f>
        <v/>
      </c>
      <c r="O217" s="50">
        <f>IF(A217="","",IFERROR((IF(G217="",I217,G217)-T217)/M217,""))</f>
        <v/>
      </c>
      <c r="P217" s="50">
        <f>IFERROR((I217/T217-1)/N217,"")</f>
        <v/>
      </c>
      <c r="Q217" s="46">
        <f>IF(OR(T217="",I217&lt;T217),"",IFERROR(R217/IF(G217="",I217,G217)-1,""))</f>
        <v/>
      </c>
      <c r="R217" s="48">
        <f>IF($M217="","",MAX(IF($G217="",$I217,$G217)*(1/1.1),IF($G217="",$I217,$G217)+(R$2*$M217)))</f>
        <v/>
      </c>
      <c r="S217" s="49">
        <f>IF($M217="","",MAX(IF($G217="",$I217,$G217)*(1/1.1),IF($G217="",$I217,$G217)+(S$2*$M217)))</f>
        <v/>
      </c>
      <c r="T217" s="82" t="n">
        <v>52.41139984130859</v>
      </c>
      <c r="U217" s="47">
        <f>IF(OR($M217="",$T217=""),"",$T217+(U$2*$M217))</f>
        <v/>
      </c>
      <c r="V217" s="48">
        <f>IF(OR($M217="",$T217=""),"",$T217+(V$2*$M217))</f>
        <v/>
      </c>
      <c r="W217" s="48">
        <f>IF(OR($M217="",$T217=""),"",$T217+(W$2*$M217))</f>
        <v/>
      </c>
      <c r="X217" s="49">
        <f>IF(OR($M217="",$T217=""),"",$T217+(X$2*$M217))</f>
        <v/>
      </c>
      <c r="Y217" s="47">
        <f>IF(OR($M217="",$T217=""),"",$T217+(Y$2*$M217))</f>
        <v/>
      </c>
      <c r="Z217" s="49">
        <f>IF(OR($M217="",$T217=""),"",$T217+(Z$2*$M217))</f>
        <v/>
      </c>
      <c r="AA217" s="51">
        <f>IF(OR($M217="",$T217=""),"",$T217+(AA$2*$M217))</f>
        <v/>
      </c>
      <c r="AB217" s="48">
        <f>IF(OR($M217="",$T217=""),"",$T217+(AB$2*$M217))</f>
        <v/>
      </c>
      <c r="AC217" s="48">
        <f>IF(OR($M217="",$T217=""),"",$T217+(AC$2*$M217))</f>
        <v/>
      </c>
      <c r="AD217" s="48">
        <f>IF(OR($M217="",$T217=""),"",$T217+(AD$2*$M217))</f>
        <v/>
      </c>
      <c r="AE217" s="49">
        <f>IF(OR($M217="",$T217=""),"",$T217+(AE$2*$M217))</f>
        <v/>
      </c>
      <c r="AF217" s="52">
        <f>IF(OR(T217="",I217&lt;T217),"",IFERROR(AVERAGE(T217+M217*{7,8,9,10,11})/IF(G217="",I217,G217)-1,""))</f>
        <v/>
      </c>
      <c r="AG217" s="55">
        <f>IF(OR(T217="",I217&lt;T217),"",IFERROR(AF217/-(R217/IF(G217="",I217,G217)-1),""))</f>
        <v/>
      </c>
      <c r="AH217" s="94" t="n">
        <v>1</v>
      </c>
      <c r="AI217" s="94" t="n">
        <v>101.0920161506193</v>
      </c>
      <c r="AJ217" s="94" t="n">
        <v>1</v>
      </c>
      <c r="AK217" s="94" t="inlineStr">
        <is>
          <t>OTT Up Trend</t>
        </is>
      </c>
      <c r="AL217" s="84" t="inlineStr">
        <is>
          <t>The Andersons, Inc.</t>
        </is>
      </c>
      <c r="AM217" t="inlineStr">
        <is>
          <t>Consumer Defensive</t>
        </is>
      </c>
      <c r="AN217" t="inlineStr">
        <is>
          <t>Food Distribution</t>
        </is>
      </c>
      <c r="AO217" t="n">
        <v>85</v>
      </c>
    </row>
    <row r="218">
      <c r="A218" s="64" t="inlineStr">
        <is>
          <t>CTKB</t>
        </is>
      </c>
      <c r="B218" s="65" t="n"/>
      <c r="C218" s="66" t="n"/>
      <c r="D218" s="67" t="n"/>
      <c r="E218" s="68" t="n"/>
      <c r="F218" s="47">
        <f>IF(A218="","",IF(MIN(H218,MAX(J218:K218))=0,"",MIN(H218,MAX(J218:K218))))</f>
        <v/>
      </c>
      <c r="G218" s="74" t="n"/>
      <c r="H218" s="49">
        <f>IF(M218="","",IFERROR(ROUND(AVERAGE(T218+M218*{7,8,9,10,11})/1.21,4),""))</f>
        <v/>
      </c>
      <c r="I218" s="76" t="n">
        <v>5.400000095367432</v>
      </c>
      <c r="J218" s="77" t="n">
        <v>5.46924041197998</v>
      </c>
      <c r="K218" s="74" t="n">
        <v>5.265499997138977</v>
      </c>
      <c r="L218" s="78" t="n">
        <v>4.001050013303757</v>
      </c>
      <c r="M218" s="77" t="n">
        <v>0.261795972492564</v>
      </c>
      <c r="N218" s="53">
        <f>IF(M218="","",IFERROR(M218/I218,""))</f>
        <v/>
      </c>
      <c r="O218" s="50">
        <f>IF(A218="","",IFERROR((IF(G218="",I218,G218)-T218)/M218,""))</f>
        <v/>
      </c>
      <c r="P218" s="50">
        <f>IFERROR((I218/T218-1)/N218,"")</f>
        <v/>
      </c>
      <c r="Q218" s="46">
        <f>IF(OR(T218="",I218&lt;T218),"",IFERROR(R218/IF(G218="",I218,G218)-1,""))</f>
        <v/>
      </c>
      <c r="R218" s="48">
        <f>IF($M218="","",MAX(IF($G218="",$I218,$G218)*(1/1.1),IF($G218="",$I218,$G218)+(R$2*$M218)))</f>
        <v/>
      </c>
      <c r="S218" s="49">
        <f>IF($M218="","",MAX(IF($G218="",$I218,$G218)*(1/1.1),IF($G218="",$I218,$G218)+(S$2*$M218)))</f>
        <v/>
      </c>
      <c r="T218" s="82" t="n">
        <v>5.157600002288818</v>
      </c>
      <c r="U218" s="47">
        <f>IF(OR($M218="",$T218=""),"",$T218+(U$2*$M218))</f>
        <v/>
      </c>
      <c r="V218" s="48">
        <f>IF(OR($M218="",$T218=""),"",$T218+(V$2*$M218))</f>
        <v/>
      </c>
      <c r="W218" s="48">
        <f>IF(OR($M218="",$T218=""),"",$T218+(W$2*$M218))</f>
        <v/>
      </c>
      <c r="X218" s="49">
        <f>IF(OR($M218="",$T218=""),"",$T218+(X$2*$M218))</f>
        <v/>
      </c>
      <c r="Y218" s="47">
        <f>IF(OR($M218="",$T218=""),"",$T218+(Y$2*$M218))</f>
        <v/>
      </c>
      <c r="Z218" s="49">
        <f>IF(OR($M218="",$T218=""),"",$T218+(Z$2*$M218))</f>
        <v/>
      </c>
      <c r="AA218" s="51">
        <f>IF(OR($M218="",$T218=""),"",$T218+(AA$2*$M218))</f>
        <v/>
      </c>
      <c r="AB218" s="48">
        <f>IF(OR($M218="",$T218=""),"",$T218+(AB$2*$M218))</f>
        <v/>
      </c>
      <c r="AC218" s="48">
        <f>IF(OR($M218="",$T218=""),"",$T218+(AC$2*$M218))</f>
        <v/>
      </c>
      <c r="AD218" s="48">
        <f>IF(OR($M218="",$T218=""),"",$T218+(AD$2*$M218))</f>
        <v/>
      </c>
      <c r="AE218" s="49">
        <f>IF(OR($M218="",$T218=""),"",$T218+(AE$2*$M218))</f>
        <v/>
      </c>
      <c r="AF218" s="52">
        <f>IF(OR(T218="",I218&lt;T218),"",IFERROR(AVERAGE(T218+M218*{7,8,9,10,11})/IF(G218="",I218,G218)-1,""))</f>
        <v/>
      </c>
      <c r="AG218" s="55">
        <f>IF(OR(T218="",I218&lt;T218),"",IFERROR(AF218/-(R218/IF(G218="",I218,G218)-1),""))</f>
        <v/>
      </c>
      <c r="AH218" s="94" t="n">
        <v>1</v>
      </c>
      <c r="AI218" s="94" t="n">
        <v>61.06025685709593</v>
      </c>
      <c r="AJ218" s="94" t="n">
        <v>1</v>
      </c>
      <c r="AK218" s="94" t="inlineStr">
        <is>
          <t>OTT Up Trend</t>
        </is>
      </c>
      <c r="AL218" s="84" t="inlineStr">
        <is>
          <t>Cytek Biosciences, Inc.</t>
        </is>
      </c>
      <c r="AM218" t="inlineStr">
        <is>
          <t>Healthcare</t>
        </is>
      </c>
      <c r="AN218" t="inlineStr">
        <is>
          <t>Medical Devices</t>
        </is>
      </c>
      <c r="AO218" t="n">
        <v>85</v>
      </c>
    </row>
    <row r="219">
      <c r="A219" s="64" t="inlineStr">
        <is>
          <t>NUE</t>
        </is>
      </c>
      <c r="B219" s="65" t="n"/>
      <c r="C219" s="66" t="n"/>
      <c r="D219" s="67" t="n"/>
      <c r="E219" s="68" t="n"/>
      <c r="F219" s="47">
        <f>IF(A219="","",IF(MIN(H219,MAX(J219:K219))=0,"",MIN(H219,MAX(J219:K219))))</f>
        <v/>
      </c>
      <c r="G219" s="74" t="n"/>
      <c r="H219" s="49">
        <f>IF(M219="","",IFERROR(ROUND(AVERAGE(T219+M219*{7,8,9,10,11})/1.21,4),""))</f>
        <v/>
      </c>
      <c r="I219" s="76" t="n">
        <v>174.3899993896484</v>
      </c>
      <c r="J219" s="77" t="n">
        <v>169.8544949661422</v>
      </c>
      <c r="K219" s="74" t="n">
        <v>166.5209999084473</v>
      </c>
      <c r="L219" s="78" t="n">
        <v>138.3147996139526</v>
      </c>
      <c r="M219" s="77" t="n">
        <v>4.281700920853259</v>
      </c>
      <c r="N219" s="53">
        <f>IF(M219="","",IFERROR(M219/I219,""))</f>
        <v/>
      </c>
      <c r="O219" s="50">
        <f>IF(A219="","",IFERROR((IF(G219="",I219,G219)-T219)/M219,""))</f>
        <v/>
      </c>
      <c r="P219" s="50">
        <f>IFERROR((I219/T219-1)/N219,"")</f>
        <v/>
      </c>
      <c r="Q219" s="46">
        <f>IF(OR(T219="",I219&lt;T219),"",IFERROR(R219/IF(G219="",I219,G219)-1,""))</f>
        <v/>
      </c>
      <c r="R219" s="48">
        <f>IF($M219="","",MAX(IF($G219="",$I219,$G219)*(1/1.1),IF($G219="",$I219,$G219)+(R$2*$M219)))</f>
        <v/>
      </c>
      <c r="S219" s="49">
        <f>IF($M219="","",MAX(IF($G219="",$I219,$G219)*(1/1.1),IF($G219="",$I219,$G219)+(S$2*$M219)))</f>
        <v/>
      </c>
      <c r="T219" s="82" t="n">
        <v>159.4810000610352</v>
      </c>
      <c r="U219" s="47">
        <f>IF(OR($M219="",$T219=""),"",$T219+(U$2*$M219))</f>
        <v/>
      </c>
      <c r="V219" s="48">
        <f>IF(OR($M219="",$T219=""),"",$T219+(V$2*$M219))</f>
        <v/>
      </c>
      <c r="W219" s="48">
        <f>IF(OR($M219="",$T219=""),"",$T219+(W$2*$M219))</f>
        <v/>
      </c>
      <c r="X219" s="49">
        <f>IF(OR($M219="",$T219=""),"",$T219+(X$2*$M219))</f>
        <v/>
      </c>
      <c r="Y219" s="47">
        <f>IF(OR($M219="",$T219=""),"",$T219+(Y$2*$M219))</f>
        <v/>
      </c>
      <c r="Z219" s="49">
        <f>IF(OR($M219="",$T219=""),"",$T219+(Z$2*$M219))</f>
        <v/>
      </c>
      <c r="AA219" s="51">
        <f>IF(OR($M219="",$T219=""),"",$T219+(AA$2*$M219))</f>
        <v/>
      </c>
      <c r="AB219" s="48">
        <f>IF(OR($M219="",$T219=""),"",$T219+(AB$2*$M219))</f>
        <v/>
      </c>
      <c r="AC219" s="48">
        <f>IF(OR($M219="",$T219=""),"",$T219+(AC$2*$M219))</f>
        <v/>
      </c>
      <c r="AD219" s="48">
        <f>IF(OR($M219="",$T219=""),"",$T219+(AD$2*$M219))</f>
        <v/>
      </c>
      <c r="AE219" s="49">
        <f>IF(OR($M219="",$T219=""),"",$T219+(AE$2*$M219))</f>
        <v/>
      </c>
      <c r="AF219" s="52">
        <f>IF(OR(T219="",I219&lt;T219),"",IFERROR(AVERAGE(T219+M219*{7,8,9,10,11})/IF(G219="",I219,G219)-1,""))</f>
        <v/>
      </c>
      <c r="AG219" s="55">
        <f>IF(OR(T219="",I219&lt;T219),"",IFERROR(AF219/-(R219/IF(G219="",I219,G219)-1),""))</f>
        <v/>
      </c>
      <c r="AH219" s="94" t="n">
        <v>1</v>
      </c>
      <c r="AI219" s="94" t="n">
        <v>83.9678434111477</v>
      </c>
      <c r="AJ219" s="94" t="n">
        <v>1</v>
      </c>
      <c r="AK219" s="94" t="inlineStr">
        <is>
          <t>OTT Up Trend</t>
        </is>
      </c>
      <c r="AL219" s="84" t="inlineStr">
        <is>
          <t>Nucor Corporation</t>
        </is>
      </c>
      <c r="AM219" t="inlineStr">
        <is>
          <t>Basic Materials</t>
        </is>
      </c>
      <c r="AN219" t="inlineStr">
        <is>
          <t>Steel</t>
        </is>
      </c>
      <c r="AO219" t="n">
        <v>85</v>
      </c>
    </row>
    <row r="220">
      <c r="A220" s="64" t="inlineStr">
        <is>
          <t>PTCT</t>
        </is>
      </c>
      <c r="B220" s="65" t="n"/>
      <c r="C220" s="66" t="n"/>
      <c r="D220" s="67" t="n"/>
      <c r="E220" s="68" t="n"/>
      <c r="F220" s="47">
        <f>IF(A220="","",IF(MIN(H220,MAX(J220:K220))=0,"",MIN(H220,MAX(J220:K220))))</f>
        <v/>
      </c>
      <c r="G220" s="74" t="n"/>
      <c r="H220" s="49">
        <f>IF(M220="","",IFERROR(ROUND(AVERAGE(T220+M220*{7,8,9,10,11})/1.21,4),""))</f>
        <v/>
      </c>
      <c r="I220" s="76" t="n">
        <v>72.48000335693359</v>
      </c>
      <c r="J220" s="77" t="n">
        <v>75.91286653938029</v>
      </c>
      <c r="K220" s="74" t="n">
        <v>76.83499946594239</v>
      </c>
      <c r="L220" s="78" t="n">
        <v>58.60767486572266</v>
      </c>
      <c r="M220" s="77" t="n">
        <v>3.04656015330616</v>
      </c>
      <c r="N220" s="53">
        <f>IF(M220="","",IFERROR(M220/I220,""))</f>
        <v/>
      </c>
      <c r="O220" s="50">
        <f>IF(A220="","",IFERROR((IF(G220="",I220,G220)-T220)/M220,""))</f>
        <v/>
      </c>
      <c r="P220" s="50">
        <f>IFERROR((I220/T220-1)/N220,"")</f>
        <v/>
      </c>
      <c r="Q220" s="46">
        <f>IF(OR(T220="",I220&lt;T220),"",IFERROR(R220/IF(G220="",I220,G220)-1,""))</f>
        <v/>
      </c>
      <c r="R220" s="48">
        <f>IF($M220="","",MAX(IF($G220="",$I220,$G220)*(1/1.1),IF($G220="",$I220,$G220)+(R$2*$M220)))</f>
        <v/>
      </c>
      <c r="S220" s="49">
        <f>IF($M220="","",MAX(IF($G220="",$I220,$G220)*(1/1.1),IF($G220="",$I220,$G220)+(S$2*$M220)))</f>
        <v/>
      </c>
      <c r="T220" s="82" t="n">
        <v>76.65779968261718</v>
      </c>
      <c r="U220" s="47">
        <f>IF(OR($M220="",$T220=""),"",$T220+(U$2*$M220))</f>
        <v/>
      </c>
      <c r="V220" s="48">
        <f>IF(OR($M220="",$T220=""),"",$T220+(V$2*$M220))</f>
        <v/>
      </c>
      <c r="W220" s="48">
        <f>IF(OR($M220="",$T220=""),"",$T220+(W$2*$M220))</f>
        <v/>
      </c>
      <c r="X220" s="49">
        <f>IF(OR($M220="",$T220=""),"",$T220+(X$2*$M220))</f>
        <v/>
      </c>
      <c r="Y220" s="47">
        <f>IF(OR($M220="",$T220=""),"",$T220+(Y$2*$M220))</f>
        <v/>
      </c>
      <c r="Z220" s="49">
        <f>IF(OR($M220="",$T220=""),"",$T220+(Z$2*$M220))</f>
        <v/>
      </c>
      <c r="AA220" s="51">
        <f>IF(OR($M220="",$T220=""),"",$T220+(AA$2*$M220))</f>
        <v/>
      </c>
      <c r="AB220" s="48">
        <f>IF(OR($M220="",$T220=""),"",$T220+(AB$2*$M220))</f>
        <v/>
      </c>
      <c r="AC220" s="48">
        <f>IF(OR($M220="",$T220=""),"",$T220+(AC$2*$M220))</f>
        <v/>
      </c>
      <c r="AD220" s="48">
        <f>IF(OR($M220="",$T220=""),"",$T220+(AD$2*$M220))</f>
        <v/>
      </c>
      <c r="AE220" s="49">
        <f>IF(OR($M220="",$T220=""),"",$T220+(AE$2*$M220))</f>
        <v/>
      </c>
      <c r="AF220" s="52">
        <f>IF(OR(T220="",I220&lt;T220),"",IFERROR(AVERAGE(T220+M220*{7,8,9,10,11})/IF(G220="",I220,G220)-1,""))</f>
        <v/>
      </c>
      <c r="AG220" s="55">
        <f>IF(OR(T220="",I220&lt;T220),"",IFERROR(AF220/-(R220/IF(G220="",I220,G220)-1),""))</f>
        <v/>
      </c>
      <c r="AH220" s="94" t="n">
        <v>-1</v>
      </c>
      <c r="AI220" s="94" t="n">
        <v>-7.832567600528588</v>
      </c>
      <c r="AJ220" s="94" t="n">
        <v>0</v>
      </c>
      <c r="AK220" s="94" t="inlineStr">
        <is>
          <t>None</t>
        </is>
      </c>
      <c r="AL220" s="84" t="inlineStr">
        <is>
          <t>PTC Therapeutics, Inc.</t>
        </is>
      </c>
      <c r="AM220" t="inlineStr">
        <is>
          <t>Healthcare</t>
        </is>
      </c>
      <c r="AN220" t="inlineStr">
        <is>
          <t>Biotechnology</t>
        </is>
      </c>
      <c r="AO220" t="n">
        <v>85</v>
      </c>
    </row>
    <row r="221">
      <c r="A221" s="64" t="inlineStr">
        <is>
          <t>MSGS</t>
        </is>
      </c>
      <c r="B221" s="65" t="n"/>
      <c r="C221" s="66" t="n"/>
      <c r="D221" s="67" t="n"/>
      <c r="E221" s="68" t="n"/>
      <c r="F221" s="47">
        <f>IF(A221="","",IF(MIN(H221,MAX(J221:K221))=0,"",MIN(H221,MAX(J221:K221))))</f>
        <v/>
      </c>
      <c r="G221" s="74" t="n"/>
      <c r="H221" s="49">
        <f>IF(M221="","",IFERROR(ROUND(AVERAGE(T221+M221*{7,8,9,10,11})/1.21,4),""))</f>
        <v/>
      </c>
      <c r="I221" s="76" t="n">
        <v>289.6099853515625</v>
      </c>
      <c r="J221" s="77" t="n">
        <v>273.392678828536</v>
      </c>
      <c r="K221" s="74" t="n">
        <v>262.2599975585937</v>
      </c>
      <c r="L221" s="78" t="n">
        <v>211.9318000793457</v>
      </c>
      <c r="M221" s="77" t="n">
        <v>7.039566948788285</v>
      </c>
      <c r="N221" s="53">
        <f>IF(M221="","",IFERROR(M221/I221,""))</f>
        <v/>
      </c>
      <c r="O221" s="50">
        <f>IF(A221="","",IFERROR((IF(G221="",I221,G221)-T221)/M221,""))</f>
        <v/>
      </c>
      <c r="P221" s="50">
        <f>IFERROR((I221/T221-1)/N221,"")</f>
        <v/>
      </c>
      <c r="Q221" s="46">
        <f>IF(OR(T221="",I221&lt;T221),"",IFERROR(R221/IF(G221="",I221,G221)-1,""))</f>
        <v/>
      </c>
      <c r="R221" s="48">
        <f>IF($M221="","",MAX(IF($G221="",$I221,$G221)*(1/1.1),IF($G221="",$I221,$G221)+(R$2*$M221)))</f>
        <v/>
      </c>
      <c r="S221" s="49">
        <f>IF($M221="","",MAX(IF($G221="",$I221,$G221)*(1/1.1),IF($G221="",$I221,$G221)+(S$2*$M221)))</f>
        <v/>
      </c>
      <c r="T221" s="82" t="n">
        <v>238.8733996582031</v>
      </c>
      <c r="U221" s="47">
        <f>IF(OR($M221="",$T221=""),"",$T221+(U$2*$M221))</f>
        <v/>
      </c>
      <c r="V221" s="48">
        <f>IF(OR($M221="",$T221=""),"",$T221+(V$2*$M221))</f>
        <v/>
      </c>
      <c r="W221" s="48">
        <f>IF(OR($M221="",$T221=""),"",$T221+(W$2*$M221))</f>
        <v/>
      </c>
      <c r="X221" s="49">
        <f>IF(OR($M221="",$T221=""),"",$T221+(X$2*$M221))</f>
        <v/>
      </c>
      <c r="Y221" s="47">
        <f>IF(OR($M221="",$T221=""),"",$T221+(Y$2*$M221))</f>
        <v/>
      </c>
      <c r="Z221" s="49">
        <f>IF(OR($M221="",$T221=""),"",$T221+(Z$2*$M221))</f>
        <v/>
      </c>
      <c r="AA221" s="51">
        <f>IF(OR($M221="",$T221=""),"",$T221+(AA$2*$M221))</f>
        <v/>
      </c>
      <c r="AB221" s="48">
        <f>IF(OR($M221="",$T221=""),"",$T221+(AB$2*$M221))</f>
        <v/>
      </c>
      <c r="AC221" s="48">
        <f>IF(OR($M221="",$T221=""),"",$T221+(AC$2*$M221))</f>
        <v/>
      </c>
      <c r="AD221" s="48">
        <f>IF(OR($M221="",$T221=""),"",$T221+(AD$2*$M221))</f>
        <v/>
      </c>
      <c r="AE221" s="49">
        <f>IF(OR($M221="",$T221=""),"",$T221+(AE$2*$M221))</f>
        <v/>
      </c>
      <c r="AF221" s="52">
        <f>IF(OR(T221="",I221&lt;T221),"",IFERROR(AVERAGE(T221+M221*{7,8,9,10,11})/IF(G221="",I221,G221)-1,""))</f>
        <v/>
      </c>
      <c r="AG221" s="55">
        <f>IF(OR(T221="",I221&lt;T221),"",IFERROR(AF221/-(R221/IF(G221="",I221,G221)-1),""))</f>
        <v/>
      </c>
      <c r="AH221" s="94" t="n">
        <v>1</v>
      </c>
      <c r="AI221" s="94" t="n">
        <v>193.7665041267576</v>
      </c>
      <c r="AJ221" s="94" t="n">
        <v>1</v>
      </c>
      <c r="AK221" s="94" t="inlineStr">
        <is>
          <t>OTT Up Trend</t>
        </is>
      </c>
      <c r="AL221" s="84" t="inlineStr">
        <is>
          <t>Madison Square Garden Sports Co</t>
        </is>
      </c>
      <c r="AM221" t="inlineStr">
        <is>
          <t>Communication Services</t>
        </is>
      </c>
      <c r="AN221" t="inlineStr">
        <is>
          <t>Entertainment</t>
        </is>
      </c>
      <c r="AO221" t="n">
        <v>85</v>
      </c>
    </row>
    <row r="222">
      <c r="A222" s="64" t="inlineStr">
        <is>
          <t>HXL</t>
        </is>
      </c>
      <c r="B222" s="65" t="n"/>
      <c r="C222" s="66" t="n"/>
      <c r="D222" s="67" t="n"/>
      <c r="E222" s="68" t="n"/>
      <c r="F222" s="47">
        <f>IF(A222="","",IF(MIN(H222,MAX(J222:K222))=0,"",MIN(H222,MAX(J222:K222))))</f>
        <v/>
      </c>
      <c r="G222" s="74" t="n"/>
      <c r="H222" s="49">
        <f>IF(M222="","",IFERROR(ROUND(AVERAGE(T222+M222*{7,8,9,10,11})/1.21,4),""))</f>
        <v/>
      </c>
      <c r="I222" s="76" t="n">
        <v>82.58999633789062</v>
      </c>
      <c r="J222" s="77" t="n">
        <v>81.1356120588863</v>
      </c>
      <c r="K222" s="74" t="n">
        <v>78.16749992370606</v>
      </c>
      <c r="L222" s="78" t="n">
        <v>62.81750003814697</v>
      </c>
      <c r="M222" s="77" t="n">
        <v>1.892106195256868</v>
      </c>
      <c r="N222" s="53">
        <f>IF(M222="","",IFERROR(M222/I222,""))</f>
        <v/>
      </c>
      <c r="O222" s="50">
        <f>IF(A222="","",IFERROR((IF(G222="",I222,G222)-T222)/M222,""))</f>
        <v/>
      </c>
      <c r="P222" s="50">
        <f>IFERROR((I222/T222-1)/N222,"")</f>
        <v/>
      </c>
      <c r="Q222" s="46">
        <f>IF(OR(T222="",I222&lt;T222),"",IFERROR(R222/IF(G222="",I222,G222)-1,""))</f>
        <v/>
      </c>
      <c r="R222" s="48">
        <f>IF($M222="","",MAX(IF($G222="",$I222,$G222)*(1/1.1),IF($G222="",$I222,$G222)+(R$2*$M222)))</f>
        <v/>
      </c>
      <c r="S222" s="49">
        <f>IF($M222="","",MAX(IF($G222="",$I222,$G222)*(1/1.1),IF($G222="",$I222,$G222)+(S$2*$M222)))</f>
        <v/>
      </c>
      <c r="T222" s="82" t="n">
        <v>74.91920013427735</v>
      </c>
      <c r="U222" s="47">
        <f>IF(OR($M222="",$T222=""),"",$T222+(U$2*$M222))</f>
        <v/>
      </c>
      <c r="V222" s="48">
        <f>IF(OR($M222="",$T222=""),"",$T222+(V$2*$M222))</f>
        <v/>
      </c>
      <c r="W222" s="48">
        <f>IF(OR($M222="",$T222=""),"",$T222+(W$2*$M222))</f>
        <v/>
      </c>
      <c r="X222" s="49">
        <f>IF(OR($M222="",$T222=""),"",$T222+(X$2*$M222))</f>
        <v/>
      </c>
      <c r="Y222" s="47">
        <f>IF(OR($M222="",$T222=""),"",$T222+(Y$2*$M222))</f>
        <v/>
      </c>
      <c r="Z222" s="49">
        <f>IF(OR($M222="",$T222=""),"",$T222+(Z$2*$M222))</f>
        <v/>
      </c>
      <c r="AA222" s="51">
        <f>IF(OR($M222="",$T222=""),"",$T222+(AA$2*$M222))</f>
        <v/>
      </c>
      <c r="AB222" s="48">
        <f>IF(OR($M222="",$T222=""),"",$T222+(AB$2*$M222))</f>
        <v/>
      </c>
      <c r="AC222" s="48">
        <f>IF(OR($M222="",$T222=""),"",$T222+(AC$2*$M222))</f>
        <v/>
      </c>
      <c r="AD222" s="48">
        <f>IF(OR($M222="",$T222=""),"",$T222+(AD$2*$M222))</f>
        <v/>
      </c>
      <c r="AE222" s="49">
        <f>IF(OR($M222="",$T222=""),"",$T222+(AE$2*$M222))</f>
        <v/>
      </c>
      <c r="AF222" s="52">
        <f>IF(OR(T222="",I222&lt;T222),"",IFERROR(AVERAGE(T222+M222*{7,8,9,10,11})/IF(G222="",I222,G222)-1,""))</f>
        <v/>
      </c>
      <c r="AG222" s="55">
        <f>IF(OR(T222="",I222&lt;T222),"",IFERROR(AF222/-(R222/IF(G222="",I222,G222)-1),""))</f>
        <v/>
      </c>
      <c r="AH222" s="94" t="n">
        <v>1</v>
      </c>
      <c r="AI222" s="94" t="n">
        <v>130.1948092247897</v>
      </c>
      <c r="AJ222" s="94" t="n">
        <v>1</v>
      </c>
      <c r="AK222" s="94" t="inlineStr">
        <is>
          <t>OTT Up Trend</t>
        </is>
      </c>
      <c r="AL222" s="84" t="inlineStr">
        <is>
          <t>Hexcel Corporation</t>
        </is>
      </c>
      <c r="AM222" t="inlineStr">
        <is>
          <t>Industrials</t>
        </is>
      </c>
      <c r="AN222" t="inlineStr">
        <is>
          <t>Aerospace &amp; Defense</t>
        </is>
      </c>
      <c r="AO222" t="n">
        <v>85</v>
      </c>
    </row>
    <row r="223">
      <c r="A223" s="64" t="inlineStr">
        <is>
          <t>LUV</t>
        </is>
      </c>
      <c r="B223" s="65" t="n"/>
      <c r="C223" s="66" t="n"/>
      <c r="D223" s="67" t="n"/>
      <c r="E223" s="68" t="n"/>
      <c r="F223" s="47">
        <f>IF(A223="","",IF(MIN(H223,MAX(J223:K223))=0,"",MIN(H223,MAX(J223:K223))))</f>
        <v/>
      </c>
      <c r="G223" s="74" t="n"/>
      <c r="H223" s="49">
        <f>IF(M223="","",IFERROR(ROUND(AVERAGE(T223+M223*{7,8,9,10,11})/1.21,4),""))</f>
        <v/>
      </c>
      <c r="I223" s="76" t="n">
        <v>43.11999893188477</v>
      </c>
      <c r="J223" s="77" t="n">
        <v>42.8632284071815</v>
      </c>
      <c r="K223" s="74" t="n">
        <v>42.2194995880127</v>
      </c>
      <c r="L223" s="78" t="n">
        <v>33.18290000915528</v>
      </c>
      <c r="M223" s="77" t="n">
        <v>1.155708431552984</v>
      </c>
      <c r="N223" s="53">
        <f>IF(M223="","",IFERROR(M223/I223,""))</f>
        <v/>
      </c>
      <c r="O223" s="50">
        <f>IF(A223="","",IFERROR((IF(G223="",I223,G223)-T223)/M223,""))</f>
        <v/>
      </c>
      <c r="P223" s="50">
        <f>IFERROR((I223/T223-1)/N223,"")</f>
        <v/>
      </c>
      <c r="Q223" s="46">
        <f>IF(OR(T223="",I223&lt;T223),"",IFERROR(R223/IF(G223="",I223,G223)-1,""))</f>
        <v/>
      </c>
      <c r="R223" s="48">
        <f>IF($M223="","",MAX(IF($G223="",$I223,$G223)*(1/1.1),IF($G223="",$I223,$G223)+(R$2*$M223)))</f>
        <v/>
      </c>
      <c r="S223" s="49">
        <f>IF($M223="","",MAX(IF($G223="",$I223,$G223)*(1/1.1),IF($G223="",$I223,$G223)+(S$2*$M223)))</f>
        <v/>
      </c>
      <c r="T223" s="82" t="n">
        <v>38.0653999710083</v>
      </c>
      <c r="U223" s="47">
        <f>IF(OR($M223="",$T223=""),"",$T223+(U$2*$M223))</f>
        <v/>
      </c>
      <c r="V223" s="48">
        <f>IF(OR($M223="",$T223=""),"",$T223+(V$2*$M223))</f>
        <v/>
      </c>
      <c r="W223" s="48">
        <f>IF(OR($M223="",$T223=""),"",$T223+(W$2*$M223))</f>
        <v/>
      </c>
      <c r="X223" s="49">
        <f>IF(OR($M223="",$T223=""),"",$T223+(X$2*$M223))</f>
        <v/>
      </c>
      <c r="Y223" s="47">
        <f>IF(OR($M223="",$T223=""),"",$T223+(Y$2*$M223))</f>
        <v/>
      </c>
      <c r="Z223" s="49">
        <f>IF(OR($M223="",$T223=""),"",$T223+(Z$2*$M223))</f>
        <v/>
      </c>
      <c r="AA223" s="51">
        <f>IF(OR($M223="",$T223=""),"",$T223+(AA$2*$M223))</f>
        <v/>
      </c>
      <c r="AB223" s="48">
        <f>IF(OR($M223="",$T223=""),"",$T223+(AB$2*$M223))</f>
        <v/>
      </c>
      <c r="AC223" s="48">
        <f>IF(OR($M223="",$T223=""),"",$T223+(AC$2*$M223))</f>
        <v/>
      </c>
      <c r="AD223" s="48">
        <f>IF(OR($M223="",$T223=""),"",$T223+(AD$2*$M223))</f>
        <v/>
      </c>
      <c r="AE223" s="49">
        <f>IF(OR($M223="",$T223=""),"",$T223+(AE$2*$M223))</f>
        <v/>
      </c>
      <c r="AF223" s="52">
        <f>IF(OR(T223="",I223&lt;T223),"",IFERROR(AVERAGE(T223+M223*{7,8,9,10,11})/IF(G223="",I223,G223)-1,""))</f>
        <v/>
      </c>
      <c r="AG223" s="55">
        <f>IF(OR(T223="",I223&lt;T223),"",IFERROR(AF223/-(R223/IF(G223="",I223,G223)-1),""))</f>
        <v/>
      </c>
      <c r="AH223" s="94" t="n">
        <v>1</v>
      </c>
      <c r="AI223" s="94" t="n">
        <v>120.1729376804671</v>
      </c>
      <c r="AJ223" s="94" t="n">
        <v>0</v>
      </c>
      <c r="AK223" s="94" t="inlineStr">
        <is>
          <t>OTT Up Trend</t>
        </is>
      </c>
      <c r="AL223" s="84" t="inlineStr">
        <is>
          <t>Southwest Airlines Company</t>
        </is>
      </c>
      <c r="AM223" t="inlineStr">
        <is>
          <t>Industrials</t>
        </is>
      </c>
      <c r="AN223" t="inlineStr">
        <is>
          <t>Airlines</t>
        </is>
      </c>
      <c r="AO223" t="n">
        <v>85</v>
      </c>
    </row>
    <row r="224">
      <c r="A224" s="64" t="inlineStr">
        <is>
          <t>ROK</t>
        </is>
      </c>
      <c r="B224" s="65" t="n"/>
      <c r="C224" s="66" t="n"/>
      <c r="D224" s="67" t="n"/>
      <c r="E224" s="68" t="n"/>
      <c r="F224" s="47">
        <f>IF(A224="","",IF(MIN(H224,MAX(J224:K224))=0,"",MIN(H224,MAX(J224:K224))))</f>
        <v/>
      </c>
      <c r="G224" s="74" t="n"/>
      <c r="H224" s="49">
        <f>IF(M224="","",IFERROR(ROUND(AVERAGE(T224+M224*{7,8,9,10,11})/1.21,4),""))</f>
        <v/>
      </c>
      <c r="I224" s="76" t="n">
        <v>415.5199890136719</v>
      </c>
      <c r="J224" s="77" t="n">
        <v>412.339218004705</v>
      </c>
      <c r="K224" s="74" t="n">
        <v>404.3604995727539</v>
      </c>
      <c r="L224" s="78" t="n">
        <v>340.4515502929688</v>
      </c>
      <c r="M224" s="77" t="n">
        <v>8.37768364023381</v>
      </c>
      <c r="N224" s="53">
        <f>IF(M224="","",IFERROR(M224/I224,""))</f>
        <v/>
      </c>
      <c r="O224" s="50">
        <f>IF(A224="","",IFERROR((IF(G224="",I224,G224)-T224)/M224,""))</f>
        <v/>
      </c>
      <c r="P224" s="50">
        <f>IFERROR((I224/T224-1)/N224,"")</f>
        <v/>
      </c>
      <c r="Q224" s="46">
        <f>IF(OR(T224="",I224&lt;T224),"",IFERROR(R224/IF(G224="",I224,G224)-1,""))</f>
        <v/>
      </c>
      <c r="R224" s="48">
        <f>IF($M224="","",MAX(IF($G224="",$I224,$G224)*(1/1.1),IF($G224="",$I224,$G224)+(R$2*$M224)))</f>
        <v/>
      </c>
      <c r="S224" s="49">
        <f>IF($M224="","",MAX(IF($G224="",$I224,$G224)*(1/1.1),IF($G224="",$I224,$G224)+(S$2*$M224)))</f>
        <v/>
      </c>
      <c r="T224" s="82" t="n">
        <v>395.3057995605469</v>
      </c>
      <c r="U224" s="47">
        <f>IF(OR($M224="",$T224=""),"",$T224+(U$2*$M224))</f>
        <v/>
      </c>
      <c r="V224" s="48">
        <f>IF(OR($M224="",$T224=""),"",$T224+(V$2*$M224))</f>
        <v/>
      </c>
      <c r="W224" s="48">
        <f>IF(OR($M224="",$T224=""),"",$T224+(W$2*$M224))</f>
        <v/>
      </c>
      <c r="X224" s="49">
        <f>IF(OR($M224="",$T224=""),"",$T224+(X$2*$M224))</f>
        <v/>
      </c>
      <c r="Y224" s="47">
        <f>IF(OR($M224="",$T224=""),"",$T224+(Y$2*$M224))</f>
        <v/>
      </c>
      <c r="Z224" s="49">
        <f>IF(OR($M224="",$T224=""),"",$T224+(Z$2*$M224))</f>
        <v/>
      </c>
      <c r="AA224" s="51">
        <f>IF(OR($M224="",$T224=""),"",$T224+(AA$2*$M224))</f>
        <v/>
      </c>
      <c r="AB224" s="48">
        <f>IF(OR($M224="",$T224=""),"",$T224+(AB$2*$M224))</f>
        <v/>
      </c>
      <c r="AC224" s="48">
        <f>IF(OR($M224="",$T224=""),"",$T224+(AC$2*$M224))</f>
        <v/>
      </c>
      <c r="AD224" s="48">
        <f>IF(OR($M224="",$T224=""),"",$T224+(AD$2*$M224))</f>
        <v/>
      </c>
      <c r="AE224" s="49">
        <f>IF(OR($M224="",$T224=""),"",$T224+(AE$2*$M224))</f>
        <v/>
      </c>
      <c r="AF224" s="52">
        <f>IF(OR(T224="",I224&lt;T224),"",IFERROR(AVERAGE(T224+M224*{7,8,9,10,11})/IF(G224="",I224,G224)-1,""))</f>
        <v/>
      </c>
      <c r="AG224" s="55">
        <f>IF(OR(T224="",I224&lt;T224),"",IFERROR(AF224/-(R224/IF(G224="",I224,G224)-1),""))</f>
        <v/>
      </c>
      <c r="AH224" s="94" t="n">
        <v>1</v>
      </c>
      <c r="AI224" s="94" t="n">
        <v>77.90759102978009</v>
      </c>
      <c r="AJ224" s="94" t="n">
        <v>1</v>
      </c>
      <c r="AK224" s="94" t="inlineStr">
        <is>
          <t>OTT Up Trend</t>
        </is>
      </c>
      <c r="AL224" s="84" t="inlineStr">
        <is>
          <t>Rockwell Automation, Inc.</t>
        </is>
      </c>
      <c r="AM224" t="inlineStr">
        <is>
          <t>Industrials</t>
        </is>
      </c>
      <c r="AN224" t="inlineStr">
        <is>
          <t>Specialty Industrial Machinery</t>
        </is>
      </c>
      <c r="AO224" t="n">
        <v>85</v>
      </c>
    </row>
    <row r="225">
      <c r="A225" s="64" t="inlineStr">
        <is>
          <t>ACAD</t>
        </is>
      </c>
      <c r="B225" s="65" t="n"/>
      <c r="C225" s="66" t="n"/>
      <c r="D225" s="67" t="n"/>
      <c r="E225" s="68" t="n"/>
      <c r="F225" s="47">
        <f>IF(A225="","",IF(MIN(H225,MAX(J225:K225))=0,"",MIN(H225,MAX(J225:K225))))</f>
        <v/>
      </c>
      <c r="G225" s="74" t="n"/>
      <c r="H225" s="49">
        <f>IF(M225="","",IFERROR(ROUND(AVERAGE(T225+M225*{7,8,9,10,11})/1.21,4),""))</f>
        <v/>
      </c>
      <c r="I225" s="76" t="n">
        <v>25.98999977111816</v>
      </c>
      <c r="J225" s="77" t="n">
        <v>26.60891936936282</v>
      </c>
      <c r="K225" s="74" t="n">
        <v>26.93650016784668</v>
      </c>
      <c r="L225" s="78" t="n">
        <v>22.35999997138977</v>
      </c>
      <c r="M225" s="77" t="n">
        <v>0.783762230332656</v>
      </c>
      <c r="N225" s="53">
        <f>IF(M225="","",IFERROR(M225/I225,""))</f>
        <v/>
      </c>
      <c r="O225" s="50">
        <f>IF(A225="","",IFERROR((IF(G225="",I225,G225)-T225)/M225,""))</f>
        <v/>
      </c>
      <c r="P225" s="50">
        <f>IFERROR((I225/T225-1)/N225,"")</f>
        <v/>
      </c>
      <c r="Q225" s="46">
        <f>IF(OR(T225="",I225&lt;T225),"",IFERROR(R225/IF(G225="",I225,G225)-1,""))</f>
        <v/>
      </c>
      <c r="R225" s="48">
        <f>IF($M225="","",MAX(IF($G225="",$I225,$G225)*(1/1.1),IF($G225="",$I225,$G225)+(R$2*$M225)))</f>
        <v/>
      </c>
      <c r="S225" s="49">
        <f>IF($M225="","",MAX(IF($G225="",$I225,$G225)*(1/1.1),IF($G225="",$I225,$G225)+(S$2*$M225)))</f>
        <v/>
      </c>
      <c r="T225" s="82" t="n">
        <v>25.67859996795654</v>
      </c>
      <c r="U225" s="47">
        <f>IF(OR($M225="",$T225=""),"",$T225+(U$2*$M225))</f>
        <v/>
      </c>
      <c r="V225" s="48">
        <f>IF(OR($M225="",$T225=""),"",$T225+(V$2*$M225))</f>
        <v/>
      </c>
      <c r="W225" s="48">
        <f>IF(OR($M225="",$T225=""),"",$T225+(W$2*$M225))</f>
        <v/>
      </c>
      <c r="X225" s="49">
        <f>IF(OR($M225="",$T225=""),"",$T225+(X$2*$M225))</f>
        <v/>
      </c>
      <c r="Y225" s="47">
        <f>IF(OR($M225="",$T225=""),"",$T225+(Y$2*$M225))</f>
        <v/>
      </c>
      <c r="Z225" s="49">
        <f>IF(OR($M225="",$T225=""),"",$T225+(Z$2*$M225))</f>
        <v/>
      </c>
      <c r="AA225" s="51">
        <f>IF(OR($M225="",$T225=""),"",$T225+(AA$2*$M225))</f>
        <v/>
      </c>
      <c r="AB225" s="48">
        <f>IF(OR($M225="",$T225=""),"",$T225+(AB$2*$M225))</f>
        <v/>
      </c>
      <c r="AC225" s="48">
        <f>IF(OR($M225="",$T225=""),"",$T225+(AC$2*$M225))</f>
        <v/>
      </c>
      <c r="AD225" s="48">
        <f>IF(OR($M225="",$T225=""),"",$T225+(AD$2*$M225))</f>
        <v/>
      </c>
      <c r="AE225" s="49">
        <f>IF(OR($M225="",$T225=""),"",$T225+(AE$2*$M225))</f>
        <v/>
      </c>
      <c r="AF225" s="52">
        <f>IF(OR(T225="",I225&lt;T225),"",IFERROR(AVERAGE(T225+M225*{7,8,9,10,11})/IF(G225="",I225,G225)-1,""))</f>
        <v/>
      </c>
      <c r="AG225" s="55">
        <f>IF(OR(T225="",I225&lt;T225),"",IFERROR(AF225/-(R225/IF(G225="",I225,G225)-1),""))</f>
        <v/>
      </c>
      <c r="AH225" s="94" t="n">
        <v>1</v>
      </c>
      <c r="AI225" s="94" t="n">
        <v>17.27679695906418</v>
      </c>
      <c r="AJ225" s="94" t="n">
        <v>0</v>
      </c>
      <c r="AK225" s="94" t="inlineStr">
        <is>
          <t>OTT Up Trend</t>
        </is>
      </c>
      <c r="AL225" s="84" t="inlineStr">
        <is>
          <t>ACADIA Pharmaceuticals Inc.</t>
        </is>
      </c>
      <c r="AM225" t="inlineStr">
        <is>
          <t>Healthcare</t>
        </is>
      </c>
      <c r="AN225" t="inlineStr">
        <is>
          <t>Biotechnology</t>
        </is>
      </c>
      <c r="AO225" t="n">
        <v>85</v>
      </c>
    </row>
    <row r="226">
      <c r="A226" s="64" t="inlineStr">
        <is>
          <t>ORA</t>
        </is>
      </c>
      <c r="B226" s="65" t="n"/>
      <c r="C226" s="66" t="n"/>
      <c r="D226" s="67" t="n"/>
      <c r="E226" s="68" t="n"/>
      <c r="F226" s="47">
        <f>IF(A226="","",IF(MIN(H226,MAX(J226:K226))=0,"",MIN(H226,MAX(J226:K226))))</f>
        <v/>
      </c>
      <c r="G226" s="74" t="n"/>
      <c r="H226" s="49">
        <f>IF(M226="","",IFERROR(ROUND(AVERAGE(T226+M226*{7,8,9,10,11})/1.21,4),""))</f>
        <v/>
      </c>
      <c r="I226" s="76" t="n">
        <v>117.9499969482422</v>
      </c>
      <c r="J226" s="77" t="n">
        <v>116.8354345585283</v>
      </c>
      <c r="K226" s="74" t="n">
        <v>114.6265003204346</v>
      </c>
      <c r="L226" s="78" t="n">
        <v>93.10805004119874</v>
      </c>
      <c r="M226" s="77" t="n">
        <v>3.266094301034554</v>
      </c>
      <c r="N226" s="53">
        <f>IF(M226="","",IFERROR(M226/I226,""))</f>
        <v/>
      </c>
      <c r="O226" s="50">
        <f>IF(A226="","",IFERROR((IF(G226="",I226,G226)-T226)/M226,""))</f>
        <v/>
      </c>
      <c r="P226" s="50">
        <f>IFERROR((I226/T226-1)/N226,"")</f>
        <v/>
      </c>
      <c r="Q226" s="46">
        <f>IF(OR(T226="",I226&lt;T226),"",IFERROR(R226/IF(G226="",I226,G226)-1,""))</f>
        <v/>
      </c>
      <c r="R226" s="48">
        <f>IF($M226="","",MAX(IF($G226="",$I226,$G226)*(1/1.1),IF($G226="",$I226,$G226)+(R$2*$M226)))</f>
        <v/>
      </c>
      <c r="S226" s="49">
        <f>IF($M226="","",MAX(IF($G226="",$I226,$G226)*(1/1.1),IF($G226="",$I226,$G226)+(S$2*$M226)))</f>
        <v/>
      </c>
      <c r="T226" s="82" t="n">
        <v>112.677600402832</v>
      </c>
      <c r="U226" s="47">
        <f>IF(OR($M226="",$T226=""),"",$T226+(U$2*$M226))</f>
        <v/>
      </c>
      <c r="V226" s="48">
        <f>IF(OR($M226="",$T226=""),"",$T226+(V$2*$M226))</f>
        <v/>
      </c>
      <c r="W226" s="48">
        <f>IF(OR($M226="",$T226=""),"",$T226+(W$2*$M226))</f>
        <v/>
      </c>
      <c r="X226" s="49">
        <f>IF(OR($M226="",$T226=""),"",$T226+(X$2*$M226))</f>
        <v/>
      </c>
      <c r="Y226" s="47">
        <f>IF(OR($M226="",$T226=""),"",$T226+(Y$2*$M226))</f>
        <v/>
      </c>
      <c r="Z226" s="49">
        <f>IF(OR($M226="",$T226=""),"",$T226+(Z$2*$M226))</f>
        <v/>
      </c>
      <c r="AA226" s="51">
        <f>IF(OR($M226="",$T226=""),"",$T226+(AA$2*$M226))</f>
        <v/>
      </c>
      <c r="AB226" s="48">
        <f>IF(OR($M226="",$T226=""),"",$T226+(AB$2*$M226))</f>
        <v/>
      </c>
      <c r="AC226" s="48">
        <f>IF(OR($M226="",$T226=""),"",$T226+(AC$2*$M226))</f>
        <v/>
      </c>
      <c r="AD226" s="48">
        <f>IF(OR($M226="",$T226=""),"",$T226+(AD$2*$M226))</f>
        <v/>
      </c>
      <c r="AE226" s="49">
        <f>IF(OR($M226="",$T226=""),"",$T226+(AE$2*$M226))</f>
        <v/>
      </c>
      <c r="AF226" s="52">
        <f>IF(OR(T226="",I226&lt;T226),"",IFERROR(AVERAGE(T226+M226*{7,8,9,10,11})/IF(G226="",I226,G226)-1,""))</f>
        <v/>
      </c>
      <c r="AG226" s="55">
        <f>IF(OR(T226="",I226&lt;T226),"",IFERROR(AF226/-(R226/IF(G226="",I226,G226)-1),""))</f>
        <v/>
      </c>
      <c r="AH226" s="94" t="n">
        <v>1</v>
      </c>
      <c r="AI226" s="94" t="n">
        <v>60.72185087734485</v>
      </c>
      <c r="AJ226" s="94" t="n">
        <v>1</v>
      </c>
      <c r="AK226" s="94" t="inlineStr">
        <is>
          <t>OTT Up Trend</t>
        </is>
      </c>
      <c r="AL226" s="84" t="inlineStr">
        <is>
          <t>Ormat Technologies, Inc.</t>
        </is>
      </c>
      <c r="AM226" t="inlineStr">
        <is>
          <t>Utilities</t>
        </is>
      </c>
      <c r="AN226" t="inlineStr">
        <is>
          <t>Utilities - Renewable</t>
        </is>
      </c>
      <c r="AO226" t="n">
        <v>85</v>
      </c>
    </row>
    <row r="227">
      <c r="A227" s="64" t="inlineStr">
        <is>
          <t>FLEX</t>
        </is>
      </c>
      <c r="B227" s="65" t="n"/>
      <c r="C227" s="66" t="n"/>
      <c r="D227" s="67" t="n"/>
      <c r="E227" s="68" t="n"/>
      <c r="F227" s="47">
        <f>IF(A227="","",IF(MIN(H227,MAX(J227:K227))=0,"",MIN(H227,MAX(J227:K227))))</f>
        <v/>
      </c>
      <c r="G227" s="74" t="n"/>
      <c r="H227" s="49">
        <f>IF(M227="","",IFERROR(ROUND(AVERAGE(T227+M227*{7,8,9,10,11})/1.21,4),""))</f>
        <v/>
      </c>
      <c r="I227" s="76" t="n">
        <v>64.83000183105469</v>
      </c>
      <c r="J227" s="77" t="n">
        <v>63.64268751736392</v>
      </c>
      <c r="K227" s="74" t="n">
        <v>62.93549976348877</v>
      </c>
      <c r="L227" s="78" t="n">
        <v>52.14175004005432</v>
      </c>
      <c r="M227" s="77" t="n">
        <v>2.542020712305539</v>
      </c>
      <c r="N227" s="53">
        <f>IF(M227="","",IFERROR(M227/I227,""))</f>
        <v/>
      </c>
      <c r="O227" s="50">
        <f>IF(A227="","",IFERROR((IF(G227="",I227,G227)-T227)/M227,""))</f>
        <v/>
      </c>
      <c r="P227" s="50">
        <f>IFERROR((I227/T227-1)/N227,"")</f>
        <v/>
      </c>
      <c r="Q227" s="46">
        <f>IF(OR(T227="",I227&lt;T227),"",IFERROR(R227/IF(G227="",I227,G227)-1,""))</f>
        <v/>
      </c>
      <c r="R227" s="48">
        <f>IF($M227="","",MAX(IF($G227="",$I227,$G227)*(1/1.1),IF($G227="",$I227,$G227)+(R$2*$M227)))</f>
        <v/>
      </c>
      <c r="S227" s="49">
        <f>IF($M227="","",MAX(IF($G227="",$I227,$G227)*(1/1.1),IF($G227="",$I227,$G227)+(S$2*$M227)))</f>
        <v/>
      </c>
      <c r="T227" s="82" t="n">
        <v>62.27379997253418</v>
      </c>
      <c r="U227" s="47">
        <f>IF(OR($M227="",$T227=""),"",$T227+(U$2*$M227))</f>
        <v/>
      </c>
      <c r="V227" s="48">
        <f>IF(OR($M227="",$T227=""),"",$T227+(V$2*$M227))</f>
        <v/>
      </c>
      <c r="W227" s="48">
        <f>IF(OR($M227="",$T227=""),"",$T227+(W$2*$M227))</f>
        <v/>
      </c>
      <c r="X227" s="49">
        <f>IF(OR($M227="",$T227=""),"",$T227+(X$2*$M227))</f>
        <v/>
      </c>
      <c r="Y227" s="47">
        <f>IF(OR($M227="",$T227=""),"",$T227+(Y$2*$M227))</f>
        <v/>
      </c>
      <c r="Z227" s="49">
        <f>IF(OR($M227="",$T227=""),"",$T227+(Z$2*$M227))</f>
        <v/>
      </c>
      <c r="AA227" s="51">
        <f>IF(OR($M227="",$T227=""),"",$T227+(AA$2*$M227))</f>
        <v/>
      </c>
      <c r="AB227" s="48">
        <f>IF(OR($M227="",$T227=""),"",$T227+(AB$2*$M227))</f>
        <v/>
      </c>
      <c r="AC227" s="48">
        <f>IF(OR($M227="",$T227=""),"",$T227+(AC$2*$M227))</f>
        <v/>
      </c>
      <c r="AD227" s="48">
        <f>IF(OR($M227="",$T227=""),"",$T227+(AD$2*$M227))</f>
        <v/>
      </c>
      <c r="AE227" s="49">
        <f>IF(OR($M227="",$T227=""),"",$T227+(AE$2*$M227))</f>
        <v/>
      </c>
      <c r="AF227" s="52">
        <f>IF(OR(T227="",I227&lt;T227),"",IFERROR(AVERAGE(T227+M227*{7,8,9,10,11})/IF(G227="",I227,G227)-1,""))</f>
        <v/>
      </c>
      <c r="AG227" s="55">
        <f>IF(OR(T227="",I227&lt;T227),"",IFERROR(AF227/-(R227/IF(G227="",I227,G227)-1),""))</f>
        <v/>
      </c>
      <c r="AH227" s="94" t="n">
        <v>-1</v>
      </c>
      <c r="AI227" s="94" t="n">
        <v>14.93601904024721</v>
      </c>
      <c r="AJ227" s="94" t="n">
        <v>1</v>
      </c>
      <c r="AK227" s="94" t="inlineStr">
        <is>
          <t>None</t>
        </is>
      </c>
      <c r="AL227" s="84" t="inlineStr">
        <is>
          <t>Flex Ltd.</t>
        </is>
      </c>
      <c r="AM227" t="inlineStr">
        <is>
          <t>Technology</t>
        </is>
      </c>
      <c r="AN227" t="inlineStr">
        <is>
          <t>Electronic Components</t>
        </is>
      </c>
      <c r="AO227" t="n">
        <v>85</v>
      </c>
    </row>
    <row r="228">
      <c r="A228" s="64" t="inlineStr">
        <is>
          <t>ADI</t>
        </is>
      </c>
      <c r="B228" s="65" t="n"/>
      <c r="C228" s="66" t="n"/>
      <c r="D228" s="67" t="n"/>
      <c r="E228" s="68" t="n"/>
      <c r="F228" s="47">
        <f>IF(A228="","",IF(MIN(H228,MAX(J228:K228))=0,"",MIN(H228,MAX(J228:K228))))</f>
        <v/>
      </c>
      <c r="G228" s="74" t="n"/>
      <c r="H228" s="49">
        <f>IF(M228="","",IFERROR(ROUND(AVERAGE(T228+M228*{7,8,9,10,11})/1.21,4),""))</f>
        <v/>
      </c>
      <c r="I228" s="76" t="n">
        <v>300.25</v>
      </c>
      <c r="J228" s="77" t="n">
        <v>294.5981892919854</v>
      </c>
      <c r="K228" s="74" t="n">
        <v>285.2660018920898</v>
      </c>
      <c r="L228" s="78" t="n">
        <v>237.0236003112793</v>
      </c>
      <c r="M228" s="77" t="n">
        <v>6.974996739298566</v>
      </c>
      <c r="N228" s="53">
        <f>IF(M228="","",IFERROR(M228/I228,""))</f>
        <v/>
      </c>
      <c r="O228" s="50">
        <f>IF(A228="","",IFERROR((IF(G228="",I228,G228)-T228)/M228,""))</f>
        <v/>
      </c>
      <c r="P228" s="50">
        <f>IFERROR((I228/T228-1)/N228,"")</f>
        <v/>
      </c>
      <c r="Q228" s="46">
        <f>IF(OR(T228="",I228&lt;T228),"",IFERROR(R228/IF(G228="",I228,G228)-1,""))</f>
        <v/>
      </c>
      <c r="R228" s="48">
        <f>IF($M228="","",MAX(IF($G228="",$I228,$G228)*(1/1.1),IF($G228="",$I228,$G228)+(R$2*$M228)))</f>
        <v/>
      </c>
      <c r="S228" s="49">
        <f>IF($M228="","",MAX(IF($G228="",$I228,$G228)*(1/1.1),IF($G228="",$I228,$G228)+(S$2*$M228)))</f>
        <v/>
      </c>
      <c r="T228" s="82" t="n">
        <v>267.0444021606446</v>
      </c>
      <c r="U228" s="47">
        <f>IF(OR($M228="",$T228=""),"",$T228+(U$2*$M228))</f>
        <v/>
      </c>
      <c r="V228" s="48">
        <f>IF(OR($M228="",$T228=""),"",$T228+(V$2*$M228))</f>
        <v/>
      </c>
      <c r="W228" s="48">
        <f>IF(OR($M228="",$T228=""),"",$T228+(W$2*$M228))</f>
        <v/>
      </c>
      <c r="X228" s="49">
        <f>IF(OR($M228="",$T228=""),"",$T228+(X$2*$M228))</f>
        <v/>
      </c>
      <c r="Y228" s="47">
        <f>IF(OR($M228="",$T228=""),"",$T228+(Y$2*$M228))</f>
        <v/>
      </c>
      <c r="Z228" s="49">
        <f>IF(OR($M228="",$T228=""),"",$T228+(Z$2*$M228))</f>
        <v/>
      </c>
      <c r="AA228" s="51">
        <f>IF(OR($M228="",$T228=""),"",$T228+(AA$2*$M228))</f>
        <v/>
      </c>
      <c r="AB228" s="48">
        <f>IF(OR($M228="",$T228=""),"",$T228+(AB$2*$M228))</f>
        <v/>
      </c>
      <c r="AC228" s="48">
        <f>IF(OR($M228="",$T228=""),"",$T228+(AC$2*$M228))</f>
        <v/>
      </c>
      <c r="AD228" s="48">
        <f>IF(OR($M228="",$T228=""),"",$T228+(AD$2*$M228))</f>
        <v/>
      </c>
      <c r="AE228" s="49">
        <f>IF(OR($M228="",$T228=""),"",$T228+(AE$2*$M228))</f>
        <v/>
      </c>
      <c r="AF228" s="52">
        <f>IF(OR(T228="",I228&lt;T228),"",IFERROR(AVERAGE(T228+M228*{7,8,9,10,11})/IF(G228="",I228,G228)-1,""))</f>
        <v/>
      </c>
      <c r="AG228" s="55">
        <f>IF(OR(T228="",I228&lt;T228),"",IFERROR(AF228/-(R228/IF(G228="",I228,G228)-1),""))</f>
        <v/>
      </c>
      <c r="AH228" s="94" t="n">
        <v>1</v>
      </c>
      <c r="AI228" s="94" t="n">
        <v>134.1903446444157</v>
      </c>
      <c r="AJ228" s="94" t="n">
        <v>1</v>
      </c>
      <c r="AK228" s="94" t="inlineStr">
        <is>
          <t>OTT Up Trend</t>
        </is>
      </c>
      <c r="AL228" s="84" t="inlineStr">
        <is>
          <t>Analog Devices, Inc.</t>
        </is>
      </c>
      <c r="AM228" t="inlineStr">
        <is>
          <t>Technology</t>
        </is>
      </c>
      <c r="AN228" t="inlineStr">
        <is>
          <t>Semiconductors</t>
        </is>
      </c>
      <c r="AO228" t="n">
        <v>85</v>
      </c>
    </row>
    <row r="229">
      <c r="A229" s="64" t="inlineStr">
        <is>
          <t>CFG</t>
        </is>
      </c>
      <c r="B229" s="65" t="n"/>
      <c r="C229" s="66" t="n"/>
      <c r="D229" s="67" t="n"/>
      <c r="E229" s="68" t="n"/>
      <c r="F229" s="47">
        <f>IF(A229="","",IF(MIN(H229,MAX(J229:K229))=0,"",MIN(H229,MAX(J229:K229))))</f>
        <v/>
      </c>
      <c r="G229" s="74" t="n"/>
      <c r="H229" s="49">
        <f>IF(M229="","",IFERROR(ROUND(AVERAGE(T229+M229*{7,8,9,10,11})/1.21,4),""))</f>
        <v/>
      </c>
      <c r="I229" s="76" t="n">
        <v>60.81999969482422</v>
      </c>
      <c r="J229" s="77" t="n">
        <v>60.34065451056189</v>
      </c>
      <c r="K229" s="74" t="n">
        <v>59.99249992370606</v>
      </c>
      <c r="L229" s="78" t="n">
        <v>48.45244993209839</v>
      </c>
      <c r="M229" s="77" t="n">
        <v>1.152415767636076</v>
      </c>
      <c r="N229" s="53">
        <f>IF(M229="","",IFERROR(M229/I229,""))</f>
        <v/>
      </c>
      <c r="O229" s="50">
        <f>IF(A229="","",IFERROR((IF(G229="",I229,G229)-T229)/M229,""))</f>
        <v/>
      </c>
      <c r="P229" s="50">
        <f>IFERROR((I229/T229-1)/N229,"")</f>
        <v/>
      </c>
      <c r="Q229" s="46">
        <f>IF(OR(T229="",I229&lt;T229),"",IFERROR(R229/IF(G229="",I229,G229)-1,""))</f>
        <v/>
      </c>
      <c r="R229" s="48">
        <f>IF($M229="","",MAX(IF($G229="",$I229,$G229)*(1/1.1),IF($G229="",$I229,$G229)+(R$2*$M229)))</f>
        <v/>
      </c>
      <c r="S229" s="49">
        <f>IF($M229="","",MAX(IF($G229="",$I229,$G229)*(1/1.1),IF($G229="",$I229,$G229)+(S$2*$M229)))</f>
        <v/>
      </c>
      <c r="T229" s="82" t="n">
        <v>56.44499977111816</v>
      </c>
      <c r="U229" s="47">
        <f>IF(OR($M229="",$T229=""),"",$T229+(U$2*$M229))</f>
        <v/>
      </c>
      <c r="V229" s="48">
        <f>IF(OR($M229="",$T229=""),"",$T229+(V$2*$M229))</f>
        <v/>
      </c>
      <c r="W229" s="48">
        <f>IF(OR($M229="",$T229=""),"",$T229+(W$2*$M229))</f>
        <v/>
      </c>
      <c r="X229" s="49">
        <f>IF(OR($M229="",$T229=""),"",$T229+(X$2*$M229))</f>
        <v/>
      </c>
      <c r="Y229" s="47">
        <f>IF(OR($M229="",$T229=""),"",$T229+(Y$2*$M229))</f>
        <v/>
      </c>
      <c r="Z229" s="49">
        <f>IF(OR($M229="",$T229=""),"",$T229+(Z$2*$M229))</f>
        <v/>
      </c>
      <c r="AA229" s="51">
        <f>IF(OR($M229="",$T229=""),"",$T229+(AA$2*$M229))</f>
        <v/>
      </c>
      <c r="AB229" s="48">
        <f>IF(OR($M229="",$T229=""),"",$T229+(AB$2*$M229))</f>
        <v/>
      </c>
      <c r="AC229" s="48">
        <f>IF(OR($M229="",$T229=""),"",$T229+(AC$2*$M229))</f>
        <v/>
      </c>
      <c r="AD229" s="48">
        <f>IF(OR($M229="",$T229=""),"",$T229+(AD$2*$M229))</f>
        <v/>
      </c>
      <c r="AE229" s="49">
        <f>IF(OR($M229="",$T229=""),"",$T229+(AE$2*$M229))</f>
        <v/>
      </c>
      <c r="AF229" s="52">
        <f>IF(OR(T229="",I229&lt;T229),"",IFERROR(AVERAGE(T229+M229*{7,8,9,10,11})/IF(G229="",I229,G229)-1,""))</f>
        <v/>
      </c>
      <c r="AG229" s="55">
        <f>IF(OR(T229="",I229&lt;T229),"",IFERROR(AF229/-(R229/IF(G229="",I229,G229)-1),""))</f>
        <v/>
      </c>
      <c r="AH229" s="94" t="n">
        <v>1</v>
      </c>
      <c r="AI229" s="94" t="n">
        <v>93.59617136922522</v>
      </c>
      <c r="AJ229" s="94" t="n">
        <v>0</v>
      </c>
      <c r="AK229" s="94" t="inlineStr">
        <is>
          <t>OTT Up Trend</t>
        </is>
      </c>
      <c r="AL229" s="84" t="inlineStr">
        <is>
          <t>Citizens Financial Group, Inc.</t>
        </is>
      </c>
      <c r="AM229" t="inlineStr">
        <is>
          <t>Financial Services</t>
        </is>
      </c>
      <c r="AN229" t="inlineStr">
        <is>
          <t>Banks - Regional</t>
        </is>
      </c>
      <c r="AO229" t="n">
        <v>85</v>
      </c>
    </row>
    <row r="230">
      <c r="A230" s="64" t="inlineStr">
        <is>
          <t>BWA</t>
        </is>
      </c>
      <c r="B230" s="65" t="n"/>
      <c r="C230" s="66" t="n"/>
      <c r="D230" s="67" t="n"/>
      <c r="E230" s="68" t="n"/>
      <c r="F230" s="47">
        <f>IF(A230="","",IF(MIN(H230,MAX(J230:K230))=0,"",MIN(H230,MAX(J230:K230))))</f>
        <v/>
      </c>
      <c r="G230" s="74" t="n"/>
      <c r="H230" s="49">
        <f>IF(M230="","",IFERROR(ROUND(AVERAGE(T230+M230*{7,8,9,10,11})/1.21,4),""))</f>
        <v/>
      </c>
      <c r="I230" s="76" t="n">
        <v>47.18999862670898</v>
      </c>
      <c r="J230" s="77" t="n">
        <v>47.57226668011362</v>
      </c>
      <c r="K230" s="74" t="n">
        <v>46.68349990844727</v>
      </c>
      <c r="L230" s="78" t="n">
        <v>38.79234998703003</v>
      </c>
      <c r="M230" s="77" t="n">
        <v>1.016103152745526</v>
      </c>
      <c r="N230" s="53">
        <f>IF(M230="","",IFERROR(M230/I230,""))</f>
        <v/>
      </c>
      <c r="O230" s="50">
        <f>IF(A230="","",IFERROR((IF(G230="",I230,G230)-T230)/M230,""))</f>
        <v/>
      </c>
      <c r="P230" s="50">
        <f>IFERROR((I230/T230-1)/N230,"")</f>
        <v/>
      </c>
      <c r="Q230" s="46">
        <f>IF(OR(T230="",I230&lt;T230),"",IFERROR(R230/IF(G230="",I230,G230)-1,""))</f>
        <v/>
      </c>
      <c r="R230" s="48">
        <f>IF($M230="","",MAX(IF($G230="",$I230,$G230)*(1/1.1),IF($G230="",$I230,$G230)+(R$2*$M230)))</f>
        <v/>
      </c>
      <c r="S230" s="49">
        <f>IF($M230="","",MAX(IF($G230="",$I230,$G230)*(1/1.1),IF($G230="",$I230,$G230)+(S$2*$M230)))</f>
        <v/>
      </c>
      <c r="T230" s="82" t="n">
        <v>44.98599998474121</v>
      </c>
      <c r="U230" s="47">
        <f>IF(OR($M230="",$T230=""),"",$T230+(U$2*$M230))</f>
        <v/>
      </c>
      <c r="V230" s="48">
        <f>IF(OR($M230="",$T230=""),"",$T230+(V$2*$M230))</f>
        <v/>
      </c>
      <c r="W230" s="48">
        <f>IF(OR($M230="",$T230=""),"",$T230+(W$2*$M230))</f>
        <v/>
      </c>
      <c r="X230" s="49">
        <f>IF(OR($M230="",$T230=""),"",$T230+(X$2*$M230))</f>
        <v/>
      </c>
      <c r="Y230" s="47">
        <f>IF(OR($M230="",$T230=""),"",$T230+(Y$2*$M230))</f>
        <v/>
      </c>
      <c r="Z230" s="49">
        <f>IF(OR($M230="",$T230=""),"",$T230+(Z$2*$M230))</f>
        <v/>
      </c>
      <c r="AA230" s="51">
        <f>IF(OR($M230="",$T230=""),"",$T230+(AA$2*$M230))</f>
        <v/>
      </c>
      <c r="AB230" s="48">
        <f>IF(OR($M230="",$T230=""),"",$T230+(AB$2*$M230))</f>
        <v/>
      </c>
      <c r="AC230" s="48">
        <f>IF(OR($M230="",$T230=""),"",$T230+(AC$2*$M230))</f>
        <v/>
      </c>
      <c r="AD230" s="48">
        <f>IF(OR($M230="",$T230=""),"",$T230+(AD$2*$M230))</f>
        <v/>
      </c>
      <c r="AE230" s="49">
        <f>IF(OR($M230="",$T230=""),"",$T230+(AE$2*$M230))</f>
        <v/>
      </c>
      <c r="AF230" s="52">
        <f>IF(OR(T230="",I230&lt;T230),"",IFERROR(AVERAGE(T230+M230*{7,8,9,10,11})/IF(G230="",I230,G230)-1,""))</f>
        <v/>
      </c>
      <c r="AG230" s="55">
        <f>IF(OR(T230="",I230&lt;T230),"",IFERROR(AF230/-(R230/IF(G230="",I230,G230)-1),""))</f>
        <v/>
      </c>
      <c r="AH230" s="94" t="n">
        <v>1</v>
      </c>
      <c r="AI230" s="94" t="n">
        <v>100.0202669863601</v>
      </c>
      <c r="AJ230" s="94" t="n">
        <v>1</v>
      </c>
      <c r="AK230" s="94" t="inlineStr">
        <is>
          <t>OTT Up Trend</t>
        </is>
      </c>
      <c r="AL230" s="84" t="inlineStr">
        <is>
          <t>BorgWarner Inc.</t>
        </is>
      </c>
      <c r="AM230" t="inlineStr">
        <is>
          <t>Consumer Cyclical</t>
        </is>
      </c>
      <c r="AN230" t="inlineStr">
        <is>
          <t>Auto Parts</t>
        </is>
      </c>
      <c r="AO230" t="n">
        <v>84</v>
      </c>
    </row>
    <row r="231">
      <c r="A231" s="64" t="inlineStr">
        <is>
          <t>ACLS</t>
        </is>
      </c>
      <c r="B231" s="65" t="n"/>
      <c r="C231" s="66" t="n"/>
      <c r="D231" s="67" t="n"/>
      <c r="E231" s="68" t="n"/>
      <c r="F231" s="47">
        <f>IF(A231="","",IF(MIN(H231,MAX(J231:K231))=0,"",MIN(H231,MAX(J231:K231))))</f>
        <v/>
      </c>
      <c r="G231" s="74" t="n"/>
      <c r="H231" s="49">
        <f>IF(M231="","",IFERROR(ROUND(AVERAGE(T231+M231*{7,8,9,10,11})/1.21,4),""))</f>
        <v/>
      </c>
      <c r="I231" s="76" t="n">
        <v>93.12000274658203</v>
      </c>
      <c r="J231" s="77" t="n">
        <v>92.63053278916389</v>
      </c>
      <c r="K231" s="74" t="n">
        <v>88.02300033569335</v>
      </c>
      <c r="L231" s="78" t="n">
        <v>75.1055499458313</v>
      </c>
      <c r="M231" s="77" t="n">
        <v>4.328799797267763</v>
      </c>
      <c r="N231" s="53">
        <f>IF(M231="","",IFERROR(M231/I231,""))</f>
        <v/>
      </c>
      <c r="O231" s="50">
        <f>IF(A231="","",IFERROR((IF(G231="",I231,G231)-T231)/M231,""))</f>
        <v/>
      </c>
      <c r="P231" s="50">
        <f>IFERROR((I231/T231-1)/N231,"")</f>
        <v/>
      </c>
      <c r="Q231" s="46">
        <f>IF(OR(T231="",I231&lt;T231),"",IFERROR(R231/IF(G231="",I231,G231)-1,""))</f>
        <v/>
      </c>
      <c r="R231" s="48">
        <f>IF($M231="","",MAX(IF($G231="",$I231,$G231)*(1/1.1),IF($G231="",$I231,$G231)+(R$2*$M231)))</f>
        <v/>
      </c>
      <c r="S231" s="49">
        <f>IF($M231="","",MAX(IF($G231="",$I231,$G231)*(1/1.1),IF($G231="",$I231,$G231)+(S$2*$M231)))</f>
        <v/>
      </c>
      <c r="T231" s="82" t="n">
        <v>85.62439971923828</v>
      </c>
      <c r="U231" s="47">
        <f>IF(OR($M231="",$T231=""),"",$T231+(U$2*$M231))</f>
        <v/>
      </c>
      <c r="V231" s="48">
        <f>IF(OR($M231="",$T231=""),"",$T231+(V$2*$M231))</f>
        <v/>
      </c>
      <c r="W231" s="48">
        <f>IF(OR($M231="",$T231=""),"",$T231+(W$2*$M231))</f>
        <v/>
      </c>
      <c r="X231" s="49">
        <f>IF(OR($M231="",$T231=""),"",$T231+(X$2*$M231))</f>
        <v/>
      </c>
      <c r="Y231" s="47">
        <f>IF(OR($M231="",$T231=""),"",$T231+(Y$2*$M231))</f>
        <v/>
      </c>
      <c r="Z231" s="49">
        <f>IF(OR($M231="",$T231=""),"",$T231+(Z$2*$M231))</f>
        <v/>
      </c>
      <c r="AA231" s="51">
        <f>IF(OR($M231="",$T231=""),"",$T231+(AA$2*$M231))</f>
        <v/>
      </c>
      <c r="AB231" s="48">
        <f>IF(OR($M231="",$T231=""),"",$T231+(AB$2*$M231))</f>
        <v/>
      </c>
      <c r="AC231" s="48">
        <f>IF(OR($M231="",$T231=""),"",$T231+(AC$2*$M231))</f>
        <v/>
      </c>
      <c r="AD231" s="48">
        <f>IF(OR($M231="",$T231=""),"",$T231+(AD$2*$M231))</f>
        <v/>
      </c>
      <c r="AE231" s="49">
        <f>IF(OR($M231="",$T231=""),"",$T231+(AE$2*$M231))</f>
        <v/>
      </c>
      <c r="AF231" s="52">
        <f>IF(OR(T231="",I231&lt;T231),"",IFERROR(AVERAGE(T231+M231*{7,8,9,10,11})/IF(G231="",I231,G231)-1,""))</f>
        <v/>
      </c>
      <c r="AG231" s="55">
        <f>IF(OR(T231="",I231&lt;T231),"",IFERROR(AF231/-(R231/IF(G231="",I231,G231)-1),""))</f>
        <v/>
      </c>
      <c r="AH231" s="94" t="n">
        <v>1</v>
      </c>
      <c r="AI231" s="94" t="n">
        <v>71.19749630618357</v>
      </c>
      <c r="AJ231" s="94" t="n">
        <v>1</v>
      </c>
      <c r="AK231" s="94" t="inlineStr">
        <is>
          <t>OTT Up Trend</t>
        </is>
      </c>
      <c r="AL231" s="84" t="inlineStr">
        <is>
          <t>Axcelis Technologies, Inc.</t>
        </is>
      </c>
      <c r="AM231" t="inlineStr">
        <is>
          <t>Technology</t>
        </is>
      </c>
      <c r="AN231" t="inlineStr">
        <is>
          <t>Semiconductor Equipment &amp; Materials</t>
        </is>
      </c>
      <c r="AO231" t="n">
        <v>84</v>
      </c>
    </row>
    <row r="232">
      <c r="A232" s="64" t="inlineStr">
        <is>
          <t>LVS</t>
        </is>
      </c>
      <c r="B232" s="65" t="n"/>
      <c r="C232" s="66" t="n"/>
      <c r="D232" s="67" t="n"/>
      <c r="E232" s="68" t="n"/>
      <c r="F232" s="47">
        <f>IF(A232="","",IF(MIN(H232,MAX(J232:K232))=0,"",MIN(H232,MAX(J232:K232))))</f>
        <v/>
      </c>
      <c r="G232" s="74" t="n"/>
      <c r="H232" s="49">
        <f>IF(M232="","",IFERROR(ROUND(AVERAGE(T232+M232*{7,8,9,10,11})/1.21,4),""))</f>
        <v/>
      </c>
      <c r="I232" s="76" t="n">
        <v>58.95000076293945</v>
      </c>
      <c r="J232" s="77" t="n">
        <v>61.02169656555414</v>
      </c>
      <c r="K232" s="74" t="n">
        <v>63.52499942779541</v>
      </c>
      <c r="L232" s="78" t="n">
        <v>51.67209984779358</v>
      </c>
      <c r="M232" s="77" t="n">
        <v>1.516560839593663</v>
      </c>
      <c r="N232" s="53">
        <f>IF(M232="","",IFERROR(M232/I232,""))</f>
        <v/>
      </c>
      <c r="O232" s="50">
        <f>IF(A232="","",IFERROR((IF(G232="",I232,G232)-T232)/M232,""))</f>
        <v/>
      </c>
      <c r="P232" s="50">
        <f>IFERROR((I232/T232-1)/N232,"")</f>
        <v/>
      </c>
      <c r="Q232" s="46">
        <f>IF(OR(T232="",I232&lt;T232),"",IFERROR(R232/IF(G232="",I232,G232)-1,""))</f>
        <v/>
      </c>
      <c r="R232" s="48">
        <f>IF($M232="","",MAX(IF($G232="",$I232,$G232)*(1/1.1),IF($G232="",$I232,$G232)+(R$2*$M232)))</f>
        <v/>
      </c>
      <c r="S232" s="49">
        <f>IF($M232="","",MAX(IF($G232="",$I232,$G232)*(1/1.1),IF($G232="",$I232,$G232)+(S$2*$M232)))</f>
        <v/>
      </c>
      <c r="T232" s="82" t="n">
        <v>65.05499938964844</v>
      </c>
      <c r="U232" s="47">
        <f>IF(OR($M232="",$T232=""),"",$T232+(U$2*$M232))</f>
        <v/>
      </c>
      <c r="V232" s="48">
        <f>IF(OR($M232="",$T232=""),"",$T232+(V$2*$M232))</f>
        <v/>
      </c>
      <c r="W232" s="48">
        <f>IF(OR($M232="",$T232=""),"",$T232+(W$2*$M232))</f>
        <v/>
      </c>
      <c r="X232" s="49">
        <f>IF(OR($M232="",$T232=""),"",$T232+(X$2*$M232))</f>
        <v/>
      </c>
      <c r="Y232" s="47">
        <f>IF(OR($M232="",$T232=""),"",$T232+(Y$2*$M232))</f>
        <v/>
      </c>
      <c r="Z232" s="49">
        <f>IF(OR($M232="",$T232=""),"",$T232+(Z$2*$M232))</f>
        <v/>
      </c>
      <c r="AA232" s="51">
        <f>IF(OR($M232="",$T232=""),"",$T232+(AA$2*$M232))</f>
        <v/>
      </c>
      <c r="AB232" s="48">
        <f>IF(OR($M232="",$T232=""),"",$T232+(AB$2*$M232))</f>
        <v/>
      </c>
      <c r="AC232" s="48">
        <f>IF(OR($M232="",$T232=""),"",$T232+(AC$2*$M232))</f>
        <v/>
      </c>
      <c r="AD232" s="48">
        <f>IF(OR($M232="",$T232=""),"",$T232+(AD$2*$M232))</f>
        <v/>
      </c>
      <c r="AE232" s="49">
        <f>IF(OR($M232="",$T232=""),"",$T232+(AE$2*$M232))</f>
        <v/>
      </c>
      <c r="AF232" s="52">
        <f>IF(OR(T232="",I232&lt;T232),"",IFERROR(AVERAGE(T232+M232*{7,8,9,10,11})/IF(G232="",I232,G232)-1,""))</f>
        <v/>
      </c>
      <c r="AG232" s="55">
        <f>IF(OR(T232="",I232&lt;T232),"",IFERROR(AF232/-(R232/IF(G232="",I232,G232)-1),""))</f>
        <v/>
      </c>
      <c r="AH232" s="94" t="n">
        <v>-1</v>
      </c>
      <c r="AI232" s="94" t="n">
        <v>-101.2980755485523</v>
      </c>
      <c r="AJ232" s="94" t="n">
        <v>0</v>
      </c>
      <c r="AK232" s="94" t="inlineStr">
        <is>
          <t>None</t>
        </is>
      </c>
      <c r="AL232" s="84" t="inlineStr">
        <is>
          <t>Las Vegas Sands Corp.</t>
        </is>
      </c>
      <c r="AM232" t="inlineStr">
        <is>
          <t>Consumer Cyclical</t>
        </is>
      </c>
      <c r="AN232" t="inlineStr">
        <is>
          <t>Resorts &amp; Casinos</t>
        </is>
      </c>
      <c r="AO232" t="n">
        <v>84</v>
      </c>
    </row>
    <row r="233">
      <c r="A233" s="64" t="inlineStr">
        <is>
          <t>VECO</t>
        </is>
      </c>
      <c r="B233" s="65" t="n"/>
      <c r="C233" s="66" t="n"/>
      <c r="D233" s="67" t="n"/>
      <c r="E233" s="68" t="n"/>
      <c r="F233" s="47">
        <f>IF(A233="","",IF(MIN(H233,MAX(J233:K233))=0,"",MIN(H233,MAX(J233:K233))))</f>
        <v/>
      </c>
      <c r="G233" s="74" t="n"/>
      <c r="H233" s="49">
        <f>IF(M233="","",IFERROR(ROUND(AVERAGE(T233+M233*{7,8,9,10,11})/1.21,4),""))</f>
        <v/>
      </c>
      <c r="I233" s="76" t="n">
        <v>32.97000122070312</v>
      </c>
      <c r="J233" s="77" t="n">
        <v>32.78254608182707</v>
      </c>
      <c r="K233" s="74" t="n">
        <v>31.16250028610229</v>
      </c>
      <c r="L233" s="78" t="n">
        <v>24.93130005836487</v>
      </c>
      <c r="M233" s="77" t="n">
        <v>1.422813541777021</v>
      </c>
      <c r="N233" s="53">
        <f>IF(M233="","",IFERROR(M233/I233,""))</f>
        <v/>
      </c>
      <c r="O233" s="50">
        <f>IF(A233="","",IFERROR((IF(G233="",I233,G233)-T233)/M233,""))</f>
        <v/>
      </c>
      <c r="P233" s="50">
        <f>IFERROR((I233/T233-1)/N233,"")</f>
        <v/>
      </c>
      <c r="Q233" s="46">
        <f>IF(OR(T233="",I233&lt;T233),"",IFERROR(R233/IF(G233="",I233,G233)-1,""))</f>
        <v/>
      </c>
      <c r="R233" s="48">
        <f>IF($M233="","",MAX(IF($G233="",$I233,$G233)*(1/1.1),IF($G233="",$I233,$G233)+(R$2*$M233)))</f>
        <v/>
      </c>
      <c r="S233" s="49">
        <f>IF($M233="","",MAX(IF($G233="",$I233,$G233)*(1/1.1),IF($G233="",$I233,$G233)+(S$2*$M233)))</f>
        <v/>
      </c>
      <c r="T233" s="82" t="n">
        <v>30.37440002441406</v>
      </c>
      <c r="U233" s="47">
        <f>IF(OR($M233="",$T233=""),"",$T233+(U$2*$M233))</f>
        <v/>
      </c>
      <c r="V233" s="48">
        <f>IF(OR($M233="",$T233=""),"",$T233+(V$2*$M233))</f>
        <v/>
      </c>
      <c r="W233" s="48">
        <f>IF(OR($M233="",$T233=""),"",$T233+(W$2*$M233))</f>
        <v/>
      </c>
      <c r="X233" s="49">
        <f>IF(OR($M233="",$T233=""),"",$T233+(X$2*$M233))</f>
        <v/>
      </c>
      <c r="Y233" s="47">
        <f>IF(OR($M233="",$T233=""),"",$T233+(Y$2*$M233))</f>
        <v/>
      </c>
      <c r="Z233" s="49">
        <f>IF(OR($M233="",$T233=""),"",$T233+(Z$2*$M233))</f>
        <v/>
      </c>
      <c r="AA233" s="51">
        <f>IF(OR($M233="",$T233=""),"",$T233+(AA$2*$M233))</f>
        <v/>
      </c>
      <c r="AB233" s="48">
        <f>IF(OR($M233="",$T233=""),"",$T233+(AB$2*$M233))</f>
        <v/>
      </c>
      <c r="AC233" s="48">
        <f>IF(OR($M233="",$T233=""),"",$T233+(AC$2*$M233))</f>
        <v/>
      </c>
      <c r="AD233" s="48">
        <f>IF(OR($M233="",$T233=""),"",$T233+(AD$2*$M233))</f>
        <v/>
      </c>
      <c r="AE233" s="49">
        <f>IF(OR($M233="",$T233=""),"",$T233+(AE$2*$M233))</f>
        <v/>
      </c>
      <c r="AF233" s="52">
        <f>IF(OR(T233="",I233&lt;T233),"",IFERROR(AVERAGE(T233+M233*{7,8,9,10,11})/IF(G233="",I233,G233)-1,""))</f>
        <v/>
      </c>
      <c r="AG233" s="55">
        <f>IF(OR(T233="",I233&lt;T233),"",IFERROR(AF233/-(R233/IF(G233="",I233,G233)-1),""))</f>
        <v/>
      </c>
      <c r="AH233" s="94" t="n">
        <v>1</v>
      </c>
      <c r="AI233" s="94" t="n">
        <v>76.64364197850281</v>
      </c>
      <c r="AJ233" s="94" t="n">
        <v>1</v>
      </c>
      <c r="AK233" s="94" t="inlineStr">
        <is>
          <t>OTT Up Trend</t>
        </is>
      </c>
      <c r="AL233" s="84" t="inlineStr">
        <is>
          <t>Veeco Instruments Inc.</t>
        </is>
      </c>
      <c r="AM233" t="inlineStr">
        <is>
          <t>Technology</t>
        </is>
      </c>
      <c r="AN233" t="inlineStr">
        <is>
          <t>Semiconductor Equipment &amp; Materials</t>
        </is>
      </c>
      <c r="AO233" t="n">
        <v>84</v>
      </c>
    </row>
    <row r="234">
      <c r="A234" s="64" t="inlineStr">
        <is>
          <t>NEO</t>
        </is>
      </c>
      <c r="B234" s="65" t="n"/>
      <c r="C234" s="66" t="n"/>
      <c r="D234" s="67" t="n"/>
      <c r="E234" s="68" t="n"/>
      <c r="F234" s="47">
        <f>IF(A234="","",IF(MIN(H234,MAX(J234:K234))=0,"",MIN(H234,MAX(J234:K234))))</f>
        <v/>
      </c>
      <c r="G234" s="74" t="n"/>
      <c r="H234" s="49">
        <f>IF(M234="","",IFERROR(ROUND(AVERAGE(T234+M234*{7,8,9,10,11})/1.21,4),""))</f>
        <v/>
      </c>
      <c r="I234" s="76" t="n">
        <v>12.78999996185303</v>
      </c>
      <c r="J234" s="77" t="n">
        <v>12.73454203806397</v>
      </c>
      <c r="K234" s="74" t="n">
        <v>12.43900003433228</v>
      </c>
      <c r="L234" s="78" t="n">
        <v>8.84665001153946</v>
      </c>
      <c r="M234" s="77" t="n">
        <v>0.5810276736718422</v>
      </c>
      <c r="N234" s="53">
        <f>IF(M234="","",IFERROR(M234/I234,""))</f>
        <v/>
      </c>
      <c r="O234" s="50">
        <f>IF(A234="","",IFERROR((IF(G234="",I234,G234)-T234)/M234,""))</f>
        <v/>
      </c>
      <c r="P234" s="50">
        <f>IFERROR((I234/T234-1)/N234,"")</f>
        <v/>
      </c>
      <c r="Q234" s="46">
        <f>IF(OR(T234="",I234&lt;T234),"",IFERROR(R234/IF(G234="",I234,G234)-1,""))</f>
        <v/>
      </c>
      <c r="R234" s="48">
        <f>IF($M234="","",MAX(IF($G234="",$I234,$G234)*(1/1.1),IF($G234="",$I234,$G234)+(R$2*$M234)))</f>
        <v/>
      </c>
      <c r="S234" s="49">
        <f>IF($M234="","",MAX(IF($G234="",$I234,$G234)*(1/1.1),IF($G234="",$I234,$G234)+(S$2*$M234)))</f>
        <v/>
      </c>
      <c r="T234" s="82" t="n">
        <v>11.73320003509522</v>
      </c>
      <c r="U234" s="47">
        <f>IF(OR($M234="",$T234=""),"",$T234+(U$2*$M234))</f>
        <v/>
      </c>
      <c r="V234" s="48">
        <f>IF(OR($M234="",$T234=""),"",$T234+(V$2*$M234))</f>
        <v/>
      </c>
      <c r="W234" s="48">
        <f>IF(OR($M234="",$T234=""),"",$T234+(W$2*$M234))</f>
        <v/>
      </c>
      <c r="X234" s="49">
        <f>IF(OR($M234="",$T234=""),"",$T234+(X$2*$M234))</f>
        <v/>
      </c>
      <c r="Y234" s="47">
        <f>IF(OR($M234="",$T234=""),"",$T234+(Y$2*$M234))</f>
        <v/>
      </c>
      <c r="Z234" s="49">
        <f>IF(OR($M234="",$T234=""),"",$T234+(Z$2*$M234))</f>
        <v/>
      </c>
      <c r="AA234" s="51">
        <f>IF(OR($M234="",$T234=""),"",$T234+(AA$2*$M234))</f>
        <v/>
      </c>
      <c r="AB234" s="48">
        <f>IF(OR($M234="",$T234=""),"",$T234+(AB$2*$M234))</f>
        <v/>
      </c>
      <c r="AC234" s="48">
        <f>IF(OR($M234="",$T234=""),"",$T234+(AC$2*$M234))</f>
        <v/>
      </c>
      <c r="AD234" s="48">
        <f>IF(OR($M234="",$T234=""),"",$T234+(AD$2*$M234))</f>
        <v/>
      </c>
      <c r="AE234" s="49">
        <f>IF(OR($M234="",$T234=""),"",$T234+(AE$2*$M234))</f>
        <v/>
      </c>
      <c r="AF234" s="52">
        <f>IF(OR(T234="",I234&lt;T234),"",IFERROR(AVERAGE(T234+M234*{7,8,9,10,11})/IF(G234="",I234,G234)-1,""))</f>
        <v/>
      </c>
      <c r="AG234" s="55">
        <f>IF(OR(T234="",I234&lt;T234),"",IFERROR(AF234/-(R234/IF(G234="",I234,G234)-1),""))</f>
        <v/>
      </c>
      <c r="AH234" s="94" t="n">
        <v>1</v>
      </c>
      <c r="AI234" s="94" t="n">
        <v>65.01084544520418</v>
      </c>
      <c r="AJ234" s="94" t="n">
        <v>0</v>
      </c>
      <c r="AK234" s="94" t="inlineStr">
        <is>
          <t>OTT Up Trend</t>
        </is>
      </c>
      <c r="AL234" s="84" t="inlineStr">
        <is>
          <t>NeoGenomics, Inc.</t>
        </is>
      </c>
      <c r="AM234" t="inlineStr">
        <is>
          <t>Healthcare</t>
        </is>
      </c>
      <c r="AN234" t="inlineStr">
        <is>
          <t>Diagnostics &amp; Research</t>
        </is>
      </c>
      <c r="AO234" t="n">
        <v>84</v>
      </c>
    </row>
    <row r="235">
      <c r="A235" s="64" t="inlineStr">
        <is>
          <t>AVGO</t>
        </is>
      </c>
      <c r="B235" s="65" t="n"/>
      <c r="C235" s="66" t="n"/>
      <c r="D235" s="67" t="n"/>
      <c r="E235" s="68" t="n"/>
      <c r="F235" s="47">
        <f>IF(A235="","",IF(MIN(H235,MAX(J235:K235))=0,"",MIN(H235,MAX(J235:K235))))</f>
        <v/>
      </c>
      <c r="G235" s="74" t="n"/>
      <c r="H235" s="49">
        <f>IF(M235="","",IFERROR(ROUND(AVERAGE(T235+M235*{7,8,9,10,11})/1.21,4),""))</f>
        <v/>
      </c>
      <c r="I235" s="76" t="n">
        <v>351.7099914550781</v>
      </c>
      <c r="J235" s="77" t="n">
        <v>346.6280487698451</v>
      </c>
      <c r="K235" s="74" t="n">
        <v>345.2950012207031</v>
      </c>
      <c r="L235" s="78" t="n">
        <v>298.0647501373291</v>
      </c>
      <c r="M235" s="77" t="n">
        <v>13.26036818349005</v>
      </c>
      <c r="N235" s="53">
        <f>IF(M235="","",IFERROR(M235/I235,""))</f>
        <v/>
      </c>
      <c r="O235" s="50">
        <f>IF(A235="","",IFERROR((IF(G235="",I235,G235)-T235)/M235,""))</f>
        <v/>
      </c>
      <c r="P235" s="50">
        <f>IFERROR((I235/T235-1)/N235,"")</f>
        <v/>
      </c>
      <c r="Q235" s="46">
        <f>IF(OR(T235="",I235&lt;T235),"",IFERROR(R235/IF(G235="",I235,G235)-1,""))</f>
        <v/>
      </c>
      <c r="R235" s="48">
        <f>IF($M235="","",MAX(IF($G235="",$I235,$G235)*(1/1.1),IF($G235="",$I235,$G235)+(R$2*$M235)))</f>
        <v/>
      </c>
      <c r="S235" s="49">
        <f>IF($M235="","",MAX(IF($G235="",$I235,$G235)*(1/1.1),IF($G235="",$I235,$G235)+(S$2*$M235)))</f>
        <v/>
      </c>
      <c r="T235" s="82" t="n">
        <v>358.3867999267578</v>
      </c>
      <c r="U235" s="47">
        <f>IF(OR($M235="",$T235=""),"",$T235+(U$2*$M235))</f>
        <v/>
      </c>
      <c r="V235" s="48">
        <f>IF(OR($M235="",$T235=""),"",$T235+(V$2*$M235))</f>
        <v/>
      </c>
      <c r="W235" s="48">
        <f>IF(OR($M235="",$T235=""),"",$T235+(W$2*$M235))</f>
        <v/>
      </c>
      <c r="X235" s="49">
        <f>IF(OR($M235="",$T235=""),"",$T235+(X$2*$M235))</f>
        <v/>
      </c>
      <c r="Y235" s="47">
        <f>IF(OR($M235="",$T235=""),"",$T235+(Y$2*$M235))</f>
        <v/>
      </c>
      <c r="Z235" s="49">
        <f>IF(OR($M235="",$T235=""),"",$T235+(Z$2*$M235))</f>
        <v/>
      </c>
      <c r="AA235" s="51">
        <f>IF(OR($M235="",$T235=""),"",$T235+(AA$2*$M235))</f>
        <v/>
      </c>
      <c r="AB235" s="48">
        <f>IF(OR($M235="",$T235=""),"",$T235+(AB$2*$M235))</f>
        <v/>
      </c>
      <c r="AC235" s="48">
        <f>IF(OR($M235="",$T235=""),"",$T235+(AC$2*$M235))</f>
        <v/>
      </c>
      <c r="AD235" s="48">
        <f>IF(OR($M235="",$T235=""),"",$T235+(AD$2*$M235))</f>
        <v/>
      </c>
      <c r="AE235" s="49">
        <f>IF(OR($M235="",$T235=""),"",$T235+(AE$2*$M235))</f>
        <v/>
      </c>
      <c r="AF235" s="52">
        <f>IF(OR(T235="",I235&lt;T235),"",IFERROR(AVERAGE(T235+M235*{7,8,9,10,11})/IF(G235="",I235,G235)-1,""))</f>
        <v/>
      </c>
      <c r="AG235" s="55">
        <f>IF(OR(T235="",I235&lt;T235),"",IFERROR(AF235/-(R235/IF(G235="",I235,G235)-1),""))</f>
        <v/>
      </c>
      <c r="AH235" s="94" t="n">
        <v>-1</v>
      </c>
      <c r="AI235" s="94" t="n">
        <v>-27.08979285352742</v>
      </c>
      <c r="AJ235" s="94" t="n">
        <v>1</v>
      </c>
      <c r="AK235" s="94" t="inlineStr">
        <is>
          <t>OTT Turned Down</t>
        </is>
      </c>
      <c r="AL235" s="84" t="inlineStr">
        <is>
          <t>Broadcom Inc.</t>
        </is>
      </c>
      <c r="AM235" t="inlineStr">
        <is>
          <t>Technology</t>
        </is>
      </c>
      <c r="AN235" t="inlineStr">
        <is>
          <t>Semiconductors</t>
        </is>
      </c>
      <c r="AO235" t="n">
        <v>84</v>
      </c>
    </row>
    <row r="236">
      <c r="A236" s="64" t="inlineStr">
        <is>
          <t>HE</t>
        </is>
      </c>
      <c r="B236" s="65" t="n"/>
      <c r="C236" s="66" t="n"/>
      <c r="D236" s="67" t="n"/>
      <c r="E236" s="68" t="n"/>
      <c r="F236" s="47">
        <f>IF(A236="","",IF(MIN(H236,MAX(J236:K236))=0,"",MIN(H236,MAX(J236:K236))))</f>
        <v/>
      </c>
      <c r="G236" s="74" t="n"/>
      <c r="H236" s="49">
        <f>IF(M236="","",IFERROR(ROUND(AVERAGE(T236+M236*{7,8,9,10,11})/1.21,4),""))</f>
        <v/>
      </c>
      <c r="I236" s="76" t="n">
        <v>14.44999980926514</v>
      </c>
      <c r="J236" s="77" t="n">
        <v>13.84535359656533</v>
      </c>
      <c r="K236" s="74" t="n">
        <v>13.01150002479553</v>
      </c>
      <c r="L236" s="78" t="n">
        <v>11.29184998512268</v>
      </c>
      <c r="M236" s="77" t="n">
        <v>0.5694919920167693</v>
      </c>
      <c r="N236" s="53">
        <f>IF(M236="","",IFERROR(M236/I236,""))</f>
        <v/>
      </c>
      <c r="O236" s="50">
        <f>IF(A236="","",IFERROR((IF(G236="",I236,G236)-T236)/M236,""))</f>
        <v/>
      </c>
      <c r="P236" s="50">
        <f>IFERROR((I236/T236-1)/N236,"")</f>
        <v/>
      </c>
      <c r="Q236" s="46">
        <f>IF(OR(T236="",I236&lt;T236),"",IFERROR(R236/IF(G236="",I236,G236)-1,""))</f>
        <v/>
      </c>
      <c r="R236" s="48">
        <f>IF($M236="","",MAX(IF($G236="",$I236,$G236)*(1/1.1),IF($G236="",$I236,$G236)+(R$2*$M236)))</f>
        <v/>
      </c>
      <c r="S236" s="49">
        <f>IF($M236="","",MAX(IF($G236="",$I236,$G236)*(1/1.1),IF($G236="",$I236,$G236)+(S$2*$M236)))</f>
        <v/>
      </c>
      <c r="T236" s="82" t="n">
        <v>12.14899995803833</v>
      </c>
      <c r="U236" s="47">
        <f>IF(OR($M236="",$T236=""),"",$T236+(U$2*$M236))</f>
        <v/>
      </c>
      <c r="V236" s="48">
        <f>IF(OR($M236="",$T236=""),"",$T236+(V$2*$M236))</f>
        <v/>
      </c>
      <c r="W236" s="48">
        <f>IF(OR($M236="",$T236=""),"",$T236+(W$2*$M236))</f>
        <v/>
      </c>
      <c r="X236" s="49">
        <f>IF(OR($M236="",$T236=""),"",$T236+(X$2*$M236))</f>
        <v/>
      </c>
      <c r="Y236" s="47">
        <f>IF(OR($M236="",$T236=""),"",$T236+(Y$2*$M236))</f>
        <v/>
      </c>
      <c r="Z236" s="49">
        <f>IF(OR($M236="",$T236=""),"",$T236+(Z$2*$M236))</f>
        <v/>
      </c>
      <c r="AA236" s="51">
        <f>IF(OR($M236="",$T236=""),"",$T236+(AA$2*$M236))</f>
        <v/>
      </c>
      <c r="AB236" s="48">
        <f>IF(OR($M236="",$T236=""),"",$T236+(AB$2*$M236))</f>
        <v/>
      </c>
      <c r="AC236" s="48">
        <f>IF(OR($M236="",$T236=""),"",$T236+(AC$2*$M236))</f>
        <v/>
      </c>
      <c r="AD236" s="48">
        <f>IF(OR($M236="",$T236=""),"",$T236+(AD$2*$M236))</f>
        <v/>
      </c>
      <c r="AE236" s="49">
        <f>IF(OR($M236="",$T236=""),"",$T236+(AE$2*$M236))</f>
        <v/>
      </c>
      <c r="AF236" s="52">
        <f>IF(OR(T236="",I236&lt;T236),"",IFERROR(AVERAGE(T236+M236*{7,8,9,10,11})/IF(G236="",I236,G236)-1,""))</f>
        <v/>
      </c>
      <c r="AG236" s="55">
        <f>IF(OR(T236="",I236&lt;T236),"",IFERROR(AF236/-(R236/IF(G236="",I236,G236)-1),""))</f>
        <v/>
      </c>
      <c r="AH236" s="94" t="n">
        <v>1</v>
      </c>
      <c r="AI236" s="94" t="n">
        <v>138.8104344982681</v>
      </c>
      <c r="AJ236" s="94" t="n">
        <v>1</v>
      </c>
      <c r="AK236" s="94" t="inlineStr">
        <is>
          <t>OTT Up Trend</t>
        </is>
      </c>
      <c r="AL236" s="84" t="inlineStr">
        <is>
          <t>Hawaiian Electric Industries, I</t>
        </is>
      </c>
      <c r="AM236" t="inlineStr">
        <is>
          <t>Utilities</t>
        </is>
      </c>
      <c r="AN236" t="inlineStr">
        <is>
          <t>Utilities - Regulated Electric</t>
        </is>
      </c>
      <c r="AO236" t="n">
        <v>84</v>
      </c>
    </row>
    <row r="237">
      <c r="A237" s="64" t="inlineStr">
        <is>
          <t>SLB</t>
        </is>
      </c>
      <c r="B237" s="65" t="n"/>
      <c r="C237" s="66" t="n"/>
      <c r="D237" s="67" t="n"/>
      <c r="E237" s="68" t="n"/>
      <c r="F237" s="47">
        <f>IF(A237="","",IF(MIN(H237,MAX(J237:K237))=0,"",MIN(H237,MAX(J237:K237))))</f>
        <v/>
      </c>
      <c r="G237" s="74" t="n"/>
      <c r="H237" s="49">
        <f>IF(M237="","",IFERROR(ROUND(AVERAGE(T237+M237*{7,8,9,10,11})/1.21,4),""))</f>
        <v/>
      </c>
      <c r="I237" s="76" t="n">
        <v>46.72999954223633</v>
      </c>
      <c r="J237" s="77" t="n">
        <v>44.80656272500292</v>
      </c>
      <c r="K237" s="74" t="n">
        <v>41.7140007019043</v>
      </c>
      <c r="L237" s="78" t="n">
        <v>35.73155011177063</v>
      </c>
      <c r="M237" s="77" t="n">
        <v>1.269787558530277</v>
      </c>
      <c r="N237" s="53">
        <f>IF(M237="","",IFERROR(M237/I237,""))</f>
        <v/>
      </c>
      <c r="O237" s="50">
        <f>IF(A237="","",IFERROR((IF(G237="",I237,G237)-T237)/M237,""))</f>
        <v/>
      </c>
      <c r="P237" s="50">
        <f>IFERROR((I237/T237-1)/N237,"")</f>
        <v/>
      </c>
      <c r="Q237" s="46">
        <f>IF(OR(T237="",I237&lt;T237),"",IFERROR(R237/IF(G237="",I237,G237)-1,""))</f>
        <v/>
      </c>
      <c r="R237" s="48">
        <f>IF($M237="","",MAX(IF($G237="",$I237,$G237)*(1/1.1),IF($G237="",$I237,$G237)+(R$2*$M237)))</f>
        <v/>
      </c>
      <c r="S237" s="49">
        <f>IF($M237="","",MAX(IF($G237="",$I237,$G237)*(1/1.1),IF($G237="",$I237,$G237)+(S$2*$M237)))</f>
        <v/>
      </c>
      <c r="T237" s="82" t="n">
        <v>38.97340026855468</v>
      </c>
      <c r="U237" s="47">
        <f>IF(OR($M237="",$T237=""),"",$T237+(U$2*$M237))</f>
        <v/>
      </c>
      <c r="V237" s="48">
        <f>IF(OR($M237="",$T237=""),"",$T237+(V$2*$M237))</f>
        <v/>
      </c>
      <c r="W237" s="48">
        <f>IF(OR($M237="",$T237=""),"",$T237+(W$2*$M237))</f>
        <v/>
      </c>
      <c r="X237" s="49">
        <f>IF(OR($M237="",$T237=""),"",$T237+(X$2*$M237))</f>
        <v/>
      </c>
      <c r="Y237" s="47">
        <f>IF(OR($M237="",$T237=""),"",$T237+(Y$2*$M237))</f>
        <v/>
      </c>
      <c r="Z237" s="49">
        <f>IF(OR($M237="",$T237=""),"",$T237+(Z$2*$M237))</f>
        <v/>
      </c>
      <c r="AA237" s="51">
        <f>IF(OR($M237="",$T237=""),"",$T237+(AA$2*$M237))</f>
        <v/>
      </c>
      <c r="AB237" s="48">
        <f>IF(OR($M237="",$T237=""),"",$T237+(AB$2*$M237))</f>
        <v/>
      </c>
      <c r="AC237" s="48">
        <f>IF(OR($M237="",$T237=""),"",$T237+(AC$2*$M237))</f>
        <v/>
      </c>
      <c r="AD237" s="48">
        <f>IF(OR($M237="",$T237=""),"",$T237+(AD$2*$M237))</f>
        <v/>
      </c>
      <c r="AE237" s="49">
        <f>IF(OR($M237="",$T237=""),"",$T237+(AE$2*$M237))</f>
        <v/>
      </c>
      <c r="AF237" s="52">
        <f>IF(OR(T237="",I237&lt;T237),"",IFERROR(AVERAGE(T237+M237*{7,8,9,10,11})/IF(G237="",I237,G237)-1,""))</f>
        <v/>
      </c>
      <c r="AG237" s="55">
        <f>IF(OR(T237="",I237&lt;T237),"",IFERROR(AF237/-(R237/IF(G237="",I237,G237)-1),""))</f>
        <v/>
      </c>
      <c r="AH237" s="94" t="n">
        <v>1</v>
      </c>
      <c r="AI237" s="94" t="n">
        <v>197.2206916597273</v>
      </c>
      <c r="AJ237" s="94" t="n">
        <v>1</v>
      </c>
      <c r="AK237" s="94" t="inlineStr">
        <is>
          <t>OTT Up Trend</t>
        </is>
      </c>
      <c r="AL237" s="84" t="inlineStr">
        <is>
          <t>SLB Limited</t>
        </is>
      </c>
      <c r="AM237" t="inlineStr">
        <is>
          <t>Energy</t>
        </is>
      </c>
      <c r="AN237" t="inlineStr">
        <is>
          <t>Oil &amp; Gas Equipment &amp; Services</t>
        </is>
      </c>
      <c r="AO237" t="n">
        <v>84</v>
      </c>
    </row>
    <row r="238">
      <c r="A238" s="64" t="inlineStr">
        <is>
          <t>KEYS</t>
        </is>
      </c>
      <c r="B238" s="65" t="n"/>
      <c r="C238" s="66" t="n"/>
      <c r="D238" s="67" t="n"/>
      <c r="E238" s="68" t="n"/>
      <c r="F238" s="47">
        <f>IF(A238="","",IF(MIN(H238,MAX(J238:K238))=0,"",MIN(H238,MAX(J238:K238))))</f>
        <v/>
      </c>
      <c r="G238" s="74" t="n"/>
      <c r="H238" s="49">
        <f>IF(M238="","",IFERROR(ROUND(AVERAGE(T238+M238*{7,8,9,10,11})/1.21,4),""))</f>
        <v/>
      </c>
      <c r="I238" s="76" t="n">
        <v>214.1999969482422</v>
      </c>
      <c r="J238" s="77" t="n">
        <v>210.3718458988116</v>
      </c>
      <c r="K238" s="74" t="n">
        <v>207.4925003051758</v>
      </c>
      <c r="L238" s="78" t="n">
        <v>170.763099822998</v>
      </c>
      <c r="M238" s="77" t="n">
        <v>4.799234668994224</v>
      </c>
      <c r="N238" s="53">
        <f>IF(M238="","",IFERROR(M238/I238,""))</f>
        <v/>
      </c>
      <c r="O238" s="50">
        <f>IF(A238="","",IFERROR((IF(G238="",I238,G238)-T238)/M238,""))</f>
        <v/>
      </c>
      <c r="P238" s="50">
        <f>IFERROR((I238/T238-1)/N238,"")</f>
        <v/>
      </c>
      <c r="Q238" s="46">
        <f>IF(OR(T238="",I238&lt;T238),"",IFERROR(R238/IF(G238="",I238,G238)-1,""))</f>
        <v/>
      </c>
      <c r="R238" s="48">
        <f>IF($M238="","",MAX(IF($G238="",$I238,$G238)*(1/1.1),IF($G238="",$I238,$G238)+(R$2*$M238)))</f>
        <v/>
      </c>
      <c r="S238" s="49">
        <f>IF($M238="","",MAX(IF($G238="",$I238,$G238)*(1/1.1),IF($G238="",$I238,$G238)+(S$2*$M238)))</f>
        <v/>
      </c>
      <c r="T238" s="82" t="n">
        <v>198.7073999023438</v>
      </c>
      <c r="U238" s="47">
        <f>IF(OR($M238="",$T238=""),"",$T238+(U$2*$M238))</f>
        <v/>
      </c>
      <c r="V238" s="48">
        <f>IF(OR($M238="",$T238=""),"",$T238+(V$2*$M238))</f>
        <v/>
      </c>
      <c r="W238" s="48">
        <f>IF(OR($M238="",$T238=""),"",$T238+(W$2*$M238))</f>
        <v/>
      </c>
      <c r="X238" s="49">
        <f>IF(OR($M238="",$T238=""),"",$T238+(X$2*$M238))</f>
        <v/>
      </c>
      <c r="Y238" s="47">
        <f>IF(OR($M238="",$T238=""),"",$T238+(Y$2*$M238))</f>
        <v/>
      </c>
      <c r="Z238" s="49">
        <f>IF(OR($M238="",$T238=""),"",$T238+(Z$2*$M238))</f>
        <v/>
      </c>
      <c r="AA238" s="51">
        <f>IF(OR($M238="",$T238=""),"",$T238+(AA$2*$M238))</f>
        <v/>
      </c>
      <c r="AB238" s="48">
        <f>IF(OR($M238="",$T238=""),"",$T238+(AB$2*$M238))</f>
        <v/>
      </c>
      <c r="AC238" s="48">
        <f>IF(OR($M238="",$T238=""),"",$T238+(AC$2*$M238))</f>
        <v/>
      </c>
      <c r="AD238" s="48">
        <f>IF(OR($M238="",$T238=""),"",$T238+(AD$2*$M238))</f>
        <v/>
      </c>
      <c r="AE238" s="49">
        <f>IF(OR($M238="",$T238=""),"",$T238+(AE$2*$M238))</f>
        <v/>
      </c>
      <c r="AF238" s="52">
        <f>IF(OR(T238="",I238&lt;T238),"",IFERROR(AVERAGE(T238+M238*{7,8,9,10,11})/IF(G238="",I238,G238)-1,""))</f>
        <v/>
      </c>
      <c r="AG238" s="55">
        <f>IF(OR(T238="",I238&lt;T238),"",IFERROR(AF238/-(R238/IF(G238="",I238,G238)-1),""))</f>
        <v/>
      </c>
      <c r="AH238" s="94" t="n">
        <v>1</v>
      </c>
      <c r="AI238" s="94" t="n">
        <v>73.45935833332396</v>
      </c>
      <c r="AJ238" s="94" t="n">
        <v>0</v>
      </c>
      <c r="AK238" s="94" t="inlineStr">
        <is>
          <t>OTT Up Trend</t>
        </is>
      </c>
      <c r="AL238" s="84" t="inlineStr">
        <is>
          <t>Keysight Technologies Inc.</t>
        </is>
      </c>
      <c r="AM238" t="inlineStr">
        <is>
          <t>Technology</t>
        </is>
      </c>
      <c r="AN238" t="inlineStr">
        <is>
          <t>Scientific &amp; Technical Instruments</t>
        </is>
      </c>
      <c r="AO238" t="n">
        <v>84</v>
      </c>
    </row>
    <row r="239">
      <c r="A239" s="64" t="inlineStr">
        <is>
          <t>VFC</t>
        </is>
      </c>
      <c r="B239" s="65" t="n"/>
      <c r="C239" s="66" t="n"/>
      <c r="D239" s="67" t="n"/>
      <c r="E239" s="68" t="n"/>
      <c r="F239" s="47">
        <f>IF(A239="","",IF(MIN(H239,MAX(J239:K239))=0,"",MIN(H239,MAX(J239:K239))))</f>
        <v/>
      </c>
      <c r="G239" s="74" t="n"/>
      <c r="H239" s="49">
        <f>IF(M239="","",IFERROR(ROUND(AVERAGE(T239+M239*{7,8,9,10,11})/1.21,4),""))</f>
        <v/>
      </c>
      <c r="I239" s="76" t="n">
        <v>18.81999969482422</v>
      </c>
      <c r="J239" s="77" t="n">
        <v>19.20406679767603</v>
      </c>
      <c r="K239" s="74" t="n">
        <v>18.88800010681152</v>
      </c>
      <c r="L239" s="78" t="n">
        <v>14.30784999847412</v>
      </c>
      <c r="M239" s="77" t="n">
        <v>0.7010501125007962</v>
      </c>
      <c r="N239" s="53">
        <f>IF(M239="","",IFERROR(M239/I239,""))</f>
        <v/>
      </c>
      <c r="O239" s="50">
        <f>IF(A239="","",IFERROR((IF(G239="",I239,G239)-T239)/M239,""))</f>
        <v/>
      </c>
      <c r="P239" s="50">
        <f>IFERROR((I239/T239-1)/N239,"")</f>
        <v/>
      </c>
      <c r="Q239" s="46">
        <f>IF(OR(T239="",I239&lt;T239),"",IFERROR(R239/IF(G239="",I239,G239)-1,""))</f>
        <v/>
      </c>
      <c r="R239" s="48">
        <f>IF($M239="","",MAX(IF($G239="",$I239,$G239)*(1/1.1),IF($G239="",$I239,$G239)+(R$2*$M239)))</f>
        <v/>
      </c>
      <c r="S239" s="49">
        <f>IF($M239="","",MAX(IF($G239="",$I239,$G239)*(1/1.1),IF($G239="",$I239,$G239)+(S$2*$M239)))</f>
        <v/>
      </c>
      <c r="T239" s="82" t="n">
        <v>17.66160007476807</v>
      </c>
      <c r="U239" s="47">
        <f>IF(OR($M239="",$T239=""),"",$T239+(U$2*$M239))</f>
        <v/>
      </c>
      <c r="V239" s="48">
        <f>IF(OR($M239="",$T239=""),"",$T239+(V$2*$M239))</f>
        <v/>
      </c>
      <c r="W239" s="48">
        <f>IF(OR($M239="",$T239=""),"",$T239+(W$2*$M239))</f>
        <v/>
      </c>
      <c r="X239" s="49">
        <f>IF(OR($M239="",$T239=""),"",$T239+(X$2*$M239))</f>
        <v/>
      </c>
      <c r="Y239" s="47">
        <f>IF(OR($M239="",$T239=""),"",$T239+(Y$2*$M239))</f>
        <v/>
      </c>
      <c r="Z239" s="49">
        <f>IF(OR($M239="",$T239=""),"",$T239+(Z$2*$M239))</f>
        <v/>
      </c>
      <c r="AA239" s="51">
        <f>IF(OR($M239="",$T239=""),"",$T239+(AA$2*$M239))</f>
        <v/>
      </c>
      <c r="AB239" s="48">
        <f>IF(OR($M239="",$T239=""),"",$T239+(AB$2*$M239))</f>
        <v/>
      </c>
      <c r="AC239" s="48">
        <f>IF(OR($M239="",$T239=""),"",$T239+(AC$2*$M239))</f>
        <v/>
      </c>
      <c r="AD239" s="48">
        <f>IF(OR($M239="",$T239=""),"",$T239+(AD$2*$M239))</f>
        <v/>
      </c>
      <c r="AE239" s="49">
        <f>IF(OR($M239="",$T239=""),"",$T239+(AE$2*$M239))</f>
        <v/>
      </c>
      <c r="AF239" s="52">
        <f>IF(OR(T239="",I239&lt;T239),"",IFERROR(AVERAGE(T239+M239*{7,8,9,10,11})/IF(G239="",I239,G239)-1,""))</f>
        <v/>
      </c>
      <c r="AG239" s="55">
        <f>IF(OR(T239="",I239&lt;T239),"",IFERROR(AF239/-(R239/IF(G239="",I239,G239)-1),""))</f>
        <v/>
      </c>
      <c r="AH239" s="94" t="n">
        <v>1</v>
      </c>
      <c r="AI239" s="94" t="n">
        <v>60.1482659882436</v>
      </c>
      <c r="AJ239" s="94" t="n">
        <v>0</v>
      </c>
      <c r="AK239" s="94" t="inlineStr">
        <is>
          <t>OTT Up Trend</t>
        </is>
      </c>
      <c r="AL239" s="84" t="inlineStr">
        <is>
          <t>V.F. Corporation</t>
        </is>
      </c>
      <c r="AM239" t="inlineStr">
        <is>
          <t>Consumer Cyclical</t>
        </is>
      </c>
      <c r="AN239" t="inlineStr">
        <is>
          <t>Apparel Manufacturing</t>
        </is>
      </c>
      <c r="AO239" t="n">
        <v>84</v>
      </c>
    </row>
    <row r="240">
      <c r="A240" s="64" t="inlineStr">
        <is>
          <t>JLL</t>
        </is>
      </c>
      <c r="B240" s="65" t="n"/>
      <c r="C240" s="66" t="n"/>
      <c r="D240" s="67" t="n"/>
      <c r="E240" s="68" t="n"/>
      <c r="F240" s="47">
        <f>IF(A240="","",IF(MIN(H240,MAX(J240:K240))=0,"",MIN(H240,MAX(J240:K240))))</f>
        <v/>
      </c>
      <c r="G240" s="74" t="n"/>
      <c r="H240" s="49">
        <f>IF(M240="","",IFERROR(ROUND(AVERAGE(T240+M240*{7,8,9,10,11})/1.21,4),""))</f>
        <v/>
      </c>
      <c r="I240" s="76" t="n">
        <v>355.6099853515625</v>
      </c>
      <c r="J240" s="77" t="n">
        <v>348.3146582788469</v>
      </c>
      <c r="K240" s="74" t="n">
        <v>344.7020004272461</v>
      </c>
      <c r="L240" s="78" t="n">
        <v>280.6894511413574</v>
      </c>
      <c r="M240" s="77" t="n">
        <v>8.675187679410339</v>
      </c>
      <c r="N240" s="53">
        <f>IF(M240="","",IFERROR(M240/I240,""))</f>
        <v/>
      </c>
      <c r="O240" s="50">
        <f>IF(A240="","",IFERROR((IF(G240="",I240,G240)-T240)/M240,""))</f>
        <v/>
      </c>
      <c r="P240" s="50">
        <f>IFERROR((I240/T240-1)/N240,"")</f>
        <v/>
      </c>
      <c r="Q240" s="46">
        <f>IF(OR(T240="",I240&lt;T240),"",IFERROR(R240/IF(G240="",I240,G240)-1,""))</f>
        <v/>
      </c>
      <c r="R240" s="48">
        <f>IF($M240="","",MAX(IF($G240="",$I240,$G240)*(1/1.1),IF($G240="",$I240,$G240)+(R$2*$M240)))</f>
        <v/>
      </c>
      <c r="S240" s="49">
        <f>IF($M240="","",MAX(IF($G240="",$I240,$G240)*(1/1.1),IF($G240="",$I240,$G240)+(S$2*$M240)))</f>
        <v/>
      </c>
      <c r="T240" s="82" t="n">
        <v>327.6304010009766</v>
      </c>
      <c r="U240" s="47">
        <f>IF(OR($M240="",$T240=""),"",$T240+(U$2*$M240))</f>
        <v/>
      </c>
      <c r="V240" s="48">
        <f>IF(OR($M240="",$T240=""),"",$T240+(V$2*$M240))</f>
        <v/>
      </c>
      <c r="W240" s="48">
        <f>IF(OR($M240="",$T240=""),"",$T240+(W$2*$M240))</f>
        <v/>
      </c>
      <c r="X240" s="49">
        <f>IF(OR($M240="",$T240=""),"",$T240+(X$2*$M240))</f>
        <v/>
      </c>
      <c r="Y240" s="47">
        <f>IF(OR($M240="",$T240=""),"",$T240+(Y$2*$M240))</f>
        <v/>
      </c>
      <c r="Z240" s="49">
        <f>IF(OR($M240="",$T240=""),"",$T240+(Z$2*$M240))</f>
        <v/>
      </c>
      <c r="AA240" s="51">
        <f>IF(OR($M240="",$T240=""),"",$T240+(AA$2*$M240))</f>
        <v/>
      </c>
      <c r="AB240" s="48">
        <f>IF(OR($M240="",$T240=""),"",$T240+(AB$2*$M240))</f>
        <v/>
      </c>
      <c r="AC240" s="48">
        <f>IF(OR($M240="",$T240=""),"",$T240+(AC$2*$M240))</f>
        <v/>
      </c>
      <c r="AD240" s="48">
        <f>IF(OR($M240="",$T240=""),"",$T240+(AD$2*$M240))</f>
        <v/>
      </c>
      <c r="AE240" s="49">
        <f>IF(OR($M240="",$T240=""),"",$T240+(AE$2*$M240))</f>
        <v/>
      </c>
      <c r="AF240" s="52">
        <f>IF(OR(T240="",I240&lt;T240),"",IFERROR(AVERAGE(T240+M240*{7,8,9,10,11})/IF(G240="",I240,G240)-1,""))</f>
        <v/>
      </c>
      <c r="AG240" s="55">
        <f>IF(OR(T240="",I240&lt;T240),"",IFERROR(AF240/-(R240/IF(G240="",I240,G240)-1),""))</f>
        <v/>
      </c>
      <c r="AH240" s="94" t="n">
        <v>1</v>
      </c>
      <c r="AI240" s="94" t="n">
        <v>72.6510885830573</v>
      </c>
      <c r="AJ240" s="94" t="n">
        <v>0</v>
      </c>
      <c r="AK240" s="94" t="inlineStr">
        <is>
          <t>OTT Up Trend</t>
        </is>
      </c>
      <c r="AL240" s="84" t="inlineStr">
        <is>
          <t>Jones Lang LaSalle Incorporated</t>
        </is>
      </c>
      <c r="AM240" t="inlineStr">
        <is>
          <t>Real Estate</t>
        </is>
      </c>
      <c r="AN240" t="inlineStr">
        <is>
          <t>Real Estate Services</t>
        </is>
      </c>
      <c r="AO240" t="n">
        <v>84</v>
      </c>
    </row>
    <row r="241">
      <c r="A241" s="64" t="inlineStr">
        <is>
          <t>IBKR</t>
        </is>
      </c>
      <c r="B241" s="65" t="n"/>
      <c r="C241" s="66" t="n"/>
      <c r="D241" s="67" t="n"/>
      <c r="E241" s="68" t="n"/>
      <c r="F241" s="47">
        <f>IF(A241="","",IF(MIN(H241,MAX(J241:K241))=0,"",MIN(H241,MAX(J241:K241))))</f>
        <v/>
      </c>
      <c r="G241" s="74" t="n"/>
      <c r="H241" s="49">
        <f>IF(M241="","",IFERROR(ROUND(AVERAGE(T241+M241*{7,8,9,10,11})/1.21,4),""))</f>
        <v/>
      </c>
      <c r="I241" s="76" t="n">
        <v>73.36000061035156</v>
      </c>
      <c r="J241" s="77" t="n">
        <v>71.07576958593037</v>
      </c>
      <c r="K241" s="74" t="n">
        <v>68.45900020599365</v>
      </c>
      <c r="L241" s="78" t="n">
        <v>59.96273740768433</v>
      </c>
      <c r="M241" s="77" t="n">
        <v>2.020068626961284</v>
      </c>
      <c r="N241" s="53">
        <f>IF(M241="","",IFERROR(M241/I241,""))</f>
        <v/>
      </c>
      <c r="O241" s="50">
        <f>IF(A241="","",IFERROR((IF(G241="",I241,G241)-T241)/M241,""))</f>
        <v/>
      </c>
      <c r="P241" s="50">
        <f>IFERROR((I241/T241-1)/N241,"")</f>
        <v/>
      </c>
      <c r="Q241" s="46">
        <f>IF(OR(T241="",I241&lt;T241),"",IFERROR(R241/IF(G241="",I241,G241)-1,""))</f>
        <v/>
      </c>
      <c r="R241" s="48">
        <f>IF($M241="","",MAX(IF($G241="",$I241,$G241)*(1/1.1),IF($G241="",$I241,$G241)+(R$2*$M241)))</f>
        <v/>
      </c>
      <c r="S241" s="49">
        <f>IF($M241="","",MAX(IF($G241="",$I241,$G241)*(1/1.1),IF($G241="",$I241,$G241)+(S$2*$M241)))</f>
        <v/>
      </c>
      <c r="T241" s="82" t="n">
        <v>66.73599983215333</v>
      </c>
      <c r="U241" s="47">
        <f>IF(OR($M241="",$T241=""),"",$T241+(U$2*$M241))</f>
        <v/>
      </c>
      <c r="V241" s="48">
        <f>IF(OR($M241="",$T241=""),"",$T241+(V$2*$M241))</f>
        <v/>
      </c>
      <c r="W241" s="48">
        <f>IF(OR($M241="",$T241=""),"",$T241+(W$2*$M241))</f>
        <v/>
      </c>
      <c r="X241" s="49">
        <f>IF(OR($M241="",$T241=""),"",$T241+(X$2*$M241))</f>
        <v/>
      </c>
      <c r="Y241" s="47">
        <f>IF(OR($M241="",$T241=""),"",$T241+(Y$2*$M241))</f>
        <v/>
      </c>
      <c r="Z241" s="49">
        <f>IF(OR($M241="",$T241=""),"",$T241+(Z$2*$M241))</f>
        <v/>
      </c>
      <c r="AA241" s="51">
        <f>IF(OR($M241="",$T241=""),"",$T241+(AA$2*$M241))</f>
        <v/>
      </c>
      <c r="AB241" s="48">
        <f>IF(OR($M241="",$T241=""),"",$T241+(AB$2*$M241))</f>
        <v/>
      </c>
      <c r="AC241" s="48">
        <f>IF(OR($M241="",$T241=""),"",$T241+(AC$2*$M241))</f>
        <v/>
      </c>
      <c r="AD241" s="48">
        <f>IF(OR($M241="",$T241=""),"",$T241+(AD$2*$M241))</f>
        <v/>
      </c>
      <c r="AE241" s="49">
        <f>IF(OR($M241="",$T241=""),"",$T241+(AE$2*$M241))</f>
        <v/>
      </c>
      <c r="AF241" s="52">
        <f>IF(OR(T241="",I241&lt;T241),"",IFERROR(AVERAGE(T241+M241*{7,8,9,10,11})/IF(G241="",I241,G241)-1,""))</f>
        <v/>
      </c>
      <c r="AG241" s="55">
        <f>IF(OR(T241="",I241&lt;T241),"",IFERROR(AF241/-(R241/IF(G241="",I241,G241)-1),""))</f>
        <v/>
      </c>
      <c r="AH241" s="94" t="n">
        <v>1</v>
      </c>
      <c r="AI241" s="94" t="n">
        <v>93.69725859504513</v>
      </c>
      <c r="AJ241" s="94" t="n">
        <v>1</v>
      </c>
      <c r="AK241" s="94" t="inlineStr">
        <is>
          <t>OTT Turned Up</t>
        </is>
      </c>
      <c r="AL241" s="84" t="inlineStr">
        <is>
          <t>Interactive Brokers Group, Inc.</t>
        </is>
      </c>
      <c r="AM241" t="inlineStr">
        <is>
          <t>Financial Services</t>
        </is>
      </c>
      <c r="AN241" t="inlineStr">
        <is>
          <t>Capital Markets</t>
        </is>
      </c>
      <c r="AO241" t="n">
        <v>84</v>
      </c>
    </row>
    <row r="242">
      <c r="A242" s="64" t="inlineStr">
        <is>
          <t>LIVN</t>
        </is>
      </c>
      <c r="B242" s="65" t="n"/>
      <c r="C242" s="66" t="n"/>
      <c r="D242" s="67" t="n"/>
      <c r="E242" s="68" t="n"/>
      <c r="F242" s="47">
        <f>IF(A242="","",IF(MIN(H242,MAX(J242:K242))=0,"",MIN(H242,MAX(J242:K242))))</f>
        <v/>
      </c>
      <c r="G242" s="74" t="n"/>
      <c r="H242" s="49">
        <f>IF(M242="","",IFERROR(ROUND(AVERAGE(T242+M242*{7,8,9,10,11})/1.21,4),""))</f>
        <v/>
      </c>
      <c r="I242" s="76" t="n">
        <v>62.11000061035156</v>
      </c>
      <c r="J242" s="77" t="n">
        <v>62.59774024158733</v>
      </c>
      <c r="K242" s="74" t="n">
        <v>62.76300029754638</v>
      </c>
      <c r="L242" s="78" t="n">
        <v>50.44610004425049</v>
      </c>
      <c r="M242" s="77" t="n">
        <v>1.609924127375133</v>
      </c>
      <c r="N242" s="53">
        <f>IF(M242="","",IFERROR(M242/I242,""))</f>
        <v/>
      </c>
      <c r="O242" s="50">
        <f>IF(A242="","",IFERROR((IF(G242="",I242,G242)-T242)/M242,""))</f>
        <v/>
      </c>
      <c r="P242" s="50">
        <f>IFERROR((I242/T242-1)/N242,"")</f>
        <v/>
      </c>
      <c r="Q242" s="46">
        <f>IF(OR(T242="",I242&lt;T242),"",IFERROR(R242/IF(G242="",I242,G242)-1,""))</f>
        <v/>
      </c>
      <c r="R242" s="48">
        <f>IF($M242="","",MAX(IF($G242="",$I242,$G242)*(1/1.1),IF($G242="",$I242,$G242)+(R$2*$M242)))</f>
        <v/>
      </c>
      <c r="S242" s="49">
        <f>IF($M242="","",MAX(IF($G242="",$I242,$G242)*(1/1.1),IF($G242="",$I242,$G242)+(S$2*$M242)))</f>
        <v/>
      </c>
      <c r="T242" s="82" t="n">
        <v>60.40800025939942</v>
      </c>
      <c r="U242" s="47">
        <f>IF(OR($M242="",$T242=""),"",$T242+(U$2*$M242))</f>
        <v/>
      </c>
      <c r="V242" s="48">
        <f>IF(OR($M242="",$T242=""),"",$T242+(V$2*$M242))</f>
        <v/>
      </c>
      <c r="W242" s="48">
        <f>IF(OR($M242="",$T242=""),"",$T242+(W$2*$M242))</f>
        <v/>
      </c>
      <c r="X242" s="49">
        <f>IF(OR($M242="",$T242=""),"",$T242+(X$2*$M242))</f>
        <v/>
      </c>
      <c r="Y242" s="47">
        <f>IF(OR($M242="",$T242=""),"",$T242+(Y$2*$M242))</f>
        <v/>
      </c>
      <c r="Z242" s="49">
        <f>IF(OR($M242="",$T242=""),"",$T242+(Z$2*$M242))</f>
        <v/>
      </c>
      <c r="AA242" s="51">
        <f>IF(OR($M242="",$T242=""),"",$T242+(AA$2*$M242))</f>
        <v/>
      </c>
      <c r="AB242" s="48">
        <f>IF(OR($M242="",$T242=""),"",$T242+(AB$2*$M242))</f>
        <v/>
      </c>
      <c r="AC242" s="48">
        <f>IF(OR($M242="",$T242=""),"",$T242+(AC$2*$M242))</f>
        <v/>
      </c>
      <c r="AD242" s="48">
        <f>IF(OR($M242="",$T242=""),"",$T242+(AD$2*$M242))</f>
        <v/>
      </c>
      <c r="AE242" s="49">
        <f>IF(OR($M242="",$T242=""),"",$T242+(AE$2*$M242))</f>
        <v/>
      </c>
      <c r="AF242" s="52">
        <f>IF(OR(T242="",I242&lt;T242),"",IFERROR(AVERAGE(T242+M242*{7,8,9,10,11})/IF(G242="",I242,G242)-1,""))</f>
        <v/>
      </c>
      <c r="AG242" s="55">
        <f>IF(OR(T242="",I242&lt;T242),"",IFERROR(AF242/-(R242/IF(G242="",I242,G242)-1),""))</f>
        <v/>
      </c>
      <c r="AH242" s="94" t="n">
        <v>1</v>
      </c>
      <c r="AI242" s="94" t="n">
        <v>22.5580507788936</v>
      </c>
      <c r="AJ242" s="94" t="n">
        <v>0</v>
      </c>
      <c r="AK242" s="94" t="inlineStr">
        <is>
          <t>OTT Up Trend</t>
        </is>
      </c>
      <c r="AL242" s="84" t="inlineStr">
        <is>
          <t>LivaNova PLC</t>
        </is>
      </c>
      <c r="AM242" t="inlineStr">
        <is>
          <t>Healthcare</t>
        </is>
      </c>
      <c r="AN242" t="inlineStr">
        <is>
          <t>Medical Devices</t>
        </is>
      </c>
      <c r="AO242" t="n">
        <v>84</v>
      </c>
    </row>
    <row r="243">
      <c r="A243" s="64" t="inlineStr">
        <is>
          <t>BLD</t>
        </is>
      </c>
      <c r="B243" s="65" t="n"/>
      <c r="C243" s="66" t="n"/>
      <c r="D243" s="67" t="n"/>
      <c r="E243" s="68" t="n"/>
      <c r="F243" s="47">
        <f>IF(A243="","",IF(MIN(H243,MAX(J243:K243))=0,"",MIN(H243,MAX(J243:K243))))</f>
        <v/>
      </c>
      <c r="G243" s="74" t="n"/>
      <c r="H243" s="49">
        <f>IF(M243="","",IFERROR(ROUND(AVERAGE(T243+M243*{7,8,9,10,11})/1.21,4),""))</f>
        <v/>
      </c>
      <c r="I243" s="76" t="n">
        <v>493.7699890136719</v>
      </c>
      <c r="J243" s="77" t="n">
        <v>471.7042161946649</v>
      </c>
      <c r="K243" s="74" t="n">
        <v>446.786001586914</v>
      </c>
      <c r="L243" s="78" t="n">
        <v>380.8214001464844</v>
      </c>
      <c r="M243" s="77" t="n">
        <v>15.72816783015348</v>
      </c>
      <c r="N243" s="53">
        <f>IF(M243="","",IFERROR(M243/I243,""))</f>
        <v/>
      </c>
      <c r="O243" s="50">
        <f>IF(A243="","",IFERROR((IF(G243="",I243,G243)-T243)/M243,""))</f>
        <v/>
      </c>
      <c r="P243" s="50">
        <f>IFERROR((I243/T243-1)/N243,"")</f>
        <v/>
      </c>
      <c r="Q243" s="46">
        <f>IF(OR(T243="",I243&lt;T243),"",IFERROR(R243/IF(G243="",I243,G243)-1,""))</f>
        <v/>
      </c>
      <c r="R243" s="48">
        <f>IF($M243="","",MAX(IF($G243="",$I243,$G243)*(1/1.1),IF($G243="",$I243,$G243)+(R$2*$M243)))</f>
        <v/>
      </c>
      <c r="S243" s="49">
        <f>IF($M243="","",MAX(IF($G243="",$I243,$G243)*(1/1.1),IF($G243="",$I243,$G243)+(S$2*$M243)))</f>
        <v/>
      </c>
      <c r="T243" s="82" t="n">
        <v>436.8638006591797</v>
      </c>
      <c r="U243" s="47">
        <f>IF(OR($M243="",$T243=""),"",$T243+(U$2*$M243))</f>
        <v/>
      </c>
      <c r="V243" s="48">
        <f>IF(OR($M243="",$T243=""),"",$T243+(V$2*$M243))</f>
        <v/>
      </c>
      <c r="W243" s="48">
        <f>IF(OR($M243="",$T243=""),"",$T243+(W$2*$M243))</f>
        <v/>
      </c>
      <c r="X243" s="49">
        <f>IF(OR($M243="",$T243=""),"",$T243+(X$2*$M243))</f>
        <v/>
      </c>
      <c r="Y243" s="47">
        <f>IF(OR($M243="",$T243=""),"",$T243+(Y$2*$M243))</f>
        <v/>
      </c>
      <c r="Z243" s="49">
        <f>IF(OR($M243="",$T243=""),"",$T243+(Z$2*$M243))</f>
        <v/>
      </c>
      <c r="AA243" s="51">
        <f>IF(OR($M243="",$T243=""),"",$T243+(AA$2*$M243))</f>
        <v/>
      </c>
      <c r="AB243" s="48">
        <f>IF(OR($M243="",$T243=""),"",$T243+(AB$2*$M243))</f>
        <v/>
      </c>
      <c r="AC243" s="48">
        <f>IF(OR($M243="",$T243=""),"",$T243+(AC$2*$M243))</f>
        <v/>
      </c>
      <c r="AD243" s="48">
        <f>IF(OR($M243="",$T243=""),"",$T243+(AD$2*$M243))</f>
        <v/>
      </c>
      <c r="AE243" s="49">
        <f>IF(OR($M243="",$T243=""),"",$T243+(AE$2*$M243))</f>
        <v/>
      </c>
      <c r="AF243" s="52">
        <f>IF(OR(T243="",I243&lt;T243),"",IFERROR(AVERAGE(T243+M243*{7,8,9,10,11})/IF(G243="",I243,G243)-1,""))</f>
        <v/>
      </c>
      <c r="AG243" s="55">
        <f>IF(OR(T243="",I243&lt;T243),"",IFERROR(AF243/-(R243/IF(G243="",I243,G243)-1),""))</f>
        <v/>
      </c>
      <c r="AH243" s="94" t="n">
        <v>1</v>
      </c>
      <c r="AI243" s="94" t="n">
        <v>105.3947432301179</v>
      </c>
      <c r="AJ243" s="94" t="n">
        <v>1</v>
      </c>
      <c r="AK243" s="94" t="inlineStr">
        <is>
          <t>OTT Up Trend</t>
        </is>
      </c>
      <c r="AL243" s="84" t="inlineStr">
        <is>
          <t>TopBuild Corp.</t>
        </is>
      </c>
      <c r="AM243" t="inlineStr">
        <is>
          <t>Industrials</t>
        </is>
      </c>
      <c r="AN243" t="inlineStr">
        <is>
          <t>Engineering &amp; Construction</t>
        </is>
      </c>
      <c r="AO243" t="n">
        <v>84</v>
      </c>
    </row>
    <row r="244">
      <c r="A244" s="64" t="inlineStr">
        <is>
          <t>RL</t>
        </is>
      </c>
      <c r="B244" s="65" t="n"/>
      <c r="C244" s="66" t="n"/>
      <c r="D244" s="67" t="n"/>
      <c r="E244" s="68" t="n"/>
      <c r="F244" s="47">
        <f>IF(A244="","",IF(MIN(H244,MAX(J244:K244))=0,"",MIN(H244,MAX(J244:K244))))</f>
        <v/>
      </c>
      <c r="G244" s="74" t="n"/>
      <c r="H244" s="49">
        <f>IF(M244="","",IFERROR(ROUND(AVERAGE(T244+M244*{7,8,9,10,11})/1.21,4),""))</f>
        <v/>
      </c>
      <c r="I244" s="76" t="n">
        <v>363.0499877929688</v>
      </c>
      <c r="J244" s="77" t="n">
        <v>364.2412884851253</v>
      </c>
      <c r="K244" s="74" t="n">
        <v>362.7964950561524</v>
      </c>
      <c r="L244" s="78" t="n">
        <v>299.9981504058838</v>
      </c>
      <c r="M244" s="77" t="n">
        <v>9.30576644581142</v>
      </c>
      <c r="N244" s="53">
        <f>IF(M244="","",IFERROR(M244/I244,""))</f>
        <v/>
      </c>
      <c r="O244" s="50">
        <f>IF(A244="","",IFERROR((IF(G244="",I244,G244)-T244)/M244,""))</f>
        <v/>
      </c>
      <c r="P244" s="50">
        <f>IFERROR((I244/T244-1)/N244,"")</f>
        <v/>
      </c>
      <c r="Q244" s="46">
        <f>IF(OR(T244="",I244&lt;T244),"",IFERROR(R244/IF(G244="",I244,G244)-1,""))</f>
        <v/>
      </c>
      <c r="R244" s="48">
        <f>IF($M244="","",MAX(IF($G244="",$I244,$G244)*(1/1.1),IF($G244="",$I244,$G244)+(R$2*$M244)))</f>
        <v/>
      </c>
      <c r="S244" s="49">
        <f>IF($M244="","",MAX(IF($G244="",$I244,$G244)*(1/1.1),IF($G244="",$I244,$G244)+(S$2*$M244)))</f>
        <v/>
      </c>
      <c r="T244" s="82" t="n">
        <v>354.163198852539</v>
      </c>
      <c r="U244" s="47">
        <f>IF(OR($M244="",$T244=""),"",$T244+(U$2*$M244))</f>
        <v/>
      </c>
      <c r="V244" s="48">
        <f>IF(OR($M244="",$T244=""),"",$T244+(V$2*$M244))</f>
        <v/>
      </c>
      <c r="W244" s="48">
        <f>IF(OR($M244="",$T244=""),"",$T244+(W$2*$M244))</f>
        <v/>
      </c>
      <c r="X244" s="49">
        <f>IF(OR($M244="",$T244=""),"",$T244+(X$2*$M244))</f>
        <v/>
      </c>
      <c r="Y244" s="47">
        <f>IF(OR($M244="",$T244=""),"",$T244+(Y$2*$M244))</f>
        <v/>
      </c>
      <c r="Z244" s="49">
        <f>IF(OR($M244="",$T244=""),"",$T244+(Z$2*$M244))</f>
        <v/>
      </c>
      <c r="AA244" s="51">
        <f>IF(OR($M244="",$T244=""),"",$T244+(AA$2*$M244))</f>
        <v/>
      </c>
      <c r="AB244" s="48">
        <f>IF(OR($M244="",$T244=""),"",$T244+(AB$2*$M244))</f>
        <v/>
      </c>
      <c r="AC244" s="48">
        <f>IF(OR($M244="",$T244=""),"",$T244+(AC$2*$M244))</f>
        <v/>
      </c>
      <c r="AD244" s="48">
        <f>IF(OR($M244="",$T244=""),"",$T244+(AD$2*$M244))</f>
        <v/>
      </c>
      <c r="AE244" s="49">
        <f>IF(OR($M244="",$T244=""),"",$T244+(AE$2*$M244))</f>
        <v/>
      </c>
      <c r="AF244" s="52">
        <f>IF(OR(T244="",I244&lt;T244),"",IFERROR(AVERAGE(T244+M244*{7,8,9,10,11})/IF(G244="",I244,G244)-1,""))</f>
        <v/>
      </c>
      <c r="AG244" s="55">
        <f>IF(OR(T244="",I244&lt;T244),"",IFERROR(AF244/-(R244/IF(G244="",I244,G244)-1),""))</f>
        <v/>
      </c>
      <c r="AH244" s="94" t="n">
        <v>1</v>
      </c>
      <c r="AI244" s="94" t="n">
        <v>28.39022529797489</v>
      </c>
      <c r="AJ244" s="94" t="n">
        <v>0</v>
      </c>
      <c r="AK244" s="94" t="inlineStr">
        <is>
          <t>OTT Up Trend</t>
        </is>
      </c>
      <c r="AL244" s="84" t="inlineStr">
        <is>
          <t>Ralph Lauren Corporation</t>
        </is>
      </c>
      <c r="AM244" t="inlineStr">
        <is>
          <t>Consumer Cyclical</t>
        </is>
      </c>
      <c r="AN244" t="inlineStr">
        <is>
          <t>Apparel Manufacturing</t>
        </is>
      </c>
      <c r="AO244" t="n">
        <v>84</v>
      </c>
    </row>
    <row r="245">
      <c r="A245" s="64" t="inlineStr">
        <is>
          <t>NVST</t>
        </is>
      </c>
      <c r="B245" s="65" t="n"/>
      <c r="C245" s="66" t="n"/>
      <c r="D245" s="67" t="n"/>
      <c r="E245" s="68" t="n"/>
      <c r="F245" s="47">
        <f>IF(A245="","",IF(MIN(H245,MAX(J245:K245))=0,"",MIN(H245,MAX(J245:K245))))</f>
        <v/>
      </c>
      <c r="G245" s="74" t="n"/>
      <c r="H245" s="49">
        <f>IF(M245="","",IFERROR(ROUND(AVERAGE(T245+M245*{7,8,9,10,11})/1.21,4),""))</f>
        <v/>
      </c>
      <c r="I245" s="76" t="n">
        <v>25.23999977111816</v>
      </c>
      <c r="J245" s="77" t="n">
        <v>23.76810139406622</v>
      </c>
      <c r="K245" s="74" t="n">
        <v>22.83149995803833</v>
      </c>
      <c r="L245" s="78" t="n">
        <v>19.73859993457794</v>
      </c>
      <c r="M245" s="77" t="n">
        <v>0.6968749695982706</v>
      </c>
      <c r="N245" s="53">
        <f>IF(M245="","",IFERROR(M245/I245,""))</f>
        <v/>
      </c>
      <c r="O245" s="50">
        <f>IF(A245="","",IFERROR((IF(G245="",I245,G245)-T245)/M245,""))</f>
        <v/>
      </c>
      <c r="P245" s="50">
        <f>IFERROR((I245/T245-1)/N245,"")</f>
        <v/>
      </c>
      <c r="Q245" s="46">
        <f>IF(OR(T245="",I245&lt;T245),"",IFERROR(R245/IF(G245="",I245,G245)-1,""))</f>
        <v/>
      </c>
      <c r="R245" s="48">
        <f>IF($M245="","",MAX(IF($G245="",$I245,$G245)*(1/1.1),IF($G245="",$I245,$G245)+(R$2*$M245)))</f>
        <v/>
      </c>
      <c r="S245" s="49">
        <f>IF($M245="","",MAX(IF($G245="",$I245,$G245)*(1/1.1),IF($G245="",$I245,$G245)+(S$2*$M245)))</f>
        <v/>
      </c>
      <c r="T245" s="82" t="n">
        <v>21.38239994049072</v>
      </c>
      <c r="U245" s="47">
        <f>IF(OR($M245="",$T245=""),"",$T245+(U$2*$M245))</f>
        <v/>
      </c>
      <c r="V245" s="48">
        <f>IF(OR($M245="",$T245=""),"",$T245+(V$2*$M245))</f>
        <v/>
      </c>
      <c r="W245" s="48">
        <f>IF(OR($M245="",$T245=""),"",$T245+(W$2*$M245))</f>
        <v/>
      </c>
      <c r="X245" s="49">
        <f>IF(OR($M245="",$T245=""),"",$T245+(X$2*$M245))</f>
        <v/>
      </c>
      <c r="Y245" s="47">
        <f>IF(OR($M245="",$T245=""),"",$T245+(Y$2*$M245))</f>
        <v/>
      </c>
      <c r="Z245" s="49">
        <f>IF(OR($M245="",$T245=""),"",$T245+(Z$2*$M245))</f>
        <v/>
      </c>
      <c r="AA245" s="51">
        <f>IF(OR($M245="",$T245=""),"",$T245+(AA$2*$M245))</f>
        <v/>
      </c>
      <c r="AB245" s="48">
        <f>IF(OR($M245="",$T245=""),"",$T245+(AB$2*$M245))</f>
        <v/>
      </c>
      <c r="AC245" s="48">
        <f>IF(OR($M245="",$T245=""),"",$T245+(AC$2*$M245))</f>
        <v/>
      </c>
      <c r="AD245" s="48">
        <f>IF(OR($M245="",$T245=""),"",$T245+(AD$2*$M245))</f>
        <v/>
      </c>
      <c r="AE245" s="49">
        <f>IF(OR($M245="",$T245=""),"",$T245+(AE$2*$M245))</f>
        <v/>
      </c>
      <c r="AF245" s="52">
        <f>IF(OR(T245="",I245&lt;T245),"",IFERROR(AVERAGE(T245+M245*{7,8,9,10,11})/IF(G245="",I245,G245)-1,""))</f>
        <v/>
      </c>
      <c r="AG245" s="55">
        <f>IF(OR(T245="",I245&lt;T245),"",IFERROR(AF245/-(R245/IF(G245="",I245,G245)-1),""))</f>
        <v/>
      </c>
      <c r="AH245" s="94" t="n">
        <v>1</v>
      </c>
      <c r="AI245" s="94" t="n">
        <v>133.243360947109</v>
      </c>
      <c r="AJ245" s="94" t="n">
        <v>1</v>
      </c>
      <c r="AK245" s="94" t="inlineStr">
        <is>
          <t>OTT Up Trend</t>
        </is>
      </c>
      <c r="AL245" s="84" t="inlineStr">
        <is>
          <t>Envista Holdings Corporation</t>
        </is>
      </c>
      <c r="AM245" t="inlineStr">
        <is>
          <t>Healthcare</t>
        </is>
      </c>
      <c r="AN245" t="inlineStr">
        <is>
          <t>Medical Instruments &amp; Supplies</t>
        </is>
      </c>
      <c r="AO245" t="n">
        <v>84</v>
      </c>
    </row>
    <row r="246">
      <c r="A246" s="64" t="inlineStr">
        <is>
          <t>FOXA</t>
        </is>
      </c>
      <c r="B246" s="65" t="n"/>
      <c r="C246" s="66" t="n"/>
      <c r="D246" s="67" t="n"/>
      <c r="E246" s="68" t="n"/>
      <c r="F246" s="47">
        <f>IF(A246="","",IF(MIN(H246,MAX(J246:K246))=0,"",MIN(H246,MAX(J246:K246))))</f>
        <v/>
      </c>
      <c r="G246" s="74" t="n"/>
      <c r="H246" s="49">
        <f>IF(M246="","",IFERROR(ROUND(AVERAGE(T246+M246*{7,8,9,10,11})/1.21,4),""))</f>
        <v/>
      </c>
      <c r="I246" s="76" t="n">
        <v>71.98999786376953</v>
      </c>
      <c r="J246" s="77" t="n">
        <v>73.34503805114034</v>
      </c>
      <c r="K246" s="74" t="n">
        <v>73.696000289917</v>
      </c>
      <c r="L246" s="78" t="n">
        <v>59.56680013656617</v>
      </c>
      <c r="M246" s="77" t="n">
        <v>1.445991022425944</v>
      </c>
      <c r="N246" s="53">
        <f>IF(M246="","",IFERROR(M246/I246,""))</f>
        <v/>
      </c>
      <c r="O246" s="50">
        <f>IF(A246="","",IFERROR((IF(G246="",I246,G246)-T246)/M246,""))</f>
        <v/>
      </c>
      <c r="P246" s="50">
        <f>IFERROR((I246/T246-1)/N246,"")</f>
        <v/>
      </c>
      <c r="Q246" s="46">
        <f>IF(OR(T246="",I246&lt;T246),"",IFERROR(R246/IF(G246="",I246,G246)-1,""))</f>
        <v/>
      </c>
      <c r="R246" s="48">
        <f>IF($M246="","",MAX(IF($G246="",$I246,$G246)*(1/1.1),IF($G246="",$I246,$G246)+(R$2*$M246)))</f>
        <v/>
      </c>
      <c r="S246" s="49">
        <f>IF($M246="","",MAX(IF($G246="",$I246,$G246)*(1/1.1),IF($G246="",$I246,$G246)+(S$2*$M246)))</f>
        <v/>
      </c>
      <c r="T246" s="82" t="n">
        <v>69.74500030517578</v>
      </c>
      <c r="U246" s="47">
        <f>IF(OR($M246="",$T246=""),"",$T246+(U$2*$M246))</f>
        <v/>
      </c>
      <c r="V246" s="48">
        <f>IF(OR($M246="",$T246=""),"",$T246+(V$2*$M246))</f>
        <v/>
      </c>
      <c r="W246" s="48">
        <f>IF(OR($M246="",$T246=""),"",$T246+(W$2*$M246))</f>
        <v/>
      </c>
      <c r="X246" s="49">
        <f>IF(OR($M246="",$T246=""),"",$T246+(X$2*$M246))</f>
        <v/>
      </c>
      <c r="Y246" s="47">
        <f>IF(OR($M246="",$T246=""),"",$T246+(Y$2*$M246))</f>
        <v/>
      </c>
      <c r="Z246" s="49">
        <f>IF(OR($M246="",$T246=""),"",$T246+(Z$2*$M246))</f>
        <v/>
      </c>
      <c r="AA246" s="51">
        <f>IF(OR($M246="",$T246=""),"",$T246+(AA$2*$M246))</f>
        <v/>
      </c>
      <c r="AB246" s="48">
        <f>IF(OR($M246="",$T246=""),"",$T246+(AB$2*$M246))</f>
        <v/>
      </c>
      <c r="AC246" s="48">
        <f>IF(OR($M246="",$T246=""),"",$T246+(AC$2*$M246))</f>
        <v/>
      </c>
      <c r="AD246" s="48">
        <f>IF(OR($M246="",$T246=""),"",$T246+(AD$2*$M246))</f>
        <v/>
      </c>
      <c r="AE246" s="49">
        <f>IF(OR($M246="",$T246=""),"",$T246+(AE$2*$M246))</f>
        <v/>
      </c>
      <c r="AF246" s="52">
        <f>IF(OR(T246="",I246&lt;T246),"",IFERROR(AVERAGE(T246+M246*{7,8,9,10,11})/IF(G246="",I246,G246)-1,""))</f>
        <v/>
      </c>
      <c r="AG246" s="55">
        <f>IF(OR(T246="",I246&lt;T246),"",IFERROR(AF246/-(R246/IF(G246="",I246,G246)-1),""))</f>
        <v/>
      </c>
      <c r="AH246" s="94" t="n">
        <v>1</v>
      </c>
      <c r="AI246" s="94" t="n">
        <v>65.63772767113821</v>
      </c>
      <c r="AJ246" s="94" t="n">
        <v>0</v>
      </c>
      <c r="AK246" s="94" t="inlineStr">
        <is>
          <t>OTT Up Trend</t>
        </is>
      </c>
      <c r="AL246" s="84" t="inlineStr">
        <is>
          <t>Fox Corporation</t>
        </is>
      </c>
      <c r="AM246" t="inlineStr">
        <is>
          <t>Communication Services</t>
        </is>
      </c>
      <c r="AN246" t="inlineStr">
        <is>
          <t>Entertainment</t>
        </is>
      </c>
      <c r="AO246" t="n">
        <v>83</v>
      </c>
    </row>
    <row r="247">
      <c r="A247" s="64" t="inlineStr">
        <is>
          <t>LFUS</t>
        </is>
      </c>
      <c r="B247" s="65" t="n"/>
      <c r="C247" s="66" t="n"/>
      <c r="D247" s="67" t="n"/>
      <c r="E247" s="68" t="n"/>
      <c r="F247" s="47">
        <f>IF(A247="","",IF(MIN(H247,MAX(J247:K247))=0,"",MIN(H247,MAX(J247:K247))))</f>
        <v/>
      </c>
      <c r="G247" s="74" t="n"/>
      <c r="H247" s="49">
        <f>IF(M247="","",IFERROR(ROUND(AVERAGE(T247+M247*{7,8,9,10,11})/1.21,4),""))</f>
        <v/>
      </c>
      <c r="I247" s="76" t="n">
        <v>297.2799987792969</v>
      </c>
      <c r="J247" s="77" t="n">
        <v>280.89083178623</v>
      </c>
      <c r="K247" s="74" t="n">
        <v>268.7730003356934</v>
      </c>
      <c r="L247" s="78" t="n">
        <v>237.1066992950439</v>
      </c>
      <c r="M247" s="77" t="n">
        <v>8.877128452894064</v>
      </c>
      <c r="N247" s="53">
        <f>IF(M247="","",IFERROR(M247/I247,""))</f>
        <v/>
      </c>
      <c r="O247" s="50">
        <f>IF(A247="","",IFERROR((IF(G247="",I247,G247)-T247)/M247,""))</f>
        <v/>
      </c>
      <c r="P247" s="50">
        <f>IFERROR((I247/T247-1)/N247,"")</f>
        <v/>
      </c>
      <c r="Q247" s="46">
        <f>IF(OR(T247="",I247&lt;T247),"",IFERROR(R247/IF(G247="",I247,G247)-1,""))</f>
        <v/>
      </c>
      <c r="R247" s="48">
        <f>IF($M247="","",MAX(IF($G247="",$I247,$G247)*(1/1.1),IF($G247="",$I247,$G247)+(R$2*$M247)))</f>
        <v/>
      </c>
      <c r="S247" s="49">
        <f>IF($M247="","",MAX(IF($G247="",$I247,$G247)*(1/1.1),IF($G247="",$I247,$G247)+(S$2*$M247)))</f>
        <v/>
      </c>
      <c r="T247" s="82" t="n">
        <v>257.7501989746094</v>
      </c>
      <c r="U247" s="47">
        <f>IF(OR($M247="",$T247=""),"",$T247+(U$2*$M247))</f>
        <v/>
      </c>
      <c r="V247" s="48">
        <f>IF(OR($M247="",$T247=""),"",$T247+(V$2*$M247))</f>
        <v/>
      </c>
      <c r="W247" s="48">
        <f>IF(OR($M247="",$T247=""),"",$T247+(W$2*$M247))</f>
        <v/>
      </c>
      <c r="X247" s="49">
        <f>IF(OR($M247="",$T247=""),"",$T247+(X$2*$M247))</f>
        <v/>
      </c>
      <c r="Y247" s="47">
        <f>IF(OR($M247="",$T247=""),"",$T247+(Y$2*$M247))</f>
        <v/>
      </c>
      <c r="Z247" s="49">
        <f>IF(OR($M247="",$T247=""),"",$T247+(Z$2*$M247))</f>
        <v/>
      </c>
      <c r="AA247" s="51">
        <f>IF(OR($M247="",$T247=""),"",$T247+(AA$2*$M247))</f>
        <v/>
      </c>
      <c r="AB247" s="48">
        <f>IF(OR($M247="",$T247=""),"",$T247+(AB$2*$M247))</f>
        <v/>
      </c>
      <c r="AC247" s="48">
        <f>IF(OR($M247="",$T247=""),"",$T247+(AC$2*$M247))</f>
        <v/>
      </c>
      <c r="AD247" s="48">
        <f>IF(OR($M247="",$T247=""),"",$T247+(AD$2*$M247))</f>
        <v/>
      </c>
      <c r="AE247" s="49">
        <f>IF(OR($M247="",$T247=""),"",$T247+(AE$2*$M247))</f>
        <v/>
      </c>
      <c r="AF247" s="52">
        <f>IF(OR(T247="",I247&lt;T247),"",IFERROR(AVERAGE(T247+M247*{7,8,9,10,11})/IF(G247="",I247,G247)-1,""))</f>
        <v/>
      </c>
      <c r="AG247" s="55">
        <f>IF(OR(T247="",I247&lt;T247),"",IFERROR(AF247/-(R247/IF(G247="",I247,G247)-1),""))</f>
        <v/>
      </c>
      <c r="AH247" s="94" t="n">
        <v>1</v>
      </c>
      <c r="AI247" s="94" t="n">
        <v>104.2167234046673</v>
      </c>
      <c r="AJ247" s="94" t="n">
        <v>1</v>
      </c>
      <c r="AK247" s="94" t="inlineStr">
        <is>
          <t>OTT Up Trend</t>
        </is>
      </c>
      <c r="AL247" s="84" t="inlineStr">
        <is>
          <t>Littelfuse, Inc.</t>
        </is>
      </c>
      <c r="AM247" t="inlineStr">
        <is>
          <t>Technology</t>
        </is>
      </c>
      <c r="AN247" t="inlineStr">
        <is>
          <t>Electronic Components</t>
        </is>
      </c>
      <c r="AO247" t="n">
        <v>83</v>
      </c>
    </row>
    <row r="248">
      <c r="A248" s="64" t="inlineStr">
        <is>
          <t>SPXC</t>
        </is>
      </c>
      <c r="B248" s="65" t="n"/>
      <c r="C248" s="66" t="n"/>
      <c r="D248" s="67" t="n"/>
      <c r="E248" s="68" t="n"/>
      <c r="F248" s="47">
        <f>IF(A248="","",IF(MIN(H248,MAX(J248:K248))=0,"",MIN(H248,MAX(J248:K248))))</f>
        <v/>
      </c>
      <c r="G248" s="74" t="n"/>
      <c r="H248" s="49">
        <f>IF(M248="","",IFERROR(ROUND(AVERAGE(T248+M248*{7,8,9,10,11})/1.21,4),""))</f>
        <v/>
      </c>
      <c r="I248" s="76" t="n">
        <v>217.6499938964844</v>
      </c>
      <c r="J248" s="77" t="n">
        <v>210.7410666348227</v>
      </c>
      <c r="K248" s="74" t="n">
        <v>207.6644989013672</v>
      </c>
      <c r="L248" s="78" t="n">
        <v>180.70125</v>
      </c>
      <c r="M248" s="77" t="n">
        <v>6.954673553860445</v>
      </c>
      <c r="N248" s="53">
        <f>IF(M248="","",IFERROR(M248/I248,""))</f>
        <v/>
      </c>
      <c r="O248" s="50">
        <f>IF(A248="","",IFERROR((IF(G248="",I248,G248)-T248)/M248,""))</f>
        <v/>
      </c>
      <c r="P248" s="50">
        <f>IFERROR((I248/T248-1)/N248,"")</f>
        <v/>
      </c>
      <c r="Q248" s="46">
        <f>IF(OR(T248="",I248&lt;T248),"",IFERROR(R248/IF(G248="",I248,G248)-1,""))</f>
        <v/>
      </c>
      <c r="R248" s="48">
        <f>IF($M248="","",MAX(IF($G248="",$I248,$G248)*(1/1.1),IF($G248="",$I248,$G248)+(R$2*$M248)))</f>
        <v/>
      </c>
      <c r="S248" s="49">
        <f>IF($M248="","",MAX(IF($G248="",$I248,$G248)*(1/1.1),IF($G248="",$I248,$G248)+(S$2*$M248)))</f>
        <v/>
      </c>
      <c r="T248" s="82" t="n">
        <v>210.9727993774414</v>
      </c>
      <c r="U248" s="47">
        <f>IF(OR($M248="",$T248=""),"",$T248+(U$2*$M248))</f>
        <v/>
      </c>
      <c r="V248" s="48">
        <f>IF(OR($M248="",$T248=""),"",$T248+(V$2*$M248))</f>
        <v/>
      </c>
      <c r="W248" s="48">
        <f>IF(OR($M248="",$T248=""),"",$T248+(W$2*$M248))</f>
        <v/>
      </c>
      <c r="X248" s="49">
        <f>IF(OR($M248="",$T248=""),"",$T248+(X$2*$M248))</f>
        <v/>
      </c>
      <c r="Y248" s="47">
        <f>IF(OR($M248="",$T248=""),"",$T248+(Y$2*$M248))</f>
        <v/>
      </c>
      <c r="Z248" s="49">
        <f>IF(OR($M248="",$T248=""),"",$T248+(Z$2*$M248))</f>
        <v/>
      </c>
      <c r="AA248" s="51">
        <f>IF(OR($M248="",$T248=""),"",$T248+(AA$2*$M248))</f>
        <v/>
      </c>
      <c r="AB248" s="48">
        <f>IF(OR($M248="",$T248=""),"",$T248+(AB$2*$M248))</f>
        <v/>
      </c>
      <c r="AC248" s="48">
        <f>IF(OR($M248="",$T248=""),"",$T248+(AC$2*$M248))</f>
        <v/>
      </c>
      <c r="AD248" s="48">
        <f>IF(OR($M248="",$T248=""),"",$T248+(AD$2*$M248))</f>
        <v/>
      </c>
      <c r="AE248" s="49">
        <f>IF(OR($M248="",$T248=""),"",$T248+(AE$2*$M248))</f>
        <v/>
      </c>
      <c r="AF248" s="52">
        <f>IF(OR(T248="",I248&lt;T248),"",IFERROR(AVERAGE(T248+M248*{7,8,9,10,11})/IF(G248="",I248,G248)-1,""))</f>
        <v/>
      </c>
      <c r="AG248" s="55">
        <f>IF(OR(T248="",I248&lt;T248),"",IFERROR(AF248/-(R248/IF(G248="",I248,G248)-1),""))</f>
        <v/>
      </c>
      <c r="AH248" s="94" t="n">
        <v>-1</v>
      </c>
      <c r="AI248" s="94" t="n">
        <v>13.91333642807265</v>
      </c>
      <c r="AJ248" s="94" t="n">
        <v>1</v>
      </c>
      <c r="AK248" s="94" t="inlineStr">
        <is>
          <t>None</t>
        </is>
      </c>
      <c r="AL248" s="84" t="inlineStr">
        <is>
          <t>SPX Technologies, Inc.</t>
        </is>
      </c>
      <c r="AM248" t="inlineStr">
        <is>
          <t>Industrials</t>
        </is>
      </c>
      <c r="AN248" t="inlineStr">
        <is>
          <t>Building Products &amp; Equipment</t>
        </is>
      </c>
      <c r="AO248" t="n">
        <v>83</v>
      </c>
    </row>
    <row r="249">
      <c r="A249" s="64" t="inlineStr">
        <is>
          <t>DGII</t>
        </is>
      </c>
      <c r="B249" s="65" t="n"/>
      <c r="C249" s="66" t="n"/>
      <c r="D249" s="67" t="n"/>
      <c r="E249" s="68" t="n"/>
      <c r="F249" s="47">
        <f>IF(A249="","",IF(MIN(H249,MAX(J249:K249))=0,"",MIN(H249,MAX(J249:K249))))</f>
        <v/>
      </c>
      <c r="G249" s="74" t="n"/>
      <c r="H249" s="49">
        <f>IF(M249="","",IFERROR(ROUND(AVERAGE(T249+M249*{7,8,9,10,11})/1.21,4),""))</f>
        <v/>
      </c>
      <c r="I249" s="76" t="n">
        <v>44.04999923706055</v>
      </c>
      <c r="J249" s="77" t="n">
        <v>43.08469231438453</v>
      </c>
      <c r="K249" s="74" t="n">
        <v>43.43900012969971</v>
      </c>
      <c r="L249" s="78" t="n">
        <v>35.52170000076294</v>
      </c>
      <c r="M249" s="77" t="n">
        <v>1.429413080161233</v>
      </c>
      <c r="N249" s="53">
        <f>IF(M249="","",IFERROR(M249/I249,""))</f>
        <v/>
      </c>
      <c r="O249" s="50">
        <f>IF(A249="","",IFERROR((IF(G249="",I249,G249)-T249)/M249,""))</f>
        <v/>
      </c>
      <c r="P249" s="50">
        <f>IFERROR((I249/T249-1)/N249,"")</f>
        <v/>
      </c>
      <c r="Q249" s="46">
        <f>IF(OR(T249="",I249&lt;T249),"",IFERROR(R249/IF(G249="",I249,G249)-1,""))</f>
        <v/>
      </c>
      <c r="R249" s="48">
        <f>IF($M249="","",MAX(IF($G249="",$I249,$G249)*(1/1.1),IF($G249="",$I249,$G249)+(R$2*$M249)))</f>
        <v/>
      </c>
      <c r="S249" s="49">
        <f>IF($M249="","",MAX(IF($G249="",$I249,$G249)*(1/1.1),IF($G249="",$I249,$G249)+(S$2*$M249)))</f>
        <v/>
      </c>
      <c r="T249" s="82" t="n">
        <v>42.03540000915527</v>
      </c>
      <c r="U249" s="47">
        <f>IF(OR($M249="",$T249=""),"",$T249+(U$2*$M249))</f>
        <v/>
      </c>
      <c r="V249" s="48">
        <f>IF(OR($M249="",$T249=""),"",$T249+(V$2*$M249))</f>
        <v/>
      </c>
      <c r="W249" s="48">
        <f>IF(OR($M249="",$T249=""),"",$T249+(W$2*$M249))</f>
        <v/>
      </c>
      <c r="X249" s="49">
        <f>IF(OR($M249="",$T249=""),"",$T249+(X$2*$M249))</f>
        <v/>
      </c>
      <c r="Y249" s="47">
        <f>IF(OR($M249="",$T249=""),"",$T249+(Y$2*$M249))</f>
        <v/>
      </c>
      <c r="Z249" s="49">
        <f>IF(OR($M249="",$T249=""),"",$T249+(Z$2*$M249))</f>
        <v/>
      </c>
      <c r="AA249" s="51">
        <f>IF(OR($M249="",$T249=""),"",$T249+(AA$2*$M249))</f>
        <v/>
      </c>
      <c r="AB249" s="48">
        <f>IF(OR($M249="",$T249=""),"",$T249+(AB$2*$M249))</f>
        <v/>
      </c>
      <c r="AC249" s="48">
        <f>IF(OR($M249="",$T249=""),"",$T249+(AC$2*$M249))</f>
        <v/>
      </c>
      <c r="AD249" s="48">
        <f>IF(OR($M249="",$T249=""),"",$T249+(AD$2*$M249))</f>
        <v/>
      </c>
      <c r="AE249" s="49">
        <f>IF(OR($M249="",$T249=""),"",$T249+(AE$2*$M249))</f>
        <v/>
      </c>
      <c r="AF249" s="52">
        <f>IF(OR(T249="",I249&lt;T249),"",IFERROR(AVERAGE(T249+M249*{7,8,9,10,11})/IF(G249="",I249,G249)-1,""))</f>
        <v/>
      </c>
      <c r="AG249" s="55">
        <f>IF(OR(T249="",I249&lt;T249),"",IFERROR(AF249/-(R249/IF(G249="",I249,G249)-1),""))</f>
        <v/>
      </c>
      <c r="AH249" s="94" t="n">
        <v>-1</v>
      </c>
      <c r="AI249" s="94" t="n">
        <v>2.757393365352841</v>
      </c>
      <c r="AJ249" s="94" t="n">
        <v>0</v>
      </c>
      <c r="AK249" s="94" t="inlineStr">
        <is>
          <t>None</t>
        </is>
      </c>
      <c r="AL249" s="84" t="inlineStr">
        <is>
          <t>Digi International Inc.</t>
        </is>
      </c>
      <c r="AM249" t="inlineStr">
        <is>
          <t>Technology</t>
        </is>
      </c>
      <c r="AN249" t="inlineStr">
        <is>
          <t>Communication Equipment</t>
        </is>
      </c>
      <c r="AO249" t="n">
        <v>83</v>
      </c>
    </row>
    <row r="250">
      <c r="A250" s="64" t="inlineStr">
        <is>
          <t>PSMT</t>
        </is>
      </c>
      <c r="B250" s="65" t="n"/>
      <c r="C250" s="66" t="n"/>
      <c r="D250" s="67" t="n"/>
      <c r="E250" s="68" t="n"/>
      <c r="F250" s="47">
        <f>IF(A250="","",IF(MIN(H250,MAX(J250:K250))=0,"",MIN(H250,MAX(J250:K250))))</f>
        <v/>
      </c>
      <c r="G250" s="74" t="n"/>
      <c r="H250" s="49">
        <f>IF(M250="","",IFERROR(ROUND(AVERAGE(T250+M250*{7,8,9,10,11})/1.21,4),""))</f>
        <v/>
      </c>
      <c r="I250" s="76" t="n">
        <v>140.8600006103516</v>
      </c>
      <c r="J250" s="77" t="n">
        <v>135.5382790086209</v>
      </c>
      <c r="K250" s="74" t="n">
        <v>129.2600002288818</v>
      </c>
      <c r="L250" s="78" t="n">
        <v>112.6085501861572</v>
      </c>
      <c r="M250" s="77" t="n">
        <v>4.06000322274775</v>
      </c>
      <c r="N250" s="53">
        <f>IF(M250="","",IFERROR(M250/I250,""))</f>
        <v/>
      </c>
      <c r="O250" s="50">
        <f>IF(A250="","",IFERROR((IF(G250="",I250,G250)-T250)/M250,""))</f>
        <v/>
      </c>
      <c r="P250" s="50">
        <f>IFERROR((I250/T250-1)/N250,"")</f>
        <v/>
      </c>
      <c r="Q250" s="46">
        <f>IF(OR(T250="",I250&lt;T250),"",IFERROR(R250/IF(G250="",I250,G250)-1,""))</f>
        <v/>
      </c>
      <c r="R250" s="48">
        <f>IF($M250="","",MAX(IF($G250="",$I250,$G250)*(1/1.1),IF($G250="",$I250,$G250)+(R$2*$M250)))</f>
        <v/>
      </c>
      <c r="S250" s="49">
        <f>IF($M250="","",MAX(IF($G250="",$I250,$G250)*(1/1.1),IF($G250="",$I250,$G250)+(S$2*$M250)))</f>
        <v/>
      </c>
      <c r="T250" s="82" t="n">
        <v>124.8866003417969</v>
      </c>
      <c r="U250" s="47">
        <f>IF(OR($M250="",$T250=""),"",$T250+(U$2*$M250))</f>
        <v/>
      </c>
      <c r="V250" s="48">
        <f>IF(OR($M250="",$T250=""),"",$T250+(V$2*$M250))</f>
        <v/>
      </c>
      <c r="W250" s="48">
        <f>IF(OR($M250="",$T250=""),"",$T250+(W$2*$M250))</f>
        <v/>
      </c>
      <c r="X250" s="49">
        <f>IF(OR($M250="",$T250=""),"",$T250+(X$2*$M250))</f>
        <v/>
      </c>
      <c r="Y250" s="47">
        <f>IF(OR($M250="",$T250=""),"",$T250+(Y$2*$M250))</f>
        <v/>
      </c>
      <c r="Z250" s="49">
        <f>IF(OR($M250="",$T250=""),"",$T250+(Z$2*$M250))</f>
        <v/>
      </c>
      <c r="AA250" s="51">
        <f>IF(OR($M250="",$T250=""),"",$T250+(AA$2*$M250))</f>
        <v/>
      </c>
      <c r="AB250" s="48">
        <f>IF(OR($M250="",$T250=""),"",$T250+(AB$2*$M250))</f>
        <v/>
      </c>
      <c r="AC250" s="48">
        <f>IF(OR($M250="",$T250=""),"",$T250+(AC$2*$M250))</f>
        <v/>
      </c>
      <c r="AD250" s="48">
        <f>IF(OR($M250="",$T250=""),"",$T250+(AD$2*$M250))</f>
        <v/>
      </c>
      <c r="AE250" s="49">
        <f>IF(OR($M250="",$T250=""),"",$T250+(AE$2*$M250))</f>
        <v/>
      </c>
      <c r="AF250" s="52">
        <f>IF(OR(T250="",I250&lt;T250),"",IFERROR(AVERAGE(T250+M250*{7,8,9,10,11})/IF(G250="",I250,G250)-1,""))</f>
        <v/>
      </c>
      <c r="AG250" s="55">
        <f>IF(OR(T250="",I250&lt;T250),"",IFERROR(AF250/-(R250/IF(G250="",I250,G250)-1),""))</f>
        <v/>
      </c>
      <c r="AH250" s="94" t="n">
        <v>1</v>
      </c>
      <c r="AI250" s="94" t="n">
        <v>113.3959218571547</v>
      </c>
      <c r="AJ250" s="94" t="n">
        <v>1</v>
      </c>
      <c r="AK250" s="94" t="inlineStr">
        <is>
          <t>OTT Up Trend</t>
        </is>
      </c>
      <c r="AL250" s="84" t="inlineStr">
        <is>
          <t>PriceSmart, Inc.</t>
        </is>
      </c>
      <c r="AM250" t="inlineStr">
        <is>
          <t>Consumer Defensive</t>
        </is>
      </c>
      <c r="AN250" t="inlineStr">
        <is>
          <t>Discount Stores</t>
        </is>
      </c>
      <c r="AO250" t="n">
        <v>83</v>
      </c>
    </row>
    <row r="251">
      <c r="A251" s="64" t="inlineStr">
        <is>
          <t>AORT</t>
        </is>
      </c>
      <c r="B251" s="65" t="n"/>
      <c r="C251" s="66" t="n"/>
      <c r="D251" s="67" t="n"/>
      <c r="E251" s="68" t="n"/>
      <c r="F251" s="47">
        <f>IF(A251="","",IF(MIN(H251,MAX(J251:K251))=0,"",MIN(H251,MAX(J251:K251))))</f>
        <v/>
      </c>
      <c r="G251" s="74" t="n"/>
      <c r="H251" s="49">
        <f>IF(M251="","",IFERROR(ROUND(AVERAGE(T251+M251*{7,8,9,10,11})/1.21,4),""))</f>
        <v/>
      </c>
      <c r="I251" s="76" t="n">
        <v>43.38999938964844</v>
      </c>
      <c r="J251" s="77" t="n">
        <v>43.83657490723548</v>
      </c>
      <c r="K251" s="74" t="n">
        <v>45.12550010681152</v>
      </c>
      <c r="L251" s="78" t="n">
        <v>36.9964001083374</v>
      </c>
      <c r="M251" s="77" t="n">
        <v>1.406633375227305</v>
      </c>
      <c r="N251" s="53">
        <f>IF(M251="","",IFERROR(M251/I251,""))</f>
        <v/>
      </c>
      <c r="O251" s="50">
        <f>IF(A251="","",IFERROR((IF(G251="",I251,G251)-T251)/M251,""))</f>
        <v/>
      </c>
      <c r="P251" s="50">
        <f>IFERROR((I251/T251-1)/N251,"")</f>
        <v/>
      </c>
      <c r="Q251" s="46">
        <f>IF(OR(T251="",I251&lt;T251),"",IFERROR(R251/IF(G251="",I251,G251)-1,""))</f>
        <v/>
      </c>
      <c r="R251" s="48">
        <f>IF($M251="","",MAX(IF($G251="",$I251,$G251)*(1/1.1),IF($G251="",$I251,$G251)+(R$2*$M251)))</f>
        <v/>
      </c>
      <c r="S251" s="49">
        <f>IF($M251="","",MAX(IF($G251="",$I251,$G251)*(1/1.1),IF($G251="",$I251,$G251)+(S$2*$M251)))</f>
        <v/>
      </c>
      <c r="T251" s="82" t="n">
        <v>45.3808000946045</v>
      </c>
      <c r="U251" s="47">
        <f>IF(OR($M251="",$T251=""),"",$T251+(U$2*$M251))</f>
        <v/>
      </c>
      <c r="V251" s="48">
        <f>IF(OR($M251="",$T251=""),"",$T251+(V$2*$M251))</f>
        <v/>
      </c>
      <c r="W251" s="48">
        <f>IF(OR($M251="",$T251=""),"",$T251+(W$2*$M251))</f>
        <v/>
      </c>
      <c r="X251" s="49">
        <f>IF(OR($M251="",$T251=""),"",$T251+(X$2*$M251))</f>
        <v/>
      </c>
      <c r="Y251" s="47">
        <f>IF(OR($M251="",$T251=""),"",$T251+(Y$2*$M251))</f>
        <v/>
      </c>
      <c r="Z251" s="49">
        <f>IF(OR($M251="",$T251=""),"",$T251+(Z$2*$M251))</f>
        <v/>
      </c>
      <c r="AA251" s="51">
        <f>IF(OR($M251="",$T251=""),"",$T251+(AA$2*$M251))</f>
        <v/>
      </c>
      <c r="AB251" s="48">
        <f>IF(OR($M251="",$T251=""),"",$T251+(AB$2*$M251))</f>
        <v/>
      </c>
      <c r="AC251" s="48">
        <f>IF(OR($M251="",$T251=""),"",$T251+(AC$2*$M251))</f>
        <v/>
      </c>
      <c r="AD251" s="48">
        <f>IF(OR($M251="",$T251=""),"",$T251+(AD$2*$M251))</f>
        <v/>
      </c>
      <c r="AE251" s="49">
        <f>IF(OR($M251="",$T251=""),"",$T251+(AE$2*$M251))</f>
        <v/>
      </c>
      <c r="AF251" s="52">
        <f>IF(OR(T251="",I251&lt;T251),"",IFERROR(AVERAGE(T251+M251*{7,8,9,10,11})/IF(G251="",I251,G251)-1,""))</f>
        <v/>
      </c>
      <c r="AG251" s="55">
        <f>IF(OR(T251="",I251&lt;T251),"",IFERROR(AF251/-(R251/IF(G251="",I251,G251)-1),""))</f>
        <v/>
      </c>
      <c r="AH251" s="94" t="n">
        <v>-1</v>
      </c>
      <c r="AI251" s="94" t="n">
        <v>-47.00597338914955</v>
      </c>
      <c r="AJ251" s="94" t="n">
        <v>0</v>
      </c>
      <c r="AK251" s="94" t="inlineStr">
        <is>
          <t>OTT_MAvg Crossed Down</t>
        </is>
      </c>
      <c r="AL251" s="84" t="inlineStr">
        <is>
          <t>Artivion, Inc.</t>
        </is>
      </c>
      <c r="AM251" t="inlineStr">
        <is>
          <t>Healthcare</t>
        </is>
      </c>
      <c r="AN251" t="inlineStr">
        <is>
          <t>Medical Devices</t>
        </is>
      </c>
      <c r="AO251" t="n">
        <v>83</v>
      </c>
    </row>
    <row r="252">
      <c r="A252" s="64" t="inlineStr">
        <is>
          <t>NYT</t>
        </is>
      </c>
      <c r="B252" s="65" t="n"/>
      <c r="C252" s="66" t="n"/>
      <c r="D252" s="67" t="n"/>
      <c r="E252" s="68" t="n"/>
      <c r="F252" s="47">
        <f>IF(A252="","",IF(MIN(H252,MAX(J252:K252))=0,"",MIN(H252,MAX(J252:K252))))</f>
        <v/>
      </c>
      <c r="G252" s="74" t="n"/>
      <c r="H252" s="49">
        <f>IF(M252="","",IFERROR(ROUND(AVERAGE(T252+M252*{7,8,9,10,11})/1.21,4),""))</f>
        <v/>
      </c>
      <c r="I252" s="76" t="n">
        <v>71.48999786376953</v>
      </c>
      <c r="J252" s="77" t="n">
        <v>71.03489819620933</v>
      </c>
      <c r="K252" s="74" t="n">
        <v>70.62299957275391</v>
      </c>
      <c r="L252" s="78" t="n">
        <v>58.17129989624024</v>
      </c>
      <c r="M252" s="77" t="n">
        <v>1.053612223630261</v>
      </c>
      <c r="N252" s="53">
        <f>IF(M252="","",IFERROR(M252/I252,""))</f>
        <v/>
      </c>
      <c r="O252" s="50">
        <f>IF(A252="","",IFERROR((IF(G252="",I252,G252)-T252)/M252,""))</f>
        <v/>
      </c>
      <c r="P252" s="50">
        <f>IFERROR((I252/T252-1)/N252,"")</f>
        <v/>
      </c>
      <c r="Q252" s="46">
        <f>IF(OR(T252="",I252&lt;T252),"",IFERROR(R252/IF(G252="",I252,G252)-1,""))</f>
        <v/>
      </c>
      <c r="R252" s="48">
        <f>IF($M252="","",MAX(IF($G252="",$I252,$G252)*(1/1.1),IF($G252="",$I252,$G252)+(R$2*$M252)))</f>
        <v/>
      </c>
      <c r="S252" s="49">
        <f>IF($M252="","",MAX(IF($G252="",$I252,$G252)*(1/1.1),IF($G252="",$I252,$G252)+(S$2*$M252)))</f>
        <v/>
      </c>
      <c r="T252" s="82" t="n">
        <v>66.90859947204589</v>
      </c>
      <c r="U252" s="47">
        <f>IF(OR($M252="",$T252=""),"",$T252+(U$2*$M252))</f>
        <v/>
      </c>
      <c r="V252" s="48">
        <f>IF(OR($M252="",$T252=""),"",$T252+(V$2*$M252))</f>
        <v/>
      </c>
      <c r="W252" s="48">
        <f>IF(OR($M252="",$T252=""),"",$T252+(W$2*$M252))</f>
        <v/>
      </c>
      <c r="X252" s="49">
        <f>IF(OR($M252="",$T252=""),"",$T252+(X$2*$M252))</f>
        <v/>
      </c>
      <c r="Y252" s="47">
        <f>IF(OR($M252="",$T252=""),"",$T252+(Y$2*$M252))</f>
        <v/>
      </c>
      <c r="Z252" s="49">
        <f>IF(OR($M252="",$T252=""),"",$T252+(Z$2*$M252))</f>
        <v/>
      </c>
      <c r="AA252" s="51">
        <f>IF(OR($M252="",$T252=""),"",$T252+(AA$2*$M252))</f>
        <v/>
      </c>
      <c r="AB252" s="48">
        <f>IF(OR($M252="",$T252=""),"",$T252+(AB$2*$M252))</f>
        <v/>
      </c>
      <c r="AC252" s="48">
        <f>IF(OR($M252="",$T252=""),"",$T252+(AC$2*$M252))</f>
        <v/>
      </c>
      <c r="AD252" s="48">
        <f>IF(OR($M252="",$T252=""),"",$T252+(AD$2*$M252))</f>
        <v/>
      </c>
      <c r="AE252" s="49">
        <f>IF(OR($M252="",$T252=""),"",$T252+(AE$2*$M252))</f>
        <v/>
      </c>
      <c r="AF252" s="52">
        <f>IF(OR(T252="",I252&lt;T252),"",IFERROR(AVERAGE(T252+M252*{7,8,9,10,11})/IF(G252="",I252,G252)-1,""))</f>
        <v/>
      </c>
      <c r="AG252" s="55">
        <f>IF(OR(T252="",I252&lt;T252),"",IFERROR(AF252/-(R252/IF(G252="",I252,G252)-1),""))</f>
        <v/>
      </c>
      <c r="AH252" s="94" t="n">
        <v>1</v>
      </c>
      <c r="AI252" s="94" t="n">
        <v>124.486730784683</v>
      </c>
      <c r="AJ252" s="94" t="n">
        <v>0</v>
      </c>
      <c r="AK252" s="94" t="inlineStr">
        <is>
          <t>OTT Up Trend</t>
        </is>
      </c>
      <c r="AL252" s="84" t="inlineStr">
        <is>
          <t>New York Times Company (The)</t>
        </is>
      </c>
      <c r="AM252" t="inlineStr">
        <is>
          <t>Communication Services</t>
        </is>
      </c>
      <c r="AN252" t="inlineStr">
        <is>
          <t>Publishing</t>
        </is>
      </c>
      <c r="AO252" t="n">
        <v>83</v>
      </c>
    </row>
    <row r="253">
      <c r="A253" s="64" t="inlineStr">
        <is>
          <t>ROG</t>
        </is>
      </c>
      <c r="B253" s="65" t="n"/>
      <c r="C253" s="66" t="n"/>
      <c r="D253" s="67" t="n"/>
      <c r="E253" s="68" t="n"/>
      <c r="F253" s="47">
        <f>IF(A253="","",IF(MIN(H253,MAX(J253:K253))=0,"",MIN(H253,MAX(J253:K253))))</f>
        <v/>
      </c>
      <c r="G253" s="74" t="n"/>
      <c r="H253" s="49">
        <f>IF(M253="","",IFERROR(ROUND(AVERAGE(T253+M253*{7,8,9,10,11})/1.21,4),""))</f>
        <v/>
      </c>
      <c r="I253" s="76" t="n">
        <v>99.08999633789062</v>
      </c>
      <c r="J253" s="77" t="n">
        <v>97.12007023937517</v>
      </c>
      <c r="K253" s="74" t="n">
        <v>94.9185001373291</v>
      </c>
      <c r="L253" s="78" t="n">
        <v>76.25309976577759</v>
      </c>
      <c r="M253" s="77" t="n">
        <v>2.703951231242461</v>
      </c>
      <c r="N253" s="53">
        <f>IF(M253="","",IFERROR(M253/I253,""))</f>
        <v/>
      </c>
      <c r="O253" s="50">
        <f>IF(A253="","",IFERROR((IF(G253="",I253,G253)-T253)/M253,""))</f>
        <v/>
      </c>
      <c r="P253" s="50">
        <f>IFERROR((I253/T253-1)/N253,"")</f>
        <v/>
      </c>
      <c r="Q253" s="46">
        <f>IF(OR(T253="",I253&lt;T253),"",IFERROR(R253/IF(G253="",I253,G253)-1,""))</f>
        <v/>
      </c>
      <c r="R253" s="48">
        <f>IF($M253="","",MAX(IF($G253="",$I253,$G253)*(1/1.1),IF($G253="",$I253,$G253)+(R$2*$M253)))</f>
        <v/>
      </c>
      <c r="S253" s="49">
        <f>IF($M253="","",MAX(IF($G253="",$I253,$G253)*(1/1.1),IF($G253="",$I253,$G253)+(S$2*$M253)))</f>
        <v/>
      </c>
      <c r="T253" s="82" t="n">
        <v>88.79239959716797</v>
      </c>
      <c r="U253" s="47">
        <f>IF(OR($M253="",$T253=""),"",$T253+(U$2*$M253))</f>
        <v/>
      </c>
      <c r="V253" s="48">
        <f>IF(OR($M253="",$T253=""),"",$T253+(V$2*$M253))</f>
        <v/>
      </c>
      <c r="W253" s="48">
        <f>IF(OR($M253="",$T253=""),"",$T253+(W$2*$M253))</f>
        <v/>
      </c>
      <c r="X253" s="49">
        <f>IF(OR($M253="",$T253=""),"",$T253+(X$2*$M253))</f>
        <v/>
      </c>
      <c r="Y253" s="47">
        <f>IF(OR($M253="",$T253=""),"",$T253+(Y$2*$M253))</f>
        <v/>
      </c>
      <c r="Z253" s="49">
        <f>IF(OR($M253="",$T253=""),"",$T253+(Z$2*$M253))</f>
        <v/>
      </c>
      <c r="AA253" s="51">
        <f>IF(OR($M253="",$T253=""),"",$T253+(AA$2*$M253))</f>
        <v/>
      </c>
      <c r="AB253" s="48">
        <f>IF(OR($M253="",$T253=""),"",$T253+(AB$2*$M253))</f>
        <v/>
      </c>
      <c r="AC253" s="48">
        <f>IF(OR($M253="",$T253=""),"",$T253+(AC$2*$M253))</f>
        <v/>
      </c>
      <c r="AD253" s="48">
        <f>IF(OR($M253="",$T253=""),"",$T253+(AD$2*$M253))</f>
        <v/>
      </c>
      <c r="AE253" s="49">
        <f>IF(OR($M253="",$T253=""),"",$T253+(AE$2*$M253))</f>
        <v/>
      </c>
      <c r="AF253" s="52">
        <f>IF(OR(T253="",I253&lt;T253),"",IFERROR(AVERAGE(T253+M253*{7,8,9,10,11})/IF(G253="",I253,G253)-1,""))</f>
        <v/>
      </c>
      <c r="AG253" s="55">
        <f>IF(OR(T253="",I253&lt;T253),"",IFERROR(AF253/-(R253/IF(G253="",I253,G253)-1),""))</f>
        <v/>
      </c>
      <c r="AH253" s="94" t="n">
        <v>1</v>
      </c>
      <c r="AI253" s="94" t="n">
        <v>98.0308548966357</v>
      </c>
      <c r="AJ253" s="94" t="n">
        <v>1</v>
      </c>
      <c r="AK253" s="94" t="inlineStr">
        <is>
          <t>OTT Up Trend</t>
        </is>
      </c>
      <c r="AL253" s="84" t="inlineStr">
        <is>
          <t>Rogers Corporation</t>
        </is>
      </c>
      <c r="AM253" t="inlineStr">
        <is>
          <t>Technology</t>
        </is>
      </c>
      <c r="AN253" t="inlineStr">
        <is>
          <t>Electronic Components</t>
        </is>
      </c>
      <c r="AO253" t="n">
        <v>83</v>
      </c>
    </row>
    <row r="254">
      <c r="A254" s="64" t="inlineStr">
        <is>
          <t>TILE</t>
        </is>
      </c>
      <c r="B254" s="65" t="n"/>
      <c r="C254" s="66" t="n"/>
      <c r="D254" s="67" t="n"/>
      <c r="E254" s="68" t="n"/>
      <c r="F254" s="47">
        <f>IF(A254="","",IF(MIN(H254,MAX(J254:K254))=0,"",MIN(H254,MAX(J254:K254))))</f>
        <v/>
      </c>
      <c r="G254" s="74" t="n"/>
      <c r="H254" s="49">
        <f>IF(M254="","",IFERROR(ROUND(AVERAGE(T254+M254*{7,8,9,10,11})/1.21,4),""))</f>
        <v/>
      </c>
      <c r="I254" s="76" t="n">
        <v>30.90999984741211</v>
      </c>
      <c r="J254" s="77" t="n">
        <v>29.99303386676238</v>
      </c>
      <c r="K254" s="74" t="n">
        <v>29.09549989700317</v>
      </c>
      <c r="L254" s="78" t="n">
        <v>24.47474997520447</v>
      </c>
      <c r="M254" s="77" t="n">
        <v>0.79761333655252</v>
      </c>
      <c r="N254" s="53">
        <f>IF(M254="","",IFERROR(M254/I254,""))</f>
        <v/>
      </c>
      <c r="O254" s="50">
        <f>IF(A254="","",IFERROR((IF(G254="",I254,G254)-T254)/M254,""))</f>
        <v/>
      </c>
      <c r="P254" s="50">
        <f>IFERROR((I254/T254-1)/N254,"")</f>
        <v/>
      </c>
      <c r="Q254" s="46">
        <f>IF(OR(T254="",I254&lt;T254),"",IFERROR(R254/IF(G254="",I254,G254)-1,""))</f>
        <v/>
      </c>
      <c r="R254" s="48">
        <f>IF($M254="","",MAX(IF($G254="",$I254,$G254)*(1/1.1),IF($G254="",$I254,$G254)+(R$2*$M254)))</f>
        <v/>
      </c>
      <c r="S254" s="49">
        <f>IF($M254="","",MAX(IF($G254="",$I254,$G254)*(1/1.1),IF($G254="",$I254,$G254)+(S$2*$M254)))</f>
        <v/>
      </c>
      <c r="T254" s="82" t="n">
        <v>27.87319999694824</v>
      </c>
      <c r="U254" s="47">
        <f>IF(OR($M254="",$T254=""),"",$T254+(U$2*$M254))</f>
        <v/>
      </c>
      <c r="V254" s="48">
        <f>IF(OR($M254="",$T254=""),"",$T254+(V$2*$M254))</f>
        <v/>
      </c>
      <c r="W254" s="48">
        <f>IF(OR($M254="",$T254=""),"",$T254+(W$2*$M254))</f>
        <v/>
      </c>
      <c r="X254" s="49">
        <f>IF(OR($M254="",$T254=""),"",$T254+(X$2*$M254))</f>
        <v/>
      </c>
      <c r="Y254" s="47">
        <f>IF(OR($M254="",$T254=""),"",$T254+(Y$2*$M254))</f>
        <v/>
      </c>
      <c r="Z254" s="49">
        <f>IF(OR($M254="",$T254=""),"",$T254+(Z$2*$M254))</f>
        <v/>
      </c>
      <c r="AA254" s="51">
        <f>IF(OR($M254="",$T254=""),"",$T254+(AA$2*$M254))</f>
        <v/>
      </c>
      <c r="AB254" s="48">
        <f>IF(OR($M254="",$T254=""),"",$T254+(AB$2*$M254))</f>
        <v/>
      </c>
      <c r="AC254" s="48">
        <f>IF(OR($M254="",$T254=""),"",$T254+(AC$2*$M254))</f>
        <v/>
      </c>
      <c r="AD254" s="48">
        <f>IF(OR($M254="",$T254=""),"",$T254+(AD$2*$M254))</f>
        <v/>
      </c>
      <c r="AE254" s="49">
        <f>IF(OR($M254="",$T254=""),"",$T254+(AE$2*$M254))</f>
        <v/>
      </c>
      <c r="AF254" s="52">
        <f>IF(OR(T254="",I254&lt;T254),"",IFERROR(AVERAGE(T254+M254*{7,8,9,10,11})/IF(G254="",I254,G254)-1,""))</f>
        <v/>
      </c>
      <c r="AG254" s="55">
        <f>IF(OR(T254="",I254&lt;T254),"",IFERROR(AF254/-(R254/IF(G254="",I254,G254)-1),""))</f>
        <v/>
      </c>
      <c r="AH254" s="94" t="n">
        <v>1</v>
      </c>
      <c r="AI254" s="94" t="n">
        <v>94.68689837151615</v>
      </c>
      <c r="AJ254" s="94" t="n">
        <v>1</v>
      </c>
      <c r="AK254" s="94" t="inlineStr">
        <is>
          <t>OTT Up Trend</t>
        </is>
      </c>
      <c r="AL254" s="84" t="inlineStr">
        <is>
          <t>Interface, Inc.</t>
        </is>
      </c>
      <c r="AM254" t="inlineStr">
        <is>
          <t>Consumer Cyclical</t>
        </is>
      </c>
      <c r="AN254" t="inlineStr">
        <is>
          <t>Furnishings, Fixtures &amp; Appliances</t>
        </is>
      </c>
      <c r="AO254" t="n">
        <v>83</v>
      </c>
    </row>
    <row r="255">
      <c r="A255" s="64" t="inlineStr">
        <is>
          <t>CYTK</t>
        </is>
      </c>
      <c r="B255" s="65" t="n"/>
      <c r="C255" s="66" t="n"/>
      <c r="D255" s="67" t="n"/>
      <c r="E255" s="68" t="n"/>
      <c r="F255" s="47">
        <f>IF(A255="","",IF(MIN(H255,MAX(J255:K255))=0,"",MIN(H255,MAX(J255:K255))))</f>
        <v/>
      </c>
      <c r="G255" s="74" t="n"/>
      <c r="H255" s="49">
        <f>IF(M255="","",IFERROR(ROUND(AVERAGE(T255+M255*{7,8,9,10,11})/1.21,4),""))</f>
        <v/>
      </c>
      <c r="I255" s="76" t="n">
        <v>62.58000183105469</v>
      </c>
      <c r="J255" s="77" t="n">
        <v>63.39952792178197</v>
      </c>
      <c r="K255" s="74" t="n">
        <v>63.25949974060059</v>
      </c>
      <c r="L255" s="78" t="n">
        <v>47.17165008544922</v>
      </c>
      <c r="M255" s="77" t="n">
        <v>2.927356773581096</v>
      </c>
      <c r="N255" s="53">
        <f>IF(M255="","",IFERROR(M255/I255,""))</f>
        <v/>
      </c>
      <c r="O255" s="50">
        <f>IF(A255="","",IFERROR((IF(G255="",I255,G255)-T255)/M255,""))</f>
        <v/>
      </c>
      <c r="P255" s="50">
        <f>IFERROR((I255/T255-1)/N255,"")</f>
        <v/>
      </c>
      <c r="Q255" s="46">
        <f>IF(OR(T255="",I255&lt;T255),"",IFERROR(R255/IF(G255="",I255,G255)-1,""))</f>
        <v/>
      </c>
      <c r="R255" s="48">
        <f>IF($M255="","",MAX(IF($G255="",$I255,$G255)*(1/1.1),IF($G255="",$I255,$G255)+(R$2*$M255)))</f>
        <v/>
      </c>
      <c r="S255" s="49">
        <f>IF($M255="","",MAX(IF($G255="",$I255,$G255)*(1/1.1),IF($G255="",$I255,$G255)+(S$2*$M255)))</f>
        <v/>
      </c>
      <c r="T255" s="82" t="n">
        <v>63.79839996337891</v>
      </c>
      <c r="U255" s="47">
        <f>IF(OR($M255="",$T255=""),"",$T255+(U$2*$M255))</f>
        <v/>
      </c>
      <c r="V255" s="48">
        <f>IF(OR($M255="",$T255=""),"",$T255+(V$2*$M255))</f>
        <v/>
      </c>
      <c r="W255" s="48">
        <f>IF(OR($M255="",$T255=""),"",$T255+(W$2*$M255))</f>
        <v/>
      </c>
      <c r="X255" s="49">
        <f>IF(OR($M255="",$T255=""),"",$T255+(X$2*$M255))</f>
        <v/>
      </c>
      <c r="Y255" s="47">
        <f>IF(OR($M255="",$T255=""),"",$T255+(Y$2*$M255))</f>
        <v/>
      </c>
      <c r="Z255" s="49">
        <f>IF(OR($M255="",$T255=""),"",$T255+(Z$2*$M255))</f>
        <v/>
      </c>
      <c r="AA255" s="51">
        <f>IF(OR($M255="",$T255=""),"",$T255+(AA$2*$M255))</f>
        <v/>
      </c>
      <c r="AB255" s="48">
        <f>IF(OR($M255="",$T255=""),"",$T255+(AB$2*$M255))</f>
        <v/>
      </c>
      <c r="AC255" s="48">
        <f>IF(OR($M255="",$T255=""),"",$T255+(AC$2*$M255))</f>
        <v/>
      </c>
      <c r="AD255" s="48">
        <f>IF(OR($M255="",$T255=""),"",$T255+(AD$2*$M255))</f>
        <v/>
      </c>
      <c r="AE255" s="49">
        <f>IF(OR($M255="",$T255=""),"",$T255+(AE$2*$M255))</f>
        <v/>
      </c>
      <c r="AF255" s="52">
        <f>IF(OR(T255="",I255&lt;T255),"",IFERROR(AVERAGE(T255+M255*{7,8,9,10,11})/IF(G255="",I255,G255)-1,""))</f>
        <v/>
      </c>
      <c r="AG255" s="55">
        <f>IF(OR(T255="",I255&lt;T255),"",IFERROR(AF255/-(R255/IF(G255="",I255,G255)-1),""))</f>
        <v/>
      </c>
      <c r="AH255" s="94" t="n">
        <v>-1</v>
      </c>
      <c r="AI255" s="94" t="n">
        <v>3.717066230906816</v>
      </c>
      <c r="AJ255" s="94" t="n">
        <v>1</v>
      </c>
      <c r="AK255" s="94" t="inlineStr">
        <is>
          <t>OTT Up Trend</t>
        </is>
      </c>
      <c r="AL255" s="84" t="inlineStr">
        <is>
          <t>Cytokinetics, Incorporated</t>
        </is>
      </c>
      <c r="AM255" t="inlineStr">
        <is>
          <t>Healthcare</t>
        </is>
      </c>
      <c r="AN255" t="inlineStr">
        <is>
          <t>Biotechnology</t>
        </is>
      </c>
      <c r="AO255" t="n">
        <v>83</v>
      </c>
    </row>
    <row r="256">
      <c r="A256" s="64" t="inlineStr">
        <is>
          <t>TRST</t>
        </is>
      </c>
      <c r="B256" s="65" t="n"/>
      <c r="C256" s="66" t="n"/>
      <c r="D256" s="67" t="n"/>
      <c r="E256" s="68" t="n"/>
      <c r="F256" s="47">
        <f>IF(A256="","",IF(MIN(H256,MAX(J256:K256))=0,"",MIN(H256,MAX(J256:K256))))</f>
        <v/>
      </c>
      <c r="G256" s="74" t="n"/>
      <c r="H256" s="49">
        <f>IF(M256="","",IFERROR(ROUND(AVERAGE(T256+M256*{7,8,9,10,11})/1.21,4),""))</f>
        <v/>
      </c>
      <c r="I256" s="76" t="n">
        <v>43.45000076293945</v>
      </c>
      <c r="J256" s="77" t="n">
        <v>42.5986995824832</v>
      </c>
      <c r="K256" s="74" t="n">
        <v>42.32799968719483</v>
      </c>
      <c r="L256" s="78" t="n">
        <v>36.15645003318787</v>
      </c>
      <c r="M256" s="77" t="n">
        <v>0.999569496160249</v>
      </c>
      <c r="N256" s="53">
        <f>IF(M256="","",IFERROR(M256/I256,""))</f>
        <v/>
      </c>
      <c r="O256" s="50">
        <f>IF(A256="","",IFERROR((IF(G256="",I256,G256)-T256)/M256,""))</f>
        <v/>
      </c>
      <c r="P256" s="50">
        <f>IFERROR((I256/T256-1)/N256,"")</f>
        <v/>
      </c>
      <c r="Q256" s="46">
        <f>IF(OR(T256="",I256&lt;T256),"",IFERROR(R256/IF(G256="",I256,G256)-1,""))</f>
        <v/>
      </c>
      <c r="R256" s="48">
        <f>IF($M256="","",MAX(IF($G256="",$I256,$G256)*(1/1.1),IF($G256="",$I256,$G256)+(R$2*$M256)))</f>
        <v/>
      </c>
      <c r="S256" s="49">
        <f>IF($M256="","",MAX(IF($G256="",$I256,$G256)*(1/1.1),IF($G256="",$I256,$G256)+(S$2*$M256)))</f>
        <v/>
      </c>
      <c r="T256" s="82" t="n">
        <v>41.93059989929199</v>
      </c>
      <c r="U256" s="47">
        <f>IF(OR($M256="",$T256=""),"",$T256+(U$2*$M256))</f>
        <v/>
      </c>
      <c r="V256" s="48">
        <f>IF(OR($M256="",$T256=""),"",$T256+(V$2*$M256))</f>
        <v/>
      </c>
      <c r="W256" s="48">
        <f>IF(OR($M256="",$T256=""),"",$T256+(W$2*$M256))</f>
        <v/>
      </c>
      <c r="X256" s="49">
        <f>IF(OR($M256="",$T256=""),"",$T256+(X$2*$M256))</f>
        <v/>
      </c>
      <c r="Y256" s="47">
        <f>IF(OR($M256="",$T256=""),"",$T256+(Y$2*$M256))</f>
        <v/>
      </c>
      <c r="Z256" s="49">
        <f>IF(OR($M256="",$T256=""),"",$T256+(Z$2*$M256))</f>
        <v/>
      </c>
      <c r="AA256" s="51">
        <f>IF(OR($M256="",$T256=""),"",$T256+(AA$2*$M256))</f>
        <v/>
      </c>
      <c r="AB256" s="48">
        <f>IF(OR($M256="",$T256=""),"",$T256+(AB$2*$M256))</f>
        <v/>
      </c>
      <c r="AC256" s="48">
        <f>IF(OR($M256="",$T256=""),"",$T256+(AC$2*$M256))</f>
        <v/>
      </c>
      <c r="AD256" s="48">
        <f>IF(OR($M256="",$T256=""),"",$T256+(AD$2*$M256))</f>
        <v/>
      </c>
      <c r="AE256" s="49">
        <f>IF(OR($M256="",$T256=""),"",$T256+(AE$2*$M256))</f>
        <v/>
      </c>
      <c r="AF256" s="52">
        <f>IF(OR(T256="",I256&lt;T256),"",IFERROR(AVERAGE(T256+M256*{7,8,9,10,11})/IF(G256="",I256,G256)-1,""))</f>
        <v/>
      </c>
      <c r="AG256" s="55">
        <f>IF(OR(T256="",I256&lt;T256),"",IFERROR(AF256/-(R256/IF(G256="",I256,G256)-1),""))</f>
        <v/>
      </c>
      <c r="AH256" s="94" t="n">
        <v>-1</v>
      </c>
      <c r="AI256" s="94" t="n">
        <v>21.98461346807981</v>
      </c>
      <c r="AJ256" s="94" t="n">
        <v>1</v>
      </c>
      <c r="AK256" s="94" t="inlineStr">
        <is>
          <t>None</t>
        </is>
      </c>
      <c r="AL256" s="84" t="inlineStr">
        <is>
          <t>TrustCo Bank Corp NY</t>
        </is>
      </c>
      <c r="AM256" t="inlineStr">
        <is>
          <t>Financial Services</t>
        </is>
      </c>
      <c r="AN256" t="inlineStr">
        <is>
          <t>Banks - Regional</t>
        </is>
      </c>
      <c r="AO256" t="n">
        <v>83</v>
      </c>
    </row>
    <row r="257">
      <c r="A257" s="64" t="inlineStr">
        <is>
          <t>FOX</t>
        </is>
      </c>
      <c r="B257" s="65" t="n"/>
      <c r="C257" s="66" t="n"/>
      <c r="D257" s="67" t="n"/>
      <c r="E257" s="68" t="n"/>
      <c r="F257" s="47">
        <f>IF(A257="","",IF(MIN(H257,MAX(J257:K257))=0,"",MIN(H257,MAX(J257:K257))))</f>
        <v/>
      </c>
      <c r="G257" s="74" t="n"/>
      <c r="H257" s="49">
        <f>IF(M257="","",IFERROR(ROUND(AVERAGE(T257+M257*{7,8,9,10,11})/1.21,4),""))</f>
        <v/>
      </c>
      <c r="I257" s="76" t="n">
        <v>65.41999816894531</v>
      </c>
      <c r="J257" s="77" t="n">
        <v>66.0820262240716</v>
      </c>
      <c r="K257" s="74" t="n">
        <v>65.74350032806396</v>
      </c>
      <c r="L257" s="78" t="n">
        <v>54.07045009613037</v>
      </c>
      <c r="M257" s="77" t="n">
        <v>1.199017034430452</v>
      </c>
      <c r="N257" s="53">
        <f>IF(M257="","",IFERROR(M257/I257,""))</f>
        <v/>
      </c>
      <c r="O257" s="50">
        <f>IF(A257="","",IFERROR((IF(G257="",I257,G257)-T257)/M257,""))</f>
        <v/>
      </c>
      <c r="P257" s="50">
        <f>IFERROR((I257/T257-1)/N257,"")</f>
        <v/>
      </c>
      <c r="Q257" s="46">
        <f>IF(OR(T257="",I257&lt;T257),"",IFERROR(R257/IF(G257="",I257,G257)-1,""))</f>
        <v/>
      </c>
      <c r="R257" s="48">
        <f>IF($M257="","",MAX(IF($G257="",$I257,$G257)*(1/1.1),IF($G257="",$I257,$G257)+(R$2*$M257)))</f>
        <v/>
      </c>
      <c r="S257" s="49">
        <f>IF($M257="","",MAX(IF($G257="",$I257,$G257)*(1/1.1),IF($G257="",$I257,$G257)+(S$2*$M257)))</f>
        <v/>
      </c>
      <c r="T257" s="82" t="n">
        <v>62.31480010986328</v>
      </c>
      <c r="U257" s="47">
        <f>IF(OR($M257="",$T257=""),"",$T257+(U$2*$M257))</f>
        <v/>
      </c>
      <c r="V257" s="48">
        <f>IF(OR($M257="",$T257=""),"",$T257+(V$2*$M257))</f>
        <v/>
      </c>
      <c r="W257" s="48">
        <f>IF(OR($M257="",$T257=""),"",$T257+(W$2*$M257))</f>
        <v/>
      </c>
      <c r="X257" s="49">
        <f>IF(OR($M257="",$T257=""),"",$T257+(X$2*$M257))</f>
        <v/>
      </c>
      <c r="Y257" s="47">
        <f>IF(OR($M257="",$T257=""),"",$T257+(Y$2*$M257))</f>
        <v/>
      </c>
      <c r="Z257" s="49">
        <f>IF(OR($M257="",$T257=""),"",$T257+(Z$2*$M257))</f>
        <v/>
      </c>
      <c r="AA257" s="51">
        <f>IF(OR($M257="",$T257=""),"",$T257+(AA$2*$M257))</f>
        <v/>
      </c>
      <c r="AB257" s="48">
        <f>IF(OR($M257="",$T257=""),"",$T257+(AB$2*$M257))</f>
        <v/>
      </c>
      <c r="AC257" s="48">
        <f>IF(OR($M257="",$T257=""),"",$T257+(AC$2*$M257))</f>
        <v/>
      </c>
      <c r="AD257" s="48">
        <f>IF(OR($M257="",$T257=""),"",$T257+(AD$2*$M257))</f>
        <v/>
      </c>
      <c r="AE257" s="49">
        <f>IF(OR($M257="",$T257=""),"",$T257+(AE$2*$M257))</f>
        <v/>
      </c>
      <c r="AF257" s="52">
        <f>IF(OR(T257="",I257&lt;T257),"",IFERROR(AVERAGE(T257+M257*{7,8,9,10,11})/IF(G257="",I257,G257)-1,""))</f>
        <v/>
      </c>
      <c r="AG257" s="55">
        <f>IF(OR(T257="",I257&lt;T257),"",IFERROR(AF257/-(R257/IF(G257="",I257,G257)-1),""))</f>
        <v/>
      </c>
      <c r="AH257" s="94" t="n">
        <v>1</v>
      </c>
      <c r="AI257" s="94" t="n">
        <v>96.69237655933316</v>
      </c>
      <c r="AJ257" s="94" t="n">
        <v>0</v>
      </c>
      <c r="AK257" s="94" t="inlineStr">
        <is>
          <t>OTT Up Trend</t>
        </is>
      </c>
      <c r="AL257" s="84" t="inlineStr">
        <is>
          <t>Fox Corporation</t>
        </is>
      </c>
      <c r="AM257" t="inlineStr">
        <is>
          <t>Communication Services</t>
        </is>
      </c>
      <c r="AN257" t="inlineStr">
        <is>
          <t>Entertainment</t>
        </is>
      </c>
      <c r="AO257" t="n">
        <v>83</v>
      </c>
    </row>
    <row r="258">
      <c r="A258" s="64" t="inlineStr">
        <is>
          <t>UPWK</t>
        </is>
      </c>
      <c r="B258" s="65" t="n"/>
      <c r="C258" s="66" t="n"/>
      <c r="D258" s="67" t="n"/>
      <c r="E258" s="68" t="n"/>
      <c r="F258" s="47">
        <f>IF(A258="","",IF(MIN(H258,MAX(J258:K258))=0,"",MIN(H258,MAX(J258:K258))))</f>
        <v/>
      </c>
      <c r="G258" s="74" t="n"/>
      <c r="H258" s="49">
        <f>IF(M258="","",IFERROR(ROUND(AVERAGE(T258+M258*{7,8,9,10,11})/1.21,4),""))</f>
        <v/>
      </c>
      <c r="I258" s="76" t="n">
        <v>19.8700008392334</v>
      </c>
      <c r="J258" s="77" t="n">
        <v>20.20020781712044</v>
      </c>
      <c r="K258" s="74" t="n">
        <v>20.375</v>
      </c>
      <c r="L258" s="78" t="n">
        <v>16.13349997520447</v>
      </c>
      <c r="M258" s="77" t="n">
        <v>0.8774489592852925</v>
      </c>
      <c r="N258" s="53">
        <f>IF(M258="","",IFERROR(M258/I258,""))</f>
        <v/>
      </c>
      <c r="O258" s="50">
        <f>IF(A258="","",IFERROR((IF(G258="",I258,G258)-T258)/M258,""))</f>
        <v/>
      </c>
      <c r="P258" s="50">
        <f>IFERROR((I258/T258-1)/N258,"")</f>
        <v/>
      </c>
      <c r="Q258" s="46">
        <f>IF(OR(T258="",I258&lt;T258),"",IFERROR(R258/IF(G258="",I258,G258)-1,""))</f>
        <v/>
      </c>
      <c r="R258" s="48">
        <f>IF($M258="","",MAX(IF($G258="",$I258,$G258)*(1/1.1),IF($G258="",$I258,$G258)+(R$2*$M258)))</f>
        <v/>
      </c>
      <c r="S258" s="49">
        <f>IF($M258="","",MAX(IF($G258="",$I258,$G258)*(1/1.1),IF($G258="",$I258,$G258)+(S$2*$M258)))</f>
        <v/>
      </c>
      <c r="T258" s="82" t="n">
        <v>19.51279998779297</v>
      </c>
      <c r="U258" s="47">
        <f>IF(OR($M258="",$T258=""),"",$T258+(U$2*$M258))</f>
        <v/>
      </c>
      <c r="V258" s="48">
        <f>IF(OR($M258="",$T258=""),"",$T258+(V$2*$M258))</f>
        <v/>
      </c>
      <c r="W258" s="48">
        <f>IF(OR($M258="",$T258=""),"",$T258+(W$2*$M258))</f>
        <v/>
      </c>
      <c r="X258" s="49">
        <f>IF(OR($M258="",$T258=""),"",$T258+(X$2*$M258))</f>
        <v/>
      </c>
      <c r="Y258" s="47">
        <f>IF(OR($M258="",$T258=""),"",$T258+(Y$2*$M258))</f>
        <v/>
      </c>
      <c r="Z258" s="49">
        <f>IF(OR($M258="",$T258=""),"",$T258+(Z$2*$M258))</f>
        <v/>
      </c>
      <c r="AA258" s="51">
        <f>IF(OR($M258="",$T258=""),"",$T258+(AA$2*$M258))</f>
        <v/>
      </c>
      <c r="AB258" s="48">
        <f>IF(OR($M258="",$T258=""),"",$T258+(AB$2*$M258))</f>
        <v/>
      </c>
      <c r="AC258" s="48">
        <f>IF(OR($M258="",$T258=""),"",$T258+(AC$2*$M258))</f>
        <v/>
      </c>
      <c r="AD258" s="48">
        <f>IF(OR($M258="",$T258=""),"",$T258+(AD$2*$M258))</f>
        <v/>
      </c>
      <c r="AE258" s="49">
        <f>IF(OR($M258="",$T258=""),"",$T258+(AE$2*$M258))</f>
        <v/>
      </c>
      <c r="AF258" s="52">
        <f>IF(OR(T258="",I258&lt;T258),"",IFERROR(AVERAGE(T258+M258*{7,8,9,10,11})/IF(G258="",I258,G258)-1,""))</f>
        <v/>
      </c>
      <c r="AG258" s="55">
        <f>IF(OR(T258="",I258&lt;T258),"",IFERROR(AF258/-(R258/IF(G258="",I258,G258)-1),""))</f>
        <v/>
      </c>
      <c r="AH258" s="94" t="n">
        <v>1</v>
      </c>
      <c r="AI258" s="94" t="n">
        <v>9.070019949359166</v>
      </c>
      <c r="AJ258" s="94" t="n">
        <v>0</v>
      </c>
      <c r="AK258" s="94" t="inlineStr">
        <is>
          <t>OTT Up Trend</t>
        </is>
      </c>
      <c r="AL258" s="84" t="inlineStr">
        <is>
          <t>Upwork Inc.</t>
        </is>
      </c>
      <c r="AM258" t="inlineStr">
        <is>
          <t>Communication Services</t>
        </is>
      </c>
      <c r="AN258" t="inlineStr">
        <is>
          <t>Internet Content &amp; Information</t>
        </is>
      </c>
      <c r="AO258" t="n">
        <v>83</v>
      </c>
    </row>
    <row r="259">
      <c r="A259" s="64" t="inlineStr">
        <is>
          <t>GNL</t>
        </is>
      </c>
      <c r="B259" s="65" t="n"/>
      <c r="C259" s="66" t="n"/>
      <c r="D259" s="67" t="n"/>
      <c r="E259" s="68" t="n"/>
      <c r="F259" s="47">
        <f>IF(A259="","",IF(MIN(H259,MAX(J259:K259))=0,"",MIN(H259,MAX(J259:K259))))</f>
        <v/>
      </c>
      <c r="G259" s="74" t="n"/>
      <c r="H259" s="49">
        <f>IF(M259="","",IFERROR(ROUND(AVERAGE(T259+M259*{7,8,9,10,11})/1.21,4),""))</f>
        <v/>
      </c>
      <c r="I259" s="76" t="n">
        <v>9.470000267028809</v>
      </c>
      <c r="J259" s="77" t="n">
        <v>9.055179918898988</v>
      </c>
      <c r="K259" s="74" t="n">
        <v>8.752500104904176</v>
      </c>
      <c r="L259" s="78" t="n">
        <v>7.812949993610382</v>
      </c>
      <c r="M259" s="77" t="n">
        <v>0.1894582659437656</v>
      </c>
      <c r="N259" s="53">
        <f>IF(M259="","",IFERROR(M259/I259,""))</f>
        <v/>
      </c>
      <c r="O259" s="50">
        <f>IF(A259="","",IFERROR((IF(G259="",I259,G259)-T259)/M259,""))</f>
        <v/>
      </c>
      <c r="P259" s="50">
        <f>IFERROR((I259/T259-1)/N259,"")</f>
        <v/>
      </c>
      <c r="Q259" s="46">
        <f>IF(OR(T259="",I259&lt;T259),"",IFERROR(R259/IF(G259="",I259,G259)-1,""))</f>
        <v/>
      </c>
      <c r="R259" s="48">
        <f>IF($M259="","",MAX(IF($G259="",$I259,$G259)*(1/1.1),IF($G259="",$I259,$G259)+(R$2*$M259)))</f>
        <v/>
      </c>
      <c r="S259" s="49">
        <f>IF($M259="","",MAX(IF($G259="",$I259,$G259)*(1/1.1),IF($G259="",$I259,$G259)+(S$2*$M259)))</f>
        <v/>
      </c>
      <c r="T259" s="82" t="n">
        <v>8.351400032043458</v>
      </c>
      <c r="U259" s="47">
        <f>IF(OR($M259="",$T259=""),"",$T259+(U$2*$M259))</f>
        <v/>
      </c>
      <c r="V259" s="48">
        <f>IF(OR($M259="",$T259=""),"",$T259+(V$2*$M259))</f>
        <v/>
      </c>
      <c r="W259" s="48">
        <f>IF(OR($M259="",$T259=""),"",$T259+(W$2*$M259))</f>
        <v/>
      </c>
      <c r="X259" s="49">
        <f>IF(OR($M259="",$T259=""),"",$T259+(X$2*$M259))</f>
        <v/>
      </c>
      <c r="Y259" s="47">
        <f>IF(OR($M259="",$T259=""),"",$T259+(Y$2*$M259))</f>
        <v/>
      </c>
      <c r="Z259" s="49">
        <f>IF(OR($M259="",$T259=""),"",$T259+(Z$2*$M259))</f>
        <v/>
      </c>
      <c r="AA259" s="51">
        <f>IF(OR($M259="",$T259=""),"",$T259+(AA$2*$M259))</f>
        <v/>
      </c>
      <c r="AB259" s="48">
        <f>IF(OR($M259="",$T259=""),"",$T259+(AB$2*$M259))</f>
        <v/>
      </c>
      <c r="AC259" s="48">
        <f>IF(OR($M259="",$T259=""),"",$T259+(AC$2*$M259))</f>
        <v/>
      </c>
      <c r="AD259" s="48">
        <f>IF(OR($M259="",$T259=""),"",$T259+(AD$2*$M259))</f>
        <v/>
      </c>
      <c r="AE259" s="49">
        <f>IF(OR($M259="",$T259=""),"",$T259+(AE$2*$M259))</f>
        <v/>
      </c>
      <c r="AF259" s="52">
        <f>IF(OR(T259="",I259&lt;T259),"",IFERROR(AVERAGE(T259+M259*{7,8,9,10,11})/IF(G259="",I259,G259)-1,""))</f>
        <v/>
      </c>
      <c r="AG259" s="55">
        <f>IF(OR(T259="",I259&lt;T259),"",IFERROR(AF259/-(R259/IF(G259="",I259,G259)-1),""))</f>
        <v/>
      </c>
      <c r="AH259" s="94" t="n">
        <v>1</v>
      </c>
      <c r="AI259" s="94" t="n">
        <v>151.2910826493278</v>
      </c>
      <c r="AJ259" s="94" t="n">
        <v>1</v>
      </c>
      <c r="AK259" s="94" t="inlineStr">
        <is>
          <t>OTT Up Trend</t>
        </is>
      </c>
      <c r="AL259" s="84" t="inlineStr">
        <is>
          <t>Global Net Lease, Inc.</t>
        </is>
      </c>
      <c r="AM259" t="inlineStr">
        <is>
          <t>Real Estate</t>
        </is>
      </c>
      <c r="AN259" t="inlineStr">
        <is>
          <t>REIT - Diversified</t>
        </is>
      </c>
      <c r="AO259" t="n">
        <v>83</v>
      </c>
    </row>
    <row r="260">
      <c r="A260" s="64" t="inlineStr">
        <is>
          <t>ENTG</t>
        </is>
      </c>
      <c r="B260" s="65" t="n"/>
      <c r="C260" s="66" t="n"/>
      <c r="D260" s="67" t="n"/>
      <c r="E260" s="68" t="n"/>
      <c r="F260" s="47">
        <f>IF(A260="","",IF(MIN(H260,MAX(J260:K260))=0,"",MIN(H260,MAX(J260:K260))))</f>
        <v/>
      </c>
      <c r="G260" s="74" t="n"/>
      <c r="H260" s="49">
        <f>IF(M260="","",IFERROR(ROUND(AVERAGE(T260+M260*{7,8,9,10,11})/1.21,4),""))</f>
        <v/>
      </c>
      <c r="I260" s="76" t="n">
        <v>117.3499984741211</v>
      </c>
      <c r="J260" s="77" t="n">
        <v>104.0931235564246</v>
      </c>
      <c r="K260" s="74" t="n">
        <v>94.46449928283691</v>
      </c>
      <c r="L260" s="78" t="n">
        <v>83.76019981384277</v>
      </c>
      <c r="M260" s="77" t="n">
        <v>4.535415999771108</v>
      </c>
      <c r="N260" s="53">
        <f>IF(M260="","",IFERROR(M260/I260,""))</f>
        <v/>
      </c>
      <c r="O260" s="50">
        <f>IF(A260="","",IFERROR((IF(G260="",I260,G260)-T260)/M260,""))</f>
        <v/>
      </c>
      <c r="P260" s="50">
        <f>IFERROR((I260/T260-1)/N260,"")</f>
        <v/>
      </c>
      <c r="Q260" s="46">
        <f>IF(OR(T260="",I260&lt;T260),"",IFERROR(R260/IF(G260="",I260,G260)-1,""))</f>
        <v/>
      </c>
      <c r="R260" s="48">
        <f>IF($M260="","",MAX(IF($G260="",$I260,$G260)*(1/1.1),IF($G260="",$I260,$G260)+(R$2*$M260)))</f>
        <v/>
      </c>
      <c r="S260" s="49">
        <f>IF($M260="","",MAX(IF($G260="",$I260,$G260)*(1/1.1),IF($G260="",$I260,$G260)+(S$2*$M260)))</f>
        <v/>
      </c>
      <c r="T260" s="82" t="n">
        <v>87.48859954833985</v>
      </c>
      <c r="U260" s="47">
        <f>IF(OR($M260="",$T260=""),"",$T260+(U$2*$M260))</f>
        <v/>
      </c>
      <c r="V260" s="48">
        <f>IF(OR($M260="",$T260=""),"",$T260+(V$2*$M260))</f>
        <v/>
      </c>
      <c r="W260" s="48">
        <f>IF(OR($M260="",$T260=""),"",$T260+(W$2*$M260))</f>
        <v/>
      </c>
      <c r="X260" s="49">
        <f>IF(OR($M260="",$T260=""),"",$T260+(X$2*$M260))</f>
        <v/>
      </c>
      <c r="Y260" s="47">
        <f>IF(OR($M260="",$T260=""),"",$T260+(Y$2*$M260))</f>
        <v/>
      </c>
      <c r="Z260" s="49">
        <f>IF(OR($M260="",$T260=""),"",$T260+(Z$2*$M260))</f>
        <v/>
      </c>
      <c r="AA260" s="51">
        <f>IF(OR($M260="",$T260=""),"",$T260+(AA$2*$M260))</f>
        <v/>
      </c>
      <c r="AB260" s="48">
        <f>IF(OR($M260="",$T260=""),"",$T260+(AB$2*$M260))</f>
        <v/>
      </c>
      <c r="AC260" s="48">
        <f>IF(OR($M260="",$T260=""),"",$T260+(AC$2*$M260))</f>
        <v/>
      </c>
      <c r="AD260" s="48">
        <f>IF(OR($M260="",$T260=""),"",$T260+(AD$2*$M260))</f>
        <v/>
      </c>
      <c r="AE260" s="49">
        <f>IF(OR($M260="",$T260=""),"",$T260+(AE$2*$M260))</f>
        <v/>
      </c>
      <c r="AF260" s="52">
        <f>IF(OR(T260="",I260&lt;T260),"",IFERROR(AVERAGE(T260+M260*{7,8,9,10,11})/IF(G260="",I260,G260)-1,""))</f>
        <v/>
      </c>
      <c r="AG260" s="55">
        <f>IF(OR(T260="",I260&lt;T260),"",IFERROR(AF260/-(R260/IF(G260="",I260,G260)-1),""))</f>
        <v/>
      </c>
      <c r="AH260" s="94" t="n">
        <v>1</v>
      </c>
      <c r="AI260" s="94" t="n">
        <v>154.1698132096848</v>
      </c>
      <c r="AJ260" s="94" t="n">
        <v>1</v>
      </c>
      <c r="AK260" s="94" t="inlineStr">
        <is>
          <t>OTT Up Trend</t>
        </is>
      </c>
      <c r="AL260" s="84" t="inlineStr">
        <is>
          <t>Entegris, Inc.</t>
        </is>
      </c>
      <c r="AM260" t="inlineStr">
        <is>
          <t>Technology</t>
        </is>
      </c>
      <c r="AN260" t="inlineStr">
        <is>
          <t>Semiconductor Equipment &amp; Materials</t>
        </is>
      </c>
      <c r="AO260" t="n">
        <v>83</v>
      </c>
    </row>
    <row r="261">
      <c r="A261" s="64" t="inlineStr">
        <is>
          <t>CACI</t>
        </is>
      </c>
      <c r="B261" s="65" t="n"/>
      <c r="C261" s="66" t="n"/>
      <c r="D261" s="67" t="n"/>
      <c r="E261" s="68" t="n"/>
      <c r="F261" s="47">
        <f>IF(A261="","",IF(MIN(H261,MAX(J261:K261))=0,"",MIN(H261,MAX(J261:K261))))</f>
        <v/>
      </c>
      <c r="G261" s="74" t="n"/>
      <c r="H261" s="49">
        <f>IF(M261="","",IFERROR(ROUND(AVERAGE(T261+M261*{7,8,9,10,11})/1.21,4),""))</f>
        <v/>
      </c>
      <c r="I261" s="76" t="n">
        <v>635.4000244140625</v>
      </c>
      <c r="J261" s="77" t="n">
        <v>600.4096209904827</v>
      </c>
      <c r="K261" s="74" t="n">
        <v>569.6359985351562</v>
      </c>
      <c r="L261" s="78" t="n">
        <v>503.4812492370605</v>
      </c>
      <c r="M261" s="77" t="n">
        <v>17.77626136710996</v>
      </c>
      <c r="N261" s="53">
        <f>IF(M261="","",IFERROR(M261/I261,""))</f>
        <v/>
      </c>
      <c r="O261" s="50">
        <f>IF(A261="","",IFERROR((IF(G261="",I261,G261)-T261)/M261,""))</f>
        <v/>
      </c>
      <c r="P261" s="50">
        <f>IFERROR((I261/T261-1)/N261,"")</f>
        <v/>
      </c>
      <c r="Q261" s="46">
        <f>IF(OR(T261="",I261&lt;T261),"",IFERROR(R261/IF(G261="",I261,G261)-1,""))</f>
        <v/>
      </c>
      <c r="R261" s="48">
        <f>IF($M261="","",MAX(IF($G261="",$I261,$G261)*(1/1.1),IF($G261="",$I261,$G261)+(R$2*$M261)))</f>
        <v/>
      </c>
      <c r="S261" s="49">
        <f>IF($M261="","",MAX(IF($G261="",$I261,$G261)*(1/1.1),IF($G261="",$I261,$G261)+(S$2*$M261)))</f>
        <v/>
      </c>
      <c r="T261" s="82" t="n">
        <v>583.6111975097656</v>
      </c>
      <c r="U261" s="47">
        <f>IF(OR($M261="",$T261=""),"",$T261+(U$2*$M261))</f>
        <v/>
      </c>
      <c r="V261" s="48">
        <f>IF(OR($M261="",$T261=""),"",$T261+(V$2*$M261))</f>
        <v/>
      </c>
      <c r="W261" s="48">
        <f>IF(OR($M261="",$T261=""),"",$T261+(W$2*$M261))</f>
        <v/>
      </c>
      <c r="X261" s="49">
        <f>IF(OR($M261="",$T261=""),"",$T261+(X$2*$M261))</f>
        <v/>
      </c>
      <c r="Y261" s="47">
        <f>IF(OR($M261="",$T261=""),"",$T261+(Y$2*$M261))</f>
        <v/>
      </c>
      <c r="Z261" s="49">
        <f>IF(OR($M261="",$T261=""),"",$T261+(Z$2*$M261))</f>
        <v/>
      </c>
      <c r="AA261" s="51">
        <f>IF(OR($M261="",$T261=""),"",$T261+(AA$2*$M261))</f>
        <v/>
      </c>
      <c r="AB261" s="48">
        <f>IF(OR($M261="",$T261=""),"",$T261+(AB$2*$M261))</f>
        <v/>
      </c>
      <c r="AC261" s="48">
        <f>IF(OR($M261="",$T261=""),"",$T261+(AC$2*$M261))</f>
        <v/>
      </c>
      <c r="AD261" s="48">
        <f>IF(OR($M261="",$T261=""),"",$T261+(AD$2*$M261))</f>
        <v/>
      </c>
      <c r="AE261" s="49">
        <f>IF(OR($M261="",$T261=""),"",$T261+(AE$2*$M261))</f>
        <v/>
      </c>
      <c r="AF261" s="52">
        <f>IF(OR(T261="",I261&lt;T261),"",IFERROR(AVERAGE(T261+M261*{7,8,9,10,11})/IF(G261="",I261,G261)-1,""))</f>
        <v/>
      </c>
      <c r="AG261" s="55">
        <f>IF(OR(T261="",I261&lt;T261),"",IFERROR(AF261/-(R261/IF(G261="",I261,G261)-1),""))</f>
        <v/>
      </c>
      <c r="AH261" s="94" t="n">
        <v>1</v>
      </c>
      <c r="AI261" s="94" t="n">
        <v>77.07112679144608</v>
      </c>
      <c r="AJ261" s="94" t="n">
        <v>1</v>
      </c>
      <c r="AK261" s="94" t="inlineStr">
        <is>
          <t>None</t>
        </is>
      </c>
      <c r="AL261" s="84" t="inlineStr">
        <is>
          <t>CACI International, Inc.</t>
        </is>
      </c>
      <c r="AM261" t="inlineStr">
        <is>
          <t>Technology</t>
        </is>
      </c>
      <c r="AN261" t="inlineStr">
        <is>
          <t>Information Technology Services</t>
        </is>
      </c>
      <c r="AO261" t="n">
        <v>82</v>
      </c>
    </row>
    <row r="262">
      <c r="A262" s="64" t="inlineStr">
        <is>
          <t>MCHP</t>
        </is>
      </c>
      <c r="B262" s="65" t="n"/>
      <c r="C262" s="66" t="n"/>
      <c r="D262" s="67" t="n"/>
      <c r="E262" s="68" t="n"/>
      <c r="F262" s="47">
        <f>IF(A262="","",IF(MIN(H262,MAX(J262:K262))=0,"",MIN(H262,MAX(J262:K262))))</f>
        <v/>
      </c>
      <c r="G262" s="74" t="n"/>
      <c r="H262" s="49">
        <f>IF(M262="","",IFERROR(ROUND(AVERAGE(T262+M262*{7,8,9,10,11})/1.21,4),""))</f>
        <v/>
      </c>
      <c r="I262" s="76" t="n">
        <v>74.69999694824219</v>
      </c>
      <c r="J262" s="77" t="n">
        <v>72.87340100066247</v>
      </c>
      <c r="K262" s="74" t="n">
        <v>69.24249992370605</v>
      </c>
      <c r="L262" s="78" t="n">
        <v>62.2223998260498</v>
      </c>
      <c r="M262" s="77" t="n">
        <v>2.244915531690335</v>
      </c>
      <c r="N262" s="53">
        <f>IF(M262="","",IFERROR(M262/I262,""))</f>
        <v/>
      </c>
      <c r="O262" s="50">
        <f>IF(A262="","",IFERROR((IF(G262="",I262,G262)-T262)/M262,""))</f>
        <v/>
      </c>
      <c r="P262" s="50">
        <f>IFERROR((I262/T262-1)/N262,"")</f>
        <v/>
      </c>
      <c r="Q262" s="46">
        <f>IF(OR(T262="",I262&lt;T262),"",IFERROR(R262/IF(G262="",I262,G262)-1,""))</f>
        <v/>
      </c>
      <c r="R262" s="48">
        <f>IF($M262="","",MAX(IF($G262="",$I262,$G262)*(1/1.1),IF($G262="",$I262,$G262)+(R$2*$M262)))</f>
        <v/>
      </c>
      <c r="S262" s="49">
        <f>IF($M262="","",MAX(IF($G262="",$I262,$G262)*(1/1.1),IF($G262="",$I262,$G262)+(S$2*$M262)))</f>
        <v/>
      </c>
      <c r="T262" s="82" t="n">
        <v>62.75119995117188</v>
      </c>
      <c r="U262" s="47">
        <f>IF(OR($M262="",$T262=""),"",$T262+(U$2*$M262))</f>
        <v/>
      </c>
      <c r="V262" s="48">
        <f>IF(OR($M262="",$T262=""),"",$T262+(V$2*$M262))</f>
        <v/>
      </c>
      <c r="W262" s="48">
        <f>IF(OR($M262="",$T262=""),"",$T262+(W$2*$M262))</f>
        <v/>
      </c>
      <c r="X262" s="49">
        <f>IF(OR($M262="",$T262=""),"",$T262+(X$2*$M262))</f>
        <v/>
      </c>
      <c r="Y262" s="47">
        <f>IF(OR($M262="",$T262=""),"",$T262+(Y$2*$M262))</f>
        <v/>
      </c>
      <c r="Z262" s="49">
        <f>IF(OR($M262="",$T262=""),"",$T262+(Z$2*$M262))</f>
        <v/>
      </c>
      <c r="AA262" s="51">
        <f>IF(OR($M262="",$T262=""),"",$T262+(AA$2*$M262))</f>
        <v/>
      </c>
      <c r="AB262" s="48">
        <f>IF(OR($M262="",$T262=""),"",$T262+(AB$2*$M262))</f>
        <v/>
      </c>
      <c r="AC262" s="48">
        <f>IF(OR($M262="",$T262=""),"",$T262+(AC$2*$M262))</f>
        <v/>
      </c>
      <c r="AD262" s="48">
        <f>IF(OR($M262="",$T262=""),"",$T262+(AD$2*$M262))</f>
        <v/>
      </c>
      <c r="AE262" s="49">
        <f>IF(OR($M262="",$T262=""),"",$T262+(AE$2*$M262))</f>
        <v/>
      </c>
      <c r="AF262" s="52">
        <f>IF(OR(T262="",I262&lt;T262),"",IFERROR(AVERAGE(T262+M262*{7,8,9,10,11})/IF(G262="",I262,G262)-1,""))</f>
        <v/>
      </c>
      <c r="AG262" s="55">
        <f>IF(OR(T262="",I262&lt;T262),"",IFERROR(AF262/-(R262/IF(G262="",I262,G262)-1),""))</f>
        <v/>
      </c>
      <c r="AH262" s="94" t="n">
        <v>1</v>
      </c>
      <c r="AI262" s="94" t="n">
        <v>142.4123668310346</v>
      </c>
      <c r="AJ262" s="94" t="n">
        <v>1</v>
      </c>
      <c r="AK262" s="94" t="inlineStr">
        <is>
          <t>OTT Up Trend</t>
        </is>
      </c>
      <c r="AL262" s="84" t="inlineStr">
        <is>
          <t>Microchip Technology Incorporat</t>
        </is>
      </c>
      <c r="AM262" t="inlineStr">
        <is>
          <t>Technology</t>
        </is>
      </c>
      <c r="AN262" t="inlineStr">
        <is>
          <t>Semiconductors</t>
        </is>
      </c>
      <c r="AO262" t="n">
        <v>82</v>
      </c>
    </row>
    <row r="263">
      <c r="A263" s="64" t="inlineStr">
        <is>
          <t>KW</t>
        </is>
      </c>
      <c r="B263" s="65" t="n"/>
      <c r="C263" s="66" t="n"/>
      <c r="D263" s="67" t="n"/>
      <c r="E263" s="68" t="n"/>
      <c r="F263" s="47">
        <f>IF(A263="","",IF(MIN(H263,MAX(J263:K263))=0,"",MIN(H263,MAX(J263:K263))))</f>
        <v/>
      </c>
      <c r="G263" s="74" t="n"/>
      <c r="H263" s="49">
        <f>IF(M263="","",IFERROR(ROUND(AVERAGE(T263+M263*{7,8,9,10,11})/1.21,4),""))</f>
        <v/>
      </c>
      <c r="I263" s="76" t="n">
        <v>10</v>
      </c>
      <c r="J263" s="77" t="n">
        <v>9.868186458949292</v>
      </c>
      <c r="K263" s="74" t="n">
        <v>9.789499998092651</v>
      </c>
      <c r="L263" s="78" t="n">
        <v>8.001049981117248</v>
      </c>
      <c r="M263" s="77" t="n">
        <v>0.1700831145737472</v>
      </c>
      <c r="N263" s="53">
        <f>IF(M263="","",IFERROR(M263/I263,""))</f>
        <v/>
      </c>
      <c r="O263" s="50">
        <f>IF(A263="","",IFERROR((IF(G263="",I263,G263)-T263)/M263,""))</f>
        <v/>
      </c>
      <c r="P263" s="50">
        <f>IFERROR((I263/T263-1)/N263,"")</f>
        <v/>
      </c>
      <c r="Q263" s="46">
        <f>IF(OR(T263="",I263&lt;T263),"",IFERROR(R263/IF(G263="",I263,G263)-1,""))</f>
        <v/>
      </c>
      <c r="R263" s="48">
        <f>IF($M263="","",MAX(IF($G263="",$I263,$G263)*(1/1.1),IF($G263="",$I263,$G263)+(R$2*$M263)))</f>
        <v/>
      </c>
      <c r="S263" s="49">
        <f>IF($M263="","",MAX(IF($G263="",$I263,$G263)*(1/1.1),IF($G263="",$I263,$G263)+(S$2*$M263)))</f>
        <v/>
      </c>
      <c r="T263" s="82" t="n">
        <v>9.730999946594238</v>
      </c>
      <c r="U263" s="47">
        <f>IF(OR($M263="",$T263=""),"",$T263+(U$2*$M263))</f>
        <v/>
      </c>
      <c r="V263" s="48">
        <f>IF(OR($M263="",$T263=""),"",$T263+(V$2*$M263))</f>
        <v/>
      </c>
      <c r="W263" s="48">
        <f>IF(OR($M263="",$T263=""),"",$T263+(W$2*$M263))</f>
        <v/>
      </c>
      <c r="X263" s="49">
        <f>IF(OR($M263="",$T263=""),"",$T263+(X$2*$M263))</f>
        <v/>
      </c>
      <c r="Y263" s="47">
        <f>IF(OR($M263="",$T263=""),"",$T263+(Y$2*$M263))</f>
        <v/>
      </c>
      <c r="Z263" s="49">
        <f>IF(OR($M263="",$T263=""),"",$T263+(Z$2*$M263))</f>
        <v/>
      </c>
      <c r="AA263" s="51">
        <f>IF(OR($M263="",$T263=""),"",$T263+(AA$2*$M263))</f>
        <v/>
      </c>
      <c r="AB263" s="48">
        <f>IF(OR($M263="",$T263=""),"",$T263+(AB$2*$M263))</f>
        <v/>
      </c>
      <c r="AC263" s="48">
        <f>IF(OR($M263="",$T263=""),"",$T263+(AC$2*$M263))</f>
        <v/>
      </c>
      <c r="AD263" s="48">
        <f>IF(OR($M263="",$T263=""),"",$T263+(AD$2*$M263))</f>
        <v/>
      </c>
      <c r="AE263" s="49">
        <f>IF(OR($M263="",$T263=""),"",$T263+(AE$2*$M263))</f>
        <v/>
      </c>
      <c r="AF263" s="52">
        <f>IF(OR(T263="",I263&lt;T263),"",IFERROR(AVERAGE(T263+M263*{7,8,9,10,11})/IF(G263="",I263,G263)-1,""))</f>
        <v/>
      </c>
      <c r="AG263" s="55">
        <f>IF(OR(T263="",I263&lt;T263),"",IFERROR(AF263/-(R263/IF(G263="",I263,G263)-1),""))</f>
        <v/>
      </c>
      <c r="AH263" s="94" t="n">
        <v>1</v>
      </c>
      <c r="AI263" s="94" t="n">
        <v>48.08555816327198</v>
      </c>
      <c r="AJ263" s="94" t="n">
        <v>1</v>
      </c>
      <c r="AK263" s="94" t="inlineStr">
        <is>
          <t>OTT Up Trend</t>
        </is>
      </c>
      <c r="AL263" s="84" t="inlineStr">
        <is>
          <t>Kennedy-Wilson Holdings Inc.</t>
        </is>
      </c>
      <c r="AM263" t="inlineStr">
        <is>
          <t>Real Estate</t>
        </is>
      </c>
      <c r="AN263" t="inlineStr">
        <is>
          <t>Real Estate Services</t>
        </is>
      </c>
      <c r="AO263" t="n">
        <v>82</v>
      </c>
    </row>
    <row r="264">
      <c r="A264" s="64" t="inlineStr">
        <is>
          <t>NLY</t>
        </is>
      </c>
      <c r="B264" s="65" t="n"/>
      <c r="C264" s="66" t="n"/>
      <c r="D264" s="67" t="n"/>
      <c r="E264" s="68" t="n"/>
      <c r="F264" s="47">
        <f>IF(A264="","",IF(MIN(H264,MAX(J264:K264))=0,"",MIN(H264,MAX(J264:K264))))</f>
        <v/>
      </c>
      <c r="G264" s="74" t="n"/>
      <c r="H264" s="49">
        <f>IF(M264="","",IFERROR(ROUND(AVERAGE(T264+M264*{7,8,9,10,11})/1.21,4),""))</f>
        <v/>
      </c>
      <c r="I264" s="76" t="n">
        <v>24.39999961853027</v>
      </c>
      <c r="J264" s="77" t="n">
        <v>23.46451716242371</v>
      </c>
      <c r="K264" s="74" t="n">
        <v>23.1350001335144</v>
      </c>
      <c r="L264" s="78" t="n">
        <v>20.67914998054504</v>
      </c>
      <c r="M264" s="77" t="n">
        <v>0.4567906245115966</v>
      </c>
      <c r="N264" s="53">
        <f>IF(M264="","",IFERROR(M264/I264,""))</f>
        <v/>
      </c>
      <c r="O264" s="50">
        <f>IF(A264="","",IFERROR((IF(G264="",I264,G264)-T264)/M264,""))</f>
        <v/>
      </c>
      <c r="P264" s="50">
        <f>IFERROR((I264/T264-1)/N264,"")</f>
        <v/>
      </c>
      <c r="Q264" s="46">
        <f>IF(OR(T264="",I264&lt;T264),"",IFERROR(R264/IF(G264="",I264,G264)-1,""))</f>
        <v/>
      </c>
      <c r="R264" s="48">
        <f>IF($M264="","",MAX(IF($G264="",$I264,$G264)*(1/1.1),IF($G264="",$I264,$G264)+(R$2*$M264)))</f>
        <v/>
      </c>
      <c r="S264" s="49">
        <f>IF($M264="","",MAX(IF($G264="",$I264,$G264)*(1/1.1),IF($G264="",$I264,$G264)+(S$2*$M264)))</f>
        <v/>
      </c>
      <c r="T264" s="82" t="n">
        <v>22.55380012512207</v>
      </c>
      <c r="U264" s="47">
        <f>IF(OR($M264="",$T264=""),"",$T264+(U$2*$M264))</f>
        <v/>
      </c>
      <c r="V264" s="48">
        <f>IF(OR($M264="",$T264=""),"",$T264+(V$2*$M264))</f>
        <v/>
      </c>
      <c r="W264" s="48">
        <f>IF(OR($M264="",$T264=""),"",$T264+(W$2*$M264))</f>
        <v/>
      </c>
      <c r="X264" s="49">
        <f>IF(OR($M264="",$T264=""),"",$T264+(X$2*$M264))</f>
        <v/>
      </c>
      <c r="Y264" s="47">
        <f>IF(OR($M264="",$T264=""),"",$T264+(Y$2*$M264))</f>
        <v/>
      </c>
      <c r="Z264" s="49">
        <f>IF(OR($M264="",$T264=""),"",$T264+(Z$2*$M264))</f>
        <v/>
      </c>
      <c r="AA264" s="51">
        <f>IF(OR($M264="",$T264=""),"",$T264+(AA$2*$M264))</f>
        <v/>
      </c>
      <c r="AB264" s="48">
        <f>IF(OR($M264="",$T264=""),"",$T264+(AB$2*$M264))</f>
        <v/>
      </c>
      <c r="AC264" s="48">
        <f>IF(OR($M264="",$T264=""),"",$T264+(AC$2*$M264))</f>
        <v/>
      </c>
      <c r="AD264" s="48">
        <f>IF(OR($M264="",$T264=""),"",$T264+(AD$2*$M264))</f>
        <v/>
      </c>
      <c r="AE264" s="49">
        <f>IF(OR($M264="",$T264=""),"",$T264+(AE$2*$M264))</f>
        <v/>
      </c>
      <c r="AF264" s="52">
        <f>IF(OR(T264="",I264&lt;T264),"",IFERROR(AVERAGE(T264+M264*{7,8,9,10,11})/IF(G264="",I264,G264)-1,""))</f>
        <v/>
      </c>
      <c r="AG264" s="55">
        <f>IF(OR(T264="",I264&lt;T264),"",IFERROR(AF264/-(R264/IF(G264="",I264,G264)-1),""))</f>
        <v/>
      </c>
      <c r="AH264" s="94" t="n">
        <v>1</v>
      </c>
      <c r="AI264" s="94" t="n">
        <v>85.30304340464137</v>
      </c>
      <c r="AJ264" s="94" t="n">
        <v>1</v>
      </c>
      <c r="AK264" s="94" t="inlineStr">
        <is>
          <t>OTT Up Trend</t>
        </is>
      </c>
      <c r="AL264" s="84" t="inlineStr">
        <is>
          <t>Annaly Capital Management Inc.</t>
        </is>
      </c>
      <c r="AM264" t="inlineStr">
        <is>
          <t>Real Estate</t>
        </is>
      </c>
      <c r="AN264" t="inlineStr">
        <is>
          <t>REIT - Mortgage</t>
        </is>
      </c>
      <c r="AO264" t="n">
        <v>82</v>
      </c>
    </row>
    <row r="265">
      <c r="A265" s="64" t="inlineStr">
        <is>
          <t>HAS</t>
        </is>
      </c>
      <c r="B265" s="65" t="n"/>
      <c r="C265" s="66" t="n"/>
      <c r="D265" s="67" t="n"/>
      <c r="E265" s="68" t="n"/>
      <c r="F265" s="47">
        <f>IF(A265="","",IF(MIN(H265,MAX(J265:K265))=0,"",MIN(H265,MAX(J265:K265))))</f>
        <v/>
      </c>
      <c r="G265" s="74" t="n"/>
      <c r="H265" s="49">
        <f>IF(M265="","",IFERROR(ROUND(AVERAGE(T265+M265*{7,8,9,10,11})/1.21,4),""))</f>
        <v/>
      </c>
      <c r="I265" s="76" t="n">
        <v>86.19999694824219</v>
      </c>
      <c r="J265" s="77" t="n">
        <v>86.02622591442484</v>
      </c>
      <c r="K265" s="74" t="n">
        <v>84.46799964904785</v>
      </c>
      <c r="L265" s="78" t="n">
        <v>73.90284992218018</v>
      </c>
      <c r="M265" s="77" t="n">
        <v>1.905117515466164</v>
      </c>
      <c r="N265" s="53">
        <f>IF(M265="","",IFERROR(M265/I265,""))</f>
        <v/>
      </c>
      <c r="O265" s="50">
        <f>IF(A265="","",IFERROR((IF(G265="",I265,G265)-T265)/M265,""))</f>
        <v/>
      </c>
      <c r="P265" s="50">
        <f>IFERROR((I265/T265-1)/N265,"")</f>
        <v/>
      </c>
      <c r="Q265" s="46">
        <f>IF(OR(T265="",I265&lt;T265),"",IFERROR(R265/IF(G265="",I265,G265)-1,""))</f>
        <v/>
      </c>
      <c r="R265" s="48">
        <f>IF($M265="","",MAX(IF($G265="",$I265,$G265)*(1/1.1),IF($G265="",$I265,$G265)+(R$2*$M265)))</f>
        <v/>
      </c>
      <c r="S265" s="49">
        <f>IF($M265="","",MAX(IF($G265="",$I265,$G265)*(1/1.1),IF($G265="",$I265,$G265)+(S$2*$M265)))</f>
        <v/>
      </c>
      <c r="T265" s="82" t="n">
        <v>81.69419998168945</v>
      </c>
      <c r="U265" s="47">
        <f>IF(OR($M265="",$T265=""),"",$T265+(U$2*$M265))</f>
        <v/>
      </c>
      <c r="V265" s="48">
        <f>IF(OR($M265="",$T265=""),"",$T265+(V$2*$M265))</f>
        <v/>
      </c>
      <c r="W265" s="48">
        <f>IF(OR($M265="",$T265=""),"",$T265+(W$2*$M265))</f>
        <v/>
      </c>
      <c r="X265" s="49">
        <f>IF(OR($M265="",$T265=""),"",$T265+(X$2*$M265))</f>
        <v/>
      </c>
      <c r="Y265" s="47">
        <f>IF(OR($M265="",$T265=""),"",$T265+(Y$2*$M265))</f>
        <v/>
      </c>
      <c r="Z265" s="49">
        <f>IF(OR($M265="",$T265=""),"",$T265+(Z$2*$M265))</f>
        <v/>
      </c>
      <c r="AA265" s="51">
        <f>IF(OR($M265="",$T265=""),"",$T265+(AA$2*$M265))</f>
        <v/>
      </c>
      <c r="AB265" s="48">
        <f>IF(OR($M265="",$T265=""),"",$T265+(AB$2*$M265))</f>
        <v/>
      </c>
      <c r="AC265" s="48">
        <f>IF(OR($M265="",$T265=""),"",$T265+(AC$2*$M265))</f>
        <v/>
      </c>
      <c r="AD265" s="48">
        <f>IF(OR($M265="",$T265=""),"",$T265+(AD$2*$M265))</f>
        <v/>
      </c>
      <c r="AE265" s="49">
        <f>IF(OR($M265="",$T265=""),"",$T265+(AE$2*$M265))</f>
        <v/>
      </c>
      <c r="AF265" s="52">
        <f>IF(OR(T265="",I265&lt;T265),"",IFERROR(AVERAGE(T265+M265*{7,8,9,10,11})/IF(G265="",I265,G265)-1,""))</f>
        <v/>
      </c>
      <c r="AG265" s="55">
        <f>IF(OR(T265="",I265&lt;T265),"",IFERROR(AF265/-(R265/IF(G265="",I265,G265)-1),""))</f>
        <v/>
      </c>
      <c r="AH265" s="94" t="n">
        <v>1</v>
      </c>
      <c r="AI265" s="94" t="n">
        <v>83.471239896155</v>
      </c>
      <c r="AJ265" s="94" t="n">
        <v>0</v>
      </c>
      <c r="AK265" s="94" t="inlineStr">
        <is>
          <t>OTT Up Trend</t>
        </is>
      </c>
      <c r="AL265" s="84" t="inlineStr">
        <is>
          <t>Hasbro, Inc.</t>
        </is>
      </c>
      <c r="AM265" t="inlineStr">
        <is>
          <t>Consumer Cyclical</t>
        </is>
      </c>
      <c r="AN265" t="inlineStr">
        <is>
          <t>Leisure</t>
        </is>
      </c>
      <c r="AO265" t="n">
        <v>82</v>
      </c>
    </row>
    <row r="266">
      <c r="A266" s="64" t="inlineStr">
        <is>
          <t>SGI</t>
        </is>
      </c>
      <c r="B266" s="65" t="n"/>
      <c r="C266" s="66" t="n"/>
      <c r="D266" s="67" t="n"/>
      <c r="E266" s="68" t="n"/>
      <c r="F266" s="47">
        <f>IF(A266="","",IF(MIN(H266,MAX(J266:K266))=0,"",MIN(H266,MAX(J266:K266))))</f>
        <v/>
      </c>
      <c r="G266" s="74" t="n"/>
      <c r="H266" s="49">
        <f>IF(M266="","",IFERROR(ROUND(AVERAGE(T266+M266*{7,8,9,10,11})/1.21,4),""))</f>
        <v/>
      </c>
      <c r="I266" s="76" t="n">
        <v>94</v>
      </c>
      <c r="J266" s="77" t="n">
        <v>92.29567506005111</v>
      </c>
      <c r="K266" s="74" t="n">
        <v>91.03849983215332</v>
      </c>
      <c r="L266" s="78" t="n">
        <v>77.40940002441407</v>
      </c>
      <c r="M266" s="77" t="n">
        <v>2.179990473323422</v>
      </c>
      <c r="N266" s="53">
        <f>IF(M266="","",IFERROR(M266/I266,""))</f>
        <v/>
      </c>
      <c r="O266" s="50">
        <f>IF(A266="","",IFERROR((IF(G266="",I266,G266)-T266)/M266,""))</f>
        <v/>
      </c>
      <c r="P266" s="50">
        <f>IFERROR((I266/T266-1)/N266,"")</f>
        <v/>
      </c>
      <c r="Q266" s="46">
        <f>IF(OR(T266="",I266&lt;T266),"",IFERROR(R266/IF(G266="",I266,G266)-1,""))</f>
        <v/>
      </c>
      <c r="R266" s="48">
        <f>IF($M266="","",MAX(IF($G266="",$I266,$G266)*(1/1.1),IF($G266="",$I266,$G266)+(R$2*$M266)))</f>
        <v/>
      </c>
      <c r="S266" s="49">
        <f>IF($M266="","",MAX(IF($G266="",$I266,$G266)*(1/1.1),IF($G266="",$I266,$G266)+(S$2*$M266)))</f>
        <v/>
      </c>
      <c r="T266" s="82" t="n">
        <v>90.28739974975586</v>
      </c>
      <c r="U266" s="47">
        <f>IF(OR($M266="",$T266=""),"",$T266+(U$2*$M266))</f>
        <v/>
      </c>
      <c r="V266" s="48">
        <f>IF(OR($M266="",$T266=""),"",$T266+(V$2*$M266))</f>
        <v/>
      </c>
      <c r="W266" s="48">
        <f>IF(OR($M266="",$T266=""),"",$T266+(W$2*$M266))</f>
        <v/>
      </c>
      <c r="X266" s="49">
        <f>IF(OR($M266="",$T266=""),"",$T266+(X$2*$M266))</f>
        <v/>
      </c>
      <c r="Y266" s="47">
        <f>IF(OR($M266="",$T266=""),"",$T266+(Y$2*$M266))</f>
        <v/>
      </c>
      <c r="Z266" s="49">
        <f>IF(OR($M266="",$T266=""),"",$T266+(Z$2*$M266))</f>
        <v/>
      </c>
      <c r="AA266" s="51">
        <f>IF(OR($M266="",$T266=""),"",$T266+(AA$2*$M266))</f>
        <v/>
      </c>
      <c r="AB266" s="48">
        <f>IF(OR($M266="",$T266=""),"",$T266+(AB$2*$M266))</f>
        <v/>
      </c>
      <c r="AC266" s="48">
        <f>IF(OR($M266="",$T266=""),"",$T266+(AC$2*$M266))</f>
        <v/>
      </c>
      <c r="AD266" s="48">
        <f>IF(OR($M266="",$T266=""),"",$T266+(AD$2*$M266))</f>
        <v/>
      </c>
      <c r="AE266" s="49">
        <f>IF(OR($M266="",$T266=""),"",$T266+(AE$2*$M266))</f>
        <v/>
      </c>
      <c r="AF266" s="52">
        <f>IF(OR(T266="",I266&lt;T266),"",IFERROR(AVERAGE(T266+M266*{7,8,9,10,11})/IF(G266="",I266,G266)-1,""))</f>
        <v/>
      </c>
      <c r="AG266" s="55">
        <f>IF(OR(T266="",I266&lt;T266),"",IFERROR(AF266/-(R266/IF(G266="",I266,G266)-1),""))</f>
        <v/>
      </c>
      <c r="AH266" s="94" t="n">
        <v>1</v>
      </c>
      <c r="AI266" s="94" t="n">
        <v>40.62891359314887</v>
      </c>
      <c r="AJ266" s="94" t="n">
        <v>1</v>
      </c>
      <c r="AK266" s="94" t="inlineStr">
        <is>
          <t>OTT Up Trend</t>
        </is>
      </c>
      <c r="AL266" s="84" t="inlineStr">
        <is>
          <t>Somnigroup International Inc.</t>
        </is>
      </c>
      <c r="AM266" t="inlineStr">
        <is>
          <t>Consumer Cyclical</t>
        </is>
      </c>
      <c r="AN266" t="inlineStr">
        <is>
          <t>Furnishings, Fixtures &amp; Appliances</t>
        </is>
      </c>
      <c r="AO266" t="n">
        <v>82</v>
      </c>
    </row>
    <row r="267">
      <c r="A267" s="64" t="inlineStr">
        <is>
          <t>STEP</t>
        </is>
      </c>
      <c r="B267" s="65" t="n"/>
      <c r="C267" s="66" t="n"/>
      <c r="D267" s="67" t="n"/>
      <c r="E267" s="68" t="n"/>
      <c r="F267" s="47">
        <f>IF(A267="","",IF(MIN(H267,MAX(J267:K267))=0,"",MIN(H267,MAX(J267:K267))))</f>
        <v/>
      </c>
      <c r="G267" s="74" t="n"/>
      <c r="H267" s="49">
        <f>IF(M267="","",IFERROR(ROUND(AVERAGE(T267+M267*{7,8,9,10,11})/1.21,4),""))</f>
        <v/>
      </c>
      <c r="I267" s="76" t="n">
        <v>76.26999664306641</v>
      </c>
      <c r="J267" s="77" t="n">
        <v>72.42997355234385</v>
      </c>
      <c r="K267" s="74" t="n">
        <v>68.75199928283692</v>
      </c>
      <c r="L267" s="78" t="n">
        <v>60.0361499786377</v>
      </c>
      <c r="M267" s="77" t="n">
        <v>2.343712082436785</v>
      </c>
      <c r="N267" s="53">
        <f>IF(M267="","",IFERROR(M267/I267,""))</f>
        <v/>
      </c>
      <c r="O267" s="50">
        <f>IF(A267="","",IFERROR((IF(G267="",I267,G267)-T267)/M267,""))</f>
        <v/>
      </c>
      <c r="P267" s="50">
        <f>IFERROR((I267/T267-1)/N267,"")</f>
        <v/>
      </c>
      <c r="Q267" s="46">
        <f>IF(OR(T267="",I267&lt;T267),"",IFERROR(R267/IF(G267="",I267,G267)-1,""))</f>
        <v/>
      </c>
      <c r="R267" s="48">
        <f>IF($M267="","",MAX(IF($G267="",$I267,$G267)*(1/1.1),IF($G267="",$I267,$G267)+(R$2*$M267)))</f>
        <v/>
      </c>
      <c r="S267" s="49">
        <f>IF($M267="","",MAX(IF($G267="",$I267,$G267)*(1/1.1),IF($G267="",$I267,$G267)+(S$2*$M267)))</f>
        <v/>
      </c>
      <c r="T267" s="82" t="n">
        <v>64.94729965209962</v>
      </c>
      <c r="U267" s="47">
        <f>IF(OR($M267="",$T267=""),"",$T267+(U$2*$M267))</f>
        <v/>
      </c>
      <c r="V267" s="48">
        <f>IF(OR($M267="",$T267=""),"",$T267+(V$2*$M267))</f>
        <v/>
      </c>
      <c r="W267" s="48">
        <f>IF(OR($M267="",$T267=""),"",$T267+(W$2*$M267))</f>
        <v/>
      </c>
      <c r="X267" s="49">
        <f>IF(OR($M267="",$T267=""),"",$T267+(X$2*$M267))</f>
        <v/>
      </c>
      <c r="Y267" s="47">
        <f>IF(OR($M267="",$T267=""),"",$T267+(Y$2*$M267))</f>
        <v/>
      </c>
      <c r="Z267" s="49">
        <f>IF(OR($M267="",$T267=""),"",$T267+(Z$2*$M267))</f>
        <v/>
      </c>
      <c r="AA267" s="51">
        <f>IF(OR($M267="",$T267=""),"",$T267+(AA$2*$M267))</f>
        <v/>
      </c>
      <c r="AB267" s="48">
        <f>IF(OR($M267="",$T267=""),"",$T267+(AB$2*$M267))</f>
        <v/>
      </c>
      <c r="AC267" s="48">
        <f>IF(OR($M267="",$T267=""),"",$T267+(AC$2*$M267))</f>
        <v/>
      </c>
      <c r="AD267" s="48">
        <f>IF(OR($M267="",$T267=""),"",$T267+(AD$2*$M267))</f>
        <v/>
      </c>
      <c r="AE267" s="49">
        <f>IF(OR($M267="",$T267=""),"",$T267+(AE$2*$M267))</f>
        <v/>
      </c>
      <c r="AF267" s="52">
        <f>IF(OR(T267="",I267&lt;T267),"",IFERROR(AVERAGE(T267+M267*{7,8,9,10,11})/IF(G267="",I267,G267)-1,""))</f>
        <v/>
      </c>
      <c r="AG267" s="55">
        <f>IF(OR(T267="",I267&lt;T267),"",IFERROR(AF267/-(R267/IF(G267="",I267,G267)-1),""))</f>
        <v/>
      </c>
      <c r="AH267" s="94" t="n">
        <v>1</v>
      </c>
      <c r="AI267" s="94" t="n">
        <v>130.0461703910297</v>
      </c>
      <c r="AJ267" s="94" t="n">
        <v>1</v>
      </c>
      <c r="AK267" s="94" t="inlineStr">
        <is>
          <t>OTT Up Trend</t>
        </is>
      </c>
      <c r="AL267" s="84" t="inlineStr">
        <is>
          <t>StepStone Group Inc.</t>
        </is>
      </c>
      <c r="AM267" t="inlineStr">
        <is>
          <t>Financial Services</t>
        </is>
      </c>
      <c r="AN267" t="inlineStr">
        <is>
          <t>Asset Management</t>
        </is>
      </c>
      <c r="AO267" t="n">
        <v>82</v>
      </c>
    </row>
    <row r="268">
      <c r="A268" s="64" t="inlineStr">
        <is>
          <t>ICHR</t>
        </is>
      </c>
      <c r="B268" s="65" t="n"/>
      <c r="C268" s="66" t="n"/>
      <c r="D268" s="67" t="n"/>
      <c r="E268" s="68" t="n"/>
      <c r="F268" s="47">
        <f>IF(A268="","",IF(MIN(H268,MAX(J268:K268))=0,"",MIN(H268,MAX(J268:K268))))</f>
        <v/>
      </c>
      <c r="G268" s="74" t="n"/>
      <c r="H268" s="49">
        <f>IF(M268="","",IFERROR(ROUND(AVERAGE(T268+M268*{7,8,9,10,11})/1.21,4),""))</f>
        <v/>
      </c>
      <c r="I268" s="76" t="n">
        <v>29.78000068664551</v>
      </c>
      <c r="J268" s="77" t="n">
        <v>25.56268118694384</v>
      </c>
      <c r="K268" s="74" t="n">
        <v>21.86700010299683</v>
      </c>
      <c r="L268" s="78" t="n">
        <v>18.93372496128082</v>
      </c>
      <c r="M268" s="77" t="n">
        <v>1.694243954561152</v>
      </c>
      <c r="N268" s="53">
        <f>IF(M268="","",IFERROR(M268/I268,""))</f>
        <v/>
      </c>
      <c r="O268" s="50">
        <f>IF(A268="","",IFERROR((IF(G268="",I268,G268)-T268)/M268,""))</f>
        <v/>
      </c>
      <c r="P268" s="50">
        <f>IFERROR((I268/T268-1)/N268,"")</f>
        <v/>
      </c>
      <c r="Q268" s="46">
        <f>IF(OR(T268="",I268&lt;T268),"",IFERROR(R268/IF(G268="",I268,G268)-1,""))</f>
        <v/>
      </c>
      <c r="R268" s="48">
        <f>IF($M268="","",MAX(IF($G268="",$I268,$G268)*(1/1.1),IF($G268="",$I268,$G268)+(R$2*$M268)))</f>
        <v/>
      </c>
      <c r="S268" s="49">
        <f>IF($M268="","",MAX(IF($G268="",$I268,$G268)*(1/1.1),IF($G268="",$I268,$G268)+(S$2*$M268)))</f>
        <v/>
      </c>
      <c r="T268" s="82" t="n">
        <v>18.53260005950928</v>
      </c>
      <c r="U268" s="47">
        <f>IF(OR($M268="",$T268=""),"",$T268+(U$2*$M268))</f>
        <v/>
      </c>
      <c r="V268" s="48">
        <f>IF(OR($M268="",$T268=""),"",$T268+(V$2*$M268))</f>
        <v/>
      </c>
      <c r="W268" s="48">
        <f>IF(OR($M268="",$T268=""),"",$T268+(W$2*$M268))</f>
        <v/>
      </c>
      <c r="X268" s="49">
        <f>IF(OR($M268="",$T268=""),"",$T268+(X$2*$M268))</f>
        <v/>
      </c>
      <c r="Y268" s="47">
        <f>IF(OR($M268="",$T268=""),"",$T268+(Y$2*$M268))</f>
        <v/>
      </c>
      <c r="Z268" s="49">
        <f>IF(OR($M268="",$T268=""),"",$T268+(Z$2*$M268))</f>
        <v/>
      </c>
      <c r="AA268" s="51">
        <f>IF(OR($M268="",$T268=""),"",$T268+(AA$2*$M268))</f>
        <v/>
      </c>
      <c r="AB268" s="48">
        <f>IF(OR($M268="",$T268=""),"",$T268+(AB$2*$M268))</f>
        <v/>
      </c>
      <c r="AC268" s="48">
        <f>IF(OR($M268="",$T268=""),"",$T268+(AC$2*$M268))</f>
        <v/>
      </c>
      <c r="AD268" s="48">
        <f>IF(OR($M268="",$T268=""),"",$T268+(AD$2*$M268))</f>
        <v/>
      </c>
      <c r="AE268" s="49">
        <f>IF(OR($M268="",$T268=""),"",$T268+(AE$2*$M268))</f>
        <v/>
      </c>
      <c r="AF268" s="52">
        <f>IF(OR(T268="",I268&lt;T268),"",IFERROR(AVERAGE(T268+M268*{7,8,9,10,11})/IF(G268="",I268,G268)-1,""))</f>
        <v/>
      </c>
      <c r="AG268" s="55">
        <f>IF(OR(T268="",I268&lt;T268),"",IFERROR(AF268/-(R268/IF(G268="",I268,G268)-1),""))</f>
        <v/>
      </c>
      <c r="AH268" s="94" t="n">
        <v>1</v>
      </c>
      <c r="AI268" s="94" t="n">
        <v>187.1280230907142</v>
      </c>
      <c r="AJ268" s="94" t="n">
        <v>1</v>
      </c>
      <c r="AK268" s="94" t="inlineStr">
        <is>
          <t>OTT Up Trend</t>
        </is>
      </c>
      <c r="AL268" s="84" t="inlineStr">
        <is>
          <t>Ichor Holdings</t>
        </is>
      </c>
      <c r="AM268" t="inlineStr">
        <is>
          <t>Technology</t>
        </is>
      </c>
      <c r="AN268" t="inlineStr">
        <is>
          <t>Semiconductor Equipment &amp; Materials</t>
        </is>
      </c>
      <c r="AO268" t="n">
        <v>82</v>
      </c>
    </row>
    <row r="269">
      <c r="A269" s="64" t="inlineStr">
        <is>
          <t>CLF</t>
        </is>
      </c>
      <c r="B269" s="65" t="n"/>
      <c r="C269" s="66" t="n"/>
      <c r="D269" s="67" t="n"/>
      <c r="E269" s="68" t="n"/>
      <c r="F269" s="47">
        <f>IF(A269="","",IF(MIN(H269,MAX(J269:K269))=0,"",MIN(H269,MAX(J269:K269))))</f>
        <v/>
      </c>
      <c r="G269" s="74" t="n"/>
      <c r="H269" s="49">
        <f>IF(M269="","",IFERROR(ROUND(AVERAGE(T269+M269*{7,8,9,10,11})/1.21,4),""))</f>
        <v/>
      </c>
      <c r="I269" s="76" t="n">
        <v>14</v>
      </c>
      <c r="J269" s="77" t="n">
        <v>13.49384692708998</v>
      </c>
      <c r="K269" s="74" t="n">
        <v>13.36149997711182</v>
      </c>
      <c r="L269" s="78" t="n">
        <v>10.39750000953674</v>
      </c>
      <c r="M269" s="77" t="n">
        <v>0.6140763423296032</v>
      </c>
      <c r="N269" s="53">
        <f>IF(M269="","",IFERROR(M269/I269,""))</f>
        <v/>
      </c>
      <c r="O269" s="50">
        <f>IF(A269="","",IFERROR((IF(G269="",I269,G269)-T269)/M269,""))</f>
        <v/>
      </c>
      <c r="P269" s="50">
        <f>IFERROR((I269/T269-1)/N269,"")</f>
        <v/>
      </c>
      <c r="Q269" s="46">
        <f>IF(OR(T269="",I269&lt;T269),"",IFERROR(R269/IF(G269="",I269,G269)-1,""))</f>
        <v/>
      </c>
      <c r="R269" s="48">
        <f>IF($M269="","",MAX(IF($G269="",$I269,$G269)*(1/1.1),IF($G269="",$I269,$G269)+(R$2*$M269)))</f>
        <v/>
      </c>
      <c r="S269" s="49">
        <f>IF($M269="","",MAX(IF($G269="",$I269,$G269)*(1/1.1),IF($G269="",$I269,$G269)+(S$2*$M269)))</f>
        <v/>
      </c>
      <c r="T269" s="82" t="n">
        <v>12.4523999786377</v>
      </c>
      <c r="U269" s="47">
        <f>IF(OR($M269="",$T269=""),"",$T269+(U$2*$M269))</f>
        <v/>
      </c>
      <c r="V269" s="48">
        <f>IF(OR($M269="",$T269=""),"",$T269+(V$2*$M269))</f>
        <v/>
      </c>
      <c r="W269" s="48">
        <f>IF(OR($M269="",$T269=""),"",$T269+(W$2*$M269))</f>
        <v/>
      </c>
      <c r="X269" s="49">
        <f>IF(OR($M269="",$T269=""),"",$T269+(X$2*$M269))</f>
        <v/>
      </c>
      <c r="Y269" s="47">
        <f>IF(OR($M269="",$T269=""),"",$T269+(Y$2*$M269))</f>
        <v/>
      </c>
      <c r="Z269" s="49">
        <f>IF(OR($M269="",$T269=""),"",$T269+(Z$2*$M269))</f>
        <v/>
      </c>
      <c r="AA269" s="51">
        <f>IF(OR($M269="",$T269=""),"",$T269+(AA$2*$M269))</f>
        <v/>
      </c>
      <c r="AB269" s="48">
        <f>IF(OR($M269="",$T269=""),"",$T269+(AB$2*$M269))</f>
        <v/>
      </c>
      <c r="AC269" s="48">
        <f>IF(OR($M269="",$T269=""),"",$T269+(AC$2*$M269))</f>
        <v/>
      </c>
      <c r="AD269" s="48">
        <f>IF(OR($M269="",$T269=""),"",$T269+(AD$2*$M269))</f>
        <v/>
      </c>
      <c r="AE269" s="49">
        <f>IF(OR($M269="",$T269=""),"",$T269+(AE$2*$M269))</f>
        <v/>
      </c>
      <c r="AF269" s="52">
        <f>IF(OR(T269="",I269&lt;T269),"",IFERROR(AVERAGE(T269+M269*{7,8,9,10,11})/IF(G269="",I269,G269)-1,""))</f>
        <v/>
      </c>
      <c r="AG269" s="55">
        <f>IF(OR(T269="",I269&lt;T269),"",IFERROR(AF269/-(R269/IF(G269="",I269,G269)-1),""))</f>
        <v/>
      </c>
      <c r="AH269" s="94" t="n">
        <v>1</v>
      </c>
      <c r="AI269" s="94" t="n">
        <v>41.69900480292006</v>
      </c>
      <c r="AJ269" s="94" t="n">
        <v>1</v>
      </c>
      <c r="AK269" s="94" t="inlineStr">
        <is>
          <t>None</t>
        </is>
      </c>
      <c r="AL269" s="84" t="inlineStr">
        <is>
          <t>Cleveland-Cliffs Inc.</t>
        </is>
      </c>
      <c r="AM269" t="inlineStr">
        <is>
          <t>Basic Materials</t>
        </is>
      </c>
      <c r="AN269" t="inlineStr">
        <is>
          <t>Steel</t>
        </is>
      </c>
      <c r="AO269" t="n">
        <v>82</v>
      </c>
    </row>
    <row r="270">
      <c r="A270" s="64" t="inlineStr">
        <is>
          <t>VLO</t>
        </is>
      </c>
      <c r="B270" s="65" t="n"/>
      <c r="C270" s="66" t="n"/>
      <c r="D270" s="67" t="n"/>
      <c r="E270" s="68" t="n"/>
      <c r="F270" s="47">
        <f>IF(A270="","",IF(MIN(H270,MAX(J270:K270))=0,"",MIN(H270,MAX(J270:K270))))</f>
        <v/>
      </c>
      <c r="G270" s="74" t="n"/>
      <c r="H270" s="49">
        <f>IF(M270="","",IFERROR(ROUND(AVERAGE(T270+M270*{7,8,9,10,11})/1.21,4),""))</f>
        <v/>
      </c>
      <c r="I270" s="76" t="n">
        <v>183.4600067138672</v>
      </c>
      <c r="J270" s="77" t="n">
        <v>181.3251614951195</v>
      </c>
      <c r="K270" s="74" t="n">
        <v>173.7640014648437</v>
      </c>
      <c r="L270" s="78" t="n">
        <v>149.9016499710083</v>
      </c>
      <c r="M270" s="77" t="n">
        <v>5.986797248451815</v>
      </c>
      <c r="N270" s="53">
        <f>IF(M270="","",IFERROR(M270/I270,""))</f>
        <v/>
      </c>
      <c r="O270" s="50">
        <f>IF(A270="","",IFERROR((IF(G270="",I270,G270)-T270)/M270,""))</f>
        <v/>
      </c>
      <c r="P270" s="50">
        <f>IFERROR((I270/T270-1)/N270,"")</f>
        <v/>
      </c>
      <c r="Q270" s="46">
        <f>IF(OR(T270="",I270&lt;T270),"",IFERROR(R270/IF(G270="",I270,G270)-1,""))</f>
        <v/>
      </c>
      <c r="R270" s="48">
        <f>IF($M270="","",MAX(IF($G270="",$I270,$G270)*(1/1.1),IF($G270="",$I270,$G270)+(R$2*$M270)))</f>
        <v/>
      </c>
      <c r="S270" s="49">
        <f>IF($M270="","",MAX(IF($G270="",$I270,$G270)*(1/1.1),IF($G270="",$I270,$G270)+(S$2*$M270)))</f>
        <v/>
      </c>
      <c r="T270" s="82" t="n">
        <v>174.4845999145508</v>
      </c>
      <c r="U270" s="47">
        <f>IF(OR($M270="",$T270=""),"",$T270+(U$2*$M270))</f>
        <v/>
      </c>
      <c r="V270" s="48">
        <f>IF(OR($M270="",$T270=""),"",$T270+(V$2*$M270))</f>
        <v/>
      </c>
      <c r="W270" s="48">
        <f>IF(OR($M270="",$T270=""),"",$T270+(W$2*$M270))</f>
        <v/>
      </c>
      <c r="X270" s="49">
        <f>IF(OR($M270="",$T270=""),"",$T270+(X$2*$M270))</f>
        <v/>
      </c>
      <c r="Y270" s="47">
        <f>IF(OR($M270="",$T270=""),"",$T270+(Y$2*$M270))</f>
        <v/>
      </c>
      <c r="Z270" s="49">
        <f>IF(OR($M270="",$T270=""),"",$T270+(Z$2*$M270))</f>
        <v/>
      </c>
      <c r="AA270" s="51">
        <f>IF(OR($M270="",$T270=""),"",$T270+(AA$2*$M270))</f>
        <v/>
      </c>
      <c r="AB270" s="48">
        <f>IF(OR($M270="",$T270=""),"",$T270+(AB$2*$M270))</f>
        <v/>
      </c>
      <c r="AC270" s="48">
        <f>IF(OR($M270="",$T270=""),"",$T270+(AC$2*$M270))</f>
        <v/>
      </c>
      <c r="AD270" s="48">
        <f>IF(OR($M270="",$T270=""),"",$T270+(AD$2*$M270))</f>
        <v/>
      </c>
      <c r="AE270" s="49">
        <f>IF(OR($M270="",$T270=""),"",$T270+(AE$2*$M270))</f>
        <v/>
      </c>
      <c r="AF270" s="52">
        <f>IF(OR(T270="",I270&lt;T270),"",IFERROR(AVERAGE(T270+M270*{7,8,9,10,11})/IF(G270="",I270,G270)-1,""))</f>
        <v/>
      </c>
      <c r="AG270" s="55">
        <f>IF(OR(T270="",I270&lt;T270),"",IFERROR(AF270/-(R270/IF(G270="",I270,G270)-1),""))</f>
        <v/>
      </c>
      <c r="AH270" s="94" t="n">
        <v>1</v>
      </c>
      <c r="AI270" s="94" t="n">
        <v>70.8596177097904</v>
      </c>
      <c r="AJ270" s="94" t="n">
        <v>1</v>
      </c>
      <c r="AK270" s="94" t="inlineStr">
        <is>
          <t>OTT Up Trend</t>
        </is>
      </c>
      <c r="AL270" s="84" t="inlineStr">
        <is>
          <t>Valero Energy Corporation</t>
        </is>
      </c>
      <c r="AM270" t="inlineStr">
        <is>
          <t>Energy</t>
        </is>
      </c>
      <c r="AN270" t="inlineStr">
        <is>
          <t>Oil &amp; Gas Refining &amp; Marketing</t>
        </is>
      </c>
      <c r="AO270" t="n">
        <v>82</v>
      </c>
    </row>
    <row r="271">
      <c r="A271" s="64" t="inlineStr">
        <is>
          <t>IQV</t>
        </is>
      </c>
      <c r="B271" s="65" t="n"/>
      <c r="C271" s="66" t="n"/>
      <c r="D271" s="67" t="n"/>
      <c r="E271" s="68" t="n"/>
      <c r="F271" s="47">
        <f>IF(A271="","",IF(MIN(H271,MAX(J271:K271))=0,"",MIN(H271,MAX(J271:K271))))</f>
        <v/>
      </c>
      <c r="G271" s="74" t="n"/>
      <c r="H271" s="49">
        <f>IF(M271="","",IFERROR(ROUND(AVERAGE(T271+M271*{7,8,9,10,11})/1.21,4),""))</f>
        <v/>
      </c>
      <c r="I271" s="76" t="n">
        <v>237.6799926757812</v>
      </c>
      <c r="J271" s="77" t="n">
        <v>238.5779557956047</v>
      </c>
      <c r="K271" s="74" t="n">
        <v>232.95</v>
      </c>
      <c r="L271" s="78" t="n">
        <v>186.7916499328613</v>
      </c>
      <c r="M271" s="77" t="n">
        <v>4.948618218986629</v>
      </c>
      <c r="N271" s="53">
        <f>IF(M271="","",IFERROR(M271/I271,""))</f>
        <v/>
      </c>
      <c r="O271" s="50">
        <f>IF(A271="","",IFERROR((IF(G271="",I271,G271)-T271)/M271,""))</f>
        <v/>
      </c>
      <c r="P271" s="50">
        <f>IFERROR((I271/T271-1)/N271,"")</f>
        <v/>
      </c>
      <c r="Q271" s="46">
        <f>IF(OR(T271="",I271&lt;T271),"",IFERROR(R271/IF(G271="",I271,G271)-1,""))</f>
        <v/>
      </c>
      <c r="R271" s="48">
        <f>IF($M271="","",MAX(IF($G271="",$I271,$G271)*(1/1.1),IF($G271="",$I271,$G271)+(R$2*$M271)))</f>
        <v/>
      </c>
      <c r="S271" s="49">
        <f>IF($M271="","",MAX(IF($G271="",$I271,$G271)*(1/1.1),IF($G271="",$I271,$G271)+(S$2*$M271)))</f>
        <v/>
      </c>
      <c r="T271" s="82" t="n">
        <v>226.2699996948242</v>
      </c>
      <c r="U271" s="47">
        <f>IF(OR($M271="",$T271=""),"",$T271+(U$2*$M271))</f>
        <v/>
      </c>
      <c r="V271" s="48">
        <f>IF(OR($M271="",$T271=""),"",$T271+(V$2*$M271))</f>
        <v/>
      </c>
      <c r="W271" s="48">
        <f>IF(OR($M271="",$T271=""),"",$T271+(W$2*$M271))</f>
        <v/>
      </c>
      <c r="X271" s="49">
        <f>IF(OR($M271="",$T271=""),"",$T271+(X$2*$M271))</f>
        <v/>
      </c>
      <c r="Y271" s="47">
        <f>IF(OR($M271="",$T271=""),"",$T271+(Y$2*$M271))</f>
        <v/>
      </c>
      <c r="Z271" s="49">
        <f>IF(OR($M271="",$T271=""),"",$T271+(Z$2*$M271))</f>
        <v/>
      </c>
      <c r="AA271" s="51">
        <f>IF(OR($M271="",$T271=""),"",$T271+(AA$2*$M271))</f>
        <v/>
      </c>
      <c r="AB271" s="48">
        <f>IF(OR($M271="",$T271=""),"",$T271+(AB$2*$M271))</f>
        <v/>
      </c>
      <c r="AC271" s="48">
        <f>IF(OR($M271="",$T271=""),"",$T271+(AC$2*$M271))</f>
        <v/>
      </c>
      <c r="AD271" s="48">
        <f>IF(OR($M271="",$T271=""),"",$T271+(AD$2*$M271))</f>
        <v/>
      </c>
      <c r="AE271" s="49">
        <f>IF(OR($M271="",$T271=""),"",$T271+(AE$2*$M271))</f>
        <v/>
      </c>
      <c r="AF271" s="52">
        <f>IF(OR(T271="",I271&lt;T271),"",IFERROR(AVERAGE(T271+M271*{7,8,9,10,11})/IF(G271="",I271,G271)-1,""))</f>
        <v/>
      </c>
      <c r="AG271" s="55">
        <f>IF(OR(T271="",I271&lt;T271),"",IFERROR(AF271/-(R271/IF(G271="",I271,G271)-1),""))</f>
        <v/>
      </c>
      <c r="AH271" s="94" t="n">
        <v>1</v>
      </c>
      <c r="AI271" s="94" t="n">
        <v>95.41700508894225</v>
      </c>
      <c r="AJ271" s="94" t="n">
        <v>1</v>
      </c>
      <c r="AK271" s="94" t="inlineStr">
        <is>
          <t>OTT Up Trend</t>
        </is>
      </c>
      <c r="AL271" s="84" t="inlineStr">
        <is>
          <t>IQVIA Holdings, Inc.</t>
        </is>
      </c>
      <c r="AM271" t="inlineStr">
        <is>
          <t>Healthcare</t>
        </is>
      </c>
      <c r="AN271" t="inlineStr">
        <is>
          <t>Diagnostics &amp; Research</t>
        </is>
      </c>
      <c r="AO271" t="n">
        <v>82</v>
      </c>
    </row>
    <row r="272">
      <c r="A272" s="64" t="inlineStr">
        <is>
          <t>TDC</t>
        </is>
      </c>
      <c r="B272" s="65" t="n"/>
      <c r="C272" s="66" t="n"/>
      <c r="D272" s="67" t="n"/>
      <c r="E272" s="68" t="n"/>
      <c r="F272" s="47">
        <f>IF(A272="","",IF(MIN(H272,MAX(J272:K272))=0,"",MIN(H272,MAX(J272:K272))))</f>
        <v/>
      </c>
      <c r="G272" s="74" t="n"/>
      <c r="H272" s="49">
        <f>IF(M272="","",IFERROR(ROUND(AVERAGE(T272+M272*{7,8,9,10,11})/1.21,4),""))</f>
        <v/>
      </c>
      <c r="I272" s="76" t="n">
        <v>29.77000045776367</v>
      </c>
      <c r="J272" s="77" t="n">
        <v>30.77396410925237</v>
      </c>
      <c r="K272" s="74" t="n">
        <v>30.75749998092651</v>
      </c>
      <c r="L272" s="78" t="n">
        <v>23.58760000228882</v>
      </c>
      <c r="M272" s="77" t="n">
        <v>0.8279727626562658</v>
      </c>
      <c r="N272" s="53">
        <f>IF(M272="","",IFERROR(M272/I272,""))</f>
        <v/>
      </c>
      <c r="O272" s="50">
        <f>IF(A272="","",IFERROR((IF(G272="",I272,G272)-T272)/M272,""))</f>
        <v/>
      </c>
      <c r="P272" s="50">
        <f>IFERROR((I272/T272-1)/N272,"")</f>
        <v/>
      </c>
      <c r="Q272" s="46">
        <f>IF(OR(T272="",I272&lt;T272),"",IFERROR(R272/IF(G272="",I272,G272)-1,""))</f>
        <v/>
      </c>
      <c r="R272" s="48">
        <f>IF($M272="","",MAX(IF($G272="",$I272,$G272)*(1/1.1),IF($G272="",$I272,$G272)+(R$2*$M272)))</f>
        <v/>
      </c>
      <c r="S272" s="49">
        <f>IF($M272="","",MAX(IF($G272="",$I272,$G272)*(1/1.1),IF($G272="",$I272,$G272)+(S$2*$M272)))</f>
        <v/>
      </c>
      <c r="T272" s="82" t="n">
        <v>29.6031999206543</v>
      </c>
      <c r="U272" s="47">
        <f>IF(OR($M272="",$T272=""),"",$T272+(U$2*$M272))</f>
        <v/>
      </c>
      <c r="V272" s="48">
        <f>IF(OR($M272="",$T272=""),"",$T272+(V$2*$M272))</f>
        <v/>
      </c>
      <c r="W272" s="48">
        <f>IF(OR($M272="",$T272=""),"",$T272+(W$2*$M272))</f>
        <v/>
      </c>
      <c r="X272" s="49">
        <f>IF(OR($M272="",$T272=""),"",$T272+(X$2*$M272))</f>
        <v/>
      </c>
      <c r="Y272" s="47">
        <f>IF(OR($M272="",$T272=""),"",$T272+(Y$2*$M272))</f>
        <v/>
      </c>
      <c r="Z272" s="49">
        <f>IF(OR($M272="",$T272=""),"",$T272+(Z$2*$M272))</f>
        <v/>
      </c>
      <c r="AA272" s="51">
        <f>IF(OR($M272="",$T272=""),"",$T272+(AA$2*$M272))</f>
        <v/>
      </c>
      <c r="AB272" s="48">
        <f>IF(OR($M272="",$T272=""),"",$T272+(AB$2*$M272))</f>
        <v/>
      </c>
      <c r="AC272" s="48">
        <f>IF(OR($M272="",$T272=""),"",$T272+(AC$2*$M272))</f>
        <v/>
      </c>
      <c r="AD272" s="48">
        <f>IF(OR($M272="",$T272=""),"",$T272+(AD$2*$M272))</f>
        <v/>
      </c>
      <c r="AE272" s="49">
        <f>IF(OR($M272="",$T272=""),"",$T272+(AE$2*$M272))</f>
        <v/>
      </c>
      <c r="AF272" s="52">
        <f>IF(OR(T272="",I272&lt;T272),"",IFERROR(AVERAGE(T272+M272*{7,8,9,10,11})/IF(G272="",I272,G272)-1,""))</f>
        <v/>
      </c>
      <c r="AG272" s="55">
        <f>IF(OR(T272="",I272&lt;T272),"",IFERROR(AF272/-(R272/IF(G272="",I272,G272)-1),""))</f>
        <v/>
      </c>
      <c r="AH272" s="94" t="n">
        <v>1</v>
      </c>
      <c r="AI272" s="94" t="n">
        <v>46.84536959292009</v>
      </c>
      <c r="AJ272" s="94" t="n">
        <v>0</v>
      </c>
      <c r="AK272" s="94" t="inlineStr">
        <is>
          <t>OTT Up Trend</t>
        </is>
      </c>
      <c r="AL272" s="84" t="inlineStr">
        <is>
          <t>Teradata Corporation</t>
        </is>
      </c>
      <c r="AM272" t="inlineStr">
        <is>
          <t>Technology</t>
        </is>
      </c>
      <c r="AN272" t="inlineStr">
        <is>
          <t>Software - Infrastructure</t>
        </is>
      </c>
      <c r="AO272" t="n">
        <v>82</v>
      </c>
    </row>
    <row r="273">
      <c r="A273" s="64" t="inlineStr">
        <is>
          <t>CADE</t>
        </is>
      </c>
      <c r="B273" s="65" t="n"/>
      <c r="C273" s="66" t="n"/>
      <c r="D273" s="67" t="n"/>
      <c r="E273" s="68" t="n"/>
      <c r="F273" s="47">
        <f>IF(A273="","",IF(MIN(H273,MAX(J273:K273))=0,"",MIN(H273,MAX(J273:K273))))</f>
        <v/>
      </c>
      <c r="G273" s="74" t="n"/>
      <c r="H273" s="49">
        <f>IF(M273="","",IFERROR(ROUND(AVERAGE(T273+M273*{7,8,9,10,11})/1.21,4),""))</f>
        <v/>
      </c>
      <c r="I273" s="76" t="n">
        <v>44.5</v>
      </c>
      <c r="J273" s="77" t="n">
        <v>44.20682253308806</v>
      </c>
      <c r="K273" s="74" t="n">
        <v>44.01749973297119</v>
      </c>
      <c r="L273" s="78" t="n">
        <v>35.78975003242493</v>
      </c>
      <c r="M273" s="77" t="n">
        <v>0.9503084236934003</v>
      </c>
      <c r="N273" s="53">
        <f>IF(M273="","",IFERROR(M273/I273,""))</f>
        <v/>
      </c>
      <c r="O273" s="50">
        <f>IF(A273="","",IFERROR((IF(G273="",I273,G273)-T273)/M273,""))</f>
        <v/>
      </c>
      <c r="P273" s="50">
        <f>IFERROR((I273/T273-1)/N273,"")</f>
        <v/>
      </c>
      <c r="Q273" s="46">
        <f>IF(OR(T273="",I273&lt;T273),"",IFERROR(R273/IF(G273="",I273,G273)-1,""))</f>
        <v/>
      </c>
      <c r="R273" s="48">
        <f>IF($M273="","",MAX(IF($G273="",$I273,$G273)*(1/1.1),IF($G273="",$I273,$G273)+(R$2*$M273)))</f>
        <v/>
      </c>
      <c r="S273" s="49">
        <f>IF($M273="","",MAX(IF($G273="",$I273,$G273)*(1/1.1),IF($G273="",$I273,$G273)+(S$2*$M273)))</f>
        <v/>
      </c>
      <c r="T273" s="82" t="n">
        <v>41.67519989013672</v>
      </c>
      <c r="U273" s="47">
        <f>IF(OR($M273="",$T273=""),"",$T273+(U$2*$M273))</f>
        <v/>
      </c>
      <c r="V273" s="48">
        <f>IF(OR($M273="",$T273=""),"",$T273+(V$2*$M273))</f>
        <v/>
      </c>
      <c r="W273" s="48">
        <f>IF(OR($M273="",$T273=""),"",$T273+(W$2*$M273))</f>
        <v/>
      </c>
      <c r="X273" s="49">
        <f>IF(OR($M273="",$T273=""),"",$T273+(X$2*$M273))</f>
        <v/>
      </c>
      <c r="Y273" s="47">
        <f>IF(OR($M273="",$T273=""),"",$T273+(Y$2*$M273))</f>
        <v/>
      </c>
      <c r="Z273" s="49">
        <f>IF(OR($M273="",$T273=""),"",$T273+(Z$2*$M273))</f>
        <v/>
      </c>
      <c r="AA273" s="51">
        <f>IF(OR($M273="",$T273=""),"",$T273+(AA$2*$M273))</f>
        <v/>
      </c>
      <c r="AB273" s="48">
        <f>IF(OR($M273="",$T273=""),"",$T273+(AB$2*$M273))</f>
        <v/>
      </c>
      <c r="AC273" s="48">
        <f>IF(OR($M273="",$T273=""),"",$T273+(AC$2*$M273))</f>
        <v/>
      </c>
      <c r="AD273" s="48">
        <f>IF(OR($M273="",$T273=""),"",$T273+(AD$2*$M273))</f>
        <v/>
      </c>
      <c r="AE273" s="49">
        <f>IF(OR($M273="",$T273=""),"",$T273+(AE$2*$M273))</f>
        <v/>
      </c>
      <c r="AF273" s="52">
        <f>IF(OR(T273="",I273&lt;T273),"",IFERROR(AVERAGE(T273+M273*{7,8,9,10,11})/IF(G273="",I273,G273)-1,""))</f>
        <v/>
      </c>
      <c r="AG273" s="55">
        <f>IF(OR(T273="",I273&lt;T273),"",IFERROR(AF273/-(R273/IF(G273="",I273,G273)-1),""))</f>
        <v/>
      </c>
      <c r="AH273" s="94" t="n">
        <v>1</v>
      </c>
      <c r="AI273" s="94" t="n">
        <v>74.53196953903408</v>
      </c>
      <c r="AJ273" s="94" t="n">
        <v>0</v>
      </c>
      <c r="AK273" s="94" t="inlineStr">
        <is>
          <t>OTT Up Trend</t>
        </is>
      </c>
      <c r="AL273" s="84" t="inlineStr">
        <is>
          <t>Cadence Bank</t>
        </is>
      </c>
      <c r="AM273" t="inlineStr">
        <is>
          <t>Financial Services</t>
        </is>
      </c>
      <c r="AN273" t="inlineStr">
        <is>
          <t>Banks - Regional</t>
        </is>
      </c>
      <c r="AO273" t="n">
        <v>82</v>
      </c>
    </row>
    <row r="274">
      <c r="A274" s="64" t="inlineStr">
        <is>
          <t>BK</t>
        </is>
      </c>
      <c r="B274" s="65" t="n"/>
      <c r="C274" s="66" t="n"/>
      <c r="D274" s="67" t="n"/>
      <c r="E274" s="68" t="n"/>
      <c r="F274" s="47">
        <f>IF(A274="","",IF(MIN(H274,MAX(J274:K274))=0,"",MIN(H274,MAX(J274:K274))))</f>
        <v/>
      </c>
      <c r="G274" s="74" t="n"/>
      <c r="H274" s="49">
        <f>IF(M274="","",IFERROR(ROUND(AVERAGE(T274+M274*{7,8,9,10,11})/1.21,4),""))</f>
        <v/>
      </c>
      <c r="I274" s="76" t="n">
        <v>121.3300018310547</v>
      </c>
      <c r="J274" s="77" t="n">
        <v>121.3251166684189</v>
      </c>
      <c r="K274" s="74" t="n">
        <v>119.1650001525879</v>
      </c>
      <c r="L274" s="78" t="n">
        <v>100.610299911499</v>
      </c>
      <c r="M274" s="77" t="n">
        <v>2.197196855917529</v>
      </c>
      <c r="N274" s="53">
        <f>IF(M274="","",IFERROR(M274/I274,""))</f>
        <v/>
      </c>
      <c r="O274" s="50">
        <f>IF(A274="","",IFERROR((IF(G274="",I274,G274)-T274)/M274,""))</f>
        <v/>
      </c>
      <c r="P274" s="50">
        <f>IFERROR((I274/T274-1)/N274,"")</f>
        <v/>
      </c>
      <c r="Q274" s="46">
        <f>IF(OR(T274="",I274&lt;T274),"",IFERROR(R274/IF(G274="",I274,G274)-1,""))</f>
        <v/>
      </c>
      <c r="R274" s="48">
        <f>IF($M274="","",MAX(IF($G274="",$I274,$G274)*(1/1.1),IF($G274="",$I274,$G274)+(R$2*$M274)))</f>
        <v/>
      </c>
      <c r="S274" s="49">
        <f>IF($M274="","",MAX(IF($G274="",$I274,$G274)*(1/1.1),IF($G274="",$I274,$G274)+(S$2*$M274)))</f>
        <v/>
      </c>
      <c r="T274" s="82" t="n">
        <v>114.7211996459961</v>
      </c>
      <c r="U274" s="47">
        <f>IF(OR($M274="",$T274=""),"",$T274+(U$2*$M274))</f>
        <v/>
      </c>
      <c r="V274" s="48">
        <f>IF(OR($M274="",$T274=""),"",$T274+(V$2*$M274))</f>
        <v/>
      </c>
      <c r="W274" s="48">
        <f>IF(OR($M274="",$T274=""),"",$T274+(W$2*$M274))</f>
        <v/>
      </c>
      <c r="X274" s="49">
        <f>IF(OR($M274="",$T274=""),"",$T274+(X$2*$M274))</f>
        <v/>
      </c>
      <c r="Y274" s="47">
        <f>IF(OR($M274="",$T274=""),"",$T274+(Y$2*$M274))</f>
        <v/>
      </c>
      <c r="Z274" s="49">
        <f>IF(OR($M274="",$T274=""),"",$T274+(Z$2*$M274))</f>
        <v/>
      </c>
      <c r="AA274" s="51">
        <f>IF(OR($M274="",$T274=""),"",$T274+(AA$2*$M274))</f>
        <v/>
      </c>
      <c r="AB274" s="48">
        <f>IF(OR($M274="",$T274=""),"",$T274+(AB$2*$M274))</f>
        <v/>
      </c>
      <c r="AC274" s="48">
        <f>IF(OR($M274="",$T274=""),"",$T274+(AC$2*$M274))</f>
        <v/>
      </c>
      <c r="AD274" s="48">
        <f>IF(OR($M274="",$T274=""),"",$T274+(AD$2*$M274))</f>
        <v/>
      </c>
      <c r="AE274" s="49">
        <f>IF(OR($M274="",$T274=""),"",$T274+(AE$2*$M274))</f>
        <v/>
      </c>
      <c r="AF274" s="52">
        <f>IF(OR(T274="",I274&lt;T274),"",IFERROR(AVERAGE(T274+M274*{7,8,9,10,11})/IF(G274="",I274,G274)-1,""))</f>
        <v/>
      </c>
      <c r="AG274" s="55">
        <f>IF(OR(T274="",I274&lt;T274),"",IFERROR(AF274/-(R274/IF(G274="",I274,G274)-1),""))</f>
        <v/>
      </c>
      <c r="AH274" s="94" t="n">
        <v>1</v>
      </c>
      <c r="AI274" s="94" t="n">
        <v>110.0438924215866</v>
      </c>
      <c r="AJ274" s="94" t="n">
        <v>1</v>
      </c>
      <c r="AK274" s="94" t="inlineStr">
        <is>
          <t>OTT Up Trend</t>
        </is>
      </c>
      <c r="AL274" s="84" t="inlineStr">
        <is>
          <t>The Bank of New York Mellon Cor</t>
        </is>
      </c>
      <c r="AM274" t="inlineStr">
        <is>
          <t>Financial Services</t>
        </is>
      </c>
      <c r="AN274" t="inlineStr">
        <is>
          <t>Banks - Diversified</t>
        </is>
      </c>
      <c r="AO274" t="n">
        <v>82</v>
      </c>
    </row>
    <row r="275">
      <c r="A275" s="64" t="inlineStr">
        <is>
          <t>CSGS</t>
        </is>
      </c>
      <c r="B275" s="65" t="n"/>
      <c r="C275" s="66" t="n"/>
      <c r="D275" s="67" t="n"/>
      <c r="E275" s="68" t="n"/>
      <c r="F275" s="47">
        <f>IF(A275="","",IF(MIN(H275,MAX(J275:K275))=0,"",MIN(H275,MAX(J275:K275))))</f>
        <v/>
      </c>
      <c r="G275" s="74" t="n"/>
      <c r="H275" s="49">
        <f>IF(M275="","",IFERROR(ROUND(AVERAGE(T275+M275*{7,8,9,10,11})/1.21,4),""))</f>
        <v/>
      </c>
      <c r="I275" s="76" t="n">
        <v>79.59999847412109</v>
      </c>
      <c r="J275" s="77" t="n">
        <v>79.00057137519738</v>
      </c>
      <c r="K275" s="74" t="n">
        <v>77.96900024414063</v>
      </c>
      <c r="L275" s="78" t="n">
        <v>67.37009984970092</v>
      </c>
      <c r="M275" s="77" t="n">
        <v>0.4350212265235223</v>
      </c>
      <c r="N275" s="53">
        <f>IF(M275="","",IFERROR(M275/I275,""))</f>
        <v/>
      </c>
      <c r="O275" s="50">
        <f>IF(A275="","",IFERROR((IF(G275="",I275,G275)-T275)/M275,""))</f>
        <v/>
      </c>
      <c r="P275" s="50">
        <f>IFERROR((I275/T275-1)/N275,"")</f>
        <v/>
      </c>
      <c r="Q275" s="46">
        <f>IF(OR(T275="",I275&lt;T275),"",IFERROR(R275/IF(G275="",I275,G275)-1,""))</f>
        <v/>
      </c>
      <c r="R275" s="48">
        <f>IF($M275="","",MAX(IF($G275="",$I275,$G275)*(1/1.1),IF($G275="",$I275,$G275)+(R$2*$M275)))</f>
        <v/>
      </c>
      <c r="S275" s="49">
        <f>IF($M275="","",MAX(IF($G275="",$I275,$G275)*(1/1.1),IF($G275="",$I275,$G275)+(S$2*$M275)))</f>
        <v/>
      </c>
      <c r="T275" s="82" t="n">
        <v>77.84299987792969</v>
      </c>
      <c r="U275" s="47">
        <f>IF(OR($M275="",$T275=""),"",$T275+(U$2*$M275))</f>
        <v/>
      </c>
      <c r="V275" s="48">
        <f>IF(OR($M275="",$T275=""),"",$T275+(V$2*$M275))</f>
        <v/>
      </c>
      <c r="W275" s="48">
        <f>IF(OR($M275="",$T275=""),"",$T275+(W$2*$M275))</f>
        <v/>
      </c>
      <c r="X275" s="49">
        <f>IF(OR($M275="",$T275=""),"",$T275+(X$2*$M275))</f>
        <v/>
      </c>
      <c r="Y275" s="47">
        <f>IF(OR($M275="",$T275=""),"",$T275+(Y$2*$M275))</f>
        <v/>
      </c>
      <c r="Z275" s="49">
        <f>IF(OR($M275="",$T275=""),"",$T275+(Z$2*$M275))</f>
        <v/>
      </c>
      <c r="AA275" s="51">
        <f>IF(OR($M275="",$T275=""),"",$T275+(AA$2*$M275))</f>
        <v/>
      </c>
      <c r="AB275" s="48">
        <f>IF(OR($M275="",$T275=""),"",$T275+(AB$2*$M275))</f>
        <v/>
      </c>
      <c r="AC275" s="48">
        <f>IF(OR($M275="",$T275=""),"",$T275+(AC$2*$M275))</f>
        <v/>
      </c>
      <c r="AD275" s="48">
        <f>IF(OR($M275="",$T275=""),"",$T275+(AD$2*$M275))</f>
        <v/>
      </c>
      <c r="AE275" s="49">
        <f>IF(OR($M275="",$T275=""),"",$T275+(AE$2*$M275))</f>
        <v/>
      </c>
      <c r="AF275" s="52">
        <f>IF(OR(T275="",I275&lt;T275),"",IFERROR(AVERAGE(T275+M275*{7,8,9,10,11})/IF(G275="",I275,G275)-1,""))</f>
        <v/>
      </c>
      <c r="AG275" s="55">
        <f>IF(OR(T275="",I275&lt;T275),"",IFERROR(AF275/-(R275/IF(G275="",I275,G275)-1),""))</f>
        <v/>
      </c>
      <c r="AH275" s="94" t="n">
        <v>1</v>
      </c>
      <c r="AI275" s="94" t="n">
        <v>134.0486858237208</v>
      </c>
      <c r="AJ275" s="94" t="n">
        <v>1</v>
      </c>
      <c r="AK275" s="94" t="inlineStr">
        <is>
          <t>OTT Up Trend</t>
        </is>
      </c>
      <c r="AL275" s="84" t="inlineStr">
        <is>
          <t>CSG Systems International, Inc.</t>
        </is>
      </c>
      <c r="AM275" t="inlineStr">
        <is>
          <t>Technology</t>
        </is>
      </c>
      <c r="AN275" t="inlineStr">
        <is>
          <t>Software - Infrastructure</t>
        </is>
      </c>
      <c r="AO275" t="n">
        <v>82</v>
      </c>
    </row>
    <row r="276">
      <c r="A276" s="64" t="inlineStr">
        <is>
          <t>BKU</t>
        </is>
      </c>
      <c r="B276" s="65" t="n"/>
      <c r="C276" s="66" t="n"/>
      <c r="D276" s="67" t="n"/>
      <c r="E276" s="68" t="n"/>
      <c r="F276" s="47">
        <f>IF(A276="","",IF(MIN(H276,MAX(J276:K276))=0,"",MIN(H276,MAX(J276:K276))))</f>
        <v/>
      </c>
      <c r="G276" s="74" t="n"/>
      <c r="H276" s="49">
        <f>IF(M276="","",IFERROR(ROUND(AVERAGE(T276+M276*{7,8,9,10,11})/1.21,4),""))</f>
        <v/>
      </c>
      <c r="I276" s="76" t="n">
        <v>47.08000183105469</v>
      </c>
      <c r="J276" s="77" t="n">
        <v>45.64808899653791</v>
      </c>
      <c r="K276" s="74" t="n">
        <v>45.28900012969971</v>
      </c>
      <c r="L276" s="78" t="n">
        <v>38.1087000465393</v>
      </c>
      <c r="M276" s="77" t="n">
        <v>1.038191181976317</v>
      </c>
      <c r="N276" s="53">
        <f>IF(M276="","",IFERROR(M276/I276,""))</f>
        <v/>
      </c>
      <c r="O276" s="50">
        <f>IF(A276="","",IFERROR((IF(G276="",I276,G276)-T276)/M276,""))</f>
        <v/>
      </c>
      <c r="P276" s="50">
        <f>IFERROR((I276/T276-1)/N276,"")</f>
        <v/>
      </c>
      <c r="Q276" s="46">
        <f>IF(OR(T276="",I276&lt;T276),"",IFERROR(R276/IF(G276="",I276,G276)-1,""))</f>
        <v/>
      </c>
      <c r="R276" s="48">
        <f>IF($M276="","",MAX(IF($G276="",$I276,$G276)*(1/1.1),IF($G276="",$I276,$G276)+(R$2*$M276)))</f>
        <v/>
      </c>
      <c r="S276" s="49">
        <f>IF($M276="","",MAX(IF($G276="",$I276,$G276)*(1/1.1),IF($G276="",$I276,$G276)+(S$2*$M276)))</f>
        <v/>
      </c>
      <c r="T276" s="82" t="n">
        <v>43.68460021972656</v>
      </c>
      <c r="U276" s="47">
        <f>IF(OR($M276="",$T276=""),"",$T276+(U$2*$M276))</f>
        <v/>
      </c>
      <c r="V276" s="48">
        <f>IF(OR($M276="",$T276=""),"",$T276+(V$2*$M276))</f>
        <v/>
      </c>
      <c r="W276" s="48">
        <f>IF(OR($M276="",$T276=""),"",$T276+(W$2*$M276))</f>
        <v/>
      </c>
      <c r="X276" s="49">
        <f>IF(OR($M276="",$T276=""),"",$T276+(X$2*$M276))</f>
        <v/>
      </c>
      <c r="Y276" s="47">
        <f>IF(OR($M276="",$T276=""),"",$T276+(Y$2*$M276))</f>
        <v/>
      </c>
      <c r="Z276" s="49">
        <f>IF(OR($M276="",$T276=""),"",$T276+(Z$2*$M276))</f>
        <v/>
      </c>
      <c r="AA276" s="51">
        <f>IF(OR($M276="",$T276=""),"",$T276+(AA$2*$M276))</f>
        <v/>
      </c>
      <c r="AB276" s="48">
        <f>IF(OR($M276="",$T276=""),"",$T276+(AB$2*$M276))</f>
        <v/>
      </c>
      <c r="AC276" s="48">
        <f>IF(OR($M276="",$T276=""),"",$T276+(AC$2*$M276))</f>
        <v/>
      </c>
      <c r="AD276" s="48">
        <f>IF(OR($M276="",$T276=""),"",$T276+(AD$2*$M276))</f>
        <v/>
      </c>
      <c r="AE276" s="49">
        <f>IF(OR($M276="",$T276=""),"",$T276+(AE$2*$M276))</f>
        <v/>
      </c>
      <c r="AF276" s="52">
        <f>IF(OR(T276="",I276&lt;T276),"",IFERROR(AVERAGE(T276+M276*{7,8,9,10,11})/IF(G276="",I276,G276)-1,""))</f>
        <v/>
      </c>
      <c r="AG276" s="55">
        <f>IF(OR(T276="",I276&lt;T276),"",IFERROR(AF276/-(R276/IF(G276="",I276,G276)-1),""))</f>
        <v/>
      </c>
      <c r="AH276" s="94" t="n">
        <v>1</v>
      </c>
      <c r="AI276" s="94" t="n">
        <v>53.7241128971048</v>
      </c>
      <c r="AJ276" s="94" t="n">
        <v>1</v>
      </c>
      <c r="AK276" s="94" t="inlineStr">
        <is>
          <t>OTT Up Trend</t>
        </is>
      </c>
      <c r="AL276" s="84" t="inlineStr">
        <is>
          <t>BankUnited, Inc.</t>
        </is>
      </c>
      <c r="AM276" t="inlineStr">
        <is>
          <t>Financial Services</t>
        </is>
      </c>
      <c r="AN276" t="inlineStr">
        <is>
          <t>Banks - Regional</t>
        </is>
      </c>
      <c r="AO276" t="n">
        <v>81</v>
      </c>
    </row>
    <row r="277">
      <c r="A277" s="64" t="inlineStr">
        <is>
          <t>BJRI</t>
        </is>
      </c>
      <c r="B277" s="65" t="n"/>
      <c r="C277" s="66" t="n"/>
      <c r="D277" s="67" t="n"/>
      <c r="E277" s="68" t="n"/>
      <c r="F277" s="47">
        <f>IF(A277="","",IF(MIN(H277,MAX(J277:K277))=0,"",MIN(H277,MAX(J277:K277))))</f>
        <v/>
      </c>
      <c r="G277" s="74" t="n"/>
      <c r="H277" s="49">
        <f>IF(M277="","",IFERROR(ROUND(AVERAGE(T277+M277*{7,8,9,10,11})/1.21,4),""))</f>
        <v/>
      </c>
      <c r="I277" s="76" t="n">
        <v>44.2599983215332</v>
      </c>
      <c r="J277" s="77" t="n">
        <v>43.86889935074335</v>
      </c>
      <c r="K277" s="74" t="n">
        <v>42.2850004196167</v>
      </c>
      <c r="L277" s="78" t="n">
        <v>37.23890014648438</v>
      </c>
      <c r="M277" s="77" t="n">
        <v>1.452115477351106</v>
      </c>
      <c r="N277" s="53">
        <f>IF(M277="","",IFERROR(M277/I277,""))</f>
        <v/>
      </c>
      <c r="O277" s="50">
        <f>IF(A277="","",IFERROR((IF(G277="",I277,G277)-T277)/M277,""))</f>
        <v/>
      </c>
      <c r="P277" s="50">
        <f>IFERROR((I277/T277-1)/N277,"")</f>
        <v/>
      </c>
      <c r="Q277" s="46">
        <f>IF(OR(T277="",I277&lt;T277),"",IFERROR(R277/IF(G277="",I277,G277)-1,""))</f>
        <v/>
      </c>
      <c r="R277" s="48">
        <f>IF($M277="","",MAX(IF($G277="",$I277,$G277)*(1/1.1),IF($G277="",$I277,$G277)+(R$2*$M277)))</f>
        <v/>
      </c>
      <c r="S277" s="49">
        <f>IF($M277="","",MAX(IF($G277="",$I277,$G277)*(1/1.1),IF($G277="",$I277,$G277)+(S$2*$M277)))</f>
        <v/>
      </c>
      <c r="T277" s="82" t="n">
        <v>39.2744002532959</v>
      </c>
      <c r="U277" s="47">
        <f>IF(OR($M277="",$T277=""),"",$T277+(U$2*$M277))</f>
        <v/>
      </c>
      <c r="V277" s="48">
        <f>IF(OR($M277="",$T277=""),"",$T277+(V$2*$M277))</f>
        <v/>
      </c>
      <c r="W277" s="48">
        <f>IF(OR($M277="",$T277=""),"",$T277+(W$2*$M277))</f>
        <v/>
      </c>
      <c r="X277" s="49">
        <f>IF(OR($M277="",$T277=""),"",$T277+(X$2*$M277))</f>
        <v/>
      </c>
      <c r="Y277" s="47">
        <f>IF(OR($M277="",$T277=""),"",$T277+(Y$2*$M277))</f>
        <v/>
      </c>
      <c r="Z277" s="49">
        <f>IF(OR($M277="",$T277=""),"",$T277+(Z$2*$M277))</f>
        <v/>
      </c>
      <c r="AA277" s="51">
        <f>IF(OR($M277="",$T277=""),"",$T277+(AA$2*$M277))</f>
        <v/>
      </c>
      <c r="AB277" s="48">
        <f>IF(OR($M277="",$T277=""),"",$T277+(AB$2*$M277))</f>
        <v/>
      </c>
      <c r="AC277" s="48">
        <f>IF(OR($M277="",$T277=""),"",$T277+(AC$2*$M277))</f>
        <v/>
      </c>
      <c r="AD277" s="48">
        <f>IF(OR($M277="",$T277=""),"",$T277+(AD$2*$M277))</f>
        <v/>
      </c>
      <c r="AE277" s="49">
        <f>IF(OR($M277="",$T277=""),"",$T277+(AE$2*$M277))</f>
        <v/>
      </c>
      <c r="AF277" s="52">
        <f>IF(OR(T277="",I277&lt;T277),"",IFERROR(AVERAGE(T277+M277*{7,8,9,10,11})/IF(G277="",I277,G277)-1,""))</f>
        <v/>
      </c>
      <c r="AG277" s="55">
        <f>IF(OR(T277="",I277&lt;T277),"",IFERROR(AF277/-(R277/IF(G277="",I277,G277)-1),""))</f>
        <v/>
      </c>
      <c r="AH277" s="94" t="n">
        <v>1</v>
      </c>
      <c r="AI277" s="94" t="n">
        <v>124.1140290358619</v>
      </c>
      <c r="AJ277" s="94" t="n">
        <v>1</v>
      </c>
      <c r="AK277" s="94" t="inlineStr">
        <is>
          <t>OTT Up Trend</t>
        </is>
      </c>
      <c r="AL277" s="84" t="inlineStr">
        <is>
          <t>BJ's Restaurants, Inc.</t>
        </is>
      </c>
      <c r="AM277" t="inlineStr">
        <is>
          <t>Consumer Cyclical</t>
        </is>
      </c>
      <c r="AN277" t="inlineStr">
        <is>
          <t>Restaurants</t>
        </is>
      </c>
      <c r="AO277" t="n">
        <v>81</v>
      </c>
    </row>
    <row r="278">
      <c r="A278" s="64" t="inlineStr">
        <is>
          <t>FSLR</t>
        </is>
      </c>
      <c r="B278" s="65" t="n"/>
      <c r="C278" s="66" t="n"/>
      <c r="D278" s="67" t="n"/>
      <c r="E278" s="68" t="n"/>
      <c r="F278" s="47">
        <f>IF(A278="","",IF(MIN(H278,MAX(J278:K278))=0,"",MIN(H278,MAX(J278:K278))))</f>
        <v/>
      </c>
      <c r="G278" s="74" t="n"/>
      <c r="H278" s="49">
        <f>IF(M278="","",IFERROR(ROUND(AVERAGE(T278+M278*{7,8,9,10,11})/1.21,4),""))</f>
        <v/>
      </c>
      <c r="I278" s="76" t="n">
        <v>243.7299957275391</v>
      </c>
      <c r="J278" s="77" t="n">
        <v>246.7413716105369</v>
      </c>
      <c r="K278" s="74" t="n">
        <v>258.129500579834</v>
      </c>
      <c r="L278" s="78" t="n">
        <v>200.9772504425049</v>
      </c>
      <c r="M278" s="77" t="n">
        <v>11.90316040386901</v>
      </c>
      <c r="N278" s="53">
        <f>IF(M278="","",IFERROR(M278/I278,""))</f>
        <v/>
      </c>
      <c r="O278" s="50">
        <f>IF(A278="","",IFERROR((IF(G278="",I278,G278)-T278)/M278,""))</f>
        <v/>
      </c>
      <c r="P278" s="50">
        <f>IFERROR((I278/T278-1)/N278,"")</f>
        <v/>
      </c>
      <c r="Q278" s="46">
        <f>IF(OR(T278="",I278&lt;T278),"",IFERROR(R278/IF(G278="",I278,G278)-1,""))</f>
        <v/>
      </c>
      <c r="R278" s="48">
        <f>IF($M278="","",MAX(IF($G278="",$I278,$G278)*(1/1.1),IF($G278="",$I278,$G278)+(R$2*$M278)))</f>
        <v/>
      </c>
      <c r="S278" s="49">
        <f>IF($M278="","",MAX(IF($G278="",$I278,$G278)*(1/1.1),IF($G278="",$I278,$G278)+(S$2*$M278)))</f>
        <v/>
      </c>
      <c r="T278" s="82" t="n">
        <v>259.5382006835937</v>
      </c>
      <c r="U278" s="47">
        <f>IF(OR($M278="",$T278=""),"",$T278+(U$2*$M278))</f>
        <v/>
      </c>
      <c r="V278" s="48">
        <f>IF(OR($M278="",$T278=""),"",$T278+(V$2*$M278))</f>
        <v/>
      </c>
      <c r="W278" s="48">
        <f>IF(OR($M278="",$T278=""),"",$T278+(W$2*$M278))</f>
        <v/>
      </c>
      <c r="X278" s="49">
        <f>IF(OR($M278="",$T278=""),"",$T278+(X$2*$M278))</f>
        <v/>
      </c>
      <c r="Y278" s="47">
        <f>IF(OR($M278="",$T278=""),"",$T278+(Y$2*$M278))</f>
        <v/>
      </c>
      <c r="Z278" s="49">
        <f>IF(OR($M278="",$T278=""),"",$T278+(Z$2*$M278))</f>
        <v/>
      </c>
      <c r="AA278" s="51">
        <f>IF(OR($M278="",$T278=""),"",$T278+(AA$2*$M278))</f>
        <v/>
      </c>
      <c r="AB278" s="48">
        <f>IF(OR($M278="",$T278=""),"",$T278+(AB$2*$M278))</f>
        <v/>
      </c>
      <c r="AC278" s="48">
        <f>IF(OR($M278="",$T278=""),"",$T278+(AC$2*$M278))</f>
        <v/>
      </c>
      <c r="AD278" s="48">
        <f>IF(OR($M278="",$T278=""),"",$T278+(AD$2*$M278))</f>
        <v/>
      </c>
      <c r="AE278" s="49">
        <f>IF(OR($M278="",$T278=""),"",$T278+(AE$2*$M278))</f>
        <v/>
      </c>
      <c r="AF278" s="52">
        <f>IF(OR(T278="",I278&lt;T278),"",IFERROR(AVERAGE(T278+M278*{7,8,9,10,11})/IF(G278="",I278,G278)-1,""))</f>
        <v/>
      </c>
      <c r="AG278" s="55">
        <f>IF(OR(T278="",I278&lt;T278),"",IFERROR(AF278/-(R278/IF(G278="",I278,G278)-1),""))</f>
        <v/>
      </c>
      <c r="AH278" s="94" t="n">
        <v>-1</v>
      </c>
      <c r="AI278" s="94" t="n">
        <v>-46.79817650311266</v>
      </c>
      <c r="AJ278" s="94" t="n">
        <v>0</v>
      </c>
      <c r="AK278" s="94" t="inlineStr">
        <is>
          <t>None</t>
        </is>
      </c>
      <c r="AL278" s="84" t="inlineStr">
        <is>
          <t>First Solar, Inc.</t>
        </is>
      </c>
      <c r="AM278" t="inlineStr">
        <is>
          <t>Technology</t>
        </is>
      </c>
      <c r="AN278" t="inlineStr">
        <is>
          <t>Solar</t>
        </is>
      </c>
      <c r="AO278" t="n">
        <v>81</v>
      </c>
    </row>
    <row r="279">
      <c r="A279" s="64" t="inlineStr">
        <is>
          <t>SEE</t>
        </is>
      </c>
      <c r="B279" s="65" t="n"/>
      <c r="C279" s="66" t="n"/>
      <c r="D279" s="67" t="n"/>
      <c r="E279" s="68" t="n"/>
      <c r="F279" s="47">
        <f>IF(A279="","",IF(MIN(H279,MAX(J279:K279))=0,"",MIN(H279,MAX(J279:K279))))</f>
        <v/>
      </c>
      <c r="G279" s="74" t="n"/>
      <c r="H279" s="49">
        <f>IF(M279="","",IFERROR(ROUND(AVERAGE(T279+M279*{7,8,9,10,11})/1.21,4),""))</f>
        <v/>
      </c>
      <c r="I279" s="76" t="n">
        <v>41.7599983215332</v>
      </c>
      <c r="J279" s="77" t="n">
        <v>41.65430996837073</v>
      </c>
      <c r="K279" s="74" t="n">
        <v>41.49749965667725</v>
      </c>
      <c r="L279" s="78" t="n">
        <v>33.94834990501404</v>
      </c>
      <c r="M279" s="77" t="n">
        <v>0.2841164899555925</v>
      </c>
      <c r="N279" s="53">
        <f>IF(M279="","",IFERROR(M279/I279,""))</f>
        <v/>
      </c>
      <c r="O279" s="50">
        <f>IF(A279="","",IFERROR((IF(G279="",I279,G279)-T279)/M279,""))</f>
        <v/>
      </c>
      <c r="P279" s="50">
        <f>IFERROR((I279/T279-1)/N279,"")</f>
        <v/>
      </c>
      <c r="Q279" s="46">
        <f>IF(OR(T279="",I279&lt;T279),"",IFERROR(R279/IF(G279="",I279,G279)-1,""))</f>
        <v/>
      </c>
      <c r="R279" s="48">
        <f>IF($M279="","",MAX(IF($G279="",$I279,$G279)*(1/1.1),IF($G279="",$I279,$G279)+(R$2*$M279)))</f>
        <v/>
      </c>
      <c r="S279" s="49">
        <f>IF($M279="","",MAX(IF($G279="",$I279,$G279)*(1/1.1),IF($G279="",$I279,$G279)+(S$2*$M279)))</f>
        <v/>
      </c>
      <c r="T279" s="82" t="n">
        <v>41.32859992980957</v>
      </c>
      <c r="U279" s="47">
        <f>IF(OR($M279="",$T279=""),"",$T279+(U$2*$M279))</f>
        <v/>
      </c>
      <c r="V279" s="48">
        <f>IF(OR($M279="",$T279=""),"",$T279+(V$2*$M279))</f>
        <v/>
      </c>
      <c r="W279" s="48">
        <f>IF(OR($M279="",$T279=""),"",$T279+(W$2*$M279))</f>
        <v/>
      </c>
      <c r="X279" s="49">
        <f>IF(OR($M279="",$T279=""),"",$T279+(X$2*$M279))</f>
        <v/>
      </c>
      <c r="Y279" s="47">
        <f>IF(OR($M279="",$T279=""),"",$T279+(Y$2*$M279))</f>
        <v/>
      </c>
      <c r="Z279" s="49">
        <f>IF(OR($M279="",$T279=""),"",$T279+(Z$2*$M279))</f>
        <v/>
      </c>
      <c r="AA279" s="51">
        <f>IF(OR($M279="",$T279=""),"",$T279+(AA$2*$M279))</f>
        <v/>
      </c>
      <c r="AB279" s="48">
        <f>IF(OR($M279="",$T279=""),"",$T279+(AB$2*$M279))</f>
        <v/>
      </c>
      <c r="AC279" s="48">
        <f>IF(OR($M279="",$T279=""),"",$T279+(AC$2*$M279))</f>
        <v/>
      </c>
      <c r="AD279" s="48">
        <f>IF(OR($M279="",$T279=""),"",$T279+(AD$2*$M279))</f>
        <v/>
      </c>
      <c r="AE279" s="49">
        <f>IF(OR($M279="",$T279=""),"",$T279+(AE$2*$M279))</f>
        <v/>
      </c>
      <c r="AF279" s="52">
        <f>IF(OR(T279="",I279&lt;T279),"",IFERROR(AVERAGE(T279+M279*{7,8,9,10,11})/IF(G279="",I279,G279)-1,""))</f>
        <v/>
      </c>
      <c r="AG279" s="55">
        <f>IF(OR(T279="",I279&lt;T279),"",IFERROR(AF279/-(R279/IF(G279="",I279,G279)-1),""))</f>
        <v/>
      </c>
      <c r="AH279" s="94" t="n">
        <v>1</v>
      </c>
      <c r="AI279" s="94" t="n">
        <v>39.89227071151138</v>
      </c>
      <c r="AJ279" s="94" t="n">
        <v>1</v>
      </c>
      <c r="AK279" s="94" t="inlineStr">
        <is>
          <t>OTT Up Trend</t>
        </is>
      </c>
      <c r="AL279" s="84" t="inlineStr">
        <is>
          <t>Sealed Air Corporation</t>
        </is>
      </c>
      <c r="AM279" t="inlineStr">
        <is>
          <t>Consumer Cyclical</t>
        </is>
      </c>
      <c r="AN279" t="inlineStr">
        <is>
          <t>Packaging &amp; Containers</t>
        </is>
      </c>
      <c r="AO279" t="n">
        <v>81</v>
      </c>
    </row>
    <row r="280">
      <c r="A280" s="64" t="inlineStr">
        <is>
          <t>FDX</t>
        </is>
      </c>
      <c r="B280" s="65" t="n"/>
      <c r="C280" s="66" t="n"/>
      <c r="D280" s="67" t="n"/>
      <c r="E280" s="68" t="n"/>
      <c r="F280" s="47">
        <f>IF(A280="","",IF(MIN(H280,MAX(J280:K280))=0,"",MIN(H280,MAX(J280:K280))))</f>
        <v/>
      </c>
      <c r="G280" s="74" t="n"/>
      <c r="H280" s="49">
        <f>IF(M280="","",IFERROR(ROUND(AVERAGE(T280+M280*{7,8,9,10,11})/1.21,4),""))</f>
        <v/>
      </c>
      <c r="I280" s="76" t="n">
        <v>308.1799926757812</v>
      </c>
      <c r="J280" s="77" t="n">
        <v>307.6258879812527</v>
      </c>
      <c r="K280" s="74" t="n">
        <v>300.6309967041016</v>
      </c>
      <c r="L280" s="78" t="n">
        <v>241.4051496124268</v>
      </c>
      <c r="M280" s="77" t="n">
        <v>6.279192942390059</v>
      </c>
      <c r="N280" s="53">
        <f>IF(M280="","",IFERROR(M280/I280,""))</f>
        <v/>
      </c>
      <c r="O280" s="50">
        <f>IF(A280="","",IFERROR((IF(G280="",I280,G280)-T280)/M280,""))</f>
        <v/>
      </c>
      <c r="P280" s="50">
        <f>IFERROR((I280/T280-1)/N280,"")</f>
        <v/>
      </c>
      <c r="Q280" s="46">
        <f>IF(OR(T280="",I280&lt;T280),"",IFERROR(R280/IF(G280="",I280,G280)-1,""))</f>
        <v/>
      </c>
      <c r="R280" s="48">
        <f>IF($M280="","",MAX(IF($G280="",$I280,$G280)*(1/1.1),IF($G280="",$I280,$G280)+(R$2*$M280)))</f>
        <v/>
      </c>
      <c r="S280" s="49">
        <f>IF($M280="","",MAX(IF($G280="",$I280,$G280)*(1/1.1),IF($G280="",$I280,$G280)+(S$2*$M280)))</f>
        <v/>
      </c>
      <c r="T280" s="82" t="n">
        <v>282.8743984985351</v>
      </c>
      <c r="U280" s="47">
        <f>IF(OR($M280="",$T280=""),"",$T280+(U$2*$M280))</f>
        <v/>
      </c>
      <c r="V280" s="48">
        <f>IF(OR($M280="",$T280=""),"",$T280+(V$2*$M280))</f>
        <v/>
      </c>
      <c r="W280" s="48">
        <f>IF(OR($M280="",$T280=""),"",$T280+(W$2*$M280))</f>
        <v/>
      </c>
      <c r="X280" s="49">
        <f>IF(OR($M280="",$T280=""),"",$T280+(X$2*$M280))</f>
        <v/>
      </c>
      <c r="Y280" s="47">
        <f>IF(OR($M280="",$T280=""),"",$T280+(Y$2*$M280))</f>
        <v/>
      </c>
      <c r="Z280" s="49">
        <f>IF(OR($M280="",$T280=""),"",$T280+(Z$2*$M280))</f>
        <v/>
      </c>
      <c r="AA280" s="51">
        <f>IF(OR($M280="",$T280=""),"",$T280+(AA$2*$M280))</f>
        <v/>
      </c>
      <c r="AB280" s="48">
        <f>IF(OR($M280="",$T280=""),"",$T280+(AB$2*$M280))</f>
        <v/>
      </c>
      <c r="AC280" s="48">
        <f>IF(OR($M280="",$T280=""),"",$T280+(AC$2*$M280))</f>
        <v/>
      </c>
      <c r="AD280" s="48">
        <f>IF(OR($M280="",$T280=""),"",$T280+(AD$2*$M280))</f>
        <v/>
      </c>
      <c r="AE280" s="49">
        <f>IF(OR($M280="",$T280=""),"",$T280+(AE$2*$M280))</f>
        <v/>
      </c>
      <c r="AF280" s="52">
        <f>IF(OR(T280="",I280&lt;T280),"",IFERROR(AVERAGE(T280+M280*{7,8,9,10,11})/IF(G280="",I280,G280)-1,""))</f>
        <v/>
      </c>
      <c r="AG280" s="55">
        <f>IF(OR(T280="",I280&lt;T280),"",IFERROR(AF280/-(R280/IF(G280="",I280,G280)-1),""))</f>
        <v/>
      </c>
      <c r="AH280" s="94" t="n">
        <v>1</v>
      </c>
      <c r="AI280" s="94" t="n">
        <v>145.0883278281491</v>
      </c>
      <c r="AJ280" s="94" t="n">
        <v>1</v>
      </c>
      <c r="AK280" s="94" t="inlineStr">
        <is>
          <t>OTT Up Trend</t>
        </is>
      </c>
      <c r="AL280" s="84" t="inlineStr">
        <is>
          <t>FedEx Corporation</t>
        </is>
      </c>
      <c r="AM280" t="inlineStr">
        <is>
          <t>Industrials</t>
        </is>
      </c>
      <c r="AN280" t="inlineStr">
        <is>
          <t>Integrated Freight &amp; Logistics</t>
        </is>
      </c>
      <c r="AO280" t="n">
        <v>81</v>
      </c>
    </row>
    <row r="281">
      <c r="A281" s="64" t="inlineStr">
        <is>
          <t>UTHR</t>
        </is>
      </c>
      <c r="B281" s="65" t="n"/>
      <c r="C281" s="66" t="n"/>
      <c r="D281" s="67" t="n"/>
      <c r="E281" s="68" t="n"/>
      <c r="F281" s="47">
        <f>IF(A281="","",IF(MIN(H281,MAX(J281:K281))=0,"",MIN(H281,MAX(J281:K281))))</f>
        <v/>
      </c>
      <c r="G281" s="74" t="n"/>
      <c r="H281" s="49">
        <f>IF(M281="","",IFERROR(ROUND(AVERAGE(T281+M281*{7,8,9,10,11})/1.21,4),""))</f>
        <v/>
      </c>
      <c r="I281" s="76" t="n">
        <v>464.9299926757812</v>
      </c>
      <c r="J281" s="77" t="n">
        <v>481.1048484941169</v>
      </c>
      <c r="K281" s="74" t="n">
        <v>494.7634994506836</v>
      </c>
      <c r="L281" s="78" t="n">
        <v>374.4469508361817</v>
      </c>
      <c r="M281" s="77" t="n">
        <v>12.13445401316545</v>
      </c>
      <c r="N281" s="53">
        <f>IF(M281="","",IFERROR(M281/I281,""))</f>
        <v/>
      </c>
      <c r="O281" s="50">
        <f>IF(A281="","",IFERROR((IF(G281="",I281,G281)-T281)/M281,""))</f>
        <v/>
      </c>
      <c r="P281" s="50">
        <f>IFERROR((I281/T281-1)/N281,"")</f>
        <v/>
      </c>
      <c r="Q281" s="46">
        <f>IF(OR(T281="",I281&lt;T281),"",IFERROR(R281/IF(G281="",I281,G281)-1,""))</f>
        <v/>
      </c>
      <c r="R281" s="48">
        <f>IF($M281="","",MAX(IF($G281="",$I281,$G281)*(1/1.1),IF($G281="",$I281,$G281)+(R$2*$M281)))</f>
        <v/>
      </c>
      <c r="S281" s="49">
        <f>IF($M281="","",MAX(IF($G281="",$I281,$G281)*(1/1.1),IF($G281="",$I281,$G281)+(S$2*$M281)))</f>
        <v/>
      </c>
      <c r="T281" s="82" t="n">
        <v>484.0785998535156</v>
      </c>
      <c r="U281" s="47">
        <f>IF(OR($M281="",$T281=""),"",$T281+(U$2*$M281))</f>
        <v/>
      </c>
      <c r="V281" s="48">
        <f>IF(OR($M281="",$T281=""),"",$T281+(V$2*$M281))</f>
        <v/>
      </c>
      <c r="W281" s="48">
        <f>IF(OR($M281="",$T281=""),"",$T281+(W$2*$M281))</f>
        <v/>
      </c>
      <c r="X281" s="49">
        <f>IF(OR($M281="",$T281=""),"",$T281+(X$2*$M281))</f>
        <v/>
      </c>
      <c r="Y281" s="47">
        <f>IF(OR($M281="",$T281=""),"",$T281+(Y$2*$M281))</f>
        <v/>
      </c>
      <c r="Z281" s="49">
        <f>IF(OR($M281="",$T281=""),"",$T281+(Z$2*$M281))</f>
        <v/>
      </c>
      <c r="AA281" s="51">
        <f>IF(OR($M281="",$T281=""),"",$T281+(AA$2*$M281))</f>
        <v/>
      </c>
      <c r="AB281" s="48">
        <f>IF(OR($M281="",$T281=""),"",$T281+(AB$2*$M281))</f>
        <v/>
      </c>
      <c r="AC281" s="48">
        <f>IF(OR($M281="",$T281=""),"",$T281+(AC$2*$M281))</f>
        <v/>
      </c>
      <c r="AD281" s="48">
        <f>IF(OR($M281="",$T281=""),"",$T281+(AD$2*$M281))</f>
        <v/>
      </c>
      <c r="AE281" s="49">
        <f>IF(OR($M281="",$T281=""),"",$T281+(AE$2*$M281))</f>
        <v/>
      </c>
      <c r="AF281" s="52">
        <f>IF(OR(T281="",I281&lt;T281),"",IFERROR(AVERAGE(T281+M281*{7,8,9,10,11})/IF(G281="",I281,G281)-1,""))</f>
        <v/>
      </c>
      <c r="AG281" s="55">
        <f>IF(OR(T281="",I281&lt;T281),"",IFERROR(AF281/-(R281/IF(G281="",I281,G281)-1),""))</f>
        <v/>
      </c>
      <c r="AH281" s="94" t="n">
        <v>-1</v>
      </c>
      <c r="AI281" s="94" t="n">
        <v>-31.27498822290096</v>
      </c>
      <c r="AJ281" s="94" t="n">
        <v>0</v>
      </c>
      <c r="AK281" s="94" t="inlineStr">
        <is>
          <t>None</t>
        </is>
      </c>
      <c r="AL281" s="84" t="inlineStr">
        <is>
          <t>United Therapeutics Corporation</t>
        </is>
      </c>
      <c r="AM281" t="inlineStr">
        <is>
          <t>Healthcare</t>
        </is>
      </c>
      <c r="AN281" t="inlineStr">
        <is>
          <t>Drug Manufacturers - Specialty &amp; Generic</t>
        </is>
      </c>
      <c r="AO281" t="n">
        <v>81</v>
      </c>
    </row>
    <row r="282">
      <c r="A282" s="64" t="inlineStr">
        <is>
          <t>STLD</t>
        </is>
      </c>
      <c r="B282" s="65" t="n"/>
      <c r="C282" s="66" t="n"/>
      <c r="D282" s="67" t="n"/>
      <c r="E282" s="68" t="n"/>
      <c r="F282" s="47">
        <f>IF(A282="","",IF(MIN(H282,MAX(J282:K282))=0,"",MIN(H282,MAX(J282:K282))))</f>
        <v/>
      </c>
      <c r="G282" s="74" t="n"/>
      <c r="H282" s="49">
        <f>IF(M282="","",IFERROR(ROUND(AVERAGE(T282+M282*{7,8,9,10,11})/1.21,4),""))</f>
        <v/>
      </c>
      <c r="I282" s="76" t="n">
        <v>173.5800018310547</v>
      </c>
      <c r="J282" s="77" t="n">
        <v>171.9828248645222</v>
      </c>
      <c r="K282" s="74" t="n">
        <v>172.7295013427734</v>
      </c>
      <c r="L282" s="78" t="n">
        <v>141.218500328064</v>
      </c>
      <c r="M282" s="77" t="n">
        <v>4.451013869067823</v>
      </c>
      <c r="N282" s="53">
        <f>IF(M282="","",IFERROR(M282/I282,""))</f>
        <v/>
      </c>
      <c r="O282" s="50">
        <f>IF(A282="","",IFERROR((IF(G282="",I282,G282)-T282)/M282,""))</f>
        <v/>
      </c>
      <c r="P282" s="50">
        <f>IFERROR((I282/T282-1)/N282,"")</f>
        <v/>
      </c>
      <c r="Q282" s="46">
        <f>IF(OR(T282="",I282&lt;T282),"",IFERROR(R282/IF(G282="",I282,G282)-1,""))</f>
        <v/>
      </c>
      <c r="R282" s="48">
        <f>IF($M282="","",MAX(IF($G282="",$I282,$G282)*(1/1.1),IF($G282="",$I282,$G282)+(R$2*$M282)))</f>
        <v/>
      </c>
      <c r="S282" s="49">
        <f>IF($M282="","",MAX(IF($G282="",$I282,$G282)*(1/1.1),IF($G282="",$I282,$G282)+(S$2*$M282)))</f>
        <v/>
      </c>
      <c r="T282" s="82" t="n">
        <v>166.4244009399414</v>
      </c>
      <c r="U282" s="47">
        <f>IF(OR($M282="",$T282=""),"",$T282+(U$2*$M282))</f>
        <v/>
      </c>
      <c r="V282" s="48">
        <f>IF(OR($M282="",$T282=""),"",$T282+(V$2*$M282))</f>
        <v/>
      </c>
      <c r="W282" s="48">
        <f>IF(OR($M282="",$T282=""),"",$T282+(W$2*$M282))</f>
        <v/>
      </c>
      <c r="X282" s="49">
        <f>IF(OR($M282="",$T282=""),"",$T282+(X$2*$M282))</f>
        <v/>
      </c>
      <c r="Y282" s="47">
        <f>IF(OR($M282="",$T282=""),"",$T282+(Y$2*$M282))</f>
        <v/>
      </c>
      <c r="Z282" s="49">
        <f>IF(OR($M282="",$T282=""),"",$T282+(Z$2*$M282))</f>
        <v/>
      </c>
      <c r="AA282" s="51">
        <f>IF(OR($M282="",$T282=""),"",$T282+(AA$2*$M282))</f>
        <v/>
      </c>
      <c r="AB282" s="48">
        <f>IF(OR($M282="",$T282=""),"",$T282+(AB$2*$M282))</f>
        <v/>
      </c>
      <c r="AC282" s="48">
        <f>IF(OR($M282="",$T282=""),"",$T282+(AC$2*$M282))</f>
        <v/>
      </c>
      <c r="AD282" s="48">
        <f>IF(OR($M282="",$T282=""),"",$T282+(AD$2*$M282))</f>
        <v/>
      </c>
      <c r="AE282" s="49">
        <f>IF(OR($M282="",$T282=""),"",$T282+(AE$2*$M282))</f>
        <v/>
      </c>
      <c r="AF282" s="52">
        <f>IF(OR(T282="",I282&lt;T282),"",IFERROR(AVERAGE(T282+M282*{7,8,9,10,11})/IF(G282="",I282,G282)-1,""))</f>
        <v/>
      </c>
      <c r="AG282" s="55">
        <f>IF(OR(T282="",I282&lt;T282),"",IFERROR(AF282/-(R282/IF(G282="",I282,G282)-1),""))</f>
        <v/>
      </c>
      <c r="AH282" s="94" t="n">
        <v>1</v>
      </c>
      <c r="AI282" s="94" t="n">
        <v>29.57123392301078</v>
      </c>
      <c r="AJ282" s="94" t="n">
        <v>0</v>
      </c>
      <c r="AK282" s="94" t="inlineStr">
        <is>
          <t>OTT Up Trend</t>
        </is>
      </c>
      <c r="AL282" s="84" t="inlineStr">
        <is>
          <t>Steel Dynamics, Inc.</t>
        </is>
      </c>
      <c r="AM282" t="inlineStr">
        <is>
          <t>Basic Materials</t>
        </is>
      </c>
      <c r="AN282" t="inlineStr">
        <is>
          <t>Steel</t>
        </is>
      </c>
      <c r="AO282" t="n">
        <v>81</v>
      </c>
    </row>
    <row r="283">
      <c r="A283" s="64" t="inlineStr">
        <is>
          <t>JBTM</t>
        </is>
      </c>
      <c r="B283" s="65" t="n"/>
      <c r="C283" s="66" t="n"/>
      <c r="D283" s="67" t="n"/>
      <c r="E283" s="68" t="n"/>
      <c r="F283" s="47">
        <f>IF(A283="","",IF(MIN(H283,MAX(J283:K283))=0,"",MIN(H283,MAX(J283:K283))))</f>
        <v/>
      </c>
      <c r="G283" s="74" t="n"/>
      <c r="H283" s="49">
        <f>IF(M283="","",IFERROR(ROUND(AVERAGE(T283+M283*{7,8,9,10,11})/1.21,4),""))</f>
        <v/>
      </c>
      <c r="I283" s="76" t="n">
        <v>158.8800048828125</v>
      </c>
      <c r="J283" s="77" t="n">
        <v>156.5960308596363</v>
      </c>
      <c r="K283" s="74" t="n">
        <v>155.1564987182617</v>
      </c>
      <c r="L283" s="78" t="n">
        <v>131.4501999664307</v>
      </c>
      <c r="M283" s="77" t="n">
        <v>3.721090680170115</v>
      </c>
      <c r="N283" s="53">
        <f>IF(M283="","",IFERROR(M283/I283,""))</f>
        <v/>
      </c>
      <c r="O283" s="50">
        <f>IF(A283="","",IFERROR((IF(G283="",I283,G283)-T283)/M283,""))</f>
        <v/>
      </c>
      <c r="P283" s="50">
        <f>IFERROR((I283/T283-1)/N283,"")</f>
        <v/>
      </c>
      <c r="Q283" s="46">
        <f>IF(OR(T283="",I283&lt;T283),"",IFERROR(R283/IF(G283="",I283,G283)-1,""))</f>
        <v/>
      </c>
      <c r="R283" s="48">
        <f>IF($M283="","",MAX(IF($G283="",$I283,$G283)*(1/1.1),IF($G283="",$I283,$G283)+(R$2*$M283)))</f>
        <v/>
      </c>
      <c r="S283" s="49">
        <f>IF($M283="","",MAX(IF($G283="",$I283,$G283)*(1/1.1),IF($G283="",$I283,$G283)+(S$2*$M283)))</f>
        <v/>
      </c>
      <c r="T283" s="82" t="n">
        <v>147.3747998046875</v>
      </c>
      <c r="U283" s="47">
        <f>IF(OR($M283="",$T283=""),"",$T283+(U$2*$M283))</f>
        <v/>
      </c>
      <c r="V283" s="48">
        <f>IF(OR($M283="",$T283=""),"",$T283+(V$2*$M283))</f>
        <v/>
      </c>
      <c r="W283" s="48">
        <f>IF(OR($M283="",$T283=""),"",$T283+(W$2*$M283))</f>
        <v/>
      </c>
      <c r="X283" s="49">
        <f>IF(OR($M283="",$T283=""),"",$T283+(X$2*$M283))</f>
        <v/>
      </c>
      <c r="Y283" s="47">
        <f>IF(OR($M283="",$T283=""),"",$T283+(Y$2*$M283))</f>
        <v/>
      </c>
      <c r="Z283" s="49">
        <f>IF(OR($M283="",$T283=""),"",$T283+(Z$2*$M283))</f>
        <v/>
      </c>
      <c r="AA283" s="51">
        <f>IF(OR($M283="",$T283=""),"",$T283+(AA$2*$M283))</f>
        <v/>
      </c>
      <c r="AB283" s="48">
        <f>IF(OR($M283="",$T283=""),"",$T283+(AB$2*$M283))</f>
        <v/>
      </c>
      <c r="AC283" s="48">
        <f>IF(OR($M283="",$T283=""),"",$T283+(AC$2*$M283))</f>
        <v/>
      </c>
      <c r="AD283" s="48">
        <f>IF(OR($M283="",$T283=""),"",$T283+(AD$2*$M283))</f>
        <v/>
      </c>
      <c r="AE283" s="49">
        <f>IF(OR($M283="",$T283=""),"",$T283+(AE$2*$M283))</f>
        <v/>
      </c>
      <c r="AF283" s="52">
        <f>IF(OR(T283="",I283&lt;T283),"",IFERROR(AVERAGE(T283+M283*{7,8,9,10,11})/IF(G283="",I283,G283)-1,""))</f>
        <v/>
      </c>
      <c r="AG283" s="55">
        <f>IF(OR(T283="",I283&lt;T283),"",IFERROR(AF283/-(R283/IF(G283="",I283,G283)-1),""))</f>
        <v/>
      </c>
      <c r="AH283" s="94" t="n">
        <v>1</v>
      </c>
      <c r="AI283" s="94" t="n">
        <v>75.33180304105413</v>
      </c>
      <c r="AJ283" s="94" t="n">
        <v>0</v>
      </c>
      <c r="AK283" s="94" t="inlineStr">
        <is>
          <t>OTT Up Trend</t>
        </is>
      </c>
      <c r="AL283" s="84" t="inlineStr">
        <is>
          <t>JBT Marel Corporation</t>
        </is>
      </c>
      <c r="AM283" t="inlineStr">
        <is>
          <t>Industrials</t>
        </is>
      </c>
      <c r="AN283" t="inlineStr">
        <is>
          <t>Specialty Industrial Machinery</t>
        </is>
      </c>
      <c r="AO283" t="n">
        <v>81</v>
      </c>
    </row>
    <row r="284">
      <c r="A284" s="64" t="inlineStr">
        <is>
          <t>MUR</t>
        </is>
      </c>
      <c r="B284" s="65" t="n"/>
      <c r="C284" s="66" t="n"/>
      <c r="D284" s="67" t="n"/>
      <c r="E284" s="68" t="n"/>
      <c r="F284" s="47">
        <f>IF(A284="","",IF(MIN(H284,MAX(J284:K284))=0,"",MIN(H284,MAX(J284:K284))))</f>
        <v/>
      </c>
      <c r="G284" s="74" t="n"/>
      <c r="H284" s="49">
        <f>IF(M284="","",IFERROR(ROUND(AVERAGE(T284+M284*{7,8,9,10,11})/1.21,4),""))</f>
        <v/>
      </c>
      <c r="I284" s="76" t="n">
        <v>33.91999816894531</v>
      </c>
      <c r="J284" s="77" t="n">
        <v>32.87955202886943</v>
      </c>
      <c r="K284" s="74" t="n">
        <v>31.95550041198731</v>
      </c>
      <c r="L284" s="78" t="n">
        <v>26.24745001792908</v>
      </c>
      <c r="M284" s="77" t="n">
        <v>1.299019792567761</v>
      </c>
      <c r="N284" s="53">
        <f>IF(M284="","",IFERROR(M284/I284,""))</f>
        <v/>
      </c>
      <c r="O284" s="50">
        <f>IF(A284="","",IFERROR((IF(G284="",I284,G284)-T284)/M284,""))</f>
        <v/>
      </c>
      <c r="P284" s="50">
        <f>IFERROR((I284/T284-1)/N284,"")</f>
        <v/>
      </c>
      <c r="Q284" s="46">
        <f>IF(OR(T284="",I284&lt;T284),"",IFERROR(R284/IF(G284="",I284,G284)-1,""))</f>
        <v/>
      </c>
      <c r="R284" s="48">
        <f>IF($M284="","",MAX(IF($G284="",$I284,$G284)*(1/1.1),IF($G284="",$I284,$G284)+(R$2*$M284)))</f>
        <v/>
      </c>
      <c r="S284" s="49">
        <f>IF($M284="","",MAX(IF($G284="",$I284,$G284)*(1/1.1),IF($G284="",$I284,$G284)+(S$2*$M284)))</f>
        <v/>
      </c>
      <c r="T284" s="82" t="n">
        <v>31.37940013885498</v>
      </c>
      <c r="U284" s="47">
        <f>IF(OR($M284="",$T284=""),"",$T284+(U$2*$M284))</f>
        <v/>
      </c>
      <c r="V284" s="48">
        <f>IF(OR($M284="",$T284=""),"",$T284+(V$2*$M284))</f>
        <v/>
      </c>
      <c r="W284" s="48">
        <f>IF(OR($M284="",$T284=""),"",$T284+(W$2*$M284))</f>
        <v/>
      </c>
      <c r="X284" s="49">
        <f>IF(OR($M284="",$T284=""),"",$T284+(X$2*$M284))</f>
        <v/>
      </c>
      <c r="Y284" s="47">
        <f>IF(OR($M284="",$T284=""),"",$T284+(Y$2*$M284))</f>
        <v/>
      </c>
      <c r="Z284" s="49">
        <f>IF(OR($M284="",$T284=""),"",$T284+(Z$2*$M284))</f>
        <v/>
      </c>
      <c r="AA284" s="51">
        <f>IF(OR($M284="",$T284=""),"",$T284+(AA$2*$M284))</f>
        <v/>
      </c>
      <c r="AB284" s="48">
        <f>IF(OR($M284="",$T284=""),"",$T284+(AB$2*$M284))</f>
        <v/>
      </c>
      <c r="AC284" s="48">
        <f>IF(OR($M284="",$T284=""),"",$T284+(AC$2*$M284))</f>
        <v/>
      </c>
      <c r="AD284" s="48">
        <f>IF(OR($M284="",$T284=""),"",$T284+(AD$2*$M284))</f>
        <v/>
      </c>
      <c r="AE284" s="49">
        <f>IF(OR($M284="",$T284=""),"",$T284+(AE$2*$M284))</f>
        <v/>
      </c>
      <c r="AF284" s="52">
        <f>IF(OR(T284="",I284&lt;T284),"",IFERROR(AVERAGE(T284+M284*{7,8,9,10,11})/IF(G284="",I284,G284)-1,""))</f>
        <v/>
      </c>
      <c r="AG284" s="55">
        <f>IF(OR(T284="",I284&lt;T284),"",IFERROR(AF284/-(R284/IF(G284="",I284,G284)-1),""))</f>
        <v/>
      </c>
      <c r="AH284" s="94" t="n">
        <v>1</v>
      </c>
      <c r="AI284" s="94" t="n">
        <v>47.47289674552957</v>
      </c>
      <c r="AJ284" s="94" t="n">
        <v>1</v>
      </c>
      <c r="AK284" s="94" t="inlineStr">
        <is>
          <t>OTT Up Trend</t>
        </is>
      </c>
      <c r="AL284" s="84" t="inlineStr">
        <is>
          <t>Murphy Oil Corporation</t>
        </is>
      </c>
      <c r="AM284" t="inlineStr">
        <is>
          <t>Energy</t>
        </is>
      </c>
      <c r="AN284" t="inlineStr">
        <is>
          <t>Oil &amp; Gas E&amp;P</t>
        </is>
      </c>
      <c r="AO284" t="n">
        <v>81</v>
      </c>
    </row>
    <row r="285">
      <c r="A285" s="64" t="inlineStr">
        <is>
          <t>REX</t>
        </is>
      </c>
      <c r="B285" s="65" t="n"/>
      <c r="C285" s="66" t="n"/>
      <c r="D285" s="67" t="n"/>
      <c r="E285" s="68" t="n"/>
      <c r="F285" s="47">
        <f>IF(A285="","",IF(MIN(H285,MAX(J285:K285))=0,"",MIN(H285,MAX(J285:K285))))</f>
        <v/>
      </c>
      <c r="G285" s="74" t="n"/>
      <c r="H285" s="49">
        <f>IF(M285="","",IFERROR(ROUND(AVERAGE(T285+M285*{7,8,9,10,11})/1.21,4),""))</f>
        <v/>
      </c>
      <c r="I285" s="76" t="n">
        <v>33.59000015258789</v>
      </c>
      <c r="J285" s="77" t="n">
        <v>33.2688896380044</v>
      </c>
      <c r="K285" s="74" t="n">
        <v>33.2520004272461</v>
      </c>
      <c r="L285" s="78" t="n">
        <v>27.78730005264282</v>
      </c>
      <c r="M285" s="77" t="n">
        <v>1.040371281421915</v>
      </c>
      <c r="N285" s="53">
        <f>IF(M285="","",IFERROR(M285/I285,""))</f>
        <v/>
      </c>
      <c r="O285" s="50">
        <f>IF(A285="","",IFERROR((IF(G285="",I285,G285)-T285)/M285,""))</f>
        <v/>
      </c>
      <c r="P285" s="50">
        <f>IFERROR((I285/T285-1)/N285,"")</f>
        <v/>
      </c>
      <c r="Q285" s="46">
        <f>IF(OR(T285="",I285&lt;T285),"",IFERROR(R285/IF(G285="",I285,G285)-1,""))</f>
        <v/>
      </c>
      <c r="R285" s="48">
        <f>IF($M285="","",MAX(IF($G285="",$I285,$G285)*(1/1.1),IF($G285="",$I285,$G285)+(R$2*$M285)))</f>
        <v/>
      </c>
      <c r="S285" s="49">
        <f>IF($M285="","",MAX(IF($G285="",$I285,$G285)*(1/1.1),IF($G285="",$I285,$G285)+(S$2*$M285)))</f>
        <v/>
      </c>
      <c r="T285" s="82" t="n">
        <v>33.05320022583007</v>
      </c>
      <c r="U285" s="47">
        <f>IF(OR($M285="",$T285=""),"",$T285+(U$2*$M285))</f>
        <v/>
      </c>
      <c r="V285" s="48">
        <f>IF(OR($M285="",$T285=""),"",$T285+(V$2*$M285))</f>
        <v/>
      </c>
      <c r="W285" s="48">
        <f>IF(OR($M285="",$T285=""),"",$T285+(W$2*$M285))</f>
        <v/>
      </c>
      <c r="X285" s="49">
        <f>IF(OR($M285="",$T285=""),"",$T285+(X$2*$M285))</f>
        <v/>
      </c>
      <c r="Y285" s="47">
        <f>IF(OR($M285="",$T285=""),"",$T285+(Y$2*$M285))</f>
        <v/>
      </c>
      <c r="Z285" s="49">
        <f>IF(OR($M285="",$T285=""),"",$T285+(Z$2*$M285))</f>
        <v/>
      </c>
      <c r="AA285" s="51">
        <f>IF(OR($M285="",$T285=""),"",$T285+(AA$2*$M285))</f>
        <v/>
      </c>
      <c r="AB285" s="48">
        <f>IF(OR($M285="",$T285=""),"",$T285+(AB$2*$M285))</f>
        <v/>
      </c>
      <c r="AC285" s="48">
        <f>IF(OR($M285="",$T285=""),"",$T285+(AC$2*$M285))</f>
        <v/>
      </c>
      <c r="AD285" s="48">
        <f>IF(OR($M285="",$T285=""),"",$T285+(AD$2*$M285))</f>
        <v/>
      </c>
      <c r="AE285" s="49">
        <f>IF(OR($M285="",$T285=""),"",$T285+(AE$2*$M285))</f>
        <v/>
      </c>
      <c r="AF285" s="52">
        <f>IF(OR(T285="",I285&lt;T285),"",IFERROR(AVERAGE(T285+M285*{7,8,9,10,11})/IF(G285="",I285,G285)-1,""))</f>
        <v/>
      </c>
      <c r="AG285" s="55">
        <f>IF(OR(T285="",I285&lt;T285),"",IFERROR(AF285/-(R285/IF(G285="",I285,G285)-1),""))</f>
        <v/>
      </c>
      <c r="AH285" s="94" t="n">
        <v>1</v>
      </c>
      <c r="AI285" s="94" t="n">
        <v>7.90192716149589</v>
      </c>
      <c r="AJ285" s="94" t="n">
        <v>1</v>
      </c>
      <c r="AK285" s="94" t="inlineStr">
        <is>
          <t>None</t>
        </is>
      </c>
      <c r="AL285" s="84" t="inlineStr">
        <is>
          <t>REX American Resources Corporat</t>
        </is>
      </c>
      <c r="AM285" t="inlineStr">
        <is>
          <t>Basic Materials</t>
        </is>
      </c>
      <c r="AN285" t="inlineStr">
        <is>
          <t>Chemicals</t>
        </is>
      </c>
      <c r="AO285" t="n">
        <v>81</v>
      </c>
    </row>
    <row r="286">
      <c r="A286" s="64" t="inlineStr">
        <is>
          <t>NHC</t>
        </is>
      </c>
      <c r="B286" s="65" t="n"/>
      <c r="C286" s="66" t="n"/>
      <c r="D286" s="67" t="n"/>
      <c r="E286" s="68" t="n"/>
      <c r="F286" s="47">
        <f>IF(A286="","",IF(MIN(H286,MAX(J286:K286))=0,"",MIN(H286,MAX(J286:K286))))</f>
        <v/>
      </c>
      <c r="G286" s="74" t="n"/>
      <c r="H286" s="49">
        <f>IF(M286="","",IFERROR(ROUND(AVERAGE(T286+M286*{7,8,9,10,11})/1.21,4),""))</f>
        <v/>
      </c>
      <c r="I286" s="76" t="n">
        <v>137.1499938964844</v>
      </c>
      <c r="J286" s="77" t="n">
        <v>135.3180990959331</v>
      </c>
      <c r="K286" s="74" t="n">
        <v>136.1729988098145</v>
      </c>
      <c r="L286" s="78" t="n">
        <v>113.7050497817993</v>
      </c>
      <c r="M286" s="77" t="n">
        <v>4.038365781232502</v>
      </c>
      <c r="N286" s="53">
        <f>IF(M286="","",IFERROR(M286/I286,""))</f>
        <v/>
      </c>
      <c r="O286" s="50">
        <f>IF(A286="","",IFERROR((IF(G286="",I286,G286)-T286)/M286,""))</f>
        <v/>
      </c>
      <c r="P286" s="50">
        <f>IFERROR((I286/T286-1)/N286,"")</f>
        <v/>
      </c>
      <c r="Q286" s="46">
        <f>IF(OR(T286="",I286&lt;T286),"",IFERROR(R286/IF(G286="",I286,G286)-1,""))</f>
        <v/>
      </c>
      <c r="R286" s="48">
        <f>IF($M286="","",MAX(IF($G286="",$I286,$G286)*(1/1.1),IF($G286="",$I286,$G286)+(R$2*$M286)))</f>
        <v/>
      </c>
      <c r="S286" s="49">
        <f>IF($M286="","",MAX(IF($G286="",$I286,$G286)*(1/1.1),IF($G286="",$I286,$G286)+(S$2*$M286)))</f>
        <v/>
      </c>
      <c r="T286" s="82" t="n">
        <v>134.1191984558105</v>
      </c>
      <c r="U286" s="47">
        <f>IF(OR($M286="",$T286=""),"",$T286+(U$2*$M286))</f>
        <v/>
      </c>
      <c r="V286" s="48">
        <f>IF(OR($M286="",$T286=""),"",$T286+(V$2*$M286))</f>
        <v/>
      </c>
      <c r="W286" s="48">
        <f>IF(OR($M286="",$T286=""),"",$T286+(W$2*$M286))</f>
        <v/>
      </c>
      <c r="X286" s="49">
        <f>IF(OR($M286="",$T286=""),"",$T286+(X$2*$M286))</f>
        <v/>
      </c>
      <c r="Y286" s="47">
        <f>IF(OR($M286="",$T286=""),"",$T286+(Y$2*$M286))</f>
        <v/>
      </c>
      <c r="Z286" s="49">
        <f>IF(OR($M286="",$T286=""),"",$T286+(Z$2*$M286))</f>
        <v/>
      </c>
      <c r="AA286" s="51">
        <f>IF(OR($M286="",$T286=""),"",$T286+(AA$2*$M286))</f>
        <v/>
      </c>
      <c r="AB286" s="48">
        <f>IF(OR($M286="",$T286=""),"",$T286+(AB$2*$M286))</f>
        <v/>
      </c>
      <c r="AC286" s="48">
        <f>IF(OR($M286="",$T286=""),"",$T286+(AC$2*$M286))</f>
        <v/>
      </c>
      <c r="AD286" s="48">
        <f>IF(OR($M286="",$T286=""),"",$T286+(AD$2*$M286))</f>
        <v/>
      </c>
      <c r="AE286" s="49">
        <f>IF(OR($M286="",$T286=""),"",$T286+(AE$2*$M286))</f>
        <v/>
      </c>
      <c r="AF286" s="52">
        <f>IF(OR(T286="",I286&lt;T286),"",IFERROR(AVERAGE(T286+M286*{7,8,9,10,11})/IF(G286="",I286,G286)-1,""))</f>
        <v/>
      </c>
      <c r="AG286" s="55">
        <f>IF(OR(T286="",I286&lt;T286),"",IFERROR(AF286/-(R286/IF(G286="",I286,G286)-1),""))</f>
        <v/>
      </c>
      <c r="AH286" s="94" t="n">
        <v>-1</v>
      </c>
      <c r="AI286" s="94" t="n">
        <v>4.981871659137422</v>
      </c>
      <c r="AJ286" s="94" t="n">
        <v>1</v>
      </c>
      <c r="AK286" s="94" t="inlineStr">
        <is>
          <t>None</t>
        </is>
      </c>
      <c r="AL286" s="84" t="inlineStr">
        <is>
          <t>National HealthCare Corporation</t>
        </is>
      </c>
      <c r="AM286" t="inlineStr">
        <is>
          <t>Healthcare</t>
        </is>
      </c>
      <c r="AN286" t="inlineStr">
        <is>
          <t>Medical Care Facilities</t>
        </is>
      </c>
      <c r="AO286" t="n">
        <v>81</v>
      </c>
    </row>
    <row r="287">
      <c r="A287" s="64" t="inlineStr">
        <is>
          <t>FBNC</t>
        </is>
      </c>
      <c r="B287" s="65" t="n"/>
      <c r="C287" s="66" t="n"/>
      <c r="D287" s="67" t="n"/>
      <c r="E287" s="68" t="n"/>
      <c r="F287" s="47">
        <f>IF(A287="","",IF(MIN(H287,MAX(J287:K287))=0,"",MIN(H287,MAX(J287:K287))))</f>
        <v/>
      </c>
      <c r="G287" s="74" t="n"/>
      <c r="H287" s="49">
        <f>IF(M287="","",IFERROR(ROUND(AVERAGE(T287+M287*{7,8,9,10,11})/1.21,4),""))</f>
        <v/>
      </c>
      <c r="I287" s="76" t="n">
        <v>57.91999816894531</v>
      </c>
      <c r="J287" s="77" t="n">
        <v>54.87481976795253</v>
      </c>
      <c r="K287" s="74" t="n">
        <v>53.14399948120117</v>
      </c>
      <c r="L287" s="78" t="n">
        <v>47.94834999084473</v>
      </c>
      <c r="M287" s="77" t="n">
        <v>1.326487364793937</v>
      </c>
      <c r="N287" s="53">
        <f>IF(M287="","",IFERROR(M287/I287,""))</f>
        <v/>
      </c>
      <c r="O287" s="50">
        <f>IF(A287="","",IFERROR((IF(G287="",I287,G287)-T287)/M287,""))</f>
        <v/>
      </c>
      <c r="P287" s="50">
        <f>IFERROR((I287/T287-1)/N287,"")</f>
        <v/>
      </c>
      <c r="Q287" s="46">
        <f>IF(OR(T287="",I287&lt;T287),"",IFERROR(R287/IF(G287="",I287,G287)-1,""))</f>
        <v/>
      </c>
      <c r="R287" s="48">
        <f>IF($M287="","",MAX(IF($G287="",$I287,$G287)*(1/1.1),IF($G287="",$I287,$G287)+(R$2*$M287)))</f>
        <v/>
      </c>
      <c r="S287" s="49">
        <f>IF($M287="","",MAX(IF($G287="",$I287,$G287)*(1/1.1),IF($G287="",$I287,$G287)+(S$2*$M287)))</f>
        <v/>
      </c>
      <c r="T287" s="82" t="n">
        <v>51.91899978637695</v>
      </c>
      <c r="U287" s="47">
        <f>IF(OR($M287="",$T287=""),"",$T287+(U$2*$M287))</f>
        <v/>
      </c>
      <c r="V287" s="48">
        <f>IF(OR($M287="",$T287=""),"",$T287+(V$2*$M287))</f>
        <v/>
      </c>
      <c r="W287" s="48">
        <f>IF(OR($M287="",$T287=""),"",$T287+(W$2*$M287))</f>
        <v/>
      </c>
      <c r="X287" s="49">
        <f>IF(OR($M287="",$T287=""),"",$T287+(X$2*$M287))</f>
        <v/>
      </c>
      <c r="Y287" s="47">
        <f>IF(OR($M287="",$T287=""),"",$T287+(Y$2*$M287))</f>
        <v/>
      </c>
      <c r="Z287" s="49">
        <f>IF(OR($M287="",$T287=""),"",$T287+(Z$2*$M287))</f>
        <v/>
      </c>
      <c r="AA287" s="51">
        <f>IF(OR($M287="",$T287=""),"",$T287+(AA$2*$M287))</f>
        <v/>
      </c>
      <c r="AB287" s="48">
        <f>IF(OR($M287="",$T287=""),"",$T287+(AB$2*$M287))</f>
        <v/>
      </c>
      <c r="AC287" s="48">
        <f>IF(OR($M287="",$T287=""),"",$T287+(AC$2*$M287))</f>
        <v/>
      </c>
      <c r="AD287" s="48">
        <f>IF(OR($M287="",$T287=""),"",$T287+(AD$2*$M287))</f>
        <v/>
      </c>
      <c r="AE287" s="49">
        <f>IF(OR($M287="",$T287=""),"",$T287+(AE$2*$M287))</f>
        <v/>
      </c>
      <c r="AF287" s="52">
        <f>IF(OR(T287="",I287&lt;T287),"",IFERROR(AVERAGE(T287+M287*{7,8,9,10,11})/IF(G287="",I287,G287)-1,""))</f>
        <v/>
      </c>
      <c r="AG287" s="55">
        <f>IF(OR(T287="",I287&lt;T287),"",IFERROR(AF287/-(R287/IF(G287="",I287,G287)-1),""))</f>
        <v/>
      </c>
      <c r="AH287" s="94" t="n">
        <v>1</v>
      </c>
      <c r="AI287" s="94" t="n">
        <v>94.37703981025352</v>
      </c>
      <c r="AJ287" s="94" t="n">
        <v>1</v>
      </c>
      <c r="AK287" s="94" t="inlineStr">
        <is>
          <t>OTT Turned Up</t>
        </is>
      </c>
      <c r="AL287" s="84" t="inlineStr">
        <is>
          <t>First Bancorp</t>
        </is>
      </c>
      <c r="AM287" t="inlineStr">
        <is>
          <t>Financial Services</t>
        </is>
      </c>
      <c r="AN287" t="inlineStr">
        <is>
          <t>Banks - Regional</t>
        </is>
      </c>
      <c r="AO287" t="n">
        <v>81</v>
      </c>
    </row>
    <row r="288">
      <c r="A288" s="64" t="inlineStr">
        <is>
          <t>TEX</t>
        </is>
      </c>
      <c r="B288" s="65" t="n"/>
      <c r="C288" s="66" t="n"/>
      <c r="D288" s="67" t="n"/>
      <c r="E288" s="68" t="n"/>
      <c r="F288" s="47">
        <f>IF(A288="","",IF(MIN(H288,MAX(J288:K288))=0,"",MIN(H288,MAX(J288:K288))))</f>
        <v/>
      </c>
      <c r="G288" s="74" t="n"/>
      <c r="H288" s="49">
        <f>IF(M288="","",IFERROR(ROUND(AVERAGE(T288+M288*{7,8,9,10,11})/1.21,4),""))</f>
        <v/>
      </c>
      <c r="I288" s="76" t="n">
        <v>60.38999938964844</v>
      </c>
      <c r="J288" s="77" t="n">
        <v>59.28669885436582</v>
      </c>
      <c r="K288" s="74" t="n">
        <v>56.89200000762939</v>
      </c>
      <c r="L288" s="78" t="n">
        <v>48.48025005340576</v>
      </c>
      <c r="M288" s="77" t="n">
        <v>1.77056701054533</v>
      </c>
      <c r="N288" s="53">
        <f>IF(M288="","",IFERROR(M288/I288,""))</f>
        <v/>
      </c>
      <c r="O288" s="50">
        <f>IF(A288="","",IFERROR((IF(G288="",I288,G288)-T288)/M288,""))</f>
        <v/>
      </c>
      <c r="P288" s="50">
        <f>IFERROR((I288/T288-1)/N288,"")</f>
        <v/>
      </c>
      <c r="Q288" s="46">
        <f>IF(OR(T288="",I288&lt;T288),"",IFERROR(R288/IF(G288="",I288,G288)-1,""))</f>
        <v/>
      </c>
      <c r="R288" s="48">
        <f>IF($M288="","",MAX(IF($G288="",$I288,$G288)*(1/1.1),IF($G288="",$I288,$G288)+(R$2*$M288)))</f>
        <v/>
      </c>
      <c r="S288" s="49">
        <f>IF($M288="","",MAX(IF($G288="",$I288,$G288)*(1/1.1),IF($G288="",$I288,$G288)+(S$2*$M288)))</f>
        <v/>
      </c>
      <c r="T288" s="82" t="n">
        <v>51.15659988403321</v>
      </c>
      <c r="U288" s="47">
        <f>IF(OR($M288="",$T288=""),"",$T288+(U$2*$M288))</f>
        <v/>
      </c>
      <c r="V288" s="48">
        <f>IF(OR($M288="",$T288=""),"",$T288+(V$2*$M288))</f>
        <v/>
      </c>
      <c r="W288" s="48">
        <f>IF(OR($M288="",$T288=""),"",$T288+(W$2*$M288))</f>
        <v/>
      </c>
      <c r="X288" s="49">
        <f>IF(OR($M288="",$T288=""),"",$T288+(X$2*$M288))</f>
        <v/>
      </c>
      <c r="Y288" s="47">
        <f>IF(OR($M288="",$T288=""),"",$T288+(Y$2*$M288))</f>
        <v/>
      </c>
      <c r="Z288" s="49">
        <f>IF(OR($M288="",$T288=""),"",$T288+(Z$2*$M288))</f>
        <v/>
      </c>
      <c r="AA288" s="51">
        <f>IF(OR($M288="",$T288=""),"",$T288+(AA$2*$M288))</f>
        <v/>
      </c>
      <c r="AB288" s="48">
        <f>IF(OR($M288="",$T288=""),"",$T288+(AB$2*$M288))</f>
        <v/>
      </c>
      <c r="AC288" s="48">
        <f>IF(OR($M288="",$T288=""),"",$T288+(AC$2*$M288))</f>
        <v/>
      </c>
      <c r="AD288" s="48">
        <f>IF(OR($M288="",$T288=""),"",$T288+(AD$2*$M288))</f>
        <v/>
      </c>
      <c r="AE288" s="49">
        <f>IF(OR($M288="",$T288=""),"",$T288+(AE$2*$M288))</f>
        <v/>
      </c>
      <c r="AF288" s="52">
        <f>IF(OR(T288="",I288&lt;T288),"",IFERROR(AVERAGE(T288+M288*{7,8,9,10,11})/IF(G288="",I288,G288)-1,""))</f>
        <v/>
      </c>
      <c r="AG288" s="55">
        <f>IF(OR(T288="",I288&lt;T288),"",IFERROR(AF288/-(R288/IF(G288="",I288,G288)-1),""))</f>
        <v/>
      </c>
      <c r="AH288" s="94" t="n">
        <v>1</v>
      </c>
      <c r="AI288" s="94" t="n">
        <v>148.0295186423729</v>
      </c>
      <c r="AJ288" s="94" t="n">
        <v>1</v>
      </c>
      <c r="AK288" s="94" t="inlineStr">
        <is>
          <t>OTT Up Trend</t>
        </is>
      </c>
      <c r="AL288" s="84" t="inlineStr">
        <is>
          <t>Terex Corporation</t>
        </is>
      </c>
      <c r="AM288" t="inlineStr">
        <is>
          <t>Industrials</t>
        </is>
      </c>
      <c r="AN288" t="inlineStr">
        <is>
          <t>Farm &amp; Heavy Construction Machinery</t>
        </is>
      </c>
      <c r="AO288" t="n">
        <v>81</v>
      </c>
    </row>
    <row r="289">
      <c r="A289" s="64" t="inlineStr">
        <is>
          <t>NTRS</t>
        </is>
      </c>
      <c r="B289" s="65" t="n"/>
      <c r="C289" s="66" t="n"/>
      <c r="D289" s="67" t="n"/>
      <c r="E289" s="68" t="n"/>
      <c r="F289" s="47">
        <f>IF(A289="","",IF(MIN(H289,MAX(J289:K289))=0,"",MIN(H289,MAX(J289:K289))))</f>
        <v/>
      </c>
      <c r="G289" s="74" t="n"/>
      <c r="H289" s="49">
        <f>IF(M289="","",IFERROR(ROUND(AVERAGE(T289+M289*{7,8,9,10,11})/1.21,4),""))</f>
        <v/>
      </c>
      <c r="I289" s="76" t="n">
        <v>145.5700073242188</v>
      </c>
      <c r="J289" s="77" t="n">
        <v>144.571561299338</v>
      </c>
      <c r="K289" s="74" t="n">
        <v>142.1535011291504</v>
      </c>
      <c r="L289" s="78" t="n">
        <v>122.3498001861572</v>
      </c>
      <c r="M289" s="77" t="n">
        <v>2.693160392379973</v>
      </c>
      <c r="N289" s="53">
        <f>IF(M289="","",IFERROR(M289/I289,""))</f>
        <v/>
      </c>
      <c r="O289" s="50">
        <f>IF(A289="","",IFERROR((IF(G289="",I289,G289)-T289)/M289,""))</f>
        <v/>
      </c>
      <c r="P289" s="50">
        <f>IFERROR((I289/T289-1)/N289,"")</f>
        <v/>
      </c>
      <c r="Q289" s="46">
        <f>IF(OR(T289="",I289&lt;T289),"",IFERROR(R289/IF(G289="",I289,G289)-1,""))</f>
        <v/>
      </c>
      <c r="R289" s="48">
        <f>IF($M289="","",MAX(IF($G289="",$I289,$G289)*(1/1.1),IF($G289="",$I289,$G289)+(R$2*$M289)))</f>
        <v/>
      </c>
      <c r="S289" s="49">
        <f>IF($M289="","",MAX(IF($G289="",$I289,$G289)*(1/1.1),IF($G289="",$I289,$G289)+(S$2*$M289)))</f>
        <v/>
      </c>
      <c r="T289" s="82" t="n">
        <v>135.7030004882812</v>
      </c>
      <c r="U289" s="47">
        <f>IF(OR($M289="",$T289=""),"",$T289+(U$2*$M289))</f>
        <v/>
      </c>
      <c r="V289" s="48">
        <f>IF(OR($M289="",$T289=""),"",$T289+(V$2*$M289))</f>
        <v/>
      </c>
      <c r="W289" s="48">
        <f>IF(OR($M289="",$T289=""),"",$T289+(W$2*$M289))</f>
        <v/>
      </c>
      <c r="X289" s="49">
        <f>IF(OR($M289="",$T289=""),"",$T289+(X$2*$M289))</f>
        <v/>
      </c>
      <c r="Y289" s="47">
        <f>IF(OR($M289="",$T289=""),"",$T289+(Y$2*$M289))</f>
        <v/>
      </c>
      <c r="Z289" s="49">
        <f>IF(OR($M289="",$T289=""),"",$T289+(Z$2*$M289))</f>
        <v/>
      </c>
      <c r="AA289" s="51">
        <f>IF(OR($M289="",$T289=""),"",$T289+(AA$2*$M289))</f>
        <v/>
      </c>
      <c r="AB289" s="48">
        <f>IF(OR($M289="",$T289=""),"",$T289+(AB$2*$M289))</f>
        <v/>
      </c>
      <c r="AC289" s="48">
        <f>IF(OR($M289="",$T289=""),"",$T289+(AC$2*$M289))</f>
        <v/>
      </c>
      <c r="AD289" s="48">
        <f>IF(OR($M289="",$T289=""),"",$T289+(AD$2*$M289))</f>
        <v/>
      </c>
      <c r="AE289" s="49">
        <f>IF(OR($M289="",$T289=""),"",$T289+(AE$2*$M289))</f>
        <v/>
      </c>
      <c r="AF289" s="52">
        <f>IF(OR(T289="",I289&lt;T289),"",IFERROR(AVERAGE(T289+M289*{7,8,9,10,11})/IF(G289="",I289,G289)-1,""))</f>
        <v/>
      </c>
      <c r="AG289" s="55">
        <f>IF(OR(T289="",I289&lt;T289),"",IFERROR(AF289/-(R289/IF(G289="",I289,G289)-1),""))</f>
        <v/>
      </c>
      <c r="AH289" s="94" t="n">
        <v>1</v>
      </c>
      <c r="AI289" s="94" t="n">
        <v>109.164274722554</v>
      </c>
      <c r="AJ289" s="94" t="n">
        <v>1</v>
      </c>
      <c r="AK289" s="94" t="inlineStr">
        <is>
          <t>OTT Up Trend</t>
        </is>
      </c>
      <c r="AL289" s="84" t="inlineStr">
        <is>
          <t>Northern Trust Corporation</t>
        </is>
      </c>
      <c r="AM289" t="inlineStr">
        <is>
          <t>Financial Services</t>
        </is>
      </c>
      <c r="AN289" t="inlineStr">
        <is>
          <t>Asset Management</t>
        </is>
      </c>
      <c r="AO289" t="n">
        <v>81</v>
      </c>
    </row>
    <row r="290">
      <c r="A290" s="64" t="inlineStr">
        <is>
          <t>OPLN</t>
        </is>
      </c>
      <c r="B290" s="65" t="n"/>
      <c r="C290" s="66" t="n"/>
      <c r="D290" s="67" t="n"/>
      <c r="E290" s="68" t="n"/>
      <c r="F290" s="47">
        <f>IF(A290="","",IF(MIN(H290,MAX(J290:K290))=0,"",MIN(H290,MAX(J290:K290))))</f>
        <v/>
      </c>
      <c r="G290" s="74" t="n"/>
      <c r="H290" s="49">
        <f>IF(M290="","",IFERROR(ROUND(AVERAGE(T290+M290*{7,8,9,10,11})/1.21,4),""))</f>
        <v/>
      </c>
      <c r="I290" s="76" t="n">
        <v>30.11000061035156</v>
      </c>
      <c r="J290" s="77" t="n">
        <v>30.59695236470727</v>
      </c>
      <c r="K290" s="74" t="n">
        <v>30.53649997711182</v>
      </c>
      <c r="L290" s="78" t="n">
        <v>25.50415002822876</v>
      </c>
      <c r="M290" s="77" t="n">
        <v>0.8662589671521075</v>
      </c>
      <c r="N290" s="53">
        <f>IF(M290="","",IFERROR(M290/I290,""))</f>
        <v/>
      </c>
      <c r="O290" s="50">
        <f>IF(A290="","",IFERROR((IF(G290="",I290,G290)-T290)/M290,""))</f>
        <v/>
      </c>
      <c r="P290" s="50">
        <f>IFERROR((I290/T290-1)/N290,"")</f>
        <v/>
      </c>
      <c r="Q290" s="46">
        <f>IF(OR(T290="",I290&lt;T290),"",IFERROR(R290/IF(G290="",I290,G290)-1,""))</f>
        <v/>
      </c>
      <c r="R290" s="48">
        <f>IF($M290="","",MAX(IF($G290="",$I290,$G290)*(1/1.1),IF($G290="",$I290,$G290)+(R$2*$M290)))</f>
        <v/>
      </c>
      <c r="S290" s="49">
        <f>IF($M290="","",MAX(IF($G290="",$I290,$G290)*(1/1.1),IF($G290="",$I290,$G290)+(S$2*$M290)))</f>
        <v/>
      </c>
      <c r="T290" s="82" t="n">
        <v>27.90400001525879</v>
      </c>
      <c r="U290" s="47">
        <f>IF(OR($M290="",$T290=""),"",$T290+(U$2*$M290))</f>
        <v/>
      </c>
      <c r="V290" s="48">
        <f>IF(OR($M290="",$T290=""),"",$T290+(V$2*$M290))</f>
        <v/>
      </c>
      <c r="W290" s="48">
        <f>IF(OR($M290="",$T290=""),"",$T290+(W$2*$M290))</f>
        <v/>
      </c>
      <c r="X290" s="49">
        <f>IF(OR($M290="",$T290=""),"",$T290+(X$2*$M290))</f>
        <v/>
      </c>
      <c r="Y290" s="47">
        <f>IF(OR($M290="",$T290=""),"",$T290+(Y$2*$M290))</f>
        <v/>
      </c>
      <c r="Z290" s="49">
        <f>IF(OR($M290="",$T290=""),"",$T290+(Z$2*$M290))</f>
        <v/>
      </c>
      <c r="AA290" s="51">
        <f>IF(OR($M290="",$T290=""),"",$T290+(AA$2*$M290))</f>
        <v/>
      </c>
      <c r="AB290" s="48">
        <f>IF(OR($M290="",$T290=""),"",$T290+(AB$2*$M290))</f>
        <v/>
      </c>
      <c r="AC290" s="48">
        <f>IF(OR($M290="",$T290=""),"",$T290+(AC$2*$M290))</f>
        <v/>
      </c>
      <c r="AD290" s="48">
        <f>IF(OR($M290="",$T290=""),"",$T290+(AD$2*$M290))</f>
        <v/>
      </c>
      <c r="AE290" s="49">
        <f>IF(OR($M290="",$T290=""),"",$T290+(AE$2*$M290))</f>
        <v/>
      </c>
      <c r="AF290" s="52">
        <f>IF(OR(T290="",I290&lt;T290),"",IFERROR(AVERAGE(T290+M290*{7,8,9,10,11})/IF(G290="",I290,G290)-1,""))</f>
        <v/>
      </c>
      <c r="AG290" s="55">
        <f>IF(OR(T290="",I290&lt;T290),"",IFERROR(AF290/-(R290/IF(G290="",I290,G290)-1),""))</f>
        <v/>
      </c>
      <c r="AH290" s="94" t="n">
        <v>1</v>
      </c>
      <c r="AI290" s="94" t="n">
        <v>87.48016607899699</v>
      </c>
      <c r="AJ290" s="94" t="n">
        <v>0</v>
      </c>
      <c r="AK290" s="94" t="inlineStr">
        <is>
          <t>OTT Up Trend</t>
        </is>
      </c>
      <c r="AL290" s="84" t="inlineStr">
        <is>
          <t>OPENLANE, Inc.</t>
        </is>
      </c>
      <c r="AM290" t="inlineStr">
        <is>
          <t>Consumer Cyclical</t>
        </is>
      </c>
      <c r="AN290" t="inlineStr">
        <is>
          <t>Auto &amp; Truck Dealerships</t>
        </is>
      </c>
      <c r="AO290" t="n">
        <v>81</v>
      </c>
    </row>
    <row r="291">
      <c r="A291" s="64" t="inlineStr">
        <is>
          <t>ROST</t>
        </is>
      </c>
      <c r="B291" s="65" t="n"/>
      <c r="C291" s="66" t="n"/>
      <c r="D291" s="67" t="n"/>
      <c r="E291" s="68" t="n"/>
      <c r="F291" s="47">
        <f>IF(A291="","",IF(MIN(H291,MAX(J291:K291))=0,"",MIN(H291,MAX(J291:K291))))</f>
        <v/>
      </c>
      <c r="G291" s="74" t="n"/>
      <c r="H291" s="49">
        <f>IF(M291="","",IFERROR(ROUND(AVERAGE(T291+M291*{7,8,9,10,11})/1.21,4),""))</f>
        <v/>
      </c>
      <c r="I291" s="76" t="n">
        <v>192.3600006103516</v>
      </c>
      <c r="J291" s="77" t="n">
        <v>190.2837455944938</v>
      </c>
      <c r="K291" s="74" t="n">
        <v>185.9759994506836</v>
      </c>
      <c r="L291" s="78" t="n">
        <v>151.9104497909546</v>
      </c>
      <c r="M291" s="77" t="n">
        <v>2.997713007800917</v>
      </c>
      <c r="N291" s="53">
        <f>IF(M291="","",IFERROR(M291/I291,""))</f>
        <v/>
      </c>
      <c r="O291" s="50">
        <f>IF(A291="","",IFERROR((IF(G291="",I291,G291)-T291)/M291,""))</f>
        <v/>
      </c>
      <c r="P291" s="50">
        <f>IFERROR((I291/T291-1)/N291,"")</f>
        <v/>
      </c>
      <c r="Q291" s="46">
        <f>IF(OR(T291="",I291&lt;T291),"",IFERROR(R291/IF(G291="",I291,G291)-1,""))</f>
        <v/>
      </c>
      <c r="R291" s="48">
        <f>IF($M291="","",MAX(IF($G291="",$I291,$G291)*(1/1.1),IF($G291="",$I291,$G291)+(R$2*$M291)))</f>
        <v/>
      </c>
      <c r="S291" s="49">
        <f>IF($M291="","",MAX(IF($G291="",$I291,$G291)*(1/1.1),IF($G291="",$I291,$G291)+(S$2*$M291)))</f>
        <v/>
      </c>
      <c r="T291" s="82" t="n">
        <v>177.432200012207</v>
      </c>
      <c r="U291" s="47">
        <f>IF(OR($M291="",$T291=""),"",$T291+(U$2*$M291))</f>
        <v/>
      </c>
      <c r="V291" s="48">
        <f>IF(OR($M291="",$T291=""),"",$T291+(V$2*$M291))</f>
        <v/>
      </c>
      <c r="W291" s="48">
        <f>IF(OR($M291="",$T291=""),"",$T291+(W$2*$M291))</f>
        <v/>
      </c>
      <c r="X291" s="49">
        <f>IF(OR($M291="",$T291=""),"",$T291+(X$2*$M291))</f>
        <v/>
      </c>
      <c r="Y291" s="47">
        <f>IF(OR($M291="",$T291=""),"",$T291+(Y$2*$M291))</f>
        <v/>
      </c>
      <c r="Z291" s="49">
        <f>IF(OR($M291="",$T291=""),"",$T291+(Z$2*$M291))</f>
        <v/>
      </c>
      <c r="AA291" s="51">
        <f>IF(OR($M291="",$T291=""),"",$T291+(AA$2*$M291))</f>
        <v/>
      </c>
      <c r="AB291" s="48">
        <f>IF(OR($M291="",$T291=""),"",$T291+(AB$2*$M291))</f>
        <v/>
      </c>
      <c r="AC291" s="48">
        <f>IF(OR($M291="",$T291=""),"",$T291+(AC$2*$M291))</f>
        <v/>
      </c>
      <c r="AD291" s="48">
        <f>IF(OR($M291="",$T291=""),"",$T291+(AD$2*$M291))</f>
        <v/>
      </c>
      <c r="AE291" s="49">
        <f>IF(OR($M291="",$T291=""),"",$T291+(AE$2*$M291))</f>
        <v/>
      </c>
      <c r="AF291" s="52">
        <f>IF(OR(T291="",I291&lt;T291),"",IFERROR(AVERAGE(T291+M291*{7,8,9,10,11})/IF(G291="",I291,G291)-1,""))</f>
        <v/>
      </c>
      <c r="AG291" s="55">
        <f>IF(OR(T291="",I291&lt;T291),"",IFERROR(AF291/-(R291/IF(G291="",I291,G291)-1),""))</f>
        <v/>
      </c>
      <c r="AH291" s="94" t="n">
        <v>1</v>
      </c>
      <c r="AI291" s="94" t="n">
        <v>148.2089406523691</v>
      </c>
      <c r="AJ291" s="94" t="n">
        <v>1</v>
      </c>
      <c r="AK291" s="94" t="inlineStr">
        <is>
          <t>OTT Up Trend</t>
        </is>
      </c>
      <c r="AL291" s="84" t="inlineStr">
        <is>
          <t>Ross Stores, Inc.</t>
        </is>
      </c>
      <c r="AM291" t="inlineStr">
        <is>
          <t>Consumer Cyclical</t>
        </is>
      </c>
      <c r="AN291" t="inlineStr">
        <is>
          <t>Apparel Retail</t>
        </is>
      </c>
      <c r="AO291" t="n">
        <v>80</v>
      </c>
    </row>
    <row r="292">
      <c r="A292" s="64" t="inlineStr">
        <is>
          <t>EPAM</t>
        </is>
      </c>
      <c r="B292" s="65" t="n"/>
      <c r="C292" s="66" t="n"/>
      <c r="D292" s="67" t="n"/>
      <c r="E292" s="68" t="n"/>
      <c r="F292" s="47">
        <f>IF(A292="","",IF(MIN(H292,MAX(J292:K292))=0,"",MIN(H292,MAX(J292:K292))))</f>
        <v/>
      </c>
      <c r="G292" s="74" t="n"/>
      <c r="H292" s="49">
        <f>IF(M292="","",IFERROR(ROUND(AVERAGE(T292+M292*{7,8,9,10,11})/1.21,4),""))</f>
        <v/>
      </c>
      <c r="I292" s="76" t="n">
        <v>212.6100006103516</v>
      </c>
      <c r="J292" s="77" t="n">
        <v>213.7411089341678</v>
      </c>
      <c r="K292" s="74" t="n">
        <v>211.3760009765625</v>
      </c>
      <c r="L292" s="78" t="n">
        <v>172.3107002258301</v>
      </c>
      <c r="M292" s="77" t="n">
        <v>6.464211149335073</v>
      </c>
      <c r="N292" s="53">
        <f>IF(M292="","",IFERROR(M292/I292,""))</f>
        <v/>
      </c>
      <c r="O292" s="50">
        <f>IF(A292="","",IFERROR((IF(G292="",I292,G292)-T292)/M292,""))</f>
        <v/>
      </c>
      <c r="P292" s="50">
        <f>IFERROR((I292/T292-1)/N292,"")</f>
        <v/>
      </c>
      <c r="Q292" s="46">
        <f>IF(OR(T292="",I292&lt;T292),"",IFERROR(R292/IF(G292="",I292,G292)-1,""))</f>
        <v/>
      </c>
      <c r="R292" s="48">
        <f>IF($M292="","",MAX(IF($G292="",$I292,$G292)*(1/1.1),IF($G292="",$I292,$G292)+(R$2*$M292)))</f>
        <v/>
      </c>
      <c r="S292" s="49">
        <f>IF($M292="","",MAX(IF($G292="",$I292,$G292)*(1/1.1),IF($G292="",$I292,$G292)+(S$2*$M292)))</f>
        <v/>
      </c>
      <c r="T292" s="82" t="n">
        <v>198.53080078125</v>
      </c>
      <c r="U292" s="47">
        <f>IF(OR($M292="",$T292=""),"",$T292+(U$2*$M292))</f>
        <v/>
      </c>
      <c r="V292" s="48">
        <f>IF(OR($M292="",$T292=""),"",$T292+(V$2*$M292))</f>
        <v/>
      </c>
      <c r="W292" s="48">
        <f>IF(OR($M292="",$T292=""),"",$T292+(W$2*$M292))</f>
        <v/>
      </c>
      <c r="X292" s="49">
        <f>IF(OR($M292="",$T292=""),"",$T292+(X$2*$M292))</f>
        <v/>
      </c>
      <c r="Y292" s="47">
        <f>IF(OR($M292="",$T292=""),"",$T292+(Y$2*$M292))</f>
        <v/>
      </c>
      <c r="Z292" s="49">
        <f>IF(OR($M292="",$T292=""),"",$T292+(Z$2*$M292))</f>
        <v/>
      </c>
      <c r="AA292" s="51">
        <f>IF(OR($M292="",$T292=""),"",$T292+(AA$2*$M292))</f>
        <v/>
      </c>
      <c r="AB292" s="48">
        <f>IF(OR($M292="",$T292=""),"",$T292+(AB$2*$M292))</f>
        <v/>
      </c>
      <c r="AC292" s="48">
        <f>IF(OR($M292="",$T292=""),"",$T292+(AC$2*$M292))</f>
        <v/>
      </c>
      <c r="AD292" s="48">
        <f>IF(OR($M292="",$T292=""),"",$T292+(AD$2*$M292))</f>
        <v/>
      </c>
      <c r="AE292" s="49">
        <f>IF(OR($M292="",$T292=""),"",$T292+(AE$2*$M292))</f>
        <v/>
      </c>
      <c r="AF292" s="52">
        <f>IF(OR(T292="",I292&lt;T292),"",IFERROR(AVERAGE(T292+M292*{7,8,9,10,11})/IF(G292="",I292,G292)-1,""))</f>
        <v/>
      </c>
      <c r="AG292" s="55">
        <f>IF(OR(T292="",I292&lt;T292),"",IFERROR(AF292/-(R292/IF(G292="",I292,G292)-1),""))</f>
        <v/>
      </c>
      <c r="AH292" s="94" t="n">
        <v>1</v>
      </c>
      <c r="AI292" s="94" t="n">
        <v>76.06982138437719</v>
      </c>
      <c r="AJ292" s="94" t="n">
        <v>0</v>
      </c>
      <c r="AK292" s="94" t="inlineStr">
        <is>
          <t>OTT Up Trend</t>
        </is>
      </c>
      <c r="AL292" s="84" t="inlineStr">
        <is>
          <t>EPAM Systems, Inc.</t>
        </is>
      </c>
      <c r="AM292" t="inlineStr">
        <is>
          <t>Technology</t>
        </is>
      </c>
      <c r="AN292" t="inlineStr">
        <is>
          <t>Information Technology Services</t>
        </is>
      </c>
      <c r="AO292" t="n">
        <v>80</v>
      </c>
    </row>
    <row r="293">
      <c r="A293" s="64" t="inlineStr">
        <is>
          <t>AZZ</t>
        </is>
      </c>
      <c r="B293" s="65" t="n"/>
      <c r="C293" s="66" t="n"/>
      <c r="D293" s="67" t="n"/>
      <c r="E293" s="68" t="n"/>
      <c r="F293" s="47">
        <f>IF(A293="","",IF(MIN(H293,MAX(J293:K293))=0,"",MIN(H293,MAX(J293:K293))))</f>
        <v/>
      </c>
      <c r="G293" s="74" t="n"/>
      <c r="H293" s="49">
        <f>IF(M293="","",IFERROR(ROUND(AVERAGE(T293+M293*{7,8,9,10,11})/1.21,4),""))</f>
        <v/>
      </c>
      <c r="I293" s="76" t="n">
        <v>123.3499984741211</v>
      </c>
      <c r="J293" s="77" t="n">
        <v>118.9437844264492</v>
      </c>
      <c r="K293" s="74" t="n">
        <v>113.7110004425049</v>
      </c>
      <c r="L293" s="78" t="n">
        <v>102.0564500808716</v>
      </c>
      <c r="M293" s="77" t="n">
        <v>2.953988130299371</v>
      </c>
      <c r="N293" s="53">
        <f>IF(M293="","",IFERROR(M293/I293,""))</f>
        <v/>
      </c>
      <c r="O293" s="50">
        <f>IF(A293="","",IFERROR((IF(G293="",I293,G293)-T293)/M293,""))</f>
        <v/>
      </c>
      <c r="P293" s="50">
        <f>IFERROR((I293/T293-1)/N293,"")</f>
        <v/>
      </c>
      <c r="Q293" s="46">
        <f>IF(OR(T293="",I293&lt;T293),"",IFERROR(R293/IF(G293="",I293,G293)-1,""))</f>
        <v/>
      </c>
      <c r="R293" s="48">
        <f>IF($M293="","",MAX(IF($G293="",$I293,$G293)*(1/1.1),IF($G293="",$I293,$G293)+(R$2*$M293)))</f>
        <v/>
      </c>
      <c r="S293" s="49">
        <f>IF($M293="","",MAX(IF($G293="",$I293,$G293)*(1/1.1),IF($G293="",$I293,$G293)+(S$2*$M293)))</f>
        <v/>
      </c>
      <c r="T293" s="82" t="n">
        <v>107.6906001281738</v>
      </c>
      <c r="U293" s="47">
        <f>IF(OR($M293="",$T293=""),"",$T293+(U$2*$M293))</f>
        <v/>
      </c>
      <c r="V293" s="48">
        <f>IF(OR($M293="",$T293=""),"",$T293+(V$2*$M293))</f>
        <v/>
      </c>
      <c r="W293" s="48">
        <f>IF(OR($M293="",$T293=""),"",$T293+(W$2*$M293))</f>
        <v/>
      </c>
      <c r="X293" s="49">
        <f>IF(OR($M293="",$T293=""),"",$T293+(X$2*$M293))</f>
        <v/>
      </c>
      <c r="Y293" s="47">
        <f>IF(OR($M293="",$T293=""),"",$T293+(Y$2*$M293))</f>
        <v/>
      </c>
      <c r="Z293" s="49">
        <f>IF(OR($M293="",$T293=""),"",$T293+(Z$2*$M293))</f>
        <v/>
      </c>
      <c r="AA293" s="51">
        <f>IF(OR($M293="",$T293=""),"",$T293+(AA$2*$M293))</f>
        <v/>
      </c>
      <c r="AB293" s="48">
        <f>IF(OR($M293="",$T293=""),"",$T293+(AB$2*$M293))</f>
        <v/>
      </c>
      <c r="AC293" s="48">
        <f>IF(OR($M293="",$T293=""),"",$T293+(AC$2*$M293))</f>
        <v/>
      </c>
      <c r="AD293" s="48">
        <f>IF(OR($M293="",$T293=""),"",$T293+(AD$2*$M293))</f>
        <v/>
      </c>
      <c r="AE293" s="49">
        <f>IF(OR($M293="",$T293=""),"",$T293+(AE$2*$M293))</f>
        <v/>
      </c>
      <c r="AF293" s="52">
        <f>IF(OR(T293="",I293&lt;T293),"",IFERROR(AVERAGE(T293+M293*{7,8,9,10,11})/IF(G293="",I293,G293)-1,""))</f>
        <v/>
      </c>
      <c r="AG293" s="55">
        <f>IF(OR(T293="",I293&lt;T293),"",IFERROR(AF293/-(R293/IF(G293="",I293,G293)-1),""))</f>
        <v/>
      </c>
      <c r="AH293" s="94" t="n">
        <v>1</v>
      </c>
      <c r="AI293" s="94" t="n">
        <v>146.672762109997</v>
      </c>
      <c r="AJ293" s="94" t="n">
        <v>1</v>
      </c>
      <c r="AK293" s="94" t="inlineStr">
        <is>
          <t>OTT Up Trend</t>
        </is>
      </c>
      <c r="AL293" s="84" t="inlineStr">
        <is>
          <t>AZZ Inc.</t>
        </is>
      </c>
      <c r="AM293" t="inlineStr">
        <is>
          <t>Industrials</t>
        </is>
      </c>
      <c r="AN293" t="inlineStr">
        <is>
          <t>Specialty Business Services</t>
        </is>
      </c>
      <c r="AO293" t="n">
        <v>80</v>
      </c>
    </row>
    <row r="294">
      <c r="A294" s="64" t="inlineStr">
        <is>
          <t>FWRD</t>
        </is>
      </c>
      <c r="B294" s="65" t="n"/>
      <c r="C294" s="66" t="n"/>
      <c r="D294" s="67" t="n"/>
      <c r="E294" s="68" t="n"/>
      <c r="F294" s="47">
        <f>IF(A294="","",IF(MIN(H294,MAX(J294:K294))=0,"",MIN(H294,MAX(J294:K294))))</f>
        <v/>
      </c>
      <c r="G294" s="74" t="n"/>
      <c r="H294" s="49">
        <f>IF(M294="","",IFERROR(ROUND(AVERAGE(T294+M294*{7,8,9,10,11})/1.21,4),""))</f>
        <v/>
      </c>
      <c r="I294" s="76" t="n">
        <v>28.57999992370605</v>
      </c>
      <c r="J294" s="77" t="n">
        <v>27.50685451772635</v>
      </c>
      <c r="K294" s="74" t="n">
        <v>26.23200006484985</v>
      </c>
      <c r="L294" s="78" t="n">
        <v>23.30269998550415</v>
      </c>
      <c r="M294" s="77" t="n">
        <v>0.9615458406316123</v>
      </c>
      <c r="N294" s="53">
        <f>IF(M294="","",IFERROR(M294/I294,""))</f>
        <v/>
      </c>
      <c r="O294" s="50">
        <f>IF(A294="","",IFERROR((IF(G294="",I294,G294)-T294)/M294,""))</f>
        <v/>
      </c>
      <c r="P294" s="50">
        <f>IFERROR((I294/T294-1)/N294,"")</f>
        <v/>
      </c>
      <c r="Q294" s="46">
        <f>IF(OR(T294="",I294&lt;T294),"",IFERROR(R294/IF(G294="",I294,G294)-1,""))</f>
        <v/>
      </c>
      <c r="R294" s="48">
        <f>IF($M294="","",MAX(IF($G294="",$I294,$G294)*(1/1.1),IF($G294="",$I294,$G294)+(R$2*$M294)))</f>
        <v/>
      </c>
      <c r="S294" s="49">
        <f>IF($M294="","",MAX(IF($G294="",$I294,$G294)*(1/1.1),IF($G294="",$I294,$G294)+(S$2*$M294)))</f>
        <v/>
      </c>
      <c r="T294" s="82" t="n">
        <v>24.277799949646</v>
      </c>
      <c r="U294" s="47">
        <f>IF(OR($M294="",$T294=""),"",$T294+(U$2*$M294))</f>
        <v/>
      </c>
      <c r="V294" s="48">
        <f>IF(OR($M294="",$T294=""),"",$T294+(V$2*$M294))</f>
        <v/>
      </c>
      <c r="W294" s="48">
        <f>IF(OR($M294="",$T294=""),"",$T294+(W$2*$M294))</f>
        <v/>
      </c>
      <c r="X294" s="49">
        <f>IF(OR($M294="",$T294=""),"",$T294+(X$2*$M294))</f>
        <v/>
      </c>
      <c r="Y294" s="47">
        <f>IF(OR($M294="",$T294=""),"",$T294+(Y$2*$M294))</f>
        <v/>
      </c>
      <c r="Z294" s="49">
        <f>IF(OR($M294="",$T294=""),"",$T294+(Z$2*$M294))</f>
        <v/>
      </c>
      <c r="AA294" s="51">
        <f>IF(OR($M294="",$T294=""),"",$T294+(AA$2*$M294))</f>
        <v/>
      </c>
      <c r="AB294" s="48">
        <f>IF(OR($M294="",$T294=""),"",$T294+(AB$2*$M294))</f>
        <v/>
      </c>
      <c r="AC294" s="48">
        <f>IF(OR($M294="",$T294=""),"",$T294+(AC$2*$M294))</f>
        <v/>
      </c>
      <c r="AD294" s="48">
        <f>IF(OR($M294="",$T294=""),"",$T294+(AD$2*$M294))</f>
        <v/>
      </c>
      <c r="AE294" s="49">
        <f>IF(OR($M294="",$T294=""),"",$T294+(AE$2*$M294))</f>
        <v/>
      </c>
      <c r="AF294" s="52">
        <f>IF(OR(T294="",I294&lt;T294),"",IFERROR(AVERAGE(T294+M294*{7,8,9,10,11})/IF(G294="",I294,G294)-1,""))</f>
        <v/>
      </c>
      <c r="AG294" s="55">
        <f>IF(OR(T294="",I294&lt;T294),"",IFERROR(AF294/-(R294/IF(G294="",I294,G294)-1),""))</f>
        <v/>
      </c>
      <c r="AH294" s="94" t="n">
        <v>1</v>
      </c>
      <c r="AI294" s="94" t="n">
        <v>108.061385062994</v>
      </c>
      <c r="AJ294" s="94" t="n">
        <v>1</v>
      </c>
      <c r="AK294" s="94" t="inlineStr">
        <is>
          <t>OTT Up Trend</t>
        </is>
      </c>
      <c r="AL294" s="84" t="inlineStr">
        <is>
          <t>Forward Air Corporation</t>
        </is>
      </c>
      <c r="AM294" t="inlineStr">
        <is>
          <t>Industrials</t>
        </is>
      </c>
      <c r="AN294" t="inlineStr">
        <is>
          <t>Integrated Freight &amp; Logistics</t>
        </is>
      </c>
      <c r="AO294" t="n">
        <v>80</v>
      </c>
    </row>
    <row r="295">
      <c r="A295" s="64" t="inlineStr">
        <is>
          <t>JBHT</t>
        </is>
      </c>
      <c r="B295" s="65" t="n"/>
      <c r="C295" s="66" t="n"/>
      <c r="D295" s="67" t="n"/>
      <c r="E295" s="68" t="n"/>
      <c r="F295" s="47">
        <f>IF(A295="","",IF(MIN(H295,MAX(J295:K295))=0,"",MIN(H295,MAX(J295:K295))))</f>
        <v/>
      </c>
      <c r="G295" s="74" t="n"/>
      <c r="H295" s="49">
        <f>IF(M295="","",IFERROR(ROUND(AVERAGE(T295+M295*{7,8,9,10,11})/1.21,4),""))</f>
        <v/>
      </c>
      <c r="I295" s="76" t="n">
        <v>204.3800048828125</v>
      </c>
      <c r="J295" s="77" t="n">
        <v>204.1886324589325</v>
      </c>
      <c r="K295" s="74" t="n">
        <v>201.201000213623</v>
      </c>
      <c r="L295" s="78" t="n">
        <v>154.3256499481201</v>
      </c>
      <c r="M295" s="77" t="n">
        <v>4.567584320195405</v>
      </c>
      <c r="N295" s="53">
        <f>IF(M295="","",IFERROR(M295/I295,""))</f>
        <v/>
      </c>
      <c r="O295" s="50">
        <f>IF(A295="","",IFERROR((IF(G295="",I295,G295)-T295)/M295,""))</f>
        <v/>
      </c>
      <c r="P295" s="50">
        <f>IFERROR((I295/T295-1)/N295,"")</f>
        <v/>
      </c>
      <c r="Q295" s="46">
        <f>IF(OR(T295="",I295&lt;T295),"",IFERROR(R295/IF(G295="",I295,G295)-1,""))</f>
        <v/>
      </c>
      <c r="R295" s="48">
        <f>IF($M295="","",MAX(IF($G295="",$I295,$G295)*(1/1.1),IF($G295="",$I295,$G295)+(R$2*$M295)))</f>
        <v/>
      </c>
      <c r="S295" s="49">
        <f>IF($M295="","",MAX(IF($G295="",$I295,$G295)*(1/1.1),IF($G295="",$I295,$G295)+(S$2*$M295)))</f>
        <v/>
      </c>
      <c r="T295" s="82" t="n">
        <v>187.1319995117188</v>
      </c>
      <c r="U295" s="47">
        <f>IF(OR($M295="",$T295=""),"",$T295+(U$2*$M295))</f>
        <v/>
      </c>
      <c r="V295" s="48">
        <f>IF(OR($M295="",$T295=""),"",$T295+(V$2*$M295))</f>
        <v/>
      </c>
      <c r="W295" s="48">
        <f>IF(OR($M295="",$T295=""),"",$T295+(W$2*$M295))</f>
        <v/>
      </c>
      <c r="X295" s="49">
        <f>IF(OR($M295="",$T295=""),"",$T295+(X$2*$M295))</f>
        <v/>
      </c>
      <c r="Y295" s="47">
        <f>IF(OR($M295="",$T295=""),"",$T295+(Y$2*$M295))</f>
        <v/>
      </c>
      <c r="Z295" s="49">
        <f>IF(OR($M295="",$T295=""),"",$T295+(Z$2*$M295))</f>
        <v/>
      </c>
      <c r="AA295" s="51">
        <f>IF(OR($M295="",$T295=""),"",$T295+(AA$2*$M295))</f>
        <v/>
      </c>
      <c r="AB295" s="48">
        <f>IF(OR($M295="",$T295=""),"",$T295+(AB$2*$M295))</f>
        <v/>
      </c>
      <c r="AC295" s="48">
        <f>IF(OR($M295="",$T295=""),"",$T295+(AC$2*$M295))</f>
        <v/>
      </c>
      <c r="AD295" s="48">
        <f>IF(OR($M295="",$T295=""),"",$T295+(AD$2*$M295))</f>
        <v/>
      </c>
      <c r="AE295" s="49">
        <f>IF(OR($M295="",$T295=""),"",$T295+(AE$2*$M295))</f>
        <v/>
      </c>
      <c r="AF295" s="52">
        <f>IF(OR(T295="",I295&lt;T295),"",IFERROR(AVERAGE(T295+M295*{7,8,9,10,11})/IF(G295="",I295,G295)-1,""))</f>
        <v/>
      </c>
      <c r="AG295" s="55">
        <f>IF(OR(T295="",I295&lt;T295),"",IFERROR(AF295/-(R295/IF(G295="",I295,G295)-1),""))</f>
        <v/>
      </c>
      <c r="AH295" s="94" t="n">
        <v>1</v>
      </c>
      <c r="AI295" s="94" t="n">
        <v>114.4430011079701</v>
      </c>
      <c r="AJ295" s="94" t="n">
        <v>0</v>
      </c>
      <c r="AK295" s="94" t="inlineStr">
        <is>
          <t>OTT Up Trend</t>
        </is>
      </c>
      <c r="AL295" s="84" t="inlineStr">
        <is>
          <t>J.B. Hunt Transport Services, I</t>
        </is>
      </c>
      <c r="AM295" t="inlineStr">
        <is>
          <t>Industrials</t>
        </is>
      </c>
      <c r="AN295" t="inlineStr">
        <is>
          <t>Integrated Freight &amp; Logistics</t>
        </is>
      </c>
      <c r="AO295" t="n">
        <v>80</v>
      </c>
    </row>
    <row r="296">
      <c r="A296" s="64" t="inlineStr">
        <is>
          <t>ARR</t>
        </is>
      </c>
      <c r="B296" s="65" t="n"/>
      <c r="C296" s="66" t="n"/>
      <c r="D296" s="67" t="n"/>
      <c r="E296" s="68" t="n"/>
      <c r="F296" s="47">
        <f>IF(A296="","",IF(MIN(H296,MAX(J296:K296))=0,"",MIN(H296,MAX(J296:K296))))</f>
        <v/>
      </c>
      <c r="G296" s="74" t="n"/>
      <c r="H296" s="49">
        <f>IF(M296="","",IFERROR(ROUND(AVERAGE(T296+M296*{7,8,9,10,11})/1.21,4),""))</f>
        <v/>
      </c>
      <c r="I296" s="76" t="n">
        <v>19.1200008392334</v>
      </c>
      <c r="J296" s="77" t="n">
        <v>18.52556138232192</v>
      </c>
      <c r="K296" s="74" t="n">
        <v>18.03150005340576</v>
      </c>
      <c r="L296" s="78" t="n">
        <v>16.23689995288849</v>
      </c>
      <c r="M296" s="77" t="n">
        <v>0.3572276555465818</v>
      </c>
      <c r="N296" s="53">
        <f>IF(M296="","",IFERROR(M296/I296,""))</f>
        <v/>
      </c>
      <c r="O296" s="50">
        <f>IF(A296="","",IFERROR((IF(G296="",I296,G296)-T296)/M296,""))</f>
        <v/>
      </c>
      <c r="P296" s="50">
        <f>IFERROR((I296/T296-1)/N296,"")</f>
        <v/>
      </c>
      <c r="Q296" s="46">
        <f>IF(OR(T296="",I296&lt;T296),"",IFERROR(R296/IF(G296="",I296,G296)-1,""))</f>
        <v/>
      </c>
      <c r="R296" s="48">
        <f>IF($M296="","",MAX(IF($G296="",$I296,$G296)*(1/1.1),IF($G296="",$I296,$G296)+(R$2*$M296)))</f>
        <v/>
      </c>
      <c r="S296" s="49">
        <f>IF($M296="","",MAX(IF($G296="",$I296,$G296)*(1/1.1),IF($G296="",$I296,$G296)+(S$2*$M296)))</f>
        <v/>
      </c>
      <c r="T296" s="82" t="n">
        <v>17.36780010223389</v>
      </c>
      <c r="U296" s="47">
        <f>IF(OR($M296="",$T296=""),"",$T296+(U$2*$M296))</f>
        <v/>
      </c>
      <c r="V296" s="48">
        <f>IF(OR($M296="",$T296=""),"",$T296+(V$2*$M296))</f>
        <v/>
      </c>
      <c r="W296" s="48">
        <f>IF(OR($M296="",$T296=""),"",$T296+(W$2*$M296))</f>
        <v/>
      </c>
      <c r="X296" s="49">
        <f>IF(OR($M296="",$T296=""),"",$T296+(X$2*$M296))</f>
        <v/>
      </c>
      <c r="Y296" s="47">
        <f>IF(OR($M296="",$T296=""),"",$T296+(Y$2*$M296))</f>
        <v/>
      </c>
      <c r="Z296" s="49">
        <f>IF(OR($M296="",$T296=""),"",$T296+(Z$2*$M296))</f>
        <v/>
      </c>
      <c r="AA296" s="51">
        <f>IF(OR($M296="",$T296=""),"",$T296+(AA$2*$M296))</f>
        <v/>
      </c>
      <c r="AB296" s="48">
        <f>IF(OR($M296="",$T296=""),"",$T296+(AB$2*$M296))</f>
        <v/>
      </c>
      <c r="AC296" s="48">
        <f>IF(OR($M296="",$T296=""),"",$T296+(AC$2*$M296))</f>
        <v/>
      </c>
      <c r="AD296" s="48">
        <f>IF(OR($M296="",$T296=""),"",$T296+(AD$2*$M296))</f>
        <v/>
      </c>
      <c r="AE296" s="49">
        <f>IF(OR($M296="",$T296=""),"",$T296+(AE$2*$M296))</f>
        <v/>
      </c>
      <c r="AF296" s="52">
        <f>IF(OR(T296="",I296&lt;T296),"",IFERROR(AVERAGE(T296+M296*{7,8,9,10,11})/IF(G296="",I296,G296)-1,""))</f>
        <v/>
      </c>
      <c r="AG296" s="55">
        <f>IF(OR(T296="",I296&lt;T296),"",IFERROR(AF296/-(R296/IF(G296="",I296,G296)-1),""))</f>
        <v/>
      </c>
      <c r="AH296" s="94" t="n">
        <v>1</v>
      </c>
      <c r="AI296" s="94" t="n">
        <v>138.61827394343</v>
      </c>
      <c r="AJ296" s="94" t="n">
        <v>1</v>
      </c>
      <c r="AK296" s="94" t="inlineStr">
        <is>
          <t>OTT Up Trend</t>
        </is>
      </c>
      <c r="AL296" s="84" t="inlineStr">
        <is>
          <t>ARMOUR Residential REIT, Inc.</t>
        </is>
      </c>
      <c r="AM296" t="inlineStr">
        <is>
          <t>Real Estate</t>
        </is>
      </c>
      <c r="AN296" t="inlineStr">
        <is>
          <t>REIT - Mortgage</t>
        </is>
      </c>
      <c r="AO296" t="n">
        <v>80</v>
      </c>
    </row>
    <row r="297">
      <c r="A297" s="64" t="inlineStr">
        <is>
          <t>LLY</t>
        </is>
      </c>
      <c r="B297" s="65" t="n"/>
      <c r="C297" s="66" t="n"/>
      <c r="D297" s="67" t="n"/>
      <c r="E297" s="68" t="n"/>
      <c r="F297" s="47">
        <f>IF(A297="","",IF(MIN(H297,MAX(J297:K297))=0,"",MIN(H297,MAX(J297:K297))))</f>
        <v/>
      </c>
      <c r="G297" s="74" t="n"/>
      <c r="H297" s="49">
        <f>IF(M297="","",IFERROR(ROUND(AVERAGE(T297+M297*{7,8,9,10,11})/1.21,4),""))</f>
        <v/>
      </c>
      <c r="I297" s="76" t="n">
        <v>1038.400024414062</v>
      </c>
      <c r="J297" s="77" t="n">
        <v>1061.894456516081</v>
      </c>
      <c r="K297" s="74" t="n">
        <v>1070.496496582031</v>
      </c>
      <c r="L297" s="78" t="n">
        <v>839.7027008056641</v>
      </c>
      <c r="M297" s="77" t="n">
        <v>31.93047773144917</v>
      </c>
      <c r="N297" s="53">
        <f>IF(M297="","",IFERROR(M297/I297,""))</f>
        <v/>
      </c>
      <c r="O297" s="50">
        <f>IF(A297="","",IFERROR((IF(G297="",I297,G297)-T297)/M297,""))</f>
        <v/>
      </c>
      <c r="P297" s="50">
        <f>IFERROR((I297/T297-1)/N297,"")</f>
        <v/>
      </c>
      <c r="Q297" s="46">
        <f>IF(OR(T297="",I297&lt;T297),"",IFERROR(R297/IF(G297="",I297,G297)-1,""))</f>
        <v/>
      </c>
      <c r="R297" s="48">
        <f>IF($M297="","",MAX(IF($G297="",$I297,$G297)*(1/1.1),IF($G297="",$I297,$G297)+(R$2*$M297)))</f>
        <v/>
      </c>
      <c r="S297" s="49">
        <f>IF($M297="","",MAX(IF($G297="",$I297,$G297)*(1/1.1),IF($G297="",$I297,$G297)+(S$2*$M297)))</f>
        <v/>
      </c>
      <c r="T297" s="82" t="n">
        <v>1042.279400634766</v>
      </c>
      <c r="U297" s="47">
        <f>IF(OR($M297="",$T297=""),"",$T297+(U$2*$M297))</f>
        <v/>
      </c>
      <c r="V297" s="48">
        <f>IF(OR($M297="",$T297=""),"",$T297+(V$2*$M297))</f>
        <v/>
      </c>
      <c r="W297" s="48">
        <f>IF(OR($M297="",$T297=""),"",$T297+(W$2*$M297))</f>
        <v/>
      </c>
      <c r="X297" s="49">
        <f>IF(OR($M297="",$T297=""),"",$T297+(X$2*$M297))</f>
        <v/>
      </c>
      <c r="Y297" s="47">
        <f>IF(OR($M297="",$T297=""),"",$T297+(Y$2*$M297))</f>
        <v/>
      </c>
      <c r="Z297" s="49">
        <f>IF(OR($M297="",$T297=""),"",$T297+(Z$2*$M297))</f>
        <v/>
      </c>
      <c r="AA297" s="51">
        <f>IF(OR($M297="",$T297=""),"",$T297+(AA$2*$M297))</f>
        <v/>
      </c>
      <c r="AB297" s="48">
        <f>IF(OR($M297="",$T297=""),"",$T297+(AB$2*$M297))</f>
        <v/>
      </c>
      <c r="AC297" s="48">
        <f>IF(OR($M297="",$T297=""),"",$T297+(AC$2*$M297))</f>
        <v/>
      </c>
      <c r="AD297" s="48">
        <f>IF(OR($M297="",$T297=""),"",$T297+(AD$2*$M297))</f>
        <v/>
      </c>
      <c r="AE297" s="49">
        <f>IF(OR($M297="",$T297=""),"",$T297+(AE$2*$M297))</f>
        <v/>
      </c>
      <c r="AF297" s="52">
        <f>IF(OR(T297="",I297&lt;T297),"",IFERROR(AVERAGE(T297+M297*{7,8,9,10,11})/IF(G297="",I297,G297)-1,""))</f>
        <v/>
      </c>
      <c r="AG297" s="55">
        <f>IF(OR(T297="",I297&lt;T297),"",IFERROR(AF297/-(R297/IF(G297="",I297,G297)-1),""))</f>
        <v/>
      </c>
      <c r="AH297" s="94" t="n">
        <v>1</v>
      </c>
      <c r="AI297" s="94" t="n">
        <v>24.06896960462886</v>
      </c>
      <c r="AJ297" s="94" t="n">
        <v>0</v>
      </c>
      <c r="AK297" s="94" t="inlineStr">
        <is>
          <t>OTT Up Trend</t>
        </is>
      </c>
      <c r="AL297" s="84" t="inlineStr">
        <is>
          <t>Eli Lilly and Company</t>
        </is>
      </c>
      <c r="AM297" t="inlineStr">
        <is>
          <t>Healthcare</t>
        </is>
      </c>
      <c r="AN297" t="inlineStr">
        <is>
          <t>Drug Manufacturers - General</t>
        </is>
      </c>
      <c r="AO297" t="n">
        <v>80</v>
      </c>
    </row>
    <row r="298">
      <c r="A298" s="64" t="inlineStr">
        <is>
          <t>BHF</t>
        </is>
      </c>
      <c r="B298" s="65" t="n"/>
      <c r="C298" s="66" t="n"/>
      <c r="D298" s="67" t="n"/>
      <c r="E298" s="68" t="n"/>
      <c r="F298" s="47">
        <f>IF(A298="","",IF(MIN(H298,MAX(J298:K298))=0,"",MIN(H298,MAX(J298:K298))))</f>
        <v/>
      </c>
      <c r="G298" s="74" t="n"/>
      <c r="H298" s="49">
        <f>IF(M298="","",IFERROR(ROUND(AVERAGE(T298+M298*{7,8,9,10,11})/1.21,4),""))</f>
        <v/>
      </c>
      <c r="I298" s="76" t="n">
        <v>64.04000091552734</v>
      </c>
      <c r="J298" s="77" t="n">
        <v>64.32743636041319</v>
      </c>
      <c r="K298" s="74" t="n">
        <v>64.61850109100342</v>
      </c>
      <c r="L298" s="78" t="n">
        <v>55.10332517623901</v>
      </c>
      <c r="M298" s="77" t="n">
        <v>0.5002753826589976</v>
      </c>
      <c r="N298" s="53">
        <f>IF(M298="","",IFERROR(M298/I298,""))</f>
        <v/>
      </c>
      <c r="O298" s="50">
        <f>IF(A298="","",IFERROR((IF(G298="",I298,G298)-T298)/M298,""))</f>
        <v/>
      </c>
      <c r="P298" s="50">
        <f>IFERROR((I298/T298-1)/N298,"")</f>
        <v/>
      </c>
      <c r="Q298" s="46">
        <f>IF(OR(T298="",I298&lt;T298),"",IFERROR(R298/IF(G298="",I298,G298)-1,""))</f>
        <v/>
      </c>
      <c r="R298" s="48">
        <f>IF($M298="","",MAX(IF($G298="",$I298,$G298)*(1/1.1),IF($G298="",$I298,$G298)+(R$2*$M298)))</f>
        <v/>
      </c>
      <c r="S298" s="49">
        <f>IF($M298="","",MAX(IF($G298="",$I298,$G298)*(1/1.1),IF($G298="",$I298,$G298)+(S$2*$M298)))</f>
        <v/>
      </c>
      <c r="T298" s="82" t="n">
        <v>64.91240051269531</v>
      </c>
      <c r="U298" s="47">
        <f>IF(OR($M298="",$T298=""),"",$T298+(U$2*$M298))</f>
        <v/>
      </c>
      <c r="V298" s="48">
        <f>IF(OR($M298="",$T298=""),"",$T298+(V$2*$M298))</f>
        <v/>
      </c>
      <c r="W298" s="48">
        <f>IF(OR($M298="",$T298=""),"",$T298+(W$2*$M298))</f>
        <v/>
      </c>
      <c r="X298" s="49">
        <f>IF(OR($M298="",$T298=""),"",$T298+(X$2*$M298))</f>
        <v/>
      </c>
      <c r="Y298" s="47">
        <f>IF(OR($M298="",$T298=""),"",$T298+(Y$2*$M298))</f>
        <v/>
      </c>
      <c r="Z298" s="49">
        <f>IF(OR($M298="",$T298=""),"",$T298+(Z$2*$M298))</f>
        <v/>
      </c>
      <c r="AA298" s="51">
        <f>IF(OR($M298="",$T298=""),"",$T298+(AA$2*$M298))</f>
        <v/>
      </c>
      <c r="AB298" s="48">
        <f>IF(OR($M298="",$T298=""),"",$T298+(AB$2*$M298))</f>
        <v/>
      </c>
      <c r="AC298" s="48">
        <f>IF(OR($M298="",$T298=""),"",$T298+(AC$2*$M298))</f>
        <v/>
      </c>
      <c r="AD298" s="48">
        <f>IF(OR($M298="",$T298=""),"",$T298+(AD$2*$M298))</f>
        <v/>
      </c>
      <c r="AE298" s="49">
        <f>IF(OR($M298="",$T298=""),"",$T298+(AE$2*$M298))</f>
        <v/>
      </c>
      <c r="AF298" s="52">
        <f>IF(OR(T298="",I298&lt;T298),"",IFERROR(AVERAGE(T298+M298*{7,8,9,10,11})/IF(G298="",I298,G298)-1,""))</f>
        <v/>
      </c>
      <c r="AG298" s="55">
        <f>IF(OR(T298="",I298&lt;T298),"",IFERROR(AF298/-(R298/IF(G298="",I298,G298)-1),""))</f>
        <v/>
      </c>
      <c r="AH298" s="94" t="n">
        <v>-1</v>
      </c>
      <c r="AI298" s="94" t="n">
        <v>6.642212931070561</v>
      </c>
      <c r="AJ298" s="94" t="n">
        <v>0</v>
      </c>
      <c r="AK298" s="94" t="inlineStr">
        <is>
          <t>OTT Up Trend</t>
        </is>
      </c>
      <c r="AL298" s="84" t="inlineStr">
        <is>
          <t>Brighthouse Financial, Inc.</t>
        </is>
      </c>
      <c r="AM298" t="inlineStr">
        <is>
          <t>Financial Services</t>
        </is>
      </c>
      <c r="AN298" t="inlineStr">
        <is>
          <t>Insurance - Life</t>
        </is>
      </c>
      <c r="AO298" t="n">
        <v>80</v>
      </c>
    </row>
    <row r="299">
      <c r="A299" s="64" t="inlineStr">
        <is>
          <t>JXN</t>
        </is>
      </c>
      <c r="B299" s="65" t="n"/>
      <c r="C299" s="66" t="n"/>
      <c r="D299" s="67" t="n"/>
      <c r="E299" s="68" t="n"/>
      <c r="F299" s="47">
        <f>IF(A299="","",IF(MIN(H299,MAX(J299:K299))=0,"",MIN(H299,MAX(J299:K299))))</f>
        <v/>
      </c>
      <c r="G299" s="74" t="n"/>
      <c r="H299" s="49">
        <f>IF(M299="","",IFERROR(ROUND(AVERAGE(T299+M299*{7,8,9,10,11})/1.21,4),""))</f>
        <v/>
      </c>
      <c r="I299" s="76" t="n">
        <v>113.5400009155273</v>
      </c>
      <c r="J299" s="77" t="n">
        <v>113.2402386775078</v>
      </c>
      <c r="K299" s="74" t="n">
        <v>110.9174999237061</v>
      </c>
      <c r="L299" s="78" t="n">
        <v>92.65995021820068</v>
      </c>
      <c r="M299" s="77" t="n">
        <v>2.608777989483438</v>
      </c>
      <c r="N299" s="53">
        <f>IF(M299="","",IFERROR(M299/I299,""))</f>
        <v/>
      </c>
      <c r="O299" s="50">
        <f>IF(A299="","",IFERROR((IF(G299="",I299,G299)-T299)/M299,""))</f>
        <v/>
      </c>
      <c r="P299" s="50">
        <f>IFERROR((I299/T299-1)/N299,"")</f>
        <v/>
      </c>
      <c r="Q299" s="46">
        <f>IF(OR(T299="",I299&lt;T299),"",IFERROR(R299/IF(G299="",I299,G299)-1,""))</f>
        <v/>
      </c>
      <c r="R299" s="48">
        <f>IF($M299="","",MAX(IF($G299="",$I299,$G299)*(1/1.1),IF($G299="",$I299,$G299)+(R$2*$M299)))</f>
        <v/>
      </c>
      <c r="S299" s="49">
        <f>IF($M299="","",MAX(IF($G299="",$I299,$G299)*(1/1.1),IF($G299="",$I299,$G299)+(S$2*$M299)))</f>
        <v/>
      </c>
      <c r="T299" s="82" t="n">
        <v>102.8148004150391</v>
      </c>
      <c r="U299" s="47">
        <f>IF(OR($M299="",$T299=""),"",$T299+(U$2*$M299))</f>
        <v/>
      </c>
      <c r="V299" s="48">
        <f>IF(OR($M299="",$T299=""),"",$T299+(V$2*$M299))</f>
        <v/>
      </c>
      <c r="W299" s="48">
        <f>IF(OR($M299="",$T299=""),"",$T299+(W$2*$M299))</f>
        <v/>
      </c>
      <c r="X299" s="49">
        <f>IF(OR($M299="",$T299=""),"",$T299+(X$2*$M299))</f>
        <v/>
      </c>
      <c r="Y299" s="47">
        <f>IF(OR($M299="",$T299=""),"",$T299+(Y$2*$M299))</f>
        <v/>
      </c>
      <c r="Z299" s="49">
        <f>IF(OR($M299="",$T299=""),"",$T299+(Z$2*$M299))</f>
        <v/>
      </c>
      <c r="AA299" s="51">
        <f>IF(OR($M299="",$T299=""),"",$T299+(AA$2*$M299))</f>
        <v/>
      </c>
      <c r="AB299" s="48">
        <f>IF(OR($M299="",$T299=""),"",$T299+(AB$2*$M299))</f>
        <v/>
      </c>
      <c r="AC299" s="48">
        <f>IF(OR($M299="",$T299=""),"",$T299+(AC$2*$M299))</f>
        <v/>
      </c>
      <c r="AD299" s="48">
        <f>IF(OR($M299="",$T299=""),"",$T299+(AD$2*$M299))</f>
        <v/>
      </c>
      <c r="AE299" s="49">
        <f>IF(OR($M299="",$T299=""),"",$T299+(AE$2*$M299))</f>
        <v/>
      </c>
      <c r="AF299" s="52">
        <f>IF(OR(T299="",I299&lt;T299),"",IFERROR(AVERAGE(T299+M299*{7,8,9,10,11})/IF(G299="",I299,G299)-1,""))</f>
        <v/>
      </c>
      <c r="AG299" s="55">
        <f>IF(OR(T299="",I299&lt;T299),"",IFERROR(AF299/-(R299/IF(G299="",I299,G299)-1),""))</f>
        <v/>
      </c>
      <c r="AH299" s="94" t="n">
        <v>1</v>
      </c>
      <c r="AI299" s="94" t="n">
        <v>123.5502457473027</v>
      </c>
      <c r="AJ299" s="94" t="n">
        <v>0</v>
      </c>
      <c r="AK299" s="94" t="inlineStr">
        <is>
          <t>OTT Up Trend</t>
        </is>
      </c>
      <c r="AL299" s="84" t="inlineStr">
        <is>
          <t>Jackson Financial Inc.</t>
        </is>
      </c>
      <c r="AM299" t="inlineStr">
        <is>
          <t>Financial Services</t>
        </is>
      </c>
      <c r="AN299" t="inlineStr">
        <is>
          <t>Insurance - Life</t>
        </is>
      </c>
      <c r="AO299" t="n">
        <v>80</v>
      </c>
    </row>
    <row r="300">
      <c r="A300" s="64" t="inlineStr">
        <is>
          <t>PI</t>
        </is>
      </c>
      <c r="B300" s="65" t="n"/>
      <c r="C300" s="66" t="n"/>
      <c r="D300" s="67" t="n"/>
      <c r="E300" s="68" t="n"/>
      <c r="F300" s="47">
        <f>IF(A300="","",IF(MIN(H300,MAX(J300:K300))=0,"",MIN(H300,MAX(J300:K300))))</f>
        <v/>
      </c>
      <c r="G300" s="74" t="n"/>
      <c r="H300" s="49">
        <f>IF(M300="","",IFERROR(ROUND(AVERAGE(T300+M300*{7,8,9,10,11})/1.21,4),""))</f>
        <v/>
      </c>
      <c r="I300" s="76" t="n">
        <v>161.9299926757812</v>
      </c>
      <c r="J300" s="77" t="n">
        <v>183.0456025812013</v>
      </c>
      <c r="K300" s="74" t="n">
        <v>182.0859992980957</v>
      </c>
      <c r="L300" s="78" t="n">
        <v>148.2458749008179</v>
      </c>
      <c r="M300" s="77" t="n">
        <v>11.91151383505091</v>
      </c>
      <c r="N300" s="53">
        <f>IF(M300="","",IFERROR(M300/I300,""))</f>
        <v/>
      </c>
      <c r="O300" s="50">
        <f>IF(A300="","",IFERROR((IF(G300="",I300,G300)-T300)/M300,""))</f>
        <v/>
      </c>
      <c r="P300" s="50">
        <f>IFERROR((I300/T300-1)/N300,"")</f>
        <v/>
      </c>
      <c r="Q300" s="46">
        <f>IF(OR(T300="",I300&lt;T300),"",IFERROR(R300/IF(G300="",I300,G300)-1,""))</f>
        <v/>
      </c>
      <c r="R300" s="48">
        <f>IF($M300="","",MAX(IF($G300="",$I300,$G300)*(1/1.1),IF($G300="",$I300,$G300)+(R$2*$M300)))</f>
        <v/>
      </c>
      <c r="S300" s="49">
        <f>IF($M300="","",MAX(IF($G300="",$I300,$G300)*(1/1.1),IF($G300="",$I300,$G300)+(S$2*$M300)))</f>
        <v/>
      </c>
      <c r="T300" s="82" t="n">
        <v>167.5105993652344</v>
      </c>
      <c r="U300" s="47">
        <f>IF(OR($M300="",$T300=""),"",$T300+(U$2*$M300))</f>
        <v/>
      </c>
      <c r="V300" s="48">
        <f>IF(OR($M300="",$T300=""),"",$T300+(V$2*$M300))</f>
        <v/>
      </c>
      <c r="W300" s="48">
        <f>IF(OR($M300="",$T300=""),"",$T300+(W$2*$M300))</f>
        <v/>
      </c>
      <c r="X300" s="49">
        <f>IF(OR($M300="",$T300=""),"",$T300+(X$2*$M300))</f>
        <v/>
      </c>
      <c r="Y300" s="47">
        <f>IF(OR($M300="",$T300=""),"",$T300+(Y$2*$M300))</f>
        <v/>
      </c>
      <c r="Z300" s="49">
        <f>IF(OR($M300="",$T300=""),"",$T300+(Z$2*$M300))</f>
        <v/>
      </c>
      <c r="AA300" s="51">
        <f>IF(OR($M300="",$T300=""),"",$T300+(AA$2*$M300))</f>
        <v/>
      </c>
      <c r="AB300" s="48">
        <f>IF(OR($M300="",$T300=""),"",$T300+(AB$2*$M300))</f>
        <v/>
      </c>
      <c r="AC300" s="48">
        <f>IF(OR($M300="",$T300=""),"",$T300+(AC$2*$M300))</f>
        <v/>
      </c>
      <c r="AD300" s="48">
        <f>IF(OR($M300="",$T300=""),"",$T300+(AD$2*$M300))</f>
        <v/>
      </c>
      <c r="AE300" s="49">
        <f>IF(OR($M300="",$T300=""),"",$T300+(AE$2*$M300))</f>
        <v/>
      </c>
      <c r="AF300" s="52">
        <f>IF(OR(T300="",I300&lt;T300),"",IFERROR(AVERAGE(T300+M300*{7,8,9,10,11})/IF(G300="",I300,G300)-1,""))</f>
        <v/>
      </c>
      <c r="AG300" s="55">
        <f>IF(OR(T300="",I300&lt;T300),"",IFERROR(AF300/-(R300/IF(G300="",I300,G300)-1),""))</f>
        <v/>
      </c>
      <c r="AH300" s="94" t="n">
        <v>-1</v>
      </c>
      <c r="AI300" s="94" t="n">
        <v>34.17762340027941</v>
      </c>
      <c r="AJ300" s="94" t="n">
        <v>0</v>
      </c>
      <c r="AK300" s="94" t="inlineStr">
        <is>
          <t>OTT Up Trend</t>
        </is>
      </c>
      <c r="AL300" s="84" t="inlineStr">
        <is>
          <t>Impinj, Inc.</t>
        </is>
      </c>
      <c r="AM300" t="inlineStr">
        <is>
          <t>Technology</t>
        </is>
      </c>
      <c r="AN300" t="inlineStr">
        <is>
          <t>Semiconductors</t>
        </is>
      </c>
      <c r="AO300" t="n">
        <v>80</v>
      </c>
    </row>
    <row r="301">
      <c r="A301" s="64" t="inlineStr">
        <is>
          <t>JNJ</t>
        </is>
      </c>
      <c r="B301" s="65" t="n"/>
      <c r="C301" s="66" t="n"/>
      <c r="D301" s="67" t="n"/>
      <c r="E301" s="68" t="n"/>
      <c r="F301" s="47">
        <f>IF(A301="","",IF(MIN(H301,MAX(J301:K301))=0,"",MIN(H301,MAX(J301:K301))))</f>
        <v/>
      </c>
      <c r="G301" s="74" t="n"/>
      <c r="H301" s="49">
        <f>IF(M301="","",IFERROR(ROUND(AVERAGE(T301+M301*{7,8,9,10,11})/1.21,4),""))</f>
        <v/>
      </c>
      <c r="I301" s="76" t="n">
        <v>218.6600036621094</v>
      </c>
      <c r="J301" s="77" t="n">
        <v>212.9417597301892</v>
      </c>
      <c r="K301" s="74" t="n">
        <v>208.942000579834</v>
      </c>
      <c r="L301" s="78" t="n">
        <v>176.5598499298096</v>
      </c>
      <c r="M301" s="77" t="n">
        <v>3.599773775555427</v>
      </c>
      <c r="N301" s="53">
        <f>IF(M301="","",IFERROR(M301/I301,""))</f>
        <v/>
      </c>
      <c r="O301" s="50">
        <f>IF(A301="","",IFERROR((IF(G301="",I301,G301)-T301)/M301,""))</f>
        <v/>
      </c>
      <c r="P301" s="50">
        <f>IFERROR((I301/T301-1)/N301,"")</f>
        <v/>
      </c>
      <c r="Q301" s="46">
        <f>IF(OR(T301="",I301&lt;T301),"",IFERROR(R301/IF(G301="",I301,G301)-1,""))</f>
        <v/>
      </c>
      <c r="R301" s="48">
        <f>IF($M301="","",MAX(IF($G301="",$I301,$G301)*(1/1.1),IF($G301="",$I301,$G301)+(R$2*$M301)))</f>
        <v/>
      </c>
      <c r="S301" s="49">
        <f>IF($M301="","",MAX(IF($G301="",$I301,$G301)*(1/1.1),IF($G301="",$I301,$G301)+(S$2*$M301)))</f>
        <v/>
      </c>
      <c r="T301" s="82" t="n">
        <v>204.5291998291016</v>
      </c>
      <c r="U301" s="47">
        <f>IF(OR($M301="",$T301=""),"",$T301+(U$2*$M301))</f>
        <v/>
      </c>
      <c r="V301" s="48">
        <f>IF(OR($M301="",$T301=""),"",$T301+(V$2*$M301))</f>
        <v/>
      </c>
      <c r="W301" s="48">
        <f>IF(OR($M301="",$T301=""),"",$T301+(W$2*$M301))</f>
        <v/>
      </c>
      <c r="X301" s="49">
        <f>IF(OR($M301="",$T301=""),"",$T301+(X$2*$M301))</f>
        <v/>
      </c>
      <c r="Y301" s="47">
        <f>IF(OR($M301="",$T301=""),"",$T301+(Y$2*$M301))</f>
        <v/>
      </c>
      <c r="Z301" s="49">
        <f>IF(OR($M301="",$T301=""),"",$T301+(Z$2*$M301))</f>
        <v/>
      </c>
      <c r="AA301" s="51">
        <f>IF(OR($M301="",$T301=""),"",$T301+(AA$2*$M301))</f>
        <v/>
      </c>
      <c r="AB301" s="48">
        <f>IF(OR($M301="",$T301=""),"",$T301+(AB$2*$M301))</f>
        <v/>
      </c>
      <c r="AC301" s="48">
        <f>IF(OR($M301="",$T301=""),"",$T301+(AC$2*$M301))</f>
        <v/>
      </c>
      <c r="AD301" s="48">
        <f>IF(OR($M301="",$T301=""),"",$T301+(AD$2*$M301))</f>
        <v/>
      </c>
      <c r="AE301" s="49">
        <f>IF(OR($M301="",$T301=""),"",$T301+(AE$2*$M301))</f>
        <v/>
      </c>
      <c r="AF301" s="52">
        <f>IF(OR(T301="",I301&lt;T301),"",IFERROR(AVERAGE(T301+M301*{7,8,9,10,11})/IF(G301="",I301,G301)-1,""))</f>
        <v/>
      </c>
      <c r="AG301" s="55">
        <f>IF(OR(T301="",I301&lt;T301),"",IFERROR(AF301/-(R301/IF(G301="",I301,G301)-1),""))</f>
        <v/>
      </c>
      <c r="AH301" s="94" t="n">
        <v>1</v>
      </c>
      <c r="AI301" s="94" t="n">
        <v>94.83974075605107</v>
      </c>
      <c r="AJ301" s="94" t="n">
        <v>1</v>
      </c>
      <c r="AK301" s="94" t="inlineStr">
        <is>
          <t>OTT Up Trend</t>
        </is>
      </c>
      <c r="AL301" s="84" t="inlineStr">
        <is>
          <t>Johnson &amp; Johnson</t>
        </is>
      </c>
      <c r="AM301" t="inlineStr">
        <is>
          <t>Healthcare</t>
        </is>
      </c>
      <c r="AN301" t="inlineStr">
        <is>
          <t>Drug Manufacturers - General</t>
        </is>
      </c>
      <c r="AO301" t="n">
        <v>80</v>
      </c>
    </row>
    <row r="302">
      <c r="A302" s="64" t="inlineStr">
        <is>
          <t>MNRO</t>
        </is>
      </c>
      <c r="B302" s="65" t="n"/>
      <c r="C302" s="66" t="n"/>
      <c r="D302" s="67" t="n"/>
      <c r="E302" s="68" t="n"/>
      <c r="F302" s="47">
        <f>IF(A302="","",IF(MIN(H302,MAX(J302:K302))=0,"",MIN(H302,MAX(J302:K302))))</f>
        <v/>
      </c>
      <c r="G302" s="74" t="n"/>
      <c r="H302" s="49">
        <f>IF(M302="","",IFERROR(ROUND(AVERAGE(T302+M302*{7,8,9,10,11})/1.21,4),""))</f>
        <v/>
      </c>
      <c r="I302" s="76" t="n">
        <v>21.14999961853027</v>
      </c>
      <c r="J302" s="77" t="n">
        <v>20.73411192151183</v>
      </c>
      <c r="K302" s="74" t="n">
        <v>20.53100032806396</v>
      </c>
      <c r="L302" s="78" t="n">
        <v>16.66080004692078</v>
      </c>
      <c r="M302" s="77" t="n">
        <v>0.7356141390905954</v>
      </c>
      <c r="N302" s="53">
        <f>IF(M302="","",IFERROR(M302/I302,""))</f>
        <v/>
      </c>
      <c r="O302" s="50">
        <f>IF(A302="","",IFERROR((IF(G302="",I302,G302)-T302)/M302,""))</f>
        <v/>
      </c>
      <c r="P302" s="50">
        <f>IFERROR((I302/T302-1)/N302,"")</f>
        <v/>
      </c>
      <c r="Q302" s="46">
        <f>IF(OR(T302="",I302&lt;T302),"",IFERROR(R302/IF(G302="",I302,G302)-1,""))</f>
        <v/>
      </c>
      <c r="R302" s="48">
        <f>IF($M302="","",MAX(IF($G302="",$I302,$G302)*(1/1.1),IF($G302="",$I302,$G302)+(R$2*$M302)))</f>
        <v/>
      </c>
      <c r="S302" s="49">
        <f>IF($M302="","",MAX(IF($G302="",$I302,$G302)*(1/1.1),IF($G302="",$I302,$G302)+(S$2*$M302)))</f>
        <v/>
      </c>
      <c r="T302" s="82" t="n">
        <v>19.49440017700195</v>
      </c>
      <c r="U302" s="47">
        <f>IF(OR($M302="",$T302=""),"",$T302+(U$2*$M302))</f>
        <v/>
      </c>
      <c r="V302" s="48">
        <f>IF(OR($M302="",$T302=""),"",$T302+(V$2*$M302))</f>
        <v/>
      </c>
      <c r="W302" s="48">
        <f>IF(OR($M302="",$T302=""),"",$T302+(W$2*$M302))</f>
        <v/>
      </c>
      <c r="X302" s="49">
        <f>IF(OR($M302="",$T302=""),"",$T302+(X$2*$M302))</f>
        <v/>
      </c>
      <c r="Y302" s="47">
        <f>IF(OR($M302="",$T302=""),"",$T302+(Y$2*$M302))</f>
        <v/>
      </c>
      <c r="Z302" s="49">
        <f>IF(OR($M302="",$T302=""),"",$T302+(Z$2*$M302))</f>
        <v/>
      </c>
      <c r="AA302" s="51">
        <f>IF(OR($M302="",$T302=""),"",$T302+(AA$2*$M302))</f>
        <v/>
      </c>
      <c r="AB302" s="48">
        <f>IF(OR($M302="",$T302=""),"",$T302+(AB$2*$M302))</f>
        <v/>
      </c>
      <c r="AC302" s="48">
        <f>IF(OR($M302="",$T302=""),"",$T302+(AC$2*$M302))</f>
        <v/>
      </c>
      <c r="AD302" s="48">
        <f>IF(OR($M302="",$T302=""),"",$T302+(AD$2*$M302))</f>
        <v/>
      </c>
      <c r="AE302" s="49">
        <f>IF(OR($M302="",$T302=""),"",$T302+(AE$2*$M302))</f>
        <v/>
      </c>
      <c r="AF302" s="52">
        <f>IF(OR(T302="",I302&lt;T302),"",IFERROR(AVERAGE(T302+M302*{7,8,9,10,11})/IF(G302="",I302,G302)-1,""))</f>
        <v/>
      </c>
      <c r="AG302" s="55">
        <f>IF(OR(T302="",I302&lt;T302),"",IFERROR(AF302/-(R302/IF(G302="",I302,G302)-1),""))</f>
        <v/>
      </c>
      <c r="AH302" s="94" t="n">
        <v>1</v>
      </c>
      <c r="AI302" s="94" t="n">
        <v>48.91502413740029</v>
      </c>
      <c r="AJ302" s="94" t="n">
        <v>1</v>
      </c>
      <c r="AK302" s="94" t="inlineStr">
        <is>
          <t>OTT Up Trend</t>
        </is>
      </c>
      <c r="AL302" s="84" t="inlineStr">
        <is>
          <t>Monro, Inc.</t>
        </is>
      </c>
      <c r="AM302" t="inlineStr">
        <is>
          <t>Consumer Cyclical</t>
        </is>
      </c>
      <c r="AN302" t="inlineStr">
        <is>
          <t>Auto Parts</t>
        </is>
      </c>
      <c r="AO302" t="n">
        <v>80</v>
      </c>
    </row>
    <row r="303">
      <c r="A303" s="64" t="inlineStr">
        <is>
          <t>BOOT</t>
        </is>
      </c>
      <c r="B303" s="65" t="n"/>
      <c r="C303" s="66" t="n"/>
      <c r="D303" s="67" t="n"/>
      <c r="E303" s="68" t="n"/>
      <c r="F303" s="47">
        <f>IF(A303="","",IF(MIN(H303,MAX(J303:K303))=0,"",MIN(H303,MAX(J303:K303))))</f>
        <v/>
      </c>
      <c r="G303" s="74" t="n"/>
      <c r="H303" s="49">
        <f>IF(M303="","",IFERROR(ROUND(AVERAGE(T303+M303*{7,8,9,10,11})/1.21,4),""))</f>
        <v/>
      </c>
      <c r="I303" s="76" t="n">
        <v>192.6900024414062</v>
      </c>
      <c r="J303" s="77" t="n">
        <v>191.3078994301659</v>
      </c>
      <c r="K303" s="74" t="n">
        <v>189.1129981994629</v>
      </c>
      <c r="L303" s="78" t="n">
        <v>166.0284999084473</v>
      </c>
      <c r="M303" s="77" t="n">
        <v>8.496371223878027</v>
      </c>
      <c r="N303" s="53">
        <f>IF(M303="","",IFERROR(M303/I303,""))</f>
        <v/>
      </c>
      <c r="O303" s="50">
        <f>IF(A303="","",IFERROR((IF(G303="",I303,G303)-T303)/M303,""))</f>
        <v/>
      </c>
      <c r="P303" s="50">
        <f>IFERROR((I303/T303-1)/N303,"")</f>
        <v/>
      </c>
      <c r="Q303" s="46">
        <f>IF(OR(T303="",I303&lt;T303),"",IFERROR(R303/IF(G303="",I303,G303)-1,""))</f>
        <v/>
      </c>
      <c r="R303" s="48">
        <f>IF($M303="","",MAX(IF($G303="",$I303,$G303)*(1/1.1),IF($G303="",$I303,$G303)+(R$2*$M303)))</f>
        <v/>
      </c>
      <c r="S303" s="49">
        <f>IF($M303="","",MAX(IF($G303="",$I303,$G303)*(1/1.1),IF($G303="",$I303,$G303)+(S$2*$M303)))</f>
        <v/>
      </c>
      <c r="T303" s="82" t="n">
        <v>189.7741989135742</v>
      </c>
      <c r="U303" s="47">
        <f>IF(OR($M303="",$T303=""),"",$T303+(U$2*$M303))</f>
        <v/>
      </c>
      <c r="V303" s="48">
        <f>IF(OR($M303="",$T303=""),"",$T303+(V$2*$M303))</f>
        <v/>
      </c>
      <c r="W303" s="48">
        <f>IF(OR($M303="",$T303=""),"",$T303+(W$2*$M303))</f>
        <v/>
      </c>
      <c r="X303" s="49">
        <f>IF(OR($M303="",$T303=""),"",$T303+(X$2*$M303))</f>
        <v/>
      </c>
      <c r="Y303" s="47">
        <f>IF(OR($M303="",$T303=""),"",$T303+(Y$2*$M303))</f>
        <v/>
      </c>
      <c r="Z303" s="49">
        <f>IF(OR($M303="",$T303=""),"",$T303+(Z$2*$M303))</f>
        <v/>
      </c>
      <c r="AA303" s="51">
        <f>IF(OR($M303="",$T303=""),"",$T303+(AA$2*$M303))</f>
        <v/>
      </c>
      <c r="AB303" s="48">
        <f>IF(OR($M303="",$T303=""),"",$T303+(AB$2*$M303))</f>
        <v/>
      </c>
      <c r="AC303" s="48">
        <f>IF(OR($M303="",$T303=""),"",$T303+(AC$2*$M303))</f>
        <v/>
      </c>
      <c r="AD303" s="48">
        <f>IF(OR($M303="",$T303=""),"",$T303+(AD$2*$M303))</f>
        <v/>
      </c>
      <c r="AE303" s="49">
        <f>IF(OR($M303="",$T303=""),"",$T303+(AE$2*$M303))</f>
        <v/>
      </c>
      <c r="AF303" s="52">
        <f>IF(OR(T303="",I303&lt;T303),"",IFERROR(AVERAGE(T303+M303*{7,8,9,10,11})/IF(G303="",I303,G303)-1,""))</f>
        <v/>
      </c>
      <c r="AG303" s="55">
        <f>IF(OR(T303="",I303&lt;T303),"",IFERROR(AF303/-(R303/IF(G303="",I303,G303)-1),""))</f>
        <v/>
      </c>
      <c r="AH303" s="94" t="n">
        <v>1</v>
      </c>
      <c r="AI303" s="94" t="n">
        <v>2.392016935673059</v>
      </c>
      <c r="AJ303" s="94" t="n">
        <v>1</v>
      </c>
      <c r="AK303" s="94" t="inlineStr">
        <is>
          <t>None</t>
        </is>
      </c>
      <c r="AL303" s="84" t="inlineStr">
        <is>
          <t>Boot Barn Holdings, Inc.</t>
        </is>
      </c>
      <c r="AM303" t="inlineStr">
        <is>
          <t>Consumer Cyclical</t>
        </is>
      </c>
      <c r="AN303" t="inlineStr">
        <is>
          <t>Apparel Retail</t>
        </is>
      </c>
      <c r="AO303" t="n">
        <v>80</v>
      </c>
    </row>
    <row r="304">
      <c r="A304" s="64" t="inlineStr">
        <is>
          <t>TKR</t>
        </is>
      </c>
      <c r="B304" s="65" t="n"/>
      <c r="C304" s="66" t="n"/>
      <c r="D304" s="67" t="n"/>
      <c r="E304" s="68" t="n"/>
      <c r="F304" s="47">
        <f>IF(A304="","",IF(MIN(H304,MAX(J304:K304))=0,"",MIN(H304,MAX(J304:K304))))</f>
        <v/>
      </c>
      <c r="G304" s="74" t="n"/>
      <c r="H304" s="49">
        <f>IF(M304="","",IFERROR(ROUND(AVERAGE(T304+M304*{7,8,9,10,11})/1.21,4),""))</f>
        <v/>
      </c>
      <c r="I304" s="76" t="n">
        <v>93.55000305175781</v>
      </c>
      <c r="J304" s="77" t="n">
        <v>91.09079391816034</v>
      </c>
      <c r="K304" s="74" t="n">
        <v>88.42599945068359</v>
      </c>
      <c r="L304" s="78" t="n">
        <v>75.86459997177124</v>
      </c>
      <c r="M304" s="77" t="n">
        <v>1.991944446484286</v>
      </c>
      <c r="N304" s="53">
        <f>IF(M304="","",IFERROR(M304/I304,""))</f>
        <v/>
      </c>
      <c r="O304" s="50">
        <f>IF(A304="","",IFERROR((IF(G304="",I304,G304)-T304)/M304,""))</f>
        <v/>
      </c>
      <c r="P304" s="50">
        <f>IFERROR((I304/T304-1)/N304,"")</f>
        <v/>
      </c>
      <c r="Q304" s="46">
        <f>IF(OR(T304="",I304&lt;T304),"",IFERROR(R304/IF(G304="",I304,G304)-1,""))</f>
        <v/>
      </c>
      <c r="R304" s="48">
        <f>IF($M304="","",MAX(IF($G304="",$I304,$G304)*(1/1.1),IF($G304="",$I304,$G304)+(R$2*$M304)))</f>
        <v/>
      </c>
      <c r="S304" s="49">
        <f>IF($M304="","",MAX(IF($G304="",$I304,$G304)*(1/1.1),IF($G304="",$I304,$G304)+(S$2*$M304)))</f>
        <v/>
      </c>
      <c r="T304" s="82" t="n">
        <v>83.77619979858399</v>
      </c>
      <c r="U304" s="47">
        <f>IF(OR($M304="",$T304=""),"",$T304+(U$2*$M304))</f>
        <v/>
      </c>
      <c r="V304" s="48">
        <f>IF(OR($M304="",$T304=""),"",$T304+(V$2*$M304))</f>
        <v/>
      </c>
      <c r="W304" s="48">
        <f>IF(OR($M304="",$T304=""),"",$T304+(W$2*$M304))</f>
        <v/>
      </c>
      <c r="X304" s="49">
        <f>IF(OR($M304="",$T304=""),"",$T304+(X$2*$M304))</f>
        <v/>
      </c>
      <c r="Y304" s="47">
        <f>IF(OR($M304="",$T304=""),"",$T304+(Y$2*$M304))</f>
        <v/>
      </c>
      <c r="Z304" s="49">
        <f>IF(OR($M304="",$T304=""),"",$T304+(Z$2*$M304))</f>
        <v/>
      </c>
      <c r="AA304" s="51">
        <f>IF(OR($M304="",$T304=""),"",$T304+(AA$2*$M304))</f>
        <v/>
      </c>
      <c r="AB304" s="48">
        <f>IF(OR($M304="",$T304=""),"",$T304+(AB$2*$M304))</f>
        <v/>
      </c>
      <c r="AC304" s="48">
        <f>IF(OR($M304="",$T304=""),"",$T304+(AC$2*$M304))</f>
        <v/>
      </c>
      <c r="AD304" s="48">
        <f>IF(OR($M304="",$T304=""),"",$T304+(AD$2*$M304))</f>
        <v/>
      </c>
      <c r="AE304" s="49">
        <f>IF(OR($M304="",$T304=""),"",$T304+(AE$2*$M304))</f>
        <v/>
      </c>
      <c r="AF304" s="52">
        <f>IF(OR(T304="",I304&lt;T304),"",IFERROR(AVERAGE(T304+M304*{7,8,9,10,11})/IF(G304="",I304,G304)-1,""))</f>
        <v/>
      </c>
      <c r="AG304" s="55">
        <f>IF(OR(T304="",I304&lt;T304),"",IFERROR(AF304/-(R304/IF(G304="",I304,G304)-1),""))</f>
        <v/>
      </c>
      <c r="AH304" s="94" t="n">
        <v>1</v>
      </c>
      <c r="AI304" s="94" t="n">
        <v>128.5301961498008</v>
      </c>
      <c r="AJ304" s="94" t="n">
        <v>1</v>
      </c>
      <c r="AK304" s="94" t="inlineStr">
        <is>
          <t>OTT Up Trend</t>
        </is>
      </c>
      <c r="AL304" s="84" t="inlineStr">
        <is>
          <t>Timken Company (The)</t>
        </is>
      </c>
      <c r="AM304" t="inlineStr">
        <is>
          <t>Industrials</t>
        </is>
      </c>
      <c r="AN304" t="inlineStr">
        <is>
          <t>Tools &amp; Accessories</t>
        </is>
      </c>
      <c r="AO304" t="n">
        <v>80</v>
      </c>
    </row>
    <row r="305">
      <c r="A305" s="64" t="inlineStr">
        <is>
          <t>PRLB</t>
        </is>
      </c>
      <c r="B305" s="65" t="n"/>
      <c r="C305" s="66" t="n"/>
      <c r="D305" s="67" t="n"/>
      <c r="E305" s="68" t="n"/>
      <c r="F305" s="47">
        <f>IF(A305="","",IF(MIN(H305,MAX(J305:K305))=0,"",MIN(H305,MAX(J305:K305))))</f>
        <v/>
      </c>
      <c r="G305" s="74" t="n"/>
      <c r="H305" s="49">
        <f>IF(M305="","",IFERROR(ROUND(AVERAGE(T305+M305*{7,8,9,10,11})/1.21,4),""))</f>
        <v/>
      </c>
      <c r="I305" s="76" t="n">
        <v>54.7599983215332</v>
      </c>
      <c r="J305" s="77" t="n">
        <v>54.08124319870093</v>
      </c>
      <c r="K305" s="74" t="n">
        <v>53.25349998474121</v>
      </c>
      <c r="L305" s="78" t="n">
        <v>45.37354996681213</v>
      </c>
      <c r="M305" s="77" t="n">
        <v>1.406111900769637</v>
      </c>
      <c r="N305" s="53">
        <f>IF(M305="","",IFERROR(M305/I305,""))</f>
        <v/>
      </c>
      <c r="O305" s="50">
        <f>IF(A305="","",IFERROR((IF(G305="",I305,G305)-T305)/M305,""))</f>
        <v/>
      </c>
      <c r="P305" s="50">
        <f>IFERROR((I305/T305-1)/N305,"")</f>
        <v/>
      </c>
      <c r="Q305" s="46">
        <f>IF(OR(T305="",I305&lt;T305),"",IFERROR(R305/IF(G305="",I305,G305)-1,""))</f>
        <v/>
      </c>
      <c r="R305" s="48">
        <f>IF($M305="","",MAX(IF($G305="",$I305,$G305)*(1/1.1),IF($G305="",$I305,$G305)+(R$2*$M305)))</f>
        <v/>
      </c>
      <c r="S305" s="49">
        <f>IF($M305="","",MAX(IF($G305="",$I305,$G305)*(1/1.1),IF($G305="",$I305,$G305)+(S$2*$M305)))</f>
        <v/>
      </c>
      <c r="T305" s="82" t="n">
        <v>51.40419998168945</v>
      </c>
      <c r="U305" s="47">
        <f>IF(OR($M305="",$T305=""),"",$T305+(U$2*$M305))</f>
        <v/>
      </c>
      <c r="V305" s="48">
        <f>IF(OR($M305="",$T305=""),"",$T305+(V$2*$M305))</f>
        <v/>
      </c>
      <c r="W305" s="48">
        <f>IF(OR($M305="",$T305=""),"",$T305+(W$2*$M305))</f>
        <v/>
      </c>
      <c r="X305" s="49">
        <f>IF(OR($M305="",$T305=""),"",$T305+(X$2*$M305))</f>
        <v/>
      </c>
      <c r="Y305" s="47">
        <f>IF(OR($M305="",$T305=""),"",$T305+(Y$2*$M305))</f>
        <v/>
      </c>
      <c r="Z305" s="49">
        <f>IF(OR($M305="",$T305=""),"",$T305+(Z$2*$M305))</f>
        <v/>
      </c>
      <c r="AA305" s="51">
        <f>IF(OR($M305="",$T305=""),"",$T305+(AA$2*$M305))</f>
        <v/>
      </c>
      <c r="AB305" s="48">
        <f>IF(OR($M305="",$T305=""),"",$T305+(AB$2*$M305))</f>
        <v/>
      </c>
      <c r="AC305" s="48">
        <f>IF(OR($M305="",$T305=""),"",$T305+(AC$2*$M305))</f>
        <v/>
      </c>
      <c r="AD305" s="48">
        <f>IF(OR($M305="",$T305=""),"",$T305+(AD$2*$M305))</f>
        <v/>
      </c>
      <c r="AE305" s="49">
        <f>IF(OR($M305="",$T305=""),"",$T305+(AE$2*$M305))</f>
        <v/>
      </c>
      <c r="AF305" s="52">
        <f>IF(OR(T305="",I305&lt;T305),"",IFERROR(AVERAGE(T305+M305*{7,8,9,10,11})/IF(G305="",I305,G305)-1,""))</f>
        <v/>
      </c>
      <c r="AG305" s="55">
        <f>IF(OR(T305="",I305&lt;T305),"",IFERROR(AF305/-(R305/IF(G305="",I305,G305)-1),""))</f>
        <v/>
      </c>
      <c r="AH305" s="94" t="n">
        <v>1</v>
      </c>
      <c r="AI305" s="94" t="n">
        <v>56.36328338416757</v>
      </c>
      <c r="AJ305" s="94" t="n">
        <v>1</v>
      </c>
      <c r="AK305" s="94" t="inlineStr">
        <is>
          <t>OTT Up Trend</t>
        </is>
      </c>
      <c r="AL305" s="84" t="inlineStr">
        <is>
          <t>Proto Labs, Inc.</t>
        </is>
      </c>
      <c r="AM305" t="inlineStr">
        <is>
          <t>Industrials</t>
        </is>
      </c>
      <c r="AN305" t="inlineStr">
        <is>
          <t>Metal Fabrication</t>
        </is>
      </c>
      <c r="AO305" t="n">
        <v>80</v>
      </c>
    </row>
    <row r="306">
      <c r="A306" s="64" t="inlineStr">
        <is>
          <t>KWR</t>
        </is>
      </c>
      <c r="B306" s="65" t="n"/>
      <c r="C306" s="66" t="n"/>
      <c r="D306" s="67" t="n"/>
      <c r="E306" s="68" t="n"/>
      <c r="F306" s="47">
        <f>IF(A306="","",IF(MIN(H306,MAX(J306:K306))=0,"",MIN(H306,MAX(J306:K306))))</f>
        <v/>
      </c>
      <c r="G306" s="74" t="n"/>
      <c r="H306" s="49">
        <f>IF(M306="","",IFERROR(ROUND(AVERAGE(T306+M306*{7,8,9,10,11})/1.21,4),""))</f>
        <v/>
      </c>
      <c r="I306" s="76" t="n">
        <v>157.9799957275391</v>
      </c>
      <c r="J306" s="77" t="n">
        <v>152.6341748625886</v>
      </c>
      <c r="K306" s="74" t="n">
        <v>146.8204986572266</v>
      </c>
      <c r="L306" s="78" t="n">
        <v>126.6026999664307</v>
      </c>
      <c r="M306" s="77" t="n">
        <v>4.600530718145379</v>
      </c>
      <c r="N306" s="53">
        <f>IF(M306="","",IFERROR(M306/I306,""))</f>
        <v/>
      </c>
      <c r="O306" s="50">
        <f>IF(A306="","",IFERROR((IF(G306="",I306,G306)-T306)/M306,""))</f>
        <v/>
      </c>
      <c r="P306" s="50">
        <f>IFERROR((I306/T306-1)/N306,"")</f>
        <v/>
      </c>
      <c r="Q306" s="46">
        <f>IF(OR(T306="",I306&lt;T306),"",IFERROR(R306/IF(G306="",I306,G306)-1,""))</f>
        <v/>
      </c>
      <c r="R306" s="48">
        <f>IF($M306="","",MAX(IF($G306="",$I306,$G306)*(1/1.1),IF($G306="",$I306,$G306)+(R$2*$M306)))</f>
        <v/>
      </c>
      <c r="S306" s="49">
        <f>IF($M306="","",MAX(IF($G306="",$I306,$G306)*(1/1.1),IF($G306="",$I306,$G306)+(S$2*$M306)))</f>
        <v/>
      </c>
      <c r="T306" s="82" t="n">
        <v>140.0531994628906</v>
      </c>
      <c r="U306" s="47">
        <f>IF(OR($M306="",$T306=""),"",$T306+(U$2*$M306))</f>
        <v/>
      </c>
      <c r="V306" s="48">
        <f>IF(OR($M306="",$T306=""),"",$T306+(V$2*$M306))</f>
        <v/>
      </c>
      <c r="W306" s="48">
        <f>IF(OR($M306="",$T306=""),"",$T306+(W$2*$M306))</f>
        <v/>
      </c>
      <c r="X306" s="49">
        <f>IF(OR($M306="",$T306=""),"",$T306+(X$2*$M306))</f>
        <v/>
      </c>
      <c r="Y306" s="47">
        <f>IF(OR($M306="",$T306=""),"",$T306+(Y$2*$M306))</f>
        <v/>
      </c>
      <c r="Z306" s="49">
        <f>IF(OR($M306="",$T306=""),"",$T306+(Z$2*$M306))</f>
        <v/>
      </c>
      <c r="AA306" s="51">
        <f>IF(OR($M306="",$T306=""),"",$T306+(AA$2*$M306))</f>
        <v/>
      </c>
      <c r="AB306" s="48">
        <f>IF(OR($M306="",$T306=""),"",$T306+(AB$2*$M306))</f>
        <v/>
      </c>
      <c r="AC306" s="48">
        <f>IF(OR($M306="",$T306=""),"",$T306+(AC$2*$M306))</f>
        <v/>
      </c>
      <c r="AD306" s="48">
        <f>IF(OR($M306="",$T306=""),"",$T306+(AD$2*$M306))</f>
        <v/>
      </c>
      <c r="AE306" s="49">
        <f>IF(OR($M306="",$T306=""),"",$T306+(AE$2*$M306))</f>
        <v/>
      </c>
      <c r="AF306" s="52">
        <f>IF(OR(T306="",I306&lt;T306),"",IFERROR(AVERAGE(T306+M306*{7,8,9,10,11})/IF(G306="",I306,G306)-1,""))</f>
        <v/>
      </c>
      <c r="AG306" s="55">
        <f>IF(OR(T306="",I306&lt;T306),"",IFERROR(AF306/-(R306/IF(G306="",I306,G306)-1),""))</f>
        <v/>
      </c>
      <c r="AH306" s="94" t="n">
        <v>1</v>
      </c>
      <c r="AI306" s="94" t="n">
        <v>110.0099675849542</v>
      </c>
      <c r="AJ306" s="94" t="n">
        <v>1</v>
      </c>
      <c r="AK306" s="94" t="inlineStr">
        <is>
          <t>OTT Up Trend</t>
        </is>
      </c>
      <c r="AL306" s="84" t="inlineStr">
        <is>
          <t>Quaker Houghton</t>
        </is>
      </c>
      <c r="AM306" t="inlineStr">
        <is>
          <t>Basic Materials</t>
        </is>
      </c>
      <c r="AN306" t="inlineStr">
        <is>
          <t>Specialty Chemicals</t>
        </is>
      </c>
      <c r="AO306" t="n">
        <v>79</v>
      </c>
    </row>
    <row r="307">
      <c r="A307" s="64" t="inlineStr">
        <is>
          <t>BFH</t>
        </is>
      </c>
      <c r="B307" s="65" t="n"/>
      <c r="C307" s="66" t="n"/>
      <c r="D307" s="67" t="n"/>
      <c r="E307" s="68" t="n"/>
      <c r="F307" s="47">
        <f>IF(A307="","",IF(MIN(H307,MAX(J307:K307))=0,"",MIN(H307,MAX(J307:K307))))</f>
        <v/>
      </c>
      <c r="G307" s="74" t="n"/>
      <c r="H307" s="49">
        <f>IF(M307="","",IFERROR(ROUND(AVERAGE(T307+M307*{7,8,9,10,11})/1.21,4),""))</f>
        <v/>
      </c>
      <c r="I307" s="76" t="n">
        <v>73.73000335693359</v>
      </c>
      <c r="J307" s="77" t="n">
        <v>73.80837755135792</v>
      </c>
      <c r="K307" s="74" t="n">
        <v>75.77700080871583</v>
      </c>
      <c r="L307" s="78" t="n">
        <v>60.30115015029907</v>
      </c>
      <c r="M307" s="77" t="n">
        <v>2.565289867546576</v>
      </c>
      <c r="N307" s="53">
        <f>IF(M307="","",IFERROR(M307/I307,""))</f>
        <v/>
      </c>
      <c r="O307" s="50">
        <f>IF(A307="","",IFERROR((IF(G307="",I307,G307)-T307)/M307,""))</f>
        <v/>
      </c>
      <c r="P307" s="50">
        <f>IFERROR((I307/T307-1)/N307,"")</f>
        <v/>
      </c>
      <c r="Q307" s="46">
        <f>IF(OR(T307="",I307&lt;T307),"",IFERROR(R307/IF(G307="",I307,G307)-1,""))</f>
        <v/>
      </c>
      <c r="R307" s="48">
        <f>IF($M307="","",MAX(IF($G307="",$I307,$G307)*(1/1.1),IF($G307="",$I307,$G307)+(R$2*$M307)))</f>
        <v/>
      </c>
      <c r="S307" s="49">
        <f>IF($M307="","",MAX(IF($G307="",$I307,$G307)*(1/1.1),IF($G307="",$I307,$G307)+(S$2*$M307)))</f>
        <v/>
      </c>
      <c r="T307" s="82" t="n">
        <v>70.92439987182617</v>
      </c>
      <c r="U307" s="47">
        <f>IF(OR($M307="",$T307=""),"",$T307+(U$2*$M307))</f>
        <v/>
      </c>
      <c r="V307" s="48">
        <f>IF(OR($M307="",$T307=""),"",$T307+(V$2*$M307))</f>
        <v/>
      </c>
      <c r="W307" s="48">
        <f>IF(OR($M307="",$T307=""),"",$T307+(W$2*$M307))</f>
        <v/>
      </c>
      <c r="X307" s="49">
        <f>IF(OR($M307="",$T307=""),"",$T307+(X$2*$M307))</f>
        <v/>
      </c>
      <c r="Y307" s="47">
        <f>IF(OR($M307="",$T307=""),"",$T307+(Y$2*$M307))</f>
        <v/>
      </c>
      <c r="Z307" s="49">
        <f>IF(OR($M307="",$T307=""),"",$T307+(Z$2*$M307))</f>
        <v/>
      </c>
      <c r="AA307" s="51">
        <f>IF(OR($M307="",$T307=""),"",$T307+(AA$2*$M307))</f>
        <v/>
      </c>
      <c r="AB307" s="48">
        <f>IF(OR($M307="",$T307=""),"",$T307+(AB$2*$M307))</f>
        <v/>
      </c>
      <c r="AC307" s="48">
        <f>IF(OR($M307="",$T307=""),"",$T307+(AC$2*$M307))</f>
        <v/>
      </c>
      <c r="AD307" s="48">
        <f>IF(OR($M307="",$T307=""),"",$T307+(AD$2*$M307))</f>
        <v/>
      </c>
      <c r="AE307" s="49">
        <f>IF(OR($M307="",$T307=""),"",$T307+(AE$2*$M307))</f>
        <v/>
      </c>
      <c r="AF307" s="52">
        <f>IF(OR(T307="",I307&lt;T307),"",IFERROR(AVERAGE(T307+M307*{7,8,9,10,11})/IF(G307="",I307,G307)-1,""))</f>
        <v/>
      </c>
      <c r="AG307" s="55">
        <f>IF(OR(T307="",I307&lt;T307),"",IFERROR(AF307/-(R307/IF(G307="",I307,G307)-1),""))</f>
        <v/>
      </c>
      <c r="AH307" s="94" t="n">
        <v>-1</v>
      </c>
      <c r="AI307" s="94" t="n">
        <v>7.473688493404901</v>
      </c>
      <c r="AJ307" s="94" t="n">
        <v>0</v>
      </c>
      <c r="AK307" s="94" t="inlineStr">
        <is>
          <t>None</t>
        </is>
      </c>
      <c r="AL307" s="84" t="inlineStr">
        <is>
          <t>Bread Financial Holdings, Inc.</t>
        </is>
      </c>
      <c r="AM307" t="inlineStr">
        <is>
          <t>Financial Services</t>
        </is>
      </c>
      <c r="AN307" t="inlineStr">
        <is>
          <t>Credit Services</t>
        </is>
      </c>
      <c r="AO307" t="n">
        <v>79</v>
      </c>
    </row>
    <row r="308">
      <c r="A308" s="64" t="inlineStr">
        <is>
          <t>MRK</t>
        </is>
      </c>
      <c r="B308" s="65" t="n"/>
      <c r="C308" s="66" t="n"/>
      <c r="D308" s="67" t="n"/>
      <c r="E308" s="68" t="n"/>
      <c r="F308" s="47">
        <f>IF(A308="","",IF(MIN(H308,MAX(J308:K308))=0,"",MIN(H308,MAX(J308:K308))))</f>
        <v/>
      </c>
      <c r="G308" s="74" t="n"/>
      <c r="H308" s="49">
        <f>IF(M308="","",IFERROR(ROUND(AVERAGE(T308+M308*{7,8,9,10,11})/1.21,4),""))</f>
        <v/>
      </c>
      <c r="I308" s="76" t="n">
        <v>108.8300018310547</v>
      </c>
      <c r="J308" s="77" t="n">
        <v>109.0229524214169</v>
      </c>
      <c r="K308" s="74" t="n">
        <v>107.1925003051758</v>
      </c>
      <c r="L308" s="78" t="n">
        <v>86.60705001831055</v>
      </c>
      <c r="M308" s="77" t="n">
        <v>2.558451710690745</v>
      </c>
      <c r="N308" s="53">
        <f>IF(M308="","",IFERROR(M308/I308,""))</f>
        <v/>
      </c>
      <c r="O308" s="50">
        <f>IF(A308="","",IFERROR((IF(G308="",I308,G308)-T308)/M308,""))</f>
        <v/>
      </c>
      <c r="P308" s="50">
        <f>IFERROR((I308/T308-1)/N308,"")</f>
        <v/>
      </c>
      <c r="Q308" s="46">
        <f>IF(OR(T308="",I308&lt;T308),"",IFERROR(R308/IF(G308="",I308,G308)-1,""))</f>
        <v/>
      </c>
      <c r="R308" s="48">
        <f>IF($M308="","",MAX(IF($G308="",$I308,$G308)*(1/1.1),IF($G308="",$I308,$G308)+(R$2*$M308)))</f>
        <v/>
      </c>
      <c r="S308" s="49">
        <f>IF($M308="","",MAX(IF($G308="",$I308,$G308)*(1/1.1),IF($G308="",$I308,$G308)+(S$2*$M308)))</f>
        <v/>
      </c>
      <c r="T308" s="82" t="n">
        <v>100.8818002319336</v>
      </c>
      <c r="U308" s="47">
        <f>IF(OR($M308="",$T308=""),"",$T308+(U$2*$M308))</f>
        <v/>
      </c>
      <c r="V308" s="48">
        <f>IF(OR($M308="",$T308=""),"",$T308+(V$2*$M308))</f>
        <v/>
      </c>
      <c r="W308" s="48">
        <f>IF(OR($M308="",$T308=""),"",$T308+(W$2*$M308))</f>
        <v/>
      </c>
      <c r="X308" s="49">
        <f>IF(OR($M308="",$T308=""),"",$T308+(X$2*$M308))</f>
        <v/>
      </c>
      <c r="Y308" s="47">
        <f>IF(OR($M308="",$T308=""),"",$T308+(Y$2*$M308))</f>
        <v/>
      </c>
      <c r="Z308" s="49">
        <f>IF(OR($M308="",$T308=""),"",$T308+(Z$2*$M308))</f>
        <v/>
      </c>
      <c r="AA308" s="51">
        <f>IF(OR($M308="",$T308=""),"",$T308+(AA$2*$M308))</f>
        <v/>
      </c>
      <c r="AB308" s="48">
        <f>IF(OR($M308="",$T308=""),"",$T308+(AB$2*$M308))</f>
        <v/>
      </c>
      <c r="AC308" s="48">
        <f>IF(OR($M308="",$T308=""),"",$T308+(AC$2*$M308))</f>
        <v/>
      </c>
      <c r="AD308" s="48">
        <f>IF(OR($M308="",$T308=""),"",$T308+(AD$2*$M308))</f>
        <v/>
      </c>
      <c r="AE308" s="49">
        <f>IF(OR($M308="",$T308=""),"",$T308+(AE$2*$M308))</f>
        <v/>
      </c>
      <c r="AF308" s="52">
        <f>IF(OR(T308="",I308&lt;T308),"",IFERROR(AVERAGE(T308+M308*{7,8,9,10,11})/IF(G308="",I308,G308)-1,""))</f>
        <v/>
      </c>
      <c r="AG308" s="55">
        <f>IF(OR(T308="",I308&lt;T308),"",IFERROR(AF308/-(R308/IF(G308="",I308,G308)-1),""))</f>
        <v/>
      </c>
      <c r="AH308" s="94" t="n">
        <v>1</v>
      </c>
      <c r="AI308" s="94" t="n">
        <v>111.8706049610664</v>
      </c>
      <c r="AJ308" s="94" t="n">
        <v>0</v>
      </c>
      <c r="AK308" s="94" t="inlineStr">
        <is>
          <t>OTT Up Trend</t>
        </is>
      </c>
      <c r="AL308" s="84" t="inlineStr">
        <is>
          <t>Merck &amp; Company, Inc.</t>
        </is>
      </c>
      <c r="AM308" t="inlineStr">
        <is>
          <t>Healthcare</t>
        </is>
      </c>
      <c r="AN308" t="inlineStr">
        <is>
          <t>Drug Manufacturers - General</t>
        </is>
      </c>
      <c r="AO308" t="n">
        <v>79</v>
      </c>
    </row>
    <row r="309">
      <c r="A309" s="64" t="inlineStr">
        <is>
          <t>CASY</t>
        </is>
      </c>
      <c r="B309" s="65" t="n"/>
      <c r="C309" s="66" t="n"/>
      <c r="D309" s="67" t="n"/>
      <c r="E309" s="68" t="n"/>
      <c r="F309" s="47">
        <f>IF(A309="","",IF(MIN(H309,MAX(J309:K309))=0,"",MIN(H309,MAX(J309:K309))))</f>
        <v/>
      </c>
      <c r="G309" s="74" t="n"/>
      <c r="H309" s="49">
        <f>IF(M309="","",IFERROR(ROUND(AVERAGE(T309+M309*{7,8,9,10,11})/1.21,4),""))</f>
        <v/>
      </c>
      <c r="I309" s="76" t="n">
        <v>640.4099731445312</v>
      </c>
      <c r="J309" s="77" t="n">
        <v>605.4289227790838</v>
      </c>
      <c r="K309" s="74" t="n">
        <v>580.188998413086</v>
      </c>
      <c r="L309" s="78" t="n">
        <v>516.8655012512207</v>
      </c>
      <c r="M309" s="77" t="n">
        <v>13.95113132870538</v>
      </c>
      <c r="N309" s="53">
        <f>IF(M309="","",IFERROR(M309/I309,""))</f>
        <v/>
      </c>
      <c r="O309" s="50">
        <f>IF(A309="","",IFERROR((IF(G309="",I309,G309)-T309)/M309,""))</f>
        <v/>
      </c>
      <c r="P309" s="50">
        <f>IFERROR((I309/T309-1)/N309,"")</f>
        <v/>
      </c>
      <c r="Q309" s="46">
        <f>IF(OR(T309="",I309&lt;T309),"",IFERROR(R309/IF(G309="",I309,G309)-1,""))</f>
        <v/>
      </c>
      <c r="R309" s="48">
        <f>IF($M309="","",MAX(IF($G309="",$I309,$G309)*(1/1.1),IF($G309="",$I309,$G309)+(R$2*$M309)))</f>
        <v/>
      </c>
      <c r="S309" s="49">
        <f>IF($M309="","",MAX(IF($G309="",$I309,$G309)*(1/1.1),IF($G309="",$I309,$G309)+(S$2*$M309)))</f>
        <v/>
      </c>
      <c r="T309" s="82" t="n">
        <v>561.8032006835938</v>
      </c>
      <c r="U309" s="47">
        <f>IF(OR($M309="",$T309=""),"",$T309+(U$2*$M309))</f>
        <v/>
      </c>
      <c r="V309" s="48">
        <f>IF(OR($M309="",$T309=""),"",$T309+(V$2*$M309))</f>
        <v/>
      </c>
      <c r="W309" s="48">
        <f>IF(OR($M309="",$T309=""),"",$T309+(W$2*$M309))</f>
        <v/>
      </c>
      <c r="X309" s="49">
        <f>IF(OR($M309="",$T309=""),"",$T309+(X$2*$M309))</f>
        <v/>
      </c>
      <c r="Y309" s="47">
        <f>IF(OR($M309="",$T309=""),"",$T309+(Y$2*$M309))</f>
        <v/>
      </c>
      <c r="Z309" s="49">
        <f>IF(OR($M309="",$T309=""),"",$T309+(Z$2*$M309))</f>
        <v/>
      </c>
      <c r="AA309" s="51">
        <f>IF(OR($M309="",$T309=""),"",$T309+(AA$2*$M309))</f>
        <v/>
      </c>
      <c r="AB309" s="48">
        <f>IF(OR($M309="",$T309=""),"",$T309+(AB$2*$M309))</f>
        <v/>
      </c>
      <c r="AC309" s="48">
        <f>IF(OR($M309="",$T309=""),"",$T309+(AC$2*$M309))</f>
        <v/>
      </c>
      <c r="AD309" s="48">
        <f>IF(OR($M309="",$T309=""),"",$T309+(AD$2*$M309))</f>
        <v/>
      </c>
      <c r="AE309" s="49">
        <f>IF(OR($M309="",$T309=""),"",$T309+(AE$2*$M309))</f>
        <v/>
      </c>
      <c r="AF309" s="52">
        <f>IF(OR(T309="",I309&lt;T309),"",IFERROR(AVERAGE(T309+M309*{7,8,9,10,11})/IF(G309="",I309,G309)-1,""))</f>
        <v/>
      </c>
      <c r="AG309" s="55">
        <f>IF(OR(T309="",I309&lt;T309),"",IFERROR(AF309/-(R309/IF(G309="",I309,G309)-1),""))</f>
        <v/>
      </c>
      <c r="AH309" s="94" t="n">
        <v>1</v>
      </c>
      <c r="AI309" s="94" t="n">
        <v>138.7607419368057</v>
      </c>
      <c r="AJ309" s="94" t="n">
        <v>1</v>
      </c>
      <c r="AK309" s="94" t="inlineStr">
        <is>
          <t>OTT Up Trend</t>
        </is>
      </c>
      <c r="AL309" s="84" t="inlineStr">
        <is>
          <t>Caseys General Stores, Inc.</t>
        </is>
      </c>
      <c r="AM309" t="inlineStr">
        <is>
          <t>Consumer Cyclical</t>
        </is>
      </c>
      <c r="AN309" t="inlineStr">
        <is>
          <t>Specialty Retail</t>
        </is>
      </c>
      <c r="AO309" t="n">
        <v>79</v>
      </c>
    </row>
    <row r="310">
      <c r="A310" s="64" t="inlineStr">
        <is>
          <t>CG</t>
        </is>
      </c>
      <c r="B310" s="65" t="n"/>
      <c r="C310" s="66" t="n"/>
      <c r="D310" s="67" t="n"/>
      <c r="E310" s="68" t="n"/>
      <c r="F310" s="47">
        <f>IF(A310="","",IF(MIN(H310,MAX(J310:K310))=0,"",MIN(H310,MAX(J310:K310))))</f>
        <v/>
      </c>
      <c r="G310" s="74" t="n"/>
      <c r="H310" s="49">
        <f>IF(M310="","",IFERROR(ROUND(AVERAGE(T310+M310*{7,8,9,10,11})/1.21,4),""))</f>
        <v/>
      </c>
      <c r="I310" s="76" t="n">
        <v>65.62000274658203</v>
      </c>
      <c r="J310" s="77" t="n">
        <v>64.73289318682673</v>
      </c>
      <c r="K310" s="74" t="n">
        <v>62.7790002822876</v>
      </c>
      <c r="L310" s="78" t="n">
        <v>54.86700012207032</v>
      </c>
      <c r="M310" s="77" t="n">
        <v>1.727973437279334</v>
      </c>
      <c r="N310" s="53">
        <f>IF(M310="","",IFERROR(M310/I310,""))</f>
        <v/>
      </c>
      <c r="O310" s="50">
        <f>IF(A310="","",IFERROR((IF(G310="",I310,G310)-T310)/M310,""))</f>
        <v/>
      </c>
      <c r="P310" s="50">
        <f>IFERROR((I310/T310-1)/N310,"")</f>
        <v/>
      </c>
      <c r="Q310" s="46">
        <f>IF(OR(T310="",I310&lt;T310),"",IFERROR(R310/IF(G310="",I310,G310)-1,""))</f>
        <v/>
      </c>
      <c r="R310" s="48">
        <f>IF($M310="","",MAX(IF($G310="",$I310,$G310)*(1/1.1),IF($G310="",$I310,$G310)+(R$2*$M310)))</f>
        <v/>
      </c>
      <c r="S310" s="49">
        <f>IF($M310="","",MAX(IF($G310="",$I310,$G310)*(1/1.1),IF($G310="",$I310,$G310)+(S$2*$M310)))</f>
        <v/>
      </c>
      <c r="T310" s="82" t="n">
        <v>57.87840019226074</v>
      </c>
      <c r="U310" s="47">
        <f>IF(OR($M310="",$T310=""),"",$T310+(U$2*$M310))</f>
        <v/>
      </c>
      <c r="V310" s="48">
        <f>IF(OR($M310="",$T310=""),"",$T310+(V$2*$M310))</f>
        <v/>
      </c>
      <c r="W310" s="48">
        <f>IF(OR($M310="",$T310=""),"",$T310+(W$2*$M310))</f>
        <v/>
      </c>
      <c r="X310" s="49">
        <f>IF(OR($M310="",$T310=""),"",$T310+(X$2*$M310))</f>
        <v/>
      </c>
      <c r="Y310" s="47">
        <f>IF(OR($M310="",$T310=""),"",$T310+(Y$2*$M310))</f>
        <v/>
      </c>
      <c r="Z310" s="49">
        <f>IF(OR($M310="",$T310=""),"",$T310+(Z$2*$M310))</f>
        <v/>
      </c>
      <c r="AA310" s="51">
        <f>IF(OR($M310="",$T310=""),"",$T310+(AA$2*$M310))</f>
        <v/>
      </c>
      <c r="AB310" s="48">
        <f>IF(OR($M310="",$T310=""),"",$T310+(AB$2*$M310))</f>
        <v/>
      </c>
      <c r="AC310" s="48">
        <f>IF(OR($M310="",$T310=""),"",$T310+(AC$2*$M310))</f>
        <v/>
      </c>
      <c r="AD310" s="48">
        <f>IF(OR($M310="",$T310=""),"",$T310+(AD$2*$M310))</f>
        <v/>
      </c>
      <c r="AE310" s="49">
        <f>IF(OR($M310="",$T310=""),"",$T310+(AE$2*$M310))</f>
        <v/>
      </c>
      <c r="AF310" s="52">
        <f>IF(OR(T310="",I310&lt;T310),"",IFERROR(AVERAGE(T310+M310*{7,8,9,10,11})/IF(G310="",I310,G310)-1,""))</f>
        <v/>
      </c>
      <c r="AG310" s="55">
        <f>IF(OR(T310="",I310&lt;T310),"",IFERROR(AF310/-(R310/IF(G310="",I310,G310)-1),""))</f>
        <v/>
      </c>
      <c r="AH310" s="94" t="n">
        <v>1</v>
      </c>
      <c r="AI310" s="94" t="n">
        <v>125.5833915424834</v>
      </c>
      <c r="AJ310" s="94" t="n">
        <v>1</v>
      </c>
      <c r="AK310" s="94" t="inlineStr">
        <is>
          <t>OTT Up Trend</t>
        </is>
      </c>
      <c r="AL310" s="84" t="inlineStr">
        <is>
          <t>The Carlyle Group Inc.</t>
        </is>
      </c>
      <c r="AM310" t="inlineStr">
        <is>
          <t>Financial Services</t>
        </is>
      </c>
      <c r="AN310" t="inlineStr">
        <is>
          <t>Asset Management</t>
        </is>
      </c>
      <c r="AO310" t="n">
        <v>79</v>
      </c>
    </row>
    <row r="311">
      <c r="A311" s="64" t="inlineStr">
        <is>
          <t>WMS</t>
        </is>
      </c>
      <c r="B311" s="65" t="n"/>
      <c r="C311" s="66" t="n"/>
      <c r="D311" s="67" t="n"/>
      <c r="E311" s="68" t="n"/>
      <c r="F311" s="47">
        <f>IF(A311="","",IF(MIN(H311,MAX(J311:K311))=0,"",MIN(H311,MAX(J311:K311))))</f>
        <v/>
      </c>
      <c r="G311" s="74" t="n"/>
      <c r="H311" s="49">
        <f>IF(M311="","",IFERROR(ROUND(AVERAGE(T311+M311*{7,8,9,10,11})/1.21,4),""))</f>
        <v/>
      </c>
      <c r="I311" s="76" t="n">
        <v>159.3000030517578</v>
      </c>
      <c r="J311" s="77" t="n">
        <v>155.5877788139417</v>
      </c>
      <c r="K311" s="74" t="n">
        <v>151.6139999389648</v>
      </c>
      <c r="L311" s="78" t="n">
        <v>131.0307503890991</v>
      </c>
      <c r="M311" s="77" t="n">
        <v>3.889379289705017</v>
      </c>
      <c r="N311" s="53">
        <f>IF(M311="","",IFERROR(M311/I311,""))</f>
        <v/>
      </c>
      <c r="O311" s="50">
        <f>IF(A311="","",IFERROR((IF(G311="",I311,G311)-T311)/M311,""))</f>
        <v/>
      </c>
      <c r="P311" s="50">
        <f>IFERROR((I311/T311-1)/N311,"")</f>
        <v/>
      </c>
      <c r="Q311" s="46">
        <f>IF(OR(T311="",I311&lt;T311),"",IFERROR(R311/IF(G311="",I311,G311)-1,""))</f>
        <v/>
      </c>
      <c r="R311" s="48">
        <f>IF($M311="","",MAX(IF($G311="",$I311,$G311)*(1/1.1),IF($G311="",$I311,$G311)+(R$2*$M311)))</f>
        <v/>
      </c>
      <c r="S311" s="49">
        <f>IF($M311="","",MAX(IF($G311="",$I311,$G311)*(1/1.1),IF($G311="",$I311,$G311)+(S$2*$M311)))</f>
        <v/>
      </c>
      <c r="T311" s="82" t="n">
        <v>149.2180004882813</v>
      </c>
      <c r="U311" s="47">
        <f>IF(OR($M311="",$T311=""),"",$T311+(U$2*$M311))</f>
        <v/>
      </c>
      <c r="V311" s="48">
        <f>IF(OR($M311="",$T311=""),"",$T311+(V$2*$M311))</f>
        <v/>
      </c>
      <c r="W311" s="48">
        <f>IF(OR($M311="",$T311=""),"",$T311+(W$2*$M311))</f>
        <v/>
      </c>
      <c r="X311" s="49">
        <f>IF(OR($M311="",$T311=""),"",$T311+(X$2*$M311))</f>
        <v/>
      </c>
      <c r="Y311" s="47">
        <f>IF(OR($M311="",$T311=""),"",$T311+(Y$2*$M311))</f>
        <v/>
      </c>
      <c r="Z311" s="49">
        <f>IF(OR($M311="",$T311=""),"",$T311+(Z$2*$M311))</f>
        <v/>
      </c>
      <c r="AA311" s="51">
        <f>IF(OR($M311="",$T311=""),"",$T311+(AA$2*$M311))</f>
        <v/>
      </c>
      <c r="AB311" s="48">
        <f>IF(OR($M311="",$T311=""),"",$T311+(AB$2*$M311))</f>
        <v/>
      </c>
      <c r="AC311" s="48">
        <f>IF(OR($M311="",$T311=""),"",$T311+(AC$2*$M311))</f>
        <v/>
      </c>
      <c r="AD311" s="48">
        <f>IF(OR($M311="",$T311=""),"",$T311+(AD$2*$M311))</f>
        <v/>
      </c>
      <c r="AE311" s="49">
        <f>IF(OR($M311="",$T311=""),"",$T311+(AE$2*$M311))</f>
        <v/>
      </c>
      <c r="AF311" s="52">
        <f>IF(OR(T311="",I311&lt;T311),"",IFERROR(AVERAGE(T311+M311*{7,8,9,10,11})/IF(G311="",I311,G311)-1,""))</f>
        <v/>
      </c>
      <c r="AG311" s="55">
        <f>IF(OR(T311="",I311&lt;T311),"",IFERROR(AF311/-(R311/IF(G311="",I311,G311)-1),""))</f>
        <v/>
      </c>
      <c r="AH311" s="94" t="n">
        <v>1</v>
      </c>
      <c r="AI311" s="94" t="n">
        <v>70.80954866777289</v>
      </c>
      <c r="AJ311" s="94" t="n">
        <v>1</v>
      </c>
      <c r="AK311" s="94" t="inlineStr">
        <is>
          <t>OTT Up Trend</t>
        </is>
      </c>
      <c r="AL311" s="84" t="inlineStr">
        <is>
          <t>Advanced Drainage Systems, Inc.</t>
        </is>
      </c>
      <c r="AM311" t="inlineStr">
        <is>
          <t>Industrials</t>
        </is>
      </c>
      <c r="AN311" t="inlineStr">
        <is>
          <t>Building Products &amp; Equipment</t>
        </is>
      </c>
      <c r="AO311" t="n">
        <v>79</v>
      </c>
    </row>
    <row r="312">
      <c r="A312" s="64" t="inlineStr">
        <is>
          <t>HASI</t>
        </is>
      </c>
      <c r="B312" s="65" t="n"/>
      <c r="C312" s="66" t="n"/>
      <c r="D312" s="67" t="n"/>
      <c r="E312" s="68" t="n"/>
      <c r="F312" s="47">
        <f>IF(A312="","",IF(MIN(H312,MAX(J312:K312))=0,"",MIN(H312,MAX(J312:K312))))</f>
        <v/>
      </c>
      <c r="G312" s="74" t="n"/>
      <c r="H312" s="49">
        <f>IF(M312="","",IFERROR(ROUND(AVERAGE(T312+M312*{7,8,9,10,11})/1.21,4),""))</f>
        <v/>
      </c>
      <c r="I312" s="76" t="n">
        <v>34.47000122070312</v>
      </c>
      <c r="J312" s="77" t="n">
        <v>33.59733189000123</v>
      </c>
      <c r="K312" s="74" t="n">
        <v>32.92500019073486</v>
      </c>
      <c r="L312" s="78" t="n">
        <v>28.62259999275208</v>
      </c>
      <c r="M312" s="77" t="n">
        <v>0.8573462832368843</v>
      </c>
      <c r="N312" s="53">
        <f>IF(M312="","",IFERROR(M312/I312,""))</f>
        <v/>
      </c>
      <c r="O312" s="50">
        <f>IF(A312="","",IFERROR((IF(G312="",I312,G312)-T312)/M312,""))</f>
        <v/>
      </c>
      <c r="P312" s="50">
        <f>IFERROR((I312/T312-1)/N312,"")</f>
        <v/>
      </c>
      <c r="Q312" s="46">
        <f>IF(OR(T312="",I312&lt;T312),"",IFERROR(R312/IF(G312="",I312,G312)-1,""))</f>
        <v/>
      </c>
      <c r="R312" s="48">
        <f>IF($M312="","",MAX(IF($G312="",$I312,$G312)*(1/1.1),IF($G312="",$I312,$G312)+(R$2*$M312)))</f>
        <v/>
      </c>
      <c r="S312" s="49">
        <f>IF($M312="","",MAX(IF($G312="",$I312,$G312)*(1/1.1),IF($G312="",$I312,$G312)+(S$2*$M312)))</f>
        <v/>
      </c>
      <c r="T312" s="82" t="n">
        <v>32.91120014190674</v>
      </c>
      <c r="U312" s="47">
        <f>IF(OR($M312="",$T312=""),"",$T312+(U$2*$M312))</f>
        <v/>
      </c>
      <c r="V312" s="48">
        <f>IF(OR($M312="",$T312=""),"",$T312+(V$2*$M312))</f>
        <v/>
      </c>
      <c r="W312" s="48">
        <f>IF(OR($M312="",$T312=""),"",$T312+(W$2*$M312))</f>
        <v/>
      </c>
      <c r="X312" s="49">
        <f>IF(OR($M312="",$T312=""),"",$T312+(X$2*$M312))</f>
        <v/>
      </c>
      <c r="Y312" s="47">
        <f>IF(OR($M312="",$T312=""),"",$T312+(Y$2*$M312))</f>
        <v/>
      </c>
      <c r="Z312" s="49">
        <f>IF(OR($M312="",$T312=""),"",$T312+(Z$2*$M312))</f>
        <v/>
      </c>
      <c r="AA312" s="51">
        <f>IF(OR($M312="",$T312=""),"",$T312+(AA$2*$M312))</f>
        <v/>
      </c>
      <c r="AB312" s="48">
        <f>IF(OR($M312="",$T312=""),"",$T312+(AB$2*$M312))</f>
        <v/>
      </c>
      <c r="AC312" s="48">
        <f>IF(OR($M312="",$T312=""),"",$T312+(AC$2*$M312))</f>
        <v/>
      </c>
      <c r="AD312" s="48">
        <f>IF(OR($M312="",$T312=""),"",$T312+(AD$2*$M312))</f>
        <v/>
      </c>
      <c r="AE312" s="49">
        <f>IF(OR($M312="",$T312=""),"",$T312+(AE$2*$M312))</f>
        <v/>
      </c>
      <c r="AF312" s="52">
        <f>IF(OR(T312="",I312&lt;T312),"",IFERROR(AVERAGE(T312+M312*{7,8,9,10,11})/IF(G312="",I312,G312)-1,""))</f>
        <v/>
      </c>
      <c r="AG312" s="55">
        <f>IF(OR(T312="",I312&lt;T312),"",IFERROR(AF312/-(R312/IF(G312="",I312,G312)-1),""))</f>
        <v/>
      </c>
      <c r="AH312" s="94" t="n">
        <v>1</v>
      </c>
      <c r="AI312" s="94" t="n">
        <v>49.68055261122763</v>
      </c>
      <c r="AJ312" s="94" t="n">
        <v>1</v>
      </c>
      <c r="AK312" s="94" t="inlineStr">
        <is>
          <t>OTT Up Trend</t>
        </is>
      </c>
      <c r="AL312" s="84" t="inlineStr">
        <is>
          <t>HA Sustainable Infrastructure C</t>
        </is>
      </c>
      <c r="AM312" t="inlineStr">
        <is>
          <t>Financial Services</t>
        </is>
      </c>
      <c r="AN312" t="inlineStr">
        <is>
          <t>Asset Management</t>
        </is>
      </c>
      <c r="AO312" t="n">
        <v>79</v>
      </c>
    </row>
    <row r="313">
      <c r="A313" s="64" t="inlineStr">
        <is>
          <t>SONO</t>
        </is>
      </c>
      <c r="B313" s="65" t="n"/>
      <c r="C313" s="66" t="n"/>
      <c r="D313" s="67" t="n"/>
      <c r="E313" s="68" t="n"/>
      <c r="F313" s="47">
        <f>IF(A313="","",IF(MIN(H313,MAX(J313:K313))=0,"",MIN(H313,MAX(J313:K313))))</f>
        <v/>
      </c>
      <c r="G313" s="74" t="n"/>
      <c r="H313" s="49">
        <f>IF(M313="","",IFERROR(ROUND(AVERAGE(T313+M313*{7,8,9,10,11})/1.21,4),""))</f>
        <v/>
      </c>
      <c r="I313" s="76" t="n">
        <v>15.85000038146973</v>
      </c>
      <c r="J313" s="77" t="n">
        <v>16.61875909045687</v>
      </c>
      <c r="K313" s="74" t="n">
        <v>17.30850009918213</v>
      </c>
      <c r="L313" s="78" t="n">
        <v>13.57139998912811</v>
      </c>
      <c r="M313" s="77" t="n">
        <v>0.6140996494970088</v>
      </c>
      <c r="N313" s="53">
        <f>IF(M313="","",IFERROR(M313/I313,""))</f>
        <v/>
      </c>
      <c r="O313" s="50">
        <f>IF(A313="","",IFERROR((IF(G313="",I313,G313)-T313)/M313,""))</f>
        <v/>
      </c>
      <c r="P313" s="50">
        <f>IFERROR((I313/T313-1)/N313,"")</f>
        <v/>
      </c>
      <c r="Q313" s="46">
        <f>IF(OR(T313="",I313&lt;T313),"",IFERROR(R313/IF(G313="",I313,G313)-1,""))</f>
        <v/>
      </c>
      <c r="R313" s="48">
        <f>IF($M313="","",MAX(IF($G313="",$I313,$G313)*(1/1.1),IF($G313="",$I313,$G313)+(R$2*$M313)))</f>
        <v/>
      </c>
      <c r="S313" s="49">
        <f>IF($M313="","",MAX(IF($G313="",$I313,$G313)*(1/1.1),IF($G313="",$I313,$G313)+(S$2*$M313)))</f>
        <v/>
      </c>
      <c r="T313" s="82" t="n">
        <v>17.53479999542236</v>
      </c>
      <c r="U313" s="47">
        <f>IF(OR($M313="",$T313=""),"",$T313+(U$2*$M313))</f>
        <v/>
      </c>
      <c r="V313" s="48">
        <f>IF(OR($M313="",$T313=""),"",$T313+(V$2*$M313))</f>
        <v/>
      </c>
      <c r="W313" s="48">
        <f>IF(OR($M313="",$T313=""),"",$T313+(W$2*$M313))</f>
        <v/>
      </c>
      <c r="X313" s="49">
        <f>IF(OR($M313="",$T313=""),"",$T313+(X$2*$M313))</f>
        <v/>
      </c>
      <c r="Y313" s="47">
        <f>IF(OR($M313="",$T313=""),"",$T313+(Y$2*$M313))</f>
        <v/>
      </c>
      <c r="Z313" s="49">
        <f>IF(OR($M313="",$T313=""),"",$T313+(Z$2*$M313))</f>
        <v/>
      </c>
      <c r="AA313" s="51">
        <f>IF(OR($M313="",$T313=""),"",$T313+(AA$2*$M313))</f>
        <v/>
      </c>
      <c r="AB313" s="48">
        <f>IF(OR($M313="",$T313=""),"",$T313+(AB$2*$M313))</f>
        <v/>
      </c>
      <c r="AC313" s="48">
        <f>IF(OR($M313="",$T313=""),"",$T313+(AC$2*$M313))</f>
        <v/>
      </c>
      <c r="AD313" s="48">
        <f>IF(OR($M313="",$T313=""),"",$T313+(AD$2*$M313))</f>
        <v/>
      </c>
      <c r="AE313" s="49">
        <f>IF(OR($M313="",$T313=""),"",$T313+(AE$2*$M313))</f>
        <v/>
      </c>
      <c r="AF313" s="52">
        <f>IF(OR(T313="",I313&lt;T313),"",IFERROR(AVERAGE(T313+M313*{7,8,9,10,11})/IF(G313="",I313,G313)-1,""))</f>
        <v/>
      </c>
      <c r="AG313" s="55">
        <f>IF(OR(T313="",I313&lt;T313),"",IFERROR(AF313/-(R313/IF(G313="",I313,G313)-1),""))</f>
        <v/>
      </c>
      <c r="AH313" s="94" t="n">
        <v>-1</v>
      </c>
      <c r="AI313" s="94" t="n">
        <v>-77.32029533794412</v>
      </c>
      <c r="AJ313" s="94" t="n">
        <v>0</v>
      </c>
      <c r="AK313" s="94" t="inlineStr">
        <is>
          <t>None</t>
        </is>
      </c>
      <c r="AL313" s="84" t="inlineStr">
        <is>
          <t>Sonos, Inc.</t>
        </is>
      </c>
      <c r="AM313" t="inlineStr">
        <is>
          <t>Technology</t>
        </is>
      </c>
      <c r="AN313" t="inlineStr">
        <is>
          <t>Consumer Electronics</t>
        </is>
      </c>
      <c r="AO313" t="n">
        <v>79</v>
      </c>
    </row>
    <row r="314">
      <c r="A314" s="64" t="inlineStr">
        <is>
          <t>IDCC</t>
        </is>
      </c>
      <c r="B314" s="65" t="n"/>
      <c r="C314" s="66" t="n"/>
      <c r="D314" s="67" t="n"/>
      <c r="E314" s="68" t="n"/>
      <c r="F314" s="47">
        <f>IF(A314="","",IF(MIN(H314,MAX(J314:K314))=0,"",MIN(H314,MAX(J314:K314))))</f>
        <v/>
      </c>
      <c r="G314" s="74" t="n"/>
      <c r="H314" s="49">
        <f>IF(M314="","",IFERROR(ROUND(AVERAGE(T314+M314*{7,8,9,10,11})/1.21,4),""))</f>
        <v/>
      </c>
      <c r="I314" s="76" t="n">
        <v>308.760009765625</v>
      </c>
      <c r="J314" s="77" t="n">
        <v>313.7808601656905</v>
      </c>
      <c r="K314" s="74" t="n">
        <v>320.2010009765625</v>
      </c>
      <c r="L314" s="78" t="n">
        <v>281.9915999603272</v>
      </c>
      <c r="M314" s="77" t="n">
        <v>12.01243584725138</v>
      </c>
      <c r="N314" s="53">
        <f>IF(M314="","",IFERROR(M314/I314,""))</f>
        <v/>
      </c>
      <c r="O314" s="50">
        <f>IF(A314="","",IFERROR((IF(G314="",I314,G314)-T314)/M314,""))</f>
        <v/>
      </c>
      <c r="P314" s="50">
        <f>IFERROR((I314/T314-1)/N314,"")</f>
        <v/>
      </c>
      <c r="Q314" s="46">
        <f>IF(OR(T314="",I314&lt;T314),"",IFERROR(R314/IF(G314="",I314,G314)-1,""))</f>
        <v/>
      </c>
      <c r="R314" s="48">
        <f>IF($M314="","",MAX(IF($G314="",$I314,$G314)*(1/1.1),IF($G314="",$I314,$G314)+(R$2*$M314)))</f>
        <v/>
      </c>
      <c r="S314" s="49">
        <f>IF($M314="","",MAX(IF($G314="",$I314,$G314)*(1/1.1),IF($G314="",$I314,$G314)+(S$2*$M314)))</f>
        <v/>
      </c>
      <c r="T314" s="82" t="n">
        <v>339.3684014892578</v>
      </c>
      <c r="U314" s="47">
        <f>IF(OR($M314="",$T314=""),"",$T314+(U$2*$M314))</f>
        <v/>
      </c>
      <c r="V314" s="48">
        <f>IF(OR($M314="",$T314=""),"",$T314+(V$2*$M314))</f>
        <v/>
      </c>
      <c r="W314" s="48">
        <f>IF(OR($M314="",$T314=""),"",$T314+(W$2*$M314))</f>
        <v/>
      </c>
      <c r="X314" s="49">
        <f>IF(OR($M314="",$T314=""),"",$T314+(X$2*$M314))</f>
        <v/>
      </c>
      <c r="Y314" s="47">
        <f>IF(OR($M314="",$T314=""),"",$T314+(Y$2*$M314))</f>
        <v/>
      </c>
      <c r="Z314" s="49">
        <f>IF(OR($M314="",$T314=""),"",$T314+(Z$2*$M314))</f>
        <v/>
      </c>
      <c r="AA314" s="51">
        <f>IF(OR($M314="",$T314=""),"",$T314+(AA$2*$M314))</f>
        <v/>
      </c>
      <c r="AB314" s="48">
        <f>IF(OR($M314="",$T314=""),"",$T314+(AB$2*$M314))</f>
        <v/>
      </c>
      <c r="AC314" s="48">
        <f>IF(OR($M314="",$T314=""),"",$T314+(AC$2*$M314))</f>
        <v/>
      </c>
      <c r="AD314" s="48">
        <f>IF(OR($M314="",$T314=""),"",$T314+(AD$2*$M314))</f>
        <v/>
      </c>
      <c r="AE314" s="49">
        <f>IF(OR($M314="",$T314=""),"",$T314+(AE$2*$M314))</f>
        <v/>
      </c>
      <c r="AF314" s="52">
        <f>IF(OR(T314="",I314&lt;T314),"",IFERROR(AVERAGE(T314+M314*{7,8,9,10,11})/IF(G314="",I314,G314)-1,""))</f>
        <v/>
      </c>
      <c r="AG314" s="55">
        <f>IF(OR(T314="",I314&lt;T314),"",IFERROR(AF314/-(R314/IF(G314="",I314,G314)-1),""))</f>
        <v/>
      </c>
      <c r="AH314" s="94" t="n">
        <v>-1</v>
      </c>
      <c r="AI314" s="94" t="n">
        <v>-72.45493250102282</v>
      </c>
      <c r="AJ314" s="94" t="n">
        <v>0</v>
      </c>
      <c r="AK314" s="94" t="inlineStr">
        <is>
          <t>OTT Down Trend</t>
        </is>
      </c>
      <c r="AL314" s="84" t="inlineStr">
        <is>
          <t>InterDigital, Inc.</t>
        </is>
      </c>
      <c r="AM314" t="inlineStr">
        <is>
          <t>Technology</t>
        </is>
      </c>
      <c r="AN314" t="inlineStr">
        <is>
          <t>Software - Application</t>
        </is>
      </c>
      <c r="AO314" t="n">
        <v>79</v>
      </c>
    </row>
    <row r="315">
      <c r="A315" s="64" t="inlineStr">
        <is>
          <t>BG</t>
        </is>
      </c>
      <c r="B315" s="65" t="n"/>
      <c r="C315" s="66" t="n"/>
      <c r="D315" s="67" t="n"/>
      <c r="E315" s="68" t="n"/>
      <c r="F315" s="47">
        <f>IF(A315="","",IF(MIN(H315,MAX(J315:K315))=0,"",MIN(H315,MAX(J315:K315))))</f>
        <v/>
      </c>
      <c r="G315" s="74" t="n"/>
      <c r="H315" s="49">
        <f>IF(M315="","",IFERROR(ROUND(AVERAGE(T315+M315*{7,8,9,10,11})/1.21,4),""))</f>
        <v/>
      </c>
      <c r="I315" s="76" t="n">
        <v>107.8099975585938</v>
      </c>
      <c r="J315" s="77" t="n">
        <v>101.5915826711834</v>
      </c>
      <c r="K315" s="74" t="n">
        <v>95.18100013732911</v>
      </c>
      <c r="L315" s="78" t="n">
        <v>84.64405017852783</v>
      </c>
      <c r="M315" s="77" t="n">
        <v>2.589710411623375</v>
      </c>
      <c r="N315" s="53">
        <f>IF(M315="","",IFERROR(M315/I315,""))</f>
        <v/>
      </c>
      <c r="O315" s="50">
        <f>IF(A315="","",IFERROR((IF(G315="",I315,G315)-T315)/M315,""))</f>
        <v/>
      </c>
      <c r="P315" s="50">
        <f>IFERROR((I315/T315-1)/N315,"")</f>
        <v/>
      </c>
      <c r="Q315" s="46">
        <f>IF(OR(T315="",I315&lt;T315),"",IFERROR(R315/IF(G315="",I315,G315)-1,""))</f>
        <v/>
      </c>
      <c r="R315" s="48">
        <f>IF($M315="","",MAX(IF($G315="",$I315,$G315)*(1/1.1),IF($G315="",$I315,$G315)+(R$2*$M315)))</f>
        <v/>
      </c>
      <c r="S315" s="49">
        <f>IF($M315="","",MAX(IF($G315="",$I315,$G315)*(1/1.1),IF($G315="",$I315,$G315)+(S$2*$M315)))</f>
        <v/>
      </c>
      <c r="T315" s="82" t="n">
        <v>94.74260025024414</v>
      </c>
      <c r="U315" s="47">
        <f>IF(OR($M315="",$T315=""),"",$T315+(U$2*$M315))</f>
        <v/>
      </c>
      <c r="V315" s="48">
        <f>IF(OR($M315="",$T315=""),"",$T315+(V$2*$M315))</f>
        <v/>
      </c>
      <c r="W315" s="48">
        <f>IF(OR($M315="",$T315=""),"",$T315+(W$2*$M315))</f>
        <v/>
      </c>
      <c r="X315" s="49">
        <f>IF(OR($M315="",$T315=""),"",$T315+(X$2*$M315))</f>
        <v/>
      </c>
      <c r="Y315" s="47">
        <f>IF(OR($M315="",$T315=""),"",$T315+(Y$2*$M315))</f>
        <v/>
      </c>
      <c r="Z315" s="49">
        <f>IF(OR($M315="",$T315=""),"",$T315+(Z$2*$M315))</f>
        <v/>
      </c>
      <c r="AA315" s="51">
        <f>IF(OR($M315="",$T315=""),"",$T315+(AA$2*$M315))</f>
        <v/>
      </c>
      <c r="AB315" s="48">
        <f>IF(OR($M315="",$T315=""),"",$T315+(AB$2*$M315))</f>
        <v/>
      </c>
      <c r="AC315" s="48">
        <f>IF(OR($M315="",$T315=""),"",$T315+(AC$2*$M315))</f>
        <v/>
      </c>
      <c r="AD315" s="48">
        <f>IF(OR($M315="",$T315=""),"",$T315+(AD$2*$M315))</f>
        <v/>
      </c>
      <c r="AE315" s="49">
        <f>IF(OR($M315="",$T315=""),"",$T315+(AE$2*$M315))</f>
        <v/>
      </c>
      <c r="AF315" s="52">
        <f>IF(OR(T315="",I315&lt;T315),"",IFERROR(AVERAGE(T315+M315*{7,8,9,10,11})/IF(G315="",I315,G315)-1,""))</f>
        <v/>
      </c>
      <c r="AG315" s="55">
        <f>IF(OR(T315="",I315&lt;T315),"",IFERROR(AF315/-(R315/IF(G315="",I315,G315)-1),""))</f>
        <v/>
      </c>
      <c r="AH315" s="94" t="n">
        <v>1</v>
      </c>
      <c r="AI315" s="94" t="n">
        <v>144.3822787890033</v>
      </c>
      <c r="AJ315" s="94" t="n">
        <v>1</v>
      </c>
      <c r="AK315" s="94" t="inlineStr">
        <is>
          <t>OTT Up Trend</t>
        </is>
      </c>
      <c r="AL315" s="84" t="inlineStr">
        <is>
          <t>Bunge Limited</t>
        </is>
      </c>
      <c r="AM315" t="inlineStr">
        <is>
          <t>Consumer Defensive</t>
        </is>
      </c>
      <c r="AN315" t="inlineStr">
        <is>
          <t>Farm Products</t>
        </is>
      </c>
      <c r="AO315" t="n">
        <v>79</v>
      </c>
    </row>
    <row r="316">
      <c r="A316" s="64" t="inlineStr">
        <is>
          <t>NXST</t>
        </is>
      </c>
      <c r="B316" s="65" t="n"/>
      <c r="C316" s="66" t="n"/>
      <c r="D316" s="67" t="n"/>
      <c r="E316" s="68" t="n"/>
      <c r="F316" s="47">
        <f>IF(A316="","",IF(MIN(H316,MAX(J316:K316))=0,"",MIN(H316,MAX(J316:K316))))</f>
        <v/>
      </c>
      <c r="G316" s="74" t="n"/>
      <c r="H316" s="49">
        <f>IF(M316="","",IFERROR(ROUND(AVERAGE(T316+M316*{7,8,9,10,11})/1.21,4),""))</f>
        <v/>
      </c>
      <c r="I316" s="76" t="n">
        <v>216.3200073242188</v>
      </c>
      <c r="J316" s="77" t="n">
        <v>210.9896474162984</v>
      </c>
      <c r="K316" s="74" t="n">
        <v>206.9735000610352</v>
      </c>
      <c r="L316" s="78" t="n">
        <v>186.5241501617432</v>
      </c>
      <c r="M316" s="77" t="n">
        <v>5.849809647945318</v>
      </c>
      <c r="N316" s="53">
        <f>IF(M316="","",IFERROR(M316/I316,""))</f>
        <v/>
      </c>
      <c r="O316" s="50">
        <f>IF(A316="","",IFERROR((IF(G316="",I316,G316)-T316)/M316,""))</f>
        <v/>
      </c>
      <c r="P316" s="50">
        <f>IFERROR((I316/T316-1)/N316,"")</f>
        <v/>
      </c>
      <c r="Q316" s="46">
        <f>IF(OR(T316="",I316&lt;T316),"",IFERROR(R316/IF(G316="",I316,G316)-1,""))</f>
        <v/>
      </c>
      <c r="R316" s="48">
        <f>IF($M316="","",MAX(IF($G316="",$I316,$G316)*(1/1.1),IF($G316="",$I316,$G316)+(R$2*$M316)))</f>
        <v/>
      </c>
      <c r="S316" s="49">
        <f>IF($M316="","",MAX(IF($G316="",$I316,$G316)*(1/1.1),IF($G316="",$I316,$G316)+(S$2*$M316)))</f>
        <v/>
      </c>
      <c r="T316" s="82" t="n">
        <v>198.4433999633789</v>
      </c>
      <c r="U316" s="47">
        <f>IF(OR($M316="",$T316=""),"",$T316+(U$2*$M316))</f>
        <v/>
      </c>
      <c r="V316" s="48">
        <f>IF(OR($M316="",$T316=""),"",$T316+(V$2*$M316))</f>
        <v/>
      </c>
      <c r="W316" s="48">
        <f>IF(OR($M316="",$T316=""),"",$T316+(W$2*$M316))</f>
        <v/>
      </c>
      <c r="X316" s="49">
        <f>IF(OR($M316="",$T316=""),"",$T316+(X$2*$M316))</f>
        <v/>
      </c>
      <c r="Y316" s="47">
        <f>IF(OR($M316="",$T316=""),"",$T316+(Y$2*$M316))</f>
        <v/>
      </c>
      <c r="Z316" s="49">
        <f>IF(OR($M316="",$T316=""),"",$T316+(Z$2*$M316))</f>
        <v/>
      </c>
      <c r="AA316" s="51">
        <f>IF(OR($M316="",$T316=""),"",$T316+(AA$2*$M316))</f>
        <v/>
      </c>
      <c r="AB316" s="48">
        <f>IF(OR($M316="",$T316=""),"",$T316+(AB$2*$M316))</f>
        <v/>
      </c>
      <c r="AC316" s="48">
        <f>IF(OR($M316="",$T316=""),"",$T316+(AC$2*$M316))</f>
        <v/>
      </c>
      <c r="AD316" s="48">
        <f>IF(OR($M316="",$T316=""),"",$T316+(AD$2*$M316))</f>
        <v/>
      </c>
      <c r="AE316" s="49">
        <f>IF(OR($M316="",$T316=""),"",$T316+(AE$2*$M316))</f>
        <v/>
      </c>
      <c r="AF316" s="52">
        <f>IF(OR(T316="",I316&lt;T316),"",IFERROR(AVERAGE(T316+M316*{7,8,9,10,11})/IF(G316="",I316,G316)-1,""))</f>
        <v/>
      </c>
      <c r="AG316" s="55">
        <f>IF(OR(T316="",I316&lt;T316),"",IFERROR(AF316/-(R316/IF(G316="",I316,G316)-1),""))</f>
        <v/>
      </c>
      <c r="AH316" s="94" t="n">
        <v>1</v>
      </c>
      <c r="AI316" s="94" t="n">
        <v>72.27000075300799</v>
      </c>
      <c r="AJ316" s="94" t="n">
        <v>1</v>
      </c>
      <c r="AK316" s="94" t="inlineStr">
        <is>
          <t>OTT Up Trend</t>
        </is>
      </c>
      <c r="AL316" s="84" t="inlineStr">
        <is>
          <t>Nexstar Media Group, Inc.</t>
        </is>
      </c>
      <c r="AM316" t="inlineStr">
        <is>
          <t>Communication Services</t>
        </is>
      </c>
      <c r="AN316" t="inlineStr">
        <is>
          <t>Broadcasting</t>
        </is>
      </c>
      <c r="AO316" t="n">
        <v>79</v>
      </c>
    </row>
    <row r="317">
      <c r="A317" s="64" t="inlineStr">
        <is>
          <t>GVA</t>
        </is>
      </c>
      <c r="B317" s="65" t="n"/>
      <c r="C317" s="66" t="n"/>
      <c r="D317" s="67" t="n"/>
      <c r="E317" s="68" t="n"/>
      <c r="F317" s="47">
        <f>IF(A317="","",IF(MIN(H317,MAX(J317:K317))=0,"",MIN(H317,MAX(J317:K317))))</f>
        <v/>
      </c>
      <c r="G317" s="74" t="n"/>
      <c r="H317" s="49">
        <f>IF(M317="","",IFERROR(ROUND(AVERAGE(T317+M317*{7,8,9,10,11})/1.21,4),""))</f>
        <v/>
      </c>
      <c r="I317" s="76" t="n">
        <v>121.3600006103516</v>
      </c>
      <c r="J317" s="77" t="n">
        <v>120.7806417254359</v>
      </c>
      <c r="K317" s="74" t="n">
        <v>119.1344997406006</v>
      </c>
      <c r="L317" s="78" t="n">
        <v>99.64594997406006</v>
      </c>
      <c r="M317" s="77" t="n">
        <v>2.891080710514543</v>
      </c>
      <c r="N317" s="53">
        <f>IF(M317="","",IFERROR(M317/I317,""))</f>
        <v/>
      </c>
      <c r="O317" s="50">
        <f>IF(A317="","",IFERROR((IF(G317="",I317,G317)-T317)/M317,""))</f>
        <v/>
      </c>
      <c r="P317" s="50">
        <f>IFERROR((I317/T317-1)/N317,"")</f>
        <v/>
      </c>
      <c r="Q317" s="46">
        <f>IF(OR(T317="",I317&lt;T317),"",IFERROR(R317/IF(G317="",I317,G317)-1,""))</f>
        <v/>
      </c>
      <c r="R317" s="48">
        <f>IF($M317="","",MAX(IF($G317="",$I317,$G317)*(1/1.1),IF($G317="",$I317,$G317)+(R$2*$M317)))</f>
        <v/>
      </c>
      <c r="S317" s="49">
        <f>IF($M317="","",MAX(IF($G317="",$I317,$G317)*(1/1.1),IF($G317="",$I317,$G317)+(S$2*$M317)))</f>
        <v/>
      </c>
      <c r="T317" s="82" t="n">
        <v>111.4496002197266</v>
      </c>
      <c r="U317" s="47">
        <f>IF(OR($M317="",$T317=""),"",$T317+(U$2*$M317))</f>
        <v/>
      </c>
      <c r="V317" s="48">
        <f>IF(OR($M317="",$T317=""),"",$T317+(V$2*$M317))</f>
        <v/>
      </c>
      <c r="W317" s="48">
        <f>IF(OR($M317="",$T317=""),"",$T317+(W$2*$M317))</f>
        <v/>
      </c>
      <c r="X317" s="49">
        <f>IF(OR($M317="",$T317=""),"",$T317+(X$2*$M317))</f>
        <v/>
      </c>
      <c r="Y317" s="47">
        <f>IF(OR($M317="",$T317=""),"",$T317+(Y$2*$M317))</f>
        <v/>
      </c>
      <c r="Z317" s="49">
        <f>IF(OR($M317="",$T317=""),"",$T317+(Z$2*$M317))</f>
        <v/>
      </c>
      <c r="AA317" s="51">
        <f>IF(OR($M317="",$T317=""),"",$T317+(AA$2*$M317))</f>
        <v/>
      </c>
      <c r="AB317" s="48">
        <f>IF(OR($M317="",$T317=""),"",$T317+(AB$2*$M317))</f>
        <v/>
      </c>
      <c r="AC317" s="48">
        <f>IF(OR($M317="",$T317=""),"",$T317+(AC$2*$M317))</f>
        <v/>
      </c>
      <c r="AD317" s="48">
        <f>IF(OR($M317="",$T317=""),"",$T317+(AD$2*$M317))</f>
        <v/>
      </c>
      <c r="AE317" s="49">
        <f>IF(OR($M317="",$T317=""),"",$T317+(AE$2*$M317))</f>
        <v/>
      </c>
      <c r="AF317" s="52">
        <f>IF(OR(T317="",I317&lt;T317),"",IFERROR(AVERAGE(T317+M317*{7,8,9,10,11})/IF(G317="",I317,G317)-1,""))</f>
        <v/>
      </c>
      <c r="AG317" s="55">
        <f>IF(OR(T317="",I317&lt;T317),"",IFERROR(AF317/-(R317/IF(G317="",I317,G317)-1),""))</f>
        <v/>
      </c>
      <c r="AH317" s="94" t="n">
        <v>1</v>
      </c>
      <c r="AI317" s="94" t="n">
        <v>101.7798596548597</v>
      </c>
      <c r="AJ317" s="94" t="n">
        <v>0</v>
      </c>
      <c r="AK317" s="94" t="inlineStr">
        <is>
          <t>OTT Up Trend</t>
        </is>
      </c>
      <c r="AL317" s="84" t="inlineStr">
        <is>
          <t>Granite Construction Incorporat</t>
        </is>
      </c>
      <c r="AM317" t="inlineStr">
        <is>
          <t>Industrials</t>
        </is>
      </c>
      <c r="AN317" t="inlineStr">
        <is>
          <t>Engineering &amp; Construction</t>
        </is>
      </c>
      <c r="AO317" t="n">
        <v>79</v>
      </c>
    </row>
    <row r="318">
      <c r="A318" s="64" t="inlineStr">
        <is>
          <t>LEA</t>
        </is>
      </c>
      <c r="B318" s="65" t="n"/>
      <c r="C318" s="66" t="n"/>
      <c r="D318" s="67" t="n"/>
      <c r="E318" s="68" t="n"/>
      <c r="F318" s="47">
        <f>IF(A318="","",IF(MIN(H318,MAX(J318:K318))=0,"",MIN(H318,MAX(J318:K318))))</f>
        <v/>
      </c>
      <c r="G318" s="74" t="n"/>
      <c r="H318" s="49">
        <f>IF(M318="","",IFERROR(ROUND(AVERAGE(T318+M318*{7,8,9,10,11})/1.21,4),""))</f>
        <v/>
      </c>
      <c r="I318" s="76" t="n">
        <v>121.0400009155273</v>
      </c>
      <c r="J318" s="77" t="n">
        <v>122.7022870634757</v>
      </c>
      <c r="K318" s="74" t="n">
        <v>120.3404998779297</v>
      </c>
      <c r="L318" s="78" t="n">
        <v>101.0179499053955</v>
      </c>
      <c r="M318" s="77" t="n">
        <v>3.157813999265021</v>
      </c>
      <c r="N318" s="53">
        <f>IF(M318="","",IFERROR(M318/I318,""))</f>
        <v/>
      </c>
      <c r="O318" s="50">
        <f>IF(A318="","",IFERROR((IF(G318="",I318,G318)-T318)/M318,""))</f>
        <v/>
      </c>
      <c r="P318" s="50">
        <f>IFERROR((I318/T318-1)/N318,"")</f>
        <v/>
      </c>
      <c r="Q318" s="46">
        <f>IF(OR(T318="",I318&lt;T318),"",IFERROR(R318/IF(G318="",I318,G318)-1,""))</f>
        <v/>
      </c>
      <c r="R318" s="48">
        <f>IF($M318="","",MAX(IF($G318="",$I318,$G318)*(1/1.1),IF($G318="",$I318,$G318)+(R$2*$M318)))</f>
        <v/>
      </c>
      <c r="S318" s="49">
        <f>IF($M318="","",MAX(IF($G318="",$I318,$G318)*(1/1.1),IF($G318="",$I318,$G318)+(S$2*$M318)))</f>
        <v/>
      </c>
      <c r="T318" s="82" t="n">
        <v>113.1009997558594</v>
      </c>
      <c r="U318" s="47">
        <f>IF(OR($M318="",$T318=""),"",$T318+(U$2*$M318))</f>
        <v/>
      </c>
      <c r="V318" s="48">
        <f>IF(OR($M318="",$T318=""),"",$T318+(V$2*$M318))</f>
        <v/>
      </c>
      <c r="W318" s="48">
        <f>IF(OR($M318="",$T318=""),"",$T318+(W$2*$M318))</f>
        <v/>
      </c>
      <c r="X318" s="49">
        <f>IF(OR($M318="",$T318=""),"",$T318+(X$2*$M318))</f>
        <v/>
      </c>
      <c r="Y318" s="47">
        <f>IF(OR($M318="",$T318=""),"",$T318+(Y$2*$M318))</f>
        <v/>
      </c>
      <c r="Z318" s="49">
        <f>IF(OR($M318="",$T318=""),"",$T318+(Z$2*$M318))</f>
        <v/>
      </c>
      <c r="AA318" s="51">
        <f>IF(OR($M318="",$T318=""),"",$T318+(AA$2*$M318))</f>
        <v/>
      </c>
      <c r="AB318" s="48">
        <f>IF(OR($M318="",$T318=""),"",$T318+(AB$2*$M318))</f>
        <v/>
      </c>
      <c r="AC318" s="48">
        <f>IF(OR($M318="",$T318=""),"",$T318+(AC$2*$M318))</f>
        <v/>
      </c>
      <c r="AD318" s="48">
        <f>IF(OR($M318="",$T318=""),"",$T318+(AD$2*$M318))</f>
        <v/>
      </c>
      <c r="AE318" s="49">
        <f>IF(OR($M318="",$T318=""),"",$T318+(AE$2*$M318))</f>
        <v/>
      </c>
      <c r="AF318" s="52">
        <f>IF(OR(T318="",I318&lt;T318),"",IFERROR(AVERAGE(T318+M318*{7,8,9,10,11})/IF(G318="",I318,G318)-1,""))</f>
        <v/>
      </c>
      <c r="AG318" s="55">
        <f>IF(OR(T318="",I318&lt;T318),"",IFERROR(AF318/-(R318/IF(G318="",I318,G318)-1),""))</f>
        <v/>
      </c>
      <c r="AH318" s="94" t="n">
        <v>1</v>
      </c>
      <c r="AI318" s="94" t="n">
        <v>110.5688264802354</v>
      </c>
      <c r="AJ318" s="94" t="n">
        <v>0</v>
      </c>
      <c r="AK318" s="94" t="inlineStr">
        <is>
          <t>OTT Up Trend</t>
        </is>
      </c>
      <c r="AL318" s="84" t="inlineStr">
        <is>
          <t>Lear Corporation</t>
        </is>
      </c>
      <c r="AM318" t="inlineStr">
        <is>
          <t>Consumer Cyclical</t>
        </is>
      </c>
      <c r="AN318" t="inlineStr">
        <is>
          <t>Auto Parts</t>
        </is>
      </c>
      <c r="AO318" t="n">
        <v>79</v>
      </c>
    </row>
    <row r="319">
      <c r="A319" s="64" t="inlineStr">
        <is>
          <t>VLY</t>
        </is>
      </c>
      <c r="B319" s="65" t="n"/>
      <c r="C319" s="66" t="n"/>
      <c r="D319" s="67" t="n"/>
      <c r="E319" s="68" t="n"/>
      <c r="F319" s="47">
        <f>IF(A319="","",IF(MIN(H319,MAX(J319:K319))=0,"",MIN(H319,MAX(J319:K319))))</f>
        <v/>
      </c>
      <c r="G319" s="74" t="n"/>
      <c r="H319" s="49">
        <f>IF(M319="","",IFERROR(ROUND(AVERAGE(T319+M319*{7,8,9,10,11})/1.21,4),""))</f>
        <v/>
      </c>
      <c r="I319" s="76" t="n">
        <v>11.82999992370605</v>
      </c>
      <c r="J319" s="77" t="n">
        <v>11.87753793092379</v>
      </c>
      <c r="K319" s="74" t="n">
        <v>11.91049995422363</v>
      </c>
      <c r="L319" s="78" t="n">
        <v>10.0501000213623</v>
      </c>
      <c r="M319" s="77" t="n">
        <v>0.2685326595091722</v>
      </c>
      <c r="N319" s="53">
        <f>IF(M319="","",IFERROR(M319/I319,""))</f>
        <v/>
      </c>
      <c r="O319" s="50">
        <f>IF(A319="","",IFERROR((IF(G319="",I319,G319)-T319)/M319,""))</f>
        <v/>
      </c>
      <c r="P319" s="50">
        <f>IFERROR((I319/T319-1)/N319,"")</f>
        <v/>
      </c>
      <c r="Q319" s="46">
        <f>IF(OR(T319="",I319&lt;T319),"",IFERROR(R319/IF(G319="",I319,G319)-1,""))</f>
        <v/>
      </c>
      <c r="R319" s="48">
        <f>IF($M319="","",MAX(IF($G319="",$I319,$G319)*(1/1.1),IF($G319="",$I319,$G319)+(R$2*$M319)))</f>
        <v/>
      </c>
      <c r="S319" s="49">
        <f>IF($M319="","",MAX(IF($G319="",$I319,$G319)*(1/1.1),IF($G319="",$I319,$G319)+(S$2*$M319)))</f>
        <v/>
      </c>
      <c r="T319" s="82" t="n">
        <v>11.50800001144409</v>
      </c>
      <c r="U319" s="47">
        <f>IF(OR($M319="",$T319=""),"",$T319+(U$2*$M319))</f>
        <v/>
      </c>
      <c r="V319" s="48">
        <f>IF(OR($M319="",$T319=""),"",$T319+(V$2*$M319))</f>
        <v/>
      </c>
      <c r="W319" s="48">
        <f>IF(OR($M319="",$T319=""),"",$T319+(W$2*$M319))</f>
        <v/>
      </c>
      <c r="X319" s="49">
        <f>IF(OR($M319="",$T319=""),"",$T319+(X$2*$M319))</f>
        <v/>
      </c>
      <c r="Y319" s="47">
        <f>IF(OR($M319="",$T319=""),"",$T319+(Y$2*$M319))</f>
        <v/>
      </c>
      <c r="Z319" s="49">
        <f>IF(OR($M319="",$T319=""),"",$T319+(Z$2*$M319))</f>
        <v/>
      </c>
      <c r="AA319" s="51">
        <f>IF(OR($M319="",$T319=""),"",$T319+(AA$2*$M319))</f>
        <v/>
      </c>
      <c r="AB319" s="48">
        <f>IF(OR($M319="",$T319=""),"",$T319+(AB$2*$M319))</f>
        <v/>
      </c>
      <c r="AC319" s="48">
        <f>IF(OR($M319="",$T319=""),"",$T319+(AC$2*$M319))</f>
        <v/>
      </c>
      <c r="AD319" s="48">
        <f>IF(OR($M319="",$T319=""),"",$T319+(AD$2*$M319))</f>
        <v/>
      </c>
      <c r="AE319" s="49">
        <f>IF(OR($M319="",$T319=""),"",$T319+(AE$2*$M319))</f>
        <v/>
      </c>
      <c r="AF319" s="52">
        <f>IF(OR(T319="",I319&lt;T319),"",IFERROR(AVERAGE(T319+M319*{7,8,9,10,11})/IF(G319="",I319,G319)-1,""))</f>
        <v/>
      </c>
      <c r="AG319" s="55">
        <f>IF(OR(T319="",I319&lt;T319),"",IFERROR(AF319/-(R319/IF(G319="",I319,G319)-1),""))</f>
        <v/>
      </c>
      <c r="AH319" s="94" t="n">
        <v>1</v>
      </c>
      <c r="AI319" s="94" t="n">
        <v>30.72921628562845</v>
      </c>
      <c r="AJ319" s="94" t="n">
        <v>0</v>
      </c>
      <c r="AK319" s="94" t="inlineStr">
        <is>
          <t>OTT Turned Up</t>
        </is>
      </c>
      <c r="AL319" s="84" t="inlineStr">
        <is>
          <t>Valley National Bancorp</t>
        </is>
      </c>
      <c r="AM319" t="inlineStr">
        <is>
          <t>Financial Services</t>
        </is>
      </c>
      <c r="AN319" t="inlineStr">
        <is>
          <t>Banks - Regional</t>
        </is>
      </c>
      <c r="AO319" t="n">
        <v>79</v>
      </c>
    </row>
    <row r="320">
      <c r="A320" s="64" t="inlineStr">
        <is>
          <t>GES</t>
        </is>
      </c>
      <c r="B320" s="65" t="n"/>
      <c r="C320" s="66" t="n"/>
      <c r="D320" s="67" t="n"/>
      <c r="E320" s="68" t="n"/>
      <c r="F320" s="47">
        <f>IF(A320="","",IF(MIN(H320,MAX(J320:K320))=0,"",MIN(H320,MAX(J320:K320))))</f>
        <v/>
      </c>
      <c r="G320" s="74" t="n"/>
      <c r="H320" s="49">
        <f>IF(M320="","",IFERROR(ROUND(AVERAGE(T320+M320*{7,8,9,10,11})/1.21,4),""))</f>
        <v/>
      </c>
      <c r="I320" s="76" t="n">
        <v>16.81999969482422</v>
      </c>
      <c r="J320" s="77" t="n">
        <v>16.81301290463789</v>
      </c>
      <c r="K320" s="74" t="n">
        <v>16.78200016021729</v>
      </c>
      <c r="L320" s="78" t="n">
        <v>14.47679998397827</v>
      </c>
      <c r="M320" s="77" t="n">
        <v>0.05792711522208051</v>
      </c>
      <c r="N320" s="53">
        <f>IF(M320="","",IFERROR(M320/I320,""))</f>
        <v/>
      </c>
      <c r="O320" s="50">
        <f>IF(A320="","",IFERROR((IF(G320="",I320,G320)-T320)/M320,""))</f>
        <v/>
      </c>
      <c r="P320" s="50">
        <f>IFERROR((I320/T320-1)/N320,"")</f>
        <v/>
      </c>
      <c r="Q320" s="46">
        <f>IF(OR(T320="",I320&lt;T320),"",IFERROR(R320/IF(G320="",I320,G320)-1,""))</f>
        <v/>
      </c>
      <c r="R320" s="48">
        <f>IF($M320="","",MAX(IF($G320="",$I320,$G320)*(1/1.1),IF($G320="",$I320,$G320)+(R$2*$M320)))</f>
        <v/>
      </c>
      <c r="S320" s="49">
        <f>IF($M320="","",MAX(IF($G320="",$I320,$G320)*(1/1.1),IF($G320="",$I320,$G320)+(S$2*$M320)))</f>
        <v/>
      </c>
      <c r="T320" s="82" t="n">
        <v>16.87520004272461</v>
      </c>
      <c r="U320" s="47">
        <f>IF(OR($M320="",$T320=""),"",$T320+(U$2*$M320))</f>
        <v/>
      </c>
      <c r="V320" s="48">
        <f>IF(OR($M320="",$T320=""),"",$T320+(V$2*$M320))</f>
        <v/>
      </c>
      <c r="W320" s="48">
        <f>IF(OR($M320="",$T320=""),"",$T320+(W$2*$M320))</f>
        <v/>
      </c>
      <c r="X320" s="49">
        <f>IF(OR($M320="",$T320=""),"",$T320+(X$2*$M320))</f>
        <v/>
      </c>
      <c r="Y320" s="47">
        <f>IF(OR($M320="",$T320=""),"",$T320+(Y$2*$M320))</f>
        <v/>
      </c>
      <c r="Z320" s="49">
        <f>IF(OR($M320="",$T320=""),"",$T320+(Z$2*$M320))</f>
        <v/>
      </c>
      <c r="AA320" s="51">
        <f>IF(OR($M320="",$T320=""),"",$T320+(AA$2*$M320))</f>
        <v/>
      </c>
      <c r="AB320" s="48">
        <f>IF(OR($M320="",$T320=""),"",$T320+(AB$2*$M320))</f>
        <v/>
      </c>
      <c r="AC320" s="48">
        <f>IF(OR($M320="",$T320=""),"",$T320+(AC$2*$M320))</f>
        <v/>
      </c>
      <c r="AD320" s="48">
        <f>IF(OR($M320="",$T320=""),"",$T320+(AD$2*$M320))</f>
        <v/>
      </c>
      <c r="AE320" s="49">
        <f>IF(OR($M320="",$T320=""),"",$T320+(AE$2*$M320))</f>
        <v/>
      </c>
      <c r="AF320" s="52">
        <f>IF(OR(T320="",I320&lt;T320),"",IFERROR(AVERAGE(T320+M320*{7,8,9,10,11})/IF(G320="",I320,G320)-1,""))</f>
        <v/>
      </c>
      <c r="AG320" s="55">
        <f>IF(OR(T320="",I320&lt;T320),"",IFERROR(AF320/-(R320/IF(G320="",I320,G320)-1),""))</f>
        <v/>
      </c>
      <c r="AH320" s="94" t="n">
        <v>-1</v>
      </c>
      <c r="AI320" s="94" t="n">
        <v>-9.029550472973598</v>
      </c>
      <c r="AJ320" s="94" t="n">
        <v>1</v>
      </c>
      <c r="AK320" s="94" t="inlineStr">
        <is>
          <t>OTT Up Trend</t>
        </is>
      </c>
      <c r="AL320" s="84" t="inlineStr">
        <is>
          <t>Guess?, Inc.</t>
        </is>
      </c>
      <c r="AM320" t="inlineStr">
        <is>
          <t>Consumer Cyclical</t>
        </is>
      </c>
      <c r="AN320" t="inlineStr">
        <is>
          <t>Apparel Retail</t>
        </is>
      </c>
      <c r="AO320" t="n">
        <v>79</v>
      </c>
    </row>
    <row r="321">
      <c r="A321" s="64" t="inlineStr">
        <is>
          <t>EME</t>
        </is>
      </c>
      <c r="B321" s="65" t="n"/>
      <c r="C321" s="66" t="n"/>
      <c r="D321" s="67" t="n"/>
      <c r="E321" s="68" t="n"/>
      <c r="F321" s="47">
        <f>IF(A321="","",IF(MIN(H321,MAX(J321:K321))=0,"",MIN(H321,MAX(J321:K321))))</f>
        <v/>
      </c>
      <c r="G321" s="74" t="n"/>
      <c r="H321" s="49">
        <f>IF(M321="","",IFERROR(ROUND(AVERAGE(T321+M321*{7,8,9,10,11})/1.21,4),""))</f>
        <v/>
      </c>
      <c r="I321" s="76" t="n">
        <v>698.6900024414062</v>
      </c>
      <c r="J321" s="77" t="n">
        <v>663.1445405480312</v>
      </c>
      <c r="K321" s="74" t="n">
        <v>641.1865020751953</v>
      </c>
      <c r="L321" s="78" t="n">
        <v>572.4796014404296</v>
      </c>
      <c r="M321" s="77" t="n">
        <v>21.08161252378294</v>
      </c>
      <c r="N321" s="53">
        <f>IF(M321="","",IFERROR(M321/I321,""))</f>
        <v/>
      </c>
      <c r="O321" s="50">
        <f>IF(A321="","",IFERROR((IF(G321="",I321,G321)-T321)/M321,""))</f>
        <v/>
      </c>
      <c r="P321" s="50">
        <f>IFERROR((I321/T321-1)/N321,"")</f>
        <v/>
      </c>
      <c r="Q321" s="46">
        <f>IF(OR(T321="",I321&lt;T321),"",IFERROR(R321/IF(G321="",I321,G321)-1,""))</f>
        <v/>
      </c>
      <c r="R321" s="48">
        <f>IF($M321="","",MAX(IF($G321="",$I321,$G321)*(1/1.1),IF($G321="",$I321,$G321)+(R$2*$M321)))</f>
        <v/>
      </c>
      <c r="S321" s="49">
        <f>IF($M321="","",MAX(IF($G321="",$I321,$G321)*(1/1.1),IF($G321="",$I321,$G321)+(S$2*$M321)))</f>
        <v/>
      </c>
      <c r="T321" s="82" t="n">
        <v>629.7162036132812</v>
      </c>
      <c r="U321" s="47">
        <f>IF(OR($M321="",$T321=""),"",$T321+(U$2*$M321))</f>
        <v/>
      </c>
      <c r="V321" s="48">
        <f>IF(OR($M321="",$T321=""),"",$T321+(V$2*$M321))</f>
        <v/>
      </c>
      <c r="W321" s="48">
        <f>IF(OR($M321="",$T321=""),"",$T321+(W$2*$M321))</f>
        <v/>
      </c>
      <c r="X321" s="49">
        <f>IF(OR($M321="",$T321=""),"",$T321+(X$2*$M321))</f>
        <v/>
      </c>
      <c r="Y321" s="47">
        <f>IF(OR($M321="",$T321=""),"",$T321+(Y$2*$M321))</f>
        <v/>
      </c>
      <c r="Z321" s="49">
        <f>IF(OR($M321="",$T321=""),"",$T321+(Z$2*$M321))</f>
        <v/>
      </c>
      <c r="AA321" s="51">
        <f>IF(OR($M321="",$T321=""),"",$T321+(AA$2*$M321))</f>
        <v/>
      </c>
      <c r="AB321" s="48">
        <f>IF(OR($M321="",$T321=""),"",$T321+(AB$2*$M321))</f>
        <v/>
      </c>
      <c r="AC321" s="48">
        <f>IF(OR($M321="",$T321=""),"",$T321+(AC$2*$M321))</f>
        <v/>
      </c>
      <c r="AD321" s="48">
        <f>IF(OR($M321="",$T321=""),"",$T321+(AD$2*$M321))</f>
        <v/>
      </c>
      <c r="AE321" s="49">
        <f>IF(OR($M321="",$T321=""),"",$T321+(AE$2*$M321))</f>
        <v/>
      </c>
      <c r="AF321" s="52">
        <f>IF(OR(T321="",I321&lt;T321),"",IFERROR(AVERAGE(T321+M321*{7,8,9,10,11})/IF(G321="",I321,G321)-1,""))</f>
        <v/>
      </c>
      <c r="AG321" s="55">
        <f>IF(OR(T321="",I321&lt;T321),"",IFERROR(AF321/-(R321/IF(G321="",I321,G321)-1),""))</f>
        <v/>
      </c>
      <c r="AH321" s="94" t="n">
        <v>1</v>
      </c>
      <c r="AI321" s="94" t="n">
        <v>65.6730622406499</v>
      </c>
      <c r="AJ321" s="94" t="n">
        <v>1</v>
      </c>
      <c r="AK321" s="94" t="inlineStr">
        <is>
          <t>None</t>
        </is>
      </c>
      <c r="AL321" s="84" t="inlineStr">
        <is>
          <t>EMCOR Group, Inc.</t>
        </is>
      </c>
      <c r="AM321" t="inlineStr">
        <is>
          <t>Industrials</t>
        </is>
      </c>
      <c r="AN321" t="inlineStr">
        <is>
          <t>Engineering &amp; Construction</t>
        </is>
      </c>
      <c r="AO321" t="n">
        <v>78</v>
      </c>
    </row>
    <row r="322">
      <c r="A322" s="64" t="inlineStr">
        <is>
          <t>OI</t>
        </is>
      </c>
      <c r="B322" s="65" t="n"/>
      <c r="C322" s="66" t="n"/>
      <c r="D322" s="67" t="n"/>
      <c r="E322" s="68" t="n"/>
      <c r="F322" s="47">
        <f>IF(A322="","",IF(MIN(H322,MAX(J322:K322))=0,"",MIN(H322,MAX(J322:K322))))</f>
        <v/>
      </c>
      <c r="G322" s="74" t="n"/>
      <c r="H322" s="49">
        <f>IF(M322="","",IFERROR(ROUND(AVERAGE(T322+M322*{7,8,9,10,11})/1.21,4),""))</f>
        <v/>
      </c>
      <c r="I322" s="76" t="n">
        <v>15.39999961853027</v>
      </c>
      <c r="J322" s="77" t="n">
        <v>15.50365220415309</v>
      </c>
      <c r="K322" s="74" t="n">
        <v>15.22399997711182</v>
      </c>
      <c r="L322" s="78" t="n">
        <v>13.35624999046326</v>
      </c>
      <c r="M322" s="77" t="n">
        <v>0.4567997708263793</v>
      </c>
      <c r="N322" s="53">
        <f>IF(M322="","",IFERROR(M322/I322,""))</f>
        <v/>
      </c>
      <c r="O322" s="50">
        <f>IF(A322="","",IFERROR((IF(G322="",I322,G322)-T322)/M322,""))</f>
        <v/>
      </c>
      <c r="P322" s="50">
        <f>IFERROR((I322/T322-1)/N322,"")</f>
        <v/>
      </c>
      <c r="Q322" s="46">
        <f>IF(OR(T322="",I322&lt;T322),"",IFERROR(R322/IF(G322="",I322,G322)-1,""))</f>
        <v/>
      </c>
      <c r="R322" s="48">
        <f>IF($M322="","",MAX(IF($G322="",$I322,$G322)*(1/1.1),IF($G322="",$I322,$G322)+(R$2*$M322)))</f>
        <v/>
      </c>
      <c r="S322" s="49">
        <f>IF($M322="","",MAX(IF($G322="",$I322,$G322)*(1/1.1),IF($G322="",$I322,$G322)+(S$2*$M322)))</f>
        <v/>
      </c>
      <c r="T322" s="82" t="n">
        <v>14.29259996414185</v>
      </c>
      <c r="U322" s="47">
        <f>IF(OR($M322="",$T322=""),"",$T322+(U$2*$M322))</f>
        <v/>
      </c>
      <c r="V322" s="48">
        <f>IF(OR($M322="",$T322=""),"",$T322+(V$2*$M322))</f>
        <v/>
      </c>
      <c r="W322" s="48">
        <f>IF(OR($M322="",$T322=""),"",$T322+(W$2*$M322))</f>
        <v/>
      </c>
      <c r="X322" s="49">
        <f>IF(OR($M322="",$T322=""),"",$T322+(X$2*$M322))</f>
        <v/>
      </c>
      <c r="Y322" s="47">
        <f>IF(OR($M322="",$T322=""),"",$T322+(Y$2*$M322))</f>
        <v/>
      </c>
      <c r="Z322" s="49">
        <f>IF(OR($M322="",$T322=""),"",$T322+(Z$2*$M322))</f>
        <v/>
      </c>
      <c r="AA322" s="51">
        <f>IF(OR($M322="",$T322=""),"",$T322+(AA$2*$M322))</f>
        <v/>
      </c>
      <c r="AB322" s="48">
        <f>IF(OR($M322="",$T322=""),"",$T322+(AB$2*$M322))</f>
        <v/>
      </c>
      <c r="AC322" s="48">
        <f>IF(OR($M322="",$T322=""),"",$T322+(AC$2*$M322))</f>
        <v/>
      </c>
      <c r="AD322" s="48">
        <f>IF(OR($M322="",$T322=""),"",$T322+(AD$2*$M322))</f>
        <v/>
      </c>
      <c r="AE322" s="49">
        <f>IF(OR($M322="",$T322=""),"",$T322+(AE$2*$M322))</f>
        <v/>
      </c>
      <c r="AF322" s="52">
        <f>IF(OR(T322="",I322&lt;T322),"",IFERROR(AVERAGE(T322+M322*{7,8,9,10,11})/IF(G322="",I322,G322)-1,""))</f>
        <v/>
      </c>
      <c r="AG322" s="55">
        <f>IF(OR(T322="",I322&lt;T322),"",IFERROR(AF322/-(R322/IF(G322="",I322,G322)-1),""))</f>
        <v/>
      </c>
      <c r="AH322" s="94" t="n">
        <v>1</v>
      </c>
      <c r="AI322" s="94" t="n">
        <v>85.02291655517219</v>
      </c>
      <c r="AJ322" s="94" t="n">
        <v>0</v>
      </c>
      <c r="AK322" s="94" t="inlineStr">
        <is>
          <t>OTT Up Trend</t>
        </is>
      </c>
      <c r="AL322" s="84" t="inlineStr">
        <is>
          <t>O-I Glass, Inc.</t>
        </is>
      </c>
      <c r="AM322" t="inlineStr">
        <is>
          <t>Consumer Cyclical</t>
        </is>
      </c>
      <c r="AN322" t="inlineStr">
        <is>
          <t>Packaging &amp; Containers</t>
        </is>
      </c>
      <c r="AO322" t="n">
        <v>78</v>
      </c>
    </row>
    <row r="323">
      <c r="A323" s="64" t="inlineStr">
        <is>
          <t>KEY</t>
        </is>
      </c>
      <c r="B323" s="65" t="n"/>
      <c r="C323" s="66" t="n"/>
      <c r="D323" s="67" t="n"/>
      <c r="E323" s="68" t="n"/>
      <c r="F323" s="47">
        <f>IF(A323="","",IF(MIN(H323,MAX(J323:K323))=0,"",MIN(H323,MAX(J323:K323))))</f>
        <v/>
      </c>
      <c r="G323" s="74" t="n"/>
      <c r="H323" s="49">
        <f>IF(M323="","",IFERROR(ROUND(AVERAGE(T323+M323*{7,8,9,10,11})/1.21,4),""))</f>
        <v/>
      </c>
      <c r="I323" s="76" t="n">
        <v>21.17000007629395</v>
      </c>
      <c r="J323" s="77" t="n">
        <v>21.11128112733557</v>
      </c>
      <c r="K323" s="74" t="n">
        <v>21.10149984359741</v>
      </c>
      <c r="L323" s="78" t="n">
        <v>17.77464995861054</v>
      </c>
      <c r="M323" s="77" t="n">
        <v>0.4017068899846955</v>
      </c>
      <c r="N323" s="53">
        <f>IF(M323="","",IFERROR(M323/I323,""))</f>
        <v/>
      </c>
      <c r="O323" s="50">
        <f>IF(A323="","",IFERROR((IF(G323="",I323,G323)-T323)/M323,""))</f>
        <v/>
      </c>
      <c r="P323" s="50">
        <f>IFERROR((I323/T323-1)/N323,"")</f>
        <v/>
      </c>
      <c r="Q323" s="46">
        <f>IF(OR(T323="",I323&lt;T323),"",IFERROR(R323/IF(G323="",I323,G323)-1,""))</f>
        <v/>
      </c>
      <c r="R323" s="48">
        <f>IF($M323="","",MAX(IF($G323="",$I323,$G323)*(1/1.1),IF($G323="",$I323,$G323)+(R$2*$M323)))</f>
        <v/>
      </c>
      <c r="S323" s="49">
        <f>IF($M323="","",MAX(IF($G323="",$I323,$G323)*(1/1.1),IF($G323="",$I323,$G323)+(S$2*$M323)))</f>
        <v/>
      </c>
      <c r="T323" s="82" t="n">
        <v>19.62720001220703</v>
      </c>
      <c r="U323" s="47">
        <f>IF(OR($M323="",$T323=""),"",$T323+(U$2*$M323))</f>
        <v/>
      </c>
      <c r="V323" s="48">
        <f>IF(OR($M323="",$T323=""),"",$T323+(V$2*$M323))</f>
        <v/>
      </c>
      <c r="W323" s="48">
        <f>IF(OR($M323="",$T323=""),"",$T323+(W$2*$M323))</f>
        <v/>
      </c>
      <c r="X323" s="49">
        <f>IF(OR($M323="",$T323=""),"",$T323+(X$2*$M323))</f>
        <v/>
      </c>
      <c r="Y323" s="47">
        <f>IF(OR($M323="",$T323=""),"",$T323+(Y$2*$M323))</f>
        <v/>
      </c>
      <c r="Z323" s="49">
        <f>IF(OR($M323="",$T323=""),"",$T323+(Z$2*$M323))</f>
        <v/>
      </c>
      <c r="AA323" s="51">
        <f>IF(OR($M323="",$T323=""),"",$T323+(AA$2*$M323))</f>
        <v/>
      </c>
      <c r="AB323" s="48">
        <f>IF(OR($M323="",$T323=""),"",$T323+(AB$2*$M323))</f>
        <v/>
      </c>
      <c r="AC323" s="48">
        <f>IF(OR($M323="",$T323=""),"",$T323+(AC$2*$M323))</f>
        <v/>
      </c>
      <c r="AD323" s="48">
        <f>IF(OR($M323="",$T323=""),"",$T323+(AD$2*$M323))</f>
        <v/>
      </c>
      <c r="AE323" s="49">
        <f>IF(OR($M323="",$T323=""),"",$T323+(AE$2*$M323))</f>
        <v/>
      </c>
      <c r="AF323" s="52">
        <f>IF(OR(T323="",I323&lt;T323),"",IFERROR(AVERAGE(T323+M323*{7,8,9,10,11})/IF(G323="",I323,G323)-1,""))</f>
        <v/>
      </c>
      <c r="AG323" s="55">
        <f>IF(OR(T323="",I323&lt;T323),"",IFERROR(AF323/-(R323/IF(G323="",I323,G323)-1),""))</f>
        <v/>
      </c>
      <c r="AH323" s="94" t="n">
        <v>1</v>
      </c>
      <c r="AI323" s="94" t="n">
        <v>93.78208900259321</v>
      </c>
      <c r="AJ323" s="94" t="n">
        <v>0</v>
      </c>
      <c r="AK323" s="94" t="inlineStr">
        <is>
          <t>OTT Up Trend</t>
        </is>
      </c>
      <c r="AL323" s="84" t="inlineStr">
        <is>
          <t>KeyCorp</t>
        </is>
      </c>
      <c r="AM323" t="inlineStr">
        <is>
          <t>Financial Services</t>
        </is>
      </c>
      <c r="AN323" t="inlineStr">
        <is>
          <t>Banks - Regional</t>
        </is>
      </c>
      <c r="AO323" t="n">
        <v>78</v>
      </c>
    </row>
    <row r="324">
      <c r="A324" s="64" t="inlineStr">
        <is>
          <t>CPRI</t>
        </is>
      </c>
      <c r="B324" s="65" t="n"/>
      <c r="C324" s="66" t="n"/>
      <c r="D324" s="67" t="n"/>
      <c r="E324" s="68" t="n"/>
      <c r="F324" s="47">
        <f>IF(A324="","",IF(MIN(H324,MAX(J324:K324))=0,"",MIN(H324,MAX(J324:K324))))</f>
        <v/>
      </c>
      <c r="G324" s="74" t="n"/>
      <c r="H324" s="49">
        <f>IF(M324="","",IFERROR(ROUND(AVERAGE(T324+M324*{7,8,9,10,11})/1.21,4),""))</f>
        <v/>
      </c>
      <c r="I324" s="76" t="n">
        <v>24.84000015258789</v>
      </c>
      <c r="J324" s="77" t="n">
        <v>25.46789373877048</v>
      </c>
      <c r="K324" s="74" t="n">
        <v>25.22949991226196</v>
      </c>
      <c r="L324" s="78" t="n">
        <v>20.22975001811981</v>
      </c>
      <c r="M324" s="77" t="n">
        <v>0.8798904937566189</v>
      </c>
      <c r="N324" s="53">
        <f>IF(M324="","",IFERROR(M324/I324,""))</f>
        <v/>
      </c>
      <c r="O324" s="50">
        <f>IF(A324="","",IFERROR((IF(G324="",I324,G324)-T324)/M324,""))</f>
        <v/>
      </c>
      <c r="P324" s="50">
        <f>IFERROR((I324/T324-1)/N324,"")</f>
        <v/>
      </c>
      <c r="Q324" s="46">
        <f>IF(OR(T324="",I324&lt;T324),"",IFERROR(R324/IF(G324="",I324,G324)-1,""))</f>
        <v/>
      </c>
      <c r="R324" s="48">
        <f>IF($M324="","",MAX(IF($G324="",$I324,$G324)*(1/1.1),IF($G324="",$I324,$G324)+(R$2*$M324)))</f>
        <v/>
      </c>
      <c r="S324" s="49">
        <f>IF($M324="","",MAX(IF($G324="",$I324,$G324)*(1/1.1),IF($G324="",$I324,$G324)+(S$2*$M324)))</f>
        <v/>
      </c>
      <c r="T324" s="82" t="n">
        <v>24.62540004730225</v>
      </c>
      <c r="U324" s="47">
        <f>IF(OR($M324="",$T324=""),"",$T324+(U$2*$M324))</f>
        <v/>
      </c>
      <c r="V324" s="48">
        <f>IF(OR($M324="",$T324=""),"",$T324+(V$2*$M324))</f>
        <v/>
      </c>
      <c r="W324" s="48">
        <f>IF(OR($M324="",$T324=""),"",$T324+(W$2*$M324))</f>
        <v/>
      </c>
      <c r="X324" s="49">
        <f>IF(OR($M324="",$T324=""),"",$T324+(X$2*$M324))</f>
        <v/>
      </c>
      <c r="Y324" s="47">
        <f>IF(OR($M324="",$T324=""),"",$T324+(Y$2*$M324))</f>
        <v/>
      </c>
      <c r="Z324" s="49">
        <f>IF(OR($M324="",$T324=""),"",$T324+(Z$2*$M324))</f>
        <v/>
      </c>
      <c r="AA324" s="51">
        <f>IF(OR($M324="",$T324=""),"",$T324+(AA$2*$M324))</f>
        <v/>
      </c>
      <c r="AB324" s="48">
        <f>IF(OR($M324="",$T324=""),"",$T324+(AB$2*$M324))</f>
        <v/>
      </c>
      <c r="AC324" s="48">
        <f>IF(OR($M324="",$T324=""),"",$T324+(AC$2*$M324))</f>
        <v/>
      </c>
      <c r="AD324" s="48">
        <f>IF(OR($M324="",$T324=""),"",$T324+(AD$2*$M324))</f>
        <v/>
      </c>
      <c r="AE324" s="49">
        <f>IF(OR($M324="",$T324=""),"",$T324+(AE$2*$M324))</f>
        <v/>
      </c>
      <c r="AF324" s="52">
        <f>IF(OR(T324="",I324&lt;T324),"",IFERROR(AVERAGE(T324+M324*{7,8,9,10,11})/IF(G324="",I324,G324)-1,""))</f>
        <v/>
      </c>
      <c r="AG324" s="55">
        <f>IF(OR(T324="",I324&lt;T324),"",IFERROR(AF324/-(R324/IF(G324="",I324,G324)-1),""))</f>
        <v/>
      </c>
      <c r="AH324" s="94" t="n">
        <v>1</v>
      </c>
      <c r="AI324" s="94" t="n">
        <v>24.5817775193075</v>
      </c>
      <c r="AJ324" s="94" t="n">
        <v>0</v>
      </c>
      <c r="AK324" s="94" t="inlineStr">
        <is>
          <t>OTT Up Trend</t>
        </is>
      </c>
      <c r="AL324" s="84" t="inlineStr">
        <is>
          <t>Capri Holdings Limited</t>
        </is>
      </c>
      <c r="AM324" t="inlineStr">
        <is>
          <t>Consumer Cyclical</t>
        </is>
      </c>
      <c r="AN324" t="inlineStr">
        <is>
          <t>Luxury Goods</t>
        </is>
      </c>
      <c r="AO324" t="n">
        <v>78</v>
      </c>
    </row>
    <row r="325">
      <c r="A325" s="64" t="inlineStr">
        <is>
          <t>APA</t>
        </is>
      </c>
      <c r="B325" s="65" t="n"/>
      <c r="C325" s="66" t="n"/>
      <c r="D325" s="67" t="n"/>
      <c r="E325" s="68" t="n"/>
      <c r="F325" s="47">
        <f>IF(A325="","",IF(MIN(H325,MAX(J325:K325))=0,"",MIN(H325,MAX(J325:K325))))</f>
        <v/>
      </c>
      <c r="G325" s="74" t="n"/>
      <c r="H325" s="49">
        <f>IF(M325="","",IFERROR(ROUND(AVERAGE(T325+M325*{7,8,9,10,11})/1.21,4),""))</f>
        <v/>
      </c>
      <c r="I325" s="76" t="n">
        <v>25.78000068664551</v>
      </c>
      <c r="J325" s="77" t="n">
        <v>25.42668122936377</v>
      </c>
      <c r="K325" s="74" t="n">
        <v>24.77850008010864</v>
      </c>
      <c r="L325" s="78" t="n">
        <v>21.15279997825623</v>
      </c>
      <c r="M325" s="77" t="n">
        <v>0.9952240695524155</v>
      </c>
      <c r="N325" s="53">
        <f>IF(M325="","",IFERROR(M325/I325,""))</f>
        <v/>
      </c>
      <c r="O325" s="50">
        <f>IF(A325="","",IFERROR((IF(G325="",I325,G325)-T325)/M325,""))</f>
        <v/>
      </c>
      <c r="P325" s="50">
        <f>IFERROR((I325/T325-1)/N325,"")</f>
        <v/>
      </c>
      <c r="Q325" s="46">
        <f>IF(OR(T325="",I325&lt;T325),"",IFERROR(R325/IF(G325="",I325,G325)-1,""))</f>
        <v/>
      </c>
      <c r="R325" s="48">
        <f>IF($M325="","",MAX(IF($G325="",$I325,$G325)*(1/1.1),IF($G325="",$I325,$G325)+(R$2*$M325)))</f>
        <v/>
      </c>
      <c r="S325" s="49">
        <f>IF($M325="","",MAX(IF($G325="",$I325,$G325)*(1/1.1),IF($G325="",$I325,$G325)+(S$2*$M325)))</f>
        <v/>
      </c>
      <c r="T325" s="82" t="n">
        <v>24.83799999237061</v>
      </c>
      <c r="U325" s="47">
        <f>IF(OR($M325="",$T325=""),"",$T325+(U$2*$M325))</f>
        <v/>
      </c>
      <c r="V325" s="48">
        <f>IF(OR($M325="",$T325=""),"",$T325+(V$2*$M325))</f>
        <v/>
      </c>
      <c r="W325" s="48">
        <f>IF(OR($M325="",$T325=""),"",$T325+(W$2*$M325))</f>
        <v/>
      </c>
      <c r="X325" s="49">
        <f>IF(OR($M325="",$T325=""),"",$T325+(X$2*$M325))</f>
        <v/>
      </c>
      <c r="Y325" s="47">
        <f>IF(OR($M325="",$T325=""),"",$T325+(Y$2*$M325))</f>
        <v/>
      </c>
      <c r="Z325" s="49">
        <f>IF(OR($M325="",$T325=""),"",$T325+(Z$2*$M325))</f>
        <v/>
      </c>
      <c r="AA325" s="51">
        <f>IF(OR($M325="",$T325=""),"",$T325+(AA$2*$M325))</f>
        <v/>
      </c>
      <c r="AB325" s="48">
        <f>IF(OR($M325="",$T325=""),"",$T325+(AB$2*$M325))</f>
        <v/>
      </c>
      <c r="AC325" s="48">
        <f>IF(OR($M325="",$T325=""),"",$T325+(AC$2*$M325))</f>
        <v/>
      </c>
      <c r="AD325" s="48">
        <f>IF(OR($M325="",$T325=""),"",$T325+(AD$2*$M325))</f>
        <v/>
      </c>
      <c r="AE325" s="49">
        <f>IF(OR($M325="",$T325=""),"",$T325+(AE$2*$M325))</f>
        <v/>
      </c>
      <c r="AF325" s="52">
        <f>IF(OR(T325="",I325&lt;T325),"",IFERROR(AVERAGE(T325+M325*{7,8,9,10,11})/IF(G325="",I325,G325)-1,""))</f>
        <v/>
      </c>
      <c r="AG325" s="55">
        <f>IF(OR(T325="",I325&lt;T325),"",IFERROR(AF325/-(R325/IF(G325="",I325,G325)-1),""))</f>
        <v/>
      </c>
      <c r="AH325" s="94" t="n">
        <v>1</v>
      </c>
      <c r="AI325" s="94" t="n">
        <v>29.91095975334619</v>
      </c>
      <c r="AJ325" s="94" t="n">
        <v>1</v>
      </c>
      <c r="AK325" s="94" t="inlineStr">
        <is>
          <t>None</t>
        </is>
      </c>
      <c r="AL325" s="84" t="inlineStr">
        <is>
          <t>APA Corporation</t>
        </is>
      </c>
      <c r="AM325" t="inlineStr">
        <is>
          <t>Energy</t>
        </is>
      </c>
      <c r="AN325" t="inlineStr">
        <is>
          <t>Oil &amp; Gas E&amp;P</t>
        </is>
      </c>
      <c r="AO325" t="n">
        <v>78</v>
      </c>
    </row>
    <row r="326">
      <c r="A326" s="64" t="inlineStr">
        <is>
          <t>PCAR</t>
        </is>
      </c>
      <c r="B326" s="65" t="n"/>
      <c r="C326" s="66" t="n"/>
      <c r="D326" s="67" t="n"/>
      <c r="E326" s="68" t="n"/>
      <c r="F326" s="47">
        <f>IF(A326="","",IF(MIN(H326,MAX(J326:K326))=0,"",MIN(H326,MAX(J326:K326))))</f>
        <v/>
      </c>
      <c r="G326" s="74" t="n"/>
      <c r="H326" s="49">
        <f>IF(M326="","",IFERROR(ROUND(AVERAGE(T326+M326*{7,8,9,10,11})/1.21,4),""))</f>
        <v/>
      </c>
      <c r="I326" s="76" t="n">
        <v>121.3600006103516</v>
      </c>
      <c r="J326" s="77" t="n">
        <v>118.3302276774102</v>
      </c>
      <c r="K326" s="74" t="n">
        <v>114.8420001983643</v>
      </c>
      <c r="L326" s="78" t="n">
        <v>98.96974998474121</v>
      </c>
      <c r="M326" s="77" t="n">
        <v>2.463927008913998</v>
      </c>
      <c r="N326" s="53">
        <f>IF(M326="","",IFERROR(M326/I326,""))</f>
        <v/>
      </c>
      <c r="O326" s="50">
        <f>IF(A326="","",IFERROR((IF(G326="",I326,G326)-T326)/M326,""))</f>
        <v/>
      </c>
      <c r="P326" s="50">
        <f>IFERROR((I326/T326-1)/N326,"")</f>
        <v/>
      </c>
      <c r="Q326" s="46">
        <f>IF(OR(T326="",I326&lt;T326),"",IFERROR(R326/IF(G326="",I326,G326)-1,""))</f>
        <v/>
      </c>
      <c r="R326" s="48">
        <f>IF($M326="","",MAX(IF($G326="",$I326,$G326)*(1/1.1),IF($G326="",$I326,$G326)+(R$2*$M326)))</f>
        <v/>
      </c>
      <c r="S326" s="49">
        <f>IF($M326="","",MAX(IF($G326="",$I326,$G326)*(1/1.1),IF($G326="",$I326,$G326)+(S$2*$M326)))</f>
        <v/>
      </c>
      <c r="T326" s="82" t="n">
        <v>108.3716000366211</v>
      </c>
      <c r="U326" s="47">
        <f>IF(OR($M326="",$T326=""),"",$T326+(U$2*$M326))</f>
        <v/>
      </c>
      <c r="V326" s="48">
        <f>IF(OR($M326="",$T326=""),"",$T326+(V$2*$M326))</f>
        <v/>
      </c>
      <c r="W326" s="48">
        <f>IF(OR($M326="",$T326=""),"",$T326+(W$2*$M326))</f>
        <v/>
      </c>
      <c r="X326" s="49">
        <f>IF(OR($M326="",$T326=""),"",$T326+(X$2*$M326))</f>
        <v/>
      </c>
      <c r="Y326" s="47">
        <f>IF(OR($M326="",$T326=""),"",$T326+(Y$2*$M326))</f>
        <v/>
      </c>
      <c r="Z326" s="49">
        <f>IF(OR($M326="",$T326=""),"",$T326+(Z$2*$M326))</f>
        <v/>
      </c>
      <c r="AA326" s="51">
        <f>IF(OR($M326="",$T326=""),"",$T326+(AA$2*$M326))</f>
        <v/>
      </c>
      <c r="AB326" s="48">
        <f>IF(OR($M326="",$T326=""),"",$T326+(AB$2*$M326))</f>
        <v/>
      </c>
      <c r="AC326" s="48">
        <f>IF(OR($M326="",$T326=""),"",$T326+(AC$2*$M326))</f>
        <v/>
      </c>
      <c r="AD326" s="48">
        <f>IF(OR($M326="",$T326=""),"",$T326+(AD$2*$M326))</f>
        <v/>
      </c>
      <c r="AE326" s="49">
        <f>IF(OR($M326="",$T326=""),"",$T326+(AE$2*$M326))</f>
        <v/>
      </c>
      <c r="AF326" s="52">
        <f>IF(OR(T326="",I326&lt;T326),"",IFERROR(AVERAGE(T326+M326*{7,8,9,10,11})/IF(G326="",I326,G326)-1,""))</f>
        <v/>
      </c>
      <c r="AG326" s="55">
        <f>IF(OR(T326="",I326&lt;T326),"",IFERROR(AF326/-(R326/IF(G326="",I326,G326)-1),""))</f>
        <v/>
      </c>
      <c r="AH326" s="94" t="n">
        <v>1</v>
      </c>
      <c r="AI326" s="94" t="n">
        <v>139.472100087101</v>
      </c>
      <c r="AJ326" s="94" t="n">
        <v>1</v>
      </c>
      <c r="AK326" s="94" t="inlineStr">
        <is>
          <t>OTT Up Trend</t>
        </is>
      </c>
      <c r="AL326" s="84" t="inlineStr">
        <is>
          <t>PACCAR Inc.</t>
        </is>
      </c>
      <c r="AM326" t="inlineStr">
        <is>
          <t>Industrials</t>
        </is>
      </c>
      <c r="AN326" t="inlineStr">
        <is>
          <t>Farm &amp; Heavy Construction Machinery</t>
        </is>
      </c>
      <c r="AO326" t="n">
        <v>78</v>
      </c>
    </row>
    <row r="327">
      <c r="A327" s="64" t="inlineStr">
        <is>
          <t>KEX</t>
        </is>
      </c>
      <c r="B327" s="65" t="n"/>
      <c r="C327" s="66" t="n"/>
      <c r="D327" s="67" t="n"/>
      <c r="E327" s="68" t="n"/>
      <c r="F327" s="47">
        <f>IF(A327="","",IF(MIN(H327,MAX(J327:K327))=0,"",MIN(H327,MAX(J327:K327))))</f>
        <v/>
      </c>
      <c r="G327" s="74" t="n"/>
      <c r="H327" s="49">
        <f>IF(M327="","",IFERROR(ROUND(AVERAGE(T327+M327*{7,8,9,10,11})/1.21,4),""))</f>
        <v/>
      </c>
      <c r="I327" s="76" t="n">
        <v>125.879997253418</v>
      </c>
      <c r="J327" s="77" t="n">
        <v>122.8529435248723</v>
      </c>
      <c r="K327" s="74" t="n">
        <v>117.3739994049072</v>
      </c>
      <c r="L327" s="78" t="n">
        <v>103.4298500061035</v>
      </c>
      <c r="M327" s="77" t="n">
        <v>2.612281773759896</v>
      </c>
      <c r="N327" s="53">
        <f>IF(M327="","",IFERROR(M327/I327,""))</f>
        <v/>
      </c>
      <c r="O327" s="50">
        <f>IF(A327="","",IFERROR((IF(G327="",I327,G327)-T327)/M327,""))</f>
        <v/>
      </c>
      <c r="P327" s="50">
        <f>IFERROR((I327/T327-1)/N327,"")</f>
        <v/>
      </c>
      <c r="Q327" s="46">
        <f>IF(OR(T327="",I327&lt;T327),"",IFERROR(R327/IF(G327="",I327,G327)-1,""))</f>
        <v/>
      </c>
      <c r="R327" s="48">
        <f>IF($M327="","",MAX(IF($G327="",$I327,$G327)*(1/1.1),IF($G327="",$I327,$G327)+(R$2*$M327)))</f>
        <v/>
      </c>
      <c r="S327" s="49">
        <f>IF($M327="","",MAX(IF($G327="",$I327,$G327)*(1/1.1),IF($G327="",$I327,$G327)+(S$2*$M327)))</f>
        <v/>
      </c>
      <c r="T327" s="82" t="n">
        <v>112.9871994018555</v>
      </c>
      <c r="U327" s="47">
        <f>IF(OR($M327="",$T327=""),"",$T327+(U$2*$M327))</f>
        <v/>
      </c>
      <c r="V327" s="48">
        <f>IF(OR($M327="",$T327=""),"",$T327+(V$2*$M327))</f>
        <v/>
      </c>
      <c r="W327" s="48">
        <f>IF(OR($M327="",$T327=""),"",$T327+(W$2*$M327))</f>
        <v/>
      </c>
      <c r="X327" s="49">
        <f>IF(OR($M327="",$T327=""),"",$T327+(X$2*$M327))</f>
        <v/>
      </c>
      <c r="Y327" s="47">
        <f>IF(OR($M327="",$T327=""),"",$T327+(Y$2*$M327))</f>
        <v/>
      </c>
      <c r="Z327" s="49">
        <f>IF(OR($M327="",$T327=""),"",$T327+(Z$2*$M327))</f>
        <v/>
      </c>
      <c r="AA327" s="51">
        <f>IF(OR($M327="",$T327=""),"",$T327+(AA$2*$M327))</f>
        <v/>
      </c>
      <c r="AB327" s="48">
        <f>IF(OR($M327="",$T327=""),"",$T327+(AB$2*$M327))</f>
        <v/>
      </c>
      <c r="AC327" s="48">
        <f>IF(OR($M327="",$T327=""),"",$T327+(AC$2*$M327))</f>
        <v/>
      </c>
      <c r="AD327" s="48">
        <f>IF(OR($M327="",$T327=""),"",$T327+(AD$2*$M327))</f>
        <v/>
      </c>
      <c r="AE327" s="49">
        <f>IF(OR($M327="",$T327=""),"",$T327+(AE$2*$M327))</f>
        <v/>
      </c>
      <c r="AF327" s="52">
        <f>IF(OR(T327="",I327&lt;T327),"",IFERROR(AVERAGE(T327+M327*{7,8,9,10,11})/IF(G327="",I327,G327)-1,""))</f>
        <v/>
      </c>
      <c r="AG327" s="55">
        <f>IF(OR(T327="",I327&lt;T327),"",IFERROR(AF327/-(R327/IF(G327="",I327,G327)-1),""))</f>
        <v/>
      </c>
      <c r="AH327" s="94" t="n">
        <v>1</v>
      </c>
      <c r="AI327" s="94" t="n">
        <v>167.22786143509</v>
      </c>
      <c r="AJ327" s="94" t="n">
        <v>1</v>
      </c>
      <c r="AK327" s="94" t="inlineStr">
        <is>
          <t>OTT Up Trend</t>
        </is>
      </c>
      <c r="AL327" s="84" t="inlineStr">
        <is>
          <t>Kirby Corporation</t>
        </is>
      </c>
      <c r="AM327" t="inlineStr">
        <is>
          <t>Industrials</t>
        </is>
      </c>
      <c r="AN327" t="inlineStr">
        <is>
          <t>Marine Shipping</t>
        </is>
      </c>
      <c r="AO327" t="n">
        <v>78</v>
      </c>
    </row>
    <row r="328">
      <c r="A328" s="64" t="inlineStr">
        <is>
          <t>AX</t>
        </is>
      </c>
      <c r="B328" s="65" t="n"/>
      <c r="C328" s="66" t="n"/>
      <c r="D328" s="67" t="n"/>
      <c r="E328" s="68" t="n"/>
      <c r="F328" s="47">
        <f>IF(A328="","",IF(MIN(H328,MAX(J328:K328))=0,"",MIN(H328,MAX(J328:K328))))</f>
        <v/>
      </c>
      <c r="G328" s="74" t="n"/>
      <c r="H328" s="49">
        <f>IF(M328="","",IFERROR(ROUND(AVERAGE(T328+M328*{7,8,9,10,11})/1.21,4),""))</f>
        <v/>
      </c>
      <c r="I328" s="76" t="n">
        <v>94.44999694824219</v>
      </c>
      <c r="J328" s="77" t="n">
        <v>91.90924587446237</v>
      </c>
      <c r="K328" s="74" t="n">
        <v>89.90449981689453</v>
      </c>
      <c r="L328" s="78" t="n">
        <v>79.91024990081787</v>
      </c>
      <c r="M328" s="77" t="n">
        <v>2.178588844658977</v>
      </c>
      <c r="N328" s="53">
        <f>IF(M328="","",IFERROR(M328/I328,""))</f>
        <v/>
      </c>
      <c r="O328" s="50">
        <f>IF(A328="","",IFERROR((IF(G328="",I328,G328)-T328)/M328,""))</f>
        <v/>
      </c>
      <c r="P328" s="50">
        <f>IFERROR((I328/T328-1)/N328,"")</f>
        <v/>
      </c>
      <c r="Q328" s="46">
        <f>IF(OR(T328="",I328&lt;T328),"",IFERROR(R328/IF(G328="",I328,G328)-1,""))</f>
        <v/>
      </c>
      <c r="R328" s="48">
        <f>IF($M328="","",MAX(IF($G328="",$I328,$G328)*(1/1.1),IF($G328="",$I328,$G328)+(R$2*$M328)))</f>
        <v/>
      </c>
      <c r="S328" s="49">
        <f>IF($M328="","",MAX(IF($G328="",$I328,$G328)*(1/1.1),IF($G328="",$I328,$G328)+(S$2*$M328)))</f>
        <v/>
      </c>
      <c r="T328" s="82" t="n">
        <v>85.17180023193359</v>
      </c>
      <c r="U328" s="47">
        <f>IF(OR($M328="",$T328=""),"",$T328+(U$2*$M328))</f>
        <v/>
      </c>
      <c r="V328" s="48">
        <f>IF(OR($M328="",$T328=""),"",$T328+(V$2*$M328))</f>
        <v/>
      </c>
      <c r="W328" s="48">
        <f>IF(OR($M328="",$T328=""),"",$T328+(W$2*$M328))</f>
        <v/>
      </c>
      <c r="X328" s="49">
        <f>IF(OR($M328="",$T328=""),"",$T328+(X$2*$M328))</f>
        <v/>
      </c>
      <c r="Y328" s="47">
        <f>IF(OR($M328="",$T328=""),"",$T328+(Y$2*$M328))</f>
        <v/>
      </c>
      <c r="Z328" s="49">
        <f>IF(OR($M328="",$T328=""),"",$T328+(Z$2*$M328))</f>
        <v/>
      </c>
      <c r="AA328" s="51">
        <f>IF(OR($M328="",$T328=""),"",$T328+(AA$2*$M328))</f>
        <v/>
      </c>
      <c r="AB328" s="48">
        <f>IF(OR($M328="",$T328=""),"",$T328+(AB$2*$M328))</f>
        <v/>
      </c>
      <c r="AC328" s="48">
        <f>IF(OR($M328="",$T328=""),"",$T328+(AC$2*$M328))</f>
        <v/>
      </c>
      <c r="AD328" s="48">
        <f>IF(OR($M328="",$T328=""),"",$T328+(AD$2*$M328))</f>
        <v/>
      </c>
      <c r="AE328" s="49">
        <f>IF(OR($M328="",$T328=""),"",$T328+(AE$2*$M328))</f>
        <v/>
      </c>
      <c r="AF328" s="52">
        <f>IF(OR(T328="",I328&lt;T328),"",IFERROR(AVERAGE(T328+M328*{7,8,9,10,11})/IF(G328="",I328,G328)-1,""))</f>
        <v/>
      </c>
      <c r="AG328" s="55">
        <f>IF(OR(T328="",I328&lt;T328),"",IFERROR(AF328/-(R328/IF(G328="",I328,G328)-1),""))</f>
        <v/>
      </c>
      <c r="AH328" s="94" t="n">
        <v>1</v>
      </c>
      <c r="AI328" s="94" t="n">
        <v>104.5626120581358</v>
      </c>
      <c r="AJ328" s="94" t="n">
        <v>1</v>
      </c>
      <c r="AK328" s="94" t="inlineStr">
        <is>
          <t>OTT Up Trend</t>
        </is>
      </c>
      <c r="AL328" s="84" t="inlineStr">
        <is>
          <t>Axos Financial, Inc.</t>
        </is>
      </c>
      <c r="AM328" t="inlineStr">
        <is>
          <t>Financial Services</t>
        </is>
      </c>
      <c r="AN328" t="inlineStr">
        <is>
          <t>Banks - Regional</t>
        </is>
      </c>
      <c r="AO328" t="n">
        <v>78</v>
      </c>
    </row>
    <row r="329">
      <c r="A329" s="64" t="inlineStr">
        <is>
          <t>MTUS</t>
        </is>
      </c>
      <c r="B329" s="65" t="n"/>
      <c r="C329" s="66" t="n"/>
      <c r="D329" s="67" t="n"/>
      <c r="E329" s="68" t="n"/>
      <c r="F329" s="47">
        <f>IF(A329="","",IF(MIN(H329,MAX(J329:K329))=0,"",MIN(H329,MAX(J329:K329))))</f>
        <v/>
      </c>
      <c r="G329" s="74" t="n"/>
      <c r="H329" s="49">
        <f>IF(M329="","",IFERROR(ROUND(AVERAGE(T329+M329*{7,8,9,10,11})/1.21,4),""))</f>
        <v/>
      </c>
      <c r="I329" s="76" t="n">
        <v>19.8700008392334</v>
      </c>
      <c r="J329" s="77" t="n">
        <v>19.43649216629317</v>
      </c>
      <c r="K329" s="74" t="n">
        <v>18.53499994277954</v>
      </c>
      <c r="L329" s="78" t="n">
        <v>15.8224499797821</v>
      </c>
      <c r="M329" s="77" t="n">
        <v>0.6669039128489656</v>
      </c>
      <c r="N329" s="53">
        <f>IF(M329="","",IFERROR(M329/I329,""))</f>
        <v/>
      </c>
      <c r="O329" s="50">
        <f>IF(A329="","",IFERROR((IF(G329="",I329,G329)-T329)/M329,""))</f>
        <v/>
      </c>
      <c r="P329" s="50">
        <f>IFERROR((I329/T329-1)/N329,"")</f>
        <v/>
      </c>
      <c r="Q329" s="46">
        <f>IF(OR(T329="",I329&lt;T329),"",IFERROR(R329/IF(G329="",I329,G329)-1,""))</f>
        <v/>
      </c>
      <c r="R329" s="48">
        <f>IF($M329="","",MAX(IF($G329="",$I329,$G329)*(1/1.1),IF($G329="",$I329,$G329)+(R$2*$M329)))</f>
        <v/>
      </c>
      <c r="S329" s="49">
        <f>IF($M329="","",MAX(IF($G329="",$I329,$G329)*(1/1.1),IF($G329="",$I329,$G329)+(S$2*$M329)))</f>
        <v/>
      </c>
      <c r="T329" s="82" t="n">
        <v>17.59219993591309</v>
      </c>
      <c r="U329" s="47">
        <f>IF(OR($M329="",$T329=""),"",$T329+(U$2*$M329))</f>
        <v/>
      </c>
      <c r="V329" s="48">
        <f>IF(OR($M329="",$T329=""),"",$T329+(V$2*$M329))</f>
        <v/>
      </c>
      <c r="W329" s="48">
        <f>IF(OR($M329="",$T329=""),"",$T329+(W$2*$M329))</f>
        <v/>
      </c>
      <c r="X329" s="49">
        <f>IF(OR($M329="",$T329=""),"",$T329+(X$2*$M329))</f>
        <v/>
      </c>
      <c r="Y329" s="47">
        <f>IF(OR($M329="",$T329=""),"",$T329+(Y$2*$M329))</f>
        <v/>
      </c>
      <c r="Z329" s="49">
        <f>IF(OR($M329="",$T329=""),"",$T329+(Z$2*$M329))</f>
        <v/>
      </c>
      <c r="AA329" s="51">
        <f>IF(OR($M329="",$T329=""),"",$T329+(AA$2*$M329))</f>
        <v/>
      </c>
      <c r="AB329" s="48">
        <f>IF(OR($M329="",$T329=""),"",$T329+(AB$2*$M329))</f>
        <v/>
      </c>
      <c r="AC329" s="48">
        <f>IF(OR($M329="",$T329=""),"",$T329+(AC$2*$M329))</f>
        <v/>
      </c>
      <c r="AD329" s="48">
        <f>IF(OR($M329="",$T329=""),"",$T329+(AD$2*$M329))</f>
        <v/>
      </c>
      <c r="AE329" s="49">
        <f>IF(OR($M329="",$T329=""),"",$T329+(AE$2*$M329))</f>
        <v/>
      </c>
      <c r="AF329" s="52">
        <f>IF(OR(T329="",I329&lt;T329),"",IFERROR(AVERAGE(T329+M329*{7,8,9,10,11})/IF(G329="",I329,G329)-1,""))</f>
        <v/>
      </c>
      <c r="AG329" s="55">
        <f>IF(OR(T329="",I329&lt;T329),"",IFERROR(AF329/-(R329/IF(G329="",I329,G329)-1),""))</f>
        <v/>
      </c>
      <c r="AH329" s="94" t="n">
        <v>1</v>
      </c>
      <c r="AI329" s="94" t="n">
        <v>108.5840011900568</v>
      </c>
      <c r="AJ329" s="94" t="n">
        <v>1</v>
      </c>
      <c r="AK329" s="94" t="inlineStr">
        <is>
          <t>OTT Up Trend</t>
        </is>
      </c>
      <c r="AL329" s="84" t="inlineStr">
        <is>
          <t>Metallus Inc.</t>
        </is>
      </c>
      <c r="AM329" t="inlineStr">
        <is>
          <t>Basic Materials</t>
        </is>
      </c>
      <c r="AN329" t="inlineStr">
        <is>
          <t>Steel</t>
        </is>
      </c>
      <c r="AO329" t="n">
        <v>78</v>
      </c>
    </row>
    <row r="330">
      <c r="A330" s="64" t="inlineStr">
        <is>
          <t>VCYT</t>
        </is>
      </c>
      <c r="B330" s="65" t="n"/>
      <c r="C330" s="66" t="n"/>
      <c r="D330" s="67" t="n"/>
      <c r="E330" s="68" t="n"/>
      <c r="F330" s="47">
        <f>IF(A330="","",IF(MIN(H330,MAX(J330:K330))=0,"",MIN(H330,MAX(J330:K330))))</f>
        <v/>
      </c>
      <c r="G330" s="74" t="n"/>
      <c r="H330" s="49">
        <f>IF(M330="","",IFERROR(ROUND(AVERAGE(T330+M330*{7,8,9,10,11})/1.21,4),""))</f>
        <v/>
      </c>
      <c r="I330" s="76" t="n">
        <v>41.56999969482422</v>
      </c>
      <c r="J330" s="77" t="n">
        <v>42.54476379997325</v>
      </c>
      <c r="K330" s="74" t="n">
        <v>42.86900005340576</v>
      </c>
      <c r="L330" s="78" t="n">
        <v>33.28007493972778</v>
      </c>
      <c r="M330" s="77" t="n">
        <v>1.713457650647341</v>
      </c>
      <c r="N330" s="53">
        <f>IF(M330="","",IFERROR(M330/I330,""))</f>
        <v/>
      </c>
      <c r="O330" s="50">
        <f>IF(A330="","",IFERROR((IF(G330="",I330,G330)-T330)/M330,""))</f>
        <v/>
      </c>
      <c r="P330" s="50">
        <f>IFERROR((I330/T330-1)/N330,"")</f>
        <v/>
      </c>
      <c r="Q330" s="46">
        <f>IF(OR(T330="",I330&lt;T330),"",IFERROR(R330/IF(G330="",I330,G330)-1,""))</f>
        <v/>
      </c>
      <c r="R330" s="48">
        <f>IF($M330="","",MAX(IF($G330="",$I330,$G330)*(1/1.1),IF($G330="",$I330,$G330)+(R$2*$M330)))</f>
        <v/>
      </c>
      <c r="S330" s="49">
        <f>IF($M330="","",MAX(IF($G330="",$I330,$G330)*(1/1.1),IF($G330="",$I330,$G330)+(S$2*$M330)))</f>
        <v/>
      </c>
      <c r="T330" s="82" t="n">
        <v>43.30339988708496</v>
      </c>
      <c r="U330" s="47">
        <f>IF(OR($M330="",$T330=""),"",$T330+(U$2*$M330))</f>
        <v/>
      </c>
      <c r="V330" s="48">
        <f>IF(OR($M330="",$T330=""),"",$T330+(V$2*$M330))</f>
        <v/>
      </c>
      <c r="W330" s="48">
        <f>IF(OR($M330="",$T330=""),"",$T330+(W$2*$M330))</f>
        <v/>
      </c>
      <c r="X330" s="49">
        <f>IF(OR($M330="",$T330=""),"",$T330+(X$2*$M330))</f>
        <v/>
      </c>
      <c r="Y330" s="47">
        <f>IF(OR($M330="",$T330=""),"",$T330+(Y$2*$M330))</f>
        <v/>
      </c>
      <c r="Z330" s="49">
        <f>IF(OR($M330="",$T330=""),"",$T330+(Z$2*$M330))</f>
        <v/>
      </c>
      <c r="AA330" s="51">
        <f>IF(OR($M330="",$T330=""),"",$T330+(AA$2*$M330))</f>
        <v/>
      </c>
      <c r="AB330" s="48">
        <f>IF(OR($M330="",$T330=""),"",$T330+(AB$2*$M330))</f>
        <v/>
      </c>
      <c r="AC330" s="48">
        <f>IF(OR($M330="",$T330=""),"",$T330+(AC$2*$M330))</f>
        <v/>
      </c>
      <c r="AD330" s="48">
        <f>IF(OR($M330="",$T330=""),"",$T330+(AD$2*$M330))</f>
        <v/>
      </c>
      <c r="AE330" s="49">
        <f>IF(OR($M330="",$T330=""),"",$T330+(AE$2*$M330))</f>
        <v/>
      </c>
      <c r="AF330" s="52">
        <f>IF(OR(T330="",I330&lt;T330),"",IFERROR(AVERAGE(T330+M330*{7,8,9,10,11})/IF(G330="",I330,G330)-1,""))</f>
        <v/>
      </c>
      <c r="AG330" s="55">
        <f>IF(OR(T330="",I330&lt;T330),"",IFERROR(AF330/-(R330/IF(G330="",I330,G330)-1),""))</f>
        <v/>
      </c>
      <c r="AH330" s="94" t="n">
        <v>-1</v>
      </c>
      <c r="AI330" s="94" t="n">
        <v>-11.47917286853487</v>
      </c>
      <c r="AJ330" s="94" t="n">
        <v>0</v>
      </c>
      <c r="AK330" s="94" t="inlineStr">
        <is>
          <t>None</t>
        </is>
      </c>
      <c r="AL330" s="84" t="inlineStr">
        <is>
          <t>Veracyte, Inc.</t>
        </is>
      </c>
      <c r="AM330" t="inlineStr">
        <is>
          <t>Healthcare</t>
        </is>
      </c>
      <c r="AN330" t="inlineStr">
        <is>
          <t>Diagnostics &amp; Research</t>
        </is>
      </c>
      <c r="AO330" t="n">
        <v>78</v>
      </c>
    </row>
    <row r="331">
      <c r="A331" s="64" t="inlineStr">
        <is>
          <t>VMI</t>
        </is>
      </c>
      <c r="B331" s="65" t="n"/>
      <c r="C331" s="66" t="n"/>
      <c r="D331" s="67" t="n"/>
      <c r="E331" s="68" t="n"/>
      <c r="F331" s="47">
        <f>IF(A331="","",IF(MIN(H331,MAX(J331:K331))=0,"",MIN(H331,MAX(J331:K331))))</f>
        <v/>
      </c>
      <c r="G331" s="74" t="n"/>
      <c r="H331" s="49">
        <f>IF(M331="","",IFERROR(ROUND(AVERAGE(T331+M331*{7,8,9,10,11})/1.21,4),""))</f>
        <v/>
      </c>
      <c r="I331" s="76" t="n">
        <v>443.5799865722656</v>
      </c>
      <c r="J331" s="77" t="n">
        <v>429.9631771603047</v>
      </c>
      <c r="K331" s="74" t="n">
        <v>419.9170013427735</v>
      </c>
      <c r="L331" s="78" t="n">
        <v>363.7406007385254</v>
      </c>
      <c r="M331" s="77" t="n">
        <v>11.07864937174224</v>
      </c>
      <c r="N331" s="53">
        <f>IF(M331="","",IFERROR(M331/I331,""))</f>
        <v/>
      </c>
      <c r="O331" s="50">
        <f>IF(A331="","",IFERROR((IF(G331="",I331,G331)-T331)/M331,""))</f>
        <v/>
      </c>
      <c r="P331" s="50">
        <f>IFERROR((I331/T331-1)/N331,"")</f>
        <v/>
      </c>
      <c r="Q331" s="46">
        <f>IF(OR(T331="",I331&lt;T331),"",IFERROR(R331/IF(G331="",I331,G331)-1,""))</f>
        <v/>
      </c>
      <c r="R331" s="48">
        <f>IF($M331="","",MAX(IF($G331="",$I331,$G331)*(1/1.1),IF($G331="",$I331,$G331)+(R$2*$M331)))</f>
        <v/>
      </c>
      <c r="S331" s="49">
        <f>IF($M331="","",MAX(IF($G331="",$I331,$G331)*(1/1.1),IF($G331="",$I331,$G331)+(S$2*$M331)))</f>
        <v/>
      </c>
      <c r="T331" s="82" t="n">
        <v>411.9566021728515</v>
      </c>
      <c r="U331" s="47">
        <f>IF(OR($M331="",$T331=""),"",$T331+(U$2*$M331))</f>
        <v/>
      </c>
      <c r="V331" s="48">
        <f>IF(OR($M331="",$T331=""),"",$T331+(V$2*$M331))</f>
        <v/>
      </c>
      <c r="W331" s="48">
        <f>IF(OR($M331="",$T331=""),"",$T331+(W$2*$M331))</f>
        <v/>
      </c>
      <c r="X331" s="49">
        <f>IF(OR($M331="",$T331=""),"",$T331+(X$2*$M331))</f>
        <v/>
      </c>
      <c r="Y331" s="47">
        <f>IF(OR($M331="",$T331=""),"",$T331+(Y$2*$M331))</f>
        <v/>
      </c>
      <c r="Z331" s="49">
        <f>IF(OR($M331="",$T331=""),"",$T331+(Z$2*$M331))</f>
        <v/>
      </c>
      <c r="AA331" s="51">
        <f>IF(OR($M331="",$T331=""),"",$T331+(AA$2*$M331))</f>
        <v/>
      </c>
      <c r="AB331" s="48">
        <f>IF(OR($M331="",$T331=""),"",$T331+(AB$2*$M331))</f>
        <v/>
      </c>
      <c r="AC331" s="48">
        <f>IF(OR($M331="",$T331=""),"",$T331+(AC$2*$M331))</f>
        <v/>
      </c>
      <c r="AD331" s="48">
        <f>IF(OR($M331="",$T331=""),"",$T331+(AD$2*$M331))</f>
        <v/>
      </c>
      <c r="AE331" s="49">
        <f>IF(OR($M331="",$T331=""),"",$T331+(AE$2*$M331))</f>
        <v/>
      </c>
      <c r="AF331" s="52">
        <f>IF(OR(T331="",I331&lt;T331),"",IFERROR(AVERAGE(T331+M331*{7,8,9,10,11})/IF(G331="",I331,G331)-1,""))</f>
        <v/>
      </c>
      <c r="AG331" s="55">
        <f>IF(OR(T331="",I331&lt;T331),"",IFERROR(AF331/-(R331/IF(G331="",I331,G331)-1),""))</f>
        <v/>
      </c>
      <c r="AH331" s="94" t="n">
        <v>1</v>
      </c>
      <c r="AI331" s="94" t="n">
        <v>64.75768215852388</v>
      </c>
      <c r="AJ331" s="94" t="n">
        <v>1</v>
      </c>
      <c r="AK331" s="94" t="inlineStr">
        <is>
          <t>OTT Up Trend</t>
        </is>
      </c>
      <c r="AL331" s="84" t="inlineStr">
        <is>
          <t>Valmont Industries, Inc.</t>
        </is>
      </c>
      <c r="AM331" t="inlineStr">
        <is>
          <t>Industrials</t>
        </is>
      </c>
      <c r="AN331" t="inlineStr">
        <is>
          <t>Conglomerates</t>
        </is>
      </c>
      <c r="AO331" t="n">
        <v>78</v>
      </c>
    </row>
    <row r="332">
      <c r="A332" s="64" t="inlineStr">
        <is>
          <t>F</t>
        </is>
      </c>
      <c r="B332" s="65" t="n"/>
      <c r="C332" s="66" t="n"/>
      <c r="D332" s="67" t="n"/>
      <c r="E332" s="68" t="n"/>
      <c r="F332" s="47">
        <f>IF(A332="","",IF(MIN(H332,MAX(J332:K332))=0,"",MIN(H332,MAX(J332:K332))))</f>
        <v/>
      </c>
      <c r="G332" s="74" t="n"/>
      <c r="H332" s="49">
        <f>IF(M332="","",IFERROR(ROUND(AVERAGE(T332+M332*{7,8,9,10,11})/1.21,4),""))</f>
        <v/>
      </c>
      <c r="I332" s="76" t="n">
        <v>13.60000038146973</v>
      </c>
      <c r="J332" s="77" t="n">
        <v>13.78677099654707</v>
      </c>
      <c r="K332" s="74" t="n">
        <v>13.60249996185303</v>
      </c>
      <c r="L332" s="78" t="n">
        <v>11.68104998111725</v>
      </c>
      <c r="M332" s="77" t="n">
        <v>0.2823517342748315</v>
      </c>
      <c r="N332" s="53">
        <f>IF(M332="","",IFERROR(M332/I332,""))</f>
        <v/>
      </c>
      <c r="O332" s="50">
        <f>IF(A332="","",IFERROR((IF(G332="",I332,G332)-T332)/M332,""))</f>
        <v/>
      </c>
      <c r="P332" s="50">
        <f>IFERROR((I332/T332-1)/N332,"")</f>
        <v/>
      </c>
      <c r="Q332" s="46">
        <f>IF(OR(T332="",I332&lt;T332),"",IFERROR(R332/IF(G332="",I332,G332)-1,""))</f>
        <v/>
      </c>
      <c r="R332" s="48">
        <f>IF($M332="","",MAX(IF($G332="",$I332,$G332)*(1/1.1),IF($G332="",$I332,$G332)+(R$2*$M332)))</f>
        <v/>
      </c>
      <c r="S332" s="49">
        <f>IF($M332="","",MAX(IF($G332="",$I332,$G332)*(1/1.1),IF($G332="",$I332,$G332)+(S$2*$M332)))</f>
        <v/>
      </c>
      <c r="T332" s="82" t="n">
        <v>13.35079996109009</v>
      </c>
      <c r="U332" s="47">
        <f>IF(OR($M332="",$T332=""),"",$T332+(U$2*$M332))</f>
        <v/>
      </c>
      <c r="V332" s="48">
        <f>IF(OR($M332="",$T332=""),"",$T332+(V$2*$M332))</f>
        <v/>
      </c>
      <c r="W332" s="48">
        <f>IF(OR($M332="",$T332=""),"",$T332+(W$2*$M332))</f>
        <v/>
      </c>
      <c r="X332" s="49">
        <f>IF(OR($M332="",$T332=""),"",$T332+(X$2*$M332))</f>
        <v/>
      </c>
      <c r="Y332" s="47">
        <f>IF(OR($M332="",$T332=""),"",$T332+(Y$2*$M332))</f>
        <v/>
      </c>
      <c r="Z332" s="49">
        <f>IF(OR($M332="",$T332=""),"",$T332+(Z$2*$M332))</f>
        <v/>
      </c>
      <c r="AA332" s="51">
        <f>IF(OR($M332="",$T332=""),"",$T332+(AA$2*$M332))</f>
        <v/>
      </c>
      <c r="AB332" s="48">
        <f>IF(OR($M332="",$T332=""),"",$T332+(AB$2*$M332))</f>
        <v/>
      </c>
      <c r="AC332" s="48">
        <f>IF(OR($M332="",$T332=""),"",$T332+(AC$2*$M332))</f>
        <v/>
      </c>
      <c r="AD332" s="48">
        <f>IF(OR($M332="",$T332=""),"",$T332+(AD$2*$M332))</f>
        <v/>
      </c>
      <c r="AE332" s="49">
        <f>IF(OR($M332="",$T332=""),"",$T332+(AE$2*$M332))</f>
        <v/>
      </c>
      <c r="AF332" s="52">
        <f>IF(OR(T332="",I332&lt;T332),"",IFERROR(AVERAGE(T332+M332*{7,8,9,10,11})/IF(G332="",I332,G332)-1,""))</f>
        <v/>
      </c>
      <c r="AG332" s="55">
        <f>IF(OR(T332="",I332&lt;T332),"",IFERROR(AF332/-(R332/IF(G332="",I332,G332)-1),""))</f>
        <v/>
      </c>
      <c r="AH332" s="94" t="n">
        <v>1</v>
      </c>
      <c r="AI332" s="94" t="n">
        <v>59.9433724730384</v>
      </c>
      <c r="AJ332" s="94" t="n">
        <v>0</v>
      </c>
      <c r="AK332" s="94" t="inlineStr">
        <is>
          <t>OTT Up Trend</t>
        </is>
      </c>
      <c r="AL332" s="84" t="inlineStr">
        <is>
          <t>Ford Motor Company</t>
        </is>
      </c>
      <c r="AM332" t="inlineStr">
        <is>
          <t>Consumer Cyclical</t>
        </is>
      </c>
      <c r="AN332" t="inlineStr">
        <is>
          <t>Auto Manufacturers</t>
        </is>
      </c>
      <c r="AO332" t="n">
        <v>78</v>
      </c>
    </row>
    <row r="333">
      <c r="A333" s="64" t="inlineStr">
        <is>
          <t>BCO</t>
        </is>
      </c>
      <c r="B333" s="65" t="n"/>
      <c r="C333" s="66" t="n"/>
      <c r="D333" s="67" t="n"/>
      <c r="E333" s="68" t="n"/>
      <c r="F333" s="47">
        <f>IF(A333="","",IF(MIN(H333,MAX(J333:K333))=0,"",MIN(H333,MAX(J333:K333))))</f>
        <v/>
      </c>
      <c r="G333" s="74" t="n"/>
      <c r="H333" s="49">
        <f>IF(M333="","",IFERROR(ROUND(AVERAGE(T333+M333*{7,8,9,10,11})/1.21,4),""))</f>
        <v/>
      </c>
      <c r="I333" s="76" t="n">
        <v>125.7200012207031</v>
      </c>
      <c r="J333" s="77" t="n">
        <v>122.9712665618095</v>
      </c>
      <c r="K333" s="74" t="n">
        <v>120.7430000305176</v>
      </c>
      <c r="L333" s="78" t="n">
        <v>103.3451999664307</v>
      </c>
      <c r="M333" s="77" t="n">
        <v>2.916985839613694</v>
      </c>
      <c r="N333" s="53">
        <f>IF(M333="","",IFERROR(M333/I333,""))</f>
        <v/>
      </c>
      <c r="O333" s="50">
        <f>IF(A333="","",IFERROR((IF(G333="",I333,G333)-T333)/M333,""))</f>
        <v/>
      </c>
      <c r="P333" s="50">
        <f>IFERROR((I333/T333-1)/N333,"")</f>
        <v/>
      </c>
      <c r="Q333" s="46">
        <f>IF(OR(T333="",I333&lt;T333),"",IFERROR(R333/IF(G333="",I333,G333)-1,""))</f>
        <v/>
      </c>
      <c r="R333" s="48">
        <f>IF($M333="","",MAX(IF($G333="",$I333,$G333)*(1/1.1),IF($G333="",$I333,$G333)+(R$2*$M333)))</f>
        <v/>
      </c>
      <c r="S333" s="49">
        <f>IF($M333="","",MAX(IF($G333="",$I333,$G333)*(1/1.1),IF($G333="",$I333,$G333)+(S$2*$M333)))</f>
        <v/>
      </c>
      <c r="T333" s="82" t="n">
        <v>116.7168000793457</v>
      </c>
      <c r="U333" s="47">
        <f>IF(OR($M333="",$T333=""),"",$T333+(U$2*$M333))</f>
        <v/>
      </c>
      <c r="V333" s="48">
        <f>IF(OR($M333="",$T333=""),"",$T333+(V$2*$M333))</f>
        <v/>
      </c>
      <c r="W333" s="48">
        <f>IF(OR($M333="",$T333=""),"",$T333+(W$2*$M333))</f>
        <v/>
      </c>
      <c r="X333" s="49">
        <f>IF(OR($M333="",$T333=""),"",$T333+(X$2*$M333))</f>
        <v/>
      </c>
      <c r="Y333" s="47">
        <f>IF(OR($M333="",$T333=""),"",$T333+(Y$2*$M333))</f>
        <v/>
      </c>
      <c r="Z333" s="49">
        <f>IF(OR($M333="",$T333=""),"",$T333+(Z$2*$M333))</f>
        <v/>
      </c>
      <c r="AA333" s="51">
        <f>IF(OR($M333="",$T333=""),"",$T333+(AA$2*$M333))</f>
        <v/>
      </c>
      <c r="AB333" s="48">
        <f>IF(OR($M333="",$T333=""),"",$T333+(AB$2*$M333))</f>
        <v/>
      </c>
      <c r="AC333" s="48">
        <f>IF(OR($M333="",$T333=""),"",$T333+(AC$2*$M333))</f>
        <v/>
      </c>
      <c r="AD333" s="48">
        <f>IF(OR($M333="",$T333=""),"",$T333+(AD$2*$M333))</f>
        <v/>
      </c>
      <c r="AE333" s="49">
        <f>IF(OR($M333="",$T333=""),"",$T333+(AE$2*$M333))</f>
        <v/>
      </c>
      <c r="AF333" s="52">
        <f>IF(OR(T333="",I333&lt;T333),"",IFERROR(AVERAGE(T333+M333*{7,8,9,10,11})/IF(G333="",I333,G333)-1,""))</f>
        <v/>
      </c>
      <c r="AG333" s="55">
        <f>IF(OR(T333="",I333&lt;T333),"",IFERROR(AF333/-(R333/IF(G333="",I333,G333)-1),""))</f>
        <v/>
      </c>
      <c r="AH333" s="94" t="n">
        <v>1</v>
      </c>
      <c r="AI333" s="94" t="n">
        <v>76.00649355126457</v>
      </c>
      <c r="AJ333" s="94" t="n">
        <v>1</v>
      </c>
      <c r="AK333" s="94" t="inlineStr">
        <is>
          <t>OTT Up Trend</t>
        </is>
      </c>
      <c r="AL333" s="84" t="inlineStr">
        <is>
          <t>Brinks Company (The)</t>
        </is>
      </c>
      <c r="AM333" t="inlineStr">
        <is>
          <t>Industrials</t>
        </is>
      </c>
      <c r="AN333" t="inlineStr">
        <is>
          <t>Security &amp; Protection Services</t>
        </is>
      </c>
      <c r="AO333" t="n">
        <v>78</v>
      </c>
    </row>
    <row r="334">
      <c r="A334" s="64" t="inlineStr">
        <is>
          <t>PIPR</t>
        </is>
      </c>
      <c r="B334" s="65" t="n"/>
      <c r="C334" s="66" t="n"/>
      <c r="D334" s="67" t="n"/>
      <c r="E334" s="68" t="n"/>
      <c r="F334" s="47">
        <f>IF(A334="","",IF(MIN(H334,MAX(J334:K334))=0,"",MIN(H334,MAX(J334:K334))))</f>
        <v/>
      </c>
      <c r="G334" s="74" t="n"/>
      <c r="H334" s="49">
        <f>IF(M334="","",IFERROR(ROUND(AVERAGE(T334+M334*{7,8,9,10,11})/1.21,4),""))</f>
        <v/>
      </c>
      <c r="I334" s="76" t="n">
        <v>376.2799987792969</v>
      </c>
      <c r="J334" s="77" t="n">
        <v>364.632852644968</v>
      </c>
      <c r="K334" s="74" t="n">
        <v>356.6199951171875</v>
      </c>
      <c r="L334" s="78" t="n">
        <v>308.5179489135742</v>
      </c>
      <c r="M334" s="77" t="n">
        <v>9.861690017272512</v>
      </c>
      <c r="N334" s="53">
        <f>IF(M334="","",IFERROR(M334/I334,""))</f>
        <v/>
      </c>
      <c r="O334" s="50">
        <f>IF(A334="","",IFERROR((IF(G334="",I334,G334)-T334)/M334,""))</f>
        <v/>
      </c>
      <c r="P334" s="50">
        <f>IFERROR((I334/T334-1)/N334,"")</f>
        <v/>
      </c>
      <c r="Q334" s="46">
        <f>IF(OR(T334="",I334&lt;T334),"",IFERROR(R334/IF(G334="",I334,G334)-1,""))</f>
        <v/>
      </c>
      <c r="R334" s="48">
        <f>IF($M334="","",MAX(IF($G334="",$I334,$G334)*(1/1.1),IF($G334="",$I334,$G334)+(R$2*$M334)))</f>
        <v/>
      </c>
      <c r="S334" s="49">
        <f>IF($M334="","",MAX(IF($G334="",$I334,$G334)*(1/1.1),IF($G334="",$I334,$G334)+(S$2*$M334)))</f>
        <v/>
      </c>
      <c r="T334" s="82" t="n">
        <v>344.5287976074219</v>
      </c>
      <c r="U334" s="47">
        <f>IF(OR($M334="",$T334=""),"",$T334+(U$2*$M334))</f>
        <v/>
      </c>
      <c r="V334" s="48">
        <f>IF(OR($M334="",$T334=""),"",$T334+(V$2*$M334))</f>
        <v/>
      </c>
      <c r="W334" s="48">
        <f>IF(OR($M334="",$T334=""),"",$T334+(W$2*$M334))</f>
        <v/>
      </c>
      <c r="X334" s="49">
        <f>IF(OR($M334="",$T334=""),"",$T334+(X$2*$M334))</f>
        <v/>
      </c>
      <c r="Y334" s="47">
        <f>IF(OR($M334="",$T334=""),"",$T334+(Y$2*$M334))</f>
        <v/>
      </c>
      <c r="Z334" s="49">
        <f>IF(OR($M334="",$T334=""),"",$T334+(Z$2*$M334))</f>
        <v/>
      </c>
      <c r="AA334" s="51">
        <f>IF(OR($M334="",$T334=""),"",$T334+(AA$2*$M334))</f>
        <v/>
      </c>
      <c r="AB334" s="48">
        <f>IF(OR($M334="",$T334=""),"",$T334+(AB$2*$M334))</f>
        <v/>
      </c>
      <c r="AC334" s="48">
        <f>IF(OR($M334="",$T334=""),"",$T334+(AC$2*$M334))</f>
        <v/>
      </c>
      <c r="AD334" s="48">
        <f>IF(OR($M334="",$T334=""),"",$T334+(AD$2*$M334))</f>
        <v/>
      </c>
      <c r="AE334" s="49">
        <f>IF(OR($M334="",$T334=""),"",$T334+(AE$2*$M334))</f>
        <v/>
      </c>
      <c r="AF334" s="52">
        <f>IF(OR(T334="",I334&lt;T334),"",IFERROR(AVERAGE(T334+M334*{7,8,9,10,11})/IF(G334="",I334,G334)-1,""))</f>
        <v/>
      </c>
      <c r="AG334" s="55">
        <f>IF(OR(T334="",I334&lt;T334),"",IFERROR(AF334/-(R334/IF(G334="",I334,G334)-1),""))</f>
        <v/>
      </c>
      <c r="AH334" s="94" t="n">
        <v>1</v>
      </c>
      <c r="AI334" s="94" t="n">
        <v>68.10392536188196</v>
      </c>
      <c r="AJ334" s="94" t="n">
        <v>1</v>
      </c>
      <c r="AK334" s="94" t="inlineStr">
        <is>
          <t>OTT Up Trend</t>
        </is>
      </c>
      <c r="AL334" s="84" t="inlineStr">
        <is>
          <t>Piper Sandler Companies</t>
        </is>
      </c>
      <c r="AM334" t="inlineStr">
        <is>
          <t>Financial Services</t>
        </is>
      </c>
      <c r="AN334" t="inlineStr">
        <is>
          <t>Capital Markets</t>
        </is>
      </c>
      <c r="AO334" t="n">
        <v>78</v>
      </c>
    </row>
    <row r="335">
      <c r="A335" s="64" t="inlineStr">
        <is>
          <t>PWR</t>
        </is>
      </c>
      <c r="B335" s="65" t="n"/>
      <c r="C335" s="66" t="n"/>
      <c r="D335" s="67" t="n"/>
      <c r="E335" s="68" t="n"/>
      <c r="F335" s="47">
        <f>IF(A335="","",IF(MIN(H335,MAX(J335:K335))=0,"",MIN(H335,MAX(J335:K335))))</f>
        <v/>
      </c>
      <c r="G335" s="74" t="n"/>
      <c r="H335" s="49">
        <f>IF(M335="","",IFERROR(ROUND(AVERAGE(T335+M335*{7,8,9,10,11})/1.21,4),""))</f>
        <v/>
      </c>
      <c r="I335" s="76" t="n">
        <v>466.75</v>
      </c>
      <c r="J335" s="77" t="n">
        <v>441.5391847780738</v>
      </c>
      <c r="K335" s="74" t="n">
        <v>433.9510040283203</v>
      </c>
      <c r="L335" s="78" t="n">
        <v>387.2824496459961</v>
      </c>
      <c r="M335" s="77" t="n">
        <v>16.13431730889058</v>
      </c>
      <c r="N335" s="53">
        <f>IF(M335="","",IFERROR(M335/I335,""))</f>
        <v/>
      </c>
      <c r="O335" s="50">
        <f>IF(A335="","",IFERROR((IF(G335="",I335,G335)-T335)/M335,""))</f>
        <v/>
      </c>
      <c r="P335" s="50">
        <f>IFERROR((I335/T335-1)/N335,"")</f>
        <v/>
      </c>
      <c r="Q335" s="46">
        <f>IF(OR(T335="",I335&lt;T335),"",IFERROR(R335/IF(G335="",I335,G335)-1,""))</f>
        <v/>
      </c>
      <c r="R335" s="48">
        <f>IF($M335="","",MAX(IF($G335="",$I335,$G335)*(1/1.1),IF($G335="",$I335,$G335)+(R$2*$M335)))</f>
        <v/>
      </c>
      <c r="S335" s="49">
        <f>IF($M335="","",MAX(IF($G335="",$I335,$G335)*(1/1.1),IF($G335="",$I335,$G335)+(S$2*$M335)))</f>
        <v/>
      </c>
      <c r="T335" s="82" t="n">
        <v>441.6062017822265</v>
      </c>
      <c r="U335" s="47">
        <f>IF(OR($M335="",$T335=""),"",$T335+(U$2*$M335))</f>
        <v/>
      </c>
      <c r="V335" s="48">
        <f>IF(OR($M335="",$T335=""),"",$T335+(V$2*$M335))</f>
        <v/>
      </c>
      <c r="W335" s="48">
        <f>IF(OR($M335="",$T335=""),"",$T335+(W$2*$M335))</f>
        <v/>
      </c>
      <c r="X335" s="49">
        <f>IF(OR($M335="",$T335=""),"",$T335+(X$2*$M335))</f>
        <v/>
      </c>
      <c r="Y335" s="47">
        <f>IF(OR($M335="",$T335=""),"",$T335+(Y$2*$M335))</f>
        <v/>
      </c>
      <c r="Z335" s="49">
        <f>IF(OR($M335="",$T335=""),"",$T335+(Z$2*$M335))</f>
        <v/>
      </c>
      <c r="AA335" s="51">
        <f>IF(OR($M335="",$T335=""),"",$T335+(AA$2*$M335))</f>
        <v/>
      </c>
      <c r="AB335" s="48">
        <f>IF(OR($M335="",$T335=""),"",$T335+(AB$2*$M335))</f>
        <v/>
      </c>
      <c r="AC335" s="48">
        <f>IF(OR($M335="",$T335=""),"",$T335+(AC$2*$M335))</f>
        <v/>
      </c>
      <c r="AD335" s="48">
        <f>IF(OR($M335="",$T335=""),"",$T335+(AD$2*$M335))</f>
        <v/>
      </c>
      <c r="AE335" s="49">
        <f>IF(OR($M335="",$T335=""),"",$T335+(AE$2*$M335))</f>
        <v/>
      </c>
      <c r="AF335" s="52">
        <f>IF(OR(T335="",I335&lt;T335),"",IFERROR(AVERAGE(T335+M335*{7,8,9,10,11})/IF(G335="",I335,G335)-1,""))</f>
        <v/>
      </c>
      <c r="AG335" s="55">
        <f>IF(OR(T335="",I335&lt;T335),"",IFERROR(AF335/-(R335/IF(G335="",I335,G335)-1),""))</f>
        <v/>
      </c>
      <c r="AH335" s="94" t="n">
        <v>1</v>
      </c>
      <c r="AI335" s="94" t="n">
        <v>11.66062233354516</v>
      </c>
      <c r="AJ335" s="94" t="n">
        <v>1</v>
      </c>
      <c r="AK335" s="94" t="inlineStr">
        <is>
          <t>None</t>
        </is>
      </c>
      <c r="AL335" s="84" t="inlineStr">
        <is>
          <t>Quanta Services, Inc.</t>
        </is>
      </c>
      <c r="AM335" t="inlineStr">
        <is>
          <t>Industrials</t>
        </is>
      </c>
      <c r="AN335" t="inlineStr">
        <is>
          <t>Engineering &amp; Construction</t>
        </is>
      </c>
      <c r="AO335" t="n">
        <v>78</v>
      </c>
    </row>
    <row r="336">
      <c r="A336" s="64" t="inlineStr">
        <is>
          <t>ST</t>
        </is>
      </c>
      <c r="B336" s="65" t="n"/>
      <c r="C336" s="66" t="n"/>
      <c r="D336" s="67" t="n"/>
      <c r="E336" s="68" t="n"/>
      <c r="F336" s="47">
        <f>IF(A336="","",IF(MIN(H336,MAX(J336:K336))=0,"",MIN(H336,MAX(J336:K336))))</f>
        <v/>
      </c>
      <c r="G336" s="74" t="n"/>
      <c r="H336" s="49">
        <f>IF(M336="","",IFERROR(ROUND(AVERAGE(T336+M336*{7,8,9,10,11})/1.21,4),""))</f>
        <v/>
      </c>
      <c r="I336" s="76" t="n">
        <v>35.06000137329102</v>
      </c>
      <c r="J336" s="77" t="n">
        <v>34.95835681350871</v>
      </c>
      <c r="K336" s="74" t="n">
        <v>34.41050033569336</v>
      </c>
      <c r="L336" s="78" t="n">
        <v>29.7649001121521</v>
      </c>
      <c r="M336" s="77" t="n">
        <v>1.024897675457179</v>
      </c>
      <c r="N336" s="53">
        <f>IF(M336="","",IFERROR(M336/I336,""))</f>
        <v/>
      </c>
      <c r="O336" s="50">
        <f>IF(A336="","",IFERROR((IF(G336="",I336,G336)-T336)/M336,""))</f>
        <v/>
      </c>
      <c r="P336" s="50">
        <f>IFERROR((I336/T336-1)/N336,"")</f>
        <v/>
      </c>
      <c r="Q336" s="46">
        <f>IF(OR(T336="",I336&lt;T336),"",IFERROR(R336/IF(G336="",I336,G336)-1,""))</f>
        <v/>
      </c>
      <c r="R336" s="48">
        <f>IF($M336="","",MAX(IF($G336="",$I336,$G336)*(1/1.1),IF($G336="",$I336,$G336)+(R$2*$M336)))</f>
        <v/>
      </c>
      <c r="S336" s="49">
        <f>IF($M336="","",MAX(IF($G336="",$I336,$G336)*(1/1.1),IF($G336="",$I336,$G336)+(S$2*$M336)))</f>
        <v/>
      </c>
      <c r="T336" s="82" t="n">
        <v>32.97900020599365</v>
      </c>
      <c r="U336" s="47">
        <f>IF(OR($M336="",$T336=""),"",$T336+(U$2*$M336))</f>
        <v/>
      </c>
      <c r="V336" s="48">
        <f>IF(OR($M336="",$T336=""),"",$T336+(V$2*$M336))</f>
        <v/>
      </c>
      <c r="W336" s="48">
        <f>IF(OR($M336="",$T336=""),"",$T336+(W$2*$M336))</f>
        <v/>
      </c>
      <c r="X336" s="49">
        <f>IF(OR($M336="",$T336=""),"",$T336+(X$2*$M336))</f>
        <v/>
      </c>
      <c r="Y336" s="47">
        <f>IF(OR($M336="",$T336=""),"",$T336+(Y$2*$M336))</f>
        <v/>
      </c>
      <c r="Z336" s="49">
        <f>IF(OR($M336="",$T336=""),"",$T336+(Z$2*$M336))</f>
        <v/>
      </c>
      <c r="AA336" s="51">
        <f>IF(OR($M336="",$T336=""),"",$T336+(AA$2*$M336))</f>
        <v/>
      </c>
      <c r="AB336" s="48">
        <f>IF(OR($M336="",$T336=""),"",$T336+(AB$2*$M336))</f>
        <v/>
      </c>
      <c r="AC336" s="48">
        <f>IF(OR($M336="",$T336=""),"",$T336+(AC$2*$M336))</f>
        <v/>
      </c>
      <c r="AD336" s="48">
        <f>IF(OR($M336="",$T336=""),"",$T336+(AD$2*$M336))</f>
        <v/>
      </c>
      <c r="AE336" s="49">
        <f>IF(OR($M336="",$T336=""),"",$T336+(AE$2*$M336))</f>
        <v/>
      </c>
      <c r="AF336" s="52">
        <f>IF(OR(T336="",I336&lt;T336),"",IFERROR(AVERAGE(T336+M336*{7,8,9,10,11})/IF(G336="",I336,G336)-1,""))</f>
        <v/>
      </c>
      <c r="AG336" s="55">
        <f>IF(OR(T336="",I336&lt;T336),"",IFERROR(AF336/-(R336/IF(G336="",I336,G336)-1),""))</f>
        <v/>
      </c>
      <c r="AH336" s="94" t="n">
        <v>1</v>
      </c>
      <c r="AI336" s="94" t="n">
        <v>55.75441036312944</v>
      </c>
      <c r="AJ336" s="94" t="n">
        <v>0</v>
      </c>
      <c r="AK336" s="94" t="inlineStr">
        <is>
          <t>OTT Up Trend</t>
        </is>
      </c>
      <c r="AL336" s="84" t="inlineStr">
        <is>
          <t>Sensata Technologies Holding pl</t>
        </is>
      </c>
      <c r="AM336" t="inlineStr">
        <is>
          <t>Technology</t>
        </is>
      </c>
      <c r="AN336" t="inlineStr">
        <is>
          <t>Scientific &amp; Technical Instruments</t>
        </is>
      </c>
      <c r="AO336" t="n">
        <v>77</v>
      </c>
    </row>
    <row r="337">
      <c r="A337" s="64" t="inlineStr">
        <is>
          <t>NPO</t>
        </is>
      </c>
      <c r="B337" s="65" t="n"/>
      <c r="C337" s="66" t="n"/>
      <c r="D337" s="67" t="n"/>
      <c r="E337" s="68" t="n"/>
      <c r="F337" s="47">
        <f>IF(A337="","",IF(MIN(H337,MAX(J337:K337))=0,"",MIN(H337,MAX(J337:K337))))</f>
        <v/>
      </c>
      <c r="G337" s="74" t="n"/>
      <c r="H337" s="49">
        <f>IF(M337="","",IFERROR(ROUND(AVERAGE(T337+M337*{7,8,9,10,11})/1.21,4),""))</f>
        <v/>
      </c>
      <c r="I337" s="76" t="n">
        <v>243.3500061035156</v>
      </c>
      <c r="J337" s="77" t="n">
        <v>232.964339441569</v>
      </c>
      <c r="K337" s="74" t="n">
        <v>224.6735008239746</v>
      </c>
      <c r="L337" s="78" t="n">
        <v>204.7445002746582</v>
      </c>
      <c r="M337" s="77" t="n">
        <v>7.69136170480424</v>
      </c>
      <c r="N337" s="53">
        <f>IF(M337="","",IFERROR(M337/I337,""))</f>
        <v/>
      </c>
      <c r="O337" s="50">
        <f>IF(A337="","",IFERROR((IF(G337="",I337,G337)-T337)/M337,""))</f>
        <v/>
      </c>
      <c r="P337" s="50">
        <f>IFERROR((I337/T337-1)/N337,"")</f>
        <v/>
      </c>
      <c r="Q337" s="46">
        <f>IF(OR(T337="",I337&lt;T337),"",IFERROR(R337/IF(G337="",I337,G337)-1,""))</f>
        <v/>
      </c>
      <c r="R337" s="48">
        <f>IF($M337="","",MAX(IF($G337="",$I337,$G337)*(1/1.1),IF($G337="",$I337,$G337)+(R$2*$M337)))</f>
        <v/>
      </c>
      <c r="S337" s="49">
        <f>IF($M337="","",MAX(IF($G337="",$I337,$G337)*(1/1.1),IF($G337="",$I337,$G337)+(S$2*$M337)))</f>
        <v/>
      </c>
      <c r="T337" s="82" t="n">
        <v>220.0184002685547</v>
      </c>
      <c r="U337" s="47">
        <f>IF(OR($M337="",$T337=""),"",$T337+(U$2*$M337))</f>
        <v/>
      </c>
      <c r="V337" s="48">
        <f>IF(OR($M337="",$T337=""),"",$T337+(V$2*$M337))</f>
        <v/>
      </c>
      <c r="W337" s="48">
        <f>IF(OR($M337="",$T337=""),"",$T337+(W$2*$M337))</f>
        <v/>
      </c>
      <c r="X337" s="49">
        <f>IF(OR($M337="",$T337=""),"",$T337+(X$2*$M337))</f>
        <v/>
      </c>
      <c r="Y337" s="47">
        <f>IF(OR($M337="",$T337=""),"",$T337+(Y$2*$M337))</f>
        <v/>
      </c>
      <c r="Z337" s="49">
        <f>IF(OR($M337="",$T337=""),"",$T337+(Z$2*$M337))</f>
        <v/>
      </c>
      <c r="AA337" s="51">
        <f>IF(OR($M337="",$T337=""),"",$T337+(AA$2*$M337))</f>
        <v/>
      </c>
      <c r="AB337" s="48">
        <f>IF(OR($M337="",$T337=""),"",$T337+(AB$2*$M337))</f>
        <v/>
      </c>
      <c r="AC337" s="48">
        <f>IF(OR($M337="",$T337=""),"",$T337+(AC$2*$M337))</f>
        <v/>
      </c>
      <c r="AD337" s="48">
        <f>IF(OR($M337="",$T337=""),"",$T337+(AD$2*$M337))</f>
        <v/>
      </c>
      <c r="AE337" s="49">
        <f>IF(OR($M337="",$T337=""),"",$T337+(AE$2*$M337))</f>
        <v/>
      </c>
      <c r="AF337" s="52">
        <f>IF(OR(T337="",I337&lt;T337),"",IFERROR(AVERAGE(T337+M337*{7,8,9,10,11})/IF(G337="",I337,G337)-1,""))</f>
        <v/>
      </c>
      <c r="AG337" s="55">
        <f>IF(OR(T337="",I337&lt;T337),"",IFERROR(AF337/-(R337/IF(G337="",I337,G337)-1),""))</f>
        <v/>
      </c>
      <c r="AH337" s="94" t="n">
        <v>1</v>
      </c>
      <c r="AI337" s="94" t="n">
        <v>70.31180925519016</v>
      </c>
      <c r="AJ337" s="94" t="n">
        <v>1</v>
      </c>
      <c r="AK337" s="94" t="inlineStr">
        <is>
          <t>None</t>
        </is>
      </c>
      <c r="AL337" s="84" t="inlineStr">
        <is>
          <t>Enpro Inc.</t>
        </is>
      </c>
      <c r="AM337" t="inlineStr">
        <is>
          <t>Industrials</t>
        </is>
      </c>
      <c r="AN337" t="inlineStr">
        <is>
          <t>Specialty Industrial Machinery</t>
        </is>
      </c>
      <c r="AO337" t="n">
        <v>77</v>
      </c>
    </row>
    <row r="338">
      <c r="A338" s="64" t="inlineStr">
        <is>
          <t>ACA</t>
        </is>
      </c>
      <c r="B338" s="65" t="n"/>
      <c r="C338" s="66" t="n"/>
      <c r="D338" s="67" t="n"/>
      <c r="E338" s="68" t="n"/>
      <c r="F338" s="47">
        <f>IF(A338="","",IF(MIN(H338,MAX(J338:K338))=0,"",MIN(H338,MAX(J338:K338))))</f>
        <v/>
      </c>
      <c r="G338" s="74" t="n"/>
      <c r="H338" s="49">
        <f>IF(M338="","",IFERROR(ROUND(AVERAGE(T338+M338*{7,8,9,10,11})/1.21,4),""))</f>
        <v/>
      </c>
      <c r="I338" s="76" t="n">
        <v>115.2600021362305</v>
      </c>
      <c r="J338" s="77" t="n">
        <v>111.9048382935295</v>
      </c>
      <c r="K338" s="74" t="n">
        <v>110.292000579834</v>
      </c>
      <c r="L338" s="78" t="n">
        <v>93.68404987335205</v>
      </c>
      <c r="M338" s="77" t="n">
        <v>2.678619796402283</v>
      </c>
      <c r="N338" s="53">
        <f>IF(M338="","",IFERROR(M338/I338,""))</f>
        <v/>
      </c>
      <c r="O338" s="50">
        <f>IF(A338="","",IFERROR((IF(G338="",I338,G338)-T338)/M338,""))</f>
        <v/>
      </c>
      <c r="P338" s="50">
        <f>IFERROR((I338/T338-1)/N338,"")</f>
        <v/>
      </c>
      <c r="Q338" s="46">
        <f>IF(OR(T338="",I338&lt;T338),"",IFERROR(R338/IF(G338="",I338,G338)-1,""))</f>
        <v/>
      </c>
      <c r="R338" s="48">
        <f>IF($M338="","",MAX(IF($G338="",$I338,$G338)*(1/1.1),IF($G338="",$I338,$G338)+(R$2*$M338)))</f>
        <v/>
      </c>
      <c r="S338" s="49">
        <f>IF($M338="","",MAX(IF($G338="",$I338,$G338)*(1/1.1),IF($G338="",$I338,$G338)+(S$2*$M338)))</f>
        <v/>
      </c>
      <c r="T338" s="82" t="n">
        <v>106.7714002990723</v>
      </c>
      <c r="U338" s="47">
        <f>IF(OR($M338="",$T338=""),"",$T338+(U$2*$M338))</f>
        <v/>
      </c>
      <c r="V338" s="48">
        <f>IF(OR($M338="",$T338=""),"",$T338+(V$2*$M338))</f>
        <v/>
      </c>
      <c r="W338" s="48">
        <f>IF(OR($M338="",$T338=""),"",$T338+(W$2*$M338))</f>
        <v/>
      </c>
      <c r="X338" s="49">
        <f>IF(OR($M338="",$T338=""),"",$T338+(X$2*$M338))</f>
        <v/>
      </c>
      <c r="Y338" s="47">
        <f>IF(OR($M338="",$T338=""),"",$T338+(Y$2*$M338))</f>
        <v/>
      </c>
      <c r="Z338" s="49">
        <f>IF(OR($M338="",$T338=""),"",$T338+(Z$2*$M338))</f>
        <v/>
      </c>
      <c r="AA338" s="51">
        <f>IF(OR($M338="",$T338=""),"",$T338+(AA$2*$M338))</f>
        <v/>
      </c>
      <c r="AB338" s="48">
        <f>IF(OR($M338="",$T338=""),"",$T338+(AB$2*$M338))</f>
        <v/>
      </c>
      <c r="AC338" s="48">
        <f>IF(OR($M338="",$T338=""),"",$T338+(AC$2*$M338))</f>
        <v/>
      </c>
      <c r="AD338" s="48">
        <f>IF(OR($M338="",$T338=""),"",$T338+(AD$2*$M338))</f>
        <v/>
      </c>
      <c r="AE338" s="49">
        <f>IF(OR($M338="",$T338=""),"",$T338+(AE$2*$M338))</f>
        <v/>
      </c>
      <c r="AF338" s="52">
        <f>IF(OR(T338="",I338&lt;T338),"",IFERROR(AVERAGE(T338+M338*{7,8,9,10,11})/IF(G338="",I338,G338)-1,""))</f>
        <v/>
      </c>
      <c r="AG338" s="55">
        <f>IF(OR(T338="",I338&lt;T338),"",IFERROR(AF338/-(R338/IF(G338="",I338,G338)-1),""))</f>
        <v/>
      </c>
      <c r="AH338" s="94" t="n">
        <v>1</v>
      </c>
      <c r="AI338" s="94" t="n">
        <v>68.45795290428781</v>
      </c>
      <c r="AJ338" s="94" t="n">
        <v>1</v>
      </c>
      <c r="AK338" s="94" t="inlineStr">
        <is>
          <t>OTT Up Trend</t>
        </is>
      </c>
      <c r="AL338" s="84" t="inlineStr">
        <is>
          <t>Arcosa, Inc.</t>
        </is>
      </c>
      <c r="AM338" t="inlineStr">
        <is>
          <t>Industrials</t>
        </is>
      </c>
      <c r="AN338" t="inlineStr">
        <is>
          <t>Engineering &amp; Construction</t>
        </is>
      </c>
      <c r="AO338" t="n">
        <v>77</v>
      </c>
    </row>
    <row r="339">
      <c r="A339" s="64" t="inlineStr">
        <is>
          <t>ALGM</t>
        </is>
      </c>
      <c r="B339" s="65" t="n"/>
      <c r="C339" s="66" t="n"/>
      <c r="D339" s="67" t="n"/>
      <c r="E339" s="68" t="n"/>
      <c r="F339" s="47">
        <f>IF(A339="","",IF(MIN(H339,MAX(J339:K339))=0,"",MIN(H339,MAX(J339:K339))))</f>
        <v/>
      </c>
      <c r="G339" s="74" t="n"/>
      <c r="H339" s="49">
        <f>IF(M339="","",IFERROR(ROUND(AVERAGE(T339+M339*{7,8,9,10,11})/1.21,4),""))</f>
        <v/>
      </c>
      <c r="I339" s="76" t="n">
        <v>33.34999847412109</v>
      </c>
      <c r="J339" s="77" t="n">
        <v>31.14023309369592</v>
      </c>
      <c r="K339" s="74" t="n">
        <v>29.01200008392334</v>
      </c>
      <c r="L339" s="78" t="n">
        <v>28.44434991836548</v>
      </c>
      <c r="M339" s="77" t="n">
        <v>1.432366163823756</v>
      </c>
      <c r="N339" s="53">
        <f>IF(M339="","",IFERROR(M339/I339,""))</f>
        <v/>
      </c>
      <c r="O339" s="50">
        <f>IF(A339="","",IFERROR((IF(G339="",I339,G339)-T339)/M339,""))</f>
        <v/>
      </c>
      <c r="P339" s="50">
        <f>IFERROR((I339/T339-1)/N339,"")</f>
        <v/>
      </c>
      <c r="Q339" s="46">
        <f>IF(OR(T339="",I339&lt;T339),"",IFERROR(R339/IF(G339="",I339,G339)-1,""))</f>
        <v/>
      </c>
      <c r="R339" s="48">
        <f>IF($M339="","",MAX(IF($G339="",$I339,$G339)*(1/1.1),IF($G339="",$I339,$G339)+(R$2*$M339)))</f>
        <v/>
      </c>
      <c r="S339" s="49">
        <f>IF($M339="","",MAX(IF($G339="",$I339,$G339)*(1/1.1),IF($G339="",$I339,$G339)+(S$2*$M339)))</f>
        <v/>
      </c>
      <c r="T339" s="82" t="n">
        <v>27.45939987182617</v>
      </c>
      <c r="U339" s="47">
        <f>IF(OR($M339="",$T339=""),"",$T339+(U$2*$M339))</f>
        <v/>
      </c>
      <c r="V339" s="48">
        <f>IF(OR($M339="",$T339=""),"",$T339+(V$2*$M339))</f>
        <v/>
      </c>
      <c r="W339" s="48">
        <f>IF(OR($M339="",$T339=""),"",$T339+(W$2*$M339))</f>
        <v/>
      </c>
      <c r="X339" s="49">
        <f>IF(OR($M339="",$T339=""),"",$T339+(X$2*$M339))</f>
        <v/>
      </c>
      <c r="Y339" s="47">
        <f>IF(OR($M339="",$T339=""),"",$T339+(Y$2*$M339))</f>
        <v/>
      </c>
      <c r="Z339" s="49">
        <f>IF(OR($M339="",$T339=""),"",$T339+(Z$2*$M339))</f>
        <v/>
      </c>
      <c r="AA339" s="51">
        <f>IF(OR($M339="",$T339=""),"",$T339+(AA$2*$M339))</f>
        <v/>
      </c>
      <c r="AB339" s="48">
        <f>IF(OR($M339="",$T339=""),"",$T339+(AB$2*$M339))</f>
        <v/>
      </c>
      <c r="AC339" s="48">
        <f>IF(OR($M339="",$T339=""),"",$T339+(AC$2*$M339))</f>
        <v/>
      </c>
      <c r="AD339" s="48">
        <f>IF(OR($M339="",$T339=""),"",$T339+(AD$2*$M339))</f>
        <v/>
      </c>
      <c r="AE339" s="49">
        <f>IF(OR($M339="",$T339=""),"",$T339+(AE$2*$M339))</f>
        <v/>
      </c>
      <c r="AF339" s="52">
        <f>IF(OR(T339="",I339&lt;T339),"",IFERROR(AVERAGE(T339+M339*{7,8,9,10,11})/IF(G339="",I339,G339)-1,""))</f>
        <v/>
      </c>
      <c r="AG339" s="55">
        <f>IF(OR(T339="",I339&lt;T339),"",IFERROR(AF339/-(R339/IF(G339="",I339,G339)-1),""))</f>
        <v/>
      </c>
      <c r="AH339" s="94" t="n">
        <v>1</v>
      </c>
      <c r="AI339" s="94" t="n">
        <v>105.1856318432131</v>
      </c>
      <c r="AJ339" s="94" t="n">
        <v>1</v>
      </c>
      <c r="AK339" s="94" t="inlineStr">
        <is>
          <t>OTT Up Trend</t>
        </is>
      </c>
      <c r="AL339" s="84" t="inlineStr">
        <is>
          <t>Allegro MicroSystems, Inc.</t>
        </is>
      </c>
      <c r="AM339" t="inlineStr">
        <is>
          <t>Technology</t>
        </is>
      </c>
      <c r="AN339" t="inlineStr">
        <is>
          <t>Semiconductors</t>
        </is>
      </c>
      <c r="AO339" t="n">
        <v>77</v>
      </c>
    </row>
    <row r="340">
      <c r="A340" s="64" t="inlineStr">
        <is>
          <t>FCFS</t>
        </is>
      </c>
      <c r="B340" s="65" t="n"/>
      <c r="C340" s="66" t="n"/>
      <c r="D340" s="67" t="n"/>
      <c r="E340" s="68" t="n"/>
      <c r="F340" s="47">
        <f>IF(A340="","",IF(MIN(H340,MAX(J340:K340))=0,"",MIN(H340,MAX(J340:K340))))</f>
        <v/>
      </c>
      <c r="G340" s="74" t="n"/>
      <c r="H340" s="49">
        <f>IF(M340="","",IFERROR(ROUND(AVERAGE(T340+M340*{7,8,9,10,11})/1.21,4),""))</f>
        <v/>
      </c>
      <c r="I340" s="76" t="n">
        <v>171.1000061035156</v>
      </c>
      <c r="J340" s="77" t="n">
        <v>166.5228243221554</v>
      </c>
      <c r="K340" s="74" t="n">
        <v>163.5845016479492</v>
      </c>
      <c r="L340" s="78" t="n">
        <v>143.3294004440308</v>
      </c>
      <c r="M340" s="77" t="n">
        <v>3.9213620305488</v>
      </c>
      <c r="N340" s="53">
        <f>IF(M340="","",IFERROR(M340/I340,""))</f>
        <v/>
      </c>
      <c r="O340" s="50">
        <f>IF(A340="","",IFERROR((IF(G340="",I340,G340)-T340)/M340,""))</f>
        <v/>
      </c>
      <c r="P340" s="50">
        <f>IFERROR((I340/T340-1)/N340,"")</f>
        <v/>
      </c>
      <c r="Q340" s="46">
        <f>IF(OR(T340="",I340&lt;T340),"",IFERROR(R340/IF(G340="",I340,G340)-1,""))</f>
        <v/>
      </c>
      <c r="R340" s="48">
        <f>IF($M340="","",MAX(IF($G340="",$I340,$G340)*(1/1.1),IF($G340="",$I340,$G340)+(R$2*$M340)))</f>
        <v/>
      </c>
      <c r="S340" s="49">
        <f>IF($M340="","",MAX(IF($G340="",$I340,$G340)*(1/1.1),IF($G340="",$I340,$G340)+(S$2*$M340)))</f>
        <v/>
      </c>
      <c r="T340" s="82" t="n">
        <v>160.6814010620117</v>
      </c>
      <c r="U340" s="47">
        <f>IF(OR($M340="",$T340=""),"",$T340+(U$2*$M340))</f>
        <v/>
      </c>
      <c r="V340" s="48">
        <f>IF(OR($M340="",$T340=""),"",$T340+(V$2*$M340))</f>
        <v/>
      </c>
      <c r="W340" s="48">
        <f>IF(OR($M340="",$T340=""),"",$T340+(W$2*$M340))</f>
        <v/>
      </c>
      <c r="X340" s="49">
        <f>IF(OR($M340="",$T340=""),"",$T340+(X$2*$M340))</f>
        <v/>
      </c>
      <c r="Y340" s="47">
        <f>IF(OR($M340="",$T340=""),"",$T340+(Y$2*$M340))</f>
        <v/>
      </c>
      <c r="Z340" s="49">
        <f>IF(OR($M340="",$T340=""),"",$T340+(Z$2*$M340))</f>
        <v/>
      </c>
      <c r="AA340" s="51">
        <f>IF(OR($M340="",$T340=""),"",$T340+(AA$2*$M340))</f>
        <v/>
      </c>
      <c r="AB340" s="48">
        <f>IF(OR($M340="",$T340=""),"",$T340+(AB$2*$M340))</f>
        <v/>
      </c>
      <c r="AC340" s="48">
        <f>IF(OR($M340="",$T340=""),"",$T340+(AC$2*$M340))</f>
        <v/>
      </c>
      <c r="AD340" s="48">
        <f>IF(OR($M340="",$T340=""),"",$T340+(AD$2*$M340))</f>
        <v/>
      </c>
      <c r="AE340" s="49">
        <f>IF(OR($M340="",$T340=""),"",$T340+(AE$2*$M340))</f>
        <v/>
      </c>
      <c r="AF340" s="52">
        <f>IF(OR(T340="",I340&lt;T340),"",IFERROR(AVERAGE(T340+M340*{7,8,9,10,11})/IF(G340="",I340,G340)-1,""))</f>
        <v/>
      </c>
      <c r="AG340" s="55">
        <f>IF(OR(T340="",I340&lt;T340),"",IFERROR(AF340/-(R340/IF(G340="",I340,G340)-1),""))</f>
        <v/>
      </c>
      <c r="AH340" s="94" t="n">
        <v>1</v>
      </c>
      <c r="AI340" s="94" t="n">
        <v>60.78177269605813</v>
      </c>
      <c r="AJ340" s="94" t="n">
        <v>1</v>
      </c>
      <c r="AK340" s="94" t="inlineStr">
        <is>
          <t>OTT Up Trend</t>
        </is>
      </c>
      <c r="AL340" s="84" t="inlineStr">
        <is>
          <t>FirstCash Holdings, Inc.</t>
        </is>
      </c>
      <c r="AM340" t="inlineStr">
        <is>
          <t>Financial Services</t>
        </is>
      </c>
      <c r="AN340" t="inlineStr">
        <is>
          <t>Credit Services</t>
        </is>
      </c>
      <c r="AO340" t="n">
        <v>77</v>
      </c>
    </row>
    <row r="341">
      <c r="A341" s="64" t="inlineStr">
        <is>
          <t>MMS</t>
        </is>
      </c>
      <c r="B341" s="65" t="n"/>
      <c r="C341" s="66" t="n"/>
      <c r="D341" s="67" t="n"/>
      <c r="E341" s="68" t="n"/>
      <c r="F341" s="47">
        <f>IF(A341="","",IF(MIN(H341,MAX(J341:K341))=0,"",MIN(H341,MAX(J341:K341))))</f>
        <v/>
      </c>
      <c r="G341" s="74" t="n"/>
      <c r="H341" s="49">
        <f>IF(M341="","",IFERROR(ROUND(AVERAGE(T341+M341*{7,8,9,10,11})/1.21,4),""))</f>
        <v/>
      </c>
      <c r="I341" s="76" t="n">
        <v>98.31999969482422</v>
      </c>
      <c r="J341" s="77" t="n">
        <v>94.99522049394056</v>
      </c>
      <c r="K341" s="74" t="n">
        <v>90.97200012207031</v>
      </c>
      <c r="L341" s="78" t="n">
        <v>79.88965003967286</v>
      </c>
      <c r="M341" s="77" t="n">
        <v>2.152405439031537</v>
      </c>
      <c r="N341" s="53">
        <f>IF(M341="","",IFERROR(M341/I341,""))</f>
        <v/>
      </c>
      <c r="O341" s="50">
        <f>IF(A341="","",IFERROR((IF(G341="",I341,G341)-T341)/M341,""))</f>
        <v/>
      </c>
      <c r="P341" s="50">
        <f>IFERROR((I341/T341-1)/N341,"")</f>
        <v/>
      </c>
      <c r="Q341" s="46">
        <f>IF(OR(T341="",I341&lt;T341),"",IFERROR(R341/IF(G341="",I341,G341)-1,""))</f>
        <v/>
      </c>
      <c r="R341" s="48">
        <f>IF($M341="","",MAX(IF($G341="",$I341,$G341)*(1/1.1),IF($G341="",$I341,$G341)+(R$2*$M341)))</f>
        <v/>
      </c>
      <c r="S341" s="49">
        <f>IF($M341="","",MAX(IF($G341="",$I341,$G341)*(1/1.1),IF($G341="",$I341,$G341)+(S$2*$M341)))</f>
        <v/>
      </c>
      <c r="T341" s="82" t="n">
        <v>86.69419998168945</v>
      </c>
      <c r="U341" s="47">
        <f>IF(OR($M341="",$T341=""),"",$T341+(U$2*$M341))</f>
        <v/>
      </c>
      <c r="V341" s="48">
        <f>IF(OR($M341="",$T341=""),"",$T341+(V$2*$M341))</f>
        <v/>
      </c>
      <c r="W341" s="48">
        <f>IF(OR($M341="",$T341=""),"",$T341+(W$2*$M341))</f>
        <v/>
      </c>
      <c r="X341" s="49">
        <f>IF(OR($M341="",$T341=""),"",$T341+(X$2*$M341))</f>
        <v/>
      </c>
      <c r="Y341" s="47">
        <f>IF(OR($M341="",$T341=""),"",$T341+(Y$2*$M341))</f>
        <v/>
      </c>
      <c r="Z341" s="49">
        <f>IF(OR($M341="",$T341=""),"",$T341+(Z$2*$M341))</f>
        <v/>
      </c>
      <c r="AA341" s="51">
        <f>IF(OR($M341="",$T341=""),"",$T341+(AA$2*$M341))</f>
        <v/>
      </c>
      <c r="AB341" s="48">
        <f>IF(OR($M341="",$T341=""),"",$T341+(AB$2*$M341))</f>
        <v/>
      </c>
      <c r="AC341" s="48">
        <f>IF(OR($M341="",$T341=""),"",$T341+(AC$2*$M341))</f>
        <v/>
      </c>
      <c r="AD341" s="48">
        <f>IF(OR($M341="",$T341=""),"",$T341+(AD$2*$M341))</f>
        <v/>
      </c>
      <c r="AE341" s="49">
        <f>IF(OR($M341="",$T341=""),"",$T341+(AE$2*$M341))</f>
        <v/>
      </c>
      <c r="AF341" s="52">
        <f>IF(OR(T341="",I341&lt;T341),"",IFERROR(AVERAGE(T341+M341*{7,8,9,10,11})/IF(G341="",I341,G341)-1,""))</f>
        <v/>
      </c>
      <c r="AG341" s="55">
        <f>IF(OR(T341="",I341&lt;T341),"",IFERROR(AF341/-(R341/IF(G341="",I341,G341)-1),""))</f>
        <v/>
      </c>
      <c r="AH341" s="94" t="n">
        <v>1</v>
      </c>
      <c r="AI341" s="94" t="n">
        <v>150.2606572031852</v>
      </c>
      <c r="AJ341" s="94" t="n">
        <v>1</v>
      </c>
      <c r="AK341" s="94" t="inlineStr">
        <is>
          <t>OTT Up Trend</t>
        </is>
      </c>
      <c r="AL341" s="84" t="inlineStr">
        <is>
          <t>Maximus, Inc.</t>
        </is>
      </c>
      <c r="AM341" t="inlineStr">
        <is>
          <t>Industrials</t>
        </is>
      </c>
      <c r="AN341" t="inlineStr">
        <is>
          <t>Specialty Business Services</t>
        </is>
      </c>
      <c r="AO341" t="n">
        <v>77</v>
      </c>
    </row>
    <row r="342">
      <c r="A342" s="64" t="inlineStr">
        <is>
          <t>MNST</t>
        </is>
      </c>
      <c r="B342" s="65" t="n"/>
      <c r="C342" s="66" t="n"/>
      <c r="D342" s="67" t="n"/>
      <c r="E342" s="68" t="n"/>
      <c r="F342" s="47">
        <f>IF(A342="","",IF(MIN(H342,MAX(J342:K342))=0,"",MIN(H342,MAX(J342:K342))))</f>
        <v/>
      </c>
      <c r="G342" s="74" t="n"/>
      <c r="H342" s="49">
        <f>IF(M342="","",IFERROR(ROUND(AVERAGE(T342+M342*{7,8,9,10,11})/1.21,4),""))</f>
        <v/>
      </c>
      <c r="I342" s="76" t="n">
        <v>78.16999816894531</v>
      </c>
      <c r="J342" s="77" t="n">
        <v>77.43939251496258</v>
      </c>
      <c r="K342" s="74" t="n">
        <v>77.0435001373291</v>
      </c>
      <c r="L342" s="78" t="n">
        <v>65.78680006027221</v>
      </c>
      <c r="M342" s="77" t="n">
        <v>1.320782699391754</v>
      </c>
      <c r="N342" s="53">
        <f>IF(M342="","",IFERROR(M342/I342,""))</f>
        <v/>
      </c>
      <c r="O342" s="50">
        <f>IF(A342="","",IFERROR((IF(G342="",I342,G342)-T342)/M342,""))</f>
        <v/>
      </c>
      <c r="P342" s="50">
        <f>IFERROR((I342/T342-1)/N342,"")</f>
        <v/>
      </c>
      <c r="Q342" s="46">
        <f>IF(OR(T342="",I342&lt;T342),"",IFERROR(R342/IF(G342="",I342,G342)-1,""))</f>
        <v/>
      </c>
      <c r="R342" s="48">
        <f>IF($M342="","",MAX(IF($G342="",$I342,$G342)*(1/1.1),IF($G342="",$I342,$G342)+(R$2*$M342)))</f>
        <v/>
      </c>
      <c r="S342" s="49">
        <f>IF($M342="","",MAX(IF($G342="",$I342,$G342)*(1/1.1),IF($G342="",$I342,$G342)+(S$2*$M342)))</f>
        <v/>
      </c>
      <c r="T342" s="82" t="n">
        <v>74.45979995727539</v>
      </c>
      <c r="U342" s="47">
        <f>IF(OR($M342="",$T342=""),"",$T342+(U$2*$M342))</f>
        <v/>
      </c>
      <c r="V342" s="48">
        <f>IF(OR($M342="",$T342=""),"",$T342+(V$2*$M342))</f>
        <v/>
      </c>
      <c r="W342" s="48">
        <f>IF(OR($M342="",$T342=""),"",$T342+(W$2*$M342))</f>
        <v/>
      </c>
      <c r="X342" s="49">
        <f>IF(OR($M342="",$T342=""),"",$T342+(X$2*$M342))</f>
        <v/>
      </c>
      <c r="Y342" s="47">
        <f>IF(OR($M342="",$T342=""),"",$T342+(Y$2*$M342))</f>
        <v/>
      </c>
      <c r="Z342" s="49">
        <f>IF(OR($M342="",$T342=""),"",$T342+(Z$2*$M342))</f>
        <v/>
      </c>
      <c r="AA342" s="51">
        <f>IF(OR($M342="",$T342=""),"",$T342+(AA$2*$M342))</f>
        <v/>
      </c>
      <c r="AB342" s="48">
        <f>IF(OR($M342="",$T342=""),"",$T342+(AB$2*$M342))</f>
        <v/>
      </c>
      <c r="AC342" s="48">
        <f>IF(OR($M342="",$T342=""),"",$T342+(AC$2*$M342))</f>
        <v/>
      </c>
      <c r="AD342" s="48">
        <f>IF(OR($M342="",$T342=""),"",$T342+(AD$2*$M342))</f>
        <v/>
      </c>
      <c r="AE342" s="49">
        <f>IF(OR($M342="",$T342=""),"",$T342+(AE$2*$M342))</f>
        <v/>
      </c>
      <c r="AF342" s="52">
        <f>IF(OR(T342="",I342&lt;T342),"",IFERROR(AVERAGE(T342+M342*{7,8,9,10,11})/IF(G342="",I342,G342)-1,""))</f>
        <v/>
      </c>
      <c r="AG342" s="55">
        <f>IF(OR(T342="",I342&lt;T342),"",IFERROR(AF342/-(R342/IF(G342="",I342,G342)-1),""))</f>
        <v/>
      </c>
      <c r="AH342" s="94" t="n">
        <v>1</v>
      </c>
      <c r="AI342" s="94" t="n">
        <v>74.10995023300858</v>
      </c>
      <c r="AJ342" s="94" t="n">
        <v>0</v>
      </c>
      <c r="AK342" s="94" t="inlineStr">
        <is>
          <t>OTT Up Trend</t>
        </is>
      </c>
      <c r="AL342" s="84" t="inlineStr">
        <is>
          <t>Monster Beverage Corporation</t>
        </is>
      </c>
      <c r="AM342" t="inlineStr">
        <is>
          <t>Consumer Defensive</t>
        </is>
      </c>
      <c r="AN342" t="inlineStr">
        <is>
          <t>Beverages - Non-Alcoholic</t>
        </is>
      </c>
      <c r="AO342" t="n">
        <v>77</v>
      </c>
    </row>
    <row r="343">
      <c r="A343" s="64" t="inlineStr">
        <is>
          <t>HUBG</t>
        </is>
      </c>
      <c r="B343" s="65" t="n"/>
      <c r="C343" s="66" t="n"/>
      <c r="D343" s="67" t="n"/>
      <c r="E343" s="68" t="n"/>
      <c r="F343" s="47">
        <f>IF(A343="","",IF(MIN(H343,MAX(J343:K343))=0,"",MIN(H343,MAX(J343:K343))))</f>
        <v/>
      </c>
      <c r="G343" s="74" t="n"/>
      <c r="H343" s="49">
        <f>IF(M343="","",IFERROR(ROUND(AVERAGE(T343+M343*{7,8,9,10,11})/1.21,4),""))</f>
        <v/>
      </c>
      <c r="I343" s="76" t="n">
        <v>46.86999893188477</v>
      </c>
      <c r="J343" s="77" t="n">
        <v>46.20272140478469</v>
      </c>
      <c r="K343" s="74" t="n">
        <v>44.90049991607666</v>
      </c>
      <c r="L343" s="78" t="n">
        <v>36.32939995765686</v>
      </c>
      <c r="M343" s="77" t="n">
        <v>1.049492769765267</v>
      </c>
      <c r="N343" s="53">
        <f>IF(M343="","",IFERROR(M343/I343,""))</f>
        <v/>
      </c>
      <c r="O343" s="50">
        <f>IF(A343="","",IFERROR((IF(G343="",I343,G343)-T343)/M343,""))</f>
        <v/>
      </c>
      <c r="P343" s="50">
        <f>IFERROR((I343/T343-1)/N343,"")</f>
        <v/>
      </c>
      <c r="Q343" s="46">
        <f>IF(OR(T343="",I343&lt;T343),"",IFERROR(R343/IF(G343="",I343,G343)-1,""))</f>
        <v/>
      </c>
      <c r="R343" s="48">
        <f>IF($M343="","",MAX(IF($G343="",$I343,$G343)*(1/1.1),IF($G343="",$I343,$G343)+(R$2*$M343)))</f>
        <v/>
      </c>
      <c r="S343" s="49">
        <f>IF($M343="","",MAX(IF($G343="",$I343,$G343)*(1/1.1),IF($G343="",$I343,$G343)+(S$2*$M343)))</f>
        <v/>
      </c>
      <c r="T343" s="82" t="n">
        <v>41.10299987792969</v>
      </c>
      <c r="U343" s="47">
        <f>IF(OR($M343="",$T343=""),"",$T343+(U$2*$M343))</f>
        <v/>
      </c>
      <c r="V343" s="48">
        <f>IF(OR($M343="",$T343=""),"",$T343+(V$2*$M343))</f>
        <v/>
      </c>
      <c r="W343" s="48">
        <f>IF(OR($M343="",$T343=""),"",$T343+(W$2*$M343))</f>
        <v/>
      </c>
      <c r="X343" s="49">
        <f>IF(OR($M343="",$T343=""),"",$T343+(X$2*$M343))</f>
        <v/>
      </c>
      <c r="Y343" s="47">
        <f>IF(OR($M343="",$T343=""),"",$T343+(Y$2*$M343))</f>
        <v/>
      </c>
      <c r="Z343" s="49">
        <f>IF(OR($M343="",$T343=""),"",$T343+(Z$2*$M343))</f>
        <v/>
      </c>
      <c r="AA343" s="51">
        <f>IF(OR($M343="",$T343=""),"",$T343+(AA$2*$M343))</f>
        <v/>
      </c>
      <c r="AB343" s="48">
        <f>IF(OR($M343="",$T343=""),"",$T343+(AB$2*$M343))</f>
        <v/>
      </c>
      <c r="AC343" s="48">
        <f>IF(OR($M343="",$T343=""),"",$T343+(AC$2*$M343))</f>
        <v/>
      </c>
      <c r="AD343" s="48">
        <f>IF(OR($M343="",$T343=""),"",$T343+(AD$2*$M343))</f>
        <v/>
      </c>
      <c r="AE343" s="49">
        <f>IF(OR($M343="",$T343=""),"",$T343+(AE$2*$M343))</f>
        <v/>
      </c>
      <c r="AF343" s="52">
        <f>IF(OR(T343="",I343&lt;T343),"",IFERROR(AVERAGE(T343+M343*{7,8,9,10,11})/IF(G343="",I343,G343)-1,""))</f>
        <v/>
      </c>
      <c r="AG343" s="55">
        <f>IF(OR(T343="",I343&lt;T343),"",IFERROR(AF343/-(R343/IF(G343="",I343,G343)-1),""))</f>
        <v/>
      </c>
      <c r="AH343" s="94" t="n">
        <v>1</v>
      </c>
      <c r="AI343" s="94" t="n">
        <v>152.6243370381873</v>
      </c>
      <c r="AJ343" s="94" t="n">
        <v>1</v>
      </c>
      <c r="AK343" s="94" t="inlineStr">
        <is>
          <t>OTT Up Trend</t>
        </is>
      </c>
      <c r="AL343" s="84" t="inlineStr">
        <is>
          <t>Hub Group, Inc.</t>
        </is>
      </c>
      <c r="AM343" t="inlineStr">
        <is>
          <t>Industrials</t>
        </is>
      </c>
      <c r="AN343" t="inlineStr">
        <is>
          <t>Integrated Freight &amp; Logistics</t>
        </is>
      </c>
      <c r="AO343" t="n">
        <v>77</v>
      </c>
    </row>
    <row r="344">
      <c r="A344" s="64" t="inlineStr">
        <is>
          <t>DAL</t>
        </is>
      </c>
      <c r="B344" s="65" t="n"/>
      <c r="C344" s="66" t="n"/>
      <c r="D344" s="67" t="n"/>
      <c r="E344" s="68" t="n"/>
      <c r="F344" s="47">
        <f>IF(A344="","",IF(MIN(H344,MAX(J344:K344))=0,"",MIN(H344,MAX(J344:K344))))</f>
        <v/>
      </c>
      <c r="G344" s="74" t="n"/>
      <c r="H344" s="49">
        <f>IF(M344="","",IFERROR(ROUND(AVERAGE(T344+M344*{7,8,9,10,11})/1.21,4),""))</f>
        <v/>
      </c>
      <c r="I344" s="76" t="n">
        <v>70.43000030517578</v>
      </c>
      <c r="J344" s="77" t="n">
        <v>70.51215391129141</v>
      </c>
      <c r="K344" s="74" t="n">
        <v>70.64099922180176</v>
      </c>
      <c r="L344" s="78" t="n">
        <v>56.17159994125366</v>
      </c>
      <c r="M344" s="77" t="n">
        <v>2.036854020073622</v>
      </c>
      <c r="N344" s="53">
        <f>IF(M344="","",IFERROR(M344/I344,""))</f>
        <v/>
      </c>
      <c r="O344" s="50">
        <f>IF(A344="","",IFERROR((IF(G344="",I344,G344)-T344)/M344,""))</f>
        <v/>
      </c>
      <c r="P344" s="50">
        <f>IFERROR((I344/T344-1)/N344,"")</f>
        <v/>
      </c>
      <c r="Q344" s="46">
        <f>IF(OR(T344="",I344&lt;T344),"",IFERROR(R344/IF(G344="",I344,G344)-1,""))</f>
        <v/>
      </c>
      <c r="R344" s="48">
        <f>IF($M344="","",MAX(IF($G344="",$I344,$G344)*(1/1.1),IF($G344="",$I344,$G344)+(R$2*$M344)))</f>
        <v/>
      </c>
      <c r="S344" s="49">
        <f>IF($M344="","",MAX(IF($G344="",$I344,$G344)*(1/1.1),IF($G344="",$I344,$G344)+(S$2*$M344)))</f>
        <v/>
      </c>
      <c r="T344" s="82" t="n">
        <v>66.13639953613281</v>
      </c>
      <c r="U344" s="47">
        <f>IF(OR($M344="",$T344=""),"",$T344+(U$2*$M344))</f>
        <v/>
      </c>
      <c r="V344" s="48">
        <f>IF(OR($M344="",$T344=""),"",$T344+(V$2*$M344))</f>
        <v/>
      </c>
      <c r="W344" s="48">
        <f>IF(OR($M344="",$T344=""),"",$T344+(W$2*$M344))</f>
        <v/>
      </c>
      <c r="X344" s="49">
        <f>IF(OR($M344="",$T344=""),"",$T344+(X$2*$M344))</f>
        <v/>
      </c>
      <c r="Y344" s="47">
        <f>IF(OR($M344="",$T344=""),"",$T344+(Y$2*$M344))</f>
        <v/>
      </c>
      <c r="Z344" s="49">
        <f>IF(OR($M344="",$T344=""),"",$T344+(Z$2*$M344))</f>
        <v/>
      </c>
      <c r="AA344" s="51">
        <f>IF(OR($M344="",$T344=""),"",$T344+(AA$2*$M344))</f>
        <v/>
      </c>
      <c r="AB344" s="48">
        <f>IF(OR($M344="",$T344=""),"",$T344+(AB$2*$M344))</f>
        <v/>
      </c>
      <c r="AC344" s="48">
        <f>IF(OR($M344="",$T344=""),"",$T344+(AC$2*$M344))</f>
        <v/>
      </c>
      <c r="AD344" s="48">
        <f>IF(OR($M344="",$T344=""),"",$T344+(AD$2*$M344))</f>
        <v/>
      </c>
      <c r="AE344" s="49">
        <f>IF(OR($M344="",$T344=""),"",$T344+(AE$2*$M344))</f>
        <v/>
      </c>
      <c r="AF344" s="52">
        <f>IF(OR(T344="",I344&lt;T344),"",IFERROR(AVERAGE(T344+M344*{7,8,9,10,11})/IF(G344="",I344,G344)-1,""))</f>
        <v/>
      </c>
      <c r="AG344" s="55">
        <f>IF(OR(T344="",I344&lt;T344),"",IFERROR(AF344/-(R344/IF(G344="",I344,G344)-1),""))</f>
        <v/>
      </c>
      <c r="AH344" s="94" t="n">
        <v>1</v>
      </c>
      <c r="AI344" s="94" t="n">
        <v>49.08553970661543</v>
      </c>
      <c r="AJ344" s="94" t="n">
        <v>0</v>
      </c>
      <c r="AK344" s="94" t="inlineStr">
        <is>
          <t>OTT Up Trend</t>
        </is>
      </c>
      <c r="AL344" s="84" t="inlineStr">
        <is>
          <t>Delta Air Lines, Inc.</t>
        </is>
      </c>
      <c r="AM344" t="inlineStr">
        <is>
          <t>Industrials</t>
        </is>
      </c>
      <c r="AN344" t="inlineStr">
        <is>
          <t>Airlines</t>
        </is>
      </c>
      <c r="AO344" t="n">
        <v>77</v>
      </c>
    </row>
    <row r="345">
      <c r="A345" s="64" t="inlineStr">
        <is>
          <t>SUPN</t>
        </is>
      </c>
      <c r="B345" s="65" t="n"/>
      <c r="C345" s="66" t="n"/>
      <c r="D345" s="67" t="n"/>
      <c r="E345" s="68" t="n"/>
      <c r="F345" s="47">
        <f>IF(A345="","",IF(MIN(H345,MAX(J345:K345))=0,"",MIN(H345,MAX(J345:K345))))</f>
        <v/>
      </c>
      <c r="G345" s="74" t="n"/>
      <c r="H345" s="49">
        <f>IF(M345="","",IFERROR(ROUND(AVERAGE(T345+M345*{7,8,9,10,11})/1.21,4),""))</f>
        <v/>
      </c>
      <c r="I345" s="76" t="n">
        <v>50</v>
      </c>
      <c r="J345" s="77" t="n">
        <v>50.66280621148605</v>
      </c>
      <c r="K345" s="74" t="n">
        <v>50.73349990844726</v>
      </c>
      <c r="L345" s="78" t="n">
        <v>41.00494996070861</v>
      </c>
      <c r="M345" s="77" t="n">
        <v>1.593800346135758</v>
      </c>
      <c r="N345" s="53">
        <f>IF(M345="","",IFERROR(M345/I345,""))</f>
        <v/>
      </c>
      <c r="O345" s="50">
        <f>IF(A345="","",IFERROR((IF(G345="",I345,G345)-T345)/M345,""))</f>
        <v/>
      </c>
      <c r="P345" s="50">
        <f>IFERROR((I345/T345-1)/N345,"")</f>
        <v/>
      </c>
      <c r="Q345" s="46">
        <f>IF(OR(T345="",I345&lt;T345),"",IFERROR(R345/IF(G345="",I345,G345)-1,""))</f>
        <v/>
      </c>
      <c r="R345" s="48">
        <f>IF($M345="","",MAX(IF($G345="",$I345,$G345)*(1/1.1),IF($G345="",$I345,$G345)+(R$2*$M345)))</f>
        <v/>
      </c>
      <c r="S345" s="49">
        <f>IF($M345="","",MAX(IF($G345="",$I345,$G345)*(1/1.1),IF($G345="",$I345,$G345)+(S$2*$M345)))</f>
        <v/>
      </c>
      <c r="T345" s="82" t="n">
        <v>47.81279991149902</v>
      </c>
      <c r="U345" s="47">
        <f>IF(OR($M345="",$T345=""),"",$T345+(U$2*$M345))</f>
        <v/>
      </c>
      <c r="V345" s="48">
        <f>IF(OR($M345="",$T345=""),"",$T345+(V$2*$M345))</f>
        <v/>
      </c>
      <c r="W345" s="48">
        <f>IF(OR($M345="",$T345=""),"",$T345+(W$2*$M345))</f>
        <v/>
      </c>
      <c r="X345" s="49">
        <f>IF(OR($M345="",$T345=""),"",$T345+(X$2*$M345))</f>
        <v/>
      </c>
      <c r="Y345" s="47">
        <f>IF(OR($M345="",$T345=""),"",$T345+(Y$2*$M345))</f>
        <v/>
      </c>
      <c r="Z345" s="49">
        <f>IF(OR($M345="",$T345=""),"",$T345+(Z$2*$M345))</f>
        <v/>
      </c>
      <c r="AA345" s="51">
        <f>IF(OR($M345="",$T345=""),"",$T345+(AA$2*$M345))</f>
        <v/>
      </c>
      <c r="AB345" s="48">
        <f>IF(OR($M345="",$T345=""),"",$T345+(AB$2*$M345))</f>
        <v/>
      </c>
      <c r="AC345" s="48">
        <f>IF(OR($M345="",$T345=""),"",$T345+(AC$2*$M345))</f>
        <v/>
      </c>
      <c r="AD345" s="48">
        <f>IF(OR($M345="",$T345=""),"",$T345+(AD$2*$M345))</f>
        <v/>
      </c>
      <c r="AE345" s="49">
        <f>IF(OR($M345="",$T345=""),"",$T345+(AE$2*$M345))</f>
        <v/>
      </c>
      <c r="AF345" s="52">
        <f>IF(OR(T345="",I345&lt;T345),"",IFERROR(AVERAGE(T345+M345*{7,8,9,10,11})/IF(G345="",I345,G345)-1,""))</f>
        <v/>
      </c>
      <c r="AG345" s="55">
        <f>IF(OR(T345="",I345&lt;T345),"",IFERROR(AF345/-(R345/IF(G345="",I345,G345)-1),""))</f>
        <v/>
      </c>
      <c r="AH345" s="94" t="n">
        <v>1</v>
      </c>
      <c r="AI345" s="94" t="n">
        <v>44.07151961246976</v>
      </c>
      <c r="AJ345" s="94" t="n">
        <v>0</v>
      </c>
      <c r="AK345" s="94" t="inlineStr">
        <is>
          <t>OTT Up Trend</t>
        </is>
      </c>
      <c r="AL345" s="84" t="inlineStr">
        <is>
          <t>Supernus Pharmaceuticals, Inc.</t>
        </is>
      </c>
      <c r="AM345" t="inlineStr">
        <is>
          <t>Healthcare</t>
        </is>
      </c>
      <c r="AN345" t="inlineStr">
        <is>
          <t>Drug Manufacturers - Specialty &amp; Generic</t>
        </is>
      </c>
      <c r="AO345" t="n">
        <v>77</v>
      </c>
    </row>
    <row r="346">
      <c r="A346" s="64" t="inlineStr">
        <is>
          <t>GAP</t>
        </is>
      </c>
      <c r="B346" s="65" t="n"/>
      <c r="C346" s="66" t="n"/>
      <c r="D346" s="67" t="n"/>
      <c r="E346" s="68" t="n"/>
      <c r="F346" s="47">
        <f>IF(A346="","",IF(MIN(H346,MAX(J346:K346))=0,"",MIN(H346,MAX(J346:K346))))</f>
        <v/>
      </c>
      <c r="G346" s="74" t="n"/>
      <c r="H346" s="49">
        <f>IF(M346="","",IFERROR(ROUND(AVERAGE(T346+M346*{7,8,9,10,11})/1.21,4),""))</f>
        <v/>
      </c>
      <c r="I346" s="76" t="n">
        <v>26.72999954223633</v>
      </c>
      <c r="J346" s="77" t="n">
        <v>27.036036084934</v>
      </c>
      <c r="K346" s="74" t="n">
        <v>26.79600009918213</v>
      </c>
      <c r="L346" s="78" t="n">
        <v>22.97729997634888</v>
      </c>
      <c r="M346" s="77" t="n">
        <v>1.020049232331007</v>
      </c>
      <c r="N346" s="53">
        <f>IF(M346="","",IFERROR(M346/I346,""))</f>
        <v/>
      </c>
      <c r="O346" s="50">
        <f>IF(A346="","",IFERROR((IF(G346="",I346,G346)-T346)/M346,""))</f>
        <v/>
      </c>
      <c r="P346" s="50">
        <f>IFERROR((I346/T346-1)/N346,"")</f>
        <v/>
      </c>
      <c r="Q346" s="46">
        <f>IF(OR(T346="",I346&lt;T346),"",IFERROR(R346/IF(G346="",I346,G346)-1,""))</f>
        <v/>
      </c>
      <c r="R346" s="48">
        <f>IF($M346="","",MAX(IF($G346="",$I346,$G346)*(1/1.1),IF($G346="",$I346,$G346)+(R$2*$M346)))</f>
        <v/>
      </c>
      <c r="S346" s="49">
        <f>IF($M346="","",MAX(IF($G346="",$I346,$G346)*(1/1.1),IF($G346="",$I346,$G346)+(S$2*$M346)))</f>
        <v/>
      </c>
      <c r="T346" s="82" t="n">
        <v>25.97820007324219</v>
      </c>
      <c r="U346" s="47">
        <f>IF(OR($M346="",$T346=""),"",$T346+(U$2*$M346))</f>
        <v/>
      </c>
      <c r="V346" s="48">
        <f>IF(OR($M346="",$T346=""),"",$T346+(V$2*$M346))</f>
        <v/>
      </c>
      <c r="W346" s="48">
        <f>IF(OR($M346="",$T346=""),"",$T346+(W$2*$M346))</f>
        <v/>
      </c>
      <c r="X346" s="49">
        <f>IF(OR($M346="",$T346=""),"",$T346+(X$2*$M346))</f>
        <v/>
      </c>
      <c r="Y346" s="47">
        <f>IF(OR($M346="",$T346=""),"",$T346+(Y$2*$M346))</f>
        <v/>
      </c>
      <c r="Z346" s="49">
        <f>IF(OR($M346="",$T346=""),"",$T346+(Z$2*$M346))</f>
        <v/>
      </c>
      <c r="AA346" s="51">
        <f>IF(OR($M346="",$T346=""),"",$T346+(AA$2*$M346))</f>
        <v/>
      </c>
      <c r="AB346" s="48">
        <f>IF(OR($M346="",$T346=""),"",$T346+(AB$2*$M346))</f>
        <v/>
      </c>
      <c r="AC346" s="48">
        <f>IF(OR($M346="",$T346=""),"",$T346+(AC$2*$M346))</f>
        <v/>
      </c>
      <c r="AD346" s="48">
        <f>IF(OR($M346="",$T346=""),"",$T346+(AD$2*$M346))</f>
        <v/>
      </c>
      <c r="AE346" s="49">
        <f>IF(OR($M346="",$T346=""),"",$T346+(AE$2*$M346))</f>
        <v/>
      </c>
      <c r="AF346" s="52">
        <f>IF(OR(T346="",I346&lt;T346),"",IFERROR(AVERAGE(T346+M346*{7,8,9,10,11})/IF(G346="",I346,G346)-1,""))</f>
        <v/>
      </c>
      <c r="AG346" s="55">
        <f>IF(OR(T346="",I346&lt;T346),"",IFERROR(AF346/-(R346/IF(G346="",I346,G346)-1),""))</f>
        <v/>
      </c>
      <c r="AH346" s="94" t="n">
        <v>1</v>
      </c>
      <c r="AI346" s="94" t="n">
        <v>34.63096288444115</v>
      </c>
      <c r="AJ346" s="94" t="n">
        <v>0</v>
      </c>
      <c r="AK346" s="94" t="inlineStr">
        <is>
          <t>OTT Up Trend</t>
        </is>
      </c>
      <c r="AL346" s="84" t="inlineStr">
        <is>
          <t>Gap, Inc. (The)</t>
        </is>
      </c>
      <c r="AM346" t="inlineStr">
        <is>
          <t>Consumer Cyclical</t>
        </is>
      </c>
      <c r="AN346" t="inlineStr">
        <is>
          <t>Apparel Retail</t>
        </is>
      </c>
      <c r="AO346" t="n">
        <v>77</v>
      </c>
    </row>
    <row r="347">
      <c r="A347" s="64" t="inlineStr">
        <is>
          <t>SIG</t>
        </is>
      </c>
      <c r="B347" s="65" t="n"/>
      <c r="C347" s="66" t="n"/>
      <c r="D347" s="67" t="n"/>
      <c r="E347" s="68" t="n"/>
      <c r="F347" s="47">
        <f>IF(A347="","",IF(MIN(H347,MAX(J347:K347))=0,"",MIN(H347,MAX(J347:K347))))</f>
        <v/>
      </c>
      <c r="G347" s="74" t="n"/>
      <c r="H347" s="49">
        <f>IF(M347="","",IFERROR(ROUND(AVERAGE(T347+M347*{7,8,9,10,11})/1.21,4),""))</f>
        <v/>
      </c>
      <c r="I347" s="76" t="n">
        <v>95.16000366210938</v>
      </c>
      <c r="J347" s="77" t="n">
        <v>90.0021401962611</v>
      </c>
      <c r="K347" s="74" t="n">
        <v>87.31250076293945</v>
      </c>
      <c r="L347" s="78" t="n">
        <v>83.06085025787354</v>
      </c>
      <c r="M347" s="77" t="n">
        <v>3.851840245578807</v>
      </c>
      <c r="N347" s="53">
        <f>IF(M347="","",IFERROR(M347/I347,""))</f>
        <v/>
      </c>
      <c r="O347" s="50">
        <f>IF(A347="","",IFERROR((IF(G347="",I347,G347)-T347)/M347,""))</f>
        <v/>
      </c>
      <c r="P347" s="50">
        <f>IFERROR((I347/T347-1)/N347,"")</f>
        <v/>
      </c>
      <c r="Q347" s="46">
        <f>IF(OR(T347="",I347&lt;T347),"",IFERROR(R347/IF(G347="",I347,G347)-1,""))</f>
        <v/>
      </c>
      <c r="R347" s="48">
        <f>IF($M347="","",MAX(IF($G347="",$I347,$G347)*(1/1.1),IF($G347="",$I347,$G347)+(R$2*$M347)))</f>
        <v/>
      </c>
      <c r="S347" s="49">
        <f>IF($M347="","",MAX(IF($G347="",$I347,$G347)*(1/1.1),IF($G347="",$I347,$G347)+(S$2*$M347)))</f>
        <v/>
      </c>
      <c r="T347" s="82" t="n">
        <v>91.4068000793457</v>
      </c>
      <c r="U347" s="47">
        <f>IF(OR($M347="",$T347=""),"",$T347+(U$2*$M347))</f>
        <v/>
      </c>
      <c r="V347" s="48">
        <f>IF(OR($M347="",$T347=""),"",$T347+(V$2*$M347))</f>
        <v/>
      </c>
      <c r="W347" s="48">
        <f>IF(OR($M347="",$T347=""),"",$T347+(W$2*$M347))</f>
        <v/>
      </c>
      <c r="X347" s="49">
        <f>IF(OR($M347="",$T347=""),"",$T347+(X$2*$M347))</f>
        <v/>
      </c>
      <c r="Y347" s="47">
        <f>IF(OR($M347="",$T347=""),"",$T347+(Y$2*$M347))</f>
        <v/>
      </c>
      <c r="Z347" s="49">
        <f>IF(OR($M347="",$T347=""),"",$T347+(Z$2*$M347))</f>
        <v/>
      </c>
      <c r="AA347" s="51">
        <f>IF(OR($M347="",$T347=""),"",$T347+(AA$2*$M347))</f>
        <v/>
      </c>
      <c r="AB347" s="48">
        <f>IF(OR($M347="",$T347=""),"",$T347+(AB$2*$M347))</f>
        <v/>
      </c>
      <c r="AC347" s="48">
        <f>IF(OR($M347="",$T347=""),"",$T347+(AC$2*$M347))</f>
        <v/>
      </c>
      <c r="AD347" s="48">
        <f>IF(OR($M347="",$T347=""),"",$T347+(AD$2*$M347))</f>
        <v/>
      </c>
      <c r="AE347" s="49">
        <f>IF(OR($M347="",$T347=""),"",$T347+(AE$2*$M347))</f>
        <v/>
      </c>
      <c r="AF347" s="52">
        <f>IF(OR(T347="",I347&lt;T347),"",IFERROR(AVERAGE(T347+M347*{7,8,9,10,11})/IF(G347="",I347,G347)-1,""))</f>
        <v/>
      </c>
      <c r="AG347" s="55">
        <f>IF(OR(T347="",I347&lt;T347),"",IFERROR(AF347/-(R347/IF(G347="",I347,G347)-1),""))</f>
        <v/>
      </c>
      <c r="AH347" s="94" t="n">
        <v>1</v>
      </c>
      <c r="AI347" s="94" t="n">
        <v>13.02587317304292</v>
      </c>
      <c r="AJ347" s="94" t="n">
        <v>1</v>
      </c>
      <c r="AK347" s="94" t="inlineStr">
        <is>
          <t>OTT Down Trend</t>
        </is>
      </c>
      <c r="AL347" s="84" t="inlineStr">
        <is>
          <t>Signet Jewelers Limited</t>
        </is>
      </c>
      <c r="AM347" t="inlineStr">
        <is>
          <t>Consumer Cyclical</t>
        </is>
      </c>
      <c r="AN347" t="inlineStr">
        <is>
          <t>Luxury Goods</t>
        </is>
      </c>
      <c r="AO347" t="n">
        <v>77</v>
      </c>
    </row>
    <row r="348">
      <c r="A348" s="64" t="inlineStr">
        <is>
          <t>NATL</t>
        </is>
      </c>
      <c r="B348" s="65" t="n"/>
      <c r="C348" s="66" t="n"/>
      <c r="D348" s="67" t="n"/>
      <c r="E348" s="68" t="n"/>
      <c r="F348" s="47">
        <f>IF(A348="","",IF(MIN(H348,MAX(J348:K348))=0,"",MIN(H348,MAX(J348:K348))))</f>
        <v/>
      </c>
      <c r="G348" s="74" t="n"/>
      <c r="H348" s="49">
        <f>IF(M348="","",IFERROR(ROUND(AVERAGE(T348+M348*{7,8,9,10,11})/1.21,4),""))</f>
        <v/>
      </c>
      <c r="I348" s="76" t="n">
        <v>39.93000030517578</v>
      </c>
      <c r="J348" s="77" t="n">
        <v>39.67154914834819</v>
      </c>
      <c r="K348" s="74" t="n">
        <v>39.07699985504151</v>
      </c>
      <c r="L348" s="78" t="n">
        <v>33.53380010604858</v>
      </c>
      <c r="M348" s="77" t="n">
        <v>1.06629342303742</v>
      </c>
      <c r="N348" s="53">
        <f>IF(M348="","",IFERROR(M348/I348,""))</f>
        <v/>
      </c>
      <c r="O348" s="50">
        <f>IF(A348="","",IFERROR((IF(G348="",I348,G348)-T348)/M348,""))</f>
        <v/>
      </c>
      <c r="P348" s="50">
        <f>IFERROR((I348/T348-1)/N348,"")</f>
        <v/>
      </c>
      <c r="Q348" s="46">
        <f>IF(OR(T348="",I348&lt;T348),"",IFERROR(R348/IF(G348="",I348,G348)-1,""))</f>
        <v/>
      </c>
      <c r="R348" s="48">
        <f>IF($M348="","",MAX(IF($G348="",$I348,$G348)*(1/1.1),IF($G348="",$I348,$G348)+(R$2*$M348)))</f>
        <v/>
      </c>
      <c r="S348" s="49">
        <f>IF($M348="","",MAX(IF($G348="",$I348,$G348)*(1/1.1),IF($G348="",$I348,$G348)+(S$2*$M348)))</f>
        <v/>
      </c>
      <c r="T348" s="82" t="n">
        <v>37.62039985656738</v>
      </c>
      <c r="U348" s="47">
        <f>IF(OR($M348="",$T348=""),"",$T348+(U$2*$M348))</f>
        <v/>
      </c>
      <c r="V348" s="48">
        <f>IF(OR($M348="",$T348=""),"",$T348+(V$2*$M348))</f>
        <v/>
      </c>
      <c r="W348" s="48">
        <f>IF(OR($M348="",$T348=""),"",$T348+(W$2*$M348))</f>
        <v/>
      </c>
      <c r="X348" s="49">
        <f>IF(OR($M348="",$T348=""),"",$T348+(X$2*$M348))</f>
        <v/>
      </c>
      <c r="Y348" s="47">
        <f>IF(OR($M348="",$T348=""),"",$T348+(Y$2*$M348))</f>
        <v/>
      </c>
      <c r="Z348" s="49">
        <f>IF(OR($M348="",$T348=""),"",$T348+(Z$2*$M348))</f>
        <v/>
      </c>
      <c r="AA348" s="51">
        <f>IF(OR($M348="",$T348=""),"",$T348+(AA$2*$M348))</f>
        <v/>
      </c>
      <c r="AB348" s="48">
        <f>IF(OR($M348="",$T348=""),"",$T348+(AB$2*$M348))</f>
        <v/>
      </c>
      <c r="AC348" s="48">
        <f>IF(OR($M348="",$T348=""),"",$T348+(AC$2*$M348))</f>
        <v/>
      </c>
      <c r="AD348" s="48">
        <f>IF(OR($M348="",$T348=""),"",$T348+(AD$2*$M348))</f>
        <v/>
      </c>
      <c r="AE348" s="49">
        <f>IF(OR($M348="",$T348=""),"",$T348+(AE$2*$M348))</f>
        <v/>
      </c>
      <c r="AF348" s="52">
        <f>IF(OR(T348="",I348&lt;T348),"",IFERROR(AVERAGE(T348+M348*{7,8,9,10,11})/IF(G348="",I348,G348)-1,""))</f>
        <v/>
      </c>
      <c r="AG348" s="55">
        <f>IF(OR(T348="",I348&lt;T348),"",IFERROR(AF348/-(R348/IF(G348="",I348,G348)-1),""))</f>
        <v/>
      </c>
      <c r="AH348" s="94" t="n">
        <v>1</v>
      </c>
      <c r="AI348" s="94" t="n">
        <v>59.09105614055462</v>
      </c>
      <c r="AJ348" s="94" t="n">
        <v>1</v>
      </c>
      <c r="AK348" s="94" t="inlineStr">
        <is>
          <t>None</t>
        </is>
      </c>
      <c r="AL348" s="84" t="inlineStr">
        <is>
          <t>NCR Atleos Corporation</t>
        </is>
      </c>
      <c r="AM348" t="inlineStr">
        <is>
          <t>Technology</t>
        </is>
      </c>
      <c r="AN348" t="inlineStr">
        <is>
          <t>Software - Application</t>
        </is>
      </c>
      <c r="AO348" t="n">
        <v>77</v>
      </c>
    </row>
    <row r="349">
      <c r="A349" s="64" t="inlineStr">
        <is>
          <t>TLN</t>
        </is>
      </c>
      <c r="B349" s="65" t="n"/>
      <c r="C349" s="66" t="n"/>
      <c r="D349" s="67" t="n"/>
      <c r="E349" s="68" t="n"/>
      <c r="F349" s="47">
        <f>IF(A349="","",IF(MIN(H349,MAX(J349:K349))=0,"",MIN(H349,MAX(J349:K349))))</f>
        <v/>
      </c>
      <c r="G349" s="74" t="n"/>
      <c r="H349" s="49">
        <f>IF(M349="","",IFERROR(ROUND(AVERAGE(T349+M349*{7,8,9,10,11})/1.21,4),""))</f>
        <v/>
      </c>
      <c r="I349" s="76" t="n">
        <v>371.6600036621094</v>
      </c>
      <c r="J349" s="77" t="n">
        <v>381.2218348956352</v>
      </c>
      <c r="K349" s="74" t="n">
        <v>380.192497253418</v>
      </c>
      <c r="L349" s="78" t="n">
        <v>333.4996743011475</v>
      </c>
      <c r="M349" s="77" t="n">
        <v>21.66690613605528</v>
      </c>
      <c r="N349" s="53">
        <f>IF(M349="","",IFERROR(M349/I349,""))</f>
        <v/>
      </c>
      <c r="O349" s="50">
        <f>IF(A349="","",IFERROR((IF(G349="",I349,G349)-T349)/M349,""))</f>
        <v/>
      </c>
      <c r="P349" s="50">
        <f>IFERROR((I349/T349-1)/N349,"")</f>
        <v/>
      </c>
      <c r="Q349" s="46">
        <f>IF(OR(T349="",I349&lt;T349),"",IFERROR(R349/IF(G349="",I349,G349)-1,""))</f>
        <v/>
      </c>
      <c r="R349" s="48">
        <f>IF($M349="","",MAX(IF($G349="",$I349,$G349)*(1/1.1),IF($G349="",$I349,$G349)+(R$2*$M349)))</f>
        <v/>
      </c>
      <c r="S349" s="49">
        <f>IF($M349="","",MAX(IF($G349="",$I349,$G349)*(1/1.1),IF($G349="",$I349,$G349)+(S$2*$M349)))</f>
        <v/>
      </c>
      <c r="T349" s="82" t="n">
        <v>375.0879974365234</v>
      </c>
      <c r="U349" s="47">
        <f>IF(OR($M349="",$T349=""),"",$T349+(U$2*$M349))</f>
        <v/>
      </c>
      <c r="V349" s="48">
        <f>IF(OR($M349="",$T349=""),"",$T349+(V$2*$M349))</f>
        <v/>
      </c>
      <c r="W349" s="48">
        <f>IF(OR($M349="",$T349=""),"",$T349+(W$2*$M349))</f>
        <v/>
      </c>
      <c r="X349" s="49">
        <f>IF(OR($M349="",$T349=""),"",$T349+(X$2*$M349))</f>
        <v/>
      </c>
      <c r="Y349" s="47">
        <f>IF(OR($M349="",$T349=""),"",$T349+(Y$2*$M349))</f>
        <v/>
      </c>
      <c r="Z349" s="49">
        <f>IF(OR($M349="",$T349=""),"",$T349+(Z$2*$M349))</f>
        <v/>
      </c>
      <c r="AA349" s="51">
        <f>IF(OR($M349="",$T349=""),"",$T349+(AA$2*$M349))</f>
        <v/>
      </c>
      <c r="AB349" s="48">
        <f>IF(OR($M349="",$T349=""),"",$T349+(AB$2*$M349))</f>
        <v/>
      </c>
      <c r="AC349" s="48">
        <f>IF(OR($M349="",$T349=""),"",$T349+(AC$2*$M349))</f>
        <v/>
      </c>
      <c r="AD349" s="48">
        <f>IF(OR($M349="",$T349=""),"",$T349+(AD$2*$M349))</f>
        <v/>
      </c>
      <c r="AE349" s="49">
        <f>IF(OR($M349="",$T349=""),"",$T349+(AE$2*$M349))</f>
        <v/>
      </c>
      <c r="AF349" s="52">
        <f>IF(OR(T349="",I349&lt;T349),"",IFERROR(AVERAGE(T349+M349*{7,8,9,10,11})/IF(G349="",I349,G349)-1,""))</f>
        <v/>
      </c>
      <c r="AG349" s="55">
        <f>IF(OR(T349="",I349&lt;T349),"",IFERROR(AF349/-(R349/IF(G349="",I349,G349)-1),""))</f>
        <v/>
      </c>
      <c r="AH349" s="94" t="n">
        <v>1</v>
      </c>
      <c r="AI349" s="94" t="n">
        <v>10.86480611371787</v>
      </c>
      <c r="AJ349" s="94" t="n">
        <v>1</v>
      </c>
      <c r="AK349" s="94" t="inlineStr">
        <is>
          <t>None</t>
        </is>
      </c>
      <c r="AL349" s="84" t="inlineStr">
        <is>
          <t>Talen Energy Corporation</t>
        </is>
      </c>
      <c r="AM349" t="inlineStr">
        <is>
          <t>Utilities</t>
        </is>
      </c>
      <c r="AN349" t="inlineStr">
        <is>
          <t>Utilities - Independent Power Producers</t>
        </is>
      </c>
      <c r="AO349" t="n">
        <v>77</v>
      </c>
    </row>
    <row r="350">
      <c r="A350" s="64" t="inlineStr">
        <is>
          <t>FIBK</t>
        </is>
      </c>
      <c r="B350" s="65" t="n"/>
      <c r="C350" s="66" t="n"/>
      <c r="D350" s="67" t="n"/>
      <c r="E350" s="68" t="n"/>
      <c r="F350" s="47">
        <f>IF(A350="","",IF(MIN(H350,MAX(J350:K350))=0,"",MIN(H350,MAX(J350:K350))))</f>
        <v/>
      </c>
      <c r="G350" s="74" t="n"/>
      <c r="H350" s="49">
        <f>IF(M350="","",IFERROR(ROUND(AVERAGE(T350+M350*{7,8,9,10,11})/1.21,4),""))</f>
        <v/>
      </c>
      <c r="I350" s="76" t="n">
        <v>36.84999847412109</v>
      </c>
      <c r="J350" s="77" t="n">
        <v>36.67242315717319</v>
      </c>
      <c r="K350" s="74" t="n">
        <v>36.22749996185303</v>
      </c>
      <c r="L350" s="78" t="n">
        <v>30.65759998321533</v>
      </c>
      <c r="M350" s="77" t="n">
        <v>0.8065420355191342</v>
      </c>
      <c r="N350" s="53">
        <f>IF(M350="","",IFERROR(M350/I350,""))</f>
        <v/>
      </c>
      <c r="O350" s="50">
        <f>IF(A350="","",IFERROR((IF(G350="",I350,G350)-T350)/M350,""))</f>
        <v/>
      </c>
      <c r="P350" s="50">
        <f>IFERROR((I350/T350-1)/N350,"")</f>
        <v/>
      </c>
      <c r="Q350" s="46">
        <f>IF(OR(T350="",I350&lt;T350),"",IFERROR(R350/IF(G350="",I350,G350)-1,""))</f>
        <v/>
      </c>
      <c r="R350" s="48">
        <f>IF($M350="","",MAX(IF($G350="",$I350,$G350)*(1/1.1),IF($G350="",$I350,$G350)+(R$2*$M350)))</f>
        <v/>
      </c>
      <c r="S350" s="49">
        <f>IF($M350="","",MAX(IF($G350="",$I350,$G350)*(1/1.1),IF($G350="",$I350,$G350)+(S$2*$M350)))</f>
        <v/>
      </c>
      <c r="T350" s="82" t="n">
        <v>34.23560005187989</v>
      </c>
      <c r="U350" s="47">
        <f>IF(OR($M350="",$T350=""),"",$T350+(U$2*$M350))</f>
        <v/>
      </c>
      <c r="V350" s="48">
        <f>IF(OR($M350="",$T350=""),"",$T350+(V$2*$M350))</f>
        <v/>
      </c>
      <c r="W350" s="48">
        <f>IF(OR($M350="",$T350=""),"",$T350+(W$2*$M350))</f>
        <v/>
      </c>
      <c r="X350" s="49">
        <f>IF(OR($M350="",$T350=""),"",$T350+(X$2*$M350))</f>
        <v/>
      </c>
      <c r="Y350" s="47">
        <f>IF(OR($M350="",$T350=""),"",$T350+(Y$2*$M350))</f>
        <v/>
      </c>
      <c r="Z350" s="49">
        <f>IF(OR($M350="",$T350=""),"",$T350+(Z$2*$M350))</f>
        <v/>
      </c>
      <c r="AA350" s="51">
        <f>IF(OR($M350="",$T350=""),"",$T350+(AA$2*$M350))</f>
        <v/>
      </c>
      <c r="AB350" s="48">
        <f>IF(OR($M350="",$T350=""),"",$T350+(AB$2*$M350))</f>
        <v/>
      </c>
      <c r="AC350" s="48">
        <f>IF(OR($M350="",$T350=""),"",$T350+(AC$2*$M350))</f>
        <v/>
      </c>
      <c r="AD350" s="48">
        <f>IF(OR($M350="",$T350=""),"",$T350+(AD$2*$M350))</f>
        <v/>
      </c>
      <c r="AE350" s="49">
        <f>IF(OR($M350="",$T350=""),"",$T350+(AE$2*$M350))</f>
        <v/>
      </c>
      <c r="AF350" s="52">
        <f>IF(OR(T350="",I350&lt;T350),"",IFERROR(AVERAGE(T350+M350*{7,8,9,10,11})/IF(G350="",I350,G350)-1,""))</f>
        <v/>
      </c>
      <c r="AG350" s="55">
        <f>IF(OR(T350="",I350&lt;T350),"",IFERROR(AF350/-(R350/IF(G350="",I350,G350)-1),""))</f>
        <v/>
      </c>
      <c r="AH350" s="94" t="n">
        <v>1</v>
      </c>
      <c r="AI350" s="94" t="n">
        <v>89.44971644446447</v>
      </c>
      <c r="AJ350" s="94" t="n">
        <v>0</v>
      </c>
      <c r="AK350" s="94" t="inlineStr">
        <is>
          <t>OTT Up Trend</t>
        </is>
      </c>
      <c r="AL350" s="84" t="inlineStr">
        <is>
          <t>First Interstate BancSystem, In</t>
        </is>
      </c>
      <c r="AM350" t="inlineStr">
        <is>
          <t>Financial Services</t>
        </is>
      </c>
      <c r="AN350" t="inlineStr">
        <is>
          <t>Banks - Regional</t>
        </is>
      </c>
      <c r="AO350" t="n">
        <v>77</v>
      </c>
    </row>
    <row r="351">
      <c r="A351" s="64" t="inlineStr">
        <is>
          <t>STT</t>
        </is>
      </c>
      <c r="B351" s="65" t="n"/>
      <c r="C351" s="66" t="n"/>
      <c r="D351" s="67" t="n"/>
      <c r="E351" s="68" t="n"/>
      <c r="F351" s="47">
        <f>IF(A351="","",IF(MIN(H351,MAX(J351:K351))=0,"",MIN(H351,MAX(J351:K351))))</f>
        <v/>
      </c>
      <c r="G351" s="74" t="n"/>
      <c r="H351" s="49">
        <f>IF(M351="","",IFERROR(ROUND(AVERAGE(T351+M351*{7,8,9,10,11})/1.21,4),""))</f>
        <v/>
      </c>
      <c r="I351" s="76" t="n">
        <v>128.0200042724609</v>
      </c>
      <c r="J351" s="77" t="n">
        <v>132.3142456473462</v>
      </c>
      <c r="K351" s="74" t="n">
        <v>131.6064998626709</v>
      </c>
      <c r="L351" s="78" t="n">
        <v>109.5551500320435</v>
      </c>
      <c r="M351" s="77" t="n">
        <v>2.852225360201136</v>
      </c>
      <c r="N351" s="53">
        <f>IF(M351="","",IFERROR(M351/I351,""))</f>
        <v/>
      </c>
      <c r="O351" s="50">
        <f>IF(A351="","",IFERROR((IF(G351="",I351,G351)-T351)/M351,""))</f>
        <v/>
      </c>
      <c r="P351" s="50">
        <f>IFERROR((I351/T351-1)/N351,"")</f>
        <v/>
      </c>
      <c r="Q351" s="46">
        <f>IF(OR(T351="",I351&lt;T351),"",IFERROR(R351/IF(G351="",I351,G351)-1,""))</f>
        <v/>
      </c>
      <c r="R351" s="48">
        <f>IF($M351="","",MAX(IF($G351="",$I351,$G351)*(1/1.1),IF($G351="",$I351,$G351)+(R$2*$M351)))</f>
        <v/>
      </c>
      <c r="S351" s="49">
        <f>IF($M351="","",MAX(IF($G351="",$I351,$G351)*(1/1.1),IF($G351="",$I351,$G351)+(S$2*$M351)))</f>
        <v/>
      </c>
      <c r="T351" s="82" t="n">
        <v>124.7785998535156</v>
      </c>
      <c r="U351" s="47">
        <f>IF(OR($M351="",$T351=""),"",$T351+(U$2*$M351))</f>
        <v/>
      </c>
      <c r="V351" s="48">
        <f>IF(OR($M351="",$T351=""),"",$T351+(V$2*$M351))</f>
        <v/>
      </c>
      <c r="W351" s="48">
        <f>IF(OR($M351="",$T351=""),"",$T351+(W$2*$M351))</f>
        <v/>
      </c>
      <c r="X351" s="49">
        <f>IF(OR($M351="",$T351=""),"",$T351+(X$2*$M351))</f>
        <v/>
      </c>
      <c r="Y351" s="47">
        <f>IF(OR($M351="",$T351=""),"",$T351+(Y$2*$M351))</f>
        <v/>
      </c>
      <c r="Z351" s="49">
        <f>IF(OR($M351="",$T351=""),"",$T351+(Z$2*$M351))</f>
        <v/>
      </c>
      <c r="AA351" s="51">
        <f>IF(OR($M351="",$T351=""),"",$T351+(AA$2*$M351))</f>
        <v/>
      </c>
      <c r="AB351" s="48">
        <f>IF(OR($M351="",$T351=""),"",$T351+(AB$2*$M351))</f>
        <v/>
      </c>
      <c r="AC351" s="48">
        <f>IF(OR($M351="",$T351=""),"",$T351+(AC$2*$M351))</f>
        <v/>
      </c>
      <c r="AD351" s="48">
        <f>IF(OR($M351="",$T351=""),"",$T351+(AD$2*$M351))</f>
        <v/>
      </c>
      <c r="AE351" s="49">
        <f>IF(OR($M351="",$T351=""),"",$T351+(AE$2*$M351))</f>
        <v/>
      </c>
      <c r="AF351" s="52">
        <f>IF(OR(T351="",I351&lt;T351),"",IFERROR(AVERAGE(T351+M351*{7,8,9,10,11})/IF(G351="",I351,G351)-1,""))</f>
        <v/>
      </c>
      <c r="AG351" s="55">
        <f>IF(OR(T351="",I351&lt;T351),"",IFERROR(AF351/-(R351/IF(G351="",I351,G351)-1),""))</f>
        <v/>
      </c>
      <c r="AH351" s="94" t="n">
        <v>-1</v>
      </c>
      <c r="AI351" s="94" t="n">
        <v>80.31588143422739</v>
      </c>
      <c r="AJ351" s="94" t="n">
        <v>0</v>
      </c>
      <c r="AK351" s="94" t="inlineStr">
        <is>
          <t>OTT Up Trend</t>
        </is>
      </c>
      <c r="AL351" s="84" t="inlineStr">
        <is>
          <t>State Street Corporation</t>
        </is>
      </c>
      <c r="AM351" t="inlineStr">
        <is>
          <t>Financial Services</t>
        </is>
      </c>
      <c r="AN351" t="inlineStr">
        <is>
          <t>Asset Management</t>
        </is>
      </c>
      <c r="AO351" t="n">
        <v>76</v>
      </c>
    </row>
    <row r="352">
      <c r="A352" s="64" t="inlineStr">
        <is>
          <t>TALO</t>
        </is>
      </c>
      <c r="B352" s="65" t="n"/>
      <c r="C352" s="66" t="n"/>
      <c r="D352" s="67" t="n"/>
      <c r="E352" s="68" t="n"/>
      <c r="F352" s="47">
        <f>IF(A352="","",IF(MIN(H352,MAX(J352:K352))=0,"",MIN(H352,MAX(J352:K352))))</f>
        <v/>
      </c>
      <c r="G352" s="74" t="n"/>
      <c r="H352" s="49">
        <f>IF(M352="","",IFERROR(ROUND(AVERAGE(T352+M352*{7,8,9,10,11})/1.21,4),""))</f>
        <v/>
      </c>
      <c r="I352" s="76" t="n">
        <v>11.38000011444092</v>
      </c>
      <c r="J352" s="77" t="n">
        <v>11.26960119070428</v>
      </c>
      <c r="K352" s="74" t="n">
        <v>11.0675000667572</v>
      </c>
      <c r="L352" s="78" t="n">
        <v>9.26635002374649</v>
      </c>
      <c r="M352" s="77" t="n">
        <v>0.4481044517876893</v>
      </c>
      <c r="N352" s="53">
        <f>IF(M352="","",IFERROR(M352/I352,""))</f>
        <v/>
      </c>
      <c r="O352" s="50">
        <f>IF(A352="","",IFERROR((IF(G352="",I352,G352)-T352)/M352,""))</f>
        <v/>
      </c>
      <c r="P352" s="50">
        <f>IFERROR((I352/T352-1)/N352,"")</f>
        <v/>
      </c>
      <c r="Q352" s="46">
        <f>IF(OR(T352="",I352&lt;T352),"",IFERROR(R352/IF(G352="",I352,G352)-1,""))</f>
        <v/>
      </c>
      <c r="R352" s="48">
        <f>IF($M352="","",MAX(IF($G352="",$I352,$G352)*(1/1.1),IF($G352="",$I352,$G352)+(R$2*$M352)))</f>
        <v/>
      </c>
      <c r="S352" s="49">
        <f>IF($M352="","",MAX(IF($G352="",$I352,$G352)*(1/1.1),IF($G352="",$I352,$G352)+(S$2*$M352)))</f>
        <v/>
      </c>
      <c r="T352" s="82" t="n">
        <v>11.04440002441406</v>
      </c>
      <c r="U352" s="47">
        <f>IF(OR($M352="",$T352=""),"",$T352+(U$2*$M352))</f>
        <v/>
      </c>
      <c r="V352" s="48">
        <f>IF(OR($M352="",$T352=""),"",$T352+(V$2*$M352))</f>
        <v/>
      </c>
      <c r="W352" s="48">
        <f>IF(OR($M352="",$T352=""),"",$T352+(W$2*$M352))</f>
        <v/>
      </c>
      <c r="X352" s="49">
        <f>IF(OR($M352="",$T352=""),"",$T352+(X$2*$M352))</f>
        <v/>
      </c>
      <c r="Y352" s="47">
        <f>IF(OR($M352="",$T352=""),"",$T352+(Y$2*$M352))</f>
        <v/>
      </c>
      <c r="Z352" s="49">
        <f>IF(OR($M352="",$T352=""),"",$T352+(Z$2*$M352))</f>
        <v/>
      </c>
      <c r="AA352" s="51">
        <f>IF(OR($M352="",$T352=""),"",$T352+(AA$2*$M352))</f>
        <v/>
      </c>
      <c r="AB352" s="48">
        <f>IF(OR($M352="",$T352=""),"",$T352+(AB$2*$M352))</f>
        <v/>
      </c>
      <c r="AC352" s="48">
        <f>IF(OR($M352="",$T352=""),"",$T352+(AC$2*$M352))</f>
        <v/>
      </c>
      <c r="AD352" s="48">
        <f>IF(OR($M352="",$T352=""),"",$T352+(AD$2*$M352))</f>
        <v/>
      </c>
      <c r="AE352" s="49">
        <f>IF(OR($M352="",$T352=""),"",$T352+(AE$2*$M352))</f>
        <v/>
      </c>
      <c r="AF352" s="52">
        <f>IF(OR(T352="",I352&lt;T352),"",IFERROR(AVERAGE(T352+M352*{7,8,9,10,11})/IF(G352="",I352,G352)-1,""))</f>
        <v/>
      </c>
      <c r="AG352" s="55">
        <f>IF(OR(T352="",I352&lt;T352),"",IFERROR(AF352/-(R352/IF(G352="",I352,G352)-1),""))</f>
        <v/>
      </c>
      <c r="AH352" s="94" t="n">
        <v>1</v>
      </c>
      <c r="AI352" s="94" t="n">
        <v>25.19283337122555</v>
      </c>
      <c r="AJ352" s="94" t="n">
        <v>1</v>
      </c>
      <c r="AK352" s="94" t="inlineStr">
        <is>
          <t>OTT Turned Up</t>
        </is>
      </c>
      <c r="AL352" s="84" t="inlineStr">
        <is>
          <t>Talos Energy, Inc.</t>
        </is>
      </c>
      <c r="AM352" t="inlineStr">
        <is>
          <t>Energy</t>
        </is>
      </c>
      <c r="AN352" t="inlineStr">
        <is>
          <t>Oil &amp; Gas E&amp;P</t>
        </is>
      </c>
      <c r="AO352" t="n">
        <v>76</v>
      </c>
    </row>
    <row r="353">
      <c r="A353" s="64" t="inlineStr">
        <is>
          <t>HCA</t>
        </is>
      </c>
      <c r="B353" s="65" t="n"/>
      <c r="C353" s="66" t="n"/>
      <c r="D353" s="67" t="n"/>
      <c r="E353" s="68" t="n"/>
      <c r="F353" s="47">
        <f>IF(A353="","",IF(MIN(H353,MAX(J353:K353))=0,"",MIN(H353,MAX(J353:K353))))</f>
        <v/>
      </c>
      <c r="G353" s="74" t="n"/>
      <c r="H353" s="49">
        <f>IF(M353="","",IFERROR(ROUND(AVERAGE(T353+M353*{7,8,9,10,11})/1.21,4),""))</f>
        <v/>
      </c>
      <c r="I353" s="76" t="n">
        <v>469.2900085449219</v>
      </c>
      <c r="J353" s="77" t="n">
        <v>476.0571953665048</v>
      </c>
      <c r="K353" s="74" t="n">
        <v>474.5035003662109</v>
      </c>
      <c r="L353" s="78" t="n">
        <v>408.7712498474121</v>
      </c>
      <c r="M353" s="77" t="n">
        <v>11.03733586897672</v>
      </c>
      <c r="N353" s="53">
        <f>IF(M353="","",IFERROR(M353/I353,""))</f>
        <v/>
      </c>
      <c r="O353" s="50">
        <f>IF(A353="","",IFERROR((IF(G353="",I353,G353)-T353)/M353,""))</f>
        <v/>
      </c>
      <c r="P353" s="50">
        <f>IFERROR((I353/T353-1)/N353,"")</f>
        <v/>
      </c>
      <c r="Q353" s="46">
        <f>IF(OR(T353="",I353&lt;T353),"",IFERROR(R353/IF(G353="",I353,G353)-1,""))</f>
        <v/>
      </c>
      <c r="R353" s="48">
        <f>IF($M353="","",MAX(IF($G353="",$I353,$G353)*(1/1.1),IF($G353="",$I353,$G353)+(R$2*$M353)))</f>
        <v/>
      </c>
      <c r="S353" s="49">
        <f>IF($M353="","",MAX(IF($G353="",$I353,$G353)*(1/1.1),IF($G353="",$I353,$G353)+(S$2*$M353)))</f>
        <v/>
      </c>
      <c r="T353" s="82" t="n">
        <v>479.769400024414</v>
      </c>
      <c r="U353" s="47">
        <f>IF(OR($M353="",$T353=""),"",$T353+(U$2*$M353))</f>
        <v/>
      </c>
      <c r="V353" s="48">
        <f>IF(OR($M353="",$T353=""),"",$T353+(V$2*$M353))</f>
        <v/>
      </c>
      <c r="W353" s="48">
        <f>IF(OR($M353="",$T353=""),"",$T353+(W$2*$M353))</f>
        <v/>
      </c>
      <c r="X353" s="49">
        <f>IF(OR($M353="",$T353=""),"",$T353+(X$2*$M353))</f>
        <v/>
      </c>
      <c r="Y353" s="47">
        <f>IF(OR($M353="",$T353=""),"",$T353+(Y$2*$M353))</f>
        <v/>
      </c>
      <c r="Z353" s="49">
        <f>IF(OR($M353="",$T353=""),"",$T353+(Z$2*$M353))</f>
        <v/>
      </c>
      <c r="AA353" s="51">
        <f>IF(OR($M353="",$T353=""),"",$T353+(AA$2*$M353))</f>
        <v/>
      </c>
      <c r="AB353" s="48">
        <f>IF(OR($M353="",$T353=""),"",$T353+(AB$2*$M353))</f>
        <v/>
      </c>
      <c r="AC353" s="48">
        <f>IF(OR($M353="",$T353=""),"",$T353+(AC$2*$M353))</f>
        <v/>
      </c>
      <c r="AD353" s="48">
        <f>IF(OR($M353="",$T353=""),"",$T353+(AD$2*$M353))</f>
        <v/>
      </c>
      <c r="AE353" s="49">
        <f>IF(OR($M353="",$T353=""),"",$T353+(AE$2*$M353))</f>
        <v/>
      </c>
      <c r="AF353" s="52">
        <f>IF(OR(T353="",I353&lt;T353),"",IFERROR(AVERAGE(T353+M353*{7,8,9,10,11})/IF(G353="",I353,G353)-1,""))</f>
        <v/>
      </c>
      <c r="AG353" s="55">
        <f>IF(OR(T353="",I353&lt;T353),"",IFERROR(AF353/-(R353/IF(G353="",I353,G353)-1),""))</f>
        <v/>
      </c>
      <c r="AH353" s="94" t="n">
        <v>-1</v>
      </c>
      <c r="AI353" s="94" t="n">
        <v>-1.219519815460324</v>
      </c>
      <c r="AJ353" s="94" t="n">
        <v>1</v>
      </c>
      <c r="AK353" s="94" t="inlineStr">
        <is>
          <t>None</t>
        </is>
      </c>
      <c r="AL353" s="84" t="inlineStr">
        <is>
          <t>HCA Healthcare, Inc.</t>
        </is>
      </c>
      <c r="AM353" t="inlineStr">
        <is>
          <t>Healthcare</t>
        </is>
      </c>
      <c r="AN353" t="inlineStr">
        <is>
          <t>Medical Care Facilities</t>
        </is>
      </c>
      <c r="AO353" t="n">
        <v>76</v>
      </c>
    </row>
    <row r="354">
      <c r="A354" s="64" t="inlineStr">
        <is>
          <t>NDSN</t>
        </is>
      </c>
      <c r="B354" s="65" t="n"/>
      <c r="C354" s="66" t="n"/>
      <c r="D354" s="67" t="n"/>
      <c r="E354" s="68" t="n"/>
      <c r="F354" s="47">
        <f>IF(A354="","",IF(MIN(H354,MAX(J354:K354))=0,"",MIN(H354,MAX(J354:K354))))</f>
        <v/>
      </c>
      <c r="G354" s="74" t="n"/>
      <c r="H354" s="49">
        <f>IF(M354="","",IFERROR(ROUND(AVERAGE(T354+M354*{7,8,9,10,11})/1.21,4),""))</f>
        <v/>
      </c>
      <c r="I354" s="76" t="n">
        <v>271.9200134277344</v>
      </c>
      <c r="J354" s="77" t="n">
        <v>261.6904451900908</v>
      </c>
      <c r="K354" s="74" t="n">
        <v>251.2440002441406</v>
      </c>
      <c r="L354" s="78" t="n">
        <v>220.6303497314453</v>
      </c>
      <c r="M354" s="77" t="n">
        <v>4.527029211071362</v>
      </c>
      <c r="N354" s="53">
        <f>IF(M354="","",IFERROR(M354/I354,""))</f>
        <v/>
      </c>
      <c r="O354" s="50">
        <f>IF(A354="","",IFERROR((IF(G354="",I354,G354)-T354)/M354,""))</f>
        <v/>
      </c>
      <c r="P354" s="50">
        <f>IFERROR((I354/T354-1)/N354,"")</f>
        <v/>
      </c>
      <c r="Q354" s="46">
        <f>IF(OR(T354="",I354&lt;T354),"",IFERROR(R354/IF(G354="",I354,G354)-1,""))</f>
        <v/>
      </c>
      <c r="R354" s="48">
        <f>IF($M354="","",MAX(IF($G354="",$I354,$G354)*(1/1.1),IF($G354="",$I354,$G354)+(R$2*$M354)))</f>
        <v/>
      </c>
      <c r="S354" s="49">
        <f>IF($M354="","",MAX(IF($G354="",$I354,$G354)*(1/1.1),IF($G354="",$I354,$G354)+(S$2*$M354)))</f>
        <v/>
      </c>
      <c r="T354" s="82" t="n">
        <v>241.1330001831055</v>
      </c>
      <c r="U354" s="47">
        <f>IF(OR($M354="",$T354=""),"",$T354+(U$2*$M354))</f>
        <v/>
      </c>
      <c r="V354" s="48">
        <f>IF(OR($M354="",$T354=""),"",$T354+(V$2*$M354))</f>
        <v/>
      </c>
      <c r="W354" s="48">
        <f>IF(OR($M354="",$T354=""),"",$T354+(W$2*$M354))</f>
        <v/>
      </c>
      <c r="X354" s="49">
        <f>IF(OR($M354="",$T354=""),"",$T354+(X$2*$M354))</f>
        <v/>
      </c>
      <c r="Y354" s="47">
        <f>IF(OR($M354="",$T354=""),"",$T354+(Y$2*$M354))</f>
        <v/>
      </c>
      <c r="Z354" s="49">
        <f>IF(OR($M354="",$T354=""),"",$T354+(Z$2*$M354))</f>
        <v/>
      </c>
      <c r="AA354" s="51">
        <f>IF(OR($M354="",$T354=""),"",$T354+(AA$2*$M354))</f>
        <v/>
      </c>
      <c r="AB354" s="48">
        <f>IF(OR($M354="",$T354=""),"",$T354+(AB$2*$M354))</f>
        <v/>
      </c>
      <c r="AC354" s="48">
        <f>IF(OR($M354="",$T354=""),"",$T354+(AC$2*$M354))</f>
        <v/>
      </c>
      <c r="AD354" s="48">
        <f>IF(OR($M354="",$T354=""),"",$T354+(AD$2*$M354))</f>
        <v/>
      </c>
      <c r="AE354" s="49">
        <f>IF(OR($M354="",$T354=""),"",$T354+(AE$2*$M354))</f>
        <v/>
      </c>
      <c r="AF354" s="52">
        <f>IF(OR(T354="",I354&lt;T354),"",IFERROR(AVERAGE(T354+M354*{7,8,9,10,11})/IF(G354="",I354,G354)-1,""))</f>
        <v/>
      </c>
      <c r="AG354" s="55">
        <f>IF(OR(T354="",I354&lt;T354),"",IFERROR(AF354/-(R354/IF(G354="",I354,G354)-1),""))</f>
        <v/>
      </c>
      <c r="AH354" s="94" t="n">
        <v>1</v>
      </c>
      <c r="AI354" s="94" t="n">
        <v>183.0857118240154</v>
      </c>
      <c r="AJ354" s="94" t="n">
        <v>1</v>
      </c>
      <c r="AK354" s="94" t="inlineStr">
        <is>
          <t>OTT Up Trend</t>
        </is>
      </c>
      <c r="AL354" s="84" t="inlineStr">
        <is>
          <t>Nordson Corporation</t>
        </is>
      </c>
      <c r="AM354" t="inlineStr">
        <is>
          <t>Industrials</t>
        </is>
      </c>
      <c r="AN354" t="inlineStr">
        <is>
          <t>Specialty Industrial Machinery</t>
        </is>
      </c>
      <c r="AO354" t="n">
        <v>76</v>
      </c>
    </row>
    <row r="355">
      <c r="A355" s="64" t="inlineStr">
        <is>
          <t>BEN</t>
        </is>
      </c>
      <c r="B355" s="65" t="n"/>
      <c r="C355" s="66" t="n"/>
      <c r="D355" s="67" t="n"/>
      <c r="E355" s="68" t="n"/>
      <c r="F355" s="47">
        <f>IF(A355="","",IF(MIN(H355,MAX(J355:K355))=0,"",MIN(H355,MAX(J355:K355))))</f>
        <v/>
      </c>
      <c r="G355" s="74" t="n"/>
      <c r="H355" s="49">
        <f>IF(M355="","",IFERROR(ROUND(AVERAGE(T355+M355*{7,8,9,10,11})/1.21,4),""))</f>
        <v/>
      </c>
      <c r="I355" s="76" t="n">
        <v>26</v>
      </c>
      <c r="J355" s="77" t="n">
        <v>25.4048336594239</v>
      </c>
      <c r="K355" s="74" t="n">
        <v>24.76849994659424</v>
      </c>
      <c r="L355" s="78" t="n">
        <v>22.94004998207092</v>
      </c>
      <c r="M355" s="77" t="n">
        <v>0.5208502721922457</v>
      </c>
      <c r="N355" s="53">
        <f>IF(M355="","",IFERROR(M355/I355,""))</f>
        <v/>
      </c>
      <c r="O355" s="50">
        <f>IF(A355="","",IFERROR((IF(G355="",I355,G355)-T355)/M355,""))</f>
        <v/>
      </c>
      <c r="P355" s="50">
        <f>IFERROR((I355/T355-1)/N355,"")</f>
        <v/>
      </c>
      <c r="Q355" s="46">
        <f>IF(OR(T355="",I355&lt;T355),"",IFERROR(R355/IF(G355="",I355,G355)-1,""))</f>
        <v/>
      </c>
      <c r="R355" s="48">
        <f>IF($M355="","",MAX(IF($G355="",$I355,$G355)*(1/1.1),IF($G355="",$I355,$G355)+(R$2*$M355)))</f>
        <v/>
      </c>
      <c r="S355" s="49">
        <f>IF($M355="","",MAX(IF($G355="",$I355,$G355)*(1/1.1),IF($G355="",$I355,$G355)+(S$2*$M355)))</f>
        <v/>
      </c>
      <c r="T355" s="82" t="n">
        <v>23.50540000915527</v>
      </c>
      <c r="U355" s="47">
        <f>IF(OR($M355="",$T355=""),"",$T355+(U$2*$M355))</f>
        <v/>
      </c>
      <c r="V355" s="48">
        <f>IF(OR($M355="",$T355=""),"",$T355+(V$2*$M355))</f>
        <v/>
      </c>
      <c r="W355" s="48">
        <f>IF(OR($M355="",$T355=""),"",$T355+(W$2*$M355))</f>
        <v/>
      </c>
      <c r="X355" s="49">
        <f>IF(OR($M355="",$T355=""),"",$T355+(X$2*$M355))</f>
        <v/>
      </c>
      <c r="Y355" s="47">
        <f>IF(OR($M355="",$T355=""),"",$T355+(Y$2*$M355))</f>
        <v/>
      </c>
      <c r="Z355" s="49">
        <f>IF(OR($M355="",$T355=""),"",$T355+(Z$2*$M355))</f>
        <v/>
      </c>
      <c r="AA355" s="51">
        <f>IF(OR($M355="",$T355=""),"",$T355+(AA$2*$M355))</f>
        <v/>
      </c>
      <c r="AB355" s="48">
        <f>IF(OR($M355="",$T355=""),"",$T355+(AB$2*$M355))</f>
        <v/>
      </c>
      <c r="AC355" s="48">
        <f>IF(OR($M355="",$T355=""),"",$T355+(AC$2*$M355))</f>
        <v/>
      </c>
      <c r="AD355" s="48">
        <f>IF(OR($M355="",$T355=""),"",$T355+(AD$2*$M355))</f>
        <v/>
      </c>
      <c r="AE355" s="49">
        <f>IF(OR($M355="",$T355=""),"",$T355+(AE$2*$M355))</f>
        <v/>
      </c>
      <c r="AF355" s="52">
        <f>IF(OR(T355="",I355&lt;T355),"",IFERROR(AVERAGE(T355+M355*{7,8,9,10,11})/IF(G355="",I355,G355)-1,""))</f>
        <v/>
      </c>
      <c r="AG355" s="55">
        <f>IF(OR(T355="",I355&lt;T355),"",IFERROR(AF355/-(R355/IF(G355="",I355,G355)-1),""))</f>
        <v/>
      </c>
      <c r="AH355" s="94" t="n">
        <v>1</v>
      </c>
      <c r="AI355" s="94" t="n">
        <v>128.9521091305872</v>
      </c>
      <c r="AJ355" s="94" t="n">
        <v>1</v>
      </c>
      <c r="AK355" s="94" t="inlineStr">
        <is>
          <t>OTT Up Trend</t>
        </is>
      </c>
      <c r="AL355" s="84" t="inlineStr">
        <is>
          <t>Franklin Resources, Inc.</t>
        </is>
      </c>
      <c r="AM355" t="inlineStr">
        <is>
          <t>Financial Services</t>
        </is>
      </c>
      <c r="AN355" t="inlineStr">
        <is>
          <t>Asset Management</t>
        </is>
      </c>
      <c r="AO355" t="n">
        <v>76</v>
      </c>
    </row>
    <row r="356">
      <c r="A356" s="64" t="inlineStr">
        <is>
          <t>WHD</t>
        </is>
      </c>
      <c r="B356" s="65" t="n"/>
      <c r="C356" s="66" t="n"/>
      <c r="D356" s="67" t="n"/>
      <c r="E356" s="68" t="n"/>
      <c r="F356" s="47">
        <f>IF(A356="","",IF(MIN(H356,MAX(J356:K356))=0,"",MIN(H356,MAX(J356:K356))))</f>
        <v/>
      </c>
      <c r="G356" s="74" t="n"/>
      <c r="H356" s="49">
        <f>IF(M356="","",IFERROR(ROUND(AVERAGE(T356+M356*{7,8,9,10,11})/1.21,4),""))</f>
        <v/>
      </c>
      <c r="I356" s="76" t="n">
        <v>53.2599983215332</v>
      </c>
      <c r="J356" s="77" t="n">
        <v>51.17606210282058</v>
      </c>
      <c r="K356" s="74" t="n">
        <v>48.66049957275391</v>
      </c>
      <c r="L356" s="78" t="n">
        <v>42.34454996109009</v>
      </c>
      <c r="M356" s="77" t="n">
        <v>1.515113718478981</v>
      </c>
      <c r="N356" s="53">
        <f>IF(M356="","",IFERROR(M356/I356,""))</f>
        <v/>
      </c>
      <c r="O356" s="50">
        <f>IF(A356="","",IFERROR((IF(G356="",I356,G356)-T356)/M356,""))</f>
        <v/>
      </c>
      <c r="P356" s="50">
        <f>IFERROR((I356/T356-1)/N356,"")</f>
        <v/>
      </c>
      <c r="Q356" s="46">
        <f>IF(OR(T356="",I356&lt;T356),"",IFERROR(R356/IF(G356="",I356,G356)-1,""))</f>
        <v/>
      </c>
      <c r="R356" s="48">
        <f>IF($M356="","",MAX(IF($G356="",$I356,$G356)*(1/1.1),IF($G356="",$I356,$G356)+(R$2*$M356)))</f>
        <v/>
      </c>
      <c r="S356" s="49">
        <f>IF($M356="","",MAX(IF($G356="",$I356,$G356)*(1/1.1),IF($G356="",$I356,$G356)+(S$2*$M356)))</f>
        <v/>
      </c>
      <c r="T356" s="82" t="n">
        <v>45.50579986572266</v>
      </c>
      <c r="U356" s="47">
        <f>IF(OR($M356="",$T356=""),"",$T356+(U$2*$M356))</f>
        <v/>
      </c>
      <c r="V356" s="48">
        <f>IF(OR($M356="",$T356=""),"",$T356+(V$2*$M356))</f>
        <v/>
      </c>
      <c r="W356" s="48">
        <f>IF(OR($M356="",$T356=""),"",$T356+(W$2*$M356))</f>
        <v/>
      </c>
      <c r="X356" s="49">
        <f>IF(OR($M356="",$T356=""),"",$T356+(X$2*$M356))</f>
        <v/>
      </c>
      <c r="Y356" s="47">
        <f>IF(OR($M356="",$T356=""),"",$T356+(Y$2*$M356))</f>
        <v/>
      </c>
      <c r="Z356" s="49">
        <f>IF(OR($M356="",$T356=""),"",$T356+(Z$2*$M356))</f>
        <v/>
      </c>
      <c r="AA356" s="51">
        <f>IF(OR($M356="",$T356=""),"",$T356+(AA$2*$M356))</f>
        <v/>
      </c>
      <c r="AB356" s="48">
        <f>IF(OR($M356="",$T356=""),"",$T356+(AB$2*$M356))</f>
        <v/>
      </c>
      <c r="AC356" s="48">
        <f>IF(OR($M356="",$T356=""),"",$T356+(AC$2*$M356))</f>
        <v/>
      </c>
      <c r="AD356" s="48">
        <f>IF(OR($M356="",$T356=""),"",$T356+(AD$2*$M356))</f>
        <v/>
      </c>
      <c r="AE356" s="49">
        <f>IF(OR($M356="",$T356=""),"",$T356+(AE$2*$M356))</f>
        <v/>
      </c>
      <c r="AF356" s="52">
        <f>IF(OR(T356="",I356&lt;T356),"",IFERROR(AVERAGE(T356+M356*{7,8,9,10,11})/IF(G356="",I356,G356)-1,""))</f>
        <v/>
      </c>
      <c r="AG356" s="55">
        <f>IF(OR(T356="",I356&lt;T356),"",IFERROR(AF356/-(R356/IF(G356="",I356,G356)-1),""))</f>
        <v/>
      </c>
      <c r="AH356" s="94" t="n">
        <v>1</v>
      </c>
      <c r="AI356" s="94" t="n">
        <v>144.078695917233</v>
      </c>
      <c r="AJ356" s="94" t="n">
        <v>1</v>
      </c>
      <c r="AK356" s="94" t="inlineStr">
        <is>
          <t>OTT Up Trend</t>
        </is>
      </c>
      <c r="AL356" s="84" t="inlineStr">
        <is>
          <t>Cactus, Inc. Class A Common Sto</t>
        </is>
      </c>
      <c r="AM356" t="inlineStr">
        <is>
          <t>Energy</t>
        </is>
      </c>
      <c r="AN356" t="inlineStr">
        <is>
          <t>Oil &amp; Gas Equipment &amp; Services</t>
        </is>
      </c>
      <c r="AO356" t="n">
        <v>76</v>
      </c>
    </row>
    <row r="357">
      <c r="A357" s="64" t="inlineStr">
        <is>
          <t>NE</t>
        </is>
      </c>
      <c r="B357" s="65" t="n"/>
      <c r="C357" s="66" t="n"/>
      <c r="D357" s="67" t="n"/>
      <c r="E357" s="68" t="n"/>
      <c r="F357" s="47">
        <f>IF(A357="","",IF(MIN(H357,MAX(J357:K357))=0,"",MIN(H357,MAX(J357:K357))))</f>
        <v/>
      </c>
      <c r="G357" s="74" t="n"/>
      <c r="H357" s="49">
        <f>IF(M357="","",IFERROR(ROUND(AVERAGE(T357+M357*{7,8,9,10,11})/1.21,4),""))</f>
        <v/>
      </c>
      <c r="I357" s="76" t="n">
        <v>32.68999862670898</v>
      </c>
      <c r="J357" s="77" t="n">
        <v>31.1227191344412</v>
      </c>
      <c r="K357" s="74" t="n">
        <v>29.52999982833862</v>
      </c>
      <c r="L357" s="78" t="n">
        <v>27.51800000190735</v>
      </c>
      <c r="M357" s="77" t="n">
        <v>1.108928205623498</v>
      </c>
      <c r="N357" s="53">
        <f>IF(M357="","",IFERROR(M357/I357,""))</f>
        <v/>
      </c>
      <c r="O357" s="50">
        <f>IF(A357="","",IFERROR((IF(G357="",I357,G357)-T357)/M357,""))</f>
        <v/>
      </c>
      <c r="P357" s="50">
        <f>IFERROR((I357/T357-1)/N357,"")</f>
        <v/>
      </c>
      <c r="Q357" s="46">
        <f>IF(OR(T357="",I357&lt;T357),"",IFERROR(R357/IF(G357="",I357,G357)-1,""))</f>
        <v/>
      </c>
      <c r="R357" s="48">
        <f>IF($M357="","",MAX(IF($G357="",$I357,$G357)*(1/1.1),IF($G357="",$I357,$G357)+(R$2*$M357)))</f>
        <v/>
      </c>
      <c r="S357" s="49">
        <f>IF($M357="","",MAX(IF($G357="",$I357,$G357)*(1/1.1),IF($G357="",$I357,$G357)+(S$2*$M357)))</f>
        <v/>
      </c>
      <c r="T357" s="82" t="n">
        <v>30.05259994506836</v>
      </c>
      <c r="U357" s="47">
        <f>IF(OR($M357="",$T357=""),"",$T357+(U$2*$M357))</f>
        <v/>
      </c>
      <c r="V357" s="48">
        <f>IF(OR($M357="",$T357=""),"",$T357+(V$2*$M357))</f>
        <v/>
      </c>
      <c r="W357" s="48">
        <f>IF(OR($M357="",$T357=""),"",$T357+(W$2*$M357))</f>
        <v/>
      </c>
      <c r="X357" s="49">
        <f>IF(OR($M357="",$T357=""),"",$T357+(X$2*$M357))</f>
        <v/>
      </c>
      <c r="Y357" s="47">
        <f>IF(OR($M357="",$T357=""),"",$T357+(Y$2*$M357))</f>
        <v/>
      </c>
      <c r="Z357" s="49">
        <f>IF(OR($M357="",$T357=""),"",$T357+(Z$2*$M357))</f>
        <v/>
      </c>
      <c r="AA357" s="51">
        <f>IF(OR($M357="",$T357=""),"",$T357+(AA$2*$M357))</f>
        <v/>
      </c>
      <c r="AB357" s="48">
        <f>IF(OR($M357="",$T357=""),"",$T357+(AB$2*$M357))</f>
        <v/>
      </c>
      <c r="AC357" s="48">
        <f>IF(OR($M357="",$T357=""),"",$T357+(AC$2*$M357))</f>
        <v/>
      </c>
      <c r="AD357" s="48">
        <f>IF(OR($M357="",$T357=""),"",$T357+(AD$2*$M357))</f>
        <v/>
      </c>
      <c r="AE357" s="49">
        <f>IF(OR($M357="",$T357=""),"",$T357+(AE$2*$M357))</f>
        <v/>
      </c>
      <c r="AF357" s="52">
        <f>IF(OR(T357="",I357&lt;T357),"",IFERROR(AVERAGE(T357+M357*{7,8,9,10,11})/IF(G357="",I357,G357)-1,""))</f>
        <v/>
      </c>
      <c r="AG357" s="55">
        <f>IF(OR(T357="",I357&lt;T357),"",IFERROR(AF357/-(R357/IF(G357="",I357,G357)-1),""))</f>
        <v/>
      </c>
      <c r="AH357" s="94" t="n">
        <v>1</v>
      </c>
      <c r="AI357" s="94" t="n">
        <v>58.15492717934308</v>
      </c>
      <c r="AJ357" s="94" t="n">
        <v>1</v>
      </c>
      <c r="AK357" s="94" t="inlineStr">
        <is>
          <t>None</t>
        </is>
      </c>
      <c r="AL357" s="84" t="inlineStr">
        <is>
          <t>Noble Corporation plc A</t>
        </is>
      </c>
      <c r="AM357" t="inlineStr">
        <is>
          <t>Energy</t>
        </is>
      </c>
      <c r="AN357" t="inlineStr">
        <is>
          <t>Oil &amp; Gas Drilling</t>
        </is>
      </c>
      <c r="AO357" t="n">
        <v>76</v>
      </c>
    </row>
    <row r="358">
      <c r="A358" s="64" t="inlineStr">
        <is>
          <t>ELME</t>
        </is>
      </c>
      <c r="B358" s="65" t="n"/>
      <c r="C358" s="66" t="n"/>
      <c r="D358" s="67" t="n"/>
      <c r="E358" s="68" t="n"/>
      <c r="F358" s="47">
        <f>IF(A358="","",IF(MIN(H358,MAX(J358:K358))=0,"",MIN(H358,MAX(J358:K358))))</f>
        <v/>
      </c>
      <c r="G358" s="74" t="n"/>
      <c r="H358" s="49">
        <f>IF(M358="","",IFERROR(ROUND(AVERAGE(T358+M358*{7,8,9,10,11})/1.21,4),""))</f>
        <v/>
      </c>
      <c r="I358" s="76" t="n">
        <v>3.079999923706055</v>
      </c>
      <c r="J358" s="77" t="n">
        <v>6.52537794824588</v>
      </c>
      <c r="K358" s="74" t="n">
        <v>12.35399984121323</v>
      </c>
      <c r="L358" s="78" t="n">
        <v>16.00824996352196</v>
      </c>
      <c r="M358" s="77" t="n">
        <v>0.8185490725646348</v>
      </c>
      <c r="N358" s="53">
        <f>IF(M358="","",IFERROR(M358/I358,""))</f>
        <v/>
      </c>
      <c r="O358" s="50">
        <f>IF(A358="","",IFERROR((IF(G358="",I358,G358)-T358)/M358,""))</f>
        <v/>
      </c>
      <c r="P358" s="50">
        <f>IFERROR((I358/T358-1)/N358,"")</f>
        <v/>
      </c>
      <c r="Q358" s="46">
        <f>IF(OR(T358="",I358&lt;T358),"",IFERROR(R358/IF(G358="",I358,G358)-1,""))</f>
        <v/>
      </c>
      <c r="R358" s="48">
        <f>IF($M358="","",MAX(IF($G358="",$I358,$G358)*(1/1.1),IF($G358="",$I358,$G358)+(R$2*$M358)))</f>
        <v/>
      </c>
      <c r="S358" s="49">
        <f>IF($M358="","",MAX(IF($G358="",$I358,$G358)*(1/1.1),IF($G358="",$I358,$G358)+(S$2*$M358)))</f>
        <v/>
      </c>
      <c r="T358" s="82" t="n">
        <v>15.16559991359711</v>
      </c>
      <c r="U358" s="47">
        <f>IF(OR($M358="",$T358=""),"",$T358+(U$2*$M358))</f>
        <v/>
      </c>
      <c r="V358" s="48">
        <f>IF(OR($M358="",$T358=""),"",$T358+(V$2*$M358))</f>
        <v/>
      </c>
      <c r="W358" s="48">
        <f>IF(OR($M358="",$T358=""),"",$T358+(W$2*$M358))</f>
        <v/>
      </c>
      <c r="X358" s="49">
        <f>IF(OR($M358="",$T358=""),"",$T358+(X$2*$M358))</f>
        <v/>
      </c>
      <c r="Y358" s="47">
        <f>IF(OR($M358="",$T358=""),"",$T358+(Y$2*$M358))</f>
        <v/>
      </c>
      <c r="Z358" s="49">
        <f>IF(OR($M358="",$T358=""),"",$T358+(Z$2*$M358))</f>
        <v/>
      </c>
      <c r="AA358" s="51">
        <f>IF(OR($M358="",$T358=""),"",$T358+(AA$2*$M358))</f>
        <v/>
      </c>
      <c r="AB358" s="48">
        <f>IF(OR($M358="",$T358=""),"",$T358+(AB$2*$M358))</f>
        <v/>
      </c>
      <c r="AC358" s="48">
        <f>IF(OR($M358="",$T358=""),"",$T358+(AC$2*$M358))</f>
        <v/>
      </c>
      <c r="AD358" s="48">
        <f>IF(OR($M358="",$T358=""),"",$T358+(AD$2*$M358))</f>
        <v/>
      </c>
      <c r="AE358" s="49">
        <f>IF(OR($M358="",$T358=""),"",$T358+(AE$2*$M358))</f>
        <v/>
      </c>
      <c r="AF358" s="52">
        <f>IF(OR(T358="",I358&lt;T358),"",IFERROR(AVERAGE(T358+M358*{7,8,9,10,11})/IF(G358="",I358,G358)-1,""))</f>
        <v/>
      </c>
      <c r="AG358" s="55">
        <f>IF(OR(T358="",I358&lt;T358),"",IFERROR(AF358/-(R358/IF(G358="",I358,G358)-1),""))</f>
        <v/>
      </c>
      <c r="AH358" s="94" t="n">
        <v>-1</v>
      </c>
      <c r="AI358" s="94" t="n">
        <v>-643.5375195386283</v>
      </c>
      <c r="AJ358" s="94" t="n">
        <v>0</v>
      </c>
      <c r="AK358" s="94" t="inlineStr">
        <is>
          <t>OTT Down Trend</t>
        </is>
      </c>
      <c r="AL358" s="84" t="inlineStr">
        <is>
          <t>Elme Communities</t>
        </is>
      </c>
      <c r="AM358" t="inlineStr">
        <is>
          <t>Real Estate</t>
        </is>
      </c>
      <c r="AN358" t="inlineStr">
        <is>
          <t>REIT - Residential</t>
        </is>
      </c>
      <c r="AO358" t="n">
        <v>76</v>
      </c>
    </row>
    <row r="359">
      <c r="A359" s="64" t="inlineStr">
        <is>
          <t>BA</t>
        </is>
      </c>
      <c r="B359" s="65" t="n"/>
      <c r="C359" s="66" t="n"/>
      <c r="D359" s="67" t="n"/>
      <c r="E359" s="68" t="n"/>
      <c r="F359" s="47">
        <f>IF(A359="","",IF(MIN(H359,MAX(J359:K359))=0,"",MIN(H359,MAX(J359:K359))))</f>
        <v/>
      </c>
      <c r="G359" s="74" t="n"/>
      <c r="H359" s="49">
        <f>IF(M359="","",IFERROR(ROUND(AVERAGE(T359+M359*{7,8,9,10,11})/1.21,4),""))</f>
        <v/>
      </c>
      <c r="I359" s="76" t="n">
        <v>247.6799926757812</v>
      </c>
      <c r="J359" s="77" t="n">
        <v>237.8892312166477</v>
      </c>
      <c r="K359" s="74" t="n">
        <v>227.0835006713867</v>
      </c>
      <c r="L359" s="78" t="n">
        <v>208.6647003173828</v>
      </c>
      <c r="M359" s="77" t="n">
        <v>5.379420848432957</v>
      </c>
      <c r="N359" s="53">
        <f>IF(M359="","",IFERROR(M359/I359,""))</f>
        <v/>
      </c>
      <c r="O359" s="50">
        <f>IF(A359="","",IFERROR((IF(G359="",I359,G359)-T359)/M359,""))</f>
        <v/>
      </c>
      <c r="P359" s="50">
        <f>IFERROR((I359/T359-1)/N359,"")</f>
        <v/>
      </c>
      <c r="Q359" s="46">
        <f>IF(OR(T359="",I359&lt;T359),"",IFERROR(R359/IF(G359="",I359,G359)-1,""))</f>
        <v/>
      </c>
      <c r="R359" s="48">
        <f>IF($M359="","",MAX(IF($G359="",$I359,$G359)*(1/1.1),IF($G359="",$I359,$G359)+(R$2*$M359)))</f>
        <v/>
      </c>
      <c r="S359" s="49">
        <f>IF($M359="","",MAX(IF($G359="",$I359,$G359)*(1/1.1),IF($G359="",$I359,$G359)+(S$2*$M359)))</f>
        <v/>
      </c>
      <c r="T359" s="82" t="n">
        <v>207.9170007324219</v>
      </c>
      <c r="U359" s="47">
        <f>IF(OR($M359="",$T359=""),"",$T359+(U$2*$M359))</f>
        <v/>
      </c>
      <c r="V359" s="48">
        <f>IF(OR($M359="",$T359=""),"",$T359+(V$2*$M359))</f>
        <v/>
      </c>
      <c r="W359" s="48">
        <f>IF(OR($M359="",$T359=""),"",$T359+(W$2*$M359))</f>
        <v/>
      </c>
      <c r="X359" s="49">
        <f>IF(OR($M359="",$T359=""),"",$T359+(X$2*$M359))</f>
        <v/>
      </c>
      <c r="Y359" s="47">
        <f>IF(OR($M359="",$T359=""),"",$T359+(Y$2*$M359))</f>
        <v/>
      </c>
      <c r="Z359" s="49">
        <f>IF(OR($M359="",$T359=""),"",$T359+(Z$2*$M359))</f>
        <v/>
      </c>
      <c r="AA359" s="51">
        <f>IF(OR($M359="",$T359=""),"",$T359+(AA$2*$M359))</f>
        <v/>
      </c>
      <c r="AB359" s="48">
        <f>IF(OR($M359="",$T359=""),"",$T359+(AB$2*$M359))</f>
        <v/>
      </c>
      <c r="AC359" s="48">
        <f>IF(OR($M359="",$T359=""),"",$T359+(AC$2*$M359))</f>
        <v/>
      </c>
      <c r="AD359" s="48">
        <f>IF(OR($M359="",$T359=""),"",$T359+(AD$2*$M359))</f>
        <v/>
      </c>
      <c r="AE359" s="49">
        <f>IF(OR($M359="",$T359=""),"",$T359+(AE$2*$M359))</f>
        <v/>
      </c>
      <c r="AF359" s="52">
        <f>IF(OR(T359="",I359&lt;T359),"",IFERROR(AVERAGE(T359+M359*{7,8,9,10,11})/IF(G359="",I359,G359)-1,""))</f>
        <v/>
      </c>
      <c r="AG359" s="55">
        <f>IF(OR(T359="",I359&lt;T359),"",IFERROR(AF359/-(R359/IF(G359="",I359,G359)-1),""))</f>
        <v/>
      </c>
      <c r="AH359" s="94" t="n">
        <v>1</v>
      </c>
      <c r="AI359" s="94" t="n">
        <v>201.5468734299904</v>
      </c>
      <c r="AJ359" s="94" t="n">
        <v>1</v>
      </c>
      <c r="AK359" s="94" t="inlineStr">
        <is>
          <t>OTT Up Trend</t>
        </is>
      </c>
      <c r="AL359" s="84" t="inlineStr">
        <is>
          <t>Boeing Company (The)</t>
        </is>
      </c>
      <c r="AM359" t="inlineStr">
        <is>
          <t>Industrials</t>
        </is>
      </c>
      <c r="AN359" t="inlineStr">
        <is>
          <t>Aerospace &amp; Defense</t>
        </is>
      </c>
      <c r="AO359" t="n">
        <v>76</v>
      </c>
    </row>
    <row r="360">
      <c r="A360" s="64" t="inlineStr">
        <is>
          <t>KN</t>
        </is>
      </c>
      <c r="B360" s="65" t="n"/>
      <c r="C360" s="66" t="n"/>
      <c r="D360" s="67" t="n"/>
      <c r="E360" s="68" t="n"/>
      <c r="F360" s="47">
        <f>IF(A360="","",IF(MIN(H360,MAX(J360:K360))=0,"",MIN(H360,MAX(J360:K360))))</f>
        <v/>
      </c>
      <c r="G360" s="74" t="n"/>
      <c r="H360" s="49">
        <f>IF(M360="","",IFERROR(ROUND(AVERAGE(T360+M360*{7,8,9,10,11})/1.21,4),""))</f>
        <v/>
      </c>
      <c r="I360" s="76" t="n">
        <v>24.57999992370605</v>
      </c>
      <c r="J360" s="77" t="n">
        <v>23.56564066353506</v>
      </c>
      <c r="K360" s="74" t="n">
        <v>22.64400005340576</v>
      </c>
      <c r="L360" s="78" t="n">
        <v>20.0559500169754</v>
      </c>
      <c r="M360" s="77" t="n">
        <v>0.6890478361255435</v>
      </c>
      <c r="N360" s="53">
        <f>IF(M360="","",IFERROR(M360/I360,""))</f>
        <v/>
      </c>
      <c r="O360" s="50">
        <f>IF(A360="","",IFERROR((IF(G360="",I360,G360)-T360)/M360,""))</f>
        <v/>
      </c>
      <c r="P360" s="50">
        <f>IFERROR((I360/T360-1)/N360,"")</f>
        <v/>
      </c>
      <c r="Q360" s="46">
        <f>IF(OR(T360="",I360&lt;T360),"",IFERROR(R360/IF(G360="",I360,G360)-1,""))</f>
        <v/>
      </c>
      <c r="R360" s="48">
        <f>IF($M360="","",MAX(IF($G360="",$I360,$G360)*(1/1.1),IF($G360="",$I360,$G360)+(R$2*$M360)))</f>
        <v/>
      </c>
      <c r="S360" s="49">
        <f>IF($M360="","",MAX(IF($G360="",$I360,$G360)*(1/1.1),IF($G360="",$I360,$G360)+(S$2*$M360)))</f>
        <v/>
      </c>
      <c r="T360" s="82" t="n">
        <v>22.53</v>
      </c>
      <c r="U360" s="47">
        <f>IF(OR($M360="",$T360=""),"",$T360+(U$2*$M360))</f>
        <v/>
      </c>
      <c r="V360" s="48">
        <f>IF(OR($M360="",$T360=""),"",$T360+(V$2*$M360))</f>
        <v/>
      </c>
      <c r="W360" s="48">
        <f>IF(OR($M360="",$T360=""),"",$T360+(W$2*$M360))</f>
        <v/>
      </c>
      <c r="X360" s="49">
        <f>IF(OR($M360="",$T360=""),"",$T360+(X$2*$M360))</f>
        <v/>
      </c>
      <c r="Y360" s="47">
        <f>IF(OR($M360="",$T360=""),"",$T360+(Y$2*$M360))</f>
        <v/>
      </c>
      <c r="Z360" s="49">
        <f>IF(OR($M360="",$T360=""),"",$T360+(Z$2*$M360))</f>
        <v/>
      </c>
      <c r="AA360" s="51">
        <f>IF(OR($M360="",$T360=""),"",$T360+(AA$2*$M360))</f>
        <v/>
      </c>
      <c r="AB360" s="48">
        <f>IF(OR($M360="",$T360=""),"",$T360+(AB$2*$M360))</f>
        <v/>
      </c>
      <c r="AC360" s="48">
        <f>IF(OR($M360="",$T360=""),"",$T360+(AC$2*$M360))</f>
        <v/>
      </c>
      <c r="AD360" s="48">
        <f>IF(OR($M360="",$T360=""),"",$T360+(AD$2*$M360))</f>
        <v/>
      </c>
      <c r="AE360" s="49">
        <f>IF(OR($M360="",$T360=""),"",$T360+(AE$2*$M360))</f>
        <v/>
      </c>
      <c r="AF360" s="52">
        <f>IF(OR(T360="",I360&lt;T360),"",IFERROR(AVERAGE(T360+M360*{7,8,9,10,11})/IF(G360="",I360,G360)-1,""))</f>
        <v/>
      </c>
      <c r="AG360" s="55">
        <f>IF(OR(T360="",I360&lt;T360),"",IFERROR(AF360/-(R360/IF(G360="",I360,G360)-1),""))</f>
        <v/>
      </c>
      <c r="AH360" s="94" t="n">
        <v>1</v>
      </c>
      <c r="AI360" s="94" t="n">
        <v>70.18979404602102</v>
      </c>
      <c r="AJ360" s="94" t="n">
        <v>1</v>
      </c>
      <c r="AK360" s="94" t="inlineStr">
        <is>
          <t>None</t>
        </is>
      </c>
      <c r="AL360" s="84" t="inlineStr">
        <is>
          <t>Knowles Corporation</t>
        </is>
      </c>
      <c r="AM360" t="inlineStr">
        <is>
          <t>Technology</t>
        </is>
      </c>
      <c r="AN360" t="inlineStr">
        <is>
          <t>Electronic Components</t>
        </is>
      </c>
      <c r="AO360" t="n">
        <v>76</v>
      </c>
    </row>
    <row r="361">
      <c r="A361" s="64" t="inlineStr">
        <is>
          <t>MAR</t>
        </is>
      </c>
      <c r="B361" s="65" t="n"/>
      <c r="C361" s="66" t="n"/>
      <c r="D361" s="67" t="n"/>
      <c r="E361" s="68" t="n"/>
      <c r="F361" s="47">
        <f>IF(A361="","",IF(MIN(H361,MAX(J361:K361))=0,"",MIN(H361,MAX(J361:K361))))</f>
        <v/>
      </c>
      <c r="G361" s="74" t="n"/>
      <c r="H361" s="49">
        <f>IF(M361="","",IFERROR(ROUND(AVERAGE(T361+M361*{7,8,9,10,11})/1.21,4),""))</f>
        <v/>
      </c>
      <c r="I361" s="76" t="n">
        <v>325.8800048828125</v>
      </c>
      <c r="J361" s="77" t="n">
        <v>321.8846643031491</v>
      </c>
      <c r="K361" s="74" t="n">
        <v>317.5220001220703</v>
      </c>
      <c r="L361" s="78" t="n">
        <v>271.5806508636475</v>
      </c>
      <c r="M361" s="77" t="n">
        <v>6.768900052111124</v>
      </c>
      <c r="N361" s="53">
        <f>IF(M361="","",IFERROR(M361/I361,""))</f>
        <v/>
      </c>
      <c r="O361" s="50">
        <f>IF(A361="","",IFERROR((IF(G361="",I361,G361)-T361)/M361,""))</f>
        <v/>
      </c>
      <c r="P361" s="50">
        <f>IFERROR((I361/T361-1)/N361,"")</f>
        <v/>
      </c>
      <c r="Q361" s="46">
        <f>IF(OR(T361="",I361&lt;T361),"",IFERROR(R361/IF(G361="",I361,G361)-1,""))</f>
        <v/>
      </c>
      <c r="R361" s="48">
        <f>IF($M361="","",MAX(IF($G361="",$I361,$G361)*(1/1.1),IF($G361="",$I361,$G361)+(R$2*$M361)))</f>
        <v/>
      </c>
      <c r="S361" s="49">
        <f>IF($M361="","",MAX(IF($G361="",$I361,$G361)*(1/1.1),IF($G361="",$I361,$G361)+(S$2*$M361)))</f>
        <v/>
      </c>
      <c r="T361" s="82" t="n">
        <v>303.4532006835938</v>
      </c>
      <c r="U361" s="47">
        <f>IF(OR($M361="",$T361=""),"",$T361+(U$2*$M361))</f>
        <v/>
      </c>
      <c r="V361" s="48">
        <f>IF(OR($M361="",$T361=""),"",$T361+(V$2*$M361))</f>
        <v/>
      </c>
      <c r="W361" s="48">
        <f>IF(OR($M361="",$T361=""),"",$T361+(W$2*$M361))</f>
        <v/>
      </c>
      <c r="X361" s="49">
        <f>IF(OR($M361="",$T361=""),"",$T361+(X$2*$M361))</f>
        <v/>
      </c>
      <c r="Y361" s="47">
        <f>IF(OR($M361="",$T361=""),"",$T361+(Y$2*$M361))</f>
        <v/>
      </c>
      <c r="Z361" s="49">
        <f>IF(OR($M361="",$T361=""),"",$T361+(Z$2*$M361))</f>
        <v/>
      </c>
      <c r="AA361" s="51">
        <f>IF(OR($M361="",$T361=""),"",$T361+(AA$2*$M361))</f>
        <v/>
      </c>
      <c r="AB361" s="48">
        <f>IF(OR($M361="",$T361=""),"",$T361+(AB$2*$M361))</f>
        <v/>
      </c>
      <c r="AC361" s="48">
        <f>IF(OR($M361="",$T361=""),"",$T361+(AC$2*$M361))</f>
        <v/>
      </c>
      <c r="AD361" s="48">
        <f>IF(OR($M361="",$T361=""),"",$T361+(AD$2*$M361))</f>
        <v/>
      </c>
      <c r="AE361" s="49">
        <f>IF(OR($M361="",$T361=""),"",$T361+(AE$2*$M361))</f>
        <v/>
      </c>
      <c r="AF361" s="52">
        <f>IF(OR(T361="",I361&lt;T361),"",IFERROR(AVERAGE(T361+M361*{7,8,9,10,11})/IF(G361="",I361,G361)-1,""))</f>
        <v/>
      </c>
      <c r="AG361" s="55">
        <f>IF(OR(T361="",I361&lt;T361),"",IFERROR(AF361/-(R361/IF(G361="",I361,G361)-1),""))</f>
        <v/>
      </c>
      <c r="AH361" s="94" t="n">
        <v>1</v>
      </c>
      <c r="AI361" s="94" t="n">
        <v>101.948011669131</v>
      </c>
      <c r="AJ361" s="94" t="n">
        <v>0</v>
      </c>
      <c r="AK361" s="94" t="inlineStr">
        <is>
          <t>OTT Up Trend</t>
        </is>
      </c>
      <c r="AL361" s="84" t="inlineStr">
        <is>
          <t>Marriott International</t>
        </is>
      </c>
      <c r="AM361" t="inlineStr">
        <is>
          <t>Consumer Cyclical</t>
        </is>
      </c>
      <c r="AN361" t="inlineStr">
        <is>
          <t>Lodging</t>
        </is>
      </c>
      <c r="AO361" t="n">
        <v>76</v>
      </c>
    </row>
    <row r="362">
      <c r="A362" s="64" t="inlineStr">
        <is>
          <t>TMO</t>
        </is>
      </c>
      <c r="B362" s="65" t="n"/>
      <c r="C362" s="66" t="n"/>
      <c r="D362" s="67" t="n"/>
      <c r="E362" s="68" t="n"/>
      <c r="F362" s="47">
        <f>IF(A362="","",IF(MIN(H362,MAX(J362:K362))=0,"",MIN(H362,MAX(J362:K362))))</f>
        <v/>
      </c>
      <c r="G362" s="74" t="n"/>
      <c r="H362" s="49">
        <f>IF(M362="","",IFERROR(ROUND(AVERAGE(T362+M362*{7,8,9,10,11})/1.21,4),""))</f>
        <v/>
      </c>
      <c r="I362" s="76" t="n">
        <v>618.719970703125</v>
      </c>
      <c r="J362" s="77" t="n">
        <v>612.5930491662992</v>
      </c>
      <c r="K362" s="74" t="n">
        <v>597.4180053710937</v>
      </c>
      <c r="L362" s="78" t="n">
        <v>490.8813508605957</v>
      </c>
      <c r="M362" s="77" t="n">
        <v>13.64306490205338</v>
      </c>
      <c r="N362" s="53">
        <f>IF(M362="","",IFERROR(M362/I362,""))</f>
        <v/>
      </c>
      <c r="O362" s="50">
        <f>IF(A362="","",IFERROR((IF(G362="",I362,G362)-T362)/M362,""))</f>
        <v/>
      </c>
      <c r="P362" s="50">
        <f>IFERROR((I362/T362-1)/N362,"")</f>
        <v/>
      </c>
      <c r="Q362" s="46">
        <f>IF(OR(T362="",I362&lt;T362),"",IFERROR(R362/IF(G362="",I362,G362)-1,""))</f>
        <v/>
      </c>
      <c r="R362" s="48">
        <f>IF($M362="","",MAX(IF($G362="",$I362,$G362)*(1/1.1),IF($G362="",$I362,$G362)+(R$2*$M362)))</f>
        <v/>
      </c>
      <c r="S362" s="49">
        <f>IF($M362="","",MAX(IF($G362="",$I362,$G362)*(1/1.1),IF($G362="",$I362,$G362)+(S$2*$M362)))</f>
        <v/>
      </c>
      <c r="T362" s="82" t="n">
        <v>585.3620031738282</v>
      </c>
      <c r="U362" s="47">
        <f>IF(OR($M362="",$T362=""),"",$T362+(U$2*$M362))</f>
        <v/>
      </c>
      <c r="V362" s="48">
        <f>IF(OR($M362="",$T362=""),"",$T362+(V$2*$M362))</f>
        <v/>
      </c>
      <c r="W362" s="48">
        <f>IF(OR($M362="",$T362=""),"",$T362+(W$2*$M362))</f>
        <v/>
      </c>
      <c r="X362" s="49">
        <f>IF(OR($M362="",$T362=""),"",$T362+(X$2*$M362))</f>
        <v/>
      </c>
      <c r="Y362" s="47">
        <f>IF(OR($M362="",$T362=""),"",$T362+(Y$2*$M362))</f>
        <v/>
      </c>
      <c r="Z362" s="49">
        <f>IF(OR($M362="",$T362=""),"",$T362+(Z$2*$M362))</f>
        <v/>
      </c>
      <c r="AA362" s="51">
        <f>IF(OR($M362="",$T362=""),"",$T362+(AA$2*$M362))</f>
        <v/>
      </c>
      <c r="AB362" s="48">
        <f>IF(OR($M362="",$T362=""),"",$T362+(AB$2*$M362))</f>
        <v/>
      </c>
      <c r="AC362" s="48">
        <f>IF(OR($M362="",$T362=""),"",$T362+(AC$2*$M362))</f>
        <v/>
      </c>
      <c r="AD362" s="48">
        <f>IF(OR($M362="",$T362=""),"",$T362+(AD$2*$M362))</f>
        <v/>
      </c>
      <c r="AE362" s="49">
        <f>IF(OR($M362="",$T362=""),"",$T362+(AE$2*$M362))</f>
        <v/>
      </c>
      <c r="AF362" s="52">
        <f>IF(OR(T362="",I362&lt;T362),"",IFERROR(AVERAGE(T362+M362*{7,8,9,10,11})/IF(G362="",I362,G362)-1,""))</f>
        <v/>
      </c>
      <c r="AG362" s="55">
        <f>IF(OR(T362="",I362&lt;T362),"",IFERROR(AF362/-(R362/IF(G362="",I362,G362)-1),""))</f>
        <v/>
      </c>
      <c r="AH362" s="94" t="n">
        <v>1</v>
      </c>
      <c r="AI362" s="94" t="n">
        <v>92.97294548593983</v>
      </c>
      <c r="AJ362" s="94" t="n">
        <v>1</v>
      </c>
      <c r="AK362" s="94" t="inlineStr">
        <is>
          <t>OTT Up Trend</t>
        </is>
      </c>
      <c r="AL362" s="84" t="inlineStr">
        <is>
          <t>Thermo Fisher Scientific Inc</t>
        </is>
      </c>
      <c r="AM362" t="inlineStr">
        <is>
          <t>Healthcare</t>
        </is>
      </c>
      <c r="AN362" t="inlineStr">
        <is>
          <t>Diagnostics &amp; Research</t>
        </is>
      </c>
      <c r="AO362" t="n">
        <v>76</v>
      </c>
    </row>
    <row r="363">
      <c r="A363" s="64" t="inlineStr">
        <is>
          <t>PLUS</t>
        </is>
      </c>
      <c r="B363" s="65" t="n"/>
      <c r="C363" s="66" t="n"/>
      <c r="D363" s="67" t="n"/>
      <c r="E363" s="68" t="n"/>
      <c r="F363" s="47">
        <f>IF(A363="","",IF(MIN(H363,MAX(J363:K363))=0,"",MIN(H363,MAX(J363:K363))))</f>
        <v/>
      </c>
      <c r="G363" s="74" t="n"/>
      <c r="H363" s="49">
        <f>IF(M363="","",IFERROR(ROUND(AVERAGE(T363+M363*{7,8,9,10,11})/1.21,4),""))</f>
        <v/>
      </c>
      <c r="I363" s="76" t="n">
        <v>87.62000274658203</v>
      </c>
      <c r="J363" s="77" t="n">
        <v>87.69687262875414</v>
      </c>
      <c r="K363" s="74" t="n">
        <v>88.03249931335449</v>
      </c>
      <c r="L363" s="78" t="n">
        <v>73.84344984054566</v>
      </c>
      <c r="M363" s="77" t="n">
        <v>2.57319146107382</v>
      </c>
      <c r="N363" s="53">
        <f>IF(M363="","",IFERROR(M363/I363,""))</f>
        <v/>
      </c>
      <c r="O363" s="50">
        <f>IF(A363="","",IFERROR((IF(G363="",I363,G363)-T363)/M363,""))</f>
        <v/>
      </c>
      <c r="P363" s="50">
        <f>IFERROR((I363/T363-1)/N363,"")</f>
        <v/>
      </c>
      <c r="Q363" s="46">
        <f>IF(OR(T363="",I363&lt;T363),"",IFERROR(R363/IF(G363="",I363,G363)-1,""))</f>
        <v/>
      </c>
      <c r="R363" s="48">
        <f>IF($M363="","",MAX(IF($G363="",$I363,$G363)*(1/1.1),IF($G363="",$I363,$G363)+(R$2*$M363)))</f>
        <v/>
      </c>
      <c r="S363" s="49">
        <f>IF($M363="","",MAX(IF($G363="",$I363,$G363)*(1/1.1),IF($G363="",$I363,$G363)+(S$2*$M363)))</f>
        <v/>
      </c>
      <c r="T363" s="82" t="n">
        <v>88.40239959716797</v>
      </c>
      <c r="U363" s="47">
        <f>IF(OR($M363="",$T363=""),"",$T363+(U$2*$M363))</f>
        <v/>
      </c>
      <c r="V363" s="48">
        <f>IF(OR($M363="",$T363=""),"",$T363+(V$2*$M363))</f>
        <v/>
      </c>
      <c r="W363" s="48">
        <f>IF(OR($M363="",$T363=""),"",$T363+(W$2*$M363))</f>
        <v/>
      </c>
      <c r="X363" s="49">
        <f>IF(OR($M363="",$T363=""),"",$T363+(X$2*$M363))</f>
        <v/>
      </c>
      <c r="Y363" s="47">
        <f>IF(OR($M363="",$T363=""),"",$T363+(Y$2*$M363))</f>
        <v/>
      </c>
      <c r="Z363" s="49">
        <f>IF(OR($M363="",$T363=""),"",$T363+(Z$2*$M363))</f>
        <v/>
      </c>
      <c r="AA363" s="51">
        <f>IF(OR($M363="",$T363=""),"",$T363+(AA$2*$M363))</f>
        <v/>
      </c>
      <c r="AB363" s="48">
        <f>IF(OR($M363="",$T363=""),"",$T363+(AB$2*$M363))</f>
        <v/>
      </c>
      <c r="AC363" s="48">
        <f>IF(OR($M363="",$T363=""),"",$T363+(AC$2*$M363))</f>
        <v/>
      </c>
      <c r="AD363" s="48">
        <f>IF(OR($M363="",$T363=""),"",$T363+(AD$2*$M363))</f>
        <v/>
      </c>
      <c r="AE363" s="49">
        <f>IF(OR($M363="",$T363=""),"",$T363+(AE$2*$M363))</f>
        <v/>
      </c>
      <c r="AF363" s="52">
        <f>IF(OR(T363="",I363&lt;T363),"",IFERROR(AVERAGE(T363+M363*{7,8,9,10,11})/IF(G363="",I363,G363)-1,""))</f>
        <v/>
      </c>
      <c r="AG363" s="55">
        <f>IF(OR(T363="",I363&lt;T363),"",IFERROR(AF363/-(R363/IF(G363="",I363,G363)-1),""))</f>
        <v/>
      </c>
      <c r="AH363" s="94" t="n">
        <v>1</v>
      </c>
      <c r="AI363" s="94" t="n">
        <v>-4.740991243178262</v>
      </c>
      <c r="AJ363" s="94" t="n">
        <v>0</v>
      </c>
      <c r="AK363" s="94" t="inlineStr">
        <is>
          <t>None</t>
        </is>
      </c>
      <c r="AL363" s="84" t="inlineStr">
        <is>
          <t>ePlus inc.</t>
        </is>
      </c>
      <c r="AM363" t="inlineStr">
        <is>
          <t>Technology</t>
        </is>
      </c>
      <c r="AN363" t="inlineStr">
        <is>
          <t>Software - Application</t>
        </is>
      </c>
      <c r="AO363" t="n">
        <v>76</v>
      </c>
    </row>
    <row r="364">
      <c r="A364" s="64" t="inlineStr">
        <is>
          <t>ANF</t>
        </is>
      </c>
      <c r="B364" s="65" t="n"/>
      <c r="C364" s="66" t="n"/>
      <c r="D364" s="67" t="n"/>
      <c r="E364" s="68" t="n"/>
      <c r="F364" s="47">
        <f>IF(A364="","",IF(MIN(H364,MAX(J364:K364))=0,"",MIN(H364,MAX(J364:K364))))</f>
        <v/>
      </c>
      <c r="G364" s="74" t="n"/>
      <c r="H364" s="49">
        <f>IF(M364="","",IFERROR(ROUND(AVERAGE(T364+M364*{7,8,9,10,11})/1.21,4),""))</f>
        <v/>
      </c>
      <c r="I364" s="76" t="n">
        <v>104.129997253418</v>
      </c>
      <c r="J364" s="77" t="n">
        <v>111.9353802082599</v>
      </c>
      <c r="K364" s="74" t="n">
        <v>120.1130001068115</v>
      </c>
      <c r="L364" s="78" t="n">
        <v>87.34015003204345</v>
      </c>
      <c r="M364" s="77" t="n">
        <v>6.4418581043985</v>
      </c>
      <c r="N364" s="53">
        <f>IF(M364="","",IFERROR(M364/I364,""))</f>
        <v/>
      </c>
      <c r="O364" s="50">
        <f>IF(A364="","",IFERROR((IF(G364="",I364,G364)-T364)/M364,""))</f>
        <v/>
      </c>
      <c r="P364" s="50">
        <f>IFERROR((I364/T364-1)/N364,"")</f>
        <v/>
      </c>
      <c r="Q364" s="46">
        <f>IF(OR(T364="",I364&lt;T364),"",IFERROR(R364/IF(G364="",I364,G364)-1,""))</f>
        <v/>
      </c>
      <c r="R364" s="48">
        <f>IF($M364="","",MAX(IF($G364="",$I364,$G364)*(1/1.1),IF($G364="",$I364,$G364)+(R$2*$M364)))</f>
        <v/>
      </c>
      <c r="S364" s="49">
        <f>IF($M364="","",MAX(IF($G364="",$I364,$G364)*(1/1.1),IF($G364="",$I364,$G364)+(S$2*$M364)))</f>
        <v/>
      </c>
      <c r="T364" s="82" t="n">
        <v>100.6645999145508</v>
      </c>
      <c r="U364" s="47">
        <f>IF(OR($M364="",$T364=""),"",$T364+(U$2*$M364))</f>
        <v/>
      </c>
      <c r="V364" s="48">
        <f>IF(OR($M364="",$T364=""),"",$T364+(V$2*$M364))</f>
        <v/>
      </c>
      <c r="W364" s="48">
        <f>IF(OR($M364="",$T364=""),"",$T364+(W$2*$M364))</f>
        <v/>
      </c>
      <c r="X364" s="49">
        <f>IF(OR($M364="",$T364=""),"",$T364+(X$2*$M364))</f>
        <v/>
      </c>
      <c r="Y364" s="47">
        <f>IF(OR($M364="",$T364=""),"",$T364+(Y$2*$M364))</f>
        <v/>
      </c>
      <c r="Z364" s="49">
        <f>IF(OR($M364="",$T364=""),"",$T364+(Z$2*$M364))</f>
        <v/>
      </c>
      <c r="AA364" s="51">
        <f>IF(OR($M364="",$T364=""),"",$T364+(AA$2*$M364))</f>
        <v/>
      </c>
      <c r="AB364" s="48">
        <f>IF(OR($M364="",$T364=""),"",$T364+(AB$2*$M364))</f>
        <v/>
      </c>
      <c r="AC364" s="48">
        <f>IF(OR($M364="",$T364=""),"",$T364+(AC$2*$M364))</f>
        <v/>
      </c>
      <c r="AD364" s="48">
        <f>IF(OR($M364="",$T364=""),"",$T364+(AD$2*$M364))</f>
        <v/>
      </c>
      <c r="AE364" s="49">
        <f>IF(OR($M364="",$T364=""),"",$T364+(AE$2*$M364))</f>
        <v/>
      </c>
      <c r="AF364" s="52">
        <f>IF(OR(T364="",I364&lt;T364),"",IFERROR(AVERAGE(T364+M364*{7,8,9,10,11})/IF(G364="",I364,G364)-1,""))</f>
        <v/>
      </c>
      <c r="AG364" s="55">
        <f>IF(OR(T364="",I364&lt;T364),"",IFERROR(AF364/-(R364/IF(G364="",I364,G364)-1),""))</f>
        <v/>
      </c>
      <c r="AH364" s="94" t="n">
        <v>-1</v>
      </c>
      <c r="AI364" s="94" t="n">
        <v>9.019579534790493</v>
      </c>
      <c r="AJ364" s="94" t="n">
        <v>0</v>
      </c>
      <c r="AK364" s="94" t="inlineStr">
        <is>
          <t>None</t>
        </is>
      </c>
      <c r="AL364" s="84" t="inlineStr">
        <is>
          <t>Abercrombie &amp; Fitch Company</t>
        </is>
      </c>
      <c r="AM364" t="inlineStr">
        <is>
          <t>Consumer Cyclical</t>
        </is>
      </c>
      <c r="AN364" t="inlineStr">
        <is>
          <t>Apparel Retail</t>
        </is>
      </c>
      <c r="AO364" t="n">
        <v>76</v>
      </c>
    </row>
    <row r="365">
      <c r="A365" s="64" t="inlineStr">
        <is>
          <t>PLXS</t>
        </is>
      </c>
      <c r="B365" s="65" t="n"/>
      <c r="C365" s="66" t="n"/>
      <c r="D365" s="67" t="n"/>
      <c r="E365" s="68" t="n"/>
      <c r="F365" s="47">
        <f>IF(A365="","",IF(MIN(H365,MAX(J365:K365))=0,"",MIN(H365,MAX(J365:K365))))</f>
        <v/>
      </c>
      <c r="G365" s="74" t="n"/>
      <c r="H365" s="49">
        <f>IF(M365="","",IFERROR(ROUND(AVERAGE(T365+M365*{7,8,9,10,11})/1.21,4),""))</f>
        <v/>
      </c>
      <c r="I365" s="76" t="n">
        <v>181.3000030517578</v>
      </c>
      <c r="J365" s="77" t="n">
        <v>167.8697738527304</v>
      </c>
      <c r="K365" s="74" t="n">
        <v>158.3720001220703</v>
      </c>
      <c r="L365" s="78" t="n">
        <v>138.2510999298096</v>
      </c>
      <c r="M365" s="77" t="n">
        <v>5.82249869403902</v>
      </c>
      <c r="N365" s="53">
        <f>IF(M365="","",IFERROR(M365/I365,""))</f>
        <v/>
      </c>
      <c r="O365" s="50">
        <f>IF(A365="","",IFERROR((IF(G365="",I365,G365)-T365)/M365,""))</f>
        <v/>
      </c>
      <c r="P365" s="50">
        <f>IFERROR((I365/T365-1)/N365,"")</f>
        <v/>
      </c>
      <c r="Q365" s="46">
        <f>IF(OR(T365="",I365&lt;T365),"",IFERROR(R365/IF(G365="",I365,G365)-1,""))</f>
        <v/>
      </c>
      <c r="R365" s="48">
        <f>IF($M365="","",MAX(IF($G365="",$I365,$G365)*(1/1.1),IF($G365="",$I365,$G365)+(R$2*$M365)))</f>
        <v/>
      </c>
      <c r="S365" s="49">
        <f>IF($M365="","",MAX(IF($G365="",$I365,$G365)*(1/1.1),IF($G365="",$I365,$G365)+(S$2*$M365)))</f>
        <v/>
      </c>
      <c r="T365" s="82" t="n">
        <v>151.3089999389648</v>
      </c>
      <c r="U365" s="47">
        <f>IF(OR($M365="",$T365=""),"",$T365+(U$2*$M365))</f>
        <v/>
      </c>
      <c r="V365" s="48">
        <f>IF(OR($M365="",$T365=""),"",$T365+(V$2*$M365))</f>
        <v/>
      </c>
      <c r="W365" s="48">
        <f>IF(OR($M365="",$T365=""),"",$T365+(W$2*$M365))</f>
        <v/>
      </c>
      <c r="X365" s="49">
        <f>IF(OR($M365="",$T365=""),"",$T365+(X$2*$M365))</f>
        <v/>
      </c>
      <c r="Y365" s="47">
        <f>IF(OR($M365="",$T365=""),"",$T365+(Y$2*$M365))</f>
        <v/>
      </c>
      <c r="Z365" s="49">
        <f>IF(OR($M365="",$T365=""),"",$T365+(Z$2*$M365))</f>
        <v/>
      </c>
      <c r="AA365" s="51">
        <f>IF(OR($M365="",$T365=""),"",$T365+(AA$2*$M365))</f>
        <v/>
      </c>
      <c r="AB365" s="48">
        <f>IF(OR($M365="",$T365=""),"",$T365+(AB$2*$M365))</f>
        <v/>
      </c>
      <c r="AC365" s="48">
        <f>IF(OR($M365="",$T365=""),"",$T365+(AC$2*$M365))</f>
        <v/>
      </c>
      <c r="AD365" s="48">
        <f>IF(OR($M365="",$T365=""),"",$T365+(AD$2*$M365))</f>
        <v/>
      </c>
      <c r="AE365" s="49">
        <f>IF(OR($M365="",$T365=""),"",$T365+(AE$2*$M365))</f>
        <v/>
      </c>
      <c r="AF365" s="52">
        <f>IF(OR(T365="",I365&lt;T365),"",IFERROR(AVERAGE(T365+M365*{7,8,9,10,11})/IF(G365="",I365,G365)-1,""))</f>
        <v/>
      </c>
      <c r="AG365" s="55">
        <f>IF(OR(T365="",I365&lt;T365),"",IFERROR(AF365/-(R365/IF(G365="",I365,G365)-1),""))</f>
        <v/>
      </c>
      <c r="AH365" s="94" t="n">
        <v>1</v>
      </c>
      <c r="AI365" s="94" t="n">
        <v>122.2837709764893</v>
      </c>
      <c r="AJ365" s="94" t="n">
        <v>1</v>
      </c>
      <c r="AK365" s="94" t="inlineStr">
        <is>
          <t>OTT Up Trend</t>
        </is>
      </c>
      <c r="AL365" s="84" t="inlineStr">
        <is>
          <t>Plexus Corp.</t>
        </is>
      </c>
      <c r="AM365" t="inlineStr">
        <is>
          <t>Technology</t>
        </is>
      </c>
      <c r="AN365" t="inlineStr">
        <is>
          <t>Electronic Components</t>
        </is>
      </c>
      <c r="AO365" t="n">
        <v>75</v>
      </c>
    </row>
    <row r="366">
      <c r="A366" s="64" t="inlineStr">
        <is>
          <t>CELH</t>
        </is>
      </c>
      <c r="B366" s="65" t="n"/>
      <c r="C366" s="66" t="n"/>
      <c r="D366" s="67" t="n"/>
      <c r="E366" s="68" t="n"/>
      <c r="F366" s="47">
        <f>IF(A366="","",IF(MIN(H366,MAX(J366:K366))=0,"",MIN(H366,MAX(J366:K366))))</f>
        <v/>
      </c>
      <c r="G366" s="74" t="n"/>
      <c r="H366" s="49">
        <f>IF(M366="","",IFERROR(ROUND(AVERAGE(T366+M366*{7,8,9,10,11})/1.21,4),""))</f>
        <v/>
      </c>
      <c r="I366" s="76" t="n">
        <v>54.38999938964844</v>
      </c>
      <c r="J366" s="77" t="n">
        <v>51.81520190519792</v>
      </c>
      <c r="K366" s="74" t="n">
        <v>48.44349994659424</v>
      </c>
      <c r="L366" s="78" t="n">
        <v>47.44890007019043</v>
      </c>
      <c r="M366" s="77" t="n">
        <v>1.810379607594572</v>
      </c>
      <c r="N366" s="53">
        <f>IF(M366="","",IFERROR(M366/I366,""))</f>
        <v/>
      </c>
      <c r="O366" s="50">
        <f>IF(A366="","",IFERROR((IF(G366="",I366,G366)-T366)/M366,""))</f>
        <v/>
      </c>
      <c r="P366" s="50">
        <f>IFERROR((I366/T366-1)/N366,"")</f>
        <v/>
      </c>
      <c r="Q366" s="46">
        <f>IF(OR(T366="",I366&lt;T366),"",IFERROR(R366/IF(G366="",I366,G366)-1,""))</f>
        <v/>
      </c>
      <c r="R366" s="48">
        <f>IF($M366="","",MAX(IF($G366="",$I366,$G366)*(1/1.1),IF($G366="",$I366,$G366)+(R$2*$M366)))</f>
        <v/>
      </c>
      <c r="S366" s="49">
        <f>IF($M366="","",MAX(IF($G366="",$I366,$G366)*(1/1.1),IF($G366="",$I366,$G366)+(S$2*$M366)))</f>
        <v/>
      </c>
      <c r="T366" s="82" t="n">
        <v>45.06300003051758</v>
      </c>
      <c r="U366" s="47">
        <f>IF(OR($M366="",$T366=""),"",$T366+(U$2*$M366))</f>
        <v/>
      </c>
      <c r="V366" s="48">
        <f>IF(OR($M366="",$T366=""),"",$T366+(V$2*$M366))</f>
        <v/>
      </c>
      <c r="W366" s="48">
        <f>IF(OR($M366="",$T366=""),"",$T366+(W$2*$M366))</f>
        <v/>
      </c>
      <c r="X366" s="49">
        <f>IF(OR($M366="",$T366=""),"",$T366+(X$2*$M366))</f>
        <v/>
      </c>
      <c r="Y366" s="47">
        <f>IF(OR($M366="",$T366=""),"",$T366+(Y$2*$M366))</f>
        <v/>
      </c>
      <c r="Z366" s="49">
        <f>IF(OR($M366="",$T366=""),"",$T366+(Z$2*$M366))</f>
        <v/>
      </c>
      <c r="AA366" s="51">
        <f>IF(OR($M366="",$T366=""),"",$T366+(AA$2*$M366))</f>
        <v/>
      </c>
      <c r="AB366" s="48">
        <f>IF(OR($M366="",$T366=""),"",$T366+(AB$2*$M366))</f>
        <v/>
      </c>
      <c r="AC366" s="48">
        <f>IF(OR($M366="",$T366=""),"",$T366+(AC$2*$M366))</f>
        <v/>
      </c>
      <c r="AD366" s="48">
        <f>IF(OR($M366="",$T366=""),"",$T366+(AD$2*$M366))</f>
        <v/>
      </c>
      <c r="AE366" s="49">
        <f>IF(OR($M366="",$T366=""),"",$T366+(AE$2*$M366))</f>
        <v/>
      </c>
      <c r="AF366" s="52">
        <f>IF(OR(T366="",I366&lt;T366),"",IFERROR(AVERAGE(T366+M366*{7,8,9,10,11})/IF(G366="",I366,G366)-1,""))</f>
        <v/>
      </c>
      <c r="AG366" s="55">
        <f>IF(OR(T366="",I366&lt;T366),"",IFERROR(AF366/-(R366/IF(G366="",I366,G366)-1),""))</f>
        <v/>
      </c>
      <c r="AH366" s="94" t="n">
        <v>1</v>
      </c>
      <c r="AI366" s="94" t="n">
        <v>122.2357592367002</v>
      </c>
      <c r="AJ366" s="94" t="n">
        <v>1</v>
      </c>
      <c r="AK366" s="94" t="inlineStr">
        <is>
          <t>OTT Up Trend</t>
        </is>
      </c>
      <c r="AL366" s="84" t="inlineStr">
        <is>
          <t>Celsius Holdings, Inc.</t>
        </is>
      </c>
      <c r="AM366" t="inlineStr">
        <is>
          <t>Consumer Defensive</t>
        </is>
      </c>
      <c r="AN366" t="inlineStr">
        <is>
          <t>Beverages - Non-Alcoholic</t>
        </is>
      </c>
      <c r="AO366" t="n">
        <v>75</v>
      </c>
    </row>
    <row r="367">
      <c r="A367" s="64" t="inlineStr">
        <is>
          <t>SWK</t>
        </is>
      </c>
      <c r="B367" s="65" t="n"/>
      <c r="C367" s="66" t="n"/>
      <c r="D367" s="67" t="n"/>
      <c r="E367" s="68" t="n"/>
      <c r="F367" s="47">
        <f>IF(A367="","",IF(MIN(H367,MAX(J367:K367))=0,"",MIN(H367,MAX(J367:K367))))</f>
        <v/>
      </c>
      <c r="G367" s="74" t="n"/>
      <c r="H367" s="49">
        <f>IF(M367="","",IFERROR(ROUND(AVERAGE(T367+M367*{7,8,9,10,11})/1.21,4),""))</f>
        <v/>
      </c>
      <c r="I367" s="76" t="n">
        <v>84.61000061035156</v>
      </c>
      <c r="J367" s="77" t="n">
        <v>81.86535263242097</v>
      </c>
      <c r="K367" s="74" t="n">
        <v>78.27600059509277</v>
      </c>
      <c r="L367" s="78" t="n">
        <v>70.10004999160766</v>
      </c>
      <c r="M367" s="77" t="n">
        <v>2.444518425936257</v>
      </c>
      <c r="N367" s="53">
        <f>IF(M367="","",IFERROR(M367/I367,""))</f>
        <v/>
      </c>
      <c r="O367" s="50">
        <f>IF(A367="","",IFERROR((IF(G367="",I367,G367)-T367)/M367,""))</f>
        <v/>
      </c>
      <c r="P367" s="50">
        <f>IFERROR((I367/T367-1)/N367,"")</f>
        <v/>
      </c>
      <c r="Q367" s="46">
        <f>IF(OR(T367="",I367&lt;T367),"",IFERROR(R367/IF(G367="",I367,G367)-1,""))</f>
        <v/>
      </c>
      <c r="R367" s="48">
        <f>IF($M367="","",MAX(IF($G367="",$I367,$G367)*(1/1.1),IF($G367="",$I367,$G367)+(R$2*$M367)))</f>
        <v/>
      </c>
      <c r="S367" s="49">
        <f>IF($M367="","",MAX(IF($G367="",$I367,$G367)*(1/1.1),IF($G367="",$I367,$G367)+(S$2*$M367)))</f>
        <v/>
      </c>
      <c r="T367" s="82" t="n">
        <v>73.12820037841797</v>
      </c>
      <c r="U367" s="47">
        <f>IF(OR($M367="",$T367=""),"",$T367+(U$2*$M367))</f>
        <v/>
      </c>
      <c r="V367" s="48">
        <f>IF(OR($M367="",$T367=""),"",$T367+(V$2*$M367))</f>
        <v/>
      </c>
      <c r="W367" s="48">
        <f>IF(OR($M367="",$T367=""),"",$T367+(W$2*$M367))</f>
        <v/>
      </c>
      <c r="X367" s="49">
        <f>IF(OR($M367="",$T367=""),"",$T367+(X$2*$M367))</f>
        <v/>
      </c>
      <c r="Y367" s="47">
        <f>IF(OR($M367="",$T367=""),"",$T367+(Y$2*$M367))</f>
        <v/>
      </c>
      <c r="Z367" s="49">
        <f>IF(OR($M367="",$T367=""),"",$T367+(Z$2*$M367))</f>
        <v/>
      </c>
      <c r="AA367" s="51">
        <f>IF(OR($M367="",$T367=""),"",$T367+(AA$2*$M367))</f>
        <v/>
      </c>
      <c r="AB367" s="48">
        <f>IF(OR($M367="",$T367=""),"",$T367+(AB$2*$M367))</f>
        <v/>
      </c>
      <c r="AC367" s="48">
        <f>IF(OR($M367="",$T367=""),"",$T367+(AC$2*$M367))</f>
        <v/>
      </c>
      <c r="AD367" s="48">
        <f>IF(OR($M367="",$T367=""),"",$T367+(AD$2*$M367))</f>
        <v/>
      </c>
      <c r="AE367" s="49">
        <f>IF(OR($M367="",$T367=""),"",$T367+(AE$2*$M367))</f>
        <v/>
      </c>
      <c r="AF367" s="52">
        <f>IF(OR(T367="",I367&lt;T367),"",IFERROR(AVERAGE(T367+M367*{7,8,9,10,11})/IF(G367="",I367,G367)-1,""))</f>
        <v/>
      </c>
      <c r="AG367" s="55">
        <f>IF(OR(T367="",I367&lt;T367),"",IFERROR(AF367/-(R367/IF(G367="",I367,G367)-1),""))</f>
        <v/>
      </c>
      <c r="AH367" s="94" t="n">
        <v>1</v>
      </c>
      <c r="AI367" s="94" t="n">
        <v>131.5978397774592</v>
      </c>
      <c r="AJ367" s="94" t="n">
        <v>1</v>
      </c>
      <c r="AK367" s="94" t="inlineStr">
        <is>
          <t>OTT Up Trend</t>
        </is>
      </c>
      <c r="AL367" s="84" t="inlineStr">
        <is>
          <t>Stanley Black &amp; Decker, Inc.</t>
        </is>
      </c>
      <c r="AM367" t="inlineStr">
        <is>
          <t>Industrials</t>
        </is>
      </c>
      <c r="AN367" t="inlineStr">
        <is>
          <t>Tools &amp; Accessories</t>
        </is>
      </c>
      <c r="AO367" t="n">
        <v>75</v>
      </c>
    </row>
    <row r="368">
      <c r="A368" s="64" t="inlineStr">
        <is>
          <t>NVDA</t>
        </is>
      </c>
      <c r="B368" s="65" t="n"/>
      <c r="C368" s="66" t="n"/>
      <c r="D368" s="67" t="n"/>
      <c r="E368" s="68" t="n"/>
      <c r="F368" s="47">
        <f>IF(A368="","",IF(MIN(H368,MAX(J368:K368))=0,"",MIN(H368,MAX(J368:K368))))</f>
        <v/>
      </c>
      <c r="G368" s="74" t="n"/>
      <c r="H368" s="49">
        <f>IF(M368="","",IFERROR(ROUND(AVERAGE(T368+M368*{7,8,9,10,11})/1.21,4),""))</f>
        <v/>
      </c>
      <c r="I368" s="76" t="n">
        <v>186.2299957275391</v>
      </c>
      <c r="J368" s="77" t="n">
        <v>185.869161585171</v>
      </c>
      <c r="K368" s="74" t="n">
        <v>185.9910003662109</v>
      </c>
      <c r="L368" s="78" t="n">
        <v>164.056350479126</v>
      </c>
      <c r="M368" s="77" t="n">
        <v>5.191166818167715</v>
      </c>
      <c r="N368" s="53">
        <f>IF(M368="","",IFERROR(M368/I368,""))</f>
        <v/>
      </c>
      <c r="O368" s="50">
        <f>IF(A368="","",IFERROR((IF(G368="",I368,G368)-T368)/M368,""))</f>
        <v/>
      </c>
      <c r="P368" s="50">
        <f>IFERROR((I368/T368-1)/N368,"")</f>
        <v/>
      </c>
      <c r="Q368" s="46">
        <f>IF(OR(T368="",I368&lt;T368),"",IFERROR(R368/IF(G368="",I368,G368)-1,""))</f>
        <v/>
      </c>
      <c r="R368" s="48">
        <f>IF($M368="","",MAX(IF($G368="",$I368,$G368)*(1/1.1),IF($G368="",$I368,$G368)+(R$2*$M368)))</f>
        <v/>
      </c>
      <c r="S368" s="49">
        <f>IF($M368="","",MAX(IF($G368="",$I368,$G368)*(1/1.1),IF($G368="",$I368,$G368)+(S$2*$M368)))</f>
        <v/>
      </c>
      <c r="T368" s="82" t="n">
        <v>184.5578009033203</v>
      </c>
      <c r="U368" s="47">
        <f>IF(OR($M368="",$T368=""),"",$T368+(U$2*$M368))</f>
        <v/>
      </c>
      <c r="V368" s="48">
        <f>IF(OR($M368="",$T368=""),"",$T368+(V$2*$M368))</f>
        <v/>
      </c>
      <c r="W368" s="48">
        <f>IF(OR($M368="",$T368=""),"",$T368+(W$2*$M368))</f>
        <v/>
      </c>
      <c r="X368" s="49">
        <f>IF(OR($M368="",$T368=""),"",$T368+(X$2*$M368))</f>
        <v/>
      </c>
      <c r="Y368" s="47">
        <f>IF(OR($M368="",$T368=""),"",$T368+(Y$2*$M368))</f>
        <v/>
      </c>
      <c r="Z368" s="49">
        <f>IF(OR($M368="",$T368=""),"",$T368+(Z$2*$M368))</f>
        <v/>
      </c>
      <c r="AA368" s="51">
        <f>IF(OR($M368="",$T368=""),"",$T368+(AA$2*$M368))</f>
        <v/>
      </c>
      <c r="AB368" s="48">
        <f>IF(OR($M368="",$T368=""),"",$T368+(AB$2*$M368))</f>
        <v/>
      </c>
      <c r="AC368" s="48">
        <f>IF(OR($M368="",$T368=""),"",$T368+(AC$2*$M368))</f>
        <v/>
      </c>
      <c r="AD368" s="48">
        <f>IF(OR($M368="",$T368=""),"",$T368+(AD$2*$M368))</f>
        <v/>
      </c>
      <c r="AE368" s="49">
        <f>IF(OR($M368="",$T368=""),"",$T368+(AE$2*$M368))</f>
        <v/>
      </c>
      <c r="AF368" s="52">
        <f>IF(OR(T368="",I368&lt;T368),"",IFERROR(AVERAGE(T368+M368*{7,8,9,10,11})/IF(G368="",I368,G368)-1,""))</f>
        <v/>
      </c>
      <c r="AG368" s="55">
        <f>IF(OR(T368="",I368&lt;T368),"",IFERROR(AF368/-(R368/IF(G368="",I368,G368)-1),""))</f>
        <v/>
      </c>
      <c r="AH368" s="94" t="n">
        <v>-1</v>
      </c>
      <c r="AI368" s="94" t="n">
        <v>10.66087447804459</v>
      </c>
      <c r="AJ368" s="94" t="n">
        <v>0</v>
      </c>
      <c r="AK368" s="94" t="inlineStr">
        <is>
          <t>None</t>
        </is>
      </c>
      <c r="AL368" s="84" t="inlineStr">
        <is>
          <t>NVIDIA Corporation</t>
        </is>
      </c>
      <c r="AM368" t="inlineStr">
        <is>
          <t>Technology</t>
        </is>
      </c>
      <c r="AN368" t="inlineStr">
        <is>
          <t>Semiconductors</t>
        </is>
      </c>
      <c r="AO368" t="n">
        <v>75</v>
      </c>
    </row>
    <row r="369">
      <c r="A369" s="64" t="inlineStr">
        <is>
          <t>LECO</t>
        </is>
      </c>
      <c r="B369" s="65" t="n"/>
      <c r="C369" s="66" t="n"/>
      <c r="D369" s="67" t="n"/>
      <c r="E369" s="68" t="n"/>
      <c r="F369" s="47">
        <f>IF(A369="","",IF(MIN(H369,MAX(J369:K369))=0,"",MIN(H369,MAX(J369:K369))))</f>
        <v/>
      </c>
      <c r="G369" s="74" t="n"/>
      <c r="H369" s="49">
        <f>IF(M369="","",IFERROR(ROUND(AVERAGE(T369+M369*{7,8,9,10,11})/1.21,4),""))</f>
        <v/>
      </c>
      <c r="I369" s="76" t="n">
        <v>263.7200012207031</v>
      </c>
      <c r="J369" s="77" t="n">
        <v>254.5733566537557</v>
      </c>
      <c r="K369" s="74" t="n">
        <v>248.7035003662109</v>
      </c>
      <c r="L369" s="78" t="n">
        <v>222.9384003448486</v>
      </c>
      <c r="M369" s="77" t="n">
        <v>5.722161442287848</v>
      </c>
      <c r="N369" s="53">
        <f>IF(M369="","",IFERROR(M369/I369,""))</f>
        <v/>
      </c>
      <c r="O369" s="50">
        <f>IF(A369="","",IFERROR((IF(G369="",I369,G369)-T369)/M369,""))</f>
        <v/>
      </c>
      <c r="P369" s="50">
        <f>IFERROR((I369/T369-1)/N369,"")</f>
        <v/>
      </c>
      <c r="Q369" s="46">
        <f>IF(OR(T369="",I369&lt;T369),"",IFERROR(R369/IF(G369="",I369,G369)-1,""))</f>
        <v/>
      </c>
      <c r="R369" s="48">
        <f>IF($M369="","",MAX(IF($G369="",$I369,$G369)*(1/1.1),IF($G369="",$I369,$G369)+(R$2*$M369)))</f>
        <v/>
      </c>
      <c r="S369" s="49">
        <f>IF($M369="","",MAX(IF($G369="",$I369,$G369)*(1/1.1),IF($G369="",$I369,$G369)+(S$2*$M369)))</f>
        <v/>
      </c>
      <c r="T369" s="82" t="n">
        <v>240.5246011352539</v>
      </c>
      <c r="U369" s="47">
        <f>IF(OR($M369="",$T369=""),"",$T369+(U$2*$M369))</f>
        <v/>
      </c>
      <c r="V369" s="48">
        <f>IF(OR($M369="",$T369=""),"",$T369+(V$2*$M369))</f>
        <v/>
      </c>
      <c r="W369" s="48">
        <f>IF(OR($M369="",$T369=""),"",$T369+(W$2*$M369))</f>
        <v/>
      </c>
      <c r="X369" s="49">
        <f>IF(OR($M369="",$T369=""),"",$T369+(X$2*$M369))</f>
        <v/>
      </c>
      <c r="Y369" s="47">
        <f>IF(OR($M369="",$T369=""),"",$T369+(Y$2*$M369))</f>
        <v/>
      </c>
      <c r="Z369" s="49">
        <f>IF(OR($M369="",$T369=""),"",$T369+(Z$2*$M369))</f>
        <v/>
      </c>
      <c r="AA369" s="51">
        <f>IF(OR($M369="",$T369=""),"",$T369+(AA$2*$M369))</f>
        <v/>
      </c>
      <c r="AB369" s="48">
        <f>IF(OR($M369="",$T369=""),"",$T369+(AB$2*$M369))</f>
        <v/>
      </c>
      <c r="AC369" s="48">
        <f>IF(OR($M369="",$T369=""),"",$T369+(AC$2*$M369))</f>
        <v/>
      </c>
      <c r="AD369" s="48">
        <f>IF(OR($M369="",$T369=""),"",$T369+(AD$2*$M369))</f>
        <v/>
      </c>
      <c r="AE369" s="49">
        <f>IF(OR($M369="",$T369=""),"",$T369+(AE$2*$M369))</f>
        <v/>
      </c>
      <c r="AF369" s="52">
        <f>IF(OR(T369="",I369&lt;T369),"",IFERROR(AVERAGE(T369+M369*{7,8,9,10,11})/IF(G369="",I369,G369)-1,""))</f>
        <v/>
      </c>
      <c r="AG369" s="55">
        <f>IF(OR(T369="",I369&lt;T369),"",IFERROR(AF369/-(R369/IF(G369="",I369,G369)-1),""))</f>
        <v/>
      </c>
      <c r="AH369" s="94" t="n">
        <v>1</v>
      </c>
      <c r="AI369" s="94" t="n">
        <v>87.03627299079949</v>
      </c>
      <c r="AJ369" s="94" t="n">
        <v>1</v>
      </c>
      <c r="AK369" s="94" t="inlineStr">
        <is>
          <t>OTT Up Trend</t>
        </is>
      </c>
      <c r="AL369" s="84" t="inlineStr">
        <is>
          <t>Lincoln Electric Holdings, Inc.</t>
        </is>
      </c>
      <c r="AM369" t="inlineStr">
        <is>
          <t>Industrials</t>
        </is>
      </c>
      <c r="AN369" t="inlineStr">
        <is>
          <t>Tools &amp; Accessories</t>
        </is>
      </c>
      <c r="AO369" t="n">
        <v>75</v>
      </c>
    </row>
    <row r="370">
      <c r="A370" s="64" t="inlineStr">
        <is>
          <t>ASTE</t>
        </is>
      </c>
      <c r="B370" s="65" t="n"/>
      <c r="C370" s="66" t="n"/>
      <c r="D370" s="67" t="n"/>
      <c r="E370" s="68" t="n"/>
      <c r="F370" s="47">
        <f>IF(A370="","",IF(MIN(H370,MAX(J370:K370))=0,"",MIN(H370,MAX(J370:K370))))</f>
        <v/>
      </c>
      <c r="G370" s="74" t="n"/>
      <c r="H370" s="49">
        <f>IF(M370="","",IFERROR(ROUND(AVERAGE(T370+M370*{7,8,9,10,11})/1.21,4),""))</f>
        <v/>
      </c>
      <c r="I370" s="76" t="n">
        <v>49.09999847412109</v>
      </c>
      <c r="J370" s="77" t="n">
        <v>47.9501037656899</v>
      </c>
      <c r="K370" s="74" t="n">
        <v>46.52400016784668</v>
      </c>
      <c r="L370" s="78" t="n">
        <v>42.8135000705719</v>
      </c>
      <c r="M370" s="77" t="n">
        <v>1.481365501470282</v>
      </c>
      <c r="N370" s="53">
        <f>IF(M370="","",IFERROR(M370/I370,""))</f>
        <v/>
      </c>
      <c r="O370" s="50">
        <f>IF(A370="","",IFERROR((IF(G370="",I370,G370)-T370)/M370,""))</f>
        <v/>
      </c>
      <c r="P370" s="50">
        <f>IFERROR((I370/T370-1)/N370,"")</f>
        <v/>
      </c>
      <c r="Q370" s="46">
        <f>IF(OR(T370="",I370&lt;T370),"",IFERROR(R370/IF(G370="",I370,G370)-1,""))</f>
        <v/>
      </c>
      <c r="R370" s="48">
        <f>IF($M370="","",MAX(IF($G370="",$I370,$G370)*(1/1.1),IF($G370="",$I370,$G370)+(R$2*$M370)))</f>
        <v/>
      </c>
      <c r="S370" s="49">
        <f>IF($M370="","",MAX(IF($G370="",$I370,$G370)*(1/1.1),IF($G370="",$I370,$G370)+(S$2*$M370)))</f>
        <v/>
      </c>
      <c r="T370" s="82" t="n">
        <v>45.26240020751953</v>
      </c>
      <c r="U370" s="47">
        <f>IF(OR($M370="",$T370=""),"",$T370+(U$2*$M370))</f>
        <v/>
      </c>
      <c r="V370" s="48">
        <f>IF(OR($M370="",$T370=""),"",$T370+(V$2*$M370))</f>
        <v/>
      </c>
      <c r="W370" s="48">
        <f>IF(OR($M370="",$T370=""),"",$T370+(W$2*$M370))</f>
        <v/>
      </c>
      <c r="X370" s="49">
        <f>IF(OR($M370="",$T370=""),"",$T370+(X$2*$M370))</f>
        <v/>
      </c>
      <c r="Y370" s="47">
        <f>IF(OR($M370="",$T370=""),"",$T370+(Y$2*$M370))</f>
        <v/>
      </c>
      <c r="Z370" s="49">
        <f>IF(OR($M370="",$T370=""),"",$T370+(Z$2*$M370))</f>
        <v/>
      </c>
      <c r="AA370" s="51">
        <f>IF(OR($M370="",$T370=""),"",$T370+(AA$2*$M370))</f>
        <v/>
      </c>
      <c r="AB370" s="48">
        <f>IF(OR($M370="",$T370=""),"",$T370+(AB$2*$M370))</f>
        <v/>
      </c>
      <c r="AC370" s="48">
        <f>IF(OR($M370="",$T370=""),"",$T370+(AC$2*$M370))</f>
        <v/>
      </c>
      <c r="AD370" s="48">
        <f>IF(OR($M370="",$T370=""),"",$T370+(AD$2*$M370))</f>
        <v/>
      </c>
      <c r="AE370" s="49">
        <f>IF(OR($M370="",$T370=""),"",$T370+(AE$2*$M370))</f>
        <v/>
      </c>
      <c r="AF370" s="52">
        <f>IF(OR(T370="",I370&lt;T370),"",IFERROR(AVERAGE(T370+M370*{7,8,9,10,11})/IF(G370="",I370,G370)-1,""))</f>
        <v/>
      </c>
      <c r="AG370" s="55">
        <f>IF(OR(T370="",I370&lt;T370),"",IFERROR(AF370/-(R370/IF(G370="",I370,G370)-1),""))</f>
        <v/>
      </c>
      <c r="AH370" s="94" t="n">
        <v>1</v>
      </c>
      <c r="AI370" s="94" t="n">
        <v>67.00453119754563</v>
      </c>
      <c r="AJ370" s="94" t="n">
        <v>1</v>
      </c>
      <c r="AK370" s="94" t="inlineStr">
        <is>
          <t>OTT Up Trend</t>
        </is>
      </c>
      <c r="AL370" s="84" t="inlineStr">
        <is>
          <t>Astec Industries, Inc.</t>
        </is>
      </c>
      <c r="AM370" t="inlineStr">
        <is>
          <t>Industrials</t>
        </is>
      </c>
      <c r="AN370" t="inlineStr">
        <is>
          <t>Farm &amp; Heavy Construction Machinery</t>
        </is>
      </c>
      <c r="AO370" t="n">
        <v>75</v>
      </c>
    </row>
    <row r="371">
      <c r="A371" s="64" t="inlineStr">
        <is>
          <t>RES</t>
        </is>
      </c>
      <c r="B371" s="65" t="n"/>
      <c r="C371" s="66" t="n"/>
      <c r="D371" s="67" t="n"/>
      <c r="E371" s="68" t="n"/>
      <c r="F371" s="47">
        <f>IF(A371="","",IF(MIN(H371,MAX(J371:K371))=0,"",MIN(H371,MAX(J371:K371))))</f>
        <v/>
      </c>
      <c r="G371" s="74" t="n"/>
      <c r="H371" s="49">
        <f>IF(M371="","",IFERROR(ROUND(AVERAGE(T371+M371*{7,8,9,10,11})/1.21,4),""))</f>
        <v/>
      </c>
      <c r="I371" s="76" t="n">
        <v>6.130000114440918</v>
      </c>
      <c r="J371" s="77" t="n">
        <v>5.964963412109941</v>
      </c>
      <c r="K371" s="74" t="n">
        <v>5.716999983787536</v>
      </c>
      <c r="L371" s="78" t="n">
        <v>4.963249995708465</v>
      </c>
      <c r="M371" s="77" t="n">
        <v>0.1975999000919489</v>
      </c>
      <c r="N371" s="53">
        <f>IF(M371="","",IFERROR(M371/I371,""))</f>
        <v/>
      </c>
      <c r="O371" s="50">
        <f>IF(A371="","",IFERROR((IF(G371="",I371,G371)-T371)/M371,""))</f>
        <v/>
      </c>
      <c r="P371" s="50">
        <f>IFERROR((I371/T371-1)/N371,"")</f>
        <v/>
      </c>
      <c r="Q371" s="46">
        <f>IF(OR(T371="",I371&lt;T371),"",IFERROR(R371/IF(G371="",I371,G371)-1,""))</f>
        <v/>
      </c>
      <c r="R371" s="48">
        <f>IF($M371="","",MAX(IF($G371="",$I371,$G371)*(1/1.1),IF($G371="",$I371,$G371)+(R$2*$M371)))</f>
        <v/>
      </c>
      <c r="S371" s="49">
        <f>IF($M371="","",MAX(IF($G371="",$I371,$G371)*(1/1.1),IF($G371="",$I371,$G371)+(S$2*$M371)))</f>
        <v/>
      </c>
      <c r="T371" s="82" t="n">
        <v>5.587199974060058</v>
      </c>
      <c r="U371" s="47">
        <f>IF(OR($M371="",$T371=""),"",$T371+(U$2*$M371))</f>
        <v/>
      </c>
      <c r="V371" s="48">
        <f>IF(OR($M371="",$T371=""),"",$T371+(V$2*$M371))</f>
        <v/>
      </c>
      <c r="W371" s="48">
        <f>IF(OR($M371="",$T371=""),"",$T371+(W$2*$M371))</f>
        <v/>
      </c>
      <c r="X371" s="49">
        <f>IF(OR($M371="",$T371=""),"",$T371+(X$2*$M371))</f>
        <v/>
      </c>
      <c r="Y371" s="47">
        <f>IF(OR($M371="",$T371=""),"",$T371+(Y$2*$M371))</f>
        <v/>
      </c>
      <c r="Z371" s="49">
        <f>IF(OR($M371="",$T371=""),"",$T371+(Z$2*$M371))</f>
        <v/>
      </c>
      <c r="AA371" s="51">
        <f>IF(OR($M371="",$T371=""),"",$T371+(AA$2*$M371))</f>
        <v/>
      </c>
      <c r="AB371" s="48">
        <f>IF(OR($M371="",$T371=""),"",$T371+(AB$2*$M371))</f>
        <v/>
      </c>
      <c r="AC371" s="48">
        <f>IF(OR($M371="",$T371=""),"",$T371+(AC$2*$M371))</f>
        <v/>
      </c>
      <c r="AD371" s="48">
        <f>IF(OR($M371="",$T371=""),"",$T371+(AD$2*$M371))</f>
        <v/>
      </c>
      <c r="AE371" s="49">
        <f>IF(OR($M371="",$T371=""),"",$T371+(AE$2*$M371))</f>
        <v/>
      </c>
      <c r="AF371" s="52">
        <f>IF(OR(T371="",I371&lt;T371),"",IFERROR(AVERAGE(T371+M371*{7,8,9,10,11})/IF(G371="",I371,G371)-1,""))</f>
        <v/>
      </c>
      <c r="AG371" s="55">
        <f>IF(OR(T371="",I371&lt;T371),"",IFERROR(AF371/-(R371/IF(G371="",I371,G371)-1),""))</f>
        <v/>
      </c>
      <c r="AH371" s="94" t="n">
        <v>1</v>
      </c>
      <c r="AI371" s="94" t="n">
        <v>85.9211483466932</v>
      </c>
      <c r="AJ371" s="94" t="n">
        <v>1</v>
      </c>
      <c r="AK371" s="94" t="inlineStr">
        <is>
          <t>OTT Up Trend</t>
        </is>
      </c>
      <c r="AL371" s="84" t="inlineStr">
        <is>
          <t>RPC, Inc.</t>
        </is>
      </c>
      <c r="AM371" t="inlineStr">
        <is>
          <t>Energy</t>
        </is>
      </c>
      <c r="AN371" t="inlineStr">
        <is>
          <t>Oil &amp; Gas Equipment &amp; Services</t>
        </is>
      </c>
      <c r="AO371" t="n">
        <v>75</v>
      </c>
    </row>
    <row r="372">
      <c r="A372" s="64" t="inlineStr">
        <is>
          <t>RRR</t>
        </is>
      </c>
      <c r="B372" s="65" t="n"/>
      <c r="C372" s="66" t="n"/>
      <c r="D372" s="67" t="n"/>
      <c r="E372" s="68" t="n"/>
      <c r="F372" s="47">
        <f>IF(A372="","",IF(MIN(H372,MAX(J372:K372))=0,"",MIN(H372,MAX(J372:K372))))</f>
        <v/>
      </c>
      <c r="G372" s="74" t="n"/>
      <c r="H372" s="49">
        <f>IF(M372="","",IFERROR(ROUND(AVERAGE(T372+M372*{7,8,9,10,11})/1.21,4),""))</f>
        <v/>
      </c>
      <c r="I372" s="76" t="n">
        <v>63.02999877929688</v>
      </c>
      <c r="J372" s="77" t="n">
        <v>62.58045103847928</v>
      </c>
      <c r="K372" s="74" t="n">
        <v>62.58350009918213</v>
      </c>
      <c r="L372" s="78" t="n">
        <v>54.93145009994507</v>
      </c>
      <c r="M372" s="77" t="n">
        <v>1.682386716930466</v>
      </c>
      <c r="N372" s="53">
        <f>IF(M372="","",IFERROR(M372/I372,""))</f>
        <v/>
      </c>
      <c r="O372" s="50">
        <f>IF(A372="","",IFERROR((IF(G372="",I372,G372)-T372)/M372,""))</f>
        <v/>
      </c>
      <c r="P372" s="50">
        <f>IFERROR((I372/T372-1)/N372,"")</f>
        <v/>
      </c>
      <c r="Q372" s="46">
        <f>IF(OR(T372="",I372&lt;T372),"",IFERROR(R372/IF(G372="",I372,G372)-1,""))</f>
        <v/>
      </c>
      <c r="R372" s="48">
        <f>IF($M372="","",MAX(IF($G372="",$I372,$G372)*(1/1.1),IF($G372="",$I372,$G372)+(R$2*$M372)))</f>
        <v/>
      </c>
      <c r="S372" s="49">
        <f>IF($M372="","",MAX(IF($G372="",$I372,$G372)*(1/1.1),IF($G372="",$I372,$G372)+(S$2*$M372)))</f>
        <v/>
      </c>
      <c r="T372" s="82" t="n">
        <v>59.70280014038086</v>
      </c>
      <c r="U372" s="47">
        <f>IF(OR($M372="",$T372=""),"",$T372+(U$2*$M372))</f>
        <v/>
      </c>
      <c r="V372" s="48">
        <f>IF(OR($M372="",$T372=""),"",$T372+(V$2*$M372))</f>
        <v/>
      </c>
      <c r="W372" s="48">
        <f>IF(OR($M372="",$T372=""),"",$T372+(W$2*$M372))</f>
        <v/>
      </c>
      <c r="X372" s="49">
        <f>IF(OR($M372="",$T372=""),"",$T372+(X$2*$M372))</f>
        <v/>
      </c>
      <c r="Y372" s="47">
        <f>IF(OR($M372="",$T372=""),"",$T372+(Y$2*$M372))</f>
        <v/>
      </c>
      <c r="Z372" s="49">
        <f>IF(OR($M372="",$T372=""),"",$T372+(Z$2*$M372))</f>
        <v/>
      </c>
      <c r="AA372" s="51">
        <f>IF(OR($M372="",$T372=""),"",$T372+(AA$2*$M372))</f>
        <v/>
      </c>
      <c r="AB372" s="48">
        <f>IF(OR($M372="",$T372=""),"",$T372+(AB$2*$M372))</f>
        <v/>
      </c>
      <c r="AC372" s="48">
        <f>IF(OR($M372="",$T372=""),"",$T372+(AC$2*$M372))</f>
        <v/>
      </c>
      <c r="AD372" s="48">
        <f>IF(OR($M372="",$T372=""),"",$T372+(AD$2*$M372))</f>
        <v/>
      </c>
      <c r="AE372" s="49">
        <f>IF(OR($M372="",$T372=""),"",$T372+(AE$2*$M372))</f>
        <v/>
      </c>
      <c r="AF372" s="52">
        <f>IF(OR(T372="",I372&lt;T372),"",IFERROR(AVERAGE(T372+M372*{7,8,9,10,11})/IF(G372="",I372,G372)-1,""))</f>
        <v/>
      </c>
      <c r="AG372" s="55">
        <f>IF(OR(T372="",I372&lt;T372),"",IFERROR(AF372/-(R372/IF(G372="",I372,G372)-1),""))</f>
        <v/>
      </c>
      <c r="AH372" s="94" t="n">
        <v>1</v>
      </c>
      <c r="AI372" s="94" t="n">
        <v>45.90512092011476</v>
      </c>
      <c r="AJ372" s="94" t="n">
        <v>0</v>
      </c>
      <c r="AK372" s="94" t="inlineStr">
        <is>
          <t>OTT Up Trend</t>
        </is>
      </c>
      <c r="AL372" s="84" t="inlineStr">
        <is>
          <t>Red Rock Resorts, Inc.</t>
        </is>
      </c>
      <c r="AM372" t="inlineStr">
        <is>
          <t>Consumer Cyclical</t>
        </is>
      </c>
      <c r="AN372" t="inlineStr">
        <is>
          <t>Resorts &amp; Casinos</t>
        </is>
      </c>
      <c r="AO372" t="n">
        <v>75</v>
      </c>
    </row>
    <row r="373">
      <c r="A373" s="64" t="inlineStr">
        <is>
          <t>WTS</t>
        </is>
      </c>
      <c r="B373" s="65" t="n"/>
      <c r="C373" s="66" t="n"/>
      <c r="D373" s="67" t="n"/>
      <c r="E373" s="68" t="n"/>
      <c r="F373" s="47">
        <f>IF(A373="","",IF(MIN(H373,MAX(J373:K373))=0,"",MIN(H373,MAX(J373:K373))))</f>
        <v/>
      </c>
      <c r="G373" s="74" t="n"/>
      <c r="H373" s="49">
        <f>IF(M373="","",IFERROR(ROUND(AVERAGE(T373+M373*{7,8,9,10,11})/1.21,4),""))</f>
        <v/>
      </c>
      <c r="I373" s="76" t="n">
        <v>297.2900085449219</v>
      </c>
      <c r="J373" s="77" t="n">
        <v>289.6534910595997</v>
      </c>
      <c r="K373" s="74" t="n">
        <v>284.9084976196289</v>
      </c>
      <c r="L373" s="78" t="n">
        <v>258.5989994049072</v>
      </c>
      <c r="M373" s="77" t="n">
        <v>5.673667598758656</v>
      </c>
      <c r="N373" s="53">
        <f>IF(M373="","",IFERROR(M373/I373,""))</f>
        <v/>
      </c>
      <c r="O373" s="50">
        <f>IF(A373="","",IFERROR((IF(G373="",I373,G373)-T373)/M373,""))</f>
        <v/>
      </c>
      <c r="P373" s="50">
        <f>IFERROR((I373/T373-1)/N373,"")</f>
        <v/>
      </c>
      <c r="Q373" s="46">
        <f>IF(OR(T373="",I373&lt;T373),"",IFERROR(R373/IF(G373="",I373,G373)-1,""))</f>
        <v/>
      </c>
      <c r="R373" s="48">
        <f>IF($M373="","",MAX(IF($G373="",$I373,$G373)*(1/1.1),IF($G373="",$I373,$G373)+(R$2*$M373)))</f>
        <v/>
      </c>
      <c r="S373" s="49">
        <f>IF($M373="","",MAX(IF($G373="",$I373,$G373)*(1/1.1),IF($G373="",$I373,$G373)+(S$2*$M373)))</f>
        <v/>
      </c>
      <c r="T373" s="82" t="n">
        <v>278.0115991210938</v>
      </c>
      <c r="U373" s="47">
        <f>IF(OR($M373="",$T373=""),"",$T373+(U$2*$M373))</f>
        <v/>
      </c>
      <c r="V373" s="48">
        <f>IF(OR($M373="",$T373=""),"",$T373+(V$2*$M373))</f>
        <v/>
      </c>
      <c r="W373" s="48">
        <f>IF(OR($M373="",$T373=""),"",$T373+(W$2*$M373))</f>
        <v/>
      </c>
      <c r="X373" s="49">
        <f>IF(OR($M373="",$T373=""),"",$T373+(X$2*$M373))</f>
        <v/>
      </c>
      <c r="Y373" s="47">
        <f>IF(OR($M373="",$T373=""),"",$T373+(Y$2*$M373))</f>
        <v/>
      </c>
      <c r="Z373" s="49">
        <f>IF(OR($M373="",$T373=""),"",$T373+(Z$2*$M373))</f>
        <v/>
      </c>
      <c r="AA373" s="51">
        <f>IF(OR($M373="",$T373=""),"",$T373+(AA$2*$M373))</f>
        <v/>
      </c>
      <c r="AB373" s="48">
        <f>IF(OR($M373="",$T373=""),"",$T373+(AB$2*$M373))</f>
        <v/>
      </c>
      <c r="AC373" s="48">
        <f>IF(OR($M373="",$T373=""),"",$T373+(AC$2*$M373))</f>
        <v/>
      </c>
      <c r="AD373" s="48">
        <f>IF(OR($M373="",$T373=""),"",$T373+(AD$2*$M373))</f>
        <v/>
      </c>
      <c r="AE373" s="49">
        <f>IF(OR($M373="",$T373=""),"",$T373+(AE$2*$M373))</f>
        <v/>
      </c>
      <c r="AF373" s="52">
        <f>IF(OR(T373="",I373&lt;T373),"",IFERROR(AVERAGE(T373+M373*{7,8,9,10,11})/IF(G373="",I373,G373)-1,""))</f>
        <v/>
      </c>
      <c r="AG373" s="55">
        <f>IF(OR(T373="",I373&lt;T373),"",IFERROR(AF373/-(R373/IF(G373="",I373,G373)-1),""))</f>
        <v/>
      </c>
      <c r="AH373" s="94" t="n">
        <v>1</v>
      </c>
      <c r="AI373" s="94" t="n">
        <v>75.95968222959158</v>
      </c>
      <c r="AJ373" s="94" t="n">
        <v>1</v>
      </c>
      <c r="AK373" s="94" t="inlineStr">
        <is>
          <t>OTT Up Trend</t>
        </is>
      </c>
      <c r="AL373" s="84" t="inlineStr">
        <is>
          <t>Watts Water Technologies, Inc.</t>
        </is>
      </c>
      <c r="AM373" t="inlineStr">
        <is>
          <t>Industrials</t>
        </is>
      </c>
      <c r="AN373" t="inlineStr">
        <is>
          <t>Specialty Industrial Machinery</t>
        </is>
      </c>
      <c r="AO373" t="n">
        <v>75</v>
      </c>
    </row>
    <row r="374">
      <c r="A374" s="64" t="inlineStr">
        <is>
          <t>SYF</t>
        </is>
      </c>
      <c r="B374" s="65" t="n"/>
      <c r="C374" s="66" t="n"/>
      <c r="D374" s="67" t="n"/>
      <c r="E374" s="68" t="n"/>
      <c r="F374" s="47">
        <f>IF(A374="","",IF(MIN(H374,MAX(J374:K374))=0,"",MIN(H374,MAX(J374:K374))))</f>
        <v/>
      </c>
      <c r="G374" s="74" t="n"/>
      <c r="H374" s="49">
        <f>IF(M374="","",IFERROR(ROUND(AVERAGE(T374+M374*{7,8,9,10,11})/1.21,4),""))</f>
        <v/>
      </c>
      <c r="I374" s="76" t="n">
        <v>80.19000244140625</v>
      </c>
      <c r="J374" s="77" t="n">
        <v>81.51832215857902</v>
      </c>
      <c r="K374" s="74" t="n">
        <v>83.9819995880127</v>
      </c>
      <c r="L374" s="78" t="n">
        <v>69.28295001983642</v>
      </c>
      <c r="M374" s="77" t="n">
        <v>2.349477410277977</v>
      </c>
      <c r="N374" s="53">
        <f>IF(M374="","",IFERROR(M374/I374,""))</f>
        <v/>
      </c>
      <c r="O374" s="50">
        <f>IF(A374="","",IFERROR((IF(G374="",I374,G374)-T374)/M374,""))</f>
        <v/>
      </c>
      <c r="P374" s="50">
        <f>IFERROR((I374/T374-1)/N374,"")</f>
        <v/>
      </c>
      <c r="Q374" s="46">
        <f>IF(OR(T374="",I374&lt;T374),"",IFERROR(R374/IF(G374="",I374,G374)-1,""))</f>
        <v/>
      </c>
      <c r="R374" s="48">
        <f>IF($M374="","",MAX(IF($G374="",$I374,$G374)*(1/1.1),IF($G374="",$I374,$G374)+(R$2*$M374)))</f>
        <v/>
      </c>
      <c r="S374" s="49">
        <f>IF($M374="","",MAX(IF($G374="",$I374,$G374)*(1/1.1),IF($G374="",$I374,$G374)+(S$2*$M374)))</f>
        <v/>
      </c>
      <c r="T374" s="82" t="n">
        <v>80.01160018920899</v>
      </c>
      <c r="U374" s="47">
        <f>IF(OR($M374="",$T374=""),"",$T374+(U$2*$M374))</f>
        <v/>
      </c>
      <c r="V374" s="48">
        <f>IF(OR($M374="",$T374=""),"",$T374+(V$2*$M374))</f>
        <v/>
      </c>
      <c r="W374" s="48">
        <f>IF(OR($M374="",$T374=""),"",$T374+(W$2*$M374))</f>
        <v/>
      </c>
      <c r="X374" s="49">
        <f>IF(OR($M374="",$T374=""),"",$T374+(X$2*$M374))</f>
        <v/>
      </c>
      <c r="Y374" s="47">
        <f>IF(OR($M374="",$T374=""),"",$T374+(Y$2*$M374))</f>
        <v/>
      </c>
      <c r="Z374" s="49">
        <f>IF(OR($M374="",$T374=""),"",$T374+(Z$2*$M374))</f>
        <v/>
      </c>
      <c r="AA374" s="51">
        <f>IF(OR($M374="",$T374=""),"",$T374+(AA$2*$M374))</f>
        <v/>
      </c>
      <c r="AB374" s="48">
        <f>IF(OR($M374="",$T374=""),"",$T374+(AB$2*$M374))</f>
        <v/>
      </c>
      <c r="AC374" s="48">
        <f>IF(OR($M374="",$T374=""),"",$T374+(AC$2*$M374))</f>
        <v/>
      </c>
      <c r="AD374" s="48">
        <f>IF(OR($M374="",$T374=""),"",$T374+(AD$2*$M374))</f>
        <v/>
      </c>
      <c r="AE374" s="49">
        <f>IF(OR($M374="",$T374=""),"",$T374+(AE$2*$M374))</f>
        <v/>
      </c>
      <c r="AF374" s="52">
        <f>IF(OR(T374="",I374&lt;T374),"",IFERROR(AVERAGE(T374+M374*{7,8,9,10,11})/IF(G374="",I374,G374)-1,""))</f>
        <v/>
      </c>
      <c r="AG374" s="55">
        <f>IF(OR(T374="",I374&lt;T374),"",IFERROR(AF374/-(R374/IF(G374="",I374,G374)-1),""))</f>
        <v/>
      </c>
      <c r="AH374" s="94" t="n">
        <v>-1</v>
      </c>
      <c r="AI374" s="94" t="n">
        <v>-15.9737751946888</v>
      </c>
      <c r="AJ374" s="94" t="n">
        <v>0</v>
      </c>
      <c r="AK374" s="94" t="inlineStr">
        <is>
          <t>None</t>
        </is>
      </c>
      <c r="AL374" s="84" t="inlineStr">
        <is>
          <t>Synchrony Financial</t>
        </is>
      </c>
      <c r="AM374" t="inlineStr">
        <is>
          <t>Financial Services</t>
        </is>
      </c>
      <c r="AN374" t="inlineStr">
        <is>
          <t>Credit Services</t>
        </is>
      </c>
      <c r="AO374" t="n">
        <v>75</v>
      </c>
    </row>
    <row r="375">
      <c r="A375" s="64" t="inlineStr">
        <is>
          <t>HAFC</t>
        </is>
      </c>
      <c r="B375" s="65" t="n"/>
      <c r="C375" s="66" t="n"/>
      <c r="D375" s="67" t="n"/>
      <c r="E375" s="68" t="n"/>
      <c r="F375" s="47">
        <f>IF(A375="","",IF(MIN(H375,MAX(J375:K375))=0,"",MIN(H375,MAX(J375:K375))))</f>
        <v/>
      </c>
      <c r="G375" s="74" t="n"/>
      <c r="H375" s="49">
        <f>IF(M375="","",IFERROR(ROUND(AVERAGE(T375+M375*{7,8,9,10,11})/1.21,4),""))</f>
        <v/>
      </c>
      <c r="I375" s="76" t="n">
        <v>28.63999938964844</v>
      </c>
      <c r="J375" s="77" t="n">
        <v>28.13472139877018</v>
      </c>
      <c r="K375" s="74" t="n">
        <v>27.91650009155273</v>
      </c>
      <c r="L375" s="78" t="n">
        <v>24.95009998321533</v>
      </c>
      <c r="M375" s="77" t="n">
        <v>0.5906740824280298</v>
      </c>
      <c r="N375" s="53">
        <f>IF(M375="","",IFERROR(M375/I375,""))</f>
        <v/>
      </c>
      <c r="O375" s="50">
        <f>IF(A375="","",IFERROR((IF(G375="",I375,G375)-T375)/M375,""))</f>
        <v/>
      </c>
      <c r="P375" s="50">
        <f>IFERROR((I375/T375-1)/N375,"")</f>
        <v/>
      </c>
      <c r="Q375" s="46">
        <f>IF(OR(T375="",I375&lt;T375),"",IFERROR(R375/IF(G375="",I375,G375)-1,""))</f>
        <v/>
      </c>
      <c r="R375" s="48">
        <f>IF($M375="","",MAX(IF($G375="",$I375,$G375)*(1/1.1),IF($G375="",$I375,$G375)+(R$2*$M375)))</f>
        <v/>
      </c>
      <c r="S375" s="49">
        <f>IF($M375="","",MAX(IF($G375="",$I375,$G375)*(1/1.1),IF($G375="",$I375,$G375)+(S$2*$M375)))</f>
        <v/>
      </c>
      <c r="T375" s="82" t="n">
        <v>27.73380001068115</v>
      </c>
      <c r="U375" s="47">
        <f>IF(OR($M375="",$T375=""),"",$T375+(U$2*$M375))</f>
        <v/>
      </c>
      <c r="V375" s="48">
        <f>IF(OR($M375="",$T375=""),"",$T375+(V$2*$M375))</f>
        <v/>
      </c>
      <c r="W375" s="48">
        <f>IF(OR($M375="",$T375=""),"",$T375+(W$2*$M375))</f>
        <v/>
      </c>
      <c r="X375" s="49">
        <f>IF(OR($M375="",$T375=""),"",$T375+(X$2*$M375))</f>
        <v/>
      </c>
      <c r="Y375" s="47">
        <f>IF(OR($M375="",$T375=""),"",$T375+(Y$2*$M375))</f>
        <v/>
      </c>
      <c r="Z375" s="49">
        <f>IF(OR($M375="",$T375=""),"",$T375+(Z$2*$M375))</f>
        <v/>
      </c>
      <c r="AA375" s="51">
        <f>IF(OR($M375="",$T375=""),"",$T375+(AA$2*$M375))</f>
        <v/>
      </c>
      <c r="AB375" s="48">
        <f>IF(OR($M375="",$T375=""),"",$T375+(AB$2*$M375))</f>
        <v/>
      </c>
      <c r="AC375" s="48">
        <f>IF(OR($M375="",$T375=""),"",$T375+(AC$2*$M375))</f>
        <v/>
      </c>
      <c r="AD375" s="48">
        <f>IF(OR($M375="",$T375=""),"",$T375+(AD$2*$M375))</f>
        <v/>
      </c>
      <c r="AE375" s="49">
        <f>IF(OR($M375="",$T375=""),"",$T375+(AE$2*$M375))</f>
        <v/>
      </c>
      <c r="AF375" s="52">
        <f>IF(OR(T375="",I375&lt;T375),"",IFERROR(AVERAGE(T375+M375*{7,8,9,10,11})/IF(G375="",I375,G375)-1,""))</f>
        <v/>
      </c>
      <c r="AG375" s="55">
        <f>IF(OR(T375="",I375&lt;T375),"",IFERROR(AF375/-(R375/IF(G375="",I375,G375)-1),""))</f>
        <v/>
      </c>
      <c r="AH375" s="94" t="n">
        <v>1</v>
      </c>
      <c r="AI375" s="94" t="n">
        <v>23.8438834850052</v>
      </c>
      <c r="AJ375" s="94" t="n">
        <v>1</v>
      </c>
      <c r="AK375" s="94" t="inlineStr">
        <is>
          <t>None</t>
        </is>
      </c>
      <c r="AL375" s="84" t="inlineStr">
        <is>
          <t>Hanmi Financial Corporation</t>
        </is>
      </c>
      <c r="AM375" t="inlineStr">
        <is>
          <t>Financial Services</t>
        </is>
      </c>
      <c r="AN375" t="inlineStr">
        <is>
          <t>Banks - Regional</t>
        </is>
      </c>
      <c r="AO375" t="n">
        <v>75</v>
      </c>
    </row>
    <row r="376">
      <c r="A376" s="64" t="inlineStr">
        <is>
          <t>UFCS</t>
        </is>
      </c>
      <c r="B376" s="65" t="n"/>
      <c r="C376" s="66" t="n"/>
      <c r="D376" s="67" t="n"/>
      <c r="E376" s="68" t="n"/>
      <c r="F376" s="47">
        <f>IF(A376="","",IF(MIN(H376,MAX(J376:K376))=0,"",MIN(H376,MAX(J376:K376))))</f>
        <v/>
      </c>
      <c r="G376" s="74" t="n"/>
      <c r="H376" s="49">
        <f>IF(M376="","",IFERROR(ROUND(AVERAGE(T376+M376*{7,8,9,10,11})/1.21,4),""))</f>
        <v/>
      </c>
      <c r="I376" s="76" t="n">
        <v>35.41999816894531</v>
      </c>
      <c r="J376" s="77" t="n">
        <v>35.73517185871338</v>
      </c>
      <c r="K376" s="74" t="n">
        <v>36.19049949645996</v>
      </c>
      <c r="L376" s="78" t="n">
        <v>30.8535499382019</v>
      </c>
      <c r="M376" s="77" t="n">
        <v>0.9104821243383466</v>
      </c>
      <c r="N376" s="53">
        <f>IF(M376="","",IFERROR(M376/I376,""))</f>
        <v/>
      </c>
      <c r="O376" s="50">
        <f>IF(A376="","",IFERROR((IF(G376="",I376,G376)-T376)/M376,""))</f>
        <v/>
      </c>
      <c r="P376" s="50">
        <f>IFERROR((I376/T376-1)/N376,"")</f>
        <v/>
      </c>
      <c r="Q376" s="46">
        <f>IF(OR(T376="",I376&lt;T376),"",IFERROR(R376/IF(G376="",I376,G376)-1,""))</f>
        <v/>
      </c>
      <c r="R376" s="48">
        <f>IF($M376="","",MAX(IF($G376="",$I376,$G376)*(1/1.1),IF($G376="",$I376,$G376)+(R$2*$M376)))</f>
        <v/>
      </c>
      <c r="S376" s="49">
        <f>IF($M376="","",MAX(IF($G376="",$I376,$G376)*(1/1.1),IF($G376="",$I376,$G376)+(S$2*$M376)))</f>
        <v/>
      </c>
      <c r="T376" s="82" t="n">
        <v>36.25899971008301</v>
      </c>
      <c r="U376" s="47">
        <f>IF(OR($M376="",$T376=""),"",$T376+(U$2*$M376))</f>
        <v/>
      </c>
      <c r="V376" s="48">
        <f>IF(OR($M376="",$T376=""),"",$T376+(V$2*$M376))</f>
        <v/>
      </c>
      <c r="W376" s="48">
        <f>IF(OR($M376="",$T376=""),"",$T376+(W$2*$M376))</f>
        <v/>
      </c>
      <c r="X376" s="49">
        <f>IF(OR($M376="",$T376=""),"",$T376+(X$2*$M376))</f>
        <v/>
      </c>
      <c r="Y376" s="47">
        <f>IF(OR($M376="",$T376=""),"",$T376+(Y$2*$M376))</f>
        <v/>
      </c>
      <c r="Z376" s="49">
        <f>IF(OR($M376="",$T376=""),"",$T376+(Z$2*$M376))</f>
        <v/>
      </c>
      <c r="AA376" s="51">
        <f>IF(OR($M376="",$T376=""),"",$T376+(AA$2*$M376))</f>
        <v/>
      </c>
      <c r="AB376" s="48">
        <f>IF(OR($M376="",$T376=""),"",$T376+(AB$2*$M376))</f>
        <v/>
      </c>
      <c r="AC376" s="48">
        <f>IF(OR($M376="",$T376=""),"",$T376+(AC$2*$M376))</f>
        <v/>
      </c>
      <c r="AD376" s="48">
        <f>IF(OR($M376="",$T376=""),"",$T376+(AD$2*$M376))</f>
        <v/>
      </c>
      <c r="AE376" s="49">
        <f>IF(OR($M376="",$T376=""),"",$T376+(AE$2*$M376))</f>
        <v/>
      </c>
      <c r="AF376" s="52">
        <f>IF(OR(T376="",I376&lt;T376),"",IFERROR(AVERAGE(T376+M376*{7,8,9,10,11})/IF(G376="",I376,G376)-1,""))</f>
        <v/>
      </c>
      <c r="AG376" s="55">
        <f>IF(OR(T376="",I376&lt;T376),"",IFERROR(AF376/-(R376/IF(G376="",I376,G376)-1),""))</f>
        <v/>
      </c>
      <c r="AH376" s="94" t="n">
        <v>1</v>
      </c>
      <c r="AI376" s="94" t="n">
        <v>-13.8456496375177</v>
      </c>
      <c r="AJ376" s="94" t="n">
        <v>0</v>
      </c>
      <c r="AK376" s="94" t="inlineStr">
        <is>
          <t>None</t>
        </is>
      </c>
      <c r="AL376" s="84" t="inlineStr">
        <is>
          <t>United Fire Group, Inc</t>
        </is>
      </c>
      <c r="AM376" t="inlineStr">
        <is>
          <t>Financial Services</t>
        </is>
      </c>
      <c r="AN376" t="inlineStr">
        <is>
          <t>Insurance - Property &amp; Casualty</t>
        </is>
      </c>
      <c r="AO376" t="n">
        <v>75</v>
      </c>
    </row>
    <row r="377">
      <c r="A377" s="64" t="inlineStr">
        <is>
          <t>THO</t>
        </is>
      </c>
      <c r="B377" s="65" t="n"/>
      <c r="C377" s="66" t="n"/>
      <c r="D377" s="67" t="n"/>
      <c r="E377" s="68" t="n"/>
      <c r="F377" s="47">
        <f>IF(A377="","",IF(MIN(H377,MAX(J377:K377))=0,"",MIN(H377,MAX(J377:K377))))</f>
        <v/>
      </c>
      <c r="G377" s="74" t="n"/>
      <c r="H377" s="49">
        <f>IF(M377="","",IFERROR(ROUND(AVERAGE(T377+M377*{7,8,9,10,11})/1.21,4),""))</f>
        <v/>
      </c>
      <c r="I377" s="76" t="n">
        <v>114.7799987792969</v>
      </c>
      <c r="J377" s="77" t="n">
        <v>111.4543331047681</v>
      </c>
      <c r="K377" s="74" t="n">
        <v>107.9264995574951</v>
      </c>
      <c r="L377" s="78" t="n">
        <v>95.65215007781983</v>
      </c>
      <c r="M377" s="77" t="n">
        <v>3.434361334833935</v>
      </c>
      <c r="N377" s="53">
        <f>IF(M377="","",IFERROR(M377/I377,""))</f>
        <v/>
      </c>
      <c r="O377" s="50">
        <f>IF(A377="","",IFERROR((IF(G377="",I377,G377)-T377)/M377,""))</f>
        <v/>
      </c>
      <c r="P377" s="50">
        <f>IFERROR((I377/T377-1)/N377,"")</f>
        <v/>
      </c>
      <c r="Q377" s="46">
        <f>IF(OR(T377="",I377&lt;T377),"",IFERROR(R377/IF(G377="",I377,G377)-1,""))</f>
        <v/>
      </c>
      <c r="R377" s="48">
        <f>IF($M377="","",MAX(IF($G377="",$I377,$G377)*(1/1.1),IF($G377="",$I377,$G377)+(R$2*$M377)))</f>
        <v/>
      </c>
      <c r="S377" s="49">
        <f>IF($M377="","",MAX(IF($G377="",$I377,$G377)*(1/1.1),IF($G377="",$I377,$G377)+(S$2*$M377)))</f>
        <v/>
      </c>
      <c r="T377" s="82" t="n">
        <v>104.6125999450684</v>
      </c>
      <c r="U377" s="47">
        <f>IF(OR($M377="",$T377=""),"",$T377+(U$2*$M377))</f>
        <v/>
      </c>
      <c r="V377" s="48">
        <f>IF(OR($M377="",$T377=""),"",$T377+(V$2*$M377))</f>
        <v/>
      </c>
      <c r="W377" s="48">
        <f>IF(OR($M377="",$T377=""),"",$T377+(W$2*$M377))</f>
        <v/>
      </c>
      <c r="X377" s="49">
        <f>IF(OR($M377="",$T377=""),"",$T377+(X$2*$M377))</f>
        <v/>
      </c>
      <c r="Y377" s="47">
        <f>IF(OR($M377="",$T377=""),"",$T377+(Y$2*$M377))</f>
        <v/>
      </c>
      <c r="Z377" s="49">
        <f>IF(OR($M377="",$T377=""),"",$T377+(Z$2*$M377))</f>
        <v/>
      </c>
      <c r="AA377" s="51">
        <f>IF(OR($M377="",$T377=""),"",$T377+(AA$2*$M377))</f>
        <v/>
      </c>
      <c r="AB377" s="48">
        <f>IF(OR($M377="",$T377=""),"",$T377+(AB$2*$M377))</f>
        <v/>
      </c>
      <c r="AC377" s="48">
        <f>IF(OR($M377="",$T377=""),"",$T377+(AC$2*$M377))</f>
        <v/>
      </c>
      <c r="AD377" s="48">
        <f>IF(OR($M377="",$T377=""),"",$T377+(AD$2*$M377))</f>
        <v/>
      </c>
      <c r="AE377" s="49">
        <f>IF(OR($M377="",$T377=""),"",$T377+(AE$2*$M377))</f>
        <v/>
      </c>
      <c r="AF377" s="52">
        <f>IF(OR(T377="",I377&lt;T377),"",IFERROR(AVERAGE(T377+M377*{7,8,9,10,11})/IF(G377="",I377,G377)-1,""))</f>
        <v/>
      </c>
      <c r="AG377" s="55">
        <f>IF(OR(T377="",I377&lt;T377),"",IFERROR(AF377/-(R377/IF(G377="",I377,G377)-1),""))</f>
        <v/>
      </c>
      <c r="AH377" s="94" t="n">
        <v>1</v>
      </c>
      <c r="AI377" s="94" t="n">
        <v>78.78798374383733</v>
      </c>
      <c r="AJ377" s="94" t="n">
        <v>1</v>
      </c>
      <c r="AK377" s="94" t="inlineStr">
        <is>
          <t>OTT Turned Up</t>
        </is>
      </c>
      <c r="AL377" s="84" t="inlineStr">
        <is>
          <t>Thor Industries, Inc.</t>
        </is>
      </c>
      <c r="AM377" t="inlineStr">
        <is>
          <t>Consumer Cyclical</t>
        </is>
      </c>
      <c r="AN377" t="inlineStr">
        <is>
          <t>Recreational Vehicles</t>
        </is>
      </c>
      <c r="AO377" t="n">
        <v>75</v>
      </c>
    </row>
    <row r="378">
      <c r="A378" s="64" t="inlineStr">
        <is>
          <t>TCBI</t>
        </is>
      </c>
      <c r="B378" s="65" t="n"/>
      <c r="C378" s="66" t="n"/>
      <c r="D378" s="67" t="n"/>
      <c r="E378" s="68" t="n"/>
      <c r="F378" s="47">
        <f>IF(A378="","",IF(MIN(H378,MAX(J378:K378))=0,"",MIN(H378,MAX(J378:K378))))</f>
        <v/>
      </c>
      <c r="G378" s="74" t="n"/>
      <c r="H378" s="49">
        <f>IF(M378="","",IFERROR(ROUND(AVERAGE(T378+M378*{7,8,9,10,11})/1.21,4),""))</f>
        <v/>
      </c>
      <c r="I378" s="76" t="n">
        <v>98.01000213623047</v>
      </c>
      <c r="J378" s="77" t="n">
        <v>96.34337399710159</v>
      </c>
      <c r="K378" s="74" t="n">
        <v>94.55500030517578</v>
      </c>
      <c r="L378" s="78" t="n">
        <v>82.56350023269653</v>
      </c>
      <c r="M378" s="77" t="n">
        <v>2.237922669186284</v>
      </c>
      <c r="N378" s="53">
        <f>IF(M378="","",IFERROR(M378/I378,""))</f>
        <v/>
      </c>
      <c r="O378" s="50">
        <f>IF(A378="","",IFERROR((IF(G378="",I378,G378)-T378)/M378,""))</f>
        <v/>
      </c>
      <c r="P378" s="50">
        <f>IFERROR((I378/T378-1)/N378,"")</f>
        <v/>
      </c>
      <c r="Q378" s="46">
        <f>IF(OR(T378="",I378&lt;T378),"",IFERROR(R378/IF(G378="",I378,G378)-1,""))</f>
        <v/>
      </c>
      <c r="R378" s="48">
        <f>IF($M378="","",MAX(IF($G378="",$I378,$G378)*(1/1.1),IF($G378="",$I378,$G378)+(R$2*$M378)))</f>
        <v/>
      </c>
      <c r="S378" s="49">
        <f>IF($M378="","",MAX(IF($G378="",$I378,$G378)*(1/1.1),IF($G378="",$I378,$G378)+(S$2*$M378)))</f>
        <v/>
      </c>
      <c r="T378" s="82" t="n">
        <v>91.72540023803711</v>
      </c>
      <c r="U378" s="47">
        <f>IF(OR($M378="",$T378=""),"",$T378+(U$2*$M378))</f>
        <v/>
      </c>
      <c r="V378" s="48">
        <f>IF(OR($M378="",$T378=""),"",$T378+(V$2*$M378))</f>
        <v/>
      </c>
      <c r="W378" s="48">
        <f>IF(OR($M378="",$T378=""),"",$T378+(W$2*$M378))</f>
        <v/>
      </c>
      <c r="X378" s="49">
        <f>IF(OR($M378="",$T378=""),"",$T378+(X$2*$M378))</f>
        <v/>
      </c>
      <c r="Y378" s="47">
        <f>IF(OR($M378="",$T378=""),"",$T378+(Y$2*$M378))</f>
        <v/>
      </c>
      <c r="Z378" s="49">
        <f>IF(OR($M378="",$T378=""),"",$T378+(Z$2*$M378))</f>
        <v/>
      </c>
      <c r="AA378" s="51">
        <f>IF(OR($M378="",$T378=""),"",$T378+(AA$2*$M378))</f>
        <v/>
      </c>
      <c r="AB378" s="48">
        <f>IF(OR($M378="",$T378=""),"",$T378+(AB$2*$M378))</f>
        <v/>
      </c>
      <c r="AC378" s="48">
        <f>IF(OR($M378="",$T378=""),"",$T378+(AC$2*$M378))</f>
        <v/>
      </c>
      <c r="AD378" s="48">
        <f>IF(OR($M378="",$T378=""),"",$T378+(AD$2*$M378))</f>
        <v/>
      </c>
      <c r="AE378" s="49">
        <f>IF(OR($M378="",$T378=""),"",$T378+(AE$2*$M378))</f>
        <v/>
      </c>
      <c r="AF378" s="52">
        <f>IF(OR(T378="",I378&lt;T378),"",IFERROR(AVERAGE(T378+M378*{7,8,9,10,11})/IF(G378="",I378,G378)-1,""))</f>
        <v/>
      </c>
      <c r="AG378" s="55">
        <f>IF(OR(T378="",I378&lt;T378),"",IFERROR(AF378/-(R378/IF(G378="",I378,G378)-1),""))</f>
        <v/>
      </c>
      <c r="AH378" s="94" t="n">
        <v>1</v>
      </c>
      <c r="AI378" s="94" t="n">
        <v>69.33850941125684</v>
      </c>
      <c r="AJ378" s="94" t="n">
        <v>1</v>
      </c>
      <c r="AK378" s="94" t="inlineStr">
        <is>
          <t>OTT Up Trend</t>
        </is>
      </c>
      <c r="AL378" s="84" t="inlineStr">
        <is>
          <t>Texas Capital Bancshares, Inc.</t>
        </is>
      </c>
      <c r="AM378" t="inlineStr">
        <is>
          <t>Financial Services</t>
        </is>
      </c>
      <c r="AN378" t="inlineStr">
        <is>
          <t>Banks - Regional</t>
        </is>
      </c>
      <c r="AO378" t="n">
        <v>75</v>
      </c>
    </row>
    <row r="379">
      <c r="A379" s="64" t="inlineStr">
        <is>
          <t>SBCF</t>
        </is>
      </c>
      <c r="B379" s="65" t="n"/>
      <c r="C379" s="66" t="n"/>
      <c r="D379" s="67" t="n"/>
      <c r="E379" s="68" t="n"/>
      <c r="F379" s="47">
        <f>IF(A379="","",IF(MIN(H379,MAX(J379:K379))=0,"",MIN(H379,MAX(J379:K379))))</f>
        <v/>
      </c>
      <c r="G379" s="74" t="n"/>
      <c r="H379" s="49">
        <f>IF(M379="","",IFERROR(ROUND(AVERAGE(T379+M379*{7,8,9,10,11})/1.21,4),""))</f>
        <v/>
      </c>
      <c r="I379" s="76" t="n">
        <v>33.83000183105469</v>
      </c>
      <c r="J379" s="77" t="n">
        <v>32.93307299418561</v>
      </c>
      <c r="K379" s="74" t="n">
        <v>32.41350021362305</v>
      </c>
      <c r="L379" s="78" t="n">
        <v>28.79310002326965</v>
      </c>
      <c r="M379" s="77" t="n">
        <v>0.8392515392762586</v>
      </c>
      <c r="N379" s="53">
        <f>IF(M379="","",IFERROR(M379/I379,""))</f>
        <v/>
      </c>
      <c r="O379" s="50">
        <f>IF(A379="","",IFERROR((IF(G379="",I379,G379)-T379)/M379,""))</f>
        <v/>
      </c>
      <c r="P379" s="50">
        <f>IFERROR((I379/T379-1)/N379,"")</f>
        <v/>
      </c>
      <c r="Q379" s="46">
        <f>IF(OR(T379="",I379&lt;T379),"",IFERROR(R379/IF(G379="",I379,G379)-1,""))</f>
        <v/>
      </c>
      <c r="R379" s="48">
        <f>IF($M379="","",MAX(IF($G379="",$I379,$G379)*(1/1.1),IF($G379="",$I379,$G379)+(R$2*$M379)))</f>
        <v/>
      </c>
      <c r="S379" s="49">
        <f>IF($M379="","",MAX(IF($G379="",$I379,$G379)*(1/1.1),IF($G379="",$I379,$G379)+(S$2*$M379)))</f>
        <v/>
      </c>
      <c r="T379" s="82" t="n">
        <v>31.77400001525879</v>
      </c>
      <c r="U379" s="47">
        <f>IF(OR($M379="",$T379=""),"",$T379+(U$2*$M379))</f>
        <v/>
      </c>
      <c r="V379" s="48">
        <f>IF(OR($M379="",$T379=""),"",$T379+(V$2*$M379))</f>
        <v/>
      </c>
      <c r="W379" s="48">
        <f>IF(OR($M379="",$T379=""),"",$T379+(W$2*$M379))</f>
        <v/>
      </c>
      <c r="X379" s="49">
        <f>IF(OR($M379="",$T379=""),"",$T379+(X$2*$M379))</f>
        <v/>
      </c>
      <c r="Y379" s="47">
        <f>IF(OR($M379="",$T379=""),"",$T379+(Y$2*$M379))</f>
        <v/>
      </c>
      <c r="Z379" s="49">
        <f>IF(OR($M379="",$T379=""),"",$T379+(Z$2*$M379))</f>
        <v/>
      </c>
      <c r="AA379" s="51">
        <f>IF(OR($M379="",$T379=""),"",$T379+(AA$2*$M379))</f>
        <v/>
      </c>
      <c r="AB379" s="48">
        <f>IF(OR($M379="",$T379=""),"",$T379+(AB$2*$M379))</f>
        <v/>
      </c>
      <c r="AC379" s="48">
        <f>IF(OR($M379="",$T379=""),"",$T379+(AC$2*$M379))</f>
        <v/>
      </c>
      <c r="AD379" s="48">
        <f>IF(OR($M379="",$T379=""),"",$T379+(AD$2*$M379))</f>
        <v/>
      </c>
      <c r="AE379" s="49">
        <f>IF(OR($M379="",$T379=""),"",$T379+(AE$2*$M379))</f>
        <v/>
      </c>
      <c r="AF379" s="52">
        <f>IF(OR(T379="",I379&lt;T379),"",IFERROR(AVERAGE(T379+M379*{7,8,9,10,11})/IF(G379="",I379,G379)-1,""))</f>
        <v/>
      </c>
      <c r="AG379" s="55">
        <f>IF(OR(T379="",I379&lt;T379),"",IFERROR(AF379/-(R379/IF(G379="",I379,G379)-1),""))</f>
        <v/>
      </c>
      <c r="AH379" s="94" t="n">
        <v>1</v>
      </c>
      <c r="AI379" s="94" t="n">
        <v>49.46179936141986</v>
      </c>
      <c r="AJ379" s="94" t="n">
        <v>1</v>
      </c>
      <c r="AK379" s="94" t="inlineStr">
        <is>
          <t>OTT Up Trend</t>
        </is>
      </c>
      <c r="AL379" s="84" t="inlineStr">
        <is>
          <t>Seacoast Banking Corporation of</t>
        </is>
      </c>
      <c r="AM379" t="inlineStr">
        <is>
          <t>Financial Services</t>
        </is>
      </c>
      <c r="AN379" t="inlineStr">
        <is>
          <t>Banks - Regional</t>
        </is>
      </c>
      <c r="AO379" t="n">
        <v>75</v>
      </c>
    </row>
    <row r="380">
      <c r="A380" s="64" t="inlineStr">
        <is>
          <t>AAL</t>
        </is>
      </c>
      <c r="B380" s="65" t="n"/>
      <c r="C380" s="66" t="n"/>
      <c r="D380" s="67" t="n"/>
      <c r="E380" s="68" t="n"/>
      <c r="F380" s="47">
        <f>IF(A380="","",IF(MIN(H380,MAX(J380:K380))=0,"",MIN(H380,MAX(J380:K380))))</f>
        <v/>
      </c>
      <c r="G380" s="74" t="n"/>
      <c r="H380" s="49">
        <f>IF(M380="","",IFERROR(ROUND(AVERAGE(T380+M380*{7,8,9,10,11})/1.21,4),""))</f>
        <v/>
      </c>
      <c r="I380" s="76" t="n">
        <v>15.36999988555908</v>
      </c>
      <c r="J380" s="77" t="n">
        <v>15.56171158924555</v>
      </c>
      <c r="K380" s="74" t="n">
        <v>15.62149996757507</v>
      </c>
      <c r="L380" s="78" t="n">
        <v>12.38704998493195</v>
      </c>
      <c r="M380" s="77" t="n">
        <v>0.5574401104704291</v>
      </c>
      <c r="N380" s="53">
        <f>IF(M380="","",IFERROR(M380/I380,""))</f>
        <v/>
      </c>
      <c r="O380" s="50">
        <f>IF(A380="","",IFERROR((IF(G380="",I380,G380)-T380)/M380,""))</f>
        <v/>
      </c>
      <c r="P380" s="50">
        <f>IFERROR((I380/T380-1)/N380,"")</f>
        <v/>
      </c>
      <c r="Q380" s="46">
        <f>IF(OR(T380="",I380&lt;T380),"",IFERROR(R380/IF(G380="",I380,G380)-1,""))</f>
        <v/>
      </c>
      <c r="R380" s="48">
        <f>IF($M380="","",MAX(IF($G380="",$I380,$G380)*(1/1.1),IF($G380="",$I380,$G380)+(R$2*$M380)))</f>
        <v/>
      </c>
      <c r="S380" s="49">
        <f>IF($M380="","",MAX(IF($G380="",$I380,$G380)*(1/1.1),IF($G380="",$I380,$G380)+(S$2*$M380)))</f>
        <v/>
      </c>
      <c r="T380" s="82" t="n">
        <v>14.57219999313354</v>
      </c>
      <c r="U380" s="47">
        <f>IF(OR($M380="",$T380=""),"",$T380+(U$2*$M380))</f>
        <v/>
      </c>
      <c r="V380" s="48">
        <f>IF(OR($M380="",$T380=""),"",$T380+(V$2*$M380))</f>
        <v/>
      </c>
      <c r="W380" s="48">
        <f>IF(OR($M380="",$T380=""),"",$T380+(W$2*$M380))</f>
        <v/>
      </c>
      <c r="X380" s="49">
        <f>IF(OR($M380="",$T380=""),"",$T380+(X$2*$M380))</f>
        <v/>
      </c>
      <c r="Y380" s="47">
        <f>IF(OR($M380="",$T380=""),"",$T380+(Y$2*$M380))</f>
        <v/>
      </c>
      <c r="Z380" s="49">
        <f>IF(OR($M380="",$T380=""),"",$T380+(Z$2*$M380))</f>
        <v/>
      </c>
      <c r="AA380" s="51">
        <f>IF(OR($M380="",$T380=""),"",$T380+(AA$2*$M380))</f>
        <v/>
      </c>
      <c r="AB380" s="48">
        <f>IF(OR($M380="",$T380=""),"",$T380+(AB$2*$M380))</f>
        <v/>
      </c>
      <c r="AC380" s="48">
        <f>IF(OR($M380="",$T380=""),"",$T380+(AC$2*$M380))</f>
        <v/>
      </c>
      <c r="AD380" s="48">
        <f>IF(OR($M380="",$T380=""),"",$T380+(AD$2*$M380))</f>
        <v/>
      </c>
      <c r="AE380" s="49">
        <f>IF(OR($M380="",$T380=""),"",$T380+(AE$2*$M380))</f>
        <v/>
      </c>
      <c r="AF380" s="52">
        <f>IF(OR(T380="",I380&lt;T380),"",IFERROR(AVERAGE(T380+M380*{7,8,9,10,11})/IF(G380="",I380,G380)-1,""))</f>
        <v/>
      </c>
      <c r="AG380" s="55">
        <f>IF(OR(T380="",I380&lt;T380),"",IFERROR(AF380/-(R380/IF(G380="",I380,G380)-1),""))</f>
        <v/>
      </c>
      <c r="AH380" s="94" t="n">
        <v>1</v>
      </c>
      <c r="AI380" s="94" t="n">
        <v>44.17118823481586</v>
      </c>
      <c r="AJ380" s="94" t="n">
        <v>0</v>
      </c>
      <c r="AK380" s="94" t="inlineStr">
        <is>
          <t>OTT Up Trend</t>
        </is>
      </c>
      <c r="AL380" s="84" t="inlineStr">
        <is>
          <t>American Airlines Group, Inc.</t>
        </is>
      </c>
      <c r="AM380" t="inlineStr">
        <is>
          <t>Industrials</t>
        </is>
      </c>
      <c r="AN380" t="inlineStr">
        <is>
          <t>Airlines</t>
        </is>
      </c>
      <c r="AO380" t="n">
        <v>75</v>
      </c>
    </row>
    <row r="381">
      <c r="A381" s="64" t="inlineStr">
        <is>
          <t>PBF</t>
        </is>
      </c>
      <c r="B381" s="65" t="n"/>
      <c r="C381" s="66" t="n"/>
      <c r="D381" s="67" t="n"/>
      <c r="E381" s="68" t="n"/>
      <c r="F381" s="47">
        <f>IF(A381="","",IF(MIN(H381,MAX(J381:K381))=0,"",MIN(H381,MAX(J381:K381))))</f>
        <v/>
      </c>
      <c r="G381" s="74" t="n"/>
      <c r="H381" s="49">
        <f>IF(M381="","",IFERROR(ROUND(AVERAGE(T381+M381*{7,8,9,10,11})/1.21,4),""))</f>
        <v/>
      </c>
      <c r="I381" s="76" t="n">
        <v>29.53000068664551</v>
      </c>
      <c r="J381" s="77" t="n">
        <v>30.65206886430255</v>
      </c>
      <c r="K381" s="74" t="n">
        <v>28.73550043106079</v>
      </c>
      <c r="L381" s="78" t="n">
        <v>26.09525001525879</v>
      </c>
      <c r="M381" s="77" t="n">
        <v>1.932884687951663</v>
      </c>
      <c r="N381" s="53">
        <f>IF(M381="","",IFERROR(M381/I381,""))</f>
        <v/>
      </c>
      <c r="O381" s="50">
        <f>IF(A381="","",IFERROR((IF(G381="",I381,G381)-T381)/M381,""))</f>
        <v/>
      </c>
      <c r="P381" s="50">
        <f>IFERROR((I381/T381-1)/N381,"")</f>
        <v/>
      </c>
      <c r="Q381" s="46">
        <f>IF(OR(T381="",I381&lt;T381),"",IFERROR(R381/IF(G381="",I381,G381)-1,""))</f>
        <v/>
      </c>
      <c r="R381" s="48">
        <f>IF($M381="","",MAX(IF($G381="",$I381,$G381)*(1/1.1),IF($G381="",$I381,$G381)+(R$2*$M381)))</f>
        <v/>
      </c>
      <c r="S381" s="49">
        <f>IF($M381="","",MAX(IF($G381="",$I381,$G381)*(1/1.1),IF($G381="",$I381,$G381)+(S$2*$M381)))</f>
        <v/>
      </c>
      <c r="T381" s="82" t="n">
        <v>32.20040016174316</v>
      </c>
      <c r="U381" s="47">
        <f>IF(OR($M381="",$T381=""),"",$T381+(U$2*$M381))</f>
        <v/>
      </c>
      <c r="V381" s="48">
        <f>IF(OR($M381="",$T381=""),"",$T381+(V$2*$M381))</f>
        <v/>
      </c>
      <c r="W381" s="48">
        <f>IF(OR($M381="",$T381=""),"",$T381+(W$2*$M381))</f>
        <v/>
      </c>
      <c r="X381" s="49">
        <f>IF(OR($M381="",$T381=""),"",$T381+(X$2*$M381))</f>
        <v/>
      </c>
      <c r="Y381" s="47">
        <f>IF(OR($M381="",$T381=""),"",$T381+(Y$2*$M381))</f>
        <v/>
      </c>
      <c r="Z381" s="49">
        <f>IF(OR($M381="",$T381=""),"",$T381+(Z$2*$M381))</f>
        <v/>
      </c>
      <c r="AA381" s="51">
        <f>IF(OR($M381="",$T381=""),"",$T381+(AA$2*$M381))</f>
        <v/>
      </c>
      <c r="AB381" s="48">
        <f>IF(OR($M381="",$T381=""),"",$T381+(AB$2*$M381))</f>
        <v/>
      </c>
      <c r="AC381" s="48">
        <f>IF(OR($M381="",$T381=""),"",$T381+(AC$2*$M381))</f>
        <v/>
      </c>
      <c r="AD381" s="48">
        <f>IF(OR($M381="",$T381=""),"",$T381+(AD$2*$M381))</f>
        <v/>
      </c>
      <c r="AE381" s="49">
        <f>IF(OR($M381="",$T381=""),"",$T381+(AE$2*$M381))</f>
        <v/>
      </c>
      <c r="AF381" s="52">
        <f>IF(OR(T381="",I381&lt;T381),"",IFERROR(AVERAGE(T381+M381*{7,8,9,10,11})/IF(G381="",I381,G381)-1,""))</f>
        <v/>
      </c>
      <c r="AG381" s="55">
        <f>IF(OR(T381="",I381&lt;T381),"",IFERROR(AF381/-(R381/IF(G381="",I381,G381)-1),""))</f>
        <v/>
      </c>
      <c r="AH381" s="94" t="n">
        <v>1</v>
      </c>
      <c r="AI381" s="94" t="n">
        <v>12.25890488180652</v>
      </c>
      <c r="AJ381" s="94" t="n">
        <v>1</v>
      </c>
      <c r="AK381" s="94" t="inlineStr">
        <is>
          <t>OTT Up Trend</t>
        </is>
      </c>
      <c r="AL381" s="84" t="inlineStr">
        <is>
          <t>PBF Energy Inc.</t>
        </is>
      </c>
      <c r="AM381" t="inlineStr">
        <is>
          <t>Energy</t>
        </is>
      </c>
      <c r="AN381" t="inlineStr">
        <is>
          <t>Oil &amp; Gas Refining &amp; Marketing</t>
        </is>
      </c>
      <c r="AO381" t="n">
        <v>74</v>
      </c>
    </row>
    <row r="382">
      <c r="A382" s="64" t="inlineStr">
        <is>
          <t>UAL</t>
        </is>
      </c>
      <c r="B382" s="65" t="n"/>
      <c r="C382" s="66" t="n"/>
      <c r="D382" s="67" t="n"/>
      <c r="E382" s="68" t="n"/>
      <c r="F382" s="47">
        <f>IF(A382="","",IF(MIN(H382,MAX(J382:K382))=0,"",MIN(H382,MAX(J382:K382))))</f>
        <v/>
      </c>
      <c r="G382" s="74" t="n"/>
      <c r="H382" s="49">
        <f>IF(M382="","",IFERROR(ROUND(AVERAGE(T382+M382*{7,8,9,10,11})/1.21,4),""))</f>
        <v/>
      </c>
      <c r="I382" s="76" t="n">
        <v>113.4899978637695</v>
      </c>
      <c r="J382" s="77" t="n">
        <v>114.2821854769699</v>
      </c>
      <c r="K382" s="74" t="n">
        <v>114.2404991149902</v>
      </c>
      <c r="L382" s="78" t="n">
        <v>91.93435009002685</v>
      </c>
      <c r="M382" s="77" t="n">
        <v>3.50154139359149</v>
      </c>
      <c r="N382" s="53">
        <f>IF(M382="","",IFERROR(M382/I382,""))</f>
        <v/>
      </c>
      <c r="O382" s="50">
        <f>IF(A382="","",IFERROR((IF(G382="",I382,G382)-T382)/M382,""))</f>
        <v/>
      </c>
      <c r="P382" s="50">
        <f>IFERROR((I382/T382-1)/N382,"")</f>
        <v/>
      </c>
      <c r="Q382" s="46">
        <f>IF(OR(T382="",I382&lt;T382),"",IFERROR(R382/IF(G382="",I382,G382)-1,""))</f>
        <v/>
      </c>
      <c r="R382" s="48">
        <f>IF($M382="","",MAX(IF($G382="",$I382,$G382)*(1/1.1),IF($G382="",$I382,$G382)+(R$2*$M382)))</f>
        <v/>
      </c>
      <c r="S382" s="49">
        <f>IF($M382="","",MAX(IF($G382="",$I382,$G382)*(1/1.1),IF($G382="",$I382,$G382)+(S$2*$M382)))</f>
        <v/>
      </c>
      <c r="T382" s="82" t="n">
        <v>105.9735993957519</v>
      </c>
      <c r="U382" s="47">
        <f>IF(OR($M382="",$T382=""),"",$T382+(U$2*$M382))</f>
        <v/>
      </c>
      <c r="V382" s="48">
        <f>IF(OR($M382="",$T382=""),"",$T382+(V$2*$M382))</f>
        <v/>
      </c>
      <c r="W382" s="48">
        <f>IF(OR($M382="",$T382=""),"",$T382+(W$2*$M382))</f>
        <v/>
      </c>
      <c r="X382" s="49">
        <f>IF(OR($M382="",$T382=""),"",$T382+(X$2*$M382))</f>
        <v/>
      </c>
      <c r="Y382" s="47">
        <f>IF(OR($M382="",$T382=""),"",$T382+(Y$2*$M382))</f>
        <v/>
      </c>
      <c r="Z382" s="49">
        <f>IF(OR($M382="",$T382=""),"",$T382+(Z$2*$M382))</f>
        <v/>
      </c>
      <c r="AA382" s="51">
        <f>IF(OR($M382="",$T382=""),"",$T382+(AA$2*$M382))</f>
        <v/>
      </c>
      <c r="AB382" s="48">
        <f>IF(OR($M382="",$T382=""),"",$T382+(AB$2*$M382))</f>
        <v/>
      </c>
      <c r="AC382" s="48">
        <f>IF(OR($M382="",$T382=""),"",$T382+(AC$2*$M382))</f>
        <v/>
      </c>
      <c r="AD382" s="48">
        <f>IF(OR($M382="",$T382=""),"",$T382+(AD$2*$M382))</f>
        <v/>
      </c>
      <c r="AE382" s="49">
        <f>IF(OR($M382="",$T382=""),"",$T382+(AE$2*$M382))</f>
        <v/>
      </c>
      <c r="AF382" s="52">
        <f>IF(OR(T382="",I382&lt;T382),"",IFERROR(AVERAGE(T382+M382*{7,8,9,10,11})/IF(G382="",I382,G382)-1,""))</f>
        <v/>
      </c>
      <c r="AG382" s="55">
        <f>IF(OR(T382="",I382&lt;T382),"",IFERROR(AF382/-(R382/IF(G382="",I382,G382)-1),""))</f>
        <v/>
      </c>
      <c r="AH382" s="94" t="n">
        <v>1</v>
      </c>
      <c r="AI382" s="94" t="n">
        <v>60.13422555571728</v>
      </c>
      <c r="AJ382" s="94" t="n">
        <v>0</v>
      </c>
      <c r="AK382" s="94" t="inlineStr">
        <is>
          <t>OTT Up Trend</t>
        </is>
      </c>
      <c r="AL382" s="84" t="inlineStr">
        <is>
          <t>United Airlines Holdings, Inc.</t>
        </is>
      </c>
      <c r="AM382" t="inlineStr">
        <is>
          <t>Industrials</t>
        </is>
      </c>
      <c r="AN382" t="inlineStr">
        <is>
          <t>Airlines</t>
        </is>
      </c>
      <c r="AO382" t="n">
        <v>74</v>
      </c>
    </row>
    <row r="383">
      <c r="A383" s="64" t="inlineStr">
        <is>
          <t>ALEX</t>
        </is>
      </c>
      <c r="B383" s="65" t="n"/>
      <c r="C383" s="66" t="n"/>
      <c r="D383" s="67" t="n"/>
      <c r="E383" s="68" t="n"/>
      <c r="F383" s="47">
        <f>IF(A383="","",IF(MIN(H383,MAX(J383:K383))=0,"",MIN(H383,MAX(J383:K383))))</f>
        <v/>
      </c>
      <c r="G383" s="74" t="n"/>
      <c r="H383" s="49">
        <f>IF(M383="","",IFERROR(ROUND(AVERAGE(T383+M383*{7,8,9,10,11})/1.21,4),""))</f>
        <v/>
      </c>
      <c r="I383" s="76" t="n">
        <v>20.85000038146973</v>
      </c>
      <c r="J383" s="77" t="n">
        <v>20.74598633870824</v>
      </c>
      <c r="K383" s="74" t="n">
        <v>20.71649980545044</v>
      </c>
      <c r="L383" s="78" t="n">
        <v>17.88099999904632</v>
      </c>
      <c r="M383" s="77" t="n">
        <v>0.1567997060751898</v>
      </c>
      <c r="N383" s="53">
        <f>IF(M383="","",IFERROR(M383/I383,""))</f>
        <v/>
      </c>
      <c r="O383" s="50">
        <f>IF(A383="","",IFERROR((IF(G383="",I383,G383)-T383)/M383,""))</f>
        <v/>
      </c>
      <c r="P383" s="50">
        <f>IFERROR((I383/T383-1)/N383,"")</f>
        <v/>
      </c>
      <c r="Q383" s="46">
        <f>IF(OR(T383="",I383&lt;T383),"",IFERROR(R383/IF(G383="",I383,G383)-1,""))</f>
        <v/>
      </c>
      <c r="R383" s="48">
        <f>IF($M383="","",MAX(IF($G383="",$I383,$G383)*(1/1.1),IF($G383="",$I383,$G383)+(R$2*$M383)))</f>
        <v/>
      </c>
      <c r="S383" s="49">
        <f>IF($M383="","",MAX(IF($G383="",$I383,$G383)*(1/1.1),IF($G383="",$I383,$G383)+(S$2*$M383)))</f>
        <v/>
      </c>
      <c r="T383" s="82" t="n">
        <v>18.38579996109009</v>
      </c>
      <c r="U383" s="47">
        <f>IF(OR($M383="",$T383=""),"",$T383+(U$2*$M383))</f>
        <v/>
      </c>
      <c r="V383" s="48">
        <f>IF(OR($M383="",$T383=""),"",$T383+(V$2*$M383))</f>
        <v/>
      </c>
      <c r="W383" s="48">
        <f>IF(OR($M383="",$T383=""),"",$T383+(W$2*$M383))</f>
        <v/>
      </c>
      <c r="X383" s="49">
        <f>IF(OR($M383="",$T383=""),"",$T383+(X$2*$M383))</f>
        <v/>
      </c>
      <c r="Y383" s="47">
        <f>IF(OR($M383="",$T383=""),"",$T383+(Y$2*$M383))</f>
        <v/>
      </c>
      <c r="Z383" s="49">
        <f>IF(OR($M383="",$T383=""),"",$T383+(Z$2*$M383))</f>
        <v/>
      </c>
      <c r="AA383" s="51">
        <f>IF(OR($M383="",$T383=""),"",$T383+(AA$2*$M383))</f>
        <v/>
      </c>
      <c r="AB383" s="48">
        <f>IF(OR($M383="",$T383=""),"",$T383+(AB$2*$M383))</f>
        <v/>
      </c>
      <c r="AC383" s="48">
        <f>IF(OR($M383="",$T383=""),"",$T383+(AC$2*$M383))</f>
        <v/>
      </c>
      <c r="AD383" s="48">
        <f>IF(OR($M383="",$T383=""),"",$T383+(AD$2*$M383))</f>
        <v/>
      </c>
      <c r="AE383" s="49">
        <f>IF(OR($M383="",$T383=""),"",$T383+(AE$2*$M383))</f>
        <v/>
      </c>
      <c r="AF383" s="52">
        <f>IF(OR(T383="",I383&lt;T383),"",IFERROR(AVERAGE(T383+M383*{7,8,9,10,11})/IF(G383="",I383,G383)-1,""))</f>
        <v/>
      </c>
      <c r="AG383" s="55">
        <f>IF(OR(T383="",I383&lt;T383),"",IFERROR(AF383/-(R383/IF(G383="",I383,G383)-1),""))</f>
        <v/>
      </c>
      <c r="AH383" s="94" t="n">
        <v>1</v>
      </c>
      <c r="AI383" s="94" t="n">
        <v>258.9170426681666</v>
      </c>
      <c r="AJ383" s="94" t="n">
        <v>0</v>
      </c>
      <c r="AK383" s="94" t="inlineStr">
        <is>
          <t>OTT Up Trend</t>
        </is>
      </c>
      <c r="AL383" s="84" t="inlineStr">
        <is>
          <t>Alexander &amp; Baldwin, Inc.</t>
        </is>
      </c>
      <c r="AM383" t="inlineStr">
        <is>
          <t>Real Estate</t>
        </is>
      </c>
      <c r="AN383" t="inlineStr">
        <is>
          <t>REIT - Retail</t>
        </is>
      </c>
      <c r="AO383" t="n">
        <v>74</v>
      </c>
    </row>
    <row r="384">
      <c r="A384" s="64" t="inlineStr">
        <is>
          <t>PNC</t>
        </is>
      </c>
      <c r="B384" s="65" t="n"/>
      <c r="C384" s="66" t="n"/>
      <c r="D384" s="67" t="n"/>
      <c r="E384" s="68" t="n"/>
      <c r="F384" s="47">
        <f>IF(A384="","",IF(MIN(H384,MAX(J384:K384))=0,"",MIN(H384,MAX(J384:K384))))</f>
        <v/>
      </c>
      <c r="G384" s="74" t="n"/>
      <c r="H384" s="49">
        <f>IF(M384="","",IFERROR(ROUND(AVERAGE(T384+M384*{7,8,9,10,11})/1.21,4),""))</f>
        <v/>
      </c>
      <c r="I384" s="76" t="n">
        <v>223.1799926757812</v>
      </c>
      <c r="J384" s="77" t="n">
        <v>215.9436407365175</v>
      </c>
      <c r="K384" s="74" t="n">
        <v>214.0084991455078</v>
      </c>
      <c r="L384" s="78" t="n">
        <v>188.5319003295898</v>
      </c>
      <c r="M384" s="77" t="n">
        <v>4.338747634986714</v>
      </c>
      <c r="N384" s="53">
        <f>IF(M384="","",IFERROR(M384/I384,""))</f>
        <v/>
      </c>
      <c r="O384" s="50">
        <f>IF(A384="","",IFERROR((IF(G384="",I384,G384)-T384)/M384,""))</f>
        <v/>
      </c>
      <c r="P384" s="50">
        <f>IFERROR((I384/T384-1)/N384,"")</f>
        <v/>
      </c>
      <c r="Q384" s="46">
        <f>IF(OR(T384="",I384&lt;T384),"",IFERROR(R384/IF(G384="",I384,G384)-1,""))</f>
        <v/>
      </c>
      <c r="R384" s="48">
        <f>IF($M384="","",MAX(IF($G384="",$I384,$G384)*(1/1.1),IF($G384="",$I384,$G384)+(R$2*$M384)))</f>
        <v/>
      </c>
      <c r="S384" s="49">
        <f>IF($M384="","",MAX(IF($G384="",$I384,$G384)*(1/1.1),IF($G384="",$I384,$G384)+(S$2*$M384)))</f>
        <v/>
      </c>
      <c r="T384" s="82" t="n">
        <v>201.4233996582031</v>
      </c>
      <c r="U384" s="47">
        <f>IF(OR($M384="",$T384=""),"",$T384+(U$2*$M384))</f>
        <v/>
      </c>
      <c r="V384" s="48">
        <f>IF(OR($M384="",$T384=""),"",$T384+(V$2*$M384))</f>
        <v/>
      </c>
      <c r="W384" s="48">
        <f>IF(OR($M384="",$T384=""),"",$T384+(W$2*$M384))</f>
        <v/>
      </c>
      <c r="X384" s="49">
        <f>IF(OR($M384="",$T384=""),"",$T384+(X$2*$M384))</f>
        <v/>
      </c>
      <c r="Y384" s="47">
        <f>IF(OR($M384="",$T384=""),"",$T384+(Y$2*$M384))</f>
        <v/>
      </c>
      <c r="Z384" s="49">
        <f>IF(OR($M384="",$T384=""),"",$T384+(Z$2*$M384))</f>
        <v/>
      </c>
      <c r="AA384" s="51">
        <f>IF(OR($M384="",$T384=""),"",$T384+(AA$2*$M384))</f>
        <v/>
      </c>
      <c r="AB384" s="48">
        <f>IF(OR($M384="",$T384=""),"",$T384+(AB$2*$M384))</f>
        <v/>
      </c>
      <c r="AC384" s="48">
        <f>IF(OR($M384="",$T384=""),"",$T384+(AC$2*$M384))</f>
        <v/>
      </c>
      <c r="AD384" s="48">
        <f>IF(OR($M384="",$T384=""),"",$T384+(AD$2*$M384))</f>
        <v/>
      </c>
      <c r="AE384" s="49">
        <f>IF(OR($M384="",$T384=""),"",$T384+(AE$2*$M384))</f>
        <v/>
      </c>
      <c r="AF384" s="52">
        <f>IF(OR(T384="",I384&lt;T384),"",IFERROR(AVERAGE(T384+M384*{7,8,9,10,11})/IF(G384="",I384,G384)-1,""))</f>
        <v/>
      </c>
      <c r="AG384" s="55">
        <f>IF(OR(T384="",I384&lt;T384),"",IFERROR(AF384/-(R384/IF(G384="",I384,G384)-1),""))</f>
        <v/>
      </c>
      <c r="AH384" s="94" t="n">
        <v>1</v>
      </c>
      <c r="AI384" s="94" t="n">
        <v>101.8571933099308</v>
      </c>
      <c r="AJ384" s="94" t="n">
        <v>0</v>
      </c>
      <c r="AK384" s="94" t="inlineStr">
        <is>
          <t>OTT Up Trend</t>
        </is>
      </c>
      <c r="AL384" s="84" t="inlineStr">
        <is>
          <t>PNC Financial Services Group, I</t>
        </is>
      </c>
      <c r="AM384" t="inlineStr">
        <is>
          <t>Financial Services</t>
        </is>
      </c>
      <c r="AN384" t="inlineStr">
        <is>
          <t>Banks - Regional</t>
        </is>
      </c>
      <c r="AO384" t="n">
        <v>74</v>
      </c>
    </row>
    <row r="385">
      <c r="A385" s="64" t="inlineStr">
        <is>
          <t>TDW</t>
        </is>
      </c>
      <c r="B385" s="65" t="n"/>
      <c r="C385" s="66" t="n"/>
      <c r="D385" s="67" t="n"/>
      <c r="E385" s="68" t="n"/>
      <c r="F385" s="47">
        <f>IF(A385="","",IF(MIN(H385,MAX(J385:K385))=0,"",MIN(H385,MAX(J385:K385))))</f>
        <v/>
      </c>
      <c r="G385" s="74" t="n"/>
      <c r="H385" s="49">
        <f>IF(M385="","",IFERROR(ROUND(AVERAGE(T385+M385*{7,8,9,10,11})/1.21,4),""))</f>
        <v/>
      </c>
      <c r="I385" s="76" t="n">
        <v>57.45000076293945</v>
      </c>
      <c r="J385" s="77" t="n">
        <v>56.28374909233249</v>
      </c>
      <c r="K385" s="74" t="n">
        <v>53.42349967956543</v>
      </c>
      <c r="L385" s="78" t="n">
        <v>49.84300004959106</v>
      </c>
      <c r="M385" s="77" t="n">
        <v>2.189486941882296</v>
      </c>
      <c r="N385" s="53">
        <f>IF(M385="","",IFERROR(M385/I385,""))</f>
        <v/>
      </c>
      <c r="O385" s="50">
        <f>IF(A385="","",IFERROR((IF(G385="",I385,G385)-T385)/M385,""))</f>
        <v/>
      </c>
      <c r="P385" s="50">
        <f>IFERROR((I385/T385-1)/N385,"")</f>
        <v/>
      </c>
      <c r="Q385" s="46">
        <f>IF(OR(T385="",I385&lt;T385),"",IFERROR(R385/IF(G385="",I385,G385)-1,""))</f>
        <v/>
      </c>
      <c r="R385" s="48">
        <f>IF($M385="","",MAX(IF($G385="",$I385,$G385)*(1/1.1),IF($G385="",$I385,$G385)+(R$2*$M385)))</f>
        <v/>
      </c>
      <c r="S385" s="49">
        <f>IF($M385="","",MAX(IF($G385="",$I385,$G385)*(1/1.1),IF($G385="",$I385,$G385)+(S$2*$M385)))</f>
        <v/>
      </c>
      <c r="T385" s="82" t="n">
        <v>54.61759979248047</v>
      </c>
      <c r="U385" s="47">
        <f>IF(OR($M385="",$T385=""),"",$T385+(U$2*$M385))</f>
        <v/>
      </c>
      <c r="V385" s="48">
        <f>IF(OR($M385="",$T385=""),"",$T385+(V$2*$M385))</f>
        <v/>
      </c>
      <c r="W385" s="48">
        <f>IF(OR($M385="",$T385=""),"",$T385+(W$2*$M385))</f>
        <v/>
      </c>
      <c r="X385" s="49">
        <f>IF(OR($M385="",$T385=""),"",$T385+(X$2*$M385))</f>
        <v/>
      </c>
      <c r="Y385" s="47">
        <f>IF(OR($M385="",$T385=""),"",$T385+(Y$2*$M385))</f>
        <v/>
      </c>
      <c r="Z385" s="49">
        <f>IF(OR($M385="",$T385=""),"",$T385+(Z$2*$M385))</f>
        <v/>
      </c>
      <c r="AA385" s="51">
        <f>IF(OR($M385="",$T385=""),"",$T385+(AA$2*$M385))</f>
        <v/>
      </c>
      <c r="AB385" s="48">
        <f>IF(OR($M385="",$T385=""),"",$T385+(AB$2*$M385))</f>
        <v/>
      </c>
      <c r="AC385" s="48">
        <f>IF(OR($M385="",$T385=""),"",$T385+(AC$2*$M385))</f>
        <v/>
      </c>
      <c r="AD385" s="48">
        <f>IF(OR($M385="",$T385=""),"",$T385+(AD$2*$M385))</f>
        <v/>
      </c>
      <c r="AE385" s="49">
        <f>IF(OR($M385="",$T385=""),"",$T385+(AE$2*$M385))</f>
        <v/>
      </c>
      <c r="AF385" s="52">
        <f>IF(OR(T385="",I385&lt;T385),"",IFERROR(AVERAGE(T385+M385*{7,8,9,10,11})/IF(G385="",I385,G385)-1,""))</f>
        <v/>
      </c>
      <c r="AG385" s="55">
        <f>IF(OR(T385="",I385&lt;T385),"",IFERROR(AF385/-(R385/IF(G385="",I385,G385)-1),""))</f>
        <v/>
      </c>
      <c r="AH385" s="94" t="n">
        <v>1</v>
      </c>
      <c r="AI385" s="94" t="n">
        <v>48.91469895822024</v>
      </c>
      <c r="AJ385" s="94" t="n">
        <v>1</v>
      </c>
      <c r="AK385" s="94" t="inlineStr">
        <is>
          <t>OTT Turned Down</t>
        </is>
      </c>
      <c r="AL385" s="84" t="inlineStr">
        <is>
          <t>Tidewater Inc.</t>
        </is>
      </c>
      <c r="AM385" t="inlineStr">
        <is>
          <t>Energy</t>
        </is>
      </c>
      <c r="AN385" t="inlineStr">
        <is>
          <t>Oil &amp; Gas Equipment &amp; Services</t>
        </is>
      </c>
      <c r="AO385" t="n">
        <v>74</v>
      </c>
    </row>
    <row r="386">
      <c r="A386" s="64" t="inlineStr">
        <is>
          <t>SF</t>
        </is>
      </c>
      <c r="B386" s="65" t="n"/>
      <c r="C386" s="66" t="n"/>
      <c r="D386" s="67" t="n"/>
      <c r="E386" s="68" t="n"/>
      <c r="F386" s="47">
        <f>IF(A386="","",IF(MIN(H386,MAX(J386:K386))=0,"",MIN(H386,MAX(J386:K386))))</f>
        <v/>
      </c>
      <c r="G386" s="74" t="n"/>
      <c r="H386" s="49">
        <f>IF(M386="","",IFERROR(ROUND(AVERAGE(T386+M386*{7,8,9,10,11})/1.21,4),""))</f>
        <v/>
      </c>
      <c r="I386" s="76" t="n">
        <v>129.6900024414062</v>
      </c>
      <c r="J386" s="77" t="n">
        <v>129.754083515416</v>
      </c>
      <c r="K386" s="74" t="n">
        <v>129.0590000152588</v>
      </c>
      <c r="L386" s="78" t="n">
        <v>109.5537497711182</v>
      </c>
      <c r="M386" s="77" t="n">
        <v>2.922392403715692</v>
      </c>
      <c r="N386" s="53">
        <f>IF(M386="","",IFERROR(M386/I386,""))</f>
        <v/>
      </c>
      <c r="O386" s="50">
        <f>IF(A386="","",IFERROR((IF(G386="",I386,G386)-T386)/M386,""))</f>
        <v/>
      </c>
      <c r="P386" s="50">
        <f>IFERROR((I386/T386-1)/N386,"")</f>
        <v/>
      </c>
      <c r="Q386" s="46">
        <f>IF(OR(T386="",I386&lt;T386),"",IFERROR(R386/IF(G386="",I386,G386)-1,""))</f>
        <v/>
      </c>
      <c r="R386" s="48">
        <f>IF($M386="","",MAX(IF($G386="",$I386,$G386)*(1/1.1),IF($G386="",$I386,$G386)+(R$2*$M386)))</f>
        <v/>
      </c>
      <c r="S386" s="49">
        <f>IF($M386="","",MAX(IF($G386="",$I386,$G386)*(1/1.1),IF($G386="",$I386,$G386)+(S$2*$M386)))</f>
        <v/>
      </c>
      <c r="T386" s="82" t="n">
        <v>125.2308001708984</v>
      </c>
      <c r="U386" s="47">
        <f>IF(OR($M386="",$T386=""),"",$T386+(U$2*$M386))</f>
        <v/>
      </c>
      <c r="V386" s="48">
        <f>IF(OR($M386="",$T386=""),"",$T386+(V$2*$M386))</f>
        <v/>
      </c>
      <c r="W386" s="48">
        <f>IF(OR($M386="",$T386=""),"",$T386+(W$2*$M386))</f>
        <v/>
      </c>
      <c r="X386" s="49">
        <f>IF(OR($M386="",$T386=""),"",$T386+(X$2*$M386))</f>
        <v/>
      </c>
      <c r="Y386" s="47">
        <f>IF(OR($M386="",$T386=""),"",$T386+(Y$2*$M386))</f>
        <v/>
      </c>
      <c r="Z386" s="49">
        <f>IF(OR($M386="",$T386=""),"",$T386+(Z$2*$M386))</f>
        <v/>
      </c>
      <c r="AA386" s="51">
        <f>IF(OR($M386="",$T386=""),"",$T386+(AA$2*$M386))</f>
        <v/>
      </c>
      <c r="AB386" s="48">
        <f>IF(OR($M386="",$T386=""),"",$T386+(AB$2*$M386))</f>
        <v/>
      </c>
      <c r="AC386" s="48">
        <f>IF(OR($M386="",$T386=""),"",$T386+(AC$2*$M386))</f>
        <v/>
      </c>
      <c r="AD386" s="48">
        <f>IF(OR($M386="",$T386=""),"",$T386+(AD$2*$M386))</f>
        <v/>
      </c>
      <c r="AE386" s="49">
        <f>IF(OR($M386="",$T386=""),"",$T386+(AE$2*$M386))</f>
        <v/>
      </c>
      <c r="AF386" s="52">
        <f>IF(OR(T386="",I386&lt;T386),"",IFERROR(AVERAGE(T386+M386*{7,8,9,10,11})/IF(G386="",I386,G386)-1,""))</f>
        <v/>
      </c>
      <c r="AG386" s="55">
        <f>IF(OR(T386="",I386&lt;T386),"",IFERROR(AF386/-(R386/IF(G386="",I386,G386)-1),""))</f>
        <v/>
      </c>
      <c r="AH386" s="94" t="n">
        <v>1</v>
      </c>
      <c r="AI386" s="94" t="n">
        <v>47.52685809048555</v>
      </c>
      <c r="AJ386" s="94" t="n">
        <v>0</v>
      </c>
      <c r="AK386" s="94" t="inlineStr">
        <is>
          <t>OTT Up Trend</t>
        </is>
      </c>
      <c r="AL386" s="84" t="inlineStr">
        <is>
          <t>Stifel Financial Corporation</t>
        </is>
      </c>
      <c r="AM386" t="inlineStr">
        <is>
          <t>Financial Services</t>
        </is>
      </c>
      <c r="AN386" t="inlineStr">
        <is>
          <t>Capital Markets</t>
        </is>
      </c>
      <c r="AO386" t="n">
        <v>74</v>
      </c>
    </row>
    <row r="387">
      <c r="A387" s="64" t="inlineStr">
        <is>
          <t>CALX</t>
        </is>
      </c>
      <c r="B387" s="65" t="n"/>
      <c r="C387" s="66" t="n"/>
      <c r="D387" s="67" t="n"/>
      <c r="E387" s="68" t="n"/>
      <c r="F387" s="47">
        <f>IF(A387="","",IF(MIN(H387,MAX(J387:K387))=0,"",MIN(H387,MAX(J387:K387))))</f>
        <v/>
      </c>
      <c r="G387" s="74" t="n"/>
      <c r="H387" s="49">
        <f>IF(M387="","",IFERROR(ROUND(AVERAGE(T387+M387*{7,8,9,10,11})/1.21,4),""))</f>
        <v/>
      </c>
      <c r="I387" s="76" t="n">
        <v>58.09999847412109</v>
      </c>
      <c r="J387" s="77" t="n">
        <v>55.27403998043069</v>
      </c>
      <c r="K387" s="74" t="n">
        <v>54.32749996185303</v>
      </c>
      <c r="L387" s="78" t="n">
        <v>53.14360004425049</v>
      </c>
      <c r="M387" s="77" t="n">
        <v>2.06932584147079</v>
      </c>
      <c r="N387" s="53">
        <f>IF(M387="","",IFERROR(M387/I387,""))</f>
        <v/>
      </c>
      <c r="O387" s="50">
        <f>IF(A387="","",IFERROR((IF(G387="",I387,G387)-T387)/M387,""))</f>
        <v/>
      </c>
      <c r="P387" s="50">
        <f>IFERROR((I387/T387-1)/N387,"")</f>
        <v/>
      </c>
      <c r="Q387" s="46">
        <f>IF(OR(T387="",I387&lt;T387),"",IFERROR(R387/IF(G387="",I387,G387)-1,""))</f>
        <v/>
      </c>
      <c r="R387" s="48">
        <f>IF($M387="","",MAX(IF($G387="",$I387,$G387)*(1/1.1),IF($G387="",$I387,$G387)+(R$2*$M387)))</f>
        <v/>
      </c>
      <c r="S387" s="49">
        <f>IF($M387="","",MAX(IF($G387="",$I387,$G387)*(1/1.1),IF($G387="",$I387,$G387)+(S$2*$M387)))</f>
        <v/>
      </c>
      <c r="T387" s="82" t="n">
        <v>55.93459991455078</v>
      </c>
      <c r="U387" s="47">
        <f>IF(OR($M387="",$T387=""),"",$T387+(U$2*$M387))</f>
        <v/>
      </c>
      <c r="V387" s="48">
        <f>IF(OR($M387="",$T387=""),"",$T387+(V$2*$M387))</f>
        <v/>
      </c>
      <c r="W387" s="48">
        <f>IF(OR($M387="",$T387=""),"",$T387+(W$2*$M387))</f>
        <v/>
      </c>
      <c r="X387" s="49">
        <f>IF(OR($M387="",$T387=""),"",$T387+(X$2*$M387))</f>
        <v/>
      </c>
      <c r="Y387" s="47">
        <f>IF(OR($M387="",$T387=""),"",$T387+(Y$2*$M387))</f>
        <v/>
      </c>
      <c r="Z387" s="49">
        <f>IF(OR($M387="",$T387=""),"",$T387+(Z$2*$M387))</f>
        <v/>
      </c>
      <c r="AA387" s="51">
        <f>IF(OR($M387="",$T387=""),"",$T387+(AA$2*$M387))</f>
        <v/>
      </c>
      <c r="AB387" s="48">
        <f>IF(OR($M387="",$T387=""),"",$T387+(AB$2*$M387))</f>
        <v/>
      </c>
      <c r="AC387" s="48">
        <f>IF(OR($M387="",$T387=""),"",$T387+(AC$2*$M387))</f>
        <v/>
      </c>
      <c r="AD387" s="48">
        <f>IF(OR($M387="",$T387=""),"",$T387+(AD$2*$M387))</f>
        <v/>
      </c>
      <c r="AE387" s="49">
        <f>IF(OR($M387="",$T387=""),"",$T387+(AE$2*$M387))</f>
        <v/>
      </c>
      <c r="AF387" s="52">
        <f>IF(OR(T387="",I387&lt;T387),"",IFERROR(AVERAGE(T387+M387*{7,8,9,10,11})/IF(G387="",I387,G387)-1,""))</f>
        <v/>
      </c>
      <c r="AG387" s="55">
        <f>IF(OR(T387="",I387&lt;T387),"",IFERROR(AF387/-(R387/IF(G387="",I387,G387)-1),""))</f>
        <v/>
      </c>
      <c r="AH387" s="94" t="n">
        <v>1</v>
      </c>
      <c r="AI387" s="94" t="n">
        <v>8.290615019911304</v>
      </c>
      <c r="AJ387" s="94" t="n">
        <v>1</v>
      </c>
      <c r="AK387" s="94" t="inlineStr">
        <is>
          <t>OTT Down Trend</t>
        </is>
      </c>
      <c r="AL387" s="84" t="inlineStr">
        <is>
          <t>Calix, Inc</t>
        </is>
      </c>
      <c r="AM387" t="inlineStr">
        <is>
          <t>Technology</t>
        </is>
      </c>
      <c r="AN387" t="inlineStr">
        <is>
          <t>Software - Infrastructure</t>
        </is>
      </c>
      <c r="AO387" t="n">
        <v>74</v>
      </c>
    </row>
    <row r="388">
      <c r="A388" s="64" t="inlineStr">
        <is>
          <t>HWC</t>
        </is>
      </c>
      <c r="B388" s="65" t="n"/>
      <c r="C388" s="66" t="n"/>
      <c r="D388" s="67" t="n"/>
      <c r="E388" s="68" t="n"/>
      <c r="F388" s="47">
        <f>IF(A388="","",IF(MIN(H388,MAX(J388:K388))=0,"",MIN(H388,MAX(J388:K388))))</f>
        <v/>
      </c>
      <c r="G388" s="74" t="n"/>
      <c r="H388" s="49">
        <f>IF(M388="","",IFERROR(ROUND(AVERAGE(T388+M388*{7,8,9,10,11})/1.21,4),""))</f>
        <v/>
      </c>
      <c r="I388" s="76" t="n">
        <v>68.33999633789062</v>
      </c>
      <c r="J388" s="77" t="n">
        <v>67.35211548238904</v>
      </c>
      <c r="K388" s="74" t="n">
        <v>66.29549980163574</v>
      </c>
      <c r="L388" s="78" t="n">
        <v>58.98279996871948</v>
      </c>
      <c r="M388" s="77" t="n">
        <v>1.574331335468502</v>
      </c>
      <c r="N388" s="53">
        <f>IF(M388="","",IFERROR(M388/I388,""))</f>
        <v/>
      </c>
      <c r="O388" s="50">
        <f>IF(A388="","",IFERROR((IF(G388="",I388,G388)-T388)/M388,""))</f>
        <v/>
      </c>
      <c r="P388" s="50">
        <f>IFERROR((I388/T388-1)/N388,"")</f>
        <v/>
      </c>
      <c r="Q388" s="46">
        <f>IF(OR(T388="",I388&lt;T388),"",IFERROR(R388/IF(G388="",I388,G388)-1,""))</f>
        <v/>
      </c>
      <c r="R388" s="48">
        <f>IF($M388="","",MAX(IF($G388="",$I388,$G388)*(1/1.1),IF($G388="",$I388,$G388)+(R$2*$M388)))</f>
        <v/>
      </c>
      <c r="S388" s="49">
        <f>IF($M388="","",MAX(IF($G388="",$I388,$G388)*(1/1.1),IF($G388="",$I388,$G388)+(S$2*$M388)))</f>
        <v/>
      </c>
      <c r="T388" s="82" t="n">
        <v>63.17460006713867</v>
      </c>
      <c r="U388" s="47">
        <f>IF(OR($M388="",$T388=""),"",$T388+(U$2*$M388))</f>
        <v/>
      </c>
      <c r="V388" s="48">
        <f>IF(OR($M388="",$T388=""),"",$T388+(V$2*$M388))</f>
        <v/>
      </c>
      <c r="W388" s="48">
        <f>IF(OR($M388="",$T388=""),"",$T388+(W$2*$M388))</f>
        <v/>
      </c>
      <c r="X388" s="49">
        <f>IF(OR($M388="",$T388=""),"",$T388+(X$2*$M388))</f>
        <v/>
      </c>
      <c r="Y388" s="47">
        <f>IF(OR($M388="",$T388=""),"",$T388+(Y$2*$M388))</f>
        <v/>
      </c>
      <c r="Z388" s="49">
        <f>IF(OR($M388="",$T388=""),"",$T388+(Z$2*$M388))</f>
        <v/>
      </c>
      <c r="AA388" s="51">
        <f>IF(OR($M388="",$T388=""),"",$T388+(AA$2*$M388))</f>
        <v/>
      </c>
      <c r="AB388" s="48">
        <f>IF(OR($M388="",$T388=""),"",$T388+(AB$2*$M388))</f>
        <v/>
      </c>
      <c r="AC388" s="48">
        <f>IF(OR($M388="",$T388=""),"",$T388+(AC$2*$M388))</f>
        <v/>
      </c>
      <c r="AD388" s="48">
        <f>IF(OR($M388="",$T388=""),"",$T388+(AD$2*$M388))</f>
        <v/>
      </c>
      <c r="AE388" s="49">
        <f>IF(OR($M388="",$T388=""),"",$T388+(AE$2*$M388))</f>
        <v/>
      </c>
      <c r="AF388" s="52">
        <f>IF(OR(T388="",I388&lt;T388),"",IFERROR(AVERAGE(T388+M388*{7,8,9,10,11})/IF(G388="",I388,G388)-1,""))</f>
        <v/>
      </c>
      <c r="AG388" s="55">
        <f>IF(OR(T388="",I388&lt;T388),"",IFERROR(AF388/-(R388/IF(G388="",I388,G388)-1),""))</f>
        <v/>
      </c>
      <c r="AH388" s="94" t="n">
        <v>1</v>
      </c>
      <c r="AI388" s="94" t="n">
        <v>83.02224788081509</v>
      </c>
      <c r="AJ388" s="94" t="n">
        <v>1</v>
      </c>
      <c r="AK388" s="94" t="inlineStr">
        <is>
          <t>OTT Up Trend</t>
        </is>
      </c>
      <c r="AL388" s="84" t="inlineStr">
        <is>
          <t>Hancock Whitney Corporation</t>
        </is>
      </c>
      <c r="AM388" t="inlineStr">
        <is>
          <t>Financial Services</t>
        </is>
      </c>
      <c r="AN388" t="inlineStr">
        <is>
          <t>Banks - Regional</t>
        </is>
      </c>
      <c r="AO388" t="n">
        <v>74</v>
      </c>
    </row>
    <row r="389">
      <c r="A389" s="64" t="inlineStr">
        <is>
          <t>JHG</t>
        </is>
      </c>
      <c r="B389" s="65" t="n"/>
      <c r="C389" s="66" t="n"/>
      <c r="D389" s="67" t="n"/>
      <c r="E389" s="68" t="n"/>
      <c r="F389" s="47">
        <f>IF(A389="","",IF(MIN(H389,MAX(J389:K389))=0,"",MIN(H389,MAX(J389:K389))))</f>
        <v/>
      </c>
      <c r="G389" s="74" t="n"/>
      <c r="H389" s="49">
        <f>IF(M389="","",IFERROR(ROUND(AVERAGE(T389+M389*{7,8,9,10,11})/1.21,4),""))</f>
        <v/>
      </c>
      <c r="I389" s="76" t="n">
        <v>47.83000183105469</v>
      </c>
      <c r="J389" s="77" t="n">
        <v>47.80905675953555</v>
      </c>
      <c r="K389" s="74" t="n">
        <v>47.57100009918213</v>
      </c>
      <c r="L389" s="78" t="n">
        <v>41.3532999420166</v>
      </c>
      <c r="M389" s="77" t="n">
        <v>0.4870821151246476</v>
      </c>
      <c r="N389" s="53">
        <f>IF(M389="","",IFERROR(M389/I389,""))</f>
        <v/>
      </c>
      <c r="O389" s="50">
        <f>IF(A389="","",IFERROR((IF(G389="",I389,G389)-T389)/M389,""))</f>
        <v/>
      </c>
      <c r="P389" s="50">
        <f>IFERROR((I389/T389-1)/N389,"")</f>
        <v/>
      </c>
      <c r="Q389" s="46">
        <f>IF(OR(T389="",I389&lt;T389),"",IFERROR(R389/IF(G389="",I389,G389)-1,""))</f>
        <v/>
      </c>
      <c r="R389" s="48">
        <f>IF($M389="","",MAX(IF($G389="",$I389,$G389)*(1/1.1),IF($G389="",$I389,$G389)+(R$2*$M389)))</f>
        <v/>
      </c>
      <c r="S389" s="49">
        <f>IF($M389="","",MAX(IF($G389="",$I389,$G389)*(1/1.1),IF($G389="",$I389,$G389)+(S$2*$M389)))</f>
        <v/>
      </c>
      <c r="T389" s="82" t="n">
        <v>45.37299995422363</v>
      </c>
      <c r="U389" s="47">
        <f>IF(OR($M389="",$T389=""),"",$T389+(U$2*$M389))</f>
        <v/>
      </c>
      <c r="V389" s="48">
        <f>IF(OR($M389="",$T389=""),"",$T389+(V$2*$M389))</f>
        <v/>
      </c>
      <c r="W389" s="48">
        <f>IF(OR($M389="",$T389=""),"",$T389+(W$2*$M389))</f>
        <v/>
      </c>
      <c r="X389" s="49">
        <f>IF(OR($M389="",$T389=""),"",$T389+(X$2*$M389))</f>
        <v/>
      </c>
      <c r="Y389" s="47">
        <f>IF(OR($M389="",$T389=""),"",$T389+(Y$2*$M389))</f>
        <v/>
      </c>
      <c r="Z389" s="49">
        <f>IF(OR($M389="",$T389=""),"",$T389+(Z$2*$M389))</f>
        <v/>
      </c>
      <c r="AA389" s="51">
        <f>IF(OR($M389="",$T389=""),"",$T389+(AA$2*$M389))</f>
        <v/>
      </c>
      <c r="AB389" s="48">
        <f>IF(OR($M389="",$T389=""),"",$T389+(AB$2*$M389))</f>
        <v/>
      </c>
      <c r="AC389" s="48">
        <f>IF(OR($M389="",$T389=""),"",$T389+(AC$2*$M389))</f>
        <v/>
      </c>
      <c r="AD389" s="48">
        <f>IF(OR($M389="",$T389=""),"",$T389+(AD$2*$M389))</f>
        <v/>
      </c>
      <c r="AE389" s="49">
        <f>IF(OR($M389="",$T389=""),"",$T389+(AE$2*$M389))</f>
        <v/>
      </c>
      <c r="AF389" s="52">
        <f>IF(OR(T389="",I389&lt;T389),"",IFERROR(AVERAGE(T389+M389*{7,8,9,10,11})/IF(G389="",I389,G389)-1,""))</f>
        <v/>
      </c>
      <c r="AG389" s="55">
        <f>IF(OR(T389="",I389&lt;T389),"",IFERROR(AF389/-(R389/IF(G389="",I389,G389)-1),""))</f>
        <v/>
      </c>
      <c r="AH389" s="94" t="n">
        <v>1</v>
      </c>
      <c r="AI389" s="94" t="n">
        <v>107.7399047456259</v>
      </c>
      <c r="AJ389" s="94" t="n">
        <v>0</v>
      </c>
      <c r="AK389" s="94" t="inlineStr">
        <is>
          <t>OTT Up Trend</t>
        </is>
      </c>
      <c r="AL389" s="84" t="inlineStr">
        <is>
          <t>Janus Henderson Group plc</t>
        </is>
      </c>
      <c r="AM389" t="inlineStr">
        <is>
          <t>Financial Services</t>
        </is>
      </c>
      <c r="AN389" t="inlineStr">
        <is>
          <t>Asset Management</t>
        </is>
      </c>
      <c r="AO389" t="n">
        <v>74</v>
      </c>
    </row>
    <row r="390">
      <c r="A390" s="64" t="inlineStr">
        <is>
          <t>SKY</t>
        </is>
      </c>
      <c r="B390" s="65" t="n"/>
      <c r="C390" s="66" t="n"/>
      <c r="D390" s="67" t="n"/>
      <c r="E390" s="68" t="n"/>
      <c r="F390" s="47">
        <f>IF(A390="","",IF(MIN(H390,MAX(J390:K390))=0,"",MIN(H390,MAX(J390:K390))))</f>
        <v/>
      </c>
      <c r="G390" s="74" t="n"/>
      <c r="H390" s="49">
        <f>IF(M390="","",IFERROR(ROUND(AVERAGE(T390+M390*{7,8,9,10,11})/1.21,4),""))</f>
        <v/>
      </c>
      <c r="I390" s="76" t="n">
        <v>96.31999969482422</v>
      </c>
      <c r="J390" s="77" t="n">
        <v>93.26270729633377</v>
      </c>
      <c r="K390" s="74" t="n">
        <v>89.06500015258788</v>
      </c>
      <c r="L390" s="78" t="n">
        <v>76.51875028610229</v>
      </c>
      <c r="M390" s="77" t="n">
        <v>2.828066122988281</v>
      </c>
      <c r="N390" s="53">
        <f>IF(M390="","",IFERROR(M390/I390,""))</f>
        <v/>
      </c>
      <c r="O390" s="50">
        <f>IF(A390="","",IFERROR((IF(G390="",I390,G390)-T390)/M390,""))</f>
        <v/>
      </c>
      <c r="P390" s="50">
        <f>IFERROR((I390/T390-1)/N390,"")</f>
        <v/>
      </c>
      <c r="Q390" s="46">
        <f>IF(OR(T390="",I390&lt;T390),"",IFERROR(R390/IF(G390="",I390,G390)-1,""))</f>
        <v/>
      </c>
      <c r="R390" s="48">
        <f>IF($M390="","",MAX(IF($G390="",$I390,$G390)*(1/1.1),IF($G390="",$I390,$G390)+(R$2*$M390)))</f>
        <v/>
      </c>
      <c r="S390" s="49">
        <f>IF($M390="","",MAX(IF($G390="",$I390,$G390)*(1/1.1),IF($G390="",$I390,$G390)+(S$2*$M390)))</f>
        <v/>
      </c>
      <c r="T390" s="82" t="n">
        <v>85.5166000366211</v>
      </c>
      <c r="U390" s="47">
        <f>IF(OR($M390="",$T390=""),"",$T390+(U$2*$M390))</f>
        <v/>
      </c>
      <c r="V390" s="48">
        <f>IF(OR($M390="",$T390=""),"",$T390+(V$2*$M390))</f>
        <v/>
      </c>
      <c r="W390" s="48">
        <f>IF(OR($M390="",$T390=""),"",$T390+(W$2*$M390))</f>
        <v/>
      </c>
      <c r="X390" s="49">
        <f>IF(OR($M390="",$T390=""),"",$T390+(X$2*$M390))</f>
        <v/>
      </c>
      <c r="Y390" s="47">
        <f>IF(OR($M390="",$T390=""),"",$T390+(Y$2*$M390))</f>
        <v/>
      </c>
      <c r="Z390" s="49">
        <f>IF(OR($M390="",$T390=""),"",$T390+(Z$2*$M390))</f>
        <v/>
      </c>
      <c r="AA390" s="51">
        <f>IF(OR($M390="",$T390=""),"",$T390+(AA$2*$M390))</f>
        <v/>
      </c>
      <c r="AB390" s="48">
        <f>IF(OR($M390="",$T390=""),"",$T390+(AB$2*$M390))</f>
        <v/>
      </c>
      <c r="AC390" s="48">
        <f>IF(OR($M390="",$T390=""),"",$T390+(AC$2*$M390))</f>
        <v/>
      </c>
      <c r="AD390" s="48">
        <f>IF(OR($M390="",$T390=""),"",$T390+(AD$2*$M390))</f>
        <v/>
      </c>
      <c r="AE390" s="49">
        <f>IF(OR($M390="",$T390=""),"",$T390+(AE$2*$M390))</f>
        <v/>
      </c>
      <c r="AF390" s="52">
        <f>IF(OR(T390="",I390&lt;T390),"",IFERROR(AVERAGE(T390+M390*{7,8,9,10,11})/IF(G390="",I390,G390)-1,""))</f>
        <v/>
      </c>
      <c r="AG390" s="55">
        <f>IF(OR(T390="",I390&lt;T390),"",IFERROR(AF390/-(R390/IF(G390="",I390,G390)-1),""))</f>
        <v/>
      </c>
      <c r="AH390" s="94" t="n">
        <v>1</v>
      </c>
      <c r="AI390" s="94" t="n">
        <v>115.7022123264678</v>
      </c>
      <c r="AJ390" s="94" t="n">
        <v>1</v>
      </c>
      <c r="AK390" s="94" t="inlineStr">
        <is>
          <t>OTT Up Trend</t>
        </is>
      </c>
      <c r="AL390" s="84" t="inlineStr">
        <is>
          <t>Champion Homes, Inc.</t>
        </is>
      </c>
      <c r="AM390" t="inlineStr">
        <is>
          <t>Consumer Cyclical</t>
        </is>
      </c>
      <c r="AN390" t="inlineStr">
        <is>
          <t>Residential Construction</t>
        </is>
      </c>
      <c r="AO390" t="n">
        <v>74</v>
      </c>
    </row>
    <row r="391">
      <c r="A391" s="64" t="inlineStr">
        <is>
          <t>CTRE</t>
        </is>
      </c>
      <c r="B391" s="65" t="n"/>
      <c r="C391" s="66" t="n"/>
      <c r="D391" s="67" t="n"/>
      <c r="E391" s="68" t="n"/>
      <c r="F391" s="47">
        <f>IF(A391="","",IF(MIN(H391,MAX(J391:K391))=0,"",MIN(H391,MAX(J391:K391))))</f>
        <v/>
      </c>
      <c r="G391" s="74" t="n"/>
      <c r="H391" s="49">
        <f>IF(M391="","",IFERROR(ROUND(AVERAGE(T391+M391*{7,8,9,10,11})/1.21,4),""))</f>
        <v/>
      </c>
      <c r="I391" s="76" t="n">
        <v>37.7599983215332</v>
      </c>
      <c r="J391" s="77" t="n">
        <v>37.24238120935407</v>
      </c>
      <c r="K391" s="74" t="n">
        <v>36.87300033569336</v>
      </c>
      <c r="L391" s="78" t="n">
        <v>32.83165014266968</v>
      </c>
      <c r="M391" s="77" t="n">
        <v>0.7679942621953151</v>
      </c>
      <c r="N391" s="53">
        <f>IF(M391="","",IFERROR(M391/I391,""))</f>
        <v/>
      </c>
      <c r="O391" s="50">
        <f>IF(A391="","",IFERROR((IF(G391="",I391,G391)-T391)/M391,""))</f>
        <v/>
      </c>
      <c r="P391" s="50">
        <f>IFERROR((I391/T391-1)/N391,"")</f>
        <v/>
      </c>
      <c r="Q391" s="46">
        <f>IF(OR(T391="",I391&lt;T391),"",IFERROR(R391/IF(G391="",I391,G391)-1,""))</f>
        <v/>
      </c>
      <c r="R391" s="48">
        <f>IF($M391="","",MAX(IF($G391="",$I391,$G391)*(1/1.1),IF($G391="",$I391,$G391)+(R$2*$M391)))</f>
        <v/>
      </c>
      <c r="S391" s="49">
        <f>IF($M391="","",MAX(IF($G391="",$I391,$G391)*(1/1.1),IF($G391="",$I391,$G391)+(S$2*$M391)))</f>
        <v/>
      </c>
      <c r="T391" s="82" t="n">
        <v>36.77580032348633</v>
      </c>
      <c r="U391" s="47">
        <f>IF(OR($M391="",$T391=""),"",$T391+(U$2*$M391))</f>
        <v/>
      </c>
      <c r="V391" s="48">
        <f>IF(OR($M391="",$T391=""),"",$T391+(V$2*$M391))</f>
        <v/>
      </c>
      <c r="W391" s="48">
        <f>IF(OR($M391="",$T391=""),"",$T391+(W$2*$M391))</f>
        <v/>
      </c>
      <c r="X391" s="49">
        <f>IF(OR($M391="",$T391=""),"",$T391+(X$2*$M391))</f>
        <v/>
      </c>
      <c r="Y391" s="47">
        <f>IF(OR($M391="",$T391=""),"",$T391+(Y$2*$M391))</f>
        <v/>
      </c>
      <c r="Z391" s="49">
        <f>IF(OR($M391="",$T391=""),"",$T391+(Z$2*$M391))</f>
        <v/>
      </c>
      <c r="AA391" s="51">
        <f>IF(OR($M391="",$T391=""),"",$T391+(AA$2*$M391))</f>
        <v/>
      </c>
      <c r="AB391" s="48">
        <f>IF(OR($M391="",$T391=""),"",$T391+(AB$2*$M391))</f>
        <v/>
      </c>
      <c r="AC391" s="48">
        <f>IF(OR($M391="",$T391=""),"",$T391+(AC$2*$M391))</f>
        <v/>
      </c>
      <c r="AD391" s="48">
        <f>IF(OR($M391="",$T391=""),"",$T391+(AD$2*$M391))</f>
        <v/>
      </c>
      <c r="AE391" s="49">
        <f>IF(OR($M391="",$T391=""),"",$T391+(AE$2*$M391))</f>
        <v/>
      </c>
      <c r="AF391" s="52">
        <f>IF(OR(T391="",I391&lt;T391),"",IFERROR(AVERAGE(T391+M391*{7,8,9,10,11})/IF(G391="",I391,G391)-1,""))</f>
        <v/>
      </c>
      <c r="AG391" s="55">
        <f>IF(OR(T391="",I391&lt;T391),"",IFERROR(AF391/-(R391/IF(G391="",I391,G391)-1),""))</f>
        <v/>
      </c>
      <c r="AH391" s="94" t="n">
        <v>1</v>
      </c>
      <c r="AI391" s="94" t="n">
        <v>32.62684517054819</v>
      </c>
      <c r="AJ391" s="94" t="n">
        <v>1</v>
      </c>
      <c r="AK391" s="94" t="inlineStr">
        <is>
          <t>OTT Up Trend</t>
        </is>
      </c>
      <c r="AL391" s="84" t="inlineStr">
        <is>
          <t>CareTrust REIT, Inc.</t>
        </is>
      </c>
      <c r="AM391" t="inlineStr">
        <is>
          <t>Real Estate</t>
        </is>
      </c>
      <c r="AN391" t="inlineStr">
        <is>
          <t>REIT - Healthcare Facilities</t>
        </is>
      </c>
      <c r="AO391" t="n">
        <v>74</v>
      </c>
    </row>
    <row r="392">
      <c r="A392" s="64" t="inlineStr">
        <is>
          <t>DXPE</t>
        </is>
      </c>
      <c r="B392" s="65" t="n"/>
      <c r="C392" s="66" t="n"/>
      <c r="D392" s="67" t="n"/>
      <c r="E392" s="68" t="n"/>
      <c r="F392" s="47">
        <f>IF(A392="","",IF(MIN(H392,MAX(J392:K392))=0,"",MIN(H392,MAX(J392:K392))))</f>
        <v/>
      </c>
      <c r="G392" s="74" t="n"/>
      <c r="H392" s="49">
        <f>IF(M392="","",IFERROR(ROUND(AVERAGE(T392+M392*{7,8,9,10,11})/1.21,4),""))</f>
        <v/>
      </c>
      <c r="I392" s="76" t="n">
        <v>123.9400024414062</v>
      </c>
      <c r="J392" s="77" t="n">
        <v>115.6393126766352</v>
      </c>
      <c r="K392" s="74" t="n">
        <v>113.0085006713867</v>
      </c>
      <c r="L392" s="78" t="n">
        <v>102.2321000289917</v>
      </c>
      <c r="M392" s="77" t="n">
        <v>4.823501190836028</v>
      </c>
      <c r="N392" s="53">
        <f>IF(M392="","",IFERROR(M392/I392,""))</f>
        <v/>
      </c>
      <c r="O392" s="50">
        <f>IF(A392="","",IFERROR((IF(G392="",I392,G392)-T392)/M392,""))</f>
        <v/>
      </c>
      <c r="P392" s="50">
        <f>IFERROR((I392/T392-1)/N392,"")</f>
        <v/>
      </c>
      <c r="Q392" s="46">
        <f>IF(OR(T392="",I392&lt;T392),"",IFERROR(R392/IF(G392="",I392,G392)-1,""))</f>
        <v/>
      </c>
      <c r="R392" s="48">
        <f>IF($M392="","",MAX(IF($G392="",$I392,$G392)*(1/1.1),IF($G392="",$I392,$G392)+(R$2*$M392)))</f>
        <v/>
      </c>
      <c r="S392" s="49">
        <f>IF($M392="","",MAX(IF($G392="",$I392,$G392)*(1/1.1),IF($G392="",$I392,$G392)+(S$2*$M392)))</f>
        <v/>
      </c>
      <c r="T392" s="82" t="n">
        <v>103.8767999267578</v>
      </c>
      <c r="U392" s="47">
        <f>IF(OR($M392="",$T392=""),"",$T392+(U$2*$M392))</f>
        <v/>
      </c>
      <c r="V392" s="48">
        <f>IF(OR($M392="",$T392=""),"",$T392+(V$2*$M392))</f>
        <v/>
      </c>
      <c r="W392" s="48">
        <f>IF(OR($M392="",$T392=""),"",$T392+(W$2*$M392))</f>
        <v/>
      </c>
      <c r="X392" s="49">
        <f>IF(OR($M392="",$T392=""),"",$T392+(X$2*$M392))</f>
        <v/>
      </c>
      <c r="Y392" s="47">
        <f>IF(OR($M392="",$T392=""),"",$T392+(Y$2*$M392))</f>
        <v/>
      </c>
      <c r="Z392" s="49">
        <f>IF(OR($M392="",$T392=""),"",$T392+(Z$2*$M392))</f>
        <v/>
      </c>
      <c r="AA392" s="51">
        <f>IF(OR($M392="",$T392=""),"",$T392+(AA$2*$M392))</f>
        <v/>
      </c>
      <c r="AB392" s="48">
        <f>IF(OR($M392="",$T392=""),"",$T392+(AB$2*$M392))</f>
        <v/>
      </c>
      <c r="AC392" s="48">
        <f>IF(OR($M392="",$T392=""),"",$T392+(AC$2*$M392))</f>
        <v/>
      </c>
      <c r="AD392" s="48">
        <f>IF(OR($M392="",$T392=""),"",$T392+(AD$2*$M392))</f>
        <v/>
      </c>
      <c r="AE392" s="49">
        <f>IF(OR($M392="",$T392=""),"",$T392+(AE$2*$M392))</f>
        <v/>
      </c>
      <c r="AF392" s="52">
        <f>IF(OR(T392="",I392&lt;T392),"",IFERROR(AVERAGE(T392+M392*{7,8,9,10,11})/IF(G392="",I392,G392)-1,""))</f>
        <v/>
      </c>
      <c r="AG392" s="55">
        <f>IF(OR(T392="",I392&lt;T392),"",IFERROR(AF392/-(R392/IF(G392="",I392,G392)-1),""))</f>
        <v/>
      </c>
      <c r="AH392" s="94" t="n">
        <v>1</v>
      </c>
      <c r="AI392" s="94" t="n">
        <v>70.95513238756278</v>
      </c>
      <c r="AJ392" s="94" t="n">
        <v>1</v>
      </c>
      <c r="AK392" s="94" t="inlineStr">
        <is>
          <t>OTT Turned Up</t>
        </is>
      </c>
      <c r="AL392" s="84" t="inlineStr">
        <is>
          <t>DXP Enterprises, Inc.</t>
        </is>
      </c>
      <c r="AM392" t="inlineStr">
        <is>
          <t>Industrials</t>
        </is>
      </c>
      <c r="AN392" t="inlineStr">
        <is>
          <t>Industrial Distribution</t>
        </is>
      </c>
      <c r="AO392" t="n">
        <v>74</v>
      </c>
    </row>
    <row r="393">
      <c r="A393" s="64" t="inlineStr">
        <is>
          <t>USB</t>
        </is>
      </c>
      <c r="B393" s="65" t="n"/>
      <c r="C393" s="66" t="n"/>
      <c r="D393" s="67" t="n"/>
      <c r="E393" s="68" t="n"/>
      <c r="F393" s="47">
        <f>IF(A393="","",IF(MIN(H393,MAX(J393:K393))=0,"",MIN(H393,MAX(J393:K393))))</f>
        <v/>
      </c>
      <c r="G393" s="74" t="n"/>
      <c r="H393" s="49">
        <f>IF(M393="","",IFERROR(ROUND(AVERAGE(T393+M393*{7,8,9,10,11})/1.21,4),""))</f>
        <v/>
      </c>
      <c r="I393" s="76" t="n">
        <v>54.40000152587891</v>
      </c>
      <c r="J393" s="77" t="n">
        <v>54.3650054294448</v>
      </c>
      <c r="K393" s="74" t="n">
        <v>54.54450016021728</v>
      </c>
      <c r="L393" s="78" t="n">
        <v>46.70739999771118</v>
      </c>
      <c r="M393" s="77" t="n">
        <v>0.9840991335305824</v>
      </c>
      <c r="N393" s="53">
        <f>IF(M393="","",IFERROR(M393/I393,""))</f>
        <v/>
      </c>
      <c r="O393" s="50">
        <f>IF(A393="","",IFERROR((IF(G393="",I393,G393)-T393)/M393,""))</f>
        <v/>
      </c>
      <c r="P393" s="50">
        <f>IFERROR((I393/T393-1)/N393,"")</f>
        <v/>
      </c>
      <c r="Q393" s="46">
        <f>IF(OR(T393="",I393&lt;T393),"",IFERROR(R393/IF(G393="",I393,G393)-1,""))</f>
        <v/>
      </c>
      <c r="R393" s="48">
        <f>IF($M393="","",MAX(IF($G393="",$I393,$G393)*(1/1.1),IF($G393="",$I393,$G393)+(R$2*$M393)))</f>
        <v/>
      </c>
      <c r="S393" s="49">
        <f>IF($M393="","",MAX(IF($G393="",$I393,$G393)*(1/1.1),IF($G393="",$I393,$G393)+(S$2*$M393)))</f>
        <v/>
      </c>
      <c r="T393" s="82" t="n">
        <v>51.47060005187988</v>
      </c>
      <c r="U393" s="47">
        <f>IF(OR($M393="",$T393=""),"",$T393+(U$2*$M393))</f>
        <v/>
      </c>
      <c r="V393" s="48">
        <f>IF(OR($M393="",$T393=""),"",$T393+(V$2*$M393))</f>
        <v/>
      </c>
      <c r="W393" s="48">
        <f>IF(OR($M393="",$T393=""),"",$T393+(W$2*$M393))</f>
        <v/>
      </c>
      <c r="X393" s="49">
        <f>IF(OR($M393="",$T393=""),"",$T393+(X$2*$M393))</f>
        <v/>
      </c>
      <c r="Y393" s="47">
        <f>IF(OR($M393="",$T393=""),"",$T393+(Y$2*$M393))</f>
        <v/>
      </c>
      <c r="Z393" s="49">
        <f>IF(OR($M393="",$T393=""),"",$T393+(Z$2*$M393))</f>
        <v/>
      </c>
      <c r="AA393" s="51">
        <f>IF(OR($M393="",$T393=""),"",$T393+(AA$2*$M393))</f>
        <v/>
      </c>
      <c r="AB393" s="48">
        <f>IF(OR($M393="",$T393=""),"",$T393+(AB$2*$M393))</f>
        <v/>
      </c>
      <c r="AC393" s="48">
        <f>IF(OR($M393="",$T393=""),"",$T393+(AC$2*$M393))</f>
        <v/>
      </c>
      <c r="AD393" s="48">
        <f>IF(OR($M393="",$T393=""),"",$T393+(AD$2*$M393))</f>
        <v/>
      </c>
      <c r="AE393" s="49">
        <f>IF(OR($M393="",$T393=""),"",$T393+(AE$2*$M393))</f>
        <v/>
      </c>
      <c r="AF393" s="52">
        <f>IF(OR(T393="",I393&lt;T393),"",IFERROR(AVERAGE(T393+M393*{7,8,9,10,11})/IF(G393="",I393,G393)-1,""))</f>
        <v/>
      </c>
      <c r="AG393" s="55">
        <f>IF(OR(T393="",I393&lt;T393),"",IFERROR(AF393/-(R393/IF(G393="",I393,G393)-1),""))</f>
        <v/>
      </c>
      <c r="AH393" s="94" t="n">
        <v>1</v>
      </c>
      <c r="AI393" s="94" t="n">
        <v>70.16734150016465</v>
      </c>
      <c r="AJ393" s="94" t="n">
        <v>0</v>
      </c>
      <c r="AK393" s="94" t="inlineStr">
        <is>
          <t>OTT Up Trend</t>
        </is>
      </c>
      <c r="AL393" s="84" t="inlineStr">
        <is>
          <t>U.S. Bancorp</t>
        </is>
      </c>
      <c r="AM393" t="inlineStr">
        <is>
          <t>Financial Services</t>
        </is>
      </c>
      <c r="AN393" t="inlineStr">
        <is>
          <t>Banks - Regional</t>
        </is>
      </c>
      <c r="AO393" t="n">
        <v>74</v>
      </c>
    </row>
    <row r="394">
      <c r="A394" s="64" t="inlineStr">
        <is>
          <t>REGN</t>
        </is>
      </c>
      <c r="B394" s="65" t="n"/>
      <c r="C394" s="66" t="n"/>
      <c r="D394" s="67" t="n"/>
      <c r="E394" s="68" t="n"/>
      <c r="F394" s="47">
        <f>IF(A394="","",IF(MIN(H394,MAX(J394:K394))=0,"",MIN(H394,MAX(J394:K394))))</f>
        <v/>
      </c>
      <c r="G394" s="74" t="n"/>
      <c r="H394" s="49">
        <f>IF(M394="","",IFERROR(ROUND(AVERAGE(T394+M394*{7,8,9,10,11})/1.21,4),""))</f>
        <v/>
      </c>
      <c r="I394" s="76" t="n">
        <v>733.0399780273438</v>
      </c>
      <c r="J394" s="77" t="n">
        <v>761.480854835526</v>
      </c>
      <c r="K394" s="74" t="n">
        <v>772.9054962158203</v>
      </c>
      <c r="L394" s="78" t="n">
        <v>610.5961987304687</v>
      </c>
      <c r="M394" s="77" t="n">
        <v>21.09651202595089</v>
      </c>
      <c r="N394" s="53">
        <f>IF(M394="","",IFERROR(M394/I394,""))</f>
        <v/>
      </c>
      <c r="O394" s="50">
        <f>IF(A394="","",IFERROR((IF(G394="",I394,G394)-T394)/M394,""))</f>
        <v/>
      </c>
      <c r="P394" s="50">
        <f>IFERROR((I394/T394-1)/N394,"")</f>
        <v/>
      </c>
      <c r="Q394" s="46">
        <f>IF(OR(T394="",I394&lt;T394),"",IFERROR(R394/IF(G394="",I394,G394)-1,""))</f>
        <v/>
      </c>
      <c r="R394" s="48">
        <f>IF($M394="","",MAX(IF($G394="",$I394,$G394)*(1/1.1),IF($G394="",$I394,$G394)+(R$2*$M394)))</f>
        <v/>
      </c>
      <c r="S394" s="49">
        <f>IF($M394="","",MAX(IF($G394="",$I394,$G394)*(1/1.1),IF($G394="",$I394,$G394)+(S$2*$M394)))</f>
        <v/>
      </c>
      <c r="T394" s="82" t="n">
        <v>741.2183972167969</v>
      </c>
      <c r="U394" s="47">
        <f>IF(OR($M394="",$T394=""),"",$T394+(U$2*$M394))</f>
        <v/>
      </c>
      <c r="V394" s="48">
        <f>IF(OR($M394="",$T394=""),"",$T394+(V$2*$M394))</f>
        <v/>
      </c>
      <c r="W394" s="48">
        <f>IF(OR($M394="",$T394=""),"",$T394+(W$2*$M394))</f>
        <v/>
      </c>
      <c r="X394" s="49">
        <f>IF(OR($M394="",$T394=""),"",$T394+(X$2*$M394))</f>
        <v/>
      </c>
      <c r="Y394" s="47">
        <f>IF(OR($M394="",$T394=""),"",$T394+(Y$2*$M394))</f>
        <v/>
      </c>
      <c r="Z394" s="49">
        <f>IF(OR($M394="",$T394=""),"",$T394+(Z$2*$M394))</f>
        <v/>
      </c>
      <c r="AA394" s="51">
        <f>IF(OR($M394="",$T394=""),"",$T394+(AA$2*$M394))</f>
        <v/>
      </c>
      <c r="AB394" s="48">
        <f>IF(OR($M394="",$T394=""),"",$T394+(AB$2*$M394))</f>
        <v/>
      </c>
      <c r="AC394" s="48">
        <f>IF(OR($M394="",$T394=""),"",$T394+(AC$2*$M394))</f>
        <v/>
      </c>
      <c r="AD394" s="48">
        <f>IF(OR($M394="",$T394=""),"",$T394+(AD$2*$M394))</f>
        <v/>
      </c>
      <c r="AE394" s="49">
        <f>IF(OR($M394="",$T394=""),"",$T394+(AE$2*$M394))</f>
        <v/>
      </c>
      <c r="AF394" s="52">
        <f>IF(OR(T394="",I394&lt;T394),"",IFERROR(AVERAGE(T394+M394*{7,8,9,10,11})/IF(G394="",I394,G394)-1,""))</f>
        <v/>
      </c>
      <c r="AG394" s="55">
        <f>IF(OR(T394="",I394&lt;T394),"",IFERROR(AF394/-(R394/IF(G394="",I394,G394)-1),""))</f>
        <v/>
      </c>
      <c r="AH394" s="94" t="n">
        <v>-1</v>
      </c>
      <c r="AI394" s="94" t="n">
        <v>20.87427893332148</v>
      </c>
      <c r="AJ394" s="94" t="n">
        <v>0</v>
      </c>
      <c r="AK394" s="94" t="inlineStr">
        <is>
          <t>OTT Up Trend</t>
        </is>
      </c>
      <c r="AL394" s="84" t="inlineStr">
        <is>
          <t>Regeneron Pharmaceuticals, Inc.</t>
        </is>
      </c>
      <c r="AM394" t="inlineStr">
        <is>
          <t>Healthcare</t>
        </is>
      </c>
      <c r="AN394" t="inlineStr">
        <is>
          <t>Biotechnology</t>
        </is>
      </c>
      <c r="AO394" t="n">
        <v>74</v>
      </c>
    </row>
    <row r="395">
      <c r="A395" s="64" t="inlineStr">
        <is>
          <t>ESI</t>
        </is>
      </c>
      <c r="B395" s="65" t="n"/>
      <c r="C395" s="66" t="n"/>
      <c r="D395" s="67" t="n"/>
      <c r="E395" s="68" t="n"/>
      <c r="F395" s="47">
        <f>IF(A395="","",IF(MIN(H395,MAX(J395:K395))=0,"",MIN(H395,MAX(J395:K395))))</f>
        <v/>
      </c>
      <c r="G395" s="74" t="n"/>
      <c r="H395" s="49">
        <f>IF(M395="","",IFERROR(ROUND(AVERAGE(T395+M395*{7,8,9,10,11})/1.21,4),""))</f>
        <v/>
      </c>
      <c r="I395" s="76" t="n">
        <v>29.47999954223633</v>
      </c>
      <c r="J395" s="77" t="n">
        <v>28.12471210985611</v>
      </c>
      <c r="K395" s="74" t="n">
        <v>26.79349985122681</v>
      </c>
      <c r="L395" s="78" t="n">
        <v>24.20544996261597</v>
      </c>
      <c r="M395" s="77" t="n">
        <v>0.7776779171042405</v>
      </c>
      <c r="N395" s="53">
        <f>IF(M395="","",IFERROR(M395/I395,""))</f>
        <v/>
      </c>
      <c r="O395" s="50">
        <f>IF(A395="","",IFERROR((IF(G395="",I395,G395)-T395)/M395,""))</f>
        <v/>
      </c>
      <c r="P395" s="50">
        <f>IFERROR((I395/T395-1)/N395,"")</f>
        <v/>
      </c>
      <c r="Q395" s="46">
        <f>IF(OR(T395="",I395&lt;T395),"",IFERROR(R395/IF(G395="",I395,G395)-1,""))</f>
        <v/>
      </c>
      <c r="R395" s="48">
        <f>IF($M395="","",MAX(IF($G395="",$I395,$G395)*(1/1.1),IF($G395="",$I395,$G395)+(R$2*$M395)))</f>
        <v/>
      </c>
      <c r="S395" s="49">
        <f>IF($M395="","",MAX(IF($G395="",$I395,$G395)*(1/1.1),IF($G395="",$I395,$G395)+(S$2*$M395)))</f>
        <v/>
      </c>
      <c r="T395" s="82" t="n">
        <v>26.35279994964599</v>
      </c>
      <c r="U395" s="47">
        <f>IF(OR($M395="",$T395=""),"",$T395+(U$2*$M395))</f>
        <v/>
      </c>
      <c r="V395" s="48">
        <f>IF(OR($M395="",$T395=""),"",$T395+(V$2*$M395))</f>
        <v/>
      </c>
      <c r="W395" s="48">
        <f>IF(OR($M395="",$T395=""),"",$T395+(W$2*$M395))</f>
        <v/>
      </c>
      <c r="X395" s="49">
        <f>IF(OR($M395="",$T395=""),"",$T395+(X$2*$M395))</f>
        <v/>
      </c>
      <c r="Y395" s="47">
        <f>IF(OR($M395="",$T395=""),"",$T395+(Y$2*$M395))</f>
        <v/>
      </c>
      <c r="Z395" s="49">
        <f>IF(OR($M395="",$T395=""),"",$T395+(Z$2*$M395))</f>
        <v/>
      </c>
      <c r="AA395" s="51">
        <f>IF(OR($M395="",$T395=""),"",$T395+(AA$2*$M395))</f>
        <v/>
      </c>
      <c r="AB395" s="48">
        <f>IF(OR($M395="",$T395=""),"",$T395+(AB$2*$M395))</f>
        <v/>
      </c>
      <c r="AC395" s="48">
        <f>IF(OR($M395="",$T395=""),"",$T395+(AC$2*$M395))</f>
        <v/>
      </c>
      <c r="AD395" s="48">
        <f>IF(OR($M395="",$T395=""),"",$T395+(AD$2*$M395))</f>
        <v/>
      </c>
      <c r="AE395" s="49">
        <f>IF(OR($M395="",$T395=""),"",$T395+(AE$2*$M395))</f>
        <v/>
      </c>
      <c r="AF395" s="52">
        <f>IF(OR(T395="",I395&lt;T395),"",IFERROR(AVERAGE(T395+M395*{7,8,9,10,11})/IF(G395="",I395,G395)-1,""))</f>
        <v/>
      </c>
      <c r="AG395" s="55">
        <f>IF(OR(T395="",I395&lt;T395),"",IFERROR(AF395/-(R395/IF(G395="",I395,G395)-1),""))</f>
        <v/>
      </c>
      <c r="AH395" s="94" t="n">
        <v>1</v>
      </c>
      <c r="AI395" s="94" t="n">
        <v>104.5148921058937</v>
      </c>
      <c r="AJ395" s="94" t="n">
        <v>1</v>
      </c>
      <c r="AK395" s="94" t="inlineStr">
        <is>
          <t>OTT Up Trend</t>
        </is>
      </c>
      <c r="AL395" s="84" t="inlineStr">
        <is>
          <t>Element Solutions Inc.</t>
        </is>
      </c>
      <c r="AM395" t="inlineStr">
        <is>
          <t>Basic Materials</t>
        </is>
      </c>
      <c r="AN395" t="inlineStr">
        <is>
          <t>Specialty Chemicals</t>
        </is>
      </c>
      <c r="AO395" t="n">
        <v>74</v>
      </c>
    </row>
    <row r="396">
      <c r="A396" s="64" t="inlineStr">
        <is>
          <t>ABCB</t>
        </is>
      </c>
      <c r="B396" s="65" t="n"/>
      <c r="C396" s="66" t="n"/>
      <c r="D396" s="67" t="n"/>
      <c r="E396" s="68" t="n"/>
      <c r="F396" s="47">
        <f>IF(A396="","",IF(MIN(H396,MAX(J396:K396))=0,"",MIN(H396,MAX(J396:K396))))</f>
        <v/>
      </c>
      <c r="G396" s="74" t="n"/>
      <c r="H396" s="49">
        <f>IF(M396="","",IFERROR(ROUND(AVERAGE(T396+M396*{7,8,9,10,11})/1.21,4),""))</f>
        <v/>
      </c>
      <c r="I396" s="76" t="n">
        <v>79.95999908447266</v>
      </c>
      <c r="J396" s="77" t="n">
        <v>78.84339540230525</v>
      </c>
      <c r="K396" s="74" t="n">
        <v>77.35299949645996</v>
      </c>
      <c r="L396" s="78" t="n">
        <v>68.71159980773926</v>
      </c>
      <c r="M396" s="77" t="n">
        <v>1.682865125084628</v>
      </c>
      <c r="N396" s="53">
        <f>IF(M396="","",IFERROR(M396/I396,""))</f>
        <v/>
      </c>
      <c r="O396" s="50">
        <f>IF(A396="","",IFERROR((IF(G396="",I396,G396)-T396)/M396,""))</f>
        <v/>
      </c>
      <c r="P396" s="50">
        <f>IFERROR((I396/T396-1)/N396,"")</f>
        <v/>
      </c>
      <c r="Q396" s="46">
        <f>IF(OR(T396="",I396&lt;T396),"",IFERROR(R396/IF(G396="",I396,G396)-1,""))</f>
        <v/>
      </c>
      <c r="R396" s="48">
        <f>IF($M396="","",MAX(IF($G396="",$I396,$G396)*(1/1.1),IF($G396="",$I396,$G396)+(R$2*$M396)))</f>
        <v/>
      </c>
      <c r="S396" s="49">
        <f>IF($M396="","",MAX(IF($G396="",$I396,$G396)*(1/1.1),IF($G396="",$I396,$G396)+(S$2*$M396)))</f>
        <v/>
      </c>
      <c r="T396" s="82" t="n">
        <v>75.98480026245117</v>
      </c>
      <c r="U396" s="47">
        <f>IF(OR($M396="",$T396=""),"",$T396+(U$2*$M396))</f>
        <v/>
      </c>
      <c r="V396" s="48">
        <f>IF(OR($M396="",$T396=""),"",$T396+(V$2*$M396))</f>
        <v/>
      </c>
      <c r="W396" s="48">
        <f>IF(OR($M396="",$T396=""),"",$T396+(W$2*$M396))</f>
        <v/>
      </c>
      <c r="X396" s="49">
        <f>IF(OR($M396="",$T396=""),"",$T396+(X$2*$M396))</f>
        <v/>
      </c>
      <c r="Y396" s="47">
        <f>IF(OR($M396="",$T396=""),"",$T396+(Y$2*$M396))</f>
        <v/>
      </c>
      <c r="Z396" s="49">
        <f>IF(OR($M396="",$T396=""),"",$T396+(Z$2*$M396))</f>
        <v/>
      </c>
      <c r="AA396" s="51">
        <f>IF(OR($M396="",$T396=""),"",$T396+(AA$2*$M396))</f>
        <v/>
      </c>
      <c r="AB396" s="48">
        <f>IF(OR($M396="",$T396=""),"",$T396+(AB$2*$M396))</f>
        <v/>
      </c>
      <c r="AC396" s="48">
        <f>IF(OR($M396="",$T396=""),"",$T396+(AC$2*$M396))</f>
        <v/>
      </c>
      <c r="AD396" s="48">
        <f>IF(OR($M396="",$T396=""),"",$T396+(AD$2*$M396))</f>
        <v/>
      </c>
      <c r="AE396" s="49">
        <f>IF(OR($M396="",$T396=""),"",$T396+(AE$2*$M396))</f>
        <v/>
      </c>
      <c r="AF396" s="52">
        <f>IF(OR(T396="",I396&lt;T396),"",IFERROR(AVERAGE(T396+M396*{7,8,9,10,11})/IF(G396="",I396,G396)-1,""))</f>
        <v/>
      </c>
      <c r="AG396" s="55">
        <f>IF(OR(T396="",I396&lt;T396),"",IFERROR(AF396/-(R396/IF(G396="",I396,G396)-1),""))</f>
        <v/>
      </c>
      <c r="AH396" s="94" t="n">
        <v>1</v>
      </c>
      <c r="AI396" s="94" t="n">
        <v>65.2443111019504</v>
      </c>
      <c r="AJ396" s="94" t="n">
        <v>1</v>
      </c>
      <c r="AK396" s="94" t="inlineStr">
        <is>
          <t>OTT Up Trend</t>
        </is>
      </c>
      <c r="AL396" s="84" t="inlineStr">
        <is>
          <t>Ameris Bancorp</t>
        </is>
      </c>
      <c r="AM396" t="inlineStr">
        <is>
          <t>Financial Services</t>
        </is>
      </c>
      <c r="AN396" t="inlineStr">
        <is>
          <t>Banks - Regional</t>
        </is>
      </c>
      <c r="AO396" t="n">
        <v>73</v>
      </c>
    </row>
    <row r="397">
      <c r="A397" s="64" t="inlineStr">
        <is>
          <t>GOLF</t>
        </is>
      </c>
      <c r="B397" s="65" t="n"/>
      <c r="C397" s="66" t="n"/>
      <c r="D397" s="67" t="n"/>
      <c r="E397" s="68" t="n"/>
      <c r="F397" s="47">
        <f>IF(A397="","",IF(MIN(H397,MAX(J397:K397))=0,"",MIN(H397,MAX(J397:K397))))</f>
        <v/>
      </c>
      <c r="G397" s="74" t="n"/>
      <c r="H397" s="49">
        <f>IF(M397="","",IFERROR(ROUND(AVERAGE(T397+M397*{7,8,9,10,11})/1.21,4),""))</f>
        <v/>
      </c>
      <c r="I397" s="76" t="n">
        <v>91.87999725341797</v>
      </c>
      <c r="J397" s="77" t="n">
        <v>88.6964669388035</v>
      </c>
      <c r="K397" s="74" t="n">
        <v>85.15999946594238</v>
      </c>
      <c r="L397" s="78" t="n">
        <v>76.20845006942749</v>
      </c>
      <c r="M397" s="77" t="n">
        <v>2.443792769586961</v>
      </c>
      <c r="N397" s="53">
        <f>IF(M397="","",IFERROR(M397/I397,""))</f>
        <v/>
      </c>
      <c r="O397" s="50">
        <f>IF(A397="","",IFERROR((IF(G397="",I397,G397)-T397)/M397,""))</f>
        <v/>
      </c>
      <c r="P397" s="50">
        <f>IFERROR((I397/T397-1)/N397,"")</f>
        <v/>
      </c>
      <c r="Q397" s="46">
        <f>IF(OR(T397="",I397&lt;T397),"",IFERROR(R397/IF(G397="",I397,G397)-1,""))</f>
        <v/>
      </c>
      <c r="R397" s="48">
        <f>IF($M397="","",MAX(IF($G397="",$I397,$G397)*(1/1.1),IF($G397="",$I397,$G397)+(R$2*$M397)))</f>
        <v/>
      </c>
      <c r="S397" s="49">
        <f>IF($M397="","",MAX(IF($G397="",$I397,$G397)*(1/1.1),IF($G397="",$I397,$G397)+(S$2*$M397)))</f>
        <v/>
      </c>
      <c r="T397" s="82" t="n">
        <v>83.25719970703125</v>
      </c>
      <c r="U397" s="47">
        <f>IF(OR($M397="",$T397=""),"",$T397+(U$2*$M397))</f>
        <v/>
      </c>
      <c r="V397" s="48">
        <f>IF(OR($M397="",$T397=""),"",$T397+(V$2*$M397))</f>
        <v/>
      </c>
      <c r="W397" s="48">
        <f>IF(OR($M397="",$T397=""),"",$T397+(W$2*$M397))</f>
        <v/>
      </c>
      <c r="X397" s="49">
        <f>IF(OR($M397="",$T397=""),"",$T397+(X$2*$M397))</f>
        <v/>
      </c>
      <c r="Y397" s="47">
        <f>IF(OR($M397="",$T397=""),"",$T397+(Y$2*$M397))</f>
        <v/>
      </c>
      <c r="Z397" s="49">
        <f>IF(OR($M397="",$T397=""),"",$T397+(Z$2*$M397))</f>
        <v/>
      </c>
      <c r="AA397" s="51">
        <f>IF(OR($M397="",$T397=""),"",$T397+(AA$2*$M397))</f>
        <v/>
      </c>
      <c r="AB397" s="48">
        <f>IF(OR($M397="",$T397=""),"",$T397+(AB$2*$M397))</f>
        <v/>
      </c>
      <c r="AC397" s="48">
        <f>IF(OR($M397="",$T397=""),"",$T397+(AC$2*$M397))</f>
        <v/>
      </c>
      <c r="AD397" s="48">
        <f>IF(OR($M397="",$T397=""),"",$T397+(AD$2*$M397))</f>
        <v/>
      </c>
      <c r="AE397" s="49">
        <f>IF(OR($M397="",$T397=""),"",$T397+(AE$2*$M397))</f>
        <v/>
      </c>
      <c r="AF397" s="52">
        <f>IF(OR(T397="",I397&lt;T397),"",IFERROR(AVERAGE(T397+M397*{7,8,9,10,11})/IF(G397="",I397,G397)-1,""))</f>
        <v/>
      </c>
      <c r="AG397" s="55">
        <f>IF(OR(T397="",I397&lt;T397),"",IFERROR(AF397/-(R397/IF(G397="",I397,G397)-1),""))</f>
        <v/>
      </c>
      <c r="AH397" s="94" t="n">
        <v>1</v>
      </c>
      <c r="AI397" s="94" t="n">
        <v>100.5417546100457</v>
      </c>
      <c r="AJ397" s="94" t="n">
        <v>1</v>
      </c>
      <c r="AK397" s="94" t="inlineStr">
        <is>
          <t>OTT Up Trend</t>
        </is>
      </c>
      <c r="AL397" s="84" t="inlineStr">
        <is>
          <t>Acushnet Holdings Corp.</t>
        </is>
      </c>
      <c r="AM397" t="inlineStr">
        <is>
          <t>Consumer Cyclical</t>
        </is>
      </c>
      <c r="AN397" t="inlineStr">
        <is>
          <t>Leisure</t>
        </is>
      </c>
      <c r="AO397" t="n">
        <v>73</v>
      </c>
    </row>
    <row r="398">
      <c r="A398" s="64" t="inlineStr">
        <is>
          <t>FITB</t>
        </is>
      </c>
      <c r="B398" s="65" t="n"/>
      <c r="C398" s="66" t="n"/>
      <c r="D398" s="67" t="n"/>
      <c r="E398" s="68" t="n"/>
      <c r="F398" s="47">
        <f>IF(A398="","",IF(MIN(H398,MAX(J398:K398))=0,"",MIN(H398,MAX(J398:K398))))</f>
        <v/>
      </c>
      <c r="G398" s="74" t="n"/>
      <c r="H398" s="49">
        <f>IF(M398="","",IFERROR(ROUND(AVERAGE(T398+M398*{7,8,9,10,11})/1.21,4),""))</f>
        <v/>
      </c>
      <c r="I398" s="76" t="n">
        <v>49.15999984741211</v>
      </c>
      <c r="J398" s="77" t="n">
        <v>48.75096008668356</v>
      </c>
      <c r="K398" s="74" t="n">
        <v>48.41849994659424</v>
      </c>
      <c r="L398" s="78" t="n">
        <v>42.22219989776611</v>
      </c>
      <c r="M398" s="77" t="n">
        <v>0.945677986457282</v>
      </c>
      <c r="N398" s="53">
        <f>IF(M398="","",IFERROR(M398/I398,""))</f>
        <v/>
      </c>
      <c r="O398" s="50">
        <f>IF(A398="","",IFERROR((IF(G398="",I398,G398)-T398)/M398,""))</f>
        <v/>
      </c>
      <c r="P398" s="50">
        <f>IFERROR((I398/T398-1)/N398,"")</f>
        <v/>
      </c>
      <c r="Q398" s="46">
        <f>IF(OR(T398="",I398&lt;T398),"",IFERROR(R398/IF(G398="",I398,G398)-1,""))</f>
        <v/>
      </c>
      <c r="R398" s="48">
        <f>IF($M398="","",MAX(IF($G398="",$I398,$G398)*(1/1.1),IF($G398="",$I398,$G398)+(R$2*$M398)))</f>
        <v/>
      </c>
      <c r="S398" s="49">
        <f>IF($M398="","",MAX(IF($G398="",$I398,$G398)*(1/1.1),IF($G398="",$I398,$G398)+(S$2*$M398)))</f>
        <v/>
      </c>
      <c r="T398" s="82" t="n">
        <v>45.83279991149902</v>
      </c>
      <c r="U398" s="47">
        <f>IF(OR($M398="",$T398=""),"",$T398+(U$2*$M398))</f>
        <v/>
      </c>
      <c r="V398" s="48">
        <f>IF(OR($M398="",$T398=""),"",$T398+(V$2*$M398))</f>
        <v/>
      </c>
      <c r="W398" s="48">
        <f>IF(OR($M398="",$T398=""),"",$T398+(W$2*$M398))</f>
        <v/>
      </c>
      <c r="X398" s="49">
        <f>IF(OR($M398="",$T398=""),"",$T398+(X$2*$M398))</f>
        <v/>
      </c>
      <c r="Y398" s="47">
        <f>IF(OR($M398="",$T398=""),"",$T398+(Y$2*$M398))</f>
        <v/>
      </c>
      <c r="Z398" s="49">
        <f>IF(OR($M398="",$T398=""),"",$T398+(Z$2*$M398))</f>
        <v/>
      </c>
      <c r="AA398" s="51">
        <f>IF(OR($M398="",$T398=""),"",$T398+(AA$2*$M398))</f>
        <v/>
      </c>
      <c r="AB398" s="48">
        <f>IF(OR($M398="",$T398=""),"",$T398+(AB$2*$M398))</f>
        <v/>
      </c>
      <c r="AC398" s="48">
        <f>IF(OR($M398="",$T398=""),"",$T398+(AC$2*$M398))</f>
        <v/>
      </c>
      <c r="AD398" s="48">
        <f>IF(OR($M398="",$T398=""),"",$T398+(AD$2*$M398))</f>
        <v/>
      </c>
      <c r="AE398" s="49">
        <f>IF(OR($M398="",$T398=""),"",$T398+(AE$2*$M398))</f>
        <v/>
      </c>
      <c r="AF398" s="52">
        <f>IF(OR(T398="",I398&lt;T398),"",IFERROR(AVERAGE(T398+M398*{7,8,9,10,11})/IF(G398="",I398,G398)-1,""))</f>
        <v/>
      </c>
      <c r="AG398" s="55">
        <f>IF(OR(T398="",I398&lt;T398),"",IFERROR(AF398/-(R398/IF(G398="",I398,G398)-1),""))</f>
        <v/>
      </c>
      <c r="AH398" s="94" t="n">
        <v>1</v>
      </c>
      <c r="AI398" s="94" t="n">
        <v>86.85764377256586</v>
      </c>
      <c r="AJ398" s="94" t="n">
        <v>0</v>
      </c>
      <c r="AK398" s="94" t="inlineStr">
        <is>
          <t>OTT Up Trend</t>
        </is>
      </c>
      <c r="AL398" s="84" t="inlineStr">
        <is>
          <t>Fifth Third Bancorp</t>
        </is>
      </c>
      <c r="AM398" t="inlineStr">
        <is>
          <t>Financial Services</t>
        </is>
      </c>
      <c r="AN398" t="inlineStr">
        <is>
          <t>Banks - Regional</t>
        </is>
      </c>
      <c r="AO398" t="n">
        <v>73</v>
      </c>
    </row>
    <row r="399">
      <c r="A399" s="64" t="inlineStr">
        <is>
          <t>ESE</t>
        </is>
      </c>
      <c r="B399" s="65" t="n"/>
      <c r="C399" s="66" t="n"/>
      <c r="D399" s="67" t="n"/>
      <c r="E399" s="68" t="n"/>
      <c r="F399" s="47">
        <f>IF(A399="","",IF(MIN(H399,MAX(J399:K399))=0,"",MIN(H399,MAX(J399:K399))))</f>
        <v/>
      </c>
      <c r="G399" s="74" t="n"/>
      <c r="H399" s="49">
        <f>IF(M399="","",IFERROR(ROUND(AVERAGE(T399+M399*{7,8,9,10,11})/1.21,4),""))</f>
        <v/>
      </c>
      <c r="I399" s="76" t="n">
        <v>218.5800018310547</v>
      </c>
      <c r="J399" s="77" t="n">
        <v>211.9874383272994</v>
      </c>
      <c r="K399" s="74" t="n">
        <v>205.3384971618652</v>
      </c>
      <c r="L399" s="78" t="n">
        <v>194.5121495056152</v>
      </c>
      <c r="M399" s="77" t="n">
        <v>5.569501766243889</v>
      </c>
      <c r="N399" s="53">
        <f>IF(M399="","",IFERROR(M399/I399,""))</f>
        <v/>
      </c>
      <c r="O399" s="50">
        <f>IF(A399="","",IFERROR((IF(G399="",I399,G399)-T399)/M399,""))</f>
        <v/>
      </c>
      <c r="P399" s="50">
        <f>IFERROR((I399/T399-1)/N399,"")</f>
        <v/>
      </c>
      <c r="Q399" s="46">
        <f>IF(OR(T399="",I399&lt;T399),"",IFERROR(R399/IF(G399="",I399,G399)-1,""))</f>
        <v/>
      </c>
      <c r="R399" s="48">
        <f>IF($M399="","",MAX(IF($G399="",$I399,$G399)*(1/1.1),IF($G399="",$I399,$G399)+(R$2*$M399)))</f>
        <v/>
      </c>
      <c r="S399" s="49">
        <f>IF($M399="","",MAX(IF($G399="",$I399,$G399)*(1/1.1),IF($G399="",$I399,$G399)+(S$2*$M399)))</f>
        <v/>
      </c>
      <c r="T399" s="82" t="n">
        <v>208.4787982177734</v>
      </c>
      <c r="U399" s="47">
        <f>IF(OR($M399="",$T399=""),"",$T399+(U$2*$M399))</f>
        <v/>
      </c>
      <c r="V399" s="48">
        <f>IF(OR($M399="",$T399=""),"",$T399+(V$2*$M399))</f>
        <v/>
      </c>
      <c r="W399" s="48">
        <f>IF(OR($M399="",$T399=""),"",$T399+(W$2*$M399))</f>
        <v/>
      </c>
      <c r="X399" s="49">
        <f>IF(OR($M399="",$T399=""),"",$T399+(X$2*$M399))</f>
        <v/>
      </c>
      <c r="Y399" s="47">
        <f>IF(OR($M399="",$T399=""),"",$T399+(Y$2*$M399))</f>
        <v/>
      </c>
      <c r="Z399" s="49">
        <f>IF(OR($M399="",$T399=""),"",$T399+(Z$2*$M399))</f>
        <v/>
      </c>
      <c r="AA399" s="51">
        <f>IF(OR($M399="",$T399=""),"",$T399+(AA$2*$M399))</f>
        <v/>
      </c>
      <c r="AB399" s="48">
        <f>IF(OR($M399="",$T399=""),"",$T399+(AB$2*$M399))</f>
        <v/>
      </c>
      <c r="AC399" s="48">
        <f>IF(OR($M399="",$T399=""),"",$T399+(AC$2*$M399))</f>
        <v/>
      </c>
      <c r="AD399" s="48">
        <f>IF(OR($M399="",$T399=""),"",$T399+(AD$2*$M399))</f>
        <v/>
      </c>
      <c r="AE399" s="49">
        <f>IF(OR($M399="",$T399=""),"",$T399+(AE$2*$M399))</f>
        <v/>
      </c>
      <c r="AF399" s="52">
        <f>IF(OR(T399="",I399&lt;T399),"",IFERROR(AVERAGE(T399+M399*{7,8,9,10,11})/IF(G399="",I399,G399)-1,""))</f>
        <v/>
      </c>
      <c r="AG399" s="55">
        <f>IF(OR(T399="",I399&lt;T399),"",IFERROR(AF399/-(R399/IF(G399="",I399,G399)-1),""))</f>
        <v/>
      </c>
      <c r="AH399" s="94" t="n">
        <v>1</v>
      </c>
      <c r="AI399" s="94" t="n">
        <v>50.25038562587488</v>
      </c>
      <c r="AJ399" s="94" t="n">
        <v>1</v>
      </c>
      <c r="AK399" s="94" t="inlineStr">
        <is>
          <t>None</t>
        </is>
      </c>
      <c r="AL399" s="84" t="inlineStr">
        <is>
          <t>ESCO Technologies Inc.</t>
        </is>
      </c>
      <c r="AM399" t="inlineStr">
        <is>
          <t>Technology</t>
        </is>
      </c>
      <c r="AN399" t="inlineStr">
        <is>
          <t>Scientific &amp; Technical Instruments</t>
        </is>
      </c>
      <c r="AO399" t="n">
        <v>73</v>
      </c>
    </row>
    <row r="400">
      <c r="A400" s="64" t="inlineStr">
        <is>
          <t>OII</t>
        </is>
      </c>
      <c r="B400" s="65" t="n"/>
      <c r="C400" s="66" t="n"/>
      <c r="D400" s="67" t="n"/>
      <c r="E400" s="68" t="n"/>
      <c r="F400" s="47">
        <f>IF(A400="","",IF(MIN(H400,MAX(J400:K400))=0,"",MIN(H400,MAX(J400:K400))))</f>
        <v/>
      </c>
      <c r="G400" s="74" t="n"/>
      <c r="H400" s="49">
        <f>IF(M400="","",IFERROR(ROUND(AVERAGE(T400+M400*{7,8,9,10,11})/1.21,4),""))</f>
        <v/>
      </c>
      <c r="I400" s="76" t="n">
        <v>27.27000045776367</v>
      </c>
      <c r="J400" s="77" t="n">
        <v>26.53775376915141</v>
      </c>
      <c r="K400" s="74" t="n">
        <v>25.43299989700317</v>
      </c>
      <c r="L400" s="78" t="n">
        <v>22.39234997272492</v>
      </c>
      <c r="M400" s="77" t="n">
        <v>0.9307704294107695</v>
      </c>
      <c r="N400" s="53">
        <f>IF(M400="","",IFERROR(M400/I400,""))</f>
        <v/>
      </c>
      <c r="O400" s="50">
        <f>IF(A400="","",IFERROR((IF(G400="",I400,G400)-T400)/M400,""))</f>
        <v/>
      </c>
      <c r="P400" s="50">
        <f>IFERROR((I400/T400-1)/N400,"")</f>
        <v/>
      </c>
      <c r="Q400" s="46">
        <f>IF(OR(T400="",I400&lt;T400),"",IFERROR(R400/IF(G400="",I400,G400)-1,""))</f>
        <v/>
      </c>
      <c r="R400" s="48">
        <f>IF($M400="","",MAX(IF($G400="",$I400,$G400)*(1/1.1),IF($G400="",$I400,$G400)+(R$2*$M400)))</f>
        <v/>
      </c>
      <c r="S400" s="49">
        <f>IF($M400="","",MAX(IF($G400="",$I400,$G400)*(1/1.1),IF($G400="",$I400,$G400)+(S$2*$M400)))</f>
        <v/>
      </c>
      <c r="T400" s="82" t="n">
        <v>24.98459995269775</v>
      </c>
      <c r="U400" s="47">
        <f>IF(OR($M400="",$T400=""),"",$T400+(U$2*$M400))</f>
        <v/>
      </c>
      <c r="V400" s="48">
        <f>IF(OR($M400="",$T400=""),"",$T400+(V$2*$M400))</f>
        <v/>
      </c>
      <c r="W400" s="48">
        <f>IF(OR($M400="",$T400=""),"",$T400+(W$2*$M400))</f>
        <v/>
      </c>
      <c r="X400" s="49">
        <f>IF(OR($M400="",$T400=""),"",$T400+(X$2*$M400))</f>
        <v/>
      </c>
      <c r="Y400" s="47">
        <f>IF(OR($M400="",$T400=""),"",$T400+(Y$2*$M400))</f>
        <v/>
      </c>
      <c r="Z400" s="49">
        <f>IF(OR($M400="",$T400=""),"",$T400+(Z$2*$M400))</f>
        <v/>
      </c>
      <c r="AA400" s="51">
        <f>IF(OR($M400="",$T400=""),"",$T400+(AA$2*$M400))</f>
        <v/>
      </c>
      <c r="AB400" s="48">
        <f>IF(OR($M400="",$T400=""),"",$T400+(AB$2*$M400))</f>
        <v/>
      </c>
      <c r="AC400" s="48">
        <f>IF(OR($M400="",$T400=""),"",$T400+(AC$2*$M400))</f>
        <v/>
      </c>
      <c r="AD400" s="48">
        <f>IF(OR($M400="",$T400=""),"",$T400+(AD$2*$M400))</f>
        <v/>
      </c>
      <c r="AE400" s="49">
        <f>IF(OR($M400="",$T400=""),"",$T400+(AE$2*$M400))</f>
        <v/>
      </c>
      <c r="AF400" s="52">
        <f>IF(OR(T400="",I400&lt;T400),"",IFERROR(AVERAGE(T400+M400*{7,8,9,10,11})/IF(G400="",I400,G400)-1,""))</f>
        <v/>
      </c>
      <c r="AG400" s="55">
        <f>IF(OR(T400="",I400&lt;T400),"",IFERROR(AF400/-(R400/IF(G400="",I400,G400)-1),""))</f>
        <v/>
      </c>
      <c r="AH400" s="94" t="n">
        <v>1</v>
      </c>
      <c r="AI400" s="94" t="n">
        <v>68.83765720515939</v>
      </c>
      <c r="AJ400" s="94" t="n">
        <v>1</v>
      </c>
      <c r="AK400" s="94" t="inlineStr">
        <is>
          <t>OTT Turned Up</t>
        </is>
      </c>
      <c r="AL400" s="84" t="inlineStr">
        <is>
          <t>Oceaneering International, Inc.</t>
        </is>
      </c>
      <c r="AM400" t="inlineStr">
        <is>
          <t>Energy</t>
        </is>
      </c>
      <c r="AN400" t="inlineStr">
        <is>
          <t>Oil &amp; Gas Equipment &amp; Services</t>
        </is>
      </c>
      <c r="AO400" t="n">
        <v>73</v>
      </c>
    </row>
    <row r="401">
      <c r="A401" s="64" t="inlineStr">
        <is>
          <t>EA</t>
        </is>
      </c>
      <c r="B401" s="65" t="n"/>
      <c r="C401" s="66" t="n"/>
      <c r="D401" s="67" t="n"/>
      <c r="E401" s="68" t="n"/>
      <c r="F401" s="47">
        <f>IF(A401="","",IF(MIN(H401,MAX(J401:K401))=0,"",MIN(H401,MAX(J401:K401))))</f>
        <v/>
      </c>
      <c r="G401" s="74" t="n"/>
      <c r="H401" s="49">
        <f>IF(M401="","",IFERROR(ROUND(AVERAGE(T401+M401*{7,8,9,10,11})/1.21,4),""))</f>
        <v/>
      </c>
      <c r="I401" s="76" t="n">
        <v>204.25</v>
      </c>
      <c r="J401" s="77" t="n">
        <v>204.2416974740842</v>
      </c>
      <c r="K401" s="74" t="n">
        <v>204.2724998474121</v>
      </c>
      <c r="L401" s="78" t="n">
        <v>173.903500213623</v>
      </c>
      <c r="M401" s="77" t="n">
        <v>0.4628154385106659</v>
      </c>
      <c r="N401" s="53">
        <f>IF(M401="","",IFERROR(M401/I401,""))</f>
        <v/>
      </c>
      <c r="O401" s="50">
        <f>IF(A401="","",IFERROR((IF(G401="",I401,G401)-T401)/M401,""))</f>
        <v/>
      </c>
      <c r="P401" s="50">
        <f>IFERROR((I401/T401-1)/N401,"")</f>
        <v/>
      </c>
      <c r="Q401" s="46">
        <f>IF(OR(T401="",I401&lt;T401),"",IFERROR(R401/IF(G401="",I401,G401)-1,""))</f>
        <v/>
      </c>
      <c r="R401" s="48">
        <f>IF($M401="","",MAX(IF($G401="",$I401,$G401)*(1/1.1),IF($G401="",$I401,$G401)+(R$2*$M401)))</f>
        <v/>
      </c>
      <c r="S401" s="49">
        <f>IF($M401="","",MAX(IF($G401="",$I401,$G401)*(1/1.1),IF($G401="",$I401,$G401)+(S$2*$M401)))</f>
        <v/>
      </c>
      <c r="T401" s="82" t="n">
        <v>203.0848001098633</v>
      </c>
      <c r="U401" s="47">
        <f>IF(OR($M401="",$T401=""),"",$T401+(U$2*$M401))</f>
        <v/>
      </c>
      <c r="V401" s="48">
        <f>IF(OR($M401="",$T401=""),"",$T401+(V$2*$M401))</f>
        <v/>
      </c>
      <c r="W401" s="48">
        <f>IF(OR($M401="",$T401=""),"",$T401+(W$2*$M401))</f>
        <v/>
      </c>
      <c r="X401" s="49">
        <f>IF(OR($M401="",$T401=""),"",$T401+(X$2*$M401))</f>
        <v/>
      </c>
      <c r="Y401" s="47">
        <f>IF(OR($M401="",$T401=""),"",$T401+(Y$2*$M401))</f>
        <v/>
      </c>
      <c r="Z401" s="49">
        <f>IF(OR($M401="",$T401=""),"",$T401+(Z$2*$M401))</f>
        <v/>
      </c>
      <c r="AA401" s="51">
        <f>IF(OR($M401="",$T401=""),"",$T401+(AA$2*$M401))</f>
        <v/>
      </c>
      <c r="AB401" s="48">
        <f>IF(OR($M401="",$T401=""),"",$T401+(AB$2*$M401))</f>
        <v/>
      </c>
      <c r="AC401" s="48">
        <f>IF(OR($M401="",$T401=""),"",$T401+(AC$2*$M401))</f>
        <v/>
      </c>
      <c r="AD401" s="48">
        <f>IF(OR($M401="",$T401=""),"",$T401+(AD$2*$M401))</f>
        <v/>
      </c>
      <c r="AE401" s="49">
        <f>IF(OR($M401="",$T401=""),"",$T401+(AE$2*$M401))</f>
        <v/>
      </c>
      <c r="AF401" s="52">
        <f>IF(OR(T401="",I401&lt;T401),"",IFERROR(AVERAGE(T401+M401*{7,8,9,10,11})/IF(G401="",I401,G401)-1,""))</f>
        <v/>
      </c>
      <c r="AG401" s="55">
        <f>IF(OR(T401="",I401&lt;T401),"",IFERROR(AF401/-(R401/IF(G401="",I401,G401)-1),""))</f>
        <v/>
      </c>
      <c r="AH401" s="94" t="n">
        <v>1</v>
      </c>
      <c r="AI401" s="94" t="n">
        <v>48.73655118053535</v>
      </c>
      <c r="AJ401" s="94" t="n">
        <v>0</v>
      </c>
      <c r="AK401" s="94" t="inlineStr">
        <is>
          <t>OTT Up Trend</t>
        </is>
      </c>
      <c r="AL401" s="84" t="inlineStr">
        <is>
          <t>Electronic Arts Inc.</t>
        </is>
      </c>
      <c r="AM401" t="inlineStr">
        <is>
          <t>Communication Services</t>
        </is>
      </c>
      <c r="AN401" t="inlineStr">
        <is>
          <t>Electronic Gaming &amp; Multimedia</t>
        </is>
      </c>
      <c r="AO401" t="n">
        <v>73</v>
      </c>
    </row>
    <row r="402">
      <c r="A402" s="64" t="inlineStr">
        <is>
          <t>FHI</t>
        </is>
      </c>
      <c r="B402" s="65" t="n"/>
      <c r="C402" s="66" t="n"/>
      <c r="D402" s="67" t="n"/>
      <c r="E402" s="68" t="n"/>
      <c r="F402" s="47">
        <f>IF(A402="","",IF(MIN(H402,MAX(J402:K402))=0,"",MIN(H402,MAX(J402:K402))))</f>
        <v/>
      </c>
      <c r="G402" s="74" t="n"/>
      <c r="H402" s="49">
        <f>IF(M402="","",IFERROR(ROUND(AVERAGE(T402+M402*{7,8,9,10,11})/1.21,4),""))</f>
        <v/>
      </c>
      <c r="I402" s="76" t="n">
        <v>54.36999893188477</v>
      </c>
      <c r="J402" s="77" t="n">
        <v>53.02092021697656</v>
      </c>
      <c r="K402" s="74" t="n">
        <v>53.11199989318848</v>
      </c>
      <c r="L402" s="78" t="n">
        <v>47.93409997940064</v>
      </c>
      <c r="M402" s="77" t="n">
        <v>1.143372708630337</v>
      </c>
      <c r="N402" s="53">
        <f>IF(M402="","",IFERROR(M402/I402,""))</f>
        <v/>
      </c>
      <c r="O402" s="50">
        <f>IF(A402="","",IFERROR((IF(G402="",I402,G402)-T402)/M402,""))</f>
        <v/>
      </c>
      <c r="P402" s="50">
        <f>IFERROR((I402/T402-1)/N402,"")</f>
        <v/>
      </c>
      <c r="Q402" s="46">
        <f>IF(OR(T402="",I402&lt;T402),"",IFERROR(R402/IF(G402="",I402,G402)-1,""))</f>
        <v/>
      </c>
      <c r="R402" s="48">
        <f>IF($M402="","",MAX(IF($G402="",$I402,$G402)*(1/1.1),IF($G402="",$I402,$G402)+(R$2*$M402)))</f>
        <v/>
      </c>
      <c r="S402" s="49">
        <f>IF($M402="","",MAX(IF($G402="",$I402,$G402)*(1/1.1),IF($G402="",$I402,$G402)+(S$2*$M402)))</f>
        <v/>
      </c>
      <c r="T402" s="82" t="n">
        <v>51.30939964294434</v>
      </c>
      <c r="U402" s="47">
        <f>IF(OR($M402="",$T402=""),"",$T402+(U$2*$M402))</f>
        <v/>
      </c>
      <c r="V402" s="48">
        <f>IF(OR($M402="",$T402=""),"",$T402+(V$2*$M402))</f>
        <v/>
      </c>
      <c r="W402" s="48">
        <f>IF(OR($M402="",$T402=""),"",$T402+(W$2*$M402))</f>
        <v/>
      </c>
      <c r="X402" s="49">
        <f>IF(OR($M402="",$T402=""),"",$T402+(X$2*$M402))</f>
        <v/>
      </c>
      <c r="Y402" s="47">
        <f>IF(OR($M402="",$T402=""),"",$T402+(Y$2*$M402))</f>
        <v/>
      </c>
      <c r="Z402" s="49">
        <f>IF(OR($M402="",$T402=""),"",$T402+(Z$2*$M402))</f>
        <v/>
      </c>
      <c r="AA402" s="51">
        <f>IF(OR($M402="",$T402=""),"",$T402+(AA$2*$M402))</f>
        <v/>
      </c>
      <c r="AB402" s="48">
        <f>IF(OR($M402="",$T402=""),"",$T402+(AB$2*$M402))</f>
        <v/>
      </c>
      <c r="AC402" s="48">
        <f>IF(OR($M402="",$T402=""),"",$T402+(AC$2*$M402))</f>
        <v/>
      </c>
      <c r="AD402" s="48">
        <f>IF(OR($M402="",$T402=""),"",$T402+(AD$2*$M402))</f>
        <v/>
      </c>
      <c r="AE402" s="49">
        <f>IF(OR($M402="",$T402=""),"",$T402+(AE$2*$M402))</f>
        <v/>
      </c>
      <c r="AF402" s="52">
        <f>IF(OR(T402="",I402&lt;T402),"",IFERROR(AVERAGE(T402+M402*{7,8,9,10,11})/IF(G402="",I402,G402)-1,""))</f>
        <v/>
      </c>
      <c r="AG402" s="55">
        <f>IF(OR(T402="",I402&lt;T402),"",IFERROR(AF402/-(R402/IF(G402="",I402,G402)-1),""))</f>
        <v/>
      </c>
      <c r="AH402" s="94" t="n">
        <v>1</v>
      </c>
      <c r="AI402" s="94" t="n">
        <v>38.09084152268176</v>
      </c>
      <c r="AJ402" s="94" t="n">
        <v>0</v>
      </c>
      <c r="AK402" s="94" t="inlineStr">
        <is>
          <t>None</t>
        </is>
      </c>
      <c r="AL402" s="84" t="inlineStr">
        <is>
          <t>Federated Hermes, Inc.</t>
        </is>
      </c>
      <c r="AM402" t="inlineStr">
        <is>
          <t>Financial Services</t>
        </is>
      </c>
      <c r="AN402" t="inlineStr">
        <is>
          <t>Asset Management</t>
        </is>
      </c>
      <c r="AO402" t="n">
        <v>73</v>
      </c>
    </row>
    <row r="403">
      <c r="A403" s="64" t="inlineStr">
        <is>
          <t>MXL</t>
        </is>
      </c>
      <c r="B403" s="65" t="n"/>
      <c r="C403" s="66" t="n"/>
      <c r="D403" s="67" t="n"/>
      <c r="E403" s="68" t="n"/>
      <c r="F403" s="47">
        <f>IF(A403="","",IF(MIN(H403,MAX(J403:K403))=0,"",MIN(H403,MAX(J403:K403))))</f>
        <v/>
      </c>
      <c r="G403" s="74" t="n"/>
      <c r="H403" s="49">
        <f>IF(M403="","",IFERROR(ROUND(AVERAGE(T403+M403*{7,8,9,10,11})/1.21,4),""))</f>
        <v/>
      </c>
      <c r="I403" s="76" t="n">
        <v>19.29999923706055</v>
      </c>
      <c r="J403" s="77" t="n">
        <v>18.64822085862562</v>
      </c>
      <c r="K403" s="74" t="n">
        <v>18.22149991989136</v>
      </c>
      <c r="L403" s="78" t="n">
        <v>14.78364998817444</v>
      </c>
      <c r="M403" s="77" t="n">
        <v>0.9141661133575235</v>
      </c>
      <c r="N403" s="53">
        <f>IF(M403="","",IFERROR(M403/I403,""))</f>
        <v/>
      </c>
      <c r="O403" s="50">
        <f>IF(A403="","",IFERROR((IF(G403="",I403,G403)-T403)/M403,""))</f>
        <v/>
      </c>
      <c r="P403" s="50">
        <f>IFERROR((I403/T403-1)/N403,"")</f>
        <v/>
      </c>
      <c r="Q403" s="46">
        <f>IF(OR(T403="",I403&lt;T403),"",IFERROR(R403/IF(G403="",I403,G403)-1,""))</f>
        <v/>
      </c>
      <c r="R403" s="48">
        <f>IF($M403="","",MAX(IF($G403="",$I403,$G403)*(1/1.1),IF($G403="",$I403,$G403)+(R$2*$M403)))</f>
        <v/>
      </c>
      <c r="S403" s="49">
        <f>IF($M403="","",MAX(IF($G403="",$I403,$G403)*(1/1.1),IF($G403="",$I403,$G403)+(S$2*$M403)))</f>
        <v/>
      </c>
      <c r="T403" s="82" t="n">
        <v>16.85839998245239</v>
      </c>
      <c r="U403" s="47">
        <f>IF(OR($M403="",$T403=""),"",$T403+(U$2*$M403))</f>
        <v/>
      </c>
      <c r="V403" s="48">
        <f>IF(OR($M403="",$T403=""),"",$T403+(V$2*$M403))</f>
        <v/>
      </c>
      <c r="W403" s="48">
        <f>IF(OR($M403="",$T403=""),"",$T403+(W$2*$M403))</f>
        <v/>
      </c>
      <c r="X403" s="49">
        <f>IF(OR($M403="",$T403=""),"",$T403+(X$2*$M403))</f>
        <v/>
      </c>
      <c r="Y403" s="47">
        <f>IF(OR($M403="",$T403=""),"",$T403+(Y$2*$M403))</f>
        <v/>
      </c>
      <c r="Z403" s="49">
        <f>IF(OR($M403="",$T403=""),"",$T403+(Z$2*$M403))</f>
        <v/>
      </c>
      <c r="AA403" s="51">
        <f>IF(OR($M403="",$T403=""),"",$T403+(AA$2*$M403))</f>
        <v/>
      </c>
      <c r="AB403" s="48">
        <f>IF(OR($M403="",$T403=""),"",$T403+(AB$2*$M403))</f>
        <v/>
      </c>
      <c r="AC403" s="48">
        <f>IF(OR($M403="",$T403=""),"",$T403+(AC$2*$M403))</f>
        <v/>
      </c>
      <c r="AD403" s="48">
        <f>IF(OR($M403="",$T403=""),"",$T403+(AD$2*$M403))</f>
        <v/>
      </c>
      <c r="AE403" s="49">
        <f>IF(OR($M403="",$T403=""),"",$T403+(AE$2*$M403))</f>
        <v/>
      </c>
      <c r="AF403" s="52">
        <f>IF(OR(T403="",I403&lt;T403),"",IFERROR(AVERAGE(T403+M403*{7,8,9,10,11})/IF(G403="",I403,G403)-1,""))</f>
        <v/>
      </c>
      <c r="AG403" s="55">
        <f>IF(OR(T403="",I403&lt;T403),"",IFERROR(AF403/-(R403/IF(G403="",I403,G403)-1),""))</f>
        <v/>
      </c>
      <c r="AH403" s="94" t="n">
        <v>1</v>
      </c>
      <c r="AI403" s="94" t="n">
        <v>56.34072470069079</v>
      </c>
      <c r="AJ403" s="94" t="n">
        <v>0</v>
      </c>
      <c r="AK403" s="94" t="inlineStr">
        <is>
          <t>OTT Up Trend</t>
        </is>
      </c>
      <c r="AL403" s="84" t="inlineStr">
        <is>
          <t>MaxLinear, Inc</t>
        </is>
      </c>
      <c r="AM403" t="inlineStr">
        <is>
          <t>Technology</t>
        </is>
      </c>
      <c r="AN403" t="inlineStr">
        <is>
          <t>Semiconductors</t>
        </is>
      </c>
      <c r="AO403" t="n">
        <v>73</v>
      </c>
    </row>
    <row r="404">
      <c r="A404" s="64" t="inlineStr">
        <is>
          <t>WELL</t>
        </is>
      </c>
      <c r="B404" s="65" t="n"/>
      <c r="C404" s="66" t="n"/>
      <c r="D404" s="67" t="n"/>
      <c r="E404" s="68" t="n"/>
      <c r="F404" s="47">
        <f>IF(A404="","",IF(MIN(H404,MAX(J404:K404))=0,"",MIN(H404,MAX(J404:K404))))</f>
        <v/>
      </c>
      <c r="G404" s="74" t="n"/>
      <c r="H404" s="49">
        <f>IF(M404="","",IFERROR(ROUND(AVERAGE(T404+M404*{7,8,9,10,11})/1.21,4),""))</f>
        <v/>
      </c>
      <c r="I404" s="76" t="n">
        <v>191.3800048828125</v>
      </c>
      <c r="J404" s="77" t="n">
        <v>188.1349233026354</v>
      </c>
      <c r="K404" s="74" t="n">
        <v>187.2084991455078</v>
      </c>
      <c r="L404" s="78" t="n">
        <v>168.2150498199463</v>
      </c>
      <c r="M404" s="77" t="n">
        <v>3.648942610096971</v>
      </c>
      <c r="N404" s="53">
        <f>IF(M404="","",IFERROR(M404/I404,""))</f>
        <v/>
      </c>
      <c r="O404" s="50">
        <f>IF(A404="","",IFERROR((IF(G404="",I404,G404)-T404)/M404,""))</f>
        <v/>
      </c>
      <c r="P404" s="50">
        <f>IFERROR((I404/T404-1)/N404,"")</f>
        <v/>
      </c>
      <c r="Q404" s="46">
        <f>IF(OR(T404="",I404&lt;T404),"",IFERROR(R404/IF(G404="",I404,G404)-1,""))</f>
        <v/>
      </c>
      <c r="R404" s="48">
        <f>IF($M404="","",MAX(IF($G404="",$I404,$G404)*(1/1.1),IF($G404="",$I404,$G404)+(R$2*$M404)))</f>
        <v/>
      </c>
      <c r="S404" s="49">
        <f>IF($M404="","",MAX(IF($G404="",$I404,$G404)*(1/1.1),IF($G404="",$I404,$G404)+(S$2*$M404)))</f>
        <v/>
      </c>
      <c r="T404" s="82" t="n">
        <v>192.5287994384766</v>
      </c>
      <c r="U404" s="47">
        <f>IF(OR($M404="",$T404=""),"",$T404+(U$2*$M404))</f>
        <v/>
      </c>
      <c r="V404" s="48">
        <f>IF(OR($M404="",$T404=""),"",$T404+(V$2*$M404))</f>
        <v/>
      </c>
      <c r="W404" s="48">
        <f>IF(OR($M404="",$T404=""),"",$T404+(W$2*$M404))</f>
        <v/>
      </c>
      <c r="X404" s="49">
        <f>IF(OR($M404="",$T404=""),"",$T404+(X$2*$M404))</f>
        <v/>
      </c>
      <c r="Y404" s="47">
        <f>IF(OR($M404="",$T404=""),"",$T404+(Y$2*$M404))</f>
        <v/>
      </c>
      <c r="Z404" s="49">
        <f>IF(OR($M404="",$T404=""),"",$T404+(Z$2*$M404))</f>
        <v/>
      </c>
      <c r="AA404" s="51">
        <f>IF(OR($M404="",$T404=""),"",$T404+(AA$2*$M404))</f>
        <v/>
      </c>
      <c r="AB404" s="48">
        <f>IF(OR($M404="",$T404=""),"",$T404+(AB$2*$M404))</f>
        <v/>
      </c>
      <c r="AC404" s="48">
        <f>IF(OR($M404="",$T404=""),"",$T404+(AC$2*$M404))</f>
        <v/>
      </c>
      <c r="AD404" s="48">
        <f>IF(OR($M404="",$T404=""),"",$T404+(AD$2*$M404))</f>
        <v/>
      </c>
      <c r="AE404" s="49">
        <f>IF(OR($M404="",$T404=""),"",$T404+(AE$2*$M404))</f>
        <v/>
      </c>
      <c r="AF404" s="52">
        <f>IF(OR(T404="",I404&lt;T404),"",IFERROR(AVERAGE(T404+M404*{7,8,9,10,11})/IF(G404="",I404,G404)-1,""))</f>
        <v/>
      </c>
      <c r="AG404" s="55">
        <f>IF(OR(T404="",I404&lt;T404),"",IFERROR(AF404/-(R404/IF(G404="",I404,G404)-1),""))</f>
        <v/>
      </c>
      <c r="AH404" s="94" t="n">
        <v>-1</v>
      </c>
      <c r="AI404" s="94" t="n">
        <v>-19.15197508056676</v>
      </c>
      <c r="AJ404" s="94" t="n">
        <v>1</v>
      </c>
      <c r="AK404" s="94" t="inlineStr">
        <is>
          <t>None</t>
        </is>
      </c>
      <c r="AL404" s="84" t="inlineStr">
        <is>
          <t>Welltower Inc.</t>
        </is>
      </c>
      <c r="AM404" t="inlineStr">
        <is>
          <t>Real Estate</t>
        </is>
      </c>
      <c r="AN404" t="inlineStr">
        <is>
          <t>REIT - Healthcare Facilities</t>
        </is>
      </c>
      <c r="AO404" t="n">
        <v>73</v>
      </c>
    </row>
    <row r="405">
      <c r="A405" s="64" t="inlineStr">
        <is>
          <t>SMP</t>
        </is>
      </c>
      <c r="B405" s="65" t="n"/>
      <c r="C405" s="66" t="n"/>
      <c r="D405" s="67" t="n"/>
      <c r="E405" s="68" t="n"/>
      <c r="F405" s="47">
        <f>IF(A405="","",IF(MIN(H405,MAX(J405:K405))=0,"",MIN(H405,MAX(J405:K405))))</f>
        <v/>
      </c>
      <c r="G405" s="74" t="n"/>
      <c r="H405" s="49">
        <f>IF(M405="","",IFERROR(ROUND(AVERAGE(T405+M405*{7,8,9,10,11})/1.21,4),""))</f>
        <v/>
      </c>
      <c r="I405" s="76" t="n">
        <v>39.13999938964844</v>
      </c>
      <c r="J405" s="77" t="n">
        <v>38.78361961446905</v>
      </c>
      <c r="K405" s="74" t="n">
        <v>38.08049964904785</v>
      </c>
      <c r="L405" s="78" t="n">
        <v>34.56949981689453</v>
      </c>
      <c r="M405" s="77" t="n">
        <v>1.017688507845798</v>
      </c>
      <c r="N405" s="53">
        <f>IF(M405="","",IFERROR(M405/I405,""))</f>
        <v/>
      </c>
      <c r="O405" s="50">
        <f>IF(A405="","",IFERROR((IF(G405="",I405,G405)-T405)/M405,""))</f>
        <v/>
      </c>
      <c r="P405" s="50">
        <f>IFERROR((I405/T405-1)/N405,"")</f>
        <v/>
      </c>
      <c r="Q405" s="46">
        <f>IF(OR(T405="",I405&lt;T405),"",IFERROR(R405/IF(G405="",I405,G405)-1,""))</f>
        <v/>
      </c>
      <c r="R405" s="48">
        <f>IF($M405="","",MAX(IF($G405="",$I405,$G405)*(1/1.1),IF($G405="",$I405,$G405)+(R$2*$M405)))</f>
        <v/>
      </c>
      <c r="S405" s="49">
        <f>IF($M405="","",MAX(IF($G405="",$I405,$G405)*(1/1.1),IF($G405="",$I405,$G405)+(S$2*$M405)))</f>
        <v/>
      </c>
      <c r="T405" s="82" t="n">
        <v>37.80919975280761</v>
      </c>
      <c r="U405" s="47">
        <f>IF(OR($M405="",$T405=""),"",$T405+(U$2*$M405))</f>
        <v/>
      </c>
      <c r="V405" s="48">
        <f>IF(OR($M405="",$T405=""),"",$T405+(V$2*$M405))</f>
        <v/>
      </c>
      <c r="W405" s="48">
        <f>IF(OR($M405="",$T405=""),"",$T405+(W$2*$M405))</f>
        <v/>
      </c>
      <c r="X405" s="49">
        <f>IF(OR($M405="",$T405=""),"",$T405+(X$2*$M405))</f>
        <v/>
      </c>
      <c r="Y405" s="47">
        <f>IF(OR($M405="",$T405=""),"",$T405+(Y$2*$M405))</f>
        <v/>
      </c>
      <c r="Z405" s="49">
        <f>IF(OR($M405="",$T405=""),"",$T405+(Z$2*$M405))</f>
        <v/>
      </c>
      <c r="AA405" s="51">
        <f>IF(OR($M405="",$T405=""),"",$T405+(AA$2*$M405))</f>
        <v/>
      </c>
      <c r="AB405" s="48">
        <f>IF(OR($M405="",$T405=""),"",$T405+(AB$2*$M405))</f>
        <v/>
      </c>
      <c r="AC405" s="48">
        <f>IF(OR($M405="",$T405=""),"",$T405+(AC$2*$M405))</f>
        <v/>
      </c>
      <c r="AD405" s="48">
        <f>IF(OR($M405="",$T405=""),"",$T405+(AD$2*$M405))</f>
        <v/>
      </c>
      <c r="AE405" s="49">
        <f>IF(OR($M405="",$T405=""),"",$T405+(AE$2*$M405))</f>
        <v/>
      </c>
      <c r="AF405" s="52">
        <f>IF(OR(T405="",I405&lt;T405),"",IFERROR(AVERAGE(T405+M405*{7,8,9,10,11})/IF(G405="",I405,G405)-1,""))</f>
        <v/>
      </c>
      <c r="AG405" s="55">
        <f>IF(OR(T405="",I405&lt;T405),"",IFERROR(AF405/-(R405/IF(G405="",I405,G405)-1),""))</f>
        <v/>
      </c>
      <c r="AH405" s="94" t="n">
        <v>1</v>
      </c>
      <c r="AI405" s="94" t="n">
        <v>41.06110856051432</v>
      </c>
      <c r="AJ405" s="94" t="n">
        <v>1</v>
      </c>
      <c r="AK405" s="94" t="inlineStr">
        <is>
          <t>None</t>
        </is>
      </c>
      <c r="AL405" s="84" t="inlineStr">
        <is>
          <t>Standard Motor Products, Inc.</t>
        </is>
      </c>
      <c r="AM405" t="inlineStr">
        <is>
          <t>Consumer Cyclical</t>
        </is>
      </c>
      <c r="AN405" t="inlineStr">
        <is>
          <t>Auto Parts</t>
        </is>
      </c>
      <c r="AO405" t="n">
        <v>73</v>
      </c>
    </row>
    <row r="406">
      <c r="A406" s="64" t="inlineStr">
        <is>
          <t>GEF</t>
        </is>
      </c>
      <c r="B406" s="65" t="n"/>
      <c r="C406" s="66" t="n"/>
      <c r="D406" s="67" t="n"/>
      <c r="E406" s="68" t="n"/>
      <c r="F406" s="47">
        <f>IF(A406="","",IF(MIN(H406,MAX(J406:K406))=0,"",MIN(H406,MAX(J406:K406))))</f>
        <v/>
      </c>
      <c r="G406" s="74" t="n"/>
      <c r="H406" s="49">
        <f>IF(M406="","",IFERROR(ROUND(AVERAGE(T406+M406*{7,8,9,10,11})/1.21,4),""))</f>
        <v/>
      </c>
      <c r="I406" s="76" t="n">
        <v>71.90000152587891</v>
      </c>
      <c r="J406" s="77" t="n">
        <v>71.03896331607326</v>
      </c>
      <c r="K406" s="74" t="n">
        <v>70.09900016784668</v>
      </c>
      <c r="L406" s="78" t="n">
        <v>61.94870002746582</v>
      </c>
      <c r="M406" s="77" t="n">
        <v>1.576223063931678</v>
      </c>
      <c r="N406" s="53">
        <f>IF(M406="","",IFERROR(M406/I406,""))</f>
        <v/>
      </c>
      <c r="O406" s="50">
        <f>IF(A406="","",IFERROR((IF(G406="",I406,G406)-T406)/M406,""))</f>
        <v/>
      </c>
      <c r="P406" s="50">
        <f>IFERROR((I406/T406-1)/N406,"")</f>
        <v/>
      </c>
      <c r="Q406" s="46">
        <f>IF(OR(T406="",I406&lt;T406),"",IFERROR(R406/IF(G406="",I406,G406)-1,""))</f>
        <v/>
      </c>
      <c r="R406" s="48">
        <f>IF($M406="","",MAX(IF($G406="",$I406,$G406)*(1/1.1),IF($G406="",$I406,$G406)+(R$2*$M406)))</f>
        <v/>
      </c>
      <c r="S406" s="49">
        <f>IF($M406="","",MAX(IF($G406="",$I406,$G406)*(1/1.1),IF($G406="",$I406,$G406)+(S$2*$M406)))</f>
        <v/>
      </c>
      <c r="T406" s="82" t="n">
        <v>66.23360000610352</v>
      </c>
      <c r="U406" s="47">
        <f>IF(OR($M406="",$T406=""),"",$T406+(U$2*$M406))</f>
        <v/>
      </c>
      <c r="V406" s="48">
        <f>IF(OR($M406="",$T406=""),"",$T406+(V$2*$M406))</f>
        <v/>
      </c>
      <c r="W406" s="48">
        <f>IF(OR($M406="",$T406=""),"",$T406+(W$2*$M406))</f>
        <v/>
      </c>
      <c r="X406" s="49">
        <f>IF(OR($M406="",$T406=""),"",$T406+(X$2*$M406))</f>
        <v/>
      </c>
      <c r="Y406" s="47">
        <f>IF(OR($M406="",$T406=""),"",$T406+(Y$2*$M406))</f>
        <v/>
      </c>
      <c r="Z406" s="49">
        <f>IF(OR($M406="",$T406=""),"",$T406+(Z$2*$M406))</f>
        <v/>
      </c>
      <c r="AA406" s="51">
        <f>IF(OR($M406="",$T406=""),"",$T406+(AA$2*$M406))</f>
        <v/>
      </c>
      <c r="AB406" s="48">
        <f>IF(OR($M406="",$T406=""),"",$T406+(AB$2*$M406))</f>
        <v/>
      </c>
      <c r="AC406" s="48">
        <f>IF(OR($M406="",$T406=""),"",$T406+(AC$2*$M406))</f>
        <v/>
      </c>
      <c r="AD406" s="48">
        <f>IF(OR($M406="",$T406=""),"",$T406+(AD$2*$M406))</f>
        <v/>
      </c>
      <c r="AE406" s="49">
        <f>IF(OR($M406="",$T406=""),"",$T406+(AE$2*$M406))</f>
        <v/>
      </c>
      <c r="AF406" s="52">
        <f>IF(OR(T406="",I406&lt;T406),"",IFERROR(AVERAGE(T406+M406*{7,8,9,10,11})/IF(G406="",I406,G406)-1,""))</f>
        <v/>
      </c>
      <c r="AG406" s="55">
        <f>IF(OR(T406="",I406&lt;T406),"",IFERROR(AF406/-(R406/IF(G406="",I406,G406)-1),""))</f>
        <v/>
      </c>
      <c r="AH406" s="94" t="n">
        <v>1</v>
      </c>
      <c r="AI406" s="94" t="n">
        <v>96.92413626776283</v>
      </c>
      <c r="AJ406" s="94" t="n">
        <v>0</v>
      </c>
      <c r="AK406" s="94" t="inlineStr">
        <is>
          <t>OTT Up Trend</t>
        </is>
      </c>
      <c r="AL406" s="84" t="inlineStr">
        <is>
          <t>Greif Inc.</t>
        </is>
      </c>
      <c r="AM406" t="inlineStr">
        <is>
          <t>Consumer Cyclical</t>
        </is>
      </c>
      <c r="AN406" t="inlineStr">
        <is>
          <t>Packaging &amp; Containers</t>
        </is>
      </c>
      <c r="AO406" t="n">
        <v>73</v>
      </c>
    </row>
    <row r="407">
      <c r="A407" s="64" t="inlineStr">
        <is>
          <t>NOC</t>
        </is>
      </c>
      <c r="B407" s="65" t="n"/>
      <c r="C407" s="66" t="n"/>
      <c r="D407" s="67" t="n"/>
      <c r="E407" s="68" t="n"/>
      <c r="F407" s="47">
        <f>IF(A407="","",IF(MIN(H407,MAX(J407:K407))=0,"",MIN(H407,MAX(J407:K407))))</f>
        <v/>
      </c>
      <c r="G407" s="74" t="n"/>
      <c r="H407" s="49">
        <f>IF(M407="","",IFERROR(ROUND(AVERAGE(T407+M407*{7,8,9,10,11})/1.21,4),""))</f>
        <v/>
      </c>
      <c r="I407" s="76" t="n">
        <v>666.9000244140625</v>
      </c>
      <c r="J407" s="77" t="n">
        <v>628.8482157588076</v>
      </c>
      <c r="K407" s="74" t="n">
        <v>599.9330017089844</v>
      </c>
      <c r="L407" s="78" t="n">
        <v>551.1075993347168</v>
      </c>
      <c r="M407" s="77" t="n">
        <v>19.16722487602274</v>
      </c>
      <c r="N407" s="53">
        <f>IF(M407="","",IFERROR(M407/I407,""))</f>
        <v/>
      </c>
      <c r="O407" s="50">
        <f>IF(A407="","",IFERROR((IF(G407="",I407,G407)-T407)/M407,""))</f>
        <v/>
      </c>
      <c r="P407" s="50">
        <f>IFERROR((I407/T407-1)/N407,"")</f>
        <v/>
      </c>
      <c r="Q407" s="46">
        <f>IF(OR(T407="",I407&lt;T407),"",IFERROR(R407/IF(G407="",I407,G407)-1,""))</f>
        <v/>
      </c>
      <c r="R407" s="48">
        <f>IF($M407="","",MAX(IF($G407="",$I407,$G407)*(1/1.1),IF($G407="",$I407,$G407)+(R$2*$M407)))</f>
        <v/>
      </c>
      <c r="S407" s="49">
        <f>IF($M407="","",MAX(IF($G407="",$I407,$G407)*(1/1.1),IF($G407="",$I407,$G407)+(S$2*$M407)))</f>
        <v/>
      </c>
      <c r="T407" s="82" t="n">
        <v>577.2603979492187</v>
      </c>
      <c r="U407" s="47">
        <f>IF(OR($M407="",$T407=""),"",$T407+(U$2*$M407))</f>
        <v/>
      </c>
      <c r="V407" s="48">
        <f>IF(OR($M407="",$T407=""),"",$T407+(V$2*$M407))</f>
        <v/>
      </c>
      <c r="W407" s="48">
        <f>IF(OR($M407="",$T407=""),"",$T407+(W$2*$M407))</f>
        <v/>
      </c>
      <c r="X407" s="49">
        <f>IF(OR($M407="",$T407=""),"",$T407+(X$2*$M407))</f>
        <v/>
      </c>
      <c r="Y407" s="47">
        <f>IF(OR($M407="",$T407=""),"",$T407+(Y$2*$M407))</f>
        <v/>
      </c>
      <c r="Z407" s="49">
        <f>IF(OR($M407="",$T407=""),"",$T407+(Z$2*$M407))</f>
        <v/>
      </c>
      <c r="AA407" s="51">
        <f>IF(OR($M407="",$T407=""),"",$T407+(AA$2*$M407))</f>
        <v/>
      </c>
      <c r="AB407" s="48">
        <f>IF(OR($M407="",$T407=""),"",$T407+(AB$2*$M407))</f>
        <v/>
      </c>
      <c r="AC407" s="48">
        <f>IF(OR($M407="",$T407=""),"",$T407+(AC$2*$M407))</f>
        <v/>
      </c>
      <c r="AD407" s="48">
        <f>IF(OR($M407="",$T407=""),"",$T407+(AD$2*$M407))</f>
        <v/>
      </c>
      <c r="AE407" s="49">
        <f>IF(OR($M407="",$T407=""),"",$T407+(AE$2*$M407))</f>
        <v/>
      </c>
      <c r="AF407" s="52">
        <f>IF(OR(T407="",I407&lt;T407),"",IFERROR(AVERAGE(T407+M407*{7,8,9,10,11})/IF(G407="",I407,G407)-1,""))</f>
        <v/>
      </c>
      <c r="AG407" s="55">
        <f>IF(OR(T407="",I407&lt;T407),"",IFERROR(AF407/-(R407/IF(G407="",I407,G407)-1),""))</f>
        <v/>
      </c>
      <c r="AH407" s="94" t="n">
        <v>1</v>
      </c>
      <c r="AI407" s="94" t="n">
        <v>133.3604695216891</v>
      </c>
      <c r="AJ407" s="94" t="n">
        <v>1</v>
      </c>
      <c r="AK407" s="94" t="inlineStr">
        <is>
          <t>None</t>
        </is>
      </c>
      <c r="AL407" s="84" t="inlineStr">
        <is>
          <t>Northrop Grumman Corporation</t>
        </is>
      </c>
      <c r="AM407" t="inlineStr">
        <is>
          <t>Industrials</t>
        </is>
      </c>
      <c r="AN407" t="inlineStr">
        <is>
          <t>Aerospace &amp; Defense</t>
        </is>
      </c>
      <c r="AO407" t="n">
        <v>73</v>
      </c>
    </row>
    <row r="408">
      <c r="A408" s="64" t="inlineStr">
        <is>
          <t>SNEX</t>
        </is>
      </c>
      <c r="B408" s="65" t="n"/>
      <c r="C408" s="66" t="n"/>
      <c r="D408" s="67" t="n"/>
      <c r="E408" s="68" t="n"/>
      <c r="F408" s="47">
        <f>IF(A408="","",IF(MIN(H408,MAX(J408:K408))=0,"",MIN(H408,MAX(J408:K408))))</f>
        <v/>
      </c>
      <c r="G408" s="74" t="n"/>
      <c r="H408" s="49">
        <f>IF(M408="","",IFERROR(ROUND(AVERAGE(T408+M408*{7,8,9,10,11})/1.21,4),""))</f>
        <v/>
      </c>
      <c r="I408" s="76" t="n">
        <v>108.3000030517578</v>
      </c>
      <c r="J408" s="77" t="n">
        <v>103.4681544186175</v>
      </c>
      <c r="K408" s="74" t="n">
        <v>100.4110000610352</v>
      </c>
      <c r="L408" s="78" t="n">
        <v>92.24265007019044</v>
      </c>
      <c r="M408" s="77" t="n">
        <v>3.36606447452716</v>
      </c>
      <c r="N408" s="53">
        <f>IF(M408="","",IFERROR(M408/I408,""))</f>
        <v/>
      </c>
      <c r="O408" s="50">
        <f>IF(A408="","",IFERROR((IF(G408="",I408,G408)-T408)/M408,""))</f>
        <v/>
      </c>
      <c r="P408" s="50">
        <f>IFERROR((I408/T408-1)/N408,"")</f>
        <v/>
      </c>
      <c r="Q408" s="46">
        <f>IF(OR(T408="",I408&lt;T408),"",IFERROR(R408/IF(G408="",I408,G408)-1,""))</f>
        <v/>
      </c>
      <c r="R408" s="48">
        <f>IF($M408="","",MAX(IF($G408="",$I408,$G408)*(1/1.1),IF($G408="",$I408,$G408)+(R$2*$M408)))</f>
        <v/>
      </c>
      <c r="S408" s="49">
        <f>IF($M408="","",MAX(IF($G408="",$I408,$G408)*(1/1.1),IF($G408="",$I408,$G408)+(S$2*$M408)))</f>
        <v/>
      </c>
      <c r="T408" s="82" t="n">
        <v>94.50840011596679</v>
      </c>
      <c r="U408" s="47">
        <f>IF(OR($M408="",$T408=""),"",$T408+(U$2*$M408))</f>
        <v/>
      </c>
      <c r="V408" s="48">
        <f>IF(OR($M408="",$T408=""),"",$T408+(V$2*$M408))</f>
        <v/>
      </c>
      <c r="W408" s="48">
        <f>IF(OR($M408="",$T408=""),"",$T408+(W$2*$M408))</f>
        <v/>
      </c>
      <c r="X408" s="49">
        <f>IF(OR($M408="",$T408=""),"",$T408+(X$2*$M408))</f>
        <v/>
      </c>
      <c r="Y408" s="47">
        <f>IF(OR($M408="",$T408=""),"",$T408+(Y$2*$M408))</f>
        <v/>
      </c>
      <c r="Z408" s="49">
        <f>IF(OR($M408="",$T408=""),"",$T408+(Z$2*$M408))</f>
        <v/>
      </c>
      <c r="AA408" s="51">
        <f>IF(OR($M408="",$T408=""),"",$T408+(AA$2*$M408))</f>
        <v/>
      </c>
      <c r="AB408" s="48">
        <f>IF(OR($M408="",$T408=""),"",$T408+(AB$2*$M408))</f>
        <v/>
      </c>
      <c r="AC408" s="48">
        <f>IF(OR($M408="",$T408=""),"",$T408+(AC$2*$M408))</f>
        <v/>
      </c>
      <c r="AD408" s="48">
        <f>IF(OR($M408="",$T408=""),"",$T408+(AD$2*$M408))</f>
        <v/>
      </c>
      <c r="AE408" s="49">
        <f>IF(OR($M408="",$T408=""),"",$T408+(AE$2*$M408))</f>
        <v/>
      </c>
      <c r="AF408" s="52">
        <f>IF(OR(T408="",I408&lt;T408),"",IFERROR(AVERAGE(T408+M408*{7,8,9,10,11})/IF(G408="",I408,G408)-1,""))</f>
        <v/>
      </c>
      <c r="AG408" s="55">
        <f>IF(OR(T408="",I408&lt;T408),"",IFERROR(AF408/-(R408/IF(G408="",I408,G408)-1),""))</f>
        <v/>
      </c>
      <c r="AH408" s="94" t="n">
        <v>1</v>
      </c>
      <c r="AI408" s="94" t="n">
        <v>88.3502000887937</v>
      </c>
      <c r="AJ408" s="94" t="n">
        <v>1</v>
      </c>
      <c r="AK408" s="94" t="inlineStr">
        <is>
          <t>OTT Up Trend</t>
        </is>
      </c>
      <c r="AL408" s="84" t="inlineStr">
        <is>
          <t>StoneX Group Inc.</t>
        </is>
      </c>
      <c r="AM408" t="inlineStr">
        <is>
          <t>Financial Services</t>
        </is>
      </c>
      <c r="AN408" t="inlineStr">
        <is>
          <t>Capital Markets</t>
        </is>
      </c>
      <c r="AO408" t="n">
        <v>73</v>
      </c>
    </row>
    <row r="409">
      <c r="A409" s="64" t="inlineStr">
        <is>
          <t>VAL</t>
        </is>
      </c>
      <c r="B409" s="65" t="n"/>
      <c r="C409" s="66" t="n"/>
      <c r="D409" s="67" t="n"/>
      <c r="E409" s="68" t="n"/>
      <c r="F409" s="47">
        <f>IF(A409="","",IF(MIN(H409,MAX(J409:K409))=0,"",MIN(H409,MAX(J409:K409))))</f>
        <v/>
      </c>
      <c r="G409" s="74" t="n"/>
      <c r="H409" s="49">
        <f>IF(M409="","",IFERROR(ROUND(AVERAGE(T409+M409*{7,8,9,10,11})/1.21,4),""))</f>
        <v/>
      </c>
      <c r="I409" s="76" t="n">
        <v>53.9900016784668</v>
      </c>
      <c r="J409" s="77" t="n">
        <v>53.31809122115909</v>
      </c>
      <c r="K409" s="74" t="n">
        <v>51.6269998550415</v>
      </c>
      <c r="L409" s="78" t="n">
        <v>47.16239998817444</v>
      </c>
      <c r="M409" s="77" t="n">
        <v>2.04490607294217</v>
      </c>
      <c r="N409" s="53">
        <f>IF(M409="","",IFERROR(M409/I409,""))</f>
        <v/>
      </c>
      <c r="O409" s="50">
        <f>IF(A409="","",IFERROR((IF(G409="",I409,G409)-T409)/M409,""))</f>
        <v/>
      </c>
      <c r="P409" s="50">
        <f>IFERROR((I409/T409-1)/N409,"")</f>
        <v/>
      </c>
      <c r="Q409" s="46">
        <f>IF(OR(T409="",I409&lt;T409),"",IFERROR(R409/IF(G409="",I409,G409)-1,""))</f>
        <v/>
      </c>
      <c r="R409" s="48">
        <f>IF($M409="","",MAX(IF($G409="",$I409,$G409)*(1/1.1),IF($G409="",$I409,$G409)+(R$2*$M409)))</f>
        <v/>
      </c>
      <c r="S409" s="49">
        <f>IF($M409="","",MAX(IF($G409="",$I409,$G409)*(1/1.1),IF($G409="",$I409,$G409)+(S$2*$M409)))</f>
        <v/>
      </c>
      <c r="T409" s="82" t="n">
        <v>54.27699996948243</v>
      </c>
      <c r="U409" s="47">
        <f>IF(OR($M409="",$T409=""),"",$T409+(U$2*$M409))</f>
        <v/>
      </c>
      <c r="V409" s="48">
        <f>IF(OR($M409="",$T409=""),"",$T409+(V$2*$M409))</f>
        <v/>
      </c>
      <c r="W409" s="48">
        <f>IF(OR($M409="",$T409=""),"",$T409+(W$2*$M409))</f>
        <v/>
      </c>
      <c r="X409" s="49">
        <f>IF(OR($M409="",$T409=""),"",$T409+(X$2*$M409))</f>
        <v/>
      </c>
      <c r="Y409" s="47">
        <f>IF(OR($M409="",$T409=""),"",$T409+(Y$2*$M409))</f>
        <v/>
      </c>
      <c r="Z409" s="49">
        <f>IF(OR($M409="",$T409=""),"",$T409+(Z$2*$M409))</f>
        <v/>
      </c>
      <c r="AA409" s="51">
        <f>IF(OR($M409="",$T409=""),"",$T409+(AA$2*$M409))</f>
        <v/>
      </c>
      <c r="AB409" s="48">
        <f>IF(OR($M409="",$T409=""),"",$T409+(AB$2*$M409))</f>
        <v/>
      </c>
      <c r="AC409" s="48">
        <f>IF(OR($M409="",$T409=""),"",$T409+(AC$2*$M409))</f>
        <v/>
      </c>
      <c r="AD409" s="48">
        <f>IF(OR($M409="",$T409=""),"",$T409+(AD$2*$M409))</f>
        <v/>
      </c>
      <c r="AE409" s="49">
        <f>IF(OR($M409="",$T409=""),"",$T409+(AE$2*$M409))</f>
        <v/>
      </c>
      <c r="AF409" s="52">
        <f>IF(OR(T409="",I409&lt;T409),"",IFERROR(AVERAGE(T409+M409*{7,8,9,10,11})/IF(G409="",I409,G409)-1,""))</f>
        <v/>
      </c>
      <c r="AG409" s="55">
        <f>IF(OR(T409="",I409&lt;T409),"",IFERROR(AF409/-(R409/IF(G409="",I409,G409)-1),""))</f>
        <v/>
      </c>
      <c r="AH409" s="94" t="n">
        <v>-1</v>
      </c>
      <c r="AI409" s="94" t="n">
        <v>5.1383709655756</v>
      </c>
      <c r="AJ409" s="94" t="n">
        <v>1</v>
      </c>
      <c r="AK409" s="94" t="inlineStr">
        <is>
          <t>None</t>
        </is>
      </c>
      <c r="AL409" s="84" t="inlineStr">
        <is>
          <t>Valaris Limited</t>
        </is>
      </c>
      <c r="AM409" t="inlineStr">
        <is>
          <t>Energy</t>
        </is>
      </c>
      <c r="AN409" t="inlineStr">
        <is>
          <t>Oil &amp; Gas Equipment &amp; Services</t>
        </is>
      </c>
      <c r="AO409" t="n">
        <v>73</v>
      </c>
    </row>
    <row r="410">
      <c r="A410" s="64" t="inlineStr">
        <is>
          <t>NWE</t>
        </is>
      </c>
      <c r="B410" s="65" t="n"/>
      <c r="C410" s="66" t="n"/>
      <c r="D410" s="67" t="n"/>
      <c r="E410" s="68" t="n"/>
      <c r="F410" s="47">
        <f>IF(A410="","",IF(MIN(H410,MAX(J410:K410))=0,"",MIN(H410,MAX(J410:K410))))</f>
        <v/>
      </c>
      <c r="G410" s="74" t="n"/>
      <c r="H410" s="49">
        <f>IF(M410="","",IFERROR(ROUND(AVERAGE(T410+M410*{7,8,9,10,11})/1.21,4),""))</f>
        <v/>
      </c>
      <c r="I410" s="76" t="n">
        <v>68.70999908447266</v>
      </c>
      <c r="J410" s="77" t="n">
        <v>66.89058676206771</v>
      </c>
      <c r="K410" s="74" t="n">
        <v>65.45750026702881</v>
      </c>
      <c r="L410" s="78" t="n">
        <v>58.41649997711182</v>
      </c>
      <c r="M410" s="77" t="n">
        <v>1.40941431204592</v>
      </c>
      <c r="N410" s="53">
        <f>IF(M410="","",IFERROR(M410/I410,""))</f>
        <v/>
      </c>
      <c r="O410" s="50">
        <f>IF(A410="","",IFERROR((IF(G410="",I410,G410)-T410)/M410,""))</f>
        <v/>
      </c>
      <c r="P410" s="50">
        <f>IFERROR((I410/T410-1)/N410,"")</f>
        <v/>
      </c>
      <c r="Q410" s="46">
        <f>IF(OR(T410="",I410&lt;T410),"",IFERROR(R410/IF(G410="",I410,G410)-1,""))</f>
        <v/>
      </c>
      <c r="R410" s="48">
        <f>IF($M410="","",MAX(IF($G410="",$I410,$G410)*(1/1.1),IF($G410="",$I410,$G410)+(R$2*$M410)))</f>
        <v/>
      </c>
      <c r="S410" s="49">
        <f>IF($M410="","",MAX(IF($G410="",$I410,$G410)*(1/1.1),IF($G410="",$I410,$G410)+(S$2*$M410)))</f>
        <v/>
      </c>
      <c r="T410" s="82" t="n">
        <v>65.88359985351562</v>
      </c>
      <c r="U410" s="47">
        <f>IF(OR($M410="",$T410=""),"",$T410+(U$2*$M410))</f>
        <v/>
      </c>
      <c r="V410" s="48">
        <f>IF(OR($M410="",$T410=""),"",$T410+(V$2*$M410))</f>
        <v/>
      </c>
      <c r="W410" s="48">
        <f>IF(OR($M410="",$T410=""),"",$T410+(W$2*$M410))</f>
        <v/>
      </c>
      <c r="X410" s="49">
        <f>IF(OR($M410="",$T410=""),"",$T410+(X$2*$M410))</f>
        <v/>
      </c>
      <c r="Y410" s="47">
        <f>IF(OR($M410="",$T410=""),"",$T410+(Y$2*$M410))</f>
        <v/>
      </c>
      <c r="Z410" s="49">
        <f>IF(OR($M410="",$T410=""),"",$T410+(Z$2*$M410))</f>
        <v/>
      </c>
      <c r="AA410" s="51">
        <f>IF(OR($M410="",$T410=""),"",$T410+(AA$2*$M410))</f>
        <v/>
      </c>
      <c r="AB410" s="48">
        <f>IF(OR($M410="",$T410=""),"",$T410+(AB$2*$M410))</f>
        <v/>
      </c>
      <c r="AC410" s="48">
        <f>IF(OR($M410="",$T410=""),"",$T410+(AC$2*$M410))</f>
        <v/>
      </c>
      <c r="AD410" s="48">
        <f>IF(OR($M410="",$T410=""),"",$T410+(AD$2*$M410))</f>
        <v/>
      </c>
      <c r="AE410" s="49">
        <f>IF(OR($M410="",$T410=""),"",$T410+(AE$2*$M410))</f>
        <v/>
      </c>
      <c r="AF410" s="52">
        <f>IF(OR(T410="",I410&lt;T410),"",IFERROR(AVERAGE(T410+M410*{7,8,9,10,11})/IF(G410="",I410,G410)-1,""))</f>
        <v/>
      </c>
      <c r="AG410" s="55">
        <f>IF(OR(T410="",I410&lt;T410),"",IFERROR(AF410/-(R410/IF(G410="",I410,G410)-1),""))</f>
        <v/>
      </c>
      <c r="AH410" s="94" t="n">
        <v>1</v>
      </c>
      <c r="AI410" s="94" t="n">
        <v>50.80820524328965</v>
      </c>
      <c r="AJ410" s="94" t="n">
        <v>1</v>
      </c>
      <c r="AK410" s="94" t="inlineStr">
        <is>
          <t>OTT Up Trend</t>
        </is>
      </c>
      <c r="AL410" s="84" t="inlineStr">
        <is>
          <t>NorthWestern Energy Group, Inc.</t>
        </is>
      </c>
      <c r="AM410" t="inlineStr">
        <is>
          <t>Utilities</t>
        </is>
      </c>
      <c r="AN410" t="inlineStr">
        <is>
          <t>Utilities - Regulated Electric</t>
        </is>
      </c>
      <c r="AO410" t="n">
        <v>73</v>
      </c>
    </row>
    <row r="411">
      <c r="A411" s="64" t="inlineStr">
        <is>
          <t>LXP</t>
        </is>
      </c>
      <c r="B411" s="65" t="n"/>
      <c r="C411" s="66" t="n"/>
      <c r="D411" s="67" t="n"/>
      <c r="E411" s="68" t="n"/>
      <c r="F411" s="47">
        <f>IF(A411="","",IF(MIN(H411,MAX(J411:K411))=0,"",MIN(H411,MAX(J411:K411))))</f>
        <v/>
      </c>
      <c r="G411" s="74" t="n"/>
      <c r="H411" s="49">
        <f>IF(M411="","",IFERROR(ROUND(AVERAGE(T411+M411*{7,8,9,10,11})/1.21,4),""))</f>
        <v/>
      </c>
      <c r="I411" s="76" t="n">
        <v>51.27999877929688</v>
      </c>
      <c r="J411" s="77" t="n">
        <v>50.39610033704184</v>
      </c>
      <c r="K411" s="74" t="n">
        <v>50.29700012207032</v>
      </c>
      <c r="L411" s="78" t="n">
        <v>44.38494998931885</v>
      </c>
      <c r="M411" s="77" t="n">
        <v>0.9411709095497857</v>
      </c>
      <c r="N411" s="53">
        <f>IF(M411="","",IFERROR(M411/I411,""))</f>
        <v/>
      </c>
      <c r="O411" s="50">
        <f>IF(A411="","",IFERROR((IF(G411="",I411,G411)-T411)/M411,""))</f>
        <v/>
      </c>
      <c r="P411" s="50">
        <f>IFERROR((I411/T411-1)/N411,"")</f>
        <v/>
      </c>
      <c r="Q411" s="46">
        <f>IF(OR(T411="",I411&lt;T411),"",IFERROR(R411/IF(G411="",I411,G411)-1,""))</f>
        <v/>
      </c>
      <c r="R411" s="48">
        <f>IF($M411="","",MAX(IF($G411="",$I411,$G411)*(1/1.1),IF($G411="",$I411,$G411)+(R$2*$M411)))</f>
        <v/>
      </c>
      <c r="S411" s="49">
        <f>IF($M411="","",MAX(IF($G411="",$I411,$G411)*(1/1.1),IF($G411="",$I411,$G411)+(S$2*$M411)))</f>
        <v/>
      </c>
      <c r="T411" s="82" t="n">
        <v>48.93279998779297</v>
      </c>
      <c r="U411" s="47">
        <f>IF(OR($M411="",$T411=""),"",$T411+(U$2*$M411))</f>
        <v/>
      </c>
      <c r="V411" s="48">
        <f>IF(OR($M411="",$T411=""),"",$T411+(V$2*$M411))</f>
        <v/>
      </c>
      <c r="W411" s="48">
        <f>IF(OR($M411="",$T411=""),"",$T411+(W$2*$M411))</f>
        <v/>
      </c>
      <c r="X411" s="49">
        <f>IF(OR($M411="",$T411=""),"",$T411+(X$2*$M411))</f>
        <v/>
      </c>
      <c r="Y411" s="47">
        <f>IF(OR($M411="",$T411=""),"",$T411+(Y$2*$M411))</f>
        <v/>
      </c>
      <c r="Z411" s="49">
        <f>IF(OR($M411="",$T411=""),"",$T411+(Z$2*$M411))</f>
        <v/>
      </c>
      <c r="AA411" s="51">
        <f>IF(OR($M411="",$T411=""),"",$T411+(AA$2*$M411))</f>
        <v/>
      </c>
      <c r="AB411" s="48">
        <f>IF(OR($M411="",$T411=""),"",$T411+(AB$2*$M411))</f>
        <v/>
      </c>
      <c r="AC411" s="48">
        <f>IF(OR($M411="",$T411=""),"",$T411+(AC$2*$M411))</f>
        <v/>
      </c>
      <c r="AD411" s="48">
        <f>IF(OR($M411="",$T411=""),"",$T411+(AD$2*$M411))</f>
        <v/>
      </c>
      <c r="AE411" s="49">
        <f>IF(OR($M411="",$T411=""),"",$T411+(AE$2*$M411))</f>
        <v/>
      </c>
      <c r="AF411" s="52">
        <f>IF(OR(T411="",I411&lt;T411),"",IFERROR(AVERAGE(T411+M411*{7,8,9,10,11})/IF(G411="",I411,G411)-1,""))</f>
        <v/>
      </c>
      <c r="AG411" s="55">
        <f>IF(OR(T411="",I411&lt;T411),"",IFERROR(AF411/-(R411/IF(G411="",I411,G411)-1),""))</f>
        <v/>
      </c>
      <c r="AH411" s="94" t="n">
        <v>1</v>
      </c>
      <c r="AI411" s="94" t="n">
        <v>40.70890328370649</v>
      </c>
      <c r="AJ411" s="94" t="n">
        <v>0</v>
      </c>
      <c r="AK411" s="94" t="inlineStr">
        <is>
          <t>OTT Up Trend</t>
        </is>
      </c>
      <c r="AL411" s="84" t="inlineStr">
        <is>
          <t>LXP Industrial Trust</t>
        </is>
      </c>
      <c r="AM411" t="inlineStr">
        <is>
          <t>Real Estate</t>
        </is>
      </c>
      <c r="AN411" t="inlineStr">
        <is>
          <t>REIT - Industrial</t>
        </is>
      </c>
      <c r="AO411" t="n">
        <v>72</v>
      </c>
    </row>
    <row r="412">
      <c r="A412" s="64" t="inlineStr">
        <is>
          <t>ZWS</t>
        </is>
      </c>
      <c r="B412" s="65" t="n"/>
      <c r="C412" s="66" t="n"/>
      <c r="D412" s="67" t="n"/>
      <c r="E412" s="68" t="n"/>
      <c r="F412" s="47">
        <f>IF(A412="","",IF(MIN(H412,MAX(J412:K412))=0,"",MIN(H412,MAX(J412:K412))))</f>
        <v/>
      </c>
      <c r="G412" s="74" t="n"/>
      <c r="H412" s="49">
        <f>IF(M412="","",IFERROR(ROUND(AVERAGE(T412+M412*{7,8,9,10,11})/1.21,4),""))</f>
        <v/>
      </c>
      <c r="I412" s="76" t="n">
        <v>47.27000045776367</v>
      </c>
      <c r="J412" s="77" t="n">
        <v>46.72141587945158</v>
      </c>
      <c r="K412" s="74" t="n">
        <v>46.97850017547607</v>
      </c>
      <c r="L412" s="78" t="n">
        <v>41.89409993171692</v>
      </c>
      <c r="M412" s="77" t="n">
        <v>0.9683857018256935</v>
      </c>
      <c r="N412" s="53">
        <f>IF(M412="","",IFERROR(M412/I412,""))</f>
        <v/>
      </c>
      <c r="O412" s="50">
        <f>IF(A412="","",IFERROR((IF(G412="",I412,G412)-T412)/M412,""))</f>
        <v/>
      </c>
      <c r="P412" s="50">
        <f>IFERROR((I412/T412-1)/N412,"")</f>
        <v/>
      </c>
      <c r="Q412" s="46">
        <f>IF(OR(T412="",I412&lt;T412),"",IFERROR(R412/IF(G412="",I412,G412)-1,""))</f>
        <v/>
      </c>
      <c r="R412" s="48">
        <f>IF($M412="","",MAX(IF($G412="",$I412,$G412)*(1/1.1),IF($G412="",$I412,$G412)+(R$2*$M412)))</f>
        <v/>
      </c>
      <c r="S412" s="49">
        <f>IF($M412="","",MAX(IF($G412="",$I412,$G412)*(1/1.1),IF($G412="",$I412,$G412)+(S$2*$M412)))</f>
        <v/>
      </c>
      <c r="T412" s="82" t="n">
        <v>46.97900001525879</v>
      </c>
      <c r="U412" s="47">
        <f>IF(OR($M412="",$T412=""),"",$T412+(U$2*$M412))</f>
        <v/>
      </c>
      <c r="V412" s="48">
        <f>IF(OR($M412="",$T412=""),"",$T412+(V$2*$M412))</f>
        <v/>
      </c>
      <c r="W412" s="48">
        <f>IF(OR($M412="",$T412=""),"",$T412+(W$2*$M412))</f>
        <v/>
      </c>
      <c r="X412" s="49">
        <f>IF(OR($M412="",$T412=""),"",$T412+(X$2*$M412))</f>
        <v/>
      </c>
      <c r="Y412" s="47">
        <f>IF(OR($M412="",$T412=""),"",$T412+(Y$2*$M412))</f>
        <v/>
      </c>
      <c r="Z412" s="49">
        <f>IF(OR($M412="",$T412=""),"",$T412+(Z$2*$M412))</f>
        <v/>
      </c>
      <c r="AA412" s="51">
        <f>IF(OR($M412="",$T412=""),"",$T412+(AA$2*$M412))</f>
        <v/>
      </c>
      <c r="AB412" s="48">
        <f>IF(OR($M412="",$T412=""),"",$T412+(AB$2*$M412))</f>
        <v/>
      </c>
      <c r="AC412" s="48">
        <f>IF(OR($M412="",$T412=""),"",$T412+(AC$2*$M412))</f>
        <v/>
      </c>
      <c r="AD412" s="48">
        <f>IF(OR($M412="",$T412=""),"",$T412+(AD$2*$M412))</f>
        <v/>
      </c>
      <c r="AE412" s="49">
        <f>IF(OR($M412="",$T412=""),"",$T412+(AE$2*$M412))</f>
        <v/>
      </c>
      <c r="AF412" s="52">
        <f>IF(OR(T412="",I412&lt;T412),"",IFERROR(AVERAGE(T412+M412*{7,8,9,10,11})/IF(G412="",I412,G412)-1,""))</f>
        <v/>
      </c>
      <c r="AG412" s="55">
        <f>IF(OR(T412="",I412&lt;T412),"",IFERROR(AF412/-(R412/IF(G412="",I412,G412)-1),""))</f>
        <v/>
      </c>
      <c r="AH412" s="94" t="n">
        <v>-1</v>
      </c>
      <c r="AI412" s="94" t="n">
        <v>-10.96928122465411</v>
      </c>
      <c r="AJ412" s="94" t="n">
        <v>1</v>
      </c>
      <c r="AK412" s="94" t="inlineStr">
        <is>
          <t>None</t>
        </is>
      </c>
      <c r="AL412" s="84" t="inlineStr">
        <is>
          <t>Zurn Elkay Water Solutions Corp</t>
        </is>
      </c>
      <c r="AM412" t="inlineStr">
        <is>
          <t>Industrials</t>
        </is>
      </c>
      <c r="AN412" t="inlineStr">
        <is>
          <t>Pollution &amp; Treatment Controls</t>
        </is>
      </c>
      <c r="AO412" t="n">
        <v>72</v>
      </c>
    </row>
    <row r="413">
      <c r="A413" s="64" t="inlineStr">
        <is>
          <t>AZTA</t>
        </is>
      </c>
      <c r="B413" s="65" t="n"/>
      <c r="C413" s="66" t="n"/>
      <c r="D413" s="67" t="n"/>
      <c r="E413" s="68" t="n"/>
      <c r="F413" s="47">
        <f>IF(A413="","",IF(MIN(H413,MAX(J413:K413))=0,"",MIN(H413,MAX(J413:K413))))</f>
        <v/>
      </c>
      <c r="G413" s="74" t="n"/>
      <c r="H413" s="49">
        <f>IF(M413="","",IFERROR(ROUND(AVERAGE(T413+M413*{7,8,9,10,11})/1.21,4),""))</f>
        <v/>
      </c>
      <c r="I413" s="76" t="n">
        <v>40</v>
      </c>
      <c r="J413" s="77" t="n">
        <v>38.17222310392376</v>
      </c>
      <c r="K413" s="74" t="n">
        <v>36.20099964141846</v>
      </c>
      <c r="L413" s="78" t="n">
        <v>31.00374990463257</v>
      </c>
      <c r="M413" s="77" t="n">
        <v>1.241632301739094</v>
      </c>
      <c r="N413" s="53">
        <f>IF(M413="","",IFERROR(M413/I413,""))</f>
        <v/>
      </c>
      <c r="O413" s="50">
        <f>IF(A413="","",IFERROR((IF(G413="",I413,G413)-T413)/M413,""))</f>
        <v/>
      </c>
      <c r="P413" s="50">
        <f>IFERROR((I413/T413-1)/N413,"")</f>
        <v/>
      </c>
      <c r="Q413" s="46">
        <f>IF(OR(T413="",I413&lt;T413),"",IFERROR(R413/IF(G413="",I413,G413)-1,""))</f>
        <v/>
      </c>
      <c r="R413" s="48">
        <f>IF($M413="","",MAX(IF($G413="",$I413,$G413)*(1/1.1),IF($G413="",$I413,$G413)+(R$2*$M413)))</f>
        <v/>
      </c>
      <c r="S413" s="49">
        <f>IF($M413="","",MAX(IF($G413="",$I413,$G413)*(1/1.1),IF($G413="",$I413,$G413)+(S$2*$M413)))</f>
        <v/>
      </c>
      <c r="T413" s="82" t="n">
        <v>34.49619987487793</v>
      </c>
      <c r="U413" s="47">
        <f>IF(OR($M413="",$T413=""),"",$T413+(U$2*$M413))</f>
        <v/>
      </c>
      <c r="V413" s="48">
        <f>IF(OR($M413="",$T413=""),"",$T413+(V$2*$M413))</f>
        <v/>
      </c>
      <c r="W413" s="48">
        <f>IF(OR($M413="",$T413=""),"",$T413+(W$2*$M413))</f>
        <v/>
      </c>
      <c r="X413" s="49">
        <f>IF(OR($M413="",$T413=""),"",$T413+(X$2*$M413))</f>
        <v/>
      </c>
      <c r="Y413" s="47">
        <f>IF(OR($M413="",$T413=""),"",$T413+(Y$2*$M413))</f>
        <v/>
      </c>
      <c r="Z413" s="49">
        <f>IF(OR($M413="",$T413=""),"",$T413+(Z$2*$M413))</f>
        <v/>
      </c>
      <c r="AA413" s="51">
        <f>IF(OR($M413="",$T413=""),"",$T413+(AA$2*$M413))</f>
        <v/>
      </c>
      <c r="AB413" s="48">
        <f>IF(OR($M413="",$T413=""),"",$T413+(AB$2*$M413))</f>
        <v/>
      </c>
      <c r="AC413" s="48">
        <f>IF(OR($M413="",$T413=""),"",$T413+(AC$2*$M413))</f>
        <v/>
      </c>
      <c r="AD413" s="48">
        <f>IF(OR($M413="",$T413=""),"",$T413+(AD$2*$M413))</f>
        <v/>
      </c>
      <c r="AE413" s="49">
        <f>IF(OR($M413="",$T413=""),"",$T413+(AE$2*$M413))</f>
        <v/>
      </c>
      <c r="AF413" s="52">
        <f>IF(OR(T413="",I413&lt;T413),"",IFERROR(AVERAGE(T413+M413*{7,8,9,10,11})/IF(G413="",I413,G413)-1,""))</f>
        <v/>
      </c>
      <c r="AG413" s="55">
        <f>IF(OR(T413="",I413&lt;T413),"",IFERROR(AF413/-(R413/IF(G413="",I413,G413)-1),""))</f>
        <v/>
      </c>
      <c r="AH413" s="94" t="n">
        <v>1</v>
      </c>
      <c r="AI413" s="94" t="n">
        <v>108.8664317081626</v>
      </c>
      <c r="AJ413" s="94" t="n">
        <v>1</v>
      </c>
      <c r="AK413" s="94" t="inlineStr">
        <is>
          <t>OTT Up Trend</t>
        </is>
      </c>
      <c r="AL413" s="84" t="inlineStr">
        <is>
          <t>Azenta, Inc.</t>
        </is>
      </c>
      <c r="AM413" t="inlineStr">
        <is>
          <t>Healthcare</t>
        </is>
      </c>
      <c r="AN413" t="inlineStr">
        <is>
          <t>Medical Instruments &amp; Supplies</t>
        </is>
      </c>
      <c r="AO413" t="n">
        <v>72</v>
      </c>
    </row>
    <row r="414">
      <c r="A414" s="64" t="inlineStr">
        <is>
          <t>GD</t>
        </is>
      </c>
      <c r="B414" s="65" t="n"/>
      <c r="C414" s="66" t="n"/>
      <c r="D414" s="67" t="n"/>
      <c r="E414" s="68" t="n"/>
      <c r="F414" s="47">
        <f>IF(A414="","",IF(MIN(H414,MAX(J414:K414))=0,"",MIN(H414,MAX(J414:K414))))</f>
        <v/>
      </c>
      <c r="G414" s="74" t="n"/>
      <c r="H414" s="49">
        <f>IF(M414="","",IFERROR(ROUND(AVERAGE(T414+M414*{7,8,9,10,11})/1.21,4),""))</f>
        <v/>
      </c>
      <c r="I414" s="76" t="n">
        <v>367.3800048828125</v>
      </c>
      <c r="J414" s="77" t="n">
        <v>359.5625650900753</v>
      </c>
      <c r="K414" s="74" t="n">
        <v>350.3440017700195</v>
      </c>
      <c r="L414" s="78" t="n">
        <v>313.6246999359131</v>
      </c>
      <c r="M414" s="77" t="n">
        <v>7.323891904736446</v>
      </c>
      <c r="N414" s="53">
        <f>IF(M414="","",IFERROR(M414/I414,""))</f>
        <v/>
      </c>
      <c r="O414" s="50">
        <f>IF(A414="","",IFERROR((IF(G414="",I414,G414)-T414)/M414,""))</f>
        <v/>
      </c>
      <c r="P414" s="50">
        <f>IFERROR((I414/T414-1)/N414,"")</f>
        <v/>
      </c>
      <c r="Q414" s="46">
        <f>IF(OR(T414="",I414&lt;T414),"",IFERROR(R414/IF(G414="",I414,G414)-1,""))</f>
        <v/>
      </c>
      <c r="R414" s="48">
        <f>IF($M414="","",MAX(IF($G414="",$I414,$G414)*(1/1.1),IF($G414="",$I414,$G414)+(R$2*$M414)))</f>
        <v/>
      </c>
      <c r="S414" s="49">
        <f>IF($M414="","",MAX(IF($G414="",$I414,$G414)*(1/1.1),IF($G414="",$I414,$G414)+(S$2*$M414)))</f>
        <v/>
      </c>
      <c r="T414" s="82" t="n">
        <v>344.6844012451172</v>
      </c>
      <c r="U414" s="47">
        <f>IF(OR($M414="",$T414=""),"",$T414+(U$2*$M414))</f>
        <v/>
      </c>
      <c r="V414" s="48">
        <f>IF(OR($M414="",$T414=""),"",$T414+(V$2*$M414))</f>
        <v/>
      </c>
      <c r="W414" s="48">
        <f>IF(OR($M414="",$T414=""),"",$T414+(W$2*$M414))</f>
        <v/>
      </c>
      <c r="X414" s="49">
        <f>IF(OR($M414="",$T414=""),"",$T414+(X$2*$M414))</f>
        <v/>
      </c>
      <c r="Y414" s="47">
        <f>IF(OR($M414="",$T414=""),"",$T414+(Y$2*$M414))</f>
        <v/>
      </c>
      <c r="Z414" s="49">
        <f>IF(OR($M414="",$T414=""),"",$T414+(Z$2*$M414))</f>
        <v/>
      </c>
      <c r="AA414" s="51">
        <f>IF(OR($M414="",$T414=""),"",$T414+(AA$2*$M414))</f>
        <v/>
      </c>
      <c r="AB414" s="48">
        <f>IF(OR($M414="",$T414=""),"",$T414+(AB$2*$M414))</f>
        <v/>
      </c>
      <c r="AC414" s="48">
        <f>IF(OR($M414="",$T414=""),"",$T414+(AC$2*$M414))</f>
        <v/>
      </c>
      <c r="AD414" s="48">
        <f>IF(OR($M414="",$T414=""),"",$T414+(AD$2*$M414))</f>
        <v/>
      </c>
      <c r="AE414" s="49">
        <f>IF(OR($M414="",$T414=""),"",$T414+(AE$2*$M414))</f>
        <v/>
      </c>
      <c r="AF414" s="52">
        <f>IF(OR(T414="",I414&lt;T414),"",IFERROR(AVERAGE(T414+M414*{7,8,9,10,11})/IF(G414="",I414,G414)-1,""))</f>
        <v/>
      </c>
      <c r="AG414" s="55">
        <f>IF(OR(T414="",I414&lt;T414),"",IFERROR(AF414/-(R414/IF(G414="",I414,G414)-1),""))</f>
        <v/>
      </c>
      <c r="AH414" s="94" t="n">
        <v>1</v>
      </c>
      <c r="AI414" s="94" t="n">
        <v>99.60037299113796</v>
      </c>
      <c r="AJ414" s="94" t="n">
        <v>1</v>
      </c>
      <c r="AK414" s="94" t="inlineStr">
        <is>
          <t>OTT Up Trend</t>
        </is>
      </c>
      <c r="AL414" s="84" t="inlineStr">
        <is>
          <t>General Dynamics Corporation</t>
        </is>
      </c>
      <c r="AM414" t="inlineStr">
        <is>
          <t>Industrials</t>
        </is>
      </c>
      <c r="AN414" t="inlineStr">
        <is>
          <t>Aerospace &amp; Defense</t>
        </is>
      </c>
      <c r="AO414" t="n">
        <v>72</v>
      </c>
    </row>
    <row r="415">
      <c r="A415" s="64" t="inlineStr">
        <is>
          <t>TKO</t>
        </is>
      </c>
      <c r="B415" s="65" t="n"/>
      <c r="C415" s="66" t="n"/>
      <c r="D415" s="67" t="n"/>
      <c r="E415" s="68" t="n"/>
      <c r="F415" s="47">
        <f>IF(A415="","",IF(MIN(H415,MAX(J415:K415))=0,"",MIN(H415,MAX(J415:K415))))</f>
        <v/>
      </c>
      <c r="G415" s="74" t="n"/>
      <c r="H415" s="49">
        <f>IF(M415="","",IFERROR(ROUND(AVERAGE(T415+M415*{7,8,9,10,11})/1.21,4),""))</f>
        <v/>
      </c>
      <c r="I415" s="76" t="n">
        <v>203.2700042724609</v>
      </c>
      <c r="J415" s="77" t="n">
        <v>205.6781518253041</v>
      </c>
      <c r="K415" s="74" t="n">
        <v>208.8540000915527</v>
      </c>
      <c r="L415" s="78" t="n">
        <v>180.9302502441406</v>
      </c>
      <c r="M415" s="77" t="n">
        <v>5.146690113985691</v>
      </c>
      <c r="N415" s="53">
        <f>IF(M415="","",IFERROR(M415/I415,""))</f>
        <v/>
      </c>
      <c r="O415" s="50">
        <f>IF(A415="","",IFERROR((IF(G415="",I415,G415)-T415)/M415,""))</f>
        <v/>
      </c>
      <c r="P415" s="50">
        <f>IFERROR((I415/T415-1)/N415,"")</f>
        <v/>
      </c>
      <c r="Q415" s="46">
        <f>IF(OR(T415="",I415&lt;T415),"",IFERROR(R415/IF(G415="",I415,G415)-1,""))</f>
        <v/>
      </c>
      <c r="R415" s="48">
        <f>IF($M415="","",MAX(IF($G415="",$I415,$G415)*(1/1.1),IF($G415="",$I415,$G415)+(R$2*$M415)))</f>
        <v/>
      </c>
      <c r="S415" s="49">
        <f>IF($M415="","",MAX(IF($G415="",$I415,$G415)*(1/1.1),IF($G415="",$I415,$G415)+(S$2*$M415)))</f>
        <v/>
      </c>
      <c r="T415" s="82" t="n">
        <v>198.6545989990234</v>
      </c>
      <c r="U415" s="47">
        <f>IF(OR($M415="",$T415=""),"",$T415+(U$2*$M415))</f>
        <v/>
      </c>
      <c r="V415" s="48">
        <f>IF(OR($M415="",$T415=""),"",$T415+(V$2*$M415))</f>
        <v/>
      </c>
      <c r="W415" s="48">
        <f>IF(OR($M415="",$T415=""),"",$T415+(W$2*$M415))</f>
        <v/>
      </c>
      <c r="X415" s="49">
        <f>IF(OR($M415="",$T415=""),"",$T415+(X$2*$M415))</f>
        <v/>
      </c>
      <c r="Y415" s="47">
        <f>IF(OR($M415="",$T415=""),"",$T415+(Y$2*$M415))</f>
        <v/>
      </c>
      <c r="Z415" s="49">
        <f>IF(OR($M415="",$T415=""),"",$T415+(Z$2*$M415))</f>
        <v/>
      </c>
      <c r="AA415" s="51">
        <f>IF(OR($M415="",$T415=""),"",$T415+(AA$2*$M415))</f>
        <v/>
      </c>
      <c r="AB415" s="48">
        <f>IF(OR($M415="",$T415=""),"",$T415+(AB$2*$M415))</f>
        <v/>
      </c>
      <c r="AC415" s="48">
        <f>IF(OR($M415="",$T415=""),"",$T415+(AC$2*$M415))</f>
        <v/>
      </c>
      <c r="AD415" s="48">
        <f>IF(OR($M415="",$T415=""),"",$T415+(AD$2*$M415))</f>
        <v/>
      </c>
      <c r="AE415" s="49">
        <f>IF(OR($M415="",$T415=""),"",$T415+(AE$2*$M415))</f>
        <v/>
      </c>
      <c r="AF415" s="52">
        <f>IF(OR(T415="",I415&lt;T415),"",IFERROR(AVERAGE(T415+M415*{7,8,9,10,11})/IF(G415="",I415,G415)-1,""))</f>
        <v/>
      </c>
      <c r="AG415" s="55">
        <f>IF(OR(T415="",I415&lt;T415),"",IFERROR(AF415/-(R415/IF(G415="",I415,G415)-1),""))</f>
        <v/>
      </c>
      <c r="AH415" s="94" t="n">
        <v>-1</v>
      </c>
      <c r="AI415" s="94" t="n">
        <v>16.24611354107044</v>
      </c>
      <c r="AJ415" s="94" t="n">
        <v>0</v>
      </c>
      <c r="AK415" s="94" t="inlineStr">
        <is>
          <t>None</t>
        </is>
      </c>
      <c r="AL415" s="84" t="inlineStr">
        <is>
          <t>TKO Group Holdings, Inc.</t>
        </is>
      </c>
      <c r="AM415" t="inlineStr">
        <is>
          <t>Communication Services</t>
        </is>
      </c>
      <c r="AN415" t="inlineStr">
        <is>
          <t>Entertainment</t>
        </is>
      </c>
      <c r="AO415" t="n">
        <v>72</v>
      </c>
    </row>
    <row r="416">
      <c r="A416" s="64" t="inlineStr">
        <is>
          <t>EWBC</t>
        </is>
      </c>
      <c r="B416" s="65" t="n"/>
      <c r="C416" s="66" t="n"/>
      <c r="D416" s="67" t="n"/>
      <c r="E416" s="68" t="n"/>
      <c r="F416" s="47">
        <f>IF(A416="","",IF(MIN(H416,MAX(J416:K416))=0,"",MIN(H416,MAX(J416:K416))))</f>
        <v/>
      </c>
      <c r="G416" s="74" t="n"/>
      <c r="H416" s="49">
        <f>IF(M416="","",IFERROR(ROUND(AVERAGE(T416+M416*{7,8,9,10,11})/1.21,4),""))</f>
        <v/>
      </c>
      <c r="I416" s="76" t="n">
        <v>115.2300033569336</v>
      </c>
      <c r="J416" s="77" t="n">
        <v>115.519971878852</v>
      </c>
      <c r="K416" s="74" t="n">
        <v>115.4769996643066</v>
      </c>
      <c r="L416" s="78" t="n">
        <v>101.0489498138428</v>
      </c>
      <c r="M416" s="77" t="n">
        <v>2.438057350576659</v>
      </c>
      <c r="N416" s="53">
        <f>IF(M416="","",IFERROR(M416/I416,""))</f>
        <v/>
      </c>
      <c r="O416" s="50">
        <f>IF(A416="","",IFERROR((IF(G416="",I416,G416)-T416)/M416,""))</f>
        <v/>
      </c>
      <c r="P416" s="50">
        <f>IFERROR((I416/T416-1)/N416,"")</f>
        <v/>
      </c>
      <c r="Q416" s="46">
        <f>IF(OR(T416="",I416&lt;T416),"",IFERROR(R416/IF(G416="",I416,G416)-1,""))</f>
        <v/>
      </c>
      <c r="R416" s="48">
        <f>IF($M416="","",MAX(IF($G416="",$I416,$G416)*(1/1.1),IF($G416="",$I416,$G416)+(R$2*$M416)))</f>
        <v/>
      </c>
      <c r="S416" s="49">
        <f>IF($M416="","",MAX(IF($G416="",$I416,$G416)*(1/1.1),IF($G416="",$I416,$G416)+(S$2*$M416)))</f>
        <v/>
      </c>
      <c r="T416" s="82" t="n">
        <v>110.3989996337891</v>
      </c>
      <c r="U416" s="47">
        <f>IF(OR($M416="",$T416=""),"",$T416+(U$2*$M416))</f>
        <v/>
      </c>
      <c r="V416" s="48">
        <f>IF(OR($M416="",$T416=""),"",$T416+(V$2*$M416))</f>
        <v/>
      </c>
      <c r="W416" s="48">
        <f>IF(OR($M416="",$T416=""),"",$T416+(W$2*$M416))</f>
        <v/>
      </c>
      <c r="X416" s="49">
        <f>IF(OR($M416="",$T416=""),"",$T416+(X$2*$M416))</f>
        <v/>
      </c>
      <c r="Y416" s="47">
        <f>IF(OR($M416="",$T416=""),"",$T416+(Y$2*$M416))</f>
        <v/>
      </c>
      <c r="Z416" s="49">
        <f>IF(OR($M416="",$T416=""),"",$T416+(Z$2*$M416))</f>
        <v/>
      </c>
      <c r="AA416" s="51">
        <f>IF(OR($M416="",$T416=""),"",$T416+(AA$2*$M416))</f>
        <v/>
      </c>
      <c r="AB416" s="48">
        <f>IF(OR($M416="",$T416=""),"",$T416+(AB$2*$M416))</f>
        <v/>
      </c>
      <c r="AC416" s="48">
        <f>IF(OR($M416="",$T416=""),"",$T416+(AC$2*$M416))</f>
        <v/>
      </c>
      <c r="AD416" s="48">
        <f>IF(OR($M416="",$T416=""),"",$T416+(AD$2*$M416))</f>
        <v/>
      </c>
      <c r="AE416" s="49">
        <f>IF(OR($M416="",$T416=""),"",$T416+(AE$2*$M416))</f>
        <v/>
      </c>
      <c r="AF416" s="52">
        <f>IF(OR(T416="",I416&lt;T416),"",IFERROR(AVERAGE(T416+M416*{7,8,9,10,11})/IF(G416="",I416,G416)-1,""))</f>
        <v/>
      </c>
      <c r="AG416" s="55">
        <f>IF(OR(T416="",I416&lt;T416),"",IFERROR(AF416/-(R416/IF(G416="",I416,G416)-1),""))</f>
        <v/>
      </c>
      <c r="AH416" s="94" t="n">
        <v>1</v>
      </c>
      <c r="AI416" s="94" t="n">
        <v>51.49289936738283</v>
      </c>
      <c r="AJ416" s="94" t="n">
        <v>0</v>
      </c>
      <c r="AK416" s="94" t="inlineStr">
        <is>
          <t>OTT Up Trend</t>
        </is>
      </c>
      <c r="AL416" s="84" t="inlineStr">
        <is>
          <t>East West Bancorp, Inc.</t>
        </is>
      </c>
      <c r="AM416" t="inlineStr">
        <is>
          <t>Financial Services</t>
        </is>
      </c>
      <c r="AN416" t="inlineStr">
        <is>
          <t>Banks - Regional</t>
        </is>
      </c>
      <c r="AO416" t="n">
        <v>72</v>
      </c>
    </row>
    <row r="417">
      <c r="A417" s="64" t="inlineStr">
        <is>
          <t>BKH</t>
        </is>
      </c>
      <c r="B417" s="65" t="n"/>
      <c r="C417" s="66" t="n"/>
      <c r="D417" s="67" t="n"/>
      <c r="E417" s="68" t="n"/>
      <c r="F417" s="47">
        <f>IF(A417="","",IF(MIN(H417,MAX(J417:K417))=0,"",MIN(H417,MAX(J417:K417))))</f>
        <v/>
      </c>
      <c r="G417" s="74" t="n"/>
      <c r="H417" s="49">
        <f>IF(M417="","",IFERROR(ROUND(AVERAGE(T417+M417*{7,8,9,10,11})/1.21,4),""))</f>
        <v/>
      </c>
      <c r="I417" s="76" t="n">
        <v>73.33999633789062</v>
      </c>
      <c r="J417" s="77" t="n">
        <v>71.55539214485115</v>
      </c>
      <c r="K417" s="74" t="n">
        <v>70.20099983215331</v>
      </c>
      <c r="L417" s="78" t="n">
        <v>62.15974992752075</v>
      </c>
      <c r="M417" s="77" t="n">
        <v>1.504135768073985</v>
      </c>
      <c r="N417" s="53">
        <f>IF(M417="","",IFERROR(M417/I417,""))</f>
        <v/>
      </c>
      <c r="O417" s="50">
        <f>IF(A417="","",IFERROR((IF(G417="",I417,G417)-T417)/M417,""))</f>
        <v/>
      </c>
      <c r="P417" s="50">
        <f>IFERROR((I417/T417-1)/N417,"")</f>
        <v/>
      </c>
      <c r="Q417" s="46">
        <f>IF(OR(T417="",I417&lt;T417),"",IFERROR(R417/IF(G417="",I417,G417)-1,""))</f>
        <v/>
      </c>
      <c r="R417" s="48">
        <f>IF($M417="","",MAX(IF($G417="",$I417,$G417)*(1/1.1),IF($G417="",$I417,$G417)+(R$2*$M417)))</f>
        <v/>
      </c>
      <c r="S417" s="49">
        <f>IF($M417="","",MAX(IF($G417="",$I417,$G417)*(1/1.1),IF($G417="",$I417,$G417)+(S$2*$M417)))</f>
        <v/>
      </c>
      <c r="T417" s="82" t="n">
        <v>70.52739974975586</v>
      </c>
      <c r="U417" s="47">
        <f>IF(OR($M417="",$T417=""),"",$T417+(U$2*$M417))</f>
        <v/>
      </c>
      <c r="V417" s="48">
        <f>IF(OR($M417="",$T417=""),"",$T417+(V$2*$M417))</f>
        <v/>
      </c>
      <c r="W417" s="48">
        <f>IF(OR($M417="",$T417=""),"",$T417+(W$2*$M417))</f>
        <v/>
      </c>
      <c r="X417" s="49">
        <f>IF(OR($M417="",$T417=""),"",$T417+(X$2*$M417))</f>
        <v/>
      </c>
      <c r="Y417" s="47">
        <f>IF(OR($M417="",$T417=""),"",$T417+(Y$2*$M417))</f>
        <v/>
      </c>
      <c r="Z417" s="49">
        <f>IF(OR($M417="",$T417=""),"",$T417+(Z$2*$M417))</f>
        <v/>
      </c>
      <c r="AA417" s="51">
        <f>IF(OR($M417="",$T417=""),"",$T417+(AA$2*$M417))</f>
        <v/>
      </c>
      <c r="AB417" s="48">
        <f>IF(OR($M417="",$T417=""),"",$T417+(AB$2*$M417))</f>
        <v/>
      </c>
      <c r="AC417" s="48">
        <f>IF(OR($M417="",$T417=""),"",$T417+(AC$2*$M417))</f>
        <v/>
      </c>
      <c r="AD417" s="48">
        <f>IF(OR($M417="",$T417=""),"",$T417+(AD$2*$M417))</f>
        <v/>
      </c>
      <c r="AE417" s="49">
        <f>IF(OR($M417="",$T417=""),"",$T417+(AE$2*$M417))</f>
        <v/>
      </c>
      <c r="AF417" s="52">
        <f>IF(OR(T417="",I417&lt;T417),"",IFERROR(AVERAGE(T417+M417*{7,8,9,10,11})/IF(G417="",I417,G417)-1,""))</f>
        <v/>
      </c>
      <c r="AG417" s="55">
        <f>IF(OR(T417="",I417&lt;T417),"",IFERROR(AF417/-(R417/IF(G417="",I417,G417)-1),""))</f>
        <v/>
      </c>
      <c r="AH417" s="94" t="n">
        <v>1</v>
      </c>
      <c r="AI417" s="94" t="n">
        <v>48.63853049930922</v>
      </c>
      <c r="AJ417" s="94" t="n">
        <v>1</v>
      </c>
      <c r="AK417" s="94" t="inlineStr">
        <is>
          <t>OTT Up Trend</t>
        </is>
      </c>
      <c r="AL417" s="84" t="inlineStr">
        <is>
          <t>Black Hills Corporation</t>
        </is>
      </c>
      <c r="AM417" t="inlineStr">
        <is>
          <t>Utilities</t>
        </is>
      </c>
      <c r="AN417" t="inlineStr">
        <is>
          <t>Utilities - Regulated Gas</t>
        </is>
      </c>
      <c r="AO417" t="n">
        <v>72</v>
      </c>
    </row>
    <row r="418">
      <c r="A418" s="64" t="inlineStr">
        <is>
          <t>TSLA</t>
        </is>
      </c>
      <c r="B418" s="65" t="n"/>
      <c r="C418" s="66" t="n"/>
      <c r="D418" s="67" t="n"/>
      <c r="E418" s="68" t="n"/>
      <c r="F418" s="47">
        <f>IF(A418="","",IF(MIN(H418,MAX(J418:K418))=0,"",MIN(H418,MAX(J418:K418))))</f>
        <v/>
      </c>
      <c r="G418" s="74" t="n"/>
      <c r="H418" s="49">
        <f>IF(M418="","",IFERROR(ROUND(AVERAGE(T418+M418*{7,8,9,10,11})/1.21,4),""))</f>
        <v/>
      </c>
      <c r="I418" s="76" t="n">
        <v>437.5</v>
      </c>
      <c r="J418" s="77" t="n">
        <v>443.2856753356884</v>
      </c>
      <c r="K418" s="74" t="n">
        <v>455.4795028686523</v>
      </c>
      <c r="L418" s="78" t="n">
        <v>369.1239003753662</v>
      </c>
      <c r="M418" s="77" t="n">
        <v>14.87497560838285</v>
      </c>
      <c r="N418" s="53">
        <f>IF(M418="","",IFERROR(M418/I418,""))</f>
        <v/>
      </c>
      <c r="O418" s="50">
        <f>IF(A418="","",IFERROR((IF(G418="",I418,G418)-T418)/M418,""))</f>
        <v/>
      </c>
      <c r="P418" s="50">
        <f>IFERROR((I418/T418-1)/N418,"")</f>
        <v/>
      </c>
      <c r="Q418" s="46">
        <f>IF(OR(T418="",I418&lt;T418),"",IFERROR(R418/IF(G418="",I418,G418)-1,""))</f>
        <v/>
      </c>
      <c r="R418" s="48">
        <f>IF($M418="","",MAX(IF($G418="",$I418,$G418)*(1/1.1),IF($G418="",$I418,$G418)+(R$2*$M418)))</f>
        <v/>
      </c>
      <c r="S418" s="49">
        <f>IF($M418="","",MAX(IF($G418="",$I418,$G418)*(1/1.1),IF($G418="",$I418,$G418)+(S$2*$M418)))</f>
        <v/>
      </c>
      <c r="T418" s="82" t="n">
        <v>443.0688018798828</v>
      </c>
      <c r="U418" s="47">
        <f>IF(OR($M418="",$T418=""),"",$T418+(U$2*$M418))</f>
        <v/>
      </c>
      <c r="V418" s="48">
        <f>IF(OR($M418="",$T418=""),"",$T418+(V$2*$M418))</f>
        <v/>
      </c>
      <c r="W418" s="48">
        <f>IF(OR($M418="",$T418=""),"",$T418+(W$2*$M418))</f>
        <v/>
      </c>
      <c r="X418" s="49">
        <f>IF(OR($M418="",$T418=""),"",$T418+(X$2*$M418))</f>
        <v/>
      </c>
      <c r="Y418" s="47">
        <f>IF(OR($M418="",$T418=""),"",$T418+(Y$2*$M418))</f>
        <v/>
      </c>
      <c r="Z418" s="49">
        <f>IF(OR($M418="",$T418=""),"",$T418+(Z$2*$M418))</f>
        <v/>
      </c>
      <c r="AA418" s="51">
        <f>IF(OR($M418="",$T418=""),"",$T418+(AA$2*$M418))</f>
        <v/>
      </c>
      <c r="AB418" s="48">
        <f>IF(OR($M418="",$T418=""),"",$T418+(AB$2*$M418))</f>
        <v/>
      </c>
      <c r="AC418" s="48">
        <f>IF(OR($M418="",$T418=""),"",$T418+(AC$2*$M418))</f>
        <v/>
      </c>
      <c r="AD418" s="48">
        <f>IF(OR($M418="",$T418=""),"",$T418+(AD$2*$M418))</f>
        <v/>
      </c>
      <c r="AE418" s="49">
        <f>IF(OR($M418="",$T418=""),"",$T418+(AE$2*$M418))</f>
        <v/>
      </c>
      <c r="AF418" s="52">
        <f>IF(OR(T418="",I418&lt;T418),"",IFERROR(AVERAGE(T418+M418*{7,8,9,10,11})/IF(G418="",I418,G418)-1,""))</f>
        <v/>
      </c>
      <c r="AG418" s="55">
        <f>IF(OR(T418="",I418&lt;T418),"",IFERROR(AF418/-(R418/IF(G418="",I418,G418)-1),""))</f>
        <v/>
      </c>
      <c r="AH418" s="94" t="n">
        <v>-1</v>
      </c>
      <c r="AI418" s="94" t="n">
        <v>-21.62105077705185</v>
      </c>
      <c r="AJ418" s="94" t="n">
        <v>0</v>
      </c>
      <c r="AK418" s="94" t="inlineStr">
        <is>
          <t>None</t>
        </is>
      </c>
      <c r="AL418" s="84" t="inlineStr">
        <is>
          <t>Tesla, Inc.</t>
        </is>
      </c>
      <c r="AM418" t="inlineStr">
        <is>
          <t>Consumer Cyclical</t>
        </is>
      </c>
      <c r="AN418" t="inlineStr">
        <is>
          <t>Auto Manufacturers</t>
        </is>
      </c>
      <c r="AO418" t="n">
        <v>72</v>
      </c>
    </row>
    <row r="419">
      <c r="A419" s="64" t="inlineStr">
        <is>
          <t>THC</t>
        </is>
      </c>
      <c r="B419" s="65" t="n"/>
      <c r="C419" s="66" t="n"/>
      <c r="D419" s="67" t="n"/>
      <c r="E419" s="68" t="n"/>
      <c r="F419" s="47">
        <f>IF(A419="","",IF(MIN(H419,MAX(J419:K419))=0,"",MIN(H419,MAX(J419:K419))))</f>
        <v/>
      </c>
      <c r="G419" s="74" t="n"/>
      <c r="H419" s="49">
        <f>IF(M419="","",IFERROR(ROUND(AVERAGE(T419+M419*{7,8,9,10,11})/1.21,4),""))</f>
        <v/>
      </c>
      <c r="I419" s="76" t="n">
        <v>196.7400054931641</v>
      </c>
      <c r="J419" s="77" t="n">
        <v>199.7076395387242</v>
      </c>
      <c r="K419" s="74" t="n">
        <v>200.1080009460449</v>
      </c>
      <c r="L419" s="78" t="n">
        <v>178.506300163269</v>
      </c>
      <c r="M419" s="77" t="n">
        <v>5.634951174194374</v>
      </c>
      <c r="N419" s="53">
        <f>IF(M419="","",IFERROR(M419/I419,""))</f>
        <v/>
      </c>
      <c r="O419" s="50">
        <f>IF(A419="","",IFERROR((IF(G419="",I419,G419)-T419)/M419,""))</f>
        <v/>
      </c>
      <c r="P419" s="50">
        <f>IFERROR((I419/T419-1)/N419,"")</f>
        <v/>
      </c>
      <c r="Q419" s="46">
        <f>IF(OR(T419="",I419&lt;T419),"",IFERROR(R419/IF(G419="",I419,G419)-1,""))</f>
        <v/>
      </c>
      <c r="R419" s="48">
        <f>IF($M419="","",MAX(IF($G419="",$I419,$G419)*(1/1.1),IF($G419="",$I419,$G419)+(R$2*$M419)))</f>
        <v/>
      </c>
      <c r="S419" s="49">
        <f>IF($M419="","",MAX(IF($G419="",$I419,$G419)*(1/1.1),IF($G419="",$I419,$G419)+(S$2*$M419)))</f>
        <v/>
      </c>
      <c r="T419" s="82" t="n">
        <v>201.6796005249024</v>
      </c>
      <c r="U419" s="47">
        <f>IF(OR($M419="",$T419=""),"",$T419+(U$2*$M419))</f>
        <v/>
      </c>
      <c r="V419" s="48">
        <f>IF(OR($M419="",$T419=""),"",$T419+(V$2*$M419))</f>
        <v/>
      </c>
      <c r="W419" s="48">
        <f>IF(OR($M419="",$T419=""),"",$T419+(W$2*$M419))</f>
        <v/>
      </c>
      <c r="X419" s="49">
        <f>IF(OR($M419="",$T419=""),"",$T419+(X$2*$M419))</f>
        <v/>
      </c>
      <c r="Y419" s="47">
        <f>IF(OR($M419="",$T419=""),"",$T419+(Y$2*$M419))</f>
        <v/>
      </c>
      <c r="Z419" s="49">
        <f>IF(OR($M419="",$T419=""),"",$T419+(Z$2*$M419))</f>
        <v/>
      </c>
      <c r="AA419" s="51">
        <f>IF(OR($M419="",$T419=""),"",$T419+(AA$2*$M419))</f>
        <v/>
      </c>
      <c r="AB419" s="48">
        <f>IF(OR($M419="",$T419=""),"",$T419+(AB$2*$M419))</f>
        <v/>
      </c>
      <c r="AC419" s="48">
        <f>IF(OR($M419="",$T419=""),"",$T419+(AC$2*$M419))</f>
        <v/>
      </c>
      <c r="AD419" s="48">
        <f>IF(OR($M419="",$T419=""),"",$T419+(AD$2*$M419))</f>
        <v/>
      </c>
      <c r="AE419" s="49">
        <f>IF(OR($M419="",$T419=""),"",$T419+(AE$2*$M419))</f>
        <v/>
      </c>
      <c r="AF419" s="52">
        <f>IF(OR(T419="",I419&lt;T419),"",IFERROR(AVERAGE(T419+M419*{7,8,9,10,11})/IF(G419="",I419,G419)-1,""))</f>
        <v/>
      </c>
      <c r="AG419" s="55">
        <f>IF(OR(T419="",I419&lt;T419),"",IFERROR(AF419/-(R419/IF(G419="",I419,G419)-1),""))</f>
        <v/>
      </c>
      <c r="AH419" s="94" t="n">
        <v>-1</v>
      </c>
      <c r="AI419" s="94" t="n">
        <v>-13.67014048491334</v>
      </c>
      <c r="AJ419" s="94" t="n">
        <v>0</v>
      </c>
      <c r="AK419" s="94" t="inlineStr">
        <is>
          <t>None</t>
        </is>
      </c>
      <c r="AL419" s="84" t="inlineStr">
        <is>
          <t>Tenet Healthcare Corporation</t>
        </is>
      </c>
      <c r="AM419" t="inlineStr">
        <is>
          <t>Healthcare</t>
        </is>
      </c>
      <c r="AN419" t="inlineStr">
        <is>
          <t>Medical Care Facilities</t>
        </is>
      </c>
      <c r="AO419" t="n">
        <v>72</v>
      </c>
    </row>
    <row r="420">
      <c r="A420" s="64" t="inlineStr">
        <is>
          <t>BIIB</t>
        </is>
      </c>
      <c r="B420" s="65" t="n"/>
      <c r="C420" s="66" t="n"/>
      <c r="D420" s="67" t="n"/>
      <c r="E420" s="68" t="n"/>
      <c r="F420" s="47">
        <f>IF(A420="","",IF(MIN(H420,MAX(J420:K420))=0,"",MIN(H420,MAX(J420:K420))))</f>
        <v/>
      </c>
      <c r="G420" s="74" t="n"/>
      <c r="H420" s="49">
        <f>IF(M420="","",IFERROR(ROUND(AVERAGE(T420+M420*{7,8,9,10,11})/1.21,4),""))</f>
        <v/>
      </c>
      <c r="I420" s="76" t="n">
        <v>164.4199981689453</v>
      </c>
      <c r="J420" s="77" t="n">
        <v>175.0057202579068</v>
      </c>
      <c r="K420" s="74" t="n">
        <v>176.9340019226074</v>
      </c>
      <c r="L420" s="78" t="n">
        <v>143.310100402832</v>
      </c>
      <c r="M420" s="77" t="n">
        <v>5.471956123998081</v>
      </c>
      <c r="N420" s="53">
        <f>IF(M420="","",IFERROR(M420/I420,""))</f>
        <v/>
      </c>
      <c r="O420" s="50">
        <f>IF(A420="","",IFERROR((IF(G420="",I420,G420)-T420)/M420,""))</f>
        <v/>
      </c>
      <c r="P420" s="50">
        <f>IFERROR((I420/T420-1)/N420,"")</f>
        <v/>
      </c>
      <c r="Q420" s="46">
        <f>IF(OR(T420="",I420&lt;T420),"",IFERROR(R420/IF(G420="",I420,G420)-1,""))</f>
        <v/>
      </c>
      <c r="R420" s="48">
        <f>IF($M420="","",MAX(IF($G420="",$I420,$G420)*(1/1.1),IF($G420="",$I420,$G420)+(R$2*$M420)))</f>
        <v/>
      </c>
      <c r="S420" s="49">
        <f>IF($M420="","",MAX(IF($G420="",$I420,$G420)*(1/1.1),IF($G420="",$I420,$G420)+(S$2*$M420)))</f>
        <v/>
      </c>
      <c r="T420" s="82" t="n">
        <v>173.6686004638672</v>
      </c>
      <c r="U420" s="47">
        <f>IF(OR($M420="",$T420=""),"",$T420+(U$2*$M420))</f>
        <v/>
      </c>
      <c r="V420" s="48">
        <f>IF(OR($M420="",$T420=""),"",$T420+(V$2*$M420))</f>
        <v/>
      </c>
      <c r="W420" s="48">
        <f>IF(OR($M420="",$T420=""),"",$T420+(W$2*$M420))</f>
        <v/>
      </c>
      <c r="X420" s="49">
        <f>IF(OR($M420="",$T420=""),"",$T420+(X$2*$M420))</f>
        <v/>
      </c>
      <c r="Y420" s="47">
        <f>IF(OR($M420="",$T420=""),"",$T420+(Y$2*$M420))</f>
        <v/>
      </c>
      <c r="Z420" s="49">
        <f>IF(OR($M420="",$T420=""),"",$T420+(Z$2*$M420))</f>
        <v/>
      </c>
      <c r="AA420" s="51">
        <f>IF(OR($M420="",$T420=""),"",$T420+(AA$2*$M420))</f>
        <v/>
      </c>
      <c r="AB420" s="48">
        <f>IF(OR($M420="",$T420=""),"",$T420+(AB$2*$M420))</f>
        <v/>
      </c>
      <c r="AC420" s="48">
        <f>IF(OR($M420="",$T420=""),"",$T420+(AC$2*$M420))</f>
        <v/>
      </c>
      <c r="AD420" s="48">
        <f>IF(OR($M420="",$T420=""),"",$T420+(AD$2*$M420))</f>
        <v/>
      </c>
      <c r="AE420" s="49">
        <f>IF(OR($M420="",$T420=""),"",$T420+(AE$2*$M420))</f>
        <v/>
      </c>
      <c r="AF420" s="52">
        <f>IF(OR(T420="",I420&lt;T420),"",IFERROR(AVERAGE(T420+M420*{7,8,9,10,11})/IF(G420="",I420,G420)-1,""))</f>
        <v/>
      </c>
      <c r="AG420" s="55">
        <f>IF(OR(T420="",I420&lt;T420),"",IFERROR(AF420/-(R420/IF(G420="",I420,G420)-1),""))</f>
        <v/>
      </c>
      <c r="AH420" s="94" t="n">
        <v>-1</v>
      </c>
      <c r="AI420" s="94" t="n">
        <v>-2.281925346438914</v>
      </c>
      <c r="AJ420" s="94" t="n">
        <v>0</v>
      </c>
      <c r="AK420" s="94" t="inlineStr">
        <is>
          <t>None</t>
        </is>
      </c>
      <c r="AL420" s="84" t="inlineStr">
        <is>
          <t>Biogen Inc.</t>
        </is>
      </c>
      <c r="AM420" t="inlineStr">
        <is>
          <t>Healthcare</t>
        </is>
      </c>
      <c r="AN420" t="inlineStr">
        <is>
          <t>Drug Manufacturers - General</t>
        </is>
      </c>
      <c r="AO420" t="n">
        <v>72</v>
      </c>
    </row>
    <row r="421">
      <c r="A421" s="64" t="inlineStr">
        <is>
          <t>OPCH</t>
        </is>
      </c>
      <c r="B421" s="65" t="n"/>
      <c r="C421" s="66" t="n"/>
      <c r="D421" s="67" t="n"/>
      <c r="E421" s="68" t="n"/>
      <c r="F421" s="47">
        <f>IF(A421="","",IF(MIN(H421,MAX(J421:K421))=0,"",MIN(H421,MAX(J421:K421))))</f>
        <v/>
      </c>
      <c r="G421" s="74" t="n"/>
      <c r="H421" s="49">
        <f>IF(M421="","",IFERROR(ROUND(AVERAGE(T421+M421*{7,8,9,10,11})/1.21,4),""))</f>
        <v/>
      </c>
      <c r="I421" s="76" t="n">
        <v>36.02999877929688</v>
      </c>
      <c r="J421" s="77" t="n">
        <v>34.1147236322055</v>
      </c>
      <c r="K421" s="74" t="n">
        <v>32.91649990081787</v>
      </c>
      <c r="L421" s="78" t="n">
        <v>30.33870008468628</v>
      </c>
      <c r="M421" s="77" t="n">
        <v>0.9999685795187035</v>
      </c>
      <c r="N421" s="53">
        <f>IF(M421="","",IFERROR(M421/I421,""))</f>
        <v/>
      </c>
      <c r="O421" s="50">
        <f>IF(A421="","",IFERROR((IF(G421="",I421,G421)-T421)/M421,""))</f>
        <v/>
      </c>
      <c r="P421" s="50">
        <f>IFERROR((I421/T421-1)/N421,"")</f>
        <v/>
      </c>
      <c r="Q421" s="46">
        <f>IF(OR(T421="",I421&lt;T421),"",IFERROR(R421/IF(G421="",I421,G421)-1,""))</f>
        <v/>
      </c>
      <c r="R421" s="48">
        <f>IF($M421="","",MAX(IF($G421="",$I421,$G421)*(1/1.1),IF($G421="",$I421,$G421)+(R$2*$M421)))</f>
        <v/>
      </c>
      <c r="S421" s="49">
        <f>IF($M421="","",MAX(IF($G421="",$I421,$G421)*(1/1.1),IF($G421="",$I421,$G421)+(S$2*$M421)))</f>
        <v/>
      </c>
      <c r="T421" s="82" t="n">
        <v>31.23080017089844</v>
      </c>
      <c r="U421" s="47">
        <f>IF(OR($M421="",$T421=""),"",$T421+(U$2*$M421))</f>
        <v/>
      </c>
      <c r="V421" s="48">
        <f>IF(OR($M421="",$T421=""),"",$T421+(V$2*$M421))</f>
        <v/>
      </c>
      <c r="W421" s="48">
        <f>IF(OR($M421="",$T421=""),"",$T421+(W$2*$M421))</f>
        <v/>
      </c>
      <c r="X421" s="49">
        <f>IF(OR($M421="",$T421=""),"",$T421+(X$2*$M421))</f>
        <v/>
      </c>
      <c r="Y421" s="47">
        <f>IF(OR($M421="",$T421=""),"",$T421+(Y$2*$M421))</f>
        <v/>
      </c>
      <c r="Z421" s="49">
        <f>IF(OR($M421="",$T421=""),"",$T421+(Z$2*$M421))</f>
        <v/>
      </c>
      <c r="AA421" s="51">
        <f>IF(OR($M421="",$T421=""),"",$T421+(AA$2*$M421))</f>
        <v/>
      </c>
      <c r="AB421" s="48">
        <f>IF(OR($M421="",$T421=""),"",$T421+(AB$2*$M421))</f>
        <v/>
      </c>
      <c r="AC421" s="48">
        <f>IF(OR($M421="",$T421=""),"",$T421+(AC$2*$M421))</f>
        <v/>
      </c>
      <c r="AD421" s="48">
        <f>IF(OR($M421="",$T421=""),"",$T421+(AD$2*$M421))</f>
        <v/>
      </c>
      <c r="AE421" s="49">
        <f>IF(OR($M421="",$T421=""),"",$T421+(AE$2*$M421))</f>
        <v/>
      </c>
      <c r="AF421" s="52">
        <f>IF(OR(T421="",I421&lt;T421),"",IFERROR(AVERAGE(T421+M421*{7,8,9,10,11})/IF(G421="",I421,G421)-1,""))</f>
        <v/>
      </c>
      <c r="AG421" s="55">
        <f>IF(OR(T421="",I421&lt;T421),"",IFERROR(AF421/-(R421/IF(G421="",I421,G421)-1),""))</f>
        <v/>
      </c>
      <c r="AH421" s="94" t="n">
        <v>1</v>
      </c>
      <c r="AI421" s="94" t="n">
        <v>110.3655398541569</v>
      </c>
      <c r="AJ421" s="94" t="n">
        <v>1</v>
      </c>
      <c r="AK421" s="94" t="inlineStr">
        <is>
          <t>OTT Up Trend</t>
        </is>
      </c>
      <c r="AL421" s="84" t="inlineStr">
        <is>
          <t>Option Care Health, Inc.</t>
        </is>
      </c>
      <c r="AM421" t="inlineStr">
        <is>
          <t>Healthcare</t>
        </is>
      </c>
      <c r="AN421" t="inlineStr">
        <is>
          <t>Medical Care Facilities</t>
        </is>
      </c>
      <c r="AO421" t="n">
        <v>72</v>
      </c>
    </row>
    <row r="422">
      <c r="A422" s="64" t="inlineStr">
        <is>
          <t>TMP</t>
        </is>
      </c>
      <c r="B422" s="65" t="n"/>
      <c r="C422" s="66" t="n"/>
      <c r="D422" s="67" t="n"/>
      <c r="E422" s="68" t="n"/>
      <c r="F422" s="47">
        <f>IF(A422="","",IF(MIN(H422,MAX(J422:K422))=0,"",MIN(H422,MAX(J422:K422))))</f>
        <v/>
      </c>
      <c r="G422" s="74" t="n"/>
      <c r="H422" s="49">
        <f>IF(M422="","",IFERROR(ROUND(AVERAGE(T422+M422*{7,8,9,10,11})/1.21,4),""))</f>
        <v/>
      </c>
      <c r="I422" s="76" t="n">
        <v>76.15000152587891</v>
      </c>
      <c r="J422" s="77" t="n">
        <v>74.72569280544789</v>
      </c>
      <c r="K422" s="74" t="n">
        <v>74.23900032043457</v>
      </c>
      <c r="L422" s="78" t="n">
        <v>66.035299949646</v>
      </c>
      <c r="M422" s="77" t="n">
        <v>1.803153822074966</v>
      </c>
      <c r="N422" s="53">
        <f>IF(M422="","",IFERROR(M422/I422,""))</f>
        <v/>
      </c>
      <c r="O422" s="50">
        <f>IF(A422="","",IFERROR((IF(G422="",I422,G422)-T422)/M422,""))</f>
        <v/>
      </c>
      <c r="P422" s="50">
        <f>IFERROR((I422/T422-1)/N422,"")</f>
        <v/>
      </c>
      <c r="Q422" s="46">
        <f>IF(OR(T422="",I422&lt;T422),"",IFERROR(R422/IF(G422="",I422,G422)-1,""))</f>
        <v/>
      </c>
      <c r="R422" s="48">
        <f>IF($M422="","",MAX(IF($G422="",$I422,$G422)*(1/1.1),IF($G422="",$I422,$G422)+(R$2*$M422)))</f>
        <v/>
      </c>
      <c r="S422" s="49">
        <f>IF($M422="","",MAX(IF($G422="",$I422,$G422)*(1/1.1),IF($G422="",$I422,$G422)+(S$2*$M422)))</f>
        <v/>
      </c>
      <c r="T422" s="82" t="n">
        <v>71.64760009765625</v>
      </c>
      <c r="U422" s="47">
        <f>IF(OR($M422="",$T422=""),"",$T422+(U$2*$M422))</f>
        <v/>
      </c>
      <c r="V422" s="48">
        <f>IF(OR($M422="",$T422=""),"",$T422+(V$2*$M422))</f>
        <v/>
      </c>
      <c r="W422" s="48">
        <f>IF(OR($M422="",$T422=""),"",$T422+(W$2*$M422))</f>
        <v/>
      </c>
      <c r="X422" s="49">
        <f>IF(OR($M422="",$T422=""),"",$T422+(X$2*$M422))</f>
        <v/>
      </c>
      <c r="Y422" s="47">
        <f>IF(OR($M422="",$T422=""),"",$T422+(Y$2*$M422))</f>
        <v/>
      </c>
      <c r="Z422" s="49">
        <f>IF(OR($M422="",$T422=""),"",$T422+(Z$2*$M422))</f>
        <v/>
      </c>
      <c r="AA422" s="51">
        <f>IF(OR($M422="",$T422=""),"",$T422+(AA$2*$M422))</f>
        <v/>
      </c>
      <c r="AB422" s="48">
        <f>IF(OR($M422="",$T422=""),"",$T422+(AB$2*$M422))</f>
        <v/>
      </c>
      <c r="AC422" s="48">
        <f>IF(OR($M422="",$T422=""),"",$T422+(AC$2*$M422))</f>
        <v/>
      </c>
      <c r="AD422" s="48">
        <f>IF(OR($M422="",$T422=""),"",$T422+(AD$2*$M422))</f>
        <v/>
      </c>
      <c r="AE422" s="49">
        <f>IF(OR($M422="",$T422=""),"",$T422+(AE$2*$M422))</f>
        <v/>
      </c>
      <c r="AF422" s="52">
        <f>IF(OR(T422="",I422&lt;T422),"",IFERROR(AVERAGE(T422+M422*{7,8,9,10,11})/IF(G422="",I422,G422)-1,""))</f>
        <v/>
      </c>
      <c r="AG422" s="55">
        <f>IF(OR(T422="",I422&lt;T422),"",IFERROR(AF422/-(R422/IF(G422="",I422,G422)-1),""))</f>
        <v/>
      </c>
      <c r="AH422" s="94" t="n">
        <v>1</v>
      </c>
      <c r="AI422" s="94" t="n">
        <v>49.40667187459593</v>
      </c>
      <c r="AJ422" s="94" t="n">
        <v>1</v>
      </c>
      <c r="AK422" s="94" t="inlineStr">
        <is>
          <t>OTT Up Trend</t>
        </is>
      </c>
      <c r="AL422" s="84" t="inlineStr">
        <is>
          <t>Tompkins Financial Corporation</t>
        </is>
      </c>
      <c r="AM422" t="inlineStr">
        <is>
          <t>Financial Services</t>
        </is>
      </c>
      <c r="AN422" t="inlineStr">
        <is>
          <t>Banks - Regional</t>
        </is>
      </c>
      <c r="AO422" t="n">
        <v>72</v>
      </c>
    </row>
    <row r="423">
      <c r="A423" s="64" t="inlineStr">
        <is>
          <t>FBK</t>
        </is>
      </c>
      <c r="B423" s="65" t="n"/>
      <c r="C423" s="66" t="n"/>
      <c r="D423" s="67" t="n"/>
      <c r="E423" s="68" t="n"/>
      <c r="F423" s="47">
        <f>IF(A423="","",IF(MIN(H423,MAX(J423:K423))=0,"",MIN(H423,MAX(J423:K423))))</f>
        <v/>
      </c>
      <c r="G423" s="74" t="n"/>
      <c r="H423" s="49">
        <f>IF(M423="","",IFERROR(ROUND(AVERAGE(T423+M423*{7,8,9,10,11})/1.21,4),""))</f>
        <v/>
      </c>
      <c r="I423" s="76" t="n">
        <v>59.63999938964844</v>
      </c>
      <c r="J423" s="77" t="n">
        <v>58.58344265624727</v>
      </c>
      <c r="K423" s="74" t="n">
        <v>57.49149990081787</v>
      </c>
      <c r="L423" s="78" t="n">
        <v>50.58194997787476</v>
      </c>
      <c r="M423" s="77" t="n">
        <v>1.433729212525633</v>
      </c>
      <c r="N423" s="53">
        <f>IF(M423="","",IFERROR(M423/I423,""))</f>
        <v/>
      </c>
      <c r="O423" s="50">
        <f>IF(A423="","",IFERROR((IF(G423="",I423,G423)-T423)/M423,""))</f>
        <v/>
      </c>
      <c r="P423" s="50">
        <f>IFERROR((I423/T423-1)/N423,"")</f>
        <v/>
      </c>
      <c r="Q423" s="46">
        <f>IF(OR(T423="",I423&lt;T423),"",IFERROR(R423/IF(G423="",I423,G423)-1,""))</f>
        <v/>
      </c>
      <c r="R423" s="48">
        <f>IF($M423="","",MAX(IF($G423="",$I423,$G423)*(1/1.1),IF($G423="",$I423,$G423)+(R$2*$M423)))</f>
        <v/>
      </c>
      <c r="S423" s="49">
        <f>IF($M423="","",MAX(IF($G423="",$I423,$G423)*(1/1.1),IF($G423="",$I423,$G423)+(S$2*$M423)))</f>
        <v/>
      </c>
      <c r="T423" s="82" t="n">
        <v>56.4931999206543</v>
      </c>
      <c r="U423" s="47">
        <f>IF(OR($M423="",$T423=""),"",$T423+(U$2*$M423))</f>
        <v/>
      </c>
      <c r="V423" s="48">
        <f>IF(OR($M423="",$T423=""),"",$T423+(V$2*$M423))</f>
        <v/>
      </c>
      <c r="W423" s="48">
        <f>IF(OR($M423="",$T423=""),"",$T423+(W$2*$M423))</f>
        <v/>
      </c>
      <c r="X423" s="49">
        <f>IF(OR($M423="",$T423=""),"",$T423+(X$2*$M423))</f>
        <v/>
      </c>
      <c r="Y423" s="47">
        <f>IF(OR($M423="",$T423=""),"",$T423+(Y$2*$M423))</f>
        <v/>
      </c>
      <c r="Z423" s="49">
        <f>IF(OR($M423="",$T423=""),"",$T423+(Z$2*$M423))</f>
        <v/>
      </c>
      <c r="AA423" s="51">
        <f>IF(OR($M423="",$T423=""),"",$T423+(AA$2*$M423))</f>
        <v/>
      </c>
      <c r="AB423" s="48">
        <f>IF(OR($M423="",$T423=""),"",$T423+(AB$2*$M423))</f>
        <v/>
      </c>
      <c r="AC423" s="48">
        <f>IF(OR($M423="",$T423=""),"",$T423+(AC$2*$M423))</f>
        <v/>
      </c>
      <c r="AD423" s="48">
        <f>IF(OR($M423="",$T423=""),"",$T423+(AD$2*$M423))</f>
        <v/>
      </c>
      <c r="AE423" s="49">
        <f>IF(OR($M423="",$T423=""),"",$T423+(AE$2*$M423))</f>
        <v/>
      </c>
      <c r="AF423" s="52">
        <f>IF(OR(T423="",I423&lt;T423),"",IFERROR(AVERAGE(T423+M423*{7,8,9,10,11})/IF(G423="",I423,G423)-1,""))</f>
        <v/>
      </c>
      <c r="AG423" s="55">
        <f>IF(OR(T423="",I423&lt;T423),"",IFERROR(AF423/-(R423/IF(G423="",I423,G423)-1),""))</f>
        <v/>
      </c>
      <c r="AH423" s="94" t="n">
        <v>1</v>
      </c>
      <c r="AI423" s="94" t="n">
        <v>54.21510662267195</v>
      </c>
      <c r="AJ423" s="94" t="n">
        <v>1</v>
      </c>
      <c r="AK423" s="94" t="inlineStr">
        <is>
          <t>OTT Up Trend</t>
        </is>
      </c>
      <c r="AL423" s="84" t="inlineStr">
        <is>
          <t>FB Financial Corporation</t>
        </is>
      </c>
      <c r="AM423" t="inlineStr">
        <is>
          <t>Financial Services</t>
        </is>
      </c>
      <c r="AN423" t="inlineStr">
        <is>
          <t>Banks - Regional</t>
        </is>
      </c>
      <c r="AO423" t="n">
        <v>72</v>
      </c>
    </row>
    <row r="424">
      <c r="A424" s="64" t="inlineStr">
        <is>
          <t>KNX</t>
        </is>
      </c>
      <c r="B424" s="65" t="n"/>
      <c r="C424" s="66" t="n"/>
      <c r="D424" s="67" t="n"/>
      <c r="E424" s="68" t="n"/>
      <c r="F424" s="47">
        <f>IF(A424="","",IF(MIN(H424,MAX(J424:K424))=0,"",MIN(H424,MAX(J424:K424))))</f>
        <v/>
      </c>
      <c r="G424" s="74" t="n"/>
      <c r="H424" s="49">
        <f>IF(M424="","",IFERROR(ROUND(AVERAGE(T424+M424*{7,8,9,10,11})/1.21,4),""))</f>
        <v/>
      </c>
      <c r="I424" s="76" t="n">
        <v>56.65000152587891</v>
      </c>
      <c r="J424" s="77" t="n">
        <v>56.19568269705954</v>
      </c>
      <c r="K424" s="74" t="n">
        <v>54.63449974060059</v>
      </c>
      <c r="L424" s="78" t="n">
        <v>44.90289993286133</v>
      </c>
      <c r="M424" s="77" t="n">
        <v>1.393763064617405</v>
      </c>
      <c r="N424" s="53">
        <f>IF(M424="","",IFERROR(M424/I424,""))</f>
        <v/>
      </c>
      <c r="O424" s="50">
        <f>IF(A424="","",IFERROR((IF(G424="",I424,G424)-T424)/M424,""))</f>
        <v/>
      </c>
      <c r="P424" s="50">
        <f>IFERROR((I424/T424-1)/N424,"")</f>
        <v/>
      </c>
      <c r="Q424" s="46">
        <f>IF(OR(T424="",I424&lt;T424),"",IFERROR(R424/IF(G424="",I424,G424)-1,""))</f>
        <v/>
      </c>
      <c r="R424" s="48">
        <f>IF($M424="","",MAX(IF($G424="",$I424,$G424)*(1/1.1),IF($G424="",$I424,$G424)+(R$2*$M424)))</f>
        <v/>
      </c>
      <c r="S424" s="49">
        <f>IF($M424="","",MAX(IF($G424="",$I424,$G424)*(1/1.1),IF($G424="",$I424,$G424)+(S$2*$M424)))</f>
        <v/>
      </c>
      <c r="T424" s="82" t="n">
        <v>50.18079986572265</v>
      </c>
      <c r="U424" s="47">
        <f>IF(OR($M424="",$T424=""),"",$T424+(U$2*$M424))</f>
        <v/>
      </c>
      <c r="V424" s="48">
        <f>IF(OR($M424="",$T424=""),"",$T424+(V$2*$M424))</f>
        <v/>
      </c>
      <c r="W424" s="48">
        <f>IF(OR($M424="",$T424=""),"",$T424+(W$2*$M424))</f>
        <v/>
      </c>
      <c r="X424" s="49">
        <f>IF(OR($M424="",$T424=""),"",$T424+(X$2*$M424))</f>
        <v/>
      </c>
      <c r="Y424" s="47">
        <f>IF(OR($M424="",$T424=""),"",$T424+(Y$2*$M424))</f>
        <v/>
      </c>
      <c r="Z424" s="49">
        <f>IF(OR($M424="",$T424=""),"",$T424+(Z$2*$M424))</f>
        <v/>
      </c>
      <c r="AA424" s="51">
        <f>IF(OR($M424="",$T424=""),"",$T424+(AA$2*$M424))</f>
        <v/>
      </c>
      <c r="AB424" s="48">
        <f>IF(OR($M424="",$T424=""),"",$T424+(AB$2*$M424))</f>
        <v/>
      </c>
      <c r="AC424" s="48">
        <f>IF(OR($M424="",$T424=""),"",$T424+(AC$2*$M424))</f>
        <v/>
      </c>
      <c r="AD424" s="48">
        <f>IF(OR($M424="",$T424=""),"",$T424+(AD$2*$M424))</f>
        <v/>
      </c>
      <c r="AE424" s="49">
        <f>IF(OR($M424="",$T424=""),"",$T424+(AE$2*$M424))</f>
        <v/>
      </c>
      <c r="AF424" s="52">
        <f>IF(OR(T424="",I424&lt;T424),"",IFERROR(AVERAGE(T424+M424*{7,8,9,10,11})/IF(G424="",I424,G424)-1,""))</f>
        <v/>
      </c>
      <c r="AG424" s="55">
        <f>IF(OR(T424="",I424&lt;T424),"",IFERROR(AF424/-(R424/IF(G424="",I424,G424)-1),""))</f>
        <v/>
      </c>
      <c r="AH424" s="94" t="n">
        <v>1</v>
      </c>
      <c r="AI424" s="94" t="n">
        <v>134.7035635321624</v>
      </c>
      <c r="AJ424" s="94" t="n">
        <v>1</v>
      </c>
      <c r="AK424" s="94" t="inlineStr">
        <is>
          <t>OTT Up Trend</t>
        </is>
      </c>
      <c r="AL424" s="84" t="inlineStr">
        <is>
          <t>Knight-Swift Transportation Hol</t>
        </is>
      </c>
      <c r="AM424" t="inlineStr">
        <is>
          <t>Industrials</t>
        </is>
      </c>
      <c r="AN424" t="inlineStr">
        <is>
          <t>Trucking</t>
        </is>
      </c>
      <c r="AO424" t="n">
        <v>72</v>
      </c>
    </row>
    <row r="425">
      <c r="A425" s="64" t="inlineStr">
        <is>
          <t>GHC</t>
        </is>
      </c>
      <c r="B425" s="65" t="n"/>
      <c r="C425" s="66" t="n"/>
      <c r="D425" s="67" t="n"/>
      <c r="E425" s="68" t="n"/>
      <c r="F425" s="47">
        <f>IF(A425="","",IF(MIN(H425,MAX(J425:K425))=0,"",MIN(H425,MAX(J425:K425))))</f>
        <v/>
      </c>
      <c r="G425" s="74" t="n"/>
      <c r="H425" s="49">
        <f>IF(M425="","",IFERROR(ROUND(AVERAGE(T425+M425*{7,8,9,10,11})/1.21,4),""))</f>
        <v/>
      </c>
      <c r="I425" s="76" t="n">
        <v>1142.7099609375</v>
      </c>
      <c r="J425" s="77" t="n">
        <v>1137.631845119687</v>
      </c>
      <c r="K425" s="74" t="n">
        <v>1120.423010253906</v>
      </c>
      <c r="L425" s="78" t="n">
        <v>1022.489299011231</v>
      </c>
      <c r="M425" s="77" t="n">
        <v>25.97144987562265</v>
      </c>
      <c r="N425" s="53">
        <f>IF(M425="","",IFERROR(M425/I425,""))</f>
        <v/>
      </c>
      <c r="O425" s="50">
        <f>IF(A425="","",IFERROR((IF(G425="",I425,G425)-T425)/M425,""))</f>
        <v/>
      </c>
      <c r="P425" s="50">
        <f>IFERROR((I425/T425-1)/N425,"")</f>
        <v/>
      </c>
      <c r="Q425" s="46">
        <f>IF(OR(T425="",I425&lt;T425),"",IFERROR(R425/IF(G425="",I425,G425)-1,""))</f>
        <v/>
      </c>
      <c r="R425" s="48">
        <f>IF($M425="","",MAX(IF($G425="",$I425,$G425)*(1/1.1),IF($G425="",$I425,$G425)+(R$2*$M425)))</f>
        <v/>
      </c>
      <c r="S425" s="49">
        <f>IF($M425="","",MAX(IF($G425="",$I425,$G425)*(1/1.1),IF($G425="",$I425,$G425)+(S$2*$M425)))</f>
        <v/>
      </c>
      <c r="T425" s="82" t="n">
        <v>1097.83560546875</v>
      </c>
      <c r="U425" s="47">
        <f>IF(OR($M425="",$T425=""),"",$T425+(U$2*$M425))</f>
        <v/>
      </c>
      <c r="V425" s="48">
        <f>IF(OR($M425="",$T425=""),"",$T425+(V$2*$M425))</f>
        <v/>
      </c>
      <c r="W425" s="48">
        <f>IF(OR($M425="",$T425=""),"",$T425+(W$2*$M425))</f>
        <v/>
      </c>
      <c r="X425" s="49">
        <f>IF(OR($M425="",$T425=""),"",$T425+(X$2*$M425))</f>
        <v/>
      </c>
      <c r="Y425" s="47">
        <f>IF(OR($M425="",$T425=""),"",$T425+(Y$2*$M425))</f>
        <v/>
      </c>
      <c r="Z425" s="49">
        <f>IF(OR($M425="",$T425=""),"",$T425+(Z$2*$M425))</f>
        <v/>
      </c>
      <c r="AA425" s="51">
        <f>IF(OR($M425="",$T425=""),"",$T425+(AA$2*$M425))</f>
        <v/>
      </c>
      <c r="AB425" s="48">
        <f>IF(OR($M425="",$T425=""),"",$T425+(AB$2*$M425))</f>
        <v/>
      </c>
      <c r="AC425" s="48">
        <f>IF(OR($M425="",$T425=""),"",$T425+(AC$2*$M425))</f>
        <v/>
      </c>
      <c r="AD425" s="48">
        <f>IF(OR($M425="",$T425=""),"",$T425+(AD$2*$M425))</f>
        <v/>
      </c>
      <c r="AE425" s="49">
        <f>IF(OR($M425="",$T425=""),"",$T425+(AE$2*$M425))</f>
        <v/>
      </c>
      <c r="AF425" s="52">
        <f>IF(OR(T425="",I425&lt;T425),"",IFERROR(AVERAGE(T425+M425*{7,8,9,10,11})/IF(G425="",I425,G425)-1,""))</f>
        <v/>
      </c>
      <c r="AG425" s="55">
        <f>IF(OR(T425="",I425&lt;T425),"",IFERROR(AF425/-(R425/IF(G425="",I425,G425)-1),""))</f>
        <v/>
      </c>
      <c r="AH425" s="94" t="n">
        <v>1</v>
      </c>
      <c r="AI425" s="94" t="n">
        <v>53.28175592112571</v>
      </c>
      <c r="AJ425" s="94" t="n">
        <v>1</v>
      </c>
      <c r="AK425" s="94" t="inlineStr">
        <is>
          <t>OTT Up Trend</t>
        </is>
      </c>
      <c r="AL425" s="84" t="inlineStr">
        <is>
          <t>Graham Holdings Company</t>
        </is>
      </c>
      <c r="AM425" t="inlineStr">
        <is>
          <t>Consumer Defensive</t>
        </is>
      </c>
      <c r="AN425" t="inlineStr">
        <is>
          <t>Education &amp; Training Services</t>
        </is>
      </c>
      <c r="AO425" t="n">
        <v>72</v>
      </c>
    </row>
    <row r="426">
      <c r="A426" s="64" t="inlineStr">
        <is>
          <t>CWEN-A</t>
        </is>
      </c>
      <c r="B426" s="65" t="n"/>
      <c r="C426" s="66" t="n"/>
      <c r="D426" s="67" t="n"/>
      <c r="E426" s="68" t="n"/>
      <c r="F426" s="47">
        <f>IF(A426="","",IF(MIN(H426,MAX(J426:K426))=0,"",MIN(H426,MAX(J426:K426))))</f>
        <v/>
      </c>
      <c r="G426" s="74" t="n"/>
      <c r="H426" s="49">
        <f>IF(M426="","",IFERROR(ROUND(AVERAGE(T426+M426*{7,8,9,10,11})/1.21,4),""))</f>
        <v/>
      </c>
      <c r="I426" s="76" t="n">
        <v>33.90000152587891</v>
      </c>
      <c r="J426" s="77" t="n">
        <v>31.84366648568884</v>
      </c>
      <c r="K426" s="74" t="n">
        <v>31.41250009536743</v>
      </c>
      <c r="L426" s="78" t="n">
        <v>29.44410006523132</v>
      </c>
      <c r="M426" s="77" t="n">
        <v>0.9554299396201842</v>
      </c>
      <c r="N426" s="53">
        <f>IF(M426="","",IFERROR(M426/I426,""))</f>
        <v/>
      </c>
      <c r="O426" s="50">
        <f>IF(A426="","",IFERROR((IF(G426="",I426,G426)-T426)/M426,""))</f>
        <v/>
      </c>
      <c r="P426" s="50">
        <f>IFERROR((I426/T426-1)/N426,"")</f>
        <v/>
      </c>
      <c r="Q426" s="46">
        <f>IF(OR(T426="",I426&lt;T426),"",IFERROR(R426/IF(G426="",I426,G426)-1,""))</f>
        <v/>
      </c>
      <c r="R426" s="48">
        <f>IF($M426="","",MAX(IF($G426="",$I426,$G426)*(1/1.1),IF($G426="",$I426,$G426)+(R$2*$M426)))</f>
        <v/>
      </c>
      <c r="S426" s="49">
        <f>IF($M426="","",MAX(IF($G426="",$I426,$G426)*(1/1.1),IF($G426="",$I426,$G426)+(S$2*$M426)))</f>
        <v/>
      </c>
      <c r="T426" s="82" t="n">
        <v>32.13260005950928</v>
      </c>
      <c r="U426" s="47">
        <f>IF(OR($M426="",$T426=""),"",$T426+(U$2*$M426))</f>
        <v/>
      </c>
      <c r="V426" s="48">
        <f>IF(OR($M426="",$T426=""),"",$T426+(V$2*$M426))</f>
        <v/>
      </c>
      <c r="W426" s="48">
        <f>IF(OR($M426="",$T426=""),"",$T426+(W$2*$M426))</f>
        <v/>
      </c>
      <c r="X426" s="49">
        <f>IF(OR($M426="",$T426=""),"",$T426+(X$2*$M426))</f>
        <v/>
      </c>
      <c r="Y426" s="47">
        <f>IF(OR($M426="",$T426=""),"",$T426+(Y$2*$M426))</f>
        <v/>
      </c>
      <c r="Z426" s="49">
        <f>IF(OR($M426="",$T426=""),"",$T426+(Z$2*$M426))</f>
        <v/>
      </c>
      <c r="AA426" s="51">
        <f>IF(OR($M426="",$T426=""),"",$T426+(AA$2*$M426))</f>
        <v/>
      </c>
      <c r="AB426" s="48">
        <f>IF(OR($M426="",$T426=""),"",$T426+(AB$2*$M426))</f>
        <v/>
      </c>
      <c r="AC426" s="48">
        <f>IF(OR($M426="",$T426=""),"",$T426+(AC$2*$M426))</f>
        <v/>
      </c>
      <c r="AD426" s="48">
        <f>IF(OR($M426="",$T426=""),"",$T426+(AD$2*$M426))</f>
        <v/>
      </c>
      <c r="AE426" s="49">
        <f>IF(OR($M426="",$T426=""),"",$T426+(AE$2*$M426))</f>
        <v/>
      </c>
      <c r="AF426" s="52">
        <f>IF(OR(T426="",I426&lt;T426),"",IFERROR(AVERAGE(T426+M426*{7,8,9,10,11})/IF(G426="",I426,G426)-1,""))</f>
        <v/>
      </c>
      <c r="AG426" s="55">
        <f>IF(OR(T426="",I426&lt;T426),"",IFERROR(AF426/-(R426/IF(G426="",I426,G426)-1),""))</f>
        <v/>
      </c>
      <c r="AH426" s="94" t="n">
        <v>1</v>
      </c>
      <c r="AI426" s="94" t="n">
        <v>21.24382958178284</v>
      </c>
      <c r="AJ426" s="94" t="n">
        <v>1</v>
      </c>
      <c r="AK426" s="94" t="inlineStr">
        <is>
          <t>OTT Down Trend</t>
        </is>
      </c>
      <c r="AL426" s="84" t="inlineStr">
        <is>
          <t>Clearway Energy, Inc.</t>
        </is>
      </c>
      <c r="AM426" t="inlineStr">
        <is>
          <t>Utilities</t>
        </is>
      </c>
      <c r="AN426" t="inlineStr">
        <is>
          <t>Utilities - Renewable</t>
        </is>
      </c>
      <c r="AO426" t="inlineStr">
        <is>
          <t>Nil</t>
        </is>
      </c>
    </row>
    <row r="427">
      <c r="A427" s="64" t="inlineStr">
        <is>
          <t>CR</t>
        </is>
      </c>
      <c r="B427" s="65" t="n"/>
      <c r="C427" s="66" t="n"/>
      <c r="D427" s="67" t="n"/>
      <c r="E427" s="68" t="n"/>
      <c r="F427" s="47">
        <f>IF(A427="","",IF(MIN(H427,MAX(J427:K427))=0,"",MIN(H427,MAX(J427:K427))))</f>
        <v/>
      </c>
      <c r="G427" s="74" t="n"/>
      <c r="H427" s="49">
        <f>IF(M427="","",IFERROR(ROUND(AVERAGE(T427+M427*{7,8,9,10,11})/1.21,4),""))</f>
        <v/>
      </c>
      <c r="I427" s="76" t="n">
        <v>207.4199981689453</v>
      </c>
      <c r="J427" s="77" t="n">
        <v>201.3333074893539</v>
      </c>
      <c r="K427" s="74" t="n">
        <v>194.2769981384277</v>
      </c>
      <c r="L427" s="78" t="n">
        <v>181.3957492828369</v>
      </c>
      <c r="M427" s="77" t="n">
        <v>4.1765508345299</v>
      </c>
      <c r="N427" s="53">
        <f>IF(M427="","",IFERROR(M427/I427,""))</f>
        <v/>
      </c>
      <c r="O427" s="50">
        <f>IF(A427="","",IFERROR((IF(G427="",I427,G427)-T427)/M427,""))</f>
        <v/>
      </c>
      <c r="P427" s="50">
        <f>IFERROR((I427/T427-1)/N427,"")</f>
        <v/>
      </c>
      <c r="Q427" s="46">
        <f>IF(OR(T427="",I427&lt;T427),"",IFERROR(R427/IF(G427="",I427,G427)-1,""))</f>
        <v/>
      </c>
      <c r="R427" s="48">
        <f>IF($M427="","",MAX(IF($G427="",$I427,$G427)*(1/1.1),IF($G427="",$I427,$G427)+(R$2*$M427)))</f>
        <v/>
      </c>
      <c r="S427" s="49">
        <f>IF($M427="","",MAX(IF($G427="",$I427,$G427)*(1/1.1),IF($G427="",$I427,$G427)+(S$2*$M427)))</f>
        <v/>
      </c>
      <c r="T427" s="82" t="n">
        <v>188.9453985595703</v>
      </c>
      <c r="U427" s="47">
        <f>IF(OR($M427="",$T427=""),"",$T427+(U$2*$M427))</f>
        <v/>
      </c>
      <c r="V427" s="48">
        <f>IF(OR($M427="",$T427=""),"",$T427+(V$2*$M427))</f>
        <v/>
      </c>
      <c r="W427" s="48">
        <f>IF(OR($M427="",$T427=""),"",$T427+(W$2*$M427))</f>
        <v/>
      </c>
      <c r="X427" s="49">
        <f>IF(OR($M427="",$T427=""),"",$T427+(X$2*$M427))</f>
        <v/>
      </c>
      <c r="Y427" s="47">
        <f>IF(OR($M427="",$T427=""),"",$T427+(Y$2*$M427))</f>
        <v/>
      </c>
      <c r="Z427" s="49">
        <f>IF(OR($M427="",$T427=""),"",$T427+(Z$2*$M427))</f>
        <v/>
      </c>
      <c r="AA427" s="51">
        <f>IF(OR($M427="",$T427=""),"",$T427+(AA$2*$M427))</f>
        <v/>
      </c>
      <c r="AB427" s="48">
        <f>IF(OR($M427="",$T427=""),"",$T427+(AB$2*$M427))</f>
        <v/>
      </c>
      <c r="AC427" s="48">
        <f>IF(OR($M427="",$T427=""),"",$T427+(AC$2*$M427))</f>
        <v/>
      </c>
      <c r="AD427" s="48">
        <f>IF(OR($M427="",$T427=""),"",$T427+(AD$2*$M427))</f>
        <v/>
      </c>
      <c r="AE427" s="49">
        <f>IF(OR($M427="",$T427=""),"",$T427+(AE$2*$M427))</f>
        <v/>
      </c>
      <c r="AF427" s="52">
        <f>IF(OR(T427="",I427&lt;T427),"",IFERROR(AVERAGE(T427+M427*{7,8,9,10,11})/IF(G427="",I427,G427)-1,""))</f>
        <v/>
      </c>
      <c r="AG427" s="55">
        <f>IF(OR(T427="",I427&lt;T427),"",IFERROR(AF427/-(R427/IF(G427="",I427,G427)-1),""))</f>
        <v/>
      </c>
      <c r="AH427" s="94" t="n">
        <v>1</v>
      </c>
      <c r="AI427" s="94" t="n">
        <v>119.2799127093241</v>
      </c>
      <c r="AJ427" s="94" t="n">
        <v>1</v>
      </c>
      <c r="AK427" s="94" t="inlineStr">
        <is>
          <t>None</t>
        </is>
      </c>
      <c r="AL427" s="84" t="inlineStr">
        <is>
          <t>Crane Company</t>
        </is>
      </c>
      <c r="AM427" t="inlineStr">
        <is>
          <t>Industrials</t>
        </is>
      </c>
      <c r="AN427" t="inlineStr">
        <is>
          <t>Specialty Industrial Machinery</t>
        </is>
      </c>
      <c r="AO427" t="n">
        <v>71</v>
      </c>
    </row>
    <row r="428">
      <c r="A428" s="64" t="inlineStr">
        <is>
          <t>CWEN</t>
        </is>
      </c>
      <c r="B428" s="65" t="n"/>
      <c r="C428" s="66" t="n"/>
      <c r="D428" s="67" t="n"/>
      <c r="E428" s="68" t="n"/>
      <c r="F428" s="47">
        <f>IF(A428="","",IF(MIN(H428,MAX(J428:K428))=0,"",MIN(H428,MAX(J428:K428))))</f>
        <v/>
      </c>
      <c r="G428" s="74" t="n"/>
      <c r="H428" s="49">
        <f>IF(M428="","",IFERROR(ROUND(AVERAGE(T428+M428*{7,8,9,10,11})/1.21,4),""))</f>
        <v/>
      </c>
      <c r="I428" s="76" t="n">
        <v>36.06999969482422</v>
      </c>
      <c r="J428" s="77" t="n">
        <v>33.85738067121724</v>
      </c>
      <c r="K428" s="74" t="n">
        <v>33.31149978637696</v>
      </c>
      <c r="L428" s="78" t="n">
        <v>31.28620006561279</v>
      </c>
      <c r="M428" s="77" t="n">
        <v>1.053992140841871</v>
      </c>
      <c r="N428" s="53">
        <f>IF(M428="","",IFERROR(M428/I428,""))</f>
        <v/>
      </c>
      <c r="O428" s="50">
        <f>IF(A428="","",IFERROR((IF(G428="",I428,G428)-T428)/M428,""))</f>
        <v/>
      </c>
      <c r="P428" s="50">
        <f>IFERROR((I428/T428-1)/N428,"")</f>
        <v/>
      </c>
      <c r="Q428" s="46">
        <f>IF(OR(T428="",I428&lt;T428),"",IFERROR(R428/IF(G428="",I428,G428)-1,""))</f>
        <v/>
      </c>
      <c r="R428" s="48">
        <f>IF($M428="","",MAX(IF($G428="",$I428,$G428)*(1/1.1),IF($G428="",$I428,$G428)+(R$2*$M428)))</f>
        <v/>
      </c>
      <c r="S428" s="49">
        <f>IF($M428="","",MAX(IF($G428="",$I428,$G428)*(1/1.1),IF($G428="",$I428,$G428)+(S$2*$M428)))</f>
        <v/>
      </c>
      <c r="T428" s="82" t="n">
        <v>34.16699996948242</v>
      </c>
      <c r="U428" s="47">
        <f>IF(OR($M428="",$T428=""),"",$T428+(U$2*$M428))</f>
        <v/>
      </c>
      <c r="V428" s="48">
        <f>IF(OR($M428="",$T428=""),"",$T428+(V$2*$M428))</f>
        <v/>
      </c>
      <c r="W428" s="48">
        <f>IF(OR($M428="",$T428=""),"",$T428+(W$2*$M428))</f>
        <v/>
      </c>
      <c r="X428" s="49">
        <f>IF(OR($M428="",$T428=""),"",$T428+(X$2*$M428))</f>
        <v/>
      </c>
      <c r="Y428" s="47">
        <f>IF(OR($M428="",$T428=""),"",$T428+(Y$2*$M428))</f>
        <v/>
      </c>
      <c r="Z428" s="49">
        <f>IF(OR($M428="",$T428=""),"",$T428+(Z$2*$M428))</f>
        <v/>
      </c>
      <c r="AA428" s="51">
        <f>IF(OR($M428="",$T428=""),"",$T428+(AA$2*$M428))</f>
        <v/>
      </c>
      <c r="AB428" s="48">
        <f>IF(OR($M428="",$T428=""),"",$T428+(AB$2*$M428))</f>
        <v/>
      </c>
      <c r="AC428" s="48">
        <f>IF(OR($M428="",$T428=""),"",$T428+(AC$2*$M428))</f>
        <v/>
      </c>
      <c r="AD428" s="48">
        <f>IF(OR($M428="",$T428=""),"",$T428+(AD$2*$M428))</f>
        <v/>
      </c>
      <c r="AE428" s="49">
        <f>IF(OR($M428="",$T428=""),"",$T428+(AE$2*$M428))</f>
        <v/>
      </c>
      <c r="AF428" s="52">
        <f>IF(OR(T428="",I428&lt;T428),"",IFERROR(AVERAGE(T428+M428*{7,8,9,10,11})/IF(G428="",I428,G428)-1,""))</f>
        <v/>
      </c>
      <c r="AG428" s="55">
        <f>IF(OR(T428="",I428&lt;T428),"",IFERROR(AF428/-(R428/IF(G428="",I428,G428)-1),""))</f>
        <v/>
      </c>
      <c r="AH428" s="94" t="n">
        <v>1</v>
      </c>
      <c r="AI428" s="94" t="n">
        <v>21.81804547705001</v>
      </c>
      <c r="AJ428" s="94" t="n">
        <v>1</v>
      </c>
      <c r="AK428" s="94" t="inlineStr">
        <is>
          <t>OTT Down Trend</t>
        </is>
      </c>
      <c r="AL428" s="84" t="inlineStr">
        <is>
          <t>Clearway Energy, Inc.</t>
        </is>
      </c>
      <c r="AM428" t="inlineStr">
        <is>
          <t>Utilities</t>
        </is>
      </c>
      <c r="AN428" t="inlineStr">
        <is>
          <t>Utilities - Renewable</t>
        </is>
      </c>
      <c r="AO428" t="n">
        <v>71</v>
      </c>
    </row>
    <row r="429">
      <c r="A429" s="64" t="inlineStr">
        <is>
          <t>LMT</t>
        </is>
      </c>
      <c r="B429" s="65" t="n"/>
      <c r="C429" s="66" t="n"/>
      <c r="D429" s="67" t="n"/>
      <c r="E429" s="68" t="n"/>
      <c r="F429" s="47">
        <f>IF(A429="","",IF(MIN(H429,MAX(J429:K429))=0,"",MIN(H429,MAX(J429:K429))))</f>
        <v/>
      </c>
      <c r="G429" s="74" t="n"/>
      <c r="H429" s="49">
        <f>IF(M429="","",IFERROR(ROUND(AVERAGE(T429+M429*{7,8,9,10,11})/1.21,4),""))</f>
        <v/>
      </c>
      <c r="I429" s="76" t="n">
        <v>582.4299926757812</v>
      </c>
      <c r="J429" s="77" t="n">
        <v>548.2249943620126</v>
      </c>
      <c r="K429" s="74" t="n">
        <v>513.5589996337891</v>
      </c>
      <c r="L429" s="78" t="n">
        <v>470.8527507019043</v>
      </c>
      <c r="M429" s="77" t="n">
        <v>15.72967519568021</v>
      </c>
      <c r="N429" s="53">
        <f>IF(M429="","",IFERROR(M429/I429,""))</f>
        <v/>
      </c>
      <c r="O429" s="50">
        <f>IF(A429="","",IFERROR((IF(G429="",I429,G429)-T429)/M429,""))</f>
        <v/>
      </c>
      <c r="P429" s="50">
        <f>IFERROR((I429/T429-1)/N429,"")</f>
        <v/>
      </c>
      <c r="Q429" s="46">
        <f>IF(OR(T429="",I429&lt;T429),"",IFERROR(R429/IF(G429="",I429,G429)-1,""))</f>
        <v/>
      </c>
      <c r="R429" s="48">
        <f>IF($M429="","",MAX(IF($G429="",$I429,$G429)*(1/1.1),IF($G429="",$I429,$G429)+(R$2*$M429)))</f>
        <v/>
      </c>
      <c r="S429" s="49">
        <f>IF($M429="","",MAX(IF($G429="",$I429,$G429)*(1/1.1),IF($G429="",$I429,$G429)+(S$2*$M429)))</f>
        <v/>
      </c>
      <c r="T429" s="82" t="n">
        <v>482.7866021728516</v>
      </c>
      <c r="U429" s="47">
        <f>IF(OR($M429="",$T429=""),"",$T429+(U$2*$M429))</f>
        <v/>
      </c>
      <c r="V429" s="48">
        <f>IF(OR($M429="",$T429=""),"",$T429+(V$2*$M429))</f>
        <v/>
      </c>
      <c r="W429" s="48">
        <f>IF(OR($M429="",$T429=""),"",$T429+(W$2*$M429))</f>
        <v/>
      </c>
      <c r="X429" s="49">
        <f>IF(OR($M429="",$T429=""),"",$T429+(X$2*$M429))</f>
        <v/>
      </c>
      <c r="Y429" s="47">
        <f>IF(OR($M429="",$T429=""),"",$T429+(Y$2*$M429))</f>
        <v/>
      </c>
      <c r="Z429" s="49">
        <f>IF(OR($M429="",$T429=""),"",$T429+(Z$2*$M429))</f>
        <v/>
      </c>
      <c r="AA429" s="51">
        <f>IF(OR($M429="",$T429=""),"",$T429+(AA$2*$M429))</f>
        <v/>
      </c>
      <c r="AB429" s="48">
        <f>IF(OR($M429="",$T429=""),"",$T429+(AB$2*$M429))</f>
        <v/>
      </c>
      <c r="AC429" s="48">
        <f>IF(OR($M429="",$T429=""),"",$T429+(AC$2*$M429))</f>
        <v/>
      </c>
      <c r="AD429" s="48">
        <f>IF(OR($M429="",$T429=""),"",$T429+(AD$2*$M429))</f>
        <v/>
      </c>
      <c r="AE429" s="49">
        <f>IF(OR($M429="",$T429=""),"",$T429+(AE$2*$M429))</f>
        <v/>
      </c>
      <c r="AF429" s="52">
        <f>IF(OR(T429="",I429&lt;T429),"",IFERROR(AVERAGE(T429+M429*{7,8,9,10,11})/IF(G429="",I429,G429)-1,""))</f>
        <v/>
      </c>
      <c r="AG429" s="55">
        <f>IF(OR(T429="",I429&lt;T429),"",IFERROR(AF429/-(R429/IF(G429="",I429,G429)-1),""))</f>
        <v/>
      </c>
      <c r="AH429" s="94" t="n">
        <v>1</v>
      </c>
      <c r="AI429" s="94" t="n">
        <v>196.335439715136</v>
      </c>
      <c r="AJ429" s="94" t="n">
        <v>1</v>
      </c>
      <c r="AK429" s="94" t="inlineStr">
        <is>
          <t>OTT Up Trend</t>
        </is>
      </c>
      <c r="AL429" s="84" t="inlineStr">
        <is>
          <t>Lockheed Martin Corporation</t>
        </is>
      </c>
      <c r="AM429" t="inlineStr">
        <is>
          <t>Industrials</t>
        </is>
      </c>
      <c r="AN429" t="inlineStr">
        <is>
          <t>Aerospace &amp; Defense</t>
        </is>
      </c>
      <c r="AO429" t="n">
        <v>71</v>
      </c>
    </row>
    <row r="430">
      <c r="A430" s="64" t="inlineStr">
        <is>
          <t>ON</t>
        </is>
      </c>
      <c r="B430" s="65" t="n"/>
      <c r="C430" s="66" t="n"/>
      <c r="D430" s="67" t="n"/>
      <c r="E430" s="68" t="n"/>
      <c r="F430" s="47">
        <f>IF(A430="","",IF(MIN(H430,MAX(J430:K430))=0,"",MIN(H430,MAX(J430:K430))))</f>
        <v/>
      </c>
      <c r="G430" s="74" t="n"/>
      <c r="H430" s="49">
        <f>IF(M430="","",IFERROR(ROUND(AVERAGE(T430+M430*{7,8,9,10,11})/1.21,4),""))</f>
        <v/>
      </c>
      <c r="I430" s="76" t="n">
        <v>60.33000183105469</v>
      </c>
      <c r="J430" s="77" t="n">
        <v>59.63737696881361</v>
      </c>
      <c r="K430" s="74" t="n">
        <v>57.77350006103516</v>
      </c>
      <c r="L430" s="78" t="n">
        <v>49.83965005874634</v>
      </c>
      <c r="M430" s="77" t="n">
        <v>2.032497248910371</v>
      </c>
      <c r="N430" s="53">
        <f>IF(M430="","",IFERROR(M430/I430,""))</f>
        <v/>
      </c>
      <c r="O430" s="50">
        <f>IF(A430="","",IFERROR((IF(G430="",I430,G430)-T430)/M430,""))</f>
        <v/>
      </c>
      <c r="P430" s="50">
        <f>IFERROR((I430/T430-1)/N430,"")</f>
        <v/>
      </c>
      <c r="Q430" s="46">
        <f>IF(OR(T430="",I430&lt;T430),"",IFERROR(R430/IF(G430="",I430,G430)-1,""))</f>
        <v/>
      </c>
      <c r="R430" s="48">
        <f>IF($M430="","",MAX(IF($G430="",$I430,$G430)*(1/1.1),IF($G430="",$I430,$G430)+(R$2*$M430)))</f>
        <v/>
      </c>
      <c r="S430" s="49">
        <f>IF($M430="","",MAX(IF($G430="",$I430,$G430)*(1/1.1),IF($G430="",$I430,$G430)+(S$2*$M430)))</f>
        <v/>
      </c>
      <c r="T430" s="82" t="n">
        <v>53.5512003326416</v>
      </c>
      <c r="U430" s="47">
        <f>IF(OR($M430="",$T430=""),"",$T430+(U$2*$M430))</f>
        <v/>
      </c>
      <c r="V430" s="48">
        <f>IF(OR($M430="",$T430=""),"",$T430+(V$2*$M430))</f>
        <v/>
      </c>
      <c r="W430" s="48">
        <f>IF(OR($M430="",$T430=""),"",$T430+(W$2*$M430))</f>
        <v/>
      </c>
      <c r="X430" s="49">
        <f>IF(OR($M430="",$T430=""),"",$T430+(X$2*$M430))</f>
        <v/>
      </c>
      <c r="Y430" s="47">
        <f>IF(OR($M430="",$T430=""),"",$T430+(Y$2*$M430))</f>
        <v/>
      </c>
      <c r="Z430" s="49">
        <f>IF(OR($M430="",$T430=""),"",$T430+(Z$2*$M430))</f>
        <v/>
      </c>
      <c r="AA430" s="51">
        <f>IF(OR($M430="",$T430=""),"",$T430+(AA$2*$M430))</f>
        <v/>
      </c>
      <c r="AB430" s="48">
        <f>IF(OR($M430="",$T430=""),"",$T430+(AB$2*$M430))</f>
        <v/>
      </c>
      <c r="AC430" s="48">
        <f>IF(OR($M430="",$T430=""),"",$T430+(AC$2*$M430))</f>
        <v/>
      </c>
      <c r="AD430" s="48">
        <f>IF(OR($M430="",$T430=""),"",$T430+(AD$2*$M430))</f>
        <v/>
      </c>
      <c r="AE430" s="49">
        <f>IF(OR($M430="",$T430=""),"",$T430+(AE$2*$M430))</f>
        <v/>
      </c>
      <c r="AF430" s="52">
        <f>IF(OR(T430="",I430&lt;T430),"",IFERROR(AVERAGE(T430+M430*{7,8,9,10,11})/IF(G430="",I430,G430)-1,""))</f>
        <v/>
      </c>
      <c r="AG430" s="55">
        <f>IF(OR(T430="",I430&lt;T430),"",IFERROR(AF430/-(R430/IF(G430="",I430,G430)-1),""))</f>
        <v/>
      </c>
      <c r="AH430" s="94" t="n">
        <v>1</v>
      </c>
      <c r="AI430" s="94" t="n">
        <v>95.61408189909815</v>
      </c>
      <c r="AJ430" s="94" t="n">
        <v>1</v>
      </c>
      <c r="AK430" s="94" t="inlineStr">
        <is>
          <t>OTT Up Trend</t>
        </is>
      </c>
      <c r="AL430" s="84" t="inlineStr">
        <is>
          <t>ON Semiconductor Corporation</t>
        </is>
      </c>
      <c r="AM430" t="inlineStr">
        <is>
          <t>Technology</t>
        </is>
      </c>
      <c r="AN430" t="inlineStr">
        <is>
          <t>Semiconductors</t>
        </is>
      </c>
      <c r="AO430" t="n">
        <v>71</v>
      </c>
    </row>
    <row r="431">
      <c r="A431" s="64" t="inlineStr">
        <is>
          <t>COF</t>
        </is>
      </c>
      <c r="B431" s="65" t="n"/>
      <c r="C431" s="66" t="n"/>
      <c r="D431" s="67" t="n"/>
      <c r="E431" s="68" t="n"/>
      <c r="F431" s="47">
        <f>IF(A431="","",IF(MIN(H431,MAX(J431:K431))=0,"",MIN(H431,MAX(J431:K431))))</f>
        <v/>
      </c>
      <c r="G431" s="74" t="n"/>
      <c r="H431" s="49">
        <f>IF(M431="","",IFERROR(ROUND(AVERAGE(T431+M431*{7,8,9,10,11})/1.21,4),""))</f>
        <v/>
      </c>
      <c r="I431" s="76" t="n">
        <v>239.1399993896484</v>
      </c>
      <c r="J431" s="77" t="n">
        <v>240.9307975679514</v>
      </c>
      <c r="K431" s="74" t="n">
        <v>245.0110000610352</v>
      </c>
      <c r="L431" s="78" t="n">
        <v>211.6926998138428</v>
      </c>
      <c r="M431" s="77" t="n">
        <v>6.425474693295543</v>
      </c>
      <c r="N431" s="53">
        <f>IF(M431="","",IFERROR(M431/I431,""))</f>
        <v/>
      </c>
      <c r="O431" s="50">
        <f>IF(A431="","",IFERROR((IF(G431="",I431,G431)-T431)/M431,""))</f>
        <v/>
      </c>
      <c r="P431" s="50">
        <f>IFERROR((I431/T431-1)/N431,"")</f>
        <v/>
      </c>
      <c r="Q431" s="46">
        <f>IF(OR(T431="",I431&lt;T431),"",IFERROR(R431/IF(G431="",I431,G431)-1,""))</f>
        <v/>
      </c>
      <c r="R431" s="48">
        <f>IF($M431="","",MAX(IF($G431="",$I431,$G431)*(1/1.1),IF($G431="",$I431,$G431)+(R$2*$M431)))</f>
        <v/>
      </c>
      <c r="S431" s="49">
        <f>IF($M431="","",MAX(IF($G431="",$I431,$G431)*(1/1.1),IF($G431="",$I431,$G431)+(S$2*$M431)))</f>
        <v/>
      </c>
      <c r="T431" s="82" t="n">
        <v>231.0023992919922</v>
      </c>
      <c r="U431" s="47">
        <f>IF(OR($M431="",$T431=""),"",$T431+(U$2*$M431))</f>
        <v/>
      </c>
      <c r="V431" s="48">
        <f>IF(OR($M431="",$T431=""),"",$T431+(V$2*$M431))</f>
        <v/>
      </c>
      <c r="W431" s="48">
        <f>IF(OR($M431="",$T431=""),"",$T431+(W$2*$M431))</f>
        <v/>
      </c>
      <c r="X431" s="49">
        <f>IF(OR($M431="",$T431=""),"",$T431+(X$2*$M431))</f>
        <v/>
      </c>
      <c r="Y431" s="47">
        <f>IF(OR($M431="",$T431=""),"",$T431+(Y$2*$M431))</f>
        <v/>
      </c>
      <c r="Z431" s="49">
        <f>IF(OR($M431="",$T431=""),"",$T431+(Z$2*$M431))</f>
        <v/>
      </c>
      <c r="AA431" s="51">
        <f>IF(OR($M431="",$T431=""),"",$T431+(AA$2*$M431))</f>
        <v/>
      </c>
      <c r="AB431" s="48">
        <f>IF(OR($M431="",$T431=""),"",$T431+(AB$2*$M431))</f>
        <v/>
      </c>
      <c r="AC431" s="48">
        <f>IF(OR($M431="",$T431=""),"",$T431+(AC$2*$M431))</f>
        <v/>
      </c>
      <c r="AD431" s="48">
        <f>IF(OR($M431="",$T431=""),"",$T431+(AD$2*$M431))</f>
        <v/>
      </c>
      <c r="AE431" s="49">
        <f>IF(OR($M431="",$T431=""),"",$T431+(AE$2*$M431))</f>
        <v/>
      </c>
      <c r="AF431" s="52">
        <f>IF(OR(T431="",I431&lt;T431),"",IFERROR(AVERAGE(T431+M431*{7,8,9,10,11})/IF(G431="",I431,G431)-1,""))</f>
        <v/>
      </c>
      <c r="AG431" s="55">
        <f>IF(OR(T431="",I431&lt;T431),"",IFERROR(AF431/-(R431/IF(G431="",I431,G431)-1),""))</f>
        <v/>
      </c>
      <c r="AH431" s="94" t="n">
        <v>-1</v>
      </c>
      <c r="AI431" s="94" t="n">
        <v>22.64493679503123</v>
      </c>
      <c r="AJ431" s="94" t="n">
        <v>0</v>
      </c>
      <c r="AK431" s="94" t="inlineStr">
        <is>
          <t>None</t>
        </is>
      </c>
      <c r="AL431" s="84" t="inlineStr">
        <is>
          <t>Capital One Financial Corporati</t>
        </is>
      </c>
      <c r="AM431" t="inlineStr">
        <is>
          <t>Financial Services</t>
        </is>
      </c>
      <c r="AN431" t="inlineStr">
        <is>
          <t>Credit Services</t>
        </is>
      </c>
      <c r="AO431" t="n">
        <v>71</v>
      </c>
    </row>
    <row r="432">
      <c r="A432" s="64" t="inlineStr">
        <is>
          <t>CRH</t>
        </is>
      </c>
      <c r="B432" s="65" t="n"/>
      <c r="C432" s="66" t="n"/>
      <c r="D432" s="67" t="n"/>
      <c r="E432" s="68" t="n"/>
      <c r="F432" s="47">
        <f>IF(A432="","",IF(MIN(H432,MAX(J432:K432))=0,"",MIN(H432,MAX(J432:K432))))</f>
        <v/>
      </c>
      <c r="G432" s="74" t="n"/>
      <c r="H432" s="49">
        <f>IF(M432="","",IFERROR(ROUND(AVERAGE(T432+M432*{7,8,9,10,11})/1.21,4),""))</f>
        <v/>
      </c>
      <c r="I432" s="76" t="n">
        <v>122.9700012207031</v>
      </c>
      <c r="J432" s="77" t="n">
        <v>125.3490875644363</v>
      </c>
      <c r="K432" s="74" t="n">
        <v>126.3779998779297</v>
      </c>
      <c r="L432" s="78" t="n">
        <v>106.6909999465942</v>
      </c>
      <c r="M432" s="77" t="n">
        <v>3.253532594198975</v>
      </c>
      <c r="N432" s="53">
        <f>IF(M432="","",IFERROR(M432/I432,""))</f>
        <v/>
      </c>
      <c r="O432" s="50">
        <f>IF(A432="","",IFERROR((IF(G432="",I432,G432)-T432)/M432,""))</f>
        <v/>
      </c>
      <c r="P432" s="50">
        <f>IFERROR((I432/T432-1)/N432,"")</f>
        <v/>
      </c>
      <c r="Q432" s="46">
        <f>IF(OR(T432="",I432&lt;T432),"",IFERROR(R432/IF(G432="",I432,G432)-1,""))</f>
        <v/>
      </c>
      <c r="R432" s="48">
        <f>IF($M432="","",MAX(IF($G432="",$I432,$G432)*(1/1.1),IF($G432="",$I432,$G432)+(R$2*$M432)))</f>
        <v/>
      </c>
      <c r="S432" s="49">
        <f>IF($M432="","",MAX(IF($G432="",$I432,$G432)*(1/1.1),IF($G432="",$I432,$G432)+(S$2*$M432)))</f>
        <v/>
      </c>
      <c r="T432" s="82" t="n">
        <v>121.0652003479004</v>
      </c>
      <c r="U432" s="47">
        <f>IF(OR($M432="",$T432=""),"",$T432+(U$2*$M432))</f>
        <v/>
      </c>
      <c r="V432" s="48">
        <f>IF(OR($M432="",$T432=""),"",$T432+(V$2*$M432))</f>
        <v/>
      </c>
      <c r="W432" s="48">
        <f>IF(OR($M432="",$T432=""),"",$T432+(W$2*$M432))</f>
        <v/>
      </c>
      <c r="X432" s="49">
        <f>IF(OR($M432="",$T432=""),"",$T432+(X$2*$M432))</f>
        <v/>
      </c>
      <c r="Y432" s="47">
        <f>IF(OR($M432="",$T432=""),"",$T432+(Y$2*$M432))</f>
        <v/>
      </c>
      <c r="Z432" s="49">
        <f>IF(OR($M432="",$T432=""),"",$T432+(Z$2*$M432))</f>
        <v/>
      </c>
      <c r="AA432" s="51">
        <f>IF(OR($M432="",$T432=""),"",$T432+(AA$2*$M432))</f>
        <v/>
      </c>
      <c r="AB432" s="48">
        <f>IF(OR($M432="",$T432=""),"",$T432+(AB$2*$M432))</f>
        <v/>
      </c>
      <c r="AC432" s="48">
        <f>IF(OR($M432="",$T432=""),"",$T432+(AC$2*$M432))</f>
        <v/>
      </c>
      <c r="AD432" s="48">
        <f>IF(OR($M432="",$T432=""),"",$T432+(AD$2*$M432))</f>
        <v/>
      </c>
      <c r="AE432" s="49">
        <f>IF(OR($M432="",$T432=""),"",$T432+(AE$2*$M432))</f>
        <v/>
      </c>
      <c r="AF432" s="52">
        <f>IF(OR(T432="",I432&lt;T432),"",IFERROR(AVERAGE(T432+M432*{7,8,9,10,11})/IF(G432="",I432,G432)-1,""))</f>
        <v/>
      </c>
      <c r="AG432" s="55">
        <f>IF(OR(T432="",I432&lt;T432),"",IFERROR(AF432/-(R432/IF(G432="",I432,G432)-1),""))</f>
        <v/>
      </c>
      <c r="AH432" s="94" t="n">
        <v>1</v>
      </c>
      <c r="AI432" s="94" t="n">
        <v>19.70385603224535</v>
      </c>
      <c r="AJ432" s="94" t="n">
        <v>0</v>
      </c>
      <c r="AK432" s="94" t="inlineStr">
        <is>
          <t>OTT Up Trend</t>
        </is>
      </c>
      <c r="AL432" s="84" t="inlineStr">
        <is>
          <t>CRH PLC</t>
        </is>
      </c>
      <c r="AM432" t="inlineStr">
        <is>
          <t>Basic Materials</t>
        </is>
      </c>
      <c r="AN432" t="inlineStr">
        <is>
          <t>Building Materials</t>
        </is>
      </c>
      <c r="AO432" t="n">
        <v>71</v>
      </c>
    </row>
    <row r="433">
      <c r="A433" s="64" t="inlineStr">
        <is>
          <t>TWI</t>
        </is>
      </c>
      <c r="B433" s="65" t="n"/>
      <c r="C433" s="66" t="n"/>
      <c r="D433" s="67" t="n"/>
      <c r="E433" s="68" t="n"/>
      <c r="F433" s="47">
        <f>IF(A433="","",IF(MIN(H433,MAX(J433:K433))=0,"",MIN(H433,MAX(J433:K433))))</f>
        <v/>
      </c>
      <c r="G433" s="74" t="n"/>
      <c r="H433" s="49">
        <f>IF(M433="","",IFERROR(ROUND(AVERAGE(T433+M433*{7,8,9,10,11})/1.21,4),""))</f>
        <v/>
      </c>
      <c r="I433" s="76" t="n">
        <v>9.289999961853027</v>
      </c>
      <c r="J433" s="77" t="n">
        <v>8.757928122984394</v>
      </c>
      <c r="K433" s="74" t="n">
        <v>8.271500015258789</v>
      </c>
      <c r="L433" s="78" t="n">
        <v>8.187350015640259</v>
      </c>
      <c r="M433" s="77" t="n">
        <v>0.3328897543414353</v>
      </c>
      <c r="N433" s="53">
        <f>IF(M433="","",IFERROR(M433/I433,""))</f>
        <v/>
      </c>
      <c r="O433" s="50">
        <f>IF(A433="","",IFERROR((IF(G433="",I433,G433)-T433)/M433,""))</f>
        <v/>
      </c>
      <c r="P433" s="50">
        <f>IFERROR((I433/T433-1)/N433,"")</f>
        <v/>
      </c>
      <c r="Q433" s="46">
        <f>IF(OR(T433="",I433&lt;T433),"",IFERROR(R433/IF(G433="",I433,G433)-1,""))</f>
        <v/>
      </c>
      <c r="R433" s="48">
        <f>IF($M433="","",MAX(IF($G433="",$I433,$G433)*(1/1.1),IF($G433="",$I433,$G433)+(R$2*$M433)))</f>
        <v/>
      </c>
      <c r="S433" s="49">
        <f>IF($M433="","",MAX(IF($G433="",$I433,$G433)*(1/1.1),IF($G433="",$I433,$G433)+(S$2*$M433)))</f>
        <v/>
      </c>
      <c r="T433" s="82" t="n">
        <v>8.08980001449585</v>
      </c>
      <c r="U433" s="47">
        <f>IF(OR($M433="",$T433=""),"",$T433+(U$2*$M433))</f>
        <v/>
      </c>
      <c r="V433" s="48">
        <f>IF(OR($M433="",$T433=""),"",$T433+(V$2*$M433))</f>
        <v/>
      </c>
      <c r="W433" s="48">
        <f>IF(OR($M433="",$T433=""),"",$T433+(W$2*$M433))</f>
        <v/>
      </c>
      <c r="X433" s="49">
        <f>IF(OR($M433="",$T433=""),"",$T433+(X$2*$M433))</f>
        <v/>
      </c>
      <c r="Y433" s="47">
        <f>IF(OR($M433="",$T433=""),"",$T433+(Y$2*$M433))</f>
        <v/>
      </c>
      <c r="Z433" s="49">
        <f>IF(OR($M433="",$T433=""),"",$T433+(Z$2*$M433))</f>
        <v/>
      </c>
      <c r="AA433" s="51">
        <f>IF(OR($M433="",$T433=""),"",$T433+(AA$2*$M433))</f>
        <v/>
      </c>
      <c r="AB433" s="48">
        <f>IF(OR($M433="",$T433=""),"",$T433+(AB$2*$M433))</f>
        <v/>
      </c>
      <c r="AC433" s="48">
        <f>IF(OR($M433="",$T433=""),"",$T433+(AC$2*$M433))</f>
        <v/>
      </c>
      <c r="AD433" s="48">
        <f>IF(OR($M433="",$T433=""),"",$T433+(AD$2*$M433))</f>
        <v/>
      </c>
      <c r="AE433" s="49">
        <f>IF(OR($M433="",$T433=""),"",$T433+(AE$2*$M433))</f>
        <v/>
      </c>
      <c r="AF433" s="52">
        <f>IF(OR(T433="",I433&lt;T433),"",IFERROR(AVERAGE(T433+M433*{7,8,9,10,11})/IF(G433="",I433,G433)-1,""))</f>
        <v/>
      </c>
      <c r="AG433" s="55">
        <f>IF(OR(T433="",I433&lt;T433),"",IFERROR(AF433/-(R433/IF(G433="",I433,G433)-1),""))</f>
        <v/>
      </c>
      <c r="AH433" s="94" t="n">
        <v>1</v>
      </c>
      <c r="AI433" s="94" t="n">
        <v>86.13139150616107</v>
      </c>
      <c r="AJ433" s="94" t="n">
        <v>1</v>
      </c>
      <c r="AK433" s="94" t="inlineStr">
        <is>
          <t>OTT Up Trend</t>
        </is>
      </c>
      <c r="AL433" s="84" t="inlineStr">
        <is>
          <t>Titan International, Inc. (DE)</t>
        </is>
      </c>
      <c r="AM433" t="inlineStr">
        <is>
          <t>Industrials</t>
        </is>
      </c>
      <c r="AN433" t="inlineStr">
        <is>
          <t>Farm &amp; Heavy Construction Machinery</t>
        </is>
      </c>
      <c r="AO433" t="n">
        <v>71</v>
      </c>
    </row>
    <row r="434">
      <c r="A434" s="64" t="inlineStr">
        <is>
          <t>AUB</t>
        </is>
      </c>
      <c r="B434" s="65" t="n"/>
      <c r="C434" s="66" t="n"/>
      <c r="D434" s="67" t="n"/>
      <c r="E434" s="68" t="n"/>
      <c r="F434" s="47">
        <f>IF(A434="","",IF(MIN(H434,MAX(J434:K434))=0,"",MIN(H434,MAX(J434:K434))))</f>
        <v/>
      </c>
      <c r="G434" s="74" t="n"/>
      <c r="H434" s="49">
        <f>IF(M434="","",IFERROR(ROUND(AVERAGE(T434+M434*{7,8,9,10,11})/1.21,4),""))</f>
        <v/>
      </c>
      <c r="I434" s="76" t="n">
        <v>38.34000015258789</v>
      </c>
      <c r="J434" s="77" t="n">
        <v>37.29687519900347</v>
      </c>
      <c r="K434" s="74" t="n">
        <v>36.69250030517578</v>
      </c>
      <c r="L434" s="78" t="n">
        <v>32.7136000919342</v>
      </c>
      <c r="M434" s="77" t="n">
        <v>0.8351681034703502</v>
      </c>
      <c r="N434" s="53">
        <f>IF(M434="","",IFERROR(M434/I434,""))</f>
        <v/>
      </c>
      <c r="O434" s="50">
        <f>IF(A434="","",IFERROR((IF(G434="",I434,G434)-T434)/M434,""))</f>
        <v/>
      </c>
      <c r="P434" s="50">
        <f>IFERROR((I434/T434-1)/N434,"")</f>
        <v/>
      </c>
      <c r="Q434" s="46">
        <f>IF(OR(T434="",I434&lt;T434),"",IFERROR(R434/IF(G434="",I434,G434)-1,""))</f>
        <v/>
      </c>
      <c r="R434" s="48">
        <f>IF($M434="","",MAX(IF($G434="",$I434,$G434)*(1/1.1),IF($G434="",$I434,$G434)+(R$2*$M434)))</f>
        <v/>
      </c>
      <c r="S434" s="49">
        <f>IF($M434="","",MAX(IF($G434="",$I434,$G434)*(1/1.1),IF($G434="",$I434,$G434)+(S$2*$M434)))</f>
        <v/>
      </c>
      <c r="T434" s="82" t="n">
        <v>35.01820011138916</v>
      </c>
      <c r="U434" s="47">
        <f>IF(OR($M434="",$T434=""),"",$T434+(U$2*$M434))</f>
        <v/>
      </c>
      <c r="V434" s="48">
        <f>IF(OR($M434="",$T434=""),"",$T434+(V$2*$M434))</f>
        <v/>
      </c>
      <c r="W434" s="48">
        <f>IF(OR($M434="",$T434=""),"",$T434+(W$2*$M434))</f>
        <v/>
      </c>
      <c r="X434" s="49">
        <f>IF(OR($M434="",$T434=""),"",$T434+(X$2*$M434))</f>
        <v/>
      </c>
      <c r="Y434" s="47">
        <f>IF(OR($M434="",$T434=""),"",$T434+(Y$2*$M434))</f>
        <v/>
      </c>
      <c r="Z434" s="49">
        <f>IF(OR($M434="",$T434=""),"",$T434+(Z$2*$M434))</f>
        <v/>
      </c>
      <c r="AA434" s="51">
        <f>IF(OR($M434="",$T434=""),"",$T434+(AA$2*$M434))</f>
        <v/>
      </c>
      <c r="AB434" s="48">
        <f>IF(OR($M434="",$T434=""),"",$T434+(AB$2*$M434))</f>
        <v/>
      </c>
      <c r="AC434" s="48">
        <f>IF(OR($M434="",$T434=""),"",$T434+(AC$2*$M434))</f>
        <v/>
      </c>
      <c r="AD434" s="48">
        <f>IF(OR($M434="",$T434=""),"",$T434+(AD$2*$M434))</f>
        <v/>
      </c>
      <c r="AE434" s="49">
        <f>IF(OR($M434="",$T434=""),"",$T434+(AE$2*$M434))</f>
        <v/>
      </c>
      <c r="AF434" s="52">
        <f>IF(OR(T434="",I434&lt;T434),"",IFERROR(AVERAGE(T434+M434*{7,8,9,10,11})/IF(G434="",I434,G434)-1,""))</f>
        <v/>
      </c>
      <c r="AG434" s="55">
        <f>IF(OR(T434="",I434&lt;T434),"",IFERROR(AF434/-(R434/IF(G434="",I434,G434)-1),""))</f>
        <v/>
      </c>
      <c r="AH434" s="94" t="n">
        <v>1</v>
      </c>
      <c r="AI434" s="94" t="n">
        <v>81.57899578493789</v>
      </c>
      <c r="AJ434" s="94" t="n">
        <v>1</v>
      </c>
      <c r="AK434" s="94" t="inlineStr">
        <is>
          <t>OTT Up Trend</t>
        </is>
      </c>
      <c r="AL434" s="84" t="inlineStr">
        <is>
          <t>Atlantic Union Bankshares Corpo</t>
        </is>
      </c>
      <c r="AM434" t="inlineStr">
        <is>
          <t>Financial Services</t>
        </is>
      </c>
      <c r="AN434" t="inlineStr">
        <is>
          <t>Banks - Regional</t>
        </is>
      </c>
      <c r="AO434" t="n">
        <v>71</v>
      </c>
    </row>
    <row r="435">
      <c r="A435" s="64" t="inlineStr">
        <is>
          <t>BRKR</t>
        </is>
      </c>
      <c r="B435" s="65" t="n"/>
      <c r="C435" s="66" t="n"/>
      <c r="D435" s="67" t="n"/>
      <c r="E435" s="68" t="n"/>
      <c r="F435" s="47">
        <f>IF(A435="","",IF(MIN(H435,MAX(J435:K435))=0,"",MIN(H435,MAX(J435:K435))))</f>
        <v/>
      </c>
      <c r="G435" s="74" t="n"/>
      <c r="H435" s="49">
        <f>IF(M435="","",IFERROR(ROUND(AVERAGE(T435+M435*{7,8,9,10,11})/1.21,4),""))</f>
        <v/>
      </c>
      <c r="I435" s="76" t="n">
        <v>48.38999938964844</v>
      </c>
      <c r="J435" s="77" t="n">
        <v>50.24772033534297</v>
      </c>
      <c r="K435" s="74" t="n">
        <v>49.51899948120117</v>
      </c>
      <c r="L435" s="78" t="n">
        <v>39.51254999160766</v>
      </c>
      <c r="M435" s="77" t="n">
        <v>2.115549868918227</v>
      </c>
      <c r="N435" s="53">
        <f>IF(M435="","",IFERROR(M435/I435,""))</f>
        <v/>
      </c>
      <c r="O435" s="50">
        <f>IF(A435="","",IFERROR((IF(G435="",I435,G435)-T435)/M435,""))</f>
        <v/>
      </c>
      <c r="P435" s="50">
        <f>IFERROR((I435/T435-1)/N435,"")</f>
        <v/>
      </c>
      <c r="Q435" s="46">
        <f>IF(OR(T435="",I435&lt;T435),"",IFERROR(R435/IF(G435="",I435,G435)-1,""))</f>
        <v/>
      </c>
      <c r="R435" s="48">
        <f>IF($M435="","",MAX(IF($G435="",$I435,$G435)*(1/1.1),IF($G435="",$I435,$G435)+(R$2*$M435)))</f>
        <v/>
      </c>
      <c r="S435" s="49">
        <f>IF($M435="","",MAX(IF($G435="",$I435,$G435)*(1/1.1),IF($G435="",$I435,$G435)+(S$2*$M435)))</f>
        <v/>
      </c>
      <c r="T435" s="82" t="n">
        <v>46.72259986877442</v>
      </c>
      <c r="U435" s="47">
        <f>IF(OR($M435="",$T435=""),"",$T435+(U$2*$M435))</f>
        <v/>
      </c>
      <c r="V435" s="48">
        <f>IF(OR($M435="",$T435=""),"",$T435+(V$2*$M435))</f>
        <v/>
      </c>
      <c r="W435" s="48">
        <f>IF(OR($M435="",$T435=""),"",$T435+(W$2*$M435))</f>
        <v/>
      </c>
      <c r="X435" s="49">
        <f>IF(OR($M435="",$T435=""),"",$T435+(X$2*$M435))</f>
        <v/>
      </c>
      <c r="Y435" s="47">
        <f>IF(OR($M435="",$T435=""),"",$T435+(Y$2*$M435))</f>
        <v/>
      </c>
      <c r="Z435" s="49">
        <f>IF(OR($M435="",$T435=""),"",$T435+(Z$2*$M435))</f>
        <v/>
      </c>
      <c r="AA435" s="51">
        <f>IF(OR($M435="",$T435=""),"",$T435+(AA$2*$M435))</f>
        <v/>
      </c>
      <c r="AB435" s="48">
        <f>IF(OR($M435="",$T435=""),"",$T435+(AB$2*$M435))</f>
        <v/>
      </c>
      <c r="AC435" s="48">
        <f>IF(OR($M435="",$T435=""),"",$T435+(AC$2*$M435))</f>
        <v/>
      </c>
      <c r="AD435" s="48">
        <f>IF(OR($M435="",$T435=""),"",$T435+(AD$2*$M435))</f>
        <v/>
      </c>
      <c r="AE435" s="49">
        <f>IF(OR($M435="",$T435=""),"",$T435+(AE$2*$M435))</f>
        <v/>
      </c>
      <c r="AF435" s="52">
        <f>IF(OR(T435="",I435&lt;T435),"",IFERROR(AVERAGE(T435+M435*{7,8,9,10,11})/IF(G435="",I435,G435)-1,""))</f>
        <v/>
      </c>
      <c r="AG435" s="55">
        <f>IF(OR(T435="",I435&lt;T435),"",IFERROR(AF435/-(R435/IF(G435="",I435,G435)-1),""))</f>
        <v/>
      </c>
      <c r="AH435" s="94" t="n">
        <v>1</v>
      </c>
      <c r="AI435" s="94" t="n">
        <v>60.68423428902739</v>
      </c>
      <c r="AJ435" s="94" t="n">
        <v>0</v>
      </c>
      <c r="AK435" s="94" t="inlineStr">
        <is>
          <t>OTT Up Trend</t>
        </is>
      </c>
      <c r="AL435" s="84" t="inlineStr">
        <is>
          <t>Bruker Corporation</t>
        </is>
      </c>
      <c r="AM435" t="inlineStr">
        <is>
          <t>Healthcare</t>
        </is>
      </c>
      <c r="AN435" t="inlineStr">
        <is>
          <t>Medical Devices</t>
        </is>
      </c>
      <c r="AO435" t="n">
        <v>71</v>
      </c>
    </row>
    <row r="436">
      <c r="A436" s="64" t="inlineStr">
        <is>
          <t>NDAQ</t>
        </is>
      </c>
      <c r="B436" s="65" t="n"/>
      <c r="C436" s="66" t="n"/>
      <c r="D436" s="67" t="n"/>
      <c r="E436" s="68" t="n"/>
      <c r="F436" s="47">
        <f>IF(A436="","",IF(MIN(H436,MAX(J436:K436))=0,"",MIN(H436,MAX(J436:K436))))</f>
        <v/>
      </c>
      <c r="G436" s="74" t="n"/>
      <c r="H436" s="49">
        <f>IF(M436="","",IFERROR(ROUND(AVERAGE(T436+M436*{7,8,9,10,11})/1.21,4),""))</f>
        <v/>
      </c>
      <c r="I436" s="76" t="n">
        <v>100.9800033569336</v>
      </c>
      <c r="J436" s="77" t="n">
        <v>99.52372552757647</v>
      </c>
      <c r="K436" s="74" t="n">
        <v>98.57900009155273</v>
      </c>
      <c r="L436" s="78" t="n">
        <v>88.25200008392333</v>
      </c>
      <c r="M436" s="77" t="n">
        <v>1.657881435448336</v>
      </c>
      <c r="N436" s="53">
        <f>IF(M436="","",IFERROR(M436/I436,""))</f>
        <v/>
      </c>
      <c r="O436" s="50">
        <f>IF(A436="","",IFERROR((IF(G436="",I436,G436)-T436)/M436,""))</f>
        <v/>
      </c>
      <c r="P436" s="50">
        <f>IFERROR((I436/T436-1)/N436,"")</f>
        <v/>
      </c>
      <c r="Q436" s="46">
        <f>IF(OR(T436="",I436&lt;T436),"",IFERROR(R436/IF(G436="",I436,G436)-1,""))</f>
        <v/>
      </c>
      <c r="R436" s="48">
        <f>IF($M436="","",MAX(IF($G436="",$I436,$G436)*(1/1.1),IF($G436="",$I436,$G436)+(R$2*$M436)))</f>
        <v/>
      </c>
      <c r="S436" s="49">
        <f>IF($M436="","",MAX(IF($G436="",$I436,$G436)*(1/1.1),IF($G436="",$I436,$G436)+(S$2*$M436)))</f>
        <v/>
      </c>
      <c r="T436" s="82" t="n">
        <v>92.92040008544922</v>
      </c>
      <c r="U436" s="47">
        <f>IF(OR($M436="",$T436=""),"",$T436+(U$2*$M436))</f>
        <v/>
      </c>
      <c r="V436" s="48">
        <f>IF(OR($M436="",$T436=""),"",$T436+(V$2*$M436))</f>
        <v/>
      </c>
      <c r="W436" s="48">
        <f>IF(OR($M436="",$T436=""),"",$T436+(W$2*$M436))</f>
        <v/>
      </c>
      <c r="X436" s="49">
        <f>IF(OR($M436="",$T436=""),"",$T436+(X$2*$M436))</f>
        <v/>
      </c>
      <c r="Y436" s="47">
        <f>IF(OR($M436="",$T436=""),"",$T436+(Y$2*$M436))</f>
        <v/>
      </c>
      <c r="Z436" s="49">
        <f>IF(OR($M436="",$T436=""),"",$T436+(Z$2*$M436))</f>
        <v/>
      </c>
      <c r="AA436" s="51">
        <f>IF(OR($M436="",$T436=""),"",$T436+(AA$2*$M436))</f>
        <v/>
      </c>
      <c r="AB436" s="48">
        <f>IF(OR($M436="",$T436=""),"",$T436+(AB$2*$M436))</f>
        <v/>
      </c>
      <c r="AC436" s="48">
        <f>IF(OR($M436="",$T436=""),"",$T436+(AC$2*$M436))</f>
        <v/>
      </c>
      <c r="AD436" s="48">
        <f>IF(OR($M436="",$T436=""),"",$T436+(AD$2*$M436))</f>
        <v/>
      </c>
      <c r="AE436" s="49">
        <f>IF(OR($M436="",$T436=""),"",$T436+(AE$2*$M436))</f>
        <v/>
      </c>
      <c r="AF436" s="52">
        <f>IF(OR(T436="",I436&lt;T436),"",IFERROR(AVERAGE(T436+M436*{7,8,9,10,11})/IF(G436="",I436,G436)-1,""))</f>
        <v/>
      </c>
      <c r="AG436" s="55">
        <f>IF(OR(T436="",I436&lt;T436),"",IFERROR(AF436/-(R436/IF(G436="",I436,G436)-1),""))</f>
        <v/>
      </c>
      <c r="AH436" s="94" t="n">
        <v>1</v>
      </c>
      <c r="AI436" s="94" t="n">
        <v>126.1148459361576</v>
      </c>
      <c r="AJ436" s="94" t="n">
        <v>0</v>
      </c>
      <c r="AK436" s="94" t="inlineStr">
        <is>
          <t>OTT Up Trend</t>
        </is>
      </c>
      <c r="AL436" s="84" t="inlineStr">
        <is>
          <t>Nasdaq, Inc.</t>
        </is>
      </c>
      <c r="AM436" t="inlineStr">
        <is>
          <t>Financial Services</t>
        </is>
      </c>
      <c r="AN436" t="inlineStr">
        <is>
          <t>Financial Data &amp; Stock Exchanges</t>
        </is>
      </c>
      <c r="AO436" t="n">
        <v>71</v>
      </c>
    </row>
    <row r="437">
      <c r="A437" s="64" t="inlineStr">
        <is>
          <t>ADNT</t>
        </is>
      </c>
      <c r="B437" s="65" t="n"/>
      <c r="C437" s="66" t="n"/>
      <c r="D437" s="67" t="n"/>
      <c r="E437" s="68" t="n"/>
      <c r="F437" s="47">
        <f>IF(A437="","",IF(MIN(H437,MAX(J437:K437))=0,"",MIN(H437,MAX(J437:K437))))</f>
        <v/>
      </c>
      <c r="G437" s="74" t="n"/>
      <c r="H437" s="49">
        <f>IF(M437="","",IFERROR(ROUND(AVERAGE(T437+M437*{7,8,9,10,11})/1.21,4),""))</f>
        <v/>
      </c>
      <c r="I437" s="76" t="n">
        <v>22.03000068664551</v>
      </c>
      <c r="J437" s="77" t="n">
        <v>21.41886863299887</v>
      </c>
      <c r="K437" s="74" t="n">
        <v>20.19500045776367</v>
      </c>
      <c r="L437" s="78" t="n">
        <v>19.87455001831055</v>
      </c>
      <c r="M437" s="77" t="n">
        <v>0.8570918895002697</v>
      </c>
      <c r="N437" s="53">
        <f>IF(M437="","",IFERROR(M437/I437,""))</f>
        <v/>
      </c>
      <c r="O437" s="50">
        <f>IF(A437="","",IFERROR((IF(G437="",I437,G437)-T437)/M437,""))</f>
        <v/>
      </c>
      <c r="P437" s="50">
        <f>IFERROR((I437/T437-1)/N437,"")</f>
        <v/>
      </c>
      <c r="Q437" s="46">
        <f>IF(OR(T437="",I437&lt;T437),"",IFERROR(R437/IF(G437="",I437,G437)-1,""))</f>
        <v/>
      </c>
      <c r="R437" s="48">
        <f>IF($M437="","",MAX(IF($G437="",$I437,$G437)*(1/1.1),IF($G437="",$I437,$G437)+(R$2*$M437)))</f>
        <v/>
      </c>
      <c r="S437" s="49">
        <f>IF($M437="","",MAX(IF($G437="",$I437,$G437)*(1/1.1),IF($G437="",$I437,$G437)+(S$2*$M437)))</f>
        <v/>
      </c>
      <c r="T437" s="82" t="n">
        <v>19.65460014343262</v>
      </c>
      <c r="U437" s="47">
        <f>IF(OR($M437="",$T437=""),"",$T437+(U$2*$M437))</f>
        <v/>
      </c>
      <c r="V437" s="48">
        <f>IF(OR($M437="",$T437=""),"",$T437+(V$2*$M437))</f>
        <v/>
      </c>
      <c r="W437" s="48">
        <f>IF(OR($M437="",$T437=""),"",$T437+(W$2*$M437))</f>
        <v/>
      </c>
      <c r="X437" s="49">
        <f>IF(OR($M437="",$T437=""),"",$T437+(X$2*$M437))</f>
        <v/>
      </c>
      <c r="Y437" s="47">
        <f>IF(OR($M437="",$T437=""),"",$T437+(Y$2*$M437))</f>
        <v/>
      </c>
      <c r="Z437" s="49">
        <f>IF(OR($M437="",$T437=""),"",$T437+(Z$2*$M437))</f>
        <v/>
      </c>
      <c r="AA437" s="51">
        <f>IF(OR($M437="",$T437=""),"",$T437+(AA$2*$M437))</f>
        <v/>
      </c>
      <c r="AB437" s="48">
        <f>IF(OR($M437="",$T437=""),"",$T437+(AB$2*$M437))</f>
        <v/>
      </c>
      <c r="AC437" s="48">
        <f>IF(OR($M437="",$T437=""),"",$T437+(AC$2*$M437))</f>
        <v/>
      </c>
      <c r="AD437" s="48">
        <f>IF(OR($M437="",$T437=""),"",$T437+(AD$2*$M437))</f>
        <v/>
      </c>
      <c r="AE437" s="49">
        <f>IF(OR($M437="",$T437=""),"",$T437+(AE$2*$M437))</f>
        <v/>
      </c>
      <c r="AF437" s="52">
        <f>IF(OR(T437="",I437&lt;T437),"",IFERROR(AVERAGE(T437+M437*{7,8,9,10,11})/IF(G437="",I437,G437)-1,""))</f>
        <v/>
      </c>
      <c r="AG437" s="55">
        <f>IF(OR(T437="",I437&lt;T437),"",IFERROR(AF437/-(R437/IF(G437="",I437,G437)-1),""))</f>
        <v/>
      </c>
      <c r="AH437" s="94" t="n">
        <v>1</v>
      </c>
      <c r="AI437" s="94" t="n">
        <v>90.53705284365049</v>
      </c>
      <c r="AJ437" s="94" t="n">
        <v>1</v>
      </c>
      <c r="AK437" s="94" t="inlineStr">
        <is>
          <t>None</t>
        </is>
      </c>
      <c r="AL437" s="84" t="inlineStr">
        <is>
          <t>Adient plc</t>
        </is>
      </c>
      <c r="AM437" t="inlineStr">
        <is>
          <t>Consumer Cyclical</t>
        </is>
      </c>
      <c r="AN437" t="inlineStr">
        <is>
          <t>Auto Parts</t>
        </is>
      </c>
      <c r="AO437" t="n">
        <v>71</v>
      </c>
    </row>
    <row r="438">
      <c r="A438" s="64" t="inlineStr">
        <is>
          <t>COR</t>
        </is>
      </c>
      <c r="B438" s="65" t="n"/>
      <c r="C438" s="66" t="n"/>
      <c r="D438" s="67" t="n"/>
      <c r="E438" s="68" t="n"/>
      <c r="F438" s="47">
        <f>IF(A438="","",IF(MIN(H438,MAX(J438:K438))=0,"",MIN(H438,MAX(J438:K438))))</f>
        <v/>
      </c>
      <c r="G438" s="74" t="n"/>
      <c r="H438" s="49">
        <f>IF(M438="","",IFERROR(ROUND(AVERAGE(T438+M438*{7,8,9,10,11})/1.21,4),""))</f>
        <v/>
      </c>
      <c r="I438" s="76" t="n">
        <v>354.8500061035156</v>
      </c>
      <c r="J438" s="77" t="n">
        <v>346.7514518721274</v>
      </c>
      <c r="K438" s="74" t="n">
        <v>342.3585006713867</v>
      </c>
      <c r="L438" s="78" t="n">
        <v>310.1013504028321</v>
      </c>
      <c r="M438" s="77" t="n">
        <v>6.613185595012704</v>
      </c>
      <c r="N438" s="53">
        <f>IF(M438="","",IFERROR(M438/I438,""))</f>
        <v/>
      </c>
      <c r="O438" s="50">
        <f>IF(A438="","",IFERROR((IF(G438="",I438,G438)-T438)/M438,""))</f>
        <v/>
      </c>
      <c r="P438" s="50">
        <f>IFERROR((I438/T438-1)/N438,"")</f>
        <v/>
      </c>
      <c r="Q438" s="46">
        <f>IF(OR(T438="",I438&lt;T438),"",IFERROR(R438/IF(G438="",I438,G438)-1,""))</f>
        <v/>
      </c>
      <c r="R438" s="48">
        <f>IF($M438="","",MAX(IF($G438="",$I438,$G438)*(1/1.1),IF($G438="",$I438,$G438)+(R$2*$M438)))</f>
        <v/>
      </c>
      <c r="S438" s="49">
        <f>IF($M438="","",MAX(IF($G438="",$I438,$G438)*(1/1.1),IF($G438="",$I438,$G438)+(S$2*$M438)))</f>
        <v/>
      </c>
      <c r="T438" s="82" t="n">
        <v>350.1398016357422</v>
      </c>
      <c r="U438" s="47">
        <f>IF(OR($M438="",$T438=""),"",$T438+(U$2*$M438))</f>
        <v/>
      </c>
      <c r="V438" s="48">
        <f>IF(OR($M438="",$T438=""),"",$T438+(V$2*$M438))</f>
        <v/>
      </c>
      <c r="W438" s="48">
        <f>IF(OR($M438="",$T438=""),"",$T438+(W$2*$M438))</f>
        <v/>
      </c>
      <c r="X438" s="49">
        <f>IF(OR($M438="",$T438=""),"",$T438+(X$2*$M438))</f>
        <v/>
      </c>
      <c r="Y438" s="47">
        <f>IF(OR($M438="",$T438=""),"",$T438+(Y$2*$M438))</f>
        <v/>
      </c>
      <c r="Z438" s="49">
        <f>IF(OR($M438="",$T438=""),"",$T438+(Z$2*$M438))</f>
        <v/>
      </c>
      <c r="AA438" s="51">
        <f>IF(OR($M438="",$T438=""),"",$T438+(AA$2*$M438))</f>
        <v/>
      </c>
      <c r="AB438" s="48">
        <f>IF(OR($M438="",$T438=""),"",$T438+(AB$2*$M438))</f>
        <v/>
      </c>
      <c r="AC438" s="48">
        <f>IF(OR($M438="",$T438=""),"",$T438+(AC$2*$M438))</f>
        <v/>
      </c>
      <c r="AD438" s="48">
        <f>IF(OR($M438="",$T438=""),"",$T438+(AD$2*$M438))</f>
        <v/>
      </c>
      <c r="AE438" s="49">
        <f>IF(OR($M438="",$T438=""),"",$T438+(AE$2*$M438))</f>
        <v/>
      </c>
      <c r="AF438" s="52">
        <f>IF(OR(T438="",I438&lt;T438),"",IFERROR(AVERAGE(T438+M438*{7,8,9,10,11})/IF(G438="",I438,G438)-1,""))</f>
        <v/>
      </c>
      <c r="AG438" s="55">
        <f>IF(OR(T438="",I438&lt;T438),"",IFERROR(AF438/-(R438/IF(G438="",I438,G438)-1),""))</f>
        <v/>
      </c>
      <c r="AH438" s="94" t="n">
        <v>1</v>
      </c>
      <c r="AI438" s="94" t="n">
        <v>19.6115470868265</v>
      </c>
      <c r="AJ438" s="94" t="n">
        <v>1</v>
      </c>
      <c r="AK438" s="94" t="inlineStr">
        <is>
          <t>None</t>
        </is>
      </c>
      <c r="AL438" s="84" t="inlineStr">
        <is>
          <t>Cencora, Inc.</t>
        </is>
      </c>
      <c r="AM438" t="inlineStr">
        <is>
          <t>Healthcare</t>
        </is>
      </c>
      <c r="AN438" t="inlineStr">
        <is>
          <t>Medical Distribution</t>
        </is>
      </c>
      <c r="AO438" t="n">
        <v>71</v>
      </c>
    </row>
    <row r="439">
      <c r="A439" s="64" t="inlineStr">
        <is>
          <t>RF</t>
        </is>
      </c>
      <c r="B439" s="65" t="n"/>
      <c r="C439" s="66" t="n"/>
      <c r="D439" s="67" t="n"/>
      <c r="E439" s="68" t="n"/>
      <c r="F439" s="47">
        <f>IF(A439="","",IF(MIN(H439,MAX(J439:K439))=0,"",MIN(H439,MAX(J439:K439))))</f>
        <v/>
      </c>
      <c r="G439" s="74" t="n"/>
      <c r="H439" s="49">
        <f>IF(M439="","",IFERROR(ROUND(AVERAGE(T439+M439*{7,8,9,10,11})/1.21,4),""))</f>
        <v/>
      </c>
      <c r="I439" s="76" t="n">
        <v>27.77000045776367</v>
      </c>
      <c r="J439" s="77" t="n">
        <v>28.11692777837213</v>
      </c>
      <c r="K439" s="74" t="n">
        <v>27.94499988555908</v>
      </c>
      <c r="L439" s="78" t="n">
        <v>24.49260001182556</v>
      </c>
      <c r="M439" s="77" t="n">
        <v>0.6068080721577978</v>
      </c>
      <c r="N439" s="53">
        <f>IF(M439="","",IFERROR(M439/I439,""))</f>
        <v/>
      </c>
      <c r="O439" s="50">
        <f>IF(A439="","",IFERROR((IF(G439="",I439,G439)-T439)/M439,""))</f>
        <v/>
      </c>
      <c r="P439" s="50">
        <f>IFERROR((I439/T439-1)/N439,"")</f>
        <v/>
      </c>
      <c r="Q439" s="46">
        <f>IF(OR(T439="",I439&lt;T439),"",IFERROR(R439/IF(G439="",I439,G439)-1,""))</f>
        <v/>
      </c>
      <c r="R439" s="48">
        <f>IF($M439="","",MAX(IF($G439="",$I439,$G439)*(1/1.1),IF($G439="",$I439,$G439)+(R$2*$M439)))</f>
        <v/>
      </c>
      <c r="S439" s="49">
        <f>IF($M439="","",MAX(IF($G439="",$I439,$G439)*(1/1.1),IF($G439="",$I439,$G439)+(S$2*$M439)))</f>
        <v/>
      </c>
      <c r="T439" s="82" t="n">
        <v>26.56859992980957</v>
      </c>
      <c r="U439" s="47">
        <f>IF(OR($M439="",$T439=""),"",$T439+(U$2*$M439))</f>
        <v/>
      </c>
      <c r="V439" s="48">
        <f>IF(OR($M439="",$T439=""),"",$T439+(V$2*$M439))</f>
        <v/>
      </c>
      <c r="W439" s="48">
        <f>IF(OR($M439="",$T439=""),"",$T439+(W$2*$M439))</f>
        <v/>
      </c>
      <c r="X439" s="49">
        <f>IF(OR($M439="",$T439=""),"",$T439+(X$2*$M439))</f>
        <v/>
      </c>
      <c r="Y439" s="47">
        <f>IF(OR($M439="",$T439=""),"",$T439+(Y$2*$M439))</f>
        <v/>
      </c>
      <c r="Z439" s="49">
        <f>IF(OR($M439="",$T439=""),"",$T439+(Z$2*$M439))</f>
        <v/>
      </c>
      <c r="AA439" s="51">
        <f>IF(OR($M439="",$T439=""),"",$T439+(AA$2*$M439))</f>
        <v/>
      </c>
      <c r="AB439" s="48">
        <f>IF(OR($M439="",$T439=""),"",$T439+(AB$2*$M439))</f>
        <v/>
      </c>
      <c r="AC439" s="48">
        <f>IF(OR($M439="",$T439=""),"",$T439+(AC$2*$M439))</f>
        <v/>
      </c>
      <c r="AD439" s="48">
        <f>IF(OR($M439="",$T439=""),"",$T439+(AD$2*$M439))</f>
        <v/>
      </c>
      <c r="AE439" s="49">
        <f>IF(OR($M439="",$T439=""),"",$T439+(AE$2*$M439))</f>
        <v/>
      </c>
      <c r="AF439" s="52">
        <f>IF(OR(T439="",I439&lt;T439),"",IFERROR(AVERAGE(T439+M439*{7,8,9,10,11})/IF(G439="",I439,G439)-1,""))</f>
        <v/>
      </c>
      <c r="AG439" s="55">
        <f>IF(OR(T439="",I439&lt;T439),"",IFERROR(AF439/-(R439/IF(G439="",I439,G439)-1),""))</f>
        <v/>
      </c>
      <c r="AH439" s="94" t="n">
        <v>1</v>
      </c>
      <c r="AI439" s="94" t="n">
        <v>74.42516592869895</v>
      </c>
      <c r="AJ439" s="94" t="n">
        <v>0</v>
      </c>
      <c r="AK439" s="94" t="inlineStr">
        <is>
          <t>OTT Up Trend</t>
        </is>
      </c>
      <c r="AL439" s="84" t="inlineStr">
        <is>
          <t>Regions Financial Corporation</t>
        </is>
      </c>
      <c r="AM439" t="inlineStr">
        <is>
          <t>Financial Services</t>
        </is>
      </c>
      <c r="AN439" t="inlineStr">
        <is>
          <t>Banks - Regional</t>
        </is>
      </c>
      <c r="AO439" t="n">
        <v>71</v>
      </c>
    </row>
    <row r="440">
      <c r="A440" s="64" t="inlineStr">
        <is>
          <t>HI</t>
        </is>
      </c>
      <c r="B440" s="65" t="n"/>
      <c r="C440" s="66" t="n"/>
      <c r="D440" s="67" t="n"/>
      <c r="E440" s="68" t="n"/>
      <c r="F440" s="47">
        <f>IF(A440="","",IF(MIN(H440,MAX(J440:K440))=0,"",MIN(H440,MAX(J440:K440))))</f>
        <v/>
      </c>
      <c r="G440" s="74" t="n"/>
      <c r="H440" s="49">
        <f>IF(M440="","",IFERROR(ROUND(AVERAGE(T440+M440*{7,8,9,10,11})/1.21,4),""))</f>
        <v/>
      </c>
      <c r="I440" s="76" t="n">
        <v>31.81999969482422</v>
      </c>
      <c r="J440" s="77" t="n">
        <v>31.80525642892456</v>
      </c>
      <c r="K440" s="74" t="n">
        <v>31.75449981689453</v>
      </c>
      <c r="L440" s="78" t="n">
        <v>25.44864990234375</v>
      </c>
      <c r="M440" s="77" t="n">
        <v>0.08290185349838654</v>
      </c>
      <c r="N440" s="53">
        <f>IF(M440="","",IFERROR(M440/I440,""))</f>
        <v/>
      </c>
      <c r="O440" s="50">
        <f>IF(A440="","",IFERROR((IF(G440="",I440,G440)-T440)/M440,""))</f>
        <v/>
      </c>
      <c r="P440" s="50">
        <f>IFERROR((I440/T440-1)/N440,"")</f>
        <v/>
      </c>
      <c r="Q440" s="46">
        <f>IF(OR(T440="",I440&lt;T440),"",IFERROR(R440/IF(G440="",I440,G440)-1,""))</f>
        <v/>
      </c>
      <c r="R440" s="48">
        <f>IF($M440="","",MAX(IF($G440="",$I440,$G440)*(1/1.1),IF($G440="",$I440,$G440)+(R$2*$M440)))</f>
        <v/>
      </c>
      <c r="S440" s="49">
        <f>IF($M440="","",MAX(IF($G440="",$I440,$G440)*(1/1.1),IF($G440="",$I440,$G440)+(S$2*$M440)))</f>
        <v/>
      </c>
      <c r="T440" s="82" t="n">
        <v>31.74019989013672</v>
      </c>
      <c r="U440" s="47">
        <f>IF(OR($M440="",$T440=""),"",$T440+(U$2*$M440))</f>
        <v/>
      </c>
      <c r="V440" s="48">
        <f>IF(OR($M440="",$T440=""),"",$T440+(V$2*$M440))</f>
        <v/>
      </c>
      <c r="W440" s="48">
        <f>IF(OR($M440="",$T440=""),"",$T440+(W$2*$M440))</f>
        <v/>
      </c>
      <c r="X440" s="49">
        <f>IF(OR($M440="",$T440=""),"",$T440+(X$2*$M440))</f>
        <v/>
      </c>
      <c r="Y440" s="47">
        <f>IF(OR($M440="",$T440=""),"",$T440+(Y$2*$M440))</f>
        <v/>
      </c>
      <c r="Z440" s="49">
        <f>IF(OR($M440="",$T440=""),"",$T440+(Z$2*$M440))</f>
        <v/>
      </c>
      <c r="AA440" s="51">
        <f>IF(OR($M440="",$T440=""),"",$T440+(AA$2*$M440))</f>
        <v/>
      </c>
      <c r="AB440" s="48">
        <f>IF(OR($M440="",$T440=""),"",$T440+(AB$2*$M440))</f>
        <v/>
      </c>
      <c r="AC440" s="48">
        <f>IF(OR($M440="",$T440=""),"",$T440+(AC$2*$M440))</f>
        <v/>
      </c>
      <c r="AD440" s="48">
        <f>IF(OR($M440="",$T440=""),"",$T440+(AD$2*$M440))</f>
        <v/>
      </c>
      <c r="AE440" s="49">
        <f>IF(OR($M440="",$T440=""),"",$T440+(AE$2*$M440))</f>
        <v/>
      </c>
      <c r="AF440" s="52">
        <f>IF(OR(T440="",I440&lt;T440),"",IFERROR(AVERAGE(T440+M440*{7,8,9,10,11})/IF(G440="",I440,G440)-1,""))</f>
        <v/>
      </c>
      <c r="AG440" s="55">
        <f>IF(OR(T440="",I440&lt;T440),"",IFERROR(AF440/-(R440/IF(G440="",I440,G440)-1),""))</f>
        <v/>
      </c>
      <c r="AH440" s="94" t="n">
        <v>1</v>
      </c>
      <c r="AI440" s="94" t="n">
        <v>38.63282482764075</v>
      </c>
      <c r="AJ440" s="94" t="n">
        <v>0</v>
      </c>
      <c r="AK440" s="94" t="inlineStr">
        <is>
          <t>OTT Up Trend</t>
        </is>
      </c>
      <c r="AL440" s="84" t="inlineStr">
        <is>
          <t>Hillenbrand Inc</t>
        </is>
      </c>
      <c r="AM440" t="inlineStr">
        <is>
          <t>Industrials</t>
        </is>
      </c>
      <c r="AN440" t="inlineStr">
        <is>
          <t>Specialty Industrial Machinery</t>
        </is>
      </c>
      <c r="AO440" t="n">
        <v>71</v>
      </c>
    </row>
    <row r="441">
      <c r="A441" s="64" t="inlineStr">
        <is>
          <t>YOU</t>
        </is>
      </c>
      <c r="B441" s="65" t="n"/>
      <c r="C441" s="66" t="n"/>
      <c r="D441" s="67" t="n"/>
      <c r="E441" s="68" t="n"/>
      <c r="F441" s="47">
        <f>IF(A441="","",IF(MIN(H441,MAX(J441:K441))=0,"",MIN(H441,MAX(J441:K441))))</f>
        <v/>
      </c>
      <c r="G441" s="74" t="n"/>
      <c r="H441" s="49">
        <f>IF(M441="","",IFERROR(ROUND(AVERAGE(T441+M441*{7,8,9,10,11})/1.21,4),""))</f>
        <v/>
      </c>
      <c r="I441" s="76" t="n">
        <v>34.91999816894531</v>
      </c>
      <c r="J441" s="77" t="n">
        <v>34.96733007426596</v>
      </c>
      <c r="K441" s="74" t="n">
        <v>35.64300022125244</v>
      </c>
      <c r="L441" s="78" t="n">
        <v>31.20479999542236</v>
      </c>
      <c r="M441" s="77" t="n">
        <v>1.321721737184677</v>
      </c>
      <c r="N441" s="53">
        <f>IF(M441="","",IFERROR(M441/I441,""))</f>
        <v/>
      </c>
      <c r="O441" s="50">
        <f>IF(A441="","",IFERROR((IF(G441="",I441,G441)-T441)/M441,""))</f>
        <v/>
      </c>
      <c r="P441" s="50">
        <f>IFERROR((I441/T441-1)/N441,"")</f>
        <v/>
      </c>
      <c r="Q441" s="46">
        <f>IF(OR(T441="",I441&lt;T441),"",IFERROR(R441/IF(G441="",I441,G441)-1,""))</f>
        <v/>
      </c>
      <c r="R441" s="48">
        <f>IF($M441="","",MAX(IF($G441="",$I441,$G441)*(1/1.1),IF($G441="",$I441,$G441)+(R$2*$M441)))</f>
        <v/>
      </c>
      <c r="S441" s="49">
        <f>IF($M441="","",MAX(IF($G441="",$I441,$G441)*(1/1.1),IF($G441="",$I441,$G441)+(S$2*$M441)))</f>
        <v/>
      </c>
      <c r="T441" s="82" t="n">
        <v>35.67560005187988</v>
      </c>
      <c r="U441" s="47">
        <f>IF(OR($M441="",$T441=""),"",$T441+(U$2*$M441))</f>
        <v/>
      </c>
      <c r="V441" s="48">
        <f>IF(OR($M441="",$T441=""),"",$T441+(V$2*$M441))</f>
        <v/>
      </c>
      <c r="W441" s="48">
        <f>IF(OR($M441="",$T441=""),"",$T441+(W$2*$M441))</f>
        <v/>
      </c>
      <c r="X441" s="49">
        <f>IF(OR($M441="",$T441=""),"",$T441+(X$2*$M441))</f>
        <v/>
      </c>
      <c r="Y441" s="47">
        <f>IF(OR($M441="",$T441=""),"",$T441+(Y$2*$M441))</f>
        <v/>
      </c>
      <c r="Z441" s="49">
        <f>IF(OR($M441="",$T441=""),"",$T441+(Z$2*$M441))</f>
        <v/>
      </c>
      <c r="AA441" s="51">
        <f>IF(OR($M441="",$T441=""),"",$T441+(AA$2*$M441))</f>
        <v/>
      </c>
      <c r="AB441" s="48">
        <f>IF(OR($M441="",$T441=""),"",$T441+(AB$2*$M441))</f>
        <v/>
      </c>
      <c r="AC441" s="48">
        <f>IF(OR($M441="",$T441=""),"",$T441+(AC$2*$M441))</f>
        <v/>
      </c>
      <c r="AD441" s="48">
        <f>IF(OR($M441="",$T441=""),"",$T441+(AD$2*$M441))</f>
        <v/>
      </c>
      <c r="AE441" s="49">
        <f>IF(OR($M441="",$T441=""),"",$T441+(AE$2*$M441))</f>
        <v/>
      </c>
      <c r="AF441" s="52">
        <f>IF(OR(T441="",I441&lt;T441),"",IFERROR(AVERAGE(T441+M441*{7,8,9,10,11})/IF(G441="",I441,G441)-1,""))</f>
        <v/>
      </c>
      <c r="AG441" s="55">
        <f>IF(OR(T441="",I441&lt;T441),"",IFERROR(AF441/-(R441/IF(G441="",I441,G441)-1),""))</f>
        <v/>
      </c>
      <c r="AH441" s="94" t="n">
        <v>-1</v>
      </c>
      <c r="AI441" s="94" t="n">
        <v>-25.06548655681986</v>
      </c>
      <c r="AJ441" s="94" t="n">
        <v>0</v>
      </c>
      <c r="AK441" s="94" t="inlineStr">
        <is>
          <t>None</t>
        </is>
      </c>
      <c r="AL441" s="84" t="inlineStr">
        <is>
          <t>Clear Secure, Inc.</t>
        </is>
      </c>
      <c r="AM441" t="inlineStr">
        <is>
          <t>Technology</t>
        </is>
      </c>
      <c r="AN441" t="inlineStr">
        <is>
          <t>Software - Application</t>
        </is>
      </c>
      <c r="AO441" t="n">
        <v>70</v>
      </c>
    </row>
    <row r="442">
      <c r="A442" s="64" t="inlineStr">
        <is>
          <t>H</t>
        </is>
      </c>
      <c r="B442" s="65" t="n"/>
      <c r="C442" s="66" t="n"/>
      <c r="D442" s="67" t="n"/>
      <c r="E442" s="68" t="n"/>
      <c r="F442" s="47">
        <f>IF(A442="","",IF(MIN(H442,MAX(J442:K442))=0,"",MIN(H442,MAX(J442:K442))))</f>
        <v/>
      </c>
      <c r="G442" s="74" t="n"/>
      <c r="H442" s="49">
        <f>IF(M442="","",IFERROR(ROUND(AVERAGE(T442+M442*{7,8,9,10,11})/1.21,4),""))</f>
        <v/>
      </c>
      <c r="I442" s="76" t="n">
        <v>167.9400024414062</v>
      </c>
      <c r="J442" s="77" t="n">
        <v>167.3567630088359</v>
      </c>
      <c r="K442" s="74" t="n">
        <v>165.8970024108887</v>
      </c>
      <c r="L442" s="78" t="n">
        <v>142.1784503173828</v>
      </c>
      <c r="M442" s="77" t="n">
        <v>4.571907077876936</v>
      </c>
      <c r="N442" s="53">
        <f>IF(M442="","",IFERROR(M442/I442,""))</f>
        <v/>
      </c>
      <c r="O442" s="50">
        <f>IF(A442="","",IFERROR((IF(G442="",I442,G442)-T442)/M442,""))</f>
        <v/>
      </c>
      <c r="P442" s="50">
        <f>IFERROR((I442/T442-1)/N442,"")</f>
        <v/>
      </c>
      <c r="Q442" s="46">
        <f>IF(OR(T442="",I442&lt;T442),"",IFERROR(R442/IF(G442="",I442,G442)-1,""))</f>
        <v/>
      </c>
      <c r="R442" s="48">
        <f>IF($M442="","",MAX(IF($G442="",$I442,$G442)*(1/1.1),IF($G442="",$I442,$G442)+(R$2*$M442)))</f>
        <v/>
      </c>
      <c r="S442" s="49">
        <f>IF($M442="","",MAX(IF($G442="",$I442,$G442)*(1/1.1),IF($G442="",$I442,$G442)+(S$2*$M442)))</f>
        <v/>
      </c>
      <c r="T442" s="82" t="n">
        <v>160.38080078125</v>
      </c>
      <c r="U442" s="47">
        <f>IF(OR($M442="",$T442=""),"",$T442+(U$2*$M442))</f>
        <v/>
      </c>
      <c r="V442" s="48">
        <f>IF(OR($M442="",$T442=""),"",$T442+(V$2*$M442))</f>
        <v/>
      </c>
      <c r="W442" s="48">
        <f>IF(OR($M442="",$T442=""),"",$T442+(W$2*$M442))</f>
        <v/>
      </c>
      <c r="X442" s="49">
        <f>IF(OR($M442="",$T442=""),"",$T442+(X$2*$M442))</f>
        <v/>
      </c>
      <c r="Y442" s="47">
        <f>IF(OR($M442="",$T442=""),"",$T442+(Y$2*$M442))</f>
        <v/>
      </c>
      <c r="Z442" s="49">
        <f>IF(OR($M442="",$T442=""),"",$T442+(Z$2*$M442))</f>
        <v/>
      </c>
      <c r="AA442" s="51">
        <f>IF(OR($M442="",$T442=""),"",$T442+(AA$2*$M442))</f>
        <v/>
      </c>
      <c r="AB442" s="48">
        <f>IF(OR($M442="",$T442=""),"",$T442+(AB$2*$M442))</f>
        <v/>
      </c>
      <c r="AC442" s="48">
        <f>IF(OR($M442="",$T442=""),"",$T442+(AC$2*$M442))</f>
        <v/>
      </c>
      <c r="AD442" s="48">
        <f>IF(OR($M442="",$T442=""),"",$T442+(AD$2*$M442))</f>
        <v/>
      </c>
      <c r="AE442" s="49">
        <f>IF(OR($M442="",$T442=""),"",$T442+(AE$2*$M442))</f>
        <v/>
      </c>
      <c r="AF442" s="52">
        <f>IF(OR(T442="",I442&lt;T442),"",IFERROR(AVERAGE(T442+M442*{7,8,9,10,11})/IF(G442="",I442,G442)-1,""))</f>
        <v/>
      </c>
      <c r="AG442" s="55">
        <f>IF(OR(T442="",I442&lt;T442),"",IFERROR(AF442/-(R442/IF(G442="",I442,G442)-1),""))</f>
        <v/>
      </c>
      <c r="AH442" s="94" t="n">
        <v>1</v>
      </c>
      <c r="AI442" s="94" t="n">
        <v>54.36717009563474</v>
      </c>
      <c r="AJ442" s="94" t="n">
        <v>0</v>
      </c>
      <c r="AK442" s="94" t="inlineStr">
        <is>
          <t>OTT Up Trend</t>
        </is>
      </c>
      <c r="AL442" s="84" t="inlineStr">
        <is>
          <t>Hyatt Hotels Corporation</t>
        </is>
      </c>
      <c r="AM442" t="inlineStr">
        <is>
          <t>Consumer Cyclical</t>
        </is>
      </c>
      <c r="AN442" t="inlineStr">
        <is>
          <t>Lodging</t>
        </is>
      </c>
      <c r="AO442" t="n">
        <v>70</v>
      </c>
    </row>
    <row r="443">
      <c r="A443" s="64" t="inlineStr">
        <is>
          <t>DINO</t>
        </is>
      </c>
      <c r="B443" s="65" t="n"/>
      <c r="C443" s="66" t="n"/>
      <c r="D443" s="67" t="n"/>
      <c r="E443" s="68" t="n"/>
      <c r="F443" s="47">
        <f>IF(A443="","",IF(MIN(H443,MAX(J443:K443))=0,"",MIN(H443,MAX(J443:K443))))</f>
        <v/>
      </c>
      <c r="G443" s="74" t="n"/>
      <c r="H443" s="49">
        <f>IF(M443="","",IFERROR(ROUND(AVERAGE(T443+M443*{7,8,9,10,11})/1.21,4),""))</f>
        <v/>
      </c>
      <c r="I443" s="76" t="n">
        <v>48.63000106811523</v>
      </c>
      <c r="J443" s="77" t="n">
        <v>49.15507624952611</v>
      </c>
      <c r="K443" s="74" t="n">
        <v>47.97849979400635</v>
      </c>
      <c r="L443" s="78" t="n">
        <v>44.87790005683899</v>
      </c>
      <c r="M443" s="77" t="n">
        <v>1.533421907170364</v>
      </c>
      <c r="N443" s="53">
        <f>IF(M443="","",IFERROR(M443/I443,""))</f>
        <v/>
      </c>
      <c r="O443" s="50">
        <f>IF(A443="","",IFERROR((IF(G443="",I443,G443)-T443)/M443,""))</f>
        <v/>
      </c>
      <c r="P443" s="50">
        <f>IFERROR((I443/T443-1)/N443,"")</f>
        <v/>
      </c>
      <c r="Q443" s="46">
        <f>IF(OR(T443="",I443&lt;T443),"",IFERROR(R443/IF(G443="",I443,G443)-1,""))</f>
        <v/>
      </c>
      <c r="R443" s="48">
        <f>IF($M443="","",MAX(IF($G443="",$I443,$G443)*(1/1.1),IF($G443="",$I443,$G443)+(R$2*$M443)))</f>
        <v/>
      </c>
      <c r="S443" s="49">
        <f>IF($M443="","",MAX(IF($G443="",$I443,$G443)*(1/1.1),IF($G443="",$I443,$G443)+(S$2*$M443)))</f>
        <v/>
      </c>
      <c r="T443" s="82" t="n">
        <v>50.53939994812012</v>
      </c>
      <c r="U443" s="47">
        <f>IF(OR($M443="",$T443=""),"",$T443+(U$2*$M443))</f>
        <v/>
      </c>
      <c r="V443" s="48">
        <f>IF(OR($M443="",$T443=""),"",$T443+(V$2*$M443))</f>
        <v/>
      </c>
      <c r="W443" s="48">
        <f>IF(OR($M443="",$T443=""),"",$T443+(W$2*$M443))</f>
        <v/>
      </c>
      <c r="X443" s="49">
        <f>IF(OR($M443="",$T443=""),"",$T443+(X$2*$M443))</f>
        <v/>
      </c>
      <c r="Y443" s="47">
        <f>IF(OR($M443="",$T443=""),"",$T443+(Y$2*$M443))</f>
        <v/>
      </c>
      <c r="Z443" s="49">
        <f>IF(OR($M443="",$T443=""),"",$T443+(Z$2*$M443))</f>
        <v/>
      </c>
      <c r="AA443" s="51">
        <f>IF(OR($M443="",$T443=""),"",$T443+(AA$2*$M443))</f>
        <v/>
      </c>
      <c r="AB443" s="48">
        <f>IF(OR($M443="",$T443=""),"",$T443+(AB$2*$M443))</f>
        <v/>
      </c>
      <c r="AC443" s="48">
        <f>IF(OR($M443="",$T443=""),"",$T443+(AC$2*$M443))</f>
        <v/>
      </c>
      <c r="AD443" s="48">
        <f>IF(OR($M443="",$T443=""),"",$T443+(AD$2*$M443))</f>
        <v/>
      </c>
      <c r="AE443" s="49">
        <f>IF(OR($M443="",$T443=""),"",$T443+(AE$2*$M443))</f>
        <v/>
      </c>
      <c r="AF443" s="52">
        <f>IF(OR(T443="",I443&lt;T443),"",IFERROR(AVERAGE(T443+M443*{7,8,9,10,11})/IF(G443="",I443,G443)-1,""))</f>
        <v/>
      </c>
      <c r="AG443" s="55">
        <f>IF(OR(T443="",I443&lt;T443),"",IFERROR(AF443/-(R443/IF(G443="",I443,G443)-1),""))</f>
        <v/>
      </c>
      <c r="AH443" s="94" t="n">
        <v>1</v>
      </c>
      <c r="AI443" s="94" t="n">
        <v>-0.9936114856553296</v>
      </c>
      <c r="AJ443" s="94" t="n">
        <v>1</v>
      </c>
      <c r="AK443" s="94" t="inlineStr">
        <is>
          <t>None</t>
        </is>
      </c>
      <c r="AL443" s="84" t="inlineStr">
        <is>
          <t>HF Sinclair Corporation</t>
        </is>
      </c>
      <c r="AM443" t="inlineStr">
        <is>
          <t>Energy</t>
        </is>
      </c>
      <c r="AN443" t="inlineStr">
        <is>
          <t>Oil &amp; Gas Refining &amp; Marketing</t>
        </is>
      </c>
      <c r="AO443" t="n">
        <v>70</v>
      </c>
    </row>
    <row r="444">
      <c r="A444" s="64" t="inlineStr">
        <is>
          <t>TFC</t>
        </is>
      </c>
      <c r="B444" s="65" t="n"/>
      <c r="C444" s="66" t="n"/>
      <c r="D444" s="67" t="n"/>
      <c r="E444" s="68" t="n"/>
      <c r="F444" s="47">
        <f>IF(A444="","",IF(MIN(H444,MAX(J444:K444))=0,"",MIN(H444,MAX(J444:K444))))</f>
        <v/>
      </c>
      <c r="G444" s="74" t="n"/>
      <c r="H444" s="49">
        <f>IF(M444="","",IFERROR(ROUND(AVERAGE(T444+M444*{7,8,9,10,11})/1.21,4),""))</f>
        <v/>
      </c>
      <c r="I444" s="76" t="n">
        <v>49.9900016784668</v>
      </c>
      <c r="J444" s="77" t="n">
        <v>50.14922965941702</v>
      </c>
      <c r="K444" s="74" t="n">
        <v>50.23450050354004</v>
      </c>
      <c r="L444" s="78" t="n">
        <v>43.85570007324219</v>
      </c>
      <c r="M444" s="77" t="n">
        <v>0.8409694280853118</v>
      </c>
      <c r="N444" s="53">
        <f>IF(M444="","",IFERROR(M444/I444,""))</f>
        <v/>
      </c>
      <c r="O444" s="50">
        <f>IF(A444="","",IFERROR((IF(G444="",I444,G444)-T444)/M444,""))</f>
        <v/>
      </c>
      <c r="P444" s="50">
        <f>IFERROR((I444/T444-1)/N444,"")</f>
        <v/>
      </c>
      <c r="Q444" s="46">
        <f>IF(OR(T444="",I444&lt;T444),"",IFERROR(R444/IF(G444="",I444,G444)-1,""))</f>
        <v/>
      </c>
      <c r="R444" s="48">
        <f>IF($M444="","",MAX(IF($G444="",$I444,$G444)*(1/1.1),IF($G444="",$I444,$G444)+(R$2*$M444)))</f>
        <v/>
      </c>
      <c r="S444" s="49">
        <f>IF($M444="","",MAX(IF($G444="",$I444,$G444)*(1/1.1),IF($G444="",$I444,$G444)+(S$2*$M444)))</f>
        <v/>
      </c>
      <c r="T444" s="82" t="n">
        <v>48.02040031433106</v>
      </c>
      <c r="U444" s="47">
        <f>IF(OR($M444="",$T444=""),"",$T444+(U$2*$M444))</f>
        <v/>
      </c>
      <c r="V444" s="48">
        <f>IF(OR($M444="",$T444=""),"",$T444+(V$2*$M444))</f>
        <v/>
      </c>
      <c r="W444" s="48">
        <f>IF(OR($M444="",$T444=""),"",$T444+(W$2*$M444))</f>
        <v/>
      </c>
      <c r="X444" s="49">
        <f>IF(OR($M444="",$T444=""),"",$T444+(X$2*$M444))</f>
        <v/>
      </c>
      <c r="Y444" s="47">
        <f>IF(OR($M444="",$T444=""),"",$T444+(Y$2*$M444))</f>
        <v/>
      </c>
      <c r="Z444" s="49">
        <f>IF(OR($M444="",$T444=""),"",$T444+(Z$2*$M444))</f>
        <v/>
      </c>
      <c r="AA444" s="51">
        <f>IF(OR($M444="",$T444=""),"",$T444+(AA$2*$M444))</f>
        <v/>
      </c>
      <c r="AB444" s="48">
        <f>IF(OR($M444="",$T444=""),"",$T444+(AB$2*$M444))</f>
        <v/>
      </c>
      <c r="AC444" s="48">
        <f>IF(OR($M444="",$T444=""),"",$T444+(AC$2*$M444))</f>
        <v/>
      </c>
      <c r="AD444" s="48">
        <f>IF(OR($M444="",$T444=""),"",$T444+(AD$2*$M444))</f>
        <v/>
      </c>
      <c r="AE444" s="49">
        <f>IF(OR($M444="",$T444=""),"",$T444+(AE$2*$M444))</f>
        <v/>
      </c>
      <c r="AF444" s="52">
        <f>IF(OR(T444="",I444&lt;T444),"",IFERROR(AVERAGE(T444+M444*{7,8,9,10,11})/IF(G444="",I444,G444)-1,""))</f>
        <v/>
      </c>
      <c r="AG444" s="55">
        <f>IF(OR(T444="",I444&lt;T444),"",IFERROR(AF444/-(R444/IF(G444="",I444,G444)-1),""))</f>
        <v/>
      </c>
      <c r="AH444" s="94" t="n">
        <v>1</v>
      </c>
      <c r="AI444" s="94" t="n">
        <v>60.85476308814847</v>
      </c>
      <c r="AJ444" s="94" t="n">
        <v>0</v>
      </c>
      <c r="AK444" s="94" t="inlineStr">
        <is>
          <t>OTT Up Trend</t>
        </is>
      </c>
      <c r="AL444" s="84" t="inlineStr">
        <is>
          <t>Truist Financial Corporation</t>
        </is>
      </c>
      <c r="AM444" t="inlineStr">
        <is>
          <t>Financial Services</t>
        </is>
      </c>
      <c r="AN444" t="inlineStr">
        <is>
          <t>Banks - Regional</t>
        </is>
      </c>
      <c r="AO444" t="n">
        <v>70</v>
      </c>
    </row>
    <row r="445">
      <c r="A445" s="64" t="inlineStr">
        <is>
          <t>EMR</t>
        </is>
      </c>
      <c r="B445" s="65" t="n"/>
      <c r="C445" s="66" t="n"/>
      <c r="D445" s="67" t="n"/>
      <c r="E445" s="68" t="n"/>
      <c r="F445" s="47">
        <f>IF(A445="","",IF(MIN(H445,MAX(J445:K445))=0,"",MIN(H445,MAX(J445:K445))))</f>
        <v/>
      </c>
      <c r="G445" s="74" t="n"/>
      <c r="H445" s="49">
        <f>IF(M445="","",IFERROR(ROUND(AVERAGE(T445+M445*{7,8,9,10,11})/1.21,4),""))</f>
        <v/>
      </c>
      <c r="I445" s="76" t="n">
        <v>149.4600067138672</v>
      </c>
      <c r="J445" s="77" t="n">
        <v>145.158073376674</v>
      </c>
      <c r="K445" s="74" t="n">
        <v>140.1065017700195</v>
      </c>
      <c r="L445" s="78" t="n">
        <v>129.0533503723144</v>
      </c>
      <c r="M445" s="77" t="n">
        <v>3.042739523644174</v>
      </c>
      <c r="N445" s="53">
        <f>IF(M445="","",IFERROR(M445/I445,""))</f>
        <v/>
      </c>
      <c r="O445" s="50">
        <f>IF(A445="","",IFERROR((IF(G445="",I445,G445)-T445)/M445,""))</f>
        <v/>
      </c>
      <c r="P445" s="50">
        <f>IFERROR((I445/T445-1)/N445,"")</f>
        <v/>
      </c>
      <c r="Q445" s="46">
        <f>IF(OR(T445="",I445&lt;T445),"",IFERROR(R445/IF(G445="",I445,G445)-1,""))</f>
        <v/>
      </c>
      <c r="R445" s="48">
        <f>IF($M445="","",MAX(IF($G445="",$I445,$G445)*(1/1.1),IF($G445="",$I445,$G445)+(R$2*$M445)))</f>
        <v/>
      </c>
      <c r="S445" s="49">
        <f>IF($M445="","",MAX(IF($G445="",$I445,$G445)*(1/1.1),IF($G445="",$I445,$G445)+(S$2*$M445)))</f>
        <v/>
      </c>
      <c r="T445" s="82" t="n">
        <v>135.2356007385254</v>
      </c>
      <c r="U445" s="47">
        <f>IF(OR($M445="",$T445=""),"",$T445+(U$2*$M445))</f>
        <v/>
      </c>
      <c r="V445" s="48">
        <f>IF(OR($M445="",$T445=""),"",$T445+(V$2*$M445))</f>
        <v/>
      </c>
      <c r="W445" s="48">
        <f>IF(OR($M445="",$T445=""),"",$T445+(W$2*$M445))</f>
        <v/>
      </c>
      <c r="X445" s="49">
        <f>IF(OR($M445="",$T445=""),"",$T445+(X$2*$M445))</f>
        <v/>
      </c>
      <c r="Y445" s="47">
        <f>IF(OR($M445="",$T445=""),"",$T445+(Y$2*$M445))</f>
        <v/>
      </c>
      <c r="Z445" s="49">
        <f>IF(OR($M445="",$T445=""),"",$T445+(Z$2*$M445))</f>
        <v/>
      </c>
      <c r="AA445" s="51">
        <f>IF(OR($M445="",$T445=""),"",$T445+(AA$2*$M445))</f>
        <v/>
      </c>
      <c r="AB445" s="48">
        <f>IF(OR($M445="",$T445=""),"",$T445+(AB$2*$M445))</f>
        <v/>
      </c>
      <c r="AC445" s="48">
        <f>IF(OR($M445="",$T445=""),"",$T445+(AC$2*$M445))</f>
        <v/>
      </c>
      <c r="AD445" s="48">
        <f>IF(OR($M445="",$T445=""),"",$T445+(AD$2*$M445))</f>
        <v/>
      </c>
      <c r="AE445" s="49">
        <f>IF(OR($M445="",$T445=""),"",$T445+(AE$2*$M445))</f>
        <v/>
      </c>
      <c r="AF445" s="52">
        <f>IF(OR(T445="",I445&lt;T445),"",IFERROR(AVERAGE(T445+M445*{7,8,9,10,11})/IF(G445="",I445,G445)-1,""))</f>
        <v/>
      </c>
      <c r="AG445" s="55">
        <f>IF(OR(T445="",I445&lt;T445),"",IFERROR(AF445/-(R445/IF(G445="",I445,G445)-1),""))</f>
        <v/>
      </c>
      <c r="AH445" s="94" t="n">
        <v>1</v>
      </c>
      <c r="AI445" s="94" t="n">
        <v>122.5744550315838</v>
      </c>
      <c r="AJ445" s="94" t="n">
        <v>1</v>
      </c>
      <c r="AK445" s="94" t="inlineStr">
        <is>
          <t>OTT Up Trend</t>
        </is>
      </c>
      <c r="AL445" s="84" t="inlineStr">
        <is>
          <t>Emerson Electric Company</t>
        </is>
      </c>
      <c r="AM445" t="inlineStr">
        <is>
          <t>Industrials</t>
        </is>
      </c>
      <c r="AN445" t="inlineStr">
        <is>
          <t>Specialty Industrial Machinery</t>
        </is>
      </c>
      <c r="AO445" t="n">
        <v>70</v>
      </c>
    </row>
    <row r="446">
      <c r="A446" s="64" t="inlineStr">
        <is>
          <t>CBRE</t>
        </is>
      </c>
      <c r="B446" s="65" t="n"/>
      <c r="C446" s="66" t="n"/>
      <c r="D446" s="67" t="n"/>
      <c r="E446" s="68" t="n"/>
      <c r="F446" s="47">
        <f>IF(A446="","",IF(MIN(H446,MAX(J446:K446))=0,"",MIN(H446,MAX(J446:K446))))</f>
        <v/>
      </c>
      <c r="G446" s="74" t="n"/>
      <c r="H446" s="49">
        <f>IF(M446="","",IFERROR(ROUND(AVERAGE(T446+M446*{7,8,9,10,11})/1.21,4),""))</f>
        <v/>
      </c>
      <c r="I446" s="76" t="n">
        <v>171.5899963378906</v>
      </c>
      <c r="J446" s="77" t="n">
        <v>166.9624545881607</v>
      </c>
      <c r="K446" s="74" t="n">
        <v>164.8015007019043</v>
      </c>
      <c r="L446" s="78" t="n">
        <v>147.5030503082275</v>
      </c>
      <c r="M446" s="77" t="n">
        <v>3.412286621163095</v>
      </c>
      <c r="N446" s="53">
        <f>IF(M446="","",IFERROR(M446/I446,""))</f>
        <v/>
      </c>
      <c r="O446" s="50">
        <f>IF(A446="","",IFERROR((IF(G446="",I446,G446)-T446)/M446,""))</f>
        <v/>
      </c>
      <c r="P446" s="50">
        <f>IFERROR((I446/T446-1)/N446,"")</f>
        <v/>
      </c>
      <c r="Q446" s="46">
        <f>IF(OR(T446="",I446&lt;T446),"",IFERROR(R446/IF(G446="",I446,G446)-1,""))</f>
        <v/>
      </c>
      <c r="R446" s="48">
        <f>IF($M446="","",MAX(IF($G446="",$I446,$G446)*(1/1.1),IF($G446="",$I446,$G446)+(R$2*$M446)))</f>
        <v/>
      </c>
      <c r="S446" s="49">
        <f>IF($M446="","",MAX(IF($G446="",$I446,$G446)*(1/1.1),IF($G446="",$I446,$G446)+(S$2*$M446)))</f>
        <v/>
      </c>
      <c r="T446" s="82" t="n">
        <v>159.8522003173828</v>
      </c>
      <c r="U446" s="47">
        <f>IF(OR($M446="",$T446=""),"",$T446+(U$2*$M446))</f>
        <v/>
      </c>
      <c r="V446" s="48">
        <f>IF(OR($M446="",$T446=""),"",$T446+(V$2*$M446))</f>
        <v/>
      </c>
      <c r="W446" s="48">
        <f>IF(OR($M446="",$T446=""),"",$T446+(W$2*$M446))</f>
        <v/>
      </c>
      <c r="X446" s="49">
        <f>IF(OR($M446="",$T446=""),"",$T446+(X$2*$M446))</f>
        <v/>
      </c>
      <c r="Y446" s="47">
        <f>IF(OR($M446="",$T446=""),"",$T446+(Y$2*$M446))</f>
        <v/>
      </c>
      <c r="Z446" s="49">
        <f>IF(OR($M446="",$T446=""),"",$T446+(Z$2*$M446))</f>
        <v/>
      </c>
      <c r="AA446" s="51">
        <f>IF(OR($M446="",$T446=""),"",$T446+(AA$2*$M446))</f>
        <v/>
      </c>
      <c r="AB446" s="48">
        <f>IF(OR($M446="",$T446=""),"",$T446+(AB$2*$M446))</f>
        <v/>
      </c>
      <c r="AC446" s="48">
        <f>IF(OR($M446="",$T446=""),"",$T446+(AC$2*$M446))</f>
        <v/>
      </c>
      <c r="AD446" s="48">
        <f>IF(OR($M446="",$T446=""),"",$T446+(AD$2*$M446))</f>
        <v/>
      </c>
      <c r="AE446" s="49">
        <f>IF(OR($M446="",$T446=""),"",$T446+(AE$2*$M446))</f>
        <v/>
      </c>
      <c r="AF446" s="52">
        <f>IF(OR(T446="",I446&lt;T446),"",IFERROR(AVERAGE(T446+M446*{7,8,9,10,11})/IF(G446="",I446,G446)-1,""))</f>
        <v/>
      </c>
      <c r="AG446" s="55">
        <f>IF(OR(T446="",I446&lt;T446),"",IFERROR(AF446/-(R446/IF(G446="",I446,G446)-1),""))</f>
        <v/>
      </c>
      <c r="AH446" s="94" t="n">
        <v>1</v>
      </c>
      <c r="AI446" s="94" t="n">
        <v>71.45113540972928</v>
      </c>
      <c r="AJ446" s="94" t="n">
        <v>1</v>
      </c>
      <c r="AK446" s="94" t="inlineStr">
        <is>
          <t>OTT Up Trend</t>
        </is>
      </c>
      <c r="AL446" s="84" t="inlineStr">
        <is>
          <t>CBRE Group Inc</t>
        </is>
      </c>
      <c r="AM446" t="inlineStr">
        <is>
          <t>Real Estate</t>
        </is>
      </c>
      <c r="AN446" t="inlineStr">
        <is>
          <t>Real Estate Services</t>
        </is>
      </c>
      <c r="AO446" t="n">
        <v>70</v>
      </c>
    </row>
    <row r="447">
      <c r="A447" s="64" t="inlineStr">
        <is>
          <t>TTC</t>
        </is>
      </c>
      <c r="B447" s="65" t="n"/>
      <c r="C447" s="66" t="n"/>
      <c r="D447" s="67" t="n"/>
      <c r="E447" s="68" t="n"/>
      <c r="F447" s="47">
        <f>IF(A447="","",IF(MIN(H447,MAX(J447:K447))=0,"",MIN(H447,MAX(J447:K447))))</f>
        <v/>
      </c>
      <c r="G447" s="74" t="n"/>
      <c r="H447" s="49">
        <f>IF(M447="","",IFERROR(ROUND(AVERAGE(T447+M447*{7,8,9,10,11})/1.21,4),""))</f>
        <v/>
      </c>
      <c r="I447" s="76" t="n">
        <v>89.56999969482422</v>
      </c>
      <c r="J447" s="77" t="n">
        <v>86.93723324482337</v>
      </c>
      <c r="K447" s="74" t="n">
        <v>82.98049964904786</v>
      </c>
      <c r="L447" s="78" t="n">
        <v>74.57705003738403</v>
      </c>
      <c r="M447" s="77" t="n">
        <v>1.87280989655419</v>
      </c>
      <c r="N447" s="53">
        <f>IF(M447="","",IFERROR(M447/I447,""))</f>
        <v/>
      </c>
      <c r="O447" s="50">
        <f>IF(A447="","",IFERROR((IF(G447="",I447,G447)-T447)/M447,""))</f>
        <v/>
      </c>
      <c r="P447" s="50">
        <f>IFERROR((I447/T447-1)/N447,"")</f>
        <v/>
      </c>
      <c r="Q447" s="46">
        <f>IF(OR(T447="",I447&lt;T447),"",IFERROR(R447/IF(G447="",I447,G447)-1,""))</f>
        <v/>
      </c>
      <c r="R447" s="48">
        <f>IF($M447="","",MAX(IF($G447="",$I447,$G447)*(1/1.1),IF($G447="",$I447,$G447)+(R$2*$M447)))</f>
        <v/>
      </c>
      <c r="S447" s="49">
        <f>IF($M447="","",MAX(IF($G447="",$I447,$G447)*(1/1.1),IF($G447="",$I447,$G447)+(S$2*$M447)))</f>
        <v/>
      </c>
      <c r="T447" s="82" t="n">
        <v>76.18539978027344</v>
      </c>
      <c r="U447" s="47">
        <f>IF(OR($M447="",$T447=""),"",$T447+(U$2*$M447))</f>
        <v/>
      </c>
      <c r="V447" s="48">
        <f>IF(OR($M447="",$T447=""),"",$T447+(V$2*$M447))</f>
        <v/>
      </c>
      <c r="W447" s="48">
        <f>IF(OR($M447="",$T447=""),"",$T447+(W$2*$M447))</f>
        <v/>
      </c>
      <c r="X447" s="49">
        <f>IF(OR($M447="",$T447=""),"",$T447+(X$2*$M447))</f>
        <v/>
      </c>
      <c r="Y447" s="47">
        <f>IF(OR($M447="",$T447=""),"",$T447+(Y$2*$M447))</f>
        <v/>
      </c>
      <c r="Z447" s="49">
        <f>IF(OR($M447="",$T447=""),"",$T447+(Z$2*$M447))</f>
        <v/>
      </c>
      <c r="AA447" s="51">
        <f>IF(OR($M447="",$T447=""),"",$T447+(AA$2*$M447))</f>
        <v/>
      </c>
      <c r="AB447" s="48">
        <f>IF(OR($M447="",$T447=""),"",$T447+(AB$2*$M447))</f>
        <v/>
      </c>
      <c r="AC447" s="48">
        <f>IF(OR($M447="",$T447=""),"",$T447+(AC$2*$M447))</f>
        <v/>
      </c>
      <c r="AD447" s="48">
        <f>IF(OR($M447="",$T447=""),"",$T447+(AD$2*$M447))</f>
        <v/>
      </c>
      <c r="AE447" s="49">
        <f>IF(OR($M447="",$T447=""),"",$T447+(AE$2*$M447))</f>
        <v/>
      </c>
      <c r="AF447" s="52">
        <f>IF(OR(T447="",I447&lt;T447),"",IFERROR(AVERAGE(T447+M447*{7,8,9,10,11})/IF(G447="",I447,G447)-1,""))</f>
        <v/>
      </c>
      <c r="AG447" s="55">
        <f>IF(OR(T447="",I447&lt;T447),"",IFERROR(AF447/-(R447/IF(G447="",I447,G447)-1),""))</f>
        <v/>
      </c>
      <c r="AH447" s="94" t="n">
        <v>1</v>
      </c>
      <c r="AI447" s="94" t="n">
        <v>213.9633736317437</v>
      </c>
      <c r="AJ447" s="94" t="n">
        <v>1</v>
      </c>
      <c r="AK447" s="94" t="inlineStr">
        <is>
          <t>OTT Up Trend</t>
        </is>
      </c>
      <c r="AL447" s="84" t="inlineStr">
        <is>
          <t>Toro Company (The)</t>
        </is>
      </c>
      <c r="AM447" t="inlineStr">
        <is>
          <t>Industrials</t>
        </is>
      </c>
      <c r="AN447" t="inlineStr">
        <is>
          <t>Tools &amp; Accessories</t>
        </is>
      </c>
      <c r="AO447" t="n">
        <v>70</v>
      </c>
    </row>
    <row r="448">
      <c r="A448" s="64" t="inlineStr">
        <is>
          <t>XPO</t>
        </is>
      </c>
      <c r="B448" s="65" t="n"/>
      <c r="C448" s="66" t="n"/>
      <c r="D448" s="67" t="n"/>
      <c r="E448" s="68" t="n"/>
      <c r="F448" s="47">
        <f>IF(A448="","",IF(MIN(H448,MAX(J448:K448))=0,"",MIN(H448,MAX(J448:K448))))</f>
        <v/>
      </c>
      <c r="G448" s="74" t="n"/>
      <c r="H448" s="49">
        <f>IF(M448="","",IFERROR(ROUND(AVERAGE(T448+M448*{7,8,9,10,11})/1.21,4),""))</f>
        <v/>
      </c>
      <c r="I448" s="76" t="n">
        <v>150.4100036621094</v>
      </c>
      <c r="J448" s="77" t="n">
        <v>147.8274322172479</v>
      </c>
      <c r="K448" s="74" t="n">
        <v>143.6580001831055</v>
      </c>
      <c r="L448" s="78" t="n">
        <v>127.4402498245239</v>
      </c>
      <c r="M448" s="77" t="n">
        <v>5.36954308448052</v>
      </c>
      <c r="N448" s="53">
        <f>IF(M448="","",IFERROR(M448/I448,""))</f>
        <v/>
      </c>
      <c r="O448" s="50">
        <f>IF(A448="","",IFERROR((IF(G448="",I448,G448)-T448)/M448,""))</f>
        <v/>
      </c>
      <c r="P448" s="50">
        <f>IFERROR((I448/T448-1)/N448,"")</f>
        <v/>
      </c>
      <c r="Q448" s="46">
        <f>IF(OR(T448="",I448&lt;T448),"",IFERROR(R448/IF(G448="",I448,G448)-1,""))</f>
        <v/>
      </c>
      <c r="R448" s="48">
        <f>IF($M448="","",MAX(IF($G448="",$I448,$G448)*(1/1.1),IF($G448="",$I448,$G448)+(R$2*$M448)))</f>
        <v/>
      </c>
      <c r="S448" s="49">
        <f>IF($M448="","",MAX(IF($G448="",$I448,$G448)*(1/1.1),IF($G448="",$I448,$G448)+(S$2*$M448)))</f>
        <v/>
      </c>
      <c r="T448" s="82" t="n">
        <v>141.0107998657226</v>
      </c>
      <c r="U448" s="47">
        <f>IF(OR($M448="",$T448=""),"",$T448+(U$2*$M448))</f>
        <v/>
      </c>
      <c r="V448" s="48">
        <f>IF(OR($M448="",$T448=""),"",$T448+(V$2*$M448))</f>
        <v/>
      </c>
      <c r="W448" s="48">
        <f>IF(OR($M448="",$T448=""),"",$T448+(W$2*$M448))</f>
        <v/>
      </c>
      <c r="X448" s="49">
        <f>IF(OR($M448="",$T448=""),"",$T448+(X$2*$M448))</f>
        <v/>
      </c>
      <c r="Y448" s="47">
        <f>IF(OR($M448="",$T448=""),"",$T448+(Y$2*$M448))</f>
        <v/>
      </c>
      <c r="Z448" s="49">
        <f>IF(OR($M448="",$T448=""),"",$T448+(Z$2*$M448))</f>
        <v/>
      </c>
      <c r="AA448" s="51">
        <f>IF(OR($M448="",$T448=""),"",$T448+(AA$2*$M448))</f>
        <v/>
      </c>
      <c r="AB448" s="48">
        <f>IF(OR($M448="",$T448=""),"",$T448+(AB$2*$M448))</f>
        <v/>
      </c>
      <c r="AC448" s="48">
        <f>IF(OR($M448="",$T448=""),"",$T448+(AC$2*$M448))</f>
        <v/>
      </c>
      <c r="AD448" s="48">
        <f>IF(OR($M448="",$T448=""),"",$T448+(AD$2*$M448))</f>
        <v/>
      </c>
      <c r="AE448" s="49">
        <f>IF(OR($M448="",$T448=""),"",$T448+(AE$2*$M448))</f>
        <v/>
      </c>
      <c r="AF448" s="52">
        <f>IF(OR(T448="",I448&lt;T448),"",IFERROR(AVERAGE(T448+M448*{7,8,9,10,11})/IF(G448="",I448,G448)-1,""))</f>
        <v/>
      </c>
      <c r="AG448" s="55">
        <f>IF(OR(T448="",I448&lt;T448),"",IFERROR(AF448/-(R448/IF(G448="",I448,G448)-1),""))</f>
        <v/>
      </c>
      <c r="AH448" s="94" t="n">
        <v>1</v>
      </c>
      <c r="AI448" s="94" t="n">
        <v>50.49424149400926</v>
      </c>
      <c r="AJ448" s="94" t="n">
        <v>1</v>
      </c>
      <c r="AK448" s="94" t="inlineStr">
        <is>
          <t>OTT Up Trend</t>
        </is>
      </c>
      <c r="AL448" s="84" t="inlineStr">
        <is>
          <t>XPO, Inc.</t>
        </is>
      </c>
      <c r="AM448" t="inlineStr">
        <is>
          <t>Industrials</t>
        </is>
      </c>
      <c r="AN448" t="inlineStr">
        <is>
          <t>Trucking</t>
        </is>
      </c>
      <c r="AO448" t="n">
        <v>70</v>
      </c>
    </row>
    <row r="449">
      <c r="A449" s="64" t="inlineStr">
        <is>
          <t>WSM</t>
        </is>
      </c>
      <c r="B449" s="65" t="n"/>
      <c r="C449" s="66" t="n"/>
      <c r="D449" s="67" t="n"/>
      <c r="E449" s="68" t="n"/>
      <c r="F449" s="47">
        <f>IF(A449="","",IF(MIN(H449,MAX(J449:K449))=0,"",MIN(H449,MAX(J449:K449))))</f>
        <v/>
      </c>
      <c r="G449" s="74" t="n"/>
      <c r="H449" s="49">
        <f>IF(M449="","",IFERROR(ROUND(AVERAGE(T449+M449*{7,8,9,10,11})/1.21,4),""))</f>
        <v/>
      </c>
      <c r="I449" s="76" t="n">
        <v>211.5099945068359</v>
      </c>
      <c r="J449" s="77" t="n">
        <v>202.8694757735232</v>
      </c>
      <c r="K449" s="74" t="n">
        <v>194.6214981079102</v>
      </c>
      <c r="L449" s="78" t="n">
        <v>180.0316993713379</v>
      </c>
      <c r="M449" s="77" t="n">
        <v>6.643484672268562</v>
      </c>
      <c r="N449" s="53">
        <f>IF(M449="","",IFERROR(M449/I449,""))</f>
        <v/>
      </c>
      <c r="O449" s="50">
        <f>IF(A449="","",IFERROR((IF(G449="",I449,G449)-T449)/M449,""))</f>
        <v/>
      </c>
      <c r="P449" s="50">
        <f>IFERROR((I449/T449-1)/N449,"")</f>
        <v/>
      </c>
      <c r="Q449" s="46">
        <f>IF(OR(T449="",I449&lt;T449),"",IFERROR(R449/IF(G449="",I449,G449)-1,""))</f>
        <v/>
      </c>
      <c r="R449" s="48">
        <f>IF($M449="","",MAX(IF($G449="",$I449,$G449)*(1/1.1),IF($G449="",$I449,$G449)+(R$2*$M449)))</f>
        <v/>
      </c>
      <c r="S449" s="49">
        <f>IF($M449="","",MAX(IF($G449="",$I449,$G449)*(1/1.1),IF($G449="",$I449,$G449)+(S$2*$M449)))</f>
        <v/>
      </c>
      <c r="T449" s="82" t="n">
        <v>188.0789987182617</v>
      </c>
      <c r="U449" s="47">
        <f>IF(OR($M449="",$T449=""),"",$T449+(U$2*$M449))</f>
        <v/>
      </c>
      <c r="V449" s="48">
        <f>IF(OR($M449="",$T449=""),"",$T449+(V$2*$M449))</f>
        <v/>
      </c>
      <c r="W449" s="48">
        <f>IF(OR($M449="",$T449=""),"",$T449+(W$2*$M449))</f>
        <v/>
      </c>
      <c r="X449" s="49">
        <f>IF(OR($M449="",$T449=""),"",$T449+(X$2*$M449))</f>
        <v/>
      </c>
      <c r="Y449" s="47">
        <f>IF(OR($M449="",$T449=""),"",$T449+(Y$2*$M449))</f>
        <v/>
      </c>
      <c r="Z449" s="49">
        <f>IF(OR($M449="",$T449=""),"",$T449+(Z$2*$M449))</f>
        <v/>
      </c>
      <c r="AA449" s="51">
        <f>IF(OR($M449="",$T449=""),"",$T449+(AA$2*$M449))</f>
        <v/>
      </c>
      <c r="AB449" s="48">
        <f>IF(OR($M449="",$T449=""),"",$T449+(AB$2*$M449))</f>
        <v/>
      </c>
      <c r="AC449" s="48">
        <f>IF(OR($M449="",$T449=""),"",$T449+(AC$2*$M449))</f>
        <v/>
      </c>
      <c r="AD449" s="48">
        <f>IF(OR($M449="",$T449=""),"",$T449+(AD$2*$M449))</f>
        <v/>
      </c>
      <c r="AE449" s="49">
        <f>IF(OR($M449="",$T449=""),"",$T449+(AE$2*$M449))</f>
        <v/>
      </c>
      <c r="AF449" s="52">
        <f>IF(OR(T449="",I449&lt;T449),"",IFERROR(AVERAGE(T449+M449*{7,8,9,10,11})/IF(G449="",I449,G449)-1,""))</f>
        <v/>
      </c>
      <c r="AG449" s="55">
        <f>IF(OR(T449="",I449&lt;T449),"",IFERROR(AF449/-(R449/IF(G449="",I449,G449)-1),""))</f>
        <v/>
      </c>
      <c r="AH449" s="94" t="n">
        <v>1</v>
      </c>
      <c r="AI449" s="94" t="n">
        <v>96.9800271831123</v>
      </c>
      <c r="AJ449" s="94" t="n">
        <v>1</v>
      </c>
      <c r="AK449" s="94" t="inlineStr">
        <is>
          <t>None</t>
        </is>
      </c>
      <c r="AL449" s="84" t="inlineStr">
        <is>
          <t>Williams-Sonoma, Inc.</t>
        </is>
      </c>
      <c r="AM449" t="inlineStr">
        <is>
          <t>Consumer Cyclical</t>
        </is>
      </c>
      <c r="AN449" t="inlineStr">
        <is>
          <t>Specialty Retail</t>
        </is>
      </c>
      <c r="AO449" t="n">
        <v>70</v>
      </c>
    </row>
    <row r="450">
      <c r="A450" s="64" t="inlineStr">
        <is>
          <t>CBOE</t>
        </is>
      </c>
      <c r="B450" s="65" t="n"/>
      <c r="C450" s="66" t="n"/>
      <c r="D450" s="67" t="n"/>
      <c r="E450" s="68" t="n"/>
      <c r="F450" s="47">
        <f>IF(A450="","",IF(MIN(H450,MAX(J450:K450))=0,"",MIN(H450,MAX(J450:K450))))</f>
        <v/>
      </c>
      <c r="G450" s="74" t="n"/>
      <c r="H450" s="49">
        <f>IF(M450="","",IFERROR(ROUND(AVERAGE(T450+M450*{7,8,9,10,11})/1.21,4),""))</f>
        <v/>
      </c>
      <c r="I450" s="76" t="n">
        <v>273.5499877929688</v>
      </c>
      <c r="J450" s="77" t="n">
        <v>264.3842319284552</v>
      </c>
      <c r="K450" s="74" t="n">
        <v>257.3589981079102</v>
      </c>
      <c r="L450" s="78" t="n">
        <v>238.7215998077393</v>
      </c>
      <c r="M450" s="77" t="n">
        <v>5.359835584371064</v>
      </c>
      <c r="N450" s="53">
        <f>IF(M450="","",IFERROR(M450/I450,""))</f>
        <v/>
      </c>
      <c r="O450" s="50">
        <f>IF(A450="","",IFERROR((IF(G450="",I450,G450)-T450)/M450,""))</f>
        <v/>
      </c>
      <c r="P450" s="50">
        <f>IFERROR((I450/T450-1)/N450,"")</f>
        <v/>
      </c>
      <c r="Q450" s="46">
        <f>IF(OR(T450="",I450&lt;T450),"",IFERROR(R450/IF(G450="",I450,G450)-1,""))</f>
        <v/>
      </c>
      <c r="R450" s="48">
        <f>IF($M450="","",MAX(IF($G450="",$I450,$G450)*(1/1.1),IF($G450="",$I450,$G450)+(R$2*$M450)))</f>
        <v/>
      </c>
      <c r="S450" s="49">
        <f>IF($M450="","",MAX(IF($G450="",$I450,$G450)*(1/1.1),IF($G450="",$I450,$G450)+(S$2*$M450)))</f>
        <v/>
      </c>
      <c r="T450" s="82" t="n">
        <v>255.8269995117188</v>
      </c>
      <c r="U450" s="47">
        <f>IF(OR($M450="",$T450=""),"",$T450+(U$2*$M450))</f>
        <v/>
      </c>
      <c r="V450" s="48">
        <f>IF(OR($M450="",$T450=""),"",$T450+(V$2*$M450))</f>
        <v/>
      </c>
      <c r="W450" s="48">
        <f>IF(OR($M450="",$T450=""),"",$T450+(W$2*$M450))</f>
        <v/>
      </c>
      <c r="X450" s="49">
        <f>IF(OR($M450="",$T450=""),"",$T450+(X$2*$M450))</f>
        <v/>
      </c>
      <c r="Y450" s="47">
        <f>IF(OR($M450="",$T450=""),"",$T450+(Y$2*$M450))</f>
        <v/>
      </c>
      <c r="Z450" s="49">
        <f>IF(OR($M450="",$T450=""),"",$T450+(Z$2*$M450))</f>
        <v/>
      </c>
      <c r="AA450" s="51">
        <f>IF(OR($M450="",$T450=""),"",$T450+(AA$2*$M450))</f>
        <v/>
      </c>
      <c r="AB450" s="48">
        <f>IF(OR($M450="",$T450=""),"",$T450+(AB$2*$M450))</f>
        <v/>
      </c>
      <c r="AC450" s="48">
        <f>IF(OR($M450="",$T450=""),"",$T450+(AC$2*$M450))</f>
        <v/>
      </c>
      <c r="AD450" s="48">
        <f>IF(OR($M450="",$T450=""),"",$T450+(AD$2*$M450))</f>
        <v/>
      </c>
      <c r="AE450" s="49">
        <f>IF(OR($M450="",$T450=""),"",$T450+(AE$2*$M450))</f>
        <v/>
      </c>
      <c r="AF450" s="52">
        <f>IF(OR(T450="",I450&lt;T450),"",IFERROR(AVERAGE(T450+M450*{7,8,9,10,11})/IF(G450="",I450,G450)-1,""))</f>
        <v/>
      </c>
      <c r="AG450" s="55">
        <f>IF(OR(T450="",I450&lt;T450),"",IFERROR(AF450/-(R450/IF(G450="",I450,G450)-1),""))</f>
        <v/>
      </c>
      <c r="AH450" s="94" t="n">
        <v>1</v>
      </c>
      <c r="AI450" s="94" t="n">
        <v>90.28051449184967</v>
      </c>
      <c r="AJ450" s="94" t="n">
        <v>1</v>
      </c>
      <c r="AK450" s="94" t="inlineStr">
        <is>
          <t>OTT Up Trend</t>
        </is>
      </c>
      <c r="AL450" s="84" t="inlineStr">
        <is>
          <t>Cboe Global Markets, Inc.</t>
        </is>
      </c>
      <c r="AM450" t="inlineStr">
        <is>
          <t>Financial Services</t>
        </is>
      </c>
      <c r="AN450" t="inlineStr">
        <is>
          <t>Financial Data &amp; Stock Exchanges</t>
        </is>
      </c>
      <c r="AO450" t="n">
        <v>70</v>
      </c>
    </row>
    <row r="451">
      <c r="A451" s="64" t="inlineStr">
        <is>
          <t>AME</t>
        </is>
      </c>
      <c r="B451" s="65" t="n"/>
      <c r="C451" s="66" t="n"/>
      <c r="D451" s="67" t="n"/>
      <c r="E451" s="68" t="n"/>
      <c r="F451" s="47">
        <f>IF(A451="","",IF(MIN(H451,MAX(J451:K451))=0,"",MIN(H451,MAX(J451:K451))))</f>
        <v/>
      </c>
      <c r="G451" s="74" t="n"/>
      <c r="H451" s="49">
        <f>IF(M451="","",IFERROR(ROUND(AVERAGE(T451+M451*{7,8,9,10,11})/1.21,4),""))</f>
        <v/>
      </c>
      <c r="I451" s="76" t="n">
        <v>215.6499938964844</v>
      </c>
      <c r="J451" s="77" t="n">
        <v>211.8660546896644</v>
      </c>
      <c r="K451" s="74" t="n">
        <v>209.3774978637695</v>
      </c>
      <c r="L451" s="78" t="n">
        <v>185.2659502410889</v>
      </c>
      <c r="M451" s="77" t="n">
        <v>3.23718034388727</v>
      </c>
      <c r="N451" s="53">
        <f>IF(M451="","",IFERROR(M451/I451,""))</f>
        <v/>
      </c>
      <c r="O451" s="50">
        <f>IF(A451="","",IFERROR((IF(G451="",I451,G451)-T451)/M451,""))</f>
        <v/>
      </c>
      <c r="P451" s="50">
        <f>IFERROR((I451/T451-1)/N451,"")</f>
        <v/>
      </c>
      <c r="Q451" s="46">
        <f>IF(OR(T451="",I451&lt;T451),"",IFERROR(R451/IF(G451="",I451,G451)-1,""))</f>
        <v/>
      </c>
      <c r="R451" s="48">
        <f>IF($M451="","",MAX(IF($G451="",$I451,$G451)*(1/1.1),IF($G451="",$I451,$G451)+(R$2*$M451)))</f>
        <v/>
      </c>
      <c r="S451" s="49">
        <f>IF($M451="","",MAX(IF($G451="",$I451,$G451)*(1/1.1),IF($G451="",$I451,$G451)+(S$2*$M451)))</f>
        <v/>
      </c>
      <c r="T451" s="82" t="n">
        <v>202.0177987670899</v>
      </c>
      <c r="U451" s="47">
        <f>IF(OR($M451="",$T451=""),"",$T451+(U$2*$M451))</f>
        <v/>
      </c>
      <c r="V451" s="48">
        <f>IF(OR($M451="",$T451=""),"",$T451+(V$2*$M451))</f>
        <v/>
      </c>
      <c r="W451" s="48">
        <f>IF(OR($M451="",$T451=""),"",$T451+(W$2*$M451))</f>
        <v/>
      </c>
      <c r="X451" s="49">
        <f>IF(OR($M451="",$T451=""),"",$T451+(X$2*$M451))</f>
        <v/>
      </c>
      <c r="Y451" s="47">
        <f>IF(OR($M451="",$T451=""),"",$T451+(Y$2*$M451))</f>
        <v/>
      </c>
      <c r="Z451" s="49">
        <f>IF(OR($M451="",$T451=""),"",$T451+(Z$2*$M451))</f>
        <v/>
      </c>
      <c r="AA451" s="51">
        <f>IF(OR($M451="",$T451=""),"",$T451+(AA$2*$M451))</f>
        <v/>
      </c>
      <c r="AB451" s="48">
        <f>IF(OR($M451="",$T451=""),"",$T451+(AB$2*$M451))</f>
        <v/>
      </c>
      <c r="AC451" s="48">
        <f>IF(OR($M451="",$T451=""),"",$T451+(AC$2*$M451))</f>
        <v/>
      </c>
      <c r="AD451" s="48">
        <f>IF(OR($M451="",$T451=""),"",$T451+(AD$2*$M451))</f>
        <v/>
      </c>
      <c r="AE451" s="49">
        <f>IF(OR($M451="",$T451=""),"",$T451+(AE$2*$M451))</f>
        <v/>
      </c>
      <c r="AF451" s="52">
        <f>IF(OR(T451="",I451&lt;T451),"",IFERROR(AVERAGE(T451+M451*{7,8,9,10,11})/IF(G451="",I451,G451)-1,""))</f>
        <v/>
      </c>
      <c r="AG451" s="55">
        <f>IF(OR(T451="",I451&lt;T451),"",IFERROR(AF451/-(R451/IF(G451="",I451,G451)-1),""))</f>
        <v/>
      </c>
      <c r="AH451" s="94" t="n">
        <v>1</v>
      </c>
      <c r="AI451" s="94" t="n">
        <v>104.910628121517</v>
      </c>
      <c r="AJ451" s="94" t="n">
        <v>1</v>
      </c>
      <c r="AK451" s="94" t="inlineStr">
        <is>
          <t>OTT Up Trend</t>
        </is>
      </c>
      <c r="AL451" s="84" t="inlineStr">
        <is>
          <t>AMETEK, Inc.</t>
        </is>
      </c>
      <c r="AM451" t="inlineStr">
        <is>
          <t>Industrials</t>
        </is>
      </c>
      <c r="AN451" t="inlineStr">
        <is>
          <t>Specialty Industrial Machinery</t>
        </is>
      </c>
      <c r="AO451" t="n">
        <v>70</v>
      </c>
    </row>
    <row r="452">
      <c r="A452" s="64" t="inlineStr">
        <is>
          <t>GXO</t>
        </is>
      </c>
      <c r="B452" s="65" t="n"/>
      <c r="C452" s="66" t="n"/>
      <c r="D452" s="67" t="n"/>
      <c r="E452" s="68" t="n"/>
      <c r="F452" s="47">
        <f>IF(A452="","",IF(MIN(H452,MAX(J452:K452))=0,"",MIN(H452,MAX(J452:K452))))</f>
        <v/>
      </c>
      <c r="G452" s="74" t="n"/>
      <c r="H452" s="49">
        <f>IF(M452="","",IFERROR(ROUND(AVERAGE(T452+M452*{7,8,9,10,11})/1.21,4),""))</f>
        <v/>
      </c>
      <c r="I452" s="76" t="n">
        <v>56.54000091552734</v>
      </c>
      <c r="J452" s="77" t="n">
        <v>56.30105462207558</v>
      </c>
      <c r="K452" s="74" t="n">
        <v>54.99050025939941</v>
      </c>
      <c r="L452" s="78" t="n">
        <v>48.51950009346008</v>
      </c>
      <c r="M452" s="77" t="n">
        <v>1.396613825808547</v>
      </c>
      <c r="N452" s="53">
        <f>IF(M452="","",IFERROR(M452/I452,""))</f>
        <v/>
      </c>
      <c r="O452" s="50">
        <f>IF(A452="","",IFERROR((IF(G452="",I452,G452)-T452)/M452,""))</f>
        <v/>
      </c>
      <c r="P452" s="50">
        <f>IFERROR((I452/T452-1)/N452,"")</f>
        <v/>
      </c>
      <c r="Q452" s="46">
        <f>IF(OR(T452="",I452&lt;T452),"",IFERROR(R452/IF(G452="",I452,G452)-1,""))</f>
        <v/>
      </c>
      <c r="R452" s="48">
        <f>IF($M452="","",MAX(IF($G452="",$I452,$G452)*(1/1.1),IF($G452="",$I452,$G452)+(R$2*$M452)))</f>
        <v/>
      </c>
      <c r="S452" s="49">
        <f>IF($M452="","",MAX(IF($G452="",$I452,$G452)*(1/1.1),IF($G452="",$I452,$G452)+(S$2*$M452)))</f>
        <v/>
      </c>
      <c r="T452" s="82" t="n">
        <v>52.52300025939942</v>
      </c>
      <c r="U452" s="47">
        <f>IF(OR($M452="",$T452=""),"",$T452+(U$2*$M452))</f>
        <v/>
      </c>
      <c r="V452" s="48">
        <f>IF(OR($M452="",$T452=""),"",$T452+(V$2*$M452))</f>
        <v/>
      </c>
      <c r="W452" s="48">
        <f>IF(OR($M452="",$T452=""),"",$T452+(W$2*$M452))</f>
        <v/>
      </c>
      <c r="X452" s="49">
        <f>IF(OR($M452="",$T452=""),"",$T452+(X$2*$M452))</f>
        <v/>
      </c>
      <c r="Y452" s="47">
        <f>IF(OR($M452="",$T452=""),"",$T452+(Y$2*$M452))</f>
        <v/>
      </c>
      <c r="Z452" s="49">
        <f>IF(OR($M452="",$T452=""),"",$T452+(Z$2*$M452))</f>
        <v/>
      </c>
      <c r="AA452" s="51">
        <f>IF(OR($M452="",$T452=""),"",$T452+(AA$2*$M452))</f>
        <v/>
      </c>
      <c r="AB452" s="48">
        <f>IF(OR($M452="",$T452=""),"",$T452+(AB$2*$M452))</f>
        <v/>
      </c>
      <c r="AC452" s="48">
        <f>IF(OR($M452="",$T452=""),"",$T452+(AC$2*$M452))</f>
        <v/>
      </c>
      <c r="AD452" s="48">
        <f>IF(OR($M452="",$T452=""),"",$T452+(AD$2*$M452))</f>
        <v/>
      </c>
      <c r="AE452" s="49">
        <f>IF(OR($M452="",$T452=""),"",$T452+(AE$2*$M452))</f>
        <v/>
      </c>
      <c r="AF452" s="52">
        <f>IF(OR(T452="",I452&lt;T452),"",IFERROR(AVERAGE(T452+M452*{7,8,9,10,11})/IF(G452="",I452,G452)-1,""))</f>
        <v/>
      </c>
      <c r="AG452" s="55">
        <f>IF(OR(T452="",I452&lt;T452),"",IFERROR(AF452/-(R452/IF(G452="",I452,G452)-1),""))</f>
        <v/>
      </c>
      <c r="AH452" s="94" t="n">
        <v>1</v>
      </c>
      <c r="AI452" s="94" t="n">
        <v>86.5982831840705</v>
      </c>
      <c r="AJ452" s="94" t="n">
        <v>1</v>
      </c>
      <c r="AK452" s="94" t="inlineStr">
        <is>
          <t>OTT Up Trend</t>
        </is>
      </c>
      <c r="AL452" s="84" t="inlineStr">
        <is>
          <t>GXO Logistics, Inc.</t>
        </is>
      </c>
      <c r="AM452" t="inlineStr">
        <is>
          <t>Industrials</t>
        </is>
      </c>
      <c r="AN452" t="inlineStr">
        <is>
          <t>Integrated Freight &amp; Logistics</t>
        </is>
      </c>
      <c r="AO452" t="n">
        <v>70</v>
      </c>
    </row>
    <row r="453">
      <c r="A453" s="64" t="inlineStr">
        <is>
          <t>AL</t>
        </is>
      </c>
      <c r="B453" s="65" t="n"/>
      <c r="C453" s="66" t="n"/>
      <c r="D453" s="67" t="n"/>
      <c r="E453" s="68" t="n"/>
      <c r="F453" s="47">
        <f>IF(A453="","",IF(MIN(H453,MAX(J453:K453))=0,"",MIN(H453,MAX(J453:K453))))</f>
        <v/>
      </c>
      <c r="G453" s="74" t="n"/>
      <c r="H453" s="49">
        <f>IF(M453="","",IFERROR(ROUND(AVERAGE(T453+M453*{7,8,9,10,11})/1.21,4),""))</f>
        <v/>
      </c>
      <c r="I453" s="76" t="n">
        <v>64.30999755859375</v>
      </c>
      <c r="J453" s="77" t="n">
        <v>64.26144157696038</v>
      </c>
      <c r="K453" s="74" t="n">
        <v>64.21199989318848</v>
      </c>
      <c r="L453" s="78" t="n">
        <v>58.97434991836548</v>
      </c>
      <c r="M453" s="77" t="n">
        <v>0.1161410218004647</v>
      </c>
      <c r="N453" s="53">
        <f>IF(M453="","",IFERROR(M453/I453,""))</f>
        <v/>
      </c>
      <c r="O453" s="50">
        <f>IF(A453="","",IFERROR((IF(G453="",I453,G453)-T453)/M453,""))</f>
        <v/>
      </c>
      <c r="P453" s="50">
        <f>IFERROR((I453/T453-1)/N453,"")</f>
        <v/>
      </c>
      <c r="Q453" s="46">
        <f>IF(OR(T453="",I453&lt;T453),"",IFERROR(R453/IF(G453="",I453,G453)-1,""))</f>
        <v/>
      </c>
      <c r="R453" s="48">
        <f>IF($M453="","",MAX(IF($G453="",$I453,$G453)*(1/1.1),IF($G453="",$I453,$G453)+(R$2*$M453)))</f>
        <v/>
      </c>
      <c r="S453" s="49">
        <f>IF($M453="","",MAX(IF($G453="",$I453,$G453)*(1/1.1),IF($G453="",$I453,$G453)+(S$2*$M453)))</f>
        <v/>
      </c>
      <c r="T453" s="82" t="n">
        <v>64.03119979858398</v>
      </c>
      <c r="U453" s="47">
        <f>IF(OR($M453="",$T453=""),"",$T453+(U$2*$M453))</f>
        <v/>
      </c>
      <c r="V453" s="48">
        <f>IF(OR($M453="",$T453=""),"",$T453+(V$2*$M453))</f>
        <v/>
      </c>
      <c r="W453" s="48">
        <f>IF(OR($M453="",$T453=""),"",$T453+(W$2*$M453))</f>
        <v/>
      </c>
      <c r="X453" s="49">
        <f>IF(OR($M453="",$T453=""),"",$T453+(X$2*$M453))</f>
        <v/>
      </c>
      <c r="Y453" s="47">
        <f>IF(OR($M453="",$T453=""),"",$T453+(Y$2*$M453))</f>
        <v/>
      </c>
      <c r="Z453" s="49">
        <f>IF(OR($M453="",$T453=""),"",$T453+(Z$2*$M453))</f>
        <v/>
      </c>
      <c r="AA453" s="51">
        <f>IF(OR($M453="",$T453=""),"",$T453+(AA$2*$M453))</f>
        <v/>
      </c>
      <c r="AB453" s="48">
        <f>IF(OR($M453="",$T453=""),"",$T453+(AB$2*$M453))</f>
        <v/>
      </c>
      <c r="AC453" s="48">
        <f>IF(OR($M453="",$T453=""),"",$T453+(AC$2*$M453))</f>
        <v/>
      </c>
      <c r="AD453" s="48">
        <f>IF(OR($M453="",$T453=""),"",$T453+(AD$2*$M453))</f>
        <v/>
      </c>
      <c r="AE453" s="49">
        <f>IF(OR($M453="",$T453=""),"",$T453+(AE$2*$M453))</f>
        <v/>
      </c>
      <c r="AF453" s="52">
        <f>IF(OR(T453="",I453&lt;T453),"",IFERROR(AVERAGE(T453+M453*{7,8,9,10,11})/IF(G453="",I453,G453)-1,""))</f>
        <v/>
      </c>
      <c r="AG453" s="55">
        <f>IF(OR(T453="",I453&lt;T453),"",IFERROR(AF453/-(R453/IF(G453="",I453,G453)-1),""))</f>
        <v/>
      </c>
      <c r="AH453" s="94" t="n">
        <v>1</v>
      </c>
      <c r="AI453" s="94" t="n">
        <v>49.32892607676331</v>
      </c>
      <c r="AJ453" s="94" t="n">
        <v>1</v>
      </c>
      <c r="AK453" s="94" t="inlineStr">
        <is>
          <t>OTT Up Trend</t>
        </is>
      </c>
      <c r="AL453" s="84" t="inlineStr">
        <is>
          <t>Air Lease Corporation</t>
        </is>
      </c>
      <c r="AM453" t="inlineStr">
        <is>
          <t>Industrials</t>
        </is>
      </c>
      <c r="AN453" t="inlineStr">
        <is>
          <t>Rental &amp; Leasing Services</t>
        </is>
      </c>
      <c r="AO453" t="n">
        <v>70</v>
      </c>
    </row>
    <row r="454">
      <c r="A454" s="64" t="inlineStr">
        <is>
          <t>BKR</t>
        </is>
      </c>
      <c r="B454" s="65" t="n"/>
      <c r="C454" s="66" t="n"/>
      <c r="D454" s="67" t="n"/>
      <c r="E454" s="68" t="n"/>
      <c r="F454" s="47">
        <f>IF(A454="","",IF(MIN(H454,MAX(J454:K454))=0,"",MIN(H454,MAX(J454:K454))))</f>
        <v/>
      </c>
      <c r="G454" s="74" t="n"/>
      <c r="H454" s="49">
        <f>IF(M454="","",IFERROR(ROUND(AVERAGE(T454+M454*{7,8,9,10,11})/1.21,4),""))</f>
        <v/>
      </c>
      <c r="I454" s="76" t="n">
        <v>51.75</v>
      </c>
      <c r="J454" s="77" t="n">
        <v>49.70800378048345</v>
      </c>
      <c r="K454" s="74" t="n">
        <v>47.63700027465821</v>
      </c>
      <c r="L454" s="78" t="n">
        <v>43.49395011901856</v>
      </c>
      <c r="M454" s="77" t="n">
        <v>1.412811729739597</v>
      </c>
      <c r="N454" s="53">
        <f>IF(M454="","",IFERROR(M454/I454,""))</f>
        <v/>
      </c>
      <c r="O454" s="50">
        <f>IF(A454="","",IFERROR((IF(G454="",I454,G454)-T454)/M454,""))</f>
        <v/>
      </c>
      <c r="P454" s="50">
        <f>IFERROR((I454/T454-1)/N454,"")</f>
        <v/>
      </c>
      <c r="Q454" s="46">
        <f>IF(OR(T454="",I454&lt;T454),"",IFERROR(R454/IF(G454="",I454,G454)-1,""))</f>
        <v/>
      </c>
      <c r="R454" s="48">
        <f>IF($M454="","",MAX(IF($G454="",$I454,$G454)*(1/1.1),IF($G454="",$I454,$G454)+(R$2*$M454)))</f>
        <v/>
      </c>
      <c r="S454" s="49">
        <f>IF($M454="","",MAX(IF($G454="",$I454,$G454)*(1/1.1),IF($G454="",$I454,$G454)+(S$2*$M454)))</f>
        <v/>
      </c>
      <c r="T454" s="82" t="n">
        <v>48.01860015869141</v>
      </c>
      <c r="U454" s="47">
        <f>IF(OR($M454="",$T454=""),"",$T454+(U$2*$M454))</f>
        <v/>
      </c>
      <c r="V454" s="48">
        <f>IF(OR($M454="",$T454=""),"",$T454+(V$2*$M454))</f>
        <v/>
      </c>
      <c r="W454" s="48">
        <f>IF(OR($M454="",$T454=""),"",$T454+(W$2*$M454))</f>
        <v/>
      </c>
      <c r="X454" s="49">
        <f>IF(OR($M454="",$T454=""),"",$T454+(X$2*$M454))</f>
        <v/>
      </c>
      <c r="Y454" s="47">
        <f>IF(OR($M454="",$T454=""),"",$T454+(Y$2*$M454))</f>
        <v/>
      </c>
      <c r="Z454" s="49">
        <f>IF(OR($M454="",$T454=""),"",$T454+(Z$2*$M454))</f>
        <v/>
      </c>
      <c r="AA454" s="51">
        <f>IF(OR($M454="",$T454=""),"",$T454+(AA$2*$M454))</f>
        <v/>
      </c>
      <c r="AB454" s="48">
        <f>IF(OR($M454="",$T454=""),"",$T454+(AB$2*$M454))</f>
        <v/>
      </c>
      <c r="AC454" s="48">
        <f>IF(OR($M454="",$T454=""),"",$T454+(AC$2*$M454))</f>
        <v/>
      </c>
      <c r="AD454" s="48">
        <f>IF(OR($M454="",$T454=""),"",$T454+(AD$2*$M454))</f>
        <v/>
      </c>
      <c r="AE454" s="49">
        <f>IF(OR($M454="",$T454=""),"",$T454+(AE$2*$M454))</f>
        <v/>
      </c>
      <c r="AF454" s="52">
        <f>IF(OR(T454="",I454&lt;T454),"",IFERROR(AVERAGE(T454+M454*{7,8,9,10,11})/IF(G454="",I454,G454)-1,""))</f>
        <v/>
      </c>
      <c r="AG454" s="55">
        <f>IF(OR(T454="",I454&lt;T454),"",IFERROR(AF454/-(R454/IF(G454="",I454,G454)-1),""))</f>
        <v/>
      </c>
      <c r="AH454" s="94" t="n">
        <v>1</v>
      </c>
      <c r="AI454" s="94" t="n">
        <v>71.998640496226</v>
      </c>
      <c r="AJ454" s="94" t="n">
        <v>1</v>
      </c>
      <c r="AK454" s="94" t="inlineStr">
        <is>
          <t>None</t>
        </is>
      </c>
      <c r="AL454" s="84" t="inlineStr">
        <is>
          <t>Baker Hughes Company</t>
        </is>
      </c>
      <c r="AM454" t="inlineStr">
        <is>
          <t>Energy</t>
        </is>
      </c>
      <c r="AN454" t="inlineStr">
        <is>
          <t>Oil &amp; Gas Equipment &amp; Services</t>
        </is>
      </c>
      <c r="AO454" t="n">
        <v>70</v>
      </c>
    </row>
    <row r="455">
      <c r="A455" s="64" t="n"/>
      <c r="B455" s="65" t="n"/>
      <c r="C455" s="66" t="n"/>
      <c r="D455" s="67" t="n"/>
      <c r="E455" s="68" t="n"/>
      <c r="F455" s="47">
        <f>IF(A455="","",IF(MIN(H455,MAX(J455:K455))=0,"",MIN(H455,MAX(J455:K455))))</f>
        <v/>
      </c>
      <c r="G455" s="74" t="n"/>
      <c r="H455" s="49">
        <f>IF(M455="","",IFERROR(ROUND(AVERAGE(T455+M455*{7,8,9,10,11})/1.21,4),""))</f>
        <v/>
      </c>
      <c r="I455" s="76" t="n"/>
      <c r="J455" s="77" t="n"/>
      <c r="K455" s="74" t="n"/>
      <c r="L455" s="78" t="n"/>
      <c r="M455" s="77" t="n"/>
      <c r="N455" s="53">
        <f>IF(M455="","",IFERROR(M455/I455,""))</f>
        <v/>
      </c>
      <c r="O455" s="50">
        <f>IF(A455="","",IFERROR((IF(G455="",I455,G455)-T455)/M455,""))</f>
        <v/>
      </c>
      <c r="P455" s="50">
        <f>IFERROR((I455/T455-1)/N455,"")</f>
        <v/>
      </c>
      <c r="Q455" s="46">
        <f>IF(OR(T455="",I455&lt;T455),"",IFERROR(R455/IF(G455="",I455,G455)-1,""))</f>
        <v/>
      </c>
      <c r="R455" s="48">
        <f>IF($M455="","",MAX(IF($G455="",$I455,$G455)*(1/1.1),IF($G455="",$I455,$G455)+(R$2*$M455)))</f>
        <v/>
      </c>
      <c r="S455" s="49">
        <f>IF($M455="","",MAX(IF($G455="",$I455,$G455)*(1/1.1),IF($G455="",$I455,$G455)+(S$2*$M455)))</f>
        <v/>
      </c>
      <c r="T455" s="82" t="n"/>
      <c r="U455" s="47">
        <f>IF(OR($M455="",$T455=""),"",$T455+(U$2*$M455))</f>
        <v/>
      </c>
      <c r="V455" s="48">
        <f>IF(OR($M455="",$T455=""),"",$T455+(V$2*$M455))</f>
        <v/>
      </c>
      <c r="W455" s="48">
        <f>IF(OR($M455="",$T455=""),"",$T455+(W$2*$M455))</f>
        <v/>
      </c>
      <c r="X455" s="49">
        <f>IF(OR($M455="",$T455=""),"",$T455+(X$2*$M455))</f>
        <v/>
      </c>
      <c r="Y455" s="47">
        <f>IF(OR($M455="",$T455=""),"",$T455+(Y$2*$M455))</f>
        <v/>
      </c>
      <c r="Z455" s="49">
        <f>IF(OR($M455="",$T455=""),"",$T455+(Z$2*$M455))</f>
        <v/>
      </c>
      <c r="AA455" s="51">
        <f>IF(OR($M455="",$T455=""),"",$T455+(AA$2*$M455))</f>
        <v/>
      </c>
      <c r="AB455" s="48">
        <f>IF(OR($M455="",$T455=""),"",$T455+(AB$2*$M455))</f>
        <v/>
      </c>
      <c r="AC455" s="48">
        <f>IF(OR($M455="",$T455=""),"",$T455+(AC$2*$M455))</f>
        <v/>
      </c>
      <c r="AD455" s="48">
        <f>IF(OR($M455="",$T455=""),"",$T455+(AD$2*$M455))</f>
        <v/>
      </c>
      <c r="AE455" s="49">
        <f>IF(OR($M455="",$T455=""),"",$T455+(AE$2*$M455))</f>
        <v/>
      </c>
      <c r="AF455" s="52">
        <f>IF(OR(T455="",I455&lt;T455),"",IFERROR(AVERAGE(T455+M455*{7,8,9,10,11})/IF(G455="",I455,G455)-1,""))</f>
        <v/>
      </c>
      <c r="AG455" s="55">
        <f>IF(OR(T455="",I455&lt;T455),"",IFERROR(AF455/-(R455/IF(G455="",I455,G455)-1),""))</f>
        <v/>
      </c>
      <c r="AH455" s="94" t="n"/>
      <c r="AI455" s="94" t="n"/>
      <c r="AJ455" s="94" t="n"/>
      <c r="AK455" s="94" t="n"/>
      <c r="AL455" s="84" t="n"/>
    </row>
    <row r="456">
      <c r="A456" s="64" t="n"/>
      <c r="B456" s="65" t="n"/>
      <c r="C456" s="66" t="n"/>
      <c r="D456" s="67" t="n"/>
      <c r="E456" s="68" t="n"/>
      <c r="F456" s="47">
        <f>IF(A456="","",IF(MIN(H456,MAX(J456:K456))=0,"",MIN(H456,MAX(J456:K456))))</f>
        <v/>
      </c>
      <c r="G456" s="74" t="n"/>
      <c r="H456" s="49">
        <f>IF(M456="","",IFERROR(ROUND(AVERAGE(T456+M456*{7,8,9,10,11})/1.21,4),""))</f>
        <v/>
      </c>
      <c r="I456" s="76" t="n"/>
      <c r="J456" s="77" t="n"/>
      <c r="K456" s="74" t="n"/>
      <c r="L456" s="78" t="n"/>
      <c r="M456" s="77" t="n"/>
      <c r="N456" s="53">
        <f>IF(M456="","",IFERROR(M456/I456,""))</f>
        <v/>
      </c>
      <c r="O456" s="50">
        <f>IF(A456="","",IFERROR((IF(G456="",I456,G456)-T456)/M456,""))</f>
        <v/>
      </c>
      <c r="P456" s="50">
        <f>IFERROR((I456/T456-1)/N456,"")</f>
        <v/>
      </c>
      <c r="Q456" s="46">
        <f>IF(OR(T456="",I456&lt;T456),"",IFERROR(R456/IF(G456="",I456,G456)-1,""))</f>
        <v/>
      </c>
      <c r="R456" s="48">
        <f>IF($M456="","",MAX(IF($G456="",$I456,$G456)*(1/1.1),IF($G456="",$I456,$G456)+(R$2*$M456)))</f>
        <v/>
      </c>
      <c r="S456" s="49">
        <f>IF($M456="","",MAX(IF($G456="",$I456,$G456)*(1/1.1),IF($G456="",$I456,$G456)+(S$2*$M456)))</f>
        <v/>
      </c>
      <c r="T456" s="82" t="n"/>
      <c r="U456" s="47">
        <f>IF(OR($M456="",$T456=""),"",$T456+(U$2*$M456))</f>
        <v/>
      </c>
      <c r="V456" s="48">
        <f>IF(OR($M456="",$T456=""),"",$T456+(V$2*$M456))</f>
        <v/>
      </c>
      <c r="W456" s="48">
        <f>IF(OR($M456="",$T456=""),"",$T456+(W$2*$M456))</f>
        <v/>
      </c>
      <c r="X456" s="49">
        <f>IF(OR($M456="",$T456=""),"",$T456+(X$2*$M456))</f>
        <v/>
      </c>
      <c r="Y456" s="47">
        <f>IF(OR($M456="",$T456=""),"",$T456+(Y$2*$M456))</f>
        <v/>
      </c>
      <c r="Z456" s="49">
        <f>IF(OR($M456="",$T456=""),"",$T456+(Z$2*$M456))</f>
        <v/>
      </c>
      <c r="AA456" s="51">
        <f>IF(OR($M456="",$T456=""),"",$T456+(AA$2*$M456))</f>
        <v/>
      </c>
      <c r="AB456" s="48">
        <f>IF(OR($M456="",$T456=""),"",$T456+(AB$2*$M456))</f>
        <v/>
      </c>
      <c r="AC456" s="48">
        <f>IF(OR($M456="",$T456=""),"",$T456+(AC$2*$M456))</f>
        <v/>
      </c>
      <c r="AD456" s="48">
        <f>IF(OR($M456="",$T456=""),"",$T456+(AD$2*$M456))</f>
        <v/>
      </c>
      <c r="AE456" s="49">
        <f>IF(OR($M456="",$T456=""),"",$T456+(AE$2*$M456))</f>
        <v/>
      </c>
      <c r="AF456" s="52">
        <f>IF(OR(T456="",I456&lt;T456),"",IFERROR(AVERAGE(T456+M456*{7,8,9,10,11})/IF(G456="",I456,G456)-1,""))</f>
        <v/>
      </c>
      <c r="AG456" s="55">
        <f>IF(OR(T456="",I456&lt;T456),"",IFERROR(AF456/-(R456/IF(G456="",I456,G456)-1),""))</f>
        <v/>
      </c>
      <c r="AH456" s="94" t="n"/>
      <c r="AI456" s="94" t="n"/>
      <c r="AJ456" s="94" t="n"/>
      <c r="AK456" s="94" t="n"/>
      <c r="AL456" s="84" t="n"/>
    </row>
    <row r="457">
      <c r="A457" s="64" t="n"/>
      <c r="B457" s="65" t="n"/>
      <c r="C457" s="66" t="n"/>
      <c r="D457" s="67" t="n"/>
      <c r="E457" s="68" t="n"/>
      <c r="F457" s="47">
        <f>IF(A457="","",IF(MIN(H457,MAX(J457:K457))=0,"",MIN(H457,MAX(J457:K457))))</f>
        <v/>
      </c>
      <c r="G457" s="74" t="n"/>
      <c r="H457" s="49">
        <f>IF(M457="","",IFERROR(ROUND(AVERAGE(T457+M457*{7,8,9,10,11})/1.21,4),""))</f>
        <v/>
      </c>
      <c r="I457" s="76" t="n"/>
      <c r="J457" s="77" t="n"/>
      <c r="K457" s="74" t="n"/>
      <c r="L457" s="78" t="n"/>
      <c r="M457" s="77" t="n"/>
      <c r="N457" s="53">
        <f>IF(M457="","",IFERROR(M457/I457,""))</f>
        <v/>
      </c>
      <c r="O457" s="50">
        <f>IF(A457="","",IFERROR((IF(G457="",I457,G457)-T457)/M457,""))</f>
        <v/>
      </c>
      <c r="P457" s="50">
        <f>IFERROR((I457/T457-1)/N457,"")</f>
        <v/>
      </c>
      <c r="Q457" s="46">
        <f>IF(OR(T457="",I457&lt;T457),"",IFERROR(R457/IF(G457="",I457,G457)-1,""))</f>
        <v/>
      </c>
      <c r="R457" s="48">
        <f>IF($M457="","",MAX(IF($G457="",$I457,$G457)*(1/1.1),IF($G457="",$I457,$G457)+(R$2*$M457)))</f>
        <v/>
      </c>
      <c r="S457" s="49">
        <f>IF($M457="","",MAX(IF($G457="",$I457,$G457)*(1/1.1),IF($G457="",$I457,$G457)+(S$2*$M457)))</f>
        <v/>
      </c>
      <c r="T457" s="82" t="n"/>
      <c r="U457" s="47">
        <f>IF(OR($M457="",$T457=""),"",$T457+(U$2*$M457))</f>
        <v/>
      </c>
      <c r="V457" s="48">
        <f>IF(OR($M457="",$T457=""),"",$T457+(V$2*$M457))</f>
        <v/>
      </c>
      <c r="W457" s="48">
        <f>IF(OR($M457="",$T457=""),"",$T457+(W$2*$M457))</f>
        <v/>
      </c>
      <c r="X457" s="49">
        <f>IF(OR($M457="",$T457=""),"",$T457+(X$2*$M457))</f>
        <v/>
      </c>
      <c r="Y457" s="47">
        <f>IF(OR($M457="",$T457=""),"",$T457+(Y$2*$M457))</f>
        <v/>
      </c>
      <c r="Z457" s="49">
        <f>IF(OR($M457="",$T457=""),"",$T457+(Z$2*$M457))</f>
        <v/>
      </c>
      <c r="AA457" s="51">
        <f>IF(OR($M457="",$T457=""),"",$T457+(AA$2*$M457))</f>
        <v/>
      </c>
      <c r="AB457" s="48">
        <f>IF(OR($M457="",$T457=""),"",$T457+(AB$2*$M457))</f>
        <v/>
      </c>
      <c r="AC457" s="48">
        <f>IF(OR($M457="",$T457=""),"",$T457+(AC$2*$M457))</f>
        <v/>
      </c>
      <c r="AD457" s="48">
        <f>IF(OR($M457="",$T457=""),"",$T457+(AD$2*$M457))</f>
        <v/>
      </c>
      <c r="AE457" s="49">
        <f>IF(OR($M457="",$T457=""),"",$T457+(AE$2*$M457))</f>
        <v/>
      </c>
      <c r="AF457" s="52">
        <f>IF(OR(T457="",I457&lt;T457),"",IFERROR(AVERAGE(T457+M457*{7,8,9,10,11})/IF(G457="",I457,G457)-1,""))</f>
        <v/>
      </c>
      <c r="AG457" s="55">
        <f>IF(OR(T457="",I457&lt;T457),"",IFERROR(AF457/-(R457/IF(G457="",I457,G457)-1),""))</f>
        <v/>
      </c>
      <c r="AH457" s="94" t="n"/>
      <c r="AI457" s="94" t="n"/>
      <c r="AJ457" s="94" t="n"/>
      <c r="AK457" s="94" t="n"/>
      <c r="AL457" s="84" t="n"/>
    </row>
    <row r="458">
      <c r="A458" s="64" t="n"/>
      <c r="B458" s="65" t="n"/>
      <c r="C458" s="66" t="n"/>
      <c r="D458" s="67" t="n"/>
      <c r="E458" s="68" t="n"/>
      <c r="F458" s="47">
        <f>IF(A458="","",IF(MIN(H458,MAX(J458:K458))=0,"",MIN(H458,MAX(J458:K458))))</f>
        <v/>
      </c>
      <c r="G458" s="74" t="n"/>
      <c r="H458" s="49">
        <f>IF(M458="","",IFERROR(ROUND(AVERAGE(T458+M458*{7,8,9,10,11})/1.21,4),""))</f>
        <v/>
      </c>
      <c r="I458" s="76" t="n"/>
      <c r="J458" s="77" t="n"/>
      <c r="K458" s="74" t="n"/>
      <c r="L458" s="78" t="n"/>
      <c r="M458" s="77" t="n"/>
      <c r="N458" s="53">
        <f>IF(M458="","",IFERROR(M458/I458,""))</f>
        <v/>
      </c>
      <c r="O458" s="50">
        <f>IF(A458="","",IFERROR((IF(G458="",I458,G458)-T458)/M458,""))</f>
        <v/>
      </c>
      <c r="P458" s="50">
        <f>IFERROR((I458/T458-1)/N458,"")</f>
        <v/>
      </c>
      <c r="Q458" s="46">
        <f>IF(OR(T458="",I458&lt;T458),"",IFERROR(R458/IF(G458="",I458,G458)-1,""))</f>
        <v/>
      </c>
      <c r="R458" s="48">
        <f>IF($M458="","",MAX(IF($G458="",$I458,$G458)*(1/1.1),IF($G458="",$I458,$G458)+(R$2*$M458)))</f>
        <v/>
      </c>
      <c r="S458" s="49">
        <f>IF($M458="","",MAX(IF($G458="",$I458,$G458)*(1/1.1),IF($G458="",$I458,$G458)+(S$2*$M458)))</f>
        <v/>
      </c>
      <c r="T458" s="82" t="n"/>
      <c r="U458" s="47">
        <f>IF(OR($M458="",$T458=""),"",$T458+(U$2*$M458))</f>
        <v/>
      </c>
      <c r="V458" s="48">
        <f>IF(OR($M458="",$T458=""),"",$T458+(V$2*$M458))</f>
        <v/>
      </c>
      <c r="W458" s="48">
        <f>IF(OR($M458="",$T458=""),"",$T458+(W$2*$M458))</f>
        <v/>
      </c>
      <c r="X458" s="49">
        <f>IF(OR($M458="",$T458=""),"",$T458+(X$2*$M458))</f>
        <v/>
      </c>
      <c r="Y458" s="47">
        <f>IF(OR($M458="",$T458=""),"",$T458+(Y$2*$M458))</f>
        <v/>
      </c>
      <c r="Z458" s="49">
        <f>IF(OR($M458="",$T458=""),"",$T458+(Z$2*$M458))</f>
        <v/>
      </c>
      <c r="AA458" s="51">
        <f>IF(OR($M458="",$T458=""),"",$T458+(AA$2*$M458))</f>
        <v/>
      </c>
      <c r="AB458" s="48">
        <f>IF(OR($M458="",$T458=""),"",$T458+(AB$2*$M458))</f>
        <v/>
      </c>
      <c r="AC458" s="48">
        <f>IF(OR($M458="",$T458=""),"",$T458+(AC$2*$M458))</f>
        <v/>
      </c>
      <c r="AD458" s="48">
        <f>IF(OR($M458="",$T458=""),"",$T458+(AD$2*$M458))</f>
        <v/>
      </c>
      <c r="AE458" s="49">
        <f>IF(OR($M458="",$T458=""),"",$T458+(AE$2*$M458))</f>
        <v/>
      </c>
      <c r="AF458" s="52">
        <f>IF(OR(T458="",I458&lt;T458),"",IFERROR(AVERAGE(T458+M458*{7,8,9,10,11})/IF(G458="",I458,G458)-1,""))</f>
        <v/>
      </c>
      <c r="AG458" s="55">
        <f>IF(OR(T458="",I458&lt;T458),"",IFERROR(AF458/-(R458/IF(G458="",I458,G458)-1),""))</f>
        <v/>
      </c>
      <c r="AH458" s="94" t="n"/>
      <c r="AI458" s="94" t="n"/>
      <c r="AJ458" s="94" t="n"/>
      <c r="AK458" s="94" t="n"/>
      <c r="AL458" s="84" t="n"/>
    </row>
    <row r="459">
      <c r="A459" s="64" t="n"/>
      <c r="B459" s="65" t="n"/>
      <c r="C459" s="66" t="n"/>
      <c r="D459" s="67" t="n"/>
      <c r="E459" s="68" t="n"/>
      <c r="F459" s="47">
        <f>IF(A459="","",IF(MIN(H459,MAX(J459:K459))=0,"",MIN(H459,MAX(J459:K459))))</f>
        <v/>
      </c>
      <c r="G459" s="74" t="n"/>
      <c r="H459" s="49">
        <f>IF(M459="","",IFERROR(ROUND(AVERAGE(T459+M459*{7,8,9,10,11})/1.21,4),""))</f>
        <v/>
      </c>
      <c r="I459" s="76" t="n"/>
      <c r="J459" s="77" t="n"/>
      <c r="K459" s="74" t="n"/>
      <c r="L459" s="78" t="n"/>
      <c r="M459" s="77" t="n"/>
      <c r="N459" s="53">
        <f>IF(M459="","",IFERROR(M459/I459,""))</f>
        <v/>
      </c>
      <c r="O459" s="50">
        <f>IF(A459="","",IFERROR((IF(G459="",I459,G459)-T459)/M459,""))</f>
        <v/>
      </c>
      <c r="P459" s="50">
        <f>IFERROR((I459/T459-1)/N459,"")</f>
        <v/>
      </c>
      <c r="Q459" s="46">
        <f>IF(OR(T459="",I459&lt;T459),"",IFERROR(R459/IF(G459="",I459,G459)-1,""))</f>
        <v/>
      </c>
      <c r="R459" s="48">
        <f>IF($M459="","",MAX(IF($G459="",$I459,$G459)*(1/1.1),IF($G459="",$I459,$G459)+(R$2*$M459)))</f>
        <v/>
      </c>
      <c r="S459" s="49">
        <f>IF($M459="","",MAX(IF($G459="",$I459,$G459)*(1/1.1),IF($G459="",$I459,$G459)+(S$2*$M459)))</f>
        <v/>
      </c>
      <c r="T459" s="82" t="n"/>
      <c r="U459" s="47">
        <f>IF(OR($M459="",$T459=""),"",$T459+(U$2*$M459))</f>
        <v/>
      </c>
      <c r="V459" s="48">
        <f>IF(OR($M459="",$T459=""),"",$T459+(V$2*$M459))</f>
        <v/>
      </c>
      <c r="W459" s="48">
        <f>IF(OR($M459="",$T459=""),"",$T459+(W$2*$M459))</f>
        <v/>
      </c>
      <c r="X459" s="49">
        <f>IF(OR($M459="",$T459=""),"",$T459+(X$2*$M459))</f>
        <v/>
      </c>
      <c r="Y459" s="47">
        <f>IF(OR($M459="",$T459=""),"",$T459+(Y$2*$M459))</f>
        <v/>
      </c>
      <c r="Z459" s="49">
        <f>IF(OR($M459="",$T459=""),"",$T459+(Z$2*$M459))</f>
        <v/>
      </c>
      <c r="AA459" s="51">
        <f>IF(OR($M459="",$T459=""),"",$T459+(AA$2*$M459))</f>
        <v/>
      </c>
      <c r="AB459" s="48">
        <f>IF(OR($M459="",$T459=""),"",$T459+(AB$2*$M459))</f>
        <v/>
      </c>
      <c r="AC459" s="48">
        <f>IF(OR($M459="",$T459=""),"",$T459+(AC$2*$M459))</f>
        <v/>
      </c>
      <c r="AD459" s="48">
        <f>IF(OR($M459="",$T459=""),"",$T459+(AD$2*$M459))</f>
        <v/>
      </c>
      <c r="AE459" s="49">
        <f>IF(OR($M459="",$T459=""),"",$T459+(AE$2*$M459))</f>
        <v/>
      </c>
      <c r="AF459" s="52">
        <f>IF(OR(T459="",I459&lt;T459),"",IFERROR(AVERAGE(T459+M459*{7,8,9,10,11})/IF(G459="",I459,G459)-1,""))</f>
        <v/>
      </c>
      <c r="AG459" s="55">
        <f>IF(OR(T459="",I459&lt;T459),"",IFERROR(AF459/-(R459/IF(G459="",I459,G459)-1),""))</f>
        <v/>
      </c>
      <c r="AH459" s="94" t="n"/>
      <c r="AI459" s="94" t="n"/>
      <c r="AJ459" s="94" t="n"/>
      <c r="AK459" s="94" t="n"/>
      <c r="AL459" s="84" t="n"/>
    </row>
    <row r="460">
      <c r="A460" s="64" t="n"/>
      <c r="B460" s="65" t="n"/>
      <c r="C460" s="66" t="n"/>
      <c r="D460" s="67" t="n"/>
      <c r="E460" s="68" t="n"/>
      <c r="F460" s="47">
        <f>IF(A460="","",IF(MIN(H460,MAX(J460:K460))=0,"",MIN(H460,MAX(J460:K460))))</f>
        <v/>
      </c>
      <c r="G460" s="74" t="n"/>
      <c r="H460" s="49">
        <f>IF(M460="","",IFERROR(ROUND(AVERAGE(T460+M460*{7,8,9,10,11})/1.21,4),""))</f>
        <v/>
      </c>
      <c r="I460" s="76" t="n"/>
      <c r="J460" s="77" t="n"/>
      <c r="K460" s="74" t="n"/>
      <c r="L460" s="78" t="n"/>
      <c r="M460" s="77" t="n"/>
      <c r="N460" s="53">
        <f>IF(M460="","",IFERROR(M460/I460,""))</f>
        <v/>
      </c>
      <c r="O460" s="50">
        <f>IF(A460="","",IFERROR((IF(G460="",I460,G460)-T460)/M460,""))</f>
        <v/>
      </c>
      <c r="P460" s="50">
        <f>IFERROR((I460/T460-1)/N460,"")</f>
        <v/>
      </c>
      <c r="Q460" s="46">
        <f>IF(OR(T460="",I460&lt;T460),"",IFERROR(R460/IF(G460="",I460,G460)-1,""))</f>
        <v/>
      </c>
      <c r="R460" s="48">
        <f>IF($M460="","",MAX(IF($G460="",$I460,$G460)*(1/1.1),IF($G460="",$I460,$G460)+(R$2*$M460)))</f>
        <v/>
      </c>
      <c r="S460" s="49">
        <f>IF($M460="","",MAX(IF($G460="",$I460,$G460)*(1/1.1),IF($G460="",$I460,$G460)+(S$2*$M460)))</f>
        <v/>
      </c>
      <c r="T460" s="82" t="n"/>
      <c r="U460" s="47">
        <f>IF(OR($M460="",$T460=""),"",$T460+(U$2*$M460))</f>
        <v/>
      </c>
      <c r="V460" s="48">
        <f>IF(OR($M460="",$T460=""),"",$T460+(V$2*$M460))</f>
        <v/>
      </c>
      <c r="W460" s="48">
        <f>IF(OR($M460="",$T460=""),"",$T460+(W$2*$M460))</f>
        <v/>
      </c>
      <c r="X460" s="49">
        <f>IF(OR($M460="",$T460=""),"",$T460+(X$2*$M460))</f>
        <v/>
      </c>
      <c r="Y460" s="47">
        <f>IF(OR($M460="",$T460=""),"",$T460+(Y$2*$M460))</f>
        <v/>
      </c>
      <c r="Z460" s="49">
        <f>IF(OR($M460="",$T460=""),"",$T460+(Z$2*$M460))</f>
        <v/>
      </c>
      <c r="AA460" s="51">
        <f>IF(OR($M460="",$T460=""),"",$T460+(AA$2*$M460))</f>
        <v/>
      </c>
      <c r="AB460" s="48">
        <f>IF(OR($M460="",$T460=""),"",$T460+(AB$2*$M460))</f>
        <v/>
      </c>
      <c r="AC460" s="48">
        <f>IF(OR($M460="",$T460=""),"",$T460+(AC$2*$M460))</f>
        <v/>
      </c>
      <c r="AD460" s="48">
        <f>IF(OR($M460="",$T460=""),"",$T460+(AD$2*$M460))</f>
        <v/>
      </c>
      <c r="AE460" s="49">
        <f>IF(OR($M460="",$T460=""),"",$T460+(AE$2*$M460))</f>
        <v/>
      </c>
      <c r="AF460" s="52">
        <f>IF(OR(T460="",I460&lt;T460),"",IFERROR(AVERAGE(T460+M460*{7,8,9,10,11})/IF(G460="",I460,G460)-1,""))</f>
        <v/>
      </c>
      <c r="AG460" s="55">
        <f>IF(OR(T460="",I460&lt;T460),"",IFERROR(AF460/-(R460/IF(G460="",I460,G460)-1),""))</f>
        <v/>
      </c>
      <c r="AH460" s="94" t="n"/>
      <c r="AI460" s="94" t="n"/>
      <c r="AJ460" s="94" t="n"/>
      <c r="AK460" s="94" t="n"/>
      <c r="AL460" s="84" t="n"/>
    </row>
    <row r="461">
      <c r="A461" s="64" t="n"/>
      <c r="B461" s="65" t="n"/>
      <c r="C461" s="66" t="n"/>
      <c r="D461" s="67" t="n"/>
      <c r="E461" s="68" t="n"/>
      <c r="F461" s="47">
        <f>IF(A461="","",IF(MIN(H461,MAX(J461:K461))=0,"",MIN(H461,MAX(J461:K461))))</f>
        <v/>
      </c>
      <c r="G461" s="74" t="n"/>
      <c r="H461" s="49">
        <f>IF(M461="","",IFERROR(ROUND(AVERAGE(T461+M461*{7,8,9,10,11})/1.21,4),""))</f>
        <v/>
      </c>
      <c r="I461" s="76" t="n"/>
      <c r="J461" s="77" t="n"/>
      <c r="K461" s="74" t="n"/>
      <c r="L461" s="78" t="n"/>
      <c r="M461" s="77" t="n"/>
      <c r="N461" s="53">
        <f>IF(M461="","",IFERROR(M461/I461,""))</f>
        <v/>
      </c>
      <c r="O461" s="50">
        <f>IF(A461="","",IFERROR((IF(G461="",I461,G461)-T461)/M461,""))</f>
        <v/>
      </c>
      <c r="P461" s="50">
        <f>IFERROR((I461/T461-1)/N461,"")</f>
        <v/>
      </c>
      <c r="Q461" s="46">
        <f>IF(OR(T461="",I461&lt;T461),"",IFERROR(R461/IF(G461="",I461,G461)-1,""))</f>
        <v/>
      </c>
      <c r="R461" s="48">
        <f>IF($M461="","",MAX(IF($G461="",$I461,$G461)*(1/1.1),IF($G461="",$I461,$G461)+(R$2*$M461)))</f>
        <v/>
      </c>
      <c r="S461" s="49">
        <f>IF($M461="","",MAX(IF($G461="",$I461,$G461)*(1/1.1),IF($G461="",$I461,$G461)+(S$2*$M461)))</f>
        <v/>
      </c>
      <c r="T461" s="82" t="n"/>
      <c r="U461" s="47">
        <f>IF(OR($M461="",$T461=""),"",$T461+(U$2*$M461))</f>
        <v/>
      </c>
      <c r="V461" s="48">
        <f>IF(OR($M461="",$T461=""),"",$T461+(V$2*$M461))</f>
        <v/>
      </c>
      <c r="W461" s="48">
        <f>IF(OR($M461="",$T461=""),"",$T461+(W$2*$M461))</f>
        <v/>
      </c>
      <c r="X461" s="49">
        <f>IF(OR($M461="",$T461=""),"",$T461+(X$2*$M461))</f>
        <v/>
      </c>
      <c r="Y461" s="47">
        <f>IF(OR($M461="",$T461=""),"",$T461+(Y$2*$M461))</f>
        <v/>
      </c>
      <c r="Z461" s="49">
        <f>IF(OR($M461="",$T461=""),"",$T461+(Z$2*$M461))</f>
        <v/>
      </c>
      <c r="AA461" s="51">
        <f>IF(OR($M461="",$T461=""),"",$T461+(AA$2*$M461))</f>
        <v/>
      </c>
      <c r="AB461" s="48">
        <f>IF(OR($M461="",$T461=""),"",$T461+(AB$2*$M461))</f>
        <v/>
      </c>
      <c r="AC461" s="48">
        <f>IF(OR($M461="",$T461=""),"",$T461+(AC$2*$M461))</f>
        <v/>
      </c>
      <c r="AD461" s="48">
        <f>IF(OR($M461="",$T461=""),"",$T461+(AD$2*$M461))</f>
        <v/>
      </c>
      <c r="AE461" s="49">
        <f>IF(OR($M461="",$T461=""),"",$T461+(AE$2*$M461))</f>
        <v/>
      </c>
      <c r="AF461" s="52">
        <f>IF(OR(T461="",I461&lt;T461),"",IFERROR(AVERAGE(T461+M461*{7,8,9,10,11})/IF(G461="",I461,G461)-1,""))</f>
        <v/>
      </c>
      <c r="AG461" s="55">
        <f>IF(OR(T461="",I461&lt;T461),"",IFERROR(AF461/-(R461/IF(G461="",I461,G461)-1),""))</f>
        <v/>
      </c>
      <c r="AH461" s="94" t="n"/>
      <c r="AI461" s="94" t="n"/>
      <c r="AJ461" s="94" t="n"/>
      <c r="AK461" s="94" t="n"/>
      <c r="AL461" s="84" t="n"/>
    </row>
    <row r="462">
      <c r="A462" s="64" t="n"/>
      <c r="B462" s="65" t="n"/>
      <c r="C462" s="66" t="n"/>
      <c r="D462" s="67" t="n"/>
      <c r="E462" s="68" t="n"/>
      <c r="F462" s="47">
        <f>IF(A462="","",IF(MIN(H462,MAX(J462:K462))=0,"",MIN(H462,MAX(J462:K462))))</f>
        <v/>
      </c>
      <c r="G462" s="74" t="n"/>
      <c r="H462" s="49">
        <f>IF(M462="","",IFERROR(ROUND(AVERAGE(T462+M462*{7,8,9,10,11})/1.21,4),""))</f>
        <v/>
      </c>
      <c r="I462" s="76" t="n"/>
      <c r="J462" s="77" t="n"/>
      <c r="K462" s="74" t="n"/>
      <c r="L462" s="78" t="n"/>
      <c r="M462" s="77" t="n"/>
      <c r="N462" s="53">
        <f>IF(M462="","",IFERROR(M462/I462,""))</f>
        <v/>
      </c>
      <c r="O462" s="50">
        <f>IF(A462="","",IFERROR((IF(G462="",I462,G462)-T462)/M462,""))</f>
        <v/>
      </c>
      <c r="P462" s="50">
        <f>IFERROR((I462/T462-1)/N462,"")</f>
        <v/>
      </c>
      <c r="Q462" s="46">
        <f>IF(OR(T462="",I462&lt;T462),"",IFERROR(R462/IF(G462="",I462,G462)-1,""))</f>
        <v/>
      </c>
      <c r="R462" s="48">
        <f>IF($M462="","",MAX(IF($G462="",$I462,$G462)*(1/1.1),IF($G462="",$I462,$G462)+(R$2*$M462)))</f>
        <v/>
      </c>
      <c r="S462" s="49">
        <f>IF($M462="","",MAX(IF($G462="",$I462,$G462)*(1/1.1),IF($G462="",$I462,$G462)+(S$2*$M462)))</f>
        <v/>
      </c>
      <c r="T462" s="82" t="n"/>
      <c r="U462" s="47">
        <f>IF(OR($M462="",$T462=""),"",$T462+(U$2*$M462))</f>
        <v/>
      </c>
      <c r="V462" s="48">
        <f>IF(OR($M462="",$T462=""),"",$T462+(V$2*$M462))</f>
        <v/>
      </c>
      <c r="W462" s="48">
        <f>IF(OR($M462="",$T462=""),"",$T462+(W$2*$M462))</f>
        <v/>
      </c>
      <c r="X462" s="49">
        <f>IF(OR($M462="",$T462=""),"",$T462+(X$2*$M462))</f>
        <v/>
      </c>
      <c r="Y462" s="47">
        <f>IF(OR($M462="",$T462=""),"",$T462+(Y$2*$M462))</f>
        <v/>
      </c>
      <c r="Z462" s="49">
        <f>IF(OR($M462="",$T462=""),"",$T462+(Z$2*$M462))</f>
        <v/>
      </c>
      <c r="AA462" s="51">
        <f>IF(OR($M462="",$T462=""),"",$T462+(AA$2*$M462))</f>
        <v/>
      </c>
      <c r="AB462" s="48">
        <f>IF(OR($M462="",$T462=""),"",$T462+(AB$2*$M462))</f>
        <v/>
      </c>
      <c r="AC462" s="48">
        <f>IF(OR($M462="",$T462=""),"",$T462+(AC$2*$M462))</f>
        <v/>
      </c>
      <c r="AD462" s="48">
        <f>IF(OR($M462="",$T462=""),"",$T462+(AD$2*$M462))</f>
        <v/>
      </c>
      <c r="AE462" s="49">
        <f>IF(OR($M462="",$T462=""),"",$T462+(AE$2*$M462))</f>
        <v/>
      </c>
      <c r="AF462" s="52">
        <f>IF(OR(T462="",I462&lt;T462),"",IFERROR(AVERAGE(T462+M462*{7,8,9,10,11})/IF(G462="",I462,G462)-1,""))</f>
        <v/>
      </c>
      <c r="AG462" s="55">
        <f>IF(OR(T462="",I462&lt;T462),"",IFERROR(AF462/-(R462/IF(G462="",I462,G462)-1),""))</f>
        <v/>
      </c>
      <c r="AH462" s="94" t="n"/>
      <c r="AI462" s="94" t="n"/>
      <c r="AJ462" s="94" t="n"/>
      <c r="AK462" s="94" t="n"/>
      <c r="AL462" s="84" t="n"/>
    </row>
    <row r="463">
      <c r="A463" s="64" t="n"/>
      <c r="B463" s="65" t="n"/>
      <c r="C463" s="66" t="n"/>
      <c r="D463" s="67" t="n"/>
      <c r="E463" s="68" t="n"/>
      <c r="F463" s="47">
        <f>IF(A463="","",IF(MIN(H463,MAX(J463:K463))=0,"",MIN(H463,MAX(J463:K463))))</f>
        <v/>
      </c>
      <c r="G463" s="74" t="n"/>
      <c r="H463" s="49">
        <f>IF(M463="","",IFERROR(ROUND(AVERAGE(T463+M463*{7,8,9,10,11})/1.21,4),""))</f>
        <v/>
      </c>
      <c r="I463" s="76" t="n"/>
      <c r="J463" s="77" t="n"/>
      <c r="K463" s="74" t="n"/>
      <c r="L463" s="78" t="n"/>
      <c r="M463" s="77" t="n"/>
      <c r="N463" s="53">
        <f>IF(M463="","",IFERROR(M463/I463,""))</f>
        <v/>
      </c>
      <c r="O463" s="50">
        <f>IF(A463="","",IFERROR((IF(G463="",I463,G463)-T463)/M463,""))</f>
        <v/>
      </c>
      <c r="P463" s="50">
        <f>IFERROR((I463/T463-1)/N463,"")</f>
        <v/>
      </c>
      <c r="Q463" s="46">
        <f>IF(OR(T463="",I463&lt;T463),"",IFERROR(R463/IF(G463="",I463,G463)-1,""))</f>
        <v/>
      </c>
      <c r="R463" s="48">
        <f>IF($M463="","",MAX(IF($G463="",$I463,$G463)*(1/1.1),IF($G463="",$I463,$G463)+(R$2*$M463)))</f>
        <v/>
      </c>
      <c r="S463" s="49">
        <f>IF($M463="","",MAX(IF($G463="",$I463,$G463)*(1/1.1),IF($G463="",$I463,$G463)+(S$2*$M463)))</f>
        <v/>
      </c>
      <c r="T463" s="82" t="n"/>
      <c r="U463" s="47">
        <f>IF(OR($M463="",$T463=""),"",$T463+(U$2*$M463))</f>
        <v/>
      </c>
      <c r="V463" s="48">
        <f>IF(OR($M463="",$T463=""),"",$T463+(V$2*$M463))</f>
        <v/>
      </c>
      <c r="W463" s="48">
        <f>IF(OR($M463="",$T463=""),"",$T463+(W$2*$M463))</f>
        <v/>
      </c>
      <c r="X463" s="49">
        <f>IF(OR($M463="",$T463=""),"",$T463+(X$2*$M463))</f>
        <v/>
      </c>
      <c r="Y463" s="47">
        <f>IF(OR($M463="",$T463=""),"",$T463+(Y$2*$M463))</f>
        <v/>
      </c>
      <c r="Z463" s="49">
        <f>IF(OR($M463="",$T463=""),"",$T463+(Z$2*$M463))</f>
        <v/>
      </c>
      <c r="AA463" s="51">
        <f>IF(OR($M463="",$T463=""),"",$T463+(AA$2*$M463))</f>
        <v/>
      </c>
      <c r="AB463" s="48">
        <f>IF(OR($M463="",$T463=""),"",$T463+(AB$2*$M463))</f>
        <v/>
      </c>
      <c r="AC463" s="48">
        <f>IF(OR($M463="",$T463=""),"",$T463+(AC$2*$M463))</f>
        <v/>
      </c>
      <c r="AD463" s="48">
        <f>IF(OR($M463="",$T463=""),"",$T463+(AD$2*$M463))</f>
        <v/>
      </c>
      <c r="AE463" s="49">
        <f>IF(OR($M463="",$T463=""),"",$T463+(AE$2*$M463))</f>
        <v/>
      </c>
      <c r="AF463" s="52">
        <f>IF(OR(T463="",I463&lt;T463),"",IFERROR(AVERAGE(T463+M463*{7,8,9,10,11})/IF(G463="",I463,G463)-1,""))</f>
        <v/>
      </c>
      <c r="AG463" s="55">
        <f>IF(OR(T463="",I463&lt;T463),"",IFERROR(AF463/-(R463/IF(G463="",I463,G463)-1),""))</f>
        <v/>
      </c>
      <c r="AH463" s="94" t="n"/>
      <c r="AI463" s="94" t="n"/>
      <c r="AJ463" s="94" t="n"/>
      <c r="AK463" s="94" t="n"/>
      <c r="AL463" s="84" t="n"/>
    </row>
    <row r="464">
      <c r="A464" s="64" t="n"/>
      <c r="B464" s="65" t="n"/>
      <c r="C464" s="66" t="n"/>
      <c r="D464" s="67" t="n"/>
      <c r="E464" s="68" t="n"/>
      <c r="F464" s="47">
        <f>IF(A464="","",IF(MIN(H464,MAX(J464:K464))=0,"",MIN(H464,MAX(J464:K464))))</f>
        <v/>
      </c>
      <c r="G464" s="74" t="n"/>
      <c r="H464" s="49">
        <f>IF(M464="","",IFERROR(ROUND(AVERAGE(T464+M464*{7,8,9,10,11})/1.21,4),""))</f>
        <v/>
      </c>
      <c r="I464" s="76" t="n"/>
      <c r="J464" s="77" t="n"/>
      <c r="K464" s="74" t="n"/>
      <c r="L464" s="78" t="n"/>
      <c r="M464" s="77" t="n"/>
      <c r="N464" s="53">
        <f>IF(M464="","",IFERROR(M464/I464,""))</f>
        <v/>
      </c>
      <c r="O464" s="50">
        <f>IF(A464="","",IFERROR((IF(G464="",I464,G464)-T464)/M464,""))</f>
        <v/>
      </c>
      <c r="P464" s="50">
        <f>IFERROR((I464/T464-1)/N464,"")</f>
        <v/>
      </c>
      <c r="Q464" s="46">
        <f>IF(OR(T464="",I464&lt;T464),"",IFERROR(R464/IF(G464="",I464,G464)-1,""))</f>
        <v/>
      </c>
      <c r="R464" s="48">
        <f>IF($M464="","",MAX(IF($G464="",$I464,$G464)*(1/1.1),IF($G464="",$I464,$G464)+(R$2*$M464)))</f>
        <v/>
      </c>
      <c r="S464" s="49">
        <f>IF($M464="","",MAX(IF($G464="",$I464,$G464)*(1/1.1),IF($G464="",$I464,$G464)+(S$2*$M464)))</f>
        <v/>
      </c>
      <c r="T464" s="82" t="n"/>
      <c r="U464" s="47">
        <f>IF(OR($M464="",$T464=""),"",$T464+(U$2*$M464))</f>
        <v/>
      </c>
      <c r="V464" s="48">
        <f>IF(OR($M464="",$T464=""),"",$T464+(V$2*$M464))</f>
        <v/>
      </c>
      <c r="W464" s="48">
        <f>IF(OR($M464="",$T464=""),"",$T464+(W$2*$M464))</f>
        <v/>
      </c>
      <c r="X464" s="49">
        <f>IF(OR($M464="",$T464=""),"",$T464+(X$2*$M464))</f>
        <v/>
      </c>
      <c r="Y464" s="47">
        <f>IF(OR($M464="",$T464=""),"",$T464+(Y$2*$M464))</f>
        <v/>
      </c>
      <c r="Z464" s="49">
        <f>IF(OR($M464="",$T464=""),"",$T464+(Z$2*$M464))</f>
        <v/>
      </c>
      <c r="AA464" s="51">
        <f>IF(OR($M464="",$T464=""),"",$T464+(AA$2*$M464))</f>
        <v/>
      </c>
      <c r="AB464" s="48">
        <f>IF(OR($M464="",$T464=""),"",$T464+(AB$2*$M464))</f>
        <v/>
      </c>
      <c r="AC464" s="48">
        <f>IF(OR($M464="",$T464=""),"",$T464+(AC$2*$M464))</f>
        <v/>
      </c>
      <c r="AD464" s="48">
        <f>IF(OR($M464="",$T464=""),"",$T464+(AD$2*$M464))</f>
        <v/>
      </c>
      <c r="AE464" s="49">
        <f>IF(OR($M464="",$T464=""),"",$T464+(AE$2*$M464))</f>
        <v/>
      </c>
      <c r="AF464" s="52">
        <f>IF(OR(T464="",I464&lt;T464),"",IFERROR(AVERAGE(T464+M464*{7,8,9,10,11})/IF(G464="",I464,G464)-1,""))</f>
        <v/>
      </c>
      <c r="AG464" s="55">
        <f>IF(OR(T464="",I464&lt;T464),"",IFERROR(AF464/-(R464/IF(G464="",I464,G464)-1),""))</f>
        <v/>
      </c>
      <c r="AH464" s="94" t="n"/>
      <c r="AI464" s="94" t="n"/>
      <c r="AJ464" s="94" t="n"/>
      <c r="AK464" s="94" t="n"/>
      <c r="AL464" s="84" t="n"/>
    </row>
    <row r="465">
      <c r="A465" s="64" t="n"/>
      <c r="B465" s="65" t="n"/>
      <c r="C465" s="66" t="n"/>
      <c r="D465" s="67" t="n"/>
      <c r="E465" s="68" t="n"/>
      <c r="F465" s="47">
        <f>IF(A465="","",IF(MIN(H465,MAX(J465:K465))=0,"",MIN(H465,MAX(J465:K465))))</f>
        <v/>
      </c>
      <c r="G465" s="74" t="n"/>
      <c r="H465" s="49">
        <f>IF(M465="","",IFERROR(ROUND(AVERAGE(T465+M465*{7,8,9,10,11})/1.21,4),""))</f>
        <v/>
      </c>
      <c r="I465" s="76" t="n"/>
      <c r="J465" s="77" t="n"/>
      <c r="K465" s="74" t="n"/>
      <c r="L465" s="78" t="n"/>
      <c r="M465" s="77" t="n"/>
      <c r="N465" s="53">
        <f>IF(M465="","",IFERROR(M465/I465,""))</f>
        <v/>
      </c>
      <c r="O465" s="50">
        <f>IF(A465="","",IFERROR((IF(G465="",I465,G465)-T465)/M465,""))</f>
        <v/>
      </c>
      <c r="P465" s="50">
        <f>IFERROR((I465/T465-1)/N465,"")</f>
        <v/>
      </c>
      <c r="Q465" s="46">
        <f>IF(OR(T465="",I465&lt;T465),"",IFERROR(R465/IF(G465="",I465,G465)-1,""))</f>
        <v/>
      </c>
      <c r="R465" s="48">
        <f>IF($M465="","",MAX(IF($G465="",$I465,$G465)*(1/1.1),IF($G465="",$I465,$G465)+(R$2*$M465)))</f>
        <v/>
      </c>
      <c r="S465" s="49">
        <f>IF($M465="","",MAX(IF($G465="",$I465,$G465)*(1/1.1),IF($G465="",$I465,$G465)+(S$2*$M465)))</f>
        <v/>
      </c>
      <c r="T465" s="82" t="n"/>
      <c r="U465" s="47">
        <f>IF(OR($M465="",$T465=""),"",$T465+(U$2*$M465))</f>
        <v/>
      </c>
      <c r="V465" s="48">
        <f>IF(OR($M465="",$T465=""),"",$T465+(V$2*$M465))</f>
        <v/>
      </c>
      <c r="W465" s="48">
        <f>IF(OR($M465="",$T465=""),"",$T465+(W$2*$M465))</f>
        <v/>
      </c>
      <c r="X465" s="49">
        <f>IF(OR($M465="",$T465=""),"",$T465+(X$2*$M465))</f>
        <v/>
      </c>
      <c r="Y465" s="47">
        <f>IF(OR($M465="",$T465=""),"",$T465+(Y$2*$M465))</f>
        <v/>
      </c>
      <c r="Z465" s="49">
        <f>IF(OR($M465="",$T465=""),"",$T465+(Z$2*$M465))</f>
        <v/>
      </c>
      <c r="AA465" s="51">
        <f>IF(OR($M465="",$T465=""),"",$T465+(AA$2*$M465))</f>
        <v/>
      </c>
      <c r="AB465" s="48">
        <f>IF(OR($M465="",$T465=""),"",$T465+(AB$2*$M465))</f>
        <v/>
      </c>
      <c r="AC465" s="48">
        <f>IF(OR($M465="",$T465=""),"",$T465+(AC$2*$M465))</f>
        <v/>
      </c>
      <c r="AD465" s="48">
        <f>IF(OR($M465="",$T465=""),"",$T465+(AD$2*$M465))</f>
        <v/>
      </c>
      <c r="AE465" s="49">
        <f>IF(OR($M465="",$T465=""),"",$T465+(AE$2*$M465))</f>
        <v/>
      </c>
      <c r="AF465" s="52">
        <f>IF(OR(T465="",I465&lt;T465),"",IFERROR(AVERAGE(T465+M465*{7,8,9,10,11})/IF(G465="",I465,G465)-1,""))</f>
        <v/>
      </c>
      <c r="AG465" s="55">
        <f>IF(OR(T465="",I465&lt;T465),"",IFERROR(AF465/-(R465/IF(G465="",I465,G465)-1),""))</f>
        <v/>
      </c>
      <c r="AH465" s="94" t="n"/>
      <c r="AI465" s="94" t="n"/>
      <c r="AJ465" s="94" t="n"/>
      <c r="AK465" s="94" t="n"/>
      <c r="AL465" s="84" t="n"/>
    </row>
    <row r="466">
      <c r="A466" s="64" t="n"/>
      <c r="B466" s="65" t="n"/>
      <c r="C466" s="66" t="n"/>
      <c r="D466" s="67" t="n"/>
      <c r="E466" s="68" t="n"/>
      <c r="F466" s="47">
        <f>IF(A466="","",IF(MIN(H466,MAX(J466:K466))=0,"",MIN(H466,MAX(J466:K466))))</f>
        <v/>
      </c>
      <c r="G466" s="74" t="n"/>
      <c r="H466" s="49">
        <f>IF(M466="","",IFERROR(ROUND(AVERAGE(T466+M466*{7,8,9,10,11})/1.21,4),""))</f>
        <v/>
      </c>
      <c r="I466" s="76" t="n"/>
      <c r="J466" s="77" t="n"/>
      <c r="K466" s="74" t="n"/>
      <c r="L466" s="78" t="n"/>
      <c r="M466" s="77" t="n"/>
      <c r="N466" s="53">
        <f>IF(M466="","",IFERROR(M466/I466,""))</f>
        <v/>
      </c>
      <c r="O466" s="50">
        <f>IF(A466="","",IFERROR((IF(G466="",I466,G466)-T466)/M466,""))</f>
        <v/>
      </c>
      <c r="P466" s="50">
        <f>IFERROR((I466/T466-1)/N466,"")</f>
        <v/>
      </c>
      <c r="Q466" s="46">
        <f>IF(OR(T466="",I466&lt;T466),"",IFERROR(R466/IF(G466="",I466,G466)-1,""))</f>
        <v/>
      </c>
      <c r="R466" s="48">
        <f>IF($M466="","",MAX(IF($G466="",$I466,$G466)*(1/1.1),IF($G466="",$I466,$G466)+(R$2*$M466)))</f>
        <v/>
      </c>
      <c r="S466" s="49">
        <f>IF($M466="","",MAX(IF($G466="",$I466,$G466)*(1/1.1),IF($G466="",$I466,$G466)+(S$2*$M466)))</f>
        <v/>
      </c>
      <c r="T466" s="82" t="n"/>
      <c r="U466" s="47">
        <f>IF(OR($M466="",$T466=""),"",$T466+(U$2*$M466))</f>
        <v/>
      </c>
      <c r="V466" s="48">
        <f>IF(OR($M466="",$T466=""),"",$T466+(V$2*$M466))</f>
        <v/>
      </c>
      <c r="W466" s="48">
        <f>IF(OR($M466="",$T466=""),"",$T466+(W$2*$M466))</f>
        <v/>
      </c>
      <c r="X466" s="49">
        <f>IF(OR($M466="",$T466=""),"",$T466+(X$2*$M466))</f>
        <v/>
      </c>
      <c r="Y466" s="47">
        <f>IF(OR($M466="",$T466=""),"",$T466+(Y$2*$M466))</f>
        <v/>
      </c>
      <c r="Z466" s="49">
        <f>IF(OR($M466="",$T466=""),"",$T466+(Z$2*$M466))</f>
        <v/>
      </c>
      <c r="AA466" s="51">
        <f>IF(OR($M466="",$T466=""),"",$T466+(AA$2*$M466))</f>
        <v/>
      </c>
      <c r="AB466" s="48">
        <f>IF(OR($M466="",$T466=""),"",$T466+(AB$2*$M466))</f>
        <v/>
      </c>
      <c r="AC466" s="48">
        <f>IF(OR($M466="",$T466=""),"",$T466+(AC$2*$M466))</f>
        <v/>
      </c>
      <c r="AD466" s="48">
        <f>IF(OR($M466="",$T466=""),"",$T466+(AD$2*$M466))</f>
        <v/>
      </c>
      <c r="AE466" s="49">
        <f>IF(OR($M466="",$T466=""),"",$T466+(AE$2*$M466))</f>
        <v/>
      </c>
      <c r="AF466" s="52">
        <f>IF(OR(T466="",I466&lt;T466),"",IFERROR(AVERAGE(T466+M466*{7,8,9,10,11})/IF(G466="",I466,G466)-1,""))</f>
        <v/>
      </c>
      <c r="AG466" s="55">
        <f>IF(OR(T466="",I466&lt;T466),"",IFERROR(AF466/-(R466/IF(G466="",I466,G466)-1),""))</f>
        <v/>
      </c>
      <c r="AH466" s="94" t="n"/>
      <c r="AI466" s="94" t="n"/>
      <c r="AJ466" s="94" t="n"/>
      <c r="AK466" s="94" t="n"/>
      <c r="AL466" s="84" t="n"/>
    </row>
    <row r="467">
      <c r="A467" s="64" t="n"/>
      <c r="B467" s="65" t="n"/>
      <c r="C467" s="66" t="n"/>
      <c r="D467" s="67" t="n"/>
      <c r="E467" s="68" t="n"/>
      <c r="F467" s="47">
        <f>IF(A467="","",IF(MIN(H467,MAX(J467:K467))=0,"",MIN(H467,MAX(J467:K467))))</f>
        <v/>
      </c>
      <c r="G467" s="74" t="n"/>
      <c r="H467" s="49">
        <f>IF(M467="","",IFERROR(ROUND(AVERAGE(T467+M467*{7,8,9,10,11})/1.21,4),""))</f>
        <v/>
      </c>
      <c r="I467" s="76" t="n"/>
      <c r="J467" s="77" t="n"/>
      <c r="K467" s="74" t="n"/>
      <c r="L467" s="78" t="n"/>
      <c r="M467" s="77" t="n"/>
      <c r="N467" s="53">
        <f>IF(M467="","",IFERROR(M467/I467,""))</f>
        <v/>
      </c>
      <c r="O467" s="50">
        <f>IF(A467="","",IFERROR((IF(G467="",I467,G467)-T467)/M467,""))</f>
        <v/>
      </c>
      <c r="P467" s="50">
        <f>IFERROR((I467/T467-1)/N467,"")</f>
        <v/>
      </c>
      <c r="Q467" s="46">
        <f>IF(OR(T467="",I467&lt;T467),"",IFERROR(R467/IF(G467="",I467,G467)-1,""))</f>
        <v/>
      </c>
      <c r="R467" s="48">
        <f>IF($M467="","",MAX(IF($G467="",$I467,$G467)*(1/1.1),IF($G467="",$I467,$G467)+(R$2*$M467)))</f>
        <v/>
      </c>
      <c r="S467" s="49">
        <f>IF($M467="","",MAX(IF($G467="",$I467,$G467)*(1/1.1),IF($G467="",$I467,$G467)+(S$2*$M467)))</f>
        <v/>
      </c>
      <c r="T467" s="82" t="n"/>
      <c r="U467" s="47">
        <f>IF(OR($M467="",$T467=""),"",$T467+(U$2*$M467))</f>
        <v/>
      </c>
      <c r="V467" s="48">
        <f>IF(OR($M467="",$T467=""),"",$T467+(V$2*$M467))</f>
        <v/>
      </c>
      <c r="W467" s="48">
        <f>IF(OR($M467="",$T467=""),"",$T467+(W$2*$M467))</f>
        <v/>
      </c>
      <c r="X467" s="49">
        <f>IF(OR($M467="",$T467=""),"",$T467+(X$2*$M467))</f>
        <v/>
      </c>
      <c r="Y467" s="47">
        <f>IF(OR($M467="",$T467=""),"",$T467+(Y$2*$M467))</f>
        <v/>
      </c>
      <c r="Z467" s="49">
        <f>IF(OR($M467="",$T467=""),"",$T467+(Z$2*$M467))</f>
        <v/>
      </c>
      <c r="AA467" s="51">
        <f>IF(OR($M467="",$T467=""),"",$T467+(AA$2*$M467))</f>
        <v/>
      </c>
      <c r="AB467" s="48">
        <f>IF(OR($M467="",$T467=""),"",$T467+(AB$2*$M467))</f>
        <v/>
      </c>
      <c r="AC467" s="48">
        <f>IF(OR($M467="",$T467=""),"",$T467+(AC$2*$M467))</f>
        <v/>
      </c>
      <c r="AD467" s="48">
        <f>IF(OR($M467="",$T467=""),"",$T467+(AD$2*$M467))</f>
        <v/>
      </c>
      <c r="AE467" s="49">
        <f>IF(OR($M467="",$T467=""),"",$T467+(AE$2*$M467))</f>
        <v/>
      </c>
      <c r="AF467" s="52">
        <f>IF(OR(T467="",I467&lt;T467),"",IFERROR(AVERAGE(T467+M467*{7,8,9,10,11})/IF(G467="",I467,G467)-1,""))</f>
        <v/>
      </c>
      <c r="AG467" s="55">
        <f>IF(OR(T467="",I467&lt;T467),"",IFERROR(AF467/-(R467/IF(G467="",I467,G467)-1),""))</f>
        <v/>
      </c>
      <c r="AH467" s="94" t="n"/>
      <c r="AI467" s="94" t="n"/>
      <c r="AJ467" s="94" t="n"/>
      <c r="AK467" s="94" t="n"/>
      <c r="AL467" s="84" t="n"/>
    </row>
    <row r="468">
      <c r="A468" s="64" t="n"/>
      <c r="B468" s="65" t="n"/>
      <c r="C468" s="66" t="n"/>
      <c r="D468" s="67" t="n"/>
      <c r="E468" s="68" t="n"/>
      <c r="F468" s="47">
        <f>IF(A468="","",IF(MIN(H468,MAX(J468:K468))=0,"",MIN(H468,MAX(J468:K468))))</f>
        <v/>
      </c>
      <c r="G468" s="74" t="n"/>
      <c r="H468" s="49">
        <f>IF(M468="","",IFERROR(ROUND(AVERAGE(T468+M468*{7,8,9,10,11})/1.21,4),""))</f>
        <v/>
      </c>
      <c r="I468" s="76" t="n"/>
      <c r="J468" s="77" t="n"/>
      <c r="K468" s="74" t="n"/>
      <c r="L468" s="78" t="n"/>
      <c r="M468" s="77" t="n"/>
      <c r="N468" s="53">
        <f>IF(M468="","",IFERROR(M468/I468,""))</f>
        <v/>
      </c>
      <c r="O468" s="50">
        <f>IF(A468="","",IFERROR((IF(G468="",I468,G468)-T468)/M468,""))</f>
        <v/>
      </c>
      <c r="P468" s="50">
        <f>IFERROR((I468/T468-1)/N468,"")</f>
        <v/>
      </c>
      <c r="Q468" s="46">
        <f>IF(OR(T468="",I468&lt;T468),"",IFERROR(R468/IF(G468="",I468,G468)-1,""))</f>
        <v/>
      </c>
      <c r="R468" s="48">
        <f>IF($M468="","",MAX(IF($G468="",$I468,$G468)*(1/1.1),IF($G468="",$I468,$G468)+(R$2*$M468)))</f>
        <v/>
      </c>
      <c r="S468" s="49">
        <f>IF($M468="","",MAX(IF($G468="",$I468,$G468)*(1/1.1),IF($G468="",$I468,$G468)+(S$2*$M468)))</f>
        <v/>
      </c>
      <c r="T468" s="82" t="n"/>
      <c r="U468" s="47">
        <f>IF(OR($M468="",$T468=""),"",$T468+(U$2*$M468))</f>
        <v/>
      </c>
      <c r="V468" s="48">
        <f>IF(OR($M468="",$T468=""),"",$T468+(V$2*$M468))</f>
        <v/>
      </c>
      <c r="W468" s="48">
        <f>IF(OR($M468="",$T468=""),"",$T468+(W$2*$M468))</f>
        <v/>
      </c>
      <c r="X468" s="49">
        <f>IF(OR($M468="",$T468=""),"",$T468+(X$2*$M468))</f>
        <v/>
      </c>
      <c r="Y468" s="47">
        <f>IF(OR($M468="",$T468=""),"",$T468+(Y$2*$M468))</f>
        <v/>
      </c>
      <c r="Z468" s="49">
        <f>IF(OR($M468="",$T468=""),"",$T468+(Z$2*$M468))</f>
        <v/>
      </c>
      <c r="AA468" s="51">
        <f>IF(OR($M468="",$T468=""),"",$T468+(AA$2*$M468))</f>
        <v/>
      </c>
      <c r="AB468" s="48">
        <f>IF(OR($M468="",$T468=""),"",$T468+(AB$2*$M468))</f>
        <v/>
      </c>
      <c r="AC468" s="48">
        <f>IF(OR($M468="",$T468=""),"",$T468+(AC$2*$M468))</f>
        <v/>
      </c>
      <c r="AD468" s="48">
        <f>IF(OR($M468="",$T468=""),"",$T468+(AD$2*$M468))</f>
        <v/>
      </c>
      <c r="AE468" s="49">
        <f>IF(OR($M468="",$T468=""),"",$T468+(AE$2*$M468))</f>
        <v/>
      </c>
      <c r="AF468" s="52">
        <f>IF(OR(T468="",I468&lt;T468),"",IFERROR(AVERAGE(T468+M468*{7,8,9,10,11})/IF(G468="",I468,G468)-1,""))</f>
        <v/>
      </c>
      <c r="AG468" s="55">
        <f>IF(OR(T468="",I468&lt;T468),"",IFERROR(AF468/-(R468/IF(G468="",I468,G468)-1),""))</f>
        <v/>
      </c>
      <c r="AH468" s="94" t="n"/>
      <c r="AI468" s="94" t="n"/>
      <c r="AJ468" s="94" t="n"/>
      <c r="AK468" s="94" t="n"/>
      <c r="AL468" s="84" t="n"/>
    </row>
    <row r="469">
      <c r="A469" s="64" t="n"/>
      <c r="B469" s="65" t="n"/>
      <c r="C469" s="66" t="n"/>
      <c r="D469" s="67" t="n"/>
      <c r="E469" s="68" t="n"/>
      <c r="F469" s="47">
        <f>IF(A469="","",IF(MIN(H469,MAX(J469:K469))=0,"",MIN(H469,MAX(J469:K469))))</f>
        <v/>
      </c>
      <c r="G469" s="74" t="n"/>
      <c r="H469" s="49">
        <f>IF(M469="","",IFERROR(ROUND(AVERAGE(T469+M469*{7,8,9,10,11})/1.21,4),""))</f>
        <v/>
      </c>
      <c r="I469" s="76" t="n"/>
      <c r="J469" s="77" t="n"/>
      <c r="K469" s="74" t="n"/>
      <c r="L469" s="78" t="n"/>
      <c r="M469" s="77" t="n"/>
      <c r="N469" s="53">
        <f>IF(M469="","",IFERROR(M469/I469,""))</f>
        <v/>
      </c>
      <c r="O469" s="50">
        <f>IF(A469="","",IFERROR((IF(G469="",I469,G469)-T469)/M469,""))</f>
        <v/>
      </c>
      <c r="P469" s="50">
        <f>IFERROR((I469/T469-1)/N469,"")</f>
        <v/>
      </c>
      <c r="Q469" s="46">
        <f>IF(OR(T469="",I469&lt;T469),"",IFERROR(R469/IF(G469="",I469,G469)-1,""))</f>
        <v/>
      </c>
      <c r="R469" s="48">
        <f>IF($M469="","",MAX(IF($G469="",$I469,$G469)*(1/1.1),IF($G469="",$I469,$G469)+(R$2*$M469)))</f>
        <v/>
      </c>
      <c r="S469" s="49">
        <f>IF($M469="","",MAX(IF($G469="",$I469,$G469)*(1/1.1),IF($G469="",$I469,$G469)+(S$2*$M469)))</f>
        <v/>
      </c>
      <c r="T469" s="82" t="n"/>
      <c r="U469" s="47">
        <f>IF(OR($M469="",$T469=""),"",$T469+(U$2*$M469))</f>
        <v/>
      </c>
      <c r="V469" s="48">
        <f>IF(OR($M469="",$T469=""),"",$T469+(V$2*$M469))</f>
        <v/>
      </c>
      <c r="W469" s="48">
        <f>IF(OR($M469="",$T469=""),"",$T469+(W$2*$M469))</f>
        <v/>
      </c>
      <c r="X469" s="49">
        <f>IF(OR($M469="",$T469=""),"",$T469+(X$2*$M469))</f>
        <v/>
      </c>
      <c r="Y469" s="47">
        <f>IF(OR($M469="",$T469=""),"",$T469+(Y$2*$M469))</f>
        <v/>
      </c>
      <c r="Z469" s="49">
        <f>IF(OR($M469="",$T469=""),"",$T469+(Z$2*$M469))</f>
        <v/>
      </c>
      <c r="AA469" s="51">
        <f>IF(OR($M469="",$T469=""),"",$T469+(AA$2*$M469))</f>
        <v/>
      </c>
      <c r="AB469" s="48">
        <f>IF(OR($M469="",$T469=""),"",$T469+(AB$2*$M469))</f>
        <v/>
      </c>
      <c r="AC469" s="48">
        <f>IF(OR($M469="",$T469=""),"",$T469+(AC$2*$M469))</f>
        <v/>
      </c>
      <c r="AD469" s="48">
        <f>IF(OR($M469="",$T469=""),"",$T469+(AD$2*$M469))</f>
        <v/>
      </c>
      <c r="AE469" s="49">
        <f>IF(OR($M469="",$T469=""),"",$T469+(AE$2*$M469))</f>
        <v/>
      </c>
      <c r="AF469" s="52">
        <f>IF(OR(T469="",I469&lt;T469),"",IFERROR(AVERAGE(T469+M469*{7,8,9,10,11})/IF(G469="",I469,G469)-1,""))</f>
        <v/>
      </c>
      <c r="AG469" s="55">
        <f>IF(OR(T469="",I469&lt;T469),"",IFERROR(AF469/-(R469/IF(G469="",I469,G469)-1),""))</f>
        <v/>
      </c>
      <c r="AH469" s="94" t="n"/>
      <c r="AI469" s="94" t="n"/>
      <c r="AJ469" s="94" t="n"/>
      <c r="AK469" s="94" t="n"/>
      <c r="AL469" s="84" t="n"/>
    </row>
    <row r="470">
      <c r="A470" s="64" t="n"/>
      <c r="B470" s="65" t="n"/>
      <c r="C470" s="66" t="n"/>
      <c r="D470" s="67" t="n"/>
      <c r="E470" s="68" t="n"/>
      <c r="F470" s="47">
        <f>IF(A470="","",IF(MIN(H470,MAX(J470:K470))=0,"",MIN(H470,MAX(J470:K470))))</f>
        <v/>
      </c>
      <c r="G470" s="74" t="n"/>
      <c r="H470" s="49">
        <f>IF(M470="","",IFERROR(ROUND(AVERAGE(T470+M470*{7,8,9,10,11})/1.21,4),""))</f>
        <v/>
      </c>
      <c r="I470" s="76" t="n"/>
      <c r="J470" s="77" t="n"/>
      <c r="K470" s="74" t="n"/>
      <c r="L470" s="78" t="n"/>
      <c r="M470" s="77" t="n"/>
      <c r="N470" s="53">
        <f>IF(M470="","",IFERROR(M470/I470,""))</f>
        <v/>
      </c>
      <c r="O470" s="50">
        <f>IF(A470="","",IFERROR((IF(G470="",I470,G470)-T470)/M470,""))</f>
        <v/>
      </c>
      <c r="P470" s="50">
        <f>IFERROR((I470/T470-1)/N470,"")</f>
        <v/>
      </c>
      <c r="Q470" s="46">
        <f>IF(OR(T470="",I470&lt;T470),"",IFERROR(R470/IF(G470="",I470,G470)-1,""))</f>
        <v/>
      </c>
      <c r="R470" s="48">
        <f>IF($M470="","",MAX(IF($G470="",$I470,$G470)*(1/1.1),IF($G470="",$I470,$G470)+(R$2*$M470)))</f>
        <v/>
      </c>
      <c r="S470" s="49">
        <f>IF($M470="","",MAX(IF($G470="",$I470,$G470)*(1/1.1),IF($G470="",$I470,$G470)+(S$2*$M470)))</f>
        <v/>
      </c>
      <c r="T470" s="82" t="n"/>
      <c r="U470" s="47">
        <f>IF(OR($M470="",$T470=""),"",$T470+(U$2*$M470))</f>
        <v/>
      </c>
      <c r="V470" s="48">
        <f>IF(OR($M470="",$T470=""),"",$T470+(V$2*$M470))</f>
        <v/>
      </c>
      <c r="W470" s="48">
        <f>IF(OR($M470="",$T470=""),"",$T470+(W$2*$M470))</f>
        <v/>
      </c>
      <c r="X470" s="49">
        <f>IF(OR($M470="",$T470=""),"",$T470+(X$2*$M470))</f>
        <v/>
      </c>
      <c r="Y470" s="47">
        <f>IF(OR($M470="",$T470=""),"",$T470+(Y$2*$M470))</f>
        <v/>
      </c>
      <c r="Z470" s="49">
        <f>IF(OR($M470="",$T470=""),"",$T470+(Z$2*$M470))</f>
        <v/>
      </c>
      <c r="AA470" s="51">
        <f>IF(OR($M470="",$T470=""),"",$T470+(AA$2*$M470))</f>
        <v/>
      </c>
      <c r="AB470" s="48">
        <f>IF(OR($M470="",$T470=""),"",$T470+(AB$2*$M470))</f>
        <v/>
      </c>
      <c r="AC470" s="48">
        <f>IF(OR($M470="",$T470=""),"",$T470+(AC$2*$M470))</f>
        <v/>
      </c>
      <c r="AD470" s="48">
        <f>IF(OR($M470="",$T470=""),"",$T470+(AD$2*$M470))</f>
        <v/>
      </c>
      <c r="AE470" s="49">
        <f>IF(OR($M470="",$T470=""),"",$T470+(AE$2*$M470))</f>
        <v/>
      </c>
      <c r="AF470" s="52">
        <f>IF(OR(T470="",I470&lt;T470),"",IFERROR(AVERAGE(T470+M470*{7,8,9,10,11})/IF(G470="",I470,G470)-1,""))</f>
        <v/>
      </c>
      <c r="AG470" s="55">
        <f>IF(OR(T470="",I470&lt;T470),"",IFERROR(AF470/-(R470/IF(G470="",I470,G470)-1),""))</f>
        <v/>
      </c>
      <c r="AH470" s="94" t="n"/>
      <c r="AI470" s="94" t="n"/>
      <c r="AJ470" s="94" t="n"/>
      <c r="AK470" s="94" t="n"/>
      <c r="AL470" s="84" t="n"/>
    </row>
    <row r="471">
      <c r="A471" s="64" t="n"/>
      <c r="B471" s="65" t="n"/>
      <c r="C471" s="66" t="n"/>
      <c r="D471" s="67" t="n"/>
      <c r="E471" s="68" t="n"/>
      <c r="F471" s="47">
        <f>IF(A471="","",IF(MIN(H471,MAX(J471:K471))=0,"",MIN(H471,MAX(J471:K471))))</f>
        <v/>
      </c>
      <c r="G471" s="74" t="n"/>
      <c r="H471" s="49">
        <f>IF(M471="","",IFERROR(ROUND(AVERAGE(T471+M471*{7,8,9,10,11})/1.21,4),""))</f>
        <v/>
      </c>
      <c r="I471" s="76" t="n"/>
      <c r="J471" s="77" t="n"/>
      <c r="K471" s="74" t="n"/>
      <c r="L471" s="78" t="n"/>
      <c r="M471" s="77" t="n"/>
      <c r="N471" s="53">
        <f>IF(M471="","",IFERROR(M471/I471,""))</f>
        <v/>
      </c>
      <c r="O471" s="50">
        <f>IF(A471="","",IFERROR((IF(G471="",I471,G471)-T471)/M471,""))</f>
        <v/>
      </c>
      <c r="P471" s="50">
        <f>IFERROR((I471/T471-1)/N471,"")</f>
        <v/>
      </c>
      <c r="Q471" s="46">
        <f>IF(OR(T471="",I471&lt;T471),"",IFERROR(R471/IF(G471="",I471,G471)-1,""))</f>
        <v/>
      </c>
      <c r="R471" s="48">
        <f>IF($M471="","",MAX(IF($G471="",$I471,$G471)*(1/1.1),IF($G471="",$I471,$G471)+(R$2*$M471)))</f>
        <v/>
      </c>
      <c r="S471" s="49">
        <f>IF($M471="","",MAX(IF($G471="",$I471,$G471)*(1/1.1),IF($G471="",$I471,$G471)+(S$2*$M471)))</f>
        <v/>
      </c>
      <c r="T471" s="82" t="n"/>
      <c r="U471" s="47">
        <f>IF(OR($M471="",$T471=""),"",$T471+(U$2*$M471))</f>
        <v/>
      </c>
      <c r="V471" s="48">
        <f>IF(OR($M471="",$T471=""),"",$T471+(V$2*$M471))</f>
        <v/>
      </c>
      <c r="W471" s="48">
        <f>IF(OR($M471="",$T471=""),"",$T471+(W$2*$M471))</f>
        <v/>
      </c>
      <c r="X471" s="49">
        <f>IF(OR($M471="",$T471=""),"",$T471+(X$2*$M471))</f>
        <v/>
      </c>
      <c r="Y471" s="47">
        <f>IF(OR($M471="",$T471=""),"",$T471+(Y$2*$M471))</f>
        <v/>
      </c>
      <c r="Z471" s="49">
        <f>IF(OR($M471="",$T471=""),"",$T471+(Z$2*$M471))</f>
        <v/>
      </c>
      <c r="AA471" s="51">
        <f>IF(OR($M471="",$T471=""),"",$T471+(AA$2*$M471))</f>
        <v/>
      </c>
      <c r="AB471" s="48">
        <f>IF(OR($M471="",$T471=""),"",$T471+(AB$2*$M471))</f>
        <v/>
      </c>
      <c r="AC471" s="48">
        <f>IF(OR($M471="",$T471=""),"",$T471+(AC$2*$M471))</f>
        <v/>
      </c>
      <c r="AD471" s="48">
        <f>IF(OR($M471="",$T471=""),"",$T471+(AD$2*$M471))</f>
        <v/>
      </c>
      <c r="AE471" s="49">
        <f>IF(OR($M471="",$T471=""),"",$T471+(AE$2*$M471))</f>
        <v/>
      </c>
      <c r="AF471" s="52">
        <f>IF(OR(T471="",I471&lt;T471),"",IFERROR(AVERAGE(T471+M471*{7,8,9,10,11})/IF(G471="",I471,G471)-1,""))</f>
        <v/>
      </c>
      <c r="AG471" s="55">
        <f>IF(OR(T471="",I471&lt;T471),"",IFERROR(AF471/-(R471/IF(G471="",I471,G471)-1),""))</f>
        <v/>
      </c>
      <c r="AH471" s="94" t="n"/>
      <c r="AI471" s="94" t="n"/>
      <c r="AJ471" s="94" t="n"/>
      <c r="AK471" s="94" t="n"/>
      <c r="AL471" s="84" t="n"/>
    </row>
    <row r="472">
      <c r="A472" s="64" t="n"/>
      <c r="B472" s="65" t="n"/>
      <c r="C472" s="66" t="n"/>
      <c r="D472" s="67" t="n"/>
      <c r="E472" s="68" t="n"/>
      <c r="F472" s="47">
        <f>IF(A472="","",IF(MIN(H472,MAX(J472:K472))=0,"",MIN(H472,MAX(J472:K472))))</f>
        <v/>
      </c>
      <c r="G472" s="74" t="n"/>
      <c r="H472" s="49">
        <f>IF(M472="","",IFERROR(ROUND(AVERAGE(T472+M472*{7,8,9,10,11})/1.21,4),""))</f>
        <v/>
      </c>
      <c r="I472" s="76" t="n"/>
      <c r="J472" s="77" t="n"/>
      <c r="K472" s="74" t="n"/>
      <c r="L472" s="78" t="n"/>
      <c r="M472" s="77" t="n"/>
      <c r="N472" s="53">
        <f>IF(M472="","",IFERROR(M472/I472,""))</f>
        <v/>
      </c>
      <c r="O472" s="50">
        <f>IF(A472="","",IFERROR((IF(G472="",I472,G472)-T472)/M472,""))</f>
        <v/>
      </c>
      <c r="P472" s="50">
        <f>IFERROR((I472/T472-1)/N472,"")</f>
        <v/>
      </c>
      <c r="Q472" s="46">
        <f>IF(OR(T472="",I472&lt;T472),"",IFERROR(R472/IF(G472="",I472,G472)-1,""))</f>
        <v/>
      </c>
      <c r="R472" s="48">
        <f>IF($M472="","",MAX(IF($G472="",$I472,$G472)*(1/1.1),IF($G472="",$I472,$G472)+(R$2*$M472)))</f>
        <v/>
      </c>
      <c r="S472" s="49">
        <f>IF($M472="","",MAX(IF($G472="",$I472,$G472)*(1/1.1),IF($G472="",$I472,$G472)+(S$2*$M472)))</f>
        <v/>
      </c>
      <c r="T472" s="82" t="n"/>
      <c r="U472" s="47">
        <f>IF(OR($M472="",$T472=""),"",$T472+(U$2*$M472))</f>
        <v/>
      </c>
      <c r="V472" s="48">
        <f>IF(OR($M472="",$T472=""),"",$T472+(V$2*$M472))</f>
        <v/>
      </c>
      <c r="W472" s="48">
        <f>IF(OR($M472="",$T472=""),"",$T472+(W$2*$M472))</f>
        <v/>
      </c>
      <c r="X472" s="49">
        <f>IF(OR($M472="",$T472=""),"",$T472+(X$2*$M472))</f>
        <v/>
      </c>
      <c r="Y472" s="47">
        <f>IF(OR($M472="",$T472=""),"",$T472+(Y$2*$M472))</f>
        <v/>
      </c>
      <c r="Z472" s="49">
        <f>IF(OR($M472="",$T472=""),"",$T472+(Z$2*$M472))</f>
        <v/>
      </c>
      <c r="AA472" s="51">
        <f>IF(OR($M472="",$T472=""),"",$T472+(AA$2*$M472))</f>
        <v/>
      </c>
      <c r="AB472" s="48">
        <f>IF(OR($M472="",$T472=""),"",$T472+(AB$2*$M472))</f>
        <v/>
      </c>
      <c r="AC472" s="48">
        <f>IF(OR($M472="",$T472=""),"",$T472+(AC$2*$M472))</f>
        <v/>
      </c>
      <c r="AD472" s="48">
        <f>IF(OR($M472="",$T472=""),"",$T472+(AD$2*$M472))</f>
        <v/>
      </c>
      <c r="AE472" s="49">
        <f>IF(OR($M472="",$T472=""),"",$T472+(AE$2*$M472))</f>
        <v/>
      </c>
      <c r="AF472" s="52">
        <f>IF(OR(T472="",I472&lt;T472),"",IFERROR(AVERAGE(T472+M472*{7,8,9,10,11})/IF(G472="",I472,G472)-1,""))</f>
        <v/>
      </c>
      <c r="AG472" s="55">
        <f>IF(OR(T472="",I472&lt;T472),"",IFERROR(AF472/-(R472/IF(G472="",I472,G472)-1),""))</f>
        <v/>
      </c>
      <c r="AH472" s="94" t="n"/>
      <c r="AI472" s="94" t="n"/>
      <c r="AJ472" s="94" t="n"/>
      <c r="AK472" s="94" t="n"/>
      <c r="AL472" s="84" t="n"/>
    </row>
    <row r="473">
      <c r="A473" s="64" t="n"/>
      <c r="B473" s="65" t="n"/>
      <c r="C473" s="66" t="n"/>
      <c r="D473" s="67" t="n"/>
      <c r="E473" s="68" t="n"/>
      <c r="F473" s="47">
        <f>IF(A473="","",IF(MIN(H473,MAX(J473:K473))=0,"",MIN(H473,MAX(J473:K473))))</f>
        <v/>
      </c>
      <c r="G473" s="74" t="n"/>
      <c r="H473" s="49">
        <f>IF(M473="","",IFERROR(ROUND(AVERAGE(T473+M473*{7,8,9,10,11})/1.21,4),""))</f>
        <v/>
      </c>
      <c r="I473" s="76" t="n"/>
      <c r="J473" s="77" t="n"/>
      <c r="K473" s="74" t="n"/>
      <c r="L473" s="78" t="n"/>
      <c r="M473" s="77" t="n"/>
      <c r="N473" s="53">
        <f>IF(M473="","",IFERROR(M473/I473,""))</f>
        <v/>
      </c>
      <c r="O473" s="50">
        <f>IF(A473="","",IFERROR((IF(G473="",I473,G473)-T473)/M473,""))</f>
        <v/>
      </c>
      <c r="P473" s="50">
        <f>IFERROR((I473/T473-1)/N473,"")</f>
        <v/>
      </c>
      <c r="Q473" s="46">
        <f>IF(OR(T473="",I473&lt;T473),"",IFERROR(R473/IF(G473="",I473,G473)-1,""))</f>
        <v/>
      </c>
      <c r="R473" s="48">
        <f>IF($M473="","",MAX(IF($G473="",$I473,$G473)*(1/1.1),IF($G473="",$I473,$G473)+(R$2*$M473)))</f>
        <v/>
      </c>
      <c r="S473" s="49">
        <f>IF($M473="","",MAX(IF($G473="",$I473,$G473)*(1/1.1),IF($G473="",$I473,$G473)+(S$2*$M473)))</f>
        <v/>
      </c>
      <c r="T473" s="82" t="n"/>
      <c r="U473" s="47">
        <f>IF(OR($M473="",$T473=""),"",$T473+(U$2*$M473))</f>
        <v/>
      </c>
      <c r="V473" s="48">
        <f>IF(OR($M473="",$T473=""),"",$T473+(V$2*$M473))</f>
        <v/>
      </c>
      <c r="W473" s="48">
        <f>IF(OR($M473="",$T473=""),"",$T473+(W$2*$M473))</f>
        <v/>
      </c>
      <c r="X473" s="49">
        <f>IF(OR($M473="",$T473=""),"",$T473+(X$2*$M473))</f>
        <v/>
      </c>
      <c r="Y473" s="47">
        <f>IF(OR($M473="",$T473=""),"",$T473+(Y$2*$M473))</f>
        <v/>
      </c>
      <c r="Z473" s="49">
        <f>IF(OR($M473="",$T473=""),"",$T473+(Z$2*$M473))</f>
        <v/>
      </c>
      <c r="AA473" s="51">
        <f>IF(OR($M473="",$T473=""),"",$T473+(AA$2*$M473))</f>
        <v/>
      </c>
      <c r="AB473" s="48">
        <f>IF(OR($M473="",$T473=""),"",$T473+(AB$2*$M473))</f>
        <v/>
      </c>
      <c r="AC473" s="48">
        <f>IF(OR($M473="",$T473=""),"",$T473+(AC$2*$M473))</f>
        <v/>
      </c>
      <c r="AD473" s="48">
        <f>IF(OR($M473="",$T473=""),"",$T473+(AD$2*$M473))</f>
        <v/>
      </c>
      <c r="AE473" s="49">
        <f>IF(OR($M473="",$T473=""),"",$T473+(AE$2*$M473))</f>
        <v/>
      </c>
      <c r="AF473" s="52">
        <f>IF(OR(T473="",I473&lt;T473),"",IFERROR(AVERAGE(T473+M473*{7,8,9,10,11})/IF(G473="",I473,G473)-1,""))</f>
        <v/>
      </c>
      <c r="AG473" s="55">
        <f>IF(OR(T473="",I473&lt;T473),"",IFERROR(AF473/-(R473/IF(G473="",I473,G473)-1),""))</f>
        <v/>
      </c>
      <c r="AH473" s="94" t="n"/>
      <c r="AI473" s="94" t="n"/>
      <c r="AJ473" s="94" t="n"/>
      <c r="AK473" s="94" t="n"/>
      <c r="AL473" s="84" t="n"/>
    </row>
    <row r="474">
      <c r="A474" s="64" t="n"/>
      <c r="B474" s="65" t="n"/>
      <c r="C474" s="66" t="n"/>
      <c r="D474" s="67" t="n"/>
      <c r="E474" s="68" t="n"/>
      <c r="F474" s="47">
        <f>IF(A474="","",IF(MIN(H474,MAX(J474:K474))=0,"",MIN(H474,MAX(J474:K474))))</f>
        <v/>
      </c>
      <c r="G474" s="74" t="n"/>
      <c r="H474" s="49">
        <f>IF(M474="","",IFERROR(ROUND(AVERAGE(T474+M474*{7,8,9,10,11})/1.21,4),""))</f>
        <v/>
      </c>
      <c r="I474" s="76" t="n"/>
      <c r="J474" s="77" t="n"/>
      <c r="K474" s="74" t="n"/>
      <c r="L474" s="78" t="n"/>
      <c r="M474" s="77" t="n"/>
      <c r="N474" s="53">
        <f>IF(M474="","",IFERROR(M474/I474,""))</f>
        <v/>
      </c>
      <c r="O474" s="50">
        <f>IF(A474="","",IFERROR((IF(G474="",I474,G474)-T474)/M474,""))</f>
        <v/>
      </c>
      <c r="P474" s="50">
        <f>IFERROR((I474/T474-1)/N474,"")</f>
        <v/>
      </c>
      <c r="Q474" s="46">
        <f>IF(OR(T474="",I474&lt;T474),"",IFERROR(R474/IF(G474="",I474,G474)-1,""))</f>
        <v/>
      </c>
      <c r="R474" s="48">
        <f>IF($M474="","",MAX(IF($G474="",$I474,$G474)*(1/1.1),IF($G474="",$I474,$G474)+(R$2*$M474)))</f>
        <v/>
      </c>
      <c r="S474" s="49">
        <f>IF($M474="","",MAX(IF($G474="",$I474,$G474)*(1/1.1),IF($G474="",$I474,$G474)+(S$2*$M474)))</f>
        <v/>
      </c>
      <c r="T474" s="82" t="n"/>
      <c r="U474" s="47">
        <f>IF(OR($M474="",$T474=""),"",$T474+(U$2*$M474))</f>
        <v/>
      </c>
      <c r="V474" s="48">
        <f>IF(OR($M474="",$T474=""),"",$T474+(V$2*$M474))</f>
        <v/>
      </c>
      <c r="W474" s="48">
        <f>IF(OR($M474="",$T474=""),"",$T474+(W$2*$M474))</f>
        <v/>
      </c>
      <c r="X474" s="49">
        <f>IF(OR($M474="",$T474=""),"",$T474+(X$2*$M474))</f>
        <v/>
      </c>
      <c r="Y474" s="47">
        <f>IF(OR($M474="",$T474=""),"",$T474+(Y$2*$M474))</f>
        <v/>
      </c>
      <c r="Z474" s="49">
        <f>IF(OR($M474="",$T474=""),"",$T474+(Z$2*$M474))</f>
        <v/>
      </c>
      <c r="AA474" s="51">
        <f>IF(OR($M474="",$T474=""),"",$T474+(AA$2*$M474))</f>
        <v/>
      </c>
      <c r="AB474" s="48">
        <f>IF(OR($M474="",$T474=""),"",$T474+(AB$2*$M474))</f>
        <v/>
      </c>
      <c r="AC474" s="48">
        <f>IF(OR($M474="",$T474=""),"",$T474+(AC$2*$M474))</f>
        <v/>
      </c>
      <c r="AD474" s="48">
        <f>IF(OR($M474="",$T474=""),"",$T474+(AD$2*$M474))</f>
        <v/>
      </c>
      <c r="AE474" s="49">
        <f>IF(OR($M474="",$T474=""),"",$T474+(AE$2*$M474))</f>
        <v/>
      </c>
      <c r="AF474" s="52">
        <f>IF(OR(T474="",I474&lt;T474),"",IFERROR(AVERAGE(T474+M474*{7,8,9,10,11})/IF(G474="",I474,G474)-1,""))</f>
        <v/>
      </c>
      <c r="AG474" s="55">
        <f>IF(OR(T474="",I474&lt;T474),"",IFERROR(AF474/-(R474/IF(G474="",I474,G474)-1),""))</f>
        <v/>
      </c>
      <c r="AH474" s="94" t="n"/>
      <c r="AI474" s="94" t="n"/>
      <c r="AJ474" s="94" t="n"/>
      <c r="AK474" s="94" t="n"/>
      <c r="AL474" s="84" t="n"/>
    </row>
    <row r="475">
      <c r="A475" s="64" t="n"/>
      <c r="B475" s="65" t="n"/>
      <c r="C475" s="66" t="n"/>
      <c r="D475" s="67" t="n"/>
      <c r="E475" s="68" t="n"/>
      <c r="F475" s="47">
        <f>IF(A475="","",IF(MIN(H475,MAX(J475:K475))=0,"",MIN(H475,MAX(J475:K475))))</f>
        <v/>
      </c>
      <c r="G475" s="74" t="n"/>
      <c r="H475" s="49">
        <f>IF(M475="","",IFERROR(ROUND(AVERAGE(T475+M475*{7,8,9,10,11})/1.21,4),""))</f>
        <v/>
      </c>
      <c r="I475" s="76" t="n"/>
      <c r="J475" s="77" t="n"/>
      <c r="K475" s="74" t="n"/>
      <c r="L475" s="78" t="n"/>
      <c r="M475" s="77" t="n"/>
      <c r="N475" s="53">
        <f>IF(M475="","",IFERROR(M475/I475,""))</f>
        <v/>
      </c>
      <c r="O475" s="50">
        <f>IF(A475="","",IFERROR((IF(G475="",I475,G475)-T475)/M475,""))</f>
        <v/>
      </c>
      <c r="P475" s="50">
        <f>IFERROR((I475/T475-1)/N475,"")</f>
        <v/>
      </c>
      <c r="Q475" s="46">
        <f>IF(OR(T475="",I475&lt;T475),"",IFERROR(R475/IF(G475="",I475,G475)-1,""))</f>
        <v/>
      </c>
      <c r="R475" s="48">
        <f>IF($M475="","",MAX(IF($G475="",$I475,$G475)*(1/1.1),IF($G475="",$I475,$G475)+(R$2*$M475)))</f>
        <v/>
      </c>
      <c r="S475" s="49">
        <f>IF($M475="","",MAX(IF($G475="",$I475,$G475)*(1/1.1),IF($G475="",$I475,$G475)+(S$2*$M475)))</f>
        <v/>
      </c>
      <c r="T475" s="82" t="n"/>
      <c r="U475" s="47">
        <f>IF(OR($M475="",$T475=""),"",$T475+(U$2*$M475))</f>
        <v/>
      </c>
      <c r="V475" s="48">
        <f>IF(OR($M475="",$T475=""),"",$T475+(V$2*$M475))</f>
        <v/>
      </c>
      <c r="W475" s="48">
        <f>IF(OR($M475="",$T475=""),"",$T475+(W$2*$M475))</f>
        <v/>
      </c>
      <c r="X475" s="49">
        <f>IF(OR($M475="",$T475=""),"",$T475+(X$2*$M475))</f>
        <v/>
      </c>
      <c r="Y475" s="47">
        <f>IF(OR($M475="",$T475=""),"",$T475+(Y$2*$M475))</f>
        <v/>
      </c>
      <c r="Z475" s="49">
        <f>IF(OR($M475="",$T475=""),"",$T475+(Z$2*$M475))</f>
        <v/>
      </c>
      <c r="AA475" s="51">
        <f>IF(OR($M475="",$T475=""),"",$T475+(AA$2*$M475))</f>
        <v/>
      </c>
      <c r="AB475" s="48">
        <f>IF(OR($M475="",$T475=""),"",$T475+(AB$2*$M475))</f>
        <v/>
      </c>
      <c r="AC475" s="48">
        <f>IF(OR($M475="",$T475=""),"",$T475+(AC$2*$M475))</f>
        <v/>
      </c>
      <c r="AD475" s="48">
        <f>IF(OR($M475="",$T475=""),"",$T475+(AD$2*$M475))</f>
        <v/>
      </c>
      <c r="AE475" s="49">
        <f>IF(OR($M475="",$T475=""),"",$T475+(AE$2*$M475))</f>
        <v/>
      </c>
      <c r="AF475" s="52">
        <f>IF(OR(T475="",I475&lt;T475),"",IFERROR(AVERAGE(T475+M475*{7,8,9,10,11})/IF(G475="",I475,G475)-1,""))</f>
        <v/>
      </c>
      <c r="AG475" s="55">
        <f>IF(OR(T475="",I475&lt;T475),"",IFERROR(AF475/-(R475/IF(G475="",I475,G475)-1),""))</f>
        <v/>
      </c>
      <c r="AH475" s="94" t="n"/>
      <c r="AI475" s="94" t="n"/>
      <c r="AJ475" s="94" t="n"/>
      <c r="AK475" s="94" t="n"/>
      <c r="AL475" s="84" t="n"/>
    </row>
    <row r="476">
      <c r="A476" s="64" t="n"/>
      <c r="B476" s="65" t="n"/>
      <c r="C476" s="66" t="n"/>
      <c r="D476" s="67" t="n"/>
      <c r="E476" s="68" t="n"/>
      <c r="F476" s="47">
        <f>IF(A476="","",IF(MIN(H476,MAX(J476:K476))=0,"",MIN(H476,MAX(J476:K476))))</f>
        <v/>
      </c>
      <c r="G476" s="74" t="n"/>
      <c r="H476" s="49">
        <f>IF(M476="","",IFERROR(ROUND(AVERAGE(T476+M476*{7,8,9,10,11})/1.21,4),""))</f>
        <v/>
      </c>
      <c r="I476" s="76" t="n"/>
      <c r="J476" s="77" t="n"/>
      <c r="K476" s="74" t="n"/>
      <c r="L476" s="78" t="n"/>
      <c r="M476" s="77" t="n"/>
      <c r="N476" s="53">
        <f>IF(M476="","",IFERROR(M476/I476,""))</f>
        <v/>
      </c>
      <c r="O476" s="50">
        <f>IF(A476="","",IFERROR((IF(G476="",I476,G476)-T476)/M476,""))</f>
        <v/>
      </c>
      <c r="P476" s="50">
        <f>IFERROR((I476/T476-1)/N476,"")</f>
        <v/>
      </c>
      <c r="Q476" s="46">
        <f>IF(OR(T476="",I476&lt;T476),"",IFERROR(R476/IF(G476="",I476,G476)-1,""))</f>
        <v/>
      </c>
      <c r="R476" s="48">
        <f>IF($M476="","",MAX(IF($G476="",$I476,$G476)*(1/1.1),IF($G476="",$I476,$G476)+(R$2*$M476)))</f>
        <v/>
      </c>
      <c r="S476" s="49">
        <f>IF($M476="","",MAX(IF($G476="",$I476,$G476)*(1/1.1),IF($G476="",$I476,$G476)+(S$2*$M476)))</f>
        <v/>
      </c>
      <c r="T476" s="82" t="n"/>
      <c r="U476" s="47">
        <f>IF(OR($M476="",$T476=""),"",$T476+(U$2*$M476))</f>
        <v/>
      </c>
      <c r="V476" s="48">
        <f>IF(OR($M476="",$T476=""),"",$T476+(V$2*$M476))</f>
        <v/>
      </c>
      <c r="W476" s="48">
        <f>IF(OR($M476="",$T476=""),"",$T476+(W$2*$M476))</f>
        <v/>
      </c>
      <c r="X476" s="49">
        <f>IF(OR($M476="",$T476=""),"",$T476+(X$2*$M476))</f>
        <v/>
      </c>
      <c r="Y476" s="47">
        <f>IF(OR($M476="",$T476=""),"",$T476+(Y$2*$M476))</f>
        <v/>
      </c>
      <c r="Z476" s="49">
        <f>IF(OR($M476="",$T476=""),"",$T476+(Z$2*$M476))</f>
        <v/>
      </c>
      <c r="AA476" s="51">
        <f>IF(OR($M476="",$T476=""),"",$T476+(AA$2*$M476))</f>
        <v/>
      </c>
      <c r="AB476" s="48">
        <f>IF(OR($M476="",$T476=""),"",$T476+(AB$2*$M476))</f>
        <v/>
      </c>
      <c r="AC476" s="48">
        <f>IF(OR($M476="",$T476=""),"",$T476+(AC$2*$M476))</f>
        <v/>
      </c>
      <c r="AD476" s="48">
        <f>IF(OR($M476="",$T476=""),"",$T476+(AD$2*$M476))</f>
        <v/>
      </c>
      <c r="AE476" s="49">
        <f>IF(OR($M476="",$T476=""),"",$T476+(AE$2*$M476))</f>
        <v/>
      </c>
      <c r="AF476" s="52">
        <f>IF(OR(T476="",I476&lt;T476),"",IFERROR(AVERAGE(T476+M476*{7,8,9,10,11})/IF(G476="",I476,G476)-1,""))</f>
        <v/>
      </c>
      <c r="AG476" s="55">
        <f>IF(OR(T476="",I476&lt;T476),"",IFERROR(AF476/-(R476/IF(G476="",I476,G476)-1),""))</f>
        <v/>
      </c>
      <c r="AH476" s="94" t="n"/>
      <c r="AI476" s="94" t="n"/>
      <c r="AJ476" s="94" t="n"/>
      <c r="AK476" s="94" t="n"/>
      <c r="AL476" s="84" t="n"/>
    </row>
    <row r="477">
      <c r="A477" s="64" t="n"/>
      <c r="B477" s="65" t="n"/>
      <c r="C477" s="66" t="n"/>
      <c r="D477" s="67" t="n"/>
      <c r="E477" s="68" t="n"/>
      <c r="F477" s="47">
        <f>IF(A477="","",IF(MIN(H477,MAX(J477:K477))=0,"",MIN(H477,MAX(J477:K477))))</f>
        <v/>
      </c>
      <c r="G477" s="74" t="n"/>
      <c r="H477" s="49">
        <f>IF(M477="","",IFERROR(ROUND(AVERAGE(T477+M477*{7,8,9,10,11})/1.21,4),""))</f>
        <v/>
      </c>
      <c r="I477" s="76" t="n"/>
      <c r="J477" s="77" t="n"/>
      <c r="K477" s="74" t="n"/>
      <c r="L477" s="78" t="n"/>
      <c r="M477" s="77" t="n"/>
      <c r="N477" s="53">
        <f>IF(M477="","",IFERROR(M477/I477,""))</f>
        <v/>
      </c>
      <c r="O477" s="50">
        <f>IF(A477="","",IFERROR((IF(G477="",I477,G477)-T477)/M477,""))</f>
        <v/>
      </c>
      <c r="P477" s="50">
        <f>IFERROR((I477/T477-1)/N477,"")</f>
        <v/>
      </c>
      <c r="Q477" s="46">
        <f>IF(OR(T477="",I477&lt;T477),"",IFERROR(R477/IF(G477="",I477,G477)-1,""))</f>
        <v/>
      </c>
      <c r="R477" s="48">
        <f>IF($M477="","",MAX(IF($G477="",$I477,$G477)*(1/1.1),IF($G477="",$I477,$G477)+(R$2*$M477)))</f>
        <v/>
      </c>
      <c r="S477" s="49">
        <f>IF($M477="","",MAX(IF($G477="",$I477,$G477)*(1/1.1),IF($G477="",$I477,$G477)+(S$2*$M477)))</f>
        <v/>
      </c>
      <c r="T477" s="82" t="n"/>
      <c r="U477" s="47">
        <f>IF(OR($M477="",$T477=""),"",$T477+(U$2*$M477))</f>
        <v/>
      </c>
      <c r="V477" s="48">
        <f>IF(OR($M477="",$T477=""),"",$T477+(V$2*$M477))</f>
        <v/>
      </c>
      <c r="W477" s="48">
        <f>IF(OR($M477="",$T477=""),"",$T477+(W$2*$M477))</f>
        <v/>
      </c>
      <c r="X477" s="49">
        <f>IF(OR($M477="",$T477=""),"",$T477+(X$2*$M477))</f>
        <v/>
      </c>
      <c r="Y477" s="47">
        <f>IF(OR($M477="",$T477=""),"",$T477+(Y$2*$M477))</f>
        <v/>
      </c>
      <c r="Z477" s="49">
        <f>IF(OR($M477="",$T477=""),"",$T477+(Z$2*$M477))</f>
        <v/>
      </c>
      <c r="AA477" s="51">
        <f>IF(OR($M477="",$T477=""),"",$T477+(AA$2*$M477))</f>
        <v/>
      </c>
      <c r="AB477" s="48">
        <f>IF(OR($M477="",$T477=""),"",$T477+(AB$2*$M477))</f>
        <v/>
      </c>
      <c r="AC477" s="48">
        <f>IF(OR($M477="",$T477=""),"",$T477+(AC$2*$M477))</f>
        <v/>
      </c>
      <c r="AD477" s="48">
        <f>IF(OR($M477="",$T477=""),"",$T477+(AD$2*$M477))</f>
        <v/>
      </c>
      <c r="AE477" s="49">
        <f>IF(OR($M477="",$T477=""),"",$T477+(AE$2*$M477))</f>
        <v/>
      </c>
      <c r="AF477" s="52">
        <f>IF(OR(T477="",I477&lt;T477),"",IFERROR(AVERAGE(T477+M477*{7,8,9,10,11})/IF(G477="",I477,G477)-1,""))</f>
        <v/>
      </c>
      <c r="AG477" s="55">
        <f>IF(OR(T477="",I477&lt;T477),"",IFERROR(AF477/-(R477/IF(G477="",I477,G477)-1),""))</f>
        <v/>
      </c>
      <c r="AH477" s="94" t="n"/>
      <c r="AI477" s="94" t="n"/>
      <c r="AJ477" s="94" t="n"/>
      <c r="AK477" s="94" t="n"/>
      <c r="AL477" s="84" t="n"/>
    </row>
    <row r="478">
      <c r="A478" s="64" t="n"/>
      <c r="B478" s="65" t="n"/>
      <c r="C478" s="66" t="n"/>
      <c r="D478" s="67" t="n"/>
      <c r="E478" s="68" t="n"/>
      <c r="F478" s="47">
        <f>IF(A478="","",IF(MIN(H478,MAX(J478:K478))=0,"",MIN(H478,MAX(J478:K478))))</f>
        <v/>
      </c>
      <c r="G478" s="74" t="n"/>
      <c r="H478" s="49">
        <f>IF(M478="","",IFERROR(ROUND(AVERAGE(T478+M478*{7,8,9,10,11})/1.21,4),""))</f>
        <v/>
      </c>
      <c r="I478" s="76" t="n"/>
      <c r="J478" s="77" t="n"/>
      <c r="K478" s="74" t="n"/>
      <c r="L478" s="78" t="n"/>
      <c r="M478" s="77" t="n"/>
      <c r="N478" s="53">
        <f>IF(M478="","",IFERROR(M478/I478,""))</f>
        <v/>
      </c>
      <c r="O478" s="50">
        <f>IF(A478="","",IFERROR((IF(G478="",I478,G478)-T478)/M478,""))</f>
        <v/>
      </c>
      <c r="P478" s="50">
        <f>IFERROR((I478/T478-1)/N478,"")</f>
        <v/>
      </c>
      <c r="Q478" s="46">
        <f>IF(OR(T478="",I478&lt;T478),"",IFERROR(R478/IF(G478="",I478,G478)-1,""))</f>
        <v/>
      </c>
      <c r="R478" s="48">
        <f>IF($M478="","",MAX(IF($G478="",$I478,$G478)*(1/1.1),IF($G478="",$I478,$G478)+(R$2*$M478)))</f>
        <v/>
      </c>
      <c r="S478" s="49">
        <f>IF($M478="","",MAX(IF($G478="",$I478,$G478)*(1/1.1),IF($G478="",$I478,$G478)+(S$2*$M478)))</f>
        <v/>
      </c>
      <c r="T478" s="82" t="n"/>
      <c r="U478" s="47">
        <f>IF(OR($M478="",$T478=""),"",$T478+(U$2*$M478))</f>
        <v/>
      </c>
      <c r="V478" s="48">
        <f>IF(OR($M478="",$T478=""),"",$T478+(V$2*$M478))</f>
        <v/>
      </c>
      <c r="W478" s="48">
        <f>IF(OR($M478="",$T478=""),"",$T478+(W$2*$M478))</f>
        <v/>
      </c>
      <c r="X478" s="49">
        <f>IF(OR($M478="",$T478=""),"",$T478+(X$2*$M478))</f>
        <v/>
      </c>
      <c r="Y478" s="47">
        <f>IF(OR($M478="",$T478=""),"",$T478+(Y$2*$M478))</f>
        <v/>
      </c>
      <c r="Z478" s="49">
        <f>IF(OR($M478="",$T478=""),"",$T478+(Z$2*$M478))</f>
        <v/>
      </c>
      <c r="AA478" s="51">
        <f>IF(OR($M478="",$T478=""),"",$T478+(AA$2*$M478))</f>
        <v/>
      </c>
      <c r="AB478" s="48">
        <f>IF(OR($M478="",$T478=""),"",$T478+(AB$2*$M478))</f>
        <v/>
      </c>
      <c r="AC478" s="48">
        <f>IF(OR($M478="",$T478=""),"",$T478+(AC$2*$M478))</f>
        <v/>
      </c>
      <c r="AD478" s="48">
        <f>IF(OR($M478="",$T478=""),"",$T478+(AD$2*$M478))</f>
        <v/>
      </c>
      <c r="AE478" s="49">
        <f>IF(OR($M478="",$T478=""),"",$T478+(AE$2*$M478))</f>
        <v/>
      </c>
      <c r="AF478" s="52">
        <f>IF(OR(T478="",I478&lt;T478),"",IFERROR(AVERAGE(T478+M478*{7,8,9,10,11})/IF(G478="",I478,G478)-1,""))</f>
        <v/>
      </c>
      <c r="AG478" s="55">
        <f>IF(OR(T478="",I478&lt;T478),"",IFERROR(AF478/-(R478/IF(G478="",I478,G478)-1),""))</f>
        <v/>
      </c>
      <c r="AH478" s="94" t="n"/>
      <c r="AI478" s="94" t="n"/>
      <c r="AJ478" s="94" t="n"/>
      <c r="AK478" s="94" t="n"/>
      <c r="AL478" s="84" t="n"/>
    </row>
    <row r="479">
      <c r="A479" s="64" t="n"/>
      <c r="B479" s="65" t="n"/>
      <c r="C479" s="66" t="n"/>
      <c r="D479" s="67" t="n"/>
      <c r="E479" s="68" t="n"/>
      <c r="F479" s="47">
        <f>IF(A479="","",IF(MIN(H479,MAX(J479:K479))=0,"",MIN(H479,MAX(J479:K479))))</f>
        <v/>
      </c>
      <c r="G479" s="74" t="n"/>
      <c r="H479" s="49">
        <f>IF(M479="","",IFERROR(ROUND(AVERAGE(T479+M479*{7,8,9,10,11})/1.21,4),""))</f>
        <v/>
      </c>
      <c r="I479" s="76" t="n"/>
      <c r="J479" s="77" t="n"/>
      <c r="K479" s="74" t="n"/>
      <c r="L479" s="78" t="n"/>
      <c r="M479" s="77" t="n"/>
      <c r="N479" s="53">
        <f>IF(M479="","",IFERROR(M479/I479,""))</f>
        <v/>
      </c>
      <c r="O479" s="50">
        <f>IF(A479="","",IFERROR((IF(G479="",I479,G479)-T479)/M479,""))</f>
        <v/>
      </c>
      <c r="P479" s="50">
        <f>IFERROR((I479/T479-1)/N479,"")</f>
        <v/>
      </c>
      <c r="Q479" s="46">
        <f>IF(OR(T479="",I479&lt;T479),"",IFERROR(R479/IF(G479="",I479,G479)-1,""))</f>
        <v/>
      </c>
      <c r="R479" s="48">
        <f>IF($M479="","",MAX(IF($G479="",$I479,$G479)*(1/1.1),IF($G479="",$I479,$G479)+(R$2*$M479)))</f>
        <v/>
      </c>
      <c r="S479" s="49">
        <f>IF($M479="","",MAX(IF($G479="",$I479,$G479)*(1/1.1),IF($G479="",$I479,$G479)+(S$2*$M479)))</f>
        <v/>
      </c>
      <c r="T479" s="82" t="n"/>
      <c r="U479" s="47">
        <f>IF(OR($M479="",$T479=""),"",$T479+(U$2*$M479))</f>
        <v/>
      </c>
      <c r="V479" s="48">
        <f>IF(OR($M479="",$T479=""),"",$T479+(V$2*$M479))</f>
        <v/>
      </c>
      <c r="W479" s="48">
        <f>IF(OR($M479="",$T479=""),"",$T479+(W$2*$M479))</f>
        <v/>
      </c>
      <c r="X479" s="49">
        <f>IF(OR($M479="",$T479=""),"",$T479+(X$2*$M479))</f>
        <v/>
      </c>
      <c r="Y479" s="47">
        <f>IF(OR($M479="",$T479=""),"",$T479+(Y$2*$M479))</f>
        <v/>
      </c>
      <c r="Z479" s="49">
        <f>IF(OR($M479="",$T479=""),"",$T479+(Z$2*$M479))</f>
        <v/>
      </c>
      <c r="AA479" s="51">
        <f>IF(OR($M479="",$T479=""),"",$T479+(AA$2*$M479))</f>
        <v/>
      </c>
      <c r="AB479" s="48">
        <f>IF(OR($M479="",$T479=""),"",$T479+(AB$2*$M479))</f>
        <v/>
      </c>
      <c r="AC479" s="48">
        <f>IF(OR($M479="",$T479=""),"",$T479+(AC$2*$M479))</f>
        <v/>
      </c>
      <c r="AD479" s="48">
        <f>IF(OR($M479="",$T479=""),"",$T479+(AD$2*$M479))</f>
        <v/>
      </c>
      <c r="AE479" s="49">
        <f>IF(OR($M479="",$T479=""),"",$T479+(AE$2*$M479))</f>
        <v/>
      </c>
      <c r="AF479" s="52">
        <f>IF(OR(T479="",I479&lt;T479),"",IFERROR(AVERAGE(T479+M479*{7,8,9,10,11})/IF(G479="",I479,G479)-1,""))</f>
        <v/>
      </c>
      <c r="AG479" s="55">
        <f>IF(OR(T479="",I479&lt;T479),"",IFERROR(AF479/-(R479/IF(G479="",I479,G479)-1),""))</f>
        <v/>
      </c>
      <c r="AH479" s="94" t="n"/>
      <c r="AI479" s="94" t="n"/>
      <c r="AJ479" s="94" t="n"/>
      <c r="AK479" s="94" t="n"/>
      <c r="AL479" s="84" t="n"/>
    </row>
    <row r="480">
      <c r="A480" s="64" t="n"/>
      <c r="B480" s="65" t="n"/>
      <c r="C480" s="66" t="n"/>
      <c r="D480" s="67" t="n"/>
      <c r="E480" s="68" t="n"/>
      <c r="F480" s="47">
        <f>IF(A480="","",IF(MIN(H480,MAX(J480:K480))=0,"",MIN(H480,MAX(J480:K480))))</f>
        <v/>
      </c>
      <c r="G480" s="74" t="n"/>
      <c r="H480" s="49">
        <f>IF(M480="","",IFERROR(ROUND(AVERAGE(T480+M480*{7,8,9,10,11})/1.21,4),""))</f>
        <v/>
      </c>
      <c r="I480" s="76" t="n"/>
      <c r="J480" s="77" t="n"/>
      <c r="K480" s="74" t="n"/>
      <c r="L480" s="78" t="n"/>
      <c r="M480" s="77" t="n"/>
      <c r="N480" s="53">
        <f>IF(M480="","",IFERROR(M480/I480,""))</f>
        <v/>
      </c>
      <c r="O480" s="50">
        <f>IF(A480="","",IFERROR((IF(G480="",I480,G480)-T480)/M480,""))</f>
        <v/>
      </c>
      <c r="P480" s="50">
        <f>IFERROR((I480/T480-1)/N480,"")</f>
        <v/>
      </c>
      <c r="Q480" s="46">
        <f>IF(OR(T480="",I480&lt;T480),"",IFERROR(R480/IF(G480="",I480,G480)-1,""))</f>
        <v/>
      </c>
      <c r="R480" s="48">
        <f>IF($M480="","",MAX(IF($G480="",$I480,$G480)*(1/1.1),IF($G480="",$I480,$G480)+(R$2*$M480)))</f>
        <v/>
      </c>
      <c r="S480" s="49">
        <f>IF($M480="","",MAX(IF($G480="",$I480,$G480)*(1/1.1),IF($G480="",$I480,$G480)+(S$2*$M480)))</f>
        <v/>
      </c>
      <c r="T480" s="82" t="n"/>
      <c r="U480" s="47">
        <f>IF(OR($M480="",$T480=""),"",$T480+(U$2*$M480))</f>
        <v/>
      </c>
      <c r="V480" s="48">
        <f>IF(OR($M480="",$T480=""),"",$T480+(V$2*$M480))</f>
        <v/>
      </c>
      <c r="W480" s="48">
        <f>IF(OR($M480="",$T480=""),"",$T480+(W$2*$M480))</f>
        <v/>
      </c>
      <c r="X480" s="49">
        <f>IF(OR($M480="",$T480=""),"",$T480+(X$2*$M480))</f>
        <v/>
      </c>
      <c r="Y480" s="47">
        <f>IF(OR($M480="",$T480=""),"",$T480+(Y$2*$M480))</f>
        <v/>
      </c>
      <c r="Z480" s="49">
        <f>IF(OR($M480="",$T480=""),"",$T480+(Z$2*$M480))</f>
        <v/>
      </c>
      <c r="AA480" s="51">
        <f>IF(OR($M480="",$T480=""),"",$T480+(AA$2*$M480))</f>
        <v/>
      </c>
      <c r="AB480" s="48">
        <f>IF(OR($M480="",$T480=""),"",$T480+(AB$2*$M480))</f>
        <v/>
      </c>
      <c r="AC480" s="48">
        <f>IF(OR($M480="",$T480=""),"",$T480+(AC$2*$M480))</f>
        <v/>
      </c>
      <c r="AD480" s="48">
        <f>IF(OR($M480="",$T480=""),"",$T480+(AD$2*$M480))</f>
        <v/>
      </c>
      <c r="AE480" s="49">
        <f>IF(OR($M480="",$T480=""),"",$T480+(AE$2*$M480))</f>
        <v/>
      </c>
      <c r="AF480" s="52">
        <f>IF(OR(T480="",I480&lt;T480),"",IFERROR(AVERAGE(T480+M480*{7,8,9,10,11})/IF(G480="",I480,G480)-1,""))</f>
        <v/>
      </c>
      <c r="AG480" s="55">
        <f>IF(OR(T480="",I480&lt;T480),"",IFERROR(AF480/-(R480/IF(G480="",I480,G480)-1),""))</f>
        <v/>
      </c>
      <c r="AH480" s="94" t="n"/>
      <c r="AI480" s="94" t="n"/>
      <c r="AJ480" s="94" t="n"/>
      <c r="AK480" s="94" t="n"/>
      <c r="AL480" s="84" t="n"/>
    </row>
    <row r="481">
      <c r="A481" s="64" t="n"/>
      <c r="B481" s="65" t="n"/>
      <c r="C481" s="66" t="n"/>
      <c r="D481" s="67" t="n"/>
      <c r="E481" s="68" t="n"/>
      <c r="F481" s="47">
        <f>IF(A481="","",IF(MIN(H481,MAX(J481:K481))=0,"",MIN(H481,MAX(J481:K481))))</f>
        <v/>
      </c>
      <c r="G481" s="74" t="n"/>
      <c r="H481" s="49">
        <f>IF(M481="","",IFERROR(ROUND(AVERAGE(T481+M481*{7,8,9,10,11})/1.21,4),""))</f>
        <v/>
      </c>
      <c r="I481" s="76" t="n"/>
      <c r="J481" s="77" t="n"/>
      <c r="K481" s="74" t="n"/>
      <c r="L481" s="78" t="n"/>
      <c r="M481" s="77" t="n"/>
      <c r="N481" s="53">
        <f>IF(M481="","",IFERROR(M481/I481,""))</f>
        <v/>
      </c>
      <c r="O481" s="50">
        <f>IF(A481="","",IFERROR((IF(G481="",I481,G481)-T481)/M481,""))</f>
        <v/>
      </c>
      <c r="P481" s="50">
        <f>IFERROR((I481/T481-1)/N481,"")</f>
        <v/>
      </c>
      <c r="Q481" s="46">
        <f>IF(OR(T481="",I481&lt;T481),"",IFERROR(R481/IF(G481="",I481,G481)-1,""))</f>
        <v/>
      </c>
      <c r="R481" s="48">
        <f>IF($M481="","",MAX(IF($G481="",$I481,$G481)*(1/1.1),IF($G481="",$I481,$G481)+(R$2*$M481)))</f>
        <v/>
      </c>
      <c r="S481" s="49">
        <f>IF($M481="","",MAX(IF($G481="",$I481,$G481)*(1/1.1),IF($G481="",$I481,$G481)+(S$2*$M481)))</f>
        <v/>
      </c>
      <c r="T481" s="82" t="n"/>
      <c r="U481" s="47">
        <f>IF(OR($M481="",$T481=""),"",$T481+(U$2*$M481))</f>
        <v/>
      </c>
      <c r="V481" s="48">
        <f>IF(OR($M481="",$T481=""),"",$T481+(V$2*$M481))</f>
        <v/>
      </c>
      <c r="W481" s="48">
        <f>IF(OR($M481="",$T481=""),"",$T481+(W$2*$M481))</f>
        <v/>
      </c>
      <c r="X481" s="49">
        <f>IF(OR($M481="",$T481=""),"",$T481+(X$2*$M481))</f>
        <v/>
      </c>
      <c r="Y481" s="47">
        <f>IF(OR($M481="",$T481=""),"",$T481+(Y$2*$M481))</f>
        <v/>
      </c>
      <c r="Z481" s="49">
        <f>IF(OR($M481="",$T481=""),"",$T481+(Z$2*$M481))</f>
        <v/>
      </c>
      <c r="AA481" s="51">
        <f>IF(OR($M481="",$T481=""),"",$T481+(AA$2*$M481))</f>
        <v/>
      </c>
      <c r="AB481" s="48">
        <f>IF(OR($M481="",$T481=""),"",$T481+(AB$2*$M481))</f>
        <v/>
      </c>
      <c r="AC481" s="48">
        <f>IF(OR($M481="",$T481=""),"",$T481+(AC$2*$M481))</f>
        <v/>
      </c>
      <c r="AD481" s="48">
        <f>IF(OR($M481="",$T481=""),"",$T481+(AD$2*$M481))</f>
        <v/>
      </c>
      <c r="AE481" s="49">
        <f>IF(OR($M481="",$T481=""),"",$T481+(AE$2*$M481))</f>
        <v/>
      </c>
      <c r="AF481" s="52">
        <f>IF(OR(T481="",I481&lt;T481),"",IFERROR(AVERAGE(T481+M481*{7,8,9,10,11})/IF(G481="",I481,G481)-1,""))</f>
        <v/>
      </c>
      <c r="AG481" s="55">
        <f>IF(OR(T481="",I481&lt;T481),"",IFERROR(AF481/-(R481/IF(G481="",I481,G481)-1),""))</f>
        <v/>
      </c>
      <c r="AH481" s="94" t="n"/>
      <c r="AI481" s="94" t="n"/>
      <c r="AJ481" s="94" t="n"/>
      <c r="AK481" s="94" t="n"/>
      <c r="AL481" s="84" t="n"/>
    </row>
    <row r="482">
      <c r="A482" s="64" t="n"/>
      <c r="B482" s="65" t="n"/>
      <c r="C482" s="66" t="n"/>
      <c r="D482" s="67" t="n"/>
      <c r="E482" s="68" t="n"/>
      <c r="F482" s="47">
        <f>IF(A482="","",IF(MIN(H482,MAX(J482:K482))=0,"",MIN(H482,MAX(J482:K482))))</f>
        <v/>
      </c>
      <c r="G482" s="74" t="n"/>
      <c r="H482" s="49">
        <f>IF(M482="","",IFERROR(ROUND(AVERAGE(T482+M482*{7,8,9,10,11})/1.21,4),""))</f>
        <v/>
      </c>
      <c r="I482" s="76" t="n"/>
      <c r="J482" s="77" t="n"/>
      <c r="K482" s="74" t="n"/>
      <c r="L482" s="78" t="n"/>
      <c r="M482" s="77" t="n"/>
      <c r="N482" s="53">
        <f>IF(M482="","",IFERROR(M482/I482,""))</f>
        <v/>
      </c>
      <c r="O482" s="50">
        <f>IF(A482="","",IFERROR((IF(G482="",I482,G482)-T482)/M482,""))</f>
        <v/>
      </c>
      <c r="P482" s="50">
        <f>IFERROR((I482/T482-1)/N482,"")</f>
        <v/>
      </c>
      <c r="Q482" s="46">
        <f>IF(OR(T482="",I482&lt;T482),"",IFERROR(R482/IF(G482="",I482,G482)-1,""))</f>
        <v/>
      </c>
      <c r="R482" s="48">
        <f>IF($M482="","",MAX(IF($G482="",$I482,$G482)*(1/1.1),IF($G482="",$I482,$G482)+(R$2*$M482)))</f>
        <v/>
      </c>
      <c r="S482" s="49">
        <f>IF($M482="","",MAX(IF($G482="",$I482,$G482)*(1/1.1),IF($G482="",$I482,$G482)+(S$2*$M482)))</f>
        <v/>
      </c>
      <c r="T482" s="82" t="n"/>
      <c r="U482" s="47">
        <f>IF(OR($M482="",$T482=""),"",$T482+(U$2*$M482))</f>
        <v/>
      </c>
      <c r="V482" s="48">
        <f>IF(OR($M482="",$T482=""),"",$T482+(V$2*$M482))</f>
        <v/>
      </c>
      <c r="W482" s="48">
        <f>IF(OR($M482="",$T482=""),"",$T482+(W$2*$M482))</f>
        <v/>
      </c>
      <c r="X482" s="49">
        <f>IF(OR($M482="",$T482=""),"",$T482+(X$2*$M482))</f>
        <v/>
      </c>
      <c r="Y482" s="47">
        <f>IF(OR($M482="",$T482=""),"",$T482+(Y$2*$M482))</f>
        <v/>
      </c>
      <c r="Z482" s="49">
        <f>IF(OR($M482="",$T482=""),"",$T482+(Z$2*$M482))</f>
        <v/>
      </c>
      <c r="AA482" s="51">
        <f>IF(OR($M482="",$T482=""),"",$T482+(AA$2*$M482))</f>
        <v/>
      </c>
      <c r="AB482" s="48">
        <f>IF(OR($M482="",$T482=""),"",$T482+(AB$2*$M482))</f>
        <v/>
      </c>
      <c r="AC482" s="48">
        <f>IF(OR($M482="",$T482=""),"",$T482+(AC$2*$M482))</f>
        <v/>
      </c>
      <c r="AD482" s="48">
        <f>IF(OR($M482="",$T482=""),"",$T482+(AD$2*$M482))</f>
        <v/>
      </c>
      <c r="AE482" s="49">
        <f>IF(OR($M482="",$T482=""),"",$T482+(AE$2*$M482))</f>
        <v/>
      </c>
      <c r="AF482" s="52">
        <f>IF(OR(T482="",I482&lt;T482),"",IFERROR(AVERAGE(T482+M482*{7,8,9,10,11})/IF(G482="",I482,G482)-1,""))</f>
        <v/>
      </c>
      <c r="AG482" s="55">
        <f>IF(OR(T482="",I482&lt;T482),"",IFERROR(AF482/-(R482/IF(G482="",I482,G482)-1),""))</f>
        <v/>
      </c>
      <c r="AH482" s="94" t="n"/>
      <c r="AI482" s="94" t="n"/>
      <c r="AJ482" s="94" t="n"/>
      <c r="AK482" s="94" t="n"/>
      <c r="AL482" s="84" t="n"/>
    </row>
    <row r="483">
      <c r="A483" s="64" t="n"/>
      <c r="B483" s="65" t="n"/>
      <c r="C483" s="66" t="n"/>
      <c r="D483" s="67" t="n"/>
      <c r="E483" s="68" t="n"/>
      <c r="F483" s="47">
        <f>IF(A483="","",IF(MIN(H483,MAX(J483:K483))=0,"",MIN(H483,MAX(J483:K483))))</f>
        <v/>
      </c>
      <c r="G483" s="74" t="n"/>
      <c r="H483" s="49">
        <f>IF(M483="","",IFERROR(ROUND(AVERAGE(T483+M483*{7,8,9,10,11})/1.21,4),""))</f>
        <v/>
      </c>
      <c r="I483" s="76" t="n"/>
      <c r="J483" s="77" t="n"/>
      <c r="K483" s="74" t="n"/>
      <c r="L483" s="78" t="n"/>
      <c r="M483" s="77" t="n"/>
      <c r="N483" s="53">
        <f>IF(M483="","",IFERROR(M483/I483,""))</f>
        <v/>
      </c>
      <c r="O483" s="50">
        <f>IF(A483="","",IFERROR((IF(G483="",I483,G483)-T483)/M483,""))</f>
        <v/>
      </c>
      <c r="P483" s="50">
        <f>IFERROR((I483/T483-1)/N483,"")</f>
        <v/>
      </c>
      <c r="Q483" s="46">
        <f>IF(OR(T483="",I483&lt;T483),"",IFERROR(R483/IF(G483="",I483,G483)-1,""))</f>
        <v/>
      </c>
      <c r="R483" s="48">
        <f>IF($M483="","",MAX(IF($G483="",$I483,$G483)*(1/1.1),IF($G483="",$I483,$G483)+(R$2*$M483)))</f>
        <v/>
      </c>
      <c r="S483" s="49">
        <f>IF($M483="","",MAX(IF($G483="",$I483,$G483)*(1/1.1),IF($G483="",$I483,$G483)+(S$2*$M483)))</f>
        <v/>
      </c>
      <c r="T483" s="82" t="n"/>
      <c r="U483" s="47">
        <f>IF(OR($M483="",$T483=""),"",$T483+(U$2*$M483))</f>
        <v/>
      </c>
      <c r="V483" s="48">
        <f>IF(OR($M483="",$T483=""),"",$T483+(V$2*$M483))</f>
        <v/>
      </c>
      <c r="W483" s="48">
        <f>IF(OR($M483="",$T483=""),"",$T483+(W$2*$M483))</f>
        <v/>
      </c>
      <c r="X483" s="49">
        <f>IF(OR($M483="",$T483=""),"",$T483+(X$2*$M483))</f>
        <v/>
      </c>
      <c r="Y483" s="47">
        <f>IF(OR($M483="",$T483=""),"",$T483+(Y$2*$M483))</f>
        <v/>
      </c>
      <c r="Z483" s="49">
        <f>IF(OR($M483="",$T483=""),"",$T483+(Z$2*$M483))</f>
        <v/>
      </c>
      <c r="AA483" s="51">
        <f>IF(OR($M483="",$T483=""),"",$T483+(AA$2*$M483))</f>
        <v/>
      </c>
      <c r="AB483" s="48">
        <f>IF(OR($M483="",$T483=""),"",$T483+(AB$2*$M483))</f>
        <v/>
      </c>
      <c r="AC483" s="48">
        <f>IF(OR($M483="",$T483=""),"",$T483+(AC$2*$M483))</f>
        <v/>
      </c>
      <c r="AD483" s="48">
        <f>IF(OR($M483="",$T483=""),"",$T483+(AD$2*$M483))</f>
        <v/>
      </c>
      <c r="AE483" s="49">
        <f>IF(OR($M483="",$T483=""),"",$T483+(AE$2*$M483))</f>
        <v/>
      </c>
      <c r="AF483" s="52">
        <f>IF(OR(T483="",I483&lt;T483),"",IFERROR(AVERAGE(T483+M483*{7,8,9,10,11})/IF(G483="",I483,G483)-1,""))</f>
        <v/>
      </c>
      <c r="AG483" s="55">
        <f>IF(OR(T483="",I483&lt;T483),"",IFERROR(AF483/-(R483/IF(G483="",I483,G483)-1),""))</f>
        <v/>
      </c>
      <c r="AH483" s="94" t="n"/>
      <c r="AI483" s="94" t="n"/>
      <c r="AJ483" s="94" t="n"/>
      <c r="AK483" s="94" t="n"/>
      <c r="AL483" s="84" t="n"/>
    </row>
    <row r="484">
      <c r="A484" s="64" t="n"/>
      <c r="B484" s="65" t="n"/>
      <c r="C484" s="66" t="n"/>
      <c r="D484" s="67" t="n"/>
      <c r="E484" s="68" t="n"/>
      <c r="F484" s="47">
        <f>IF(A484="","",IF(MIN(H484,MAX(J484:K484))=0,"",MIN(H484,MAX(J484:K484))))</f>
        <v/>
      </c>
      <c r="G484" s="74" t="n"/>
      <c r="H484" s="49">
        <f>IF(M484="","",IFERROR(ROUND(AVERAGE(T484+M484*{7,8,9,10,11})/1.21,4),""))</f>
        <v/>
      </c>
      <c r="I484" s="76" t="n"/>
      <c r="J484" s="77" t="n"/>
      <c r="K484" s="74" t="n"/>
      <c r="L484" s="78" t="n"/>
      <c r="M484" s="77" t="n"/>
      <c r="N484" s="53">
        <f>IF(M484="","",IFERROR(M484/I484,""))</f>
        <v/>
      </c>
      <c r="O484" s="50">
        <f>IF(A484="","",IFERROR((IF(G484="",I484,G484)-T484)/M484,""))</f>
        <v/>
      </c>
      <c r="P484" s="50">
        <f>IFERROR((I484/T484-1)/N484,"")</f>
        <v/>
      </c>
      <c r="Q484" s="46">
        <f>IF(OR(T484="",I484&lt;T484),"",IFERROR(R484/IF(G484="",I484,G484)-1,""))</f>
        <v/>
      </c>
      <c r="R484" s="48">
        <f>IF($M484="","",MAX(IF($G484="",$I484,$G484)*(1/1.1),IF($G484="",$I484,$G484)+(R$2*$M484)))</f>
        <v/>
      </c>
      <c r="S484" s="49">
        <f>IF($M484="","",MAX(IF($G484="",$I484,$G484)*(1/1.1),IF($G484="",$I484,$G484)+(S$2*$M484)))</f>
        <v/>
      </c>
      <c r="T484" s="82" t="n"/>
      <c r="U484" s="47">
        <f>IF(OR($M484="",$T484=""),"",$T484+(U$2*$M484))</f>
        <v/>
      </c>
      <c r="V484" s="48">
        <f>IF(OR($M484="",$T484=""),"",$T484+(V$2*$M484))</f>
        <v/>
      </c>
      <c r="W484" s="48">
        <f>IF(OR($M484="",$T484=""),"",$T484+(W$2*$M484))</f>
        <v/>
      </c>
      <c r="X484" s="49">
        <f>IF(OR($M484="",$T484=""),"",$T484+(X$2*$M484))</f>
        <v/>
      </c>
      <c r="Y484" s="47">
        <f>IF(OR($M484="",$T484=""),"",$T484+(Y$2*$M484))</f>
        <v/>
      </c>
      <c r="Z484" s="49">
        <f>IF(OR($M484="",$T484=""),"",$T484+(Z$2*$M484))</f>
        <v/>
      </c>
      <c r="AA484" s="51">
        <f>IF(OR($M484="",$T484=""),"",$T484+(AA$2*$M484))</f>
        <v/>
      </c>
      <c r="AB484" s="48">
        <f>IF(OR($M484="",$T484=""),"",$T484+(AB$2*$M484))</f>
        <v/>
      </c>
      <c r="AC484" s="48">
        <f>IF(OR($M484="",$T484=""),"",$T484+(AC$2*$M484))</f>
        <v/>
      </c>
      <c r="AD484" s="48">
        <f>IF(OR($M484="",$T484=""),"",$T484+(AD$2*$M484))</f>
        <v/>
      </c>
      <c r="AE484" s="49">
        <f>IF(OR($M484="",$T484=""),"",$T484+(AE$2*$M484))</f>
        <v/>
      </c>
      <c r="AF484" s="52">
        <f>IF(OR(T484="",I484&lt;T484),"",IFERROR(AVERAGE(T484+M484*{7,8,9,10,11})/IF(G484="",I484,G484)-1,""))</f>
        <v/>
      </c>
      <c r="AG484" s="55">
        <f>IF(OR(T484="",I484&lt;T484),"",IFERROR(AF484/-(R484/IF(G484="",I484,G484)-1),""))</f>
        <v/>
      </c>
      <c r="AH484" s="94" t="n"/>
      <c r="AI484" s="94" t="n"/>
      <c r="AJ484" s="94" t="n"/>
      <c r="AK484" s="94" t="n"/>
      <c r="AL484" s="84" t="n"/>
    </row>
    <row r="485">
      <c r="A485" s="64" t="n"/>
      <c r="B485" s="65" t="n"/>
      <c r="C485" s="66" t="n"/>
      <c r="D485" s="67" t="n"/>
      <c r="E485" s="68" t="n"/>
      <c r="F485" s="47">
        <f>IF(A485="","",IF(MIN(H485,MAX(J485:K485))=0,"",MIN(H485,MAX(J485:K485))))</f>
        <v/>
      </c>
      <c r="G485" s="74" t="n"/>
      <c r="H485" s="49">
        <f>IF(M485="","",IFERROR(ROUND(AVERAGE(T485+M485*{7,8,9,10,11})/1.21,4),""))</f>
        <v/>
      </c>
      <c r="I485" s="76" t="n"/>
      <c r="J485" s="77" t="n"/>
      <c r="K485" s="74" t="n"/>
      <c r="L485" s="78" t="n"/>
      <c r="M485" s="77" t="n"/>
      <c r="N485" s="53">
        <f>IF(M485="","",IFERROR(M485/I485,""))</f>
        <v/>
      </c>
      <c r="O485" s="50">
        <f>IF(A485="","",IFERROR((IF(G485="",I485,G485)-T485)/M485,""))</f>
        <v/>
      </c>
      <c r="P485" s="50">
        <f>IFERROR((I485/T485-1)/N485,"")</f>
        <v/>
      </c>
      <c r="Q485" s="46">
        <f>IF(OR(T485="",I485&lt;T485),"",IFERROR(R485/IF(G485="",I485,G485)-1,""))</f>
        <v/>
      </c>
      <c r="R485" s="48">
        <f>IF($M485="","",MAX(IF($G485="",$I485,$G485)*(1/1.1),IF($G485="",$I485,$G485)+(R$2*$M485)))</f>
        <v/>
      </c>
      <c r="S485" s="49">
        <f>IF($M485="","",MAX(IF($G485="",$I485,$G485)*(1/1.1),IF($G485="",$I485,$G485)+(S$2*$M485)))</f>
        <v/>
      </c>
      <c r="T485" s="82" t="n"/>
      <c r="U485" s="47">
        <f>IF(OR($M485="",$T485=""),"",$T485+(U$2*$M485))</f>
        <v/>
      </c>
      <c r="V485" s="48">
        <f>IF(OR($M485="",$T485=""),"",$T485+(V$2*$M485))</f>
        <v/>
      </c>
      <c r="W485" s="48">
        <f>IF(OR($M485="",$T485=""),"",$T485+(W$2*$M485))</f>
        <v/>
      </c>
      <c r="X485" s="49">
        <f>IF(OR($M485="",$T485=""),"",$T485+(X$2*$M485))</f>
        <v/>
      </c>
      <c r="Y485" s="47">
        <f>IF(OR($M485="",$T485=""),"",$T485+(Y$2*$M485))</f>
        <v/>
      </c>
      <c r="Z485" s="49">
        <f>IF(OR($M485="",$T485=""),"",$T485+(Z$2*$M485))</f>
        <v/>
      </c>
      <c r="AA485" s="51">
        <f>IF(OR($M485="",$T485=""),"",$T485+(AA$2*$M485))</f>
        <v/>
      </c>
      <c r="AB485" s="48">
        <f>IF(OR($M485="",$T485=""),"",$T485+(AB$2*$M485))</f>
        <v/>
      </c>
      <c r="AC485" s="48">
        <f>IF(OR($M485="",$T485=""),"",$T485+(AC$2*$M485))</f>
        <v/>
      </c>
      <c r="AD485" s="48">
        <f>IF(OR($M485="",$T485=""),"",$T485+(AD$2*$M485))</f>
        <v/>
      </c>
      <c r="AE485" s="49">
        <f>IF(OR($M485="",$T485=""),"",$T485+(AE$2*$M485))</f>
        <v/>
      </c>
      <c r="AF485" s="52">
        <f>IF(OR(T485="",I485&lt;T485),"",IFERROR(AVERAGE(T485+M485*{7,8,9,10,11})/IF(G485="",I485,G485)-1,""))</f>
        <v/>
      </c>
      <c r="AG485" s="55">
        <f>IF(OR(T485="",I485&lt;T485),"",IFERROR(AF485/-(R485/IF(G485="",I485,G485)-1),""))</f>
        <v/>
      </c>
      <c r="AH485" s="94" t="n"/>
      <c r="AI485" s="94" t="n"/>
      <c r="AJ485" s="94" t="n"/>
      <c r="AK485" s="94" t="n"/>
      <c r="AL485" s="84" t="n"/>
    </row>
    <row r="486">
      <c r="A486" s="64" t="n"/>
      <c r="B486" s="65" t="n"/>
      <c r="C486" s="66" t="n"/>
      <c r="D486" s="67" t="n"/>
      <c r="E486" s="68" t="n"/>
      <c r="F486" s="47">
        <f>IF(A486="","",IF(MIN(H486,MAX(J486:K486))=0,"",MIN(H486,MAX(J486:K486))))</f>
        <v/>
      </c>
      <c r="G486" s="74" t="n"/>
      <c r="H486" s="49">
        <f>IF(M486="","",IFERROR(ROUND(AVERAGE(T486+M486*{7,8,9,10,11})/1.21,4),""))</f>
        <v/>
      </c>
      <c r="I486" s="76" t="n"/>
      <c r="J486" s="77" t="n"/>
      <c r="K486" s="74" t="n"/>
      <c r="L486" s="78" t="n"/>
      <c r="M486" s="77" t="n"/>
      <c r="N486" s="53">
        <f>IF(M486="","",IFERROR(M486/I486,""))</f>
        <v/>
      </c>
      <c r="O486" s="50">
        <f>IF(A486="","",IFERROR((IF(G486="",I486,G486)-T486)/M486,""))</f>
        <v/>
      </c>
      <c r="P486" s="50">
        <f>IFERROR((I486/T486-1)/N486,"")</f>
        <v/>
      </c>
      <c r="Q486" s="46">
        <f>IF(OR(T486="",I486&lt;T486),"",IFERROR(R486/IF(G486="",I486,G486)-1,""))</f>
        <v/>
      </c>
      <c r="R486" s="48">
        <f>IF($M486="","",MAX(IF($G486="",$I486,$G486)*(1/1.1),IF($G486="",$I486,$G486)+(R$2*$M486)))</f>
        <v/>
      </c>
      <c r="S486" s="49">
        <f>IF($M486="","",MAX(IF($G486="",$I486,$G486)*(1/1.1),IF($G486="",$I486,$G486)+(S$2*$M486)))</f>
        <v/>
      </c>
      <c r="T486" s="82" t="n"/>
      <c r="U486" s="47">
        <f>IF(OR($M486="",$T486=""),"",$T486+(U$2*$M486))</f>
        <v/>
      </c>
      <c r="V486" s="48">
        <f>IF(OR($M486="",$T486=""),"",$T486+(V$2*$M486))</f>
        <v/>
      </c>
      <c r="W486" s="48">
        <f>IF(OR($M486="",$T486=""),"",$T486+(W$2*$M486))</f>
        <v/>
      </c>
      <c r="X486" s="49">
        <f>IF(OR($M486="",$T486=""),"",$T486+(X$2*$M486))</f>
        <v/>
      </c>
      <c r="Y486" s="47">
        <f>IF(OR($M486="",$T486=""),"",$T486+(Y$2*$M486))</f>
        <v/>
      </c>
      <c r="Z486" s="49">
        <f>IF(OR($M486="",$T486=""),"",$T486+(Z$2*$M486))</f>
        <v/>
      </c>
      <c r="AA486" s="51">
        <f>IF(OR($M486="",$T486=""),"",$T486+(AA$2*$M486))</f>
        <v/>
      </c>
      <c r="AB486" s="48">
        <f>IF(OR($M486="",$T486=""),"",$T486+(AB$2*$M486))</f>
        <v/>
      </c>
      <c r="AC486" s="48">
        <f>IF(OR($M486="",$T486=""),"",$T486+(AC$2*$M486))</f>
        <v/>
      </c>
      <c r="AD486" s="48">
        <f>IF(OR($M486="",$T486=""),"",$T486+(AD$2*$M486))</f>
        <v/>
      </c>
      <c r="AE486" s="49">
        <f>IF(OR($M486="",$T486=""),"",$T486+(AE$2*$M486))</f>
        <v/>
      </c>
      <c r="AF486" s="52">
        <f>IF(OR(T486="",I486&lt;T486),"",IFERROR(AVERAGE(T486+M486*{7,8,9,10,11})/IF(G486="",I486,G486)-1,""))</f>
        <v/>
      </c>
      <c r="AG486" s="55">
        <f>IF(OR(T486="",I486&lt;T486),"",IFERROR(AF486/-(R486/IF(G486="",I486,G486)-1),""))</f>
        <v/>
      </c>
      <c r="AH486" s="94" t="n"/>
      <c r="AI486" s="94" t="n"/>
      <c r="AJ486" s="94" t="n"/>
      <c r="AK486" s="94" t="n"/>
      <c r="AL486" s="84" t="n"/>
    </row>
    <row r="487">
      <c r="A487" s="64" t="n"/>
      <c r="B487" s="65" t="n"/>
      <c r="C487" s="66" t="n"/>
      <c r="D487" s="67" t="n"/>
      <c r="E487" s="68" t="n"/>
      <c r="F487" s="47">
        <f>IF(A487="","",IF(MIN(H487,MAX(J487:K487))=0,"",MIN(H487,MAX(J487:K487))))</f>
        <v/>
      </c>
      <c r="G487" s="74" t="n"/>
      <c r="H487" s="49">
        <f>IF(M487="","",IFERROR(ROUND(AVERAGE(T487+M487*{7,8,9,10,11})/1.21,4),""))</f>
        <v/>
      </c>
      <c r="I487" s="76" t="n"/>
      <c r="J487" s="77" t="n"/>
      <c r="K487" s="74" t="n"/>
      <c r="L487" s="78" t="n"/>
      <c r="M487" s="77" t="n"/>
      <c r="N487" s="53">
        <f>IF(M487="","",IFERROR(M487/I487,""))</f>
        <v/>
      </c>
      <c r="O487" s="50">
        <f>IF(A487="","",IFERROR((IF(G487="",I487,G487)-T487)/M487,""))</f>
        <v/>
      </c>
      <c r="P487" s="50">
        <f>IFERROR((I487/T487-1)/N487,"")</f>
        <v/>
      </c>
      <c r="Q487" s="46">
        <f>IF(OR(T487="",I487&lt;T487),"",IFERROR(R487/IF(G487="",I487,G487)-1,""))</f>
        <v/>
      </c>
      <c r="R487" s="48">
        <f>IF($M487="","",MAX(IF($G487="",$I487,$G487)*(1/1.1),IF($G487="",$I487,$G487)+(R$2*$M487)))</f>
        <v/>
      </c>
      <c r="S487" s="49">
        <f>IF($M487="","",MAX(IF($G487="",$I487,$G487)*(1/1.1),IF($G487="",$I487,$G487)+(S$2*$M487)))</f>
        <v/>
      </c>
      <c r="T487" s="82" t="n"/>
      <c r="U487" s="47">
        <f>IF(OR($M487="",$T487=""),"",$T487+(U$2*$M487))</f>
        <v/>
      </c>
      <c r="V487" s="48">
        <f>IF(OR($M487="",$T487=""),"",$T487+(V$2*$M487))</f>
        <v/>
      </c>
      <c r="W487" s="48">
        <f>IF(OR($M487="",$T487=""),"",$T487+(W$2*$M487))</f>
        <v/>
      </c>
      <c r="X487" s="49">
        <f>IF(OR($M487="",$T487=""),"",$T487+(X$2*$M487))</f>
        <v/>
      </c>
      <c r="Y487" s="47">
        <f>IF(OR($M487="",$T487=""),"",$T487+(Y$2*$M487))</f>
        <v/>
      </c>
      <c r="Z487" s="49">
        <f>IF(OR($M487="",$T487=""),"",$T487+(Z$2*$M487))</f>
        <v/>
      </c>
      <c r="AA487" s="51">
        <f>IF(OR($M487="",$T487=""),"",$T487+(AA$2*$M487))</f>
        <v/>
      </c>
      <c r="AB487" s="48">
        <f>IF(OR($M487="",$T487=""),"",$T487+(AB$2*$M487))</f>
        <v/>
      </c>
      <c r="AC487" s="48">
        <f>IF(OR($M487="",$T487=""),"",$T487+(AC$2*$M487))</f>
        <v/>
      </c>
      <c r="AD487" s="48">
        <f>IF(OR($M487="",$T487=""),"",$T487+(AD$2*$M487))</f>
        <v/>
      </c>
      <c r="AE487" s="49">
        <f>IF(OR($M487="",$T487=""),"",$T487+(AE$2*$M487))</f>
        <v/>
      </c>
      <c r="AF487" s="52">
        <f>IF(OR(T487="",I487&lt;T487),"",IFERROR(AVERAGE(T487+M487*{7,8,9,10,11})/IF(G487="",I487,G487)-1,""))</f>
        <v/>
      </c>
      <c r="AG487" s="55">
        <f>IF(OR(T487="",I487&lt;T487),"",IFERROR(AF487/-(R487/IF(G487="",I487,G487)-1),""))</f>
        <v/>
      </c>
      <c r="AH487" s="94" t="n"/>
      <c r="AI487" s="94" t="n"/>
      <c r="AJ487" s="94" t="n"/>
      <c r="AK487" s="94" t="n"/>
      <c r="AL487" s="84" t="n"/>
    </row>
    <row r="488">
      <c r="A488" s="64" t="n"/>
      <c r="B488" s="65" t="n"/>
      <c r="C488" s="66" t="n"/>
      <c r="D488" s="67" t="n"/>
      <c r="E488" s="68" t="n"/>
      <c r="F488" s="47">
        <f>IF(A488="","",IF(MIN(H488,MAX(J488:K488))=0,"",MIN(H488,MAX(J488:K488))))</f>
        <v/>
      </c>
      <c r="G488" s="74" t="n"/>
      <c r="H488" s="49">
        <f>IF(M488="","",IFERROR(ROUND(AVERAGE(T488+M488*{7,8,9,10,11})/1.21,4),""))</f>
        <v/>
      </c>
      <c r="I488" s="76" t="n"/>
      <c r="J488" s="77" t="n"/>
      <c r="K488" s="74" t="n"/>
      <c r="L488" s="78" t="n"/>
      <c r="M488" s="77" t="n"/>
      <c r="N488" s="53">
        <f>IF(M488="","",IFERROR(M488/I488,""))</f>
        <v/>
      </c>
      <c r="O488" s="50">
        <f>IF(A488="","",IFERROR((IF(G488="",I488,G488)-T488)/M488,""))</f>
        <v/>
      </c>
      <c r="P488" s="50">
        <f>IFERROR((I488/T488-1)/N488,"")</f>
        <v/>
      </c>
      <c r="Q488" s="46">
        <f>IF(OR(T488="",I488&lt;T488),"",IFERROR(R488/IF(G488="",I488,G488)-1,""))</f>
        <v/>
      </c>
      <c r="R488" s="48">
        <f>IF($M488="","",MAX(IF($G488="",$I488,$G488)*(1/1.1),IF($G488="",$I488,$G488)+(R$2*$M488)))</f>
        <v/>
      </c>
      <c r="S488" s="49">
        <f>IF($M488="","",MAX(IF($G488="",$I488,$G488)*(1/1.1),IF($G488="",$I488,$G488)+(S$2*$M488)))</f>
        <v/>
      </c>
      <c r="T488" s="82" t="n"/>
      <c r="U488" s="47">
        <f>IF(OR($M488="",$T488=""),"",$T488+(U$2*$M488))</f>
        <v/>
      </c>
      <c r="V488" s="48">
        <f>IF(OR($M488="",$T488=""),"",$T488+(V$2*$M488))</f>
        <v/>
      </c>
      <c r="W488" s="48">
        <f>IF(OR($M488="",$T488=""),"",$T488+(W$2*$M488))</f>
        <v/>
      </c>
      <c r="X488" s="49">
        <f>IF(OR($M488="",$T488=""),"",$T488+(X$2*$M488))</f>
        <v/>
      </c>
      <c r="Y488" s="47">
        <f>IF(OR($M488="",$T488=""),"",$T488+(Y$2*$M488))</f>
        <v/>
      </c>
      <c r="Z488" s="49">
        <f>IF(OR($M488="",$T488=""),"",$T488+(Z$2*$M488))</f>
        <v/>
      </c>
      <c r="AA488" s="51">
        <f>IF(OR($M488="",$T488=""),"",$T488+(AA$2*$M488))</f>
        <v/>
      </c>
      <c r="AB488" s="48">
        <f>IF(OR($M488="",$T488=""),"",$T488+(AB$2*$M488))</f>
        <v/>
      </c>
      <c r="AC488" s="48">
        <f>IF(OR($M488="",$T488=""),"",$T488+(AC$2*$M488))</f>
        <v/>
      </c>
      <c r="AD488" s="48">
        <f>IF(OR($M488="",$T488=""),"",$T488+(AD$2*$M488))</f>
        <v/>
      </c>
      <c r="AE488" s="49">
        <f>IF(OR($M488="",$T488=""),"",$T488+(AE$2*$M488))</f>
        <v/>
      </c>
      <c r="AF488" s="52">
        <f>IF(OR(T488="",I488&lt;T488),"",IFERROR(AVERAGE(T488+M488*{7,8,9,10,11})/IF(G488="",I488,G488)-1,""))</f>
        <v/>
      </c>
      <c r="AG488" s="55">
        <f>IF(OR(T488="",I488&lt;T488),"",IFERROR(AF488/-(R488/IF(G488="",I488,G488)-1),""))</f>
        <v/>
      </c>
      <c r="AH488" s="94" t="n"/>
      <c r="AI488" s="94" t="n"/>
      <c r="AJ488" s="94" t="n"/>
      <c r="AK488" s="94" t="n"/>
      <c r="AL488" s="84" t="n"/>
    </row>
    <row r="489">
      <c r="A489" s="64" t="n"/>
      <c r="B489" s="65" t="n"/>
      <c r="C489" s="66" t="n"/>
      <c r="D489" s="67" t="n"/>
      <c r="E489" s="68" t="n"/>
      <c r="F489" s="47">
        <f>IF(A489="","",IF(MIN(H489,MAX(J489:K489))=0,"",MIN(H489,MAX(J489:K489))))</f>
        <v/>
      </c>
      <c r="G489" s="74" t="n"/>
      <c r="H489" s="49">
        <f>IF(M489="","",IFERROR(ROUND(AVERAGE(T489+M489*{7,8,9,10,11})/1.21,4),""))</f>
        <v/>
      </c>
      <c r="I489" s="76" t="n"/>
      <c r="J489" s="77" t="n"/>
      <c r="K489" s="74" t="n"/>
      <c r="L489" s="78" t="n"/>
      <c r="M489" s="77" t="n"/>
      <c r="N489" s="53">
        <f>IF(M489="","",IFERROR(M489/I489,""))</f>
        <v/>
      </c>
      <c r="O489" s="50">
        <f>IF(A489="","",IFERROR((IF(G489="",I489,G489)-T489)/M489,""))</f>
        <v/>
      </c>
      <c r="P489" s="50">
        <f>IFERROR((I489/T489-1)/N489,"")</f>
        <v/>
      </c>
      <c r="Q489" s="46">
        <f>IF(OR(T489="",I489&lt;T489),"",IFERROR(R489/IF(G489="",I489,G489)-1,""))</f>
        <v/>
      </c>
      <c r="R489" s="48">
        <f>IF($M489="","",MAX(IF($G489="",$I489,$G489)*(1/1.1),IF($G489="",$I489,$G489)+(R$2*$M489)))</f>
        <v/>
      </c>
      <c r="S489" s="49">
        <f>IF($M489="","",MAX(IF($G489="",$I489,$G489)*(1/1.1),IF($G489="",$I489,$G489)+(S$2*$M489)))</f>
        <v/>
      </c>
      <c r="T489" s="82" t="n"/>
      <c r="U489" s="47">
        <f>IF(OR($M489="",$T489=""),"",$T489+(U$2*$M489))</f>
        <v/>
      </c>
      <c r="V489" s="48">
        <f>IF(OR($M489="",$T489=""),"",$T489+(V$2*$M489))</f>
        <v/>
      </c>
      <c r="W489" s="48">
        <f>IF(OR($M489="",$T489=""),"",$T489+(W$2*$M489))</f>
        <v/>
      </c>
      <c r="X489" s="49">
        <f>IF(OR($M489="",$T489=""),"",$T489+(X$2*$M489))</f>
        <v/>
      </c>
      <c r="Y489" s="47">
        <f>IF(OR($M489="",$T489=""),"",$T489+(Y$2*$M489))</f>
        <v/>
      </c>
      <c r="Z489" s="49">
        <f>IF(OR($M489="",$T489=""),"",$T489+(Z$2*$M489))</f>
        <v/>
      </c>
      <c r="AA489" s="51">
        <f>IF(OR($M489="",$T489=""),"",$T489+(AA$2*$M489))</f>
        <v/>
      </c>
      <c r="AB489" s="48">
        <f>IF(OR($M489="",$T489=""),"",$T489+(AB$2*$M489))</f>
        <v/>
      </c>
      <c r="AC489" s="48">
        <f>IF(OR($M489="",$T489=""),"",$T489+(AC$2*$M489))</f>
        <v/>
      </c>
      <c r="AD489" s="48">
        <f>IF(OR($M489="",$T489=""),"",$T489+(AD$2*$M489))</f>
        <v/>
      </c>
      <c r="AE489" s="49">
        <f>IF(OR($M489="",$T489=""),"",$T489+(AE$2*$M489))</f>
        <v/>
      </c>
      <c r="AF489" s="52">
        <f>IF(OR(T489="",I489&lt;T489),"",IFERROR(AVERAGE(T489+M489*{7,8,9,10,11})/IF(G489="",I489,G489)-1,""))</f>
        <v/>
      </c>
      <c r="AG489" s="55">
        <f>IF(OR(T489="",I489&lt;T489),"",IFERROR(AF489/-(R489/IF(G489="",I489,G489)-1),""))</f>
        <v/>
      </c>
      <c r="AH489" s="94" t="n"/>
      <c r="AI489" s="94" t="n"/>
      <c r="AJ489" s="94" t="n"/>
      <c r="AK489" s="94" t="n"/>
      <c r="AL489" s="84" t="n"/>
    </row>
    <row r="490">
      <c r="A490" s="64" t="n"/>
      <c r="B490" s="65" t="n"/>
      <c r="C490" s="66" t="n"/>
      <c r="D490" s="67" t="n"/>
      <c r="E490" s="68" t="n"/>
      <c r="F490" s="47">
        <f>IF(A490="","",IF(MIN(H490,MAX(J490:K490))=0,"",MIN(H490,MAX(J490:K490))))</f>
        <v/>
      </c>
      <c r="G490" s="74" t="n"/>
      <c r="H490" s="49">
        <f>IF(M490="","",IFERROR(ROUND(AVERAGE(T490+M490*{7,8,9,10,11})/1.21,4),""))</f>
        <v/>
      </c>
      <c r="I490" s="76" t="n"/>
      <c r="J490" s="77" t="n"/>
      <c r="K490" s="74" t="n"/>
      <c r="L490" s="78" t="n"/>
      <c r="M490" s="77" t="n"/>
      <c r="N490" s="53">
        <f>IF(M490="","",IFERROR(M490/I490,""))</f>
        <v/>
      </c>
      <c r="O490" s="50">
        <f>IF(A490="","",IFERROR((IF(G490="",I490,G490)-T490)/M490,""))</f>
        <v/>
      </c>
      <c r="P490" s="50">
        <f>IFERROR((I490/T490-1)/N490,"")</f>
        <v/>
      </c>
      <c r="Q490" s="46">
        <f>IF(OR(T490="",I490&lt;T490),"",IFERROR(R490/IF(G490="",I490,G490)-1,""))</f>
        <v/>
      </c>
      <c r="R490" s="48">
        <f>IF($M490="","",MAX(IF($G490="",$I490,$G490)*(1/1.1),IF($G490="",$I490,$G490)+(R$2*$M490)))</f>
        <v/>
      </c>
      <c r="S490" s="49">
        <f>IF($M490="","",MAX(IF($G490="",$I490,$G490)*(1/1.1),IF($G490="",$I490,$G490)+(S$2*$M490)))</f>
        <v/>
      </c>
      <c r="T490" s="82" t="n"/>
      <c r="U490" s="47">
        <f>IF(OR($M490="",$T490=""),"",$T490+(U$2*$M490))</f>
        <v/>
      </c>
      <c r="V490" s="48">
        <f>IF(OR($M490="",$T490=""),"",$T490+(V$2*$M490))</f>
        <v/>
      </c>
      <c r="W490" s="48">
        <f>IF(OR($M490="",$T490=""),"",$T490+(W$2*$M490))</f>
        <v/>
      </c>
      <c r="X490" s="49">
        <f>IF(OR($M490="",$T490=""),"",$T490+(X$2*$M490))</f>
        <v/>
      </c>
      <c r="Y490" s="47">
        <f>IF(OR($M490="",$T490=""),"",$T490+(Y$2*$M490))</f>
        <v/>
      </c>
      <c r="Z490" s="49">
        <f>IF(OR($M490="",$T490=""),"",$T490+(Z$2*$M490))</f>
        <v/>
      </c>
      <c r="AA490" s="51">
        <f>IF(OR($M490="",$T490=""),"",$T490+(AA$2*$M490))</f>
        <v/>
      </c>
      <c r="AB490" s="48">
        <f>IF(OR($M490="",$T490=""),"",$T490+(AB$2*$M490))</f>
        <v/>
      </c>
      <c r="AC490" s="48">
        <f>IF(OR($M490="",$T490=""),"",$T490+(AC$2*$M490))</f>
        <v/>
      </c>
      <c r="AD490" s="48">
        <f>IF(OR($M490="",$T490=""),"",$T490+(AD$2*$M490))</f>
        <v/>
      </c>
      <c r="AE490" s="49">
        <f>IF(OR($M490="",$T490=""),"",$T490+(AE$2*$M490))</f>
        <v/>
      </c>
      <c r="AF490" s="52">
        <f>IF(OR(T490="",I490&lt;T490),"",IFERROR(AVERAGE(T490+M490*{7,8,9,10,11})/IF(G490="",I490,G490)-1,""))</f>
        <v/>
      </c>
      <c r="AG490" s="55">
        <f>IF(OR(T490="",I490&lt;T490),"",IFERROR(AF490/-(R490/IF(G490="",I490,G490)-1),""))</f>
        <v/>
      </c>
      <c r="AH490" s="94" t="n"/>
      <c r="AI490" s="94" t="n"/>
      <c r="AJ490" s="94" t="n"/>
      <c r="AK490" s="94" t="n"/>
      <c r="AL490" s="84" t="n"/>
    </row>
    <row r="491">
      <c r="A491" s="64" t="n"/>
      <c r="B491" s="65" t="n"/>
      <c r="C491" s="66" t="n"/>
      <c r="D491" s="67" t="n"/>
      <c r="E491" s="68" t="n"/>
      <c r="F491" s="47">
        <f>IF(A491="","",IF(MIN(H491,MAX(J491:K491))=0,"",MIN(H491,MAX(J491:K491))))</f>
        <v/>
      </c>
      <c r="G491" s="74" t="n"/>
      <c r="H491" s="49">
        <f>IF(M491="","",IFERROR(ROUND(AVERAGE(T491+M491*{7,8,9,10,11})/1.21,4),""))</f>
        <v/>
      </c>
      <c r="I491" s="76" t="n"/>
      <c r="J491" s="77" t="n"/>
      <c r="K491" s="74" t="n"/>
      <c r="L491" s="78" t="n"/>
      <c r="M491" s="77" t="n"/>
      <c r="N491" s="53">
        <f>IF(M491="","",IFERROR(M491/I491,""))</f>
        <v/>
      </c>
      <c r="O491" s="50">
        <f>IF(A491="","",IFERROR((IF(G491="",I491,G491)-T491)/M491,""))</f>
        <v/>
      </c>
      <c r="P491" s="50">
        <f>IFERROR((I491/T491-1)/N491,"")</f>
        <v/>
      </c>
      <c r="Q491" s="46">
        <f>IF(OR(T491="",I491&lt;T491),"",IFERROR(R491/IF(G491="",I491,G491)-1,""))</f>
        <v/>
      </c>
      <c r="R491" s="48">
        <f>IF($M491="","",MAX(IF($G491="",$I491,$G491)*(1/1.1),IF($G491="",$I491,$G491)+(R$2*$M491)))</f>
        <v/>
      </c>
      <c r="S491" s="49">
        <f>IF($M491="","",MAX(IF($G491="",$I491,$G491)*(1/1.1),IF($G491="",$I491,$G491)+(S$2*$M491)))</f>
        <v/>
      </c>
      <c r="T491" s="82" t="n"/>
      <c r="U491" s="47">
        <f>IF(OR($M491="",$T491=""),"",$T491+(U$2*$M491))</f>
        <v/>
      </c>
      <c r="V491" s="48">
        <f>IF(OR($M491="",$T491=""),"",$T491+(V$2*$M491))</f>
        <v/>
      </c>
      <c r="W491" s="48">
        <f>IF(OR($M491="",$T491=""),"",$T491+(W$2*$M491))</f>
        <v/>
      </c>
      <c r="X491" s="49">
        <f>IF(OR($M491="",$T491=""),"",$T491+(X$2*$M491))</f>
        <v/>
      </c>
      <c r="Y491" s="47">
        <f>IF(OR($M491="",$T491=""),"",$T491+(Y$2*$M491))</f>
        <v/>
      </c>
      <c r="Z491" s="49">
        <f>IF(OR($M491="",$T491=""),"",$T491+(Z$2*$M491))</f>
        <v/>
      </c>
      <c r="AA491" s="51">
        <f>IF(OR($M491="",$T491=""),"",$T491+(AA$2*$M491))</f>
        <v/>
      </c>
      <c r="AB491" s="48">
        <f>IF(OR($M491="",$T491=""),"",$T491+(AB$2*$M491))</f>
        <v/>
      </c>
      <c r="AC491" s="48">
        <f>IF(OR($M491="",$T491=""),"",$T491+(AC$2*$M491))</f>
        <v/>
      </c>
      <c r="AD491" s="48">
        <f>IF(OR($M491="",$T491=""),"",$T491+(AD$2*$M491))</f>
        <v/>
      </c>
      <c r="AE491" s="49">
        <f>IF(OR($M491="",$T491=""),"",$T491+(AE$2*$M491))</f>
        <v/>
      </c>
      <c r="AF491" s="52">
        <f>IF(OR(T491="",I491&lt;T491),"",IFERROR(AVERAGE(T491+M491*{7,8,9,10,11})/IF(G491="",I491,G491)-1,""))</f>
        <v/>
      </c>
      <c r="AG491" s="55">
        <f>IF(OR(T491="",I491&lt;T491),"",IFERROR(AF491/-(R491/IF(G491="",I491,G491)-1),""))</f>
        <v/>
      </c>
      <c r="AH491" s="94" t="n"/>
      <c r="AI491" s="94" t="n"/>
      <c r="AJ491" s="94" t="n"/>
      <c r="AK491" s="94" t="n"/>
      <c r="AL491" s="84" t="n"/>
    </row>
    <row r="492">
      <c r="A492" s="64" t="n"/>
      <c r="B492" s="65" t="n"/>
      <c r="C492" s="66" t="n"/>
      <c r="D492" s="67" t="n"/>
      <c r="E492" s="68" t="n"/>
      <c r="F492" s="47">
        <f>IF(A492="","",IF(MIN(H492,MAX(J492:K492))=0,"",MIN(H492,MAX(J492:K492))))</f>
        <v/>
      </c>
      <c r="G492" s="74" t="n"/>
      <c r="H492" s="49">
        <f>IF(M492="","",IFERROR(ROUND(AVERAGE(T492+M492*{7,8,9,10,11})/1.21,4),""))</f>
        <v/>
      </c>
      <c r="I492" s="76" t="n"/>
      <c r="J492" s="77" t="n"/>
      <c r="K492" s="74" t="n"/>
      <c r="L492" s="78" t="n"/>
      <c r="M492" s="77" t="n"/>
      <c r="N492" s="53">
        <f>IF(M492="","",IFERROR(M492/I492,""))</f>
        <v/>
      </c>
      <c r="O492" s="50">
        <f>IF(A492="","",IFERROR((IF(G492="",I492,G492)-T492)/M492,""))</f>
        <v/>
      </c>
      <c r="P492" s="50">
        <f>IFERROR((I492/T492-1)/N492,"")</f>
        <v/>
      </c>
      <c r="Q492" s="46">
        <f>IF(OR(T492="",I492&lt;T492),"",IFERROR(R492/IF(G492="",I492,G492)-1,""))</f>
        <v/>
      </c>
      <c r="R492" s="48">
        <f>IF($M492="","",MAX(IF($G492="",$I492,$G492)*(1/1.1),IF($G492="",$I492,$G492)+(R$2*$M492)))</f>
        <v/>
      </c>
      <c r="S492" s="49">
        <f>IF($M492="","",MAX(IF($G492="",$I492,$G492)*(1/1.1),IF($G492="",$I492,$G492)+(S$2*$M492)))</f>
        <v/>
      </c>
      <c r="T492" s="82" t="n"/>
      <c r="U492" s="47">
        <f>IF(OR($M492="",$T492=""),"",$T492+(U$2*$M492))</f>
        <v/>
      </c>
      <c r="V492" s="48">
        <f>IF(OR($M492="",$T492=""),"",$T492+(V$2*$M492))</f>
        <v/>
      </c>
      <c r="W492" s="48">
        <f>IF(OR($M492="",$T492=""),"",$T492+(W$2*$M492))</f>
        <v/>
      </c>
      <c r="X492" s="49">
        <f>IF(OR($M492="",$T492=""),"",$T492+(X$2*$M492))</f>
        <v/>
      </c>
      <c r="Y492" s="47">
        <f>IF(OR($M492="",$T492=""),"",$T492+(Y$2*$M492))</f>
        <v/>
      </c>
      <c r="Z492" s="49">
        <f>IF(OR($M492="",$T492=""),"",$T492+(Z$2*$M492))</f>
        <v/>
      </c>
      <c r="AA492" s="51">
        <f>IF(OR($M492="",$T492=""),"",$T492+(AA$2*$M492))</f>
        <v/>
      </c>
      <c r="AB492" s="48">
        <f>IF(OR($M492="",$T492=""),"",$T492+(AB$2*$M492))</f>
        <v/>
      </c>
      <c r="AC492" s="48">
        <f>IF(OR($M492="",$T492=""),"",$T492+(AC$2*$M492))</f>
        <v/>
      </c>
      <c r="AD492" s="48">
        <f>IF(OR($M492="",$T492=""),"",$T492+(AD$2*$M492))</f>
        <v/>
      </c>
      <c r="AE492" s="49">
        <f>IF(OR($M492="",$T492=""),"",$T492+(AE$2*$M492))</f>
        <v/>
      </c>
      <c r="AF492" s="52">
        <f>IF(OR(T492="",I492&lt;T492),"",IFERROR(AVERAGE(T492+M492*{7,8,9,10,11})/IF(G492="",I492,G492)-1,""))</f>
        <v/>
      </c>
      <c r="AG492" s="55">
        <f>IF(OR(T492="",I492&lt;T492),"",IFERROR(AF492/-(R492/IF(G492="",I492,G492)-1),""))</f>
        <v/>
      </c>
      <c r="AH492" s="94" t="n"/>
      <c r="AI492" s="94" t="n"/>
      <c r="AJ492" s="94" t="n"/>
      <c r="AK492" s="94" t="n"/>
      <c r="AL492" s="84" t="n"/>
    </row>
    <row r="493">
      <c r="A493" s="64" t="n"/>
      <c r="B493" s="65" t="n"/>
      <c r="C493" s="66" t="n"/>
      <c r="D493" s="67" t="n"/>
      <c r="E493" s="68" t="n"/>
      <c r="F493" s="47">
        <f>IF(A493="","",IF(MIN(H493,MAX(J493:K493))=0,"",MIN(H493,MAX(J493:K493))))</f>
        <v/>
      </c>
      <c r="G493" s="74" t="n"/>
      <c r="H493" s="49">
        <f>IF(M493="","",IFERROR(ROUND(AVERAGE(T493+M493*{7,8,9,10,11})/1.21,4),""))</f>
        <v/>
      </c>
      <c r="I493" s="76" t="n"/>
      <c r="J493" s="77" t="n"/>
      <c r="K493" s="74" t="n"/>
      <c r="L493" s="78" t="n"/>
      <c r="M493" s="77" t="n"/>
      <c r="N493" s="53">
        <f>IF(M493="","",IFERROR(M493/I493,""))</f>
        <v/>
      </c>
      <c r="O493" s="50">
        <f>IF(A493="","",IFERROR((IF(G493="",I493,G493)-T493)/M493,""))</f>
        <v/>
      </c>
      <c r="P493" s="50">
        <f>IFERROR((I493/T493-1)/N493,"")</f>
        <v/>
      </c>
      <c r="Q493" s="46">
        <f>IF(OR(T493="",I493&lt;T493),"",IFERROR(R493/IF(G493="",I493,G493)-1,""))</f>
        <v/>
      </c>
      <c r="R493" s="48">
        <f>IF($M493="","",MAX(IF($G493="",$I493,$G493)*(1/1.1),IF($G493="",$I493,$G493)+(R$2*$M493)))</f>
        <v/>
      </c>
      <c r="S493" s="49">
        <f>IF($M493="","",MAX(IF($G493="",$I493,$G493)*(1/1.1),IF($G493="",$I493,$G493)+(S$2*$M493)))</f>
        <v/>
      </c>
      <c r="T493" s="82" t="n"/>
      <c r="U493" s="47">
        <f>IF(OR($M493="",$T493=""),"",$T493+(U$2*$M493))</f>
        <v/>
      </c>
      <c r="V493" s="48">
        <f>IF(OR($M493="",$T493=""),"",$T493+(V$2*$M493))</f>
        <v/>
      </c>
      <c r="W493" s="48">
        <f>IF(OR($M493="",$T493=""),"",$T493+(W$2*$M493))</f>
        <v/>
      </c>
      <c r="X493" s="49">
        <f>IF(OR($M493="",$T493=""),"",$T493+(X$2*$M493))</f>
        <v/>
      </c>
      <c r="Y493" s="47">
        <f>IF(OR($M493="",$T493=""),"",$T493+(Y$2*$M493))</f>
        <v/>
      </c>
      <c r="Z493" s="49">
        <f>IF(OR($M493="",$T493=""),"",$T493+(Z$2*$M493))</f>
        <v/>
      </c>
      <c r="AA493" s="51">
        <f>IF(OR($M493="",$T493=""),"",$T493+(AA$2*$M493))</f>
        <v/>
      </c>
      <c r="AB493" s="48">
        <f>IF(OR($M493="",$T493=""),"",$T493+(AB$2*$M493))</f>
        <v/>
      </c>
      <c r="AC493" s="48">
        <f>IF(OR($M493="",$T493=""),"",$T493+(AC$2*$M493))</f>
        <v/>
      </c>
      <c r="AD493" s="48">
        <f>IF(OR($M493="",$T493=""),"",$T493+(AD$2*$M493))</f>
        <v/>
      </c>
      <c r="AE493" s="49">
        <f>IF(OR($M493="",$T493=""),"",$T493+(AE$2*$M493))</f>
        <v/>
      </c>
      <c r="AF493" s="52">
        <f>IF(OR(T493="",I493&lt;T493),"",IFERROR(AVERAGE(T493+M493*{7,8,9,10,11})/IF(G493="",I493,G493)-1,""))</f>
        <v/>
      </c>
      <c r="AG493" s="55">
        <f>IF(OR(T493="",I493&lt;T493),"",IFERROR(AF493/-(R493/IF(G493="",I493,G493)-1),""))</f>
        <v/>
      </c>
      <c r="AH493" s="94" t="n"/>
      <c r="AI493" s="94" t="n"/>
      <c r="AJ493" s="94" t="n"/>
      <c r="AK493" s="94" t="n"/>
      <c r="AL493" s="84" t="n"/>
    </row>
    <row r="494">
      <c r="A494" s="64" t="n"/>
      <c r="B494" s="65" t="n"/>
      <c r="C494" s="66" t="n"/>
      <c r="D494" s="67" t="n"/>
      <c r="E494" s="68" t="n"/>
      <c r="F494" s="47">
        <f>IF(A494="","",IF(MIN(H494,MAX(J494:K494))=0,"",MIN(H494,MAX(J494:K494))))</f>
        <v/>
      </c>
      <c r="G494" s="74" t="n"/>
      <c r="H494" s="49">
        <f>IF(M494="","",IFERROR(ROUND(AVERAGE(T494+M494*{7,8,9,10,11})/1.21,4),""))</f>
        <v/>
      </c>
      <c r="I494" s="76" t="n"/>
      <c r="J494" s="77" t="n"/>
      <c r="K494" s="74" t="n"/>
      <c r="L494" s="78" t="n"/>
      <c r="M494" s="77" t="n"/>
      <c r="N494" s="53">
        <f>IF(M494="","",IFERROR(M494/I494,""))</f>
        <v/>
      </c>
      <c r="O494" s="50">
        <f>IF(A494="","",IFERROR((IF(G494="",I494,G494)-T494)/M494,""))</f>
        <v/>
      </c>
      <c r="P494" s="50">
        <f>IFERROR((I494/T494-1)/N494,"")</f>
        <v/>
      </c>
      <c r="Q494" s="46">
        <f>IF(OR(T494="",I494&lt;T494),"",IFERROR(R494/IF(G494="",I494,G494)-1,""))</f>
        <v/>
      </c>
      <c r="R494" s="48">
        <f>IF($M494="","",MAX(IF($G494="",$I494,$G494)*(1/1.1),IF($G494="",$I494,$G494)+(R$2*$M494)))</f>
        <v/>
      </c>
      <c r="S494" s="49">
        <f>IF($M494="","",MAX(IF($G494="",$I494,$G494)*(1/1.1),IF($G494="",$I494,$G494)+(S$2*$M494)))</f>
        <v/>
      </c>
      <c r="T494" s="82" t="n"/>
      <c r="U494" s="47">
        <f>IF(OR($M494="",$T494=""),"",$T494+(U$2*$M494))</f>
        <v/>
      </c>
      <c r="V494" s="48">
        <f>IF(OR($M494="",$T494=""),"",$T494+(V$2*$M494))</f>
        <v/>
      </c>
      <c r="W494" s="48">
        <f>IF(OR($M494="",$T494=""),"",$T494+(W$2*$M494))</f>
        <v/>
      </c>
      <c r="X494" s="49">
        <f>IF(OR($M494="",$T494=""),"",$T494+(X$2*$M494))</f>
        <v/>
      </c>
      <c r="Y494" s="47">
        <f>IF(OR($M494="",$T494=""),"",$T494+(Y$2*$M494))</f>
        <v/>
      </c>
      <c r="Z494" s="49">
        <f>IF(OR($M494="",$T494=""),"",$T494+(Z$2*$M494))</f>
        <v/>
      </c>
      <c r="AA494" s="51">
        <f>IF(OR($M494="",$T494=""),"",$T494+(AA$2*$M494))</f>
        <v/>
      </c>
      <c r="AB494" s="48">
        <f>IF(OR($M494="",$T494=""),"",$T494+(AB$2*$M494))</f>
        <v/>
      </c>
      <c r="AC494" s="48">
        <f>IF(OR($M494="",$T494=""),"",$T494+(AC$2*$M494))</f>
        <v/>
      </c>
      <c r="AD494" s="48">
        <f>IF(OR($M494="",$T494=""),"",$T494+(AD$2*$M494))</f>
        <v/>
      </c>
      <c r="AE494" s="49">
        <f>IF(OR($M494="",$T494=""),"",$T494+(AE$2*$M494))</f>
        <v/>
      </c>
      <c r="AF494" s="52">
        <f>IF(OR(T494="",I494&lt;T494),"",IFERROR(AVERAGE(T494+M494*{7,8,9,10,11})/IF(G494="",I494,G494)-1,""))</f>
        <v/>
      </c>
      <c r="AG494" s="55">
        <f>IF(OR(T494="",I494&lt;T494),"",IFERROR(AF494/-(R494/IF(G494="",I494,G494)-1),""))</f>
        <v/>
      </c>
      <c r="AH494" s="94" t="n"/>
      <c r="AI494" s="94" t="n"/>
      <c r="AJ494" s="94" t="n"/>
      <c r="AK494" s="94" t="n"/>
      <c r="AL494" s="84" t="n"/>
    </row>
    <row r="495">
      <c r="A495" s="64" t="n"/>
      <c r="B495" s="65" t="n"/>
      <c r="C495" s="66" t="n"/>
      <c r="D495" s="67" t="n"/>
      <c r="E495" s="68" t="n"/>
      <c r="F495" s="47">
        <f>IF(A495="","",IF(MIN(H495,MAX(J495:K495))=0,"",MIN(H495,MAX(J495:K495))))</f>
        <v/>
      </c>
      <c r="G495" s="74" t="n"/>
      <c r="H495" s="49">
        <f>IF(M495="","",IFERROR(ROUND(AVERAGE(T495+M495*{7,8,9,10,11})/1.21,4),""))</f>
        <v/>
      </c>
      <c r="I495" s="76" t="n"/>
      <c r="J495" s="77" t="n"/>
      <c r="K495" s="74" t="n"/>
      <c r="L495" s="78" t="n"/>
      <c r="M495" s="77" t="n"/>
      <c r="N495" s="53">
        <f>IF(M495="","",IFERROR(M495/I495,""))</f>
        <v/>
      </c>
      <c r="O495" s="50">
        <f>IF(A495="","",IFERROR((IF(G495="",I495,G495)-T495)/M495,""))</f>
        <v/>
      </c>
      <c r="P495" s="50">
        <f>IFERROR((I495/T495-1)/N495,"")</f>
        <v/>
      </c>
      <c r="Q495" s="46">
        <f>IF(OR(T495="",I495&lt;T495),"",IFERROR(R495/IF(G495="",I495,G495)-1,""))</f>
        <v/>
      </c>
      <c r="R495" s="48">
        <f>IF($M495="","",MAX(IF($G495="",$I495,$G495)*(1/1.1),IF($G495="",$I495,$G495)+(R$2*$M495)))</f>
        <v/>
      </c>
      <c r="S495" s="49">
        <f>IF($M495="","",MAX(IF($G495="",$I495,$G495)*(1/1.1),IF($G495="",$I495,$G495)+(S$2*$M495)))</f>
        <v/>
      </c>
      <c r="T495" s="82" t="n"/>
      <c r="U495" s="47">
        <f>IF(OR($M495="",$T495=""),"",$T495+(U$2*$M495))</f>
        <v/>
      </c>
      <c r="V495" s="48">
        <f>IF(OR($M495="",$T495=""),"",$T495+(V$2*$M495))</f>
        <v/>
      </c>
      <c r="W495" s="48">
        <f>IF(OR($M495="",$T495=""),"",$T495+(W$2*$M495))</f>
        <v/>
      </c>
      <c r="X495" s="49">
        <f>IF(OR($M495="",$T495=""),"",$T495+(X$2*$M495))</f>
        <v/>
      </c>
      <c r="Y495" s="47">
        <f>IF(OR($M495="",$T495=""),"",$T495+(Y$2*$M495))</f>
        <v/>
      </c>
      <c r="Z495" s="49">
        <f>IF(OR($M495="",$T495=""),"",$T495+(Z$2*$M495))</f>
        <v/>
      </c>
      <c r="AA495" s="51">
        <f>IF(OR($M495="",$T495=""),"",$T495+(AA$2*$M495))</f>
        <v/>
      </c>
      <c r="AB495" s="48">
        <f>IF(OR($M495="",$T495=""),"",$T495+(AB$2*$M495))</f>
        <v/>
      </c>
      <c r="AC495" s="48">
        <f>IF(OR($M495="",$T495=""),"",$T495+(AC$2*$M495))</f>
        <v/>
      </c>
      <c r="AD495" s="48">
        <f>IF(OR($M495="",$T495=""),"",$T495+(AD$2*$M495))</f>
        <v/>
      </c>
      <c r="AE495" s="49">
        <f>IF(OR($M495="",$T495=""),"",$T495+(AE$2*$M495))</f>
        <v/>
      </c>
      <c r="AF495" s="52">
        <f>IF(OR(T495="",I495&lt;T495),"",IFERROR(AVERAGE(T495+M495*{7,8,9,10,11})/IF(G495="",I495,G495)-1,""))</f>
        <v/>
      </c>
      <c r="AG495" s="55">
        <f>IF(OR(T495="",I495&lt;T495),"",IFERROR(AF495/-(R495/IF(G495="",I495,G495)-1),""))</f>
        <v/>
      </c>
      <c r="AH495" s="94" t="n"/>
      <c r="AI495" s="94" t="n"/>
      <c r="AJ495" s="94" t="n"/>
      <c r="AK495" s="94" t="n"/>
      <c r="AL495" s="84" t="n"/>
    </row>
    <row r="496">
      <c r="A496" s="64" t="n"/>
      <c r="B496" s="65" t="n"/>
      <c r="C496" s="66" t="n"/>
      <c r="D496" s="67" t="n"/>
      <c r="E496" s="68" t="n"/>
      <c r="F496" s="47">
        <f>IF(A496="","",IF(MIN(H496,MAX(J496:K496))=0,"",MIN(H496,MAX(J496:K496))))</f>
        <v/>
      </c>
      <c r="G496" s="74" t="n"/>
      <c r="H496" s="49">
        <f>IF(M496="","",IFERROR(ROUND(AVERAGE(T496+M496*{7,8,9,10,11})/1.21,4),""))</f>
        <v/>
      </c>
      <c r="I496" s="76" t="n"/>
      <c r="J496" s="77" t="n"/>
      <c r="K496" s="74" t="n"/>
      <c r="L496" s="78" t="n"/>
      <c r="M496" s="77" t="n"/>
      <c r="N496" s="53">
        <f>IF(M496="","",IFERROR(M496/I496,""))</f>
        <v/>
      </c>
      <c r="O496" s="50">
        <f>IF(A496="","",IFERROR((IF(G496="",I496,G496)-T496)/M496,""))</f>
        <v/>
      </c>
      <c r="P496" s="50">
        <f>IFERROR((I496/T496-1)/N496,"")</f>
        <v/>
      </c>
      <c r="Q496" s="46">
        <f>IF(OR(T496="",I496&lt;T496),"",IFERROR(R496/IF(G496="",I496,G496)-1,""))</f>
        <v/>
      </c>
      <c r="R496" s="48">
        <f>IF($M496="","",MAX(IF($G496="",$I496,$G496)*(1/1.1),IF($G496="",$I496,$G496)+(R$2*$M496)))</f>
        <v/>
      </c>
      <c r="S496" s="49">
        <f>IF($M496="","",MAX(IF($G496="",$I496,$G496)*(1/1.1),IF($G496="",$I496,$G496)+(S$2*$M496)))</f>
        <v/>
      </c>
      <c r="T496" s="82" t="n"/>
      <c r="U496" s="47">
        <f>IF(OR($M496="",$T496=""),"",$T496+(U$2*$M496))</f>
        <v/>
      </c>
      <c r="V496" s="48">
        <f>IF(OR($M496="",$T496=""),"",$T496+(V$2*$M496))</f>
        <v/>
      </c>
      <c r="W496" s="48">
        <f>IF(OR($M496="",$T496=""),"",$T496+(W$2*$M496))</f>
        <v/>
      </c>
      <c r="X496" s="49">
        <f>IF(OR($M496="",$T496=""),"",$T496+(X$2*$M496))</f>
        <v/>
      </c>
      <c r="Y496" s="47">
        <f>IF(OR($M496="",$T496=""),"",$T496+(Y$2*$M496))</f>
        <v/>
      </c>
      <c r="Z496" s="49">
        <f>IF(OR($M496="",$T496=""),"",$T496+(Z$2*$M496))</f>
        <v/>
      </c>
      <c r="AA496" s="51">
        <f>IF(OR($M496="",$T496=""),"",$T496+(AA$2*$M496))</f>
        <v/>
      </c>
      <c r="AB496" s="48">
        <f>IF(OR($M496="",$T496=""),"",$T496+(AB$2*$M496))</f>
        <v/>
      </c>
      <c r="AC496" s="48">
        <f>IF(OR($M496="",$T496=""),"",$T496+(AC$2*$M496))</f>
        <v/>
      </c>
      <c r="AD496" s="48">
        <f>IF(OR($M496="",$T496=""),"",$T496+(AD$2*$M496))</f>
        <v/>
      </c>
      <c r="AE496" s="49">
        <f>IF(OR($M496="",$T496=""),"",$T496+(AE$2*$M496))</f>
        <v/>
      </c>
      <c r="AF496" s="52">
        <f>IF(OR(T496="",I496&lt;T496),"",IFERROR(AVERAGE(T496+M496*{7,8,9,10,11})/IF(G496="",I496,G496)-1,""))</f>
        <v/>
      </c>
      <c r="AG496" s="55">
        <f>IF(OR(T496="",I496&lt;T496),"",IFERROR(AF496/-(R496/IF(G496="",I496,G496)-1),""))</f>
        <v/>
      </c>
      <c r="AH496" s="94" t="n"/>
      <c r="AI496" s="94" t="n"/>
      <c r="AJ496" s="94" t="n"/>
      <c r="AK496" s="94" t="n"/>
      <c r="AL496" s="84" t="n"/>
    </row>
    <row r="497">
      <c r="A497" s="64" t="n"/>
      <c r="B497" s="65" t="n"/>
      <c r="C497" s="66" t="n"/>
      <c r="D497" s="67" t="n"/>
      <c r="E497" s="68" t="n"/>
      <c r="F497" s="47">
        <f>IF(A497="","",IF(MIN(H497,MAX(J497:K497))=0,"",MIN(H497,MAX(J497:K497))))</f>
        <v/>
      </c>
      <c r="G497" s="74" t="n"/>
      <c r="H497" s="49">
        <f>IF(M497="","",IFERROR(ROUND(AVERAGE(T497+M497*{7,8,9,10,11})/1.21,4),""))</f>
        <v/>
      </c>
      <c r="I497" s="76" t="n"/>
      <c r="J497" s="77" t="n"/>
      <c r="K497" s="74" t="n"/>
      <c r="L497" s="78" t="n"/>
      <c r="M497" s="77" t="n"/>
      <c r="N497" s="53">
        <f>IF(M497="","",IFERROR(M497/I497,""))</f>
        <v/>
      </c>
      <c r="O497" s="50">
        <f>IF(A497="","",IFERROR((IF(G497="",I497,G497)-T497)/M497,""))</f>
        <v/>
      </c>
      <c r="P497" s="50">
        <f>IFERROR((I497/T497-1)/N497,"")</f>
        <v/>
      </c>
      <c r="Q497" s="46">
        <f>IF(OR(T497="",I497&lt;T497),"",IFERROR(R497/IF(G497="",I497,G497)-1,""))</f>
        <v/>
      </c>
      <c r="R497" s="48">
        <f>IF($M497="","",MAX(IF($G497="",$I497,$G497)*(1/1.1),IF($G497="",$I497,$G497)+(R$2*$M497)))</f>
        <v/>
      </c>
      <c r="S497" s="49">
        <f>IF($M497="","",MAX(IF($G497="",$I497,$G497)*(1/1.1),IF($G497="",$I497,$G497)+(S$2*$M497)))</f>
        <v/>
      </c>
      <c r="T497" s="82" t="n"/>
      <c r="U497" s="47">
        <f>IF(OR($M497="",$T497=""),"",$T497+(U$2*$M497))</f>
        <v/>
      </c>
      <c r="V497" s="48">
        <f>IF(OR($M497="",$T497=""),"",$T497+(V$2*$M497))</f>
        <v/>
      </c>
      <c r="W497" s="48">
        <f>IF(OR($M497="",$T497=""),"",$T497+(W$2*$M497))</f>
        <v/>
      </c>
      <c r="X497" s="49">
        <f>IF(OR($M497="",$T497=""),"",$T497+(X$2*$M497))</f>
        <v/>
      </c>
      <c r="Y497" s="47">
        <f>IF(OR($M497="",$T497=""),"",$T497+(Y$2*$M497))</f>
        <v/>
      </c>
      <c r="Z497" s="49">
        <f>IF(OR($M497="",$T497=""),"",$T497+(Z$2*$M497))</f>
        <v/>
      </c>
      <c r="AA497" s="51">
        <f>IF(OR($M497="",$T497=""),"",$T497+(AA$2*$M497))</f>
        <v/>
      </c>
      <c r="AB497" s="48">
        <f>IF(OR($M497="",$T497=""),"",$T497+(AB$2*$M497))</f>
        <v/>
      </c>
      <c r="AC497" s="48">
        <f>IF(OR($M497="",$T497=""),"",$T497+(AC$2*$M497))</f>
        <v/>
      </c>
      <c r="AD497" s="48">
        <f>IF(OR($M497="",$T497=""),"",$T497+(AD$2*$M497))</f>
        <v/>
      </c>
      <c r="AE497" s="49">
        <f>IF(OR($M497="",$T497=""),"",$T497+(AE$2*$M497))</f>
        <v/>
      </c>
      <c r="AF497" s="52">
        <f>IF(OR(T497="",I497&lt;T497),"",IFERROR(AVERAGE(T497+M497*{7,8,9,10,11})/IF(G497="",I497,G497)-1,""))</f>
        <v/>
      </c>
      <c r="AG497" s="55">
        <f>IF(OR(T497="",I497&lt;T497),"",IFERROR(AF497/-(R497/IF(G497="",I497,G497)-1),""))</f>
        <v/>
      </c>
      <c r="AH497" s="94" t="n"/>
      <c r="AI497" s="94" t="n"/>
      <c r="AJ497" s="94" t="n"/>
      <c r="AK497" s="94" t="n"/>
      <c r="AL497" s="84" t="n"/>
    </row>
    <row r="498">
      <c r="A498" s="64" t="n"/>
      <c r="B498" s="65" t="n"/>
      <c r="C498" s="66" t="n"/>
      <c r="D498" s="67" t="n"/>
      <c r="E498" s="68" t="n"/>
      <c r="F498" s="47">
        <f>IF(A498="","",IF(MIN(H498,MAX(J498:K498))=0,"",MIN(H498,MAX(J498:K498))))</f>
        <v/>
      </c>
      <c r="G498" s="74" t="n"/>
      <c r="H498" s="49">
        <f>IF(M498="","",IFERROR(ROUND(AVERAGE(T498+M498*{7,8,9,10,11})/1.21,4),""))</f>
        <v/>
      </c>
      <c r="I498" s="76" t="n"/>
      <c r="J498" s="77" t="n"/>
      <c r="K498" s="74" t="n"/>
      <c r="L498" s="78" t="n"/>
      <c r="M498" s="77" t="n"/>
      <c r="N498" s="53">
        <f>IF(M498="","",IFERROR(M498/I498,""))</f>
        <v/>
      </c>
      <c r="O498" s="50">
        <f>IF(A498="","",IFERROR((IF(G498="",I498,G498)-T498)/M498,""))</f>
        <v/>
      </c>
      <c r="P498" s="50">
        <f>IFERROR((I498/T498-1)/N498,"")</f>
        <v/>
      </c>
      <c r="Q498" s="46">
        <f>IF(OR(T498="",I498&lt;T498),"",IFERROR(R498/IF(G498="",I498,G498)-1,""))</f>
        <v/>
      </c>
      <c r="R498" s="48">
        <f>IF($M498="","",MAX(IF($G498="",$I498,$G498)*(1/1.1),IF($G498="",$I498,$G498)+(R$2*$M498)))</f>
        <v/>
      </c>
      <c r="S498" s="49">
        <f>IF($M498="","",MAX(IF($G498="",$I498,$G498)*(1/1.1),IF($G498="",$I498,$G498)+(S$2*$M498)))</f>
        <v/>
      </c>
      <c r="T498" s="82" t="n"/>
      <c r="U498" s="47">
        <f>IF(OR($M498="",$T498=""),"",$T498+(U$2*$M498))</f>
        <v/>
      </c>
      <c r="V498" s="48">
        <f>IF(OR($M498="",$T498=""),"",$T498+(V$2*$M498))</f>
        <v/>
      </c>
      <c r="W498" s="48">
        <f>IF(OR($M498="",$T498=""),"",$T498+(W$2*$M498))</f>
        <v/>
      </c>
      <c r="X498" s="49">
        <f>IF(OR($M498="",$T498=""),"",$T498+(X$2*$M498))</f>
        <v/>
      </c>
      <c r="Y498" s="47">
        <f>IF(OR($M498="",$T498=""),"",$T498+(Y$2*$M498))</f>
        <v/>
      </c>
      <c r="Z498" s="49">
        <f>IF(OR($M498="",$T498=""),"",$T498+(Z$2*$M498))</f>
        <v/>
      </c>
      <c r="AA498" s="51">
        <f>IF(OR($M498="",$T498=""),"",$T498+(AA$2*$M498))</f>
        <v/>
      </c>
      <c r="AB498" s="48">
        <f>IF(OR($M498="",$T498=""),"",$T498+(AB$2*$M498))</f>
        <v/>
      </c>
      <c r="AC498" s="48">
        <f>IF(OR($M498="",$T498=""),"",$T498+(AC$2*$M498))</f>
        <v/>
      </c>
      <c r="AD498" s="48">
        <f>IF(OR($M498="",$T498=""),"",$T498+(AD$2*$M498))</f>
        <v/>
      </c>
      <c r="AE498" s="49">
        <f>IF(OR($M498="",$T498=""),"",$T498+(AE$2*$M498))</f>
        <v/>
      </c>
      <c r="AF498" s="52">
        <f>IF(OR(T498="",I498&lt;T498),"",IFERROR(AVERAGE(T498+M498*{7,8,9,10,11})/IF(G498="",I498,G498)-1,""))</f>
        <v/>
      </c>
      <c r="AG498" s="55">
        <f>IF(OR(T498="",I498&lt;T498),"",IFERROR(AF498/-(R498/IF(G498="",I498,G498)-1),""))</f>
        <v/>
      </c>
      <c r="AH498" s="94" t="n"/>
      <c r="AI498" s="94" t="n"/>
      <c r="AJ498" s="94" t="n"/>
      <c r="AK498" s="94" t="n"/>
      <c r="AL498" s="84" t="n"/>
    </row>
    <row r="499">
      <c r="A499" s="64" t="n"/>
      <c r="B499" s="65" t="n"/>
      <c r="C499" s="66" t="n"/>
      <c r="D499" s="67" t="n"/>
      <c r="E499" s="68" t="n"/>
      <c r="F499" s="47">
        <f>IF(A499="","",IF(MIN(H499,MAX(J499:K499))=0,"",MIN(H499,MAX(J499:K499))))</f>
        <v/>
      </c>
      <c r="G499" s="74" t="n"/>
      <c r="H499" s="49">
        <f>IF(M499="","",IFERROR(ROUND(AVERAGE(T499+M499*{7,8,9,10,11})/1.21,4),""))</f>
        <v/>
      </c>
      <c r="I499" s="76" t="n"/>
      <c r="J499" s="77" t="n"/>
      <c r="K499" s="74" t="n"/>
      <c r="L499" s="78" t="n"/>
      <c r="M499" s="77" t="n"/>
      <c r="N499" s="53">
        <f>IF(M499="","",IFERROR(M499/I499,""))</f>
        <v/>
      </c>
      <c r="O499" s="50">
        <f>IF(A499="","",IFERROR((IF(G499="",I499,G499)-T499)/M499,""))</f>
        <v/>
      </c>
      <c r="P499" s="50">
        <f>IFERROR((I499/T499-1)/N499,"")</f>
        <v/>
      </c>
      <c r="Q499" s="46">
        <f>IF(OR(T499="",I499&lt;T499),"",IFERROR(R499/IF(G499="",I499,G499)-1,""))</f>
        <v/>
      </c>
      <c r="R499" s="48">
        <f>IF($M499="","",MAX(IF($G499="",$I499,$G499)*(1/1.1),IF($G499="",$I499,$G499)+(R$2*$M499)))</f>
        <v/>
      </c>
      <c r="S499" s="49">
        <f>IF($M499="","",MAX(IF($G499="",$I499,$G499)*(1/1.1),IF($G499="",$I499,$G499)+(S$2*$M499)))</f>
        <v/>
      </c>
      <c r="T499" s="82" t="n"/>
      <c r="U499" s="47">
        <f>IF(OR($M499="",$T499=""),"",$T499+(U$2*$M499))</f>
        <v/>
      </c>
      <c r="V499" s="48">
        <f>IF(OR($M499="",$T499=""),"",$T499+(V$2*$M499))</f>
        <v/>
      </c>
      <c r="W499" s="48">
        <f>IF(OR($M499="",$T499=""),"",$T499+(W$2*$M499))</f>
        <v/>
      </c>
      <c r="X499" s="49">
        <f>IF(OR($M499="",$T499=""),"",$T499+(X$2*$M499))</f>
        <v/>
      </c>
      <c r="Y499" s="47">
        <f>IF(OR($M499="",$T499=""),"",$T499+(Y$2*$M499))</f>
        <v/>
      </c>
      <c r="Z499" s="49">
        <f>IF(OR($M499="",$T499=""),"",$T499+(Z$2*$M499))</f>
        <v/>
      </c>
      <c r="AA499" s="51">
        <f>IF(OR($M499="",$T499=""),"",$T499+(AA$2*$M499))</f>
        <v/>
      </c>
      <c r="AB499" s="48">
        <f>IF(OR($M499="",$T499=""),"",$T499+(AB$2*$M499))</f>
        <v/>
      </c>
      <c r="AC499" s="48">
        <f>IF(OR($M499="",$T499=""),"",$T499+(AC$2*$M499))</f>
        <v/>
      </c>
      <c r="AD499" s="48">
        <f>IF(OR($M499="",$T499=""),"",$T499+(AD$2*$M499))</f>
        <v/>
      </c>
      <c r="AE499" s="49">
        <f>IF(OR($M499="",$T499=""),"",$T499+(AE$2*$M499))</f>
        <v/>
      </c>
      <c r="AF499" s="52">
        <f>IF(OR(T499="",I499&lt;T499),"",IFERROR(AVERAGE(T499+M499*{7,8,9,10,11})/IF(G499="",I499,G499)-1,""))</f>
        <v/>
      </c>
      <c r="AG499" s="55">
        <f>IF(OR(T499="",I499&lt;T499),"",IFERROR(AF499/-(R499/IF(G499="",I499,G499)-1),""))</f>
        <v/>
      </c>
      <c r="AH499" s="94" t="n"/>
      <c r="AI499" s="94" t="n"/>
      <c r="AJ499" s="94" t="n"/>
      <c r="AK499" s="94" t="n"/>
      <c r="AL499" s="84" t="n"/>
    </row>
    <row r="500">
      <c r="A500" s="64" t="n"/>
      <c r="B500" s="65" t="n"/>
      <c r="C500" s="66" t="n"/>
      <c r="D500" s="67" t="n"/>
      <c r="E500" s="68" t="n"/>
      <c r="F500" s="47">
        <f>IF(A500="","",IF(MIN(H500,MAX(J500:K500))=0,"",MIN(H500,MAX(J500:K500))))</f>
        <v/>
      </c>
      <c r="G500" s="74" t="n"/>
      <c r="H500" s="49">
        <f>IF(M500="","",IFERROR(ROUND(AVERAGE(T500+M500*{7,8,9,10,11})/1.21,4),""))</f>
        <v/>
      </c>
      <c r="I500" s="76" t="n"/>
      <c r="J500" s="77" t="n"/>
      <c r="K500" s="74" t="n"/>
      <c r="L500" s="78" t="n"/>
      <c r="M500" s="77" t="n"/>
      <c r="N500" s="53">
        <f>IF(M500="","",IFERROR(M500/I500,""))</f>
        <v/>
      </c>
      <c r="O500" s="50">
        <f>IF(A500="","",IFERROR((IF(G500="",I500,G500)-T500)/M500,""))</f>
        <v/>
      </c>
      <c r="P500" s="50">
        <f>IFERROR((I500/T500-1)/N500,"")</f>
        <v/>
      </c>
      <c r="Q500" s="46">
        <f>IF(OR(T500="",I500&lt;T500),"",IFERROR(R500/IF(G500="",I500,G500)-1,""))</f>
        <v/>
      </c>
      <c r="R500" s="48">
        <f>IF($M500="","",MAX(IF($G500="",$I500,$G500)*(1/1.1),IF($G500="",$I500,$G500)+(R$2*$M500)))</f>
        <v/>
      </c>
      <c r="S500" s="49">
        <f>IF($M500="","",MAX(IF($G500="",$I500,$G500)*(1/1.1),IF($G500="",$I500,$G500)+(S$2*$M500)))</f>
        <v/>
      </c>
      <c r="T500" s="82" t="n"/>
      <c r="U500" s="47">
        <f>IF(OR($M500="",$T500=""),"",$T500+(U$2*$M500))</f>
        <v/>
      </c>
      <c r="V500" s="48">
        <f>IF(OR($M500="",$T500=""),"",$T500+(V$2*$M500))</f>
        <v/>
      </c>
      <c r="W500" s="48">
        <f>IF(OR($M500="",$T500=""),"",$T500+(W$2*$M500))</f>
        <v/>
      </c>
      <c r="X500" s="49">
        <f>IF(OR($M500="",$T500=""),"",$T500+(X$2*$M500))</f>
        <v/>
      </c>
      <c r="Y500" s="47">
        <f>IF(OR($M500="",$T500=""),"",$T500+(Y$2*$M500))</f>
        <v/>
      </c>
      <c r="Z500" s="49">
        <f>IF(OR($M500="",$T500=""),"",$T500+(Z$2*$M500))</f>
        <v/>
      </c>
      <c r="AA500" s="51">
        <f>IF(OR($M500="",$T500=""),"",$T500+(AA$2*$M500))</f>
        <v/>
      </c>
      <c r="AB500" s="48">
        <f>IF(OR($M500="",$T500=""),"",$T500+(AB$2*$M500))</f>
        <v/>
      </c>
      <c r="AC500" s="48">
        <f>IF(OR($M500="",$T500=""),"",$T500+(AC$2*$M500))</f>
        <v/>
      </c>
      <c r="AD500" s="48">
        <f>IF(OR($M500="",$T500=""),"",$T500+(AD$2*$M500))</f>
        <v/>
      </c>
      <c r="AE500" s="49">
        <f>IF(OR($M500="",$T500=""),"",$T500+(AE$2*$M500))</f>
        <v/>
      </c>
      <c r="AF500" s="52">
        <f>IF(OR(T500="",I500&lt;T500),"",IFERROR(AVERAGE(T500+M500*{7,8,9,10,11})/IF(G500="",I500,G500)-1,""))</f>
        <v/>
      </c>
      <c r="AG500" s="55">
        <f>IF(OR(T500="",I500&lt;T500),"",IFERROR(AF500/-(R500/IF(G500="",I500,G500)-1),""))</f>
        <v/>
      </c>
      <c r="AH500" s="94" t="n"/>
      <c r="AI500" s="94" t="n"/>
      <c r="AJ500" s="94" t="n"/>
      <c r="AK500" s="94" t="n"/>
      <c r="AL500" s="84" t="n"/>
    </row>
    <row r="501">
      <c r="A501" s="64" t="n"/>
      <c r="B501" s="65" t="n"/>
      <c r="C501" s="66" t="n"/>
      <c r="D501" s="67" t="n"/>
      <c r="E501" s="68" t="n"/>
      <c r="F501" s="47">
        <f>IF(A501="","",IF(MIN(H501,MAX(J501:K501))=0,"",MIN(H501,MAX(J501:K501))))</f>
        <v/>
      </c>
      <c r="G501" s="74" t="n"/>
      <c r="H501" s="49">
        <f>IF(M501="","",IFERROR(ROUND(AVERAGE(T501+M501*{7,8,9,10,11})/1.21,4),""))</f>
        <v/>
      </c>
      <c r="I501" s="76" t="n"/>
      <c r="J501" s="77" t="n"/>
      <c r="K501" s="74" t="n"/>
      <c r="L501" s="78" t="n"/>
      <c r="M501" s="77" t="n"/>
      <c r="N501" s="53">
        <f>IF(M501="","",IFERROR(M501/I501,""))</f>
        <v/>
      </c>
      <c r="O501" s="50">
        <f>IF(A501="","",IFERROR((IF(G501="",I501,G501)-T501)/M501,""))</f>
        <v/>
      </c>
      <c r="P501" s="50">
        <f>IFERROR((I501/T501-1)/N501,"")</f>
        <v/>
      </c>
      <c r="Q501" s="46">
        <f>IF(OR(T501="",I501&lt;T501),"",IFERROR(R501/IF(G501="",I501,G501)-1,""))</f>
        <v/>
      </c>
      <c r="R501" s="48">
        <f>IF($M501="","",MAX(IF($G501="",$I501,$G501)*(1/1.1),IF($G501="",$I501,$G501)+(R$2*$M501)))</f>
        <v/>
      </c>
      <c r="S501" s="49">
        <f>IF($M501="","",MAX(IF($G501="",$I501,$G501)*(1/1.1),IF($G501="",$I501,$G501)+(S$2*$M501)))</f>
        <v/>
      </c>
      <c r="T501" s="82" t="n"/>
      <c r="U501" s="47">
        <f>IF(OR($M501="",$T501=""),"",$T501+(U$2*$M501))</f>
        <v/>
      </c>
      <c r="V501" s="48">
        <f>IF(OR($M501="",$T501=""),"",$T501+(V$2*$M501))</f>
        <v/>
      </c>
      <c r="W501" s="48">
        <f>IF(OR($M501="",$T501=""),"",$T501+(W$2*$M501))</f>
        <v/>
      </c>
      <c r="X501" s="49">
        <f>IF(OR($M501="",$T501=""),"",$T501+(X$2*$M501))</f>
        <v/>
      </c>
      <c r="Y501" s="47">
        <f>IF(OR($M501="",$T501=""),"",$T501+(Y$2*$M501))</f>
        <v/>
      </c>
      <c r="Z501" s="49">
        <f>IF(OR($M501="",$T501=""),"",$T501+(Z$2*$M501))</f>
        <v/>
      </c>
      <c r="AA501" s="51">
        <f>IF(OR($M501="",$T501=""),"",$T501+(AA$2*$M501))</f>
        <v/>
      </c>
      <c r="AB501" s="48">
        <f>IF(OR($M501="",$T501=""),"",$T501+(AB$2*$M501))</f>
        <v/>
      </c>
      <c r="AC501" s="48">
        <f>IF(OR($M501="",$T501=""),"",$T501+(AC$2*$M501))</f>
        <v/>
      </c>
      <c r="AD501" s="48">
        <f>IF(OR($M501="",$T501=""),"",$T501+(AD$2*$M501))</f>
        <v/>
      </c>
      <c r="AE501" s="49">
        <f>IF(OR($M501="",$T501=""),"",$T501+(AE$2*$M501))</f>
        <v/>
      </c>
      <c r="AF501" s="52">
        <f>IF(OR(T501="",I501&lt;T501),"",IFERROR(AVERAGE(T501+M501*{7,8,9,10,11})/IF(G501="",I501,G501)-1,""))</f>
        <v/>
      </c>
      <c r="AG501" s="55">
        <f>IF(OR(T501="",I501&lt;T501),"",IFERROR(AF501/-(R501/IF(G501="",I501,G501)-1),""))</f>
        <v/>
      </c>
      <c r="AH501" s="94" t="n"/>
      <c r="AI501" s="94" t="n"/>
      <c r="AJ501" s="94" t="n"/>
      <c r="AK501" s="94" t="n"/>
      <c r="AL501" s="84" t="n"/>
    </row>
    <row r="502">
      <c r="A502" s="64" t="n"/>
      <c r="B502" s="65" t="n"/>
      <c r="C502" s="66" t="n"/>
      <c r="D502" s="67" t="n"/>
      <c r="E502" s="68" t="n"/>
      <c r="F502" s="47">
        <f>IF(A502="","",IF(MIN(H502,MAX(J502:K502))=0,"",MIN(H502,MAX(J502:K502))))</f>
        <v/>
      </c>
      <c r="G502" s="74" t="n"/>
      <c r="H502" s="49">
        <f>IF(M502="","",IFERROR(ROUND(AVERAGE(T502+M502*{7,8,9,10,11})/1.21,4),""))</f>
        <v/>
      </c>
      <c r="I502" s="76" t="n"/>
      <c r="J502" s="77" t="n"/>
      <c r="K502" s="74" t="n"/>
      <c r="L502" s="78" t="n"/>
      <c r="M502" s="77" t="n"/>
      <c r="N502" s="53">
        <f>IF(M502="","",IFERROR(M502/I502,""))</f>
        <v/>
      </c>
      <c r="O502" s="50">
        <f>IF(A502="","",IFERROR((IF(G502="",I502,G502)-T502)/M502,""))</f>
        <v/>
      </c>
      <c r="P502" s="50">
        <f>IFERROR((I502/T502-1)/N502,"")</f>
        <v/>
      </c>
      <c r="Q502" s="46">
        <f>IF(OR(T502="",I502&lt;T502),"",IFERROR(R502/IF(G502="",I502,G502)-1,""))</f>
        <v/>
      </c>
      <c r="R502" s="48">
        <f>IF($M502="","",MAX(IF($G502="",$I502,$G502)*(1/1.1),IF($G502="",$I502,$G502)+(R$2*$M502)))</f>
        <v/>
      </c>
      <c r="S502" s="49">
        <f>IF($M502="","",MAX(IF($G502="",$I502,$G502)*(1/1.1),IF($G502="",$I502,$G502)+(S$2*$M502)))</f>
        <v/>
      </c>
      <c r="T502" s="82" t="n"/>
      <c r="U502" s="47">
        <f>IF(OR($M502="",$T502=""),"",$T502+(U$2*$M502))</f>
        <v/>
      </c>
      <c r="V502" s="48">
        <f>IF(OR($M502="",$T502=""),"",$T502+(V$2*$M502))</f>
        <v/>
      </c>
      <c r="W502" s="48">
        <f>IF(OR($M502="",$T502=""),"",$T502+(W$2*$M502))</f>
        <v/>
      </c>
      <c r="X502" s="49">
        <f>IF(OR($M502="",$T502=""),"",$T502+(X$2*$M502))</f>
        <v/>
      </c>
      <c r="Y502" s="47">
        <f>IF(OR($M502="",$T502=""),"",$T502+(Y$2*$M502))</f>
        <v/>
      </c>
      <c r="Z502" s="49">
        <f>IF(OR($M502="",$T502=""),"",$T502+(Z$2*$M502))</f>
        <v/>
      </c>
      <c r="AA502" s="51">
        <f>IF(OR($M502="",$T502=""),"",$T502+(AA$2*$M502))</f>
        <v/>
      </c>
      <c r="AB502" s="48">
        <f>IF(OR($M502="",$T502=""),"",$T502+(AB$2*$M502))</f>
        <v/>
      </c>
      <c r="AC502" s="48">
        <f>IF(OR($M502="",$T502=""),"",$T502+(AC$2*$M502))</f>
        <v/>
      </c>
      <c r="AD502" s="48">
        <f>IF(OR($M502="",$T502=""),"",$T502+(AD$2*$M502))</f>
        <v/>
      </c>
      <c r="AE502" s="49">
        <f>IF(OR($M502="",$T502=""),"",$T502+(AE$2*$M502))</f>
        <v/>
      </c>
      <c r="AF502" s="52">
        <f>IF(OR(T502="",I502&lt;T502),"",IFERROR(AVERAGE(T502+M502*{7,8,9,10,11})/IF(G502="",I502,G502)-1,""))</f>
        <v/>
      </c>
      <c r="AG502" s="55">
        <f>IF(OR(T502="",I502&lt;T502),"",IFERROR(AF502/-(R502/IF(G502="",I502,G502)-1),""))</f>
        <v/>
      </c>
      <c r="AH502" s="94" t="n"/>
      <c r="AI502" s="94" t="n"/>
      <c r="AJ502" s="94" t="n"/>
      <c r="AK502" s="94" t="n"/>
      <c r="AL502" s="84" t="n"/>
    </row>
    <row r="503">
      <c r="A503" s="64" t="n"/>
      <c r="B503" s="65" t="n"/>
      <c r="C503" s="66" t="n"/>
      <c r="D503" s="67" t="n"/>
      <c r="E503" s="68" t="n"/>
      <c r="F503" s="47">
        <f>IF(A503="","",IF(MIN(H503,MAX(J503:K503))=0,"",MIN(H503,MAX(J503:K503))))</f>
        <v/>
      </c>
      <c r="G503" s="74" t="n"/>
      <c r="H503" s="49">
        <f>IF(M503="","",IFERROR(ROUND(AVERAGE(T503+M503*{7,8,9,10,11})/1.21,4),""))</f>
        <v/>
      </c>
      <c r="I503" s="76" t="n"/>
      <c r="J503" s="77" t="n"/>
      <c r="K503" s="74" t="n"/>
      <c r="L503" s="78" t="n"/>
      <c r="M503" s="77" t="n"/>
      <c r="N503" s="53">
        <f>IF(M503="","",IFERROR(M503/I503,""))</f>
        <v/>
      </c>
      <c r="O503" s="50">
        <f>IF(A503="","",IFERROR((IF(G503="",I503,G503)-T503)/M503,""))</f>
        <v/>
      </c>
      <c r="P503" s="50">
        <f>IFERROR((I503/T503-1)/N503,"")</f>
        <v/>
      </c>
      <c r="Q503" s="46">
        <f>IF(OR(T503="",I503&lt;T503),"",IFERROR(R503/IF(G503="",I503,G503)-1,""))</f>
        <v/>
      </c>
      <c r="R503" s="48">
        <f>IF($M503="","",MAX(IF($G503="",$I503,$G503)*(1/1.1),IF($G503="",$I503,$G503)+(R$2*$M503)))</f>
        <v/>
      </c>
      <c r="S503" s="49">
        <f>IF($M503="","",MAX(IF($G503="",$I503,$G503)*(1/1.1),IF($G503="",$I503,$G503)+(S$2*$M503)))</f>
        <v/>
      </c>
      <c r="T503" s="82" t="n"/>
      <c r="U503" s="47">
        <f>IF(OR($M503="",$T503=""),"",$T503+(U$2*$M503))</f>
        <v/>
      </c>
      <c r="V503" s="48">
        <f>IF(OR($M503="",$T503=""),"",$T503+(V$2*$M503))</f>
        <v/>
      </c>
      <c r="W503" s="48">
        <f>IF(OR($M503="",$T503=""),"",$T503+(W$2*$M503))</f>
        <v/>
      </c>
      <c r="X503" s="49">
        <f>IF(OR($M503="",$T503=""),"",$T503+(X$2*$M503))</f>
        <v/>
      </c>
      <c r="Y503" s="47">
        <f>IF(OR($M503="",$T503=""),"",$T503+(Y$2*$M503))</f>
        <v/>
      </c>
      <c r="Z503" s="49">
        <f>IF(OR($M503="",$T503=""),"",$T503+(Z$2*$M503))</f>
        <v/>
      </c>
      <c r="AA503" s="51">
        <f>IF(OR($M503="",$T503=""),"",$T503+(AA$2*$M503))</f>
        <v/>
      </c>
      <c r="AB503" s="48">
        <f>IF(OR($M503="",$T503=""),"",$T503+(AB$2*$M503))</f>
        <v/>
      </c>
      <c r="AC503" s="48">
        <f>IF(OR($M503="",$T503=""),"",$T503+(AC$2*$M503))</f>
        <v/>
      </c>
      <c r="AD503" s="48">
        <f>IF(OR($M503="",$T503=""),"",$T503+(AD$2*$M503))</f>
        <v/>
      </c>
      <c r="AE503" s="49">
        <f>IF(OR($M503="",$T503=""),"",$T503+(AE$2*$M503))</f>
        <v/>
      </c>
      <c r="AF503" s="52">
        <f>IF(OR(T503="",I503&lt;T503),"",IFERROR(AVERAGE(T503+M503*{7,8,9,10,11})/IF(G503="",I503,G503)-1,""))</f>
        <v/>
      </c>
      <c r="AG503" s="55">
        <f>IF(OR(T503="",I503&lt;T503),"",IFERROR(AF503/-(R503/IF(G503="",I503,G503)-1),""))</f>
        <v/>
      </c>
      <c r="AH503" s="94" t="n"/>
      <c r="AI503" s="94" t="n"/>
      <c r="AJ503" s="94" t="n"/>
      <c r="AK503" s="94" t="n"/>
      <c r="AL503" s="84" t="n"/>
    </row>
    <row r="504">
      <c r="A504" s="64" t="n"/>
      <c r="B504" s="65" t="n"/>
      <c r="C504" s="66" t="n"/>
      <c r="D504" s="67" t="n"/>
      <c r="E504" s="68" t="n"/>
      <c r="F504" s="47">
        <f>IF(A504="","",IF(MIN(H504,MAX(J504:K504))=0,"",MIN(H504,MAX(J504:K504))))</f>
        <v/>
      </c>
      <c r="G504" s="74" t="n"/>
      <c r="H504" s="49">
        <f>IF(M504="","",IFERROR(ROUND(AVERAGE(T504+M504*{7,8,9,10,11})/1.21,4),""))</f>
        <v/>
      </c>
      <c r="I504" s="76" t="n"/>
      <c r="J504" s="77" t="n"/>
      <c r="K504" s="74" t="n"/>
      <c r="L504" s="78" t="n"/>
      <c r="M504" s="77" t="n"/>
      <c r="N504" s="53">
        <f>IF(M504="","",IFERROR(M504/I504,""))</f>
        <v/>
      </c>
      <c r="O504" s="50">
        <f>IF(A504="","",IFERROR((IF(G504="",I504,G504)-T504)/M504,""))</f>
        <v/>
      </c>
      <c r="P504" s="50">
        <f>IFERROR((I504/T504-1)/N504,"")</f>
        <v/>
      </c>
      <c r="Q504" s="46">
        <f>IF(OR(T504="",I504&lt;T504),"",IFERROR(R504/IF(G504="",I504,G504)-1,""))</f>
        <v/>
      </c>
      <c r="R504" s="48">
        <f>IF($M504="","",MAX(IF($G504="",$I504,$G504)*(1/1.1),IF($G504="",$I504,$G504)+(R$2*$M504)))</f>
        <v/>
      </c>
      <c r="S504" s="49">
        <f>IF($M504="","",MAX(IF($G504="",$I504,$G504)*(1/1.1),IF($G504="",$I504,$G504)+(S$2*$M504)))</f>
        <v/>
      </c>
      <c r="T504" s="82" t="n"/>
      <c r="U504" s="47">
        <f>IF(OR($M504="",$T504=""),"",$T504+(U$2*$M504))</f>
        <v/>
      </c>
      <c r="V504" s="48">
        <f>IF(OR($M504="",$T504=""),"",$T504+(V$2*$M504))</f>
        <v/>
      </c>
      <c r="W504" s="48">
        <f>IF(OR($M504="",$T504=""),"",$T504+(W$2*$M504))</f>
        <v/>
      </c>
      <c r="X504" s="49">
        <f>IF(OR($M504="",$T504=""),"",$T504+(X$2*$M504))</f>
        <v/>
      </c>
      <c r="Y504" s="47">
        <f>IF(OR($M504="",$T504=""),"",$T504+(Y$2*$M504))</f>
        <v/>
      </c>
      <c r="Z504" s="49">
        <f>IF(OR($M504="",$T504=""),"",$T504+(Z$2*$M504))</f>
        <v/>
      </c>
      <c r="AA504" s="51">
        <f>IF(OR($M504="",$T504=""),"",$T504+(AA$2*$M504))</f>
        <v/>
      </c>
      <c r="AB504" s="48">
        <f>IF(OR($M504="",$T504=""),"",$T504+(AB$2*$M504))</f>
        <v/>
      </c>
      <c r="AC504" s="48">
        <f>IF(OR($M504="",$T504=""),"",$T504+(AC$2*$M504))</f>
        <v/>
      </c>
      <c r="AD504" s="48">
        <f>IF(OR($M504="",$T504=""),"",$T504+(AD$2*$M504))</f>
        <v/>
      </c>
      <c r="AE504" s="49">
        <f>IF(OR($M504="",$T504=""),"",$T504+(AE$2*$M504))</f>
        <v/>
      </c>
      <c r="AF504" s="52">
        <f>IF(OR(T504="",I504&lt;T504),"",IFERROR(AVERAGE(T504+M504*{7,8,9,10,11})/IF(G504="",I504,G504)-1,""))</f>
        <v/>
      </c>
      <c r="AG504" s="55">
        <f>IF(OR(T504="",I504&lt;T504),"",IFERROR(AF504/-(R504/IF(G504="",I504,G504)-1),""))</f>
        <v/>
      </c>
      <c r="AH504" s="94" t="n"/>
      <c r="AI504" s="94" t="n"/>
      <c r="AJ504" s="94" t="n"/>
      <c r="AK504" s="94" t="n"/>
      <c r="AL504" s="84" t="n"/>
    </row>
    <row r="505">
      <c r="A505" s="64" t="n"/>
      <c r="B505" s="65" t="n"/>
      <c r="C505" s="66" t="n"/>
      <c r="D505" s="67" t="n"/>
      <c r="E505" s="68" t="n"/>
      <c r="F505" s="47">
        <f>IF(A505="","",IF(MIN(H505,MAX(J505:K505))=0,"",MIN(H505,MAX(J505:K505))))</f>
        <v/>
      </c>
      <c r="G505" s="74" t="n"/>
      <c r="H505" s="49">
        <f>IF(M505="","",IFERROR(ROUND(AVERAGE(T505+M505*{7,8,9,10,11})/1.21,4),""))</f>
        <v/>
      </c>
      <c r="I505" s="76" t="n"/>
      <c r="J505" s="77" t="n"/>
      <c r="K505" s="74" t="n"/>
      <c r="L505" s="78" t="n"/>
      <c r="M505" s="77" t="n"/>
      <c r="N505" s="53">
        <f>IF(M505="","",IFERROR(M505/I505,""))</f>
        <v/>
      </c>
      <c r="O505" s="50">
        <f>IF(A505="","",IFERROR((IF(G505="",I505,G505)-T505)/M505,""))</f>
        <v/>
      </c>
      <c r="P505" s="50">
        <f>IFERROR((I505/T505-1)/N505,"")</f>
        <v/>
      </c>
      <c r="Q505" s="46">
        <f>IF(OR(T505="",I505&lt;T505),"",IFERROR(R505/IF(G505="",I505,G505)-1,""))</f>
        <v/>
      </c>
      <c r="R505" s="48">
        <f>IF($M505="","",MAX(IF($G505="",$I505,$G505)*(1/1.1),IF($G505="",$I505,$G505)+(R$2*$M505)))</f>
        <v/>
      </c>
      <c r="S505" s="49">
        <f>IF($M505="","",MAX(IF($G505="",$I505,$G505)*(1/1.1),IF($G505="",$I505,$G505)+(S$2*$M505)))</f>
        <v/>
      </c>
      <c r="T505" s="82" t="n"/>
      <c r="U505" s="47">
        <f>IF(OR($M505="",$T505=""),"",$T505+(U$2*$M505))</f>
        <v/>
      </c>
      <c r="V505" s="48">
        <f>IF(OR($M505="",$T505=""),"",$T505+(V$2*$M505))</f>
        <v/>
      </c>
      <c r="W505" s="48">
        <f>IF(OR($M505="",$T505=""),"",$T505+(W$2*$M505))</f>
        <v/>
      </c>
      <c r="X505" s="49">
        <f>IF(OR($M505="",$T505=""),"",$T505+(X$2*$M505))</f>
        <v/>
      </c>
      <c r="Y505" s="47">
        <f>IF(OR($M505="",$T505=""),"",$T505+(Y$2*$M505))</f>
        <v/>
      </c>
      <c r="Z505" s="49">
        <f>IF(OR($M505="",$T505=""),"",$T505+(Z$2*$M505))</f>
        <v/>
      </c>
      <c r="AA505" s="51">
        <f>IF(OR($M505="",$T505=""),"",$T505+(AA$2*$M505))</f>
        <v/>
      </c>
      <c r="AB505" s="48">
        <f>IF(OR($M505="",$T505=""),"",$T505+(AB$2*$M505))</f>
        <v/>
      </c>
      <c r="AC505" s="48">
        <f>IF(OR($M505="",$T505=""),"",$T505+(AC$2*$M505))</f>
        <v/>
      </c>
      <c r="AD505" s="48">
        <f>IF(OR($M505="",$T505=""),"",$T505+(AD$2*$M505))</f>
        <v/>
      </c>
      <c r="AE505" s="49">
        <f>IF(OR($M505="",$T505=""),"",$T505+(AE$2*$M505))</f>
        <v/>
      </c>
      <c r="AF505" s="52">
        <f>IF(OR(T505="",I505&lt;T505),"",IFERROR(AVERAGE(T505+M505*{7,8,9,10,11})/IF(G505="",I505,G505)-1,""))</f>
        <v/>
      </c>
      <c r="AG505" s="55">
        <f>IF(OR(T505="",I505&lt;T505),"",IFERROR(AF505/-(R505/IF(G505="",I505,G505)-1),""))</f>
        <v/>
      </c>
      <c r="AH505" s="94" t="n"/>
      <c r="AI505" s="94" t="n"/>
      <c r="AJ505" s="94" t="n"/>
      <c r="AK505" s="94" t="n"/>
      <c r="AL505" s="84" t="n"/>
    </row>
    <row r="506">
      <c r="A506" s="64" t="n"/>
      <c r="B506" s="65" t="n"/>
      <c r="C506" s="66" t="n"/>
      <c r="D506" s="67" t="n"/>
      <c r="E506" s="68" t="n"/>
      <c r="F506" s="47">
        <f>IF(A506="","",IF(MIN(H506,MAX(J506:K506))=0,"",MIN(H506,MAX(J506:K506))))</f>
        <v/>
      </c>
      <c r="G506" s="74" t="n"/>
      <c r="H506" s="49">
        <f>IF(M506="","",IFERROR(ROUND(AVERAGE(T506+M506*{7,8,9,10,11})/1.21,4),""))</f>
        <v/>
      </c>
      <c r="I506" s="76" t="n"/>
      <c r="J506" s="77" t="n"/>
      <c r="K506" s="74" t="n"/>
      <c r="L506" s="78" t="n"/>
      <c r="M506" s="77" t="n"/>
      <c r="N506" s="53">
        <f>IF(M506="","",IFERROR(M506/I506,""))</f>
        <v/>
      </c>
      <c r="O506" s="50">
        <f>IF(A506="","",IFERROR((IF(G506="",I506,G506)-T506)/M506,""))</f>
        <v/>
      </c>
      <c r="P506" s="50">
        <f>IFERROR((I506/T506-1)/N506,"")</f>
        <v/>
      </c>
      <c r="Q506" s="46">
        <f>IF(OR(T506="",I506&lt;T506),"",IFERROR(R506/IF(G506="",I506,G506)-1,""))</f>
        <v/>
      </c>
      <c r="R506" s="48">
        <f>IF($M506="","",MAX(IF($G506="",$I506,$G506)*(1/1.1),IF($G506="",$I506,$G506)+(R$2*$M506)))</f>
        <v/>
      </c>
      <c r="S506" s="49">
        <f>IF($M506="","",MAX(IF($G506="",$I506,$G506)*(1/1.1),IF($G506="",$I506,$G506)+(S$2*$M506)))</f>
        <v/>
      </c>
      <c r="T506" s="82" t="n"/>
      <c r="U506" s="47">
        <f>IF(OR($M506="",$T506=""),"",$T506+(U$2*$M506))</f>
        <v/>
      </c>
      <c r="V506" s="48">
        <f>IF(OR($M506="",$T506=""),"",$T506+(V$2*$M506))</f>
        <v/>
      </c>
      <c r="W506" s="48">
        <f>IF(OR($M506="",$T506=""),"",$T506+(W$2*$M506))</f>
        <v/>
      </c>
      <c r="X506" s="49">
        <f>IF(OR($M506="",$T506=""),"",$T506+(X$2*$M506))</f>
        <v/>
      </c>
      <c r="Y506" s="47">
        <f>IF(OR($M506="",$T506=""),"",$T506+(Y$2*$M506))</f>
        <v/>
      </c>
      <c r="Z506" s="49">
        <f>IF(OR($M506="",$T506=""),"",$T506+(Z$2*$M506))</f>
        <v/>
      </c>
      <c r="AA506" s="51">
        <f>IF(OR($M506="",$T506=""),"",$T506+(AA$2*$M506))</f>
        <v/>
      </c>
      <c r="AB506" s="48">
        <f>IF(OR($M506="",$T506=""),"",$T506+(AB$2*$M506))</f>
        <v/>
      </c>
      <c r="AC506" s="48">
        <f>IF(OR($M506="",$T506=""),"",$T506+(AC$2*$M506))</f>
        <v/>
      </c>
      <c r="AD506" s="48">
        <f>IF(OR($M506="",$T506=""),"",$T506+(AD$2*$M506))</f>
        <v/>
      </c>
      <c r="AE506" s="49">
        <f>IF(OR($M506="",$T506=""),"",$T506+(AE$2*$M506))</f>
        <v/>
      </c>
      <c r="AF506" s="52">
        <f>IF(OR(T506="",I506&lt;T506),"",IFERROR(AVERAGE(T506+M506*{7,8,9,10,11})/IF(G506="",I506,G506)-1,""))</f>
        <v/>
      </c>
      <c r="AG506" s="55">
        <f>IF(OR(T506="",I506&lt;T506),"",IFERROR(AF506/-(R506/IF(G506="",I506,G506)-1),""))</f>
        <v/>
      </c>
      <c r="AH506" s="94" t="n"/>
      <c r="AI506" s="94" t="n"/>
      <c r="AJ506" s="94" t="n"/>
      <c r="AK506" s="94" t="n"/>
      <c r="AL506" s="84" t="n"/>
    </row>
    <row r="507">
      <c r="A507" s="64" t="n"/>
      <c r="B507" s="65" t="n"/>
      <c r="C507" s="66" t="n"/>
      <c r="D507" s="67" t="n"/>
      <c r="E507" s="68" t="n"/>
      <c r="F507" s="47">
        <f>IF(A507="","",IF(MIN(H507,MAX(J507:K507))=0,"",MIN(H507,MAX(J507:K507))))</f>
        <v/>
      </c>
      <c r="G507" s="74" t="n"/>
      <c r="H507" s="49">
        <f>IF(M507="","",IFERROR(ROUND(AVERAGE(T507+M507*{7,8,9,10,11})/1.21,4),""))</f>
        <v/>
      </c>
      <c r="I507" s="76" t="n"/>
      <c r="J507" s="77" t="n"/>
      <c r="K507" s="74" t="n"/>
      <c r="L507" s="78" t="n"/>
      <c r="M507" s="77" t="n"/>
      <c r="N507" s="53">
        <f>IF(M507="","",IFERROR(M507/I507,""))</f>
        <v/>
      </c>
      <c r="O507" s="50">
        <f>IF(A507="","",IFERROR((IF(G507="",I507,G507)-T507)/M507,""))</f>
        <v/>
      </c>
      <c r="P507" s="50">
        <f>IFERROR((I507/T507-1)/N507,"")</f>
        <v/>
      </c>
      <c r="Q507" s="46">
        <f>IF(OR(T507="",I507&lt;T507),"",IFERROR(R507/IF(G507="",I507,G507)-1,""))</f>
        <v/>
      </c>
      <c r="R507" s="48">
        <f>IF($M507="","",MAX(IF($G507="",$I507,$G507)*(1/1.1),IF($G507="",$I507,$G507)+(R$2*$M507)))</f>
        <v/>
      </c>
      <c r="S507" s="49">
        <f>IF($M507="","",MAX(IF($G507="",$I507,$G507)*(1/1.1),IF($G507="",$I507,$G507)+(S$2*$M507)))</f>
        <v/>
      </c>
      <c r="T507" s="82" t="n"/>
      <c r="U507" s="47">
        <f>IF(OR($M507="",$T507=""),"",$T507+(U$2*$M507))</f>
        <v/>
      </c>
      <c r="V507" s="48">
        <f>IF(OR($M507="",$T507=""),"",$T507+(V$2*$M507))</f>
        <v/>
      </c>
      <c r="W507" s="48">
        <f>IF(OR($M507="",$T507=""),"",$T507+(W$2*$M507))</f>
        <v/>
      </c>
      <c r="X507" s="49">
        <f>IF(OR($M507="",$T507=""),"",$T507+(X$2*$M507))</f>
        <v/>
      </c>
      <c r="Y507" s="47">
        <f>IF(OR($M507="",$T507=""),"",$T507+(Y$2*$M507))</f>
        <v/>
      </c>
      <c r="Z507" s="49">
        <f>IF(OR($M507="",$T507=""),"",$T507+(Z$2*$M507))</f>
        <v/>
      </c>
      <c r="AA507" s="51">
        <f>IF(OR($M507="",$T507=""),"",$T507+(AA$2*$M507))</f>
        <v/>
      </c>
      <c r="AB507" s="48">
        <f>IF(OR($M507="",$T507=""),"",$T507+(AB$2*$M507))</f>
        <v/>
      </c>
      <c r="AC507" s="48">
        <f>IF(OR($M507="",$T507=""),"",$T507+(AC$2*$M507))</f>
        <v/>
      </c>
      <c r="AD507" s="48">
        <f>IF(OR($M507="",$T507=""),"",$T507+(AD$2*$M507))</f>
        <v/>
      </c>
      <c r="AE507" s="49">
        <f>IF(OR($M507="",$T507=""),"",$T507+(AE$2*$M507))</f>
        <v/>
      </c>
      <c r="AF507" s="52">
        <f>IF(OR(T507="",I507&lt;T507),"",IFERROR(AVERAGE(T507+M507*{7,8,9,10,11})/IF(G507="",I507,G507)-1,""))</f>
        <v/>
      </c>
      <c r="AG507" s="55">
        <f>IF(OR(T507="",I507&lt;T507),"",IFERROR(AF507/-(R507/IF(G507="",I507,G507)-1),""))</f>
        <v/>
      </c>
      <c r="AH507" s="94" t="n"/>
      <c r="AI507" s="94" t="n"/>
      <c r="AJ507" s="94" t="n"/>
      <c r="AK507" s="94" t="n"/>
      <c r="AL507" s="84" t="n"/>
    </row>
    <row r="508">
      <c r="A508" s="64" t="n"/>
      <c r="B508" s="65" t="n"/>
      <c r="C508" s="66" t="n"/>
      <c r="D508" s="67" t="n"/>
      <c r="E508" s="68" t="n"/>
      <c r="F508" s="47">
        <f>IF(A508="","",IF(MIN(H508,MAX(J508:K508))=0,"",MIN(H508,MAX(J508:K508))))</f>
        <v/>
      </c>
      <c r="G508" s="74" t="n"/>
      <c r="H508" s="49">
        <f>IF(M508="","",IFERROR(ROUND(AVERAGE(T508+M508*{7,8,9,10,11})/1.21,4),""))</f>
        <v/>
      </c>
      <c r="I508" s="76" t="n"/>
      <c r="J508" s="77" t="n"/>
      <c r="K508" s="74" t="n"/>
      <c r="L508" s="78" t="n"/>
      <c r="M508" s="77" t="n"/>
      <c r="N508" s="53">
        <f>IF(M508="","",IFERROR(M508/I508,""))</f>
        <v/>
      </c>
      <c r="O508" s="50">
        <f>IF(A508="","",IFERROR((IF(G508="",I508,G508)-T508)/M508,""))</f>
        <v/>
      </c>
      <c r="P508" s="50">
        <f>IFERROR((I508/T508-1)/N508,"")</f>
        <v/>
      </c>
      <c r="Q508" s="46">
        <f>IF(OR(T508="",I508&lt;T508),"",IFERROR(R508/IF(G508="",I508,G508)-1,""))</f>
        <v/>
      </c>
      <c r="R508" s="48">
        <f>IF($M508="","",MAX(IF($G508="",$I508,$G508)*(1/1.1),IF($G508="",$I508,$G508)+(R$2*$M508)))</f>
        <v/>
      </c>
      <c r="S508" s="49">
        <f>IF($M508="","",MAX(IF($G508="",$I508,$G508)*(1/1.1),IF($G508="",$I508,$G508)+(S$2*$M508)))</f>
        <v/>
      </c>
      <c r="T508" s="82" t="n"/>
      <c r="U508" s="47">
        <f>IF(OR($M508="",$T508=""),"",$T508+(U$2*$M508))</f>
        <v/>
      </c>
      <c r="V508" s="48">
        <f>IF(OR($M508="",$T508=""),"",$T508+(V$2*$M508))</f>
        <v/>
      </c>
      <c r="W508" s="48">
        <f>IF(OR($M508="",$T508=""),"",$T508+(W$2*$M508))</f>
        <v/>
      </c>
      <c r="X508" s="49">
        <f>IF(OR($M508="",$T508=""),"",$T508+(X$2*$M508))</f>
        <v/>
      </c>
      <c r="Y508" s="47">
        <f>IF(OR($M508="",$T508=""),"",$T508+(Y$2*$M508))</f>
        <v/>
      </c>
      <c r="Z508" s="49">
        <f>IF(OR($M508="",$T508=""),"",$T508+(Z$2*$M508))</f>
        <v/>
      </c>
      <c r="AA508" s="51">
        <f>IF(OR($M508="",$T508=""),"",$T508+(AA$2*$M508))</f>
        <v/>
      </c>
      <c r="AB508" s="48">
        <f>IF(OR($M508="",$T508=""),"",$T508+(AB$2*$M508))</f>
        <v/>
      </c>
      <c r="AC508" s="48">
        <f>IF(OR($M508="",$T508=""),"",$T508+(AC$2*$M508))</f>
        <v/>
      </c>
      <c r="AD508" s="48">
        <f>IF(OR($M508="",$T508=""),"",$T508+(AD$2*$M508))</f>
        <v/>
      </c>
      <c r="AE508" s="49">
        <f>IF(OR($M508="",$T508=""),"",$T508+(AE$2*$M508))</f>
        <v/>
      </c>
      <c r="AF508" s="52">
        <f>IF(OR(T508="",I508&lt;T508),"",IFERROR(AVERAGE(T508+M508*{7,8,9,10,11})/IF(G508="",I508,G508)-1,""))</f>
        <v/>
      </c>
      <c r="AG508" s="55">
        <f>IF(OR(T508="",I508&lt;T508),"",IFERROR(AF508/-(R508/IF(G508="",I508,G508)-1),""))</f>
        <v/>
      </c>
      <c r="AH508" s="94" t="n"/>
      <c r="AI508" s="94" t="n"/>
      <c r="AJ508" s="94" t="n"/>
      <c r="AK508" s="94" t="n"/>
      <c r="AL508" s="84" t="n"/>
    </row>
    <row r="509">
      <c r="A509" s="64" t="n"/>
      <c r="B509" s="65" t="n"/>
      <c r="C509" s="66" t="n"/>
      <c r="D509" s="67" t="n"/>
      <c r="E509" s="68" t="n"/>
      <c r="F509" s="47">
        <f>IF(A509="","",IF(MIN(H509,MAX(J509:K509))=0,"",MIN(H509,MAX(J509:K509))))</f>
        <v/>
      </c>
      <c r="G509" s="74" t="n"/>
      <c r="H509" s="49">
        <f>IF(M509="","",IFERROR(ROUND(AVERAGE(T509+M509*{7,8,9,10,11})/1.21,4),""))</f>
        <v/>
      </c>
      <c r="I509" s="76" t="n"/>
      <c r="J509" s="77" t="n"/>
      <c r="K509" s="74" t="n"/>
      <c r="L509" s="78" t="n"/>
      <c r="M509" s="77" t="n"/>
      <c r="N509" s="53">
        <f>IF(M509="","",IFERROR(M509/I509,""))</f>
        <v/>
      </c>
      <c r="O509" s="50">
        <f>IF(A509="","",IFERROR((IF(G509="",I509,G509)-T509)/M509,""))</f>
        <v/>
      </c>
      <c r="P509" s="50">
        <f>IFERROR((I509/T509-1)/N509,"")</f>
        <v/>
      </c>
      <c r="Q509" s="46">
        <f>IF(OR(T509="",I509&lt;T509),"",IFERROR(R509/IF(G509="",I509,G509)-1,""))</f>
        <v/>
      </c>
      <c r="R509" s="48">
        <f>IF($M509="","",MAX(IF($G509="",$I509,$G509)*(1/1.1),IF($G509="",$I509,$G509)+(R$2*$M509)))</f>
        <v/>
      </c>
      <c r="S509" s="49">
        <f>IF($M509="","",MAX(IF($G509="",$I509,$G509)*(1/1.1),IF($G509="",$I509,$G509)+(S$2*$M509)))</f>
        <v/>
      </c>
      <c r="T509" s="82" t="n"/>
      <c r="U509" s="47">
        <f>IF(OR($M509="",$T509=""),"",$T509+(U$2*$M509))</f>
        <v/>
      </c>
      <c r="V509" s="48">
        <f>IF(OR($M509="",$T509=""),"",$T509+(V$2*$M509))</f>
        <v/>
      </c>
      <c r="W509" s="48">
        <f>IF(OR($M509="",$T509=""),"",$T509+(W$2*$M509))</f>
        <v/>
      </c>
      <c r="X509" s="49">
        <f>IF(OR($M509="",$T509=""),"",$T509+(X$2*$M509))</f>
        <v/>
      </c>
      <c r="Y509" s="47">
        <f>IF(OR($M509="",$T509=""),"",$T509+(Y$2*$M509))</f>
        <v/>
      </c>
      <c r="Z509" s="49">
        <f>IF(OR($M509="",$T509=""),"",$T509+(Z$2*$M509))</f>
        <v/>
      </c>
      <c r="AA509" s="51">
        <f>IF(OR($M509="",$T509=""),"",$T509+(AA$2*$M509))</f>
        <v/>
      </c>
      <c r="AB509" s="48">
        <f>IF(OR($M509="",$T509=""),"",$T509+(AB$2*$M509))</f>
        <v/>
      </c>
      <c r="AC509" s="48">
        <f>IF(OR($M509="",$T509=""),"",$T509+(AC$2*$M509))</f>
        <v/>
      </c>
      <c r="AD509" s="48">
        <f>IF(OR($M509="",$T509=""),"",$T509+(AD$2*$M509))</f>
        <v/>
      </c>
      <c r="AE509" s="49">
        <f>IF(OR($M509="",$T509=""),"",$T509+(AE$2*$M509))</f>
        <v/>
      </c>
      <c r="AF509" s="52">
        <f>IF(OR(T509="",I509&lt;T509),"",IFERROR(AVERAGE(T509+M509*{7,8,9,10,11})/IF(G509="",I509,G509)-1,""))</f>
        <v/>
      </c>
      <c r="AG509" s="55">
        <f>IF(OR(T509="",I509&lt;T509),"",IFERROR(AF509/-(R509/IF(G509="",I509,G509)-1),""))</f>
        <v/>
      </c>
      <c r="AH509" s="94" t="n"/>
      <c r="AI509" s="94" t="n"/>
      <c r="AJ509" s="94" t="n"/>
      <c r="AK509" s="94" t="n"/>
      <c r="AL509" s="84" t="n"/>
    </row>
    <row r="510">
      <c r="A510" s="64" t="n"/>
      <c r="B510" s="65" t="n"/>
      <c r="C510" s="66" t="n"/>
      <c r="D510" s="67" t="n"/>
      <c r="E510" s="68" t="n"/>
      <c r="F510" s="47">
        <f>IF(A510="","",IF(MIN(H510,MAX(J510:K510))=0,"",MIN(H510,MAX(J510:K510))))</f>
        <v/>
      </c>
      <c r="G510" s="74" t="n"/>
      <c r="H510" s="49">
        <f>IF(M510="","",IFERROR(ROUND(AVERAGE(T510+M510*{7,8,9,10,11})/1.21,4),""))</f>
        <v/>
      </c>
      <c r="I510" s="76" t="n"/>
      <c r="J510" s="77" t="n"/>
      <c r="K510" s="74" t="n"/>
      <c r="L510" s="78" t="n"/>
      <c r="M510" s="77" t="n"/>
      <c r="N510" s="53">
        <f>IF(M510="","",IFERROR(M510/I510,""))</f>
        <v/>
      </c>
      <c r="O510" s="50">
        <f>IF(A510="","",IFERROR((IF(G510="",I510,G510)-T510)/M510,""))</f>
        <v/>
      </c>
      <c r="P510" s="50">
        <f>IFERROR((I510/T510-1)/N510,"")</f>
        <v/>
      </c>
      <c r="Q510" s="46">
        <f>IF(OR(T510="",I510&lt;T510),"",IFERROR(R510/IF(G510="",I510,G510)-1,""))</f>
        <v/>
      </c>
      <c r="R510" s="48">
        <f>IF($M510="","",MAX(IF($G510="",$I510,$G510)*(1/1.1),IF($G510="",$I510,$G510)+(R$2*$M510)))</f>
        <v/>
      </c>
      <c r="S510" s="49">
        <f>IF($M510="","",MAX(IF($G510="",$I510,$G510)*(1/1.1),IF($G510="",$I510,$G510)+(S$2*$M510)))</f>
        <v/>
      </c>
      <c r="T510" s="82" t="n"/>
      <c r="U510" s="47">
        <f>IF(OR($M510="",$T510=""),"",$T510+(U$2*$M510))</f>
        <v/>
      </c>
      <c r="V510" s="48">
        <f>IF(OR($M510="",$T510=""),"",$T510+(V$2*$M510))</f>
        <v/>
      </c>
      <c r="W510" s="48">
        <f>IF(OR($M510="",$T510=""),"",$T510+(W$2*$M510))</f>
        <v/>
      </c>
      <c r="X510" s="49">
        <f>IF(OR($M510="",$T510=""),"",$T510+(X$2*$M510))</f>
        <v/>
      </c>
      <c r="Y510" s="47">
        <f>IF(OR($M510="",$T510=""),"",$T510+(Y$2*$M510))</f>
        <v/>
      </c>
      <c r="Z510" s="49">
        <f>IF(OR($M510="",$T510=""),"",$T510+(Z$2*$M510))</f>
        <v/>
      </c>
      <c r="AA510" s="51">
        <f>IF(OR($M510="",$T510=""),"",$T510+(AA$2*$M510))</f>
        <v/>
      </c>
      <c r="AB510" s="48">
        <f>IF(OR($M510="",$T510=""),"",$T510+(AB$2*$M510))</f>
        <v/>
      </c>
      <c r="AC510" s="48">
        <f>IF(OR($M510="",$T510=""),"",$T510+(AC$2*$M510))</f>
        <v/>
      </c>
      <c r="AD510" s="48">
        <f>IF(OR($M510="",$T510=""),"",$T510+(AD$2*$M510))</f>
        <v/>
      </c>
      <c r="AE510" s="49">
        <f>IF(OR($M510="",$T510=""),"",$T510+(AE$2*$M510))</f>
        <v/>
      </c>
      <c r="AF510" s="52">
        <f>IF(OR(T510="",I510&lt;T510),"",IFERROR(AVERAGE(T510+M510*{7,8,9,10,11})/IF(G510="",I510,G510)-1,""))</f>
        <v/>
      </c>
      <c r="AG510" s="55">
        <f>IF(OR(T510="",I510&lt;T510),"",IFERROR(AF510/-(R510/IF(G510="",I510,G510)-1),""))</f>
        <v/>
      </c>
      <c r="AH510" s="94" t="n"/>
      <c r="AI510" s="94" t="n"/>
      <c r="AJ510" s="94" t="n"/>
      <c r="AK510" s="94" t="n"/>
      <c r="AL510" s="84" t="n"/>
    </row>
    <row r="511">
      <c r="A511" s="64" t="n"/>
      <c r="B511" s="65" t="n"/>
      <c r="C511" s="66" t="n"/>
      <c r="D511" s="67" t="n"/>
      <c r="E511" s="68" t="n"/>
      <c r="F511" s="47">
        <f>IF(A511="","",IF(MIN(H511,MAX(J511:K511))=0,"",MIN(H511,MAX(J511:K511))))</f>
        <v/>
      </c>
      <c r="G511" s="74" t="n"/>
      <c r="H511" s="49">
        <f>IF(M511="","",IFERROR(ROUND(AVERAGE(T511+M511*{7,8,9,10,11})/1.21,4),""))</f>
        <v/>
      </c>
      <c r="I511" s="76" t="n"/>
      <c r="J511" s="77" t="n"/>
      <c r="K511" s="74" t="n"/>
      <c r="L511" s="78" t="n"/>
      <c r="M511" s="77" t="n"/>
      <c r="N511" s="53">
        <f>IF(M511="","",IFERROR(M511/I511,""))</f>
        <v/>
      </c>
      <c r="O511" s="50">
        <f>IF(A511="","",IFERROR((IF(G511="",I511,G511)-T511)/M511,""))</f>
        <v/>
      </c>
      <c r="P511" s="50">
        <f>IFERROR((I511/T511-1)/N511,"")</f>
        <v/>
      </c>
      <c r="Q511" s="46">
        <f>IF(OR(T511="",I511&lt;T511),"",IFERROR(R511/IF(G511="",I511,G511)-1,""))</f>
        <v/>
      </c>
      <c r="R511" s="48">
        <f>IF($M511="","",MAX(IF($G511="",$I511,$G511)*(1/1.1),IF($G511="",$I511,$G511)+(R$2*$M511)))</f>
        <v/>
      </c>
      <c r="S511" s="49">
        <f>IF($M511="","",MAX(IF($G511="",$I511,$G511)*(1/1.1),IF($G511="",$I511,$G511)+(S$2*$M511)))</f>
        <v/>
      </c>
      <c r="T511" s="82" t="n"/>
      <c r="U511" s="47">
        <f>IF(OR($M511="",$T511=""),"",$T511+(U$2*$M511))</f>
        <v/>
      </c>
      <c r="V511" s="48">
        <f>IF(OR($M511="",$T511=""),"",$T511+(V$2*$M511))</f>
        <v/>
      </c>
      <c r="W511" s="48">
        <f>IF(OR($M511="",$T511=""),"",$T511+(W$2*$M511))</f>
        <v/>
      </c>
      <c r="X511" s="49">
        <f>IF(OR($M511="",$T511=""),"",$T511+(X$2*$M511))</f>
        <v/>
      </c>
      <c r="Y511" s="47">
        <f>IF(OR($M511="",$T511=""),"",$T511+(Y$2*$M511))</f>
        <v/>
      </c>
      <c r="Z511" s="49">
        <f>IF(OR($M511="",$T511=""),"",$T511+(Z$2*$M511))</f>
        <v/>
      </c>
      <c r="AA511" s="51">
        <f>IF(OR($M511="",$T511=""),"",$T511+(AA$2*$M511))</f>
        <v/>
      </c>
      <c r="AB511" s="48">
        <f>IF(OR($M511="",$T511=""),"",$T511+(AB$2*$M511))</f>
        <v/>
      </c>
      <c r="AC511" s="48">
        <f>IF(OR($M511="",$T511=""),"",$T511+(AC$2*$M511))</f>
        <v/>
      </c>
      <c r="AD511" s="48">
        <f>IF(OR($M511="",$T511=""),"",$T511+(AD$2*$M511))</f>
        <v/>
      </c>
      <c r="AE511" s="49">
        <f>IF(OR($M511="",$T511=""),"",$T511+(AE$2*$M511))</f>
        <v/>
      </c>
      <c r="AF511" s="52">
        <f>IF(OR(T511="",I511&lt;T511),"",IFERROR(AVERAGE(T511+M511*{7,8,9,10,11})/IF(G511="",I511,G511)-1,""))</f>
        <v/>
      </c>
      <c r="AG511" s="55">
        <f>IF(OR(T511="",I511&lt;T511),"",IFERROR(AF511/-(R511/IF(G511="",I511,G511)-1),""))</f>
        <v/>
      </c>
      <c r="AH511" s="94" t="n"/>
      <c r="AI511" s="94" t="n"/>
      <c r="AJ511" s="94" t="n"/>
      <c r="AK511" s="94" t="n"/>
      <c r="AL511" s="84" t="n"/>
    </row>
    <row r="512">
      <c r="A512" s="64" t="n"/>
      <c r="B512" s="65" t="n"/>
      <c r="C512" s="66" t="n"/>
      <c r="D512" s="67" t="n"/>
      <c r="E512" s="68" t="n"/>
      <c r="F512" s="47">
        <f>IF(A512="","",IF(MIN(H512,MAX(J512:K512))=0,"",MIN(H512,MAX(J512:K512))))</f>
        <v/>
      </c>
      <c r="G512" s="74" t="n"/>
      <c r="H512" s="49">
        <f>IF(M512="","",IFERROR(ROUND(AVERAGE(T512+M512*{7,8,9,10,11})/1.21,4),""))</f>
        <v/>
      </c>
      <c r="I512" s="76" t="n"/>
      <c r="J512" s="77" t="n"/>
      <c r="K512" s="74" t="n"/>
      <c r="L512" s="78" t="n"/>
      <c r="M512" s="77" t="n"/>
      <c r="N512" s="53">
        <f>IF(M512="","",IFERROR(M512/I512,""))</f>
        <v/>
      </c>
      <c r="O512" s="50">
        <f>IF(A512="","",IFERROR((IF(G512="",I512,G512)-T512)/M512,""))</f>
        <v/>
      </c>
      <c r="P512" s="50">
        <f>IFERROR((I512/T512-1)/N512,"")</f>
        <v/>
      </c>
      <c r="Q512" s="46">
        <f>IF(OR(T512="",I512&lt;T512),"",IFERROR(R512/IF(G512="",I512,G512)-1,""))</f>
        <v/>
      </c>
      <c r="R512" s="48">
        <f>IF($M512="","",MAX(IF($G512="",$I512,$G512)*(1/1.1),IF($G512="",$I512,$G512)+(R$2*$M512)))</f>
        <v/>
      </c>
      <c r="S512" s="49">
        <f>IF($M512="","",MAX(IF($G512="",$I512,$G512)*(1/1.1),IF($G512="",$I512,$G512)+(S$2*$M512)))</f>
        <v/>
      </c>
      <c r="T512" s="82" t="n"/>
      <c r="U512" s="47">
        <f>IF(OR($M512="",$T512=""),"",$T512+(U$2*$M512))</f>
        <v/>
      </c>
      <c r="V512" s="48">
        <f>IF(OR($M512="",$T512=""),"",$T512+(V$2*$M512))</f>
        <v/>
      </c>
      <c r="W512" s="48">
        <f>IF(OR($M512="",$T512=""),"",$T512+(W$2*$M512))</f>
        <v/>
      </c>
      <c r="X512" s="49">
        <f>IF(OR($M512="",$T512=""),"",$T512+(X$2*$M512))</f>
        <v/>
      </c>
      <c r="Y512" s="47">
        <f>IF(OR($M512="",$T512=""),"",$T512+(Y$2*$M512))</f>
        <v/>
      </c>
      <c r="Z512" s="49">
        <f>IF(OR($M512="",$T512=""),"",$T512+(Z$2*$M512))</f>
        <v/>
      </c>
      <c r="AA512" s="51">
        <f>IF(OR($M512="",$T512=""),"",$T512+(AA$2*$M512))</f>
        <v/>
      </c>
      <c r="AB512" s="48">
        <f>IF(OR($M512="",$T512=""),"",$T512+(AB$2*$M512))</f>
        <v/>
      </c>
      <c r="AC512" s="48">
        <f>IF(OR($M512="",$T512=""),"",$T512+(AC$2*$M512))</f>
        <v/>
      </c>
      <c r="AD512" s="48">
        <f>IF(OR($M512="",$T512=""),"",$T512+(AD$2*$M512))</f>
        <v/>
      </c>
      <c r="AE512" s="49">
        <f>IF(OR($M512="",$T512=""),"",$T512+(AE$2*$M512))</f>
        <v/>
      </c>
      <c r="AF512" s="52">
        <f>IF(OR(T512="",I512&lt;T512),"",IFERROR(AVERAGE(T512+M512*{7,8,9,10,11})/IF(G512="",I512,G512)-1,""))</f>
        <v/>
      </c>
      <c r="AG512" s="55">
        <f>IF(OR(T512="",I512&lt;T512),"",IFERROR(AF512/-(R512/IF(G512="",I512,G512)-1),""))</f>
        <v/>
      </c>
      <c r="AH512" s="94" t="n"/>
      <c r="AI512" s="94" t="n"/>
      <c r="AJ512" s="94" t="n"/>
      <c r="AK512" s="94" t="n"/>
      <c r="AL512" s="84" t="n"/>
    </row>
    <row r="513">
      <c r="A513" s="64" t="n"/>
      <c r="B513" s="65" t="n"/>
      <c r="C513" s="66" t="n"/>
      <c r="D513" s="67" t="n"/>
      <c r="E513" s="68" t="n"/>
      <c r="F513" s="47">
        <f>IF(A513="","",IF(MIN(H513,MAX(J513:K513))=0,"",MIN(H513,MAX(J513:K513))))</f>
        <v/>
      </c>
      <c r="G513" s="74" t="n"/>
      <c r="H513" s="49">
        <f>IF(M513="","",IFERROR(ROUND(AVERAGE(T513+M513*{7,8,9,10,11})/1.21,4),""))</f>
        <v/>
      </c>
      <c r="I513" s="76" t="n"/>
      <c r="J513" s="77" t="n"/>
      <c r="K513" s="74" t="n"/>
      <c r="L513" s="78" t="n"/>
      <c r="M513" s="77" t="n"/>
      <c r="N513" s="53">
        <f>IF(M513="","",IFERROR(M513/I513,""))</f>
        <v/>
      </c>
      <c r="O513" s="50">
        <f>IF(A513="","",IFERROR((IF(G513="",I513,G513)-T513)/M513,""))</f>
        <v/>
      </c>
      <c r="P513" s="50">
        <f>IFERROR((I513/T513-1)/N513,"")</f>
        <v/>
      </c>
      <c r="Q513" s="46">
        <f>IF(OR(T513="",I513&lt;T513),"",IFERROR(R513/IF(G513="",I513,G513)-1,""))</f>
        <v/>
      </c>
      <c r="R513" s="48">
        <f>IF($M513="","",MAX(IF($G513="",$I513,$G513)*(1/1.1),IF($G513="",$I513,$G513)+(R$2*$M513)))</f>
        <v/>
      </c>
      <c r="S513" s="49">
        <f>IF($M513="","",MAX(IF($G513="",$I513,$G513)*(1/1.1),IF($G513="",$I513,$G513)+(S$2*$M513)))</f>
        <v/>
      </c>
      <c r="T513" s="82" t="n"/>
      <c r="U513" s="47">
        <f>IF(OR($M513="",$T513=""),"",$T513+(U$2*$M513))</f>
        <v/>
      </c>
      <c r="V513" s="48">
        <f>IF(OR($M513="",$T513=""),"",$T513+(V$2*$M513))</f>
        <v/>
      </c>
      <c r="W513" s="48">
        <f>IF(OR($M513="",$T513=""),"",$T513+(W$2*$M513))</f>
        <v/>
      </c>
      <c r="X513" s="49">
        <f>IF(OR($M513="",$T513=""),"",$T513+(X$2*$M513))</f>
        <v/>
      </c>
      <c r="Y513" s="47">
        <f>IF(OR($M513="",$T513=""),"",$T513+(Y$2*$M513))</f>
        <v/>
      </c>
      <c r="Z513" s="49">
        <f>IF(OR($M513="",$T513=""),"",$T513+(Z$2*$M513))</f>
        <v/>
      </c>
      <c r="AA513" s="51">
        <f>IF(OR($M513="",$T513=""),"",$T513+(AA$2*$M513))</f>
        <v/>
      </c>
      <c r="AB513" s="48">
        <f>IF(OR($M513="",$T513=""),"",$T513+(AB$2*$M513))</f>
        <v/>
      </c>
      <c r="AC513" s="48">
        <f>IF(OR($M513="",$T513=""),"",$T513+(AC$2*$M513))</f>
        <v/>
      </c>
      <c r="AD513" s="48">
        <f>IF(OR($M513="",$T513=""),"",$T513+(AD$2*$M513))</f>
        <v/>
      </c>
      <c r="AE513" s="49">
        <f>IF(OR($M513="",$T513=""),"",$T513+(AE$2*$M513))</f>
        <v/>
      </c>
      <c r="AF513" s="52">
        <f>IF(OR(T513="",I513&lt;T513),"",IFERROR(AVERAGE(T513+M513*{7,8,9,10,11})/IF(G513="",I513,G513)-1,""))</f>
        <v/>
      </c>
      <c r="AG513" s="55">
        <f>IF(OR(T513="",I513&lt;T513),"",IFERROR(AF513/-(R513/IF(G513="",I513,G513)-1),""))</f>
        <v/>
      </c>
      <c r="AH513" s="94" t="n"/>
      <c r="AI513" s="94" t="n"/>
      <c r="AJ513" s="94" t="n"/>
      <c r="AK513" s="94" t="n"/>
      <c r="AL513" s="84" t="n"/>
    </row>
    <row r="514">
      <c r="A514" s="64" t="n"/>
      <c r="B514" s="65" t="n"/>
      <c r="C514" s="66" t="n"/>
      <c r="D514" s="67" t="n"/>
      <c r="E514" s="68" t="n"/>
      <c r="F514" s="47">
        <f>IF(A514="","",IF(MIN(H514,MAX(J514:K514))=0,"",MIN(H514,MAX(J514:K514))))</f>
        <v/>
      </c>
      <c r="G514" s="74" t="n"/>
      <c r="H514" s="49">
        <f>IF(M514="","",IFERROR(ROUND(AVERAGE(T514+M514*{7,8,9,10,11})/1.21,4),""))</f>
        <v/>
      </c>
      <c r="I514" s="76" t="n"/>
      <c r="J514" s="77" t="n"/>
      <c r="K514" s="74" t="n"/>
      <c r="L514" s="78" t="n"/>
      <c r="M514" s="77" t="n"/>
      <c r="N514" s="53">
        <f>IF(M514="","",IFERROR(M514/I514,""))</f>
        <v/>
      </c>
      <c r="O514" s="50">
        <f>IF(A514="","",IFERROR((IF(G514="",I514,G514)-T514)/M514,""))</f>
        <v/>
      </c>
      <c r="P514" s="50">
        <f>IFERROR((I514/T514-1)/N514,"")</f>
        <v/>
      </c>
      <c r="Q514" s="46">
        <f>IF(OR(T514="",I514&lt;T514),"",IFERROR(R514/IF(G514="",I514,G514)-1,""))</f>
        <v/>
      </c>
      <c r="R514" s="48">
        <f>IF($M514="","",MAX(IF($G514="",$I514,$G514)*(1/1.1),IF($G514="",$I514,$G514)+(R$2*$M514)))</f>
        <v/>
      </c>
      <c r="S514" s="49">
        <f>IF($M514="","",MAX(IF($G514="",$I514,$G514)*(1/1.1),IF($G514="",$I514,$G514)+(S$2*$M514)))</f>
        <v/>
      </c>
      <c r="T514" s="82" t="n"/>
      <c r="U514" s="47">
        <f>IF(OR($M514="",$T514=""),"",$T514+(U$2*$M514))</f>
        <v/>
      </c>
      <c r="V514" s="48">
        <f>IF(OR($M514="",$T514=""),"",$T514+(V$2*$M514))</f>
        <v/>
      </c>
      <c r="W514" s="48">
        <f>IF(OR($M514="",$T514=""),"",$T514+(W$2*$M514))</f>
        <v/>
      </c>
      <c r="X514" s="49">
        <f>IF(OR($M514="",$T514=""),"",$T514+(X$2*$M514))</f>
        <v/>
      </c>
      <c r="Y514" s="47">
        <f>IF(OR($M514="",$T514=""),"",$T514+(Y$2*$M514))</f>
        <v/>
      </c>
      <c r="Z514" s="49">
        <f>IF(OR($M514="",$T514=""),"",$T514+(Z$2*$M514))</f>
        <v/>
      </c>
      <c r="AA514" s="51">
        <f>IF(OR($M514="",$T514=""),"",$T514+(AA$2*$M514))</f>
        <v/>
      </c>
      <c r="AB514" s="48">
        <f>IF(OR($M514="",$T514=""),"",$T514+(AB$2*$M514))</f>
        <v/>
      </c>
      <c r="AC514" s="48">
        <f>IF(OR($M514="",$T514=""),"",$T514+(AC$2*$M514))</f>
        <v/>
      </c>
      <c r="AD514" s="48">
        <f>IF(OR($M514="",$T514=""),"",$T514+(AD$2*$M514))</f>
        <v/>
      </c>
      <c r="AE514" s="49">
        <f>IF(OR($M514="",$T514=""),"",$T514+(AE$2*$M514))</f>
        <v/>
      </c>
      <c r="AF514" s="52">
        <f>IF(OR(T514="",I514&lt;T514),"",IFERROR(AVERAGE(T514+M514*{7,8,9,10,11})/IF(G514="",I514,G514)-1,""))</f>
        <v/>
      </c>
      <c r="AG514" s="55">
        <f>IF(OR(T514="",I514&lt;T514),"",IFERROR(AF514/-(R514/IF(G514="",I514,G514)-1),""))</f>
        <v/>
      </c>
      <c r="AH514" s="94" t="n"/>
      <c r="AI514" s="94" t="n"/>
      <c r="AJ514" s="94" t="n"/>
      <c r="AK514" s="94" t="n"/>
      <c r="AL514" s="84" t="n"/>
    </row>
    <row r="515">
      <c r="A515" s="64" t="n"/>
      <c r="B515" s="65" t="n"/>
      <c r="C515" s="66" t="n"/>
      <c r="D515" s="67" t="n"/>
      <c r="E515" s="68" t="n"/>
      <c r="F515" s="47">
        <f>IF(A515="","",IF(MIN(H515,MAX(J515:K515))=0,"",MIN(H515,MAX(J515:K515))))</f>
        <v/>
      </c>
      <c r="G515" s="74" t="n"/>
      <c r="H515" s="49">
        <f>IF(M515="","",IFERROR(ROUND(AVERAGE(T515+M515*{7,8,9,10,11})/1.21,4),""))</f>
        <v/>
      </c>
      <c r="I515" s="76" t="n"/>
      <c r="J515" s="77" t="n"/>
      <c r="K515" s="74" t="n"/>
      <c r="L515" s="78" t="n"/>
      <c r="M515" s="77" t="n"/>
      <c r="N515" s="53">
        <f>IF(M515="","",IFERROR(M515/I515,""))</f>
        <v/>
      </c>
      <c r="O515" s="50">
        <f>IF(A515="","",IFERROR((IF(G515="",I515,G515)-T515)/M515,""))</f>
        <v/>
      </c>
      <c r="P515" s="50">
        <f>IFERROR((I515/T515-1)/N515,"")</f>
        <v/>
      </c>
      <c r="Q515" s="46">
        <f>IF(OR(T515="",I515&lt;T515),"",IFERROR(R515/IF(G515="",I515,G515)-1,""))</f>
        <v/>
      </c>
      <c r="R515" s="48">
        <f>IF($M515="","",MAX(IF($G515="",$I515,$G515)*(1/1.1),IF($G515="",$I515,$G515)+(R$2*$M515)))</f>
        <v/>
      </c>
      <c r="S515" s="49">
        <f>IF($M515="","",MAX(IF($G515="",$I515,$G515)*(1/1.1),IF($G515="",$I515,$G515)+(S$2*$M515)))</f>
        <v/>
      </c>
      <c r="T515" s="82" t="n"/>
      <c r="U515" s="47">
        <f>IF(OR($M515="",$T515=""),"",$T515+(U$2*$M515))</f>
        <v/>
      </c>
      <c r="V515" s="48">
        <f>IF(OR($M515="",$T515=""),"",$T515+(V$2*$M515))</f>
        <v/>
      </c>
      <c r="W515" s="48">
        <f>IF(OR($M515="",$T515=""),"",$T515+(W$2*$M515))</f>
        <v/>
      </c>
      <c r="X515" s="49">
        <f>IF(OR($M515="",$T515=""),"",$T515+(X$2*$M515))</f>
        <v/>
      </c>
      <c r="Y515" s="47">
        <f>IF(OR($M515="",$T515=""),"",$T515+(Y$2*$M515))</f>
        <v/>
      </c>
      <c r="Z515" s="49">
        <f>IF(OR($M515="",$T515=""),"",$T515+(Z$2*$M515))</f>
        <v/>
      </c>
      <c r="AA515" s="51">
        <f>IF(OR($M515="",$T515=""),"",$T515+(AA$2*$M515))</f>
        <v/>
      </c>
      <c r="AB515" s="48">
        <f>IF(OR($M515="",$T515=""),"",$T515+(AB$2*$M515))</f>
        <v/>
      </c>
      <c r="AC515" s="48">
        <f>IF(OR($M515="",$T515=""),"",$T515+(AC$2*$M515))</f>
        <v/>
      </c>
      <c r="AD515" s="48">
        <f>IF(OR($M515="",$T515=""),"",$T515+(AD$2*$M515))</f>
        <v/>
      </c>
      <c r="AE515" s="49">
        <f>IF(OR($M515="",$T515=""),"",$T515+(AE$2*$M515))</f>
        <v/>
      </c>
      <c r="AF515" s="52">
        <f>IF(OR(T515="",I515&lt;T515),"",IFERROR(AVERAGE(T515+M515*{7,8,9,10,11})/IF(G515="",I515,G515)-1,""))</f>
        <v/>
      </c>
      <c r="AG515" s="55">
        <f>IF(OR(T515="",I515&lt;T515),"",IFERROR(AF515/-(R515/IF(G515="",I515,G515)-1),""))</f>
        <v/>
      </c>
      <c r="AH515" s="94" t="n"/>
      <c r="AI515" s="94" t="n"/>
      <c r="AJ515" s="94" t="n"/>
      <c r="AK515" s="94" t="n"/>
      <c r="AL515" s="84" t="n"/>
    </row>
    <row r="516">
      <c r="A516" s="64" t="n"/>
      <c r="B516" s="65" t="n"/>
      <c r="C516" s="66" t="n"/>
      <c r="D516" s="67" t="n"/>
      <c r="E516" s="68" t="n"/>
      <c r="F516" s="47">
        <f>IF(A516="","",IF(MIN(H516,MAX(J516:K516))=0,"",MIN(H516,MAX(J516:K516))))</f>
        <v/>
      </c>
      <c r="G516" s="74" t="n"/>
      <c r="H516" s="49">
        <f>IF(M516="","",IFERROR(ROUND(AVERAGE(T516+M516*{7,8,9,10,11})/1.21,4),""))</f>
        <v/>
      </c>
      <c r="I516" s="76" t="n"/>
      <c r="J516" s="77" t="n"/>
      <c r="K516" s="74" t="n"/>
      <c r="L516" s="78" t="n"/>
      <c r="M516" s="77" t="n"/>
      <c r="N516" s="53">
        <f>IF(M516="","",IFERROR(M516/I516,""))</f>
        <v/>
      </c>
      <c r="O516" s="50">
        <f>IF(A516="","",IFERROR((IF(G516="",I516,G516)-T516)/M516,""))</f>
        <v/>
      </c>
      <c r="P516" s="50">
        <f>IFERROR((I516/T516-1)/N516,"")</f>
        <v/>
      </c>
      <c r="Q516" s="46">
        <f>IF(OR(T516="",I516&lt;T516),"",IFERROR(R516/IF(G516="",I516,G516)-1,""))</f>
        <v/>
      </c>
      <c r="R516" s="48">
        <f>IF($M516="","",MAX(IF($G516="",$I516,$G516)*(1/1.1),IF($G516="",$I516,$G516)+(R$2*$M516)))</f>
        <v/>
      </c>
      <c r="S516" s="49">
        <f>IF($M516="","",MAX(IF($G516="",$I516,$G516)*(1/1.1),IF($G516="",$I516,$G516)+(S$2*$M516)))</f>
        <v/>
      </c>
      <c r="T516" s="82" t="n"/>
      <c r="U516" s="47">
        <f>IF(OR($M516="",$T516=""),"",$T516+(U$2*$M516))</f>
        <v/>
      </c>
      <c r="V516" s="48">
        <f>IF(OR($M516="",$T516=""),"",$T516+(V$2*$M516))</f>
        <v/>
      </c>
      <c r="W516" s="48">
        <f>IF(OR($M516="",$T516=""),"",$T516+(W$2*$M516))</f>
        <v/>
      </c>
      <c r="X516" s="49">
        <f>IF(OR($M516="",$T516=""),"",$T516+(X$2*$M516))</f>
        <v/>
      </c>
      <c r="Y516" s="47">
        <f>IF(OR($M516="",$T516=""),"",$T516+(Y$2*$M516))</f>
        <v/>
      </c>
      <c r="Z516" s="49">
        <f>IF(OR($M516="",$T516=""),"",$T516+(Z$2*$M516))</f>
        <v/>
      </c>
      <c r="AA516" s="51">
        <f>IF(OR($M516="",$T516=""),"",$T516+(AA$2*$M516))</f>
        <v/>
      </c>
      <c r="AB516" s="48">
        <f>IF(OR($M516="",$T516=""),"",$T516+(AB$2*$M516))</f>
        <v/>
      </c>
      <c r="AC516" s="48">
        <f>IF(OR($M516="",$T516=""),"",$T516+(AC$2*$M516))</f>
        <v/>
      </c>
      <c r="AD516" s="48">
        <f>IF(OR($M516="",$T516=""),"",$T516+(AD$2*$M516))</f>
        <v/>
      </c>
      <c r="AE516" s="49">
        <f>IF(OR($M516="",$T516=""),"",$T516+(AE$2*$M516))</f>
        <v/>
      </c>
      <c r="AF516" s="52">
        <f>IF(OR(T516="",I516&lt;T516),"",IFERROR(AVERAGE(T516+M516*{7,8,9,10,11})/IF(G516="",I516,G516)-1,""))</f>
        <v/>
      </c>
      <c r="AG516" s="55">
        <f>IF(OR(T516="",I516&lt;T516),"",IFERROR(AF516/-(R516/IF(G516="",I516,G516)-1),""))</f>
        <v/>
      </c>
      <c r="AH516" s="94" t="n"/>
      <c r="AI516" s="94" t="n"/>
      <c r="AJ516" s="94" t="n"/>
      <c r="AK516" s="94" t="n"/>
      <c r="AL516" s="84" t="n"/>
    </row>
    <row r="517">
      <c r="A517" s="64" t="n"/>
      <c r="B517" s="65" t="n"/>
      <c r="C517" s="66" t="n"/>
      <c r="D517" s="67" t="n"/>
      <c r="E517" s="68" t="n"/>
      <c r="F517" s="47">
        <f>IF(A517="","",IF(MIN(H517,MAX(J517:K517))=0,"",MIN(H517,MAX(J517:K517))))</f>
        <v/>
      </c>
      <c r="G517" s="74" t="n"/>
      <c r="H517" s="49">
        <f>IF(M517="","",IFERROR(ROUND(AVERAGE(T517+M517*{7,8,9,10,11})/1.21,4),""))</f>
        <v/>
      </c>
      <c r="I517" s="76" t="n"/>
      <c r="J517" s="77" t="n"/>
      <c r="K517" s="74" t="n"/>
      <c r="L517" s="78" t="n"/>
      <c r="M517" s="77" t="n"/>
      <c r="N517" s="53">
        <f>IF(M517="","",IFERROR(M517/I517,""))</f>
        <v/>
      </c>
      <c r="O517" s="50">
        <f>IF(A517="","",IFERROR((IF(G517="",I517,G517)-T517)/M517,""))</f>
        <v/>
      </c>
      <c r="P517" s="50">
        <f>IFERROR((I517/T517-1)/N517,"")</f>
        <v/>
      </c>
      <c r="Q517" s="46">
        <f>IF(OR(T517="",I517&lt;T517),"",IFERROR(R517/IF(G517="",I517,G517)-1,""))</f>
        <v/>
      </c>
      <c r="R517" s="48">
        <f>IF($M517="","",MAX(IF($G517="",$I517,$G517)*(1/1.1),IF($G517="",$I517,$G517)+(R$2*$M517)))</f>
        <v/>
      </c>
      <c r="S517" s="49">
        <f>IF($M517="","",MAX(IF($G517="",$I517,$G517)*(1/1.1),IF($G517="",$I517,$G517)+(S$2*$M517)))</f>
        <v/>
      </c>
      <c r="T517" s="82" t="n"/>
      <c r="U517" s="47">
        <f>IF(OR($M517="",$T517=""),"",$T517+(U$2*$M517))</f>
        <v/>
      </c>
      <c r="V517" s="48">
        <f>IF(OR($M517="",$T517=""),"",$T517+(V$2*$M517))</f>
        <v/>
      </c>
      <c r="W517" s="48">
        <f>IF(OR($M517="",$T517=""),"",$T517+(W$2*$M517))</f>
        <v/>
      </c>
      <c r="X517" s="49">
        <f>IF(OR($M517="",$T517=""),"",$T517+(X$2*$M517))</f>
        <v/>
      </c>
      <c r="Y517" s="47">
        <f>IF(OR($M517="",$T517=""),"",$T517+(Y$2*$M517))</f>
        <v/>
      </c>
      <c r="Z517" s="49">
        <f>IF(OR($M517="",$T517=""),"",$T517+(Z$2*$M517))</f>
        <v/>
      </c>
      <c r="AA517" s="51">
        <f>IF(OR($M517="",$T517=""),"",$T517+(AA$2*$M517))</f>
        <v/>
      </c>
      <c r="AB517" s="48">
        <f>IF(OR($M517="",$T517=""),"",$T517+(AB$2*$M517))</f>
        <v/>
      </c>
      <c r="AC517" s="48">
        <f>IF(OR($M517="",$T517=""),"",$T517+(AC$2*$M517))</f>
        <v/>
      </c>
      <c r="AD517" s="48">
        <f>IF(OR($M517="",$T517=""),"",$T517+(AD$2*$M517))</f>
        <v/>
      </c>
      <c r="AE517" s="49">
        <f>IF(OR($M517="",$T517=""),"",$T517+(AE$2*$M517))</f>
        <v/>
      </c>
      <c r="AF517" s="52">
        <f>IF(OR(T517="",I517&lt;T517),"",IFERROR(AVERAGE(T517+M517*{7,8,9,10,11})/IF(G517="",I517,G517)-1,""))</f>
        <v/>
      </c>
      <c r="AG517" s="55">
        <f>IF(OR(T517="",I517&lt;T517),"",IFERROR(AF517/-(R517/IF(G517="",I517,G517)-1),""))</f>
        <v/>
      </c>
      <c r="AH517" s="94" t="n"/>
      <c r="AI517" s="94" t="n"/>
      <c r="AJ517" s="94" t="n"/>
      <c r="AK517" s="94" t="n"/>
      <c r="AL517" s="84" t="n"/>
    </row>
    <row r="518">
      <c r="A518" s="64" t="n"/>
      <c r="B518" s="65" t="n"/>
      <c r="C518" s="66" t="n"/>
      <c r="D518" s="67" t="n"/>
      <c r="E518" s="68" t="n"/>
      <c r="F518" s="47">
        <f>IF(A518="","",IF(MIN(H518,MAX(J518:K518))=0,"",MIN(H518,MAX(J518:K518))))</f>
        <v/>
      </c>
      <c r="G518" s="74" t="n"/>
      <c r="H518" s="49">
        <f>IF(M518="","",IFERROR(ROUND(AVERAGE(T518+M518*{7,8,9,10,11})/1.21,4),""))</f>
        <v/>
      </c>
      <c r="I518" s="76" t="n"/>
      <c r="J518" s="77" t="n"/>
      <c r="K518" s="74" t="n"/>
      <c r="L518" s="78" t="n"/>
      <c r="M518" s="77" t="n"/>
      <c r="N518" s="53">
        <f>IF(M518="","",IFERROR(M518/I518,""))</f>
        <v/>
      </c>
      <c r="O518" s="50">
        <f>IF(A518="","",IFERROR((IF(G518="",I518,G518)-T518)/M518,""))</f>
        <v/>
      </c>
      <c r="P518" s="50">
        <f>IFERROR((I518/T518-1)/N518,"")</f>
        <v/>
      </c>
      <c r="Q518" s="46">
        <f>IF(OR(T518="",I518&lt;T518),"",IFERROR(R518/IF(G518="",I518,G518)-1,""))</f>
        <v/>
      </c>
      <c r="R518" s="48">
        <f>IF($M518="","",MAX(IF($G518="",$I518,$G518)*(1/1.1),IF($G518="",$I518,$G518)+(R$2*$M518)))</f>
        <v/>
      </c>
      <c r="S518" s="49">
        <f>IF($M518="","",MAX(IF($G518="",$I518,$G518)*(1/1.1),IF($G518="",$I518,$G518)+(S$2*$M518)))</f>
        <v/>
      </c>
      <c r="T518" s="82" t="n"/>
      <c r="U518" s="47">
        <f>IF(OR($M518="",$T518=""),"",$T518+(U$2*$M518))</f>
        <v/>
      </c>
      <c r="V518" s="48">
        <f>IF(OR($M518="",$T518=""),"",$T518+(V$2*$M518))</f>
        <v/>
      </c>
      <c r="W518" s="48">
        <f>IF(OR($M518="",$T518=""),"",$T518+(W$2*$M518))</f>
        <v/>
      </c>
      <c r="X518" s="49">
        <f>IF(OR($M518="",$T518=""),"",$T518+(X$2*$M518))</f>
        <v/>
      </c>
      <c r="Y518" s="47">
        <f>IF(OR($M518="",$T518=""),"",$T518+(Y$2*$M518))</f>
        <v/>
      </c>
      <c r="Z518" s="49">
        <f>IF(OR($M518="",$T518=""),"",$T518+(Z$2*$M518))</f>
        <v/>
      </c>
      <c r="AA518" s="51">
        <f>IF(OR($M518="",$T518=""),"",$T518+(AA$2*$M518))</f>
        <v/>
      </c>
      <c r="AB518" s="48">
        <f>IF(OR($M518="",$T518=""),"",$T518+(AB$2*$M518))</f>
        <v/>
      </c>
      <c r="AC518" s="48">
        <f>IF(OR($M518="",$T518=""),"",$T518+(AC$2*$M518))</f>
        <v/>
      </c>
      <c r="AD518" s="48">
        <f>IF(OR($M518="",$T518=""),"",$T518+(AD$2*$M518))</f>
        <v/>
      </c>
      <c r="AE518" s="49">
        <f>IF(OR($M518="",$T518=""),"",$T518+(AE$2*$M518))</f>
        <v/>
      </c>
      <c r="AF518" s="52">
        <f>IF(OR(T518="",I518&lt;T518),"",IFERROR(AVERAGE(T518+M518*{7,8,9,10,11})/IF(G518="",I518,G518)-1,""))</f>
        <v/>
      </c>
      <c r="AG518" s="55">
        <f>IF(OR(T518="",I518&lt;T518),"",IFERROR(AF518/-(R518/IF(G518="",I518,G518)-1),""))</f>
        <v/>
      </c>
      <c r="AH518" s="94" t="n"/>
      <c r="AI518" s="94" t="n"/>
      <c r="AJ518" s="94" t="n"/>
      <c r="AK518" s="94" t="n"/>
      <c r="AL518" s="84" t="n"/>
    </row>
    <row r="519">
      <c r="A519" s="64" t="n"/>
      <c r="B519" s="65" t="n"/>
      <c r="C519" s="66" t="n"/>
      <c r="D519" s="67" t="n"/>
      <c r="E519" s="68" t="n"/>
      <c r="F519" s="47">
        <f>IF(A519="","",IF(MIN(H519,MAX(J519:K519))=0,"",MIN(H519,MAX(J519:K519))))</f>
        <v/>
      </c>
      <c r="G519" s="74" t="n"/>
      <c r="H519" s="49">
        <f>IF(M519="","",IFERROR(ROUND(AVERAGE(T519+M519*{7,8,9,10,11})/1.21,4),""))</f>
        <v/>
      </c>
      <c r="I519" s="76" t="n"/>
      <c r="J519" s="77" t="n"/>
      <c r="K519" s="74" t="n"/>
      <c r="L519" s="78" t="n"/>
      <c r="M519" s="77" t="n"/>
      <c r="N519" s="53">
        <f>IF(M519="","",IFERROR(M519/I519,""))</f>
        <v/>
      </c>
      <c r="O519" s="50">
        <f>IF(A519="","",IFERROR((IF(G519="",I519,G519)-T519)/M519,""))</f>
        <v/>
      </c>
      <c r="P519" s="50">
        <f>IFERROR((I519/T519-1)/N519,"")</f>
        <v/>
      </c>
      <c r="Q519" s="46">
        <f>IF(OR(T519="",I519&lt;T519),"",IFERROR(R519/IF(G519="",I519,G519)-1,""))</f>
        <v/>
      </c>
      <c r="R519" s="48">
        <f>IF($M519="","",MAX(IF($G519="",$I519,$G519)*(1/1.1),IF($G519="",$I519,$G519)+(R$2*$M519)))</f>
        <v/>
      </c>
      <c r="S519" s="49">
        <f>IF($M519="","",MAX(IF($G519="",$I519,$G519)*(1/1.1),IF($G519="",$I519,$G519)+(S$2*$M519)))</f>
        <v/>
      </c>
      <c r="T519" s="82" t="n"/>
      <c r="U519" s="47">
        <f>IF(OR($M519="",$T519=""),"",$T519+(U$2*$M519))</f>
        <v/>
      </c>
      <c r="V519" s="48">
        <f>IF(OR($M519="",$T519=""),"",$T519+(V$2*$M519))</f>
        <v/>
      </c>
      <c r="W519" s="48">
        <f>IF(OR($M519="",$T519=""),"",$T519+(W$2*$M519))</f>
        <v/>
      </c>
      <c r="X519" s="49">
        <f>IF(OR($M519="",$T519=""),"",$T519+(X$2*$M519))</f>
        <v/>
      </c>
      <c r="Y519" s="47">
        <f>IF(OR($M519="",$T519=""),"",$T519+(Y$2*$M519))</f>
        <v/>
      </c>
      <c r="Z519" s="49">
        <f>IF(OR($M519="",$T519=""),"",$T519+(Z$2*$M519))</f>
        <v/>
      </c>
      <c r="AA519" s="51">
        <f>IF(OR($M519="",$T519=""),"",$T519+(AA$2*$M519))</f>
        <v/>
      </c>
      <c r="AB519" s="48">
        <f>IF(OR($M519="",$T519=""),"",$T519+(AB$2*$M519))</f>
        <v/>
      </c>
      <c r="AC519" s="48">
        <f>IF(OR($M519="",$T519=""),"",$T519+(AC$2*$M519))</f>
        <v/>
      </c>
      <c r="AD519" s="48">
        <f>IF(OR($M519="",$T519=""),"",$T519+(AD$2*$M519))</f>
        <v/>
      </c>
      <c r="AE519" s="49">
        <f>IF(OR($M519="",$T519=""),"",$T519+(AE$2*$M519))</f>
        <v/>
      </c>
      <c r="AF519" s="52">
        <f>IF(OR(T519="",I519&lt;T519),"",IFERROR(AVERAGE(T519+M519*{7,8,9,10,11})/IF(G519="",I519,G519)-1,""))</f>
        <v/>
      </c>
      <c r="AG519" s="55">
        <f>IF(OR(T519="",I519&lt;T519),"",IFERROR(AF519/-(R519/IF(G519="",I519,G519)-1),""))</f>
        <v/>
      </c>
      <c r="AH519" s="94" t="n"/>
      <c r="AI519" s="94" t="n"/>
      <c r="AJ519" s="94" t="n"/>
      <c r="AK519" s="94" t="n"/>
      <c r="AL519" s="84" t="n"/>
    </row>
    <row r="520">
      <c r="A520" s="64" t="n"/>
      <c r="B520" s="65" t="n"/>
      <c r="C520" s="66" t="n"/>
      <c r="D520" s="67" t="n"/>
      <c r="E520" s="68" t="n"/>
      <c r="F520" s="47">
        <f>IF(A520="","",IF(MIN(H520,MAX(J520:K520))=0,"",MIN(H520,MAX(J520:K520))))</f>
        <v/>
      </c>
      <c r="G520" s="74" t="n"/>
      <c r="H520" s="49">
        <f>IF(M520="","",IFERROR(ROUND(AVERAGE(T520+M520*{7,8,9,10,11})/1.21,4),""))</f>
        <v/>
      </c>
      <c r="I520" s="76" t="n"/>
      <c r="J520" s="77" t="n"/>
      <c r="K520" s="74" t="n"/>
      <c r="L520" s="78" t="n"/>
      <c r="M520" s="77" t="n"/>
      <c r="N520" s="53">
        <f>IF(M520="","",IFERROR(M520/I520,""))</f>
        <v/>
      </c>
      <c r="O520" s="50">
        <f>IF(A520="","",IFERROR((IF(G520="",I520,G520)-T520)/M520,""))</f>
        <v/>
      </c>
      <c r="P520" s="50">
        <f>IFERROR((I520/T520-1)/N520,"")</f>
        <v/>
      </c>
      <c r="Q520" s="46">
        <f>IF(OR(T520="",I520&lt;T520),"",IFERROR(R520/IF(G520="",I520,G520)-1,""))</f>
        <v/>
      </c>
      <c r="R520" s="48">
        <f>IF($M520="","",MAX(IF($G520="",$I520,$G520)*(1/1.1),IF($G520="",$I520,$G520)+(R$2*$M520)))</f>
        <v/>
      </c>
      <c r="S520" s="49">
        <f>IF($M520="","",MAX(IF($G520="",$I520,$G520)*(1/1.1),IF($G520="",$I520,$G520)+(S$2*$M520)))</f>
        <v/>
      </c>
      <c r="T520" s="82" t="n"/>
      <c r="U520" s="47">
        <f>IF(OR($M520="",$T520=""),"",$T520+(U$2*$M520))</f>
        <v/>
      </c>
      <c r="V520" s="48">
        <f>IF(OR($M520="",$T520=""),"",$T520+(V$2*$M520))</f>
        <v/>
      </c>
      <c r="W520" s="48">
        <f>IF(OR($M520="",$T520=""),"",$T520+(W$2*$M520))</f>
        <v/>
      </c>
      <c r="X520" s="49">
        <f>IF(OR($M520="",$T520=""),"",$T520+(X$2*$M520))</f>
        <v/>
      </c>
      <c r="Y520" s="47">
        <f>IF(OR($M520="",$T520=""),"",$T520+(Y$2*$M520))</f>
        <v/>
      </c>
      <c r="Z520" s="49">
        <f>IF(OR($M520="",$T520=""),"",$T520+(Z$2*$M520))</f>
        <v/>
      </c>
      <c r="AA520" s="51">
        <f>IF(OR($M520="",$T520=""),"",$T520+(AA$2*$M520))</f>
        <v/>
      </c>
      <c r="AB520" s="48">
        <f>IF(OR($M520="",$T520=""),"",$T520+(AB$2*$M520))</f>
        <v/>
      </c>
      <c r="AC520" s="48">
        <f>IF(OR($M520="",$T520=""),"",$T520+(AC$2*$M520))</f>
        <v/>
      </c>
      <c r="AD520" s="48">
        <f>IF(OR($M520="",$T520=""),"",$T520+(AD$2*$M520))</f>
        <v/>
      </c>
      <c r="AE520" s="49">
        <f>IF(OR($M520="",$T520=""),"",$T520+(AE$2*$M520))</f>
        <v/>
      </c>
      <c r="AF520" s="52">
        <f>IF(OR(T520="",I520&lt;T520),"",IFERROR(AVERAGE(T520+M520*{7,8,9,10,11})/IF(G520="",I520,G520)-1,""))</f>
        <v/>
      </c>
      <c r="AG520" s="55">
        <f>IF(OR(T520="",I520&lt;T520),"",IFERROR(AF520/-(R520/IF(G520="",I520,G520)-1),""))</f>
        <v/>
      </c>
      <c r="AH520" s="94" t="n"/>
      <c r="AI520" s="94" t="n"/>
      <c r="AJ520" s="94" t="n"/>
      <c r="AK520" s="94" t="n"/>
      <c r="AL520" s="84" t="n"/>
    </row>
    <row r="521">
      <c r="A521" s="64" t="n"/>
      <c r="B521" s="65" t="n"/>
      <c r="C521" s="66" t="n"/>
      <c r="D521" s="67" t="n"/>
      <c r="E521" s="68" t="n"/>
      <c r="F521" s="47">
        <f>IF(A521="","",IF(MIN(H521,MAX(J521:K521))=0,"",MIN(H521,MAX(J521:K521))))</f>
        <v/>
      </c>
      <c r="G521" s="74" t="n"/>
      <c r="H521" s="49">
        <f>IF(M521="","",IFERROR(ROUND(AVERAGE(T521+M521*{7,8,9,10,11})/1.21,4),""))</f>
        <v/>
      </c>
      <c r="I521" s="76" t="n"/>
      <c r="J521" s="77" t="n"/>
      <c r="K521" s="74" t="n"/>
      <c r="L521" s="78" t="n"/>
      <c r="M521" s="77" t="n"/>
      <c r="N521" s="53">
        <f>IF(M521="","",IFERROR(M521/I521,""))</f>
        <v/>
      </c>
      <c r="O521" s="50">
        <f>IF(A521="","",IFERROR((IF(G521="",I521,G521)-T521)/M521,""))</f>
        <v/>
      </c>
      <c r="P521" s="50">
        <f>IFERROR((I521/T521-1)/N521,"")</f>
        <v/>
      </c>
      <c r="Q521" s="46">
        <f>IF(OR(T521="",I521&lt;T521),"",IFERROR(R521/IF(G521="",I521,G521)-1,""))</f>
        <v/>
      </c>
      <c r="R521" s="48">
        <f>IF($M521="","",MAX(IF($G521="",$I521,$G521)*(1/1.1),IF($G521="",$I521,$G521)+(R$2*$M521)))</f>
        <v/>
      </c>
      <c r="S521" s="49">
        <f>IF($M521="","",MAX(IF($G521="",$I521,$G521)*(1/1.1),IF($G521="",$I521,$G521)+(S$2*$M521)))</f>
        <v/>
      </c>
      <c r="T521" s="82" t="n"/>
      <c r="U521" s="47">
        <f>IF(OR($M521="",$T521=""),"",$T521+(U$2*$M521))</f>
        <v/>
      </c>
      <c r="V521" s="48">
        <f>IF(OR($M521="",$T521=""),"",$T521+(V$2*$M521))</f>
        <v/>
      </c>
      <c r="W521" s="48">
        <f>IF(OR($M521="",$T521=""),"",$T521+(W$2*$M521))</f>
        <v/>
      </c>
      <c r="X521" s="49">
        <f>IF(OR($M521="",$T521=""),"",$T521+(X$2*$M521))</f>
        <v/>
      </c>
      <c r="Y521" s="47">
        <f>IF(OR($M521="",$T521=""),"",$T521+(Y$2*$M521))</f>
        <v/>
      </c>
      <c r="Z521" s="49">
        <f>IF(OR($M521="",$T521=""),"",$T521+(Z$2*$M521))</f>
        <v/>
      </c>
      <c r="AA521" s="51">
        <f>IF(OR($M521="",$T521=""),"",$T521+(AA$2*$M521))</f>
        <v/>
      </c>
      <c r="AB521" s="48">
        <f>IF(OR($M521="",$T521=""),"",$T521+(AB$2*$M521))</f>
        <v/>
      </c>
      <c r="AC521" s="48">
        <f>IF(OR($M521="",$T521=""),"",$T521+(AC$2*$M521))</f>
        <v/>
      </c>
      <c r="AD521" s="48">
        <f>IF(OR($M521="",$T521=""),"",$T521+(AD$2*$M521))</f>
        <v/>
      </c>
      <c r="AE521" s="49">
        <f>IF(OR($M521="",$T521=""),"",$T521+(AE$2*$M521))</f>
        <v/>
      </c>
      <c r="AF521" s="52">
        <f>IF(OR(T521="",I521&lt;T521),"",IFERROR(AVERAGE(T521+M521*{7,8,9,10,11})/IF(G521="",I521,G521)-1,""))</f>
        <v/>
      </c>
      <c r="AG521" s="55">
        <f>IF(OR(T521="",I521&lt;T521),"",IFERROR(AF521/-(R521/IF(G521="",I521,G521)-1),""))</f>
        <v/>
      </c>
      <c r="AH521" s="94" t="n"/>
      <c r="AI521" s="94" t="n"/>
      <c r="AJ521" s="94" t="n"/>
      <c r="AK521" s="94" t="n"/>
      <c r="AL521" s="84" t="n"/>
    </row>
    <row r="522">
      <c r="A522" s="64" t="n"/>
      <c r="B522" s="65" t="n"/>
      <c r="C522" s="66" t="n"/>
      <c r="D522" s="67" t="n"/>
      <c r="E522" s="68" t="n"/>
      <c r="F522" s="47">
        <f>IF(A522="","",IF(MIN(H522,MAX(J522:K522))=0,"",MIN(H522,MAX(J522:K522))))</f>
        <v/>
      </c>
      <c r="G522" s="74" t="n"/>
      <c r="H522" s="49">
        <f>IF(M522="","",IFERROR(ROUND(AVERAGE(T522+M522*{7,8,9,10,11})/1.21,4),""))</f>
        <v/>
      </c>
      <c r="I522" s="76" t="n"/>
      <c r="J522" s="77" t="n"/>
      <c r="K522" s="74" t="n"/>
      <c r="L522" s="78" t="n"/>
      <c r="M522" s="77" t="n"/>
      <c r="N522" s="53">
        <f>IF(M522="","",IFERROR(M522/I522,""))</f>
        <v/>
      </c>
      <c r="O522" s="50">
        <f>IF(A522="","",IFERROR((IF(G522="",I522,G522)-T522)/M522,""))</f>
        <v/>
      </c>
      <c r="P522" s="50">
        <f>IFERROR((I522/T522-1)/N522,"")</f>
        <v/>
      </c>
      <c r="Q522" s="46">
        <f>IF(OR(T522="",I522&lt;T522),"",IFERROR(R522/IF(G522="",I522,G522)-1,""))</f>
        <v/>
      </c>
      <c r="R522" s="48">
        <f>IF($M522="","",MAX(IF($G522="",$I522,$G522)*(1/1.1),IF($G522="",$I522,$G522)+(R$2*$M522)))</f>
        <v/>
      </c>
      <c r="S522" s="49">
        <f>IF($M522="","",MAX(IF($G522="",$I522,$G522)*(1/1.1),IF($G522="",$I522,$G522)+(S$2*$M522)))</f>
        <v/>
      </c>
      <c r="T522" s="82" t="n"/>
      <c r="U522" s="47">
        <f>IF(OR($M522="",$T522=""),"",$T522+(U$2*$M522))</f>
        <v/>
      </c>
      <c r="V522" s="48">
        <f>IF(OR($M522="",$T522=""),"",$T522+(V$2*$M522))</f>
        <v/>
      </c>
      <c r="W522" s="48">
        <f>IF(OR($M522="",$T522=""),"",$T522+(W$2*$M522))</f>
        <v/>
      </c>
      <c r="X522" s="49">
        <f>IF(OR($M522="",$T522=""),"",$T522+(X$2*$M522))</f>
        <v/>
      </c>
      <c r="Y522" s="47">
        <f>IF(OR($M522="",$T522=""),"",$T522+(Y$2*$M522))</f>
        <v/>
      </c>
      <c r="Z522" s="49">
        <f>IF(OR($M522="",$T522=""),"",$T522+(Z$2*$M522))</f>
        <v/>
      </c>
      <c r="AA522" s="51">
        <f>IF(OR($M522="",$T522=""),"",$T522+(AA$2*$M522))</f>
        <v/>
      </c>
      <c r="AB522" s="48">
        <f>IF(OR($M522="",$T522=""),"",$T522+(AB$2*$M522))</f>
        <v/>
      </c>
      <c r="AC522" s="48">
        <f>IF(OR($M522="",$T522=""),"",$T522+(AC$2*$M522))</f>
        <v/>
      </c>
      <c r="AD522" s="48">
        <f>IF(OR($M522="",$T522=""),"",$T522+(AD$2*$M522))</f>
        <v/>
      </c>
      <c r="AE522" s="49">
        <f>IF(OR($M522="",$T522=""),"",$T522+(AE$2*$M522))</f>
        <v/>
      </c>
      <c r="AF522" s="52">
        <f>IF(OR(T522="",I522&lt;T522),"",IFERROR(AVERAGE(T522+M522*{7,8,9,10,11})/IF(G522="",I522,G522)-1,""))</f>
        <v/>
      </c>
      <c r="AG522" s="55">
        <f>IF(OR(T522="",I522&lt;T522),"",IFERROR(AF522/-(R522/IF(G522="",I522,G522)-1),""))</f>
        <v/>
      </c>
      <c r="AH522" s="94" t="n"/>
      <c r="AI522" s="94" t="n"/>
      <c r="AJ522" s="94" t="n"/>
      <c r="AK522" s="94" t="n"/>
      <c r="AL522" s="84" t="n"/>
    </row>
    <row r="523">
      <c r="A523" s="64" t="n"/>
      <c r="B523" s="65" t="n"/>
      <c r="C523" s="66" t="n"/>
      <c r="D523" s="67" t="n"/>
      <c r="E523" s="68" t="n"/>
      <c r="F523" s="47">
        <f>IF(A523="","",IF(MIN(H523,MAX(J523:K523))=0,"",MIN(H523,MAX(J523:K523))))</f>
        <v/>
      </c>
      <c r="G523" s="74" t="n"/>
      <c r="H523" s="49">
        <f>IF(M523="","",IFERROR(ROUND(AVERAGE(T523+M523*{7,8,9,10,11})/1.21,4),""))</f>
        <v/>
      </c>
      <c r="I523" s="76" t="n"/>
      <c r="J523" s="77" t="n"/>
      <c r="K523" s="74" t="n"/>
      <c r="L523" s="78" t="n"/>
      <c r="M523" s="77" t="n"/>
      <c r="N523" s="53">
        <f>IF(M523="","",IFERROR(M523/I523,""))</f>
        <v/>
      </c>
      <c r="O523" s="50">
        <f>IF(A523="","",IFERROR((IF(G523="",I523,G523)-T523)/M523,""))</f>
        <v/>
      </c>
      <c r="P523" s="50">
        <f>IFERROR((I523/T523-1)/N523,"")</f>
        <v/>
      </c>
      <c r="Q523" s="46">
        <f>IF(OR(T523="",I523&lt;T523),"",IFERROR(R523/IF(G523="",I523,G523)-1,""))</f>
        <v/>
      </c>
      <c r="R523" s="48">
        <f>IF($M523="","",MAX(IF($G523="",$I523,$G523)*(1/1.1),IF($G523="",$I523,$G523)+(R$2*$M523)))</f>
        <v/>
      </c>
      <c r="S523" s="49">
        <f>IF($M523="","",MAX(IF($G523="",$I523,$G523)*(1/1.1),IF($G523="",$I523,$G523)+(S$2*$M523)))</f>
        <v/>
      </c>
      <c r="T523" s="82" t="n"/>
      <c r="U523" s="47">
        <f>IF(OR($M523="",$T523=""),"",$T523+(U$2*$M523))</f>
        <v/>
      </c>
      <c r="V523" s="48">
        <f>IF(OR($M523="",$T523=""),"",$T523+(V$2*$M523))</f>
        <v/>
      </c>
      <c r="W523" s="48">
        <f>IF(OR($M523="",$T523=""),"",$T523+(W$2*$M523))</f>
        <v/>
      </c>
      <c r="X523" s="49">
        <f>IF(OR($M523="",$T523=""),"",$T523+(X$2*$M523))</f>
        <v/>
      </c>
      <c r="Y523" s="47">
        <f>IF(OR($M523="",$T523=""),"",$T523+(Y$2*$M523))</f>
        <v/>
      </c>
      <c r="Z523" s="49">
        <f>IF(OR($M523="",$T523=""),"",$T523+(Z$2*$M523))</f>
        <v/>
      </c>
      <c r="AA523" s="51">
        <f>IF(OR($M523="",$T523=""),"",$T523+(AA$2*$M523))</f>
        <v/>
      </c>
      <c r="AB523" s="48">
        <f>IF(OR($M523="",$T523=""),"",$T523+(AB$2*$M523))</f>
        <v/>
      </c>
      <c r="AC523" s="48">
        <f>IF(OR($M523="",$T523=""),"",$T523+(AC$2*$M523))</f>
        <v/>
      </c>
      <c r="AD523" s="48">
        <f>IF(OR($M523="",$T523=""),"",$T523+(AD$2*$M523))</f>
        <v/>
      </c>
      <c r="AE523" s="49">
        <f>IF(OR($M523="",$T523=""),"",$T523+(AE$2*$M523))</f>
        <v/>
      </c>
      <c r="AF523" s="52">
        <f>IF(OR(T523="",I523&lt;T523),"",IFERROR(AVERAGE(T523+M523*{7,8,9,10,11})/IF(G523="",I523,G523)-1,""))</f>
        <v/>
      </c>
      <c r="AG523" s="55">
        <f>IF(OR(T523="",I523&lt;T523),"",IFERROR(AF523/-(R523/IF(G523="",I523,G523)-1),""))</f>
        <v/>
      </c>
      <c r="AH523" s="94" t="n"/>
      <c r="AI523" s="94" t="n"/>
      <c r="AJ523" s="94" t="n"/>
      <c r="AK523" s="94" t="n"/>
      <c r="AL523" s="84" t="n"/>
    </row>
    <row r="524">
      <c r="A524" s="64" t="n"/>
      <c r="B524" s="65" t="n"/>
      <c r="C524" s="66" t="n"/>
      <c r="D524" s="67" t="n"/>
      <c r="E524" s="68" t="n"/>
      <c r="F524" s="47">
        <f>IF(A524="","",IF(MIN(H524,MAX(J524:K524))=0,"",MIN(H524,MAX(J524:K524))))</f>
        <v/>
      </c>
      <c r="G524" s="74" t="n"/>
      <c r="H524" s="49">
        <f>IF(M524="","",IFERROR(ROUND(AVERAGE(T524+M524*{7,8,9,10,11})/1.21,4),""))</f>
        <v/>
      </c>
      <c r="I524" s="76" t="n"/>
      <c r="J524" s="77" t="n"/>
      <c r="K524" s="74" t="n"/>
      <c r="L524" s="78" t="n"/>
      <c r="M524" s="77" t="n"/>
      <c r="N524" s="53">
        <f>IF(M524="","",IFERROR(M524/I524,""))</f>
        <v/>
      </c>
      <c r="O524" s="50">
        <f>IF(A524="","",IFERROR((IF(G524="",I524,G524)-T524)/M524,""))</f>
        <v/>
      </c>
      <c r="P524" s="50">
        <f>IFERROR((I524/T524-1)/N524,"")</f>
        <v/>
      </c>
      <c r="Q524" s="46">
        <f>IF(OR(T524="",I524&lt;T524),"",IFERROR(R524/IF(G524="",I524,G524)-1,""))</f>
        <v/>
      </c>
      <c r="R524" s="48">
        <f>IF($M524="","",MAX(IF($G524="",$I524,$G524)*(1/1.1),IF($G524="",$I524,$G524)+(R$2*$M524)))</f>
        <v/>
      </c>
      <c r="S524" s="49">
        <f>IF($M524="","",MAX(IF($G524="",$I524,$G524)*(1/1.1),IF($G524="",$I524,$G524)+(S$2*$M524)))</f>
        <v/>
      </c>
      <c r="T524" s="82" t="n"/>
      <c r="U524" s="47">
        <f>IF(OR($M524="",$T524=""),"",$T524+(U$2*$M524))</f>
        <v/>
      </c>
      <c r="V524" s="48">
        <f>IF(OR($M524="",$T524=""),"",$T524+(V$2*$M524))</f>
        <v/>
      </c>
      <c r="W524" s="48">
        <f>IF(OR($M524="",$T524=""),"",$T524+(W$2*$M524))</f>
        <v/>
      </c>
      <c r="X524" s="49">
        <f>IF(OR($M524="",$T524=""),"",$T524+(X$2*$M524))</f>
        <v/>
      </c>
      <c r="Y524" s="47">
        <f>IF(OR($M524="",$T524=""),"",$T524+(Y$2*$M524))</f>
        <v/>
      </c>
      <c r="Z524" s="49">
        <f>IF(OR($M524="",$T524=""),"",$T524+(Z$2*$M524))</f>
        <v/>
      </c>
      <c r="AA524" s="51">
        <f>IF(OR($M524="",$T524=""),"",$T524+(AA$2*$M524))</f>
        <v/>
      </c>
      <c r="AB524" s="48">
        <f>IF(OR($M524="",$T524=""),"",$T524+(AB$2*$M524))</f>
        <v/>
      </c>
      <c r="AC524" s="48">
        <f>IF(OR($M524="",$T524=""),"",$T524+(AC$2*$M524))</f>
        <v/>
      </c>
      <c r="AD524" s="48">
        <f>IF(OR($M524="",$T524=""),"",$T524+(AD$2*$M524))</f>
        <v/>
      </c>
      <c r="AE524" s="49">
        <f>IF(OR($M524="",$T524=""),"",$T524+(AE$2*$M524))</f>
        <v/>
      </c>
      <c r="AF524" s="52">
        <f>IF(OR(T524="",I524&lt;T524),"",IFERROR(AVERAGE(T524+M524*{7,8,9,10,11})/IF(G524="",I524,G524)-1,""))</f>
        <v/>
      </c>
      <c r="AG524" s="55">
        <f>IF(OR(T524="",I524&lt;T524),"",IFERROR(AF524/-(R524/IF(G524="",I524,G524)-1),""))</f>
        <v/>
      </c>
      <c r="AH524" s="94" t="n"/>
      <c r="AI524" s="94" t="n"/>
      <c r="AJ524" s="94" t="n"/>
      <c r="AK524" s="94" t="n"/>
      <c r="AL524" s="84" t="n"/>
    </row>
    <row r="525">
      <c r="A525" s="64" t="n"/>
      <c r="B525" s="65" t="n"/>
      <c r="C525" s="66" t="n"/>
      <c r="D525" s="67" t="n"/>
      <c r="E525" s="68" t="n"/>
      <c r="F525" s="47">
        <f>IF(A525="","",IF(MIN(H525,MAX(J525:K525))=0,"",MIN(H525,MAX(J525:K525))))</f>
        <v/>
      </c>
      <c r="G525" s="74" t="n"/>
      <c r="H525" s="49">
        <f>IF(M525="","",IFERROR(ROUND(AVERAGE(T525+M525*{7,8,9,10,11})/1.21,4),""))</f>
        <v/>
      </c>
      <c r="I525" s="76" t="n"/>
      <c r="J525" s="77" t="n"/>
      <c r="K525" s="74" t="n"/>
      <c r="L525" s="78" t="n"/>
      <c r="M525" s="77" t="n"/>
      <c r="N525" s="53">
        <f>IF(M525="","",IFERROR(M525/I525,""))</f>
        <v/>
      </c>
      <c r="O525" s="50">
        <f>IF(A525="","",IFERROR((IF(G525="",I525,G525)-T525)/M525,""))</f>
        <v/>
      </c>
      <c r="P525" s="50">
        <f>IFERROR((I525/T525-1)/N525,"")</f>
        <v/>
      </c>
      <c r="Q525" s="46">
        <f>IF(OR(T525="",I525&lt;T525),"",IFERROR(R525/IF(G525="",I525,G525)-1,""))</f>
        <v/>
      </c>
      <c r="R525" s="48">
        <f>IF($M525="","",MAX(IF($G525="",$I525,$G525)*(1/1.1),IF($G525="",$I525,$G525)+(R$2*$M525)))</f>
        <v/>
      </c>
      <c r="S525" s="49">
        <f>IF($M525="","",MAX(IF($G525="",$I525,$G525)*(1/1.1),IF($G525="",$I525,$G525)+(S$2*$M525)))</f>
        <v/>
      </c>
      <c r="T525" s="82" t="n"/>
      <c r="U525" s="47">
        <f>IF(OR($M525="",$T525=""),"",$T525+(U$2*$M525))</f>
        <v/>
      </c>
      <c r="V525" s="48">
        <f>IF(OR($M525="",$T525=""),"",$T525+(V$2*$M525))</f>
        <v/>
      </c>
      <c r="W525" s="48">
        <f>IF(OR($M525="",$T525=""),"",$T525+(W$2*$M525))</f>
        <v/>
      </c>
      <c r="X525" s="49">
        <f>IF(OR($M525="",$T525=""),"",$T525+(X$2*$M525))</f>
        <v/>
      </c>
      <c r="Y525" s="47">
        <f>IF(OR($M525="",$T525=""),"",$T525+(Y$2*$M525))</f>
        <v/>
      </c>
      <c r="Z525" s="49">
        <f>IF(OR($M525="",$T525=""),"",$T525+(Z$2*$M525))</f>
        <v/>
      </c>
      <c r="AA525" s="51">
        <f>IF(OR($M525="",$T525=""),"",$T525+(AA$2*$M525))</f>
        <v/>
      </c>
      <c r="AB525" s="48">
        <f>IF(OR($M525="",$T525=""),"",$T525+(AB$2*$M525))</f>
        <v/>
      </c>
      <c r="AC525" s="48">
        <f>IF(OR($M525="",$T525=""),"",$T525+(AC$2*$M525))</f>
        <v/>
      </c>
      <c r="AD525" s="48">
        <f>IF(OR($M525="",$T525=""),"",$T525+(AD$2*$M525))</f>
        <v/>
      </c>
      <c r="AE525" s="49">
        <f>IF(OR($M525="",$T525=""),"",$T525+(AE$2*$M525))</f>
        <v/>
      </c>
      <c r="AF525" s="52">
        <f>IF(OR(T525="",I525&lt;T525),"",IFERROR(AVERAGE(T525+M525*{7,8,9,10,11})/IF(G525="",I525,G525)-1,""))</f>
        <v/>
      </c>
      <c r="AG525" s="55">
        <f>IF(OR(T525="",I525&lt;T525),"",IFERROR(AF525/-(R525/IF(G525="",I525,G525)-1),""))</f>
        <v/>
      </c>
      <c r="AH525" s="94" t="n"/>
      <c r="AI525" s="94" t="n"/>
      <c r="AJ525" s="94" t="n"/>
      <c r="AK525" s="94" t="n"/>
      <c r="AL525" s="84" t="n"/>
    </row>
    <row r="526">
      <c r="A526" s="64" t="n"/>
      <c r="B526" s="65" t="n"/>
      <c r="C526" s="66" t="n"/>
      <c r="D526" s="67" t="n"/>
      <c r="E526" s="68" t="n"/>
      <c r="F526" s="47">
        <f>IF(A526="","",IF(MIN(H526,MAX(J526:K526))=0,"",MIN(H526,MAX(J526:K526))))</f>
        <v/>
      </c>
      <c r="G526" s="74" t="n"/>
      <c r="H526" s="49">
        <f>IF(M526="","",IFERROR(ROUND(AVERAGE(T526+M526*{7,8,9,10,11})/1.21,4),""))</f>
        <v/>
      </c>
      <c r="I526" s="76" t="n"/>
      <c r="J526" s="77" t="n"/>
      <c r="K526" s="74" t="n"/>
      <c r="L526" s="78" t="n"/>
      <c r="M526" s="77" t="n"/>
      <c r="N526" s="53">
        <f>IF(M526="","",IFERROR(M526/I526,""))</f>
        <v/>
      </c>
      <c r="O526" s="50">
        <f>IF(A526="","",IFERROR((IF(G526="",I526,G526)-T526)/M526,""))</f>
        <v/>
      </c>
      <c r="P526" s="50">
        <f>IFERROR((I526/T526-1)/N526,"")</f>
        <v/>
      </c>
      <c r="Q526" s="46">
        <f>IF(OR(T526="",I526&lt;T526),"",IFERROR(R526/IF(G526="",I526,G526)-1,""))</f>
        <v/>
      </c>
      <c r="R526" s="48">
        <f>IF($M526="","",MAX(IF($G526="",$I526,$G526)*(1/1.1),IF($G526="",$I526,$G526)+(R$2*$M526)))</f>
        <v/>
      </c>
      <c r="S526" s="49">
        <f>IF($M526="","",MAX(IF($G526="",$I526,$G526)*(1/1.1),IF($G526="",$I526,$G526)+(S$2*$M526)))</f>
        <v/>
      </c>
      <c r="T526" s="82" t="n"/>
      <c r="U526" s="47">
        <f>IF(OR($M526="",$T526=""),"",$T526+(U$2*$M526))</f>
        <v/>
      </c>
      <c r="V526" s="48">
        <f>IF(OR($M526="",$T526=""),"",$T526+(V$2*$M526))</f>
        <v/>
      </c>
      <c r="W526" s="48">
        <f>IF(OR($M526="",$T526=""),"",$T526+(W$2*$M526))</f>
        <v/>
      </c>
      <c r="X526" s="49">
        <f>IF(OR($M526="",$T526=""),"",$T526+(X$2*$M526))</f>
        <v/>
      </c>
      <c r="Y526" s="47">
        <f>IF(OR($M526="",$T526=""),"",$T526+(Y$2*$M526))</f>
        <v/>
      </c>
      <c r="Z526" s="49">
        <f>IF(OR($M526="",$T526=""),"",$T526+(Z$2*$M526))</f>
        <v/>
      </c>
      <c r="AA526" s="51">
        <f>IF(OR($M526="",$T526=""),"",$T526+(AA$2*$M526))</f>
        <v/>
      </c>
      <c r="AB526" s="48">
        <f>IF(OR($M526="",$T526=""),"",$T526+(AB$2*$M526))</f>
        <v/>
      </c>
      <c r="AC526" s="48">
        <f>IF(OR($M526="",$T526=""),"",$T526+(AC$2*$M526))</f>
        <v/>
      </c>
      <c r="AD526" s="48">
        <f>IF(OR($M526="",$T526=""),"",$T526+(AD$2*$M526))</f>
        <v/>
      </c>
      <c r="AE526" s="49">
        <f>IF(OR($M526="",$T526=""),"",$T526+(AE$2*$M526))</f>
        <v/>
      </c>
      <c r="AF526" s="52">
        <f>IF(OR(T526="",I526&lt;T526),"",IFERROR(AVERAGE(T526+M526*{7,8,9,10,11})/IF(G526="",I526,G526)-1,""))</f>
        <v/>
      </c>
      <c r="AG526" s="55">
        <f>IF(OR(T526="",I526&lt;T526),"",IFERROR(AF526/-(R526/IF(G526="",I526,G526)-1),""))</f>
        <v/>
      </c>
      <c r="AH526" s="94" t="n"/>
      <c r="AI526" s="94" t="n"/>
      <c r="AJ526" s="94" t="n"/>
      <c r="AK526" s="94" t="n"/>
      <c r="AL526" s="84" t="n"/>
    </row>
    <row r="527">
      <c r="A527" s="64" t="n"/>
      <c r="B527" s="65" t="n"/>
      <c r="C527" s="66" t="n"/>
      <c r="D527" s="67" t="n"/>
      <c r="E527" s="68" t="n"/>
      <c r="F527" s="47">
        <f>IF(A527="","",IF(MIN(H527,MAX(J527:K527))=0,"",MIN(H527,MAX(J527:K527))))</f>
        <v/>
      </c>
      <c r="G527" s="74" t="n"/>
      <c r="H527" s="49">
        <f>IF(M527="","",IFERROR(ROUND(AVERAGE(T527+M527*{7,8,9,10,11})/1.21,4),""))</f>
        <v/>
      </c>
      <c r="I527" s="76" t="n"/>
      <c r="J527" s="77" t="n"/>
      <c r="K527" s="74" t="n"/>
      <c r="L527" s="78" t="n"/>
      <c r="M527" s="77" t="n"/>
      <c r="N527" s="53">
        <f>IF(M527="","",IFERROR(M527/I527,""))</f>
        <v/>
      </c>
      <c r="O527" s="50">
        <f>IF(A527="","",IFERROR((IF(G527="",I527,G527)-T527)/M527,""))</f>
        <v/>
      </c>
      <c r="P527" s="50">
        <f>IFERROR((I527/T527-1)/N527,"")</f>
        <v/>
      </c>
      <c r="Q527" s="46">
        <f>IF(OR(T527="",I527&lt;T527),"",IFERROR(R527/IF(G527="",I527,G527)-1,""))</f>
        <v/>
      </c>
      <c r="R527" s="48">
        <f>IF($M527="","",MAX(IF($G527="",$I527,$G527)*(1/1.1),IF($G527="",$I527,$G527)+(R$2*$M527)))</f>
        <v/>
      </c>
      <c r="S527" s="49">
        <f>IF($M527="","",MAX(IF($G527="",$I527,$G527)*(1/1.1),IF($G527="",$I527,$G527)+(S$2*$M527)))</f>
        <v/>
      </c>
      <c r="T527" s="82" t="n"/>
      <c r="U527" s="47">
        <f>IF(OR($M527="",$T527=""),"",$T527+(U$2*$M527))</f>
        <v/>
      </c>
      <c r="V527" s="48">
        <f>IF(OR($M527="",$T527=""),"",$T527+(V$2*$M527))</f>
        <v/>
      </c>
      <c r="W527" s="48">
        <f>IF(OR($M527="",$T527=""),"",$T527+(W$2*$M527))</f>
        <v/>
      </c>
      <c r="X527" s="49">
        <f>IF(OR($M527="",$T527=""),"",$T527+(X$2*$M527))</f>
        <v/>
      </c>
      <c r="Y527" s="47">
        <f>IF(OR($M527="",$T527=""),"",$T527+(Y$2*$M527))</f>
        <v/>
      </c>
      <c r="Z527" s="49">
        <f>IF(OR($M527="",$T527=""),"",$T527+(Z$2*$M527))</f>
        <v/>
      </c>
      <c r="AA527" s="51">
        <f>IF(OR($M527="",$T527=""),"",$T527+(AA$2*$M527))</f>
        <v/>
      </c>
      <c r="AB527" s="48">
        <f>IF(OR($M527="",$T527=""),"",$T527+(AB$2*$M527))</f>
        <v/>
      </c>
      <c r="AC527" s="48">
        <f>IF(OR($M527="",$T527=""),"",$T527+(AC$2*$M527))</f>
        <v/>
      </c>
      <c r="AD527" s="48">
        <f>IF(OR($M527="",$T527=""),"",$T527+(AD$2*$M527))</f>
        <v/>
      </c>
      <c r="AE527" s="49">
        <f>IF(OR($M527="",$T527=""),"",$T527+(AE$2*$M527))</f>
        <v/>
      </c>
      <c r="AF527" s="52">
        <f>IF(OR(T527="",I527&lt;T527),"",IFERROR(AVERAGE(T527+M527*{7,8,9,10,11})/IF(G527="",I527,G527)-1,""))</f>
        <v/>
      </c>
      <c r="AG527" s="55">
        <f>IF(OR(T527="",I527&lt;T527),"",IFERROR(AF527/-(R527/IF(G527="",I527,G527)-1),""))</f>
        <v/>
      </c>
      <c r="AH527" s="94" t="n"/>
      <c r="AI527" s="94" t="n"/>
      <c r="AJ527" s="94" t="n"/>
      <c r="AK527" s="94" t="n"/>
      <c r="AL527" s="84" t="n"/>
    </row>
    <row r="528">
      <c r="A528" s="64" t="n"/>
      <c r="B528" s="65" t="n"/>
      <c r="C528" s="66" t="n"/>
      <c r="D528" s="67" t="n"/>
      <c r="E528" s="68" t="n"/>
      <c r="F528" s="47">
        <f>IF(A528="","",IF(MIN(H528,MAX(J528:K528))=0,"",MIN(H528,MAX(J528:K528))))</f>
        <v/>
      </c>
      <c r="G528" s="74" t="n"/>
      <c r="H528" s="49">
        <f>IF(M528="","",IFERROR(ROUND(AVERAGE(T528+M528*{7,8,9,10,11})/1.21,4),""))</f>
        <v/>
      </c>
      <c r="I528" s="76" t="n"/>
      <c r="J528" s="77" t="n"/>
      <c r="K528" s="74" t="n"/>
      <c r="L528" s="78" t="n"/>
      <c r="M528" s="77" t="n"/>
      <c r="N528" s="53">
        <f>IF(M528="","",IFERROR(M528/I528,""))</f>
        <v/>
      </c>
      <c r="O528" s="50">
        <f>IF(A528="","",IFERROR((IF(G528="",I528,G528)-T528)/M528,""))</f>
        <v/>
      </c>
      <c r="P528" s="50">
        <f>IFERROR((I528/T528-1)/N528,"")</f>
        <v/>
      </c>
      <c r="Q528" s="46">
        <f>IF(OR(T528="",I528&lt;T528),"",IFERROR(R528/IF(G528="",I528,G528)-1,""))</f>
        <v/>
      </c>
      <c r="R528" s="48">
        <f>IF($M528="","",MAX(IF($G528="",$I528,$G528)*(1/1.1),IF($G528="",$I528,$G528)+(R$2*$M528)))</f>
        <v/>
      </c>
      <c r="S528" s="49">
        <f>IF($M528="","",MAX(IF($G528="",$I528,$G528)*(1/1.1),IF($G528="",$I528,$G528)+(S$2*$M528)))</f>
        <v/>
      </c>
      <c r="T528" s="82" t="n"/>
      <c r="U528" s="47">
        <f>IF(OR($M528="",$T528=""),"",$T528+(U$2*$M528))</f>
        <v/>
      </c>
      <c r="V528" s="48">
        <f>IF(OR($M528="",$T528=""),"",$T528+(V$2*$M528))</f>
        <v/>
      </c>
      <c r="W528" s="48">
        <f>IF(OR($M528="",$T528=""),"",$T528+(W$2*$M528))</f>
        <v/>
      </c>
      <c r="X528" s="49">
        <f>IF(OR($M528="",$T528=""),"",$T528+(X$2*$M528))</f>
        <v/>
      </c>
      <c r="Y528" s="47">
        <f>IF(OR($M528="",$T528=""),"",$T528+(Y$2*$M528))</f>
        <v/>
      </c>
      <c r="Z528" s="49">
        <f>IF(OR($M528="",$T528=""),"",$T528+(Z$2*$M528))</f>
        <v/>
      </c>
      <c r="AA528" s="51">
        <f>IF(OR($M528="",$T528=""),"",$T528+(AA$2*$M528))</f>
        <v/>
      </c>
      <c r="AB528" s="48">
        <f>IF(OR($M528="",$T528=""),"",$T528+(AB$2*$M528))</f>
        <v/>
      </c>
      <c r="AC528" s="48">
        <f>IF(OR($M528="",$T528=""),"",$T528+(AC$2*$M528))</f>
        <v/>
      </c>
      <c r="AD528" s="48">
        <f>IF(OR($M528="",$T528=""),"",$T528+(AD$2*$M528))</f>
        <v/>
      </c>
      <c r="AE528" s="49">
        <f>IF(OR($M528="",$T528=""),"",$T528+(AE$2*$M528))</f>
        <v/>
      </c>
      <c r="AF528" s="52">
        <f>IF(OR(T528="",I528&lt;T528),"",IFERROR(AVERAGE(T528+M528*{7,8,9,10,11})/IF(G528="",I528,G528)-1,""))</f>
        <v/>
      </c>
      <c r="AG528" s="55">
        <f>IF(OR(T528="",I528&lt;T528),"",IFERROR(AF528/-(R528/IF(G528="",I528,G528)-1),""))</f>
        <v/>
      </c>
      <c r="AH528" s="94" t="n"/>
      <c r="AI528" s="94" t="n"/>
      <c r="AJ528" s="94" t="n"/>
      <c r="AK528" s="94" t="n"/>
      <c r="AL528" s="84" t="n"/>
    </row>
    <row r="529">
      <c r="A529" s="64" t="n"/>
      <c r="B529" s="65" t="n"/>
      <c r="C529" s="66" t="n"/>
      <c r="D529" s="67" t="n"/>
      <c r="E529" s="68" t="n"/>
      <c r="F529" s="47">
        <f>IF(A529="","",IF(MIN(H529,MAX(J529:K529))=0,"",MIN(H529,MAX(J529:K529))))</f>
        <v/>
      </c>
      <c r="G529" s="74" t="n"/>
      <c r="H529" s="49">
        <f>IF(M529="","",IFERROR(ROUND(AVERAGE(T529+M529*{7,8,9,10,11})/1.21,4),""))</f>
        <v/>
      </c>
      <c r="I529" s="76" t="n"/>
      <c r="J529" s="77" t="n"/>
      <c r="K529" s="74" t="n"/>
      <c r="L529" s="78" t="n"/>
      <c r="M529" s="77" t="n"/>
      <c r="N529" s="53">
        <f>IF(M529="","",IFERROR(M529/I529,""))</f>
        <v/>
      </c>
      <c r="O529" s="50">
        <f>IF(A529="","",IFERROR((IF(G529="",I529,G529)-T529)/M529,""))</f>
        <v/>
      </c>
      <c r="P529" s="50">
        <f>IFERROR((I529/T529-1)/N529,"")</f>
        <v/>
      </c>
      <c r="Q529" s="46">
        <f>IF(OR(T529="",I529&lt;T529),"",IFERROR(R529/IF(G529="",I529,G529)-1,""))</f>
        <v/>
      </c>
      <c r="R529" s="48">
        <f>IF($M529="","",MAX(IF($G529="",$I529,$G529)*(1/1.1),IF($G529="",$I529,$G529)+(R$2*$M529)))</f>
        <v/>
      </c>
      <c r="S529" s="49">
        <f>IF($M529="","",MAX(IF($G529="",$I529,$G529)*(1/1.1),IF($G529="",$I529,$G529)+(S$2*$M529)))</f>
        <v/>
      </c>
      <c r="T529" s="82" t="n"/>
      <c r="U529" s="47">
        <f>IF(OR($M529="",$T529=""),"",$T529+(U$2*$M529))</f>
        <v/>
      </c>
      <c r="V529" s="48">
        <f>IF(OR($M529="",$T529=""),"",$T529+(V$2*$M529))</f>
        <v/>
      </c>
      <c r="W529" s="48">
        <f>IF(OR($M529="",$T529=""),"",$T529+(W$2*$M529))</f>
        <v/>
      </c>
      <c r="X529" s="49">
        <f>IF(OR($M529="",$T529=""),"",$T529+(X$2*$M529))</f>
        <v/>
      </c>
      <c r="Y529" s="47">
        <f>IF(OR($M529="",$T529=""),"",$T529+(Y$2*$M529))</f>
        <v/>
      </c>
      <c r="Z529" s="49">
        <f>IF(OR($M529="",$T529=""),"",$T529+(Z$2*$M529))</f>
        <v/>
      </c>
      <c r="AA529" s="51">
        <f>IF(OR($M529="",$T529=""),"",$T529+(AA$2*$M529))</f>
        <v/>
      </c>
      <c r="AB529" s="48">
        <f>IF(OR($M529="",$T529=""),"",$T529+(AB$2*$M529))</f>
        <v/>
      </c>
      <c r="AC529" s="48">
        <f>IF(OR($M529="",$T529=""),"",$T529+(AC$2*$M529))</f>
        <v/>
      </c>
      <c r="AD529" s="48">
        <f>IF(OR($M529="",$T529=""),"",$T529+(AD$2*$M529))</f>
        <v/>
      </c>
      <c r="AE529" s="49">
        <f>IF(OR($M529="",$T529=""),"",$T529+(AE$2*$M529))</f>
        <v/>
      </c>
      <c r="AF529" s="52">
        <f>IF(OR(T529="",I529&lt;T529),"",IFERROR(AVERAGE(T529+M529*{7,8,9,10,11})/IF(G529="",I529,G529)-1,""))</f>
        <v/>
      </c>
      <c r="AG529" s="55">
        <f>IF(OR(T529="",I529&lt;T529),"",IFERROR(AF529/-(R529/IF(G529="",I529,G529)-1),""))</f>
        <v/>
      </c>
      <c r="AH529" s="94" t="n"/>
      <c r="AI529" s="94" t="n"/>
      <c r="AJ529" s="94" t="n"/>
      <c r="AK529" s="94" t="n"/>
      <c r="AL529" s="84" t="n"/>
    </row>
    <row r="530">
      <c r="A530" s="64" t="n"/>
      <c r="B530" s="65" t="n"/>
      <c r="C530" s="66" t="n"/>
      <c r="D530" s="67" t="n"/>
      <c r="E530" s="68" t="n"/>
      <c r="F530" s="47">
        <f>IF(A530="","",IF(MIN(H530,MAX(J530:K530))=0,"",MIN(H530,MAX(J530:K530))))</f>
        <v/>
      </c>
      <c r="G530" s="74" t="n"/>
      <c r="H530" s="49">
        <f>IF(M530="","",IFERROR(ROUND(AVERAGE(T530+M530*{7,8,9,10,11})/1.21,4),""))</f>
        <v/>
      </c>
      <c r="I530" s="76" t="n"/>
      <c r="J530" s="77" t="n"/>
      <c r="K530" s="74" t="n"/>
      <c r="L530" s="78" t="n"/>
      <c r="M530" s="77" t="n"/>
      <c r="N530" s="53">
        <f>IF(M530="","",IFERROR(M530/I530,""))</f>
        <v/>
      </c>
      <c r="O530" s="50">
        <f>IF(A530="","",IFERROR((IF(G530="",I530,G530)-T530)/M530,""))</f>
        <v/>
      </c>
      <c r="P530" s="50">
        <f>IFERROR((I530/T530-1)/N530,"")</f>
        <v/>
      </c>
      <c r="Q530" s="46">
        <f>IF(OR(T530="",I530&lt;T530),"",IFERROR(R530/IF(G530="",I530,G530)-1,""))</f>
        <v/>
      </c>
      <c r="R530" s="48">
        <f>IF($M530="","",MAX(IF($G530="",$I530,$G530)*(1/1.1),IF($G530="",$I530,$G530)+(R$2*$M530)))</f>
        <v/>
      </c>
      <c r="S530" s="49">
        <f>IF($M530="","",MAX(IF($G530="",$I530,$G530)*(1/1.1),IF($G530="",$I530,$G530)+(S$2*$M530)))</f>
        <v/>
      </c>
      <c r="T530" s="82" t="n"/>
      <c r="U530" s="47">
        <f>IF(OR($M530="",$T530=""),"",$T530+(U$2*$M530))</f>
        <v/>
      </c>
      <c r="V530" s="48">
        <f>IF(OR($M530="",$T530=""),"",$T530+(V$2*$M530))</f>
        <v/>
      </c>
      <c r="W530" s="48">
        <f>IF(OR($M530="",$T530=""),"",$T530+(W$2*$M530))</f>
        <v/>
      </c>
      <c r="X530" s="49">
        <f>IF(OR($M530="",$T530=""),"",$T530+(X$2*$M530))</f>
        <v/>
      </c>
      <c r="Y530" s="47">
        <f>IF(OR($M530="",$T530=""),"",$T530+(Y$2*$M530))</f>
        <v/>
      </c>
      <c r="Z530" s="49">
        <f>IF(OR($M530="",$T530=""),"",$T530+(Z$2*$M530))</f>
        <v/>
      </c>
      <c r="AA530" s="51">
        <f>IF(OR($M530="",$T530=""),"",$T530+(AA$2*$M530))</f>
        <v/>
      </c>
      <c r="AB530" s="48">
        <f>IF(OR($M530="",$T530=""),"",$T530+(AB$2*$M530))</f>
        <v/>
      </c>
      <c r="AC530" s="48">
        <f>IF(OR($M530="",$T530=""),"",$T530+(AC$2*$M530))</f>
        <v/>
      </c>
      <c r="AD530" s="48">
        <f>IF(OR($M530="",$T530=""),"",$T530+(AD$2*$M530))</f>
        <v/>
      </c>
      <c r="AE530" s="49">
        <f>IF(OR($M530="",$T530=""),"",$T530+(AE$2*$M530))</f>
        <v/>
      </c>
      <c r="AF530" s="52">
        <f>IF(OR(T530="",I530&lt;T530),"",IFERROR(AVERAGE(T530+M530*{7,8,9,10,11})/IF(G530="",I530,G530)-1,""))</f>
        <v/>
      </c>
      <c r="AG530" s="55">
        <f>IF(OR(T530="",I530&lt;T530),"",IFERROR(AF530/-(R530/IF(G530="",I530,G530)-1),""))</f>
        <v/>
      </c>
      <c r="AH530" s="94" t="n"/>
      <c r="AI530" s="94" t="n"/>
      <c r="AJ530" s="94" t="n"/>
      <c r="AK530" s="94" t="n"/>
      <c r="AL530" s="84" t="n"/>
    </row>
    <row r="531">
      <c r="A531" s="64" t="n"/>
      <c r="B531" s="65" t="n"/>
      <c r="C531" s="66" t="n"/>
      <c r="D531" s="67" t="n"/>
      <c r="E531" s="68" t="n"/>
      <c r="F531" s="47">
        <f>IF(A531="","",IF(MIN(H531,MAX(J531:K531))=0,"",MIN(H531,MAX(J531:K531))))</f>
        <v/>
      </c>
      <c r="G531" s="74" t="n"/>
      <c r="H531" s="49">
        <f>IF(M531="","",IFERROR(ROUND(AVERAGE(T531+M531*{7,8,9,10,11})/1.21,4),""))</f>
        <v/>
      </c>
      <c r="I531" s="76" t="n"/>
      <c r="J531" s="77" t="n"/>
      <c r="K531" s="74" t="n"/>
      <c r="L531" s="78" t="n"/>
      <c r="M531" s="77" t="n"/>
      <c r="N531" s="53">
        <f>IF(M531="","",IFERROR(M531/I531,""))</f>
        <v/>
      </c>
      <c r="O531" s="50">
        <f>IF(A531="","",IFERROR((IF(G531="",I531,G531)-T531)/M531,""))</f>
        <v/>
      </c>
      <c r="P531" s="50">
        <f>IFERROR((I531/T531-1)/N531,"")</f>
        <v/>
      </c>
      <c r="Q531" s="46">
        <f>IF(OR(T531="",I531&lt;T531),"",IFERROR(R531/IF(G531="",I531,G531)-1,""))</f>
        <v/>
      </c>
      <c r="R531" s="48">
        <f>IF($M531="","",MAX(IF($G531="",$I531,$G531)*(1/1.1),IF($G531="",$I531,$G531)+(R$2*$M531)))</f>
        <v/>
      </c>
      <c r="S531" s="49">
        <f>IF($M531="","",MAX(IF($G531="",$I531,$G531)*(1/1.1),IF($G531="",$I531,$G531)+(S$2*$M531)))</f>
        <v/>
      </c>
      <c r="T531" s="82" t="n"/>
      <c r="U531" s="47">
        <f>IF(OR($M531="",$T531=""),"",$T531+(U$2*$M531))</f>
        <v/>
      </c>
      <c r="V531" s="48">
        <f>IF(OR($M531="",$T531=""),"",$T531+(V$2*$M531))</f>
        <v/>
      </c>
      <c r="W531" s="48">
        <f>IF(OR($M531="",$T531=""),"",$T531+(W$2*$M531))</f>
        <v/>
      </c>
      <c r="X531" s="49">
        <f>IF(OR($M531="",$T531=""),"",$T531+(X$2*$M531))</f>
        <v/>
      </c>
      <c r="Y531" s="47">
        <f>IF(OR($M531="",$T531=""),"",$T531+(Y$2*$M531))</f>
        <v/>
      </c>
      <c r="Z531" s="49">
        <f>IF(OR($M531="",$T531=""),"",$T531+(Z$2*$M531))</f>
        <v/>
      </c>
      <c r="AA531" s="51">
        <f>IF(OR($M531="",$T531=""),"",$T531+(AA$2*$M531))</f>
        <v/>
      </c>
      <c r="AB531" s="48">
        <f>IF(OR($M531="",$T531=""),"",$T531+(AB$2*$M531))</f>
        <v/>
      </c>
      <c r="AC531" s="48">
        <f>IF(OR($M531="",$T531=""),"",$T531+(AC$2*$M531))</f>
        <v/>
      </c>
      <c r="AD531" s="48">
        <f>IF(OR($M531="",$T531=""),"",$T531+(AD$2*$M531))</f>
        <v/>
      </c>
      <c r="AE531" s="49">
        <f>IF(OR($M531="",$T531=""),"",$T531+(AE$2*$M531))</f>
        <v/>
      </c>
      <c r="AF531" s="52">
        <f>IF(OR(T531="",I531&lt;T531),"",IFERROR(AVERAGE(T531+M531*{7,8,9,10,11})/IF(G531="",I531,G531)-1,""))</f>
        <v/>
      </c>
      <c r="AG531" s="55">
        <f>IF(OR(T531="",I531&lt;T531),"",IFERROR(AF531/-(R531/IF(G531="",I531,G531)-1),""))</f>
        <v/>
      </c>
      <c r="AH531" s="94" t="n"/>
      <c r="AI531" s="94" t="n"/>
      <c r="AJ531" s="94" t="n"/>
      <c r="AK531" s="94" t="n"/>
      <c r="AL531" s="84" t="n"/>
    </row>
    <row r="532">
      <c r="A532" s="64" t="n"/>
      <c r="B532" s="65" t="n"/>
      <c r="C532" s="66" t="n"/>
      <c r="D532" s="67" t="n"/>
      <c r="E532" s="68" t="n"/>
      <c r="F532" s="47">
        <f>IF(A532="","",IF(MIN(H532,MAX(J532:K532))=0,"",MIN(H532,MAX(J532:K532))))</f>
        <v/>
      </c>
      <c r="G532" s="74" t="n"/>
      <c r="H532" s="49">
        <f>IF(M532="","",IFERROR(ROUND(AVERAGE(T532+M532*{7,8,9,10,11})/1.21,4),""))</f>
        <v/>
      </c>
      <c r="I532" s="76" t="n"/>
      <c r="J532" s="77" t="n"/>
      <c r="K532" s="74" t="n"/>
      <c r="L532" s="78" t="n"/>
      <c r="M532" s="77" t="n"/>
      <c r="N532" s="53">
        <f>IF(M532="","",IFERROR(M532/I532,""))</f>
        <v/>
      </c>
      <c r="O532" s="50">
        <f>IF(A532="","",IFERROR((IF(G532="",I532,G532)-T532)/M532,""))</f>
        <v/>
      </c>
      <c r="P532" s="50">
        <f>IFERROR((I532/T532-1)/N532,"")</f>
        <v/>
      </c>
      <c r="Q532" s="46">
        <f>IF(OR(T532="",I532&lt;T532),"",IFERROR(R532/IF(G532="",I532,G532)-1,""))</f>
        <v/>
      </c>
      <c r="R532" s="48">
        <f>IF($M532="","",MAX(IF($G532="",$I532,$G532)*(1/1.1),IF($G532="",$I532,$G532)+(R$2*$M532)))</f>
        <v/>
      </c>
      <c r="S532" s="49">
        <f>IF($M532="","",MAX(IF($G532="",$I532,$G532)*(1/1.1),IF($G532="",$I532,$G532)+(S$2*$M532)))</f>
        <v/>
      </c>
      <c r="T532" s="82" t="n"/>
      <c r="U532" s="47">
        <f>IF(OR($M532="",$T532=""),"",$T532+(U$2*$M532))</f>
        <v/>
      </c>
      <c r="V532" s="48">
        <f>IF(OR($M532="",$T532=""),"",$T532+(V$2*$M532))</f>
        <v/>
      </c>
      <c r="W532" s="48">
        <f>IF(OR($M532="",$T532=""),"",$T532+(W$2*$M532))</f>
        <v/>
      </c>
      <c r="X532" s="49">
        <f>IF(OR($M532="",$T532=""),"",$T532+(X$2*$M532))</f>
        <v/>
      </c>
      <c r="Y532" s="47">
        <f>IF(OR($M532="",$T532=""),"",$T532+(Y$2*$M532))</f>
        <v/>
      </c>
      <c r="Z532" s="49">
        <f>IF(OR($M532="",$T532=""),"",$T532+(Z$2*$M532))</f>
        <v/>
      </c>
      <c r="AA532" s="51">
        <f>IF(OR($M532="",$T532=""),"",$T532+(AA$2*$M532))</f>
        <v/>
      </c>
      <c r="AB532" s="48">
        <f>IF(OR($M532="",$T532=""),"",$T532+(AB$2*$M532))</f>
        <v/>
      </c>
      <c r="AC532" s="48">
        <f>IF(OR($M532="",$T532=""),"",$T532+(AC$2*$M532))</f>
        <v/>
      </c>
      <c r="AD532" s="48">
        <f>IF(OR($M532="",$T532=""),"",$T532+(AD$2*$M532))</f>
        <v/>
      </c>
      <c r="AE532" s="49">
        <f>IF(OR($M532="",$T532=""),"",$T532+(AE$2*$M532))</f>
        <v/>
      </c>
      <c r="AF532" s="52">
        <f>IF(OR(T532="",I532&lt;T532),"",IFERROR(AVERAGE(T532+M532*{7,8,9,10,11})/IF(G532="",I532,G532)-1,""))</f>
        <v/>
      </c>
      <c r="AG532" s="55">
        <f>IF(OR(T532="",I532&lt;T532),"",IFERROR(AF532/-(R532/IF(G532="",I532,G532)-1),""))</f>
        <v/>
      </c>
      <c r="AH532" s="94" t="n"/>
      <c r="AI532" s="94" t="n"/>
      <c r="AJ532" s="94" t="n"/>
      <c r="AK532" s="94" t="n"/>
      <c r="AL532" s="84" t="n"/>
    </row>
    <row r="533">
      <c r="A533" s="64" t="n"/>
      <c r="B533" s="65" t="n"/>
      <c r="C533" s="66" t="n"/>
      <c r="D533" s="67" t="n"/>
      <c r="E533" s="68" t="n"/>
      <c r="F533" s="47">
        <f>IF(A533="","",IF(MIN(H533,MAX(J533:K533))=0,"",MIN(H533,MAX(J533:K533))))</f>
        <v/>
      </c>
      <c r="G533" s="74" t="n"/>
      <c r="H533" s="49">
        <f>IF(M533="","",IFERROR(ROUND(AVERAGE(T533+M533*{7,8,9,10,11})/1.21,4),""))</f>
        <v/>
      </c>
      <c r="I533" s="76" t="n"/>
      <c r="J533" s="77" t="n"/>
      <c r="K533" s="74" t="n"/>
      <c r="L533" s="78" t="n"/>
      <c r="M533" s="77" t="n"/>
      <c r="N533" s="53">
        <f>IF(M533="","",IFERROR(M533/I533,""))</f>
        <v/>
      </c>
      <c r="O533" s="50">
        <f>IF(A533="","",IFERROR((IF(G533="",I533,G533)-T533)/M533,""))</f>
        <v/>
      </c>
      <c r="P533" s="50">
        <f>IFERROR((I533/T533-1)/N533,"")</f>
        <v/>
      </c>
      <c r="Q533" s="46">
        <f>IF(OR(T533="",I533&lt;T533),"",IFERROR(R533/IF(G533="",I533,G533)-1,""))</f>
        <v/>
      </c>
      <c r="R533" s="48">
        <f>IF($M533="","",MAX(IF($G533="",$I533,$G533)*(1/1.1),IF($G533="",$I533,$G533)+(R$2*$M533)))</f>
        <v/>
      </c>
      <c r="S533" s="49">
        <f>IF($M533="","",MAX(IF($G533="",$I533,$G533)*(1/1.1),IF($G533="",$I533,$G533)+(S$2*$M533)))</f>
        <v/>
      </c>
      <c r="T533" s="82" t="n"/>
      <c r="U533" s="47">
        <f>IF(OR($M533="",$T533=""),"",$T533+(U$2*$M533))</f>
        <v/>
      </c>
      <c r="V533" s="48">
        <f>IF(OR($M533="",$T533=""),"",$T533+(V$2*$M533))</f>
        <v/>
      </c>
      <c r="W533" s="48">
        <f>IF(OR($M533="",$T533=""),"",$T533+(W$2*$M533))</f>
        <v/>
      </c>
      <c r="X533" s="49">
        <f>IF(OR($M533="",$T533=""),"",$T533+(X$2*$M533))</f>
        <v/>
      </c>
      <c r="Y533" s="47">
        <f>IF(OR($M533="",$T533=""),"",$T533+(Y$2*$M533))</f>
        <v/>
      </c>
      <c r="Z533" s="49">
        <f>IF(OR($M533="",$T533=""),"",$T533+(Z$2*$M533))</f>
        <v/>
      </c>
      <c r="AA533" s="51">
        <f>IF(OR($M533="",$T533=""),"",$T533+(AA$2*$M533))</f>
        <v/>
      </c>
      <c r="AB533" s="48">
        <f>IF(OR($M533="",$T533=""),"",$T533+(AB$2*$M533))</f>
        <v/>
      </c>
      <c r="AC533" s="48">
        <f>IF(OR($M533="",$T533=""),"",$T533+(AC$2*$M533))</f>
        <v/>
      </c>
      <c r="AD533" s="48">
        <f>IF(OR($M533="",$T533=""),"",$T533+(AD$2*$M533))</f>
        <v/>
      </c>
      <c r="AE533" s="49">
        <f>IF(OR($M533="",$T533=""),"",$T533+(AE$2*$M533))</f>
        <v/>
      </c>
      <c r="AF533" s="52">
        <f>IF(OR(T533="",I533&lt;T533),"",IFERROR(AVERAGE(T533+M533*{7,8,9,10,11})/IF(G533="",I533,G533)-1,""))</f>
        <v/>
      </c>
      <c r="AG533" s="55">
        <f>IF(OR(T533="",I533&lt;T533),"",IFERROR(AF533/-(R533/IF(G533="",I533,G533)-1),""))</f>
        <v/>
      </c>
      <c r="AH533" s="94" t="n"/>
      <c r="AI533" s="94" t="n"/>
      <c r="AJ533" s="94" t="n"/>
      <c r="AK533" s="94" t="n"/>
      <c r="AL533" s="84" t="n"/>
    </row>
    <row r="534">
      <c r="A534" s="64" t="n"/>
      <c r="B534" s="65" t="n"/>
      <c r="C534" s="66" t="n"/>
      <c r="D534" s="67" t="n"/>
      <c r="E534" s="68" t="n"/>
      <c r="F534" s="47">
        <f>IF(A534="","",IF(MIN(H534,MAX(J534:K534))=0,"",MIN(H534,MAX(J534:K534))))</f>
        <v/>
      </c>
      <c r="G534" s="74" t="n"/>
      <c r="H534" s="49">
        <f>IF(M534="","",IFERROR(ROUND(AVERAGE(T534+M534*{7,8,9,10,11})/1.21,4),""))</f>
        <v/>
      </c>
      <c r="I534" s="76" t="n"/>
      <c r="J534" s="77" t="n"/>
      <c r="K534" s="74" t="n"/>
      <c r="L534" s="78" t="n"/>
      <c r="M534" s="77" t="n"/>
      <c r="N534" s="53">
        <f>IF(M534="","",IFERROR(M534/I534,""))</f>
        <v/>
      </c>
      <c r="O534" s="50">
        <f>IF(A534="","",IFERROR((IF(G534="",I534,G534)-T534)/M534,""))</f>
        <v/>
      </c>
      <c r="P534" s="50">
        <f>IFERROR((I534/T534-1)/N534,"")</f>
        <v/>
      </c>
      <c r="Q534" s="46">
        <f>IF(OR(T534="",I534&lt;T534),"",IFERROR(R534/IF(G534="",I534,G534)-1,""))</f>
        <v/>
      </c>
      <c r="R534" s="48">
        <f>IF($M534="","",MAX(IF($G534="",$I534,$G534)*(1/1.1),IF($G534="",$I534,$G534)+(R$2*$M534)))</f>
        <v/>
      </c>
      <c r="S534" s="49">
        <f>IF($M534="","",MAX(IF($G534="",$I534,$G534)*(1/1.1),IF($G534="",$I534,$G534)+(S$2*$M534)))</f>
        <v/>
      </c>
      <c r="T534" s="82" t="n"/>
      <c r="U534" s="47">
        <f>IF(OR($M534="",$T534=""),"",$T534+(U$2*$M534))</f>
        <v/>
      </c>
      <c r="V534" s="48">
        <f>IF(OR($M534="",$T534=""),"",$T534+(V$2*$M534))</f>
        <v/>
      </c>
      <c r="W534" s="48">
        <f>IF(OR($M534="",$T534=""),"",$T534+(W$2*$M534))</f>
        <v/>
      </c>
      <c r="X534" s="49">
        <f>IF(OR($M534="",$T534=""),"",$T534+(X$2*$M534))</f>
        <v/>
      </c>
      <c r="Y534" s="47">
        <f>IF(OR($M534="",$T534=""),"",$T534+(Y$2*$M534))</f>
        <v/>
      </c>
      <c r="Z534" s="49">
        <f>IF(OR($M534="",$T534=""),"",$T534+(Z$2*$M534))</f>
        <v/>
      </c>
      <c r="AA534" s="51">
        <f>IF(OR($M534="",$T534=""),"",$T534+(AA$2*$M534))</f>
        <v/>
      </c>
      <c r="AB534" s="48">
        <f>IF(OR($M534="",$T534=""),"",$T534+(AB$2*$M534))</f>
        <v/>
      </c>
      <c r="AC534" s="48">
        <f>IF(OR($M534="",$T534=""),"",$T534+(AC$2*$M534))</f>
        <v/>
      </c>
      <c r="AD534" s="48">
        <f>IF(OR($M534="",$T534=""),"",$T534+(AD$2*$M534))</f>
        <v/>
      </c>
      <c r="AE534" s="49">
        <f>IF(OR($M534="",$T534=""),"",$T534+(AE$2*$M534))</f>
        <v/>
      </c>
      <c r="AF534" s="52">
        <f>IF(OR(T534="",I534&lt;T534),"",IFERROR(AVERAGE(T534+M534*{7,8,9,10,11})/IF(G534="",I534,G534)-1,""))</f>
        <v/>
      </c>
      <c r="AG534" s="55">
        <f>IF(OR(T534="",I534&lt;T534),"",IFERROR(AF534/-(R534/IF(G534="",I534,G534)-1),""))</f>
        <v/>
      </c>
      <c r="AH534" s="94" t="n"/>
      <c r="AI534" s="94" t="n"/>
      <c r="AJ534" s="94" t="n"/>
      <c r="AK534" s="94" t="n"/>
      <c r="AL534" s="84" t="n"/>
    </row>
    <row r="535">
      <c r="A535" s="64" t="n"/>
      <c r="B535" s="65" t="n"/>
      <c r="C535" s="66" t="n"/>
      <c r="D535" s="67" t="n"/>
      <c r="E535" s="68" t="n"/>
      <c r="F535" s="47">
        <f>IF(A535="","",IF(MIN(H535,MAX(J535:K535))=0,"",MIN(H535,MAX(J535:K535))))</f>
        <v/>
      </c>
      <c r="G535" s="74" t="n"/>
      <c r="H535" s="49">
        <f>IF(M535="","",IFERROR(ROUND(AVERAGE(T535+M535*{7,8,9,10,11})/1.21,4),""))</f>
        <v/>
      </c>
      <c r="I535" s="76" t="n"/>
      <c r="J535" s="77" t="n"/>
      <c r="K535" s="74" t="n"/>
      <c r="L535" s="78" t="n"/>
      <c r="M535" s="77" t="n"/>
      <c r="N535" s="53">
        <f>IF(M535="","",IFERROR(M535/I535,""))</f>
        <v/>
      </c>
      <c r="O535" s="50">
        <f>IF(A535="","",IFERROR((IF(G535="",I535,G535)-T535)/M535,""))</f>
        <v/>
      </c>
      <c r="P535" s="50">
        <f>IFERROR((I535/T535-1)/N535,"")</f>
        <v/>
      </c>
      <c r="Q535" s="46">
        <f>IF(OR(T535="",I535&lt;T535),"",IFERROR(R535/IF(G535="",I535,G535)-1,""))</f>
        <v/>
      </c>
      <c r="R535" s="48">
        <f>IF($M535="","",MAX(IF($G535="",$I535,$G535)*(1/1.1),IF($G535="",$I535,$G535)+(R$2*$M535)))</f>
        <v/>
      </c>
      <c r="S535" s="49">
        <f>IF($M535="","",MAX(IF($G535="",$I535,$G535)*(1/1.1),IF($G535="",$I535,$G535)+(S$2*$M535)))</f>
        <v/>
      </c>
      <c r="T535" s="82" t="n"/>
      <c r="U535" s="47">
        <f>IF(OR($M535="",$T535=""),"",$T535+(U$2*$M535))</f>
        <v/>
      </c>
      <c r="V535" s="48">
        <f>IF(OR($M535="",$T535=""),"",$T535+(V$2*$M535))</f>
        <v/>
      </c>
      <c r="W535" s="48">
        <f>IF(OR($M535="",$T535=""),"",$T535+(W$2*$M535))</f>
        <v/>
      </c>
      <c r="X535" s="49">
        <f>IF(OR($M535="",$T535=""),"",$T535+(X$2*$M535))</f>
        <v/>
      </c>
      <c r="Y535" s="47">
        <f>IF(OR($M535="",$T535=""),"",$T535+(Y$2*$M535))</f>
        <v/>
      </c>
      <c r="Z535" s="49">
        <f>IF(OR($M535="",$T535=""),"",$T535+(Z$2*$M535))</f>
        <v/>
      </c>
      <c r="AA535" s="51">
        <f>IF(OR($M535="",$T535=""),"",$T535+(AA$2*$M535))</f>
        <v/>
      </c>
      <c r="AB535" s="48">
        <f>IF(OR($M535="",$T535=""),"",$T535+(AB$2*$M535))</f>
        <v/>
      </c>
      <c r="AC535" s="48">
        <f>IF(OR($M535="",$T535=""),"",$T535+(AC$2*$M535))</f>
        <v/>
      </c>
      <c r="AD535" s="48">
        <f>IF(OR($M535="",$T535=""),"",$T535+(AD$2*$M535))</f>
        <v/>
      </c>
      <c r="AE535" s="49">
        <f>IF(OR($M535="",$T535=""),"",$T535+(AE$2*$M535))</f>
        <v/>
      </c>
      <c r="AF535" s="52">
        <f>IF(OR(T535="",I535&lt;T535),"",IFERROR(AVERAGE(T535+M535*{7,8,9,10,11})/IF(G535="",I535,G535)-1,""))</f>
        <v/>
      </c>
      <c r="AG535" s="55">
        <f>IF(OR(T535="",I535&lt;T535),"",IFERROR(AF535/-(R535/IF(G535="",I535,G535)-1),""))</f>
        <v/>
      </c>
      <c r="AH535" s="94" t="n"/>
      <c r="AI535" s="94" t="n"/>
      <c r="AJ535" s="94" t="n"/>
      <c r="AK535" s="94" t="n"/>
      <c r="AL535" s="84" t="n"/>
    </row>
    <row r="536">
      <c r="A536" s="64" t="n"/>
      <c r="B536" s="65" t="n"/>
      <c r="C536" s="66" t="n"/>
      <c r="D536" s="67" t="n"/>
      <c r="E536" s="68" t="n"/>
      <c r="F536" s="47">
        <f>IF(A536="","",IF(MIN(H536,MAX(J536:K536))=0,"",MIN(H536,MAX(J536:K536))))</f>
        <v/>
      </c>
      <c r="G536" s="74" t="n"/>
      <c r="H536" s="49">
        <f>IF(M536="","",IFERROR(ROUND(AVERAGE(T536+M536*{7,8,9,10,11})/1.21,4),""))</f>
        <v/>
      </c>
      <c r="I536" s="76" t="n"/>
      <c r="J536" s="77" t="n"/>
      <c r="K536" s="74" t="n"/>
      <c r="L536" s="78" t="n"/>
      <c r="M536" s="77" t="n"/>
      <c r="N536" s="53">
        <f>IF(M536="","",IFERROR(M536/I536,""))</f>
        <v/>
      </c>
      <c r="O536" s="50">
        <f>IF(A536="","",IFERROR((IF(G536="",I536,G536)-T536)/M536,""))</f>
        <v/>
      </c>
      <c r="P536" s="50">
        <f>IFERROR((I536/T536-1)/N536,"")</f>
        <v/>
      </c>
      <c r="Q536" s="46">
        <f>IF(OR(T536="",I536&lt;T536),"",IFERROR(R536/IF(G536="",I536,G536)-1,""))</f>
        <v/>
      </c>
      <c r="R536" s="48">
        <f>IF($M536="","",MAX(IF($G536="",$I536,$G536)*(1/1.1),IF($G536="",$I536,$G536)+(R$2*$M536)))</f>
        <v/>
      </c>
      <c r="S536" s="49">
        <f>IF($M536="","",MAX(IF($G536="",$I536,$G536)*(1/1.1),IF($G536="",$I536,$G536)+(S$2*$M536)))</f>
        <v/>
      </c>
      <c r="T536" s="82" t="n"/>
      <c r="U536" s="47">
        <f>IF(OR($M536="",$T536=""),"",$T536+(U$2*$M536))</f>
        <v/>
      </c>
      <c r="V536" s="48">
        <f>IF(OR($M536="",$T536=""),"",$T536+(V$2*$M536))</f>
        <v/>
      </c>
      <c r="W536" s="48">
        <f>IF(OR($M536="",$T536=""),"",$T536+(W$2*$M536))</f>
        <v/>
      </c>
      <c r="X536" s="49">
        <f>IF(OR($M536="",$T536=""),"",$T536+(X$2*$M536))</f>
        <v/>
      </c>
      <c r="Y536" s="47">
        <f>IF(OR($M536="",$T536=""),"",$T536+(Y$2*$M536))</f>
        <v/>
      </c>
      <c r="Z536" s="49">
        <f>IF(OR($M536="",$T536=""),"",$T536+(Z$2*$M536))</f>
        <v/>
      </c>
      <c r="AA536" s="51">
        <f>IF(OR($M536="",$T536=""),"",$T536+(AA$2*$M536))</f>
        <v/>
      </c>
      <c r="AB536" s="48">
        <f>IF(OR($M536="",$T536=""),"",$T536+(AB$2*$M536))</f>
        <v/>
      </c>
      <c r="AC536" s="48">
        <f>IF(OR($M536="",$T536=""),"",$T536+(AC$2*$M536))</f>
        <v/>
      </c>
      <c r="AD536" s="48">
        <f>IF(OR($M536="",$T536=""),"",$T536+(AD$2*$M536))</f>
        <v/>
      </c>
      <c r="AE536" s="49">
        <f>IF(OR($M536="",$T536=""),"",$T536+(AE$2*$M536))</f>
        <v/>
      </c>
      <c r="AF536" s="52">
        <f>IF(OR(T536="",I536&lt;T536),"",IFERROR(AVERAGE(T536+M536*{7,8,9,10,11})/IF(G536="",I536,G536)-1,""))</f>
        <v/>
      </c>
      <c r="AG536" s="55">
        <f>IF(OR(T536="",I536&lt;T536),"",IFERROR(AF536/-(R536/IF(G536="",I536,G536)-1),""))</f>
        <v/>
      </c>
      <c r="AH536" s="94" t="n"/>
      <c r="AI536" s="94" t="n"/>
      <c r="AJ536" s="94" t="n"/>
      <c r="AK536" s="94" t="n"/>
      <c r="AL536" s="84" t="n"/>
    </row>
    <row r="537">
      <c r="A537" s="64" t="n"/>
      <c r="B537" s="65" t="n"/>
      <c r="C537" s="66" t="n"/>
      <c r="D537" s="67" t="n"/>
      <c r="E537" s="68" t="n"/>
      <c r="F537" s="47">
        <f>IF(A537="","",IF(MIN(H537,MAX(J537:K537))=0,"",MIN(H537,MAX(J537:K537))))</f>
        <v/>
      </c>
      <c r="G537" s="74" t="n"/>
      <c r="H537" s="49">
        <f>IF(M537="","",IFERROR(ROUND(AVERAGE(T537+M537*{7,8,9,10,11})/1.21,4),""))</f>
        <v/>
      </c>
      <c r="I537" s="76" t="n"/>
      <c r="J537" s="77" t="n"/>
      <c r="K537" s="74" t="n"/>
      <c r="L537" s="78" t="n"/>
      <c r="M537" s="77" t="n"/>
      <c r="N537" s="53">
        <f>IF(M537="","",IFERROR(M537/I537,""))</f>
        <v/>
      </c>
      <c r="O537" s="50">
        <f>IF(A537="","",IFERROR((IF(G537="",I537,G537)-T537)/M537,""))</f>
        <v/>
      </c>
      <c r="P537" s="50">
        <f>IFERROR((I537/T537-1)/N537,"")</f>
        <v/>
      </c>
      <c r="Q537" s="46">
        <f>IF(OR(T537="",I537&lt;T537),"",IFERROR(R537/IF(G537="",I537,G537)-1,""))</f>
        <v/>
      </c>
      <c r="R537" s="48">
        <f>IF($M537="","",MAX(IF($G537="",$I537,$G537)*(1/1.1),IF($G537="",$I537,$G537)+(R$2*$M537)))</f>
        <v/>
      </c>
      <c r="S537" s="49">
        <f>IF($M537="","",MAX(IF($G537="",$I537,$G537)*(1/1.1),IF($G537="",$I537,$G537)+(S$2*$M537)))</f>
        <v/>
      </c>
      <c r="T537" s="82" t="n"/>
      <c r="U537" s="47">
        <f>IF(OR($M537="",$T537=""),"",$T537+(U$2*$M537))</f>
        <v/>
      </c>
      <c r="V537" s="48">
        <f>IF(OR($M537="",$T537=""),"",$T537+(V$2*$M537))</f>
        <v/>
      </c>
      <c r="W537" s="48">
        <f>IF(OR($M537="",$T537=""),"",$T537+(W$2*$M537))</f>
        <v/>
      </c>
      <c r="X537" s="49">
        <f>IF(OR($M537="",$T537=""),"",$T537+(X$2*$M537))</f>
        <v/>
      </c>
      <c r="Y537" s="47">
        <f>IF(OR($M537="",$T537=""),"",$T537+(Y$2*$M537))</f>
        <v/>
      </c>
      <c r="Z537" s="49">
        <f>IF(OR($M537="",$T537=""),"",$T537+(Z$2*$M537))</f>
        <v/>
      </c>
      <c r="AA537" s="51">
        <f>IF(OR($M537="",$T537=""),"",$T537+(AA$2*$M537))</f>
        <v/>
      </c>
      <c r="AB537" s="48">
        <f>IF(OR($M537="",$T537=""),"",$T537+(AB$2*$M537))</f>
        <v/>
      </c>
      <c r="AC537" s="48">
        <f>IF(OR($M537="",$T537=""),"",$T537+(AC$2*$M537))</f>
        <v/>
      </c>
      <c r="AD537" s="48">
        <f>IF(OR($M537="",$T537=""),"",$T537+(AD$2*$M537))</f>
        <v/>
      </c>
      <c r="AE537" s="49">
        <f>IF(OR($M537="",$T537=""),"",$T537+(AE$2*$M537))</f>
        <v/>
      </c>
      <c r="AF537" s="52">
        <f>IF(OR(T537="",I537&lt;T537),"",IFERROR(AVERAGE(T537+M537*{7,8,9,10,11})/IF(G537="",I537,G537)-1,""))</f>
        <v/>
      </c>
      <c r="AG537" s="55">
        <f>IF(OR(T537="",I537&lt;T537),"",IFERROR(AF537/-(R537/IF(G537="",I537,G537)-1),""))</f>
        <v/>
      </c>
      <c r="AH537" s="94" t="n"/>
      <c r="AI537" s="94" t="n"/>
      <c r="AJ537" s="94" t="n"/>
      <c r="AK537" s="94" t="n"/>
      <c r="AL537" s="84" t="n"/>
    </row>
    <row r="538">
      <c r="A538" s="64" t="n"/>
      <c r="B538" s="65" t="n"/>
      <c r="C538" s="66" t="n"/>
      <c r="D538" s="67" t="n"/>
      <c r="E538" s="68" t="n"/>
      <c r="F538" s="47">
        <f>IF(A538="","",IF(MIN(H538,MAX(J538:K538))=0,"",MIN(H538,MAX(J538:K538))))</f>
        <v/>
      </c>
      <c r="G538" s="74" t="n"/>
      <c r="H538" s="49">
        <f>IF(M538="","",IFERROR(ROUND(AVERAGE(T538+M538*{7,8,9,10,11})/1.21,4),""))</f>
        <v/>
      </c>
      <c r="I538" s="76" t="n"/>
      <c r="J538" s="77" t="n"/>
      <c r="K538" s="74" t="n"/>
      <c r="L538" s="78" t="n"/>
      <c r="M538" s="77" t="n"/>
      <c r="N538" s="53">
        <f>IF(M538="","",IFERROR(M538/I538,""))</f>
        <v/>
      </c>
      <c r="O538" s="50">
        <f>IF(A538="","",IFERROR((IF(G538="",I538,G538)-T538)/M538,""))</f>
        <v/>
      </c>
      <c r="P538" s="50">
        <f>IFERROR((I538/T538-1)/N538,"")</f>
        <v/>
      </c>
      <c r="Q538" s="46">
        <f>IF(OR(T538="",I538&lt;T538),"",IFERROR(R538/IF(G538="",I538,G538)-1,""))</f>
        <v/>
      </c>
      <c r="R538" s="48">
        <f>IF($M538="","",MAX(IF($G538="",$I538,$G538)*(1/1.1),IF($G538="",$I538,$G538)+(R$2*$M538)))</f>
        <v/>
      </c>
      <c r="S538" s="49">
        <f>IF($M538="","",MAX(IF($G538="",$I538,$G538)*(1/1.1),IF($G538="",$I538,$G538)+(S$2*$M538)))</f>
        <v/>
      </c>
      <c r="T538" s="82" t="n"/>
      <c r="U538" s="47">
        <f>IF(OR($M538="",$T538=""),"",$T538+(U$2*$M538))</f>
        <v/>
      </c>
      <c r="V538" s="48">
        <f>IF(OR($M538="",$T538=""),"",$T538+(V$2*$M538))</f>
        <v/>
      </c>
      <c r="W538" s="48">
        <f>IF(OR($M538="",$T538=""),"",$T538+(W$2*$M538))</f>
        <v/>
      </c>
      <c r="X538" s="49">
        <f>IF(OR($M538="",$T538=""),"",$T538+(X$2*$M538))</f>
        <v/>
      </c>
      <c r="Y538" s="47">
        <f>IF(OR($M538="",$T538=""),"",$T538+(Y$2*$M538))</f>
        <v/>
      </c>
      <c r="Z538" s="49">
        <f>IF(OR($M538="",$T538=""),"",$T538+(Z$2*$M538))</f>
        <v/>
      </c>
      <c r="AA538" s="51">
        <f>IF(OR($M538="",$T538=""),"",$T538+(AA$2*$M538))</f>
        <v/>
      </c>
      <c r="AB538" s="48">
        <f>IF(OR($M538="",$T538=""),"",$T538+(AB$2*$M538))</f>
        <v/>
      </c>
      <c r="AC538" s="48">
        <f>IF(OR($M538="",$T538=""),"",$T538+(AC$2*$M538))</f>
        <v/>
      </c>
      <c r="AD538" s="48">
        <f>IF(OR($M538="",$T538=""),"",$T538+(AD$2*$M538))</f>
        <v/>
      </c>
      <c r="AE538" s="49">
        <f>IF(OR($M538="",$T538=""),"",$T538+(AE$2*$M538))</f>
        <v/>
      </c>
      <c r="AF538" s="52">
        <f>IF(OR(T538="",I538&lt;T538),"",IFERROR(AVERAGE(T538+M538*{7,8,9,10,11})/IF(G538="",I538,G538)-1,""))</f>
        <v/>
      </c>
      <c r="AG538" s="55">
        <f>IF(OR(T538="",I538&lt;T538),"",IFERROR(AF538/-(R538/IF(G538="",I538,G538)-1),""))</f>
        <v/>
      </c>
      <c r="AH538" s="94" t="n"/>
      <c r="AI538" s="94" t="n"/>
      <c r="AJ538" s="94" t="n"/>
      <c r="AK538" s="94" t="n"/>
      <c r="AL538" s="84" t="n"/>
    </row>
    <row r="539">
      <c r="A539" s="64" t="n"/>
      <c r="B539" s="65" t="n"/>
      <c r="C539" s="66" t="n"/>
      <c r="D539" s="67" t="n"/>
      <c r="E539" s="68" t="n"/>
      <c r="F539" s="47">
        <f>IF(A539="","",IF(MIN(H539,MAX(J539:K539))=0,"",MIN(H539,MAX(J539:K539))))</f>
        <v/>
      </c>
      <c r="G539" s="74" t="n"/>
      <c r="H539" s="49">
        <f>IF(M539="","",IFERROR(ROUND(AVERAGE(T539+M539*{7,8,9,10,11})/1.21,4),""))</f>
        <v/>
      </c>
      <c r="I539" s="76" t="n"/>
      <c r="J539" s="77" t="n"/>
      <c r="K539" s="74" t="n"/>
      <c r="L539" s="78" t="n"/>
      <c r="M539" s="77" t="n"/>
      <c r="N539" s="53">
        <f>IF(M539="","",IFERROR(M539/I539,""))</f>
        <v/>
      </c>
      <c r="O539" s="50">
        <f>IF(A539="","",IFERROR((IF(G539="",I539,G539)-T539)/M539,""))</f>
        <v/>
      </c>
      <c r="P539" s="50">
        <f>IFERROR((I539/T539-1)/N539,"")</f>
        <v/>
      </c>
      <c r="Q539" s="46">
        <f>IF(OR(T539="",I539&lt;T539),"",IFERROR(R539/IF(G539="",I539,G539)-1,""))</f>
        <v/>
      </c>
      <c r="R539" s="48">
        <f>IF($M539="","",MAX(IF($G539="",$I539,$G539)*(1/1.1),IF($G539="",$I539,$G539)+(R$2*$M539)))</f>
        <v/>
      </c>
      <c r="S539" s="49">
        <f>IF($M539="","",MAX(IF($G539="",$I539,$G539)*(1/1.1),IF($G539="",$I539,$G539)+(S$2*$M539)))</f>
        <v/>
      </c>
      <c r="T539" s="82" t="n"/>
      <c r="U539" s="47">
        <f>IF(OR($M539="",$T539=""),"",$T539+(U$2*$M539))</f>
        <v/>
      </c>
      <c r="V539" s="48">
        <f>IF(OR($M539="",$T539=""),"",$T539+(V$2*$M539))</f>
        <v/>
      </c>
      <c r="W539" s="48">
        <f>IF(OR($M539="",$T539=""),"",$T539+(W$2*$M539))</f>
        <v/>
      </c>
      <c r="X539" s="49">
        <f>IF(OR($M539="",$T539=""),"",$T539+(X$2*$M539))</f>
        <v/>
      </c>
      <c r="Y539" s="47">
        <f>IF(OR($M539="",$T539=""),"",$T539+(Y$2*$M539))</f>
        <v/>
      </c>
      <c r="Z539" s="49">
        <f>IF(OR($M539="",$T539=""),"",$T539+(Z$2*$M539))</f>
        <v/>
      </c>
      <c r="AA539" s="51">
        <f>IF(OR($M539="",$T539=""),"",$T539+(AA$2*$M539))</f>
        <v/>
      </c>
      <c r="AB539" s="48">
        <f>IF(OR($M539="",$T539=""),"",$T539+(AB$2*$M539))</f>
        <v/>
      </c>
      <c r="AC539" s="48">
        <f>IF(OR($M539="",$T539=""),"",$T539+(AC$2*$M539))</f>
        <v/>
      </c>
      <c r="AD539" s="48">
        <f>IF(OR($M539="",$T539=""),"",$T539+(AD$2*$M539))</f>
        <v/>
      </c>
      <c r="AE539" s="49">
        <f>IF(OR($M539="",$T539=""),"",$T539+(AE$2*$M539))</f>
        <v/>
      </c>
      <c r="AF539" s="52">
        <f>IF(OR(T539="",I539&lt;T539),"",IFERROR(AVERAGE(T539+M539*{7,8,9,10,11})/IF(G539="",I539,G539)-1,""))</f>
        <v/>
      </c>
      <c r="AG539" s="55">
        <f>IF(OR(T539="",I539&lt;T539),"",IFERROR(AF539/-(R539/IF(G539="",I539,G539)-1),""))</f>
        <v/>
      </c>
      <c r="AH539" s="94" t="n"/>
      <c r="AI539" s="94" t="n"/>
      <c r="AJ539" s="94" t="n"/>
      <c r="AK539" s="94" t="n"/>
      <c r="AL539" s="84" t="n"/>
    </row>
    <row r="540">
      <c r="A540" s="64" t="n"/>
      <c r="B540" s="65" t="n"/>
      <c r="C540" s="66" t="n"/>
      <c r="D540" s="67" t="n"/>
      <c r="E540" s="68" t="n"/>
      <c r="F540" s="47">
        <f>IF(A540="","",IF(MIN(H540,MAX(J540:K540))=0,"",MIN(H540,MAX(J540:K540))))</f>
        <v/>
      </c>
      <c r="G540" s="74" t="n"/>
      <c r="H540" s="49">
        <f>IF(M540="","",IFERROR(ROUND(AVERAGE(T540+M540*{7,8,9,10,11})/1.21,4),""))</f>
        <v/>
      </c>
      <c r="I540" s="76" t="n"/>
      <c r="J540" s="77" t="n"/>
      <c r="K540" s="74" t="n"/>
      <c r="L540" s="78" t="n"/>
      <c r="M540" s="77" t="n"/>
      <c r="N540" s="53">
        <f>IF(M540="","",IFERROR(M540/I540,""))</f>
        <v/>
      </c>
      <c r="O540" s="50">
        <f>IF(A540="","",IFERROR((IF(G540="",I540,G540)-T540)/M540,""))</f>
        <v/>
      </c>
      <c r="P540" s="50">
        <f>IFERROR((I540/T540-1)/N540,"")</f>
        <v/>
      </c>
      <c r="Q540" s="46">
        <f>IF(OR(T540="",I540&lt;T540),"",IFERROR(R540/IF(G540="",I540,G540)-1,""))</f>
        <v/>
      </c>
      <c r="R540" s="48">
        <f>IF($M540="","",MAX(IF($G540="",$I540,$G540)*(1/1.1),IF($G540="",$I540,$G540)+(R$2*$M540)))</f>
        <v/>
      </c>
      <c r="S540" s="49">
        <f>IF($M540="","",MAX(IF($G540="",$I540,$G540)*(1/1.1),IF($G540="",$I540,$G540)+(S$2*$M540)))</f>
        <v/>
      </c>
      <c r="T540" s="82" t="n"/>
      <c r="U540" s="47">
        <f>IF(OR($M540="",$T540=""),"",$T540+(U$2*$M540))</f>
        <v/>
      </c>
      <c r="V540" s="48">
        <f>IF(OR($M540="",$T540=""),"",$T540+(V$2*$M540))</f>
        <v/>
      </c>
      <c r="W540" s="48">
        <f>IF(OR($M540="",$T540=""),"",$T540+(W$2*$M540))</f>
        <v/>
      </c>
      <c r="X540" s="49">
        <f>IF(OR($M540="",$T540=""),"",$T540+(X$2*$M540))</f>
        <v/>
      </c>
      <c r="Y540" s="47">
        <f>IF(OR($M540="",$T540=""),"",$T540+(Y$2*$M540))</f>
        <v/>
      </c>
      <c r="Z540" s="49">
        <f>IF(OR($M540="",$T540=""),"",$T540+(Z$2*$M540))</f>
        <v/>
      </c>
      <c r="AA540" s="51">
        <f>IF(OR($M540="",$T540=""),"",$T540+(AA$2*$M540))</f>
        <v/>
      </c>
      <c r="AB540" s="48">
        <f>IF(OR($M540="",$T540=""),"",$T540+(AB$2*$M540))</f>
        <v/>
      </c>
      <c r="AC540" s="48">
        <f>IF(OR($M540="",$T540=""),"",$T540+(AC$2*$M540))</f>
        <v/>
      </c>
      <c r="AD540" s="48">
        <f>IF(OR($M540="",$T540=""),"",$T540+(AD$2*$M540))</f>
        <v/>
      </c>
      <c r="AE540" s="49">
        <f>IF(OR($M540="",$T540=""),"",$T540+(AE$2*$M540))</f>
        <v/>
      </c>
      <c r="AF540" s="52">
        <f>IF(OR(T540="",I540&lt;T540),"",IFERROR(AVERAGE(T540+M540*{7,8,9,10,11})/IF(G540="",I540,G540)-1,""))</f>
        <v/>
      </c>
      <c r="AG540" s="55">
        <f>IF(OR(T540="",I540&lt;T540),"",IFERROR(AF540/-(R540/IF(G540="",I540,G540)-1),""))</f>
        <v/>
      </c>
      <c r="AH540" s="94" t="n"/>
      <c r="AI540" s="94" t="n"/>
      <c r="AJ540" s="94" t="n"/>
      <c r="AK540" s="94" t="n"/>
      <c r="AL540" s="84" t="n"/>
    </row>
    <row r="541">
      <c r="A541" s="64" t="n"/>
      <c r="B541" s="65" t="n"/>
      <c r="C541" s="66" t="n"/>
      <c r="D541" s="67" t="n"/>
      <c r="E541" s="68" t="n"/>
      <c r="F541" s="47">
        <f>IF(A541="","",IF(MIN(H541,MAX(J541:K541))=0,"",MIN(H541,MAX(J541:K541))))</f>
        <v/>
      </c>
      <c r="G541" s="74" t="n"/>
      <c r="H541" s="49">
        <f>IF(M541="","",IFERROR(ROUND(AVERAGE(T541+M541*{7,8,9,10,11})/1.21,4),""))</f>
        <v/>
      </c>
      <c r="I541" s="76" t="n"/>
      <c r="J541" s="77" t="n"/>
      <c r="K541" s="74" t="n"/>
      <c r="L541" s="78" t="n"/>
      <c r="M541" s="77" t="n"/>
      <c r="N541" s="53">
        <f>IF(M541="","",IFERROR(M541/I541,""))</f>
        <v/>
      </c>
      <c r="O541" s="50">
        <f>IF(A541="","",IFERROR((IF(G541="",I541,G541)-T541)/M541,""))</f>
        <v/>
      </c>
      <c r="P541" s="50">
        <f>IFERROR((I541/T541-1)/N541,"")</f>
        <v/>
      </c>
      <c r="Q541" s="46">
        <f>IF(OR(T541="",I541&lt;T541),"",IFERROR(R541/IF(G541="",I541,G541)-1,""))</f>
        <v/>
      </c>
      <c r="R541" s="48">
        <f>IF($M541="","",MAX(IF($G541="",$I541,$G541)*(1/1.1),IF($G541="",$I541,$G541)+(R$2*$M541)))</f>
        <v/>
      </c>
      <c r="S541" s="49">
        <f>IF($M541="","",MAX(IF($G541="",$I541,$G541)*(1/1.1),IF($G541="",$I541,$G541)+(S$2*$M541)))</f>
        <v/>
      </c>
      <c r="T541" s="82" t="n"/>
      <c r="U541" s="47">
        <f>IF(OR($M541="",$T541=""),"",$T541+(U$2*$M541))</f>
        <v/>
      </c>
      <c r="V541" s="48">
        <f>IF(OR($M541="",$T541=""),"",$T541+(V$2*$M541))</f>
        <v/>
      </c>
      <c r="W541" s="48">
        <f>IF(OR($M541="",$T541=""),"",$T541+(W$2*$M541))</f>
        <v/>
      </c>
      <c r="X541" s="49">
        <f>IF(OR($M541="",$T541=""),"",$T541+(X$2*$M541))</f>
        <v/>
      </c>
      <c r="Y541" s="47">
        <f>IF(OR($M541="",$T541=""),"",$T541+(Y$2*$M541))</f>
        <v/>
      </c>
      <c r="Z541" s="49">
        <f>IF(OR($M541="",$T541=""),"",$T541+(Z$2*$M541))</f>
        <v/>
      </c>
      <c r="AA541" s="51">
        <f>IF(OR($M541="",$T541=""),"",$T541+(AA$2*$M541))</f>
        <v/>
      </c>
      <c r="AB541" s="48">
        <f>IF(OR($M541="",$T541=""),"",$T541+(AB$2*$M541))</f>
        <v/>
      </c>
      <c r="AC541" s="48">
        <f>IF(OR($M541="",$T541=""),"",$T541+(AC$2*$M541))</f>
        <v/>
      </c>
      <c r="AD541" s="48">
        <f>IF(OR($M541="",$T541=""),"",$T541+(AD$2*$M541))</f>
        <v/>
      </c>
      <c r="AE541" s="49">
        <f>IF(OR($M541="",$T541=""),"",$T541+(AE$2*$M541))</f>
        <v/>
      </c>
      <c r="AF541" s="52">
        <f>IF(OR(T541="",I541&lt;T541),"",IFERROR(AVERAGE(T541+M541*{7,8,9,10,11})/IF(G541="",I541,G541)-1,""))</f>
        <v/>
      </c>
      <c r="AG541" s="55">
        <f>IF(OR(T541="",I541&lt;T541),"",IFERROR(AF541/-(R541/IF(G541="",I541,G541)-1),""))</f>
        <v/>
      </c>
      <c r="AH541" s="94" t="n"/>
      <c r="AI541" s="94" t="n"/>
      <c r="AJ541" s="94" t="n"/>
      <c r="AK541" s="94" t="n"/>
      <c r="AL541" s="84" t="n"/>
    </row>
    <row r="542">
      <c r="A542" s="64" t="n"/>
      <c r="B542" s="65" t="n"/>
      <c r="C542" s="66" t="n"/>
      <c r="D542" s="67" t="n"/>
      <c r="E542" s="68" t="n"/>
      <c r="F542" s="47">
        <f>IF(A542="","",IF(MIN(H542,MAX(J542:K542))=0,"",MIN(H542,MAX(J542:K542))))</f>
        <v/>
      </c>
      <c r="G542" s="74" t="n"/>
      <c r="H542" s="49">
        <f>IF(M542="","",IFERROR(ROUND(AVERAGE(T542+M542*{7,8,9,10,11})/1.21,4),""))</f>
        <v/>
      </c>
      <c r="I542" s="76" t="n"/>
      <c r="J542" s="77" t="n"/>
      <c r="K542" s="74" t="n"/>
      <c r="L542" s="78" t="n"/>
      <c r="M542" s="77" t="n"/>
      <c r="N542" s="53">
        <f>IF(M542="","",IFERROR(M542/I542,""))</f>
        <v/>
      </c>
      <c r="O542" s="50">
        <f>IF(A542="","",IFERROR((IF(G542="",I542,G542)-T542)/M542,""))</f>
        <v/>
      </c>
      <c r="P542" s="50">
        <f>IFERROR((I542/T542-1)/N542,"")</f>
        <v/>
      </c>
      <c r="Q542" s="46">
        <f>IF(OR(T542="",I542&lt;T542),"",IFERROR(R542/IF(G542="",I542,G542)-1,""))</f>
        <v/>
      </c>
      <c r="R542" s="48">
        <f>IF($M542="","",MAX(IF($G542="",$I542,$G542)*(1/1.1),IF($G542="",$I542,$G542)+(R$2*$M542)))</f>
        <v/>
      </c>
      <c r="S542" s="49">
        <f>IF($M542="","",MAX(IF($G542="",$I542,$G542)*(1/1.1),IF($G542="",$I542,$G542)+(S$2*$M542)))</f>
        <v/>
      </c>
      <c r="T542" s="82" t="n"/>
      <c r="U542" s="47">
        <f>IF(OR($M542="",$T542=""),"",$T542+(U$2*$M542))</f>
        <v/>
      </c>
      <c r="V542" s="48">
        <f>IF(OR($M542="",$T542=""),"",$T542+(V$2*$M542))</f>
        <v/>
      </c>
      <c r="W542" s="48">
        <f>IF(OR($M542="",$T542=""),"",$T542+(W$2*$M542))</f>
        <v/>
      </c>
      <c r="X542" s="49">
        <f>IF(OR($M542="",$T542=""),"",$T542+(X$2*$M542))</f>
        <v/>
      </c>
      <c r="Y542" s="47">
        <f>IF(OR($M542="",$T542=""),"",$T542+(Y$2*$M542))</f>
        <v/>
      </c>
      <c r="Z542" s="49">
        <f>IF(OR($M542="",$T542=""),"",$T542+(Z$2*$M542))</f>
        <v/>
      </c>
      <c r="AA542" s="51">
        <f>IF(OR($M542="",$T542=""),"",$T542+(AA$2*$M542))</f>
        <v/>
      </c>
      <c r="AB542" s="48">
        <f>IF(OR($M542="",$T542=""),"",$T542+(AB$2*$M542))</f>
        <v/>
      </c>
      <c r="AC542" s="48">
        <f>IF(OR($M542="",$T542=""),"",$T542+(AC$2*$M542))</f>
        <v/>
      </c>
      <c r="AD542" s="48">
        <f>IF(OR($M542="",$T542=""),"",$T542+(AD$2*$M542))</f>
        <v/>
      </c>
      <c r="AE542" s="49">
        <f>IF(OR($M542="",$T542=""),"",$T542+(AE$2*$M542))</f>
        <v/>
      </c>
      <c r="AF542" s="52">
        <f>IF(OR(T542="",I542&lt;T542),"",IFERROR(AVERAGE(T542+M542*{7,8,9,10,11})/IF(G542="",I542,G542)-1,""))</f>
        <v/>
      </c>
      <c r="AG542" s="55">
        <f>IF(OR(T542="",I542&lt;T542),"",IFERROR(AF542/-(R542/IF(G542="",I542,G542)-1),""))</f>
        <v/>
      </c>
      <c r="AH542" s="94" t="n"/>
      <c r="AI542" s="94" t="n"/>
      <c r="AJ542" s="94" t="n"/>
      <c r="AK542" s="94" t="n"/>
      <c r="AL542" s="84" t="n"/>
    </row>
    <row r="543">
      <c r="A543" s="64" t="n"/>
      <c r="B543" s="65" t="n"/>
      <c r="C543" s="66" t="n"/>
      <c r="D543" s="67" t="n"/>
      <c r="E543" s="68" t="n"/>
      <c r="F543" s="47">
        <f>IF(A543="","",IF(MIN(H543,MAX(J543:K543))=0,"",MIN(H543,MAX(J543:K543))))</f>
        <v/>
      </c>
      <c r="G543" s="74" t="n"/>
      <c r="H543" s="49">
        <f>IF(M543="","",IFERROR(ROUND(AVERAGE(T543+M543*{7,8,9,10,11})/1.21,4),""))</f>
        <v/>
      </c>
      <c r="I543" s="76" t="n"/>
      <c r="J543" s="77" t="n"/>
      <c r="K543" s="74" t="n"/>
      <c r="L543" s="78" t="n"/>
      <c r="M543" s="77" t="n"/>
      <c r="N543" s="53">
        <f>IF(M543="","",IFERROR(M543/I543,""))</f>
        <v/>
      </c>
      <c r="O543" s="50">
        <f>IF(A543="","",IFERROR((IF(G543="",I543,G543)-T543)/M543,""))</f>
        <v/>
      </c>
      <c r="P543" s="50">
        <f>IFERROR((I543/T543-1)/N543,"")</f>
        <v/>
      </c>
      <c r="Q543" s="46">
        <f>IF(OR(T543="",I543&lt;T543),"",IFERROR(R543/IF(G543="",I543,G543)-1,""))</f>
        <v/>
      </c>
      <c r="R543" s="48">
        <f>IF($M543="","",MAX(IF($G543="",$I543,$G543)*(1/1.1),IF($G543="",$I543,$G543)+(R$2*$M543)))</f>
        <v/>
      </c>
      <c r="S543" s="49">
        <f>IF($M543="","",MAX(IF($G543="",$I543,$G543)*(1/1.1),IF($G543="",$I543,$G543)+(S$2*$M543)))</f>
        <v/>
      </c>
      <c r="T543" s="82" t="n"/>
      <c r="U543" s="47">
        <f>IF(OR($M543="",$T543=""),"",$T543+(U$2*$M543))</f>
        <v/>
      </c>
      <c r="V543" s="48">
        <f>IF(OR($M543="",$T543=""),"",$T543+(V$2*$M543))</f>
        <v/>
      </c>
      <c r="W543" s="48">
        <f>IF(OR($M543="",$T543=""),"",$T543+(W$2*$M543))</f>
        <v/>
      </c>
      <c r="X543" s="49">
        <f>IF(OR($M543="",$T543=""),"",$T543+(X$2*$M543))</f>
        <v/>
      </c>
      <c r="Y543" s="47">
        <f>IF(OR($M543="",$T543=""),"",$T543+(Y$2*$M543))</f>
        <v/>
      </c>
      <c r="Z543" s="49">
        <f>IF(OR($M543="",$T543=""),"",$T543+(Z$2*$M543))</f>
        <v/>
      </c>
      <c r="AA543" s="51">
        <f>IF(OR($M543="",$T543=""),"",$T543+(AA$2*$M543))</f>
        <v/>
      </c>
      <c r="AB543" s="48">
        <f>IF(OR($M543="",$T543=""),"",$T543+(AB$2*$M543))</f>
        <v/>
      </c>
      <c r="AC543" s="48">
        <f>IF(OR($M543="",$T543=""),"",$T543+(AC$2*$M543))</f>
        <v/>
      </c>
      <c r="AD543" s="48">
        <f>IF(OR($M543="",$T543=""),"",$T543+(AD$2*$M543))</f>
        <v/>
      </c>
      <c r="AE543" s="49">
        <f>IF(OR($M543="",$T543=""),"",$T543+(AE$2*$M543))</f>
        <v/>
      </c>
      <c r="AF543" s="52">
        <f>IF(OR(T543="",I543&lt;T543),"",IFERROR(AVERAGE(T543+M543*{7,8,9,10,11})/IF(G543="",I543,G543)-1,""))</f>
        <v/>
      </c>
      <c r="AG543" s="55">
        <f>IF(OR(T543="",I543&lt;T543),"",IFERROR(AF543/-(R543/IF(G543="",I543,G543)-1),""))</f>
        <v/>
      </c>
      <c r="AH543" s="94" t="n"/>
      <c r="AI543" s="94" t="n"/>
      <c r="AJ543" s="94" t="n"/>
      <c r="AK543" s="94" t="n"/>
      <c r="AL543" s="84" t="n"/>
    </row>
    <row r="544">
      <c r="A544" s="64" t="n"/>
      <c r="B544" s="65" t="n"/>
      <c r="C544" s="66" t="n"/>
      <c r="D544" s="67" t="n"/>
      <c r="E544" s="68" t="n"/>
      <c r="F544" s="47">
        <f>IF(A544="","",IF(MIN(H544,MAX(J544:K544))=0,"",MIN(H544,MAX(J544:K544))))</f>
        <v/>
      </c>
      <c r="G544" s="74" t="n"/>
      <c r="H544" s="49">
        <f>IF(M544="","",IFERROR(ROUND(AVERAGE(T544+M544*{7,8,9,10,11})/1.21,4),""))</f>
        <v/>
      </c>
      <c r="I544" s="76" t="n"/>
      <c r="J544" s="77" t="n"/>
      <c r="K544" s="74" t="n"/>
      <c r="L544" s="78" t="n"/>
      <c r="M544" s="77" t="n"/>
      <c r="N544" s="53">
        <f>IF(M544="","",IFERROR(M544/I544,""))</f>
        <v/>
      </c>
      <c r="O544" s="50">
        <f>IF(A544="","",IFERROR((IF(G544="",I544,G544)-T544)/M544,""))</f>
        <v/>
      </c>
      <c r="P544" s="50">
        <f>IFERROR((I544/T544-1)/N544,"")</f>
        <v/>
      </c>
      <c r="Q544" s="46">
        <f>IF(OR(T544="",I544&lt;T544),"",IFERROR(R544/IF(G544="",I544,G544)-1,""))</f>
        <v/>
      </c>
      <c r="R544" s="48">
        <f>IF($M544="","",MAX(IF($G544="",$I544,$G544)*(1/1.1),IF($G544="",$I544,$G544)+(R$2*$M544)))</f>
        <v/>
      </c>
      <c r="S544" s="49">
        <f>IF($M544="","",MAX(IF($G544="",$I544,$G544)*(1/1.1),IF($G544="",$I544,$G544)+(S$2*$M544)))</f>
        <v/>
      </c>
      <c r="T544" s="82" t="n"/>
      <c r="U544" s="47">
        <f>IF(OR($M544="",$T544=""),"",$T544+(U$2*$M544))</f>
        <v/>
      </c>
      <c r="V544" s="48">
        <f>IF(OR($M544="",$T544=""),"",$T544+(V$2*$M544))</f>
        <v/>
      </c>
      <c r="W544" s="48">
        <f>IF(OR($M544="",$T544=""),"",$T544+(W$2*$M544))</f>
        <v/>
      </c>
      <c r="X544" s="49">
        <f>IF(OR($M544="",$T544=""),"",$T544+(X$2*$M544))</f>
        <v/>
      </c>
      <c r="Y544" s="47">
        <f>IF(OR($M544="",$T544=""),"",$T544+(Y$2*$M544))</f>
        <v/>
      </c>
      <c r="Z544" s="49">
        <f>IF(OR($M544="",$T544=""),"",$T544+(Z$2*$M544))</f>
        <v/>
      </c>
      <c r="AA544" s="51">
        <f>IF(OR($M544="",$T544=""),"",$T544+(AA$2*$M544))</f>
        <v/>
      </c>
      <c r="AB544" s="48">
        <f>IF(OR($M544="",$T544=""),"",$T544+(AB$2*$M544))</f>
        <v/>
      </c>
      <c r="AC544" s="48">
        <f>IF(OR($M544="",$T544=""),"",$T544+(AC$2*$M544))</f>
        <v/>
      </c>
      <c r="AD544" s="48">
        <f>IF(OR($M544="",$T544=""),"",$T544+(AD$2*$M544))</f>
        <v/>
      </c>
      <c r="AE544" s="49">
        <f>IF(OR($M544="",$T544=""),"",$T544+(AE$2*$M544))</f>
        <v/>
      </c>
      <c r="AF544" s="52">
        <f>IF(OR(T544="",I544&lt;T544),"",IFERROR(AVERAGE(T544+M544*{7,8,9,10,11})/IF(G544="",I544,G544)-1,""))</f>
        <v/>
      </c>
      <c r="AG544" s="55">
        <f>IF(OR(T544="",I544&lt;T544),"",IFERROR(AF544/-(R544/IF(G544="",I544,G544)-1),""))</f>
        <v/>
      </c>
      <c r="AH544" s="94" t="n"/>
      <c r="AI544" s="94" t="n"/>
      <c r="AJ544" s="94" t="n"/>
      <c r="AK544" s="94" t="n"/>
      <c r="AL544" s="84" t="n"/>
    </row>
    <row r="545">
      <c r="A545" s="64" t="n"/>
      <c r="B545" s="65" t="n"/>
      <c r="C545" s="66" t="n"/>
      <c r="D545" s="67" t="n"/>
      <c r="E545" s="68" t="n"/>
      <c r="F545" s="47">
        <f>IF(A545="","",IF(MIN(H545,MAX(J545:K545))=0,"",MIN(H545,MAX(J545:K545))))</f>
        <v/>
      </c>
      <c r="G545" s="74" t="n"/>
      <c r="H545" s="49">
        <f>IF(M545="","",IFERROR(ROUND(AVERAGE(T545+M545*{7,8,9,10,11})/1.21,4),""))</f>
        <v/>
      </c>
      <c r="I545" s="76" t="n"/>
      <c r="J545" s="77" t="n"/>
      <c r="K545" s="74" t="n"/>
      <c r="L545" s="78" t="n"/>
      <c r="M545" s="77" t="n"/>
      <c r="N545" s="53">
        <f>IF(M545="","",IFERROR(M545/I545,""))</f>
        <v/>
      </c>
      <c r="O545" s="50">
        <f>IF(A545="","",IFERROR((IF(G545="",I545,G545)-T545)/M545,""))</f>
        <v/>
      </c>
      <c r="P545" s="50">
        <f>IFERROR((I545/T545-1)/N545,"")</f>
        <v/>
      </c>
      <c r="Q545" s="46">
        <f>IF(OR(T545="",I545&lt;T545),"",IFERROR(R545/IF(G545="",I545,G545)-1,""))</f>
        <v/>
      </c>
      <c r="R545" s="48">
        <f>IF($M545="","",MAX(IF($G545="",$I545,$G545)*(1/1.1),IF($G545="",$I545,$G545)+(R$2*$M545)))</f>
        <v/>
      </c>
      <c r="S545" s="49">
        <f>IF($M545="","",MAX(IF($G545="",$I545,$G545)*(1/1.1),IF($G545="",$I545,$G545)+(S$2*$M545)))</f>
        <v/>
      </c>
      <c r="T545" s="82" t="n"/>
      <c r="U545" s="47">
        <f>IF(OR($M545="",$T545=""),"",$T545+(U$2*$M545))</f>
        <v/>
      </c>
      <c r="V545" s="48">
        <f>IF(OR($M545="",$T545=""),"",$T545+(V$2*$M545))</f>
        <v/>
      </c>
      <c r="W545" s="48">
        <f>IF(OR($M545="",$T545=""),"",$T545+(W$2*$M545))</f>
        <v/>
      </c>
      <c r="X545" s="49">
        <f>IF(OR($M545="",$T545=""),"",$T545+(X$2*$M545))</f>
        <v/>
      </c>
      <c r="Y545" s="47">
        <f>IF(OR($M545="",$T545=""),"",$T545+(Y$2*$M545))</f>
        <v/>
      </c>
      <c r="Z545" s="49">
        <f>IF(OR($M545="",$T545=""),"",$T545+(Z$2*$M545))</f>
        <v/>
      </c>
      <c r="AA545" s="51">
        <f>IF(OR($M545="",$T545=""),"",$T545+(AA$2*$M545))</f>
        <v/>
      </c>
      <c r="AB545" s="48">
        <f>IF(OR($M545="",$T545=""),"",$T545+(AB$2*$M545))</f>
        <v/>
      </c>
      <c r="AC545" s="48">
        <f>IF(OR($M545="",$T545=""),"",$T545+(AC$2*$M545))</f>
        <v/>
      </c>
      <c r="AD545" s="48">
        <f>IF(OR($M545="",$T545=""),"",$T545+(AD$2*$M545))</f>
        <v/>
      </c>
      <c r="AE545" s="49">
        <f>IF(OR($M545="",$T545=""),"",$T545+(AE$2*$M545))</f>
        <v/>
      </c>
      <c r="AF545" s="52">
        <f>IF(OR(T545="",I545&lt;T545),"",IFERROR(AVERAGE(T545+M545*{7,8,9,10,11})/IF(G545="",I545,G545)-1,""))</f>
        <v/>
      </c>
      <c r="AG545" s="55">
        <f>IF(OR(T545="",I545&lt;T545),"",IFERROR(AF545/-(R545/IF(G545="",I545,G545)-1),""))</f>
        <v/>
      </c>
      <c r="AH545" s="94" t="n"/>
      <c r="AI545" s="94" t="n"/>
      <c r="AJ545" s="94" t="n"/>
      <c r="AK545" s="94" t="n"/>
      <c r="AL545" s="84" t="n"/>
    </row>
    <row r="546">
      <c r="A546" s="64" t="n"/>
      <c r="B546" s="65" t="n"/>
      <c r="C546" s="66" t="n"/>
      <c r="D546" s="67" t="n"/>
      <c r="E546" s="68" t="n"/>
      <c r="F546" s="47">
        <f>IF(A546="","",IF(MIN(H546,MAX(J546:K546))=0,"",MIN(H546,MAX(J546:K546))))</f>
        <v/>
      </c>
      <c r="G546" s="74" t="n"/>
      <c r="H546" s="49">
        <f>IF(M546="","",IFERROR(ROUND(AVERAGE(T546+M546*{7,8,9,10,11})/1.21,4),""))</f>
        <v/>
      </c>
      <c r="I546" s="76" t="n"/>
      <c r="J546" s="77" t="n"/>
      <c r="K546" s="74" t="n"/>
      <c r="L546" s="78" t="n"/>
      <c r="M546" s="77" t="n"/>
      <c r="N546" s="53">
        <f>IF(M546="","",IFERROR(M546/I546,""))</f>
        <v/>
      </c>
      <c r="O546" s="50">
        <f>IF(A546="","",IFERROR((IF(G546="",I546,G546)-T546)/M546,""))</f>
        <v/>
      </c>
      <c r="P546" s="50">
        <f>IFERROR((I546/T546-1)/N546,"")</f>
        <v/>
      </c>
      <c r="Q546" s="46">
        <f>IF(OR(T546="",I546&lt;T546),"",IFERROR(R546/IF(G546="",I546,G546)-1,""))</f>
        <v/>
      </c>
      <c r="R546" s="48">
        <f>IF($M546="","",MAX(IF($G546="",$I546,$G546)*(1/1.1),IF($G546="",$I546,$G546)+(R$2*$M546)))</f>
        <v/>
      </c>
      <c r="S546" s="49">
        <f>IF($M546="","",MAX(IF($G546="",$I546,$G546)*(1/1.1),IF($G546="",$I546,$G546)+(S$2*$M546)))</f>
        <v/>
      </c>
      <c r="T546" s="82" t="n"/>
      <c r="U546" s="47">
        <f>IF(OR($M546="",$T546=""),"",$T546+(U$2*$M546))</f>
        <v/>
      </c>
      <c r="V546" s="48">
        <f>IF(OR($M546="",$T546=""),"",$T546+(V$2*$M546))</f>
        <v/>
      </c>
      <c r="W546" s="48">
        <f>IF(OR($M546="",$T546=""),"",$T546+(W$2*$M546))</f>
        <v/>
      </c>
      <c r="X546" s="49">
        <f>IF(OR($M546="",$T546=""),"",$T546+(X$2*$M546))</f>
        <v/>
      </c>
      <c r="Y546" s="47">
        <f>IF(OR($M546="",$T546=""),"",$T546+(Y$2*$M546))</f>
        <v/>
      </c>
      <c r="Z546" s="49">
        <f>IF(OR($M546="",$T546=""),"",$T546+(Z$2*$M546))</f>
        <v/>
      </c>
      <c r="AA546" s="51">
        <f>IF(OR($M546="",$T546=""),"",$T546+(AA$2*$M546))</f>
        <v/>
      </c>
      <c r="AB546" s="48">
        <f>IF(OR($M546="",$T546=""),"",$T546+(AB$2*$M546))</f>
        <v/>
      </c>
      <c r="AC546" s="48">
        <f>IF(OR($M546="",$T546=""),"",$T546+(AC$2*$M546))</f>
        <v/>
      </c>
      <c r="AD546" s="48">
        <f>IF(OR($M546="",$T546=""),"",$T546+(AD$2*$M546))</f>
        <v/>
      </c>
      <c r="AE546" s="49">
        <f>IF(OR($M546="",$T546=""),"",$T546+(AE$2*$M546))</f>
        <v/>
      </c>
      <c r="AF546" s="52">
        <f>IF(OR(T546="",I546&lt;T546),"",IFERROR(AVERAGE(T546+M546*{7,8,9,10,11})/IF(G546="",I546,G546)-1,""))</f>
        <v/>
      </c>
      <c r="AG546" s="55">
        <f>IF(OR(T546="",I546&lt;T546),"",IFERROR(AF546/-(R546/IF(G546="",I546,G546)-1),""))</f>
        <v/>
      </c>
      <c r="AH546" s="94" t="n"/>
      <c r="AI546" s="94" t="n"/>
      <c r="AJ546" s="94" t="n"/>
      <c r="AK546" s="94" t="n"/>
      <c r="AL546" s="84" t="n"/>
    </row>
    <row r="547">
      <c r="A547" s="64" t="n"/>
      <c r="B547" s="65" t="n"/>
      <c r="C547" s="66" t="n"/>
      <c r="D547" s="67" t="n"/>
      <c r="E547" s="68" t="n"/>
      <c r="F547" s="47">
        <f>IF(A547="","",IF(MIN(H547,MAX(J547:K547))=0,"",MIN(H547,MAX(J547:K547))))</f>
        <v/>
      </c>
      <c r="G547" s="74" t="n"/>
      <c r="H547" s="49">
        <f>IF(M547="","",IFERROR(ROUND(AVERAGE(T547+M547*{7,8,9,10,11})/1.21,4),""))</f>
        <v/>
      </c>
      <c r="I547" s="76" t="n"/>
      <c r="J547" s="77" t="n"/>
      <c r="K547" s="74" t="n"/>
      <c r="L547" s="78" t="n"/>
      <c r="M547" s="77" t="n"/>
      <c r="N547" s="53">
        <f>IF(M547="","",IFERROR(M547/I547,""))</f>
        <v/>
      </c>
      <c r="O547" s="50">
        <f>IF(A547="","",IFERROR((IF(G547="",I547,G547)-T547)/M547,""))</f>
        <v/>
      </c>
      <c r="P547" s="50">
        <f>IFERROR((I547/T547-1)/N547,"")</f>
        <v/>
      </c>
      <c r="Q547" s="46">
        <f>IF(OR(T547="",I547&lt;T547),"",IFERROR(R547/IF(G547="",I547,G547)-1,""))</f>
        <v/>
      </c>
      <c r="R547" s="48">
        <f>IF($M547="","",MAX(IF($G547="",$I547,$G547)*(1/1.1),IF($G547="",$I547,$G547)+(R$2*$M547)))</f>
        <v/>
      </c>
      <c r="S547" s="49">
        <f>IF($M547="","",MAX(IF($G547="",$I547,$G547)*(1/1.1),IF($G547="",$I547,$G547)+(S$2*$M547)))</f>
        <v/>
      </c>
      <c r="T547" s="82" t="n"/>
      <c r="U547" s="47">
        <f>IF(OR($M547="",$T547=""),"",$T547+(U$2*$M547))</f>
        <v/>
      </c>
      <c r="V547" s="48">
        <f>IF(OR($M547="",$T547=""),"",$T547+(V$2*$M547))</f>
        <v/>
      </c>
      <c r="W547" s="48">
        <f>IF(OR($M547="",$T547=""),"",$T547+(W$2*$M547))</f>
        <v/>
      </c>
      <c r="X547" s="49">
        <f>IF(OR($M547="",$T547=""),"",$T547+(X$2*$M547))</f>
        <v/>
      </c>
      <c r="Y547" s="47">
        <f>IF(OR($M547="",$T547=""),"",$T547+(Y$2*$M547))</f>
        <v/>
      </c>
      <c r="Z547" s="49">
        <f>IF(OR($M547="",$T547=""),"",$T547+(Z$2*$M547))</f>
        <v/>
      </c>
      <c r="AA547" s="51">
        <f>IF(OR($M547="",$T547=""),"",$T547+(AA$2*$M547))</f>
        <v/>
      </c>
      <c r="AB547" s="48">
        <f>IF(OR($M547="",$T547=""),"",$T547+(AB$2*$M547))</f>
        <v/>
      </c>
      <c r="AC547" s="48">
        <f>IF(OR($M547="",$T547=""),"",$T547+(AC$2*$M547))</f>
        <v/>
      </c>
      <c r="AD547" s="48">
        <f>IF(OR($M547="",$T547=""),"",$T547+(AD$2*$M547))</f>
        <v/>
      </c>
      <c r="AE547" s="49">
        <f>IF(OR($M547="",$T547=""),"",$T547+(AE$2*$M547))</f>
        <v/>
      </c>
      <c r="AF547" s="52">
        <f>IF(OR(T547="",I547&lt;T547),"",IFERROR(AVERAGE(T547+M547*{7,8,9,10,11})/IF(G547="",I547,G547)-1,""))</f>
        <v/>
      </c>
      <c r="AG547" s="55">
        <f>IF(OR(T547="",I547&lt;T547),"",IFERROR(AF547/-(R547/IF(G547="",I547,G547)-1),""))</f>
        <v/>
      </c>
      <c r="AH547" s="94" t="n"/>
      <c r="AI547" s="94" t="n"/>
      <c r="AJ547" s="94" t="n"/>
      <c r="AK547" s="94" t="n"/>
      <c r="AL547" s="84" t="n"/>
    </row>
    <row r="548">
      <c r="A548" s="64" t="n"/>
      <c r="B548" s="65" t="n"/>
      <c r="C548" s="66" t="n"/>
      <c r="D548" s="67" t="n"/>
      <c r="E548" s="68" t="n"/>
      <c r="F548" s="47">
        <f>IF(A548="","",IF(MIN(H548,MAX(J548:K548))=0,"",MIN(H548,MAX(J548:K548))))</f>
        <v/>
      </c>
      <c r="G548" s="74" t="n"/>
      <c r="H548" s="49">
        <f>IF(M548="","",IFERROR(ROUND(AVERAGE(T548+M548*{7,8,9,10,11})/1.21,4),""))</f>
        <v/>
      </c>
      <c r="I548" s="76" t="n"/>
      <c r="J548" s="77" t="n"/>
      <c r="K548" s="74" t="n"/>
      <c r="L548" s="78" t="n"/>
      <c r="M548" s="77" t="n"/>
      <c r="N548" s="53">
        <f>IF(M548="","",IFERROR(M548/I548,""))</f>
        <v/>
      </c>
      <c r="O548" s="50">
        <f>IF(A548="","",IFERROR((IF(G548="",I548,G548)-T548)/M548,""))</f>
        <v/>
      </c>
      <c r="P548" s="50">
        <f>IFERROR((I548/T548-1)/N548,"")</f>
        <v/>
      </c>
      <c r="Q548" s="46">
        <f>IF(OR(T548="",I548&lt;T548),"",IFERROR(R548/IF(G548="",I548,G548)-1,""))</f>
        <v/>
      </c>
      <c r="R548" s="48">
        <f>IF($M548="","",MAX(IF($G548="",$I548,$G548)*(1/1.1),IF($G548="",$I548,$G548)+(R$2*$M548)))</f>
        <v/>
      </c>
      <c r="S548" s="49">
        <f>IF($M548="","",MAX(IF($G548="",$I548,$G548)*(1/1.1),IF($G548="",$I548,$G548)+(S$2*$M548)))</f>
        <v/>
      </c>
      <c r="T548" s="82" t="n"/>
      <c r="U548" s="47">
        <f>IF(OR($M548="",$T548=""),"",$T548+(U$2*$M548))</f>
        <v/>
      </c>
      <c r="V548" s="48">
        <f>IF(OR($M548="",$T548=""),"",$T548+(V$2*$M548))</f>
        <v/>
      </c>
      <c r="W548" s="48">
        <f>IF(OR($M548="",$T548=""),"",$T548+(W$2*$M548))</f>
        <v/>
      </c>
      <c r="X548" s="49">
        <f>IF(OR($M548="",$T548=""),"",$T548+(X$2*$M548))</f>
        <v/>
      </c>
      <c r="Y548" s="47">
        <f>IF(OR($M548="",$T548=""),"",$T548+(Y$2*$M548))</f>
        <v/>
      </c>
      <c r="Z548" s="49">
        <f>IF(OR($M548="",$T548=""),"",$T548+(Z$2*$M548))</f>
        <v/>
      </c>
      <c r="AA548" s="51">
        <f>IF(OR($M548="",$T548=""),"",$T548+(AA$2*$M548))</f>
        <v/>
      </c>
      <c r="AB548" s="48">
        <f>IF(OR($M548="",$T548=""),"",$T548+(AB$2*$M548))</f>
        <v/>
      </c>
      <c r="AC548" s="48">
        <f>IF(OR($M548="",$T548=""),"",$T548+(AC$2*$M548))</f>
        <v/>
      </c>
      <c r="AD548" s="48">
        <f>IF(OR($M548="",$T548=""),"",$T548+(AD$2*$M548))</f>
        <v/>
      </c>
      <c r="AE548" s="49">
        <f>IF(OR($M548="",$T548=""),"",$T548+(AE$2*$M548))</f>
        <v/>
      </c>
      <c r="AF548" s="52">
        <f>IF(OR(T548="",I548&lt;T548),"",IFERROR(AVERAGE(T548+M548*{7,8,9,10,11})/IF(G548="",I548,G548)-1,""))</f>
        <v/>
      </c>
      <c r="AG548" s="55">
        <f>IF(OR(T548="",I548&lt;T548),"",IFERROR(AF548/-(R548/IF(G548="",I548,G548)-1),""))</f>
        <v/>
      </c>
      <c r="AH548" s="94" t="n"/>
      <c r="AI548" s="94" t="n"/>
      <c r="AJ548" s="94" t="n"/>
      <c r="AK548" s="94" t="n"/>
      <c r="AL548" s="84" t="n"/>
    </row>
    <row r="549">
      <c r="A549" s="64" t="n"/>
      <c r="B549" s="65" t="n"/>
      <c r="C549" s="66" t="n"/>
      <c r="D549" s="67" t="n"/>
      <c r="E549" s="68" t="n"/>
      <c r="F549" s="47">
        <f>IF(A549="","",IF(MIN(H549,MAX(J549:K549))=0,"",MIN(H549,MAX(J549:K549))))</f>
        <v/>
      </c>
      <c r="G549" s="74" t="n"/>
      <c r="H549" s="49">
        <f>IF(M549="","",IFERROR(ROUND(AVERAGE(T549+M549*{7,8,9,10,11})/1.21,4),""))</f>
        <v/>
      </c>
      <c r="I549" s="76" t="n"/>
      <c r="J549" s="77" t="n"/>
      <c r="K549" s="74" t="n"/>
      <c r="L549" s="78" t="n"/>
      <c r="M549" s="77" t="n"/>
      <c r="N549" s="53">
        <f>IF(M549="","",IFERROR(M549/I549,""))</f>
        <v/>
      </c>
      <c r="O549" s="50">
        <f>IF(A549="","",IFERROR((IF(G549="",I549,G549)-T549)/M549,""))</f>
        <v/>
      </c>
      <c r="P549" s="50">
        <f>IFERROR((I549/T549-1)/N549,"")</f>
        <v/>
      </c>
      <c r="Q549" s="46">
        <f>IF(OR(T549="",I549&lt;T549),"",IFERROR(R549/IF(G549="",I549,G549)-1,""))</f>
        <v/>
      </c>
      <c r="R549" s="48">
        <f>IF($M549="","",MAX(IF($G549="",$I549,$G549)*(1/1.1),IF($G549="",$I549,$G549)+(R$2*$M549)))</f>
        <v/>
      </c>
      <c r="S549" s="49">
        <f>IF($M549="","",MAX(IF($G549="",$I549,$G549)*(1/1.1),IF($G549="",$I549,$G549)+(S$2*$M549)))</f>
        <v/>
      </c>
      <c r="T549" s="82" t="n"/>
      <c r="U549" s="47">
        <f>IF(OR($M549="",$T549=""),"",$T549+(U$2*$M549))</f>
        <v/>
      </c>
      <c r="V549" s="48">
        <f>IF(OR($M549="",$T549=""),"",$T549+(V$2*$M549))</f>
        <v/>
      </c>
      <c r="W549" s="48">
        <f>IF(OR($M549="",$T549=""),"",$T549+(W$2*$M549))</f>
        <v/>
      </c>
      <c r="X549" s="49">
        <f>IF(OR($M549="",$T549=""),"",$T549+(X$2*$M549))</f>
        <v/>
      </c>
      <c r="Y549" s="47">
        <f>IF(OR($M549="",$T549=""),"",$T549+(Y$2*$M549))</f>
        <v/>
      </c>
      <c r="Z549" s="49">
        <f>IF(OR($M549="",$T549=""),"",$T549+(Z$2*$M549))</f>
        <v/>
      </c>
      <c r="AA549" s="51">
        <f>IF(OR($M549="",$T549=""),"",$T549+(AA$2*$M549))</f>
        <v/>
      </c>
      <c r="AB549" s="48">
        <f>IF(OR($M549="",$T549=""),"",$T549+(AB$2*$M549))</f>
        <v/>
      </c>
      <c r="AC549" s="48">
        <f>IF(OR($M549="",$T549=""),"",$T549+(AC$2*$M549))</f>
        <v/>
      </c>
      <c r="AD549" s="48">
        <f>IF(OR($M549="",$T549=""),"",$T549+(AD$2*$M549))</f>
        <v/>
      </c>
      <c r="AE549" s="49">
        <f>IF(OR($M549="",$T549=""),"",$T549+(AE$2*$M549))</f>
        <v/>
      </c>
      <c r="AF549" s="52">
        <f>IF(OR(T549="",I549&lt;T549),"",IFERROR(AVERAGE(T549+M549*{7,8,9,10,11})/IF(G549="",I549,G549)-1,""))</f>
        <v/>
      </c>
      <c r="AG549" s="55">
        <f>IF(OR(T549="",I549&lt;T549),"",IFERROR(AF549/-(R549/IF(G549="",I549,G549)-1),""))</f>
        <v/>
      </c>
      <c r="AH549" s="94" t="n"/>
      <c r="AI549" s="94" t="n"/>
      <c r="AJ549" s="94" t="n"/>
      <c r="AK549" s="94" t="n"/>
      <c r="AL549" s="84" t="n"/>
    </row>
    <row r="550">
      <c r="A550" s="64" t="n"/>
      <c r="B550" s="65" t="n"/>
      <c r="C550" s="66" t="n"/>
      <c r="D550" s="67" t="n"/>
      <c r="E550" s="68" t="n"/>
      <c r="F550" s="47">
        <f>IF(A550="","",IF(MIN(H550,MAX(J550:K550))=0,"",MIN(H550,MAX(J550:K550))))</f>
        <v/>
      </c>
      <c r="G550" s="74" t="n"/>
      <c r="H550" s="49">
        <f>IF(M550="","",IFERROR(ROUND(AVERAGE(T550+M550*{7,8,9,10,11})/1.21,4),""))</f>
        <v/>
      </c>
      <c r="I550" s="76" t="n"/>
      <c r="J550" s="77" t="n"/>
      <c r="K550" s="74" t="n"/>
      <c r="L550" s="78" t="n"/>
      <c r="M550" s="77" t="n"/>
      <c r="N550" s="53">
        <f>IF(M550="","",IFERROR(M550/I550,""))</f>
        <v/>
      </c>
      <c r="O550" s="50">
        <f>IF(A550="","",IFERROR((IF(G550="",I550,G550)-T550)/M550,""))</f>
        <v/>
      </c>
      <c r="P550" s="50">
        <f>IFERROR((I550/T550-1)/N550,"")</f>
        <v/>
      </c>
      <c r="Q550" s="46">
        <f>IF(OR(T550="",I550&lt;T550),"",IFERROR(R550/IF(G550="",I550,G550)-1,""))</f>
        <v/>
      </c>
      <c r="R550" s="48">
        <f>IF($M550="","",MAX(IF($G550="",$I550,$G550)*(1/1.1),IF($G550="",$I550,$G550)+(R$2*$M550)))</f>
        <v/>
      </c>
      <c r="S550" s="49">
        <f>IF($M550="","",MAX(IF($G550="",$I550,$G550)*(1/1.1),IF($G550="",$I550,$G550)+(S$2*$M550)))</f>
        <v/>
      </c>
      <c r="T550" s="82" t="n"/>
      <c r="U550" s="47">
        <f>IF(OR($M550="",$T550=""),"",$T550+(U$2*$M550))</f>
        <v/>
      </c>
      <c r="V550" s="48">
        <f>IF(OR($M550="",$T550=""),"",$T550+(V$2*$M550))</f>
        <v/>
      </c>
      <c r="W550" s="48">
        <f>IF(OR($M550="",$T550=""),"",$T550+(W$2*$M550))</f>
        <v/>
      </c>
      <c r="X550" s="49">
        <f>IF(OR($M550="",$T550=""),"",$T550+(X$2*$M550))</f>
        <v/>
      </c>
      <c r="Y550" s="47">
        <f>IF(OR($M550="",$T550=""),"",$T550+(Y$2*$M550))</f>
        <v/>
      </c>
      <c r="Z550" s="49">
        <f>IF(OR($M550="",$T550=""),"",$T550+(Z$2*$M550))</f>
        <v/>
      </c>
      <c r="AA550" s="51">
        <f>IF(OR($M550="",$T550=""),"",$T550+(AA$2*$M550))</f>
        <v/>
      </c>
      <c r="AB550" s="48">
        <f>IF(OR($M550="",$T550=""),"",$T550+(AB$2*$M550))</f>
        <v/>
      </c>
      <c r="AC550" s="48">
        <f>IF(OR($M550="",$T550=""),"",$T550+(AC$2*$M550))</f>
        <v/>
      </c>
      <c r="AD550" s="48">
        <f>IF(OR($M550="",$T550=""),"",$T550+(AD$2*$M550))</f>
        <v/>
      </c>
      <c r="AE550" s="49">
        <f>IF(OR($M550="",$T550=""),"",$T550+(AE$2*$M550))</f>
        <v/>
      </c>
      <c r="AF550" s="52">
        <f>IF(OR(T550="",I550&lt;T550),"",IFERROR(AVERAGE(T550+M550*{7,8,9,10,11})/IF(G550="",I550,G550)-1,""))</f>
        <v/>
      </c>
      <c r="AG550" s="55">
        <f>IF(OR(T550="",I550&lt;T550),"",IFERROR(AF550/-(R550/IF(G550="",I550,G550)-1),""))</f>
        <v/>
      </c>
      <c r="AH550" s="94" t="n"/>
      <c r="AI550" s="94" t="n"/>
      <c r="AJ550" s="94" t="n"/>
      <c r="AK550" s="94" t="n"/>
      <c r="AL550" s="84" t="n"/>
    </row>
    <row r="551">
      <c r="A551" s="64" t="n"/>
      <c r="B551" s="65" t="n"/>
      <c r="C551" s="66" t="n"/>
      <c r="D551" s="67" t="n"/>
      <c r="E551" s="68" t="n"/>
      <c r="F551" s="47">
        <f>IF(A551="","",IF(MIN(H551,MAX(J551:K551))=0,"",MIN(H551,MAX(J551:K551))))</f>
        <v/>
      </c>
      <c r="G551" s="74" t="n"/>
      <c r="H551" s="49">
        <f>IF(M551="","",IFERROR(ROUND(AVERAGE(T551+M551*{7,8,9,10,11})/1.21,4),""))</f>
        <v/>
      </c>
      <c r="I551" s="76" t="n"/>
      <c r="J551" s="77" t="n"/>
      <c r="K551" s="74" t="n"/>
      <c r="L551" s="78" t="n"/>
      <c r="M551" s="77" t="n"/>
      <c r="N551" s="53">
        <f>IF(M551="","",IFERROR(M551/I551,""))</f>
        <v/>
      </c>
      <c r="O551" s="50">
        <f>IF(A551="","",IFERROR((IF(G551="",I551,G551)-T551)/M551,""))</f>
        <v/>
      </c>
      <c r="P551" s="50">
        <f>IFERROR((I551/T551-1)/N551,"")</f>
        <v/>
      </c>
      <c r="Q551" s="46">
        <f>IF(OR(T551="",I551&lt;T551),"",IFERROR(R551/IF(G551="",I551,G551)-1,""))</f>
        <v/>
      </c>
      <c r="R551" s="48">
        <f>IF($M551="","",MAX(IF($G551="",$I551,$G551)*(1/1.1),IF($G551="",$I551,$G551)+(R$2*$M551)))</f>
        <v/>
      </c>
      <c r="S551" s="49">
        <f>IF($M551="","",MAX(IF($G551="",$I551,$G551)*(1/1.1),IF($G551="",$I551,$G551)+(S$2*$M551)))</f>
        <v/>
      </c>
      <c r="T551" s="82" t="n"/>
      <c r="U551" s="47">
        <f>IF(OR($M551="",$T551=""),"",$T551+(U$2*$M551))</f>
        <v/>
      </c>
      <c r="V551" s="48">
        <f>IF(OR($M551="",$T551=""),"",$T551+(V$2*$M551))</f>
        <v/>
      </c>
      <c r="W551" s="48">
        <f>IF(OR($M551="",$T551=""),"",$T551+(W$2*$M551))</f>
        <v/>
      </c>
      <c r="X551" s="49">
        <f>IF(OR($M551="",$T551=""),"",$T551+(X$2*$M551))</f>
        <v/>
      </c>
      <c r="Y551" s="47">
        <f>IF(OR($M551="",$T551=""),"",$T551+(Y$2*$M551))</f>
        <v/>
      </c>
      <c r="Z551" s="49">
        <f>IF(OR($M551="",$T551=""),"",$T551+(Z$2*$M551))</f>
        <v/>
      </c>
      <c r="AA551" s="51">
        <f>IF(OR($M551="",$T551=""),"",$T551+(AA$2*$M551))</f>
        <v/>
      </c>
      <c r="AB551" s="48">
        <f>IF(OR($M551="",$T551=""),"",$T551+(AB$2*$M551))</f>
        <v/>
      </c>
      <c r="AC551" s="48">
        <f>IF(OR($M551="",$T551=""),"",$T551+(AC$2*$M551))</f>
        <v/>
      </c>
      <c r="AD551" s="48">
        <f>IF(OR($M551="",$T551=""),"",$T551+(AD$2*$M551))</f>
        <v/>
      </c>
      <c r="AE551" s="49">
        <f>IF(OR($M551="",$T551=""),"",$T551+(AE$2*$M551))</f>
        <v/>
      </c>
      <c r="AF551" s="52">
        <f>IF(OR(T551="",I551&lt;T551),"",IFERROR(AVERAGE(T551+M551*{7,8,9,10,11})/IF(G551="",I551,G551)-1,""))</f>
        <v/>
      </c>
      <c r="AG551" s="55">
        <f>IF(OR(T551="",I551&lt;T551),"",IFERROR(AF551/-(R551/IF(G551="",I551,G551)-1),""))</f>
        <v/>
      </c>
      <c r="AH551" s="94" t="n"/>
      <c r="AI551" s="94" t="n"/>
      <c r="AJ551" s="94" t="n"/>
      <c r="AK551" s="94" t="n"/>
      <c r="AL551" s="84" t="n"/>
    </row>
    <row r="552">
      <c r="A552" s="64" t="n"/>
      <c r="B552" s="65" t="n"/>
      <c r="C552" s="66" t="n"/>
      <c r="D552" s="67" t="n"/>
      <c r="E552" s="68" t="n"/>
      <c r="F552" s="47">
        <f>IF(A552="","",IF(MIN(H552,MAX(J552:K552))=0,"",MIN(H552,MAX(J552:K552))))</f>
        <v/>
      </c>
      <c r="G552" s="74" t="n"/>
      <c r="H552" s="49">
        <f>IF(M552="","",IFERROR(ROUND(AVERAGE(T552+M552*{7,8,9,10,11})/1.21,4),""))</f>
        <v/>
      </c>
      <c r="I552" s="76" t="n"/>
      <c r="J552" s="77" t="n"/>
      <c r="K552" s="74" t="n"/>
      <c r="L552" s="78" t="n"/>
      <c r="M552" s="77" t="n"/>
      <c r="N552" s="53">
        <f>IF(M552="","",IFERROR(M552/I552,""))</f>
        <v/>
      </c>
      <c r="O552" s="50">
        <f>IF(A552="","",IFERROR((IF(G552="",I552,G552)-T552)/M552,""))</f>
        <v/>
      </c>
      <c r="P552" s="50">
        <f>IFERROR((I552/T552-1)/N552,"")</f>
        <v/>
      </c>
      <c r="Q552" s="46">
        <f>IF(OR(T552="",I552&lt;T552),"",IFERROR(R552/IF(G552="",I552,G552)-1,""))</f>
        <v/>
      </c>
      <c r="R552" s="48">
        <f>IF($M552="","",MAX(IF($G552="",$I552,$G552)*(1/1.1),IF($G552="",$I552,$G552)+(R$2*$M552)))</f>
        <v/>
      </c>
      <c r="S552" s="49">
        <f>IF($M552="","",MAX(IF($G552="",$I552,$G552)*(1/1.1),IF($G552="",$I552,$G552)+(S$2*$M552)))</f>
        <v/>
      </c>
      <c r="T552" s="82" t="n"/>
      <c r="U552" s="47">
        <f>IF(OR($M552="",$T552=""),"",$T552+(U$2*$M552))</f>
        <v/>
      </c>
      <c r="V552" s="48">
        <f>IF(OR($M552="",$T552=""),"",$T552+(V$2*$M552))</f>
        <v/>
      </c>
      <c r="W552" s="48">
        <f>IF(OR($M552="",$T552=""),"",$T552+(W$2*$M552))</f>
        <v/>
      </c>
      <c r="X552" s="49">
        <f>IF(OR($M552="",$T552=""),"",$T552+(X$2*$M552))</f>
        <v/>
      </c>
      <c r="Y552" s="47">
        <f>IF(OR($M552="",$T552=""),"",$T552+(Y$2*$M552))</f>
        <v/>
      </c>
      <c r="Z552" s="49">
        <f>IF(OR($M552="",$T552=""),"",$T552+(Z$2*$M552))</f>
        <v/>
      </c>
      <c r="AA552" s="51">
        <f>IF(OR($M552="",$T552=""),"",$T552+(AA$2*$M552))</f>
        <v/>
      </c>
      <c r="AB552" s="48">
        <f>IF(OR($M552="",$T552=""),"",$T552+(AB$2*$M552))</f>
        <v/>
      </c>
      <c r="AC552" s="48">
        <f>IF(OR($M552="",$T552=""),"",$T552+(AC$2*$M552))</f>
        <v/>
      </c>
      <c r="AD552" s="48">
        <f>IF(OR($M552="",$T552=""),"",$T552+(AD$2*$M552))</f>
        <v/>
      </c>
      <c r="AE552" s="49">
        <f>IF(OR($M552="",$T552=""),"",$T552+(AE$2*$M552))</f>
        <v/>
      </c>
      <c r="AF552" s="52">
        <f>IF(OR(T552="",I552&lt;T552),"",IFERROR(AVERAGE(T552+M552*{7,8,9,10,11})/IF(G552="",I552,G552)-1,""))</f>
        <v/>
      </c>
      <c r="AG552" s="55">
        <f>IF(OR(T552="",I552&lt;T552),"",IFERROR(AF552/-(R552/IF(G552="",I552,G552)-1),""))</f>
        <v/>
      </c>
      <c r="AH552" s="94" t="n"/>
      <c r="AI552" s="94" t="n"/>
      <c r="AJ552" s="94" t="n"/>
      <c r="AK552" s="94" t="n"/>
      <c r="AL552" s="84" t="n"/>
    </row>
    <row r="553">
      <c r="A553" s="64" t="n"/>
      <c r="B553" s="65" t="n"/>
      <c r="C553" s="66" t="n"/>
      <c r="D553" s="67" t="n"/>
      <c r="E553" s="68" t="n"/>
      <c r="F553" s="47">
        <f>IF(A553="","",IF(MIN(H553,MAX(J553:K553))=0,"",MIN(H553,MAX(J553:K553))))</f>
        <v/>
      </c>
      <c r="G553" s="74" t="n"/>
      <c r="H553" s="49">
        <f>IF(M553="","",IFERROR(ROUND(AVERAGE(T553+M553*{7,8,9,10,11})/1.21,4),""))</f>
        <v/>
      </c>
      <c r="I553" s="76" t="n"/>
      <c r="J553" s="77" t="n"/>
      <c r="K553" s="74" t="n"/>
      <c r="L553" s="78" t="n"/>
      <c r="M553" s="77" t="n"/>
      <c r="N553" s="53">
        <f>IF(M553="","",IFERROR(M553/I553,""))</f>
        <v/>
      </c>
      <c r="O553" s="50">
        <f>IF(A553="","",IFERROR((IF(G553="",I553,G553)-T553)/M553,""))</f>
        <v/>
      </c>
      <c r="P553" s="50">
        <f>IFERROR((I553/T553-1)/N553,"")</f>
        <v/>
      </c>
      <c r="Q553" s="46">
        <f>IF(OR(T553="",I553&lt;T553),"",IFERROR(R553/IF(G553="",I553,G553)-1,""))</f>
        <v/>
      </c>
      <c r="R553" s="48">
        <f>IF($M553="","",MAX(IF($G553="",$I553,$G553)*(1/1.1),IF($G553="",$I553,$G553)+(R$2*$M553)))</f>
        <v/>
      </c>
      <c r="S553" s="49">
        <f>IF($M553="","",MAX(IF($G553="",$I553,$G553)*(1/1.1),IF($G553="",$I553,$G553)+(S$2*$M553)))</f>
        <v/>
      </c>
      <c r="T553" s="82" t="n"/>
      <c r="U553" s="47">
        <f>IF(OR($M553="",$T553=""),"",$T553+(U$2*$M553))</f>
        <v/>
      </c>
      <c r="V553" s="48">
        <f>IF(OR($M553="",$T553=""),"",$T553+(V$2*$M553))</f>
        <v/>
      </c>
      <c r="W553" s="48">
        <f>IF(OR($M553="",$T553=""),"",$T553+(W$2*$M553))</f>
        <v/>
      </c>
      <c r="X553" s="49">
        <f>IF(OR($M553="",$T553=""),"",$T553+(X$2*$M553))</f>
        <v/>
      </c>
      <c r="Y553" s="47">
        <f>IF(OR($M553="",$T553=""),"",$T553+(Y$2*$M553))</f>
        <v/>
      </c>
      <c r="Z553" s="49">
        <f>IF(OR($M553="",$T553=""),"",$T553+(Z$2*$M553))</f>
        <v/>
      </c>
      <c r="AA553" s="51">
        <f>IF(OR($M553="",$T553=""),"",$T553+(AA$2*$M553))</f>
        <v/>
      </c>
      <c r="AB553" s="48">
        <f>IF(OR($M553="",$T553=""),"",$T553+(AB$2*$M553))</f>
        <v/>
      </c>
      <c r="AC553" s="48">
        <f>IF(OR($M553="",$T553=""),"",$T553+(AC$2*$M553))</f>
        <v/>
      </c>
      <c r="AD553" s="48">
        <f>IF(OR($M553="",$T553=""),"",$T553+(AD$2*$M553))</f>
        <v/>
      </c>
      <c r="AE553" s="49">
        <f>IF(OR($M553="",$T553=""),"",$T553+(AE$2*$M553))</f>
        <v/>
      </c>
      <c r="AF553" s="52">
        <f>IF(OR(T553="",I553&lt;T553),"",IFERROR(AVERAGE(T553+M553*{7,8,9,10,11})/IF(G553="",I553,G553)-1,""))</f>
        <v/>
      </c>
      <c r="AG553" s="55">
        <f>IF(OR(T553="",I553&lt;T553),"",IFERROR(AF553/-(R553/IF(G553="",I553,G553)-1),""))</f>
        <v/>
      </c>
      <c r="AH553" s="94" t="n"/>
      <c r="AI553" s="94" t="n"/>
      <c r="AJ553" s="94" t="n"/>
      <c r="AK553" s="94" t="n"/>
      <c r="AL553" s="84" t="n"/>
    </row>
    <row r="554">
      <c r="A554" s="64" t="n"/>
      <c r="B554" s="65" t="n"/>
      <c r="C554" s="66" t="n"/>
      <c r="D554" s="67" t="n"/>
      <c r="E554" s="68" t="n"/>
      <c r="F554" s="47">
        <f>IF(A554="","",IF(MIN(H554,MAX(J554:K554))=0,"",MIN(H554,MAX(J554:K554))))</f>
        <v/>
      </c>
      <c r="G554" s="74" t="n"/>
      <c r="H554" s="49">
        <f>IF(M554="","",IFERROR(ROUND(AVERAGE(T554+M554*{7,8,9,10,11})/1.21,4),""))</f>
        <v/>
      </c>
      <c r="I554" s="76" t="n"/>
      <c r="J554" s="77" t="n"/>
      <c r="K554" s="74" t="n"/>
      <c r="L554" s="78" t="n"/>
      <c r="M554" s="77" t="n"/>
      <c r="N554" s="53">
        <f>IF(M554="","",IFERROR(M554/I554,""))</f>
        <v/>
      </c>
      <c r="O554" s="50">
        <f>IF(A554="","",IFERROR((IF(G554="",I554,G554)-T554)/M554,""))</f>
        <v/>
      </c>
      <c r="P554" s="50">
        <f>IFERROR((I554/T554-1)/N554,"")</f>
        <v/>
      </c>
      <c r="Q554" s="46">
        <f>IF(OR(T554="",I554&lt;T554),"",IFERROR(R554/IF(G554="",I554,G554)-1,""))</f>
        <v/>
      </c>
      <c r="R554" s="48">
        <f>IF($M554="","",MAX(IF($G554="",$I554,$G554)*(1/1.1),IF($G554="",$I554,$G554)+(R$2*$M554)))</f>
        <v/>
      </c>
      <c r="S554" s="49">
        <f>IF($M554="","",MAX(IF($G554="",$I554,$G554)*(1/1.1),IF($G554="",$I554,$G554)+(S$2*$M554)))</f>
        <v/>
      </c>
      <c r="T554" s="82" t="n"/>
      <c r="U554" s="47">
        <f>IF(OR($M554="",$T554=""),"",$T554+(U$2*$M554))</f>
        <v/>
      </c>
      <c r="V554" s="48">
        <f>IF(OR($M554="",$T554=""),"",$T554+(V$2*$M554))</f>
        <v/>
      </c>
      <c r="W554" s="48">
        <f>IF(OR($M554="",$T554=""),"",$T554+(W$2*$M554))</f>
        <v/>
      </c>
      <c r="X554" s="49">
        <f>IF(OR($M554="",$T554=""),"",$T554+(X$2*$M554))</f>
        <v/>
      </c>
      <c r="Y554" s="47">
        <f>IF(OR($M554="",$T554=""),"",$T554+(Y$2*$M554))</f>
        <v/>
      </c>
      <c r="Z554" s="49">
        <f>IF(OR($M554="",$T554=""),"",$T554+(Z$2*$M554))</f>
        <v/>
      </c>
      <c r="AA554" s="51">
        <f>IF(OR($M554="",$T554=""),"",$T554+(AA$2*$M554))</f>
        <v/>
      </c>
      <c r="AB554" s="48">
        <f>IF(OR($M554="",$T554=""),"",$T554+(AB$2*$M554))</f>
        <v/>
      </c>
      <c r="AC554" s="48">
        <f>IF(OR($M554="",$T554=""),"",$T554+(AC$2*$M554))</f>
        <v/>
      </c>
      <c r="AD554" s="48">
        <f>IF(OR($M554="",$T554=""),"",$T554+(AD$2*$M554))</f>
        <v/>
      </c>
      <c r="AE554" s="49">
        <f>IF(OR($M554="",$T554=""),"",$T554+(AE$2*$M554))</f>
        <v/>
      </c>
      <c r="AF554" s="52">
        <f>IF(OR(T554="",I554&lt;T554),"",IFERROR(AVERAGE(T554+M554*{7,8,9,10,11})/IF(G554="",I554,G554)-1,""))</f>
        <v/>
      </c>
      <c r="AG554" s="55">
        <f>IF(OR(T554="",I554&lt;T554),"",IFERROR(AF554/-(R554/IF(G554="",I554,G554)-1),""))</f>
        <v/>
      </c>
      <c r="AH554" s="94" t="n"/>
      <c r="AI554" s="94" t="n"/>
      <c r="AJ554" s="94" t="n"/>
      <c r="AK554" s="94" t="n"/>
      <c r="AL554" s="84" t="n"/>
    </row>
    <row r="555">
      <c r="A555" s="64" t="n"/>
      <c r="B555" s="65" t="n"/>
      <c r="C555" s="66" t="n"/>
      <c r="D555" s="67" t="n"/>
      <c r="E555" s="68" t="n"/>
      <c r="F555" s="47">
        <f>IF(A555="","",IF(MIN(H555,MAX(J555:K555))=0,"",MIN(H555,MAX(J555:K555))))</f>
        <v/>
      </c>
      <c r="G555" s="74" t="n"/>
      <c r="H555" s="49">
        <f>IF(M555="","",IFERROR(ROUND(AVERAGE(T555+M555*{7,8,9,10,11})/1.21,4),""))</f>
        <v/>
      </c>
      <c r="I555" s="76" t="n"/>
      <c r="J555" s="77" t="n"/>
      <c r="K555" s="74" t="n"/>
      <c r="L555" s="78" t="n"/>
      <c r="M555" s="77" t="n"/>
      <c r="N555" s="53">
        <f>IF(M555="","",IFERROR(M555/I555,""))</f>
        <v/>
      </c>
      <c r="O555" s="50">
        <f>IF(A555="","",IFERROR((IF(G555="",I555,G555)-T555)/M555,""))</f>
        <v/>
      </c>
      <c r="P555" s="50">
        <f>IFERROR((I555/T555-1)/N555,"")</f>
        <v/>
      </c>
      <c r="Q555" s="46">
        <f>IF(OR(T555="",I555&lt;T555),"",IFERROR(R555/IF(G555="",I555,G555)-1,""))</f>
        <v/>
      </c>
      <c r="R555" s="48">
        <f>IF($M555="","",MAX(IF($G555="",$I555,$G555)*(1/1.1),IF($G555="",$I555,$G555)+(R$2*$M555)))</f>
        <v/>
      </c>
      <c r="S555" s="49">
        <f>IF($M555="","",MAX(IF($G555="",$I555,$G555)*(1/1.1),IF($G555="",$I555,$G555)+(S$2*$M555)))</f>
        <v/>
      </c>
      <c r="T555" s="82" t="n"/>
      <c r="U555" s="47">
        <f>IF(OR($M555="",$T555=""),"",$T555+(U$2*$M555))</f>
        <v/>
      </c>
      <c r="V555" s="48">
        <f>IF(OR($M555="",$T555=""),"",$T555+(V$2*$M555))</f>
        <v/>
      </c>
      <c r="W555" s="48">
        <f>IF(OR($M555="",$T555=""),"",$T555+(W$2*$M555))</f>
        <v/>
      </c>
      <c r="X555" s="49">
        <f>IF(OR($M555="",$T555=""),"",$T555+(X$2*$M555))</f>
        <v/>
      </c>
      <c r="Y555" s="47">
        <f>IF(OR($M555="",$T555=""),"",$T555+(Y$2*$M555))</f>
        <v/>
      </c>
      <c r="Z555" s="49">
        <f>IF(OR($M555="",$T555=""),"",$T555+(Z$2*$M555))</f>
        <v/>
      </c>
      <c r="AA555" s="51">
        <f>IF(OR($M555="",$T555=""),"",$T555+(AA$2*$M555))</f>
        <v/>
      </c>
      <c r="AB555" s="48">
        <f>IF(OR($M555="",$T555=""),"",$T555+(AB$2*$M555))</f>
        <v/>
      </c>
      <c r="AC555" s="48">
        <f>IF(OR($M555="",$T555=""),"",$T555+(AC$2*$M555))</f>
        <v/>
      </c>
      <c r="AD555" s="48">
        <f>IF(OR($M555="",$T555=""),"",$T555+(AD$2*$M555))</f>
        <v/>
      </c>
      <c r="AE555" s="49">
        <f>IF(OR($M555="",$T555=""),"",$T555+(AE$2*$M555))</f>
        <v/>
      </c>
      <c r="AF555" s="52">
        <f>IF(OR(T555="",I555&lt;T555),"",IFERROR(AVERAGE(T555+M555*{7,8,9,10,11})/IF(G555="",I555,G555)-1,""))</f>
        <v/>
      </c>
      <c r="AG555" s="55">
        <f>IF(OR(T555="",I555&lt;T555),"",IFERROR(AF555/-(R555/IF(G555="",I555,G555)-1),""))</f>
        <v/>
      </c>
      <c r="AH555" s="94" t="n"/>
      <c r="AI555" s="94" t="n"/>
      <c r="AJ555" s="94" t="n"/>
      <c r="AK555" s="94" t="n"/>
      <c r="AL555" s="84" t="n"/>
    </row>
    <row r="556">
      <c r="A556" s="64" t="n"/>
      <c r="B556" s="65" t="n"/>
      <c r="C556" s="66" t="n"/>
      <c r="D556" s="67" t="n"/>
      <c r="E556" s="68" t="n"/>
      <c r="F556" s="47">
        <f>IF(A556="","",IF(MIN(H556,MAX(J556:K556))=0,"",MIN(H556,MAX(J556:K556))))</f>
        <v/>
      </c>
      <c r="G556" s="74" t="n"/>
      <c r="H556" s="49">
        <f>IF(M556="","",IFERROR(ROUND(AVERAGE(T556+M556*{7,8,9,10,11})/1.21,4),""))</f>
        <v/>
      </c>
      <c r="I556" s="76" t="n"/>
      <c r="J556" s="77" t="n"/>
      <c r="K556" s="74" t="n"/>
      <c r="L556" s="78" t="n"/>
      <c r="M556" s="77" t="n"/>
      <c r="N556" s="53">
        <f>IF(M556="","",IFERROR(M556/I556,""))</f>
        <v/>
      </c>
      <c r="O556" s="50">
        <f>IF(A556="","",IFERROR((IF(G556="",I556,G556)-T556)/M556,""))</f>
        <v/>
      </c>
      <c r="P556" s="50">
        <f>IFERROR((I556/T556-1)/N556,"")</f>
        <v/>
      </c>
      <c r="Q556" s="46">
        <f>IF(OR(T556="",I556&lt;T556),"",IFERROR(R556/IF(G556="",I556,G556)-1,""))</f>
        <v/>
      </c>
      <c r="R556" s="48">
        <f>IF($M556="","",MAX(IF($G556="",$I556,$G556)*(1/1.1),IF($G556="",$I556,$G556)+(R$2*$M556)))</f>
        <v/>
      </c>
      <c r="S556" s="49">
        <f>IF($M556="","",MAX(IF($G556="",$I556,$G556)*(1/1.1),IF($G556="",$I556,$G556)+(S$2*$M556)))</f>
        <v/>
      </c>
      <c r="T556" s="82" t="n"/>
      <c r="U556" s="47">
        <f>IF(OR($M556="",$T556=""),"",$T556+(U$2*$M556))</f>
        <v/>
      </c>
      <c r="V556" s="48">
        <f>IF(OR($M556="",$T556=""),"",$T556+(V$2*$M556))</f>
        <v/>
      </c>
      <c r="W556" s="48">
        <f>IF(OR($M556="",$T556=""),"",$T556+(W$2*$M556))</f>
        <v/>
      </c>
      <c r="X556" s="49">
        <f>IF(OR($M556="",$T556=""),"",$T556+(X$2*$M556))</f>
        <v/>
      </c>
      <c r="Y556" s="47">
        <f>IF(OR($M556="",$T556=""),"",$T556+(Y$2*$M556))</f>
        <v/>
      </c>
      <c r="Z556" s="49">
        <f>IF(OR($M556="",$T556=""),"",$T556+(Z$2*$M556))</f>
        <v/>
      </c>
      <c r="AA556" s="51">
        <f>IF(OR($M556="",$T556=""),"",$T556+(AA$2*$M556))</f>
        <v/>
      </c>
      <c r="AB556" s="48">
        <f>IF(OR($M556="",$T556=""),"",$T556+(AB$2*$M556))</f>
        <v/>
      </c>
      <c r="AC556" s="48">
        <f>IF(OR($M556="",$T556=""),"",$T556+(AC$2*$M556))</f>
        <v/>
      </c>
      <c r="AD556" s="48">
        <f>IF(OR($M556="",$T556=""),"",$T556+(AD$2*$M556))</f>
        <v/>
      </c>
      <c r="AE556" s="49">
        <f>IF(OR($M556="",$T556=""),"",$T556+(AE$2*$M556))</f>
        <v/>
      </c>
      <c r="AF556" s="52">
        <f>IF(OR(T556="",I556&lt;T556),"",IFERROR(AVERAGE(T556+M556*{7,8,9,10,11})/IF(G556="",I556,G556)-1,""))</f>
        <v/>
      </c>
      <c r="AG556" s="55">
        <f>IF(OR(T556="",I556&lt;T556),"",IFERROR(AF556/-(R556/IF(G556="",I556,G556)-1),""))</f>
        <v/>
      </c>
      <c r="AH556" s="94" t="n"/>
      <c r="AI556" s="94" t="n"/>
      <c r="AJ556" s="94" t="n"/>
      <c r="AK556" s="94" t="n"/>
      <c r="AL556" s="84" t="n"/>
    </row>
    <row r="557">
      <c r="A557" s="64" t="n"/>
      <c r="B557" s="65" t="n"/>
      <c r="C557" s="66" t="n"/>
      <c r="D557" s="67" t="n"/>
      <c r="E557" s="68" t="n"/>
      <c r="F557" s="47">
        <f>IF(A557="","",IF(MIN(H557,MAX(J557:K557))=0,"",MIN(H557,MAX(J557:K557))))</f>
        <v/>
      </c>
      <c r="G557" s="74" t="n"/>
      <c r="H557" s="49">
        <f>IF(M557="","",IFERROR(ROUND(AVERAGE(T557+M557*{7,8,9,10,11})/1.21,4),""))</f>
        <v/>
      </c>
      <c r="I557" s="76" t="n"/>
      <c r="J557" s="77" t="n"/>
      <c r="K557" s="74" t="n"/>
      <c r="L557" s="78" t="n"/>
      <c r="M557" s="77" t="n"/>
      <c r="N557" s="53">
        <f>IF(M557="","",IFERROR(M557/I557,""))</f>
        <v/>
      </c>
      <c r="O557" s="50">
        <f>IF(A557="","",IFERROR((IF(G557="",I557,G557)-T557)/M557,""))</f>
        <v/>
      </c>
      <c r="P557" s="50">
        <f>IFERROR((I557/T557-1)/N557,"")</f>
        <v/>
      </c>
      <c r="Q557" s="46">
        <f>IF(OR(T557="",I557&lt;T557),"",IFERROR(R557/IF(G557="",I557,G557)-1,""))</f>
        <v/>
      </c>
      <c r="R557" s="48">
        <f>IF($M557="","",MAX(IF($G557="",$I557,$G557)*(1/1.1),IF($G557="",$I557,$G557)+(R$2*$M557)))</f>
        <v/>
      </c>
      <c r="S557" s="49">
        <f>IF($M557="","",MAX(IF($G557="",$I557,$G557)*(1/1.1),IF($G557="",$I557,$G557)+(S$2*$M557)))</f>
        <v/>
      </c>
      <c r="T557" s="82" t="n"/>
      <c r="U557" s="47">
        <f>IF(OR($M557="",$T557=""),"",$T557+(U$2*$M557))</f>
        <v/>
      </c>
      <c r="V557" s="48">
        <f>IF(OR($M557="",$T557=""),"",$T557+(V$2*$M557))</f>
        <v/>
      </c>
      <c r="W557" s="48">
        <f>IF(OR($M557="",$T557=""),"",$T557+(W$2*$M557))</f>
        <v/>
      </c>
      <c r="X557" s="49">
        <f>IF(OR($M557="",$T557=""),"",$T557+(X$2*$M557))</f>
        <v/>
      </c>
      <c r="Y557" s="47">
        <f>IF(OR($M557="",$T557=""),"",$T557+(Y$2*$M557))</f>
        <v/>
      </c>
      <c r="Z557" s="49">
        <f>IF(OR($M557="",$T557=""),"",$T557+(Z$2*$M557))</f>
        <v/>
      </c>
      <c r="AA557" s="51">
        <f>IF(OR($M557="",$T557=""),"",$T557+(AA$2*$M557))</f>
        <v/>
      </c>
      <c r="AB557" s="48">
        <f>IF(OR($M557="",$T557=""),"",$T557+(AB$2*$M557))</f>
        <v/>
      </c>
      <c r="AC557" s="48">
        <f>IF(OR($M557="",$T557=""),"",$T557+(AC$2*$M557))</f>
        <v/>
      </c>
      <c r="AD557" s="48">
        <f>IF(OR($M557="",$T557=""),"",$T557+(AD$2*$M557))</f>
        <v/>
      </c>
      <c r="AE557" s="49">
        <f>IF(OR($M557="",$T557=""),"",$T557+(AE$2*$M557))</f>
        <v/>
      </c>
      <c r="AF557" s="52">
        <f>IF(OR(T557="",I557&lt;T557),"",IFERROR(AVERAGE(T557+M557*{7,8,9,10,11})/IF(G557="",I557,G557)-1,""))</f>
        <v/>
      </c>
      <c r="AG557" s="55">
        <f>IF(OR(T557="",I557&lt;T557),"",IFERROR(AF557/-(R557/IF(G557="",I557,G557)-1),""))</f>
        <v/>
      </c>
      <c r="AH557" s="94" t="n"/>
      <c r="AI557" s="94" t="n"/>
      <c r="AJ557" s="94" t="n"/>
      <c r="AK557" s="94" t="n"/>
      <c r="AL557" s="84" t="n"/>
    </row>
    <row r="558">
      <c r="A558" s="64" t="n"/>
      <c r="B558" s="65" t="n"/>
      <c r="C558" s="66" t="n"/>
      <c r="D558" s="67" t="n"/>
      <c r="E558" s="68" t="n"/>
      <c r="F558" s="47">
        <f>IF(A558="","",IF(MIN(H558,MAX(J558:K558))=0,"",MIN(H558,MAX(J558:K558))))</f>
        <v/>
      </c>
      <c r="G558" s="74" t="n"/>
      <c r="H558" s="49">
        <f>IF(M558="","",IFERROR(ROUND(AVERAGE(T558+M558*{7,8,9,10,11})/1.21,4),""))</f>
        <v/>
      </c>
      <c r="I558" s="76" t="n"/>
      <c r="J558" s="77" t="n"/>
      <c r="K558" s="74" t="n"/>
      <c r="L558" s="78" t="n"/>
      <c r="M558" s="77" t="n"/>
      <c r="N558" s="53">
        <f>IF(M558="","",IFERROR(M558/I558,""))</f>
        <v/>
      </c>
      <c r="O558" s="50">
        <f>IF(A558="","",IFERROR((IF(G558="",I558,G558)-T558)/M558,""))</f>
        <v/>
      </c>
      <c r="P558" s="50">
        <f>IFERROR((I558/T558-1)/N558,"")</f>
        <v/>
      </c>
      <c r="Q558" s="46">
        <f>IF(OR(T558="",I558&lt;T558),"",IFERROR(R558/IF(G558="",I558,G558)-1,""))</f>
        <v/>
      </c>
      <c r="R558" s="48">
        <f>IF($M558="","",MAX(IF($G558="",$I558,$G558)*(1/1.1),IF($G558="",$I558,$G558)+(R$2*$M558)))</f>
        <v/>
      </c>
      <c r="S558" s="49">
        <f>IF($M558="","",MAX(IF($G558="",$I558,$G558)*(1/1.1),IF($G558="",$I558,$G558)+(S$2*$M558)))</f>
        <v/>
      </c>
      <c r="T558" s="82" t="n"/>
      <c r="U558" s="47">
        <f>IF(OR($M558="",$T558=""),"",$T558+(U$2*$M558))</f>
        <v/>
      </c>
      <c r="V558" s="48">
        <f>IF(OR($M558="",$T558=""),"",$T558+(V$2*$M558))</f>
        <v/>
      </c>
      <c r="W558" s="48">
        <f>IF(OR($M558="",$T558=""),"",$T558+(W$2*$M558))</f>
        <v/>
      </c>
      <c r="X558" s="49">
        <f>IF(OR($M558="",$T558=""),"",$T558+(X$2*$M558))</f>
        <v/>
      </c>
      <c r="Y558" s="47">
        <f>IF(OR($M558="",$T558=""),"",$T558+(Y$2*$M558))</f>
        <v/>
      </c>
      <c r="Z558" s="49">
        <f>IF(OR($M558="",$T558=""),"",$T558+(Z$2*$M558))</f>
        <v/>
      </c>
      <c r="AA558" s="51">
        <f>IF(OR($M558="",$T558=""),"",$T558+(AA$2*$M558))</f>
        <v/>
      </c>
      <c r="AB558" s="48">
        <f>IF(OR($M558="",$T558=""),"",$T558+(AB$2*$M558))</f>
        <v/>
      </c>
      <c r="AC558" s="48">
        <f>IF(OR($M558="",$T558=""),"",$T558+(AC$2*$M558))</f>
        <v/>
      </c>
      <c r="AD558" s="48">
        <f>IF(OR($M558="",$T558=""),"",$T558+(AD$2*$M558))</f>
        <v/>
      </c>
      <c r="AE558" s="49">
        <f>IF(OR($M558="",$T558=""),"",$T558+(AE$2*$M558))</f>
        <v/>
      </c>
      <c r="AF558" s="52">
        <f>IF(OR(T558="",I558&lt;T558),"",IFERROR(AVERAGE(T558+M558*{7,8,9,10,11})/IF(G558="",I558,G558)-1,""))</f>
        <v/>
      </c>
      <c r="AG558" s="55">
        <f>IF(OR(T558="",I558&lt;T558),"",IFERROR(AF558/-(R558/IF(G558="",I558,G558)-1),""))</f>
        <v/>
      </c>
      <c r="AH558" s="94" t="n"/>
      <c r="AI558" s="94" t="n"/>
      <c r="AJ558" s="94" t="n"/>
      <c r="AK558" s="94" t="n"/>
      <c r="AL558" s="84" t="n"/>
    </row>
    <row r="559">
      <c r="A559" s="64" t="n"/>
      <c r="B559" s="65" t="n"/>
      <c r="C559" s="66" t="n"/>
      <c r="D559" s="67" t="n"/>
      <c r="E559" s="68" t="n"/>
      <c r="F559" s="47">
        <f>IF(A559="","",IF(MIN(H559,MAX(J559:K559))=0,"",MIN(H559,MAX(J559:K559))))</f>
        <v/>
      </c>
      <c r="G559" s="74" t="n"/>
      <c r="H559" s="49">
        <f>IF(M559="","",IFERROR(ROUND(AVERAGE(T559+M559*{7,8,9,10,11})/1.21,4),""))</f>
        <v/>
      </c>
      <c r="I559" s="76" t="n"/>
      <c r="J559" s="77" t="n"/>
      <c r="K559" s="74" t="n"/>
      <c r="L559" s="78" t="n"/>
      <c r="M559" s="77" t="n"/>
      <c r="N559" s="53">
        <f>IF(M559="","",IFERROR(M559/I559,""))</f>
        <v/>
      </c>
      <c r="O559" s="50">
        <f>IF(A559="","",IFERROR((IF(G559="",I559,G559)-T559)/M559,""))</f>
        <v/>
      </c>
      <c r="P559" s="50">
        <f>IFERROR((I559/T559-1)/N559,"")</f>
        <v/>
      </c>
      <c r="Q559" s="46">
        <f>IF(OR(T559="",I559&lt;T559),"",IFERROR(R559/IF(G559="",I559,G559)-1,""))</f>
        <v/>
      </c>
      <c r="R559" s="48">
        <f>IF($M559="","",MAX(IF($G559="",$I559,$G559)*(1/1.1),IF($G559="",$I559,$G559)+(R$2*$M559)))</f>
        <v/>
      </c>
      <c r="S559" s="49">
        <f>IF($M559="","",MAX(IF($G559="",$I559,$G559)*(1/1.1),IF($G559="",$I559,$G559)+(S$2*$M559)))</f>
        <v/>
      </c>
      <c r="T559" s="82" t="n"/>
      <c r="U559" s="47">
        <f>IF(OR($M559="",$T559=""),"",$T559+(U$2*$M559))</f>
        <v/>
      </c>
      <c r="V559" s="48">
        <f>IF(OR($M559="",$T559=""),"",$T559+(V$2*$M559))</f>
        <v/>
      </c>
      <c r="W559" s="48">
        <f>IF(OR($M559="",$T559=""),"",$T559+(W$2*$M559))</f>
        <v/>
      </c>
      <c r="X559" s="49">
        <f>IF(OR($M559="",$T559=""),"",$T559+(X$2*$M559))</f>
        <v/>
      </c>
      <c r="Y559" s="47">
        <f>IF(OR($M559="",$T559=""),"",$T559+(Y$2*$M559))</f>
        <v/>
      </c>
      <c r="Z559" s="49">
        <f>IF(OR($M559="",$T559=""),"",$T559+(Z$2*$M559))</f>
        <v/>
      </c>
      <c r="AA559" s="51">
        <f>IF(OR($M559="",$T559=""),"",$T559+(AA$2*$M559))</f>
        <v/>
      </c>
      <c r="AB559" s="48">
        <f>IF(OR($M559="",$T559=""),"",$T559+(AB$2*$M559))</f>
        <v/>
      </c>
      <c r="AC559" s="48">
        <f>IF(OR($M559="",$T559=""),"",$T559+(AC$2*$M559))</f>
        <v/>
      </c>
      <c r="AD559" s="48">
        <f>IF(OR($M559="",$T559=""),"",$T559+(AD$2*$M559))</f>
        <v/>
      </c>
      <c r="AE559" s="49">
        <f>IF(OR($M559="",$T559=""),"",$T559+(AE$2*$M559))</f>
        <v/>
      </c>
      <c r="AF559" s="52">
        <f>IF(OR(T559="",I559&lt;T559),"",IFERROR(AVERAGE(T559+M559*{7,8,9,10,11})/IF(G559="",I559,G559)-1,""))</f>
        <v/>
      </c>
      <c r="AG559" s="55">
        <f>IF(OR(T559="",I559&lt;T559),"",IFERROR(AF559/-(R559/IF(G559="",I559,G559)-1),""))</f>
        <v/>
      </c>
      <c r="AH559" s="94" t="n"/>
      <c r="AI559" s="94" t="n"/>
      <c r="AJ559" s="94" t="n"/>
      <c r="AK559" s="94" t="n"/>
      <c r="AL559" s="84" t="n"/>
    </row>
    <row r="560">
      <c r="A560" s="64" t="n"/>
      <c r="B560" s="65" t="n"/>
      <c r="C560" s="66" t="n"/>
      <c r="D560" s="67" t="n"/>
      <c r="E560" s="68" t="n"/>
      <c r="F560" s="47">
        <f>IF(A560="","",IF(MIN(H560,MAX(J560:K560))=0,"",MIN(H560,MAX(J560:K560))))</f>
        <v/>
      </c>
      <c r="G560" s="74" t="n"/>
      <c r="H560" s="49">
        <f>IF(M560="","",IFERROR(ROUND(AVERAGE(T560+M560*{7,8,9,10,11})/1.21,4),""))</f>
        <v/>
      </c>
      <c r="I560" s="76" t="n"/>
      <c r="J560" s="77" t="n"/>
      <c r="K560" s="74" t="n"/>
      <c r="L560" s="78" t="n"/>
      <c r="M560" s="77" t="n"/>
      <c r="N560" s="53">
        <f>IF(M560="","",IFERROR(M560/I560,""))</f>
        <v/>
      </c>
      <c r="O560" s="50">
        <f>IF(A560="","",IFERROR((IF(G560="",I560,G560)-T560)/M560,""))</f>
        <v/>
      </c>
      <c r="P560" s="50">
        <f>IFERROR((I560/T560-1)/N560,"")</f>
        <v/>
      </c>
      <c r="Q560" s="46">
        <f>IF(OR(T560="",I560&lt;T560),"",IFERROR(R560/IF(G560="",I560,G560)-1,""))</f>
        <v/>
      </c>
      <c r="R560" s="48">
        <f>IF($M560="","",MAX(IF($G560="",$I560,$G560)*(1/1.1),IF($G560="",$I560,$G560)+(R$2*$M560)))</f>
        <v/>
      </c>
      <c r="S560" s="49">
        <f>IF($M560="","",MAX(IF($G560="",$I560,$G560)*(1/1.1),IF($G560="",$I560,$G560)+(S$2*$M560)))</f>
        <v/>
      </c>
      <c r="T560" s="82" t="n"/>
      <c r="U560" s="47">
        <f>IF(OR($M560="",$T560=""),"",$T560+(U$2*$M560))</f>
        <v/>
      </c>
      <c r="V560" s="48">
        <f>IF(OR($M560="",$T560=""),"",$T560+(V$2*$M560))</f>
        <v/>
      </c>
      <c r="W560" s="48">
        <f>IF(OR($M560="",$T560=""),"",$T560+(W$2*$M560))</f>
        <v/>
      </c>
      <c r="X560" s="49">
        <f>IF(OR($M560="",$T560=""),"",$T560+(X$2*$M560))</f>
        <v/>
      </c>
      <c r="Y560" s="47">
        <f>IF(OR($M560="",$T560=""),"",$T560+(Y$2*$M560))</f>
        <v/>
      </c>
      <c r="Z560" s="49">
        <f>IF(OR($M560="",$T560=""),"",$T560+(Z$2*$M560))</f>
        <v/>
      </c>
      <c r="AA560" s="51">
        <f>IF(OR($M560="",$T560=""),"",$T560+(AA$2*$M560))</f>
        <v/>
      </c>
      <c r="AB560" s="48">
        <f>IF(OR($M560="",$T560=""),"",$T560+(AB$2*$M560))</f>
        <v/>
      </c>
      <c r="AC560" s="48">
        <f>IF(OR($M560="",$T560=""),"",$T560+(AC$2*$M560))</f>
        <v/>
      </c>
      <c r="AD560" s="48">
        <f>IF(OR($M560="",$T560=""),"",$T560+(AD$2*$M560))</f>
        <v/>
      </c>
      <c r="AE560" s="49">
        <f>IF(OR($M560="",$T560=""),"",$T560+(AE$2*$M560))</f>
        <v/>
      </c>
      <c r="AF560" s="52">
        <f>IF(OR(T560="",I560&lt;T560),"",IFERROR(AVERAGE(T560+M560*{7,8,9,10,11})/IF(G560="",I560,G560)-1,""))</f>
        <v/>
      </c>
      <c r="AG560" s="55">
        <f>IF(OR(T560="",I560&lt;T560),"",IFERROR(AF560/-(R560/IF(G560="",I560,G560)-1),""))</f>
        <v/>
      </c>
      <c r="AH560" s="94" t="n"/>
      <c r="AI560" s="94" t="n"/>
      <c r="AJ560" s="94" t="n"/>
      <c r="AK560" s="94" t="n"/>
      <c r="AL560" s="84" t="n"/>
    </row>
    <row r="561">
      <c r="A561" s="64" t="n"/>
      <c r="B561" s="65" t="n"/>
      <c r="C561" s="66" t="n"/>
      <c r="D561" s="67" t="n"/>
      <c r="E561" s="68" t="n"/>
      <c r="F561" s="47">
        <f>IF(A561="","",IF(MIN(H561,MAX(J561:K561))=0,"",MIN(H561,MAX(J561:K561))))</f>
        <v/>
      </c>
      <c r="G561" s="74" t="n"/>
      <c r="H561" s="49">
        <f>IF(M561="","",IFERROR(ROUND(AVERAGE(T561+M561*{7,8,9,10,11})/1.21,4),""))</f>
        <v/>
      </c>
      <c r="I561" s="76" t="n"/>
      <c r="J561" s="77" t="n"/>
      <c r="K561" s="74" t="n"/>
      <c r="L561" s="78" t="n"/>
      <c r="M561" s="77" t="n"/>
      <c r="N561" s="53">
        <f>IF(M561="","",IFERROR(M561/I561,""))</f>
        <v/>
      </c>
      <c r="O561" s="50">
        <f>IF(A561="","",IFERROR((IF(G561="",I561,G561)-T561)/M561,""))</f>
        <v/>
      </c>
      <c r="P561" s="50">
        <f>IFERROR((I561/T561-1)/N561,"")</f>
        <v/>
      </c>
      <c r="Q561" s="46">
        <f>IF(OR(T561="",I561&lt;T561),"",IFERROR(R561/IF(G561="",I561,G561)-1,""))</f>
        <v/>
      </c>
      <c r="R561" s="48">
        <f>IF($M561="","",MAX(IF($G561="",$I561,$G561)*(1/1.1),IF($G561="",$I561,$G561)+(R$2*$M561)))</f>
        <v/>
      </c>
      <c r="S561" s="49">
        <f>IF($M561="","",MAX(IF($G561="",$I561,$G561)*(1/1.1),IF($G561="",$I561,$G561)+(S$2*$M561)))</f>
        <v/>
      </c>
      <c r="T561" s="82" t="n"/>
      <c r="U561" s="47">
        <f>IF(OR($M561="",$T561=""),"",$T561+(U$2*$M561))</f>
        <v/>
      </c>
      <c r="V561" s="48">
        <f>IF(OR($M561="",$T561=""),"",$T561+(V$2*$M561))</f>
        <v/>
      </c>
      <c r="W561" s="48">
        <f>IF(OR($M561="",$T561=""),"",$T561+(W$2*$M561))</f>
        <v/>
      </c>
      <c r="X561" s="49">
        <f>IF(OR($M561="",$T561=""),"",$T561+(X$2*$M561))</f>
        <v/>
      </c>
      <c r="Y561" s="47">
        <f>IF(OR($M561="",$T561=""),"",$T561+(Y$2*$M561))</f>
        <v/>
      </c>
      <c r="Z561" s="49">
        <f>IF(OR($M561="",$T561=""),"",$T561+(Z$2*$M561))</f>
        <v/>
      </c>
      <c r="AA561" s="51">
        <f>IF(OR($M561="",$T561=""),"",$T561+(AA$2*$M561))</f>
        <v/>
      </c>
      <c r="AB561" s="48">
        <f>IF(OR($M561="",$T561=""),"",$T561+(AB$2*$M561))</f>
        <v/>
      </c>
      <c r="AC561" s="48">
        <f>IF(OR($M561="",$T561=""),"",$T561+(AC$2*$M561))</f>
        <v/>
      </c>
      <c r="AD561" s="48">
        <f>IF(OR($M561="",$T561=""),"",$T561+(AD$2*$M561))</f>
        <v/>
      </c>
      <c r="AE561" s="49">
        <f>IF(OR($M561="",$T561=""),"",$T561+(AE$2*$M561))</f>
        <v/>
      </c>
      <c r="AF561" s="52">
        <f>IF(OR(T561="",I561&lt;T561),"",IFERROR(AVERAGE(T561+M561*{7,8,9,10,11})/IF(G561="",I561,G561)-1,""))</f>
        <v/>
      </c>
      <c r="AG561" s="55">
        <f>IF(OR(T561="",I561&lt;T561),"",IFERROR(AF561/-(R561/IF(G561="",I561,G561)-1),""))</f>
        <v/>
      </c>
      <c r="AH561" s="94" t="n"/>
      <c r="AI561" s="94" t="n"/>
      <c r="AJ561" s="94" t="n"/>
      <c r="AK561" s="94" t="n"/>
      <c r="AL561" s="84" t="n"/>
    </row>
    <row r="562">
      <c r="A562" s="64" t="n"/>
      <c r="B562" s="65" t="n"/>
      <c r="C562" s="66" t="n"/>
      <c r="D562" s="67" t="n"/>
      <c r="E562" s="68" t="n"/>
      <c r="F562" s="47">
        <f>IF(A562="","",IF(MIN(H562,MAX(J562:K562))=0,"",MIN(H562,MAX(J562:K562))))</f>
        <v/>
      </c>
      <c r="G562" s="74" t="n"/>
      <c r="H562" s="49">
        <f>IF(M562="","",IFERROR(ROUND(AVERAGE(T562+M562*{7,8,9,10,11})/1.21,4),""))</f>
        <v/>
      </c>
      <c r="I562" s="76" t="n"/>
      <c r="J562" s="77" t="n"/>
      <c r="K562" s="74" t="n"/>
      <c r="L562" s="78" t="n"/>
      <c r="M562" s="77" t="n"/>
      <c r="N562" s="53">
        <f>IF(M562="","",IFERROR(M562/I562,""))</f>
        <v/>
      </c>
      <c r="O562" s="50">
        <f>IF(A562="","",IFERROR((IF(G562="",I562,G562)-T562)/M562,""))</f>
        <v/>
      </c>
      <c r="P562" s="50">
        <f>IFERROR((I562/T562-1)/N562,"")</f>
        <v/>
      </c>
      <c r="Q562" s="46">
        <f>IF(OR(T562="",I562&lt;T562),"",IFERROR(R562/IF(G562="",I562,G562)-1,""))</f>
        <v/>
      </c>
      <c r="R562" s="48">
        <f>IF($M562="","",MAX(IF($G562="",$I562,$G562)*(1/1.1),IF($G562="",$I562,$G562)+(R$2*$M562)))</f>
        <v/>
      </c>
      <c r="S562" s="49">
        <f>IF($M562="","",MAX(IF($G562="",$I562,$G562)*(1/1.1),IF($G562="",$I562,$G562)+(S$2*$M562)))</f>
        <v/>
      </c>
      <c r="T562" s="82" t="n"/>
      <c r="U562" s="47">
        <f>IF(OR($M562="",$T562=""),"",$T562+(U$2*$M562))</f>
        <v/>
      </c>
      <c r="V562" s="48">
        <f>IF(OR($M562="",$T562=""),"",$T562+(V$2*$M562))</f>
        <v/>
      </c>
      <c r="W562" s="48">
        <f>IF(OR($M562="",$T562=""),"",$T562+(W$2*$M562))</f>
        <v/>
      </c>
      <c r="X562" s="49">
        <f>IF(OR($M562="",$T562=""),"",$T562+(X$2*$M562))</f>
        <v/>
      </c>
      <c r="Y562" s="47">
        <f>IF(OR($M562="",$T562=""),"",$T562+(Y$2*$M562))</f>
        <v/>
      </c>
      <c r="Z562" s="49">
        <f>IF(OR($M562="",$T562=""),"",$T562+(Z$2*$M562))</f>
        <v/>
      </c>
      <c r="AA562" s="51">
        <f>IF(OR($M562="",$T562=""),"",$T562+(AA$2*$M562))</f>
        <v/>
      </c>
      <c r="AB562" s="48">
        <f>IF(OR($M562="",$T562=""),"",$T562+(AB$2*$M562))</f>
        <v/>
      </c>
      <c r="AC562" s="48">
        <f>IF(OR($M562="",$T562=""),"",$T562+(AC$2*$M562))</f>
        <v/>
      </c>
      <c r="AD562" s="48">
        <f>IF(OR($M562="",$T562=""),"",$T562+(AD$2*$M562))</f>
        <v/>
      </c>
      <c r="AE562" s="49">
        <f>IF(OR($M562="",$T562=""),"",$T562+(AE$2*$M562))</f>
        <v/>
      </c>
      <c r="AF562" s="52">
        <f>IF(OR(T562="",I562&lt;T562),"",IFERROR(AVERAGE(T562+M562*{7,8,9,10,11})/IF(G562="",I562,G562)-1,""))</f>
        <v/>
      </c>
      <c r="AG562" s="55">
        <f>IF(OR(T562="",I562&lt;T562),"",IFERROR(AF562/-(R562/IF(G562="",I562,G562)-1),""))</f>
        <v/>
      </c>
      <c r="AH562" s="94" t="n"/>
      <c r="AI562" s="94" t="n"/>
      <c r="AJ562" s="94" t="n"/>
      <c r="AK562" s="94" t="n"/>
      <c r="AL562" s="84" t="n"/>
    </row>
    <row r="563">
      <c r="A563" s="64" t="n"/>
      <c r="B563" s="65" t="n"/>
      <c r="C563" s="66" t="n"/>
      <c r="D563" s="67" t="n"/>
      <c r="E563" s="68" t="n"/>
      <c r="F563" s="47">
        <f>IF(A563="","",IF(MIN(H563,MAX(J563:K563))=0,"",MIN(H563,MAX(J563:K563))))</f>
        <v/>
      </c>
      <c r="G563" s="74" t="n"/>
      <c r="H563" s="49">
        <f>IF(M563="","",IFERROR(ROUND(AVERAGE(T563+M563*{7,8,9,10,11})/1.21,4),""))</f>
        <v/>
      </c>
      <c r="I563" s="76" t="n"/>
      <c r="J563" s="77" t="n"/>
      <c r="K563" s="74" t="n"/>
      <c r="L563" s="78" t="n"/>
      <c r="M563" s="77" t="n"/>
      <c r="N563" s="53">
        <f>IF(M563="","",IFERROR(M563/I563,""))</f>
        <v/>
      </c>
      <c r="O563" s="50">
        <f>IF(A563="","",IFERROR((IF(G563="",I563,G563)-T563)/M563,""))</f>
        <v/>
      </c>
      <c r="P563" s="50">
        <f>IFERROR((I563/T563-1)/N563,"")</f>
        <v/>
      </c>
      <c r="Q563" s="46">
        <f>IF(OR(T563="",I563&lt;T563),"",IFERROR(R563/IF(G563="",I563,G563)-1,""))</f>
        <v/>
      </c>
      <c r="R563" s="48">
        <f>IF($M563="","",MAX(IF($G563="",$I563,$G563)*(1/1.1),IF($G563="",$I563,$G563)+(R$2*$M563)))</f>
        <v/>
      </c>
      <c r="S563" s="49">
        <f>IF($M563="","",MAX(IF($G563="",$I563,$G563)*(1/1.1),IF($G563="",$I563,$G563)+(S$2*$M563)))</f>
        <v/>
      </c>
      <c r="T563" s="82" t="n"/>
      <c r="U563" s="47">
        <f>IF(OR($M563="",$T563=""),"",$T563+(U$2*$M563))</f>
        <v/>
      </c>
      <c r="V563" s="48">
        <f>IF(OR($M563="",$T563=""),"",$T563+(V$2*$M563))</f>
        <v/>
      </c>
      <c r="W563" s="48">
        <f>IF(OR($M563="",$T563=""),"",$T563+(W$2*$M563))</f>
        <v/>
      </c>
      <c r="X563" s="49">
        <f>IF(OR($M563="",$T563=""),"",$T563+(X$2*$M563))</f>
        <v/>
      </c>
      <c r="Y563" s="47">
        <f>IF(OR($M563="",$T563=""),"",$T563+(Y$2*$M563))</f>
        <v/>
      </c>
      <c r="Z563" s="49">
        <f>IF(OR($M563="",$T563=""),"",$T563+(Z$2*$M563))</f>
        <v/>
      </c>
      <c r="AA563" s="51">
        <f>IF(OR($M563="",$T563=""),"",$T563+(AA$2*$M563))</f>
        <v/>
      </c>
      <c r="AB563" s="48">
        <f>IF(OR($M563="",$T563=""),"",$T563+(AB$2*$M563))</f>
        <v/>
      </c>
      <c r="AC563" s="48">
        <f>IF(OR($M563="",$T563=""),"",$T563+(AC$2*$M563))</f>
        <v/>
      </c>
      <c r="AD563" s="48">
        <f>IF(OR($M563="",$T563=""),"",$T563+(AD$2*$M563))</f>
        <v/>
      </c>
      <c r="AE563" s="49">
        <f>IF(OR($M563="",$T563=""),"",$T563+(AE$2*$M563))</f>
        <v/>
      </c>
      <c r="AF563" s="52">
        <f>IF(OR(T563="",I563&lt;T563),"",IFERROR(AVERAGE(T563+M563*{7,8,9,10,11})/IF(G563="",I563,G563)-1,""))</f>
        <v/>
      </c>
      <c r="AG563" s="55">
        <f>IF(OR(T563="",I563&lt;T563),"",IFERROR(AF563/-(R563/IF(G563="",I563,G563)-1),""))</f>
        <v/>
      </c>
      <c r="AH563" s="94" t="n"/>
      <c r="AI563" s="94" t="n"/>
      <c r="AJ563" s="94" t="n"/>
      <c r="AK563" s="94" t="n"/>
      <c r="AL563" s="84" t="n"/>
    </row>
    <row r="564">
      <c r="A564" s="64" t="n"/>
      <c r="B564" s="65" t="n"/>
      <c r="C564" s="66" t="n"/>
      <c r="D564" s="67" t="n"/>
      <c r="E564" s="68" t="n"/>
      <c r="F564" s="47">
        <f>IF(A564="","",IF(MIN(H564,MAX(J564:K564))=0,"",MIN(H564,MAX(J564:K564))))</f>
        <v/>
      </c>
      <c r="G564" s="74" t="n"/>
      <c r="H564" s="49">
        <f>IF(M564="","",IFERROR(ROUND(AVERAGE(T564+M564*{7,8,9,10,11})/1.21,4),""))</f>
        <v/>
      </c>
      <c r="I564" s="76" t="n"/>
      <c r="J564" s="77" t="n"/>
      <c r="K564" s="74" t="n"/>
      <c r="L564" s="78" t="n"/>
      <c r="M564" s="77" t="n"/>
      <c r="N564" s="53">
        <f>IF(M564="","",IFERROR(M564/I564,""))</f>
        <v/>
      </c>
      <c r="O564" s="50">
        <f>IF(A564="","",IFERROR((IF(G564="",I564,G564)-T564)/M564,""))</f>
        <v/>
      </c>
      <c r="P564" s="50">
        <f>IFERROR((I564/T564-1)/N564,"")</f>
        <v/>
      </c>
      <c r="Q564" s="46">
        <f>IF(OR(T564="",I564&lt;T564),"",IFERROR(R564/IF(G564="",I564,G564)-1,""))</f>
        <v/>
      </c>
      <c r="R564" s="48">
        <f>IF($M564="","",MAX(IF($G564="",$I564,$G564)*(1/1.1),IF($G564="",$I564,$G564)+(R$2*$M564)))</f>
        <v/>
      </c>
      <c r="S564" s="49">
        <f>IF($M564="","",MAX(IF($G564="",$I564,$G564)*(1/1.1),IF($G564="",$I564,$G564)+(S$2*$M564)))</f>
        <v/>
      </c>
      <c r="T564" s="82" t="n"/>
      <c r="U564" s="47">
        <f>IF(OR($M564="",$T564=""),"",$T564+(U$2*$M564))</f>
        <v/>
      </c>
      <c r="V564" s="48">
        <f>IF(OR($M564="",$T564=""),"",$T564+(V$2*$M564))</f>
        <v/>
      </c>
      <c r="W564" s="48">
        <f>IF(OR($M564="",$T564=""),"",$T564+(W$2*$M564))</f>
        <v/>
      </c>
      <c r="X564" s="49">
        <f>IF(OR($M564="",$T564=""),"",$T564+(X$2*$M564))</f>
        <v/>
      </c>
      <c r="Y564" s="47">
        <f>IF(OR($M564="",$T564=""),"",$T564+(Y$2*$M564))</f>
        <v/>
      </c>
      <c r="Z564" s="49">
        <f>IF(OR($M564="",$T564=""),"",$T564+(Z$2*$M564))</f>
        <v/>
      </c>
      <c r="AA564" s="51">
        <f>IF(OR($M564="",$T564=""),"",$T564+(AA$2*$M564))</f>
        <v/>
      </c>
      <c r="AB564" s="48">
        <f>IF(OR($M564="",$T564=""),"",$T564+(AB$2*$M564))</f>
        <v/>
      </c>
      <c r="AC564" s="48">
        <f>IF(OR($M564="",$T564=""),"",$T564+(AC$2*$M564))</f>
        <v/>
      </c>
      <c r="AD564" s="48">
        <f>IF(OR($M564="",$T564=""),"",$T564+(AD$2*$M564))</f>
        <v/>
      </c>
      <c r="AE564" s="49">
        <f>IF(OR($M564="",$T564=""),"",$T564+(AE$2*$M564))</f>
        <v/>
      </c>
      <c r="AF564" s="52">
        <f>IF(OR(T564="",I564&lt;T564),"",IFERROR(AVERAGE(T564+M564*{7,8,9,10,11})/IF(G564="",I564,G564)-1,""))</f>
        <v/>
      </c>
      <c r="AG564" s="55">
        <f>IF(OR(T564="",I564&lt;T564),"",IFERROR(AF564/-(R564/IF(G564="",I564,G564)-1),""))</f>
        <v/>
      </c>
      <c r="AH564" s="94" t="n"/>
      <c r="AI564" s="94" t="n"/>
      <c r="AJ564" s="94" t="n"/>
      <c r="AK564" s="94" t="n"/>
      <c r="AL564" s="84" t="n"/>
    </row>
    <row r="565">
      <c r="A565" s="64" t="n"/>
      <c r="B565" s="65" t="n"/>
      <c r="C565" s="66" t="n"/>
      <c r="D565" s="67" t="n"/>
      <c r="E565" s="68" t="n"/>
      <c r="F565" s="47">
        <f>IF(A565="","",IF(MIN(H565,MAX(J565:K565))=0,"",MIN(H565,MAX(J565:K565))))</f>
        <v/>
      </c>
      <c r="G565" s="74" t="n"/>
      <c r="H565" s="49">
        <f>IF(M565="","",IFERROR(ROUND(AVERAGE(T565+M565*{7,8,9,10,11})/1.21,4),""))</f>
        <v/>
      </c>
      <c r="I565" s="76" t="n"/>
      <c r="J565" s="77" t="n"/>
      <c r="K565" s="74" t="n"/>
      <c r="L565" s="78" t="n"/>
      <c r="M565" s="77" t="n"/>
      <c r="N565" s="53">
        <f>IF(M565="","",IFERROR(M565/I565,""))</f>
        <v/>
      </c>
      <c r="O565" s="50">
        <f>IF(A565="","",IFERROR((IF(G565="",I565,G565)-T565)/M565,""))</f>
        <v/>
      </c>
      <c r="P565" s="50">
        <f>IFERROR((I565/T565-1)/N565,"")</f>
        <v/>
      </c>
      <c r="Q565" s="46">
        <f>IF(OR(T565="",I565&lt;T565),"",IFERROR(R565/IF(G565="",I565,G565)-1,""))</f>
        <v/>
      </c>
      <c r="R565" s="48">
        <f>IF($M565="","",MAX(IF($G565="",$I565,$G565)*(1/1.1),IF($G565="",$I565,$G565)+(R$2*$M565)))</f>
        <v/>
      </c>
      <c r="S565" s="49">
        <f>IF($M565="","",MAX(IF($G565="",$I565,$G565)*(1/1.1),IF($G565="",$I565,$G565)+(S$2*$M565)))</f>
        <v/>
      </c>
      <c r="T565" s="82" t="n"/>
      <c r="U565" s="47">
        <f>IF(OR($M565="",$T565=""),"",$T565+(U$2*$M565))</f>
        <v/>
      </c>
      <c r="V565" s="48">
        <f>IF(OR($M565="",$T565=""),"",$T565+(V$2*$M565))</f>
        <v/>
      </c>
      <c r="W565" s="48">
        <f>IF(OR($M565="",$T565=""),"",$T565+(W$2*$M565))</f>
        <v/>
      </c>
      <c r="X565" s="49">
        <f>IF(OR($M565="",$T565=""),"",$T565+(X$2*$M565))</f>
        <v/>
      </c>
      <c r="Y565" s="47">
        <f>IF(OR($M565="",$T565=""),"",$T565+(Y$2*$M565))</f>
        <v/>
      </c>
      <c r="Z565" s="49">
        <f>IF(OR($M565="",$T565=""),"",$T565+(Z$2*$M565))</f>
        <v/>
      </c>
      <c r="AA565" s="51">
        <f>IF(OR($M565="",$T565=""),"",$T565+(AA$2*$M565))</f>
        <v/>
      </c>
      <c r="AB565" s="48">
        <f>IF(OR($M565="",$T565=""),"",$T565+(AB$2*$M565))</f>
        <v/>
      </c>
      <c r="AC565" s="48">
        <f>IF(OR($M565="",$T565=""),"",$T565+(AC$2*$M565))</f>
        <v/>
      </c>
      <c r="AD565" s="48">
        <f>IF(OR($M565="",$T565=""),"",$T565+(AD$2*$M565))</f>
        <v/>
      </c>
      <c r="AE565" s="49">
        <f>IF(OR($M565="",$T565=""),"",$T565+(AE$2*$M565))</f>
        <v/>
      </c>
      <c r="AF565" s="52">
        <f>IF(OR(T565="",I565&lt;T565),"",IFERROR(AVERAGE(T565+M565*{7,8,9,10,11})/IF(G565="",I565,G565)-1,""))</f>
        <v/>
      </c>
      <c r="AG565" s="55">
        <f>IF(OR(T565="",I565&lt;T565),"",IFERROR(AF565/-(R565/IF(G565="",I565,G565)-1),""))</f>
        <v/>
      </c>
      <c r="AH565" s="94" t="n"/>
      <c r="AI565" s="94" t="n"/>
      <c r="AJ565" s="94" t="n"/>
      <c r="AK565" s="94" t="n"/>
      <c r="AL565" s="84" t="n"/>
    </row>
    <row r="566">
      <c r="A566" s="64" t="n"/>
      <c r="B566" s="65" t="n"/>
      <c r="C566" s="66" t="n"/>
      <c r="D566" s="67" t="n"/>
      <c r="E566" s="68" t="n"/>
      <c r="F566" s="47">
        <f>IF(A566="","",IF(MIN(H566,MAX(J566:K566))=0,"",MIN(H566,MAX(J566:K566))))</f>
        <v/>
      </c>
      <c r="G566" s="74" t="n"/>
      <c r="H566" s="49">
        <f>IF(M566="","",IFERROR(ROUND(AVERAGE(T566+M566*{7,8,9,10,11})/1.21,4),""))</f>
        <v/>
      </c>
      <c r="I566" s="76" t="n"/>
      <c r="J566" s="77" t="n"/>
      <c r="K566" s="74" t="n"/>
      <c r="L566" s="78" t="n"/>
      <c r="M566" s="77" t="n"/>
      <c r="N566" s="53">
        <f>IF(M566="","",IFERROR(M566/I566,""))</f>
        <v/>
      </c>
      <c r="O566" s="50">
        <f>IF(A566="","",IFERROR((IF(G566="",I566,G566)-T566)/M566,""))</f>
        <v/>
      </c>
      <c r="P566" s="50">
        <f>IFERROR((I566/T566-1)/N566,"")</f>
        <v/>
      </c>
      <c r="Q566" s="46">
        <f>IF(OR(T566="",I566&lt;T566),"",IFERROR(R566/IF(G566="",I566,G566)-1,""))</f>
        <v/>
      </c>
      <c r="R566" s="48">
        <f>IF($M566="","",MAX(IF($G566="",$I566,$G566)*(1/1.1),IF($G566="",$I566,$G566)+(R$2*$M566)))</f>
        <v/>
      </c>
      <c r="S566" s="49">
        <f>IF($M566="","",MAX(IF($G566="",$I566,$G566)*(1/1.1),IF($G566="",$I566,$G566)+(S$2*$M566)))</f>
        <v/>
      </c>
      <c r="T566" s="82" t="n"/>
      <c r="U566" s="47">
        <f>IF(OR($M566="",$T566=""),"",$T566+(U$2*$M566))</f>
        <v/>
      </c>
      <c r="V566" s="48">
        <f>IF(OR($M566="",$T566=""),"",$T566+(V$2*$M566))</f>
        <v/>
      </c>
      <c r="W566" s="48">
        <f>IF(OR($M566="",$T566=""),"",$T566+(W$2*$M566))</f>
        <v/>
      </c>
      <c r="X566" s="49">
        <f>IF(OR($M566="",$T566=""),"",$T566+(X$2*$M566))</f>
        <v/>
      </c>
      <c r="Y566" s="47">
        <f>IF(OR($M566="",$T566=""),"",$T566+(Y$2*$M566))</f>
        <v/>
      </c>
      <c r="Z566" s="49">
        <f>IF(OR($M566="",$T566=""),"",$T566+(Z$2*$M566))</f>
        <v/>
      </c>
      <c r="AA566" s="51">
        <f>IF(OR($M566="",$T566=""),"",$T566+(AA$2*$M566))</f>
        <v/>
      </c>
      <c r="AB566" s="48">
        <f>IF(OR($M566="",$T566=""),"",$T566+(AB$2*$M566))</f>
        <v/>
      </c>
      <c r="AC566" s="48">
        <f>IF(OR($M566="",$T566=""),"",$T566+(AC$2*$M566))</f>
        <v/>
      </c>
      <c r="AD566" s="48">
        <f>IF(OR($M566="",$T566=""),"",$T566+(AD$2*$M566))</f>
        <v/>
      </c>
      <c r="AE566" s="49">
        <f>IF(OR($M566="",$T566=""),"",$T566+(AE$2*$M566))</f>
        <v/>
      </c>
      <c r="AF566" s="52">
        <f>IF(OR(T566="",I566&lt;T566),"",IFERROR(AVERAGE(T566+M566*{7,8,9,10,11})/IF(G566="",I566,G566)-1,""))</f>
        <v/>
      </c>
      <c r="AG566" s="55">
        <f>IF(OR(T566="",I566&lt;T566),"",IFERROR(AF566/-(R566/IF(G566="",I566,G566)-1),""))</f>
        <v/>
      </c>
      <c r="AH566" s="94" t="n"/>
      <c r="AI566" s="94" t="n"/>
      <c r="AJ566" s="94" t="n"/>
      <c r="AK566" s="94" t="n"/>
      <c r="AL566" s="84" t="n"/>
    </row>
    <row r="567">
      <c r="A567" s="64" t="n"/>
      <c r="B567" s="65" t="n"/>
      <c r="C567" s="66" t="n"/>
      <c r="D567" s="67" t="n"/>
      <c r="E567" s="68" t="n"/>
      <c r="F567" s="47">
        <f>IF(A567="","",IF(MIN(H567,MAX(J567:K567))=0,"",MIN(H567,MAX(J567:K567))))</f>
        <v/>
      </c>
      <c r="G567" s="74" t="n"/>
      <c r="H567" s="49">
        <f>IF(M567="","",IFERROR(ROUND(AVERAGE(T567+M567*{7,8,9,10,11})/1.21,4),""))</f>
        <v/>
      </c>
      <c r="I567" s="76" t="n"/>
      <c r="J567" s="77" t="n"/>
      <c r="K567" s="74" t="n"/>
      <c r="L567" s="78" t="n"/>
      <c r="M567" s="77" t="n"/>
      <c r="N567" s="53">
        <f>IF(M567="","",IFERROR(M567/I567,""))</f>
        <v/>
      </c>
      <c r="O567" s="50">
        <f>IF(A567="","",IFERROR((IF(G567="",I567,G567)-T567)/M567,""))</f>
        <v/>
      </c>
      <c r="P567" s="50">
        <f>IFERROR((I567/T567-1)/N567,"")</f>
        <v/>
      </c>
      <c r="Q567" s="46">
        <f>IF(OR(T567="",I567&lt;T567),"",IFERROR(R567/IF(G567="",I567,G567)-1,""))</f>
        <v/>
      </c>
      <c r="R567" s="48">
        <f>IF($M567="","",MAX(IF($G567="",$I567,$G567)*(1/1.1),IF($G567="",$I567,$G567)+(R$2*$M567)))</f>
        <v/>
      </c>
      <c r="S567" s="49">
        <f>IF($M567="","",MAX(IF($G567="",$I567,$G567)*(1/1.1),IF($G567="",$I567,$G567)+(S$2*$M567)))</f>
        <v/>
      </c>
      <c r="T567" s="82" t="n"/>
      <c r="U567" s="47">
        <f>IF(OR($M567="",$T567=""),"",$T567+(U$2*$M567))</f>
        <v/>
      </c>
      <c r="V567" s="48">
        <f>IF(OR($M567="",$T567=""),"",$T567+(V$2*$M567))</f>
        <v/>
      </c>
      <c r="W567" s="48">
        <f>IF(OR($M567="",$T567=""),"",$T567+(W$2*$M567))</f>
        <v/>
      </c>
      <c r="X567" s="49">
        <f>IF(OR($M567="",$T567=""),"",$T567+(X$2*$M567))</f>
        <v/>
      </c>
      <c r="Y567" s="47">
        <f>IF(OR($M567="",$T567=""),"",$T567+(Y$2*$M567))</f>
        <v/>
      </c>
      <c r="Z567" s="49">
        <f>IF(OR($M567="",$T567=""),"",$T567+(Z$2*$M567))</f>
        <v/>
      </c>
      <c r="AA567" s="51">
        <f>IF(OR($M567="",$T567=""),"",$T567+(AA$2*$M567))</f>
        <v/>
      </c>
      <c r="AB567" s="48">
        <f>IF(OR($M567="",$T567=""),"",$T567+(AB$2*$M567))</f>
        <v/>
      </c>
      <c r="AC567" s="48">
        <f>IF(OR($M567="",$T567=""),"",$T567+(AC$2*$M567))</f>
        <v/>
      </c>
      <c r="AD567" s="48">
        <f>IF(OR($M567="",$T567=""),"",$T567+(AD$2*$M567))</f>
        <v/>
      </c>
      <c r="AE567" s="49">
        <f>IF(OR($M567="",$T567=""),"",$T567+(AE$2*$M567))</f>
        <v/>
      </c>
      <c r="AF567" s="52">
        <f>IF(OR(T567="",I567&lt;T567),"",IFERROR(AVERAGE(T567+M567*{7,8,9,10,11})/IF(G567="",I567,G567)-1,""))</f>
        <v/>
      </c>
      <c r="AG567" s="55">
        <f>IF(OR(T567="",I567&lt;T567),"",IFERROR(AF567/-(R567/IF(G567="",I567,G567)-1),""))</f>
        <v/>
      </c>
      <c r="AH567" s="94" t="n"/>
      <c r="AI567" s="94" t="n"/>
      <c r="AJ567" s="94" t="n"/>
      <c r="AK567" s="94" t="n"/>
      <c r="AL567" s="84" t="n"/>
    </row>
    <row r="568">
      <c r="A568" s="64" t="n"/>
      <c r="B568" s="65" t="n"/>
      <c r="C568" s="66" t="n"/>
      <c r="D568" s="67" t="n"/>
      <c r="E568" s="68" t="n"/>
      <c r="F568" s="47">
        <f>IF(A568="","",IF(MIN(H568,MAX(J568:K568))=0,"",MIN(H568,MAX(J568:K568))))</f>
        <v/>
      </c>
      <c r="G568" s="74" t="n"/>
      <c r="H568" s="49">
        <f>IF(M568="","",IFERROR(ROUND(AVERAGE(T568+M568*{7,8,9,10,11})/1.21,4),""))</f>
        <v/>
      </c>
      <c r="I568" s="76" t="n"/>
      <c r="J568" s="77" t="n"/>
      <c r="K568" s="74" t="n"/>
      <c r="L568" s="78" t="n"/>
      <c r="M568" s="77" t="n"/>
      <c r="N568" s="53">
        <f>IF(M568="","",IFERROR(M568/I568,""))</f>
        <v/>
      </c>
      <c r="O568" s="50">
        <f>IF(A568="","",IFERROR((IF(G568="",I568,G568)-T568)/M568,""))</f>
        <v/>
      </c>
      <c r="P568" s="50">
        <f>IFERROR((I568/T568-1)/N568,"")</f>
        <v/>
      </c>
      <c r="Q568" s="46">
        <f>IF(OR(T568="",I568&lt;T568),"",IFERROR(R568/IF(G568="",I568,G568)-1,""))</f>
        <v/>
      </c>
      <c r="R568" s="48">
        <f>IF($M568="","",MAX(IF($G568="",$I568,$G568)*(1/1.1),IF($G568="",$I568,$G568)+(R$2*$M568)))</f>
        <v/>
      </c>
      <c r="S568" s="49">
        <f>IF($M568="","",MAX(IF($G568="",$I568,$G568)*(1/1.1),IF($G568="",$I568,$G568)+(S$2*$M568)))</f>
        <v/>
      </c>
      <c r="T568" s="82" t="n"/>
      <c r="U568" s="47">
        <f>IF(OR($M568="",$T568=""),"",$T568+(U$2*$M568))</f>
        <v/>
      </c>
      <c r="V568" s="48">
        <f>IF(OR($M568="",$T568=""),"",$T568+(V$2*$M568))</f>
        <v/>
      </c>
      <c r="W568" s="48">
        <f>IF(OR($M568="",$T568=""),"",$T568+(W$2*$M568))</f>
        <v/>
      </c>
      <c r="X568" s="49">
        <f>IF(OR($M568="",$T568=""),"",$T568+(X$2*$M568))</f>
        <v/>
      </c>
      <c r="Y568" s="47">
        <f>IF(OR($M568="",$T568=""),"",$T568+(Y$2*$M568))</f>
        <v/>
      </c>
      <c r="Z568" s="49">
        <f>IF(OR($M568="",$T568=""),"",$T568+(Z$2*$M568))</f>
        <v/>
      </c>
      <c r="AA568" s="51">
        <f>IF(OR($M568="",$T568=""),"",$T568+(AA$2*$M568))</f>
        <v/>
      </c>
      <c r="AB568" s="48">
        <f>IF(OR($M568="",$T568=""),"",$T568+(AB$2*$M568))</f>
        <v/>
      </c>
      <c r="AC568" s="48">
        <f>IF(OR($M568="",$T568=""),"",$T568+(AC$2*$M568))</f>
        <v/>
      </c>
      <c r="AD568" s="48">
        <f>IF(OR($M568="",$T568=""),"",$T568+(AD$2*$M568))</f>
        <v/>
      </c>
      <c r="AE568" s="49">
        <f>IF(OR($M568="",$T568=""),"",$T568+(AE$2*$M568))</f>
        <v/>
      </c>
      <c r="AF568" s="52">
        <f>IF(OR(T568="",I568&lt;T568),"",IFERROR(AVERAGE(T568+M568*{7,8,9,10,11})/IF(G568="",I568,G568)-1,""))</f>
        <v/>
      </c>
      <c r="AG568" s="55">
        <f>IF(OR(T568="",I568&lt;T568),"",IFERROR(AF568/-(R568/IF(G568="",I568,G568)-1),""))</f>
        <v/>
      </c>
      <c r="AH568" s="94" t="n"/>
      <c r="AI568" s="94" t="n"/>
      <c r="AJ568" s="94" t="n"/>
      <c r="AK568" s="94" t="n"/>
      <c r="AL568" s="84" t="n"/>
    </row>
    <row r="569">
      <c r="A569" s="64" t="n"/>
      <c r="B569" s="65" t="n"/>
      <c r="C569" s="66" t="n"/>
      <c r="D569" s="67" t="n"/>
      <c r="E569" s="68" t="n"/>
      <c r="F569" s="47">
        <f>IF(A569="","",IF(MIN(H569,MAX(J569:K569))=0,"",MIN(H569,MAX(J569:K569))))</f>
        <v/>
      </c>
      <c r="G569" s="74" t="n"/>
      <c r="H569" s="49">
        <f>IF(M569="","",IFERROR(ROUND(AVERAGE(T569+M569*{7,8,9,10,11})/1.21,4),""))</f>
        <v/>
      </c>
      <c r="I569" s="76" t="n"/>
      <c r="J569" s="77" t="n"/>
      <c r="K569" s="74" t="n"/>
      <c r="L569" s="78" t="n"/>
      <c r="M569" s="77" t="n"/>
      <c r="N569" s="53">
        <f>IF(M569="","",IFERROR(M569/I569,""))</f>
        <v/>
      </c>
      <c r="O569" s="50">
        <f>IF(A569="","",IFERROR((IF(G569="",I569,G569)-T569)/M569,""))</f>
        <v/>
      </c>
      <c r="P569" s="50">
        <f>IFERROR((I569/T569-1)/N569,"")</f>
        <v/>
      </c>
      <c r="Q569" s="46">
        <f>IF(OR(T569="",I569&lt;T569),"",IFERROR(R569/IF(G569="",I569,G569)-1,""))</f>
        <v/>
      </c>
      <c r="R569" s="48">
        <f>IF($M569="","",MAX(IF($G569="",$I569,$G569)*(1/1.1),IF($G569="",$I569,$G569)+(R$2*$M569)))</f>
        <v/>
      </c>
      <c r="S569" s="49">
        <f>IF($M569="","",MAX(IF($G569="",$I569,$G569)*(1/1.1),IF($G569="",$I569,$G569)+(S$2*$M569)))</f>
        <v/>
      </c>
      <c r="T569" s="82" t="n"/>
      <c r="U569" s="47">
        <f>IF(OR($M569="",$T569=""),"",$T569+(U$2*$M569))</f>
        <v/>
      </c>
      <c r="V569" s="48">
        <f>IF(OR($M569="",$T569=""),"",$T569+(V$2*$M569))</f>
        <v/>
      </c>
      <c r="W569" s="48">
        <f>IF(OR($M569="",$T569=""),"",$T569+(W$2*$M569))</f>
        <v/>
      </c>
      <c r="X569" s="49">
        <f>IF(OR($M569="",$T569=""),"",$T569+(X$2*$M569))</f>
        <v/>
      </c>
      <c r="Y569" s="47">
        <f>IF(OR($M569="",$T569=""),"",$T569+(Y$2*$M569))</f>
        <v/>
      </c>
      <c r="Z569" s="49">
        <f>IF(OR($M569="",$T569=""),"",$T569+(Z$2*$M569))</f>
        <v/>
      </c>
      <c r="AA569" s="51">
        <f>IF(OR($M569="",$T569=""),"",$T569+(AA$2*$M569))</f>
        <v/>
      </c>
      <c r="AB569" s="48">
        <f>IF(OR($M569="",$T569=""),"",$T569+(AB$2*$M569))</f>
        <v/>
      </c>
      <c r="AC569" s="48">
        <f>IF(OR($M569="",$T569=""),"",$T569+(AC$2*$M569))</f>
        <v/>
      </c>
      <c r="AD569" s="48">
        <f>IF(OR($M569="",$T569=""),"",$T569+(AD$2*$M569))</f>
        <v/>
      </c>
      <c r="AE569" s="49">
        <f>IF(OR($M569="",$T569=""),"",$T569+(AE$2*$M569))</f>
        <v/>
      </c>
      <c r="AF569" s="52">
        <f>IF(OR(T569="",I569&lt;T569),"",IFERROR(AVERAGE(T569+M569*{7,8,9,10,11})/IF(G569="",I569,G569)-1,""))</f>
        <v/>
      </c>
      <c r="AG569" s="55">
        <f>IF(OR(T569="",I569&lt;T569),"",IFERROR(AF569/-(R569/IF(G569="",I569,G569)-1),""))</f>
        <v/>
      </c>
      <c r="AH569" s="94" t="n"/>
      <c r="AI569" s="94" t="n"/>
      <c r="AJ569" s="94" t="n"/>
      <c r="AK569" s="94" t="n"/>
      <c r="AL569" s="84" t="n"/>
    </row>
    <row r="570">
      <c r="A570" s="64" t="n"/>
      <c r="B570" s="65" t="n"/>
      <c r="C570" s="66" t="n"/>
      <c r="D570" s="67" t="n"/>
      <c r="E570" s="68" t="n"/>
      <c r="F570" s="47">
        <f>IF(A570="","",IF(MIN(H570,MAX(J570:K570))=0,"",MIN(H570,MAX(J570:K570))))</f>
        <v/>
      </c>
      <c r="G570" s="74" t="n"/>
      <c r="H570" s="49">
        <f>IF(M570="","",IFERROR(ROUND(AVERAGE(T570+M570*{7,8,9,10,11})/1.21,4),""))</f>
        <v/>
      </c>
      <c r="I570" s="76" t="n"/>
      <c r="J570" s="77" t="n"/>
      <c r="K570" s="74" t="n"/>
      <c r="L570" s="78" t="n"/>
      <c r="M570" s="77" t="n"/>
      <c r="N570" s="53">
        <f>IF(M570="","",IFERROR(M570/I570,""))</f>
        <v/>
      </c>
      <c r="O570" s="50">
        <f>IF(A570="","",IFERROR((IF(G570="",I570,G570)-T570)/M570,""))</f>
        <v/>
      </c>
      <c r="P570" s="50">
        <f>IFERROR((I570/T570-1)/N570,"")</f>
        <v/>
      </c>
      <c r="Q570" s="46">
        <f>IF(OR(T570="",I570&lt;T570),"",IFERROR(R570/IF(G570="",I570,G570)-1,""))</f>
        <v/>
      </c>
      <c r="R570" s="48">
        <f>IF($M570="","",MAX(IF($G570="",$I570,$G570)*(1/1.1),IF($G570="",$I570,$G570)+(R$2*$M570)))</f>
        <v/>
      </c>
      <c r="S570" s="49">
        <f>IF($M570="","",MAX(IF($G570="",$I570,$G570)*(1/1.1),IF($G570="",$I570,$G570)+(S$2*$M570)))</f>
        <v/>
      </c>
      <c r="T570" s="82" t="n"/>
      <c r="U570" s="47">
        <f>IF(OR($M570="",$T570=""),"",$T570+(U$2*$M570))</f>
        <v/>
      </c>
      <c r="V570" s="48">
        <f>IF(OR($M570="",$T570=""),"",$T570+(V$2*$M570))</f>
        <v/>
      </c>
      <c r="W570" s="48">
        <f>IF(OR($M570="",$T570=""),"",$T570+(W$2*$M570))</f>
        <v/>
      </c>
      <c r="X570" s="49">
        <f>IF(OR($M570="",$T570=""),"",$T570+(X$2*$M570))</f>
        <v/>
      </c>
      <c r="Y570" s="47">
        <f>IF(OR($M570="",$T570=""),"",$T570+(Y$2*$M570))</f>
        <v/>
      </c>
      <c r="Z570" s="49">
        <f>IF(OR($M570="",$T570=""),"",$T570+(Z$2*$M570))</f>
        <v/>
      </c>
      <c r="AA570" s="51">
        <f>IF(OR($M570="",$T570=""),"",$T570+(AA$2*$M570))</f>
        <v/>
      </c>
      <c r="AB570" s="48">
        <f>IF(OR($M570="",$T570=""),"",$T570+(AB$2*$M570))</f>
        <v/>
      </c>
      <c r="AC570" s="48">
        <f>IF(OR($M570="",$T570=""),"",$T570+(AC$2*$M570))</f>
        <v/>
      </c>
      <c r="AD570" s="48">
        <f>IF(OR($M570="",$T570=""),"",$T570+(AD$2*$M570))</f>
        <v/>
      </c>
      <c r="AE570" s="49">
        <f>IF(OR($M570="",$T570=""),"",$T570+(AE$2*$M570))</f>
        <v/>
      </c>
      <c r="AF570" s="52">
        <f>IF(OR(T570="",I570&lt;T570),"",IFERROR(AVERAGE(T570+M570*{7,8,9,10,11})/IF(G570="",I570,G570)-1,""))</f>
        <v/>
      </c>
      <c r="AG570" s="55">
        <f>IF(OR(T570="",I570&lt;T570),"",IFERROR(AF570/-(R570/IF(G570="",I570,G570)-1),""))</f>
        <v/>
      </c>
      <c r="AH570" s="94" t="n"/>
      <c r="AI570" s="94" t="n"/>
      <c r="AJ570" s="94" t="n"/>
      <c r="AK570" s="94" t="n"/>
      <c r="AL570" s="84" t="n"/>
    </row>
    <row r="571">
      <c r="A571" s="64" t="n"/>
      <c r="B571" s="65" t="n"/>
      <c r="C571" s="66" t="n"/>
      <c r="D571" s="67" t="n"/>
      <c r="E571" s="68" t="n"/>
      <c r="F571" s="47">
        <f>IF(A571="","",IF(MIN(H571,MAX(J571:K571))=0,"",MIN(H571,MAX(J571:K571))))</f>
        <v/>
      </c>
      <c r="G571" s="74" t="n"/>
      <c r="H571" s="49">
        <f>IF(M571="","",IFERROR(ROUND(AVERAGE(T571+M571*{7,8,9,10,11})/1.21,4),""))</f>
        <v/>
      </c>
      <c r="I571" s="76" t="n"/>
      <c r="J571" s="77" t="n"/>
      <c r="K571" s="74" t="n"/>
      <c r="L571" s="78" t="n"/>
      <c r="M571" s="77" t="n"/>
      <c r="N571" s="53">
        <f>IF(M571="","",IFERROR(M571/I571,""))</f>
        <v/>
      </c>
      <c r="O571" s="50">
        <f>IF(A571="","",IFERROR((IF(G571="",I571,G571)-T571)/M571,""))</f>
        <v/>
      </c>
      <c r="P571" s="50">
        <f>IFERROR((I571/T571-1)/N571,"")</f>
        <v/>
      </c>
      <c r="Q571" s="46">
        <f>IF(OR(T571="",I571&lt;T571),"",IFERROR(R571/IF(G571="",I571,G571)-1,""))</f>
        <v/>
      </c>
      <c r="R571" s="48">
        <f>IF($M571="","",MAX(IF($G571="",$I571,$G571)*(1/1.1),IF($G571="",$I571,$G571)+(R$2*$M571)))</f>
        <v/>
      </c>
      <c r="S571" s="49">
        <f>IF($M571="","",MAX(IF($G571="",$I571,$G571)*(1/1.1),IF($G571="",$I571,$G571)+(S$2*$M571)))</f>
        <v/>
      </c>
      <c r="T571" s="82" t="n"/>
      <c r="U571" s="47">
        <f>IF(OR($M571="",$T571=""),"",$T571+(U$2*$M571))</f>
        <v/>
      </c>
      <c r="V571" s="48">
        <f>IF(OR($M571="",$T571=""),"",$T571+(V$2*$M571))</f>
        <v/>
      </c>
      <c r="W571" s="48">
        <f>IF(OR($M571="",$T571=""),"",$T571+(W$2*$M571))</f>
        <v/>
      </c>
      <c r="X571" s="49">
        <f>IF(OR($M571="",$T571=""),"",$T571+(X$2*$M571))</f>
        <v/>
      </c>
      <c r="Y571" s="47">
        <f>IF(OR($M571="",$T571=""),"",$T571+(Y$2*$M571))</f>
        <v/>
      </c>
      <c r="Z571" s="49">
        <f>IF(OR($M571="",$T571=""),"",$T571+(Z$2*$M571))</f>
        <v/>
      </c>
      <c r="AA571" s="51">
        <f>IF(OR($M571="",$T571=""),"",$T571+(AA$2*$M571))</f>
        <v/>
      </c>
      <c r="AB571" s="48">
        <f>IF(OR($M571="",$T571=""),"",$T571+(AB$2*$M571))</f>
        <v/>
      </c>
      <c r="AC571" s="48">
        <f>IF(OR($M571="",$T571=""),"",$T571+(AC$2*$M571))</f>
        <v/>
      </c>
      <c r="AD571" s="48">
        <f>IF(OR($M571="",$T571=""),"",$T571+(AD$2*$M571))</f>
        <v/>
      </c>
      <c r="AE571" s="49">
        <f>IF(OR($M571="",$T571=""),"",$T571+(AE$2*$M571))</f>
        <v/>
      </c>
      <c r="AF571" s="52">
        <f>IF(OR(T571="",I571&lt;T571),"",IFERROR(AVERAGE(T571+M571*{7,8,9,10,11})/IF(G571="",I571,G571)-1,""))</f>
        <v/>
      </c>
      <c r="AG571" s="55">
        <f>IF(OR(T571="",I571&lt;T571),"",IFERROR(AF571/-(R571/IF(G571="",I571,G571)-1),""))</f>
        <v/>
      </c>
      <c r="AH571" s="94" t="n"/>
      <c r="AI571" s="94" t="n"/>
      <c r="AJ571" s="94" t="n"/>
      <c r="AK571" s="94" t="n"/>
      <c r="AL571" s="84" t="n"/>
    </row>
    <row r="572">
      <c r="A572" s="64" t="n"/>
      <c r="B572" s="65" t="n"/>
      <c r="C572" s="66" t="n"/>
      <c r="D572" s="67" t="n"/>
      <c r="E572" s="68" t="n"/>
      <c r="F572" s="47">
        <f>IF(A572="","",IF(MIN(H572,MAX(J572:K572))=0,"",MIN(H572,MAX(J572:K572))))</f>
        <v/>
      </c>
      <c r="G572" s="74" t="n"/>
      <c r="H572" s="49">
        <f>IF(M572="","",IFERROR(ROUND(AVERAGE(T572+M572*{7,8,9,10,11})/1.21,4),""))</f>
        <v/>
      </c>
      <c r="I572" s="76" t="n"/>
      <c r="J572" s="77" t="n"/>
      <c r="K572" s="74" t="n"/>
      <c r="L572" s="78" t="n"/>
      <c r="M572" s="77" t="n"/>
      <c r="N572" s="53">
        <f>IF(M572="","",IFERROR(M572/I572,""))</f>
        <v/>
      </c>
      <c r="O572" s="50">
        <f>IF(A572="","",IFERROR((IF(G572="",I572,G572)-T572)/M572,""))</f>
        <v/>
      </c>
      <c r="P572" s="50">
        <f>IFERROR((I572/T572-1)/N572,"")</f>
        <v/>
      </c>
      <c r="Q572" s="46">
        <f>IF(OR(T572="",I572&lt;T572),"",IFERROR(R572/IF(G572="",I572,G572)-1,""))</f>
        <v/>
      </c>
      <c r="R572" s="48">
        <f>IF($M572="","",MAX(IF($G572="",$I572,$G572)*(1/1.1),IF($G572="",$I572,$G572)+(R$2*$M572)))</f>
        <v/>
      </c>
      <c r="S572" s="49">
        <f>IF($M572="","",MAX(IF($G572="",$I572,$G572)*(1/1.1),IF($G572="",$I572,$G572)+(S$2*$M572)))</f>
        <v/>
      </c>
      <c r="T572" s="82" t="n"/>
      <c r="U572" s="47">
        <f>IF(OR($M572="",$T572=""),"",$T572+(U$2*$M572))</f>
        <v/>
      </c>
      <c r="V572" s="48">
        <f>IF(OR($M572="",$T572=""),"",$T572+(V$2*$M572))</f>
        <v/>
      </c>
      <c r="W572" s="48">
        <f>IF(OR($M572="",$T572=""),"",$T572+(W$2*$M572))</f>
        <v/>
      </c>
      <c r="X572" s="49">
        <f>IF(OR($M572="",$T572=""),"",$T572+(X$2*$M572))</f>
        <v/>
      </c>
      <c r="Y572" s="47">
        <f>IF(OR($M572="",$T572=""),"",$T572+(Y$2*$M572))</f>
        <v/>
      </c>
      <c r="Z572" s="49">
        <f>IF(OR($M572="",$T572=""),"",$T572+(Z$2*$M572))</f>
        <v/>
      </c>
      <c r="AA572" s="51">
        <f>IF(OR($M572="",$T572=""),"",$T572+(AA$2*$M572))</f>
        <v/>
      </c>
      <c r="AB572" s="48">
        <f>IF(OR($M572="",$T572=""),"",$T572+(AB$2*$M572))</f>
        <v/>
      </c>
      <c r="AC572" s="48">
        <f>IF(OR($M572="",$T572=""),"",$T572+(AC$2*$M572))</f>
        <v/>
      </c>
      <c r="AD572" s="48">
        <f>IF(OR($M572="",$T572=""),"",$T572+(AD$2*$M572))</f>
        <v/>
      </c>
      <c r="AE572" s="49">
        <f>IF(OR($M572="",$T572=""),"",$T572+(AE$2*$M572))</f>
        <v/>
      </c>
      <c r="AF572" s="52">
        <f>IF(OR(T572="",I572&lt;T572),"",IFERROR(AVERAGE(T572+M572*{7,8,9,10,11})/IF(G572="",I572,G572)-1,""))</f>
        <v/>
      </c>
      <c r="AG572" s="55">
        <f>IF(OR(T572="",I572&lt;T572),"",IFERROR(AF572/-(R572/IF(G572="",I572,G572)-1),""))</f>
        <v/>
      </c>
      <c r="AH572" s="94" t="n"/>
      <c r="AI572" s="94" t="n"/>
      <c r="AJ572" s="94" t="n"/>
      <c r="AK572" s="94" t="n"/>
      <c r="AL572" s="84" t="n"/>
    </row>
    <row r="573">
      <c r="A573" s="64" t="n"/>
      <c r="B573" s="65" t="n"/>
      <c r="C573" s="66" t="n"/>
      <c r="D573" s="67" t="n"/>
      <c r="E573" s="68" t="n"/>
      <c r="F573" s="47">
        <f>IF(A573="","",IF(MIN(H573,MAX(J573:K573))=0,"",MIN(H573,MAX(J573:K573))))</f>
        <v/>
      </c>
      <c r="G573" s="74" t="n"/>
      <c r="H573" s="49">
        <f>IF(M573="","",IFERROR(ROUND(AVERAGE(T573+M573*{7,8,9,10,11})/1.21,4),""))</f>
        <v/>
      </c>
      <c r="I573" s="76" t="n"/>
      <c r="J573" s="77" t="n"/>
      <c r="K573" s="74" t="n"/>
      <c r="L573" s="78" t="n"/>
      <c r="M573" s="77" t="n"/>
      <c r="N573" s="53">
        <f>IF(M573="","",IFERROR(M573/I573,""))</f>
        <v/>
      </c>
      <c r="O573" s="50">
        <f>IF(A573="","",IFERROR((IF(G573="",I573,G573)-T573)/M573,""))</f>
        <v/>
      </c>
      <c r="P573" s="50">
        <f>IFERROR((I573/T573-1)/N573,"")</f>
        <v/>
      </c>
      <c r="Q573" s="46">
        <f>IF(OR(T573="",I573&lt;T573),"",IFERROR(R573/IF(G573="",I573,G573)-1,""))</f>
        <v/>
      </c>
      <c r="R573" s="48">
        <f>IF($M573="","",MAX(IF($G573="",$I573,$G573)*(1/1.1),IF($G573="",$I573,$G573)+(R$2*$M573)))</f>
        <v/>
      </c>
      <c r="S573" s="49">
        <f>IF($M573="","",MAX(IF($G573="",$I573,$G573)*(1/1.1),IF($G573="",$I573,$G573)+(S$2*$M573)))</f>
        <v/>
      </c>
      <c r="T573" s="82" t="n"/>
      <c r="U573" s="47">
        <f>IF(OR($M573="",$T573=""),"",$T573+(U$2*$M573))</f>
        <v/>
      </c>
      <c r="V573" s="48">
        <f>IF(OR($M573="",$T573=""),"",$T573+(V$2*$M573))</f>
        <v/>
      </c>
      <c r="W573" s="48">
        <f>IF(OR($M573="",$T573=""),"",$T573+(W$2*$M573))</f>
        <v/>
      </c>
      <c r="X573" s="49">
        <f>IF(OR($M573="",$T573=""),"",$T573+(X$2*$M573))</f>
        <v/>
      </c>
      <c r="Y573" s="47">
        <f>IF(OR($M573="",$T573=""),"",$T573+(Y$2*$M573))</f>
        <v/>
      </c>
      <c r="Z573" s="49">
        <f>IF(OR($M573="",$T573=""),"",$T573+(Z$2*$M573))</f>
        <v/>
      </c>
      <c r="AA573" s="51">
        <f>IF(OR($M573="",$T573=""),"",$T573+(AA$2*$M573))</f>
        <v/>
      </c>
      <c r="AB573" s="48">
        <f>IF(OR($M573="",$T573=""),"",$T573+(AB$2*$M573))</f>
        <v/>
      </c>
      <c r="AC573" s="48">
        <f>IF(OR($M573="",$T573=""),"",$T573+(AC$2*$M573))</f>
        <v/>
      </c>
      <c r="AD573" s="48">
        <f>IF(OR($M573="",$T573=""),"",$T573+(AD$2*$M573))</f>
        <v/>
      </c>
      <c r="AE573" s="49">
        <f>IF(OR($M573="",$T573=""),"",$T573+(AE$2*$M573))</f>
        <v/>
      </c>
      <c r="AF573" s="52">
        <f>IF(OR(T573="",I573&lt;T573),"",IFERROR(AVERAGE(T573+M573*{7,8,9,10,11})/IF(G573="",I573,G573)-1,""))</f>
        <v/>
      </c>
      <c r="AG573" s="55">
        <f>IF(OR(T573="",I573&lt;T573),"",IFERROR(AF573/-(R573/IF(G573="",I573,G573)-1),""))</f>
        <v/>
      </c>
      <c r="AH573" s="94" t="n"/>
      <c r="AI573" s="94" t="n"/>
      <c r="AJ573" s="94" t="n"/>
      <c r="AK573" s="94" t="n"/>
      <c r="AL573" s="84" t="n"/>
    </row>
    <row r="574">
      <c r="A574" s="64" t="n"/>
      <c r="B574" s="65" t="n"/>
      <c r="C574" s="66" t="n"/>
      <c r="D574" s="67" t="n"/>
      <c r="E574" s="68" t="n"/>
      <c r="F574" s="47">
        <f>IF(A574="","",IF(MIN(H574,MAX(J574:K574))=0,"",MIN(H574,MAX(J574:K574))))</f>
        <v/>
      </c>
      <c r="G574" s="74" t="n"/>
      <c r="H574" s="49">
        <f>IF(M574="","",IFERROR(ROUND(AVERAGE(T574+M574*{7,8,9,10,11})/1.21,4),""))</f>
        <v/>
      </c>
      <c r="I574" s="76" t="n"/>
      <c r="J574" s="77" t="n"/>
      <c r="K574" s="74" t="n"/>
      <c r="L574" s="78" t="n"/>
      <c r="M574" s="77" t="n"/>
      <c r="N574" s="53">
        <f>IF(M574="","",IFERROR(M574/I574,""))</f>
        <v/>
      </c>
      <c r="O574" s="50">
        <f>IF(A574="","",IFERROR((IF(G574="",I574,G574)-T574)/M574,""))</f>
        <v/>
      </c>
      <c r="P574" s="50">
        <f>IFERROR((I574/T574-1)/N574,"")</f>
        <v/>
      </c>
      <c r="Q574" s="46">
        <f>IF(OR(T574="",I574&lt;T574),"",IFERROR(R574/IF(G574="",I574,G574)-1,""))</f>
        <v/>
      </c>
      <c r="R574" s="48">
        <f>IF($M574="","",MAX(IF($G574="",$I574,$G574)*(1/1.1),IF($G574="",$I574,$G574)+(R$2*$M574)))</f>
        <v/>
      </c>
      <c r="S574" s="49">
        <f>IF($M574="","",MAX(IF($G574="",$I574,$G574)*(1/1.1),IF($G574="",$I574,$G574)+(S$2*$M574)))</f>
        <v/>
      </c>
      <c r="T574" s="82" t="n"/>
      <c r="U574" s="47">
        <f>IF(OR($M574="",$T574=""),"",$T574+(U$2*$M574))</f>
        <v/>
      </c>
      <c r="V574" s="48">
        <f>IF(OR($M574="",$T574=""),"",$T574+(V$2*$M574))</f>
        <v/>
      </c>
      <c r="W574" s="48">
        <f>IF(OR($M574="",$T574=""),"",$T574+(W$2*$M574))</f>
        <v/>
      </c>
      <c r="X574" s="49">
        <f>IF(OR($M574="",$T574=""),"",$T574+(X$2*$M574))</f>
        <v/>
      </c>
      <c r="Y574" s="47">
        <f>IF(OR($M574="",$T574=""),"",$T574+(Y$2*$M574))</f>
        <v/>
      </c>
      <c r="Z574" s="49">
        <f>IF(OR($M574="",$T574=""),"",$T574+(Z$2*$M574))</f>
        <v/>
      </c>
      <c r="AA574" s="51">
        <f>IF(OR($M574="",$T574=""),"",$T574+(AA$2*$M574))</f>
        <v/>
      </c>
      <c r="AB574" s="48">
        <f>IF(OR($M574="",$T574=""),"",$T574+(AB$2*$M574))</f>
        <v/>
      </c>
      <c r="AC574" s="48">
        <f>IF(OR($M574="",$T574=""),"",$T574+(AC$2*$M574))</f>
        <v/>
      </c>
      <c r="AD574" s="48">
        <f>IF(OR($M574="",$T574=""),"",$T574+(AD$2*$M574))</f>
        <v/>
      </c>
      <c r="AE574" s="49">
        <f>IF(OR($M574="",$T574=""),"",$T574+(AE$2*$M574))</f>
        <v/>
      </c>
      <c r="AF574" s="52">
        <f>IF(OR(T574="",I574&lt;T574),"",IFERROR(AVERAGE(T574+M574*{7,8,9,10,11})/IF(G574="",I574,G574)-1,""))</f>
        <v/>
      </c>
      <c r="AG574" s="55">
        <f>IF(OR(T574="",I574&lt;T574),"",IFERROR(AF574/-(R574/IF(G574="",I574,G574)-1),""))</f>
        <v/>
      </c>
      <c r="AH574" s="94" t="n"/>
      <c r="AI574" s="94" t="n"/>
      <c r="AJ574" s="94" t="n"/>
      <c r="AK574" s="94" t="n"/>
      <c r="AL574" s="84" t="n"/>
    </row>
    <row r="575">
      <c r="A575" s="64" t="n"/>
      <c r="B575" s="65" t="n"/>
      <c r="C575" s="66" t="n"/>
      <c r="D575" s="67" t="n"/>
      <c r="E575" s="68" t="n"/>
      <c r="F575" s="47">
        <f>IF(A575="","",IF(MIN(H575,MAX(J575:K575))=0,"",MIN(H575,MAX(J575:K575))))</f>
        <v/>
      </c>
      <c r="G575" s="74" t="n"/>
      <c r="H575" s="49">
        <f>IF(M575="","",IFERROR(ROUND(AVERAGE(T575+M575*{7,8,9,10,11})/1.21,4),""))</f>
        <v/>
      </c>
      <c r="I575" s="76" t="n"/>
      <c r="J575" s="77" t="n"/>
      <c r="K575" s="74" t="n"/>
      <c r="L575" s="78" t="n"/>
      <c r="M575" s="77" t="n"/>
      <c r="N575" s="53">
        <f>IF(M575="","",IFERROR(M575/I575,""))</f>
        <v/>
      </c>
      <c r="O575" s="50">
        <f>IF(A575="","",IFERROR((IF(G575="",I575,G575)-T575)/M575,""))</f>
        <v/>
      </c>
      <c r="P575" s="50">
        <f>IFERROR((I575/T575-1)/N575,"")</f>
        <v/>
      </c>
      <c r="Q575" s="46">
        <f>IF(OR(T575="",I575&lt;T575),"",IFERROR(R575/IF(G575="",I575,G575)-1,""))</f>
        <v/>
      </c>
      <c r="R575" s="48">
        <f>IF($M575="","",MAX(IF($G575="",$I575,$G575)*(1/1.1),IF($G575="",$I575,$G575)+(R$2*$M575)))</f>
        <v/>
      </c>
      <c r="S575" s="49">
        <f>IF($M575="","",MAX(IF($G575="",$I575,$G575)*(1/1.1),IF($G575="",$I575,$G575)+(S$2*$M575)))</f>
        <v/>
      </c>
      <c r="T575" s="82" t="n"/>
      <c r="U575" s="47">
        <f>IF(OR($M575="",$T575=""),"",$T575+(U$2*$M575))</f>
        <v/>
      </c>
      <c r="V575" s="48">
        <f>IF(OR($M575="",$T575=""),"",$T575+(V$2*$M575))</f>
        <v/>
      </c>
      <c r="W575" s="48">
        <f>IF(OR($M575="",$T575=""),"",$T575+(W$2*$M575))</f>
        <v/>
      </c>
      <c r="X575" s="49">
        <f>IF(OR($M575="",$T575=""),"",$T575+(X$2*$M575))</f>
        <v/>
      </c>
      <c r="Y575" s="47">
        <f>IF(OR($M575="",$T575=""),"",$T575+(Y$2*$M575))</f>
        <v/>
      </c>
      <c r="Z575" s="49">
        <f>IF(OR($M575="",$T575=""),"",$T575+(Z$2*$M575))</f>
        <v/>
      </c>
      <c r="AA575" s="51">
        <f>IF(OR($M575="",$T575=""),"",$T575+(AA$2*$M575))</f>
        <v/>
      </c>
      <c r="AB575" s="48">
        <f>IF(OR($M575="",$T575=""),"",$T575+(AB$2*$M575))</f>
        <v/>
      </c>
      <c r="AC575" s="48">
        <f>IF(OR($M575="",$T575=""),"",$T575+(AC$2*$M575))</f>
        <v/>
      </c>
      <c r="AD575" s="48">
        <f>IF(OR($M575="",$T575=""),"",$T575+(AD$2*$M575))</f>
        <v/>
      </c>
      <c r="AE575" s="49">
        <f>IF(OR($M575="",$T575=""),"",$T575+(AE$2*$M575))</f>
        <v/>
      </c>
      <c r="AF575" s="52">
        <f>IF(OR(T575="",I575&lt;T575),"",IFERROR(AVERAGE(T575+M575*{7,8,9,10,11})/IF(G575="",I575,G575)-1,""))</f>
        <v/>
      </c>
      <c r="AG575" s="55">
        <f>IF(OR(T575="",I575&lt;T575),"",IFERROR(AF575/-(R575/IF(G575="",I575,G575)-1),""))</f>
        <v/>
      </c>
      <c r="AH575" s="94" t="n"/>
      <c r="AI575" s="94" t="n"/>
      <c r="AJ575" s="94" t="n"/>
      <c r="AK575" s="94" t="n"/>
      <c r="AL575" s="84" t="n"/>
    </row>
    <row r="576">
      <c r="A576" s="64" t="n"/>
      <c r="B576" s="65" t="n"/>
      <c r="C576" s="66" t="n"/>
      <c r="D576" s="67" t="n"/>
      <c r="E576" s="68" t="n"/>
      <c r="F576" s="47">
        <f>IF(A576="","",IF(MIN(H576,MAX(J576:K576))=0,"",MIN(H576,MAX(J576:K576))))</f>
        <v/>
      </c>
      <c r="G576" s="74" t="n"/>
      <c r="H576" s="49">
        <f>IF(M576="","",IFERROR(ROUND(AVERAGE(T576+M576*{7,8,9,10,11})/1.21,4),""))</f>
        <v/>
      </c>
      <c r="I576" s="76" t="n"/>
      <c r="J576" s="77" t="n"/>
      <c r="K576" s="74" t="n"/>
      <c r="L576" s="78" t="n"/>
      <c r="M576" s="77" t="n"/>
      <c r="N576" s="53">
        <f>IF(M576="","",IFERROR(M576/I576,""))</f>
        <v/>
      </c>
      <c r="O576" s="50">
        <f>IF(A576="","",IFERROR((IF(G576="",I576,G576)-T576)/M576,""))</f>
        <v/>
      </c>
      <c r="P576" s="50">
        <f>IFERROR((I576/T576-1)/N576,"")</f>
        <v/>
      </c>
      <c r="Q576" s="46">
        <f>IF(OR(T576="",I576&lt;T576),"",IFERROR(R576/IF(G576="",I576,G576)-1,""))</f>
        <v/>
      </c>
      <c r="R576" s="48">
        <f>IF($M576="","",MAX(IF($G576="",$I576,$G576)*(1/1.1),IF($G576="",$I576,$G576)+(R$2*$M576)))</f>
        <v/>
      </c>
      <c r="S576" s="49">
        <f>IF($M576="","",MAX(IF($G576="",$I576,$G576)*(1/1.1),IF($G576="",$I576,$G576)+(S$2*$M576)))</f>
        <v/>
      </c>
      <c r="T576" s="82" t="n"/>
      <c r="U576" s="47">
        <f>IF(OR($M576="",$T576=""),"",$T576+(U$2*$M576))</f>
        <v/>
      </c>
      <c r="V576" s="48">
        <f>IF(OR($M576="",$T576=""),"",$T576+(V$2*$M576))</f>
        <v/>
      </c>
      <c r="W576" s="48">
        <f>IF(OR($M576="",$T576=""),"",$T576+(W$2*$M576))</f>
        <v/>
      </c>
      <c r="X576" s="49">
        <f>IF(OR($M576="",$T576=""),"",$T576+(X$2*$M576))</f>
        <v/>
      </c>
      <c r="Y576" s="47">
        <f>IF(OR($M576="",$T576=""),"",$T576+(Y$2*$M576))</f>
        <v/>
      </c>
      <c r="Z576" s="49">
        <f>IF(OR($M576="",$T576=""),"",$T576+(Z$2*$M576))</f>
        <v/>
      </c>
      <c r="AA576" s="51">
        <f>IF(OR($M576="",$T576=""),"",$T576+(AA$2*$M576))</f>
        <v/>
      </c>
      <c r="AB576" s="48">
        <f>IF(OR($M576="",$T576=""),"",$T576+(AB$2*$M576))</f>
        <v/>
      </c>
      <c r="AC576" s="48">
        <f>IF(OR($M576="",$T576=""),"",$T576+(AC$2*$M576))</f>
        <v/>
      </c>
      <c r="AD576" s="48">
        <f>IF(OR($M576="",$T576=""),"",$T576+(AD$2*$M576))</f>
        <v/>
      </c>
      <c r="AE576" s="49">
        <f>IF(OR($M576="",$T576=""),"",$T576+(AE$2*$M576))</f>
        <v/>
      </c>
      <c r="AF576" s="52">
        <f>IF(OR(T576="",I576&lt;T576),"",IFERROR(AVERAGE(T576+M576*{7,8,9,10,11})/IF(G576="",I576,G576)-1,""))</f>
        <v/>
      </c>
      <c r="AG576" s="55">
        <f>IF(OR(T576="",I576&lt;T576),"",IFERROR(AF576/-(R576/IF(G576="",I576,G576)-1),""))</f>
        <v/>
      </c>
      <c r="AH576" s="94" t="n"/>
      <c r="AI576" s="94" t="n"/>
      <c r="AJ576" s="94" t="n"/>
      <c r="AK576" s="94" t="n"/>
      <c r="AL576" s="84" t="n"/>
    </row>
    <row r="577">
      <c r="A577" s="64" t="n"/>
      <c r="B577" s="65" t="n"/>
      <c r="C577" s="66" t="n"/>
      <c r="D577" s="67" t="n"/>
      <c r="E577" s="68" t="n"/>
      <c r="F577" s="47">
        <f>IF(A577="","",IF(MIN(H577,MAX(J577:K577))=0,"",MIN(H577,MAX(J577:K577))))</f>
        <v/>
      </c>
      <c r="G577" s="74" t="n"/>
      <c r="H577" s="49">
        <f>IF(M577="","",IFERROR(ROUND(AVERAGE(T577+M577*{7,8,9,10,11})/1.21,4),""))</f>
        <v/>
      </c>
      <c r="I577" s="76" t="n"/>
      <c r="J577" s="77" t="n"/>
      <c r="K577" s="74" t="n"/>
      <c r="L577" s="78" t="n"/>
      <c r="M577" s="77" t="n"/>
      <c r="N577" s="53">
        <f>IF(M577="","",IFERROR(M577/I577,""))</f>
        <v/>
      </c>
      <c r="O577" s="50">
        <f>IF(A577="","",IFERROR((IF(G577="",I577,G577)-T577)/M577,""))</f>
        <v/>
      </c>
      <c r="P577" s="50">
        <f>IFERROR((I577/T577-1)/N577,"")</f>
        <v/>
      </c>
      <c r="Q577" s="46">
        <f>IF(OR(T577="",I577&lt;T577),"",IFERROR(R577/IF(G577="",I577,G577)-1,""))</f>
        <v/>
      </c>
      <c r="R577" s="48">
        <f>IF($M577="","",MAX(IF($G577="",$I577,$G577)*(1/1.1),IF($G577="",$I577,$G577)+(R$2*$M577)))</f>
        <v/>
      </c>
      <c r="S577" s="49">
        <f>IF($M577="","",MAX(IF($G577="",$I577,$G577)*(1/1.1),IF($G577="",$I577,$G577)+(S$2*$M577)))</f>
        <v/>
      </c>
      <c r="T577" s="82" t="n"/>
      <c r="U577" s="47">
        <f>IF(OR($M577="",$T577=""),"",$T577+(U$2*$M577))</f>
        <v/>
      </c>
      <c r="V577" s="48">
        <f>IF(OR($M577="",$T577=""),"",$T577+(V$2*$M577))</f>
        <v/>
      </c>
      <c r="W577" s="48">
        <f>IF(OR($M577="",$T577=""),"",$T577+(W$2*$M577))</f>
        <v/>
      </c>
      <c r="X577" s="49">
        <f>IF(OR($M577="",$T577=""),"",$T577+(X$2*$M577))</f>
        <v/>
      </c>
      <c r="Y577" s="47">
        <f>IF(OR($M577="",$T577=""),"",$T577+(Y$2*$M577))</f>
        <v/>
      </c>
      <c r="Z577" s="49">
        <f>IF(OR($M577="",$T577=""),"",$T577+(Z$2*$M577))</f>
        <v/>
      </c>
      <c r="AA577" s="51">
        <f>IF(OR($M577="",$T577=""),"",$T577+(AA$2*$M577))</f>
        <v/>
      </c>
      <c r="AB577" s="48">
        <f>IF(OR($M577="",$T577=""),"",$T577+(AB$2*$M577))</f>
        <v/>
      </c>
      <c r="AC577" s="48">
        <f>IF(OR($M577="",$T577=""),"",$T577+(AC$2*$M577))</f>
        <v/>
      </c>
      <c r="AD577" s="48">
        <f>IF(OR($M577="",$T577=""),"",$T577+(AD$2*$M577))</f>
        <v/>
      </c>
      <c r="AE577" s="49">
        <f>IF(OR($M577="",$T577=""),"",$T577+(AE$2*$M577))</f>
        <v/>
      </c>
      <c r="AF577" s="52">
        <f>IF(OR(T577="",I577&lt;T577),"",IFERROR(AVERAGE(T577+M577*{7,8,9,10,11})/IF(G577="",I577,G577)-1,""))</f>
        <v/>
      </c>
      <c r="AG577" s="55">
        <f>IF(OR(T577="",I577&lt;T577),"",IFERROR(AF577/-(R577/IF(G577="",I577,G577)-1),""))</f>
        <v/>
      </c>
      <c r="AH577" s="94" t="n"/>
      <c r="AI577" s="94" t="n"/>
      <c r="AJ577" s="94" t="n"/>
      <c r="AK577" s="94" t="n"/>
      <c r="AL577" s="84" t="n"/>
    </row>
    <row r="578">
      <c r="A578" s="64" t="n"/>
      <c r="B578" s="65" t="n"/>
      <c r="C578" s="66" t="n"/>
      <c r="D578" s="67" t="n"/>
      <c r="E578" s="68" t="n"/>
      <c r="F578" s="47">
        <f>IF(A578="","",IF(MIN(H578,MAX(J578:K578))=0,"",MIN(H578,MAX(J578:K578))))</f>
        <v/>
      </c>
      <c r="G578" s="74" t="n"/>
      <c r="H578" s="49">
        <f>IF(M578="","",IFERROR(ROUND(AVERAGE(T578+M578*{7,8,9,10,11})/1.21,4),""))</f>
        <v/>
      </c>
      <c r="I578" s="76" t="n"/>
      <c r="J578" s="77" t="n"/>
      <c r="K578" s="74" t="n"/>
      <c r="L578" s="78" t="n"/>
      <c r="M578" s="77" t="n"/>
      <c r="N578" s="53">
        <f>IF(M578="","",IFERROR(M578/I578,""))</f>
        <v/>
      </c>
      <c r="O578" s="50">
        <f>IF(A578="","",IFERROR((IF(G578="",I578,G578)-T578)/M578,""))</f>
        <v/>
      </c>
      <c r="P578" s="50">
        <f>IFERROR((I578/T578-1)/N578,"")</f>
        <v/>
      </c>
      <c r="Q578" s="46">
        <f>IF(OR(T578="",I578&lt;T578),"",IFERROR(R578/IF(G578="",I578,G578)-1,""))</f>
        <v/>
      </c>
      <c r="R578" s="48">
        <f>IF($M578="","",MAX(IF($G578="",$I578,$G578)*(1/1.1),IF($G578="",$I578,$G578)+(R$2*$M578)))</f>
        <v/>
      </c>
      <c r="S578" s="49">
        <f>IF($M578="","",MAX(IF($G578="",$I578,$G578)*(1/1.1),IF($G578="",$I578,$G578)+(S$2*$M578)))</f>
        <v/>
      </c>
      <c r="T578" s="82" t="n"/>
      <c r="U578" s="47">
        <f>IF(OR($M578="",$T578=""),"",$T578+(U$2*$M578))</f>
        <v/>
      </c>
      <c r="V578" s="48">
        <f>IF(OR($M578="",$T578=""),"",$T578+(V$2*$M578))</f>
        <v/>
      </c>
      <c r="W578" s="48">
        <f>IF(OR($M578="",$T578=""),"",$T578+(W$2*$M578))</f>
        <v/>
      </c>
      <c r="X578" s="49">
        <f>IF(OR($M578="",$T578=""),"",$T578+(X$2*$M578))</f>
        <v/>
      </c>
      <c r="Y578" s="47">
        <f>IF(OR($M578="",$T578=""),"",$T578+(Y$2*$M578))</f>
        <v/>
      </c>
      <c r="Z578" s="49">
        <f>IF(OR($M578="",$T578=""),"",$T578+(Z$2*$M578))</f>
        <v/>
      </c>
      <c r="AA578" s="51">
        <f>IF(OR($M578="",$T578=""),"",$T578+(AA$2*$M578))</f>
        <v/>
      </c>
      <c r="AB578" s="48">
        <f>IF(OR($M578="",$T578=""),"",$T578+(AB$2*$M578))</f>
        <v/>
      </c>
      <c r="AC578" s="48">
        <f>IF(OR($M578="",$T578=""),"",$T578+(AC$2*$M578))</f>
        <v/>
      </c>
      <c r="AD578" s="48">
        <f>IF(OR($M578="",$T578=""),"",$T578+(AD$2*$M578))</f>
        <v/>
      </c>
      <c r="AE578" s="49">
        <f>IF(OR($M578="",$T578=""),"",$T578+(AE$2*$M578))</f>
        <v/>
      </c>
      <c r="AF578" s="52">
        <f>IF(OR(T578="",I578&lt;T578),"",IFERROR(AVERAGE(T578+M578*{7,8,9,10,11})/IF(G578="",I578,G578)-1,""))</f>
        <v/>
      </c>
      <c r="AG578" s="55">
        <f>IF(OR(T578="",I578&lt;T578),"",IFERROR(AF578/-(R578/IF(G578="",I578,G578)-1),""))</f>
        <v/>
      </c>
      <c r="AH578" s="94" t="n"/>
      <c r="AI578" s="94" t="n"/>
      <c r="AJ578" s="94" t="n"/>
      <c r="AK578" s="94" t="n"/>
      <c r="AL578" s="84" t="n"/>
    </row>
    <row r="579">
      <c r="A579" s="64" t="n"/>
      <c r="B579" s="65" t="n"/>
      <c r="C579" s="66" t="n"/>
      <c r="D579" s="67" t="n"/>
      <c r="E579" s="68" t="n"/>
      <c r="F579" s="47">
        <f>IF(A579="","",IF(MIN(H579,MAX(J579:K579))=0,"",MIN(H579,MAX(J579:K579))))</f>
        <v/>
      </c>
      <c r="G579" s="74" t="n"/>
      <c r="H579" s="49">
        <f>IF(M579="","",IFERROR(ROUND(AVERAGE(T579+M579*{7,8,9,10,11})/1.21,4),""))</f>
        <v/>
      </c>
      <c r="I579" s="76" t="n"/>
      <c r="J579" s="77" t="n"/>
      <c r="K579" s="74" t="n"/>
      <c r="L579" s="78" t="n"/>
      <c r="M579" s="77" t="n"/>
      <c r="N579" s="53">
        <f>IF(M579="","",IFERROR(M579/I579,""))</f>
        <v/>
      </c>
      <c r="O579" s="50">
        <f>IF(A579="","",IFERROR((IF(G579="",I579,G579)-T579)/M579,""))</f>
        <v/>
      </c>
      <c r="P579" s="50">
        <f>IFERROR((I579/T579-1)/N579,"")</f>
        <v/>
      </c>
      <c r="Q579" s="46">
        <f>IF(OR(T579="",I579&lt;T579),"",IFERROR(R579/IF(G579="",I579,G579)-1,""))</f>
        <v/>
      </c>
      <c r="R579" s="48">
        <f>IF($M579="","",MAX(IF($G579="",$I579,$G579)*(1/1.1),IF($G579="",$I579,$G579)+(R$2*$M579)))</f>
        <v/>
      </c>
      <c r="S579" s="49">
        <f>IF($M579="","",MAX(IF($G579="",$I579,$G579)*(1/1.1),IF($G579="",$I579,$G579)+(S$2*$M579)))</f>
        <v/>
      </c>
      <c r="T579" s="82" t="n"/>
      <c r="U579" s="47">
        <f>IF(OR($M579="",$T579=""),"",$T579+(U$2*$M579))</f>
        <v/>
      </c>
      <c r="V579" s="48">
        <f>IF(OR($M579="",$T579=""),"",$T579+(V$2*$M579))</f>
        <v/>
      </c>
      <c r="W579" s="48">
        <f>IF(OR($M579="",$T579=""),"",$T579+(W$2*$M579))</f>
        <v/>
      </c>
      <c r="X579" s="49">
        <f>IF(OR($M579="",$T579=""),"",$T579+(X$2*$M579))</f>
        <v/>
      </c>
      <c r="Y579" s="47">
        <f>IF(OR($M579="",$T579=""),"",$T579+(Y$2*$M579))</f>
        <v/>
      </c>
      <c r="Z579" s="49">
        <f>IF(OR($M579="",$T579=""),"",$T579+(Z$2*$M579))</f>
        <v/>
      </c>
      <c r="AA579" s="51">
        <f>IF(OR($M579="",$T579=""),"",$T579+(AA$2*$M579))</f>
        <v/>
      </c>
      <c r="AB579" s="48">
        <f>IF(OR($M579="",$T579=""),"",$T579+(AB$2*$M579))</f>
        <v/>
      </c>
      <c r="AC579" s="48">
        <f>IF(OR($M579="",$T579=""),"",$T579+(AC$2*$M579))</f>
        <v/>
      </c>
      <c r="AD579" s="48">
        <f>IF(OR($M579="",$T579=""),"",$T579+(AD$2*$M579))</f>
        <v/>
      </c>
      <c r="AE579" s="49">
        <f>IF(OR($M579="",$T579=""),"",$T579+(AE$2*$M579))</f>
        <v/>
      </c>
      <c r="AF579" s="52">
        <f>IF(OR(T579="",I579&lt;T579),"",IFERROR(AVERAGE(T579+M579*{7,8,9,10,11})/IF(G579="",I579,G579)-1,""))</f>
        <v/>
      </c>
      <c r="AG579" s="55">
        <f>IF(OR(T579="",I579&lt;T579),"",IFERROR(AF579/-(R579/IF(G579="",I579,G579)-1),""))</f>
        <v/>
      </c>
      <c r="AH579" s="94" t="n"/>
      <c r="AI579" s="94" t="n"/>
      <c r="AJ579" s="94" t="n"/>
      <c r="AK579" s="94" t="n"/>
      <c r="AL579" s="84" t="n"/>
    </row>
    <row r="580">
      <c r="A580" s="64" t="n"/>
      <c r="B580" s="65" t="n"/>
      <c r="C580" s="66" t="n"/>
      <c r="D580" s="67" t="n"/>
      <c r="E580" s="68" t="n"/>
      <c r="F580" s="47">
        <f>IF(A580="","",IF(MIN(H580,MAX(J580:K580))=0,"",MIN(H580,MAX(J580:K580))))</f>
        <v/>
      </c>
      <c r="G580" s="74" t="n"/>
      <c r="H580" s="49">
        <f>IF(M580="","",IFERROR(ROUND(AVERAGE(T580+M580*{7,8,9,10,11})/1.21,4),""))</f>
        <v/>
      </c>
      <c r="I580" s="76" t="n"/>
      <c r="J580" s="77" t="n"/>
      <c r="K580" s="74" t="n"/>
      <c r="L580" s="78" t="n"/>
      <c r="M580" s="77" t="n"/>
      <c r="N580" s="53">
        <f>IF(M580="","",IFERROR(M580/I580,""))</f>
        <v/>
      </c>
      <c r="O580" s="50">
        <f>IF(A580="","",IFERROR((IF(G580="",I580,G580)-T580)/M580,""))</f>
        <v/>
      </c>
      <c r="P580" s="50">
        <f>IFERROR((I580/T580-1)/N580,"")</f>
        <v/>
      </c>
      <c r="Q580" s="46">
        <f>IF(OR(T580="",I580&lt;T580),"",IFERROR(R580/IF(G580="",I580,G580)-1,""))</f>
        <v/>
      </c>
      <c r="R580" s="48">
        <f>IF($M580="","",MAX(IF($G580="",$I580,$G580)*(1/1.1),IF($G580="",$I580,$G580)+(R$2*$M580)))</f>
        <v/>
      </c>
      <c r="S580" s="49">
        <f>IF($M580="","",MAX(IF($G580="",$I580,$G580)*(1/1.1),IF($G580="",$I580,$G580)+(S$2*$M580)))</f>
        <v/>
      </c>
      <c r="T580" s="82" t="n"/>
      <c r="U580" s="47">
        <f>IF(OR($M580="",$T580=""),"",$T580+(U$2*$M580))</f>
        <v/>
      </c>
      <c r="V580" s="48">
        <f>IF(OR($M580="",$T580=""),"",$T580+(V$2*$M580))</f>
        <v/>
      </c>
      <c r="W580" s="48">
        <f>IF(OR($M580="",$T580=""),"",$T580+(W$2*$M580))</f>
        <v/>
      </c>
      <c r="X580" s="49">
        <f>IF(OR($M580="",$T580=""),"",$T580+(X$2*$M580))</f>
        <v/>
      </c>
      <c r="Y580" s="47">
        <f>IF(OR($M580="",$T580=""),"",$T580+(Y$2*$M580))</f>
        <v/>
      </c>
      <c r="Z580" s="49">
        <f>IF(OR($M580="",$T580=""),"",$T580+(Z$2*$M580))</f>
        <v/>
      </c>
      <c r="AA580" s="51">
        <f>IF(OR($M580="",$T580=""),"",$T580+(AA$2*$M580))</f>
        <v/>
      </c>
      <c r="AB580" s="48">
        <f>IF(OR($M580="",$T580=""),"",$T580+(AB$2*$M580))</f>
        <v/>
      </c>
      <c r="AC580" s="48">
        <f>IF(OR($M580="",$T580=""),"",$T580+(AC$2*$M580))</f>
        <v/>
      </c>
      <c r="AD580" s="48">
        <f>IF(OR($M580="",$T580=""),"",$T580+(AD$2*$M580))</f>
        <v/>
      </c>
      <c r="AE580" s="49">
        <f>IF(OR($M580="",$T580=""),"",$T580+(AE$2*$M580))</f>
        <v/>
      </c>
      <c r="AF580" s="52">
        <f>IF(OR(T580="",I580&lt;T580),"",IFERROR(AVERAGE(T580+M580*{7,8,9,10,11})/IF(G580="",I580,G580)-1,""))</f>
        <v/>
      </c>
      <c r="AG580" s="55">
        <f>IF(OR(T580="",I580&lt;T580),"",IFERROR(AF580/-(R580/IF(G580="",I580,G580)-1),""))</f>
        <v/>
      </c>
      <c r="AH580" s="94" t="n"/>
      <c r="AI580" s="94" t="n"/>
      <c r="AJ580" s="94" t="n"/>
      <c r="AK580" s="94" t="n"/>
      <c r="AL580" s="84" t="n"/>
    </row>
    <row r="581">
      <c r="A581" s="64" t="n"/>
      <c r="B581" s="65" t="n"/>
      <c r="C581" s="66" t="n"/>
      <c r="D581" s="67" t="n"/>
      <c r="E581" s="68" t="n"/>
      <c r="F581" s="47">
        <f>IF(A581="","",IF(MIN(H581,MAX(J581:K581))=0,"",MIN(H581,MAX(J581:K581))))</f>
        <v/>
      </c>
      <c r="G581" s="74" t="n"/>
      <c r="H581" s="49">
        <f>IF(M581="","",IFERROR(ROUND(AVERAGE(T581+M581*{7,8,9,10,11})/1.21,4),""))</f>
        <v/>
      </c>
      <c r="I581" s="76" t="n"/>
      <c r="J581" s="77" t="n"/>
      <c r="K581" s="74" t="n"/>
      <c r="L581" s="78" t="n"/>
      <c r="M581" s="77" t="n"/>
      <c r="N581" s="53">
        <f>IF(M581="","",IFERROR(M581/I581,""))</f>
        <v/>
      </c>
      <c r="O581" s="50">
        <f>IF(A581="","",IFERROR((IF(G581="",I581,G581)-T581)/M581,""))</f>
        <v/>
      </c>
      <c r="P581" s="50">
        <f>IFERROR((I581/T581-1)/N581,"")</f>
        <v/>
      </c>
      <c r="Q581" s="46">
        <f>IF(OR(T581="",I581&lt;T581),"",IFERROR(R581/IF(G581="",I581,G581)-1,""))</f>
        <v/>
      </c>
      <c r="R581" s="48">
        <f>IF($M581="","",MAX(IF($G581="",$I581,$G581)*(1/1.1),IF($G581="",$I581,$G581)+(R$2*$M581)))</f>
        <v/>
      </c>
      <c r="S581" s="49">
        <f>IF($M581="","",MAX(IF($G581="",$I581,$G581)*(1/1.1),IF($G581="",$I581,$G581)+(S$2*$M581)))</f>
        <v/>
      </c>
      <c r="T581" s="82" t="n"/>
      <c r="U581" s="47">
        <f>IF(OR($M581="",$T581=""),"",$T581+(U$2*$M581))</f>
        <v/>
      </c>
      <c r="V581" s="48">
        <f>IF(OR($M581="",$T581=""),"",$T581+(V$2*$M581))</f>
        <v/>
      </c>
      <c r="W581" s="48">
        <f>IF(OR($M581="",$T581=""),"",$T581+(W$2*$M581))</f>
        <v/>
      </c>
      <c r="X581" s="49">
        <f>IF(OR($M581="",$T581=""),"",$T581+(X$2*$M581))</f>
        <v/>
      </c>
      <c r="Y581" s="47">
        <f>IF(OR($M581="",$T581=""),"",$T581+(Y$2*$M581))</f>
        <v/>
      </c>
      <c r="Z581" s="49">
        <f>IF(OR($M581="",$T581=""),"",$T581+(Z$2*$M581))</f>
        <v/>
      </c>
      <c r="AA581" s="51">
        <f>IF(OR($M581="",$T581=""),"",$T581+(AA$2*$M581))</f>
        <v/>
      </c>
      <c r="AB581" s="48">
        <f>IF(OR($M581="",$T581=""),"",$T581+(AB$2*$M581))</f>
        <v/>
      </c>
      <c r="AC581" s="48">
        <f>IF(OR($M581="",$T581=""),"",$T581+(AC$2*$M581))</f>
        <v/>
      </c>
      <c r="AD581" s="48">
        <f>IF(OR($M581="",$T581=""),"",$T581+(AD$2*$M581))</f>
        <v/>
      </c>
      <c r="AE581" s="49">
        <f>IF(OR($M581="",$T581=""),"",$T581+(AE$2*$M581))</f>
        <v/>
      </c>
      <c r="AF581" s="52">
        <f>IF(OR(T581="",I581&lt;T581),"",IFERROR(AVERAGE(T581+M581*{7,8,9,10,11})/IF(G581="",I581,G581)-1,""))</f>
        <v/>
      </c>
      <c r="AG581" s="55">
        <f>IF(OR(T581="",I581&lt;T581),"",IFERROR(AF581/-(R581/IF(G581="",I581,G581)-1),""))</f>
        <v/>
      </c>
      <c r="AH581" s="94" t="n"/>
      <c r="AI581" s="94" t="n"/>
      <c r="AJ581" s="94" t="n"/>
      <c r="AK581" s="94" t="n"/>
      <c r="AL581" s="84" t="n"/>
    </row>
    <row r="582">
      <c r="A582" s="64" t="n"/>
      <c r="B582" s="65" t="n"/>
      <c r="C582" s="66" t="n"/>
      <c r="D582" s="67" t="n"/>
      <c r="E582" s="68" t="n"/>
      <c r="F582" s="47">
        <f>IF(A582="","",IF(MIN(H582,MAX(J582:K582))=0,"",MIN(H582,MAX(J582:K582))))</f>
        <v/>
      </c>
      <c r="G582" s="74" t="n"/>
      <c r="H582" s="49">
        <f>IF(M582="","",IFERROR(ROUND(AVERAGE(T582+M582*{7,8,9,10,11})/1.21,4),""))</f>
        <v/>
      </c>
      <c r="I582" s="76" t="n"/>
      <c r="J582" s="77" t="n"/>
      <c r="K582" s="74" t="n"/>
      <c r="L582" s="78" t="n"/>
      <c r="M582" s="77" t="n"/>
      <c r="N582" s="53">
        <f>IF(M582="","",IFERROR(M582/I582,""))</f>
        <v/>
      </c>
      <c r="O582" s="50">
        <f>IF(A582="","",IFERROR((IF(G582="",I582,G582)-T582)/M582,""))</f>
        <v/>
      </c>
      <c r="P582" s="50">
        <f>IFERROR((I582/T582-1)/N582,"")</f>
        <v/>
      </c>
      <c r="Q582" s="46">
        <f>IF(OR(T582="",I582&lt;T582),"",IFERROR(R582/IF(G582="",I582,G582)-1,""))</f>
        <v/>
      </c>
      <c r="R582" s="48">
        <f>IF($M582="","",MAX(IF($G582="",$I582,$G582)*(1/1.1),IF($G582="",$I582,$G582)+(R$2*$M582)))</f>
        <v/>
      </c>
      <c r="S582" s="49">
        <f>IF($M582="","",MAX(IF($G582="",$I582,$G582)*(1/1.1),IF($G582="",$I582,$G582)+(S$2*$M582)))</f>
        <v/>
      </c>
      <c r="T582" s="82" t="n"/>
      <c r="U582" s="47">
        <f>IF(OR($M582="",$T582=""),"",$T582+(U$2*$M582))</f>
        <v/>
      </c>
      <c r="V582" s="48">
        <f>IF(OR($M582="",$T582=""),"",$T582+(V$2*$M582))</f>
        <v/>
      </c>
      <c r="W582" s="48">
        <f>IF(OR($M582="",$T582=""),"",$T582+(W$2*$M582))</f>
        <v/>
      </c>
      <c r="X582" s="49">
        <f>IF(OR($M582="",$T582=""),"",$T582+(X$2*$M582))</f>
        <v/>
      </c>
      <c r="Y582" s="47">
        <f>IF(OR($M582="",$T582=""),"",$T582+(Y$2*$M582))</f>
        <v/>
      </c>
      <c r="Z582" s="49">
        <f>IF(OR($M582="",$T582=""),"",$T582+(Z$2*$M582))</f>
        <v/>
      </c>
      <c r="AA582" s="51">
        <f>IF(OR($M582="",$T582=""),"",$T582+(AA$2*$M582))</f>
        <v/>
      </c>
      <c r="AB582" s="48">
        <f>IF(OR($M582="",$T582=""),"",$T582+(AB$2*$M582))</f>
        <v/>
      </c>
      <c r="AC582" s="48">
        <f>IF(OR($M582="",$T582=""),"",$T582+(AC$2*$M582))</f>
        <v/>
      </c>
      <c r="AD582" s="48">
        <f>IF(OR($M582="",$T582=""),"",$T582+(AD$2*$M582))</f>
        <v/>
      </c>
      <c r="AE582" s="49">
        <f>IF(OR($M582="",$T582=""),"",$T582+(AE$2*$M582))</f>
        <v/>
      </c>
      <c r="AF582" s="52">
        <f>IF(OR(T582="",I582&lt;T582),"",IFERROR(AVERAGE(T582+M582*{7,8,9,10,11})/IF(G582="",I582,G582)-1,""))</f>
        <v/>
      </c>
      <c r="AG582" s="55">
        <f>IF(OR(T582="",I582&lt;T582),"",IFERROR(AF582/-(R582/IF(G582="",I582,G582)-1),""))</f>
        <v/>
      </c>
      <c r="AH582" s="94" t="n"/>
      <c r="AI582" s="94" t="n"/>
      <c r="AJ582" s="94" t="n"/>
      <c r="AK582" s="94" t="n"/>
      <c r="AL582" s="84" t="n"/>
    </row>
    <row r="583">
      <c r="A583" s="64" t="n"/>
      <c r="B583" s="65" t="n"/>
      <c r="C583" s="66" t="n"/>
      <c r="D583" s="67" t="n"/>
      <c r="E583" s="68" t="n"/>
      <c r="F583" s="47">
        <f>IF(A583="","",IF(MIN(H583,MAX(J583:K583))=0,"",MIN(H583,MAX(J583:K583))))</f>
        <v/>
      </c>
      <c r="G583" s="74" t="n"/>
      <c r="H583" s="49">
        <f>IF(M583="","",IFERROR(ROUND(AVERAGE(T583+M583*{7,8,9,10,11})/1.21,4),""))</f>
        <v/>
      </c>
      <c r="I583" s="76" t="n"/>
      <c r="J583" s="77" t="n"/>
      <c r="K583" s="74" t="n"/>
      <c r="L583" s="78" t="n"/>
      <c r="M583" s="77" t="n"/>
      <c r="N583" s="53">
        <f>IF(M583="","",IFERROR(M583/I583,""))</f>
        <v/>
      </c>
      <c r="O583" s="50">
        <f>IF(A583="","",IFERROR((IF(G583="",I583,G583)-T583)/M583,""))</f>
        <v/>
      </c>
      <c r="P583" s="50">
        <f>IFERROR((I583/T583-1)/N583,"")</f>
        <v/>
      </c>
      <c r="Q583" s="46">
        <f>IF(OR(T583="",I583&lt;T583),"",IFERROR(R583/IF(G583="",I583,G583)-1,""))</f>
        <v/>
      </c>
      <c r="R583" s="48">
        <f>IF($M583="","",MAX(IF($G583="",$I583,$G583)*(1/1.1),IF($G583="",$I583,$G583)+(R$2*$M583)))</f>
        <v/>
      </c>
      <c r="S583" s="49">
        <f>IF($M583="","",MAX(IF($G583="",$I583,$G583)*(1/1.1),IF($G583="",$I583,$G583)+(S$2*$M583)))</f>
        <v/>
      </c>
      <c r="T583" s="82" t="n"/>
      <c r="U583" s="47">
        <f>IF(OR($M583="",$T583=""),"",$T583+(U$2*$M583))</f>
        <v/>
      </c>
      <c r="V583" s="48">
        <f>IF(OR($M583="",$T583=""),"",$T583+(V$2*$M583))</f>
        <v/>
      </c>
      <c r="W583" s="48">
        <f>IF(OR($M583="",$T583=""),"",$T583+(W$2*$M583))</f>
        <v/>
      </c>
      <c r="X583" s="49">
        <f>IF(OR($M583="",$T583=""),"",$T583+(X$2*$M583))</f>
        <v/>
      </c>
      <c r="Y583" s="47">
        <f>IF(OR($M583="",$T583=""),"",$T583+(Y$2*$M583))</f>
        <v/>
      </c>
      <c r="Z583" s="49">
        <f>IF(OR($M583="",$T583=""),"",$T583+(Z$2*$M583))</f>
        <v/>
      </c>
      <c r="AA583" s="51">
        <f>IF(OR($M583="",$T583=""),"",$T583+(AA$2*$M583))</f>
        <v/>
      </c>
      <c r="AB583" s="48">
        <f>IF(OR($M583="",$T583=""),"",$T583+(AB$2*$M583))</f>
        <v/>
      </c>
      <c r="AC583" s="48">
        <f>IF(OR($M583="",$T583=""),"",$T583+(AC$2*$M583))</f>
        <v/>
      </c>
      <c r="AD583" s="48">
        <f>IF(OR($M583="",$T583=""),"",$T583+(AD$2*$M583))</f>
        <v/>
      </c>
      <c r="AE583" s="49">
        <f>IF(OR($M583="",$T583=""),"",$T583+(AE$2*$M583))</f>
        <v/>
      </c>
      <c r="AF583" s="52">
        <f>IF(OR(T583="",I583&lt;T583),"",IFERROR(AVERAGE(T583+M583*{7,8,9,10,11})/IF(G583="",I583,G583)-1,""))</f>
        <v/>
      </c>
      <c r="AG583" s="55">
        <f>IF(OR(T583="",I583&lt;T583),"",IFERROR(AF583/-(R583/IF(G583="",I583,G583)-1),""))</f>
        <v/>
      </c>
      <c r="AH583" s="94" t="n"/>
      <c r="AI583" s="94" t="n"/>
      <c r="AJ583" s="94" t="n"/>
      <c r="AK583" s="94" t="n"/>
      <c r="AL583" s="84" t="n"/>
    </row>
    <row r="584">
      <c r="A584" s="64" t="n"/>
      <c r="B584" s="65" t="n"/>
      <c r="C584" s="66" t="n"/>
      <c r="D584" s="67" t="n"/>
      <c r="E584" s="68" t="n"/>
      <c r="F584" s="47">
        <f>IF(A584="","",IF(MIN(H584,MAX(J584:K584))=0,"",MIN(H584,MAX(J584:K584))))</f>
        <v/>
      </c>
      <c r="G584" s="74" t="n"/>
      <c r="H584" s="49">
        <f>IF(M584="","",IFERROR(ROUND(AVERAGE(T584+M584*{7,8,9,10,11})/1.21,4),""))</f>
        <v/>
      </c>
      <c r="I584" s="76" t="n"/>
      <c r="J584" s="77" t="n"/>
      <c r="K584" s="74" t="n"/>
      <c r="L584" s="78" t="n"/>
      <c r="M584" s="77" t="n"/>
      <c r="N584" s="53">
        <f>IF(M584="","",IFERROR(M584/I584,""))</f>
        <v/>
      </c>
      <c r="O584" s="50">
        <f>IF(A584="","",IFERROR((IF(G584="",I584,G584)-T584)/M584,""))</f>
        <v/>
      </c>
      <c r="P584" s="50">
        <f>IFERROR((I584/T584-1)/N584,"")</f>
        <v/>
      </c>
      <c r="Q584" s="46">
        <f>IF(OR(T584="",I584&lt;T584),"",IFERROR(R584/IF(G584="",I584,G584)-1,""))</f>
        <v/>
      </c>
      <c r="R584" s="48">
        <f>IF($M584="","",MAX(IF($G584="",$I584,$G584)*(1/1.1),IF($G584="",$I584,$G584)+(R$2*$M584)))</f>
        <v/>
      </c>
      <c r="S584" s="49">
        <f>IF($M584="","",MAX(IF($G584="",$I584,$G584)*(1/1.1),IF($G584="",$I584,$G584)+(S$2*$M584)))</f>
        <v/>
      </c>
      <c r="T584" s="82" t="n"/>
      <c r="U584" s="47">
        <f>IF(OR($M584="",$T584=""),"",$T584+(U$2*$M584))</f>
        <v/>
      </c>
      <c r="V584" s="48">
        <f>IF(OR($M584="",$T584=""),"",$T584+(V$2*$M584))</f>
        <v/>
      </c>
      <c r="W584" s="48">
        <f>IF(OR($M584="",$T584=""),"",$T584+(W$2*$M584))</f>
        <v/>
      </c>
      <c r="X584" s="49">
        <f>IF(OR($M584="",$T584=""),"",$T584+(X$2*$M584))</f>
        <v/>
      </c>
      <c r="Y584" s="47">
        <f>IF(OR($M584="",$T584=""),"",$T584+(Y$2*$M584))</f>
        <v/>
      </c>
      <c r="Z584" s="49">
        <f>IF(OR($M584="",$T584=""),"",$T584+(Z$2*$M584))</f>
        <v/>
      </c>
      <c r="AA584" s="51">
        <f>IF(OR($M584="",$T584=""),"",$T584+(AA$2*$M584))</f>
        <v/>
      </c>
      <c r="AB584" s="48">
        <f>IF(OR($M584="",$T584=""),"",$T584+(AB$2*$M584))</f>
        <v/>
      </c>
      <c r="AC584" s="48">
        <f>IF(OR($M584="",$T584=""),"",$T584+(AC$2*$M584))</f>
        <v/>
      </c>
      <c r="AD584" s="48">
        <f>IF(OR($M584="",$T584=""),"",$T584+(AD$2*$M584))</f>
        <v/>
      </c>
      <c r="AE584" s="49">
        <f>IF(OR($M584="",$T584=""),"",$T584+(AE$2*$M584))</f>
        <v/>
      </c>
      <c r="AF584" s="52">
        <f>IF(OR(T584="",I584&lt;T584),"",IFERROR(AVERAGE(T584+M584*{7,8,9,10,11})/IF(G584="",I584,G584)-1,""))</f>
        <v/>
      </c>
      <c r="AG584" s="55">
        <f>IF(OR(T584="",I584&lt;T584),"",IFERROR(AF584/-(R584/IF(G584="",I584,G584)-1),""))</f>
        <v/>
      </c>
      <c r="AH584" s="94" t="n"/>
      <c r="AI584" s="94" t="n"/>
      <c r="AJ584" s="94" t="n"/>
      <c r="AK584" s="94" t="n"/>
      <c r="AL584" s="84" t="n"/>
    </row>
    <row r="585">
      <c r="A585" s="64" t="n"/>
      <c r="B585" s="65" t="n"/>
      <c r="C585" s="66" t="n"/>
      <c r="D585" s="67" t="n"/>
      <c r="E585" s="68" t="n"/>
      <c r="F585" s="47">
        <f>IF(A585="","",IF(MIN(H585,MAX(J585:K585))=0,"",MIN(H585,MAX(J585:K585))))</f>
        <v/>
      </c>
      <c r="G585" s="74" t="n"/>
      <c r="H585" s="49">
        <f>IF(M585="","",IFERROR(ROUND(AVERAGE(T585+M585*{7,8,9,10,11})/1.21,4),""))</f>
        <v/>
      </c>
      <c r="I585" s="76" t="n"/>
      <c r="J585" s="77" t="n"/>
      <c r="K585" s="74" t="n"/>
      <c r="L585" s="78" t="n"/>
      <c r="M585" s="77" t="n"/>
      <c r="N585" s="53">
        <f>IF(M585="","",IFERROR(M585/I585,""))</f>
        <v/>
      </c>
      <c r="O585" s="50">
        <f>IF(A585="","",IFERROR((IF(G585="",I585,G585)-T585)/M585,""))</f>
        <v/>
      </c>
      <c r="P585" s="50">
        <f>IFERROR((I585/T585-1)/N585,"")</f>
        <v/>
      </c>
      <c r="Q585" s="46">
        <f>IF(OR(T585="",I585&lt;T585),"",IFERROR(R585/IF(G585="",I585,G585)-1,""))</f>
        <v/>
      </c>
      <c r="R585" s="48">
        <f>IF($M585="","",MAX(IF($G585="",$I585,$G585)*(1/1.1),IF($G585="",$I585,$G585)+(R$2*$M585)))</f>
        <v/>
      </c>
      <c r="S585" s="49">
        <f>IF($M585="","",MAX(IF($G585="",$I585,$G585)*(1/1.1),IF($G585="",$I585,$G585)+(S$2*$M585)))</f>
        <v/>
      </c>
      <c r="T585" s="82" t="n"/>
      <c r="U585" s="47">
        <f>IF(OR($M585="",$T585=""),"",$T585+(U$2*$M585))</f>
        <v/>
      </c>
      <c r="V585" s="48">
        <f>IF(OR($M585="",$T585=""),"",$T585+(V$2*$M585))</f>
        <v/>
      </c>
      <c r="W585" s="48">
        <f>IF(OR($M585="",$T585=""),"",$T585+(W$2*$M585))</f>
        <v/>
      </c>
      <c r="X585" s="49">
        <f>IF(OR($M585="",$T585=""),"",$T585+(X$2*$M585))</f>
        <v/>
      </c>
      <c r="Y585" s="47">
        <f>IF(OR($M585="",$T585=""),"",$T585+(Y$2*$M585))</f>
        <v/>
      </c>
      <c r="Z585" s="49">
        <f>IF(OR($M585="",$T585=""),"",$T585+(Z$2*$M585))</f>
        <v/>
      </c>
      <c r="AA585" s="51">
        <f>IF(OR($M585="",$T585=""),"",$T585+(AA$2*$M585))</f>
        <v/>
      </c>
      <c r="AB585" s="48">
        <f>IF(OR($M585="",$T585=""),"",$T585+(AB$2*$M585))</f>
        <v/>
      </c>
      <c r="AC585" s="48">
        <f>IF(OR($M585="",$T585=""),"",$T585+(AC$2*$M585))</f>
        <v/>
      </c>
      <c r="AD585" s="48">
        <f>IF(OR($M585="",$T585=""),"",$T585+(AD$2*$M585))</f>
        <v/>
      </c>
      <c r="AE585" s="49">
        <f>IF(OR($M585="",$T585=""),"",$T585+(AE$2*$M585))</f>
        <v/>
      </c>
      <c r="AF585" s="52">
        <f>IF(OR(T585="",I585&lt;T585),"",IFERROR(AVERAGE(T585+M585*{7,8,9,10,11})/IF(G585="",I585,G585)-1,""))</f>
        <v/>
      </c>
      <c r="AG585" s="55">
        <f>IF(OR(T585="",I585&lt;T585),"",IFERROR(AF585/-(R585/IF(G585="",I585,G585)-1),""))</f>
        <v/>
      </c>
      <c r="AH585" s="94" t="n"/>
      <c r="AI585" s="94" t="n"/>
      <c r="AJ585" s="94" t="n"/>
      <c r="AK585" s="94" t="n"/>
      <c r="AL585" s="84" t="n"/>
    </row>
    <row r="586">
      <c r="A586" s="64" t="n"/>
      <c r="B586" s="65" t="n"/>
      <c r="C586" s="66" t="n"/>
      <c r="D586" s="67" t="n"/>
      <c r="E586" s="68" t="n"/>
      <c r="F586" s="47">
        <f>IF(A586="","",IF(MIN(H586,MAX(J586:K586))=0,"",MIN(H586,MAX(J586:K586))))</f>
        <v/>
      </c>
      <c r="G586" s="74" t="n"/>
      <c r="H586" s="49">
        <f>IF(M586="","",IFERROR(ROUND(AVERAGE(T586+M586*{7,8,9,10,11})/1.21,4),""))</f>
        <v/>
      </c>
      <c r="I586" s="76" t="n"/>
      <c r="J586" s="77" t="n"/>
      <c r="K586" s="74" t="n"/>
      <c r="L586" s="78" t="n"/>
      <c r="M586" s="77" t="n"/>
      <c r="N586" s="53">
        <f>IF(M586="","",IFERROR(M586/I586,""))</f>
        <v/>
      </c>
      <c r="O586" s="50">
        <f>IF(A586="","",IFERROR((IF(G586="",I586,G586)-T586)/M586,""))</f>
        <v/>
      </c>
      <c r="P586" s="50">
        <f>IFERROR((I586/T586-1)/N586,"")</f>
        <v/>
      </c>
      <c r="Q586" s="46">
        <f>IF(OR(T586="",I586&lt;T586),"",IFERROR(R586/IF(G586="",I586,G586)-1,""))</f>
        <v/>
      </c>
      <c r="R586" s="48">
        <f>IF($M586="","",MAX(IF($G586="",$I586,$G586)*(1/1.1),IF($G586="",$I586,$G586)+(R$2*$M586)))</f>
        <v/>
      </c>
      <c r="S586" s="49">
        <f>IF($M586="","",MAX(IF($G586="",$I586,$G586)*(1/1.1),IF($G586="",$I586,$G586)+(S$2*$M586)))</f>
        <v/>
      </c>
      <c r="T586" s="82" t="n"/>
      <c r="U586" s="47">
        <f>IF(OR($M586="",$T586=""),"",$T586+(U$2*$M586))</f>
        <v/>
      </c>
      <c r="V586" s="48">
        <f>IF(OR($M586="",$T586=""),"",$T586+(V$2*$M586))</f>
        <v/>
      </c>
      <c r="W586" s="48">
        <f>IF(OR($M586="",$T586=""),"",$T586+(W$2*$M586))</f>
        <v/>
      </c>
      <c r="X586" s="49">
        <f>IF(OR($M586="",$T586=""),"",$T586+(X$2*$M586))</f>
        <v/>
      </c>
      <c r="Y586" s="47">
        <f>IF(OR($M586="",$T586=""),"",$T586+(Y$2*$M586))</f>
        <v/>
      </c>
      <c r="Z586" s="49">
        <f>IF(OR($M586="",$T586=""),"",$T586+(Z$2*$M586))</f>
        <v/>
      </c>
      <c r="AA586" s="51">
        <f>IF(OR($M586="",$T586=""),"",$T586+(AA$2*$M586))</f>
        <v/>
      </c>
      <c r="AB586" s="48">
        <f>IF(OR($M586="",$T586=""),"",$T586+(AB$2*$M586))</f>
        <v/>
      </c>
      <c r="AC586" s="48">
        <f>IF(OR($M586="",$T586=""),"",$T586+(AC$2*$M586))</f>
        <v/>
      </c>
      <c r="AD586" s="48">
        <f>IF(OR($M586="",$T586=""),"",$T586+(AD$2*$M586))</f>
        <v/>
      </c>
      <c r="AE586" s="49">
        <f>IF(OR($M586="",$T586=""),"",$T586+(AE$2*$M586))</f>
        <v/>
      </c>
      <c r="AF586" s="52">
        <f>IF(OR(T586="",I586&lt;T586),"",IFERROR(AVERAGE(T586+M586*{7,8,9,10,11})/IF(G586="",I586,G586)-1,""))</f>
        <v/>
      </c>
      <c r="AG586" s="55">
        <f>IF(OR(T586="",I586&lt;T586),"",IFERROR(AF586/-(R586/IF(G586="",I586,G586)-1),""))</f>
        <v/>
      </c>
      <c r="AH586" s="94" t="n"/>
      <c r="AI586" s="94" t="n"/>
      <c r="AJ586" s="94" t="n"/>
      <c r="AK586" s="94" t="n"/>
      <c r="AL586" s="84" t="n"/>
    </row>
    <row r="587">
      <c r="A587" s="64" t="n"/>
      <c r="B587" s="65" t="n"/>
      <c r="C587" s="66" t="n"/>
      <c r="D587" s="67" t="n"/>
      <c r="E587" s="68" t="n"/>
      <c r="F587" s="47">
        <f>IF(A587="","",IF(MIN(H587,MAX(J587:K587))=0,"",MIN(H587,MAX(J587:K587))))</f>
        <v/>
      </c>
      <c r="G587" s="74" t="n"/>
      <c r="H587" s="49">
        <f>IF(M587="","",IFERROR(ROUND(AVERAGE(T587+M587*{7,8,9,10,11})/1.21,4),""))</f>
        <v/>
      </c>
      <c r="I587" s="76" t="n"/>
      <c r="J587" s="77" t="n"/>
      <c r="K587" s="74" t="n"/>
      <c r="L587" s="78" t="n"/>
      <c r="M587" s="77" t="n"/>
      <c r="N587" s="53">
        <f>IF(M587="","",IFERROR(M587/I587,""))</f>
        <v/>
      </c>
      <c r="O587" s="50">
        <f>IF(A587="","",IFERROR((IF(G587="",I587,G587)-T587)/M587,""))</f>
        <v/>
      </c>
      <c r="P587" s="50">
        <f>IFERROR((I587/T587-1)/N587,"")</f>
        <v/>
      </c>
      <c r="Q587" s="46">
        <f>IF(OR(T587="",I587&lt;T587),"",IFERROR(R587/IF(G587="",I587,G587)-1,""))</f>
        <v/>
      </c>
      <c r="R587" s="48">
        <f>IF($M587="","",MAX(IF($G587="",$I587,$G587)*(1/1.1),IF($G587="",$I587,$G587)+(R$2*$M587)))</f>
        <v/>
      </c>
      <c r="S587" s="49">
        <f>IF($M587="","",MAX(IF($G587="",$I587,$G587)*(1/1.1),IF($G587="",$I587,$G587)+(S$2*$M587)))</f>
        <v/>
      </c>
      <c r="T587" s="82" t="n"/>
      <c r="U587" s="47">
        <f>IF(OR($M587="",$T587=""),"",$T587+(U$2*$M587))</f>
        <v/>
      </c>
      <c r="V587" s="48">
        <f>IF(OR($M587="",$T587=""),"",$T587+(V$2*$M587))</f>
        <v/>
      </c>
      <c r="W587" s="48">
        <f>IF(OR($M587="",$T587=""),"",$T587+(W$2*$M587))</f>
        <v/>
      </c>
      <c r="X587" s="49">
        <f>IF(OR($M587="",$T587=""),"",$T587+(X$2*$M587))</f>
        <v/>
      </c>
      <c r="Y587" s="47">
        <f>IF(OR($M587="",$T587=""),"",$T587+(Y$2*$M587))</f>
        <v/>
      </c>
      <c r="Z587" s="49">
        <f>IF(OR($M587="",$T587=""),"",$T587+(Z$2*$M587))</f>
        <v/>
      </c>
      <c r="AA587" s="51">
        <f>IF(OR($M587="",$T587=""),"",$T587+(AA$2*$M587))</f>
        <v/>
      </c>
      <c r="AB587" s="48">
        <f>IF(OR($M587="",$T587=""),"",$T587+(AB$2*$M587))</f>
        <v/>
      </c>
      <c r="AC587" s="48">
        <f>IF(OR($M587="",$T587=""),"",$T587+(AC$2*$M587))</f>
        <v/>
      </c>
      <c r="AD587" s="48">
        <f>IF(OR($M587="",$T587=""),"",$T587+(AD$2*$M587))</f>
        <v/>
      </c>
      <c r="AE587" s="49">
        <f>IF(OR($M587="",$T587=""),"",$T587+(AE$2*$M587))</f>
        <v/>
      </c>
      <c r="AF587" s="52">
        <f>IF(OR(T587="",I587&lt;T587),"",IFERROR(AVERAGE(T587+M587*{7,8,9,10,11})/IF(G587="",I587,G587)-1,""))</f>
        <v/>
      </c>
      <c r="AG587" s="55">
        <f>IF(OR(T587="",I587&lt;T587),"",IFERROR(AF587/-(R587/IF(G587="",I587,G587)-1),""))</f>
        <v/>
      </c>
      <c r="AH587" s="94" t="n"/>
      <c r="AI587" s="94" t="n"/>
      <c r="AJ587" s="94" t="n"/>
      <c r="AK587" s="94" t="n"/>
      <c r="AL587" s="84" t="n"/>
    </row>
    <row r="588">
      <c r="A588" s="64" t="n"/>
      <c r="B588" s="65" t="n"/>
      <c r="C588" s="66" t="n"/>
      <c r="D588" s="67" t="n"/>
      <c r="E588" s="68" t="n"/>
      <c r="F588" s="47">
        <f>IF(A588="","",IF(MIN(H588,MAX(J588:K588))=0,"",MIN(H588,MAX(J588:K588))))</f>
        <v/>
      </c>
      <c r="G588" s="74" t="n"/>
      <c r="H588" s="49">
        <f>IF(M588="","",IFERROR(ROUND(AVERAGE(T588+M588*{7,8,9,10,11})/1.21,4),""))</f>
        <v/>
      </c>
      <c r="I588" s="76" t="n"/>
      <c r="J588" s="77" t="n"/>
      <c r="K588" s="74" t="n"/>
      <c r="L588" s="78" t="n"/>
      <c r="M588" s="77" t="n"/>
      <c r="N588" s="53">
        <f>IF(M588="","",IFERROR(M588/I588,""))</f>
        <v/>
      </c>
      <c r="O588" s="50">
        <f>IF(A588="","",IFERROR((IF(G588="",I588,G588)-T588)/M588,""))</f>
        <v/>
      </c>
      <c r="P588" s="50">
        <f>IFERROR((I588/T588-1)/N588,"")</f>
        <v/>
      </c>
      <c r="Q588" s="46">
        <f>IF(OR(T588="",I588&lt;T588),"",IFERROR(R588/IF(G588="",I588,G588)-1,""))</f>
        <v/>
      </c>
      <c r="R588" s="48">
        <f>IF($M588="","",MAX(IF($G588="",$I588,$G588)*(1/1.1),IF($G588="",$I588,$G588)+(R$2*$M588)))</f>
        <v/>
      </c>
      <c r="S588" s="49">
        <f>IF($M588="","",MAX(IF($G588="",$I588,$G588)*(1/1.1),IF($G588="",$I588,$G588)+(S$2*$M588)))</f>
        <v/>
      </c>
      <c r="T588" s="82" t="n"/>
      <c r="U588" s="47">
        <f>IF(OR($M588="",$T588=""),"",$T588+(U$2*$M588))</f>
        <v/>
      </c>
      <c r="V588" s="48">
        <f>IF(OR($M588="",$T588=""),"",$T588+(V$2*$M588))</f>
        <v/>
      </c>
      <c r="W588" s="48">
        <f>IF(OR($M588="",$T588=""),"",$T588+(W$2*$M588))</f>
        <v/>
      </c>
      <c r="X588" s="49">
        <f>IF(OR($M588="",$T588=""),"",$T588+(X$2*$M588))</f>
        <v/>
      </c>
      <c r="Y588" s="47">
        <f>IF(OR($M588="",$T588=""),"",$T588+(Y$2*$M588))</f>
        <v/>
      </c>
      <c r="Z588" s="49">
        <f>IF(OR($M588="",$T588=""),"",$T588+(Z$2*$M588))</f>
        <v/>
      </c>
      <c r="AA588" s="51">
        <f>IF(OR($M588="",$T588=""),"",$T588+(AA$2*$M588))</f>
        <v/>
      </c>
      <c r="AB588" s="48">
        <f>IF(OR($M588="",$T588=""),"",$T588+(AB$2*$M588))</f>
        <v/>
      </c>
      <c r="AC588" s="48">
        <f>IF(OR($M588="",$T588=""),"",$T588+(AC$2*$M588))</f>
        <v/>
      </c>
      <c r="AD588" s="48">
        <f>IF(OR($M588="",$T588=""),"",$T588+(AD$2*$M588))</f>
        <v/>
      </c>
      <c r="AE588" s="49">
        <f>IF(OR($M588="",$T588=""),"",$T588+(AE$2*$M588))</f>
        <v/>
      </c>
      <c r="AF588" s="52">
        <f>IF(OR(T588="",I588&lt;T588),"",IFERROR(AVERAGE(T588+M588*{7,8,9,10,11})/IF(G588="",I588,G588)-1,""))</f>
        <v/>
      </c>
      <c r="AG588" s="55">
        <f>IF(OR(T588="",I588&lt;T588),"",IFERROR(AF588/-(R588/IF(G588="",I588,G588)-1),""))</f>
        <v/>
      </c>
      <c r="AH588" s="94" t="n"/>
      <c r="AI588" s="94" t="n"/>
      <c r="AJ588" s="94" t="n"/>
      <c r="AK588" s="94" t="n"/>
      <c r="AL588" s="84" t="n"/>
    </row>
    <row r="589">
      <c r="A589" s="64" t="n"/>
      <c r="B589" s="65" t="n"/>
      <c r="C589" s="66" t="n"/>
      <c r="D589" s="67" t="n"/>
      <c r="E589" s="68" t="n"/>
      <c r="F589" s="47">
        <f>IF(A589="","",IF(MIN(H589,MAX(J589:K589))=0,"",MIN(H589,MAX(J589:K589))))</f>
        <v/>
      </c>
      <c r="G589" s="74" t="n"/>
      <c r="H589" s="49">
        <f>IF(M589="","",IFERROR(ROUND(AVERAGE(T589+M589*{7,8,9,10,11})/1.21,4),""))</f>
        <v/>
      </c>
      <c r="I589" s="76" t="n"/>
      <c r="J589" s="77" t="n"/>
      <c r="K589" s="74" t="n"/>
      <c r="L589" s="78" t="n"/>
      <c r="M589" s="77" t="n"/>
      <c r="N589" s="53">
        <f>IF(M589="","",IFERROR(M589/I589,""))</f>
        <v/>
      </c>
      <c r="O589" s="50">
        <f>IF(A589="","",IFERROR((IF(G589="",I589,G589)-T589)/M589,""))</f>
        <v/>
      </c>
      <c r="P589" s="50">
        <f>IFERROR((I589/T589-1)/N589,"")</f>
        <v/>
      </c>
      <c r="Q589" s="46">
        <f>IF(OR(T589="",I589&lt;T589),"",IFERROR(R589/IF(G589="",I589,G589)-1,""))</f>
        <v/>
      </c>
      <c r="R589" s="48">
        <f>IF($M589="","",MAX(IF($G589="",$I589,$G589)*(1/1.1),IF($G589="",$I589,$G589)+(R$2*$M589)))</f>
        <v/>
      </c>
      <c r="S589" s="49">
        <f>IF($M589="","",MAX(IF($G589="",$I589,$G589)*(1/1.1),IF($G589="",$I589,$G589)+(S$2*$M589)))</f>
        <v/>
      </c>
      <c r="T589" s="82" t="n"/>
      <c r="U589" s="47">
        <f>IF(OR($M589="",$T589=""),"",$T589+(U$2*$M589))</f>
        <v/>
      </c>
      <c r="V589" s="48">
        <f>IF(OR($M589="",$T589=""),"",$T589+(V$2*$M589))</f>
        <v/>
      </c>
      <c r="W589" s="48">
        <f>IF(OR($M589="",$T589=""),"",$T589+(W$2*$M589))</f>
        <v/>
      </c>
      <c r="X589" s="49">
        <f>IF(OR($M589="",$T589=""),"",$T589+(X$2*$M589))</f>
        <v/>
      </c>
      <c r="Y589" s="47">
        <f>IF(OR($M589="",$T589=""),"",$T589+(Y$2*$M589))</f>
        <v/>
      </c>
      <c r="Z589" s="49">
        <f>IF(OR($M589="",$T589=""),"",$T589+(Z$2*$M589))</f>
        <v/>
      </c>
      <c r="AA589" s="51">
        <f>IF(OR($M589="",$T589=""),"",$T589+(AA$2*$M589))</f>
        <v/>
      </c>
      <c r="AB589" s="48">
        <f>IF(OR($M589="",$T589=""),"",$T589+(AB$2*$M589))</f>
        <v/>
      </c>
      <c r="AC589" s="48">
        <f>IF(OR($M589="",$T589=""),"",$T589+(AC$2*$M589))</f>
        <v/>
      </c>
      <c r="AD589" s="48">
        <f>IF(OR($M589="",$T589=""),"",$T589+(AD$2*$M589))</f>
        <v/>
      </c>
      <c r="AE589" s="49">
        <f>IF(OR($M589="",$T589=""),"",$T589+(AE$2*$M589))</f>
        <v/>
      </c>
      <c r="AF589" s="52">
        <f>IF(OR(T589="",I589&lt;T589),"",IFERROR(AVERAGE(T589+M589*{7,8,9,10,11})/IF(G589="",I589,G589)-1,""))</f>
        <v/>
      </c>
      <c r="AG589" s="55">
        <f>IF(OR(T589="",I589&lt;T589),"",IFERROR(AF589/-(R589/IF(G589="",I589,G589)-1),""))</f>
        <v/>
      </c>
      <c r="AH589" s="94" t="n"/>
      <c r="AI589" s="94" t="n"/>
      <c r="AJ589" s="94" t="n"/>
      <c r="AK589" s="94" t="n"/>
      <c r="AL589" s="84" t="n"/>
    </row>
    <row r="590">
      <c r="A590" s="64" t="n"/>
      <c r="B590" s="65" t="n"/>
      <c r="C590" s="66" t="n"/>
      <c r="D590" s="67" t="n"/>
      <c r="E590" s="68" t="n"/>
      <c r="F590" s="47">
        <f>IF(A590="","",IF(MIN(H590,MAX(J590:K590))=0,"",MIN(H590,MAX(J590:K590))))</f>
        <v/>
      </c>
      <c r="G590" s="74" t="n"/>
      <c r="H590" s="49">
        <f>IF(M590="","",IFERROR(ROUND(AVERAGE(T590+M590*{7,8,9,10,11})/1.21,4),""))</f>
        <v/>
      </c>
      <c r="I590" s="76" t="n"/>
      <c r="J590" s="77" t="n"/>
      <c r="K590" s="74" t="n"/>
      <c r="L590" s="78" t="n"/>
      <c r="M590" s="77" t="n"/>
      <c r="N590" s="53">
        <f>IF(M590="","",IFERROR(M590/I590,""))</f>
        <v/>
      </c>
      <c r="O590" s="50">
        <f>IF(A590="","",IFERROR((IF(G590="",I590,G590)-T590)/M590,""))</f>
        <v/>
      </c>
      <c r="P590" s="50">
        <f>IFERROR((I590/T590-1)/N590,"")</f>
        <v/>
      </c>
      <c r="Q590" s="46">
        <f>IF(OR(T590="",I590&lt;T590),"",IFERROR(R590/IF(G590="",I590,G590)-1,""))</f>
        <v/>
      </c>
      <c r="R590" s="48">
        <f>IF($M590="","",MAX(IF($G590="",$I590,$G590)*(1/1.1),IF($G590="",$I590,$G590)+(R$2*$M590)))</f>
        <v/>
      </c>
      <c r="S590" s="49">
        <f>IF($M590="","",MAX(IF($G590="",$I590,$G590)*(1/1.1),IF($G590="",$I590,$G590)+(S$2*$M590)))</f>
        <v/>
      </c>
      <c r="T590" s="82" t="n"/>
      <c r="U590" s="47">
        <f>IF(OR($M590="",$T590=""),"",$T590+(U$2*$M590))</f>
        <v/>
      </c>
      <c r="V590" s="48">
        <f>IF(OR($M590="",$T590=""),"",$T590+(V$2*$M590))</f>
        <v/>
      </c>
      <c r="W590" s="48">
        <f>IF(OR($M590="",$T590=""),"",$T590+(W$2*$M590))</f>
        <v/>
      </c>
      <c r="X590" s="49">
        <f>IF(OR($M590="",$T590=""),"",$T590+(X$2*$M590))</f>
        <v/>
      </c>
      <c r="Y590" s="47">
        <f>IF(OR($M590="",$T590=""),"",$T590+(Y$2*$M590))</f>
        <v/>
      </c>
      <c r="Z590" s="49">
        <f>IF(OR($M590="",$T590=""),"",$T590+(Z$2*$M590))</f>
        <v/>
      </c>
      <c r="AA590" s="51">
        <f>IF(OR($M590="",$T590=""),"",$T590+(AA$2*$M590))</f>
        <v/>
      </c>
      <c r="AB590" s="48">
        <f>IF(OR($M590="",$T590=""),"",$T590+(AB$2*$M590))</f>
        <v/>
      </c>
      <c r="AC590" s="48">
        <f>IF(OR($M590="",$T590=""),"",$T590+(AC$2*$M590))</f>
        <v/>
      </c>
      <c r="AD590" s="48">
        <f>IF(OR($M590="",$T590=""),"",$T590+(AD$2*$M590))</f>
        <v/>
      </c>
      <c r="AE590" s="49">
        <f>IF(OR($M590="",$T590=""),"",$T590+(AE$2*$M590))</f>
        <v/>
      </c>
      <c r="AF590" s="52">
        <f>IF(OR(T590="",I590&lt;T590),"",IFERROR(AVERAGE(T590+M590*{7,8,9,10,11})/IF(G590="",I590,G590)-1,""))</f>
        <v/>
      </c>
      <c r="AG590" s="55">
        <f>IF(OR(T590="",I590&lt;T590),"",IFERROR(AF590/-(R590/IF(G590="",I590,G590)-1),""))</f>
        <v/>
      </c>
      <c r="AH590" s="94" t="n"/>
      <c r="AI590" s="94" t="n"/>
      <c r="AJ590" s="94" t="n"/>
      <c r="AK590" s="94" t="n"/>
      <c r="AL590" s="84" t="n"/>
    </row>
    <row r="591">
      <c r="A591" s="64" t="n"/>
      <c r="B591" s="65" t="n"/>
      <c r="C591" s="66" t="n"/>
      <c r="D591" s="67" t="n"/>
      <c r="E591" s="68" t="n"/>
      <c r="F591" s="47">
        <f>IF(A591="","",IF(MIN(H591,MAX(J591:K591))=0,"",MIN(H591,MAX(J591:K591))))</f>
        <v/>
      </c>
      <c r="G591" s="74" t="n"/>
      <c r="H591" s="49">
        <f>IF(M591="","",IFERROR(ROUND(AVERAGE(T591+M591*{7,8,9,10,11})/1.21,4),""))</f>
        <v/>
      </c>
      <c r="I591" s="76" t="n"/>
      <c r="J591" s="77" t="n"/>
      <c r="K591" s="74" t="n"/>
      <c r="L591" s="78" t="n"/>
      <c r="M591" s="77" t="n"/>
      <c r="N591" s="53">
        <f>IF(M591="","",IFERROR(M591/I591,""))</f>
        <v/>
      </c>
      <c r="O591" s="50">
        <f>IF(A591="","",IFERROR((IF(G591="",I591,G591)-T591)/M591,""))</f>
        <v/>
      </c>
      <c r="P591" s="50">
        <f>IFERROR((I591/T591-1)/N591,"")</f>
        <v/>
      </c>
      <c r="Q591" s="46">
        <f>IF(OR(T591="",I591&lt;T591),"",IFERROR(R591/IF(G591="",I591,G591)-1,""))</f>
        <v/>
      </c>
      <c r="R591" s="48">
        <f>IF($M591="","",MAX(IF($G591="",$I591,$G591)*(1/1.1),IF($G591="",$I591,$G591)+(R$2*$M591)))</f>
        <v/>
      </c>
      <c r="S591" s="49">
        <f>IF($M591="","",MAX(IF($G591="",$I591,$G591)*(1/1.1),IF($G591="",$I591,$G591)+(S$2*$M591)))</f>
        <v/>
      </c>
      <c r="T591" s="82" t="n"/>
      <c r="U591" s="47">
        <f>IF(OR($M591="",$T591=""),"",$T591+(U$2*$M591))</f>
        <v/>
      </c>
      <c r="V591" s="48">
        <f>IF(OR($M591="",$T591=""),"",$T591+(V$2*$M591))</f>
        <v/>
      </c>
      <c r="W591" s="48">
        <f>IF(OR($M591="",$T591=""),"",$T591+(W$2*$M591))</f>
        <v/>
      </c>
      <c r="X591" s="49">
        <f>IF(OR($M591="",$T591=""),"",$T591+(X$2*$M591))</f>
        <v/>
      </c>
      <c r="Y591" s="47">
        <f>IF(OR($M591="",$T591=""),"",$T591+(Y$2*$M591))</f>
        <v/>
      </c>
      <c r="Z591" s="49">
        <f>IF(OR($M591="",$T591=""),"",$T591+(Z$2*$M591))</f>
        <v/>
      </c>
      <c r="AA591" s="51">
        <f>IF(OR($M591="",$T591=""),"",$T591+(AA$2*$M591))</f>
        <v/>
      </c>
      <c r="AB591" s="48">
        <f>IF(OR($M591="",$T591=""),"",$T591+(AB$2*$M591))</f>
        <v/>
      </c>
      <c r="AC591" s="48">
        <f>IF(OR($M591="",$T591=""),"",$T591+(AC$2*$M591))</f>
        <v/>
      </c>
      <c r="AD591" s="48">
        <f>IF(OR($M591="",$T591=""),"",$T591+(AD$2*$M591))</f>
        <v/>
      </c>
      <c r="AE591" s="49">
        <f>IF(OR($M591="",$T591=""),"",$T591+(AE$2*$M591))</f>
        <v/>
      </c>
      <c r="AF591" s="52">
        <f>IF(OR(T591="",I591&lt;T591),"",IFERROR(AVERAGE(T591+M591*{7,8,9,10,11})/IF(G591="",I591,G591)-1,""))</f>
        <v/>
      </c>
      <c r="AG591" s="55">
        <f>IF(OR(T591="",I591&lt;T591),"",IFERROR(AF591/-(R591/IF(G591="",I591,G591)-1),""))</f>
        <v/>
      </c>
      <c r="AH591" s="94" t="n"/>
      <c r="AI591" s="94" t="n"/>
      <c r="AJ591" s="94" t="n"/>
      <c r="AK591" s="94" t="n"/>
      <c r="AL591" s="84" t="n"/>
    </row>
    <row r="592">
      <c r="A592" s="64" t="n"/>
      <c r="B592" s="65" t="n"/>
      <c r="C592" s="66" t="n"/>
      <c r="D592" s="67" t="n"/>
      <c r="E592" s="68" t="n"/>
      <c r="F592" s="47">
        <f>IF(A592="","",IF(MIN(H592,MAX(J592:K592))=0,"",MIN(H592,MAX(J592:K592))))</f>
        <v/>
      </c>
      <c r="G592" s="74" t="n"/>
      <c r="H592" s="49">
        <f>IF(M592="","",IFERROR(ROUND(AVERAGE(T592+M592*{7,8,9,10,11})/1.21,4),""))</f>
        <v/>
      </c>
      <c r="I592" s="76" t="n"/>
      <c r="J592" s="77" t="n"/>
      <c r="K592" s="74" t="n"/>
      <c r="L592" s="78" t="n"/>
      <c r="M592" s="77" t="n"/>
      <c r="N592" s="53">
        <f>IF(M592="","",IFERROR(M592/I592,""))</f>
        <v/>
      </c>
      <c r="O592" s="50">
        <f>IF(A592="","",IFERROR((IF(G592="",I592,G592)-T592)/M592,""))</f>
        <v/>
      </c>
      <c r="P592" s="50">
        <f>IFERROR((I592/T592-1)/N592,"")</f>
        <v/>
      </c>
      <c r="Q592" s="46">
        <f>IF(OR(T592="",I592&lt;T592),"",IFERROR(R592/IF(G592="",I592,G592)-1,""))</f>
        <v/>
      </c>
      <c r="R592" s="48">
        <f>IF($M592="","",MAX(IF($G592="",$I592,$G592)*(1/1.1),IF($G592="",$I592,$G592)+(R$2*$M592)))</f>
        <v/>
      </c>
      <c r="S592" s="49">
        <f>IF($M592="","",MAX(IF($G592="",$I592,$G592)*(1/1.1),IF($G592="",$I592,$G592)+(S$2*$M592)))</f>
        <v/>
      </c>
      <c r="T592" s="82" t="n"/>
      <c r="U592" s="47">
        <f>IF(OR($M592="",$T592=""),"",$T592+(U$2*$M592))</f>
        <v/>
      </c>
      <c r="V592" s="48">
        <f>IF(OR($M592="",$T592=""),"",$T592+(V$2*$M592))</f>
        <v/>
      </c>
      <c r="W592" s="48">
        <f>IF(OR($M592="",$T592=""),"",$T592+(W$2*$M592))</f>
        <v/>
      </c>
      <c r="X592" s="49">
        <f>IF(OR($M592="",$T592=""),"",$T592+(X$2*$M592))</f>
        <v/>
      </c>
      <c r="Y592" s="47">
        <f>IF(OR($M592="",$T592=""),"",$T592+(Y$2*$M592))</f>
        <v/>
      </c>
      <c r="Z592" s="49">
        <f>IF(OR($M592="",$T592=""),"",$T592+(Z$2*$M592))</f>
        <v/>
      </c>
      <c r="AA592" s="51">
        <f>IF(OR($M592="",$T592=""),"",$T592+(AA$2*$M592))</f>
        <v/>
      </c>
      <c r="AB592" s="48">
        <f>IF(OR($M592="",$T592=""),"",$T592+(AB$2*$M592))</f>
        <v/>
      </c>
      <c r="AC592" s="48">
        <f>IF(OR($M592="",$T592=""),"",$T592+(AC$2*$M592))</f>
        <v/>
      </c>
      <c r="AD592" s="48">
        <f>IF(OR($M592="",$T592=""),"",$T592+(AD$2*$M592))</f>
        <v/>
      </c>
      <c r="AE592" s="49">
        <f>IF(OR($M592="",$T592=""),"",$T592+(AE$2*$M592))</f>
        <v/>
      </c>
      <c r="AF592" s="52">
        <f>IF(OR(T592="",I592&lt;T592),"",IFERROR(AVERAGE(T592+M592*{7,8,9,10,11})/IF(G592="",I592,G592)-1,""))</f>
        <v/>
      </c>
      <c r="AG592" s="55">
        <f>IF(OR(T592="",I592&lt;T592),"",IFERROR(AF592/-(R592/IF(G592="",I592,G592)-1),""))</f>
        <v/>
      </c>
      <c r="AH592" s="94" t="n"/>
      <c r="AI592" s="94" t="n"/>
      <c r="AJ592" s="94" t="n"/>
      <c r="AK592" s="94" t="n"/>
      <c r="AL592" s="84" t="n"/>
    </row>
    <row r="593">
      <c r="A593" s="64" t="n"/>
      <c r="B593" s="65" t="n"/>
      <c r="C593" s="66" t="n"/>
      <c r="D593" s="67" t="n"/>
      <c r="E593" s="68" t="n"/>
      <c r="F593" s="47">
        <f>IF(A593="","",IF(MIN(H593,MAX(J593:K593))=0,"",MIN(H593,MAX(J593:K593))))</f>
        <v/>
      </c>
      <c r="G593" s="74" t="n"/>
      <c r="H593" s="49">
        <f>IF(M593="","",IFERROR(ROUND(AVERAGE(T593+M593*{7,8,9,10,11})/1.21,4),""))</f>
        <v/>
      </c>
      <c r="I593" s="76" t="n"/>
      <c r="J593" s="77" t="n"/>
      <c r="K593" s="74" t="n"/>
      <c r="L593" s="78" t="n"/>
      <c r="M593" s="77" t="n"/>
      <c r="N593" s="53">
        <f>IF(M593="","",IFERROR(M593/I593,""))</f>
        <v/>
      </c>
      <c r="O593" s="50">
        <f>IF(A593="","",IFERROR((IF(G593="",I593,G593)-T593)/M593,""))</f>
        <v/>
      </c>
      <c r="P593" s="50">
        <f>IFERROR((I593/T593-1)/N593,"")</f>
        <v/>
      </c>
      <c r="Q593" s="46">
        <f>IF(OR(T593="",I593&lt;T593),"",IFERROR(R593/IF(G593="",I593,G593)-1,""))</f>
        <v/>
      </c>
      <c r="R593" s="48">
        <f>IF($M593="","",MAX(IF($G593="",$I593,$G593)*(1/1.1),IF($G593="",$I593,$G593)+(R$2*$M593)))</f>
        <v/>
      </c>
      <c r="S593" s="49">
        <f>IF($M593="","",MAX(IF($G593="",$I593,$G593)*(1/1.1),IF($G593="",$I593,$G593)+(S$2*$M593)))</f>
        <v/>
      </c>
      <c r="T593" s="82" t="n"/>
      <c r="U593" s="47">
        <f>IF(OR($M593="",$T593=""),"",$T593+(U$2*$M593))</f>
        <v/>
      </c>
      <c r="V593" s="48">
        <f>IF(OR($M593="",$T593=""),"",$T593+(V$2*$M593))</f>
        <v/>
      </c>
      <c r="W593" s="48">
        <f>IF(OR($M593="",$T593=""),"",$T593+(W$2*$M593))</f>
        <v/>
      </c>
      <c r="X593" s="49">
        <f>IF(OR($M593="",$T593=""),"",$T593+(X$2*$M593))</f>
        <v/>
      </c>
      <c r="Y593" s="47">
        <f>IF(OR($M593="",$T593=""),"",$T593+(Y$2*$M593))</f>
        <v/>
      </c>
      <c r="Z593" s="49">
        <f>IF(OR($M593="",$T593=""),"",$T593+(Z$2*$M593))</f>
        <v/>
      </c>
      <c r="AA593" s="51">
        <f>IF(OR($M593="",$T593=""),"",$T593+(AA$2*$M593))</f>
        <v/>
      </c>
      <c r="AB593" s="48">
        <f>IF(OR($M593="",$T593=""),"",$T593+(AB$2*$M593))</f>
        <v/>
      </c>
      <c r="AC593" s="48">
        <f>IF(OR($M593="",$T593=""),"",$T593+(AC$2*$M593))</f>
        <v/>
      </c>
      <c r="AD593" s="48">
        <f>IF(OR($M593="",$T593=""),"",$T593+(AD$2*$M593))</f>
        <v/>
      </c>
      <c r="AE593" s="49">
        <f>IF(OR($M593="",$T593=""),"",$T593+(AE$2*$M593))</f>
        <v/>
      </c>
      <c r="AF593" s="52">
        <f>IF(OR(T593="",I593&lt;T593),"",IFERROR(AVERAGE(T593+M593*{7,8,9,10,11})/IF(G593="",I593,G593)-1,""))</f>
        <v/>
      </c>
      <c r="AG593" s="55">
        <f>IF(OR(T593="",I593&lt;T593),"",IFERROR(AF593/-(R593/IF(G593="",I593,G593)-1),""))</f>
        <v/>
      </c>
      <c r="AH593" s="94" t="n"/>
      <c r="AI593" s="94" t="n"/>
      <c r="AJ593" s="94" t="n"/>
      <c r="AK593" s="94" t="n"/>
      <c r="AL593" s="84" t="n"/>
    </row>
    <row r="594">
      <c r="A594" s="64" t="n"/>
      <c r="B594" s="65" t="n"/>
      <c r="C594" s="66" t="n"/>
      <c r="D594" s="67" t="n"/>
      <c r="E594" s="68" t="n"/>
      <c r="F594" s="47">
        <f>IF(A594="","",IF(MIN(H594,MAX(J594:K594))=0,"",MIN(H594,MAX(J594:K594))))</f>
        <v/>
      </c>
      <c r="G594" s="74" t="n"/>
      <c r="H594" s="49">
        <f>IF(M594="","",IFERROR(ROUND(AVERAGE(T594+M594*{7,8,9,10,11})/1.21,4),""))</f>
        <v/>
      </c>
      <c r="I594" s="76" t="n"/>
      <c r="J594" s="77" t="n"/>
      <c r="K594" s="74" t="n"/>
      <c r="L594" s="78" t="n"/>
      <c r="M594" s="77" t="n"/>
      <c r="N594" s="53">
        <f>IF(M594="","",IFERROR(M594/I594,""))</f>
        <v/>
      </c>
      <c r="O594" s="50">
        <f>IF(A594="","",IFERROR((IF(G594="",I594,G594)-T594)/M594,""))</f>
        <v/>
      </c>
      <c r="P594" s="50">
        <f>IFERROR((I594/T594-1)/N594,"")</f>
        <v/>
      </c>
      <c r="Q594" s="46">
        <f>IF(OR(T594="",I594&lt;T594),"",IFERROR(R594/IF(G594="",I594,G594)-1,""))</f>
        <v/>
      </c>
      <c r="R594" s="48">
        <f>IF($M594="","",MAX(IF($G594="",$I594,$G594)*(1/1.1),IF($G594="",$I594,$G594)+(R$2*$M594)))</f>
        <v/>
      </c>
      <c r="S594" s="49">
        <f>IF($M594="","",MAX(IF($G594="",$I594,$G594)*(1/1.1),IF($G594="",$I594,$G594)+(S$2*$M594)))</f>
        <v/>
      </c>
      <c r="T594" s="82" t="n"/>
      <c r="U594" s="47">
        <f>IF(OR($M594="",$T594=""),"",$T594+(U$2*$M594))</f>
        <v/>
      </c>
      <c r="V594" s="48">
        <f>IF(OR($M594="",$T594=""),"",$T594+(V$2*$M594))</f>
        <v/>
      </c>
      <c r="W594" s="48">
        <f>IF(OR($M594="",$T594=""),"",$T594+(W$2*$M594))</f>
        <v/>
      </c>
      <c r="X594" s="49">
        <f>IF(OR($M594="",$T594=""),"",$T594+(X$2*$M594))</f>
        <v/>
      </c>
      <c r="Y594" s="47">
        <f>IF(OR($M594="",$T594=""),"",$T594+(Y$2*$M594))</f>
        <v/>
      </c>
      <c r="Z594" s="49">
        <f>IF(OR($M594="",$T594=""),"",$T594+(Z$2*$M594))</f>
        <v/>
      </c>
      <c r="AA594" s="51">
        <f>IF(OR($M594="",$T594=""),"",$T594+(AA$2*$M594))</f>
        <v/>
      </c>
      <c r="AB594" s="48">
        <f>IF(OR($M594="",$T594=""),"",$T594+(AB$2*$M594))</f>
        <v/>
      </c>
      <c r="AC594" s="48">
        <f>IF(OR($M594="",$T594=""),"",$T594+(AC$2*$M594))</f>
        <v/>
      </c>
      <c r="AD594" s="48">
        <f>IF(OR($M594="",$T594=""),"",$T594+(AD$2*$M594))</f>
        <v/>
      </c>
      <c r="AE594" s="49">
        <f>IF(OR($M594="",$T594=""),"",$T594+(AE$2*$M594))</f>
        <v/>
      </c>
      <c r="AF594" s="52">
        <f>IF(OR(T594="",I594&lt;T594),"",IFERROR(AVERAGE(T594+M594*{7,8,9,10,11})/IF(G594="",I594,G594)-1,""))</f>
        <v/>
      </c>
      <c r="AG594" s="55">
        <f>IF(OR(T594="",I594&lt;T594),"",IFERROR(AF594/-(R594/IF(G594="",I594,G594)-1),""))</f>
        <v/>
      </c>
      <c r="AH594" s="94" t="n"/>
      <c r="AI594" s="94" t="n"/>
      <c r="AJ594" s="94" t="n"/>
      <c r="AK594" s="94" t="n"/>
      <c r="AL594" s="84" t="n"/>
    </row>
    <row r="595">
      <c r="A595" s="64" t="n"/>
      <c r="B595" s="65" t="n"/>
      <c r="C595" s="66" t="n"/>
      <c r="D595" s="67" t="n"/>
      <c r="E595" s="68" t="n"/>
      <c r="F595" s="47">
        <f>IF(A595="","",IF(MIN(H595,MAX(J595:K595))=0,"",MIN(H595,MAX(J595:K595))))</f>
        <v/>
      </c>
      <c r="G595" s="74" t="n"/>
      <c r="H595" s="49">
        <f>IF(M595="","",IFERROR(ROUND(AVERAGE(T595+M595*{7,8,9,10,11})/1.21,4),""))</f>
        <v/>
      </c>
      <c r="I595" s="76" t="n"/>
      <c r="J595" s="77" t="n"/>
      <c r="K595" s="74" t="n"/>
      <c r="L595" s="78" t="n"/>
      <c r="M595" s="77" t="n"/>
      <c r="N595" s="53">
        <f>IF(M595="","",IFERROR(M595/I595,""))</f>
        <v/>
      </c>
      <c r="O595" s="50">
        <f>IF(A595="","",IFERROR((IF(G595="",I595,G595)-T595)/M595,""))</f>
        <v/>
      </c>
      <c r="P595" s="50">
        <f>IFERROR((I595/T595-1)/N595,"")</f>
        <v/>
      </c>
      <c r="Q595" s="46">
        <f>IF(OR(T595="",I595&lt;T595),"",IFERROR(R595/IF(G595="",I595,G595)-1,""))</f>
        <v/>
      </c>
      <c r="R595" s="48">
        <f>IF($M595="","",MAX(IF($G595="",$I595,$G595)*(1/1.1),IF($G595="",$I595,$G595)+(R$2*$M595)))</f>
        <v/>
      </c>
      <c r="S595" s="49">
        <f>IF($M595="","",MAX(IF($G595="",$I595,$G595)*(1/1.1),IF($G595="",$I595,$G595)+(S$2*$M595)))</f>
        <v/>
      </c>
      <c r="T595" s="82" t="n"/>
      <c r="U595" s="47">
        <f>IF(OR($M595="",$T595=""),"",$T595+(U$2*$M595))</f>
        <v/>
      </c>
      <c r="V595" s="48">
        <f>IF(OR($M595="",$T595=""),"",$T595+(V$2*$M595))</f>
        <v/>
      </c>
      <c r="W595" s="48">
        <f>IF(OR($M595="",$T595=""),"",$T595+(W$2*$M595))</f>
        <v/>
      </c>
      <c r="X595" s="49">
        <f>IF(OR($M595="",$T595=""),"",$T595+(X$2*$M595))</f>
        <v/>
      </c>
      <c r="Y595" s="47">
        <f>IF(OR($M595="",$T595=""),"",$T595+(Y$2*$M595))</f>
        <v/>
      </c>
      <c r="Z595" s="49">
        <f>IF(OR($M595="",$T595=""),"",$T595+(Z$2*$M595))</f>
        <v/>
      </c>
      <c r="AA595" s="51">
        <f>IF(OR($M595="",$T595=""),"",$T595+(AA$2*$M595))</f>
        <v/>
      </c>
      <c r="AB595" s="48">
        <f>IF(OR($M595="",$T595=""),"",$T595+(AB$2*$M595))</f>
        <v/>
      </c>
      <c r="AC595" s="48">
        <f>IF(OR($M595="",$T595=""),"",$T595+(AC$2*$M595))</f>
        <v/>
      </c>
      <c r="AD595" s="48">
        <f>IF(OR($M595="",$T595=""),"",$T595+(AD$2*$M595))</f>
        <v/>
      </c>
      <c r="AE595" s="49">
        <f>IF(OR($M595="",$T595=""),"",$T595+(AE$2*$M595))</f>
        <v/>
      </c>
      <c r="AF595" s="52">
        <f>IF(OR(T595="",I595&lt;T595),"",IFERROR(AVERAGE(T595+M595*{7,8,9,10,11})/IF(G595="",I595,G595)-1,""))</f>
        <v/>
      </c>
      <c r="AG595" s="55">
        <f>IF(OR(T595="",I595&lt;T595),"",IFERROR(AF595/-(R595/IF(G595="",I595,G595)-1),""))</f>
        <v/>
      </c>
      <c r="AH595" s="94" t="n"/>
      <c r="AI595" s="94" t="n"/>
      <c r="AJ595" s="94" t="n"/>
      <c r="AK595" s="94" t="n"/>
      <c r="AL595" s="84" t="n"/>
    </row>
    <row r="596">
      <c r="A596" s="64" t="n"/>
      <c r="B596" s="65" t="n"/>
      <c r="C596" s="66" t="n"/>
      <c r="D596" s="67" t="n"/>
      <c r="E596" s="68" t="n"/>
      <c r="F596" s="47">
        <f>IF(A596="","",IF(MIN(H596,MAX(J596:K596))=0,"",MIN(H596,MAX(J596:K596))))</f>
        <v/>
      </c>
      <c r="G596" s="74" t="n"/>
      <c r="H596" s="49">
        <f>IF(M596="","",IFERROR(ROUND(AVERAGE(T596+M596*{7,8,9,10,11})/1.21,4),""))</f>
        <v/>
      </c>
      <c r="I596" s="76" t="n"/>
      <c r="J596" s="77" t="n"/>
      <c r="K596" s="74" t="n"/>
      <c r="L596" s="78" t="n"/>
      <c r="M596" s="77" t="n"/>
      <c r="N596" s="53">
        <f>IF(M596="","",IFERROR(M596/I596,""))</f>
        <v/>
      </c>
      <c r="O596" s="50">
        <f>IF(A596="","",IFERROR((IF(G596="",I596,G596)-T596)/M596,""))</f>
        <v/>
      </c>
      <c r="P596" s="50">
        <f>IFERROR((I596/T596-1)/N596,"")</f>
        <v/>
      </c>
      <c r="Q596" s="46">
        <f>IF(OR(T596="",I596&lt;T596),"",IFERROR(R596/IF(G596="",I596,G596)-1,""))</f>
        <v/>
      </c>
      <c r="R596" s="48">
        <f>IF($M596="","",MAX(IF($G596="",$I596,$G596)*(1/1.1),IF($G596="",$I596,$G596)+(R$2*$M596)))</f>
        <v/>
      </c>
      <c r="S596" s="49">
        <f>IF($M596="","",MAX(IF($G596="",$I596,$G596)*(1/1.1),IF($G596="",$I596,$G596)+(S$2*$M596)))</f>
        <v/>
      </c>
      <c r="T596" s="82" t="n"/>
      <c r="U596" s="47">
        <f>IF(OR($M596="",$T596=""),"",$T596+(U$2*$M596))</f>
        <v/>
      </c>
      <c r="V596" s="48">
        <f>IF(OR($M596="",$T596=""),"",$T596+(V$2*$M596))</f>
        <v/>
      </c>
      <c r="W596" s="48">
        <f>IF(OR($M596="",$T596=""),"",$T596+(W$2*$M596))</f>
        <v/>
      </c>
      <c r="X596" s="49">
        <f>IF(OR($M596="",$T596=""),"",$T596+(X$2*$M596))</f>
        <v/>
      </c>
      <c r="Y596" s="47">
        <f>IF(OR($M596="",$T596=""),"",$T596+(Y$2*$M596))</f>
        <v/>
      </c>
      <c r="Z596" s="49">
        <f>IF(OR($M596="",$T596=""),"",$T596+(Z$2*$M596))</f>
        <v/>
      </c>
      <c r="AA596" s="51">
        <f>IF(OR($M596="",$T596=""),"",$T596+(AA$2*$M596))</f>
        <v/>
      </c>
      <c r="AB596" s="48">
        <f>IF(OR($M596="",$T596=""),"",$T596+(AB$2*$M596))</f>
        <v/>
      </c>
      <c r="AC596" s="48">
        <f>IF(OR($M596="",$T596=""),"",$T596+(AC$2*$M596))</f>
        <v/>
      </c>
      <c r="AD596" s="48">
        <f>IF(OR($M596="",$T596=""),"",$T596+(AD$2*$M596))</f>
        <v/>
      </c>
      <c r="AE596" s="49">
        <f>IF(OR($M596="",$T596=""),"",$T596+(AE$2*$M596))</f>
        <v/>
      </c>
      <c r="AF596" s="52">
        <f>IF(OR(T596="",I596&lt;T596),"",IFERROR(AVERAGE(T596+M596*{7,8,9,10,11})/IF(G596="",I596,G596)-1,""))</f>
        <v/>
      </c>
      <c r="AG596" s="55">
        <f>IF(OR(T596="",I596&lt;T596),"",IFERROR(AF596/-(R596/IF(G596="",I596,G596)-1),""))</f>
        <v/>
      </c>
      <c r="AH596" s="94" t="n"/>
      <c r="AI596" s="94" t="n"/>
      <c r="AJ596" s="94" t="n"/>
      <c r="AK596" s="94" t="n"/>
      <c r="AL596" s="84" t="n"/>
    </row>
    <row r="597">
      <c r="A597" s="64" t="n"/>
      <c r="B597" s="65" t="n"/>
      <c r="C597" s="66" t="n"/>
      <c r="D597" s="67" t="n"/>
      <c r="E597" s="68" t="n"/>
      <c r="F597" s="47">
        <f>IF(A597="","",IF(MIN(H597,MAX(J597:K597))=0,"",MIN(H597,MAX(J597:K597))))</f>
        <v/>
      </c>
      <c r="G597" s="74" t="n"/>
      <c r="H597" s="49">
        <f>IF(M597="","",IFERROR(ROUND(AVERAGE(T597+M597*{7,8,9,10,11})/1.21,4),""))</f>
        <v/>
      </c>
      <c r="I597" s="76" t="n"/>
      <c r="J597" s="77" t="n"/>
      <c r="K597" s="74" t="n"/>
      <c r="L597" s="78" t="n"/>
      <c r="M597" s="77" t="n"/>
      <c r="N597" s="53">
        <f>IF(M597="","",IFERROR(M597/I597,""))</f>
        <v/>
      </c>
      <c r="O597" s="50">
        <f>IF(A597="","",IFERROR((IF(G597="",I597,G597)-T597)/M597,""))</f>
        <v/>
      </c>
      <c r="P597" s="50">
        <f>IFERROR((I597/T597-1)/N597,"")</f>
        <v/>
      </c>
      <c r="Q597" s="46">
        <f>IF(OR(T597="",I597&lt;T597),"",IFERROR(R597/IF(G597="",I597,G597)-1,""))</f>
        <v/>
      </c>
      <c r="R597" s="48">
        <f>IF($M597="","",MAX(IF($G597="",$I597,$G597)*(1/1.1),IF($G597="",$I597,$G597)+(R$2*$M597)))</f>
        <v/>
      </c>
      <c r="S597" s="49">
        <f>IF($M597="","",MAX(IF($G597="",$I597,$G597)*(1/1.1),IF($G597="",$I597,$G597)+(S$2*$M597)))</f>
        <v/>
      </c>
      <c r="T597" s="82" t="n"/>
      <c r="U597" s="47">
        <f>IF(OR($M597="",$T597=""),"",$T597+(U$2*$M597))</f>
        <v/>
      </c>
      <c r="V597" s="48">
        <f>IF(OR($M597="",$T597=""),"",$T597+(V$2*$M597))</f>
        <v/>
      </c>
      <c r="W597" s="48">
        <f>IF(OR($M597="",$T597=""),"",$T597+(W$2*$M597))</f>
        <v/>
      </c>
      <c r="X597" s="49">
        <f>IF(OR($M597="",$T597=""),"",$T597+(X$2*$M597))</f>
        <v/>
      </c>
      <c r="Y597" s="47">
        <f>IF(OR($M597="",$T597=""),"",$T597+(Y$2*$M597))</f>
        <v/>
      </c>
      <c r="Z597" s="49">
        <f>IF(OR($M597="",$T597=""),"",$T597+(Z$2*$M597))</f>
        <v/>
      </c>
      <c r="AA597" s="51">
        <f>IF(OR($M597="",$T597=""),"",$T597+(AA$2*$M597))</f>
        <v/>
      </c>
      <c r="AB597" s="48">
        <f>IF(OR($M597="",$T597=""),"",$T597+(AB$2*$M597))</f>
        <v/>
      </c>
      <c r="AC597" s="48">
        <f>IF(OR($M597="",$T597=""),"",$T597+(AC$2*$M597))</f>
        <v/>
      </c>
      <c r="AD597" s="48">
        <f>IF(OR($M597="",$T597=""),"",$T597+(AD$2*$M597))</f>
        <v/>
      </c>
      <c r="AE597" s="49">
        <f>IF(OR($M597="",$T597=""),"",$T597+(AE$2*$M597))</f>
        <v/>
      </c>
      <c r="AF597" s="52">
        <f>IF(OR(T597="",I597&lt;T597),"",IFERROR(AVERAGE(T597+M597*{7,8,9,10,11})/IF(G597="",I597,G597)-1,""))</f>
        <v/>
      </c>
      <c r="AG597" s="55">
        <f>IF(OR(T597="",I597&lt;T597),"",IFERROR(AF597/-(R597/IF(G597="",I597,G597)-1),""))</f>
        <v/>
      </c>
      <c r="AH597" s="94" t="n"/>
      <c r="AI597" s="94" t="n"/>
      <c r="AJ597" s="94" t="n"/>
      <c r="AK597" s="94" t="n"/>
      <c r="AL597" s="84" t="n"/>
    </row>
    <row r="598">
      <c r="A598" s="64" t="n"/>
      <c r="B598" s="65" t="n"/>
      <c r="C598" s="66" t="n"/>
      <c r="D598" s="67" t="n"/>
      <c r="E598" s="68" t="n"/>
      <c r="F598" s="47">
        <f>IF(A598="","",IF(MIN(H598,MAX(J598:K598))=0,"",MIN(H598,MAX(J598:K598))))</f>
        <v/>
      </c>
      <c r="G598" s="74" t="n"/>
      <c r="H598" s="49">
        <f>IF(M598="","",IFERROR(ROUND(AVERAGE(T598+M598*{7,8,9,10,11})/1.21,4),""))</f>
        <v/>
      </c>
      <c r="I598" s="76" t="n"/>
      <c r="J598" s="77" t="n"/>
      <c r="K598" s="74" t="n"/>
      <c r="L598" s="78" t="n"/>
      <c r="M598" s="77" t="n"/>
      <c r="N598" s="53">
        <f>IF(M598="","",IFERROR(M598/I598,""))</f>
        <v/>
      </c>
      <c r="O598" s="50">
        <f>IF(A598="","",IFERROR((IF(G598="",I598,G598)-T598)/M598,""))</f>
        <v/>
      </c>
      <c r="P598" s="50">
        <f>IFERROR((I598/T598-1)/N598,"")</f>
        <v/>
      </c>
      <c r="Q598" s="46">
        <f>IF(OR(T598="",I598&lt;T598),"",IFERROR(R598/IF(G598="",I598,G598)-1,""))</f>
        <v/>
      </c>
      <c r="R598" s="48">
        <f>IF($M598="","",MAX(IF($G598="",$I598,$G598)*(1/1.1),IF($G598="",$I598,$G598)+(R$2*$M598)))</f>
        <v/>
      </c>
      <c r="S598" s="49">
        <f>IF($M598="","",MAX(IF($G598="",$I598,$G598)*(1/1.1),IF($G598="",$I598,$G598)+(S$2*$M598)))</f>
        <v/>
      </c>
      <c r="T598" s="82" t="n"/>
      <c r="U598" s="47">
        <f>IF(OR($M598="",$T598=""),"",$T598+(U$2*$M598))</f>
        <v/>
      </c>
      <c r="V598" s="48">
        <f>IF(OR($M598="",$T598=""),"",$T598+(V$2*$M598))</f>
        <v/>
      </c>
      <c r="W598" s="48">
        <f>IF(OR($M598="",$T598=""),"",$T598+(W$2*$M598))</f>
        <v/>
      </c>
      <c r="X598" s="49">
        <f>IF(OR($M598="",$T598=""),"",$T598+(X$2*$M598))</f>
        <v/>
      </c>
      <c r="Y598" s="47">
        <f>IF(OR($M598="",$T598=""),"",$T598+(Y$2*$M598))</f>
        <v/>
      </c>
      <c r="Z598" s="49">
        <f>IF(OR($M598="",$T598=""),"",$T598+(Z$2*$M598))</f>
        <v/>
      </c>
      <c r="AA598" s="51">
        <f>IF(OR($M598="",$T598=""),"",$T598+(AA$2*$M598))</f>
        <v/>
      </c>
      <c r="AB598" s="48">
        <f>IF(OR($M598="",$T598=""),"",$T598+(AB$2*$M598))</f>
        <v/>
      </c>
      <c r="AC598" s="48">
        <f>IF(OR($M598="",$T598=""),"",$T598+(AC$2*$M598))</f>
        <v/>
      </c>
      <c r="AD598" s="48">
        <f>IF(OR($M598="",$T598=""),"",$T598+(AD$2*$M598))</f>
        <v/>
      </c>
      <c r="AE598" s="49">
        <f>IF(OR($M598="",$T598=""),"",$T598+(AE$2*$M598))</f>
        <v/>
      </c>
      <c r="AF598" s="52">
        <f>IF(OR(T598="",I598&lt;T598),"",IFERROR(AVERAGE(T598+M598*{7,8,9,10,11})/IF(G598="",I598,G598)-1,""))</f>
        <v/>
      </c>
      <c r="AG598" s="55">
        <f>IF(OR(T598="",I598&lt;T598),"",IFERROR(AF598/-(R598/IF(G598="",I598,G598)-1),""))</f>
        <v/>
      </c>
      <c r="AH598" s="94" t="n"/>
      <c r="AI598" s="94" t="n"/>
      <c r="AJ598" s="94" t="n"/>
      <c r="AK598" s="94" t="n"/>
      <c r="AL598" s="84" t="n"/>
    </row>
    <row r="599">
      <c r="A599" s="64" t="n"/>
      <c r="B599" s="65" t="n"/>
      <c r="C599" s="66" t="n"/>
      <c r="D599" s="67" t="n"/>
      <c r="E599" s="68" t="n"/>
      <c r="F599" s="47">
        <f>IF(A599="","",IF(MIN(H599,MAX(J599:K599))=0,"",MIN(H599,MAX(J599:K599))))</f>
        <v/>
      </c>
      <c r="G599" s="74" t="n"/>
      <c r="H599" s="49">
        <f>IF(M599="","",IFERROR(ROUND(AVERAGE(T599+M599*{7,8,9,10,11})/1.21,4),""))</f>
        <v/>
      </c>
      <c r="I599" s="76" t="n"/>
      <c r="J599" s="77" t="n"/>
      <c r="K599" s="74" t="n"/>
      <c r="L599" s="78" t="n"/>
      <c r="M599" s="77" t="n"/>
      <c r="N599" s="53">
        <f>IF(M599="","",IFERROR(M599/I599,""))</f>
        <v/>
      </c>
      <c r="O599" s="50">
        <f>IF(A599="","",IFERROR((IF(G599="",I599,G599)-T599)/M599,""))</f>
        <v/>
      </c>
      <c r="P599" s="50">
        <f>IFERROR((I599/T599-1)/N599,"")</f>
        <v/>
      </c>
      <c r="Q599" s="46">
        <f>IF(OR(T599="",I599&lt;T599),"",IFERROR(R599/IF(G599="",I599,G599)-1,""))</f>
        <v/>
      </c>
      <c r="R599" s="48">
        <f>IF($M599="","",MAX(IF($G599="",$I599,$G599)*(1/1.1),IF($G599="",$I599,$G599)+(R$2*$M599)))</f>
        <v/>
      </c>
      <c r="S599" s="49">
        <f>IF($M599="","",MAX(IF($G599="",$I599,$G599)*(1/1.1),IF($G599="",$I599,$G599)+(S$2*$M599)))</f>
        <v/>
      </c>
      <c r="T599" s="82" t="n"/>
      <c r="U599" s="47">
        <f>IF(OR($M599="",$T599=""),"",$T599+(U$2*$M599))</f>
        <v/>
      </c>
      <c r="V599" s="48">
        <f>IF(OR($M599="",$T599=""),"",$T599+(V$2*$M599))</f>
        <v/>
      </c>
      <c r="W599" s="48">
        <f>IF(OR($M599="",$T599=""),"",$T599+(W$2*$M599))</f>
        <v/>
      </c>
      <c r="X599" s="49">
        <f>IF(OR($M599="",$T599=""),"",$T599+(X$2*$M599))</f>
        <v/>
      </c>
      <c r="Y599" s="47">
        <f>IF(OR($M599="",$T599=""),"",$T599+(Y$2*$M599))</f>
        <v/>
      </c>
      <c r="Z599" s="49">
        <f>IF(OR($M599="",$T599=""),"",$T599+(Z$2*$M599))</f>
        <v/>
      </c>
      <c r="AA599" s="51">
        <f>IF(OR($M599="",$T599=""),"",$T599+(AA$2*$M599))</f>
        <v/>
      </c>
      <c r="AB599" s="48">
        <f>IF(OR($M599="",$T599=""),"",$T599+(AB$2*$M599))</f>
        <v/>
      </c>
      <c r="AC599" s="48">
        <f>IF(OR($M599="",$T599=""),"",$T599+(AC$2*$M599))</f>
        <v/>
      </c>
      <c r="AD599" s="48">
        <f>IF(OR($M599="",$T599=""),"",$T599+(AD$2*$M599))</f>
        <v/>
      </c>
      <c r="AE599" s="49">
        <f>IF(OR($M599="",$T599=""),"",$T599+(AE$2*$M599))</f>
        <v/>
      </c>
      <c r="AF599" s="52">
        <f>IF(OR(T599="",I599&lt;T599),"",IFERROR(AVERAGE(T599+M599*{7,8,9,10,11})/IF(G599="",I599,G599)-1,""))</f>
        <v/>
      </c>
      <c r="AG599" s="55">
        <f>IF(OR(T599="",I599&lt;T599),"",IFERROR(AF599/-(R599/IF(G599="",I599,G599)-1),""))</f>
        <v/>
      </c>
      <c r="AH599" s="94" t="n"/>
      <c r="AI599" s="94" t="n"/>
      <c r="AJ599" s="94" t="n"/>
      <c r="AK599" s="94" t="n"/>
      <c r="AL599" s="84" t="n"/>
    </row>
    <row r="600">
      <c r="A600" s="64" t="n"/>
      <c r="B600" s="65" t="n"/>
      <c r="C600" s="66" t="n"/>
      <c r="D600" s="67" t="n"/>
      <c r="E600" s="68" t="n"/>
      <c r="F600" s="47">
        <f>IF(A600="","",IF(MIN(H600,MAX(J600:K600))=0,"",MIN(H600,MAX(J600:K600))))</f>
        <v/>
      </c>
      <c r="G600" s="74" t="n"/>
      <c r="H600" s="49">
        <f>IF(M600="","",IFERROR(ROUND(AVERAGE(T600+M600*{7,8,9,10,11})/1.21,4),""))</f>
        <v/>
      </c>
      <c r="I600" s="76" t="n"/>
      <c r="J600" s="77" t="n"/>
      <c r="K600" s="74" t="n"/>
      <c r="L600" s="78" t="n"/>
      <c r="M600" s="77" t="n"/>
      <c r="N600" s="53">
        <f>IF(M600="","",IFERROR(M600/I600,""))</f>
        <v/>
      </c>
      <c r="O600" s="50">
        <f>IF(A600="","",IFERROR((IF(G600="",I600,G600)-T600)/M600,""))</f>
        <v/>
      </c>
      <c r="P600" s="50">
        <f>IFERROR((I600/T600-1)/N600,"")</f>
        <v/>
      </c>
      <c r="Q600" s="46">
        <f>IF(OR(T600="",I600&lt;T600),"",IFERROR(R600/IF(G600="",I600,G600)-1,""))</f>
        <v/>
      </c>
      <c r="R600" s="48">
        <f>IF($M600="","",MAX(IF($G600="",$I600,$G600)*(1/1.1),IF($G600="",$I600,$G600)+(R$2*$M600)))</f>
        <v/>
      </c>
      <c r="S600" s="49">
        <f>IF($M600="","",MAX(IF($G600="",$I600,$G600)*(1/1.1),IF($G600="",$I600,$G600)+(S$2*$M600)))</f>
        <v/>
      </c>
      <c r="T600" s="82" t="n"/>
      <c r="U600" s="47">
        <f>IF(OR($M600="",$T600=""),"",$T600+(U$2*$M600))</f>
        <v/>
      </c>
      <c r="V600" s="48">
        <f>IF(OR($M600="",$T600=""),"",$T600+(V$2*$M600))</f>
        <v/>
      </c>
      <c r="W600" s="48">
        <f>IF(OR($M600="",$T600=""),"",$T600+(W$2*$M600))</f>
        <v/>
      </c>
      <c r="X600" s="49">
        <f>IF(OR($M600="",$T600=""),"",$T600+(X$2*$M600))</f>
        <v/>
      </c>
      <c r="Y600" s="47">
        <f>IF(OR($M600="",$T600=""),"",$T600+(Y$2*$M600))</f>
        <v/>
      </c>
      <c r="Z600" s="49">
        <f>IF(OR($M600="",$T600=""),"",$T600+(Z$2*$M600))</f>
        <v/>
      </c>
      <c r="AA600" s="51">
        <f>IF(OR($M600="",$T600=""),"",$T600+(AA$2*$M600))</f>
        <v/>
      </c>
      <c r="AB600" s="48">
        <f>IF(OR($M600="",$T600=""),"",$T600+(AB$2*$M600))</f>
        <v/>
      </c>
      <c r="AC600" s="48">
        <f>IF(OR($M600="",$T600=""),"",$T600+(AC$2*$M600))</f>
        <v/>
      </c>
      <c r="AD600" s="48">
        <f>IF(OR($M600="",$T600=""),"",$T600+(AD$2*$M600))</f>
        <v/>
      </c>
      <c r="AE600" s="49">
        <f>IF(OR($M600="",$T600=""),"",$T600+(AE$2*$M600))</f>
        <v/>
      </c>
      <c r="AF600" s="52">
        <f>IF(OR(T600="",I600&lt;T600),"",IFERROR(AVERAGE(T600+M600*{7,8,9,10,11})/IF(G600="",I600,G600)-1,""))</f>
        <v/>
      </c>
      <c r="AG600" s="55">
        <f>IF(OR(T600="",I600&lt;T600),"",IFERROR(AF600/-(R600/IF(G600="",I600,G600)-1),""))</f>
        <v/>
      </c>
      <c r="AH600" s="94" t="n"/>
      <c r="AI600" s="94" t="n"/>
      <c r="AJ600" s="94" t="n"/>
      <c r="AK600" s="94" t="n"/>
      <c r="AL600" s="84" t="n"/>
    </row>
    <row r="601">
      <c r="A601" s="64" t="n"/>
      <c r="B601" s="65" t="n"/>
      <c r="C601" s="66" t="n"/>
      <c r="D601" s="67" t="n"/>
      <c r="E601" s="68" t="n"/>
      <c r="F601" s="47">
        <f>IF(A601="","",IF(MIN(H601,MAX(J601:K601))=0,"",MIN(H601,MAX(J601:K601))))</f>
        <v/>
      </c>
      <c r="G601" s="74" t="n"/>
      <c r="H601" s="49">
        <f>IF(M601="","",IFERROR(ROUND(AVERAGE(T601+M601*{7,8,9,10,11})/1.21,4),""))</f>
        <v/>
      </c>
      <c r="I601" s="76" t="n"/>
      <c r="J601" s="77" t="n"/>
      <c r="K601" s="74" t="n"/>
      <c r="L601" s="78" t="n"/>
      <c r="M601" s="77" t="n"/>
      <c r="N601" s="53">
        <f>IF(M601="","",IFERROR(M601/I601,""))</f>
        <v/>
      </c>
      <c r="O601" s="50">
        <f>IF(A601="","",IFERROR((IF(G601="",I601,G601)-T601)/M601,""))</f>
        <v/>
      </c>
      <c r="P601" s="50">
        <f>IFERROR((I601/T601-1)/N601,"")</f>
        <v/>
      </c>
      <c r="Q601" s="46">
        <f>IF(OR(T601="",I601&lt;T601),"",IFERROR(R601/IF(G601="",I601,G601)-1,""))</f>
        <v/>
      </c>
      <c r="R601" s="48">
        <f>IF($M601="","",MAX(IF($G601="",$I601,$G601)*(1/1.1),IF($G601="",$I601,$G601)+(R$2*$M601)))</f>
        <v/>
      </c>
      <c r="S601" s="49">
        <f>IF($M601="","",MAX(IF($G601="",$I601,$G601)*(1/1.1),IF($G601="",$I601,$G601)+(S$2*$M601)))</f>
        <v/>
      </c>
      <c r="T601" s="82" t="n"/>
      <c r="U601" s="47">
        <f>IF(OR($M601="",$T601=""),"",$T601+(U$2*$M601))</f>
        <v/>
      </c>
      <c r="V601" s="48">
        <f>IF(OR($M601="",$T601=""),"",$T601+(V$2*$M601))</f>
        <v/>
      </c>
      <c r="W601" s="48">
        <f>IF(OR($M601="",$T601=""),"",$T601+(W$2*$M601))</f>
        <v/>
      </c>
      <c r="X601" s="49">
        <f>IF(OR($M601="",$T601=""),"",$T601+(X$2*$M601))</f>
        <v/>
      </c>
      <c r="Y601" s="47">
        <f>IF(OR($M601="",$T601=""),"",$T601+(Y$2*$M601))</f>
        <v/>
      </c>
      <c r="Z601" s="49">
        <f>IF(OR($M601="",$T601=""),"",$T601+(Z$2*$M601))</f>
        <v/>
      </c>
      <c r="AA601" s="51">
        <f>IF(OR($M601="",$T601=""),"",$T601+(AA$2*$M601))</f>
        <v/>
      </c>
      <c r="AB601" s="48">
        <f>IF(OR($M601="",$T601=""),"",$T601+(AB$2*$M601))</f>
        <v/>
      </c>
      <c r="AC601" s="48">
        <f>IF(OR($M601="",$T601=""),"",$T601+(AC$2*$M601))</f>
        <v/>
      </c>
      <c r="AD601" s="48">
        <f>IF(OR($M601="",$T601=""),"",$T601+(AD$2*$M601))</f>
        <v/>
      </c>
      <c r="AE601" s="49">
        <f>IF(OR($M601="",$T601=""),"",$T601+(AE$2*$M601))</f>
        <v/>
      </c>
      <c r="AF601" s="52">
        <f>IF(OR(T601="",I601&lt;T601),"",IFERROR(AVERAGE(T601+M601*{7,8,9,10,11})/IF(G601="",I601,G601)-1,""))</f>
        <v/>
      </c>
      <c r="AG601" s="55">
        <f>IF(OR(T601="",I601&lt;T601),"",IFERROR(AF601/-(R601/IF(G601="",I601,G601)-1),""))</f>
        <v/>
      </c>
      <c r="AH601" s="94" t="n"/>
      <c r="AI601" s="94" t="n"/>
      <c r="AJ601" s="94" t="n"/>
      <c r="AK601" s="94" t="n"/>
      <c r="AL601" s="84" t="n"/>
    </row>
    <row r="602">
      <c r="A602" s="64" t="n"/>
      <c r="B602" s="65" t="n"/>
      <c r="C602" s="66" t="n"/>
      <c r="D602" s="67" t="n"/>
      <c r="E602" s="68" t="n"/>
      <c r="F602" s="47">
        <f>IF(A602="","",IF(MIN(H602,MAX(J602:K602))=0,"",MIN(H602,MAX(J602:K602))))</f>
        <v/>
      </c>
      <c r="G602" s="74" t="n"/>
      <c r="H602" s="49">
        <f>IF(M602="","",IFERROR(ROUND(AVERAGE(T602+M602*{7,8,9,10,11})/1.21,4),""))</f>
        <v/>
      </c>
      <c r="I602" s="76" t="n"/>
      <c r="J602" s="77" t="n"/>
      <c r="K602" s="74" t="n"/>
      <c r="L602" s="78" t="n"/>
      <c r="M602" s="77" t="n"/>
      <c r="N602" s="53">
        <f>IF(M602="","",IFERROR(M602/I602,""))</f>
        <v/>
      </c>
      <c r="O602" s="50">
        <f>IF(A602="","",IFERROR((IF(G602="",I602,G602)-T602)/M602,""))</f>
        <v/>
      </c>
      <c r="P602" s="50">
        <f>IFERROR((I602/T602-1)/N602,"")</f>
        <v/>
      </c>
      <c r="Q602" s="46">
        <f>IF(OR(T602="",I602&lt;T602),"",IFERROR(R602/IF(G602="",I602,G602)-1,""))</f>
        <v/>
      </c>
      <c r="R602" s="48">
        <f>IF($M602="","",MAX(IF($G602="",$I602,$G602)*(1/1.1),IF($G602="",$I602,$G602)+(R$2*$M602)))</f>
        <v/>
      </c>
      <c r="S602" s="49">
        <f>IF($M602="","",MAX(IF($G602="",$I602,$G602)*(1/1.1),IF($G602="",$I602,$G602)+(S$2*$M602)))</f>
        <v/>
      </c>
      <c r="T602" s="82" t="n"/>
      <c r="U602" s="47">
        <f>IF(OR($M602="",$T602=""),"",$T602+(U$2*$M602))</f>
        <v/>
      </c>
      <c r="V602" s="48">
        <f>IF(OR($M602="",$T602=""),"",$T602+(V$2*$M602))</f>
        <v/>
      </c>
      <c r="W602" s="48">
        <f>IF(OR($M602="",$T602=""),"",$T602+(W$2*$M602))</f>
        <v/>
      </c>
      <c r="X602" s="49">
        <f>IF(OR($M602="",$T602=""),"",$T602+(X$2*$M602))</f>
        <v/>
      </c>
      <c r="Y602" s="47">
        <f>IF(OR($M602="",$T602=""),"",$T602+(Y$2*$M602))</f>
        <v/>
      </c>
      <c r="Z602" s="49">
        <f>IF(OR($M602="",$T602=""),"",$T602+(Z$2*$M602))</f>
        <v/>
      </c>
      <c r="AA602" s="51">
        <f>IF(OR($M602="",$T602=""),"",$T602+(AA$2*$M602))</f>
        <v/>
      </c>
      <c r="AB602" s="48">
        <f>IF(OR($M602="",$T602=""),"",$T602+(AB$2*$M602))</f>
        <v/>
      </c>
      <c r="AC602" s="48">
        <f>IF(OR($M602="",$T602=""),"",$T602+(AC$2*$M602))</f>
        <v/>
      </c>
      <c r="AD602" s="48">
        <f>IF(OR($M602="",$T602=""),"",$T602+(AD$2*$M602))</f>
        <v/>
      </c>
      <c r="AE602" s="49">
        <f>IF(OR($M602="",$T602=""),"",$T602+(AE$2*$M602))</f>
        <v/>
      </c>
      <c r="AF602" s="52">
        <f>IF(OR(T602="",I602&lt;T602),"",IFERROR(AVERAGE(T602+M602*{7,8,9,10,11})/IF(G602="",I602,G602)-1,""))</f>
        <v/>
      </c>
      <c r="AG602" s="55">
        <f>IF(OR(T602="",I602&lt;T602),"",IFERROR(AF602/-(R602/IF(G602="",I602,G602)-1),""))</f>
        <v/>
      </c>
      <c r="AH602" s="94" t="n"/>
      <c r="AI602" s="94" t="n"/>
      <c r="AJ602" s="94" t="n"/>
      <c r="AK602" s="94" t="n"/>
      <c r="AL602" s="84" t="n"/>
    </row>
    <row r="603">
      <c r="A603" s="64" t="n"/>
      <c r="B603" s="65" t="n"/>
      <c r="C603" s="66" t="n"/>
      <c r="D603" s="67" t="n"/>
      <c r="E603" s="68" t="n"/>
      <c r="F603" s="47">
        <f>IF(A603="","",IF(MIN(H603,MAX(J603:K603))=0,"",MIN(H603,MAX(J603:K603))))</f>
        <v/>
      </c>
      <c r="G603" s="74" t="n"/>
      <c r="H603" s="49">
        <f>IF(M603="","",IFERROR(ROUND(AVERAGE(T603+M603*{7,8,9,10,11})/1.21,4),""))</f>
        <v/>
      </c>
      <c r="I603" s="76" t="n"/>
      <c r="J603" s="77" t="n"/>
      <c r="K603" s="74" t="n"/>
      <c r="L603" s="78" t="n"/>
      <c r="M603" s="77" t="n"/>
      <c r="N603" s="53">
        <f>IF(M603="","",IFERROR(M603/I603,""))</f>
        <v/>
      </c>
      <c r="O603" s="50">
        <f>IF(A603="","",IFERROR((IF(G603="",I603,G603)-T603)/M603,""))</f>
        <v/>
      </c>
      <c r="P603" s="50">
        <f>IFERROR((I603/T603-1)/N603,"")</f>
        <v/>
      </c>
      <c r="Q603" s="46">
        <f>IF(OR(T603="",I603&lt;T603),"",IFERROR(R603/IF(G603="",I603,G603)-1,""))</f>
        <v/>
      </c>
      <c r="R603" s="48">
        <f>IF($M603="","",MAX(IF($G603="",$I603,$G603)*(1/1.1),IF($G603="",$I603,$G603)+(R$2*$M603)))</f>
        <v/>
      </c>
      <c r="S603" s="49">
        <f>IF($M603="","",MAX(IF($G603="",$I603,$G603)*(1/1.1),IF($G603="",$I603,$G603)+(S$2*$M603)))</f>
        <v/>
      </c>
      <c r="T603" s="82" t="n"/>
      <c r="U603" s="47">
        <f>IF(OR($M603="",$T603=""),"",$T603+(U$2*$M603))</f>
        <v/>
      </c>
      <c r="V603" s="48">
        <f>IF(OR($M603="",$T603=""),"",$T603+(V$2*$M603))</f>
        <v/>
      </c>
      <c r="W603" s="48">
        <f>IF(OR($M603="",$T603=""),"",$T603+(W$2*$M603))</f>
        <v/>
      </c>
      <c r="X603" s="49">
        <f>IF(OR($M603="",$T603=""),"",$T603+(X$2*$M603))</f>
        <v/>
      </c>
      <c r="Y603" s="47">
        <f>IF(OR($M603="",$T603=""),"",$T603+(Y$2*$M603))</f>
        <v/>
      </c>
      <c r="Z603" s="49">
        <f>IF(OR($M603="",$T603=""),"",$T603+(Z$2*$M603))</f>
        <v/>
      </c>
      <c r="AA603" s="51">
        <f>IF(OR($M603="",$T603=""),"",$T603+(AA$2*$M603))</f>
        <v/>
      </c>
      <c r="AB603" s="48">
        <f>IF(OR($M603="",$T603=""),"",$T603+(AB$2*$M603))</f>
        <v/>
      </c>
      <c r="AC603" s="48">
        <f>IF(OR($M603="",$T603=""),"",$T603+(AC$2*$M603))</f>
        <v/>
      </c>
      <c r="AD603" s="48">
        <f>IF(OR($M603="",$T603=""),"",$T603+(AD$2*$M603))</f>
        <v/>
      </c>
      <c r="AE603" s="49">
        <f>IF(OR($M603="",$T603=""),"",$T603+(AE$2*$M603))</f>
        <v/>
      </c>
      <c r="AF603" s="52">
        <f>IF(OR(T603="",I603&lt;T603),"",IFERROR(AVERAGE(T603+M603*{7,8,9,10,11})/IF(G603="",I603,G603)-1,""))</f>
        <v/>
      </c>
      <c r="AG603" s="55">
        <f>IF(OR(T603="",I603&lt;T603),"",IFERROR(AF603/-(R603/IF(G603="",I603,G603)-1),""))</f>
        <v/>
      </c>
      <c r="AH603" s="94" t="n"/>
      <c r="AI603" s="94" t="n"/>
      <c r="AJ603" s="94" t="n"/>
      <c r="AK603" s="94" t="n"/>
      <c r="AL603" s="84" t="n"/>
    </row>
    <row r="604">
      <c r="A604" s="64" t="n"/>
      <c r="B604" s="65" t="n"/>
      <c r="C604" s="66" t="n"/>
      <c r="D604" s="67" t="n"/>
      <c r="E604" s="68" t="n"/>
      <c r="F604" s="47">
        <f>IF(A604="","",IF(MIN(H604,MAX(J604:K604))=0,"",MIN(H604,MAX(J604:K604))))</f>
        <v/>
      </c>
      <c r="G604" s="74" t="n"/>
      <c r="H604" s="49">
        <f>IF(M604="","",IFERROR(ROUND(AVERAGE(T604+M604*{7,8,9,10,11})/1.21,4),""))</f>
        <v/>
      </c>
      <c r="I604" s="76" t="n"/>
      <c r="J604" s="77" t="n"/>
      <c r="K604" s="74" t="n"/>
      <c r="L604" s="78" t="n"/>
      <c r="M604" s="77" t="n"/>
      <c r="N604" s="53">
        <f>IF(M604="","",IFERROR(M604/I604,""))</f>
        <v/>
      </c>
      <c r="O604" s="50">
        <f>IF(A604="","",IFERROR((IF(G604="",I604,G604)-T604)/M604,""))</f>
        <v/>
      </c>
      <c r="P604" s="50">
        <f>IFERROR((I604/T604-1)/N604,"")</f>
        <v/>
      </c>
      <c r="Q604" s="46">
        <f>IF(OR(T604="",I604&lt;T604),"",IFERROR(R604/IF(G604="",I604,G604)-1,""))</f>
        <v/>
      </c>
      <c r="R604" s="48">
        <f>IF($M604="","",MAX(IF($G604="",$I604,$G604)*(1/1.1),IF($G604="",$I604,$G604)+(R$2*$M604)))</f>
        <v/>
      </c>
      <c r="S604" s="49">
        <f>IF($M604="","",MAX(IF($G604="",$I604,$G604)*(1/1.1),IF($G604="",$I604,$G604)+(S$2*$M604)))</f>
        <v/>
      </c>
      <c r="T604" s="82" t="n"/>
      <c r="U604" s="47">
        <f>IF(OR($M604="",$T604=""),"",$T604+(U$2*$M604))</f>
        <v/>
      </c>
      <c r="V604" s="48">
        <f>IF(OR($M604="",$T604=""),"",$T604+(V$2*$M604))</f>
        <v/>
      </c>
      <c r="W604" s="48">
        <f>IF(OR($M604="",$T604=""),"",$T604+(W$2*$M604))</f>
        <v/>
      </c>
      <c r="X604" s="49">
        <f>IF(OR($M604="",$T604=""),"",$T604+(X$2*$M604))</f>
        <v/>
      </c>
      <c r="Y604" s="47">
        <f>IF(OR($M604="",$T604=""),"",$T604+(Y$2*$M604))</f>
        <v/>
      </c>
      <c r="Z604" s="49">
        <f>IF(OR($M604="",$T604=""),"",$T604+(Z$2*$M604))</f>
        <v/>
      </c>
      <c r="AA604" s="51">
        <f>IF(OR($M604="",$T604=""),"",$T604+(AA$2*$M604))</f>
        <v/>
      </c>
      <c r="AB604" s="48">
        <f>IF(OR($M604="",$T604=""),"",$T604+(AB$2*$M604))</f>
        <v/>
      </c>
      <c r="AC604" s="48">
        <f>IF(OR($M604="",$T604=""),"",$T604+(AC$2*$M604))</f>
        <v/>
      </c>
      <c r="AD604" s="48">
        <f>IF(OR($M604="",$T604=""),"",$T604+(AD$2*$M604))</f>
        <v/>
      </c>
      <c r="AE604" s="49">
        <f>IF(OR($M604="",$T604=""),"",$T604+(AE$2*$M604))</f>
        <v/>
      </c>
      <c r="AF604" s="52">
        <f>IF(OR(T604="",I604&lt;T604),"",IFERROR(AVERAGE(T604+M604*{7,8,9,10,11})/IF(G604="",I604,G604)-1,""))</f>
        <v/>
      </c>
      <c r="AG604" s="55">
        <f>IF(OR(T604="",I604&lt;T604),"",IFERROR(AF604/-(R604/IF(G604="",I604,G604)-1),""))</f>
        <v/>
      </c>
      <c r="AH604" s="94" t="n"/>
      <c r="AI604" s="94" t="n"/>
      <c r="AJ604" s="94" t="n"/>
      <c r="AK604" s="94" t="n"/>
      <c r="AL604" s="84" t="n"/>
    </row>
    <row r="605">
      <c r="A605" s="64" t="n"/>
      <c r="B605" s="65" t="n"/>
      <c r="C605" s="66" t="n"/>
      <c r="D605" s="67" t="n"/>
      <c r="E605" s="68" t="n"/>
      <c r="F605" s="47">
        <f>IF(A605="","",IF(MIN(H605,MAX(J605:K605))=0,"",MIN(H605,MAX(J605:K605))))</f>
        <v/>
      </c>
      <c r="G605" s="74" t="n"/>
      <c r="H605" s="49">
        <f>IF(M605="","",IFERROR(ROUND(AVERAGE(T605+M605*{7,8,9,10,11})/1.21,4),""))</f>
        <v/>
      </c>
      <c r="I605" s="76" t="n"/>
      <c r="J605" s="77" t="n"/>
      <c r="K605" s="74" t="n"/>
      <c r="L605" s="78" t="n"/>
      <c r="M605" s="77" t="n"/>
      <c r="N605" s="53">
        <f>IF(M605="","",IFERROR(M605/I605,""))</f>
        <v/>
      </c>
      <c r="O605" s="50">
        <f>IF(A605="","",IFERROR((IF(G605="",I605,G605)-T605)/M605,""))</f>
        <v/>
      </c>
      <c r="P605" s="50">
        <f>IFERROR((I605/T605-1)/N605,"")</f>
        <v/>
      </c>
      <c r="Q605" s="46">
        <f>IF(OR(T605="",I605&lt;T605),"",IFERROR(R605/IF(G605="",I605,G605)-1,""))</f>
        <v/>
      </c>
      <c r="R605" s="48">
        <f>IF($M605="","",MAX(IF($G605="",$I605,$G605)*(1/1.1),IF($G605="",$I605,$G605)+(R$2*$M605)))</f>
        <v/>
      </c>
      <c r="S605" s="49">
        <f>IF($M605="","",MAX(IF($G605="",$I605,$G605)*(1/1.1),IF($G605="",$I605,$G605)+(S$2*$M605)))</f>
        <v/>
      </c>
      <c r="T605" s="82" t="n"/>
      <c r="U605" s="47">
        <f>IF(OR($M605="",$T605=""),"",$T605+(U$2*$M605))</f>
        <v/>
      </c>
      <c r="V605" s="48">
        <f>IF(OR($M605="",$T605=""),"",$T605+(V$2*$M605))</f>
        <v/>
      </c>
      <c r="W605" s="48">
        <f>IF(OR($M605="",$T605=""),"",$T605+(W$2*$M605))</f>
        <v/>
      </c>
      <c r="X605" s="49">
        <f>IF(OR($M605="",$T605=""),"",$T605+(X$2*$M605))</f>
        <v/>
      </c>
      <c r="Y605" s="47">
        <f>IF(OR($M605="",$T605=""),"",$T605+(Y$2*$M605))</f>
        <v/>
      </c>
      <c r="Z605" s="49">
        <f>IF(OR($M605="",$T605=""),"",$T605+(Z$2*$M605))</f>
        <v/>
      </c>
      <c r="AA605" s="51">
        <f>IF(OR($M605="",$T605=""),"",$T605+(AA$2*$M605))</f>
        <v/>
      </c>
      <c r="AB605" s="48">
        <f>IF(OR($M605="",$T605=""),"",$T605+(AB$2*$M605))</f>
        <v/>
      </c>
      <c r="AC605" s="48">
        <f>IF(OR($M605="",$T605=""),"",$T605+(AC$2*$M605))</f>
        <v/>
      </c>
      <c r="AD605" s="48">
        <f>IF(OR($M605="",$T605=""),"",$T605+(AD$2*$M605))</f>
        <v/>
      </c>
      <c r="AE605" s="49">
        <f>IF(OR($M605="",$T605=""),"",$T605+(AE$2*$M605))</f>
        <v/>
      </c>
      <c r="AF605" s="52">
        <f>IF(OR(T605="",I605&lt;T605),"",IFERROR(AVERAGE(T605+M605*{7,8,9,10,11})/IF(G605="",I605,G605)-1,""))</f>
        <v/>
      </c>
      <c r="AG605" s="55">
        <f>IF(OR(T605="",I605&lt;T605),"",IFERROR(AF605/-(R605/IF(G605="",I605,G605)-1),""))</f>
        <v/>
      </c>
      <c r="AH605" s="94" t="n"/>
      <c r="AI605" s="94" t="n"/>
      <c r="AJ605" s="94" t="n"/>
      <c r="AK605" s="94" t="n"/>
      <c r="AL605" s="84" t="n"/>
    </row>
    <row r="606">
      <c r="A606" s="64" t="n"/>
      <c r="B606" s="65" t="n"/>
      <c r="C606" s="66" t="n"/>
      <c r="D606" s="67" t="n"/>
      <c r="E606" s="68" t="n"/>
      <c r="F606" s="47">
        <f>IF(A606="","",IF(MIN(H606,MAX(J606:K606))=0,"",MIN(H606,MAX(J606:K606))))</f>
        <v/>
      </c>
      <c r="G606" s="74" t="n"/>
      <c r="H606" s="49">
        <f>IF(M606="","",IFERROR(ROUND(AVERAGE(T606+M606*{7,8,9,10,11})/1.21,4),""))</f>
        <v/>
      </c>
      <c r="I606" s="76" t="n"/>
      <c r="J606" s="77" t="n"/>
      <c r="K606" s="74" t="n"/>
      <c r="L606" s="78" t="n"/>
      <c r="M606" s="77" t="n"/>
      <c r="N606" s="53">
        <f>IF(M606="","",IFERROR(M606/I606,""))</f>
        <v/>
      </c>
      <c r="O606" s="50">
        <f>IF(A606="","",IFERROR((IF(G606="",I606,G606)-T606)/M606,""))</f>
        <v/>
      </c>
      <c r="P606" s="50">
        <f>IFERROR((I606/T606-1)/N606,"")</f>
        <v/>
      </c>
      <c r="Q606" s="46">
        <f>IF(OR(T606="",I606&lt;T606),"",IFERROR(R606/IF(G606="",I606,G606)-1,""))</f>
        <v/>
      </c>
      <c r="R606" s="48">
        <f>IF($M606="","",MAX(IF($G606="",$I606,$G606)*(1/1.1),IF($G606="",$I606,$G606)+(R$2*$M606)))</f>
        <v/>
      </c>
      <c r="S606" s="49">
        <f>IF($M606="","",MAX(IF($G606="",$I606,$G606)*(1/1.1),IF($G606="",$I606,$G606)+(S$2*$M606)))</f>
        <v/>
      </c>
      <c r="T606" s="82" t="n"/>
      <c r="U606" s="47">
        <f>IF(OR($M606="",$T606=""),"",$T606+(U$2*$M606))</f>
        <v/>
      </c>
      <c r="V606" s="48">
        <f>IF(OR($M606="",$T606=""),"",$T606+(V$2*$M606))</f>
        <v/>
      </c>
      <c r="W606" s="48">
        <f>IF(OR($M606="",$T606=""),"",$T606+(W$2*$M606))</f>
        <v/>
      </c>
      <c r="X606" s="49">
        <f>IF(OR($M606="",$T606=""),"",$T606+(X$2*$M606))</f>
        <v/>
      </c>
      <c r="Y606" s="47">
        <f>IF(OR($M606="",$T606=""),"",$T606+(Y$2*$M606))</f>
        <v/>
      </c>
      <c r="Z606" s="49">
        <f>IF(OR($M606="",$T606=""),"",$T606+(Z$2*$M606))</f>
        <v/>
      </c>
      <c r="AA606" s="51">
        <f>IF(OR($M606="",$T606=""),"",$T606+(AA$2*$M606))</f>
        <v/>
      </c>
      <c r="AB606" s="48">
        <f>IF(OR($M606="",$T606=""),"",$T606+(AB$2*$M606))</f>
        <v/>
      </c>
      <c r="AC606" s="48">
        <f>IF(OR($M606="",$T606=""),"",$T606+(AC$2*$M606))</f>
        <v/>
      </c>
      <c r="AD606" s="48">
        <f>IF(OR($M606="",$T606=""),"",$T606+(AD$2*$M606))</f>
        <v/>
      </c>
      <c r="AE606" s="49">
        <f>IF(OR($M606="",$T606=""),"",$T606+(AE$2*$M606))</f>
        <v/>
      </c>
      <c r="AF606" s="52">
        <f>IF(OR(T606="",I606&lt;T606),"",IFERROR(AVERAGE(T606+M606*{7,8,9,10,11})/IF(G606="",I606,G606)-1,""))</f>
        <v/>
      </c>
      <c r="AG606" s="55">
        <f>IF(OR(T606="",I606&lt;T606),"",IFERROR(AF606/-(R606/IF(G606="",I606,G606)-1),""))</f>
        <v/>
      </c>
      <c r="AH606" s="94" t="n"/>
      <c r="AI606" s="94" t="n"/>
      <c r="AJ606" s="94" t="n"/>
      <c r="AK606" s="94" t="n"/>
      <c r="AL606" s="84" t="n"/>
    </row>
    <row r="607">
      <c r="A607" s="64" t="n"/>
      <c r="B607" s="65" t="n"/>
      <c r="C607" s="66" t="n"/>
      <c r="D607" s="67" t="n"/>
      <c r="E607" s="68" t="n"/>
      <c r="F607" s="47">
        <f>IF(A607="","",IF(MIN(H607,MAX(J607:K607))=0,"",MIN(H607,MAX(J607:K607))))</f>
        <v/>
      </c>
      <c r="G607" s="74" t="n"/>
      <c r="H607" s="49">
        <f>IF(M607="","",IFERROR(ROUND(AVERAGE(T607+M607*{7,8,9,10,11})/1.21,4),""))</f>
        <v/>
      </c>
      <c r="I607" s="76" t="n"/>
      <c r="J607" s="77" t="n"/>
      <c r="K607" s="74" t="n"/>
      <c r="L607" s="78" t="n"/>
      <c r="M607" s="77" t="n"/>
      <c r="N607" s="53">
        <f>IF(M607="","",IFERROR(M607/I607,""))</f>
        <v/>
      </c>
      <c r="O607" s="50">
        <f>IF(A607="","",IFERROR((IF(G607="",I607,G607)-T607)/M607,""))</f>
        <v/>
      </c>
      <c r="P607" s="50">
        <f>IFERROR((I607/T607-1)/N607,"")</f>
        <v/>
      </c>
      <c r="Q607" s="46">
        <f>IF(OR(T607="",I607&lt;T607),"",IFERROR(R607/IF(G607="",I607,G607)-1,""))</f>
        <v/>
      </c>
      <c r="R607" s="48">
        <f>IF($M607="","",MAX(IF($G607="",$I607,$G607)*(1/1.1),IF($G607="",$I607,$G607)+(R$2*$M607)))</f>
        <v/>
      </c>
      <c r="S607" s="49">
        <f>IF($M607="","",MAX(IF($G607="",$I607,$G607)*(1/1.1),IF($G607="",$I607,$G607)+(S$2*$M607)))</f>
        <v/>
      </c>
      <c r="T607" s="82" t="n"/>
      <c r="U607" s="47">
        <f>IF(OR($M607="",$T607=""),"",$T607+(U$2*$M607))</f>
        <v/>
      </c>
      <c r="V607" s="48">
        <f>IF(OR($M607="",$T607=""),"",$T607+(V$2*$M607))</f>
        <v/>
      </c>
      <c r="W607" s="48">
        <f>IF(OR($M607="",$T607=""),"",$T607+(W$2*$M607))</f>
        <v/>
      </c>
      <c r="X607" s="49">
        <f>IF(OR($M607="",$T607=""),"",$T607+(X$2*$M607))</f>
        <v/>
      </c>
      <c r="Y607" s="47">
        <f>IF(OR($M607="",$T607=""),"",$T607+(Y$2*$M607))</f>
        <v/>
      </c>
      <c r="Z607" s="49">
        <f>IF(OR($M607="",$T607=""),"",$T607+(Z$2*$M607))</f>
        <v/>
      </c>
      <c r="AA607" s="51">
        <f>IF(OR($M607="",$T607=""),"",$T607+(AA$2*$M607))</f>
        <v/>
      </c>
      <c r="AB607" s="48">
        <f>IF(OR($M607="",$T607=""),"",$T607+(AB$2*$M607))</f>
        <v/>
      </c>
      <c r="AC607" s="48">
        <f>IF(OR($M607="",$T607=""),"",$T607+(AC$2*$M607))</f>
        <v/>
      </c>
      <c r="AD607" s="48">
        <f>IF(OR($M607="",$T607=""),"",$T607+(AD$2*$M607))</f>
        <v/>
      </c>
      <c r="AE607" s="49">
        <f>IF(OR($M607="",$T607=""),"",$T607+(AE$2*$M607))</f>
        <v/>
      </c>
      <c r="AF607" s="52">
        <f>IF(OR(T607="",I607&lt;T607),"",IFERROR(AVERAGE(T607+M607*{7,8,9,10,11})/IF(G607="",I607,G607)-1,""))</f>
        <v/>
      </c>
      <c r="AG607" s="55">
        <f>IF(OR(T607="",I607&lt;T607),"",IFERROR(AF607/-(R607/IF(G607="",I607,G607)-1),""))</f>
        <v/>
      </c>
      <c r="AH607" s="94" t="n"/>
      <c r="AI607" s="94" t="n"/>
      <c r="AJ607" s="94" t="n"/>
      <c r="AK607" s="94" t="n"/>
      <c r="AL607" s="84" t="n"/>
    </row>
    <row r="608">
      <c r="A608" s="64" t="n"/>
      <c r="B608" s="65" t="n"/>
      <c r="C608" s="66" t="n"/>
      <c r="D608" s="67" t="n"/>
      <c r="E608" s="68" t="n"/>
      <c r="F608" s="47">
        <f>IF(A608="","",IF(MIN(H608,MAX(J608:K608))=0,"",MIN(H608,MAX(J608:K608))))</f>
        <v/>
      </c>
      <c r="G608" s="74" t="n"/>
      <c r="H608" s="49">
        <f>IF(M608="","",IFERROR(ROUND(AVERAGE(T608+M608*{7,8,9,10,11})/1.21,4),""))</f>
        <v/>
      </c>
      <c r="I608" s="76" t="n"/>
      <c r="J608" s="77" t="n"/>
      <c r="K608" s="74" t="n"/>
      <c r="L608" s="78" t="n"/>
      <c r="M608" s="77" t="n"/>
      <c r="N608" s="53">
        <f>IF(M608="","",IFERROR(M608/I608,""))</f>
        <v/>
      </c>
      <c r="O608" s="50">
        <f>IF(A608="","",IFERROR((IF(G608="",I608,G608)-T608)/M608,""))</f>
        <v/>
      </c>
      <c r="P608" s="50">
        <f>IFERROR((I608/T608-1)/N608,"")</f>
        <v/>
      </c>
      <c r="Q608" s="46">
        <f>IF(OR(T608="",I608&lt;T608),"",IFERROR(R608/IF(G608="",I608,G608)-1,""))</f>
        <v/>
      </c>
      <c r="R608" s="48">
        <f>IF($M608="","",MAX(IF($G608="",$I608,$G608)*(1/1.1),IF($G608="",$I608,$G608)+(R$2*$M608)))</f>
        <v/>
      </c>
      <c r="S608" s="49">
        <f>IF($M608="","",MAX(IF($G608="",$I608,$G608)*(1/1.1),IF($G608="",$I608,$G608)+(S$2*$M608)))</f>
        <v/>
      </c>
      <c r="T608" s="82" t="n"/>
      <c r="U608" s="47">
        <f>IF(OR($M608="",$T608=""),"",$T608+(U$2*$M608))</f>
        <v/>
      </c>
      <c r="V608" s="48">
        <f>IF(OR($M608="",$T608=""),"",$T608+(V$2*$M608))</f>
        <v/>
      </c>
      <c r="W608" s="48">
        <f>IF(OR($M608="",$T608=""),"",$T608+(W$2*$M608))</f>
        <v/>
      </c>
      <c r="X608" s="49">
        <f>IF(OR($M608="",$T608=""),"",$T608+(X$2*$M608))</f>
        <v/>
      </c>
      <c r="Y608" s="47">
        <f>IF(OR($M608="",$T608=""),"",$T608+(Y$2*$M608))</f>
        <v/>
      </c>
      <c r="Z608" s="49">
        <f>IF(OR($M608="",$T608=""),"",$T608+(Z$2*$M608))</f>
        <v/>
      </c>
      <c r="AA608" s="51">
        <f>IF(OR($M608="",$T608=""),"",$T608+(AA$2*$M608))</f>
        <v/>
      </c>
      <c r="AB608" s="48">
        <f>IF(OR($M608="",$T608=""),"",$T608+(AB$2*$M608))</f>
        <v/>
      </c>
      <c r="AC608" s="48">
        <f>IF(OR($M608="",$T608=""),"",$T608+(AC$2*$M608))</f>
        <v/>
      </c>
      <c r="AD608" s="48">
        <f>IF(OR($M608="",$T608=""),"",$T608+(AD$2*$M608))</f>
        <v/>
      </c>
      <c r="AE608" s="49">
        <f>IF(OR($M608="",$T608=""),"",$T608+(AE$2*$M608))</f>
        <v/>
      </c>
      <c r="AF608" s="52">
        <f>IF(OR(T608="",I608&lt;T608),"",IFERROR(AVERAGE(T608+M608*{7,8,9,10,11})/IF(G608="",I608,G608)-1,""))</f>
        <v/>
      </c>
      <c r="AG608" s="55">
        <f>IF(OR(T608="",I608&lt;T608),"",IFERROR(AF608/-(R608/IF(G608="",I608,G608)-1),""))</f>
        <v/>
      </c>
      <c r="AH608" s="94" t="n"/>
      <c r="AI608" s="94" t="n"/>
      <c r="AJ608" s="94" t="n"/>
      <c r="AK608" s="94" t="n"/>
      <c r="AL608" s="84" t="n"/>
    </row>
    <row r="609">
      <c r="A609" s="64" t="n"/>
      <c r="B609" s="65" t="n"/>
      <c r="C609" s="66" t="n"/>
      <c r="D609" s="67" t="n"/>
      <c r="E609" s="68" t="n"/>
      <c r="F609" s="47">
        <f>IF(A609="","",IF(MIN(H609,MAX(J609:K609))=0,"",MIN(H609,MAX(J609:K609))))</f>
        <v/>
      </c>
      <c r="G609" s="74" t="n"/>
      <c r="H609" s="49">
        <f>IF(M609="","",IFERROR(ROUND(AVERAGE(T609+M609*{7,8,9,10,11})/1.21,4),""))</f>
        <v/>
      </c>
      <c r="I609" s="76" t="n"/>
      <c r="J609" s="77" t="n"/>
      <c r="K609" s="74" t="n"/>
      <c r="L609" s="78" t="n"/>
      <c r="M609" s="77" t="n"/>
      <c r="N609" s="53">
        <f>IF(M609="","",IFERROR(M609/I609,""))</f>
        <v/>
      </c>
      <c r="O609" s="50">
        <f>IF(A609="","",IFERROR((IF(G609="",I609,G609)-T609)/M609,""))</f>
        <v/>
      </c>
      <c r="P609" s="50">
        <f>IFERROR((I609/T609-1)/N609,"")</f>
        <v/>
      </c>
      <c r="Q609" s="46">
        <f>IF(OR(T609="",I609&lt;T609),"",IFERROR(R609/IF(G609="",I609,G609)-1,""))</f>
        <v/>
      </c>
      <c r="R609" s="48">
        <f>IF($M609="","",MAX(IF($G609="",$I609,$G609)*(1/1.1),IF($G609="",$I609,$G609)+(R$2*$M609)))</f>
        <v/>
      </c>
      <c r="S609" s="49">
        <f>IF($M609="","",MAX(IF($G609="",$I609,$G609)*(1/1.1),IF($G609="",$I609,$G609)+(S$2*$M609)))</f>
        <v/>
      </c>
      <c r="T609" s="82" t="n"/>
      <c r="U609" s="47">
        <f>IF(OR($M609="",$T609=""),"",$T609+(U$2*$M609))</f>
        <v/>
      </c>
      <c r="V609" s="48">
        <f>IF(OR($M609="",$T609=""),"",$T609+(V$2*$M609))</f>
        <v/>
      </c>
      <c r="W609" s="48">
        <f>IF(OR($M609="",$T609=""),"",$T609+(W$2*$M609))</f>
        <v/>
      </c>
      <c r="X609" s="49">
        <f>IF(OR($M609="",$T609=""),"",$T609+(X$2*$M609))</f>
        <v/>
      </c>
      <c r="Y609" s="47">
        <f>IF(OR($M609="",$T609=""),"",$T609+(Y$2*$M609))</f>
        <v/>
      </c>
      <c r="Z609" s="49">
        <f>IF(OR($M609="",$T609=""),"",$T609+(Z$2*$M609))</f>
        <v/>
      </c>
      <c r="AA609" s="51">
        <f>IF(OR($M609="",$T609=""),"",$T609+(AA$2*$M609))</f>
        <v/>
      </c>
      <c r="AB609" s="48">
        <f>IF(OR($M609="",$T609=""),"",$T609+(AB$2*$M609))</f>
        <v/>
      </c>
      <c r="AC609" s="48">
        <f>IF(OR($M609="",$T609=""),"",$T609+(AC$2*$M609))</f>
        <v/>
      </c>
      <c r="AD609" s="48">
        <f>IF(OR($M609="",$T609=""),"",$T609+(AD$2*$M609))</f>
        <v/>
      </c>
      <c r="AE609" s="49">
        <f>IF(OR($M609="",$T609=""),"",$T609+(AE$2*$M609))</f>
        <v/>
      </c>
      <c r="AF609" s="52">
        <f>IF(OR(T609="",I609&lt;T609),"",IFERROR(AVERAGE(T609+M609*{7,8,9,10,11})/IF(G609="",I609,G609)-1,""))</f>
        <v/>
      </c>
      <c r="AG609" s="55">
        <f>IF(OR(T609="",I609&lt;T609),"",IFERROR(AF609/-(R609/IF(G609="",I609,G609)-1),""))</f>
        <v/>
      </c>
      <c r="AH609" s="94" t="n"/>
      <c r="AI609" s="94" t="n"/>
      <c r="AJ609" s="94" t="n"/>
      <c r="AK609" s="94" t="n"/>
      <c r="AL609" s="84" t="n"/>
    </row>
    <row r="610">
      <c r="A610" s="64" t="n"/>
      <c r="B610" s="65" t="n"/>
      <c r="C610" s="66" t="n"/>
      <c r="D610" s="67" t="n"/>
      <c r="E610" s="68" t="n"/>
      <c r="F610" s="47">
        <f>IF(A610="","",IF(MIN(H610,MAX(J610:K610))=0,"",MIN(H610,MAX(J610:K610))))</f>
        <v/>
      </c>
      <c r="G610" s="74" t="n"/>
      <c r="H610" s="49">
        <f>IF(M610="","",IFERROR(ROUND(AVERAGE(T610+M610*{7,8,9,10,11})/1.21,4),""))</f>
        <v/>
      </c>
      <c r="I610" s="76" t="n"/>
      <c r="J610" s="77" t="n"/>
      <c r="K610" s="74" t="n"/>
      <c r="L610" s="78" t="n"/>
      <c r="M610" s="77" t="n"/>
      <c r="N610" s="53">
        <f>IF(M610="","",IFERROR(M610/I610,""))</f>
        <v/>
      </c>
      <c r="O610" s="50">
        <f>IF(A610="","",IFERROR((IF(G610="",I610,G610)-T610)/M610,""))</f>
        <v/>
      </c>
      <c r="P610" s="50">
        <f>IFERROR((I610/T610-1)/N610,"")</f>
        <v/>
      </c>
      <c r="Q610" s="46">
        <f>IF(OR(T610="",I610&lt;T610),"",IFERROR(R610/IF(G610="",I610,G610)-1,""))</f>
        <v/>
      </c>
      <c r="R610" s="48">
        <f>IF($M610="","",MAX(IF($G610="",$I610,$G610)*(1/1.1),IF($G610="",$I610,$G610)+(R$2*$M610)))</f>
        <v/>
      </c>
      <c r="S610" s="49">
        <f>IF($M610="","",MAX(IF($G610="",$I610,$G610)*(1/1.1),IF($G610="",$I610,$G610)+(S$2*$M610)))</f>
        <v/>
      </c>
      <c r="T610" s="82" t="n"/>
      <c r="U610" s="47">
        <f>IF(OR($M610="",$T610=""),"",$T610+(U$2*$M610))</f>
        <v/>
      </c>
      <c r="V610" s="48">
        <f>IF(OR($M610="",$T610=""),"",$T610+(V$2*$M610))</f>
        <v/>
      </c>
      <c r="W610" s="48">
        <f>IF(OR($M610="",$T610=""),"",$T610+(W$2*$M610))</f>
        <v/>
      </c>
      <c r="X610" s="49">
        <f>IF(OR($M610="",$T610=""),"",$T610+(X$2*$M610))</f>
        <v/>
      </c>
      <c r="Y610" s="47">
        <f>IF(OR($M610="",$T610=""),"",$T610+(Y$2*$M610))</f>
        <v/>
      </c>
      <c r="Z610" s="49">
        <f>IF(OR($M610="",$T610=""),"",$T610+(Z$2*$M610))</f>
        <v/>
      </c>
      <c r="AA610" s="51">
        <f>IF(OR($M610="",$T610=""),"",$T610+(AA$2*$M610))</f>
        <v/>
      </c>
      <c r="AB610" s="48">
        <f>IF(OR($M610="",$T610=""),"",$T610+(AB$2*$M610))</f>
        <v/>
      </c>
      <c r="AC610" s="48">
        <f>IF(OR($M610="",$T610=""),"",$T610+(AC$2*$M610))</f>
        <v/>
      </c>
      <c r="AD610" s="48">
        <f>IF(OR($M610="",$T610=""),"",$T610+(AD$2*$M610))</f>
        <v/>
      </c>
      <c r="AE610" s="49">
        <f>IF(OR($M610="",$T610=""),"",$T610+(AE$2*$M610))</f>
        <v/>
      </c>
      <c r="AF610" s="52">
        <f>IF(OR(T610="",I610&lt;T610),"",IFERROR(AVERAGE(T610+M610*{7,8,9,10,11})/IF(G610="",I610,G610)-1,""))</f>
        <v/>
      </c>
      <c r="AG610" s="55">
        <f>IF(OR(T610="",I610&lt;T610),"",IFERROR(AF610/-(R610/IF(G610="",I610,G610)-1),""))</f>
        <v/>
      </c>
      <c r="AH610" s="94" t="n"/>
      <c r="AI610" s="94" t="n"/>
      <c r="AJ610" s="94" t="n"/>
      <c r="AK610" s="94" t="n"/>
      <c r="AL610" s="84" t="n"/>
    </row>
    <row r="611">
      <c r="A611" s="64" t="n"/>
      <c r="B611" s="65" t="n"/>
      <c r="C611" s="66" t="n"/>
      <c r="D611" s="67" t="n"/>
      <c r="E611" s="68" t="n"/>
      <c r="F611" s="47">
        <f>IF(A611="","",IF(MIN(H611,MAX(J611:K611))=0,"",MIN(H611,MAX(J611:K611))))</f>
        <v/>
      </c>
      <c r="G611" s="74" t="n"/>
      <c r="H611" s="49">
        <f>IF(M611="","",IFERROR(ROUND(AVERAGE(T611+M611*{7,8,9,10,11})/1.21,4),""))</f>
        <v/>
      </c>
      <c r="I611" s="76" t="n"/>
      <c r="J611" s="77" t="n"/>
      <c r="K611" s="74" t="n"/>
      <c r="L611" s="78" t="n"/>
      <c r="M611" s="77" t="n"/>
      <c r="N611" s="53">
        <f>IF(M611="","",IFERROR(M611/I611,""))</f>
        <v/>
      </c>
      <c r="O611" s="50">
        <f>IF(A611="","",IFERROR((IF(G611="",I611,G611)-T611)/M611,""))</f>
        <v/>
      </c>
      <c r="P611" s="50">
        <f>IFERROR((I611/T611-1)/N611,"")</f>
        <v/>
      </c>
      <c r="Q611" s="46">
        <f>IF(OR(T611="",I611&lt;T611),"",IFERROR(R611/IF(G611="",I611,G611)-1,""))</f>
        <v/>
      </c>
      <c r="R611" s="48">
        <f>IF($M611="","",MAX(IF($G611="",$I611,$G611)*(1/1.1),IF($G611="",$I611,$G611)+(R$2*$M611)))</f>
        <v/>
      </c>
      <c r="S611" s="49">
        <f>IF($M611="","",MAX(IF($G611="",$I611,$G611)*(1/1.1),IF($G611="",$I611,$G611)+(S$2*$M611)))</f>
        <v/>
      </c>
      <c r="T611" s="82" t="n"/>
      <c r="U611" s="47">
        <f>IF(OR($M611="",$T611=""),"",$T611+(U$2*$M611))</f>
        <v/>
      </c>
      <c r="V611" s="48">
        <f>IF(OR($M611="",$T611=""),"",$T611+(V$2*$M611))</f>
        <v/>
      </c>
      <c r="W611" s="48">
        <f>IF(OR($M611="",$T611=""),"",$T611+(W$2*$M611))</f>
        <v/>
      </c>
      <c r="X611" s="49">
        <f>IF(OR($M611="",$T611=""),"",$T611+(X$2*$M611))</f>
        <v/>
      </c>
      <c r="Y611" s="47">
        <f>IF(OR($M611="",$T611=""),"",$T611+(Y$2*$M611))</f>
        <v/>
      </c>
      <c r="Z611" s="49">
        <f>IF(OR($M611="",$T611=""),"",$T611+(Z$2*$M611))</f>
        <v/>
      </c>
      <c r="AA611" s="51">
        <f>IF(OR($M611="",$T611=""),"",$T611+(AA$2*$M611))</f>
        <v/>
      </c>
      <c r="AB611" s="48">
        <f>IF(OR($M611="",$T611=""),"",$T611+(AB$2*$M611))</f>
        <v/>
      </c>
      <c r="AC611" s="48">
        <f>IF(OR($M611="",$T611=""),"",$T611+(AC$2*$M611))</f>
        <v/>
      </c>
      <c r="AD611" s="48">
        <f>IF(OR($M611="",$T611=""),"",$T611+(AD$2*$M611))</f>
        <v/>
      </c>
      <c r="AE611" s="49">
        <f>IF(OR($M611="",$T611=""),"",$T611+(AE$2*$M611))</f>
        <v/>
      </c>
      <c r="AF611" s="52">
        <f>IF(OR(T611="",I611&lt;T611),"",IFERROR(AVERAGE(T611+M611*{7,8,9,10,11})/IF(G611="",I611,G611)-1,""))</f>
        <v/>
      </c>
      <c r="AG611" s="55">
        <f>IF(OR(T611="",I611&lt;T611),"",IFERROR(AF611/-(R611/IF(G611="",I611,G611)-1),""))</f>
        <v/>
      </c>
      <c r="AH611" s="94" t="n"/>
      <c r="AI611" s="94" t="n"/>
      <c r="AJ611" s="94" t="n"/>
      <c r="AK611" s="94" t="n"/>
      <c r="AL611" s="84" t="n"/>
    </row>
    <row r="612">
      <c r="A612" s="64" t="n"/>
      <c r="B612" s="65" t="n"/>
      <c r="C612" s="66" t="n"/>
      <c r="D612" s="67" t="n"/>
      <c r="E612" s="68" t="n"/>
      <c r="F612" s="47">
        <f>IF(A612="","",IF(MIN(H612,MAX(J612:K612))=0,"",MIN(H612,MAX(J612:K612))))</f>
        <v/>
      </c>
      <c r="G612" s="74" t="n"/>
      <c r="H612" s="49">
        <f>IF(M612="","",IFERROR(ROUND(AVERAGE(T612+M612*{7,8,9,10,11})/1.21,4),""))</f>
        <v/>
      </c>
      <c r="I612" s="76" t="n"/>
      <c r="J612" s="77" t="n"/>
      <c r="K612" s="74" t="n"/>
      <c r="L612" s="78" t="n"/>
      <c r="M612" s="77" t="n"/>
      <c r="N612" s="53">
        <f>IF(M612="","",IFERROR(M612/I612,""))</f>
        <v/>
      </c>
      <c r="O612" s="50">
        <f>IF(A612="","",IFERROR((IF(G612="",I612,G612)-T612)/M612,""))</f>
        <v/>
      </c>
      <c r="P612" s="50">
        <f>IFERROR((I612/T612-1)/N612,"")</f>
        <v/>
      </c>
      <c r="Q612" s="46">
        <f>IF(OR(T612="",I612&lt;T612),"",IFERROR(R612/IF(G612="",I612,G612)-1,""))</f>
        <v/>
      </c>
      <c r="R612" s="48">
        <f>IF($M612="","",MAX(IF($G612="",$I612,$G612)*(1/1.1),IF($G612="",$I612,$G612)+(R$2*$M612)))</f>
        <v/>
      </c>
      <c r="S612" s="49">
        <f>IF($M612="","",MAX(IF($G612="",$I612,$G612)*(1/1.1),IF($G612="",$I612,$G612)+(S$2*$M612)))</f>
        <v/>
      </c>
      <c r="T612" s="82" t="n"/>
      <c r="U612" s="47">
        <f>IF(OR($M612="",$T612=""),"",$T612+(U$2*$M612))</f>
        <v/>
      </c>
      <c r="V612" s="48">
        <f>IF(OR($M612="",$T612=""),"",$T612+(V$2*$M612))</f>
        <v/>
      </c>
      <c r="W612" s="48">
        <f>IF(OR($M612="",$T612=""),"",$T612+(W$2*$M612))</f>
        <v/>
      </c>
      <c r="X612" s="49">
        <f>IF(OR($M612="",$T612=""),"",$T612+(X$2*$M612))</f>
        <v/>
      </c>
      <c r="Y612" s="47">
        <f>IF(OR($M612="",$T612=""),"",$T612+(Y$2*$M612))</f>
        <v/>
      </c>
      <c r="Z612" s="49">
        <f>IF(OR($M612="",$T612=""),"",$T612+(Z$2*$M612))</f>
        <v/>
      </c>
      <c r="AA612" s="51">
        <f>IF(OR($M612="",$T612=""),"",$T612+(AA$2*$M612))</f>
        <v/>
      </c>
      <c r="AB612" s="48">
        <f>IF(OR($M612="",$T612=""),"",$T612+(AB$2*$M612))</f>
        <v/>
      </c>
      <c r="AC612" s="48">
        <f>IF(OR($M612="",$T612=""),"",$T612+(AC$2*$M612))</f>
        <v/>
      </c>
      <c r="AD612" s="48">
        <f>IF(OR($M612="",$T612=""),"",$T612+(AD$2*$M612))</f>
        <v/>
      </c>
      <c r="AE612" s="49">
        <f>IF(OR($M612="",$T612=""),"",$T612+(AE$2*$M612))</f>
        <v/>
      </c>
      <c r="AF612" s="52">
        <f>IF(OR(T612="",I612&lt;T612),"",IFERROR(AVERAGE(T612+M612*{7,8,9,10,11})/IF(G612="",I612,G612)-1,""))</f>
        <v/>
      </c>
      <c r="AG612" s="55">
        <f>IF(OR(T612="",I612&lt;T612),"",IFERROR(AF612/-(R612/IF(G612="",I612,G612)-1),""))</f>
        <v/>
      </c>
      <c r="AH612" s="94" t="n"/>
      <c r="AI612" s="94" t="n"/>
      <c r="AJ612" s="94" t="n"/>
      <c r="AK612" s="94" t="n"/>
      <c r="AL612" s="84" t="n"/>
    </row>
    <row r="613">
      <c r="A613" s="64" t="n"/>
      <c r="B613" s="65" t="n"/>
      <c r="C613" s="66" t="n"/>
      <c r="D613" s="67" t="n"/>
      <c r="E613" s="68" t="n"/>
      <c r="F613" s="47">
        <f>IF(A613="","",IF(MIN(H613,MAX(J613:K613))=0,"",MIN(H613,MAX(J613:K613))))</f>
        <v/>
      </c>
      <c r="G613" s="74" t="n"/>
      <c r="H613" s="49">
        <f>IF(M613="","",IFERROR(ROUND(AVERAGE(T613+M613*{7,8,9,10,11})/1.21,4),""))</f>
        <v/>
      </c>
      <c r="I613" s="76" t="n"/>
      <c r="J613" s="77" t="n"/>
      <c r="K613" s="74" t="n"/>
      <c r="L613" s="78" t="n"/>
      <c r="M613" s="77" t="n"/>
      <c r="N613" s="53">
        <f>IF(M613="","",IFERROR(M613/I613,""))</f>
        <v/>
      </c>
      <c r="O613" s="50">
        <f>IF(A613="","",IFERROR((IF(G613="",I613,G613)-T613)/M613,""))</f>
        <v/>
      </c>
      <c r="P613" s="50">
        <f>IFERROR((I613/T613-1)/N613,"")</f>
        <v/>
      </c>
      <c r="Q613" s="46">
        <f>IF(OR(T613="",I613&lt;T613),"",IFERROR(R613/IF(G613="",I613,G613)-1,""))</f>
        <v/>
      </c>
      <c r="R613" s="48">
        <f>IF($M613="","",MAX(IF($G613="",$I613,$G613)*(1/1.1),IF($G613="",$I613,$G613)+(R$2*$M613)))</f>
        <v/>
      </c>
      <c r="S613" s="49">
        <f>IF($M613="","",MAX(IF($G613="",$I613,$G613)*(1/1.1),IF($G613="",$I613,$G613)+(S$2*$M613)))</f>
        <v/>
      </c>
      <c r="T613" s="82" t="n"/>
      <c r="U613" s="47">
        <f>IF(OR($M613="",$T613=""),"",$T613+(U$2*$M613))</f>
        <v/>
      </c>
      <c r="V613" s="48">
        <f>IF(OR($M613="",$T613=""),"",$T613+(V$2*$M613))</f>
        <v/>
      </c>
      <c r="W613" s="48">
        <f>IF(OR($M613="",$T613=""),"",$T613+(W$2*$M613))</f>
        <v/>
      </c>
      <c r="X613" s="49">
        <f>IF(OR($M613="",$T613=""),"",$T613+(X$2*$M613))</f>
        <v/>
      </c>
      <c r="Y613" s="47">
        <f>IF(OR($M613="",$T613=""),"",$T613+(Y$2*$M613))</f>
        <v/>
      </c>
      <c r="Z613" s="49">
        <f>IF(OR($M613="",$T613=""),"",$T613+(Z$2*$M613))</f>
        <v/>
      </c>
      <c r="AA613" s="51">
        <f>IF(OR($M613="",$T613=""),"",$T613+(AA$2*$M613))</f>
        <v/>
      </c>
      <c r="AB613" s="48">
        <f>IF(OR($M613="",$T613=""),"",$T613+(AB$2*$M613))</f>
        <v/>
      </c>
      <c r="AC613" s="48">
        <f>IF(OR($M613="",$T613=""),"",$T613+(AC$2*$M613))</f>
        <v/>
      </c>
      <c r="AD613" s="48">
        <f>IF(OR($M613="",$T613=""),"",$T613+(AD$2*$M613))</f>
        <v/>
      </c>
      <c r="AE613" s="49">
        <f>IF(OR($M613="",$T613=""),"",$T613+(AE$2*$M613))</f>
        <v/>
      </c>
      <c r="AF613" s="52">
        <f>IF(OR(T613="",I613&lt;T613),"",IFERROR(AVERAGE(T613+M613*{7,8,9,10,11})/IF(G613="",I613,G613)-1,""))</f>
        <v/>
      </c>
      <c r="AG613" s="55">
        <f>IF(OR(T613="",I613&lt;T613),"",IFERROR(AF613/-(R613/IF(G613="",I613,G613)-1),""))</f>
        <v/>
      </c>
      <c r="AH613" s="94" t="n"/>
      <c r="AI613" s="94" t="n"/>
      <c r="AJ613" s="94" t="n"/>
      <c r="AK613" s="94" t="n"/>
      <c r="AL613" s="84" t="n"/>
    </row>
    <row r="614">
      <c r="A614" s="64" t="n"/>
      <c r="B614" s="65" t="n"/>
      <c r="C614" s="66" t="n"/>
      <c r="D614" s="67" t="n"/>
      <c r="E614" s="68" t="n"/>
      <c r="F614" s="47">
        <f>IF(A614="","",IF(MIN(H614,MAX(J614:K614))=0,"",MIN(H614,MAX(J614:K614))))</f>
        <v/>
      </c>
      <c r="G614" s="74" t="n"/>
      <c r="H614" s="49">
        <f>IF(M614="","",IFERROR(ROUND(AVERAGE(T614+M614*{7,8,9,10,11})/1.21,4),""))</f>
        <v/>
      </c>
      <c r="I614" s="76" t="n"/>
      <c r="J614" s="77" t="n"/>
      <c r="K614" s="74" t="n"/>
      <c r="L614" s="78" t="n"/>
      <c r="M614" s="77" t="n"/>
      <c r="N614" s="53">
        <f>IF(M614="","",IFERROR(M614/I614,""))</f>
        <v/>
      </c>
      <c r="O614" s="50">
        <f>IF(A614="","",IFERROR((IF(G614="",I614,G614)-T614)/M614,""))</f>
        <v/>
      </c>
      <c r="P614" s="50">
        <f>IFERROR((I614/T614-1)/N614,"")</f>
        <v/>
      </c>
      <c r="Q614" s="46">
        <f>IF(OR(T614="",I614&lt;T614),"",IFERROR(R614/IF(G614="",I614,G614)-1,""))</f>
        <v/>
      </c>
      <c r="R614" s="48">
        <f>IF($M614="","",MAX(IF($G614="",$I614,$G614)*(1/1.1),IF($G614="",$I614,$G614)+(R$2*$M614)))</f>
        <v/>
      </c>
      <c r="S614" s="49">
        <f>IF($M614="","",MAX(IF($G614="",$I614,$G614)*(1/1.1),IF($G614="",$I614,$G614)+(S$2*$M614)))</f>
        <v/>
      </c>
      <c r="T614" s="82" t="n"/>
      <c r="U614" s="47">
        <f>IF(OR($M614="",$T614=""),"",$T614+(U$2*$M614))</f>
        <v/>
      </c>
      <c r="V614" s="48">
        <f>IF(OR($M614="",$T614=""),"",$T614+(V$2*$M614))</f>
        <v/>
      </c>
      <c r="W614" s="48">
        <f>IF(OR($M614="",$T614=""),"",$T614+(W$2*$M614))</f>
        <v/>
      </c>
      <c r="X614" s="49">
        <f>IF(OR($M614="",$T614=""),"",$T614+(X$2*$M614))</f>
        <v/>
      </c>
      <c r="Y614" s="47">
        <f>IF(OR($M614="",$T614=""),"",$T614+(Y$2*$M614))</f>
        <v/>
      </c>
      <c r="Z614" s="49">
        <f>IF(OR($M614="",$T614=""),"",$T614+(Z$2*$M614))</f>
        <v/>
      </c>
      <c r="AA614" s="51">
        <f>IF(OR($M614="",$T614=""),"",$T614+(AA$2*$M614))</f>
        <v/>
      </c>
      <c r="AB614" s="48">
        <f>IF(OR($M614="",$T614=""),"",$T614+(AB$2*$M614))</f>
        <v/>
      </c>
      <c r="AC614" s="48">
        <f>IF(OR($M614="",$T614=""),"",$T614+(AC$2*$M614))</f>
        <v/>
      </c>
      <c r="AD614" s="48">
        <f>IF(OR($M614="",$T614=""),"",$T614+(AD$2*$M614))</f>
        <v/>
      </c>
      <c r="AE614" s="49">
        <f>IF(OR($M614="",$T614=""),"",$T614+(AE$2*$M614))</f>
        <v/>
      </c>
      <c r="AF614" s="52">
        <f>IF(OR(T614="",I614&lt;T614),"",IFERROR(AVERAGE(T614+M614*{7,8,9,10,11})/IF(G614="",I614,G614)-1,""))</f>
        <v/>
      </c>
      <c r="AG614" s="55">
        <f>IF(OR(T614="",I614&lt;T614),"",IFERROR(AF614/-(R614/IF(G614="",I614,G614)-1),""))</f>
        <v/>
      </c>
      <c r="AH614" s="94" t="n"/>
      <c r="AI614" s="94" t="n"/>
      <c r="AJ614" s="94" t="n"/>
      <c r="AK614" s="94" t="n"/>
      <c r="AL614" s="84" t="n"/>
    </row>
    <row r="615">
      <c r="A615" s="64" t="n"/>
      <c r="B615" s="65" t="n"/>
      <c r="C615" s="66" t="n"/>
      <c r="D615" s="67" t="n"/>
      <c r="E615" s="68" t="n"/>
      <c r="F615" s="47">
        <f>IF(A615="","",IF(MIN(H615,MAX(J615:K615))=0,"",MIN(H615,MAX(J615:K615))))</f>
        <v/>
      </c>
      <c r="G615" s="74" t="n"/>
      <c r="H615" s="49">
        <f>IF(M615="","",IFERROR(ROUND(AVERAGE(T615+M615*{7,8,9,10,11})/1.21,4),""))</f>
        <v/>
      </c>
      <c r="I615" s="76" t="n"/>
      <c r="J615" s="77" t="n"/>
      <c r="K615" s="74" t="n"/>
      <c r="L615" s="78" t="n"/>
      <c r="M615" s="77" t="n"/>
      <c r="N615" s="53">
        <f>IF(M615="","",IFERROR(M615/I615,""))</f>
        <v/>
      </c>
      <c r="O615" s="50">
        <f>IF(A615="","",IFERROR((IF(G615="",I615,G615)-T615)/M615,""))</f>
        <v/>
      </c>
      <c r="P615" s="50">
        <f>IFERROR((I615/T615-1)/N615,"")</f>
        <v/>
      </c>
      <c r="Q615" s="46">
        <f>IF(OR(T615="",I615&lt;T615),"",IFERROR(R615/IF(G615="",I615,G615)-1,""))</f>
        <v/>
      </c>
      <c r="R615" s="48">
        <f>IF($M615="","",MAX(IF($G615="",$I615,$G615)*(1/1.1),IF($G615="",$I615,$G615)+(R$2*$M615)))</f>
        <v/>
      </c>
      <c r="S615" s="49">
        <f>IF($M615="","",MAX(IF($G615="",$I615,$G615)*(1/1.1),IF($G615="",$I615,$G615)+(S$2*$M615)))</f>
        <v/>
      </c>
      <c r="T615" s="82" t="n"/>
      <c r="U615" s="47">
        <f>IF(OR($M615="",$T615=""),"",$T615+(U$2*$M615))</f>
        <v/>
      </c>
      <c r="V615" s="48">
        <f>IF(OR($M615="",$T615=""),"",$T615+(V$2*$M615))</f>
        <v/>
      </c>
      <c r="W615" s="48">
        <f>IF(OR($M615="",$T615=""),"",$T615+(W$2*$M615))</f>
        <v/>
      </c>
      <c r="X615" s="49">
        <f>IF(OR($M615="",$T615=""),"",$T615+(X$2*$M615))</f>
        <v/>
      </c>
      <c r="Y615" s="47">
        <f>IF(OR($M615="",$T615=""),"",$T615+(Y$2*$M615))</f>
        <v/>
      </c>
      <c r="Z615" s="49">
        <f>IF(OR($M615="",$T615=""),"",$T615+(Z$2*$M615))</f>
        <v/>
      </c>
      <c r="AA615" s="51">
        <f>IF(OR($M615="",$T615=""),"",$T615+(AA$2*$M615))</f>
        <v/>
      </c>
      <c r="AB615" s="48">
        <f>IF(OR($M615="",$T615=""),"",$T615+(AB$2*$M615))</f>
        <v/>
      </c>
      <c r="AC615" s="48">
        <f>IF(OR($M615="",$T615=""),"",$T615+(AC$2*$M615))</f>
        <v/>
      </c>
      <c r="AD615" s="48">
        <f>IF(OR($M615="",$T615=""),"",$T615+(AD$2*$M615))</f>
        <v/>
      </c>
      <c r="AE615" s="49">
        <f>IF(OR($M615="",$T615=""),"",$T615+(AE$2*$M615))</f>
        <v/>
      </c>
      <c r="AF615" s="52">
        <f>IF(OR(T615="",I615&lt;T615),"",IFERROR(AVERAGE(T615+M615*{7,8,9,10,11})/IF(G615="",I615,G615)-1,""))</f>
        <v/>
      </c>
      <c r="AG615" s="55">
        <f>IF(OR(T615="",I615&lt;T615),"",IFERROR(AF615/-(R615/IF(G615="",I615,G615)-1),""))</f>
        <v/>
      </c>
      <c r="AH615" s="94" t="n"/>
      <c r="AI615" s="94" t="n"/>
      <c r="AJ615" s="94" t="n"/>
      <c r="AK615" s="94" t="n"/>
      <c r="AL615" s="84" t="n"/>
    </row>
    <row r="616">
      <c r="A616" s="64" t="n"/>
      <c r="B616" s="65" t="n"/>
      <c r="C616" s="66" t="n"/>
      <c r="D616" s="67" t="n"/>
      <c r="E616" s="68" t="n"/>
      <c r="F616" s="47">
        <f>IF(A616="","",IF(MIN(H616,MAX(J616:K616))=0,"",MIN(H616,MAX(J616:K616))))</f>
        <v/>
      </c>
      <c r="G616" s="74" t="n"/>
      <c r="H616" s="49">
        <f>IF(M616="","",IFERROR(ROUND(AVERAGE(T616+M616*{7,8,9,10,11})/1.21,4),""))</f>
        <v/>
      </c>
      <c r="I616" s="76" t="n"/>
      <c r="J616" s="77" t="n"/>
      <c r="K616" s="74" t="n"/>
      <c r="L616" s="78" t="n"/>
      <c r="M616" s="77" t="n"/>
      <c r="N616" s="53">
        <f>IF(M616="","",IFERROR(M616/I616,""))</f>
        <v/>
      </c>
      <c r="O616" s="50">
        <f>IF(A616="","",IFERROR((IF(G616="",I616,G616)-T616)/M616,""))</f>
        <v/>
      </c>
      <c r="P616" s="50">
        <f>IFERROR((I616/T616-1)/N616,"")</f>
        <v/>
      </c>
      <c r="Q616" s="46">
        <f>IF(OR(T616="",I616&lt;T616),"",IFERROR(R616/IF(G616="",I616,G616)-1,""))</f>
        <v/>
      </c>
      <c r="R616" s="48">
        <f>IF($M616="","",MAX(IF($G616="",$I616,$G616)*(1/1.1),IF($G616="",$I616,$G616)+(R$2*$M616)))</f>
        <v/>
      </c>
      <c r="S616" s="49">
        <f>IF($M616="","",MAX(IF($G616="",$I616,$G616)*(1/1.1),IF($G616="",$I616,$G616)+(S$2*$M616)))</f>
        <v/>
      </c>
      <c r="T616" s="82" t="n"/>
      <c r="U616" s="47">
        <f>IF(OR($M616="",$T616=""),"",$T616+(U$2*$M616))</f>
        <v/>
      </c>
      <c r="V616" s="48">
        <f>IF(OR($M616="",$T616=""),"",$T616+(V$2*$M616))</f>
        <v/>
      </c>
      <c r="W616" s="48">
        <f>IF(OR($M616="",$T616=""),"",$T616+(W$2*$M616))</f>
        <v/>
      </c>
      <c r="X616" s="49">
        <f>IF(OR($M616="",$T616=""),"",$T616+(X$2*$M616))</f>
        <v/>
      </c>
      <c r="Y616" s="47">
        <f>IF(OR($M616="",$T616=""),"",$T616+(Y$2*$M616))</f>
        <v/>
      </c>
      <c r="Z616" s="49">
        <f>IF(OR($M616="",$T616=""),"",$T616+(Z$2*$M616))</f>
        <v/>
      </c>
      <c r="AA616" s="51">
        <f>IF(OR($M616="",$T616=""),"",$T616+(AA$2*$M616))</f>
        <v/>
      </c>
      <c r="AB616" s="48">
        <f>IF(OR($M616="",$T616=""),"",$T616+(AB$2*$M616))</f>
        <v/>
      </c>
      <c r="AC616" s="48">
        <f>IF(OR($M616="",$T616=""),"",$T616+(AC$2*$M616))</f>
        <v/>
      </c>
      <c r="AD616" s="48">
        <f>IF(OR($M616="",$T616=""),"",$T616+(AD$2*$M616))</f>
        <v/>
      </c>
      <c r="AE616" s="49">
        <f>IF(OR($M616="",$T616=""),"",$T616+(AE$2*$M616))</f>
        <v/>
      </c>
      <c r="AF616" s="52">
        <f>IF(OR(T616="",I616&lt;T616),"",IFERROR(AVERAGE(T616+M616*{7,8,9,10,11})/IF(G616="",I616,G616)-1,""))</f>
        <v/>
      </c>
      <c r="AG616" s="55">
        <f>IF(OR(T616="",I616&lt;T616),"",IFERROR(AF616/-(R616/IF(G616="",I616,G616)-1),""))</f>
        <v/>
      </c>
      <c r="AH616" s="94" t="n"/>
      <c r="AI616" s="94" t="n"/>
      <c r="AJ616" s="94" t="n"/>
      <c r="AK616" s="94" t="n"/>
      <c r="AL616" s="84" t="n"/>
    </row>
    <row r="617">
      <c r="A617" s="64" t="n"/>
      <c r="B617" s="65" t="n"/>
      <c r="C617" s="66" t="n"/>
      <c r="D617" s="67" t="n"/>
      <c r="E617" s="68" t="n"/>
      <c r="F617" s="47">
        <f>IF(A617="","",IF(MIN(H617,MAX(J617:K617))=0,"",MIN(H617,MAX(J617:K617))))</f>
        <v/>
      </c>
      <c r="G617" s="74" t="n"/>
      <c r="H617" s="49">
        <f>IF(M617="","",IFERROR(ROUND(AVERAGE(T617+M617*{7,8,9,10,11})/1.21,4),""))</f>
        <v/>
      </c>
      <c r="I617" s="76" t="n"/>
      <c r="J617" s="77" t="n"/>
      <c r="K617" s="74" t="n"/>
      <c r="L617" s="78" t="n"/>
      <c r="M617" s="77" t="n"/>
      <c r="N617" s="53">
        <f>IF(M617="","",IFERROR(M617/I617,""))</f>
        <v/>
      </c>
      <c r="O617" s="50">
        <f>IF(A617="","",IFERROR((IF(G617="",I617,G617)-T617)/M617,""))</f>
        <v/>
      </c>
      <c r="P617" s="50">
        <f>IFERROR((I617/T617-1)/N617,"")</f>
        <v/>
      </c>
      <c r="Q617" s="46">
        <f>IF(OR(T617="",I617&lt;T617),"",IFERROR(R617/IF(G617="",I617,G617)-1,""))</f>
        <v/>
      </c>
      <c r="R617" s="48">
        <f>IF($M617="","",MAX(IF($G617="",$I617,$G617)*(1/1.1),IF($G617="",$I617,$G617)+(R$2*$M617)))</f>
        <v/>
      </c>
      <c r="S617" s="49">
        <f>IF($M617="","",MAX(IF($G617="",$I617,$G617)*(1/1.1),IF($G617="",$I617,$G617)+(S$2*$M617)))</f>
        <v/>
      </c>
      <c r="T617" s="82" t="n"/>
      <c r="U617" s="47">
        <f>IF(OR($M617="",$T617=""),"",$T617+(U$2*$M617))</f>
        <v/>
      </c>
      <c r="V617" s="48">
        <f>IF(OR($M617="",$T617=""),"",$T617+(V$2*$M617))</f>
        <v/>
      </c>
      <c r="W617" s="48">
        <f>IF(OR($M617="",$T617=""),"",$T617+(W$2*$M617))</f>
        <v/>
      </c>
      <c r="X617" s="49">
        <f>IF(OR($M617="",$T617=""),"",$T617+(X$2*$M617))</f>
        <v/>
      </c>
      <c r="Y617" s="47">
        <f>IF(OR($M617="",$T617=""),"",$T617+(Y$2*$M617))</f>
        <v/>
      </c>
      <c r="Z617" s="49">
        <f>IF(OR($M617="",$T617=""),"",$T617+(Z$2*$M617))</f>
        <v/>
      </c>
      <c r="AA617" s="51">
        <f>IF(OR($M617="",$T617=""),"",$T617+(AA$2*$M617))</f>
        <v/>
      </c>
      <c r="AB617" s="48">
        <f>IF(OR($M617="",$T617=""),"",$T617+(AB$2*$M617))</f>
        <v/>
      </c>
      <c r="AC617" s="48">
        <f>IF(OR($M617="",$T617=""),"",$T617+(AC$2*$M617))</f>
        <v/>
      </c>
      <c r="AD617" s="48">
        <f>IF(OR($M617="",$T617=""),"",$T617+(AD$2*$M617))</f>
        <v/>
      </c>
      <c r="AE617" s="49">
        <f>IF(OR($M617="",$T617=""),"",$T617+(AE$2*$M617))</f>
        <v/>
      </c>
      <c r="AF617" s="52">
        <f>IF(OR(T617="",I617&lt;T617),"",IFERROR(AVERAGE(T617+M617*{7,8,9,10,11})/IF(G617="",I617,G617)-1,""))</f>
        <v/>
      </c>
      <c r="AG617" s="55">
        <f>IF(OR(T617="",I617&lt;T617),"",IFERROR(AF617/-(R617/IF(G617="",I617,G617)-1),""))</f>
        <v/>
      </c>
      <c r="AH617" s="94" t="n"/>
      <c r="AI617" s="94" t="n"/>
      <c r="AJ617" s="94" t="n"/>
      <c r="AK617" s="94" t="n"/>
      <c r="AL617" s="84" t="n"/>
    </row>
    <row r="618">
      <c r="A618" s="64" t="n"/>
      <c r="B618" s="65" t="n"/>
      <c r="C618" s="66" t="n"/>
      <c r="D618" s="67" t="n"/>
      <c r="E618" s="68" t="n"/>
      <c r="F618" s="47">
        <f>IF(A618="","",IF(MIN(H618,MAX(J618:K618))=0,"",MIN(H618,MAX(J618:K618))))</f>
        <v/>
      </c>
      <c r="G618" s="74" t="n"/>
      <c r="H618" s="49">
        <f>IF(M618="","",IFERROR(ROUND(AVERAGE(T618+M618*{7,8,9,10,11})/1.21,4),""))</f>
        <v/>
      </c>
      <c r="I618" s="76" t="n"/>
      <c r="J618" s="77" t="n"/>
      <c r="K618" s="74" t="n"/>
      <c r="L618" s="78" t="n"/>
      <c r="M618" s="77" t="n"/>
      <c r="N618" s="53">
        <f>IF(M618="","",IFERROR(M618/I618,""))</f>
        <v/>
      </c>
      <c r="O618" s="50">
        <f>IF(A618="","",IFERROR((IF(G618="",I618,G618)-T618)/M618,""))</f>
        <v/>
      </c>
      <c r="P618" s="50">
        <f>IFERROR((I618/T618-1)/N618,"")</f>
        <v/>
      </c>
      <c r="Q618" s="46">
        <f>IF(OR(T618="",I618&lt;T618),"",IFERROR(R618/IF(G618="",I618,G618)-1,""))</f>
        <v/>
      </c>
      <c r="R618" s="48">
        <f>IF($M618="","",MAX(IF($G618="",$I618,$G618)*(1/1.1),IF($G618="",$I618,$G618)+(R$2*$M618)))</f>
        <v/>
      </c>
      <c r="S618" s="49">
        <f>IF($M618="","",MAX(IF($G618="",$I618,$G618)*(1/1.1),IF($G618="",$I618,$G618)+(S$2*$M618)))</f>
        <v/>
      </c>
      <c r="T618" s="82" t="n"/>
      <c r="U618" s="47">
        <f>IF(OR($M618="",$T618=""),"",$T618+(U$2*$M618))</f>
        <v/>
      </c>
      <c r="V618" s="48">
        <f>IF(OR($M618="",$T618=""),"",$T618+(V$2*$M618))</f>
        <v/>
      </c>
      <c r="W618" s="48">
        <f>IF(OR($M618="",$T618=""),"",$T618+(W$2*$M618))</f>
        <v/>
      </c>
      <c r="X618" s="49">
        <f>IF(OR($M618="",$T618=""),"",$T618+(X$2*$M618))</f>
        <v/>
      </c>
      <c r="Y618" s="47">
        <f>IF(OR($M618="",$T618=""),"",$T618+(Y$2*$M618))</f>
        <v/>
      </c>
      <c r="Z618" s="49">
        <f>IF(OR($M618="",$T618=""),"",$T618+(Z$2*$M618))</f>
        <v/>
      </c>
      <c r="AA618" s="51">
        <f>IF(OR($M618="",$T618=""),"",$T618+(AA$2*$M618))</f>
        <v/>
      </c>
      <c r="AB618" s="48">
        <f>IF(OR($M618="",$T618=""),"",$T618+(AB$2*$M618))</f>
        <v/>
      </c>
      <c r="AC618" s="48">
        <f>IF(OR($M618="",$T618=""),"",$T618+(AC$2*$M618))</f>
        <v/>
      </c>
      <c r="AD618" s="48">
        <f>IF(OR($M618="",$T618=""),"",$T618+(AD$2*$M618))</f>
        <v/>
      </c>
      <c r="AE618" s="49">
        <f>IF(OR($M618="",$T618=""),"",$T618+(AE$2*$M618))</f>
        <v/>
      </c>
      <c r="AF618" s="52">
        <f>IF(OR(T618="",I618&lt;T618),"",IFERROR(AVERAGE(T618+M618*{7,8,9,10,11})/IF(G618="",I618,G618)-1,""))</f>
        <v/>
      </c>
      <c r="AG618" s="55">
        <f>IF(OR(T618="",I618&lt;T618),"",IFERROR(AF618/-(R618/IF(G618="",I618,G618)-1),""))</f>
        <v/>
      </c>
      <c r="AH618" s="94" t="n"/>
      <c r="AI618" s="94" t="n"/>
      <c r="AJ618" s="94" t="n"/>
      <c r="AK618" s="94" t="n"/>
      <c r="AL618" s="84" t="n"/>
    </row>
    <row r="619">
      <c r="A619" s="64" t="n"/>
      <c r="B619" s="65" t="n"/>
      <c r="C619" s="66" t="n"/>
      <c r="D619" s="67" t="n"/>
      <c r="E619" s="68" t="n"/>
      <c r="F619" s="47">
        <f>IF(A619="","",IF(MIN(H619,MAX(J619:K619))=0,"",MIN(H619,MAX(J619:K619))))</f>
        <v/>
      </c>
      <c r="G619" s="74" t="n"/>
      <c r="H619" s="49">
        <f>IF(M619="","",IFERROR(ROUND(AVERAGE(T619+M619*{7,8,9,10,11})/1.21,4),""))</f>
        <v/>
      </c>
      <c r="I619" s="76" t="n"/>
      <c r="J619" s="77" t="n"/>
      <c r="K619" s="74" t="n"/>
      <c r="L619" s="78" t="n"/>
      <c r="M619" s="77" t="n"/>
      <c r="N619" s="53">
        <f>IF(M619="","",IFERROR(M619/I619,""))</f>
        <v/>
      </c>
      <c r="O619" s="50">
        <f>IF(A619="","",IFERROR((IF(G619="",I619,G619)-T619)/M619,""))</f>
        <v/>
      </c>
      <c r="P619" s="50">
        <f>IFERROR((I619/T619-1)/N619,"")</f>
        <v/>
      </c>
      <c r="Q619" s="46">
        <f>IF(OR(T619="",I619&lt;T619),"",IFERROR(R619/IF(G619="",I619,G619)-1,""))</f>
        <v/>
      </c>
      <c r="R619" s="48">
        <f>IF($M619="","",MAX(IF($G619="",$I619,$G619)*(1/1.1),IF($G619="",$I619,$G619)+(R$2*$M619)))</f>
        <v/>
      </c>
      <c r="S619" s="49">
        <f>IF($M619="","",MAX(IF($G619="",$I619,$G619)*(1/1.1),IF($G619="",$I619,$G619)+(S$2*$M619)))</f>
        <v/>
      </c>
      <c r="T619" s="82" t="n"/>
      <c r="U619" s="47">
        <f>IF(OR($M619="",$T619=""),"",$T619+(U$2*$M619))</f>
        <v/>
      </c>
      <c r="V619" s="48">
        <f>IF(OR($M619="",$T619=""),"",$T619+(V$2*$M619))</f>
        <v/>
      </c>
      <c r="W619" s="48">
        <f>IF(OR($M619="",$T619=""),"",$T619+(W$2*$M619))</f>
        <v/>
      </c>
      <c r="X619" s="49">
        <f>IF(OR($M619="",$T619=""),"",$T619+(X$2*$M619))</f>
        <v/>
      </c>
      <c r="Y619" s="47">
        <f>IF(OR($M619="",$T619=""),"",$T619+(Y$2*$M619))</f>
        <v/>
      </c>
      <c r="Z619" s="49">
        <f>IF(OR($M619="",$T619=""),"",$T619+(Z$2*$M619))</f>
        <v/>
      </c>
      <c r="AA619" s="51">
        <f>IF(OR($M619="",$T619=""),"",$T619+(AA$2*$M619))</f>
        <v/>
      </c>
      <c r="AB619" s="48">
        <f>IF(OR($M619="",$T619=""),"",$T619+(AB$2*$M619))</f>
        <v/>
      </c>
      <c r="AC619" s="48">
        <f>IF(OR($M619="",$T619=""),"",$T619+(AC$2*$M619))</f>
        <v/>
      </c>
      <c r="AD619" s="48">
        <f>IF(OR($M619="",$T619=""),"",$T619+(AD$2*$M619))</f>
        <v/>
      </c>
      <c r="AE619" s="49">
        <f>IF(OR($M619="",$T619=""),"",$T619+(AE$2*$M619))</f>
        <v/>
      </c>
      <c r="AF619" s="52">
        <f>IF(OR(T619="",I619&lt;T619),"",IFERROR(AVERAGE(T619+M619*{7,8,9,10,11})/IF(G619="",I619,G619)-1,""))</f>
        <v/>
      </c>
      <c r="AG619" s="55">
        <f>IF(OR(T619="",I619&lt;T619),"",IFERROR(AF619/-(R619/IF(G619="",I619,G619)-1),""))</f>
        <v/>
      </c>
      <c r="AH619" s="94" t="n"/>
      <c r="AI619" s="94" t="n"/>
      <c r="AJ619" s="94" t="n"/>
      <c r="AK619" s="94" t="n"/>
      <c r="AL619" s="84" t="n"/>
    </row>
    <row r="620">
      <c r="A620" s="64" t="n"/>
      <c r="B620" s="65" t="n"/>
      <c r="C620" s="66" t="n"/>
      <c r="D620" s="67" t="n"/>
      <c r="E620" s="68" t="n"/>
      <c r="F620" s="47">
        <f>IF(A620="","",IF(MIN(H620,MAX(J620:K620))=0,"",MIN(H620,MAX(J620:K620))))</f>
        <v/>
      </c>
      <c r="G620" s="74" t="n"/>
      <c r="H620" s="49">
        <f>IF(M620="","",IFERROR(ROUND(AVERAGE(T620+M620*{7,8,9,10,11})/1.21,4),""))</f>
        <v/>
      </c>
      <c r="I620" s="76" t="n"/>
      <c r="J620" s="77" t="n"/>
      <c r="K620" s="74" t="n"/>
      <c r="L620" s="78" t="n"/>
      <c r="M620" s="77" t="n"/>
      <c r="N620" s="53">
        <f>IF(M620="","",IFERROR(M620/I620,""))</f>
        <v/>
      </c>
      <c r="O620" s="50">
        <f>IF(A620="","",IFERROR((IF(G620="",I620,G620)-T620)/M620,""))</f>
        <v/>
      </c>
      <c r="P620" s="50">
        <f>IFERROR((I620/T620-1)/N620,"")</f>
        <v/>
      </c>
      <c r="Q620" s="46">
        <f>IF(OR(T620="",I620&lt;T620),"",IFERROR(R620/IF(G620="",I620,G620)-1,""))</f>
        <v/>
      </c>
      <c r="R620" s="48">
        <f>IF($M620="","",MAX(IF($G620="",$I620,$G620)*(1/1.1),IF($G620="",$I620,$G620)+(R$2*$M620)))</f>
        <v/>
      </c>
      <c r="S620" s="49">
        <f>IF($M620="","",MAX(IF($G620="",$I620,$G620)*(1/1.1),IF($G620="",$I620,$G620)+(S$2*$M620)))</f>
        <v/>
      </c>
      <c r="T620" s="82" t="n"/>
      <c r="U620" s="47">
        <f>IF(OR($M620="",$T620=""),"",$T620+(U$2*$M620))</f>
        <v/>
      </c>
      <c r="V620" s="48">
        <f>IF(OR($M620="",$T620=""),"",$T620+(V$2*$M620))</f>
        <v/>
      </c>
      <c r="W620" s="48">
        <f>IF(OR($M620="",$T620=""),"",$T620+(W$2*$M620))</f>
        <v/>
      </c>
      <c r="X620" s="49">
        <f>IF(OR($M620="",$T620=""),"",$T620+(X$2*$M620))</f>
        <v/>
      </c>
      <c r="Y620" s="47">
        <f>IF(OR($M620="",$T620=""),"",$T620+(Y$2*$M620))</f>
        <v/>
      </c>
      <c r="Z620" s="49">
        <f>IF(OR($M620="",$T620=""),"",$T620+(Z$2*$M620))</f>
        <v/>
      </c>
      <c r="AA620" s="51">
        <f>IF(OR($M620="",$T620=""),"",$T620+(AA$2*$M620))</f>
        <v/>
      </c>
      <c r="AB620" s="48">
        <f>IF(OR($M620="",$T620=""),"",$T620+(AB$2*$M620))</f>
        <v/>
      </c>
      <c r="AC620" s="48">
        <f>IF(OR($M620="",$T620=""),"",$T620+(AC$2*$M620))</f>
        <v/>
      </c>
      <c r="AD620" s="48">
        <f>IF(OR($M620="",$T620=""),"",$T620+(AD$2*$M620))</f>
        <v/>
      </c>
      <c r="AE620" s="49">
        <f>IF(OR($M620="",$T620=""),"",$T620+(AE$2*$M620))</f>
        <v/>
      </c>
      <c r="AF620" s="52">
        <f>IF(OR(T620="",I620&lt;T620),"",IFERROR(AVERAGE(T620+M620*{7,8,9,10,11})/IF(G620="",I620,G620)-1,""))</f>
        <v/>
      </c>
      <c r="AG620" s="55">
        <f>IF(OR(T620="",I620&lt;T620),"",IFERROR(AF620/-(R620/IF(G620="",I620,G620)-1),""))</f>
        <v/>
      </c>
      <c r="AH620" s="94" t="n"/>
      <c r="AI620" s="94" t="n"/>
      <c r="AJ620" s="94" t="n"/>
      <c r="AK620" s="94" t="n"/>
      <c r="AL620" s="84" t="n"/>
    </row>
    <row r="621">
      <c r="A621" s="64" t="n"/>
      <c r="B621" s="65" t="n"/>
      <c r="C621" s="66" t="n"/>
      <c r="D621" s="67" t="n"/>
      <c r="E621" s="68" t="n"/>
      <c r="F621" s="47">
        <f>IF(A621="","",IF(MIN(H621,MAX(J621:K621))=0,"",MIN(H621,MAX(J621:K621))))</f>
        <v/>
      </c>
      <c r="G621" s="74" t="n"/>
      <c r="H621" s="49">
        <f>IF(M621="","",IFERROR(ROUND(AVERAGE(T621+M621*{7,8,9,10,11})/1.21,4),""))</f>
        <v/>
      </c>
      <c r="I621" s="76" t="n"/>
      <c r="J621" s="77" t="n"/>
      <c r="K621" s="74" t="n"/>
      <c r="L621" s="78" t="n"/>
      <c r="M621" s="77" t="n"/>
      <c r="N621" s="53">
        <f>IF(M621="","",IFERROR(M621/I621,""))</f>
        <v/>
      </c>
      <c r="O621" s="50">
        <f>IF(A621="","",IFERROR((IF(G621="",I621,G621)-T621)/M621,""))</f>
        <v/>
      </c>
      <c r="P621" s="50">
        <f>IFERROR((I621/T621-1)/N621,"")</f>
        <v/>
      </c>
      <c r="Q621" s="46">
        <f>IF(OR(T621="",I621&lt;T621),"",IFERROR(R621/IF(G621="",I621,G621)-1,""))</f>
        <v/>
      </c>
      <c r="R621" s="48">
        <f>IF($M621="","",MAX(IF($G621="",$I621,$G621)*(1/1.1),IF($G621="",$I621,$G621)+(R$2*$M621)))</f>
        <v/>
      </c>
      <c r="S621" s="49">
        <f>IF($M621="","",MAX(IF($G621="",$I621,$G621)*(1/1.1),IF($G621="",$I621,$G621)+(S$2*$M621)))</f>
        <v/>
      </c>
      <c r="T621" s="82" t="n"/>
      <c r="U621" s="47">
        <f>IF(OR($M621="",$T621=""),"",$T621+(U$2*$M621))</f>
        <v/>
      </c>
      <c r="V621" s="48">
        <f>IF(OR($M621="",$T621=""),"",$T621+(V$2*$M621))</f>
        <v/>
      </c>
      <c r="W621" s="48">
        <f>IF(OR($M621="",$T621=""),"",$T621+(W$2*$M621))</f>
        <v/>
      </c>
      <c r="X621" s="49">
        <f>IF(OR($M621="",$T621=""),"",$T621+(X$2*$M621))</f>
        <v/>
      </c>
      <c r="Y621" s="47">
        <f>IF(OR($M621="",$T621=""),"",$T621+(Y$2*$M621))</f>
        <v/>
      </c>
      <c r="Z621" s="49">
        <f>IF(OR($M621="",$T621=""),"",$T621+(Z$2*$M621))</f>
        <v/>
      </c>
      <c r="AA621" s="51">
        <f>IF(OR($M621="",$T621=""),"",$T621+(AA$2*$M621))</f>
        <v/>
      </c>
      <c r="AB621" s="48">
        <f>IF(OR($M621="",$T621=""),"",$T621+(AB$2*$M621))</f>
        <v/>
      </c>
      <c r="AC621" s="48">
        <f>IF(OR($M621="",$T621=""),"",$T621+(AC$2*$M621))</f>
        <v/>
      </c>
      <c r="AD621" s="48">
        <f>IF(OR($M621="",$T621=""),"",$T621+(AD$2*$M621))</f>
        <v/>
      </c>
      <c r="AE621" s="49">
        <f>IF(OR($M621="",$T621=""),"",$T621+(AE$2*$M621))</f>
        <v/>
      </c>
      <c r="AF621" s="52">
        <f>IF(OR(T621="",I621&lt;T621),"",IFERROR(AVERAGE(T621+M621*{7,8,9,10,11})/IF(G621="",I621,G621)-1,""))</f>
        <v/>
      </c>
      <c r="AG621" s="55">
        <f>IF(OR(T621="",I621&lt;T621),"",IFERROR(AF621/-(R621/IF(G621="",I621,G621)-1),""))</f>
        <v/>
      </c>
      <c r="AH621" s="94" t="n"/>
      <c r="AI621" s="94" t="n"/>
      <c r="AJ621" s="94" t="n"/>
      <c r="AK621" s="94" t="n"/>
      <c r="AL621" s="84" t="n"/>
    </row>
    <row r="622">
      <c r="A622" s="64" t="n"/>
      <c r="B622" s="65" t="n"/>
      <c r="C622" s="66" t="n"/>
      <c r="D622" s="67" t="n"/>
      <c r="E622" s="68" t="n"/>
      <c r="F622" s="47">
        <f>IF(A622="","",IF(MIN(H622,MAX(J622:K622))=0,"",MIN(H622,MAX(J622:K622))))</f>
        <v/>
      </c>
      <c r="G622" s="74" t="n"/>
      <c r="H622" s="49">
        <f>IF(M622="","",IFERROR(ROUND(AVERAGE(T622+M622*{7,8,9,10,11})/1.21,4),""))</f>
        <v/>
      </c>
      <c r="I622" s="76" t="n"/>
      <c r="J622" s="77" t="n"/>
      <c r="K622" s="74" t="n"/>
      <c r="L622" s="78" t="n"/>
      <c r="M622" s="77" t="n"/>
      <c r="N622" s="53">
        <f>IF(M622="","",IFERROR(M622/I622,""))</f>
        <v/>
      </c>
      <c r="O622" s="50">
        <f>IF(A622="","",IFERROR((IF(G622="",I622,G622)-T622)/M622,""))</f>
        <v/>
      </c>
      <c r="P622" s="50">
        <f>IFERROR((I622/T622-1)/N622,"")</f>
        <v/>
      </c>
      <c r="Q622" s="46">
        <f>IF(OR(T622="",I622&lt;T622),"",IFERROR(R622/IF(G622="",I622,G622)-1,""))</f>
        <v/>
      </c>
      <c r="R622" s="48">
        <f>IF($M622="","",MAX(IF($G622="",$I622,$G622)*(1/1.1),IF($G622="",$I622,$G622)+(R$2*$M622)))</f>
        <v/>
      </c>
      <c r="S622" s="49">
        <f>IF($M622="","",MAX(IF($G622="",$I622,$G622)*(1/1.1),IF($G622="",$I622,$G622)+(S$2*$M622)))</f>
        <v/>
      </c>
      <c r="T622" s="82" t="n"/>
      <c r="U622" s="47">
        <f>IF(OR($M622="",$T622=""),"",$T622+(U$2*$M622))</f>
        <v/>
      </c>
      <c r="V622" s="48">
        <f>IF(OR($M622="",$T622=""),"",$T622+(V$2*$M622))</f>
        <v/>
      </c>
      <c r="W622" s="48">
        <f>IF(OR($M622="",$T622=""),"",$T622+(W$2*$M622))</f>
        <v/>
      </c>
      <c r="X622" s="49">
        <f>IF(OR($M622="",$T622=""),"",$T622+(X$2*$M622))</f>
        <v/>
      </c>
      <c r="Y622" s="47">
        <f>IF(OR($M622="",$T622=""),"",$T622+(Y$2*$M622))</f>
        <v/>
      </c>
      <c r="Z622" s="49">
        <f>IF(OR($M622="",$T622=""),"",$T622+(Z$2*$M622))</f>
        <v/>
      </c>
      <c r="AA622" s="51">
        <f>IF(OR($M622="",$T622=""),"",$T622+(AA$2*$M622))</f>
        <v/>
      </c>
      <c r="AB622" s="48">
        <f>IF(OR($M622="",$T622=""),"",$T622+(AB$2*$M622))</f>
        <v/>
      </c>
      <c r="AC622" s="48">
        <f>IF(OR($M622="",$T622=""),"",$T622+(AC$2*$M622))</f>
        <v/>
      </c>
      <c r="AD622" s="48">
        <f>IF(OR($M622="",$T622=""),"",$T622+(AD$2*$M622))</f>
        <v/>
      </c>
      <c r="AE622" s="49">
        <f>IF(OR($M622="",$T622=""),"",$T622+(AE$2*$M622))</f>
        <v/>
      </c>
      <c r="AF622" s="52">
        <f>IF(OR(T622="",I622&lt;T622),"",IFERROR(AVERAGE(T622+M622*{7,8,9,10,11})/IF(G622="",I622,G622)-1,""))</f>
        <v/>
      </c>
      <c r="AG622" s="55">
        <f>IF(OR(T622="",I622&lt;T622),"",IFERROR(AF622/-(R622/IF(G622="",I622,G622)-1),""))</f>
        <v/>
      </c>
      <c r="AH622" s="94" t="n"/>
      <c r="AI622" s="94" t="n"/>
      <c r="AJ622" s="94" t="n"/>
      <c r="AK622" s="94" t="n"/>
      <c r="AL622" s="84" t="n"/>
    </row>
    <row r="623">
      <c r="A623" s="64" t="n"/>
      <c r="B623" s="65" t="n"/>
      <c r="C623" s="66" t="n"/>
      <c r="D623" s="67" t="n"/>
      <c r="E623" s="68" t="n"/>
      <c r="F623" s="47">
        <f>IF(A623="","",IF(MIN(H623,MAX(J623:K623))=0,"",MIN(H623,MAX(J623:K623))))</f>
        <v/>
      </c>
      <c r="G623" s="74" t="n"/>
      <c r="H623" s="49">
        <f>IF(M623="","",IFERROR(ROUND(AVERAGE(T623+M623*{7,8,9,10,11})/1.21,4),""))</f>
        <v/>
      </c>
      <c r="I623" s="76" t="n"/>
      <c r="J623" s="77" t="n"/>
      <c r="K623" s="74" t="n"/>
      <c r="L623" s="78" t="n"/>
      <c r="M623" s="77" t="n"/>
      <c r="N623" s="53">
        <f>IF(M623="","",IFERROR(M623/I623,""))</f>
        <v/>
      </c>
      <c r="O623" s="50">
        <f>IF(A623="","",IFERROR((IF(G623="",I623,G623)-T623)/M623,""))</f>
        <v/>
      </c>
      <c r="P623" s="50">
        <f>IFERROR((I623/T623-1)/N623,"")</f>
        <v/>
      </c>
      <c r="Q623" s="46">
        <f>IF(OR(T623="",I623&lt;T623),"",IFERROR(R623/IF(G623="",I623,G623)-1,""))</f>
        <v/>
      </c>
      <c r="R623" s="48">
        <f>IF($M623="","",MAX(IF($G623="",$I623,$G623)*(1/1.1),IF($G623="",$I623,$G623)+(R$2*$M623)))</f>
        <v/>
      </c>
      <c r="S623" s="49">
        <f>IF($M623="","",MAX(IF($G623="",$I623,$G623)*(1/1.1),IF($G623="",$I623,$G623)+(S$2*$M623)))</f>
        <v/>
      </c>
      <c r="T623" s="82" t="n"/>
      <c r="U623" s="47">
        <f>IF(OR($M623="",$T623=""),"",$T623+(U$2*$M623))</f>
        <v/>
      </c>
      <c r="V623" s="48">
        <f>IF(OR($M623="",$T623=""),"",$T623+(V$2*$M623))</f>
        <v/>
      </c>
      <c r="W623" s="48">
        <f>IF(OR($M623="",$T623=""),"",$T623+(W$2*$M623))</f>
        <v/>
      </c>
      <c r="X623" s="49">
        <f>IF(OR($M623="",$T623=""),"",$T623+(X$2*$M623))</f>
        <v/>
      </c>
      <c r="Y623" s="47">
        <f>IF(OR($M623="",$T623=""),"",$T623+(Y$2*$M623))</f>
        <v/>
      </c>
      <c r="Z623" s="49">
        <f>IF(OR($M623="",$T623=""),"",$T623+(Z$2*$M623))</f>
        <v/>
      </c>
      <c r="AA623" s="51">
        <f>IF(OR($M623="",$T623=""),"",$T623+(AA$2*$M623))</f>
        <v/>
      </c>
      <c r="AB623" s="48">
        <f>IF(OR($M623="",$T623=""),"",$T623+(AB$2*$M623))</f>
        <v/>
      </c>
      <c r="AC623" s="48">
        <f>IF(OR($M623="",$T623=""),"",$T623+(AC$2*$M623))</f>
        <v/>
      </c>
      <c r="AD623" s="48">
        <f>IF(OR($M623="",$T623=""),"",$T623+(AD$2*$M623))</f>
        <v/>
      </c>
      <c r="AE623" s="49">
        <f>IF(OR($M623="",$T623=""),"",$T623+(AE$2*$M623))</f>
        <v/>
      </c>
      <c r="AF623" s="52">
        <f>IF(OR(T623="",I623&lt;T623),"",IFERROR(AVERAGE(T623+M623*{7,8,9,10,11})/IF(G623="",I623,G623)-1,""))</f>
        <v/>
      </c>
      <c r="AG623" s="55">
        <f>IF(OR(T623="",I623&lt;T623),"",IFERROR(AF623/-(R623/IF(G623="",I623,G623)-1),""))</f>
        <v/>
      </c>
      <c r="AH623" s="94" t="n"/>
      <c r="AI623" s="94" t="n"/>
      <c r="AJ623" s="94" t="n"/>
      <c r="AK623" s="94" t="n"/>
      <c r="AL623" s="84" t="n"/>
    </row>
    <row r="624">
      <c r="A624" s="64" t="n"/>
      <c r="B624" s="65" t="n"/>
      <c r="C624" s="66" t="n"/>
      <c r="D624" s="67" t="n"/>
      <c r="E624" s="68" t="n"/>
      <c r="F624" s="47">
        <f>IF(A624="","",IF(MIN(H624,MAX(J624:K624))=0,"",MIN(H624,MAX(J624:K624))))</f>
        <v/>
      </c>
      <c r="G624" s="74" t="n"/>
      <c r="H624" s="49">
        <f>IF(M624="","",IFERROR(ROUND(AVERAGE(T624+M624*{7,8,9,10,11})/1.21,4),""))</f>
        <v/>
      </c>
      <c r="I624" s="76" t="n"/>
      <c r="J624" s="77" t="n"/>
      <c r="K624" s="74" t="n"/>
      <c r="L624" s="78" t="n"/>
      <c r="M624" s="77" t="n"/>
      <c r="N624" s="53">
        <f>IF(M624="","",IFERROR(M624/I624,""))</f>
        <v/>
      </c>
      <c r="O624" s="50">
        <f>IF(A624="","",IFERROR((IF(G624="",I624,G624)-T624)/M624,""))</f>
        <v/>
      </c>
      <c r="P624" s="50">
        <f>IFERROR((I624/T624-1)/N624,"")</f>
        <v/>
      </c>
      <c r="Q624" s="46">
        <f>IF(OR(T624="",I624&lt;T624),"",IFERROR(R624/IF(G624="",I624,G624)-1,""))</f>
        <v/>
      </c>
      <c r="R624" s="48">
        <f>IF($M624="","",MAX(IF($G624="",$I624,$G624)*(1/1.1),IF($G624="",$I624,$G624)+(R$2*$M624)))</f>
        <v/>
      </c>
      <c r="S624" s="49">
        <f>IF($M624="","",MAX(IF($G624="",$I624,$G624)*(1/1.1),IF($G624="",$I624,$G624)+(S$2*$M624)))</f>
        <v/>
      </c>
      <c r="T624" s="82" t="n"/>
      <c r="U624" s="47">
        <f>IF(OR($M624="",$T624=""),"",$T624+(U$2*$M624))</f>
        <v/>
      </c>
      <c r="V624" s="48">
        <f>IF(OR($M624="",$T624=""),"",$T624+(V$2*$M624))</f>
        <v/>
      </c>
      <c r="W624" s="48">
        <f>IF(OR($M624="",$T624=""),"",$T624+(W$2*$M624))</f>
        <v/>
      </c>
      <c r="X624" s="49">
        <f>IF(OR($M624="",$T624=""),"",$T624+(X$2*$M624))</f>
        <v/>
      </c>
      <c r="Y624" s="47">
        <f>IF(OR($M624="",$T624=""),"",$T624+(Y$2*$M624))</f>
        <v/>
      </c>
      <c r="Z624" s="49">
        <f>IF(OR($M624="",$T624=""),"",$T624+(Z$2*$M624))</f>
        <v/>
      </c>
      <c r="AA624" s="51">
        <f>IF(OR($M624="",$T624=""),"",$T624+(AA$2*$M624))</f>
        <v/>
      </c>
      <c r="AB624" s="48">
        <f>IF(OR($M624="",$T624=""),"",$T624+(AB$2*$M624))</f>
        <v/>
      </c>
      <c r="AC624" s="48">
        <f>IF(OR($M624="",$T624=""),"",$T624+(AC$2*$M624))</f>
        <v/>
      </c>
      <c r="AD624" s="48">
        <f>IF(OR($M624="",$T624=""),"",$T624+(AD$2*$M624))</f>
        <v/>
      </c>
      <c r="AE624" s="49">
        <f>IF(OR($M624="",$T624=""),"",$T624+(AE$2*$M624))</f>
        <v/>
      </c>
      <c r="AF624" s="52">
        <f>IF(OR(T624="",I624&lt;T624),"",IFERROR(AVERAGE(T624+M624*{7,8,9,10,11})/IF(G624="",I624,G624)-1,""))</f>
        <v/>
      </c>
      <c r="AG624" s="55">
        <f>IF(OR(T624="",I624&lt;T624),"",IFERROR(AF624/-(R624/IF(G624="",I624,G624)-1),""))</f>
        <v/>
      </c>
      <c r="AH624" s="94" t="n"/>
      <c r="AI624" s="94" t="n"/>
      <c r="AJ624" s="94" t="n"/>
      <c r="AK624" s="94" t="n"/>
      <c r="AL624" s="84" t="n"/>
    </row>
    <row r="625">
      <c r="A625" s="64" t="n"/>
      <c r="B625" s="65" t="n"/>
      <c r="C625" s="66" t="n"/>
      <c r="D625" s="67" t="n"/>
      <c r="E625" s="68" t="n"/>
      <c r="F625" s="47">
        <f>IF(A625="","",IF(MIN(H625,MAX(J625:K625))=0,"",MIN(H625,MAX(J625:K625))))</f>
        <v/>
      </c>
      <c r="G625" s="74" t="n"/>
      <c r="H625" s="49">
        <f>IF(M625="","",IFERROR(ROUND(AVERAGE(T625+M625*{7,8,9,10,11})/1.21,4),""))</f>
        <v/>
      </c>
      <c r="I625" s="76" t="n"/>
      <c r="J625" s="77" t="n"/>
      <c r="K625" s="74" t="n"/>
      <c r="L625" s="78" t="n"/>
      <c r="M625" s="77" t="n"/>
      <c r="N625" s="53">
        <f>IF(M625="","",IFERROR(M625/I625,""))</f>
        <v/>
      </c>
      <c r="O625" s="50">
        <f>IF(A625="","",IFERROR((IF(G625="",I625,G625)-T625)/M625,""))</f>
        <v/>
      </c>
      <c r="P625" s="50">
        <f>IFERROR((I625/T625-1)/N625,"")</f>
        <v/>
      </c>
      <c r="Q625" s="46">
        <f>IF(OR(T625="",I625&lt;T625),"",IFERROR(R625/IF(G625="",I625,G625)-1,""))</f>
        <v/>
      </c>
      <c r="R625" s="48">
        <f>IF($M625="","",MAX(IF($G625="",$I625,$G625)*(1/1.1),IF($G625="",$I625,$G625)+(R$2*$M625)))</f>
        <v/>
      </c>
      <c r="S625" s="49">
        <f>IF($M625="","",MAX(IF($G625="",$I625,$G625)*(1/1.1),IF($G625="",$I625,$G625)+(S$2*$M625)))</f>
        <v/>
      </c>
      <c r="T625" s="82" t="n"/>
      <c r="U625" s="47">
        <f>IF(OR($M625="",$T625=""),"",$T625+(U$2*$M625))</f>
        <v/>
      </c>
      <c r="V625" s="48">
        <f>IF(OR($M625="",$T625=""),"",$T625+(V$2*$M625))</f>
        <v/>
      </c>
      <c r="W625" s="48">
        <f>IF(OR($M625="",$T625=""),"",$T625+(W$2*$M625))</f>
        <v/>
      </c>
      <c r="X625" s="49">
        <f>IF(OR($M625="",$T625=""),"",$T625+(X$2*$M625))</f>
        <v/>
      </c>
      <c r="Y625" s="47">
        <f>IF(OR($M625="",$T625=""),"",$T625+(Y$2*$M625))</f>
        <v/>
      </c>
      <c r="Z625" s="49">
        <f>IF(OR($M625="",$T625=""),"",$T625+(Z$2*$M625))</f>
        <v/>
      </c>
      <c r="AA625" s="51">
        <f>IF(OR($M625="",$T625=""),"",$T625+(AA$2*$M625))</f>
        <v/>
      </c>
      <c r="AB625" s="48">
        <f>IF(OR($M625="",$T625=""),"",$T625+(AB$2*$M625))</f>
        <v/>
      </c>
      <c r="AC625" s="48">
        <f>IF(OR($M625="",$T625=""),"",$T625+(AC$2*$M625))</f>
        <v/>
      </c>
      <c r="AD625" s="48">
        <f>IF(OR($M625="",$T625=""),"",$T625+(AD$2*$M625))</f>
        <v/>
      </c>
      <c r="AE625" s="49">
        <f>IF(OR($M625="",$T625=""),"",$T625+(AE$2*$M625))</f>
        <v/>
      </c>
      <c r="AF625" s="52">
        <f>IF(OR(T625="",I625&lt;T625),"",IFERROR(AVERAGE(T625+M625*{7,8,9,10,11})/IF(G625="",I625,G625)-1,""))</f>
        <v/>
      </c>
      <c r="AG625" s="55">
        <f>IF(OR(T625="",I625&lt;T625),"",IFERROR(AF625/-(R625/IF(G625="",I625,G625)-1),""))</f>
        <v/>
      </c>
      <c r="AH625" s="94" t="n"/>
      <c r="AI625" s="94" t="n"/>
      <c r="AJ625" s="94" t="n"/>
      <c r="AK625" s="94" t="n"/>
      <c r="AL625" s="84" t="n"/>
    </row>
    <row r="626">
      <c r="A626" s="64" t="n"/>
      <c r="B626" s="65" t="n"/>
      <c r="C626" s="66" t="n"/>
      <c r="D626" s="67" t="n"/>
      <c r="E626" s="68" t="n"/>
      <c r="F626" s="47">
        <f>IF(A626="","",IF(MIN(H626,MAX(J626:K626))=0,"",MIN(H626,MAX(J626:K626))))</f>
        <v/>
      </c>
      <c r="G626" s="74" t="n"/>
      <c r="H626" s="49">
        <f>IF(M626="","",IFERROR(ROUND(AVERAGE(T626+M626*{7,8,9,10,11})/1.21,4),""))</f>
        <v/>
      </c>
      <c r="I626" s="76" t="n"/>
      <c r="J626" s="77" t="n"/>
      <c r="K626" s="74" t="n"/>
      <c r="L626" s="78" t="n"/>
      <c r="M626" s="77" t="n"/>
      <c r="N626" s="53">
        <f>IF(M626="","",IFERROR(M626/I626,""))</f>
        <v/>
      </c>
      <c r="O626" s="50">
        <f>IF(A626="","",IFERROR((IF(G626="",I626,G626)-T626)/M626,""))</f>
        <v/>
      </c>
      <c r="P626" s="50">
        <f>IFERROR((I626/T626-1)/N626,"")</f>
        <v/>
      </c>
      <c r="Q626" s="46">
        <f>IF(OR(T626="",I626&lt;T626),"",IFERROR(R626/IF(G626="",I626,G626)-1,""))</f>
        <v/>
      </c>
      <c r="R626" s="48">
        <f>IF($M626="","",MAX(IF($G626="",$I626,$G626)*(1/1.1),IF($G626="",$I626,$G626)+(R$2*$M626)))</f>
        <v/>
      </c>
      <c r="S626" s="49">
        <f>IF($M626="","",MAX(IF($G626="",$I626,$G626)*(1/1.1),IF($G626="",$I626,$G626)+(S$2*$M626)))</f>
        <v/>
      </c>
      <c r="T626" s="82" t="n"/>
      <c r="U626" s="47">
        <f>IF(OR($M626="",$T626=""),"",$T626+(U$2*$M626))</f>
        <v/>
      </c>
      <c r="V626" s="48">
        <f>IF(OR($M626="",$T626=""),"",$T626+(V$2*$M626))</f>
        <v/>
      </c>
      <c r="W626" s="48">
        <f>IF(OR($M626="",$T626=""),"",$T626+(W$2*$M626))</f>
        <v/>
      </c>
      <c r="X626" s="49">
        <f>IF(OR($M626="",$T626=""),"",$T626+(X$2*$M626))</f>
        <v/>
      </c>
      <c r="Y626" s="47">
        <f>IF(OR($M626="",$T626=""),"",$T626+(Y$2*$M626))</f>
        <v/>
      </c>
      <c r="Z626" s="49">
        <f>IF(OR($M626="",$T626=""),"",$T626+(Z$2*$M626))</f>
        <v/>
      </c>
      <c r="AA626" s="51">
        <f>IF(OR($M626="",$T626=""),"",$T626+(AA$2*$M626))</f>
        <v/>
      </c>
      <c r="AB626" s="48">
        <f>IF(OR($M626="",$T626=""),"",$T626+(AB$2*$M626))</f>
        <v/>
      </c>
      <c r="AC626" s="48">
        <f>IF(OR($M626="",$T626=""),"",$T626+(AC$2*$M626))</f>
        <v/>
      </c>
      <c r="AD626" s="48">
        <f>IF(OR($M626="",$T626=""),"",$T626+(AD$2*$M626))</f>
        <v/>
      </c>
      <c r="AE626" s="49">
        <f>IF(OR($M626="",$T626=""),"",$T626+(AE$2*$M626))</f>
        <v/>
      </c>
      <c r="AF626" s="52">
        <f>IF(OR(T626="",I626&lt;T626),"",IFERROR(AVERAGE(T626+M626*{7,8,9,10,11})/IF(G626="",I626,G626)-1,""))</f>
        <v/>
      </c>
      <c r="AG626" s="55">
        <f>IF(OR(T626="",I626&lt;T626),"",IFERROR(AF626/-(R626/IF(G626="",I626,G626)-1),""))</f>
        <v/>
      </c>
      <c r="AH626" s="94" t="n"/>
      <c r="AI626" s="94" t="n"/>
      <c r="AJ626" s="94" t="n"/>
      <c r="AK626" s="94" t="n"/>
      <c r="AL626" s="84" t="n"/>
    </row>
    <row r="627">
      <c r="A627" s="64" t="n"/>
      <c r="B627" s="65" t="n"/>
      <c r="C627" s="66" t="n"/>
      <c r="D627" s="67" t="n"/>
      <c r="E627" s="68" t="n"/>
      <c r="F627" s="47">
        <f>IF(A627="","",IF(MIN(H627,MAX(J627:K627))=0,"",MIN(H627,MAX(J627:K627))))</f>
        <v/>
      </c>
      <c r="G627" s="74" t="n"/>
      <c r="H627" s="49">
        <f>IF(M627="","",IFERROR(ROUND(AVERAGE(T627+M627*{7,8,9,10,11})/1.21,4),""))</f>
        <v/>
      </c>
      <c r="I627" s="76" t="n"/>
      <c r="J627" s="77" t="n"/>
      <c r="K627" s="74" t="n"/>
      <c r="L627" s="78" t="n"/>
      <c r="M627" s="77" t="n"/>
      <c r="N627" s="53">
        <f>IF(M627="","",IFERROR(M627/I627,""))</f>
        <v/>
      </c>
      <c r="O627" s="50">
        <f>IF(A627="","",IFERROR((IF(G627="",I627,G627)-T627)/M627,""))</f>
        <v/>
      </c>
      <c r="P627" s="50">
        <f>IFERROR((I627/T627-1)/N627,"")</f>
        <v/>
      </c>
      <c r="Q627" s="46">
        <f>IF(OR(T627="",I627&lt;T627),"",IFERROR(R627/IF(G627="",I627,G627)-1,""))</f>
        <v/>
      </c>
      <c r="R627" s="48">
        <f>IF($M627="","",MAX(IF($G627="",$I627,$G627)*(1/1.1),IF($G627="",$I627,$G627)+(R$2*$M627)))</f>
        <v/>
      </c>
      <c r="S627" s="49">
        <f>IF($M627="","",MAX(IF($G627="",$I627,$G627)*(1/1.1),IF($G627="",$I627,$G627)+(S$2*$M627)))</f>
        <v/>
      </c>
      <c r="T627" s="82" t="n"/>
      <c r="U627" s="47">
        <f>IF(OR($M627="",$T627=""),"",$T627+(U$2*$M627))</f>
        <v/>
      </c>
      <c r="V627" s="48">
        <f>IF(OR($M627="",$T627=""),"",$T627+(V$2*$M627))</f>
        <v/>
      </c>
      <c r="W627" s="48">
        <f>IF(OR($M627="",$T627=""),"",$T627+(W$2*$M627))</f>
        <v/>
      </c>
      <c r="X627" s="49">
        <f>IF(OR($M627="",$T627=""),"",$T627+(X$2*$M627))</f>
        <v/>
      </c>
      <c r="Y627" s="47">
        <f>IF(OR($M627="",$T627=""),"",$T627+(Y$2*$M627))</f>
        <v/>
      </c>
      <c r="Z627" s="49">
        <f>IF(OR($M627="",$T627=""),"",$T627+(Z$2*$M627))</f>
        <v/>
      </c>
      <c r="AA627" s="51">
        <f>IF(OR($M627="",$T627=""),"",$T627+(AA$2*$M627))</f>
        <v/>
      </c>
      <c r="AB627" s="48">
        <f>IF(OR($M627="",$T627=""),"",$T627+(AB$2*$M627))</f>
        <v/>
      </c>
      <c r="AC627" s="48">
        <f>IF(OR($M627="",$T627=""),"",$T627+(AC$2*$M627))</f>
        <v/>
      </c>
      <c r="AD627" s="48">
        <f>IF(OR($M627="",$T627=""),"",$T627+(AD$2*$M627))</f>
        <v/>
      </c>
      <c r="AE627" s="49">
        <f>IF(OR($M627="",$T627=""),"",$T627+(AE$2*$M627))</f>
        <v/>
      </c>
      <c r="AF627" s="52">
        <f>IF(OR(T627="",I627&lt;T627),"",IFERROR(AVERAGE(T627+M627*{7,8,9,10,11})/IF(G627="",I627,G627)-1,""))</f>
        <v/>
      </c>
      <c r="AG627" s="55">
        <f>IF(OR(T627="",I627&lt;T627),"",IFERROR(AF627/-(R627/IF(G627="",I627,G627)-1),""))</f>
        <v/>
      </c>
      <c r="AH627" s="94" t="n"/>
      <c r="AI627" s="94" t="n"/>
      <c r="AJ627" s="94" t="n"/>
      <c r="AK627" s="94" t="n"/>
      <c r="AL627" s="84" t="n"/>
    </row>
    <row r="628">
      <c r="A628" s="64" t="n"/>
      <c r="B628" s="65" t="n"/>
      <c r="C628" s="66" t="n"/>
      <c r="D628" s="67" t="n"/>
      <c r="E628" s="68" t="n"/>
      <c r="F628" s="47">
        <f>IF(A628="","",IF(MIN(H628,MAX(J628:K628))=0,"",MIN(H628,MAX(J628:K628))))</f>
        <v/>
      </c>
      <c r="G628" s="74" t="n"/>
      <c r="H628" s="49">
        <f>IF(M628="","",IFERROR(ROUND(AVERAGE(T628+M628*{7,8,9,10,11})/1.21,4),""))</f>
        <v/>
      </c>
      <c r="I628" s="76" t="n"/>
      <c r="J628" s="77" t="n"/>
      <c r="K628" s="74" t="n"/>
      <c r="L628" s="78" t="n"/>
      <c r="M628" s="77" t="n"/>
      <c r="N628" s="53">
        <f>IF(M628="","",IFERROR(M628/I628,""))</f>
        <v/>
      </c>
      <c r="O628" s="50">
        <f>IF(A628="","",IFERROR((IF(G628="",I628,G628)-T628)/M628,""))</f>
        <v/>
      </c>
      <c r="P628" s="50">
        <f>IFERROR((I628/T628-1)/N628,"")</f>
        <v/>
      </c>
      <c r="Q628" s="46">
        <f>IF(OR(T628="",I628&lt;T628),"",IFERROR(R628/IF(G628="",I628,G628)-1,""))</f>
        <v/>
      </c>
      <c r="R628" s="48">
        <f>IF($M628="","",MAX(IF($G628="",$I628,$G628)*(1/1.1),IF($G628="",$I628,$G628)+(R$2*$M628)))</f>
        <v/>
      </c>
      <c r="S628" s="49">
        <f>IF($M628="","",MAX(IF($G628="",$I628,$G628)*(1/1.1),IF($G628="",$I628,$G628)+(S$2*$M628)))</f>
        <v/>
      </c>
      <c r="T628" s="82" t="n"/>
      <c r="U628" s="47">
        <f>IF(OR($M628="",$T628=""),"",$T628+(U$2*$M628))</f>
        <v/>
      </c>
      <c r="V628" s="48">
        <f>IF(OR($M628="",$T628=""),"",$T628+(V$2*$M628))</f>
        <v/>
      </c>
      <c r="W628" s="48">
        <f>IF(OR($M628="",$T628=""),"",$T628+(W$2*$M628))</f>
        <v/>
      </c>
      <c r="X628" s="49">
        <f>IF(OR($M628="",$T628=""),"",$T628+(X$2*$M628))</f>
        <v/>
      </c>
      <c r="Y628" s="47">
        <f>IF(OR($M628="",$T628=""),"",$T628+(Y$2*$M628))</f>
        <v/>
      </c>
      <c r="Z628" s="49">
        <f>IF(OR($M628="",$T628=""),"",$T628+(Z$2*$M628))</f>
        <v/>
      </c>
      <c r="AA628" s="51">
        <f>IF(OR($M628="",$T628=""),"",$T628+(AA$2*$M628))</f>
        <v/>
      </c>
      <c r="AB628" s="48">
        <f>IF(OR($M628="",$T628=""),"",$T628+(AB$2*$M628))</f>
        <v/>
      </c>
      <c r="AC628" s="48">
        <f>IF(OR($M628="",$T628=""),"",$T628+(AC$2*$M628))</f>
        <v/>
      </c>
      <c r="AD628" s="48">
        <f>IF(OR($M628="",$T628=""),"",$T628+(AD$2*$M628))</f>
        <v/>
      </c>
      <c r="AE628" s="49">
        <f>IF(OR($M628="",$T628=""),"",$T628+(AE$2*$M628))</f>
        <v/>
      </c>
      <c r="AF628" s="52">
        <f>IF(OR(T628="",I628&lt;T628),"",IFERROR(AVERAGE(T628+M628*{7,8,9,10,11})/IF(G628="",I628,G628)-1,""))</f>
        <v/>
      </c>
      <c r="AG628" s="55">
        <f>IF(OR(T628="",I628&lt;T628),"",IFERROR(AF628/-(R628/IF(G628="",I628,G628)-1),""))</f>
        <v/>
      </c>
      <c r="AH628" s="94" t="n"/>
      <c r="AI628" s="94" t="n"/>
      <c r="AJ628" s="94" t="n"/>
      <c r="AK628" s="94" t="n"/>
      <c r="AL628" s="84" t="n"/>
    </row>
    <row r="629">
      <c r="A629" s="64" t="n"/>
      <c r="B629" s="65" t="n"/>
      <c r="C629" s="66" t="n"/>
      <c r="D629" s="67" t="n"/>
      <c r="E629" s="68" t="n"/>
      <c r="F629" s="47">
        <f>IF(A629="","",IF(MIN(H629,MAX(J629:K629))=0,"",MIN(H629,MAX(J629:K629))))</f>
        <v/>
      </c>
      <c r="G629" s="74" t="n"/>
      <c r="H629" s="49">
        <f>IF(M629="","",IFERROR(ROUND(AVERAGE(T629+M629*{7,8,9,10,11})/1.21,4),""))</f>
        <v/>
      </c>
      <c r="I629" s="76" t="n"/>
      <c r="J629" s="77" t="n"/>
      <c r="K629" s="74" t="n"/>
      <c r="L629" s="78" t="n"/>
      <c r="M629" s="77" t="n"/>
      <c r="N629" s="53">
        <f>IF(M629="","",IFERROR(M629/I629,""))</f>
        <v/>
      </c>
      <c r="O629" s="50">
        <f>IF(A629="","",IFERROR((IF(G629="",I629,G629)-T629)/M629,""))</f>
        <v/>
      </c>
      <c r="P629" s="50">
        <f>IFERROR((I629/T629-1)/N629,"")</f>
        <v/>
      </c>
      <c r="Q629" s="46">
        <f>IF(OR(T629="",I629&lt;T629),"",IFERROR(R629/IF(G629="",I629,G629)-1,""))</f>
        <v/>
      </c>
      <c r="R629" s="48">
        <f>IF($M629="","",MAX(IF($G629="",$I629,$G629)*(1/1.1),IF($G629="",$I629,$G629)+(R$2*$M629)))</f>
        <v/>
      </c>
      <c r="S629" s="49">
        <f>IF($M629="","",MAX(IF($G629="",$I629,$G629)*(1/1.1),IF($G629="",$I629,$G629)+(S$2*$M629)))</f>
        <v/>
      </c>
      <c r="T629" s="82" t="n"/>
      <c r="U629" s="47">
        <f>IF(OR($M629="",$T629=""),"",$T629+(U$2*$M629))</f>
        <v/>
      </c>
      <c r="V629" s="48">
        <f>IF(OR($M629="",$T629=""),"",$T629+(V$2*$M629))</f>
        <v/>
      </c>
      <c r="W629" s="48">
        <f>IF(OR($M629="",$T629=""),"",$T629+(W$2*$M629))</f>
        <v/>
      </c>
      <c r="X629" s="49">
        <f>IF(OR($M629="",$T629=""),"",$T629+(X$2*$M629))</f>
        <v/>
      </c>
      <c r="Y629" s="47">
        <f>IF(OR($M629="",$T629=""),"",$T629+(Y$2*$M629))</f>
        <v/>
      </c>
      <c r="Z629" s="49">
        <f>IF(OR($M629="",$T629=""),"",$T629+(Z$2*$M629))</f>
        <v/>
      </c>
      <c r="AA629" s="51">
        <f>IF(OR($M629="",$T629=""),"",$T629+(AA$2*$M629))</f>
        <v/>
      </c>
      <c r="AB629" s="48">
        <f>IF(OR($M629="",$T629=""),"",$T629+(AB$2*$M629))</f>
        <v/>
      </c>
      <c r="AC629" s="48">
        <f>IF(OR($M629="",$T629=""),"",$T629+(AC$2*$M629))</f>
        <v/>
      </c>
      <c r="AD629" s="48">
        <f>IF(OR($M629="",$T629=""),"",$T629+(AD$2*$M629))</f>
        <v/>
      </c>
      <c r="AE629" s="49">
        <f>IF(OR($M629="",$T629=""),"",$T629+(AE$2*$M629))</f>
        <v/>
      </c>
      <c r="AF629" s="52">
        <f>IF(OR(T629="",I629&lt;T629),"",IFERROR(AVERAGE(T629+M629*{7,8,9,10,11})/IF(G629="",I629,G629)-1,""))</f>
        <v/>
      </c>
      <c r="AG629" s="55">
        <f>IF(OR(T629="",I629&lt;T629),"",IFERROR(AF629/-(R629/IF(G629="",I629,G629)-1),""))</f>
        <v/>
      </c>
      <c r="AH629" s="94" t="n"/>
      <c r="AI629" s="94" t="n"/>
      <c r="AJ629" s="94" t="n"/>
      <c r="AK629" s="94" t="n"/>
      <c r="AL629" s="84" t="n"/>
    </row>
    <row r="630">
      <c r="A630" s="64" t="n"/>
      <c r="B630" s="65" t="n"/>
      <c r="C630" s="66" t="n"/>
      <c r="D630" s="67" t="n"/>
      <c r="E630" s="68" t="n"/>
      <c r="F630" s="47">
        <f>IF(A630="","",IF(MIN(H630,MAX(J630:K630))=0,"",MIN(H630,MAX(J630:K630))))</f>
        <v/>
      </c>
      <c r="G630" s="74" t="n"/>
      <c r="H630" s="49">
        <f>IF(M630="","",IFERROR(ROUND(AVERAGE(T630+M630*{7,8,9,10,11})/1.21,4),""))</f>
        <v/>
      </c>
      <c r="I630" s="76" t="n"/>
      <c r="J630" s="77" t="n"/>
      <c r="K630" s="74" t="n"/>
      <c r="L630" s="78" t="n"/>
      <c r="M630" s="77" t="n"/>
      <c r="N630" s="53">
        <f>IF(M630="","",IFERROR(M630/I630,""))</f>
        <v/>
      </c>
      <c r="O630" s="50">
        <f>IF(A630="","",IFERROR((IF(G630="",I630,G630)-T630)/M630,""))</f>
        <v/>
      </c>
      <c r="P630" s="50">
        <f>IFERROR((I630/T630-1)/N630,"")</f>
        <v/>
      </c>
      <c r="Q630" s="46">
        <f>IF(OR(T630="",I630&lt;T630),"",IFERROR(R630/IF(G630="",I630,G630)-1,""))</f>
        <v/>
      </c>
      <c r="R630" s="48">
        <f>IF($M630="","",MAX(IF($G630="",$I630,$G630)*(1/1.1),IF($G630="",$I630,$G630)+(R$2*$M630)))</f>
        <v/>
      </c>
      <c r="S630" s="49">
        <f>IF($M630="","",MAX(IF($G630="",$I630,$G630)*(1/1.1),IF($G630="",$I630,$G630)+(S$2*$M630)))</f>
        <v/>
      </c>
      <c r="T630" s="82" t="n"/>
      <c r="U630" s="47">
        <f>IF(OR($M630="",$T630=""),"",$T630+(U$2*$M630))</f>
        <v/>
      </c>
      <c r="V630" s="48">
        <f>IF(OR($M630="",$T630=""),"",$T630+(V$2*$M630))</f>
        <v/>
      </c>
      <c r="W630" s="48">
        <f>IF(OR($M630="",$T630=""),"",$T630+(W$2*$M630))</f>
        <v/>
      </c>
      <c r="X630" s="49">
        <f>IF(OR($M630="",$T630=""),"",$T630+(X$2*$M630))</f>
        <v/>
      </c>
      <c r="Y630" s="47">
        <f>IF(OR($M630="",$T630=""),"",$T630+(Y$2*$M630))</f>
        <v/>
      </c>
      <c r="Z630" s="49">
        <f>IF(OR($M630="",$T630=""),"",$T630+(Z$2*$M630))</f>
        <v/>
      </c>
      <c r="AA630" s="51">
        <f>IF(OR($M630="",$T630=""),"",$T630+(AA$2*$M630))</f>
        <v/>
      </c>
      <c r="AB630" s="48">
        <f>IF(OR($M630="",$T630=""),"",$T630+(AB$2*$M630))</f>
        <v/>
      </c>
      <c r="AC630" s="48">
        <f>IF(OR($M630="",$T630=""),"",$T630+(AC$2*$M630))</f>
        <v/>
      </c>
      <c r="AD630" s="48">
        <f>IF(OR($M630="",$T630=""),"",$T630+(AD$2*$M630))</f>
        <v/>
      </c>
      <c r="AE630" s="49">
        <f>IF(OR($M630="",$T630=""),"",$T630+(AE$2*$M630))</f>
        <v/>
      </c>
      <c r="AF630" s="52">
        <f>IF(OR(T630="",I630&lt;T630),"",IFERROR(AVERAGE(T630+M630*{7,8,9,10,11})/IF(G630="",I630,G630)-1,""))</f>
        <v/>
      </c>
      <c r="AG630" s="55">
        <f>IF(OR(T630="",I630&lt;T630),"",IFERROR(AF630/-(R630/IF(G630="",I630,G630)-1),""))</f>
        <v/>
      </c>
      <c r="AH630" s="94" t="n"/>
      <c r="AI630" s="94" t="n"/>
      <c r="AJ630" s="94" t="n"/>
      <c r="AK630" s="94" t="n"/>
      <c r="AL630" s="84" t="n"/>
    </row>
    <row r="631">
      <c r="A631" s="64" t="n"/>
      <c r="B631" s="65" t="n"/>
      <c r="C631" s="66" t="n"/>
      <c r="D631" s="67" t="n"/>
      <c r="E631" s="68" t="n"/>
      <c r="F631" s="47">
        <f>IF(A631="","",IF(MIN(H631,MAX(J631:K631))=0,"",MIN(H631,MAX(J631:K631))))</f>
        <v/>
      </c>
      <c r="G631" s="74" t="n"/>
      <c r="H631" s="49">
        <f>IF(M631="","",IFERROR(ROUND(AVERAGE(T631+M631*{7,8,9,10,11})/1.21,4),""))</f>
        <v/>
      </c>
      <c r="I631" s="76" t="n"/>
      <c r="J631" s="77" t="n"/>
      <c r="K631" s="74" t="n"/>
      <c r="L631" s="78" t="n"/>
      <c r="M631" s="77" t="n"/>
      <c r="N631" s="53">
        <f>IF(M631="","",IFERROR(M631/I631,""))</f>
        <v/>
      </c>
      <c r="O631" s="50">
        <f>IF(A631="","",IFERROR((IF(G631="",I631,G631)-T631)/M631,""))</f>
        <v/>
      </c>
      <c r="P631" s="50">
        <f>IFERROR((I631/T631-1)/N631,"")</f>
        <v/>
      </c>
      <c r="Q631" s="46">
        <f>IF(OR(T631="",I631&lt;T631),"",IFERROR(R631/IF(G631="",I631,G631)-1,""))</f>
        <v/>
      </c>
      <c r="R631" s="48">
        <f>IF($M631="","",MAX(IF($G631="",$I631,$G631)*(1/1.1),IF($G631="",$I631,$G631)+(R$2*$M631)))</f>
        <v/>
      </c>
      <c r="S631" s="49">
        <f>IF($M631="","",MAX(IF($G631="",$I631,$G631)*(1/1.1),IF($G631="",$I631,$G631)+(S$2*$M631)))</f>
        <v/>
      </c>
      <c r="T631" s="82" t="n"/>
      <c r="U631" s="47">
        <f>IF(OR($M631="",$T631=""),"",$T631+(U$2*$M631))</f>
        <v/>
      </c>
      <c r="V631" s="48">
        <f>IF(OR($M631="",$T631=""),"",$T631+(V$2*$M631))</f>
        <v/>
      </c>
      <c r="W631" s="48">
        <f>IF(OR($M631="",$T631=""),"",$T631+(W$2*$M631))</f>
        <v/>
      </c>
      <c r="X631" s="49">
        <f>IF(OR($M631="",$T631=""),"",$T631+(X$2*$M631))</f>
        <v/>
      </c>
      <c r="Y631" s="47">
        <f>IF(OR($M631="",$T631=""),"",$T631+(Y$2*$M631))</f>
        <v/>
      </c>
      <c r="Z631" s="49">
        <f>IF(OR($M631="",$T631=""),"",$T631+(Z$2*$M631))</f>
        <v/>
      </c>
      <c r="AA631" s="51">
        <f>IF(OR($M631="",$T631=""),"",$T631+(AA$2*$M631))</f>
        <v/>
      </c>
      <c r="AB631" s="48">
        <f>IF(OR($M631="",$T631=""),"",$T631+(AB$2*$M631))</f>
        <v/>
      </c>
      <c r="AC631" s="48">
        <f>IF(OR($M631="",$T631=""),"",$T631+(AC$2*$M631))</f>
        <v/>
      </c>
      <c r="AD631" s="48">
        <f>IF(OR($M631="",$T631=""),"",$T631+(AD$2*$M631))</f>
        <v/>
      </c>
      <c r="AE631" s="49">
        <f>IF(OR($M631="",$T631=""),"",$T631+(AE$2*$M631))</f>
        <v/>
      </c>
      <c r="AF631" s="52">
        <f>IF(OR(T631="",I631&lt;T631),"",IFERROR(AVERAGE(T631+M631*{7,8,9,10,11})/IF(G631="",I631,G631)-1,""))</f>
        <v/>
      </c>
      <c r="AG631" s="55">
        <f>IF(OR(T631="",I631&lt;T631),"",IFERROR(AF631/-(R631/IF(G631="",I631,G631)-1),""))</f>
        <v/>
      </c>
      <c r="AH631" s="94" t="n"/>
      <c r="AI631" s="94" t="n"/>
      <c r="AJ631" s="94" t="n"/>
      <c r="AK631" s="94" t="n"/>
      <c r="AL631" s="84" t="n"/>
    </row>
    <row r="632">
      <c r="A632" s="64" t="n"/>
      <c r="B632" s="65" t="n"/>
      <c r="C632" s="66" t="n"/>
      <c r="D632" s="67" t="n"/>
      <c r="E632" s="68" t="n"/>
      <c r="F632" s="47">
        <f>IF(A632="","",IF(MIN(H632,MAX(J632:K632))=0,"",MIN(H632,MAX(J632:K632))))</f>
        <v/>
      </c>
      <c r="G632" s="74" t="n"/>
      <c r="H632" s="49">
        <f>IF(M632="","",IFERROR(ROUND(AVERAGE(T632+M632*{7,8,9,10,11})/1.21,4),""))</f>
        <v/>
      </c>
      <c r="I632" s="76" t="n"/>
      <c r="J632" s="77" t="n"/>
      <c r="K632" s="74" t="n"/>
      <c r="L632" s="78" t="n"/>
      <c r="M632" s="77" t="n"/>
      <c r="N632" s="53">
        <f>IF(M632="","",IFERROR(M632/I632,""))</f>
        <v/>
      </c>
      <c r="O632" s="50">
        <f>IF(A632="","",IFERROR((IF(G632="",I632,G632)-T632)/M632,""))</f>
        <v/>
      </c>
      <c r="P632" s="50">
        <f>IFERROR((I632/T632-1)/N632,"")</f>
        <v/>
      </c>
      <c r="Q632" s="46">
        <f>IF(OR(T632="",I632&lt;T632),"",IFERROR(R632/IF(G632="",I632,G632)-1,""))</f>
        <v/>
      </c>
      <c r="R632" s="48">
        <f>IF($M632="","",MAX(IF($G632="",$I632,$G632)*(1/1.1),IF($G632="",$I632,$G632)+(R$2*$M632)))</f>
        <v/>
      </c>
      <c r="S632" s="49">
        <f>IF($M632="","",MAX(IF($G632="",$I632,$G632)*(1/1.1),IF($G632="",$I632,$G632)+(S$2*$M632)))</f>
        <v/>
      </c>
      <c r="T632" s="82" t="n"/>
      <c r="U632" s="47">
        <f>IF(OR($M632="",$T632=""),"",$T632+(U$2*$M632))</f>
        <v/>
      </c>
      <c r="V632" s="48">
        <f>IF(OR($M632="",$T632=""),"",$T632+(V$2*$M632))</f>
        <v/>
      </c>
      <c r="W632" s="48">
        <f>IF(OR($M632="",$T632=""),"",$T632+(W$2*$M632))</f>
        <v/>
      </c>
      <c r="X632" s="49">
        <f>IF(OR($M632="",$T632=""),"",$T632+(X$2*$M632))</f>
        <v/>
      </c>
      <c r="Y632" s="47">
        <f>IF(OR($M632="",$T632=""),"",$T632+(Y$2*$M632))</f>
        <v/>
      </c>
      <c r="Z632" s="49">
        <f>IF(OR($M632="",$T632=""),"",$T632+(Z$2*$M632))</f>
        <v/>
      </c>
      <c r="AA632" s="51">
        <f>IF(OR($M632="",$T632=""),"",$T632+(AA$2*$M632))</f>
        <v/>
      </c>
      <c r="AB632" s="48">
        <f>IF(OR($M632="",$T632=""),"",$T632+(AB$2*$M632))</f>
        <v/>
      </c>
      <c r="AC632" s="48">
        <f>IF(OR($M632="",$T632=""),"",$T632+(AC$2*$M632))</f>
        <v/>
      </c>
      <c r="AD632" s="48">
        <f>IF(OR($M632="",$T632=""),"",$T632+(AD$2*$M632))</f>
        <v/>
      </c>
      <c r="AE632" s="49">
        <f>IF(OR($M632="",$T632=""),"",$T632+(AE$2*$M632))</f>
        <v/>
      </c>
      <c r="AF632" s="52">
        <f>IF(OR(T632="",I632&lt;T632),"",IFERROR(AVERAGE(T632+M632*{7,8,9,10,11})/IF(G632="",I632,G632)-1,""))</f>
        <v/>
      </c>
      <c r="AG632" s="55">
        <f>IF(OR(T632="",I632&lt;T632),"",IFERROR(AF632/-(R632/IF(G632="",I632,G632)-1),""))</f>
        <v/>
      </c>
      <c r="AH632" s="94" t="n"/>
      <c r="AI632" s="94" t="n"/>
      <c r="AJ632" s="94" t="n"/>
      <c r="AK632" s="94" t="n"/>
      <c r="AL632" s="84" t="n"/>
    </row>
    <row r="633">
      <c r="A633" s="64" t="n"/>
      <c r="B633" s="65" t="n"/>
      <c r="C633" s="66" t="n"/>
      <c r="D633" s="67" t="n"/>
      <c r="E633" s="68" t="n"/>
      <c r="F633" s="47">
        <f>IF(A633="","",IF(MIN(H633,MAX(J633:K633))=0,"",MIN(H633,MAX(J633:K633))))</f>
        <v/>
      </c>
      <c r="G633" s="74" t="n"/>
      <c r="H633" s="49">
        <f>IF(M633="","",IFERROR(ROUND(AVERAGE(T633+M633*{7,8,9,10,11})/1.21,4),""))</f>
        <v/>
      </c>
      <c r="I633" s="76" t="n"/>
      <c r="J633" s="77" t="n"/>
      <c r="K633" s="74" t="n"/>
      <c r="L633" s="78" t="n"/>
      <c r="M633" s="77" t="n"/>
      <c r="N633" s="53">
        <f>IF(M633="","",IFERROR(M633/I633,""))</f>
        <v/>
      </c>
      <c r="O633" s="50">
        <f>IF(A633="","",IFERROR((IF(G633="",I633,G633)-T633)/M633,""))</f>
        <v/>
      </c>
      <c r="P633" s="50">
        <f>IFERROR((I633/T633-1)/N633,"")</f>
        <v/>
      </c>
      <c r="Q633" s="46">
        <f>IF(OR(T633="",I633&lt;T633),"",IFERROR(R633/IF(G633="",I633,G633)-1,""))</f>
        <v/>
      </c>
      <c r="R633" s="48">
        <f>IF($M633="","",MAX(IF($G633="",$I633,$G633)*(1/1.1),IF($G633="",$I633,$G633)+(R$2*$M633)))</f>
        <v/>
      </c>
      <c r="S633" s="49">
        <f>IF($M633="","",MAX(IF($G633="",$I633,$G633)*(1/1.1),IF($G633="",$I633,$G633)+(S$2*$M633)))</f>
        <v/>
      </c>
      <c r="T633" s="82" t="n"/>
      <c r="U633" s="47">
        <f>IF(OR($M633="",$T633=""),"",$T633+(U$2*$M633))</f>
        <v/>
      </c>
      <c r="V633" s="48">
        <f>IF(OR($M633="",$T633=""),"",$T633+(V$2*$M633))</f>
        <v/>
      </c>
      <c r="W633" s="48">
        <f>IF(OR($M633="",$T633=""),"",$T633+(W$2*$M633))</f>
        <v/>
      </c>
      <c r="X633" s="49">
        <f>IF(OR($M633="",$T633=""),"",$T633+(X$2*$M633))</f>
        <v/>
      </c>
      <c r="Y633" s="47">
        <f>IF(OR($M633="",$T633=""),"",$T633+(Y$2*$M633))</f>
        <v/>
      </c>
      <c r="Z633" s="49">
        <f>IF(OR($M633="",$T633=""),"",$T633+(Z$2*$M633))</f>
        <v/>
      </c>
      <c r="AA633" s="51">
        <f>IF(OR($M633="",$T633=""),"",$T633+(AA$2*$M633))</f>
        <v/>
      </c>
      <c r="AB633" s="48">
        <f>IF(OR($M633="",$T633=""),"",$T633+(AB$2*$M633))</f>
        <v/>
      </c>
      <c r="AC633" s="48">
        <f>IF(OR($M633="",$T633=""),"",$T633+(AC$2*$M633))</f>
        <v/>
      </c>
      <c r="AD633" s="48">
        <f>IF(OR($M633="",$T633=""),"",$T633+(AD$2*$M633))</f>
        <v/>
      </c>
      <c r="AE633" s="49">
        <f>IF(OR($M633="",$T633=""),"",$T633+(AE$2*$M633))</f>
        <v/>
      </c>
      <c r="AF633" s="52">
        <f>IF(OR(T633="",I633&lt;T633),"",IFERROR(AVERAGE(T633+M633*{7,8,9,10,11})/IF(G633="",I633,G633)-1,""))</f>
        <v/>
      </c>
      <c r="AG633" s="55">
        <f>IF(OR(T633="",I633&lt;T633),"",IFERROR(AF633/-(R633/IF(G633="",I633,G633)-1),""))</f>
        <v/>
      </c>
      <c r="AH633" s="94" t="n"/>
      <c r="AI633" s="94" t="n"/>
      <c r="AJ633" s="94" t="n"/>
      <c r="AK633" s="94" t="n"/>
      <c r="AL633" s="84" t="n"/>
    </row>
    <row r="634">
      <c r="A634" s="64" t="n"/>
      <c r="B634" s="65" t="n"/>
      <c r="C634" s="66" t="n"/>
      <c r="D634" s="67" t="n"/>
      <c r="E634" s="68" t="n"/>
      <c r="F634" s="47">
        <f>IF(A634="","",IF(MIN(H634,MAX(J634:K634))=0,"",MIN(H634,MAX(J634:K634))))</f>
        <v/>
      </c>
      <c r="G634" s="74" t="n"/>
      <c r="H634" s="49">
        <f>IF(M634="","",IFERROR(ROUND(AVERAGE(T634+M634*{7,8,9,10,11})/1.21,4),""))</f>
        <v/>
      </c>
      <c r="I634" s="76" t="n"/>
      <c r="J634" s="77" t="n"/>
      <c r="K634" s="74" t="n"/>
      <c r="L634" s="78" t="n"/>
      <c r="M634" s="77" t="n"/>
      <c r="N634" s="53">
        <f>IF(M634="","",IFERROR(M634/I634,""))</f>
        <v/>
      </c>
      <c r="O634" s="50">
        <f>IF(A634="","",IFERROR((IF(G634="",I634,G634)-T634)/M634,""))</f>
        <v/>
      </c>
      <c r="P634" s="50">
        <f>IFERROR((I634/T634-1)/N634,"")</f>
        <v/>
      </c>
      <c r="Q634" s="46">
        <f>IF(OR(T634="",I634&lt;T634),"",IFERROR(R634/IF(G634="",I634,G634)-1,""))</f>
        <v/>
      </c>
      <c r="R634" s="48">
        <f>IF($M634="","",MAX(IF($G634="",$I634,$G634)*(1/1.1),IF($G634="",$I634,$G634)+(R$2*$M634)))</f>
        <v/>
      </c>
      <c r="S634" s="49">
        <f>IF($M634="","",MAX(IF($G634="",$I634,$G634)*(1/1.1),IF($G634="",$I634,$G634)+(S$2*$M634)))</f>
        <v/>
      </c>
      <c r="T634" s="82" t="n"/>
      <c r="U634" s="47">
        <f>IF(OR($M634="",$T634=""),"",$T634+(U$2*$M634))</f>
        <v/>
      </c>
      <c r="V634" s="48">
        <f>IF(OR($M634="",$T634=""),"",$T634+(V$2*$M634))</f>
        <v/>
      </c>
      <c r="W634" s="48">
        <f>IF(OR($M634="",$T634=""),"",$T634+(W$2*$M634))</f>
        <v/>
      </c>
      <c r="X634" s="49">
        <f>IF(OR($M634="",$T634=""),"",$T634+(X$2*$M634))</f>
        <v/>
      </c>
      <c r="Y634" s="47">
        <f>IF(OR($M634="",$T634=""),"",$T634+(Y$2*$M634))</f>
        <v/>
      </c>
      <c r="Z634" s="49">
        <f>IF(OR($M634="",$T634=""),"",$T634+(Z$2*$M634))</f>
        <v/>
      </c>
      <c r="AA634" s="51">
        <f>IF(OR($M634="",$T634=""),"",$T634+(AA$2*$M634))</f>
        <v/>
      </c>
      <c r="AB634" s="48">
        <f>IF(OR($M634="",$T634=""),"",$T634+(AB$2*$M634))</f>
        <v/>
      </c>
      <c r="AC634" s="48">
        <f>IF(OR($M634="",$T634=""),"",$T634+(AC$2*$M634))</f>
        <v/>
      </c>
      <c r="AD634" s="48">
        <f>IF(OR($M634="",$T634=""),"",$T634+(AD$2*$M634))</f>
        <v/>
      </c>
      <c r="AE634" s="49">
        <f>IF(OR($M634="",$T634=""),"",$T634+(AE$2*$M634))</f>
        <v/>
      </c>
      <c r="AF634" s="52">
        <f>IF(OR(T634="",I634&lt;T634),"",IFERROR(AVERAGE(T634+M634*{7,8,9,10,11})/IF(G634="",I634,G634)-1,""))</f>
        <v/>
      </c>
      <c r="AG634" s="55">
        <f>IF(OR(T634="",I634&lt;T634),"",IFERROR(AF634/-(R634/IF(G634="",I634,G634)-1),""))</f>
        <v/>
      </c>
      <c r="AH634" s="94" t="n"/>
      <c r="AI634" s="94" t="n"/>
      <c r="AJ634" s="94" t="n"/>
      <c r="AK634" s="94" t="n"/>
      <c r="AL634" s="84" t="n"/>
    </row>
    <row r="635">
      <c r="A635" s="64" t="n"/>
      <c r="B635" s="65" t="n"/>
      <c r="C635" s="66" t="n"/>
      <c r="D635" s="67" t="n"/>
      <c r="E635" s="68" t="n"/>
      <c r="F635" s="47">
        <f>IF(A635="","",IF(MIN(H635,MAX(J635:K635))=0,"",MIN(H635,MAX(J635:K635))))</f>
        <v/>
      </c>
      <c r="G635" s="74" t="n"/>
      <c r="H635" s="49">
        <f>IF(M635="","",IFERROR(ROUND(AVERAGE(T635+M635*{7,8,9,10,11})/1.21,4),""))</f>
        <v/>
      </c>
      <c r="I635" s="76" t="n"/>
      <c r="J635" s="77" t="n"/>
      <c r="K635" s="74" t="n"/>
      <c r="L635" s="78" t="n"/>
      <c r="M635" s="77" t="n"/>
      <c r="N635" s="53">
        <f>IF(M635="","",IFERROR(M635/I635,""))</f>
        <v/>
      </c>
      <c r="O635" s="50">
        <f>IF(A635="","",IFERROR((IF(G635="",I635,G635)-T635)/M635,""))</f>
        <v/>
      </c>
      <c r="P635" s="50">
        <f>IFERROR((I635/T635-1)/N635,"")</f>
        <v/>
      </c>
      <c r="Q635" s="46">
        <f>IF(OR(T635="",I635&lt;T635),"",IFERROR(R635/IF(G635="",I635,G635)-1,""))</f>
        <v/>
      </c>
      <c r="R635" s="48">
        <f>IF($M635="","",MAX(IF($G635="",$I635,$G635)*(1/1.1),IF($G635="",$I635,$G635)+(R$2*$M635)))</f>
        <v/>
      </c>
      <c r="S635" s="49">
        <f>IF($M635="","",MAX(IF($G635="",$I635,$G635)*(1/1.1),IF($G635="",$I635,$G635)+(S$2*$M635)))</f>
        <v/>
      </c>
      <c r="T635" s="82" t="n"/>
      <c r="U635" s="47">
        <f>IF(OR($M635="",$T635=""),"",$T635+(U$2*$M635))</f>
        <v/>
      </c>
      <c r="V635" s="48">
        <f>IF(OR($M635="",$T635=""),"",$T635+(V$2*$M635))</f>
        <v/>
      </c>
      <c r="W635" s="48">
        <f>IF(OR($M635="",$T635=""),"",$T635+(W$2*$M635))</f>
        <v/>
      </c>
      <c r="X635" s="49">
        <f>IF(OR($M635="",$T635=""),"",$T635+(X$2*$M635))</f>
        <v/>
      </c>
      <c r="Y635" s="47">
        <f>IF(OR($M635="",$T635=""),"",$T635+(Y$2*$M635))</f>
        <v/>
      </c>
      <c r="Z635" s="49">
        <f>IF(OR($M635="",$T635=""),"",$T635+(Z$2*$M635))</f>
        <v/>
      </c>
      <c r="AA635" s="51">
        <f>IF(OR($M635="",$T635=""),"",$T635+(AA$2*$M635))</f>
        <v/>
      </c>
      <c r="AB635" s="48">
        <f>IF(OR($M635="",$T635=""),"",$T635+(AB$2*$M635))</f>
        <v/>
      </c>
      <c r="AC635" s="48">
        <f>IF(OR($M635="",$T635=""),"",$T635+(AC$2*$M635))</f>
        <v/>
      </c>
      <c r="AD635" s="48">
        <f>IF(OR($M635="",$T635=""),"",$T635+(AD$2*$M635))</f>
        <v/>
      </c>
      <c r="AE635" s="49">
        <f>IF(OR($M635="",$T635=""),"",$T635+(AE$2*$M635))</f>
        <v/>
      </c>
      <c r="AF635" s="52">
        <f>IF(OR(T635="",I635&lt;T635),"",IFERROR(AVERAGE(T635+M635*{7,8,9,10,11})/IF(G635="",I635,G635)-1,""))</f>
        <v/>
      </c>
      <c r="AG635" s="55">
        <f>IF(OR(T635="",I635&lt;T635),"",IFERROR(AF635/-(R635/IF(G635="",I635,G635)-1),""))</f>
        <v/>
      </c>
      <c r="AH635" s="94" t="n"/>
      <c r="AI635" s="94" t="n"/>
      <c r="AJ635" s="94" t="n"/>
      <c r="AK635" s="94" t="n"/>
      <c r="AL635" s="84" t="n"/>
    </row>
    <row r="636">
      <c r="A636" s="64" t="n"/>
      <c r="B636" s="65" t="n"/>
      <c r="C636" s="66" t="n"/>
      <c r="D636" s="67" t="n"/>
      <c r="E636" s="68" t="n"/>
      <c r="F636" s="47">
        <f>IF(A636="","",IF(MIN(H636,MAX(J636:K636))=0,"",MIN(H636,MAX(J636:K636))))</f>
        <v/>
      </c>
      <c r="G636" s="74" t="n"/>
      <c r="H636" s="49">
        <f>IF(M636="","",IFERROR(ROUND(AVERAGE(T636+M636*{7,8,9,10,11})/1.21,4),""))</f>
        <v/>
      </c>
      <c r="I636" s="76" t="n"/>
      <c r="J636" s="77" t="n"/>
      <c r="K636" s="74" t="n"/>
      <c r="L636" s="78" t="n"/>
      <c r="M636" s="77" t="n"/>
      <c r="N636" s="53">
        <f>IF(M636="","",IFERROR(M636/I636,""))</f>
        <v/>
      </c>
      <c r="O636" s="50">
        <f>IF(A636="","",IFERROR((IF(G636="",I636,G636)-T636)/M636,""))</f>
        <v/>
      </c>
      <c r="P636" s="50">
        <f>IFERROR((I636/T636-1)/N636,"")</f>
        <v/>
      </c>
      <c r="Q636" s="46">
        <f>IF(OR(T636="",I636&lt;T636),"",IFERROR(R636/IF(G636="",I636,G636)-1,""))</f>
        <v/>
      </c>
      <c r="R636" s="48">
        <f>IF($M636="","",MAX(IF($G636="",$I636,$G636)*(1/1.1),IF($G636="",$I636,$G636)+(R$2*$M636)))</f>
        <v/>
      </c>
      <c r="S636" s="49">
        <f>IF($M636="","",MAX(IF($G636="",$I636,$G636)*(1/1.1),IF($G636="",$I636,$G636)+(S$2*$M636)))</f>
        <v/>
      </c>
      <c r="T636" s="82" t="n"/>
      <c r="U636" s="47">
        <f>IF(OR($M636="",$T636=""),"",$T636+(U$2*$M636))</f>
        <v/>
      </c>
      <c r="V636" s="48">
        <f>IF(OR($M636="",$T636=""),"",$T636+(V$2*$M636))</f>
        <v/>
      </c>
      <c r="W636" s="48">
        <f>IF(OR($M636="",$T636=""),"",$T636+(W$2*$M636))</f>
        <v/>
      </c>
      <c r="X636" s="49">
        <f>IF(OR($M636="",$T636=""),"",$T636+(X$2*$M636))</f>
        <v/>
      </c>
      <c r="Y636" s="47">
        <f>IF(OR($M636="",$T636=""),"",$T636+(Y$2*$M636))</f>
        <v/>
      </c>
      <c r="Z636" s="49">
        <f>IF(OR($M636="",$T636=""),"",$T636+(Z$2*$M636))</f>
        <v/>
      </c>
      <c r="AA636" s="51">
        <f>IF(OR($M636="",$T636=""),"",$T636+(AA$2*$M636))</f>
        <v/>
      </c>
      <c r="AB636" s="48">
        <f>IF(OR($M636="",$T636=""),"",$T636+(AB$2*$M636))</f>
        <v/>
      </c>
      <c r="AC636" s="48">
        <f>IF(OR($M636="",$T636=""),"",$T636+(AC$2*$M636))</f>
        <v/>
      </c>
      <c r="AD636" s="48">
        <f>IF(OR($M636="",$T636=""),"",$T636+(AD$2*$M636))</f>
        <v/>
      </c>
      <c r="AE636" s="49">
        <f>IF(OR($M636="",$T636=""),"",$T636+(AE$2*$M636))</f>
        <v/>
      </c>
      <c r="AF636" s="52">
        <f>IF(OR(T636="",I636&lt;T636),"",IFERROR(AVERAGE(T636+M636*{7,8,9,10,11})/IF(G636="",I636,G636)-1,""))</f>
        <v/>
      </c>
      <c r="AG636" s="55">
        <f>IF(OR(T636="",I636&lt;T636),"",IFERROR(AF636/-(R636/IF(G636="",I636,G636)-1),""))</f>
        <v/>
      </c>
      <c r="AH636" s="94" t="n"/>
      <c r="AI636" s="94" t="n"/>
      <c r="AJ636" s="94" t="n"/>
      <c r="AK636" s="94" t="n"/>
      <c r="AL636" s="84" t="n"/>
    </row>
    <row r="637">
      <c r="A637" s="64" t="n"/>
      <c r="B637" s="65" t="n"/>
      <c r="C637" s="66" t="n"/>
      <c r="D637" s="67" t="n"/>
      <c r="E637" s="68" t="n"/>
      <c r="F637" s="47">
        <f>IF(A637="","",IF(MIN(H637,MAX(J637:K637))=0,"",MIN(H637,MAX(J637:K637))))</f>
        <v/>
      </c>
      <c r="G637" s="74" t="n"/>
      <c r="H637" s="49">
        <f>IF(M637="","",IFERROR(ROUND(AVERAGE(T637+M637*{7,8,9,10,11})/1.21,4),""))</f>
        <v/>
      </c>
      <c r="I637" s="76" t="n"/>
      <c r="J637" s="77" t="n"/>
      <c r="K637" s="74" t="n"/>
      <c r="L637" s="78" t="n"/>
      <c r="M637" s="77" t="n"/>
      <c r="N637" s="53">
        <f>IF(M637="","",IFERROR(M637/I637,""))</f>
        <v/>
      </c>
      <c r="O637" s="50">
        <f>IF(A637="","",IFERROR((IF(G637="",I637,G637)-T637)/M637,""))</f>
        <v/>
      </c>
      <c r="P637" s="50">
        <f>IFERROR((I637/T637-1)/N637,"")</f>
        <v/>
      </c>
      <c r="Q637" s="46">
        <f>IF(OR(T637="",I637&lt;T637),"",IFERROR(R637/IF(G637="",I637,G637)-1,""))</f>
        <v/>
      </c>
      <c r="R637" s="48">
        <f>IF($M637="","",MAX(IF($G637="",$I637,$G637)*(1/1.1),IF($G637="",$I637,$G637)+(R$2*$M637)))</f>
        <v/>
      </c>
      <c r="S637" s="49">
        <f>IF($M637="","",MAX(IF($G637="",$I637,$G637)*(1/1.1),IF($G637="",$I637,$G637)+(S$2*$M637)))</f>
        <v/>
      </c>
      <c r="T637" s="82" t="n"/>
      <c r="U637" s="47">
        <f>IF(OR($M637="",$T637=""),"",$T637+(U$2*$M637))</f>
        <v/>
      </c>
      <c r="V637" s="48">
        <f>IF(OR($M637="",$T637=""),"",$T637+(V$2*$M637))</f>
        <v/>
      </c>
      <c r="W637" s="48">
        <f>IF(OR($M637="",$T637=""),"",$T637+(W$2*$M637))</f>
        <v/>
      </c>
      <c r="X637" s="49">
        <f>IF(OR($M637="",$T637=""),"",$T637+(X$2*$M637))</f>
        <v/>
      </c>
      <c r="Y637" s="47">
        <f>IF(OR($M637="",$T637=""),"",$T637+(Y$2*$M637))</f>
        <v/>
      </c>
      <c r="Z637" s="49">
        <f>IF(OR($M637="",$T637=""),"",$T637+(Z$2*$M637))</f>
        <v/>
      </c>
      <c r="AA637" s="51">
        <f>IF(OR($M637="",$T637=""),"",$T637+(AA$2*$M637))</f>
        <v/>
      </c>
      <c r="AB637" s="48">
        <f>IF(OR($M637="",$T637=""),"",$T637+(AB$2*$M637))</f>
        <v/>
      </c>
      <c r="AC637" s="48">
        <f>IF(OR($M637="",$T637=""),"",$T637+(AC$2*$M637))</f>
        <v/>
      </c>
      <c r="AD637" s="48">
        <f>IF(OR($M637="",$T637=""),"",$T637+(AD$2*$M637))</f>
        <v/>
      </c>
      <c r="AE637" s="49">
        <f>IF(OR($M637="",$T637=""),"",$T637+(AE$2*$M637))</f>
        <v/>
      </c>
      <c r="AF637" s="52">
        <f>IF(OR(T637="",I637&lt;T637),"",IFERROR(AVERAGE(T637+M637*{7,8,9,10,11})/IF(G637="",I637,G637)-1,""))</f>
        <v/>
      </c>
      <c r="AG637" s="55">
        <f>IF(OR(T637="",I637&lt;T637),"",IFERROR(AF637/-(R637/IF(G637="",I637,G637)-1),""))</f>
        <v/>
      </c>
      <c r="AH637" s="94" t="n"/>
      <c r="AI637" s="94" t="n"/>
      <c r="AJ637" s="94" t="n"/>
      <c r="AK637" s="94" t="n"/>
      <c r="AL637" s="84" t="n"/>
    </row>
    <row r="638">
      <c r="A638" s="64" t="n"/>
      <c r="B638" s="65" t="n"/>
      <c r="C638" s="66" t="n"/>
      <c r="D638" s="67" t="n"/>
      <c r="E638" s="68" t="n"/>
      <c r="F638" s="47">
        <f>IF(A638="","",IF(MIN(H638,MAX(J638:K638))=0,"",MIN(H638,MAX(J638:K638))))</f>
        <v/>
      </c>
      <c r="G638" s="74" t="n"/>
      <c r="H638" s="49">
        <f>IF(M638="","",IFERROR(ROUND(AVERAGE(T638+M638*{7,8,9,10,11})/1.21,4),""))</f>
        <v/>
      </c>
      <c r="I638" s="76" t="n"/>
      <c r="J638" s="77" t="n"/>
      <c r="K638" s="74" t="n"/>
      <c r="L638" s="78" t="n"/>
      <c r="M638" s="77" t="n"/>
      <c r="N638" s="53">
        <f>IF(M638="","",IFERROR(M638/I638,""))</f>
        <v/>
      </c>
      <c r="O638" s="50">
        <f>IF(A638="","",IFERROR((IF(G638="",I638,G638)-T638)/M638,""))</f>
        <v/>
      </c>
      <c r="P638" s="50">
        <f>IFERROR((I638/T638-1)/N638,"")</f>
        <v/>
      </c>
      <c r="Q638" s="46">
        <f>IF(OR(T638="",I638&lt;T638),"",IFERROR(R638/IF(G638="",I638,G638)-1,""))</f>
        <v/>
      </c>
      <c r="R638" s="48">
        <f>IF($M638="","",MAX(IF($G638="",$I638,$G638)*(1/1.1),IF($G638="",$I638,$G638)+(R$2*$M638)))</f>
        <v/>
      </c>
      <c r="S638" s="49">
        <f>IF($M638="","",MAX(IF($G638="",$I638,$G638)*(1/1.1),IF($G638="",$I638,$G638)+(S$2*$M638)))</f>
        <v/>
      </c>
      <c r="T638" s="82" t="n"/>
      <c r="U638" s="47">
        <f>IF(OR($M638="",$T638=""),"",$T638+(U$2*$M638))</f>
        <v/>
      </c>
      <c r="V638" s="48">
        <f>IF(OR($M638="",$T638=""),"",$T638+(V$2*$M638))</f>
        <v/>
      </c>
      <c r="W638" s="48">
        <f>IF(OR($M638="",$T638=""),"",$T638+(W$2*$M638))</f>
        <v/>
      </c>
      <c r="X638" s="49">
        <f>IF(OR($M638="",$T638=""),"",$T638+(X$2*$M638))</f>
        <v/>
      </c>
      <c r="Y638" s="47">
        <f>IF(OR($M638="",$T638=""),"",$T638+(Y$2*$M638))</f>
        <v/>
      </c>
      <c r="Z638" s="49">
        <f>IF(OR($M638="",$T638=""),"",$T638+(Z$2*$M638))</f>
        <v/>
      </c>
      <c r="AA638" s="51">
        <f>IF(OR($M638="",$T638=""),"",$T638+(AA$2*$M638))</f>
        <v/>
      </c>
      <c r="AB638" s="48">
        <f>IF(OR($M638="",$T638=""),"",$T638+(AB$2*$M638))</f>
        <v/>
      </c>
      <c r="AC638" s="48">
        <f>IF(OR($M638="",$T638=""),"",$T638+(AC$2*$M638))</f>
        <v/>
      </c>
      <c r="AD638" s="48">
        <f>IF(OR($M638="",$T638=""),"",$T638+(AD$2*$M638))</f>
        <v/>
      </c>
      <c r="AE638" s="49">
        <f>IF(OR($M638="",$T638=""),"",$T638+(AE$2*$M638))</f>
        <v/>
      </c>
      <c r="AF638" s="52">
        <f>IF(OR(T638="",I638&lt;T638),"",IFERROR(AVERAGE(T638+M638*{7,8,9,10,11})/IF(G638="",I638,G638)-1,""))</f>
        <v/>
      </c>
      <c r="AG638" s="55">
        <f>IF(OR(T638="",I638&lt;T638),"",IFERROR(AF638/-(R638/IF(G638="",I638,G638)-1),""))</f>
        <v/>
      </c>
      <c r="AH638" s="94" t="n"/>
      <c r="AI638" s="94" t="n"/>
      <c r="AJ638" s="94" t="n"/>
      <c r="AK638" s="94" t="n"/>
      <c r="AL638" s="84" t="n"/>
    </row>
    <row r="639">
      <c r="A639" s="64" t="n"/>
      <c r="B639" s="65" t="n"/>
      <c r="C639" s="66" t="n"/>
      <c r="D639" s="67" t="n"/>
      <c r="E639" s="68" t="n"/>
      <c r="F639" s="47">
        <f>IF(A639="","",IF(MIN(H639,MAX(J639:K639))=0,"",MIN(H639,MAX(J639:K639))))</f>
        <v/>
      </c>
      <c r="G639" s="74" t="n"/>
      <c r="H639" s="49">
        <f>IF(M639="","",IFERROR(ROUND(AVERAGE(T639+M639*{7,8,9,10,11})/1.21,4),""))</f>
        <v/>
      </c>
      <c r="I639" s="76" t="n"/>
      <c r="J639" s="77" t="n"/>
      <c r="K639" s="74" t="n"/>
      <c r="L639" s="78" t="n"/>
      <c r="M639" s="77" t="n"/>
      <c r="N639" s="53">
        <f>IF(M639="","",IFERROR(M639/I639,""))</f>
        <v/>
      </c>
      <c r="O639" s="50">
        <f>IF(A639="","",IFERROR((IF(G639="",I639,G639)-T639)/M639,""))</f>
        <v/>
      </c>
      <c r="P639" s="50">
        <f>IFERROR((I639/T639-1)/N639,"")</f>
        <v/>
      </c>
      <c r="Q639" s="46">
        <f>IF(OR(T639="",I639&lt;T639),"",IFERROR(R639/IF(G639="",I639,G639)-1,""))</f>
        <v/>
      </c>
      <c r="R639" s="48">
        <f>IF($M639="","",MAX(IF($G639="",$I639,$G639)*(1/1.1),IF($G639="",$I639,$G639)+(R$2*$M639)))</f>
        <v/>
      </c>
      <c r="S639" s="49">
        <f>IF($M639="","",MAX(IF($G639="",$I639,$G639)*(1/1.1),IF($G639="",$I639,$G639)+(S$2*$M639)))</f>
        <v/>
      </c>
      <c r="T639" s="82" t="n"/>
      <c r="U639" s="47">
        <f>IF(OR($M639="",$T639=""),"",$T639+(U$2*$M639))</f>
        <v/>
      </c>
      <c r="V639" s="48">
        <f>IF(OR($M639="",$T639=""),"",$T639+(V$2*$M639))</f>
        <v/>
      </c>
      <c r="W639" s="48">
        <f>IF(OR($M639="",$T639=""),"",$T639+(W$2*$M639))</f>
        <v/>
      </c>
      <c r="X639" s="49">
        <f>IF(OR($M639="",$T639=""),"",$T639+(X$2*$M639))</f>
        <v/>
      </c>
      <c r="Y639" s="47">
        <f>IF(OR($M639="",$T639=""),"",$T639+(Y$2*$M639))</f>
        <v/>
      </c>
      <c r="Z639" s="49">
        <f>IF(OR($M639="",$T639=""),"",$T639+(Z$2*$M639))</f>
        <v/>
      </c>
      <c r="AA639" s="51">
        <f>IF(OR($M639="",$T639=""),"",$T639+(AA$2*$M639))</f>
        <v/>
      </c>
      <c r="AB639" s="48">
        <f>IF(OR($M639="",$T639=""),"",$T639+(AB$2*$M639))</f>
        <v/>
      </c>
      <c r="AC639" s="48">
        <f>IF(OR($M639="",$T639=""),"",$T639+(AC$2*$M639))</f>
        <v/>
      </c>
      <c r="AD639" s="48">
        <f>IF(OR($M639="",$T639=""),"",$T639+(AD$2*$M639))</f>
        <v/>
      </c>
      <c r="AE639" s="49">
        <f>IF(OR($M639="",$T639=""),"",$T639+(AE$2*$M639))</f>
        <v/>
      </c>
      <c r="AF639" s="52">
        <f>IF(OR(T639="",I639&lt;T639),"",IFERROR(AVERAGE(T639+M639*{7,8,9,10,11})/IF(G639="",I639,G639)-1,""))</f>
        <v/>
      </c>
      <c r="AG639" s="55">
        <f>IF(OR(T639="",I639&lt;T639),"",IFERROR(AF639/-(R639/IF(G639="",I639,G639)-1),""))</f>
        <v/>
      </c>
      <c r="AH639" s="94" t="n"/>
      <c r="AI639" s="94" t="n"/>
      <c r="AJ639" s="94" t="n"/>
      <c r="AK639" s="94" t="n"/>
      <c r="AL639" s="84" t="n"/>
    </row>
    <row r="640">
      <c r="A640" s="64" t="n"/>
      <c r="B640" s="65" t="n"/>
      <c r="C640" s="66" t="n"/>
      <c r="D640" s="67" t="n"/>
      <c r="E640" s="68" t="n"/>
      <c r="F640" s="47">
        <f>IF(A640="","",IF(MIN(H640,MAX(J640:K640))=0,"",MIN(H640,MAX(J640:K640))))</f>
        <v/>
      </c>
      <c r="G640" s="74" t="n"/>
      <c r="H640" s="49">
        <f>IF(M640="","",IFERROR(ROUND(AVERAGE(T640+M640*{7,8,9,10,11})/1.21,4),""))</f>
        <v/>
      </c>
      <c r="I640" s="76" t="n"/>
      <c r="J640" s="77" t="n"/>
      <c r="K640" s="74" t="n"/>
      <c r="L640" s="78" t="n"/>
      <c r="M640" s="77" t="n"/>
      <c r="N640" s="53">
        <f>IF(M640="","",IFERROR(M640/I640,""))</f>
        <v/>
      </c>
      <c r="O640" s="50">
        <f>IF(A640="","",IFERROR((IF(G640="",I640,G640)-T640)/M640,""))</f>
        <v/>
      </c>
      <c r="P640" s="50">
        <f>IFERROR((I640/T640-1)/N640,"")</f>
        <v/>
      </c>
      <c r="Q640" s="46">
        <f>IF(OR(T640="",I640&lt;T640),"",IFERROR(R640/IF(G640="",I640,G640)-1,""))</f>
        <v/>
      </c>
      <c r="R640" s="48">
        <f>IF($M640="","",MAX(IF($G640="",$I640,$G640)*(1/1.1),IF($G640="",$I640,$G640)+(R$2*$M640)))</f>
        <v/>
      </c>
      <c r="S640" s="49">
        <f>IF($M640="","",MAX(IF($G640="",$I640,$G640)*(1/1.1),IF($G640="",$I640,$G640)+(S$2*$M640)))</f>
        <v/>
      </c>
      <c r="T640" s="82" t="n"/>
      <c r="U640" s="47">
        <f>IF(OR($M640="",$T640=""),"",$T640+(U$2*$M640))</f>
        <v/>
      </c>
      <c r="V640" s="48">
        <f>IF(OR($M640="",$T640=""),"",$T640+(V$2*$M640))</f>
        <v/>
      </c>
      <c r="W640" s="48">
        <f>IF(OR($M640="",$T640=""),"",$T640+(W$2*$M640))</f>
        <v/>
      </c>
      <c r="X640" s="49">
        <f>IF(OR($M640="",$T640=""),"",$T640+(X$2*$M640))</f>
        <v/>
      </c>
      <c r="Y640" s="47">
        <f>IF(OR($M640="",$T640=""),"",$T640+(Y$2*$M640))</f>
        <v/>
      </c>
      <c r="Z640" s="49">
        <f>IF(OR($M640="",$T640=""),"",$T640+(Z$2*$M640))</f>
        <v/>
      </c>
      <c r="AA640" s="51">
        <f>IF(OR($M640="",$T640=""),"",$T640+(AA$2*$M640))</f>
        <v/>
      </c>
      <c r="AB640" s="48">
        <f>IF(OR($M640="",$T640=""),"",$T640+(AB$2*$M640))</f>
        <v/>
      </c>
      <c r="AC640" s="48">
        <f>IF(OR($M640="",$T640=""),"",$T640+(AC$2*$M640))</f>
        <v/>
      </c>
      <c r="AD640" s="48">
        <f>IF(OR($M640="",$T640=""),"",$T640+(AD$2*$M640))</f>
        <v/>
      </c>
      <c r="AE640" s="49">
        <f>IF(OR($M640="",$T640=""),"",$T640+(AE$2*$M640))</f>
        <v/>
      </c>
      <c r="AF640" s="52">
        <f>IF(OR(T640="",I640&lt;T640),"",IFERROR(AVERAGE(T640+M640*{7,8,9,10,11})/IF(G640="",I640,G640)-1,""))</f>
        <v/>
      </c>
      <c r="AG640" s="55">
        <f>IF(OR(T640="",I640&lt;T640),"",IFERROR(AF640/-(R640/IF(G640="",I640,G640)-1),""))</f>
        <v/>
      </c>
      <c r="AH640" s="94" t="n"/>
      <c r="AI640" s="94" t="n"/>
      <c r="AJ640" s="94" t="n"/>
      <c r="AK640" s="94" t="n"/>
      <c r="AL640" s="84" t="n"/>
    </row>
    <row r="641">
      <c r="A641" s="64" t="n"/>
      <c r="B641" s="65" t="n"/>
      <c r="C641" s="66" t="n"/>
      <c r="D641" s="67" t="n"/>
      <c r="E641" s="68" t="n"/>
      <c r="F641" s="47">
        <f>IF(A641="","",IF(MIN(H641,MAX(J641:K641))=0,"",MIN(H641,MAX(J641:K641))))</f>
        <v/>
      </c>
      <c r="G641" s="74" t="n"/>
      <c r="H641" s="49">
        <f>IF(M641="","",IFERROR(ROUND(AVERAGE(T641+M641*{7,8,9,10,11})/1.21,4),""))</f>
        <v/>
      </c>
      <c r="I641" s="76" t="n"/>
      <c r="J641" s="77" t="n"/>
      <c r="K641" s="74" t="n"/>
      <c r="L641" s="78" t="n"/>
      <c r="M641" s="77" t="n"/>
      <c r="N641" s="53">
        <f>IF(M641="","",IFERROR(M641/I641,""))</f>
        <v/>
      </c>
      <c r="O641" s="50">
        <f>IF(A641="","",IFERROR((IF(G641="",I641,G641)-T641)/M641,""))</f>
        <v/>
      </c>
      <c r="P641" s="50">
        <f>IFERROR((I641/T641-1)/N641,"")</f>
        <v/>
      </c>
      <c r="Q641" s="46">
        <f>IF(OR(T641="",I641&lt;T641),"",IFERROR(R641/IF(G641="",I641,G641)-1,""))</f>
        <v/>
      </c>
      <c r="R641" s="48">
        <f>IF($M641="","",MAX(IF($G641="",$I641,$G641)*(1/1.1),IF($G641="",$I641,$G641)+(R$2*$M641)))</f>
        <v/>
      </c>
      <c r="S641" s="49">
        <f>IF($M641="","",MAX(IF($G641="",$I641,$G641)*(1/1.1),IF($G641="",$I641,$G641)+(S$2*$M641)))</f>
        <v/>
      </c>
      <c r="T641" s="82" t="n"/>
      <c r="U641" s="47">
        <f>IF(OR($M641="",$T641=""),"",$T641+(U$2*$M641))</f>
        <v/>
      </c>
      <c r="V641" s="48">
        <f>IF(OR($M641="",$T641=""),"",$T641+(V$2*$M641))</f>
        <v/>
      </c>
      <c r="W641" s="48">
        <f>IF(OR($M641="",$T641=""),"",$T641+(W$2*$M641))</f>
        <v/>
      </c>
      <c r="X641" s="49">
        <f>IF(OR($M641="",$T641=""),"",$T641+(X$2*$M641))</f>
        <v/>
      </c>
      <c r="Y641" s="47">
        <f>IF(OR($M641="",$T641=""),"",$T641+(Y$2*$M641))</f>
        <v/>
      </c>
      <c r="Z641" s="49">
        <f>IF(OR($M641="",$T641=""),"",$T641+(Z$2*$M641))</f>
        <v/>
      </c>
      <c r="AA641" s="51">
        <f>IF(OR($M641="",$T641=""),"",$T641+(AA$2*$M641))</f>
        <v/>
      </c>
      <c r="AB641" s="48">
        <f>IF(OR($M641="",$T641=""),"",$T641+(AB$2*$M641))</f>
        <v/>
      </c>
      <c r="AC641" s="48">
        <f>IF(OR($M641="",$T641=""),"",$T641+(AC$2*$M641))</f>
        <v/>
      </c>
      <c r="AD641" s="48">
        <f>IF(OR($M641="",$T641=""),"",$T641+(AD$2*$M641))</f>
        <v/>
      </c>
      <c r="AE641" s="49">
        <f>IF(OR($M641="",$T641=""),"",$T641+(AE$2*$M641))</f>
        <v/>
      </c>
      <c r="AF641" s="52">
        <f>IF(OR(T641="",I641&lt;T641),"",IFERROR(AVERAGE(T641+M641*{7,8,9,10,11})/IF(G641="",I641,G641)-1,""))</f>
        <v/>
      </c>
      <c r="AG641" s="55">
        <f>IF(OR(T641="",I641&lt;T641),"",IFERROR(AF641/-(R641/IF(G641="",I641,G641)-1),""))</f>
        <v/>
      </c>
      <c r="AH641" s="94" t="n"/>
      <c r="AI641" s="94" t="n"/>
      <c r="AJ641" s="94" t="n"/>
      <c r="AK641" s="94" t="n"/>
      <c r="AL641" s="84" t="n"/>
    </row>
    <row r="642">
      <c r="A642" s="64" t="n"/>
      <c r="B642" s="65" t="n"/>
      <c r="C642" s="66" t="n"/>
      <c r="D642" s="67" t="n"/>
      <c r="E642" s="68" t="n"/>
      <c r="F642" s="47">
        <f>IF(A642="","",IF(MIN(H642,MAX(J642:K642))=0,"",MIN(H642,MAX(J642:K642))))</f>
        <v/>
      </c>
      <c r="G642" s="74" t="n"/>
      <c r="H642" s="49">
        <f>IF(M642="","",IFERROR(ROUND(AVERAGE(T642+M642*{7,8,9,10,11})/1.21,4),""))</f>
        <v/>
      </c>
      <c r="I642" s="76" t="n"/>
      <c r="J642" s="77" t="n"/>
      <c r="K642" s="74" t="n"/>
      <c r="L642" s="78" t="n"/>
      <c r="M642" s="77" t="n"/>
      <c r="N642" s="53">
        <f>IF(M642="","",IFERROR(M642/I642,""))</f>
        <v/>
      </c>
      <c r="O642" s="50">
        <f>IF(A642="","",IFERROR((IF(G642="",I642,G642)-T642)/M642,""))</f>
        <v/>
      </c>
      <c r="P642" s="50">
        <f>IFERROR((I642/T642-1)/N642,"")</f>
        <v/>
      </c>
      <c r="Q642" s="46">
        <f>IF(OR(T642="",I642&lt;T642),"",IFERROR(R642/IF(G642="",I642,G642)-1,""))</f>
        <v/>
      </c>
      <c r="R642" s="48">
        <f>IF($M642="","",MAX(IF($G642="",$I642,$G642)*(1/1.1),IF($G642="",$I642,$G642)+(R$2*$M642)))</f>
        <v/>
      </c>
      <c r="S642" s="49">
        <f>IF($M642="","",MAX(IF($G642="",$I642,$G642)*(1/1.1),IF($G642="",$I642,$G642)+(S$2*$M642)))</f>
        <v/>
      </c>
      <c r="T642" s="82" t="n"/>
      <c r="U642" s="47">
        <f>IF(OR($M642="",$T642=""),"",$T642+(U$2*$M642))</f>
        <v/>
      </c>
      <c r="V642" s="48">
        <f>IF(OR($M642="",$T642=""),"",$T642+(V$2*$M642))</f>
        <v/>
      </c>
      <c r="W642" s="48">
        <f>IF(OR($M642="",$T642=""),"",$T642+(W$2*$M642))</f>
        <v/>
      </c>
      <c r="X642" s="49">
        <f>IF(OR($M642="",$T642=""),"",$T642+(X$2*$M642))</f>
        <v/>
      </c>
      <c r="Y642" s="47">
        <f>IF(OR($M642="",$T642=""),"",$T642+(Y$2*$M642))</f>
        <v/>
      </c>
      <c r="Z642" s="49">
        <f>IF(OR($M642="",$T642=""),"",$T642+(Z$2*$M642))</f>
        <v/>
      </c>
      <c r="AA642" s="51">
        <f>IF(OR($M642="",$T642=""),"",$T642+(AA$2*$M642))</f>
        <v/>
      </c>
      <c r="AB642" s="48">
        <f>IF(OR($M642="",$T642=""),"",$T642+(AB$2*$M642))</f>
        <v/>
      </c>
      <c r="AC642" s="48">
        <f>IF(OR($M642="",$T642=""),"",$T642+(AC$2*$M642))</f>
        <v/>
      </c>
      <c r="AD642" s="48">
        <f>IF(OR($M642="",$T642=""),"",$T642+(AD$2*$M642))</f>
        <v/>
      </c>
      <c r="AE642" s="49">
        <f>IF(OR($M642="",$T642=""),"",$T642+(AE$2*$M642))</f>
        <v/>
      </c>
      <c r="AF642" s="52">
        <f>IF(OR(T642="",I642&lt;T642),"",IFERROR(AVERAGE(T642+M642*{7,8,9,10,11})/IF(G642="",I642,G642)-1,""))</f>
        <v/>
      </c>
      <c r="AG642" s="55">
        <f>IF(OR(T642="",I642&lt;T642),"",IFERROR(AF642/-(R642/IF(G642="",I642,G642)-1),""))</f>
        <v/>
      </c>
      <c r="AH642" s="94" t="n"/>
      <c r="AI642" s="94" t="n"/>
      <c r="AJ642" s="94" t="n"/>
      <c r="AK642" s="94" t="n"/>
      <c r="AL642" s="84" t="n"/>
    </row>
    <row r="643">
      <c r="A643" s="64" t="n"/>
      <c r="B643" s="65" t="n"/>
      <c r="C643" s="66" t="n"/>
      <c r="D643" s="67" t="n"/>
      <c r="E643" s="68" t="n"/>
      <c r="F643" s="47">
        <f>IF(A643="","",IF(MIN(H643,MAX(J643:K643))=0,"",MIN(H643,MAX(J643:K643))))</f>
        <v/>
      </c>
      <c r="G643" s="74" t="n"/>
      <c r="H643" s="49">
        <f>IF(M643="","",IFERROR(ROUND(AVERAGE(T643+M643*{7,8,9,10,11})/1.21,4),""))</f>
        <v/>
      </c>
      <c r="I643" s="76" t="n"/>
      <c r="J643" s="77" t="n"/>
      <c r="K643" s="74" t="n"/>
      <c r="L643" s="78" t="n"/>
      <c r="M643" s="77" t="n"/>
      <c r="N643" s="53">
        <f>IF(M643="","",IFERROR(M643/I643,""))</f>
        <v/>
      </c>
      <c r="O643" s="50">
        <f>IF(A643="","",IFERROR((IF(G643="",I643,G643)-T643)/M643,""))</f>
        <v/>
      </c>
      <c r="P643" s="50">
        <f>IFERROR((I643/T643-1)/N643,"")</f>
        <v/>
      </c>
      <c r="Q643" s="46">
        <f>IF(OR(T643="",I643&lt;T643),"",IFERROR(R643/IF(G643="",I643,G643)-1,""))</f>
        <v/>
      </c>
      <c r="R643" s="48">
        <f>IF($M643="","",MAX(IF($G643="",$I643,$G643)*(1/1.1),IF($G643="",$I643,$G643)+(R$2*$M643)))</f>
        <v/>
      </c>
      <c r="S643" s="49">
        <f>IF($M643="","",MAX(IF($G643="",$I643,$G643)*(1/1.1),IF($G643="",$I643,$G643)+(S$2*$M643)))</f>
        <v/>
      </c>
      <c r="T643" s="82" t="n"/>
      <c r="U643" s="47">
        <f>IF(OR($M643="",$T643=""),"",$T643+(U$2*$M643))</f>
        <v/>
      </c>
      <c r="V643" s="48">
        <f>IF(OR($M643="",$T643=""),"",$T643+(V$2*$M643))</f>
        <v/>
      </c>
      <c r="W643" s="48">
        <f>IF(OR($M643="",$T643=""),"",$T643+(W$2*$M643))</f>
        <v/>
      </c>
      <c r="X643" s="49">
        <f>IF(OR($M643="",$T643=""),"",$T643+(X$2*$M643))</f>
        <v/>
      </c>
      <c r="Y643" s="47">
        <f>IF(OR($M643="",$T643=""),"",$T643+(Y$2*$M643))</f>
        <v/>
      </c>
      <c r="Z643" s="49">
        <f>IF(OR($M643="",$T643=""),"",$T643+(Z$2*$M643))</f>
        <v/>
      </c>
      <c r="AA643" s="51">
        <f>IF(OR($M643="",$T643=""),"",$T643+(AA$2*$M643))</f>
        <v/>
      </c>
      <c r="AB643" s="48">
        <f>IF(OR($M643="",$T643=""),"",$T643+(AB$2*$M643))</f>
        <v/>
      </c>
      <c r="AC643" s="48">
        <f>IF(OR($M643="",$T643=""),"",$T643+(AC$2*$M643))</f>
        <v/>
      </c>
      <c r="AD643" s="48">
        <f>IF(OR($M643="",$T643=""),"",$T643+(AD$2*$M643))</f>
        <v/>
      </c>
      <c r="AE643" s="49">
        <f>IF(OR($M643="",$T643=""),"",$T643+(AE$2*$M643))</f>
        <v/>
      </c>
      <c r="AF643" s="52">
        <f>IF(OR(T643="",I643&lt;T643),"",IFERROR(AVERAGE(T643+M643*{7,8,9,10,11})/IF(G643="",I643,G643)-1,""))</f>
        <v/>
      </c>
      <c r="AG643" s="55">
        <f>IF(OR(T643="",I643&lt;T643),"",IFERROR(AF643/-(R643/IF(G643="",I643,G643)-1),""))</f>
        <v/>
      </c>
      <c r="AH643" s="94" t="n"/>
      <c r="AI643" s="94" t="n"/>
      <c r="AJ643" s="94" t="n"/>
      <c r="AK643" s="94" t="n"/>
      <c r="AL643" s="84" t="n"/>
    </row>
    <row r="644">
      <c r="A644" s="64" t="n"/>
      <c r="B644" s="65" t="n"/>
      <c r="C644" s="66" t="n"/>
      <c r="D644" s="67" t="n"/>
      <c r="E644" s="68" t="n"/>
      <c r="F644" s="47">
        <f>IF(A644="","",IF(MIN(H644,MAX(J644:K644))=0,"",MIN(H644,MAX(J644:K644))))</f>
        <v/>
      </c>
      <c r="G644" s="74" t="n"/>
      <c r="H644" s="49">
        <f>IF(M644="","",IFERROR(ROUND(AVERAGE(T644+M644*{7,8,9,10,11})/1.21,4),""))</f>
        <v/>
      </c>
      <c r="I644" s="76" t="n"/>
      <c r="J644" s="77" t="n"/>
      <c r="K644" s="74" t="n"/>
      <c r="L644" s="78" t="n"/>
      <c r="M644" s="77" t="n"/>
      <c r="N644" s="53">
        <f>IF(M644="","",IFERROR(M644/I644,""))</f>
        <v/>
      </c>
      <c r="O644" s="50">
        <f>IF(A644="","",IFERROR((IF(G644="",I644,G644)-T644)/M644,""))</f>
        <v/>
      </c>
      <c r="P644" s="50">
        <f>IFERROR((I644/T644-1)/N644,"")</f>
        <v/>
      </c>
      <c r="Q644" s="46">
        <f>IF(OR(T644="",I644&lt;T644),"",IFERROR(R644/IF(G644="",I644,G644)-1,""))</f>
        <v/>
      </c>
      <c r="R644" s="48">
        <f>IF($M644="","",MAX(IF($G644="",$I644,$G644)*(1/1.1),IF($G644="",$I644,$G644)+(R$2*$M644)))</f>
        <v/>
      </c>
      <c r="S644" s="49">
        <f>IF($M644="","",MAX(IF($G644="",$I644,$G644)*(1/1.1),IF($G644="",$I644,$G644)+(S$2*$M644)))</f>
        <v/>
      </c>
      <c r="T644" s="82" t="n"/>
      <c r="U644" s="47">
        <f>IF(OR($M644="",$T644=""),"",$T644+(U$2*$M644))</f>
        <v/>
      </c>
      <c r="V644" s="48">
        <f>IF(OR($M644="",$T644=""),"",$T644+(V$2*$M644))</f>
        <v/>
      </c>
      <c r="W644" s="48">
        <f>IF(OR($M644="",$T644=""),"",$T644+(W$2*$M644))</f>
        <v/>
      </c>
      <c r="X644" s="49">
        <f>IF(OR($M644="",$T644=""),"",$T644+(X$2*$M644))</f>
        <v/>
      </c>
      <c r="Y644" s="47">
        <f>IF(OR($M644="",$T644=""),"",$T644+(Y$2*$M644))</f>
        <v/>
      </c>
      <c r="Z644" s="49">
        <f>IF(OR($M644="",$T644=""),"",$T644+(Z$2*$M644))</f>
        <v/>
      </c>
      <c r="AA644" s="51">
        <f>IF(OR($M644="",$T644=""),"",$T644+(AA$2*$M644))</f>
        <v/>
      </c>
      <c r="AB644" s="48">
        <f>IF(OR($M644="",$T644=""),"",$T644+(AB$2*$M644))</f>
        <v/>
      </c>
      <c r="AC644" s="48">
        <f>IF(OR($M644="",$T644=""),"",$T644+(AC$2*$M644))</f>
        <v/>
      </c>
      <c r="AD644" s="48">
        <f>IF(OR($M644="",$T644=""),"",$T644+(AD$2*$M644))</f>
        <v/>
      </c>
      <c r="AE644" s="49">
        <f>IF(OR($M644="",$T644=""),"",$T644+(AE$2*$M644))</f>
        <v/>
      </c>
      <c r="AF644" s="52">
        <f>IF(OR(T644="",I644&lt;T644),"",IFERROR(AVERAGE(T644+M644*{7,8,9,10,11})/IF(G644="",I644,G644)-1,""))</f>
        <v/>
      </c>
      <c r="AG644" s="55">
        <f>IF(OR(T644="",I644&lt;T644),"",IFERROR(AF644/-(R644/IF(G644="",I644,G644)-1),""))</f>
        <v/>
      </c>
      <c r="AH644" s="94" t="n"/>
      <c r="AI644" s="94" t="n"/>
      <c r="AJ644" s="94" t="n"/>
      <c r="AK644" s="94" t="n"/>
      <c r="AL644" s="84" t="n"/>
    </row>
    <row r="645">
      <c r="A645" s="64" t="n"/>
      <c r="B645" s="65" t="n"/>
      <c r="C645" s="66" t="n"/>
      <c r="D645" s="67" t="n"/>
      <c r="E645" s="68" t="n"/>
      <c r="F645" s="47">
        <f>IF(A645="","",IF(MIN(H645,MAX(J645:K645))=0,"",MIN(H645,MAX(J645:K645))))</f>
        <v/>
      </c>
      <c r="G645" s="74" t="n"/>
      <c r="H645" s="49">
        <f>IF(M645="","",IFERROR(ROUND(AVERAGE(T645+M645*{7,8,9,10,11})/1.21,4),""))</f>
        <v/>
      </c>
      <c r="I645" s="76" t="n"/>
      <c r="J645" s="77" t="n"/>
      <c r="K645" s="74" t="n"/>
      <c r="L645" s="78" t="n"/>
      <c r="M645" s="77" t="n"/>
      <c r="N645" s="53">
        <f>IF(M645="","",IFERROR(M645/I645,""))</f>
        <v/>
      </c>
      <c r="O645" s="50">
        <f>IF(A645="","",IFERROR((IF(G645="",I645,G645)-T645)/M645,""))</f>
        <v/>
      </c>
      <c r="P645" s="50">
        <f>IFERROR((I645/T645-1)/N645,"")</f>
        <v/>
      </c>
      <c r="Q645" s="46">
        <f>IF(OR(T645="",I645&lt;T645),"",IFERROR(R645/IF(G645="",I645,G645)-1,""))</f>
        <v/>
      </c>
      <c r="R645" s="48">
        <f>IF($M645="","",MAX(IF($G645="",$I645,$G645)*(1/1.1),IF($G645="",$I645,$G645)+(R$2*$M645)))</f>
        <v/>
      </c>
      <c r="S645" s="49">
        <f>IF($M645="","",MAX(IF($G645="",$I645,$G645)*(1/1.1),IF($G645="",$I645,$G645)+(S$2*$M645)))</f>
        <v/>
      </c>
      <c r="T645" s="82" t="n"/>
      <c r="U645" s="47">
        <f>IF(OR($M645="",$T645=""),"",$T645+(U$2*$M645))</f>
        <v/>
      </c>
      <c r="V645" s="48">
        <f>IF(OR($M645="",$T645=""),"",$T645+(V$2*$M645))</f>
        <v/>
      </c>
      <c r="W645" s="48">
        <f>IF(OR($M645="",$T645=""),"",$T645+(W$2*$M645))</f>
        <v/>
      </c>
      <c r="X645" s="49">
        <f>IF(OR($M645="",$T645=""),"",$T645+(X$2*$M645))</f>
        <v/>
      </c>
      <c r="Y645" s="47">
        <f>IF(OR($M645="",$T645=""),"",$T645+(Y$2*$M645))</f>
        <v/>
      </c>
      <c r="Z645" s="49">
        <f>IF(OR($M645="",$T645=""),"",$T645+(Z$2*$M645))</f>
        <v/>
      </c>
      <c r="AA645" s="51">
        <f>IF(OR($M645="",$T645=""),"",$T645+(AA$2*$M645))</f>
        <v/>
      </c>
      <c r="AB645" s="48">
        <f>IF(OR($M645="",$T645=""),"",$T645+(AB$2*$M645))</f>
        <v/>
      </c>
      <c r="AC645" s="48">
        <f>IF(OR($M645="",$T645=""),"",$T645+(AC$2*$M645))</f>
        <v/>
      </c>
      <c r="AD645" s="48">
        <f>IF(OR($M645="",$T645=""),"",$T645+(AD$2*$M645))</f>
        <v/>
      </c>
      <c r="AE645" s="49">
        <f>IF(OR($M645="",$T645=""),"",$T645+(AE$2*$M645))</f>
        <v/>
      </c>
      <c r="AF645" s="52">
        <f>IF(OR(T645="",I645&lt;T645),"",IFERROR(AVERAGE(T645+M645*{7,8,9,10,11})/IF(G645="",I645,G645)-1,""))</f>
        <v/>
      </c>
      <c r="AG645" s="55">
        <f>IF(OR(T645="",I645&lt;T645),"",IFERROR(AF645/-(R645/IF(G645="",I645,G645)-1),""))</f>
        <v/>
      </c>
      <c r="AH645" s="94" t="n"/>
      <c r="AI645" s="94" t="n"/>
      <c r="AJ645" s="94" t="n"/>
      <c r="AK645" s="94" t="n"/>
      <c r="AL645" s="84" t="n"/>
    </row>
    <row r="646">
      <c r="A646" s="64" t="n"/>
      <c r="B646" s="65" t="n"/>
      <c r="C646" s="66" t="n"/>
      <c r="D646" s="67" t="n"/>
      <c r="E646" s="68" t="n"/>
      <c r="F646" s="47">
        <f>IF(A646="","",IF(MIN(H646,MAX(J646:K646))=0,"",MIN(H646,MAX(J646:K646))))</f>
        <v/>
      </c>
      <c r="G646" s="74" t="n"/>
      <c r="H646" s="49">
        <f>IF(M646="","",IFERROR(ROUND(AVERAGE(T646+M646*{7,8,9,10,11})/1.21,4),""))</f>
        <v/>
      </c>
      <c r="I646" s="76" t="n"/>
      <c r="J646" s="77" t="n"/>
      <c r="K646" s="74" t="n"/>
      <c r="L646" s="78" t="n"/>
      <c r="M646" s="77" t="n"/>
      <c r="N646" s="53">
        <f>IF(M646="","",IFERROR(M646/I646,""))</f>
        <v/>
      </c>
      <c r="O646" s="50">
        <f>IF(A646="","",IFERROR((IF(G646="",I646,G646)-T646)/M646,""))</f>
        <v/>
      </c>
      <c r="P646" s="50">
        <f>IFERROR((I646/T646-1)/N646,"")</f>
        <v/>
      </c>
      <c r="Q646" s="46">
        <f>IF(OR(T646="",I646&lt;T646),"",IFERROR(R646/IF(G646="",I646,G646)-1,""))</f>
        <v/>
      </c>
      <c r="R646" s="48">
        <f>IF($M646="","",MAX(IF($G646="",$I646,$G646)*(1/1.1),IF($G646="",$I646,$G646)+(R$2*$M646)))</f>
        <v/>
      </c>
      <c r="S646" s="49">
        <f>IF($M646="","",MAX(IF($G646="",$I646,$G646)*(1/1.1),IF($G646="",$I646,$G646)+(S$2*$M646)))</f>
        <v/>
      </c>
      <c r="T646" s="82" t="n"/>
      <c r="U646" s="47">
        <f>IF(OR($M646="",$T646=""),"",$T646+(U$2*$M646))</f>
        <v/>
      </c>
      <c r="V646" s="48">
        <f>IF(OR($M646="",$T646=""),"",$T646+(V$2*$M646))</f>
        <v/>
      </c>
      <c r="W646" s="48">
        <f>IF(OR($M646="",$T646=""),"",$T646+(W$2*$M646))</f>
        <v/>
      </c>
      <c r="X646" s="49">
        <f>IF(OR($M646="",$T646=""),"",$T646+(X$2*$M646))</f>
        <v/>
      </c>
      <c r="Y646" s="47">
        <f>IF(OR($M646="",$T646=""),"",$T646+(Y$2*$M646))</f>
        <v/>
      </c>
      <c r="Z646" s="49">
        <f>IF(OR($M646="",$T646=""),"",$T646+(Z$2*$M646))</f>
        <v/>
      </c>
      <c r="AA646" s="51">
        <f>IF(OR($M646="",$T646=""),"",$T646+(AA$2*$M646))</f>
        <v/>
      </c>
      <c r="AB646" s="48">
        <f>IF(OR($M646="",$T646=""),"",$T646+(AB$2*$M646))</f>
        <v/>
      </c>
      <c r="AC646" s="48">
        <f>IF(OR($M646="",$T646=""),"",$T646+(AC$2*$M646))</f>
        <v/>
      </c>
      <c r="AD646" s="48">
        <f>IF(OR($M646="",$T646=""),"",$T646+(AD$2*$M646))</f>
        <v/>
      </c>
      <c r="AE646" s="49">
        <f>IF(OR($M646="",$T646=""),"",$T646+(AE$2*$M646))</f>
        <v/>
      </c>
      <c r="AF646" s="52">
        <f>IF(OR(T646="",I646&lt;T646),"",IFERROR(AVERAGE(T646+M646*{7,8,9,10,11})/IF(G646="",I646,G646)-1,""))</f>
        <v/>
      </c>
      <c r="AG646" s="55">
        <f>IF(OR(T646="",I646&lt;T646),"",IFERROR(AF646/-(R646/IF(G646="",I646,G646)-1),""))</f>
        <v/>
      </c>
      <c r="AH646" s="94" t="n"/>
      <c r="AI646" s="94" t="n"/>
      <c r="AJ646" s="94" t="n"/>
      <c r="AK646" s="94" t="n"/>
      <c r="AL646" s="84" t="n"/>
    </row>
    <row r="647">
      <c r="A647" s="64" t="n"/>
      <c r="B647" s="65" t="n"/>
      <c r="C647" s="66" t="n"/>
      <c r="D647" s="67" t="n"/>
      <c r="E647" s="68" t="n"/>
      <c r="F647" s="47">
        <f>IF(A647="","",IF(MIN(H647,MAX(J647:K647))=0,"",MIN(H647,MAX(J647:K647))))</f>
        <v/>
      </c>
      <c r="G647" s="74" t="n"/>
      <c r="H647" s="49">
        <f>IF(M647="","",IFERROR(ROUND(AVERAGE(T647+M647*{7,8,9,10,11})/1.21,4),""))</f>
        <v/>
      </c>
      <c r="I647" s="76" t="n"/>
      <c r="J647" s="77" t="n"/>
      <c r="K647" s="74" t="n"/>
      <c r="L647" s="78" t="n"/>
      <c r="M647" s="77" t="n"/>
      <c r="N647" s="53">
        <f>IF(M647="","",IFERROR(M647/I647,""))</f>
        <v/>
      </c>
      <c r="O647" s="50">
        <f>IF(A647="","",IFERROR((IF(G647="",I647,G647)-T647)/M647,""))</f>
        <v/>
      </c>
      <c r="P647" s="50">
        <f>IFERROR((I647/T647-1)/N647,"")</f>
        <v/>
      </c>
      <c r="Q647" s="46">
        <f>IF(OR(T647="",I647&lt;T647),"",IFERROR(R647/IF(G647="",I647,G647)-1,""))</f>
        <v/>
      </c>
      <c r="R647" s="48">
        <f>IF($M647="","",MAX(IF($G647="",$I647,$G647)*(1/1.1),IF($G647="",$I647,$G647)+(R$2*$M647)))</f>
        <v/>
      </c>
      <c r="S647" s="49">
        <f>IF($M647="","",MAX(IF($G647="",$I647,$G647)*(1/1.1),IF($G647="",$I647,$G647)+(S$2*$M647)))</f>
        <v/>
      </c>
      <c r="T647" s="82" t="n"/>
      <c r="U647" s="47">
        <f>IF(OR($M647="",$T647=""),"",$T647+(U$2*$M647))</f>
        <v/>
      </c>
      <c r="V647" s="48">
        <f>IF(OR($M647="",$T647=""),"",$T647+(V$2*$M647))</f>
        <v/>
      </c>
      <c r="W647" s="48">
        <f>IF(OR($M647="",$T647=""),"",$T647+(W$2*$M647))</f>
        <v/>
      </c>
      <c r="X647" s="49">
        <f>IF(OR($M647="",$T647=""),"",$T647+(X$2*$M647))</f>
        <v/>
      </c>
      <c r="Y647" s="47">
        <f>IF(OR($M647="",$T647=""),"",$T647+(Y$2*$M647))</f>
        <v/>
      </c>
      <c r="Z647" s="49">
        <f>IF(OR($M647="",$T647=""),"",$T647+(Z$2*$M647))</f>
        <v/>
      </c>
      <c r="AA647" s="51">
        <f>IF(OR($M647="",$T647=""),"",$T647+(AA$2*$M647))</f>
        <v/>
      </c>
      <c r="AB647" s="48">
        <f>IF(OR($M647="",$T647=""),"",$T647+(AB$2*$M647))</f>
        <v/>
      </c>
      <c r="AC647" s="48">
        <f>IF(OR($M647="",$T647=""),"",$T647+(AC$2*$M647))</f>
        <v/>
      </c>
      <c r="AD647" s="48">
        <f>IF(OR($M647="",$T647=""),"",$T647+(AD$2*$M647))</f>
        <v/>
      </c>
      <c r="AE647" s="49">
        <f>IF(OR($M647="",$T647=""),"",$T647+(AE$2*$M647))</f>
        <v/>
      </c>
      <c r="AF647" s="52">
        <f>IF(OR(T647="",I647&lt;T647),"",IFERROR(AVERAGE(T647+M647*{7,8,9,10,11})/IF(G647="",I647,G647)-1,""))</f>
        <v/>
      </c>
      <c r="AG647" s="55">
        <f>IF(OR(T647="",I647&lt;T647),"",IFERROR(AF647/-(R647/IF(G647="",I647,G647)-1),""))</f>
        <v/>
      </c>
      <c r="AH647" s="94" t="n"/>
      <c r="AI647" s="94" t="n"/>
      <c r="AJ647" s="94" t="n"/>
      <c r="AK647" s="94" t="n"/>
      <c r="AL647" s="84" t="n"/>
    </row>
    <row r="648">
      <c r="A648" s="64" t="n"/>
      <c r="B648" s="65" t="n"/>
      <c r="C648" s="66" t="n"/>
      <c r="D648" s="67" t="n"/>
      <c r="E648" s="68" t="n"/>
      <c r="F648" s="47">
        <f>IF(A648="","",IF(MIN(H648,MAX(J648:K648))=0,"",MIN(H648,MAX(J648:K648))))</f>
        <v/>
      </c>
      <c r="G648" s="74" t="n"/>
      <c r="H648" s="49">
        <f>IF(M648="","",IFERROR(ROUND(AVERAGE(T648+M648*{7,8,9,10,11})/1.21,4),""))</f>
        <v/>
      </c>
      <c r="I648" s="76" t="n"/>
      <c r="J648" s="77" t="n"/>
      <c r="K648" s="74" t="n"/>
      <c r="L648" s="78" t="n"/>
      <c r="M648" s="77" t="n"/>
      <c r="N648" s="53">
        <f>IF(M648="","",IFERROR(M648/I648,""))</f>
        <v/>
      </c>
      <c r="O648" s="50">
        <f>IF(A648="","",IFERROR((IF(G648="",I648,G648)-T648)/M648,""))</f>
        <v/>
      </c>
      <c r="P648" s="50">
        <f>IFERROR((I648/T648-1)/N648,"")</f>
        <v/>
      </c>
      <c r="Q648" s="46">
        <f>IF(OR(T648="",I648&lt;T648),"",IFERROR(R648/IF(G648="",I648,G648)-1,""))</f>
        <v/>
      </c>
      <c r="R648" s="48">
        <f>IF($M648="","",MAX(IF($G648="",$I648,$G648)*(1/1.1),IF($G648="",$I648,$G648)+(R$2*$M648)))</f>
        <v/>
      </c>
      <c r="S648" s="49">
        <f>IF($M648="","",MAX(IF($G648="",$I648,$G648)*(1/1.1),IF($G648="",$I648,$G648)+(S$2*$M648)))</f>
        <v/>
      </c>
      <c r="T648" s="82" t="n"/>
      <c r="U648" s="47">
        <f>IF(OR($M648="",$T648=""),"",$T648+(U$2*$M648))</f>
        <v/>
      </c>
      <c r="V648" s="48">
        <f>IF(OR($M648="",$T648=""),"",$T648+(V$2*$M648))</f>
        <v/>
      </c>
      <c r="W648" s="48">
        <f>IF(OR($M648="",$T648=""),"",$T648+(W$2*$M648))</f>
        <v/>
      </c>
      <c r="X648" s="49">
        <f>IF(OR($M648="",$T648=""),"",$T648+(X$2*$M648))</f>
        <v/>
      </c>
      <c r="Y648" s="47">
        <f>IF(OR($M648="",$T648=""),"",$T648+(Y$2*$M648))</f>
        <v/>
      </c>
      <c r="Z648" s="49">
        <f>IF(OR($M648="",$T648=""),"",$T648+(Z$2*$M648))</f>
        <v/>
      </c>
      <c r="AA648" s="51">
        <f>IF(OR($M648="",$T648=""),"",$T648+(AA$2*$M648))</f>
        <v/>
      </c>
      <c r="AB648" s="48">
        <f>IF(OR($M648="",$T648=""),"",$T648+(AB$2*$M648))</f>
        <v/>
      </c>
      <c r="AC648" s="48">
        <f>IF(OR($M648="",$T648=""),"",$T648+(AC$2*$M648))</f>
        <v/>
      </c>
      <c r="AD648" s="48">
        <f>IF(OR($M648="",$T648=""),"",$T648+(AD$2*$M648))</f>
        <v/>
      </c>
      <c r="AE648" s="49">
        <f>IF(OR($M648="",$T648=""),"",$T648+(AE$2*$M648))</f>
        <v/>
      </c>
      <c r="AF648" s="52">
        <f>IF(OR(T648="",I648&lt;T648),"",IFERROR(AVERAGE(T648+M648*{7,8,9,10,11})/IF(G648="",I648,G648)-1,""))</f>
        <v/>
      </c>
      <c r="AG648" s="55">
        <f>IF(OR(T648="",I648&lt;T648),"",IFERROR(AF648/-(R648/IF(G648="",I648,G648)-1),""))</f>
        <v/>
      </c>
      <c r="AH648" s="94" t="n"/>
      <c r="AI648" s="94" t="n"/>
      <c r="AJ648" s="94" t="n"/>
      <c r="AK648" s="94" t="n"/>
      <c r="AL648" s="84" t="n"/>
    </row>
    <row r="649">
      <c r="A649" s="64" t="n"/>
      <c r="B649" s="65" t="n"/>
      <c r="C649" s="66" t="n"/>
      <c r="D649" s="67" t="n"/>
      <c r="E649" s="68" t="n"/>
      <c r="F649" s="47">
        <f>IF(A649="","",IF(MIN(H649,MAX(J649:K649))=0,"",MIN(H649,MAX(J649:K649))))</f>
        <v/>
      </c>
      <c r="G649" s="74" t="n"/>
      <c r="H649" s="49">
        <f>IF(M649="","",IFERROR(ROUND(AVERAGE(T649+M649*{7,8,9,10,11})/1.21,4),""))</f>
        <v/>
      </c>
      <c r="I649" s="76" t="n"/>
      <c r="J649" s="77" t="n"/>
      <c r="K649" s="74" t="n"/>
      <c r="L649" s="78" t="n"/>
      <c r="M649" s="77" t="n"/>
      <c r="N649" s="53">
        <f>IF(M649="","",IFERROR(M649/I649,""))</f>
        <v/>
      </c>
      <c r="O649" s="50">
        <f>IF(A649="","",IFERROR((IF(G649="",I649,G649)-T649)/M649,""))</f>
        <v/>
      </c>
      <c r="P649" s="50">
        <f>IFERROR((I649/T649-1)/N649,"")</f>
        <v/>
      </c>
      <c r="Q649" s="46">
        <f>IF(OR(T649="",I649&lt;T649),"",IFERROR(R649/IF(G649="",I649,G649)-1,""))</f>
        <v/>
      </c>
      <c r="R649" s="48">
        <f>IF($M649="","",MAX(IF($G649="",$I649,$G649)*(1/1.1),IF($G649="",$I649,$G649)+(R$2*$M649)))</f>
        <v/>
      </c>
      <c r="S649" s="49">
        <f>IF($M649="","",MAX(IF($G649="",$I649,$G649)*(1/1.1),IF($G649="",$I649,$G649)+(S$2*$M649)))</f>
        <v/>
      </c>
      <c r="T649" s="82" t="n"/>
      <c r="U649" s="47">
        <f>IF(OR($M649="",$T649=""),"",$T649+(U$2*$M649))</f>
        <v/>
      </c>
      <c r="V649" s="48">
        <f>IF(OR($M649="",$T649=""),"",$T649+(V$2*$M649))</f>
        <v/>
      </c>
      <c r="W649" s="48">
        <f>IF(OR($M649="",$T649=""),"",$T649+(W$2*$M649))</f>
        <v/>
      </c>
      <c r="X649" s="49">
        <f>IF(OR($M649="",$T649=""),"",$T649+(X$2*$M649))</f>
        <v/>
      </c>
      <c r="Y649" s="47">
        <f>IF(OR($M649="",$T649=""),"",$T649+(Y$2*$M649))</f>
        <v/>
      </c>
      <c r="Z649" s="49">
        <f>IF(OR($M649="",$T649=""),"",$T649+(Z$2*$M649))</f>
        <v/>
      </c>
      <c r="AA649" s="51">
        <f>IF(OR($M649="",$T649=""),"",$T649+(AA$2*$M649))</f>
        <v/>
      </c>
      <c r="AB649" s="48">
        <f>IF(OR($M649="",$T649=""),"",$T649+(AB$2*$M649))</f>
        <v/>
      </c>
      <c r="AC649" s="48">
        <f>IF(OR($M649="",$T649=""),"",$T649+(AC$2*$M649))</f>
        <v/>
      </c>
      <c r="AD649" s="48">
        <f>IF(OR($M649="",$T649=""),"",$T649+(AD$2*$M649))</f>
        <v/>
      </c>
      <c r="AE649" s="49">
        <f>IF(OR($M649="",$T649=""),"",$T649+(AE$2*$M649))</f>
        <v/>
      </c>
      <c r="AF649" s="52">
        <f>IF(OR(T649="",I649&lt;T649),"",IFERROR(AVERAGE(T649+M649*{7,8,9,10,11})/IF(G649="",I649,G649)-1,""))</f>
        <v/>
      </c>
      <c r="AG649" s="55">
        <f>IF(OR(T649="",I649&lt;T649),"",IFERROR(AF649/-(R649/IF(G649="",I649,G649)-1),""))</f>
        <v/>
      </c>
      <c r="AH649" s="94" t="n"/>
      <c r="AI649" s="94" t="n"/>
      <c r="AJ649" s="94" t="n"/>
      <c r="AK649" s="94" t="n"/>
      <c r="AL649" s="84" t="n"/>
    </row>
    <row r="650">
      <c r="A650" s="64" t="n"/>
      <c r="B650" s="65" t="n"/>
      <c r="C650" s="66" t="n"/>
      <c r="D650" s="67" t="n"/>
      <c r="E650" s="68" t="n"/>
      <c r="F650" s="47">
        <f>IF(A650="","",IF(MIN(H650,MAX(J650:K650))=0,"",MIN(H650,MAX(J650:K650))))</f>
        <v/>
      </c>
      <c r="G650" s="74" t="n"/>
      <c r="H650" s="49">
        <f>IF(M650="","",IFERROR(ROUND(AVERAGE(T650+M650*{7,8,9,10,11})/1.21,4),""))</f>
        <v/>
      </c>
      <c r="I650" s="76" t="n"/>
      <c r="J650" s="77" t="n"/>
      <c r="K650" s="74" t="n"/>
      <c r="L650" s="78" t="n"/>
      <c r="M650" s="77" t="n"/>
      <c r="N650" s="53">
        <f>IF(M650="","",IFERROR(M650/I650,""))</f>
        <v/>
      </c>
      <c r="O650" s="50">
        <f>IF(A650="","",IFERROR((IF(G650="",I650,G650)-T650)/M650,""))</f>
        <v/>
      </c>
      <c r="P650" s="50">
        <f>IFERROR((I650/T650-1)/N650,"")</f>
        <v/>
      </c>
      <c r="Q650" s="46">
        <f>IF(OR(T650="",I650&lt;T650),"",IFERROR(R650/IF(G650="",I650,G650)-1,""))</f>
        <v/>
      </c>
      <c r="R650" s="48">
        <f>IF($M650="","",MAX(IF($G650="",$I650,$G650)*(1/1.1),IF($G650="",$I650,$G650)+(R$2*$M650)))</f>
        <v/>
      </c>
      <c r="S650" s="49">
        <f>IF($M650="","",MAX(IF($G650="",$I650,$G650)*(1/1.1),IF($G650="",$I650,$G650)+(S$2*$M650)))</f>
        <v/>
      </c>
      <c r="T650" s="82" t="n"/>
      <c r="U650" s="47">
        <f>IF(OR($M650="",$T650=""),"",$T650+(U$2*$M650))</f>
        <v/>
      </c>
      <c r="V650" s="48">
        <f>IF(OR($M650="",$T650=""),"",$T650+(V$2*$M650))</f>
        <v/>
      </c>
      <c r="W650" s="48">
        <f>IF(OR($M650="",$T650=""),"",$T650+(W$2*$M650))</f>
        <v/>
      </c>
      <c r="X650" s="49">
        <f>IF(OR($M650="",$T650=""),"",$T650+(X$2*$M650))</f>
        <v/>
      </c>
      <c r="Y650" s="47">
        <f>IF(OR($M650="",$T650=""),"",$T650+(Y$2*$M650))</f>
        <v/>
      </c>
      <c r="Z650" s="49">
        <f>IF(OR($M650="",$T650=""),"",$T650+(Z$2*$M650))</f>
        <v/>
      </c>
      <c r="AA650" s="51">
        <f>IF(OR($M650="",$T650=""),"",$T650+(AA$2*$M650))</f>
        <v/>
      </c>
      <c r="AB650" s="48">
        <f>IF(OR($M650="",$T650=""),"",$T650+(AB$2*$M650))</f>
        <v/>
      </c>
      <c r="AC650" s="48">
        <f>IF(OR($M650="",$T650=""),"",$T650+(AC$2*$M650))</f>
        <v/>
      </c>
      <c r="AD650" s="48">
        <f>IF(OR($M650="",$T650=""),"",$T650+(AD$2*$M650))</f>
        <v/>
      </c>
      <c r="AE650" s="49">
        <f>IF(OR($M650="",$T650=""),"",$T650+(AE$2*$M650))</f>
        <v/>
      </c>
      <c r="AF650" s="52">
        <f>IF(OR(T650="",I650&lt;T650),"",IFERROR(AVERAGE(T650+M650*{7,8,9,10,11})/IF(G650="",I650,G650)-1,""))</f>
        <v/>
      </c>
      <c r="AG650" s="55">
        <f>IF(OR(T650="",I650&lt;T650),"",IFERROR(AF650/-(R650/IF(G650="",I650,G650)-1),""))</f>
        <v/>
      </c>
      <c r="AH650" s="94" t="n"/>
      <c r="AI650" s="94" t="n"/>
      <c r="AJ650" s="94" t="n"/>
      <c r="AK650" s="94" t="n"/>
      <c r="AL650" s="84" t="n"/>
    </row>
    <row r="651">
      <c r="A651" s="64" t="n"/>
      <c r="B651" s="65" t="n"/>
      <c r="C651" s="66" t="n"/>
      <c r="D651" s="67" t="n"/>
      <c r="E651" s="68" t="n"/>
      <c r="F651" s="47">
        <f>IF(A651="","",IF(MIN(H651,MAX(J651:K651))=0,"",MIN(H651,MAX(J651:K651))))</f>
        <v/>
      </c>
      <c r="G651" s="74" t="n"/>
      <c r="H651" s="49">
        <f>IF(M651="","",IFERROR(ROUND(AVERAGE(T651+M651*{7,8,9,10,11})/1.21,4),""))</f>
        <v/>
      </c>
      <c r="I651" s="76" t="n"/>
      <c r="J651" s="77" t="n"/>
      <c r="K651" s="74" t="n"/>
      <c r="L651" s="78" t="n"/>
      <c r="M651" s="77" t="n"/>
      <c r="N651" s="53">
        <f>IF(M651="","",IFERROR(M651/I651,""))</f>
        <v/>
      </c>
      <c r="O651" s="50">
        <f>IF(A651="","",IFERROR((IF(G651="",I651,G651)-T651)/M651,""))</f>
        <v/>
      </c>
      <c r="P651" s="50">
        <f>IFERROR((I651/T651-1)/N651,"")</f>
        <v/>
      </c>
      <c r="Q651" s="46">
        <f>IF(OR(T651="",I651&lt;T651),"",IFERROR(R651/IF(G651="",I651,G651)-1,""))</f>
        <v/>
      </c>
      <c r="R651" s="48">
        <f>IF($M651="","",MAX(IF($G651="",$I651,$G651)*(1/1.1),IF($G651="",$I651,$G651)+(R$2*$M651)))</f>
        <v/>
      </c>
      <c r="S651" s="49">
        <f>IF($M651="","",MAX(IF($G651="",$I651,$G651)*(1/1.1),IF($G651="",$I651,$G651)+(S$2*$M651)))</f>
        <v/>
      </c>
      <c r="T651" s="82" t="n"/>
      <c r="U651" s="47">
        <f>IF(OR($M651="",$T651=""),"",$T651+(U$2*$M651))</f>
        <v/>
      </c>
      <c r="V651" s="48">
        <f>IF(OR($M651="",$T651=""),"",$T651+(V$2*$M651))</f>
        <v/>
      </c>
      <c r="W651" s="48">
        <f>IF(OR($M651="",$T651=""),"",$T651+(W$2*$M651))</f>
        <v/>
      </c>
      <c r="X651" s="49">
        <f>IF(OR($M651="",$T651=""),"",$T651+(X$2*$M651))</f>
        <v/>
      </c>
      <c r="Y651" s="47">
        <f>IF(OR($M651="",$T651=""),"",$T651+(Y$2*$M651))</f>
        <v/>
      </c>
      <c r="Z651" s="49">
        <f>IF(OR($M651="",$T651=""),"",$T651+(Z$2*$M651))</f>
        <v/>
      </c>
      <c r="AA651" s="51">
        <f>IF(OR($M651="",$T651=""),"",$T651+(AA$2*$M651))</f>
        <v/>
      </c>
      <c r="AB651" s="48">
        <f>IF(OR($M651="",$T651=""),"",$T651+(AB$2*$M651))</f>
        <v/>
      </c>
      <c r="AC651" s="48">
        <f>IF(OR($M651="",$T651=""),"",$T651+(AC$2*$M651))</f>
        <v/>
      </c>
      <c r="AD651" s="48">
        <f>IF(OR($M651="",$T651=""),"",$T651+(AD$2*$M651))</f>
        <v/>
      </c>
      <c r="AE651" s="49">
        <f>IF(OR($M651="",$T651=""),"",$T651+(AE$2*$M651))</f>
        <v/>
      </c>
      <c r="AF651" s="52">
        <f>IF(OR(T651="",I651&lt;T651),"",IFERROR(AVERAGE(T651+M651*{7,8,9,10,11})/IF(G651="",I651,G651)-1,""))</f>
        <v/>
      </c>
      <c r="AG651" s="55">
        <f>IF(OR(T651="",I651&lt;T651),"",IFERROR(AF651/-(R651/IF(G651="",I651,G651)-1),""))</f>
        <v/>
      </c>
      <c r="AH651" s="94" t="n"/>
      <c r="AI651" s="94" t="n"/>
      <c r="AJ651" s="94" t="n"/>
      <c r="AK651" s="94" t="n"/>
      <c r="AL651" s="84" t="n"/>
    </row>
    <row r="652">
      <c r="A652" s="64" t="n"/>
      <c r="B652" s="65" t="n"/>
      <c r="C652" s="66" t="n"/>
      <c r="D652" s="67" t="n"/>
      <c r="E652" s="68" t="n"/>
      <c r="F652" s="47">
        <f>IF(A652="","",IF(MIN(H652,MAX(J652:K652))=0,"",MIN(H652,MAX(J652:K652))))</f>
        <v/>
      </c>
      <c r="G652" s="74" t="n"/>
      <c r="H652" s="49">
        <f>IF(M652="","",IFERROR(ROUND(AVERAGE(T652+M652*{7,8,9,10,11})/1.21,4),""))</f>
        <v/>
      </c>
      <c r="I652" s="76" t="n"/>
      <c r="J652" s="77" t="n"/>
      <c r="K652" s="74" t="n"/>
      <c r="L652" s="78" t="n"/>
      <c r="M652" s="77" t="n"/>
      <c r="N652" s="53">
        <f>IF(M652="","",IFERROR(M652/I652,""))</f>
        <v/>
      </c>
      <c r="O652" s="50">
        <f>IF(A652="","",IFERROR((IF(G652="",I652,G652)-T652)/M652,""))</f>
        <v/>
      </c>
      <c r="P652" s="50">
        <f>IFERROR((I652/T652-1)/N652,"")</f>
        <v/>
      </c>
      <c r="Q652" s="46">
        <f>IF(OR(T652="",I652&lt;T652),"",IFERROR(R652/IF(G652="",I652,G652)-1,""))</f>
        <v/>
      </c>
      <c r="R652" s="48">
        <f>IF($M652="","",MAX(IF($G652="",$I652,$G652)*(1/1.1),IF($G652="",$I652,$G652)+(R$2*$M652)))</f>
        <v/>
      </c>
      <c r="S652" s="49">
        <f>IF($M652="","",MAX(IF($G652="",$I652,$G652)*(1/1.1),IF($G652="",$I652,$G652)+(S$2*$M652)))</f>
        <v/>
      </c>
      <c r="T652" s="82" t="n"/>
      <c r="U652" s="47">
        <f>IF(OR($M652="",$T652=""),"",$T652+(U$2*$M652))</f>
        <v/>
      </c>
      <c r="V652" s="48">
        <f>IF(OR($M652="",$T652=""),"",$T652+(V$2*$M652))</f>
        <v/>
      </c>
      <c r="W652" s="48">
        <f>IF(OR($M652="",$T652=""),"",$T652+(W$2*$M652))</f>
        <v/>
      </c>
      <c r="X652" s="49">
        <f>IF(OR($M652="",$T652=""),"",$T652+(X$2*$M652))</f>
        <v/>
      </c>
      <c r="Y652" s="47">
        <f>IF(OR($M652="",$T652=""),"",$T652+(Y$2*$M652))</f>
        <v/>
      </c>
      <c r="Z652" s="49">
        <f>IF(OR($M652="",$T652=""),"",$T652+(Z$2*$M652))</f>
        <v/>
      </c>
      <c r="AA652" s="51">
        <f>IF(OR($M652="",$T652=""),"",$T652+(AA$2*$M652))</f>
        <v/>
      </c>
      <c r="AB652" s="48">
        <f>IF(OR($M652="",$T652=""),"",$T652+(AB$2*$M652))</f>
        <v/>
      </c>
      <c r="AC652" s="48">
        <f>IF(OR($M652="",$T652=""),"",$T652+(AC$2*$M652))</f>
        <v/>
      </c>
      <c r="AD652" s="48">
        <f>IF(OR($M652="",$T652=""),"",$T652+(AD$2*$M652))</f>
        <v/>
      </c>
      <c r="AE652" s="49">
        <f>IF(OR($M652="",$T652=""),"",$T652+(AE$2*$M652))</f>
        <v/>
      </c>
      <c r="AF652" s="52">
        <f>IF(OR(T652="",I652&lt;T652),"",IFERROR(AVERAGE(T652+M652*{7,8,9,10,11})/IF(G652="",I652,G652)-1,""))</f>
        <v/>
      </c>
      <c r="AG652" s="55">
        <f>IF(OR(T652="",I652&lt;T652),"",IFERROR(AF652/-(R652/IF(G652="",I652,G652)-1),""))</f>
        <v/>
      </c>
      <c r="AH652" s="94" t="n"/>
      <c r="AI652" s="94" t="n"/>
      <c r="AJ652" s="94" t="n"/>
      <c r="AK652" s="94" t="n"/>
      <c r="AL652" s="84" t="n"/>
    </row>
    <row r="653">
      <c r="A653" s="64" t="n"/>
      <c r="B653" s="65" t="n"/>
      <c r="C653" s="66" t="n"/>
      <c r="D653" s="67" t="n"/>
      <c r="E653" s="68" t="n"/>
      <c r="F653" s="47">
        <f>IF(A653="","",IF(MIN(H653,MAX(J653:K653))=0,"",MIN(H653,MAX(J653:K653))))</f>
        <v/>
      </c>
      <c r="G653" s="74" t="n"/>
      <c r="H653" s="49">
        <f>IF(M653="","",IFERROR(ROUND(AVERAGE(T653+M653*{7,8,9,10,11})/1.21,4),""))</f>
        <v/>
      </c>
      <c r="I653" s="76" t="n"/>
      <c r="J653" s="77" t="n"/>
      <c r="K653" s="74" t="n"/>
      <c r="L653" s="78" t="n"/>
      <c r="M653" s="77" t="n"/>
      <c r="N653" s="53">
        <f>IF(M653="","",IFERROR(M653/I653,""))</f>
        <v/>
      </c>
      <c r="O653" s="50">
        <f>IF(A653="","",IFERROR((IF(G653="",I653,G653)-T653)/M653,""))</f>
        <v/>
      </c>
      <c r="P653" s="50">
        <f>IFERROR((I653/T653-1)/N653,"")</f>
        <v/>
      </c>
      <c r="Q653" s="46">
        <f>IF(OR(T653="",I653&lt;T653),"",IFERROR(R653/IF(G653="",I653,G653)-1,""))</f>
        <v/>
      </c>
      <c r="R653" s="48">
        <f>IF($M653="","",MAX(IF($G653="",$I653,$G653)*(1/1.1),IF($G653="",$I653,$G653)+(R$2*$M653)))</f>
        <v/>
      </c>
      <c r="S653" s="49">
        <f>IF($M653="","",MAX(IF($G653="",$I653,$G653)*(1/1.1),IF($G653="",$I653,$G653)+(S$2*$M653)))</f>
        <v/>
      </c>
      <c r="T653" s="82" t="n"/>
      <c r="U653" s="47">
        <f>IF(OR($M653="",$T653=""),"",$T653+(U$2*$M653))</f>
        <v/>
      </c>
      <c r="V653" s="48">
        <f>IF(OR($M653="",$T653=""),"",$T653+(V$2*$M653))</f>
        <v/>
      </c>
      <c r="W653" s="48">
        <f>IF(OR($M653="",$T653=""),"",$T653+(W$2*$M653))</f>
        <v/>
      </c>
      <c r="X653" s="49">
        <f>IF(OR($M653="",$T653=""),"",$T653+(X$2*$M653))</f>
        <v/>
      </c>
      <c r="Y653" s="47">
        <f>IF(OR($M653="",$T653=""),"",$T653+(Y$2*$M653))</f>
        <v/>
      </c>
      <c r="Z653" s="49">
        <f>IF(OR($M653="",$T653=""),"",$T653+(Z$2*$M653))</f>
        <v/>
      </c>
      <c r="AA653" s="51">
        <f>IF(OR($M653="",$T653=""),"",$T653+(AA$2*$M653))</f>
        <v/>
      </c>
      <c r="AB653" s="48">
        <f>IF(OR($M653="",$T653=""),"",$T653+(AB$2*$M653))</f>
        <v/>
      </c>
      <c r="AC653" s="48">
        <f>IF(OR($M653="",$T653=""),"",$T653+(AC$2*$M653))</f>
        <v/>
      </c>
      <c r="AD653" s="48">
        <f>IF(OR($M653="",$T653=""),"",$T653+(AD$2*$M653))</f>
        <v/>
      </c>
      <c r="AE653" s="49">
        <f>IF(OR($M653="",$T653=""),"",$T653+(AE$2*$M653))</f>
        <v/>
      </c>
      <c r="AF653" s="52">
        <f>IF(OR(T653="",I653&lt;T653),"",IFERROR(AVERAGE(T653+M653*{7,8,9,10,11})/IF(G653="",I653,G653)-1,""))</f>
        <v/>
      </c>
      <c r="AG653" s="55">
        <f>IF(OR(T653="",I653&lt;T653),"",IFERROR(AF653/-(R653/IF(G653="",I653,G653)-1),""))</f>
        <v/>
      </c>
      <c r="AH653" s="94" t="n"/>
      <c r="AI653" s="94" t="n"/>
      <c r="AJ653" s="94" t="n"/>
      <c r="AK653" s="94" t="n"/>
      <c r="AL653" s="84" t="n"/>
    </row>
    <row r="654">
      <c r="A654" s="64" t="n"/>
      <c r="B654" s="65" t="n"/>
      <c r="C654" s="66" t="n"/>
      <c r="D654" s="67" t="n"/>
      <c r="E654" s="68" t="n"/>
      <c r="F654" s="47">
        <f>IF(A654="","",IF(MIN(H654,MAX(J654:K654))=0,"",MIN(H654,MAX(J654:K654))))</f>
        <v/>
      </c>
      <c r="G654" s="74" t="n"/>
      <c r="H654" s="49">
        <f>IF(M654="","",IFERROR(ROUND(AVERAGE(T654+M654*{7,8,9,10,11})/1.21,4),""))</f>
        <v/>
      </c>
      <c r="I654" s="76" t="n"/>
      <c r="J654" s="77" t="n"/>
      <c r="K654" s="74" t="n"/>
      <c r="L654" s="78" t="n"/>
      <c r="M654" s="77" t="n"/>
      <c r="N654" s="53">
        <f>IF(M654="","",IFERROR(M654/I654,""))</f>
        <v/>
      </c>
      <c r="O654" s="50">
        <f>IF(A654="","",IFERROR((IF(G654="",I654,G654)-T654)/M654,""))</f>
        <v/>
      </c>
      <c r="P654" s="50">
        <f>IFERROR((I654/T654-1)/N654,"")</f>
        <v/>
      </c>
      <c r="Q654" s="46">
        <f>IF(OR(T654="",I654&lt;T654),"",IFERROR(R654/IF(G654="",I654,G654)-1,""))</f>
        <v/>
      </c>
      <c r="R654" s="48">
        <f>IF($M654="","",MAX(IF($G654="",$I654,$G654)*(1/1.1),IF($G654="",$I654,$G654)+(R$2*$M654)))</f>
        <v/>
      </c>
      <c r="S654" s="49">
        <f>IF($M654="","",MAX(IF($G654="",$I654,$G654)*(1/1.1),IF($G654="",$I654,$G654)+(S$2*$M654)))</f>
        <v/>
      </c>
      <c r="T654" s="82" t="n"/>
      <c r="U654" s="47">
        <f>IF(OR($M654="",$T654=""),"",$T654+(U$2*$M654))</f>
        <v/>
      </c>
      <c r="V654" s="48">
        <f>IF(OR($M654="",$T654=""),"",$T654+(V$2*$M654))</f>
        <v/>
      </c>
      <c r="W654" s="48">
        <f>IF(OR($M654="",$T654=""),"",$T654+(W$2*$M654))</f>
        <v/>
      </c>
      <c r="X654" s="49">
        <f>IF(OR($M654="",$T654=""),"",$T654+(X$2*$M654))</f>
        <v/>
      </c>
      <c r="Y654" s="47">
        <f>IF(OR($M654="",$T654=""),"",$T654+(Y$2*$M654))</f>
        <v/>
      </c>
      <c r="Z654" s="49">
        <f>IF(OR($M654="",$T654=""),"",$T654+(Z$2*$M654))</f>
        <v/>
      </c>
      <c r="AA654" s="51">
        <f>IF(OR($M654="",$T654=""),"",$T654+(AA$2*$M654))</f>
        <v/>
      </c>
      <c r="AB654" s="48">
        <f>IF(OR($M654="",$T654=""),"",$T654+(AB$2*$M654))</f>
        <v/>
      </c>
      <c r="AC654" s="48">
        <f>IF(OR($M654="",$T654=""),"",$T654+(AC$2*$M654))</f>
        <v/>
      </c>
      <c r="AD654" s="48">
        <f>IF(OR($M654="",$T654=""),"",$T654+(AD$2*$M654))</f>
        <v/>
      </c>
      <c r="AE654" s="49">
        <f>IF(OR($M654="",$T654=""),"",$T654+(AE$2*$M654))</f>
        <v/>
      </c>
      <c r="AF654" s="52">
        <f>IF(OR(T654="",I654&lt;T654),"",IFERROR(AVERAGE(T654+M654*{7,8,9,10,11})/IF(G654="",I654,G654)-1,""))</f>
        <v/>
      </c>
      <c r="AG654" s="55">
        <f>IF(OR(T654="",I654&lt;T654),"",IFERROR(AF654/-(R654/IF(G654="",I654,G654)-1),""))</f>
        <v/>
      </c>
      <c r="AH654" s="94" t="n"/>
      <c r="AI654" s="94" t="n"/>
      <c r="AJ654" s="94" t="n"/>
      <c r="AK654" s="94" t="n"/>
      <c r="AL654" s="84" t="n"/>
    </row>
    <row r="655">
      <c r="A655" s="64" t="n"/>
      <c r="B655" s="65" t="n"/>
      <c r="C655" s="66" t="n"/>
      <c r="D655" s="67" t="n"/>
      <c r="E655" s="68" t="n"/>
      <c r="F655" s="47">
        <f>IF(A655="","",IF(MIN(H655,MAX(J655:K655))=0,"",MIN(H655,MAX(J655:K655))))</f>
        <v/>
      </c>
      <c r="G655" s="74" t="n"/>
      <c r="H655" s="49">
        <f>IF(M655="","",IFERROR(ROUND(AVERAGE(T655+M655*{7,8,9,10,11})/1.21,4),""))</f>
        <v/>
      </c>
      <c r="I655" s="76" t="n"/>
      <c r="J655" s="77" t="n"/>
      <c r="K655" s="74" t="n"/>
      <c r="L655" s="78" t="n"/>
      <c r="M655" s="77" t="n"/>
      <c r="N655" s="53">
        <f>IF(M655="","",IFERROR(M655/I655,""))</f>
        <v/>
      </c>
      <c r="O655" s="50">
        <f>IF(A655="","",IFERROR((IF(G655="",I655,G655)-T655)/M655,""))</f>
        <v/>
      </c>
      <c r="P655" s="50">
        <f>IFERROR((I655/T655-1)/N655,"")</f>
        <v/>
      </c>
      <c r="Q655" s="46">
        <f>IF(OR(T655="",I655&lt;T655),"",IFERROR(R655/IF(G655="",I655,G655)-1,""))</f>
        <v/>
      </c>
      <c r="R655" s="48">
        <f>IF($M655="","",MAX(IF($G655="",$I655,$G655)*(1/1.1),IF($G655="",$I655,$G655)+(R$2*$M655)))</f>
        <v/>
      </c>
      <c r="S655" s="49">
        <f>IF($M655="","",MAX(IF($G655="",$I655,$G655)*(1/1.1),IF($G655="",$I655,$G655)+(S$2*$M655)))</f>
        <v/>
      </c>
      <c r="T655" s="82" t="n"/>
      <c r="U655" s="47">
        <f>IF(OR($M655="",$T655=""),"",$T655+(U$2*$M655))</f>
        <v/>
      </c>
      <c r="V655" s="48">
        <f>IF(OR($M655="",$T655=""),"",$T655+(V$2*$M655))</f>
        <v/>
      </c>
      <c r="W655" s="48">
        <f>IF(OR($M655="",$T655=""),"",$T655+(W$2*$M655))</f>
        <v/>
      </c>
      <c r="X655" s="49">
        <f>IF(OR($M655="",$T655=""),"",$T655+(X$2*$M655))</f>
        <v/>
      </c>
      <c r="Y655" s="47">
        <f>IF(OR($M655="",$T655=""),"",$T655+(Y$2*$M655))</f>
        <v/>
      </c>
      <c r="Z655" s="49">
        <f>IF(OR($M655="",$T655=""),"",$T655+(Z$2*$M655))</f>
        <v/>
      </c>
      <c r="AA655" s="51">
        <f>IF(OR($M655="",$T655=""),"",$T655+(AA$2*$M655))</f>
        <v/>
      </c>
      <c r="AB655" s="48">
        <f>IF(OR($M655="",$T655=""),"",$T655+(AB$2*$M655))</f>
        <v/>
      </c>
      <c r="AC655" s="48">
        <f>IF(OR($M655="",$T655=""),"",$T655+(AC$2*$M655))</f>
        <v/>
      </c>
      <c r="AD655" s="48">
        <f>IF(OR($M655="",$T655=""),"",$T655+(AD$2*$M655))</f>
        <v/>
      </c>
      <c r="AE655" s="49">
        <f>IF(OR($M655="",$T655=""),"",$T655+(AE$2*$M655))</f>
        <v/>
      </c>
      <c r="AF655" s="52">
        <f>IF(OR(T655="",I655&lt;T655),"",IFERROR(AVERAGE(T655+M655*{7,8,9,10,11})/IF(G655="",I655,G655)-1,""))</f>
        <v/>
      </c>
      <c r="AG655" s="55">
        <f>IF(OR(T655="",I655&lt;T655),"",IFERROR(AF655/-(R655/IF(G655="",I655,G655)-1),""))</f>
        <v/>
      </c>
      <c r="AH655" s="94" t="n"/>
      <c r="AI655" s="94" t="n"/>
      <c r="AJ655" s="94" t="n"/>
      <c r="AK655" s="94" t="n"/>
      <c r="AL655" s="84" t="n"/>
    </row>
    <row r="656">
      <c r="A656" s="64" t="n"/>
      <c r="B656" s="65" t="n"/>
      <c r="C656" s="66" t="n"/>
      <c r="D656" s="67" t="n"/>
      <c r="E656" s="68" t="n"/>
      <c r="F656" s="47">
        <f>IF(A656="","",IF(MIN(H656,MAX(J656:K656))=0,"",MIN(H656,MAX(J656:K656))))</f>
        <v/>
      </c>
      <c r="G656" s="74" t="n"/>
      <c r="H656" s="49">
        <f>IF(M656="","",IFERROR(ROUND(AVERAGE(T656+M656*{7,8,9,10,11})/1.21,4),""))</f>
        <v/>
      </c>
      <c r="I656" s="76" t="n"/>
      <c r="J656" s="77" t="n"/>
      <c r="K656" s="74" t="n"/>
      <c r="L656" s="78" t="n"/>
      <c r="M656" s="77" t="n"/>
      <c r="N656" s="53">
        <f>IF(M656="","",IFERROR(M656/I656,""))</f>
        <v/>
      </c>
      <c r="O656" s="50">
        <f>IF(A656="","",IFERROR((IF(G656="",I656,G656)-T656)/M656,""))</f>
        <v/>
      </c>
      <c r="P656" s="50">
        <f>IFERROR((I656/T656-1)/N656,"")</f>
        <v/>
      </c>
      <c r="Q656" s="46">
        <f>IF(OR(T656="",I656&lt;T656),"",IFERROR(R656/IF(G656="",I656,G656)-1,""))</f>
        <v/>
      </c>
      <c r="R656" s="48">
        <f>IF($M656="","",MAX(IF($G656="",$I656,$G656)*(1/1.1),IF($G656="",$I656,$G656)+(R$2*$M656)))</f>
        <v/>
      </c>
      <c r="S656" s="49">
        <f>IF($M656="","",MAX(IF($G656="",$I656,$G656)*(1/1.1),IF($G656="",$I656,$G656)+(S$2*$M656)))</f>
        <v/>
      </c>
      <c r="T656" s="82" t="n"/>
      <c r="U656" s="47">
        <f>IF(OR($M656="",$T656=""),"",$T656+(U$2*$M656))</f>
        <v/>
      </c>
      <c r="V656" s="48">
        <f>IF(OR($M656="",$T656=""),"",$T656+(V$2*$M656))</f>
        <v/>
      </c>
      <c r="W656" s="48">
        <f>IF(OR($M656="",$T656=""),"",$T656+(W$2*$M656))</f>
        <v/>
      </c>
      <c r="X656" s="49">
        <f>IF(OR($M656="",$T656=""),"",$T656+(X$2*$M656))</f>
        <v/>
      </c>
      <c r="Y656" s="47">
        <f>IF(OR($M656="",$T656=""),"",$T656+(Y$2*$M656))</f>
        <v/>
      </c>
      <c r="Z656" s="49">
        <f>IF(OR($M656="",$T656=""),"",$T656+(Z$2*$M656))</f>
        <v/>
      </c>
      <c r="AA656" s="51">
        <f>IF(OR($M656="",$T656=""),"",$T656+(AA$2*$M656))</f>
        <v/>
      </c>
      <c r="AB656" s="48">
        <f>IF(OR($M656="",$T656=""),"",$T656+(AB$2*$M656))</f>
        <v/>
      </c>
      <c r="AC656" s="48">
        <f>IF(OR($M656="",$T656=""),"",$T656+(AC$2*$M656))</f>
        <v/>
      </c>
      <c r="AD656" s="48">
        <f>IF(OR($M656="",$T656=""),"",$T656+(AD$2*$M656))</f>
        <v/>
      </c>
      <c r="AE656" s="49">
        <f>IF(OR($M656="",$T656=""),"",$T656+(AE$2*$M656))</f>
        <v/>
      </c>
      <c r="AF656" s="52">
        <f>IF(OR(T656="",I656&lt;T656),"",IFERROR(AVERAGE(T656+M656*{7,8,9,10,11})/IF(G656="",I656,G656)-1,""))</f>
        <v/>
      </c>
      <c r="AG656" s="55">
        <f>IF(OR(T656="",I656&lt;T656),"",IFERROR(AF656/-(R656/IF(G656="",I656,G656)-1),""))</f>
        <v/>
      </c>
      <c r="AH656" s="94" t="n"/>
      <c r="AI656" s="94" t="n"/>
      <c r="AJ656" s="94" t="n"/>
      <c r="AK656" s="94" t="n"/>
      <c r="AL656" s="84" t="n"/>
    </row>
    <row r="657">
      <c r="A657" s="64" t="n"/>
      <c r="B657" s="65" t="n"/>
      <c r="C657" s="66" t="n"/>
      <c r="D657" s="67" t="n"/>
      <c r="E657" s="68" t="n"/>
      <c r="F657" s="47">
        <f>IF(A657="","",IF(MIN(H657,MAX(J657:K657))=0,"",MIN(H657,MAX(J657:K657))))</f>
        <v/>
      </c>
      <c r="G657" s="74" t="n"/>
      <c r="H657" s="49">
        <f>IF(M657="","",IFERROR(ROUND(AVERAGE(T657+M657*{7,8,9,10,11})/1.21,4),""))</f>
        <v/>
      </c>
      <c r="I657" s="76" t="n"/>
      <c r="J657" s="77" t="n"/>
      <c r="K657" s="74" t="n"/>
      <c r="L657" s="78" t="n"/>
      <c r="M657" s="77" t="n"/>
      <c r="N657" s="53">
        <f>IF(M657="","",IFERROR(M657/I657,""))</f>
        <v/>
      </c>
      <c r="O657" s="50">
        <f>IF(A657="","",IFERROR((IF(G657="",I657,G657)-T657)/M657,""))</f>
        <v/>
      </c>
      <c r="P657" s="50">
        <f>IFERROR((I657/T657-1)/N657,"")</f>
        <v/>
      </c>
      <c r="Q657" s="46">
        <f>IF(OR(T657="",I657&lt;T657),"",IFERROR(R657/IF(G657="",I657,G657)-1,""))</f>
        <v/>
      </c>
      <c r="R657" s="48">
        <f>IF($M657="","",MAX(IF($G657="",$I657,$G657)*(1/1.1),IF($G657="",$I657,$G657)+(R$2*$M657)))</f>
        <v/>
      </c>
      <c r="S657" s="49">
        <f>IF($M657="","",MAX(IF($G657="",$I657,$G657)*(1/1.1),IF($G657="",$I657,$G657)+(S$2*$M657)))</f>
        <v/>
      </c>
      <c r="T657" s="82" t="n"/>
      <c r="U657" s="47">
        <f>IF(OR($M657="",$T657=""),"",$T657+(U$2*$M657))</f>
        <v/>
      </c>
      <c r="V657" s="48">
        <f>IF(OR($M657="",$T657=""),"",$T657+(V$2*$M657))</f>
        <v/>
      </c>
      <c r="W657" s="48">
        <f>IF(OR($M657="",$T657=""),"",$T657+(W$2*$M657))</f>
        <v/>
      </c>
      <c r="X657" s="49">
        <f>IF(OR($M657="",$T657=""),"",$T657+(X$2*$M657))</f>
        <v/>
      </c>
      <c r="Y657" s="47">
        <f>IF(OR($M657="",$T657=""),"",$T657+(Y$2*$M657))</f>
        <v/>
      </c>
      <c r="Z657" s="49">
        <f>IF(OR($M657="",$T657=""),"",$T657+(Z$2*$M657))</f>
        <v/>
      </c>
      <c r="AA657" s="51">
        <f>IF(OR($M657="",$T657=""),"",$T657+(AA$2*$M657))</f>
        <v/>
      </c>
      <c r="AB657" s="48">
        <f>IF(OR($M657="",$T657=""),"",$T657+(AB$2*$M657))</f>
        <v/>
      </c>
      <c r="AC657" s="48">
        <f>IF(OR($M657="",$T657=""),"",$T657+(AC$2*$M657))</f>
        <v/>
      </c>
      <c r="AD657" s="48">
        <f>IF(OR($M657="",$T657=""),"",$T657+(AD$2*$M657))</f>
        <v/>
      </c>
      <c r="AE657" s="49">
        <f>IF(OR($M657="",$T657=""),"",$T657+(AE$2*$M657))</f>
        <v/>
      </c>
      <c r="AF657" s="52">
        <f>IF(OR(T657="",I657&lt;T657),"",IFERROR(AVERAGE(T657+M657*{7,8,9,10,11})/IF(G657="",I657,G657)-1,""))</f>
        <v/>
      </c>
      <c r="AG657" s="55">
        <f>IF(OR(T657="",I657&lt;T657),"",IFERROR(AF657/-(R657/IF(G657="",I657,G657)-1),""))</f>
        <v/>
      </c>
      <c r="AH657" s="94" t="n"/>
      <c r="AI657" s="94" t="n"/>
      <c r="AJ657" s="94" t="n"/>
      <c r="AK657" s="94" t="n"/>
      <c r="AL657" s="84" t="n"/>
    </row>
    <row r="658">
      <c r="A658" s="64" t="n"/>
      <c r="B658" s="65" t="n"/>
      <c r="C658" s="66" t="n"/>
      <c r="D658" s="67" t="n"/>
      <c r="E658" s="68" t="n"/>
      <c r="F658" s="47">
        <f>IF(A658="","",IF(MIN(H658,MAX(J658:K658))=0,"",MIN(H658,MAX(J658:K658))))</f>
        <v/>
      </c>
      <c r="G658" s="74" t="n"/>
      <c r="H658" s="49">
        <f>IF(M658="","",IFERROR(ROUND(AVERAGE(T658+M658*{7,8,9,10,11})/1.21,4),""))</f>
        <v/>
      </c>
      <c r="I658" s="76" t="n"/>
      <c r="J658" s="77" t="n"/>
      <c r="K658" s="74" t="n"/>
      <c r="L658" s="78" t="n"/>
      <c r="M658" s="77" t="n"/>
      <c r="N658" s="53">
        <f>IF(M658="","",IFERROR(M658/I658,""))</f>
        <v/>
      </c>
      <c r="O658" s="50">
        <f>IF(A658="","",IFERROR((IF(G658="",I658,G658)-T658)/M658,""))</f>
        <v/>
      </c>
      <c r="P658" s="50">
        <f>IFERROR((I658/T658-1)/N658,"")</f>
        <v/>
      </c>
      <c r="Q658" s="46">
        <f>IF(OR(T658="",I658&lt;T658),"",IFERROR(R658/IF(G658="",I658,G658)-1,""))</f>
        <v/>
      </c>
      <c r="R658" s="48">
        <f>IF($M658="","",MAX(IF($G658="",$I658,$G658)*(1/1.1),IF($G658="",$I658,$G658)+(R$2*$M658)))</f>
        <v/>
      </c>
      <c r="S658" s="49">
        <f>IF($M658="","",MAX(IF($G658="",$I658,$G658)*(1/1.1),IF($G658="",$I658,$G658)+(S$2*$M658)))</f>
        <v/>
      </c>
      <c r="T658" s="82" t="n"/>
      <c r="U658" s="47">
        <f>IF(OR($M658="",$T658=""),"",$T658+(U$2*$M658))</f>
        <v/>
      </c>
      <c r="V658" s="48">
        <f>IF(OR($M658="",$T658=""),"",$T658+(V$2*$M658))</f>
        <v/>
      </c>
      <c r="W658" s="48">
        <f>IF(OR($M658="",$T658=""),"",$T658+(W$2*$M658))</f>
        <v/>
      </c>
      <c r="X658" s="49">
        <f>IF(OR($M658="",$T658=""),"",$T658+(X$2*$M658))</f>
        <v/>
      </c>
      <c r="Y658" s="47">
        <f>IF(OR($M658="",$T658=""),"",$T658+(Y$2*$M658))</f>
        <v/>
      </c>
      <c r="Z658" s="49">
        <f>IF(OR($M658="",$T658=""),"",$T658+(Z$2*$M658))</f>
        <v/>
      </c>
      <c r="AA658" s="51">
        <f>IF(OR($M658="",$T658=""),"",$T658+(AA$2*$M658))</f>
        <v/>
      </c>
      <c r="AB658" s="48">
        <f>IF(OR($M658="",$T658=""),"",$T658+(AB$2*$M658))</f>
        <v/>
      </c>
      <c r="AC658" s="48">
        <f>IF(OR($M658="",$T658=""),"",$T658+(AC$2*$M658))</f>
        <v/>
      </c>
      <c r="AD658" s="48">
        <f>IF(OR($M658="",$T658=""),"",$T658+(AD$2*$M658))</f>
        <v/>
      </c>
      <c r="AE658" s="49">
        <f>IF(OR($M658="",$T658=""),"",$T658+(AE$2*$M658))</f>
        <v/>
      </c>
      <c r="AF658" s="52">
        <f>IF(OR(T658="",I658&lt;T658),"",IFERROR(AVERAGE(T658+M658*{7,8,9,10,11})/IF(G658="",I658,G658)-1,""))</f>
        <v/>
      </c>
      <c r="AG658" s="55">
        <f>IF(OR(T658="",I658&lt;T658),"",IFERROR(AF658/-(R658/IF(G658="",I658,G658)-1),""))</f>
        <v/>
      </c>
      <c r="AH658" s="94" t="n"/>
      <c r="AI658" s="94" t="n"/>
      <c r="AJ658" s="94" t="n"/>
      <c r="AK658" s="94" t="n"/>
      <c r="AL658" s="84" t="n"/>
    </row>
    <row r="659">
      <c r="A659" s="64" t="n"/>
      <c r="B659" s="65" t="n"/>
      <c r="C659" s="66" t="n"/>
      <c r="D659" s="67" t="n"/>
      <c r="E659" s="68" t="n"/>
      <c r="F659" s="47">
        <f>IF(A659="","",IF(MIN(H659,MAX(J659:K659))=0,"",MIN(H659,MAX(J659:K659))))</f>
        <v/>
      </c>
      <c r="G659" s="74" t="n"/>
      <c r="H659" s="49">
        <f>IF(M659="","",IFERROR(ROUND(AVERAGE(T659+M659*{7,8,9,10,11})/1.21,4),""))</f>
        <v/>
      </c>
      <c r="I659" s="76" t="n"/>
      <c r="J659" s="77" t="n"/>
      <c r="K659" s="74" t="n"/>
      <c r="L659" s="78" t="n"/>
      <c r="M659" s="77" t="n"/>
      <c r="N659" s="53">
        <f>IF(M659="","",IFERROR(M659/I659,""))</f>
        <v/>
      </c>
      <c r="O659" s="50">
        <f>IF(A659="","",IFERROR((IF(G659="",I659,G659)-T659)/M659,""))</f>
        <v/>
      </c>
      <c r="P659" s="50">
        <f>IFERROR((I659/T659-1)/N659,"")</f>
        <v/>
      </c>
      <c r="Q659" s="46">
        <f>IF(OR(T659="",I659&lt;T659),"",IFERROR(R659/IF(G659="",I659,G659)-1,""))</f>
        <v/>
      </c>
      <c r="R659" s="48">
        <f>IF($M659="","",MAX(IF($G659="",$I659,$G659)*(1/1.1),IF($G659="",$I659,$G659)+(R$2*$M659)))</f>
        <v/>
      </c>
      <c r="S659" s="49">
        <f>IF($M659="","",MAX(IF($G659="",$I659,$G659)*(1/1.1),IF($G659="",$I659,$G659)+(S$2*$M659)))</f>
        <v/>
      </c>
      <c r="T659" s="82" t="n"/>
      <c r="U659" s="47">
        <f>IF(OR($M659="",$T659=""),"",$T659+(U$2*$M659))</f>
        <v/>
      </c>
      <c r="V659" s="48">
        <f>IF(OR($M659="",$T659=""),"",$T659+(V$2*$M659))</f>
        <v/>
      </c>
      <c r="W659" s="48">
        <f>IF(OR($M659="",$T659=""),"",$T659+(W$2*$M659))</f>
        <v/>
      </c>
      <c r="X659" s="49">
        <f>IF(OR($M659="",$T659=""),"",$T659+(X$2*$M659))</f>
        <v/>
      </c>
      <c r="Y659" s="47">
        <f>IF(OR($M659="",$T659=""),"",$T659+(Y$2*$M659))</f>
        <v/>
      </c>
      <c r="Z659" s="49">
        <f>IF(OR($M659="",$T659=""),"",$T659+(Z$2*$M659))</f>
        <v/>
      </c>
      <c r="AA659" s="51">
        <f>IF(OR($M659="",$T659=""),"",$T659+(AA$2*$M659))</f>
        <v/>
      </c>
      <c r="AB659" s="48">
        <f>IF(OR($M659="",$T659=""),"",$T659+(AB$2*$M659))</f>
        <v/>
      </c>
      <c r="AC659" s="48">
        <f>IF(OR($M659="",$T659=""),"",$T659+(AC$2*$M659))</f>
        <v/>
      </c>
      <c r="AD659" s="48">
        <f>IF(OR($M659="",$T659=""),"",$T659+(AD$2*$M659))</f>
        <v/>
      </c>
      <c r="AE659" s="49">
        <f>IF(OR($M659="",$T659=""),"",$T659+(AE$2*$M659))</f>
        <v/>
      </c>
      <c r="AF659" s="52">
        <f>IF(OR(T659="",I659&lt;T659),"",IFERROR(AVERAGE(T659+M659*{7,8,9,10,11})/IF(G659="",I659,G659)-1,""))</f>
        <v/>
      </c>
      <c r="AG659" s="55">
        <f>IF(OR(T659="",I659&lt;T659),"",IFERROR(AF659/-(R659/IF(G659="",I659,G659)-1),""))</f>
        <v/>
      </c>
      <c r="AH659" s="94" t="n"/>
      <c r="AI659" s="94" t="n"/>
      <c r="AJ659" s="94" t="n"/>
      <c r="AK659" s="94" t="n"/>
      <c r="AL659" s="84" t="n"/>
    </row>
    <row r="660">
      <c r="A660" s="64" t="n"/>
      <c r="B660" s="65" t="n"/>
      <c r="C660" s="66" t="n"/>
      <c r="D660" s="67" t="n"/>
      <c r="E660" s="68" t="n"/>
      <c r="F660" s="47">
        <f>IF(A660="","",IF(MIN(H660,MAX(J660:K660))=0,"",MIN(H660,MAX(J660:K660))))</f>
        <v/>
      </c>
      <c r="G660" s="74" t="n"/>
      <c r="H660" s="49">
        <f>IF(M660="","",IFERROR(ROUND(AVERAGE(T660+M660*{7,8,9,10,11})/1.21,4),""))</f>
        <v/>
      </c>
      <c r="I660" s="76" t="n"/>
      <c r="J660" s="77" t="n"/>
      <c r="K660" s="74" t="n"/>
      <c r="L660" s="78" t="n"/>
      <c r="M660" s="77" t="n"/>
      <c r="N660" s="53">
        <f>IF(M660="","",IFERROR(M660/I660,""))</f>
        <v/>
      </c>
      <c r="O660" s="50">
        <f>IF(A660="","",IFERROR((IF(G660="",I660,G660)-T660)/M660,""))</f>
        <v/>
      </c>
      <c r="P660" s="50">
        <f>IFERROR((I660/T660-1)/N660,"")</f>
        <v/>
      </c>
      <c r="Q660" s="46">
        <f>IF(OR(T660="",I660&lt;T660),"",IFERROR(R660/IF(G660="",I660,G660)-1,""))</f>
        <v/>
      </c>
      <c r="R660" s="48">
        <f>IF($M660="","",MAX(IF($G660="",$I660,$G660)*(1/1.1),IF($G660="",$I660,$G660)+(R$2*$M660)))</f>
        <v/>
      </c>
      <c r="S660" s="49">
        <f>IF($M660="","",MAX(IF($G660="",$I660,$G660)*(1/1.1),IF($G660="",$I660,$G660)+(S$2*$M660)))</f>
        <v/>
      </c>
      <c r="T660" s="82" t="n"/>
      <c r="U660" s="47">
        <f>IF(OR($M660="",$T660=""),"",$T660+(U$2*$M660))</f>
        <v/>
      </c>
      <c r="V660" s="48">
        <f>IF(OR($M660="",$T660=""),"",$T660+(V$2*$M660))</f>
        <v/>
      </c>
      <c r="W660" s="48">
        <f>IF(OR($M660="",$T660=""),"",$T660+(W$2*$M660))</f>
        <v/>
      </c>
      <c r="X660" s="49">
        <f>IF(OR($M660="",$T660=""),"",$T660+(X$2*$M660))</f>
        <v/>
      </c>
      <c r="Y660" s="47">
        <f>IF(OR($M660="",$T660=""),"",$T660+(Y$2*$M660))</f>
        <v/>
      </c>
      <c r="Z660" s="49">
        <f>IF(OR($M660="",$T660=""),"",$T660+(Z$2*$M660))</f>
        <v/>
      </c>
      <c r="AA660" s="51">
        <f>IF(OR($M660="",$T660=""),"",$T660+(AA$2*$M660))</f>
        <v/>
      </c>
      <c r="AB660" s="48">
        <f>IF(OR($M660="",$T660=""),"",$T660+(AB$2*$M660))</f>
        <v/>
      </c>
      <c r="AC660" s="48">
        <f>IF(OR($M660="",$T660=""),"",$T660+(AC$2*$M660))</f>
        <v/>
      </c>
      <c r="AD660" s="48">
        <f>IF(OR($M660="",$T660=""),"",$T660+(AD$2*$M660))</f>
        <v/>
      </c>
      <c r="AE660" s="49">
        <f>IF(OR($M660="",$T660=""),"",$T660+(AE$2*$M660))</f>
        <v/>
      </c>
      <c r="AF660" s="52">
        <f>IF(OR(T660="",I660&lt;T660),"",IFERROR(AVERAGE(T660+M660*{7,8,9,10,11})/IF(G660="",I660,G660)-1,""))</f>
        <v/>
      </c>
      <c r="AG660" s="55">
        <f>IF(OR(T660="",I660&lt;T660),"",IFERROR(AF660/-(R660/IF(G660="",I660,G660)-1),""))</f>
        <v/>
      </c>
      <c r="AH660" s="94" t="n"/>
      <c r="AI660" s="94" t="n"/>
      <c r="AJ660" s="94" t="n"/>
      <c r="AK660" s="94" t="n"/>
      <c r="AL660" s="84" t="n"/>
    </row>
    <row r="661">
      <c r="A661" s="64" t="n"/>
      <c r="B661" s="65" t="n"/>
      <c r="C661" s="66" t="n"/>
      <c r="D661" s="67" t="n"/>
      <c r="E661" s="68" t="n"/>
      <c r="F661" s="47">
        <f>IF(A661="","",IF(MIN(H661,MAX(J661:K661))=0,"",MIN(H661,MAX(J661:K661))))</f>
        <v/>
      </c>
      <c r="G661" s="74" t="n"/>
      <c r="H661" s="49">
        <f>IF(M661="","",IFERROR(ROUND(AVERAGE(T661+M661*{7,8,9,10,11})/1.21,4),""))</f>
        <v/>
      </c>
      <c r="I661" s="76" t="n"/>
      <c r="J661" s="77" t="n"/>
      <c r="K661" s="74" t="n"/>
      <c r="L661" s="78" t="n"/>
      <c r="M661" s="77" t="n"/>
      <c r="N661" s="53">
        <f>IF(M661="","",IFERROR(M661/I661,""))</f>
        <v/>
      </c>
      <c r="O661" s="50">
        <f>IF(A661="","",IFERROR((IF(G661="",I661,G661)-T661)/M661,""))</f>
        <v/>
      </c>
      <c r="P661" s="50">
        <f>IFERROR((I661/T661-1)/N661,"")</f>
        <v/>
      </c>
      <c r="Q661" s="46">
        <f>IF(OR(T661="",I661&lt;T661),"",IFERROR(R661/IF(G661="",I661,G661)-1,""))</f>
        <v/>
      </c>
      <c r="R661" s="48">
        <f>IF($M661="","",MAX(IF($G661="",$I661,$G661)*(1/1.1),IF($G661="",$I661,$G661)+(R$2*$M661)))</f>
        <v/>
      </c>
      <c r="S661" s="49">
        <f>IF($M661="","",MAX(IF($G661="",$I661,$G661)*(1/1.1),IF($G661="",$I661,$G661)+(S$2*$M661)))</f>
        <v/>
      </c>
      <c r="T661" s="82" t="n"/>
      <c r="U661" s="47">
        <f>IF(OR($M661="",$T661=""),"",$T661+(U$2*$M661))</f>
        <v/>
      </c>
      <c r="V661" s="48">
        <f>IF(OR($M661="",$T661=""),"",$T661+(V$2*$M661))</f>
        <v/>
      </c>
      <c r="W661" s="48">
        <f>IF(OR($M661="",$T661=""),"",$T661+(W$2*$M661))</f>
        <v/>
      </c>
      <c r="X661" s="49">
        <f>IF(OR($M661="",$T661=""),"",$T661+(X$2*$M661))</f>
        <v/>
      </c>
      <c r="Y661" s="47">
        <f>IF(OR($M661="",$T661=""),"",$T661+(Y$2*$M661))</f>
        <v/>
      </c>
      <c r="Z661" s="49">
        <f>IF(OR($M661="",$T661=""),"",$T661+(Z$2*$M661))</f>
        <v/>
      </c>
      <c r="AA661" s="51">
        <f>IF(OR($M661="",$T661=""),"",$T661+(AA$2*$M661))</f>
        <v/>
      </c>
      <c r="AB661" s="48">
        <f>IF(OR($M661="",$T661=""),"",$T661+(AB$2*$M661))</f>
        <v/>
      </c>
      <c r="AC661" s="48">
        <f>IF(OR($M661="",$T661=""),"",$T661+(AC$2*$M661))</f>
        <v/>
      </c>
      <c r="AD661" s="48">
        <f>IF(OR($M661="",$T661=""),"",$T661+(AD$2*$M661))</f>
        <v/>
      </c>
      <c r="AE661" s="49">
        <f>IF(OR($M661="",$T661=""),"",$T661+(AE$2*$M661))</f>
        <v/>
      </c>
      <c r="AF661" s="52">
        <f>IF(OR(T661="",I661&lt;T661),"",IFERROR(AVERAGE(T661+M661*{7,8,9,10,11})/IF(G661="",I661,G661)-1,""))</f>
        <v/>
      </c>
      <c r="AG661" s="55">
        <f>IF(OR(T661="",I661&lt;T661),"",IFERROR(AF661/-(R661/IF(G661="",I661,G661)-1),""))</f>
        <v/>
      </c>
      <c r="AH661" s="94" t="n"/>
      <c r="AI661" s="94" t="n"/>
      <c r="AJ661" s="94" t="n"/>
      <c r="AK661" s="94" t="n"/>
      <c r="AL661" s="84" t="n"/>
    </row>
    <row r="662">
      <c r="A662" s="64" t="n"/>
      <c r="B662" s="65" t="n"/>
      <c r="C662" s="66" t="n"/>
      <c r="D662" s="67" t="n"/>
      <c r="E662" s="68" t="n"/>
      <c r="F662" s="47">
        <f>IF(A662="","",IF(MIN(H662,MAX(J662:K662))=0,"",MIN(H662,MAX(J662:K662))))</f>
        <v/>
      </c>
      <c r="G662" s="74" t="n"/>
      <c r="H662" s="49">
        <f>IF(M662="","",IFERROR(ROUND(AVERAGE(T662+M662*{7,8,9,10,11})/1.21,4),""))</f>
        <v/>
      </c>
      <c r="I662" s="76" t="n"/>
      <c r="J662" s="77" t="n"/>
      <c r="K662" s="74" t="n"/>
      <c r="L662" s="78" t="n"/>
      <c r="M662" s="77" t="n"/>
      <c r="N662" s="53">
        <f>IF(M662="","",IFERROR(M662/I662,""))</f>
        <v/>
      </c>
      <c r="O662" s="50">
        <f>IF(A662="","",IFERROR((IF(G662="",I662,G662)-T662)/M662,""))</f>
        <v/>
      </c>
      <c r="P662" s="50">
        <f>IFERROR((I662/T662-1)/N662,"")</f>
        <v/>
      </c>
      <c r="Q662" s="46">
        <f>IF(OR(T662="",I662&lt;T662),"",IFERROR(R662/IF(G662="",I662,G662)-1,""))</f>
        <v/>
      </c>
      <c r="R662" s="48">
        <f>IF($M662="","",MAX(IF($G662="",$I662,$G662)*(1/1.1),IF($G662="",$I662,$G662)+(R$2*$M662)))</f>
        <v/>
      </c>
      <c r="S662" s="49">
        <f>IF($M662="","",MAX(IF($G662="",$I662,$G662)*(1/1.1),IF($G662="",$I662,$G662)+(S$2*$M662)))</f>
        <v/>
      </c>
      <c r="T662" s="82" t="n"/>
      <c r="U662" s="47">
        <f>IF(OR($M662="",$T662=""),"",$T662+(U$2*$M662))</f>
        <v/>
      </c>
      <c r="V662" s="48">
        <f>IF(OR($M662="",$T662=""),"",$T662+(V$2*$M662))</f>
        <v/>
      </c>
      <c r="W662" s="48">
        <f>IF(OR($M662="",$T662=""),"",$T662+(W$2*$M662))</f>
        <v/>
      </c>
      <c r="X662" s="49">
        <f>IF(OR($M662="",$T662=""),"",$T662+(X$2*$M662))</f>
        <v/>
      </c>
      <c r="Y662" s="47">
        <f>IF(OR($M662="",$T662=""),"",$T662+(Y$2*$M662))</f>
        <v/>
      </c>
      <c r="Z662" s="49">
        <f>IF(OR($M662="",$T662=""),"",$T662+(Z$2*$M662))</f>
        <v/>
      </c>
      <c r="AA662" s="51">
        <f>IF(OR($M662="",$T662=""),"",$T662+(AA$2*$M662))</f>
        <v/>
      </c>
      <c r="AB662" s="48">
        <f>IF(OR($M662="",$T662=""),"",$T662+(AB$2*$M662))</f>
        <v/>
      </c>
      <c r="AC662" s="48">
        <f>IF(OR($M662="",$T662=""),"",$T662+(AC$2*$M662))</f>
        <v/>
      </c>
      <c r="AD662" s="48">
        <f>IF(OR($M662="",$T662=""),"",$T662+(AD$2*$M662))</f>
        <v/>
      </c>
      <c r="AE662" s="49">
        <f>IF(OR($M662="",$T662=""),"",$T662+(AE$2*$M662))</f>
        <v/>
      </c>
      <c r="AF662" s="52">
        <f>IF(OR(T662="",I662&lt;T662),"",IFERROR(AVERAGE(T662+M662*{7,8,9,10,11})/IF(G662="",I662,G662)-1,""))</f>
        <v/>
      </c>
      <c r="AG662" s="55">
        <f>IF(OR(T662="",I662&lt;T662),"",IFERROR(AF662/-(R662/IF(G662="",I662,G662)-1),""))</f>
        <v/>
      </c>
      <c r="AH662" s="94" t="n"/>
      <c r="AI662" s="94" t="n"/>
      <c r="AJ662" s="94" t="n"/>
      <c r="AK662" s="94" t="n"/>
      <c r="AL662" s="84" t="n"/>
    </row>
    <row r="663">
      <c r="A663" s="64" t="n"/>
      <c r="B663" s="65" t="n"/>
      <c r="C663" s="66" t="n"/>
      <c r="D663" s="67" t="n"/>
      <c r="E663" s="68" t="n"/>
      <c r="F663" s="47">
        <f>IF(A663="","",IF(MIN(H663,MAX(J663:K663))=0,"",MIN(H663,MAX(J663:K663))))</f>
        <v/>
      </c>
      <c r="G663" s="74" t="n"/>
      <c r="H663" s="49">
        <f>IF(M663="","",IFERROR(ROUND(AVERAGE(T663+M663*{7,8,9,10,11})/1.21,4),""))</f>
        <v/>
      </c>
      <c r="I663" s="76" t="n"/>
      <c r="J663" s="77" t="n"/>
      <c r="K663" s="74" t="n"/>
      <c r="L663" s="78" t="n"/>
      <c r="M663" s="77" t="n"/>
      <c r="N663" s="53">
        <f>IF(M663="","",IFERROR(M663/I663,""))</f>
        <v/>
      </c>
      <c r="O663" s="50">
        <f>IF(A663="","",IFERROR((IF(G663="",I663,G663)-T663)/M663,""))</f>
        <v/>
      </c>
      <c r="P663" s="50">
        <f>IFERROR((I663/T663-1)/N663,"")</f>
        <v/>
      </c>
      <c r="Q663" s="46">
        <f>IF(OR(T663="",I663&lt;T663),"",IFERROR(R663/IF(G663="",I663,G663)-1,""))</f>
        <v/>
      </c>
      <c r="R663" s="48">
        <f>IF($M663="","",MAX(IF($G663="",$I663,$G663)*(1/1.1),IF($G663="",$I663,$G663)+(R$2*$M663)))</f>
        <v/>
      </c>
      <c r="S663" s="49">
        <f>IF($M663="","",MAX(IF($G663="",$I663,$G663)*(1/1.1),IF($G663="",$I663,$G663)+(S$2*$M663)))</f>
        <v/>
      </c>
      <c r="T663" s="82" t="n"/>
      <c r="U663" s="47">
        <f>IF(OR($M663="",$T663=""),"",$T663+(U$2*$M663))</f>
        <v/>
      </c>
      <c r="V663" s="48">
        <f>IF(OR($M663="",$T663=""),"",$T663+(V$2*$M663))</f>
        <v/>
      </c>
      <c r="W663" s="48">
        <f>IF(OR($M663="",$T663=""),"",$T663+(W$2*$M663))</f>
        <v/>
      </c>
      <c r="X663" s="49">
        <f>IF(OR($M663="",$T663=""),"",$T663+(X$2*$M663))</f>
        <v/>
      </c>
      <c r="Y663" s="47">
        <f>IF(OR($M663="",$T663=""),"",$T663+(Y$2*$M663))</f>
        <v/>
      </c>
      <c r="Z663" s="49">
        <f>IF(OR($M663="",$T663=""),"",$T663+(Z$2*$M663))</f>
        <v/>
      </c>
      <c r="AA663" s="51">
        <f>IF(OR($M663="",$T663=""),"",$T663+(AA$2*$M663))</f>
        <v/>
      </c>
      <c r="AB663" s="48">
        <f>IF(OR($M663="",$T663=""),"",$T663+(AB$2*$M663))</f>
        <v/>
      </c>
      <c r="AC663" s="48">
        <f>IF(OR($M663="",$T663=""),"",$T663+(AC$2*$M663))</f>
        <v/>
      </c>
      <c r="AD663" s="48">
        <f>IF(OR($M663="",$T663=""),"",$T663+(AD$2*$M663))</f>
        <v/>
      </c>
      <c r="AE663" s="49">
        <f>IF(OR($M663="",$T663=""),"",$T663+(AE$2*$M663))</f>
        <v/>
      </c>
      <c r="AF663" s="52">
        <f>IF(OR(T663="",I663&lt;T663),"",IFERROR(AVERAGE(T663+M663*{7,8,9,10,11})/IF(G663="",I663,G663)-1,""))</f>
        <v/>
      </c>
      <c r="AG663" s="55">
        <f>IF(OR(T663="",I663&lt;T663),"",IFERROR(AF663/-(R663/IF(G663="",I663,G663)-1),""))</f>
        <v/>
      </c>
      <c r="AH663" s="94" t="n"/>
      <c r="AI663" s="94" t="n"/>
      <c r="AJ663" s="94" t="n"/>
      <c r="AK663" s="94" t="n"/>
      <c r="AL663" s="84" t="n"/>
    </row>
    <row r="664">
      <c r="A664" s="64" t="n"/>
      <c r="B664" s="65" t="n"/>
      <c r="C664" s="66" t="n"/>
      <c r="D664" s="67" t="n"/>
      <c r="E664" s="68" t="n"/>
      <c r="F664" s="47">
        <f>IF(A664="","",IF(MIN(H664,MAX(J664:K664))=0,"",MIN(H664,MAX(J664:K664))))</f>
        <v/>
      </c>
      <c r="G664" s="74" t="n"/>
      <c r="H664" s="49">
        <f>IF(M664="","",IFERROR(ROUND(AVERAGE(T664+M664*{7,8,9,10,11})/1.21,4),""))</f>
        <v/>
      </c>
      <c r="I664" s="76" t="n"/>
      <c r="J664" s="77" t="n"/>
      <c r="K664" s="74" t="n"/>
      <c r="L664" s="78" t="n"/>
      <c r="M664" s="77" t="n"/>
      <c r="N664" s="53">
        <f>IF(M664="","",IFERROR(M664/I664,""))</f>
        <v/>
      </c>
      <c r="O664" s="50">
        <f>IF(A664="","",IFERROR((IF(G664="",I664,G664)-T664)/M664,""))</f>
        <v/>
      </c>
      <c r="P664" s="50">
        <f>IFERROR((I664/T664-1)/N664,"")</f>
        <v/>
      </c>
      <c r="Q664" s="46">
        <f>IF(OR(T664="",I664&lt;T664),"",IFERROR(R664/IF(G664="",I664,G664)-1,""))</f>
        <v/>
      </c>
      <c r="R664" s="48">
        <f>IF($M664="","",MAX(IF($G664="",$I664,$G664)*(1/1.1),IF($G664="",$I664,$G664)+(R$2*$M664)))</f>
        <v/>
      </c>
      <c r="S664" s="49">
        <f>IF($M664="","",MAX(IF($G664="",$I664,$G664)*(1/1.1),IF($G664="",$I664,$G664)+(S$2*$M664)))</f>
        <v/>
      </c>
      <c r="T664" s="82" t="n"/>
      <c r="U664" s="47">
        <f>IF(OR($M664="",$T664=""),"",$T664+(U$2*$M664))</f>
        <v/>
      </c>
      <c r="V664" s="48">
        <f>IF(OR($M664="",$T664=""),"",$T664+(V$2*$M664))</f>
        <v/>
      </c>
      <c r="W664" s="48">
        <f>IF(OR($M664="",$T664=""),"",$T664+(W$2*$M664))</f>
        <v/>
      </c>
      <c r="X664" s="49">
        <f>IF(OR($M664="",$T664=""),"",$T664+(X$2*$M664))</f>
        <v/>
      </c>
      <c r="Y664" s="47">
        <f>IF(OR($M664="",$T664=""),"",$T664+(Y$2*$M664))</f>
        <v/>
      </c>
      <c r="Z664" s="49">
        <f>IF(OR($M664="",$T664=""),"",$T664+(Z$2*$M664))</f>
        <v/>
      </c>
      <c r="AA664" s="51">
        <f>IF(OR($M664="",$T664=""),"",$T664+(AA$2*$M664))</f>
        <v/>
      </c>
      <c r="AB664" s="48">
        <f>IF(OR($M664="",$T664=""),"",$T664+(AB$2*$M664))</f>
        <v/>
      </c>
      <c r="AC664" s="48">
        <f>IF(OR($M664="",$T664=""),"",$T664+(AC$2*$M664))</f>
        <v/>
      </c>
      <c r="AD664" s="48">
        <f>IF(OR($M664="",$T664=""),"",$T664+(AD$2*$M664))</f>
        <v/>
      </c>
      <c r="AE664" s="49">
        <f>IF(OR($M664="",$T664=""),"",$T664+(AE$2*$M664))</f>
        <v/>
      </c>
      <c r="AF664" s="52">
        <f>IF(OR(T664="",I664&lt;T664),"",IFERROR(AVERAGE(T664+M664*{7,8,9,10,11})/IF(G664="",I664,G664)-1,""))</f>
        <v/>
      </c>
      <c r="AG664" s="55">
        <f>IF(OR(T664="",I664&lt;T664),"",IFERROR(AF664/-(R664/IF(G664="",I664,G664)-1),""))</f>
        <v/>
      </c>
      <c r="AH664" s="94" t="n"/>
      <c r="AI664" s="94" t="n"/>
      <c r="AJ664" s="94" t="n"/>
      <c r="AK664" s="94" t="n"/>
      <c r="AL664" s="84" t="n"/>
    </row>
    <row r="665">
      <c r="A665" s="64" t="n"/>
      <c r="B665" s="65" t="n"/>
      <c r="C665" s="66" t="n"/>
      <c r="D665" s="67" t="n"/>
      <c r="E665" s="68" t="n"/>
      <c r="F665" s="47">
        <f>IF(A665="","",IF(MIN(H665,MAX(J665:K665))=0,"",MIN(H665,MAX(J665:K665))))</f>
        <v/>
      </c>
      <c r="G665" s="74" t="n"/>
      <c r="H665" s="49">
        <f>IF(M665="","",IFERROR(ROUND(AVERAGE(T665+M665*{7,8,9,10,11})/1.21,4),""))</f>
        <v/>
      </c>
      <c r="I665" s="76" t="n"/>
      <c r="J665" s="77" t="n"/>
      <c r="K665" s="74" t="n"/>
      <c r="L665" s="78" t="n"/>
      <c r="M665" s="77" t="n"/>
      <c r="N665" s="53">
        <f>IF(M665="","",IFERROR(M665/I665,""))</f>
        <v/>
      </c>
      <c r="O665" s="50">
        <f>IF(A665="","",IFERROR((IF(G665="",I665,G665)-T665)/M665,""))</f>
        <v/>
      </c>
      <c r="P665" s="50">
        <f>IFERROR((I665/T665-1)/N665,"")</f>
        <v/>
      </c>
      <c r="Q665" s="46">
        <f>IF(OR(T665="",I665&lt;T665),"",IFERROR(R665/IF(G665="",I665,G665)-1,""))</f>
        <v/>
      </c>
      <c r="R665" s="48">
        <f>IF($M665="","",MAX(IF($G665="",$I665,$G665)*(1/1.1),IF($G665="",$I665,$G665)+(R$2*$M665)))</f>
        <v/>
      </c>
      <c r="S665" s="49">
        <f>IF($M665="","",MAX(IF($G665="",$I665,$G665)*(1/1.1),IF($G665="",$I665,$G665)+(S$2*$M665)))</f>
        <v/>
      </c>
      <c r="T665" s="82" t="n"/>
      <c r="U665" s="47">
        <f>IF(OR($M665="",$T665=""),"",$T665+(U$2*$M665))</f>
        <v/>
      </c>
      <c r="V665" s="48">
        <f>IF(OR($M665="",$T665=""),"",$T665+(V$2*$M665))</f>
        <v/>
      </c>
      <c r="W665" s="48">
        <f>IF(OR($M665="",$T665=""),"",$T665+(W$2*$M665))</f>
        <v/>
      </c>
      <c r="X665" s="49">
        <f>IF(OR($M665="",$T665=""),"",$T665+(X$2*$M665))</f>
        <v/>
      </c>
      <c r="Y665" s="47">
        <f>IF(OR($M665="",$T665=""),"",$T665+(Y$2*$M665))</f>
        <v/>
      </c>
      <c r="Z665" s="49">
        <f>IF(OR($M665="",$T665=""),"",$T665+(Z$2*$M665))</f>
        <v/>
      </c>
      <c r="AA665" s="51">
        <f>IF(OR($M665="",$T665=""),"",$T665+(AA$2*$M665))</f>
        <v/>
      </c>
      <c r="AB665" s="48">
        <f>IF(OR($M665="",$T665=""),"",$T665+(AB$2*$M665))</f>
        <v/>
      </c>
      <c r="AC665" s="48">
        <f>IF(OR($M665="",$T665=""),"",$T665+(AC$2*$M665))</f>
        <v/>
      </c>
      <c r="AD665" s="48">
        <f>IF(OR($M665="",$T665=""),"",$T665+(AD$2*$M665))</f>
        <v/>
      </c>
      <c r="AE665" s="49">
        <f>IF(OR($M665="",$T665=""),"",$T665+(AE$2*$M665))</f>
        <v/>
      </c>
      <c r="AF665" s="52">
        <f>IF(OR(T665="",I665&lt;T665),"",IFERROR(AVERAGE(T665+M665*{7,8,9,10,11})/IF(G665="",I665,G665)-1,""))</f>
        <v/>
      </c>
      <c r="AG665" s="55">
        <f>IF(OR(T665="",I665&lt;T665),"",IFERROR(AF665/-(R665/IF(G665="",I665,G665)-1),""))</f>
        <v/>
      </c>
      <c r="AH665" s="94" t="n"/>
      <c r="AI665" s="94" t="n"/>
      <c r="AJ665" s="94" t="n"/>
      <c r="AK665" s="94" t="n"/>
      <c r="AL665" s="84" t="n"/>
    </row>
    <row r="666">
      <c r="A666" s="64" t="n"/>
      <c r="B666" s="65" t="n"/>
      <c r="C666" s="66" t="n"/>
      <c r="D666" s="67" t="n"/>
      <c r="E666" s="68" t="n"/>
      <c r="F666" s="47">
        <f>IF(A666="","",IF(MIN(H666,MAX(J666:K666))=0,"",MIN(H666,MAX(J666:K666))))</f>
        <v/>
      </c>
      <c r="G666" s="74" t="n"/>
      <c r="H666" s="49">
        <f>IF(M666="","",IFERROR(ROUND(AVERAGE(T666+M666*{7,8,9,10,11})/1.21,4),""))</f>
        <v/>
      </c>
      <c r="I666" s="76" t="n"/>
      <c r="J666" s="77" t="n"/>
      <c r="K666" s="74" t="n"/>
      <c r="L666" s="78" t="n"/>
      <c r="M666" s="77" t="n"/>
      <c r="N666" s="53">
        <f>IF(M666="","",IFERROR(M666/I666,""))</f>
        <v/>
      </c>
      <c r="O666" s="50">
        <f>IF(A666="","",IFERROR((IF(G666="",I666,G666)-T666)/M666,""))</f>
        <v/>
      </c>
      <c r="P666" s="50">
        <f>IFERROR((I666/T666-1)/N666,"")</f>
        <v/>
      </c>
      <c r="Q666" s="46">
        <f>IF(OR(T666="",I666&lt;T666),"",IFERROR(R666/IF(G666="",I666,G666)-1,""))</f>
        <v/>
      </c>
      <c r="R666" s="48">
        <f>IF($M666="","",MAX(IF($G666="",$I666,$G666)*(1/1.1),IF($G666="",$I666,$G666)+(R$2*$M666)))</f>
        <v/>
      </c>
      <c r="S666" s="49">
        <f>IF($M666="","",MAX(IF($G666="",$I666,$G666)*(1/1.1),IF($G666="",$I666,$G666)+(S$2*$M666)))</f>
        <v/>
      </c>
      <c r="T666" s="82" t="n"/>
      <c r="U666" s="47">
        <f>IF(OR($M666="",$T666=""),"",$T666+(U$2*$M666))</f>
        <v/>
      </c>
      <c r="V666" s="48">
        <f>IF(OR($M666="",$T666=""),"",$T666+(V$2*$M666))</f>
        <v/>
      </c>
      <c r="W666" s="48">
        <f>IF(OR($M666="",$T666=""),"",$T666+(W$2*$M666))</f>
        <v/>
      </c>
      <c r="X666" s="49">
        <f>IF(OR($M666="",$T666=""),"",$T666+(X$2*$M666))</f>
        <v/>
      </c>
      <c r="Y666" s="47">
        <f>IF(OR($M666="",$T666=""),"",$T666+(Y$2*$M666))</f>
        <v/>
      </c>
      <c r="Z666" s="49">
        <f>IF(OR($M666="",$T666=""),"",$T666+(Z$2*$M666))</f>
        <v/>
      </c>
      <c r="AA666" s="51">
        <f>IF(OR($M666="",$T666=""),"",$T666+(AA$2*$M666))</f>
        <v/>
      </c>
      <c r="AB666" s="48">
        <f>IF(OR($M666="",$T666=""),"",$T666+(AB$2*$M666))</f>
        <v/>
      </c>
      <c r="AC666" s="48">
        <f>IF(OR($M666="",$T666=""),"",$T666+(AC$2*$M666))</f>
        <v/>
      </c>
      <c r="AD666" s="48">
        <f>IF(OR($M666="",$T666=""),"",$T666+(AD$2*$M666))</f>
        <v/>
      </c>
      <c r="AE666" s="49">
        <f>IF(OR($M666="",$T666=""),"",$T666+(AE$2*$M666))</f>
        <v/>
      </c>
      <c r="AF666" s="52">
        <f>IF(OR(T666="",I666&lt;T666),"",IFERROR(AVERAGE(T666+M666*{7,8,9,10,11})/IF(G666="",I666,G666)-1,""))</f>
        <v/>
      </c>
      <c r="AG666" s="55">
        <f>IF(OR(T666="",I666&lt;T666),"",IFERROR(AF666/-(R666/IF(G666="",I666,G666)-1),""))</f>
        <v/>
      </c>
      <c r="AH666" s="94" t="n"/>
      <c r="AI666" s="94" t="n"/>
      <c r="AJ666" s="94" t="n"/>
      <c r="AK666" s="94" t="n"/>
      <c r="AL666" s="84" t="n"/>
    </row>
    <row r="667">
      <c r="A667" s="64" t="n"/>
      <c r="B667" s="65" t="n"/>
      <c r="C667" s="66" t="n"/>
      <c r="D667" s="67" t="n"/>
      <c r="E667" s="68" t="n"/>
      <c r="F667" s="47">
        <f>IF(A667="","",IF(MIN(H667,MAX(J667:K667))=0,"",MIN(H667,MAX(J667:K667))))</f>
        <v/>
      </c>
      <c r="G667" s="74" t="n"/>
      <c r="H667" s="49">
        <f>IF(M667="","",IFERROR(ROUND(AVERAGE(T667+M667*{7,8,9,10,11})/1.21,4),""))</f>
        <v/>
      </c>
      <c r="I667" s="76" t="n"/>
      <c r="J667" s="77" t="n"/>
      <c r="K667" s="74" t="n"/>
      <c r="L667" s="78" t="n"/>
      <c r="M667" s="77" t="n"/>
      <c r="N667" s="53">
        <f>IF(M667="","",IFERROR(M667/I667,""))</f>
        <v/>
      </c>
      <c r="O667" s="50">
        <f>IF(A667="","",IFERROR((IF(G667="",I667,G667)-T667)/M667,""))</f>
        <v/>
      </c>
      <c r="P667" s="50">
        <f>IFERROR((I667/T667-1)/N667,"")</f>
        <v/>
      </c>
      <c r="Q667" s="46">
        <f>IF(OR(T667="",I667&lt;T667),"",IFERROR(R667/IF(G667="",I667,G667)-1,""))</f>
        <v/>
      </c>
      <c r="R667" s="48">
        <f>IF($M667="","",MAX(IF($G667="",$I667,$G667)*(1/1.1),IF($G667="",$I667,$G667)+(R$2*$M667)))</f>
        <v/>
      </c>
      <c r="S667" s="49">
        <f>IF($M667="","",MAX(IF($G667="",$I667,$G667)*(1/1.1),IF($G667="",$I667,$G667)+(S$2*$M667)))</f>
        <v/>
      </c>
      <c r="T667" s="82" t="n"/>
      <c r="U667" s="47">
        <f>IF(OR($M667="",$T667=""),"",$T667+(U$2*$M667))</f>
        <v/>
      </c>
      <c r="V667" s="48">
        <f>IF(OR($M667="",$T667=""),"",$T667+(V$2*$M667))</f>
        <v/>
      </c>
      <c r="W667" s="48">
        <f>IF(OR($M667="",$T667=""),"",$T667+(W$2*$M667))</f>
        <v/>
      </c>
      <c r="X667" s="49">
        <f>IF(OR($M667="",$T667=""),"",$T667+(X$2*$M667))</f>
        <v/>
      </c>
      <c r="Y667" s="47">
        <f>IF(OR($M667="",$T667=""),"",$T667+(Y$2*$M667))</f>
        <v/>
      </c>
      <c r="Z667" s="49">
        <f>IF(OR($M667="",$T667=""),"",$T667+(Z$2*$M667))</f>
        <v/>
      </c>
      <c r="AA667" s="51">
        <f>IF(OR($M667="",$T667=""),"",$T667+(AA$2*$M667))</f>
        <v/>
      </c>
      <c r="AB667" s="48">
        <f>IF(OR($M667="",$T667=""),"",$T667+(AB$2*$M667))</f>
        <v/>
      </c>
      <c r="AC667" s="48">
        <f>IF(OR($M667="",$T667=""),"",$T667+(AC$2*$M667))</f>
        <v/>
      </c>
      <c r="AD667" s="48">
        <f>IF(OR($M667="",$T667=""),"",$T667+(AD$2*$M667))</f>
        <v/>
      </c>
      <c r="AE667" s="49">
        <f>IF(OR($M667="",$T667=""),"",$T667+(AE$2*$M667))</f>
        <v/>
      </c>
      <c r="AF667" s="52">
        <f>IF(OR(T667="",I667&lt;T667),"",IFERROR(AVERAGE(T667+M667*{7,8,9,10,11})/IF(G667="",I667,G667)-1,""))</f>
        <v/>
      </c>
      <c r="AG667" s="55">
        <f>IF(OR(T667="",I667&lt;T667),"",IFERROR(AF667/-(R667/IF(G667="",I667,G667)-1),""))</f>
        <v/>
      </c>
      <c r="AH667" s="94" t="n"/>
      <c r="AI667" s="94" t="n"/>
      <c r="AJ667" s="94" t="n"/>
      <c r="AK667" s="94" t="n"/>
      <c r="AL667" s="84" t="n"/>
    </row>
    <row r="668">
      <c r="A668" s="64" t="n"/>
      <c r="B668" s="65" t="n"/>
      <c r="C668" s="66" t="n"/>
      <c r="D668" s="67" t="n"/>
      <c r="E668" s="68" t="n"/>
      <c r="F668" s="47">
        <f>IF(A668="","",IF(MIN(H668,MAX(J668:K668))=0,"",MIN(H668,MAX(J668:K668))))</f>
        <v/>
      </c>
      <c r="G668" s="74" t="n"/>
      <c r="H668" s="49">
        <f>IF(M668="","",IFERROR(ROUND(AVERAGE(T668+M668*{7,8,9,10,11})/1.21,4),""))</f>
        <v/>
      </c>
      <c r="I668" s="76" t="n"/>
      <c r="J668" s="77" t="n"/>
      <c r="K668" s="74" t="n"/>
      <c r="L668" s="78" t="n"/>
      <c r="M668" s="77" t="n"/>
      <c r="N668" s="53">
        <f>IF(M668="","",IFERROR(M668/I668,""))</f>
        <v/>
      </c>
      <c r="O668" s="50">
        <f>IF(A668="","",IFERROR((IF(G668="",I668,G668)-T668)/M668,""))</f>
        <v/>
      </c>
      <c r="P668" s="50">
        <f>IFERROR((I668/T668-1)/N668,"")</f>
        <v/>
      </c>
      <c r="Q668" s="46">
        <f>IF(OR(T668="",I668&lt;T668),"",IFERROR(R668/IF(G668="",I668,G668)-1,""))</f>
        <v/>
      </c>
      <c r="R668" s="48">
        <f>IF($M668="","",MAX(IF($G668="",$I668,$G668)*(1/1.1),IF($G668="",$I668,$G668)+(R$2*$M668)))</f>
        <v/>
      </c>
      <c r="S668" s="49">
        <f>IF($M668="","",MAX(IF($G668="",$I668,$G668)*(1/1.1),IF($G668="",$I668,$G668)+(S$2*$M668)))</f>
        <v/>
      </c>
      <c r="T668" s="82" t="n"/>
      <c r="U668" s="47">
        <f>IF(OR($M668="",$T668=""),"",$T668+(U$2*$M668))</f>
        <v/>
      </c>
      <c r="V668" s="48">
        <f>IF(OR($M668="",$T668=""),"",$T668+(V$2*$M668))</f>
        <v/>
      </c>
      <c r="W668" s="48">
        <f>IF(OR($M668="",$T668=""),"",$T668+(W$2*$M668))</f>
        <v/>
      </c>
      <c r="X668" s="49">
        <f>IF(OR($M668="",$T668=""),"",$T668+(X$2*$M668))</f>
        <v/>
      </c>
      <c r="Y668" s="47">
        <f>IF(OR($M668="",$T668=""),"",$T668+(Y$2*$M668))</f>
        <v/>
      </c>
      <c r="Z668" s="49">
        <f>IF(OR($M668="",$T668=""),"",$T668+(Z$2*$M668))</f>
        <v/>
      </c>
      <c r="AA668" s="51">
        <f>IF(OR($M668="",$T668=""),"",$T668+(AA$2*$M668))</f>
        <v/>
      </c>
      <c r="AB668" s="48">
        <f>IF(OR($M668="",$T668=""),"",$T668+(AB$2*$M668))</f>
        <v/>
      </c>
      <c r="AC668" s="48">
        <f>IF(OR($M668="",$T668=""),"",$T668+(AC$2*$M668))</f>
        <v/>
      </c>
      <c r="AD668" s="48">
        <f>IF(OR($M668="",$T668=""),"",$T668+(AD$2*$M668))</f>
        <v/>
      </c>
      <c r="AE668" s="49">
        <f>IF(OR($M668="",$T668=""),"",$T668+(AE$2*$M668))</f>
        <v/>
      </c>
      <c r="AF668" s="52">
        <f>IF(OR(T668="",I668&lt;T668),"",IFERROR(AVERAGE(T668+M668*{7,8,9,10,11})/IF(G668="",I668,G668)-1,""))</f>
        <v/>
      </c>
      <c r="AG668" s="55">
        <f>IF(OR(T668="",I668&lt;T668),"",IFERROR(AF668/-(R668/IF(G668="",I668,G668)-1),""))</f>
        <v/>
      </c>
      <c r="AH668" s="94" t="n"/>
      <c r="AI668" s="94" t="n"/>
      <c r="AJ668" s="94" t="n"/>
      <c r="AK668" s="94" t="n"/>
      <c r="AL668" s="84" t="n"/>
    </row>
    <row r="669">
      <c r="A669" s="64" t="n"/>
      <c r="B669" s="65" t="n"/>
      <c r="C669" s="66" t="n"/>
      <c r="D669" s="67" t="n"/>
      <c r="E669" s="68" t="n"/>
      <c r="F669" s="47">
        <f>IF(A669="","",IF(MIN(H669,MAX(J669:K669))=0,"",MIN(H669,MAX(J669:K669))))</f>
        <v/>
      </c>
      <c r="G669" s="74" t="n"/>
      <c r="H669" s="49">
        <f>IF(M669="","",IFERROR(ROUND(AVERAGE(T669+M669*{7,8,9,10,11})/1.21,4),""))</f>
        <v/>
      </c>
      <c r="I669" s="76" t="n"/>
      <c r="J669" s="77" t="n"/>
      <c r="K669" s="74" t="n"/>
      <c r="L669" s="78" t="n"/>
      <c r="M669" s="77" t="n"/>
      <c r="N669" s="53">
        <f>IF(M669="","",IFERROR(M669/I669,""))</f>
        <v/>
      </c>
      <c r="O669" s="50">
        <f>IF(A669="","",IFERROR((IF(G669="",I669,G669)-T669)/M669,""))</f>
        <v/>
      </c>
      <c r="P669" s="50">
        <f>IFERROR((I669/T669-1)/N669,"")</f>
        <v/>
      </c>
      <c r="Q669" s="46">
        <f>IF(OR(T669="",I669&lt;T669),"",IFERROR(R669/IF(G669="",I669,G669)-1,""))</f>
        <v/>
      </c>
      <c r="R669" s="48">
        <f>IF($M669="","",MAX(IF($G669="",$I669,$G669)*(1/1.1),IF($G669="",$I669,$G669)+(R$2*$M669)))</f>
        <v/>
      </c>
      <c r="S669" s="49">
        <f>IF($M669="","",MAX(IF($G669="",$I669,$G669)*(1/1.1),IF($G669="",$I669,$G669)+(S$2*$M669)))</f>
        <v/>
      </c>
      <c r="T669" s="82" t="n"/>
      <c r="U669" s="47">
        <f>IF(OR($M669="",$T669=""),"",$T669+(U$2*$M669))</f>
        <v/>
      </c>
      <c r="V669" s="48">
        <f>IF(OR($M669="",$T669=""),"",$T669+(V$2*$M669))</f>
        <v/>
      </c>
      <c r="W669" s="48">
        <f>IF(OR($M669="",$T669=""),"",$T669+(W$2*$M669))</f>
        <v/>
      </c>
      <c r="X669" s="49">
        <f>IF(OR($M669="",$T669=""),"",$T669+(X$2*$M669))</f>
        <v/>
      </c>
      <c r="Y669" s="47">
        <f>IF(OR($M669="",$T669=""),"",$T669+(Y$2*$M669))</f>
        <v/>
      </c>
      <c r="Z669" s="49">
        <f>IF(OR($M669="",$T669=""),"",$T669+(Z$2*$M669))</f>
        <v/>
      </c>
      <c r="AA669" s="51">
        <f>IF(OR($M669="",$T669=""),"",$T669+(AA$2*$M669))</f>
        <v/>
      </c>
      <c r="AB669" s="48">
        <f>IF(OR($M669="",$T669=""),"",$T669+(AB$2*$M669))</f>
        <v/>
      </c>
      <c r="AC669" s="48">
        <f>IF(OR($M669="",$T669=""),"",$T669+(AC$2*$M669))</f>
        <v/>
      </c>
      <c r="AD669" s="48">
        <f>IF(OR($M669="",$T669=""),"",$T669+(AD$2*$M669))</f>
        <v/>
      </c>
      <c r="AE669" s="49">
        <f>IF(OR($M669="",$T669=""),"",$T669+(AE$2*$M669))</f>
        <v/>
      </c>
      <c r="AF669" s="52">
        <f>IF(OR(T669="",I669&lt;T669),"",IFERROR(AVERAGE(T669+M669*{7,8,9,10,11})/IF(G669="",I669,G669)-1,""))</f>
        <v/>
      </c>
      <c r="AG669" s="55">
        <f>IF(OR(T669="",I669&lt;T669),"",IFERROR(AF669/-(R669/IF(G669="",I669,G669)-1),""))</f>
        <v/>
      </c>
      <c r="AH669" s="94" t="n"/>
      <c r="AI669" s="94" t="n"/>
      <c r="AJ669" s="94" t="n"/>
      <c r="AK669" s="94" t="n"/>
      <c r="AL669" s="84" t="n"/>
    </row>
    <row r="670">
      <c r="A670" s="64" t="n"/>
      <c r="B670" s="65" t="n"/>
      <c r="C670" s="66" t="n"/>
      <c r="D670" s="67" t="n"/>
      <c r="E670" s="68" t="n"/>
      <c r="F670" s="47">
        <f>IF(A670="","",IF(MIN(H670,MAX(J670:K670))=0,"",MIN(H670,MAX(J670:K670))))</f>
        <v/>
      </c>
      <c r="G670" s="74" t="n"/>
      <c r="H670" s="49">
        <f>IF(M670="","",IFERROR(ROUND(AVERAGE(T670+M670*{7,8,9,10,11})/1.21,4),""))</f>
        <v/>
      </c>
      <c r="I670" s="76" t="n"/>
      <c r="J670" s="77" t="n"/>
      <c r="K670" s="74" t="n"/>
      <c r="L670" s="78" t="n"/>
      <c r="M670" s="77" t="n"/>
      <c r="N670" s="53">
        <f>IF(M670="","",IFERROR(M670/I670,""))</f>
        <v/>
      </c>
      <c r="O670" s="50">
        <f>IF(A670="","",IFERROR((IF(G670="",I670,G670)-T670)/M670,""))</f>
        <v/>
      </c>
      <c r="P670" s="50">
        <f>IFERROR((I670/T670-1)/N670,"")</f>
        <v/>
      </c>
      <c r="Q670" s="46">
        <f>IF(OR(T670="",I670&lt;T670),"",IFERROR(R670/IF(G670="",I670,G670)-1,""))</f>
        <v/>
      </c>
      <c r="R670" s="48">
        <f>IF($M670="","",MAX(IF($G670="",$I670,$G670)*(1/1.1),IF($G670="",$I670,$G670)+(R$2*$M670)))</f>
        <v/>
      </c>
      <c r="S670" s="49">
        <f>IF($M670="","",MAX(IF($G670="",$I670,$G670)*(1/1.1),IF($G670="",$I670,$G670)+(S$2*$M670)))</f>
        <v/>
      </c>
      <c r="T670" s="82" t="n"/>
      <c r="U670" s="47">
        <f>IF(OR($M670="",$T670=""),"",$T670+(U$2*$M670))</f>
        <v/>
      </c>
      <c r="V670" s="48">
        <f>IF(OR($M670="",$T670=""),"",$T670+(V$2*$M670))</f>
        <v/>
      </c>
      <c r="W670" s="48">
        <f>IF(OR($M670="",$T670=""),"",$T670+(W$2*$M670))</f>
        <v/>
      </c>
      <c r="X670" s="49">
        <f>IF(OR($M670="",$T670=""),"",$T670+(X$2*$M670))</f>
        <v/>
      </c>
      <c r="Y670" s="47">
        <f>IF(OR($M670="",$T670=""),"",$T670+(Y$2*$M670))</f>
        <v/>
      </c>
      <c r="Z670" s="49">
        <f>IF(OR($M670="",$T670=""),"",$T670+(Z$2*$M670))</f>
        <v/>
      </c>
      <c r="AA670" s="51">
        <f>IF(OR($M670="",$T670=""),"",$T670+(AA$2*$M670))</f>
        <v/>
      </c>
      <c r="AB670" s="48">
        <f>IF(OR($M670="",$T670=""),"",$T670+(AB$2*$M670))</f>
        <v/>
      </c>
      <c r="AC670" s="48">
        <f>IF(OR($M670="",$T670=""),"",$T670+(AC$2*$M670))</f>
        <v/>
      </c>
      <c r="AD670" s="48">
        <f>IF(OR($M670="",$T670=""),"",$T670+(AD$2*$M670))</f>
        <v/>
      </c>
      <c r="AE670" s="49">
        <f>IF(OR($M670="",$T670=""),"",$T670+(AE$2*$M670))</f>
        <v/>
      </c>
      <c r="AF670" s="52">
        <f>IF(OR(T670="",I670&lt;T670),"",IFERROR(AVERAGE(T670+M670*{7,8,9,10,11})/IF(G670="",I670,G670)-1,""))</f>
        <v/>
      </c>
      <c r="AG670" s="55">
        <f>IF(OR(T670="",I670&lt;T670),"",IFERROR(AF670/-(R670/IF(G670="",I670,G670)-1),""))</f>
        <v/>
      </c>
      <c r="AH670" s="94" t="n"/>
      <c r="AI670" s="94" t="n"/>
      <c r="AJ670" s="94" t="n"/>
      <c r="AK670" s="94" t="n"/>
      <c r="AL670" s="84" t="n"/>
    </row>
    <row r="671">
      <c r="A671" s="64" t="n"/>
      <c r="B671" s="65" t="n"/>
      <c r="C671" s="66" t="n"/>
      <c r="D671" s="67" t="n"/>
      <c r="E671" s="68" t="n"/>
      <c r="F671" s="47">
        <f>IF(A671="","",IF(MIN(H671,MAX(J671:K671))=0,"",MIN(H671,MAX(J671:K671))))</f>
        <v/>
      </c>
      <c r="G671" s="74" t="n"/>
      <c r="H671" s="49">
        <f>IF(M671="","",IFERROR(ROUND(AVERAGE(T671+M671*{7,8,9,10,11})/1.21,4),""))</f>
        <v/>
      </c>
      <c r="I671" s="76" t="n"/>
      <c r="J671" s="77" t="n"/>
      <c r="K671" s="74" t="n"/>
      <c r="L671" s="78" t="n"/>
      <c r="M671" s="77" t="n"/>
      <c r="N671" s="53">
        <f>IF(M671="","",IFERROR(M671/I671,""))</f>
        <v/>
      </c>
      <c r="O671" s="50">
        <f>IF(A671="","",IFERROR((IF(G671="",I671,G671)-T671)/M671,""))</f>
        <v/>
      </c>
      <c r="P671" s="50">
        <f>IFERROR((I671/T671-1)/N671,"")</f>
        <v/>
      </c>
      <c r="Q671" s="46">
        <f>IF(OR(T671="",I671&lt;T671),"",IFERROR(R671/IF(G671="",I671,G671)-1,""))</f>
        <v/>
      </c>
      <c r="R671" s="48">
        <f>IF($M671="","",MAX(IF($G671="",$I671,$G671)*(1/1.1),IF($G671="",$I671,$G671)+(R$2*$M671)))</f>
        <v/>
      </c>
      <c r="S671" s="49">
        <f>IF($M671="","",MAX(IF($G671="",$I671,$G671)*(1/1.1),IF($G671="",$I671,$G671)+(S$2*$M671)))</f>
        <v/>
      </c>
      <c r="T671" s="82" t="n"/>
      <c r="U671" s="47">
        <f>IF(OR($M671="",$T671=""),"",$T671+(U$2*$M671))</f>
        <v/>
      </c>
      <c r="V671" s="48">
        <f>IF(OR($M671="",$T671=""),"",$T671+(V$2*$M671))</f>
        <v/>
      </c>
      <c r="W671" s="48">
        <f>IF(OR($M671="",$T671=""),"",$T671+(W$2*$M671))</f>
        <v/>
      </c>
      <c r="X671" s="49">
        <f>IF(OR($M671="",$T671=""),"",$T671+(X$2*$M671))</f>
        <v/>
      </c>
      <c r="Y671" s="47">
        <f>IF(OR($M671="",$T671=""),"",$T671+(Y$2*$M671))</f>
        <v/>
      </c>
      <c r="Z671" s="49">
        <f>IF(OR($M671="",$T671=""),"",$T671+(Z$2*$M671))</f>
        <v/>
      </c>
      <c r="AA671" s="51">
        <f>IF(OR($M671="",$T671=""),"",$T671+(AA$2*$M671))</f>
        <v/>
      </c>
      <c r="AB671" s="48">
        <f>IF(OR($M671="",$T671=""),"",$T671+(AB$2*$M671))</f>
        <v/>
      </c>
      <c r="AC671" s="48">
        <f>IF(OR($M671="",$T671=""),"",$T671+(AC$2*$M671))</f>
        <v/>
      </c>
      <c r="AD671" s="48">
        <f>IF(OR($M671="",$T671=""),"",$T671+(AD$2*$M671))</f>
        <v/>
      </c>
      <c r="AE671" s="49">
        <f>IF(OR($M671="",$T671=""),"",$T671+(AE$2*$M671))</f>
        <v/>
      </c>
      <c r="AF671" s="52">
        <f>IF(OR(T671="",I671&lt;T671),"",IFERROR(AVERAGE(T671+M671*{7,8,9,10,11})/IF(G671="",I671,G671)-1,""))</f>
        <v/>
      </c>
      <c r="AG671" s="55">
        <f>IF(OR(T671="",I671&lt;T671),"",IFERROR(AF671/-(R671/IF(G671="",I671,G671)-1),""))</f>
        <v/>
      </c>
      <c r="AH671" s="94" t="n"/>
      <c r="AI671" s="94" t="n"/>
      <c r="AJ671" s="94" t="n"/>
      <c r="AK671" s="94" t="n"/>
      <c r="AL671" s="84" t="n"/>
    </row>
    <row r="672">
      <c r="A672" s="64" t="n"/>
      <c r="B672" s="65" t="n"/>
      <c r="C672" s="66" t="n"/>
      <c r="D672" s="67" t="n"/>
      <c r="E672" s="68" t="n"/>
      <c r="F672" s="47">
        <f>IF(A672="","",IF(MIN(H672,MAX(J672:K672))=0,"",MIN(H672,MAX(J672:K672))))</f>
        <v/>
      </c>
      <c r="G672" s="74" t="n"/>
      <c r="H672" s="49">
        <f>IF(M672="","",IFERROR(ROUND(AVERAGE(T672+M672*{7,8,9,10,11})/1.21,4),""))</f>
        <v/>
      </c>
      <c r="I672" s="76" t="n"/>
      <c r="J672" s="77" t="n"/>
      <c r="K672" s="74" t="n"/>
      <c r="L672" s="78" t="n"/>
      <c r="M672" s="77" t="n"/>
      <c r="N672" s="53">
        <f>IF(M672="","",IFERROR(M672/I672,""))</f>
        <v/>
      </c>
      <c r="O672" s="50">
        <f>IF(A672="","",IFERROR((IF(G672="",I672,G672)-T672)/M672,""))</f>
        <v/>
      </c>
      <c r="P672" s="50">
        <f>IFERROR((I672/T672-1)/N672,"")</f>
        <v/>
      </c>
      <c r="Q672" s="46">
        <f>IF(OR(T672="",I672&lt;T672),"",IFERROR(R672/IF(G672="",I672,G672)-1,""))</f>
        <v/>
      </c>
      <c r="R672" s="48">
        <f>IF($M672="","",MAX(IF($G672="",$I672,$G672)*(1/1.1),IF($G672="",$I672,$G672)+(R$2*$M672)))</f>
        <v/>
      </c>
      <c r="S672" s="49">
        <f>IF($M672="","",MAX(IF($G672="",$I672,$G672)*(1/1.1),IF($G672="",$I672,$G672)+(S$2*$M672)))</f>
        <v/>
      </c>
      <c r="T672" s="82" t="n"/>
      <c r="U672" s="47">
        <f>IF(OR($M672="",$T672=""),"",$T672+(U$2*$M672))</f>
        <v/>
      </c>
      <c r="V672" s="48">
        <f>IF(OR($M672="",$T672=""),"",$T672+(V$2*$M672))</f>
        <v/>
      </c>
      <c r="W672" s="48">
        <f>IF(OR($M672="",$T672=""),"",$T672+(W$2*$M672))</f>
        <v/>
      </c>
      <c r="X672" s="49">
        <f>IF(OR($M672="",$T672=""),"",$T672+(X$2*$M672))</f>
        <v/>
      </c>
      <c r="Y672" s="47">
        <f>IF(OR($M672="",$T672=""),"",$T672+(Y$2*$M672))</f>
        <v/>
      </c>
      <c r="Z672" s="49">
        <f>IF(OR($M672="",$T672=""),"",$T672+(Z$2*$M672))</f>
        <v/>
      </c>
      <c r="AA672" s="51">
        <f>IF(OR($M672="",$T672=""),"",$T672+(AA$2*$M672))</f>
        <v/>
      </c>
      <c r="AB672" s="48">
        <f>IF(OR($M672="",$T672=""),"",$T672+(AB$2*$M672))</f>
        <v/>
      </c>
      <c r="AC672" s="48">
        <f>IF(OR($M672="",$T672=""),"",$T672+(AC$2*$M672))</f>
        <v/>
      </c>
      <c r="AD672" s="48">
        <f>IF(OR($M672="",$T672=""),"",$T672+(AD$2*$M672))</f>
        <v/>
      </c>
      <c r="AE672" s="49">
        <f>IF(OR($M672="",$T672=""),"",$T672+(AE$2*$M672))</f>
        <v/>
      </c>
      <c r="AF672" s="52">
        <f>IF(OR(T672="",I672&lt;T672),"",IFERROR(AVERAGE(T672+M672*{7,8,9,10,11})/IF(G672="",I672,G672)-1,""))</f>
        <v/>
      </c>
      <c r="AG672" s="55">
        <f>IF(OR(T672="",I672&lt;T672),"",IFERROR(AF672/-(R672/IF(G672="",I672,G672)-1),""))</f>
        <v/>
      </c>
      <c r="AH672" s="94" t="n"/>
      <c r="AI672" s="94" t="n"/>
      <c r="AJ672" s="94" t="n"/>
      <c r="AK672" s="94" t="n"/>
      <c r="AL672" s="84" t="n"/>
    </row>
    <row r="673">
      <c r="A673" s="64" t="n"/>
      <c r="B673" s="65" t="n"/>
      <c r="C673" s="66" t="n"/>
      <c r="D673" s="67" t="n"/>
      <c r="E673" s="68" t="n"/>
      <c r="F673" s="47">
        <f>IF(A673="","",IF(MIN(H673,MAX(J673:K673))=0,"",MIN(H673,MAX(J673:K673))))</f>
        <v/>
      </c>
      <c r="G673" s="74" t="n"/>
      <c r="H673" s="49">
        <f>IF(M673="","",IFERROR(ROUND(AVERAGE(T673+M673*{7,8,9,10,11})/1.21,4),""))</f>
        <v/>
      </c>
      <c r="I673" s="76" t="n"/>
      <c r="J673" s="77" t="n"/>
      <c r="K673" s="74" t="n"/>
      <c r="L673" s="78" t="n"/>
      <c r="M673" s="77" t="n"/>
      <c r="N673" s="53">
        <f>IF(M673="","",IFERROR(M673/I673,""))</f>
        <v/>
      </c>
      <c r="O673" s="50">
        <f>IF(A673="","",IFERROR((IF(G673="",I673,G673)-T673)/M673,""))</f>
        <v/>
      </c>
      <c r="P673" s="50">
        <f>IFERROR((I673/T673-1)/N673,"")</f>
        <v/>
      </c>
      <c r="Q673" s="46">
        <f>IF(OR(T673="",I673&lt;T673),"",IFERROR(R673/IF(G673="",I673,G673)-1,""))</f>
        <v/>
      </c>
      <c r="R673" s="48">
        <f>IF($M673="","",MAX(IF($G673="",$I673,$G673)*(1/1.1),IF($G673="",$I673,$G673)+(R$2*$M673)))</f>
        <v/>
      </c>
      <c r="S673" s="49">
        <f>IF($M673="","",MAX(IF($G673="",$I673,$G673)*(1/1.1),IF($G673="",$I673,$G673)+(S$2*$M673)))</f>
        <v/>
      </c>
      <c r="T673" s="82" t="n"/>
      <c r="U673" s="47">
        <f>IF(OR($M673="",$T673=""),"",$T673+(U$2*$M673))</f>
        <v/>
      </c>
      <c r="V673" s="48">
        <f>IF(OR($M673="",$T673=""),"",$T673+(V$2*$M673))</f>
        <v/>
      </c>
      <c r="W673" s="48">
        <f>IF(OR($M673="",$T673=""),"",$T673+(W$2*$M673))</f>
        <v/>
      </c>
      <c r="X673" s="49">
        <f>IF(OR($M673="",$T673=""),"",$T673+(X$2*$M673))</f>
        <v/>
      </c>
      <c r="Y673" s="47">
        <f>IF(OR($M673="",$T673=""),"",$T673+(Y$2*$M673))</f>
        <v/>
      </c>
      <c r="Z673" s="49">
        <f>IF(OR($M673="",$T673=""),"",$T673+(Z$2*$M673))</f>
        <v/>
      </c>
      <c r="AA673" s="51">
        <f>IF(OR($M673="",$T673=""),"",$T673+(AA$2*$M673))</f>
        <v/>
      </c>
      <c r="AB673" s="48">
        <f>IF(OR($M673="",$T673=""),"",$T673+(AB$2*$M673))</f>
        <v/>
      </c>
      <c r="AC673" s="48">
        <f>IF(OR($M673="",$T673=""),"",$T673+(AC$2*$M673))</f>
        <v/>
      </c>
      <c r="AD673" s="48">
        <f>IF(OR($M673="",$T673=""),"",$T673+(AD$2*$M673))</f>
        <v/>
      </c>
      <c r="AE673" s="49">
        <f>IF(OR($M673="",$T673=""),"",$T673+(AE$2*$M673))</f>
        <v/>
      </c>
      <c r="AF673" s="52">
        <f>IF(OR(T673="",I673&lt;T673),"",IFERROR(AVERAGE(T673+M673*{7,8,9,10,11})/IF(G673="",I673,G673)-1,""))</f>
        <v/>
      </c>
      <c r="AG673" s="55">
        <f>IF(OR(T673="",I673&lt;T673),"",IFERROR(AF673/-(R673/IF(G673="",I673,G673)-1),""))</f>
        <v/>
      </c>
      <c r="AH673" s="94" t="n"/>
      <c r="AI673" s="94" t="n"/>
      <c r="AJ673" s="94" t="n"/>
      <c r="AK673" s="94" t="n"/>
      <c r="AL673" s="84" t="n"/>
    </row>
    <row r="674">
      <c r="A674" s="64" t="n"/>
      <c r="B674" s="65" t="n"/>
      <c r="C674" s="66" t="n"/>
      <c r="D674" s="67" t="n"/>
      <c r="E674" s="68" t="n"/>
      <c r="F674" s="47">
        <f>IF(A674="","",IF(MIN(H674,MAX(J674:K674))=0,"",MIN(H674,MAX(J674:K674))))</f>
        <v/>
      </c>
      <c r="G674" s="74" t="n"/>
      <c r="H674" s="49">
        <f>IF(M674="","",IFERROR(ROUND(AVERAGE(T674+M674*{7,8,9,10,11})/1.21,4),""))</f>
        <v/>
      </c>
      <c r="I674" s="76" t="n"/>
      <c r="J674" s="77" t="n"/>
      <c r="K674" s="74" t="n"/>
      <c r="L674" s="78" t="n"/>
      <c r="M674" s="77" t="n"/>
      <c r="N674" s="53">
        <f>IF(M674="","",IFERROR(M674/I674,""))</f>
        <v/>
      </c>
      <c r="O674" s="50">
        <f>IF(A674="","",IFERROR((IF(G674="",I674,G674)-T674)/M674,""))</f>
        <v/>
      </c>
      <c r="P674" s="50">
        <f>IFERROR((I674/T674-1)/N674,"")</f>
        <v/>
      </c>
      <c r="Q674" s="46">
        <f>IF(OR(T674="",I674&lt;T674),"",IFERROR(R674/IF(G674="",I674,G674)-1,""))</f>
        <v/>
      </c>
      <c r="R674" s="48">
        <f>IF($M674="","",MAX(IF($G674="",$I674,$G674)*(1/1.1),IF($G674="",$I674,$G674)+(R$2*$M674)))</f>
        <v/>
      </c>
      <c r="S674" s="49">
        <f>IF($M674="","",MAX(IF($G674="",$I674,$G674)*(1/1.1),IF($G674="",$I674,$G674)+(S$2*$M674)))</f>
        <v/>
      </c>
      <c r="T674" s="82" t="n"/>
      <c r="U674" s="47">
        <f>IF(OR($M674="",$T674=""),"",$T674+(U$2*$M674))</f>
        <v/>
      </c>
      <c r="V674" s="48">
        <f>IF(OR($M674="",$T674=""),"",$T674+(V$2*$M674))</f>
        <v/>
      </c>
      <c r="W674" s="48">
        <f>IF(OR($M674="",$T674=""),"",$T674+(W$2*$M674))</f>
        <v/>
      </c>
      <c r="X674" s="49">
        <f>IF(OR($M674="",$T674=""),"",$T674+(X$2*$M674))</f>
        <v/>
      </c>
      <c r="Y674" s="47">
        <f>IF(OR($M674="",$T674=""),"",$T674+(Y$2*$M674))</f>
        <v/>
      </c>
      <c r="Z674" s="49">
        <f>IF(OR($M674="",$T674=""),"",$T674+(Z$2*$M674))</f>
        <v/>
      </c>
      <c r="AA674" s="51">
        <f>IF(OR($M674="",$T674=""),"",$T674+(AA$2*$M674))</f>
        <v/>
      </c>
      <c r="AB674" s="48">
        <f>IF(OR($M674="",$T674=""),"",$T674+(AB$2*$M674))</f>
        <v/>
      </c>
      <c r="AC674" s="48">
        <f>IF(OR($M674="",$T674=""),"",$T674+(AC$2*$M674))</f>
        <v/>
      </c>
      <c r="AD674" s="48">
        <f>IF(OR($M674="",$T674=""),"",$T674+(AD$2*$M674))</f>
        <v/>
      </c>
      <c r="AE674" s="49">
        <f>IF(OR($M674="",$T674=""),"",$T674+(AE$2*$M674))</f>
        <v/>
      </c>
      <c r="AF674" s="52">
        <f>IF(OR(T674="",I674&lt;T674),"",IFERROR(AVERAGE(T674+M674*{7,8,9,10,11})/IF(G674="",I674,G674)-1,""))</f>
        <v/>
      </c>
      <c r="AG674" s="55">
        <f>IF(OR(T674="",I674&lt;T674),"",IFERROR(AF674/-(R674/IF(G674="",I674,G674)-1),""))</f>
        <v/>
      </c>
      <c r="AH674" s="94" t="n"/>
      <c r="AI674" s="94" t="n"/>
      <c r="AJ674" s="94" t="n"/>
      <c r="AK674" s="94" t="n"/>
      <c r="AL674" s="84" t="n"/>
    </row>
    <row r="675">
      <c r="A675" s="64" t="n"/>
      <c r="B675" s="65" t="n"/>
      <c r="C675" s="66" t="n"/>
      <c r="D675" s="67" t="n"/>
      <c r="E675" s="68" t="n"/>
      <c r="F675" s="47">
        <f>IF(A675="","",IF(MIN(H675,MAX(J675:K675))=0,"",MIN(H675,MAX(J675:K675))))</f>
        <v/>
      </c>
      <c r="G675" s="74" t="n"/>
      <c r="H675" s="49">
        <f>IF(M675="","",IFERROR(ROUND(AVERAGE(T675+M675*{7,8,9,10,11})/1.21,4),""))</f>
        <v/>
      </c>
      <c r="I675" s="76" t="n"/>
      <c r="J675" s="77" t="n"/>
      <c r="K675" s="74" t="n"/>
      <c r="L675" s="78" t="n"/>
      <c r="M675" s="77" t="n"/>
      <c r="N675" s="53">
        <f>IF(M675="","",IFERROR(M675/I675,""))</f>
        <v/>
      </c>
      <c r="O675" s="50">
        <f>IF(A675="","",IFERROR((IF(G675="",I675,G675)-T675)/M675,""))</f>
        <v/>
      </c>
      <c r="P675" s="50">
        <f>IFERROR((I675/T675-1)/N675,"")</f>
        <v/>
      </c>
      <c r="Q675" s="46">
        <f>IF(OR(T675="",I675&lt;T675),"",IFERROR(R675/IF(G675="",I675,G675)-1,""))</f>
        <v/>
      </c>
      <c r="R675" s="48">
        <f>IF($M675="","",MAX(IF($G675="",$I675,$G675)*(1/1.1),IF($G675="",$I675,$G675)+(R$2*$M675)))</f>
        <v/>
      </c>
      <c r="S675" s="49">
        <f>IF($M675="","",MAX(IF($G675="",$I675,$G675)*(1/1.1),IF($G675="",$I675,$G675)+(S$2*$M675)))</f>
        <v/>
      </c>
      <c r="T675" s="82" t="n"/>
      <c r="U675" s="47">
        <f>IF(OR($M675="",$T675=""),"",$T675+(U$2*$M675))</f>
        <v/>
      </c>
      <c r="V675" s="48">
        <f>IF(OR($M675="",$T675=""),"",$T675+(V$2*$M675))</f>
        <v/>
      </c>
      <c r="W675" s="48">
        <f>IF(OR($M675="",$T675=""),"",$T675+(W$2*$M675))</f>
        <v/>
      </c>
      <c r="X675" s="49">
        <f>IF(OR($M675="",$T675=""),"",$T675+(X$2*$M675))</f>
        <v/>
      </c>
      <c r="Y675" s="47">
        <f>IF(OR($M675="",$T675=""),"",$T675+(Y$2*$M675))</f>
        <v/>
      </c>
      <c r="Z675" s="49">
        <f>IF(OR($M675="",$T675=""),"",$T675+(Z$2*$M675))</f>
        <v/>
      </c>
      <c r="AA675" s="51">
        <f>IF(OR($M675="",$T675=""),"",$T675+(AA$2*$M675))</f>
        <v/>
      </c>
      <c r="AB675" s="48">
        <f>IF(OR($M675="",$T675=""),"",$T675+(AB$2*$M675))</f>
        <v/>
      </c>
      <c r="AC675" s="48">
        <f>IF(OR($M675="",$T675=""),"",$T675+(AC$2*$M675))</f>
        <v/>
      </c>
      <c r="AD675" s="48">
        <f>IF(OR($M675="",$T675=""),"",$T675+(AD$2*$M675))</f>
        <v/>
      </c>
      <c r="AE675" s="49">
        <f>IF(OR($M675="",$T675=""),"",$T675+(AE$2*$M675))</f>
        <v/>
      </c>
      <c r="AF675" s="52">
        <f>IF(OR(T675="",I675&lt;T675),"",IFERROR(AVERAGE(T675+M675*{7,8,9,10,11})/IF(G675="",I675,G675)-1,""))</f>
        <v/>
      </c>
      <c r="AG675" s="55">
        <f>IF(OR(T675="",I675&lt;T675),"",IFERROR(AF675/-(R675/IF(G675="",I675,G675)-1),""))</f>
        <v/>
      </c>
      <c r="AH675" s="94" t="n"/>
      <c r="AI675" s="94" t="n"/>
      <c r="AJ675" s="94" t="n"/>
      <c r="AK675" s="94" t="n"/>
      <c r="AL675" s="84" t="n"/>
    </row>
    <row r="676">
      <c r="A676" s="64" t="n"/>
      <c r="B676" s="65" t="n"/>
      <c r="C676" s="66" t="n"/>
      <c r="D676" s="67" t="n"/>
      <c r="E676" s="68" t="n"/>
      <c r="F676" s="47">
        <f>IF(A676="","",IF(MIN(H676,MAX(J676:K676))=0,"",MIN(H676,MAX(J676:K676))))</f>
        <v/>
      </c>
      <c r="G676" s="74" t="n"/>
      <c r="H676" s="49">
        <f>IF(M676="","",IFERROR(ROUND(AVERAGE(T676+M676*{7,8,9,10,11})/1.21,4),""))</f>
        <v/>
      </c>
      <c r="I676" s="76" t="n"/>
      <c r="J676" s="77" t="n"/>
      <c r="K676" s="74" t="n"/>
      <c r="L676" s="78" t="n"/>
      <c r="M676" s="77" t="n"/>
      <c r="N676" s="53">
        <f>IF(M676="","",IFERROR(M676/I676,""))</f>
        <v/>
      </c>
      <c r="O676" s="50">
        <f>IF(A676="","",IFERROR((IF(G676="",I676,G676)-T676)/M676,""))</f>
        <v/>
      </c>
      <c r="P676" s="50">
        <f>IFERROR((I676/T676-1)/N676,"")</f>
        <v/>
      </c>
      <c r="Q676" s="46">
        <f>IF(OR(T676="",I676&lt;T676),"",IFERROR(R676/IF(G676="",I676,G676)-1,""))</f>
        <v/>
      </c>
      <c r="R676" s="48">
        <f>IF($M676="","",MAX(IF($G676="",$I676,$G676)*(1/1.1),IF($G676="",$I676,$G676)+(R$2*$M676)))</f>
        <v/>
      </c>
      <c r="S676" s="49">
        <f>IF($M676="","",MAX(IF($G676="",$I676,$G676)*(1/1.1),IF($G676="",$I676,$G676)+(S$2*$M676)))</f>
        <v/>
      </c>
      <c r="T676" s="82" t="n"/>
      <c r="U676" s="47">
        <f>IF(OR($M676="",$T676=""),"",$T676+(U$2*$M676))</f>
        <v/>
      </c>
      <c r="V676" s="48">
        <f>IF(OR($M676="",$T676=""),"",$T676+(V$2*$M676))</f>
        <v/>
      </c>
      <c r="W676" s="48">
        <f>IF(OR($M676="",$T676=""),"",$T676+(W$2*$M676))</f>
        <v/>
      </c>
      <c r="X676" s="49">
        <f>IF(OR($M676="",$T676=""),"",$T676+(X$2*$M676))</f>
        <v/>
      </c>
      <c r="Y676" s="47">
        <f>IF(OR($M676="",$T676=""),"",$T676+(Y$2*$M676))</f>
        <v/>
      </c>
      <c r="Z676" s="49">
        <f>IF(OR($M676="",$T676=""),"",$T676+(Z$2*$M676))</f>
        <v/>
      </c>
      <c r="AA676" s="51">
        <f>IF(OR($M676="",$T676=""),"",$T676+(AA$2*$M676))</f>
        <v/>
      </c>
      <c r="AB676" s="48">
        <f>IF(OR($M676="",$T676=""),"",$T676+(AB$2*$M676))</f>
        <v/>
      </c>
      <c r="AC676" s="48">
        <f>IF(OR($M676="",$T676=""),"",$T676+(AC$2*$M676))</f>
        <v/>
      </c>
      <c r="AD676" s="48">
        <f>IF(OR($M676="",$T676=""),"",$T676+(AD$2*$M676))</f>
        <v/>
      </c>
      <c r="AE676" s="49">
        <f>IF(OR($M676="",$T676=""),"",$T676+(AE$2*$M676))</f>
        <v/>
      </c>
      <c r="AF676" s="52">
        <f>IF(OR(T676="",I676&lt;T676),"",IFERROR(AVERAGE(T676+M676*{7,8,9,10,11})/IF(G676="",I676,G676)-1,""))</f>
        <v/>
      </c>
      <c r="AG676" s="55">
        <f>IF(OR(T676="",I676&lt;T676),"",IFERROR(AF676/-(R676/IF(G676="",I676,G676)-1),""))</f>
        <v/>
      </c>
      <c r="AH676" s="94" t="n"/>
      <c r="AI676" s="94" t="n"/>
      <c r="AJ676" s="94" t="n"/>
      <c r="AK676" s="94" t="n"/>
      <c r="AL676" s="84" t="n"/>
    </row>
    <row r="677">
      <c r="A677" s="64" t="n"/>
      <c r="B677" s="65" t="n"/>
      <c r="C677" s="66" t="n"/>
      <c r="D677" s="67" t="n"/>
      <c r="E677" s="68" t="n"/>
      <c r="F677" s="47">
        <f>IF(A677="","",IF(MIN(H677,MAX(J677:K677))=0,"",MIN(H677,MAX(J677:K677))))</f>
        <v/>
      </c>
      <c r="G677" s="74" t="n"/>
      <c r="H677" s="49">
        <f>IF(M677="","",IFERROR(ROUND(AVERAGE(T677+M677*{7,8,9,10,11})/1.21,4),""))</f>
        <v/>
      </c>
      <c r="I677" s="76" t="n"/>
      <c r="J677" s="77" t="n"/>
      <c r="K677" s="74" t="n"/>
      <c r="L677" s="78" t="n"/>
      <c r="M677" s="77" t="n"/>
      <c r="N677" s="53">
        <f>IF(M677="","",IFERROR(M677/I677,""))</f>
        <v/>
      </c>
      <c r="O677" s="50">
        <f>IF(A677="","",IFERROR((IF(G677="",I677,G677)-T677)/M677,""))</f>
        <v/>
      </c>
      <c r="P677" s="50">
        <f>IFERROR((I677/T677-1)/N677,"")</f>
        <v/>
      </c>
      <c r="Q677" s="46">
        <f>IF(OR(T677="",I677&lt;T677),"",IFERROR(R677/IF(G677="",I677,G677)-1,""))</f>
        <v/>
      </c>
      <c r="R677" s="48">
        <f>IF($M677="","",MAX(IF($G677="",$I677,$G677)*(1/1.1),IF($G677="",$I677,$G677)+(R$2*$M677)))</f>
        <v/>
      </c>
      <c r="S677" s="49">
        <f>IF($M677="","",MAX(IF($G677="",$I677,$G677)*(1/1.1),IF($G677="",$I677,$G677)+(S$2*$M677)))</f>
        <v/>
      </c>
      <c r="T677" s="82" t="n"/>
      <c r="U677" s="47">
        <f>IF(OR($M677="",$T677=""),"",$T677+(U$2*$M677))</f>
        <v/>
      </c>
      <c r="V677" s="48">
        <f>IF(OR($M677="",$T677=""),"",$T677+(V$2*$M677))</f>
        <v/>
      </c>
      <c r="W677" s="48">
        <f>IF(OR($M677="",$T677=""),"",$T677+(W$2*$M677))</f>
        <v/>
      </c>
      <c r="X677" s="49">
        <f>IF(OR($M677="",$T677=""),"",$T677+(X$2*$M677))</f>
        <v/>
      </c>
      <c r="Y677" s="47">
        <f>IF(OR($M677="",$T677=""),"",$T677+(Y$2*$M677))</f>
        <v/>
      </c>
      <c r="Z677" s="49">
        <f>IF(OR($M677="",$T677=""),"",$T677+(Z$2*$M677))</f>
        <v/>
      </c>
      <c r="AA677" s="51">
        <f>IF(OR($M677="",$T677=""),"",$T677+(AA$2*$M677))</f>
        <v/>
      </c>
      <c r="AB677" s="48">
        <f>IF(OR($M677="",$T677=""),"",$T677+(AB$2*$M677))</f>
        <v/>
      </c>
      <c r="AC677" s="48">
        <f>IF(OR($M677="",$T677=""),"",$T677+(AC$2*$M677))</f>
        <v/>
      </c>
      <c r="AD677" s="48">
        <f>IF(OR($M677="",$T677=""),"",$T677+(AD$2*$M677))</f>
        <v/>
      </c>
      <c r="AE677" s="49">
        <f>IF(OR($M677="",$T677=""),"",$T677+(AE$2*$M677))</f>
        <v/>
      </c>
      <c r="AF677" s="52">
        <f>IF(OR(T677="",I677&lt;T677),"",IFERROR(AVERAGE(T677+M677*{7,8,9,10,11})/IF(G677="",I677,G677)-1,""))</f>
        <v/>
      </c>
      <c r="AG677" s="55">
        <f>IF(OR(T677="",I677&lt;T677),"",IFERROR(AF677/-(R677/IF(G677="",I677,G677)-1),""))</f>
        <v/>
      </c>
      <c r="AH677" s="94" t="n"/>
      <c r="AI677" s="94" t="n"/>
      <c r="AJ677" s="94" t="n"/>
      <c r="AK677" s="94" t="n"/>
      <c r="AL677" s="84" t="n"/>
    </row>
    <row r="678">
      <c r="A678" s="64" t="n"/>
      <c r="B678" s="65" t="n"/>
      <c r="C678" s="66" t="n"/>
      <c r="D678" s="67" t="n"/>
      <c r="E678" s="68" t="n"/>
      <c r="F678" s="47">
        <f>IF(A678="","",IF(MIN(H678,MAX(J678:K678))=0,"",MIN(H678,MAX(J678:K678))))</f>
        <v/>
      </c>
      <c r="G678" s="74" t="n"/>
      <c r="H678" s="49">
        <f>IF(M678="","",IFERROR(ROUND(AVERAGE(T678+M678*{7,8,9,10,11})/1.21,4),""))</f>
        <v/>
      </c>
      <c r="I678" s="76" t="n"/>
      <c r="J678" s="77" t="n"/>
      <c r="K678" s="74" t="n"/>
      <c r="L678" s="78" t="n"/>
      <c r="M678" s="77" t="n"/>
      <c r="N678" s="53">
        <f>IF(M678="","",IFERROR(M678/I678,""))</f>
        <v/>
      </c>
      <c r="O678" s="50">
        <f>IF(A678="","",IFERROR((IF(G678="",I678,G678)-T678)/M678,""))</f>
        <v/>
      </c>
      <c r="P678" s="50">
        <f>IFERROR((I678/T678-1)/N678,"")</f>
        <v/>
      </c>
      <c r="Q678" s="46">
        <f>IF(OR(T678="",I678&lt;T678),"",IFERROR(R678/IF(G678="",I678,G678)-1,""))</f>
        <v/>
      </c>
      <c r="R678" s="48">
        <f>IF($M678="","",MAX(IF($G678="",$I678,$G678)*(1/1.1),IF($G678="",$I678,$G678)+(R$2*$M678)))</f>
        <v/>
      </c>
      <c r="S678" s="49">
        <f>IF($M678="","",MAX(IF($G678="",$I678,$G678)*(1/1.1),IF($G678="",$I678,$G678)+(S$2*$M678)))</f>
        <v/>
      </c>
      <c r="T678" s="82" t="n"/>
      <c r="U678" s="47">
        <f>IF(OR($M678="",$T678=""),"",$T678+(U$2*$M678))</f>
        <v/>
      </c>
      <c r="V678" s="48">
        <f>IF(OR($M678="",$T678=""),"",$T678+(V$2*$M678))</f>
        <v/>
      </c>
      <c r="W678" s="48">
        <f>IF(OR($M678="",$T678=""),"",$T678+(W$2*$M678))</f>
        <v/>
      </c>
      <c r="X678" s="49">
        <f>IF(OR($M678="",$T678=""),"",$T678+(X$2*$M678))</f>
        <v/>
      </c>
      <c r="Y678" s="47">
        <f>IF(OR($M678="",$T678=""),"",$T678+(Y$2*$M678))</f>
        <v/>
      </c>
      <c r="Z678" s="49">
        <f>IF(OR($M678="",$T678=""),"",$T678+(Z$2*$M678))</f>
        <v/>
      </c>
      <c r="AA678" s="51">
        <f>IF(OR($M678="",$T678=""),"",$T678+(AA$2*$M678))</f>
        <v/>
      </c>
      <c r="AB678" s="48">
        <f>IF(OR($M678="",$T678=""),"",$T678+(AB$2*$M678))</f>
        <v/>
      </c>
      <c r="AC678" s="48">
        <f>IF(OR($M678="",$T678=""),"",$T678+(AC$2*$M678))</f>
        <v/>
      </c>
      <c r="AD678" s="48">
        <f>IF(OR($M678="",$T678=""),"",$T678+(AD$2*$M678))</f>
        <v/>
      </c>
      <c r="AE678" s="49">
        <f>IF(OR($M678="",$T678=""),"",$T678+(AE$2*$M678))</f>
        <v/>
      </c>
      <c r="AF678" s="52">
        <f>IF(OR(T678="",I678&lt;T678),"",IFERROR(AVERAGE(T678+M678*{7,8,9,10,11})/IF(G678="",I678,G678)-1,""))</f>
        <v/>
      </c>
      <c r="AG678" s="55">
        <f>IF(OR(T678="",I678&lt;T678),"",IFERROR(AF678/-(R678/IF(G678="",I678,G678)-1),""))</f>
        <v/>
      </c>
      <c r="AH678" s="94" t="n"/>
      <c r="AI678" s="94" t="n"/>
      <c r="AJ678" s="94" t="n"/>
      <c r="AK678" s="94" t="n"/>
      <c r="AL678" s="84" t="n"/>
    </row>
    <row r="679">
      <c r="A679" s="64" t="n"/>
      <c r="B679" s="65" t="n"/>
      <c r="C679" s="66" t="n"/>
      <c r="D679" s="67" t="n"/>
      <c r="E679" s="68" t="n"/>
      <c r="F679" s="47">
        <f>IF(A679="","",IF(MIN(H679,MAX(J679:K679))=0,"",MIN(H679,MAX(J679:K679))))</f>
        <v/>
      </c>
      <c r="G679" s="74" t="n"/>
      <c r="H679" s="49">
        <f>IF(M679="","",IFERROR(ROUND(AVERAGE(T679+M679*{7,8,9,10,11})/1.21,4),""))</f>
        <v/>
      </c>
      <c r="I679" s="76" t="n"/>
      <c r="J679" s="77" t="n"/>
      <c r="K679" s="74" t="n"/>
      <c r="L679" s="78" t="n"/>
      <c r="M679" s="77" t="n"/>
      <c r="N679" s="53">
        <f>IF(M679="","",IFERROR(M679/I679,""))</f>
        <v/>
      </c>
      <c r="O679" s="50">
        <f>IF(A679="","",IFERROR((IF(G679="",I679,G679)-T679)/M679,""))</f>
        <v/>
      </c>
      <c r="P679" s="50">
        <f>IFERROR((I679/T679-1)/N679,"")</f>
        <v/>
      </c>
      <c r="Q679" s="46">
        <f>IF(OR(T679="",I679&lt;T679),"",IFERROR(R679/IF(G679="",I679,G679)-1,""))</f>
        <v/>
      </c>
      <c r="R679" s="48">
        <f>IF($M679="","",MAX(IF($G679="",$I679,$G679)*(1/1.1),IF($G679="",$I679,$G679)+(R$2*$M679)))</f>
        <v/>
      </c>
      <c r="S679" s="49">
        <f>IF($M679="","",MAX(IF($G679="",$I679,$G679)*(1/1.1),IF($G679="",$I679,$G679)+(S$2*$M679)))</f>
        <v/>
      </c>
      <c r="T679" s="82" t="n"/>
      <c r="U679" s="47">
        <f>IF(OR($M679="",$T679=""),"",$T679+(U$2*$M679))</f>
        <v/>
      </c>
      <c r="V679" s="48">
        <f>IF(OR($M679="",$T679=""),"",$T679+(V$2*$M679))</f>
        <v/>
      </c>
      <c r="W679" s="48">
        <f>IF(OR($M679="",$T679=""),"",$T679+(W$2*$M679))</f>
        <v/>
      </c>
      <c r="X679" s="49">
        <f>IF(OR($M679="",$T679=""),"",$T679+(X$2*$M679))</f>
        <v/>
      </c>
      <c r="Y679" s="47">
        <f>IF(OR($M679="",$T679=""),"",$T679+(Y$2*$M679))</f>
        <v/>
      </c>
      <c r="Z679" s="49">
        <f>IF(OR($M679="",$T679=""),"",$T679+(Z$2*$M679))</f>
        <v/>
      </c>
      <c r="AA679" s="51">
        <f>IF(OR($M679="",$T679=""),"",$T679+(AA$2*$M679))</f>
        <v/>
      </c>
      <c r="AB679" s="48">
        <f>IF(OR($M679="",$T679=""),"",$T679+(AB$2*$M679))</f>
        <v/>
      </c>
      <c r="AC679" s="48">
        <f>IF(OR($M679="",$T679=""),"",$T679+(AC$2*$M679))</f>
        <v/>
      </c>
      <c r="AD679" s="48">
        <f>IF(OR($M679="",$T679=""),"",$T679+(AD$2*$M679))</f>
        <v/>
      </c>
      <c r="AE679" s="49">
        <f>IF(OR($M679="",$T679=""),"",$T679+(AE$2*$M679))</f>
        <v/>
      </c>
      <c r="AF679" s="52">
        <f>IF(OR(T679="",I679&lt;T679),"",IFERROR(AVERAGE(T679+M679*{7,8,9,10,11})/IF(G679="",I679,G679)-1,""))</f>
        <v/>
      </c>
      <c r="AG679" s="55">
        <f>IF(OR(T679="",I679&lt;T679),"",IFERROR(AF679/-(R679/IF(G679="",I679,G679)-1),""))</f>
        <v/>
      </c>
      <c r="AH679" s="94" t="n"/>
      <c r="AI679" s="94" t="n"/>
      <c r="AJ679" s="94" t="n"/>
      <c r="AK679" s="94" t="n"/>
      <c r="AL679" s="84" t="n"/>
    </row>
    <row r="680">
      <c r="A680" s="64" t="n"/>
      <c r="B680" s="65" t="n"/>
      <c r="C680" s="66" t="n"/>
      <c r="D680" s="67" t="n"/>
      <c r="E680" s="68" t="n"/>
      <c r="F680" s="47">
        <f>IF(A680="","",IF(MIN(H680,MAX(J680:K680))=0,"",MIN(H680,MAX(J680:K680))))</f>
        <v/>
      </c>
      <c r="G680" s="74" t="n"/>
      <c r="H680" s="49">
        <f>IF(M680="","",IFERROR(ROUND(AVERAGE(T680+M680*{7,8,9,10,11})/1.21,4),""))</f>
        <v/>
      </c>
      <c r="I680" s="76" t="n"/>
      <c r="J680" s="77" t="n"/>
      <c r="K680" s="74" t="n"/>
      <c r="L680" s="78" t="n"/>
      <c r="M680" s="77" t="n"/>
      <c r="N680" s="53">
        <f>IF(M680="","",IFERROR(M680/I680,""))</f>
        <v/>
      </c>
      <c r="O680" s="50">
        <f>IF(A680="","",IFERROR((IF(G680="",I680,G680)-T680)/M680,""))</f>
        <v/>
      </c>
      <c r="P680" s="50">
        <f>IFERROR((I680/T680-1)/N680,"")</f>
        <v/>
      </c>
      <c r="Q680" s="46">
        <f>IF(OR(T680="",I680&lt;T680),"",IFERROR(R680/IF(G680="",I680,G680)-1,""))</f>
        <v/>
      </c>
      <c r="R680" s="48">
        <f>IF($M680="","",MAX(IF($G680="",$I680,$G680)*(1/1.1),IF($G680="",$I680,$G680)+(R$2*$M680)))</f>
        <v/>
      </c>
      <c r="S680" s="49">
        <f>IF($M680="","",MAX(IF($G680="",$I680,$G680)*(1/1.1),IF($G680="",$I680,$G680)+(S$2*$M680)))</f>
        <v/>
      </c>
      <c r="T680" s="82" t="n"/>
      <c r="U680" s="47">
        <f>IF(OR($M680="",$T680=""),"",$T680+(U$2*$M680))</f>
        <v/>
      </c>
      <c r="V680" s="48">
        <f>IF(OR($M680="",$T680=""),"",$T680+(V$2*$M680))</f>
        <v/>
      </c>
      <c r="W680" s="48">
        <f>IF(OR($M680="",$T680=""),"",$T680+(W$2*$M680))</f>
        <v/>
      </c>
      <c r="X680" s="49">
        <f>IF(OR($M680="",$T680=""),"",$T680+(X$2*$M680))</f>
        <v/>
      </c>
      <c r="Y680" s="47">
        <f>IF(OR($M680="",$T680=""),"",$T680+(Y$2*$M680))</f>
        <v/>
      </c>
      <c r="Z680" s="49">
        <f>IF(OR($M680="",$T680=""),"",$T680+(Z$2*$M680))</f>
        <v/>
      </c>
      <c r="AA680" s="51">
        <f>IF(OR($M680="",$T680=""),"",$T680+(AA$2*$M680))</f>
        <v/>
      </c>
      <c r="AB680" s="48">
        <f>IF(OR($M680="",$T680=""),"",$T680+(AB$2*$M680))</f>
        <v/>
      </c>
      <c r="AC680" s="48">
        <f>IF(OR($M680="",$T680=""),"",$T680+(AC$2*$M680))</f>
        <v/>
      </c>
      <c r="AD680" s="48">
        <f>IF(OR($M680="",$T680=""),"",$T680+(AD$2*$M680))</f>
        <v/>
      </c>
      <c r="AE680" s="49">
        <f>IF(OR($M680="",$T680=""),"",$T680+(AE$2*$M680))</f>
        <v/>
      </c>
      <c r="AF680" s="52">
        <f>IF(OR(T680="",I680&lt;T680),"",IFERROR(AVERAGE(T680+M680*{7,8,9,10,11})/IF(G680="",I680,G680)-1,""))</f>
        <v/>
      </c>
      <c r="AG680" s="55">
        <f>IF(OR(T680="",I680&lt;T680),"",IFERROR(AF680/-(R680/IF(G680="",I680,G680)-1),""))</f>
        <v/>
      </c>
      <c r="AH680" s="94" t="n"/>
      <c r="AI680" s="94" t="n"/>
      <c r="AJ680" s="94" t="n"/>
      <c r="AK680" s="94" t="n"/>
      <c r="AL680" s="84" t="n"/>
    </row>
    <row r="681">
      <c r="A681" s="64" t="n"/>
      <c r="B681" s="65" t="n"/>
      <c r="C681" s="66" t="n"/>
      <c r="D681" s="67" t="n"/>
      <c r="E681" s="68" t="n"/>
      <c r="F681" s="47">
        <f>IF(A681="","",IF(MIN(H681,MAX(J681:K681))=0,"",MIN(H681,MAX(J681:K681))))</f>
        <v/>
      </c>
      <c r="G681" s="74" t="n"/>
      <c r="H681" s="49">
        <f>IF(M681="","",IFERROR(ROUND(AVERAGE(T681+M681*{7,8,9,10,11})/1.21,4),""))</f>
        <v/>
      </c>
      <c r="I681" s="76" t="n"/>
      <c r="J681" s="77" t="n"/>
      <c r="K681" s="74" t="n"/>
      <c r="L681" s="78" t="n"/>
      <c r="M681" s="77" t="n"/>
      <c r="N681" s="53">
        <f>IF(M681="","",IFERROR(M681/I681,""))</f>
        <v/>
      </c>
      <c r="O681" s="50">
        <f>IF(A681="","",IFERROR((IF(G681="",I681,G681)-T681)/M681,""))</f>
        <v/>
      </c>
      <c r="P681" s="50">
        <f>IFERROR((I681/T681-1)/N681,"")</f>
        <v/>
      </c>
      <c r="Q681" s="46">
        <f>IF(OR(T681="",I681&lt;T681),"",IFERROR(R681/IF(G681="",I681,G681)-1,""))</f>
        <v/>
      </c>
      <c r="R681" s="48">
        <f>IF($M681="","",MAX(IF($G681="",$I681,$G681)*(1/1.1),IF($G681="",$I681,$G681)+(R$2*$M681)))</f>
        <v/>
      </c>
      <c r="S681" s="49">
        <f>IF($M681="","",MAX(IF($G681="",$I681,$G681)*(1/1.1),IF($G681="",$I681,$G681)+(S$2*$M681)))</f>
        <v/>
      </c>
      <c r="T681" s="82" t="n"/>
      <c r="U681" s="47">
        <f>IF(OR($M681="",$T681=""),"",$T681+(U$2*$M681))</f>
        <v/>
      </c>
      <c r="V681" s="48">
        <f>IF(OR($M681="",$T681=""),"",$T681+(V$2*$M681))</f>
        <v/>
      </c>
      <c r="W681" s="48">
        <f>IF(OR($M681="",$T681=""),"",$T681+(W$2*$M681))</f>
        <v/>
      </c>
      <c r="X681" s="49">
        <f>IF(OR($M681="",$T681=""),"",$T681+(X$2*$M681))</f>
        <v/>
      </c>
      <c r="Y681" s="47">
        <f>IF(OR($M681="",$T681=""),"",$T681+(Y$2*$M681))</f>
        <v/>
      </c>
      <c r="Z681" s="49">
        <f>IF(OR($M681="",$T681=""),"",$T681+(Z$2*$M681))</f>
        <v/>
      </c>
      <c r="AA681" s="51">
        <f>IF(OR($M681="",$T681=""),"",$T681+(AA$2*$M681))</f>
        <v/>
      </c>
      <c r="AB681" s="48">
        <f>IF(OR($M681="",$T681=""),"",$T681+(AB$2*$M681))</f>
        <v/>
      </c>
      <c r="AC681" s="48">
        <f>IF(OR($M681="",$T681=""),"",$T681+(AC$2*$M681))</f>
        <v/>
      </c>
      <c r="AD681" s="48">
        <f>IF(OR($M681="",$T681=""),"",$T681+(AD$2*$M681))</f>
        <v/>
      </c>
      <c r="AE681" s="49">
        <f>IF(OR($M681="",$T681=""),"",$T681+(AE$2*$M681))</f>
        <v/>
      </c>
      <c r="AF681" s="52">
        <f>IF(OR(T681="",I681&lt;T681),"",IFERROR(AVERAGE(T681+M681*{7,8,9,10,11})/IF(G681="",I681,G681)-1,""))</f>
        <v/>
      </c>
      <c r="AG681" s="55">
        <f>IF(OR(T681="",I681&lt;T681),"",IFERROR(AF681/-(R681/IF(G681="",I681,G681)-1),""))</f>
        <v/>
      </c>
      <c r="AH681" s="94" t="n"/>
      <c r="AI681" s="94" t="n"/>
      <c r="AJ681" s="94" t="n"/>
      <c r="AK681" s="94" t="n"/>
      <c r="AL681" s="84" t="n"/>
    </row>
    <row r="682">
      <c r="A682" s="64" t="n"/>
      <c r="B682" s="65" t="n"/>
      <c r="C682" s="66" t="n"/>
      <c r="D682" s="67" t="n"/>
      <c r="E682" s="68" t="n"/>
      <c r="F682" s="47">
        <f>IF(A682="","",IF(MIN(H682,MAX(J682:K682))=0,"",MIN(H682,MAX(J682:K682))))</f>
        <v/>
      </c>
      <c r="G682" s="74" t="n"/>
      <c r="H682" s="49">
        <f>IF(M682="","",IFERROR(ROUND(AVERAGE(T682+M682*{7,8,9,10,11})/1.21,4),""))</f>
        <v/>
      </c>
      <c r="I682" s="76" t="n"/>
      <c r="J682" s="77" t="n"/>
      <c r="K682" s="74" t="n"/>
      <c r="L682" s="78" t="n"/>
      <c r="M682" s="77" t="n"/>
      <c r="N682" s="53">
        <f>IF(M682="","",IFERROR(M682/I682,""))</f>
        <v/>
      </c>
      <c r="O682" s="50">
        <f>IF(A682="","",IFERROR((IF(G682="",I682,G682)-T682)/M682,""))</f>
        <v/>
      </c>
      <c r="P682" s="50">
        <f>IFERROR((I682/T682-1)/N682,"")</f>
        <v/>
      </c>
      <c r="Q682" s="46">
        <f>IF(OR(T682="",I682&lt;T682),"",IFERROR(R682/IF(G682="",I682,G682)-1,""))</f>
        <v/>
      </c>
      <c r="R682" s="48">
        <f>IF($M682="","",MAX(IF($G682="",$I682,$G682)*(1/1.1),IF($G682="",$I682,$G682)+(R$2*$M682)))</f>
        <v/>
      </c>
      <c r="S682" s="49">
        <f>IF($M682="","",MAX(IF($G682="",$I682,$G682)*(1/1.1),IF($G682="",$I682,$G682)+(S$2*$M682)))</f>
        <v/>
      </c>
      <c r="T682" s="82" t="n"/>
      <c r="U682" s="47">
        <f>IF(OR($M682="",$T682=""),"",$T682+(U$2*$M682))</f>
        <v/>
      </c>
      <c r="V682" s="48">
        <f>IF(OR($M682="",$T682=""),"",$T682+(V$2*$M682))</f>
        <v/>
      </c>
      <c r="W682" s="48">
        <f>IF(OR($M682="",$T682=""),"",$T682+(W$2*$M682))</f>
        <v/>
      </c>
      <c r="X682" s="49">
        <f>IF(OR($M682="",$T682=""),"",$T682+(X$2*$M682))</f>
        <v/>
      </c>
      <c r="Y682" s="47">
        <f>IF(OR($M682="",$T682=""),"",$T682+(Y$2*$M682))</f>
        <v/>
      </c>
      <c r="Z682" s="49">
        <f>IF(OR($M682="",$T682=""),"",$T682+(Z$2*$M682))</f>
        <v/>
      </c>
      <c r="AA682" s="51">
        <f>IF(OR($M682="",$T682=""),"",$T682+(AA$2*$M682))</f>
        <v/>
      </c>
      <c r="AB682" s="48">
        <f>IF(OR($M682="",$T682=""),"",$T682+(AB$2*$M682))</f>
        <v/>
      </c>
      <c r="AC682" s="48">
        <f>IF(OR($M682="",$T682=""),"",$T682+(AC$2*$M682))</f>
        <v/>
      </c>
      <c r="AD682" s="48">
        <f>IF(OR($M682="",$T682=""),"",$T682+(AD$2*$M682))</f>
        <v/>
      </c>
      <c r="AE682" s="49">
        <f>IF(OR($M682="",$T682=""),"",$T682+(AE$2*$M682))</f>
        <v/>
      </c>
      <c r="AF682" s="52">
        <f>IF(OR(T682="",I682&lt;T682),"",IFERROR(AVERAGE(T682+M682*{7,8,9,10,11})/IF(G682="",I682,G682)-1,""))</f>
        <v/>
      </c>
      <c r="AG682" s="55">
        <f>IF(OR(T682="",I682&lt;T682),"",IFERROR(AF682/-(R682/IF(G682="",I682,G682)-1),""))</f>
        <v/>
      </c>
      <c r="AH682" s="94" t="n"/>
      <c r="AI682" s="94" t="n"/>
      <c r="AJ682" s="94" t="n"/>
      <c r="AK682" s="94" t="n"/>
      <c r="AL682" s="84" t="n"/>
    </row>
    <row r="683">
      <c r="A683" s="64" t="n"/>
      <c r="B683" s="65" t="n"/>
      <c r="C683" s="66" t="n"/>
      <c r="D683" s="67" t="n"/>
      <c r="E683" s="68" t="n"/>
      <c r="F683" s="47">
        <f>IF(A683="","",IF(MIN(H683,MAX(J683:K683))=0,"",MIN(H683,MAX(J683:K683))))</f>
        <v/>
      </c>
      <c r="G683" s="74" t="n"/>
      <c r="H683" s="49">
        <f>IF(M683="","",IFERROR(ROUND(AVERAGE(T683+M683*{7,8,9,10,11})/1.21,4),""))</f>
        <v/>
      </c>
      <c r="I683" s="76" t="n"/>
      <c r="J683" s="77" t="n"/>
      <c r="K683" s="74" t="n"/>
      <c r="L683" s="78" t="n"/>
      <c r="M683" s="77" t="n"/>
      <c r="N683" s="53">
        <f>IF(M683="","",IFERROR(M683/I683,""))</f>
        <v/>
      </c>
      <c r="O683" s="50">
        <f>IF(A683="","",IFERROR((IF(G683="",I683,G683)-T683)/M683,""))</f>
        <v/>
      </c>
      <c r="P683" s="50">
        <f>IFERROR((I683/T683-1)/N683,"")</f>
        <v/>
      </c>
      <c r="Q683" s="46">
        <f>IF(OR(T683="",I683&lt;T683),"",IFERROR(R683/IF(G683="",I683,G683)-1,""))</f>
        <v/>
      </c>
      <c r="R683" s="48">
        <f>IF($M683="","",MAX(IF($G683="",$I683,$G683)*(1/1.1),IF($G683="",$I683,$G683)+(R$2*$M683)))</f>
        <v/>
      </c>
      <c r="S683" s="49">
        <f>IF($M683="","",MAX(IF($G683="",$I683,$G683)*(1/1.1),IF($G683="",$I683,$G683)+(S$2*$M683)))</f>
        <v/>
      </c>
      <c r="T683" s="82" t="n"/>
      <c r="U683" s="47">
        <f>IF(OR($M683="",$T683=""),"",$T683+(U$2*$M683))</f>
        <v/>
      </c>
      <c r="V683" s="48">
        <f>IF(OR($M683="",$T683=""),"",$T683+(V$2*$M683))</f>
        <v/>
      </c>
      <c r="W683" s="48">
        <f>IF(OR($M683="",$T683=""),"",$T683+(W$2*$M683))</f>
        <v/>
      </c>
      <c r="X683" s="49">
        <f>IF(OR($M683="",$T683=""),"",$T683+(X$2*$M683))</f>
        <v/>
      </c>
      <c r="Y683" s="47">
        <f>IF(OR($M683="",$T683=""),"",$T683+(Y$2*$M683))</f>
        <v/>
      </c>
      <c r="Z683" s="49">
        <f>IF(OR($M683="",$T683=""),"",$T683+(Z$2*$M683))</f>
        <v/>
      </c>
      <c r="AA683" s="51">
        <f>IF(OR($M683="",$T683=""),"",$T683+(AA$2*$M683))</f>
        <v/>
      </c>
      <c r="AB683" s="48">
        <f>IF(OR($M683="",$T683=""),"",$T683+(AB$2*$M683))</f>
        <v/>
      </c>
      <c r="AC683" s="48">
        <f>IF(OR($M683="",$T683=""),"",$T683+(AC$2*$M683))</f>
        <v/>
      </c>
      <c r="AD683" s="48">
        <f>IF(OR($M683="",$T683=""),"",$T683+(AD$2*$M683))</f>
        <v/>
      </c>
      <c r="AE683" s="49">
        <f>IF(OR($M683="",$T683=""),"",$T683+(AE$2*$M683))</f>
        <v/>
      </c>
      <c r="AF683" s="52">
        <f>IF(OR(T683="",I683&lt;T683),"",IFERROR(AVERAGE(T683+M683*{7,8,9,10,11})/IF(G683="",I683,G683)-1,""))</f>
        <v/>
      </c>
      <c r="AG683" s="55">
        <f>IF(OR(T683="",I683&lt;T683),"",IFERROR(AF683/-(R683/IF(G683="",I683,G683)-1),""))</f>
        <v/>
      </c>
      <c r="AH683" s="94" t="n"/>
      <c r="AI683" s="94" t="n"/>
      <c r="AJ683" s="94" t="n"/>
      <c r="AK683" s="94" t="n"/>
      <c r="AL683" s="84" t="n"/>
    </row>
    <row r="684">
      <c r="A684" s="64" t="n"/>
      <c r="B684" s="65" t="n"/>
      <c r="C684" s="66" t="n"/>
      <c r="D684" s="67" t="n"/>
      <c r="E684" s="68" t="n"/>
      <c r="F684" s="47">
        <f>IF(A684="","",IF(MIN(H684,MAX(J684:K684))=0,"",MIN(H684,MAX(J684:K684))))</f>
        <v/>
      </c>
      <c r="G684" s="74" t="n"/>
      <c r="H684" s="49">
        <f>IF(M684="","",IFERROR(ROUND(AVERAGE(T684+M684*{7,8,9,10,11})/1.21,4),""))</f>
        <v/>
      </c>
      <c r="I684" s="76" t="n"/>
      <c r="J684" s="77" t="n"/>
      <c r="K684" s="74" t="n"/>
      <c r="L684" s="78" t="n"/>
      <c r="M684" s="77" t="n"/>
      <c r="N684" s="53">
        <f>IF(M684="","",IFERROR(M684/I684,""))</f>
        <v/>
      </c>
      <c r="O684" s="50">
        <f>IF(A684="","",IFERROR((IF(G684="",I684,G684)-T684)/M684,""))</f>
        <v/>
      </c>
      <c r="P684" s="50">
        <f>IFERROR((I684/T684-1)/N684,"")</f>
        <v/>
      </c>
      <c r="Q684" s="46">
        <f>IF(OR(T684="",I684&lt;T684),"",IFERROR(R684/IF(G684="",I684,G684)-1,""))</f>
        <v/>
      </c>
      <c r="R684" s="48">
        <f>IF($M684="","",MAX(IF($G684="",$I684,$G684)*(1/1.1),IF($G684="",$I684,$G684)+(R$2*$M684)))</f>
        <v/>
      </c>
      <c r="S684" s="49">
        <f>IF($M684="","",MAX(IF($G684="",$I684,$G684)*(1/1.1),IF($G684="",$I684,$G684)+(S$2*$M684)))</f>
        <v/>
      </c>
      <c r="T684" s="82" t="n"/>
      <c r="U684" s="47">
        <f>IF(OR($M684="",$T684=""),"",$T684+(U$2*$M684))</f>
        <v/>
      </c>
      <c r="V684" s="48">
        <f>IF(OR($M684="",$T684=""),"",$T684+(V$2*$M684))</f>
        <v/>
      </c>
      <c r="W684" s="48">
        <f>IF(OR($M684="",$T684=""),"",$T684+(W$2*$M684))</f>
        <v/>
      </c>
      <c r="X684" s="49">
        <f>IF(OR($M684="",$T684=""),"",$T684+(X$2*$M684))</f>
        <v/>
      </c>
      <c r="Y684" s="47">
        <f>IF(OR($M684="",$T684=""),"",$T684+(Y$2*$M684))</f>
        <v/>
      </c>
      <c r="Z684" s="49">
        <f>IF(OR($M684="",$T684=""),"",$T684+(Z$2*$M684))</f>
        <v/>
      </c>
      <c r="AA684" s="51">
        <f>IF(OR($M684="",$T684=""),"",$T684+(AA$2*$M684))</f>
        <v/>
      </c>
      <c r="AB684" s="48">
        <f>IF(OR($M684="",$T684=""),"",$T684+(AB$2*$M684))</f>
        <v/>
      </c>
      <c r="AC684" s="48">
        <f>IF(OR($M684="",$T684=""),"",$T684+(AC$2*$M684))</f>
        <v/>
      </c>
      <c r="AD684" s="48">
        <f>IF(OR($M684="",$T684=""),"",$T684+(AD$2*$M684))</f>
        <v/>
      </c>
      <c r="AE684" s="49">
        <f>IF(OR($M684="",$T684=""),"",$T684+(AE$2*$M684))</f>
        <v/>
      </c>
      <c r="AF684" s="52">
        <f>IF(OR(T684="",I684&lt;T684),"",IFERROR(AVERAGE(T684+M684*{7,8,9,10,11})/IF(G684="",I684,G684)-1,""))</f>
        <v/>
      </c>
      <c r="AG684" s="55">
        <f>IF(OR(T684="",I684&lt;T684),"",IFERROR(AF684/-(R684/IF(G684="",I684,G684)-1),""))</f>
        <v/>
      </c>
      <c r="AH684" s="94" t="n"/>
      <c r="AI684" s="94" t="n"/>
      <c r="AJ684" s="94" t="n"/>
      <c r="AK684" s="94" t="n"/>
      <c r="AL684" s="84" t="n"/>
    </row>
    <row r="685">
      <c r="A685" s="64" t="n"/>
      <c r="B685" s="65" t="n"/>
      <c r="C685" s="66" t="n"/>
      <c r="D685" s="67" t="n"/>
      <c r="E685" s="68" t="n"/>
      <c r="F685" s="47">
        <f>IF(A685="","",IF(MIN(H685,MAX(J685:K685))=0,"",MIN(H685,MAX(J685:K685))))</f>
        <v/>
      </c>
      <c r="G685" s="74" t="n"/>
      <c r="H685" s="49">
        <f>IF(M685="","",IFERROR(ROUND(AVERAGE(T685+M685*{7,8,9,10,11})/1.21,4),""))</f>
        <v/>
      </c>
      <c r="I685" s="76" t="n"/>
      <c r="J685" s="77" t="n"/>
      <c r="K685" s="74" t="n"/>
      <c r="L685" s="78" t="n"/>
      <c r="M685" s="77" t="n"/>
      <c r="N685" s="53">
        <f>IF(M685="","",IFERROR(M685/I685,""))</f>
        <v/>
      </c>
      <c r="O685" s="50">
        <f>IF(A685="","",IFERROR((IF(G685="",I685,G685)-T685)/M685,""))</f>
        <v/>
      </c>
      <c r="P685" s="50">
        <f>IFERROR((I685/T685-1)/N685,"")</f>
        <v/>
      </c>
      <c r="Q685" s="46">
        <f>IF(OR(T685="",I685&lt;T685),"",IFERROR(R685/IF(G685="",I685,G685)-1,""))</f>
        <v/>
      </c>
      <c r="R685" s="48">
        <f>IF($M685="","",MAX(IF($G685="",$I685,$G685)*(1/1.1),IF($G685="",$I685,$G685)+(R$2*$M685)))</f>
        <v/>
      </c>
      <c r="S685" s="49">
        <f>IF($M685="","",MAX(IF($G685="",$I685,$G685)*(1/1.1),IF($G685="",$I685,$G685)+(S$2*$M685)))</f>
        <v/>
      </c>
      <c r="T685" s="82" t="n"/>
      <c r="U685" s="47">
        <f>IF(OR($M685="",$T685=""),"",$T685+(U$2*$M685))</f>
        <v/>
      </c>
      <c r="V685" s="48">
        <f>IF(OR($M685="",$T685=""),"",$T685+(V$2*$M685))</f>
        <v/>
      </c>
      <c r="W685" s="48">
        <f>IF(OR($M685="",$T685=""),"",$T685+(W$2*$M685))</f>
        <v/>
      </c>
      <c r="X685" s="49">
        <f>IF(OR($M685="",$T685=""),"",$T685+(X$2*$M685))</f>
        <v/>
      </c>
      <c r="Y685" s="47">
        <f>IF(OR($M685="",$T685=""),"",$T685+(Y$2*$M685))</f>
        <v/>
      </c>
      <c r="Z685" s="49">
        <f>IF(OR($M685="",$T685=""),"",$T685+(Z$2*$M685))</f>
        <v/>
      </c>
      <c r="AA685" s="51">
        <f>IF(OR($M685="",$T685=""),"",$T685+(AA$2*$M685))</f>
        <v/>
      </c>
      <c r="AB685" s="48">
        <f>IF(OR($M685="",$T685=""),"",$T685+(AB$2*$M685))</f>
        <v/>
      </c>
      <c r="AC685" s="48">
        <f>IF(OR($M685="",$T685=""),"",$T685+(AC$2*$M685))</f>
        <v/>
      </c>
      <c r="AD685" s="48">
        <f>IF(OR($M685="",$T685=""),"",$T685+(AD$2*$M685))</f>
        <v/>
      </c>
      <c r="AE685" s="49">
        <f>IF(OR($M685="",$T685=""),"",$T685+(AE$2*$M685))</f>
        <v/>
      </c>
      <c r="AF685" s="52">
        <f>IF(OR(T685="",I685&lt;T685),"",IFERROR(AVERAGE(T685+M685*{7,8,9,10,11})/IF(G685="",I685,G685)-1,""))</f>
        <v/>
      </c>
      <c r="AG685" s="55">
        <f>IF(OR(T685="",I685&lt;T685),"",IFERROR(AF685/-(R685/IF(G685="",I685,G685)-1),""))</f>
        <v/>
      </c>
      <c r="AH685" s="94" t="n"/>
      <c r="AI685" s="94" t="n"/>
      <c r="AJ685" s="94" t="n"/>
      <c r="AK685" s="94" t="n"/>
      <c r="AL685" s="84" t="n"/>
    </row>
    <row r="686">
      <c r="A686" s="64" t="n"/>
      <c r="B686" s="65" t="n"/>
      <c r="C686" s="66" t="n"/>
      <c r="D686" s="67" t="n"/>
      <c r="E686" s="68" t="n"/>
      <c r="F686" s="47">
        <f>IF(A686="","",IF(MIN(H686,MAX(J686:K686))=0,"",MIN(H686,MAX(J686:K686))))</f>
        <v/>
      </c>
      <c r="G686" s="74" t="n"/>
      <c r="H686" s="49">
        <f>IF(M686="","",IFERROR(ROUND(AVERAGE(T686+M686*{7,8,9,10,11})/1.21,4),""))</f>
        <v/>
      </c>
      <c r="I686" s="76" t="n"/>
      <c r="J686" s="77" t="n"/>
      <c r="K686" s="74" t="n"/>
      <c r="L686" s="78" t="n"/>
      <c r="M686" s="77" t="n"/>
      <c r="N686" s="53">
        <f>IF(M686="","",IFERROR(M686/I686,""))</f>
        <v/>
      </c>
      <c r="O686" s="50">
        <f>IF(A686="","",IFERROR((IF(G686="",I686,G686)-T686)/M686,""))</f>
        <v/>
      </c>
      <c r="P686" s="50">
        <f>IFERROR((I686/T686-1)/N686,"")</f>
        <v/>
      </c>
      <c r="Q686" s="46">
        <f>IF(OR(T686="",I686&lt;T686),"",IFERROR(R686/IF(G686="",I686,G686)-1,""))</f>
        <v/>
      </c>
      <c r="R686" s="48">
        <f>IF($M686="","",MAX(IF($G686="",$I686,$G686)*(1/1.1),IF($G686="",$I686,$G686)+(R$2*$M686)))</f>
        <v/>
      </c>
      <c r="S686" s="49">
        <f>IF($M686="","",MAX(IF($G686="",$I686,$G686)*(1/1.1),IF($G686="",$I686,$G686)+(S$2*$M686)))</f>
        <v/>
      </c>
      <c r="T686" s="82" t="n"/>
      <c r="U686" s="47">
        <f>IF(OR($M686="",$T686=""),"",$T686+(U$2*$M686))</f>
        <v/>
      </c>
      <c r="V686" s="48">
        <f>IF(OR($M686="",$T686=""),"",$T686+(V$2*$M686))</f>
        <v/>
      </c>
      <c r="W686" s="48">
        <f>IF(OR($M686="",$T686=""),"",$T686+(W$2*$M686))</f>
        <v/>
      </c>
      <c r="X686" s="49">
        <f>IF(OR($M686="",$T686=""),"",$T686+(X$2*$M686))</f>
        <v/>
      </c>
      <c r="Y686" s="47">
        <f>IF(OR($M686="",$T686=""),"",$T686+(Y$2*$M686))</f>
        <v/>
      </c>
      <c r="Z686" s="49">
        <f>IF(OR($M686="",$T686=""),"",$T686+(Z$2*$M686))</f>
        <v/>
      </c>
      <c r="AA686" s="51">
        <f>IF(OR($M686="",$T686=""),"",$T686+(AA$2*$M686))</f>
        <v/>
      </c>
      <c r="AB686" s="48">
        <f>IF(OR($M686="",$T686=""),"",$T686+(AB$2*$M686))</f>
        <v/>
      </c>
      <c r="AC686" s="48">
        <f>IF(OR($M686="",$T686=""),"",$T686+(AC$2*$M686))</f>
        <v/>
      </c>
      <c r="AD686" s="48">
        <f>IF(OR($M686="",$T686=""),"",$T686+(AD$2*$M686))</f>
        <v/>
      </c>
      <c r="AE686" s="49">
        <f>IF(OR($M686="",$T686=""),"",$T686+(AE$2*$M686))</f>
        <v/>
      </c>
      <c r="AF686" s="52">
        <f>IF(OR(T686="",I686&lt;T686),"",IFERROR(AVERAGE(T686+M686*{7,8,9,10,11})/IF(G686="",I686,G686)-1,""))</f>
        <v/>
      </c>
      <c r="AG686" s="55">
        <f>IF(OR(T686="",I686&lt;T686),"",IFERROR(AF686/-(R686/IF(G686="",I686,G686)-1),""))</f>
        <v/>
      </c>
      <c r="AH686" s="94" t="n"/>
      <c r="AI686" s="94" t="n"/>
      <c r="AJ686" s="94" t="n"/>
      <c r="AK686" s="94" t="n"/>
      <c r="AL686" s="84" t="n"/>
    </row>
    <row r="687">
      <c r="A687" s="64" t="n"/>
      <c r="B687" s="65" t="n"/>
      <c r="C687" s="66" t="n"/>
      <c r="D687" s="67" t="n"/>
      <c r="E687" s="68" t="n"/>
      <c r="F687" s="47">
        <f>IF(A687="","",IF(MIN(H687,MAX(J687:K687))=0,"",MIN(H687,MAX(J687:K687))))</f>
        <v/>
      </c>
      <c r="G687" s="74" t="n"/>
      <c r="H687" s="49">
        <f>IF(M687="","",IFERROR(ROUND(AVERAGE(T687+M687*{7,8,9,10,11})/1.21,4),""))</f>
        <v/>
      </c>
      <c r="I687" s="76" t="n"/>
      <c r="J687" s="77" t="n"/>
      <c r="K687" s="74" t="n"/>
      <c r="L687" s="78" t="n"/>
      <c r="M687" s="77" t="n"/>
      <c r="N687" s="53">
        <f>IF(M687="","",IFERROR(M687/I687,""))</f>
        <v/>
      </c>
      <c r="O687" s="50">
        <f>IF(A687="","",IFERROR((IF(G687="",I687,G687)-T687)/M687,""))</f>
        <v/>
      </c>
      <c r="P687" s="50">
        <f>IFERROR((I687/T687-1)/N687,"")</f>
        <v/>
      </c>
      <c r="Q687" s="46">
        <f>IF(OR(T687="",I687&lt;T687),"",IFERROR(R687/IF(G687="",I687,G687)-1,""))</f>
        <v/>
      </c>
      <c r="R687" s="48">
        <f>IF($M687="","",MAX(IF($G687="",$I687,$G687)*(1/1.1),IF($G687="",$I687,$G687)+(R$2*$M687)))</f>
        <v/>
      </c>
      <c r="S687" s="49">
        <f>IF($M687="","",MAX(IF($G687="",$I687,$G687)*(1/1.1),IF($G687="",$I687,$G687)+(S$2*$M687)))</f>
        <v/>
      </c>
      <c r="T687" s="82" t="n"/>
      <c r="U687" s="47">
        <f>IF(OR($M687="",$T687=""),"",$T687+(U$2*$M687))</f>
        <v/>
      </c>
      <c r="V687" s="48">
        <f>IF(OR($M687="",$T687=""),"",$T687+(V$2*$M687))</f>
        <v/>
      </c>
      <c r="W687" s="48">
        <f>IF(OR($M687="",$T687=""),"",$T687+(W$2*$M687))</f>
        <v/>
      </c>
      <c r="X687" s="49">
        <f>IF(OR($M687="",$T687=""),"",$T687+(X$2*$M687))</f>
        <v/>
      </c>
      <c r="Y687" s="47">
        <f>IF(OR($M687="",$T687=""),"",$T687+(Y$2*$M687))</f>
        <v/>
      </c>
      <c r="Z687" s="49">
        <f>IF(OR($M687="",$T687=""),"",$T687+(Z$2*$M687))</f>
        <v/>
      </c>
      <c r="AA687" s="51">
        <f>IF(OR($M687="",$T687=""),"",$T687+(AA$2*$M687))</f>
        <v/>
      </c>
      <c r="AB687" s="48">
        <f>IF(OR($M687="",$T687=""),"",$T687+(AB$2*$M687))</f>
        <v/>
      </c>
      <c r="AC687" s="48">
        <f>IF(OR($M687="",$T687=""),"",$T687+(AC$2*$M687))</f>
        <v/>
      </c>
      <c r="AD687" s="48">
        <f>IF(OR($M687="",$T687=""),"",$T687+(AD$2*$M687))</f>
        <v/>
      </c>
      <c r="AE687" s="49">
        <f>IF(OR($M687="",$T687=""),"",$T687+(AE$2*$M687))</f>
        <v/>
      </c>
      <c r="AF687" s="52">
        <f>IF(OR(T687="",I687&lt;T687),"",IFERROR(AVERAGE(T687+M687*{7,8,9,10,11})/IF(G687="",I687,G687)-1,""))</f>
        <v/>
      </c>
      <c r="AG687" s="55">
        <f>IF(OR(T687="",I687&lt;T687),"",IFERROR(AF687/-(R687/IF(G687="",I687,G687)-1),""))</f>
        <v/>
      </c>
      <c r="AH687" s="94" t="n"/>
      <c r="AI687" s="94" t="n"/>
      <c r="AJ687" s="94" t="n"/>
      <c r="AK687" s="94" t="n"/>
      <c r="AL687" s="84" t="n"/>
    </row>
    <row r="688">
      <c r="A688" s="64" t="n"/>
      <c r="B688" s="65" t="n"/>
      <c r="C688" s="66" t="n"/>
      <c r="D688" s="67" t="n"/>
      <c r="E688" s="68" t="n"/>
      <c r="F688" s="47">
        <f>IF(A688="","",IF(MIN(H688,MAX(J688:K688))=0,"",MIN(H688,MAX(J688:K688))))</f>
        <v/>
      </c>
      <c r="G688" s="74" t="n"/>
      <c r="H688" s="49">
        <f>IF(M688="","",IFERROR(ROUND(AVERAGE(T688+M688*{7,8,9,10,11})/1.21,4),""))</f>
        <v/>
      </c>
      <c r="I688" s="76" t="n"/>
      <c r="J688" s="77" t="n"/>
      <c r="K688" s="74" t="n"/>
      <c r="L688" s="78" t="n"/>
      <c r="M688" s="77" t="n"/>
      <c r="N688" s="53">
        <f>IF(M688="","",IFERROR(M688/I688,""))</f>
        <v/>
      </c>
      <c r="O688" s="50">
        <f>IF(A688="","",IFERROR((IF(G688="",I688,G688)-T688)/M688,""))</f>
        <v/>
      </c>
      <c r="P688" s="50">
        <f>IFERROR((I688/T688-1)/N688,"")</f>
        <v/>
      </c>
      <c r="Q688" s="46">
        <f>IF(OR(T688="",I688&lt;T688),"",IFERROR(R688/IF(G688="",I688,G688)-1,""))</f>
        <v/>
      </c>
      <c r="R688" s="48">
        <f>IF($M688="","",MAX(IF($G688="",$I688,$G688)*(1/1.1),IF($G688="",$I688,$G688)+(R$2*$M688)))</f>
        <v/>
      </c>
      <c r="S688" s="49">
        <f>IF($M688="","",MAX(IF($G688="",$I688,$G688)*(1/1.1),IF($G688="",$I688,$G688)+(S$2*$M688)))</f>
        <v/>
      </c>
      <c r="T688" s="82" t="n"/>
      <c r="U688" s="47">
        <f>IF(OR($M688="",$T688=""),"",$T688+(U$2*$M688))</f>
        <v/>
      </c>
      <c r="V688" s="48">
        <f>IF(OR($M688="",$T688=""),"",$T688+(V$2*$M688))</f>
        <v/>
      </c>
      <c r="W688" s="48">
        <f>IF(OR($M688="",$T688=""),"",$T688+(W$2*$M688))</f>
        <v/>
      </c>
      <c r="X688" s="49">
        <f>IF(OR($M688="",$T688=""),"",$T688+(X$2*$M688))</f>
        <v/>
      </c>
      <c r="Y688" s="47">
        <f>IF(OR($M688="",$T688=""),"",$T688+(Y$2*$M688))</f>
        <v/>
      </c>
      <c r="Z688" s="49">
        <f>IF(OR($M688="",$T688=""),"",$T688+(Z$2*$M688))</f>
        <v/>
      </c>
      <c r="AA688" s="51">
        <f>IF(OR($M688="",$T688=""),"",$T688+(AA$2*$M688))</f>
        <v/>
      </c>
      <c r="AB688" s="48">
        <f>IF(OR($M688="",$T688=""),"",$T688+(AB$2*$M688))</f>
        <v/>
      </c>
      <c r="AC688" s="48">
        <f>IF(OR($M688="",$T688=""),"",$T688+(AC$2*$M688))</f>
        <v/>
      </c>
      <c r="AD688" s="48">
        <f>IF(OR($M688="",$T688=""),"",$T688+(AD$2*$M688))</f>
        <v/>
      </c>
      <c r="AE688" s="49">
        <f>IF(OR($M688="",$T688=""),"",$T688+(AE$2*$M688))</f>
        <v/>
      </c>
      <c r="AF688" s="52">
        <f>IF(OR(T688="",I688&lt;T688),"",IFERROR(AVERAGE(T688+M688*{7,8,9,10,11})/IF(G688="",I688,G688)-1,""))</f>
        <v/>
      </c>
      <c r="AG688" s="55">
        <f>IF(OR(T688="",I688&lt;T688),"",IFERROR(AF688/-(R688/IF(G688="",I688,G688)-1),""))</f>
        <v/>
      </c>
      <c r="AH688" s="94" t="n"/>
      <c r="AI688" s="94" t="n"/>
      <c r="AJ688" s="94" t="n"/>
      <c r="AK688" s="94" t="n"/>
      <c r="AL688" s="84" t="n"/>
    </row>
    <row r="689">
      <c r="A689" s="64" t="n"/>
      <c r="B689" s="65" t="n"/>
      <c r="C689" s="66" t="n"/>
      <c r="D689" s="67" t="n"/>
      <c r="E689" s="68" t="n"/>
      <c r="F689" s="47">
        <f>IF(A689="","",IF(MIN(H689,MAX(J689:K689))=0,"",MIN(H689,MAX(J689:K689))))</f>
        <v/>
      </c>
      <c r="G689" s="74" t="n"/>
      <c r="H689" s="49">
        <f>IF(M689="","",IFERROR(ROUND(AVERAGE(T689+M689*{7,8,9,10,11})/1.21,4),""))</f>
        <v/>
      </c>
      <c r="I689" s="76" t="n"/>
      <c r="J689" s="77" t="n"/>
      <c r="K689" s="74" t="n"/>
      <c r="L689" s="78" t="n"/>
      <c r="M689" s="77" t="n"/>
      <c r="N689" s="53">
        <f>IF(M689="","",IFERROR(M689/I689,""))</f>
        <v/>
      </c>
      <c r="O689" s="50">
        <f>IF(A689="","",IFERROR((IF(G689="",I689,G689)-T689)/M689,""))</f>
        <v/>
      </c>
      <c r="P689" s="50">
        <f>IFERROR((I689/T689-1)/N689,"")</f>
        <v/>
      </c>
      <c r="Q689" s="46">
        <f>IF(OR(T689="",I689&lt;T689),"",IFERROR(R689/IF(G689="",I689,G689)-1,""))</f>
        <v/>
      </c>
      <c r="R689" s="48">
        <f>IF($M689="","",MAX(IF($G689="",$I689,$G689)*(1/1.1),IF($G689="",$I689,$G689)+(R$2*$M689)))</f>
        <v/>
      </c>
      <c r="S689" s="49">
        <f>IF($M689="","",MAX(IF($G689="",$I689,$G689)*(1/1.1),IF($G689="",$I689,$G689)+(S$2*$M689)))</f>
        <v/>
      </c>
      <c r="T689" s="82" t="n"/>
      <c r="U689" s="47">
        <f>IF(OR($M689="",$T689=""),"",$T689+(U$2*$M689))</f>
        <v/>
      </c>
      <c r="V689" s="48">
        <f>IF(OR($M689="",$T689=""),"",$T689+(V$2*$M689))</f>
        <v/>
      </c>
      <c r="W689" s="48">
        <f>IF(OR($M689="",$T689=""),"",$T689+(W$2*$M689))</f>
        <v/>
      </c>
      <c r="X689" s="49">
        <f>IF(OR($M689="",$T689=""),"",$T689+(X$2*$M689))</f>
        <v/>
      </c>
      <c r="Y689" s="47">
        <f>IF(OR($M689="",$T689=""),"",$T689+(Y$2*$M689))</f>
        <v/>
      </c>
      <c r="Z689" s="49">
        <f>IF(OR($M689="",$T689=""),"",$T689+(Z$2*$M689))</f>
        <v/>
      </c>
      <c r="AA689" s="51">
        <f>IF(OR($M689="",$T689=""),"",$T689+(AA$2*$M689))</f>
        <v/>
      </c>
      <c r="AB689" s="48">
        <f>IF(OR($M689="",$T689=""),"",$T689+(AB$2*$M689))</f>
        <v/>
      </c>
      <c r="AC689" s="48">
        <f>IF(OR($M689="",$T689=""),"",$T689+(AC$2*$M689))</f>
        <v/>
      </c>
      <c r="AD689" s="48">
        <f>IF(OR($M689="",$T689=""),"",$T689+(AD$2*$M689))</f>
        <v/>
      </c>
      <c r="AE689" s="49">
        <f>IF(OR($M689="",$T689=""),"",$T689+(AE$2*$M689))</f>
        <v/>
      </c>
      <c r="AF689" s="52">
        <f>IF(OR(T689="",I689&lt;T689),"",IFERROR(AVERAGE(T689+M689*{7,8,9,10,11})/IF(G689="",I689,G689)-1,""))</f>
        <v/>
      </c>
      <c r="AG689" s="55">
        <f>IF(OR(T689="",I689&lt;T689),"",IFERROR(AF689/-(R689/IF(G689="",I689,G689)-1),""))</f>
        <v/>
      </c>
      <c r="AH689" s="94" t="n"/>
      <c r="AI689" s="94" t="n"/>
      <c r="AJ689" s="94" t="n"/>
      <c r="AK689" s="94" t="n"/>
      <c r="AL689" s="84" t="n"/>
    </row>
    <row r="690">
      <c r="A690" s="64" t="n"/>
      <c r="B690" s="65" t="n"/>
      <c r="C690" s="66" t="n"/>
      <c r="D690" s="67" t="n"/>
      <c r="E690" s="68" t="n"/>
      <c r="F690" s="47">
        <f>IF(A690="","",IF(MIN(H690,MAX(J690:K690))=0,"",MIN(H690,MAX(J690:K690))))</f>
        <v/>
      </c>
      <c r="G690" s="74" t="n"/>
      <c r="H690" s="49">
        <f>IF(M690="","",IFERROR(ROUND(AVERAGE(T690+M690*{7,8,9,10,11})/1.21,4),""))</f>
        <v/>
      </c>
      <c r="I690" s="76" t="n"/>
      <c r="J690" s="77" t="n"/>
      <c r="K690" s="74" t="n"/>
      <c r="L690" s="78" t="n"/>
      <c r="M690" s="77" t="n"/>
      <c r="N690" s="53">
        <f>IF(M690="","",IFERROR(M690/I690,""))</f>
        <v/>
      </c>
      <c r="O690" s="50">
        <f>IF(A690="","",IFERROR((IF(G690="",I690,G690)-T690)/M690,""))</f>
        <v/>
      </c>
      <c r="P690" s="50">
        <f>IFERROR((I690/T690-1)/N690,"")</f>
        <v/>
      </c>
      <c r="Q690" s="46">
        <f>IF(OR(T690="",I690&lt;T690),"",IFERROR(R690/IF(G690="",I690,G690)-1,""))</f>
        <v/>
      </c>
      <c r="R690" s="48">
        <f>IF($M690="","",MAX(IF($G690="",$I690,$G690)*(1/1.1),IF($G690="",$I690,$G690)+(R$2*$M690)))</f>
        <v/>
      </c>
      <c r="S690" s="49">
        <f>IF($M690="","",MAX(IF($G690="",$I690,$G690)*(1/1.1),IF($G690="",$I690,$G690)+(S$2*$M690)))</f>
        <v/>
      </c>
      <c r="T690" s="82" t="n"/>
      <c r="U690" s="47">
        <f>IF(OR($M690="",$T690=""),"",$T690+(U$2*$M690))</f>
        <v/>
      </c>
      <c r="V690" s="48">
        <f>IF(OR($M690="",$T690=""),"",$T690+(V$2*$M690))</f>
        <v/>
      </c>
      <c r="W690" s="48">
        <f>IF(OR($M690="",$T690=""),"",$T690+(W$2*$M690))</f>
        <v/>
      </c>
      <c r="X690" s="49">
        <f>IF(OR($M690="",$T690=""),"",$T690+(X$2*$M690))</f>
        <v/>
      </c>
      <c r="Y690" s="47">
        <f>IF(OR($M690="",$T690=""),"",$T690+(Y$2*$M690))</f>
        <v/>
      </c>
      <c r="Z690" s="49">
        <f>IF(OR($M690="",$T690=""),"",$T690+(Z$2*$M690))</f>
        <v/>
      </c>
      <c r="AA690" s="51">
        <f>IF(OR($M690="",$T690=""),"",$T690+(AA$2*$M690))</f>
        <v/>
      </c>
      <c r="AB690" s="48">
        <f>IF(OR($M690="",$T690=""),"",$T690+(AB$2*$M690))</f>
        <v/>
      </c>
      <c r="AC690" s="48">
        <f>IF(OR($M690="",$T690=""),"",$T690+(AC$2*$M690))</f>
        <v/>
      </c>
      <c r="AD690" s="48">
        <f>IF(OR($M690="",$T690=""),"",$T690+(AD$2*$M690))</f>
        <v/>
      </c>
      <c r="AE690" s="49">
        <f>IF(OR($M690="",$T690=""),"",$T690+(AE$2*$M690))</f>
        <v/>
      </c>
      <c r="AF690" s="52">
        <f>IF(OR(T690="",I690&lt;T690),"",IFERROR(AVERAGE(T690+M690*{7,8,9,10,11})/IF(G690="",I690,G690)-1,""))</f>
        <v/>
      </c>
      <c r="AG690" s="55">
        <f>IF(OR(T690="",I690&lt;T690),"",IFERROR(AF690/-(R690/IF(G690="",I690,G690)-1),""))</f>
        <v/>
      </c>
      <c r="AH690" s="94" t="n"/>
      <c r="AI690" s="94" t="n"/>
      <c r="AJ690" s="94" t="n"/>
      <c r="AK690" s="94" t="n"/>
      <c r="AL690" s="84" t="n"/>
    </row>
    <row r="691">
      <c r="A691" s="64" t="n"/>
      <c r="B691" s="65" t="n"/>
      <c r="C691" s="66" t="n"/>
      <c r="D691" s="67" t="n"/>
      <c r="E691" s="68" t="n"/>
      <c r="F691" s="47">
        <f>IF(A691="","",IF(MIN(H691,MAX(J691:K691))=0,"",MIN(H691,MAX(J691:K691))))</f>
        <v/>
      </c>
      <c r="G691" s="74" t="n"/>
      <c r="H691" s="49">
        <f>IF(M691="","",IFERROR(ROUND(AVERAGE(T691+M691*{7,8,9,10,11})/1.21,4),""))</f>
        <v/>
      </c>
      <c r="I691" s="76" t="n"/>
      <c r="J691" s="77" t="n"/>
      <c r="K691" s="74" t="n"/>
      <c r="L691" s="78" t="n"/>
      <c r="M691" s="77" t="n"/>
      <c r="N691" s="53">
        <f>IF(M691="","",IFERROR(M691/I691,""))</f>
        <v/>
      </c>
      <c r="O691" s="50">
        <f>IF(A691="","",IFERROR((IF(G691="",I691,G691)-T691)/M691,""))</f>
        <v/>
      </c>
      <c r="P691" s="50">
        <f>IFERROR((I691/T691-1)/N691,"")</f>
        <v/>
      </c>
      <c r="Q691" s="46">
        <f>IF(OR(T691="",I691&lt;T691),"",IFERROR(R691/IF(G691="",I691,G691)-1,""))</f>
        <v/>
      </c>
      <c r="R691" s="48">
        <f>IF($M691="","",MAX(IF($G691="",$I691,$G691)*(1/1.1),IF($G691="",$I691,$G691)+(R$2*$M691)))</f>
        <v/>
      </c>
      <c r="S691" s="49">
        <f>IF($M691="","",MAX(IF($G691="",$I691,$G691)*(1/1.1),IF($G691="",$I691,$G691)+(S$2*$M691)))</f>
        <v/>
      </c>
      <c r="T691" s="82" t="n"/>
      <c r="U691" s="47">
        <f>IF(OR($M691="",$T691=""),"",$T691+(U$2*$M691))</f>
        <v/>
      </c>
      <c r="V691" s="48">
        <f>IF(OR($M691="",$T691=""),"",$T691+(V$2*$M691))</f>
        <v/>
      </c>
      <c r="W691" s="48">
        <f>IF(OR($M691="",$T691=""),"",$T691+(W$2*$M691))</f>
        <v/>
      </c>
      <c r="X691" s="49">
        <f>IF(OR($M691="",$T691=""),"",$T691+(X$2*$M691))</f>
        <v/>
      </c>
      <c r="Y691" s="47">
        <f>IF(OR($M691="",$T691=""),"",$T691+(Y$2*$M691))</f>
        <v/>
      </c>
      <c r="Z691" s="49">
        <f>IF(OR($M691="",$T691=""),"",$T691+(Z$2*$M691))</f>
        <v/>
      </c>
      <c r="AA691" s="51">
        <f>IF(OR($M691="",$T691=""),"",$T691+(AA$2*$M691))</f>
        <v/>
      </c>
      <c r="AB691" s="48">
        <f>IF(OR($M691="",$T691=""),"",$T691+(AB$2*$M691))</f>
        <v/>
      </c>
      <c r="AC691" s="48">
        <f>IF(OR($M691="",$T691=""),"",$T691+(AC$2*$M691))</f>
        <v/>
      </c>
      <c r="AD691" s="48">
        <f>IF(OR($M691="",$T691=""),"",$T691+(AD$2*$M691))</f>
        <v/>
      </c>
      <c r="AE691" s="49">
        <f>IF(OR($M691="",$T691=""),"",$T691+(AE$2*$M691))</f>
        <v/>
      </c>
      <c r="AF691" s="52">
        <f>IF(OR(T691="",I691&lt;T691),"",IFERROR(AVERAGE(T691+M691*{7,8,9,10,11})/IF(G691="",I691,G691)-1,""))</f>
        <v/>
      </c>
      <c r="AG691" s="55">
        <f>IF(OR(T691="",I691&lt;T691),"",IFERROR(AF691/-(R691/IF(G691="",I691,G691)-1),""))</f>
        <v/>
      </c>
      <c r="AH691" s="94" t="n"/>
      <c r="AI691" s="94" t="n"/>
      <c r="AJ691" s="94" t="n"/>
      <c r="AK691" s="94" t="n"/>
      <c r="AL691" s="84" t="n"/>
    </row>
    <row r="692">
      <c r="A692" s="64" t="n"/>
      <c r="B692" s="65" t="n"/>
      <c r="C692" s="66" t="n"/>
      <c r="D692" s="67" t="n"/>
      <c r="E692" s="68" t="n"/>
      <c r="F692" s="47">
        <f>IF(A692="","",IF(MIN(H692,MAX(J692:K692))=0,"",MIN(H692,MAX(J692:K692))))</f>
        <v/>
      </c>
      <c r="G692" s="74" t="n"/>
      <c r="H692" s="49">
        <f>IF(M692="","",IFERROR(ROUND(AVERAGE(T692+M692*{7,8,9,10,11})/1.21,4),""))</f>
        <v/>
      </c>
      <c r="I692" s="76" t="n"/>
      <c r="J692" s="77" t="n"/>
      <c r="K692" s="74" t="n"/>
      <c r="L692" s="78" t="n"/>
      <c r="M692" s="77" t="n"/>
      <c r="N692" s="53">
        <f>IF(M692="","",IFERROR(M692/I692,""))</f>
        <v/>
      </c>
      <c r="O692" s="50">
        <f>IF(A692="","",IFERROR((IF(G692="",I692,G692)-T692)/M692,""))</f>
        <v/>
      </c>
      <c r="P692" s="50">
        <f>IFERROR((I692/T692-1)/N692,"")</f>
        <v/>
      </c>
      <c r="Q692" s="46">
        <f>IF(OR(T692="",I692&lt;T692),"",IFERROR(R692/IF(G692="",I692,G692)-1,""))</f>
        <v/>
      </c>
      <c r="R692" s="48">
        <f>IF($M692="","",MAX(IF($G692="",$I692,$G692)*(1/1.1),IF($G692="",$I692,$G692)+(R$2*$M692)))</f>
        <v/>
      </c>
      <c r="S692" s="49">
        <f>IF($M692="","",MAX(IF($G692="",$I692,$G692)*(1/1.1),IF($G692="",$I692,$G692)+(S$2*$M692)))</f>
        <v/>
      </c>
      <c r="T692" s="82" t="n"/>
      <c r="U692" s="47">
        <f>IF(OR($M692="",$T692=""),"",$T692+(U$2*$M692))</f>
        <v/>
      </c>
      <c r="V692" s="48">
        <f>IF(OR($M692="",$T692=""),"",$T692+(V$2*$M692))</f>
        <v/>
      </c>
      <c r="W692" s="48">
        <f>IF(OR($M692="",$T692=""),"",$T692+(W$2*$M692))</f>
        <v/>
      </c>
      <c r="X692" s="49">
        <f>IF(OR($M692="",$T692=""),"",$T692+(X$2*$M692))</f>
        <v/>
      </c>
      <c r="Y692" s="47">
        <f>IF(OR($M692="",$T692=""),"",$T692+(Y$2*$M692))</f>
        <v/>
      </c>
      <c r="Z692" s="49">
        <f>IF(OR($M692="",$T692=""),"",$T692+(Z$2*$M692))</f>
        <v/>
      </c>
      <c r="AA692" s="51">
        <f>IF(OR($M692="",$T692=""),"",$T692+(AA$2*$M692))</f>
        <v/>
      </c>
      <c r="AB692" s="48">
        <f>IF(OR($M692="",$T692=""),"",$T692+(AB$2*$M692))</f>
        <v/>
      </c>
      <c r="AC692" s="48">
        <f>IF(OR($M692="",$T692=""),"",$T692+(AC$2*$M692))</f>
        <v/>
      </c>
      <c r="AD692" s="48">
        <f>IF(OR($M692="",$T692=""),"",$T692+(AD$2*$M692))</f>
        <v/>
      </c>
      <c r="AE692" s="49">
        <f>IF(OR($M692="",$T692=""),"",$T692+(AE$2*$M692))</f>
        <v/>
      </c>
      <c r="AF692" s="52">
        <f>IF(OR(T692="",I692&lt;T692),"",IFERROR(AVERAGE(T692+M692*{7,8,9,10,11})/IF(G692="",I692,G692)-1,""))</f>
        <v/>
      </c>
      <c r="AG692" s="55">
        <f>IF(OR(T692="",I692&lt;T692),"",IFERROR(AF692/-(R692/IF(G692="",I692,G692)-1),""))</f>
        <v/>
      </c>
      <c r="AH692" s="94" t="n"/>
      <c r="AI692" s="94" t="n"/>
      <c r="AJ692" s="94" t="n"/>
      <c r="AK692" s="94" t="n"/>
      <c r="AL692" s="84" t="n"/>
    </row>
    <row r="693">
      <c r="A693" s="64" t="n"/>
      <c r="B693" s="65" t="n"/>
      <c r="C693" s="66" t="n"/>
      <c r="D693" s="67" t="n"/>
      <c r="E693" s="68" t="n"/>
      <c r="F693" s="47">
        <f>IF(A693="","",IF(MIN(H693,MAX(J693:K693))=0,"",MIN(H693,MAX(J693:K693))))</f>
        <v/>
      </c>
      <c r="G693" s="74" t="n"/>
      <c r="H693" s="49">
        <f>IF(M693="","",IFERROR(ROUND(AVERAGE(T693+M693*{7,8,9,10,11})/1.21,4),""))</f>
        <v/>
      </c>
      <c r="I693" s="76" t="n"/>
      <c r="J693" s="77" t="n"/>
      <c r="K693" s="74" t="n"/>
      <c r="L693" s="78" t="n"/>
      <c r="M693" s="77" t="n"/>
      <c r="N693" s="53">
        <f>IF(M693="","",IFERROR(M693/I693,""))</f>
        <v/>
      </c>
      <c r="O693" s="50">
        <f>IF(A693="","",IFERROR((IF(G693="",I693,G693)-T693)/M693,""))</f>
        <v/>
      </c>
      <c r="P693" s="50">
        <f>IFERROR((I693/T693-1)/N693,"")</f>
        <v/>
      </c>
      <c r="Q693" s="46">
        <f>IF(OR(T693="",I693&lt;T693),"",IFERROR(R693/IF(G693="",I693,G693)-1,""))</f>
        <v/>
      </c>
      <c r="R693" s="48">
        <f>IF($M693="","",MAX(IF($G693="",$I693,$G693)*(1/1.1),IF($G693="",$I693,$G693)+(R$2*$M693)))</f>
        <v/>
      </c>
      <c r="S693" s="49">
        <f>IF($M693="","",MAX(IF($G693="",$I693,$G693)*(1/1.1),IF($G693="",$I693,$G693)+(S$2*$M693)))</f>
        <v/>
      </c>
      <c r="T693" s="82" t="n"/>
      <c r="U693" s="47">
        <f>IF(OR($M693="",$T693=""),"",$T693+(U$2*$M693))</f>
        <v/>
      </c>
      <c r="V693" s="48">
        <f>IF(OR($M693="",$T693=""),"",$T693+(V$2*$M693))</f>
        <v/>
      </c>
      <c r="W693" s="48">
        <f>IF(OR($M693="",$T693=""),"",$T693+(W$2*$M693))</f>
        <v/>
      </c>
      <c r="X693" s="49">
        <f>IF(OR($M693="",$T693=""),"",$T693+(X$2*$M693))</f>
        <v/>
      </c>
      <c r="Y693" s="47">
        <f>IF(OR($M693="",$T693=""),"",$T693+(Y$2*$M693))</f>
        <v/>
      </c>
      <c r="Z693" s="49">
        <f>IF(OR($M693="",$T693=""),"",$T693+(Z$2*$M693))</f>
        <v/>
      </c>
      <c r="AA693" s="51">
        <f>IF(OR($M693="",$T693=""),"",$T693+(AA$2*$M693))</f>
        <v/>
      </c>
      <c r="AB693" s="48">
        <f>IF(OR($M693="",$T693=""),"",$T693+(AB$2*$M693))</f>
        <v/>
      </c>
      <c r="AC693" s="48">
        <f>IF(OR($M693="",$T693=""),"",$T693+(AC$2*$M693))</f>
        <v/>
      </c>
      <c r="AD693" s="48">
        <f>IF(OR($M693="",$T693=""),"",$T693+(AD$2*$M693))</f>
        <v/>
      </c>
      <c r="AE693" s="49">
        <f>IF(OR($M693="",$T693=""),"",$T693+(AE$2*$M693))</f>
        <v/>
      </c>
      <c r="AF693" s="52">
        <f>IF(OR(T693="",I693&lt;T693),"",IFERROR(AVERAGE(T693+M693*{7,8,9,10,11})/IF(G693="",I693,G693)-1,""))</f>
        <v/>
      </c>
      <c r="AG693" s="55">
        <f>IF(OR(T693="",I693&lt;T693),"",IFERROR(AF693/-(R693/IF(G693="",I693,G693)-1),""))</f>
        <v/>
      </c>
      <c r="AH693" s="94" t="n"/>
      <c r="AI693" s="94" t="n"/>
      <c r="AJ693" s="94" t="n"/>
      <c r="AK693" s="94" t="n"/>
      <c r="AL693" s="84" t="n"/>
    </row>
    <row r="694">
      <c r="A694" s="64" t="n"/>
      <c r="B694" s="65" t="n"/>
      <c r="C694" s="66" t="n"/>
      <c r="D694" s="67" t="n"/>
      <c r="E694" s="68" t="n"/>
      <c r="F694" s="47">
        <f>IF(A694="","",IF(MIN(H694,MAX(J694:K694))=0,"",MIN(H694,MAX(J694:K694))))</f>
        <v/>
      </c>
      <c r="G694" s="74" t="n"/>
      <c r="H694" s="49">
        <f>IF(M694="","",IFERROR(ROUND(AVERAGE(T694+M694*{7,8,9,10,11})/1.21,4),""))</f>
        <v/>
      </c>
      <c r="I694" s="76" t="n"/>
      <c r="J694" s="77" t="n"/>
      <c r="K694" s="74" t="n"/>
      <c r="L694" s="78" t="n"/>
      <c r="M694" s="77" t="n"/>
      <c r="N694" s="53">
        <f>IF(M694="","",IFERROR(M694/I694,""))</f>
        <v/>
      </c>
      <c r="O694" s="50">
        <f>IF(A694="","",IFERROR((IF(G694="",I694,G694)-T694)/M694,""))</f>
        <v/>
      </c>
      <c r="P694" s="50">
        <f>IFERROR((I694/T694-1)/N694,"")</f>
        <v/>
      </c>
      <c r="Q694" s="46">
        <f>IF(OR(T694="",I694&lt;T694),"",IFERROR(R694/IF(G694="",I694,G694)-1,""))</f>
        <v/>
      </c>
      <c r="R694" s="48">
        <f>IF($M694="","",MAX(IF($G694="",$I694,$G694)*(1/1.1),IF($G694="",$I694,$G694)+(R$2*$M694)))</f>
        <v/>
      </c>
      <c r="S694" s="49">
        <f>IF($M694="","",MAX(IF($G694="",$I694,$G694)*(1/1.1),IF($G694="",$I694,$G694)+(S$2*$M694)))</f>
        <v/>
      </c>
      <c r="T694" s="82" t="n"/>
      <c r="U694" s="47">
        <f>IF(OR($M694="",$T694=""),"",$T694+(U$2*$M694))</f>
        <v/>
      </c>
      <c r="V694" s="48">
        <f>IF(OR($M694="",$T694=""),"",$T694+(V$2*$M694))</f>
        <v/>
      </c>
      <c r="W694" s="48">
        <f>IF(OR($M694="",$T694=""),"",$T694+(W$2*$M694))</f>
        <v/>
      </c>
      <c r="X694" s="49">
        <f>IF(OR($M694="",$T694=""),"",$T694+(X$2*$M694))</f>
        <v/>
      </c>
      <c r="Y694" s="47">
        <f>IF(OR($M694="",$T694=""),"",$T694+(Y$2*$M694))</f>
        <v/>
      </c>
      <c r="Z694" s="49">
        <f>IF(OR($M694="",$T694=""),"",$T694+(Z$2*$M694))</f>
        <v/>
      </c>
      <c r="AA694" s="51">
        <f>IF(OR($M694="",$T694=""),"",$T694+(AA$2*$M694))</f>
        <v/>
      </c>
      <c r="AB694" s="48">
        <f>IF(OR($M694="",$T694=""),"",$T694+(AB$2*$M694))</f>
        <v/>
      </c>
      <c r="AC694" s="48">
        <f>IF(OR($M694="",$T694=""),"",$T694+(AC$2*$M694))</f>
        <v/>
      </c>
      <c r="AD694" s="48">
        <f>IF(OR($M694="",$T694=""),"",$T694+(AD$2*$M694))</f>
        <v/>
      </c>
      <c r="AE694" s="49">
        <f>IF(OR($M694="",$T694=""),"",$T694+(AE$2*$M694))</f>
        <v/>
      </c>
      <c r="AF694" s="52">
        <f>IF(OR(T694="",I694&lt;T694),"",IFERROR(AVERAGE(T694+M694*{7,8,9,10,11})/IF(G694="",I694,G694)-1,""))</f>
        <v/>
      </c>
      <c r="AG694" s="55">
        <f>IF(OR(T694="",I694&lt;T694),"",IFERROR(AF694/-(R694/IF(G694="",I694,G694)-1),""))</f>
        <v/>
      </c>
      <c r="AH694" s="94" t="n"/>
      <c r="AI694" s="94" t="n"/>
      <c r="AJ694" s="94" t="n"/>
      <c r="AK694" s="94" t="n"/>
      <c r="AL694" s="84" t="n"/>
    </row>
    <row r="695">
      <c r="A695" s="64" t="n"/>
      <c r="B695" s="65" t="n"/>
      <c r="C695" s="66" t="n"/>
      <c r="D695" s="67" t="n"/>
      <c r="E695" s="68" t="n"/>
      <c r="F695" s="47">
        <f>IF(A695="","",IF(MIN(H695,MAX(J695:K695))=0,"",MIN(H695,MAX(J695:K695))))</f>
        <v/>
      </c>
      <c r="G695" s="74" t="n"/>
      <c r="H695" s="49">
        <f>IF(M695="","",IFERROR(ROUND(AVERAGE(T695+M695*{7,8,9,10,11})/1.21,4),""))</f>
        <v/>
      </c>
      <c r="I695" s="76" t="n"/>
      <c r="J695" s="77" t="n"/>
      <c r="K695" s="74" t="n"/>
      <c r="L695" s="78" t="n"/>
      <c r="M695" s="77" t="n"/>
      <c r="N695" s="53">
        <f>IF(M695="","",IFERROR(M695/I695,""))</f>
        <v/>
      </c>
      <c r="O695" s="50">
        <f>IF(A695="","",IFERROR((IF(G695="",I695,G695)-T695)/M695,""))</f>
        <v/>
      </c>
      <c r="P695" s="50">
        <f>IFERROR((I695/T695-1)/N695,"")</f>
        <v/>
      </c>
      <c r="Q695" s="46">
        <f>IF(OR(T695="",I695&lt;T695),"",IFERROR(R695/IF(G695="",I695,G695)-1,""))</f>
        <v/>
      </c>
      <c r="R695" s="48">
        <f>IF($M695="","",MAX(IF($G695="",$I695,$G695)*(1/1.1),IF($G695="",$I695,$G695)+(R$2*$M695)))</f>
        <v/>
      </c>
      <c r="S695" s="49">
        <f>IF($M695="","",MAX(IF($G695="",$I695,$G695)*(1/1.1),IF($G695="",$I695,$G695)+(S$2*$M695)))</f>
        <v/>
      </c>
      <c r="T695" s="82" t="n"/>
      <c r="U695" s="47">
        <f>IF(OR($M695="",$T695=""),"",$T695+(U$2*$M695))</f>
        <v/>
      </c>
      <c r="V695" s="48">
        <f>IF(OR($M695="",$T695=""),"",$T695+(V$2*$M695))</f>
        <v/>
      </c>
      <c r="W695" s="48">
        <f>IF(OR($M695="",$T695=""),"",$T695+(W$2*$M695))</f>
        <v/>
      </c>
      <c r="X695" s="49">
        <f>IF(OR($M695="",$T695=""),"",$T695+(X$2*$M695))</f>
        <v/>
      </c>
      <c r="Y695" s="47">
        <f>IF(OR($M695="",$T695=""),"",$T695+(Y$2*$M695))</f>
        <v/>
      </c>
      <c r="Z695" s="49">
        <f>IF(OR($M695="",$T695=""),"",$T695+(Z$2*$M695))</f>
        <v/>
      </c>
      <c r="AA695" s="51">
        <f>IF(OR($M695="",$T695=""),"",$T695+(AA$2*$M695))</f>
        <v/>
      </c>
      <c r="AB695" s="48">
        <f>IF(OR($M695="",$T695=""),"",$T695+(AB$2*$M695))</f>
        <v/>
      </c>
      <c r="AC695" s="48">
        <f>IF(OR($M695="",$T695=""),"",$T695+(AC$2*$M695))</f>
        <v/>
      </c>
      <c r="AD695" s="48">
        <f>IF(OR($M695="",$T695=""),"",$T695+(AD$2*$M695))</f>
        <v/>
      </c>
      <c r="AE695" s="49">
        <f>IF(OR($M695="",$T695=""),"",$T695+(AE$2*$M695))</f>
        <v/>
      </c>
      <c r="AF695" s="52">
        <f>IF(OR(T695="",I695&lt;T695),"",IFERROR(AVERAGE(T695+M695*{7,8,9,10,11})/IF(G695="",I695,G695)-1,""))</f>
        <v/>
      </c>
      <c r="AG695" s="55">
        <f>IF(OR(T695="",I695&lt;T695),"",IFERROR(AF695/-(R695/IF(G695="",I695,G695)-1),""))</f>
        <v/>
      </c>
      <c r="AH695" s="94" t="n"/>
      <c r="AI695" s="94" t="n"/>
      <c r="AJ695" s="94" t="n"/>
      <c r="AK695" s="94" t="n"/>
      <c r="AL695" s="84" t="n"/>
    </row>
    <row r="696">
      <c r="A696" s="64" t="n"/>
      <c r="B696" s="65" t="n"/>
      <c r="C696" s="66" t="n"/>
      <c r="D696" s="67" t="n"/>
      <c r="E696" s="68" t="n"/>
      <c r="F696" s="47">
        <f>IF(A696="","",IF(MIN(H696,MAX(J696:K696))=0,"",MIN(H696,MAX(J696:K696))))</f>
        <v/>
      </c>
      <c r="G696" s="74" t="n"/>
      <c r="H696" s="49">
        <f>IF(M696="","",IFERROR(ROUND(AVERAGE(T696+M696*{7,8,9,10,11})/1.21,4),""))</f>
        <v/>
      </c>
      <c r="I696" s="76" t="n"/>
      <c r="J696" s="77" t="n"/>
      <c r="K696" s="74" t="n"/>
      <c r="L696" s="78" t="n"/>
      <c r="M696" s="77" t="n"/>
      <c r="N696" s="53">
        <f>IF(M696="","",IFERROR(M696/I696,""))</f>
        <v/>
      </c>
      <c r="O696" s="50">
        <f>IF(A696="","",IFERROR((IF(G696="",I696,G696)-T696)/M696,""))</f>
        <v/>
      </c>
      <c r="P696" s="50">
        <f>IFERROR((I696/T696-1)/N696,"")</f>
        <v/>
      </c>
      <c r="Q696" s="46">
        <f>IF(OR(T696="",I696&lt;T696),"",IFERROR(R696/IF(G696="",I696,G696)-1,""))</f>
        <v/>
      </c>
      <c r="R696" s="48">
        <f>IF($M696="","",MAX(IF($G696="",$I696,$G696)*(1/1.1),IF($G696="",$I696,$G696)+(R$2*$M696)))</f>
        <v/>
      </c>
      <c r="S696" s="49">
        <f>IF($M696="","",MAX(IF($G696="",$I696,$G696)*(1/1.1),IF($G696="",$I696,$G696)+(S$2*$M696)))</f>
        <v/>
      </c>
      <c r="T696" s="82" t="n"/>
      <c r="U696" s="47">
        <f>IF(OR($M696="",$T696=""),"",$T696+(U$2*$M696))</f>
        <v/>
      </c>
      <c r="V696" s="48">
        <f>IF(OR($M696="",$T696=""),"",$T696+(V$2*$M696))</f>
        <v/>
      </c>
      <c r="W696" s="48">
        <f>IF(OR($M696="",$T696=""),"",$T696+(W$2*$M696))</f>
        <v/>
      </c>
      <c r="X696" s="49">
        <f>IF(OR($M696="",$T696=""),"",$T696+(X$2*$M696))</f>
        <v/>
      </c>
      <c r="Y696" s="47">
        <f>IF(OR($M696="",$T696=""),"",$T696+(Y$2*$M696))</f>
        <v/>
      </c>
      <c r="Z696" s="49">
        <f>IF(OR($M696="",$T696=""),"",$T696+(Z$2*$M696))</f>
        <v/>
      </c>
      <c r="AA696" s="51">
        <f>IF(OR($M696="",$T696=""),"",$T696+(AA$2*$M696))</f>
        <v/>
      </c>
      <c r="AB696" s="48">
        <f>IF(OR($M696="",$T696=""),"",$T696+(AB$2*$M696))</f>
        <v/>
      </c>
      <c r="AC696" s="48">
        <f>IF(OR($M696="",$T696=""),"",$T696+(AC$2*$M696))</f>
        <v/>
      </c>
      <c r="AD696" s="48">
        <f>IF(OR($M696="",$T696=""),"",$T696+(AD$2*$M696))</f>
        <v/>
      </c>
      <c r="AE696" s="49">
        <f>IF(OR($M696="",$T696=""),"",$T696+(AE$2*$M696))</f>
        <v/>
      </c>
      <c r="AF696" s="52">
        <f>IF(OR(T696="",I696&lt;T696),"",IFERROR(AVERAGE(T696+M696*{7,8,9,10,11})/IF(G696="",I696,G696)-1,""))</f>
        <v/>
      </c>
      <c r="AG696" s="55">
        <f>IF(OR(T696="",I696&lt;T696),"",IFERROR(AF696/-(R696/IF(G696="",I696,G696)-1),""))</f>
        <v/>
      </c>
      <c r="AH696" s="94" t="n"/>
      <c r="AI696" s="94" t="n"/>
      <c r="AJ696" s="94" t="n"/>
      <c r="AK696" s="94" t="n"/>
      <c r="AL696" s="84" t="n"/>
    </row>
    <row r="697">
      <c r="A697" s="64" t="n"/>
      <c r="B697" s="65" t="n"/>
      <c r="C697" s="66" t="n"/>
      <c r="D697" s="67" t="n"/>
      <c r="E697" s="68" t="n"/>
      <c r="F697" s="47">
        <f>IF(A697="","",IF(MIN(H697,MAX(J697:K697))=0,"",MIN(H697,MAX(J697:K697))))</f>
        <v/>
      </c>
      <c r="G697" s="74" t="n"/>
      <c r="H697" s="49">
        <f>IF(M697="","",IFERROR(ROUND(AVERAGE(T697+M697*{7,8,9,10,11})/1.21,4),""))</f>
        <v/>
      </c>
      <c r="I697" s="76" t="n"/>
      <c r="J697" s="77" t="n"/>
      <c r="K697" s="74" t="n"/>
      <c r="L697" s="78" t="n"/>
      <c r="M697" s="77" t="n"/>
      <c r="N697" s="53">
        <f>IF(M697="","",IFERROR(M697/I697,""))</f>
        <v/>
      </c>
      <c r="O697" s="50">
        <f>IF(A697="","",IFERROR((IF(G697="",I697,G697)-T697)/M697,""))</f>
        <v/>
      </c>
      <c r="P697" s="50">
        <f>IFERROR((I697/T697-1)/N697,"")</f>
        <v/>
      </c>
      <c r="Q697" s="46">
        <f>IF(OR(T697="",I697&lt;T697),"",IFERROR(R697/IF(G697="",I697,G697)-1,""))</f>
        <v/>
      </c>
      <c r="R697" s="48">
        <f>IF($M697="","",MAX(IF($G697="",$I697,$G697)*(1/1.1),IF($G697="",$I697,$G697)+(R$2*$M697)))</f>
        <v/>
      </c>
      <c r="S697" s="49">
        <f>IF($M697="","",MAX(IF($G697="",$I697,$G697)*(1/1.1),IF($G697="",$I697,$G697)+(S$2*$M697)))</f>
        <v/>
      </c>
      <c r="T697" s="82" t="n"/>
      <c r="U697" s="47">
        <f>IF(OR($M697="",$T697=""),"",$T697+(U$2*$M697))</f>
        <v/>
      </c>
      <c r="V697" s="48">
        <f>IF(OR($M697="",$T697=""),"",$T697+(V$2*$M697))</f>
        <v/>
      </c>
      <c r="W697" s="48">
        <f>IF(OR($M697="",$T697=""),"",$T697+(W$2*$M697))</f>
        <v/>
      </c>
      <c r="X697" s="49">
        <f>IF(OR($M697="",$T697=""),"",$T697+(X$2*$M697))</f>
        <v/>
      </c>
      <c r="Y697" s="47">
        <f>IF(OR($M697="",$T697=""),"",$T697+(Y$2*$M697))</f>
        <v/>
      </c>
      <c r="Z697" s="49">
        <f>IF(OR($M697="",$T697=""),"",$T697+(Z$2*$M697))</f>
        <v/>
      </c>
      <c r="AA697" s="51">
        <f>IF(OR($M697="",$T697=""),"",$T697+(AA$2*$M697))</f>
        <v/>
      </c>
      <c r="AB697" s="48">
        <f>IF(OR($M697="",$T697=""),"",$T697+(AB$2*$M697))</f>
        <v/>
      </c>
      <c r="AC697" s="48">
        <f>IF(OR($M697="",$T697=""),"",$T697+(AC$2*$M697))</f>
        <v/>
      </c>
      <c r="AD697" s="48">
        <f>IF(OR($M697="",$T697=""),"",$T697+(AD$2*$M697))</f>
        <v/>
      </c>
      <c r="AE697" s="49">
        <f>IF(OR($M697="",$T697=""),"",$T697+(AE$2*$M697))</f>
        <v/>
      </c>
      <c r="AF697" s="52">
        <f>IF(OR(T697="",I697&lt;T697),"",IFERROR(AVERAGE(T697+M697*{7,8,9,10,11})/IF(G697="",I697,G697)-1,""))</f>
        <v/>
      </c>
      <c r="AG697" s="55">
        <f>IF(OR(T697="",I697&lt;T697),"",IFERROR(AF697/-(R697/IF(G697="",I697,G697)-1),""))</f>
        <v/>
      </c>
      <c r="AH697" s="94" t="n"/>
      <c r="AI697" s="94" t="n"/>
      <c r="AJ697" s="94" t="n"/>
      <c r="AK697" s="94" t="n"/>
      <c r="AL697" s="84" t="n"/>
    </row>
    <row r="698">
      <c r="A698" s="64" t="n"/>
      <c r="B698" s="65" t="n"/>
      <c r="C698" s="66" t="n"/>
      <c r="D698" s="67" t="n"/>
      <c r="E698" s="68" t="n"/>
      <c r="F698" s="47">
        <f>IF(A698="","",IF(MIN(H698,MAX(J698:K698))=0,"",MIN(H698,MAX(J698:K698))))</f>
        <v/>
      </c>
      <c r="G698" s="74" t="n"/>
      <c r="H698" s="49">
        <f>IF(M698="","",IFERROR(ROUND(AVERAGE(T698+M698*{7,8,9,10,11})/1.21,4),""))</f>
        <v/>
      </c>
      <c r="I698" s="76" t="n"/>
      <c r="J698" s="77" t="n"/>
      <c r="K698" s="74" t="n"/>
      <c r="L698" s="78" t="n"/>
      <c r="M698" s="77" t="n"/>
      <c r="N698" s="53">
        <f>IF(M698="","",IFERROR(M698/I698,""))</f>
        <v/>
      </c>
      <c r="O698" s="50">
        <f>IF(A698="","",IFERROR((IF(G698="",I698,G698)-T698)/M698,""))</f>
        <v/>
      </c>
      <c r="P698" s="50">
        <f>IFERROR((I698/T698-1)/N698,"")</f>
        <v/>
      </c>
      <c r="Q698" s="46">
        <f>IF(OR(T698="",I698&lt;T698),"",IFERROR(R698/IF(G698="",I698,G698)-1,""))</f>
        <v/>
      </c>
      <c r="R698" s="48">
        <f>IF($M698="","",MAX(IF($G698="",$I698,$G698)*(1/1.1),IF($G698="",$I698,$G698)+(R$2*$M698)))</f>
        <v/>
      </c>
      <c r="S698" s="49">
        <f>IF($M698="","",MAX(IF($G698="",$I698,$G698)*(1/1.1),IF($G698="",$I698,$G698)+(S$2*$M698)))</f>
        <v/>
      </c>
      <c r="T698" s="82" t="n"/>
      <c r="U698" s="47">
        <f>IF(OR($M698="",$T698=""),"",$T698+(U$2*$M698))</f>
        <v/>
      </c>
      <c r="V698" s="48">
        <f>IF(OR($M698="",$T698=""),"",$T698+(V$2*$M698))</f>
        <v/>
      </c>
      <c r="W698" s="48">
        <f>IF(OR($M698="",$T698=""),"",$T698+(W$2*$M698))</f>
        <v/>
      </c>
      <c r="X698" s="49">
        <f>IF(OR($M698="",$T698=""),"",$T698+(X$2*$M698))</f>
        <v/>
      </c>
      <c r="Y698" s="47">
        <f>IF(OR($M698="",$T698=""),"",$T698+(Y$2*$M698))</f>
        <v/>
      </c>
      <c r="Z698" s="49">
        <f>IF(OR($M698="",$T698=""),"",$T698+(Z$2*$M698))</f>
        <v/>
      </c>
      <c r="AA698" s="51">
        <f>IF(OR($M698="",$T698=""),"",$T698+(AA$2*$M698))</f>
        <v/>
      </c>
      <c r="AB698" s="48">
        <f>IF(OR($M698="",$T698=""),"",$T698+(AB$2*$M698))</f>
        <v/>
      </c>
      <c r="AC698" s="48">
        <f>IF(OR($M698="",$T698=""),"",$T698+(AC$2*$M698))</f>
        <v/>
      </c>
      <c r="AD698" s="48">
        <f>IF(OR($M698="",$T698=""),"",$T698+(AD$2*$M698))</f>
        <v/>
      </c>
      <c r="AE698" s="49">
        <f>IF(OR($M698="",$T698=""),"",$T698+(AE$2*$M698))</f>
        <v/>
      </c>
      <c r="AF698" s="52">
        <f>IF(OR(T698="",I698&lt;T698),"",IFERROR(AVERAGE(T698+M698*{7,8,9,10,11})/IF(G698="",I698,G698)-1,""))</f>
        <v/>
      </c>
      <c r="AG698" s="55">
        <f>IF(OR(T698="",I698&lt;T698),"",IFERROR(AF698/-(R698/IF(G698="",I698,G698)-1),""))</f>
        <v/>
      </c>
      <c r="AH698" s="94" t="n"/>
      <c r="AI698" s="94" t="n"/>
      <c r="AJ698" s="94" t="n"/>
      <c r="AK698" s="94" t="n"/>
      <c r="AL698" s="84" t="n"/>
    </row>
    <row r="699">
      <c r="A699" s="64" t="n"/>
      <c r="B699" s="65" t="n"/>
      <c r="C699" s="66" t="n"/>
      <c r="D699" s="67" t="n"/>
      <c r="E699" s="68" t="n"/>
      <c r="F699" s="47">
        <f>IF(A699="","",IF(MIN(H699,MAX(J699:K699))=0,"",MIN(H699,MAX(J699:K699))))</f>
        <v/>
      </c>
      <c r="G699" s="74" t="n"/>
      <c r="H699" s="49">
        <f>IF(M699="","",IFERROR(ROUND(AVERAGE(T699+M699*{7,8,9,10,11})/1.21,4),""))</f>
        <v/>
      </c>
      <c r="I699" s="76" t="n"/>
      <c r="J699" s="77" t="n"/>
      <c r="K699" s="74" t="n"/>
      <c r="L699" s="78" t="n"/>
      <c r="M699" s="77" t="n"/>
      <c r="N699" s="53">
        <f>IF(M699="","",IFERROR(M699/I699,""))</f>
        <v/>
      </c>
      <c r="O699" s="50">
        <f>IF(A699="","",IFERROR((IF(G699="",I699,G699)-T699)/M699,""))</f>
        <v/>
      </c>
      <c r="P699" s="50">
        <f>IFERROR((I699/T699-1)/N699,"")</f>
        <v/>
      </c>
      <c r="Q699" s="46">
        <f>IF(OR(T699="",I699&lt;T699),"",IFERROR(R699/IF(G699="",I699,G699)-1,""))</f>
        <v/>
      </c>
      <c r="R699" s="48">
        <f>IF($M699="","",MAX(IF($G699="",$I699,$G699)*(1/1.1),IF($G699="",$I699,$G699)+(R$2*$M699)))</f>
        <v/>
      </c>
      <c r="S699" s="49">
        <f>IF($M699="","",MAX(IF($G699="",$I699,$G699)*(1/1.1),IF($G699="",$I699,$G699)+(S$2*$M699)))</f>
        <v/>
      </c>
      <c r="T699" s="82" t="n"/>
      <c r="U699" s="47">
        <f>IF(OR($M699="",$T699=""),"",$T699+(U$2*$M699))</f>
        <v/>
      </c>
      <c r="V699" s="48">
        <f>IF(OR($M699="",$T699=""),"",$T699+(V$2*$M699))</f>
        <v/>
      </c>
      <c r="W699" s="48">
        <f>IF(OR($M699="",$T699=""),"",$T699+(W$2*$M699))</f>
        <v/>
      </c>
      <c r="X699" s="49">
        <f>IF(OR($M699="",$T699=""),"",$T699+(X$2*$M699))</f>
        <v/>
      </c>
      <c r="Y699" s="47">
        <f>IF(OR($M699="",$T699=""),"",$T699+(Y$2*$M699))</f>
        <v/>
      </c>
      <c r="Z699" s="49">
        <f>IF(OR($M699="",$T699=""),"",$T699+(Z$2*$M699))</f>
        <v/>
      </c>
      <c r="AA699" s="51">
        <f>IF(OR($M699="",$T699=""),"",$T699+(AA$2*$M699))</f>
        <v/>
      </c>
      <c r="AB699" s="48">
        <f>IF(OR($M699="",$T699=""),"",$T699+(AB$2*$M699))</f>
        <v/>
      </c>
      <c r="AC699" s="48">
        <f>IF(OR($M699="",$T699=""),"",$T699+(AC$2*$M699))</f>
        <v/>
      </c>
      <c r="AD699" s="48">
        <f>IF(OR($M699="",$T699=""),"",$T699+(AD$2*$M699))</f>
        <v/>
      </c>
      <c r="AE699" s="49">
        <f>IF(OR($M699="",$T699=""),"",$T699+(AE$2*$M699))</f>
        <v/>
      </c>
      <c r="AF699" s="52">
        <f>IF(OR(T699="",I699&lt;T699),"",IFERROR(AVERAGE(T699+M699*{7,8,9,10,11})/IF(G699="",I699,G699)-1,""))</f>
        <v/>
      </c>
      <c r="AG699" s="55">
        <f>IF(OR(T699="",I699&lt;T699),"",IFERROR(AF699/-(R699/IF(G699="",I699,G699)-1),""))</f>
        <v/>
      </c>
      <c r="AH699" s="94" t="n"/>
      <c r="AI699" s="94" t="n"/>
      <c r="AJ699" s="94" t="n"/>
      <c r="AK699" s="94" t="n"/>
      <c r="AL699" s="84" t="n"/>
    </row>
    <row r="700">
      <c r="A700" s="64" t="n"/>
      <c r="B700" s="65" t="n"/>
      <c r="C700" s="66" t="n"/>
      <c r="D700" s="67" t="n"/>
      <c r="E700" s="68" t="n"/>
      <c r="F700" s="47">
        <f>IF(A700="","",IF(MIN(H700,MAX(J700:K700))=0,"",MIN(H700,MAX(J700:K700))))</f>
        <v/>
      </c>
      <c r="G700" s="74" t="n"/>
      <c r="H700" s="49">
        <f>IF(M700="","",IFERROR(ROUND(AVERAGE(T700+M700*{7,8,9,10,11})/1.21,4),""))</f>
        <v/>
      </c>
      <c r="I700" s="76" t="n"/>
      <c r="J700" s="77" t="n"/>
      <c r="K700" s="74" t="n"/>
      <c r="L700" s="78" t="n"/>
      <c r="M700" s="77" t="n"/>
      <c r="N700" s="53">
        <f>IF(M700="","",IFERROR(M700/I700,""))</f>
        <v/>
      </c>
      <c r="O700" s="50">
        <f>IF(A700="","",IFERROR((IF(G700="",I700,G700)-T700)/M700,""))</f>
        <v/>
      </c>
      <c r="P700" s="50">
        <f>IFERROR((I700/T700-1)/N700,"")</f>
        <v/>
      </c>
      <c r="Q700" s="46">
        <f>IF(OR(T700="",I700&lt;T700),"",IFERROR(R700/IF(G700="",I700,G700)-1,""))</f>
        <v/>
      </c>
      <c r="R700" s="48">
        <f>IF($M700="","",MAX(IF($G700="",$I700,$G700)*(1/1.1),IF($G700="",$I700,$G700)+(R$2*$M700)))</f>
        <v/>
      </c>
      <c r="S700" s="49">
        <f>IF($M700="","",MAX(IF($G700="",$I700,$G700)*(1/1.1),IF($G700="",$I700,$G700)+(S$2*$M700)))</f>
        <v/>
      </c>
      <c r="T700" s="82" t="n"/>
      <c r="U700" s="47">
        <f>IF(OR($M700="",$T700=""),"",$T700+(U$2*$M700))</f>
        <v/>
      </c>
      <c r="V700" s="48">
        <f>IF(OR($M700="",$T700=""),"",$T700+(V$2*$M700))</f>
        <v/>
      </c>
      <c r="W700" s="48">
        <f>IF(OR($M700="",$T700=""),"",$T700+(W$2*$M700))</f>
        <v/>
      </c>
      <c r="X700" s="49">
        <f>IF(OR($M700="",$T700=""),"",$T700+(X$2*$M700))</f>
        <v/>
      </c>
      <c r="Y700" s="47">
        <f>IF(OR($M700="",$T700=""),"",$T700+(Y$2*$M700))</f>
        <v/>
      </c>
      <c r="Z700" s="49">
        <f>IF(OR($M700="",$T700=""),"",$T700+(Z$2*$M700))</f>
        <v/>
      </c>
      <c r="AA700" s="51">
        <f>IF(OR($M700="",$T700=""),"",$T700+(AA$2*$M700))</f>
        <v/>
      </c>
      <c r="AB700" s="48">
        <f>IF(OR($M700="",$T700=""),"",$T700+(AB$2*$M700))</f>
        <v/>
      </c>
      <c r="AC700" s="48">
        <f>IF(OR($M700="",$T700=""),"",$T700+(AC$2*$M700))</f>
        <v/>
      </c>
      <c r="AD700" s="48">
        <f>IF(OR($M700="",$T700=""),"",$T700+(AD$2*$M700))</f>
        <v/>
      </c>
      <c r="AE700" s="49">
        <f>IF(OR($M700="",$T700=""),"",$T700+(AE$2*$M700))</f>
        <v/>
      </c>
      <c r="AF700" s="52">
        <f>IF(OR(T700="",I700&lt;T700),"",IFERROR(AVERAGE(T700+M700*{7,8,9,10,11})/IF(G700="",I700,G700)-1,""))</f>
        <v/>
      </c>
      <c r="AG700" s="55">
        <f>IF(OR(T700="",I700&lt;T700),"",IFERROR(AF700/-(R700/IF(G700="",I700,G700)-1),""))</f>
        <v/>
      </c>
      <c r="AH700" s="94" t="n"/>
      <c r="AI700" s="94" t="n"/>
      <c r="AJ700" s="94" t="n"/>
      <c r="AK700" s="94" t="n"/>
      <c r="AL700" s="84" t="n"/>
    </row>
    <row r="701">
      <c r="A701" s="64" t="n"/>
      <c r="B701" s="65" t="n"/>
      <c r="C701" s="66" t="n"/>
      <c r="D701" s="67" t="n"/>
      <c r="E701" s="68" t="n"/>
      <c r="F701" s="47">
        <f>IF(A701="","",IF(MIN(H701,MAX(J701:K701))=0,"",MIN(H701,MAX(J701:K701))))</f>
        <v/>
      </c>
      <c r="G701" s="74" t="n"/>
      <c r="H701" s="49">
        <f>IF(M701="","",IFERROR(ROUND(AVERAGE(T701+M701*{7,8,9,10,11})/1.21,4),""))</f>
        <v/>
      </c>
      <c r="I701" s="76" t="n"/>
      <c r="J701" s="77" t="n"/>
      <c r="K701" s="74" t="n"/>
      <c r="L701" s="78" t="n"/>
      <c r="M701" s="77" t="n"/>
      <c r="N701" s="53">
        <f>IF(M701="","",IFERROR(M701/I701,""))</f>
        <v/>
      </c>
      <c r="O701" s="50">
        <f>IF(A701="","",IFERROR((IF(G701="",I701,G701)-T701)/M701,""))</f>
        <v/>
      </c>
      <c r="P701" s="50">
        <f>IFERROR((I701/T701-1)/N701,"")</f>
        <v/>
      </c>
      <c r="Q701" s="46">
        <f>IF(OR(T701="",I701&lt;T701),"",IFERROR(R701/IF(G701="",I701,G701)-1,""))</f>
        <v/>
      </c>
      <c r="R701" s="48">
        <f>IF($M701="","",MAX(IF($G701="",$I701,$G701)*(1/1.1),IF($G701="",$I701,$G701)+(R$2*$M701)))</f>
        <v/>
      </c>
      <c r="S701" s="49">
        <f>IF($M701="","",MAX(IF($G701="",$I701,$G701)*(1/1.1),IF($G701="",$I701,$G701)+(S$2*$M701)))</f>
        <v/>
      </c>
      <c r="T701" s="82" t="n"/>
      <c r="U701" s="47">
        <f>IF(OR($M701="",$T701=""),"",$T701+(U$2*$M701))</f>
        <v/>
      </c>
      <c r="V701" s="48">
        <f>IF(OR($M701="",$T701=""),"",$T701+(V$2*$M701))</f>
        <v/>
      </c>
      <c r="W701" s="48">
        <f>IF(OR($M701="",$T701=""),"",$T701+(W$2*$M701))</f>
        <v/>
      </c>
      <c r="X701" s="49">
        <f>IF(OR($M701="",$T701=""),"",$T701+(X$2*$M701))</f>
        <v/>
      </c>
      <c r="Y701" s="47">
        <f>IF(OR($M701="",$T701=""),"",$T701+(Y$2*$M701))</f>
        <v/>
      </c>
      <c r="Z701" s="49">
        <f>IF(OR($M701="",$T701=""),"",$T701+(Z$2*$M701))</f>
        <v/>
      </c>
      <c r="AA701" s="51">
        <f>IF(OR($M701="",$T701=""),"",$T701+(AA$2*$M701))</f>
        <v/>
      </c>
      <c r="AB701" s="48">
        <f>IF(OR($M701="",$T701=""),"",$T701+(AB$2*$M701))</f>
        <v/>
      </c>
      <c r="AC701" s="48">
        <f>IF(OR($M701="",$T701=""),"",$T701+(AC$2*$M701))</f>
        <v/>
      </c>
      <c r="AD701" s="48">
        <f>IF(OR($M701="",$T701=""),"",$T701+(AD$2*$M701))</f>
        <v/>
      </c>
      <c r="AE701" s="49">
        <f>IF(OR($M701="",$T701=""),"",$T701+(AE$2*$M701))</f>
        <v/>
      </c>
      <c r="AF701" s="52">
        <f>IF(OR(T701="",I701&lt;T701),"",IFERROR(AVERAGE(T701+M701*{7,8,9,10,11})/IF(G701="",I701,G701)-1,""))</f>
        <v/>
      </c>
      <c r="AG701" s="55">
        <f>IF(OR(T701="",I701&lt;T701),"",IFERROR(AF701/-(R701/IF(G701="",I701,G701)-1),""))</f>
        <v/>
      </c>
      <c r="AH701" s="94" t="n"/>
      <c r="AI701" s="94" t="n"/>
      <c r="AJ701" s="94" t="n"/>
      <c r="AK701" s="94" t="n"/>
      <c r="AL701" s="84" t="n"/>
    </row>
    <row r="702">
      <c r="A702" s="64" t="n"/>
      <c r="B702" s="65" t="n"/>
      <c r="C702" s="66" t="n"/>
      <c r="D702" s="67" t="n"/>
      <c r="E702" s="68" t="n"/>
      <c r="F702" s="47">
        <f>IF(A702="","",IF(MIN(H702,MAX(J702:K702))=0,"",MIN(H702,MAX(J702:K702))))</f>
        <v/>
      </c>
      <c r="G702" s="74" t="n"/>
      <c r="H702" s="49">
        <f>IF(M702="","",IFERROR(ROUND(AVERAGE(T702+M702*{7,8,9,10,11})/1.21,4),""))</f>
        <v/>
      </c>
      <c r="I702" s="76" t="n"/>
      <c r="J702" s="77" t="n"/>
      <c r="K702" s="74" t="n"/>
      <c r="L702" s="78" t="n"/>
      <c r="M702" s="77" t="n"/>
      <c r="N702" s="53">
        <f>IF(M702="","",IFERROR(M702/I702,""))</f>
        <v/>
      </c>
      <c r="O702" s="50">
        <f>IF(A702="","",IFERROR((IF(G702="",I702,G702)-T702)/M702,""))</f>
        <v/>
      </c>
      <c r="P702" s="50">
        <f>IFERROR((I702/T702-1)/N702,"")</f>
        <v/>
      </c>
      <c r="Q702" s="46">
        <f>IF(OR(T702="",I702&lt;T702),"",IFERROR(R702/IF(G702="",I702,G702)-1,""))</f>
        <v/>
      </c>
      <c r="R702" s="48">
        <f>IF($M702="","",MAX(IF($G702="",$I702,$G702)*(1/1.1),IF($G702="",$I702,$G702)+(R$2*$M702)))</f>
        <v/>
      </c>
      <c r="S702" s="49">
        <f>IF($M702="","",MAX(IF($G702="",$I702,$G702)*(1/1.1),IF($G702="",$I702,$G702)+(S$2*$M702)))</f>
        <v/>
      </c>
      <c r="T702" s="82" t="n"/>
      <c r="U702" s="47">
        <f>IF(OR($M702="",$T702=""),"",$T702+(U$2*$M702))</f>
        <v/>
      </c>
      <c r="V702" s="48">
        <f>IF(OR($M702="",$T702=""),"",$T702+(V$2*$M702))</f>
        <v/>
      </c>
      <c r="W702" s="48">
        <f>IF(OR($M702="",$T702=""),"",$T702+(W$2*$M702))</f>
        <v/>
      </c>
      <c r="X702" s="49">
        <f>IF(OR($M702="",$T702=""),"",$T702+(X$2*$M702))</f>
        <v/>
      </c>
      <c r="Y702" s="47">
        <f>IF(OR($M702="",$T702=""),"",$T702+(Y$2*$M702))</f>
        <v/>
      </c>
      <c r="Z702" s="49">
        <f>IF(OR($M702="",$T702=""),"",$T702+(Z$2*$M702))</f>
        <v/>
      </c>
      <c r="AA702" s="51">
        <f>IF(OR($M702="",$T702=""),"",$T702+(AA$2*$M702))</f>
        <v/>
      </c>
      <c r="AB702" s="48">
        <f>IF(OR($M702="",$T702=""),"",$T702+(AB$2*$M702))</f>
        <v/>
      </c>
      <c r="AC702" s="48">
        <f>IF(OR($M702="",$T702=""),"",$T702+(AC$2*$M702))</f>
        <v/>
      </c>
      <c r="AD702" s="48">
        <f>IF(OR($M702="",$T702=""),"",$T702+(AD$2*$M702))</f>
        <v/>
      </c>
      <c r="AE702" s="49">
        <f>IF(OR($M702="",$T702=""),"",$T702+(AE$2*$M702))</f>
        <v/>
      </c>
      <c r="AF702" s="52">
        <f>IF(OR(T702="",I702&lt;T702),"",IFERROR(AVERAGE(T702+M702*{7,8,9,10,11})/IF(G702="",I702,G702)-1,""))</f>
        <v/>
      </c>
      <c r="AG702" s="55">
        <f>IF(OR(T702="",I702&lt;T702),"",IFERROR(AF702/-(R702/IF(G702="",I702,G702)-1),""))</f>
        <v/>
      </c>
      <c r="AH702" s="94" t="n"/>
      <c r="AI702" s="94" t="n"/>
      <c r="AJ702" s="94" t="n"/>
      <c r="AK702" s="94" t="n"/>
      <c r="AL702" s="84" t="n"/>
    </row>
    <row r="703">
      <c r="A703" s="64" t="n"/>
      <c r="B703" s="65" t="n"/>
      <c r="C703" s="66" t="n"/>
      <c r="D703" s="67" t="n"/>
      <c r="E703" s="68" t="n"/>
      <c r="F703" s="47">
        <f>IF(A703="","",IF(MIN(H703,MAX(J703:K703))=0,"",MIN(H703,MAX(J703:K703))))</f>
        <v/>
      </c>
      <c r="G703" s="74" t="n"/>
      <c r="H703" s="49">
        <f>IF(M703="","",IFERROR(ROUND(AVERAGE(T703+M703*{7,8,9,10,11})/1.21,4),""))</f>
        <v/>
      </c>
      <c r="I703" s="76" t="n"/>
      <c r="J703" s="77" t="n"/>
      <c r="K703" s="74" t="n"/>
      <c r="L703" s="78" t="n"/>
      <c r="M703" s="77" t="n"/>
      <c r="N703" s="53">
        <f>IF(M703="","",IFERROR(M703/I703,""))</f>
        <v/>
      </c>
      <c r="O703" s="50">
        <f>IF(A703="","",IFERROR((IF(G703="",I703,G703)-T703)/M703,""))</f>
        <v/>
      </c>
      <c r="P703" s="50">
        <f>IFERROR((I703/T703-1)/N703,"")</f>
        <v/>
      </c>
      <c r="Q703" s="46">
        <f>IF(OR(T703="",I703&lt;T703),"",IFERROR(R703/IF(G703="",I703,G703)-1,""))</f>
        <v/>
      </c>
      <c r="R703" s="48">
        <f>IF($M703="","",MAX(IF($G703="",$I703,$G703)*(1/1.1),IF($G703="",$I703,$G703)+(R$2*$M703)))</f>
        <v/>
      </c>
      <c r="S703" s="49">
        <f>IF($M703="","",MAX(IF($G703="",$I703,$G703)*(1/1.1),IF($G703="",$I703,$G703)+(S$2*$M703)))</f>
        <v/>
      </c>
      <c r="T703" s="82" t="n"/>
      <c r="U703" s="47">
        <f>IF(OR($M703="",$T703=""),"",$T703+(U$2*$M703))</f>
        <v/>
      </c>
      <c r="V703" s="48">
        <f>IF(OR($M703="",$T703=""),"",$T703+(V$2*$M703))</f>
        <v/>
      </c>
      <c r="W703" s="48">
        <f>IF(OR($M703="",$T703=""),"",$T703+(W$2*$M703))</f>
        <v/>
      </c>
      <c r="X703" s="49">
        <f>IF(OR($M703="",$T703=""),"",$T703+(X$2*$M703))</f>
        <v/>
      </c>
      <c r="Y703" s="47">
        <f>IF(OR($M703="",$T703=""),"",$T703+(Y$2*$M703))</f>
        <v/>
      </c>
      <c r="Z703" s="49">
        <f>IF(OR($M703="",$T703=""),"",$T703+(Z$2*$M703))</f>
        <v/>
      </c>
      <c r="AA703" s="51">
        <f>IF(OR($M703="",$T703=""),"",$T703+(AA$2*$M703))</f>
        <v/>
      </c>
      <c r="AB703" s="48">
        <f>IF(OR($M703="",$T703=""),"",$T703+(AB$2*$M703))</f>
        <v/>
      </c>
      <c r="AC703" s="48">
        <f>IF(OR($M703="",$T703=""),"",$T703+(AC$2*$M703))</f>
        <v/>
      </c>
      <c r="AD703" s="48">
        <f>IF(OR($M703="",$T703=""),"",$T703+(AD$2*$M703))</f>
        <v/>
      </c>
      <c r="AE703" s="49">
        <f>IF(OR($M703="",$T703=""),"",$T703+(AE$2*$M703))</f>
        <v/>
      </c>
      <c r="AF703" s="52">
        <f>IF(OR(T703="",I703&lt;T703),"",IFERROR(AVERAGE(T703+M703*{7,8,9,10,11})/IF(G703="",I703,G703)-1,""))</f>
        <v/>
      </c>
      <c r="AG703" s="55">
        <f>IF(OR(T703="",I703&lt;T703),"",IFERROR(AF703/-(R703/IF(G703="",I703,G703)-1),""))</f>
        <v/>
      </c>
      <c r="AH703" s="94" t="n"/>
      <c r="AI703" s="94" t="n"/>
      <c r="AJ703" s="94" t="n"/>
      <c r="AK703" s="94" t="n"/>
      <c r="AL703" s="84" t="n"/>
    </row>
    <row r="704">
      <c r="A704" s="64" t="n"/>
      <c r="B704" s="65" t="n"/>
      <c r="C704" s="66" t="n"/>
      <c r="D704" s="67" t="n"/>
      <c r="E704" s="68" t="n"/>
      <c r="F704" s="47">
        <f>IF(A704="","",IF(MIN(H704,MAX(J704:K704))=0,"",MIN(H704,MAX(J704:K704))))</f>
        <v/>
      </c>
      <c r="G704" s="74" t="n"/>
      <c r="H704" s="49">
        <f>IF(M704="","",IFERROR(ROUND(AVERAGE(T704+M704*{7,8,9,10,11})/1.21,4),""))</f>
        <v/>
      </c>
      <c r="I704" s="76" t="n"/>
      <c r="J704" s="77" t="n"/>
      <c r="K704" s="74" t="n"/>
      <c r="L704" s="78" t="n"/>
      <c r="M704" s="77" t="n"/>
      <c r="N704" s="53">
        <f>IF(M704="","",IFERROR(M704/I704,""))</f>
        <v/>
      </c>
      <c r="O704" s="50">
        <f>IF(A704="","",IFERROR((IF(G704="",I704,G704)-T704)/M704,""))</f>
        <v/>
      </c>
      <c r="P704" s="50">
        <f>IFERROR((I704/T704-1)/N704,"")</f>
        <v/>
      </c>
      <c r="Q704" s="46">
        <f>IF(OR(T704="",I704&lt;T704),"",IFERROR(R704/IF(G704="",I704,G704)-1,""))</f>
        <v/>
      </c>
      <c r="R704" s="48">
        <f>IF($M704="","",MAX(IF($G704="",$I704,$G704)*(1/1.1),IF($G704="",$I704,$G704)+(R$2*$M704)))</f>
        <v/>
      </c>
      <c r="S704" s="49">
        <f>IF($M704="","",MAX(IF($G704="",$I704,$G704)*(1/1.1),IF($G704="",$I704,$G704)+(S$2*$M704)))</f>
        <v/>
      </c>
      <c r="T704" s="82" t="n"/>
      <c r="U704" s="47">
        <f>IF(OR($M704="",$T704=""),"",$T704+(U$2*$M704))</f>
        <v/>
      </c>
      <c r="V704" s="48">
        <f>IF(OR($M704="",$T704=""),"",$T704+(V$2*$M704))</f>
        <v/>
      </c>
      <c r="W704" s="48">
        <f>IF(OR($M704="",$T704=""),"",$T704+(W$2*$M704))</f>
        <v/>
      </c>
      <c r="X704" s="49">
        <f>IF(OR($M704="",$T704=""),"",$T704+(X$2*$M704))</f>
        <v/>
      </c>
      <c r="Y704" s="47">
        <f>IF(OR($M704="",$T704=""),"",$T704+(Y$2*$M704))</f>
        <v/>
      </c>
      <c r="Z704" s="49">
        <f>IF(OR($M704="",$T704=""),"",$T704+(Z$2*$M704))</f>
        <v/>
      </c>
      <c r="AA704" s="51">
        <f>IF(OR($M704="",$T704=""),"",$T704+(AA$2*$M704))</f>
        <v/>
      </c>
      <c r="AB704" s="48">
        <f>IF(OR($M704="",$T704=""),"",$T704+(AB$2*$M704))</f>
        <v/>
      </c>
      <c r="AC704" s="48">
        <f>IF(OR($M704="",$T704=""),"",$T704+(AC$2*$M704))</f>
        <v/>
      </c>
      <c r="AD704" s="48">
        <f>IF(OR($M704="",$T704=""),"",$T704+(AD$2*$M704))</f>
        <v/>
      </c>
      <c r="AE704" s="49">
        <f>IF(OR($M704="",$T704=""),"",$T704+(AE$2*$M704))</f>
        <v/>
      </c>
      <c r="AF704" s="52">
        <f>IF(OR(T704="",I704&lt;T704),"",IFERROR(AVERAGE(T704+M704*{7,8,9,10,11})/IF(G704="",I704,G704)-1,""))</f>
        <v/>
      </c>
      <c r="AG704" s="55">
        <f>IF(OR(T704="",I704&lt;T704),"",IFERROR(AF704/-(R704/IF(G704="",I704,G704)-1),""))</f>
        <v/>
      </c>
      <c r="AH704" s="94" t="n"/>
      <c r="AI704" s="94" t="n"/>
      <c r="AJ704" s="94" t="n"/>
      <c r="AK704" s="94" t="n"/>
      <c r="AL704" s="84" t="n"/>
    </row>
    <row r="705">
      <c r="A705" s="64" t="n"/>
      <c r="B705" s="65" t="n"/>
      <c r="C705" s="66" t="n"/>
      <c r="D705" s="67" t="n"/>
      <c r="E705" s="68" t="n"/>
      <c r="F705" s="47">
        <f>IF(A705="","",IF(MIN(H705,MAX(J705:K705))=0,"",MIN(H705,MAX(J705:K705))))</f>
        <v/>
      </c>
      <c r="G705" s="74" t="n"/>
      <c r="H705" s="49">
        <f>IF(M705="","",IFERROR(ROUND(AVERAGE(T705+M705*{7,8,9,10,11})/1.21,4),""))</f>
        <v/>
      </c>
      <c r="I705" s="76" t="n"/>
      <c r="J705" s="77" t="n"/>
      <c r="K705" s="74" t="n"/>
      <c r="L705" s="78" t="n"/>
      <c r="M705" s="77" t="n"/>
      <c r="N705" s="53">
        <f>IF(M705="","",IFERROR(M705/I705,""))</f>
        <v/>
      </c>
      <c r="O705" s="50">
        <f>IF(A705="","",IFERROR((IF(G705="",I705,G705)-T705)/M705,""))</f>
        <v/>
      </c>
      <c r="P705" s="50">
        <f>IFERROR((I705/T705-1)/N705,"")</f>
        <v/>
      </c>
      <c r="Q705" s="46">
        <f>IF(OR(T705="",I705&lt;T705),"",IFERROR(R705/IF(G705="",I705,G705)-1,""))</f>
        <v/>
      </c>
      <c r="R705" s="48">
        <f>IF($M705="","",MAX(IF($G705="",$I705,$G705)*(1/1.1),IF($G705="",$I705,$G705)+(R$2*$M705)))</f>
        <v/>
      </c>
      <c r="S705" s="49">
        <f>IF($M705="","",MAX(IF($G705="",$I705,$G705)*(1/1.1),IF($G705="",$I705,$G705)+(S$2*$M705)))</f>
        <v/>
      </c>
      <c r="T705" s="82" t="n"/>
      <c r="U705" s="47">
        <f>IF(OR($M705="",$T705=""),"",$T705+(U$2*$M705))</f>
        <v/>
      </c>
      <c r="V705" s="48">
        <f>IF(OR($M705="",$T705=""),"",$T705+(V$2*$M705))</f>
        <v/>
      </c>
      <c r="W705" s="48">
        <f>IF(OR($M705="",$T705=""),"",$T705+(W$2*$M705))</f>
        <v/>
      </c>
      <c r="X705" s="49">
        <f>IF(OR($M705="",$T705=""),"",$T705+(X$2*$M705))</f>
        <v/>
      </c>
      <c r="Y705" s="47">
        <f>IF(OR($M705="",$T705=""),"",$T705+(Y$2*$M705))</f>
        <v/>
      </c>
      <c r="Z705" s="49">
        <f>IF(OR($M705="",$T705=""),"",$T705+(Z$2*$M705))</f>
        <v/>
      </c>
      <c r="AA705" s="51">
        <f>IF(OR($M705="",$T705=""),"",$T705+(AA$2*$M705))</f>
        <v/>
      </c>
      <c r="AB705" s="48">
        <f>IF(OR($M705="",$T705=""),"",$T705+(AB$2*$M705))</f>
        <v/>
      </c>
      <c r="AC705" s="48">
        <f>IF(OR($M705="",$T705=""),"",$T705+(AC$2*$M705))</f>
        <v/>
      </c>
      <c r="AD705" s="48">
        <f>IF(OR($M705="",$T705=""),"",$T705+(AD$2*$M705))</f>
        <v/>
      </c>
      <c r="AE705" s="49">
        <f>IF(OR($M705="",$T705=""),"",$T705+(AE$2*$M705))</f>
        <v/>
      </c>
      <c r="AF705" s="52">
        <f>IF(OR(T705="",I705&lt;T705),"",IFERROR(AVERAGE(T705+M705*{7,8,9,10,11})/IF(G705="",I705,G705)-1,""))</f>
        <v/>
      </c>
      <c r="AG705" s="55">
        <f>IF(OR(T705="",I705&lt;T705),"",IFERROR(AF705/-(R705/IF(G705="",I705,G705)-1),""))</f>
        <v/>
      </c>
      <c r="AH705" s="94" t="n"/>
      <c r="AI705" s="94" t="n"/>
      <c r="AJ705" s="94" t="n"/>
      <c r="AK705" s="94" t="n"/>
      <c r="AL705" s="84" t="n"/>
    </row>
    <row r="706">
      <c r="A706" s="64" t="n"/>
      <c r="B706" s="65" t="n"/>
      <c r="C706" s="66" t="n"/>
      <c r="D706" s="67" t="n"/>
      <c r="E706" s="68" t="n"/>
      <c r="F706" s="47">
        <f>IF(A706="","",IF(MIN(H706,MAX(J706:K706))=0,"",MIN(H706,MAX(J706:K706))))</f>
        <v/>
      </c>
      <c r="G706" s="74" t="n"/>
      <c r="H706" s="49">
        <f>IF(M706="","",IFERROR(ROUND(AVERAGE(T706+M706*{7,8,9,10,11})/1.21,4),""))</f>
        <v/>
      </c>
      <c r="I706" s="76" t="n"/>
      <c r="J706" s="77" t="n"/>
      <c r="K706" s="74" t="n"/>
      <c r="L706" s="78" t="n"/>
      <c r="M706" s="77" t="n"/>
      <c r="N706" s="53">
        <f>IF(M706="","",IFERROR(M706/I706,""))</f>
        <v/>
      </c>
      <c r="O706" s="50">
        <f>IF(A706="","",IFERROR((IF(G706="",I706,G706)-T706)/M706,""))</f>
        <v/>
      </c>
      <c r="P706" s="50">
        <f>IFERROR((I706/T706-1)/N706,"")</f>
        <v/>
      </c>
      <c r="Q706" s="46">
        <f>IF(OR(T706="",I706&lt;T706),"",IFERROR(R706/IF(G706="",I706,G706)-1,""))</f>
        <v/>
      </c>
      <c r="R706" s="48">
        <f>IF($M706="","",MAX(IF($G706="",$I706,$G706)*(1/1.1),IF($G706="",$I706,$G706)+(R$2*$M706)))</f>
        <v/>
      </c>
      <c r="S706" s="49">
        <f>IF($M706="","",MAX(IF($G706="",$I706,$G706)*(1/1.1),IF($G706="",$I706,$G706)+(S$2*$M706)))</f>
        <v/>
      </c>
      <c r="T706" s="82" t="n"/>
      <c r="U706" s="47">
        <f>IF(OR($M706="",$T706=""),"",$T706+(U$2*$M706))</f>
        <v/>
      </c>
      <c r="V706" s="48">
        <f>IF(OR($M706="",$T706=""),"",$T706+(V$2*$M706))</f>
        <v/>
      </c>
      <c r="W706" s="48">
        <f>IF(OR($M706="",$T706=""),"",$T706+(W$2*$M706))</f>
        <v/>
      </c>
      <c r="X706" s="49">
        <f>IF(OR($M706="",$T706=""),"",$T706+(X$2*$M706))</f>
        <v/>
      </c>
      <c r="Y706" s="47">
        <f>IF(OR($M706="",$T706=""),"",$T706+(Y$2*$M706))</f>
        <v/>
      </c>
      <c r="Z706" s="49">
        <f>IF(OR($M706="",$T706=""),"",$T706+(Z$2*$M706))</f>
        <v/>
      </c>
      <c r="AA706" s="51">
        <f>IF(OR($M706="",$T706=""),"",$T706+(AA$2*$M706))</f>
        <v/>
      </c>
      <c r="AB706" s="48">
        <f>IF(OR($M706="",$T706=""),"",$T706+(AB$2*$M706))</f>
        <v/>
      </c>
      <c r="AC706" s="48">
        <f>IF(OR($M706="",$T706=""),"",$T706+(AC$2*$M706))</f>
        <v/>
      </c>
      <c r="AD706" s="48">
        <f>IF(OR($M706="",$T706=""),"",$T706+(AD$2*$M706))</f>
        <v/>
      </c>
      <c r="AE706" s="49">
        <f>IF(OR($M706="",$T706=""),"",$T706+(AE$2*$M706))</f>
        <v/>
      </c>
      <c r="AF706" s="52">
        <f>IF(OR(T706="",I706&lt;T706),"",IFERROR(AVERAGE(T706+M706*{7,8,9,10,11})/IF(G706="",I706,G706)-1,""))</f>
        <v/>
      </c>
      <c r="AG706" s="55">
        <f>IF(OR(T706="",I706&lt;T706),"",IFERROR(AF706/-(R706/IF(G706="",I706,G706)-1),""))</f>
        <v/>
      </c>
      <c r="AH706" s="94" t="n"/>
      <c r="AI706" s="94" t="n"/>
      <c r="AJ706" s="94" t="n"/>
      <c r="AK706" s="94" t="n"/>
      <c r="AL706" s="84" t="n"/>
    </row>
    <row r="707">
      <c r="A707" s="64" t="n"/>
      <c r="B707" s="65" t="n"/>
      <c r="C707" s="66" t="n"/>
      <c r="D707" s="67" t="n"/>
      <c r="E707" s="68" t="n"/>
      <c r="F707" s="47">
        <f>IF(A707="","",IF(MIN(H707,MAX(J707:K707))=0,"",MIN(H707,MAX(J707:K707))))</f>
        <v/>
      </c>
      <c r="G707" s="74" t="n"/>
      <c r="H707" s="49">
        <f>IF(M707="","",IFERROR(ROUND(AVERAGE(T707+M707*{7,8,9,10,11})/1.21,4),""))</f>
        <v/>
      </c>
      <c r="I707" s="76" t="n"/>
      <c r="J707" s="77" t="n"/>
      <c r="K707" s="74" t="n"/>
      <c r="L707" s="78" t="n"/>
      <c r="M707" s="77" t="n"/>
      <c r="N707" s="53">
        <f>IF(M707="","",IFERROR(M707/I707,""))</f>
        <v/>
      </c>
      <c r="O707" s="50">
        <f>IF(A707="","",IFERROR((IF(G707="",I707,G707)-T707)/M707,""))</f>
        <v/>
      </c>
      <c r="P707" s="50">
        <f>IFERROR((I707/T707-1)/N707,"")</f>
        <v/>
      </c>
      <c r="Q707" s="46">
        <f>IF(OR(T707="",I707&lt;T707),"",IFERROR(R707/IF(G707="",I707,G707)-1,""))</f>
        <v/>
      </c>
      <c r="R707" s="48">
        <f>IF($M707="","",MAX(IF($G707="",$I707,$G707)*(1/1.1),IF($G707="",$I707,$G707)+(R$2*$M707)))</f>
        <v/>
      </c>
      <c r="S707" s="49">
        <f>IF($M707="","",MAX(IF($G707="",$I707,$G707)*(1/1.1),IF($G707="",$I707,$G707)+(S$2*$M707)))</f>
        <v/>
      </c>
      <c r="T707" s="82" t="n"/>
      <c r="U707" s="47">
        <f>IF(OR($M707="",$T707=""),"",$T707+(U$2*$M707))</f>
        <v/>
      </c>
      <c r="V707" s="48">
        <f>IF(OR($M707="",$T707=""),"",$T707+(V$2*$M707))</f>
        <v/>
      </c>
      <c r="W707" s="48">
        <f>IF(OR($M707="",$T707=""),"",$T707+(W$2*$M707))</f>
        <v/>
      </c>
      <c r="X707" s="49">
        <f>IF(OR($M707="",$T707=""),"",$T707+(X$2*$M707))</f>
        <v/>
      </c>
      <c r="Y707" s="47">
        <f>IF(OR($M707="",$T707=""),"",$T707+(Y$2*$M707))</f>
        <v/>
      </c>
      <c r="Z707" s="49">
        <f>IF(OR($M707="",$T707=""),"",$T707+(Z$2*$M707))</f>
        <v/>
      </c>
      <c r="AA707" s="51">
        <f>IF(OR($M707="",$T707=""),"",$T707+(AA$2*$M707))</f>
        <v/>
      </c>
      <c r="AB707" s="48">
        <f>IF(OR($M707="",$T707=""),"",$T707+(AB$2*$M707))</f>
        <v/>
      </c>
      <c r="AC707" s="48">
        <f>IF(OR($M707="",$T707=""),"",$T707+(AC$2*$M707))</f>
        <v/>
      </c>
      <c r="AD707" s="48">
        <f>IF(OR($M707="",$T707=""),"",$T707+(AD$2*$M707))</f>
        <v/>
      </c>
      <c r="AE707" s="49">
        <f>IF(OR($M707="",$T707=""),"",$T707+(AE$2*$M707))</f>
        <v/>
      </c>
      <c r="AF707" s="52">
        <f>IF(OR(T707="",I707&lt;T707),"",IFERROR(AVERAGE(T707+M707*{7,8,9,10,11})/IF(G707="",I707,G707)-1,""))</f>
        <v/>
      </c>
      <c r="AG707" s="55">
        <f>IF(OR(T707="",I707&lt;T707),"",IFERROR(AF707/-(R707/IF(G707="",I707,G707)-1),""))</f>
        <v/>
      </c>
      <c r="AH707" s="94" t="n"/>
      <c r="AI707" s="94" t="n"/>
      <c r="AJ707" s="94" t="n"/>
      <c r="AK707" s="94" t="n"/>
      <c r="AL707" s="84" t="n"/>
    </row>
    <row r="708">
      <c r="A708" s="64" t="n"/>
      <c r="B708" s="65" t="n"/>
      <c r="C708" s="66" t="n"/>
      <c r="D708" s="67" t="n"/>
      <c r="E708" s="68" t="n"/>
      <c r="F708" s="47">
        <f>IF(A708="","",IF(MIN(H708,MAX(J708:K708))=0,"",MIN(H708,MAX(J708:K708))))</f>
        <v/>
      </c>
      <c r="G708" s="74" t="n"/>
      <c r="H708" s="49">
        <f>IF(M708="","",IFERROR(ROUND(AVERAGE(T708+M708*{7,8,9,10,11})/1.21,4),""))</f>
        <v/>
      </c>
      <c r="I708" s="76" t="n"/>
      <c r="J708" s="77" t="n"/>
      <c r="K708" s="74" t="n"/>
      <c r="L708" s="78" t="n"/>
      <c r="M708" s="77" t="n"/>
      <c r="N708" s="53">
        <f>IF(M708="","",IFERROR(M708/I708,""))</f>
        <v/>
      </c>
      <c r="O708" s="50">
        <f>IF(A708="","",IFERROR((IF(G708="",I708,G708)-T708)/M708,""))</f>
        <v/>
      </c>
      <c r="P708" s="50">
        <f>IFERROR((I708/T708-1)/N708,"")</f>
        <v/>
      </c>
      <c r="Q708" s="46">
        <f>IF(OR(T708="",I708&lt;T708),"",IFERROR(R708/IF(G708="",I708,G708)-1,""))</f>
        <v/>
      </c>
      <c r="R708" s="48">
        <f>IF($M708="","",MAX(IF($G708="",$I708,$G708)*(1/1.1),IF($G708="",$I708,$G708)+(R$2*$M708)))</f>
        <v/>
      </c>
      <c r="S708" s="49">
        <f>IF($M708="","",MAX(IF($G708="",$I708,$G708)*(1/1.1),IF($G708="",$I708,$G708)+(S$2*$M708)))</f>
        <v/>
      </c>
      <c r="T708" s="82" t="n"/>
      <c r="U708" s="47">
        <f>IF(OR($M708="",$T708=""),"",$T708+(U$2*$M708))</f>
        <v/>
      </c>
      <c r="V708" s="48">
        <f>IF(OR($M708="",$T708=""),"",$T708+(V$2*$M708))</f>
        <v/>
      </c>
      <c r="W708" s="48">
        <f>IF(OR($M708="",$T708=""),"",$T708+(W$2*$M708))</f>
        <v/>
      </c>
      <c r="X708" s="49">
        <f>IF(OR($M708="",$T708=""),"",$T708+(X$2*$M708))</f>
        <v/>
      </c>
      <c r="Y708" s="47">
        <f>IF(OR($M708="",$T708=""),"",$T708+(Y$2*$M708))</f>
        <v/>
      </c>
      <c r="Z708" s="49">
        <f>IF(OR($M708="",$T708=""),"",$T708+(Z$2*$M708))</f>
        <v/>
      </c>
      <c r="AA708" s="51">
        <f>IF(OR($M708="",$T708=""),"",$T708+(AA$2*$M708))</f>
        <v/>
      </c>
      <c r="AB708" s="48">
        <f>IF(OR($M708="",$T708=""),"",$T708+(AB$2*$M708))</f>
        <v/>
      </c>
      <c r="AC708" s="48">
        <f>IF(OR($M708="",$T708=""),"",$T708+(AC$2*$M708))</f>
        <v/>
      </c>
      <c r="AD708" s="48">
        <f>IF(OR($M708="",$T708=""),"",$T708+(AD$2*$M708))</f>
        <v/>
      </c>
      <c r="AE708" s="49">
        <f>IF(OR($M708="",$T708=""),"",$T708+(AE$2*$M708))</f>
        <v/>
      </c>
      <c r="AF708" s="52">
        <f>IF(OR(T708="",I708&lt;T708),"",IFERROR(AVERAGE(T708+M708*{7,8,9,10,11})/IF(G708="",I708,G708)-1,""))</f>
        <v/>
      </c>
      <c r="AG708" s="55">
        <f>IF(OR(T708="",I708&lt;T708),"",IFERROR(AF708/-(R708/IF(G708="",I708,G708)-1),""))</f>
        <v/>
      </c>
      <c r="AH708" s="94" t="n"/>
      <c r="AI708" s="94" t="n"/>
      <c r="AJ708" s="94" t="n"/>
      <c r="AK708" s="94" t="n"/>
      <c r="AL708" s="84" t="n"/>
    </row>
    <row r="709">
      <c r="A709" s="64" t="n"/>
      <c r="B709" s="65" t="n"/>
      <c r="C709" s="66" t="n"/>
      <c r="D709" s="67" t="n"/>
      <c r="E709" s="68" t="n"/>
      <c r="F709" s="47">
        <f>IF(A709="","",IF(MIN(H709,MAX(J709:K709))=0,"",MIN(H709,MAX(J709:K709))))</f>
        <v/>
      </c>
      <c r="G709" s="74" t="n"/>
      <c r="H709" s="49">
        <f>IF(M709="","",IFERROR(ROUND(AVERAGE(T709+M709*{7,8,9,10,11})/1.21,4),""))</f>
        <v/>
      </c>
      <c r="I709" s="76" t="n"/>
      <c r="J709" s="77" t="n"/>
      <c r="K709" s="74" t="n"/>
      <c r="L709" s="78" t="n"/>
      <c r="M709" s="77" t="n"/>
      <c r="N709" s="53">
        <f>IF(M709="","",IFERROR(M709/I709,""))</f>
        <v/>
      </c>
      <c r="O709" s="50">
        <f>IF(A709="","",IFERROR((IF(G709="",I709,G709)-T709)/M709,""))</f>
        <v/>
      </c>
      <c r="P709" s="50">
        <f>IFERROR((I709/T709-1)/N709,"")</f>
        <v/>
      </c>
      <c r="Q709" s="46">
        <f>IF(OR(T709="",I709&lt;T709),"",IFERROR(R709/IF(G709="",I709,G709)-1,""))</f>
        <v/>
      </c>
      <c r="R709" s="48">
        <f>IF($M709="","",MAX(IF($G709="",$I709,$G709)*(1/1.1),IF($G709="",$I709,$G709)+(R$2*$M709)))</f>
        <v/>
      </c>
      <c r="S709" s="49">
        <f>IF($M709="","",MAX(IF($G709="",$I709,$G709)*(1/1.1),IF($G709="",$I709,$G709)+(S$2*$M709)))</f>
        <v/>
      </c>
      <c r="T709" s="82" t="n"/>
      <c r="U709" s="47">
        <f>IF(OR($M709="",$T709=""),"",$T709+(U$2*$M709))</f>
        <v/>
      </c>
      <c r="V709" s="48">
        <f>IF(OR($M709="",$T709=""),"",$T709+(V$2*$M709))</f>
        <v/>
      </c>
      <c r="W709" s="48">
        <f>IF(OR($M709="",$T709=""),"",$T709+(W$2*$M709))</f>
        <v/>
      </c>
      <c r="X709" s="49">
        <f>IF(OR($M709="",$T709=""),"",$T709+(X$2*$M709))</f>
        <v/>
      </c>
      <c r="Y709" s="47">
        <f>IF(OR($M709="",$T709=""),"",$T709+(Y$2*$M709))</f>
        <v/>
      </c>
      <c r="Z709" s="49">
        <f>IF(OR($M709="",$T709=""),"",$T709+(Z$2*$M709))</f>
        <v/>
      </c>
      <c r="AA709" s="51">
        <f>IF(OR($M709="",$T709=""),"",$T709+(AA$2*$M709))</f>
        <v/>
      </c>
      <c r="AB709" s="48">
        <f>IF(OR($M709="",$T709=""),"",$T709+(AB$2*$M709))</f>
        <v/>
      </c>
      <c r="AC709" s="48">
        <f>IF(OR($M709="",$T709=""),"",$T709+(AC$2*$M709))</f>
        <v/>
      </c>
      <c r="AD709" s="48">
        <f>IF(OR($M709="",$T709=""),"",$T709+(AD$2*$M709))</f>
        <v/>
      </c>
      <c r="AE709" s="49">
        <f>IF(OR($M709="",$T709=""),"",$T709+(AE$2*$M709))</f>
        <v/>
      </c>
      <c r="AF709" s="52">
        <f>IF(OR(T709="",I709&lt;T709),"",IFERROR(AVERAGE(T709+M709*{7,8,9,10,11})/IF(G709="",I709,G709)-1,""))</f>
        <v/>
      </c>
      <c r="AG709" s="55">
        <f>IF(OR(T709="",I709&lt;T709),"",IFERROR(AF709/-(R709/IF(G709="",I709,G709)-1),""))</f>
        <v/>
      </c>
      <c r="AH709" s="94" t="n"/>
      <c r="AI709" s="94" t="n"/>
      <c r="AJ709" s="94" t="n"/>
      <c r="AK709" s="94" t="n"/>
      <c r="AL709" s="84" t="n"/>
    </row>
    <row r="710">
      <c r="A710" s="64" t="n"/>
      <c r="B710" s="65" t="n"/>
      <c r="C710" s="66" t="n"/>
      <c r="D710" s="67" t="n"/>
      <c r="E710" s="68" t="n"/>
      <c r="F710" s="47">
        <f>IF(A710="","",IF(MIN(H710,MAX(J710:K710))=0,"",MIN(H710,MAX(J710:K710))))</f>
        <v/>
      </c>
      <c r="G710" s="74" t="n"/>
      <c r="H710" s="49">
        <f>IF(M710="","",IFERROR(ROUND(AVERAGE(T710+M710*{7,8,9,10,11})/1.21,4),""))</f>
        <v/>
      </c>
      <c r="I710" s="76" t="n"/>
      <c r="J710" s="77" t="n"/>
      <c r="K710" s="74" t="n"/>
      <c r="L710" s="78" t="n"/>
      <c r="M710" s="77" t="n"/>
      <c r="N710" s="53">
        <f>IF(M710="","",IFERROR(M710/I710,""))</f>
        <v/>
      </c>
      <c r="O710" s="50">
        <f>IF(A710="","",IFERROR((IF(G710="",I710,G710)-T710)/M710,""))</f>
        <v/>
      </c>
      <c r="P710" s="50">
        <f>IFERROR((I710/T710-1)/N710,"")</f>
        <v/>
      </c>
      <c r="Q710" s="46">
        <f>IF(OR(T710="",I710&lt;T710),"",IFERROR(R710/IF(G710="",I710,G710)-1,""))</f>
        <v/>
      </c>
      <c r="R710" s="48">
        <f>IF($M710="","",MAX(IF($G710="",$I710,$G710)*(1/1.1),IF($G710="",$I710,$G710)+(R$2*$M710)))</f>
        <v/>
      </c>
      <c r="S710" s="49">
        <f>IF($M710="","",MAX(IF($G710="",$I710,$G710)*(1/1.1),IF($G710="",$I710,$G710)+(S$2*$M710)))</f>
        <v/>
      </c>
      <c r="T710" s="82" t="n"/>
      <c r="U710" s="47">
        <f>IF(OR($M710="",$T710=""),"",$T710+(U$2*$M710))</f>
        <v/>
      </c>
      <c r="V710" s="48">
        <f>IF(OR($M710="",$T710=""),"",$T710+(V$2*$M710))</f>
        <v/>
      </c>
      <c r="W710" s="48">
        <f>IF(OR($M710="",$T710=""),"",$T710+(W$2*$M710))</f>
        <v/>
      </c>
      <c r="X710" s="49">
        <f>IF(OR($M710="",$T710=""),"",$T710+(X$2*$M710))</f>
        <v/>
      </c>
      <c r="Y710" s="47">
        <f>IF(OR($M710="",$T710=""),"",$T710+(Y$2*$M710))</f>
        <v/>
      </c>
      <c r="Z710" s="49">
        <f>IF(OR($M710="",$T710=""),"",$T710+(Z$2*$M710))</f>
        <v/>
      </c>
      <c r="AA710" s="51">
        <f>IF(OR($M710="",$T710=""),"",$T710+(AA$2*$M710))</f>
        <v/>
      </c>
      <c r="AB710" s="48">
        <f>IF(OR($M710="",$T710=""),"",$T710+(AB$2*$M710))</f>
        <v/>
      </c>
      <c r="AC710" s="48">
        <f>IF(OR($M710="",$T710=""),"",$T710+(AC$2*$M710))</f>
        <v/>
      </c>
      <c r="AD710" s="48">
        <f>IF(OR($M710="",$T710=""),"",$T710+(AD$2*$M710))</f>
        <v/>
      </c>
      <c r="AE710" s="49">
        <f>IF(OR($M710="",$T710=""),"",$T710+(AE$2*$M710))</f>
        <v/>
      </c>
      <c r="AF710" s="52">
        <f>IF(OR(T710="",I710&lt;T710),"",IFERROR(AVERAGE(T710+M710*{7,8,9,10,11})/IF(G710="",I710,G710)-1,""))</f>
        <v/>
      </c>
      <c r="AG710" s="55">
        <f>IF(OR(T710="",I710&lt;T710),"",IFERROR(AF710/-(R710/IF(G710="",I710,G710)-1),""))</f>
        <v/>
      </c>
      <c r="AH710" s="94" t="n"/>
      <c r="AI710" s="94" t="n"/>
      <c r="AJ710" s="94" t="n"/>
      <c r="AK710" s="94" t="n"/>
      <c r="AL710" s="84" t="n"/>
    </row>
    <row r="711">
      <c r="A711" s="64" t="n"/>
      <c r="B711" s="65" t="n"/>
      <c r="C711" s="66" t="n"/>
      <c r="D711" s="67" t="n"/>
      <c r="E711" s="68" t="n"/>
      <c r="F711" s="47">
        <f>IF(A711="","",IF(MIN(H711,MAX(J711:K711))=0,"",MIN(H711,MAX(J711:K711))))</f>
        <v/>
      </c>
      <c r="G711" s="74" t="n"/>
      <c r="H711" s="49">
        <f>IF(M711="","",IFERROR(ROUND(AVERAGE(T711+M711*{7,8,9,10,11})/1.21,4),""))</f>
        <v/>
      </c>
      <c r="I711" s="76" t="n"/>
      <c r="J711" s="77" t="n"/>
      <c r="K711" s="74" t="n"/>
      <c r="L711" s="78" t="n"/>
      <c r="M711" s="77" t="n"/>
      <c r="N711" s="53">
        <f>IF(M711="","",IFERROR(M711/I711,""))</f>
        <v/>
      </c>
      <c r="O711" s="50">
        <f>IF(A711="","",IFERROR((IF(G711="",I711,G711)-T711)/M711,""))</f>
        <v/>
      </c>
      <c r="P711" s="50">
        <f>IFERROR((I711/T711-1)/N711,"")</f>
        <v/>
      </c>
      <c r="Q711" s="46">
        <f>IF(OR(T711="",I711&lt;T711),"",IFERROR(R711/IF(G711="",I711,G711)-1,""))</f>
        <v/>
      </c>
      <c r="R711" s="48">
        <f>IF($M711="","",MAX(IF($G711="",$I711,$G711)*(1/1.1),IF($G711="",$I711,$G711)+(R$2*$M711)))</f>
        <v/>
      </c>
      <c r="S711" s="49">
        <f>IF($M711="","",MAX(IF($G711="",$I711,$G711)*(1/1.1),IF($G711="",$I711,$G711)+(S$2*$M711)))</f>
        <v/>
      </c>
      <c r="T711" s="82" t="n"/>
      <c r="U711" s="47">
        <f>IF(OR($M711="",$T711=""),"",$T711+(U$2*$M711))</f>
        <v/>
      </c>
      <c r="V711" s="48">
        <f>IF(OR($M711="",$T711=""),"",$T711+(V$2*$M711))</f>
        <v/>
      </c>
      <c r="W711" s="48">
        <f>IF(OR($M711="",$T711=""),"",$T711+(W$2*$M711))</f>
        <v/>
      </c>
      <c r="X711" s="49">
        <f>IF(OR($M711="",$T711=""),"",$T711+(X$2*$M711))</f>
        <v/>
      </c>
      <c r="Y711" s="47">
        <f>IF(OR($M711="",$T711=""),"",$T711+(Y$2*$M711))</f>
        <v/>
      </c>
      <c r="Z711" s="49">
        <f>IF(OR($M711="",$T711=""),"",$T711+(Z$2*$M711))</f>
        <v/>
      </c>
      <c r="AA711" s="51">
        <f>IF(OR($M711="",$T711=""),"",$T711+(AA$2*$M711))</f>
        <v/>
      </c>
      <c r="AB711" s="48">
        <f>IF(OR($M711="",$T711=""),"",$T711+(AB$2*$M711))</f>
        <v/>
      </c>
      <c r="AC711" s="48">
        <f>IF(OR($M711="",$T711=""),"",$T711+(AC$2*$M711))</f>
        <v/>
      </c>
      <c r="AD711" s="48">
        <f>IF(OR($M711="",$T711=""),"",$T711+(AD$2*$M711))</f>
        <v/>
      </c>
      <c r="AE711" s="49">
        <f>IF(OR($M711="",$T711=""),"",$T711+(AE$2*$M711))</f>
        <v/>
      </c>
      <c r="AF711" s="52">
        <f>IF(OR(T711="",I711&lt;T711),"",IFERROR(AVERAGE(T711+M711*{7,8,9,10,11})/IF(G711="",I711,G711)-1,""))</f>
        <v/>
      </c>
      <c r="AG711" s="55">
        <f>IF(OR(T711="",I711&lt;T711),"",IFERROR(AF711/-(R711/IF(G711="",I711,G711)-1),""))</f>
        <v/>
      </c>
      <c r="AH711" s="94" t="n"/>
      <c r="AI711" s="94" t="n"/>
      <c r="AJ711" s="94" t="n"/>
      <c r="AK711" s="94" t="n"/>
      <c r="AL711" s="84" t="n"/>
    </row>
    <row r="712">
      <c r="A712" s="64" t="n"/>
      <c r="B712" s="65" t="n"/>
      <c r="C712" s="66" t="n"/>
      <c r="D712" s="67" t="n"/>
      <c r="E712" s="68" t="n"/>
      <c r="F712" s="47">
        <f>IF(A712="","",IF(MIN(H712,MAX(J712:K712))=0,"",MIN(H712,MAX(J712:K712))))</f>
        <v/>
      </c>
      <c r="G712" s="74" t="n"/>
      <c r="H712" s="49">
        <f>IF(M712="","",IFERROR(ROUND(AVERAGE(T712+M712*{7,8,9,10,11})/1.21,4),""))</f>
        <v/>
      </c>
      <c r="I712" s="76" t="n"/>
      <c r="J712" s="77" t="n"/>
      <c r="K712" s="74" t="n"/>
      <c r="L712" s="78" t="n"/>
      <c r="M712" s="77" t="n"/>
      <c r="N712" s="53">
        <f>IF(M712="","",IFERROR(M712/I712,""))</f>
        <v/>
      </c>
      <c r="O712" s="50">
        <f>IF(A712="","",IFERROR((IF(G712="",I712,G712)-T712)/M712,""))</f>
        <v/>
      </c>
      <c r="P712" s="50">
        <f>IFERROR((I712/T712-1)/N712,"")</f>
        <v/>
      </c>
      <c r="Q712" s="46">
        <f>IF(OR(T712="",I712&lt;T712),"",IFERROR(R712/IF(G712="",I712,G712)-1,""))</f>
        <v/>
      </c>
      <c r="R712" s="48">
        <f>IF($M712="","",MAX(IF($G712="",$I712,$G712)*(1/1.1),IF($G712="",$I712,$G712)+(R$2*$M712)))</f>
        <v/>
      </c>
      <c r="S712" s="49">
        <f>IF($M712="","",MAX(IF($G712="",$I712,$G712)*(1/1.1),IF($G712="",$I712,$G712)+(S$2*$M712)))</f>
        <v/>
      </c>
      <c r="T712" s="82" t="n"/>
      <c r="U712" s="47">
        <f>IF(OR($M712="",$T712=""),"",$T712+(U$2*$M712))</f>
        <v/>
      </c>
      <c r="V712" s="48">
        <f>IF(OR($M712="",$T712=""),"",$T712+(V$2*$M712))</f>
        <v/>
      </c>
      <c r="W712" s="48">
        <f>IF(OR($M712="",$T712=""),"",$T712+(W$2*$M712))</f>
        <v/>
      </c>
      <c r="X712" s="49">
        <f>IF(OR($M712="",$T712=""),"",$T712+(X$2*$M712))</f>
        <v/>
      </c>
      <c r="Y712" s="47">
        <f>IF(OR($M712="",$T712=""),"",$T712+(Y$2*$M712))</f>
        <v/>
      </c>
      <c r="Z712" s="49">
        <f>IF(OR($M712="",$T712=""),"",$T712+(Z$2*$M712))</f>
        <v/>
      </c>
      <c r="AA712" s="51">
        <f>IF(OR($M712="",$T712=""),"",$T712+(AA$2*$M712))</f>
        <v/>
      </c>
      <c r="AB712" s="48">
        <f>IF(OR($M712="",$T712=""),"",$T712+(AB$2*$M712))</f>
        <v/>
      </c>
      <c r="AC712" s="48">
        <f>IF(OR($M712="",$T712=""),"",$T712+(AC$2*$M712))</f>
        <v/>
      </c>
      <c r="AD712" s="48">
        <f>IF(OR($M712="",$T712=""),"",$T712+(AD$2*$M712))</f>
        <v/>
      </c>
      <c r="AE712" s="49">
        <f>IF(OR($M712="",$T712=""),"",$T712+(AE$2*$M712))</f>
        <v/>
      </c>
      <c r="AF712" s="52">
        <f>IF(OR(T712="",I712&lt;T712),"",IFERROR(AVERAGE(T712+M712*{7,8,9,10,11})/IF(G712="",I712,G712)-1,""))</f>
        <v/>
      </c>
      <c r="AG712" s="55">
        <f>IF(OR(T712="",I712&lt;T712),"",IFERROR(AF712/-(R712/IF(G712="",I712,G712)-1),""))</f>
        <v/>
      </c>
      <c r="AH712" s="94" t="n"/>
      <c r="AI712" s="94" t="n"/>
      <c r="AJ712" s="94" t="n"/>
      <c r="AK712" s="94" t="n"/>
      <c r="AL712" s="84" t="n"/>
    </row>
    <row r="713">
      <c r="A713" s="64" t="n"/>
      <c r="B713" s="65" t="n"/>
      <c r="C713" s="66" t="n"/>
      <c r="D713" s="67" t="n"/>
      <c r="E713" s="68" t="n"/>
      <c r="F713" s="47">
        <f>IF(A713="","",IF(MIN(H713,MAX(J713:K713))=0,"",MIN(H713,MAX(J713:K713))))</f>
        <v/>
      </c>
      <c r="G713" s="74" t="n"/>
      <c r="H713" s="49">
        <f>IF(M713="","",IFERROR(ROUND(AVERAGE(T713+M713*{7,8,9,10,11})/1.21,4),""))</f>
        <v/>
      </c>
      <c r="I713" s="76" t="n"/>
      <c r="J713" s="77" t="n"/>
      <c r="K713" s="74" t="n"/>
      <c r="L713" s="78" t="n"/>
      <c r="M713" s="77" t="n"/>
      <c r="N713" s="53">
        <f>IF(M713="","",IFERROR(M713/I713,""))</f>
        <v/>
      </c>
      <c r="O713" s="50">
        <f>IF(A713="","",IFERROR((IF(G713="",I713,G713)-T713)/M713,""))</f>
        <v/>
      </c>
      <c r="P713" s="50">
        <f>IFERROR((I713/T713-1)/N713,"")</f>
        <v/>
      </c>
      <c r="Q713" s="46">
        <f>IF(OR(T713="",I713&lt;T713),"",IFERROR(R713/IF(G713="",I713,G713)-1,""))</f>
        <v/>
      </c>
      <c r="R713" s="48">
        <f>IF($M713="","",MAX(IF($G713="",$I713,$G713)*(1/1.1),IF($G713="",$I713,$G713)+(R$2*$M713)))</f>
        <v/>
      </c>
      <c r="S713" s="49">
        <f>IF($M713="","",MAX(IF($G713="",$I713,$G713)*(1/1.1),IF($G713="",$I713,$G713)+(S$2*$M713)))</f>
        <v/>
      </c>
      <c r="T713" s="82" t="n"/>
      <c r="U713" s="47">
        <f>IF(OR($M713="",$T713=""),"",$T713+(U$2*$M713))</f>
        <v/>
      </c>
      <c r="V713" s="48">
        <f>IF(OR($M713="",$T713=""),"",$T713+(V$2*$M713))</f>
        <v/>
      </c>
      <c r="W713" s="48">
        <f>IF(OR($M713="",$T713=""),"",$T713+(W$2*$M713))</f>
        <v/>
      </c>
      <c r="X713" s="49">
        <f>IF(OR($M713="",$T713=""),"",$T713+(X$2*$M713))</f>
        <v/>
      </c>
      <c r="Y713" s="47">
        <f>IF(OR($M713="",$T713=""),"",$T713+(Y$2*$M713))</f>
        <v/>
      </c>
      <c r="Z713" s="49">
        <f>IF(OR($M713="",$T713=""),"",$T713+(Z$2*$M713))</f>
        <v/>
      </c>
      <c r="AA713" s="51">
        <f>IF(OR($M713="",$T713=""),"",$T713+(AA$2*$M713))</f>
        <v/>
      </c>
      <c r="AB713" s="48">
        <f>IF(OR($M713="",$T713=""),"",$T713+(AB$2*$M713))</f>
        <v/>
      </c>
      <c r="AC713" s="48">
        <f>IF(OR($M713="",$T713=""),"",$T713+(AC$2*$M713))</f>
        <v/>
      </c>
      <c r="AD713" s="48">
        <f>IF(OR($M713="",$T713=""),"",$T713+(AD$2*$M713))</f>
        <v/>
      </c>
      <c r="AE713" s="49">
        <f>IF(OR($M713="",$T713=""),"",$T713+(AE$2*$M713))</f>
        <v/>
      </c>
      <c r="AF713" s="52">
        <f>IF(OR(T713="",I713&lt;T713),"",IFERROR(AVERAGE(T713+M713*{7,8,9,10,11})/IF(G713="",I713,G713)-1,""))</f>
        <v/>
      </c>
      <c r="AG713" s="55">
        <f>IF(OR(T713="",I713&lt;T713),"",IFERROR(AF713/-(R713/IF(G713="",I713,G713)-1),""))</f>
        <v/>
      </c>
      <c r="AH713" s="94" t="n"/>
      <c r="AI713" s="94" t="n"/>
      <c r="AJ713" s="94" t="n"/>
      <c r="AK713" s="94" t="n"/>
      <c r="AL713" s="84" t="n"/>
    </row>
    <row r="714">
      <c r="A714" s="64" t="n"/>
      <c r="B714" s="65" t="n"/>
      <c r="C714" s="66" t="n"/>
      <c r="D714" s="67" t="n"/>
      <c r="E714" s="68" t="n"/>
      <c r="F714" s="47">
        <f>IF(A714="","",IF(MIN(H714,MAX(J714:K714))=0,"",MIN(H714,MAX(J714:K714))))</f>
        <v/>
      </c>
      <c r="G714" s="74" t="n"/>
      <c r="H714" s="49">
        <f>IF(M714="","",IFERROR(ROUND(AVERAGE(T714+M714*{7,8,9,10,11})/1.21,4),""))</f>
        <v/>
      </c>
      <c r="I714" s="76" t="n"/>
      <c r="J714" s="77" t="n"/>
      <c r="K714" s="74" t="n"/>
      <c r="L714" s="78" t="n"/>
      <c r="M714" s="77" t="n"/>
      <c r="N714" s="53">
        <f>IF(M714="","",IFERROR(M714/I714,""))</f>
        <v/>
      </c>
      <c r="O714" s="50">
        <f>IF(A714="","",IFERROR((IF(G714="",I714,G714)-T714)/M714,""))</f>
        <v/>
      </c>
      <c r="P714" s="50">
        <f>IFERROR((I714/T714-1)/N714,"")</f>
        <v/>
      </c>
      <c r="Q714" s="46">
        <f>IF(OR(T714="",I714&lt;T714),"",IFERROR(R714/IF(G714="",I714,G714)-1,""))</f>
        <v/>
      </c>
      <c r="R714" s="48">
        <f>IF($M714="","",MAX(IF($G714="",$I714,$G714)*(1/1.1),IF($G714="",$I714,$G714)+(R$2*$M714)))</f>
        <v/>
      </c>
      <c r="S714" s="49">
        <f>IF($M714="","",MAX(IF($G714="",$I714,$G714)*(1/1.1),IF($G714="",$I714,$G714)+(S$2*$M714)))</f>
        <v/>
      </c>
      <c r="T714" s="82" t="n"/>
      <c r="U714" s="47">
        <f>IF(OR($M714="",$T714=""),"",$T714+(U$2*$M714))</f>
        <v/>
      </c>
      <c r="V714" s="48">
        <f>IF(OR($M714="",$T714=""),"",$T714+(V$2*$M714))</f>
        <v/>
      </c>
      <c r="W714" s="48">
        <f>IF(OR($M714="",$T714=""),"",$T714+(W$2*$M714))</f>
        <v/>
      </c>
      <c r="X714" s="49">
        <f>IF(OR($M714="",$T714=""),"",$T714+(X$2*$M714))</f>
        <v/>
      </c>
      <c r="Y714" s="47">
        <f>IF(OR($M714="",$T714=""),"",$T714+(Y$2*$M714))</f>
        <v/>
      </c>
      <c r="Z714" s="49">
        <f>IF(OR($M714="",$T714=""),"",$T714+(Z$2*$M714))</f>
        <v/>
      </c>
      <c r="AA714" s="51">
        <f>IF(OR($M714="",$T714=""),"",$T714+(AA$2*$M714))</f>
        <v/>
      </c>
      <c r="AB714" s="48">
        <f>IF(OR($M714="",$T714=""),"",$T714+(AB$2*$M714))</f>
        <v/>
      </c>
      <c r="AC714" s="48">
        <f>IF(OR($M714="",$T714=""),"",$T714+(AC$2*$M714))</f>
        <v/>
      </c>
      <c r="AD714" s="48">
        <f>IF(OR($M714="",$T714=""),"",$T714+(AD$2*$M714))</f>
        <v/>
      </c>
      <c r="AE714" s="49">
        <f>IF(OR($M714="",$T714=""),"",$T714+(AE$2*$M714))</f>
        <v/>
      </c>
      <c r="AF714" s="52">
        <f>IF(OR(T714="",I714&lt;T714),"",IFERROR(AVERAGE(T714+M714*{7,8,9,10,11})/IF(G714="",I714,G714)-1,""))</f>
        <v/>
      </c>
      <c r="AG714" s="55">
        <f>IF(OR(T714="",I714&lt;T714),"",IFERROR(AF714/-(R714/IF(G714="",I714,G714)-1),""))</f>
        <v/>
      </c>
      <c r="AH714" s="94" t="n"/>
      <c r="AI714" s="94" t="n"/>
      <c r="AJ714" s="94" t="n"/>
      <c r="AK714" s="94" t="n"/>
      <c r="AL714" s="84" t="n"/>
    </row>
    <row r="715">
      <c r="A715" s="64" t="n"/>
      <c r="B715" s="65" t="n"/>
      <c r="C715" s="66" t="n"/>
      <c r="D715" s="67" t="n"/>
      <c r="E715" s="68" t="n"/>
      <c r="F715" s="47">
        <f>IF(A715="","",IF(MIN(H715,MAX(J715:K715))=0,"",MIN(H715,MAX(J715:K715))))</f>
        <v/>
      </c>
      <c r="G715" s="74" t="n"/>
      <c r="H715" s="49">
        <f>IF(M715="","",IFERROR(ROUND(AVERAGE(T715+M715*{7,8,9,10,11})/1.21,4),""))</f>
        <v/>
      </c>
      <c r="I715" s="76" t="n"/>
      <c r="J715" s="77" t="n"/>
      <c r="K715" s="74" t="n"/>
      <c r="L715" s="78" t="n"/>
      <c r="M715" s="77" t="n"/>
      <c r="N715" s="53">
        <f>IF(M715="","",IFERROR(M715/I715,""))</f>
        <v/>
      </c>
      <c r="O715" s="50">
        <f>IF(A715="","",IFERROR((IF(G715="",I715,G715)-T715)/M715,""))</f>
        <v/>
      </c>
      <c r="P715" s="50">
        <f>IFERROR((I715/T715-1)/N715,"")</f>
        <v/>
      </c>
      <c r="Q715" s="46">
        <f>IF(OR(T715="",I715&lt;T715),"",IFERROR(R715/IF(G715="",I715,G715)-1,""))</f>
        <v/>
      </c>
      <c r="R715" s="48">
        <f>IF($M715="","",MAX(IF($G715="",$I715,$G715)*(1/1.1),IF($G715="",$I715,$G715)+(R$2*$M715)))</f>
        <v/>
      </c>
      <c r="S715" s="49">
        <f>IF($M715="","",MAX(IF($G715="",$I715,$G715)*(1/1.1),IF($G715="",$I715,$G715)+(S$2*$M715)))</f>
        <v/>
      </c>
      <c r="T715" s="82" t="n"/>
      <c r="U715" s="47">
        <f>IF(OR($M715="",$T715=""),"",$T715+(U$2*$M715))</f>
        <v/>
      </c>
      <c r="V715" s="48">
        <f>IF(OR($M715="",$T715=""),"",$T715+(V$2*$M715))</f>
        <v/>
      </c>
      <c r="W715" s="48">
        <f>IF(OR($M715="",$T715=""),"",$T715+(W$2*$M715))</f>
        <v/>
      </c>
      <c r="X715" s="49">
        <f>IF(OR($M715="",$T715=""),"",$T715+(X$2*$M715))</f>
        <v/>
      </c>
      <c r="Y715" s="47">
        <f>IF(OR($M715="",$T715=""),"",$T715+(Y$2*$M715))</f>
        <v/>
      </c>
      <c r="Z715" s="49">
        <f>IF(OR($M715="",$T715=""),"",$T715+(Z$2*$M715))</f>
        <v/>
      </c>
      <c r="AA715" s="51">
        <f>IF(OR($M715="",$T715=""),"",$T715+(AA$2*$M715))</f>
        <v/>
      </c>
      <c r="AB715" s="48">
        <f>IF(OR($M715="",$T715=""),"",$T715+(AB$2*$M715))</f>
        <v/>
      </c>
      <c r="AC715" s="48">
        <f>IF(OR($M715="",$T715=""),"",$T715+(AC$2*$M715))</f>
        <v/>
      </c>
      <c r="AD715" s="48">
        <f>IF(OR($M715="",$T715=""),"",$T715+(AD$2*$M715))</f>
        <v/>
      </c>
      <c r="AE715" s="49">
        <f>IF(OR($M715="",$T715=""),"",$T715+(AE$2*$M715))</f>
        <v/>
      </c>
      <c r="AF715" s="52">
        <f>IF(OR(T715="",I715&lt;T715),"",IFERROR(AVERAGE(T715+M715*{7,8,9,10,11})/IF(G715="",I715,G715)-1,""))</f>
        <v/>
      </c>
      <c r="AG715" s="55">
        <f>IF(OR(T715="",I715&lt;T715),"",IFERROR(AF715/-(R715/IF(G715="",I715,G715)-1),""))</f>
        <v/>
      </c>
      <c r="AH715" s="94" t="n"/>
      <c r="AI715" s="94" t="n"/>
      <c r="AJ715" s="94" t="n"/>
      <c r="AK715" s="94" t="n"/>
      <c r="AL715" s="84" t="n"/>
    </row>
    <row r="716">
      <c r="A716" s="64" t="n"/>
      <c r="B716" s="65" t="n"/>
      <c r="C716" s="66" t="n"/>
      <c r="D716" s="67" t="n"/>
      <c r="E716" s="68" t="n"/>
      <c r="F716" s="47">
        <f>IF(A716="","",IF(MIN(H716,MAX(J716:K716))=0,"",MIN(H716,MAX(J716:K716))))</f>
        <v/>
      </c>
      <c r="G716" s="74" t="n"/>
      <c r="H716" s="49">
        <f>IF(M716="","",IFERROR(ROUND(AVERAGE(T716+M716*{7,8,9,10,11})/1.21,4),""))</f>
        <v/>
      </c>
      <c r="I716" s="76" t="n"/>
      <c r="J716" s="77" t="n"/>
      <c r="K716" s="74" t="n"/>
      <c r="L716" s="78" t="n"/>
      <c r="M716" s="77" t="n"/>
      <c r="N716" s="53">
        <f>IF(M716="","",IFERROR(M716/I716,""))</f>
        <v/>
      </c>
      <c r="O716" s="50">
        <f>IF(A716="","",IFERROR((IF(G716="",I716,G716)-T716)/M716,""))</f>
        <v/>
      </c>
      <c r="P716" s="50">
        <f>IFERROR((I716/T716-1)/N716,"")</f>
        <v/>
      </c>
      <c r="Q716" s="46">
        <f>IF(OR(T716="",I716&lt;T716),"",IFERROR(R716/IF(G716="",I716,G716)-1,""))</f>
        <v/>
      </c>
      <c r="R716" s="48">
        <f>IF($M716="","",MAX(IF($G716="",$I716,$G716)*(1/1.1),IF($G716="",$I716,$G716)+(R$2*$M716)))</f>
        <v/>
      </c>
      <c r="S716" s="49">
        <f>IF($M716="","",MAX(IF($G716="",$I716,$G716)*(1/1.1),IF($G716="",$I716,$G716)+(S$2*$M716)))</f>
        <v/>
      </c>
      <c r="T716" s="82" t="n"/>
      <c r="U716" s="47">
        <f>IF(OR($M716="",$T716=""),"",$T716+(U$2*$M716))</f>
        <v/>
      </c>
      <c r="V716" s="48">
        <f>IF(OR($M716="",$T716=""),"",$T716+(V$2*$M716))</f>
        <v/>
      </c>
      <c r="W716" s="48">
        <f>IF(OR($M716="",$T716=""),"",$T716+(W$2*$M716))</f>
        <v/>
      </c>
      <c r="X716" s="49">
        <f>IF(OR($M716="",$T716=""),"",$T716+(X$2*$M716))</f>
        <v/>
      </c>
      <c r="Y716" s="47">
        <f>IF(OR($M716="",$T716=""),"",$T716+(Y$2*$M716))</f>
        <v/>
      </c>
      <c r="Z716" s="49">
        <f>IF(OR($M716="",$T716=""),"",$T716+(Z$2*$M716))</f>
        <v/>
      </c>
      <c r="AA716" s="51">
        <f>IF(OR($M716="",$T716=""),"",$T716+(AA$2*$M716))</f>
        <v/>
      </c>
      <c r="AB716" s="48">
        <f>IF(OR($M716="",$T716=""),"",$T716+(AB$2*$M716))</f>
        <v/>
      </c>
      <c r="AC716" s="48">
        <f>IF(OR($M716="",$T716=""),"",$T716+(AC$2*$M716))</f>
        <v/>
      </c>
      <c r="AD716" s="48">
        <f>IF(OR($M716="",$T716=""),"",$T716+(AD$2*$M716))</f>
        <v/>
      </c>
      <c r="AE716" s="49">
        <f>IF(OR($M716="",$T716=""),"",$T716+(AE$2*$M716))</f>
        <v/>
      </c>
      <c r="AF716" s="52">
        <f>IF(OR(T716="",I716&lt;T716),"",IFERROR(AVERAGE(T716+M716*{7,8,9,10,11})/IF(G716="",I716,G716)-1,""))</f>
        <v/>
      </c>
      <c r="AG716" s="55">
        <f>IF(OR(T716="",I716&lt;T716),"",IFERROR(AF716/-(R716/IF(G716="",I716,G716)-1),""))</f>
        <v/>
      </c>
      <c r="AH716" s="94" t="n"/>
      <c r="AI716" s="94" t="n"/>
      <c r="AJ716" s="94" t="n"/>
      <c r="AK716" s="94" t="n"/>
      <c r="AL716" s="84" t="n"/>
    </row>
    <row r="717">
      <c r="A717" s="64" t="n"/>
      <c r="B717" s="65" t="n"/>
      <c r="C717" s="66" t="n"/>
      <c r="D717" s="67" t="n"/>
      <c r="E717" s="68" t="n"/>
      <c r="F717" s="47">
        <f>IF(A717="","",IF(MIN(H717,MAX(J717:K717))=0,"",MIN(H717,MAX(J717:K717))))</f>
        <v/>
      </c>
      <c r="G717" s="74" t="n"/>
      <c r="H717" s="49">
        <f>IF(M717="","",IFERROR(ROUND(AVERAGE(T717+M717*{7,8,9,10,11})/1.21,4),""))</f>
        <v/>
      </c>
      <c r="I717" s="76" t="n"/>
      <c r="J717" s="77" t="n"/>
      <c r="K717" s="74" t="n"/>
      <c r="L717" s="78" t="n"/>
      <c r="M717" s="77" t="n"/>
      <c r="N717" s="53">
        <f>IF(M717="","",IFERROR(M717/I717,""))</f>
        <v/>
      </c>
      <c r="O717" s="50">
        <f>IF(A717="","",IFERROR((IF(G717="",I717,G717)-T717)/M717,""))</f>
        <v/>
      </c>
      <c r="P717" s="50">
        <f>IFERROR((I717/T717-1)/N717,"")</f>
        <v/>
      </c>
      <c r="Q717" s="46">
        <f>IF(OR(T717="",I717&lt;T717),"",IFERROR(R717/IF(G717="",I717,G717)-1,""))</f>
        <v/>
      </c>
      <c r="R717" s="48">
        <f>IF($M717="","",MAX(IF($G717="",$I717,$G717)*(1/1.1),IF($G717="",$I717,$G717)+(R$2*$M717)))</f>
        <v/>
      </c>
      <c r="S717" s="49">
        <f>IF($M717="","",MAX(IF($G717="",$I717,$G717)*(1/1.1),IF($G717="",$I717,$G717)+(S$2*$M717)))</f>
        <v/>
      </c>
      <c r="T717" s="82" t="n"/>
      <c r="U717" s="47">
        <f>IF(OR($M717="",$T717=""),"",$T717+(U$2*$M717))</f>
        <v/>
      </c>
      <c r="V717" s="48">
        <f>IF(OR($M717="",$T717=""),"",$T717+(V$2*$M717))</f>
        <v/>
      </c>
      <c r="W717" s="48">
        <f>IF(OR($M717="",$T717=""),"",$T717+(W$2*$M717))</f>
        <v/>
      </c>
      <c r="X717" s="49">
        <f>IF(OR($M717="",$T717=""),"",$T717+(X$2*$M717))</f>
        <v/>
      </c>
      <c r="Y717" s="47">
        <f>IF(OR($M717="",$T717=""),"",$T717+(Y$2*$M717))</f>
        <v/>
      </c>
      <c r="Z717" s="49">
        <f>IF(OR($M717="",$T717=""),"",$T717+(Z$2*$M717))</f>
        <v/>
      </c>
      <c r="AA717" s="51">
        <f>IF(OR($M717="",$T717=""),"",$T717+(AA$2*$M717))</f>
        <v/>
      </c>
      <c r="AB717" s="48">
        <f>IF(OR($M717="",$T717=""),"",$T717+(AB$2*$M717))</f>
        <v/>
      </c>
      <c r="AC717" s="48">
        <f>IF(OR($M717="",$T717=""),"",$T717+(AC$2*$M717))</f>
        <v/>
      </c>
      <c r="AD717" s="48">
        <f>IF(OR($M717="",$T717=""),"",$T717+(AD$2*$M717))</f>
        <v/>
      </c>
      <c r="AE717" s="49">
        <f>IF(OR($M717="",$T717=""),"",$T717+(AE$2*$M717))</f>
        <v/>
      </c>
      <c r="AF717" s="52">
        <f>IF(OR(T717="",I717&lt;T717),"",IFERROR(AVERAGE(T717+M717*{7,8,9,10,11})/IF(G717="",I717,G717)-1,""))</f>
        <v/>
      </c>
      <c r="AG717" s="55">
        <f>IF(OR(T717="",I717&lt;T717),"",IFERROR(AF717/-(R717/IF(G717="",I717,G717)-1),""))</f>
        <v/>
      </c>
      <c r="AH717" s="94" t="n"/>
      <c r="AI717" s="94" t="n"/>
      <c r="AJ717" s="94" t="n"/>
      <c r="AK717" s="94" t="n"/>
      <c r="AL717" s="84" t="n"/>
    </row>
    <row r="718">
      <c r="A718" s="64" t="n"/>
      <c r="B718" s="65" t="n"/>
      <c r="C718" s="66" t="n"/>
      <c r="D718" s="67" t="n"/>
      <c r="E718" s="68" t="n"/>
      <c r="F718" s="47">
        <f>IF(A718="","",IF(MIN(H718,MAX(J718:K718))=0,"",MIN(H718,MAX(J718:K718))))</f>
        <v/>
      </c>
      <c r="G718" s="74" t="n"/>
      <c r="H718" s="49">
        <f>IF(M718="","",IFERROR(ROUND(AVERAGE(T718+M718*{7,8,9,10,11})/1.21,4),""))</f>
        <v/>
      </c>
      <c r="I718" s="76" t="n"/>
      <c r="J718" s="77" t="n"/>
      <c r="K718" s="74" t="n"/>
      <c r="L718" s="78" t="n"/>
      <c r="M718" s="77" t="n"/>
      <c r="N718" s="53">
        <f>IF(M718="","",IFERROR(M718/I718,""))</f>
        <v/>
      </c>
      <c r="O718" s="50">
        <f>IF(A718="","",IFERROR((IF(G718="",I718,G718)-T718)/M718,""))</f>
        <v/>
      </c>
      <c r="P718" s="50">
        <f>IFERROR((I718/T718-1)/N718,"")</f>
        <v/>
      </c>
      <c r="Q718" s="46">
        <f>IF(OR(T718="",I718&lt;T718),"",IFERROR(R718/IF(G718="",I718,G718)-1,""))</f>
        <v/>
      </c>
      <c r="R718" s="48">
        <f>IF($M718="","",MAX(IF($G718="",$I718,$G718)*(1/1.1),IF($G718="",$I718,$G718)+(R$2*$M718)))</f>
        <v/>
      </c>
      <c r="S718" s="49">
        <f>IF($M718="","",MAX(IF($G718="",$I718,$G718)*(1/1.1),IF($G718="",$I718,$G718)+(S$2*$M718)))</f>
        <v/>
      </c>
      <c r="T718" s="82" t="n"/>
      <c r="U718" s="47">
        <f>IF(OR($M718="",$T718=""),"",$T718+(U$2*$M718))</f>
        <v/>
      </c>
      <c r="V718" s="48">
        <f>IF(OR($M718="",$T718=""),"",$T718+(V$2*$M718))</f>
        <v/>
      </c>
      <c r="W718" s="48">
        <f>IF(OR($M718="",$T718=""),"",$T718+(W$2*$M718))</f>
        <v/>
      </c>
      <c r="X718" s="49">
        <f>IF(OR($M718="",$T718=""),"",$T718+(X$2*$M718))</f>
        <v/>
      </c>
      <c r="Y718" s="47">
        <f>IF(OR($M718="",$T718=""),"",$T718+(Y$2*$M718))</f>
        <v/>
      </c>
      <c r="Z718" s="49">
        <f>IF(OR($M718="",$T718=""),"",$T718+(Z$2*$M718))</f>
        <v/>
      </c>
      <c r="AA718" s="51">
        <f>IF(OR($M718="",$T718=""),"",$T718+(AA$2*$M718))</f>
        <v/>
      </c>
      <c r="AB718" s="48">
        <f>IF(OR($M718="",$T718=""),"",$T718+(AB$2*$M718))</f>
        <v/>
      </c>
      <c r="AC718" s="48">
        <f>IF(OR($M718="",$T718=""),"",$T718+(AC$2*$M718))</f>
        <v/>
      </c>
      <c r="AD718" s="48">
        <f>IF(OR($M718="",$T718=""),"",$T718+(AD$2*$M718))</f>
        <v/>
      </c>
      <c r="AE718" s="49">
        <f>IF(OR($M718="",$T718=""),"",$T718+(AE$2*$M718))</f>
        <v/>
      </c>
      <c r="AF718" s="52">
        <f>IF(OR(T718="",I718&lt;T718),"",IFERROR(AVERAGE(T718+M718*{7,8,9,10,11})/IF(G718="",I718,G718)-1,""))</f>
        <v/>
      </c>
      <c r="AG718" s="55">
        <f>IF(OR(T718="",I718&lt;T718),"",IFERROR(AF718/-(R718/IF(G718="",I718,G718)-1),""))</f>
        <v/>
      </c>
      <c r="AH718" s="94" t="n"/>
      <c r="AI718" s="94" t="n"/>
      <c r="AJ718" s="94" t="n"/>
      <c r="AK718" s="94" t="n"/>
      <c r="AL718" s="84" t="n"/>
    </row>
    <row r="719">
      <c r="A719" s="64" t="n"/>
      <c r="B719" s="65" t="n"/>
      <c r="C719" s="66" t="n"/>
      <c r="D719" s="67" t="n"/>
      <c r="E719" s="68" t="n"/>
      <c r="F719" s="47">
        <f>IF(A719="","",IF(MIN(H719,MAX(J719:K719))=0,"",MIN(H719,MAX(J719:K719))))</f>
        <v/>
      </c>
      <c r="G719" s="74" t="n"/>
      <c r="H719" s="49">
        <f>IF(M719="","",IFERROR(ROUND(AVERAGE(T719+M719*{7,8,9,10,11})/1.21,4),""))</f>
        <v/>
      </c>
      <c r="I719" s="76" t="n"/>
      <c r="J719" s="77" t="n"/>
      <c r="K719" s="74" t="n"/>
      <c r="L719" s="78" t="n"/>
      <c r="M719" s="77" t="n"/>
      <c r="N719" s="53">
        <f>IF(M719="","",IFERROR(M719/I719,""))</f>
        <v/>
      </c>
      <c r="O719" s="50">
        <f>IF(A719="","",IFERROR((IF(G719="",I719,G719)-T719)/M719,""))</f>
        <v/>
      </c>
      <c r="P719" s="50">
        <f>IFERROR((I719/T719-1)/N719,"")</f>
        <v/>
      </c>
      <c r="Q719" s="46">
        <f>IF(OR(T719="",I719&lt;T719),"",IFERROR(R719/IF(G719="",I719,G719)-1,""))</f>
        <v/>
      </c>
      <c r="R719" s="48">
        <f>IF($M719="","",MAX(IF($G719="",$I719,$G719)*(1/1.1),IF($G719="",$I719,$G719)+(R$2*$M719)))</f>
        <v/>
      </c>
      <c r="S719" s="49">
        <f>IF($M719="","",MAX(IF($G719="",$I719,$G719)*(1/1.1),IF($G719="",$I719,$G719)+(S$2*$M719)))</f>
        <v/>
      </c>
      <c r="T719" s="82" t="n"/>
      <c r="U719" s="47">
        <f>IF(OR($M719="",$T719=""),"",$T719+(U$2*$M719))</f>
        <v/>
      </c>
      <c r="V719" s="48">
        <f>IF(OR($M719="",$T719=""),"",$T719+(V$2*$M719))</f>
        <v/>
      </c>
      <c r="W719" s="48">
        <f>IF(OR($M719="",$T719=""),"",$T719+(W$2*$M719))</f>
        <v/>
      </c>
      <c r="X719" s="49">
        <f>IF(OR($M719="",$T719=""),"",$T719+(X$2*$M719))</f>
        <v/>
      </c>
      <c r="Y719" s="47">
        <f>IF(OR($M719="",$T719=""),"",$T719+(Y$2*$M719))</f>
        <v/>
      </c>
      <c r="Z719" s="49">
        <f>IF(OR($M719="",$T719=""),"",$T719+(Z$2*$M719))</f>
        <v/>
      </c>
      <c r="AA719" s="51">
        <f>IF(OR($M719="",$T719=""),"",$T719+(AA$2*$M719))</f>
        <v/>
      </c>
      <c r="AB719" s="48">
        <f>IF(OR($M719="",$T719=""),"",$T719+(AB$2*$M719))</f>
        <v/>
      </c>
      <c r="AC719" s="48">
        <f>IF(OR($M719="",$T719=""),"",$T719+(AC$2*$M719))</f>
        <v/>
      </c>
      <c r="AD719" s="48">
        <f>IF(OR($M719="",$T719=""),"",$T719+(AD$2*$M719))</f>
        <v/>
      </c>
      <c r="AE719" s="49">
        <f>IF(OR($M719="",$T719=""),"",$T719+(AE$2*$M719))</f>
        <v/>
      </c>
      <c r="AF719" s="52">
        <f>IF(OR(T719="",I719&lt;T719),"",IFERROR(AVERAGE(T719+M719*{7,8,9,10,11})/IF(G719="",I719,G719)-1,""))</f>
        <v/>
      </c>
      <c r="AG719" s="55">
        <f>IF(OR(T719="",I719&lt;T719),"",IFERROR(AF719/-(R719/IF(G719="",I719,G719)-1),""))</f>
        <v/>
      </c>
      <c r="AH719" s="94" t="n"/>
      <c r="AI719" s="94" t="n"/>
      <c r="AJ719" s="94" t="n"/>
      <c r="AK719" s="94" t="n"/>
      <c r="AL719" s="84" t="n"/>
    </row>
    <row r="720">
      <c r="A720" s="64" t="n"/>
      <c r="B720" s="65" t="n"/>
      <c r="C720" s="66" t="n"/>
      <c r="D720" s="67" t="n"/>
      <c r="E720" s="68" t="n"/>
      <c r="F720" s="47">
        <f>IF(A720="","",IF(MIN(H720,MAX(J720:K720))=0,"",MIN(H720,MAX(J720:K720))))</f>
        <v/>
      </c>
      <c r="G720" s="74" t="n"/>
      <c r="H720" s="49">
        <f>IF(M720="","",IFERROR(ROUND(AVERAGE(T720+M720*{7,8,9,10,11})/1.21,4),""))</f>
        <v/>
      </c>
      <c r="I720" s="76" t="n"/>
      <c r="J720" s="77" t="n"/>
      <c r="K720" s="74" t="n"/>
      <c r="L720" s="78" t="n"/>
      <c r="M720" s="77" t="n"/>
      <c r="N720" s="53">
        <f>IF(M720="","",IFERROR(M720/I720,""))</f>
        <v/>
      </c>
      <c r="O720" s="50">
        <f>IF(A720="","",IFERROR((IF(G720="",I720,G720)-T720)/M720,""))</f>
        <v/>
      </c>
      <c r="P720" s="50">
        <f>IFERROR((I720/T720-1)/N720,"")</f>
        <v/>
      </c>
      <c r="Q720" s="46">
        <f>IF(OR(T720="",I720&lt;T720),"",IFERROR(R720/IF(G720="",I720,G720)-1,""))</f>
        <v/>
      </c>
      <c r="R720" s="48">
        <f>IF($M720="","",MAX(IF($G720="",$I720,$G720)*(1/1.1),IF($G720="",$I720,$G720)+(R$2*$M720)))</f>
        <v/>
      </c>
      <c r="S720" s="49">
        <f>IF($M720="","",MAX(IF($G720="",$I720,$G720)*(1/1.1),IF($G720="",$I720,$G720)+(S$2*$M720)))</f>
        <v/>
      </c>
      <c r="T720" s="82" t="n"/>
      <c r="U720" s="47">
        <f>IF(OR($M720="",$T720=""),"",$T720+(U$2*$M720))</f>
        <v/>
      </c>
      <c r="V720" s="48">
        <f>IF(OR($M720="",$T720=""),"",$T720+(V$2*$M720))</f>
        <v/>
      </c>
      <c r="W720" s="48">
        <f>IF(OR($M720="",$T720=""),"",$T720+(W$2*$M720))</f>
        <v/>
      </c>
      <c r="X720" s="49">
        <f>IF(OR($M720="",$T720=""),"",$T720+(X$2*$M720))</f>
        <v/>
      </c>
      <c r="Y720" s="47">
        <f>IF(OR($M720="",$T720=""),"",$T720+(Y$2*$M720))</f>
        <v/>
      </c>
      <c r="Z720" s="49">
        <f>IF(OR($M720="",$T720=""),"",$T720+(Z$2*$M720))</f>
        <v/>
      </c>
      <c r="AA720" s="51">
        <f>IF(OR($M720="",$T720=""),"",$T720+(AA$2*$M720))</f>
        <v/>
      </c>
      <c r="AB720" s="48">
        <f>IF(OR($M720="",$T720=""),"",$T720+(AB$2*$M720))</f>
        <v/>
      </c>
      <c r="AC720" s="48">
        <f>IF(OR($M720="",$T720=""),"",$T720+(AC$2*$M720))</f>
        <v/>
      </c>
      <c r="AD720" s="48">
        <f>IF(OR($M720="",$T720=""),"",$T720+(AD$2*$M720))</f>
        <v/>
      </c>
      <c r="AE720" s="49">
        <f>IF(OR($M720="",$T720=""),"",$T720+(AE$2*$M720))</f>
        <v/>
      </c>
      <c r="AF720" s="52">
        <f>IF(OR(T720="",I720&lt;T720),"",IFERROR(AVERAGE(T720+M720*{7,8,9,10,11})/IF(G720="",I720,G720)-1,""))</f>
        <v/>
      </c>
      <c r="AG720" s="55">
        <f>IF(OR(T720="",I720&lt;T720),"",IFERROR(AF720/-(R720/IF(G720="",I720,G720)-1),""))</f>
        <v/>
      </c>
      <c r="AH720" s="94" t="n"/>
      <c r="AI720" s="94" t="n"/>
      <c r="AJ720" s="94" t="n"/>
      <c r="AK720" s="94" t="n"/>
      <c r="AL720" s="84" t="n"/>
    </row>
    <row r="721">
      <c r="A721" s="64" t="n"/>
      <c r="B721" s="65" t="n"/>
      <c r="C721" s="66" t="n"/>
      <c r="D721" s="67" t="n"/>
      <c r="E721" s="68" t="n"/>
      <c r="F721" s="47">
        <f>IF(A721="","",IF(MIN(H721,MAX(J721:K721))=0,"",MIN(H721,MAX(J721:K721))))</f>
        <v/>
      </c>
      <c r="G721" s="74" t="n"/>
      <c r="H721" s="49">
        <f>IF(M721="","",IFERROR(ROUND(AVERAGE(T721+M721*{7,8,9,10,11})/1.21,4),""))</f>
        <v/>
      </c>
      <c r="I721" s="76" t="n"/>
      <c r="J721" s="77" t="n"/>
      <c r="K721" s="74" t="n"/>
      <c r="L721" s="78" t="n"/>
      <c r="M721" s="77" t="n"/>
      <c r="N721" s="53">
        <f>IF(M721="","",IFERROR(M721/I721,""))</f>
        <v/>
      </c>
      <c r="O721" s="50">
        <f>IF(A721="","",IFERROR((IF(G721="",I721,G721)-T721)/M721,""))</f>
        <v/>
      </c>
      <c r="P721" s="50">
        <f>IFERROR((I721/T721-1)/N721,"")</f>
        <v/>
      </c>
      <c r="Q721" s="46">
        <f>IF(OR(T721="",I721&lt;T721),"",IFERROR(R721/IF(G721="",I721,G721)-1,""))</f>
        <v/>
      </c>
      <c r="R721" s="48">
        <f>IF($M721="","",MAX(IF($G721="",$I721,$G721)*(1/1.1),IF($G721="",$I721,$G721)+(R$2*$M721)))</f>
        <v/>
      </c>
      <c r="S721" s="49">
        <f>IF($M721="","",MAX(IF($G721="",$I721,$G721)*(1/1.1),IF($G721="",$I721,$G721)+(S$2*$M721)))</f>
        <v/>
      </c>
      <c r="T721" s="82" t="n"/>
      <c r="U721" s="47">
        <f>IF(OR($M721="",$T721=""),"",$T721+(U$2*$M721))</f>
        <v/>
      </c>
      <c r="V721" s="48">
        <f>IF(OR($M721="",$T721=""),"",$T721+(V$2*$M721))</f>
        <v/>
      </c>
      <c r="W721" s="48">
        <f>IF(OR($M721="",$T721=""),"",$T721+(W$2*$M721))</f>
        <v/>
      </c>
      <c r="X721" s="49">
        <f>IF(OR($M721="",$T721=""),"",$T721+(X$2*$M721))</f>
        <v/>
      </c>
      <c r="Y721" s="47">
        <f>IF(OR($M721="",$T721=""),"",$T721+(Y$2*$M721))</f>
        <v/>
      </c>
      <c r="Z721" s="49">
        <f>IF(OR($M721="",$T721=""),"",$T721+(Z$2*$M721))</f>
        <v/>
      </c>
      <c r="AA721" s="51">
        <f>IF(OR($M721="",$T721=""),"",$T721+(AA$2*$M721))</f>
        <v/>
      </c>
      <c r="AB721" s="48">
        <f>IF(OR($M721="",$T721=""),"",$T721+(AB$2*$M721))</f>
        <v/>
      </c>
      <c r="AC721" s="48">
        <f>IF(OR($M721="",$T721=""),"",$T721+(AC$2*$M721))</f>
        <v/>
      </c>
      <c r="AD721" s="48">
        <f>IF(OR($M721="",$T721=""),"",$T721+(AD$2*$M721))</f>
        <v/>
      </c>
      <c r="AE721" s="49">
        <f>IF(OR($M721="",$T721=""),"",$T721+(AE$2*$M721))</f>
        <v/>
      </c>
      <c r="AF721" s="52">
        <f>IF(OR(T721="",I721&lt;T721),"",IFERROR(AVERAGE(T721+M721*{7,8,9,10,11})/IF(G721="",I721,G721)-1,""))</f>
        <v/>
      </c>
      <c r="AG721" s="55">
        <f>IF(OR(T721="",I721&lt;T721),"",IFERROR(AF721/-(R721/IF(G721="",I721,G721)-1),""))</f>
        <v/>
      </c>
      <c r="AH721" s="94" t="n"/>
      <c r="AI721" s="94" t="n"/>
      <c r="AJ721" s="94" t="n"/>
      <c r="AK721" s="94" t="n"/>
      <c r="AL721" s="84" t="n"/>
    </row>
    <row r="722">
      <c r="A722" s="64" t="n"/>
      <c r="B722" s="65" t="n"/>
      <c r="C722" s="66" t="n"/>
      <c r="D722" s="67" t="n"/>
      <c r="E722" s="68" t="n"/>
      <c r="F722" s="47">
        <f>IF(A722="","",IF(MIN(H722,MAX(J722:K722))=0,"",MIN(H722,MAX(J722:K722))))</f>
        <v/>
      </c>
      <c r="G722" s="74" t="n"/>
      <c r="H722" s="49">
        <f>IF(M722="","",IFERROR(ROUND(AVERAGE(T722+M722*{7,8,9,10,11})/1.21,4),""))</f>
        <v/>
      </c>
      <c r="I722" s="76" t="n"/>
      <c r="J722" s="77" t="n"/>
      <c r="K722" s="74" t="n"/>
      <c r="L722" s="78" t="n"/>
      <c r="M722" s="77" t="n"/>
      <c r="N722" s="53">
        <f>IF(M722="","",IFERROR(M722/I722,""))</f>
        <v/>
      </c>
      <c r="O722" s="50">
        <f>IF(A722="","",IFERROR((IF(G722="",I722,G722)-T722)/M722,""))</f>
        <v/>
      </c>
      <c r="P722" s="50">
        <f>IFERROR((I722/T722-1)/N722,"")</f>
        <v/>
      </c>
      <c r="Q722" s="46">
        <f>IF(OR(T722="",I722&lt;T722),"",IFERROR(R722/IF(G722="",I722,G722)-1,""))</f>
        <v/>
      </c>
      <c r="R722" s="48">
        <f>IF($M722="","",MAX(IF($G722="",$I722,$G722)*(1/1.1),IF($G722="",$I722,$G722)+(R$2*$M722)))</f>
        <v/>
      </c>
      <c r="S722" s="49">
        <f>IF($M722="","",MAX(IF($G722="",$I722,$G722)*(1/1.1),IF($G722="",$I722,$G722)+(S$2*$M722)))</f>
        <v/>
      </c>
      <c r="T722" s="82" t="n"/>
      <c r="U722" s="47">
        <f>IF(OR($M722="",$T722=""),"",$T722+(U$2*$M722))</f>
        <v/>
      </c>
      <c r="V722" s="48">
        <f>IF(OR($M722="",$T722=""),"",$T722+(V$2*$M722))</f>
        <v/>
      </c>
      <c r="W722" s="48">
        <f>IF(OR($M722="",$T722=""),"",$T722+(W$2*$M722))</f>
        <v/>
      </c>
      <c r="X722" s="49">
        <f>IF(OR($M722="",$T722=""),"",$T722+(X$2*$M722))</f>
        <v/>
      </c>
      <c r="Y722" s="47">
        <f>IF(OR($M722="",$T722=""),"",$T722+(Y$2*$M722))</f>
        <v/>
      </c>
      <c r="Z722" s="49">
        <f>IF(OR($M722="",$T722=""),"",$T722+(Z$2*$M722))</f>
        <v/>
      </c>
      <c r="AA722" s="51">
        <f>IF(OR($M722="",$T722=""),"",$T722+(AA$2*$M722))</f>
        <v/>
      </c>
      <c r="AB722" s="48">
        <f>IF(OR($M722="",$T722=""),"",$T722+(AB$2*$M722))</f>
        <v/>
      </c>
      <c r="AC722" s="48">
        <f>IF(OR($M722="",$T722=""),"",$T722+(AC$2*$M722))</f>
        <v/>
      </c>
      <c r="AD722" s="48">
        <f>IF(OR($M722="",$T722=""),"",$T722+(AD$2*$M722))</f>
        <v/>
      </c>
      <c r="AE722" s="49">
        <f>IF(OR($M722="",$T722=""),"",$T722+(AE$2*$M722))</f>
        <v/>
      </c>
      <c r="AF722" s="52">
        <f>IF(OR(T722="",I722&lt;T722),"",IFERROR(AVERAGE(T722+M722*{7,8,9,10,11})/IF(G722="",I722,G722)-1,""))</f>
        <v/>
      </c>
      <c r="AG722" s="55">
        <f>IF(OR(T722="",I722&lt;T722),"",IFERROR(AF722/-(R722/IF(G722="",I722,G722)-1),""))</f>
        <v/>
      </c>
      <c r="AH722" s="94" t="n"/>
      <c r="AI722" s="94" t="n"/>
      <c r="AJ722" s="94" t="n"/>
      <c r="AK722" s="94" t="n"/>
      <c r="AL722" s="84" t="n"/>
    </row>
    <row r="723">
      <c r="A723" s="64" t="n"/>
      <c r="B723" s="65" t="n"/>
      <c r="C723" s="66" t="n"/>
      <c r="D723" s="67" t="n"/>
      <c r="E723" s="68" t="n"/>
      <c r="F723" s="47">
        <f>IF(A723="","",IF(MIN(H723,MAX(J723:K723))=0,"",MIN(H723,MAX(J723:K723))))</f>
        <v/>
      </c>
      <c r="G723" s="74" t="n"/>
      <c r="H723" s="49">
        <f>IF(M723="","",IFERROR(ROUND(AVERAGE(T723+M723*{7,8,9,10,11})/1.21,4),""))</f>
        <v/>
      </c>
      <c r="I723" s="76" t="n"/>
      <c r="J723" s="77" t="n"/>
      <c r="K723" s="74" t="n"/>
      <c r="L723" s="78" t="n"/>
      <c r="M723" s="77" t="n"/>
      <c r="N723" s="53">
        <f>IF(M723="","",IFERROR(M723/I723,""))</f>
        <v/>
      </c>
      <c r="O723" s="50">
        <f>IF(A723="","",IFERROR((IF(G723="",I723,G723)-T723)/M723,""))</f>
        <v/>
      </c>
      <c r="P723" s="50">
        <f>IFERROR((I723/T723-1)/N723,"")</f>
        <v/>
      </c>
      <c r="Q723" s="46">
        <f>IF(OR(T723="",I723&lt;T723),"",IFERROR(R723/IF(G723="",I723,G723)-1,""))</f>
        <v/>
      </c>
      <c r="R723" s="48">
        <f>IF($M723="","",MAX(IF($G723="",$I723,$G723)*(1/1.1),IF($G723="",$I723,$G723)+(R$2*$M723)))</f>
        <v/>
      </c>
      <c r="S723" s="49">
        <f>IF($M723="","",MAX(IF($G723="",$I723,$G723)*(1/1.1),IF($G723="",$I723,$G723)+(S$2*$M723)))</f>
        <v/>
      </c>
      <c r="T723" s="82" t="n"/>
      <c r="U723" s="47">
        <f>IF(OR($M723="",$T723=""),"",$T723+(U$2*$M723))</f>
        <v/>
      </c>
      <c r="V723" s="48">
        <f>IF(OR($M723="",$T723=""),"",$T723+(V$2*$M723))</f>
        <v/>
      </c>
      <c r="W723" s="48">
        <f>IF(OR($M723="",$T723=""),"",$T723+(W$2*$M723))</f>
        <v/>
      </c>
      <c r="X723" s="49">
        <f>IF(OR($M723="",$T723=""),"",$T723+(X$2*$M723))</f>
        <v/>
      </c>
      <c r="Y723" s="47">
        <f>IF(OR($M723="",$T723=""),"",$T723+(Y$2*$M723))</f>
        <v/>
      </c>
      <c r="Z723" s="49">
        <f>IF(OR($M723="",$T723=""),"",$T723+(Z$2*$M723))</f>
        <v/>
      </c>
      <c r="AA723" s="51">
        <f>IF(OR($M723="",$T723=""),"",$T723+(AA$2*$M723))</f>
        <v/>
      </c>
      <c r="AB723" s="48">
        <f>IF(OR($M723="",$T723=""),"",$T723+(AB$2*$M723))</f>
        <v/>
      </c>
      <c r="AC723" s="48">
        <f>IF(OR($M723="",$T723=""),"",$T723+(AC$2*$M723))</f>
        <v/>
      </c>
      <c r="AD723" s="48">
        <f>IF(OR($M723="",$T723=""),"",$T723+(AD$2*$M723))</f>
        <v/>
      </c>
      <c r="AE723" s="49">
        <f>IF(OR($M723="",$T723=""),"",$T723+(AE$2*$M723))</f>
        <v/>
      </c>
      <c r="AF723" s="52">
        <f>IF(OR(T723="",I723&lt;T723),"",IFERROR(AVERAGE(T723+M723*{7,8,9,10,11})/IF(G723="",I723,G723)-1,""))</f>
        <v/>
      </c>
      <c r="AG723" s="55">
        <f>IF(OR(T723="",I723&lt;T723),"",IFERROR(AF723/-(R723/IF(G723="",I723,G723)-1),""))</f>
        <v/>
      </c>
      <c r="AH723" s="94" t="n"/>
      <c r="AI723" s="94" t="n"/>
      <c r="AJ723" s="94" t="n"/>
      <c r="AK723" s="94" t="n"/>
      <c r="AL723" s="84" t="n"/>
    </row>
    <row r="724">
      <c r="A724" s="64" t="n"/>
      <c r="B724" s="65" t="n"/>
      <c r="C724" s="66" t="n"/>
      <c r="D724" s="67" t="n"/>
      <c r="E724" s="68" t="n"/>
      <c r="F724" s="47">
        <f>IF(A724="","",IF(MIN(H724,MAX(J724:K724))=0,"",MIN(H724,MAX(J724:K724))))</f>
        <v/>
      </c>
      <c r="G724" s="74" t="n"/>
      <c r="H724" s="49">
        <f>IF(M724="","",IFERROR(ROUND(AVERAGE(T724+M724*{7,8,9,10,11})/1.21,4),""))</f>
        <v/>
      </c>
      <c r="I724" s="76" t="n"/>
      <c r="J724" s="77" t="n"/>
      <c r="K724" s="74" t="n"/>
      <c r="L724" s="78" t="n"/>
      <c r="M724" s="77" t="n"/>
      <c r="N724" s="53">
        <f>IF(M724="","",IFERROR(M724/I724,""))</f>
        <v/>
      </c>
      <c r="O724" s="50">
        <f>IF(A724="","",IFERROR((IF(G724="",I724,G724)-T724)/M724,""))</f>
        <v/>
      </c>
      <c r="P724" s="50">
        <f>IFERROR((I724/T724-1)/N724,"")</f>
        <v/>
      </c>
      <c r="Q724" s="46">
        <f>IF(OR(T724="",I724&lt;T724),"",IFERROR(R724/IF(G724="",I724,G724)-1,""))</f>
        <v/>
      </c>
      <c r="R724" s="48">
        <f>IF($M724="","",MAX(IF($G724="",$I724,$G724)*(1/1.1),IF($G724="",$I724,$G724)+(R$2*$M724)))</f>
        <v/>
      </c>
      <c r="S724" s="49">
        <f>IF($M724="","",MAX(IF($G724="",$I724,$G724)*(1/1.1),IF($G724="",$I724,$G724)+(S$2*$M724)))</f>
        <v/>
      </c>
      <c r="T724" s="82" t="n"/>
      <c r="U724" s="47">
        <f>IF(OR($M724="",$T724=""),"",$T724+(U$2*$M724))</f>
        <v/>
      </c>
      <c r="V724" s="48">
        <f>IF(OR($M724="",$T724=""),"",$T724+(V$2*$M724))</f>
        <v/>
      </c>
      <c r="W724" s="48">
        <f>IF(OR($M724="",$T724=""),"",$T724+(W$2*$M724))</f>
        <v/>
      </c>
      <c r="X724" s="49">
        <f>IF(OR($M724="",$T724=""),"",$T724+(X$2*$M724))</f>
        <v/>
      </c>
      <c r="Y724" s="47">
        <f>IF(OR($M724="",$T724=""),"",$T724+(Y$2*$M724))</f>
        <v/>
      </c>
      <c r="Z724" s="49">
        <f>IF(OR($M724="",$T724=""),"",$T724+(Z$2*$M724))</f>
        <v/>
      </c>
      <c r="AA724" s="51">
        <f>IF(OR($M724="",$T724=""),"",$T724+(AA$2*$M724))</f>
        <v/>
      </c>
      <c r="AB724" s="48">
        <f>IF(OR($M724="",$T724=""),"",$T724+(AB$2*$M724))</f>
        <v/>
      </c>
      <c r="AC724" s="48">
        <f>IF(OR($M724="",$T724=""),"",$T724+(AC$2*$M724))</f>
        <v/>
      </c>
      <c r="AD724" s="48">
        <f>IF(OR($M724="",$T724=""),"",$T724+(AD$2*$M724))</f>
        <v/>
      </c>
      <c r="AE724" s="49">
        <f>IF(OR($M724="",$T724=""),"",$T724+(AE$2*$M724))</f>
        <v/>
      </c>
      <c r="AF724" s="52">
        <f>IF(OR(T724="",I724&lt;T724),"",IFERROR(AVERAGE(T724+M724*{7,8,9,10,11})/IF(G724="",I724,G724)-1,""))</f>
        <v/>
      </c>
      <c r="AG724" s="55">
        <f>IF(OR(T724="",I724&lt;T724),"",IFERROR(AF724/-(R724/IF(G724="",I724,G724)-1),""))</f>
        <v/>
      </c>
      <c r="AH724" s="94" t="n"/>
      <c r="AI724" s="94" t="n"/>
      <c r="AJ724" s="94" t="n"/>
      <c r="AK724" s="94" t="n"/>
      <c r="AL724" s="84" t="n"/>
    </row>
    <row r="725">
      <c r="A725" s="64" t="n"/>
      <c r="B725" s="65" t="n"/>
      <c r="C725" s="66" t="n"/>
      <c r="D725" s="67" t="n"/>
      <c r="E725" s="68" t="n"/>
      <c r="F725" s="47">
        <f>IF(A725="","",IF(MIN(H725,MAX(J725:K725))=0,"",MIN(H725,MAX(J725:K725))))</f>
        <v/>
      </c>
      <c r="G725" s="74" t="n"/>
      <c r="H725" s="49">
        <f>IF(M725="","",IFERROR(ROUND(AVERAGE(T725+M725*{7,8,9,10,11})/1.21,4),""))</f>
        <v/>
      </c>
      <c r="I725" s="76" t="n"/>
      <c r="J725" s="77" t="n"/>
      <c r="K725" s="74" t="n"/>
      <c r="L725" s="78" t="n"/>
      <c r="M725" s="77" t="n"/>
      <c r="N725" s="53">
        <f>IF(M725="","",IFERROR(M725/I725,""))</f>
        <v/>
      </c>
      <c r="O725" s="50">
        <f>IF(A725="","",IFERROR((IF(G725="",I725,G725)-T725)/M725,""))</f>
        <v/>
      </c>
      <c r="P725" s="50">
        <f>IFERROR((I725/T725-1)/N725,"")</f>
        <v/>
      </c>
      <c r="Q725" s="46">
        <f>IF(OR(T725="",I725&lt;T725),"",IFERROR(R725/IF(G725="",I725,G725)-1,""))</f>
        <v/>
      </c>
      <c r="R725" s="48">
        <f>IF($M725="","",MAX(IF($G725="",$I725,$G725)*(1/1.1),IF($G725="",$I725,$G725)+(R$2*$M725)))</f>
        <v/>
      </c>
      <c r="S725" s="49">
        <f>IF($M725="","",MAX(IF($G725="",$I725,$G725)*(1/1.1),IF($G725="",$I725,$G725)+(S$2*$M725)))</f>
        <v/>
      </c>
      <c r="T725" s="82" t="n"/>
      <c r="U725" s="47">
        <f>IF(OR($M725="",$T725=""),"",$T725+(U$2*$M725))</f>
        <v/>
      </c>
      <c r="V725" s="48">
        <f>IF(OR($M725="",$T725=""),"",$T725+(V$2*$M725))</f>
        <v/>
      </c>
      <c r="W725" s="48">
        <f>IF(OR($M725="",$T725=""),"",$T725+(W$2*$M725))</f>
        <v/>
      </c>
      <c r="X725" s="49">
        <f>IF(OR($M725="",$T725=""),"",$T725+(X$2*$M725))</f>
        <v/>
      </c>
      <c r="Y725" s="47">
        <f>IF(OR($M725="",$T725=""),"",$T725+(Y$2*$M725))</f>
        <v/>
      </c>
      <c r="Z725" s="49">
        <f>IF(OR($M725="",$T725=""),"",$T725+(Z$2*$M725))</f>
        <v/>
      </c>
      <c r="AA725" s="51">
        <f>IF(OR($M725="",$T725=""),"",$T725+(AA$2*$M725))</f>
        <v/>
      </c>
      <c r="AB725" s="48">
        <f>IF(OR($M725="",$T725=""),"",$T725+(AB$2*$M725))</f>
        <v/>
      </c>
      <c r="AC725" s="48">
        <f>IF(OR($M725="",$T725=""),"",$T725+(AC$2*$M725))</f>
        <v/>
      </c>
      <c r="AD725" s="48">
        <f>IF(OR($M725="",$T725=""),"",$T725+(AD$2*$M725))</f>
        <v/>
      </c>
      <c r="AE725" s="49">
        <f>IF(OR($M725="",$T725=""),"",$T725+(AE$2*$M725))</f>
        <v/>
      </c>
      <c r="AF725" s="52">
        <f>IF(OR(T725="",I725&lt;T725),"",IFERROR(AVERAGE(T725+M725*{7,8,9,10,11})/IF(G725="",I725,G725)-1,""))</f>
        <v/>
      </c>
      <c r="AG725" s="55">
        <f>IF(OR(T725="",I725&lt;T725),"",IFERROR(AF725/-(R725/IF(G725="",I725,G725)-1),""))</f>
        <v/>
      </c>
      <c r="AH725" s="94" t="n"/>
      <c r="AI725" s="94" t="n"/>
      <c r="AJ725" s="94" t="n"/>
      <c r="AK725" s="94" t="n"/>
      <c r="AL725" s="84" t="n"/>
    </row>
    <row r="726">
      <c r="A726" s="64" t="n"/>
      <c r="B726" s="65" t="n"/>
      <c r="C726" s="66" t="n"/>
      <c r="D726" s="67" t="n"/>
      <c r="E726" s="68" t="n"/>
      <c r="F726" s="47">
        <f>IF(A726="","",IF(MIN(H726,MAX(J726:K726))=0,"",MIN(H726,MAX(J726:K726))))</f>
        <v/>
      </c>
      <c r="G726" s="74" t="n"/>
      <c r="H726" s="49">
        <f>IF(M726="","",IFERROR(ROUND(AVERAGE(T726+M726*{7,8,9,10,11})/1.21,4),""))</f>
        <v/>
      </c>
      <c r="I726" s="76" t="n"/>
      <c r="J726" s="77" t="n"/>
      <c r="K726" s="74" t="n"/>
      <c r="L726" s="78" t="n"/>
      <c r="M726" s="77" t="n"/>
      <c r="N726" s="53">
        <f>IF(M726="","",IFERROR(M726/I726,""))</f>
        <v/>
      </c>
      <c r="O726" s="50">
        <f>IF(A726="","",IFERROR((IF(G726="",I726,G726)-T726)/M726,""))</f>
        <v/>
      </c>
      <c r="P726" s="50">
        <f>IFERROR((I726/T726-1)/N726,"")</f>
        <v/>
      </c>
      <c r="Q726" s="46">
        <f>IF(OR(T726="",I726&lt;T726),"",IFERROR(R726/IF(G726="",I726,G726)-1,""))</f>
        <v/>
      </c>
      <c r="R726" s="48">
        <f>IF($M726="","",MAX(IF($G726="",$I726,$G726)*(1/1.1),IF($G726="",$I726,$G726)+(R$2*$M726)))</f>
        <v/>
      </c>
      <c r="S726" s="49">
        <f>IF($M726="","",MAX(IF($G726="",$I726,$G726)*(1/1.1),IF($G726="",$I726,$G726)+(S$2*$M726)))</f>
        <v/>
      </c>
      <c r="T726" s="82" t="n"/>
      <c r="U726" s="47">
        <f>IF(OR($M726="",$T726=""),"",$T726+(U$2*$M726))</f>
        <v/>
      </c>
      <c r="V726" s="48">
        <f>IF(OR($M726="",$T726=""),"",$T726+(V$2*$M726))</f>
        <v/>
      </c>
      <c r="W726" s="48">
        <f>IF(OR($M726="",$T726=""),"",$T726+(W$2*$M726))</f>
        <v/>
      </c>
      <c r="X726" s="49">
        <f>IF(OR($M726="",$T726=""),"",$T726+(X$2*$M726))</f>
        <v/>
      </c>
      <c r="Y726" s="47">
        <f>IF(OR($M726="",$T726=""),"",$T726+(Y$2*$M726))</f>
        <v/>
      </c>
      <c r="Z726" s="49">
        <f>IF(OR($M726="",$T726=""),"",$T726+(Z$2*$M726))</f>
        <v/>
      </c>
      <c r="AA726" s="51">
        <f>IF(OR($M726="",$T726=""),"",$T726+(AA$2*$M726))</f>
        <v/>
      </c>
      <c r="AB726" s="48">
        <f>IF(OR($M726="",$T726=""),"",$T726+(AB$2*$M726))</f>
        <v/>
      </c>
      <c r="AC726" s="48">
        <f>IF(OR($M726="",$T726=""),"",$T726+(AC$2*$M726))</f>
        <v/>
      </c>
      <c r="AD726" s="48">
        <f>IF(OR($M726="",$T726=""),"",$T726+(AD$2*$M726))</f>
        <v/>
      </c>
      <c r="AE726" s="49">
        <f>IF(OR($M726="",$T726=""),"",$T726+(AE$2*$M726))</f>
        <v/>
      </c>
      <c r="AF726" s="52">
        <f>IF(OR(T726="",I726&lt;T726),"",IFERROR(AVERAGE(T726+M726*{7,8,9,10,11})/IF(G726="",I726,G726)-1,""))</f>
        <v/>
      </c>
      <c r="AG726" s="55">
        <f>IF(OR(T726="",I726&lt;T726),"",IFERROR(AF726/-(R726/IF(G726="",I726,G726)-1),""))</f>
        <v/>
      </c>
      <c r="AH726" s="94" t="n"/>
      <c r="AI726" s="94" t="n"/>
      <c r="AJ726" s="94" t="n"/>
      <c r="AK726" s="94" t="n"/>
      <c r="AL726" s="84" t="n"/>
    </row>
    <row r="727">
      <c r="A727" s="64" t="n"/>
      <c r="B727" s="65" t="n"/>
      <c r="C727" s="66" t="n"/>
      <c r="D727" s="67" t="n"/>
      <c r="E727" s="68" t="n"/>
      <c r="F727" s="47">
        <f>IF(A727="","",IF(MIN(H727,MAX(J727:K727))=0,"",MIN(H727,MAX(J727:K727))))</f>
        <v/>
      </c>
      <c r="G727" s="74" t="n"/>
      <c r="H727" s="49">
        <f>IF(M727="","",IFERROR(ROUND(AVERAGE(T727+M727*{7,8,9,10,11})/1.21,4),""))</f>
        <v/>
      </c>
      <c r="I727" s="76" t="n"/>
      <c r="J727" s="77" t="n"/>
      <c r="K727" s="74" t="n"/>
      <c r="L727" s="78" t="n"/>
      <c r="M727" s="77" t="n"/>
      <c r="N727" s="53">
        <f>IF(M727="","",IFERROR(M727/I727,""))</f>
        <v/>
      </c>
      <c r="O727" s="50">
        <f>IF(A727="","",IFERROR((IF(G727="",I727,G727)-T727)/M727,""))</f>
        <v/>
      </c>
      <c r="P727" s="50">
        <f>IFERROR((I727/T727-1)/N727,"")</f>
        <v/>
      </c>
      <c r="Q727" s="46">
        <f>IF(OR(T727="",I727&lt;T727),"",IFERROR(R727/IF(G727="",I727,G727)-1,""))</f>
        <v/>
      </c>
      <c r="R727" s="48">
        <f>IF($M727="","",MAX(IF($G727="",$I727,$G727)*(1/1.1),IF($G727="",$I727,$G727)+(R$2*$M727)))</f>
        <v/>
      </c>
      <c r="S727" s="49">
        <f>IF($M727="","",MAX(IF($G727="",$I727,$G727)*(1/1.1),IF($G727="",$I727,$G727)+(S$2*$M727)))</f>
        <v/>
      </c>
      <c r="T727" s="82" t="n"/>
      <c r="U727" s="47">
        <f>IF(OR($M727="",$T727=""),"",$T727+(U$2*$M727))</f>
        <v/>
      </c>
      <c r="V727" s="48">
        <f>IF(OR($M727="",$T727=""),"",$T727+(V$2*$M727))</f>
        <v/>
      </c>
      <c r="W727" s="48">
        <f>IF(OR($M727="",$T727=""),"",$T727+(W$2*$M727))</f>
        <v/>
      </c>
      <c r="X727" s="49">
        <f>IF(OR($M727="",$T727=""),"",$T727+(X$2*$M727))</f>
        <v/>
      </c>
      <c r="Y727" s="47">
        <f>IF(OR($M727="",$T727=""),"",$T727+(Y$2*$M727))</f>
        <v/>
      </c>
      <c r="Z727" s="49">
        <f>IF(OR($M727="",$T727=""),"",$T727+(Z$2*$M727))</f>
        <v/>
      </c>
      <c r="AA727" s="51">
        <f>IF(OR($M727="",$T727=""),"",$T727+(AA$2*$M727))</f>
        <v/>
      </c>
      <c r="AB727" s="48">
        <f>IF(OR($M727="",$T727=""),"",$T727+(AB$2*$M727))</f>
        <v/>
      </c>
      <c r="AC727" s="48">
        <f>IF(OR($M727="",$T727=""),"",$T727+(AC$2*$M727))</f>
        <v/>
      </c>
      <c r="AD727" s="48">
        <f>IF(OR($M727="",$T727=""),"",$T727+(AD$2*$M727))</f>
        <v/>
      </c>
      <c r="AE727" s="49">
        <f>IF(OR($M727="",$T727=""),"",$T727+(AE$2*$M727))</f>
        <v/>
      </c>
      <c r="AF727" s="52">
        <f>IF(OR(T727="",I727&lt;T727),"",IFERROR(AVERAGE(T727+M727*{7,8,9,10,11})/IF(G727="",I727,G727)-1,""))</f>
        <v/>
      </c>
      <c r="AG727" s="55">
        <f>IF(OR(T727="",I727&lt;T727),"",IFERROR(AF727/-(R727/IF(G727="",I727,G727)-1),""))</f>
        <v/>
      </c>
      <c r="AH727" s="94" t="n"/>
      <c r="AI727" s="94" t="n"/>
      <c r="AJ727" s="94" t="n"/>
      <c r="AK727" s="94" t="n"/>
      <c r="AL727" s="84" t="n"/>
    </row>
    <row r="728">
      <c r="A728" s="64" t="n"/>
      <c r="B728" s="65" t="n"/>
      <c r="C728" s="66" t="n"/>
      <c r="D728" s="67" t="n"/>
      <c r="E728" s="68" t="n"/>
      <c r="F728" s="47">
        <f>IF(A728="","",IF(MIN(H728,MAX(J728:K728))=0,"",MIN(H728,MAX(J728:K728))))</f>
        <v/>
      </c>
      <c r="G728" s="74" t="n"/>
      <c r="H728" s="49">
        <f>IF(M728="","",IFERROR(ROUND(AVERAGE(T728+M728*{7,8,9,10,11})/1.21,4),""))</f>
        <v/>
      </c>
      <c r="I728" s="76" t="n"/>
      <c r="J728" s="77" t="n"/>
      <c r="K728" s="74" t="n"/>
      <c r="L728" s="78" t="n"/>
      <c r="M728" s="77" t="n"/>
      <c r="N728" s="53">
        <f>IF(M728="","",IFERROR(M728/I728,""))</f>
        <v/>
      </c>
      <c r="O728" s="50">
        <f>IF(A728="","",IFERROR((IF(G728="",I728,G728)-T728)/M728,""))</f>
        <v/>
      </c>
      <c r="P728" s="50">
        <f>IFERROR((I728/T728-1)/N728,"")</f>
        <v/>
      </c>
      <c r="Q728" s="46">
        <f>IF(OR(T728="",I728&lt;T728),"",IFERROR(R728/IF(G728="",I728,G728)-1,""))</f>
        <v/>
      </c>
      <c r="R728" s="48">
        <f>IF($M728="","",MAX(IF($G728="",$I728,$G728)*(1/1.1),IF($G728="",$I728,$G728)+(R$2*$M728)))</f>
        <v/>
      </c>
      <c r="S728" s="49">
        <f>IF($M728="","",MAX(IF($G728="",$I728,$G728)*(1/1.1),IF($G728="",$I728,$G728)+(S$2*$M728)))</f>
        <v/>
      </c>
      <c r="T728" s="82" t="n"/>
      <c r="U728" s="47">
        <f>IF(OR($M728="",$T728=""),"",$T728+(U$2*$M728))</f>
        <v/>
      </c>
      <c r="V728" s="48">
        <f>IF(OR($M728="",$T728=""),"",$T728+(V$2*$M728))</f>
        <v/>
      </c>
      <c r="W728" s="48">
        <f>IF(OR($M728="",$T728=""),"",$T728+(W$2*$M728))</f>
        <v/>
      </c>
      <c r="X728" s="49">
        <f>IF(OR($M728="",$T728=""),"",$T728+(X$2*$M728))</f>
        <v/>
      </c>
      <c r="Y728" s="47">
        <f>IF(OR($M728="",$T728=""),"",$T728+(Y$2*$M728))</f>
        <v/>
      </c>
      <c r="Z728" s="49">
        <f>IF(OR($M728="",$T728=""),"",$T728+(Z$2*$M728))</f>
        <v/>
      </c>
      <c r="AA728" s="51">
        <f>IF(OR($M728="",$T728=""),"",$T728+(AA$2*$M728))</f>
        <v/>
      </c>
      <c r="AB728" s="48">
        <f>IF(OR($M728="",$T728=""),"",$T728+(AB$2*$M728))</f>
        <v/>
      </c>
      <c r="AC728" s="48">
        <f>IF(OR($M728="",$T728=""),"",$T728+(AC$2*$M728))</f>
        <v/>
      </c>
      <c r="AD728" s="48">
        <f>IF(OR($M728="",$T728=""),"",$T728+(AD$2*$M728))</f>
        <v/>
      </c>
      <c r="AE728" s="49">
        <f>IF(OR($M728="",$T728=""),"",$T728+(AE$2*$M728))</f>
        <v/>
      </c>
      <c r="AF728" s="52">
        <f>IF(OR(T728="",I728&lt;T728),"",IFERROR(AVERAGE(T728+M728*{7,8,9,10,11})/IF(G728="",I728,G728)-1,""))</f>
        <v/>
      </c>
      <c r="AG728" s="55">
        <f>IF(OR(T728="",I728&lt;T728),"",IFERROR(AF728/-(R728/IF(G728="",I728,G728)-1),""))</f>
        <v/>
      </c>
      <c r="AH728" s="94" t="n"/>
      <c r="AI728" s="94" t="n"/>
      <c r="AJ728" s="94" t="n"/>
      <c r="AK728" s="94" t="n"/>
      <c r="AL728" s="84" t="n"/>
    </row>
    <row r="729">
      <c r="A729" s="64" t="n"/>
      <c r="B729" s="65" t="n"/>
      <c r="C729" s="66" t="n"/>
      <c r="D729" s="67" t="n"/>
      <c r="E729" s="68" t="n"/>
      <c r="F729" s="47">
        <f>IF(A729="","",IF(MIN(H729,MAX(J729:K729))=0,"",MIN(H729,MAX(J729:K729))))</f>
        <v/>
      </c>
      <c r="G729" s="74" t="n"/>
      <c r="H729" s="49">
        <f>IF(M729="","",IFERROR(ROUND(AVERAGE(T729+M729*{7,8,9,10,11})/1.21,4),""))</f>
        <v/>
      </c>
      <c r="I729" s="76" t="n"/>
      <c r="J729" s="77" t="n"/>
      <c r="K729" s="74" t="n"/>
      <c r="L729" s="78" t="n"/>
      <c r="M729" s="77" t="n"/>
      <c r="N729" s="53">
        <f>IF(M729="","",IFERROR(M729/I729,""))</f>
        <v/>
      </c>
      <c r="O729" s="50">
        <f>IF(A729="","",IFERROR((IF(G729="",I729,G729)-T729)/M729,""))</f>
        <v/>
      </c>
      <c r="P729" s="50">
        <f>IFERROR((I729/T729-1)/N729,"")</f>
        <v/>
      </c>
      <c r="Q729" s="46">
        <f>IF(OR(T729="",I729&lt;T729),"",IFERROR(R729/IF(G729="",I729,G729)-1,""))</f>
        <v/>
      </c>
      <c r="R729" s="48">
        <f>IF($M729="","",MAX(IF($G729="",$I729,$G729)*(1/1.1),IF($G729="",$I729,$G729)+(R$2*$M729)))</f>
        <v/>
      </c>
      <c r="S729" s="49">
        <f>IF($M729="","",MAX(IF($G729="",$I729,$G729)*(1/1.1),IF($G729="",$I729,$G729)+(S$2*$M729)))</f>
        <v/>
      </c>
      <c r="T729" s="82" t="n"/>
      <c r="U729" s="47">
        <f>IF(OR($M729="",$T729=""),"",$T729+(U$2*$M729))</f>
        <v/>
      </c>
      <c r="V729" s="48">
        <f>IF(OR($M729="",$T729=""),"",$T729+(V$2*$M729))</f>
        <v/>
      </c>
      <c r="W729" s="48">
        <f>IF(OR($M729="",$T729=""),"",$T729+(W$2*$M729))</f>
        <v/>
      </c>
      <c r="X729" s="49">
        <f>IF(OR($M729="",$T729=""),"",$T729+(X$2*$M729))</f>
        <v/>
      </c>
      <c r="Y729" s="47">
        <f>IF(OR($M729="",$T729=""),"",$T729+(Y$2*$M729))</f>
        <v/>
      </c>
      <c r="Z729" s="49">
        <f>IF(OR($M729="",$T729=""),"",$T729+(Z$2*$M729))</f>
        <v/>
      </c>
      <c r="AA729" s="51">
        <f>IF(OR($M729="",$T729=""),"",$T729+(AA$2*$M729))</f>
        <v/>
      </c>
      <c r="AB729" s="48">
        <f>IF(OR($M729="",$T729=""),"",$T729+(AB$2*$M729))</f>
        <v/>
      </c>
      <c r="AC729" s="48">
        <f>IF(OR($M729="",$T729=""),"",$T729+(AC$2*$M729))</f>
        <v/>
      </c>
      <c r="AD729" s="48">
        <f>IF(OR($M729="",$T729=""),"",$T729+(AD$2*$M729))</f>
        <v/>
      </c>
      <c r="AE729" s="49">
        <f>IF(OR($M729="",$T729=""),"",$T729+(AE$2*$M729))</f>
        <v/>
      </c>
      <c r="AF729" s="52">
        <f>IF(OR(T729="",I729&lt;T729),"",IFERROR(AVERAGE(T729+M729*{7,8,9,10,11})/IF(G729="",I729,G729)-1,""))</f>
        <v/>
      </c>
      <c r="AG729" s="55">
        <f>IF(OR(T729="",I729&lt;T729),"",IFERROR(AF729/-(R729/IF(G729="",I729,G729)-1),""))</f>
        <v/>
      </c>
      <c r="AH729" s="94" t="n"/>
      <c r="AI729" s="94" t="n"/>
      <c r="AJ729" s="94" t="n"/>
      <c r="AK729" s="94" t="n"/>
      <c r="AL729" s="84" t="n"/>
    </row>
    <row r="730">
      <c r="A730" s="64" t="n"/>
      <c r="B730" s="65" t="n"/>
      <c r="C730" s="66" t="n"/>
      <c r="D730" s="67" t="n"/>
      <c r="E730" s="68" t="n"/>
      <c r="F730" s="47">
        <f>IF(A730="","",IF(MIN(H730,MAX(J730:K730))=0,"",MIN(H730,MAX(J730:K730))))</f>
        <v/>
      </c>
      <c r="G730" s="74" t="n"/>
      <c r="H730" s="49">
        <f>IF(M730="","",IFERROR(ROUND(AVERAGE(T730+M730*{7,8,9,10,11})/1.21,4),""))</f>
        <v/>
      </c>
      <c r="I730" s="76" t="n"/>
      <c r="J730" s="77" t="n"/>
      <c r="K730" s="74" t="n"/>
      <c r="L730" s="78" t="n"/>
      <c r="M730" s="77" t="n"/>
      <c r="N730" s="53">
        <f>IF(M730="","",IFERROR(M730/I730,""))</f>
        <v/>
      </c>
      <c r="O730" s="50">
        <f>IF(A730="","",IFERROR((IF(G730="",I730,G730)-T730)/M730,""))</f>
        <v/>
      </c>
      <c r="P730" s="50">
        <f>IFERROR((I730/T730-1)/N730,"")</f>
        <v/>
      </c>
      <c r="Q730" s="46">
        <f>IF(OR(T730="",I730&lt;T730),"",IFERROR(R730/IF(G730="",I730,G730)-1,""))</f>
        <v/>
      </c>
      <c r="R730" s="48">
        <f>IF($M730="","",MAX(IF($G730="",$I730,$G730)*(1/1.1),IF($G730="",$I730,$G730)+(R$2*$M730)))</f>
        <v/>
      </c>
      <c r="S730" s="49">
        <f>IF($M730="","",MAX(IF($G730="",$I730,$G730)*(1/1.1),IF($G730="",$I730,$G730)+(S$2*$M730)))</f>
        <v/>
      </c>
      <c r="T730" s="82" t="n"/>
      <c r="U730" s="47">
        <f>IF(OR($M730="",$T730=""),"",$T730+(U$2*$M730))</f>
        <v/>
      </c>
      <c r="V730" s="48">
        <f>IF(OR($M730="",$T730=""),"",$T730+(V$2*$M730))</f>
        <v/>
      </c>
      <c r="W730" s="48">
        <f>IF(OR($M730="",$T730=""),"",$T730+(W$2*$M730))</f>
        <v/>
      </c>
      <c r="X730" s="49">
        <f>IF(OR($M730="",$T730=""),"",$T730+(X$2*$M730))</f>
        <v/>
      </c>
      <c r="Y730" s="47">
        <f>IF(OR($M730="",$T730=""),"",$T730+(Y$2*$M730))</f>
        <v/>
      </c>
      <c r="Z730" s="49">
        <f>IF(OR($M730="",$T730=""),"",$T730+(Z$2*$M730))</f>
        <v/>
      </c>
      <c r="AA730" s="51">
        <f>IF(OR($M730="",$T730=""),"",$T730+(AA$2*$M730))</f>
        <v/>
      </c>
      <c r="AB730" s="48">
        <f>IF(OR($M730="",$T730=""),"",$T730+(AB$2*$M730))</f>
        <v/>
      </c>
      <c r="AC730" s="48">
        <f>IF(OR($M730="",$T730=""),"",$T730+(AC$2*$M730))</f>
        <v/>
      </c>
      <c r="AD730" s="48">
        <f>IF(OR($M730="",$T730=""),"",$T730+(AD$2*$M730))</f>
        <v/>
      </c>
      <c r="AE730" s="49">
        <f>IF(OR($M730="",$T730=""),"",$T730+(AE$2*$M730))</f>
        <v/>
      </c>
      <c r="AF730" s="52">
        <f>IF(OR(T730="",I730&lt;T730),"",IFERROR(AVERAGE(T730+M730*{7,8,9,10,11})/IF(G730="",I730,G730)-1,""))</f>
        <v/>
      </c>
      <c r="AG730" s="55">
        <f>IF(OR(T730="",I730&lt;T730),"",IFERROR(AF730/-(R730/IF(G730="",I730,G730)-1),""))</f>
        <v/>
      </c>
      <c r="AH730" s="94" t="n"/>
      <c r="AI730" s="94" t="n"/>
      <c r="AJ730" s="94" t="n"/>
      <c r="AK730" s="94" t="n"/>
      <c r="AL730" s="84" t="n"/>
    </row>
    <row r="731">
      <c r="A731" s="64" t="n"/>
      <c r="B731" s="65" t="n"/>
      <c r="C731" s="66" t="n"/>
      <c r="D731" s="67" t="n"/>
      <c r="E731" s="68" t="n"/>
      <c r="F731" s="47">
        <f>IF(A731="","",IF(MIN(H731,MAX(J731:K731))=0,"",MIN(H731,MAX(J731:K731))))</f>
        <v/>
      </c>
      <c r="G731" s="74" t="n"/>
      <c r="H731" s="49">
        <f>IF(M731="","",IFERROR(ROUND(AVERAGE(T731+M731*{7,8,9,10,11})/1.21,4),""))</f>
        <v/>
      </c>
      <c r="I731" s="76" t="n"/>
      <c r="J731" s="77" t="n"/>
      <c r="K731" s="74" t="n"/>
      <c r="L731" s="78" t="n"/>
      <c r="M731" s="77" t="n"/>
      <c r="N731" s="53">
        <f>IF(M731="","",IFERROR(M731/I731,""))</f>
        <v/>
      </c>
      <c r="O731" s="50">
        <f>IF(A731="","",IFERROR((IF(G731="",I731,G731)-T731)/M731,""))</f>
        <v/>
      </c>
      <c r="P731" s="50">
        <f>IFERROR((I731/T731-1)/N731,"")</f>
        <v/>
      </c>
      <c r="Q731" s="46">
        <f>IF(OR(T731="",I731&lt;T731),"",IFERROR(R731/IF(G731="",I731,G731)-1,""))</f>
        <v/>
      </c>
      <c r="R731" s="48">
        <f>IF($M731="","",MAX(IF($G731="",$I731,$G731)*(1/1.1),IF($G731="",$I731,$G731)+(R$2*$M731)))</f>
        <v/>
      </c>
      <c r="S731" s="49">
        <f>IF($M731="","",MAX(IF($G731="",$I731,$G731)*(1/1.1),IF($G731="",$I731,$G731)+(S$2*$M731)))</f>
        <v/>
      </c>
      <c r="T731" s="82" t="n"/>
      <c r="U731" s="47">
        <f>IF(OR($M731="",$T731=""),"",$T731+(U$2*$M731))</f>
        <v/>
      </c>
      <c r="V731" s="48">
        <f>IF(OR($M731="",$T731=""),"",$T731+(V$2*$M731))</f>
        <v/>
      </c>
      <c r="W731" s="48">
        <f>IF(OR($M731="",$T731=""),"",$T731+(W$2*$M731))</f>
        <v/>
      </c>
      <c r="X731" s="49">
        <f>IF(OR($M731="",$T731=""),"",$T731+(X$2*$M731))</f>
        <v/>
      </c>
      <c r="Y731" s="47">
        <f>IF(OR($M731="",$T731=""),"",$T731+(Y$2*$M731))</f>
        <v/>
      </c>
      <c r="Z731" s="49">
        <f>IF(OR($M731="",$T731=""),"",$T731+(Z$2*$M731))</f>
        <v/>
      </c>
      <c r="AA731" s="51">
        <f>IF(OR($M731="",$T731=""),"",$T731+(AA$2*$M731))</f>
        <v/>
      </c>
      <c r="AB731" s="48">
        <f>IF(OR($M731="",$T731=""),"",$T731+(AB$2*$M731))</f>
        <v/>
      </c>
      <c r="AC731" s="48">
        <f>IF(OR($M731="",$T731=""),"",$T731+(AC$2*$M731))</f>
        <v/>
      </c>
      <c r="AD731" s="48">
        <f>IF(OR($M731="",$T731=""),"",$T731+(AD$2*$M731))</f>
        <v/>
      </c>
      <c r="AE731" s="49">
        <f>IF(OR($M731="",$T731=""),"",$T731+(AE$2*$M731))</f>
        <v/>
      </c>
      <c r="AF731" s="52">
        <f>IF(OR(T731="",I731&lt;T731),"",IFERROR(AVERAGE(T731+M731*{7,8,9,10,11})/IF(G731="",I731,G731)-1,""))</f>
        <v/>
      </c>
      <c r="AG731" s="55">
        <f>IF(OR(T731="",I731&lt;T731),"",IFERROR(AF731/-(R731/IF(G731="",I731,G731)-1),""))</f>
        <v/>
      </c>
      <c r="AH731" s="94" t="n"/>
      <c r="AI731" s="94" t="n"/>
      <c r="AJ731" s="94" t="n"/>
      <c r="AK731" s="94" t="n"/>
      <c r="AL731" s="84" t="n"/>
    </row>
    <row r="732">
      <c r="A732" s="64" t="n"/>
      <c r="B732" s="65" t="n"/>
      <c r="C732" s="66" t="n"/>
      <c r="D732" s="67" t="n"/>
      <c r="E732" s="68" t="n"/>
      <c r="F732" s="47">
        <f>IF(A732="","",IF(MIN(H732,MAX(J732:K732))=0,"",MIN(H732,MAX(J732:K732))))</f>
        <v/>
      </c>
      <c r="G732" s="74" t="n"/>
      <c r="H732" s="49">
        <f>IF(M732="","",IFERROR(ROUND(AVERAGE(T732+M732*{7,8,9,10,11})/1.21,4),""))</f>
        <v/>
      </c>
      <c r="I732" s="76" t="n"/>
      <c r="J732" s="77" t="n"/>
      <c r="K732" s="74" t="n"/>
      <c r="L732" s="78" t="n"/>
      <c r="M732" s="77" t="n"/>
      <c r="N732" s="53">
        <f>IF(M732="","",IFERROR(M732/I732,""))</f>
        <v/>
      </c>
      <c r="O732" s="50">
        <f>IF(A732="","",IFERROR((IF(G732="",I732,G732)-T732)/M732,""))</f>
        <v/>
      </c>
      <c r="P732" s="50">
        <f>IFERROR((I732/T732-1)/N732,"")</f>
        <v/>
      </c>
      <c r="Q732" s="46">
        <f>IF(OR(T732="",I732&lt;T732),"",IFERROR(R732/IF(G732="",I732,G732)-1,""))</f>
        <v/>
      </c>
      <c r="R732" s="48">
        <f>IF($M732="","",MAX(IF($G732="",$I732,$G732)*(1/1.1),IF($G732="",$I732,$G732)+(R$2*$M732)))</f>
        <v/>
      </c>
      <c r="S732" s="49">
        <f>IF($M732="","",MAX(IF($G732="",$I732,$G732)*(1/1.1),IF($G732="",$I732,$G732)+(S$2*$M732)))</f>
        <v/>
      </c>
      <c r="T732" s="82" t="n"/>
      <c r="U732" s="47">
        <f>IF(OR($M732="",$T732=""),"",$T732+(U$2*$M732))</f>
        <v/>
      </c>
      <c r="V732" s="48">
        <f>IF(OR($M732="",$T732=""),"",$T732+(V$2*$M732))</f>
        <v/>
      </c>
      <c r="W732" s="48">
        <f>IF(OR($M732="",$T732=""),"",$T732+(W$2*$M732))</f>
        <v/>
      </c>
      <c r="X732" s="49">
        <f>IF(OR($M732="",$T732=""),"",$T732+(X$2*$M732))</f>
        <v/>
      </c>
      <c r="Y732" s="47">
        <f>IF(OR($M732="",$T732=""),"",$T732+(Y$2*$M732))</f>
        <v/>
      </c>
      <c r="Z732" s="49">
        <f>IF(OR($M732="",$T732=""),"",$T732+(Z$2*$M732))</f>
        <v/>
      </c>
      <c r="AA732" s="51">
        <f>IF(OR($M732="",$T732=""),"",$T732+(AA$2*$M732))</f>
        <v/>
      </c>
      <c r="AB732" s="48">
        <f>IF(OR($M732="",$T732=""),"",$T732+(AB$2*$M732))</f>
        <v/>
      </c>
      <c r="AC732" s="48">
        <f>IF(OR($M732="",$T732=""),"",$T732+(AC$2*$M732))</f>
        <v/>
      </c>
      <c r="AD732" s="48">
        <f>IF(OR($M732="",$T732=""),"",$T732+(AD$2*$M732))</f>
        <v/>
      </c>
      <c r="AE732" s="49">
        <f>IF(OR($M732="",$T732=""),"",$T732+(AE$2*$M732))</f>
        <v/>
      </c>
      <c r="AF732" s="52">
        <f>IF(OR(T732="",I732&lt;T732),"",IFERROR(AVERAGE(T732+M732*{7,8,9,10,11})/IF(G732="",I732,G732)-1,""))</f>
        <v/>
      </c>
      <c r="AG732" s="55">
        <f>IF(OR(T732="",I732&lt;T732),"",IFERROR(AF732/-(R732/IF(G732="",I732,G732)-1),""))</f>
        <v/>
      </c>
      <c r="AH732" s="94" t="n"/>
      <c r="AI732" s="94" t="n"/>
      <c r="AJ732" s="94" t="n"/>
      <c r="AK732" s="94" t="n"/>
      <c r="AL732" s="84" t="n"/>
    </row>
    <row r="733">
      <c r="A733" s="64" t="n"/>
      <c r="B733" s="65" t="n"/>
      <c r="C733" s="66" t="n"/>
      <c r="D733" s="67" t="n"/>
      <c r="E733" s="68" t="n"/>
      <c r="F733" s="47">
        <f>IF(A733="","",IF(MIN(H733,MAX(J733:K733))=0,"",MIN(H733,MAX(J733:K733))))</f>
        <v/>
      </c>
      <c r="G733" s="74" t="n"/>
      <c r="H733" s="49">
        <f>IF(M733="","",IFERROR(ROUND(AVERAGE(T733+M733*{7,8,9,10,11})/1.21,4),""))</f>
        <v/>
      </c>
      <c r="I733" s="76" t="n"/>
      <c r="J733" s="77" t="n"/>
      <c r="K733" s="74" t="n"/>
      <c r="L733" s="78" t="n"/>
      <c r="M733" s="77" t="n"/>
      <c r="N733" s="53">
        <f>IF(M733="","",IFERROR(M733/I733,""))</f>
        <v/>
      </c>
      <c r="O733" s="50">
        <f>IF(A733="","",IFERROR((IF(G733="",I733,G733)-T733)/M733,""))</f>
        <v/>
      </c>
      <c r="P733" s="50">
        <f>IFERROR((I733/T733-1)/N733,"")</f>
        <v/>
      </c>
      <c r="Q733" s="46">
        <f>IF(OR(T733="",I733&lt;T733),"",IFERROR(R733/IF(G733="",I733,G733)-1,""))</f>
        <v/>
      </c>
      <c r="R733" s="48">
        <f>IF($M733="","",MAX(IF($G733="",$I733,$G733)*(1/1.1),IF($G733="",$I733,$G733)+(R$2*$M733)))</f>
        <v/>
      </c>
      <c r="S733" s="49">
        <f>IF($M733="","",MAX(IF($G733="",$I733,$G733)*(1/1.1),IF($G733="",$I733,$G733)+(S$2*$M733)))</f>
        <v/>
      </c>
      <c r="T733" s="82" t="n"/>
      <c r="U733" s="47">
        <f>IF(OR($M733="",$T733=""),"",$T733+(U$2*$M733))</f>
        <v/>
      </c>
      <c r="V733" s="48">
        <f>IF(OR($M733="",$T733=""),"",$T733+(V$2*$M733))</f>
        <v/>
      </c>
      <c r="W733" s="48">
        <f>IF(OR($M733="",$T733=""),"",$T733+(W$2*$M733))</f>
        <v/>
      </c>
      <c r="X733" s="49">
        <f>IF(OR($M733="",$T733=""),"",$T733+(X$2*$M733))</f>
        <v/>
      </c>
      <c r="Y733" s="47">
        <f>IF(OR($M733="",$T733=""),"",$T733+(Y$2*$M733))</f>
        <v/>
      </c>
      <c r="Z733" s="49">
        <f>IF(OR($M733="",$T733=""),"",$T733+(Z$2*$M733))</f>
        <v/>
      </c>
      <c r="AA733" s="51">
        <f>IF(OR($M733="",$T733=""),"",$T733+(AA$2*$M733))</f>
        <v/>
      </c>
      <c r="AB733" s="48">
        <f>IF(OR($M733="",$T733=""),"",$T733+(AB$2*$M733))</f>
        <v/>
      </c>
      <c r="AC733" s="48">
        <f>IF(OR($M733="",$T733=""),"",$T733+(AC$2*$M733))</f>
        <v/>
      </c>
      <c r="AD733" s="48">
        <f>IF(OR($M733="",$T733=""),"",$T733+(AD$2*$M733))</f>
        <v/>
      </c>
      <c r="AE733" s="49">
        <f>IF(OR($M733="",$T733=""),"",$T733+(AE$2*$M733))</f>
        <v/>
      </c>
      <c r="AF733" s="52">
        <f>IF(OR(T733="",I733&lt;T733),"",IFERROR(AVERAGE(T733+M733*{7,8,9,10,11})/IF(G733="",I733,G733)-1,""))</f>
        <v/>
      </c>
      <c r="AG733" s="55">
        <f>IF(OR(T733="",I733&lt;T733),"",IFERROR(AF733/-(R733/IF(G733="",I733,G733)-1),""))</f>
        <v/>
      </c>
      <c r="AH733" s="94" t="n"/>
      <c r="AI733" s="94" t="n"/>
      <c r="AJ733" s="94" t="n"/>
      <c r="AK733" s="94" t="n"/>
      <c r="AL733" s="84" t="n"/>
    </row>
    <row r="734">
      <c r="A734" s="64" t="n"/>
      <c r="B734" s="65" t="n"/>
      <c r="C734" s="66" t="n"/>
      <c r="D734" s="67" t="n"/>
      <c r="E734" s="68" t="n"/>
      <c r="F734" s="47">
        <f>IF(A734="","",IF(MIN(H734,MAX(J734:K734))=0,"",MIN(H734,MAX(J734:K734))))</f>
        <v/>
      </c>
      <c r="G734" s="74" t="n"/>
      <c r="H734" s="49">
        <f>IF(M734="","",IFERROR(ROUND(AVERAGE(T734+M734*{7,8,9,10,11})/1.21,4),""))</f>
        <v/>
      </c>
      <c r="I734" s="76" t="n"/>
      <c r="J734" s="77" t="n"/>
      <c r="K734" s="74" t="n"/>
      <c r="L734" s="78" t="n"/>
      <c r="M734" s="77" t="n"/>
      <c r="N734" s="53">
        <f>IF(M734="","",IFERROR(M734/I734,""))</f>
        <v/>
      </c>
      <c r="O734" s="50">
        <f>IF(A734="","",IFERROR((IF(G734="",I734,G734)-T734)/M734,""))</f>
        <v/>
      </c>
      <c r="P734" s="50">
        <f>IFERROR((I734/T734-1)/N734,"")</f>
        <v/>
      </c>
      <c r="Q734" s="46">
        <f>IF(OR(T734="",I734&lt;T734),"",IFERROR(R734/IF(G734="",I734,G734)-1,""))</f>
        <v/>
      </c>
      <c r="R734" s="48">
        <f>IF($M734="","",MAX(IF($G734="",$I734,$G734)*(1/1.1),IF($G734="",$I734,$G734)+(R$2*$M734)))</f>
        <v/>
      </c>
      <c r="S734" s="49">
        <f>IF($M734="","",MAX(IF($G734="",$I734,$G734)*(1/1.1),IF($G734="",$I734,$G734)+(S$2*$M734)))</f>
        <v/>
      </c>
      <c r="T734" s="82" t="n"/>
      <c r="U734" s="47">
        <f>IF(OR($M734="",$T734=""),"",$T734+(U$2*$M734))</f>
        <v/>
      </c>
      <c r="V734" s="48">
        <f>IF(OR($M734="",$T734=""),"",$T734+(V$2*$M734))</f>
        <v/>
      </c>
      <c r="W734" s="48">
        <f>IF(OR($M734="",$T734=""),"",$T734+(W$2*$M734))</f>
        <v/>
      </c>
      <c r="X734" s="49">
        <f>IF(OR($M734="",$T734=""),"",$T734+(X$2*$M734))</f>
        <v/>
      </c>
      <c r="Y734" s="47">
        <f>IF(OR($M734="",$T734=""),"",$T734+(Y$2*$M734))</f>
        <v/>
      </c>
      <c r="Z734" s="49">
        <f>IF(OR($M734="",$T734=""),"",$T734+(Z$2*$M734))</f>
        <v/>
      </c>
      <c r="AA734" s="51">
        <f>IF(OR($M734="",$T734=""),"",$T734+(AA$2*$M734))</f>
        <v/>
      </c>
      <c r="AB734" s="48">
        <f>IF(OR($M734="",$T734=""),"",$T734+(AB$2*$M734))</f>
        <v/>
      </c>
      <c r="AC734" s="48">
        <f>IF(OR($M734="",$T734=""),"",$T734+(AC$2*$M734))</f>
        <v/>
      </c>
      <c r="AD734" s="48">
        <f>IF(OR($M734="",$T734=""),"",$T734+(AD$2*$M734))</f>
        <v/>
      </c>
      <c r="AE734" s="49">
        <f>IF(OR($M734="",$T734=""),"",$T734+(AE$2*$M734))</f>
        <v/>
      </c>
      <c r="AF734" s="52">
        <f>IF(OR(T734="",I734&lt;T734),"",IFERROR(AVERAGE(T734+M734*{7,8,9,10,11})/IF(G734="",I734,G734)-1,""))</f>
        <v/>
      </c>
      <c r="AG734" s="55">
        <f>IF(OR(T734="",I734&lt;T734),"",IFERROR(AF734/-(R734/IF(G734="",I734,G734)-1),""))</f>
        <v/>
      </c>
      <c r="AH734" s="94" t="n"/>
      <c r="AI734" s="94" t="n"/>
      <c r="AJ734" s="94" t="n"/>
      <c r="AK734" s="94" t="n"/>
      <c r="AL734" s="84" t="n"/>
    </row>
    <row r="735">
      <c r="A735" s="64" t="n"/>
      <c r="B735" s="65" t="n"/>
      <c r="C735" s="66" t="n"/>
      <c r="D735" s="67" t="n"/>
      <c r="E735" s="68" t="n"/>
      <c r="F735" s="47">
        <f>IF(A735="","",IF(MIN(H735,MAX(J735:K735))=0,"",MIN(H735,MAX(J735:K735))))</f>
        <v/>
      </c>
      <c r="G735" s="74" t="n"/>
      <c r="H735" s="49">
        <f>IF(M735="","",IFERROR(ROUND(AVERAGE(T735+M735*{7,8,9,10,11})/1.21,4),""))</f>
        <v/>
      </c>
      <c r="I735" s="76" t="n"/>
      <c r="J735" s="77" t="n"/>
      <c r="K735" s="74" t="n"/>
      <c r="L735" s="78" t="n"/>
      <c r="M735" s="77" t="n"/>
      <c r="N735" s="53">
        <f>IF(M735="","",IFERROR(M735/I735,""))</f>
        <v/>
      </c>
      <c r="O735" s="50">
        <f>IF(A735="","",IFERROR((IF(G735="",I735,G735)-T735)/M735,""))</f>
        <v/>
      </c>
      <c r="P735" s="50">
        <f>IFERROR((I735/T735-1)/N735,"")</f>
        <v/>
      </c>
      <c r="Q735" s="46">
        <f>IF(OR(T735="",I735&lt;T735),"",IFERROR(R735/IF(G735="",I735,G735)-1,""))</f>
        <v/>
      </c>
      <c r="R735" s="48">
        <f>IF($M735="","",MAX(IF($G735="",$I735,$G735)*(1/1.1),IF($G735="",$I735,$G735)+(R$2*$M735)))</f>
        <v/>
      </c>
      <c r="S735" s="49">
        <f>IF($M735="","",MAX(IF($G735="",$I735,$G735)*(1/1.1),IF($G735="",$I735,$G735)+(S$2*$M735)))</f>
        <v/>
      </c>
      <c r="T735" s="82" t="n"/>
      <c r="U735" s="47">
        <f>IF(OR($M735="",$T735=""),"",$T735+(U$2*$M735))</f>
        <v/>
      </c>
      <c r="V735" s="48">
        <f>IF(OR($M735="",$T735=""),"",$T735+(V$2*$M735))</f>
        <v/>
      </c>
      <c r="W735" s="48">
        <f>IF(OR($M735="",$T735=""),"",$T735+(W$2*$M735))</f>
        <v/>
      </c>
      <c r="X735" s="49">
        <f>IF(OR($M735="",$T735=""),"",$T735+(X$2*$M735))</f>
        <v/>
      </c>
      <c r="Y735" s="47">
        <f>IF(OR($M735="",$T735=""),"",$T735+(Y$2*$M735))</f>
        <v/>
      </c>
      <c r="Z735" s="49">
        <f>IF(OR($M735="",$T735=""),"",$T735+(Z$2*$M735))</f>
        <v/>
      </c>
      <c r="AA735" s="51">
        <f>IF(OR($M735="",$T735=""),"",$T735+(AA$2*$M735))</f>
        <v/>
      </c>
      <c r="AB735" s="48">
        <f>IF(OR($M735="",$T735=""),"",$T735+(AB$2*$M735))</f>
        <v/>
      </c>
      <c r="AC735" s="48">
        <f>IF(OR($M735="",$T735=""),"",$T735+(AC$2*$M735))</f>
        <v/>
      </c>
      <c r="AD735" s="48">
        <f>IF(OR($M735="",$T735=""),"",$T735+(AD$2*$M735))</f>
        <v/>
      </c>
      <c r="AE735" s="49">
        <f>IF(OR($M735="",$T735=""),"",$T735+(AE$2*$M735))</f>
        <v/>
      </c>
      <c r="AF735" s="52">
        <f>IF(OR(T735="",I735&lt;T735),"",IFERROR(AVERAGE(T735+M735*{7,8,9,10,11})/IF(G735="",I735,G735)-1,""))</f>
        <v/>
      </c>
      <c r="AG735" s="55">
        <f>IF(OR(T735="",I735&lt;T735),"",IFERROR(AF735/-(R735/IF(G735="",I735,G735)-1),""))</f>
        <v/>
      </c>
      <c r="AH735" s="94" t="n"/>
      <c r="AI735" s="94" t="n"/>
      <c r="AJ735" s="94" t="n"/>
      <c r="AK735" s="94" t="n"/>
      <c r="AL735" s="84" t="n"/>
    </row>
    <row r="736">
      <c r="A736" s="64" t="n"/>
      <c r="B736" s="65" t="n"/>
      <c r="C736" s="66" t="n"/>
      <c r="D736" s="67" t="n"/>
      <c r="E736" s="68" t="n"/>
      <c r="F736" s="47">
        <f>IF(A736="","",IF(MIN(H736,MAX(J736:K736))=0,"",MIN(H736,MAX(J736:K736))))</f>
        <v/>
      </c>
      <c r="G736" s="74" t="n"/>
      <c r="H736" s="49">
        <f>IF(M736="","",IFERROR(ROUND(AVERAGE(T736+M736*{7,8,9,10,11})/1.21,4),""))</f>
        <v/>
      </c>
      <c r="I736" s="76" t="n"/>
      <c r="J736" s="77" t="n"/>
      <c r="K736" s="74" t="n"/>
      <c r="L736" s="78" t="n"/>
      <c r="M736" s="77" t="n"/>
      <c r="N736" s="53">
        <f>IF(M736="","",IFERROR(M736/I736,""))</f>
        <v/>
      </c>
      <c r="O736" s="50">
        <f>IF(A736="","",IFERROR((IF(G736="",I736,G736)-T736)/M736,""))</f>
        <v/>
      </c>
      <c r="P736" s="50">
        <f>IFERROR((I736/T736-1)/N736,"")</f>
        <v/>
      </c>
      <c r="Q736" s="46">
        <f>IF(OR(T736="",I736&lt;T736),"",IFERROR(R736/IF(G736="",I736,G736)-1,""))</f>
        <v/>
      </c>
      <c r="R736" s="48">
        <f>IF($M736="","",MAX(IF($G736="",$I736,$G736)*(1/1.1),IF($G736="",$I736,$G736)+(R$2*$M736)))</f>
        <v/>
      </c>
      <c r="S736" s="49">
        <f>IF($M736="","",MAX(IF($G736="",$I736,$G736)*(1/1.1),IF($G736="",$I736,$G736)+(S$2*$M736)))</f>
        <v/>
      </c>
      <c r="T736" s="82" t="n"/>
      <c r="U736" s="47">
        <f>IF(OR($M736="",$T736=""),"",$T736+(U$2*$M736))</f>
        <v/>
      </c>
      <c r="V736" s="48">
        <f>IF(OR($M736="",$T736=""),"",$T736+(V$2*$M736))</f>
        <v/>
      </c>
      <c r="W736" s="48">
        <f>IF(OR($M736="",$T736=""),"",$T736+(W$2*$M736))</f>
        <v/>
      </c>
      <c r="X736" s="49">
        <f>IF(OR($M736="",$T736=""),"",$T736+(X$2*$M736))</f>
        <v/>
      </c>
      <c r="Y736" s="47">
        <f>IF(OR($M736="",$T736=""),"",$T736+(Y$2*$M736))</f>
        <v/>
      </c>
      <c r="Z736" s="49">
        <f>IF(OR($M736="",$T736=""),"",$T736+(Z$2*$M736))</f>
        <v/>
      </c>
      <c r="AA736" s="51">
        <f>IF(OR($M736="",$T736=""),"",$T736+(AA$2*$M736))</f>
        <v/>
      </c>
      <c r="AB736" s="48">
        <f>IF(OR($M736="",$T736=""),"",$T736+(AB$2*$M736))</f>
        <v/>
      </c>
      <c r="AC736" s="48">
        <f>IF(OR($M736="",$T736=""),"",$T736+(AC$2*$M736))</f>
        <v/>
      </c>
      <c r="AD736" s="48">
        <f>IF(OR($M736="",$T736=""),"",$T736+(AD$2*$M736))</f>
        <v/>
      </c>
      <c r="AE736" s="49">
        <f>IF(OR($M736="",$T736=""),"",$T736+(AE$2*$M736))</f>
        <v/>
      </c>
      <c r="AF736" s="52">
        <f>IF(OR(T736="",I736&lt;T736),"",IFERROR(AVERAGE(T736+M736*{7,8,9,10,11})/IF(G736="",I736,G736)-1,""))</f>
        <v/>
      </c>
      <c r="AG736" s="55">
        <f>IF(OR(T736="",I736&lt;T736),"",IFERROR(AF736/-(R736/IF(G736="",I736,G736)-1),""))</f>
        <v/>
      </c>
      <c r="AH736" s="94" t="n"/>
      <c r="AI736" s="94" t="n"/>
      <c r="AJ736" s="94" t="n"/>
      <c r="AK736" s="94" t="n"/>
      <c r="AL736" s="84" t="n"/>
    </row>
    <row r="737">
      <c r="A737" s="64" t="n"/>
      <c r="B737" s="65" t="n"/>
      <c r="C737" s="66" t="n"/>
      <c r="D737" s="67" t="n"/>
      <c r="E737" s="68" t="n"/>
      <c r="F737" s="47">
        <f>IF(A737="","",IF(MIN(H737,MAX(J737:K737))=0,"",MIN(H737,MAX(J737:K737))))</f>
        <v/>
      </c>
      <c r="G737" s="74" t="n"/>
      <c r="H737" s="49">
        <f>IF(M737="","",IFERROR(ROUND(AVERAGE(T737+M737*{7,8,9,10,11})/1.21,4),""))</f>
        <v/>
      </c>
      <c r="I737" s="76" t="n"/>
      <c r="J737" s="77" t="n"/>
      <c r="K737" s="74" t="n"/>
      <c r="L737" s="78" t="n"/>
      <c r="M737" s="77" t="n"/>
      <c r="N737" s="53">
        <f>IF(M737="","",IFERROR(M737/I737,""))</f>
        <v/>
      </c>
      <c r="O737" s="50">
        <f>IF(A737="","",IFERROR((IF(G737="",I737,G737)-T737)/M737,""))</f>
        <v/>
      </c>
      <c r="P737" s="50">
        <f>IFERROR((I737/T737-1)/N737,"")</f>
        <v/>
      </c>
      <c r="Q737" s="46">
        <f>IF(OR(T737="",I737&lt;T737),"",IFERROR(R737/IF(G737="",I737,G737)-1,""))</f>
        <v/>
      </c>
      <c r="R737" s="48">
        <f>IF($M737="","",MAX(IF($G737="",$I737,$G737)*(1/1.1),IF($G737="",$I737,$G737)+(R$2*$M737)))</f>
        <v/>
      </c>
      <c r="S737" s="49">
        <f>IF($M737="","",MAX(IF($G737="",$I737,$G737)*(1/1.1),IF($G737="",$I737,$G737)+(S$2*$M737)))</f>
        <v/>
      </c>
      <c r="T737" s="82" t="n"/>
      <c r="U737" s="47">
        <f>IF(OR($M737="",$T737=""),"",$T737+(U$2*$M737))</f>
        <v/>
      </c>
      <c r="V737" s="48">
        <f>IF(OR($M737="",$T737=""),"",$T737+(V$2*$M737))</f>
        <v/>
      </c>
      <c r="W737" s="48">
        <f>IF(OR($M737="",$T737=""),"",$T737+(W$2*$M737))</f>
        <v/>
      </c>
      <c r="X737" s="49">
        <f>IF(OR($M737="",$T737=""),"",$T737+(X$2*$M737))</f>
        <v/>
      </c>
      <c r="Y737" s="47">
        <f>IF(OR($M737="",$T737=""),"",$T737+(Y$2*$M737))</f>
        <v/>
      </c>
      <c r="Z737" s="49">
        <f>IF(OR($M737="",$T737=""),"",$T737+(Z$2*$M737))</f>
        <v/>
      </c>
      <c r="AA737" s="51">
        <f>IF(OR($M737="",$T737=""),"",$T737+(AA$2*$M737))</f>
        <v/>
      </c>
      <c r="AB737" s="48">
        <f>IF(OR($M737="",$T737=""),"",$T737+(AB$2*$M737))</f>
        <v/>
      </c>
      <c r="AC737" s="48">
        <f>IF(OR($M737="",$T737=""),"",$T737+(AC$2*$M737))</f>
        <v/>
      </c>
      <c r="AD737" s="48">
        <f>IF(OR($M737="",$T737=""),"",$T737+(AD$2*$M737))</f>
        <v/>
      </c>
      <c r="AE737" s="49">
        <f>IF(OR($M737="",$T737=""),"",$T737+(AE$2*$M737))</f>
        <v/>
      </c>
      <c r="AF737" s="52">
        <f>IF(OR(T737="",I737&lt;T737),"",IFERROR(AVERAGE(T737+M737*{7,8,9,10,11})/IF(G737="",I737,G737)-1,""))</f>
        <v/>
      </c>
      <c r="AG737" s="55">
        <f>IF(OR(T737="",I737&lt;T737),"",IFERROR(AF737/-(R737/IF(G737="",I737,G737)-1),""))</f>
        <v/>
      </c>
      <c r="AH737" s="94" t="n"/>
      <c r="AI737" s="94" t="n"/>
      <c r="AJ737" s="94" t="n"/>
      <c r="AK737" s="94" t="n"/>
      <c r="AL737" s="84" t="n"/>
    </row>
    <row r="738">
      <c r="A738" s="64" t="n"/>
      <c r="B738" s="65" t="n"/>
      <c r="C738" s="66" t="n"/>
      <c r="D738" s="67" t="n"/>
      <c r="E738" s="68" t="n"/>
      <c r="F738" s="47">
        <f>IF(A738="","",IF(MIN(H738,MAX(J738:K738))=0,"",MIN(H738,MAX(J738:K738))))</f>
        <v/>
      </c>
      <c r="G738" s="74" t="n"/>
      <c r="H738" s="49">
        <f>IF(M738="","",IFERROR(ROUND(AVERAGE(T738+M738*{7,8,9,10,11})/1.21,4),""))</f>
        <v/>
      </c>
      <c r="I738" s="76" t="n"/>
      <c r="J738" s="77" t="n"/>
      <c r="K738" s="74" t="n"/>
      <c r="L738" s="78" t="n"/>
      <c r="M738" s="77" t="n"/>
      <c r="N738" s="53">
        <f>IF(M738="","",IFERROR(M738/I738,""))</f>
        <v/>
      </c>
      <c r="O738" s="50">
        <f>IF(A738="","",IFERROR((IF(G738="",I738,G738)-T738)/M738,""))</f>
        <v/>
      </c>
      <c r="P738" s="50">
        <f>IFERROR((I738/T738-1)/N738,"")</f>
        <v/>
      </c>
      <c r="Q738" s="46">
        <f>IF(OR(T738="",I738&lt;T738),"",IFERROR(R738/IF(G738="",I738,G738)-1,""))</f>
        <v/>
      </c>
      <c r="R738" s="48">
        <f>IF($M738="","",MAX(IF($G738="",$I738,$G738)*(1/1.1),IF($G738="",$I738,$G738)+(R$2*$M738)))</f>
        <v/>
      </c>
      <c r="S738" s="49">
        <f>IF($M738="","",MAX(IF($G738="",$I738,$G738)*(1/1.1),IF($G738="",$I738,$G738)+(S$2*$M738)))</f>
        <v/>
      </c>
      <c r="T738" s="82" t="n"/>
      <c r="U738" s="47">
        <f>IF(OR($M738="",$T738=""),"",$T738+(U$2*$M738))</f>
        <v/>
      </c>
      <c r="V738" s="48">
        <f>IF(OR($M738="",$T738=""),"",$T738+(V$2*$M738))</f>
        <v/>
      </c>
      <c r="W738" s="48">
        <f>IF(OR($M738="",$T738=""),"",$T738+(W$2*$M738))</f>
        <v/>
      </c>
      <c r="X738" s="49">
        <f>IF(OR($M738="",$T738=""),"",$T738+(X$2*$M738))</f>
        <v/>
      </c>
      <c r="Y738" s="47">
        <f>IF(OR($M738="",$T738=""),"",$T738+(Y$2*$M738))</f>
        <v/>
      </c>
      <c r="Z738" s="49">
        <f>IF(OR($M738="",$T738=""),"",$T738+(Z$2*$M738))</f>
        <v/>
      </c>
      <c r="AA738" s="51">
        <f>IF(OR($M738="",$T738=""),"",$T738+(AA$2*$M738))</f>
        <v/>
      </c>
      <c r="AB738" s="48">
        <f>IF(OR($M738="",$T738=""),"",$T738+(AB$2*$M738))</f>
        <v/>
      </c>
      <c r="AC738" s="48">
        <f>IF(OR($M738="",$T738=""),"",$T738+(AC$2*$M738))</f>
        <v/>
      </c>
      <c r="AD738" s="48">
        <f>IF(OR($M738="",$T738=""),"",$T738+(AD$2*$M738))</f>
        <v/>
      </c>
      <c r="AE738" s="49">
        <f>IF(OR($M738="",$T738=""),"",$T738+(AE$2*$M738))</f>
        <v/>
      </c>
      <c r="AF738" s="52">
        <f>IF(OR(T738="",I738&lt;T738),"",IFERROR(AVERAGE(T738+M738*{7,8,9,10,11})/IF(G738="",I738,G738)-1,""))</f>
        <v/>
      </c>
      <c r="AG738" s="55">
        <f>IF(OR(T738="",I738&lt;T738),"",IFERROR(AF738/-(R738/IF(G738="",I738,G738)-1),""))</f>
        <v/>
      </c>
      <c r="AH738" s="94" t="n"/>
      <c r="AI738" s="94" t="n"/>
      <c r="AJ738" s="94" t="n"/>
      <c r="AK738" s="94" t="n"/>
      <c r="AL738" s="84" t="n"/>
    </row>
    <row r="739">
      <c r="A739" s="64" t="n"/>
      <c r="B739" s="65" t="n"/>
      <c r="C739" s="66" t="n"/>
      <c r="D739" s="67" t="n"/>
      <c r="E739" s="68" t="n"/>
      <c r="F739" s="47">
        <f>IF(A739="","",IF(MIN(H739,MAX(J739:K739))=0,"",MIN(H739,MAX(J739:K739))))</f>
        <v/>
      </c>
      <c r="G739" s="74" t="n"/>
      <c r="H739" s="49">
        <f>IF(M739="","",IFERROR(ROUND(AVERAGE(T739+M739*{7,8,9,10,11})/1.21,4),""))</f>
        <v/>
      </c>
      <c r="I739" s="76" t="n"/>
      <c r="J739" s="77" t="n"/>
      <c r="K739" s="74" t="n"/>
      <c r="L739" s="78" t="n"/>
      <c r="M739" s="77" t="n"/>
      <c r="N739" s="53">
        <f>IF(M739="","",IFERROR(M739/I739,""))</f>
        <v/>
      </c>
      <c r="O739" s="50">
        <f>IF(A739="","",IFERROR((IF(G739="",I739,G739)-T739)/M739,""))</f>
        <v/>
      </c>
      <c r="P739" s="50">
        <f>IFERROR((I739/T739-1)/N739,"")</f>
        <v/>
      </c>
      <c r="Q739" s="46">
        <f>IF(OR(T739="",I739&lt;T739),"",IFERROR(R739/IF(G739="",I739,G739)-1,""))</f>
        <v/>
      </c>
      <c r="R739" s="48">
        <f>IF($M739="","",MAX(IF($G739="",$I739,$G739)*(1/1.1),IF($G739="",$I739,$G739)+(R$2*$M739)))</f>
        <v/>
      </c>
      <c r="S739" s="49">
        <f>IF($M739="","",MAX(IF($G739="",$I739,$G739)*(1/1.1),IF($G739="",$I739,$G739)+(S$2*$M739)))</f>
        <v/>
      </c>
      <c r="T739" s="82" t="n"/>
      <c r="U739" s="47">
        <f>IF(OR($M739="",$T739=""),"",$T739+(U$2*$M739))</f>
        <v/>
      </c>
      <c r="V739" s="48">
        <f>IF(OR($M739="",$T739=""),"",$T739+(V$2*$M739))</f>
        <v/>
      </c>
      <c r="W739" s="48">
        <f>IF(OR($M739="",$T739=""),"",$T739+(W$2*$M739))</f>
        <v/>
      </c>
      <c r="X739" s="49">
        <f>IF(OR($M739="",$T739=""),"",$T739+(X$2*$M739))</f>
        <v/>
      </c>
      <c r="Y739" s="47">
        <f>IF(OR($M739="",$T739=""),"",$T739+(Y$2*$M739))</f>
        <v/>
      </c>
      <c r="Z739" s="49">
        <f>IF(OR($M739="",$T739=""),"",$T739+(Z$2*$M739))</f>
        <v/>
      </c>
      <c r="AA739" s="51">
        <f>IF(OR($M739="",$T739=""),"",$T739+(AA$2*$M739))</f>
        <v/>
      </c>
      <c r="AB739" s="48">
        <f>IF(OR($M739="",$T739=""),"",$T739+(AB$2*$M739))</f>
        <v/>
      </c>
      <c r="AC739" s="48">
        <f>IF(OR($M739="",$T739=""),"",$T739+(AC$2*$M739))</f>
        <v/>
      </c>
      <c r="AD739" s="48">
        <f>IF(OR($M739="",$T739=""),"",$T739+(AD$2*$M739))</f>
        <v/>
      </c>
      <c r="AE739" s="49">
        <f>IF(OR($M739="",$T739=""),"",$T739+(AE$2*$M739))</f>
        <v/>
      </c>
      <c r="AF739" s="52">
        <f>IF(OR(T739="",I739&lt;T739),"",IFERROR(AVERAGE(T739+M739*{7,8,9,10,11})/IF(G739="",I739,G739)-1,""))</f>
        <v/>
      </c>
      <c r="AG739" s="55">
        <f>IF(OR(T739="",I739&lt;T739),"",IFERROR(AF739/-(R739/IF(G739="",I739,G739)-1),""))</f>
        <v/>
      </c>
      <c r="AH739" s="94" t="n"/>
      <c r="AI739" s="94" t="n"/>
      <c r="AJ739" s="94" t="n"/>
      <c r="AK739" s="94" t="n"/>
      <c r="AL739" s="84" t="n"/>
    </row>
    <row r="740">
      <c r="A740" s="64" t="n"/>
      <c r="B740" s="65" t="n"/>
      <c r="C740" s="66" t="n"/>
      <c r="D740" s="67" t="n"/>
      <c r="E740" s="68" t="n"/>
      <c r="F740" s="47">
        <f>IF(A740="","",IF(MIN(H740,MAX(J740:K740))=0,"",MIN(H740,MAX(J740:K740))))</f>
        <v/>
      </c>
      <c r="G740" s="74" t="n"/>
      <c r="H740" s="49">
        <f>IF(M740="","",IFERROR(ROUND(AVERAGE(T740+M740*{7,8,9,10,11})/1.21,4),""))</f>
        <v/>
      </c>
      <c r="I740" s="76" t="n"/>
      <c r="J740" s="77" t="n"/>
      <c r="K740" s="74" t="n"/>
      <c r="L740" s="78" t="n"/>
      <c r="M740" s="77" t="n"/>
      <c r="N740" s="53">
        <f>IF(M740="","",IFERROR(M740/I740,""))</f>
        <v/>
      </c>
      <c r="O740" s="50">
        <f>IF(A740="","",IFERROR((IF(G740="",I740,G740)-T740)/M740,""))</f>
        <v/>
      </c>
      <c r="P740" s="50">
        <f>IFERROR((I740/T740-1)/N740,"")</f>
        <v/>
      </c>
      <c r="Q740" s="46">
        <f>IF(OR(T740="",I740&lt;T740),"",IFERROR(R740/IF(G740="",I740,G740)-1,""))</f>
        <v/>
      </c>
      <c r="R740" s="48">
        <f>IF($M740="","",MAX(IF($G740="",$I740,$G740)*(1/1.1),IF($G740="",$I740,$G740)+(R$2*$M740)))</f>
        <v/>
      </c>
      <c r="S740" s="49">
        <f>IF($M740="","",MAX(IF($G740="",$I740,$G740)*(1/1.1),IF($G740="",$I740,$G740)+(S$2*$M740)))</f>
        <v/>
      </c>
      <c r="T740" s="82" t="n"/>
      <c r="U740" s="47">
        <f>IF(OR($M740="",$T740=""),"",$T740+(U$2*$M740))</f>
        <v/>
      </c>
      <c r="V740" s="48">
        <f>IF(OR($M740="",$T740=""),"",$T740+(V$2*$M740))</f>
        <v/>
      </c>
      <c r="W740" s="48">
        <f>IF(OR($M740="",$T740=""),"",$T740+(W$2*$M740))</f>
        <v/>
      </c>
      <c r="X740" s="49">
        <f>IF(OR($M740="",$T740=""),"",$T740+(X$2*$M740))</f>
        <v/>
      </c>
      <c r="Y740" s="47">
        <f>IF(OR($M740="",$T740=""),"",$T740+(Y$2*$M740))</f>
        <v/>
      </c>
      <c r="Z740" s="49">
        <f>IF(OR($M740="",$T740=""),"",$T740+(Z$2*$M740))</f>
        <v/>
      </c>
      <c r="AA740" s="51">
        <f>IF(OR($M740="",$T740=""),"",$T740+(AA$2*$M740))</f>
        <v/>
      </c>
      <c r="AB740" s="48">
        <f>IF(OR($M740="",$T740=""),"",$T740+(AB$2*$M740))</f>
        <v/>
      </c>
      <c r="AC740" s="48">
        <f>IF(OR($M740="",$T740=""),"",$T740+(AC$2*$M740))</f>
        <v/>
      </c>
      <c r="AD740" s="48">
        <f>IF(OR($M740="",$T740=""),"",$T740+(AD$2*$M740))</f>
        <v/>
      </c>
      <c r="AE740" s="49">
        <f>IF(OR($M740="",$T740=""),"",$T740+(AE$2*$M740))</f>
        <v/>
      </c>
      <c r="AF740" s="52">
        <f>IF(OR(T740="",I740&lt;T740),"",IFERROR(AVERAGE(T740+M740*{7,8,9,10,11})/IF(G740="",I740,G740)-1,""))</f>
        <v/>
      </c>
      <c r="AG740" s="55">
        <f>IF(OR(T740="",I740&lt;T740),"",IFERROR(AF740/-(R740/IF(G740="",I740,G740)-1),""))</f>
        <v/>
      </c>
      <c r="AH740" s="94" t="n"/>
      <c r="AI740" s="94" t="n"/>
      <c r="AJ740" s="94" t="n"/>
      <c r="AK740" s="94" t="n"/>
      <c r="AL740" s="84" t="n"/>
    </row>
    <row r="741">
      <c r="A741" s="64" t="n"/>
      <c r="B741" s="65" t="n"/>
      <c r="C741" s="66" t="n"/>
      <c r="D741" s="67" t="n"/>
      <c r="E741" s="68" t="n"/>
      <c r="F741" s="47">
        <f>IF(A741="","",IF(MIN(H741,MAX(J741:K741))=0,"",MIN(H741,MAX(J741:K741))))</f>
        <v/>
      </c>
      <c r="G741" s="74" t="n"/>
      <c r="H741" s="49">
        <f>IF(M741="","",IFERROR(ROUND(AVERAGE(T741+M741*{7,8,9,10,11})/1.21,4),""))</f>
        <v/>
      </c>
      <c r="I741" s="76" t="n"/>
      <c r="J741" s="77" t="n"/>
      <c r="K741" s="74" t="n"/>
      <c r="L741" s="78" t="n"/>
      <c r="M741" s="77" t="n"/>
      <c r="N741" s="53">
        <f>IF(M741="","",IFERROR(M741/I741,""))</f>
        <v/>
      </c>
      <c r="O741" s="50">
        <f>IF(A741="","",IFERROR((IF(G741="",I741,G741)-T741)/M741,""))</f>
        <v/>
      </c>
      <c r="P741" s="50">
        <f>IFERROR((I741/T741-1)/N741,"")</f>
        <v/>
      </c>
      <c r="Q741" s="46">
        <f>IF(OR(T741="",I741&lt;T741),"",IFERROR(R741/IF(G741="",I741,G741)-1,""))</f>
        <v/>
      </c>
      <c r="R741" s="48">
        <f>IF($M741="","",MAX(IF($G741="",$I741,$G741)*(1/1.1),IF($G741="",$I741,$G741)+(R$2*$M741)))</f>
        <v/>
      </c>
      <c r="S741" s="49">
        <f>IF($M741="","",MAX(IF($G741="",$I741,$G741)*(1/1.1),IF($G741="",$I741,$G741)+(S$2*$M741)))</f>
        <v/>
      </c>
      <c r="T741" s="82" t="n"/>
      <c r="U741" s="47">
        <f>IF(OR($M741="",$T741=""),"",$T741+(U$2*$M741))</f>
        <v/>
      </c>
      <c r="V741" s="48">
        <f>IF(OR($M741="",$T741=""),"",$T741+(V$2*$M741))</f>
        <v/>
      </c>
      <c r="W741" s="48">
        <f>IF(OR($M741="",$T741=""),"",$T741+(W$2*$M741))</f>
        <v/>
      </c>
      <c r="X741" s="49">
        <f>IF(OR($M741="",$T741=""),"",$T741+(X$2*$M741))</f>
        <v/>
      </c>
      <c r="Y741" s="47">
        <f>IF(OR($M741="",$T741=""),"",$T741+(Y$2*$M741))</f>
        <v/>
      </c>
      <c r="Z741" s="49">
        <f>IF(OR($M741="",$T741=""),"",$T741+(Z$2*$M741))</f>
        <v/>
      </c>
      <c r="AA741" s="51">
        <f>IF(OR($M741="",$T741=""),"",$T741+(AA$2*$M741))</f>
        <v/>
      </c>
      <c r="AB741" s="48">
        <f>IF(OR($M741="",$T741=""),"",$T741+(AB$2*$M741))</f>
        <v/>
      </c>
      <c r="AC741" s="48">
        <f>IF(OR($M741="",$T741=""),"",$T741+(AC$2*$M741))</f>
        <v/>
      </c>
      <c r="AD741" s="48">
        <f>IF(OR($M741="",$T741=""),"",$T741+(AD$2*$M741))</f>
        <v/>
      </c>
      <c r="AE741" s="49">
        <f>IF(OR($M741="",$T741=""),"",$T741+(AE$2*$M741))</f>
        <v/>
      </c>
      <c r="AF741" s="52">
        <f>IF(OR(T741="",I741&lt;T741),"",IFERROR(AVERAGE(T741+M741*{7,8,9,10,11})/IF(G741="",I741,G741)-1,""))</f>
        <v/>
      </c>
      <c r="AG741" s="55">
        <f>IF(OR(T741="",I741&lt;T741),"",IFERROR(AF741/-(R741/IF(G741="",I741,G741)-1),""))</f>
        <v/>
      </c>
      <c r="AH741" s="94" t="n"/>
      <c r="AI741" s="94" t="n"/>
      <c r="AJ741" s="94" t="n"/>
      <c r="AK741" s="94" t="n"/>
      <c r="AL741" s="84" t="n"/>
    </row>
    <row r="742">
      <c r="A742" s="64" t="n"/>
      <c r="B742" s="65" t="n"/>
      <c r="C742" s="66" t="n"/>
      <c r="D742" s="67" t="n"/>
      <c r="E742" s="68" t="n"/>
      <c r="F742" s="47">
        <f>IF(A742="","",IF(MIN(H742,MAX(J742:K742))=0,"",MIN(H742,MAX(J742:K742))))</f>
        <v/>
      </c>
      <c r="G742" s="74" t="n"/>
      <c r="H742" s="49">
        <f>IF(M742="","",IFERROR(ROUND(AVERAGE(T742+M742*{7,8,9,10,11})/1.21,4),""))</f>
        <v/>
      </c>
      <c r="I742" s="76" t="n"/>
      <c r="J742" s="77" t="n"/>
      <c r="K742" s="74" t="n"/>
      <c r="L742" s="78" t="n"/>
      <c r="M742" s="77" t="n"/>
      <c r="N742" s="53">
        <f>IF(M742="","",IFERROR(M742/I742,""))</f>
        <v/>
      </c>
      <c r="O742" s="50">
        <f>IF(A742="","",IFERROR((IF(G742="",I742,G742)-T742)/M742,""))</f>
        <v/>
      </c>
      <c r="P742" s="50">
        <f>IFERROR((I742/T742-1)/N742,"")</f>
        <v/>
      </c>
      <c r="Q742" s="46">
        <f>IF(OR(T742="",I742&lt;T742),"",IFERROR(R742/IF(G742="",I742,G742)-1,""))</f>
        <v/>
      </c>
      <c r="R742" s="48">
        <f>IF($M742="","",MAX(IF($G742="",$I742,$G742)*(1/1.1),IF($G742="",$I742,$G742)+(R$2*$M742)))</f>
        <v/>
      </c>
      <c r="S742" s="49">
        <f>IF($M742="","",MAX(IF($G742="",$I742,$G742)*(1/1.1),IF($G742="",$I742,$G742)+(S$2*$M742)))</f>
        <v/>
      </c>
      <c r="T742" s="82" t="n"/>
      <c r="U742" s="47">
        <f>IF(OR($M742="",$T742=""),"",$T742+(U$2*$M742))</f>
        <v/>
      </c>
      <c r="V742" s="48">
        <f>IF(OR($M742="",$T742=""),"",$T742+(V$2*$M742))</f>
        <v/>
      </c>
      <c r="W742" s="48">
        <f>IF(OR($M742="",$T742=""),"",$T742+(W$2*$M742))</f>
        <v/>
      </c>
      <c r="X742" s="49">
        <f>IF(OR($M742="",$T742=""),"",$T742+(X$2*$M742))</f>
        <v/>
      </c>
      <c r="Y742" s="47">
        <f>IF(OR($M742="",$T742=""),"",$T742+(Y$2*$M742))</f>
        <v/>
      </c>
      <c r="Z742" s="49">
        <f>IF(OR($M742="",$T742=""),"",$T742+(Z$2*$M742))</f>
        <v/>
      </c>
      <c r="AA742" s="51">
        <f>IF(OR($M742="",$T742=""),"",$T742+(AA$2*$M742))</f>
        <v/>
      </c>
      <c r="AB742" s="48">
        <f>IF(OR($M742="",$T742=""),"",$T742+(AB$2*$M742))</f>
        <v/>
      </c>
      <c r="AC742" s="48">
        <f>IF(OR($M742="",$T742=""),"",$T742+(AC$2*$M742))</f>
        <v/>
      </c>
      <c r="AD742" s="48">
        <f>IF(OR($M742="",$T742=""),"",$T742+(AD$2*$M742))</f>
        <v/>
      </c>
      <c r="AE742" s="49">
        <f>IF(OR($M742="",$T742=""),"",$T742+(AE$2*$M742))</f>
        <v/>
      </c>
      <c r="AF742" s="52">
        <f>IF(OR(T742="",I742&lt;T742),"",IFERROR(AVERAGE(T742+M742*{7,8,9,10,11})/IF(G742="",I742,G742)-1,""))</f>
        <v/>
      </c>
      <c r="AG742" s="55">
        <f>IF(OR(T742="",I742&lt;T742),"",IFERROR(AF742/-(R742/IF(G742="",I742,G742)-1),""))</f>
        <v/>
      </c>
      <c r="AH742" s="94" t="n"/>
      <c r="AI742" s="94" t="n"/>
      <c r="AJ742" s="94" t="n"/>
      <c r="AK742" s="94" t="n"/>
      <c r="AL742" s="84" t="n"/>
    </row>
    <row r="743">
      <c r="A743" s="64" t="n"/>
      <c r="B743" s="65" t="n"/>
      <c r="C743" s="66" t="n"/>
      <c r="D743" s="67" t="n"/>
      <c r="E743" s="68" t="n"/>
      <c r="F743" s="47">
        <f>IF(A743="","",IF(MIN(H743,MAX(J743:K743))=0,"",MIN(H743,MAX(J743:K743))))</f>
        <v/>
      </c>
      <c r="G743" s="74" t="n"/>
      <c r="H743" s="49">
        <f>IF(M743="","",IFERROR(ROUND(AVERAGE(T743+M743*{7,8,9,10,11})/1.21,4),""))</f>
        <v/>
      </c>
      <c r="I743" s="76" t="n"/>
      <c r="J743" s="77" t="n"/>
      <c r="K743" s="74" t="n"/>
      <c r="L743" s="78" t="n"/>
      <c r="M743" s="77" t="n"/>
      <c r="N743" s="53">
        <f>IF(M743="","",IFERROR(M743/I743,""))</f>
        <v/>
      </c>
      <c r="O743" s="50">
        <f>IF(A743="","",IFERROR((IF(G743="",I743,G743)-T743)/M743,""))</f>
        <v/>
      </c>
      <c r="P743" s="50">
        <f>IFERROR((I743/T743-1)/N743,"")</f>
        <v/>
      </c>
      <c r="Q743" s="46">
        <f>IF(OR(T743="",I743&lt;T743),"",IFERROR(R743/IF(G743="",I743,G743)-1,""))</f>
        <v/>
      </c>
      <c r="R743" s="48">
        <f>IF($M743="","",MAX(IF($G743="",$I743,$G743)*(1/1.1),IF($G743="",$I743,$G743)+(R$2*$M743)))</f>
        <v/>
      </c>
      <c r="S743" s="49">
        <f>IF($M743="","",MAX(IF($G743="",$I743,$G743)*(1/1.1),IF($G743="",$I743,$G743)+(S$2*$M743)))</f>
        <v/>
      </c>
      <c r="T743" s="82" t="n"/>
      <c r="U743" s="47">
        <f>IF(OR($M743="",$T743=""),"",$T743+(U$2*$M743))</f>
        <v/>
      </c>
      <c r="V743" s="48">
        <f>IF(OR($M743="",$T743=""),"",$T743+(V$2*$M743))</f>
        <v/>
      </c>
      <c r="W743" s="48">
        <f>IF(OR($M743="",$T743=""),"",$T743+(W$2*$M743))</f>
        <v/>
      </c>
      <c r="X743" s="49">
        <f>IF(OR($M743="",$T743=""),"",$T743+(X$2*$M743))</f>
        <v/>
      </c>
      <c r="Y743" s="47">
        <f>IF(OR($M743="",$T743=""),"",$T743+(Y$2*$M743))</f>
        <v/>
      </c>
      <c r="Z743" s="49">
        <f>IF(OR($M743="",$T743=""),"",$T743+(Z$2*$M743))</f>
        <v/>
      </c>
      <c r="AA743" s="51">
        <f>IF(OR($M743="",$T743=""),"",$T743+(AA$2*$M743))</f>
        <v/>
      </c>
      <c r="AB743" s="48">
        <f>IF(OR($M743="",$T743=""),"",$T743+(AB$2*$M743))</f>
        <v/>
      </c>
      <c r="AC743" s="48">
        <f>IF(OR($M743="",$T743=""),"",$T743+(AC$2*$M743))</f>
        <v/>
      </c>
      <c r="AD743" s="48">
        <f>IF(OR($M743="",$T743=""),"",$T743+(AD$2*$M743))</f>
        <v/>
      </c>
      <c r="AE743" s="49">
        <f>IF(OR($M743="",$T743=""),"",$T743+(AE$2*$M743))</f>
        <v/>
      </c>
      <c r="AF743" s="52">
        <f>IF(OR(T743="",I743&lt;T743),"",IFERROR(AVERAGE(T743+M743*{7,8,9,10,11})/IF(G743="",I743,G743)-1,""))</f>
        <v/>
      </c>
      <c r="AG743" s="55">
        <f>IF(OR(T743="",I743&lt;T743),"",IFERROR(AF743/-(R743/IF(G743="",I743,G743)-1),""))</f>
        <v/>
      </c>
      <c r="AH743" s="94" t="n"/>
      <c r="AI743" s="94" t="n"/>
      <c r="AJ743" s="94" t="n"/>
      <c r="AK743" s="94" t="n"/>
      <c r="AL743" s="84" t="n"/>
    </row>
    <row r="744">
      <c r="A744" s="64" t="n"/>
      <c r="B744" s="65" t="n"/>
      <c r="C744" s="66" t="n"/>
      <c r="D744" s="67" t="n"/>
      <c r="E744" s="68" t="n"/>
      <c r="F744" s="47">
        <f>IF(A744="","",IF(MIN(H744,MAX(J744:K744))=0,"",MIN(H744,MAX(J744:K744))))</f>
        <v/>
      </c>
      <c r="G744" s="74" t="n"/>
      <c r="H744" s="49">
        <f>IF(M744="","",IFERROR(ROUND(AVERAGE(T744+M744*{7,8,9,10,11})/1.21,4),""))</f>
        <v/>
      </c>
      <c r="I744" s="76" t="n"/>
      <c r="J744" s="77" t="n"/>
      <c r="K744" s="74" t="n"/>
      <c r="L744" s="78" t="n"/>
      <c r="M744" s="77" t="n"/>
      <c r="N744" s="53">
        <f>IF(M744="","",IFERROR(M744/I744,""))</f>
        <v/>
      </c>
      <c r="O744" s="50">
        <f>IF(A744="","",IFERROR((IF(G744="",I744,G744)-T744)/M744,""))</f>
        <v/>
      </c>
      <c r="P744" s="50">
        <f>IFERROR((I744/T744-1)/N744,"")</f>
        <v/>
      </c>
      <c r="Q744" s="46">
        <f>IF(OR(T744="",I744&lt;T744),"",IFERROR(R744/IF(G744="",I744,G744)-1,""))</f>
        <v/>
      </c>
      <c r="R744" s="48">
        <f>IF($M744="","",MAX(IF($G744="",$I744,$G744)*(1/1.1),IF($G744="",$I744,$G744)+(R$2*$M744)))</f>
        <v/>
      </c>
      <c r="S744" s="49">
        <f>IF($M744="","",MAX(IF($G744="",$I744,$G744)*(1/1.1),IF($G744="",$I744,$G744)+(S$2*$M744)))</f>
        <v/>
      </c>
      <c r="T744" s="82" t="n"/>
      <c r="U744" s="47">
        <f>IF(OR($M744="",$T744=""),"",$T744+(U$2*$M744))</f>
        <v/>
      </c>
      <c r="V744" s="48">
        <f>IF(OR($M744="",$T744=""),"",$T744+(V$2*$M744))</f>
        <v/>
      </c>
      <c r="W744" s="48">
        <f>IF(OR($M744="",$T744=""),"",$T744+(W$2*$M744))</f>
        <v/>
      </c>
      <c r="X744" s="49">
        <f>IF(OR($M744="",$T744=""),"",$T744+(X$2*$M744))</f>
        <v/>
      </c>
      <c r="Y744" s="47">
        <f>IF(OR($M744="",$T744=""),"",$T744+(Y$2*$M744))</f>
        <v/>
      </c>
      <c r="Z744" s="49">
        <f>IF(OR($M744="",$T744=""),"",$T744+(Z$2*$M744))</f>
        <v/>
      </c>
      <c r="AA744" s="51">
        <f>IF(OR($M744="",$T744=""),"",$T744+(AA$2*$M744))</f>
        <v/>
      </c>
      <c r="AB744" s="48">
        <f>IF(OR($M744="",$T744=""),"",$T744+(AB$2*$M744))</f>
        <v/>
      </c>
      <c r="AC744" s="48">
        <f>IF(OR($M744="",$T744=""),"",$T744+(AC$2*$M744))</f>
        <v/>
      </c>
      <c r="AD744" s="48">
        <f>IF(OR($M744="",$T744=""),"",$T744+(AD$2*$M744))</f>
        <v/>
      </c>
      <c r="AE744" s="49">
        <f>IF(OR($M744="",$T744=""),"",$T744+(AE$2*$M744))</f>
        <v/>
      </c>
      <c r="AF744" s="52">
        <f>IF(OR(T744="",I744&lt;T744),"",IFERROR(AVERAGE(T744+M744*{7,8,9,10,11})/IF(G744="",I744,G744)-1,""))</f>
        <v/>
      </c>
      <c r="AG744" s="55">
        <f>IF(OR(T744="",I744&lt;T744),"",IFERROR(AF744/-(R744/IF(G744="",I744,G744)-1),""))</f>
        <v/>
      </c>
      <c r="AH744" s="94" t="n"/>
      <c r="AI744" s="94" t="n"/>
      <c r="AJ744" s="94" t="n"/>
      <c r="AK744" s="94" t="n"/>
      <c r="AL744" s="84" t="n"/>
    </row>
    <row r="745">
      <c r="A745" s="64" t="n"/>
      <c r="B745" s="65" t="n"/>
      <c r="C745" s="66" t="n"/>
      <c r="D745" s="67" t="n"/>
      <c r="E745" s="68" t="n"/>
      <c r="F745" s="47">
        <f>IF(A745="","",IF(MIN(H745,MAX(J745:K745))=0,"",MIN(H745,MAX(J745:K745))))</f>
        <v/>
      </c>
      <c r="G745" s="74" t="n"/>
      <c r="H745" s="49">
        <f>IF(M745="","",IFERROR(ROUND(AVERAGE(T745+M745*{7,8,9,10,11})/1.21,4),""))</f>
        <v/>
      </c>
      <c r="I745" s="76" t="n"/>
      <c r="J745" s="77" t="n"/>
      <c r="K745" s="74" t="n"/>
      <c r="L745" s="78" t="n"/>
      <c r="M745" s="77" t="n"/>
      <c r="N745" s="53">
        <f>IF(M745="","",IFERROR(M745/I745,""))</f>
        <v/>
      </c>
      <c r="O745" s="50">
        <f>IF(A745="","",IFERROR((IF(G745="",I745,G745)-T745)/M745,""))</f>
        <v/>
      </c>
      <c r="P745" s="50">
        <f>IFERROR((I745/T745-1)/N745,"")</f>
        <v/>
      </c>
      <c r="Q745" s="46">
        <f>IF(OR(T745="",I745&lt;T745),"",IFERROR(R745/IF(G745="",I745,G745)-1,""))</f>
        <v/>
      </c>
      <c r="R745" s="48">
        <f>IF($M745="","",MAX(IF($G745="",$I745,$G745)*(1/1.1),IF($G745="",$I745,$G745)+(R$2*$M745)))</f>
        <v/>
      </c>
      <c r="S745" s="49">
        <f>IF($M745="","",MAX(IF($G745="",$I745,$G745)*(1/1.1),IF($G745="",$I745,$G745)+(S$2*$M745)))</f>
        <v/>
      </c>
      <c r="T745" s="82" t="n"/>
      <c r="U745" s="47">
        <f>IF(OR($M745="",$T745=""),"",$T745+(U$2*$M745))</f>
        <v/>
      </c>
      <c r="V745" s="48">
        <f>IF(OR($M745="",$T745=""),"",$T745+(V$2*$M745))</f>
        <v/>
      </c>
      <c r="W745" s="48">
        <f>IF(OR($M745="",$T745=""),"",$T745+(W$2*$M745))</f>
        <v/>
      </c>
      <c r="X745" s="49">
        <f>IF(OR($M745="",$T745=""),"",$T745+(X$2*$M745))</f>
        <v/>
      </c>
      <c r="Y745" s="47">
        <f>IF(OR($M745="",$T745=""),"",$T745+(Y$2*$M745))</f>
        <v/>
      </c>
      <c r="Z745" s="49">
        <f>IF(OR($M745="",$T745=""),"",$T745+(Z$2*$M745))</f>
        <v/>
      </c>
      <c r="AA745" s="51">
        <f>IF(OR($M745="",$T745=""),"",$T745+(AA$2*$M745))</f>
        <v/>
      </c>
      <c r="AB745" s="48">
        <f>IF(OR($M745="",$T745=""),"",$T745+(AB$2*$M745))</f>
        <v/>
      </c>
      <c r="AC745" s="48">
        <f>IF(OR($M745="",$T745=""),"",$T745+(AC$2*$M745))</f>
        <v/>
      </c>
      <c r="AD745" s="48">
        <f>IF(OR($M745="",$T745=""),"",$T745+(AD$2*$M745))</f>
        <v/>
      </c>
      <c r="AE745" s="49">
        <f>IF(OR($M745="",$T745=""),"",$T745+(AE$2*$M745))</f>
        <v/>
      </c>
      <c r="AF745" s="52">
        <f>IF(OR(T745="",I745&lt;T745),"",IFERROR(AVERAGE(T745+M745*{7,8,9,10,11})/IF(G745="",I745,G745)-1,""))</f>
        <v/>
      </c>
      <c r="AG745" s="55">
        <f>IF(OR(T745="",I745&lt;T745),"",IFERROR(AF745/-(R745/IF(G745="",I745,G745)-1),""))</f>
        <v/>
      </c>
      <c r="AH745" s="94" t="n"/>
      <c r="AI745" s="94" t="n"/>
      <c r="AJ745" s="94" t="n"/>
      <c r="AK745" s="94" t="n"/>
      <c r="AL745" s="84" t="n"/>
    </row>
    <row r="746">
      <c r="A746" s="64" t="n"/>
      <c r="B746" s="65" t="n"/>
      <c r="C746" s="66" t="n"/>
      <c r="D746" s="67" t="n"/>
      <c r="E746" s="68" t="n"/>
      <c r="F746" s="47">
        <f>IF(A746="","",IF(MIN(H746,MAX(J746:K746))=0,"",MIN(H746,MAX(J746:K746))))</f>
        <v/>
      </c>
      <c r="G746" s="74" t="n"/>
      <c r="H746" s="49">
        <f>IF(M746="","",IFERROR(ROUND(AVERAGE(T746+M746*{7,8,9,10,11})/1.21,4),""))</f>
        <v/>
      </c>
      <c r="I746" s="76" t="n"/>
      <c r="J746" s="77" t="n"/>
      <c r="K746" s="74" t="n"/>
      <c r="L746" s="78" t="n"/>
      <c r="M746" s="77" t="n"/>
      <c r="N746" s="53">
        <f>IF(M746="","",IFERROR(M746/I746,""))</f>
        <v/>
      </c>
      <c r="O746" s="50">
        <f>IF(A746="","",IFERROR((IF(G746="",I746,G746)-T746)/M746,""))</f>
        <v/>
      </c>
      <c r="P746" s="50">
        <f>IFERROR((I746/T746-1)/N746,"")</f>
        <v/>
      </c>
      <c r="Q746" s="46">
        <f>IF(OR(T746="",I746&lt;T746),"",IFERROR(R746/IF(G746="",I746,G746)-1,""))</f>
        <v/>
      </c>
      <c r="R746" s="48">
        <f>IF($M746="","",MAX(IF($G746="",$I746,$G746)*(1/1.1),IF($G746="",$I746,$G746)+(R$2*$M746)))</f>
        <v/>
      </c>
      <c r="S746" s="49">
        <f>IF($M746="","",MAX(IF($G746="",$I746,$G746)*(1/1.1),IF($G746="",$I746,$G746)+(S$2*$M746)))</f>
        <v/>
      </c>
      <c r="T746" s="82" t="n"/>
      <c r="U746" s="47">
        <f>IF(OR($M746="",$T746=""),"",$T746+(U$2*$M746))</f>
        <v/>
      </c>
      <c r="V746" s="48">
        <f>IF(OR($M746="",$T746=""),"",$T746+(V$2*$M746))</f>
        <v/>
      </c>
      <c r="W746" s="48">
        <f>IF(OR($M746="",$T746=""),"",$T746+(W$2*$M746))</f>
        <v/>
      </c>
      <c r="X746" s="49">
        <f>IF(OR($M746="",$T746=""),"",$T746+(X$2*$M746))</f>
        <v/>
      </c>
      <c r="Y746" s="47">
        <f>IF(OR($M746="",$T746=""),"",$T746+(Y$2*$M746))</f>
        <v/>
      </c>
      <c r="Z746" s="49">
        <f>IF(OR($M746="",$T746=""),"",$T746+(Z$2*$M746))</f>
        <v/>
      </c>
      <c r="AA746" s="51">
        <f>IF(OR($M746="",$T746=""),"",$T746+(AA$2*$M746))</f>
        <v/>
      </c>
      <c r="AB746" s="48">
        <f>IF(OR($M746="",$T746=""),"",$T746+(AB$2*$M746))</f>
        <v/>
      </c>
      <c r="AC746" s="48">
        <f>IF(OR($M746="",$T746=""),"",$T746+(AC$2*$M746))</f>
        <v/>
      </c>
      <c r="AD746" s="48">
        <f>IF(OR($M746="",$T746=""),"",$T746+(AD$2*$M746))</f>
        <v/>
      </c>
      <c r="AE746" s="49">
        <f>IF(OR($M746="",$T746=""),"",$T746+(AE$2*$M746))</f>
        <v/>
      </c>
      <c r="AF746" s="52">
        <f>IF(OR(T746="",I746&lt;T746),"",IFERROR(AVERAGE(T746+M746*{7,8,9,10,11})/IF(G746="",I746,G746)-1,""))</f>
        <v/>
      </c>
      <c r="AG746" s="55">
        <f>IF(OR(T746="",I746&lt;T746),"",IFERROR(AF746/-(R746/IF(G746="",I746,G746)-1),""))</f>
        <v/>
      </c>
      <c r="AH746" s="94" t="n"/>
      <c r="AI746" s="94" t="n"/>
      <c r="AJ746" s="94" t="n"/>
      <c r="AK746" s="94" t="n"/>
      <c r="AL746" s="84" t="n"/>
    </row>
    <row r="747">
      <c r="A747" s="64" t="n"/>
      <c r="B747" s="65" t="n"/>
      <c r="C747" s="66" t="n"/>
      <c r="D747" s="67" t="n"/>
      <c r="E747" s="68" t="n"/>
      <c r="F747" s="47">
        <f>IF(A747="","",IF(MIN(H747,MAX(J747:K747))=0,"",MIN(H747,MAX(J747:K747))))</f>
        <v/>
      </c>
      <c r="G747" s="74" t="n"/>
      <c r="H747" s="49">
        <f>IF(M747="","",IFERROR(ROUND(AVERAGE(T747+M747*{7,8,9,10,11})/1.21,4),""))</f>
        <v/>
      </c>
      <c r="I747" s="76" t="n"/>
      <c r="J747" s="77" t="n"/>
      <c r="K747" s="74" t="n"/>
      <c r="L747" s="78" t="n"/>
      <c r="M747" s="77" t="n"/>
      <c r="N747" s="53">
        <f>IF(M747="","",IFERROR(M747/I747,""))</f>
        <v/>
      </c>
      <c r="O747" s="50">
        <f>IF(A747="","",IFERROR((IF(G747="",I747,G747)-T747)/M747,""))</f>
        <v/>
      </c>
      <c r="P747" s="50">
        <f>IFERROR((I747/T747-1)/N747,"")</f>
        <v/>
      </c>
      <c r="Q747" s="46">
        <f>IF(OR(T747="",I747&lt;T747),"",IFERROR(R747/IF(G747="",I747,G747)-1,""))</f>
        <v/>
      </c>
      <c r="R747" s="48">
        <f>IF($M747="","",MAX(IF($G747="",$I747,$G747)*(1/1.1),IF($G747="",$I747,$G747)+(R$2*$M747)))</f>
        <v/>
      </c>
      <c r="S747" s="49">
        <f>IF($M747="","",MAX(IF($G747="",$I747,$G747)*(1/1.1),IF($G747="",$I747,$G747)+(S$2*$M747)))</f>
        <v/>
      </c>
      <c r="T747" s="82" t="n"/>
      <c r="U747" s="47">
        <f>IF(OR($M747="",$T747=""),"",$T747+(U$2*$M747))</f>
        <v/>
      </c>
      <c r="V747" s="48">
        <f>IF(OR($M747="",$T747=""),"",$T747+(V$2*$M747))</f>
        <v/>
      </c>
      <c r="W747" s="48">
        <f>IF(OR($M747="",$T747=""),"",$T747+(W$2*$M747))</f>
        <v/>
      </c>
      <c r="X747" s="49">
        <f>IF(OR($M747="",$T747=""),"",$T747+(X$2*$M747))</f>
        <v/>
      </c>
      <c r="Y747" s="47">
        <f>IF(OR($M747="",$T747=""),"",$T747+(Y$2*$M747))</f>
        <v/>
      </c>
      <c r="Z747" s="49">
        <f>IF(OR($M747="",$T747=""),"",$T747+(Z$2*$M747))</f>
        <v/>
      </c>
      <c r="AA747" s="51">
        <f>IF(OR($M747="",$T747=""),"",$T747+(AA$2*$M747))</f>
        <v/>
      </c>
      <c r="AB747" s="48">
        <f>IF(OR($M747="",$T747=""),"",$T747+(AB$2*$M747))</f>
        <v/>
      </c>
      <c r="AC747" s="48">
        <f>IF(OR($M747="",$T747=""),"",$T747+(AC$2*$M747))</f>
        <v/>
      </c>
      <c r="AD747" s="48">
        <f>IF(OR($M747="",$T747=""),"",$T747+(AD$2*$M747))</f>
        <v/>
      </c>
      <c r="AE747" s="49">
        <f>IF(OR($M747="",$T747=""),"",$T747+(AE$2*$M747))</f>
        <v/>
      </c>
      <c r="AF747" s="52">
        <f>IF(OR(T747="",I747&lt;T747),"",IFERROR(AVERAGE(T747+M747*{7,8,9,10,11})/IF(G747="",I747,G747)-1,""))</f>
        <v/>
      </c>
      <c r="AG747" s="55">
        <f>IF(OR(T747="",I747&lt;T747),"",IFERROR(AF747/-(R747/IF(G747="",I747,G747)-1),""))</f>
        <v/>
      </c>
      <c r="AH747" s="94" t="n"/>
      <c r="AI747" s="94" t="n"/>
      <c r="AJ747" s="94" t="n"/>
      <c r="AK747" s="94" t="n"/>
      <c r="AL747" s="84" t="n"/>
    </row>
    <row r="748">
      <c r="A748" s="64" t="n"/>
      <c r="B748" s="65" t="n"/>
      <c r="C748" s="66" t="n"/>
      <c r="D748" s="67" t="n"/>
      <c r="E748" s="68" t="n"/>
      <c r="F748" s="47">
        <f>IF(A748="","",IF(MIN(H748,MAX(J748:K748))=0,"",MIN(H748,MAX(J748:K748))))</f>
        <v/>
      </c>
      <c r="G748" s="74" t="n"/>
      <c r="H748" s="49">
        <f>IF(M748="","",IFERROR(ROUND(AVERAGE(T748+M748*{7,8,9,10,11})/1.21,4),""))</f>
        <v/>
      </c>
      <c r="I748" s="76" t="n"/>
      <c r="J748" s="77" t="n"/>
      <c r="K748" s="74" t="n"/>
      <c r="L748" s="78" t="n"/>
      <c r="M748" s="77" t="n"/>
      <c r="N748" s="53">
        <f>IF(M748="","",IFERROR(M748/I748,""))</f>
        <v/>
      </c>
      <c r="O748" s="50">
        <f>IF(A748="","",IFERROR((IF(G748="",I748,G748)-T748)/M748,""))</f>
        <v/>
      </c>
      <c r="P748" s="50">
        <f>IFERROR((I748/T748-1)/N748,"")</f>
        <v/>
      </c>
      <c r="Q748" s="46">
        <f>IF(OR(T748="",I748&lt;T748),"",IFERROR(R748/IF(G748="",I748,G748)-1,""))</f>
        <v/>
      </c>
      <c r="R748" s="48">
        <f>IF($M748="","",MAX(IF($G748="",$I748,$G748)*(1/1.1),IF($G748="",$I748,$G748)+(R$2*$M748)))</f>
        <v/>
      </c>
      <c r="S748" s="49">
        <f>IF($M748="","",MAX(IF($G748="",$I748,$G748)*(1/1.1),IF($G748="",$I748,$G748)+(S$2*$M748)))</f>
        <v/>
      </c>
      <c r="T748" s="82" t="n"/>
      <c r="U748" s="47">
        <f>IF(OR($M748="",$T748=""),"",$T748+(U$2*$M748))</f>
        <v/>
      </c>
      <c r="V748" s="48">
        <f>IF(OR($M748="",$T748=""),"",$T748+(V$2*$M748))</f>
        <v/>
      </c>
      <c r="W748" s="48">
        <f>IF(OR($M748="",$T748=""),"",$T748+(W$2*$M748))</f>
        <v/>
      </c>
      <c r="X748" s="49">
        <f>IF(OR($M748="",$T748=""),"",$T748+(X$2*$M748))</f>
        <v/>
      </c>
      <c r="Y748" s="47">
        <f>IF(OR($M748="",$T748=""),"",$T748+(Y$2*$M748))</f>
        <v/>
      </c>
      <c r="Z748" s="49">
        <f>IF(OR($M748="",$T748=""),"",$T748+(Z$2*$M748))</f>
        <v/>
      </c>
      <c r="AA748" s="51">
        <f>IF(OR($M748="",$T748=""),"",$T748+(AA$2*$M748))</f>
        <v/>
      </c>
      <c r="AB748" s="48">
        <f>IF(OR($M748="",$T748=""),"",$T748+(AB$2*$M748))</f>
        <v/>
      </c>
      <c r="AC748" s="48">
        <f>IF(OR($M748="",$T748=""),"",$T748+(AC$2*$M748))</f>
        <v/>
      </c>
      <c r="AD748" s="48">
        <f>IF(OR($M748="",$T748=""),"",$T748+(AD$2*$M748))</f>
        <v/>
      </c>
      <c r="AE748" s="49">
        <f>IF(OR($M748="",$T748=""),"",$T748+(AE$2*$M748))</f>
        <v/>
      </c>
      <c r="AF748" s="52">
        <f>IF(OR(T748="",I748&lt;T748),"",IFERROR(AVERAGE(T748+M748*{7,8,9,10,11})/IF(G748="",I748,G748)-1,""))</f>
        <v/>
      </c>
      <c r="AG748" s="55">
        <f>IF(OR(T748="",I748&lt;T748),"",IFERROR(AF748/-(R748/IF(G748="",I748,G748)-1),""))</f>
        <v/>
      </c>
      <c r="AH748" s="94" t="n"/>
      <c r="AI748" s="94" t="n"/>
      <c r="AJ748" s="94" t="n"/>
      <c r="AK748" s="94" t="n"/>
      <c r="AL748" s="84" t="n"/>
    </row>
    <row r="749">
      <c r="A749" s="64" t="n"/>
      <c r="B749" s="65" t="n"/>
      <c r="C749" s="66" t="n"/>
      <c r="D749" s="67" t="n"/>
      <c r="E749" s="68" t="n"/>
      <c r="F749" s="47">
        <f>IF(A749="","",IF(MIN(H749,MAX(J749:K749))=0,"",MIN(H749,MAX(J749:K749))))</f>
        <v/>
      </c>
      <c r="G749" s="74" t="n"/>
      <c r="H749" s="49">
        <f>IF(M749="","",IFERROR(ROUND(AVERAGE(T749+M749*{7,8,9,10,11})/1.21,4),""))</f>
        <v/>
      </c>
      <c r="I749" s="76" t="n"/>
      <c r="J749" s="77" t="n"/>
      <c r="K749" s="74" t="n"/>
      <c r="L749" s="78" t="n"/>
      <c r="M749" s="77" t="n"/>
      <c r="N749" s="53">
        <f>IF(M749="","",IFERROR(M749/I749,""))</f>
        <v/>
      </c>
      <c r="O749" s="50">
        <f>IF(A749="","",IFERROR((IF(G749="",I749,G749)-T749)/M749,""))</f>
        <v/>
      </c>
      <c r="P749" s="50">
        <f>IFERROR((I749/T749-1)/N749,"")</f>
        <v/>
      </c>
      <c r="Q749" s="46">
        <f>IF(OR(T749="",I749&lt;T749),"",IFERROR(R749/IF(G749="",I749,G749)-1,""))</f>
        <v/>
      </c>
      <c r="R749" s="48">
        <f>IF($M749="","",MAX(IF($G749="",$I749,$G749)*(1/1.1),IF($G749="",$I749,$G749)+(R$2*$M749)))</f>
        <v/>
      </c>
      <c r="S749" s="49">
        <f>IF($M749="","",MAX(IF($G749="",$I749,$G749)*(1/1.1),IF($G749="",$I749,$G749)+(S$2*$M749)))</f>
        <v/>
      </c>
      <c r="T749" s="82" t="n"/>
      <c r="U749" s="47">
        <f>IF(OR($M749="",$T749=""),"",$T749+(U$2*$M749))</f>
        <v/>
      </c>
      <c r="V749" s="48">
        <f>IF(OR($M749="",$T749=""),"",$T749+(V$2*$M749))</f>
        <v/>
      </c>
      <c r="W749" s="48">
        <f>IF(OR($M749="",$T749=""),"",$T749+(W$2*$M749))</f>
        <v/>
      </c>
      <c r="X749" s="49">
        <f>IF(OR($M749="",$T749=""),"",$T749+(X$2*$M749))</f>
        <v/>
      </c>
      <c r="Y749" s="47">
        <f>IF(OR($M749="",$T749=""),"",$T749+(Y$2*$M749))</f>
        <v/>
      </c>
      <c r="Z749" s="49">
        <f>IF(OR($M749="",$T749=""),"",$T749+(Z$2*$M749))</f>
        <v/>
      </c>
      <c r="AA749" s="51">
        <f>IF(OR($M749="",$T749=""),"",$T749+(AA$2*$M749))</f>
        <v/>
      </c>
      <c r="AB749" s="48">
        <f>IF(OR($M749="",$T749=""),"",$T749+(AB$2*$M749))</f>
        <v/>
      </c>
      <c r="AC749" s="48">
        <f>IF(OR($M749="",$T749=""),"",$T749+(AC$2*$M749))</f>
        <v/>
      </c>
      <c r="AD749" s="48">
        <f>IF(OR($M749="",$T749=""),"",$T749+(AD$2*$M749))</f>
        <v/>
      </c>
      <c r="AE749" s="49">
        <f>IF(OR($M749="",$T749=""),"",$T749+(AE$2*$M749))</f>
        <v/>
      </c>
      <c r="AF749" s="52">
        <f>IF(OR(T749="",I749&lt;T749),"",IFERROR(AVERAGE(T749+M749*{7,8,9,10,11})/IF(G749="",I749,G749)-1,""))</f>
        <v/>
      </c>
      <c r="AG749" s="55">
        <f>IF(OR(T749="",I749&lt;T749),"",IFERROR(AF749/-(R749/IF(G749="",I749,G749)-1),""))</f>
        <v/>
      </c>
      <c r="AH749" s="94" t="n"/>
      <c r="AI749" s="94" t="n"/>
      <c r="AJ749" s="94" t="n"/>
      <c r="AK749" s="94" t="n"/>
      <c r="AL749" s="84" t="n"/>
    </row>
    <row r="750">
      <c r="A750" s="64" t="n"/>
      <c r="B750" s="65" t="n"/>
      <c r="C750" s="66" t="n"/>
      <c r="D750" s="67" t="n"/>
      <c r="E750" s="68" t="n"/>
      <c r="F750" s="47">
        <f>IF(A750="","",IF(MIN(H750,MAX(J750:K750))=0,"",MIN(H750,MAX(J750:K750))))</f>
        <v/>
      </c>
      <c r="G750" s="74" t="n"/>
      <c r="H750" s="49">
        <f>IF(M750="","",IFERROR(ROUND(AVERAGE(T750+M750*{7,8,9,10,11})/1.21,4),""))</f>
        <v/>
      </c>
      <c r="I750" s="76" t="n"/>
      <c r="J750" s="77" t="n"/>
      <c r="K750" s="74" t="n"/>
      <c r="L750" s="78" t="n"/>
      <c r="M750" s="77" t="n"/>
      <c r="N750" s="53">
        <f>IF(M750="","",IFERROR(M750/I750,""))</f>
        <v/>
      </c>
      <c r="O750" s="50">
        <f>IF(A750="","",IFERROR((IF(G750="",I750,G750)-T750)/M750,""))</f>
        <v/>
      </c>
      <c r="P750" s="50">
        <f>IFERROR((I750/T750-1)/N750,"")</f>
        <v/>
      </c>
      <c r="Q750" s="46">
        <f>IF(OR(T750="",I750&lt;T750),"",IFERROR(R750/IF(G750="",I750,G750)-1,""))</f>
        <v/>
      </c>
      <c r="R750" s="48">
        <f>IF($M750="","",MAX(IF($G750="",$I750,$G750)*(1/1.1),IF($G750="",$I750,$G750)+(R$2*$M750)))</f>
        <v/>
      </c>
      <c r="S750" s="49">
        <f>IF($M750="","",MAX(IF($G750="",$I750,$G750)*(1/1.1),IF($G750="",$I750,$G750)+(S$2*$M750)))</f>
        <v/>
      </c>
      <c r="T750" s="82" t="n"/>
      <c r="U750" s="47">
        <f>IF(OR($M750="",$T750=""),"",$T750+(U$2*$M750))</f>
        <v/>
      </c>
      <c r="V750" s="48">
        <f>IF(OR($M750="",$T750=""),"",$T750+(V$2*$M750))</f>
        <v/>
      </c>
      <c r="W750" s="48">
        <f>IF(OR($M750="",$T750=""),"",$T750+(W$2*$M750))</f>
        <v/>
      </c>
      <c r="X750" s="49">
        <f>IF(OR($M750="",$T750=""),"",$T750+(X$2*$M750))</f>
        <v/>
      </c>
      <c r="Y750" s="47">
        <f>IF(OR($M750="",$T750=""),"",$T750+(Y$2*$M750))</f>
        <v/>
      </c>
      <c r="Z750" s="49">
        <f>IF(OR($M750="",$T750=""),"",$T750+(Z$2*$M750))</f>
        <v/>
      </c>
      <c r="AA750" s="51">
        <f>IF(OR($M750="",$T750=""),"",$T750+(AA$2*$M750))</f>
        <v/>
      </c>
      <c r="AB750" s="48">
        <f>IF(OR($M750="",$T750=""),"",$T750+(AB$2*$M750))</f>
        <v/>
      </c>
      <c r="AC750" s="48">
        <f>IF(OR($M750="",$T750=""),"",$T750+(AC$2*$M750))</f>
        <v/>
      </c>
      <c r="AD750" s="48">
        <f>IF(OR($M750="",$T750=""),"",$T750+(AD$2*$M750))</f>
        <v/>
      </c>
      <c r="AE750" s="49">
        <f>IF(OR($M750="",$T750=""),"",$T750+(AE$2*$M750))</f>
        <v/>
      </c>
      <c r="AF750" s="52">
        <f>IF(OR(T750="",I750&lt;T750),"",IFERROR(AVERAGE(T750+M750*{7,8,9,10,11})/IF(G750="",I750,G750)-1,""))</f>
        <v/>
      </c>
      <c r="AG750" s="55">
        <f>IF(OR(T750="",I750&lt;T750),"",IFERROR(AF750/-(R750/IF(G750="",I750,G750)-1),""))</f>
        <v/>
      </c>
      <c r="AH750" s="94" t="n"/>
      <c r="AI750" s="94" t="n"/>
      <c r="AJ750" s="94" t="n"/>
      <c r="AK750" s="94" t="n"/>
      <c r="AL750" s="84" t="n"/>
    </row>
    <row r="751">
      <c r="A751" s="64" t="n"/>
      <c r="B751" s="65" t="n"/>
      <c r="C751" s="66" t="n"/>
      <c r="D751" s="67" t="n"/>
      <c r="E751" s="68" t="n"/>
      <c r="F751" s="47">
        <f>IF(A751="","",IF(MIN(H751,MAX(J751:K751))=0,"",MIN(H751,MAX(J751:K751))))</f>
        <v/>
      </c>
      <c r="G751" s="74" t="n"/>
      <c r="H751" s="49">
        <f>IF(M751="","",IFERROR(ROUND(AVERAGE(T751+M751*{7,8,9,10,11})/1.21,4),""))</f>
        <v/>
      </c>
      <c r="I751" s="76" t="n"/>
      <c r="J751" s="77" t="n"/>
      <c r="K751" s="74" t="n"/>
      <c r="L751" s="78" t="n"/>
      <c r="M751" s="77" t="n"/>
      <c r="N751" s="53">
        <f>IF(M751="","",IFERROR(M751/I751,""))</f>
        <v/>
      </c>
      <c r="O751" s="50">
        <f>IF(A751="","",IFERROR((IF(G751="",I751,G751)-T751)/M751,""))</f>
        <v/>
      </c>
      <c r="P751" s="50">
        <f>IFERROR((I751/T751-1)/N751,"")</f>
        <v/>
      </c>
      <c r="Q751" s="46">
        <f>IF(OR(T751="",I751&lt;T751),"",IFERROR(R751/IF(G751="",I751,G751)-1,""))</f>
        <v/>
      </c>
      <c r="R751" s="48">
        <f>IF($M751="","",MAX(IF($G751="",$I751,$G751)*(1/1.1),IF($G751="",$I751,$G751)+(R$2*$M751)))</f>
        <v/>
      </c>
      <c r="S751" s="49">
        <f>IF($M751="","",MAX(IF($G751="",$I751,$G751)*(1/1.1),IF($G751="",$I751,$G751)+(S$2*$M751)))</f>
        <v/>
      </c>
      <c r="T751" s="82" t="n"/>
      <c r="U751" s="47">
        <f>IF(OR($M751="",$T751=""),"",$T751+(U$2*$M751))</f>
        <v/>
      </c>
      <c r="V751" s="48">
        <f>IF(OR($M751="",$T751=""),"",$T751+(V$2*$M751))</f>
        <v/>
      </c>
      <c r="W751" s="48">
        <f>IF(OR($M751="",$T751=""),"",$T751+(W$2*$M751))</f>
        <v/>
      </c>
      <c r="X751" s="49">
        <f>IF(OR($M751="",$T751=""),"",$T751+(X$2*$M751))</f>
        <v/>
      </c>
      <c r="Y751" s="47">
        <f>IF(OR($M751="",$T751=""),"",$T751+(Y$2*$M751))</f>
        <v/>
      </c>
      <c r="Z751" s="49">
        <f>IF(OR($M751="",$T751=""),"",$T751+(Z$2*$M751))</f>
        <v/>
      </c>
      <c r="AA751" s="51">
        <f>IF(OR($M751="",$T751=""),"",$T751+(AA$2*$M751))</f>
        <v/>
      </c>
      <c r="AB751" s="48">
        <f>IF(OR($M751="",$T751=""),"",$T751+(AB$2*$M751))</f>
        <v/>
      </c>
      <c r="AC751" s="48">
        <f>IF(OR($M751="",$T751=""),"",$T751+(AC$2*$M751))</f>
        <v/>
      </c>
      <c r="AD751" s="48">
        <f>IF(OR($M751="",$T751=""),"",$T751+(AD$2*$M751))</f>
        <v/>
      </c>
      <c r="AE751" s="49">
        <f>IF(OR($M751="",$T751=""),"",$T751+(AE$2*$M751))</f>
        <v/>
      </c>
      <c r="AF751" s="52">
        <f>IF(OR(T751="",I751&lt;T751),"",IFERROR(AVERAGE(T751+M751*{7,8,9,10,11})/IF(G751="",I751,G751)-1,""))</f>
        <v/>
      </c>
      <c r="AG751" s="55">
        <f>IF(OR(T751="",I751&lt;T751),"",IFERROR(AF751/-(R751/IF(G751="",I751,G751)-1),""))</f>
        <v/>
      </c>
      <c r="AH751" s="94" t="n"/>
      <c r="AI751" s="94" t="n"/>
      <c r="AJ751" s="94" t="n"/>
      <c r="AK751" s="94" t="n"/>
      <c r="AL751" s="84" t="n"/>
    </row>
    <row r="752">
      <c r="A752" s="64" t="n"/>
      <c r="B752" s="65" t="n"/>
      <c r="C752" s="66" t="n"/>
      <c r="D752" s="67" t="n"/>
      <c r="E752" s="68" t="n"/>
      <c r="F752" s="47">
        <f>IF(A752="","",IF(MIN(H752,MAX(J752:K752))=0,"",MIN(H752,MAX(J752:K752))))</f>
        <v/>
      </c>
      <c r="G752" s="74" t="n"/>
      <c r="H752" s="49">
        <f>IF(M752="","",IFERROR(ROUND(AVERAGE(T752+M752*{7,8,9,10,11})/1.21,4),""))</f>
        <v/>
      </c>
      <c r="I752" s="76" t="n"/>
      <c r="J752" s="77" t="n"/>
      <c r="K752" s="74" t="n"/>
      <c r="L752" s="78" t="n"/>
      <c r="M752" s="77" t="n"/>
      <c r="N752" s="53">
        <f>IF(M752="","",IFERROR(M752/I752,""))</f>
        <v/>
      </c>
      <c r="O752" s="50">
        <f>IF(A752="","",IFERROR((IF(G752="",I752,G752)-T752)/M752,""))</f>
        <v/>
      </c>
      <c r="P752" s="50">
        <f>IFERROR((I752/T752-1)/N752,"")</f>
        <v/>
      </c>
      <c r="Q752" s="46">
        <f>IF(OR(T752="",I752&lt;T752),"",IFERROR(R752/IF(G752="",I752,G752)-1,""))</f>
        <v/>
      </c>
      <c r="R752" s="48">
        <f>IF($M752="","",MAX(IF($G752="",$I752,$G752)*(1/1.1),IF($G752="",$I752,$G752)+(R$2*$M752)))</f>
        <v/>
      </c>
      <c r="S752" s="49">
        <f>IF($M752="","",MAX(IF($G752="",$I752,$G752)*(1/1.1),IF($G752="",$I752,$G752)+(S$2*$M752)))</f>
        <v/>
      </c>
      <c r="T752" s="82" t="n"/>
      <c r="U752" s="47">
        <f>IF(OR($M752="",$T752=""),"",$T752+(U$2*$M752))</f>
        <v/>
      </c>
      <c r="V752" s="48">
        <f>IF(OR($M752="",$T752=""),"",$T752+(V$2*$M752))</f>
        <v/>
      </c>
      <c r="W752" s="48">
        <f>IF(OR($M752="",$T752=""),"",$T752+(W$2*$M752))</f>
        <v/>
      </c>
      <c r="X752" s="49">
        <f>IF(OR($M752="",$T752=""),"",$T752+(X$2*$M752))</f>
        <v/>
      </c>
      <c r="Y752" s="47">
        <f>IF(OR($M752="",$T752=""),"",$T752+(Y$2*$M752))</f>
        <v/>
      </c>
      <c r="Z752" s="49">
        <f>IF(OR($M752="",$T752=""),"",$T752+(Z$2*$M752))</f>
        <v/>
      </c>
      <c r="AA752" s="51">
        <f>IF(OR($M752="",$T752=""),"",$T752+(AA$2*$M752))</f>
        <v/>
      </c>
      <c r="AB752" s="48">
        <f>IF(OR($M752="",$T752=""),"",$T752+(AB$2*$M752))</f>
        <v/>
      </c>
      <c r="AC752" s="48">
        <f>IF(OR($M752="",$T752=""),"",$T752+(AC$2*$M752))</f>
        <v/>
      </c>
      <c r="AD752" s="48">
        <f>IF(OR($M752="",$T752=""),"",$T752+(AD$2*$M752))</f>
        <v/>
      </c>
      <c r="AE752" s="49">
        <f>IF(OR($M752="",$T752=""),"",$T752+(AE$2*$M752))</f>
        <v/>
      </c>
      <c r="AF752" s="52">
        <f>IF(OR(T752="",I752&lt;T752),"",IFERROR(AVERAGE(T752+M752*{7,8,9,10,11})/IF(G752="",I752,G752)-1,""))</f>
        <v/>
      </c>
      <c r="AG752" s="55">
        <f>IF(OR(T752="",I752&lt;T752),"",IFERROR(AF752/-(R752/IF(G752="",I752,G752)-1),""))</f>
        <v/>
      </c>
      <c r="AH752" s="94" t="n"/>
      <c r="AI752" s="94" t="n"/>
      <c r="AJ752" s="94" t="n"/>
      <c r="AK752" s="94" t="n"/>
      <c r="AL752" s="84" t="n"/>
    </row>
    <row r="753">
      <c r="A753" s="64" t="n"/>
      <c r="B753" s="65" t="n"/>
      <c r="C753" s="66" t="n"/>
      <c r="D753" s="67" t="n"/>
      <c r="E753" s="68" t="n"/>
      <c r="F753" s="47">
        <f>IF(A753="","",IF(MIN(H753,MAX(J753:K753))=0,"",MIN(H753,MAX(J753:K753))))</f>
        <v/>
      </c>
      <c r="G753" s="74" t="n"/>
      <c r="H753" s="49">
        <f>IF(M753="","",IFERROR(ROUND(AVERAGE(T753+M753*{7,8,9,10,11})/1.21,4),""))</f>
        <v/>
      </c>
      <c r="I753" s="76" t="n"/>
      <c r="J753" s="77" t="n"/>
      <c r="K753" s="74" t="n"/>
      <c r="L753" s="78" t="n"/>
      <c r="M753" s="77" t="n"/>
      <c r="N753" s="53">
        <f>IF(M753="","",IFERROR(M753/I753,""))</f>
        <v/>
      </c>
      <c r="O753" s="50">
        <f>IF(A753="","",IFERROR((IF(G753="",I753,G753)-T753)/M753,""))</f>
        <v/>
      </c>
      <c r="P753" s="50">
        <f>IFERROR((I753/T753-1)/N753,"")</f>
        <v/>
      </c>
      <c r="Q753" s="46">
        <f>IF(OR(T753="",I753&lt;T753),"",IFERROR(R753/IF(G753="",I753,G753)-1,""))</f>
        <v/>
      </c>
      <c r="R753" s="48">
        <f>IF($M753="","",MAX(IF($G753="",$I753,$G753)*(1/1.1),IF($G753="",$I753,$G753)+(R$2*$M753)))</f>
        <v/>
      </c>
      <c r="S753" s="49">
        <f>IF($M753="","",MAX(IF($G753="",$I753,$G753)*(1/1.1),IF($G753="",$I753,$G753)+(S$2*$M753)))</f>
        <v/>
      </c>
      <c r="T753" s="82" t="n"/>
      <c r="U753" s="47">
        <f>IF(OR($M753="",$T753=""),"",$T753+(U$2*$M753))</f>
        <v/>
      </c>
      <c r="V753" s="48">
        <f>IF(OR($M753="",$T753=""),"",$T753+(V$2*$M753))</f>
        <v/>
      </c>
      <c r="W753" s="48">
        <f>IF(OR($M753="",$T753=""),"",$T753+(W$2*$M753))</f>
        <v/>
      </c>
      <c r="X753" s="49">
        <f>IF(OR($M753="",$T753=""),"",$T753+(X$2*$M753))</f>
        <v/>
      </c>
      <c r="Y753" s="47">
        <f>IF(OR($M753="",$T753=""),"",$T753+(Y$2*$M753))</f>
        <v/>
      </c>
      <c r="Z753" s="49">
        <f>IF(OR($M753="",$T753=""),"",$T753+(Z$2*$M753))</f>
        <v/>
      </c>
      <c r="AA753" s="51">
        <f>IF(OR($M753="",$T753=""),"",$T753+(AA$2*$M753))</f>
        <v/>
      </c>
      <c r="AB753" s="48">
        <f>IF(OR($M753="",$T753=""),"",$T753+(AB$2*$M753))</f>
        <v/>
      </c>
      <c r="AC753" s="48">
        <f>IF(OR($M753="",$T753=""),"",$T753+(AC$2*$M753))</f>
        <v/>
      </c>
      <c r="AD753" s="48">
        <f>IF(OR($M753="",$T753=""),"",$T753+(AD$2*$M753))</f>
        <v/>
      </c>
      <c r="AE753" s="49">
        <f>IF(OR($M753="",$T753=""),"",$T753+(AE$2*$M753))</f>
        <v/>
      </c>
      <c r="AF753" s="52">
        <f>IF(OR(T753="",I753&lt;T753),"",IFERROR(AVERAGE(T753+M753*{7,8,9,10,11})/IF(G753="",I753,G753)-1,""))</f>
        <v/>
      </c>
      <c r="AG753" s="55">
        <f>IF(OR(T753="",I753&lt;T753),"",IFERROR(AF753/-(R753/IF(G753="",I753,G753)-1),""))</f>
        <v/>
      </c>
      <c r="AH753" s="94" t="n"/>
      <c r="AI753" s="94" t="n"/>
      <c r="AJ753" s="94" t="n"/>
      <c r="AK753" s="94" t="n"/>
      <c r="AL753" s="84" t="n"/>
    </row>
    <row r="754">
      <c r="A754" s="64" t="n"/>
      <c r="B754" s="65" t="n"/>
      <c r="C754" s="66" t="n"/>
      <c r="D754" s="67" t="n"/>
      <c r="E754" s="68" t="n"/>
      <c r="F754" s="47">
        <f>IF(A754="","",IF(MIN(H754,MAX(J754:K754))=0,"",MIN(H754,MAX(J754:K754))))</f>
        <v/>
      </c>
      <c r="G754" s="74" t="n"/>
      <c r="H754" s="49">
        <f>IF(M754="","",IFERROR(ROUND(AVERAGE(T754+M754*{7,8,9,10,11})/1.21,4),""))</f>
        <v/>
      </c>
      <c r="I754" s="76" t="n"/>
      <c r="J754" s="77" t="n"/>
      <c r="K754" s="74" t="n"/>
      <c r="L754" s="78" t="n"/>
      <c r="M754" s="77" t="n"/>
      <c r="N754" s="53">
        <f>IF(M754="","",IFERROR(M754/I754,""))</f>
        <v/>
      </c>
      <c r="O754" s="50">
        <f>IF(A754="","",IFERROR((IF(G754="",I754,G754)-T754)/M754,""))</f>
        <v/>
      </c>
      <c r="P754" s="50">
        <f>IFERROR((I754/T754-1)/N754,"")</f>
        <v/>
      </c>
      <c r="Q754" s="46">
        <f>IF(OR(T754="",I754&lt;T754),"",IFERROR(R754/IF(G754="",I754,G754)-1,""))</f>
        <v/>
      </c>
      <c r="R754" s="48">
        <f>IF($M754="","",MAX(IF($G754="",$I754,$G754)*(1/1.1),IF($G754="",$I754,$G754)+(R$2*$M754)))</f>
        <v/>
      </c>
      <c r="S754" s="49">
        <f>IF($M754="","",MAX(IF($G754="",$I754,$G754)*(1/1.1),IF($G754="",$I754,$G754)+(S$2*$M754)))</f>
        <v/>
      </c>
      <c r="T754" s="82" t="n"/>
      <c r="U754" s="47">
        <f>IF(OR($M754="",$T754=""),"",$T754+(U$2*$M754))</f>
        <v/>
      </c>
      <c r="V754" s="48">
        <f>IF(OR($M754="",$T754=""),"",$T754+(V$2*$M754))</f>
        <v/>
      </c>
      <c r="W754" s="48">
        <f>IF(OR($M754="",$T754=""),"",$T754+(W$2*$M754))</f>
        <v/>
      </c>
      <c r="X754" s="49">
        <f>IF(OR($M754="",$T754=""),"",$T754+(X$2*$M754))</f>
        <v/>
      </c>
      <c r="Y754" s="47">
        <f>IF(OR($M754="",$T754=""),"",$T754+(Y$2*$M754))</f>
        <v/>
      </c>
      <c r="Z754" s="49">
        <f>IF(OR($M754="",$T754=""),"",$T754+(Z$2*$M754))</f>
        <v/>
      </c>
      <c r="AA754" s="51">
        <f>IF(OR($M754="",$T754=""),"",$T754+(AA$2*$M754))</f>
        <v/>
      </c>
      <c r="AB754" s="48">
        <f>IF(OR($M754="",$T754=""),"",$T754+(AB$2*$M754))</f>
        <v/>
      </c>
      <c r="AC754" s="48">
        <f>IF(OR($M754="",$T754=""),"",$T754+(AC$2*$M754))</f>
        <v/>
      </c>
      <c r="AD754" s="48">
        <f>IF(OR($M754="",$T754=""),"",$T754+(AD$2*$M754))</f>
        <v/>
      </c>
      <c r="AE754" s="49">
        <f>IF(OR($M754="",$T754=""),"",$T754+(AE$2*$M754))</f>
        <v/>
      </c>
      <c r="AF754" s="52">
        <f>IF(OR(T754="",I754&lt;T754),"",IFERROR(AVERAGE(T754+M754*{7,8,9,10,11})/IF(G754="",I754,G754)-1,""))</f>
        <v/>
      </c>
      <c r="AG754" s="55">
        <f>IF(OR(T754="",I754&lt;T754),"",IFERROR(AF754/-(R754/IF(G754="",I754,G754)-1),""))</f>
        <v/>
      </c>
      <c r="AH754" s="94" t="n"/>
      <c r="AI754" s="94" t="n"/>
      <c r="AJ754" s="94" t="n"/>
      <c r="AK754" s="94" t="n"/>
      <c r="AL754" s="84" t="n"/>
    </row>
    <row r="755">
      <c r="A755" s="64" t="n"/>
      <c r="B755" s="65" t="n"/>
      <c r="C755" s="66" t="n"/>
      <c r="D755" s="67" t="n"/>
      <c r="E755" s="68" t="n"/>
      <c r="F755" s="47">
        <f>IF(A755="","",IF(MIN(H755,MAX(J755:K755))=0,"",MIN(H755,MAX(J755:K755))))</f>
        <v/>
      </c>
      <c r="G755" s="74" t="n"/>
      <c r="H755" s="49">
        <f>IF(M755="","",IFERROR(ROUND(AVERAGE(T755+M755*{7,8,9,10,11})/1.21,4),""))</f>
        <v/>
      </c>
      <c r="I755" s="76" t="n"/>
      <c r="J755" s="77" t="n"/>
      <c r="K755" s="74" t="n"/>
      <c r="L755" s="78" t="n"/>
      <c r="M755" s="77" t="n"/>
      <c r="N755" s="53">
        <f>IF(M755="","",IFERROR(M755/I755,""))</f>
        <v/>
      </c>
      <c r="O755" s="50">
        <f>IF(A755="","",IFERROR((IF(G755="",I755,G755)-T755)/M755,""))</f>
        <v/>
      </c>
      <c r="P755" s="50">
        <f>IFERROR((I755/T755-1)/N755,"")</f>
        <v/>
      </c>
      <c r="Q755" s="46">
        <f>IF(OR(T755="",I755&lt;T755),"",IFERROR(R755/IF(G755="",I755,G755)-1,""))</f>
        <v/>
      </c>
      <c r="R755" s="48">
        <f>IF($M755="","",MAX(IF($G755="",$I755,$G755)*(1/1.1),IF($G755="",$I755,$G755)+(R$2*$M755)))</f>
        <v/>
      </c>
      <c r="S755" s="49">
        <f>IF($M755="","",MAX(IF($G755="",$I755,$G755)*(1/1.1),IF($G755="",$I755,$G755)+(S$2*$M755)))</f>
        <v/>
      </c>
      <c r="T755" s="82" t="n"/>
      <c r="U755" s="47">
        <f>IF(OR($M755="",$T755=""),"",$T755+(U$2*$M755))</f>
        <v/>
      </c>
      <c r="V755" s="48">
        <f>IF(OR($M755="",$T755=""),"",$T755+(V$2*$M755))</f>
        <v/>
      </c>
      <c r="W755" s="48">
        <f>IF(OR($M755="",$T755=""),"",$T755+(W$2*$M755))</f>
        <v/>
      </c>
      <c r="X755" s="49">
        <f>IF(OR($M755="",$T755=""),"",$T755+(X$2*$M755))</f>
        <v/>
      </c>
      <c r="Y755" s="47">
        <f>IF(OR($M755="",$T755=""),"",$T755+(Y$2*$M755))</f>
        <v/>
      </c>
      <c r="Z755" s="49">
        <f>IF(OR($M755="",$T755=""),"",$T755+(Z$2*$M755))</f>
        <v/>
      </c>
      <c r="AA755" s="51">
        <f>IF(OR($M755="",$T755=""),"",$T755+(AA$2*$M755))</f>
        <v/>
      </c>
      <c r="AB755" s="48">
        <f>IF(OR($M755="",$T755=""),"",$T755+(AB$2*$M755))</f>
        <v/>
      </c>
      <c r="AC755" s="48">
        <f>IF(OR($M755="",$T755=""),"",$T755+(AC$2*$M755))</f>
        <v/>
      </c>
      <c r="AD755" s="48">
        <f>IF(OR($M755="",$T755=""),"",$T755+(AD$2*$M755))</f>
        <v/>
      </c>
      <c r="AE755" s="49">
        <f>IF(OR($M755="",$T755=""),"",$T755+(AE$2*$M755))</f>
        <v/>
      </c>
      <c r="AF755" s="52">
        <f>IF(OR(T755="",I755&lt;T755),"",IFERROR(AVERAGE(T755+M755*{7,8,9,10,11})/IF(G755="",I755,G755)-1,""))</f>
        <v/>
      </c>
      <c r="AG755" s="55">
        <f>IF(OR(T755="",I755&lt;T755),"",IFERROR(AF755/-(R755/IF(G755="",I755,G755)-1),""))</f>
        <v/>
      </c>
      <c r="AH755" s="94" t="n"/>
      <c r="AI755" s="94" t="n"/>
      <c r="AJ755" s="94" t="n"/>
      <c r="AK755" s="94" t="n"/>
      <c r="AL755" s="84" t="n"/>
    </row>
    <row r="756">
      <c r="A756" s="64" t="n"/>
      <c r="B756" s="65" t="n"/>
      <c r="C756" s="66" t="n"/>
      <c r="D756" s="67" t="n"/>
      <c r="E756" s="68" t="n"/>
      <c r="F756" s="47">
        <f>IF(A756="","",IF(MIN(H756,MAX(J756:K756))=0,"",MIN(H756,MAX(J756:K756))))</f>
        <v/>
      </c>
      <c r="G756" s="74" t="n"/>
      <c r="H756" s="49">
        <f>IF(M756="","",IFERROR(ROUND(AVERAGE(T756+M756*{7,8,9,10,11})/1.21,4),""))</f>
        <v/>
      </c>
      <c r="I756" s="76" t="n"/>
      <c r="J756" s="77" t="n"/>
      <c r="K756" s="74" t="n"/>
      <c r="L756" s="78" t="n"/>
      <c r="M756" s="77" t="n"/>
      <c r="N756" s="53">
        <f>IF(M756="","",IFERROR(M756/I756,""))</f>
        <v/>
      </c>
      <c r="O756" s="50">
        <f>IF(A756="","",IFERROR((IF(G756="",I756,G756)-T756)/M756,""))</f>
        <v/>
      </c>
      <c r="P756" s="50">
        <f>IFERROR((I756/T756-1)/N756,"")</f>
        <v/>
      </c>
      <c r="Q756" s="46">
        <f>IF(OR(T756="",I756&lt;T756),"",IFERROR(R756/IF(G756="",I756,G756)-1,""))</f>
        <v/>
      </c>
      <c r="R756" s="48">
        <f>IF($M756="","",MAX(IF($G756="",$I756,$G756)*(1/1.1),IF($G756="",$I756,$G756)+(R$2*$M756)))</f>
        <v/>
      </c>
      <c r="S756" s="49">
        <f>IF($M756="","",MAX(IF($G756="",$I756,$G756)*(1/1.1),IF($G756="",$I756,$G756)+(S$2*$M756)))</f>
        <v/>
      </c>
      <c r="T756" s="82" t="n"/>
      <c r="U756" s="47">
        <f>IF(OR($M756="",$T756=""),"",$T756+(U$2*$M756))</f>
        <v/>
      </c>
      <c r="V756" s="48">
        <f>IF(OR($M756="",$T756=""),"",$T756+(V$2*$M756))</f>
        <v/>
      </c>
      <c r="W756" s="48">
        <f>IF(OR($M756="",$T756=""),"",$T756+(W$2*$M756))</f>
        <v/>
      </c>
      <c r="X756" s="49">
        <f>IF(OR($M756="",$T756=""),"",$T756+(X$2*$M756))</f>
        <v/>
      </c>
      <c r="Y756" s="47">
        <f>IF(OR($M756="",$T756=""),"",$T756+(Y$2*$M756))</f>
        <v/>
      </c>
      <c r="Z756" s="49">
        <f>IF(OR($M756="",$T756=""),"",$T756+(Z$2*$M756))</f>
        <v/>
      </c>
      <c r="AA756" s="51">
        <f>IF(OR($M756="",$T756=""),"",$T756+(AA$2*$M756))</f>
        <v/>
      </c>
      <c r="AB756" s="48">
        <f>IF(OR($M756="",$T756=""),"",$T756+(AB$2*$M756))</f>
        <v/>
      </c>
      <c r="AC756" s="48">
        <f>IF(OR($M756="",$T756=""),"",$T756+(AC$2*$M756))</f>
        <v/>
      </c>
      <c r="AD756" s="48">
        <f>IF(OR($M756="",$T756=""),"",$T756+(AD$2*$M756))</f>
        <v/>
      </c>
      <c r="AE756" s="49">
        <f>IF(OR($M756="",$T756=""),"",$T756+(AE$2*$M756))</f>
        <v/>
      </c>
      <c r="AF756" s="52">
        <f>IF(OR(T756="",I756&lt;T756),"",IFERROR(AVERAGE(T756+M756*{7,8,9,10,11})/IF(G756="",I756,G756)-1,""))</f>
        <v/>
      </c>
      <c r="AG756" s="55">
        <f>IF(OR(T756="",I756&lt;T756),"",IFERROR(AF756/-(R756/IF(G756="",I756,G756)-1),""))</f>
        <v/>
      </c>
      <c r="AH756" s="94" t="n"/>
      <c r="AI756" s="94" t="n"/>
      <c r="AJ756" s="94" t="n"/>
      <c r="AK756" s="94" t="n"/>
      <c r="AL756" s="84" t="n"/>
    </row>
    <row r="757">
      <c r="A757" s="64" t="n"/>
      <c r="B757" s="65" t="n"/>
      <c r="C757" s="66" t="n"/>
      <c r="D757" s="67" t="n"/>
      <c r="E757" s="68" t="n"/>
      <c r="F757" s="47">
        <f>IF(A757="","",IF(MIN(H757,MAX(J757:K757))=0,"",MIN(H757,MAX(J757:K757))))</f>
        <v/>
      </c>
      <c r="G757" s="74" t="n"/>
      <c r="H757" s="49">
        <f>IF(M757="","",IFERROR(ROUND(AVERAGE(T757+M757*{7,8,9,10,11})/1.21,4),""))</f>
        <v/>
      </c>
      <c r="I757" s="76" t="n"/>
      <c r="J757" s="77" t="n"/>
      <c r="K757" s="74" t="n"/>
      <c r="L757" s="78" t="n"/>
      <c r="M757" s="77" t="n"/>
      <c r="N757" s="53">
        <f>IF(M757="","",IFERROR(M757/I757,""))</f>
        <v/>
      </c>
      <c r="O757" s="50">
        <f>IF(A757="","",IFERROR((IF(G757="",I757,G757)-T757)/M757,""))</f>
        <v/>
      </c>
      <c r="P757" s="50">
        <f>IFERROR((I757/T757-1)/N757,"")</f>
        <v/>
      </c>
      <c r="Q757" s="46">
        <f>IF(OR(T757="",I757&lt;T757),"",IFERROR(R757/IF(G757="",I757,G757)-1,""))</f>
        <v/>
      </c>
      <c r="R757" s="48">
        <f>IF($M757="","",MAX(IF($G757="",$I757,$G757)*(1/1.1),IF($G757="",$I757,$G757)+(R$2*$M757)))</f>
        <v/>
      </c>
      <c r="S757" s="49">
        <f>IF($M757="","",MAX(IF($G757="",$I757,$G757)*(1/1.1),IF($G757="",$I757,$G757)+(S$2*$M757)))</f>
        <v/>
      </c>
      <c r="T757" s="82" t="n"/>
      <c r="U757" s="47">
        <f>IF(OR($M757="",$T757=""),"",$T757+(U$2*$M757))</f>
        <v/>
      </c>
      <c r="V757" s="48">
        <f>IF(OR($M757="",$T757=""),"",$T757+(V$2*$M757))</f>
        <v/>
      </c>
      <c r="W757" s="48">
        <f>IF(OR($M757="",$T757=""),"",$T757+(W$2*$M757))</f>
        <v/>
      </c>
      <c r="X757" s="49">
        <f>IF(OR($M757="",$T757=""),"",$T757+(X$2*$M757))</f>
        <v/>
      </c>
      <c r="Y757" s="47">
        <f>IF(OR($M757="",$T757=""),"",$T757+(Y$2*$M757))</f>
        <v/>
      </c>
      <c r="Z757" s="49">
        <f>IF(OR($M757="",$T757=""),"",$T757+(Z$2*$M757))</f>
        <v/>
      </c>
      <c r="AA757" s="51">
        <f>IF(OR($M757="",$T757=""),"",$T757+(AA$2*$M757))</f>
        <v/>
      </c>
      <c r="AB757" s="48">
        <f>IF(OR($M757="",$T757=""),"",$T757+(AB$2*$M757))</f>
        <v/>
      </c>
      <c r="AC757" s="48">
        <f>IF(OR($M757="",$T757=""),"",$T757+(AC$2*$M757))</f>
        <v/>
      </c>
      <c r="AD757" s="48">
        <f>IF(OR($M757="",$T757=""),"",$T757+(AD$2*$M757))</f>
        <v/>
      </c>
      <c r="AE757" s="49">
        <f>IF(OR($M757="",$T757=""),"",$T757+(AE$2*$M757))</f>
        <v/>
      </c>
      <c r="AF757" s="52">
        <f>IF(OR(T757="",I757&lt;T757),"",IFERROR(AVERAGE(T757+M757*{7,8,9,10,11})/IF(G757="",I757,G757)-1,""))</f>
        <v/>
      </c>
      <c r="AG757" s="55">
        <f>IF(OR(T757="",I757&lt;T757),"",IFERROR(AF757/-(R757/IF(G757="",I757,G757)-1),""))</f>
        <v/>
      </c>
      <c r="AH757" s="94" t="n"/>
      <c r="AI757" s="94" t="n"/>
      <c r="AJ757" s="94" t="n"/>
      <c r="AK757" s="94" t="n"/>
      <c r="AL757" s="84" t="n"/>
    </row>
    <row r="758">
      <c r="A758" s="64" t="n"/>
      <c r="B758" s="65" t="n"/>
      <c r="C758" s="66" t="n"/>
      <c r="D758" s="67" t="n"/>
      <c r="E758" s="68" t="n"/>
      <c r="F758" s="47">
        <f>IF(A758="","",IF(MIN(H758,MAX(J758:K758))=0,"",MIN(H758,MAX(J758:K758))))</f>
        <v/>
      </c>
      <c r="G758" s="74" t="n"/>
      <c r="H758" s="49">
        <f>IF(M758="","",IFERROR(ROUND(AVERAGE(T758+M758*{7,8,9,10,11})/1.21,4),""))</f>
        <v/>
      </c>
      <c r="I758" s="76" t="n"/>
      <c r="J758" s="77" t="n"/>
      <c r="K758" s="74" t="n"/>
      <c r="L758" s="78" t="n"/>
      <c r="M758" s="77" t="n"/>
      <c r="N758" s="53">
        <f>IF(M758="","",IFERROR(M758/I758,""))</f>
        <v/>
      </c>
      <c r="O758" s="50">
        <f>IF(A758="","",IFERROR((IF(G758="",I758,G758)-T758)/M758,""))</f>
        <v/>
      </c>
      <c r="P758" s="50">
        <f>IFERROR((I758/T758-1)/N758,"")</f>
        <v/>
      </c>
      <c r="Q758" s="46">
        <f>IF(OR(T758="",I758&lt;T758),"",IFERROR(R758/IF(G758="",I758,G758)-1,""))</f>
        <v/>
      </c>
      <c r="R758" s="48">
        <f>IF($M758="","",MAX(IF($G758="",$I758,$G758)*(1/1.1),IF($G758="",$I758,$G758)+(R$2*$M758)))</f>
        <v/>
      </c>
      <c r="S758" s="49">
        <f>IF($M758="","",MAX(IF($G758="",$I758,$G758)*(1/1.1),IF($G758="",$I758,$G758)+(S$2*$M758)))</f>
        <v/>
      </c>
      <c r="T758" s="82" t="n"/>
      <c r="U758" s="47">
        <f>IF(OR($M758="",$T758=""),"",$T758+(U$2*$M758))</f>
        <v/>
      </c>
      <c r="V758" s="48">
        <f>IF(OR($M758="",$T758=""),"",$T758+(V$2*$M758))</f>
        <v/>
      </c>
      <c r="W758" s="48">
        <f>IF(OR($M758="",$T758=""),"",$T758+(W$2*$M758))</f>
        <v/>
      </c>
      <c r="X758" s="49">
        <f>IF(OR($M758="",$T758=""),"",$T758+(X$2*$M758))</f>
        <v/>
      </c>
      <c r="Y758" s="47">
        <f>IF(OR($M758="",$T758=""),"",$T758+(Y$2*$M758))</f>
        <v/>
      </c>
      <c r="Z758" s="49">
        <f>IF(OR($M758="",$T758=""),"",$T758+(Z$2*$M758))</f>
        <v/>
      </c>
      <c r="AA758" s="51">
        <f>IF(OR($M758="",$T758=""),"",$T758+(AA$2*$M758))</f>
        <v/>
      </c>
      <c r="AB758" s="48">
        <f>IF(OR($M758="",$T758=""),"",$T758+(AB$2*$M758))</f>
        <v/>
      </c>
      <c r="AC758" s="48">
        <f>IF(OR($M758="",$T758=""),"",$T758+(AC$2*$M758))</f>
        <v/>
      </c>
      <c r="AD758" s="48">
        <f>IF(OR($M758="",$T758=""),"",$T758+(AD$2*$M758))</f>
        <v/>
      </c>
      <c r="AE758" s="49">
        <f>IF(OR($M758="",$T758=""),"",$T758+(AE$2*$M758))</f>
        <v/>
      </c>
      <c r="AF758" s="52">
        <f>IF(OR(T758="",I758&lt;T758),"",IFERROR(AVERAGE(T758+M758*{7,8,9,10,11})/IF(G758="",I758,G758)-1,""))</f>
        <v/>
      </c>
      <c r="AG758" s="55">
        <f>IF(OR(T758="",I758&lt;T758),"",IFERROR(AF758/-(R758/IF(G758="",I758,G758)-1),""))</f>
        <v/>
      </c>
      <c r="AH758" s="94" t="n"/>
      <c r="AI758" s="94" t="n"/>
      <c r="AJ758" s="94" t="n"/>
      <c r="AK758" s="94" t="n"/>
      <c r="AL758" s="84" t="n"/>
    </row>
    <row r="759">
      <c r="A759" s="64" t="n"/>
      <c r="B759" s="65" t="n"/>
      <c r="C759" s="66" t="n"/>
      <c r="D759" s="67" t="n"/>
      <c r="E759" s="68" t="n"/>
      <c r="F759" s="47">
        <f>IF(A759="","",IF(MIN(H759,MAX(J759:K759))=0,"",MIN(H759,MAX(J759:K759))))</f>
        <v/>
      </c>
      <c r="G759" s="74" t="n"/>
      <c r="H759" s="49">
        <f>IF(M759="","",IFERROR(ROUND(AVERAGE(T759+M759*{7,8,9,10,11})/1.21,4),""))</f>
        <v/>
      </c>
      <c r="I759" s="76" t="n"/>
      <c r="J759" s="77" t="n"/>
      <c r="K759" s="74" t="n"/>
      <c r="L759" s="78" t="n"/>
      <c r="M759" s="77" t="n"/>
      <c r="N759" s="53">
        <f>IF(M759="","",IFERROR(M759/I759,""))</f>
        <v/>
      </c>
      <c r="O759" s="50">
        <f>IF(A759="","",IFERROR((IF(G759="",I759,G759)-T759)/M759,""))</f>
        <v/>
      </c>
      <c r="P759" s="50">
        <f>IFERROR((I759/T759-1)/N759,"")</f>
        <v/>
      </c>
      <c r="Q759" s="46">
        <f>IF(OR(T759="",I759&lt;T759),"",IFERROR(R759/IF(G759="",I759,G759)-1,""))</f>
        <v/>
      </c>
      <c r="R759" s="48">
        <f>IF($M759="","",MAX(IF($G759="",$I759,$G759)*(1/1.1),IF($G759="",$I759,$G759)+(R$2*$M759)))</f>
        <v/>
      </c>
      <c r="S759" s="49">
        <f>IF($M759="","",MAX(IF($G759="",$I759,$G759)*(1/1.1),IF($G759="",$I759,$G759)+(S$2*$M759)))</f>
        <v/>
      </c>
      <c r="T759" s="82" t="n"/>
      <c r="U759" s="47">
        <f>IF(OR($M759="",$T759=""),"",$T759+(U$2*$M759))</f>
        <v/>
      </c>
      <c r="V759" s="48">
        <f>IF(OR($M759="",$T759=""),"",$T759+(V$2*$M759))</f>
        <v/>
      </c>
      <c r="W759" s="48">
        <f>IF(OR($M759="",$T759=""),"",$T759+(W$2*$M759))</f>
        <v/>
      </c>
      <c r="X759" s="49">
        <f>IF(OR($M759="",$T759=""),"",$T759+(X$2*$M759))</f>
        <v/>
      </c>
      <c r="Y759" s="47">
        <f>IF(OR($M759="",$T759=""),"",$T759+(Y$2*$M759))</f>
        <v/>
      </c>
      <c r="Z759" s="49">
        <f>IF(OR($M759="",$T759=""),"",$T759+(Z$2*$M759))</f>
        <v/>
      </c>
      <c r="AA759" s="51">
        <f>IF(OR($M759="",$T759=""),"",$T759+(AA$2*$M759))</f>
        <v/>
      </c>
      <c r="AB759" s="48">
        <f>IF(OR($M759="",$T759=""),"",$T759+(AB$2*$M759))</f>
        <v/>
      </c>
      <c r="AC759" s="48">
        <f>IF(OR($M759="",$T759=""),"",$T759+(AC$2*$M759))</f>
        <v/>
      </c>
      <c r="AD759" s="48">
        <f>IF(OR($M759="",$T759=""),"",$T759+(AD$2*$M759))</f>
        <v/>
      </c>
      <c r="AE759" s="49">
        <f>IF(OR($M759="",$T759=""),"",$T759+(AE$2*$M759))</f>
        <v/>
      </c>
      <c r="AF759" s="52">
        <f>IF(OR(T759="",I759&lt;T759),"",IFERROR(AVERAGE(T759+M759*{7,8,9,10,11})/IF(G759="",I759,G759)-1,""))</f>
        <v/>
      </c>
      <c r="AG759" s="55">
        <f>IF(OR(T759="",I759&lt;T759),"",IFERROR(AF759/-(R759/IF(G759="",I759,G759)-1),""))</f>
        <v/>
      </c>
      <c r="AH759" s="94" t="n"/>
      <c r="AI759" s="94" t="n"/>
      <c r="AJ759" s="94" t="n"/>
      <c r="AK759" s="94" t="n"/>
      <c r="AL759" s="84" t="n"/>
    </row>
    <row r="760">
      <c r="A760" s="64" t="n"/>
      <c r="B760" s="65" t="n"/>
      <c r="C760" s="66" t="n"/>
      <c r="D760" s="67" t="n"/>
      <c r="E760" s="68" t="n"/>
      <c r="F760" s="47">
        <f>IF(A760="","",IF(MIN(H760,MAX(J760:K760))=0,"",MIN(H760,MAX(J760:K760))))</f>
        <v/>
      </c>
      <c r="G760" s="74" t="n"/>
      <c r="H760" s="49">
        <f>IF(M760="","",IFERROR(ROUND(AVERAGE(T760+M760*{7,8,9,10,11})/1.21,4),""))</f>
        <v/>
      </c>
      <c r="I760" s="76" t="n"/>
      <c r="J760" s="77" t="n"/>
      <c r="K760" s="74" t="n"/>
      <c r="L760" s="78" t="n"/>
      <c r="M760" s="77" t="n"/>
      <c r="N760" s="53">
        <f>IF(M760="","",IFERROR(M760/I760,""))</f>
        <v/>
      </c>
      <c r="O760" s="50">
        <f>IF(A760="","",IFERROR((IF(G760="",I760,G760)-T760)/M760,""))</f>
        <v/>
      </c>
      <c r="P760" s="50">
        <f>IFERROR((I760/T760-1)/N760,"")</f>
        <v/>
      </c>
      <c r="Q760" s="46">
        <f>IF(OR(T760="",I760&lt;T760),"",IFERROR(R760/IF(G760="",I760,G760)-1,""))</f>
        <v/>
      </c>
      <c r="R760" s="48">
        <f>IF($M760="","",MAX(IF($G760="",$I760,$G760)*(1/1.1),IF($G760="",$I760,$G760)+(R$2*$M760)))</f>
        <v/>
      </c>
      <c r="S760" s="49">
        <f>IF($M760="","",MAX(IF($G760="",$I760,$G760)*(1/1.1),IF($G760="",$I760,$G760)+(S$2*$M760)))</f>
        <v/>
      </c>
      <c r="T760" s="82" t="n"/>
      <c r="U760" s="47">
        <f>IF(OR($M760="",$T760=""),"",$T760+(U$2*$M760))</f>
        <v/>
      </c>
      <c r="V760" s="48">
        <f>IF(OR($M760="",$T760=""),"",$T760+(V$2*$M760))</f>
        <v/>
      </c>
      <c r="W760" s="48">
        <f>IF(OR($M760="",$T760=""),"",$T760+(W$2*$M760))</f>
        <v/>
      </c>
      <c r="X760" s="49">
        <f>IF(OR($M760="",$T760=""),"",$T760+(X$2*$M760))</f>
        <v/>
      </c>
      <c r="Y760" s="47">
        <f>IF(OR($M760="",$T760=""),"",$T760+(Y$2*$M760))</f>
        <v/>
      </c>
      <c r="Z760" s="49">
        <f>IF(OR($M760="",$T760=""),"",$T760+(Z$2*$M760))</f>
        <v/>
      </c>
      <c r="AA760" s="51">
        <f>IF(OR($M760="",$T760=""),"",$T760+(AA$2*$M760))</f>
        <v/>
      </c>
      <c r="AB760" s="48">
        <f>IF(OR($M760="",$T760=""),"",$T760+(AB$2*$M760))</f>
        <v/>
      </c>
      <c r="AC760" s="48">
        <f>IF(OR($M760="",$T760=""),"",$T760+(AC$2*$M760))</f>
        <v/>
      </c>
      <c r="AD760" s="48">
        <f>IF(OR($M760="",$T760=""),"",$T760+(AD$2*$M760))</f>
        <v/>
      </c>
      <c r="AE760" s="49">
        <f>IF(OR($M760="",$T760=""),"",$T760+(AE$2*$M760))</f>
        <v/>
      </c>
      <c r="AF760" s="52">
        <f>IF(OR(T760="",I760&lt;T760),"",IFERROR(AVERAGE(T760+M760*{7,8,9,10,11})/IF(G760="",I760,G760)-1,""))</f>
        <v/>
      </c>
      <c r="AG760" s="55">
        <f>IF(OR(T760="",I760&lt;T760),"",IFERROR(AF760/-(R760/IF(G760="",I760,G760)-1),""))</f>
        <v/>
      </c>
      <c r="AH760" s="94" t="n"/>
      <c r="AI760" s="94" t="n"/>
      <c r="AJ760" s="94" t="n"/>
      <c r="AK760" s="94" t="n"/>
      <c r="AL760" s="84" t="n"/>
    </row>
    <row r="761">
      <c r="A761" s="64" t="n"/>
      <c r="B761" s="65" t="n"/>
      <c r="C761" s="66" t="n"/>
      <c r="D761" s="67" t="n"/>
      <c r="E761" s="68" t="n"/>
      <c r="F761" s="47">
        <f>IF(A761="","",IF(MIN(H761,MAX(J761:K761))=0,"",MIN(H761,MAX(J761:K761))))</f>
        <v/>
      </c>
      <c r="G761" s="74" t="n"/>
      <c r="H761" s="49">
        <f>IF(M761="","",IFERROR(ROUND(AVERAGE(T761+M761*{7,8,9,10,11})/1.21,4),""))</f>
        <v/>
      </c>
      <c r="I761" s="76" t="n"/>
      <c r="J761" s="77" t="n"/>
      <c r="K761" s="74" t="n"/>
      <c r="L761" s="78" t="n"/>
      <c r="M761" s="77" t="n"/>
      <c r="N761" s="53">
        <f>IF(M761="","",IFERROR(M761/I761,""))</f>
        <v/>
      </c>
      <c r="O761" s="50">
        <f>IF(A761="","",IFERROR((IF(G761="",I761,G761)-T761)/M761,""))</f>
        <v/>
      </c>
      <c r="P761" s="50">
        <f>IFERROR((I761/T761-1)/N761,"")</f>
        <v/>
      </c>
      <c r="Q761" s="46">
        <f>IF(OR(T761="",I761&lt;T761),"",IFERROR(R761/IF(G761="",I761,G761)-1,""))</f>
        <v/>
      </c>
      <c r="R761" s="48">
        <f>IF($M761="","",MAX(IF($G761="",$I761,$G761)*(1/1.1),IF($G761="",$I761,$G761)+(R$2*$M761)))</f>
        <v/>
      </c>
      <c r="S761" s="49">
        <f>IF($M761="","",MAX(IF($G761="",$I761,$G761)*(1/1.1),IF($G761="",$I761,$G761)+(S$2*$M761)))</f>
        <v/>
      </c>
      <c r="T761" s="82" t="n"/>
      <c r="U761" s="47">
        <f>IF(OR($M761="",$T761=""),"",$T761+(U$2*$M761))</f>
        <v/>
      </c>
      <c r="V761" s="48">
        <f>IF(OR($M761="",$T761=""),"",$T761+(V$2*$M761))</f>
        <v/>
      </c>
      <c r="W761" s="48">
        <f>IF(OR($M761="",$T761=""),"",$T761+(W$2*$M761))</f>
        <v/>
      </c>
      <c r="X761" s="49">
        <f>IF(OR($M761="",$T761=""),"",$T761+(X$2*$M761))</f>
        <v/>
      </c>
      <c r="Y761" s="47">
        <f>IF(OR($M761="",$T761=""),"",$T761+(Y$2*$M761))</f>
        <v/>
      </c>
      <c r="Z761" s="49">
        <f>IF(OR($M761="",$T761=""),"",$T761+(Z$2*$M761))</f>
        <v/>
      </c>
      <c r="AA761" s="51">
        <f>IF(OR($M761="",$T761=""),"",$T761+(AA$2*$M761))</f>
        <v/>
      </c>
      <c r="AB761" s="48">
        <f>IF(OR($M761="",$T761=""),"",$T761+(AB$2*$M761))</f>
        <v/>
      </c>
      <c r="AC761" s="48">
        <f>IF(OR($M761="",$T761=""),"",$T761+(AC$2*$M761))</f>
        <v/>
      </c>
      <c r="AD761" s="48">
        <f>IF(OR($M761="",$T761=""),"",$T761+(AD$2*$M761))</f>
        <v/>
      </c>
      <c r="AE761" s="49">
        <f>IF(OR($M761="",$T761=""),"",$T761+(AE$2*$M761))</f>
        <v/>
      </c>
      <c r="AF761" s="52">
        <f>IF(OR(T761="",I761&lt;T761),"",IFERROR(AVERAGE(T761+M761*{7,8,9,10,11})/IF(G761="",I761,G761)-1,""))</f>
        <v/>
      </c>
      <c r="AG761" s="55">
        <f>IF(OR(T761="",I761&lt;T761),"",IFERROR(AF761/-(R761/IF(G761="",I761,G761)-1),""))</f>
        <v/>
      </c>
      <c r="AH761" s="94" t="n"/>
      <c r="AI761" s="94" t="n"/>
      <c r="AJ761" s="94" t="n"/>
      <c r="AK761" s="94" t="n"/>
      <c r="AL761" s="84" t="n"/>
    </row>
    <row r="762">
      <c r="A762" s="64" t="n"/>
      <c r="B762" s="65" t="n"/>
      <c r="C762" s="66" t="n"/>
      <c r="D762" s="67" t="n"/>
      <c r="E762" s="68" t="n"/>
      <c r="F762" s="47">
        <f>IF(A762="","",IF(MIN(H762,MAX(J762:K762))=0,"",MIN(H762,MAX(J762:K762))))</f>
        <v/>
      </c>
      <c r="G762" s="74" t="n"/>
      <c r="H762" s="49">
        <f>IF(M762="","",IFERROR(ROUND(AVERAGE(T762+M762*{7,8,9,10,11})/1.21,4),""))</f>
        <v/>
      </c>
      <c r="I762" s="76" t="n"/>
      <c r="J762" s="77" t="n"/>
      <c r="K762" s="74" t="n"/>
      <c r="L762" s="78" t="n"/>
      <c r="M762" s="77" t="n"/>
      <c r="N762" s="53">
        <f>IF(M762="","",IFERROR(M762/I762,""))</f>
        <v/>
      </c>
      <c r="O762" s="50">
        <f>IF(A762="","",IFERROR((IF(G762="",I762,G762)-T762)/M762,""))</f>
        <v/>
      </c>
      <c r="P762" s="50">
        <f>IFERROR((I762/T762-1)/N762,"")</f>
        <v/>
      </c>
      <c r="Q762" s="46">
        <f>IF(OR(T762="",I762&lt;T762),"",IFERROR(R762/IF(G762="",I762,G762)-1,""))</f>
        <v/>
      </c>
      <c r="R762" s="48">
        <f>IF($M762="","",MAX(IF($G762="",$I762,$G762)*(1/1.1),IF($G762="",$I762,$G762)+(R$2*$M762)))</f>
        <v/>
      </c>
      <c r="S762" s="49">
        <f>IF($M762="","",MAX(IF($G762="",$I762,$G762)*(1/1.1),IF($G762="",$I762,$G762)+(S$2*$M762)))</f>
        <v/>
      </c>
      <c r="T762" s="82" t="n"/>
      <c r="U762" s="47">
        <f>IF(OR($M762="",$T762=""),"",$T762+(U$2*$M762))</f>
        <v/>
      </c>
      <c r="V762" s="48">
        <f>IF(OR($M762="",$T762=""),"",$T762+(V$2*$M762))</f>
        <v/>
      </c>
      <c r="W762" s="48">
        <f>IF(OR($M762="",$T762=""),"",$T762+(W$2*$M762))</f>
        <v/>
      </c>
      <c r="X762" s="49">
        <f>IF(OR($M762="",$T762=""),"",$T762+(X$2*$M762))</f>
        <v/>
      </c>
      <c r="Y762" s="47">
        <f>IF(OR($M762="",$T762=""),"",$T762+(Y$2*$M762))</f>
        <v/>
      </c>
      <c r="Z762" s="49">
        <f>IF(OR($M762="",$T762=""),"",$T762+(Z$2*$M762))</f>
        <v/>
      </c>
      <c r="AA762" s="51">
        <f>IF(OR($M762="",$T762=""),"",$T762+(AA$2*$M762))</f>
        <v/>
      </c>
      <c r="AB762" s="48">
        <f>IF(OR($M762="",$T762=""),"",$T762+(AB$2*$M762))</f>
        <v/>
      </c>
      <c r="AC762" s="48">
        <f>IF(OR($M762="",$T762=""),"",$T762+(AC$2*$M762))</f>
        <v/>
      </c>
      <c r="AD762" s="48">
        <f>IF(OR($M762="",$T762=""),"",$T762+(AD$2*$M762))</f>
        <v/>
      </c>
      <c r="AE762" s="49">
        <f>IF(OR($M762="",$T762=""),"",$T762+(AE$2*$M762))</f>
        <v/>
      </c>
      <c r="AF762" s="52">
        <f>IF(OR(T762="",I762&lt;T762),"",IFERROR(AVERAGE(T762+M762*{7,8,9,10,11})/IF(G762="",I762,G762)-1,""))</f>
        <v/>
      </c>
      <c r="AG762" s="55">
        <f>IF(OR(T762="",I762&lt;T762),"",IFERROR(AF762/-(R762/IF(G762="",I762,G762)-1),""))</f>
        <v/>
      </c>
      <c r="AH762" s="94" t="n"/>
      <c r="AI762" s="94" t="n"/>
      <c r="AJ762" s="94" t="n"/>
      <c r="AK762" s="94" t="n"/>
      <c r="AL762" s="84" t="n"/>
    </row>
    <row r="763">
      <c r="A763" s="64" t="n"/>
      <c r="B763" s="65" t="n"/>
      <c r="C763" s="66" t="n"/>
      <c r="D763" s="67" t="n"/>
      <c r="E763" s="68" t="n"/>
      <c r="F763" s="47">
        <f>IF(A763="","",IF(MIN(H763,MAX(J763:K763))=0,"",MIN(H763,MAX(J763:K763))))</f>
        <v/>
      </c>
      <c r="G763" s="74" t="n"/>
      <c r="H763" s="49">
        <f>IF(M763="","",IFERROR(ROUND(AVERAGE(T763+M763*{7,8,9,10,11})/1.21,4),""))</f>
        <v/>
      </c>
      <c r="I763" s="76" t="n"/>
      <c r="J763" s="77" t="n"/>
      <c r="K763" s="74" t="n"/>
      <c r="L763" s="78" t="n"/>
      <c r="M763" s="77" t="n"/>
      <c r="N763" s="53">
        <f>IF(M763="","",IFERROR(M763/I763,""))</f>
        <v/>
      </c>
      <c r="O763" s="50">
        <f>IF(A763="","",IFERROR((IF(G763="",I763,G763)-T763)/M763,""))</f>
        <v/>
      </c>
      <c r="P763" s="50">
        <f>IFERROR((I763/T763-1)/N763,"")</f>
        <v/>
      </c>
      <c r="Q763" s="46">
        <f>IF(OR(T763="",I763&lt;T763),"",IFERROR(R763/IF(G763="",I763,G763)-1,""))</f>
        <v/>
      </c>
      <c r="R763" s="48">
        <f>IF($M763="","",MAX(IF($G763="",$I763,$G763)*(1/1.1),IF($G763="",$I763,$G763)+(R$2*$M763)))</f>
        <v/>
      </c>
      <c r="S763" s="49">
        <f>IF($M763="","",MAX(IF($G763="",$I763,$G763)*(1/1.1),IF($G763="",$I763,$G763)+(S$2*$M763)))</f>
        <v/>
      </c>
      <c r="T763" s="82" t="n"/>
      <c r="U763" s="47">
        <f>IF(OR($M763="",$T763=""),"",$T763+(U$2*$M763))</f>
        <v/>
      </c>
      <c r="V763" s="48">
        <f>IF(OR($M763="",$T763=""),"",$T763+(V$2*$M763))</f>
        <v/>
      </c>
      <c r="W763" s="48">
        <f>IF(OR($M763="",$T763=""),"",$T763+(W$2*$M763))</f>
        <v/>
      </c>
      <c r="X763" s="49">
        <f>IF(OR($M763="",$T763=""),"",$T763+(X$2*$M763))</f>
        <v/>
      </c>
      <c r="Y763" s="47">
        <f>IF(OR($M763="",$T763=""),"",$T763+(Y$2*$M763))</f>
        <v/>
      </c>
      <c r="Z763" s="49">
        <f>IF(OR($M763="",$T763=""),"",$T763+(Z$2*$M763))</f>
        <v/>
      </c>
      <c r="AA763" s="51">
        <f>IF(OR($M763="",$T763=""),"",$T763+(AA$2*$M763))</f>
        <v/>
      </c>
      <c r="AB763" s="48">
        <f>IF(OR($M763="",$T763=""),"",$T763+(AB$2*$M763))</f>
        <v/>
      </c>
      <c r="AC763" s="48">
        <f>IF(OR($M763="",$T763=""),"",$T763+(AC$2*$M763))</f>
        <v/>
      </c>
      <c r="AD763" s="48">
        <f>IF(OR($M763="",$T763=""),"",$T763+(AD$2*$M763))</f>
        <v/>
      </c>
      <c r="AE763" s="49">
        <f>IF(OR($M763="",$T763=""),"",$T763+(AE$2*$M763))</f>
        <v/>
      </c>
      <c r="AF763" s="52">
        <f>IF(OR(T763="",I763&lt;T763),"",IFERROR(AVERAGE(T763+M763*{7,8,9,10,11})/IF(G763="",I763,G763)-1,""))</f>
        <v/>
      </c>
      <c r="AG763" s="55">
        <f>IF(OR(T763="",I763&lt;T763),"",IFERROR(AF763/-(R763/IF(G763="",I763,G763)-1),""))</f>
        <v/>
      </c>
      <c r="AH763" s="94" t="n"/>
      <c r="AI763" s="94" t="n"/>
      <c r="AJ763" s="94" t="n"/>
      <c r="AK763" s="94" t="n"/>
      <c r="AL763" s="84" t="n"/>
    </row>
    <row r="764">
      <c r="A764" s="64" t="n"/>
      <c r="B764" s="65" t="n"/>
      <c r="C764" s="66" t="n"/>
      <c r="D764" s="67" t="n"/>
      <c r="E764" s="68" t="n"/>
      <c r="F764" s="47">
        <f>IF(A764="","",IF(MIN(H764,MAX(J764:K764))=0,"",MIN(H764,MAX(J764:K764))))</f>
        <v/>
      </c>
      <c r="G764" s="74" t="n"/>
      <c r="H764" s="49">
        <f>IF(M764="","",IFERROR(ROUND(AVERAGE(T764+M764*{7,8,9,10,11})/1.21,4),""))</f>
        <v/>
      </c>
      <c r="I764" s="76" t="n"/>
      <c r="J764" s="77" t="n"/>
      <c r="K764" s="74" t="n"/>
      <c r="L764" s="78" t="n"/>
      <c r="M764" s="77" t="n"/>
      <c r="N764" s="53">
        <f>IF(M764="","",IFERROR(M764/I764,""))</f>
        <v/>
      </c>
      <c r="O764" s="50">
        <f>IF(A764="","",IFERROR((IF(G764="",I764,G764)-T764)/M764,""))</f>
        <v/>
      </c>
      <c r="P764" s="50">
        <f>IFERROR((I764/T764-1)/N764,"")</f>
        <v/>
      </c>
      <c r="Q764" s="46">
        <f>IF(OR(T764="",I764&lt;T764),"",IFERROR(R764/IF(G764="",I764,G764)-1,""))</f>
        <v/>
      </c>
      <c r="R764" s="48">
        <f>IF($M764="","",MAX(IF($G764="",$I764,$G764)*(1/1.1),IF($G764="",$I764,$G764)+(R$2*$M764)))</f>
        <v/>
      </c>
      <c r="S764" s="49">
        <f>IF($M764="","",MAX(IF($G764="",$I764,$G764)*(1/1.1),IF($G764="",$I764,$G764)+(S$2*$M764)))</f>
        <v/>
      </c>
      <c r="T764" s="82" t="n"/>
      <c r="U764" s="47">
        <f>IF(OR($M764="",$T764=""),"",$T764+(U$2*$M764))</f>
        <v/>
      </c>
      <c r="V764" s="48">
        <f>IF(OR($M764="",$T764=""),"",$T764+(V$2*$M764))</f>
        <v/>
      </c>
      <c r="W764" s="48">
        <f>IF(OR($M764="",$T764=""),"",$T764+(W$2*$M764))</f>
        <v/>
      </c>
      <c r="X764" s="49">
        <f>IF(OR($M764="",$T764=""),"",$T764+(X$2*$M764))</f>
        <v/>
      </c>
      <c r="Y764" s="47">
        <f>IF(OR($M764="",$T764=""),"",$T764+(Y$2*$M764))</f>
        <v/>
      </c>
      <c r="Z764" s="49">
        <f>IF(OR($M764="",$T764=""),"",$T764+(Z$2*$M764))</f>
        <v/>
      </c>
      <c r="AA764" s="51">
        <f>IF(OR($M764="",$T764=""),"",$T764+(AA$2*$M764))</f>
        <v/>
      </c>
      <c r="AB764" s="48">
        <f>IF(OR($M764="",$T764=""),"",$T764+(AB$2*$M764))</f>
        <v/>
      </c>
      <c r="AC764" s="48">
        <f>IF(OR($M764="",$T764=""),"",$T764+(AC$2*$M764))</f>
        <v/>
      </c>
      <c r="AD764" s="48">
        <f>IF(OR($M764="",$T764=""),"",$T764+(AD$2*$M764))</f>
        <v/>
      </c>
      <c r="AE764" s="49">
        <f>IF(OR($M764="",$T764=""),"",$T764+(AE$2*$M764))</f>
        <v/>
      </c>
      <c r="AF764" s="52">
        <f>IF(OR(T764="",I764&lt;T764),"",IFERROR(AVERAGE(T764+M764*{7,8,9,10,11})/IF(G764="",I764,G764)-1,""))</f>
        <v/>
      </c>
      <c r="AG764" s="55">
        <f>IF(OR(T764="",I764&lt;T764),"",IFERROR(AF764/-(R764/IF(G764="",I764,G764)-1),""))</f>
        <v/>
      </c>
      <c r="AH764" s="94" t="n"/>
      <c r="AI764" s="94" t="n"/>
      <c r="AJ764" s="94" t="n"/>
      <c r="AK764" s="94" t="n"/>
      <c r="AL764" s="84" t="n"/>
    </row>
    <row r="765">
      <c r="A765" s="64" t="n"/>
      <c r="B765" s="65" t="n"/>
      <c r="C765" s="66" t="n"/>
      <c r="D765" s="67" t="n"/>
      <c r="E765" s="68" t="n"/>
      <c r="F765" s="47">
        <f>IF(A765="","",IF(MIN(H765,MAX(J765:K765))=0,"",MIN(H765,MAX(J765:K765))))</f>
        <v/>
      </c>
      <c r="G765" s="74" t="n"/>
      <c r="H765" s="49">
        <f>IF(M765="","",IFERROR(ROUND(AVERAGE(T765+M765*{7,8,9,10,11})/1.21,4),""))</f>
        <v/>
      </c>
      <c r="I765" s="76" t="n"/>
      <c r="J765" s="77" t="n"/>
      <c r="K765" s="74" t="n"/>
      <c r="L765" s="78" t="n"/>
      <c r="M765" s="77" t="n"/>
      <c r="N765" s="53">
        <f>IF(M765="","",IFERROR(M765/I765,""))</f>
        <v/>
      </c>
      <c r="O765" s="50">
        <f>IF(A765="","",IFERROR((IF(G765="",I765,G765)-T765)/M765,""))</f>
        <v/>
      </c>
      <c r="P765" s="50">
        <f>IFERROR((I765/T765-1)/N765,"")</f>
        <v/>
      </c>
      <c r="Q765" s="46">
        <f>IF(OR(T765="",I765&lt;T765),"",IFERROR(R765/IF(G765="",I765,G765)-1,""))</f>
        <v/>
      </c>
      <c r="R765" s="48">
        <f>IF($M765="","",MAX(IF($G765="",$I765,$G765)*(1/1.1),IF($G765="",$I765,$G765)+(R$2*$M765)))</f>
        <v/>
      </c>
      <c r="S765" s="49">
        <f>IF($M765="","",MAX(IF($G765="",$I765,$G765)*(1/1.1),IF($G765="",$I765,$G765)+(S$2*$M765)))</f>
        <v/>
      </c>
      <c r="T765" s="82" t="n"/>
      <c r="U765" s="47">
        <f>IF(OR($M765="",$T765=""),"",$T765+(U$2*$M765))</f>
        <v/>
      </c>
      <c r="V765" s="48">
        <f>IF(OR($M765="",$T765=""),"",$T765+(V$2*$M765))</f>
        <v/>
      </c>
      <c r="W765" s="48">
        <f>IF(OR($M765="",$T765=""),"",$T765+(W$2*$M765))</f>
        <v/>
      </c>
      <c r="X765" s="49">
        <f>IF(OR($M765="",$T765=""),"",$T765+(X$2*$M765))</f>
        <v/>
      </c>
      <c r="Y765" s="47">
        <f>IF(OR($M765="",$T765=""),"",$T765+(Y$2*$M765))</f>
        <v/>
      </c>
      <c r="Z765" s="49">
        <f>IF(OR($M765="",$T765=""),"",$T765+(Z$2*$M765))</f>
        <v/>
      </c>
      <c r="AA765" s="51">
        <f>IF(OR($M765="",$T765=""),"",$T765+(AA$2*$M765))</f>
        <v/>
      </c>
      <c r="AB765" s="48">
        <f>IF(OR($M765="",$T765=""),"",$T765+(AB$2*$M765))</f>
        <v/>
      </c>
      <c r="AC765" s="48">
        <f>IF(OR($M765="",$T765=""),"",$T765+(AC$2*$M765))</f>
        <v/>
      </c>
      <c r="AD765" s="48">
        <f>IF(OR($M765="",$T765=""),"",$T765+(AD$2*$M765))</f>
        <v/>
      </c>
      <c r="AE765" s="49">
        <f>IF(OR($M765="",$T765=""),"",$T765+(AE$2*$M765))</f>
        <v/>
      </c>
      <c r="AF765" s="52">
        <f>IF(OR(T765="",I765&lt;T765),"",IFERROR(AVERAGE(T765+M765*{7,8,9,10,11})/IF(G765="",I765,G765)-1,""))</f>
        <v/>
      </c>
      <c r="AG765" s="55">
        <f>IF(OR(T765="",I765&lt;T765),"",IFERROR(AF765/-(R765/IF(G765="",I765,G765)-1),""))</f>
        <v/>
      </c>
      <c r="AH765" s="94" t="n"/>
      <c r="AI765" s="94" t="n"/>
      <c r="AJ765" s="94" t="n"/>
      <c r="AK765" s="94" t="n"/>
      <c r="AL765" s="84" t="n"/>
    </row>
    <row r="766">
      <c r="A766" s="64" t="n"/>
      <c r="B766" s="65" t="n"/>
      <c r="C766" s="66" t="n"/>
      <c r="D766" s="67" t="n"/>
      <c r="E766" s="68" t="n"/>
      <c r="F766" s="47">
        <f>IF(A766="","",IF(MIN(H766,MAX(J766:K766))=0,"",MIN(H766,MAX(J766:K766))))</f>
        <v/>
      </c>
      <c r="G766" s="74" t="n"/>
      <c r="H766" s="49">
        <f>IF(M766="","",IFERROR(ROUND(AVERAGE(T766+M766*{7,8,9,10,11})/1.21,4),""))</f>
        <v/>
      </c>
      <c r="I766" s="76" t="n"/>
      <c r="J766" s="77" t="n"/>
      <c r="K766" s="74" t="n"/>
      <c r="L766" s="78" t="n"/>
      <c r="M766" s="77" t="n"/>
      <c r="N766" s="53">
        <f>IF(M766="","",IFERROR(M766/I766,""))</f>
        <v/>
      </c>
      <c r="O766" s="50">
        <f>IF(A766="","",IFERROR((IF(G766="",I766,G766)-T766)/M766,""))</f>
        <v/>
      </c>
      <c r="P766" s="50">
        <f>IFERROR((I766/T766-1)/N766,"")</f>
        <v/>
      </c>
      <c r="Q766" s="46">
        <f>IF(OR(T766="",I766&lt;T766),"",IFERROR(R766/IF(G766="",I766,G766)-1,""))</f>
        <v/>
      </c>
      <c r="R766" s="48">
        <f>IF($M766="","",MAX(IF($G766="",$I766,$G766)*(1/1.1),IF($G766="",$I766,$G766)+(R$2*$M766)))</f>
        <v/>
      </c>
      <c r="S766" s="49">
        <f>IF($M766="","",MAX(IF($G766="",$I766,$G766)*(1/1.1),IF($G766="",$I766,$G766)+(S$2*$M766)))</f>
        <v/>
      </c>
      <c r="T766" s="82" t="n"/>
      <c r="U766" s="47">
        <f>IF(OR($M766="",$T766=""),"",$T766+(U$2*$M766))</f>
        <v/>
      </c>
      <c r="V766" s="48">
        <f>IF(OR($M766="",$T766=""),"",$T766+(V$2*$M766))</f>
        <v/>
      </c>
      <c r="W766" s="48">
        <f>IF(OR($M766="",$T766=""),"",$T766+(W$2*$M766))</f>
        <v/>
      </c>
      <c r="X766" s="49">
        <f>IF(OR($M766="",$T766=""),"",$T766+(X$2*$M766))</f>
        <v/>
      </c>
      <c r="Y766" s="47">
        <f>IF(OR($M766="",$T766=""),"",$T766+(Y$2*$M766))</f>
        <v/>
      </c>
      <c r="Z766" s="49">
        <f>IF(OR($M766="",$T766=""),"",$T766+(Z$2*$M766))</f>
        <v/>
      </c>
      <c r="AA766" s="51">
        <f>IF(OR($M766="",$T766=""),"",$T766+(AA$2*$M766))</f>
        <v/>
      </c>
      <c r="AB766" s="48">
        <f>IF(OR($M766="",$T766=""),"",$T766+(AB$2*$M766))</f>
        <v/>
      </c>
      <c r="AC766" s="48">
        <f>IF(OR($M766="",$T766=""),"",$T766+(AC$2*$M766))</f>
        <v/>
      </c>
      <c r="AD766" s="48">
        <f>IF(OR($M766="",$T766=""),"",$T766+(AD$2*$M766))</f>
        <v/>
      </c>
      <c r="AE766" s="49">
        <f>IF(OR($M766="",$T766=""),"",$T766+(AE$2*$M766))</f>
        <v/>
      </c>
      <c r="AF766" s="52">
        <f>IF(OR(T766="",I766&lt;T766),"",IFERROR(AVERAGE(T766+M766*{7,8,9,10,11})/IF(G766="",I766,G766)-1,""))</f>
        <v/>
      </c>
      <c r="AG766" s="55">
        <f>IF(OR(T766="",I766&lt;T766),"",IFERROR(AF766/-(R766/IF(G766="",I766,G766)-1),""))</f>
        <v/>
      </c>
      <c r="AH766" s="94" t="n"/>
      <c r="AI766" s="94" t="n"/>
      <c r="AJ766" s="94" t="n"/>
      <c r="AK766" s="94" t="n"/>
      <c r="AL766" s="84" t="n"/>
    </row>
    <row r="767">
      <c r="A767" s="64" t="n"/>
      <c r="B767" s="65" t="n"/>
      <c r="C767" s="66" t="n"/>
      <c r="D767" s="67" t="n"/>
      <c r="E767" s="68" t="n"/>
      <c r="F767" s="47">
        <f>IF(A767="","",IF(MIN(H767,MAX(J767:K767))=0,"",MIN(H767,MAX(J767:K767))))</f>
        <v/>
      </c>
      <c r="G767" s="74" t="n"/>
      <c r="H767" s="49">
        <f>IF(M767="","",IFERROR(ROUND(AVERAGE(T767+M767*{7,8,9,10,11})/1.21,4),""))</f>
        <v/>
      </c>
      <c r="I767" s="76" t="n"/>
      <c r="J767" s="77" t="n"/>
      <c r="K767" s="74" t="n"/>
      <c r="L767" s="78" t="n"/>
      <c r="M767" s="77" t="n"/>
      <c r="N767" s="53">
        <f>IF(M767="","",IFERROR(M767/I767,""))</f>
        <v/>
      </c>
      <c r="O767" s="50">
        <f>IF(A767="","",IFERROR((IF(G767="",I767,G767)-T767)/M767,""))</f>
        <v/>
      </c>
      <c r="P767" s="50">
        <f>IFERROR((I767/T767-1)/N767,"")</f>
        <v/>
      </c>
      <c r="Q767" s="46">
        <f>IF(OR(T767="",I767&lt;T767),"",IFERROR(R767/IF(G767="",I767,G767)-1,""))</f>
        <v/>
      </c>
      <c r="R767" s="48">
        <f>IF($M767="","",MAX(IF($G767="",$I767,$G767)*(1/1.1),IF($G767="",$I767,$G767)+(R$2*$M767)))</f>
        <v/>
      </c>
      <c r="S767" s="49">
        <f>IF($M767="","",MAX(IF($G767="",$I767,$G767)*(1/1.1),IF($G767="",$I767,$G767)+(S$2*$M767)))</f>
        <v/>
      </c>
      <c r="T767" s="82" t="n"/>
      <c r="U767" s="47">
        <f>IF(OR($M767="",$T767=""),"",$T767+(U$2*$M767))</f>
        <v/>
      </c>
      <c r="V767" s="48">
        <f>IF(OR($M767="",$T767=""),"",$T767+(V$2*$M767))</f>
        <v/>
      </c>
      <c r="W767" s="48">
        <f>IF(OR($M767="",$T767=""),"",$T767+(W$2*$M767))</f>
        <v/>
      </c>
      <c r="X767" s="49">
        <f>IF(OR($M767="",$T767=""),"",$T767+(X$2*$M767))</f>
        <v/>
      </c>
      <c r="Y767" s="47">
        <f>IF(OR($M767="",$T767=""),"",$T767+(Y$2*$M767))</f>
        <v/>
      </c>
      <c r="Z767" s="49">
        <f>IF(OR($M767="",$T767=""),"",$T767+(Z$2*$M767))</f>
        <v/>
      </c>
      <c r="AA767" s="51">
        <f>IF(OR($M767="",$T767=""),"",$T767+(AA$2*$M767))</f>
        <v/>
      </c>
      <c r="AB767" s="48">
        <f>IF(OR($M767="",$T767=""),"",$T767+(AB$2*$M767))</f>
        <v/>
      </c>
      <c r="AC767" s="48">
        <f>IF(OR($M767="",$T767=""),"",$T767+(AC$2*$M767))</f>
        <v/>
      </c>
      <c r="AD767" s="48">
        <f>IF(OR($M767="",$T767=""),"",$T767+(AD$2*$M767))</f>
        <v/>
      </c>
      <c r="AE767" s="49">
        <f>IF(OR($M767="",$T767=""),"",$T767+(AE$2*$M767))</f>
        <v/>
      </c>
      <c r="AF767" s="52">
        <f>IF(OR(T767="",I767&lt;T767),"",IFERROR(AVERAGE(T767+M767*{7,8,9,10,11})/IF(G767="",I767,G767)-1,""))</f>
        <v/>
      </c>
      <c r="AG767" s="55">
        <f>IF(OR(T767="",I767&lt;T767),"",IFERROR(AF767/-(R767/IF(G767="",I767,G767)-1),""))</f>
        <v/>
      </c>
      <c r="AH767" s="94" t="n"/>
      <c r="AI767" s="94" t="n"/>
      <c r="AJ767" s="94" t="n"/>
      <c r="AK767" s="94" t="n"/>
      <c r="AL767" s="84" t="n"/>
    </row>
    <row r="768">
      <c r="A768" s="64" t="n"/>
      <c r="B768" s="65" t="n"/>
      <c r="C768" s="66" t="n"/>
      <c r="D768" s="67" t="n"/>
      <c r="E768" s="68" t="n"/>
      <c r="F768" s="47">
        <f>IF(A768="","",IF(MIN(H768,MAX(J768:K768))=0,"",MIN(H768,MAX(J768:K768))))</f>
        <v/>
      </c>
      <c r="G768" s="74" t="n"/>
      <c r="H768" s="49">
        <f>IF(M768="","",IFERROR(ROUND(AVERAGE(T768+M768*{7,8,9,10,11})/1.21,4),""))</f>
        <v/>
      </c>
      <c r="I768" s="76" t="n"/>
      <c r="J768" s="77" t="n"/>
      <c r="K768" s="74" t="n"/>
      <c r="L768" s="78" t="n"/>
      <c r="M768" s="77" t="n"/>
      <c r="N768" s="53">
        <f>IF(M768="","",IFERROR(M768/I768,""))</f>
        <v/>
      </c>
      <c r="O768" s="50">
        <f>IF(A768="","",IFERROR((IF(G768="",I768,G768)-T768)/M768,""))</f>
        <v/>
      </c>
      <c r="P768" s="50">
        <f>IFERROR((I768/T768-1)/N768,"")</f>
        <v/>
      </c>
      <c r="Q768" s="46">
        <f>IF(OR(T768="",I768&lt;T768),"",IFERROR(R768/IF(G768="",I768,G768)-1,""))</f>
        <v/>
      </c>
      <c r="R768" s="48">
        <f>IF($M768="","",MAX(IF($G768="",$I768,$G768)*(1/1.1),IF($G768="",$I768,$G768)+(R$2*$M768)))</f>
        <v/>
      </c>
      <c r="S768" s="49">
        <f>IF($M768="","",MAX(IF($G768="",$I768,$G768)*(1/1.1),IF($G768="",$I768,$G768)+(S$2*$M768)))</f>
        <v/>
      </c>
      <c r="T768" s="82" t="n"/>
      <c r="U768" s="47">
        <f>IF(OR($M768="",$T768=""),"",$T768+(U$2*$M768))</f>
        <v/>
      </c>
      <c r="V768" s="48">
        <f>IF(OR($M768="",$T768=""),"",$T768+(V$2*$M768))</f>
        <v/>
      </c>
      <c r="W768" s="48">
        <f>IF(OR($M768="",$T768=""),"",$T768+(W$2*$M768))</f>
        <v/>
      </c>
      <c r="X768" s="49">
        <f>IF(OR($M768="",$T768=""),"",$T768+(X$2*$M768))</f>
        <v/>
      </c>
      <c r="Y768" s="47">
        <f>IF(OR($M768="",$T768=""),"",$T768+(Y$2*$M768))</f>
        <v/>
      </c>
      <c r="Z768" s="49">
        <f>IF(OR($M768="",$T768=""),"",$T768+(Z$2*$M768))</f>
        <v/>
      </c>
      <c r="AA768" s="51">
        <f>IF(OR($M768="",$T768=""),"",$T768+(AA$2*$M768))</f>
        <v/>
      </c>
      <c r="AB768" s="48">
        <f>IF(OR($M768="",$T768=""),"",$T768+(AB$2*$M768))</f>
        <v/>
      </c>
      <c r="AC768" s="48">
        <f>IF(OR($M768="",$T768=""),"",$T768+(AC$2*$M768))</f>
        <v/>
      </c>
      <c r="AD768" s="48">
        <f>IF(OR($M768="",$T768=""),"",$T768+(AD$2*$M768))</f>
        <v/>
      </c>
      <c r="AE768" s="49">
        <f>IF(OR($M768="",$T768=""),"",$T768+(AE$2*$M768))</f>
        <v/>
      </c>
      <c r="AF768" s="52">
        <f>IF(OR(T768="",I768&lt;T768),"",IFERROR(AVERAGE(T768+M768*{7,8,9,10,11})/IF(G768="",I768,G768)-1,""))</f>
        <v/>
      </c>
      <c r="AG768" s="55">
        <f>IF(OR(T768="",I768&lt;T768),"",IFERROR(AF768/-(R768/IF(G768="",I768,G768)-1),""))</f>
        <v/>
      </c>
      <c r="AH768" s="94" t="n"/>
      <c r="AI768" s="94" t="n"/>
      <c r="AJ768" s="94" t="n"/>
      <c r="AK768" s="94" t="n"/>
      <c r="AL768" s="84" t="n"/>
    </row>
    <row r="769">
      <c r="A769" s="64" t="n"/>
      <c r="B769" s="65" t="n"/>
      <c r="C769" s="66" t="n"/>
      <c r="D769" s="67" t="n"/>
      <c r="E769" s="68" t="n"/>
      <c r="F769" s="47">
        <f>IF(A769="","",IF(MIN(H769,MAX(J769:K769))=0,"",MIN(H769,MAX(J769:K769))))</f>
        <v/>
      </c>
      <c r="G769" s="74" t="n"/>
      <c r="H769" s="49">
        <f>IF(M769="","",IFERROR(ROUND(AVERAGE(T769+M769*{7,8,9,10,11})/1.21,4),""))</f>
        <v/>
      </c>
      <c r="I769" s="76" t="n"/>
      <c r="J769" s="77" t="n"/>
      <c r="K769" s="74" t="n"/>
      <c r="L769" s="78" t="n"/>
      <c r="M769" s="77" t="n"/>
      <c r="N769" s="53">
        <f>IF(M769="","",IFERROR(M769/I769,""))</f>
        <v/>
      </c>
      <c r="O769" s="50">
        <f>IF(A769="","",IFERROR((IF(G769="",I769,G769)-T769)/M769,""))</f>
        <v/>
      </c>
      <c r="P769" s="50">
        <f>IFERROR((I769/T769-1)/N769,"")</f>
        <v/>
      </c>
      <c r="Q769" s="46">
        <f>IF(OR(T769="",I769&lt;T769),"",IFERROR(R769/IF(G769="",I769,G769)-1,""))</f>
        <v/>
      </c>
      <c r="R769" s="48">
        <f>IF($M769="","",MAX(IF($G769="",$I769,$G769)*(1/1.1),IF($G769="",$I769,$G769)+(R$2*$M769)))</f>
        <v/>
      </c>
      <c r="S769" s="49">
        <f>IF($M769="","",MAX(IF($G769="",$I769,$G769)*(1/1.1),IF($G769="",$I769,$G769)+(S$2*$M769)))</f>
        <v/>
      </c>
      <c r="T769" s="82" t="n"/>
      <c r="U769" s="47">
        <f>IF(OR($M769="",$T769=""),"",$T769+(U$2*$M769))</f>
        <v/>
      </c>
      <c r="V769" s="48">
        <f>IF(OR($M769="",$T769=""),"",$T769+(V$2*$M769))</f>
        <v/>
      </c>
      <c r="W769" s="48">
        <f>IF(OR($M769="",$T769=""),"",$T769+(W$2*$M769))</f>
        <v/>
      </c>
      <c r="X769" s="49">
        <f>IF(OR($M769="",$T769=""),"",$T769+(X$2*$M769))</f>
        <v/>
      </c>
      <c r="Y769" s="47">
        <f>IF(OR($M769="",$T769=""),"",$T769+(Y$2*$M769))</f>
        <v/>
      </c>
      <c r="Z769" s="49">
        <f>IF(OR($M769="",$T769=""),"",$T769+(Z$2*$M769))</f>
        <v/>
      </c>
      <c r="AA769" s="51">
        <f>IF(OR($M769="",$T769=""),"",$T769+(AA$2*$M769))</f>
        <v/>
      </c>
      <c r="AB769" s="48">
        <f>IF(OR($M769="",$T769=""),"",$T769+(AB$2*$M769))</f>
        <v/>
      </c>
      <c r="AC769" s="48">
        <f>IF(OR($M769="",$T769=""),"",$T769+(AC$2*$M769))</f>
        <v/>
      </c>
      <c r="AD769" s="48">
        <f>IF(OR($M769="",$T769=""),"",$T769+(AD$2*$M769))</f>
        <v/>
      </c>
      <c r="AE769" s="49">
        <f>IF(OR($M769="",$T769=""),"",$T769+(AE$2*$M769))</f>
        <v/>
      </c>
      <c r="AF769" s="52">
        <f>IF(OR(T769="",I769&lt;T769),"",IFERROR(AVERAGE(T769+M769*{7,8,9,10,11})/IF(G769="",I769,G769)-1,""))</f>
        <v/>
      </c>
      <c r="AG769" s="55">
        <f>IF(OR(T769="",I769&lt;T769),"",IFERROR(AF769/-(R769/IF(G769="",I769,G769)-1),""))</f>
        <v/>
      </c>
      <c r="AH769" s="94" t="n"/>
      <c r="AI769" s="94" t="n"/>
      <c r="AJ769" s="94" t="n"/>
      <c r="AK769" s="94" t="n"/>
      <c r="AL769" s="84" t="n"/>
    </row>
    <row r="770">
      <c r="A770" s="64" t="n"/>
      <c r="B770" s="65" t="n"/>
      <c r="C770" s="66" t="n"/>
      <c r="D770" s="67" t="n"/>
      <c r="E770" s="68" t="n"/>
      <c r="F770" s="47">
        <f>IF(A770="","",IF(MIN(H770,MAX(J770:K770))=0,"",MIN(H770,MAX(J770:K770))))</f>
        <v/>
      </c>
      <c r="G770" s="74" t="n"/>
      <c r="H770" s="49">
        <f>IF(M770="","",IFERROR(ROUND(AVERAGE(T770+M770*{7,8,9,10,11})/1.21,4),""))</f>
        <v/>
      </c>
      <c r="I770" s="76" t="n"/>
      <c r="J770" s="77" t="n"/>
      <c r="K770" s="74" t="n"/>
      <c r="L770" s="78" t="n"/>
      <c r="M770" s="77" t="n"/>
      <c r="N770" s="53">
        <f>IF(M770="","",IFERROR(M770/I770,""))</f>
        <v/>
      </c>
      <c r="O770" s="50">
        <f>IF(A770="","",IFERROR((IF(G770="",I770,G770)-T770)/M770,""))</f>
        <v/>
      </c>
      <c r="P770" s="50">
        <f>IFERROR((I770/T770-1)/N770,"")</f>
        <v/>
      </c>
      <c r="Q770" s="46">
        <f>IF(OR(T770="",I770&lt;T770),"",IFERROR(R770/IF(G770="",I770,G770)-1,""))</f>
        <v/>
      </c>
      <c r="R770" s="48">
        <f>IF($M770="","",MAX(IF($G770="",$I770,$G770)*(1/1.1),IF($G770="",$I770,$G770)+(R$2*$M770)))</f>
        <v/>
      </c>
      <c r="S770" s="49">
        <f>IF($M770="","",MAX(IF($G770="",$I770,$G770)*(1/1.1),IF($G770="",$I770,$G770)+(S$2*$M770)))</f>
        <v/>
      </c>
      <c r="T770" s="82" t="n"/>
      <c r="U770" s="47">
        <f>IF(OR($M770="",$T770=""),"",$T770+(U$2*$M770))</f>
        <v/>
      </c>
      <c r="V770" s="48">
        <f>IF(OR($M770="",$T770=""),"",$T770+(V$2*$M770))</f>
        <v/>
      </c>
      <c r="W770" s="48">
        <f>IF(OR($M770="",$T770=""),"",$T770+(W$2*$M770))</f>
        <v/>
      </c>
      <c r="X770" s="49">
        <f>IF(OR($M770="",$T770=""),"",$T770+(X$2*$M770))</f>
        <v/>
      </c>
      <c r="Y770" s="47">
        <f>IF(OR($M770="",$T770=""),"",$T770+(Y$2*$M770))</f>
        <v/>
      </c>
      <c r="Z770" s="49">
        <f>IF(OR($M770="",$T770=""),"",$T770+(Z$2*$M770))</f>
        <v/>
      </c>
      <c r="AA770" s="51">
        <f>IF(OR($M770="",$T770=""),"",$T770+(AA$2*$M770))</f>
        <v/>
      </c>
      <c r="AB770" s="48">
        <f>IF(OR($M770="",$T770=""),"",$T770+(AB$2*$M770))</f>
        <v/>
      </c>
      <c r="AC770" s="48">
        <f>IF(OR($M770="",$T770=""),"",$T770+(AC$2*$M770))</f>
        <v/>
      </c>
      <c r="AD770" s="48">
        <f>IF(OR($M770="",$T770=""),"",$T770+(AD$2*$M770))</f>
        <v/>
      </c>
      <c r="AE770" s="49">
        <f>IF(OR($M770="",$T770=""),"",$T770+(AE$2*$M770))</f>
        <v/>
      </c>
      <c r="AF770" s="52">
        <f>IF(OR(T770="",I770&lt;T770),"",IFERROR(AVERAGE(T770+M770*{7,8,9,10,11})/IF(G770="",I770,G770)-1,""))</f>
        <v/>
      </c>
      <c r="AG770" s="55">
        <f>IF(OR(T770="",I770&lt;T770),"",IFERROR(AF770/-(R770/IF(G770="",I770,G770)-1),""))</f>
        <v/>
      </c>
      <c r="AH770" s="94" t="n"/>
      <c r="AI770" s="94" t="n"/>
      <c r="AJ770" s="94" t="n"/>
      <c r="AK770" s="94" t="n"/>
      <c r="AL770" s="84" t="n"/>
    </row>
    <row r="771">
      <c r="A771" s="64" t="n"/>
      <c r="B771" s="65" t="n"/>
      <c r="C771" s="66" t="n"/>
      <c r="D771" s="67" t="n"/>
      <c r="E771" s="68" t="n"/>
      <c r="F771" s="47">
        <f>IF(A771="","",IF(MIN(H771,MAX(J771:K771))=0,"",MIN(H771,MAX(J771:K771))))</f>
        <v/>
      </c>
      <c r="G771" s="74" t="n"/>
      <c r="H771" s="49">
        <f>IF(M771="","",IFERROR(ROUND(AVERAGE(T771+M771*{7,8,9,10,11})/1.21,4),""))</f>
        <v/>
      </c>
      <c r="I771" s="76" t="n"/>
      <c r="J771" s="77" t="n"/>
      <c r="K771" s="74" t="n"/>
      <c r="L771" s="78" t="n"/>
      <c r="M771" s="77" t="n"/>
      <c r="N771" s="53">
        <f>IF(M771="","",IFERROR(M771/I771,""))</f>
        <v/>
      </c>
      <c r="O771" s="50">
        <f>IF(A771="","",IFERROR((IF(G771="",I771,G771)-T771)/M771,""))</f>
        <v/>
      </c>
      <c r="P771" s="50">
        <f>IFERROR((I771/T771-1)/N771,"")</f>
        <v/>
      </c>
      <c r="Q771" s="46">
        <f>IF(OR(T771="",I771&lt;T771),"",IFERROR(R771/IF(G771="",I771,G771)-1,""))</f>
        <v/>
      </c>
      <c r="R771" s="48">
        <f>IF($M771="","",MAX(IF($G771="",$I771,$G771)*(1/1.1),IF($G771="",$I771,$G771)+(R$2*$M771)))</f>
        <v/>
      </c>
      <c r="S771" s="49">
        <f>IF($M771="","",MAX(IF($G771="",$I771,$G771)*(1/1.1),IF($G771="",$I771,$G771)+(S$2*$M771)))</f>
        <v/>
      </c>
      <c r="T771" s="82" t="n"/>
      <c r="U771" s="47">
        <f>IF(OR($M771="",$T771=""),"",$T771+(U$2*$M771))</f>
        <v/>
      </c>
      <c r="V771" s="48">
        <f>IF(OR($M771="",$T771=""),"",$T771+(V$2*$M771))</f>
        <v/>
      </c>
      <c r="W771" s="48">
        <f>IF(OR($M771="",$T771=""),"",$T771+(W$2*$M771))</f>
        <v/>
      </c>
      <c r="X771" s="49">
        <f>IF(OR($M771="",$T771=""),"",$T771+(X$2*$M771))</f>
        <v/>
      </c>
      <c r="Y771" s="47">
        <f>IF(OR($M771="",$T771=""),"",$T771+(Y$2*$M771))</f>
        <v/>
      </c>
      <c r="Z771" s="49">
        <f>IF(OR($M771="",$T771=""),"",$T771+(Z$2*$M771))</f>
        <v/>
      </c>
      <c r="AA771" s="51">
        <f>IF(OR($M771="",$T771=""),"",$T771+(AA$2*$M771))</f>
        <v/>
      </c>
      <c r="AB771" s="48">
        <f>IF(OR($M771="",$T771=""),"",$T771+(AB$2*$M771))</f>
        <v/>
      </c>
      <c r="AC771" s="48">
        <f>IF(OR($M771="",$T771=""),"",$T771+(AC$2*$M771))</f>
        <v/>
      </c>
      <c r="AD771" s="48">
        <f>IF(OR($M771="",$T771=""),"",$T771+(AD$2*$M771))</f>
        <v/>
      </c>
      <c r="AE771" s="49">
        <f>IF(OR($M771="",$T771=""),"",$T771+(AE$2*$M771))</f>
        <v/>
      </c>
      <c r="AF771" s="52">
        <f>IF(OR(T771="",I771&lt;T771),"",IFERROR(AVERAGE(T771+M771*{7,8,9,10,11})/IF(G771="",I771,G771)-1,""))</f>
        <v/>
      </c>
      <c r="AG771" s="55">
        <f>IF(OR(T771="",I771&lt;T771),"",IFERROR(AF771/-(R771/IF(G771="",I771,G771)-1),""))</f>
        <v/>
      </c>
      <c r="AH771" s="94" t="n"/>
      <c r="AI771" s="94" t="n"/>
      <c r="AJ771" s="94" t="n"/>
      <c r="AK771" s="94" t="n"/>
      <c r="AL771" s="84" t="n"/>
    </row>
    <row r="772">
      <c r="A772" s="64" t="n"/>
      <c r="B772" s="65" t="n"/>
      <c r="C772" s="66" t="n"/>
      <c r="D772" s="67" t="n"/>
      <c r="E772" s="68" t="n"/>
      <c r="F772" s="47">
        <f>IF(A772="","",IF(MIN(H772,MAX(J772:K772))=0,"",MIN(H772,MAX(J772:K772))))</f>
        <v/>
      </c>
      <c r="G772" s="74" t="n"/>
      <c r="H772" s="49">
        <f>IF(M772="","",IFERROR(ROUND(AVERAGE(T772+M772*{7,8,9,10,11})/1.21,4),""))</f>
        <v/>
      </c>
      <c r="I772" s="76" t="n"/>
      <c r="J772" s="77" t="n"/>
      <c r="K772" s="74" t="n"/>
      <c r="L772" s="78" t="n"/>
      <c r="M772" s="77" t="n"/>
      <c r="N772" s="53">
        <f>IF(M772="","",IFERROR(M772/I772,""))</f>
        <v/>
      </c>
      <c r="O772" s="50">
        <f>IF(A772="","",IFERROR((IF(G772="",I772,G772)-T772)/M772,""))</f>
        <v/>
      </c>
      <c r="P772" s="50">
        <f>IFERROR((I772/T772-1)/N772,"")</f>
        <v/>
      </c>
      <c r="Q772" s="46">
        <f>IF(OR(T772="",I772&lt;T772),"",IFERROR(R772/IF(G772="",I772,G772)-1,""))</f>
        <v/>
      </c>
      <c r="R772" s="48">
        <f>IF($M772="","",MAX(IF($G772="",$I772,$G772)*(1/1.1),IF($G772="",$I772,$G772)+(R$2*$M772)))</f>
        <v/>
      </c>
      <c r="S772" s="49">
        <f>IF($M772="","",MAX(IF($G772="",$I772,$G772)*(1/1.1),IF($G772="",$I772,$G772)+(S$2*$M772)))</f>
        <v/>
      </c>
      <c r="T772" s="82" t="n"/>
      <c r="U772" s="47">
        <f>IF(OR($M772="",$T772=""),"",$T772+(U$2*$M772))</f>
        <v/>
      </c>
      <c r="V772" s="48">
        <f>IF(OR($M772="",$T772=""),"",$T772+(V$2*$M772))</f>
        <v/>
      </c>
      <c r="W772" s="48">
        <f>IF(OR($M772="",$T772=""),"",$T772+(W$2*$M772))</f>
        <v/>
      </c>
      <c r="X772" s="49">
        <f>IF(OR($M772="",$T772=""),"",$T772+(X$2*$M772))</f>
        <v/>
      </c>
      <c r="Y772" s="47">
        <f>IF(OR($M772="",$T772=""),"",$T772+(Y$2*$M772))</f>
        <v/>
      </c>
      <c r="Z772" s="49">
        <f>IF(OR($M772="",$T772=""),"",$T772+(Z$2*$M772))</f>
        <v/>
      </c>
      <c r="AA772" s="51">
        <f>IF(OR($M772="",$T772=""),"",$T772+(AA$2*$M772))</f>
        <v/>
      </c>
      <c r="AB772" s="48">
        <f>IF(OR($M772="",$T772=""),"",$T772+(AB$2*$M772))</f>
        <v/>
      </c>
      <c r="AC772" s="48">
        <f>IF(OR($M772="",$T772=""),"",$T772+(AC$2*$M772))</f>
        <v/>
      </c>
      <c r="AD772" s="48">
        <f>IF(OR($M772="",$T772=""),"",$T772+(AD$2*$M772))</f>
        <v/>
      </c>
      <c r="AE772" s="49">
        <f>IF(OR($M772="",$T772=""),"",$T772+(AE$2*$M772))</f>
        <v/>
      </c>
      <c r="AF772" s="52">
        <f>IF(OR(T772="",I772&lt;T772),"",IFERROR(AVERAGE(T772+M772*{7,8,9,10,11})/IF(G772="",I772,G772)-1,""))</f>
        <v/>
      </c>
      <c r="AG772" s="55">
        <f>IF(OR(T772="",I772&lt;T772),"",IFERROR(AF772/-(R772/IF(G772="",I772,G772)-1),""))</f>
        <v/>
      </c>
      <c r="AH772" s="94" t="n"/>
      <c r="AI772" s="94" t="n"/>
      <c r="AJ772" s="94" t="n"/>
      <c r="AK772" s="94" t="n"/>
      <c r="AL772" s="84" t="n"/>
    </row>
    <row r="773">
      <c r="A773" s="64" t="n"/>
      <c r="B773" s="65" t="n"/>
      <c r="C773" s="66" t="n"/>
      <c r="D773" s="67" t="n"/>
      <c r="E773" s="68" t="n"/>
      <c r="F773" s="47">
        <f>IF(A773="","",IF(MIN(H773,MAX(J773:K773))=0,"",MIN(H773,MAX(J773:K773))))</f>
        <v/>
      </c>
      <c r="G773" s="74" t="n"/>
      <c r="H773" s="49">
        <f>IF(M773="","",IFERROR(ROUND(AVERAGE(T773+M773*{7,8,9,10,11})/1.21,4),""))</f>
        <v/>
      </c>
      <c r="I773" s="76" t="n"/>
      <c r="J773" s="77" t="n"/>
      <c r="K773" s="74" t="n"/>
      <c r="L773" s="78" t="n"/>
      <c r="M773" s="77" t="n"/>
      <c r="N773" s="53">
        <f>IF(M773="","",IFERROR(M773/I773,""))</f>
        <v/>
      </c>
      <c r="O773" s="50">
        <f>IF(A773="","",IFERROR((IF(G773="",I773,G773)-T773)/M773,""))</f>
        <v/>
      </c>
      <c r="P773" s="50">
        <f>IFERROR((I773/T773-1)/N773,"")</f>
        <v/>
      </c>
      <c r="Q773" s="46">
        <f>IF(OR(T773="",I773&lt;T773),"",IFERROR(R773/IF(G773="",I773,G773)-1,""))</f>
        <v/>
      </c>
      <c r="R773" s="48">
        <f>IF($M773="","",MAX(IF($G773="",$I773,$G773)*(1/1.1),IF($G773="",$I773,$G773)+(R$2*$M773)))</f>
        <v/>
      </c>
      <c r="S773" s="49">
        <f>IF($M773="","",MAX(IF($G773="",$I773,$G773)*(1/1.1),IF($G773="",$I773,$G773)+(S$2*$M773)))</f>
        <v/>
      </c>
      <c r="T773" s="82" t="n"/>
      <c r="U773" s="47">
        <f>IF(OR($M773="",$T773=""),"",$T773+(U$2*$M773))</f>
        <v/>
      </c>
      <c r="V773" s="48">
        <f>IF(OR($M773="",$T773=""),"",$T773+(V$2*$M773))</f>
        <v/>
      </c>
      <c r="W773" s="48">
        <f>IF(OR($M773="",$T773=""),"",$T773+(W$2*$M773))</f>
        <v/>
      </c>
      <c r="X773" s="49">
        <f>IF(OR($M773="",$T773=""),"",$T773+(X$2*$M773))</f>
        <v/>
      </c>
      <c r="Y773" s="47">
        <f>IF(OR($M773="",$T773=""),"",$T773+(Y$2*$M773))</f>
        <v/>
      </c>
      <c r="Z773" s="49">
        <f>IF(OR($M773="",$T773=""),"",$T773+(Z$2*$M773))</f>
        <v/>
      </c>
      <c r="AA773" s="51">
        <f>IF(OR($M773="",$T773=""),"",$T773+(AA$2*$M773))</f>
        <v/>
      </c>
      <c r="AB773" s="48">
        <f>IF(OR($M773="",$T773=""),"",$T773+(AB$2*$M773))</f>
        <v/>
      </c>
      <c r="AC773" s="48">
        <f>IF(OR($M773="",$T773=""),"",$T773+(AC$2*$M773))</f>
        <v/>
      </c>
      <c r="AD773" s="48">
        <f>IF(OR($M773="",$T773=""),"",$T773+(AD$2*$M773))</f>
        <v/>
      </c>
      <c r="AE773" s="49">
        <f>IF(OR($M773="",$T773=""),"",$T773+(AE$2*$M773))</f>
        <v/>
      </c>
      <c r="AF773" s="52">
        <f>IF(OR(T773="",I773&lt;T773),"",IFERROR(AVERAGE(T773+M773*{7,8,9,10,11})/IF(G773="",I773,G773)-1,""))</f>
        <v/>
      </c>
      <c r="AG773" s="55">
        <f>IF(OR(T773="",I773&lt;T773),"",IFERROR(AF773/-(R773/IF(G773="",I773,G773)-1),""))</f>
        <v/>
      </c>
      <c r="AH773" s="94" t="n"/>
      <c r="AI773" s="94" t="n"/>
      <c r="AJ773" s="94" t="n"/>
      <c r="AK773" s="94" t="n"/>
      <c r="AL773" s="84" t="n"/>
    </row>
    <row r="774">
      <c r="A774" s="64" t="n"/>
      <c r="B774" s="65" t="n"/>
      <c r="C774" s="66" t="n"/>
      <c r="D774" s="67" t="n"/>
      <c r="E774" s="68" t="n"/>
      <c r="F774" s="47">
        <f>IF(A774="","",IF(MIN(H774,MAX(J774:K774))=0,"",MIN(H774,MAX(J774:K774))))</f>
        <v/>
      </c>
      <c r="G774" s="74" t="n"/>
      <c r="H774" s="49">
        <f>IF(M774="","",IFERROR(ROUND(AVERAGE(T774+M774*{7,8,9,10,11})/1.21,4),""))</f>
        <v/>
      </c>
      <c r="I774" s="76" t="n"/>
      <c r="J774" s="77" t="n"/>
      <c r="K774" s="74" t="n"/>
      <c r="L774" s="78" t="n"/>
      <c r="M774" s="77" t="n"/>
      <c r="N774" s="53">
        <f>IF(M774="","",IFERROR(M774/I774,""))</f>
        <v/>
      </c>
      <c r="O774" s="50">
        <f>IF(A774="","",IFERROR((IF(G774="",I774,G774)-T774)/M774,""))</f>
        <v/>
      </c>
      <c r="P774" s="50">
        <f>IFERROR((I774/T774-1)/N774,"")</f>
        <v/>
      </c>
      <c r="Q774" s="46">
        <f>IF(OR(T774="",I774&lt;T774),"",IFERROR(R774/IF(G774="",I774,G774)-1,""))</f>
        <v/>
      </c>
      <c r="R774" s="48">
        <f>IF($M774="","",MAX(IF($G774="",$I774,$G774)*(1/1.1),IF($G774="",$I774,$G774)+(R$2*$M774)))</f>
        <v/>
      </c>
      <c r="S774" s="49">
        <f>IF($M774="","",MAX(IF($G774="",$I774,$G774)*(1/1.1),IF($G774="",$I774,$G774)+(S$2*$M774)))</f>
        <v/>
      </c>
      <c r="T774" s="82" t="n"/>
      <c r="U774" s="47">
        <f>IF(OR($M774="",$T774=""),"",$T774+(U$2*$M774))</f>
        <v/>
      </c>
      <c r="V774" s="48">
        <f>IF(OR($M774="",$T774=""),"",$T774+(V$2*$M774))</f>
        <v/>
      </c>
      <c r="W774" s="48">
        <f>IF(OR($M774="",$T774=""),"",$T774+(W$2*$M774))</f>
        <v/>
      </c>
      <c r="X774" s="49">
        <f>IF(OR($M774="",$T774=""),"",$T774+(X$2*$M774))</f>
        <v/>
      </c>
      <c r="Y774" s="47">
        <f>IF(OR($M774="",$T774=""),"",$T774+(Y$2*$M774))</f>
        <v/>
      </c>
      <c r="Z774" s="49">
        <f>IF(OR($M774="",$T774=""),"",$T774+(Z$2*$M774))</f>
        <v/>
      </c>
      <c r="AA774" s="51">
        <f>IF(OR($M774="",$T774=""),"",$T774+(AA$2*$M774))</f>
        <v/>
      </c>
      <c r="AB774" s="48">
        <f>IF(OR($M774="",$T774=""),"",$T774+(AB$2*$M774))</f>
        <v/>
      </c>
      <c r="AC774" s="48">
        <f>IF(OR($M774="",$T774=""),"",$T774+(AC$2*$M774))</f>
        <v/>
      </c>
      <c r="AD774" s="48">
        <f>IF(OR($M774="",$T774=""),"",$T774+(AD$2*$M774))</f>
        <v/>
      </c>
      <c r="AE774" s="49">
        <f>IF(OR($M774="",$T774=""),"",$T774+(AE$2*$M774))</f>
        <v/>
      </c>
      <c r="AF774" s="52">
        <f>IF(OR(T774="",I774&lt;T774),"",IFERROR(AVERAGE(T774+M774*{7,8,9,10,11})/IF(G774="",I774,G774)-1,""))</f>
        <v/>
      </c>
      <c r="AG774" s="55">
        <f>IF(OR(T774="",I774&lt;T774),"",IFERROR(AF774/-(R774/IF(G774="",I774,G774)-1),""))</f>
        <v/>
      </c>
      <c r="AH774" s="94" t="n"/>
      <c r="AI774" s="94" t="n"/>
      <c r="AJ774" s="94" t="n"/>
      <c r="AK774" s="94" t="n"/>
      <c r="AL774" s="84" t="n"/>
    </row>
    <row r="775">
      <c r="A775" s="64" t="n"/>
      <c r="B775" s="65" t="n"/>
      <c r="C775" s="66" t="n"/>
      <c r="D775" s="67" t="n"/>
      <c r="E775" s="68" t="n"/>
      <c r="F775" s="47">
        <f>IF(A775="","",IF(MIN(H775,MAX(J775:K775))=0,"",MIN(H775,MAX(J775:K775))))</f>
        <v/>
      </c>
      <c r="G775" s="74" t="n"/>
      <c r="H775" s="49">
        <f>IF(M775="","",IFERROR(ROUND(AVERAGE(T775+M775*{7,8,9,10,11})/1.21,4),""))</f>
        <v/>
      </c>
      <c r="I775" s="76" t="n"/>
      <c r="J775" s="77" t="n"/>
      <c r="K775" s="74" t="n"/>
      <c r="L775" s="78" t="n"/>
      <c r="M775" s="77" t="n"/>
      <c r="N775" s="53">
        <f>IF(M775="","",IFERROR(M775/I775,""))</f>
        <v/>
      </c>
      <c r="O775" s="50">
        <f>IF(A775="","",IFERROR((IF(G775="",I775,G775)-T775)/M775,""))</f>
        <v/>
      </c>
      <c r="P775" s="50">
        <f>IFERROR((I775/T775-1)/N775,"")</f>
        <v/>
      </c>
      <c r="Q775" s="46">
        <f>IF(OR(T775="",I775&lt;T775),"",IFERROR(R775/IF(G775="",I775,G775)-1,""))</f>
        <v/>
      </c>
      <c r="R775" s="48">
        <f>IF($M775="","",MAX(IF($G775="",$I775,$G775)*(1/1.1),IF($G775="",$I775,$G775)+(R$2*$M775)))</f>
        <v/>
      </c>
      <c r="S775" s="49">
        <f>IF($M775="","",MAX(IF($G775="",$I775,$G775)*(1/1.1),IF($G775="",$I775,$G775)+(S$2*$M775)))</f>
        <v/>
      </c>
      <c r="T775" s="82" t="n"/>
      <c r="U775" s="47">
        <f>IF(OR($M775="",$T775=""),"",$T775+(U$2*$M775))</f>
        <v/>
      </c>
      <c r="V775" s="48">
        <f>IF(OR($M775="",$T775=""),"",$T775+(V$2*$M775))</f>
        <v/>
      </c>
      <c r="W775" s="48">
        <f>IF(OR($M775="",$T775=""),"",$T775+(W$2*$M775))</f>
        <v/>
      </c>
      <c r="X775" s="49">
        <f>IF(OR($M775="",$T775=""),"",$T775+(X$2*$M775))</f>
        <v/>
      </c>
      <c r="Y775" s="47">
        <f>IF(OR($M775="",$T775=""),"",$T775+(Y$2*$M775))</f>
        <v/>
      </c>
      <c r="Z775" s="49">
        <f>IF(OR($M775="",$T775=""),"",$T775+(Z$2*$M775))</f>
        <v/>
      </c>
      <c r="AA775" s="51">
        <f>IF(OR($M775="",$T775=""),"",$T775+(AA$2*$M775))</f>
        <v/>
      </c>
      <c r="AB775" s="48">
        <f>IF(OR($M775="",$T775=""),"",$T775+(AB$2*$M775))</f>
        <v/>
      </c>
      <c r="AC775" s="48">
        <f>IF(OR($M775="",$T775=""),"",$T775+(AC$2*$M775))</f>
        <v/>
      </c>
      <c r="AD775" s="48">
        <f>IF(OR($M775="",$T775=""),"",$T775+(AD$2*$M775))</f>
        <v/>
      </c>
      <c r="AE775" s="49">
        <f>IF(OR($M775="",$T775=""),"",$T775+(AE$2*$M775))</f>
        <v/>
      </c>
      <c r="AF775" s="52">
        <f>IF(OR(T775="",I775&lt;T775),"",IFERROR(AVERAGE(T775+M775*{7,8,9,10,11})/IF(G775="",I775,G775)-1,""))</f>
        <v/>
      </c>
      <c r="AG775" s="55">
        <f>IF(OR(T775="",I775&lt;T775),"",IFERROR(AF775/-(R775/IF(G775="",I775,G775)-1),""))</f>
        <v/>
      </c>
      <c r="AH775" s="94" t="n"/>
      <c r="AI775" s="94" t="n"/>
      <c r="AJ775" s="94" t="n"/>
      <c r="AK775" s="94" t="n"/>
      <c r="AL775" s="84" t="n"/>
    </row>
    <row r="776">
      <c r="A776" s="64" t="n"/>
      <c r="B776" s="65" t="n"/>
      <c r="C776" s="66" t="n"/>
      <c r="D776" s="67" t="n"/>
      <c r="E776" s="68" t="n"/>
      <c r="F776" s="47">
        <f>IF(A776="","",IF(MIN(H776,MAX(J776:K776))=0,"",MIN(H776,MAX(J776:K776))))</f>
        <v/>
      </c>
      <c r="G776" s="74" t="n"/>
      <c r="H776" s="49">
        <f>IF(M776="","",IFERROR(ROUND(AVERAGE(T776+M776*{7,8,9,10,11})/1.21,4),""))</f>
        <v/>
      </c>
      <c r="I776" s="76" t="n"/>
      <c r="J776" s="77" t="n"/>
      <c r="K776" s="74" t="n"/>
      <c r="L776" s="78" t="n"/>
      <c r="M776" s="77" t="n"/>
      <c r="N776" s="53">
        <f>IF(M776="","",IFERROR(M776/I776,""))</f>
        <v/>
      </c>
      <c r="O776" s="50">
        <f>IF(A776="","",IFERROR((IF(G776="",I776,G776)-T776)/M776,""))</f>
        <v/>
      </c>
      <c r="P776" s="50">
        <f>IFERROR((I776/T776-1)/N776,"")</f>
        <v/>
      </c>
      <c r="Q776" s="46">
        <f>IF(OR(T776="",I776&lt;T776),"",IFERROR(R776/IF(G776="",I776,G776)-1,""))</f>
        <v/>
      </c>
      <c r="R776" s="48">
        <f>IF($M776="","",MAX(IF($G776="",$I776,$G776)*(1/1.1),IF($G776="",$I776,$G776)+(R$2*$M776)))</f>
        <v/>
      </c>
      <c r="S776" s="49">
        <f>IF($M776="","",MAX(IF($G776="",$I776,$G776)*(1/1.1),IF($G776="",$I776,$G776)+(S$2*$M776)))</f>
        <v/>
      </c>
      <c r="T776" s="82" t="n"/>
      <c r="U776" s="47">
        <f>IF(OR($M776="",$T776=""),"",$T776+(U$2*$M776))</f>
        <v/>
      </c>
      <c r="V776" s="48">
        <f>IF(OR($M776="",$T776=""),"",$T776+(V$2*$M776))</f>
        <v/>
      </c>
      <c r="W776" s="48">
        <f>IF(OR($M776="",$T776=""),"",$T776+(W$2*$M776))</f>
        <v/>
      </c>
      <c r="X776" s="49">
        <f>IF(OR($M776="",$T776=""),"",$T776+(X$2*$M776))</f>
        <v/>
      </c>
      <c r="Y776" s="47">
        <f>IF(OR($M776="",$T776=""),"",$T776+(Y$2*$M776))</f>
        <v/>
      </c>
      <c r="Z776" s="49">
        <f>IF(OR($M776="",$T776=""),"",$T776+(Z$2*$M776))</f>
        <v/>
      </c>
      <c r="AA776" s="51">
        <f>IF(OR($M776="",$T776=""),"",$T776+(AA$2*$M776))</f>
        <v/>
      </c>
      <c r="AB776" s="48">
        <f>IF(OR($M776="",$T776=""),"",$T776+(AB$2*$M776))</f>
        <v/>
      </c>
      <c r="AC776" s="48">
        <f>IF(OR($M776="",$T776=""),"",$T776+(AC$2*$M776))</f>
        <v/>
      </c>
      <c r="AD776" s="48">
        <f>IF(OR($M776="",$T776=""),"",$T776+(AD$2*$M776))</f>
        <v/>
      </c>
      <c r="AE776" s="49">
        <f>IF(OR($M776="",$T776=""),"",$T776+(AE$2*$M776))</f>
        <v/>
      </c>
      <c r="AF776" s="52">
        <f>IF(OR(T776="",I776&lt;T776),"",IFERROR(AVERAGE(T776+M776*{7,8,9,10,11})/IF(G776="",I776,G776)-1,""))</f>
        <v/>
      </c>
      <c r="AG776" s="55">
        <f>IF(OR(T776="",I776&lt;T776),"",IFERROR(AF776/-(R776/IF(G776="",I776,G776)-1),""))</f>
        <v/>
      </c>
      <c r="AH776" s="94" t="n"/>
      <c r="AI776" s="94" t="n"/>
      <c r="AJ776" s="94" t="n"/>
      <c r="AK776" s="94" t="n"/>
      <c r="AL776" s="84" t="n"/>
    </row>
    <row r="777">
      <c r="A777" s="64" t="n"/>
      <c r="B777" s="65" t="n"/>
      <c r="C777" s="66" t="n"/>
      <c r="D777" s="67" t="n"/>
      <c r="E777" s="68" t="n"/>
      <c r="F777" s="47">
        <f>IF(A777="","",IF(MIN(H777,MAX(J777:K777))=0,"",MIN(H777,MAX(J777:K777))))</f>
        <v/>
      </c>
      <c r="G777" s="74" t="n"/>
      <c r="H777" s="49">
        <f>IF(M777="","",IFERROR(ROUND(AVERAGE(T777+M777*{7,8,9,10,11})/1.21,4),""))</f>
        <v/>
      </c>
      <c r="I777" s="76" t="n"/>
      <c r="J777" s="77" t="n"/>
      <c r="K777" s="74" t="n"/>
      <c r="L777" s="78" t="n"/>
      <c r="M777" s="77" t="n"/>
      <c r="N777" s="53">
        <f>IF(M777="","",IFERROR(M777/I777,""))</f>
        <v/>
      </c>
      <c r="O777" s="50">
        <f>IF(A777="","",IFERROR((IF(G777="",I777,G777)-T777)/M777,""))</f>
        <v/>
      </c>
      <c r="P777" s="50">
        <f>IFERROR((I777/T777-1)/N777,"")</f>
        <v/>
      </c>
      <c r="Q777" s="46">
        <f>IF(OR(T777="",I777&lt;T777),"",IFERROR(R777/IF(G777="",I777,G777)-1,""))</f>
        <v/>
      </c>
      <c r="R777" s="48">
        <f>IF($M777="","",MAX(IF($G777="",$I777,$G777)*(1/1.1),IF($G777="",$I777,$G777)+(R$2*$M777)))</f>
        <v/>
      </c>
      <c r="S777" s="49">
        <f>IF($M777="","",MAX(IF($G777="",$I777,$G777)*(1/1.1),IF($G777="",$I777,$G777)+(S$2*$M777)))</f>
        <v/>
      </c>
      <c r="T777" s="82" t="n"/>
      <c r="U777" s="47">
        <f>IF(OR($M777="",$T777=""),"",$T777+(U$2*$M777))</f>
        <v/>
      </c>
      <c r="V777" s="48">
        <f>IF(OR($M777="",$T777=""),"",$T777+(V$2*$M777))</f>
        <v/>
      </c>
      <c r="W777" s="48">
        <f>IF(OR($M777="",$T777=""),"",$T777+(W$2*$M777))</f>
        <v/>
      </c>
      <c r="X777" s="49">
        <f>IF(OR($M777="",$T777=""),"",$T777+(X$2*$M777))</f>
        <v/>
      </c>
      <c r="Y777" s="47">
        <f>IF(OR($M777="",$T777=""),"",$T777+(Y$2*$M777))</f>
        <v/>
      </c>
      <c r="Z777" s="49">
        <f>IF(OR($M777="",$T777=""),"",$T777+(Z$2*$M777))</f>
        <v/>
      </c>
      <c r="AA777" s="51">
        <f>IF(OR($M777="",$T777=""),"",$T777+(AA$2*$M777))</f>
        <v/>
      </c>
      <c r="AB777" s="48">
        <f>IF(OR($M777="",$T777=""),"",$T777+(AB$2*$M777))</f>
        <v/>
      </c>
      <c r="AC777" s="48">
        <f>IF(OR($M777="",$T777=""),"",$T777+(AC$2*$M777))</f>
        <v/>
      </c>
      <c r="AD777" s="48">
        <f>IF(OR($M777="",$T777=""),"",$T777+(AD$2*$M777))</f>
        <v/>
      </c>
      <c r="AE777" s="49">
        <f>IF(OR($M777="",$T777=""),"",$T777+(AE$2*$M777))</f>
        <v/>
      </c>
      <c r="AF777" s="52">
        <f>IF(OR(T777="",I777&lt;T777),"",IFERROR(AVERAGE(T777+M777*{7,8,9,10,11})/IF(G777="",I777,G777)-1,""))</f>
        <v/>
      </c>
      <c r="AG777" s="55">
        <f>IF(OR(T777="",I777&lt;T777),"",IFERROR(AF777/-(R777/IF(G777="",I777,G777)-1),""))</f>
        <v/>
      </c>
      <c r="AH777" s="94" t="n"/>
      <c r="AI777" s="94" t="n"/>
      <c r="AJ777" s="94" t="n"/>
      <c r="AK777" s="94" t="n"/>
      <c r="AL777" s="84" t="n"/>
    </row>
    <row r="778">
      <c r="A778" s="64" t="n"/>
      <c r="B778" s="65" t="n"/>
      <c r="C778" s="66" t="n"/>
      <c r="D778" s="67" t="n"/>
      <c r="E778" s="68" t="n"/>
      <c r="F778" s="47">
        <f>IF(A778="","",IF(MIN(H778,MAX(J778:K778))=0,"",MIN(H778,MAX(J778:K778))))</f>
        <v/>
      </c>
      <c r="G778" s="74" t="n"/>
      <c r="H778" s="49">
        <f>IF(M778="","",IFERROR(ROUND(AVERAGE(T778+M778*{7,8,9,10,11})/1.21,4),""))</f>
        <v/>
      </c>
      <c r="I778" s="76" t="n"/>
      <c r="J778" s="77" t="n"/>
      <c r="K778" s="74" t="n"/>
      <c r="L778" s="78" t="n"/>
      <c r="M778" s="77" t="n"/>
      <c r="N778" s="53">
        <f>IF(M778="","",IFERROR(M778/I778,""))</f>
        <v/>
      </c>
      <c r="O778" s="50">
        <f>IF(A778="","",IFERROR((IF(G778="",I778,G778)-T778)/M778,""))</f>
        <v/>
      </c>
      <c r="P778" s="50">
        <f>IFERROR((I778/T778-1)/N778,"")</f>
        <v/>
      </c>
      <c r="Q778" s="46">
        <f>IF(OR(T778="",I778&lt;T778),"",IFERROR(R778/IF(G778="",I778,G778)-1,""))</f>
        <v/>
      </c>
      <c r="R778" s="48">
        <f>IF($M778="","",MAX(IF($G778="",$I778,$G778)*(1/1.1),IF($G778="",$I778,$G778)+(R$2*$M778)))</f>
        <v/>
      </c>
      <c r="S778" s="49">
        <f>IF($M778="","",MAX(IF($G778="",$I778,$G778)*(1/1.1),IF($G778="",$I778,$G778)+(S$2*$M778)))</f>
        <v/>
      </c>
      <c r="T778" s="82" t="n"/>
      <c r="U778" s="47">
        <f>IF(OR($M778="",$T778=""),"",$T778+(U$2*$M778))</f>
        <v/>
      </c>
      <c r="V778" s="48">
        <f>IF(OR($M778="",$T778=""),"",$T778+(V$2*$M778))</f>
        <v/>
      </c>
      <c r="W778" s="48">
        <f>IF(OR($M778="",$T778=""),"",$T778+(W$2*$M778))</f>
        <v/>
      </c>
      <c r="X778" s="49">
        <f>IF(OR($M778="",$T778=""),"",$T778+(X$2*$M778))</f>
        <v/>
      </c>
      <c r="Y778" s="47">
        <f>IF(OR($M778="",$T778=""),"",$T778+(Y$2*$M778))</f>
        <v/>
      </c>
      <c r="Z778" s="49">
        <f>IF(OR($M778="",$T778=""),"",$T778+(Z$2*$M778))</f>
        <v/>
      </c>
      <c r="AA778" s="51">
        <f>IF(OR($M778="",$T778=""),"",$T778+(AA$2*$M778))</f>
        <v/>
      </c>
      <c r="AB778" s="48">
        <f>IF(OR($M778="",$T778=""),"",$T778+(AB$2*$M778))</f>
        <v/>
      </c>
      <c r="AC778" s="48">
        <f>IF(OR($M778="",$T778=""),"",$T778+(AC$2*$M778))</f>
        <v/>
      </c>
      <c r="AD778" s="48">
        <f>IF(OR($M778="",$T778=""),"",$T778+(AD$2*$M778))</f>
        <v/>
      </c>
      <c r="AE778" s="49">
        <f>IF(OR($M778="",$T778=""),"",$T778+(AE$2*$M778))</f>
        <v/>
      </c>
      <c r="AF778" s="52">
        <f>IF(OR(T778="",I778&lt;T778),"",IFERROR(AVERAGE(T778+M778*{7,8,9,10,11})/IF(G778="",I778,G778)-1,""))</f>
        <v/>
      </c>
      <c r="AG778" s="55">
        <f>IF(OR(T778="",I778&lt;T778),"",IFERROR(AF778/-(R778/IF(G778="",I778,G778)-1),""))</f>
        <v/>
      </c>
      <c r="AH778" s="94" t="n"/>
      <c r="AI778" s="94" t="n"/>
      <c r="AJ778" s="94" t="n"/>
      <c r="AK778" s="94" t="n"/>
      <c r="AL778" s="84" t="n"/>
    </row>
    <row r="779">
      <c r="A779" s="64" t="n"/>
      <c r="B779" s="65" t="n"/>
      <c r="C779" s="66" t="n"/>
      <c r="D779" s="67" t="n"/>
      <c r="E779" s="68" t="n"/>
      <c r="F779" s="47">
        <f>IF(A779="","",IF(MIN(H779,MAX(J779:K779))=0,"",MIN(H779,MAX(J779:K779))))</f>
        <v/>
      </c>
      <c r="G779" s="74" t="n"/>
      <c r="H779" s="49">
        <f>IF(M779="","",IFERROR(ROUND(AVERAGE(T779+M779*{7,8,9,10,11})/1.21,4),""))</f>
        <v/>
      </c>
      <c r="I779" s="76" t="n"/>
      <c r="J779" s="77" t="n"/>
      <c r="K779" s="74" t="n"/>
      <c r="L779" s="78" t="n"/>
      <c r="M779" s="77" t="n"/>
      <c r="N779" s="53">
        <f>IF(M779="","",IFERROR(M779/I779,""))</f>
        <v/>
      </c>
      <c r="O779" s="50">
        <f>IF(A779="","",IFERROR((IF(G779="",I779,G779)-T779)/M779,""))</f>
        <v/>
      </c>
      <c r="P779" s="50">
        <f>IFERROR((I779/T779-1)/N779,"")</f>
        <v/>
      </c>
      <c r="Q779" s="46">
        <f>IF(OR(T779="",I779&lt;T779),"",IFERROR(R779/IF(G779="",I779,G779)-1,""))</f>
        <v/>
      </c>
      <c r="R779" s="48">
        <f>IF($M779="","",MAX(IF($G779="",$I779,$G779)*(1/1.1),IF($G779="",$I779,$G779)+(R$2*$M779)))</f>
        <v/>
      </c>
      <c r="S779" s="49">
        <f>IF($M779="","",MAX(IF($G779="",$I779,$G779)*(1/1.1),IF($G779="",$I779,$G779)+(S$2*$M779)))</f>
        <v/>
      </c>
      <c r="T779" s="82" t="n"/>
      <c r="U779" s="47">
        <f>IF(OR($M779="",$T779=""),"",$T779+(U$2*$M779))</f>
        <v/>
      </c>
      <c r="V779" s="48">
        <f>IF(OR($M779="",$T779=""),"",$T779+(V$2*$M779))</f>
        <v/>
      </c>
      <c r="W779" s="48">
        <f>IF(OR($M779="",$T779=""),"",$T779+(W$2*$M779))</f>
        <v/>
      </c>
      <c r="X779" s="49">
        <f>IF(OR($M779="",$T779=""),"",$T779+(X$2*$M779))</f>
        <v/>
      </c>
      <c r="Y779" s="47">
        <f>IF(OR($M779="",$T779=""),"",$T779+(Y$2*$M779))</f>
        <v/>
      </c>
      <c r="Z779" s="49">
        <f>IF(OR($M779="",$T779=""),"",$T779+(Z$2*$M779))</f>
        <v/>
      </c>
      <c r="AA779" s="51">
        <f>IF(OR($M779="",$T779=""),"",$T779+(AA$2*$M779))</f>
        <v/>
      </c>
      <c r="AB779" s="48">
        <f>IF(OR($M779="",$T779=""),"",$T779+(AB$2*$M779))</f>
        <v/>
      </c>
      <c r="AC779" s="48">
        <f>IF(OR($M779="",$T779=""),"",$T779+(AC$2*$M779))</f>
        <v/>
      </c>
      <c r="AD779" s="48">
        <f>IF(OR($M779="",$T779=""),"",$T779+(AD$2*$M779))</f>
        <v/>
      </c>
      <c r="AE779" s="49">
        <f>IF(OR($M779="",$T779=""),"",$T779+(AE$2*$M779))</f>
        <v/>
      </c>
      <c r="AF779" s="52">
        <f>IF(OR(T779="",I779&lt;T779),"",IFERROR(AVERAGE(T779+M779*{7,8,9,10,11})/IF(G779="",I779,G779)-1,""))</f>
        <v/>
      </c>
      <c r="AG779" s="55">
        <f>IF(OR(T779="",I779&lt;T779),"",IFERROR(AF779/-(R779/IF(G779="",I779,G779)-1),""))</f>
        <v/>
      </c>
      <c r="AH779" s="94" t="n"/>
      <c r="AI779" s="94" t="n"/>
      <c r="AJ779" s="94" t="n"/>
      <c r="AK779" s="94" t="n"/>
      <c r="AL779" s="84" t="n"/>
    </row>
    <row r="780">
      <c r="A780" s="64" t="n"/>
      <c r="B780" s="65" t="n"/>
      <c r="C780" s="66" t="n"/>
      <c r="D780" s="67" t="n"/>
      <c r="E780" s="68" t="n"/>
      <c r="F780" s="47">
        <f>IF(A780="","",IF(MIN(H780,MAX(J780:K780))=0,"",MIN(H780,MAX(J780:K780))))</f>
        <v/>
      </c>
      <c r="G780" s="74" t="n"/>
      <c r="H780" s="49">
        <f>IF(M780="","",IFERROR(ROUND(AVERAGE(T780+M780*{7,8,9,10,11})/1.21,4),""))</f>
        <v/>
      </c>
      <c r="I780" s="76" t="n"/>
      <c r="J780" s="77" t="n"/>
      <c r="K780" s="74" t="n"/>
      <c r="L780" s="78" t="n"/>
      <c r="M780" s="77" t="n"/>
      <c r="N780" s="53">
        <f>IF(M780="","",IFERROR(M780/I780,""))</f>
        <v/>
      </c>
      <c r="O780" s="50">
        <f>IF(A780="","",IFERROR((IF(G780="",I780,G780)-T780)/M780,""))</f>
        <v/>
      </c>
      <c r="P780" s="50">
        <f>IFERROR((I780/T780-1)/N780,"")</f>
        <v/>
      </c>
      <c r="Q780" s="46">
        <f>IF(OR(T780="",I780&lt;T780),"",IFERROR(R780/IF(G780="",I780,G780)-1,""))</f>
        <v/>
      </c>
      <c r="R780" s="48">
        <f>IF($M780="","",MAX(IF($G780="",$I780,$G780)*(1/1.1),IF($G780="",$I780,$G780)+(R$2*$M780)))</f>
        <v/>
      </c>
      <c r="S780" s="49">
        <f>IF($M780="","",MAX(IF($G780="",$I780,$G780)*(1/1.1),IF($G780="",$I780,$G780)+(S$2*$M780)))</f>
        <v/>
      </c>
      <c r="T780" s="82" t="n"/>
      <c r="U780" s="47">
        <f>IF(OR($M780="",$T780=""),"",$T780+(U$2*$M780))</f>
        <v/>
      </c>
      <c r="V780" s="48">
        <f>IF(OR($M780="",$T780=""),"",$T780+(V$2*$M780))</f>
        <v/>
      </c>
      <c r="W780" s="48">
        <f>IF(OR($M780="",$T780=""),"",$T780+(W$2*$M780))</f>
        <v/>
      </c>
      <c r="X780" s="49">
        <f>IF(OR($M780="",$T780=""),"",$T780+(X$2*$M780))</f>
        <v/>
      </c>
      <c r="Y780" s="47">
        <f>IF(OR($M780="",$T780=""),"",$T780+(Y$2*$M780))</f>
        <v/>
      </c>
      <c r="Z780" s="49">
        <f>IF(OR($M780="",$T780=""),"",$T780+(Z$2*$M780))</f>
        <v/>
      </c>
      <c r="AA780" s="51">
        <f>IF(OR($M780="",$T780=""),"",$T780+(AA$2*$M780))</f>
        <v/>
      </c>
      <c r="AB780" s="48">
        <f>IF(OR($M780="",$T780=""),"",$T780+(AB$2*$M780))</f>
        <v/>
      </c>
      <c r="AC780" s="48">
        <f>IF(OR($M780="",$T780=""),"",$T780+(AC$2*$M780))</f>
        <v/>
      </c>
      <c r="AD780" s="48">
        <f>IF(OR($M780="",$T780=""),"",$T780+(AD$2*$M780))</f>
        <v/>
      </c>
      <c r="AE780" s="49">
        <f>IF(OR($M780="",$T780=""),"",$T780+(AE$2*$M780))</f>
        <v/>
      </c>
      <c r="AF780" s="52">
        <f>IF(OR(T780="",I780&lt;T780),"",IFERROR(AVERAGE(T780+M780*{7,8,9,10,11})/IF(G780="",I780,G780)-1,""))</f>
        <v/>
      </c>
      <c r="AG780" s="55">
        <f>IF(OR(T780="",I780&lt;T780),"",IFERROR(AF780/-(R780/IF(G780="",I780,G780)-1),""))</f>
        <v/>
      </c>
      <c r="AH780" s="94" t="n"/>
      <c r="AI780" s="94" t="n"/>
      <c r="AJ780" s="94" t="n"/>
      <c r="AK780" s="94" t="n"/>
      <c r="AL780" s="84" t="n"/>
    </row>
    <row r="781">
      <c r="A781" s="64" t="n"/>
      <c r="B781" s="65" t="n"/>
      <c r="C781" s="66" t="n"/>
      <c r="D781" s="67" t="n"/>
      <c r="E781" s="68" t="n"/>
      <c r="F781" s="47">
        <f>IF(A781="","",IF(MIN(H781,MAX(J781:K781))=0,"",MIN(H781,MAX(J781:K781))))</f>
        <v/>
      </c>
      <c r="G781" s="74" t="n"/>
      <c r="H781" s="49">
        <f>IF(M781="","",IFERROR(ROUND(AVERAGE(T781+M781*{7,8,9,10,11})/1.21,4),""))</f>
        <v/>
      </c>
      <c r="I781" s="76" t="n"/>
      <c r="J781" s="77" t="n"/>
      <c r="K781" s="74" t="n"/>
      <c r="L781" s="78" t="n"/>
      <c r="M781" s="77" t="n"/>
      <c r="N781" s="53">
        <f>IF(M781="","",IFERROR(M781/I781,""))</f>
        <v/>
      </c>
      <c r="O781" s="50">
        <f>IF(A781="","",IFERROR((IF(G781="",I781,G781)-T781)/M781,""))</f>
        <v/>
      </c>
      <c r="P781" s="50">
        <f>IFERROR((I781/T781-1)/N781,"")</f>
        <v/>
      </c>
      <c r="Q781" s="46">
        <f>IF(OR(T781="",I781&lt;T781),"",IFERROR(R781/IF(G781="",I781,G781)-1,""))</f>
        <v/>
      </c>
      <c r="R781" s="48">
        <f>IF($M781="","",MAX(IF($G781="",$I781,$G781)*(1/1.1),IF($G781="",$I781,$G781)+(R$2*$M781)))</f>
        <v/>
      </c>
      <c r="S781" s="49">
        <f>IF($M781="","",MAX(IF($G781="",$I781,$G781)*(1/1.1),IF($G781="",$I781,$G781)+(S$2*$M781)))</f>
        <v/>
      </c>
      <c r="T781" s="82" t="n"/>
      <c r="U781" s="47">
        <f>IF(OR($M781="",$T781=""),"",$T781+(U$2*$M781))</f>
        <v/>
      </c>
      <c r="V781" s="48">
        <f>IF(OR($M781="",$T781=""),"",$T781+(V$2*$M781))</f>
        <v/>
      </c>
      <c r="W781" s="48">
        <f>IF(OR($M781="",$T781=""),"",$T781+(W$2*$M781))</f>
        <v/>
      </c>
      <c r="X781" s="49">
        <f>IF(OR($M781="",$T781=""),"",$T781+(X$2*$M781))</f>
        <v/>
      </c>
      <c r="Y781" s="47">
        <f>IF(OR($M781="",$T781=""),"",$T781+(Y$2*$M781))</f>
        <v/>
      </c>
      <c r="Z781" s="49">
        <f>IF(OR($M781="",$T781=""),"",$T781+(Z$2*$M781))</f>
        <v/>
      </c>
      <c r="AA781" s="51">
        <f>IF(OR($M781="",$T781=""),"",$T781+(AA$2*$M781))</f>
        <v/>
      </c>
      <c r="AB781" s="48">
        <f>IF(OR($M781="",$T781=""),"",$T781+(AB$2*$M781))</f>
        <v/>
      </c>
      <c r="AC781" s="48">
        <f>IF(OR($M781="",$T781=""),"",$T781+(AC$2*$M781))</f>
        <v/>
      </c>
      <c r="AD781" s="48">
        <f>IF(OR($M781="",$T781=""),"",$T781+(AD$2*$M781))</f>
        <v/>
      </c>
      <c r="AE781" s="49">
        <f>IF(OR($M781="",$T781=""),"",$T781+(AE$2*$M781))</f>
        <v/>
      </c>
      <c r="AF781" s="52">
        <f>IF(OR(T781="",I781&lt;T781),"",IFERROR(AVERAGE(T781+M781*{7,8,9,10,11})/IF(G781="",I781,G781)-1,""))</f>
        <v/>
      </c>
      <c r="AG781" s="55">
        <f>IF(OR(T781="",I781&lt;T781),"",IFERROR(AF781/-(R781/IF(G781="",I781,G781)-1),""))</f>
        <v/>
      </c>
      <c r="AH781" s="94" t="n"/>
      <c r="AI781" s="94" t="n"/>
      <c r="AJ781" s="94" t="n"/>
      <c r="AK781" s="94" t="n"/>
      <c r="AL781" s="84" t="n"/>
    </row>
    <row r="782">
      <c r="A782" s="64" t="n"/>
      <c r="B782" s="65" t="n"/>
      <c r="C782" s="66" t="n"/>
      <c r="D782" s="67" t="n"/>
      <c r="E782" s="68" t="n"/>
      <c r="F782" s="47">
        <f>IF(A782="","",IF(MIN(H782,MAX(J782:K782))=0,"",MIN(H782,MAX(J782:K782))))</f>
        <v/>
      </c>
      <c r="G782" s="74" t="n"/>
      <c r="H782" s="49">
        <f>IF(M782="","",IFERROR(ROUND(AVERAGE(T782+M782*{7,8,9,10,11})/1.21,4),""))</f>
        <v/>
      </c>
      <c r="I782" s="76" t="n"/>
      <c r="J782" s="77" t="n"/>
      <c r="K782" s="74" t="n"/>
      <c r="L782" s="78" t="n"/>
      <c r="M782" s="77" t="n"/>
      <c r="N782" s="53">
        <f>IF(M782="","",IFERROR(M782/I782,""))</f>
        <v/>
      </c>
      <c r="O782" s="50">
        <f>IF(A782="","",IFERROR((IF(G782="",I782,G782)-T782)/M782,""))</f>
        <v/>
      </c>
      <c r="P782" s="50">
        <f>IFERROR((I782/T782-1)/N782,"")</f>
        <v/>
      </c>
      <c r="Q782" s="46">
        <f>IF(OR(T782="",I782&lt;T782),"",IFERROR(R782/IF(G782="",I782,G782)-1,""))</f>
        <v/>
      </c>
      <c r="R782" s="48">
        <f>IF($M782="","",MAX(IF($G782="",$I782,$G782)*(1/1.1),IF($G782="",$I782,$G782)+(R$2*$M782)))</f>
        <v/>
      </c>
      <c r="S782" s="49">
        <f>IF($M782="","",MAX(IF($G782="",$I782,$G782)*(1/1.1),IF($G782="",$I782,$G782)+(S$2*$M782)))</f>
        <v/>
      </c>
      <c r="T782" s="82" t="n"/>
      <c r="U782" s="47">
        <f>IF(OR($M782="",$T782=""),"",$T782+(U$2*$M782))</f>
        <v/>
      </c>
      <c r="V782" s="48">
        <f>IF(OR($M782="",$T782=""),"",$T782+(V$2*$M782))</f>
        <v/>
      </c>
      <c r="W782" s="48">
        <f>IF(OR($M782="",$T782=""),"",$T782+(W$2*$M782))</f>
        <v/>
      </c>
      <c r="X782" s="49">
        <f>IF(OR($M782="",$T782=""),"",$T782+(X$2*$M782))</f>
        <v/>
      </c>
      <c r="Y782" s="47">
        <f>IF(OR($M782="",$T782=""),"",$T782+(Y$2*$M782))</f>
        <v/>
      </c>
      <c r="Z782" s="49">
        <f>IF(OR($M782="",$T782=""),"",$T782+(Z$2*$M782))</f>
        <v/>
      </c>
      <c r="AA782" s="51">
        <f>IF(OR($M782="",$T782=""),"",$T782+(AA$2*$M782))</f>
        <v/>
      </c>
      <c r="AB782" s="48">
        <f>IF(OR($M782="",$T782=""),"",$T782+(AB$2*$M782))</f>
        <v/>
      </c>
      <c r="AC782" s="48">
        <f>IF(OR($M782="",$T782=""),"",$T782+(AC$2*$M782))</f>
        <v/>
      </c>
      <c r="AD782" s="48">
        <f>IF(OR($M782="",$T782=""),"",$T782+(AD$2*$M782))</f>
        <v/>
      </c>
      <c r="AE782" s="49">
        <f>IF(OR($M782="",$T782=""),"",$T782+(AE$2*$M782))</f>
        <v/>
      </c>
      <c r="AF782" s="52">
        <f>IF(OR(T782="",I782&lt;T782),"",IFERROR(AVERAGE(T782+M782*{7,8,9,10,11})/IF(G782="",I782,G782)-1,""))</f>
        <v/>
      </c>
      <c r="AG782" s="55">
        <f>IF(OR(T782="",I782&lt;T782),"",IFERROR(AF782/-(R782/IF(G782="",I782,G782)-1),""))</f>
        <v/>
      </c>
      <c r="AH782" s="94" t="n"/>
      <c r="AI782" s="94" t="n"/>
      <c r="AJ782" s="94" t="n"/>
      <c r="AK782" s="94" t="n"/>
      <c r="AL782" s="84" t="n"/>
    </row>
    <row r="783">
      <c r="A783" s="64" t="n"/>
      <c r="B783" s="65" t="n"/>
      <c r="C783" s="66" t="n"/>
      <c r="D783" s="67" t="n"/>
      <c r="E783" s="68" t="n"/>
      <c r="F783" s="47">
        <f>IF(A783="","",IF(MIN(H783,MAX(J783:K783))=0,"",MIN(H783,MAX(J783:K783))))</f>
        <v/>
      </c>
      <c r="G783" s="74" t="n"/>
      <c r="H783" s="49">
        <f>IF(M783="","",IFERROR(ROUND(AVERAGE(T783+M783*{7,8,9,10,11})/1.21,4),""))</f>
        <v/>
      </c>
      <c r="I783" s="76" t="n"/>
      <c r="J783" s="77" t="n"/>
      <c r="K783" s="74" t="n"/>
      <c r="L783" s="78" t="n"/>
      <c r="M783" s="77" t="n"/>
      <c r="N783" s="53">
        <f>IF(M783="","",IFERROR(M783/I783,""))</f>
        <v/>
      </c>
      <c r="O783" s="50">
        <f>IF(A783="","",IFERROR((IF(G783="",I783,G783)-T783)/M783,""))</f>
        <v/>
      </c>
      <c r="P783" s="50">
        <f>IFERROR((I783/T783-1)/N783,"")</f>
        <v/>
      </c>
      <c r="Q783" s="46">
        <f>IF(OR(T783="",I783&lt;T783),"",IFERROR(R783/IF(G783="",I783,G783)-1,""))</f>
        <v/>
      </c>
      <c r="R783" s="48">
        <f>IF($M783="","",MAX(IF($G783="",$I783,$G783)*(1/1.1),IF($G783="",$I783,$G783)+(R$2*$M783)))</f>
        <v/>
      </c>
      <c r="S783" s="49">
        <f>IF($M783="","",MAX(IF($G783="",$I783,$G783)*(1/1.1),IF($G783="",$I783,$G783)+(S$2*$M783)))</f>
        <v/>
      </c>
      <c r="T783" s="82" t="n"/>
      <c r="U783" s="47">
        <f>IF(OR($M783="",$T783=""),"",$T783+(U$2*$M783))</f>
        <v/>
      </c>
      <c r="V783" s="48">
        <f>IF(OR($M783="",$T783=""),"",$T783+(V$2*$M783))</f>
        <v/>
      </c>
      <c r="W783" s="48">
        <f>IF(OR($M783="",$T783=""),"",$T783+(W$2*$M783))</f>
        <v/>
      </c>
      <c r="X783" s="49">
        <f>IF(OR($M783="",$T783=""),"",$T783+(X$2*$M783))</f>
        <v/>
      </c>
      <c r="Y783" s="47">
        <f>IF(OR($M783="",$T783=""),"",$T783+(Y$2*$M783))</f>
        <v/>
      </c>
      <c r="Z783" s="49">
        <f>IF(OR($M783="",$T783=""),"",$T783+(Z$2*$M783))</f>
        <v/>
      </c>
      <c r="AA783" s="51">
        <f>IF(OR($M783="",$T783=""),"",$T783+(AA$2*$M783))</f>
        <v/>
      </c>
      <c r="AB783" s="48">
        <f>IF(OR($M783="",$T783=""),"",$T783+(AB$2*$M783))</f>
        <v/>
      </c>
      <c r="AC783" s="48">
        <f>IF(OR($M783="",$T783=""),"",$T783+(AC$2*$M783))</f>
        <v/>
      </c>
      <c r="AD783" s="48">
        <f>IF(OR($M783="",$T783=""),"",$T783+(AD$2*$M783))</f>
        <v/>
      </c>
      <c r="AE783" s="49">
        <f>IF(OR($M783="",$T783=""),"",$T783+(AE$2*$M783))</f>
        <v/>
      </c>
      <c r="AF783" s="52">
        <f>IF(OR(T783="",I783&lt;T783),"",IFERROR(AVERAGE(T783+M783*{7,8,9,10,11})/IF(G783="",I783,G783)-1,""))</f>
        <v/>
      </c>
      <c r="AG783" s="55">
        <f>IF(OR(T783="",I783&lt;T783),"",IFERROR(AF783/-(R783/IF(G783="",I783,G783)-1),""))</f>
        <v/>
      </c>
      <c r="AH783" s="94" t="n"/>
      <c r="AI783" s="94" t="n"/>
      <c r="AJ783" s="94" t="n"/>
      <c r="AK783" s="94" t="n"/>
      <c r="AL783" s="84" t="n"/>
    </row>
    <row r="784">
      <c r="A784" s="64" t="n"/>
      <c r="B784" s="65" t="n"/>
      <c r="C784" s="66" t="n"/>
      <c r="D784" s="67" t="n"/>
      <c r="E784" s="68" t="n"/>
      <c r="F784" s="47">
        <f>IF(A784="","",IF(MIN(H784,MAX(J784:K784))=0,"",MIN(H784,MAX(J784:K784))))</f>
        <v/>
      </c>
      <c r="G784" s="74" t="n"/>
      <c r="H784" s="49">
        <f>IF(M784="","",IFERROR(ROUND(AVERAGE(T784+M784*{7,8,9,10,11})/1.21,4),""))</f>
        <v/>
      </c>
      <c r="I784" s="76" t="n"/>
      <c r="J784" s="77" t="n"/>
      <c r="K784" s="74" t="n"/>
      <c r="L784" s="78" t="n"/>
      <c r="M784" s="77" t="n"/>
      <c r="N784" s="53">
        <f>IF(M784="","",IFERROR(M784/I784,""))</f>
        <v/>
      </c>
      <c r="O784" s="50">
        <f>IF(A784="","",IFERROR((IF(G784="",I784,G784)-T784)/M784,""))</f>
        <v/>
      </c>
      <c r="P784" s="50">
        <f>IFERROR((I784/T784-1)/N784,"")</f>
        <v/>
      </c>
      <c r="Q784" s="46">
        <f>IF(OR(T784="",I784&lt;T784),"",IFERROR(R784/IF(G784="",I784,G784)-1,""))</f>
        <v/>
      </c>
      <c r="R784" s="48">
        <f>IF($M784="","",MAX(IF($G784="",$I784,$G784)*(1/1.1),IF($G784="",$I784,$G784)+(R$2*$M784)))</f>
        <v/>
      </c>
      <c r="S784" s="49">
        <f>IF($M784="","",MAX(IF($G784="",$I784,$G784)*(1/1.1),IF($G784="",$I784,$G784)+(S$2*$M784)))</f>
        <v/>
      </c>
      <c r="T784" s="82" t="n"/>
      <c r="U784" s="47">
        <f>IF(OR($M784="",$T784=""),"",$T784+(U$2*$M784))</f>
        <v/>
      </c>
      <c r="V784" s="48">
        <f>IF(OR($M784="",$T784=""),"",$T784+(V$2*$M784))</f>
        <v/>
      </c>
      <c r="W784" s="48">
        <f>IF(OR($M784="",$T784=""),"",$T784+(W$2*$M784))</f>
        <v/>
      </c>
      <c r="X784" s="49">
        <f>IF(OR($M784="",$T784=""),"",$T784+(X$2*$M784))</f>
        <v/>
      </c>
      <c r="Y784" s="47">
        <f>IF(OR($M784="",$T784=""),"",$T784+(Y$2*$M784))</f>
        <v/>
      </c>
      <c r="Z784" s="49">
        <f>IF(OR($M784="",$T784=""),"",$T784+(Z$2*$M784))</f>
        <v/>
      </c>
      <c r="AA784" s="51">
        <f>IF(OR($M784="",$T784=""),"",$T784+(AA$2*$M784))</f>
        <v/>
      </c>
      <c r="AB784" s="48">
        <f>IF(OR($M784="",$T784=""),"",$T784+(AB$2*$M784))</f>
        <v/>
      </c>
      <c r="AC784" s="48">
        <f>IF(OR($M784="",$T784=""),"",$T784+(AC$2*$M784))</f>
        <v/>
      </c>
      <c r="AD784" s="48">
        <f>IF(OR($M784="",$T784=""),"",$T784+(AD$2*$M784))</f>
        <v/>
      </c>
      <c r="AE784" s="49">
        <f>IF(OR($M784="",$T784=""),"",$T784+(AE$2*$M784))</f>
        <v/>
      </c>
      <c r="AF784" s="52">
        <f>IF(OR(T784="",I784&lt;T784),"",IFERROR(AVERAGE(T784+M784*{7,8,9,10,11})/IF(G784="",I784,G784)-1,""))</f>
        <v/>
      </c>
      <c r="AG784" s="55">
        <f>IF(OR(T784="",I784&lt;T784),"",IFERROR(AF784/-(R784/IF(G784="",I784,G784)-1),""))</f>
        <v/>
      </c>
      <c r="AH784" s="94" t="n"/>
      <c r="AI784" s="94" t="n"/>
      <c r="AJ784" s="94" t="n"/>
      <c r="AK784" s="94" t="n"/>
      <c r="AL784" s="84" t="n"/>
    </row>
    <row r="785">
      <c r="A785" s="64" t="n"/>
      <c r="B785" s="65" t="n"/>
      <c r="C785" s="66" t="n"/>
      <c r="D785" s="67" t="n"/>
      <c r="E785" s="68" t="n"/>
      <c r="F785" s="47">
        <f>IF(A785="","",IF(MIN(H785,MAX(J785:K785))=0,"",MIN(H785,MAX(J785:K785))))</f>
        <v/>
      </c>
      <c r="G785" s="74" t="n"/>
      <c r="H785" s="49">
        <f>IF(M785="","",IFERROR(ROUND(AVERAGE(T785+M785*{7,8,9,10,11})/1.21,4),""))</f>
        <v/>
      </c>
      <c r="I785" s="76" t="n"/>
      <c r="J785" s="77" t="n"/>
      <c r="K785" s="74" t="n"/>
      <c r="L785" s="78" t="n"/>
      <c r="M785" s="77" t="n"/>
      <c r="N785" s="53">
        <f>IF(M785="","",IFERROR(M785/I785,""))</f>
        <v/>
      </c>
      <c r="O785" s="50">
        <f>IF(A785="","",IFERROR((IF(G785="",I785,G785)-T785)/M785,""))</f>
        <v/>
      </c>
      <c r="P785" s="50">
        <f>IFERROR((I785/T785-1)/N785,"")</f>
        <v/>
      </c>
      <c r="Q785" s="46">
        <f>IF(OR(T785="",I785&lt;T785),"",IFERROR(R785/IF(G785="",I785,G785)-1,""))</f>
        <v/>
      </c>
      <c r="R785" s="48">
        <f>IF($M785="","",MAX(IF($G785="",$I785,$G785)*(1/1.1),IF($G785="",$I785,$G785)+(R$2*$M785)))</f>
        <v/>
      </c>
      <c r="S785" s="49">
        <f>IF($M785="","",MAX(IF($G785="",$I785,$G785)*(1/1.1),IF($G785="",$I785,$G785)+(S$2*$M785)))</f>
        <v/>
      </c>
      <c r="T785" s="82" t="n"/>
      <c r="U785" s="47">
        <f>IF(OR($M785="",$T785=""),"",$T785+(U$2*$M785))</f>
        <v/>
      </c>
      <c r="V785" s="48">
        <f>IF(OR($M785="",$T785=""),"",$T785+(V$2*$M785))</f>
        <v/>
      </c>
      <c r="W785" s="48">
        <f>IF(OR($M785="",$T785=""),"",$T785+(W$2*$M785))</f>
        <v/>
      </c>
      <c r="X785" s="49">
        <f>IF(OR($M785="",$T785=""),"",$T785+(X$2*$M785))</f>
        <v/>
      </c>
      <c r="Y785" s="47">
        <f>IF(OR($M785="",$T785=""),"",$T785+(Y$2*$M785))</f>
        <v/>
      </c>
      <c r="Z785" s="49">
        <f>IF(OR($M785="",$T785=""),"",$T785+(Z$2*$M785))</f>
        <v/>
      </c>
      <c r="AA785" s="51">
        <f>IF(OR($M785="",$T785=""),"",$T785+(AA$2*$M785))</f>
        <v/>
      </c>
      <c r="AB785" s="48">
        <f>IF(OR($M785="",$T785=""),"",$T785+(AB$2*$M785))</f>
        <v/>
      </c>
      <c r="AC785" s="48">
        <f>IF(OR($M785="",$T785=""),"",$T785+(AC$2*$M785))</f>
        <v/>
      </c>
      <c r="AD785" s="48">
        <f>IF(OR($M785="",$T785=""),"",$T785+(AD$2*$M785))</f>
        <v/>
      </c>
      <c r="AE785" s="49">
        <f>IF(OR($M785="",$T785=""),"",$T785+(AE$2*$M785))</f>
        <v/>
      </c>
      <c r="AF785" s="52">
        <f>IF(OR(T785="",I785&lt;T785),"",IFERROR(AVERAGE(T785+M785*{7,8,9,10,11})/IF(G785="",I785,G785)-1,""))</f>
        <v/>
      </c>
      <c r="AG785" s="55">
        <f>IF(OR(T785="",I785&lt;T785),"",IFERROR(AF785/-(R785/IF(G785="",I785,G785)-1),""))</f>
        <v/>
      </c>
      <c r="AH785" s="94" t="n"/>
      <c r="AI785" s="94" t="n"/>
      <c r="AJ785" s="94" t="n"/>
      <c r="AK785" s="94" t="n"/>
      <c r="AL785" s="84" t="n"/>
    </row>
    <row r="786">
      <c r="A786" s="64" t="n"/>
      <c r="B786" s="65" t="n"/>
      <c r="C786" s="66" t="n"/>
      <c r="D786" s="67" t="n"/>
      <c r="E786" s="68" t="n"/>
      <c r="F786" s="47">
        <f>IF(A786="","",IF(MIN(H786,MAX(J786:K786))=0,"",MIN(H786,MAX(J786:K786))))</f>
        <v/>
      </c>
      <c r="G786" s="74" t="n"/>
      <c r="H786" s="49">
        <f>IF(M786="","",IFERROR(ROUND(AVERAGE(T786+M786*{7,8,9,10,11})/1.21,4),""))</f>
        <v/>
      </c>
      <c r="I786" s="76" t="n"/>
      <c r="J786" s="77" t="n"/>
      <c r="K786" s="74" t="n"/>
      <c r="L786" s="78" t="n"/>
      <c r="M786" s="77" t="n"/>
      <c r="N786" s="53">
        <f>IF(M786="","",IFERROR(M786/I786,""))</f>
        <v/>
      </c>
      <c r="O786" s="50">
        <f>IF(A786="","",IFERROR((IF(G786="",I786,G786)-T786)/M786,""))</f>
        <v/>
      </c>
      <c r="P786" s="50">
        <f>IFERROR((I786/T786-1)/N786,"")</f>
        <v/>
      </c>
      <c r="Q786" s="46">
        <f>IF(OR(T786="",I786&lt;T786),"",IFERROR(R786/IF(G786="",I786,G786)-1,""))</f>
        <v/>
      </c>
      <c r="R786" s="48">
        <f>IF($M786="","",MAX(IF($G786="",$I786,$G786)*(1/1.1),IF($G786="",$I786,$G786)+(R$2*$M786)))</f>
        <v/>
      </c>
      <c r="S786" s="49">
        <f>IF($M786="","",MAX(IF($G786="",$I786,$G786)*(1/1.1),IF($G786="",$I786,$G786)+(S$2*$M786)))</f>
        <v/>
      </c>
      <c r="T786" s="82" t="n"/>
      <c r="U786" s="47">
        <f>IF(OR($M786="",$T786=""),"",$T786+(U$2*$M786))</f>
        <v/>
      </c>
      <c r="V786" s="48">
        <f>IF(OR($M786="",$T786=""),"",$T786+(V$2*$M786))</f>
        <v/>
      </c>
      <c r="W786" s="48">
        <f>IF(OR($M786="",$T786=""),"",$T786+(W$2*$M786))</f>
        <v/>
      </c>
      <c r="X786" s="49">
        <f>IF(OR($M786="",$T786=""),"",$T786+(X$2*$M786))</f>
        <v/>
      </c>
      <c r="Y786" s="47">
        <f>IF(OR($M786="",$T786=""),"",$T786+(Y$2*$M786))</f>
        <v/>
      </c>
      <c r="Z786" s="49">
        <f>IF(OR($M786="",$T786=""),"",$T786+(Z$2*$M786))</f>
        <v/>
      </c>
      <c r="AA786" s="51">
        <f>IF(OR($M786="",$T786=""),"",$T786+(AA$2*$M786))</f>
        <v/>
      </c>
      <c r="AB786" s="48">
        <f>IF(OR($M786="",$T786=""),"",$T786+(AB$2*$M786))</f>
        <v/>
      </c>
      <c r="AC786" s="48">
        <f>IF(OR($M786="",$T786=""),"",$T786+(AC$2*$M786))</f>
        <v/>
      </c>
      <c r="AD786" s="48">
        <f>IF(OR($M786="",$T786=""),"",$T786+(AD$2*$M786))</f>
        <v/>
      </c>
      <c r="AE786" s="49">
        <f>IF(OR($M786="",$T786=""),"",$T786+(AE$2*$M786))</f>
        <v/>
      </c>
      <c r="AF786" s="52">
        <f>IF(OR(T786="",I786&lt;T786),"",IFERROR(AVERAGE(T786+M786*{7,8,9,10,11})/IF(G786="",I786,G786)-1,""))</f>
        <v/>
      </c>
      <c r="AG786" s="55">
        <f>IF(OR(T786="",I786&lt;T786),"",IFERROR(AF786/-(R786/IF(G786="",I786,G786)-1),""))</f>
        <v/>
      </c>
      <c r="AH786" s="94" t="n"/>
      <c r="AI786" s="94" t="n"/>
      <c r="AJ786" s="94" t="n"/>
      <c r="AK786" s="94" t="n"/>
      <c r="AL786" s="84" t="n"/>
    </row>
    <row r="787">
      <c r="A787" s="64" t="n"/>
      <c r="B787" s="65" t="n"/>
      <c r="C787" s="66" t="n"/>
      <c r="D787" s="67" t="n"/>
      <c r="E787" s="68" t="n"/>
      <c r="F787" s="47">
        <f>IF(A787="","",IF(MIN(H787,MAX(J787:K787))=0,"",MIN(H787,MAX(J787:K787))))</f>
        <v/>
      </c>
      <c r="G787" s="74" t="n"/>
      <c r="H787" s="49">
        <f>IF(M787="","",IFERROR(ROUND(AVERAGE(T787+M787*{7,8,9,10,11})/1.21,4),""))</f>
        <v/>
      </c>
      <c r="I787" s="76" t="n"/>
      <c r="J787" s="77" t="n"/>
      <c r="K787" s="74" t="n"/>
      <c r="L787" s="78" t="n"/>
      <c r="M787" s="77" t="n"/>
      <c r="N787" s="53">
        <f>IF(M787="","",IFERROR(M787/I787,""))</f>
        <v/>
      </c>
      <c r="O787" s="50">
        <f>IF(A787="","",IFERROR((IF(G787="",I787,G787)-T787)/M787,""))</f>
        <v/>
      </c>
      <c r="P787" s="50">
        <f>IFERROR((I787/T787-1)/N787,"")</f>
        <v/>
      </c>
      <c r="Q787" s="46">
        <f>IF(OR(T787="",I787&lt;T787),"",IFERROR(R787/IF(G787="",I787,G787)-1,""))</f>
        <v/>
      </c>
      <c r="R787" s="48">
        <f>IF($M787="","",MAX(IF($G787="",$I787,$G787)*(1/1.1),IF($G787="",$I787,$G787)+(R$2*$M787)))</f>
        <v/>
      </c>
      <c r="S787" s="49">
        <f>IF($M787="","",MAX(IF($G787="",$I787,$G787)*(1/1.1),IF($G787="",$I787,$G787)+(S$2*$M787)))</f>
        <v/>
      </c>
      <c r="T787" s="82" t="n"/>
      <c r="U787" s="47">
        <f>IF(OR($M787="",$T787=""),"",$T787+(U$2*$M787))</f>
        <v/>
      </c>
      <c r="V787" s="48">
        <f>IF(OR($M787="",$T787=""),"",$T787+(V$2*$M787))</f>
        <v/>
      </c>
      <c r="W787" s="48">
        <f>IF(OR($M787="",$T787=""),"",$T787+(W$2*$M787))</f>
        <v/>
      </c>
      <c r="X787" s="49">
        <f>IF(OR($M787="",$T787=""),"",$T787+(X$2*$M787))</f>
        <v/>
      </c>
      <c r="Y787" s="47">
        <f>IF(OR($M787="",$T787=""),"",$T787+(Y$2*$M787))</f>
        <v/>
      </c>
      <c r="Z787" s="49">
        <f>IF(OR($M787="",$T787=""),"",$T787+(Z$2*$M787))</f>
        <v/>
      </c>
      <c r="AA787" s="51">
        <f>IF(OR($M787="",$T787=""),"",$T787+(AA$2*$M787))</f>
        <v/>
      </c>
      <c r="AB787" s="48">
        <f>IF(OR($M787="",$T787=""),"",$T787+(AB$2*$M787))</f>
        <v/>
      </c>
      <c r="AC787" s="48">
        <f>IF(OR($M787="",$T787=""),"",$T787+(AC$2*$M787))</f>
        <v/>
      </c>
      <c r="AD787" s="48">
        <f>IF(OR($M787="",$T787=""),"",$T787+(AD$2*$M787))</f>
        <v/>
      </c>
      <c r="AE787" s="49">
        <f>IF(OR($M787="",$T787=""),"",$T787+(AE$2*$M787))</f>
        <v/>
      </c>
      <c r="AF787" s="52">
        <f>IF(OR(T787="",I787&lt;T787),"",IFERROR(AVERAGE(T787+M787*{7,8,9,10,11})/IF(G787="",I787,G787)-1,""))</f>
        <v/>
      </c>
      <c r="AG787" s="55">
        <f>IF(OR(T787="",I787&lt;T787),"",IFERROR(AF787/-(R787/IF(G787="",I787,G787)-1),""))</f>
        <v/>
      </c>
      <c r="AH787" s="94" t="n"/>
      <c r="AI787" s="94" t="n"/>
      <c r="AJ787" s="94" t="n"/>
      <c r="AK787" s="94" t="n"/>
      <c r="AL787" s="84" t="n"/>
    </row>
    <row r="788">
      <c r="A788" s="64" t="n"/>
      <c r="B788" s="65" t="n"/>
      <c r="C788" s="66" t="n"/>
      <c r="D788" s="67" t="n"/>
      <c r="E788" s="68" t="n"/>
      <c r="F788" s="47">
        <f>IF(A788="","",IF(MIN(H788,MAX(J788:K788))=0,"",MIN(H788,MAX(J788:K788))))</f>
        <v/>
      </c>
      <c r="G788" s="74" t="n"/>
      <c r="H788" s="49">
        <f>IF(M788="","",IFERROR(ROUND(AVERAGE(T788+M788*{7,8,9,10,11})/1.21,4),""))</f>
        <v/>
      </c>
      <c r="I788" s="76" t="n"/>
      <c r="J788" s="77" t="n"/>
      <c r="K788" s="74" t="n"/>
      <c r="L788" s="78" t="n"/>
      <c r="M788" s="77" t="n"/>
      <c r="N788" s="53">
        <f>IF(M788="","",IFERROR(M788/I788,""))</f>
        <v/>
      </c>
      <c r="O788" s="50">
        <f>IF(A788="","",IFERROR((IF(G788="",I788,G788)-T788)/M788,""))</f>
        <v/>
      </c>
      <c r="P788" s="50">
        <f>IFERROR((I788/T788-1)/N788,"")</f>
        <v/>
      </c>
      <c r="Q788" s="46">
        <f>IF(OR(T788="",I788&lt;T788),"",IFERROR(R788/IF(G788="",I788,G788)-1,""))</f>
        <v/>
      </c>
      <c r="R788" s="48">
        <f>IF($M788="","",MAX(IF($G788="",$I788,$G788)*(1/1.1),IF($G788="",$I788,$G788)+(R$2*$M788)))</f>
        <v/>
      </c>
      <c r="S788" s="49">
        <f>IF($M788="","",MAX(IF($G788="",$I788,$G788)*(1/1.1),IF($G788="",$I788,$G788)+(S$2*$M788)))</f>
        <v/>
      </c>
      <c r="T788" s="82" t="n"/>
      <c r="U788" s="47">
        <f>IF(OR($M788="",$T788=""),"",$T788+(U$2*$M788))</f>
        <v/>
      </c>
      <c r="V788" s="48">
        <f>IF(OR($M788="",$T788=""),"",$T788+(V$2*$M788))</f>
        <v/>
      </c>
      <c r="W788" s="48">
        <f>IF(OR($M788="",$T788=""),"",$T788+(W$2*$M788))</f>
        <v/>
      </c>
      <c r="X788" s="49">
        <f>IF(OR($M788="",$T788=""),"",$T788+(X$2*$M788))</f>
        <v/>
      </c>
      <c r="Y788" s="47">
        <f>IF(OR($M788="",$T788=""),"",$T788+(Y$2*$M788))</f>
        <v/>
      </c>
      <c r="Z788" s="49">
        <f>IF(OR($M788="",$T788=""),"",$T788+(Z$2*$M788))</f>
        <v/>
      </c>
      <c r="AA788" s="51">
        <f>IF(OR($M788="",$T788=""),"",$T788+(AA$2*$M788))</f>
        <v/>
      </c>
      <c r="AB788" s="48">
        <f>IF(OR($M788="",$T788=""),"",$T788+(AB$2*$M788))</f>
        <v/>
      </c>
      <c r="AC788" s="48">
        <f>IF(OR($M788="",$T788=""),"",$T788+(AC$2*$M788))</f>
        <v/>
      </c>
      <c r="AD788" s="48">
        <f>IF(OR($M788="",$T788=""),"",$T788+(AD$2*$M788))</f>
        <v/>
      </c>
      <c r="AE788" s="49">
        <f>IF(OR($M788="",$T788=""),"",$T788+(AE$2*$M788))</f>
        <v/>
      </c>
      <c r="AF788" s="52">
        <f>IF(OR(T788="",I788&lt;T788),"",IFERROR(AVERAGE(T788+M788*{7,8,9,10,11})/IF(G788="",I788,G788)-1,""))</f>
        <v/>
      </c>
      <c r="AG788" s="55">
        <f>IF(OR(T788="",I788&lt;T788),"",IFERROR(AF788/-(R788/IF(G788="",I788,G788)-1),""))</f>
        <v/>
      </c>
      <c r="AH788" s="94" t="n"/>
      <c r="AI788" s="94" t="n"/>
      <c r="AJ788" s="94" t="n"/>
      <c r="AK788" s="94" t="n"/>
      <c r="AL788" s="84" t="n"/>
    </row>
    <row r="789">
      <c r="A789" s="64" t="n"/>
      <c r="B789" s="65" t="n"/>
      <c r="C789" s="66" t="n"/>
      <c r="D789" s="67" t="n"/>
      <c r="E789" s="68" t="n"/>
      <c r="F789" s="47">
        <f>IF(A789="","",IF(MIN(H789,MAX(J789:K789))=0,"",MIN(H789,MAX(J789:K789))))</f>
        <v/>
      </c>
      <c r="G789" s="74" t="n"/>
      <c r="H789" s="49">
        <f>IF(M789="","",IFERROR(ROUND(AVERAGE(T789+M789*{7,8,9,10,11})/1.21,4),""))</f>
        <v/>
      </c>
      <c r="I789" s="76" t="n"/>
      <c r="J789" s="77" t="n"/>
      <c r="K789" s="74" t="n"/>
      <c r="L789" s="78" t="n"/>
      <c r="M789" s="77" t="n"/>
      <c r="N789" s="53">
        <f>IF(M789="","",IFERROR(M789/I789,""))</f>
        <v/>
      </c>
      <c r="O789" s="50">
        <f>IF(A789="","",IFERROR((IF(G789="",I789,G789)-T789)/M789,""))</f>
        <v/>
      </c>
      <c r="P789" s="50">
        <f>IFERROR((I789/T789-1)/N789,"")</f>
        <v/>
      </c>
      <c r="Q789" s="46">
        <f>IF(OR(T789="",I789&lt;T789),"",IFERROR(R789/IF(G789="",I789,G789)-1,""))</f>
        <v/>
      </c>
      <c r="R789" s="48">
        <f>IF($M789="","",MAX(IF($G789="",$I789,$G789)*(1/1.1),IF($G789="",$I789,$G789)+(R$2*$M789)))</f>
        <v/>
      </c>
      <c r="S789" s="49">
        <f>IF($M789="","",MAX(IF($G789="",$I789,$G789)*(1/1.1),IF($G789="",$I789,$G789)+(S$2*$M789)))</f>
        <v/>
      </c>
      <c r="T789" s="82" t="n"/>
      <c r="U789" s="47">
        <f>IF(OR($M789="",$T789=""),"",$T789+(U$2*$M789))</f>
        <v/>
      </c>
      <c r="V789" s="48">
        <f>IF(OR($M789="",$T789=""),"",$T789+(V$2*$M789))</f>
        <v/>
      </c>
      <c r="W789" s="48">
        <f>IF(OR($M789="",$T789=""),"",$T789+(W$2*$M789))</f>
        <v/>
      </c>
      <c r="X789" s="49">
        <f>IF(OR($M789="",$T789=""),"",$T789+(X$2*$M789))</f>
        <v/>
      </c>
      <c r="Y789" s="47">
        <f>IF(OR($M789="",$T789=""),"",$T789+(Y$2*$M789))</f>
        <v/>
      </c>
      <c r="Z789" s="49">
        <f>IF(OR($M789="",$T789=""),"",$T789+(Z$2*$M789))</f>
        <v/>
      </c>
      <c r="AA789" s="51">
        <f>IF(OR($M789="",$T789=""),"",$T789+(AA$2*$M789))</f>
        <v/>
      </c>
      <c r="AB789" s="48">
        <f>IF(OR($M789="",$T789=""),"",$T789+(AB$2*$M789))</f>
        <v/>
      </c>
      <c r="AC789" s="48">
        <f>IF(OR($M789="",$T789=""),"",$T789+(AC$2*$M789))</f>
        <v/>
      </c>
      <c r="AD789" s="48">
        <f>IF(OR($M789="",$T789=""),"",$T789+(AD$2*$M789))</f>
        <v/>
      </c>
      <c r="AE789" s="49">
        <f>IF(OR($M789="",$T789=""),"",$T789+(AE$2*$M789))</f>
        <v/>
      </c>
      <c r="AF789" s="52">
        <f>IF(OR(T789="",I789&lt;T789),"",IFERROR(AVERAGE(T789+M789*{7,8,9,10,11})/IF(G789="",I789,G789)-1,""))</f>
        <v/>
      </c>
      <c r="AG789" s="55">
        <f>IF(OR(T789="",I789&lt;T789),"",IFERROR(AF789/-(R789/IF(G789="",I789,G789)-1),""))</f>
        <v/>
      </c>
      <c r="AH789" s="94" t="n"/>
      <c r="AI789" s="94" t="n"/>
      <c r="AJ789" s="94" t="n"/>
      <c r="AK789" s="94" t="n"/>
      <c r="AL789" s="84" t="n"/>
    </row>
    <row r="790">
      <c r="A790" s="64" t="n"/>
      <c r="B790" s="65" t="n"/>
      <c r="C790" s="66" t="n"/>
      <c r="D790" s="67" t="n"/>
      <c r="E790" s="68" t="n"/>
      <c r="F790" s="47">
        <f>IF(A790="","",IF(MIN(H790,MAX(J790:K790))=0,"",MIN(H790,MAX(J790:K790))))</f>
        <v/>
      </c>
      <c r="G790" s="74" t="n"/>
      <c r="H790" s="49">
        <f>IF(M790="","",IFERROR(ROUND(AVERAGE(T790+M790*{7,8,9,10,11})/1.21,4),""))</f>
        <v/>
      </c>
      <c r="I790" s="76" t="n"/>
      <c r="J790" s="77" t="n"/>
      <c r="K790" s="74" t="n"/>
      <c r="L790" s="78" t="n"/>
      <c r="M790" s="77" t="n"/>
      <c r="N790" s="53">
        <f>IF(M790="","",IFERROR(M790/I790,""))</f>
        <v/>
      </c>
      <c r="O790" s="50">
        <f>IF(A790="","",IFERROR((IF(G790="",I790,G790)-T790)/M790,""))</f>
        <v/>
      </c>
      <c r="P790" s="50">
        <f>IFERROR((I790/T790-1)/N790,"")</f>
        <v/>
      </c>
      <c r="Q790" s="46">
        <f>IF(OR(T790="",I790&lt;T790),"",IFERROR(R790/IF(G790="",I790,G790)-1,""))</f>
        <v/>
      </c>
      <c r="R790" s="48">
        <f>IF($M790="","",MAX(IF($G790="",$I790,$G790)*(1/1.1),IF($G790="",$I790,$G790)+(R$2*$M790)))</f>
        <v/>
      </c>
      <c r="S790" s="49">
        <f>IF($M790="","",MAX(IF($G790="",$I790,$G790)*(1/1.1),IF($G790="",$I790,$G790)+(S$2*$M790)))</f>
        <v/>
      </c>
      <c r="T790" s="82" t="n"/>
      <c r="U790" s="47">
        <f>IF(OR($M790="",$T790=""),"",$T790+(U$2*$M790))</f>
        <v/>
      </c>
      <c r="V790" s="48">
        <f>IF(OR($M790="",$T790=""),"",$T790+(V$2*$M790))</f>
        <v/>
      </c>
      <c r="W790" s="48">
        <f>IF(OR($M790="",$T790=""),"",$T790+(W$2*$M790))</f>
        <v/>
      </c>
      <c r="X790" s="49">
        <f>IF(OR($M790="",$T790=""),"",$T790+(X$2*$M790))</f>
        <v/>
      </c>
      <c r="Y790" s="47">
        <f>IF(OR($M790="",$T790=""),"",$T790+(Y$2*$M790))</f>
        <v/>
      </c>
      <c r="Z790" s="49">
        <f>IF(OR($M790="",$T790=""),"",$T790+(Z$2*$M790))</f>
        <v/>
      </c>
      <c r="AA790" s="51">
        <f>IF(OR($M790="",$T790=""),"",$T790+(AA$2*$M790))</f>
        <v/>
      </c>
      <c r="AB790" s="48">
        <f>IF(OR($M790="",$T790=""),"",$T790+(AB$2*$M790))</f>
        <v/>
      </c>
      <c r="AC790" s="48">
        <f>IF(OR($M790="",$T790=""),"",$T790+(AC$2*$M790))</f>
        <v/>
      </c>
      <c r="AD790" s="48">
        <f>IF(OR($M790="",$T790=""),"",$T790+(AD$2*$M790))</f>
        <v/>
      </c>
      <c r="AE790" s="49">
        <f>IF(OR($M790="",$T790=""),"",$T790+(AE$2*$M790))</f>
        <v/>
      </c>
      <c r="AF790" s="52">
        <f>IF(OR(T790="",I790&lt;T790),"",IFERROR(AVERAGE(T790+M790*{7,8,9,10,11})/IF(G790="",I790,G790)-1,""))</f>
        <v/>
      </c>
      <c r="AG790" s="55">
        <f>IF(OR(T790="",I790&lt;T790),"",IFERROR(AF790/-(R790/IF(G790="",I790,G790)-1),""))</f>
        <v/>
      </c>
      <c r="AH790" s="94" t="n"/>
      <c r="AI790" s="94" t="n"/>
      <c r="AJ790" s="94" t="n"/>
      <c r="AK790" s="94" t="n"/>
      <c r="AL790" s="84" t="n"/>
    </row>
    <row r="791">
      <c r="A791" s="64" t="n"/>
      <c r="B791" s="65" t="n"/>
      <c r="C791" s="66" t="n"/>
      <c r="D791" s="67" t="n"/>
      <c r="E791" s="68" t="n"/>
      <c r="F791" s="47">
        <f>IF(A791="","",IF(MIN(H791,MAX(J791:K791))=0,"",MIN(H791,MAX(J791:K791))))</f>
        <v/>
      </c>
      <c r="G791" s="74" t="n"/>
      <c r="H791" s="49">
        <f>IF(M791="","",IFERROR(ROUND(AVERAGE(T791+M791*{7,8,9,10,11})/1.21,4),""))</f>
        <v/>
      </c>
      <c r="I791" s="76" t="n"/>
      <c r="J791" s="77" t="n"/>
      <c r="K791" s="74" t="n"/>
      <c r="L791" s="78" t="n"/>
      <c r="M791" s="77" t="n"/>
      <c r="N791" s="53">
        <f>IF(M791="","",IFERROR(M791/I791,""))</f>
        <v/>
      </c>
      <c r="O791" s="50">
        <f>IF(A791="","",IFERROR((IF(G791="",I791,G791)-T791)/M791,""))</f>
        <v/>
      </c>
      <c r="P791" s="50">
        <f>IFERROR((I791/T791-1)/N791,"")</f>
        <v/>
      </c>
      <c r="Q791" s="46">
        <f>IF(OR(T791="",I791&lt;T791),"",IFERROR(R791/IF(G791="",I791,G791)-1,""))</f>
        <v/>
      </c>
      <c r="R791" s="48">
        <f>IF($M791="","",MAX(IF($G791="",$I791,$G791)*(1/1.1),IF($G791="",$I791,$G791)+(R$2*$M791)))</f>
        <v/>
      </c>
      <c r="S791" s="49">
        <f>IF($M791="","",MAX(IF($G791="",$I791,$G791)*(1/1.1),IF($G791="",$I791,$G791)+(S$2*$M791)))</f>
        <v/>
      </c>
      <c r="T791" s="82" t="n"/>
      <c r="U791" s="47">
        <f>IF(OR($M791="",$T791=""),"",$T791+(U$2*$M791))</f>
        <v/>
      </c>
      <c r="V791" s="48">
        <f>IF(OR($M791="",$T791=""),"",$T791+(V$2*$M791))</f>
        <v/>
      </c>
      <c r="W791" s="48">
        <f>IF(OR($M791="",$T791=""),"",$T791+(W$2*$M791))</f>
        <v/>
      </c>
      <c r="X791" s="49">
        <f>IF(OR($M791="",$T791=""),"",$T791+(X$2*$M791))</f>
        <v/>
      </c>
      <c r="Y791" s="47">
        <f>IF(OR($M791="",$T791=""),"",$T791+(Y$2*$M791))</f>
        <v/>
      </c>
      <c r="Z791" s="49">
        <f>IF(OR($M791="",$T791=""),"",$T791+(Z$2*$M791))</f>
        <v/>
      </c>
      <c r="AA791" s="51">
        <f>IF(OR($M791="",$T791=""),"",$T791+(AA$2*$M791))</f>
        <v/>
      </c>
      <c r="AB791" s="48">
        <f>IF(OR($M791="",$T791=""),"",$T791+(AB$2*$M791))</f>
        <v/>
      </c>
      <c r="AC791" s="48">
        <f>IF(OR($M791="",$T791=""),"",$T791+(AC$2*$M791))</f>
        <v/>
      </c>
      <c r="AD791" s="48">
        <f>IF(OR($M791="",$T791=""),"",$T791+(AD$2*$M791))</f>
        <v/>
      </c>
      <c r="AE791" s="49">
        <f>IF(OR($M791="",$T791=""),"",$T791+(AE$2*$M791))</f>
        <v/>
      </c>
      <c r="AF791" s="52">
        <f>IF(OR(T791="",I791&lt;T791),"",IFERROR(AVERAGE(T791+M791*{7,8,9,10,11})/IF(G791="",I791,G791)-1,""))</f>
        <v/>
      </c>
      <c r="AG791" s="55">
        <f>IF(OR(T791="",I791&lt;T791),"",IFERROR(AF791/-(R791/IF(G791="",I791,G791)-1),""))</f>
        <v/>
      </c>
      <c r="AH791" s="94" t="n"/>
      <c r="AI791" s="94" t="n"/>
      <c r="AJ791" s="94" t="n"/>
      <c r="AK791" s="94" t="n"/>
      <c r="AL791" s="84" t="n"/>
    </row>
    <row r="792">
      <c r="A792" s="64" t="n"/>
      <c r="B792" s="65" t="n"/>
      <c r="C792" s="66" t="n"/>
      <c r="D792" s="67" t="n"/>
      <c r="E792" s="68" t="n"/>
      <c r="F792" s="47">
        <f>IF(A792="","",IF(MIN(H792,MAX(J792:K792))=0,"",MIN(H792,MAX(J792:K792))))</f>
        <v/>
      </c>
      <c r="G792" s="74" t="n"/>
      <c r="H792" s="49">
        <f>IF(M792="","",IFERROR(ROUND(AVERAGE(T792+M792*{7,8,9,10,11})/1.21,4),""))</f>
        <v/>
      </c>
      <c r="I792" s="76" t="n"/>
      <c r="J792" s="77" t="n"/>
      <c r="K792" s="74" t="n"/>
      <c r="L792" s="78" t="n"/>
      <c r="M792" s="77" t="n"/>
      <c r="N792" s="53">
        <f>IF(M792="","",IFERROR(M792/I792,""))</f>
        <v/>
      </c>
      <c r="O792" s="50">
        <f>IF(A792="","",IFERROR((IF(G792="",I792,G792)-T792)/M792,""))</f>
        <v/>
      </c>
      <c r="P792" s="50">
        <f>IFERROR((I792/T792-1)/N792,"")</f>
        <v/>
      </c>
      <c r="Q792" s="46">
        <f>IF(OR(T792="",I792&lt;T792),"",IFERROR(R792/IF(G792="",I792,G792)-1,""))</f>
        <v/>
      </c>
      <c r="R792" s="48">
        <f>IF($M792="","",MAX(IF($G792="",$I792,$G792)*(1/1.1),IF($G792="",$I792,$G792)+(R$2*$M792)))</f>
        <v/>
      </c>
      <c r="S792" s="49">
        <f>IF($M792="","",MAX(IF($G792="",$I792,$G792)*(1/1.1),IF($G792="",$I792,$G792)+(S$2*$M792)))</f>
        <v/>
      </c>
      <c r="T792" s="82" t="n"/>
      <c r="U792" s="47">
        <f>IF(OR($M792="",$T792=""),"",$T792+(U$2*$M792))</f>
        <v/>
      </c>
      <c r="V792" s="48">
        <f>IF(OR($M792="",$T792=""),"",$T792+(V$2*$M792))</f>
        <v/>
      </c>
      <c r="W792" s="48">
        <f>IF(OR($M792="",$T792=""),"",$T792+(W$2*$M792))</f>
        <v/>
      </c>
      <c r="X792" s="49">
        <f>IF(OR($M792="",$T792=""),"",$T792+(X$2*$M792))</f>
        <v/>
      </c>
      <c r="Y792" s="47">
        <f>IF(OR($M792="",$T792=""),"",$T792+(Y$2*$M792))</f>
        <v/>
      </c>
      <c r="Z792" s="49">
        <f>IF(OR($M792="",$T792=""),"",$T792+(Z$2*$M792))</f>
        <v/>
      </c>
      <c r="AA792" s="51">
        <f>IF(OR($M792="",$T792=""),"",$T792+(AA$2*$M792))</f>
        <v/>
      </c>
      <c r="AB792" s="48">
        <f>IF(OR($M792="",$T792=""),"",$T792+(AB$2*$M792))</f>
        <v/>
      </c>
      <c r="AC792" s="48">
        <f>IF(OR($M792="",$T792=""),"",$T792+(AC$2*$M792))</f>
        <v/>
      </c>
      <c r="AD792" s="48">
        <f>IF(OR($M792="",$T792=""),"",$T792+(AD$2*$M792))</f>
        <v/>
      </c>
      <c r="AE792" s="49">
        <f>IF(OR($M792="",$T792=""),"",$T792+(AE$2*$M792))</f>
        <v/>
      </c>
      <c r="AF792" s="52">
        <f>IF(OR(T792="",I792&lt;T792),"",IFERROR(AVERAGE(T792+M792*{7,8,9,10,11})/IF(G792="",I792,G792)-1,""))</f>
        <v/>
      </c>
      <c r="AG792" s="55">
        <f>IF(OR(T792="",I792&lt;T792),"",IFERROR(AF792/-(R792/IF(G792="",I792,G792)-1),""))</f>
        <v/>
      </c>
      <c r="AH792" s="94" t="n"/>
      <c r="AI792" s="94" t="n"/>
      <c r="AJ792" s="94" t="n"/>
      <c r="AK792" s="94" t="n"/>
      <c r="AL792" s="84" t="n"/>
    </row>
    <row r="793">
      <c r="A793" s="64" t="n"/>
      <c r="B793" s="65" t="n"/>
      <c r="C793" s="66" t="n"/>
      <c r="D793" s="67" t="n"/>
      <c r="E793" s="68" t="n"/>
      <c r="F793" s="47">
        <f>IF(A793="","",IF(MIN(H793,MAX(J793:K793))=0,"",MIN(H793,MAX(J793:K793))))</f>
        <v/>
      </c>
      <c r="G793" s="74" t="n"/>
      <c r="H793" s="49">
        <f>IF(M793="","",IFERROR(ROUND(AVERAGE(T793+M793*{7,8,9,10,11})/1.21,4),""))</f>
        <v/>
      </c>
      <c r="I793" s="76" t="n"/>
      <c r="J793" s="77" t="n"/>
      <c r="K793" s="74" t="n"/>
      <c r="L793" s="78" t="n"/>
      <c r="M793" s="77" t="n"/>
      <c r="N793" s="53">
        <f>IF(M793="","",IFERROR(M793/I793,""))</f>
        <v/>
      </c>
      <c r="O793" s="50">
        <f>IF(A793="","",IFERROR((IF(G793="",I793,G793)-T793)/M793,""))</f>
        <v/>
      </c>
      <c r="P793" s="50">
        <f>IFERROR((I793/T793-1)/N793,"")</f>
        <v/>
      </c>
      <c r="Q793" s="46">
        <f>IF(OR(T793="",I793&lt;T793),"",IFERROR(R793/IF(G793="",I793,G793)-1,""))</f>
        <v/>
      </c>
      <c r="R793" s="48">
        <f>IF($M793="","",MAX(IF($G793="",$I793,$G793)*(1/1.1),IF($G793="",$I793,$G793)+(R$2*$M793)))</f>
        <v/>
      </c>
      <c r="S793" s="49">
        <f>IF($M793="","",MAX(IF($G793="",$I793,$G793)*(1/1.1),IF($G793="",$I793,$G793)+(S$2*$M793)))</f>
        <v/>
      </c>
      <c r="T793" s="82" t="n"/>
      <c r="U793" s="47">
        <f>IF(OR($M793="",$T793=""),"",$T793+(U$2*$M793))</f>
        <v/>
      </c>
      <c r="V793" s="48">
        <f>IF(OR($M793="",$T793=""),"",$T793+(V$2*$M793))</f>
        <v/>
      </c>
      <c r="W793" s="48">
        <f>IF(OR($M793="",$T793=""),"",$T793+(W$2*$M793))</f>
        <v/>
      </c>
      <c r="X793" s="49">
        <f>IF(OR($M793="",$T793=""),"",$T793+(X$2*$M793))</f>
        <v/>
      </c>
      <c r="Y793" s="47">
        <f>IF(OR($M793="",$T793=""),"",$T793+(Y$2*$M793))</f>
        <v/>
      </c>
      <c r="Z793" s="49">
        <f>IF(OR($M793="",$T793=""),"",$T793+(Z$2*$M793))</f>
        <v/>
      </c>
      <c r="AA793" s="51">
        <f>IF(OR($M793="",$T793=""),"",$T793+(AA$2*$M793))</f>
        <v/>
      </c>
      <c r="AB793" s="48">
        <f>IF(OR($M793="",$T793=""),"",$T793+(AB$2*$M793))</f>
        <v/>
      </c>
      <c r="AC793" s="48">
        <f>IF(OR($M793="",$T793=""),"",$T793+(AC$2*$M793))</f>
        <v/>
      </c>
      <c r="AD793" s="48">
        <f>IF(OR($M793="",$T793=""),"",$T793+(AD$2*$M793))</f>
        <v/>
      </c>
      <c r="AE793" s="49">
        <f>IF(OR($M793="",$T793=""),"",$T793+(AE$2*$M793))</f>
        <v/>
      </c>
      <c r="AF793" s="52">
        <f>IF(OR(T793="",I793&lt;T793),"",IFERROR(AVERAGE(T793+M793*{7,8,9,10,11})/IF(G793="",I793,G793)-1,""))</f>
        <v/>
      </c>
      <c r="AG793" s="55">
        <f>IF(OR(T793="",I793&lt;T793),"",IFERROR(AF793/-(R793/IF(G793="",I793,G793)-1),""))</f>
        <v/>
      </c>
      <c r="AH793" s="94" t="n"/>
      <c r="AI793" s="94" t="n"/>
      <c r="AJ793" s="94" t="n"/>
      <c r="AK793" s="94" t="n"/>
      <c r="AL793" s="84" t="n"/>
    </row>
    <row r="794">
      <c r="A794" s="64" t="n"/>
      <c r="B794" s="65" t="n"/>
      <c r="C794" s="66" t="n"/>
      <c r="D794" s="67" t="n"/>
      <c r="E794" s="68" t="n"/>
      <c r="F794" s="47">
        <f>IF(A794="","",IF(MIN(H794,MAX(J794:K794))=0,"",MIN(H794,MAX(J794:K794))))</f>
        <v/>
      </c>
      <c r="G794" s="74" t="n"/>
      <c r="H794" s="49">
        <f>IF(M794="","",IFERROR(ROUND(AVERAGE(T794+M794*{7,8,9,10,11})/1.21,4),""))</f>
        <v/>
      </c>
      <c r="I794" s="76" t="n"/>
      <c r="J794" s="77" t="n"/>
      <c r="K794" s="74" t="n"/>
      <c r="L794" s="78" t="n"/>
      <c r="M794" s="77" t="n"/>
      <c r="N794" s="53">
        <f>IF(M794="","",IFERROR(M794/I794,""))</f>
        <v/>
      </c>
      <c r="O794" s="50">
        <f>IF(A794="","",IFERROR((IF(G794="",I794,G794)-T794)/M794,""))</f>
        <v/>
      </c>
      <c r="P794" s="50">
        <f>IFERROR((I794/T794-1)/N794,"")</f>
        <v/>
      </c>
      <c r="Q794" s="46">
        <f>IF(OR(T794="",I794&lt;T794),"",IFERROR(R794/IF(G794="",I794,G794)-1,""))</f>
        <v/>
      </c>
      <c r="R794" s="48">
        <f>IF($M794="","",MAX(IF($G794="",$I794,$G794)*(1/1.1),IF($G794="",$I794,$G794)+(R$2*$M794)))</f>
        <v/>
      </c>
      <c r="S794" s="49">
        <f>IF($M794="","",MAX(IF($G794="",$I794,$G794)*(1/1.1),IF($G794="",$I794,$G794)+(S$2*$M794)))</f>
        <v/>
      </c>
      <c r="T794" s="82" t="n"/>
      <c r="U794" s="47">
        <f>IF(OR($M794="",$T794=""),"",$T794+(U$2*$M794))</f>
        <v/>
      </c>
      <c r="V794" s="48">
        <f>IF(OR($M794="",$T794=""),"",$T794+(V$2*$M794))</f>
        <v/>
      </c>
      <c r="W794" s="48">
        <f>IF(OR($M794="",$T794=""),"",$T794+(W$2*$M794))</f>
        <v/>
      </c>
      <c r="X794" s="49">
        <f>IF(OR($M794="",$T794=""),"",$T794+(X$2*$M794))</f>
        <v/>
      </c>
      <c r="Y794" s="47">
        <f>IF(OR($M794="",$T794=""),"",$T794+(Y$2*$M794))</f>
        <v/>
      </c>
      <c r="Z794" s="49">
        <f>IF(OR($M794="",$T794=""),"",$T794+(Z$2*$M794))</f>
        <v/>
      </c>
      <c r="AA794" s="51">
        <f>IF(OR($M794="",$T794=""),"",$T794+(AA$2*$M794))</f>
        <v/>
      </c>
      <c r="AB794" s="48">
        <f>IF(OR($M794="",$T794=""),"",$T794+(AB$2*$M794))</f>
        <v/>
      </c>
      <c r="AC794" s="48">
        <f>IF(OR($M794="",$T794=""),"",$T794+(AC$2*$M794))</f>
        <v/>
      </c>
      <c r="AD794" s="48">
        <f>IF(OR($M794="",$T794=""),"",$T794+(AD$2*$M794))</f>
        <v/>
      </c>
      <c r="AE794" s="49">
        <f>IF(OR($M794="",$T794=""),"",$T794+(AE$2*$M794))</f>
        <v/>
      </c>
      <c r="AF794" s="52">
        <f>IF(OR(T794="",I794&lt;T794),"",IFERROR(AVERAGE(T794+M794*{7,8,9,10,11})/IF(G794="",I794,G794)-1,""))</f>
        <v/>
      </c>
      <c r="AG794" s="55">
        <f>IF(OR(T794="",I794&lt;T794),"",IFERROR(AF794/-(R794/IF(G794="",I794,G794)-1),""))</f>
        <v/>
      </c>
      <c r="AH794" s="94" t="n"/>
      <c r="AI794" s="94" t="n"/>
      <c r="AJ794" s="94" t="n"/>
      <c r="AK794" s="94" t="n"/>
      <c r="AL794" s="84" t="n"/>
    </row>
    <row r="795">
      <c r="A795" s="64" t="n"/>
      <c r="B795" s="65" t="n"/>
      <c r="C795" s="66" t="n"/>
      <c r="D795" s="67" t="n"/>
      <c r="E795" s="68" t="n"/>
      <c r="F795" s="47">
        <f>IF(A795="","",IF(MIN(H795,MAX(J795:K795))=0,"",MIN(H795,MAX(J795:K795))))</f>
        <v/>
      </c>
      <c r="G795" s="74" t="n"/>
      <c r="H795" s="49">
        <f>IF(M795="","",IFERROR(ROUND(AVERAGE(T795+M795*{7,8,9,10,11})/1.21,4),""))</f>
        <v/>
      </c>
      <c r="I795" s="76" t="n"/>
      <c r="J795" s="77" t="n"/>
      <c r="K795" s="74" t="n"/>
      <c r="L795" s="78" t="n"/>
      <c r="M795" s="77" t="n"/>
      <c r="N795" s="53">
        <f>IF(M795="","",IFERROR(M795/I795,""))</f>
        <v/>
      </c>
      <c r="O795" s="50">
        <f>IF(A795="","",IFERROR((IF(G795="",I795,G795)-T795)/M795,""))</f>
        <v/>
      </c>
      <c r="P795" s="50">
        <f>IFERROR((I795/T795-1)/N795,"")</f>
        <v/>
      </c>
      <c r="Q795" s="46">
        <f>IF(OR(T795="",I795&lt;T795),"",IFERROR(R795/IF(G795="",I795,G795)-1,""))</f>
        <v/>
      </c>
      <c r="R795" s="48">
        <f>IF($M795="","",MAX(IF($G795="",$I795,$G795)*(1/1.1),IF($G795="",$I795,$G795)+(R$2*$M795)))</f>
        <v/>
      </c>
      <c r="S795" s="49">
        <f>IF($M795="","",MAX(IF($G795="",$I795,$G795)*(1/1.1),IF($G795="",$I795,$G795)+(S$2*$M795)))</f>
        <v/>
      </c>
      <c r="T795" s="82" t="n"/>
      <c r="U795" s="47">
        <f>IF(OR($M795="",$T795=""),"",$T795+(U$2*$M795))</f>
        <v/>
      </c>
      <c r="V795" s="48">
        <f>IF(OR($M795="",$T795=""),"",$T795+(V$2*$M795))</f>
        <v/>
      </c>
      <c r="W795" s="48">
        <f>IF(OR($M795="",$T795=""),"",$T795+(W$2*$M795))</f>
        <v/>
      </c>
      <c r="X795" s="49">
        <f>IF(OR($M795="",$T795=""),"",$T795+(X$2*$M795))</f>
        <v/>
      </c>
      <c r="Y795" s="47">
        <f>IF(OR($M795="",$T795=""),"",$T795+(Y$2*$M795))</f>
        <v/>
      </c>
      <c r="Z795" s="49">
        <f>IF(OR($M795="",$T795=""),"",$T795+(Z$2*$M795))</f>
        <v/>
      </c>
      <c r="AA795" s="51">
        <f>IF(OR($M795="",$T795=""),"",$T795+(AA$2*$M795))</f>
        <v/>
      </c>
      <c r="AB795" s="48">
        <f>IF(OR($M795="",$T795=""),"",$T795+(AB$2*$M795))</f>
        <v/>
      </c>
      <c r="AC795" s="48">
        <f>IF(OR($M795="",$T795=""),"",$T795+(AC$2*$M795))</f>
        <v/>
      </c>
      <c r="AD795" s="48">
        <f>IF(OR($M795="",$T795=""),"",$T795+(AD$2*$M795))</f>
        <v/>
      </c>
      <c r="AE795" s="49">
        <f>IF(OR($M795="",$T795=""),"",$T795+(AE$2*$M795))</f>
        <v/>
      </c>
      <c r="AF795" s="52">
        <f>IF(OR(T795="",I795&lt;T795),"",IFERROR(AVERAGE(T795+M795*{7,8,9,10,11})/IF(G795="",I795,G795)-1,""))</f>
        <v/>
      </c>
      <c r="AG795" s="55">
        <f>IF(OR(T795="",I795&lt;T795),"",IFERROR(AF795/-(R795/IF(G795="",I795,G795)-1),""))</f>
        <v/>
      </c>
      <c r="AH795" s="94" t="n"/>
      <c r="AI795" s="94" t="n"/>
      <c r="AJ795" s="94" t="n"/>
      <c r="AK795" s="94" t="n"/>
      <c r="AL795" s="84" t="n"/>
    </row>
    <row r="796">
      <c r="A796" s="64" t="n"/>
      <c r="B796" s="65" t="n"/>
      <c r="C796" s="66" t="n"/>
      <c r="D796" s="67" t="n"/>
      <c r="E796" s="68" t="n"/>
      <c r="F796" s="47">
        <f>IF(A796="","",IF(MIN(H796,MAX(J796:K796))=0,"",MIN(H796,MAX(J796:K796))))</f>
        <v/>
      </c>
      <c r="G796" s="74" t="n"/>
      <c r="H796" s="49">
        <f>IF(M796="","",IFERROR(ROUND(AVERAGE(T796+M796*{7,8,9,10,11})/1.21,4),""))</f>
        <v/>
      </c>
      <c r="I796" s="76" t="n"/>
      <c r="J796" s="77" t="n"/>
      <c r="K796" s="74" t="n"/>
      <c r="L796" s="78" t="n"/>
      <c r="M796" s="77" t="n"/>
      <c r="N796" s="53">
        <f>IF(M796="","",IFERROR(M796/I796,""))</f>
        <v/>
      </c>
      <c r="O796" s="50">
        <f>IF(A796="","",IFERROR((IF(G796="",I796,G796)-T796)/M796,""))</f>
        <v/>
      </c>
      <c r="P796" s="50">
        <f>IFERROR((I796/T796-1)/N796,"")</f>
        <v/>
      </c>
      <c r="Q796" s="46">
        <f>IF(OR(T796="",I796&lt;T796),"",IFERROR(R796/IF(G796="",I796,G796)-1,""))</f>
        <v/>
      </c>
      <c r="R796" s="48">
        <f>IF($M796="","",MAX(IF($G796="",$I796,$G796)*(1/1.1),IF($G796="",$I796,$G796)+(R$2*$M796)))</f>
        <v/>
      </c>
      <c r="S796" s="49">
        <f>IF($M796="","",MAX(IF($G796="",$I796,$G796)*(1/1.1),IF($G796="",$I796,$G796)+(S$2*$M796)))</f>
        <v/>
      </c>
      <c r="T796" s="82" t="n"/>
      <c r="U796" s="47">
        <f>IF(OR($M796="",$T796=""),"",$T796+(U$2*$M796))</f>
        <v/>
      </c>
      <c r="V796" s="48">
        <f>IF(OR($M796="",$T796=""),"",$T796+(V$2*$M796))</f>
        <v/>
      </c>
      <c r="W796" s="48">
        <f>IF(OR($M796="",$T796=""),"",$T796+(W$2*$M796))</f>
        <v/>
      </c>
      <c r="X796" s="49">
        <f>IF(OR($M796="",$T796=""),"",$T796+(X$2*$M796))</f>
        <v/>
      </c>
      <c r="Y796" s="47">
        <f>IF(OR($M796="",$T796=""),"",$T796+(Y$2*$M796))</f>
        <v/>
      </c>
      <c r="Z796" s="49">
        <f>IF(OR($M796="",$T796=""),"",$T796+(Z$2*$M796))</f>
        <v/>
      </c>
      <c r="AA796" s="51">
        <f>IF(OR($M796="",$T796=""),"",$T796+(AA$2*$M796))</f>
        <v/>
      </c>
      <c r="AB796" s="48">
        <f>IF(OR($M796="",$T796=""),"",$T796+(AB$2*$M796))</f>
        <v/>
      </c>
      <c r="AC796" s="48">
        <f>IF(OR($M796="",$T796=""),"",$T796+(AC$2*$M796))</f>
        <v/>
      </c>
      <c r="AD796" s="48">
        <f>IF(OR($M796="",$T796=""),"",$T796+(AD$2*$M796))</f>
        <v/>
      </c>
      <c r="AE796" s="49">
        <f>IF(OR($M796="",$T796=""),"",$T796+(AE$2*$M796))</f>
        <v/>
      </c>
      <c r="AF796" s="52">
        <f>IF(OR(T796="",I796&lt;T796),"",IFERROR(AVERAGE(T796+M796*{7,8,9,10,11})/IF(G796="",I796,G796)-1,""))</f>
        <v/>
      </c>
      <c r="AG796" s="55">
        <f>IF(OR(T796="",I796&lt;T796),"",IFERROR(AF796/-(R796/IF(G796="",I796,G796)-1),""))</f>
        <v/>
      </c>
      <c r="AH796" s="94" t="n"/>
      <c r="AI796" s="94" t="n"/>
      <c r="AJ796" s="94" t="n"/>
      <c r="AK796" s="94" t="n"/>
      <c r="AL796" s="84" t="n"/>
    </row>
    <row r="797">
      <c r="A797" s="64" t="n"/>
      <c r="B797" s="65" t="n"/>
      <c r="C797" s="66" t="n"/>
      <c r="D797" s="67" t="n"/>
      <c r="E797" s="68" t="n"/>
      <c r="F797" s="47">
        <f>IF(A797="","",IF(MIN(H797,MAX(J797:K797))=0,"",MIN(H797,MAX(J797:K797))))</f>
        <v/>
      </c>
      <c r="G797" s="74" t="n"/>
      <c r="H797" s="49">
        <f>IF(M797="","",IFERROR(ROUND(AVERAGE(T797+M797*{7,8,9,10,11})/1.21,4),""))</f>
        <v/>
      </c>
      <c r="I797" s="76" t="n"/>
      <c r="J797" s="77" t="n"/>
      <c r="K797" s="74" t="n"/>
      <c r="L797" s="78" t="n"/>
      <c r="M797" s="77" t="n"/>
      <c r="N797" s="53">
        <f>IF(M797="","",IFERROR(M797/I797,""))</f>
        <v/>
      </c>
      <c r="O797" s="50">
        <f>IF(A797="","",IFERROR((IF(G797="",I797,G797)-T797)/M797,""))</f>
        <v/>
      </c>
      <c r="P797" s="50">
        <f>IFERROR((I797/T797-1)/N797,"")</f>
        <v/>
      </c>
      <c r="Q797" s="46">
        <f>IF(OR(T797="",I797&lt;T797),"",IFERROR(R797/IF(G797="",I797,G797)-1,""))</f>
        <v/>
      </c>
      <c r="R797" s="48">
        <f>IF($M797="","",MAX(IF($G797="",$I797,$G797)*(1/1.1),IF($G797="",$I797,$G797)+(R$2*$M797)))</f>
        <v/>
      </c>
      <c r="S797" s="49">
        <f>IF($M797="","",MAX(IF($G797="",$I797,$G797)*(1/1.1),IF($G797="",$I797,$G797)+(S$2*$M797)))</f>
        <v/>
      </c>
      <c r="T797" s="82" t="n"/>
      <c r="U797" s="47">
        <f>IF(OR($M797="",$T797=""),"",$T797+(U$2*$M797))</f>
        <v/>
      </c>
      <c r="V797" s="48">
        <f>IF(OR($M797="",$T797=""),"",$T797+(V$2*$M797))</f>
        <v/>
      </c>
      <c r="W797" s="48">
        <f>IF(OR($M797="",$T797=""),"",$T797+(W$2*$M797))</f>
        <v/>
      </c>
      <c r="X797" s="49">
        <f>IF(OR($M797="",$T797=""),"",$T797+(X$2*$M797))</f>
        <v/>
      </c>
      <c r="Y797" s="47">
        <f>IF(OR($M797="",$T797=""),"",$T797+(Y$2*$M797))</f>
        <v/>
      </c>
      <c r="Z797" s="49">
        <f>IF(OR($M797="",$T797=""),"",$T797+(Z$2*$M797))</f>
        <v/>
      </c>
      <c r="AA797" s="51">
        <f>IF(OR($M797="",$T797=""),"",$T797+(AA$2*$M797))</f>
        <v/>
      </c>
      <c r="AB797" s="48">
        <f>IF(OR($M797="",$T797=""),"",$T797+(AB$2*$M797))</f>
        <v/>
      </c>
      <c r="AC797" s="48">
        <f>IF(OR($M797="",$T797=""),"",$T797+(AC$2*$M797))</f>
        <v/>
      </c>
      <c r="AD797" s="48">
        <f>IF(OR($M797="",$T797=""),"",$T797+(AD$2*$M797))</f>
        <v/>
      </c>
      <c r="AE797" s="49">
        <f>IF(OR($M797="",$T797=""),"",$T797+(AE$2*$M797))</f>
        <v/>
      </c>
      <c r="AF797" s="52">
        <f>IF(OR(T797="",I797&lt;T797),"",IFERROR(AVERAGE(T797+M797*{7,8,9,10,11})/IF(G797="",I797,G797)-1,""))</f>
        <v/>
      </c>
      <c r="AG797" s="55">
        <f>IF(OR(T797="",I797&lt;T797),"",IFERROR(AF797/-(R797/IF(G797="",I797,G797)-1),""))</f>
        <v/>
      </c>
      <c r="AH797" s="94" t="n"/>
      <c r="AI797" s="94" t="n"/>
      <c r="AJ797" s="94" t="n"/>
      <c r="AK797" s="94" t="n"/>
      <c r="AL797" s="84" t="n"/>
    </row>
    <row r="798">
      <c r="A798" s="64" t="n"/>
      <c r="B798" s="65" t="n"/>
      <c r="C798" s="66" t="n"/>
      <c r="D798" s="67" t="n"/>
      <c r="E798" s="68" t="n"/>
      <c r="F798" s="47">
        <f>IF(A798="","",IF(MIN(H798,MAX(J798:K798))=0,"",MIN(H798,MAX(J798:K798))))</f>
        <v/>
      </c>
      <c r="G798" s="74" t="n"/>
      <c r="H798" s="49">
        <f>IF(M798="","",IFERROR(ROUND(AVERAGE(T798+M798*{7,8,9,10,11})/1.21,4),""))</f>
        <v/>
      </c>
      <c r="I798" s="76" t="n"/>
      <c r="J798" s="77" t="n"/>
      <c r="K798" s="74" t="n"/>
      <c r="L798" s="78" t="n"/>
      <c r="M798" s="77" t="n"/>
      <c r="N798" s="53">
        <f>IF(M798="","",IFERROR(M798/I798,""))</f>
        <v/>
      </c>
      <c r="O798" s="50">
        <f>IF(A798="","",IFERROR((IF(G798="",I798,G798)-T798)/M798,""))</f>
        <v/>
      </c>
      <c r="P798" s="50">
        <f>IFERROR((I798/T798-1)/N798,"")</f>
        <v/>
      </c>
      <c r="Q798" s="46">
        <f>IF(OR(T798="",I798&lt;T798),"",IFERROR(R798/IF(G798="",I798,G798)-1,""))</f>
        <v/>
      </c>
      <c r="R798" s="48">
        <f>IF($M798="","",MAX(IF($G798="",$I798,$G798)*(1/1.1),IF($G798="",$I798,$G798)+(R$2*$M798)))</f>
        <v/>
      </c>
      <c r="S798" s="49">
        <f>IF($M798="","",MAX(IF($G798="",$I798,$G798)*(1/1.1),IF($G798="",$I798,$G798)+(S$2*$M798)))</f>
        <v/>
      </c>
      <c r="T798" s="82" t="n"/>
      <c r="U798" s="47">
        <f>IF(OR($M798="",$T798=""),"",$T798+(U$2*$M798))</f>
        <v/>
      </c>
      <c r="V798" s="48">
        <f>IF(OR($M798="",$T798=""),"",$T798+(V$2*$M798))</f>
        <v/>
      </c>
      <c r="W798" s="48">
        <f>IF(OR($M798="",$T798=""),"",$T798+(W$2*$M798))</f>
        <v/>
      </c>
      <c r="X798" s="49">
        <f>IF(OR($M798="",$T798=""),"",$T798+(X$2*$M798))</f>
        <v/>
      </c>
      <c r="Y798" s="47">
        <f>IF(OR($M798="",$T798=""),"",$T798+(Y$2*$M798))</f>
        <v/>
      </c>
      <c r="Z798" s="49">
        <f>IF(OR($M798="",$T798=""),"",$T798+(Z$2*$M798))</f>
        <v/>
      </c>
      <c r="AA798" s="51">
        <f>IF(OR($M798="",$T798=""),"",$T798+(AA$2*$M798))</f>
        <v/>
      </c>
      <c r="AB798" s="48">
        <f>IF(OR($M798="",$T798=""),"",$T798+(AB$2*$M798))</f>
        <v/>
      </c>
      <c r="AC798" s="48">
        <f>IF(OR($M798="",$T798=""),"",$T798+(AC$2*$M798))</f>
        <v/>
      </c>
      <c r="AD798" s="48">
        <f>IF(OR($M798="",$T798=""),"",$T798+(AD$2*$M798))</f>
        <v/>
      </c>
      <c r="AE798" s="49">
        <f>IF(OR($M798="",$T798=""),"",$T798+(AE$2*$M798))</f>
        <v/>
      </c>
      <c r="AF798" s="52">
        <f>IF(OR(T798="",I798&lt;T798),"",IFERROR(AVERAGE(T798+M798*{7,8,9,10,11})/IF(G798="",I798,G798)-1,""))</f>
        <v/>
      </c>
      <c r="AG798" s="55">
        <f>IF(OR(T798="",I798&lt;T798),"",IFERROR(AF798/-(R798/IF(G798="",I798,G798)-1),""))</f>
        <v/>
      </c>
      <c r="AH798" s="94" t="n"/>
      <c r="AI798" s="94" t="n"/>
      <c r="AJ798" s="94" t="n"/>
      <c r="AK798" s="94" t="n"/>
      <c r="AL798" s="84" t="n"/>
    </row>
    <row r="799">
      <c r="A799" s="64" t="n"/>
      <c r="B799" s="65" t="n"/>
      <c r="C799" s="66" t="n"/>
      <c r="D799" s="67" t="n"/>
      <c r="E799" s="68" t="n"/>
      <c r="F799" s="47">
        <f>IF(A799="","",IF(MIN(H799,MAX(J799:K799))=0,"",MIN(H799,MAX(J799:K799))))</f>
        <v/>
      </c>
      <c r="G799" s="74" t="n"/>
      <c r="H799" s="49">
        <f>IF(M799="","",IFERROR(ROUND(AVERAGE(T799+M799*{7,8,9,10,11})/1.21,4),""))</f>
        <v/>
      </c>
      <c r="I799" s="76" t="n"/>
      <c r="J799" s="77" t="n"/>
      <c r="K799" s="74" t="n"/>
      <c r="L799" s="78" t="n"/>
      <c r="M799" s="77" t="n"/>
      <c r="N799" s="53">
        <f>IF(M799="","",IFERROR(M799/I799,""))</f>
        <v/>
      </c>
      <c r="O799" s="50">
        <f>IF(A799="","",IFERROR((IF(G799="",I799,G799)-T799)/M799,""))</f>
        <v/>
      </c>
      <c r="P799" s="50">
        <f>IFERROR((I799/T799-1)/N799,"")</f>
        <v/>
      </c>
      <c r="Q799" s="46">
        <f>IF(OR(T799="",I799&lt;T799),"",IFERROR(R799/IF(G799="",I799,G799)-1,""))</f>
        <v/>
      </c>
      <c r="R799" s="48">
        <f>IF($M799="","",MAX(IF($G799="",$I799,$G799)*(1/1.1),IF($G799="",$I799,$G799)+(R$2*$M799)))</f>
        <v/>
      </c>
      <c r="S799" s="49">
        <f>IF($M799="","",MAX(IF($G799="",$I799,$G799)*(1/1.1),IF($G799="",$I799,$G799)+(S$2*$M799)))</f>
        <v/>
      </c>
      <c r="T799" s="82" t="n"/>
      <c r="U799" s="47">
        <f>IF(OR($M799="",$T799=""),"",$T799+(U$2*$M799))</f>
        <v/>
      </c>
      <c r="V799" s="48">
        <f>IF(OR($M799="",$T799=""),"",$T799+(V$2*$M799))</f>
        <v/>
      </c>
      <c r="W799" s="48">
        <f>IF(OR($M799="",$T799=""),"",$T799+(W$2*$M799))</f>
        <v/>
      </c>
      <c r="X799" s="49">
        <f>IF(OR($M799="",$T799=""),"",$T799+(X$2*$M799))</f>
        <v/>
      </c>
      <c r="Y799" s="47">
        <f>IF(OR($M799="",$T799=""),"",$T799+(Y$2*$M799))</f>
        <v/>
      </c>
      <c r="Z799" s="49">
        <f>IF(OR($M799="",$T799=""),"",$T799+(Z$2*$M799))</f>
        <v/>
      </c>
      <c r="AA799" s="51">
        <f>IF(OR($M799="",$T799=""),"",$T799+(AA$2*$M799))</f>
        <v/>
      </c>
      <c r="AB799" s="48">
        <f>IF(OR($M799="",$T799=""),"",$T799+(AB$2*$M799))</f>
        <v/>
      </c>
      <c r="AC799" s="48">
        <f>IF(OR($M799="",$T799=""),"",$T799+(AC$2*$M799))</f>
        <v/>
      </c>
      <c r="AD799" s="48">
        <f>IF(OR($M799="",$T799=""),"",$T799+(AD$2*$M799))</f>
        <v/>
      </c>
      <c r="AE799" s="49">
        <f>IF(OR($M799="",$T799=""),"",$T799+(AE$2*$M799))</f>
        <v/>
      </c>
      <c r="AF799" s="52">
        <f>IF(OR(T799="",I799&lt;T799),"",IFERROR(AVERAGE(T799+M799*{7,8,9,10,11})/IF(G799="",I799,G799)-1,""))</f>
        <v/>
      </c>
      <c r="AG799" s="55">
        <f>IF(OR(T799="",I799&lt;T799),"",IFERROR(AF799/-(R799/IF(G799="",I799,G799)-1),""))</f>
        <v/>
      </c>
      <c r="AH799" s="94" t="n"/>
      <c r="AI799" s="94" t="n"/>
      <c r="AJ799" s="94" t="n"/>
      <c r="AK799" s="94" t="n"/>
      <c r="AL799" s="84" t="n"/>
    </row>
    <row r="800">
      <c r="A800" s="64" t="n"/>
      <c r="B800" s="65" t="n"/>
      <c r="C800" s="66" t="n"/>
      <c r="D800" s="67" t="n"/>
      <c r="E800" s="68" t="n"/>
      <c r="F800" s="47">
        <f>IF(A800="","",IF(MIN(H800,MAX(J800:K800))=0,"",MIN(H800,MAX(J800:K800))))</f>
        <v/>
      </c>
      <c r="G800" s="74" t="n"/>
      <c r="H800" s="49">
        <f>IF(M800="","",IFERROR(ROUND(AVERAGE(T800+M800*{7,8,9,10,11})/1.21,4),""))</f>
        <v/>
      </c>
      <c r="I800" s="76" t="n"/>
      <c r="J800" s="77" t="n"/>
      <c r="K800" s="74" t="n"/>
      <c r="L800" s="78" t="n"/>
      <c r="M800" s="77" t="n"/>
      <c r="N800" s="53">
        <f>IF(M800="","",IFERROR(M800/I800,""))</f>
        <v/>
      </c>
      <c r="O800" s="50">
        <f>IF(A800="","",IFERROR((IF(G800="",I800,G800)-T800)/M800,""))</f>
        <v/>
      </c>
      <c r="P800" s="50">
        <f>IFERROR((I800/T800-1)/N800,"")</f>
        <v/>
      </c>
      <c r="Q800" s="46">
        <f>IF(OR(T800="",I800&lt;T800),"",IFERROR(R800/IF(G800="",I800,G800)-1,""))</f>
        <v/>
      </c>
      <c r="R800" s="48">
        <f>IF($M800="","",MAX(IF($G800="",$I800,$G800)*(1/1.1),IF($G800="",$I800,$G800)+(R$2*$M800)))</f>
        <v/>
      </c>
      <c r="S800" s="49">
        <f>IF($M800="","",MAX(IF($G800="",$I800,$G800)*(1/1.1),IF($G800="",$I800,$G800)+(S$2*$M800)))</f>
        <v/>
      </c>
      <c r="T800" s="82" t="n"/>
      <c r="U800" s="47">
        <f>IF(OR($M800="",$T800=""),"",$T800+(U$2*$M800))</f>
        <v/>
      </c>
      <c r="V800" s="48">
        <f>IF(OR($M800="",$T800=""),"",$T800+(V$2*$M800))</f>
        <v/>
      </c>
      <c r="W800" s="48">
        <f>IF(OR($M800="",$T800=""),"",$T800+(W$2*$M800))</f>
        <v/>
      </c>
      <c r="X800" s="49">
        <f>IF(OR($M800="",$T800=""),"",$T800+(X$2*$M800))</f>
        <v/>
      </c>
      <c r="Y800" s="47">
        <f>IF(OR($M800="",$T800=""),"",$T800+(Y$2*$M800))</f>
        <v/>
      </c>
      <c r="Z800" s="49">
        <f>IF(OR($M800="",$T800=""),"",$T800+(Z$2*$M800))</f>
        <v/>
      </c>
      <c r="AA800" s="51">
        <f>IF(OR($M800="",$T800=""),"",$T800+(AA$2*$M800))</f>
        <v/>
      </c>
      <c r="AB800" s="48">
        <f>IF(OR($M800="",$T800=""),"",$T800+(AB$2*$M800))</f>
        <v/>
      </c>
      <c r="AC800" s="48">
        <f>IF(OR($M800="",$T800=""),"",$T800+(AC$2*$M800))</f>
        <v/>
      </c>
      <c r="AD800" s="48">
        <f>IF(OR($M800="",$T800=""),"",$T800+(AD$2*$M800))</f>
        <v/>
      </c>
      <c r="AE800" s="49">
        <f>IF(OR($M800="",$T800=""),"",$T800+(AE$2*$M800))</f>
        <v/>
      </c>
      <c r="AF800" s="52">
        <f>IF(OR(T800="",I800&lt;T800),"",IFERROR(AVERAGE(T800+M800*{7,8,9,10,11})/IF(G800="",I800,G800)-1,""))</f>
        <v/>
      </c>
      <c r="AG800" s="55">
        <f>IF(OR(T800="",I800&lt;T800),"",IFERROR(AF800/-(R800/IF(G800="",I800,G800)-1),""))</f>
        <v/>
      </c>
      <c r="AH800" s="94" t="n"/>
      <c r="AI800" s="94" t="n"/>
      <c r="AJ800" s="94" t="n"/>
      <c r="AK800" s="94" t="n"/>
      <c r="AL800" s="84" t="n"/>
    </row>
    <row r="801">
      <c r="A801" s="64" t="n"/>
      <c r="B801" s="65" t="n"/>
      <c r="C801" s="66" t="n"/>
      <c r="D801" s="67" t="n"/>
      <c r="E801" s="68" t="n"/>
      <c r="F801" s="47">
        <f>IF(A801="","",IF(MIN(H801,MAX(J801:K801))=0,"",MIN(H801,MAX(J801:K801))))</f>
        <v/>
      </c>
      <c r="G801" s="74" t="n"/>
      <c r="H801" s="49">
        <f>IF(M801="","",IFERROR(ROUND(AVERAGE(T801+M801*{7,8,9,10,11})/1.21,4),""))</f>
        <v/>
      </c>
      <c r="I801" s="76" t="n"/>
      <c r="J801" s="77" t="n"/>
      <c r="K801" s="74" t="n"/>
      <c r="L801" s="78" t="n"/>
      <c r="M801" s="77" t="n"/>
      <c r="N801" s="53">
        <f>IF(M801="","",IFERROR(M801/I801,""))</f>
        <v/>
      </c>
      <c r="O801" s="50">
        <f>IF(A801="","",IFERROR((IF(G801="",I801,G801)-T801)/M801,""))</f>
        <v/>
      </c>
      <c r="P801" s="50">
        <f>IFERROR((I801/T801-1)/N801,"")</f>
        <v/>
      </c>
      <c r="Q801" s="46">
        <f>IF(OR(T801="",I801&lt;T801),"",IFERROR(R801/IF(G801="",I801,G801)-1,""))</f>
        <v/>
      </c>
      <c r="R801" s="48">
        <f>IF($M801="","",MAX(IF($G801="",$I801,$G801)*(1/1.1),IF($G801="",$I801,$G801)+(R$2*$M801)))</f>
        <v/>
      </c>
      <c r="S801" s="49">
        <f>IF($M801="","",MAX(IF($G801="",$I801,$G801)*(1/1.1),IF($G801="",$I801,$G801)+(S$2*$M801)))</f>
        <v/>
      </c>
      <c r="T801" s="82" t="n"/>
      <c r="U801" s="47">
        <f>IF(OR($M801="",$T801=""),"",$T801+(U$2*$M801))</f>
        <v/>
      </c>
      <c r="V801" s="48">
        <f>IF(OR($M801="",$T801=""),"",$T801+(V$2*$M801))</f>
        <v/>
      </c>
      <c r="W801" s="48">
        <f>IF(OR($M801="",$T801=""),"",$T801+(W$2*$M801))</f>
        <v/>
      </c>
      <c r="X801" s="49">
        <f>IF(OR($M801="",$T801=""),"",$T801+(X$2*$M801))</f>
        <v/>
      </c>
      <c r="Y801" s="47">
        <f>IF(OR($M801="",$T801=""),"",$T801+(Y$2*$M801))</f>
        <v/>
      </c>
      <c r="Z801" s="49">
        <f>IF(OR($M801="",$T801=""),"",$T801+(Z$2*$M801))</f>
        <v/>
      </c>
      <c r="AA801" s="51">
        <f>IF(OR($M801="",$T801=""),"",$T801+(AA$2*$M801))</f>
        <v/>
      </c>
      <c r="AB801" s="48">
        <f>IF(OR($M801="",$T801=""),"",$T801+(AB$2*$M801))</f>
        <v/>
      </c>
      <c r="AC801" s="48">
        <f>IF(OR($M801="",$T801=""),"",$T801+(AC$2*$M801))</f>
        <v/>
      </c>
      <c r="AD801" s="48">
        <f>IF(OR($M801="",$T801=""),"",$T801+(AD$2*$M801))</f>
        <v/>
      </c>
      <c r="AE801" s="49">
        <f>IF(OR($M801="",$T801=""),"",$T801+(AE$2*$M801))</f>
        <v/>
      </c>
      <c r="AF801" s="52">
        <f>IF(OR(T801="",I801&lt;T801),"",IFERROR(AVERAGE(T801+M801*{7,8,9,10,11})/IF(G801="",I801,G801)-1,""))</f>
        <v/>
      </c>
      <c r="AG801" s="55">
        <f>IF(OR(T801="",I801&lt;T801),"",IFERROR(AF801/-(R801/IF(G801="",I801,G801)-1),""))</f>
        <v/>
      </c>
      <c r="AH801" s="94" t="n"/>
      <c r="AI801" s="94" t="n"/>
      <c r="AJ801" s="94" t="n"/>
      <c r="AK801" s="94" t="n"/>
      <c r="AL801" s="84" t="n"/>
    </row>
    <row r="802">
      <c r="A802" s="64" t="n"/>
      <c r="B802" s="65" t="n"/>
      <c r="C802" s="66" t="n"/>
      <c r="D802" s="67" t="n"/>
      <c r="E802" s="68" t="n"/>
      <c r="F802" s="47">
        <f>IF(A802="","",IF(MIN(H802,MAX(J802:K802))=0,"",MIN(H802,MAX(J802:K802))))</f>
        <v/>
      </c>
      <c r="G802" s="74" t="n"/>
      <c r="H802" s="49">
        <f>IF(M802="","",IFERROR(ROUND(AVERAGE(T802+M802*{7,8,9,10,11})/1.21,4),""))</f>
        <v/>
      </c>
      <c r="I802" s="76" t="n"/>
      <c r="J802" s="77" t="n"/>
      <c r="K802" s="74" t="n"/>
      <c r="L802" s="78" t="n"/>
      <c r="M802" s="77" t="n"/>
      <c r="N802" s="53">
        <f>IF(M802="","",IFERROR(M802/I802,""))</f>
        <v/>
      </c>
      <c r="O802" s="50">
        <f>IF(A802="","",IFERROR((IF(G802="",I802,G802)-T802)/M802,""))</f>
        <v/>
      </c>
      <c r="P802" s="50">
        <f>IFERROR((I802/T802-1)/N802,"")</f>
        <v/>
      </c>
      <c r="Q802" s="46">
        <f>IF(OR(T802="",I802&lt;T802),"",IFERROR(R802/IF(G802="",I802,G802)-1,""))</f>
        <v/>
      </c>
      <c r="R802" s="48">
        <f>IF($M802="","",MAX(IF($G802="",$I802,$G802)*(1/1.1),IF($G802="",$I802,$G802)+(R$2*$M802)))</f>
        <v/>
      </c>
      <c r="S802" s="49">
        <f>IF($M802="","",MAX(IF($G802="",$I802,$G802)*(1/1.1),IF($G802="",$I802,$G802)+(S$2*$M802)))</f>
        <v/>
      </c>
      <c r="T802" s="82" t="n"/>
      <c r="U802" s="47">
        <f>IF(OR($M802="",$T802=""),"",$T802+(U$2*$M802))</f>
        <v/>
      </c>
      <c r="V802" s="48">
        <f>IF(OR($M802="",$T802=""),"",$T802+(V$2*$M802))</f>
        <v/>
      </c>
      <c r="W802" s="48">
        <f>IF(OR($M802="",$T802=""),"",$T802+(W$2*$M802))</f>
        <v/>
      </c>
      <c r="X802" s="49">
        <f>IF(OR($M802="",$T802=""),"",$T802+(X$2*$M802))</f>
        <v/>
      </c>
      <c r="Y802" s="47">
        <f>IF(OR($M802="",$T802=""),"",$T802+(Y$2*$M802))</f>
        <v/>
      </c>
      <c r="Z802" s="49">
        <f>IF(OR($M802="",$T802=""),"",$T802+(Z$2*$M802))</f>
        <v/>
      </c>
      <c r="AA802" s="51">
        <f>IF(OR($M802="",$T802=""),"",$T802+(AA$2*$M802))</f>
        <v/>
      </c>
      <c r="AB802" s="48">
        <f>IF(OR($M802="",$T802=""),"",$T802+(AB$2*$M802))</f>
        <v/>
      </c>
      <c r="AC802" s="48">
        <f>IF(OR($M802="",$T802=""),"",$T802+(AC$2*$M802))</f>
        <v/>
      </c>
      <c r="AD802" s="48">
        <f>IF(OR($M802="",$T802=""),"",$T802+(AD$2*$M802))</f>
        <v/>
      </c>
      <c r="AE802" s="49">
        <f>IF(OR($M802="",$T802=""),"",$T802+(AE$2*$M802))</f>
        <v/>
      </c>
      <c r="AF802" s="52">
        <f>IF(OR(T802="",I802&lt;T802),"",IFERROR(AVERAGE(T802+M802*{7,8,9,10,11})/IF(G802="",I802,G802)-1,""))</f>
        <v/>
      </c>
      <c r="AG802" s="55">
        <f>IF(OR(T802="",I802&lt;T802),"",IFERROR(AF802/-(R802/IF(G802="",I802,G802)-1),""))</f>
        <v/>
      </c>
      <c r="AH802" s="94" t="n"/>
      <c r="AI802" s="94" t="n"/>
      <c r="AJ802" s="94" t="n"/>
      <c r="AK802" s="94" t="n"/>
      <c r="AL802" s="84" t="n"/>
    </row>
    <row r="803">
      <c r="A803" s="64" t="n"/>
      <c r="B803" s="65" t="n"/>
      <c r="C803" s="66" t="n"/>
      <c r="D803" s="67" t="n"/>
      <c r="E803" s="68" t="n"/>
      <c r="F803" s="47">
        <f>IF(A803="","",IF(MIN(H803,MAX(J803:K803))=0,"",MIN(H803,MAX(J803:K803))))</f>
        <v/>
      </c>
      <c r="G803" s="74" t="n"/>
      <c r="H803" s="49">
        <f>IF(M803="","",IFERROR(ROUND(AVERAGE(T803+M803*{7,8,9,10,11})/1.21,4),""))</f>
        <v/>
      </c>
      <c r="I803" s="76" t="n"/>
      <c r="J803" s="77" t="n"/>
      <c r="K803" s="74" t="n"/>
      <c r="L803" s="78" t="n"/>
      <c r="M803" s="77" t="n"/>
      <c r="N803" s="53">
        <f>IF(M803="","",IFERROR(M803/I803,""))</f>
        <v/>
      </c>
      <c r="O803" s="50">
        <f>IF(A803="","",IFERROR((IF(G803="",I803,G803)-T803)/M803,""))</f>
        <v/>
      </c>
      <c r="P803" s="50">
        <f>IFERROR((I803/T803-1)/N803,"")</f>
        <v/>
      </c>
      <c r="Q803" s="46">
        <f>IF(OR(T803="",I803&lt;T803),"",IFERROR(R803/IF(G803="",I803,G803)-1,""))</f>
        <v/>
      </c>
      <c r="R803" s="48">
        <f>IF($M803="","",MAX(IF($G803="",$I803,$G803)*(1/1.1),IF($G803="",$I803,$G803)+(R$2*$M803)))</f>
        <v/>
      </c>
      <c r="S803" s="49">
        <f>IF($M803="","",MAX(IF($G803="",$I803,$G803)*(1/1.1),IF($G803="",$I803,$G803)+(S$2*$M803)))</f>
        <v/>
      </c>
      <c r="T803" s="82" t="n"/>
      <c r="U803" s="47">
        <f>IF(OR($M803="",$T803=""),"",$T803+(U$2*$M803))</f>
        <v/>
      </c>
      <c r="V803" s="48">
        <f>IF(OR($M803="",$T803=""),"",$T803+(V$2*$M803))</f>
        <v/>
      </c>
      <c r="W803" s="48">
        <f>IF(OR($M803="",$T803=""),"",$T803+(W$2*$M803))</f>
        <v/>
      </c>
      <c r="X803" s="49">
        <f>IF(OR($M803="",$T803=""),"",$T803+(X$2*$M803))</f>
        <v/>
      </c>
      <c r="Y803" s="47">
        <f>IF(OR($M803="",$T803=""),"",$T803+(Y$2*$M803))</f>
        <v/>
      </c>
      <c r="Z803" s="49">
        <f>IF(OR($M803="",$T803=""),"",$T803+(Z$2*$M803))</f>
        <v/>
      </c>
      <c r="AA803" s="51">
        <f>IF(OR($M803="",$T803=""),"",$T803+(AA$2*$M803))</f>
        <v/>
      </c>
      <c r="AB803" s="48">
        <f>IF(OR($M803="",$T803=""),"",$T803+(AB$2*$M803))</f>
        <v/>
      </c>
      <c r="AC803" s="48">
        <f>IF(OR($M803="",$T803=""),"",$T803+(AC$2*$M803))</f>
        <v/>
      </c>
      <c r="AD803" s="48">
        <f>IF(OR($M803="",$T803=""),"",$T803+(AD$2*$M803))</f>
        <v/>
      </c>
      <c r="AE803" s="49">
        <f>IF(OR($M803="",$T803=""),"",$T803+(AE$2*$M803))</f>
        <v/>
      </c>
      <c r="AF803" s="52">
        <f>IF(OR(T803="",I803&lt;T803),"",IFERROR(AVERAGE(T803+M803*{7,8,9,10,11})/IF(G803="",I803,G803)-1,""))</f>
        <v/>
      </c>
      <c r="AG803" s="55">
        <f>IF(OR(T803="",I803&lt;T803),"",IFERROR(AF803/-(R803/IF(G803="",I803,G803)-1),""))</f>
        <v/>
      </c>
      <c r="AH803" s="94" t="n"/>
      <c r="AI803" s="94" t="n"/>
      <c r="AJ803" s="94" t="n"/>
      <c r="AK803" s="94" t="n"/>
      <c r="AL803" s="84" t="n"/>
    </row>
    <row r="804">
      <c r="A804" s="64" t="n"/>
      <c r="B804" s="65" t="n"/>
      <c r="C804" s="66" t="n"/>
      <c r="D804" s="67" t="n"/>
      <c r="E804" s="68" t="n"/>
      <c r="F804" s="47">
        <f>IF(A804="","",IF(MIN(H804,MAX(J804:K804))=0,"",MIN(H804,MAX(J804:K804))))</f>
        <v/>
      </c>
      <c r="G804" s="74" t="n"/>
      <c r="H804" s="49">
        <f>IF(M804="","",IFERROR(ROUND(AVERAGE(T804+M804*{7,8,9,10,11})/1.21,4),""))</f>
        <v/>
      </c>
      <c r="I804" s="76" t="n"/>
      <c r="J804" s="77" t="n"/>
      <c r="K804" s="74" t="n"/>
      <c r="L804" s="78" t="n"/>
      <c r="M804" s="77" t="n"/>
      <c r="N804" s="53">
        <f>IF(M804="","",IFERROR(M804/I804,""))</f>
        <v/>
      </c>
      <c r="O804" s="50">
        <f>IF(A804="","",IFERROR((IF(G804="",I804,G804)-T804)/M804,""))</f>
        <v/>
      </c>
      <c r="P804" s="50">
        <f>IFERROR((I804/T804-1)/N804,"")</f>
        <v/>
      </c>
      <c r="Q804" s="46">
        <f>IF(OR(T804="",I804&lt;T804),"",IFERROR(R804/IF(G804="",I804,G804)-1,""))</f>
        <v/>
      </c>
      <c r="R804" s="48">
        <f>IF($M804="","",MAX(IF($G804="",$I804,$G804)*(1/1.1),IF($G804="",$I804,$G804)+(R$2*$M804)))</f>
        <v/>
      </c>
      <c r="S804" s="49">
        <f>IF($M804="","",MAX(IF($G804="",$I804,$G804)*(1/1.1),IF($G804="",$I804,$G804)+(S$2*$M804)))</f>
        <v/>
      </c>
      <c r="T804" s="82" t="n"/>
      <c r="U804" s="47">
        <f>IF(OR($M804="",$T804=""),"",$T804+(U$2*$M804))</f>
        <v/>
      </c>
      <c r="V804" s="48">
        <f>IF(OR($M804="",$T804=""),"",$T804+(V$2*$M804))</f>
        <v/>
      </c>
      <c r="W804" s="48">
        <f>IF(OR($M804="",$T804=""),"",$T804+(W$2*$M804))</f>
        <v/>
      </c>
      <c r="X804" s="49">
        <f>IF(OR($M804="",$T804=""),"",$T804+(X$2*$M804))</f>
        <v/>
      </c>
      <c r="Y804" s="47">
        <f>IF(OR($M804="",$T804=""),"",$T804+(Y$2*$M804))</f>
        <v/>
      </c>
      <c r="Z804" s="49">
        <f>IF(OR($M804="",$T804=""),"",$T804+(Z$2*$M804))</f>
        <v/>
      </c>
      <c r="AA804" s="51">
        <f>IF(OR($M804="",$T804=""),"",$T804+(AA$2*$M804))</f>
        <v/>
      </c>
      <c r="AB804" s="48">
        <f>IF(OR($M804="",$T804=""),"",$T804+(AB$2*$M804))</f>
        <v/>
      </c>
      <c r="AC804" s="48">
        <f>IF(OR($M804="",$T804=""),"",$T804+(AC$2*$M804))</f>
        <v/>
      </c>
      <c r="AD804" s="48">
        <f>IF(OR($M804="",$T804=""),"",$T804+(AD$2*$M804))</f>
        <v/>
      </c>
      <c r="AE804" s="49">
        <f>IF(OR($M804="",$T804=""),"",$T804+(AE$2*$M804))</f>
        <v/>
      </c>
      <c r="AF804" s="52">
        <f>IF(OR(T804="",I804&lt;T804),"",IFERROR(AVERAGE(T804+M804*{7,8,9,10,11})/IF(G804="",I804,G804)-1,""))</f>
        <v/>
      </c>
      <c r="AG804" s="55">
        <f>IF(OR(T804="",I804&lt;T804),"",IFERROR(AF804/-(R804/IF(G804="",I804,G804)-1),""))</f>
        <v/>
      </c>
      <c r="AH804" s="94" t="n"/>
      <c r="AI804" s="94" t="n"/>
      <c r="AJ804" s="94" t="n"/>
      <c r="AK804" s="94" t="n"/>
      <c r="AL804" s="84" t="n"/>
    </row>
    <row r="805">
      <c r="A805" s="64" t="n"/>
      <c r="B805" s="65" t="n"/>
      <c r="C805" s="66" t="n"/>
      <c r="D805" s="67" t="n"/>
      <c r="E805" s="68" t="n"/>
      <c r="F805" s="47">
        <f>IF(A805="","",IF(MIN(H805,MAX(J805:K805))=0,"",MIN(H805,MAX(J805:K805))))</f>
        <v/>
      </c>
      <c r="G805" s="74" t="n"/>
      <c r="H805" s="49">
        <f>IF(M805="","",IFERROR(ROUND(AVERAGE(T805+M805*{7,8,9,10,11})/1.21,4),""))</f>
        <v/>
      </c>
      <c r="I805" s="76" t="n"/>
      <c r="J805" s="77" t="n"/>
      <c r="K805" s="74" t="n"/>
      <c r="L805" s="78" t="n"/>
      <c r="M805" s="77" t="n"/>
      <c r="N805" s="53">
        <f>IF(M805="","",IFERROR(M805/I805,""))</f>
        <v/>
      </c>
      <c r="O805" s="50">
        <f>IF(A805="","",IFERROR((IF(G805="",I805,G805)-T805)/M805,""))</f>
        <v/>
      </c>
      <c r="P805" s="50">
        <f>IFERROR((I805/T805-1)/N805,"")</f>
        <v/>
      </c>
      <c r="Q805" s="46">
        <f>IF(OR(T805="",I805&lt;T805),"",IFERROR(R805/IF(G805="",I805,G805)-1,""))</f>
        <v/>
      </c>
      <c r="R805" s="48">
        <f>IF($M805="","",MAX(IF($G805="",$I805,$G805)*(1/1.1),IF($G805="",$I805,$G805)+(R$2*$M805)))</f>
        <v/>
      </c>
      <c r="S805" s="49">
        <f>IF($M805="","",MAX(IF($G805="",$I805,$G805)*(1/1.1),IF($G805="",$I805,$G805)+(S$2*$M805)))</f>
        <v/>
      </c>
      <c r="T805" s="82" t="n"/>
      <c r="U805" s="47">
        <f>IF(OR($M805="",$T805=""),"",$T805+(U$2*$M805))</f>
        <v/>
      </c>
      <c r="V805" s="48">
        <f>IF(OR($M805="",$T805=""),"",$T805+(V$2*$M805))</f>
        <v/>
      </c>
      <c r="W805" s="48">
        <f>IF(OR($M805="",$T805=""),"",$T805+(W$2*$M805))</f>
        <v/>
      </c>
      <c r="X805" s="49">
        <f>IF(OR($M805="",$T805=""),"",$T805+(X$2*$M805))</f>
        <v/>
      </c>
      <c r="Y805" s="47">
        <f>IF(OR($M805="",$T805=""),"",$T805+(Y$2*$M805))</f>
        <v/>
      </c>
      <c r="Z805" s="49">
        <f>IF(OR($M805="",$T805=""),"",$T805+(Z$2*$M805))</f>
        <v/>
      </c>
      <c r="AA805" s="51">
        <f>IF(OR($M805="",$T805=""),"",$T805+(AA$2*$M805))</f>
        <v/>
      </c>
      <c r="AB805" s="48">
        <f>IF(OR($M805="",$T805=""),"",$T805+(AB$2*$M805))</f>
        <v/>
      </c>
      <c r="AC805" s="48">
        <f>IF(OR($M805="",$T805=""),"",$T805+(AC$2*$M805))</f>
        <v/>
      </c>
      <c r="AD805" s="48">
        <f>IF(OR($M805="",$T805=""),"",$T805+(AD$2*$M805))</f>
        <v/>
      </c>
      <c r="AE805" s="49">
        <f>IF(OR($M805="",$T805=""),"",$T805+(AE$2*$M805))</f>
        <v/>
      </c>
      <c r="AF805" s="52">
        <f>IF(OR(T805="",I805&lt;T805),"",IFERROR(AVERAGE(T805+M805*{7,8,9,10,11})/IF(G805="",I805,G805)-1,""))</f>
        <v/>
      </c>
      <c r="AG805" s="55">
        <f>IF(OR(T805="",I805&lt;T805),"",IFERROR(AF805/-(R805/IF(G805="",I805,G805)-1),""))</f>
        <v/>
      </c>
      <c r="AH805" s="94" t="n"/>
      <c r="AI805" s="94" t="n"/>
      <c r="AJ805" s="94" t="n"/>
      <c r="AK805" s="94" t="n"/>
      <c r="AL805" s="84" t="n"/>
    </row>
    <row r="806">
      <c r="A806" s="64" t="n"/>
      <c r="B806" s="65" t="n"/>
      <c r="C806" s="66" t="n"/>
      <c r="D806" s="67" t="n"/>
      <c r="E806" s="68" t="n"/>
      <c r="F806" s="47">
        <f>IF(A806="","",IF(MIN(H806,MAX(J806:K806))=0,"",MIN(H806,MAX(J806:K806))))</f>
        <v/>
      </c>
      <c r="G806" s="74" t="n"/>
      <c r="H806" s="49">
        <f>IF(M806="","",IFERROR(ROUND(AVERAGE(T806+M806*{7,8,9,10,11})/1.21,4),""))</f>
        <v/>
      </c>
      <c r="I806" s="76" t="n"/>
      <c r="J806" s="77" t="n"/>
      <c r="K806" s="74" t="n"/>
      <c r="L806" s="78" t="n"/>
      <c r="M806" s="77" t="n"/>
      <c r="N806" s="53">
        <f>IF(M806="","",IFERROR(M806/I806,""))</f>
        <v/>
      </c>
      <c r="O806" s="50">
        <f>IF(A806="","",IFERROR((IF(G806="",I806,G806)-T806)/M806,""))</f>
        <v/>
      </c>
      <c r="P806" s="50">
        <f>IFERROR((I806/T806-1)/N806,"")</f>
        <v/>
      </c>
      <c r="Q806" s="46">
        <f>IF(OR(T806="",I806&lt;T806),"",IFERROR(R806/IF(G806="",I806,G806)-1,""))</f>
        <v/>
      </c>
      <c r="R806" s="48">
        <f>IF($M806="","",MAX(IF($G806="",$I806,$G806)*(1/1.1),IF($G806="",$I806,$G806)+(R$2*$M806)))</f>
        <v/>
      </c>
      <c r="S806" s="49">
        <f>IF($M806="","",MAX(IF($G806="",$I806,$G806)*(1/1.1),IF($G806="",$I806,$G806)+(S$2*$M806)))</f>
        <v/>
      </c>
      <c r="T806" s="82" t="n"/>
      <c r="U806" s="47">
        <f>IF(OR($M806="",$T806=""),"",$T806+(U$2*$M806))</f>
        <v/>
      </c>
      <c r="V806" s="48">
        <f>IF(OR($M806="",$T806=""),"",$T806+(V$2*$M806))</f>
        <v/>
      </c>
      <c r="W806" s="48">
        <f>IF(OR($M806="",$T806=""),"",$T806+(W$2*$M806))</f>
        <v/>
      </c>
      <c r="X806" s="49">
        <f>IF(OR($M806="",$T806=""),"",$T806+(X$2*$M806))</f>
        <v/>
      </c>
      <c r="Y806" s="47">
        <f>IF(OR($M806="",$T806=""),"",$T806+(Y$2*$M806))</f>
        <v/>
      </c>
      <c r="Z806" s="49">
        <f>IF(OR($M806="",$T806=""),"",$T806+(Z$2*$M806))</f>
        <v/>
      </c>
      <c r="AA806" s="51">
        <f>IF(OR($M806="",$T806=""),"",$T806+(AA$2*$M806))</f>
        <v/>
      </c>
      <c r="AB806" s="48">
        <f>IF(OR($M806="",$T806=""),"",$T806+(AB$2*$M806))</f>
        <v/>
      </c>
      <c r="AC806" s="48">
        <f>IF(OR($M806="",$T806=""),"",$T806+(AC$2*$M806))</f>
        <v/>
      </c>
      <c r="AD806" s="48">
        <f>IF(OR($M806="",$T806=""),"",$T806+(AD$2*$M806))</f>
        <v/>
      </c>
      <c r="AE806" s="49">
        <f>IF(OR($M806="",$T806=""),"",$T806+(AE$2*$M806))</f>
        <v/>
      </c>
      <c r="AF806" s="52">
        <f>IF(OR(T806="",I806&lt;T806),"",IFERROR(AVERAGE(T806+M806*{7,8,9,10,11})/IF(G806="",I806,G806)-1,""))</f>
        <v/>
      </c>
      <c r="AG806" s="55">
        <f>IF(OR(T806="",I806&lt;T806),"",IFERROR(AF806/-(R806/IF(G806="",I806,G806)-1),""))</f>
        <v/>
      </c>
      <c r="AH806" s="94" t="n"/>
      <c r="AI806" s="94" t="n"/>
      <c r="AJ806" s="94" t="n"/>
      <c r="AK806" s="94" t="n"/>
      <c r="AL806" s="84" t="n"/>
    </row>
    <row r="807">
      <c r="A807" s="64" t="n"/>
      <c r="B807" s="65" t="n"/>
      <c r="C807" s="66" t="n"/>
      <c r="D807" s="67" t="n"/>
      <c r="E807" s="68" t="n"/>
      <c r="F807" s="47">
        <f>IF(A807="","",IF(MIN(H807,MAX(J807:K807))=0,"",MIN(H807,MAX(J807:K807))))</f>
        <v/>
      </c>
      <c r="G807" s="74" t="n"/>
      <c r="H807" s="49">
        <f>IF(M807="","",IFERROR(ROUND(AVERAGE(T807+M807*{7,8,9,10,11})/1.21,4),""))</f>
        <v/>
      </c>
      <c r="I807" s="76" t="n"/>
      <c r="J807" s="77" t="n"/>
      <c r="K807" s="74" t="n"/>
      <c r="L807" s="78" t="n"/>
      <c r="M807" s="77" t="n"/>
      <c r="N807" s="53">
        <f>IF(M807="","",IFERROR(M807/I807,""))</f>
        <v/>
      </c>
      <c r="O807" s="50">
        <f>IF(A807="","",IFERROR((IF(G807="",I807,G807)-T807)/M807,""))</f>
        <v/>
      </c>
      <c r="P807" s="50">
        <f>IFERROR((I807/T807-1)/N807,"")</f>
        <v/>
      </c>
      <c r="Q807" s="46">
        <f>IF(OR(T807="",I807&lt;T807),"",IFERROR(R807/IF(G807="",I807,G807)-1,""))</f>
        <v/>
      </c>
      <c r="R807" s="48">
        <f>IF($M807="","",MAX(IF($G807="",$I807,$G807)*(1/1.1),IF($G807="",$I807,$G807)+(R$2*$M807)))</f>
        <v/>
      </c>
      <c r="S807" s="49">
        <f>IF($M807="","",MAX(IF($G807="",$I807,$G807)*(1/1.1),IF($G807="",$I807,$G807)+(S$2*$M807)))</f>
        <v/>
      </c>
      <c r="T807" s="82" t="n"/>
      <c r="U807" s="47">
        <f>IF(OR($M807="",$T807=""),"",$T807+(U$2*$M807))</f>
        <v/>
      </c>
      <c r="V807" s="48">
        <f>IF(OR($M807="",$T807=""),"",$T807+(V$2*$M807))</f>
        <v/>
      </c>
      <c r="W807" s="48">
        <f>IF(OR($M807="",$T807=""),"",$T807+(W$2*$M807))</f>
        <v/>
      </c>
      <c r="X807" s="49">
        <f>IF(OR($M807="",$T807=""),"",$T807+(X$2*$M807))</f>
        <v/>
      </c>
      <c r="Y807" s="47">
        <f>IF(OR($M807="",$T807=""),"",$T807+(Y$2*$M807))</f>
        <v/>
      </c>
      <c r="Z807" s="49">
        <f>IF(OR($M807="",$T807=""),"",$T807+(Z$2*$M807))</f>
        <v/>
      </c>
      <c r="AA807" s="51">
        <f>IF(OR($M807="",$T807=""),"",$T807+(AA$2*$M807))</f>
        <v/>
      </c>
      <c r="AB807" s="48">
        <f>IF(OR($M807="",$T807=""),"",$T807+(AB$2*$M807))</f>
        <v/>
      </c>
      <c r="AC807" s="48">
        <f>IF(OR($M807="",$T807=""),"",$T807+(AC$2*$M807))</f>
        <v/>
      </c>
      <c r="AD807" s="48">
        <f>IF(OR($M807="",$T807=""),"",$T807+(AD$2*$M807))</f>
        <v/>
      </c>
      <c r="AE807" s="49">
        <f>IF(OR($M807="",$T807=""),"",$T807+(AE$2*$M807))</f>
        <v/>
      </c>
      <c r="AF807" s="52">
        <f>IF(OR(T807="",I807&lt;T807),"",IFERROR(AVERAGE(T807+M807*{7,8,9,10,11})/IF(G807="",I807,G807)-1,""))</f>
        <v/>
      </c>
      <c r="AG807" s="55">
        <f>IF(OR(T807="",I807&lt;T807),"",IFERROR(AF807/-(R807/IF(G807="",I807,G807)-1),""))</f>
        <v/>
      </c>
      <c r="AH807" s="94" t="n"/>
      <c r="AI807" s="94" t="n"/>
      <c r="AJ807" s="94" t="n"/>
      <c r="AK807" s="94" t="n"/>
      <c r="AL807" s="84" t="n"/>
    </row>
    <row r="808">
      <c r="A808" s="64" t="n"/>
      <c r="B808" s="65" t="n"/>
      <c r="C808" s="66" t="n"/>
      <c r="D808" s="67" t="n"/>
      <c r="E808" s="68" t="n"/>
      <c r="F808" s="47">
        <f>IF(A808="","",IF(MIN(H808,MAX(J808:K808))=0,"",MIN(H808,MAX(J808:K808))))</f>
        <v/>
      </c>
      <c r="G808" s="74" t="n"/>
      <c r="H808" s="49">
        <f>IF(M808="","",IFERROR(ROUND(AVERAGE(T808+M808*{7,8,9,10,11})/1.21,4),""))</f>
        <v/>
      </c>
      <c r="I808" s="76" t="n"/>
      <c r="J808" s="77" t="n"/>
      <c r="K808" s="74" t="n"/>
      <c r="L808" s="78" t="n"/>
      <c r="M808" s="77" t="n"/>
      <c r="N808" s="53">
        <f>IF(M808="","",IFERROR(M808/I808,""))</f>
        <v/>
      </c>
      <c r="O808" s="50">
        <f>IF(A808="","",IFERROR((IF(G808="",I808,G808)-T808)/M808,""))</f>
        <v/>
      </c>
      <c r="P808" s="50">
        <f>IFERROR((I808/T808-1)/N808,"")</f>
        <v/>
      </c>
      <c r="Q808" s="46">
        <f>IF(OR(T808="",I808&lt;T808),"",IFERROR(R808/IF(G808="",I808,G808)-1,""))</f>
        <v/>
      </c>
      <c r="R808" s="48">
        <f>IF($M808="","",MAX(IF($G808="",$I808,$G808)*(1/1.1),IF($G808="",$I808,$G808)+(R$2*$M808)))</f>
        <v/>
      </c>
      <c r="S808" s="49">
        <f>IF($M808="","",MAX(IF($G808="",$I808,$G808)*(1/1.1),IF($G808="",$I808,$G808)+(S$2*$M808)))</f>
        <v/>
      </c>
      <c r="T808" s="82" t="n"/>
      <c r="U808" s="47">
        <f>IF(OR($M808="",$T808=""),"",$T808+(U$2*$M808))</f>
        <v/>
      </c>
      <c r="V808" s="48">
        <f>IF(OR($M808="",$T808=""),"",$T808+(V$2*$M808))</f>
        <v/>
      </c>
      <c r="W808" s="48">
        <f>IF(OR($M808="",$T808=""),"",$T808+(W$2*$M808))</f>
        <v/>
      </c>
      <c r="X808" s="49">
        <f>IF(OR($M808="",$T808=""),"",$T808+(X$2*$M808))</f>
        <v/>
      </c>
      <c r="Y808" s="47">
        <f>IF(OR($M808="",$T808=""),"",$T808+(Y$2*$M808))</f>
        <v/>
      </c>
      <c r="Z808" s="49">
        <f>IF(OR($M808="",$T808=""),"",$T808+(Z$2*$M808))</f>
        <v/>
      </c>
      <c r="AA808" s="51">
        <f>IF(OR($M808="",$T808=""),"",$T808+(AA$2*$M808))</f>
        <v/>
      </c>
      <c r="AB808" s="48">
        <f>IF(OR($M808="",$T808=""),"",$T808+(AB$2*$M808))</f>
        <v/>
      </c>
      <c r="AC808" s="48">
        <f>IF(OR($M808="",$T808=""),"",$T808+(AC$2*$M808))</f>
        <v/>
      </c>
      <c r="AD808" s="48">
        <f>IF(OR($M808="",$T808=""),"",$T808+(AD$2*$M808))</f>
        <v/>
      </c>
      <c r="AE808" s="49">
        <f>IF(OR($M808="",$T808=""),"",$T808+(AE$2*$M808))</f>
        <v/>
      </c>
      <c r="AF808" s="52">
        <f>IF(OR(T808="",I808&lt;T808),"",IFERROR(AVERAGE(T808+M808*{7,8,9,10,11})/IF(G808="",I808,G808)-1,""))</f>
        <v/>
      </c>
      <c r="AG808" s="55">
        <f>IF(OR(T808="",I808&lt;T808),"",IFERROR(AF808/-(R808/IF(G808="",I808,G808)-1),""))</f>
        <v/>
      </c>
      <c r="AH808" s="94" t="n"/>
      <c r="AI808" s="94" t="n"/>
      <c r="AJ808" s="94" t="n"/>
      <c r="AK808" s="94" t="n"/>
      <c r="AL808" s="84" t="n"/>
    </row>
    <row r="809">
      <c r="A809" s="64" t="n"/>
      <c r="B809" s="65" t="n"/>
      <c r="C809" s="66" t="n"/>
      <c r="D809" s="67" t="n"/>
      <c r="E809" s="68" t="n"/>
      <c r="F809" s="47">
        <f>IF(A809="","",IF(MIN(H809,MAX(J809:K809))=0,"",MIN(H809,MAX(J809:K809))))</f>
        <v/>
      </c>
      <c r="G809" s="74" t="n"/>
      <c r="H809" s="49">
        <f>IF(M809="","",IFERROR(ROUND(AVERAGE(T809+M809*{7,8,9,10,11})/1.21,4),""))</f>
        <v/>
      </c>
      <c r="I809" s="76" t="n"/>
      <c r="J809" s="77" t="n"/>
      <c r="K809" s="74" t="n"/>
      <c r="L809" s="78" t="n"/>
      <c r="M809" s="77" t="n"/>
      <c r="N809" s="53">
        <f>IF(M809="","",IFERROR(M809/I809,""))</f>
        <v/>
      </c>
      <c r="O809" s="50">
        <f>IF(A809="","",IFERROR((IF(G809="",I809,G809)-T809)/M809,""))</f>
        <v/>
      </c>
      <c r="P809" s="50">
        <f>IFERROR((I809/T809-1)/N809,"")</f>
        <v/>
      </c>
      <c r="Q809" s="46">
        <f>IF(OR(T809="",I809&lt;T809),"",IFERROR(R809/IF(G809="",I809,G809)-1,""))</f>
        <v/>
      </c>
      <c r="R809" s="48">
        <f>IF($M809="","",MAX(IF($G809="",$I809,$G809)*(1/1.1),IF($G809="",$I809,$G809)+(R$2*$M809)))</f>
        <v/>
      </c>
      <c r="S809" s="49">
        <f>IF($M809="","",MAX(IF($G809="",$I809,$G809)*(1/1.1),IF($G809="",$I809,$G809)+(S$2*$M809)))</f>
        <v/>
      </c>
      <c r="T809" s="82" t="n"/>
      <c r="U809" s="47">
        <f>IF(OR($M809="",$T809=""),"",$T809+(U$2*$M809))</f>
        <v/>
      </c>
      <c r="V809" s="48">
        <f>IF(OR($M809="",$T809=""),"",$T809+(V$2*$M809))</f>
        <v/>
      </c>
      <c r="W809" s="48">
        <f>IF(OR($M809="",$T809=""),"",$T809+(W$2*$M809))</f>
        <v/>
      </c>
      <c r="X809" s="49">
        <f>IF(OR($M809="",$T809=""),"",$T809+(X$2*$M809))</f>
        <v/>
      </c>
      <c r="Y809" s="47">
        <f>IF(OR($M809="",$T809=""),"",$T809+(Y$2*$M809))</f>
        <v/>
      </c>
      <c r="Z809" s="49">
        <f>IF(OR($M809="",$T809=""),"",$T809+(Z$2*$M809))</f>
        <v/>
      </c>
      <c r="AA809" s="51">
        <f>IF(OR($M809="",$T809=""),"",$T809+(AA$2*$M809))</f>
        <v/>
      </c>
      <c r="AB809" s="48">
        <f>IF(OR($M809="",$T809=""),"",$T809+(AB$2*$M809))</f>
        <v/>
      </c>
      <c r="AC809" s="48">
        <f>IF(OR($M809="",$T809=""),"",$T809+(AC$2*$M809))</f>
        <v/>
      </c>
      <c r="AD809" s="48">
        <f>IF(OR($M809="",$T809=""),"",$T809+(AD$2*$M809))</f>
        <v/>
      </c>
      <c r="AE809" s="49">
        <f>IF(OR($M809="",$T809=""),"",$T809+(AE$2*$M809))</f>
        <v/>
      </c>
      <c r="AF809" s="52">
        <f>IF(OR(T809="",I809&lt;T809),"",IFERROR(AVERAGE(T809+M809*{7,8,9,10,11})/IF(G809="",I809,G809)-1,""))</f>
        <v/>
      </c>
      <c r="AG809" s="55">
        <f>IF(OR(T809="",I809&lt;T809),"",IFERROR(AF809/-(R809/IF(G809="",I809,G809)-1),""))</f>
        <v/>
      </c>
      <c r="AH809" s="94" t="n"/>
      <c r="AI809" s="94" t="n"/>
      <c r="AJ809" s="94" t="n"/>
      <c r="AK809" s="94" t="n"/>
      <c r="AL809" s="84" t="n"/>
    </row>
    <row r="810">
      <c r="A810" s="64" t="n"/>
      <c r="B810" s="65" t="n"/>
      <c r="C810" s="66" t="n"/>
      <c r="D810" s="67" t="n"/>
      <c r="E810" s="68" t="n"/>
      <c r="F810" s="47">
        <f>IF(A810="","",IF(MIN(H810,MAX(J810:K810))=0,"",MIN(H810,MAX(J810:K810))))</f>
        <v/>
      </c>
      <c r="G810" s="74" t="n"/>
      <c r="H810" s="49">
        <f>IF(M810="","",IFERROR(ROUND(AVERAGE(T810+M810*{7,8,9,10,11})/1.21,4),""))</f>
        <v/>
      </c>
      <c r="I810" s="76" t="n"/>
      <c r="J810" s="77" t="n"/>
      <c r="K810" s="74" t="n"/>
      <c r="L810" s="78" t="n"/>
      <c r="M810" s="77" t="n"/>
      <c r="N810" s="53">
        <f>IF(M810="","",IFERROR(M810/I810,""))</f>
        <v/>
      </c>
      <c r="O810" s="50">
        <f>IF(A810="","",IFERROR((IF(G810="",I810,G810)-T810)/M810,""))</f>
        <v/>
      </c>
      <c r="P810" s="50">
        <f>IFERROR((I810/T810-1)/N810,"")</f>
        <v/>
      </c>
      <c r="Q810" s="46">
        <f>IF(OR(T810="",I810&lt;T810),"",IFERROR(R810/IF(G810="",I810,G810)-1,""))</f>
        <v/>
      </c>
      <c r="R810" s="48">
        <f>IF($M810="","",MAX(IF($G810="",$I810,$G810)*(1/1.1),IF($G810="",$I810,$G810)+(R$2*$M810)))</f>
        <v/>
      </c>
      <c r="S810" s="49">
        <f>IF($M810="","",MAX(IF($G810="",$I810,$G810)*(1/1.1),IF($G810="",$I810,$G810)+(S$2*$M810)))</f>
        <v/>
      </c>
      <c r="T810" s="82" t="n"/>
      <c r="U810" s="47">
        <f>IF(OR($M810="",$T810=""),"",$T810+(U$2*$M810))</f>
        <v/>
      </c>
      <c r="V810" s="48">
        <f>IF(OR($M810="",$T810=""),"",$T810+(V$2*$M810))</f>
        <v/>
      </c>
      <c r="W810" s="48">
        <f>IF(OR($M810="",$T810=""),"",$T810+(W$2*$M810))</f>
        <v/>
      </c>
      <c r="X810" s="49">
        <f>IF(OR($M810="",$T810=""),"",$T810+(X$2*$M810))</f>
        <v/>
      </c>
      <c r="Y810" s="47">
        <f>IF(OR($M810="",$T810=""),"",$T810+(Y$2*$M810))</f>
        <v/>
      </c>
      <c r="Z810" s="49">
        <f>IF(OR($M810="",$T810=""),"",$T810+(Z$2*$M810))</f>
        <v/>
      </c>
      <c r="AA810" s="51">
        <f>IF(OR($M810="",$T810=""),"",$T810+(AA$2*$M810))</f>
        <v/>
      </c>
      <c r="AB810" s="48">
        <f>IF(OR($M810="",$T810=""),"",$T810+(AB$2*$M810))</f>
        <v/>
      </c>
      <c r="AC810" s="48">
        <f>IF(OR($M810="",$T810=""),"",$T810+(AC$2*$M810))</f>
        <v/>
      </c>
      <c r="AD810" s="48">
        <f>IF(OR($M810="",$T810=""),"",$T810+(AD$2*$M810))</f>
        <v/>
      </c>
      <c r="AE810" s="49">
        <f>IF(OR($M810="",$T810=""),"",$T810+(AE$2*$M810))</f>
        <v/>
      </c>
      <c r="AF810" s="52">
        <f>IF(OR(T810="",I810&lt;T810),"",IFERROR(AVERAGE(T810+M810*{7,8,9,10,11})/IF(G810="",I810,G810)-1,""))</f>
        <v/>
      </c>
      <c r="AG810" s="55">
        <f>IF(OR(T810="",I810&lt;T810),"",IFERROR(AF810/-(R810/IF(G810="",I810,G810)-1),""))</f>
        <v/>
      </c>
      <c r="AH810" s="94" t="n"/>
      <c r="AI810" s="94" t="n"/>
      <c r="AJ810" s="94" t="n"/>
      <c r="AK810" s="94" t="n"/>
      <c r="AL810" s="84" t="n"/>
    </row>
    <row r="811">
      <c r="A811" s="64" t="n"/>
      <c r="B811" s="65" t="n"/>
      <c r="C811" s="66" t="n"/>
      <c r="D811" s="67" t="n"/>
      <c r="E811" s="68" t="n"/>
      <c r="F811" s="47">
        <f>IF(A811="","",IF(MIN(H811,MAX(J811:K811))=0,"",MIN(H811,MAX(J811:K811))))</f>
        <v/>
      </c>
      <c r="G811" s="74" t="n"/>
      <c r="H811" s="49">
        <f>IF(M811="","",IFERROR(ROUND(AVERAGE(T811+M811*{7,8,9,10,11})/1.21,4),""))</f>
        <v/>
      </c>
      <c r="I811" s="76" t="n"/>
      <c r="J811" s="77" t="n"/>
      <c r="K811" s="74" t="n"/>
      <c r="L811" s="78" t="n"/>
      <c r="M811" s="77" t="n"/>
      <c r="N811" s="53">
        <f>IF(M811="","",IFERROR(M811/I811,""))</f>
        <v/>
      </c>
      <c r="O811" s="50">
        <f>IF(A811="","",IFERROR((IF(G811="",I811,G811)-T811)/M811,""))</f>
        <v/>
      </c>
      <c r="P811" s="50">
        <f>IFERROR((I811/T811-1)/N811,"")</f>
        <v/>
      </c>
      <c r="Q811" s="46">
        <f>IF(OR(T811="",I811&lt;T811),"",IFERROR(R811/IF(G811="",I811,G811)-1,""))</f>
        <v/>
      </c>
      <c r="R811" s="48">
        <f>IF($M811="","",MAX(IF($G811="",$I811,$G811)*(1/1.1),IF($G811="",$I811,$G811)+(R$2*$M811)))</f>
        <v/>
      </c>
      <c r="S811" s="49">
        <f>IF($M811="","",MAX(IF($G811="",$I811,$G811)*(1/1.1),IF($G811="",$I811,$G811)+(S$2*$M811)))</f>
        <v/>
      </c>
      <c r="T811" s="82" t="n"/>
      <c r="U811" s="47">
        <f>IF(OR($M811="",$T811=""),"",$T811+(U$2*$M811))</f>
        <v/>
      </c>
      <c r="V811" s="48">
        <f>IF(OR($M811="",$T811=""),"",$T811+(V$2*$M811))</f>
        <v/>
      </c>
      <c r="W811" s="48">
        <f>IF(OR($M811="",$T811=""),"",$T811+(W$2*$M811))</f>
        <v/>
      </c>
      <c r="X811" s="49">
        <f>IF(OR($M811="",$T811=""),"",$T811+(X$2*$M811))</f>
        <v/>
      </c>
      <c r="Y811" s="47">
        <f>IF(OR($M811="",$T811=""),"",$T811+(Y$2*$M811))</f>
        <v/>
      </c>
      <c r="Z811" s="49">
        <f>IF(OR($M811="",$T811=""),"",$T811+(Z$2*$M811))</f>
        <v/>
      </c>
      <c r="AA811" s="51">
        <f>IF(OR($M811="",$T811=""),"",$T811+(AA$2*$M811))</f>
        <v/>
      </c>
      <c r="AB811" s="48">
        <f>IF(OR($M811="",$T811=""),"",$T811+(AB$2*$M811))</f>
        <v/>
      </c>
      <c r="AC811" s="48">
        <f>IF(OR($M811="",$T811=""),"",$T811+(AC$2*$M811))</f>
        <v/>
      </c>
      <c r="AD811" s="48">
        <f>IF(OR($M811="",$T811=""),"",$T811+(AD$2*$M811))</f>
        <v/>
      </c>
      <c r="AE811" s="49">
        <f>IF(OR($M811="",$T811=""),"",$T811+(AE$2*$M811))</f>
        <v/>
      </c>
      <c r="AF811" s="52">
        <f>IF(OR(T811="",I811&lt;T811),"",IFERROR(AVERAGE(T811+M811*{7,8,9,10,11})/IF(G811="",I811,G811)-1,""))</f>
        <v/>
      </c>
      <c r="AG811" s="55">
        <f>IF(OR(T811="",I811&lt;T811),"",IFERROR(AF811/-(R811/IF(G811="",I811,G811)-1),""))</f>
        <v/>
      </c>
      <c r="AH811" s="94" t="n"/>
      <c r="AI811" s="94" t="n"/>
      <c r="AJ811" s="94" t="n"/>
      <c r="AK811" s="94" t="n"/>
      <c r="AL811" s="84" t="n"/>
    </row>
    <row r="812">
      <c r="A812" s="64" t="n"/>
      <c r="B812" s="65" t="n"/>
      <c r="C812" s="66" t="n"/>
      <c r="D812" s="67" t="n"/>
      <c r="E812" s="68" t="n"/>
      <c r="F812" s="47">
        <f>IF(A812="","",IF(MIN(H812,MAX(J812:K812))=0,"",MIN(H812,MAX(J812:K812))))</f>
        <v/>
      </c>
      <c r="G812" s="74" t="n"/>
      <c r="H812" s="49">
        <f>IF(M812="","",IFERROR(ROUND(AVERAGE(T812+M812*{7,8,9,10,11})/1.21,4),""))</f>
        <v/>
      </c>
      <c r="I812" s="76" t="n"/>
      <c r="J812" s="77" t="n"/>
      <c r="K812" s="74" t="n"/>
      <c r="L812" s="78" t="n"/>
      <c r="M812" s="77" t="n"/>
      <c r="N812" s="53">
        <f>IF(M812="","",IFERROR(M812/I812,""))</f>
        <v/>
      </c>
      <c r="O812" s="50">
        <f>IF(A812="","",IFERROR((IF(G812="",I812,G812)-T812)/M812,""))</f>
        <v/>
      </c>
      <c r="P812" s="50">
        <f>IFERROR((I812/T812-1)/N812,"")</f>
        <v/>
      </c>
      <c r="Q812" s="46">
        <f>IF(OR(T812="",I812&lt;T812),"",IFERROR(R812/IF(G812="",I812,G812)-1,""))</f>
        <v/>
      </c>
      <c r="R812" s="48">
        <f>IF($M812="","",MAX(IF($G812="",$I812,$G812)*(1/1.1),IF($G812="",$I812,$G812)+(R$2*$M812)))</f>
        <v/>
      </c>
      <c r="S812" s="49">
        <f>IF($M812="","",MAX(IF($G812="",$I812,$G812)*(1/1.1),IF($G812="",$I812,$G812)+(S$2*$M812)))</f>
        <v/>
      </c>
      <c r="T812" s="82" t="n"/>
      <c r="U812" s="47">
        <f>IF(OR($M812="",$T812=""),"",$T812+(U$2*$M812))</f>
        <v/>
      </c>
      <c r="V812" s="48">
        <f>IF(OR($M812="",$T812=""),"",$T812+(V$2*$M812))</f>
        <v/>
      </c>
      <c r="W812" s="48">
        <f>IF(OR($M812="",$T812=""),"",$T812+(W$2*$M812))</f>
        <v/>
      </c>
      <c r="X812" s="49">
        <f>IF(OR($M812="",$T812=""),"",$T812+(X$2*$M812))</f>
        <v/>
      </c>
      <c r="Y812" s="47">
        <f>IF(OR($M812="",$T812=""),"",$T812+(Y$2*$M812))</f>
        <v/>
      </c>
      <c r="Z812" s="49">
        <f>IF(OR($M812="",$T812=""),"",$T812+(Z$2*$M812))</f>
        <v/>
      </c>
      <c r="AA812" s="51">
        <f>IF(OR($M812="",$T812=""),"",$T812+(AA$2*$M812))</f>
        <v/>
      </c>
      <c r="AB812" s="48">
        <f>IF(OR($M812="",$T812=""),"",$T812+(AB$2*$M812))</f>
        <v/>
      </c>
      <c r="AC812" s="48">
        <f>IF(OR($M812="",$T812=""),"",$T812+(AC$2*$M812))</f>
        <v/>
      </c>
      <c r="AD812" s="48">
        <f>IF(OR($M812="",$T812=""),"",$T812+(AD$2*$M812))</f>
        <v/>
      </c>
      <c r="AE812" s="49">
        <f>IF(OR($M812="",$T812=""),"",$T812+(AE$2*$M812))</f>
        <v/>
      </c>
      <c r="AF812" s="52">
        <f>IF(OR(T812="",I812&lt;T812),"",IFERROR(AVERAGE(T812+M812*{7,8,9,10,11})/IF(G812="",I812,G812)-1,""))</f>
        <v/>
      </c>
      <c r="AG812" s="55">
        <f>IF(OR(T812="",I812&lt;T812),"",IFERROR(AF812/-(R812/IF(G812="",I812,G812)-1),""))</f>
        <v/>
      </c>
      <c r="AH812" s="94" t="n"/>
      <c r="AI812" s="94" t="n"/>
      <c r="AJ812" s="94" t="n"/>
      <c r="AK812" s="94" t="n"/>
      <c r="AL812" s="84" t="n"/>
    </row>
    <row r="813">
      <c r="A813" s="64" t="n"/>
      <c r="B813" s="65" t="n"/>
      <c r="C813" s="66" t="n"/>
      <c r="D813" s="67" t="n"/>
      <c r="E813" s="68" t="n"/>
      <c r="F813" s="47">
        <f>IF(A813="","",IF(MIN(H813,MAX(J813:K813))=0,"",MIN(H813,MAX(J813:K813))))</f>
        <v/>
      </c>
      <c r="G813" s="74" t="n"/>
      <c r="H813" s="49">
        <f>IF(M813="","",IFERROR(ROUND(AVERAGE(T813+M813*{7,8,9,10,11})/1.21,4),""))</f>
        <v/>
      </c>
      <c r="I813" s="76" t="n"/>
      <c r="J813" s="77" t="n"/>
      <c r="K813" s="74" t="n"/>
      <c r="L813" s="78" t="n"/>
      <c r="M813" s="77" t="n"/>
      <c r="N813" s="53">
        <f>IF(M813="","",IFERROR(M813/I813,""))</f>
        <v/>
      </c>
      <c r="O813" s="50">
        <f>IF(A813="","",IFERROR((IF(G813="",I813,G813)-T813)/M813,""))</f>
        <v/>
      </c>
      <c r="P813" s="50">
        <f>IFERROR((I813/T813-1)/N813,"")</f>
        <v/>
      </c>
      <c r="Q813" s="46">
        <f>IF(OR(T813="",I813&lt;T813),"",IFERROR(R813/IF(G813="",I813,G813)-1,""))</f>
        <v/>
      </c>
      <c r="R813" s="48">
        <f>IF($M813="","",MAX(IF($G813="",$I813,$G813)*(1/1.1),IF($G813="",$I813,$G813)+(R$2*$M813)))</f>
        <v/>
      </c>
      <c r="S813" s="49">
        <f>IF($M813="","",MAX(IF($G813="",$I813,$G813)*(1/1.1),IF($G813="",$I813,$G813)+(S$2*$M813)))</f>
        <v/>
      </c>
      <c r="T813" s="82" t="n"/>
      <c r="U813" s="47">
        <f>IF(OR($M813="",$T813=""),"",$T813+(U$2*$M813))</f>
        <v/>
      </c>
      <c r="V813" s="48">
        <f>IF(OR($M813="",$T813=""),"",$T813+(V$2*$M813))</f>
        <v/>
      </c>
      <c r="W813" s="48">
        <f>IF(OR($M813="",$T813=""),"",$T813+(W$2*$M813))</f>
        <v/>
      </c>
      <c r="X813" s="49">
        <f>IF(OR($M813="",$T813=""),"",$T813+(X$2*$M813))</f>
        <v/>
      </c>
      <c r="Y813" s="47">
        <f>IF(OR($M813="",$T813=""),"",$T813+(Y$2*$M813))</f>
        <v/>
      </c>
      <c r="Z813" s="49">
        <f>IF(OR($M813="",$T813=""),"",$T813+(Z$2*$M813))</f>
        <v/>
      </c>
      <c r="AA813" s="51">
        <f>IF(OR($M813="",$T813=""),"",$T813+(AA$2*$M813))</f>
        <v/>
      </c>
      <c r="AB813" s="48">
        <f>IF(OR($M813="",$T813=""),"",$T813+(AB$2*$M813))</f>
        <v/>
      </c>
      <c r="AC813" s="48">
        <f>IF(OR($M813="",$T813=""),"",$T813+(AC$2*$M813))</f>
        <v/>
      </c>
      <c r="AD813" s="48">
        <f>IF(OR($M813="",$T813=""),"",$T813+(AD$2*$M813))</f>
        <v/>
      </c>
      <c r="AE813" s="49">
        <f>IF(OR($M813="",$T813=""),"",$T813+(AE$2*$M813))</f>
        <v/>
      </c>
      <c r="AF813" s="52">
        <f>IF(OR(T813="",I813&lt;T813),"",IFERROR(AVERAGE(T813+M813*{7,8,9,10,11})/IF(G813="",I813,G813)-1,""))</f>
        <v/>
      </c>
      <c r="AG813" s="55">
        <f>IF(OR(T813="",I813&lt;T813),"",IFERROR(AF813/-(R813/IF(G813="",I813,G813)-1),""))</f>
        <v/>
      </c>
      <c r="AH813" s="94" t="n"/>
      <c r="AI813" s="94" t="n"/>
      <c r="AJ813" s="94" t="n"/>
      <c r="AK813" s="94" t="n"/>
      <c r="AL813" s="84" t="n"/>
    </row>
    <row r="814">
      <c r="A814" s="64" t="n"/>
      <c r="B814" s="65" t="n"/>
      <c r="C814" s="66" t="n"/>
      <c r="D814" s="67" t="n"/>
      <c r="E814" s="68" t="n"/>
      <c r="F814" s="47">
        <f>IF(A814="","",IF(MIN(H814,MAX(J814:K814))=0,"",MIN(H814,MAX(J814:K814))))</f>
        <v/>
      </c>
      <c r="G814" s="74" t="n"/>
      <c r="H814" s="49">
        <f>IF(M814="","",IFERROR(ROUND(AVERAGE(T814+M814*{7,8,9,10,11})/1.21,4),""))</f>
        <v/>
      </c>
      <c r="I814" s="76" t="n"/>
      <c r="J814" s="77" t="n"/>
      <c r="K814" s="74" t="n"/>
      <c r="L814" s="78" t="n"/>
      <c r="M814" s="77" t="n"/>
      <c r="N814" s="53">
        <f>IF(M814="","",IFERROR(M814/I814,""))</f>
        <v/>
      </c>
      <c r="O814" s="50">
        <f>IF(A814="","",IFERROR((IF(G814="",I814,G814)-T814)/M814,""))</f>
        <v/>
      </c>
      <c r="P814" s="50">
        <f>IFERROR((I814/T814-1)/N814,"")</f>
        <v/>
      </c>
      <c r="Q814" s="46">
        <f>IF(OR(T814="",I814&lt;T814),"",IFERROR(R814/IF(G814="",I814,G814)-1,""))</f>
        <v/>
      </c>
      <c r="R814" s="48">
        <f>IF($M814="","",MAX(IF($G814="",$I814,$G814)*(1/1.1),IF($G814="",$I814,$G814)+(R$2*$M814)))</f>
        <v/>
      </c>
      <c r="S814" s="49">
        <f>IF($M814="","",MAX(IF($G814="",$I814,$G814)*(1/1.1),IF($G814="",$I814,$G814)+(S$2*$M814)))</f>
        <v/>
      </c>
      <c r="T814" s="82" t="n"/>
      <c r="U814" s="47">
        <f>IF(OR($M814="",$T814=""),"",$T814+(U$2*$M814))</f>
        <v/>
      </c>
      <c r="V814" s="48">
        <f>IF(OR($M814="",$T814=""),"",$T814+(V$2*$M814))</f>
        <v/>
      </c>
      <c r="W814" s="48">
        <f>IF(OR($M814="",$T814=""),"",$T814+(W$2*$M814))</f>
        <v/>
      </c>
      <c r="X814" s="49">
        <f>IF(OR($M814="",$T814=""),"",$T814+(X$2*$M814))</f>
        <v/>
      </c>
      <c r="Y814" s="47">
        <f>IF(OR($M814="",$T814=""),"",$T814+(Y$2*$M814))</f>
        <v/>
      </c>
      <c r="Z814" s="49">
        <f>IF(OR($M814="",$T814=""),"",$T814+(Z$2*$M814))</f>
        <v/>
      </c>
      <c r="AA814" s="51">
        <f>IF(OR($M814="",$T814=""),"",$T814+(AA$2*$M814))</f>
        <v/>
      </c>
      <c r="AB814" s="48">
        <f>IF(OR($M814="",$T814=""),"",$T814+(AB$2*$M814))</f>
        <v/>
      </c>
      <c r="AC814" s="48">
        <f>IF(OR($M814="",$T814=""),"",$T814+(AC$2*$M814))</f>
        <v/>
      </c>
      <c r="AD814" s="48">
        <f>IF(OR($M814="",$T814=""),"",$T814+(AD$2*$M814))</f>
        <v/>
      </c>
      <c r="AE814" s="49">
        <f>IF(OR($M814="",$T814=""),"",$T814+(AE$2*$M814))</f>
        <v/>
      </c>
      <c r="AF814" s="52">
        <f>IF(OR(T814="",I814&lt;T814),"",IFERROR(AVERAGE(T814+M814*{7,8,9,10,11})/IF(G814="",I814,G814)-1,""))</f>
        <v/>
      </c>
      <c r="AG814" s="55">
        <f>IF(OR(T814="",I814&lt;T814),"",IFERROR(AF814/-(R814/IF(G814="",I814,G814)-1),""))</f>
        <v/>
      </c>
      <c r="AH814" s="94" t="n"/>
      <c r="AI814" s="94" t="n"/>
      <c r="AJ814" s="94" t="n"/>
      <c r="AK814" s="94" t="n"/>
      <c r="AL814" s="84" t="n"/>
    </row>
    <row r="815">
      <c r="A815" s="64" t="n"/>
      <c r="B815" s="65" t="n"/>
      <c r="C815" s="66" t="n"/>
      <c r="D815" s="67" t="n"/>
      <c r="E815" s="68" t="n"/>
      <c r="F815" s="47">
        <f>IF(A815="","",IF(MIN(H815,MAX(J815:K815))=0,"",MIN(H815,MAX(J815:K815))))</f>
        <v/>
      </c>
      <c r="G815" s="74" t="n"/>
      <c r="H815" s="49">
        <f>IF(M815="","",IFERROR(ROUND(AVERAGE(T815+M815*{7,8,9,10,11})/1.21,4),""))</f>
        <v/>
      </c>
      <c r="I815" s="76" t="n"/>
      <c r="J815" s="77" t="n"/>
      <c r="K815" s="74" t="n"/>
      <c r="L815" s="78" t="n"/>
      <c r="M815" s="77" t="n"/>
      <c r="N815" s="53">
        <f>IF(M815="","",IFERROR(M815/I815,""))</f>
        <v/>
      </c>
      <c r="O815" s="50">
        <f>IF(A815="","",IFERROR((IF(G815="",I815,G815)-T815)/M815,""))</f>
        <v/>
      </c>
      <c r="P815" s="50">
        <f>IFERROR((I815/T815-1)/N815,"")</f>
        <v/>
      </c>
      <c r="Q815" s="46">
        <f>IF(OR(T815="",I815&lt;T815),"",IFERROR(R815/IF(G815="",I815,G815)-1,""))</f>
        <v/>
      </c>
      <c r="R815" s="48">
        <f>IF($M815="","",MAX(IF($G815="",$I815,$G815)*(1/1.1),IF($G815="",$I815,$G815)+(R$2*$M815)))</f>
        <v/>
      </c>
      <c r="S815" s="49">
        <f>IF($M815="","",MAX(IF($G815="",$I815,$G815)*(1/1.1),IF($G815="",$I815,$G815)+(S$2*$M815)))</f>
        <v/>
      </c>
      <c r="T815" s="82" t="n"/>
      <c r="U815" s="47">
        <f>IF(OR($M815="",$T815=""),"",$T815+(U$2*$M815))</f>
        <v/>
      </c>
      <c r="V815" s="48">
        <f>IF(OR($M815="",$T815=""),"",$T815+(V$2*$M815))</f>
        <v/>
      </c>
      <c r="W815" s="48">
        <f>IF(OR($M815="",$T815=""),"",$T815+(W$2*$M815))</f>
        <v/>
      </c>
      <c r="X815" s="49">
        <f>IF(OR($M815="",$T815=""),"",$T815+(X$2*$M815))</f>
        <v/>
      </c>
      <c r="Y815" s="47">
        <f>IF(OR($M815="",$T815=""),"",$T815+(Y$2*$M815))</f>
        <v/>
      </c>
      <c r="Z815" s="49">
        <f>IF(OR($M815="",$T815=""),"",$T815+(Z$2*$M815))</f>
        <v/>
      </c>
      <c r="AA815" s="51">
        <f>IF(OR($M815="",$T815=""),"",$T815+(AA$2*$M815))</f>
        <v/>
      </c>
      <c r="AB815" s="48">
        <f>IF(OR($M815="",$T815=""),"",$T815+(AB$2*$M815))</f>
        <v/>
      </c>
      <c r="AC815" s="48">
        <f>IF(OR($M815="",$T815=""),"",$T815+(AC$2*$M815))</f>
        <v/>
      </c>
      <c r="AD815" s="48">
        <f>IF(OR($M815="",$T815=""),"",$T815+(AD$2*$M815))</f>
        <v/>
      </c>
      <c r="AE815" s="49">
        <f>IF(OR($M815="",$T815=""),"",$T815+(AE$2*$M815))</f>
        <v/>
      </c>
      <c r="AF815" s="52">
        <f>IF(OR(T815="",I815&lt;T815),"",IFERROR(AVERAGE(T815+M815*{7,8,9,10,11})/IF(G815="",I815,G815)-1,""))</f>
        <v/>
      </c>
      <c r="AG815" s="55">
        <f>IF(OR(T815="",I815&lt;T815),"",IFERROR(AF815/-(R815/IF(G815="",I815,G815)-1),""))</f>
        <v/>
      </c>
      <c r="AH815" s="94" t="n"/>
      <c r="AI815" s="94" t="n"/>
      <c r="AJ815" s="94" t="n"/>
      <c r="AK815" s="94" t="n"/>
      <c r="AL815" s="84" t="n"/>
    </row>
    <row r="816">
      <c r="A816" s="64" t="n"/>
      <c r="B816" s="65" t="n"/>
      <c r="C816" s="66" t="n"/>
      <c r="D816" s="67" t="n"/>
      <c r="E816" s="68" t="n"/>
      <c r="F816" s="47">
        <f>IF(A816="","",IF(MIN(H816,MAX(J816:K816))=0,"",MIN(H816,MAX(J816:K816))))</f>
        <v/>
      </c>
      <c r="G816" s="74" t="n"/>
      <c r="H816" s="49">
        <f>IF(M816="","",IFERROR(ROUND(AVERAGE(T816+M816*{7,8,9,10,11})/1.21,4),""))</f>
        <v/>
      </c>
      <c r="I816" s="76" t="n"/>
      <c r="J816" s="77" t="n"/>
      <c r="K816" s="74" t="n"/>
      <c r="L816" s="78" t="n"/>
      <c r="M816" s="77" t="n"/>
      <c r="N816" s="53">
        <f>IF(M816="","",IFERROR(M816/I816,""))</f>
        <v/>
      </c>
      <c r="O816" s="50">
        <f>IF(A816="","",IFERROR((IF(G816="",I816,G816)-T816)/M816,""))</f>
        <v/>
      </c>
      <c r="P816" s="50">
        <f>IFERROR((I816/T816-1)/N816,"")</f>
        <v/>
      </c>
      <c r="Q816" s="46">
        <f>IF(OR(T816="",I816&lt;T816),"",IFERROR(R816/IF(G816="",I816,G816)-1,""))</f>
        <v/>
      </c>
      <c r="R816" s="48">
        <f>IF($M816="","",MAX(IF($G816="",$I816,$G816)*(1/1.1),IF($G816="",$I816,$G816)+(R$2*$M816)))</f>
        <v/>
      </c>
      <c r="S816" s="49">
        <f>IF($M816="","",MAX(IF($G816="",$I816,$G816)*(1/1.1),IF($G816="",$I816,$G816)+(S$2*$M816)))</f>
        <v/>
      </c>
      <c r="T816" s="82" t="n"/>
      <c r="U816" s="47">
        <f>IF(OR($M816="",$T816=""),"",$T816+(U$2*$M816))</f>
        <v/>
      </c>
      <c r="V816" s="48">
        <f>IF(OR($M816="",$T816=""),"",$T816+(V$2*$M816))</f>
        <v/>
      </c>
      <c r="W816" s="48">
        <f>IF(OR($M816="",$T816=""),"",$T816+(W$2*$M816))</f>
        <v/>
      </c>
      <c r="X816" s="49">
        <f>IF(OR($M816="",$T816=""),"",$T816+(X$2*$M816))</f>
        <v/>
      </c>
      <c r="Y816" s="47">
        <f>IF(OR($M816="",$T816=""),"",$T816+(Y$2*$M816))</f>
        <v/>
      </c>
      <c r="Z816" s="49">
        <f>IF(OR($M816="",$T816=""),"",$T816+(Z$2*$M816))</f>
        <v/>
      </c>
      <c r="AA816" s="51">
        <f>IF(OR($M816="",$T816=""),"",$T816+(AA$2*$M816))</f>
        <v/>
      </c>
      <c r="AB816" s="48">
        <f>IF(OR($M816="",$T816=""),"",$T816+(AB$2*$M816))</f>
        <v/>
      </c>
      <c r="AC816" s="48">
        <f>IF(OR($M816="",$T816=""),"",$T816+(AC$2*$M816))</f>
        <v/>
      </c>
      <c r="AD816" s="48">
        <f>IF(OR($M816="",$T816=""),"",$T816+(AD$2*$M816))</f>
        <v/>
      </c>
      <c r="AE816" s="49">
        <f>IF(OR($M816="",$T816=""),"",$T816+(AE$2*$M816))</f>
        <v/>
      </c>
      <c r="AF816" s="52">
        <f>IF(OR(T816="",I816&lt;T816),"",IFERROR(AVERAGE(T816+M816*{7,8,9,10,11})/IF(G816="",I816,G816)-1,""))</f>
        <v/>
      </c>
      <c r="AG816" s="55">
        <f>IF(OR(T816="",I816&lt;T816),"",IFERROR(AF816/-(R816/IF(G816="",I816,G816)-1),""))</f>
        <v/>
      </c>
      <c r="AH816" s="94" t="n"/>
      <c r="AI816" s="94" t="n"/>
      <c r="AJ816" s="94" t="n"/>
      <c r="AK816" s="94" t="n"/>
      <c r="AL816" s="84" t="n"/>
    </row>
    <row r="817">
      <c r="A817" s="64" t="n"/>
      <c r="B817" s="65" t="n"/>
      <c r="C817" s="66" t="n"/>
      <c r="D817" s="67" t="n"/>
      <c r="E817" s="68" t="n"/>
      <c r="F817" s="47">
        <f>IF(A817="","",IF(MIN(H817,MAX(J817:K817))=0,"",MIN(H817,MAX(J817:K817))))</f>
        <v/>
      </c>
      <c r="G817" s="74" t="n"/>
      <c r="H817" s="49">
        <f>IF(M817="","",IFERROR(ROUND(AVERAGE(T817+M817*{7,8,9,10,11})/1.21,4),""))</f>
        <v/>
      </c>
      <c r="I817" s="76" t="n"/>
      <c r="J817" s="77" t="n"/>
      <c r="K817" s="74" t="n"/>
      <c r="L817" s="78" t="n"/>
      <c r="M817" s="77" t="n"/>
      <c r="N817" s="53">
        <f>IF(M817="","",IFERROR(M817/I817,""))</f>
        <v/>
      </c>
      <c r="O817" s="50">
        <f>IF(A817="","",IFERROR((IF(G817="",I817,G817)-T817)/M817,""))</f>
        <v/>
      </c>
      <c r="P817" s="50">
        <f>IFERROR((I817/T817-1)/N817,"")</f>
        <v/>
      </c>
      <c r="Q817" s="46">
        <f>IF(OR(T817="",I817&lt;T817),"",IFERROR(R817/IF(G817="",I817,G817)-1,""))</f>
        <v/>
      </c>
      <c r="R817" s="48">
        <f>IF($M817="","",MAX(IF($G817="",$I817,$G817)*(1/1.1),IF($G817="",$I817,$G817)+(R$2*$M817)))</f>
        <v/>
      </c>
      <c r="S817" s="49">
        <f>IF($M817="","",MAX(IF($G817="",$I817,$G817)*(1/1.1),IF($G817="",$I817,$G817)+(S$2*$M817)))</f>
        <v/>
      </c>
      <c r="T817" s="82" t="n"/>
      <c r="U817" s="47">
        <f>IF(OR($M817="",$T817=""),"",$T817+(U$2*$M817))</f>
        <v/>
      </c>
      <c r="V817" s="48">
        <f>IF(OR($M817="",$T817=""),"",$T817+(V$2*$M817))</f>
        <v/>
      </c>
      <c r="W817" s="48">
        <f>IF(OR($M817="",$T817=""),"",$T817+(W$2*$M817))</f>
        <v/>
      </c>
      <c r="X817" s="49">
        <f>IF(OR($M817="",$T817=""),"",$T817+(X$2*$M817))</f>
        <v/>
      </c>
      <c r="Y817" s="47">
        <f>IF(OR($M817="",$T817=""),"",$T817+(Y$2*$M817))</f>
        <v/>
      </c>
      <c r="Z817" s="49">
        <f>IF(OR($M817="",$T817=""),"",$T817+(Z$2*$M817))</f>
        <v/>
      </c>
      <c r="AA817" s="51">
        <f>IF(OR($M817="",$T817=""),"",$T817+(AA$2*$M817))</f>
        <v/>
      </c>
      <c r="AB817" s="48">
        <f>IF(OR($M817="",$T817=""),"",$T817+(AB$2*$M817))</f>
        <v/>
      </c>
      <c r="AC817" s="48">
        <f>IF(OR($M817="",$T817=""),"",$T817+(AC$2*$M817))</f>
        <v/>
      </c>
      <c r="AD817" s="48">
        <f>IF(OR($M817="",$T817=""),"",$T817+(AD$2*$M817))</f>
        <v/>
      </c>
      <c r="AE817" s="49">
        <f>IF(OR($M817="",$T817=""),"",$T817+(AE$2*$M817))</f>
        <v/>
      </c>
      <c r="AF817" s="52">
        <f>IF(OR(T817="",I817&lt;T817),"",IFERROR(AVERAGE(T817+M817*{7,8,9,10,11})/IF(G817="",I817,G817)-1,""))</f>
        <v/>
      </c>
      <c r="AG817" s="55">
        <f>IF(OR(T817="",I817&lt;T817),"",IFERROR(AF817/-(R817/IF(G817="",I817,G817)-1),""))</f>
        <v/>
      </c>
      <c r="AH817" s="94" t="n"/>
      <c r="AI817" s="94" t="n"/>
      <c r="AJ817" s="94" t="n"/>
      <c r="AK817" s="94" t="n"/>
      <c r="AL817" s="84" t="n"/>
    </row>
    <row r="818">
      <c r="A818" s="64" t="n"/>
      <c r="B818" s="65" t="n"/>
      <c r="C818" s="66" t="n"/>
      <c r="D818" s="67" t="n"/>
      <c r="E818" s="68" t="n"/>
      <c r="F818" s="47">
        <f>IF(A818="","",IF(MIN(H818,MAX(J818:K818))=0,"",MIN(H818,MAX(J818:K818))))</f>
        <v/>
      </c>
      <c r="G818" s="74" t="n"/>
      <c r="H818" s="49">
        <f>IF(M818="","",IFERROR(ROUND(AVERAGE(T818+M818*{7,8,9,10,11})/1.21,4),""))</f>
        <v/>
      </c>
      <c r="I818" s="76" t="n"/>
      <c r="J818" s="77" t="n"/>
      <c r="K818" s="74" t="n"/>
      <c r="L818" s="78" t="n"/>
      <c r="M818" s="77" t="n"/>
      <c r="N818" s="53">
        <f>IF(M818="","",IFERROR(M818/I818,""))</f>
        <v/>
      </c>
      <c r="O818" s="50">
        <f>IF(A818="","",IFERROR((IF(G818="",I818,G818)-T818)/M818,""))</f>
        <v/>
      </c>
      <c r="P818" s="50">
        <f>IFERROR((I818/T818-1)/N818,"")</f>
        <v/>
      </c>
      <c r="Q818" s="46">
        <f>IF(OR(T818="",I818&lt;T818),"",IFERROR(R818/IF(G818="",I818,G818)-1,""))</f>
        <v/>
      </c>
      <c r="R818" s="48">
        <f>IF($M818="","",MAX(IF($G818="",$I818,$G818)*(1/1.1),IF($G818="",$I818,$G818)+(R$2*$M818)))</f>
        <v/>
      </c>
      <c r="S818" s="49">
        <f>IF($M818="","",MAX(IF($G818="",$I818,$G818)*(1/1.1),IF($G818="",$I818,$G818)+(S$2*$M818)))</f>
        <v/>
      </c>
      <c r="T818" s="82" t="n"/>
      <c r="U818" s="47">
        <f>IF(OR($M818="",$T818=""),"",$T818+(U$2*$M818))</f>
        <v/>
      </c>
      <c r="V818" s="48">
        <f>IF(OR($M818="",$T818=""),"",$T818+(V$2*$M818))</f>
        <v/>
      </c>
      <c r="W818" s="48">
        <f>IF(OR($M818="",$T818=""),"",$T818+(W$2*$M818))</f>
        <v/>
      </c>
      <c r="X818" s="49">
        <f>IF(OR($M818="",$T818=""),"",$T818+(X$2*$M818))</f>
        <v/>
      </c>
      <c r="Y818" s="47">
        <f>IF(OR($M818="",$T818=""),"",$T818+(Y$2*$M818))</f>
        <v/>
      </c>
      <c r="Z818" s="49">
        <f>IF(OR($M818="",$T818=""),"",$T818+(Z$2*$M818))</f>
        <v/>
      </c>
      <c r="AA818" s="51">
        <f>IF(OR($M818="",$T818=""),"",$T818+(AA$2*$M818))</f>
        <v/>
      </c>
      <c r="AB818" s="48">
        <f>IF(OR($M818="",$T818=""),"",$T818+(AB$2*$M818))</f>
        <v/>
      </c>
      <c r="AC818" s="48">
        <f>IF(OR($M818="",$T818=""),"",$T818+(AC$2*$M818))</f>
        <v/>
      </c>
      <c r="AD818" s="48">
        <f>IF(OR($M818="",$T818=""),"",$T818+(AD$2*$M818))</f>
        <v/>
      </c>
      <c r="AE818" s="49">
        <f>IF(OR($M818="",$T818=""),"",$T818+(AE$2*$M818))</f>
        <v/>
      </c>
      <c r="AF818" s="52">
        <f>IF(OR(T818="",I818&lt;T818),"",IFERROR(AVERAGE(T818+M818*{7,8,9,10,11})/IF(G818="",I818,G818)-1,""))</f>
        <v/>
      </c>
      <c r="AG818" s="55">
        <f>IF(OR(T818="",I818&lt;T818),"",IFERROR(AF818/-(R818/IF(G818="",I818,G818)-1),""))</f>
        <v/>
      </c>
      <c r="AH818" s="94" t="n"/>
      <c r="AI818" s="94" t="n"/>
      <c r="AJ818" s="94" t="n"/>
      <c r="AK818" s="94" t="n"/>
      <c r="AL818" s="84" t="n"/>
    </row>
    <row r="819">
      <c r="A819" s="64" t="n"/>
      <c r="B819" s="65" t="n"/>
      <c r="C819" s="66" t="n"/>
      <c r="D819" s="67" t="n"/>
      <c r="E819" s="68" t="n"/>
      <c r="F819" s="47">
        <f>IF(A819="","",IF(MIN(H819,MAX(J819:K819))=0,"",MIN(H819,MAX(J819:K819))))</f>
        <v/>
      </c>
      <c r="G819" s="74" t="n"/>
      <c r="H819" s="49">
        <f>IF(M819="","",IFERROR(ROUND(AVERAGE(T819+M819*{7,8,9,10,11})/1.21,4),""))</f>
        <v/>
      </c>
      <c r="I819" s="76" t="n"/>
      <c r="J819" s="77" t="n"/>
      <c r="K819" s="74" t="n"/>
      <c r="L819" s="78" t="n"/>
      <c r="M819" s="77" t="n"/>
      <c r="N819" s="53">
        <f>IF(M819="","",IFERROR(M819/I819,""))</f>
        <v/>
      </c>
      <c r="O819" s="50">
        <f>IF(A819="","",IFERROR((IF(G819="",I819,G819)-T819)/M819,""))</f>
        <v/>
      </c>
      <c r="P819" s="50">
        <f>IFERROR((I819/T819-1)/N819,"")</f>
        <v/>
      </c>
      <c r="Q819" s="46">
        <f>IF(OR(T819="",I819&lt;T819),"",IFERROR(R819/IF(G819="",I819,G819)-1,""))</f>
        <v/>
      </c>
      <c r="R819" s="48">
        <f>IF($M819="","",MAX(IF($G819="",$I819,$G819)*(1/1.1),IF($G819="",$I819,$G819)+(R$2*$M819)))</f>
        <v/>
      </c>
      <c r="S819" s="49">
        <f>IF($M819="","",MAX(IF($G819="",$I819,$G819)*(1/1.1),IF($G819="",$I819,$G819)+(S$2*$M819)))</f>
        <v/>
      </c>
      <c r="T819" s="82" t="n"/>
      <c r="U819" s="47">
        <f>IF(OR($M819="",$T819=""),"",$T819+(U$2*$M819))</f>
        <v/>
      </c>
      <c r="V819" s="48">
        <f>IF(OR($M819="",$T819=""),"",$T819+(V$2*$M819))</f>
        <v/>
      </c>
      <c r="W819" s="48">
        <f>IF(OR($M819="",$T819=""),"",$T819+(W$2*$M819))</f>
        <v/>
      </c>
      <c r="X819" s="49">
        <f>IF(OR($M819="",$T819=""),"",$T819+(X$2*$M819))</f>
        <v/>
      </c>
      <c r="Y819" s="47">
        <f>IF(OR($M819="",$T819=""),"",$T819+(Y$2*$M819))</f>
        <v/>
      </c>
      <c r="Z819" s="49">
        <f>IF(OR($M819="",$T819=""),"",$T819+(Z$2*$M819))</f>
        <v/>
      </c>
      <c r="AA819" s="51">
        <f>IF(OR($M819="",$T819=""),"",$T819+(AA$2*$M819))</f>
        <v/>
      </c>
      <c r="AB819" s="48">
        <f>IF(OR($M819="",$T819=""),"",$T819+(AB$2*$M819))</f>
        <v/>
      </c>
      <c r="AC819" s="48">
        <f>IF(OR($M819="",$T819=""),"",$T819+(AC$2*$M819))</f>
        <v/>
      </c>
      <c r="AD819" s="48">
        <f>IF(OR($M819="",$T819=""),"",$T819+(AD$2*$M819))</f>
        <v/>
      </c>
      <c r="AE819" s="49">
        <f>IF(OR($M819="",$T819=""),"",$T819+(AE$2*$M819))</f>
        <v/>
      </c>
      <c r="AF819" s="52">
        <f>IF(OR(T819="",I819&lt;T819),"",IFERROR(AVERAGE(T819+M819*{7,8,9,10,11})/IF(G819="",I819,G819)-1,""))</f>
        <v/>
      </c>
      <c r="AG819" s="55">
        <f>IF(OR(T819="",I819&lt;T819),"",IFERROR(AF819/-(R819/IF(G819="",I819,G819)-1),""))</f>
        <v/>
      </c>
      <c r="AH819" s="94" t="n"/>
      <c r="AI819" s="94" t="n"/>
      <c r="AJ819" s="94" t="n"/>
      <c r="AK819" s="94" t="n"/>
      <c r="AL819" s="84" t="n"/>
    </row>
    <row r="820">
      <c r="A820" s="64" t="n"/>
      <c r="B820" s="65" t="n"/>
      <c r="C820" s="66" t="n"/>
      <c r="D820" s="67" t="n"/>
      <c r="E820" s="68" t="n"/>
      <c r="F820" s="47">
        <f>IF(A820="","",IF(MIN(H820,MAX(J820:K820))=0,"",MIN(H820,MAX(J820:K820))))</f>
        <v/>
      </c>
      <c r="G820" s="74" t="n"/>
      <c r="H820" s="49">
        <f>IF(M820="","",IFERROR(ROUND(AVERAGE(T820+M820*{7,8,9,10,11})/1.21,4),""))</f>
        <v/>
      </c>
      <c r="I820" s="76" t="n"/>
      <c r="J820" s="77" t="n"/>
      <c r="K820" s="74" t="n"/>
      <c r="L820" s="78" t="n"/>
      <c r="M820" s="77" t="n"/>
      <c r="N820" s="53">
        <f>IF(M820="","",IFERROR(M820/I820,""))</f>
        <v/>
      </c>
      <c r="O820" s="50">
        <f>IF(A820="","",IFERROR((IF(G820="",I820,G820)-T820)/M820,""))</f>
        <v/>
      </c>
      <c r="P820" s="50">
        <f>IFERROR((I820/T820-1)/N820,"")</f>
        <v/>
      </c>
      <c r="Q820" s="46">
        <f>IF(OR(T820="",I820&lt;T820),"",IFERROR(R820/IF(G820="",I820,G820)-1,""))</f>
        <v/>
      </c>
      <c r="R820" s="48">
        <f>IF($M820="","",MAX(IF($G820="",$I820,$G820)*(1/1.1),IF($G820="",$I820,$G820)+(R$2*$M820)))</f>
        <v/>
      </c>
      <c r="S820" s="49">
        <f>IF($M820="","",MAX(IF($G820="",$I820,$G820)*(1/1.1),IF($G820="",$I820,$G820)+(S$2*$M820)))</f>
        <v/>
      </c>
      <c r="T820" s="82" t="n"/>
      <c r="U820" s="47">
        <f>IF(OR($M820="",$T820=""),"",$T820+(U$2*$M820))</f>
        <v/>
      </c>
      <c r="V820" s="48">
        <f>IF(OR($M820="",$T820=""),"",$T820+(V$2*$M820))</f>
        <v/>
      </c>
      <c r="W820" s="48">
        <f>IF(OR($M820="",$T820=""),"",$T820+(W$2*$M820))</f>
        <v/>
      </c>
      <c r="X820" s="49">
        <f>IF(OR($M820="",$T820=""),"",$T820+(X$2*$M820))</f>
        <v/>
      </c>
      <c r="Y820" s="47">
        <f>IF(OR($M820="",$T820=""),"",$T820+(Y$2*$M820))</f>
        <v/>
      </c>
      <c r="Z820" s="49">
        <f>IF(OR($M820="",$T820=""),"",$T820+(Z$2*$M820))</f>
        <v/>
      </c>
      <c r="AA820" s="51">
        <f>IF(OR($M820="",$T820=""),"",$T820+(AA$2*$M820))</f>
        <v/>
      </c>
      <c r="AB820" s="48">
        <f>IF(OR($M820="",$T820=""),"",$T820+(AB$2*$M820))</f>
        <v/>
      </c>
      <c r="AC820" s="48">
        <f>IF(OR($M820="",$T820=""),"",$T820+(AC$2*$M820))</f>
        <v/>
      </c>
      <c r="AD820" s="48">
        <f>IF(OR($M820="",$T820=""),"",$T820+(AD$2*$M820))</f>
        <v/>
      </c>
      <c r="AE820" s="49">
        <f>IF(OR($M820="",$T820=""),"",$T820+(AE$2*$M820))</f>
        <v/>
      </c>
      <c r="AF820" s="52">
        <f>IF(OR(T820="",I820&lt;T820),"",IFERROR(AVERAGE(T820+M820*{7,8,9,10,11})/IF(G820="",I820,G820)-1,""))</f>
        <v/>
      </c>
      <c r="AG820" s="55">
        <f>IF(OR(T820="",I820&lt;T820),"",IFERROR(AF820/-(R820/IF(G820="",I820,G820)-1),""))</f>
        <v/>
      </c>
      <c r="AH820" s="94" t="n"/>
      <c r="AI820" s="94" t="n"/>
      <c r="AJ820" s="94" t="n"/>
      <c r="AK820" s="94" t="n"/>
      <c r="AL820" s="84" t="n"/>
    </row>
    <row r="821">
      <c r="A821" s="64" t="n"/>
      <c r="B821" s="65" t="n"/>
      <c r="C821" s="66" t="n"/>
      <c r="D821" s="67" t="n"/>
      <c r="E821" s="68" t="n"/>
      <c r="F821" s="47">
        <f>IF(A821="","",IF(MIN(H821,MAX(J821:K821))=0,"",MIN(H821,MAX(J821:K821))))</f>
        <v/>
      </c>
      <c r="G821" s="74" t="n"/>
      <c r="H821" s="49">
        <f>IF(M821="","",IFERROR(ROUND(AVERAGE(T821+M821*{7,8,9,10,11})/1.21,4),""))</f>
        <v/>
      </c>
      <c r="I821" s="76" t="n"/>
      <c r="J821" s="77" t="n"/>
      <c r="K821" s="74" t="n"/>
      <c r="L821" s="78" t="n"/>
      <c r="M821" s="77" t="n"/>
      <c r="N821" s="53">
        <f>IF(M821="","",IFERROR(M821/I821,""))</f>
        <v/>
      </c>
      <c r="O821" s="50">
        <f>IF(A821="","",IFERROR((IF(G821="",I821,G821)-T821)/M821,""))</f>
        <v/>
      </c>
      <c r="P821" s="50">
        <f>IFERROR((I821/T821-1)/N821,"")</f>
        <v/>
      </c>
      <c r="Q821" s="46">
        <f>IF(OR(T821="",I821&lt;T821),"",IFERROR(R821/IF(G821="",I821,G821)-1,""))</f>
        <v/>
      </c>
      <c r="R821" s="48">
        <f>IF($M821="","",MAX(IF($G821="",$I821,$G821)*(1/1.1),IF($G821="",$I821,$G821)+(R$2*$M821)))</f>
        <v/>
      </c>
      <c r="S821" s="49">
        <f>IF($M821="","",MAX(IF($G821="",$I821,$G821)*(1/1.1),IF($G821="",$I821,$G821)+(S$2*$M821)))</f>
        <v/>
      </c>
      <c r="T821" s="82" t="n"/>
      <c r="U821" s="47">
        <f>IF(OR($M821="",$T821=""),"",$T821+(U$2*$M821))</f>
        <v/>
      </c>
      <c r="V821" s="48">
        <f>IF(OR($M821="",$T821=""),"",$T821+(V$2*$M821))</f>
        <v/>
      </c>
      <c r="W821" s="48">
        <f>IF(OR($M821="",$T821=""),"",$T821+(W$2*$M821))</f>
        <v/>
      </c>
      <c r="X821" s="49">
        <f>IF(OR($M821="",$T821=""),"",$T821+(X$2*$M821))</f>
        <v/>
      </c>
      <c r="Y821" s="47">
        <f>IF(OR($M821="",$T821=""),"",$T821+(Y$2*$M821))</f>
        <v/>
      </c>
      <c r="Z821" s="49">
        <f>IF(OR($M821="",$T821=""),"",$T821+(Z$2*$M821))</f>
        <v/>
      </c>
      <c r="AA821" s="51">
        <f>IF(OR($M821="",$T821=""),"",$T821+(AA$2*$M821))</f>
        <v/>
      </c>
      <c r="AB821" s="48">
        <f>IF(OR($M821="",$T821=""),"",$T821+(AB$2*$M821))</f>
        <v/>
      </c>
      <c r="AC821" s="48">
        <f>IF(OR($M821="",$T821=""),"",$T821+(AC$2*$M821))</f>
        <v/>
      </c>
      <c r="AD821" s="48">
        <f>IF(OR($M821="",$T821=""),"",$T821+(AD$2*$M821))</f>
        <v/>
      </c>
      <c r="AE821" s="49">
        <f>IF(OR($M821="",$T821=""),"",$T821+(AE$2*$M821))</f>
        <v/>
      </c>
      <c r="AF821" s="52">
        <f>IF(OR(T821="",I821&lt;T821),"",IFERROR(AVERAGE(T821+M821*{7,8,9,10,11})/IF(G821="",I821,G821)-1,""))</f>
        <v/>
      </c>
      <c r="AG821" s="55">
        <f>IF(OR(T821="",I821&lt;T821),"",IFERROR(AF821/-(R821/IF(G821="",I821,G821)-1),""))</f>
        <v/>
      </c>
      <c r="AH821" s="94" t="n"/>
      <c r="AI821" s="94" t="n"/>
      <c r="AJ821" s="94" t="n"/>
      <c r="AK821" s="94" t="n"/>
      <c r="AL821" s="84" t="n"/>
    </row>
    <row r="822">
      <c r="A822" s="64" t="n"/>
      <c r="B822" s="65" t="n"/>
      <c r="C822" s="66" t="n"/>
      <c r="D822" s="67" t="n"/>
      <c r="E822" s="68" t="n"/>
      <c r="F822" s="47">
        <f>IF(A822="","",IF(MIN(H822,MAX(J822:K822))=0,"",MIN(H822,MAX(J822:K822))))</f>
        <v/>
      </c>
      <c r="G822" s="74" t="n"/>
      <c r="H822" s="49">
        <f>IF(M822="","",IFERROR(ROUND(AVERAGE(T822+M822*{7,8,9,10,11})/1.21,4),""))</f>
        <v/>
      </c>
      <c r="I822" s="76" t="n"/>
      <c r="J822" s="77" t="n"/>
      <c r="K822" s="74" t="n"/>
      <c r="L822" s="78" t="n"/>
      <c r="M822" s="77" t="n"/>
      <c r="N822" s="53">
        <f>IF(M822="","",IFERROR(M822/I822,""))</f>
        <v/>
      </c>
      <c r="O822" s="50">
        <f>IF(A822="","",IFERROR((IF(G822="",I822,G822)-T822)/M822,""))</f>
        <v/>
      </c>
      <c r="P822" s="50">
        <f>IFERROR((I822/T822-1)/N822,"")</f>
        <v/>
      </c>
      <c r="Q822" s="46">
        <f>IF(OR(T822="",I822&lt;T822),"",IFERROR(R822/IF(G822="",I822,G822)-1,""))</f>
        <v/>
      </c>
      <c r="R822" s="48">
        <f>IF($M822="","",MAX(IF($G822="",$I822,$G822)*(1/1.1),IF($G822="",$I822,$G822)+(R$2*$M822)))</f>
        <v/>
      </c>
      <c r="S822" s="49">
        <f>IF($M822="","",MAX(IF($G822="",$I822,$G822)*(1/1.1),IF($G822="",$I822,$G822)+(S$2*$M822)))</f>
        <v/>
      </c>
      <c r="T822" s="82" t="n"/>
      <c r="U822" s="47">
        <f>IF(OR($M822="",$T822=""),"",$T822+(U$2*$M822))</f>
        <v/>
      </c>
      <c r="V822" s="48">
        <f>IF(OR($M822="",$T822=""),"",$T822+(V$2*$M822))</f>
        <v/>
      </c>
      <c r="W822" s="48">
        <f>IF(OR($M822="",$T822=""),"",$T822+(W$2*$M822))</f>
        <v/>
      </c>
      <c r="X822" s="49">
        <f>IF(OR($M822="",$T822=""),"",$T822+(X$2*$M822))</f>
        <v/>
      </c>
      <c r="Y822" s="47">
        <f>IF(OR($M822="",$T822=""),"",$T822+(Y$2*$M822))</f>
        <v/>
      </c>
      <c r="Z822" s="49">
        <f>IF(OR($M822="",$T822=""),"",$T822+(Z$2*$M822))</f>
        <v/>
      </c>
      <c r="AA822" s="51">
        <f>IF(OR($M822="",$T822=""),"",$T822+(AA$2*$M822))</f>
        <v/>
      </c>
      <c r="AB822" s="48">
        <f>IF(OR($M822="",$T822=""),"",$T822+(AB$2*$M822))</f>
        <v/>
      </c>
      <c r="AC822" s="48">
        <f>IF(OR($M822="",$T822=""),"",$T822+(AC$2*$M822))</f>
        <v/>
      </c>
      <c r="AD822" s="48">
        <f>IF(OR($M822="",$T822=""),"",$T822+(AD$2*$M822))</f>
        <v/>
      </c>
      <c r="AE822" s="49">
        <f>IF(OR($M822="",$T822=""),"",$T822+(AE$2*$M822))</f>
        <v/>
      </c>
      <c r="AF822" s="52">
        <f>IF(OR(T822="",I822&lt;T822),"",IFERROR(AVERAGE(T822+M822*{7,8,9,10,11})/IF(G822="",I822,G822)-1,""))</f>
        <v/>
      </c>
      <c r="AG822" s="55">
        <f>IF(OR(T822="",I822&lt;T822),"",IFERROR(AF822/-(R822/IF(G822="",I822,G822)-1),""))</f>
        <v/>
      </c>
      <c r="AH822" s="94" t="n"/>
      <c r="AI822" s="94" t="n"/>
      <c r="AJ822" s="94" t="n"/>
      <c r="AK822" s="94" t="n"/>
      <c r="AL822" s="84" t="n"/>
    </row>
    <row r="823">
      <c r="A823" s="64" t="n"/>
      <c r="B823" s="65" t="n"/>
      <c r="C823" s="66" t="n"/>
      <c r="D823" s="67" t="n"/>
      <c r="E823" s="68" t="n"/>
      <c r="F823" s="47">
        <f>IF(A823="","",IF(MIN(H823,MAX(J823:K823))=0,"",MIN(H823,MAX(J823:K823))))</f>
        <v/>
      </c>
      <c r="G823" s="74" t="n"/>
      <c r="H823" s="49">
        <f>IF(M823="","",IFERROR(ROUND(AVERAGE(T823+M823*{7,8,9,10,11})/1.21,4),""))</f>
        <v/>
      </c>
      <c r="I823" s="76" t="n"/>
      <c r="J823" s="77" t="n"/>
      <c r="K823" s="74" t="n"/>
      <c r="L823" s="78" t="n"/>
      <c r="M823" s="77" t="n"/>
      <c r="N823" s="53">
        <f>IF(M823="","",IFERROR(M823/I823,""))</f>
        <v/>
      </c>
      <c r="O823" s="50">
        <f>IF(A823="","",IFERROR((IF(G823="",I823,G823)-T823)/M823,""))</f>
        <v/>
      </c>
      <c r="P823" s="50">
        <f>IFERROR((I823/T823-1)/N823,"")</f>
        <v/>
      </c>
      <c r="Q823" s="46">
        <f>IF(OR(T823="",I823&lt;T823),"",IFERROR(R823/IF(G823="",I823,G823)-1,""))</f>
        <v/>
      </c>
      <c r="R823" s="48">
        <f>IF($M823="","",MAX(IF($G823="",$I823,$G823)*(1/1.1),IF($G823="",$I823,$G823)+(R$2*$M823)))</f>
        <v/>
      </c>
      <c r="S823" s="49">
        <f>IF($M823="","",MAX(IF($G823="",$I823,$G823)*(1/1.1),IF($G823="",$I823,$G823)+(S$2*$M823)))</f>
        <v/>
      </c>
      <c r="T823" s="82" t="n"/>
      <c r="U823" s="47">
        <f>IF(OR($M823="",$T823=""),"",$T823+(U$2*$M823))</f>
        <v/>
      </c>
      <c r="V823" s="48">
        <f>IF(OR($M823="",$T823=""),"",$T823+(V$2*$M823))</f>
        <v/>
      </c>
      <c r="W823" s="48">
        <f>IF(OR($M823="",$T823=""),"",$T823+(W$2*$M823))</f>
        <v/>
      </c>
      <c r="X823" s="49">
        <f>IF(OR($M823="",$T823=""),"",$T823+(X$2*$M823))</f>
        <v/>
      </c>
      <c r="Y823" s="47">
        <f>IF(OR($M823="",$T823=""),"",$T823+(Y$2*$M823))</f>
        <v/>
      </c>
      <c r="Z823" s="49">
        <f>IF(OR($M823="",$T823=""),"",$T823+(Z$2*$M823))</f>
        <v/>
      </c>
      <c r="AA823" s="51">
        <f>IF(OR($M823="",$T823=""),"",$T823+(AA$2*$M823))</f>
        <v/>
      </c>
      <c r="AB823" s="48">
        <f>IF(OR($M823="",$T823=""),"",$T823+(AB$2*$M823))</f>
        <v/>
      </c>
      <c r="AC823" s="48">
        <f>IF(OR($M823="",$T823=""),"",$T823+(AC$2*$M823))</f>
        <v/>
      </c>
      <c r="AD823" s="48">
        <f>IF(OR($M823="",$T823=""),"",$T823+(AD$2*$M823))</f>
        <v/>
      </c>
      <c r="AE823" s="49">
        <f>IF(OR($M823="",$T823=""),"",$T823+(AE$2*$M823))</f>
        <v/>
      </c>
      <c r="AF823" s="52">
        <f>IF(OR(T823="",I823&lt;T823),"",IFERROR(AVERAGE(T823+M823*{7,8,9,10,11})/IF(G823="",I823,G823)-1,""))</f>
        <v/>
      </c>
      <c r="AG823" s="55">
        <f>IF(OR(T823="",I823&lt;T823),"",IFERROR(AF823/-(R823/IF(G823="",I823,G823)-1),""))</f>
        <v/>
      </c>
      <c r="AH823" s="94" t="n"/>
      <c r="AI823" s="94" t="n"/>
      <c r="AJ823" s="94" t="n"/>
      <c r="AK823" s="94" t="n"/>
      <c r="AL823" s="84" t="n"/>
    </row>
    <row r="824">
      <c r="A824" s="64" t="n"/>
      <c r="B824" s="65" t="n"/>
      <c r="C824" s="66" t="n"/>
      <c r="D824" s="67" t="n"/>
      <c r="E824" s="68" t="n"/>
      <c r="F824" s="47">
        <f>IF(A824="","",IF(MIN(H824,MAX(J824:K824))=0,"",MIN(H824,MAX(J824:K824))))</f>
        <v/>
      </c>
      <c r="G824" s="74" t="n"/>
      <c r="H824" s="49">
        <f>IF(M824="","",IFERROR(ROUND(AVERAGE(T824+M824*{7,8,9,10,11})/1.21,4),""))</f>
        <v/>
      </c>
      <c r="I824" s="76" t="n"/>
      <c r="J824" s="77" t="n"/>
      <c r="K824" s="74" t="n"/>
      <c r="L824" s="78" t="n"/>
      <c r="M824" s="77" t="n"/>
      <c r="N824" s="53">
        <f>IF(M824="","",IFERROR(M824/I824,""))</f>
        <v/>
      </c>
      <c r="O824" s="50">
        <f>IF(A824="","",IFERROR((IF(G824="",I824,G824)-T824)/M824,""))</f>
        <v/>
      </c>
      <c r="P824" s="50">
        <f>IFERROR((I824/T824-1)/N824,"")</f>
        <v/>
      </c>
      <c r="Q824" s="46">
        <f>IF(OR(T824="",I824&lt;T824),"",IFERROR(R824/IF(G824="",I824,G824)-1,""))</f>
        <v/>
      </c>
      <c r="R824" s="48">
        <f>IF($M824="","",MAX(IF($G824="",$I824,$G824)*(1/1.1),IF($G824="",$I824,$G824)+(R$2*$M824)))</f>
        <v/>
      </c>
      <c r="S824" s="49">
        <f>IF($M824="","",MAX(IF($G824="",$I824,$G824)*(1/1.1),IF($G824="",$I824,$G824)+(S$2*$M824)))</f>
        <v/>
      </c>
      <c r="T824" s="82" t="n"/>
      <c r="U824" s="47">
        <f>IF(OR($M824="",$T824=""),"",$T824+(U$2*$M824))</f>
        <v/>
      </c>
      <c r="V824" s="48">
        <f>IF(OR($M824="",$T824=""),"",$T824+(V$2*$M824))</f>
        <v/>
      </c>
      <c r="W824" s="48">
        <f>IF(OR($M824="",$T824=""),"",$T824+(W$2*$M824))</f>
        <v/>
      </c>
      <c r="X824" s="49">
        <f>IF(OR($M824="",$T824=""),"",$T824+(X$2*$M824))</f>
        <v/>
      </c>
      <c r="Y824" s="47">
        <f>IF(OR($M824="",$T824=""),"",$T824+(Y$2*$M824))</f>
        <v/>
      </c>
      <c r="Z824" s="49">
        <f>IF(OR($M824="",$T824=""),"",$T824+(Z$2*$M824))</f>
        <v/>
      </c>
      <c r="AA824" s="51">
        <f>IF(OR($M824="",$T824=""),"",$T824+(AA$2*$M824))</f>
        <v/>
      </c>
      <c r="AB824" s="48">
        <f>IF(OR($M824="",$T824=""),"",$T824+(AB$2*$M824))</f>
        <v/>
      </c>
      <c r="AC824" s="48">
        <f>IF(OR($M824="",$T824=""),"",$T824+(AC$2*$M824))</f>
        <v/>
      </c>
      <c r="AD824" s="48">
        <f>IF(OR($M824="",$T824=""),"",$T824+(AD$2*$M824))</f>
        <v/>
      </c>
      <c r="AE824" s="49">
        <f>IF(OR($M824="",$T824=""),"",$T824+(AE$2*$M824))</f>
        <v/>
      </c>
      <c r="AF824" s="52">
        <f>IF(OR(T824="",I824&lt;T824),"",IFERROR(AVERAGE(T824+M824*{7,8,9,10,11})/IF(G824="",I824,G824)-1,""))</f>
        <v/>
      </c>
      <c r="AG824" s="55">
        <f>IF(OR(T824="",I824&lt;T824),"",IFERROR(AF824/-(R824/IF(G824="",I824,G824)-1),""))</f>
        <v/>
      </c>
      <c r="AH824" s="94" t="n"/>
      <c r="AI824" s="94" t="n"/>
      <c r="AJ824" s="94" t="n"/>
      <c r="AK824" s="94" t="n"/>
      <c r="AL824" s="84" t="n"/>
    </row>
    <row r="825">
      <c r="A825" s="64" t="n"/>
      <c r="B825" s="65" t="n"/>
      <c r="C825" s="66" t="n"/>
      <c r="D825" s="67" t="n"/>
      <c r="E825" s="68" t="n"/>
      <c r="F825" s="47">
        <f>IF(A825="","",IF(MIN(H825,MAX(J825:K825))=0,"",MIN(H825,MAX(J825:K825))))</f>
        <v/>
      </c>
      <c r="G825" s="74" t="n"/>
      <c r="H825" s="49">
        <f>IF(M825="","",IFERROR(ROUND(AVERAGE(T825+M825*{7,8,9,10,11})/1.21,4),""))</f>
        <v/>
      </c>
      <c r="I825" s="76" t="n"/>
      <c r="J825" s="77" t="n"/>
      <c r="K825" s="74" t="n"/>
      <c r="L825" s="78" t="n"/>
      <c r="M825" s="77" t="n"/>
      <c r="N825" s="53">
        <f>IF(M825="","",IFERROR(M825/I825,""))</f>
        <v/>
      </c>
      <c r="O825" s="50">
        <f>IF(A825="","",IFERROR((IF(G825="",I825,G825)-T825)/M825,""))</f>
        <v/>
      </c>
      <c r="P825" s="50">
        <f>IFERROR((I825/T825-1)/N825,"")</f>
        <v/>
      </c>
      <c r="Q825" s="46">
        <f>IF(OR(T825="",I825&lt;T825),"",IFERROR(R825/IF(G825="",I825,G825)-1,""))</f>
        <v/>
      </c>
      <c r="R825" s="48">
        <f>IF($M825="","",MAX(IF($G825="",$I825,$G825)*(1/1.1),IF($G825="",$I825,$G825)+(R$2*$M825)))</f>
        <v/>
      </c>
      <c r="S825" s="49">
        <f>IF($M825="","",MAX(IF($G825="",$I825,$G825)*(1/1.1),IF($G825="",$I825,$G825)+(S$2*$M825)))</f>
        <v/>
      </c>
      <c r="T825" s="82" t="n"/>
      <c r="U825" s="47">
        <f>IF(OR($M825="",$T825=""),"",$T825+(U$2*$M825))</f>
        <v/>
      </c>
      <c r="V825" s="48">
        <f>IF(OR($M825="",$T825=""),"",$T825+(V$2*$M825))</f>
        <v/>
      </c>
      <c r="W825" s="48">
        <f>IF(OR($M825="",$T825=""),"",$T825+(W$2*$M825))</f>
        <v/>
      </c>
      <c r="X825" s="49">
        <f>IF(OR($M825="",$T825=""),"",$T825+(X$2*$M825))</f>
        <v/>
      </c>
      <c r="Y825" s="47">
        <f>IF(OR($M825="",$T825=""),"",$T825+(Y$2*$M825))</f>
        <v/>
      </c>
      <c r="Z825" s="49">
        <f>IF(OR($M825="",$T825=""),"",$T825+(Z$2*$M825))</f>
        <v/>
      </c>
      <c r="AA825" s="51">
        <f>IF(OR($M825="",$T825=""),"",$T825+(AA$2*$M825))</f>
        <v/>
      </c>
      <c r="AB825" s="48">
        <f>IF(OR($M825="",$T825=""),"",$T825+(AB$2*$M825))</f>
        <v/>
      </c>
      <c r="AC825" s="48">
        <f>IF(OR($M825="",$T825=""),"",$T825+(AC$2*$M825))</f>
        <v/>
      </c>
      <c r="AD825" s="48">
        <f>IF(OR($M825="",$T825=""),"",$T825+(AD$2*$M825))</f>
        <v/>
      </c>
      <c r="AE825" s="49">
        <f>IF(OR($M825="",$T825=""),"",$T825+(AE$2*$M825))</f>
        <v/>
      </c>
      <c r="AF825" s="52">
        <f>IF(OR(T825="",I825&lt;T825),"",IFERROR(AVERAGE(T825+M825*{7,8,9,10,11})/IF(G825="",I825,G825)-1,""))</f>
        <v/>
      </c>
      <c r="AG825" s="55">
        <f>IF(OR(T825="",I825&lt;T825),"",IFERROR(AF825/-(R825/IF(G825="",I825,G825)-1),""))</f>
        <v/>
      </c>
      <c r="AH825" s="94" t="n"/>
      <c r="AI825" s="94" t="n"/>
      <c r="AJ825" s="94" t="n"/>
      <c r="AK825" s="94" t="n"/>
      <c r="AL825" s="84" t="n"/>
    </row>
    <row r="826">
      <c r="A826" s="64" t="n"/>
      <c r="B826" s="65" t="n"/>
      <c r="C826" s="66" t="n"/>
      <c r="D826" s="67" t="n"/>
      <c r="E826" s="68" t="n"/>
      <c r="F826" s="47">
        <f>IF(A826="","",IF(MIN(H826,MAX(J826:K826))=0,"",MIN(H826,MAX(J826:K826))))</f>
        <v/>
      </c>
      <c r="G826" s="74" t="n"/>
      <c r="H826" s="49">
        <f>IF(M826="","",IFERROR(ROUND(AVERAGE(T826+M826*{7,8,9,10,11})/1.21,4),""))</f>
        <v/>
      </c>
      <c r="I826" s="76" t="n"/>
      <c r="J826" s="77" t="n"/>
      <c r="K826" s="74" t="n"/>
      <c r="L826" s="78" t="n"/>
      <c r="M826" s="77" t="n"/>
      <c r="N826" s="53">
        <f>IF(M826="","",IFERROR(M826/I826,""))</f>
        <v/>
      </c>
      <c r="O826" s="50">
        <f>IF(A826="","",IFERROR((IF(G826="",I826,G826)-T826)/M826,""))</f>
        <v/>
      </c>
      <c r="P826" s="50">
        <f>IFERROR((I826/T826-1)/N826,"")</f>
        <v/>
      </c>
      <c r="Q826" s="46">
        <f>IF(OR(T826="",I826&lt;T826),"",IFERROR(R826/IF(G826="",I826,G826)-1,""))</f>
        <v/>
      </c>
      <c r="R826" s="48">
        <f>IF($M826="","",MAX(IF($G826="",$I826,$G826)*(1/1.1),IF($G826="",$I826,$G826)+(R$2*$M826)))</f>
        <v/>
      </c>
      <c r="S826" s="49">
        <f>IF($M826="","",MAX(IF($G826="",$I826,$G826)*(1/1.1),IF($G826="",$I826,$G826)+(S$2*$M826)))</f>
        <v/>
      </c>
      <c r="T826" s="82" t="n"/>
      <c r="U826" s="47">
        <f>IF(OR($M826="",$T826=""),"",$T826+(U$2*$M826))</f>
        <v/>
      </c>
      <c r="V826" s="48">
        <f>IF(OR($M826="",$T826=""),"",$T826+(V$2*$M826))</f>
        <v/>
      </c>
      <c r="W826" s="48">
        <f>IF(OR($M826="",$T826=""),"",$T826+(W$2*$M826))</f>
        <v/>
      </c>
      <c r="X826" s="49">
        <f>IF(OR($M826="",$T826=""),"",$T826+(X$2*$M826))</f>
        <v/>
      </c>
      <c r="Y826" s="47">
        <f>IF(OR($M826="",$T826=""),"",$T826+(Y$2*$M826))</f>
        <v/>
      </c>
      <c r="Z826" s="49">
        <f>IF(OR($M826="",$T826=""),"",$T826+(Z$2*$M826))</f>
        <v/>
      </c>
      <c r="AA826" s="51">
        <f>IF(OR($M826="",$T826=""),"",$T826+(AA$2*$M826))</f>
        <v/>
      </c>
      <c r="AB826" s="48">
        <f>IF(OR($M826="",$T826=""),"",$T826+(AB$2*$M826))</f>
        <v/>
      </c>
      <c r="AC826" s="48">
        <f>IF(OR($M826="",$T826=""),"",$T826+(AC$2*$M826))</f>
        <v/>
      </c>
      <c r="AD826" s="48">
        <f>IF(OR($M826="",$T826=""),"",$T826+(AD$2*$M826))</f>
        <v/>
      </c>
      <c r="AE826" s="49">
        <f>IF(OR($M826="",$T826=""),"",$T826+(AE$2*$M826))</f>
        <v/>
      </c>
      <c r="AF826" s="52">
        <f>IF(OR(T826="",I826&lt;T826),"",IFERROR(AVERAGE(T826+M826*{7,8,9,10,11})/IF(G826="",I826,G826)-1,""))</f>
        <v/>
      </c>
      <c r="AG826" s="55">
        <f>IF(OR(T826="",I826&lt;T826),"",IFERROR(AF826/-(R826/IF(G826="",I826,G826)-1),""))</f>
        <v/>
      </c>
      <c r="AH826" s="94" t="n"/>
      <c r="AI826" s="94" t="n"/>
      <c r="AJ826" s="94" t="n"/>
      <c r="AK826" s="94" t="n"/>
      <c r="AL826" s="84" t="n"/>
    </row>
    <row r="827">
      <c r="A827" s="64" t="n"/>
      <c r="B827" s="65" t="n"/>
      <c r="C827" s="66" t="n"/>
      <c r="D827" s="67" t="n"/>
      <c r="E827" s="68" t="n"/>
      <c r="F827" s="47">
        <f>IF(A827="","",IF(MIN(H827,MAX(J827:K827))=0,"",MIN(H827,MAX(J827:K827))))</f>
        <v/>
      </c>
      <c r="G827" s="74" t="n"/>
      <c r="H827" s="49">
        <f>IF(M827="","",IFERROR(ROUND(AVERAGE(T827+M827*{7,8,9,10,11})/1.21,4),""))</f>
        <v/>
      </c>
      <c r="I827" s="76" t="n"/>
      <c r="J827" s="77" t="n"/>
      <c r="K827" s="74" t="n"/>
      <c r="L827" s="78" t="n"/>
      <c r="M827" s="77" t="n"/>
      <c r="N827" s="53">
        <f>IF(M827="","",IFERROR(M827/I827,""))</f>
        <v/>
      </c>
      <c r="O827" s="50">
        <f>IF(A827="","",IFERROR((IF(G827="",I827,G827)-T827)/M827,""))</f>
        <v/>
      </c>
      <c r="P827" s="50">
        <f>IFERROR((I827/T827-1)/N827,"")</f>
        <v/>
      </c>
      <c r="Q827" s="46">
        <f>IF(OR(T827="",I827&lt;T827),"",IFERROR(R827/IF(G827="",I827,G827)-1,""))</f>
        <v/>
      </c>
      <c r="R827" s="48">
        <f>IF($M827="","",MAX(IF($G827="",$I827,$G827)*(1/1.1),IF($G827="",$I827,$G827)+(R$2*$M827)))</f>
        <v/>
      </c>
      <c r="S827" s="49">
        <f>IF($M827="","",MAX(IF($G827="",$I827,$G827)*(1/1.1),IF($G827="",$I827,$G827)+(S$2*$M827)))</f>
        <v/>
      </c>
      <c r="T827" s="82" t="n"/>
      <c r="U827" s="47">
        <f>IF(OR($M827="",$T827=""),"",$T827+(U$2*$M827))</f>
        <v/>
      </c>
      <c r="V827" s="48">
        <f>IF(OR($M827="",$T827=""),"",$T827+(V$2*$M827))</f>
        <v/>
      </c>
      <c r="W827" s="48">
        <f>IF(OR($M827="",$T827=""),"",$T827+(W$2*$M827))</f>
        <v/>
      </c>
      <c r="X827" s="49">
        <f>IF(OR($M827="",$T827=""),"",$T827+(X$2*$M827))</f>
        <v/>
      </c>
      <c r="Y827" s="47">
        <f>IF(OR($M827="",$T827=""),"",$T827+(Y$2*$M827))</f>
        <v/>
      </c>
      <c r="Z827" s="49">
        <f>IF(OR($M827="",$T827=""),"",$T827+(Z$2*$M827))</f>
        <v/>
      </c>
      <c r="AA827" s="51">
        <f>IF(OR($M827="",$T827=""),"",$T827+(AA$2*$M827))</f>
        <v/>
      </c>
      <c r="AB827" s="48">
        <f>IF(OR($M827="",$T827=""),"",$T827+(AB$2*$M827))</f>
        <v/>
      </c>
      <c r="AC827" s="48">
        <f>IF(OR($M827="",$T827=""),"",$T827+(AC$2*$M827))</f>
        <v/>
      </c>
      <c r="AD827" s="48">
        <f>IF(OR($M827="",$T827=""),"",$T827+(AD$2*$M827))</f>
        <v/>
      </c>
      <c r="AE827" s="49">
        <f>IF(OR($M827="",$T827=""),"",$T827+(AE$2*$M827))</f>
        <v/>
      </c>
      <c r="AF827" s="52">
        <f>IF(OR(T827="",I827&lt;T827),"",IFERROR(AVERAGE(T827+M827*{7,8,9,10,11})/IF(G827="",I827,G827)-1,""))</f>
        <v/>
      </c>
      <c r="AG827" s="55">
        <f>IF(OR(T827="",I827&lt;T827),"",IFERROR(AF827/-(R827/IF(G827="",I827,G827)-1),""))</f>
        <v/>
      </c>
      <c r="AH827" s="94" t="n"/>
      <c r="AI827" s="94" t="n"/>
      <c r="AJ827" s="94" t="n"/>
      <c r="AK827" s="94" t="n"/>
      <c r="AL827" s="84" t="n"/>
    </row>
    <row r="828">
      <c r="A828" s="64" t="n"/>
      <c r="B828" s="65" t="n"/>
      <c r="C828" s="66" t="n"/>
      <c r="D828" s="67" t="n"/>
      <c r="E828" s="68" t="n"/>
      <c r="F828" s="47">
        <f>IF(A828="","",IF(MIN(H828,MAX(J828:K828))=0,"",MIN(H828,MAX(J828:K828))))</f>
        <v/>
      </c>
      <c r="G828" s="74" t="n"/>
      <c r="H828" s="49">
        <f>IF(M828="","",IFERROR(ROUND(AVERAGE(T828+M828*{7,8,9,10,11})/1.21,4),""))</f>
        <v/>
      </c>
      <c r="I828" s="76" t="n"/>
      <c r="J828" s="77" t="n"/>
      <c r="K828" s="74" t="n"/>
      <c r="L828" s="78" t="n"/>
      <c r="M828" s="77" t="n"/>
      <c r="N828" s="53">
        <f>IF(M828="","",IFERROR(M828/I828,""))</f>
        <v/>
      </c>
      <c r="O828" s="50">
        <f>IF(A828="","",IFERROR((IF(G828="",I828,G828)-T828)/M828,""))</f>
        <v/>
      </c>
      <c r="P828" s="50">
        <f>IFERROR((I828/T828-1)/N828,"")</f>
        <v/>
      </c>
      <c r="Q828" s="46">
        <f>IF(OR(T828="",I828&lt;T828),"",IFERROR(R828/IF(G828="",I828,G828)-1,""))</f>
        <v/>
      </c>
      <c r="R828" s="48">
        <f>IF($M828="","",MAX(IF($G828="",$I828,$G828)*(1/1.1),IF($G828="",$I828,$G828)+(R$2*$M828)))</f>
        <v/>
      </c>
      <c r="S828" s="49">
        <f>IF($M828="","",MAX(IF($G828="",$I828,$G828)*(1/1.1),IF($G828="",$I828,$G828)+(S$2*$M828)))</f>
        <v/>
      </c>
      <c r="T828" s="82" t="n"/>
      <c r="U828" s="47">
        <f>IF(OR($M828="",$T828=""),"",$T828+(U$2*$M828))</f>
        <v/>
      </c>
      <c r="V828" s="48">
        <f>IF(OR($M828="",$T828=""),"",$T828+(V$2*$M828))</f>
        <v/>
      </c>
      <c r="W828" s="48">
        <f>IF(OR($M828="",$T828=""),"",$T828+(W$2*$M828))</f>
        <v/>
      </c>
      <c r="X828" s="49">
        <f>IF(OR($M828="",$T828=""),"",$T828+(X$2*$M828))</f>
        <v/>
      </c>
      <c r="Y828" s="47">
        <f>IF(OR($M828="",$T828=""),"",$T828+(Y$2*$M828))</f>
        <v/>
      </c>
      <c r="Z828" s="49">
        <f>IF(OR($M828="",$T828=""),"",$T828+(Z$2*$M828))</f>
        <v/>
      </c>
      <c r="AA828" s="51">
        <f>IF(OR($M828="",$T828=""),"",$T828+(AA$2*$M828))</f>
        <v/>
      </c>
      <c r="AB828" s="48">
        <f>IF(OR($M828="",$T828=""),"",$T828+(AB$2*$M828))</f>
        <v/>
      </c>
      <c r="AC828" s="48">
        <f>IF(OR($M828="",$T828=""),"",$T828+(AC$2*$M828))</f>
        <v/>
      </c>
      <c r="AD828" s="48">
        <f>IF(OR($M828="",$T828=""),"",$T828+(AD$2*$M828))</f>
        <v/>
      </c>
      <c r="AE828" s="49">
        <f>IF(OR($M828="",$T828=""),"",$T828+(AE$2*$M828))</f>
        <v/>
      </c>
      <c r="AF828" s="52">
        <f>IF(OR(T828="",I828&lt;T828),"",IFERROR(AVERAGE(T828+M828*{7,8,9,10,11})/IF(G828="",I828,G828)-1,""))</f>
        <v/>
      </c>
      <c r="AG828" s="55">
        <f>IF(OR(T828="",I828&lt;T828),"",IFERROR(AF828/-(R828/IF(G828="",I828,G828)-1),""))</f>
        <v/>
      </c>
      <c r="AH828" s="94" t="n"/>
      <c r="AI828" s="94" t="n"/>
      <c r="AJ828" s="94" t="n"/>
      <c r="AK828" s="94" t="n"/>
      <c r="AL828" s="84" t="n"/>
    </row>
    <row r="829">
      <c r="A829" s="64" t="n"/>
      <c r="B829" s="65" t="n"/>
      <c r="C829" s="66" t="n"/>
      <c r="D829" s="67" t="n"/>
      <c r="E829" s="68" t="n"/>
      <c r="F829" s="47">
        <f>IF(A829="","",IF(MIN(H829,MAX(J829:K829))=0,"",MIN(H829,MAX(J829:K829))))</f>
        <v/>
      </c>
      <c r="G829" s="74" t="n"/>
      <c r="H829" s="49">
        <f>IF(M829="","",IFERROR(ROUND(AVERAGE(T829+M829*{7,8,9,10,11})/1.21,4),""))</f>
        <v/>
      </c>
      <c r="I829" s="76" t="n"/>
      <c r="J829" s="77" t="n"/>
      <c r="K829" s="74" t="n"/>
      <c r="L829" s="78" t="n"/>
      <c r="M829" s="77" t="n"/>
      <c r="N829" s="53">
        <f>IF(M829="","",IFERROR(M829/I829,""))</f>
        <v/>
      </c>
      <c r="O829" s="50">
        <f>IF(A829="","",IFERROR((IF(G829="",I829,G829)-T829)/M829,""))</f>
        <v/>
      </c>
      <c r="P829" s="50">
        <f>IFERROR((I829/T829-1)/N829,"")</f>
        <v/>
      </c>
      <c r="Q829" s="46">
        <f>IF(OR(T829="",I829&lt;T829),"",IFERROR(R829/IF(G829="",I829,G829)-1,""))</f>
        <v/>
      </c>
      <c r="R829" s="48">
        <f>IF($M829="","",MAX(IF($G829="",$I829,$G829)*(1/1.1),IF($G829="",$I829,$G829)+(R$2*$M829)))</f>
        <v/>
      </c>
      <c r="S829" s="49">
        <f>IF($M829="","",MAX(IF($G829="",$I829,$G829)*(1/1.1),IF($G829="",$I829,$G829)+(S$2*$M829)))</f>
        <v/>
      </c>
      <c r="T829" s="82" t="n"/>
      <c r="U829" s="47">
        <f>IF(OR($M829="",$T829=""),"",$T829+(U$2*$M829))</f>
        <v/>
      </c>
      <c r="V829" s="48">
        <f>IF(OR($M829="",$T829=""),"",$T829+(V$2*$M829))</f>
        <v/>
      </c>
      <c r="W829" s="48">
        <f>IF(OR($M829="",$T829=""),"",$T829+(W$2*$M829))</f>
        <v/>
      </c>
      <c r="X829" s="49">
        <f>IF(OR($M829="",$T829=""),"",$T829+(X$2*$M829))</f>
        <v/>
      </c>
      <c r="Y829" s="47">
        <f>IF(OR($M829="",$T829=""),"",$T829+(Y$2*$M829))</f>
        <v/>
      </c>
      <c r="Z829" s="49">
        <f>IF(OR($M829="",$T829=""),"",$T829+(Z$2*$M829))</f>
        <v/>
      </c>
      <c r="AA829" s="51">
        <f>IF(OR($M829="",$T829=""),"",$T829+(AA$2*$M829))</f>
        <v/>
      </c>
      <c r="AB829" s="48">
        <f>IF(OR($M829="",$T829=""),"",$T829+(AB$2*$M829))</f>
        <v/>
      </c>
      <c r="AC829" s="48">
        <f>IF(OR($M829="",$T829=""),"",$T829+(AC$2*$M829))</f>
        <v/>
      </c>
      <c r="AD829" s="48">
        <f>IF(OR($M829="",$T829=""),"",$T829+(AD$2*$M829))</f>
        <v/>
      </c>
      <c r="AE829" s="49">
        <f>IF(OR($M829="",$T829=""),"",$T829+(AE$2*$M829))</f>
        <v/>
      </c>
      <c r="AF829" s="52">
        <f>IF(OR(T829="",I829&lt;T829),"",IFERROR(AVERAGE(T829+M829*{7,8,9,10,11})/IF(G829="",I829,G829)-1,""))</f>
        <v/>
      </c>
      <c r="AG829" s="55">
        <f>IF(OR(T829="",I829&lt;T829),"",IFERROR(AF829/-(R829/IF(G829="",I829,G829)-1),""))</f>
        <v/>
      </c>
      <c r="AH829" s="94" t="n"/>
      <c r="AI829" s="94" t="n"/>
      <c r="AJ829" s="94" t="n"/>
      <c r="AK829" s="94" t="n"/>
      <c r="AL829" s="84" t="n"/>
    </row>
    <row r="830">
      <c r="A830" s="64" t="n"/>
      <c r="B830" s="65" t="n"/>
      <c r="C830" s="66" t="n"/>
      <c r="D830" s="67" t="n"/>
      <c r="E830" s="68" t="n"/>
      <c r="F830" s="47">
        <f>IF(A830="","",IF(MIN(H830,MAX(J830:K830))=0,"",MIN(H830,MAX(J830:K830))))</f>
        <v/>
      </c>
      <c r="G830" s="74" t="n"/>
      <c r="H830" s="49">
        <f>IF(M830="","",IFERROR(ROUND(AVERAGE(T830+M830*{7,8,9,10,11})/1.21,4),""))</f>
        <v/>
      </c>
      <c r="I830" s="76" t="n"/>
      <c r="J830" s="77" t="n"/>
      <c r="K830" s="74" t="n"/>
      <c r="L830" s="78" t="n"/>
      <c r="M830" s="77" t="n"/>
      <c r="N830" s="53">
        <f>IF(M830="","",IFERROR(M830/I830,""))</f>
        <v/>
      </c>
      <c r="O830" s="50">
        <f>IF(A830="","",IFERROR((IF(G830="",I830,G830)-T830)/M830,""))</f>
        <v/>
      </c>
      <c r="P830" s="50">
        <f>IFERROR((I830/T830-1)/N830,"")</f>
        <v/>
      </c>
      <c r="Q830" s="46">
        <f>IF(OR(T830="",I830&lt;T830),"",IFERROR(R830/IF(G830="",I830,G830)-1,""))</f>
        <v/>
      </c>
      <c r="R830" s="48">
        <f>IF($M830="","",MAX(IF($G830="",$I830,$G830)*(1/1.1),IF($G830="",$I830,$G830)+(R$2*$M830)))</f>
        <v/>
      </c>
      <c r="S830" s="49">
        <f>IF($M830="","",MAX(IF($G830="",$I830,$G830)*(1/1.1),IF($G830="",$I830,$G830)+(S$2*$M830)))</f>
        <v/>
      </c>
      <c r="T830" s="82" t="n"/>
      <c r="U830" s="47">
        <f>IF(OR($M830="",$T830=""),"",$T830+(U$2*$M830))</f>
        <v/>
      </c>
      <c r="V830" s="48">
        <f>IF(OR($M830="",$T830=""),"",$T830+(V$2*$M830))</f>
        <v/>
      </c>
      <c r="W830" s="48">
        <f>IF(OR($M830="",$T830=""),"",$T830+(W$2*$M830))</f>
        <v/>
      </c>
      <c r="X830" s="49">
        <f>IF(OR($M830="",$T830=""),"",$T830+(X$2*$M830))</f>
        <v/>
      </c>
      <c r="Y830" s="47">
        <f>IF(OR($M830="",$T830=""),"",$T830+(Y$2*$M830))</f>
        <v/>
      </c>
      <c r="Z830" s="49">
        <f>IF(OR($M830="",$T830=""),"",$T830+(Z$2*$M830))</f>
        <v/>
      </c>
      <c r="AA830" s="51">
        <f>IF(OR($M830="",$T830=""),"",$T830+(AA$2*$M830))</f>
        <v/>
      </c>
      <c r="AB830" s="48">
        <f>IF(OR($M830="",$T830=""),"",$T830+(AB$2*$M830))</f>
        <v/>
      </c>
      <c r="AC830" s="48">
        <f>IF(OR($M830="",$T830=""),"",$T830+(AC$2*$M830))</f>
        <v/>
      </c>
      <c r="AD830" s="48">
        <f>IF(OR($M830="",$T830=""),"",$T830+(AD$2*$M830))</f>
        <v/>
      </c>
      <c r="AE830" s="49">
        <f>IF(OR($M830="",$T830=""),"",$T830+(AE$2*$M830))</f>
        <v/>
      </c>
      <c r="AF830" s="52">
        <f>IF(OR(T830="",I830&lt;T830),"",IFERROR(AVERAGE(T830+M830*{7,8,9,10,11})/IF(G830="",I830,G830)-1,""))</f>
        <v/>
      </c>
      <c r="AG830" s="55">
        <f>IF(OR(T830="",I830&lt;T830),"",IFERROR(AF830/-(R830/IF(G830="",I830,G830)-1),""))</f>
        <v/>
      </c>
      <c r="AH830" s="94" t="n"/>
      <c r="AI830" s="94" t="n"/>
      <c r="AJ830" s="94" t="n"/>
      <c r="AK830" s="94" t="n"/>
      <c r="AL830" s="84" t="n"/>
    </row>
    <row r="831">
      <c r="A831" s="64" t="n"/>
      <c r="B831" s="65" t="n"/>
      <c r="C831" s="66" t="n"/>
      <c r="D831" s="67" t="n"/>
      <c r="E831" s="68" t="n"/>
      <c r="F831" s="47">
        <f>IF(A831="","",IF(MIN(H831,MAX(J831:K831))=0,"",MIN(H831,MAX(J831:K831))))</f>
        <v/>
      </c>
      <c r="G831" s="74" t="n"/>
      <c r="H831" s="49">
        <f>IF(M831="","",IFERROR(ROUND(AVERAGE(T831+M831*{7,8,9,10,11})/1.21,4),""))</f>
        <v/>
      </c>
      <c r="I831" s="76" t="n"/>
      <c r="J831" s="77" t="n"/>
      <c r="K831" s="74" t="n"/>
      <c r="L831" s="78" t="n"/>
      <c r="M831" s="77" t="n"/>
      <c r="N831" s="53">
        <f>IF(M831="","",IFERROR(M831/I831,""))</f>
        <v/>
      </c>
      <c r="O831" s="50">
        <f>IF(A831="","",IFERROR((IF(G831="",I831,G831)-T831)/M831,""))</f>
        <v/>
      </c>
      <c r="P831" s="50">
        <f>IFERROR((I831/T831-1)/N831,"")</f>
        <v/>
      </c>
      <c r="Q831" s="46">
        <f>IF(OR(T831="",I831&lt;T831),"",IFERROR(R831/IF(G831="",I831,G831)-1,""))</f>
        <v/>
      </c>
      <c r="R831" s="48">
        <f>IF($M831="","",MAX(IF($G831="",$I831,$G831)*(1/1.1),IF($G831="",$I831,$G831)+(R$2*$M831)))</f>
        <v/>
      </c>
      <c r="S831" s="49">
        <f>IF($M831="","",MAX(IF($G831="",$I831,$G831)*(1/1.1),IF($G831="",$I831,$G831)+(S$2*$M831)))</f>
        <v/>
      </c>
      <c r="T831" s="82" t="n"/>
      <c r="U831" s="47">
        <f>IF(OR($M831="",$T831=""),"",$T831+(U$2*$M831))</f>
        <v/>
      </c>
      <c r="V831" s="48">
        <f>IF(OR($M831="",$T831=""),"",$T831+(V$2*$M831))</f>
        <v/>
      </c>
      <c r="W831" s="48">
        <f>IF(OR($M831="",$T831=""),"",$T831+(W$2*$M831))</f>
        <v/>
      </c>
      <c r="X831" s="49">
        <f>IF(OR($M831="",$T831=""),"",$T831+(X$2*$M831))</f>
        <v/>
      </c>
      <c r="Y831" s="47">
        <f>IF(OR($M831="",$T831=""),"",$T831+(Y$2*$M831))</f>
        <v/>
      </c>
      <c r="Z831" s="49">
        <f>IF(OR($M831="",$T831=""),"",$T831+(Z$2*$M831))</f>
        <v/>
      </c>
      <c r="AA831" s="51">
        <f>IF(OR($M831="",$T831=""),"",$T831+(AA$2*$M831))</f>
        <v/>
      </c>
      <c r="AB831" s="48">
        <f>IF(OR($M831="",$T831=""),"",$T831+(AB$2*$M831))</f>
        <v/>
      </c>
      <c r="AC831" s="48">
        <f>IF(OR($M831="",$T831=""),"",$T831+(AC$2*$M831))</f>
        <v/>
      </c>
      <c r="AD831" s="48">
        <f>IF(OR($M831="",$T831=""),"",$T831+(AD$2*$M831))</f>
        <v/>
      </c>
      <c r="AE831" s="49">
        <f>IF(OR($M831="",$T831=""),"",$T831+(AE$2*$M831))</f>
        <v/>
      </c>
      <c r="AF831" s="52">
        <f>IF(OR(T831="",I831&lt;T831),"",IFERROR(AVERAGE(T831+M831*{7,8,9,10,11})/IF(G831="",I831,G831)-1,""))</f>
        <v/>
      </c>
      <c r="AG831" s="55">
        <f>IF(OR(T831="",I831&lt;T831),"",IFERROR(AF831/-(R831/IF(G831="",I831,G831)-1),""))</f>
        <v/>
      </c>
      <c r="AH831" s="94" t="n"/>
      <c r="AI831" s="94" t="n"/>
      <c r="AJ831" s="94" t="n"/>
      <c r="AK831" s="94" t="n"/>
      <c r="AL831" s="84" t="n"/>
    </row>
    <row r="832">
      <c r="A832" s="64" t="n"/>
      <c r="B832" s="65" t="n"/>
      <c r="C832" s="66" t="n"/>
      <c r="D832" s="67" t="n"/>
      <c r="E832" s="68" t="n"/>
      <c r="F832" s="47">
        <f>IF(A832="","",IF(MIN(H832,MAX(J832:K832))=0,"",MIN(H832,MAX(J832:K832))))</f>
        <v/>
      </c>
      <c r="G832" s="74" t="n"/>
      <c r="H832" s="49">
        <f>IF(M832="","",IFERROR(ROUND(AVERAGE(T832+M832*{7,8,9,10,11})/1.21,4),""))</f>
        <v/>
      </c>
      <c r="I832" s="76" t="n"/>
      <c r="J832" s="77" t="n"/>
      <c r="K832" s="74" t="n"/>
      <c r="L832" s="78" t="n"/>
      <c r="M832" s="77" t="n"/>
      <c r="N832" s="53">
        <f>IF(M832="","",IFERROR(M832/I832,""))</f>
        <v/>
      </c>
      <c r="O832" s="50">
        <f>IF(A832="","",IFERROR((IF(G832="",I832,G832)-T832)/M832,""))</f>
        <v/>
      </c>
      <c r="P832" s="50">
        <f>IFERROR((I832/T832-1)/N832,"")</f>
        <v/>
      </c>
      <c r="Q832" s="46">
        <f>IF(OR(T832="",I832&lt;T832),"",IFERROR(R832/IF(G832="",I832,G832)-1,""))</f>
        <v/>
      </c>
      <c r="R832" s="48">
        <f>IF($M832="","",MAX(IF($G832="",$I832,$G832)*(1/1.1),IF($G832="",$I832,$G832)+(R$2*$M832)))</f>
        <v/>
      </c>
      <c r="S832" s="49">
        <f>IF($M832="","",MAX(IF($G832="",$I832,$G832)*(1/1.1),IF($G832="",$I832,$G832)+(S$2*$M832)))</f>
        <v/>
      </c>
      <c r="T832" s="82" t="n"/>
      <c r="U832" s="47">
        <f>IF(OR($M832="",$T832=""),"",$T832+(U$2*$M832))</f>
        <v/>
      </c>
      <c r="V832" s="48">
        <f>IF(OR($M832="",$T832=""),"",$T832+(V$2*$M832))</f>
        <v/>
      </c>
      <c r="W832" s="48">
        <f>IF(OR($M832="",$T832=""),"",$T832+(W$2*$M832))</f>
        <v/>
      </c>
      <c r="X832" s="49">
        <f>IF(OR($M832="",$T832=""),"",$T832+(X$2*$M832))</f>
        <v/>
      </c>
      <c r="Y832" s="47">
        <f>IF(OR($M832="",$T832=""),"",$T832+(Y$2*$M832))</f>
        <v/>
      </c>
      <c r="Z832" s="49">
        <f>IF(OR($M832="",$T832=""),"",$T832+(Z$2*$M832))</f>
        <v/>
      </c>
      <c r="AA832" s="51">
        <f>IF(OR($M832="",$T832=""),"",$T832+(AA$2*$M832))</f>
        <v/>
      </c>
      <c r="AB832" s="48">
        <f>IF(OR($M832="",$T832=""),"",$T832+(AB$2*$M832))</f>
        <v/>
      </c>
      <c r="AC832" s="48">
        <f>IF(OR($M832="",$T832=""),"",$T832+(AC$2*$M832))</f>
        <v/>
      </c>
      <c r="AD832" s="48">
        <f>IF(OR($M832="",$T832=""),"",$T832+(AD$2*$M832))</f>
        <v/>
      </c>
      <c r="AE832" s="49">
        <f>IF(OR($M832="",$T832=""),"",$T832+(AE$2*$M832))</f>
        <v/>
      </c>
      <c r="AF832" s="52">
        <f>IF(OR(T832="",I832&lt;T832),"",IFERROR(AVERAGE(T832+M832*{7,8,9,10,11})/IF(G832="",I832,G832)-1,""))</f>
        <v/>
      </c>
      <c r="AG832" s="55">
        <f>IF(OR(T832="",I832&lt;T832),"",IFERROR(AF832/-(R832/IF(G832="",I832,G832)-1),""))</f>
        <v/>
      </c>
      <c r="AH832" s="94" t="n"/>
      <c r="AI832" s="94" t="n"/>
      <c r="AJ832" s="94" t="n"/>
      <c r="AK832" s="94" t="n"/>
      <c r="AL832" s="84" t="n"/>
    </row>
    <row r="833">
      <c r="A833" s="64" t="n"/>
      <c r="B833" s="65" t="n"/>
      <c r="C833" s="66" t="n"/>
      <c r="D833" s="67" t="n"/>
      <c r="E833" s="68" t="n"/>
      <c r="F833" s="47">
        <f>IF(A833="","",IF(MIN(H833,MAX(J833:K833))=0,"",MIN(H833,MAX(J833:K833))))</f>
        <v/>
      </c>
      <c r="G833" s="74" t="n"/>
      <c r="H833" s="49">
        <f>IF(M833="","",IFERROR(ROUND(AVERAGE(T833+M833*{7,8,9,10,11})/1.21,4),""))</f>
        <v/>
      </c>
      <c r="I833" s="76" t="n"/>
      <c r="J833" s="77" t="n"/>
      <c r="K833" s="74" t="n"/>
      <c r="L833" s="78" t="n"/>
      <c r="M833" s="77" t="n"/>
      <c r="N833" s="53">
        <f>IF(M833="","",IFERROR(M833/I833,""))</f>
        <v/>
      </c>
      <c r="O833" s="50">
        <f>IF(A833="","",IFERROR((IF(G833="",I833,G833)-T833)/M833,""))</f>
        <v/>
      </c>
      <c r="P833" s="50">
        <f>IFERROR((I833/T833-1)/N833,"")</f>
        <v/>
      </c>
      <c r="Q833" s="46">
        <f>IF(OR(T833="",I833&lt;T833),"",IFERROR(R833/IF(G833="",I833,G833)-1,""))</f>
        <v/>
      </c>
      <c r="R833" s="48">
        <f>IF($M833="","",MAX(IF($G833="",$I833,$G833)*(1/1.1),IF($G833="",$I833,$G833)+(R$2*$M833)))</f>
        <v/>
      </c>
      <c r="S833" s="49">
        <f>IF($M833="","",MAX(IF($G833="",$I833,$G833)*(1/1.1),IF($G833="",$I833,$G833)+(S$2*$M833)))</f>
        <v/>
      </c>
      <c r="T833" s="82" t="n"/>
      <c r="U833" s="47">
        <f>IF(OR($M833="",$T833=""),"",$T833+(U$2*$M833))</f>
        <v/>
      </c>
      <c r="V833" s="48">
        <f>IF(OR($M833="",$T833=""),"",$T833+(V$2*$M833))</f>
        <v/>
      </c>
      <c r="W833" s="48">
        <f>IF(OR($M833="",$T833=""),"",$T833+(W$2*$M833))</f>
        <v/>
      </c>
      <c r="X833" s="49">
        <f>IF(OR($M833="",$T833=""),"",$T833+(X$2*$M833))</f>
        <v/>
      </c>
      <c r="Y833" s="47">
        <f>IF(OR($M833="",$T833=""),"",$T833+(Y$2*$M833))</f>
        <v/>
      </c>
      <c r="Z833" s="49">
        <f>IF(OR($M833="",$T833=""),"",$T833+(Z$2*$M833))</f>
        <v/>
      </c>
      <c r="AA833" s="51">
        <f>IF(OR($M833="",$T833=""),"",$T833+(AA$2*$M833))</f>
        <v/>
      </c>
      <c r="AB833" s="48">
        <f>IF(OR($M833="",$T833=""),"",$T833+(AB$2*$M833))</f>
        <v/>
      </c>
      <c r="AC833" s="48">
        <f>IF(OR($M833="",$T833=""),"",$T833+(AC$2*$M833))</f>
        <v/>
      </c>
      <c r="AD833" s="48">
        <f>IF(OR($M833="",$T833=""),"",$T833+(AD$2*$M833))</f>
        <v/>
      </c>
      <c r="AE833" s="49">
        <f>IF(OR($M833="",$T833=""),"",$T833+(AE$2*$M833))</f>
        <v/>
      </c>
      <c r="AF833" s="52">
        <f>IF(OR(T833="",I833&lt;T833),"",IFERROR(AVERAGE(T833+M833*{7,8,9,10,11})/IF(G833="",I833,G833)-1,""))</f>
        <v/>
      </c>
      <c r="AG833" s="55">
        <f>IF(OR(T833="",I833&lt;T833),"",IFERROR(AF833/-(R833/IF(G833="",I833,G833)-1),""))</f>
        <v/>
      </c>
      <c r="AH833" s="94" t="n"/>
      <c r="AI833" s="94" t="n"/>
      <c r="AJ833" s="94" t="n"/>
      <c r="AK833" s="94" t="n"/>
      <c r="AL833" s="84" t="n"/>
    </row>
    <row r="834">
      <c r="A834" s="64" t="n"/>
      <c r="B834" s="65" t="n"/>
      <c r="C834" s="66" t="n"/>
      <c r="D834" s="67" t="n"/>
      <c r="E834" s="68" t="n"/>
      <c r="F834" s="47">
        <f>IF(A834="","",IF(MIN(H834,MAX(J834:K834))=0,"",MIN(H834,MAX(J834:K834))))</f>
        <v/>
      </c>
      <c r="G834" s="74" t="n"/>
      <c r="H834" s="49">
        <f>IF(M834="","",IFERROR(ROUND(AVERAGE(T834+M834*{7,8,9,10,11})/1.21,4),""))</f>
        <v/>
      </c>
      <c r="I834" s="76" t="n"/>
      <c r="J834" s="77" t="n"/>
      <c r="K834" s="74" t="n"/>
      <c r="L834" s="78" t="n"/>
      <c r="M834" s="77" t="n"/>
      <c r="N834" s="53">
        <f>IF(M834="","",IFERROR(M834/I834,""))</f>
        <v/>
      </c>
      <c r="O834" s="50">
        <f>IF(A834="","",IFERROR((IF(G834="",I834,G834)-T834)/M834,""))</f>
        <v/>
      </c>
      <c r="P834" s="50">
        <f>IFERROR((I834/T834-1)/N834,"")</f>
        <v/>
      </c>
      <c r="Q834" s="46">
        <f>IF(OR(T834="",I834&lt;T834),"",IFERROR(R834/IF(G834="",I834,G834)-1,""))</f>
        <v/>
      </c>
      <c r="R834" s="48">
        <f>IF($M834="","",MAX(IF($G834="",$I834,$G834)*(1/1.1),IF($G834="",$I834,$G834)+(R$2*$M834)))</f>
        <v/>
      </c>
      <c r="S834" s="49">
        <f>IF($M834="","",MAX(IF($G834="",$I834,$G834)*(1/1.1),IF($G834="",$I834,$G834)+(S$2*$M834)))</f>
        <v/>
      </c>
      <c r="T834" s="82" t="n"/>
      <c r="U834" s="47">
        <f>IF(OR($M834="",$T834=""),"",$T834+(U$2*$M834))</f>
        <v/>
      </c>
      <c r="V834" s="48">
        <f>IF(OR($M834="",$T834=""),"",$T834+(V$2*$M834))</f>
        <v/>
      </c>
      <c r="W834" s="48">
        <f>IF(OR($M834="",$T834=""),"",$T834+(W$2*$M834))</f>
        <v/>
      </c>
      <c r="X834" s="49">
        <f>IF(OR($M834="",$T834=""),"",$T834+(X$2*$M834))</f>
        <v/>
      </c>
      <c r="Y834" s="47">
        <f>IF(OR($M834="",$T834=""),"",$T834+(Y$2*$M834))</f>
        <v/>
      </c>
      <c r="Z834" s="49">
        <f>IF(OR($M834="",$T834=""),"",$T834+(Z$2*$M834))</f>
        <v/>
      </c>
      <c r="AA834" s="51">
        <f>IF(OR($M834="",$T834=""),"",$T834+(AA$2*$M834))</f>
        <v/>
      </c>
      <c r="AB834" s="48">
        <f>IF(OR($M834="",$T834=""),"",$T834+(AB$2*$M834))</f>
        <v/>
      </c>
      <c r="AC834" s="48">
        <f>IF(OR($M834="",$T834=""),"",$T834+(AC$2*$M834))</f>
        <v/>
      </c>
      <c r="AD834" s="48">
        <f>IF(OR($M834="",$T834=""),"",$T834+(AD$2*$M834))</f>
        <v/>
      </c>
      <c r="AE834" s="49">
        <f>IF(OR($M834="",$T834=""),"",$T834+(AE$2*$M834))</f>
        <v/>
      </c>
      <c r="AF834" s="52">
        <f>IF(OR(T834="",I834&lt;T834),"",IFERROR(AVERAGE(T834+M834*{7,8,9,10,11})/IF(G834="",I834,G834)-1,""))</f>
        <v/>
      </c>
      <c r="AG834" s="55">
        <f>IF(OR(T834="",I834&lt;T834),"",IFERROR(AF834/-(R834/IF(G834="",I834,G834)-1),""))</f>
        <v/>
      </c>
      <c r="AH834" s="94" t="n"/>
      <c r="AI834" s="94" t="n"/>
      <c r="AJ834" s="94" t="n"/>
      <c r="AK834" s="94" t="n"/>
      <c r="AL834" s="84" t="n"/>
    </row>
    <row r="835">
      <c r="A835" s="64" t="n"/>
      <c r="B835" s="65" t="n"/>
      <c r="C835" s="66" t="n"/>
      <c r="D835" s="67" t="n"/>
      <c r="E835" s="68" t="n"/>
      <c r="F835" s="47">
        <f>IF(A835="","",IF(MIN(H835,MAX(J835:K835))=0,"",MIN(H835,MAX(J835:K835))))</f>
        <v/>
      </c>
      <c r="G835" s="74" t="n"/>
      <c r="H835" s="49">
        <f>IF(M835="","",IFERROR(ROUND(AVERAGE(T835+M835*{7,8,9,10,11})/1.21,4),""))</f>
        <v/>
      </c>
      <c r="I835" s="76" t="n"/>
      <c r="J835" s="77" t="n"/>
      <c r="K835" s="74" t="n"/>
      <c r="L835" s="78" t="n"/>
      <c r="M835" s="77" t="n"/>
      <c r="N835" s="53">
        <f>IF(M835="","",IFERROR(M835/I835,""))</f>
        <v/>
      </c>
      <c r="O835" s="50">
        <f>IF(A835="","",IFERROR((IF(G835="",I835,G835)-T835)/M835,""))</f>
        <v/>
      </c>
      <c r="P835" s="50">
        <f>IFERROR((I835/T835-1)/N835,"")</f>
        <v/>
      </c>
      <c r="Q835" s="46">
        <f>IF(OR(T835="",I835&lt;T835),"",IFERROR(R835/IF(G835="",I835,G835)-1,""))</f>
        <v/>
      </c>
      <c r="R835" s="48">
        <f>IF($M835="","",MAX(IF($G835="",$I835,$G835)*(1/1.1),IF($G835="",$I835,$G835)+(R$2*$M835)))</f>
        <v/>
      </c>
      <c r="S835" s="49">
        <f>IF($M835="","",MAX(IF($G835="",$I835,$G835)*(1/1.1),IF($G835="",$I835,$G835)+(S$2*$M835)))</f>
        <v/>
      </c>
      <c r="T835" s="82" t="n"/>
      <c r="U835" s="47">
        <f>IF(OR($M835="",$T835=""),"",$T835+(U$2*$M835))</f>
        <v/>
      </c>
      <c r="V835" s="48">
        <f>IF(OR($M835="",$T835=""),"",$T835+(V$2*$M835))</f>
        <v/>
      </c>
      <c r="W835" s="48">
        <f>IF(OR($M835="",$T835=""),"",$T835+(W$2*$M835))</f>
        <v/>
      </c>
      <c r="X835" s="49">
        <f>IF(OR($M835="",$T835=""),"",$T835+(X$2*$M835))</f>
        <v/>
      </c>
      <c r="Y835" s="47">
        <f>IF(OR($M835="",$T835=""),"",$T835+(Y$2*$M835))</f>
        <v/>
      </c>
      <c r="Z835" s="49">
        <f>IF(OR($M835="",$T835=""),"",$T835+(Z$2*$M835))</f>
        <v/>
      </c>
      <c r="AA835" s="51">
        <f>IF(OR($M835="",$T835=""),"",$T835+(AA$2*$M835))</f>
        <v/>
      </c>
      <c r="AB835" s="48">
        <f>IF(OR($M835="",$T835=""),"",$T835+(AB$2*$M835))</f>
        <v/>
      </c>
      <c r="AC835" s="48">
        <f>IF(OR($M835="",$T835=""),"",$T835+(AC$2*$M835))</f>
        <v/>
      </c>
      <c r="AD835" s="48">
        <f>IF(OR($M835="",$T835=""),"",$T835+(AD$2*$M835))</f>
        <v/>
      </c>
      <c r="AE835" s="49">
        <f>IF(OR($M835="",$T835=""),"",$T835+(AE$2*$M835))</f>
        <v/>
      </c>
      <c r="AF835" s="52">
        <f>IF(OR(T835="",I835&lt;T835),"",IFERROR(AVERAGE(T835+M835*{7,8,9,10,11})/IF(G835="",I835,G835)-1,""))</f>
        <v/>
      </c>
      <c r="AG835" s="55">
        <f>IF(OR(T835="",I835&lt;T835),"",IFERROR(AF835/-(R835/IF(G835="",I835,G835)-1),""))</f>
        <v/>
      </c>
      <c r="AH835" s="94" t="n"/>
      <c r="AI835" s="94" t="n"/>
      <c r="AJ835" s="94" t="n"/>
      <c r="AK835" s="94" t="n"/>
      <c r="AL835" s="84" t="n"/>
    </row>
    <row r="836">
      <c r="A836" s="64" t="n"/>
      <c r="B836" s="65" t="n"/>
      <c r="C836" s="66" t="n"/>
      <c r="D836" s="67" t="n"/>
      <c r="E836" s="68" t="n"/>
      <c r="F836" s="47">
        <f>IF(A836="","",IF(MIN(H836,MAX(J836:K836))=0,"",MIN(H836,MAX(J836:K836))))</f>
        <v/>
      </c>
      <c r="G836" s="74" t="n"/>
      <c r="H836" s="49">
        <f>IF(M836="","",IFERROR(ROUND(AVERAGE(T836+M836*{7,8,9,10,11})/1.21,4),""))</f>
        <v/>
      </c>
      <c r="I836" s="76" t="n"/>
      <c r="J836" s="77" t="n"/>
      <c r="K836" s="74" t="n"/>
      <c r="L836" s="78" t="n"/>
      <c r="M836" s="77" t="n"/>
      <c r="N836" s="53">
        <f>IF(M836="","",IFERROR(M836/I836,""))</f>
        <v/>
      </c>
      <c r="O836" s="50">
        <f>IF(A836="","",IFERROR((IF(G836="",I836,G836)-T836)/M836,""))</f>
        <v/>
      </c>
      <c r="P836" s="50">
        <f>IFERROR((I836/T836-1)/N836,"")</f>
        <v/>
      </c>
      <c r="Q836" s="46">
        <f>IF(OR(T836="",I836&lt;T836),"",IFERROR(R836/IF(G836="",I836,G836)-1,""))</f>
        <v/>
      </c>
      <c r="R836" s="48">
        <f>IF($M836="","",MAX(IF($G836="",$I836,$G836)*(1/1.1),IF($G836="",$I836,$G836)+(R$2*$M836)))</f>
        <v/>
      </c>
      <c r="S836" s="49">
        <f>IF($M836="","",MAX(IF($G836="",$I836,$G836)*(1/1.1),IF($G836="",$I836,$G836)+(S$2*$M836)))</f>
        <v/>
      </c>
      <c r="T836" s="82" t="n"/>
      <c r="U836" s="47">
        <f>IF(OR($M836="",$T836=""),"",$T836+(U$2*$M836))</f>
        <v/>
      </c>
      <c r="V836" s="48">
        <f>IF(OR($M836="",$T836=""),"",$T836+(V$2*$M836))</f>
        <v/>
      </c>
      <c r="W836" s="48">
        <f>IF(OR($M836="",$T836=""),"",$T836+(W$2*$M836))</f>
        <v/>
      </c>
      <c r="X836" s="49">
        <f>IF(OR($M836="",$T836=""),"",$T836+(X$2*$M836))</f>
        <v/>
      </c>
      <c r="Y836" s="47">
        <f>IF(OR($M836="",$T836=""),"",$T836+(Y$2*$M836))</f>
        <v/>
      </c>
      <c r="Z836" s="49">
        <f>IF(OR($M836="",$T836=""),"",$T836+(Z$2*$M836))</f>
        <v/>
      </c>
      <c r="AA836" s="51">
        <f>IF(OR($M836="",$T836=""),"",$T836+(AA$2*$M836))</f>
        <v/>
      </c>
      <c r="AB836" s="48">
        <f>IF(OR($M836="",$T836=""),"",$T836+(AB$2*$M836))</f>
        <v/>
      </c>
      <c r="AC836" s="48">
        <f>IF(OR($M836="",$T836=""),"",$T836+(AC$2*$M836))</f>
        <v/>
      </c>
      <c r="AD836" s="48">
        <f>IF(OR($M836="",$T836=""),"",$T836+(AD$2*$M836))</f>
        <v/>
      </c>
      <c r="AE836" s="49">
        <f>IF(OR($M836="",$T836=""),"",$T836+(AE$2*$M836))</f>
        <v/>
      </c>
      <c r="AF836" s="52">
        <f>IF(OR(T836="",I836&lt;T836),"",IFERROR(AVERAGE(T836+M836*{7,8,9,10,11})/IF(G836="",I836,G836)-1,""))</f>
        <v/>
      </c>
      <c r="AG836" s="55">
        <f>IF(OR(T836="",I836&lt;T836),"",IFERROR(AF836/-(R836/IF(G836="",I836,G836)-1),""))</f>
        <v/>
      </c>
      <c r="AH836" s="94" t="n"/>
      <c r="AI836" s="94" t="n"/>
      <c r="AJ836" s="94" t="n"/>
      <c r="AK836" s="94" t="n"/>
      <c r="AL836" s="84" t="n"/>
    </row>
    <row r="837">
      <c r="A837" s="64" t="n"/>
      <c r="B837" s="65" t="n"/>
      <c r="C837" s="66" t="n"/>
      <c r="D837" s="67" t="n"/>
      <c r="E837" s="68" t="n"/>
      <c r="F837" s="47">
        <f>IF(A837="","",IF(MIN(H837,MAX(J837:K837))=0,"",MIN(H837,MAX(J837:K837))))</f>
        <v/>
      </c>
      <c r="G837" s="74" t="n"/>
      <c r="H837" s="49">
        <f>IF(M837="","",IFERROR(ROUND(AVERAGE(T837+M837*{7,8,9,10,11})/1.21,4),""))</f>
        <v/>
      </c>
      <c r="I837" s="76" t="n"/>
      <c r="J837" s="77" t="n"/>
      <c r="K837" s="74" t="n"/>
      <c r="L837" s="78" t="n"/>
      <c r="M837" s="77" t="n"/>
      <c r="N837" s="53">
        <f>IF(M837="","",IFERROR(M837/I837,""))</f>
        <v/>
      </c>
      <c r="O837" s="50">
        <f>IF(A837="","",IFERROR((IF(G837="",I837,G837)-T837)/M837,""))</f>
        <v/>
      </c>
      <c r="P837" s="50">
        <f>IFERROR((I837/T837-1)/N837,"")</f>
        <v/>
      </c>
      <c r="Q837" s="46">
        <f>IF(OR(T837="",I837&lt;T837),"",IFERROR(R837/IF(G837="",I837,G837)-1,""))</f>
        <v/>
      </c>
      <c r="R837" s="48">
        <f>IF($M837="","",MAX(IF($G837="",$I837,$G837)*(1/1.1),IF($G837="",$I837,$G837)+(R$2*$M837)))</f>
        <v/>
      </c>
      <c r="S837" s="49">
        <f>IF($M837="","",MAX(IF($G837="",$I837,$G837)*(1/1.1),IF($G837="",$I837,$G837)+(S$2*$M837)))</f>
        <v/>
      </c>
      <c r="T837" s="82" t="n"/>
      <c r="U837" s="47">
        <f>IF(OR($M837="",$T837=""),"",$T837+(U$2*$M837))</f>
        <v/>
      </c>
      <c r="V837" s="48">
        <f>IF(OR($M837="",$T837=""),"",$T837+(V$2*$M837))</f>
        <v/>
      </c>
      <c r="W837" s="48">
        <f>IF(OR($M837="",$T837=""),"",$T837+(W$2*$M837))</f>
        <v/>
      </c>
      <c r="X837" s="49">
        <f>IF(OR($M837="",$T837=""),"",$T837+(X$2*$M837))</f>
        <v/>
      </c>
      <c r="Y837" s="47">
        <f>IF(OR($M837="",$T837=""),"",$T837+(Y$2*$M837))</f>
        <v/>
      </c>
      <c r="Z837" s="49">
        <f>IF(OR($M837="",$T837=""),"",$T837+(Z$2*$M837))</f>
        <v/>
      </c>
      <c r="AA837" s="51">
        <f>IF(OR($M837="",$T837=""),"",$T837+(AA$2*$M837))</f>
        <v/>
      </c>
      <c r="AB837" s="48">
        <f>IF(OR($M837="",$T837=""),"",$T837+(AB$2*$M837))</f>
        <v/>
      </c>
      <c r="AC837" s="48">
        <f>IF(OR($M837="",$T837=""),"",$T837+(AC$2*$M837))</f>
        <v/>
      </c>
      <c r="AD837" s="48">
        <f>IF(OR($M837="",$T837=""),"",$T837+(AD$2*$M837))</f>
        <v/>
      </c>
      <c r="AE837" s="49">
        <f>IF(OR($M837="",$T837=""),"",$T837+(AE$2*$M837))</f>
        <v/>
      </c>
      <c r="AF837" s="52">
        <f>IF(OR(T837="",I837&lt;T837),"",IFERROR(AVERAGE(T837+M837*{7,8,9,10,11})/IF(G837="",I837,G837)-1,""))</f>
        <v/>
      </c>
      <c r="AG837" s="55">
        <f>IF(OR(T837="",I837&lt;T837),"",IFERROR(AF837/-(R837/IF(G837="",I837,G837)-1),""))</f>
        <v/>
      </c>
      <c r="AH837" s="94" t="n"/>
      <c r="AI837" s="94" t="n"/>
      <c r="AJ837" s="94" t="n"/>
      <c r="AK837" s="94" t="n"/>
      <c r="AL837" s="84" t="n"/>
    </row>
    <row r="838">
      <c r="A838" s="64" t="n"/>
      <c r="B838" s="65" t="n"/>
      <c r="C838" s="66" t="n"/>
      <c r="D838" s="67" t="n"/>
      <c r="E838" s="68" t="n"/>
      <c r="F838" s="47">
        <f>IF(A838="","",IF(MIN(H838,MAX(J838:K838))=0,"",MIN(H838,MAX(J838:K838))))</f>
        <v/>
      </c>
      <c r="G838" s="74" t="n"/>
      <c r="H838" s="49">
        <f>IF(M838="","",IFERROR(ROUND(AVERAGE(T838+M838*{7,8,9,10,11})/1.21,4),""))</f>
        <v/>
      </c>
      <c r="I838" s="76" t="n"/>
      <c r="J838" s="77" t="n"/>
      <c r="K838" s="74" t="n"/>
      <c r="L838" s="78" t="n"/>
      <c r="M838" s="77" t="n"/>
      <c r="N838" s="53">
        <f>IF(M838="","",IFERROR(M838/I838,""))</f>
        <v/>
      </c>
      <c r="O838" s="50">
        <f>IF(A838="","",IFERROR((IF(G838="",I838,G838)-T838)/M838,""))</f>
        <v/>
      </c>
      <c r="P838" s="50">
        <f>IFERROR((I838/T838-1)/N838,"")</f>
        <v/>
      </c>
      <c r="Q838" s="46">
        <f>IF(OR(T838="",I838&lt;T838),"",IFERROR(R838/IF(G838="",I838,G838)-1,""))</f>
        <v/>
      </c>
      <c r="R838" s="48">
        <f>IF($M838="","",MAX(IF($G838="",$I838,$G838)*(1/1.1),IF($G838="",$I838,$G838)+(R$2*$M838)))</f>
        <v/>
      </c>
      <c r="S838" s="49">
        <f>IF($M838="","",MAX(IF($G838="",$I838,$G838)*(1/1.1),IF($G838="",$I838,$G838)+(S$2*$M838)))</f>
        <v/>
      </c>
      <c r="T838" s="82" t="n"/>
      <c r="U838" s="47">
        <f>IF(OR($M838="",$T838=""),"",$T838+(U$2*$M838))</f>
        <v/>
      </c>
      <c r="V838" s="48">
        <f>IF(OR($M838="",$T838=""),"",$T838+(V$2*$M838))</f>
        <v/>
      </c>
      <c r="W838" s="48">
        <f>IF(OR($M838="",$T838=""),"",$T838+(W$2*$M838))</f>
        <v/>
      </c>
      <c r="X838" s="49">
        <f>IF(OR($M838="",$T838=""),"",$T838+(X$2*$M838))</f>
        <v/>
      </c>
      <c r="Y838" s="47">
        <f>IF(OR($M838="",$T838=""),"",$T838+(Y$2*$M838))</f>
        <v/>
      </c>
      <c r="Z838" s="49">
        <f>IF(OR($M838="",$T838=""),"",$T838+(Z$2*$M838))</f>
        <v/>
      </c>
      <c r="AA838" s="51">
        <f>IF(OR($M838="",$T838=""),"",$T838+(AA$2*$M838))</f>
        <v/>
      </c>
      <c r="AB838" s="48">
        <f>IF(OR($M838="",$T838=""),"",$T838+(AB$2*$M838))</f>
        <v/>
      </c>
      <c r="AC838" s="48">
        <f>IF(OR($M838="",$T838=""),"",$T838+(AC$2*$M838))</f>
        <v/>
      </c>
      <c r="AD838" s="48">
        <f>IF(OR($M838="",$T838=""),"",$T838+(AD$2*$M838))</f>
        <v/>
      </c>
      <c r="AE838" s="49">
        <f>IF(OR($M838="",$T838=""),"",$T838+(AE$2*$M838))</f>
        <v/>
      </c>
      <c r="AF838" s="52">
        <f>IF(OR(T838="",I838&lt;T838),"",IFERROR(AVERAGE(T838+M838*{7,8,9,10,11})/IF(G838="",I838,G838)-1,""))</f>
        <v/>
      </c>
      <c r="AG838" s="55">
        <f>IF(OR(T838="",I838&lt;T838),"",IFERROR(AF838/-(R838/IF(G838="",I838,G838)-1),""))</f>
        <v/>
      </c>
      <c r="AH838" s="94" t="n"/>
      <c r="AI838" s="94" t="n"/>
      <c r="AJ838" s="94" t="n"/>
      <c r="AK838" s="94" t="n"/>
      <c r="AL838" s="84" t="n"/>
    </row>
    <row r="839">
      <c r="A839" s="64" t="n"/>
      <c r="B839" s="65" t="n"/>
      <c r="C839" s="66" t="n"/>
      <c r="D839" s="67" t="n"/>
      <c r="E839" s="68" t="n"/>
      <c r="F839" s="47">
        <f>IF(A839="","",IF(MIN(H839,MAX(J839:K839))=0,"",MIN(H839,MAX(J839:K839))))</f>
        <v/>
      </c>
      <c r="G839" s="74" t="n"/>
      <c r="H839" s="49">
        <f>IF(M839="","",IFERROR(ROUND(AVERAGE(T839+M839*{7,8,9,10,11})/1.21,4),""))</f>
        <v/>
      </c>
      <c r="I839" s="76" t="n"/>
      <c r="J839" s="77" t="n"/>
      <c r="K839" s="74" t="n"/>
      <c r="L839" s="78" t="n"/>
      <c r="M839" s="77" t="n"/>
      <c r="N839" s="53">
        <f>IF(M839="","",IFERROR(M839/I839,""))</f>
        <v/>
      </c>
      <c r="O839" s="50">
        <f>IF(A839="","",IFERROR((IF(G839="",I839,G839)-T839)/M839,""))</f>
        <v/>
      </c>
      <c r="P839" s="50">
        <f>IFERROR((I839/T839-1)/N839,"")</f>
        <v/>
      </c>
      <c r="Q839" s="46">
        <f>IF(OR(T839="",I839&lt;T839),"",IFERROR(R839/IF(G839="",I839,G839)-1,""))</f>
        <v/>
      </c>
      <c r="R839" s="48">
        <f>IF($M839="","",MAX(IF($G839="",$I839,$G839)*(1/1.1),IF($G839="",$I839,$G839)+(R$2*$M839)))</f>
        <v/>
      </c>
      <c r="S839" s="49">
        <f>IF($M839="","",MAX(IF($G839="",$I839,$G839)*(1/1.1),IF($G839="",$I839,$G839)+(S$2*$M839)))</f>
        <v/>
      </c>
      <c r="T839" s="82" t="n"/>
      <c r="U839" s="47">
        <f>IF(OR($M839="",$T839=""),"",$T839+(U$2*$M839))</f>
        <v/>
      </c>
      <c r="V839" s="48">
        <f>IF(OR($M839="",$T839=""),"",$T839+(V$2*$M839))</f>
        <v/>
      </c>
      <c r="W839" s="48">
        <f>IF(OR($M839="",$T839=""),"",$T839+(W$2*$M839))</f>
        <v/>
      </c>
      <c r="X839" s="49">
        <f>IF(OR($M839="",$T839=""),"",$T839+(X$2*$M839))</f>
        <v/>
      </c>
      <c r="Y839" s="47">
        <f>IF(OR($M839="",$T839=""),"",$T839+(Y$2*$M839))</f>
        <v/>
      </c>
      <c r="Z839" s="49">
        <f>IF(OR($M839="",$T839=""),"",$T839+(Z$2*$M839))</f>
        <v/>
      </c>
      <c r="AA839" s="51">
        <f>IF(OR($M839="",$T839=""),"",$T839+(AA$2*$M839))</f>
        <v/>
      </c>
      <c r="AB839" s="48">
        <f>IF(OR($M839="",$T839=""),"",$T839+(AB$2*$M839))</f>
        <v/>
      </c>
      <c r="AC839" s="48">
        <f>IF(OR($M839="",$T839=""),"",$T839+(AC$2*$M839))</f>
        <v/>
      </c>
      <c r="AD839" s="48">
        <f>IF(OR($M839="",$T839=""),"",$T839+(AD$2*$M839))</f>
        <v/>
      </c>
      <c r="AE839" s="49">
        <f>IF(OR($M839="",$T839=""),"",$T839+(AE$2*$M839))</f>
        <v/>
      </c>
      <c r="AF839" s="52">
        <f>IF(OR(T839="",I839&lt;T839),"",IFERROR(AVERAGE(T839+M839*{7,8,9,10,11})/IF(G839="",I839,G839)-1,""))</f>
        <v/>
      </c>
      <c r="AG839" s="55">
        <f>IF(OR(T839="",I839&lt;T839),"",IFERROR(AF839/-(R839/IF(G839="",I839,G839)-1),""))</f>
        <v/>
      </c>
      <c r="AH839" s="94" t="n"/>
      <c r="AI839" s="94" t="n"/>
      <c r="AJ839" s="94" t="n"/>
      <c r="AK839" s="94" t="n"/>
      <c r="AL839" s="84" t="n"/>
    </row>
    <row r="840">
      <c r="A840" s="64" t="n"/>
      <c r="B840" s="65" t="n"/>
      <c r="C840" s="66" t="n"/>
      <c r="D840" s="67" t="n"/>
      <c r="E840" s="68" t="n"/>
      <c r="F840" s="47">
        <f>IF(A840="","",IF(MIN(H840,MAX(J840:K840))=0,"",MIN(H840,MAX(J840:K840))))</f>
        <v/>
      </c>
      <c r="G840" s="74" t="n"/>
      <c r="H840" s="49">
        <f>IF(M840="","",IFERROR(ROUND(AVERAGE(T840+M840*{7,8,9,10,11})/1.21,4),""))</f>
        <v/>
      </c>
      <c r="I840" s="76" t="n"/>
      <c r="J840" s="77" t="n"/>
      <c r="K840" s="74" t="n"/>
      <c r="L840" s="78" t="n"/>
      <c r="M840" s="77" t="n"/>
      <c r="N840" s="53">
        <f>IF(M840="","",IFERROR(M840/I840,""))</f>
        <v/>
      </c>
      <c r="O840" s="50">
        <f>IF(A840="","",IFERROR((IF(G840="",I840,G840)-T840)/M840,""))</f>
        <v/>
      </c>
      <c r="P840" s="50">
        <f>IFERROR((I840/T840-1)/N840,"")</f>
        <v/>
      </c>
      <c r="Q840" s="46">
        <f>IF(OR(T840="",I840&lt;T840),"",IFERROR(R840/IF(G840="",I840,G840)-1,""))</f>
        <v/>
      </c>
      <c r="R840" s="48">
        <f>IF($M840="","",MAX(IF($G840="",$I840,$G840)*(1/1.1),IF($G840="",$I840,$G840)+(R$2*$M840)))</f>
        <v/>
      </c>
      <c r="S840" s="49">
        <f>IF($M840="","",MAX(IF($G840="",$I840,$G840)*(1/1.1),IF($G840="",$I840,$G840)+(S$2*$M840)))</f>
        <v/>
      </c>
      <c r="T840" s="82" t="n"/>
      <c r="U840" s="47">
        <f>IF(OR($M840="",$T840=""),"",$T840+(U$2*$M840))</f>
        <v/>
      </c>
      <c r="V840" s="48">
        <f>IF(OR($M840="",$T840=""),"",$T840+(V$2*$M840))</f>
        <v/>
      </c>
      <c r="W840" s="48">
        <f>IF(OR($M840="",$T840=""),"",$T840+(W$2*$M840))</f>
        <v/>
      </c>
      <c r="X840" s="49">
        <f>IF(OR($M840="",$T840=""),"",$T840+(X$2*$M840))</f>
        <v/>
      </c>
      <c r="Y840" s="47">
        <f>IF(OR($M840="",$T840=""),"",$T840+(Y$2*$M840))</f>
        <v/>
      </c>
      <c r="Z840" s="49">
        <f>IF(OR($M840="",$T840=""),"",$T840+(Z$2*$M840))</f>
        <v/>
      </c>
      <c r="AA840" s="51">
        <f>IF(OR($M840="",$T840=""),"",$T840+(AA$2*$M840))</f>
        <v/>
      </c>
      <c r="AB840" s="48">
        <f>IF(OR($M840="",$T840=""),"",$T840+(AB$2*$M840))</f>
        <v/>
      </c>
      <c r="AC840" s="48">
        <f>IF(OR($M840="",$T840=""),"",$T840+(AC$2*$M840))</f>
        <v/>
      </c>
      <c r="AD840" s="48">
        <f>IF(OR($M840="",$T840=""),"",$T840+(AD$2*$M840))</f>
        <v/>
      </c>
      <c r="AE840" s="49">
        <f>IF(OR($M840="",$T840=""),"",$T840+(AE$2*$M840))</f>
        <v/>
      </c>
      <c r="AF840" s="52">
        <f>IF(OR(T840="",I840&lt;T840),"",IFERROR(AVERAGE(T840+M840*{7,8,9,10,11})/IF(G840="",I840,G840)-1,""))</f>
        <v/>
      </c>
      <c r="AG840" s="55">
        <f>IF(OR(T840="",I840&lt;T840),"",IFERROR(AF840/-(R840/IF(G840="",I840,G840)-1),""))</f>
        <v/>
      </c>
      <c r="AH840" s="94" t="n"/>
      <c r="AI840" s="94" t="n"/>
      <c r="AJ840" s="94" t="n"/>
      <c r="AK840" s="94" t="n"/>
      <c r="AL840" s="84" t="n"/>
    </row>
    <row r="841">
      <c r="A841" s="64" t="n"/>
      <c r="B841" s="65" t="n"/>
      <c r="C841" s="66" t="n"/>
      <c r="D841" s="67" t="n"/>
      <c r="E841" s="68" t="n"/>
      <c r="F841" s="47">
        <f>IF(A841="","",IF(MIN(H841,MAX(J841:K841))=0,"",MIN(H841,MAX(J841:K841))))</f>
        <v/>
      </c>
      <c r="G841" s="74" t="n"/>
      <c r="H841" s="49">
        <f>IF(M841="","",IFERROR(ROUND(AVERAGE(T841+M841*{7,8,9,10,11})/1.21,4),""))</f>
        <v/>
      </c>
      <c r="I841" s="76" t="n"/>
      <c r="J841" s="77" t="n"/>
      <c r="K841" s="74" t="n"/>
      <c r="L841" s="78" t="n"/>
      <c r="M841" s="77" t="n"/>
      <c r="N841" s="53">
        <f>IF(M841="","",IFERROR(M841/I841,""))</f>
        <v/>
      </c>
      <c r="O841" s="50">
        <f>IF(A841="","",IFERROR((IF(G841="",I841,G841)-T841)/M841,""))</f>
        <v/>
      </c>
      <c r="P841" s="50">
        <f>IFERROR((I841/T841-1)/N841,"")</f>
        <v/>
      </c>
      <c r="Q841" s="46">
        <f>IF(OR(T841="",I841&lt;T841),"",IFERROR(R841/IF(G841="",I841,G841)-1,""))</f>
        <v/>
      </c>
      <c r="R841" s="48">
        <f>IF($M841="","",MAX(IF($G841="",$I841,$G841)*(1/1.1),IF($G841="",$I841,$G841)+(R$2*$M841)))</f>
        <v/>
      </c>
      <c r="S841" s="49">
        <f>IF($M841="","",MAX(IF($G841="",$I841,$G841)*(1/1.1),IF($G841="",$I841,$G841)+(S$2*$M841)))</f>
        <v/>
      </c>
      <c r="T841" s="82" t="n"/>
      <c r="U841" s="47">
        <f>IF(OR($M841="",$T841=""),"",$T841+(U$2*$M841))</f>
        <v/>
      </c>
      <c r="V841" s="48">
        <f>IF(OR($M841="",$T841=""),"",$T841+(V$2*$M841))</f>
        <v/>
      </c>
      <c r="W841" s="48">
        <f>IF(OR($M841="",$T841=""),"",$T841+(W$2*$M841))</f>
        <v/>
      </c>
      <c r="X841" s="49">
        <f>IF(OR($M841="",$T841=""),"",$T841+(X$2*$M841))</f>
        <v/>
      </c>
      <c r="Y841" s="47">
        <f>IF(OR($M841="",$T841=""),"",$T841+(Y$2*$M841))</f>
        <v/>
      </c>
      <c r="Z841" s="49">
        <f>IF(OR($M841="",$T841=""),"",$T841+(Z$2*$M841))</f>
        <v/>
      </c>
      <c r="AA841" s="51">
        <f>IF(OR($M841="",$T841=""),"",$T841+(AA$2*$M841))</f>
        <v/>
      </c>
      <c r="AB841" s="48">
        <f>IF(OR($M841="",$T841=""),"",$T841+(AB$2*$M841))</f>
        <v/>
      </c>
      <c r="AC841" s="48">
        <f>IF(OR($M841="",$T841=""),"",$T841+(AC$2*$M841))</f>
        <v/>
      </c>
      <c r="AD841" s="48">
        <f>IF(OR($M841="",$T841=""),"",$T841+(AD$2*$M841))</f>
        <v/>
      </c>
      <c r="AE841" s="49">
        <f>IF(OR($M841="",$T841=""),"",$T841+(AE$2*$M841))</f>
        <v/>
      </c>
      <c r="AF841" s="52">
        <f>IF(OR(T841="",I841&lt;T841),"",IFERROR(AVERAGE(T841+M841*{7,8,9,10,11})/IF(G841="",I841,G841)-1,""))</f>
        <v/>
      </c>
      <c r="AG841" s="55">
        <f>IF(OR(T841="",I841&lt;T841),"",IFERROR(AF841/-(R841/IF(G841="",I841,G841)-1),""))</f>
        <v/>
      </c>
      <c r="AH841" s="94" t="n"/>
      <c r="AI841" s="94" t="n"/>
      <c r="AJ841" s="94" t="n"/>
      <c r="AK841" s="94" t="n"/>
      <c r="AL841" s="84" t="n"/>
    </row>
    <row r="842">
      <c r="A842" s="64" t="n"/>
      <c r="B842" s="65" t="n"/>
      <c r="C842" s="66" t="n"/>
      <c r="D842" s="67" t="n"/>
      <c r="E842" s="68" t="n"/>
      <c r="F842" s="47">
        <f>IF(A842="","",IF(MIN(H842,MAX(J842:K842))=0,"",MIN(H842,MAX(J842:K842))))</f>
        <v/>
      </c>
      <c r="G842" s="74" t="n"/>
      <c r="H842" s="49">
        <f>IF(M842="","",IFERROR(ROUND(AVERAGE(T842+M842*{7,8,9,10,11})/1.21,4),""))</f>
        <v/>
      </c>
      <c r="I842" s="76" t="n"/>
      <c r="J842" s="77" t="n"/>
      <c r="K842" s="74" t="n"/>
      <c r="L842" s="78" t="n"/>
      <c r="M842" s="77" t="n"/>
      <c r="N842" s="53">
        <f>IF(M842="","",IFERROR(M842/I842,""))</f>
        <v/>
      </c>
      <c r="O842" s="50">
        <f>IF(A842="","",IFERROR((IF(G842="",I842,G842)-T842)/M842,""))</f>
        <v/>
      </c>
      <c r="P842" s="50">
        <f>IFERROR((I842/T842-1)/N842,"")</f>
        <v/>
      </c>
      <c r="Q842" s="46">
        <f>IF(OR(T842="",I842&lt;T842),"",IFERROR(R842/IF(G842="",I842,G842)-1,""))</f>
        <v/>
      </c>
      <c r="R842" s="48">
        <f>IF($M842="","",MAX(IF($G842="",$I842,$G842)*(1/1.1),IF($G842="",$I842,$G842)+(R$2*$M842)))</f>
        <v/>
      </c>
      <c r="S842" s="49">
        <f>IF($M842="","",MAX(IF($G842="",$I842,$G842)*(1/1.1),IF($G842="",$I842,$G842)+(S$2*$M842)))</f>
        <v/>
      </c>
      <c r="T842" s="82" t="n"/>
      <c r="U842" s="47">
        <f>IF(OR($M842="",$T842=""),"",$T842+(U$2*$M842))</f>
        <v/>
      </c>
      <c r="V842" s="48">
        <f>IF(OR($M842="",$T842=""),"",$T842+(V$2*$M842))</f>
        <v/>
      </c>
      <c r="W842" s="48">
        <f>IF(OR($M842="",$T842=""),"",$T842+(W$2*$M842))</f>
        <v/>
      </c>
      <c r="X842" s="49">
        <f>IF(OR($M842="",$T842=""),"",$T842+(X$2*$M842))</f>
        <v/>
      </c>
      <c r="Y842" s="47">
        <f>IF(OR($M842="",$T842=""),"",$T842+(Y$2*$M842))</f>
        <v/>
      </c>
      <c r="Z842" s="49">
        <f>IF(OR($M842="",$T842=""),"",$T842+(Z$2*$M842))</f>
        <v/>
      </c>
      <c r="AA842" s="51">
        <f>IF(OR($M842="",$T842=""),"",$T842+(AA$2*$M842))</f>
        <v/>
      </c>
      <c r="AB842" s="48">
        <f>IF(OR($M842="",$T842=""),"",$T842+(AB$2*$M842))</f>
        <v/>
      </c>
      <c r="AC842" s="48">
        <f>IF(OR($M842="",$T842=""),"",$T842+(AC$2*$M842))</f>
        <v/>
      </c>
      <c r="AD842" s="48">
        <f>IF(OR($M842="",$T842=""),"",$T842+(AD$2*$M842))</f>
        <v/>
      </c>
      <c r="AE842" s="49">
        <f>IF(OR($M842="",$T842=""),"",$T842+(AE$2*$M842))</f>
        <v/>
      </c>
      <c r="AF842" s="52">
        <f>IF(OR(T842="",I842&lt;T842),"",IFERROR(AVERAGE(T842+M842*{7,8,9,10,11})/IF(G842="",I842,G842)-1,""))</f>
        <v/>
      </c>
      <c r="AG842" s="55">
        <f>IF(OR(T842="",I842&lt;T842),"",IFERROR(AF842/-(R842/IF(G842="",I842,G842)-1),""))</f>
        <v/>
      </c>
      <c r="AH842" s="94" t="n"/>
      <c r="AI842" s="94" t="n"/>
      <c r="AJ842" s="94" t="n"/>
      <c r="AK842" s="94" t="n"/>
      <c r="AL842" s="84" t="n"/>
    </row>
    <row r="843">
      <c r="A843" s="64" t="n"/>
      <c r="B843" s="65" t="n"/>
      <c r="C843" s="66" t="n"/>
      <c r="D843" s="67" t="n"/>
      <c r="E843" s="68" t="n"/>
      <c r="F843" s="47">
        <f>IF(A843="","",IF(MIN(H843,MAX(J843:K843))=0,"",MIN(H843,MAX(J843:K843))))</f>
        <v/>
      </c>
      <c r="G843" s="74" t="n"/>
      <c r="H843" s="49">
        <f>IF(M843="","",IFERROR(ROUND(AVERAGE(T843+M843*{7,8,9,10,11})/1.21,4),""))</f>
        <v/>
      </c>
      <c r="I843" s="76" t="n"/>
      <c r="J843" s="77" t="n"/>
      <c r="K843" s="74" t="n"/>
      <c r="L843" s="78" t="n"/>
      <c r="M843" s="77" t="n"/>
      <c r="N843" s="53">
        <f>IF(M843="","",IFERROR(M843/I843,""))</f>
        <v/>
      </c>
      <c r="O843" s="50">
        <f>IF(A843="","",IFERROR((IF(G843="",I843,G843)-T843)/M843,""))</f>
        <v/>
      </c>
      <c r="P843" s="50">
        <f>IFERROR((I843/T843-1)/N843,"")</f>
        <v/>
      </c>
      <c r="Q843" s="46">
        <f>IF(OR(T843="",I843&lt;T843),"",IFERROR(R843/IF(G843="",I843,G843)-1,""))</f>
        <v/>
      </c>
      <c r="R843" s="48">
        <f>IF($M843="","",MAX(IF($G843="",$I843,$G843)*(1/1.1),IF($G843="",$I843,$G843)+(R$2*$M843)))</f>
        <v/>
      </c>
      <c r="S843" s="49">
        <f>IF($M843="","",MAX(IF($G843="",$I843,$G843)*(1/1.1),IF($G843="",$I843,$G843)+(S$2*$M843)))</f>
        <v/>
      </c>
      <c r="T843" s="82" t="n"/>
      <c r="U843" s="47">
        <f>IF(OR($M843="",$T843=""),"",$T843+(U$2*$M843))</f>
        <v/>
      </c>
      <c r="V843" s="48">
        <f>IF(OR($M843="",$T843=""),"",$T843+(V$2*$M843))</f>
        <v/>
      </c>
      <c r="W843" s="48">
        <f>IF(OR($M843="",$T843=""),"",$T843+(W$2*$M843))</f>
        <v/>
      </c>
      <c r="X843" s="49">
        <f>IF(OR($M843="",$T843=""),"",$T843+(X$2*$M843))</f>
        <v/>
      </c>
      <c r="Y843" s="47">
        <f>IF(OR($M843="",$T843=""),"",$T843+(Y$2*$M843))</f>
        <v/>
      </c>
      <c r="Z843" s="49">
        <f>IF(OR($M843="",$T843=""),"",$T843+(Z$2*$M843))</f>
        <v/>
      </c>
      <c r="AA843" s="51">
        <f>IF(OR($M843="",$T843=""),"",$T843+(AA$2*$M843))</f>
        <v/>
      </c>
      <c r="AB843" s="48">
        <f>IF(OR($M843="",$T843=""),"",$T843+(AB$2*$M843))</f>
        <v/>
      </c>
      <c r="AC843" s="48">
        <f>IF(OR($M843="",$T843=""),"",$T843+(AC$2*$M843))</f>
        <v/>
      </c>
      <c r="AD843" s="48">
        <f>IF(OR($M843="",$T843=""),"",$T843+(AD$2*$M843))</f>
        <v/>
      </c>
      <c r="AE843" s="49">
        <f>IF(OR($M843="",$T843=""),"",$T843+(AE$2*$M843))</f>
        <v/>
      </c>
      <c r="AF843" s="52">
        <f>IF(OR(T843="",I843&lt;T843),"",IFERROR(AVERAGE(T843+M843*{7,8,9,10,11})/IF(G843="",I843,G843)-1,""))</f>
        <v/>
      </c>
      <c r="AG843" s="55">
        <f>IF(OR(T843="",I843&lt;T843),"",IFERROR(AF843/-(R843/IF(G843="",I843,G843)-1),""))</f>
        <v/>
      </c>
      <c r="AH843" s="94" t="n"/>
      <c r="AI843" s="94" t="n"/>
      <c r="AJ843" s="94" t="n"/>
      <c r="AK843" s="94" t="n"/>
      <c r="AL843" s="84" t="n"/>
    </row>
    <row r="844">
      <c r="A844" s="64" t="n"/>
      <c r="B844" s="65" t="n"/>
      <c r="C844" s="66" t="n"/>
      <c r="D844" s="67" t="n"/>
      <c r="E844" s="68" t="n"/>
      <c r="F844" s="47">
        <f>IF(A844="","",IF(MIN(H844,MAX(J844:K844))=0,"",MIN(H844,MAX(J844:K844))))</f>
        <v/>
      </c>
      <c r="G844" s="74" t="n"/>
      <c r="H844" s="49">
        <f>IF(M844="","",IFERROR(ROUND(AVERAGE(T844+M844*{7,8,9,10,11})/1.21,4),""))</f>
        <v/>
      </c>
      <c r="I844" s="76" t="n"/>
      <c r="J844" s="77" t="n"/>
      <c r="K844" s="74" t="n"/>
      <c r="L844" s="78" t="n"/>
      <c r="M844" s="77" t="n"/>
      <c r="N844" s="53">
        <f>IF(M844="","",IFERROR(M844/I844,""))</f>
        <v/>
      </c>
      <c r="O844" s="50">
        <f>IF(A844="","",IFERROR((IF(G844="",I844,G844)-T844)/M844,""))</f>
        <v/>
      </c>
      <c r="P844" s="50">
        <f>IFERROR((I844/T844-1)/N844,"")</f>
        <v/>
      </c>
      <c r="Q844" s="46">
        <f>IF(OR(T844="",I844&lt;T844),"",IFERROR(R844/IF(G844="",I844,G844)-1,""))</f>
        <v/>
      </c>
      <c r="R844" s="48">
        <f>IF($M844="","",MAX(IF($G844="",$I844,$G844)*(1/1.1),IF($G844="",$I844,$G844)+(R$2*$M844)))</f>
        <v/>
      </c>
      <c r="S844" s="49">
        <f>IF($M844="","",MAX(IF($G844="",$I844,$G844)*(1/1.1),IF($G844="",$I844,$G844)+(S$2*$M844)))</f>
        <v/>
      </c>
      <c r="T844" s="82" t="n"/>
      <c r="U844" s="47">
        <f>IF(OR($M844="",$T844=""),"",$T844+(U$2*$M844))</f>
        <v/>
      </c>
      <c r="V844" s="48">
        <f>IF(OR($M844="",$T844=""),"",$T844+(V$2*$M844))</f>
        <v/>
      </c>
      <c r="W844" s="48">
        <f>IF(OR($M844="",$T844=""),"",$T844+(W$2*$M844))</f>
        <v/>
      </c>
      <c r="X844" s="49">
        <f>IF(OR($M844="",$T844=""),"",$T844+(X$2*$M844))</f>
        <v/>
      </c>
      <c r="Y844" s="47">
        <f>IF(OR($M844="",$T844=""),"",$T844+(Y$2*$M844))</f>
        <v/>
      </c>
      <c r="Z844" s="49">
        <f>IF(OR($M844="",$T844=""),"",$T844+(Z$2*$M844))</f>
        <v/>
      </c>
      <c r="AA844" s="51">
        <f>IF(OR($M844="",$T844=""),"",$T844+(AA$2*$M844))</f>
        <v/>
      </c>
      <c r="AB844" s="48">
        <f>IF(OR($M844="",$T844=""),"",$T844+(AB$2*$M844))</f>
        <v/>
      </c>
      <c r="AC844" s="48">
        <f>IF(OR($M844="",$T844=""),"",$T844+(AC$2*$M844))</f>
        <v/>
      </c>
      <c r="AD844" s="48">
        <f>IF(OR($M844="",$T844=""),"",$T844+(AD$2*$M844))</f>
        <v/>
      </c>
      <c r="AE844" s="49">
        <f>IF(OR($M844="",$T844=""),"",$T844+(AE$2*$M844))</f>
        <v/>
      </c>
      <c r="AF844" s="52">
        <f>IF(OR(T844="",I844&lt;T844),"",IFERROR(AVERAGE(T844+M844*{7,8,9,10,11})/IF(G844="",I844,G844)-1,""))</f>
        <v/>
      </c>
      <c r="AG844" s="55">
        <f>IF(OR(T844="",I844&lt;T844),"",IFERROR(AF844/-(R844/IF(G844="",I844,G844)-1),""))</f>
        <v/>
      </c>
      <c r="AH844" s="94" t="n"/>
      <c r="AI844" s="94" t="n"/>
      <c r="AJ844" s="94" t="n"/>
      <c r="AK844" s="94" t="n"/>
      <c r="AL844" s="84" t="n"/>
    </row>
    <row r="845">
      <c r="A845" s="64" t="n"/>
      <c r="B845" s="65" t="n"/>
      <c r="C845" s="66" t="n"/>
      <c r="D845" s="67" t="n"/>
      <c r="E845" s="68" t="n"/>
      <c r="F845" s="47">
        <f>IF(A845="","",IF(MIN(H845,MAX(J845:K845))=0,"",MIN(H845,MAX(J845:K845))))</f>
        <v/>
      </c>
      <c r="G845" s="74" t="n"/>
      <c r="H845" s="49">
        <f>IF(M845="","",IFERROR(ROUND(AVERAGE(T845+M845*{7,8,9,10,11})/1.21,4),""))</f>
        <v/>
      </c>
      <c r="I845" s="76" t="n"/>
      <c r="J845" s="77" t="n"/>
      <c r="K845" s="74" t="n"/>
      <c r="L845" s="78" t="n"/>
      <c r="M845" s="77" t="n"/>
      <c r="N845" s="53">
        <f>IF(M845="","",IFERROR(M845/I845,""))</f>
        <v/>
      </c>
      <c r="O845" s="50">
        <f>IF(A845="","",IFERROR((IF(G845="",I845,G845)-T845)/M845,""))</f>
        <v/>
      </c>
      <c r="P845" s="50">
        <f>IFERROR((I845/T845-1)/N845,"")</f>
        <v/>
      </c>
      <c r="Q845" s="46">
        <f>IF(OR(T845="",I845&lt;T845),"",IFERROR(R845/IF(G845="",I845,G845)-1,""))</f>
        <v/>
      </c>
      <c r="R845" s="48">
        <f>IF($M845="","",MAX(IF($G845="",$I845,$G845)*(1/1.1),IF($G845="",$I845,$G845)+(R$2*$M845)))</f>
        <v/>
      </c>
      <c r="S845" s="49">
        <f>IF($M845="","",MAX(IF($G845="",$I845,$G845)*(1/1.1),IF($G845="",$I845,$G845)+(S$2*$M845)))</f>
        <v/>
      </c>
      <c r="T845" s="82" t="n"/>
      <c r="U845" s="47">
        <f>IF(OR($M845="",$T845=""),"",$T845+(U$2*$M845))</f>
        <v/>
      </c>
      <c r="V845" s="48">
        <f>IF(OR($M845="",$T845=""),"",$T845+(V$2*$M845))</f>
        <v/>
      </c>
      <c r="W845" s="48">
        <f>IF(OR($M845="",$T845=""),"",$T845+(W$2*$M845))</f>
        <v/>
      </c>
      <c r="X845" s="49">
        <f>IF(OR($M845="",$T845=""),"",$T845+(X$2*$M845))</f>
        <v/>
      </c>
      <c r="Y845" s="47">
        <f>IF(OR($M845="",$T845=""),"",$T845+(Y$2*$M845))</f>
        <v/>
      </c>
      <c r="Z845" s="49">
        <f>IF(OR($M845="",$T845=""),"",$T845+(Z$2*$M845))</f>
        <v/>
      </c>
      <c r="AA845" s="51">
        <f>IF(OR($M845="",$T845=""),"",$T845+(AA$2*$M845))</f>
        <v/>
      </c>
      <c r="AB845" s="48">
        <f>IF(OR($M845="",$T845=""),"",$T845+(AB$2*$M845))</f>
        <v/>
      </c>
      <c r="AC845" s="48">
        <f>IF(OR($M845="",$T845=""),"",$T845+(AC$2*$M845))</f>
        <v/>
      </c>
      <c r="AD845" s="48">
        <f>IF(OR($M845="",$T845=""),"",$T845+(AD$2*$M845))</f>
        <v/>
      </c>
      <c r="AE845" s="49">
        <f>IF(OR($M845="",$T845=""),"",$T845+(AE$2*$M845))</f>
        <v/>
      </c>
      <c r="AF845" s="52">
        <f>IF(OR(T845="",I845&lt;T845),"",IFERROR(AVERAGE(T845+M845*{7,8,9,10,11})/IF(G845="",I845,G845)-1,""))</f>
        <v/>
      </c>
      <c r="AG845" s="55">
        <f>IF(OR(T845="",I845&lt;T845),"",IFERROR(AF845/-(R845/IF(G845="",I845,G845)-1),""))</f>
        <v/>
      </c>
      <c r="AH845" s="94" t="n"/>
      <c r="AI845" s="94" t="n"/>
      <c r="AJ845" s="94" t="n"/>
      <c r="AK845" s="94" t="n"/>
      <c r="AL845" s="84" t="n"/>
    </row>
    <row r="846">
      <c r="A846" s="64" t="n"/>
      <c r="B846" s="65" t="n"/>
      <c r="C846" s="66" t="n"/>
      <c r="D846" s="67" t="n"/>
      <c r="E846" s="68" t="n"/>
      <c r="F846" s="47">
        <f>IF(A846="","",IF(MIN(H846,MAX(J846:K846))=0,"",MIN(H846,MAX(J846:K846))))</f>
        <v/>
      </c>
      <c r="G846" s="74" t="n"/>
      <c r="H846" s="49">
        <f>IF(M846="","",IFERROR(ROUND(AVERAGE(T846+M846*{7,8,9,10,11})/1.21,4),""))</f>
        <v/>
      </c>
      <c r="I846" s="76" t="n"/>
      <c r="J846" s="77" t="n"/>
      <c r="K846" s="74" t="n"/>
      <c r="L846" s="78" t="n"/>
      <c r="M846" s="77" t="n"/>
      <c r="N846" s="53">
        <f>IF(M846="","",IFERROR(M846/I846,""))</f>
        <v/>
      </c>
      <c r="O846" s="50">
        <f>IF(A846="","",IFERROR((IF(G846="",I846,G846)-T846)/M846,""))</f>
        <v/>
      </c>
      <c r="P846" s="50">
        <f>IFERROR((I846/T846-1)/N846,"")</f>
        <v/>
      </c>
      <c r="Q846" s="46">
        <f>IF(OR(T846="",I846&lt;T846),"",IFERROR(R846/IF(G846="",I846,G846)-1,""))</f>
        <v/>
      </c>
      <c r="R846" s="48">
        <f>IF($M846="","",MAX(IF($G846="",$I846,$G846)*(1/1.1),IF($G846="",$I846,$G846)+(R$2*$M846)))</f>
        <v/>
      </c>
      <c r="S846" s="49">
        <f>IF($M846="","",MAX(IF($G846="",$I846,$G846)*(1/1.1),IF($G846="",$I846,$G846)+(S$2*$M846)))</f>
        <v/>
      </c>
      <c r="T846" s="82" t="n"/>
      <c r="U846" s="47">
        <f>IF(OR($M846="",$T846=""),"",$T846+(U$2*$M846))</f>
        <v/>
      </c>
      <c r="V846" s="48">
        <f>IF(OR($M846="",$T846=""),"",$T846+(V$2*$M846))</f>
        <v/>
      </c>
      <c r="W846" s="48">
        <f>IF(OR($M846="",$T846=""),"",$T846+(W$2*$M846))</f>
        <v/>
      </c>
      <c r="X846" s="49">
        <f>IF(OR($M846="",$T846=""),"",$T846+(X$2*$M846))</f>
        <v/>
      </c>
      <c r="Y846" s="47">
        <f>IF(OR($M846="",$T846=""),"",$T846+(Y$2*$M846))</f>
        <v/>
      </c>
      <c r="Z846" s="49">
        <f>IF(OR($M846="",$T846=""),"",$T846+(Z$2*$M846))</f>
        <v/>
      </c>
      <c r="AA846" s="51">
        <f>IF(OR($M846="",$T846=""),"",$T846+(AA$2*$M846))</f>
        <v/>
      </c>
      <c r="AB846" s="48">
        <f>IF(OR($M846="",$T846=""),"",$T846+(AB$2*$M846))</f>
        <v/>
      </c>
      <c r="AC846" s="48">
        <f>IF(OR($M846="",$T846=""),"",$T846+(AC$2*$M846))</f>
        <v/>
      </c>
      <c r="AD846" s="48">
        <f>IF(OR($M846="",$T846=""),"",$T846+(AD$2*$M846))</f>
        <v/>
      </c>
      <c r="AE846" s="49">
        <f>IF(OR($M846="",$T846=""),"",$T846+(AE$2*$M846))</f>
        <v/>
      </c>
      <c r="AF846" s="52">
        <f>IF(OR(T846="",I846&lt;T846),"",IFERROR(AVERAGE(T846+M846*{7,8,9,10,11})/IF(G846="",I846,G846)-1,""))</f>
        <v/>
      </c>
      <c r="AG846" s="55">
        <f>IF(OR(T846="",I846&lt;T846),"",IFERROR(AF846/-(R846/IF(G846="",I846,G846)-1),""))</f>
        <v/>
      </c>
      <c r="AH846" s="94" t="n"/>
      <c r="AI846" s="94" t="n"/>
      <c r="AJ846" s="94" t="n"/>
      <c r="AK846" s="94" t="n"/>
      <c r="AL846" s="84" t="n"/>
    </row>
    <row r="847">
      <c r="A847" s="64" t="n"/>
      <c r="B847" s="65" t="n"/>
      <c r="C847" s="66" t="n"/>
      <c r="D847" s="67" t="n"/>
      <c r="E847" s="68" t="n"/>
      <c r="F847" s="47">
        <f>IF(A847="","",IF(MIN(H847,MAX(J847:K847))=0,"",MIN(H847,MAX(J847:K847))))</f>
        <v/>
      </c>
      <c r="G847" s="74" t="n"/>
      <c r="H847" s="49">
        <f>IF(M847="","",IFERROR(ROUND(AVERAGE(T847+M847*{7,8,9,10,11})/1.21,4),""))</f>
        <v/>
      </c>
      <c r="I847" s="76" t="n"/>
      <c r="J847" s="77" t="n"/>
      <c r="K847" s="74" t="n"/>
      <c r="L847" s="78" t="n"/>
      <c r="M847" s="77" t="n"/>
      <c r="N847" s="53">
        <f>IF(M847="","",IFERROR(M847/I847,""))</f>
        <v/>
      </c>
      <c r="O847" s="50">
        <f>IF(A847="","",IFERROR((IF(G847="",I847,G847)-T847)/M847,""))</f>
        <v/>
      </c>
      <c r="P847" s="50">
        <f>IFERROR((I847/T847-1)/N847,"")</f>
        <v/>
      </c>
      <c r="Q847" s="46">
        <f>IF(OR(T847="",I847&lt;T847),"",IFERROR(R847/IF(G847="",I847,G847)-1,""))</f>
        <v/>
      </c>
      <c r="R847" s="48">
        <f>IF($M847="","",MAX(IF($G847="",$I847,$G847)*(1/1.1),IF($G847="",$I847,$G847)+(R$2*$M847)))</f>
        <v/>
      </c>
      <c r="S847" s="49">
        <f>IF($M847="","",MAX(IF($G847="",$I847,$G847)*(1/1.1),IF($G847="",$I847,$G847)+(S$2*$M847)))</f>
        <v/>
      </c>
      <c r="T847" s="82" t="n"/>
      <c r="U847" s="47">
        <f>IF(OR($M847="",$T847=""),"",$T847+(U$2*$M847))</f>
        <v/>
      </c>
      <c r="V847" s="48">
        <f>IF(OR($M847="",$T847=""),"",$T847+(V$2*$M847))</f>
        <v/>
      </c>
      <c r="W847" s="48">
        <f>IF(OR($M847="",$T847=""),"",$T847+(W$2*$M847))</f>
        <v/>
      </c>
      <c r="X847" s="49">
        <f>IF(OR($M847="",$T847=""),"",$T847+(X$2*$M847))</f>
        <v/>
      </c>
      <c r="Y847" s="47">
        <f>IF(OR($M847="",$T847=""),"",$T847+(Y$2*$M847))</f>
        <v/>
      </c>
      <c r="Z847" s="49">
        <f>IF(OR($M847="",$T847=""),"",$T847+(Z$2*$M847))</f>
        <v/>
      </c>
      <c r="AA847" s="51">
        <f>IF(OR($M847="",$T847=""),"",$T847+(AA$2*$M847))</f>
        <v/>
      </c>
      <c r="AB847" s="48">
        <f>IF(OR($M847="",$T847=""),"",$T847+(AB$2*$M847))</f>
        <v/>
      </c>
      <c r="AC847" s="48">
        <f>IF(OR($M847="",$T847=""),"",$T847+(AC$2*$M847))</f>
        <v/>
      </c>
      <c r="AD847" s="48">
        <f>IF(OR($M847="",$T847=""),"",$T847+(AD$2*$M847))</f>
        <v/>
      </c>
      <c r="AE847" s="49">
        <f>IF(OR($M847="",$T847=""),"",$T847+(AE$2*$M847))</f>
        <v/>
      </c>
      <c r="AF847" s="52">
        <f>IF(OR(T847="",I847&lt;T847),"",IFERROR(AVERAGE(T847+M847*{7,8,9,10,11})/IF(G847="",I847,G847)-1,""))</f>
        <v/>
      </c>
      <c r="AG847" s="55">
        <f>IF(OR(T847="",I847&lt;T847),"",IFERROR(AF847/-(R847/IF(G847="",I847,G847)-1),""))</f>
        <v/>
      </c>
      <c r="AH847" s="94" t="n"/>
      <c r="AI847" s="94" t="n"/>
      <c r="AJ847" s="94" t="n"/>
      <c r="AK847" s="94" t="n"/>
      <c r="AL847" s="84" t="n"/>
    </row>
    <row r="848">
      <c r="A848" s="64" t="n"/>
      <c r="B848" s="65" t="n"/>
      <c r="C848" s="66" t="n"/>
      <c r="D848" s="67" t="n"/>
      <c r="E848" s="68" t="n"/>
      <c r="F848" s="47">
        <f>IF(A848="","",IF(MIN(H848,MAX(J848:K848))=0,"",MIN(H848,MAX(J848:K848))))</f>
        <v/>
      </c>
      <c r="G848" s="74" t="n"/>
      <c r="H848" s="49">
        <f>IF(M848="","",IFERROR(ROUND(AVERAGE(T848+M848*{7,8,9,10,11})/1.21,4),""))</f>
        <v/>
      </c>
      <c r="I848" s="76" t="n"/>
      <c r="J848" s="77" t="n"/>
      <c r="K848" s="74" t="n"/>
      <c r="L848" s="78" t="n"/>
      <c r="M848" s="77" t="n"/>
      <c r="N848" s="53">
        <f>IF(M848="","",IFERROR(M848/I848,""))</f>
        <v/>
      </c>
      <c r="O848" s="50">
        <f>IF(A848="","",IFERROR((IF(G848="",I848,G848)-T848)/M848,""))</f>
        <v/>
      </c>
      <c r="P848" s="50">
        <f>IFERROR((I848/T848-1)/N848,"")</f>
        <v/>
      </c>
      <c r="Q848" s="46">
        <f>IF(OR(T848="",I848&lt;T848),"",IFERROR(R848/IF(G848="",I848,G848)-1,""))</f>
        <v/>
      </c>
      <c r="R848" s="48">
        <f>IF($M848="","",MAX(IF($G848="",$I848,$G848)*(1/1.1),IF($G848="",$I848,$G848)+(R$2*$M848)))</f>
        <v/>
      </c>
      <c r="S848" s="49">
        <f>IF($M848="","",MAX(IF($G848="",$I848,$G848)*(1/1.1),IF($G848="",$I848,$G848)+(S$2*$M848)))</f>
        <v/>
      </c>
      <c r="T848" s="82" t="n"/>
      <c r="U848" s="47">
        <f>IF(OR($M848="",$T848=""),"",$T848+(U$2*$M848))</f>
        <v/>
      </c>
      <c r="V848" s="48">
        <f>IF(OR($M848="",$T848=""),"",$T848+(V$2*$M848))</f>
        <v/>
      </c>
      <c r="W848" s="48">
        <f>IF(OR($M848="",$T848=""),"",$T848+(W$2*$M848))</f>
        <v/>
      </c>
      <c r="X848" s="49">
        <f>IF(OR($M848="",$T848=""),"",$T848+(X$2*$M848))</f>
        <v/>
      </c>
      <c r="Y848" s="47">
        <f>IF(OR($M848="",$T848=""),"",$T848+(Y$2*$M848))</f>
        <v/>
      </c>
      <c r="Z848" s="49">
        <f>IF(OR($M848="",$T848=""),"",$T848+(Z$2*$M848))</f>
        <v/>
      </c>
      <c r="AA848" s="51">
        <f>IF(OR($M848="",$T848=""),"",$T848+(AA$2*$M848))</f>
        <v/>
      </c>
      <c r="AB848" s="48">
        <f>IF(OR($M848="",$T848=""),"",$T848+(AB$2*$M848))</f>
        <v/>
      </c>
      <c r="AC848" s="48">
        <f>IF(OR($M848="",$T848=""),"",$T848+(AC$2*$M848))</f>
        <v/>
      </c>
      <c r="AD848" s="48">
        <f>IF(OR($M848="",$T848=""),"",$T848+(AD$2*$M848))</f>
        <v/>
      </c>
      <c r="AE848" s="49">
        <f>IF(OR($M848="",$T848=""),"",$T848+(AE$2*$M848))</f>
        <v/>
      </c>
      <c r="AF848" s="52">
        <f>IF(OR(T848="",I848&lt;T848),"",IFERROR(AVERAGE(T848+M848*{7,8,9,10,11})/IF(G848="",I848,G848)-1,""))</f>
        <v/>
      </c>
      <c r="AG848" s="55">
        <f>IF(OR(T848="",I848&lt;T848),"",IFERROR(AF848/-(R848/IF(G848="",I848,G848)-1),""))</f>
        <v/>
      </c>
      <c r="AH848" s="94" t="n"/>
      <c r="AI848" s="94" t="n"/>
      <c r="AJ848" s="94" t="n"/>
      <c r="AK848" s="94" t="n"/>
      <c r="AL848" s="84" t="n"/>
    </row>
    <row r="849">
      <c r="A849" s="64" t="n"/>
      <c r="B849" s="65" t="n"/>
      <c r="C849" s="66" t="n"/>
      <c r="D849" s="67" t="n"/>
      <c r="E849" s="68" t="n"/>
      <c r="F849" s="47">
        <f>IF(A849="","",IF(MIN(H849,MAX(J849:K849))=0,"",MIN(H849,MAX(J849:K849))))</f>
        <v/>
      </c>
      <c r="G849" s="74" t="n"/>
      <c r="H849" s="49">
        <f>IF(M849="","",IFERROR(ROUND(AVERAGE(T849+M849*{7,8,9,10,11})/1.21,4),""))</f>
        <v/>
      </c>
      <c r="I849" s="76" t="n"/>
      <c r="J849" s="77" t="n"/>
      <c r="K849" s="74" t="n"/>
      <c r="L849" s="78" t="n"/>
      <c r="M849" s="77" t="n"/>
      <c r="N849" s="53">
        <f>IF(M849="","",IFERROR(M849/I849,""))</f>
        <v/>
      </c>
      <c r="O849" s="50">
        <f>IF(A849="","",IFERROR((IF(G849="",I849,G849)-T849)/M849,""))</f>
        <v/>
      </c>
      <c r="P849" s="50">
        <f>IFERROR((I849/T849-1)/N849,"")</f>
        <v/>
      </c>
      <c r="Q849" s="46">
        <f>IF(OR(T849="",I849&lt;T849),"",IFERROR(R849/IF(G849="",I849,G849)-1,""))</f>
        <v/>
      </c>
      <c r="R849" s="48">
        <f>IF($M849="","",MAX(IF($G849="",$I849,$G849)*(1/1.1),IF($G849="",$I849,$G849)+(R$2*$M849)))</f>
        <v/>
      </c>
      <c r="S849" s="49">
        <f>IF($M849="","",MAX(IF($G849="",$I849,$G849)*(1/1.1),IF($G849="",$I849,$G849)+(S$2*$M849)))</f>
        <v/>
      </c>
      <c r="T849" s="82" t="n"/>
      <c r="U849" s="47">
        <f>IF(OR($M849="",$T849=""),"",$T849+(U$2*$M849))</f>
        <v/>
      </c>
      <c r="V849" s="48">
        <f>IF(OR($M849="",$T849=""),"",$T849+(V$2*$M849))</f>
        <v/>
      </c>
      <c r="W849" s="48">
        <f>IF(OR($M849="",$T849=""),"",$T849+(W$2*$M849))</f>
        <v/>
      </c>
      <c r="X849" s="49">
        <f>IF(OR($M849="",$T849=""),"",$T849+(X$2*$M849))</f>
        <v/>
      </c>
      <c r="Y849" s="47">
        <f>IF(OR($M849="",$T849=""),"",$T849+(Y$2*$M849))</f>
        <v/>
      </c>
      <c r="Z849" s="49">
        <f>IF(OR($M849="",$T849=""),"",$T849+(Z$2*$M849))</f>
        <v/>
      </c>
      <c r="AA849" s="51">
        <f>IF(OR($M849="",$T849=""),"",$T849+(AA$2*$M849))</f>
        <v/>
      </c>
      <c r="AB849" s="48">
        <f>IF(OR($M849="",$T849=""),"",$T849+(AB$2*$M849))</f>
        <v/>
      </c>
      <c r="AC849" s="48">
        <f>IF(OR($M849="",$T849=""),"",$T849+(AC$2*$M849))</f>
        <v/>
      </c>
      <c r="AD849" s="48">
        <f>IF(OR($M849="",$T849=""),"",$T849+(AD$2*$M849))</f>
        <v/>
      </c>
      <c r="AE849" s="49">
        <f>IF(OR($M849="",$T849=""),"",$T849+(AE$2*$M849))</f>
        <v/>
      </c>
      <c r="AF849" s="52">
        <f>IF(OR(T849="",I849&lt;T849),"",IFERROR(AVERAGE(T849+M849*{7,8,9,10,11})/IF(G849="",I849,G849)-1,""))</f>
        <v/>
      </c>
      <c r="AG849" s="55">
        <f>IF(OR(T849="",I849&lt;T849),"",IFERROR(AF849/-(R849/IF(G849="",I849,G849)-1),""))</f>
        <v/>
      </c>
      <c r="AH849" s="94" t="n"/>
      <c r="AI849" s="94" t="n"/>
      <c r="AJ849" s="94" t="n"/>
      <c r="AK849" s="94" t="n"/>
      <c r="AL849" s="84" t="n"/>
    </row>
    <row r="850">
      <c r="A850" s="64" t="n"/>
      <c r="B850" s="65" t="n"/>
      <c r="C850" s="66" t="n"/>
      <c r="D850" s="67" t="n"/>
      <c r="E850" s="68" t="n"/>
      <c r="F850" s="47">
        <f>IF(A850="","",IF(MIN(H850,MAX(J850:K850))=0,"",MIN(H850,MAX(J850:K850))))</f>
        <v/>
      </c>
      <c r="G850" s="74" t="n"/>
      <c r="H850" s="49">
        <f>IF(M850="","",IFERROR(ROUND(AVERAGE(T850+M850*{7,8,9,10,11})/1.21,4),""))</f>
        <v/>
      </c>
      <c r="I850" s="76" t="n"/>
      <c r="J850" s="77" t="n"/>
      <c r="K850" s="74" t="n"/>
      <c r="L850" s="78" t="n"/>
      <c r="M850" s="77" t="n"/>
      <c r="N850" s="53">
        <f>IF(M850="","",IFERROR(M850/I850,""))</f>
        <v/>
      </c>
      <c r="O850" s="50">
        <f>IF(A850="","",IFERROR((IF(G850="",I850,G850)-T850)/M850,""))</f>
        <v/>
      </c>
      <c r="P850" s="50">
        <f>IFERROR((I850/T850-1)/N850,"")</f>
        <v/>
      </c>
      <c r="Q850" s="46">
        <f>IF(OR(T850="",I850&lt;T850),"",IFERROR(R850/IF(G850="",I850,G850)-1,""))</f>
        <v/>
      </c>
      <c r="R850" s="48">
        <f>IF($M850="","",MAX(IF($G850="",$I850,$G850)*(1/1.1),IF($G850="",$I850,$G850)+(R$2*$M850)))</f>
        <v/>
      </c>
      <c r="S850" s="49">
        <f>IF($M850="","",MAX(IF($G850="",$I850,$G850)*(1/1.1),IF($G850="",$I850,$G850)+(S$2*$M850)))</f>
        <v/>
      </c>
      <c r="T850" s="82" t="n"/>
      <c r="U850" s="47">
        <f>IF(OR($M850="",$T850=""),"",$T850+(U$2*$M850))</f>
        <v/>
      </c>
      <c r="V850" s="48">
        <f>IF(OR($M850="",$T850=""),"",$T850+(V$2*$M850))</f>
        <v/>
      </c>
      <c r="W850" s="48">
        <f>IF(OR($M850="",$T850=""),"",$T850+(W$2*$M850))</f>
        <v/>
      </c>
      <c r="X850" s="49">
        <f>IF(OR($M850="",$T850=""),"",$T850+(X$2*$M850))</f>
        <v/>
      </c>
      <c r="Y850" s="47">
        <f>IF(OR($M850="",$T850=""),"",$T850+(Y$2*$M850))</f>
        <v/>
      </c>
      <c r="Z850" s="49">
        <f>IF(OR($M850="",$T850=""),"",$T850+(Z$2*$M850))</f>
        <v/>
      </c>
      <c r="AA850" s="51">
        <f>IF(OR($M850="",$T850=""),"",$T850+(AA$2*$M850))</f>
        <v/>
      </c>
      <c r="AB850" s="48">
        <f>IF(OR($M850="",$T850=""),"",$T850+(AB$2*$M850))</f>
        <v/>
      </c>
      <c r="AC850" s="48">
        <f>IF(OR($M850="",$T850=""),"",$T850+(AC$2*$M850))</f>
        <v/>
      </c>
      <c r="AD850" s="48">
        <f>IF(OR($M850="",$T850=""),"",$T850+(AD$2*$M850))</f>
        <v/>
      </c>
      <c r="AE850" s="49">
        <f>IF(OR($M850="",$T850=""),"",$T850+(AE$2*$M850))</f>
        <v/>
      </c>
      <c r="AF850" s="52">
        <f>IF(OR(T850="",I850&lt;T850),"",IFERROR(AVERAGE(T850+M850*{7,8,9,10,11})/IF(G850="",I850,G850)-1,""))</f>
        <v/>
      </c>
      <c r="AG850" s="55">
        <f>IF(OR(T850="",I850&lt;T850),"",IFERROR(AF850/-(R850/IF(G850="",I850,G850)-1),""))</f>
        <v/>
      </c>
      <c r="AH850" s="94" t="n"/>
      <c r="AI850" s="94" t="n"/>
      <c r="AJ850" s="94" t="n"/>
      <c r="AK850" s="94" t="n"/>
      <c r="AL850" s="84" t="n"/>
    </row>
    <row r="851">
      <c r="A851" s="64" t="n"/>
      <c r="B851" s="65" t="n"/>
      <c r="C851" s="66" t="n"/>
      <c r="D851" s="67" t="n"/>
      <c r="E851" s="68" t="n"/>
      <c r="F851" s="47">
        <f>IF(A851="","",IF(MIN(H851,MAX(J851:K851))=0,"",MIN(H851,MAX(J851:K851))))</f>
        <v/>
      </c>
      <c r="G851" s="74" t="n"/>
      <c r="H851" s="49">
        <f>IF(M851="","",IFERROR(ROUND(AVERAGE(T851+M851*{7,8,9,10,11})/1.21,4),""))</f>
        <v/>
      </c>
      <c r="I851" s="76" t="n"/>
      <c r="J851" s="77" t="n"/>
      <c r="K851" s="74" t="n"/>
      <c r="L851" s="78" t="n"/>
      <c r="M851" s="77" t="n"/>
      <c r="N851" s="53">
        <f>IF(M851="","",IFERROR(M851/I851,""))</f>
        <v/>
      </c>
      <c r="O851" s="50">
        <f>IF(A851="","",IFERROR((IF(G851="",I851,G851)-T851)/M851,""))</f>
        <v/>
      </c>
      <c r="P851" s="50">
        <f>IFERROR((I851/T851-1)/N851,"")</f>
        <v/>
      </c>
      <c r="Q851" s="46">
        <f>IF(OR(T851="",I851&lt;T851),"",IFERROR(R851/IF(G851="",I851,G851)-1,""))</f>
        <v/>
      </c>
      <c r="R851" s="48">
        <f>IF($M851="","",MAX(IF($G851="",$I851,$G851)*(1/1.1),IF($G851="",$I851,$G851)+(R$2*$M851)))</f>
        <v/>
      </c>
      <c r="S851" s="49">
        <f>IF($M851="","",MAX(IF($G851="",$I851,$G851)*(1/1.1),IF($G851="",$I851,$G851)+(S$2*$M851)))</f>
        <v/>
      </c>
      <c r="T851" s="82" t="n"/>
      <c r="U851" s="47">
        <f>IF(OR($M851="",$T851=""),"",$T851+(U$2*$M851))</f>
        <v/>
      </c>
      <c r="V851" s="48">
        <f>IF(OR($M851="",$T851=""),"",$T851+(V$2*$M851))</f>
        <v/>
      </c>
      <c r="W851" s="48">
        <f>IF(OR($M851="",$T851=""),"",$T851+(W$2*$M851))</f>
        <v/>
      </c>
      <c r="X851" s="49">
        <f>IF(OR($M851="",$T851=""),"",$T851+(X$2*$M851))</f>
        <v/>
      </c>
      <c r="Y851" s="47">
        <f>IF(OR($M851="",$T851=""),"",$T851+(Y$2*$M851))</f>
        <v/>
      </c>
      <c r="Z851" s="49">
        <f>IF(OR($M851="",$T851=""),"",$T851+(Z$2*$M851))</f>
        <v/>
      </c>
      <c r="AA851" s="51">
        <f>IF(OR($M851="",$T851=""),"",$T851+(AA$2*$M851))</f>
        <v/>
      </c>
      <c r="AB851" s="48">
        <f>IF(OR($M851="",$T851=""),"",$T851+(AB$2*$M851))</f>
        <v/>
      </c>
      <c r="AC851" s="48">
        <f>IF(OR($M851="",$T851=""),"",$T851+(AC$2*$M851))</f>
        <v/>
      </c>
      <c r="AD851" s="48">
        <f>IF(OR($M851="",$T851=""),"",$T851+(AD$2*$M851))</f>
        <v/>
      </c>
      <c r="AE851" s="49">
        <f>IF(OR($M851="",$T851=""),"",$T851+(AE$2*$M851))</f>
        <v/>
      </c>
      <c r="AF851" s="52">
        <f>IF(OR(T851="",I851&lt;T851),"",IFERROR(AVERAGE(T851+M851*{7,8,9,10,11})/IF(G851="",I851,G851)-1,""))</f>
        <v/>
      </c>
      <c r="AG851" s="55">
        <f>IF(OR(T851="",I851&lt;T851),"",IFERROR(AF851/-(R851/IF(G851="",I851,G851)-1),""))</f>
        <v/>
      </c>
      <c r="AH851" s="94" t="n"/>
      <c r="AI851" s="94" t="n"/>
      <c r="AJ851" s="94" t="n"/>
      <c r="AK851" s="94" t="n"/>
      <c r="AL851" s="84" t="n"/>
    </row>
    <row r="852">
      <c r="A852" s="64" t="n"/>
      <c r="B852" s="65" t="n"/>
      <c r="C852" s="66" t="n"/>
      <c r="D852" s="67" t="n"/>
      <c r="E852" s="68" t="n"/>
      <c r="F852" s="47">
        <f>IF(A852="","",IF(MIN(H852,MAX(J852:K852))=0,"",MIN(H852,MAX(J852:K852))))</f>
        <v/>
      </c>
      <c r="G852" s="74" t="n"/>
      <c r="H852" s="49">
        <f>IF(M852="","",IFERROR(ROUND(AVERAGE(T852+M852*{7,8,9,10,11})/1.21,4),""))</f>
        <v/>
      </c>
      <c r="I852" s="76" t="n"/>
      <c r="J852" s="77" t="n"/>
      <c r="K852" s="74" t="n"/>
      <c r="L852" s="78" t="n"/>
      <c r="M852" s="77" t="n"/>
      <c r="N852" s="53">
        <f>IF(M852="","",IFERROR(M852/I852,""))</f>
        <v/>
      </c>
      <c r="O852" s="50">
        <f>IF(A852="","",IFERROR((IF(G852="",I852,G852)-T852)/M852,""))</f>
        <v/>
      </c>
      <c r="P852" s="50">
        <f>IFERROR((I852/T852-1)/N852,"")</f>
        <v/>
      </c>
      <c r="Q852" s="46">
        <f>IF(OR(T852="",I852&lt;T852),"",IFERROR(R852/IF(G852="",I852,G852)-1,""))</f>
        <v/>
      </c>
      <c r="R852" s="48">
        <f>IF($M852="","",MAX(IF($G852="",$I852,$G852)*(1/1.1),IF($G852="",$I852,$G852)+(R$2*$M852)))</f>
        <v/>
      </c>
      <c r="S852" s="49">
        <f>IF($M852="","",MAX(IF($G852="",$I852,$G852)*(1/1.1),IF($G852="",$I852,$G852)+(S$2*$M852)))</f>
        <v/>
      </c>
      <c r="T852" s="82" t="n"/>
      <c r="U852" s="47">
        <f>IF(OR($M852="",$T852=""),"",$T852+(U$2*$M852))</f>
        <v/>
      </c>
      <c r="V852" s="48">
        <f>IF(OR($M852="",$T852=""),"",$T852+(V$2*$M852))</f>
        <v/>
      </c>
      <c r="W852" s="48">
        <f>IF(OR($M852="",$T852=""),"",$T852+(W$2*$M852))</f>
        <v/>
      </c>
      <c r="X852" s="49">
        <f>IF(OR($M852="",$T852=""),"",$T852+(X$2*$M852))</f>
        <v/>
      </c>
      <c r="Y852" s="47">
        <f>IF(OR($M852="",$T852=""),"",$T852+(Y$2*$M852))</f>
        <v/>
      </c>
      <c r="Z852" s="49">
        <f>IF(OR($M852="",$T852=""),"",$T852+(Z$2*$M852))</f>
        <v/>
      </c>
      <c r="AA852" s="51">
        <f>IF(OR($M852="",$T852=""),"",$T852+(AA$2*$M852))</f>
        <v/>
      </c>
      <c r="AB852" s="48">
        <f>IF(OR($M852="",$T852=""),"",$T852+(AB$2*$M852))</f>
        <v/>
      </c>
      <c r="AC852" s="48">
        <f>IF(OR($M852="",$T852=""),"",$T852+(AC$2*$M852))</f>
        <v/>
      </c>
      <c r="AD852" s="48">
        <f>IF(OR($M852="",$T852=""),"",$T852+(AD$2*$M852))</f>
        <v/>
      </c>
      <c r="AE852" s="49">
        <f>IF(OR($M852="",$T852=""),"",$T852+(AE$2*$M852))</f>
        <v/>
      </c>
      <c r="AF852" s="52">
        <f>IF(OR(T852="",I852&lt;T852),"",IFERROR(AVERAGE(T852+M852*{7,8,9,10,11})/IF(G852="",I852,G852)-1,""))</f>
        <v/>
      </c>
      <c r="AG852" s="55">
        <f>IF(OR(T852="",I852&lt;T852),"",IFERROR(AF852/-(R852/IF(G852="",I852,G852)-1),""))</f>
        <v/>
      </c>
      <c r="AH852" s="94" t="n"/>
      <c r="AI852" s="94" t="n"/>
      <c r="AJ852" s="94" t="n"/>
      <c r="AK852" s="94" t="n"/>
      <c r="AL852" s="84" t="n"/>
    </row>
    <row r="853">
      <c r="A853" s="64" t="n"/>
      <c r="B853" s="65" t="n"/>
      <c r="C853" s="66" t="n"/>
      <c r="D853" s="67" t="n"/>
      <c r="E853" s="68" t="n"/>
      <c r="F853" s="47">
        <f>IF(A853="","",IF(MIN(H853,MAX(J853:K853))=0,"",MIN(H853,MAX(J853:K853))))</f>
        <v/>
      </c>
      <c r="G853" s="74" t="n"/>
      <c r="H853" s="49">
        <f>IF(M853="","",IFERROR(ROUND(AVERAGE(T853+M853*{7,8,9,10,11})/1.21,4),""))</f>
        <v/>
      </c>
      <c r="I853" s="76" t="n"/>
      <c r="J853" s="77" t="n"/>
      <c r="K853" s="74" t="n"/>
      <c r="L853" s="78" t="n"/>
      <c r="M853" s="77" t="n"/>
      <c r="N853" s="53">
        <f>IF(M853="","",IFERROR(M853/I853,""))</f>
        <v/>
      </c>
      <c r="O853" s="50">
        <f>IF(A853="","",IFERROR((IF(G853="",I853,G853)-T853)/M853,""))</f>
        <v/>
      </c>
      <c r="P853" s="50">
        <f>IFERROR((I853/T853-1)/N853,"")</f>
        <v/>
      </c>
      <c r="Q853" s="46">
        <f>IF(OR(T853="",I853&lt;T853),"",IFERROR(R853/IF(G853="",I853,G853)-1,""))</f>
        <v/>
      </c>
      <c r="R853" s="48">
        <f>IF($M853="","",MAX(IF($G853="",$I853,$G853)*(1/1.1),IF($G853="",$I853,$G853)+(R$2*$M853)))</f>
        <v/>
      </c>
      <c r="S853" s="49">
        <f>IF($M853="","",MAX(IF($G853="",$I853,$G853)*(1/1.1),IF($G853="",$I853,$G853)+(S$2*$M853)))</f>
        <v/>
      </c>
      <c r="T853" s="82" t="n"/>
      <c r="U853" s="47">
        <f>IF(OR($M853="",$T853=""),"",$T853+(U$2*$M853))</f>
        <v/>
      </c>
      <c r="V853" s="48">
        <f>IF(OR($M853="",$T853=""),"",$T853+(V$2*$M853))</f>
        <v/>
      </c>
      <c r="W853" s="48">
        <f>IF(OR($M853="",$T853=""),"",$T853+(W$2*$M853))</f>
        <v/>
      </c>
      <c r="X853" s="49">
        <f>IF(OR($M853="",$T853=""),"",$T853+(X$2*$M853))</f>
        <v/>
      </c>
      <c r="Y853" s="47">
        <f>IF(OR($M853="",$T853=""),"",$T853+(Y$2*$M853))</f>
        <v/>
      </c>
      <c r="Z853" s="49">
        <f>IF(OR($M853="",$T853=""),"",$T853+(Z$2*$M853))</f>
        <v/>
      </c>
      <c r="AA853" s="51">
        <f>IF(OR($M853="",$T853=""),"",$T853+(AA$2*$M853))</f>
        <v/>
      </c>
      <c r="AB853" s="48">
        <f>IF(OR($M853="",$T853=""),"",$T853+(AB$2*$M853))</f>
        <v/>
      </c>
      <c r="AC853" s="48">
        <f>IF(OR($M853="",$T853=""),"",$T853+(AC$2*$M853))</f>
        <v/>
      </c>
      <c r="AD853" s="48">
        <f>IF(OR($M853="",$T853=""),"",$T853+(AD$2*$M853))</f>
        <v/>
      </c>
      <c r="AE853" s="49">
        <f>IF(OR($M853="",$T853=""),"",$T853+(AE$2*$M853))</f>
        <v/>
      </c>
      <c r="AF853" s="52">
        <f>IF(OR(T853="",I853&lt;T853),"",IFERROR(AVERAGE(T853+M853*{7,8,9,10,11})/IF(G853="",I853,G853)-1,""))</f>
        <v/>
      </c>
      <c r="AG853" s="55">
        <f>IF(OR(T853="",I853&lt;T853),"",IFERROR(AF853/-(R853/IF(G853="",I853,G853)-1),""))</f>
        <v/>
      </c>
      <c r="AH853" s="94" t="n"/>
      <c r="AI853" s="94" t="n"/>
      <c r="AJ853" s="94" t="n"/>
      <c r="AK853" s="94" t="n"/>
      <c r="AL853" s="84" t="n"/>
    </row>
    <row r="854">
      <c r="A854" s="64" t="n"/>
      <c r="B854" s="65" t="n"/>
      <c r="C854" s="66" t="n"/>
      <c r="D854" s="67" t="n"/>
      <c r="E854" s="68" t="n"/>
      <c r="F854" s="47">
        <f>IF(A854="","",IF(MIN(H854,MAX(J854:K854))=0,"",MIN(H854,MAX(J854:K854))))</f>
        <v/>
      </c>
      <c r="G854" s="74" t="n"/>
      <c r="H854" s="49">
        <f>IF(M854="","",IFERROR(ROUND(AVERAGE(T854+M854*{7,8,9,10,11})/1.21,4),""))</f>
        <v/>
      </c>
      <c r="I854" s="76" t="n"/>
      <c r="J854" s="77" t="n"/>
      <c r="K854" s="74" t="n"/>
      <c r="L854" s="78" t="n"/>
      <c r="M854" s="77" t="n"/>
      <c r="N854" s="53">
        <f>IF(M854="","",IFERROR(M854/I854,""))</f>
        <v/>
      </c>
      <c r="O854" s="50">
        <f>IF(A854="","",IFERROR((IF(G854="",I854,G854)-T854)/M854,""))</f>
        <v/>
      </c>
      <c r="P854" s="50">
        <f>IFERROR((I854/T854-1)/N854,"")</f>
        <v/>
      </c>
      <c r="Q854" s="46">
        <f>IF(OR(T854="",I854&lt;T854),"",IFERROR(R854/IF(G854="",I854,G854)-1,""))</f>
        <v/>
      </c>
      <c r="R854" s="48">
        <f>IF($M854="","",MAX(IF($G854="",$I854,$G854)*(1/1.1),IF($G854="",$I854,$G854)+(R$2*$M854)))</f>
        <v/>
      </c>
      <c r="S854" s="49">
        <f>IF($M854="","",MAX(IF($G854="",$I854,$G854)*(1/1.1),IF($G854="",$I854,$G854)+(S$2*$M854)))</f>
        <v/>
      </c>
      <c r="T854" s="82" t="n"/>
      <c r="U854" s="47">
        <f>IF(OR($M854="",$T854=""),"",$T854+(U$2*$M854))</f>
        <v/>
      </c>
      <c r="V854" s="48">
        <f>IF(OR($M854="",$T854=""),"",$T854+(V$2*$M854))</f>
        <v/>
      </c>
      <c r="W854" s="48">
        <f>IF(OR($M854="",$T854=""),"",$T854+(W$2*$M854))</f>
        <v/>
      </c>
      <c r="X854" s="49">
        <f>IF(OR($M854="",$T854=""),"",$T854+(X$2*$M854))</f>
        <v/>
      </c>
      <c r="Y854" s="47">
        <f>IF(OR($M854="",$T854=""),"",$T854+(Y$2*$M854))</f>
        <v/>
      </c>
      <c r="Z854" s="49">
        <f>IF(OR($M854="",$T854=""),"",$T854+(Z$2*$M854))</f>
        <v/>
      </c>
      <c r="AA854" s="51">
        <f>IF(OR($M854="",$T854=""),"",$T854+(AA$2*$M854))</f>
        <v/>
      </c>
      <c r="AB854" s="48">
        <f>IF(OR($M854="",$T854=""),"",$T854+(AB$2*$M854))</f>
        <v/>
      </c>
      <c r="AC854" s="48">
        <f>IF(OR($M854="",$T854=""),"",$T854+(AC$2*$M854))</f>
        <v/>
      </c>
      <c r="AD854" s="48">
        <f>IF(OR($M854="",$T854=""),"",$T854+(AD$2*$M854))</f>
        <v/>
      </c>
      <c r="AE854" s="49">
        <f>IF(OR($M854="",$T854=""),"",$T854+(AE$2*$M854))</f>
        <v/>
      </c>
      <c r="AF854" s="52">
        <f>IF(OR(T854="",I854&lt;T854),"",IFERROR(AVERAGE(T854+M854*{7,8,9,10,11})/IF(G854="",I854,G854)-1,""))</f>
        <v/>
      </c>
      <c r="AG854" s="55">
        <f>IF(OR(T854="",I854&lt;T854),"",IFERROR(AF854/-(R854/IF(G854="",I854,G854)-1),""))</f>
        <v/>
      </c>
      <c r="AH854" s="94" t="n"/>
      <c r="AI854" s="94" t="n"/>
      <c r="AJ854" s="94" t="n"/>
      <c r="AK854" s="94" t="n"/>
      <c r="AL854" s="84" t="n"/>
    </row>
    <row r="855">
      <c r="A855" s="64" t="n"/>
      <c r="B855" s="65" t="n"/>
      <c r="C855" s="66" t="n"/>
      <c r="D855" s="67" t="n"/>
      <c r="E855" s="68" t="n"/>
      <c r="F855" s="47">
        <f>IF(A855="","",IF(MIN(H855,MAX(J855:K855))=0,"",MIN(H855,MAX(J855:K855))))</f>
        <v/>
      </c>
      <c r="G855" s="74" t="n"/>
      <c r="H855" s="49">
        <f>IF(M855="","",IFERROR(ROUND(AVERAGE(T855+M855*{7,8,9,10,11})/1.21,4),""))</f>
        <v/>
      </c>
      <c r="I855" s="76" t="n"/>
      <c r="J855" s="77" t="n"/>
      <c r="K855" s="74" t="n"/>
      <c r="L855" s="78" t="n"/>
      <c r="M855" s="77" t="n"/>
      <c r="N855" s="53">
        <f>IF(M855="","",IFERROR(M855/I855,""))</f>
        <v/>
      </c>
      <c r="O855" s="50">
        <f>IF(A855="","",IFERROR((IF(G855="",I855,G855)-T855)/M855,""))</f>
        <v/>
      </c>
      <c r="P855" s="50">
        <f>IFERROR((I855/T855-1)/N855,"")</f>
        <v/>
      </c>
      <c r="Q855" s="46">
        <f>IF(OR(T855="",I855&lt;T855),"",IFERROR(R855/IF(G855="",I855,G855)-1,""))</f>
        <v/>
      </c>
      <c r="R855" s="48">
        <f>IF($M855="","",MAX(IF($G855="",$I855,$G855)*(1/1.1),IF($G855="",$I855,$G855)+(R$2*$M855)))</f>
        <v/>
      </c>
      <c r="S855" s="49">
        <f>IF($M855="","",MAX(IF($G855="",$I855,$G855)*(1/1.1),IF($G855="",$I855,$G855)+(S$2*$M855)))</f>
        <v/>
      </c>
      <c r="T855" s="82" t="n"/>
      <c r="U855" s="47">
        <f>IF(OR($M855="",$T855=""),"",$T855+(U$2*$M855))</f>
        <v/>
      </c>
      <c r="V855" s="48">
        <f>IF(OR($M855="",$T855=""),"",$T855+(V$2*$M855))</f>
        <v/>
      </c>
      <c r="W855" s="48">
        <f>IF(OR($M855="",$T855=""),"",$T855+(W$2*$M855))</f>
        <v/>
      </c>
      <c r="X855" s="49">
        <f>IF(OR($M855="",$T855=""),"",$T855+(X$2*$M855))</f>
        <v/>
      </c>
      <c r="Y855" s="47">
        <f>IF(OR($M855="",$T855=""),"",$T855+(Y$2*$M855))</f>
        <v/>
      </c>
      <c r="Z855" s="49">
        <f>IF(OR($M855="",$T855=""),"",$T855+(Z$2*$M855))</f>
        <v/>
      </c>
      <c r="AA855" s="51">
        <f>IF(OR($M855="",$T855=""),"",$T855+(AA$2*$M855))</f>
        <v/>
      </c>
      <c r="AB855" s="48">
        <f>IF(OR($M855="",$T855=""),"",$T855+(AB$2*$M855))</f>
        <v/>
      </c>
      <c r="AC855" s="48">
        <f>IF(OR($M855="",$T855=""),"",$T855+(AC$2*$M855))</f>
        <v/>
      </c>
      <c r="AD855" s="48">
        <f>IF(OR($M855="",$T855=""),"",$T855+(AD$2*$M855))</f>
        <v/>
      </c>
      <c r="AE855" s="49">
        <f>IF(OR($M855="",$T855=""),"",$T855+(AE$2*$M855))</f>
        <v/>
      </c>
      <c r="AF855" s="52">
        <f>IF(OR(T855="",I855&lt;T855),"",IFERROR(AVERAGE(T855+M855*{7,8,9,10,11})/IF(G855="",I855,G855)-1,""))</f>
        <v/>
      </c>
      <c r="AG855" s="55">
        <f>IF(OR(T855="",I855&lt;T855),"",IFERROR(AF855/-(R855/IF(G855="",I855,G855)-1),""))</f>
        <v/>
      </c>
      <c r="AH855" s="94" t="n"/>
      <c r="AI855" s="94" t="n"/>
      <c r="AJ855" s="94" t="n"/>
      <c r="AK855" s="94" t="n"/>
      <c r="AL855" s="84" t="n"/>
    </row>
    <row r="856">
      <c r="A856" s="64" t="n"/>
      <c r="B856" s="65" t="n"/>
      <c r="C856" s="66" t="n"/>
      <c r="D856" s="67" t="n"/>
      <c r="E856" s="68" t="n"/>
      <c r="F856" s="47">
        <f>IF(A856="","",IF(MIN(H856,MAX(J856:K856))=0,"",MIN(H856,MAX(J856:K856))))</f>
        <v/>
      </c>
      <c r="G856" s="74" t="n"/>
      <c r="H856" s="49">
        <f>IF(M856="","",IFERROR(ROUND(AVERAGE(T856+M856*{7,8,9,10,11})/1.21,4),""))</f>
        <v/>
      </c>
      <c r="I856" s="76" t="n"/>
      <c r="J856" s="77" t="n"/>
      <c r="K856" s="74" t="n"/>
      <c r="L856" s="78" t="n"/>
      <c r="M856" s="77" t="n"/>
      <c r="N856" s="53">
        <f>IF(M856="","",IFERROR(M856/I856,""))</f>
        <v/>
      </c>
      <c r="O856" s="50">
        <f>IF(A856="","",IFERROR((IF(G856="",I856,G856)-T856)/M856,""))</f>
        <v/>
      </c>
      <c r="P856" s="50">
        <f>IFERROR((I856/T856-1)/N856,"")</f>
        <v/>
      </c>
      <c r="Q856" s="46">
        <f>IF(OR(T856="",I856&lt;T856),"",IFERROR(R856/IF(G856="",I856,G856)-1,""))</f>
        <v/>
      </c>
      <c r="R856" s="48">
        <f>IF($M856="","",MAX(IF($G856="",$I856,$G856)*(1/1.1),IF($G856="",$I856,$G856)+(R$2*$M856)))</f>
        <v/>
      </c>
      <c r="S856" s="49">
        <f>IF($M856="","",MAX(IF($G856="",$I856,$G856)*(1/1.1),IF($G856="",$I856,$G856)+(S$2*$M856)))</f>
        <v/>
      </c>
      <c r="T856" s="82" t="n"/>
      <c r="U856" s="47">
        <f>IF(OR($M856="",$T856=""),"",$T856+(U$2*$M856))</f>
        <v/>
      </c>
      <c r="V856" s="48">
        <f>IF(OR($M856="",$T856=""),"",$T856+(V$2*$M856))</f>
        <v/>
      </c>
      <c r="W856" s="48">
        <f>IF(OR($M856="",$T856=""),"",$T856+(W$2*$M856))</f>
        <v/>
      </c>
      <c r="X856" s="49">
        <f>IF(OR($M856="",$T856=""),"",$T856+(X$2*$M856))</f>
        <v/>
      </c>
      <c r="Y856" s="47">
        <f>IF(OR($M856="",$T856=""),"",$T856+(Y$2*$M856))</f>
        <v/>
      </c>
      <c r="Z856" s="49">
        <f>IF(OR($M856="",$T856=""),"",$T856+(Z$2*$M856))</f>
        <v/>
      </c>
      <c r="AA856" s="51">
        <f>IF(OR($M856="",$T856=""),"",$T856+(AA$2*$M856))</f>
        <v/>
      </c>
      <c r="AB856" s="48">
        <f>IF(OR($M856="",$T856=""),"",$T856+(AB$2*$M856))</f>
        <v/>
      </c>
      <c r="AC856" s="48">
        <f>IF(OR($M856="",$T856=""),"",$T856+(AC$2*$M856))</f>
        <v/>
      </c>
      <c r="AD856" s="48">
        <f>IF(OR($M856="",$T856=""),"",$T856+(AD$2*$M856))</f>
        <v/>
      </c>
      <c r="AE856" s="49">
        <f>IF(OR($M856="",$T856=""),"",$T856+(AE$2*$M856))</f>
        <v/>
      </c>
      <c r="AF856" s="52">
        <f>IF(OR(T856="",I856&lt;T856),"",IFERROR(AVERAGE(T856+M856*{7,8,9,10,11})/IF(G856="",I856,G856)-1,""))</f>
        <v/>
      </c>
      <c r="AG856" s="55">
        <f>IF(OR(T856="",I856&lt;T856),"",IFERROR(AF856/-(R856/IF(G856="",I856,G856)-1),""))</f>
        <v/>
      </c>
      <c r="AH856" s="94" t="n"/>
      <c r="AI856" s="94" t="n"/>
      <c r="AJ856" s="94" t="n"/>
      <c r="AK856" s="94" t="n"/>
      <c r="AL856" s="84" t="n"/>
    </row>
    <row r="857">
      <c r="A857" s="64" t="n"/>
      <c r="B857" s="65" t="n"/>
      <c r="C857" s="66" t="n"/>
      <c r="D857" s="67" t="n"/>
      <c r="E857" s="68" t="n"/>
      <c r="F857" s="47">
        <f>IF(A857="","",IF(MIN(H857,MAX(J857:K857))=0,"",MIN(H857,MAX(J857:K857))))</f>
        <v/>
      </c>
      <c r="G857" s="74" t="n"/>
      <c r="H857" s="49">
        <f>IF(M857="","",IFERROR(ROUND(AVERAGE(T857+M857*{7,8,9,10,11})/1.21,4),""))</f>
        <v/>
      </c>
      <c r="I857" s="76" t="n"/>
      <c r="J857" s="77" t="n"/>
      <c r="K857" s="74" t="n"/>
      <c r="L857" s="78" t="n"/>
      <c r="M857" s="77" t="n"/>
      <c r="N857" s="53">
        <f>IF(M857="","",IFERROR(M857/I857,""))</f>
        <v/>
      </c>
      <c r="O857" s="50">
        <f>IF(A857="","",IFERROR((IF(G857="",I857,G857)-T857)/M857,""))</f>
        <v/>
      </c>
      <c r="P857" s="50">
        <f>IFERROR((I857/T857-1)/N857,"")</f>
        <v/>
      </c>
      <c r="Q857" s="46">
        <f>IF(OR(T857="",I857&lt;T857),"",IFERROR(R857/IF(G857="",I857,G857)-1,""))</f>
        <v/>
      </c>
      <c r="R857" s="48">
        <f>IF($M857="","",MAX(IF($G857="",$I857,$G857)*(1/1.1),IF($G857="",$I857,$G857)+(R$2*$M857)))</f>
        <v/>
      </c>
      <c r="S857" s="49">
        <f>IF($M857="","",MAX(IF($G857="",$I857,$G857)*(1/1.1),IF($G857="",$I857,$G857)+(S$2*$M857)))</f>
        <v/>
      </c>
      <c r="T857" s="82" t="n"/>
      <c r="U857" s="47">
        <f>IF(OR($M857="",$T857=""),"",$T857+(U$2*$M857))</f>
        <v/>
      </c>
      <c r="V857" s="48">
        <f>IF(OR($M857="",$T857=""),"",$T857+(V$2*$M857))</f>
        <v/>
      </c>
      <c r="W857" s="48">
        <f>IF(OR($M857="",$T857=""),"",$T857+(W$2*$M857))</f>
        <v/>
      </c>
      <c r="X857" s="49">
        <f>IF(OR($M857="",$T857=""),"",$T857+(X$2*$M857))</f>
        <v/>
      </c>
      <c r="Y857" s="47">
        <f>IF(OR($M857="",$T857=""),"",$T857+(Y$2*$M857))</f>
        <v/>
      </c>
      <c r="Z857" s="49">
        <f>IF(OR($M857="",$T857=""),"",$T857+(Z$2*$M857))</f>
        <v/>
      </c>
      <c r="AA857" s="51">
        <f>IF(OR($M857="",$T857=""),"",$T857+(AA$2*$M857))</f>
        <v/>
      </c>
      <c r="AB857" s="48">
        <f>IF(OR($M857="",$T857=""),"",$T857+(AB$2*$M857))</f>
        <v/>
      </c>
      <c r="AC857" s="48">
        <f>IF(OR($M857="",$T857=""),"",$T857+(AC$2*$M857))</f>
        <v/>
      </c>
      <c r="AD857" s="48">
        <f>IF(OR($M857="",$T857=""),"",$T857+(AD$2*$M857))</f>
        <v/>
      </c>
      <c r="AE857" s="49">
        <f>IF(OR($M857="",$T857=""),"",$T857+(AE$2*$M857))</f>
        <v/>
      </c>
      <c r="AF857" s="52">
        <f>IF(OR(T857="",I857&lt;T857),"",IFERROR(AVERAGE(T857+M857*{7,8,9,10,11})/IF(G857="",I857,G857)-1,""))</f>
        <v/>
      </c>
      <c r="AG857" s="55">
        <f>IF(OR(T857="",I857&lt;T857),"",IFERROR(AF857/-(R857/IF(G857="",I857,G857)-1),""))</f>
        <v/>
      </c>
      <c r="AH857" s="94" t="n"/>
      <c r="AI857" s="94" t="n"/>
      <c r="AJ857" s="94" t="n"/>
      <c r="AK857" s="94" t="n"/>
      <c r="AL857" s="84" t="n"/>
    </row>
    <row r="858">
      <c r="A858" s="64" t="n"/>
      <c r="B858" s="65" t="n"/>
      <c r="C858" s="66" t="n"/>
      <c r="D858" s="67" t="n"/>
      <c r="E858" s="68" t="n"/>
      <c r="F858" s="47">
        <f>IF(A858="","",IF(MIN(H858,MAX(J858:K858))=0,"",MIN(H858,MAX(J858:K858))))</f>
        <v/>
      </c>
      <c r="G858" s="74" t="n"/>
      <c r="H858" s="49">
        <f>IF(M858="","",IFERROR(ROUND(AVERAGE(T858+M858*{7,8,9,10,11})/1.21,4),""))</f>
        <v/>
      </c>
      <c r="I858" s="76" t="n"/>
      <c r="J858" s="77" t="n"/>
      <c r="K858" s="74" t="n"/>
      <c r="L858" s="78" t="n"/>
      <c r="M858" s="77" t="n"/>
      <c r="N858" s="53">
        <f>IF(M858="","",IFERROR(M858/I858,""))</f>
        <v/>
      </c>
      <c r="O858" s="50">
        <f>IF(A858="","",IFERROR((IF(G858="",I858,G858)-T858)/M858,""))</f>
        <v/>
      </c>
      <c r="P858" s="50">
        <f>IFERROR((I858/T858-1)/N858,"")</f>
        <v/>
      </c>
      <c r="Q858" s="46">
        <f>IF(OR(T858="",I858&lt;T858),"",IFERROR(R858/IF(G858="",I858,G858)-1,""))</f>
        <v/>
      </c>
      <c r="R858" s="48">
        <f>IF($M858="","",MAX(IF($G858="",$I858,$G858)*(1/1.1),IF($G858="",$I858,$G858)+(R$2*$M858)))</f>
        <v/>
      </c>
      <c r="S858" s="49">
        <f>IF($M858="","",MAX(IF($G858="",$I858,$G858)*(1/1.1),IF($G858="",$I858,$G858)+(S$2*$M858)))</f>
        <v/>
      </c>
      <c r="T858" s="82" t="n"/>
      <c r="U858" s="47">
        <f>IF(OR($M858="",$T858=""),"",$T858+(U$2*$M858))</f>
        <v/>
      </c>
      <c r="V858" s="48">
        <f>IF(OR($M858="",$T858=""),"",$T858+(V$2*$M858))</f>
        <v/>
      </c>
      <c r="W858" s="48">
        <f>IF(OR($M858="",$T858=""),"",$T858+(W$2*$M858))</f>
        <v/>
      </c>
      <c r="X858" s="49">
        <f>IF(OR($M858="",$T858=""),"",$T858+(X$2*$M858))</f>
        <v/>
      </c>
      <c r="Y858" s="47">
        <f>IF(OR($M858="",$T858=""),"",$T858+(Y$2*$M858))</f>
        <v/>
      </c>
      <c r="Z858" s="49">
        <f>IF(OR($M858="",$T858=""),"",$T858+(Z$2*$M858))</f>
        <v/>
      </c>
      <c r="AA858" s="51">
        <f>IF(OR($M858="",$T858=""),"",$T858+(AA$2*$M858))</f>
        <v/>
      </c>
      <c r="AB858" s="48">
        <f>IF(OR($M858="",$T858=""),"",$T858+(AB$2*$M858))</f>
        <v/>
      </c>
      <c r="AC858" s="48">
        <f>IF(OR($M858="",$T858=""),"",$T858+(AC$2*$M858))</f>
        <v/>
      </c>
      <c r="AD858" s="48">
        <f>IF(OR($M858="",$T858=""),"",$T858+(AD$2*$M858))</f>
        <v/>
      </c>
      <c r="AE858" s="49">
        <f>IF(OR($M858="",$T858=""),"",$T858+(AE$2*$M858))</f>
        <v/>
      </c>
      <c r="AF858" s="52">
        <f>IF(OR(T858="",I858&lt;T858),"",IFERROR(AVERAGE(T858+M858*{7,8,9,10,11})/IF(G858="",I858,G858)-1,""))</f>
        <v/>
      </c>
      <c r="AG858" s="55">
        <f>IF(OR(T858="",I858&lt;T858),"",IFERROR(AF858/-(R858/IF(G858="",I858,G858)-1),""))</f>
        <v/>
      </c>
      <c r="AH858" s="94" t="n"/>
      <c r="AI858" s="94" t="n"/>
      <c r="AJ858" s="94" t="n"/>
      <c r="AK858" s="94" t="n"/>
      <c r="AL858" s="84" t="n"/>
    </row>
    <row r="859">
      <c r="A859" s="64" t="n"/>
      <c r="B859" s="65" t="n"/>
      <c r="C859" s="66" t="n"/>
      <c r="D859" s="67" t="n"/>
      <c r="E859" s="68" t="n"/>
      <c r="F859" s="47">
        <f>IF(A859="","",IF(MIN(H859,MAX(J859:K859))=0,"",MIN(H859,MAX(J859:K859))))</f>
        <v/>
      </c>
      <c r="G859" s="74" t="n"/>
      <c r="H859" s="49">
        <f>IF(M859="","",IFERROR(ROUND(AVERAGE(T859+M859*{7,8,9,10,11})/1.21,4),""))</f>
        <v/>
      </c>
      <c r="I859" s="76" t="n"/>
      <c r="J859" s="77" t="n"/>
      <c r="K859" s="74" t="n"/>
      <c r="L859" s="78" t="n"/>
      <c r="M859" s="77" t="n"/>
      <c r="N859" s="53">
        <f>IF(M859="","",IFERROR(M859/I859,""))</f>
        <v/>
      </c>
      <c r="O859" s="50">
        <f>IF(A859="","",IFERROR((IF(G859="",I859,G859)-T859)/M859,""))</f>
        <v/>
      </c>
      <c r="P859" s="50">
        <f>IFERROR((I859/T859-1)/N859,"")</f>
        <v/>
      </c>
      <c r="Q859" s="46">
        <f>IF(OR(T859="",I859&lt;T859),"",IFERROR(R859/IF(G859="",I859,G859)-1,""))</f>
        <v/>
      </c>
      <c r="R859" s="48">
        <f>IF($M859="","",MAX(IF($G859="",$I859,$G859)*(1/1.1),IF($G859="",$I859,$G859)+(R$2*$M859)))</f>
        <v/>
      </c>
      <c r="S859" s="49">
        <f>IF($M859="","",MAX(IF($G859="",$I859,$G859)*(1/1.1),IF($G859="",$I859,$G859)+(S$2*$M859)))</f>
        <v/>
      </c>
      <c r="T859" s="82" t="n"/>
      <c r="U859" s="47">
        <f>IF(OR($M859="",$T859=""),"",$T859+(U$2*$M859))</f>
        <v/>
      </c>
      <c r="V859" s="48">
        <f>IF(OR($M859="",$T859=""),"",$T859+(V$2*$M859))</f>
        <v/>
      </c>
      <c r="W859" s="48">
        <f>IF(OR($M859="",$T859=""),"",$T859+(W$2*$M859))</f>
        <v/>
      </c>
      <c r="X859" s="49">
        <f>IF(OR($M859="",$T859=""),"",$T859+(X$2*$M859))</f>
        <v/>
      </c>
      <c r="Y859" s="47">
        <f>IF(OR($M859="",$T859=""),"",$T859+(Y$2*$M859))</f>
        <v/>
      </c>
      <c r="Z859" s="49">
        <f>IF(OR($M859="",$T859=""),"",$T859+(Z$2*$M859))</f>
        <v/>
      </c>
      <c r="AA859" s="51">
        <f>IF(OR($M859="",$T859=""),"",$T859+(AA$2*$M859))</f>
        <v/>
      </c>
      <c r="AB859" s="48">
        <f>IF(OR($M859="",$T859=""),"",$T859+(AB$2*$M859))</f>
        <v/>
      </c>
      <c r="AC859" s="48">
        <f>IF(OR($M859="",$T859=""),"",$T859+(AC$2*$M859))</f>
        <v/>
      </c>
      <c r="AD859" s="48">
        <f>IF(OR($M859="",$T859=""),"",$T859+(AD$2*$M859))</f>
        <v/>
      </c>
      <c r="AE859" s="49">
        <f>IF(OR($M859="",$T859=""),"",$T859+(AE$2*$M859))</f>
        <v/>
      </c>
      <c r="AF859" s="52">
        <f>IF(OR(T859="",I859&lt;T859),"",IFERROR(AVERAGE(T859+M859*{7,8,9,10,11})/IF(G859="",I859,G859)-1,""))</f>
        <v/>
      </c>
      <c r="AG859" s="55">
        <f>IF(OR(T859="",I859&lt;T859),"",IFERROR(AF859/-(R859/IF(G859="",I859,G859)-1),""))</f>
        <v/>
      </c>
      <c r="AH859" s="94" t="n"/>
      <c r="AI859" s="94" t="n"/>
      <c r="AJ859" s="94" t="n"/>
      <c r="AK859" s="94" t="n"/>
      <c r="AL859" s="84" t="n"/>
    </row>
    <row r="860">
      <c r="A860" s="64" t="n"/>
      <c r="B860" s="65" t="n"/>
      <c r="C860" s="66" t="n"/>
      <c r="D860" s="67" t="n"/>
      <c r="E860" s="68" t="n"/>
      <c r="F860" s="47">
        <f>IF(A860="","",IF(MIN(H860,MAX(J860:K860))=0,"",MIN(H860,MAX(J860:K860))))</f>
        <v/>
      </c>
      <c r="G860" s="74" t="n"/>
      <c r="H860" s="49">
        <f>IF(M860="","",IFERROR(ROUND(AVERAGE(T860+M860*{7,8,9,10,11})/1.21,4),""))</f>
        <v/>
      </c>
      <c r="I860" s="76" t="n"/>
      <c r="J860" s="77" t="n"/>
      <c r="K860" s="74" t="n"/>
      <c r="L860" s="78" t="n"/>
      <c r="M860" s="77" t="n"/>
      <c r="N860" s="53">
        <f>IF(M860="","",IFERROR(M860/I860,""))</f>
        <v/>
      </c>
      <c r="O860" s="50">
        <f>IF(A860="","",IFERROR((IF(G860="",I860,G860)-T860)/M860,""))</f>
        <v/>
      </c>
      <c r="P860" s="50">
        <f>IFERROR((I860/T860-1)/N860,"")</f>
        <v/>
      </c>
      <c r="Q860" s="46">
        <f>IF(OR(T860="",I860&lt;T860),"",IFERROR(R860/IF(G860="",I860,G860)-1,""))</f>
        <v/>
      </c>
      <c r="R860" s="48">
        <f>IF($M860="","",MAX(IF($G860="",$I860,$G860)*(1/1.1),IF($G860="",$I860,$G860)+(R$2*$M860)))</f>
        <v/>
      </c>
      <c r="S860" s="49">
        <f>IF($M860="","",MAX(IF($G860="",$I860,$G860)*(1/1.1),IF($G860="",$I860,$G860)+(S$2*$M860)))</f>
        <v/>
      </c>
      <c r="T860" s="82" t="n"/>
      <c r="U860" s="47">
        <f>IF(OR($M860="",$T860=""),"",$T860+(U$2*$M860))</f>
        <v/>
      </c>
      <c r="V860" s="48">
        <f>IF(OR($M860="",$T860=""),"",$T860+(V$2*$M860))</f>
        <v/>
      </c>
      <c r="W860" s="48">
        <f>IF(OR($M860="",$T860=""),"",$T860+(W$2*$M860))</f>
        <v/>
      </c>
      <c r="X860" s="49">
        <f>IF(OR($M860="",$T860=""),"",$T860+(X$2*$M860))</f>
        <v/>
      </c>
      <c r="Y860" s="47">
        <f>IF(OR($M860="",$T860=""),"",$T860+(Y$2*$M860))</f>
        <v/>
      </c>
      <c r="Z860" s="49">
        <f>IF(OR($M860="",$T860=""),"",$T860+(Z$2*$M860))</f>
        <v/>
      </c>
      <c r="AA860" s="51">
        <f>IF(OR($M860="",$T860=""),"",$T860+(AA$2*$M860))</f>
        <v/>
      </c>
      <c r="AB860" s="48">
        <f>IF(OR($M860="",$T860=""),"",$T860+(AB$2*$M860))</f>
        <v/>
      </c>
      <c r="AC860" s="48">
        <f>IF(OR($M860="",$T860=""),"",$T860+(AC$2*$M860))</f>
        <v/>
      </c>
      <c r="AD860" s="48">
        <f>IF(OR($M860="",$T860=""),"",$T860+(AD$2*$M860))</f>
        <v/>
      </c>
      <c r="AE860" s="49">
        <f>IF(OR($M860="",$T860=""),"",$T860+(AE$2*$M860))</f>
        <v/>
      </c>
      <c r="AF860" s="52">
        <f>IF(OR(T860="",I860&lt;T860),"",IFERROR(AVERAGE(T860+M860*{7,8,9,10,11})/IF(G860="",I860,G860)-1,""))</f>
        <v/>
      </c>
      <c r="AG860" s="55">
        <f>IF(OR(T860="",I860&lt;T860),"",IFERROR(AF860/-(R860/IF(G860="",I860,G860)-1),""))</f>
        <v/>
      </c>
      <c r="AH860" s="94" t="n"/>
      <c r="AI860" s="94" t="n"/>
      <c r="AJ860" s="94" t="n"/>
      <c r="AK860" s="94" t="n"/>
      <c r="AL860" s="84" t="n"/>
    </row>
    <row r="861">
      <c r="A861" s="64" t="n"/>
      <c r="B861" s="65" t="n"/>
      <c r="C861" s="66" t="n"/>
      <c r="D861" s="67" t="n"/>
      <c r="E861" s="68" t="n"/>
      <c r="F861" s="47">
        <f>IF(A861="","",IF(MIN(H861,MAX(J861:K861))=0,"",MIN(H861,MAX(J861:K861))))</f>
        <v/>
      </c>
      <c r="G861" s="74" t="n"/>
      <c r="H861" s="49">
        <f>IF(M861="","",IFERROR(ROUND(AVERAGE(T861+M861*{7,8,9,10,11})/1.21,4),""))</f>
        <v/>
      </c>
      <c r="I861" s="76" t="n"/>
      <c r="J861" s="77" t="n"/>
      <c r="K861" s="74" t="n"/>
      <c r="L861" s="78" t="n"/>
      <c r="M861" s="77" t="n"/>
      <c r="N861" s="53">
        <f>IF(M861="","",IFERROR(M861/I861,""))</f>
        <v/>
      </c>
      <c r="O861" s="50">
        <f>IF(A861="","",IFERROR((IF(G861="",I861,G861)-T861)/M861,""))</f>
        <v/>
      </c>
      <c r="P861" s="50">
        <f>IFERROR((I861/T861-1)/N861,"")</f>
        <v/>
      </c>
      <c r="Q861" s="46">
        <f>IF(OR(T861="",I861&lt;T861),"",IFERROR(R861/IF(G861="",I861,G861)-1,""))</f>
        <v/>
      </c>
      <c r="R861" s="48">
        <f>IF($M861="","",MAX(IF($G861="",$I861,$G861)*(1/1.1),IF($G861="",$I861,$G861)+(R$2*$M861)))</f>
        <v/>
      </c>
      <c r="S861" s="49">
        <f>IF($M861="","",MAX(IF($G861="",$I861,$G861)*(1/1.1),IF($G861="",$I861,$G861)+(S$2*$M861)))</f>
        <v/>
      </c>
      <c r="T861" s="82" t="n"/>
      <c r="U861" s="47">
        <f>IF(OR($M861="",$T861=""),"",$T861+(U$2*$M861))</f>
        <v/>
      </c>
      <c r="V861" s="48">
        <f>IF(OR($M861="",$T861=""),"",$T861+(V$2*$M861))</f>
        <v/>
      </c>
      <c r="W861" s="48">
        <f>IF(OR($M861="",$T861=""),"",$T861+(W$2*$M861))</f>
        <v/>
      </c>
      <c r="X861" s="49">
        <f>IF(OR($M861="",$T861=""),"",$T861+(X$2*$M861))</f>
        <v/>
      </c>
      <c r="Y861" s="47">
        <f>IF(OR($M861="",$T861=""),"",$T861+(Y$2*$M861))</f>
        <v/>
      </c>
      <c r="Z861" s="49">
        <f>IF(OR($M861="",$T861=""),"",$T861+(Z$2*$M861))</f>
        <v/>
      </c>
      <c r="AA861" s="51">
        <f>IF(OR($M861="",$T861=""),"",$T861+(AA$2*$M861))</f>
        <v/>
      </c>
      <c r="AB861" s="48">
        <f>IF(OR($M861="",$T861=""),"",$T861+(AB$2*$M861))</f>
        <v/>
      </c>
      <c r="AC861" s="48">
        <f>IF(OR($M861="",$T861=""),"",$T861+(AC$2*$M861))</f>
        <v/>
      </c>
      <c r="AD861" s="48">
        <f>IF(OR($M861="",$T861=""),"",$T861+(AD$2*$M861))</f>
        <v/>
      </c>
      <c r="AE861" s="49">
        <f>IF(OR($M861="",$T861=""),"",$T861+(AE$2*$M861))</f>
        <v/>
      </c>
      <c r="AF861" s="52">
        <f>IF(OR(T861="",I861&lt;T861),"",IFERROR(AVERAGE(T861+M861*{7,8,9,10,11})/IF(G861="",I861,G861)-1,""))</f>
        <v/>
      </c>
      <c r="AG861" s="55">
        <f>IF(OR(T861="",I861&lt;T861),"",IFERROR(AF861/-(R861/IF(G861="",I861,G861)-1),""))</f>
        <v/>
      </c>
      <c r="AH861" s="94" t="n"/>
      <c r="AI861" s="94" t="n"/>
      <c r="AJ861" s="94" t="n"/>
      <c r="AK861" s="94" t="n"/>
      <c r="AL861" s="84" t="n"/>
    </row>
    <row r="862">
      <c r="A862" s="64" t="n"/>
      <c r="B862" s="65" t="n"/>
      <c r="C862" s="66" t="n"/>
      <c r="D862" s="67" t="n"/>
      <c r="E862" s="68" t="n"/>
      <c r="F862" s="47">
        <f>IF(A862="","",IF(MIN(H862,MAX(J862:K862))=0,"",MIN(H862,MAX(J862:K862))))</f>
        <v/>
      </c>
      <c r="G862" s="74" t="n"/>
      <c r="H862" s="49">
        <f>IF(M862="","",IFERROR(ROUND(AVERAGE(T862+M862*{7,8,9,10,11})/1.21,4),""))</f>
        <v/>
      </c>
      <c r="I862" s="76" t="n"/>
      <c r="J862" s="77" t="n"/>
      <c r="K862" s="74" t="n"/>
      <c r="L862" s="78" t="n"/>
      <c r="M862" s="77" t="n"/>
      <c r="N862" s="53">
        <f>IF(M862="","",IFERROR(M862/I862,""))</f>
        <v/>
      </c>
      <c r="O862" s="50">
        <f>IF(A862="","",IFERROR((IF(G862="",I862,G862)-T862)/M862,""))</f>
        <v/>
      </c>
      <c r="P862" s="50">
        <f>IFERROR((I862/T862-1)/N862,"")</f>
        <v/>
      </c>
      <c r="Q862" s="46">
        <f>IF(OR(T862="",I862&lt;T862),"",IFERROR(R862/IF(G862="",I862,G862)-1,""))</f>
        <v/>
      </c>
      <c r="R862" s="48">
        <f>IF($M862="","",MAX(IF($G862="",$I862,$G862)*(1/1.1),IF($G862="",$I862,$G862)+(R$2*$M862)))</f>
        <v/>
      </c>
      <c r="S862" s="49">
        <f>IF($M862="","",MAX(IF($G862="",$I862,$G862)*(1/1.1),IF($G862="",$I862,$G862)+(S$2*$M862)))</f>
        <v/>
      </c>
      <c r="T862" s="82" t="n"/>
      <c r="U862" s="47">
        <f>IF(OR($M862="",$T862=""),"",$T862+(U$2*$M862))</f>
        <v/>
      </c>
      <c r="V862" s="48">
        <f>IF(OR($M862="",$T862=""),"",$T862+(V$2*$M862))</f>
        <v/>
      </c>
      <c r="W862" s="48">
        <f>IF(OR($M862="",$T862=""),"",$T862+(W$2*$M862))</f>
        <v/>
      </c>
      <c r="X862" s="49">
        <f>IF(OR($M862="",$T862=""),"",$T862+(X$2*$M862))</f>
        <v/>
      </c>
      <c r="Y862" s="47">
        <f>IF(OR($M862="",$T862=""),"",$T862+(Y$2*$M862))</f>
        <v/>
      </c>
      <c r="Z862" s="49">
        <f>IF(OR($M862="",$T862=""),"",$T862+(Z$2*$M862))</f>
        <v/>
      </c>
      <c r="AA862" s="51">
        <f>IF(OR($M862="",$T862=""),"",$T862+(AA$2*$M862))</f>
        <v/>
      </c>
      <c r="AB862" s="48">
        <f>IF(OR($M862="",$T862=""),"",$T862+(AB$2*$M862))</f>
        <v/>
      </c>
      <c r="AC862" s="48">
        <f>IF(OR($M862="",$T862=""),"",$T862+(AC$2*$M862))</f>
        <v/>
      </c>
      <c r="AD862" s="48">
        <f>IF(OR($M862="",$T862=""),"",$T862+(AD$2*$M862))</f>
        <v/>
      </c>
      <c r="AE862" s="49">
        <f>IF(OR($M862="",$T862=""),"",$T862+(AE$2*$M862))</f>
        <v/>
      </c>
      <c r="AF862" s="52">
        <f>IF(OR(T862="",I862&lt;T862),"",IFERROR(AVERAGE(T862+M862*{7,8,9,10,11})/IF(G862="",I862,G862)-1,""))</f>
        <v/>
      </c>
      <c r="AG862" s="55">
        <f>IF(OR(T862="",I862&lt;T862),"",IFERROR(AF862/-(R862/IF(G862="",I862,G862)-1),""))</f>
        <v/>
      </c>
      <c r="AH862" s="94" t="n"/>
      <c r="AI862" s="94" t="n"/>
      <c r="AJ862" s="94" t="n"/>
      <c r="AK862" s="94" t="n"/>
      <c r="AL862" s="84" t="n"/>
    </row>
    <row r="863">
      <c r="A863" s="64" t="n"/>
      <c r="B863" s="65" t="n"/>
      <c r="C863" s="66" t="n"/>
      <c r="D863" s="67" t="n"/>
      <c r="E863" s="68" t="n"/>
      <c r="F863" s="47">
        <f>IF(A863="","",IF(MIN(H863,MAX(J863:K863))=0,"",MIN(H863,MAX(J863:K863))))</f>
        <v/>
      </c>
      <c r="G863" s="74" t="n"/>
      <c r="H863" s="49">
        <f>IF(M863="","",IFERROR(ROUND(AVERAGE(T863+M863*{7,8,9,10,11})/1.21,4),""))</f>
        <v/>
      </c>
      <c r="I863" s="76" t="n"/>
      <c r="J863" s="77" t="n"/>
      <c r="K863" s="74" t="n"/>
      <c r="L863" s="78" t="n"/>
      <c r="M863" s="77" t="n"/>
      <c r="N863" s="53">
        <f>IF(M863="","",IFERROR(M863/I863,""))</f>
        <v/>
      </c>
      <c r="O863" s="50">
        <f>IF(A863="","",IFERROR((IF(G863="",I863,G863)-T863)/M863,""))</f>
        <v/>
      </c>
      <c r="P863" s="50">
        <f>IFERROR((I863/T863-1)/N863,"")</f>
        <v/>
      </c>
      <c r="Q863" s="46">
        <f>IF(OR(T863="",I863&lt;T863),"",IFERROR(R863/IF(G863="",I863,G863)-1,""))</f>
        <v/>
      </c>
      <c r="R863" s="48">
        <f>IF($M863="","",MAX(IF($G863="",$I863,$G863)*(1/1.1),IF($G863="",$I863,$G863)+(R$2*$M863)))</f>
        <v/>
      </c>
      <c r="S863" s="49">
        <f>IF($M863="","",MAX(IF($G863="",$I863,$G863)*(1/1.1),IF($G863="",$I863,$G863)+(S$2*$M863)))</f>
        <v/>
      </c>
      <c r="T863" s="82" t="n"/>
      <c r="U863" s="47">
        <f>IF(OR($M863="",$T863=""),"",$T863+(U$2*$M863))</f>
        <v/>
      </c>
      <c r="V863" s="48">
        <f>IF(OR($M863="",$T863=""),"",$T863+(V$2*$M863))</f>
        <v/>
      </c>
      <c r="W863" s="48">
        <f>IF(OR($M863="",$T863=""),"",$T863+(W$2*$M863))</f>
        <v/>
      </c>
      <c r="X863" s="49">
        <f>IF(OR($M863="",$T863=""),"",$T863+(X$2*$M863))</f>
        <v/>
      </c>
      <c r="Y863" s="47">
        <f>IF(OR($M863="",$T863=""),"",$T863+(Y$2*$M863))</f>
        <v/>
      </c>
      <c r="Z863" s="49">
        <f>IF(OR($M863="",$T863=""),"",$T863+(Z$2*$M863))</f>
        <v/>
      </c>
      <c r="AA863" s="51">
        <f>IF(OR($M863="",$T863=""),"",$T863+(AA$2*$M863))</f>
        <v/>
      </c>
      <c r="AB863" s="48">
        <f>IF(OR($M863="",$T863=""),"",$T863+(AB$2*$M863))</f>
        <v/>
      </c>
      <c r="AC863" s="48">
        <f>IF(OR($M863="",$T863=""),"",$T863+(AC$2*$M863))</f>
        <v/>
      </c>
      <c r="AD863" s="48">
        <f>IF(OR($M863="",$T863=""),"",$T863+(AD$2*$M863))</f>
        <v/>
      </c>
      <c r="AE863" s="49">
        <f>IF(OR($M863="",$T863=""),"",$T863+(AE$2*$M863))</f>
        <v/>
      </c>
      <c r="AF863" s="52">
        <f>IF(OR(T863="",I863&lt;T863),"",IFERROR(AVERAGE(T863+M863*{7,8,9,10,11})/IF(G863="",I863,G863)-1,""))</f>
        <v/>
      </c>
      <c r="AG863" s="55">
        <f>IF(OR(T863="",I863&lt;T863),"",IFERROR(AF863/-(R863/IF(G863="",I863,G863)-1),""))</f>
        <v/>
      </c>
      <c r="AH863" s="94" t="n"/>
      <c r="AI863" s="94" t="n"/>
      <c r="AJ863" s="94" t="n"/>
      <c r="AK863" s="94" t="n"/>
      <c r="AL863" s="84" t="n"/>
    </row>
    <row r="864">
      <c r="A864" s="64" t="n"/>
      <c r="B864" s="65" t="n"/>
      <c r="C864" s="66" t="n"/>
      <c r="D864" s="67" t="n"/>
      <c r="E864" s="68" t="n"/>
      <c r="F864" s="47">
        <f>IF(A864="","",IF(MIN(H864,MAX(J864:K864))=0,"",MIN(H864,MAX(J864:K864))))</f>
        <v/>
      </c>
      <c r="G864" s="74" t="n"/>
      <c r="H864" s="49">
        <f>IF(M864="","",IFERROR(ROUND(AVERAGE(T864+M864*{7,8,9,10,11})/1.21,4),""))</f>
        <v/>
      </c>
      <c r="I864" s="76" t="n"/>
      <c r="J864" s="77" t="n"/>
      <c r="K864" s="74" t="n"/>
      <c r="L864" s="78" t="n"/>
      <c r="M864" s="77" t="n"/>
      <c r="N864" s="53">
        <f>IF(M864="","",IFERROR(M864/I864,""))</f>
        <v/>
      </c>
      <c r="O864" s="50">
        <f>IF(A864="","",IFERROR((IF(G864="",I864,G864)-T864)/M864,""))</f>
        <v/>
      </c>
      <c r="P864" s="50">
        <f>IFERROR((I864/T864-1)/N864,"")</f>
        <v/>
      </c>
      <c r="Q864" s="46">
        <f>IF(OR(T864="",I864&lt;T864),"",IFERROR(R864/IF(G864="",I864,G864)-1,""))</f>
        <v/>
      </c>
      <c r="R864" s="48">
        <f>IF($M864="","",MAX(IF($G864="",$I864,$G864)*(1/1.1),IF($G864="",$I864,$G864)+(R$2*$M864)))</f>
        <v/>
      </c>
      <c r="S864" s="49">
        <f>IF($M864="","",MAX(IF($G864="",$I864,$G864)*(1/1.1),IF($G864="",$I864,$G864)+(S$2*$M864)))</f>
        <v/>
      </c>
      <c r="T864" s="82" t="n"/>
      <c r="U864" s="47">
        <f>IF(OR($M864="",$T864=""),"",$T864+(U$2*$M864))</f>
        <v/>
      </c>
      <c r="V864" s="48">
        <f>IF(OR($M864="",$T864=""),"",$T864+(V$2*$M864))</f>
        <v/>
      </c>
      <c r="W864" s="48">
        <f>IF(OR($M864="",$T864=""),"",$T864+(W$2*$M864))</f>
        <v/>
      </c>
      <c r="X864" s="49">
        <f>IF(OR($M864="",$T864=""),"",$T864+(X$2*$M864))</f>
        <v/>
      </c>
      <c r="Y864" s="47">
        <f>IF(OR($M864="",$T864=""),"",$T864+(Y$2*$M864))</f>
        <v/>
      </c>
      <c r="Z864" s="49">
        <f>IF(OR($M864="",$T864=""),"",$T864+(Z$2*$M864))</f>
        <v/>
      </c>
      <c r="AA864" s="51">
        <f>IF(OR($M864="",$T864=""),"",$T864+(AA$2*$M864))</f>
        <v/>
      </c>
      <c r="AB864" s="48">
        <f>IF(OR($M864="",$T864=""),"",$T864+(AB$2*$M864))</f>
        <v/>
      </c>
      <c r="AC864" s="48">
        <f>IF(OR($M864="",$T864=""),"",$T864+(AC$2*$M864))</f>
        <v/>
      </c>
      <c r="AD864" s="48">
        <f>IF(OR($M864="",$T864=""),"",$T864+(AD$2*$M864))</f>
        <v/>
      </c>
      <c r="AE864" s="49">
        <f>IF(OR($M864="",$T864=""),"",$T864+(AE$2*$M864))</f>
        <v/>
      </c>
      <c r="AF864" s="52">
        <f>IF(OR(T864="",I864&lt;T864),"",IFERROR(AVERAGE(T864+M864*{7,8,9,10,11})/IF(G864="",I864,G864)-1,""))</f>
        <v/>
      </c>
      <c r="AG864" s="55">
        <f>IF(OR(T864="",I864&lt;T864),"",IFERROR(AF864/-(R864/IF(G864="",I864,G864)-1),""))</f>
        <v/>
      </c>
      <c r="AH864" s="94" t="n"/>
      <c r="AI864" s="94" t="n"/>
      <c r="AJ864" s="94" t="n"/>
      <c r="AK864" s="94" t="n"/>
      <c r="AL864" s="84" t="n"/>
    </row>
    <row r="865">
      <c r="A865" s="64" t="n"/>
      <c r="B865" s="65" t="n"/>
      <c r="C865" s="66" t="n"/>
      <c r="D865" s="67" t="n"/>
      <c r="E865" s="68" t="n"/>
      <c r="F865" s="47">
        <f>IF(A865="","",IF(MIN(H865,MAX(J865:K865))=0,"",MIN(H865,MAX(J865:K865))))</f>
        <v/>
      </c>
      <c r="G865" s="74" t="n"/>
      <c r="H865" s="49">
        <f>IF(M865="","",IFERROR(ROUND(AVERAGE(T865+M865*{7,8,9,10,11})/1.21,4),""))</f>
        <v/>
      </c>
      <c r="I865" s="76" t="n"/>
      <c r="J865" s="77" t="n"/>
      <c r="K865" s="74" t="n"/>
      <c r="L865" s="78" t="n"/>
      <c r="M865" s="77" t="n"/>
      <c r="N865" s="53">
        <f>IF(M865="","",IFERROR(M865/I865,""))</f>
        <v/>
      </c>
      <c r="O865" s="50">
        <f>IF(A865="","",IFERROR((IF(G865="",I865,G865)-T865)/M865,""))</f>
        <v/>
      </c>
      <c r="P865" s="50">
        <f>IFERROR((I865/T865-1)/N865,"")</f>
        <v/>
      </c>
      <c r="Q865" s="46">
        <f>IF(OR(T865="",I865&lt;T865),"",IFERROR(R865/IF(G865="",I865,G865)-1,""))</f>
        <v/>
      </c>
      <c r="R865" s="48">
        <f>IF($M865="","",MAX(IF($G865="",$I865,$G865)*(1/1.1),IF($G865="",$I865,$G865)+(R$2*$M865)))</f>
        <v/>
      </c>
      <c r="S865" s="49">
        <f>IF($M865="","",MAX(IF($G865="",$I865,$G865)*(1/1.1),IF($G865="",$I865,$G865)+(S$2*$M865)))</f>
        <v/>
      </c>
      <c r="T865" s="82" t="n"/>
      <c r="U865" s="47">
        <f>IF(OR($M865="",$T865=""),"",$T865+(U$2*$M865))</f>
        <v/>
      </c>
      <c r="V865" s="48">
        <f>IF(OR($M865="",$T865=""),"",$T865+(V$2*$M865))</f>
        <v/>
      </c>
      <c r="W865" s="48">
        <f>IF(OR($M865="",$T865=""),"",$T865+(W$2*$M865))</f>
        <v/>
      </c>
      <c r="X865" s="49">
        <f>IF(OR($M865="",$T865=""),"",$T865+(X$2*$M865))</f>
        <v/>
      </c>
      <c r="Y865" s="47">
        <f>IF(OR($M865="",$T865=""),"",$T865+(Y$2*$M865))</f>
        <v/>
      </c>
      <c r="Z865" s="49">
        <f>IF(OR($M865="",$T865=""),"",$T865+(Z$2*$M865))</f>
        <v/>
      </c>
      <c r="AA865" s="51">
        <f>IF(OR($M865="",$T865=""),"",$T865+(AA$2*$M865))</f>
        <v/>
      </c>
      <c r="AB865" s="48">
        <f>IF(OR($M865="",$T865=""),"",$T865+(AB$2*$M865))</f>
        <v/>
      </c>
      <c r="AC865" s="48">
        <f>IF(OR($M865="",$T865=""),"",$T865+(AC$2*$M865))</f>
        <v/>
      </c>
      <c r="AD865" s="48">
        <f>IF(OR($M865="",$T865=""),"",$T865+(AD$2*$M865))</f>
        <v/>
      </c>
      <c r="AE865" s="49">
        <f>IF(OR($M865="",$T865=""),"",$T865+(AE$2*$M865))</f>
        <v/>
      </c>
      <c r="AF865" s="52">
        <f>IF(OR(T865="",I865&lt;T865),"",IFERROR(AVERAGE(T865+M865*{7,8,9,10,11})/IF(G865="",I865,G865)-1,""))</f>
        <v/>
      </c>
      <c r="AG865" s="55">
        <f>IF(OR(T865="",I865&lt;T865),"",IFERROR(AF865/-(R865/IF(G865="",I865,G865)-1),""))</f>
        <v/>
      </c>
      <c r="AH865" s="94" t="n"/>
      <c r="AI865" s="94" t="n"/>
      <c r="AJ865" s="94" t="n"/>
      <c r="AK865" s="94" t="n"/>
      <c r="AL865" s="84" t="n"/>
    </row>
    <row r="866">
      <c r="A866" s="64" t="n"/>
      <c r="B866" s="65" t="n"/>
      <c r="C866" s="66" t="n"/>
      <c r="D866" s="67" t="n"/>
      <c r="E866" s="68" t="n"/>
      <c r="F866" s="47">
        <f>IF(A866="","",IF(MIN(H866,MAX(J866:K866))=0,"",MIN(H866,MAX(J866:K866))))</f>
        <v/>
      </c>
      <c r="G866" s="74" t="n"/>
      <c r="H866" s="49">
        <f>IF(M866="","",IFERROR(ROUND(AVERAGE(T866+M866*{7,8,9,10,11})/1.21,4),""))</f>
        <v/>
      </c>
      <c r="I866" s="76" t="n"/>
      <c r="J866" s="77" t="n"/>
      <c r="K866" s="74" t="n"/>
      <c r="L866" s="78" t="n"/>
      <c r="M866" s="77" t="n"/>
      <c r="N866" s="53">
        <f>IF(M866="","",IFERROR(M866/I866,""))</f>
        <v/>
      </c>
      <c r="O866" s="50">
        <f>IF(A866="","",IFERROR((IF(G866="",I866,G866)-T866)/M866,""))</f>
        <v/>
      </c>
      <c r="P866" s="50">
        <f>IFERROR((I866/T866-1)/N866,"")</f>
        <v/>
      </c>
      <c r="Q866" s="46">
        <f>IF(OR(T866="",I866&lt;T866),"",IFERROR(R866/IF(G866="",I866,G866)-1,""))</f>
        <v/>
      </c>
      <c r="R866" s="48">
        <f>IF($M866="","",MAX(IF($G866="",$I866,$G866)*(1/1.1),IF($G866="",$I866,$G866)+(R$2*$M866)))</f>
        <v/>
      </c>
      <c r="S866" s="49">
        <f>IF($M866="","",MAX(IF($G866="",$I866,$G866)*(1/1.1),IF($G866="",$I866,$G866)+(S$2*$M866)))</f>
        <v/>
      </c>
      <c r="T866" s="82" t="n"/>
      <c r="U866" s="47">
        <f>IF(OR($M866="",$T866=""),"",$T866+(U$2*$M866))</f>
        <v/>
      </c>
      <c r="V866" s="48">
        <f>IF(OR($M866="",$T866=""),"",$T866+(V$2*$M866))</f>
        <v/>
      </c>
      <c r="W866" s="48">
        <f>IF(OR($M866="",$T866=""),"",$T866+(W$2*$M866))</f>
        <v/>
      </c>
      <c r="X866" s="49">
        <f>IF(OR($M866="",$T866=""),"",$T866+(X$2*$M866))</f>
        <v/>
      </c>
      <c r="Y866" s="47">
        <f>IF(OR($M866="",$T866=""),"",$T866+(Y$2*$M866))</f>
        <v/>
      </c>
      <c r="Z866" s="49">
        <f>IF(OR($M866="",$T866=""),"",$T866+(Z$2*$M866))</f>
        <v/>
      </c>
      <c r="AA866" s="51">
        <f>IF(OR($M866="",$T866=""),"",$T866+(AA$2*$M866))</f>
        <v/>
      </c>
      <c r="AB866" s="48">
        <f>IF(OR($M866="",$T866=""),"",$T866+(AB$2*$M866))</f>
        <v/>
      </c>
      <c r="AC866" s="48">
        <f>IF(OR($M866="",$T866=""),"",$T866+(AC$2*$M866))</f>
        <v/>
      </c>
      <c r="AD866" s="48">
        <f>IF(OR($M866="",$T866=""),"",$T866+(AD$2*$M866))</f>
        <v/>
      </c>
      <c r="AE866" s="49">
        <f>IF(OR($M866="",$T866=""),"",$T866+(AE$2*$M866))</f>
        <v/>
      </c>
      <c r="AF866" s="52">
        <f>IF(OR(T866="",I866&lt;T866),"",IFERROR(AVERAGE(T866+M866*{7,8,9,10,11})/IF(G866="",I866,G866)-1,""))</f>
        <v/>
      </c>
      <c r="AG866" s="55">
        <f>IF(OR(T866="",I866&lt;T866),"",IFERROR(AF866/-(R866/IF(G866="",I866,G866)-1),""))</f>
        <v/>
      </c>
      <c r="AH866" s="94" t="n"/>
      <c r="AI866" s="94" t="n"/>
      <c r="AJ866" s="94" t="n"/>
      <c r="AK866" s="94" t="n"/>
      <c r="AL866" s="84" t="n"/>
    </row>
    <row r="867">
      <c r="A867" s="64" t="n"/>
      <c r="B867" s="65" t="n"/>
      <c r="C867" s="66" t="n"/>
      <c r="D867" s="67" t="n"/>
      <c r="E867" s="68" t="n"/>
      <c r="F867" s="47">
        <f>IF(A867="","",IF(MIN(H867,MAX(J867:K867))=0,"",MIN(H867,MAX(J867:K867))))</f>
        <v/>
      </c>
      <c r="G867" s="74" t="n"/>
      <c r="H867" s="49">
        <f>IF(M867="","",IFERROR(ROUND(AVERAGE(T867+M867*{7,8,9,10,11})/1.21,4),""))</f>
        <v/>
      </c>
      <c r="I867" s="76" t="n"/>
      <c r="J867" s="77" t="n"/>
      <c r="K867" s="74" t="n"/>
      <c r="L867" s="78" t="n"/>
      <c r="M867" s="77" t="n"/>
      <c r="N867" s="53">
        <f>IF(M867="","",IFERROR(M867/I867,""))</f>
        <v/>
      </c>
      <c r="O867" s="50">
        <f>IF(A867="","",IFERROR((IF(G867="",I867,G867)-T867)/M867,""))</f>
        <v/>
      </c>
      <c r="P867" s="50">
        <f>IFERROR((I867/T867-1)/N867,"")</f>
        <v/>
      </c>
      <c r="Q867" s="46">
        <f>IF(OR(T867="",I867&lt;T867),"",IFERROR(R867/IF(G867="",I867,G867)-1,""))</f>
        <v/>
      </c>
      <c r="R867" s="48">
        <f>IF($M867="","",MAX(IF($G867="",$I867,$G867)*(1/1.1),IF($G867="",$I867,$G867)+(R$2*$M867)))</f>
        <v/>
      </c>
      <c r="S867" s="49">
        <f>IF($M867="","",MAX(IF($G867="",$I867,$G867)*(1/1.1),IF($G867="",$I867,$G867)+(S$2*$M867)))</f>
        <v/>
      </c>
      <c r="T867" s="82" t="n"/>
      <c r="U867" s="47">
        <f>IF(OR($M867="",$T867=""),"",$T867+(U$2*$M867))</f>
        <v/>
      </c>
      <c r="V867" s="48">
        <f>IF(OR($M867="",$T867=""),"",$T867+(V$2*$M867))</f>
        <v/>
      </c>
      <c r="W867" s="48">
        <f>IF(OR($M867="",$T867=""),"",$T867+(W$2*$M867))</f>
        <v/>
      </c>
      <c r="X867" s="49">
        <f>IF(OR($M867="",$T867=""),"",$T867+(X$2*$M867))</f>
        <v/>
      </c>
      <c r="Y867" s="47">
        <f>IF(OR($M867="",$T867=""),"",$T867+(Y$2*$M867))</f>
        <v/>
      </c>
      <c r="Z867" s="49">
        <f>IF(OR($M867="",$T867=""),"",$T867+(Z$2*$M867))</f>
        <v/>
      </c>
      <c r="AA867" s="51">
        <f>IF(OR($M867="",$T867=""),"",$T867+(AA$2*$M867))</f>
        <v/>
      </c>
      <c r="AB867" s="48">
        <f>IF(OR($M867="",$T867=""),"",$T867+(AB$2*$M867))</f>
        <v/>
      </c>
      <c r="AC867" s="48">
        <f>IF(OR($M867="",$T867=""),"",$T867+(AC$2*$M867))</f>
        <v/>
      </c>
      <c r="AD867" s="48">
        <f>IF(OR($M867="",$T867=""),"",$T867+(AD$2*$M867))</f>
        <v/>
      </c>
      <c r="AE867" s="49">
        <f>IF(OR($M867="",$T867=""),"",$T867+(AE$2*$M867))</f>
        <v/>
      </c>
      <c r="AF867" s="52">
        <f>IF(OR(T867="",I867&lt;T867),"",IFERROR(AVERAGE(T867+M867*{7,8,9,10,11})/IF(G867="",I867,G867)-1,""))</f>
        <v/>
      </c>
      <c r="AG867" s="55">
        <f>IF(OR(T867="",I867&lt;T867),"",IFERROR(AF867/-(R867/IF(G867="",I867,G867)-1),""))</f>
        <v/>
      </c>
      <c r="AH867" s="94" t="n"/>
      <c r="AI867" s="94" t="n"/>
      <c r="AJ867" s="94" t="n"/>
      <c r="AK867" s="94" t="n"/>
      <c r="AL867" s="84" t="n"/>
    </row>
    <row r="868">
      <c r="A868" s="64" t="n"/>
      <c r="B868" s="65" t="n"/>
      <c r="C868" s="66" t="n"/>
      <c r="D868" s="67" t="n"/>
      <c r="E868" s="68" t="n"/>
      <c r="F868" s="47">
        <f>IF(A868="","",IF(MIN(H868,MAX(J868:K868))=0,"",MIN(H868,MAX(J868:K868))))</f>
        <v/>
      </c>
      <c r="G868" s="74" t="n"/>
      <c r="H868" s="49">
        <f>IF(M868="","",IFERROR(ROUND(AVERAGE(T868+M868*{7,8,9,10,11})/1.21,4),""))</f>
        <v/>
      </c>
      <c r="I868" s="76" t="n"/>
      <c r="J868" s="77" t="n"/>
      <c r="K868" s="74" t="n"/>
      <c r="L868" s="78" t="n"/>
      <c r="M868" s="77" t="n"/>
      <c r="N868" s="53">
        <f>IF(M868="","",IFERROR(M868/I868,""))</f>
        <v/>
      </c>
      <c r="O868" s="50">
        <f>IF(A868="","",IFERROR((IF(G868="",I868,G868)-T868)/M868,""))</f>
        <v/>
      </c>
      <c r="P868" s="50">
        <f>IFERROR((I868/T868-1)/N868,"")</f>
        <v/>
      </c>
      <c r="Q868" s="46">
        <f>IF(OR(T868="",I868&lt;T868),"",IFERROR(R868/IF(G868="",I868,G868)-1,""))</f>
        <v/>
      </c>
      <c r="R868" s="48">
        <f>IF($M868="","",MAX(IF($G868="",$I868,$G868)*(1/1.1),IF($G868="",$I868,$G868)+(R$2*$M868)))</f>
        <v/>
      </c>
      <c r="S868" s="49">
        <f>IF($M868="","",MAX(IF($G868="",$I868,$G868)*(1/1.1),IF($G868="",$I868,$G868)+(S$2*$M868)))</f>
        <v/>
      </c>
      <c r="T868" s="82" t="n"/>
      <c r="U868" s="47">
        <f>IF(OR($M868="",$T868=""),"",$T868+(U$2*$M868))</f>
        <v/>
      </c>
      <c r="V868" s="48">
        <f>IF(OR($M868="",$T868=""),"",$T868+(V$2*$M868))</f>
        <v/>
      </c>
      <c r="W868" s="48">
        <f>IF(OR($M868="",$T868=""),"",$T868+(W$2*$M868))</f>
        <v/>
      </c>
      <c r="X868" s="49">
        <f>IF(OR($M868="",$T868=""),"",$T868+(X$2*$M868))</f>
        <v/>
      </c>
      <c r="Y868" s="47">
        <f>IF(OR($M868="",$T868=""),"",$T868+(Y$2*$M868))</f>
        <v/>
      </c>
      <c r="Z868" s="49">
        <f>IF(OR($M868="",$T868=""),"",$T868+(Z$2*$M868))</f>
        <v/>
      </c>
      <c r="AA868" s="51">
        <f>IF(OR($M868="",$T868=""),"",$T868+(AA$2*$M868))</f>
        <v/>
      </c>
      <c r="AB868" s="48">
        <f>IF(OR($M868="",$T868=""),"",$T868+(AB$2*$M868))</f>
        <v/>
      </c>
      <c r="AC868" s="48">
        <f>IF(OR($M868="",$T868=""),"",$T868+(AC$2*$M868))</f>
        <v/>
      </c>
      <c r="AD868" s="48">
        <f>IF(OR($M868="",$T868=""),"",$T868+(AD$2*$M868))</f>
        <v/>
      </c>
      <c r="AE868" s="49">
        <f>IF(OR($M868="",$T868=""),"",$T868+(AE$2*$M868))</f>
        <v/>
      </c>
      <c r="AF868" s="52">
        <f>IF(OR(T868="",I868&lt;T868),"",IFERROR(AVERAGE(T868+M868*{7,8,9,10,11})/IF(G868="",I868,G868)-1,""))</f>
        <v/>
      </c>
      <c r="AG868" s="55">
        <f>IF(OR(T868="",I868&lt;T868),"",IFERROR(AF868/-(R868/IF(G868="",I868,G868)-1),""))</f>
        <v/>
      </c>
      <c r="AH868" s="94" t="n"/>
      <c r="AI868" s="94" t="n"/>
      <c r="AJ868" s="94" t="n"/>
      <c r="AK868" s="94" t="n"/>
      <c r="AL868" s="84" t="n"/>
    </row>
    <row r="869">
      <c r="A869" s="64" t="n"/>
      <c r="B869" s="65" t="n"/>
      <c r="C869" s="66" t="n"/>
      <c r="D869" s="67" t="n"/>
      <c r="E869" s="68" t="n"/>
      <c r="F869" s="47">
        <f>IF(A869="","",IF(MIN(H869,MAX(J869:K869))=0,"",MIN(H869,MAX(J869:K869))))</f>
        <v/>
      </c>
      <c r="G869" s="74" t="n"/>
      <c r="H869" s="49">
        <f>IF(M869="","",IFERROR(ROUND(AVERAGE(T869+M869*{7,8,9,10,11})/1.21,4),""))</f>
        <v/>
      </c>
      <c r="I869" s="76" t="n"/>
      <c r="J869" s="77" t="n"/>
      <c r="K869" s="74" t="n"/>
      <c r="L869" s="78" t="n"/>
      <c r="M869" s="77" t="n"/>
      <c r="N869" s="53">
        <f>IF(M869="","",IFERROR(M869/I869,""))</f>
        <v/>
      </c>
      <c r="O869" s="50">
        <f>IF(A869="","",IFERROR((IF(G869="",I869,G869)-T869)/M869,""))</f>
        <v/>
      </c>
      <c r="P869" s="50">
        <f>IFERROR((I869/T869-1)/N869,"")</f>
        <v/>
      </c>
      <c r="Q869" s="46">
        <f>IF(OR(T869="",I869&lt;T869),"",IFERROR(R869/IF(G869="",I869,G869)-1,""))</f>
        <v/>
      </c>
      <c r="R869" s="48">
        <f>IF($M869="","",MAX(IF($G869="",$I869,$G869)*(1/1.1),IF($G869="",$I869,$G869)+(R$2*$M869)))</f>
        <v/>
      </c>
      <c r="S869" s="49">
        <f>IF($M869="","",MAX(IF($G869="",$I869,$G869)*(1/1.1),IF($G869="",$I869,$G869)+(S$2*$M869)))</f>
        <v/>
      </c>
      <c r="T869" s="82" t="n"/>
      <c r="U869" s="47">
        <f>IF(OR($M869="",$T869=""),"",$T869+(U$2*$M869))</f>
        <v/>
      </c>
      <c r="V869" s="48">
        <f>IF(OR($M869="",$T869=""),"",$T869+(V$2*$M869))</f>
        <v/>
      </c>
      <c r="W869" s="48">
        <f>IF(OR($M869="",$T869=""),"",$T869+(W$2*$M869))</f>
        <v/>
      </c>
      <c r="X869" s="49">
        <f>IF(OR($M869="",$T869=""),"",$T869+(X$2*$M869))</f>
        <v/>
      </c>
      <c r="Y869" s="47">
        <f>IF(OR($M869="",$T869=""),"",$T869+(Y$2*$M869))</f>
        <v/>
      </c>
      <c r="Z869" s="49">
        <f>IF(OR($M869="",$T869=""),"",$T869+(Z$2*$M869))</f>
        <v/>
      </c>
      <c r="AA869" s="51">
        <f>IF(OR($M869="",$T869=""),"",$T869+(AA$2*$M869))</f>
        <v/>
      </c>
      <c r="AB869" s="48">
        <f>IF(OR($M869="",$T869=""),"",$T869+(AB$2*$M869))</f>
        <v/>
      </c>
      <c r="AC869" s="48">
        <f>IF(OR($M869="",$T869=""),"",$T869+(AC$2*$M869))</f>
        <v/>
      </c>
      <c r="AD869" s="48">
        <f>IF(OR($M869="",$T869=""),"",$T869+(AD$2*$M869))</f>
        <v/>
      </c>
      <c r="AE869" s="49">
        <f>IF(OR($M869="",$T869=""),"",$T869+(AE$2*$M869))</f>
        <v/>
      </c>
      <c r="AF869" s="52">
        <f>IF(OR(T869="",I869&lt;T869),"",IFERROR(AVERAGE(T869+M869*{7,8,9,10,11})/IF(G869="",I869,G869)-1,""))</f>
        <v/>
      </c>
      <c r="AG869" s="55">
        <f>IF(OR(T869="",I869&lt;T869),"",IFERROR(AF869/-(R869/IF(G869="",I869,G869)-1),""))</f>
        <v/>
      </c>
      <c r="AH869" s="94" t="n"/>
      <c r="AI869" s="94" t="n"/>
      <c r="AJ869" s="94" t="n"/>
      <c r="AK869" s="94" t="n"/>
      <c r="AL869" s="84" t="n"/>
    </row>
    <row r="870">
      <c r="A870" s="64" t="n"/>
      <c r="B870" s="65" t="n"/>
      <c r="C870" s="66" t="n"/>
      <c r="D870" s="67" t="n"/>
      <c r="E870" s="68" t="n"/>
      <c r="F870" s="47">
        <f>IF(A870="","",IF(MIN(H870,MAX(J870:K870))=0,"",MIN(H870,MAX(J870:K870))))</f>
        <v/>
      </c>
      <c r="G870" s="74" t="n"/>
      <c r="H870" s="49">
        <f>IF(M870="","",IFERROR(ROUND(AVERAGE(T870+M870*{7,8,9,10,11})/1.21,4),""))</f>
        <v/>
      </c>
      <c r="I870" s="76" t="n"/>
      <c r="J870" s="77" t="n"/>
      <c r="K870" s="74" t="n"/>
      <c r="L870" s="78" t="n"/>
      <c r="M870" s="77" t="n"/>
      <c r="N870" s="53">
        <f>IF(M870="","",IFERROR(M870/I870,""))</f>
        <v/>
      </c>
      <c r="O870" s="50">
        <f>IF(A870="","",IFERROR((IF(G870="",I870,G870)-T870)/M870,""))</f>
        <v/>
      </c>
      <c r="P870" s="50">
        <f>IFERROR((I870/T870-1)/N870,"")</f>
        <v/>
      </c>
      <c r="Q870" s="46">
        <f>IF(OR(T870="",I870&lt;T870),"",IFERROR(R870/IF(G870="",I870,G870)-1,""))</f>
        <v/>
      </c>
      <c r="R870" s="48">
        <f>IF($M870="","",MAX(IF($G870="",$I870,$G870)*(1/1.1),IF($G870="",$I870,$G870)+(R$2*$M870)))</f>
        <v/>
      </c>
      <c r="S870" s="49">
        <f>IF($M870="","",MAX(IF($G870="",$I870,$G870)*(1/1.1),IF($G870="",$I870,$G870)+(S$2*$M870)))</f>
        <v/>
      </c>
      <c r="T870" s="82" t="n"/>
      <c r="U870" s="47">
        <f>IF(OR($M870="",$T870=""),"",$T870+(U$2*$M870))</f>
        <v/>
      </c>
      <c r="V870" s="48">
        <f>IF(OR($M870="",$T870=""),"",$T870+(V$2*$M870))</f>
        <v/>
      </c>
      <c r="W870" s="48">
        <f>IF(OR($M870="",$T870=""),"",$T870+(W$2*$M870))</f>
        <v/>
      </c>
      <c r="X870" s="49">
        <f>IF(OR($M870="",$T870=""),"",$T870+(X$2*$M870))</f>
        <v/>
      </c>
      <c r="Y870" s="47">
        <f>IF(OR($M870="",$T870=""),"",$T870+(Y$2*$M870))</f>
        <v/>
      </c>
      <c r="Z870" s="49">
        <f>IF(OR($M870="",$T870=""),"",$T870+(Z$2*$M870))</f>
        <v/>
      </c>
      <c r="AA870" s="51">
        <f>IF(OR($M870="",$T870=""),"",$T870+(AA$2*$M870))</f>
        <v/>
      </c>
      <c r="AB870" s="48">
        <f>IF(OR($M870="",$T870=""),"",$T870+(AB$2*$M870))</f>
        <v/>
      </c>
      <c r="AC870" s="48">
        <f>IF(OR($M870="",$T870=""),"",$T870+(AC$2*$M870))</f>
        <v/>
      </c>
      <c r="AD870" s="48">
        <f>IF(OR($M870="",$T870=""),"",$T870+(AD$2*$M870))</f>
        <v/>
      </c>
      <c r="AE870" s="49">
        <f>IF(OR($M870="",$T870=""),"",$T870+(AE$2*$M870))</f>
        <v/>
      </c>
      <c r="AF870" s="52">
        <f>IF(OR(T870="",I870&lt;T870),"",IFERROR(AVERAGE(T870+M870*{7,8,9,10,11})/IF(G870="",I870,G870)-1,""))</f>
        <v/>
      </c>
      <c r="AG870" s="55">
        <f>IF(OR(T870="",I870&lt;T870),"",IFERROR(AF870/-(R870/IF(G870="",I870,G870)-1),""))</f>
        <v/>
      </c>
      <c r="AH870" s="94" t="n"/>
      <c r="AI870" s="94" t="n"/>
      <c r="AJ870" s="94" t="n"/>
      <c r="AK870" s="94" t="n"/>
      <c r="AL870" s="84" t="n"/>
    </row>
    <row r="871">
      <c r="A871" s="64" t="n"/>
      <c r="B871" s="65" t="n"/>
      <c r="C871" s="66" t="n"/>
      <c r="D871" s="67" t="n"/>
      <c r="E871" s="68" t="n"/>
      <c r="F871" s="47">
        <f>IF(A871="","",IF(MIN(H871,MAX(J871:K871))=0,"",MIN(H871,MAX(J871:K871))))</f>
        <v/>
      </c>
      <c r="G871" s="74" t="n"/>
      <c r="H871" s="49">
        <f>IF(M871="","",IFERROR(ROUND(AVERAGE(T871+M871*{7,8,9,10,11})/1.21,4),""))</f>
        <v/>
      </c>
      <c r="I871" s="76" t="n"/>
      <c r="J871" s="77" t="n"/>
      <c r="K871" s="74" t="n"/>
      <c r="L871" s="78" t="n"/>
      <c r="M871" s="77" t="n"/>
      <c r="N871" s="53">
        <f>IF(M871="","",IFERROR(M871/I871,""))</f>
        <v/>
      </c>
      <c r="O871" s="50">
        <f>IF(A871="","",IFERROR((IF(G871="",I871,G871)-T871)/M871,""))</f>
        <v/>
      </c>
      <c r="P871" s="50">
        <f>IFERROR((I871/T871-1)/N871,"")</f>
        <v/>
      </c>
      <c r="Q871" s="46">
        <f>IF(OR(T871="",I871&lt;T871),"",IFERROR(R871/IF(G871="",I871,G871)-1,""))</f>
        <v/>
      </c>
      <c r="R871" s="48">
        <f>IF($M871="","",MAX(IF($G871="",$I871,$G871)*(1/1.1),IF($G871="",$I871,$G871)+(R$2*$M871)))</f>
        <v/>
      </c>
      <c r="S871" s="49">
        <f>IF($M871="","",MAX(IF($G871="",$I871,$G871)*(1/1.1),IF($G871="",$I871,$G871)+(S$2*$M871)))</f>
        <v/>
      </c>
      <c r="T871" s="82" t="n"/>
      <c r="U871" s="47">
        <f>IF(OR($M871="",$T871=""),"",$T871+(U$2*$M871))</f>
        <v/>
      </c>
      <c r="V871" s="48">
        <f>IF(OR($M871="",$T871=""),"",$T871+(V$2*$M871))</f>
        <v/>
      </c>
      <c r="W871" s="48">
        <f>IF(OR($M871="",$T871=""),"",$T871+(W$2*$M871))</f>
        <v/>
      </c>
      <c r="X871" s="49">
        <f>IF(OR($M871="",$T871=""),"",$T871+(X$2*$M871))</f>
        <v/>
      </c>
      <c r="Y871" s="47">
        <f>IF(OR($M871="",$T871=""),"",$T871+(Y$2*$M871))</f>
        <v/>
      </c>
      <c r="Z871" s="49">
        <f>IF(OR($M871="",$T871=""),"",$T871+(Z$2*$M871))</f>
        <v/>
      </c>
      <c r="AA871" s="51">
        <f>IF(OR($M871="",$T871=""),"",$T871+(AA$2*$M871))</f>
        <v/>
      </c>
      <c r="AB871" s="48">
        <f>IF(OR($M871="",$T871=""),"",$T871+(AB$2*$M871))</f>
        <v/>
      </c>
      <c r="AC871" s="48">
        <f>IF(OR($M871="",$T871=""),"",$T871+(AC$2*$M871))</f>
        <v/>
      </c>
      <c r="AD871" s="48">
        <f>IF(OR($M871="",$T871=""),"",$T871+(AD$2*$M871))</f>
        <v/>
      </c>
      <c r="AE871" s="49">
        <f>IF(OR($M871="",$T871=""),"",$T871+(AE$2*$M871))</f>
        <v/>
      </c>
      <c r="AF871" s="52">
        <f>IF(OR(T871="",I871&lt;T871),"",IFERROR(AVERAGE(T871+M871*{7,8,9,10,11})/IF(G871="",I871,G871)-1,""))</f>
        <v/>
      </c>
      <c r="AG871" s="55">
        <f>IF(OR(T871="",I871&lt;T871),"",IFERROR(AF871/-(R871/IF(G871="",I871,G871)-1),""))</f>
        <v/>
      </c>
      <c r="AH871" s="94" t="n"/>
      <c r="AI871" s="94" t="n"/>
      <c r="AJ871" s="94" t="n"/>
      <c r="AK871" s="94" t="n"/>
      <c r="AL871" s="84" t="n"/>
    </row>
    <row r="872">
      <c r="A872" s="64" t="n"/>
      <c r="B872" s="65" t="n"/>
      <c r="C872" s="66" t="n"/>
      <c r="D872" s="67" t="n"/>
      <c r="E872" s="68" t="n"/>
      <c r="F872" s="47">
        <f>IF(A872="","",IF(MIN(H872,MAX(J872:K872))=0,"",MIN(H872,MAX(J872:K872))))</f>
        <v/>
      </c>
      <c r="G872" s="74" t="n"/>
      <c r="H872" s="49">
        <f>IF(M872="","",IFERROR(ROUND(AVERAGE(T872+M872*{7,8,9,10,11})/1.21,4),""))</f>
        <v/>
      </c>
      <c r="I872" s="76" t="n"/>
      <c r="J872" s="77" t="n"/>
      <c r="K872" s="74" t="n"/>
      <c r="L872" s="78" t="n"/>
      <c r="M872" s="77" t="n"/>
      <c r="N872" s="53">
        <f>IF(M872="","",IFERROR(M872/I872,""))</f>
        <v/>
      </c>
      <c r="O872" s="50">
        <f>IF(A872="","",IFERROR((IF(G872="",I872,G872)-T872)/M872,""))</f>
        <v/>
      </c>
      <c r="P872" s="50">
        <f>IFERROR((I872/T872-1)/N872,"")</f>
        <v/>
      </c>
      <c r="Q872" s="46">
        <f>IF(OR(T872="",I872&lt;T872),"",IFERROR(R872/IF(G872="",I872,G872)-1,""))</f>
        <v/>
      </c>
      <c r="R872" s="48">
        <f>IF($M872="","",MAX(IF($G872="",$I872,$G872)*(1/1.1),IF($G872="",$I872,$G872)+(R$2*$M872)))</f>
        <v/>
      </c>
      <c r="S872" s="49">
        <f>IF($M872="","",MAX(IF($G872="",$I872,$G872)*(1/1.1),IF($G872="",$I872,$G872)+(S$2*$M872)))</f>
        <v/>
      </c>
      <c r="T872" s="82" t="n"/>
      <c r="U872" s="47">
        <f>IF(OR($M872="",$T872=""),"",$T872+(U$2*$M872))</f>
        <v/>
      </c>
      <c r="V872" s="48">
        <f>IF(OR($M872="",$T872=""),"",$T872+(V$2*$M872))</f>
        <v/>
      </c>
      <c r="W872" s="48">
        <f>IF(OR($M872="",$T872=""),"",$T872+(W$2*$M872))</f>
        <v/>
      </c>
      <c r="X872" s="49">
        <f>IF(OR($M872="",$T872=""),"",$T872+(X$2*$M872))</f>
        <v/>
      </c>
      <c r="Y872" s="47">
        <f>IF(OR($M872="",$T872=""),"",$T872+(Y$2*$M872))</f>
        <v/>
      </c>
      <c r="Z872" s="49">
        <f>IF(OR($M872="",$T872=""),"",$T872+(Z$2*$M872))</f>
        <v/>
      </c>
      <c r="AA872" s="51">
        <f>IF(OR($M872="",$T872=""),"",$T872+(AA$2*$M872))</f>
        <v/>
      </c>
      <c r="AB872" s="48">
        <f>IF(OR($M872="",$T872=""),"",$T872+(AB$2*$M872))</f>
        <v/>
      </c>
      <c r="AC872" s="48">
        <f>IF(OR($M872="",$T872=""),"",$T872+(AC$2*$M872))</f>
        <v/>
      </c>
      <c r="AD872" s="48">
        <f>IF(OR($M872="",$T872=""),"",$T872+(AD$2*$M872))</f>
        <v/>
      </c>
      <c r="AE872" s="49">
        <f>IF(OR($M872="",$T872=""),"",$T872+(AE$2*$M872))</f>
        <v/>
      </c>
      <c r="AF872" s="52">
        <f>IF(OR(T872="",I872&lt;T872),"",IFERROR(AVERAGE(T872+M872*{7,8,9,10,11})/IF(G872="",I872,G872)-1,""))</f>
        <v/>
      </c>
      <c r="AG872" s="55">
        <f>IF(OR(T872="",I872&lt;T872),"",IFERROR(AF872/-(R872/IF(G872="",I872,G872)-1),""))</f>
        <v/>
      </c>
      <c r="AH872" s="94" t="n"/>
      <c r="AI872" s="94" t="n"/>
      <c r="AJ872" s="94" t="n"/>
      <c r="AK872" s="94" t="n"/>
      <c r="AL872" s="84" t="n"/>
    </row>
    <row r="873">
      <c r="A873" s="64" t="n"/>
      <c r="B873" s="65" t="n"/>
      <c r="C873" s="66" t="n"/>
      <c r="D873" s="67" t="n"/>
      <c r="E873" s="68" t="n"/>
      <c r="F873" s="47">
        <f>IF(A873="","",IF(MIN(H873,MAX(J873:K873))=0,"",MIN(H873,MAX(J873:K873))))</f>
        <v/>
      </c>
      <c r="G873" s="74" t="n"/>
      <c r="H873" s="49">
        <f>IF(M873="","",IFERROR(ROUND(AVERAGE(T873+M873*{7,8,9,10,11})/1.21,4),""))</f>
        <v/>
      </c>
      <c r="I873" s="76" t="n"/>
      <c r="J873" s="77" t="n"/>
      <c r="K873" s="74" t="n"/>
      <c r="L873" s="78" t="n"/>
      <c r="M873" s="77" t="n"/>
      <c r="N873" s="53">
        <f>IF(M873="","",IFERROR(M873/I873,""))</f>
        <v/>
      </c>
      <c r="O873" s="50">
        <f>IF(A873="","",IFERROR((IF(G873="",I873,G873)-T873)/M873,""))</f>
        <v/>
      </c>
      <c r="P873" s="50">
        <f>IFERROR((I873/T873-1)/N873,"")</f>
        <v/>
      </c>
      <c r="Q873" s="46">
        <f>IF(OR(T873="",I873&lt;T873),"",IFERROR(R873/IF(G873="",I873,G873)-1,""))</f>
        <v/>
      </c>
      <c r="R873" s="48">
        <f>IF($M873="","",MAX(IF($G873="",$I873,$G873)*(1/1.1),IF($G873="",$I873,$G873)+(R$2*$M873)))</f>
        <v/>
      </c>
      <c r="S873" s="49">
        <f>IF($M873="","",MAX(IF($G873="",$I873,$G873)*(1/1.1),IF($G873="",$I873,$G873)+(S$2*$M873)))</f>
        <v/>
      </c>
      <c r="T873" s="82" t="n"/>
      <c r="U873" s="47">
        <f>IF(OR($M873="",$T873=""),"",$T873+(U$2*$M873))</f>
        <v/>
      </c>
      <c r="V873" s="48">
        <f>IF(OR($M873="",$T873=""),"",$T873+(V$2*$M873))</f>
        <v/>
      </c>
      <c r="W873" s="48">
        <f>IF(OR($M873="",$T873=""),"",$T873+(W$2*$M873))</f>
        <v/>
      </c>
      <c r="X873" s="49">
        <f>IF(OR($M873="",$T873=""),"",$T873+(X$2*$M873))</f>
        <v/>
      </c>
      <c r="Y873" s="47">
        <f>IF(OR($M873="",$T873=""),"",$T873+(Y$2*$M873))</f>
        <v/>
      </c>
      <c r="Z873" s="49">
        <f>IF(OR($M873="",$T873=""),"",$T873+(Z$2*$M873))</f>
        <v/>
      </c>
      <c r="AA873" s="51">
        <f>IF(OR($M873="",$T873=""),"",$T873+(AA$2*$M873))</f>
        <v/>
      </c>
      <c r="AB873" s="48">
        <f>IF(OR($M873="",$T873=""),"",$T873+(AB$2*$M873))</f>
        <v/>
      </c>
      <c r="AC873" s="48">
        <f>IF(OR($M873="",$T873=""),"",$T873+(AC$2*$M873))</f>
        <v/>
      </c>
      <c r="AD873" s="48">
        <f>IF(OR($M873="",$T873=""),"",$T873+(AD$2*$M873))</f>
        <v/>
      </c>
      <c r="AE873" s="49">
        <f>IF(OR($M873="",$T873=""),"",$T873+(AE$2*$M873))</f>
        <v/>
      </c>
      <c r="AF873" s="52">
        <f>IF(OR(T873="",I873&lt;T873),"",IFERROR(AVERAGE(T873+M873*{7,8,9,10,11})/IF(G873="",I873,G873)-1,""))</f>
        <v/>
      </c>
      <c r="AG873" s="55">
        <f>IF(OR(T873="",I873&lt;T873),"",IFERROR(AF873/-(R873/IF(G873="",I873,G873)-1),""))</f>
        <v/>
      </c>
      <c r="AH873" s="94" t="n"/>
      <c r="AI873" s="94" t="n"/>
      <c r="AJ873" s="94" t="n"/>
      <c r="AK873" s="94" t="n"/>
      <c r="AL873" s="84" t="n"/>
    </row>
    <row r="874">
      <c r="A874" s="64" t="n"/>
      <c r="B874" s="65" t="n"/>
      <c r="C874" s="66" t="n"/>
      <c r="D874" s="67" t="n"/>
      <c r="E874" s="68" t="n"/>
      <c r="F874" s="47">
        <f>IF(A874="","",IF(MIN(H874,MAX(J874:K874))=0,"",MIN(H874,MAX(J874:K874))))</f>
        <v/>
      </c>
      <c r="G874" s="74" t="n"/>
      <c r="H874" s="49">
        <f>IF(M874="","",IFERROR(ROUND(AVERAGE(T874+M874*{7,8,9,10,11})/1.21,4),""))</f>
        <v/>
      </c>
      <c r="I874" s="76" t="n"/>
      <c r="J874" s="77" t="n"/>
      <c r="K874" s="74" t="n"/>
      <c r="L874" s="78" t="n"/>
      <c r="M874" s="77" t="n"/>
      <c r="N874" s="53">
        <f>IF(M874="","",IFERROR(M874/I874,""))</f>
        <v/>
      </c>
      <c r="O874" s="50">
        <f>IF(A874="","",IFERROR((IF(G874="",I874,G874)-T874)/M874,""))</f>
        <v/>
      </c>
      <c r="P874" s="50">
        <f>IFERROR((I874/T874-1)/N874,"")</f>
        <v/>
      </c>
      <c r="Q874" s="46">
        <f>IF(OR(T874="",I874&lt;T874),"",IFERROR(R874/IF(G874="",I874,G874)-1,""))</f>
        <v/>
      </c>
      <c r="R874" s="48">
        <f>IF($M874="","",MAX(IF($G874="",$I874,$G874)*(1/1.1),IF($G874="",$I874,$G874)+(R$2*$M874)))</f>
        <v/>
      </c>
      <c r="S874" s="49">
        <f>IF($M874="","",MAX(IF($G874="",$I874,$G874)*(1/1.1),IF($G874="",$I874,$G874)+(S$2*$M874)))</f>
        <v/>
      </c>
      <c r="T874" s="82" t="n"/>
      <c r="U874" s="47">
        <f>IF(OR($M874="",$T874=""),"",$T874+(U$2*$M874))</f>
        <v/>
      </c>
      <c r="V874" s="48">
        <f>IF(OR($M874="",$T874=""),"",$T874+(V$2*$M874))</f>
        <v/>
      </c>
      <c r="W874" s="48">
        <f>IF(OR($M874="",$T874=""),"",$T874+(W$2*$M874))</f>
        <v/>
      </c>
      <c r="X874" s="49">
        <f>IF(OR($M874="",$T874=""),"",$T874+(X$2*$M874))</f>
        <v/>
      </c>
      <c r="Y874" s="47">
        <f>IF(OR($M874="",$T874=""),"",$T874+(Y$2*$M874))</f>
        <v/>
      </c>
      <c r="Z874" s="49">
        <f>IF(OR($M874="",$T874=""),"",$T874+(Z$2*$M874))</f>
        <v/>
      </c>
      <c r="AA874" s="51">
        <f>IF(OR($M874="",$T874=""),"",$T874+(AA$2*$M874))</f>
        <v/>
      </c>
      <c r="AB874" s="48">
        <f>IF(OR($M874="",$T874=""),"",$T874+(AB$2*$M874))</f>
        <v/>
      </c>
      <c r="AC874" s="48">
        <f>IF(OR($M874="",$T874=""),"",$T874+(AC$2*$M874))</f>
        <v/>
      </c>
      <c r="AD874" s="48">
        <f>IF(OR($M874="",$T874=""),"",$T874+(AD$2*$M874))</f>
        <v/>
      </c>
      <c r="AE874" s="49">
        <f>IF(OR($M874="",$T874=""),"",$T874+(AE$2*$M874))</f>
        <v/>
      </c>
      <c r="AF874" s="52">
        <f>IF(OR(T874="",I874&lt;T874),"",IFERROR(AVERAGE(T874+M874*{7,8,9,10,11})/IF(G874="",I874,G874)-1,""))</f>
        <v/>
      </c>
      <c r="AG874" s="55">
        <f>IF(OR(T874="",I874&lt;T874),"",IFERROR(AF874/-(R874/IF(G874="",I874,G874)-1),""))</f>
        <v/>
      </c>
      <c r="AH874" s="94" t="n"/>
      <c r="AI874" s="94" t="n"/>
      <c r="AJ874" s="94" t="n"/>
      <c r="AK874" s="94" t="n"/>
      <c r="AL874" s="84" t="n"/>
    </row>
    <row r="875">
      <c r="A875" s="64" t="n"/>
      <c r="B875" s="65" t="n"/>
      <c r="C875" s="66" t="n"/>
      <c r="D875" s="67" t="n"/>
      <c r="E875" s="68" t="n"/>
      <c r="F875" s="47">
        <f>IF(A875="","",IF(MIN(H875,MAX(J875:K875))=0,"",MIN(H875,MAX(J875:K875))))</f>
        <v/>
      </c>
      <c r="G875" s="74" t="n"/>
      <c r="H875" s="49">
        <f>IF(M875="","",IFERROR(ROUND(AVERAGE(T875+M875*{7,8,9,10,11})/1.21,4),""))</f>
        <v/>
      </c>
      <c r="I875" s="76" t="n"/>
      <c r="J875" s="77" t="n"/>
      <c r="K875" s="74" t="n"/>
      <c r="L875" s="78" t="n"/>
      <c r="M875" s="77" t="n"/>
      <c r="N875" s="53">
        <f>IF(M875="","",IFERROR(M875/I875,""))</f>
        <v/>
      </c>
      <c r="O875" s="50">
        <f>IF(A875="","",IFERROR((IF(G875="",I875,G875)-T875)/M875,""))</f>
        <v/>
      </c>
      <c r="P875" s="50">
        <f>IFERROR((I875/T875-1)/N875,"")</f>
        <v/>
      </c>
      <c r="Q875" s="46">
        <f>IF(OR(T875="",I875&lt;T875),"",IFERROR(R875/IF(G875="",I875,G875)-1,""))</f>
        <v/>
      </c>
      <c r="R875" s="48">
        <f>IF($M875="","",MAX(IF($G875="",$I875,$G875)*(1/1.1),IF($G875="",$I875,$G875)+(R$2*$M875)))</f>
        <v/>
      </c>
      <c r="S875" s="49">
        <f>IF($M875="","",MAX(IF($G875="",$I875,$G875)*(1/1.1),IF($G875="",$I875,$G875)+(S$2*$M875)))</f>
        <v/>
      </c>
      <c r="T875" s="82" t="n"/>
      <c r="U875" s="47">
        <f>IF(OR($M875="",$T875=""),"",$T875+(U$2*$M875))</f>
        <v/>
      </c>
      <c r="V875" s="48">
        <f>IF(OR($M875="",$T875=""),"",$T875+(V$2*$M875))</f>
        <v/>
      </c>
      <c r="W875" s="48">
        <f>IF(OR($M875="",$T875=""),"",$T875+(W$2*$M875))</f>
        <v/>
      </c>
      <c r="X875" s="49">
        <f>IF(OR($M875="",$T875=""),"",$T875+(X$2*$M875))</f>
        <v/>
      </c>
      <c r="Y875" s="47">
        <f>IF(OR($M875="",$T875=""),"",$T875+(Y$2*$M875))</f>
        <v/>
      </c>
      <c r="Z875" s="49">
        <f>IF(OR($M875="",$T875=""),"",$T875+(Z$2*$M875))</f>
        <v/>
      </c>
      <c r="AA875" s="51">
        <f>IF(OR($M875="",$T875=""),"",$T875+(AA$2*$M875))</f>
        <v/>
      </c>
      <c r="AB875" s="48">
        <f>IF(OR($M875="",$T875=""),"",$T875+(AB$2*$M875))</f>
        <v/>
      </c>
      <c r="AC875" s="48">
        <f>IF(OR($M875="",$T875=""),"",$T875+(AC$2*$M875))</f>
        <v/>
      </c>
      <c r="AD875" s="48">
        <f>IF(OR($M875="",$T875=""),"",$T875+(AD$2*$M875))</f>
        <v/>
      </c>
      <c r="AE875" s="49">
        <f>IF(OR($M875="",$T875=""),"",$T875+(AE$2*$M875))</f>
        <v/>
      </c>
      <c r="AF875" s="52">
        <f>IF(OR(T875="",I875&lt;T875),"",IFERROR(AVERAGE(T875+M875*{7,8,9,10,11})/IF(G875="",I875,G875)-1,""))</f>
        <v/>
      </c>
      <c r="AG875" s="55">
        <f>IF(OR(T875="",I875&lt;T875),"",IFERROR(AF875/-(R875/IF(G875="",I875,G875)-1),""))</f>
        <v/>
      </c>
      <c r="AH875" s="94" t="n"/>
      <c r="AI875" s="94" t="n"/>
      <c r="AJ875" s="94" t="n"/>
      <c r="AK875" s="94" t="n"/>
      <c r="AL875" s="84" t="n"/>
    </row>
    <row r="876">
      <c r="A876" s="64" t="n"/>
      <c r="B876" s="65" t="n"/>
      <c r="C876" s="66" t="n"/>
      <c r="D876" s="67" t="n"/>
      <c r="E876" s="68" t="n"/>
      <c r="F876" s="47">
        <f>IF(A876="","",IF(MIN(H876,MAX(J876:K876))=0,"",MIN(H876,MAX(J876:K876))))</f>
        <v/>
      </c>
      <c r="G876" s="74" t="n"/>
      <c r="H876" s="49">
        <f>IF(M876="","",IFERROR(ROUND(AVERAGE(T876+M876*{7,8,9,10,11})/1.21,4),""))</f>
        <v/>
      </c>
      <c r="I876" s="76" t="n"/>
      <c r="J876" s="77" t="n"/>
      <c r="K876" s="74" t="n"/>
      <c r="L876" s="78" t="n"/>
      <c r="M876" s="77" t="n"/>
      <c r="N876" s="53">
        <f>IF(M876="","",IFERROR(M876/I876,""))</f>
        <v/>
      </c>
      <c r="O876" s="50">
        <f>IF(A876="","",IFERROR((IF(G876="",I876,G876)-T876)/M876,""))</f>
        <v/>
      </c>
      <c r="P876" s="50">
        <f>IFERROR((I876/T876-1)/N876,"")</f>
        <v/>
      </c>
      <c r="Q876" s="46">
        <f>IF(OR(T876="",I876&lt;T876),"",IFERROR(R876/IF(G876="",I876,G876)-1,""))</f>
        <v/>
      </c>
      <c r="R876" s="48">
        <f>IF($M876="","",MAX(IF($G876="",$I876,$G876)*(1/1.1),IF($G876="",$I876,$G876)+(R$2*$M876)))</f>
        <v/>
      </c>
      <c r="S876" s="49">
        <f>IF($M876="","",MAX(IF($G876="",$I876,$G876)*(1/1.1),IF($G876="",$I876,$G876)+(S$2*$M876)))</f>
        <v/>
      </c>
      <c r="T876" s="82" t="n"/>
      <c r="U876" s="47">
        <f>IF(OR($M876="",$T876=""),"",$T876+(U$2*$M876))</f>
        <v/>
      </c>
      <c r="V876" s="48">
        <f>IF(OR($M876="",$T876=""),"",$T876+(V$2*$M876))</f>
        <v/>
      </c>
      <c r="W876" s="48">
        <f>IF(OR($M876="",$T876=""),"",$T876+(W$2*$M876))</f>
        <v/>
      </c>
      <c r="X876" s="49">
        <f>IF(OR($M876="",$T876=""),"",$T876+(X$2*$M876))</f>
        <v/>
      </c>
      <c r="Y876" s="47">
        <f>IF(OR($M876="",$T876=""),"",$T876+(Y$2*$M876))</f>
        <v/>
      </c>
      <c r="Z876" s="49">
        <f>IF(OR($M876="",$T876=""),"",$T876+(Z$2*$M876))</f>
        <v/>
      </c>
      <c r="AA876" s="51">
        <f>IF(OR($M876="",$T876=""),"",$T876+(AA$2*$M876))</f>
        <v/>
      </c>
      <c r="AB876" s="48">
        <f>IF(OR($M876="",$T876=""),"",$T876+(AB$2*$M876))</f>
        <v/>
      </c>
      <c r="AC876" s="48">
        <f>IF(OR($M876="",$T876=""),"",$T876+(AC$2*$M876))</f>
        <v/>
      </c>
      <c r="AD876" s="48">
        <f>IF(OR($M876="",$T876=""),"",$T876+(AD$2*$M876))</f>
        <v/>
      </c>
      <c r="AE876" s="49">
        <f>IF(OR($M876="",$T876=""),"",$T876+(AE$2*$M876))</f>
        <v/>
      </c>
      <c r="AF876" s="52">
        <f>IF(OR(T876="",I876&lt;T876),"",IFERROR(AVERAGE(T876+M876*{7,8,9,10,11})/IF(G876="",I876,G876)-1,""))</f>
        <v/>
      </c>
      <c r="AG876" s="55">
        <f>IF(OR(T876="",I876&lt;T876),"",IFERROR(AF876/-(R876/IF(G876="",I876,G876)-1),""))</f>
        <v/>
      </c>
      <c r="AH876" s="94" t="n"/>
      <c r="AI876" s="94" t="n"/>
      <c r="AJ876" s="94" t="n"/>
      <c r="AK876" s="94" t="n"/>
      <c r="AL876" s="84" t="n"/>
    </row>
    <row r="877">
      <c r="A877" s="64" t="n"/>
      <c r="B877" s="65" t="n"/>
      <c r="C877" s="66" t="n"/>
      <c r="D877" s="67" t="n"/>
      <c r="E877" s="68" t="n"/>
      <c r="F877" s="47">
        <f>IF(A877="","",IF(MIN(H877,MAX(J877:K877))=0,"",MIN(H877,MAX(J877:K877))))</f>
        <v/>
      </c>
      <c r="G877" s="74" t="n"/>
      <c r="H877" s="49">
        <f>IF(M877="","",IFERROR(ROUND(AVERAGE(T877+M877*{7,8,9,10,11})/1.21,4),""))</f>
        <v/>
      </c>
      <c r="I877" s="76" t="n"/>
      <c r="J877" s="77" t="n"/>
      <c r="K877" s="74" t="n"/>
      <c r="L877" s="78" t="n"/>
      <c r="M877" s="77" t="n"/>
      <c r="N877" s="53">
        <f>IF(M877="","",IFERROR(M877/I877,""))</f>
        <v/>
      </c>
      <c r="O877" s="50">
        <f>IF(A877="","",IFERROR((IF(G877="",I877,G877)-T877)/M877,""))</f>
        <v/>
      </c>
      <c r="P877" s="50">
        <f>IFERROR((I877/T877-1)/N877,"")</f>
        <v/>
      </c>
      <c r="Q877" s="46">
        <f>IF(OR(T877="",I877&lt;T877),"",IFERROR(R877/IF(G877="",I877,G877)-1,""))</f>
        <v/>
      </c>
      <c r="R877" s="48">
        <f>IF($M877="","",MAX(IF($G877="",$I877,$G877)*(1/1.1),IF($G877="",$I877,$G877)+(R$2*$M877)))</f>
        <v/>
      </c>
      <c r="S877" s="49">
        <f>IF($M877="","",MAX(IF($G877="",$I877,$G877)*(1/1.1),IF($G877="",$I877,$G877)+(S$2*$M877)))</f>
        <v/>
      </c>
      <c r="T877" s="82" t="n"/>
      <c r="U877" s="47">
        <f>IF(OR($M877="",$T877=""),"",$T877+(U$2*$M877))</f>
        <v/>
      </c>
      <c r="V877" s="48">
        <f>IF(OR($M877="",$T877=""),"",$T877+(V$2*$M877))</f>
        <v/>
      </c>
      <c r="W877" s="48">
        <f>IF(OR($M877="",$T877=""),"",$T877+(W$2*$M877))</f>
        <v/>
      </c>
      <c r="X877" s="49">
        <f>IF(OR($M877="",$T877=""),"",$T877+(X$2*$M877))</f>
        <v/>
      </c>
      <c r="Y877" s="47">
        <f>IF(OR($M877="",$T877=""),"",$T877+(Y$2*$M877))</f>
        <v/>
      </c>
      <c r="Z877" s="49">
        <f>IF(OR($M877="",$T877=""),"",$T877+(Z$2*$M877))</f>
        <v/>
      </c>
      <c r="AA877" s="51">
        <f>IF(OR($M877="",$T877=""),"",$T877+(AA$2*$M877))</f>
        <v/>
      </c>
      <c r="AB877" s="48">
        <f>IF(OR($M877="",$T877=""),"",$T877+(AB$2*$M877))</f>
        <v/>
      </c>
      <c r="AC877" s="48">
        <f>IF(OR($M877="",$T877=""),"",$T877+(AC$2*$M877))</f>
        <v/>
      </c>
      <c r="AD877" s="48">
        <f>IF(OR($M877="",$T877=""),"",$T877+(AD$2*$M877))</f>
        <v/>
      </c>
      <c r="AE877" s="49">
        <f>IF(OR($M877="",$T877=""),"",$T877+(AE$2*$M877))</f>
        <v/>
      </c>
      <c r="AF877" s="52">
        <f>IF(OR(T877="",I877&lt;T877),"",IFERROR(AVERAGE(T877+M877*{7,8,9,10,11})/IF(G877="",I877,G877)-1,""))</f>
        <v/>
      </c>
      <c r="AG877" s="55">
        <f>IF(OR(T877="",I877&lt;T877),"",IFERROR(AF877/-(R877/IF(G877="",I877,G877)-1),""))</f>
        <v/>
      </c>
      <c r="AH877" s="94" t="n"/>
      <c r="AI877" s="94" t="n"/>
      <c r="AJ877" s="94" t="n"/>
      <c r="AK877" s="94" t="n"/>
      <c r="AL877" s="84" t="n"/>
    </row>
    <row r="878">
      <c r="A878" s="64" t="n"/>
      <c r="B878" s="65" t="n"/>
      <c r="C878" s="66" t="n"/>
      <c r="D878" s="67" t="n"/>
      <c r="E878" s="68" t="n"/>
      <c r="F878" s="47">
        <f>IF(A878="","",IF(MIN(H878,MAX(J878:K878))=0,"",MIN(H878,MAX(J878:K878))))</f>
        <v/>
      </c>
      <c r="G878" s="74" t="n"/>
      <c r="H878" s="49">
        <f>IF(M878="","",IFERROR(ROUND(AVERAGE(T878+M878*{7,8,9,10,11})/1.21,4),""))</f>
        <v/>
      </c>
      <c r="I878" s="76" t="n"/>
      <c r="J878" s="77" t="n"/>
      <c r="K878" s="74" t="n"/>
      <c r="L878" s="78" t="n"/>
      <c r="M878" s="77" t="n"/>
      <c r="N878" s="53">
        <f>IF(M878="","",IFERROR(M878/I878,""))</f>
        <v/>
      </c>
      <c r="O878" s="50">
        <f>IF(A878="","",IFERROR((IF(G878="",I878,G878)-T878)/M878,""))</f>
        <v/>
      </c>
      <c r="P878" s="50">
        <f>IFERROR((I878/T878-1)/N878,"")</f>
        <v/>
      </c>
      <c r="Q878" s="46">
        <f>IF(OR(T878="",I878&lt;T878),"",IFERROR(R878/IF(G878="",I878,G878)-1,""))</f>
        <v/>
      </c>
      <c r="R878" s="48">
        <f>IF($M878="","",MAX(IF($G878="",$I878,$G878)*(1/1.1),IF($G878="",$I878,$G878)+(R$2*$M878)))</f>
        <v/>
      </c>
      <c r="S878" s="49">
        <f>IF($M878="","",MAX(IF($G878="",$I878,$G878)*(1/1.1),IF($G878="",$I878,$G878)+(S$2*$M878)))</f>
        <v/>
      </c>
      <c r="T878" s="82" t="n"/>
      <c r="U878" s="47">
        <f>IF(OR($M878="",$T878=""),"",$T878+(U$2*$M878))</f>
        <v/>
      </c>
      <c r="V878" s="48">
        <f>IF(OR($M878="",$T878=""),"",$T878+(V$2*$M878))</f>
        <v/>
      </c>
      <c r="W878" s="48">
        <f>IF(OR($M878="",$T878=""),"",$T878+(W$2*$M878))</f>
        <v/>
      </c>
      <c r="X878" s="49">
        <f>IF(OR($M878="",$T878=""),"",$T878+(X$2*$M878))</f>
        <v/>
      </c>
      <c r="Y878" s="47">
        <f>IF(OR($M878="",$T878=""),"",$T878+(Y$2*$M878))</f>
        <v/>
      </c>
      <c r="Z878" s="49">
        <f>IF(OR($M878="",$T878=""),"",$T878+(Z$2*$M878))</f>
        <v/>
      </c>
      <c r="AA878" s="51">
        <f>IF(OR($M878="",$T878=""),"",$T878+(AA$2*$M878))</f>
        <v/>
      </c>
      <c r="AB878" s="48">
        <f>IF(OR($M878="",$T878=""),"",$T878+(AB$2*$M878))</f>
        <v/>
      </c>
      <c r="AC878" s="48">
        <f>IF(OR($M878="",$T878=""),"",$T878+(AC$2*$M878))</f>
        <v/>
      </c>
      <c r="AD878" s="48">
        <f>IF(OR($M878="",$T878=""),"",$T878+(AD$2*$M878))</f>
        <v/>
      </c>
      <c r="AE878" s="49">
        <f>IF(OR($M878="",$T878=""),"",$T878+(AE$2*$M878))</f>
        <v/>
      </c>
      <c r="AF878" s="52">
        <f>IF(OR(T878="",I878&lt;T878),"",IFERROR(AVERAGE(T878+M878*{7,8,9,10,11})/IF(G878="",I878,G878)-1,""))</f>
        <v/>
      </c>
      <c r="AG878" s="55">
        <f>IF(OR(T878="",I878&lt;T878),"",IFERROR(AF878/-(R878/IF(G878="",I878,G878)-1),""))</f>
        <v/>
      </c>
      <c r="AH878" s="94" t="n"/>
      <c r="AI878" s="94" t="n"/>
      <c r="AJ878" s="94" t="n"/>
      <c r="AK878" s="94" t="n"/>
      <c r="AL878" s="84" t="n"/>
    </row>
    <row r="879">
      <c r="A879" s="64" t="n"/>
      <c r="B879" s="65" t="n"/>
      <c r="C879" s="66" t="n"/>
      <c r="D879" s="67" t="n"/>
      <c r="E879" s="68" t="n"/>
      <c r="F879" s="47">
        <f>IF(A879="","",IF(MIN(H879,MAX(J879:K879))=0,"",MIN(H879,MAX(J879:K879))))</f>
        <v/>
      </c>
      <c r="G879" s="74" t="n"/>
      <c r="H879" s="49">
        <f>IF(M879="","",IFERROR(ROUND(AVERAGE(T879+M879*{7,8,9,10,11})/1.21,4),""))</f>
        <v/>
      </c>
      <c r="I879" s="76" t="n"/>
      <c r="J879" s="77" t="n"/>
      <c r="K879" s="74" t="n"/>
      <c r="L879" s="78" t="n"/>
      <c r="M879" s="77" t="n"/>
      <c r="N879" s="53">
        <f>IF(M879="","",IFERROR(M879/I879,""))</f>
        <v/>
      </c>
      <c r="O879" s="50">
        <f>IF(A879="","",IFERROR((IF(G879="",I879,G879)-T879)/M879,""))</f>
        <v/>
      </c>
      <c r="P879" s="50">
        <f>IFERROR((I879/T879-1)/N879,"")</f>
        <v/>
      </c>
      <c r="Q879" s="46">
        <f>IF(OR(T879="",I879&lt;T879),"",IFERROR(R879/IF(G879="",I879,G879)-1,""))</f>
        <v/>
      </c>
      <c r="R879" s="48">
        <f>IF($M879="","",MAX(IF($G879="",$I879,$G879)*(1/1.1),IF($G879="",$I879,$G879)+(R$2*$M879)))</f>
        <v/>
      </c>
      <c r="S879" s="49">
        <f>IF($M879="","",MAX(IF($G879="",$I879,$G879)*(1/1.1),IF($G879="",$I879,$G879)+(S$2*$M879)))</f>
        <v/>
      </c>
      <c r="T879" s="82" t="n"/>
      <c r="U879" s="47">
        <f>IF(OR($M879="",$T879=""),"",$T879+(U$2*$M879))</f>
        <v/>
      </c>
      <c r="V879" s="48">
        <f>IF(OR($M879="",$T879=""),"",$T879+(V$2*$M879))</f>
        <v/>
      </c>
      <c r="W879" s="48">
        <f>IF(OR($M879="",$T879=""),"",$T879+(W$2*$M879))</f>
        <v/>
      </c>
      <c r="X879" s="49">
        <f>IF(OR($M879="",$T879=""),"",$T879+(X$2*$M879))</f>
        <v/>
      </c>
      <c r="Y879" s="47">
        <f>IF(OR($M879="",$T879=""),"",$T879+(Y$2*$M879))</f>
        <v/>
      </c>
      <c r="Z879" s="49">
        <f>IF(OR($M879="",$T879=""),"",$T879+(Z$2*$M879))</f>
        <v/>
      </c>
      <c r="AA879" s="51">
        <f>IF(OR($M879="",$T879=""),"",$T879+(AA$2*$M879))</f>
        <v/>
      </c>
      <c r="AB879" s="48">
        <f>IF(OR($M879="",$T879=""),"",$T879+(AB$2*$M879))</f>
        <v/>
      </c>
      <c r="AC879" s="48">
        <f>IF(OR($M879="",$T879=""),"",$T879+(AC$2*$M879))</f>
        <v/>
      </c>
      <c r="AD879" s="48">
        <f>IF(OR($M879="",$T879=""),"",$T879+(AD$2*$M879))</f>
        <v/>
      </c>
      <c r="AE879" s="49">
        <f>IF(OR($M879="",$T879=""),"",$T879+(AE$2*$M879))</f>
        <v/>
      </c>
      <c r="AF879" s="52">
        <f>IF(OR(T879="",I879&lt;T879),"",IFERROR(AVERAGE(T879+M879*{7,8,9,10,11})/IF(G879="",I879,G879)-1,""))</f>
        <v/>
      </c>
      <c r="AG879" s="55">
        <f>IF(OR(T879="",I879&lt;T879),"",IFERROR(AF879/-(R879/IF(G879="",I879,G879)-1),""))</f>
        <v/>
      </c>
      <c r="AH879" s="94" t="n"/>
      <c r="AI879" s="94" t="n"/>
      <c r="AJ879" s="94" t="n"/>
      <c r="AK879" s="94" t="n"/>
      <c r="AL879" s="84" t="n"/>
    </row>
    <row r="880">
      <c r="A880" s="64" t="n"/>
      <c r="B880" s="65" t="n"/>
      <c r="C880" s="66" t="n"/>
      <c r="D880" s="67" t="n"/>
      <c r="E880" s="68" t="n"/>
      <c r="F880" s="47">
        <f>IF(A880="","",IF(MIN(H880,MAX(J880:K880))=0,"",MIN(H880,MAX(J880:K880))))</f>
        <v/>
      </c>
      <c r="G880" s="74" t="n"/>
      <c r="H880" s="49">
        <f>IF(M880="","",IFERROR(ROUND(AVERAGE(T880+M880*{7,8,9,10,11})/1.21,4),""))</f>
        <v/>
      </c>
      <c r="I880" s="76" t="n"/>
      <c r="J880" s="77" t="n"/>
      <c r="K880" s="74" t="n"/>
      <c r="L880" s="78" t="n"/>
      <c r="M880" s="77" t="n"/>
      <c r="N880" s="53">
        <f>IF(M880="","",IFERROR(M880/I880,""))</f>
        <v/>
      </c>
      <c r="O880" s="50">
        <f>IF(A880="","",IFERROR((IF(G880="",I880,G880)-T880)/M880,""))</f>
        <v/>
      </c>
      <c r="P880" s="50">
        <f>IFERROR((I880/T880-1)/N880,"")</f>
        <v/>
      </c>
      <c r="Q880" s="46">
        <f>IF(OR(T880="",I880&lt;T880),"",IFERROR(R880/IF(G880="",I880,G880)-1,""))</f>
        <v/>
      </c>
      <c r="R880" s="48">
        <f>IF($M880="","",MAX(IF($G880="",$I880,$G880)*(1/1.1),IF($G880="",$I880,$G880)+(R$2*$M880)))</f>
        <v/>
      </c>
      <c r="S880" s="49">
        <f>IF($M880="","",MAX(IF($G880="",$I880,$G880)*(1/1.1),IF($G880="",$I880,$G880)+(S$2*$M880)))</f>
        <v/>
      </c>
      <c r="T880" s="82" t="n"/>
      <c r="U880" s="47">
        <f>IF(OR($M880="",$T880=""),"",$T880+(U$2*$M880))</f>
        <v/>
      </c>
      <c r="V880" s="48">
        <f>IF(OR($M880="",$T880=""),"",$T880+(V$2*$M880))</f>
        <v/>
      </c>
      <c r="W880" s="48">
        <f>IF(OR($M880="",$T880=""),"",$T880+(W$2*$M880))</f>
        <v/>
      </c>
      <c r="X880" s="49">
        <f>IF(OR($M880="",$T880=""),"",$T880+(X$2*$M880))</f>
        <v/>
      </c>
      <c r="Y880" s="47">
        <f>IF(OR($M880="",$T880=""),"",$T880+(Y$2*$M880))</f>
        <v/>
      </c>
      <c r="Z880" s="49">
        <f>IF(OR($M880="",$T880=""),"",$T880+(Z$2*$M880))</f>
        <v/>
      </c>
      <c r="AA880" s="51">
        <f>IF(OR($M880="",$T880=""),"",$T880+(AA$2*$M880))</f>
        <v/>
      </c>
      <c r="AB880" s="48">
        <f>IF(OR($M880="",$T880=""),"",$T880+(AB$2*$M880))</f>
        <v/>
      </c>
      <c r="AC880" s="48">
        <f>IF(OR($M880="",$T880=""),"",$T880+(AC$2*$M880))</f>
        <v/>
      </c>
      <c r="AD880" s="48">
        <f>IF(OR($M880="",$T880=""),"",$T880+(AD$2*$M880))</f>
        <v/>
      </c>
      <c r="AE880" s="49">
        <f>IF(OR($M880="",$T880=""),"",$T880+(AE$2*$M880))</f>
        <v/>
      </c>
      <c r="AF880" s="52">
        <f>IF(OR(T880="",I880&lt;T880),"",IFERROR(AVERAGE(T880+M880*{7,8,9,10,11})/IF(G880="",I880,G880)-1,""))</f>
        <v/>
      </c>
      <c r="AG880" s="55">
        <f>IF(OR(T880="",I880&lt;T880),"",IFERROR(AF880/-(R880/IF(G880="",I880,G880)-1),""))</f>
        <v/>
      </c>
      <c r="AH880" s="94" t="n"/>
      <c r="AI880" s="94" t="n"/>
      <c r="AJ880" s="94" t="n"/>
      <c r="AK880" s="94" t="n"/>
      <c r="AL880" s="84" t="n"/>
    </row>
    <row r="881">
      <c r="A881" s="64" t="n"/>
      <c r="B881" s="65" t="n"/>
      <c r="C881" s="66" t="n"/>
      <c r="D881" s="67" t="n"/>
      <c r="E881" s="68" t="n"/>
      <c r="F881" s="47">
        <f>IF(A881="","",IF(MIN(H881,MAX(J881:K881))=0,"",MIN(H881,MAX(J881:K881))))</f>
        <v/>
      </c>
      <c r="G881" s="74" t="n"/>
      <c r="H881" s="49">
        <f>IF(M881="","",IFERROR(ROUND(AVERAGE(T881+M881*{7,8,9,10,11})/1.21,4),""))</f>
        <v/>
      </c>
      <c r="I881" s="76" t="n"/>
      <c r="J881" s="77" t="n"/>
      <c r="K881" s="74" t="n"/>
      <c r="L881" s="78" t="n"/>
      <c r="M881" s="77" t="n"/>
      <c r="N881" s="53">
        <f>IF(M881="","",IFERROR(M881/I881,""))</f>
        <v/>
      </c>
      <c r="O881" s="50">
        <f>IF(A881="","",IFERROR((IF(G881="",I881,G881)-T881)/M881,""))</f>
        <v/>
      </c>
      <c r="P881" s="50">
        <f>IFERROR((I881/T881-1)/N881,"")</f>
        <v/>
      </c>
      <c r="Q881" s="46">
        <f>IF(OR(T881="",I881&lt;T881),"",IFERROR(R881/IF(G881="",I881,G881)-1,""))</f>
        <v/>
      </c>
      <c r="R881" s="48">
        <f>IF($M881="","",MAX(IF($G881="",$I881,$G881)*(1/1.1),IF($G881="",$I881,$G881)+(R$2*$M881)))</f>
        <v/>
      </c>
      <c r="S881" s="49">
        <f>IF($M881="","",MAX(IF($G881="",$I881,$G881)*(1/1.1),IF($G881="",$I881,$G881)+(S$2*$M881)))</f>
        <v/>
      </c>
      <c r="T881" s="82" t="n"/>
      <c r="U881" s="47">
        <f>IF(OR($M881="",$T881=""),"",$T881+(U$2*$M881))</f>
        <v/>
      </c>
      <c r="V881" s="48">
        <f>IF(OR($M881="",$T881=""),"",$T881+(V$2*$M881))</f>
        <v/>
      </c>
      <c r="W881" s="48">
        <f>IF(OR($M881="",$T881=""),"",$T881+(W$2*$M881))</f>
        <v/>
      </c>
      <c r="X881" s="49">
        <f>IF(OR($M881="",$T881=""),"",$T881+(X$2*$M881))</f>
        <v/>
      </c>
      <c r="Y881" s="47">
        <f>IF(OR($M881="",$T881=""),"",$T881+(Y$2*$M881))</f>
        <v/>
      </c>
      <c r="Z881" s="49">
        <f>IF(OR($M881="",$T881=""),"",$T881+(Z$2*$M881))</f>
        <v/>
      </c>
      <c r="AA881" s="51">
        <f>IF(OR($M881="",$T881=""),"",$T881+(AA$2*$M881))</f>
        <v/>
      </c>
      <c r="AB881" s="48">
        <f>IF(OR($M881="",$T881=""),"",$T881+(AB$2*$M881))</f>
        <v/>
      </c>
      <c r="AC881" s="48">
        <f>IF(OR($M881="",$T881=""),"",$T881+(AC$2*$M881))</f>
        <v/>
      </c>
      <c r="AD881" s="48">
        <f>IF(OR($M881="",$T881=""),"",$T881+(AD$2*$M881))</f>
        <v/>
      </c>
      <c r="AE881" s="49">
        <f>IF(OR($M881="",$T881=""),"",$T881+(AE$2*$M881))</f>
        <v/>
      </c>
      <c r="AF881" s="52">
        <f>IF(OR(T881="",I881&lt;T881),"",IFERROR(AVERAGE(T881+M881*{7,8,9,10,11})/IF(G881="",I881,G881)-1,""))</f>
        <v/>
      </c>
      <c r="AG881" s="55">
        <f>IF(OR(T881="",I881&lt;T881),"",IFERROR(AF881/-(R881/IF(G881="",I881,G881)-1),""))</f>
        <v/>
      </c>
      <c r="AH881" s="94" t="n"/>
      <c r="AI881" s="94" t="n"/>
      <c r="AJ881" s="94" t="n"/>
      <c r="AK881" s="94" t="n"/>
      <c r="AL881" s="84" t="n"/>
    </row>
    <row r="882">
      <c r="A882" s="64" t="n"/>
      <c r="B882" s="65" t="n"/>
      <c r="C882" s="66" t="n"/>
      <c r="D882" s="67" t="n"/>
      <c r="E882" s="68" t="n"/>
      <c r="F882" s="47">
        <f>IF(A882="","",IF(MIN(H882,MAX(J882:K882))=0,"",MIN(H882,MAX(J882:K882))))</f>
        <v/>
      </c>
      <c r="G882" s="74" t="n"/>
      <c r="H882" s="49">
        <f>IF(M882="","",IFERROR(ROUND(AVERAGE(T882+M882*{7,8,9,10,11})/1.21,4),""))</f>
        <v/>
      </c>
      <c r="I882" s="76" t="n"/>
      <c r="J882" s="77" t="n"/>
      <c r="K882" s="74" t="n"/>
      <c r="L882" s="78" t="n"/>
      <c r="M882" s="77" t="n"/>
      <c r="N882" s="53">
        <f>IF(M882="","",IFERROR(M882/I882,""))</f>
        <v/>
      </c>
      <c r="O882" s="50">
        <f>IF(A882="","",IFERROR((IF(G882="",I882,G882)-T882)/M882,""))</f>
        <v/>
      </c>
      <c r="P882" s="50">
        <f>IFERROR((I882/T882-1)/N882,"")</f>
        <v/>
      </c>
      <c r="Q882" s="46">
        <f>IF(OR(T882="",I882&lt;T882),"",IFERROR(R882/IF(G882="",I882,G882)-1,""))</f>
        <v/>
      </c>
      <c r="R882" s="48">
        <f>IF($M882="","",MAX(IF($G882="",$I882,$G882)*(1/1.1),IF($G882="",$I882,$G882)+(R$2*$M882)))</f>
        <v/>
      </c>
      <c r="S882" s="49">
        <f>IF($M882="","",MAX(IF($G882="",$I882,$G882)*(1/1.1),IF($G882="",$I882,$G882)+(S$2*$M882)))</f>
        <v/>
      </c>
      <c r="T882" s="82" t="n"/>
      <c r="U882" s="47">
        <f>IF(OR($M882="",$T882=""),"",$T882+(U$2*$M882))</f>
        <v/>
      </c>
      <c r="V882" s="48">
        <f>IF(OR($M882="",$T882=""),"",$T882+(V$2*$M882))</f>
        <v/>
      </c>
      <c r="W882" s="48">
        <f>IF(OR($M882="",$T882=""),"",$T882+(W$2*$M882))</f>
        <v/>
      </c>
      <c r="X882" s="49">
        <f>IF(OR($M882="",$T882=""),"",$T882+(X$2*$M882))</f>
        <v/>
      </c>
      <c r="Y882" s="47">
        <f>IF(OR($M882="",$T882=""),"",$T882+(Y$2*$M882))</f>
        <v/>
      </c>
      <c r="Z882" s="49">
        <f>IF(OR($M882="",$T882=""),"",$T882+(Z$2*$M882))</f>
        <v/>
      </c>
      <c r="AA882" s="51">
        <f>IF(OR($M882="",$T882=""),"",$T882+(AA$2*$M882))</f>
        <v/>
      </c>
      <c r="AB882" s="48">
        <f>IF(OR($M882="",$T882=""),"",$T882+(AB$2*$M882))</f>
        <v/>
      </c>
      <c r="AC882" s="48">
        <f>IF(OR($M882="",$T882=""),"",$T882+(AC$2*$M882))</f>
        <v/>
      </c>
      <c r="AD882" s="48">
        <f>IF(OR($M882="",$T882=""),"",$T882+(AD$2*$M882))</f>
        <v/>
      </c>
      <c r="AE882" s="49">
        <f>IF(OR($M882="",$T882=""),"",$T882+(AE$2*$M882))</f>
        <v/>
      </c>
      <c r="AF882" s="52">
        <f>IF(OR(T882="",I882&lt;T882),"",IFERROR(AVERAGE(T882+M882*{7,8,9,10,11})/IF(G882="",I882,G882)-1,""))</f>
        <v/>
      </c>
      <c r="AG882" s="55">
        <f>IF(OR(T882="",I882&lt;T882),"",IFERROR(AF882/-(R882/IF(G882="",I882,G882)-1),""))</f>
        <v/>
      </c>
      <c r="AH882" s="94" t="n"/>
      <c r="AI882" s="94" t="n"/>
      <c r="AJ882" s="94" t="n"/>
      <c r="AK882" s="94" t="n"/>
      <c r="AL882" s="84" t="n"/>
    </row>
    <row r="883">
      <c r="A883" s="64" t="n"/>
      <c r="B883" s="65" t="n"/>
      <c r="C883" s="66" t="n"/>
      <c r="D883" s="67" t="n"/>
      <c r="E883" s="68" t="n"/>
      <c r="F883" s="47">
        <f>IF(A883="","",IF(MIN(H883,MAX(J883:K883))=0,"",MIN(H883,MAX(J883:K883))))</f>
        <v/>
      </c>
      <c r="G883" s="74" t="n"/>
      <c r="H883" s="49">
        <f>IF(M883="","",IFERROR(ROUND(AVERAGE(T883+M883*{7,8,9,10,11})/1.21,4),""))</f>
        <v/>
      </c>
      <c r="I883" s="76" t="n"/>
      <c r="J883" s="77" t="n"/>
      <c r="K883" s="74" t="n"/>
      <c r="L883" s="78" t="n"/>
      <c r="M883" s="77" t="n"/>
      <c r="N883" s="53">
        <f>IF(M883="","",IFERROR(M883/I883,""))</f>
        <v/>
      </c>
      <c r="O883" s="50">
        <f>IF(A883="","",IFERROR((IF(G883="",I883,G883)-T883)/M883,""))</f>
        <v/>
      </c>
      <c r="P883" s="50">
        <f>IFERROR((I883/T883-1)/N883,"")</f>
        <v/>
      </c>
      <c r="Q883" s="46">
        <f>IF(OR(T883="",I883&lt;T883),"",IFERROR(R883/IF(G883="",I883,G883)-1,""))</f>
        <v/>
      </c>
      <c r="R883" s="48">
        <f>IF($M883="","",MAX(IF($G883="",$I883,$G883)*(1/1.1),IF($G883="",$I883,$G883)+(R$2*$M883)))</f>
        <v/>
      </c>
      <c r="S883" s="49">
        <f>IF($M883="","",MAX(IF($G883="",$I883,$G883)*(1/1.1),IF($G883="",$I883,$G883)+(S$2*$M883)))</f>
        <v/>
      </c>
      <c r="T883" s="82" t="n"/>
      <c r="U883" s="47">
        <f>IF(OR($M883="",$T883=""),"",$T883+(U$2*$M883))</f>
        <v/>
      </c>
      <c r="V883" s="48">
        <f>IF(OR($M883="",$T883=""),"",$T883+(V$2*$M883))</f>
        <v/>
      </c>
      <c r="W883" s="48">
        <f>IF(OR($M883="",$T883=""),"",$T883+(W$2*$M883))</f>
        <v/>
      </c>
      <c r="X883" s="49">
        <f>IF(OR($M883="",$T883=""),"",$T883+(X$2*$M883))</f>
        <v/>
      </c>
      <c r="Y883" s="47">
        <f>IF(OR($M883="",$T883=""),"",$T883+(Y$2*$M883))</f>
        <v/>
      </c>
      <c r="Z883" s="49">
        <f>IF(OR($M883="",$T883=""),"",$T883+(Z$2*$M883))</f>
        <v/>
      </c>
      <c r="AA883" s="51">
        <f>IF(OR($M883="",$T883=""),"",$T883+(AA$2*$M883))</f>
        <v/>
      </c>
      <c r="AB883" s="48">
        <f>IF(OR($M883="",$T883=""),"",$T883+(AB$2*$M883))</f>
        <v/>
      </c>
      <c r="AC883" s="48">
        <f>IF(OR($M883="",$T883=""),"",$T883+(AC$2*$M883))</f>
        <v/>
      </c>
      <c r="AD883" s="48">
        <f>IF(OR($M883="",$T883=""),"",$T883+(AD$2*$M883))</f>
        <v/>
      </c>
      <c r="AE883" s="49">
        <f>IF(OR($M883="",$T883=""),"",$T883+(AE$2*$M883))</f>
        <v/>
      </c>
      <c r="AF883" s="52">
        <f>IF(OR(T883="",I883&lt;T883),"",IFERROR(AVERAGE(T883+M883*{7,8,9,10,11})/IF(G883="",I883,G883)-1,""))</f>
        <v/>
      </c>
      <c r="AG883" s="55">
        <f>IF(OR(T883="",I883&lt;T883),"",IFERROR(AF883/-(R883/IF(G883="",I883,G883)-1),""))</f>
        <v/>
      </c>
      <c r="AH883" s="94" t="n"/>
      <c r="AI883" s="94" t="n"/>
      <c r="AJ883" s="94" t="n"/>
      <c r="AK883" s="94" t="n"/>
      <c r="AL883" s="84" t="n"/>
    </row>
    <row r="884">
      <c r="A884" s="64" t="n"/>
      <c r="B884" s="65" t="n"/>
      <c r="C884" s="66" t="n"/>
      <c r="D884" s="67" t="n"/>
      <c r="E884" s="68" t="n"/>
      <c r="F884" s="47">
        <f>IF(A884="","",IF(MIN(H884,MAX(J884:K884))=0,"",MIN(H884,MAX(J884:K884))))</f>
        <v/>
      </c>
      <c r="G884" s="74" t="n"/>
      <c r="H884" s="49">
        <f>IF(M884="","",IFERROR(ROUND(AVERAGE(T884+M884*{7,8,9,10,11})/1.21,4),""))</f>
        <v/>
      </c>
      <c r="I884" s="76" t="n"/>
      <c r="J884" s="77" t="n"/>
      <c r="K884" s="74" t="n"/>
      <c r="L884" s="78" t="n"/>
      <c r="M884" s="77" t="n"/>
      <c r="N884" s="53">
        <f>IF(M884="","",IFERROR(M884/I884,""))</f>
        <v/>
      </c>
      <c r="O884" s="50">
        <f>IF(A884="","",IFERROR((IF(G884="",I884,G884)-T884)/M884,""))</f>
        <v/>
      </c>
      <c r="P884" s="50">
        <f>IFERROR((I884/T884-1)/N884,"")</f>
        <v/>
      </c>
      <c r="Q884" s="46">
        <f>IF(OR(T884="",I884&lt;T884),"",IFERROR(R884/IF(G884="",I884,G884)-1,""))</f>
        <v/>
      </c>
      <c r="R884" s="48">
        <f>IF($M884="","",MAX(IF($G884="",$I884,$G884)*(1/1.1),IF($G884="",$I884,$G884)+(R$2*$M884)))</f>
        <v/>
      </c>
      <c r="S884" s="49">
        <f>IF($M884="","",MAX(IF($G884="",$I884,$G884)*(1/1.1),IF($G884="",$I884,$G884)+(S$2*$M884)))</f>
        <v/>
      </c>
      <c r="T884" s="82" t="n"/>
      <c r="U884" s="47">
        <f>IF(OR($M884="",$T884=""),"",$T884+(U$2*$M884))</f>
        <v/>
      </c>
      <c r="V884" s="48">
        <f>IF(OR($M884="",$T884=""),"",$T884+(V$2*$M884))</f>
        <v/>
      </c>
      <c r="W884" s="48">
        <f>IF(OR($M884="",$T884=""),"",$T884+(W$2*$M884))</f>
        <v/>
      </c>
      <c r="X884" s="49">
        <f>IF(OR($M884="",$T884=""),"",$T884+(X$2*$M884))</f>
        <v/>
      </c>
      <c r="Y884" s="47">
        <f>IF(OR($M884="",$T884=""),"",$T884+(Y$2*$M884))</f>
        <v/>
      </c>
      <c r="Z884" s="49">
        <f>IF(OR($M884="",$T884=""),"",$T884+(Z$2*$M884))</f>
        <v/>
      </c>
      <c r="AA884" s="51">
        <f>IF(OR($M884="",$T884=""),"",$T884+(AA$2*$M884))</f>
        <v/>
      </c>
      <c r="AB884" s="48">
        <f>IF(OR($M884="",$T884=""),"",$T884+(AB$2*$M884))</f>
        <v/>
      </c>
      <c r="AC884" s="48">
        <f>IF(OR($M884="",$T884=""),"",$T884+(AC$2*$M884))</f>
        <v/>
      </c>
      <c r="AD884" s="48">
        <f>IF(OR($M884="",$T884=""),"",$T884+(AD$2*$M884))</f>
        <v/>
      </c>
      <c r="AE884" s="49">
        <f>IF(OR($M884="",$T884=""),"",$T884+(AE$2*$M884))</f>
        <v/>
      </c>
      <c r="AF884" s="52">
        <f>IF(OR(T884="",I884&lt;T884),"",IFERROR(AVERAGE(T884+M884*{7,8,9,10,11})/IF(G884="",I884,G884)-1,""))</f>
        <v/>
      </c>
      <c r="AG884" s="55">
        <f>IF(OR(T884="",I884&lt;T884),"",IFERROR(AF884/-(R884/IF(G884="",I884,G884)-1),""))</f>
        <v/>
      </c>
      <c r="AH884" s="94" t="n"/>
      <c r="AI884" s="94" t="n"/>
      <c r="AJ884" s="94" t="n"/>
      <c r="AK884" s="94" t="n"/>
      <c r="AL884" s="84" t="n"/>
    </row>
    <row r="885">
      <c r="A885" s="64" t="n"/>
      <c r="B885" s="65" t="n"/>
      <c r="C885" s="66" t="n"/>
      <c r="D885" s="67" t="n"/>
      <c r="E885" s="68" t="n"/>
      <c r="F885" s="47">
        <f>IF(A885="","",IF(MIN(H885,MAX(J885:K885))=0,"",MIN(H885,MAX(J885:K885))))</f>
        <v/>
      </c>
      <c r="G885" s="74" t="n"/>
      <c r="H885" s="49">
        <f>IF(M885="","",IFERROR(ROUND(AVERAGE(T885+M885*{7,8,9,10,11})/1.21,4),""))</f>
        <v/>
      </c>
      <c r="I885" s="76" t="n"/>
      <c r="J885" s="77" t="n"/>
      <c r="K885" s="74" t="n"/>
      <c r="L885" s="78" t="n"/>
      <c r="M885" s="77" t="n"/>
      <c r="N885" s="53">
        <f>IF(M885="","",IFERROR(M885/I885,""))</f>
        <v/>
      </c>
      <c r="O885" s="50">
        <f>IF(A885="","",IFERROR((IF(G885="",I885,G885)-T885)/M885,""))</f>
        <v/>
      </c>
      <c r="P885" s="50">
        <f>IFERROR((I885/T885-1)/N885,"")</f>
        <v/>
      </c>
      <c r="Q885" s="46">
        <f>IF(OR(T885="",I885&lt;T885),"",IFERROR(R885/IF(G885="",I885,G885)-1,""))</f>
        <v/>
      </c>
      <c r="R885" s="48">
        <f>IF($M885="","",MAX(IF($G885="",$I885,$G885)*(1/1.1),IF($G885="",$I885,$G885)+(R$2*$M885)))</f>
        <v/>
      </c>
      <c r="S885" s="49">
        <f>IF($M885="","",MAX(IF($G885="",$I885,$G885)*(1/1.1),IF($G885="",$I885,$G885)+(S$2*$M885)))</f>
        <v/>
      </c>
      <c r="T885" s="82" t="n"/>
      <c r="U885" s="47">
        <f>IF(OR($M885="",$T885=""),"",$T885+(U$2*$M885))</f>
        <v/>
      </c>
      <c r="V885" s="48">
        <f>IF(OR($M885="",$T885=""),"",$T885+(V$2*$M885))</f>
        <v/>
      </c>
      <c r="W885" s="48">
        <f>IF(OR($M885="",$T885=""),"",$T885+(W$2*$M885))</f>
        <v/>
      </c>
      <c r="X885" s="49">
        <f>IF(OR($M885="",$T885=""),"",$T885+(X$2*$M885))</f>
        <v/>
      </c>
      <c r="Y885" s="47">
        <f>IF(OR($M885="",$T885=""),"",$T885+(Y$2*$M885))</f>
        <v/>
      </c>
      <c r="Z885" s="49">
        <f>IF(OR($M885="",$T885=""),"",$T885+(Z$2*$M885))</f>
        <v/>
      </c>
      <c r="AA885" s="51">
        <f>IF(OR($M885="",$T885=""),"",$T885+(AA$2*$M885))</f>
        <v/>
      </c>
      <c r="AB885" s="48">
        <f>IF(OR($M885="",$T885=""),"",$T885+(AB$2*$M885))</f>
        <v/>
      </c>
      <c r="AC885" s="48">
        <f>IF(OR($M885="",$T885=""),"",$T885+(AC$2*$M885))</f>
        <v/>
      </c>
      <c r="AD885" s="48">
        <f>IF(OR($M885="",$T885=""),"",$T885+(AD$2*$M885))</f>
        <v/>
      </c>
      <c r="AE885" s="49">
        <f>IF(OR($M885="",$T885=""),"",$T885+(AE$2*$M885))</f>
        <v/>
      </c>
      <c r="AF885" s="52">
        <f>IF(OR(T885="",I885&lt;T885),"",IFERROR(AVERAGE(T885+M885*{7,8,9,10,11})/IF(G885="",I885,G885)-1,""))</f>
        <v/>
      </c>
      <c r="AG885" s="55">
        <f>IF(OR(T885="",I885&lt;T885),"",IFERROR(AF885/-(R885/IF(G885="",I885,G885)-1),""))</f>
        <v/>
      </c>
      <c r="AH885" s="94" t="n"/>
      <c r="AI885" s="94" t="n"/>
      <c r="AJ885" s="94" t="n"/>
      <c r="AK885" s="94" t="n"/>
      <c r="AL885" s="84" t="n"/>
    </row>
    <row r="886">
      <c r="A886" s="64" t="n"/>
      <c r="B886" s="65" t="n"/>
      <c r="C886" s="66" t="n"/>
      <c r="D886" s="67" t="n"/>
      <c r="E886" s="68" t="n"/>
      <c r="F886" s="47">
        <f>IF(A886="","",IF(MIN(H886,MAX(J886:K886))=0,"",MIN(H886,MAX(J886:K886))))</f>
        <v/>
      </c>
      <c r="G886" s="74" t="n"/>
      <c r="H886" s="49">
        <f>IF(M886="","",IFERROR(ROUND(AVERAGE(T886+M886*{7,8,9,10,11})/1.21,4),""))</f>
        <v/>
      </c>
      <c r="I886" s="76" t="n"/>
      <c r="J886" s="77" t="n"/>
      <c r="K886" s="74" t="n"/>
      <c r="L886" s="78" t="n"/>
      <c r="M886" s="77" t="n"/>
      <c r="N886" s="53">
        <f>IF(M886="","",IFERROR(M886/I886,""))</f>
        <v/>
      </c>
      <c r="O886" s="50">
        <f>IF(A886="","",IFERROR((IF(G886="",I886,G886)-T886)/M886,""))</f>
        <v/>
      </c>
      <c r="P886" s="50">
        <f>IFERROR((I886/T886-1)/N886,"")</f>
        <v/>
      </c>
      <c r="Q886" s="46">
        <f>IF(OR(T886="",I886&lt;T886),"",IFERROR(R886/IF(G886="",I886,G886)-1,""))</f>
        <v/>
      </c>
      <c r="R886" s="48">
        <f>IF($M886="","",MAX(IF($G886="",$I886,$G886)*(1/1.1),IF($G886="",$I886,$G886)+(R$2*$M886)))</f>
        <v/>
      </c>
      <c r="S886" s="49">
        <f>IF($M886="","",MAX(IF($G886="",$I886,$G886)*(1/1.1),IF($G886="",$I886,$G886)+(S$2*$M886)))</f>
        <v/>
      </c>
      <c r="T886" s="82" t="n"/>
      <c r="U886" s="47">
        <f>IF(OR($M886="",$T886=""),"",$T886+(U$2*$M886))</f>
        <v/>
      </c>
      <c r="V886" s="48">
        <f>IF(OR($M886="",$T886=""),"",$T886+(V$2*$M886))</f>
        <v/>
      </c>
      <c r="W886" s="48">
        <f>IF(OR($M886="",$T886=""),"",$T886+(W$2*$M886))</f>
        <v/>
      </c>
      <c r="X886" s="49">
        <f>IF(OR($M886="",$T886=""),"",$T886+(X$2*$M886))</f>
        <v/>
      </c>
      <c r="Y886" s="47">
        <f>IF(OR($M886="",$T886=""),"",$T886+(Y$2*$M886))</f>
        <v/>
      </c>
      <c r="Z886" s="49">
        <f>IF(OR($M886="",$T886=""),"",$T886+(Z$2*$M886))</f>
        <v/>
      </c>
      <c r="AA886" s="51">
        <f>IF(OR($M886="",$T886=""),"",$T886+(AA$2*$M886))</f>
        <v/>
      </c>
      <c r="AB886" s="48">
        <f>IF(OR($M886="",$T886=""),"",$T886+(AB$2*$M886))</f>
        <v/>
      </c>
      <c r="AC886" s="48">
        <f>IF(OR($M886="",$T886=""),"",$T886+(AC$2*$M886))</f>
        <v/>
      </c>
      <c r="AD886" s="48">
        <f>IF(OR($M886="",$T886=""),"",$T886+(AD$2*$M886))</f>
        <v/>
      </c>
      <c r="AE886" s="49">
        <f>IF(OR($M886="",$T886=""),"",$T886+(AE$2*$M886))</f>
        <v/>
      </c>
      <c r="AF886" s="52">
        <f>IF(OR(T886="",I886&lt;T886),"",IFERROR(AVERAGE(T886+M886*{7,8,9,10,11})/IF(G886="",I886,G886)-1,""))</f>
        <v/>
      </c>
      <c r="AG886" s="55">
        <f>IF(OR(T886="",I886&lt;T886),"",IFERROR(AF886/-(R886/IF(G886="",I886,G886)-1),""))</f>
        <v/>
      </c>
      <c r="AH886" s="94" t="n"/>
      <c r="AI886" s="94" t="n"/>
      <c r="AJ886" s="94" t="n"/>
      <c r="AK886" s="94" t="n"/>
      <c r="AL886" s="84" t="n"/>
    </row>
    <row r="887">
      <c r="A887" s="64" t="n"/>
      <c r="B887" s="65" t="n"/>
      <c r="C887" s="66" t="n"/>
      <c r="D887" s="67" t="n"/>
      <c r="E887" s="68" t="n"/>
      <c r="F887" s="47">
        <f>IF(A887="","",IF(MIN(H887,MAX(J887:K887))=0,"",MIN(H887,MAX(J887:K887))))</f>
        <v/>
      </c>
      <c r="G887" s="74" t="n"/>
      <c r="H887" s="49">
        <f>IF(M887="","",IFERROR(ROUND(AVERAGE(T887+M887*{7,8,9,10,11})/1.21,4),""))</f>
        <v/>
      </c>
      <c r="I887" s="76" t="n"/>
      <c r="J887" s="77" t="n"/>
      <c r="K887" s="74" t="n"/>
      <c r="L887" s="78" t="n"/>
      <c r="M887" s="77" t="n"/>
      <c r="N887" s="53">
        <f>IF(M887="","",IFERROR(M887/I887,""))</f>
        <v/>
      </c>
      <c r="O887" s="50">
        <f>IF(A887="","",IFERROR((IF(G887="",I887,G887)-T887)/M887,""))</f>
        <v/>
      </c>
      <c r="P887" s="50">
        <f>IFERROR((I887/T887-1)/N887,"")</f>
        <v/>
      </c>
      <c r="Q887" s="46">
        <f>IF(OR(T887="",I887&lt;T887),"",IFERROR(R887/IF(G887="",I887,G887)-1,""))</f>
        <v/>
      </c>
      <c r="R887" s="48">
        <f>IF($M887="","",MAX(IF($G887="",$I887,$G887)*(1/1.1),IF($G887="",$I887,$G887)+(R$2*$M887)))</f>
        <v/>
      </c>
      <c r="S887" s="49">
        <f>IF($M887="","",MAX(IF($G887="",$I887,$G887)*(1/1.1),IF($G887="",$I887,$G887)+(S$2*$M887)))</f>
        <v/>
      </c>
      <c r="T887" s="82" t="n"/>
      <c r="U887" s="47">
        <f>IF(OR($M887="",$T887=""),"",$T887+(U$2*$M887))</f>
        <v/>
      </c>
      <c r="V887" s="48">
        <f>IF(OR($M887="",$T887=""),"",$T887+(V$2*$M887))</f>
        <v/>
      </c>
      <c r="W887" s="48">
        <f>IF(OR($M887="",$T887=""),"",$T887+(W$2*$M887))</f>
        <v/>
      </c>
      <c r="X887" s="49">
        <f>IF(OR($M887="",$T887=""),"",$T887+(X$2*$M887))</f>
        <v/>
      </c>
      <c r="Y887" s="47">
        <f>IF(OR($M887="",$T887=""),"",$T887+(Y$2*$M887))</f>
        <v/>
      </c>
      <c r="Z887" s="49">
        <f>IF(OR($M887="",$T887=""),"",$T887+(Z$2*$M887))</f>
        <v/>
      </c>
      <c r="AA887" s="51">
        <f>IF(OR($M887="",$T887=""),"",$T887+(AA$2*$M887))</f>
        <v/>
      </c>
      <c r="AB887" s="48">
        <f>IF(OR($M887="",$T887=""),"",$T887+(AB$2*$M887))</f>
        <v/>
      </c>
      <c r="AC887" s="48">
        <f>IF(OR($M887="",$T887=""),"",$T887+(AC$2*$M887))</f>
        <v/>
      </c>
      <c r="AD887" s="48">
        <f>IF(OR($M887="",$T887=""),"",$T887+(AD$2*$M887))</f>
        <v/>
      </c>
      <c r="AE887" s="49">
        <f>IF(OR($M887="",$T887=""),"",$T887+(AE$2*$M887))</f>
        <v/>
      </c>
      <c r="AF887" s="52">
        <f>IF(OR(T887="",I887&lt;T887),"",IFERROR(AVERAGE(T887+M887*{7,8,9,10,11})/IF(G887="",I887,G887)-1,""))</f>
        <v/>
      </c>
      <c r="AG887" s="55">
        <f>IF(OR(T887="",I887&lt;T887),"",IFERROR(AF887/-(R887/IF(G887="",I887,G887)-1),""))</f>
        <v/>
      </c>
      <c r="AH887" s="94" t="n"/>
      <c r="AI887" s="94" t="n"/>
      <c r="AJ887" s="94" t="n"/>
      <c r="AK887" s="94" t="n"/>
      <c r="AL887" s="84" t="n"/>
    </row>
    <row r="888">
      <c r="A888" s="64" t="n"/>
      <c r="B888" s="65" t="n"/>
      <c r="C888" s="66" t="n"/>
      <c r="D888" s="67" t="n"/>
      <c r="E888" s="68" t="n"/>
      <c r="F888" s="47">
        <f>IF(A888="","",IF(MIN(H888,MAX(J888:K888))=0,"",MIN(H888,MAX(J888:K888))))</f>
        <v/>
      </c>
      <c r="G888" s="74" t="n"/>
      <c r="H888" s="49">
        <f>IF(M888="","",IFERROR(ROUND(AVERAGE(T888+M888*{7,8,9,10,11})/1.21,4),""))</f>
        <v/>
      </c>
      <c r="I888" s="76" t="n"/>
      <c r="J888" s="77" t="n"/>
      <c r="K888" s="74" t="n"/>
      <c r="L888" s="78" t="n"/>
      <c r="M888" s="77" t="n"/>
      <c r="N888" s="53">
        <f>IF(M888="","",IFERROR(M888/I888,""))</f>
        <v/>
      </c>
      <c r="O888" s="50">
        <f>IF(A888="","",IFERROR((IF(G888="",I888,G888)-T888)/M888,""))</f>
        <v/>
      </c>
      <c r="P888" s="50">
        <f>IFERROR((I888/T888-1)/N888,"")</f>
        <v/>
      </c>
      <c r="Q888" s="46">
        <f>IF(OR(T888="",I888&lt;T888),"",IFERROR(R888/IF(G888="",I888,G888)-1,""))</f>
        <v/>
      </c>
      <c r="R888" s="48">
        <f>IF($M888="","",MAX(IF($G888="",$I888,$G888)*(1/1.1),IF($G888="",$I888,$G888)+(R$2*$M888)))</f>
        <v/>
      </c>
      <c r="S888" s="49">
        <f>IF($M888="","",MAX(IF($G888="",$I888,$G888)*(1/1.1),IF($G888="",$I888,$G888)+(S$2*$M888)))</f>
        <v/>
      </c>
      <c r="T888" s="82" t="n"/>
      <c r="U888" s="47">
        <f>IF(OR($M888="",$T888=""),"",$T888+(U$2*$M888))</f>
        <v/>
      </c>
      <c r="V888" s="48">
        <f>IF(OR($M888="",$T888=""),"",$T888+(V$2*$M888))</f>
        <v/>
      </c>
      <c r="W888" s="48">
        <f>IF(OR($M888="",$T888=""),"",$T888+(W$2*$M888))</f>
        <v/>
      </c>
      <c r="X888" s="49">
        <f>IF(OR($M888="",$T888=""),"",$T888+(X$2*$M888))</f>
        <v/>
      </c>
      <c r="Y888" s="47">
        <f>IF(OR($M888="",$T888=""),"",$T888+(Y$2*$M888))</f>
        <v/>
      </c>
      <c r="Z888" s="49">
        <f>IF(OR($M888="",$T888=""),"",$T888+(Z$2*$M888))</f>
        <v/>
      </c>
      <c r="AA888" s="51">
        <f>IF(OR($M888="",$T888=""),"",$T888+(AA$2*$M888))</f>
        <v/>
      </c>
      <c r="AB888" s="48">
        <f>IF(OR($M888="",$T888=""),"",$T888+(AB$2*$M888))</f>
        <v/>
      </c>
      <c r="AC888" s="48">
        <f>IF(OR($M888="",$T888=""),"",$T888+(AC$2*$M888))</f>
        <v/>
      </c>
      <c r="AD888" s="48">
        <f>IF(OR($M888="",$T888=""),"",$T888+(AD$2*$M888))</f>
        <v/>
      </c>
      <c r="AE888" s="49">
        <f>IF(OR($M888="",$T888=""),"",$T888+(AE$2*$M888))</f>
        <v/>
      </c>
      <c r="AF888" s="52">
        <f>IF(OR(T888="",I888&lt;T888),"",IFERROR(AVERAGE(T888+M888*{7,8,9,10,11})/IF(G888="",I888,G888)-1,""))</f>
        <v/>
      </c>
      <c r="AG888" s="55">
        <f>IF(OR(T888="",I888&lt;T888),"",IFERROR(AF888/-(R888/IF(G888="",I888,G888)-1),""))</f>
        <v/>
      </c>
      <c r="AH888" s="94" t="n"/>
      <c r="AI888" s="94" t="n"/>
      <c r="AJ888" s="94" t="n"/>
      <c r="AK888" s="94" t="n"/>
      <c r="AL888" s="84" t="n"/>
    </row>
    <row r="889">
      <c r="A889" s="64" t="n"/>
      <c r="B889" s="65" t="n"/>
      <c r="C889" s="66" t="n"/>
      <c r="D889" s="67" t="n"/>
      <c r="E889" s="68" t="n"/>
      <c r="F889" s="47">
        <f>IF(A889="","",IF(MIN(H889,MAX(J889:K889))=0,"",MIN(H889,MAX(J889:K889))))</f>
        <v/>
      </c>
      <c r="G889" s="74" t="n"/>
      <c r="H889" s="49">
        <f>IF(M889="","",IFERROR(ROUND(AVERAGE(T889+M889*{7,8,9,10,11})/1.21,4),""))</f>
        <v/>
      </c>
      <c r="I889" s="76" t="n"/>
      <c r="J889" s="77" t="n"/>
      <c r="K889" s="74" t="n"/>
      <c r="L889" s="78" t="n"/>
      <c r="M889" s="77" t="n"/>
      <c r="N889" s="53">
        <f>IF(M889="","",IFERROR(M889/I889,""))</f>
        <v/>
      </c>
      <c r="O889" s="50">
        <f>IF(A889="","",IFERROR((IF(G889="",I889,G889)-T889)/M889,""))</f>
        <v/>
      </c>
      <c r="P889" s="50">
        <f>IFERROR((I889/T889-1)/N889,"")</f>
        <v/>
      </c>
      <c r="Q889" s="46">
        <f>IF(OR(T889="",I889&lt;T889),"",IFERROR(R889/IF(G889="",I889,G889)-1,""))</f>
        <v/>
      </c>
      <c r="R889" s="48">
        <f>IF($M889="","",MAX(IF($G889="",$I889,$G889)*(1/1.1),IF($G889="",$I889,$G889)+(R$2*$M889)))</f>
        <v/>
      </c>
      <c r="S889" s="49">
        <f>IF($M889="","",MAX(IF($G889="",$I889,$G889)*(1/1.1),IF($G889="",$I889,$G889)+(S$2*$M889)))</f>
        <v/>
      </c>
      <c r="T889" s="82" t="n"/>
      <c r="U889" s="47">
        <f>IF(OR($M889="",$T889=""),"",$T889+(U$2*$M889))</f>
        <v/>
      </c>
      <c r="V889" s="48">
        <f>IF(OR($M889="",$T889=""),"",$T889+(V$2*$M889))</f>
        <v/>
      </c>
      <c r="W889" s="48">
        <f>IF(OR($M889="",$T889=""),"",$T889+(W$2*$M889))</f>
        <v/>
      </c>
      <c r="X889" s="49">
        <f>IF(OR($M889="",$T889=""),"",$T889+(X$2*$M889))</f>
        <v/>
      </c>
      <c r="Y889" s="47">
        <f>IF(OR($M889="",$T889=""),"",$T889+(Y$2*$M889))</f>
        <v/>
      </c>
      <c r="Z889" s="49">
        <f>IF(OR($M889="",$T889=""),"",$T889+(Z$2*$M889))</f>
        <v/>
      </c>
      <c r="AA889" s="51">
        <f>IF(OR($M889="",$T889=""),"",$T889+(AA$2*$M889))</f>
        <v/>
      </c>
      <c r="AB889" s="48">
        <f>IF(OR($M889="",$T889=""),"",$T889+(AB$2*$M889))</f>
        <v/>
      </c>
      <c r="AC889" s="48">
        <f>IF(OR($M889="",$T889=""),"",$T889+(AC$2*$M889))</f>
        <v/>
      </c>
      <c r="AD889" s="48">
        <f>IF(OR($M889="",$T889=""),"",$T889+(AD$2*$M889))</f>
        <v/>
      </c>
      <c r="AE889" s="49">
        <f>IF(OR($M889="",$T889=""),"",$T889+(AE$2*$M889))</f>
        <v/>
      </c>
      <c r="AF889" s="52">
        <f>IF(OR(T889="",I889&lt;T889),"",IFERROR(AVERAGE(T889+M889*{7,8,9,10,11})/IF(G889="",I889,G889)-1,""))</f>
        <v/>
      </c>
      <c r="AG889" s="55">
        <f>IF(OR(T889="",I889&lt;T889),"",IFERROR(AF889/-(R889/IF(G889="",I889,G889)-1),""))</f>
        <v/>
      </c>
      <c r="AH889" s="94" t="n"/>
      <c r="AI889" s="94" t="n"/>
      <c r="AJ889" s="94" t="n"/>
      <c r="AK889" s="94" t="n"/>
      <c r="AL889" s="84" t="n"/>
    </row>
    <row r="890">
      <c r="A890" s="64" t="n"/>
      <c r="B890" s="65" t="n"/>
      <c r="C890" s="66" t="n"/>
      <c r="D890" s="67" t="n"/>
      <c r="E890" s="68" t="n"/>
      <c r="F890" s="47">
        <f>IF(A890="","",IF(MIN(H890,MAX(J890:K890))=0,"",MIN(H890,MAX(J890:K890))))</f>
        <v/>
      </c>
      <c r="G890" s="74" t="n"/>
      <c r="H890" s="49">
        <f>IF(M890="","",IFERROR(ROUND(AVERAGE(T890+M890*{7,8,9,10,11})/1.21,4),""))</f>
        <v/>
      </c>
      <c r="I890" s="76" t="n"/>
      <c r="J890" s="77" t="n"/>
      <c r="K890" s="74" t="n"/>
      <c r="L890" s="78" t="n"/>
      <c r="M890" s="77" t="n"/>
      <c r="N890" s="53">
        <f>IF(M890="","",IFERROR(M890/I890,""))</f>
        <v/>
      </c>
      <c r="O890" s="50">
        <f>IF(A890="","",IFERROR((IF(G890="",I890,G890)-T890)/M890,""))</f>
        <v/>
      </c>
      <c r="P890" s="50">
        <f>IFERROR((I890/T890-1)/N890,"")</f>
        <v/>
      </c>
      <c r="Q890" s="46">
        <f>IF(OR(T890="",I890&lt;T890),"",IFERROR(R890/IF(G890="",I890,G890)-1,""))</f>
        <v/>
      </c>
      <c r="R890" s="48">
        <f>IF($M890="","",MAX(IF($G890="",$I890,$G890)*(1/1.1),IF($G890="",$I890,$G890)+(R$2*$M890)))</f>
        <v/>
      </c>
      <c r="S890" s="49">
        <f>IF($M890="","",MAX(IF($G890="",$I890,$G890)*(1/1.1),IF($G890="",$I890,$G890)+(S$2*$M890)))</f>
        <v/>
      </c>
      <c r="T890" s="82" t="n"/>
      <c r="U890" s="47">
        <f>IF(OR($M890="",$T890=""),"",$T890+(U$2*$M890))</f>
        <v/>
      </c>
      <c r="V890" s="48">
        <f>IF(OR($M890="",$T890=""),"",$T890+(V$2*$M890))</f>
        <v/>
      </c>
      <c r="W890" s="48">
        <f>IF(OR($M890="",$T890=""),"",$T890+(W$2*$M890))</f>
        <v/>
      </c>
      <c r="X890" s="49">
        <f>IF(OR($M890="",$T890=""),"",$T890+(X$2*$M890))</f>
        <v/>
      </c>
      <c r="Y890" s="47">
        <f>IF(OR($M890="",$T890=""),"",$T890+(Y$2*$M890))</f>
        <v/>
      </c>
      <c r="Z890" s="49">
        <f>IF(OR($M890="",$T890=""),"",$T890+(Z$2*$M890))</f>
        <v/>
      </c>
      <c r="AA890" s="51">
        <f>IF(OR($M890="",$T890=""),"",$T890+(AA$2*$M890))</f>
        <v/>
      </c>
      <c r="AB890" s="48">
        <f>IF(OR($M890="",$T890=""),"",$T890+(AB$2*$M890))</f>
        <v/>
      </c>
      <c r="AC890" s="48">
        <f>IF(OR($M890="",$T890=""),"",$T890+(AC$2*$M890))</f>
        <v/>
      </c>
      <c r="AD890" s="48">
        <f>IF(OR($M890="",$T890=""),"",$T890+(AD$2*$M890))</f>
        <v/>
      </c>
      <c r="AE890" s="49">
        <f>IF(OR($M890="",$T890=""),"",$T890+(AE$2*$M890))</f>
        <v/>
      </c>
      <c r="AF890" s="52">
        <f>IF(OR(T890="",I890&lt;T890),"",IFERROR(AVERAGE(T890+M890*{7,8,9,10,11})/IF(G890="",I890,G890)-1,""))</f>
        <v/>
      </c>
      <c r="AG890" s="55">
        <f>IF(OR(T890="",I890&lt;T890),"",IFERROR(AF890/-(R890/IF(G890="",I890,G890)-1),""))</f>
        <v/>
      </c>
      <c r="AH890" s="94" t="n"/>
      <c r="AI890" s="94" t="n"/>
      <c r="AJ890" s="94" t="n"/>
      <c r="AK890" s="94" t="n"/>
      <c r="AL890" s="84" t="n"/>
    </row>
    <row r="891">
      <c r="A891" s="64" t="n"/>
      <c r="B891" s="65" t="n"/>
      <c r="C891" s="66" t="n"/>
      <c r="D891" s="67" t="n"/>
      <c r="E891" s="68" t="n"/>
      <c r="F891" s="47">
        <f>IF(A891="","",IF(MIN(H891,MAX(J891:K891))=0,"",MIN(H891,MAX(J891:K891))))</f>
        <v/>
      </c>
      <c r="G891" s="74" t="n"/>
      <c r="H891" s="49">
        <f>IF(M891="","",IFERROR(ROUND(AVERAGE(T891+M891*{7,8,9,10,11})/1.21,4),""))</f>
        <v/>
      </c>
      <c r="I891" s="76" t="n"/>
      <c r="J891" s="77" t="n"/>
      <c r="K891" s="74" t="n"/>
      <c r="L891" s="78" t="n"/>
      <c r="M891" s="77" t="n"/>
      <c r="N891" s="53">
        <f>IF(M891="","",IFERROR(M891/I891,""))</f>
        <v/>
      </c>
      <c r="O891" s="50">
        <f>IF(A891="","",IFERROR((IF(G891="",I891,G891)-T891)/M891,""))</f>
        <v/>
      </c>
      <c r="P891" s="50">
        <f>IFERROR((I891/T891-1)/N891,"")</f>
        <v/>
      </c>
      <c r="Q891" s="46">
        <f>IF(OR(T891="",I891&lt;T891),"",IFERROR(R891/IF(G891="",I891,G891)-1,""))</f>
        <v/>
      </c>
      <c r="R891" s="48">
        <f>IF($M891="","",MAX(IF($G891="",$I891,$G891)*(1/1.1),IF($G891="",$I891,$G891)+(R$2*$M891)))</f>
        <v/>
      </c>
      <c r="S891" s="49">
        <f>IF($M891="","",MAX(IF($G891="",$I891,$G891)*(1/1.1),IF($G891="",$I891,$G891)+(S$2*$M891)))</f>
        <v/>
      </c>
      <c r="T891" s="82" t="n"/>
      <c r="U891" s="47">
        <f>IF(OR($M891="",$T891=""),"",$T891+(U$2*$M891))</f>
        <v/>
      </c>
      <c r="V891" s="48">
        <f>IF(OR($M891="",$T891=""),"",$T891+(V$2*$M891))</f>
        <v/>
      </c>
      <c r="W891" s="48">
        <f>IF(OR($M891="",$T891=""),"",$T891+(W$2*$M891))</f>
        <v/>
      </c>
      <c r="X891" s="49">
        <f>IF(OR($M891="",$T891=""),"",$T891+(X$2*$M891))</f>
        <v/>
      </c>
      <c r="Y891" s="47">
        <f>IF(OR($M891="",$T891=""),"",$T891+(Y$2*$M891))</f>
        <v/>
      </c>
      <c r="Z891" s="49">
        <f>IF(OR($M891="",$T891=""),"",$T891+(Z$2*$M891))</f>
        <v/>
      </c>
      <c r="AA891" s="51">
        <f>IF(OR($M891="",$T891=""),"",$T891+(AA$2*$M891))</f>
        <v/>
      </c>
      <c r="AB891" s="48">
        <f>IF(OR($M891="",$T891=""),"",$T891+(AB$2*$M891))</f>
        <v/>
      </c>
      <c r="AC891" s="48">
        <f>IF(OR($M891="",$T891=""),"",$T891+(AC$2*$M891))</f>
        <v/>
      </c>
      <c r="AD891" s="48">
        <f>IF(OR($M891="",$T891=""),"",$T891+(AD$2*$M891))</f>
        <v/>
      </c>
      <c r="AE891" s="49">
        <f>IF(OR($M891="",$T891=""),"",$T891+(AE$2*$M891))</f>
        <v/>
      </c>
      <c r="AF891" s="52">
        <f>IF(OR(T891="",I891&lt;T891),"",IFERROR(AVERAGE(T891+M891*{7,8,9,10,11})/IF(G891="",I891,G891)-1,""))</f>
        <v/>
      </c>
      <c r="AG891" s="55">
        <f>IF(OR(T891="",I891&lt;T891),"",IFERROR(AF891/-(R891/IF(G891="",I891,G891)-1),""))</f>
        <v/>
      </c>
      <c r="AH891" s="94" t="n"/>
      <c r="AI891" s="94" t="n"/>
      <c r="AJ891" s="94" t="n"/>
      <c r="AK891" s="94" t="n"/>
      <c r="AL891" s="84" t="n"/>
    </row>
    <row r="892">
      <c r="A892" s="64" t="n"/>
      <c r="B892" s="65" t="n"/>
      <c r="C892" s="66" t="n"/>
      <c r="D892" s="67" t="n"/>
      <c r="E892" s="68" t="n"/>
      <c r="F892" s="47">
        <f>IF(A892="","",IF(MIN(H892,MAX(J892:K892))=0,"",MIN(H892,MAX(J892:K892))))</f>
        <v/>
      </c>
      <c r="G892" s="74" t="n"/>
      <c r="H892" s="49">
        <f>IF(M892="","",IFERROR(ROUND(AVERAGE(T892+M892*{7,8,9,10,11})/1.21,4),""))</f>
        <v/>
      </c>
      <c r="I892" s="76" t="n"/>
      <c r="J892" s="77" t="n"/>
      <c r="K892" s="74" t="n"/>
      <c r="L892" s="78" t="n"/>
      <c r="M892" s="77" t="n"/>
      <c r="N892" s="53">
        <f>IF(M892="","",IFERROR(M892/I892,""))</f>
        <v/>
      </c>
      <c r="O892" s="50">
        <f>IF(A892="","",IFERROR((IF(G892="",I892,G892)-T892)/M892,""))</f>
        <v/>
      </c>
      <c r="P892" s="50">
        <f>IFERROR((I892/T892-1)/N892,"")</f>
        <v/>
      </c>
      <c r="Q892" s="46">
        <f>IF(OR(T892="",I892&lt;T892),"",IFERROR(R892/IF(G892="",I892,G892)-1,""))</f>
        <v/>
      </c>
      <c r="R892" s="48">
        <f>IF($M892="","",MAX(IF($G892="",$I892,$G892)*(1/1.1),IF($G892="",$I892,$G892)+(R$2*$M892)))</f>
        <v/>
      </c>
      <c r="S892" s="49">
        <f>IF($M892="","",MAX(IF($G892="",$I892,$G892)*(1/1.1),IF($G892="",$I892,$G892)+(S$2*$M892)))</f>
        <v/>
      </c>
      <c r="T892" s="82" t="n"/>
      <c r="U892" s="47">
        <f>IF(OR($M892="",$T892=""),"",$T892+(U$2*$M892))</f>
        <v/>
      </c>
      <c r="V892" s="48">
        <f>IF(OR($M892="",$T892=""),"",$T892+(V$2*$M892))</f>
        <v/>
      </c>
      <c r="W892" s="48">
        <f>IF(OR($M892="",$T892=""),"",$T892+(W$2*$M892))</f>
        <v/>
      </c>
      <c r="X892" s="49">
        <f>IF(OR($M892="",$T892=""),"",$T892+(X$2*$M892))</f>
        <v/>
      </c>
      <c r="Y892" s="47">
        <f>IF(OR($M892="",$T892=""),"",$T892+(Y$2*$M892))</f>
        <v/>
      </c>
      <c r="Z892" s="49">
        <f>IF(OR($M892="",$T892=""),"",$T892+(Z$2*$M892))</f>
        <v/>
      </c>
      <c r="AA892" s="51">
        <f>IF(OR($M892="",$T892=""),"",$T892+(AA$2*$M892))</f>
        <v/>
      </c>
      <c r="AB892" s="48">
        <f>IF(OR($M892="",$T892=""),"",$T892+(AB$2*$M892))</f>
        <v/>
      </c>
      <c r="AC892" s="48">
        <f>IF(OR($M892="",$T892=""),"",$T892+(AC$2*$M892))</f>
        <v/>
      </c>
      <c r="AD892" s="48">
        <f>IF(OR($M892="",$T892=""),"",$T892+(AD$2*$M892))</f>
        <v/>
      </c>
      <c r="AE892" s="49">
        <f>IF(OR($M892="",$T892=""),"",$T892+(AE$2*$M892))</f>
        <v/>
      </c>
      <c r="AF892" s="52">
        <f>IF(OR(T892="",I892&lt;T892),"",IFERROR(AVERAGE(T892+M892*{7,8,9,10,11})/IF(G892="",I892,G892)-1,""))</f>
        <v/>
      </c>
      <c r="AG892" s="55">
        <f>IF(OR(T892="",I892&lt;T892),"",IFERROR(AF892/-(R892/IF(G892="",I892,G892)-1),""))</f>
        <v/>
      </c>
      <c r="AH892" s="94" t="n"/>
      <c r="AI892" s="94" t="n"/>
      <c r="AJ892" s="94" t="n"/>
      <c r="AK892" s="94" t="n"/>
      <c r="AL892" s="84" t="n"/>
    </row>
    <row r="893">
      <c r="A893" s="64" t="n"/>
      <c r="B893" s="65" t="n"/>
      <c r="C893" s="66" t="n"/>
      <c r="D893" s="67" t="n"/>
      <c r="E893" s="68" t="n"/>
      <c r="F893" s="47">
        <f>IF(A893="","",IF(MIN(H893,MAX(J893:K893))=0,"",MIN(H893,MAX(J893:K893))))</f>
        <v/>
      </c>
      <c r="G893" s="74" t="n"/>
      <c r="H893" s="49">
        <f>IF(M893="","",IFERROR(ROUND(AVERAGE(T893+M893*{7,8,9,10,11})/1.21,4),""))</f>
        <v/>
      </c>
      <c r="I893" s="76" t="n"/>
      <c r="J893" s="77" t="n"/>
      <c r="K893" s="74" t="n"/>
      <c r="L893" s="78" t="n"/>
      <c r="M893" s="77" t="n"/>
      <c r="N893" s="53">
        <f>IF(M893="","",IFERROR(M893/I893,""))</f>
        <v/>
      </c>
      <c r="O893" s="50">
        <f>IF(A893="","",IFERROR((IF(G893="",I893,G893)-T893)/M893,""))</f>
        <v/>
      </c>
      <c r="P893" s="50">
        <f>IFERROR((I893/T893-1)/N893,"")</f>
        <v/>
      </c>
      <c r="Q893" s="46">
        <f>IF(OR(T893="",I893&lt;T893),"",IFERROR(R893/IF(G893="",I893,G893)-1,""))</f>
        <v/>
      </c>
      <c r="R893" s="48">
        <f>IF($M893="","",MAX(IF($G893="",$I893,$G893)*(1/1.1),IF($G893="",$I893,$G893)+(R$2*$M893)))</f>
        <v/>
      </c>
      <c r="S893" s="49">
        <f>IF($M893="","",MAX(IF($G893="",$I893,$G893)*(1/1.1),IF($G893="",$I893,$G893)+(S$2*$M893)))</f>
        <v/>
      </c>
      <c r="T893" s="82" t="n"/>
      <c r="U893" s="47">
        <f>IF(OR($M893="",$T893=""),"",$T893+(U$2*$M893))</f>
        <v/>
      </c>
      <c r="V893" s="48">
        <f>IF(OR($M893="",$T893=""),"",$T893+(V$2*$M893))</f>
        <v/>
      </c>
      <c r="W893" s="48">
        <f>IF(OR($M893="",$T893=""),"",$T893+(W$2*$M893))</f>
        <v/>
      </c>
      <c r="X893" s="49">
        <f>IF(OR($M893="",$T893=""),"",$T893+(X$2*$M893))</f>
        <v/>
      </c>
      <c r="Y893" s="47">
        <f>IF(OR($M893="",$T893=""),"",$T893+(Y$2*$M893))</f>
        <v/>
      </c>
      <c r="Z893" s="49">
        <f>IF(OR($M893="",$T893=""),"",$T893+(Z$2*$M893))</f>
        <v/>
      </c>
      <c r="AA893" s="51">
        <f>IF(OR($M893="",$T893=""),"",$T893+(AA$2*$M893))</f>
        <v/>
      </c>
      <c r="AB893" s="48">
        <f>IF(OR($M893="",$T893=""),"",$T893+(AB$2*$M893))</f>
        <v/>
      </c>
      <c r="AC893" s="48">
        <f>IF(OR($M893="",$T893=""),"",$T893+(AC$2*$M893))</f>
        <v/>
      </c>
      <c r="AD893" s="48">
        <f>IF(OR($M893="",$T893=""),"",$T893+(AD$2*$M893))</f>
        <v/>
      </c>
      <c r="AE893" s="49">
        <f>IF(OR($M893="",$T893=""),"",$T893+(AE$2*$M893))</f>
        <v/>
      </c>
      <c r="AF893" s="52">
        <f>IF(OR(T893="",I893&lt;T893),"",IFERROR(AVERAGE(T893+M893*{7,8,9,10,11})/IF(G893="",I893,G893)-1,""))</f>
        <v/>
      </c>
      <c r="AG893" s="55">
        <f>IF(OR(T893="",I893&lt;T893),"",IFERROR(AF893/-(R893/IF(G893="",I893,G893)-1),""))</f>
        <v/>
      </c>
      <c r="AH893" s="94" t="n"/>
      <c r="AI893" s="94" t="n"/>
      <c r="AJ893" s="94" t="n"/>
      <c r="AK893" s="94" t="n"/>
      <c r="AL893" s="84" t="n"/>
    </row>
    <row r="894">
      <c r="A894" s="64" t="n"/>
      <c r="B894" s="65" t="n"/>
      <c r="C894" s="66" t="n"/>
      <c r="D894" s="67" t="n"/>
      <c r="E894" s="68" t="n"/>
      <c r="F894" s="47">
        <f>IF(A894="","",IF(MIN(H894,MAX(J894:K894))=0,"",MIN(H894,MAX(J894:K894))))</f>
        <v/>
      </c>
      <c r="G894" s="74" t="n"/>
      <c r="H894" s="49">
        <f>IF(M894="","",IFERROR(ROUND(AVERAGE(T894+M894*{7,8,9,10,11})/1.21,4),""))</f>
        <v/>
      </c>
      <c r="I894" s="76" t="n"/>
      <c r="J894" s="77" t="n"/>
      <c r="K894" s="74" t="n"/>
      <c r="L894" s="78" t="n"/>
      <c r="M894" s="77" t="n"/>
      <c r="N894" s="53">
        <f>IF(M894="","",IFERROR(M894/I894,""))</f>
        <v/>
      </c>
      <c r="O894" s="50">
        <f>IF(A894="","",IFERROR((IF(G894="",I894,G894)-T894)/M894,""))</f>
        <v/>
      </c>
      <c r="P894" s="50">
        <f>IFERROR((I894/T894-1)/N894,"")</f>
        <v/>
      </c>
      <c r="Q894" s="46">
        <f>IF(OR(T894="",I894&lt;T894),"",IFERROR(R894/IF(G894="",I894,G894)-1,""))</f>
        <v/>
      </c>
      <c r="R894" s="48">
        <f>IF($M894="","",MAX(IF($G894="",$I894,$G894)*(1/1.1),IF($G894="",$I894,$G894)+(R$2*$M894)))</f>
        <v/>
      </c>
      <c r="S894" s="49">
        <f>IF($M894="","",MAX(IF($G894="",$I894,$G894)*(1/1.1),IF($G894="",$I894,$G894)+(S$2*$M894)))</f>
        <v/>
      </c>
      <c r="T894" s="82" t="n"/>
      <c r="U894" s="47">
        <f>IF(OR($M894="",$T894=""),"",$T894+(U$2*$M894))</f>
        <v/>
      </c>
      <c r="V894" s="48">
        <f>IF(OR($M894="",$T894=""),"",$T894+(V$2*$M894))</f>
        <v/>
      </c>
      <c r="W894" s="48">
        <f>IF(OR($M894="",$T894=""),"",$T894+(W$2*$M894))</f>
        <v/>
      </c>
      <c r="X894" s="49">
        <f>IF(OR($M894="",$T894=""),"",$T894+(X$2*$M894))</f>
        <v/>
      </c>
      <c r="Y894" s="47">
        <f>IF(OR($M894="",$T894=""),"",$T894+(Y$2*$M894))</f>
        <v/>
      </c>
      <c r="Z894" s="49">
        <f>IF(OR($M894="",$T894=""),"",$T894+(Z$2*$M894))</f>
        <v/>
      </c>
      <c r="AA894" s="51">
        <f>IF(OR($M894="",$T894=""),"",$T894+(AA$2*$M894))</f>
        <v/>
      </c>
      <c r="AB894" s="48">
        <f>IF(OR($M894="",$T894=""),"",$T894+(AB$2*$M894))</f>
        <v/>
      </c>
      <c r="AC894" s="48">
        <f>IF(OR($M894="",$T894=""),"",$T894+(AC$2*$M894))</f>
        <v/>
      </c>
      <c r="AD894" s="48">
        <f>IF(OR($M894="",$T894=""),"",$T894+(AD$2*$M894))</f>
        <v/>
      </c>
      <c r="AE894" s="49">
        <f>IF(OR($M894="",$T894=""),"",$T894+(AE$2*$M894))</f>
        <v/>
      </c>
      <c r="AF894" s="52">
        <f>IF(OR(T894="",I894&lt;T894),"",IFERROR(AVERAGE(T894+M894*{7,8,9,10,11})/IF(G894="",I894,G894)-1,""))</f>
        <v/>
      </c>
      <c r="AG894" s="55">
        <f>IF(OR(T894="",I894&lt;T894),"",IFERROR(AF894/-(R894/IF(G894="",I894,G894)-1),""))</f>
        <v/>
      </c>
      <c r="AH894" s="94" t="n"/>
      <c r="AI894" s="94" t="n"/>
      <c r="AJ894" s="94" t="n"/>
      <c r="AK894" s="94" t="n"/>
      <c r="AL894" s="84" t="n"/>
    </row>
    <row r="895">
      <c r="A895" s="64" t="n"/>
      <c r="B895" s="65" t="n"/>
      <c r="C895" s="66" t="n"/>
      <c r="D895" s="67" t="n"/>
      <c r="E895" s="68" t="n"/>
      <c r="F895" s="47">
        <f>IF(A895="","",IF(MIN(H895,MAX(J895:K895))=0,"",MIN(H895,MAX(J895:K895))))</f>
        <v/>
      </c>
      <c r="G895" s="74" t="n"/>
      <c r="H895" s="49">
        <f>IF(M895="","",IFERROR(ROUND(AVERAGE(T895+M895*{7,8,9,10,11})/1.21,4),""))</f>
        <v/>
      </c>
      <c r="I895" s="76" t="n"/>
      <c r="J895" s="77" t="n"/>
      <c r="K895" s="74" t="n"/>
      <c r="L895" s="78" t="n"/>
      <c r="M895" s="77" t="n"/>
      <c r="N895" s="53">
        <f>IF(M895="","",IFERROR(M895/I895,""))</f>
        <v/>
      </c>
      <c r="O895" s="50">
        <f>IF(A895="","",IFERROR((IF(G895="",I895,G895)-T895)/M895,""))</f>
        <v/>
      </c>
      <c r="P895" s="50">
        <f>IFERROR((I895/T895-1)/N895,"")</f>
        <v/>
      </c>
      <c r="Q895" s="46">
        <f>IF(OR(T895="",I895&lt;T895),"",IFERROR(R895/IF(G895="",I895,G895)-1,""))</f>
        <v/>
      </c>
      <c r="R895" s="48">
        <f>IF($M895="","",MAX(IF($G895="",$I895,$G895)*(1/1.1),IF($G895="",$I895,$G895)+(R$2*$M895)))</f>
        <v/>
      </c>
      <c r="S895" s="49">
        <f>IF($M895="","",MAX(IF($G895="",$I895,$G895)*(1/1.1),IF($G895="",$I895,$G895)+(S$2*$M895)))</f>
        <v/>
      </c>
      <c r="T895" s="82" t="n"/>
      <c r="U895" s="47">
        <f>IF(OR($M895="",$T895=""),"",$T895+(U$2*$M895))</f>
        <v/>
      </c>
      <c r="V895" s="48">
        <f>IF(OR($M895="",$T895=""),"",$T895+(V$2*$M895))</f>
        <v/>
      </c>
      <c r="W895" s="48">
        <f>IF(OR($M895="",$T895=""),"",$T895+(W$2*$M895))</f>
        <v/>
      </c>
      <c r="X895" s="49">
        <f>IF(OR($M895="",$T895=""),"",$T895+(X$2*$M895))</f>
        <v/>
      </c>
      <c r="Y895" s="47">
        <f>IF(OR($M895="",$T895=""),"",$T895+(Y$2*$M895))</f>
        <v/>
      </c>
      <c r="Z895" s="49">
        <f>IF(OR($M895="",$T895=""),"",$T895+(Z$2*$M895))</f>
        <v/>
      </c>
      <c r="AA895" s="51">
        <f>IF(OR($M895="",$T895=""),"",$T895+(AA$2*$M895))</f>
        <v/>
      </c>
      <c r="AB895" s="48">
        <f>IF(OR($M895="",$T895=""),"",$T895+(AB$2*$M895))</f>
        <v/>
      </c>
      <c r="AC895" s="48">
        <f>IF(OR($M895="",$T895=""),"",$T895+(AC$2*$M895))</f>
        <v/>
      </c>
      <c r="AD895" s="48">
        <f>IF(OR($M895="",$T895=""),"",$T895+(AD$2*$M895))</f>
        <v/>
      </c>
      <c r="AE895" s="49">
        <f>IF(OR($M895="",$T895=""),"",$T895+(AE$2*$M895))</f>
        <v/>
      </c>
      <c r="AF895" s="52">
        <f>IF(OR(T895="",I895&lt;T895),"",IFERROR(AVERAGE(T895+M895*{7,8,9,10,11})/IF(G895="",I895,G895)-1,""))</f>
        <v/>
      </c>
      <c r="AG895" s="55">
        <f>IF(OR(T895="",I895&lt;T895),"",IFERROR(AF895/-(R895/IF(G895="",I895,G895)-1),""))</f>
        <v/>
      </c>
      <c r="AH895" s="94" t="n"/>
      <c r="AI895" s="94" t="n"/>
      <c r="AJ895" s="94" t="n"/>
      <c r="AK895" s="94" t="n"/>
      <c r="AL895" s="84" t="n"/>
    </row>
    <row r="896">
      <c r="A896" s="64" t="n"/>
      <c r="B896" s="65" t="n"/>
      <c r="C896" s="66" t="n"/>
      <c r="D896" s="67" t="n"/>
      <c r="E896" s="68" t="n"/>
      <c r="F896" s="47">
        <f>IF(A896="","",IF(MIN(H896,MAX(J896:K896))=0,"",MIN(H896,MAX(J896:K896))))</f>
        <v/>
      </c>
      <c r="G896" s="74" t="n"/>
      <c r="H896" s="49">
        <f>IF(M896="","",IFERROR(ROUND(AVERAGE(T896+M896*{7,8,9,10,11})/1.21,4),""))</f>
        <v/>
      </c>
      <c r="I896" s="76" t="n"/>
      <c r="J896" s="77" t="n"/>
      <c r="K896" s="74" t="n"/>
      <c r="L896" s="78" t="n"/>
      <c r="M896" s="77" t="n"/>
      <c r="N896" s="53">
        <f>IF(M896="","",IFERROR(M896/I896,""))</f>
        <v/>
      </c>
      <c r="O896" s="50">
        <f>IF(A896="","",IFERROR((IF(G896="",I896,G896)-T896)/M896,""))</f>
        <v/>
      </c>
      <c r="P896" s="50">
        <f>IFERROR((I896/T896-1)/N896,"")</f>
        <v/>
      </c>
      <c r="Q896" s="46">
        <f>IF(OR(T896="",I896&lt;T896),"",IFERROR(R896/IF(G896="",I896,G896)-1,""))</f>
        <v/>
      </c>
      <c r="R896" s="48">
        <f>IF($M896="","",MAX(IF($G896="",$I896,$G896)*(1/1.1),IF($G896="",$I896,$G896)+(R$2*$M896)))</f>
        <v/>
      </c>
      <c r="S896" s="49">
        <f>IF($M896="","",MAX(IF($G896="",$I896,$G896)*(1/1.1),IF($G896="",$I896,$G896)+(S$2*$M896)))</f>
        <v/>
      </c>
      <c r="T896" s="82" t="n"/>
      <c r="U896" s="47">
        <f>IF(OR($M896="",$T896=""),"",$T896+(U$2*$M896))</f>
        <v/>
      </c>
      <c r="V896" s="48">
        <f>IF(OR($M896="",$T896=""),"",$T896+(V$2*$M896))</f>
        <v/>
      </c>
      <c r="W896" s="48">
        <f>IF(OR($M896="",$T896=""),"",$T896+(W$2*$M896))</f>
        <v/>
      </c>
      <c r="X896" s="49">
        <f>IF(OR($M896="",$T896=""),"",$T896+(X$2*$M896))</f>
        <v/>
      </c>
      <c r="Y896" s="47">
        <f>IF(OR($M896="",$T896=""),"",$T896+(Y$2*$M896))</f>
        <v/>
      </c>
      <c r="Z896" s="49">
        <f>IF(OR($M896="",$T896=""),"",$T896+(Z$2*$M896))</f>
        <v/>
      </c>
      <c r="AA896" s="51">
        <f>IF(OR($M896="",$T896=""),"",$T896+(AA$2*$M896))</f>
        <v/>
      </c>
      <c r="AB896" s="48">
        <f>IF(OR($M896="",$T896=""),"",$T896+(AB$2*$M896))</f>
        <v/>
      </c>
      <c r="AC896" s="48">
        <f>IF(OR($M896="",$T896=""),"",$T896+(AC$2*$M896))</f>
        <v/>
      </c>
      <c r="AD896" s="48">
        <f>IF(OR($M896="",$T896=""),"",$T896+(AD$2*$M896))</f>
        <v/>
      </c>
      <c r="AE896" s="49">
        <f>IF(OR($M896="",$T896=""),"",$T896+(AE$2*$M896))</f>
        <v/>
      </c>
      <c r="AF896" s="52">
        <f>IF(OR(T896="",I896&lt;T896),"",IFERROR(AVERAGE(T896+M896*{7,8,9,10,11})/IF(G896="",I896,G896)-1,""))</f>
        <v/>
      </c>
      <c r="AG896" s="55">
        <f>IF(OR(T896="",I896&lt;T896),"",IFERROR(AF896/-(R896/IF(G896="",I896,G896)-1),""))</f>
        <v/>
      </c>
      <c r="AH896" s="94" t="n"/>
      <c r="AI896" s="94" t="n"/>
      <c r="AJ896" s="94" t="n"/>
      <c r="AK896" s="94" t="n"/>
      <c r="AL896" s="84" t="n"/>
    </row>
    <row r="897">
      <c r="A897" s="64" t="n"/>
      <c r="B897" s="65" t="n"/>
      <c r="C897" s="66" t="n"/>
      <c r="D897" s="67" t="n"/>
      <c r="E897" s="68" t="n"/>
      <c r="F897" s="47">
        <f>IF(A897="","",IF(MIN(H897,MAX(J897:K897))=0,"",MIN(H897,MAX(J897:K897))))</f>
        <v/>
      </c>
      <c r="G897" s="74" t="n"/>
      <c r="H897" s="49">
        <f>IF(M897="","",IFERROR(ROUND(AVERAGE(T897+M897*{7,8,9,10,11})/1.21,4),""))</f>
        <v/>
      </c>
      <c r="I897" s="76" t="n"/>
      <c r="J897" s="77" t="n"/>
      <c r="K897" s="74" t="n"/>
      <c r="L897" s="78" t="n"/>
      <c r="M897" s="77" t="n"/>
      <c r="N897" s="53">
        <f>IF(M897="","",IFERROR(M897/I897,""))</f>
        <v/>
      </c>
      <c r="O897" s="50">
        <f>IF(A897="","",IFERROR((IF(G897="",I897,G897)-T897)/M897,""))</f>
        <v/>
      </c>
      <c r="P897" s="50">
        <f>IFERROR((I897/T897-1)/N897,"")</f>
        <v/>
      </c>
      <c r="Q897" s="46">
        <f>IF(OR(T897="",I897&lt;T897),"",IFERROR(R897/IF(G897="",I897,G897)-1,""))</f>
        <v/>
      </c>
      <c r="R897" s="48">
        <f>IF($M897="","",MAX(IF($G897="",$I897,$G897)*(1/1.1),IF($G897="",$I897,$G897)+(R$2*$M897)))</f>
        <v/>
      </c>
      <c r="S897" s="49">
        <f>IF($M897="","",MAX(IF($G897="",$I897,$G897)*(1/1.1),IF($G897="",$I897,$G897)+(S$2*$M897)))</f>
        <v/>
      </c>
      <c r="T897" s="82" t="n"/>
      <c r="U897" s="47">
        <f>IF(OR($M897="",$T897=""),"",$T897+(U$2*$M897))</f>
        <v/>
      </c>
      <c r="V897" s="48">
        <f>IF(OR($M897="",$T897=""),"",$T897+(V$2*$M897))</f>
        <v/>
      </c>
      <c r="W897" s="48">
        <f>IF(OR($M897="",$T897=""),"",$T897+(W$2*$M897))</f>
        <v/>
      </c>
      <c r="X897" s="49">
        <f>IF(OR($M897="",$T897=""),"",$T897+(X$2*$M897))</f>
        <v/>
      </c>
      <c r="Y897" s="47">
        <f>IF(OR($M897="",$T897=""),"",$T897+(Y$2*$M897))</f>
        <v/>
      </c>
      <c r="Z897" s="49">
        <f>IF(OR($M897="",$T897=""),"",$T897+(Z$2*$M897))</f>
        <v/>
      </c>
      <c r="AA897" s="51">
        <f>IF(OR($M897="",$T897=""),"",$T897+(AA$2*$M897))</f>
        <v/>
      </c>
      <c r="AB897" s="48">
        <f>IF(OR($M897="",$T897=""),"",$T897+(AB$2*$M897))</f>
        <v/>
      </c>
      <c r="AC897" s="48">
        <f>IF(OR($M897="",$T897=""),"",$T897+(AC$2*$M897))</f>
        <v/>
      </c>
      <c r="AD897" s="48">
        <f>IF(OR($M897="",$T897=""),"",$T897+(AD$2*$M897))</f>
        <v/>
      </c>
      <c r="AE897" s="49">
        <f>IF(OR($M897="",$T897=""),"",$T897+(AE$2*$M897))</f>
        <v/>
      </c>
      <c r="AF897" s="52">
        <f>IF(OR(T897="",I897&lt;T897),"",IFERROR(AVERAGE(T897+M897*{7,8,9,10,11})/IF(G897="",I897,G897)-1,""))</f>
        <v/>
      </c>
      <c r="AG897" s="55">
        <f>IF(OR(T897="",I897&lt;T897),"",IFERROR(AF897/-(R897/IF(G897="",I897,G897)-1),""))</f>
        <v/>
      </c>
      <c r="AH897" s="94" t="n"/>
      <c r="AI897" s="94" t="n"/>
      <c r="AJ897" s="94" t="n"/>
      <c r="AK897" s="94" t="n"/>
      <c r="AL897" s="84" t="n"/>
    </row>
    <row r="898">
      <c r="A898" s="64" t="n"/>
      <c r="B898" s="65" t="n"/>
      <c r="C898" s="66" t="n"/>
      <c r="D898" s="67" t="n"/>
      <c r="E898" s="68" t="n"/>
      <c r="F898" s="47">
        <f>IF(A898="","",IF(MIN(H898,MAX(J898:K898))=0,"",MIN(H898,MAX(J898:K898))))</f>
        <v/>
      </c>
      <c r="G898" s="74" t="n"/>
      <c r="H898" s="49">
        <f>IF(M898="","",IFERROR(ROUND(AVERAGE(T898+M898*{7,8,9,10,11})/1.21,4),""))</f>
        <v/>
      </c>
      <c r="I898" s="76" t="n"/>
      <c r="J898" s="77" t="n"/>
      <c r="K898" s="74" t="n"/>
      <c r="L898" s="78" t="n"/>
      <c r="M898" s="77" t="n"/>
      <c r="N898" s="53">
        <f>IF(M898="","",IFERROR(M898/I898,""))</f>
        <v/>
      </c>
      <c r="O898" s="50">
        <f>IF(A898="","",IFERROR((IF(G898="",I898,G898)-T898)/M898,""))</f>
        <v/>
      </c>
      <c r="P898" s="50">
        <f>IFERROR((I898/T898-1)/N898,"")</f>
        <v/>
      </c>
      <c r="Q898" s="46">
        <f>IF(OR(T898="",I898&lt;T898),"",IFERROR(R898/IF(G898="",I898,G898)-1,""))</f>
        <v/>
      </c>
      <c r="R898" s="48">
        <f>IF($M898="","",MAX(IF($G898="",$I898,$G898)*(1/1.1),IF($G898="",$I898,$G898)+(R$2*$M898)))</f>
        <v/>
      </c>
      <c r="S898" s="49">
        <f>IF($M898="","",MAX(IF($G898="",$I898,$G898)*(1/1.1),IF($G898="",$I898,$G898)+(S$2*$M898)))</f>
        <v/>
      </c>
      <c r="T898" s="82" t="n"/>
      <c r="U898" s="47">
        <f>IF(OR($M898="",$T898=""),"",$T898+(U$2*$M898))</f>
        <v/>
      </c>
      <c r="V898" s="48">
        <f>IF(OR($M898="",$T898=""),"",$T898+(V$2*$M898))</f>
        <v/>
      </c>
      <c r="W898" s="48">
        <f>IF(OR($M898="",$T898=""),"",$T898+(W$2*$M898))</f>
        <v/>
      </c>
      <c r="X898" s="49">
        <f>IF(OR($M898="",$T898=""),"",$T898+(X$2*$M898))</f>
        <v/>
      </c>
      <c r="Y898" s="47">
        <f>IF(OR($M898="",$T898=""),"",$T898+(Y$2*$M898))</f>
        <v/>
      </c>
      <c r="Z898" s="49">
        <f>IF(OR($M898="",$T898=""),"",$T898+(Z$2*$M898))</f>
        <v/>
      </c>
      <c r="AA898" s="51">
        <f>IF(OR($M898="",$T898=""),"",$T898+(AA$2*$M898))</f>
        <v/>
      </c>
      <c r="AB898" s="48">
        <f>IF(OR($M898="",$T898=""),"",$T898+(AB$2*$M898))</f>
        <v/>
      </c>
      <c r="AC898" s="48">
        <f>IF(OR($M898="",$T898=""),"",$T898+(AC$2*$M898))</f>
        <v/>
      </c>
      <c r="AD898" s="48">
        <f>IF(OR($M898="",$T898=""),"",$T898+(AD$2*$M898))</f>
        <v/>
      </c>
      <c r="AE898" s="49">
        <f>IF(OR($M898="",$T898=""),"",$T898+(AE$2*$M898))</f>
        <v/>
      </c>
      <c r="AF898" s="52">
        <f>IF(OR(T898="",I898&lt;T898),"",IFERROR(AVERAGE(T898+M898*{7,8,9,10,11})/IF(G898="",I898,G898)-1,""))</f>
        <v/>
      </c>
      <c r="AG898" s="55">
        <f>IF(OR(T898="",I898&lt;T898),"",IFERROR(AF898/-(R898/IF(G898="",I898,G898)-1),""))</f>
        <v/>
      </c>
      <c r="AH898" s="94" t="n"/>
      <c r="AI898" s="94" t="n"/>
      <c r="AJ898" s="94" t="n"/>
      <c r="AK898" s="94" t="n"/>
      <c r="AL898" s="84" t="n"/>
    </row>
    <row r="899">
      <c r="A899" s="64" t="n"/>
      <c r="B899" s="65" t="n"/>
      <c r="C899" s="66" t="n"/>
      <c r="D899" s="67" t="n"/>
      <c r="E899" s="68" t="n"/>
      <c r="F899" s="47">
        <f>IF(A899="","",IF(MIN(H899,MAX(J899:K899))=0,"",MIN(H899,MAX(J899:K899))))</f>
        <v/>
      </c>
      <c r="G899" s="74" t="n"/>
      <c r="H899" s="49">
        <f>IF(M899="","",IFERROR(ROUND(AVERAGE(T899+M899*{7,8,9,10,11})/1.21,4),""))</f>
        <v/>
      </c>
      <c r="I899" s="76" t="n"/>
      <c r="J899" s="77" t="n"/>
      <c r="K899" s="74" t="n"/>
      <c r="L899" s="78" t="n"/>
      <c r="M899" s="77" t="n"/>
      <c r="N899" s="53">
        <f>IF(M899="","",IFERROR(M899/I899,""))</f>
        <v/>
      </c>
      <c r="O899" s="50">
        <f>IF(A899="","",IFERROR((IF(G899="",I899,G899)-T899)/M899,""))</f>
        <v/>
      </c>
      <c r="P899" s="50">
        <f>IFERROR((I899/T899-1)/N899,"")</f>
        <v/>
      </c>
      <c r="Q899" s="46">
        <f>IF(OR(T899="",I899&lt;T899),"",IFERROR(R899/IF(G899="",I899,G899)-1,""))</f>
        <v/>
      </c>
      <c r="R899" s="48">
        <f>IF($M899="","",MAX(IF($G899="",$I899,$G899)*(1/1.1),IF($G899="",$I899,$G899)+(R$2*$M899)))</f>
        <v/>
      </c>
      <c r="S899" s="49">
        <f>IF($M899="","",MAX(IF($G899="",$I899,$G899)*(1/1.1),IF($G899="",$I899,$G899)+(S$2*$M899)))</f>
        <v/>
      </c>
      <c r="T899" s="82" t="n"/>
      <c r="U899" s="47">
        <f>IF(OR($M899="",$T899=""),"",$T899+(U$2*$M899))</f>
        <v/>
      </c>
      <c r="V899" s="48">
        <f>IF(OR($M899="",$T899=""),"",$T899+(V$2*$M899))</f>
        <v/>
      </c>
      <c r="W899" s="48">
        <f>IF(OR($M899="",$T899=""),"",$T899+(W$2*$M899))</f>
        <v/>
      </c>
      <c r="X899" s="49">
        <f>IF(OR($M899="",$T899=""),"",$T899+(X$2*$M899))</f>
        <v/>
      </c>
      <c r="Y899" s="47">
        <f>IF(OR($M899="",$T899=""),"",$T899+(Y$2*$M899))</f>
        <v/>
      </c>
      <c r="Z899" s="49">
        <f>IF(OR($M899="",$T899=""),"",$T899+(Z$2*$M899))</f>
        <v/>
      </c>
      <c r="AA899" s="51">
        <f>IF(OR($M899="",$T899=""),"",$T899+(AA$2*$M899))</f>
        <v/>
      </c>
      <c r="AB899" s="48">
        <f>IF(OR($M899="",$T899=""),"",$T899+(AB$2*$M899))</f>
        <v/>
      </c>
      <c r="AC899" s="48">
        <f>IF(OR($M899="",$T899=""),"",$T899+(AC$2*$M899))</f>
        <v/>
      </c>
      <c r="AD899" s="48">
        <f>IF(OR($M899="",$T899=""),"",$T899+(AD$2*$M899))</f>
        <v/>
      </c>
      <c r="AE899" s="49">
        <f>IF(OR($M899="",$T899=""),"",$T899+(AE$2*$M899))</f>
        <v/>
      </c>
      <c r="AF899" s="52">
        <f>IF(OR(T899="",I899&lt;T899),"",IFERROR(AVERAGE(T899+M899*{7,8,9,10,11})/IF(G899="",I899,G899)-1,""))</f>
        <v/>
      </c>
      <c r="AG899" s="55">
        <f>IF(OR(T899="",I899&lt;T899),"",IFERROR(AF899/-(R899/IF(G899="",I899,G899)-1),""))</f>
        <v/>
      </c>
      <c r="AH899" s="94" t="n"/>
      <c r="AI899" s="94" t="n"/>
      <c r="AJ899" s="94" t="n"/>
      <c r="AK899" s="94" t="n"/>
      <c r="AL899" s="84" t="n"/>
    </row>
    <row r="900">
      <c r="A900" s="64" t="n"/>
      <c r="B900" s="65" t="n"/>
      <c r="C900" s="66" t="n"/>
      <c r="D900" s="67" t="n"/>
      <c r="E900" s="68" t="n"/>
      <c r="F900" s="47">
        <f>IF(A900="","",IF(MIN(H900,MAX(J900:K900))=0,"",MIN(H900,MAX(J900:K900))))</f>
        <v/>
      </c>
      <c r="G900" s="74" t="n"/>
      <c r="H900" s="49">
        <f>IF(M900="","",IFERROR(ROUND(AVERAGE(T900+M900*{7,8,9,10,11})/1.21,4),""))</f>
        <v/>
      </c>
      <c r="I900" s="76" t="n"/>
      <c r="J900" s="77" t="n"/>
      <c r="K900" s="74" t="n"/>
      <c r="L900" s="78" t="n"/>
      <c r="M900" s="77" t="n"/>
      <c r="N900" s="53">
        <f>IF(M900="","",IFERROR(M900/I900,""))</f>
        <v/>
      </c>
      <c r="O900" s="50">
        <f>IF(A900="","",IFERROR((IF(G900="",I900,G900)-T900)/M900,""))</f>
        <v/>
      </c>
      <c r="P900" s="50">
        <f>IFERROR((I900/T900-1)/N900,"")</f>
        <v/>
      </c>
      <c r="Q900" s="46">
        <f>IF(OR(T900="",I900&lt;T900),"",IFERROR(R900/IF(G900="",I900,G900)-1,""))</f>
        <v/>
      </c>
      <c r="R900" s="48">
        <f>IF($M900="","",MAX(IF($G900="",$I900,$G900)*(1/1.1),IF($G900="",$I900,$G900)+(R$2*$M900)))</f>
        <v/>
      </c>
      <c r="S900" s="49">
        <f>IF($M900="","",MAX(IF($G900="",$I900,$G900)*(1/1.1),IF($G900="",$I900,$G900)+(S$2*$M900)))</f>
        <v/>
      </c>
      <c r="T900" s="82" t="n"/>
      <c r="U900" s="47">
        <f>IF(OR($M900="",$T900=""),"",$T900+(U$2*$M900))</f>
        <v/>
      </c>
      <c r="V900" s="48">
        <f>IF(OR($M900="",$T900=""),"",$T900+(V$2*$M900))</f>
        <v/>
      </c>
      <c r="W900" s="48">
        <f>IF(OR($M900="",$T900=""),"",$T900+(W$2*$M900))</f>
        <v/>
      </c>
      <c r="X900" s="49">
        <f>IF(OR($M900="",$T900=""),"",$T900+(X$2*$M900))</f>
        <v/>
      </c>
      <c r="Y900" s="47">
        <f>IF(OR($M900="",$T900=""),"",$T900+(Y$2*$M900))</f>
        <v/>
      </c>
      <c r="Z900" s="49">
        <f>IF(OR($M900="",$T900=""),"",$T900+(Z$2*$M900))</f>
        <v/>
      </c>
      <c r="AA900" s="51">
        <f>IF(OR($M900="",$T900=""),"",$T900+(AA$2*$M900))</f>
        <v/>
      </c>
      <c r="AB900" s="48">
        <f>IF(OR($M900="",$T900=""),"",$T900+(AB$2*$M900))</f>
        <v/>
      </c>
      <c r="AC900" s="48">
        <f>IF(OR($M900="",$T900=""),"",$T900+(AC$2*$M900))</f>
        <v/>
      </c>
      <c r="AD900" s="48">
        <f>IF(OR($M900="",$T900=""),"",$T900+(AD$2*$M900))</f>
        <v/>
      </c>
      <c r="AE900" s="49">
        <f>IF(OR($M900="",$T900=""),"",$T900+(AE$2*$M900))</f>
        <v/>
      </c>
      <c r="AF900" s="52">
        <f>IF(OR(T900="",I900&lt;T900),"",IFERROR(AVERAGE(T900+M900*{7,8,9,10,11})/IF(G900="",I900,G900)-1,""))</f>
        <v/>
      </c>
      <c r="AG900" s="55">
        <f>IF(OR(T900="",I900&lt;T900),"",IFERROR(AF900/-(R900/IF(G900="",I900,G900)-1),""))</f>
        <v/>
      </c>
      <c r="AH900" s="94" t="n"/>
      <c r="AI900" s="94" t="n"/>
      <c r="AJ900" s="94" t="n"/>
      <c r="AK900" s="94" t="n"/>
      <c r="AL900" s="84" t="n"/>
    </row>
    <row r="901">
      <c r="A901" s="64" t="n"/>
      <c r="B901" s="65" t="n"/>
      <c r="C901" s="66" t="n"/>
      <c r="D901" s="67" t="n"/>
      <c r="E901" s="68" t="n"/>
      <c r="F901" s="47">
        <f>IF(A901="","",IF(MIN(H901,MAX(J901:K901))=0,"",MIN(H901,MAX(J901:K901))))</f>
        <v/>
      </c>
      <c r="G901" s="74" t="n"/>
      <c r="H901" s="49">
        <f>IF(M901="","",IFERROR(ROUND(AVERAGE(T901+M901*{7,8,9,10,11})/1.21,4),""))</f>
        <v/>
      </c>
      <c r="I901" s="76" t="n"/>
      <c r="J901" s="77" t="n"/>
      <c r="K901" s="74" t="n"/>
      <c r="L901" s="78" t="n"/>
      <c r="M901" s="77" t="n"/>
      <c r="N901" s="53">
        <f>IF(M901="","",IFERROR(M901/I901,""))</f>
        <v/>
      </c>
      <c r="O901" s="50">
        <f>IF(A901="","",IFERROR((IF(G901="",I901,G901)-T901)/M901,""))</f>
        <v/>
      </c>
      <c r="P901" s="50">
        <f>IFERROR((I901/T901-1)/N901,"")</f>
        <v/>
      </c>
      <c r="Q901" s="46">
        <f>IF(OR(T901="",I901&lt;T901),"",IFERROR(R901/IF(G901="",I901,G901)-1,""))</f>
        <v/>
      </c>
      <c r="R901" s="48">
        <f>IF($M901="","",MAX(IF($G901="",$I901,$G901)*(1/1.1),IF($G901="",$I901,$G901)+(R$2*$M901)))</f>
        <v/>
      </c>
      <c r="S901" s="49">
        <f>IF($M901="","",MAX(IF($G901="",$I901,$G901)*(1/1.1),IF($G901="",$I901,$G901)+(S$2*$M901)))</f>
        <v/>
      </c>
      <c r="T901" s="82" t="n"/>
      <c r="U901" s="47">
        <f>IF(OR($M901="",$T901=""),"",$T901+(U$2*$M901))</f>
        <v/>
      </c>
      <c r="V901" s="48">
        <f>IF(OR($M901="",$T901=""),"",$T901+(V$2*$M901))</f>
        <v/>
      </c>
      <c r="W901" s="48">
        <f>IF(OR($M901="",$T901=""),"",$T901+(W$2*$M901))</f>
        <v/>
      </c>
      <c r="X901" s="49">
        <f>IF(OR($M901="",$T901=""),"",$T901+(X$2*$M901))</f>
        <v/>
      </c>
      <c r="Y901" s="47">
        <f>IF(OR($M901="",$T901=""),"",$T901+(Y$2*$M901))</f>
        <v/>
      </c>
      <c r="Z901" s="49">
        <f>IF(OR($M901="",$T901=""),"",$T901+(Z$2*$M901))</f>
        <v/>
      </c>
      <c r="AA901" s="51">
        <f>IF(OR($M901="",$T901=""),"",$T901+(AA$2*$M901))</f>
        <v/>
      </c>
      <c r="AB901" s="48">
        <f>IF(OR($M901="",$T901=""),"",$T901+(AB$2*$M901))</f>
        <v/>
      </c>
      <c r="AC901" s="48">
        <f>IF(OR($M901="",$T901=""),"",$T901+(AC$2*$M901))</f>
        <v/>
      </c>
      <c r="AD901" s="48">
        <f>IF(OR($M901="",$T901=""),"",$T901+(AD$2*$M901))</f>
        <v/>
      </c>
      <c r="AE901" s="49">
        <f>IF(OR($M901="",$T901=""),"",$T901+(AE$2*$M901))</f>
        <v/>
      </c>
      <c r="AF901" s="52">
        <f>IF(OR(T901="",I901&lt;T901),"",IFERROR(AVERAGE(T901+M901*{7,8,9,10,11})/IF(G901="",I901,G901)-1,""))</f>
        <v/>
      </c>
      <c r="AG901" s="55">
        <f>IF(OR(T901="",I901&lt;T901),"",IFERROR(AF901/-(R901/IF(G901="",I901,G901)-1),""))</f>
        <v/>
      </c>
      <c r="AH901" s="94" t="n"/>
      <c r="AI901" s="94" t="n"/>
      <c r="AJ901" s="94" t="n"/>
      <c r="AK901" s="94" t="n"/>
      <c r="AL901" s="84" t="n"/>
    </row>
    <row r="902">
      <c r="A902" s="64" t="n"/>
      <c r="B902" s="65" t="n"/>
      <c r="C902" s="66" t="n"/>
      <c r="D902" s="67" t="n"/>
      <c r="E902" s="68" t="n"/>
      <c r="F902" s="47">
        <f>IF(A902="","",IF(MIN(H902,MAX(J902:K902))=0,"",MIN(H902,MAX(J902:K902))))</f>
        <v/>
      </c>
      <c r="G902" s="74" t="n"/>
      <c r="H902" s="49">
        <f>IF(M902="","",IFERROR(ROUND(AVERAGE(T902+M902*{7,8,9,10,11})/1.21,4),""))</f>
        <v/>
      </c>
      <c r="I902" s="76" t="n"/>
      <c r="J902" s="77" t="n"/>
      <c r="K902" s="74" t="n"/>
      <c r="L902" s="78" t="n"/>
      <c r="M902" s="77" t="n"/>
      <c r="N902" s="53">
        <f>IF(M902="","",IFERROR(M902/I902,""))</f>
        <v/>
      </c>
      <c r="O902" s="50">
        <f>IF(A902="","",IFERROR((IF(G902="",I902,G902)-T902)/M902,""))</f>
        <v/>
      </c>
      <c r="P902" s="50">
        <f>IFERROR((I902/T902-1)/N902,"")</f>
        <v/>
      </c>
      <c r="Q902" s="46">
        <f>IF(OR(T902="",I902&lt;T902),"",IFERROR(R902/IF(G902="",I902,G902)-1,""))</f>
        <v/>
      </c>
      <c r="R902" s="48">
        <f>IF($M902="","",MAX(IF($G902="",$I902,$G902)*(1/1.1),IF($G902="",$I902,$G902)+(R$2*$M902)))</f>
        <v/>
      </c>
      <c r="S902" s="49">
        <f>IF($M902="","",MAX(IF($G902="",$I902,$G902)*(1/1.1),IF($G902="",$I902,$G902)+(S$2*$M902)))</f>
        <v/>
      </c>
      <c r="T902" s="82" t="n"/>
      <c r="U902" s="47">
        <f>IF(OR($M902="",$T902=""),"",$T902+(U$2*$M902))</f>
        <v/>
      </c>
      <c r="V902" s="48">
        <f>IF(OR($M902="",$T902=""),"",$T902+(V$2*$M902))</f>
        <v/>
      </c>
      <c r="W902" s="48">
        <f>IF(OR($M902="",$T902=""),"",$T902+(W$2*$M902))</f>
        <v/>
      </c>
      <c r="X902" s="49">
        <f>IF(OR($M902="",$T902=""),"",$T902+(X$2*$M902))</f>
        <v/>
      </c>
      <c r="Y902" s="47">
        <f>IF(OR($M902="",$T902=""),"",$T902+(Y$2*$M902))</f>
        <v/>
      </c>
      <c r="Z902" s="49">
        <f>IF(OR($M902="",$T902=""),"",$T902+(Z$2*$M902))</f>
        <v/>
      </c>
      <c r="AA902" s="51">
        <f>IF(OR($M902="",$T902=""),"",$T902+(AA$2*$M902))</f>
        <v/>
      </c>
      <c r="AB902" s="48">
        <f>IF(OR($M902="",$T902=""),"",$T902+(AB$2*$M902))</f>
        <v/>
      </c>
      <c r="AC902" s="48">
        <f>IF(OR($M902="",$T902=""),"",$T902+(AC$2*$M902))</f>
        <v/>
      </c>
      <c r="AD902" s="48">
        <f>IF(OR($M902="",$T902=""),"",$T902+(AD$2*$M902))</f>
        <v/>
      </c>
      <c r="AE902" s="49">
        <f>IF(OR($M902="",$T902=""),"",$T902+(AE$2*$M902))</f>
        <v/>
      </c>
      <c r="AF902" s="52">
        <f>IF(OR(T902="",I902&lt;T902),"",IFERROR(AVERAGE(T902+M902*{7,8,9,10,11})/IF(G902="",I902,G902)-1,""))</f>
        <v/>
      </c>
      <c r="AG902" s="55">
        <f>IF(OR(T902="",I902&lt;T902),"",IFERROR(AF902/-(R902/IF(G902="",I902,G902)-1),""))</f>
        <v/>
      </c>
      <c r="AH902" s="94" t="n"/>
      <c r="AI902" s="94" t="n"/>
      <c r="AJ902" s="94" t="n"/>
      <c r="AK902" s="94" t="n"/>
      <c r="AL902" s="84" t="n"/>
    </row>
    <row r="903">
      <c r="A903" s="64" t="n"/>
      <c r="B903" s="65" t="n"/>
      <c r="C903" s="66" t="n"/>
      <c r="D903" s="67" t="n"/>
      <c r="E903" s="68" t="n"/>
      <c r="F903" s="47">
        <f>IF(A903="","",IF(MIN(H903,MAX(J903:K903))=0,"",MIN(H903,MAX(J903:K903))))</f>
        <v/>
      </c>
      <c r="G903" s="74" t="n"/>
      <c r="H903" s="49">
        <f>IF(M903="","",IFERROR(ROUND(AVERAGE(T903+M903*{7,8,9,10,11})/1.21,4),""))</f>
        <v/>
      </c>
      <c r="I903" s="76" t="n"/>
      <c r="J903" s="77" t="n"/>
      <c r="K903" s="74" t="n"/>
      <c r="L903" s="78" t="n"/>
      <c r="M903" s="77" t="n"/>
      <c r="N903" s="53">
        <f>IF(M903="","",IFERROR(M903/I903,""))</f>
        <v/>
      </c>
      <c r="O903" s="50">
        <f>IF(A903="","",IFERROR((IF(G903="",I903,G903)-T903)/M903,""))</f>
        <v/>
      </c>
      <c r="P903" s="50">
        <f>IFERROR((I903/T903-1)/N903,"")</f>
        <v/>
      </c>
      <c r="Q903" s="46">
        <f>IF(OR(T903="",I903&lt;T903),"",IFERROR(R903/IF(G903="",I903,G903)-1,""))</f>
        <v/>
      </c>
      <c r="R903" s="48">
        <f>IF($M903="","",MAX(IF($G903="",$I903,$G903)*(1/1.1),IF($G903="",$I903,$G903)+(R$2*$M903)))</f>
        <v/>
      </c>
      <c r="S903" s="49">
        <f>IF($M903="","",MAX(IF($G903="",$I903,$G903)*(1/1.1),IF($G903="",$I903,$G903)+(S$2*$M903)))</f>
        <v/>
      </c>
      <c r="T903" s="82" t="n"/>
      <c r="U903" s="47">
        <f>IF(OR($M903="",$T903=""),"",$T903+(U$2*$M903))</f>
        <v/>
      </c>
      <c r="V903" s="48">
        <f>IF(OR($M903="",$T903=""),"",$T903+(V$2*$M903))</f>
        <v/>
      </c>
      <c r="W903" s="48">
        <f>IF(OR($M903="",$T903=""),"",$T903+(W$2*$M903))</f>
        <v/>
      </c>
      <c r="X903" s="49">
        <f>IF(OR($M903="",$T903=""),"",$T903+(X$2*$M903))</f>
        <v/>
      </c>
      <c r="Y903" s="47">
        <f>IF(OR($M903="",$T903=""),"",$T903+(Y$2*$M903))</f>
        <v/>
      </c>
      <c r="Z903" s="49">
        <f>IF(OR($M903="",$T903=""),"",$T903+(Z$2*$M903))</f>
        <v/>
      </c>
      <c r="AA903" s="51">
        <f>IF(OR($M903="",$T903=""),"",$T903+(AA$2*$M903))</f>
        <v/>
      </c>
      <c r="AB903" s="48">
        <f>IF(OR($M903="",$T903=""),"",$T903+(AB$2*$M903))</f>
        <v/>
      </c>
      <c r="AC903" s="48">
        <f>IF(OR($M903="",$T903=""),"",$T903+(AC$2*$M903))</f>
        <v/>
      </c>
      <c r="AD903" s="48">
        <f>IF(OR($M903="",$T903=""),"",$T903+(AD$2*$M903))</f>
        <v/>
      </c>
      <c r="AE903" s="49">
        <f>IF(OR($M903="",$T903=""),"",$T903+(AE$2*$M903))</f>
        <v/>
      </c>
      <c r="AF903" s="52">
        <f>IF(OR(T903="",I903&lt;T903),"",IFERROR(AVERAGE(T903+M903*{7,8,9,10,11})/IF(G903="",I903,G903)-1,""))</f>
        <v/>
      </c>
      <c r="AG903" s="55">
        <f>IF(OR(T903="",I903&lt;T903),"",IFERROR(AF903/-(R903/IF(G903="",I903,G903)-1),""))</f>
        <v/>
      </c>
      <c r="AH903" s="94" t="n"/>
      <c r="AI903" s="94" t="n"/>
      <c r="AJ903" s="94" t="n"/>
      <c r="AK903" s="94" t="n"/>
      <c r="AL903" s="84" t="n"/>
    </row>
    <row r="904">
      <c r="A904" s="64" t="n"/>
      <c r="B904" s="65" t="n"/>
      <c r="C904" s="66" t="n"/>
      <c r="D904" s="67" t="n"/>
      <c r="E904" s="68" t="n"/>
      <c r="F904" s="47">
        <f>IF(A904="","",IF(MIN(H904,MAX(J904:K904))=0,"",MIN(H904,MAX(J904:K904))))</f>
        <v/>
      </c>
      <c r="G904" s="74" t="n"/>
      <c r="H904" s="49">
        <f>IF(M904="","",IFERROR(ROUND(AVERAGE(T904+M904*{7,8,9,10,11})/1.21,4),""))</f>
        <v/>
      </c>
      <c r="I904" s="76" t="n"/>
      <c r="J904" s="77" t="n"/>
      <c r="K904" s="74" t="n"/>
      <c r="L904" s="78" t="n"/>
      <c r="M904" s="77" t="n"/>
      <c r="N904" s="53">
        <f>IF(M904="","",IFERROR(M904/I904,""))</f>
        <v/>
      </c>
      <c r="O904" s="50">
        <f>IF(A904="","",IFERROR((IF(G904="",I904,G904)-T904)/M904,""))</f>
        <v/>
      </c>
      <c r="P904" s="50">
        <f>IFERROR((I904/T904-1)/N904,"")</f>
        <v/>
      </c>
      <c r="Q904" s="46">
        <f>IF(OR(T904="",I904&lt;T904),"",IFERROR(R904/IF(G904="",I904,G904)-1,""))</f>
        <v/>
      </c>
      <c r="R904" s="48">
        <f>IF($M904="","",MAX(IF($G904="",$I904,$G904)*(1/1.1),IF($G904="",$I904,$G904)+(R$2*$M904)))</f>
        <v/>
      </c>
      <c r="S904" s="49">
        <f>IF($M904="","",MAX(IF($G904="",$I904,$G904)*(1/1.1),IF($G904="",$I904,$G904)+(S$2*$M904)))</f>
        <v/>
      </c>
      <c r="T904" s="82" t="n"/>
      <c r="U904" s="47">
        <f>IF(OR($M904="",$T904=""),"",$T904+(U$2*$M904))</f>
        <v/>
      </c>
      <c r="V904" s="48">
        <f>IF(OR($M904="",$T904=""),"",$T904+(V$2*$M904))</f>
        <v/>
      </c>
      <c r="W904" s="48">
        <f>IF(OR($M904="",$T904=""),"",$T904+(W$2*$M904))</f>
        <v/>
      </c>
      <c r="X904" s="49">
        <f>IF(OR($M904="",$T904=""),"",$T904+(X$2*$M904))</f>
        <v/>
      </c>
      <c r="Y904" s="47">
        <f>IF(OR($M904="",$T904=""),"",$T904+(Y$2*$M904))</f>
        <v/>
      </c>
      <c r="Z904" s="49">
        <f>IF(OR($M904="",$T904=""),"",$T904+(Z$2*$M904))</f>
        <v/>
      </c>
      <c r="AA904" s="51">
        <f>IF(OR($M904="",$T904=""),"",$T904+(AA$2*$M904))</f>
        <v/>
      </c>
      <c r="AB904" s="48">
        <f>IF(OR($M904="",$T904=""),"",$T904+(AB$2*$M904))</f>
        <v/>
      </c>
      <c r="AC904" s="48">
        <f>IF(OR($M904="",$T904=""),"",$T904+(AC$2*$M904))</f>
        <v/>
      </c>
      <c r="AD904" s="48">
        <f>IF(OR($M904="",$T904=""),"",$T904+(AD$2*$M904))</f>
        <v/>
      </c>
      <c r="AE904" s="49">
        <f>IF(OR($M904="",$T904=""),"",$T904+(AE$2*$M904))</f>
        <v/>
      </c>
      <c r="AF904" s="52">
        <f>IF(OR(T904="",I904&lt;T904),"",IFERROR(AVERAGE(T904+M904*{7,8,9,10,11})/IF(G904="",I904,G904)-1,""))</f>
        <v/>
      </c>
      <c r="AG904" s="55">
        <f>IF(OR(T904="",I904&lt;T904),"",IFERROR(AF904/-(R904/IF(G904="",I904,G904)-1),""))</f>
        <v/>
      </c>
      <c r="AH904" s="94" t="n"/>
      <c r="AI904" s="94" t="n"/>
      <c r="AJ904" s="94" t="n"/>
      <c r="AK904" s="94" t="n"/>
      <c r="AL904" s="84" t="n"/>
    </row>
    <row r="905">
      <c r="A905" s="64" t="n"/>
      <c r="B905" s="65" t="n"/>
      <c r="C905" s="66" t="n"/>
      <c r="D905" s="67" t="n"/>
      <c r="E905" s="68" t="n"/>
      <c r="F905" s="47">
        <f>IF(A905="","",IF(MIN(H905,MAX(J905:K905))=0,"",MIN(H905,MAX(J905:K905))))</f>
        <v/>
      </c>
      <c r="G905" s="74" t="n"/>
      <c r="H905" s="49">
        <f>IF(M905="","",IFERROR(ROUND(AVERAGE(T905+M905*{7,8,9,10,11})/1.21,4),""))</f>
        <v/>
      </c>
      <c r="I905" s="76" t="n"/>
      <c r="J905" s="77" t="n"/>
      <c r="K905" s="74" t="n"/>
      <c r="L905" s="78" t="n"/>
      <c r="M905" s="77" t="n"/>
      <c r="N905" s="53">
        <f>IF(M905="","",IFERROR(M905/I905,""))</f>
        <v/>
      </c>
      <c r="O905" s="50">
        <f>IF(A905="","",IFERROR((IF(G905="",I905,G905)-T905)/M905,""))</f>
        <v/>
      </c>
      <c r="P905" s="50">
        <f>IFERROR((I905/T905-1)/N905,"")</f>
        <v/>
      </c>
      <c r="Q905" s="46">
        <f>IF(OR(T905="",I905&lt;T905),"",IFERROR(R905/IF(G905="",I905,G905)-1,""))</f>
        <v/>
      </c>
      <c r="R905" s="48">
        <f>IF($M905="","",MAX(IF($G905="",$I905,$G905)*(1/1.1),IF($G905="",$I905,$G905)+(R$2*$M905)))</f>
        <v/>
      </c>
      <c r="S905" s="49">
        <f>IF($M905="","",MAX(IF($G905="",$I905,$G905)*(1/1.1),IF($G905="",$I905,$G905)+(S$2*$M905)))</f>
        <v/>
      </c>
      <c r="T905" s="82" t="n"/>
      <c r="U905" s="47">
        <f>IF(OR($M905="",$T905=""),"",$T905+(U$2*$M905))</f>
        <v/>
      </c>
      <c r="V905" s="48">
        <f>IF(OR($M905="",$T905=""),"",$T905+(V$2*$M905))</f>
        <v/>
      </c>
      <c r="W905" s="48">
        <f>IF(OR($M905="",$T905=""),"",$T905+(W$2*$M905))</f>
        <v/>
      </c>
      <c r="X905" s="49">
        <f>IF(OR($M905="",$T905=""),"",$T905+(X$2*$M905))</f>
        <v/>
      </c>
      <c r="Y905" s="47">
        <f>IF(OR($M905="",$T905=""),"",$T905+(Y$2*$M905))</f>
        <v/>
      </c>
      <c r="Z905" s="49">
        <f>IF(OR($M905="",$T905=""),"",$T905+(Z$2*$M905))</f>
        <v/>
      </c>
      <c r="AA905" s="51">
        <f>IF(OR($M905="",$T905=""),"",$T905+(AA$2*$M905))</f>
        <v/>
      </c>
      <c r="AB905" s="48">
        <f>IF(OR($M905="",$T905=""),"",$T905+(AB$2*$M905))</f>
        <v/>
      </c>
      <c r="AC905" s="48">
        <f>IF(OR($M905="",$T905=""),"",$T905+(AC$2*$M905))</f>
        <v/>
      </c>
      <c r="AD905" s="48">
        <f>IF(OR($M905="",$T905=""),"",$T905+(AD$2*$M905))</f>
        <v/>
      </c>
      <c r="AE905" s="49">
        <f>IF(OR($M905="",$T905=""),"",$T905+(AE$2*$M905))</f>
        <v/>
      </c>
      <c r="AF905" s="52">
        <f>IF(OR(T905="",I905&lt;T905),"",IFERROR(AVERAGE(T905+M905*{7,8,9,10,11})/IF(G905="",I905,G905)-1,""))</f>
        <v/>
      </c>
      <c r="AG905" s="55">
        <f>IF(OR(T905="",I905&lt;T905),"",IFERROR(AF905/-(R905/IF(G905="",I905,G905)-1),""))</f>
        <v/>
      </c>
      <c r="AH905" s="94" t="n"/>
      <c r="AI905" s="94" t="n"/>
      <c r="AJ905" s="94" t="n"/>
      <c r="AK905" s="94" t="n"/>
      <c r="AL905" s="84" t="n"/>
    </row>
    <row r="906">
      <c r="A906" s="64" t="n"/>
      <c r="B906" s="65" t="n"/>
      <c r="C906" s="66" t="n"/>
      <c r="D906" s="67" t="n"/>
      <c r="E906" s="68" t="n"/>
      <c r="F906" s="47">
        <f>IF(A906="","",IF(MIN(H906,MAX(J906:K906))=0,"",MIN(H906,MAX(J906:K906))))</f>
        <v/>
      </c>
      <c r="G906" s="74" t="n"/>
      <c r="H906" s="49">
        <f>IF(M906="","",IFERROR(ROUND(AVERAGE(T906+M906*{7,8,9,10,11})/1.21,4),""))</f>
        <v/>
      </c>
      <c r="I906" s="76" t="n"/>
      <c r="J906" s="77" t="n"/>
      <c r="K906" s="74" t="n"/>
      <c r="L906" s="78" t="n"/>
      <c r="M906" s="77" t="n"/>
      <c r="N906" s="53">
        <f>IF(M906="","",IFERROR(M906/I906,""))</f>
        <v/>
      </c>
      <c r="O906" s="50">
        <f>IF(A906="","",IFERROR((IF(G906="",I906,G906)-T906)/M906,""))</f>
        <v/>
      </c>
      <c r="P906" s="50">
        <f>IFERROR((I906/T906-1)/N906,"")</f>
        <v/>
      </c>
      <c r="Q906" s="46">
        <f>IF(OR(T906="",I906&lt;T906),"",IFERROR(R906/IF(G906="",I906,G906)-1,""))</f>
        <v/>
      </c>
      <c r="R906" s="48">
        <f>IF($M906="","",MAX(IF($G906="",$I906,$G906)*(1/1.1),IF($G906="",$I906,$G906)+(R$2*$M906)))</f>
        <v/>
      </c>
      <c r="S906" s="49">
        <f>IF($M906="","",MAX(IF($G906="",$I906,$G906)*(1/1.1),IF($G906="",$I906,$G906)+(S$2*$M906)))</f>
        <v/>
      </c>
      <c r="T906" s="82" t="n"/>
      <c r="U906" s="47">
        <f>IF(OR($M906="",$T906=""),"",$T906+(U$2*$M906))</f>
        <v/>
      </c>
      <c r="V906" s="48">
        <f>IF(OR($M906="",$T906=""),"",$T906+(V$2*$M906))</f>
        <v/>
      </c>
      <c r="W906" s="48">
        <f>IF(OR($M906="",$T906=""),"",$T906+(W$2*$M906))</f>
        <v/>
      </c>
      <c r="X906" s="49">
        <f>IF(OR($M906="",$T906=""),"",$T906+(X$2*$M906))</f>
        <v/>
      </c>
      <c r="Y906" s="47">
        <f>IF(OR($M906="",$T906=""),"",$T906+(Y$2*$M906))</f>
        <v/>
      </c>
      <c r="Z906" s="49">
        <f>IF(OR($M906="",$T906=""),"",$T906+(Z$2*$M906))</f>
        <v/>
      </c>
      <c r="AA906" s="51">
        <f>IF(OR($M906="",$T906=""),"",$T906+(AA$2*$M906))</f>
        <v/>
      </c>
      <c r="AB906" s="48">
        <f>IF(OR($M906="",$T906=""),"",$T906+(AB$2*$M906))</f>
        <v/>
      </c>
      <c r="AC906" s="48">
        <f>IF(OR($M906="",$T906=""),"",$T906+(AC$2*$M906))</f>
        <v/>
      </c>
      <c r="AD906" s="48">
        <f>IF(OR($M906="",$T906=""),"",$T906+(AD$2*$M906))</f>
        <v/>
      </c>
      <c r="AE906" s="49">
        <f>IF(OR($M906="",$T906=""),"",$T906+(AE$2*$M906))</f>
        <v/>
      </c>
      <c r="AF906" s="52">
        <f>IF(OR(T906="",I906&lt;T906),"",IFERROR(AVERAGE(T906+M906*{7,8,9,10,11})/IF(G906="",I906,G906)-1,""))</f>
        <v/>
      </c>
      <c r="AG906" s="55">
        <f>IF(OR(T906="",I906&lt;T906),"",IFERROR(AF906/-(R906/IF(G906="",I906,G906)-1),""))</f>
        <v/>
      </c>
      <c r="AH906" s="94" t="n"/>
      <c r="AI906" s="94" t="n"/>
      <c r="AJ906" s="94" t="n"/>
      <c r="AK906" s="94" t="n"/>
      <c r="AL906" s="84" t="n"/>
    </row>
    <row r="907">
      <c r="A907" s="64" t="n"/>
      <c r="B907" s="65" t="n"/>
      <c r="C907" s="66" t="n"/>
      <c r="D907" s="67" t="n"/>
      <c r="E907" s="68" t="n"/>
      <c r="F907" s="47">
        <f>IF(A907="","",IF(MIN(H907,MAX(J907:K907))=0,"",MIN(H907,MAX(J907:K907))))</f>
        <v/>
      </c>
      <c r="G907" s="74" t="n"/>
      <c r="H907" s="49">
        <f>IF(M907="","",IFERROR(ROUND(AVERAGE(T907+M907*{7,8,9,10,11})/1.21,4),""))</f>
        <v/>
      </c>
      <c r="I907" s="76" t="n"/>
      <c r="J907" s="77" t="n"/>
      <c r="K907" s="74" t="n"/>
      <c r="L907" s="78" t="n"/>
      <c r="M907" s="77" t="n"/>
      <c r="N907" s="53">
        <f>IF(M907="","",IFERROR(M907/I907,""))</f>
        <v/>
      </c>
      <c r="O907" s="50">
        <f>IF(A907="","",IFERROR((IF(G907="",I907,G907)-T907)/M907,""))</f>
        <v/>
      </c>
      <c r="P907" s="50">
        <f>IFERROR((I907/T907-1)/N907,"")</f>
        <v/>
      </c>
      <c r="Q907" s="46">
        <f>IF(OR(T907="",I907&lt;T907),"",IFERROR(R907/IF(G907="",I907,G907)-1,""))</f>
        <v/>
      </c>
      <c r="R907" s="48">
        <f>IF($M907="","",MAX(IF($G907="",$I907,$G907)*(1/1.1),IF($G907="",$I907,$G907)+(R$2*$M907)))</f>
        <v/>
      </c>
      <c r="S907" s="49">
        <f>IF($M907="","",MAX(IF($G907="",$I907,$G907)*(1/1.1),IF($G907="",$I907,$G907)+(S$2*$M907)))</f>
        <v/>
      </c>
      <c r="T907" s="82" t="n"/>
      <c r="U907" s="47">
        <f>IF(OR($M907="",$T907=""),"",$T907+(U$2*$M907))</f>
        <v/>
      </c>
      <c r="V907" s="48">
        <f>IF(OR($M907="",$T907=""),"",$T907+(V$2*$M907))</f>
        <v/>
      </c>
      <c r="W907" s="48">
        <f>IF(OR($M907="",$T907=""),"",$T907+(W$2*$M907))</f>
        <v/>
      </c>
      <c r="X907" s="49">
        <f>IF(OR($M907="",$T907=""),"",$T907+(X$2*$M907))</f>
        <v/>
      </c>
      <c r="Y907" s="47">
        <f>IF(OR($M907="",$T907=""),"",$T907+(Y$2*$M907))</f>
        <v/>
      </c>
      <c r="Z907" s="49">
        <f>IF(OR($M907="",$T907=""),"",$T907+(Z$2*$M907))</f>
        <v/>
      </c>
      <c r="AA907" s="51">
        <f>IF(OR($M907="",$T907=""),"",$T907+(AA$2*$M907))</f>
        <v/>
      </c>
      <c r="AB907" s="48">
        <f>IF(OR($M907="",$T907=""),"",$T907+(AB$2*$M907))</f>
        <v/>
      </c>
      <c r="AC907" s="48">
        <f>IF(OR($M907="",$T907=""),"",$T907+(AC$2*$M907))</f>
        <v/>
      </c>
      <c r="AD907" s="48">
        <f>IF(OR($M907="",$T907=""),"",$T907+(AD$2*$M907))</f>
        <v/>
      </c>
      <c r="AE907" s="49">
        <f>IF(OR($M907="",$T907=""),"",$T907+(AE$2*$M907))</f>
        <v/>
      </c>
      <c r="AF907" s="52">
        <f>IF(OR(T907="",I907&lt;T907),"",IFERROR(AVERAGE(T907+M907*{7,8,9,10,11})/IF(G907="",I907,G907)-1,""))</f>
        <v/>
      </c>
      <c r="AG907" s="55">
        <f>IF(OR(T907="",I907&lt;T907),"",IFERROR(AF907/-(R907/IF(G907="",I907,G907)-1),""))</f>
        <v/>
      </c>
      <c r="AH907" s="94" t="n"/>
      <c r="AI907" s="94" t="n"/>
      <c r="AJ907" s="94" t="n"/>
      <c r="AK907" s="94" t="n"/>
      <c r="AL907" s="84" t="n"/>
    </row>
    <row r="908">
      <c r="A908" s="64" t="n"/>
      <c r="B908" s="65" t="n"/>
      <c r="C908" s="66" t="n"/>
      <c r="D908" s="67" t="n"/>
      <c r="E908" s="68" t="n"/>
      <c r="F908" s="47">
        <f>IF(A908="","",IF(MIN(H908,MAX(J908:K908))=0,"",MIN(H908,MAX(J908:K908))))</f>
        <v/>
      </c>
      <c r="G908" s="74" t="n"/>
      <c r="H908" s="49">
        <f>IF(M908="","",IFERROR(ROUND(AVERAGE(T908+M908*{7,8,9,10,11})/1.21,4),""))</f>
        <v/>
      </c>
      <c r="I908" s="76" t="n"/>
      <c r="J908" s="77" t="n"/>
      <c r="K908" s="74" t="n"/>
      <c r="L908" s="78" t="n"/>
      <c r="M908" s="77" t="n"/>
      <c r="N908" s="53">
        <f>IF(M908="","",IFERROR(M908/I908,""))</f>
        <v/>
      </c>
      <c r="O908" s="50">
        <f>IF(A908="","",IFERROR((IF(G908="",I908,G908)-T908)/M908,""))</f>
        <v/>
      </c>
      <c r="P908" s="50">
        <f>IFERROR((I908/T908-1)/N908,"")</f>
        <v/>
      </c>
      <c r="Q908" s="46">
        <f>IF(OR(T908="",I908&lt;T908),"",IFERROR(R908/IF(G908="",I908,G908)-1,""))</f>
        <v/>
      </c>
      <c r="R908" s="48">
        <f>IF($M908="","",MAX(IF($G908="",$I908,$G908)*(1/1.1),IF($G908="",$I908,$G908)+(R$2*$M908)))</f>
        <v/>
      </c>
      <c r="S908" s="49">
        <f>IF($M908="","",MAX(IF($G908="",$I908,$G908)*(1/1.1),IF($G908="",$I908,$G908)+(S$2*$M908)))</f>
        <v/>
      </c>
      <c r="T908" s="82" t="n"/>
      <c r="U908" s="47">
        <f>IF(OR($M908="",$T908=""),"",$T908+(U$2*$M908))</f>
        <v/>
      </c>
      <c r="V908" s="48">
        <f>IF(OR($M908="",$T908=""),"",$T908+(V$2*$M908))</f>
        <v/>
      </c>
      <c r="W908" s="48">
        <f>IF(OR($M908="",$T908=""),"",$T908+(W$2*$M908))</f>
        <v/>
      </c>
      <c r="X908" s="49">
        <f>IF(OR($M908="",$T908=""),"",$T908+(X$2*$M908))</f>
        <v/>
      </c>
      <c r="Y908" s="47">
        <f>IF(OR($M908="",$T908=""),"",$T908+(Y$2*$M908))</f>
        <v/>
      </c>
      <c r="Z908" s="49">
        <f>IF(OR($M908="",$T908=""),"",$T908+(Z$2*$M908))</f>
        <v/>
      </c>
      <c r="AA908" s="51">
        <f>IF(OR($M908="",$T908=""),"",$T908+(AA$2*$M908))</f>
        <v/>
      </c>
      <c r="AB908" s="48">
        <f>IF(OR($M908="",$T908=""),"",$T908+(AB$2*$M908))</f>
        <v/>
      </c>
      <c r="AC908" s="48">
        <f>IF(OR($M908="",$T908=""),"",$T908+(AC$2*$M908))</f>
        <v/>
      </c>
      <c r="AD908" s="48">
        <f>IF(OR($M908="",$T908=""),"",$T908+(AD$2*$M908))</f>
        <v/>
      </c>
      <c r="AE908" s="49">
        <f>IF(OR($M908="",$T908=""),"",$T908+(AE$2*$M908))</f>
        <v/>
      </c>
      <c r="AF908" s="52">
        <f>IF(OR(T908="",I908&lt;T908),"",IFERROR(AVERAGE(T908+M908*{7,8,9,10,11})/IF(G908="",I908,G908)-1,""))</f>
        <v/>
      </c>
      <c r="AG908" s="55">
        <f>IF(OR(T908="",I908&lt;T908),"",IFERROR(AF908/-(R908/IF(G908="",I908,G908)-1),""))</f>
        <v/>
      </c>
      <c r="AH908" s="94" t="n"/>
      <c r="AI908" s="94" t="n"/>
      <c r="AJ908" s="94" t="n"/>
      <c r="AK908" s="94" t="n"/>
      <c r="AL908" s="84" t="n"/>
    </row>
    <row r="909">
      <c r="A909" s="64" t="n"/>
      <c r="B909" s="65" t="n"/>
      <c r="C909" s="66" t="n"/>
      <c r="D909" s="67" t="n"/>
      <c r="E909" s="68" t="n"/>
      <c r="F909" s="47">
        <f>IF(A909="","",IF(MIN(H909,MAX(J909:K909))=0,"",MIN(H909,MAX(J909:K909))))</f>
        <v/>
      </c>
      <c r="G909" s="74" t="n"/>
      <c r="H909" s="49">
        <f>IF(M909="","",IFERROR(ROUND(AVERAGE(T909+M909*{7,8,9,10,11})/1.21,4),""))</f>
        <v/>
      </c>
      <c r="I909" s="76" t="n"/>
      <c r="J909" s="77" t="n"/>
      <c r="K909" s="74" t="n"/>
      <c r="L909" s="78" t="n"/>
      <c r="M909" s="77" t="n"/>
      <c r="N909" s="53">
        <f>IF(M909="","",IFERROR(M909/I909,""))</f>
        <v/>
      </c>
      <c r="O909" s="50">
        <f>IF(A909="","",IFERROR((IF(G909="",I909,G909)-T909)/M909,""))</f>
        <v/>
      </c>
      <c r="P909" s="50">
        <f>IFERROR((I909/T909-1)/N909,"")</f>
        <v/>
      </c>
      <c r="Q909" s="46">
        <f>IF(OR(T909="",I909&lt;T909),"",IFERROR(R909/IF(G909="",I909,G909)-1,""))</f>
        <v/>
      </c>
      <c r="R909" s="48">
        <f>IF($M909="","",MAX(IF($G909="",$I909,$G909)*(1/1.1),IF($G909="",$I909,$G909)+(R$2*$M909)))</f>
        <v/>
      </c>
      <c r="S909" s="49">
        <f>IF($M909="","",MAX(IF($G909="",$I909,$G909)*(1/1.1),IF($G909="",$I909,$G909)+(S$2*$M909)))</f>
        <v/>
      </c>
      <c r="T909" s="82" t="n"/>
      <c r="U909" s="47">
        <f>IF(OR($M909="",$T909=""),"",$T909+(U$2*$M909))</f>
        <v/>
      </c>
      <c r="V909" s="48">
        <f>IF(OR($M909="",$T909=""),"",$T909+(V$2*$M909))</f>
        <v/>
      </c>
      <c r="W909" s="48">
        <f>IF(OR($M909="",$T909=""),"",$T909+(W$2*$M909))</f>
        <v/>
      </c>
      <c r="X909" s="49">
        <f>IF(OR($M909="",$T909=""),"",$T909+(X$2*$M909))</f>
        <v/>
      </c>
      <c r="Y909" s="47">
        <f>IF(OR($M909="",$T909=""),"",$T909+(Y$2*$M909))</f>
        <v/>
      </c>
      <c r="Z909" s="49">
        <f>IF(OR($M909="",$T909=""),"",$T909+(Z$2*$M909))</f>
        <v/>
      </c>
      <c r="AA909" s="51">
        <f>IF(OR($M909="",$T909=""),"",$T909+(AA$2*$M909))</f>
        <v/>
      </c>
      <c r="AB909" s="48">
        <f>IF(OR($M909="",$T909=""),"",$T909+(AB$2*$M909))</f>
        <v/>
      </c>
      <c r="AC909" s="48">
        <f>IF(OR($M909="",$T909=""),"",$T909+(AC$2*$M909))</f>
        <v/>
      </c>
      <c r="AD909" s="48">
        <f>IF(OR($M909="",$T909=""),"",$T909+(AD$2*$M909))</f>
        <v/>
      </c>
      <c r="AE909" s="49">
        <f>IF(OR($M909="",$T909=""),"",$T909+(AE$2*$M909))</f>
        <v/>
      </c>
      <c r="AF909" s="52">
        <f>IF(OR(T909="",I909&lt;T909),"",IFERROR(AVERAGE(T909+M909*{7,8,9,10,11})/IF(G909="",I909,G909)-1,""))</f>
        <v/>
      </c>
      <c r="AG909" s="55">
        <f>IF(OR(T909="",I909&lt;T909),"",IFERROR(AF909/-(R909/IF(G909="",I909,G909)-1),""))</f>
        <v/>
      </c>
      <c r="AH909" s="94" t="n"/>
      <c r="AI909" s="94" t="n"/>
      <c r="AJ909" s="94" t="n"/>
      <c r="AK909" s="94" t="n"/>
      <c r="AL909" s="84" t="n"/>
    </row>
    <row r="910">
      <c r="A910" s="64" t="n"/>
      <c r="B910" s="65" t="n"/>
      <c r="C910" s="66" t="n"/>
      <c r="D910" s="67" t="n"/>
      <c r="E910" s="68" t="n"/>
      <c r="F910" s="47">
        <f>IF(A910="","",IF(MIN(H910,MAX(J910:K910))=0,"",MIN(H910,MAX(J910:K910))))</f>
        <v/>
      </c>
      <c r="G910" s="74" t="n"/>
      <c r="H910" s="49">
        <f>IF(M910="","",IFERROR(ROUND(AVERAGE(T910+M910*{7,8,9,10,11})/1.21,4),""))</f>
        <v/>
      </c>
      <c r="I910" s="76" t="n"/>
      <c r="J910" s="77" t="n"/>
      <c r="K910" s="74" t="n"/>
      <c r="L910" s="78" t="n"/>
      <c r="M910" s="77" t="n"/>
      <c r="N910" s="53">
        <f>IF(M910="","",IFERROR(M910/I910,""))</f>
        <v/>
      </c>
      <c r="O910" s="50">
        <f>IF(A910="","",IFERROR((IF(G910="",I910,G910)-T910)/M910,""))</f>
        <v/>
      </c>
      <c r="P910" s="50">
        <f>IFERROR((I910/T910-1)/N910,"")</f>
        <v/>
      </c>
      <c r="Q910" s="46">
        <f>IF(OR(T910="",I910&lt;T910),"",IFERROR(R910/IF(G910="",I910,G910)-1,""))</f>
        <v/>
      </c>
      <c r="R910" s="48">
        <f>IF($M910="","",MAX(IF($G910="",$I910,$G910)*(1/1.1),IF($G910="",$I910,$G910)+(R$2*$M910)))</f>
        <v/>
      </c>
      <c r="S910" s="49">
        <f>IF($M910="","",MAX(IF($G910="",$I910,$G910)*(1/1.1),IF($G910="",$I910,$G910)+(S$2*$M910)))</f>
        <v/>
      </c>
      <c r="T910" s="82" t="n"/>
      <c r="U910" s="47">
        <f>IF(OR($M910="",$T910=""),"",$T910+(U$2*$M910))</f>
        <v/>
      </c>
      <c r="V910" s="48">
        <f>IF(OR($M910="",$T910=""),"",$T910+(V$2*$M910))</f>
        <v/>
      </c>
      <c r="W910" s="48">
        <f>IF(OR($M910="",$T910=""),"",$T910+(W$2*$M910))</f>
        <v/>
      </c>
      <c r="X910" s="49">
        <f>IF(OR($M910="",$T910=""),"",$T910+(X$2*$M910))</f>
        <v/>
      </c>
      <c r="Y910" s="47">
        <f>IF(OR($M910="",$T910=""),"",$T910+(Y$2*$M910))</f>
        <v/>
      </c>
      <c r="Z910" s="49">
        <f>IF(OR($M910="",$T910=""),"",$T910+(Z$2*$M910))</f>
        <v/>
      </c>
      <c r="AA910" s="51">
        <f>IF(OR($M910="",$T910=""),"",$T910+(AA$2*$M910))</f>
        <v/>
      </c>
      <c r="AB910" s="48">
        <f>IF(OR($M910="",$T910=""),"",$T910+(AB$2*$M910))</f>
        <v/>
      </c>
      <c r="AC910" s="48">
        <f>IF(OR($M910="",$T910=""),"",$T910+(AC$2*$M910))</f>
        <v/>
      </c>
      <c r="AD910" s="48">
        <f>IF(OR($M910="",$T910=""),"",$T910+(AD$2*$M910))</f>
        <v/>
      </c>
      <c r="AE910" s="49">
        <f>IF(OR($M910="",$T910=""),"",$T910+(AE$2*$M910))</f>
        <v/>
      </c>
      <c r="AF910" s="52">
        <f>IF(OR(T910="",I910&lt;T910),"",IFERROR(AVERAGE(T910+M910*{7,8,9,10,11})/IF(G910="",I910,G910)-1,""))</f>
        <v/>
      </c>
      <c r="AG910" s="55">
        <f>IF(OR(T910="",I910&lt;T910),"",IFERROR(AF910/-(R910/IF(G910="",I910,G910)-1),""))</f>
        <v/>
      </c>
      <c r="AH910" s="94" t="n"/>
      <c r="AI910" s="94" t="n"/>
      <c r="AJ910" s="94" t="n"/>
      <c r="AK910" s="94" t="n"/>
      <c r="AL910" s="84" t="n"/>
    </row>
    <row r="911">
      <c r="A911" s="64" t="n"/>
      <c r="B911" s="65" t="n"/>
      <c r="C911" s="66" t="n"/>
      <c r="D911" s="67" t="n"/>
      <c r="E911" s="68" t="n"/>
      <c r="F911" s="47">
        <f>IF(A911="","",IF(MIN(H911,MAX(J911:K911))=0,"",MIN(H911,MAX(J911:K911))))</f>
        <v/>
      </c>
      <c r="G911" s="74" t="n"/>
      <c r="H911" s="49">
        <f>IF(M911="","",IFERROR(ROUND(AVERAGE(T911+M911*{7,8,9,10,11})/1.21,4),""))</f>
        <v/>
      </c>
      <c r="I911" s="76" t="n"/>
      <c r="J911" s="77" t="n"/>
      <c r="K911" s="74" t="n"/>
      <c r="L911" s="78" t="n"/>
      <c r="M911" s="77" t="n"/>
      <c r="N911" s="53">
        <f>IF(M911="","",IFERROR(M911/I911,""))</f>
        <v/>
      </c>
      <c r="O911" s="50">
        <f>IF(A911="","",IFERROR((IF(G911="",I911,G911)-T911)/M911,""))</f>
        <v/>
      </c>
      <c r="P911" s="50">
        <f>IFERROR((I911/T911-1)/N911,"")</f>
        <v/>
      </c>
      <c r="Q911" s="46">
        <f>IF(OR(T911="",I911&lt;T911),"",IFERROR(R911/IF(G911="",I911,G911)-1,""))</f>
        <v/>
      </c>
      <c r="R911" s="48">
        <f>IF($M911="","",MAX(IF($G911="",$I911,$G911)*(1/1.1),IF($G911="",$I911,$G911)+(R$2*$M911)))</f>
        <v/>
      </c>
      <c r="S911" s="49">
        <f>IF($M911="","",MAX(IF($G911="",$I911,$G911)*(1/1.1),IF($G911="",$I911,$G911)+(S$2*$M911)))</f>
        <v/>
      </c>
      <c r="T911" s="82" t="n"/>
      <c r="U911" s="47">
        <f>IF(OR($M911="",$T911=""),"",$T911+(U$2*$M911))</f>
        <v/>
      </c>
      <c r="V911" s="48">
        <f>IF(OR($M911="",$T911=""),"",$T911+(V$2*$M911))</f>
        <v/>
      </c>
      <c r="W911" s="48">
        <f>IF(OR($M911="",$T911=""),"",$T911+(W$2*$M911))</f>
        <v/>
      </c>
      <c r="X911" s="49">
        <f>IF(OR($M911="",$T911=""),"",$T911+(X$2*$M911))</f>
        <v/>
      </c>
      <c r="Y911" s="47">
        <f>IF(OR($M911="",$T911=""),"",$T911+(Y$2*$M911))</f>
        <v/>
      </c>
      <c r="Z911" s="49">
        <f>IF(OR($M911="",$T911=""),"",$T911+(Z$2*$M911))</f>
        <v/>
      </c>
      <c r="AA911" s="51">
        <f>IF(OR($M911="",$T911=""),"",$T911+(AA$2*$M911))</f>
        <v/>
      </c>
      <c r="AB911" s="48">
        <f>IF(OR($M911="",$T911=""),"",$T911+(AB$2*$M911))</f>
        <v/>
      </c>
      <c r="AC911" s="48">
        <f>IF(OR($M911="",$T911=""),"",$T911+(AC$2*$M911))</f>
        <v/>
      </c>
      <c r="AD911" s="48">
        <f>IF(OR($M911="",$T911=""),"",$T911+(AD$2*$M911))</f>
        <v/>
      </c>
      <c r="AE911" s="49">
        <f>IF(OR($M911="",$T911=""),"",$T911+(AE$2*$M911))</f>
        <v/>
      </c>
      <c r="AF911" s="52">
        <f>IF(OR(T911="",I911&lt;T911),"",IFERROR(AVERAGE(T911+M911*{7,8,9,10,11})/IF(G911="",I911,G911)-1,""))</f>
        <v/>
      </c>
      <c r="AG911" s="55">
        <f>IF(OR(T911="",I911&lt;T911),"",IFERROR(AF911/-(R911/IF(G911="",I911,G911)-1),""))</f>
        <v/>
      </c>
      <c r="AH911" s="94" t="n"/>
      <c r="AI911" s="94" t="n"/>
      <c r="AJ911" s="94" t="n"/>
      <c r="AK911" s="94" t="n"/>
      <c r="AL911" s="84" t="n"/>
    </row>
    <row r="912">
      <c r="A912" s="64" t="n"/>
      <c r="B912" s="65" t="n"/>
      <c r="C912" s="66" t="n"/>
      <c r="D912" s="67" t="n"/>
      <c r="E912" s="68" t="n"/>
      <c r="F912" s="47">
        <f>IF(A912="","",IF(MIN(H912,MAX(J912:K912))=0,"",MIN(H912,MAX(J912:K912))))</f>
        <v/>
      </c>
      <c r="G912" s="74" t="n"/>
      <c r="H912" s="49">
        <f>IF(M912="","",IFERROR(ROUND(AVERAGE(T912+M912*{7,8,9,10,11})/1.21,4),""))</f>
        <v/>
      </c>
      <c r="I912" s="76" t="n"/>
      <c r="J912" s="77" t="n"/>
      <c r="K912" s="74" t="n"/>
      <c r="L912" s="78" t="n"/>
      <c r="M912" s="77" t="n"/>
      <c r="N912" s="53">
        <f>IF(M912="","",IFERROR(M912/I912,""))</f>
        <v/>
      </c>
      <c r="O912" s="50">
        <f>IF(A912="","",IFERROR((IF(G912="",I912,G912)-T912)/M912,""))</f>
        <v/>
      </c>
      <c r="P912" s="50">
        <f>IFERROR((I912/T912-1)/N912,"")</f>
        <v/>
      </c>
      <c r="Q912" s="46">
        <f>IF(OR(T912="",I912&lt;T912),"",IFERROR(R912/IF(G912="",I912,G912)-1,""))</f>
        <v/>
      </c>
      <c r="R912" s="48">
        <f>IF($M912="","",MAX(IF($G912="",$I912,$G912)*(1/1.1),IF($G912="",$I912,$G912)+(R$2*$M912)))</f>
        <v/>
      </c>
      <c r="S912" s="49">
        <f>IF($M912="","",MAX(IF($G912="",$I912,$G912)*(1/1.1),IF($G912="",$I912,$G912)+(S$2*$M912)))</f>
        <v/>
      </c>
      <c r="T912" s="82" t="n"/>
      <c r="U912" s="47">
        <f>IF(OR($M912="",$T912=""),"",$T912+(U$2*$M912))</f>
        <v/>
      </c>
      <c r="V912" s="48">
        <f>IF(OR($M912="",$T912=""),"",$T912+(V$2*$M912))</f>
        <v/>
      </c>
      <c r="W912" s="48">
        <f>IF(OR($M912="",$T912=""),"",$T912+(W$2*$M912))</f>
        <v/>
      </c>
      <c r="X912" s="49">
        <f>IF(OR($M912="",$T912=""),"",$T912+(X$2*$M912))</f>
        <v/>
      </c>
      <c r="Y912" s="47">
        <f>IF(OR($M912="",$T912=""),"",$T912+(Y$2*$M912))</f>
        <v/>
      </c>
      <c r="Z912" s="49">
        <f>IF(OR($M912="",$T912=""),"",$T912+(Z$2*$M912))</f>
        <v/>
      </c>
      <c r="AA912" s="51">
        <f>IF(OR($M912="",$T912=""),"",$T912+(AA$2*$M912))</f>
        <v/>
      </c>
      <c r="AB912" s="48">
        <f>IF(OR($M912="",$T912=""),"",$T912+(AB$2*$M912))</f>
        <v/>
      </c>
      <c r="AC912" s="48">
        <f>IF(OR($M912="",$T912=""),"",$T912+(AC$2*$M912))</f>
        <v/>
      </c>
      <c r="AD912" s="48">
        <f>IF(OR($M912="",$T912=""),"",$T912+(AD$2*$M912))</f>
        <v/>
      </c>
      <c r="AE912" s="49">
        <f>IF(OR($M912="",$T912=""),"",$T912+(AE$2*$M912))</f>
        <v/>
      </c>
      <c r="AF912" s="52">
        <f>IF(OR(T912="",I912&lt;T912),"",IFERROR(AVERAGE(T912+M912*{7,8,9,10,11})/IF(G912="",I912,G912)-1,""))</f>
        <v/>
      </c>
      <c r="AG912" s="55">
        <f>IF(OR(T912="",I912&lt;T912),"",IFERROR(AF912/-(R912/IF(G912="",I912,G912)-1),""))</f>
        <v/>
      </c>
      <c r="AH912" s="94" t="n"/>
      <c r="AI912" s="94" t="n"/>
      <c r="AJ912" s="94" t="n"/>
      <c r="AK912" s="94" t="n"/>
      <c r="AL912" s="84" t="n"/>
    </row>
    <row r="913">
      <c r="A913" s="64" t="n"/>
      <c r="B913" s="65" t="n"/>
      <c r="C913" s="66" t="n"/>
      <c r="D913" s="67" t="n"/>
      <c r="E913" s="68" t="n"/>
      <c r="F913" s="47">
        <f>IF(A913="","",IF(MIN(H913,MAX(J913:K913))=0,"",MIN(H913,MAX(J913:K913))))</f>
        <v/>
      </c>
      <c r="G913" s="74" t="n"/>
      <c r="H913" s="49">
        <f>IF(M913="","",IFERROR(ROUND(AVERAGE(T913+M913*{7,8,9,10,11})/1.21,4),""))</f>
        <v/>
      </c>
      <c r="I913" s="76" t="n"/>
      <c r="J913" s="77" t="n"/>
      <c r="K913" s="74" t="n"/>
      <c r="L913" s="78" t="n"/>
      <c r="M913" s="77" t="n"/>
      <c r="N913" s="53">
        <f>IF(M913="","",IFERROR(M913/I913,""))</f>
        <v/>
      </c>
      <c r="O913" s="50">
        <f>IF(A913="","",IFERROR((IF(G913="",I913,G913)-T913)/M913,""))</f>
        <v/>
      </c>
      <c r="P913" s="50">
        <f>IFERROR((I913/T913-1)/N913,"")</f>
        <v/>
      </c>
      <c r="Q913" s="46">
        <f>IF(OR(T913="",I913&lt;T913),"",IFERROR(R913/IF(G913="",I913,G913)-1,""))</f>
        <v/>
      </c>
      <c r="R913" s="48">
        <f>IF($M913="","",MAX(IF($G913="",$I913,$G913)*(1/1.1),IF($G913="",$I913,$G913)+(R$2*$M913)))</f>
        <v/>
      </c>
      <c r="S913" s="49">
        <f>IF($M913="","",MAX(IF($G913="",$I913,$G913)*(1/1.1),IF($G913="",$I913,$G913)+(S$2*$M913)))</f>
        <v/>
      </c>
      <c r="T913" s="82" t="n"/>
      <c r="U913" s="47">
        <f>IF(OR($M913="",$T913=""),"",$T913+(U$2*$M913))</f>
        <v/>
      </c>
      <c r="V913" s="48">
        <f>IF(OR($M913="",$T913=""),"",$T913+(V$2*$M913))</f>
        <v/>
      </c>
      <c r="W913" s="48">
        <f>IF(OR($M913="",$T913=""),"",$T913+(W$2*$M913))</f>
        <v/>
      </c>
      <c r="X913" s="49">
        <f>IF(OR($M913="",$T913=""),"",$T913+(X$2*$M913))</f>
        <v/>
      </c>
      <c r="Y913" s="47">
        <f>IF(OR($M913="",$T913=""),"",$T913+(Y$2*$M913))</f>
        <v/>
      </c>
      <c r="Z913" s="49">
        <f>IF(OR($M913="",$T913=""),"",$T913+(Z$2*$M913))</f>
        <v/>
      </c>
      <c r="AA913" s="51">
        <f>IF(OR($M913="",$T913=""),"",$T913+(AA$2*$M913))</f>
        <v/>
      </c>
      <c r="AB913" s="48">
        <f>IF(OR($M913="",$T913=""),"",$T913+(AB$2*$M913))</f>
        <v/>
      </c>
      <c r="AC913" s="48">
        <f>IF(OR($M913="",$T913=""),"",$T913+(AC$2*$M913))</f>
        <v/>
      </c>
      <c r="AD913" s="48">
        <f>IF(OR($M913="",$T913=""),"",$T913+(AD$2*$M913))</f>
        <v/>
      </c>
      <c r="AE913" s="49">
        <f>IF(OR($M913="",$T913=""),"",$T913+(AE$2*$M913))</f>
        <v/>
      </c>
      <c r="AF913" s="52">
        <f>IF(OR(T913="",I913&lt;T913),"",IFERROR(AVERAGE(T913+M913*{7,8,9,10,11})/IF(G913="",I913,G913)-1,""))</f>
        <v/>
      </c>
      <c r="AG913" s="55">
        <f>IF(OR(T913="",I913&lt;T913),"",IFERROR(AF913/-(R913/IF(G913="",I913,G913)-1),""))</f>
        <v/>
      </c>
      <c r="AH913" s="94" t="n"/>
      <c r="AI913" s="94" t="n"/>
      <c r="AJ913" s="94" t="n"/>
      <c r="AK913" s="94" t="n"/>
      <c r="AL913" s="84" t="n"/>
    </row>
    <row r="914">
      <c r="A914" s="64" t="n"/>
      <c r="B914" s="65" t="n"/>
      <c r="C914" s="66" t="n"/>
      <c r="D914" s="67" t="n"/>
      <c r="E914" s="68" t="n"/>
      <c r="F914" s="47">
        <f>IF(A914="","",IF(MIN(H914,MAX(J914:K914))=0,"",MIN(H914,MAX(J914:K914))))</f>
        <v/>
      </c>
      <c r="G914" s="74" t="n"/>
      <c r="H914" s="49">
        <f>IF(M914="","",IFERROR(ROUND(AVERAGE(T914+M914*{7,8,9,10,11})/1.21,4),""))</f>
        <v/>
      </c>
      <c r="I914" s="76" t="n"/>
      <c r="J914" s="77" t="n"/>
      <c r="K914" s="74" t="n"/>
      <c r="L914" s="78" t="n"/>
      <c r="M914" s="77" t="n"/>
      <c r="N914" s="53">
        <f>IF(M914="","",IFERROR(M914/I914,""))</f>
        <v/>
      </c>
      <c r="O914" s="50">
        <f>IF(A914="","",IFERROR((IF(G914="",I914,G914)-T914)/M914,""))</f>
        <v/>
      </c>
      <c r="P914" s="50">
        <f>IFERROR((I914/T914-1)/N914,"")</f>
        <v/>
      </c>
      <c r="Q914" s="46">
        <f>IF(OR(T914="",I914&lt;T914),"",IFERROR(R914/IF(G914="",I914,G914)-1,""))</f>
        <v/>
      </c>
      <c r="R914" s="48">
        <f>IF($M914="","",MAX(IF($G914="",$I914,$G914)*(1/1.1),IF($G914="",$I914,$G914)+(R$2*$M914)))</f>
        <v/>
      </c>
      <c r="S914" s="49">
        <f>IF($M914="","",MAX(IF($G914="",$I914,$G914)*(1/1.1),IF($G914="",$I914,$G914)+(S$2*$M914)))</f>
        <v/>
      </c>
      <c r="T914" s="82" t="n"/>
      <c r="U914" s="47">
        <f>IF(OR($M914="",$T914=""),"",$T914+(U$2*$M914))</f>
        <v/>
      </c>
      <c r="V914" s="48">
        <f>IF(OR($M914="",$T914=""),"",$T914+(V$2*$M914))</f>
        <v/>
      </c>
      <c r="W914" s="48">
        <f>IF(OR($M914="",$T914=""),"",$T914+(W$2*$M914))</f>
        <v/>
      </c>
      <c r="X914" s="49">
        <f>IF(OR($M914="",$T914=""),"",$T914+(X$2*$M914))</f>
        <v/>
      </c>
      <c r="Y914" s="47">
        <f>IF(OR($M914="",$T914=""),"",$T914+(Y$2*$M914))</f>
        <v/>
      </c>
      <c r="Z914" s="49">
        <f>IF(OR($M914="",$T914=""),"",$T914+(Z$2*$M914))</f>
        <v/>
      </c>
      <c r="AA914" s="51">
        <f>IF(OR($M914="",$T914=""),"",$T914+(AA$2*$M914))</f>
        <v/>
      </c>
      <c r="AB914" s="48">
        <f>IF(OR($M914="",$T914=""),"",$T914+(AB$2*$M914))</f>
        <v/>
      </c>
      <c r="AC914" s="48">
        <f>IF(OR($M914="",$T914=""),"",$T914+(AC$2*$M914))</f>
        <v/>
      </c>
      <c r="AD914" s="48">
        <f>IF(OR($M914="",$T914=""),"",$T914+(AD$2*$M914))</f>
        <v/>
      </c>
      <c r="AE914" s="49">
        <f>IF(OR($M914="",$T914=""),"",$T914+(AE$2*$M914))</f>
        <v/>
      </c>
      <c r="AF914" s="52">
        <f>IF(OR(T914="",I914&lt;T914),"",IFERROR(AVERAGE(T914+M914*{7,8,9,10,11})/IF(G914="",I914,G914)-1,""))</f>
        <v/>
      </c>
      <c r="AG914" s="55">
        <f>IF(OR(T914="",I914&lt;T914),"",IFERROR(AF914/-(R914/IF(G914="",I914,G914)-1),""))</f>
        <v/>
      </c>
      <c r="AH914" s="94" t="n"/>
      <c r="AI914" s="94" t="n"/>
      <c r="AJ914" s="94" t="n"/>
      <c r="AK914" s="94" t="n"/>
      <c r="AL914" s="84" t="n"/>
    </row>
    <row r="915">
      <c r="A915" s="64" t="n"/>
      <c r="B915" s="65" t="n"/>
      <c r="C915" s="66" t="n"/>
      <c r="D915" s="67" t="n"/>
      <c r="E915" s="68" t="n"/>
      <c r="F915" s="47">
        <f>IF(A915="","",IF(MIN(H915,MAX(J915:K915))=0,"",MIN(H915,MAX(J915:K915))))</f>
        <v/>
      </c>
      <c r="G915" s="74" t="n"/>
      <c r="H915" s="49">
        <f>IF(M915="","",IFERROR(ROUND(AVERAGE(T915+M915*{7,8,9,10,11})/1.21,4),""))</f>
        <v/>
      </c>
      <c r="I915" s="76" t="n"/>
      <c r="J915" s="77" t="n"/>
      <c r="K915" s="74" t="n"/>
      <c r="L915" s="78" t="n"/>
      <c r="M915" s="77" t="n"/>
      <c r="N915" s="53">
        <f>IF(M915="","",IFERROR(M915/I915,""))</f>
        <v/>
      </c>
      <c r="O915" s="50">
        <f>IF(A915="","",IFERROR((IF(G915="",I915,G915)-T915)/M915,""))</f>
        <v/>
      </c>
      <c r="P915" s="50">
        <f>IFERROR((I915/T915-1)/N915,"")</f>
        <v/>
      </c>
      <c r="Q915" s="46">
        <f>IF(OR(T915="",I915&lt;T915),"",IFERROR(R915/IF(G915="",I915,G915)-1,""))</f>
        <v/>
      </c>
      <c r="R915" s="48">
        <f>IF($M915="","",MAX(IF($G915="",$I915,$G915)*(1/1.1),IF($G915="",$I915,$G915)+(R$2*$M915)))</f>
        <v/>
      </c>
      <c r="S915" s="49">
        <f>IF($M915="","",MAX(IF($G915="",$I915,$G915)*(1/1.1),IF($G915="",$I915,$G915)+(S$2*$M915)))</f>
        <v/>
      </c>
      <c r="T915" s="82" t="n"/>
      <c r="U915" s="47">
        <f>IF(OR($M915="",$T915=""),"",$T915+(U$2*$M915))</f>
        <v/>
      </c>
      <c r="V915" s="48">
        <f>IF(OR($M915="",$T915=""),"",$T915+(V$2*$M915))</f>
        <v/>
      </c>
      <c r="W915" s="48">
        <f>IF(OR($M915="",$T915=""),"",$T915+(W$2*$M915))</f>
        <v/>
      </c>
      <c r="X915" s="49">
        <f>IF(OR($M915="",$T915=""),"",$T915+(X$2*$M915))</f>
        <v/>
      </c>
      <c r="Y915" s="47">
        <f>IF(OR($M915="",$T915=""),"",$T915+(Y$2*$M915))</f>
        <v/>
      </c>
      <c r="Z915" s="49">
        <f>IF(OR($M915="",$T915=""),"",$T915+(Z$2*$M915))</f>
        <v/>
      </c>
      <c r="AA915" s="51">
        <f>IF(OR($M915="",$T915=""),"",$T915+(AA$2*$M915))</f>
        <v/>
      </c>
      <c r="AB915" s="48">
        <f>IF(OR($M915="",$T915=""),"",$T915+(AB$2*$M915))</f>
        <v/>
      </c>
      <c r="AC915" s="48">
        <f>IF(OR($M915="",$T915=""),"",$T915+(AC$2*$M915))</f>
        <v/>
      </c>
      <c r="AD915" s="48">
        <f>IF(OR($M915="",$T915=""),"",$T915+(AD$2*$M915))</f>
        <v/>
      </c>
      <c r="AE915" s="49">
        <f>IF(OR($M915="",$T915=""),"",$T915+(AE$2*$M915))</f>
        <v/>
      </c>
      <c r="AF915" s="52">
        <f>IF(OR(T915="",I915&lt;T915),"",IFERROR(AVERAGE(T915+M915*{7,8,9,10,11})/IF(G915="",I915,G915)-1,""))</f>
        <v/>
      </c>
      <c r="AG915" s="55">
        <f>IF(OR(T915="",I915&lt;T915),"",IFERROR(AF915/-(R915/IF(G915="",I915,G915)-1),""))</f>
        <v/>
      </c>
      <c r="AH915" s="94" t="n"/>
      <c r="AI915" s="94" t="n"/>
      <c r="AJ915" s="94" t="n"/>
      <c r="AK915" s="94" t="n"/>
      <c r="AL915" s="84" t="n"/>
    </row>
    <row r="916">
      <c r="A916" s="64" t="n"/>
      <c r="B916" s="65" t="n"/>
      <c r="C916" s="66" t="n"/>
      <c r="D916" s="67" t="n"/>
      <c r="E916" s="68" t="n"/>
      <c r="F916" s="47">
        <f>IF(A916="","",IF(MIN(H916,MAX(J916:K916))=0,"",MIN(H916,MAX(J916:K916))))</f>
        <v/>
      </c>
      <c r="G916" s="74" t="n"/>
      <c r="H916" s="49">
        <f>IF(M916="","",IFERROR(ROUND(AVERAGE(T916+M916*{7,8,9,10,11})/1.21,4),""))</f>
        <v/>
      </c>
      <c r="I916" s="76" t="n"/>
      <c r="J916" s="77" t="n"/>
      <c r="K916" s="74" t="n"/>
      <c r="L916" s="78" t="n"/>
      <c r="M916" s="77" t="n"/>
      <c r="N916" s="53">
        <f>IF(M916="","",IFERROR(M916/I916,""))</f>
        <v/>
      </c>
      <c r="O916" s="50">
        <f>IF(A916="","",IFERROR((IF(G916="",I916,G916)-T916)/M916,""))</f>
        <v/>
      </c>
      <c r="P916" s="50">
        <f>IFERROR((I916/T916-1)/N916,"")</f>
        <v/>
      </c>
      <c r="Q916" s="46">
        <f>IF(OR(T916="",I916&lt;T916),"",IFERROR(R916/IF(G916="",I916,G916)-1,""))</f>
        <v/>
      </c>
      <c r="R916" s="48">
        <f>IF($M916="","",MAX(IF($G916="",$I916,$G916)*(1/1.1),IF($G916="",$I916,$G916)+(R$2*$M916)))</f>
        <v/>
      </c>
      <c r="S916" s="49">
        <f>IF($M916="","",MAX(IF($G916="",$I916,$G916)*(1/1.1),IF($G916="",$I916,$G916)+(S$2*$M916)))</f>
        <v/>
      </c>
      <c r="T916" s="82" t="n"/>
      <c r="U916" s="47">
        <f>IF(OR($M916="",$T916=""),"",$T916+(U$2*$M916))</f>
        <v/>
      </c>
      <c r="V916" s="48">
        <f>IF(OR($M916="",$T916=""),"",$T916+(V$2*$M916))</f>
        <v/>
      </c>
      <c r="W916" s="48">
        <f>IF(OR($M916="",$T916=""),"",$T916+(W$2*$M916))</f>
        <v/>
      </c>
      <c r="X916" s="49">
        <f>IF(OR($M916="",$T916=""),"",$T916+(X$2*$M916))</f>
        <v/>
      </c>
      <c r="Y916" s="47">
        <f>IF(OR($M916="",$T916=""),"",$T916+(Y$2*$M916))</f>
        <v/>
      </c>
      <c r="Z916" s="49">
        <f>IF(OR($M916="",$T916=""),"",$T916+(Z$2*$M916))</f>
        <v/>
      </c>
      <c r="AA916" s="51">
        <f>IF(OR($M916="",$T916=""),"",$T916+(AA$2*$M916))</f>
        <v/>
      </c>
      <c r="AB916" s="48">
        <f>IF(OR($M916="",$T916=""),"",$T916+(AB$2*$M916))</f>
        <v/>
      </c>
      <c r="AC916" s="48">
        <f>IF(OR($M916="",$T916=""),"",$T916+(AC$2*$M916))</f>
        <v/>
      </c>
      <c r="AD916" s="48">
        <f>IF(OR($M916="",$T916=""),"",$T916+(AD$2*$M916))</f>
        <v/>
      </c>
      <c r="AE916" s="49">
        <f>IF(OR($M916="",$T916=""),"",$T916+(AE$2*$M916))</f>
        <v/>
      </c>
      <c r="AF916" s="52">
        <f>IF(OR(T916="",I916&lt;T916),"",IFERROR(AVERAGE(T916+M916*{7,8,9,10,11})/IF(G916="",I916,G916)-1,""))</f>
        <v/>
      </c>
      <c r="AG916" s="55">
        <f>IF(OR(T916="",I916&lt;T916),"",IFERROR(AF916/-(R916/IF(G916="",I916,G916)-1),""))</f>
        <v/>
      </c>
      <c r="AH916" s="94" t="n"/>
      <c r="AI916" s="94" t="n"/>
      <c r="AJ916" s="94" t="n"/>
      <c r="AK916" s="94" t="n"/>
      <c r="AL916" s="84" t="n"/>
    </row>
    <row r="917">
      <c r="A917" s="64" t="n"/>
      <c r="B917" s="65" t="n"/>
      <c r="C917" s="66" t="n"/>
      <c r="D917" s="67" t="n"/>
      <c r="E917" s="68" t="n"/>
      <c r="F917" s="47">
        <f>IF(A917="","",IF(MIN(H917,MAX(J917:K917))=0,"",MIN(H917,MAX(J917:K917))))</f>
        <v/>
      </c>
      <c r="G917" s="74" t="n"/>
      <c r="H917" s="49">
        <f>IF(M917="","",IFERROR(ROUND(AVERAGE(T917+M917*{7,8,9,10,11})/1.21,4),""))</f>
        <v/>
      </c>
      <c r="I917" s="76" t="n"/>
      <c r="J917" s="77" t="n"/>
      <c r="K917" s="74" t="n"/>
      <c r="L917" s="78" t="n"/>
      <c r="M917" s="77" t="n"/>
      <c r="N917" s="53">
        <f>IF(M917="","",IFERROR(M917/I917,""))</f>
        <v/>
      </c>
      <c r="O917" s="50">
        <f>IF(A917="","",IFERROR((IF(G917="",I917,G917)-T917)/M917,""))</f>
        <v/>
      </c>
      <c r="P917" s="50">
        <f>IFERROR((I917/T917-1)/N917,"")</f>
        <v/>
      </c>
      <c r="Q917" s="46">
        <f>IF(OR(T917="",I917&lt;T917),"",IFERROR(R917/IF(G917="",I917,G917)-1,""))</f>
        <v/>
      </c>
      <c r="R917" s="48">
        <f>IF($M917="","",MAX(IF($G917="",$I917,$G917)*(1/1.1),IF($G917="",$I917,$G917)+(R$2*$M917)))</f>
        <v/>
      </c>
      <c r="S917" s="49">
        <f>IF($M917="","",MAX(IF($G917="",$I917,$G917)*(1/1.1),IF($G917="",$I917,$G917)+(S$2*$M917)))</f>
        <v/>
      </c>
      <c r="T917" s="82" t="n"/>
      <c r="U917" s="47">
        <f>IF(OR($M917="",$T917=""),"",$T917+(U$2*$M917))</f>
        <v/>
      </c>
      <c r="V917" s="48">
        <f>IF(OR($M917="",$T917=""),"",$T917+(V$2*$M917))</f>
        <v/>
      </c>
      <c r="W917" s="48">
        <f>IF(OR($M917="",$T917=""),"",$T917+(W$2*$M917))</f>
        <v/>
      </c>
      <c r="X917" s="49">
        <f>IF(OR($M917="",$T917=""),"",$T917+(X$2*$M917))</f>
        <v/>
      </c>
      <c r="Y917" s="47">
        <f>IF(OR($M917="",$T917=""),"",$T917+(Y$2*$M917))</f>
        <v/>
      </c>
      <c r="Z917" s="49">
        <f>IF(OR($M917="",$T917=""),"",$T917+(Z$2*$M917))</f>
        <v/>
      </c>
      <c r="AA917" s="51">
        <f>IF(OR($M917="",$T917=""),"",$T917+(AA$2*$M917))</f>
        <v/>
      </c>
      <c r="AB917" s="48">
        <f>IF(OR($M917="",$T917=""),"",$T917+(AB$2*$M917))</f>
        <v/>
      </c>
      <c r="AC917" s="48">
        <f>IF(OR($M917="",$T917=""),"",$T917+(AC$2*$M917))</f>
        <v/>
      </c>
      <c r="AD917" s="48">
        <f>IF(OR($M917="",$T917=""),"",$T917+(AD$2*$M917))</f>
        <v/>
      </c>
      <c r="AE917" s="49">
        <f>IF(OR($M917="",$T917=""),"",$T917+(AE$2*$M917))</f>
        <v/>
      </c>
      <c r="AF917" s="52">
        <f>IF(OR(T917="",I917&lt;T917),"",IFERROR(AVERAGE(T917+M917*{7,8,9,10,11})/IF(G917="",I917,G917)-1,""))</f>
        <v/>
      </c>
      <c r="AG917" s="55">
        <f>IF(OR(T917="",I917&lt;T917),"",IFERROR(AF917/-(R917/IF(G917="",I917,G917)-1),""))</f>
        <v/>
      </c>
      <c r="AH917" s="94" t="n"/>
      <c r="AI917" s="94" t="n"/>
      <c r="AJ917" s="94" t="n"/>
      <c r="AK917" s="94" t="n"/>
      <c r="AL917" s="84" t="n"/>
    </row>
    <row r="918">
      <c r="A918" s="64" t="n"/>
      <c r="B918" s="65" t="n"/>
      <c r="C918" s="66" t="n"/>
      <c r="D918" s="67" t="n"/>
      <c r="E918" s="68" t="n"/>
      <c r="F918" s="47">
        <f>IF(A918="","",IF(MIN(H918,MAX(J918:K918))=0,"",MIN(H918,MAX(J918:K918))))</f>
        <v/>
      </c>
      <c r="G918" s="74" t="n"/>
      <c r="H918" s="49">
        <f>IF(M918="","",IFERROR(ROUND(AVERAGE(T918+M918*{7,8,9,10,11})/1.21,4),""))</f>
        <v/>
      </c>
      <c r="I918" s="76" t="n"/>
      <c r="J918" s="77" t="n"/>
      <c r="K918" s="74" t="n"/>
      <c r="L918" s="78" t="n"/>
      <c r="M918" s="77" t="n"/>
      <c r="N918" s="53">
        <f>IF(M918="","",IFERROR(M918/I918,""))</f>
        <v/>
      </c>
      <c r="O918" s="50">
        <f>IF(A918="","",IFERROR((IF(G918="",I918,G918)-T918)/M918,""))</f>
        <v/>
      </c>
      <c r="P918" s="50">
        <f>IFERROR((I918/T918-1)/N918,"")</f>
        <v/>
      </c>
      <c r="Q918" s="46">
        <f>IF(OR(T918="",I918&lt;T918),"",IFERROR(R918/IF(G918="",I918,G918)-1,""))</f>
        <v/>
      </c>
      <c r="R918" s="48">
        <f>IF($M918="","",MAX(IF($G918="",$I918,$G918)*(1/1.1),IF($G918="",$I918,$G918)+(R$2*$M918)))</f>
        <v/>
      </c>
      <c r="S918" s="49">
        <f>IF($M918="","",MAX(IF($G918="",$I918,$G918)*(1/1.1),IF($G918="",$I918,$G918)+(S$2*$M918)))</f>
        <v/>
      </c>
      <c r="T918" s="82" t="n"/>
      <c r="U918" s="47">
        <f>IF(OR($M918="",$T918=""),"",$T918+(U$2*$M918))</f>
        <v/>
      </c>
      <c r="V918" s="48">
        <f>IF(OR($M918="",$T918=""),"",$T918+(V$2*$M918))</f>
        <v/>
      </c>
      <c r="W918" s="48">
        <f>IF(OR($M918="",$T918=""),"",$T918+(W$2*$M918))</f>
        <v/>
      </c>
      <c r="X918" s="49">
        <f>IF(OR($M918="",$T918=""),"",$T918+(X$2*$M918))</f>
        <v/>
      </c>
      <c r="Y918" s="47">
        <f>IF(OR($M918="",$T918=""),"",$T918+(Y$2*$M918))</f>
        <v/>
      </c>
      <c r="Z918" s="49">
        <f>IF(OR($M918="",$T918=""),"",$T918+(Z$2*$M918))</f>
        <v/>
      </c>
      <c r="AA918" s="51">
        <f>IF(OR($M918="",$T918=""),"",$T918+(AA$2*$M918))</f>
        <v/>
      </c>
      <c r="AB918" s="48">
        <f>IF(OR($M918="",$T918=""),"",$T918+(AB$2*$M918))</f>
        <v/>
      </c>
      <c r="AC918" s="48">
        <f>IF(OR($M918="",$T918=""),"",$T918+(AC$2*$M918))</f>
        <v/>
      </c>
      <c r="AD918" s="48">
        <f>IF(OR($M918="",$T918=""),"",$T918+(AD$2*$M918))</f>
        <v/>
      </c>
      <c r="AE918" s="49">
        <f>IF(OR($M918="",$T918=""),"",$T918+(AE$2*$M918))</f>
        <v/>
      </c>
      <c r="AF918" s="52">
        <f>IF(OR(T918="",I918&lt;T918),"",IFERROR(AVERAGE(T918+M918*{7,8,9,10,11})/IF(G918="",I918,G918)-1,""))</f>
        <v/>
      </c>
      <c r="AG918" s="55">
        <f>IF(OR(T918="",I918&lt;T918),"",IFERROR(AF918/-(R918/IF(G918="",I918,G918)-1),""))</f>
        <v/>
      </c>
      <c r="AH918" s="94" t="n"/>
      <c r="AI918" s="94" t="n"/>
      <c r="AJ918" s="94" t="n"/>
      <c r="AK918" s="94" t="n"/>
      <c r="AL918" s="84" t="n"/>
    </row>
    <row r="919">
      <c r="A919" s="64" t="n"/>
      <c r="B919" s="65" t="n"/>
      <c r="C919" s="66" t="n"/>
      <c r="D919" s="67" t="n"/>
      <c r="E919" s="68" t="n"/>
      <c r="F919" s="47">
        <f>IF(A919="","",IF(MIN(H919,MAX(J919:K919))=0,"",MIN(H919,MAX(J919:K919))))</f>
        <v/>
      </c>
      <c r="G919" s="74" t="n"/>
      <c r="H919" s="49">
        <f>IF(M919="","",IFERROR(ROUND(AVERAGE(T919+M919*{7,8,9,10,11})/1.21,4),""))</f>
        <v/>
      </c>
      <c r="I919" s="76" t="n"/>
      <c r="J919" s="77" t="n"/>
      <c r="K919" s="74" t="n"/>
      <c r="L919" s="78" t="n"/>
      <c r="M919" s="77" t="n"/>
      <c r="N919" s="53">
        <f>IF(M919="","",IFERROR(M919/I919,""))</f>
        <v/>
      </c>
      <c r="O919" s="50">
        <f>IF(A919="","",IFERROR((IF(G919="",I919,G919)-T919)/M919,""))</f>
        <v/>
      </c>
      <c r="P919" s="50">
        <f>IFERROR((I919/T919-1)/N919,"")</f>
        <v/>
      </c>
      <c r="Q919" s="46">
        <f>IF(OR(T919="",I919&lt;T919),"",IFERROR(R919/IF(G919="",I919,G919)-1,""))</f>
        <v/>
      </c>
      <c r="R919" s="48">
        <f>IF($M919="","",MAX(IF($G919="",$I919,$G919)*(1/1.1),IF($G919="",$I919,$G919)+(R$2*$M919)))</f>
        <v/>
      </c>
      <c r="S919" s="49">
        <f>IF($M919="","",MAX(IF($G919="",$I919,$G919)*(1/1.1),IF($G919="",$I919,$G919)+(S$2*$M919)))</f>
        <v/>
      </c>
      <c r="T919" s="82" t="n"/>
      <c r="U919" s="47">
        <f>IF(OR($M919="",$T919=""),"",$T919+(U$2*$M919))</f>
        <v/>
      </c>
      <c r="V919" s="48">
        <f>IF(OR($M919="",$T919=""),"",$T919+(V$2*$M919))</f>
        <v/>
      </c>
      <c r="W919" s="48">
        <f>IF(OR($M919="",$T919=""),"",$T919+(W$2*$M919))</f>
        <v/>
      </c>
      <c r="X919" s="49">
        <f>IF(OR($M919="",$T919=""),"",$T919+(X$2*$M919))</f>
        <v/>
      </c>
      <c r="Y919" s="47">
        <f>IF(OR($M919="",$T919=""),"",$T919+(Y$2*$M919))</f>
        <v/>
      </c>
      <c r="Z919" s="49">
        <f>IF(OR($M919="",$T919=""),"",$T919+(Z$2*$M919))</f>
        <v/>
      </c>
      <c r="AA919" s="51">
        <f>IF(OR($M919="",$T919=""),"",$T919+(AA$2*$M919))</f>
        <v/>
      </c>
      <c r="AB919" s="48">
        <f>IF(OR($M919="",$T919=""),"",$T919+(AB$2*$M919))</f>
        <v/>
      </c>
      <c r="AC919" s="48">
        <f>IF(OR($M919="",$T919=""),"",$T919+(AC$2*$M919))</f>
        <v/>
      </c>
      <c r="AD919" s="48">
        <f>IF(OR($M919="",$T919=""),"",$T919+(AD$2*$M919))</f>
        <v/>
      </c>
      <c r="AE919" s="49">
        <f>IF(OR($M919="",$T919=""),"",$T919+(AE$2*$M919))</f>
        <v/>
      </c>
      <c r="AF919" s="52">
        <f>IF(OR(T919="",I919&lt;T919),"",IFERROR(AVERAGE(T919+M919*{7,8,9,10,11})/IF(G919="",I919,G919)-1,""))</f>
        <v/>
      </c>
      <c r="AG919" s="55">
        <f>IF(OR(T919="",I919&lt;T919),"",IFERROR(AF919/-(R919/IF(G919="",I919,G919)-1),""))</f>
        <v/>
      </c>
      <c r="AH919" s="94" t="n"/>
      <c r="AI919" s="94" t="n"/>
      <c r="AJ919" s="94" t="n"/>
      <c r="AK919" s="94" t="n"/>
      <c r="AL919" s="84" t="n"/>
    </row>
    <row r="920">
      <c r="A920" s="64" t="n"/>
      <c r="B920" s="65" t="n"/>
      <c r="C920" s="66" t="n"/>
      <c r="D920" s="67" t="n"/>
      <c r="E920" s="68" t="n"/>
      <c r="F920" s="47">
        <f>IF(A920="","",IF(MIN(H920,MAX(J920:K920))=0,"",MIN(H920,MAX(J920:K920))))</f>
        <v/>
      </c>
      <c r="G920" s="74" t="n"/>
      <c r="H920" s="49">
        <f>IF(M920="","",IFERROR(ROUND(AVERAGE(T920+M920*{7,8,9,10,11})/1.21,4),""))</f>
        <v/>
      </c>
      <c r="I920" s="76" t="n"/>
      <c r="J920" s="77" t="n"/>
      <c r="K920" s="74" t="n"/>
      <c r="L920" s="78" t="n"/>
      <c r="M920" s="77" t="n"/>
      <c r="N920" s="53">
        <f>IF(M920="","",IFERROR(M920/I920,""))</f>
        <v/>
      </c>
      <c r="O920" s="50">
        <f>IF(A920="","",IFERROR((IF(G920="",I920,G920)-T920)/M920,""))</f>
        <v/>
      </c>
      <c r="P920" s="50">
        <f>IFERROR((I920/T920-1)/N920,"")</f>
        <v/>
      </c>
      <c r="Q920" s="46">
        <f>IF(OR(T920="",I920&lt;T920),"",IFERROR(R920/IF(G920="",I920,G920)-1,""))</f>
        <v/>
      </c>
      <c r="R920" s="48">
        <f>IF($M920="","",MAX(IF($G920="",$I920,$G920)*(1/1.1),IF($G920="",$I920,$G920)+(R$2*$M920)))</f>
        <v/>
      </c>
      <c r="S920" s="49">
        <f>IF($M920="","",MAX(IF($G920="",$I920,$G920)*(1/1.1),IF($G920="",$I920,$G920)+(S$2*$M920)))</f>
        <v/>
      </c>
      <c r="T920" s="82" t="n"/>
      <c r="U920" s="47">
        <f>IF(OR($M920="",$T920=""),"",$T920+(U$2*$M920))</f>
        <v/>
      </c>
      <c r="V920" s="48">
        <f>IF(OR($M920="",$T920=""),"",$T920+(V$2*$M920))</f>
        <v/>
      </c>
      <c r="W920" s="48">
        <f>IF(OR($M920="",$T920=""),"",$T920+(W$2*$M920))</f>
        <v/>
      </c>
      <c r="X920" s="49">
        <f>IF(OR($M920="",$T920=""),"",$T920+(X$2*$M920))</f>
        <v/>
      </c>
      <c r="Y920" s="47">
        <f>IF(OR($M920="",$T920=""),"",$T920+(Y$2*$M920))</f>
        <v/>
      </c>
      <c r="Z920" s="49">
        <f>IF(OR($M920="",$T920=""),"",$T920+(Z$2*$M920))</f>
        <v/>
      </c>
      <c r="AA920" s="51">
        <f>IF(OR($M920="",$T920=""),"",$T920+(AA$2*$M920))</f>
        <v/>
      </c>
      <c r="AB920" s="48">
        <f>IF(OR($M920="",$T920=""),"",$T920+(AB$2*$M920))</f>
        <v/>
      </c>
      <c r="AC920" s="48">
        <f>IF(OR($M920="",$T920=""),"",$T920+(AC$2*$M920))</f>
        <v/>
      </c>
      <c r="AD920" s="48">
        <f>IF(OR($M920="",$T920=""),"",$T920+(AD$2*$M920))</f>
        <v/>
      </c>
      <c r="AE920" s="49">
        <f>IF(OR($M920="",$T920=""),"",$T920+(AE$2*$M920))</f>
        <v/>
      </c>
      <c r="AF920" s="52">
        <f>IF(OR(T920="",I920&lt;T920),"",IFERROR(AVERAGE(T920+M920*{7,8,9,10,11})/IF(G920="",I920,G920)-1,""))</f>
        <v/>
      </c>
      <c r="AG920" s="55">
        <f>IF(OR(T920="",I920&lt;T920),"",IFERROR(AF920/-(R920/IF(G920="",I920,G920)-1),""))</f>
        <v/>
      </c>
      <c r="AH920" s="94" t="n"/>
      <c r="AI920" s="94" t="n"/>
      <c r="AJ920" s="94" t="n"/>
      <c r="AK920" s="94" t="n"/>
      <c r="AL920" s="84" t="n"/>
    </row>
    <row r="921">
      <c r="A921" s="64" t="n"/>
      <c r="B921" s="65" t="n"/>
      <c r="C921" s="66" t="n"/>
      <c r="D921" s="67" t="n"/>
      <c r="E921" s="68" t="n"/>
      <c r="F921" s="47">
        <f>IF(A921="","",IF(MIN(H921,MAX(J921:K921))=0,"",MIN(H921,MAX(J921:K921))))</f>
        <v/>
      </c>
      <c r="G921" s="74" t="n"/>
      <c r="H921" s="49">
        <f>IF(M921="","",IFERROR(ROUND(AVERAGE(T921+M921*{7,8,9,10,11})/1.21,4),""))</f>
        <v/>
      </c>
      <c r="I921" s="76" t="n"/>
      <c r="J921" s="77" t="n"/>
      <c r="K921" s="74" t="n"/>
      <c r="L921" s="78" t="n"/>
      <c r="M921" s="77" t="n"/>
      <c r="N921" s="53">
        <f>IF(M921="","",IFERROR(M921/I921,""))</f>
        <v/>
      </c>
      <c r="O921" s="50">
        <f>IF(A921="","",IFERROR((IF(G921="",I921,G921)-T921)/M921,""))</f>
        <v/>
      </c>
      <c r="P921" s="50">
        <f>IFERROR((I921/T921-1)/N921,"")</f>
        <v/>
      </c>
      <c r="Q921" s="46">
        <f>IF(OR(T921="",I921&lt;T921),"",IFERROR(R921/IF(G921="",I921,G921)-1,""))</f>
        <v/>
      </c>
      <c r="R921" s="48">
        <f>IF($M921="","",MAX(IF($G921="",$I921,$G921)*(1/1.1),IF($G921="",$I921,$G921)+(R$2*$M921)))</f>
        <v/>
      </c>
      <c r="S921" s="49">
        <f>IF($M921="","",MAX(IF($G921="",$I921,$G921)*(1/1.1),IF($G921="",$I921,$G921)+(S$2*$M921)))</f>
        <v/>
      </c>
      <c r="T921" s="82" t="n"/>
      <c r="U921" s="47">
        <f>IF(OR($M921="",$T921=""),"",$T921+(U$2*$M921))</f>
        <v/>
      </c>
      <c r="V921" s="48">
        <f>IF(OR($M921="",$T921=""),"",$T921+(V$2*$M921))</f>
        <v/>
      </c>
      <c r="W921" s="48">
        <f>IF(OR($M921="",$T921=""),"",$T921+(W$2*$M921))</f>
        <v/>
      </c>
      <c r="X921" s="49">
        <f>IF(OR($M921="",$T921=""),"",$T921+(X$2*$M921))</f>
        <v/>
      </c>
      <c r="Y921" s="47">
        <f>IF(OR($M921="",$T921=""),"",$T921+(Y$2*$M921))</f>
        <v/>
      </c>
      <c r="Z921" s="49">
        <f>IF(OR($M921="",$T921=""),"",$T921+(Z$2*$M921))</f>
        <v/>
      </c>
      <c r="AA921" s="51">
        <f>IF(OR($M921="",$T921=""),"",$T921+(AA$2*$M921))</f>
        <v/>
      </c>
      <c r="AB921" s="48">
        <f>IF(OR($M921="",$T921=""),"",$T921+(AB$2*$M921))</f>
        <v/>
      </c>
      <c r="AC921" s="48">
        <f>IF(OR($M921="",$T921=""),"",$T921+(AC$2*$M921))</f>
        <v/>
      </c>
      <c r="AD921" s="48">
        <f>IF(OR($M921="",$T921=""),"",$T921+(AD$2*$M921))</f>
        <v/>
      </c>
      <c r="AE921" s="49">
        <f>IF(OR($M921="",$T921=""),"",$T921+(AE$2*$M921))</f>
        <v/>
      </c>
      <c r="AF921" s="52">
        <f>IF(OR(T921="",I921&lt;T921),"",IFERROR(AVERAGE(T921+M921*{7,8,9,10,11})/IF(G921="",I921,G921)-1,""))</f>
        <v/>
      </c>
      <c r="AG921" s="55">
        <f>IF(OR(T921="",I921&lt;T921),"",IFERROR(AF921/-(R921/IF(G921="",I921,G921)-1),""))</f>
        <v/>
      </c>
      <c r="AH921" s="94" t="n"/>
      <c r="AI921" s="94" t="n"/>
      <c r="AJ921" s="94" t="n"/>
      <c r="AK921" s="94" t="n"/>
      <c r="AL921" s="84" t="n"/>
    </row>
    <row r="922">
      <c r="A922" s="64" t="n"/>
      <c r="B922" s="65" t="n"/>
      <c r="C922" s="66" t="n"/>
      <c r="D922" s="67" t="n"/>
      <c r="E922" s="68" t="n"/>
      <c r="F922" s="47">
        <f>IF(A922="","",IF(MIN(H922,MAX(J922:K922))=0,"",MIN(H922,MAX(J922:K922))))</f>
        <v/>
      </c>
      <c r="G922" s="74" t="n"/>
      <c r="H922" s="49">
        <f>IF(M922="","",IFERROR(ROUND(AVERAGE(T922+M922*{7,8,9,10,11})/1.21,4),""))</f>
        <v/>
      </c>
      <c r="I922" s="76" t="n"/>
      <c r="J922" s="77" t="n"/>
      <c r="K922" s="74" t="n"/>
      <c r="L922" s="78" t="n"/>
      <c r="M922" s="77" t="n"/>
      <c r="N922" s="53">
        <f>IF(M922="","",IFERROR(M922/I922,""))</f>
        <v/>
      </c>
      <c r="O922" s="50">
        <f>IF(A922="","",IFERROR((IF(G922="",I922,G922)-T922)/M922,""))</f>
        <v/>
      </c>
      <c r="P922" s="50">
        <f>IFERROR((I922/T922-1)/N922,"")</f>
        <v/>
      </c>
      <c r="Q922" s="46">
        <f>IF(OR(T922="",I922&lt;T922),"",IFERROR(R922/IF(G922="",I922,G922)-1,""))</f>
        <v/>
      </c>
      <c r="R922" s="48">
        <f>IF($M922="","",MAX(IF($G922="",$I922,$G922)*(1/1.1),IF($G922="",$I922,$G922)+(R$2*$M922)))</f>
        <v/>
      </c>
      <c r="S922" s="49">
        <f>IF($M922="","",MAX(IF($G922="",$I922,$G922)*(1/1.1),IF($G922="",$I922,$G922)+(S$2*$M922)))</f>
        <v/>
      </c>
      <c r="T922" s="82" t="n"/>
      <c r="U922" s="47">
        <f>IF(OR($M922="",$T922=""),"",$T922+(U$2*$M922))</f>
        <v/>
      </c>
      <c r="V922" s="48">
        <f>IF(OR($M922="",$T922=""),"",$T922+(V$2*$M922))</f>
        <v/>
      </c>
      <c r="W922" s="48">
        <f>IF(OR($M922="",$T922=""),"",$T922+(W$2*$M922))</f>
        <v/>
      </c>
      <c r="X922" s="49">
        <f>IF(OR($M922="",$T922=""),"",$T922+(X$2*$M922))</f>
        <v/>
      </c>
      <c r="Y922" s="47">
        <f>IF(OR($M922="",$T922=""),"",$T922+(Y$2*$M922))</f>
        <v/>
      </c>
      <c r="Z922" s="49">
        <f>IF(OR($M922="",$T922=""),"",$T922+(Z$2*$M922))</f>
        <v/>
      </c>
      <c r="AA922" s="51">
        <f>IF(OR($M922="",$T922=""),"",$T922+(AA$2*$M922))</f>
        <v/>
      </c>
      <c r="AB922" s="48">
        <f>IF(OR($M922="",$T922=""),"",$T922+(AB$2*$M922))</f>
        <v/>
      </c>
      <c r="AC922" s="48">
        <f>IF(OR($M922="",$T922=""),"",$T922+(AC$2*$M922))</f>
        <v/>
      </c>
      <c r="AD922" s="48">
        <f>IF(OR($M922="",$T922=""),"",$T922+(AD$2*$M922))</f>
        <v/>
      </c>
      <c r="AE922" s="49">
        <f>IF(OR($M922="",$T922=""),"",$T922+(AE$2*$M922))</f>
        <v/>
      </c>
      <c r="AF922" s="52">
        <f>IF(OR(T922="",I922&lt;T922),"",IFERROR(AVERAGE(T922+M922*{7,8,9,10,11})/IF(G922="",I922,G922)-1,""))</f>
        <v/>
      </c>
      <c r="AG922" s="55">
        <f>IF(OR(T922="",I922&lt;T922),"",IFERROR(AF922/-(R922/IF(G922="",I922,G922)-1),""))</f>
        <v/>
      </c>
      <c r="AH922" s="94" t="n"/>
      <c r="AI922" s="94" t="n"/>
      <c r="AJ922" s="94" t="n"/>
      <c r="AK922" s="94" t="n"/>
      <c r="AL922" s="84" t="n"/>
    </row>
    <row r="923">
      <c r="A923" s="64" t="n"/>
      <c r="B923" s="65" t="n"/>
      <c r="C923" s="66" t="n"/>
      <c r="D923" s="67" t="n"/>
      <c r="E923" s="68" t="n"/>
      <c r="F923" s="47">
        <f>IF(A923="","",IF(MIN(H923,MAX(J923:K923))=0,"",MIN(H923,MAX(J923:K923))))</f>
        <v/>
      </c>
      <c r="G923" s="74" t="n"/>
      <c r="H923" s="49">
        <f>IF(M923="","",IFERROR(ROUND(AVERAGE(T923+M923*{7,8,9,10,11})/1.21,4),""))</f>
        <v/>
      </c>
      <c r="I923" s="76" t="n"/>
      <c r="J923" s="77" t="n"/>
      <c r="K923" s="74" t="n"/>
      <c r="L923" s="78" t="n"/>
      <c r="M923" s="77" t="n"/>
      <c r="N923" s="53">
        <f>IF(M923="","",IFERROR(M923/I923,""))</f>
        <v/>
      </c>
      <c r="O923" s="50">
        <f>IF(A923="","",IFERROR((IF(G923="",I923,G923)-T923)/M923,""))</f>
        <v/>
      </c>
      <c r="P923" s="50">
        <f>IFERROR((I923/T923-1)/N923,"")</f>
        <v/>
      </c>
      <c r="Q923" s="46">
        <f>IF(OR(T923="",I923&lt;T923),"",IFERROR(R923/IF(G923="",I923,G923)-1,""))</f>
        <v/>
      </c>
      <c r="R923" s="48">
        <f>IF($M923="","",MAX(IF($G923="",$I923,$G923)*(1/1.1),IF($G923="",$I923,$G923)+(R$2*$M923)))</f>
        <v/>
      </c>
      <c r="S923" s="49">
        <f>IF($M923="","",MAX(IF($G923="",$I923,$G923)*(1/1.1),IF($G923="",$I923,$G923)+(S$2*$M923)))</f>
        <v/>
      </c>
      <c r="T923" s="82" t="n"/>
      <c r="U923" s="47">
        <f>IF(OR($M923="",$T923=""),"",$T923+(U$2*$M923))</f>
        <v/>
      </c>
      <c r="V923" s="48">
        <f>IF(OR($M923="",$T923=""),"",$T923+(V$2*$M923))</f>
        <v/>
      </c>
      <c r="W923" s="48">
        <f>IF(OR($M923="",$T923=""),"",$T923+(W$2*$M923))</f>
        <v/>
      </c>
      <c r="X923" s="49">
        <f>IF(OR($M923="",$T923=""),"",$T923+(X$2*$M923))</f>
        <v/>
      </c>
      <c r="Y923" s="47">
        <f>IF(OR($M923="",$T923=""),"",$T923+(Y$2*$M923))</f>
        <v/>
      </c>
      <c r="Z923" s="49">
        <f>IF(OR($M923="",$T923=""),"",$T923+(Z$2*$M923))</f>
        <v/>
      </c>
      <c r="AA923" s="51">
        <f>IF(OR($M923="",$T923=""),"",$T923+(AA$2*$M923))</f>
        <v/>
      </c>
      <c r="AB923" s="48">
        <f>IF(OR($M923="",$T923=""),"",$T923+(AB$2*$M923))</f>
        <v/>
      </c>
      <c r="AC923" s="48">
        <f>IF(OR($M923="",$T923=""),"",$T923+(AC$2*$M923))</f>
        <v/>
      </c>
      <c r="AD923" s="48">
        <f>IF(OR($M923="",$T923=""),"",$T923+(AD$2*$M923))</f>
        <v/>
      </c>
      <c r="AE923" s="49">
        <f>IF(OR($M923="",$T923=""),"",$T923+(AE$2*$M923))</f>
        <v/>
      </c>
      <c r="AF923" s="52">
        <f>IF(OR(T923="",I923&lt;T923),"",IFERROR(AVERAGE(T923+M923*{7,8,9,10,11})/IF(G923="",I923,G923)-1,""))</f>
        <v/>
      </c>
      <c r="AG923" s="55">
        <f>IF(OR(T923="",I923&lt;T923),"",IFERROR(AF923/-(R923/IF(G923="",I923,G923)-1),""))</f>
        <v/>
      </c>
      <c r="AH923" s="94" t="n"/>
      <c r="AI923" s="94" t="n"/>
      <c r="AJ923" s="94" t="n"/>
      <c r="AK923" s="94" t="n"/>
      <c r="AL923" s="84" t="n"/>
    </row>
    <row r="924">
      <c r="A924" s="64" t="n"/>
      <c r="B924" s="65" t="n"/>
      <c r="C924" s="66" t="n"/>
      <c r="D924" s="67" t="n"/>
      <c r="E924" s="68" t="n"/>
      <c r="F924" s="47">
        <f>IF(A924="","",IF(MIN(H924,MAX(J924:K924))=0,"",MIN(H924,MAX(J924:K924))))</f>
        <v/>
      </c>
      <c r="G924" s="74" t="n"/>
      <c r="H924" s="49">
        <f>IF(M924="","",IFERROR(ROUND(AVERAGE(T924+M924*{7,8,9,10,11})/1.21,4),""))</f>
        <v/>
      </c>
      <c r="I924" s="76" t="n"/>
      <c r="J924" s="77" t="n"/>
      <c r="K924" s="74" t="n"/>
      <c r="L924" s="78" t="n"/>
      <c r="M924" s="77" t="n"/>
      <c r="N924" s="53">
        <f>IF(M924="","",IFERROR(M924/I924,""))</f>
        <v/>
      </c>
      <c r="O924" s="50">
        <f>IF(A924="","",IFERROR((IF(G924="",I924,G924)-T924)/M924,""))</f>
        <v/>
      </c>
      <c r="P924" s="50">
        <f>IFERROR((I924/T924-1)/N924,"")</f>
        <v/>
      </c>
      <c r="Q924" s="46">
        <f>IF(OR(T924="",I924&lt;T924),"",IFERROR(R924/IF(G924="",I924,G924)-1,""))</f>
        <v/>
      </c>
      <c r="R924" s="48">
        <f>IF($M924="","",MAX(IF($G924="",$I924,$G924)*(1/1.1),IF($G924="",$I924,$G924)+(R$2*$M924)))</f>
        <v/>
      </c>
      <c r="S924" s="49">
        <f>IF($M924="","",MAX(IF($G924="",$I924,$G924)*(1/1.1),IF($G924="",$I924,$G924)+(S$2*$M924)))</f>
        <v/>
      </c>
      <c r="T924" s="82" t="n"/>
      <c r="U924" s="47">
        <f>IF(OR($M924="",$T924=""),"",$T924+(U$2*$M924))</f>
        <v/>
      </c>
      <c r="V924" s="48">
        <f>IF(OR($M924="",$T924=""),"",$T924+(V$2*$M924))</f>
        <v/>
      </c>
      <c r="W924" s="48">
        <f>IF(OR($M924="",$T924=""),"",$T924+(W$2*$M924))</f>
        <v/>
      </c>
      <c r="X924" s="49">
        <f>IF(OR($M924="",$T924=""),"",$T924+(X$2*$M924))</f>
        <v/>
      </c>
      <c r="Y924" s="47">
        <f>IF(OR($M924="",$T924=""),"",$T924+(Y$2*$M924))</f>
        <v/>
      </c>
      <c r="Z924" s="49">
        <f>IF(OR($M924="",$T924=""),"",$T924+(Z$2*$M924))</f>
        <v/>
      </c>
      <c r="AA924" s="51">
        <f>IF(OR($M924="",$T924=""),"",$T924+(AA$2*$M924))</f>
        <v/>
      </c>
      <c r="AB924" s="48">
        <f>IF(OR($M924="",$T924=""),"",$T924+(AB$2*$M924))</f>
        <v/>
      </c>
      <c r="AC924" s="48">
        <f>IF(OR($M924="",$T924=""),"",$T924+(AC$2*$M924))</f>
        <v/>
      </c>
      <c r="AD924" s="48">
        <f>IF(OR($M924="",$T924=""),"",$T924+(AD$2*$M924))</f>
        <v/>
      </c>
      <c r="AE924" s="49">
        <f>IF(OR($M924="",$T924=""),"",$T924+(AE$2*$M924))</f>
        <v/>
      </c>
      <c r="AF924" s="52">
        <f>IF(OR(T924="",I924&lt;T924),"",IFERROR(AVERAGE(T924+M924*{7,8,9,10,11})/IF(G924="",I924,G924)-1,""))</f>
        <v/>
      </c>
      <c r="AG924" s="55">
        <f>IF(OR(T924="",I924&lt;T924),"",IFERROR(AF924/-(R924/IF(G924="",I924,G924)-1),""))</f>
        <v/>
      </c>
      <c r="AH924" s="94" t="n"/>
      <c r="AI924" s="94" t="n"/>
      <c r="AJ924" s="94" t="n"/>
      <c r="AK924" s="94" t="n"/>
      <c r="AL924" s="84" t="n"/>
    </row>
    <row r="925">
      <c r="A925" s="64" t="n"/>
      <c r="B925" s="65" t="n"/>
      <c r="C925" s="66" t="n"/>
      <c r="D925" s="67" t="n"/>
      <c r="E925" s="68" t="n"/>
      <c r="F925" s="47">
        <f>IF(A925="","",IF(MIN(H925,MAX(J925:K925))=0,"",MIN(H925,MAX(J925:K925))))</f>
        <v/>
      </c>
      <c r="G925" s="74" t="n"/>
      <c r="H925" s="49">
        <f>IF(M925="","",IFERROR(ROUND(AVERAGE(T925+M925*{7,8,9,10,11})/1.21,4),""))</f>
        <v/>
      </c>
      <c r="I925" s="76" t="n"/>
      <c r="J925" s="77" t="n"/>
      <c r="K925" s="74" t="n"/>
      <c r="L925" s="78" t="n"/>
      <c r="M925" s="77" t="n"/>
      <c r="N925" s="53">
        <f>IF(M925="","",IFERROR(M925/I925,""))</f>
        <v/>
      </c>
      <c r="O925" s="50">
        <f>IF(A925="","",IFERROR((IF(G925="",I925,G925)-T925)/M925,""))</f>
        <v/>
      </c>
      <c r="P925" s="50">
        <f>IFERROR((I925/T925-1)/N925,"")</f>
        <v/>
      </c>
      <c r="Q925" s="46">
        <f>IF(OR(T925="",I925&lt;T925),"",IFERROR(R925/IF(G925="",I925,G925)-1,""))</f>
        <v/>
      </c>
      <c r="R925" s="48">
        <f>IF($M925="","",MAX(IF($G925="",$I925,$G925)*(1/1.1),IF($G925="",$I925,$G925)+(R$2*$M925)))</f>
        <v/>
      </c>
      <c r="S925" s="49">
        <f>IF($M925="","",MAX(IF($G925="",$I925,$G925)*(1/1.1),IF($G925="",$I925,$G925)+(S$2*$M925)))</f>
        <v/>
      </c>
      <c r="T925" s="82" t="n"/>
      <c r="U925" s="47">
        <f>IF(OR($M925="",$T925=""),"",$T925+(U$2*$M925))</f>
        <v/>
      </c>
      <c r="V925" s="48">
        <f>IF(OR($M925="",$T925=""),"",$T925+(V$2*$M925))</f>
        <v/>
      </c>
      <c r="W925" s="48">
        <f>IF(OR($M925="",$T925=""),"",$T925+(W$2*$M925))</f>
        <v/>
      </c>
      <c r="X925" s="49">
        <f>IF(OR($M925="",$T925=""),"",$T925+(X$2*$M925))</f>
        <v/>
      </c>
      <c r="Y925" s="47">
        <f>IF(OR($M925="",$T925=""),"",$T925+(Y$2*$M925))</f>
        <v/>
      </c>
      <c r="Z925" s="49">
        <f>IF(OR($M925="",$T925=""),"",$T925+(Z$2*$M925))</f>
        <v/>
      </c>
      <c r="AA925" s="51">
        <f>IF(OR($M925="",$T925=""),"",$T925+(AA$2*$M925))</f>
        <v/>
      </c>
      <c r="AB925" s="48">
        <f>IF(OR($M925="",$T925=""),"",$T925+(AB$2*$M925))</f>
        <v/>
      </c>
      <c r="AC925" s="48">
        <f>IF(OR($M925="",$T925=""),"",$T925+(AC$2*$M925))</f>
        <v/>
      </c>
      <c r="AD925" s="48">
        <f>IF(OR($M925="",$T925=""),"",$T925+(AD$2*$M925))</f>
        <v/>
      </c>
      <c r="AE925" s="49">
        <f>IF(OR($M925="",$T925=""),"",$T925+(AE$2*$M925))</f>
        <v/>
      </c>
      <c r="AF925" s="52">
        <f>IF(OR(T925="",I925&lt;T925),"",IFERROR(AVERAGE(T925+M925*{7,8,9,10,11})/IF(G925="",I925,G925)-1,""))</f>
        <v/>
      </c>
      <c r="AG925" s="55">
        <f>IF(OR(T925="",I925&lt;T925),"",IFERROR(AF925/-(R925/IF(G925="",I925,G925)-1),""))</f>
        <v/>
      </c>
      <c r="AH925" s="94" t="n"/>
      <c r="AI925" s="94" t="n"/>
      <c r="AJ925" s="94" t="n"/>
      <c r="AK925" s="94" t="n"/>
      <c r="AL925" s="84" t="n"/>
    </row>
    <row r="926">
      <c r="A926" s="64" t="n"/>
      <c r="B926" s="65" t="n"/>
      <c r="C926" s="66" t="n"/>
      <c r="D926" s="67" t="n"/>
      <c r="E926" s="68" t="n"/>
      <c r="F926" s="47">
        <f>IF(A926="","",IF(MIN(H926,MAX(J926:K926))=0,"",MIN(H926,MAX(J926:K926))))</f>
        <v/>
      </c>
      <c r="G926" s="74" t="n"/>
      <c r="H926" s="49">
        <f>IF(M926="","",IFERROR(ROUND(AVERAGE(T926+M926*{7,8,9,10,11})/1.21,4),""))</f>
        <v/>
      </c>
      <c r="I926" s="76" t="n"/>
      <c r="J926" s="77" t="n"/>
      <c r="K926" s="74" t="n"/>
      <c r="L926" s="78" t="n"/>
      <c r="M926" s="77" t="n"/>
      <c r="N926" s="53">
        <f>IF(M926="","",IFERROR(M926/I926,""))</f>
        <v/>
      </c>
      <c r="O926" s="50">
        <f>IF(A926="","",IFERROR((IF(G926="",I926,G926)-T926)/M926,""))</f>
        <v/>
      </c>
      <c r="P926" s="50">
        <f>IFERROR((I926/T926-1)/N926,"")</f>
        <v/>
      </c>
      <c r="Q926" s="46">
        <f>IF(OR(T926="",I926&lt;T926),"",IFERROR(R926/IF(G926="",I926,G926)-1,""))</f>
        <v/>
      </c>
      <c r="R926" s="48">
        <f>IF($M926="","",MAX(IF($G926="",$I926,$G926)*(1/1.1),IF($G926="",$I926,$G926)+(R$2*$M926)))</f>
        <v/>
      </c>
      <c r="S926" s="49">
        <f>IF($M926="","",MAX(IF($G926="",$I926,$G926)*(1/1.1),IF($G926="",$I926,$G926)+(S$2*$M926)))</f>
        <v/>
      </c>
      <c r="T926" s="82" t="n"/>
      <c r="U926" s="47">
        <f>IF(OR($M926="",$T926=""),"",$T926+(U$2*$M926))</f>
        <v/>
      </c>
      <c r="V926" s="48">
        <f>IF(OR($M926="",$T926=""),"",$T926+(V$2*$M926))</f>
        <v/>
      </c>
      <c r="W926" s="48">
        <f>IF(OR($M926="",$T926=""),"",$T926+(W$2*$M926))</f>
        <v/>
      </c>
      <c r="X926" s="49">
        <f>IF(OR($M926="",$T926=""),"",$T926+(X$2*$M926))</f>
        <v/>
      </c>
      <c r="Y926" s="47">
        <f>IF(OR($M926="",$T926=""),"",$T926+(Y$2*$M926))</f>
        <v/>
      </c>
      <c r="Z926" s="49">
        <f>IF(OR($M926="",$T926=""),"",$T926+(Z$2*$M926))</f>
        <v/>
      </c>
      <c r="AA926" s="51">
        <f>IF(OR($M926="",$T926=""),"",$T926+(AA$2*$M926))</f>
        <v/>
      </c>
      <c r="AB926" s="48">
        <f>IF(OR($M926="",$T926=""),"",$T926+(AB$2*$M926))</f>
        <v/>
      </c>
      <c r="AC926" s="48">
        <f>IF(OR($M926="",$T926=""),"",$T926+(AC$2*$M926))</f>
        <v/>
      </c>
      <c r="AD926" s="48">
        <f>IF(OR($M926="",$T926=""),"",$T926+(AD$2*$M926))</f>
        <v/>
      </c>
      <c r="AE926" s="49">
        <f>IF(OR($M926="",$T926=""),"",$T926+(AE$2*$M926))</f>
        <v/>
      </c>
      <c r="AF926" s="52">
        <f>IF(OR(T926="",I926&lt;T926),"",IFERROR(AVERAGE(T926+M926*{7,8,9,10,11})/IF(G926="",I926,G926)-1,""))</f>
        <v/>
      </c>
      <c r="AG926" s="55">
        <f>IF(OR(T926="",I926&lt;T926),"",IFERROR(AF926/-(R926/IF(G926="",I926,G926)-1),""))</f>
        <v/>
      </c>
      <c r="AH926" s="94" t="n"/>
      <c r="AI926" s="94" t="n"/>
      <c r="AJ926" s="94" t="n"/>
      <c r="AK926" s="94" t="n"/>
      <c r="AL926" s="84" t="n"/>
    </row>
    <row r="927">
      <c r="A927" s="64" t="n"/>
      <c r="B927" s="65" t="n"/>
      <c r="C927" s="66" t="n"/>
      <c r="D927" s="67" t="n"/>
      <c r="E927" s="68" t="n"/>
      <c r="F927" s="47">
        <f>IF(A927="","",IF(MIN(H927,MAX(J927:K927))=0,"",MIN(H927,MAX(J927:K927))))</f>
        <v/>
      </c>
      <c r="G927" s="74" t="n"/>
      <c r="H927" s="49">
        <f>IF(M927="","",IFERROR(ROUND(AVERAGE(T927+M927*{7,8,9,10,11})/1.21,4),""))</f>
        <v/>
      </c>
      <c r="I927" s="76" t="n"/>
      <c r="J927" s="77" t="n"/>
      <c r="K927" s="74" t="n"/>
      <c r="L927" s="78" t="n"/>
      <c r="M927" s="77" t="n"/>
      <c r="N927" s="53">
        <f>IF(M927="","",IFERROR(M927/I927,""))</f>
        <v/>
      </c>
      <c r="O927" s="50">
        <f>IF(A927="","",IFERROR((IF(G927="",I927,G927)-T927)/M927,""))</f>
        <v/>
      </c>
      <c r="P927" s="50">
        <f>IFERROR((I927/T927-1)/N927,"")</f>
        <v/>
      </c>
      <c r="Q927" s="46">
        <f>IF(OR(T927="",I927&lt;T927),"",IFERROR(R927/IF(G927="",I927,G927)-1,""))</f>
        <v/>
      </c>
      <c r="R927" s="48">
        <f>IF($M927="","",MAX(IF($G927="",$I927,$G927)*(1/1.1),IF($G927="",$I927,$G927)+(R$2*$M927)))</f>
        <v/>
      </c>
      <c r="S927" s="49">
        <f>IF($M927="","",MAX(IF($G927="",$I927,$G927)*(1/1.1),IF($G927="",$I927,$G927)+(S$2*$M927)))</f>
        <v/>
      </c>
      <c r="T927" s="82" t="n"/>
      <c r="U927" s="47">
        <f>IF(OR($M927="",$T927=""),"",$T927+(U$2*$M927))</f>
        <v/>
      </c>
      <c r="V927" s="48">
        <f>IF(OR($M927="",$T927=""),"",$T927+(V$2*$M927))</f>
        <v/>
      </c>
      <c r="W927" s="48">
        <f>IF(OR($M927="",$T927=""),"",$T927+(W$2*$M927))</f>
        <v/>
      </c>
      <c r="X927" s="49">
        <f>IF(OR($M927="",$T927=""),"",$T927+(X$2*$M927))</f>
        <v/>
      </c>
      <c r="Y927" s="47">
        <f>IF(OR($M927="",$T927=""),"",$T927+(Y$2*$M927))</f>
        <v/>
      </c>
      <c r="Z927" s="49">
        <f>IF(OR($M927="",$T927=""),"",$T927+(Z$2*$M927))</f>
        <v/>
      </c>
      <c r="AA927" s="51">
        <f>IF(OR($M927="",$T927=""),"",$T927+(AA$2*$M927))</f>
        <v/>
      </c>
      <c r="AB927" s="48">
        <f>IF(OR($M927="",$T927=""),"",$T927+(AB$2*$M927))</f>
        <v/>
      </c>
      <c r="AC927" s="48">
        <f>IF(OR($M927="",$T927=""),"",$T927+(AC$2*$M927))</f>
        <v/>
      </c>
      <c r="AD927" s="48">
        <f>IF(OR($M927="",$T927=""),"",$T927+(AD$2*$M927))</f>
        <v/>
      </c>
      <c r="AE927" s="49">
        <f>IF(OR($M927="",$T927=""),"",$T927+(AE$2*$M927))</f>
        <v/>
      </c>
      <c r="AF927" s="52">
        <f>IF(OR(T927="",I927&lt;T927),"",IFERROR(AVERAGE(T927+M927*{7,8,9,10,11})/IF(G927="",I927,G927)-1,""))</f>
        <v/>
      </c>
      <c r="AG927" s="55">
        <f>IF(OR(T927="",I927&lt;T927),"",IFERROR(AF927/-(R927/IF(G927="",I927,G927)-1),""))</f>
        <v/>
      </c>
      <c r="AH927" s="94" t="n"/>
      <c r="AI927" s="94" t="n"/>
      <c r="AJ927" s="94" t="n"/>
      <c r="AK927" s="94" t="n"/>
      <c r="AL927" s="84" t="n"/>
    </row>
    <row r="928">
      <c r="A928" s="64" t="n"/>
      <c r="B928" s="65" t="n"/>
      <c r="C928" s="66" t="n"/>
      <c r="D928" s="67" t="n"/>
      <c r="E928" s="68" t="n"/>
      <c r="F928" s="47">
        <f>IF(A928="","",IF(MIN(H928,MAX(J928:K928))=0,"",MIN(H928,MAX(J928:K928))))</f>
        <v/>
      </c>
      <c r="G928" s="74" t="n"/>
      <c r="H928" s="49">
        <f>IF(M928="","",IFERROR(ROUND(AVERAGE(T928+M928*{7,8,9,10,11})/1.21,4),""))</f>
        <v/>
      </c>
      <c r="I928" s="76" t="n"/>
      <c r="J928" s="77" t="n"/>
      <c r="K928" s="74" t="n"/>
      <c r="L928" s="78" t="n"/>
      <c r="M928" s="77" t="n"/>
      <c r="N928" s="53">
        <f>IF(M928="","",IFERROR(M928/I928,""))</f>
        <v/>
      </c>
      <c r="O928" s="50">
        <f>IF(A928="","",IFERROR((IF(G928="",I928,G928)-T928)/M928,""))</f>
        <v/>
      </c>
      <c r="P928" s="50">
        <f>IFERROR((I928/T928-1)/N928,"")</f>
        <v/>
      </c>
      <c r="Q928" s="46">
        <f>IF(OR(T928="",I928&lt;T928),"",IFERROR(R928/IF(G928="",I928,G928)-1,""))</f>
        <v/>
      </c>
      <c r="R928" s="48">
        <f>IF($M928="","",MAX(IF($G928="",$I928,$G928)*(1/1.1),IF($G928="",$I928,$G928)+(R$2*$M928)))</f>
        <v/>
      </c>
      <c r="S928" s="49">
        <f>IF($M928="","",MAX(IF($G928="",$I928,$G928)*(1/1.1),IF($G928="",$I928,$G928)+(S$2*$M928)))</f>
        <v/>
      </c>
      <c r="T928" s="82" t="n"/>
      <c r="U928" s="47">
        <f>IF(OR($M928="",$T928=""),"",$T928+(U$2*$M928))</f>
        <v/>
      </c>
      <c r="V928" s="48">
        <f>IF(OR($M928="",$T928=""),"",$T928+(V$2*$M928))</f>
        <v/>
      </c>
      <c r="W928" s="48">
        <f>IF(OR($M928="",$T928=""),"",$T928+(W$2*$M928))</f>
        <v/>
      </c>
      <c r="X928" s="49">
        <f>IF(OR($M928="",$T928=""),"",$T928+(X$2*$M928))</f>
        <v/>
      </c>
      <c r="Y928" s="47">
        <f>IF(OR($M928="",$T928=""),"",$T928+(Y$2*$M928))</f>
        <v/>
      </c>
      <c r="Z928" s="49">
        <f>IF(OR($M928="",$T928=""),"",$T928+(Z$2*$M928))</f>
        <v/>
      </c>
      <c r="AA928" s="51">
        <f>IF(OR($M928="",$T928=""),"",$T928+(AA$2*$M928))</f>
        <v/>
      </c>
      <c r="AB928" s="48">
        <f>IF(OR($M928="",$T928=""),"",$T928+(AB$2*$M928))</f>
        <v/>
      </c>
      <c r="AC928" s="48">
        <f>IF(OR($M928="",$T928=""),"",$T928+(AC$2*$M928))</f>
        <v/>
      </c>
      <c r="AD928" s="48">
        <f>IF(OR($M928="",$T928=""),"",$T928+(AD$2*$M928))</f>
        <v/>
      </c>
      <c r="AE928" s="49">
        <f>IF(OR($M928="",$T928=""),"",$T928+(AE$2*$M928))</f>
        <v/>
      </c>
      <c r="AF928" s="52">
        <f>IF(OR(T928="",I928&lt;T928),"",IFERROR(AVERAGE(T928+M928*{7,8,9,10,11})/IF(G928="",I928,G928)-1,""))</f>
        <v/>
      </c>
      <c r="AG928" s="55">
        <f>IF(OR(T928="",I928&lt;T928),"",IFERROR(AF928/-(R928/IF(G928="",I928,G928)-1),""))</f>
        <v/>
      </c>
      <c r="AH928" s="94" t="n"/>
      <c r="AI928" s="94" t="n"/>
      <c r="AJ928" s="94" t="n"/>
      <c r="AK928" s="94" t="n"/>
      <c r="AL928" s="84" t="n"/>
    </row>
    <row r="929">
      <c r="A929" s="64" t="n"/>
      <c r="B929" s="65" t="n"/>
      <c r="C929" s="66" t="n"/>
      <c r="D929" s="67" t="n"/>
      <c r="E929" s="68" t="n"/>
      <c r="F929" s="47">
        <f>IF(A929="","",IF(MIN(H929,MAX(J929:K929))=0,"",MIN(H929,MAX(J929:K929))))</f>
        <v/>
      </c>
      <c r="G929" s="74" t="n"/>
      <c r="H929" s="49">
        <f>IF(M929="","",IFERROR(ROUND(AVERAGE(T929+M929*{7,8,9,10,11})/1.21,4),""))</f>
        <v/>
      </c>
      <c r="I929" s="76" t="n"/>
      <c r="J929" s="77" t="n"/>
      <c r="K929" s="74" t="n"/>
      <c r="L929" s="78" t="n"/>
      <c r="M929" s="77" t="n"/>
      <c r="N929" s="53">
        <f>IF(M929="","",IFERROR(M929/I929,""))</f>
        <v/>
      </c>
      <c r="O929" s="50">
        <f>IF(A929="","",IFERROR((IF(G929="",I929,G929)-T929)/M929,""))</f>
        <v/>
      </c>
      <c r="P929" s="50">
        <f>IFERROR((I929/T929-1)/N929,"")</f>
        <v/>
      </c>
      <c r="Q929" s="46">
        <f>IF(OR(T929="",I929&lt;T929),"",IFERROR(R929/IF(G929="",I929,G929)-1,""))</f>
        <v/>
      </c>
      <c r="R929" s="48">
        <f>IF($M929="","",MAX(IF($G929="",$I929,$G929)*(1/1.1),IF($G929="",$I929,$G929)+(R$2*$M929)))</f>
        <v/>
      </c>
      <c r="S929" s="49">
        <f>IF($M929="","",MAX(IF($G929="",$I929,$G929)*(1/1.1),IF($G929="",$I929,$G929)+(S$2*$M929)))</f>
        <v/>
      </c>
      <c r="T929" s="82" t="n"/>
      <c r="U929" s="47">
        <f>IF(OR($M929="",$T929=""),"",$T929+(U$2*$M929))</f>
        <v/>
      </c>
      <c r="V929" s="48">
        <f>IF(OR($M929="",$T929=""),"",$T929+(V$2*$M929))</f>
        <v/>
      </c>
      <c r="W929" s="48">
        <f>IF(OR($M929="",$T929=""),"",$T929+(W$2*$M929))</f>
        <v/>
      </c>
      <c r="X929" s="49">
        <f>IF(OR($M929="",$T929=""),"",$T929+(X$2*$M929))</f>
        <v/>
      </c>
      <c r="Y929" s="47">
        <f>IF(OR($M929="",$T929=""),"",$T929+(Y$2*$M929))</f>
        <v/>
      </c>
      <c r="Z929" s="49">
        <f>IF(OR($M929="",$T929=""),"",$T929+(Z$2*$M929))</f>
        <v/>
      </c>
      <c r="AA929" s="51">
        <f>IF(OR($M929="",$T929=""),"",$T929+(AA$2*$M929))</f>
        <v/>
      </c>
      <c r="AB929" s="48">
        <f>IF(OR($M929="",$T929=""),"",$T929+(AB$2*$M929))</f>
        <v/>
      </c>
      <c r="AC929" s="48">
        <f>IF(OR($M929="",$T929=""),"",$T929+(AC$2*$M929))</f>
        <v/>
      </c>
      <c r="AD929" s="48">
        <f>IF(OR($M929="",$T929=""),"",$T929+(AD$2*$M929))</f>
        <v/>
      </c>
      <c r="AE929" s="49">
        <f>IF(OR($M929="",$T929=""),"",$T929+(AE$2*$M929))</f>
        <v/>
      </c>
      <c r="AF929" s="52">
        <f>IF(OR(T929="",I929&lt;T929),"",IFERROR(AVERAGE(T929+M929*{7,8,9,10,11})/IF(G929="",I929,G929)-1,""))</f>
        <v/>
      </c>
      <c r="AG929" s="55">
        <f>IF(OR(T929="",I929&lt;T929),"",IFERROR(AF929/-(R929/IF(G929="",I929,G929)-1),""))</f>
        <v/>
      </c>
      <c r="AH929" s="94" t="n"/>
      <c r="AI929" s="94" t="n"/>
      <c r="AJ929" s="94" t="n"/>
      <c r="AK929" s="94" t="n"/>
      <c r="AL929" s="84" t="n"/>
    </row>
    <row r="930">
      <c r="A930" s="64" t="n"/>
      <c r="B930" s="65" t="n"/>
      <c r="C930" s="66" t="n"/>
      <c r="D930" s="67" t="n"/>
      <c r="E930" s="68" t="n"/>
      <c r="F930" s="47">
        <f>IF(A930="","",IF(MIN(H930,MAX(J930:K930))=0,"",MIN(H930,MAX(J930:K930))))</f>
        <v/>
      </c>
      <c r="G930" s="74" t="n"/>
      <c r="H930" s="49">
        <f>IF(M930="","",IFERROR(ROUND(AVERAGE(T930+M930*{7,8,9,10,11})/1.21,4),""))</f>
        <v/>
      </c>
      <c r="I930" s="76" t="n"/>
      <c r="J930" s="77" t="n"/>
      <c r="K930" s="74" t="n"/>
      <c r="L930" s="78" t="n"/>
      <c r="M930" s="77" t="n"/>
      <c r="N930" s="53">
        <f>IF(M930="","",IFERROR(M930/I930,""))</f>
        <v/>
      </c>
      <c r="O930" s="50">
        <f>IF(A930="","",IFERROR((IF(G930="",I930,G930)-T930)/M930,""))</f>
        <v/>
      </c>
      <c r="P930" s="50">
        <f>IFERROR((I930/T930-1)/N930,"")</f>
        <v/>
      </c>
      <c r="Q930" s="46">
        <f>IF(OR(T930="",I930&lt;T930),"",IFERROR(R930/IF(G930="",I930,G930)-1,""))</f>
        <v/>
      </c>
      <c r="R930" s="48">
        <f>IF($M930="","",MAX(IF($G930="",$I930,$G930)*(1/1.1),IF($G930="",$I930,$G930)+(R$2*$M930)))</f>
        <v/>
      </c>
      <c r="S930" s="49">
        <f>IF($M930="","",MAX(IF($G930="",$I930,$G930)*(1/1.1),IF($G930="",$I930,$G930)+(S$2*$M930)))</f>
        <v/>
      </c>
      <c r="T930" s="82" t="n"/>
      <c r="U930" s="47">
        <f>IF(OR($M930="",$T930=""),"",$T930+(U$2*$M930))</f>
        <v/>
      </c>
      <c r="V930" s="48">
        <f>IF(OR($M930="",$T930=""),"",$T930+(V$2*$M930))</f>
        <v/>
      </c>
      <c r="W930" s="48">
        <f>IF(OR($M930="",$T930=""),"",$T930+(W$2*$M930))</f>
        <v/>
      </c>
      <c r="X930" s="49">
        <f>IF(OR($M930="",$T930=""),"",$T930+(X$2*$M930))</f>
        <v/>
      </c>
      <c r="Y930" s="47">
        <f>IF(OR($M930="",$T930=""),"",$T930+(Y$2*$M930))</f>
        <v/>
      </c>
      <c r="Z930" s="49">
        <f>IF(OR($M930="",$T930=""),"",$T930+(Z$2*$M930))</f>
        <v/>
      </c>
      <c r="AA930" s="51">
        <f>IF(OR($M930="",$T930=""),"",$T930+(AA$2*$M930))</f>
        <v/>
      </c>
      <c r="AB930" s="48">
        <f>IF(OR($M930="",$T930=""),"",$T930+(AB$2*$M930))</f>
        <v/>
      </c>
      <c r="AC930" s="48">
        <f>IF(OR($M930="",$T930=""),"",$T930+(AC$2*$M930))</f>
        <v/>
      </c>
      <c r="AD930" s="48">
        <f>IF(OR($M930="",$T930=""),"",$T930+(AD$2*$M930))</f>
        <v/>
      </c>
      <c r="AE930" s="49">
        <f>IF(OR($M930="",$T930=""),"",$T930+(AE$2*$M930))</f>
        <v/>
      </c>
      <c r="AF930" s="52">
        <f>IF(OR(T930="",I930&lt;T930),"",IFERROR(AVERAGE(T930+M930*{7,8,9,10,11})/IF(G930="",I930,G930)-1,""))</f>
        <v/>
      </c>
      <c r="AG930" s="55">
        <f>IF(OR(T930="",I930&lt;T930),"",IFERROR(AF930/-(R930/IF(G930="",I930,G930)-1),""))</f>
        <v/>
      </c>
      <c r="AH930" s="94" t="n"/>
      <c r="AI930" s="94" t="n"/>
      <c r="AJ930" s="94" t="n"/>
      <c r="AK930" s="94" t="n"/>
      <c r="AL930" s="84" t="n"/>
    </row>
    <row r="931">
      <c r="A931" s="64" t="n"/>
      <c r="B931" s="65" t="n"/>
      <c r="C931" s="66" t="n"/>
      <c r="D931" s="67" t="n"/>
      <c r="E931" s="68" t="n"/>
      <c r="F931" s="47">
        <f>IF(A931="","",IF(MIN(H931,MAX(J931:K931))=0,"",MIN(H931,MAX(J931:K931))))</f>
        <v/>
      </c>
      <c r="G931" s="74" t="n"/>
      <c r="H931" s="49">
        <f>IF(M931="","",IFERROR(ROUND(AVERAGE(T931+M931*{7,8,9,10,11})/1.21,4),""))</f>
        <v/>
      </c>
      <c r="I931" s="76" t="n"/>
      <c r="J931" s="77" t="n"/>
      <c r="K931" s="74" t="n"/>
      <c r="L931" s="78" t="n"/>
      <c r="M931" s="77" t="n"/>
      <c r="N931" s="53">
        <f>IF(M931="","",IFERROR(M931/I931,""))</f>
        <v/>
      </c>
      <c r="O931" s="50">
        <f>IF(A931="","",IFERROR((IF(G931="",I931,G931)-T931)/M931,""))</f>
        <v/>
      </c>
      <c r="P931" s="50">
        <f>IFERROR((I931/T931-1)/N931,"")</f>
        <v/>
      </c>
      <c r="Q931" s="46">
        <f>IF(OR(T931="",I931&lt;T931),"",IFERROR(R931/IF(G931="",I931,G931)-1,""))</f>
        <v/>
      </c>
      <c r="R931" s="48">
        <f>IF($M931="","",MAX(IF($G931="",$I931,$G931)*(1/1.1),IF($G931="",$I931,$G931)+(R$2*$M931)))</f>
        <v/>
      </c>
      <c r="S931" s="49">
        <f>IF($M931="","",MAX(IF($G931="",$I931,$G931)*(1/1.1),IF($G931="",$I931,$G931)+(S$2*$M931)))</f>
        <v/>
      </c>
      <c r="T931" s="82" t="n"/>
      <c r="U931" s="47">
        <f>IF(OR($M931="",$T931=""),"",$T931+(U$2*$M931))</f>
        <v/>
      </c>
      <c r="V931" s="48">
        <f>IF(OR($M931="",$T931=""),"",$T931+(V$2*$M931))</f>
        <v/>
      </c>
      <c r="W931" s="48">
        <f>IF(OR($M931="",$T931=""),"",$T931+(W$2*$M931))</f>
        <v/>
      </c>
      <c r="X931" s="49">
        <f>IF(OR($M931="",$T931=""),"",$T931+(X$2*$M931))</f>
        <v/>
      </c>
      <c r="Y931" s="47">
        <f>IF(OR($M931="",$T931=""),"",$T931+(Y$2*$M931))</f>
        <v/>
      </c>
      <c r="Z931" s="49">
        <f>IF(OR($M931="",$T931=""),"",$T931+(Z$2*$M931))</f>
        <v/>
      </c>
      <c r="AA931" s="51">
        <f>IF(OR($M931="",$T931=""),"",$T931+(AA$2*$M931))</f>
        <v/>
      </c>
      <c r="AB931" s="48">
        <f>IF(OR($M931="",$T931=""),"",$T931+(AB$2*$M931))</f>
        <v/>
      </c>
      <c r="AC931" s="48">
        <f>IF(OR($M931="",$T931=""),"",$T931+(AC$2*$M931))</f>
        <v/>
      </c>
      <c r="AD931" s="48">
        <f>IF(OR($M931="",$T931=""),"",$T931+(AD$2*$M931))</f>
        <v/>
      </c>
      <c r="AE931" s="49">
        <f>IF(OR($M931="",$T931=""),"",$T931+(AE$2*$M931))</f>
        <v/>
      </c>
      <c r="AF931" s="52">
        <f>IF(OR(T931="",I931&lt;T931),"",IFERROR(AVERAGE(T931+M931*{7,8,9,10,11})/IF(G931="",I931,G931)-1,""))</f>
        <v/>
      </c>
      <c r="AG931" s="55">
        <f>IF(OR(T931="",I931&lt;T931),"",IFERROR(AF931/-(R931/IF(G931="",I931,G931)-1),""))</f>
        <v/>
      </c>
      <c r="AH931" s="94" t="n"/>
      <c r="AI931" s="94" t="n"/>
      <c r="AJ931" s="94" t="n"/>
      <c r="AK931" s="94" t="n"/>
      <c r="AL931" s="84" t="n"/>
    </row>
    <row r="932">
      <c r="A932" s="64" t="n"/>
      <c r="B932" s="65" t="n"/>
      <c r="C932" s="66" t="n"/>
      <c r="D932" s="67" t="n"/>
      <c r="E932" s="68" t="n"/>
      <c r="F932" s="47">
        <f>IF(A932="","",IF(MIN(H932,MAX(J932:K932))=0,"",MIN(H932,MAX(J932:K932))))</f>
        <v/>
      </c>
      <c r="G932" s="74" t="n"/>
      <c r="H932" s="49">
        <f>IF(M932="","",IFERROR(ROUND(AVERAGE(T932+M932*{7,8,9,10,11})/1.21,4),""))</f>
        <v/>
      </c>
      <c r="I932" s="76" t="n"/>
      <c r="J932" s="77" t="n"/>
      <c r="K932" s="74" t="n"/>
      <c r="L932" s="78" t="n"/>
      <c r="M932" s="77" t="n"/>
      <c r="N932" s="53">
        <f>IF(M932="","",IFERROR(M932/I932,""))</f>
        <v/>
      </c>
      <c r="O932" s="50">
        <f>IF(A932="","",IFERROR((IF(G932="",I932,G932)-T932)/M932,""))</f>
        <v/>
      </c>
      <c r="P932" s="50">
        <f>IFERROR((I932/T932-1)/N932,"")</f>
        <v/>
      </c>
      <c r="Q932" s="46">
        <f>IF(OR(T932="",I932&lt;T932),"",IFERROR(R932/IF(G932="",I932,G932)-1,""))</f>
        <v/>
      </c>
      <c r="R932" s="48">
        <f>IF($M932="","",MAX(IF($G932="",$I932,$G932)*(1/1.1),IF($G932="",$I932,$G932)+(R$2*$M932)))</f>
        <v/>
      </c>
      <c r="S932" s="49">
        <f>IF($M932="","",MAX(IF($G932="",$I932,$G932)*(1/1.1),IF($G932="",$I932,$G932)+(S$2*$M932)))</f>
        <v/>
      </c>
      <c r="T932" s="82" t="n"/>
      <c r="U932" s="47">
        <f>IF(OR($M932="",$T932=""),"",$T932+(U$2*$M932))</f>
        <v/>
      </c>
      <c r="V932" s="48">
        <f>IF(OR($M932="",$T932=""),"",$T932+(V$2*$M932))</f>
        <v/>
      </c>
      <c r="W932" s="48">
        <f>IF(OR($M932="",$T932=""),"",$T932+(W$2*$M932))</f>
        <v/>
      </c>
      <c r="X932" s="49">
        <f>IF(OR($M932="",$T932=""),"",$T932+(X$2*$M932))</f>
        <v/>
      </c>
      <c r="Y932" s="47">
        <f>IF(OR($M932="",$T932=""),"",$T932+(Y$2*$M932))</f>
        <v/>
      </c>
      <c r="Z932" s="49">
        <f>IF(OR($M932="",$T932=""),"",$T932+(Z$2*$M932))</f>
        <v/>
      </c>
      <c r="AA932" s="51">
        <f>IF(OR($M932="",$T932=""),"",$T932+(AA$2*$M932))</f>
        <v/>
      </c>
      <c r="AB932" s="48">
        <f>IF(OR($M932="",$T932=""),"",$T932+(AB$2*$M932))</f>
        <v/>
      </c>
      <c r="AC932" s="48">
        <f>IF(OR($M932="",$T932=""),"",$T932+(AC$2*$M932))</f>
        <v/>
      </c>
      <c r="AD932" s="48">
        <f>IF(OR($M932="",$T932=""),"",$T932+(AD$2*$M932))</f>
        <v/>
      </c>
      <c r="AE932" s="49">
        <f>IF(OR($M932="",$T932=""),"",$T932+(AE$2*$M932))</f>
        <v/>
      </c>
      <c r="AF932" s="52">
        <f>IF(OR(T932="",I932&lt;T932),"",IFERROR(AVERAGE(T932+M932*{7,8,9,10,11})/IF(G932="",I932,G932)-1,""))</f>
        <v/>
      </c>
      <c r="AG932" s="55">
        <f>IF(OR(T932="",I932&lt;T932),"",IFERROR(AF932/-(R932/IF(G932="",I932,G932)-1),""))</f>
        <v/>
      </c>
      <c r="AH932" s="94" t="n"/>
      <c r="AI932" s="94" t="n"/>
      <c r="AJ932" s="94" t="n"/>
      <c r="AK932" s="94" t="n"/>
      <c r="AL932" s="84" t="n"/>
    </row>
    <row r="933">
      <c r="A933" s="64" t="n"/>
      <c r="B933" s="65" t="n"/>
      <c r="C933" s="66" t="n"/>
      <c r="D933" s="67" t="n"/>
      <c r="E933" s="68" t="n"/>
      <c r="F933" s="47">
        <f>IF(A933="","",IF(MIN(H933,MAX(J933:K933))=0,"",MIN(H933,MAX(J933:K933))))</f>
        <v/>
      </c>
      <c r="G933" s="74" t="n"/>
      <c r="H933" s="49">
        <f>IF(M933="","",IFERROR(ROUND(AVERAGE(T933+M933*{7,8,9,10,11})/1.21,4),""))</f>
        <v/>
      </c>
      <c r="I933" s="76" t="n"/>
      <c r="J933" s="77" t="n"/>
      <c r="K933" s="74" t="n"/>
      <c r="L933" s="78" t="n"/>
      <c r="M933" s="77" t="n"/>
      <c r="N933" s="53">
        <f>IF(M933="","",IFERROR(M933/I933,""))</f>
        <v/>
      </c>
      <c r="O933" s="50">
        <f>IF(A933="","",IFERROR((IF(G933="",I933,G933)-T933)/M933,""))</f>
        <v/>
      </c>
      <c r="P933" s="50">
        <f>IFERROR((I933/T933-1)/N933,"")</f>
        <v/>
      </c>
      <c r="Q933" s="46">
        <f>IF(OR(T933="",I933&lt;T933),"",IFERROR(R933/IF(G933="",I933,G933)-1,""))</f>
        <v/>
      </c>
      <c r="R933" s="48">
        <f>IF($M933="","",MAX(IF($G933="",$I933,$G933)*(1/1.1),IF($G933="",$I933,$G933)+(R$2*$M933)))</f>
        <v/>
      </c>
      <c r="S933" s="49">
        <f>IF($M933="","",MAX(IF($G933="",$I933,$G933)*(1/1.1),IF($G933="",$I933,$G933)+(S$2*$M933)))</f>
        <v/>
      </c>
      <c r="T933" s="82" t="n"/>
      <c r="U933" s="47">
        <f>IF(OR($M933="",$T933=""),"",$T933+(U$2*$M933))</f>
        <v/>
      </c>
      <c r="V933" s="48">
        <f>IF(OR($M933="",$T933=""),"",$T933+(V$2*$M933))</f>
        <v/>
      </c>
      <c r="W933" s="48">
        <f>IF(OR($M933="",$T933=""),"",$T933+(W$2*$M933))</f>
        <v/>
      </c>
      <c r="X933" s="49">
        <f>IF(OR($M933="",$T933=""),"",$T933+(X$2*$M933))</f>
        <v/>
      </c>
      <c r="Y933" s="47">
        <f>IF(OR($M933="",$T933=""),"",$T933+(Y$2*$M933))</f>
        <v/>
      </c>
      <c r="Z933" s="49">
        <f>IF(OR($M933="",$T933=""),"",$T933+(Z$2*$M933))</f>
        <v/>
      </c>
      <c r="AA933" s="51">
        <f>IF(OR($M933="",$T933=""),"",$T933+(AA$2*$M933))</f>
        <v/>
      </c>
      <c r="AB933" s="48">
        <f>IF(OR($M933="",$T933=""),"",$T933+(AB$2*$M933))</f>
        <v/>
      </c>
      <c r="AC933" s="48">
        <f>IF(OR($M933="",$T933=""),"",$T933+(AC$2*$M933))</f>
        <v/>
      </c>
      <c r="AD933" s="48">
        <f>IF(OR($M933="",$T933=""),"",$T933+(AD$2*$M933))</f>
        <v/>
      </c>
      <c r="AE933" s="49">
        <f>IF(OR($M933="",$T933=""),"",$T933+(AE$2*$M933))</f>
        <v/>
      </c>
      <c r="AF933" s="52">
        <f>IF(OR(T933="",I933&lt;T933),"",IFERROR(AVERAGE(T933+M933*{7,8,9,10,11})/IF(G933="",I933,G933)-1,""))</f>
        <v/>
      </c>
      <c r="AG933" s="55">
        <f>IF(OR(T933="",I933&lt;T933),"",IFERROR(AF933/-(R933/IF(G933="",I933,G933)-1),""))</f>
        <v/>
      </c>
      <c r="AH933" s="94" t="n"/>
      <c r="AI933" s="94" t="n"/>
      <c r="AJ933" s="94" t="n"/>
      <c r="AK933" s="94" t="n"/>
      <c r="AL933" s="84" t="n"/>
    </row>
    <row r="934">
      <c r="A934" s="64" t="n"/>
      <c r="B934" s="65" t="n"/>
      <c r="C934" s="66" t="n"/>
      <c r="D934" s="67" t="n"/>
      <c r="E934" s="68" t="n"/>
      <c r="F934" s="47">
        <f>IF(A934="","",IF(MIN(H934,MAX(J934:K934))=0,"",MIN(H934,MAX(J934:K934))))</f>
        <v/>
      </c>
      <c r="G934" s="74" t="n"/>
      <c r="H934" s="49">
        <f>IF(M934="","",IFERROR(ROUND(AVERAGE(T934+M934*{7,8,9,10,11})/1.21,4),""))</f>
        <v/>
      </c>
      <c r="I934" s="76" t="n"/>
      <c r="J934" s="77" t="n"/>
      <c r="K934" s="74" t="n"/>
      <c r="L934" s="78" t="n"/>
      <c r="M934" s="77" t="n"/>
      <c r="N934" s="53">
        <f>IF(M934="","",IFERROR(M934/I934,""))</f>
        <v/>
      </c>
      <c r="O934" s="50">
        <f>IF(A934="","",IFERROR((IF(G934="",I934,G934)-T934)/M934,""))</f>
        <v/>
      </c>
      <c r="P934" s="50">
        <f>IFERROR((I934/T934-1)/N934,"")</f>
        <v/>
      </c>
      <c r="Q934" s="46">
        <f>IF(OR(T934="",I934&lt;T934),"",IFERROR(R934/IF(G934="",I934,G934)-1,""))</f>
        <v/>
      </c>
      <c r="R934" s="48">
        <f>IF($M934="","",MAX(IF($G934="",$I934,$G934)*(1/1.1),IF($G934="",$I934,$G934)+(R$2*$M934)))</f>
        <v/>
      </c>
      <c r="S934" s="49">
        <f>IF($M934="","",MAX(IF($G934="",$I934,$G934)*(1/1.1),IF($G934="",$I934,$G934)+(S$2*$M934)))</f>
        <v/>
      </c>
      <c r="T934" s="82" t="n"/>
      <c r="U934" s="47">
        <f>IF(OR($M934="",$T934=""),"",$T934+(U$2*$M934))</f>
        <v/>
      </c>
      <c r="V934" s="48">
        <f>IF(OR($M934="",$T934=""),"",$T934+(V$2*$M934))</f>
        <v/>
      </c>
      <c r="W934" s="48">
        <f>IF(OR($M934="",$T934=""),"",$T934+(W$2*$M934))</f>
        <v/>
      </c>
      <c r="X934" s="49">
        <f>IF(OR($M934="",$T934=""),"",$T934+(X$2*$M934))</f>
        <v/>
      </c>
      <c r="Y934" s="47">
        <f>IF(OR($M934="",$T934=""),"",$T934+(Y$2*$M934))</f>
        <v/>
      </c>
      <c r="Z934" s="49">
        <f>IF(OR($M934="",$T934=""),"",$T934+(Z$2*$M934))</f>
        <v/>
      </c>
      <c r="AA934" s="51">
        <f>IF(OR($M934="",$T934=""),"",$T934+(AA$2*$M934))</f>
        <v/>
      </c>
      <c r="AB934" s="48">
        <f>IF(OR($M934="",$T934=""),"",$T934+(AB$2*$M934))</f>
        <v/>
      </c>
      <c r="AC934" s="48">
        <f>IF(OR($M934="",$T934=""),"",$T934+(AC$2*$M934))</f>
        <v/>
      </c>
      <c r="AD934" s="48">
        <f>IF(OR($M934="",$T934=""),"",$T934+(AD$2*$M934))</f>
        <v/>
      </c>
      <c r="AE934" s="49">
        <f>IF(OR($M934="",$T934=""),"",$T934+(AE$2*$M934))</f>
        <v/>
      </c>
      <c r="AF934" s="52">
        <f>IF(OR(T934="",I934&lt;T934),"",IFERROR(AVERAGE(T934+M934*{7,8,9,10,11})/IF(G934="",I934,G934)-1,""))</f>
        <v/>
      </c>
      <c r="AG934" s="55">
        <f>IF(OR(T934="",I934&lt;T934),"",IFERROR(AF934/-(R934/IF(G934="",I934,G934)-1),""))</f>
        <v/>
      </c>
      <c r="AH934" s="94" t="n"/>
      <c r="AI934" s="94" t="n"/>
      <c r="AJ934" s="94" t="n"/>
      <c r="AK934" s="94" t="n"/>
      <c r="AL934" s="84" t="n"/>
    </row>
    <row r="935">
      <c r="A935" s="64" t="n"/>
      <c r="B935" s="65" t="n"/>
      <c r="C935" s="66" t="n"/>
      <c r="D935" s="67" t="n"/>
      <c r="E935" s="68" t="n"/>
      <c r="F935" s="47">
        <f>IF(A935="","",IF(MIN(H935,MAX(J935:K935))=0,"",MIN(H935,MAX(J935:K935))))</f>
        <v/>
      </c>
      <c r="G935" s="74" t="n"/>
      <c r="H935" s="49">
        <f>IF(M935="","",IFERROR(ROUND(AVERAGE(T935+M935*{7,8,9,10,11})/1.21,4),""))</f>
        <v/>
      </c>
      <c r="I935" s="76" t="n"/>
      <c r="J935" s="77" t="n"/>
      <c r="K935" s="74" t="n"/>
      <c r="L935" s="78" t="n"/>
      <c r="M935" s="77" t="n"/>
      <c r="N935" s="53">
        <f>IF(M935="","",IFERROR(M935/I935,""))</f>
        <v/>
      </c>
      <c r="O935" s="50">
        <f>IF(A935="","",IFERROR((IF(G935="",I935,G935)-T935)/M935,""))</f>
        <v/>
      </c>
      <c r="P935" s="50">
        <f>IFERROR((I935/T935-1)/N935,"")</f>
        <v/>
      </c>
      <c r="Q935" s="46">
        <f>IF(OR(T935="",I935&lt;T935),"",IFERROR(R935/IF(G935="",I935,G935)-1,""))</f>
        <v/>
      </c>
      <c r="R935" s="48">
        <f>IF($M935="","",MAX(IF($G935="",$I935,$G935)*(1/1.1),IF($G935="",$I935,$G935)+(R$2*$M935)))</f>
        <v/>
      </c>
      <c r="S935" s="49">
        <f>IF($M935="","",MAX(IF($G935="",$I935,$G935)*(1/1.1),IF($G935="",$I935,$G935)+(S$2*$M935)))</f>
        <v/>
      </c>
      <c r="T935" s="82" t="n"/>
      <c r="U935" s="47">
        <f>IF(OR($M935="",$T935=""),"",$T935+(U$2*$M935))</f>
        <v/>
      </c>
      <c r="V935" s="48">
        <f>IF(OR($M935="",$T935=""),"",$T935+(V$2*$M935))</f>
        <v/>
      </c>
      <c r="W935" s="48">
        <f>IF(OR($M935="",$T935=""),"",$T935+(W$2*$M935))</f>
        <v/>
      </c>
      <c r="X935" s="49">
        <f>IF(OR($M935="",$T935=""),"",$T935+(X$2*$M935))</f>
        <v/>
      </c>
      <c r="Y935" s="47">
        <f>IF(OR($M935="",$T935=""),"",$T935+(Y$2*$M935))</f>
        <v/>
      </c>
      <c r="Z935" s="49">
        <f>IF(OR($M935="",$T935=""),"",$T935+(Z$2*$M935))</f>
        <v/>
      </c>
      <c r="AA935" s="51">
        <f>IF(OR($M935="",$T935=""),"",$T935+(AA$2*$M935))</f>
        <v/>
      </c>
      <c r="AB935" s="48">
        <f>IF(OR($M935="",$T935=""),"",$T935+(AB$2*$M935))</f>
        <v/>
      </c>
      <c r="AC935" s="48">
        <f>IF(OR($M935="",$T935=""),"",$T935+(AC$2*$M935))</f>
        <v/>
      </c>
      <c r="AD935" s="48">
        <f>IF(OR($M935="",$T935=""),"",$T935+(AD$2*$M935))</f>
        <v/>
      </c>
      <c r="AE935" s="49">
        <f>IF(OR($M935="",$T935=""),"",$T935+(AE$2*$M935))</f>
        <v/>
      </c>
      <c r="AF935" s="52">
        <f>IF(OR(T935="",I935&lt;T935),"",IFERROR(AVERAGE(T935+M935*{7,8,9,10,11})/IF(G935="",I935,G935)-1,""))</f>
        <v/>
      </c>
      <c r="AG935" s="55">
        <f>IF(OR(T935="",I935&lt;T935),"",IFERROR(AF935/-(R935/IF(G935="",I935,G935)-1),""))</f>
        <v/>
      </c>
      <c r="AH935" s="94" t="n"/>
      <c r="AI935" s="94" t="n"/>
      <c r="AJ935" s="94" t="n"/>
      <c r="AK935" s="94" t="n"/>
      <c r="AL935" s="84" t="n"/>
    </row>
    <row r="936">
      <c r="A936" s="64" t="n"/>
      <c r="B936" s="65" t="n"/>
      <c r="C936" s="66" t="n"/>
      <c r="D936" s="67" t="n"/>
      <c r="E936" s="68" t="n"/>
      <c r="F936" s="47">
        <f>IF(A936="","",IF(MIN(H936,MAX(J936:K936))=0,"",MIN(H936,MAX(J936:K936))))</f>
        <v/>
      </c>
      <c r="G936" s="74" t="n"/>
      <c r="H936" s="49">
        <f>IF(M936="","",IFERROR(ROUND(AVERAGE(T936+M936*{7,8,9,10,11})/1.21,4),""))</f>
        <v/>
      </c>
      <c r="I936" s="76" t="n"/>
      <c r="J936" s="77" t="n"/>
      <c r="K936" s="74" t="n"/>
      <c r="L936" s="78" t="n"/>
      <c r="M936" s="77" t="n"/>
      <c r="N936" s="53">
        <f>IF(M936="","",IFERROR(M936/I936,""))</f>
        <v/>
      </c>
      <c r="O936" s="50">
        <f>IF(A936="","",IFERROR((IF(G936="",I936,G936)-T936)/M936,""))</f>
        <v/>
      </c>
      <c r="P936" s="50">
        <f>IFERROR((I936/T936-1)/N936,"")</f>
        <v/>
      </c>
      <c r="Q936" s="46">
        <f>IF(OR(T936="",I936&lt;T936),"",IFERROR(R936/IF(G936="",I936,G936)-1,""))</f>
        <v/>
      </c>
      <c r="R936" s="48">
        <f>IF($M936="","",MAX(IF($G936="",$I936,$G936)*(1/1.1),IF($G936="",$I936,$G936)+(R$2*$M936)))</f>
        <v/>
      </c>
      <c r="S936" s="49">
        <f>IF($M936="","",MAX(IF($G936="",$I936,$G936)*(1/1.1),IF($G936="",$I936,$G936)+(S$2*$M936)))</f>
        <v/>
      </c>
      <c r="T936" s="82" t="n"/>
      <c r="U936" s="47">
        <f>IF(OR($M936="",$T936=""),"",$T936+(U$2*$M936))</f>
        <v/>
      </c>
      <c r="V936" s="48">
        <f>IF(OR($M936="",$T936=""),"",$T936+(V$2*$M936))</f>
        <v/>
      </c>
      <c r="W936" s="48">
        <f>IF(OR($M936="",$T936=""),"",$T936+(W$2*$M936))</f>
        <v/>
      </c>
      <c r="X936" s="49">
        <f>IF(OR($M936="",$T936=""),"",$T936+(X$2*$M936))</f>
        <v/>
      </c>
      <c r="Y936" s="47">
        <f>IF(OR($M936="",$T936=""),"",$T936+(Y$2*$M936))</f>
        <v/>
      </c>
      <c r="Z936" s="49">
        <f>IF(OR($M936="",$T936=""),"",$T936+(Z$2*$M936))</f>
        <v/>
      </c>
      <c r="AA936" s="51">
        <f>IF(OR($M936="",$T936=""),"",$T936+(AA$2*$M936))</f>
        <v/>
      </c>
      <c r="AB936" s="48">
        <f>IF(OR($M936="",$T936=""),"",$T936+(AB$2*$M936))</f>
        <v/>
      </c>
      <c r="AC936" s="48">
        <f>IF(OR($M936="",$T936=""),"",$T936+(AC$2*$M936))</f>
        <v/>
      </c>
      <c r="AD936" s="48">
        <f>IF(OR($M936="",$T936=""),"",$T936+(AD$2*$M936))</f>
        <v/>
      </c>
      <c r="AE936" s="49">
        <f>IF(OR($M936="",$T936=""),"",$T936+(AE$2*$M936))</f>
        <v/>
      </c>
      <c r="AF936" s="52">
        <f>IF(OR(T936="",I936&lt;T936),"",IFERROR(AVERAGE(T936+M936*{7,8,9,10,11})/IF(G936="",I936,G936)-1,""))</f>
        <v/>
      </c>
      <c r="AG936" s="55">
        <f>IF(OR(T936="",I936&lt;T936),"",IFERROR(AF936/-(R936/IF(G936="",I936,G936)-1),""))</f>
        <v/>
      </c>
      <c r="AH936" s="94" t="n"/>
      <c r="AI936" s="94" t="n"/>
      <c r="AJ936" s="94" t="n"/>
      <c r="AK936" s="94" t="n"/>
      <c r="AL936" s="84" t="n"/>
    </row>
    <row r="937">
      <c r="A937" s="64" t="n"/>
      <c r="B937" s="65" t="n"/>
      <c r="C937" s="66" t="n"/>
      <c r="D937" s="67" t="n"/>
      <c r="E937" s="68" t="n"/>
      <c r="F937" s="47">
        <f>IF(A937="","",IF(MIN(H937,MAX(J937:K937))=0,"",MIN(H937,MAX(J937:K937))))</f>
        <v/>
      </c>
      <c r="G937" s="74" t="n"/>
      <c r="H937" s="49">
        <f>IF(M937="","",IFERROR(ROUND(AVERAGE(T937+M937*{7,8,9,10,11})/1.21,4),""))</f>
        <v/>
      </c>
      <c r="I937" s="76" t="n"/>
      <c r="J937" s="77" t="n"/>
      <c r="K937" s="74" t="n"/>
      <c r="L937" s="78" t="n"/>
      <c r="M937" s="77" t="n"/>
      <c r="N937" s="53">
        <f>IF(M937="","",IFERROR(M937/I937,""))</f>
        <v/>
      </c>
      <c r="O937" s="50">
        <f>IF(A937="","",IFERROR((IF(G937="",I937,G937)-T937)/M937,""))</f>
        <v/>
      </c>
      <c r="P937" s="50">
        <f>IFERROR((I937/T937-1)/N937,"")</f>
        <v/>
      </c>
      <c r="Q937" s="46">
        <f>IF(OR(T937="",I937&lt;T937),"",IFERROR(R937/IF(G937="",I937,G937)-1,""))</f>
        <v/>
      </c>
      <c r="R937" s="48">
        <f>IF($M937="","",MAX(IF($G937="",$I937,$G937)*(1/1.1),IF($G937="",$I937,$G937)+(R$2*$M937)))</f>
        <v/>
      </c>
      <c r="S937" s="49">
        <f>IF($M937="","",MAX(IF($G937="",$I937,$G937)*(1/1.1),IF($G937="",$I937,$G937)+(S$2*$M937)))</f>
        <v/>
      </c>
      <c r="T937" s="82" t="n"/>
      <c r="U937" s="47">
        <f>IF(OR($M937="",$T937=""),"",$T937+(U$2*$M937))</f>
        <v/>
      </c>
      <c r="V937" s="48">
        <f>IF(OR($M937="",$T937=""),"",$T937+(V$2*$M937))</f>
        <v/>
      </c>
      <c r="W937" s="48">
        <f>IF(OR($M937="",$T937=""),"",$T937+(W$2*$M937))</f>
        <v/>
      </c>
      <c r="X937" s="49">
        <f>IF(OR($M937="",$T937=""),"",$T937+(X$2*$M937))</f>
        <v/>
      </c>
      <c r="Y937" s="47">
        <f>IF(OR($M937="",$T937=""),"",$T937+(Y$2*$M937))</f>
        <v/>
      </c>
      <c r="Z937" s="49">
        <f>IF(OR($M937="",$T937=""),"",$T937+(Z$2*$M937))</f>
        <v/>
      </c>
      <c r="AA937" s="51">
        <f>IF(OR($M937="",$T937=""),"",$T937+(AA$2*$M937))</f>
        <v/>
      </c>
      <c r="AB937" s="48">
        <f>IF(OR($M937="",$T937=""),"",$T937+(AB$2*$M937))</f>
        <v/>
      </c>
      <c r="AC937" s="48">
        <f>IF(OR($M937="",$T937=""),"",$T937+(AC$2*$M937))</f>
        <v/>
      </c>
      <c r="AD937" s="48">
        <f>IF(OR($M937="",$T937=""),"",$T937+(AD$2*$M937))</f>
        <v/>
      </c>
      <c r="AE937" s="49">
        <f>IF(OR($M937="",$T937=""),"",$T937+(AE$2*$M937))</f>
        <v/>
      </c>
      <c r="AF937" s="52">
        <f>IF(OR(T937="",I937&lt;T937),"",IFERROR(AVERAGE(T937+M937*{7,8,9,10,11})/IF(G937="",I937,G937)-1,""))</f>
        <v/>
      </c>
      <c r="AG937" s="55">
        <f>IF(OR(T937="",I937&lt;T937),"",IFERROR(AF937/-(R937/IF(G937="",I937,G937)-1),""))</f>
        <v/>
      </c>
      <c r="AH937" s="94" t="n"/>
      <c r="AI937" s="94" t="n"/>
      <c r="AJ937" s="94" t="n"/>
      <c r="AK937" s="94" t="n"/>
      <c r="AL937" s="84" t="n"/>
    </row>
    <row r="938">
      <c r="A938" s="64" t="n"/>
      <c r="B938" s="65" t="n"/>
      <c r="C938" s="66" t="n"/>
      <c r="D938" s="67" t="n"/>
      <c r="E938" s="68" t="n"/>
      <c r="F938" s="47">
        <f>IF(A938="","",IF(MIN(H938,MAX(J938:K938))=0,"",MIN(H938,MAX(J938:K938))))</f>
        <v/>
      </c>
      <c r="G938" s="74" t="n"/>
      <c r="H938" s="49">
        <f>IF(M938="","",IFERROR(ROUND(AVERAGE(T938+M938*{7,8,9,10,11})/1.21,4),""))</f>
        <v/>
      </c>
      <c r="I938" s="76" t="n"/>
      <c r="J938" s="77" t="n"/>
      <c r="K938" s="74" t="n"/>
      <c r="L938" s="78" t="n"/>
      <c r="M938" s="77" t="n"/>
      <c r="N938" s="53">
        <f>IF(M938="","",IFERROR(M938/I938,""))</f>
        <v/>
      </c>
      <c r="O938" s="50">
        <f>IF(A938="","",IFERROR((IF(G938="",I938,G938)-T938)/M938,""))</f>
        <v/>
      </c>
      <c r="P938" s="50">
        <f>IFERROR((I938/T938-1)/N938,"")</f>
        <v/>
      </c>
      <c r="Q938" s="46">
        <f>IF(OR(T938="",I938&lt;T938),"",IFERROR(R938/IF(G938="",I938,G938)-1,""))</f>
        <v/>
      </c>
      <c r="R938" s="48">
        <f>IF($M938="","",MAX(IF($G938="",$I938,$G938)*(1/1.1),IF($G938="",$I938,$G938)+(R$2*$M938)))</f>
        <v/>
      </c>
      <c r="S938" s="49">
        <f>IF($M938="","",MAX(IF($G938="",$I938,$G938)*(1/1.1),IF($G938="",$I938,$G938)+(S$2*$M938)))</f>
        <v/>
      </c>
      <c r="T938" s="82" t="n"/>
      <c r="U938" s="47">
        <f>IF(OR($M938="",$T938=""),"",$T938+(U$2*$M938))</f>
        <v/>
      </c>
      <c r="V938" s="48">
        <f>IF(OR($M938="",$T938=""),"",$T938+(V$2*$M938))</f>
        <v/>
      </c>
      <c r="W938" s="48">
        <f>IF(OR($M938="",$T938=""),"",$T938+(W$2*$M938))</f>
        <v/>
      </c>
      <c r="X938" s="49">
        <f>IF(OR($M938="",$T938=""),"",$T938+(X$2*$M938))</f>
        <v/>
      </c>
      <c r="Y938" s="47">
        <f>IF(OR($M938="",$T938=""),"",$T938+(Y$2*$M938))</f>
        <v/>
      </c>
      <c r="Z938" s="49">
        <f>IF(OR($M938="",$T938=""),"",$T938+(Z$2*$M938))</f>
        <v/>
      </c>
      <c r="AA938" s="51">
        <f>IF(OR($M938="",$T938=""),"",$T938+(AA$2*$M938))</f>
        <v/>
      </c>
      <c r="AB938" s="48">
        <f>IF(OR($M938="",$T938=""),"",$T938+(AB$2*$M938))</f>
        <v/>
      </c>
      <c r="AC938" s="48">
        <f>IF(OR($M938="",$T938=""),"",$T938+(AC$2*$M938))</f>
        <v/>
      </c>
      <c r="AD938" s="48">
        <f>IF(OR($M938="",$T938=""),"",$T938+(AD$2*$M938))</f>
        <v/>
      </c>
      <c r="AE938" s="49">
        <f>IF(OR($M938="",$T938=""),"",$T938+(AE$2*$M938))</f>
        <v/>
      </c>
      <c r="AF938" s="52">
        <f>IF(OR(T938="",I938&lt;T938),"",IFERROR(AVERAGE(T938+M938*{7,8,9,10,11})/IF(G938="",I938,G938)-1,""))</f>
        <v/>
      </c>
      <c r="AG938" s="55">
        <f>IF(OR(T938="",I938&lt;T938),"",IFERROR(AF938/-(R938/IF(G938="",I938,G938)-1),""))</f>
        <v/>
      </c>
      <c r="AH938" s="94" t="n"/>
      <c r="AI938" s="94" t="n"/>
      <c r="AJ938" s="94" t="n"/>
      <c r="AK938" s="94" t="n"/>
      <c r="AL938" s="84" t="n"/>
    </row>
    <row r="939">
      <c r="A939" s="64" t="n"/>
      <c r="B939" s="65" t="n"/>
      <c r="C939" s="66" t="n"/>
      <c r="D939" s="67" t="n"/>
      <c r="E939" s="68" t="n"/>
      <c r="F939" s="47">
        <f>IF(A939="","",IF(MIN(H939,MAX(J939:K939))=0,"",MIN(H939,MAX(J939:K939))))</f>
        <v/>
      </c>
      <c r="G939" s="74" t="n"/>
      <c r="H939" s="49">
        <f>IF(M939="","",IFERROR(ROUND(AVERAGE(T939+M939*{7,8,9,10,11})/1.21,4),""))</f>
        <v/>
      </c>
      <c r="I939" s="76" t="n"/>
      <c r="J939" s="77" t="n"/>
      <c r="K939" s="74" t="n"/>
      <c r="L939" s="78" t="n"/>
      <c r="M939" s="77" t="n"/>
      <c r="N939" s="53">
        <f>IF(M939="","",IFERROR(M939/I939,""))</f>
        <v/>
      </c>
      <c r="O939" s="50">
        <f>IF(A939="","",IFERROR((IF(G939="",I939,G939)-T939)/M939,""))</f>
        <v/>
      </c>
      <c r="P939" s="50">
        <f>IFERROR((I939/T939-1)/N939,"")</f>
        <v/>
      </c>
      <c r="Q939" s="46">
        <f>IF(OR(T939="",I939&lt;T939),"",IFERROR(R939/IF(G939="",I939,G939)-1,""))</f>
        <v/>
      </c>
      <c r="R939" s="48">
        <f>IF($M939="","",MAX(IF($G939="",$I939,$G939)*(1/1.1),IF($G939="",$I939,$G939)+(R$2*$M939)))</f>
        <v/>
      </c>
      <c r="S939" s="49">
        <f>IF($M939="","",MAX(IF($G939="",$I939,$G939)*(1/1.1),IF($G939="",$I939,$G939)+(S$2*$M939)))</f>
        <v/>
      </c>
      <c r="T939" s="82" t="n"/>
      <c r="U939" s="47">
        <f>IF(OR($M939="",$T939=""),"",$T939+(U$2*$M939))</f>
        <v/>
      </c>
      <c r="V939" s="48">
        <f>IF(OR($M939="",$T939=""),"",$T939+(V$2*$M939))</f>
        <v/>
      </c>
      <c r="W939" s="48">
        <f>IF(OR($M939="",$T939=""),"",$T939+(W$2*$M939))</f>
        <v/>
      </c>
      <c r="X939" s="49">
        <f>IF(OR($M939="",$T939=""),"",$T939+(X$2*$M939))</f>
        <v/>
      </c>
      <c r="Y939" s="47">
        <f>IF(OR($M939="",$T939=""),"",$T939+(Y$2*$M939))</f>
        <v/>
      </c>
      <c r="Z939" s="49">
        <f>IF(OR($M939="",$T939=""),"",$T939+(Z$2*$M939))</f>
        <v/>
      </c>
      <c r="AA939" s="51">
        <f>IF(OR($M939="",$T939=""),"",$T939+(AA$2*$M939))</f>
        <v/>
      </c>
      <c r="AB939" s="48">
        <f>IF(OR($M939="",$T939=""),"",$T939+(AB$2*$M939))</f>
        <v/>
      </c>
      <c r="AC939" s="48">
        <f>IF(OR($M939="",$T939=""),"",$T939+(AC$2*$M939))</f>
        <v/>
      </c>
      <c r="AD939" s="48">
        <f>IF(OR($M939="",$T939=""),"",$T939+(AD$2*$M939))</f>
        <v/>
      </c>
      <c r="AE939" s="49">
        <f>IF(OR($M939="",$T939=""),"",$T939+(AE$2*$M939))</f>
        <v/>
      </c>
      <c r="AF939" s="52">
        <f>IF(OR(T939="",I939&lt;T939),"",IFERROR(AVERAGE(T939+M939*{7,8,9,10,11})/IF(G939="",I939,G939)-1,""))</f>
        <v/>
      </c>
      <c r="AG939" s="55">
        <f>IF(OR(T939="",I939&lt;T939),"",IFERROR(AF939/-(R939/IF(G939="",I939,G939)-1),""))</f>
        <v/>
      </c>
      <c r="AH939" s="94" t="n"/>
      <c r="AI939" s="94" t="n"/>
      <c r="AJ939" s="94" t="n"/>
      <c r="AK939" s="94" t="n"/>
      <c r="AL939" s="84" t="n"/>
    </row>
    <row r="940">
      <c r="A940" s="64" t="n"/>
      <c r="B940" s="65" t="n"/>
      <c r="C940" s="66" t="n"/>
      <c r="D940" s="67" t="n"/>
      <c r="E940" s="68" t="n"/>
      <c r="F940" s="47">
        <f>IF(A940="","",IF(MIN(H940,MAX(J940:K940))=0,"",MIN(H940,MAX(J940:K940))))</f>
        <v/>
      </c>
      <c r="G940" s="74" t="n"/>
      <c r="H940" s="49">
        <f>IF(M940="","",IFERROR(ROUND(AVERAGE(T940+M940*{7,8,9,10,11})/1.21,4),""))</f>
        <v/>
      </c>
      <c r="I940" s="76" t="n"/>
      <c r="J940" s="77" t="n"/>
      <c r="K940" s="74" t="n"/>
      <c r="L940" s="78" t="n"/>
      <c r="M940" s="77" t="n"/>
      <c r="N940" s="53">
        <f>IF(M940="","",IFERROR(M940/I940,""))</f>
        <v/>
      </c>
      <c r="O940" s="50">
        <f>IF(A940="","",IFERROR((IF(G940="",I940,G940)-T940)/M940,""))</f>
        <v/>
      </c>
      <c r="P940" s="50">
        <f>IFERROR((I940/T940-1)/N940,"")</f>
        <v/>
      </c>
      <c r="Q940" s="46">
        <f>IF(OR(T940="",I940&lt;T940),"",IFERROR(R940/IF(G940="",I940,G940)-1,""))</f>
        <v/>
      </c>
      <c r="R940" s="48">
        <f>IF($M940="","",MAX(IF($G940="",$I940,$G940)*(1/1.1),IF($G940="",$I940,$G940)+(R$2*$M940)))</f>
        <v/>
      </c>
      <c r="S940" s="49">
        <f>IF($M940="","",MAX(IF($G940="",$I940,$G940)*(1/1.1),IF($G940="",$I940,$G940)+(S$2*$M940)))</f>
        <v/>
      </c>
      <c r="T940" s="82" t="n"/>
      <c r="U940" s="47">
        <f>IF(OR($M940="",$T940=""),"",$T940+(U$2*$M940))</f>
        <v/>
      </c>
      <c r="V940" s="48">
        <f>IF(OR($M940="",$T940=""),"",$T940+(V$2*$M940))</f>
        <v/>
      </c>
      <c r="W940" s="48">
        <f>IF(OR($M940="",$T940=""),"",$T940+(W$2*$M940))</f>
        <v/>
      </c>
      <c r="X940" s="49">
        <f>IF(OR($M940="",$T940=""),"",$T940+(X$2*$M940))</f>
        <v/>
      </c>
      <c r="Y940" s="47">
        <f>IF(OR($M940="",$T940=""),"",$T940+(Y$2*$M940))</f>
        <v/>
      </c>
      <c r="Z940" s="49">
        <f>IF(OR($M940="",$T940=""),"",$T940+(Z$2*$M940))</f>
        <v/>
      </c>
      <c r="AA940" s="51">
        <f>IF(OR($M940="",$T940=""),"",$T940+(AA$2*$M940))</f>
        <v/>
      </c>
      <c r="AB940" s="48">
        <f>IF(OR($M940="",$T940=""),"",$T940+(AB$2*$M940))</f>
        <v/>
      </c>
      <c r="AC940" s="48">
        <f>IF(OR($M940="",$T940=""),"",$T940+(AC$2*$M940))</f>
        <v/>
      </c>
      <c r="AD940" s="48">
        <f>IF(OR($M940="",$T940=""),"",$T940+(AD$2*$M940))</f>
        <v/>
      </c>
      <c r="AE940" s="49">
        <f>IF(OR($M940="",$T940=""),"",$T940+(AE$2*$M940))</f>
        <v/>
      </c>
      <c r="AF940" s="52">
        <f>IF(OR(T940="",I940&lt;T940),"",IFERROR(AVERAGE(T940+M940*{7,8,9,10,11})/IF(G940="",I940,G940)-1,""))</f>
        <v/>
      </c>
      <c r="AG940" s="55">
        <f>IF(OR(T940="",I940&lt;T940),"",IFERROR(AF940/-(R940/IF(G940="",I940,G940)-1),""))</f>
        <v/>
      </c>
      <c r="AH940" s="94" t="n"/>
      <c r="AI940" s="94" t="n"/>
      <c r="AJ940" s="94" t="n"/>
      <c r="AK940" s="94" t="n"/>
      <c r="AL940" s="84" t="n"/>
    </row>
    <row r="941">
      <c r="A941" s="64" t="n"/>
      <c r="B941" s="65" t="n"/>
      <c r="C941" s="66" t="n"/>
      <c r="D941" s="67" t="n"/>
      <c r="E941" s="68" t="n"/>
      <c r="F941" s="47">
        <f>IF(A941="","",IF(MIN(H941,MAX(J941:K941))=0,"",MIN(H941,MAX(J941:K941))))</f>
        <v/>
      </c>
      <c r="G941" s="74" t="n"/>
      <c r="H941" s="49">
        <f>IF(M941="","",IFERROR(ROUND(AVERAGE(T941+M941*{7,8,9,10,11})/1.21,4),""))</f>
        <v/>
      </c>
      <c r="I941" s="76" t="n"/>
      <c r="J941" s="77" t="n"/>
      <c r="K941" s="74" t="n"/>
      <c r="L941" s="78" t="n"/>
      <c r="M941" s="77" t="n"/>
      <c r="N941" s="53">
        <f>IF(M941="","",IFERROR(M941/I941,""))</f>
        <v/>
      </c>
      <c r="O941" s="50">
        <f>IF(A941="","",IFERROR((IF(G941="",I941,G941)-T941)/M941,""))</f>
        <v/>
      </c>
      <c r="P941" s="50">
        <f>IFERROR((I941/T941-1)/N941,"")</f>
        <v/>
      </c>
      <c r="Q941" s="46">
        <f>IF(OR(T941="",I941&lt;T941),"",IFERROR(R941/IF(G941="",I941,G941)-1,""))</f>
        <v/>
      </c>
      <c r="R941" s="48">
        <f>IF($M941="","",MAX(IF($G941="",$I941,$G941)*(1/1.1),IF($G941="",$I941,$G941)+(R$2*$M941)))</f>
        <v/>
      </c>
      <c r="S941" s="49">
        <f>IF($M941="","",MAX(IF($G941="",$I941,$G941)*(1/1.1),IF($G941="",$I941,$G941)+(S$2*$M941)))</f>
        <v/>
      </c>
      <c r="T941" s="82" t="n"/>
      <c r="U941" s="47">
        <f>IF(OR($M941="",$T941=""),"",$T941+(U$2*$M941))</f>
        <v/>
      </c>
      <c r="V941" s="48">
        <f>IF(OR($M941="",$T941=""),"",$T941+(V$2*$M941))</f>
        <v/>
      </c>
      <c r="W941" s="48">
        <f>IF(OR($M941="",$T941=""),"",$T941+(W$2*$M941))</f>
        <v/>
      </c>
      <c r="X941" s="49">
        <f>IF(OR($M941="",$T941=""),"",$T941+(X$2*$M941))</f>
        <v/>
      </c>
      <c r="Y941" s="47">
        <f>IF(OR($M941="",$T941=""),"",$T941+(Y$2*$M941))</f>
        <v/>
      </c>
      <c r="Z941" s="49">
        <f>IF(OR($M941="",$T941=""),"",$T941+(Z$2*$M941))</f>
        <v/>
      </c>
      <c r="AA941" s="51">
        <f>IF(OR($M941="",$T941=""),"",$T941+(AA$2*$M941))</f>
        <v/>
      </c>
      <c r="AB941" s="48">
        <f>IF(OR($M941="",$T941=""),"",$T941+(AB$2*$M941))</f>
        <v/>
      </c>
      <c r="AC941" s="48">
        <f>IF(OR($M941="",$T941=""),"",$T941+(AC$2*$M941))</f>
        <v/>
      </c>
      <c r="AD941" s="48">
        <f>IF(OR($M941="",$T941=""),"",$T941+(AD$2*$M941))</f>
        <v/>
      </c>
      <c r="AE941" s="49">
        <f>IF(OR($M941="",$T941=""),"",$T941+(AE$2*$M941))</f>
        <v/>
      </c>
      <c r="AF941" s="52">
        <f>IF(OR(T941="",I941&lt;T941),"",IFERROR(AVERAGE(T941+M941*{7,8,9,10,11})/IF(G941="",I941,G941)-1,""))</f>
        <v/>
      </c>
      <c r="AG941" s="55">
        <f>IF(OR(T941="",I941&lt;T941),"",IFERROR(AF941/-(R941/IF(G941="",I941,G941)-1),""))</f>
        <v/>
      </c>
      <c r="AH941" s="94" t="n"/>
      <c r="AI941" s="94" t="n"/>
      <c r="AJ941" s="94" t="n"/>
      <c r="AK941" s="94" t="n"/>
      <c r="AL941" s="84" t="n"/>
    </row>
    <row r="942">
      <c r="A942" s="64" t="n"/>
      <c r="B942" s="65" t="n"/>
      <c r="C942" s="66" t="n"/>
      <c r="D942" s="67" t="n"/>
      <c r="E942" s="68" t="n"/>
      <c r="F942" s="47">
        <f>IF(A942="","",IF(MIN(H942,MAX(J942:K942))=0,"",MIN(H942,MAX(J942:K942))))</f>
        <v/>
      </c>
      <c r="G942" s="74" t="n"/>
      <c r="H942" s="49">
        <f>IF(M942="","",IFERROR(ROUND(AVERAGE(T942+M942*{7,8,9,10,11})/1.21,4),""))</f>
        <v/>
      </c>
      <c r="I942" s="76" t="n"/>
      <c r="J942" s="77" t="n"/>
      <c r="K942" s="74" t="n"/>
      <c r="L942" s="78" t="n"/>
      <c r="M942" s="77" t="n"/>
      <c r="N942" s="53">
        <f>IF(M942="","",IFERROR(M942/I942,""))</f>
        <v/>
      </c>
      <c r="O942" s="50">
        <f>IF(A942="","",IFERROR((IF(G942="",I942,G942)-T942)/M942,""))</f>
        <v/>
      </c>
      <c r="P942" s="50">
        <f>IFERROR((I942/T942-1)/N942,"")</f>
        <v/>
      </c>
      <c r="Q942" s="46">
        <f>IF(OR(T942="",I942&lt;T942),"",IFERROR(R942/IF(G942="",I942,G942)-1,""))</f>
        <v/>
      </c>
      <c r="R942" s="48">
        <f>IF($M942="","",MAX(IF($G942="",$I942,$G942)*(1/1.1),IF($G942="",$I942,$G942)+(R$2*$M942)))</f>
        <v/>
      </c>
      <c r="S942" s="49">
        <f>IF($M942="","",MAX(IF($G942="",$I942,$G942)*(1/1.1),IF($G942="",$I942,$G942)+(S$2*$M942)))</f>
        <v/>
      </c>
      <c r="T942" s="82" t="n"/>
      <c r="U942" s="47">
        <f>IF(OR($M942="",$T942=""),"",$T942+(U$2*$M942))</f>
        <v/>
      </c>
      <c r="V942" s="48">
        <f>IF(OR($M942="",$T942=""),"",$T942+(V$2*$M942))</f>
        <v/>
      </c>
      <c r="W942" s="48">
        <f>IF(OR($M942="",$T942=""),"",$T942+(W$2*$M942))</f>
        <v/>
      </c>
      <c r="X942" s="49">
        <f>IF(OR($M942="",$T942=""),"",$T942+(X$2*$M942))</f>
        <v/>
      </c>
      <c r="Y942" s="47">
        <f>IF(OR($M942="",$T942=""),"",$T942+(Y$2*$M942))</f>
        <v/>
      </c>
      <c r="Z942" s="49">
        <f>IF(OR($M942="",$T942=""),"",$T942+(Z$2*$M942))</f>
        <v/>
      </c>
      <c r="AA942" s="51">
        <f>IF(OR($M942="",$T942=""),"",$T942+(AA$2*$M942))</f>
        <v/>
      </c>
      <c r="AB942" s="48">
        <f>IF(OR($M942="",$T942=""),"",$T942+(AB$2*$M942))</f>
        <v/>
      </c>
      <c r="AC942" s="48">
        <f>IF(OR($M942="",$T942=""),"",$T942+(AC$2*$M942))</f>
        <v/>
      </c>
      <c r="AD942" s="48">
        <f>IF(OR($M942="",$T942=""),"",$T942+(AD$2*$M942))</f>
        <v/>
      </c>
      <c r="AE942" s="49">
        <f>IF(OR($M942="",$T942=""),"",$T942+(AE$2*$M942))</f>
        <v/>
      </c>
      <c r="AF942" s="52">
        <f>IF(OR(T942="",I942&lt;T942),"",IFERROR(AVERAGE(T942+M942*{7,8,9,10,11})/IF(G942="",I942,G942)-1,""))</f>
        <v/>
      </c>
      <c r="AG942" s="55">
        <f>IF(OR(T942="",I942&lt;T942),"",IFERROR(AF942/-(R942/IF(G942="",I942,G942)-1),""))</f>
        <v/>
      </c>
      <c r="AH942" s="94" t="n"/>
      <c r="AI942" s="94" t="n"/>
      <c r="AJ942" s="94" t="n"/>
      <c r="AK942" s="94" t="n"/>
      <c r="AL942" s="84" t="n"/>
    </row>
    <row r="943">
      <c r="A943" s="64" t="n"/>
      <c r="B943" s="65" t="n"/>
      <c r="C943" s="66" t="n"/>
      <c r="D943" s="67" t="n"/>
      <c r="E943" s="68" t="n"/>
      <c r="F943" s="47">
        <f>IF(A943="","",IF(MIN(H943,MAX(J943:K943))=0,"",MIN(H943,MAX(J943:K943))))</f>
        <v/>
      </c>
      <c r="G943" s="74" t="n"/>
      <c r="H943" s="49">
        <f>IF(M943="","",IFERROR(ROUND(AVERAGE(T943+M943*{7,8,9,10,11})/1.21,4),""))</f>
        <v/>
      </c>
      <c r="I943" s="76" t="n"/>
      <c r="J943" s="77" t="n"/>
      <c r="K943" s="74" t="n"/>
      <c r="L943" s="78" t="n"/>
      <c r="M943" s="77" t="n"/>
      <c r="N943" s="53">
        <f>IF(M943="","",IFERROR(M943/I943,""))</f>
        <v/>
      </c>
      <c r="O943" s="50">
        <f>IF(A943="","",IFERROR((IF(G943="",I943,G943)-T943)/M943,""))</f>
        <v/>
      </c>
      <c r="P943" s="50">
        <f>IFERROR((I943/T943-1)/N943,"")</f>
        <v/>
      </c>
      <c r="Q943" s="46">
        <f>IF(OR(T943="",I943&lt;T943),"",IFERROR(R943/IF(G943="",I943,G943)-1,""))</f>
        <v/>
      </c>
      <c r="R943" s="48">
        <f>IF($M943="","",MAX(IF($G943="",$I943,$G943)*(1/1.1),IF($G943="",$I943,$G943)+(R$2*$M943)))</f>
        <v/>
      </c>
      <c r="S943" s="49">
        <f>IF($M943="","",MAX(IF($G943="",$I943,$G943)*(1/1.1),IF($G943="",$I943,$G943)+(S$2*$M943)))</f>
        <v/>
      </c>
      <c r="T943" s="82" t="n"/>
      <c r="U943" s="47">
        <f>IF(OR($M943="",$T943=""),"",$T943+(U$2*$M943))</f>
        <v/>
      </c>
      <c r="V943" s="48">
        <f>IF(OR($M943="",$T943=""),"",$T943+(V$2*$M943))</f>
        <v/>
      </c>
      <c r="W943" s="48">
        <f>IF(OR($M943="",$T943=""),"",$T943+(W$2*$M943))</f>
        <v/>
      </c>
      <c r="X943" s="49">
        <f>IF(OR($M943="",$T943=""),"",$T943+(X$2*$M943))</f>
        <v/>
      </c>
      <c r="Y943" s="47">
        <f>IF(OR($M943="",$T943=""),"",$T943+(Y$2*$M943))</f>
        <v/>
      </c>
      <c r="Z943" s="49">
        <f>IF(OR($M943="",$T943=""),"",$T943+(Z$2*$M943))</f>
        <v/>
      </c>
      <c r="AA943" s="51">
        <f>IF(OR($M943="",$T943=""),"",$T943+(AA$2*$M943))</f>
        <v/>
      </c>
      <c r="AB943" s="48">
        <f>IF(OR($M943="",$T943=""),"",$T943+(AB$2*$M943))</f>
        <v/>
      </c>
      <c r="AC943" s="48">
        <f>IF(OR($M943="",$T943=""),"",$T943+(AC$2*$M943))</f>
        <v/>
      </c>
      <c r="AD943" s="48">
        <f>IF(OR($M943="",$T943=""),"",$T943+(AD$2*$M943))</f>
        <v/>
      </c>
      <c r="AE943" s="49">
        <f>IF(OR($M943="",$T943=""),"",$T943+(AE$2*$M943))</f>
        <v/>
      </c>
      <c r="AF943" s="52">
        <f>IF(OR(T943="",I943&lt;T943),"",IFERROR(AVERAGE(T943+M943*{7,8,9,10,11})/IF(G943="",I943,G943)-1,""))</f>
        <v/>
      </c>
      <c r="AG943" s="55">
        <f>IF(OR(T943="",I943&lt;T943),"",IFERROR(AF943/-(R943/IF(G943="",I943,G943)-1),""))</f>
        <v/>
      </c>
      <c r="AH943" s="94" t="n"/>
      <c r="AI943" s="94" t="n"/>
      <c r="AJ943" s="94" t="n"/>
      <c r="AK943" s="94" t="n"/>
      <c r="AL943" s="84" t="n"/>
    </row>
    <row r="944">
      <c r="A944" s="64" t="n"/>
      <c r="B944" s="65" t="n"/>
      <c r="C944" s="66" t="n"/>
      <c r="D944" s="67" t="n"/>
      <c r="E944" s="68" t="n"/>
      <c r="F944" s="47">
        <f>IF(A944="","",IF(MIN(H944,MAX(J944:K944))=0,"",MIN(H944,MAX(J944:K944))))</f>
        <v/>
      </c>
      <c r="G944" s="74" t="n"/>
      <c r="H944" s="49">
        <f>IF(M944="","",IFERROR(ROUND(AVERAGE(T944+M944*{7,8,9,10,11})/1.21,4),""))</f>
        <v/>
      </c>
      <c r="I944" s="76" t="n"/>
      <c r="J944" s="77" t="n"/>
      <c r="K944" s="74" t="n"/>
      <c r="L944" s="78" t="n"/>
      <c r="M944" s="77" t="n"/>
      <c r="N944" s="53">
        <f>IF(M944="","",IFERROR(M944/I944,""))</f>
        <v/>
      </c>
      <c r="O944" s="50">
        <f>IF(A944="","",IFERROR((IF(G944="",I944,G944)-T944)/M944,""))</f>
        <v/>
      </c>
      <c r="P944" s="50">
        <f>IFERROR((I944/T944-1)/N944,"")</f>
        <v/>
      </c>
      <c r="Q944" s="46">
        <f>IF(OR(T944="",I944&lt;T944),"",IFERROR(R944/IF(G944="",I944,G944)-1,""))</f>
        <v/>
      </c>
      <c r="R944" s="48">
        <f>IF($M944="","",MAX(IF($G944="",$I944,$G944)*(1/1.1),IF($G944="",$I944,$G944)+(R$2*$M944)))</f>
        <v/>
      </c>
      <c r="S944" s="49">
        <f>IF($M944="","",MAX(IF($G944="",$I944,$G944)*(1/1.1),IF($G944="",$I944,$G944)+(S$2*$M944)))</f>
        <v/>
      </c>
      <c r="T944" s="82" t="n"/>
      <c r="U944" s="47">
        <f>IF(OR($M944="",$T944=""),"",$T944+(U$2*$M944))</f>
        <v/>
      </c>
      <c r="V944" s="48">
        <f>IF(OR($M944="",$T944=""),"",$T944+(V$2*$M944))</f>
        <v/>
      </c>
      <c r="W944" s="48">
        <f>IF(OR($M944="",$T944=""),"",$T944+(W$2*$M944))</f>
        <v/>
      </c>
      <c r="X944" s="49">
        <f>IF(OR($M944="",$T944=""),"",$T944+(X$2*$M944))</f>
        <v/>
      </c>
      <c r="Y944" s="47">
        <f>IF(OR($M944="",$T944=""),"",$T944+(Y$2*$M944))</f>
        <v/>
      </c>
      <c r="Z944" s="49">
        <f>IF(OR($M944="",$T944=""),"",$T944+(Z$2*$M944))</f>
        <v/>
      </c>
      <c r="AA944" s="51">
        <f>IF(OR($M944="",$T944=""),"",$T944+(AA$2*$M944))</f>
        <v/>
      </c>
      <c r="AB944" s="48">
        <f>IF(OR($M944="",$T944=""),"",$T944+(AB$2*$M944))</f>
        <v/>
      </c>
      <c r="AC944" s="48">
        <f>IF(OR($M944="",$T944=""),"",$T944+(AC$2*$M944))</f>
        <v/>
      </c>
      <c r="AD944" s="48">
        <f>IF(OR($M944="",$T944=""),"",$T944+(AD$2*$M944))</f>
        <v/>
      </c>
      <c r="AE944" s="49">
        <f>IF(OR($M944="",$T944=""),"",$T944+(AE$2*$M944))</f>
        <v/>
      </c>
      <c r="AF944" s="52">
        <f>IF(OR(T944="",I944&lt;T944),"",IFERROR(AVERAGE(T944+M944*{7,8,9,10,11})/IF(G944="",I944,G944)-1,""))</f>
        <v/>
      </c>
      <c r="AG944" s="55">
        <f>IF(OR(T944="",I944&lt;T944),"",IFERROR(AF944/-(R944/IF(G944="",I944,G944)-1),""))</f>
        <v/>
      </c>
      <c r="AH944" s="94" t="n"/>
      <c r="AI944" s="94" t="n"/>
      <c r="AJ944" s="94" t="n"/>
      <c r="AK944" s="94" t="n"/>
      <c r="AL944" s="84" t="n"/>
    </row>
    <row r="945">
      <c r="A945" s="64" t="n"/>
      <c r="B945" s="65" t="n"/>
      <c r="C945" s="66" t="n"/>
      <c r="D945" s="67" t="n"/>
      <c r="E945" s="68" t="n"/>
      <c r="F945" s="47">
        <f>IF(A945="","",IF(MIN(H945,MAX(J945:K945))=0,"",MIN(H945,MAX(J945:K945))))</f>
        <v/>
      </c>
      <c r="G945" s="74" t="n"/>
      <c r="H945" s="49">
        <f>IF(M945="","",IFERROR(ROUND(AVERAGE(T945+M945*{7,8,9,10,11})/1.21,4),""))</f>
        <v/>
      </c>
      <c r="I945" s="76" t="n"/>
      <c r="J945" s="77" t="n"/>
      <c r="K945" s="74" t="n"/>
      <c r="L945" s="78" t="n"/>
      <c r="M945" s="77" t="n"/>
      <c r="N945" s="53">
        <f>IF(M945="","",IFERROR(M945/I945,""))</f>
        <v/>
      </c>
      <c r="O945" s="50">
        <f>IF(A945="","",IFERROR((IF(G945="",I945,G945)-T945)/M945,""))</f>
        <v/>
      </c>
      <c r="P945" s="50">
        <f>IFERROR((I945/T945-1)/N945,"")</f>
        <v/>
      </c>
      <c r="Q945" s="46">
        <f>IF(OR(T945="",I945&lt;T945),"",IFERROR(R945/IF(G945="",I945,G945)-1,""))</f>
        <v/>
      </c>
      <c r="R945" s="48">
        <f>IF($M945="","",MAX(IF($G945="",$I945,$G945)*(1/1.1),IF($G945="",$I945,$G945)+(R$2*$M945)))</f>
        <v/>
      </c>
      <c r="S945" s="49">
        <f>IF($M945="","",MAX(IF($G945="",$I945,$G945)*(1/1.1),IF($G945="",$I945,$G945)+(S$2*$M945)))</f>
        <v/>
      </c>
      <c r="T945" s="82" t="n"/>
      <c r="U945" s="47">
        <f>IF(OR($M945="",$T945=""),"",$T945+(U$2*$M945))</f>
        <v/>
      </c>
      <c r="V945" s="48">
        <f>IF(OR($M945="",$T945=""),"",$T945+(V$2*$M945))</f>
        <v/>
      </c>
      <c r="W945" s="48">
        <f>IF(OR($M945="",$T945=""),"",$T945+(W$2*$M945))</f>
        <v/>
      </c>
      <c r="X945" s="49">
        <f>IF(OR($M945="",$T945=""),"",$T945+(X$2*$M945))</f>
        <v/>
      </c>
      <c r="Y945" s="47">
        <f>IF(OR($M945="",$T945=""),"",$T945+(Y$2*$M945))</f>
        <v/>
      </c>
      <c r="Z945" s="49">
        <f>IF(OR($M945="",$T945=""),"",$T945+(Z$2*$M945))</f>
        <v/>
      </c>
      <c r="AA945" s="51">
        <f>IF(OR($M945="",$T945=""),"",$T945+(AA$2*$M945))</f>
        <v/>
      </c>
      <c r="AB945" s="48">
        <f>IF(OR($M945="",$T945=""),"",$T945+(AB$2*$M945))</f>
        <v/>
      </c>
      <c r="AC945" s="48">
        <f>IF(OR($M945="",$T945=""),"",$T945+(AC$2*$M945))</f>
        <v/>
      </c>
      <c r="AD945" s="48">
        <f>IF(OR($M945="",$T945=""),"",$T945+(AD$2*$M945))</f>
        <v/>
      </c>
      <c r="AE945" s="49">
        <f>IF(OR($M945="",$T945=""),"",$T945+(AE$2*$M945))</f>
        <v/>
      </c>
      <c r="AF945" s="52">
        <f>IF(OR(T945="",I945&lt;T945),"",IFERROR(AVERAGE(T945+M945*{7,8,9,10,11})/IF(G945="",I945,G945)-1,""))</f>
        <v/>
      </c>
      <c r="AG945" s="55">
        <f>IF(OR(T945="",I945&lt;T945),"",IFERROR(AF945/-(R945/IF(G945="",I945,G945)-1),""))</f>
        <v/>
      </c>
      <c r="AH945" s="94" t="n"/>
      <c r="AI945" s="94" t="n"/>
      <c r="AJ945" s="94" t="n"/>
      <c r="AK945" s="94" t="n"/>
      <c r="AL945" s="84" t="n"/>
    </row>
    <row r="946">
      <c r="A946" s="64" t="n"/>
      <c r="B946" s="65" t="n"/>
      <c r="C946" s="66" t="n"/>
      <c r="D946" s="67" t="n"/>
      <c r="E946" s="68" t="n"/>
      <c r="F946" s="47">
        <f>IF(A946="","",IF(MIN(H946,MAX(J946:K946))=0,"",MIN(H946,MAX(J946:K946))))</f>
        <v/>
      </c>
      <c r="G946" s="74" t="n"/>
      <c r="H946" s="49">
        <f>IF(M946="","",IFERROR(ROUND(AVERAGE(T946+M946*{7,8,9,10,11})/1.21,4),""))</f>
        <v/>
      </c>
      <c r="I946" s="76" t="n"/>
      <c r="J946" s="77" t="n"/>
      <c r="K946" s="74" t="n"/>
      <c r="L946" s="78" t="n"/>
      <c r="M946" s="77" t="n"/>
      <c r="N946" s="53">
        <f>IF(M946="","",IFERROR(M946/I946,""))</f>
        <v/>
      </c>
      <c r="O946" s="50">
        <f>IF(A946="","",IFERROR((IF(G946="",I946,G946)-T946)/M946,""))</f>
        <v/>
      </c>
      <c r="P946" s="50">
        <f>IFERROR((I946/T946-1)/N946,"")</f>
        <v/>
      </c>
      <c r="Q946" s="46">
        <f>IF(OR(T946="",I946&lt;T946),"",IFERROR(R946/IF(G946="",I946,G946)-1,""))</f>
        <v/>
      </c>
      <c r="R946" s="48">
        <f>IF($M946="","",MAX(IF($G946="",$I946,$G946)*(1/1.1),IF($G946="",$I946,$G946)+(R$2*$M946)))</f>
        <v/>
      </c>
      <c r="S946" s="49">
        <f>IF($M946="","",MAX(IF($G946="",$I946,$G946)*(1/1.1),IF($G946="",$I946,$G946)+(S$2*$M946)))</f>
        <v/>
      </c>
      <c r="T946" s="82" t="n"/>
      <c r="U946" s="47">
        <f>IF(OR($M946="",$T946=""),"",$T946+(U$2*$M946))</f>
        <v/>
      </c>
      <c r="V946" s="48">
        <f>IF(OR($M946="",$T946=""),"",$T946+(V$2*$M946))</f>
        <v/>
      </c>
      <c r="W946" s="48">
        <f>IF(OR($M946="",$T946=""),"",$T946+(W$2*$M946))</f>
        <v/>
      </c>
      <c r="X946" s="49">
        <f>IF(OR($M946="",$T946=""),"",$T946+(X$2*$M946))</f>
        <v/>
      </c>
      <c r="Y946" s="47">
        <f>IF(OR($M946="",$T946=""),"",$T946+(Y$2*$M946))</f>
        <v/>
      </c>
      <c r="Z946" s="49">
        <f>IF(OR($M946="",$T946=""),"",$T946+(Z$2*$M946))</f>
        <v/>
      </c>
      <c r="AA946" s="51">
        <f>IF(OR($M946="",$T946=""),"",$T946+(AA$2*$M946))</f>
        <v/>
      </c>
      <c r="AB946" s="48">
        <f>IF(OR($M946="",$T946=""),"",$T946+(AB$2*$M946))</f>
        <v/>
      </c>
      <c r="AC946" s="48">
        <f>IF(OR($M946="",$T946=""),"",$T946+(AC$2*$M946))</f>
        <v/>
      </c>
      <c r="AD946" s="48">
        <f>IF(OR($M946="",$T946=""),"",$T946+(AD$2*$M946))</f>
        <v/>
      </c>
      <c r="AE946" s="49">
        <f>IF(OR($M946="",$T946=""),"",$T946+(AE$2*$M946))</f>
        <v/>
      </c>
      <c r="AF946" s="52">
        <f>IF(OR(T946="",I946&lt;T946),"",IFERROR(AVERAGE(T946+M946*{7,8,9,10,11})/IF(G946="",I946,G946)-1,""))</f>
        <v/>
      </c>
      <c r="AG946" s="55">
        <f>IF(OR(T946="",I946&lt;T946),"",IFERROR(AF946/-(R946/IF(G946="",I946,G946)-1),""))</f>
        <v/>
      </c>
      <c r="AH946" s="94" t="n"/>
      <c r="AI946" s="94" t="n"/>
      <c r="AJ946" s="94" t="n"/>
      <c r="AK946" s="94" t="n"/>
      <c r="AL946" s="84" t="n"/>
    </row>
    <row r="947">
      <c r="A947" s="64" t="n"/>
      <c r="B947" s="65" t="n"/>
      <c r="C947" s="66" t="n"/>
      <c r="D947" s="67" t="n"/>
      <c r="E947" s="68" t="n"/>
      <c r="F947" s="47">
        <f>IF(A947="","",IF(MIN(H947,MAX(J947:K947))=0,"",MIN(H947,MAX(J947:K947))))</f>
        <v/>
      </c>
      <c r="G947" s="74" t="n"/>
      <c r="H947" s="49">
        <f>IF(M947="","",IFERROR(ROUND(AVERAGE(T947+M947*{7,8,9,10,11})/1.21,4),""))</f>
        <v/>
      </c>
      <c r="I947" s="76" t="n"/>
      <c r="J947" s="77" t="n"/>
      <c r="K947" s="74" t="n"/>
      <c r="L947" s="78" t="n"/>
      <c r="M947" s="77" t="n"/>
      <c r="N947" s="53">
        <f>IF(M947="","",IFERROR(M947/I947,""))</f>
        <v/>
      </c>
      <c r="O947" s="50">
        <f>IF(A947="","",IFERROR((IF(G947="",I947,G947)-T947)/M947,""))</f>
        <v/>
      </c>
      <c r="P947" s="50">
        <f>IFERROR((I947/T947-1)/N947,"")</f>
        <v/>
      </c>
      <c r="Q947" s="46">
        <f>IF(OR(T947="",I947&lt;T947),"",IFERROR(R947/IF(G947="",I947,G947)-1,""))</f>
        <v/>
      </c>
      <c r="R947" s="48">
        <f>IF($M947="","",MAX(IF($G947="",$I947,$G947)*(1/1.1),IF($G947="",$I947,$G947)+(R$2*$M947)))</f>
        <v/>
      </c>
      <c r="S947" s="49">
        <f>IF($M947="","",MAX(IF($G947="",$I947,$G947)*(1/1.1),IF($G947="",$I947,$G947)+(S$2*$M947)))</f>
        <v/>
      </c>
      <c r="T947" s="82" t="n"/>
      <c r="U947" s="47">
        <f>IF(OR($M947="",$T947=""),"",$T947+(U$2*$M947))</f>
        <v/>
      </c>
      <c r="V947" s="48">
        <f>IF(OR($M947="",$T947=""),"",$T947+(V$2*$M947))</f>
        <v/>
      </c>
      <c r="W947" s="48">
        <f>IF(OR($M947="",$T947=""),"",$T947+(W$2*$M947))</f>
        <v/>
      </c>
      <c r="X947" s="49">
        <f>IF(OR($M947="",$T947=""),"",$T947+(X$2*$M947))</f>
        <v/>
      </c>
      <c r="Y947" s="47">
        <f>IF(OR($M947="",$T947=""),"",$T947+(Y$2*$M947))</f>
        <v/>
      </c>
      <c r="Z947" s="49">
        <f>IF(OR($M947="",$T947=""),"",$T947+(Z$2*$M947))</f>
        <v/>
      </c>
      <c r="AA947" s="51">
        <f>IF(OR($M947="",$T947=""),"",$T947+(AA$2*$M947))</f>
        <v/>
      </c>
      <c r="AB947" s="48">
        <f>IF(OR($M947="",$T947=""),"",$T947+(AB$2*$M947))</f>
        <v/>
      </c>
      <c r="AC947" s="48">
        <f>IF(OR($M947="",$T947=""),"",$T947+(AC$2*$M947))</f>
        <v/>
      </c>
      <c r="AD947" s="48">
        <f>IF(OR($M947="",$T947=""),"",$T947+(AD$2*$M947))</f>
        <v/>
      </c>
      <c r="AE947" s="49">
        <f>IF(OR($M947="",$T947=""),"",$T947+(AE$2*$M947))</f>
        <v/>
      </c>
      <c r="AF947" s="52">
        <f>IF(OR(T947="",I947&lt;T947),"",IFERROR(AVERAGE(T947+M947*{7,8,9,10,11})/IF(G947="",I947,G947)-1,""))</f>
        <v/>
      </c>
      <c r="AG947" s="55">
        <f>IF(OR(T947="",I947&lt;T947),"",IFERROR(AF947/-(R947/IF(G947="",I947,G947)-1),""))</f>
        <v/>
      </c>
      <c r="AH947" s="94" t="n"/>
      <c r="AI947" s="94" t="n"/>
      <c r="AJ947" s="94" t="n"/>
      <c r="AK947" s="94" t="n"/>
      <c r="AL947" s="84" t="n"/>
    </row>
    <row r="948">
      <c r="A948" s="64" t="n"/>
      <c r="B948" s="65" t="n"/>
      <c r="C948" s="66" t="n"/>
      <c r="D948" s="67" t="n"/>
      <c r="E948" s="68" t="n"/>
      <c r="F948" s="47">
        <f>IF(A948="","",IF(MIN(H948,MAX(J948:K948))=0,"",MIN(H948,MAX(J948:K948))))</f>
        <v/>
      </c>
      <c r="G948" s="74" t="n"/>
      <c r="H948" s="49">
        <f>IF(M948="","",IFERROR(ROUND(AVERAGE(T948+M948*{7,8,9,10,11})/1.21,4),""))</f>
        <v/>
      </c>
      <c r="I948" s="76" t="n"/>
      <c r="J948" s="77" t="n"/>
      <c r="K948" s="74" t="n"/>
      <c r="L948" s="78" t="n"/>
      <c r="M948" s="77" t="n"/>
      <c r="N948" s="53">
        <f>IF(M948="","",IFERROR(M948/I948,""))</f>
        <v/>
      </c>
      <c r="O948" s="50">
        <f>IF(A948="","",IFERROR((IF(G948="",I948,G948)-T948)/M948,""))</f>
        <v/>
      </c>
      <c r="P948" s="50">
        <f>IFERROR((I948/T948-1)/N948,"")</f>
        <v/>
      </c>
      <c r="Q948" s="46">
        <f>IF(OR(T948="",I948&lt;T948),"",IFERROR(R948/IF(G948="",I948,G948)-1,""))</f>
        <v/>
      </c>
      <c r="R948" s="48">
        <f>IF($M948="","",MAX(IF($G948="",$I948,$G948)*(1/1.1),IF($G948="",$I948,$G948)+(R$2*$M948)))</f>
        <v/>
      </c>
      <c r="S948" s="49">
        <f>IF($M948="","",MAX(IF($G948="",$I948,$G948)*(1/1.1),IF($G948="",$I948,$G948)+(S$2*$M948)))</f>
        <v/>
      </c>
      <c r="T948" s="82" t="n"/>
      <c r="U948" s="47">
        <f>IF(OR($M948="",$T948=""),"",$T948+(U$2*$M948))</f>
        <v/>
      </c>
      <c r="V948" s="48">
        <f>IF(OR($M948="",$T948=""),"",$T948+(V$2*$M948))</f>
        <v/>
      </c>
      <c r="W948" s="48">
        <f>IF(OR($M948="",$T948=""),"",$T948+(W$2*$M948))</f>
        <v/>
      </c>
      <c r="X948" s="49">
        <f>IF(OR($M948="",$T948=""),"",$T948+(X$2*$M948))</f>
        <v/>
      </c>
      <c r="Y948" s="47">
        <f>IF(OR($M948="",$T948=""),"",$T948+(Y$2*$M948))</f>
        <v/>
      </c>
      <c r="Z948" s="49">
        <f>IF(OR($M948="",$T948=""),"",$T948+(Z$2*$M948))</f>
        <v/>
      </c>
      <c r="AA948" s="51">
        <f>IF(OR($M948="",$T948=""),"",$T948+(AA$2*$M948))</f>
        <v/>
      </c>
      <c r="AB948" s="48">
        <f>IF(OR($M948="",$T948=""),"",$T948+(AB$2*$M948))</f>
        <v/>
      </c>
      <c r="AC948" s="48">
        <f>IF(OR($M948="",$T948=""),"",$T948+(AC$2*$M948))</f>
        <v/>
      </c>
      <c r="AD948" s="48">
        <f>IF(OR($M948="",$T948=""),"",$T948+(AD$2*$M948))</f>
        <v/>
      </c>
      <c r="AE948" s="49">
        <f>IF(OR($M948="",$T948=""),"",$T948+(AE$2*$M948))</f>
        <v/>
      </c>
      <c r="AF948" s="52">
        <f>IF(OR(T948="",I948&lt;T948),"",IFERROR(AVERAGE(T948+M948*{7,8,9,10,11})/IF(G948="",I948,G948)-1,""))</f>
        <v/>
      </c>
      <c r="AG948" s="55">
        <f>IF(OR(T948="",I948&lt;T948),"",IFERROR(AF948/-(R948/IF(G948="",I948,G948)-1),""))</f>
        <v/>
      </c>
      <c r="AH948" s="94" t="n"/>
      <c r="AI948" s="94" t="n"/>
      <c r="AJ948" s="94" t="n"/>
      <c r="AK948" s="94" t="n"/>
      <c r="AL948" s="84" t="n"/>
    </row>
    <row r="949">
      <c r="A949" s="64" t="n"/>
      <c r="B949" s="65" t="n"/>
      <c r="C949" s="66" t="n"/>
      <c r="D949" s="67" t="n"/>
      <c r="E949" s="68" t="n"/>
      <c r="F949" s="47">
        <f>IF(A949="","",IF(MIN(H949,MAX(J949:K949))=0,"",MIN(H949,MAX(J949:K949))))</f>
        <v/>
      </c>
      <c r="G949" s="74" t="n"/>
      <c r="H949" s="49">
        <f>IF(M949="","",IFERROR(ROUND(AVERAGE(T949+M949*{7,8,9,10,11})/1.21,4),""))</f>
        <v/>
      </c>
      <c r="I949" s="76" t="n"/>
      <c r="J949" s="77" t="n"/>
      <c r="K949" s="74" t="n"/>
      <c r="L949" s="78" t="n"/>
      <c r="M949" s="77" t="n"/>
      <c r="N949" s="53">
        <f>IF(M949="","",IFERROR(M949/I949,""))</f>
        <v/>
      </c>
      <c r="O949" s="50">
        <f>IF(A949="","",IFERROR((IF(G949="",I949,G949)-T949)/M949,""))</f>
        <v/>
      </c>
      <c r="P949" s="50">
        <f>IFERROR((I949/T949-1)/N949,"")</f>
        <v/>
      </c>
      <c r="Q949" s="46">
        <f>IF(OR(T949="",I949&lt;T949),"",IFERROR(R949/IF(G949="",I949,G949)-1,""))</f>
        <v/>
      </c>
      <c r="R949" s="48">
        <f>IF($M949="","",MAX(IF($G949="",$I949,$G949)*(1/1.1),IF($G949="",$I949,$G949)+(R$2*$M949)))</f>
        <v/>
      </c>
      <c r="S949" s="49">
        <f>IF($M949="","",MAX(IF($G949="",$I949,$G949)*(1/1.1),IF($G949="",$I949,$G949)+(S$2*$M949)))</f>
        <v/>
      </c>
      <c r="T949" s="82" t="n"/>
      <c r="U949" s="47">
        <f>IF(OR($M949="",$T949=""),"",$T949+(U$2*$M949))</f>
        <v/>
      </c>
      <c r="V949" s="48">
        <f>IF(OR($M949="",$T949=""),"",$T949+(V$2*$M949))</f>
        <v/>
      </c>
      <c r="W949" s="48">
        <f>IF(OR($M949="",$T949=""),"",$T949+(W$2*$M949))</f>
        <v/>
      </c>
      <c r="X949" s="49">
        <f>IF(OR($M949="",$T949=""),"",$T949+(X$2*$M949))</f>
        <v/>
      </c>
      <c r="Y949" s="47">
        <f>IF(OR($M949="",$T949=""),"",$T949+(Y$2*$M949))</f>
        <v/>
      </c>
      <c r="Z949" s="49">
        <f>IF(OR($M949="",$T949=""),"",$T949+(Z$2*$M949))</f>
        <v/>
      </c>
      <c r="AA949" s="51">
        <f>IF(OR($M949="",$T949=""),"",$T949+(AA$2*$M949))</f>
        <v/>
      </c>
      <c r="AB949" s="48">
        <f>IF(OR($M949="",$T949=""),"",$T949+(AB$2*$M949))</f>
        <v/>
      </c>
      <c r="AC949" s="48">
        <f>IF(OR($M949="",$T949=""),"",$T949+(AC$2*$M949))</f>
        <v/>
      </c>
      <c r="AD949" s="48">
        <f>IF(OR($M949="",$T949=""),"",$T949+(AD$2*$M949))</f>
        <v/>
      </c>
      <c r="AE949" s="49">
        <f>IF(OR($M949="",$T949=""),"",$T949+(AE$2*$M949))</f>
        <v/>
      </c>
      <c r="AF949" s="52">
        <f>IF(OR(T949="",I949&lt;T949),"",IFERROR(AVERAGE(T949+M949*{7,8,9,10,11})/IF(G949="",I949,G949)-1,""))</f>
        <v/>
      </c>
      <c r="AG949" s="55">
        <f>IF(OR(T949="",I949&lt;T949),"",IFERROR(AF949/-(R949/IF(G949="",I949,G949)-1),""))</f>
        <v/>
      </c>
      <c r="AH949" s="94" t="n"/>
      <c r="AI949" s="94" t="n"/>
      <c r="AJ949" s="94" t="n"/>
      <c r="AK949" s="94" t="n"/>
      <c r="AL949" s="84" t="n"/>
    </row>
    <row r="950">
      <c r="A950" s="64" t="n"/>
      <c r="B950" s="65" t="n"/>
      <c r="C950" s="66" t="n"/>
      <c r="D950" s="67" t="n"/>
      <c r="E950" s="68" t="n"/>
      <c r="F950" s="47">
        <f>IF(A950="","",IF(MIN(H950,MAX(J950:K950))=0,"",MIN(H950,MAX(J950:K950))))</f>
        <v/>
      </c>
      <c r="G950" s="74" t="n"/>
      <c r="H950" s="49">
        <f>IF(M950="","",IFERROR(ROUND(AVERAGE(T950+M950*{7,8,9,10,11})/1.21,4),""))</f>
        <v/>
      </c>
      <c r="I950" s="76" t="n"/>
      <c r="J950" s="77" t="n"/>
      <c r="K950" s="74" t="n"/>
      <c r="L950" s="78" t="n"/>
      <c r="M950" s="77" t="n"/>
      <c r="N950" s="53">
        <f>IF(M950="","",IFERROR(M950/I950,""))</f>
        <v/>
      </c>
      <c r="O950" s="50">
        <f>IF(A950="","",IFERROR((IF(G950="",I950,G950)-T950)/M950,""))</f>
        <v/>
      </c>
      <c r="P950" s="50">
        <f>IFERROR((I950/T950-1)/N950,"")</f>
        <v/>
      </c>
      <c r="Q950" s="46">
        <f>IF(OR(T950="",I950&lt;T950),"",IFERROR(R950/IF(G950="",I950,G950)-1,""))</f>
        <v/>
      </c>
      <c r="R950" s="48">
        <f>IF($M950="","",MAX(IF($G950="",$I950,$G950)*(1/1.1),IF($G950="",$I950,$G950)+(R$2*$M950)))</f>
        <v/>
      </c>
      <c r="S950" s="49">
        <f>IF($M950="","",MAX(IF($G950="",$I950,$G950)*(1/1.1),IF($G950="",$I950,$G950)+(S$2*$M950)))</f>
        <v/>
      </c>
      <c r="T950" s="82" t="n"/>
      <c r="U950" s="47">
        <f>IF(OR($M950="",$T950=""),"",$T950+(U$2*$M950))</f>
        <v/>
      </c>
      <c r="V950" s="48">
        <f>IF(OR($M950="",$T950=""),"",$T950+(V$2*$M950))</f>
        <v/>
      </c>
      <c r="W950" s="48">
        <f>IF(OR($M950="",$T950=""),"",$T950+(W$2*$M950))</f>
        <v/>
      </c>
      <c r="X950" s="49">
        <f>IF(OR($M950="",$T950=""),"",$T950+(X$2*$M950))</f>
        <v/>
      </c>
      <c r="Y950" s="47">
        <f>IF(OR($M950="",$T950=""),"",$T950+(Y$2*$M950))</f>
        <v/>
      </c>
      <c r="Z950" s="49">
        <f>IF(OR($M950="",$T950=""),"",$T950+(Z$2*$M950))</f>
        <v/>
      </c>
      <c r="AA950" s="51">
        <f>IF(OR($M950="",$T950=""),"",$T950+(AA$2*$M950))</f>
        <v/>
      </c>
      <c r="AB950" s="48">
        <f>IF(OR($M950="",$T950=""),"",$T950+(AB$2*$M950))</f>
        <v/>
      </c>
      <c r="AC950" s="48">
        <f>IF(OR($M950="",$T950=""),"",$T950+(AC$2*$M950))</f>
        <v/>
      </c>
      <c r="AD950" s="48">
        <f>IF(OR($M950="",$T950=""),"",$T950+(AD$2*$M950))</f>
        <v/>
      </c>
      <c r="AE950" s="49">
        <f>IF(OR($M950="",$T950=""),"",$T950+(AE$2*$M950))</f>
        <v/>
      </c>
      <c r="AF950" s="52">
        <f>IF(OR(T950="",I950&lt;T950),"",IFERROR(AVERAGE(T950+M950*{7,8,9,10,11})/IF(G950="",I950,G950)-1,""))</f>
        <v/>
      </c>
      <c r="AG950" s="55">
        <f>IF(OR(T950="",I950&lt;T950),"",IFERROR(AF950/-(R950/IF(G950="",I950,G950)-1),""))</f>
        <v/>
      </c>
      <c r="AH950" s="94" t="n"/>
      <c r="AI950" s="94" t="n"/>
      <c r="AJ950" s="94" t="n"/>
      <c r="AK950" s="94" t="n"/>
      <c r="AL950" s="84" t="n"/>
    </row>
    <row r="951">
      <c r="A951" s="64" t="n"/>
      <c r="B951" s="65" t="n"/>
      <c r="C951" s="66" t="n"/>
      <c r="D951" s="67" t="n"/>
      <c r="E951" s="68" t="n"/>
      <c r="F951" s="47">
        <f>IF(A951="","",IF(MIN(H951,MAX(J951:K951))=0,"",MIN(H951,MAX(J951:K951))))</f>
        <v/>
      </c>
      <c r="G951" s="74" t="n"/>
      <c r="H951" s="49">
        <f>IF(M951="","",IFERROR(ROUND(AVERAGE(T951+M951*{7,8,9,10,11})/1.21,4),""))</f>
        <v/>
      </c>
      <c r="I951" s="76" t="n"/>
      <c r="J951" s="77" t="n"/>
      <c r="K951" s="74" t="n"/>
      <c r="L951" s="78" t="n"/>
      <c r="M951" s="77" t="n"/>
      <c r="N951" s="53">
        <f>IF(M951="","",IFERROR(M951/I951,""))</f>
        <v/>
      </c>
      <c r="O951" s="50">
        <f>IF(A951="","",IFERROR((IF(G951="",I951,G951)-T951)/M951,""))</f>
        <v/>
      </c>
      <c r="P951" s="50">
        <f>IFERROR((I951/T951-1)/N951,"")</f>
        <v/>
      </c>
      <c r="Q951" s="46">
        <f>IF(OR(T951="",I951&lt;T951),"",IFERROR(R951/IF(G951="",I951,G951)-1,""))</f>
        <v/>
      </c>
      <c r="R951" s="48">
        <f>IF($M951="","",MAX(IF($G951="",$I951,$G951)*(1/1.1),IF($G951="",$I951,$G951)+(R$2*$M951)))</f>
        <v/>
      </c>
      <c r="S951" s="49">
        <f>IF($M951="","",MAX(IF($G951="",$I951,$G951)*(1/1.1),IF($G951="",$I951,$G951)+(S$2*$M951)))</f>
        <v/>
      </c>
      <c r="T951" s="82" t="n"/>
      <c r="U951" s="47">
        <f>IF(OR($M951="",$T951=""),"",$T951+(U$2*$M951))</f>
        <v/>
      </c>
      <c r="V951" s="48">
        <f>IF(OR($M951="",$T951=""),"",$T951+(V$2*$M951))</f>
        <v/>
      </c>
      <c r="W951" s="48">
        <f>IF(OR($M951="",$T951=""),"",$T951+(W$2*$M951))</f>
        <v/>
      </c>
      <c r="X951" s="49">
        <f>IF(OR($M951="",$T951=""),"",$T951+(X$2*$M951))</f>
        <v/>
      </c>
      <c r="Y951" s="47">
        <f>IF(OR($M951="",$T951=""),"",$T951+(Y$2*$M951))</f>
        <v/>
      </c>
      <c r="Z951" s="49">
        <f>IF(OR($M951="",$T951=""),"",$T951+(Z$2*$M951))</f>
        <v/>
      </c>
      <c r="AA951" s="51">
        <f>IF(OR($M951="",$T951=""),"",$T951+(AA$2*$M951))</f>
        <v/>
      </c>
      <c r="AB951" s="48">
        <f>IF(OR($M951="",$T951=""),"",$T951+(AB$2*$M951))</f>
        <v/>
      </c>
      <c r="AC951" s="48">
        <f>IF(OR($M951="",$T951=""),"",$T951+(AC$2*$M951))</f>
        <v/>
      </c>
      <c r="AD951" s="48">
        <f>IF(OR($M951="",$T951=""),"",$T951+(AD$2*$M951))</f>
        <v/>
      </c>
      <c r="AE951" s="49">
        <f>IF(OR($M951="",$T951=""),"",$T951+(AE$2*$M951))</f>
        <v/>
      </c>
      <c r="AF951" s="52">
        <f>IF(OR(T951="",I951&lt;T951),"",IFERROR(AVERAGE(T951+M951*{7,8,9,10,11})/IF(G951="",I951,G951)-1,""))</f>
        <v/>
      </c>
      <c r="AG951" s="55">
        <f>IF(OR(T951="",I951&lt;T951),"",IFERROR(AF951/-(R951/IF(G951="",I951,G951)-1),""))</f>
        <v/>
      </c>
      <c r="AH951" s="94" t="n"/>
      <c r="AI951" s="94" t="n"/>
      <c r="AJ951" s="94" t="n"/>
      <c r="AK951" s="94" t="n"/>
      <c r="AL951" s="84" t="n"/>
    </row>
    <row r="952">
      <c r="A952" s="64" t="n"/>
      <c r="B952" s="65" t="n"/>
      <c r="C952" s="66" t="n"/>
      <c r="D952" s="67" t="n"/>
      <c r="E952" s="68" t="n"/>
      <c r="F952" s="47">
        <f>IF(A952="","",IF(MIN(H952,MAX(J952:K952))=0,"",MIN(H952,MAX(J952:K952))))</f>
        <v/>
      </c>
      <c r="G952" s="74" t="n"/>
      <c r="H952" s="49">
        <f>IF(M952="","",IFERROR(ROUND(AVERAGE(T952+M952*{7,8,9,10,11})/1.21,4),""))</f>
        <v/>
      </c>
      <c r="I952" s="76" t="n"/>
      <c r="J952" s="77" t="n"/>
      <c r="K952" s="74" t="n"/>
      <c r="L952" s="78" t="n"/>
      <c r="M952" s="77" t="n"/>
      <c r="N952" s="53">
        <f>IF(M952="","",IFERROR(M952/I952,""))</f>
        <v/>
      </c>
      <c r="O952" s="50">
        <f>IF(A952="","",IFERROR((IF(G952="",I952,G952)-T952)/M952,""))</f>
        <v/>
      </c>
      <c r="P952" s="50">
        <f>IFERROR((I952/T952-1)/N952,"")</f>
        <v/>
      </c>
      <c r="Q952" s="46">
        <f>IF(OR(T952="",I952&lt;T952),"",IFERROR(R952/IF(G952="",I952,G952)-1,""))</f>
        <v/>
      </c>
      <c r="R952" s="48">
        <f>IF($M952="","",MAX(IF($G952="",$I952,$G952)*(1/1.1),IF($G952="",$I952,$G952)+(R$2*$M952)))</f>
        <v/>
      </c>
      <c r="S952" s="49">
        <f>IF($M952="","",MAX(IF($G952="",$I952,$G952)*(1/1.1),IF($G952="",$I952,$G952)+(S$2*$M952)))</f>
        <v/>
      </c>
      <c r="T952" s="82" t="n"/>
      <c r="U952" s="47">
        <f>IF(OR($M952="",$T952=""),"",$T952+(U$2*$M952))</f>
        <v/>
      </c>
      <c r="V952" s="48">
        <f>IF(OR($M952="",$T952=""),"",$T952+(V$2*$M952))</f>
        <v/>
      </c>
      <c r="W952" s="48">
        <f>IF(OR($M952="",$T952=""),"",$T952+(W$2*$M952))</f>
        <v/>
      </c>
      <c r="X952" s="49">
        <f>IF(OR($M952="",$T952=""),"",$T952+(X$2*$M952))</f>
        <v/>
      </c>
      <c r="Y952" s="47">
        <f>IF(OR($M952="",$T952=""),"",$T952+(Y$2*$M952))</f>
        <v/>
      </c>
      <c r="Z952" s="49">
        <f>IF(OR($M952="",$T952=""),"",$T952+(Z$2*$M952))</f>
        <v/>
      </c>
      <c r="AA952" s="51">
        <f>IF(OR($M952="",$T952=""),"",$T952+(AA$2*$M952))</f>
        <v/>
      </c>
      <c r="AB952" s="48">
        <f>IF(OR($M952="",$T952=""),"",$T952+(AB$2*$M952))</f>
        <v/>
      </c>
      <c r="AC952" s="48">
        <f>IF(OR($M952="",$T952=""),"",$T952+(AC$2*$M952))</f>
        <v/>
      </c>
      <c r="AD952" s="48">
        <f>IF(OR($M952="",$T952=""),"",$T952+(AD$2*$M952))</f>
        <v/>
      </c>
      <c r="AE952" s="49">
        <f>IF(OR($M952="",$T952=""),"",$T952+(AE$2*$M952))</f>
        <v/>
      </c>
      <c r="AF952" s="52">
        <f>IF(OR(T952="",I952&lt;T952),"",IFERROR(AVERAGE(T952+M952*{7,8,9,10,11})/IF(G952="",I952,G952)-1,""))</f>
        <v/>
      </c>
      <c r="AG952" s="55">
        <f>IF(OR(T952="",I952&lt;T952),"",IFERROR(AF952/-(R952/IF(G952="",I952,G952)-1),""))</f>
        <v/>
      </c>
      <c r="AH952" s="94" t="n"/>
      <c r="AI952" s="94" t="n"/>
      <c r="AJ952" s="94" t="n"/>
      <c r="AK952" s="94" t="n"/>
      <c r="AL952" s="84" t="n"/>
    </row>
    <row r="953">
      <c r="A953" s="64" t="n"/>
      <c r="B953" s="65" t="n"/>
      <c r="C953" s="66" t="n"/>
      <c r="D953" s="67" t="n"/>
      <c r="E953" s="68" t="n"/>
      <c r="F953" s="47">
        <f>IF(A953="","",IF(MIN(H953,MAX(J953:K953))=0,"",MIN(H953,MAX(J953:K953))))</f>
        <v/>
      </c>
      <c r="G953" s="74" t="n"/>
      <c r="H953" s="49">
        <f>IF(M953="","",IFERROR(ROUND(AVERAGE(T953+M953*{7,8,9,10,11})/1.21,4),""))</f>
        <v/>
      </c>
      <c r="I953" s="76" t="n"/>
      <c r="J953" s="77" t="n"/>
      <c r="K953" s="74" t="n"/>
      <c r="L953" s="78" t="n"/>
      <c r="M953" s="77" t="n"/>
      <c r="N953" s="53">
        <f>IF(M953="","",IFERROR(M953/I953,""))</f>
        <v/>
      </c>
      <c r="O953" s="50">
        <f>IF(A953="","",IFERROR((IF(G953="",I953,G953)-T953)/M953,""))</f>
        <v/>
      </c>
      <c r="P953" s="50">
        <f>IFERROR((I953/T953-1)/N953,"")</f>
        <v/>
      </c>
      <c r="Q953" s="46">
        <f>IF(OR(T953="",I953&lt;T953),"",IFERROR(R953/IF(G953="",I953,G953)-1,""))</f>
        <v/>
      </c>
      <c r="R953" s="48">
        <f>IF($M953="","",MAX(IF($G953="",$I953,$G953)*(1/1.1),IF($G953="",$I953,$G953)+(R$2*$M953)))</f>
        <v/>
      </c>
      <c r="S953" s="49">
        <f>IF($M953="","",MAX(IF($G953="",$I953,$G953)*(1/1.1),IF($G953="",$I953,$G953)+(S$2*$M953)))</f>
        <v/>
      </c>
      <c r="T953" s="82" t="n"/>
      <c r="U953" s="47">
        <f>IF(OR($M953="",$T953=""),"",$T953+(U$2*$M953))</f>
        <v/>
      </c>
      <c r="V953" s="48">
        <f>IF(OR($M953="",$T953=""),"",$T953+(V$2*$M953))</f>
        <v/>
      </c>
      <c r="W953" s="48">
        <f>IF(OR($M953="",$T953=""),"",$T953+(W$2*$M953))</f>
        <v/>
      </c>
      <c r="X953" s="49">
        <f>IF(OR($M953="",$T953=""),"",$T953+(X$2*$M953))</f>
        <v/>
      </c>
      <c r="Y953" s="47">
        <f>IF(OR($M953="",$T953=""),"",$T953+(Y$2*$M953))</f>
        <v/>
      </c>
      <c r="Z953" s="49">
        <f>IF(OR($M953="",$T953=""),"",$T953+(Z$2*$M953))</f>
        <v/>
      </c>
      <c r="AA953" s="51">
        <f>IF(OR($M953="",$T953=""),"",$T953+(AA$2*$M953))</f>
        <v/>
      </c>
      <c r="AB953" s="48">
        <f>IF(OR($M953="",$T953=""),"",$T953+(AB$2*$M953))</f>
        <v/>
      </c>
      <c r="AC953" s="48">
        <f>IF(OR($M953="",$T953=""),"",$T953+(AC$2*$M953))</f>
        <v/>
      </c>
      <c r="AD953" s="48">
        <f>IF(OR($M953="",$T953=""),"",$T953+(AD$2*$M953))</f>
        <v/>
      </c>
      <c r="AE953" s="49">
        <f>IF(OR($M953="",$T953=""),"",$T953+(AE$2*$M953))</f>
        <v/>
      </c>
      <c r="AF953" s="52">
        <f>IF(OR(T953="",I953&lt;T953),"",IFERROR(AVERAGE(T953+M953*{7,8,9,10,11})/IF(G953="",I953,G953)-1,""))</f>
        <v/>
      </c>
      <c r="AG953" s="55">
        <f>IF(OR(T953="",I953&lt;T953),"",IFERROR(AF953/-(R953/IF(G953="",I953,G953)-1),""))</f>
        <v/>
      </c>
      <c r="AH953" s="94" t="n"/>
      <c r="AI953" s="94" t="n"/>
      <c r="AJ953" s="94" t="n"/>
      <c r="AK953" s="94" t="n"/>
      <c r="AL953" s="84" t="n"/>
    </row>
    <row r="954">
      <c r="A954" s="64" t="n"/>
      <c r="B954" s="65" t="n"/>
      <c r="C954" s="66" t="n"/>
      <c r="D954" s="67" t="n"/>
      <c r="E954" s="68" t="n"/>
      <c r="F954" s="47">
        <f>IF(A954="","",IF(MIN(H954,MAX(J954:K954))=0,"",MIN(H954,MAX(J954:K954))))</f>
        <v/>
      </c>
      <c r="G954" s="74" t="n"/>
      <c r="H954" s="49">
        <f>IF(M954="","",IFERROR(ROUND(AVERAGE(T954+M954*{7,8,9,10,11})/1.21,4),""))</f>
        <v/>
      </c>
      <c r="I954" s="76" t="n"/>
      <c r="J954" s="77" t="n"/>
      <c r="K954" s="74" t="n"/>
      <c r="L954" s="78" t="n"/>
      <c r="M954" s="77" t="n"/>
      <c r="N954" s="53">
        <f>IF(M954="","",IFERROR(M954/I954,""))</f>
        <v/>
      </c>
      <c r="O954" s="50">
        <f>IF(A954="","",IFERROR((IF(G954="",I954,G954)-T954)/M954,""))</f>
        <v/>
      </c>
      <c r="P954" s="50">
        <f>IFERROR((I954/T954-1)/N954,"")</f>
        <v/>
      </c>
      <c r="Q954" s="46">
        <f>IF(OR(T954="",I954&lt;T954),"",IFERROR(R954/IF(G954="",I954,G954)-1,""))</f>
        <v/>
      </c>
      <c r="R954" s="48">
        <f>IF($M954="","",MAX(IF($G954="",$I954,$G954)*(1/1.1),IF($G954="",$I954,$G954)+(R$2*$M954)))</f>
        <v/>
      </c>
      <c r="S954" s="49">
        <f>IF($M954="","",MAX(IF($G954="",$I954,$G954)*(1/1.1),IF($G954="",$I954,$G954)+(S$2*$M954)))</f>
        <v/>
      </c>
      <c r="T954" s="82" t="n"/>
      <c r="U954" s="47">
        <f>IF(OR($M954="",$T954=""),"",$T954+(U$2*$M954))</f>
        <v/>
      </c>
      <c r="V954" s="48">
        <f>IF(OR($M954="",$T954=""),"",$T954+(V$2*$M954))</f>
        <v/>
      </c>
      <c r="W954" s="48">
        <f>IF(OR($M954="",$T954=""),"",$T954+(W$2*$M954))</f>
        <v/>
      </c>
      <c r="X954" s="49">
        <f>IF(OR($M954="",$T954=""),"",$T954+(X$2*$M954))</f>
        <v/>
      </c>
      <c r="Y954" s="47">
        <f>IF(OR($M954="",$T954=""),"",$T954+(Y$2*$M954))</f>
        <v/>
      </c>
      <c r="Z954" s="49">
        <f>IF(OR($M954="",$T954=""),"",$T954+(Z$2*$M954))</f>
        <v/>
      </c>
      <c r="AA954" s="51">
        <f>IF(OR($M954="",$T954=""),"",$T954+(AA$2*$M954))</f>
        <v/>
      </c>
      <c r="AB954" s="48">
        <f>IF(OR($M954="",$T954=""),"",$T954+(AB$2*$M954))</f>
        <v/>
      </c>
      <c r="AC954" s="48">
        <f>IF(OR($M954="",$T954=""),"",$T954+(AC$2*$M954))</f>
        <v/>
      </c>
      <c r="AD954" s="48">
        <f>IF(OR($M954="",$T954=""),"",$T954+(AD$2*$M954))</f>
        <v/>
      </c>
      <c r="AE954" s="49">
        <f>IF(OR($M954="",$T954=""),"",$T954+(AE$2*$M954))</f>
        <v/>
      </c>
      <c r="AF954" s="52">
        <f>IF(OR(T954="",I954&lt;T954),"",IFERROR(AVERAGE(T954+M954*{7,8,9,10,11})/IF(G954="",I954,G954)-1,""))</f>
        <v/>
      </c>
      <c r="AG954" s="55">
        <f>IF(OR(T954="",I954&lt;T954),"",IFERROR(AF954/-(R954/IF(G954="",I954,G954)-1),""))</f>
        <v/>
      </c>
      <c r="AH954" s="94" t="n"/>
      <c r="AI954" s="94" t="n"/>
      <c r="AJ954" s="94" t="n"/>
      <c r="AK954" s="94" t="n"/>
      <c r="AL954" s="84" t="n"/>
    </row>
    <row r="955">
      <c r="A955" s="64" t="n"/>
      <c r="B955" s="65" t="n"/>
      <c r="C955" s="66" t="n"/>
      <c r="D955" s="67" t="n"/>
      <c r="E955" s="68" t="n"/>
      <c r="F955" s="47">
        <f>IF(A955="","",IF(MIN(H955,MAX(J955:K955))=0,"",MIN(H955,MAX(J955:K955))))</f>
        <v/>
      </c>
      <c r="G955" s="74" t="n"/>
      <c r="H955" s="49">
        <f>IF(M955="","",IFERROR(ROUND(AVERAGE(T955+M955*{7,8,9,10,11})/1.21,4),""))</f>
        <v/>
      </c>
      <c r="I955" s="76" t="n"/>
      <c r="J955" s="77" t="n"/>
      <c r="K955" s="74" t="n"/>
      <c r="L955" s="78" t="n"/>
      <c r="M955" s="77" t="n"/>
      <c r="N955" s="53">
        <f>IF(M955="","",IFERROR(M955/I955,""))</f>
        <v/>
      </c>
      <c r="O955" s="50">
        <f>IF(A955="","",IFERROR((IF(G955="",I955,G955)-T955)/M955,""))</f>
        <v/>
      </c>
      <c r="P955" s="50">
        <f>IFERROR((I955/T955-1)/N955,"")</f>
        <v/>
      </c>
      <c r="Q955" s="46">
        <f>IF(OR(T955="",I955&lt;T955),"",IFERROR(R955/IF(G955="",I955,G955)-1,""))</f>
        <v/>
      </c>
      <c r="R955" s="48">
        <f>IF($M955="","",MAX(IF($G955="",$I955,$G955)*(1/1.1),IF($G955="",$I955,$G955)+(R$2*$M955)))</f>
        <v/>
      </c>
      <c r="S955" s="49">
        <f>IF($M955="","",MAX(IF($G955="",$I955,$G955)*(1/1.1),IF($G955="",$I955,$G955)+(S$2*$M955)))</f>
        <v/>
      </c>
      <c r="T955" s="82" t="n"/>
      <c r="U955" s="47">
        <f>IF(OR($M955="",$T955=""),"",$T955+(U$2*$M955))</f>
        <v/>
      </c>
      <c r="V955" s="48">
        <f>IF(OR($M955="",$T955=""),"",$T955+(V$2*$M955))</f>
        <v/>
      </c>
      <c r="W955" s="48">
        <f>IF(OR($M955="",$T955=""),"",$T955+(W$2*$M955))</f>
        <v/>
      </c>
      <c r="X955" s="49">
        <f>IF(OR($M955="",$T955=""),"",$T955+(X$2*$M955))</f>
        <v/>
      </c>
      <c r="Y955" s="47">
        <f>IF(OR($M955="",$T955=""),"",$T955+(Y$2*$M955))</f>
        <v/>
      </c>
      <c r="Z955" s="49">
        <f>IF(OR($M955="",$T955=""),"",$T955+(Z$2*$M955))</f>
        <v/>
      </c>
      <c r="AA955" s="51">
        <f>IF(OR($M955="",$T955=""),"",$T955+(AA$2*$M955))</f>
        <v/>
      </c>
      <c r="AB955" s="48">
        <f>IF(OR($M955="",$T955=""),"",$T955+(AB$2*$M955))</f>
        <v/>
      </c>
      <c r="AC955" s="48">
        <f>IF(OR($M955="",$T955=""),"",$T955+(AC$2*$M955))</f>
        <v/>
      </c>
      <c r="AD955" s="48">
        <f>IF(OR($M955="",$T955=""),"",$T955+(AD$2*$M955))</f>
        <v/>
      </c>
      <c r="AE955" s="49">
        <f>IF(OR($M955="",$T955=""),"",$T955+(AE$2*$M955))</f>
        <v/>
      </c>
      <c r="AF955" s="52">
        <f>IF(OR(T955="",I955&lt;T955),"",IFERROR(AVERAGE(T955+M955*{7,8,9,10,11})/IF(G955="",I955,G955)-1,""))</f>
        <v/>
      </c>
      <c r="AG955" s="55">
        <f>IF(OR(T955="",I955&lt;T955),"",IFERROR(AF955/-(R955/IF(G955="",I955,G955)-1),""))</f>
        <v/>
      </c>
      <c r="AH955" s="94" t="n"/>
      <c r="AI955" s="94" t="n"/>
      <c r="AJ955" s="94" t="n"/>
      <c r="AK955" s="94" t="n"/>
      <c r="AL955" s="84" t="n"/>
    </row>
    <row r="956">
      <c r="A956" s="64" t="n"/>
      <c r="B956" s="65" t="n"/>
      <c r="C956" s="66" t="n"/>
      <c r="D956" s="67" t="n"/>
      <c r="E956" s="68" t="n"/>
      <c r="F956" s="47">
        <f>IF(A956="","",IF(MIN(H956,MAX(J956:K956))=0,"",MIN(H956,MAX(J956:K956))))</f>
        <v/>
      </c>
      <c r="G956" s="74" t="n"/>
      <c r="H956" s="49">
        <f>IF(M956="","",IFERROR(ROUND(AVERAGE(T956+M956*{7,8,9,10,11})/1.21,4),""))</f>
        <v/>
      </c>
      <c r="I956" s="76" t="n"/>
      <c r="J956" s="77" t="n"/>
      <c r="K956" s="74" t="n"/>
      <c r="L956" s="78" t="n"/>
      <c r="M956" s="77" t="n"/>
      <c r="N956" s="53">
        <f>IF(M956="","",IFERROR(M956/I956,""))</f>
        <v/>
      </c>
      <c r="O956" s="50">
        <f>IF(A956="","",IFERROR((IF(G956="",I956,G956)-T956)/M956,""))</f>
        <v/>
      </c>
      <c r="P956" s="50">
        <f>IFERROR((I956/T956-1)/N956,"")</f>
        <v/>
      </c>
      <c r="Q956" s="46">
        <f>IF(OR(T956="",I956&lt;T956),"",IFERROR(R956/IF(G956="",I956,G956)-1,""))</f>
        <v/>
      </c>
      <c r="R956" s="48">
        <f>IF($M956="","",MAX(IF($G956="",$I956,$G956)*(1/1.1),IF($G956="",$I956,$G956)+(R$2*$M956)))</f>
        <v/>
      </c>
      <c r="S956" s="49">
        <f>IF($M956="","",MAX(IF($G956="",$I956,$G956)*(1/1.1),IF($G956="",$I956,$G956)+(S$2*$M956)))</f>
        <v/>
      </c>
      <c r="T956" s="82" t="n"/>
      <c r="U956" s="47">
        <f>IF(OR($M956="",$T956=""),"",$T956+(U$2*$M956))</f>
        <v/>
      </c>
      <c r="V956" s="48">
        <f>IF(OR($M956="",$T956=""),"",$T956+(V$2*$M956))</f>
        <v/>
      </c>
      <c r="W956" s="48">
        <f>IF(OR($M956="",$T956=""),"",$T956+(W$2*$M956))</f>
        <v/>
      </c>
      <c r="X956" s="49">
        <f>IF(OR($M956="",$T956=""),"",$T956+(X$2*$M956))</f>
        <v/>
      </c>
      <c r="Y956" s="47">
        <f>IF(OR($M956="",$T956=""),"",$T956+(Y$2*$M956))</f>
        <v/>
      </c>
      <c r="Z956" s="49">
        <f>IF(OR($M956="",$T956=""),"",$T956+(Z$2*$M956))</f>
        <v/>
      </c>
      <c r="AA956" s="51">
        <f>IF(OR($M956="",$T956=""),"",$T956+(AA$2*$M956))</f>
        <v/>
      </c>
      <c r="AB956" s="48">
        <f>IF(OR($M956="",$T956=""),"",$T956+(AB$2*$M956))</f>
        <v/>
      </c>
      <c r="AC956" s="48">
        <f>IF(OR($M956="",$T956=""),"",$T956+(AC$2*$M956))</f>
        <v/>
      </c>
      <c r="AD956" s="48">
        <f>IF(OR($M956="",$T956=""),"",$T956+(AD$2*$M956))</f>
        <v/>
      </c>
      <c r="AE956" s="49">
        <f>IF(OR($M956="",$T956=""),"",$T956+(AE$2*$M956))</f>
        <v/>
      </c>
      <c r="AF956" s="52">
        <f>IF(OR(T956="",I956&lt;T956),"",IFERROR(AVERAGE(T956+M956*{7,8,9,10,11})/IF(G956="",I956,G956)-1,""))</f>
        <v/>
      </c>
      <c r="AG956" s="55">
        <f>IF(OR(T956="",I956&lt;T956),"",IFERROR(AF956/-(R956/IF(G956="",I956,G956)-1),""))</f>
        <v/>
      </c>
      <c r="AH956" s="94" t="n"/>
      <c r="AI956" s="94" t="n"/>
      <c r="AJ956" s="94" t="n"/>
      <c r="AK956" s="94" t="n"/>
      <c r="AL956" s="84" t="n"/>
    </row>
    <row r="957">
      <c r="A957" s="64" t="n"/>
      <c r="B957" s="65" t="n"/>
      <c r="C957" s="66" t="n"/>
      <c r="D957" s="67" t="n"/>
      <c r="E957" s="68" t="n"/>
      <c r="F957" s="47">
        <f>IF(A957="","",IF(MIN(H957,MAX(J957:K957))=0,"",MIN(H957,MAX(J957:K957))))</f>
        <v/>
      </c>
      <c r="G957" s="74" t="n"/>
      <c r="H957" s="49">
        <f>IF(M957="","",IFERROR(ROUND(AVERAGE(T957+M957*{7,8,9,10,11})/1.21,4),""))</f>
        <v/>
      </c>
      <c r="I957" s="76" t="n"/>
      <c r="J957" s="77" t="n"/>
      <c r="K957" s="74" t="n"/>
      <c r="L957" s="78" t="n"/>
      <c r="M957" s="77" t="n"/>
      <c r="N957" s="53">
        <f>IF(M957="","",IFERROR(M957/I957,""))</f>
        <v/>
      </c>
      <c r="O957" s="50">
        <f>IF(A957="","",IFERROR((IF(G957="",I957,G957)-T957)/M957,""))</f>
        <v/>
      </c>
      <c r="P957" s="50">
        <f>IFERROR((I957/T957-1)/N957,"")</f>
        <v/>
      </c>
      <c r="Q957" s="46">
        <f>IF(OR(T957="",I957&lt;T957),"",IFERROR(R957/IF(G957="",I957,G957)-1,""))</f>
        <v/>
      </c>
      <c r="R957" s="48">
        <f>IF($M957="","",MAX(IF($G957="",$I957,$G957)*(1/1.1),IF($G957="",$I957,$G957)+(R$2*$M957)))</f>
        <v/>
      </c>
      <c r="S957" s="49">
        <f>IF($M957="","",MAX(IF($G957="",$I957,$G957)*(1/1.1),IF($G957="",$I957,$G957)+(S$2*$M957)))</f>
        <v/>
      </c>
      <c r="T957" s="82" t="n"/>
      <c r="U957" s="47">
        <f>IF(OR($M957="",$T957=""),"",$T957+(U$2*$M957))</f>
        <v/>
      </c>
      <c r="V957" s="48">
        <f>IF(OR($M957="",$T957=""),"",$T957+(V$2*$M957))</f>
        <v/>
      </c>
      <c r="W957" s="48">
        <f>IF(OR($M957="",$T957=""),"",$T957+(W$2*$M957))</f>
        <v/>
      </c>
      <c r="X957" s="49">
        <f>IF(OR($M957="",$T957=""),"",$T957+(X$2*$M957))</f>
        <v/>
      </c>
      <c r="Y957" s="47">
        <f>IF(OR($M957="",$T957=""),"",$T957+(Y$2*$M957))</f>
        <v/>
      </c>
      <c r="Z957" s="49">
        <f>IF(OR($M957="",$T957=""),"",$T957+(Z$2*$M957))</f>
        <v/>
      </c>
      <c r="AA957" s="51">
        <f>IF(OR($M957="",$T957=""),"",$T957+(AA$2*$M957))</f>
        <v/>
      </c>
      <c r="AB957" s="48">
        <f>IF(OR($M957="",$T957=""),"",$T957+(AB$2*$M957))</f>
        <v/>
      </c>
      <c r="AC957" s="48">
        <f>IF(OR($M957="",$T957=""),"",$T957+(AC$2*$M957))</f>
        <v/>
      </c>
      <c r="AD957" s="48">
        <f>IF(OR($M957="",$T957=""),"",$T957+(AD$2*$M957))</f>
        <v/>
      </c>
      <c r="AE957" s="49">
        <f>IF(OR($M957="",$T957=""),"",$T957+(AE$2*$M957))</f>
        <v/>
      </c>
      <c r="AF957" s="52">
        <f>IF(OR(T957="",I957&lt;T957),"",IFERROR(AVERAGE(T957+M957*{7,8,9,10,11})/IF(G957="",I957,G957)-1,""))</f>
        <v/>
      </c>
      <c r="AG957" s="55">
        <f>IF(OR(T957="",I957&lt;T957),"",IFERROR(AF957/-(R957/IF(G957="",I957,G957)-1),""))</f>
        <v/>
      </c>
      <c r="AH957" s="94" t="n"/>
      <c r="AI957" s="94" t="n"/>
      <c r="AJ957" s="94" t="n"/>
      <c r="AK957" s="94" t="n"/>
      <c r="AL957" s="84" t="n"/>
    </row>
    <row r="958">
      <c r="A958" s="64" t="n"/>
      <c r="B958" s="65" t="n"/>
      <c r="C958" s="66" t="n"/>
      <c r="D958" s="67" t="n"/>
      <c r="E958" s="68" t="n"/>
      <c r="F958" s="47">
        <f>IF(A958="","",IF(MIN(H958,MAX(J958:K958))=0,"",MIN(H958,MAX(J958:K958))))</f>
        <v/>
      </c>
      <c r="G958" s="74" t="n"/>
      <c r="H958" s="49">
        <f>IF(M958="","",IFERROR(ROUND(AVERAGE(T958+M958*{7,8,9,10,11})/1.21,4),""))</f>
        <v/>
      </c>
      <c r="I958" s="76" t="n"/>
      <c r="J958" s="77" t="n"/>
      <c r="K958" s="74" t="n"/>
      <c r="L958" s="78" t="n"/>
      <c r="M958" s="77" t="n"/>
      <c r="N958" s="53">
        <f>IF(M958="","",IFERROR(M958/I958,""))</f>
        <v/>
      </c>
      <c r="O958" s="50">
        <f>IF(A958="","",IFERROR((IF(G958="",I958,G958)-T958)/M958,""))</f>
        <v/>
      </c>
      <c r="P958" s="50">
        <f>IFERROR((I958/T958-1)/N958,"")</f>
        <v/>
      </c>
      <c r="Q958" s="46">
        <f>IF(OR(T958="",I958&lt;T958),"",IFERROR(R958/IF(G958="",I958,G958)-1,""))</f>
        <v/>
      </c>
      <c r="R958" s="48">
        <f>IF($M958="","",MAX(IF($G958="",$I958,$G958)*(1/1.1),IF($G958="",$I958,$G958)+(R$2*$M958)))</f>
        <v/>
      </c>
      <c r="S958" s="49">
        <f>IF($M958="","",MAX(IF($G958="",$I958,$G958)*(1/1.1),IF($G958="",$I958,$G958)+(S$2*$M958)))</f>
        <v/>
      </c>
      <c r="T958" s="82" t="n"/>
      <c r="U958" s="47">
        <f>IF(OR($M958="",$T958=""),"",$T958+(U$2*$M958))</f>
        <v/>
      </c>
      <c r="V958" s="48">
        <f>IF(OR($M958="",$T958=""),"",$T958+(V$2*$M958))</f>
        <v/>
      </c>
      <c r="W958" s="48">
        <f>IF(OR($M958="",$T958=""),"",$T958+(W$2*$M958))</f>
        <v/>
      </c>
      <c r="X958" s="49">
        <f>IF(OR($M958="",$T958=""),"",$T958+(X$2*$M958))</f>
        <v/>
      </c>
      <c r="Y958" s="47">
        <f>IF(OR($M958="",$T958=""),"",$T958+(Y$2*$M958))</f>
        <v/>
      </c>
      <c r="Z958" s="49">
        <f>IF(OR($M958="",$T958=""),"",$T958+(Z$2*$M958))</f>
        <v/>
      </c>
      <c r="AA958" s="51">
        <f>IF(OR($M958="",$T958=""),"",$T958+(AA$2*$M958))</f>
        <v/>
      </c>
      <c r="AB958" s="48">
        <f>IF(OR($M958="",$T958=""),"",$T958+(AB$2*$M958))</f>
        <v/>
      </c>
      <c r="AC958" s="48">
        <f>IF(OR($M958="",$T958=""),"",$T958+(AC$2*$M958))</f>
        <v/>
      </c>
      <c r="AD958" s="48">
        <f>IF(OR($M958="",$T958=""),"",$T958+(AD$2*$M958))</f>
        <v/>
      </c>
      <c r="AE958" s="49">
        <f>IF(OR($M958="",$T958=""),"",$T958+(AE$2*$M958))</f>
        <v/>
      </c>
      <c r="AF958" s="52">
        <f>IF(OR(T958="",I958&lt;T958),"",IFERROR(AVERAGE(T958+M958*{7,8,9,10,11})/IF(G958="",I958,G958)-1,""))</f>
        <v/>
      </c>
      <c r="AG958" s="55">
        <f>IF(OR(T958="",I958&lt;T958),"",IFERROR(AF958/-(R958/IF(G958="",I958,G958)-1),""))</f>
        <v/>
      </c>
      <c r="AH958" s="94" t="n"/>
      <c r="AI958" s="94" t="n"/>
      <c r="AJ958" s="94" t="n"/>
      <c r="AK958" s="94" t="n"/>
      <c r="AL958" s="84" t="n"/>
    </row>
    <row r="959">
      <c r="A959" s="64" t="n"/>
      <c r="B959" s="65" t="n"/>
      <c r="C959" s="66" t="n"/>
      <c r="D959" s="67" t="n"/>
      <c r="E959" s="68" t="n"/>
      <c r="F959" s="47">
        <f>IF(A959="","",IF(MIN(H959,MAX(J959:K959))=0,"",MIN(H959,MAX(J959:K959))))</f>
        <v/>
      </c>
      <c r="G959" s="74" t="n"/>
      <c r="H959" s="49">
        <f>IF(M959="","",IFERROR(ROUND(AVERAGE(T959+M959*{7,8,9,10,11})/1.21,4),""))</f>
        <v/>
      </c>
      <c r="I959" s="76" t="n"/>
      <c r="J959" s="77" t="n"/>
      <c r="K959" s="74" t="n"/>
      <c r="L959" s="78" t="n"/>
      <c r="M959" s="77" t="n"/>
      <c r="N959" s="53">
        <f>IF(M959="","",IFERROR(M959/I959,""))</f>
        <v/>
      </c>
      <c r="O959" s="50">
        <f>IF(A959="","",IFERROR((IF(G959="",I959,G959)-T959)/M959,""))</f>
        <v/>
      </c>
      <c r="P959" s="50">
        <f>IFERROR((I959/T959-1)/N959,"")</f>
        <v/>
      </c>
      <c r="Q959" s="46">
        <f>IF(OR(T959="",I959&lt;T959),"",IFERROR(R959/IF(G959="",I959,G959)-1,""))</f>
        <v/>
      </c>
      <c r="R959" s="48">
        <f>IF($M959="","",MAX(IF($G959="",$I959,$G959)*(1/1.1),IF($G959="",$I959,$G959)+(R$2*$M959)))</f>
        <v/>
      </c>
      <c r="S959" s="49">
        <f>IF($M959="","",MAX(IF($G959="",$I959,$G959)*(1/1.1),IF($G959="",$I959,$G959)+(S$2*$M959)))</f>
        <v/>
      </c>
      <c r="T959" s="82" t="n"/>
      <c r="U959" s="47">
        <f>IF(OR($M959="",$T959=""),"",$T959+(U$2*$M959))</f>
        <v/>
      </c>
      <c r="V959" s="48">
        <f>IF(OR($M959="",$T959=""),"",$T959+(V$2*$M959))</f>
        <v/>
      </c>
      <c r="W959" s="48">
        <f>IF(OR($M959="",$T959=""),"",$T959+(W$2*$M959))</f>
        <v/>
      </c>
      <c r="X959" s="49">
        <f>IF(OR($M959="",$T959=""),"",$T959+(X$2*$M959))</f>
        <v/>
      </c>
      <c r="Y959" s="47">
        <f>IF(OR($M959="",$T959=""),"",$T959+(Y$2*$M959))</f>
        <v/>
      </c>
      <c r="Z959" s="49">
        <f>IF(OR($M959="",$T959=""),"",$T959+(Z$2*$M959))</f>
        <v/>
      </c>
      <c r="AA959" s="51">
        <f>IF(OR($M959="",$T959=""),"",$T959+(AA$2*$M959))</f>
        <v/>
      </c>
      <c r="AB959" s="48">
        <f>IF(OR($M959="",$T959=""),"",$T959+(AB$2*$M959))</f>
        <v/>
      </c>
      <c r="AC959" s="48">
        <f>IF(OR($M959="",$T959=""),"",$T959+(AC$2*$M959))</f>
        <v/>
      </c>
      <c r="AD959" s="48">
        <f>IF(OR($M959="",$T959=""),"",$T959+(AD$2*$M959))</f>
        <v/>
      </c>
      <c r="AE959" s="49">
        <f>IF(OR($M959="",$T959=""),"",$T959+(AE$2*$M959))</f>
        <v/>
      </c>
      <c r="AF959" s="52">
        <f>IF(OR(T959="",I959&lt;T959),"",IFERROR(AVERAGE(T959+M959*{7,8,9,10,11})/IF(G959="",I959,G959)-1,""))</f>
        <v/>
      </c>
      <c r="AG959" s="55">
        <f>IF(OR(T959="",I959&lt;T959),"",IFERROR(AF959/-(R959/IF(G959="",I959,G959)-1),""))</f>
        <v/>
      </c>
      <c r="AH959" s="94" t="n"/>
      <c r="AI959" s="94" t="n"/>
      <c r="AJ959" s="94" t="n"/>
      <c r="AK959" s="94" t="n"/>
      <c r="AL959" s="84" t="n"/>
    </row>
    <row r="960">
      <c r="A960" s="64" t="n"/>
      <c r="B960" s="65" t="n"/>
      <c r="C960" s="66" t="n"/>
      <c r="D960" s="67" t="n"/>
      <c r="E960" s="68" t="n"/>
      <c r="F960" s="47">
        <f>IF(A960="","",IF(MIN(H960,MAX(J960:K960))=0,"",MIN(H960,MAX(J960:K960))))</f>
        <v/>
      </c>
      <c r="G960" s="74" t="n"/>
      <c r="H960" s="49">
        <f>IF(M960="","",IFERROR(ROUND(AVERAGE(T960+M960*{7,8,9,10,11})/1.21,4),""))</f>
        <v/>
      </c>
      <c r="I960" s="76" t="n"/>
      <c r="J960" s="77" t="n"/>
      <c r="K960" s="74" t="n"/>
      <c r="L960" s="78" t="n"/>
      <c r="M960" s="77" t="n"/>
      <c r="N960" s="53">
        <f>IF(M960="","",IFERROR(M960/I960,""))</f>
        <v/>
      </c>
      <c r="O960" s="50">
        <f>IF(A960="","",IFERROR((IF(G960="",I960,G960)-T960)/M960,""))</f>
        <v/>
      </c>
      <c r="P960" s="50">
        <f>IFERROR((I960/T960-1)/N960,"")</f>
        <v/>
      </c>
      <c r="Q960" s="46">
        <f>IF(OR(T960="",I960&lt;T960),"",IFERROR(R960/IF(G960="",I960,G960)-1,""))</f>
        <v/>
      </c>
      <c r="R960" s="48">
        <f>IF($M960="","",MAX(IF($G960="",$I960,$G960)*(1/1.1),IF($G960="",$I960,$G960)+(R$2*$M960)))</f>
        <v/>
      </c>
      <c r="S960" s="49">
        <f>IF($M960="","",MAX(IF($G960="",$I960,$G960)*(1/1.1),IF($G960="",$I960,$G960)+(S$2*$M960)))</f>
        <v/>
      </c>
      <c r="T960" s="82" t="n"/>
      <c r="U960" s="47">
        <f>IF(OR($M960="",$T960=""),"",$T960+(U$2*$M960))</f>
        <v/>
      </c>
      <c r="V960" s="48">
        <f>IF(OR($M960="",$T960=""),"",$T960+(V$2*$M960))</f>
        <v/>
      </c>
      <c r="W960" s="48">
        <f>IF(OR($M960="",$T960=""),"",$T960+(W$2*$M960))</f>
        <v/>
      </c>
      <c r="X960" s="49">
        <f>IF(OR($M960="",$T960=""),"",$T960+(X$2*$M960))</f>
        <v/>
      </c>
      <c r="Y960" s="47">
        <f>IF(OR($M960="",$T960=""),"",$T960+(Y$2*$M960))</f>
        <v/>
      </c>
      <c r="Z960" s="49">
        <f>IF(OR($M960="",$T960=""),"",$T960+(Z$2*$M960))</f>
        <v/>
      </c>
      <c r="AA960" s="51">
        <f>IF(OR($M960="",$T960=""),"",$T960+(AA$2*$M960))</f>
        <v/>
      </c>
      <c r="AB960" s="48">
        <f>IF(OR($M960="",$T960=""),"",$T960+(AB$2*$M960))</f>
        <v/>
      </c>
      <c r="AC960" s="48">
        <f>IF(OR($M960="",$T960=""),"",$T960+(AC$2*$M960))</f>
        <v/>
      </c>
      <c r="AD960" s="48">
        <f>IF(OR($M960="",$T960=""),"",$T960+(AD$2*$M960))</f>
        <v/>
      </c>
      <c r="AE960" s="49">
        <f>IF(OR($M960="",$T960=""),"",$T960+(AE$2*$M960))</f>
        <v/>
      </c>
      <c r="AF960" s="52">
        <f>IF(OR(T960="",I960&lt;T960),"",IFERROR(AVERAGE(T960+M960*{7,8,9,10,11})/IF(G960="",I960,G960)-1,""))</f>
        <v/>
      </c>
      <c r="AG960" s="55">
        <f>IF(OR(T960="",I960&lt;T960),"",IFERROR(AF960/-(R960/IF(G960="",I960,G960)-1),""))</f>
        <v/>
      </c>
      <c r="AH960" s="94" t="n"/>
      <c r="AI960" s="94" t="n"/>
      <c r="AJ960" s="94" t="n"/>
      <c r="AK960" s="94" t="n"/>
      <c r="AL960" s="84" t="n"/>
    </row>
    <row r="961">
      <c r="A961" s="64" t="n"/>
      <c r="B961" s="65" t="n"/>
      <c r="C961" s="66" t="n"/>
      <c r="D961" s="67" t="n"/>
      <c r="E961" s="68" t="n"/>
      <c r="F961" s="47">
        <f>IF(A961="","",IF(MIN(H961,MAX(J961:K961))=0,"",MIN(H961,MAX(J961:K961))))</f>
        <v/>
      </c>
      <c r="G961" s="74" t="n"/>
      <c r="H961" s="49">
        <f>IF(M961="","",IFERROR(ROUND(AVERAGE(T961+M961*{7,8,9,10,11})/1.21,4),""))</f>
        <v/>
      </c>
      <c r="I961" s="76" t="n"/>
      <c r="J961" s="77" t="n"/>
      <c r="K961" s="74" t="n"/>
      <c r="L961" s="78" t="n"/>
      <c r="M961" s="77" t="n"/>
      <c r="N961" s="53">
        <f>IF(M961="","",IFERROR(M961/I961,""))</f>
        <v/>
      </c>
      <c r="O961" s="50">
        <f>IF(A961="","",IFERROR((IF(G961="",I961,G961)-T961)/M961,""))</f>
        <v/>
      </c>
      <c r="P961" s="50">
        <f>IFERROR((I961/T961-1)/N961,"")</f>
        <v/>
      </c>
      <c r="Q961" s="46">
        <f>IF(OR(T961="",I961&lt;T961),"",IFERROR(R961/IF(G961="",I961,G961)-1,""))</f>
        <v/>
      </c>
      <c r="R961" s="48">
        <f>IF($M961="","",MAX(IF($G961="",$I961,$G961)*(1/1.1),IF($G961="",$I961,$G961)+(R$2*$M961)))</f>
        <v/>
      </c>
      <c r="S961" s="49">
        <f>IF($M961="","",MAX(IF($G961="",$I961,$G961)*(1/1.1),IF($G961="",$I961,$G961)+(S$2*$M961)))</f>
        <v/>
      </c>
      <c r="T961" s="82" t="n"/>
      <c r="U961" s="47">
        <f>IF(OR($M961="",$T961=""),"",$T961+(U$2*$M961))</f>
        <v/>
      </c>
      <c r="V961" s="48">
        <f>IF(OR($M961="",$T961=""),"",$T961+(V$2*$M961))</f>
        <v/>
      </c>
      <c r="W961" s="48">
        <f>IF(OR($M961="",$T961=""),"",$T961+(W$2*$M961))</f>
        <v/>
      </c>
      <c r="X961" s="49">
        <f>IF(OR($M961="",$T961=""),"",$T961+(X$2*$M961))</f>
        <v/>
      </c>
      <c r="Y961" s="47">
        <f>IF(OR($M961="",$T961=""),"",$T961+(Y$2*$M961))</f>
        <v/>
      </c>
      <c r="Z961" s="49">
        <f>IF(OR($M961="",$T961=""),"",$T961+(Z$2*$M961))</f>
        <v/>
      </c>
      <c r="AA961" s="51">
        <f>IF(OR($M961="",$T961=""),"",$T961+(AA$2*$M961))</f>
        <v/>
      </c>
      <c r="AB961" s="48">
        <f>IF(OR($M961="",$T961=""),"",$T961+(AB$2*$M961))</f>
        <v/>
      </c>
      <c r="AC961" s="48">
        <f>IF(OR($M961="",$T961=""),"",$T961+(AC$2*$M961))</f>
        <v/>
      </c>
      <c r="AD961" s="48">
        <f>IF(OR($M961="",$T961=""),"",$T961+(AD$2*$M961))</f>
        <v/>
      </c>
      <c r="AE961" s="49">
        <f>IF(OR($M961="",$T961=""),"",$T961+(AE$2*$M961))</f>
        <v/>
      </c>
      <c r="AF961" s="52">
        <f>IF(OR(T961="",I961&lt;T961),"",IFERROR(AVERAGE(T961+M961*{7,8,9,10,11})/IF(G961="",I961,G961)-1,""))</f>
        <v/>
      </c>
      <c r="AG961" s="55">
        <f>IF(OR(T961="",I961&lt;T961),"",IFERROR(AF961/-(R961/IF(G961="",I961,G961)-1),""))</f>
        <v/>
      </c>
      <c r="AH961" s="94" t="n"/>
      <c r="AI961" s="94" t="n"/>
      <c r="AJ961" s="94" t="n"/>
      <c r="AK961" s="94" t="n"/>
      <c r="AL961" s="84" t="n"/>
    </row>
    <row r="962">
      <c r="A962" s="64" t="n"/>
      <c r="B962" s="65" t="n"/>
      <c r="C962" s="66" t="n"/>
      <c r="D962" s="67" t="n"/>
      <c r="E962" s="68" t="n"/>
      <c r="F962" s="47">
        <f>IF(A962="","",IF(MIN(H962,MAX(J962:K962))=0,"",MIN(H962,MAX(J962:K962))))</f>
        <v/>
      </c>
      <c r="G962" s="74" t="n"/>
      <c r="H962" s="49">
        <f>IF(M962="","",IFERROR(ROUND(AVERAGE(T962+M962*{7,8,9,10,11})/1.21,4),""))</f>
        <v/>
      </c>
      <c r="I962" s="76" t="n"/>
      <c r="J962" s="77" t="n"/>
      <c r="K962" s="74" t="n"/>
      <c r="L962" s="78" t="n"/>
      <c r="M962" s="77" t="n"/>
      <c r="N962" s="53">
        <f>IF(M962="","",IFERROR(M962/I962,""))</f>
        <v/>
      </c>
      <c r="O962" s="50">
        <f>IF(A962="","",IFERROR((IF(G962="",I962,G962)-T962)/M962,""))</f>
        <v/>
      </c>
      <c r="P962" s="50">
        <f>IFERROR((I962/T962-1)/N962,"")</f>
        <v/>
      </c>
      <c r="Q962" s="46">
        <f>IF(OR(T962="",I962&lt;T962),"",IFERROR(R962/IF(G962="",I962,G962)-1,""))</f>
        <v/>
      </c>
      <c r="R962" s="48">
        <f>IF($M962="","",MAX(IF($G962="",$I962,$G962)*(1/1.1),IF($G962="",$I962,$G962)+(R$2*$M962)))</f>
        <v/>
      </c>
      <c r="S962" s="49">
        <f>IF($M962="","",MAX(IF($G962="",$I962,$G962)*(1/1.1),IF($G962="",$I962,$G962)+(S$2*$M962)))</f>
        <v/>
      </c>
      <c r="T962" s="82" t="n"/>
      <c r="U962" s="47">
        <f>IF(OR($M962="",$T962=""),"",$T962+(U$2*$M962))</f>
        <v/>
      </c>
      <c r="V962" s="48">
        <f>IF(OR($M962="",$T962=""),"",$T962+(V$2*$M962))</f>
        <v/>
      </c>
      <c r="W962" s="48">
        <f>IF(OR($M962="",$T962=""),"",$T962+(W$2*$M962))</f>
        <v/>
      </c>
      <c r="X962" s="49">
        <f>IF(OR($M962="",$T962=""),"",$T962+(X$2*$M962))</f>
        <v/>
      </c>
      <c r="Y962" s="47">
        <f>IF(OR($M962="",$T962=""),"",$T962+(Y$2*$M962))</f>
        <v/>
      </c>
      <c r="Z962" s="49">
        <f>IF(OR($M962="",$T962=""),"",$T962+(Z$2*$M962))</f>
        <v/>
      </c>
      <c r="AA962" s="51">
        <f>IF(OR($M962="",$T962=""),"",$T962+(AA$2*$M962))</f>
        <v/>
      </c>
      <c r="AB962" s="48">
        <f>IF(OR($M962="",$T962=""),"",$T962+(AB$2*$M962))</f>
        <v/>
      </c>
      <c r="AC962" s="48">
        <f>IF(OR($M962="",$T962=""),"",$T962+(AC$2*$M962))</f>
        <v/>
      </c>
      <c r="AD962" s="48">
        <f>IF(OR($M962="",$T962=""),"",$T962+(AD$2*$M962))</f>
        <v/>
      </c>
      <c r="AE962" s="49">
        <f>IF(OR($M962="",$T962=""),"",$T962+(AE$2*$M962))</f>
        <v/>
      </c>
      <c r="AF962" s="52">
        <f>IF(OR(T962="",I962&lt;T962),"",IFERROR(AVERAGE(T962+M962*{7,8,9,10,11})/IF(G962="",I962,G962)-1,""))</f>
        <v/>
      </c>
      <c r="AG962" s="55">
        <f>IF(OR(T962="",I962&lt;T962),"",IFERROR(AF962/-(R962/IF(G962="",I962,G962)-1),""))</f>
        <v/>
      </c>
      <c r="AH962" s="94" t="n"/>
      <c r="AI962" s="94" t="n"/>
      <c r="AJ962" s="94" t="n"/>
      <c r="AK962" s="94" t="n"/>
      <c r="AL962" s="84" t="n"/>
    </row>
    <row r="963">
      <c r="A963" s="64" t="n"/>
      <c r="B963" s="65" t="n"/>
      <c r="C963" s="66" t="n"/>
      <c r="D963" s="67" t="n"/>
      <c r="E963" s="68" t="n"/>
      <c r="F963" s="47">
        <f>IF(A963="","",IF(MIN(H963,MAX(J963:K963))=0,"",MIN(H963,MAX(J963:K963))))</f>
        <v/>
      </c>
      <c r="G963" s="74" t="n"/>
      <c r="H963" s="49">
        <f>IF(M963="","",IFERROR(ROUND(AVERAGE(T963+M963*{7,8,9,10,11})/1.21,4),""))</f>
        <v/>
      </c>
      <c r="I963" s="76" t="n"/>
      <c r="J963" s="77" t="n"/>
      <c r="K963" s="74" t="n"/>
      <c r="L963" s="78" t="n"/>
      <c r="M963" s="77" t="n"/>
      <c r="N963" s="53">
        <f>IF(M963="","",IFERROR(M963/I963,""))</f>
        <v/>
      </c>
      <c r="O963" s="50">
        <f>IF(A963="","",IFERROR((IF(G963="",I963,G963)-T963)/M963,""))</f>
        <v/>
      </c>
      <c r="P963" s="50">
        <f>IFERROR((I963/T963-1)/N963,"")</f>
        <v/>
      </c>
      <c r="Q963" s="46">
        <f>IF(OR(T963="",I963&lt;T963),"",IFERROR(R963/IF(G963="",I963,G963)-1,""))</f>
        <v/>
      </c>
      <c r="R963" s="48">
        <f>IF($M963="","",MAX(IF($G963="",$I963,$G963)*(1/1.1),IF($G963="",$I963,$G963)+(R$2*$M963)))</f>
        <v/>
      </c>
      <c r="S963" s="49">
        <f>IF($M963="","",MAX(IF($G963="",$I963,$G963)*(1/1.1),IF($G963="",$I963,$G963)+(S$2*$M963)))</f>
        <v/>
      </c>
      <c r="T963" s="82" t="n"/>
      <c r="U963" s="47">
        <f>IF(OR($M963="",$T963=""),"",$T963+(U$2*$M963))</f>
        <v/>
      </c>
      <c r="V963" s="48">
        <f>IF(OR($M963="",$T963=""),"",$T963+(V$2*$M963))</f>
        <v/>
      </c>
      <c r="W963" s="48">
        <f>IF(OR($M963="",$T963=""),"",$T963+(W$2*$M963))</f>
        <v/>
      </c>
      <c r="X963" s="49">
        <f>IF(OR($M963="",$T963=""),"",$T963+(X$2*$M963))</f>
        <v/>
      </c>
      <c r="Y963" s="47">
        <f>IF(OR($M963="",$T963=""),"",$T963+(Y$2*$M963))</f>
        <v/>
      </c>
      <c r="Z963" s="49">
        <f>IF(OR($M963="",$T963=""),"",$T963+(Z$2*$M963))</f>
        <v/>
      </c>
      <c r="AA963" s="51">
        <f>IF(OR($M963="",$T963=""),"",$T963+(AA$2*$M963))</f>
        <v/>
      </c>
      <c r="AB963" s="48">
        <f>IF(OR($M963="",$T963=""),"",$T963+(AB$2*$M963))</f>
        <v/>
      </c>
      <c r="AC963" s="48">
        <f>IF(OR($M963="",$T963=""),"",$T963+(AC$2*$M963))</f>
        <v/>
      </c>
      <c r="AD963" s="48">
        <f>IF(OR($M963="",$T963=""),"",$T963+(AD$2*$M963))</f>
        <v/>
      </c>
      <c r="AE963" s="49">
        <f>IF(OR($M963="",$T963=""),"",$T963+(AE$2*$M963))</f>
        <v/>
      </c>
      <c r="AF963" s="52">
        <f>IF(OR(T963="",I963&lt;T963),"",IFERROR(AVERAGE(T963+M963*{7,8,9,10,11})/IF(G963="",I963,G963)-1,""))</f>
        <v/>
      </c>
      <c r="AG963" s="55">
        <f>IF(OR(T963="",I963&lt;T963),"",IFERROR(AF963/-(R963/IF(G963="",I963,G963)-1),""))</f>
        <v/>
      </c>
      <c r="AH963" s="94" t="n"/>
      <c r="AI963" s="94" t="n"/>
      <c r="AJ963" s="94" t="n"/>
      <c r="AK963" s="94" t="n"/>
      <c r="AL963" s="84" t="n"/>
    </row>
    <row r="964">
      <c r="A964" s="64" t="n"/>
      <c r="B964" s="65" t="n"/>
      <c r="C964" s="66" t="n"/>
      <c r="D964" s="67" t="n"/>
      <c r="E964" s="68" t="n"/>
      <c r="F964" s="47">
        <f>IF(A964="","",IF(MIN(H964,MAX(J964:K964))=0,"",MIN(H964,MAX(J964:K964))))</f>
        <v/>
      </c>
      <c r="G964" s="74" t="n"/>
      <c r="H964" s="49">
        <f>IF(M964="","",IFERROR(ROUND(AVERAGE(T964+M964*{7,8,9,10,11})/1.21,4),""))</f>
        <v/>
      </c>
      <c r="I964" s="76" t="n"/>
      <c r="J964" s="77" t="n"/>
      <c r="K964" s="74" t="n"/>
      <c r="L964" s="78" t="n"/>
      <c r="M964" s="77" t="n"/>
      <c r="N964" s="53">
        <f>IF(M964="","",IFERROR(M964/I964,""))</f>
        <v/>
      </c>
      <c r="O964" s="50">
        <f>IF(A964="","",IFERROR((IF(G964="",I964,G964)-T964)/M964,""))</f>
        <v/>
      </c>
      <c r="P964" s="50">
        <f>IFERROR((I964/T964-1)/N964,"")</f>
        <v/>
      </c>
      <c r="Q964" s="46">
        <f>IF(OR(T964="",I964&lt;T964),"",IFERROR(R964/IF(G964="",I964,G964)-1,""))</f>
        <v/>
      </c>
      <c r="R964" s="48">
        <f>IF($M964="","",MAX(IF($G964="",$I964,$G964)*(1/1.1),IF($G964="",$I964,$G964)+(R$2*$M964)))</f>
        <v/>
      </c>
      <c r="S964" s="49">
        <f>IF($M964="","",MAX(IF($G964="",$I964,$G964)*(1/1.1),IF($G964="",$I964,$G964)+(S$2*$M964)))</f>
        <v/>
      </c>
      <c r="T964" s="82" t="n"/>
      <c r="U964" s="47">
        <f>IF(OR($M964="",$T964=""),"",$T964+(U$2*$M964))</f>
        <v/>
      </c>
      <c r="V964" s="48">
        <f>IF(OR($M964="",$T964=""),"",$T964+(V$2*$M964))</f>
        <v/>
      </c>
      <c r="W964" s="48">
        <f>IF(OR($M964="",$T964=""),"",$T964+(W$2*$M964))</f>
        <v/>
      </c>
      <c r="X964" s="49">
        <f>IF(OR($M964="",$T964=""),"",$T964+(X$2*$M964))</f>
        <v/>
      </c>
      <c r="Y964" s="47">
        <f>IF(OR($M964="",$T964=""),"",$T964+(Y$2*$M964))</f>
        <v/>
      </c>
      <c r="Z964" s="49">
        <f>IF(OR($M964="",$T964=""),"",$T964+(Z$2*$M964))</f>
        <v/>
      </c>
      <c r="AA964" s="51">
        <f>IF(OR($M964="",$T964=""),"",$T964+(AA$2*$M964))</f>
        <v/>
      </c>
      <c r="AB964" s="48">
        <f>IF(OR($M964="",$T964=""),"",$T964+(AB$2*$M964))</f>
        <v/>
      </c>
      <c r="AC964" s="48">
        <f>IF(OR($M964="",$T964=""),"",$T964+(AC$2*$M964))</f>
        <v/>
      </c>
      <c r="AD964" s="48">
        <f>IF(OR($M964="",$T964=""),"",$T964+(AD$2*$M964))</f>
        <v/>
      </c>
      <c r="AE964" s="49">
        <f>IF(OR($M964="",$T964=""),"",$T964+(AE$2*$M964))</f>
        <v/>
      </c>
      <c r="AF964" s="52">
        <f>IF(OR(T964="",I964&lt;T964),"",IFERROR(AVERAGE(T964+M964*{7,8,9,10,11})/IF(G964="",I964,G964)-1,""))</f>
        <v/>
      </c>
      <c r="AG964" s="55">
        <f>IF(OR(T964="",I964&lt;T964),"",IFERROR(AF964/-(R964/IF(G964="",I964,G964)-1),""))</f>
        <v/>
      </c>
      <c r="AH964" s="94" t="n"/>
      <c r="AI964" s="94" t="n"/>
      <c r="AJ964" s="94" t="n"/>
      <c r="AK964" s="94" t="n"/>
      <c r="AL964" s="84" t="n"/>
    </row>
    <row r="965">
      <c r="A965" s="64" t="n"/>
      <c r="B965" s="65" t="n"/>
      <c r="C965" s="66" t="n"/>
      <c r="D965" s="67" t="n"/>
      <c r="E965" s="68" t="n"/>
      <c r="F965" s="47">
        <f>IF(A965="","",IF(MIN(H965,MAX(J965:K965))=0,"",MIN(H965,MAX(J965:K965))))</f>
        <v/>
      </c>
      <c r="G965" s="74" t="n"/>
      <c r="H965" s="49">
        <f>IF(M965="","",IFERROR(ROUND(AVERAGE(T965+M965*{7,8,9,10,11})/1.21,4),""))</f>
        <v/>
      </c>
      <c r="I965" s="76" t="n"/>
      <c r="J965" s="77" t="n"/>
      <c r="K965" s="74" t="n"/>
      <c r="L965" s="78" t="n"/>
      <c r="M965" s="77" t="n"/>
      <c r="N965" s="53">
        <f>IF(M965="","",IFERROR(M965/I965,""))</f>
        <v/>
      </c>
      <c r="O965" s="50">
        <f>IF(A965="","",IFERROR((IF(G965="",I965,G965)-T965)/M965,""))</f>
        <v/>
      </c>
      <c r="P965" s="50">
        <f>IFERROR((I965/T965-1)/N965,"")</f>
        <v/>
      </c>
      <c r="Q965" s="46">
        <f>IF(OR(T965="",I965&lt;T965),"",IFERROR(R965/IF(G965="",I965,G965)-1,""))</f>
        <v/>
      </c>
      <c r="R965" s="48">
        <f>IF($M965="","",MAX(IF($G965="",$I965,$G965)*(1/1.1),IF($G965="",$I965,$G965)+(R$2*$M965)))</f>
        <v/>
      </c>
      <c r="S965" s="49">
        <f>IF($M965="","",MAX(IF($G965="",$I965,$G965)*(1/1.1),IF($G965="",$I965,$G965)+(S$2*$M965)))</f>
        <v/>
      </c>
      <c r="T965" s="82" t="n"/>
      <c r="U965" s="47">
        <f>IF(OR($M965="",$T965=""),"",$T965+(U$2*$M965))</f>
        <v/>
      </c>
      <c r="V965" s="48">
        <f>IF(OR($M965="",$T965=""),"",$T965+(V$2*$M965))</f>
        <v/>
      </c>
      <c r="W965" s="48">
        <f>IF(OR($M965="",$T965=""),"",$T965+(W$2*$M965))</f>
        <v/>
      </c>
      <c r="X965" s="49">
        <f>IF(OR($M965="",$T965=""),"",$T965+(X$2*$M965))</f>
        <v/>
      </c>
      <c r="Y965" s="47">
        <f>IF(OR($M965="",$T965=""),"",$T965+(Y$2*$M965))</f>
        <v/>
      </c>
      <c r="Z965" s="49">
        <f>IF(OR($M965="",$T965=""),"",$T965+(Z$2*$M965))</f>
        <v/>
      </c>
      <c r="AA965" s="51">
        <f>IF(OR($M965="",$T965=""),"",$T965+(AA$2*$M965))</f>
        <v/>
      </c>
      <c r="AB965" s="48">
        <f>IF(OR($M965="",$T965=""),"",$T965+(AB$2*$M965))</f>
        <v/>
      </c>
      <c r="AC965" s="48">
        <f>IF(OR($M965="",$T965=""),"",$T965+(AC$2*$M965))</f>
        <v/>
      </c>
      <c r="AD965" s="48">
        <f>IF(OR($M965="",$T965=""),"",$T965+(AD$2*$M965))</f>
        <v/>
      </c>
      <c r="AE965" s="49">
        <f>IF(OR($M965="",$T965=""),"",$T965+(AE$2*$M965))</f>
        <v/>
      </c>
      <c r="AF965" s="52">
        <f>IF(OR(T965="",I965&lt;T965),"",IFERROR(AVERAGE(T965+M965*{7,8,9,10,11})/IF(G965="",I965,G965)-1,""))</f>
        <v/>
      </c>
      <c r="AG965" s="55">
        <f>IF(OR(T965="",I965&lt;T965),"",IFERROR(AF965/-(R965/IF(G965="",I965,G965)-1),""))</f>
        <v/>
      </c>
      <c r="AH965" s="94" t="n"/>
      <c r="AI965" s="94" t="n"/>
      <c r="AJ965" s="94" t="n"/>
      <c r="AK965" s="94" t="n"/>
      <c r="AL965" s="84" t="n"/>
    </row>
    <row r="966">
      <c r="A966" s="64" t="n"/>
      <c r="B966" s="65" t="n"/>
      <c r="C966" s="66" t="n"/>
      <c r="D966" s="67" t="n"/>
      <c r="E966" s="68" t="n"/>
      <c r="F966" s="47">
        <f>IF(A966="","",IF(MIN(H966,MAX(J966:K966))=0,"",MIN(H966,MAX(J966:K966))))</f>
        <v/>
      </c>
      <c r="G966" s="74" t="n"/>
      <c r="H966" s="49">
        <f>IF(M966="","",IFERROR(ROUND(AVERAGE(T966+M966*{7,8,9,10,11})/1.21,4),""))</f>
        <v/>
      </c>
      <c r="I966" s="76" t="n"/>
      <c r="J966" s="77" t="n"/>
      <c r="K966" s="74" t="n"/>
      <c r="L966" s="78" t="n"/>
      <c r="M966" s="77" t="n"/>
      <c r="N966" s="53">
        <f>IF(M966="","",IFERROR(M966/I966,""))</f>
        <v/>
      </c>
      <c r="O966" s="50">
        <f>IF(A966="","",IFERROR((IF(G966="",I966,G966)-T966)/M966,""))</f>
        <v/>
      </c>
      <c r="P966" s="50">
        <f>IFERROR((I966/T966-1)/N966,"")</f>
        <v/>
      </c>
      <c r="Q966" s="46">
        <f>IF(OR(T966="",I966&lt;T966),"",IFERROR(R966/IF(G966="",I966,G966)-1,""))</f>
        <v/>
      </c>
      <c r="R966" s="48">
        <f>IF($M966="","",MAX(IF($G966="",$I966,$G966)*(1/1.1),IF($G966="",$I966,$G966)+(R$2*$M966)))</f>
        <v/>
      </c>
      <c r="S966" s="49">
        <f>IF($M966="","",MAX(IF($G966="",$I966,$G966)*(1/1.1),IF($G966="",$I966,$G966)+(S$2*$M966)))</f>
        <v/>
      </c>
      <c r="T966" s="82" t="n"/>
      <c r="U966" s="47">
        <f>IF(OR($M966="",$T966=""),"",$T966+(U$2*$M966))</f>
        <v/>
      </c>
      <c r="V966" s="48">
        <f>IF(OR($M966="",$T966=""),"",$T966+(V$2*$M966))</f>
        <v/>
      </c>
      <c r="W966" s="48">
        <f>IF(OR($M966="",$T966=""),"",$T966+(W$2*$M966))</f>
        <v/>
      </c>
      <c r="X966" s="49">
        <f>IF(OR($M966="",$T966=""),"",$T966+(X$2*$M966))</f>
        <v/>
      </c>
      <c r="Y966" s="47">
        <f>IF(OR($M966="",$T966=""),"",$T966+(Y$2*$M966))</f>
        <v/>
      </c>
      <c r="Z966" s="49">
        <f>IF(OR($M966="",$T966=""),"",$T966+(Z$2*$M966))</f>
        <v/>
      </c>
      <c r="AA966" s="51">
        <f>IF(OR($M966="",$T966=""),"",$T966+(AA$2*$M966))</f>
        <v/>
      </c>
      <c r="AB966" s="48">
        <f>IF(OR($M966="",$T966=""),"",$T966+(AB$2*$M966))</f>
        <v/>
      </c>
      <c r="AC966" s="48">
        <f>IF(OR($M966="",$T966=""),"",$T966+(AC$2*$M966))</f>
        <v/>
      </c>
      <c r="AD966" s="48">
        <f>IF(OR($M966="",$T966=""),"",$T966+(AD$2*$M966))</f>
        <v/>
      </c>
      <c r="AE966" s="49">
        <f>IF(OR($M966="",$T966=""),"",$T966+(AE$2*$M966))</f>
        <v/>
      </c>
      <c r="AF966" s="52">
        <f>IF(OR(T966="",I966&lt;T966),"",IFERROR(AVERAGE(T966+M966*{7,8,9,10,11})/IF(G966="",I966,G966)-1,""))</f>
        <v/>
      </c>
      <c r="AG966" s="55">
        <f>IF(OR(T966="",I966&lt;T966),"",IFERROR(AF966/-(R966/IF(G966="",I966,G966)-1),""))</f>
        <v/>
      </c>
      <c r="AH966" s="94" t="n"/>
      <c r="AI966" s="94" t="n"/>
      <c r="AJ966" s="94" t="n"/>
      <c r="AK966" s="94" t="n"/>
      <c r="AL966" s="84" t="n"/>
    </row>
    <row r="967">
      <c r="A967" s="64" t="n"/>
      <c r="B967" s="65" t="n"/>
      <c r="C967" s="66" t="n"/>
      <c r="D967" s="67" t="n"/>
      <c r="E967" s="68" t="n"/>
      <c r="F967" s="47">
        <f>IF(A967="","",IF(MIN(H967,MAX(J967:K967))=0,"",MIN(H967,MAX(J967:K967))))</f>
        <v/>
      </c>
      <c r="G967" s="74" t="n"/>
      <c r="H967" s="49">
        <f>IF(M967="","",IFERROR(ROUND(AVERAGE(T967+M967*{7,8,9,10,11})/1.21,4),""))</f>
        <v/>
      </c>
      <c r="I967" s="76" t="n"/>
      <c r="J967" s="77" t="n"/>
      <c r="K967" s="74" t="n"/>
      <c r="L967" s="78" t="n"/>
      <c r="M967" s="77" t="n"/>
      <c r="N967" s="53">
        <f>IF(M967="","",IFERROR(M967/I967,""))</f>
        <v/>
      </c>
      <c r="O967" s="50">
        <f>IF(A967="","",IFERROR((IF(G967="",I967,G967)-T967)/M967,""))</f>
        <v/>
      </c>
      <c r="P967" s="50">
        <f>IFERROR((I967/T967-1)/N967,"")</f>
        <v/>
      </c>
      <c r="Q967" s="46">
        <f>IF(OR(T967="",I967&lt;T967),"",IFERROR(R967/IF(G967="",I967,G967)-1,""))</f>
        <v/>
      </c>
      <c r="R967" s="48">
        <f>IF($M967="","",MAX(IF($G967="",$I967,$G967)*(1/1.1),IF($G967="",$I967,$G967)+(R$2*$M967)))</f>
        <v/>
      </c>
      <c r="S967" s="49">
        <f>IF($M967="","",MAX(IF($G967="",$I967,$G967)*(1/1.1),IF($G967="",$I967,$G967)+(S$2*$M967)))</f>
        <v/>
      </c>
      <c r="T967" s="82" t="n"/>
      <c r="U967" s="47">
        <f>IF(OR($M967="",$T967=""),"",$T967+(U$2*$M967))</f>
        <v/>
      </c>
      <c r="V967" s="48">
        <f>IF(OR($M967="",$T967=""),"",$T967+(V$2*$M967))</f>
        <v/>
      </c>
      <c r="W967" s="48">
        <f>IF(OR($M967="",$T967=""),"",$T967+(W$2*$M967))</f>
        <v/>
      </c>
      <c r="X967" s="49">
        <f>IF(OR($M967="",$T967=""),"",$T967+(X$2*$M967))</f>
        <v/>
      </c>
      <c r="Y967" s="47">
        <f>IF(OR($M967="",$T967=""),"",$T967+(Y$2*$M967))</f>
        <v/>
      </c>
      <c r="Z967" s="49">
        <f>IF(OR($M967="",$T967=""),"",$T967+(Z$2*$M967))</f>
        <v/>
      </c>
      <c r="AA967" s="51">
        <f>IF(OR($M967="",$T967=""),"",$T967+(AA$2*$M967))</f>
        <v/>
      </c>
      <c r="AB967" s="48">
        <f>IF(OR($M967="",$T967=""),"",$T967+(AB$2*$M967))</f>
        <v/>
      </c>
      <c r="AC967" s="48">
        <f>IF(OR($M967="",$T967=""),"",$T967+(AC$2*$M967))</f>
        <v/>
      </c>
      <c r="AD967" s="48">
        <f>IF(OR($M967="",$T967=""),"",$T967+(AD$2*$M967))</f>
        <v/>
      </c>
      <c r="AE967" s="49">
        <f>IF(OR($M967="",$T967=""),"",$T967+(AE$2*$M967))</f>
        <v/>
      </c>
      <c r="AF967" s="52">
        <f>IF(OR(T967="",I967&lt;T967),"",IFERROR(AVERAGE(T967+M967*{7,8,9,10,11})/IF(G967="",I967,G967)-1,""))</f>
        <v/>
      </c>
      <c r="AG967" s="55">
        <f>IF(OR(T967="",I967&lt;T967),"",IFERROR(AF967/-(R967/IF(G967="",I967,G967)-1),""))</f>
        <v/>
      </c>
      <c r="AH967" s="94" t="n"/>
      <c r="AI967" s="94" t="n"/>
      <c r="AJ967" s="94" t="n"/>
      <c r="AK967" s="94" t="n"/>
      <c r="AL967" s="84" t="n"/>
    </row>
    <row r="968">
      <c r="A968" s="64" t="n"/>
      <c r="B968" s="65" t="n"/>
      <c r="C968" s="66" t="n"/>
      <c r="D968" s="67" t="n"/>
      <c r="E968" s="68" t="n"/>
      <c r="F968" s="47">
        <f>IF(A968="","",IF(MIN(H968,MAX(J968:K968))=0,"",MIN(H968,MAX(J968:K968))))</f>
        <v/>
      </c>
      <c r="G968" s="74" t="n"/>
      <c r="H968" s="49">
        <f>IF(M968="","",IFERROR(ROUND(AVERAGE(T968+M968*{7,8,9,10,11})/1.21,4),""))</f>
        <v/>
      </c>
      <c r="I968" s="76" t="n"/>
      <c r="J968" s="77" t="n"/>
      <c r="K968" s="74" t="n"/>
      <c r="L968" s="78" t="n"/>
      <c r="M968" s="77" t="n"/>
      <c r="N968" s="53">
        <f>IF(M968="","",IFERROR(M968/I968,""))</f>
        <v/>
      </c>
      <c r="O968" s="50">
        <f>IF(A968="","",IFERROR((IF(G968="",I968,G968)-T968)/M968,""))</f>
        <v/>
      </c>
      <c r="P968" s="50">
        <f>IFERROR((I968/T968-1)/N968,"")</f>
        <v/>
      </c>
      <c r="Q968" s="46">
        <f>IF(OR(T968="",I968&lt;T968),"",IFERROR(R968/IF(G968="",I968,G968)-1,""))</f>
        <v/>
      </c>
      <c r="R968" s="48">
        <f>IF($M968="","",MAX(IF($G968="",$I968,$G968)*(1/1.1),IF($G968="",$I968,$G968)+(R$2*$M968)))</f>
        <v/>
      </c>
      <c r="S968" s="49">
        <f>IF($M968="","",MAX(IF($G968="",$I968,$G968)*(1/1.1),IF($G968="",$I968,$G968)+(S$2*$M968)))</f>
        <v/>
      </c>
      <c r="T968" s="82" t="n"/>
      <c r="U968" s="47">
        <f>IF(OR($M968="",$T968=""),"",$T968+(U$2*$M968))</f>
        <v/>
      </c>
      <c r="V968" s="48">
        <f>IF(OR($M968="",$T968=""),"",$T968+(V$2*$M968))</f>
        <v/>
      </c>
      <c r="W968" s="48">
        <f>IF(OR($M968="",$T968=""),"",$T968+(W$2*$M968))</f>
        <v/>
      </c>
      <c r="X968" s="49">
        <f>IF(OR($M968="",$T968=""),"",$T968+(X$2*$M968))</f>
        <v/>
      </c>
      <c r="Y968" s="47">
        <f>IF(OR($M968="",$T968=""),"",$T968+(Y$2*$M968))</f>
        <v/>
      </c>
      <c r="Z968" s="49">
        <f>IF(OR($M968="",$T968=""),"",$T968+(Z$2*$M968))</f>
        <v/>
      </c>
      <c r="AA968" s="51">
        <f>IF(OR($M968="",$T968=""),"",$T968+(AA$2*$M968))</f>
        <v/>
      </c>
      <c r="AB968" s="48">
        <f>IF(OR($M968="",$T968=""),"",$T968+(AB$2*$M968))</f>
        <v/>
      </c>
      <c r="AC968" s="48">
        <f>IF(OR($M968="",$T968=""),"",$T968+(AC$2*$M968))</f>
        <v/>
      </c>
      <c r="AD968" s="48">
        <f>IF(OR($M968="",$T968=""),"",$T968+(AD$2*$M968))</f>
        <v/>
      </c>
      <c r="AE968" s="49">
        <f>IF(OR($M968="",$T968=""),"",$T968+(AE$2*$M968))</f>
        <v/>
      </c>
      <c r="AF968" s="52">
        <f>IF(OR(T968="",I968&lt;T968),"",IFERROR(AVERAGE(T968+M968*{7,8,9,10,11})/IF(G968="",I968,G968)-1,""))</f>
        <v/>
      </c>
      <c r="AG968" s="55">
        <f>IF(OR(T968="",I968&lt;T968),"",IFERROR(AF968/-(R968/IF(G968="",I968,G968)-1),""))</f>
        <v/>
      </c>
      <c r="AH968" s="94" t="n"/>
      <c r="AI968" s="94" t="n"/>
      <c r="AJ968" s="94" t="n"/>
      <c r="AK968" s="94" t="n"/>
      <c r="AL968" s="84" t="n"/>
    </row>
    <row r="969">
      <c r="A969" s="64" t="n"/>
      <c r="B969" s="65" t="n"/>
      <c r="C969" s="66" t="n"/>
      <c r="D969" s="67" t="n"/>
      <c r="E969" s="68" t="n"/>
      <c r="F969" s="47">
        <f>IF(A969="","",IF(MIN(H969,MAX(J969:K969))=0,"",MIN(H969,MAX(J969:K969))))</f>
        <v/>
      </c>
      <c r="G969" s="74" t="n"/>
      <c r="H969" s="49">
        <f>IF(M969="","",IFERROR(ROUND(AVERAGE(T969+M969*{7,8,9,10,11})/1.21,4),""))</f>
        <v/>
      </c>
      <c r="I969" s="76" t="n"/>
      <c r="J969" s="77" t="n"/>
      <c r="K969" s="74" t="n"/>
      <c r="L969" s="78" t="n"/>
      <c r="M969" s="77" t="n"/>
      <c r="N969" s="53">
        <f>IF(M969="","",IFERROR(M969/I969,""))</f>
        <v/>
      </c>
      <c r="O969" s="50">
        <f>IF(A969="","",IFERROR((IF(G969="",I969,G969)-T969)/M969,""))</f>
        <v/>
      </c>
      <c r="P969" s="50">
        <f>IFERROR((I969/T969-1)/N969,"")</f>
        <v/>
      </c>
      <c r="Q969" s="46">
        <f>IF(OR(T969="",I969&lt;T969),"",IFERROR(R969/IF(G969="",I969,G969)-1,""))</f>
        <v/>
      </c>
      <c r="R969" s="48">
        <f>IF($M969="","",MAX(IF($G969="",$I969,$G969)*(1/1.1),IF($G969="",$I969,$G969)+(R$2*$M969)))</f>
        <v/>
      </c>
      <c r="S969" s="49">
        <f>IF($M969="","",MAX(IF($G969="",$I969,$G969)*(1/1.1),IF($G969="",$I969,$G969)+(S$2*$M969)))</f>
        <v/>
      </c>
      <c r="T969" s="82" t="n"/>
      <c r="U969" s="47">
        <f>IF(OR($M969="",$T969=""),"",$T969+(U$2*$M969))</f>
        <v/>
      </c>
      <c r="V969" s="48">
        <f>IF(OR($M969="",$T969=""),"",$T969+(V$2*$M969))</f>
        <v/>
      </c>
      <c r="W969" s="48">
        <f>IF(OR($M969="",$T969=""),"",$T969+(W$2*$M969))</f>
        <v/>
      </c>
      <c r="X969" s="49">
        <f>IF(OR($M969="",$T969=""),"",$T969+(X$2*$M969))</f>
        <v/>
      </c>
      <c r="Y969" s="47">
        <f>IF(OR($M969="",$T969=""),"",$T969+(Y$2*$M969))</f>
        <v/>
      </c>
      <c r="Z969" s="49">
        <f>IF(OR($M969="",$T969=""),"",$T969+(Z$2*$M969))</f>
        <v/>
      </c>
      <c r="AA969" s="51">
        <f>IF(OR($M969="",$T969=""),"",$T969+(AA$2*$M969))</f>
        <v/>
      </c>
      <c r="AB969" s="48">
        <f>IF(OR($M969="",$T969=""),"",$T969+(AB$2*$M969))</f>
        <v/>
      </c>
      <c r="AC969" s="48">
        <f>IF(OR($M969="",$T969=""),"",$T969+(AC$2*$M969))</f>
        <v/>
      </c>
      <c r="AD969" s="48">
        <f>IF(OR($M969="",$T969=""),"",$T969+(AD$2*$M969))</f>
        <v/>
      </c>
      <c r="AE969" s="49">
        <f>IF(OR($M969="",$T969=""),"",$T969+(AE$2*$M969))</f>
        <v/>
      </c>
      <c r="AF969" s="52">
        <f>IF(OR(T969="",I969&lt;T969),"",IFERROR(AVERAGE(T969+M969*{7,8,9,10,11})/IF(G969="",I969,G969)-1,""))</f>
        <v/>
      </c>
      <c r="AG969" s="55">
        <f>IF(OR(T969="",I969&lt;T969),"",IFERROR(AF969/-(R969/IF(G969="",I969,G969)-1),""))</f>
        <v/>
      </c>
      <c r="AH969" s="94" t="n"/>
      <c r="AI969" s="94" t="n"/>
      <c r="AJ969" s="94" t="n"/>
      <c r="AK969" s="94" t="n"/>
      <c r="AL969" s="84" t="n"/>
    </row>
    <row r="970">
      <c r="A970" s="64" t="n"/>
      <c r="B970" s="65" t="n"/>
      <c r="C970" s="66" t="n"/>
      <c r="D970" s="67" t="n"/>
      <c r="E970" s="68" t="n"/>
      <c r="F970" s="47">
        <f>IF(A970="","",IF(MIN(H970,MAX(J970:K970))=0,"",MIN(H970,MAX(J970:K970))))</f>
        <v/>
      </c>
      <c r="G970" s="74" t="n"/>
      <c r="H970" s="49">
        <f>IF(M970="","",IFERROR(ROUND(AVERAGE(T970+M970*{7,8,9,10,11})/1.21,4),""))</f>
        <v/>
      </c>
      <c r="I970" s="76" t="n"/>
      <c r="J970" s="77" t="n"/>
      <c r="K970" s="74" t="n"/>
      <c r="L970" s="78" t="n"/>
      <c r="M970" s="77" t="n"/>
      <c r="N970" s="53">
        <f>IF(M970="","",IFERROR(M970/I970,""))</f>
        <v/>
      </c>
      <c r="O970" s="50">
        <f>IF(A970="","",IFERROR((IF(G970="",I970,G970)-T970)/M970,""))</f>
        <v/>
      </c>
      <c r="P970" s="50">
        <f>IFERROR((I970/T970-1)/N970,"")</f>
        <v/>
      </c>
      <c r="Q970" s="46">
        <f>IF(OR(T970="",I970&lt;T970),"",IFERROR(R970/IF(G970="",I970,G970)-1,""))</f>
        <v/>
      </c>
      <c r="R970" s="48">
        <f>IF($M970="","",MAX(IF($G970="",$I970,$G970)*(1/1.1),IF($G970="",$I970,$G970)+(R$2*$M970)))</f>
        <v/>
      </c>
      <c r="S970" s="49">
        <f>IF($M970="","",MAX(IF($G970="",$I970,$G970)*(1/1.1),IF($G970="",$I970,$G970)+(S$2*$M970)))</f>
        <v/>
      </c>
      <c r="T970" s="82" t="n"/>
      <c r="U970" s="47">
        <f>IF(OR($M970="",$T970=""),"",$T970+(U$2*$M970))</f>
        <v/>
      </c>
      <c r="V970" s="48">
        <f>IF(OR($M970="",$T970=""),"",$T970+(V$2*$M970))</f>
        <v/>
      </c>
      <c r="W970" s="48">
        <f>IF(OR($M970="",$T970=""),"",$T970+(W$2*$M970))</f>
        <v/>
      </c>
      <c r="X970" s="49">
        <f>IF(OR($M970="",$T970=""),"",$T970+(X$2*$M970))</f>
        <v/>
      </c>
      <c r="Y970" s="47">
        <f>IF(OR($M970="",$T970=""),"",$T970+(Y$2*$M970))</f>
        <v/>
      </c>
      <c r="Z970" s="49">
        <f>IF(OR($M970="",$T970=""),"",$T970+(Z$2*$M970))</f>
        <v/>
      </c>
      <c r="AA970" s="51">
        <f>IF(OR($M970="",$T970=""),"",$T970+(AA$2*$M970))</f>
        <v/>
      </c>
      <c r="AB970" s="48">
        <f>IF(OR($M970="",$T970=""),"",$T970+(AB$2*$M970))</f>
        <v/>
      </c>
      <c r="AC970" s="48">
        <f>IF(OR($M970="",$T970=""),"",$T970+(AC$2*$M970))</f>
        <v/>
      </c>
      <c r="AD970" s="48">
        <f>IF(OR($M970="",$T970=""),"",$T970+(AD$2*$M970))</f>
        <v/>
      </c>
      <c r="AE970" s="49">
        <f>IF(OR($M970="",$T970=""),"",$T970+(AE$2*$M970))</f>
        <v/>
      </c>
      <c r="AF970" s="52">
        <f>IF(OR(T970="",I970&lt;T970),"",IFERROR(AVERAGE(T970+M970*{7,8,9,10,11})/IF(G970="",I970,G970)-1,""))</f>
        <v/>
      </c>
      <c r="AG970" s="55">
        <f>IF(OR(T970="",I970&lt;T970),"",IFERROR(AF970/-(R970/IF(G970="",I970,G970)-1),""))</f>
        <v/>
      </c>
      <c r="AH970" s="94" t="n"/>
      <c r="AI970" s="94" t="n"/>
      <c r="AJ970" s="94" t="n"/>
      <c r="AK970" s="94" t="n"/>
      <c r="AL970" s="84" t="n"/>
    </row>
    <row r="971">
      <c r="A971" s="64" t="n"/>
      <c r="B971" s="65" t="n"/>
      <c r="C971" s="66" t="n"/>
      <c r="D971" s="67" t="n"/>
      <c r="E971" s="68" t="n"/>
      <c r="F971" s="47">
        <f>IF(A971="","",IF(MIN(H971,MAX(J971:K971))=0,"",MIN(H971,MAX(J971:K971))))</f>
        <v/>
      </c>
      <c r="G971" s="74" t="n"/>
      <c r="H971" s="49">
        <f>IF(M971="","",IFERROR(ROUND(AVERAGE(T971+M971*{7,8,9,10,11})/1.21,4),""))</f>
        <v/>
      </c>
      <c r="I971" s="76" t="n"/>
      <c r="J971" s="77" t="n"/>
      <c r="K971" s="74" t="n"/>
      <c r="L971" s="78" t="n"/>
      <c r="M971" s="77" t="n"/>
      <c r="N971" s="53">
        <f>IF(M971="","",IFERROR(M971/I971,""))</f>
        <v/>
      </c>
      <c r="O971" s="50">
        <f>IF(A971="","",IFERROR((IF(G971="",I971,G971)-T971)/M971,""))</f>
        <v/>
      </c>
      <c r="P971" s="50">
        <f>IFERROR((I971/T971-1)/N971,"")</f>
        <v/>
      </c>
      <c r="Q971" s="46">
        <f>IF(OR(T971="",I971&lt;T971),"",IFERROR(R971/IF(G971="",I971,G971)-1,""))</f>
        <v/>
      </c>
      <c r="R971" s="48">
        <f>IF($M971="","",MAX(IF($G971="",$I971,$G971)*(1/1.1),IF($G971="",$I971,$G971)+(R$2*$M971)))</f>
        <v/>
      </c>
      <c r="S971" s="49">
        <f>IF($M971="","",MAX(IF($G971="",$I971,$G971)*(1/1.1),IF($G971="",$I971,$G971)+(S$2*$M971)))</f>
        <v/>
      </c>
      <c r="T971" s="82" t="n"/>
      <c r="U971" s="47">
        <f>IF(OR($M971="",$T971=""),"",$T971+(U$2*$M971))</f>
        <v/>
      </c>
      <c r="V971" s="48">
        <f>IF(OR($M971="",$T971=""),"",$T971+(V$2*$M971))</f>
        <v/>
      </c>
      <c r="W971" s="48">
        <f>IF(OR($M971="",$T971=""),"",$T971+(W$2*$M971))</f>
        <v/>
      </c>
      <c r="X971" s="49">
        <f>IF(OR($M971="",$T971=""),"",$T971+(X$2*$M971))</f>
        <v/>
      </c>
      <c r="Y971" s="47">
        <f>IF(OR($M971="",$T971=""),"",$T971+(Y$2*$M971))</f>
        <v/>
      </c>
      <c r="Z971" s="49">
        <f>IF(OR($M971="",$T971=""),"",$T971+(Z$2*$M971))</f>
        <v/>
      </c>
      <c r="AA971" s="51">
        <f>IF(OR($M971="",$T971=""),"",$T971+(AA$2*$M971))</f>
        <v/>
      </c>
      <c r="AB971" s="48">
        <f>IF(OR($M971="",$T971=""),"",$T971+(AB$2*$M971))</f>
        <v/>
      </c>
      <c r="AC971" s="48">
        <f>IF(OR($M971="",$T971=""),"",$T971+(AC$2*$M971))</f>
        <v/>
      </c>
      <c r="AD971" s="48">
        <f>IF(OR($M971="",$T971=""),"",$T971+(AD$2*$M971))</f>
        <v/>
      </c>
      <c r="AE971" s="49">
        <f>IF(OR($M971="",$T971=""),"",$T971+(AE$2*$M971))</f>
        <v/>
      </c>
      <c r="AF971" s="52">
        <f>IF(OR(T971="",I971&lt;T971),"",IFERROR(AVERAGE(T971+M971*{7,8,9,10,11})/IF(G971="",I971,G971)-1,""))</f>
        <v/>
      </c>
      <c r="AG971" s="55">
        <f>IF(OR(T971="",I971&lt;T971),"",IFERROR(AF971/-(R971/IF(G971="",I971,G971)-1),""))</f>
        <v/>
      </c>
      <c r="AH971" s="94" t="n"/>
      <c r="AI971" s="94" t="n"/>
      <c r="AJ971" s="94" t="n"/>
      <c r="AK971" s="94" t="n"/>
      <c r="AL971" s="84" t="n"/>
    </row>
    <row r="972">
      <c r="A972" s="64" t="n"/>
      <c r="B972" s="65" t="n"/>
      <c r="C972" s="66" t="n"/>
      <c r="D972" s="67" t="n"/>
      <c r="E972" s="68" t="n"/>
      <c r="F972" s="47">
        <f>IF(A972="","",IF(MIN(H972,MAX(J972:K972))=0,"",MIN(H972,MAX(J972:K972))))</f>
        <v/>
      </c>
      <c r="G972" s="74" t="n"/>
      <c r="H972" s="49">
        <f>IF(M972="","",IFERROR(ROUND(AVERAGE(T972+M972*{7,8,9,10,11})/1.21,4),""))</f>
        <v/>
      </c>
      <c r="I972" s="76" t="n"/>
      <c r="J972" s="77" t="n"/>
      <c r="K972" s="74" t="n"/>
      <c r="L972" s="78" t="n"/>
      <c r="M972" s="77" t="n"/>
      <c r="N972" s="53">
        <f>IF(M972="","",IFERROR(M972/I972,""))</f>
        <v/>
      </c>
      <c r="O972" s="50">
        <f>IF(A972="","",IFERROR((IF(G972="",I972,G972)-T972)/M972,""))</f>
        <v/>
      </c>
      <c r="P972" s="50">
        <f>IFERROR((I972/T972-1)/N972,"")</f>
        <v/>
      </c>
      <c r="Q972" s="46">
        <f>IF(OR(T972="",I972&lt;T972),"",IFERROR(R972/IF(G972="",I972,G972)-1,""))</f>
        <v/>
      </c>
      <c r="R972" s="48">
        <f>IF($M972="","",MAX(IF($G972="",$I972,$G972)*(1/1.1),IF($G972="",$I972,$G972)+(R$2*$M972)))</f>
        <v/>
      </c>
      <c r="S972" s="49">
        <f>IF($M972="","",MAX(IF($G972="",$I972,$G972)*(1/1.1),IF($G972="",$I972,$G972)+(S$2*$M972)))</f>
        <v/>
      </c>
      <c r="T972" s="82" t="n"/>
      <c r="U972" s="47">
        <f>IF(OR($M972="",$T972=""),"",$T972+(U$2*$M972))</f>
        <v/>
      </c>
      <c r="V972" s="48">
        <f>IF(OR($M972="",$T972=""),"",$T972+(V$2*$M972))</f>
        <v/>
      </c>
      <c r="W972" s="48">
        <f>IF(OR($M972="",$T972=""),"",$T972+(W$2*$M972))</f>
        <v/>
      </c>
      <c r="X972" s="49">
        <f>IF(OR($M972="",$T972=""),"",$T972+(X$2*$M972))</f>
        <v/>
      </c>
      <c r="Y972" s="47">
        <f>IF(OR($M972="",$T972=""),"",$T972+(Y$2*$M972))</f>
        <v/>
      </c>
      <c r="Z972" s="49">
        <f>IF(OR($M972="",$T972=""),"",$T972+(Z$2*$M972))</f>
        <v/>
      </c>
      <c r="AA972" s="51">
        <f>IF(OR($M972="",$T972=""),"",$T972+(AA$2*$M972))</f>
        <v/>
      </c>
      <c r="AB972" s="48">
        <f>IF(OR($M972="",$T972=""),"",$T972+(AB$2*$M972))</f>
        <v/>
      </c>
      <c r="AC972" s="48">
        <f>IF(OR($M972="",$T972=""),"",$T972+(AC$2*$M972))</f>
        <v/>
      </c>
      <c r="AD972" s="48">
        <f>IF(OR($M972="",$T972=""),"",$T972+(AD$2*$M972))</f>
        <v/>
      </c>
      <c r="AE972" s="49">
        <f>IF(OR($M972="",$T972=""),"",$T972+(AE$2*$M972))</f>
        <v/>
      </c>
      <c r="AF972" s="52">
        <f>IF(OR(T972="",I972&lt;T972),"",IFERROR(AVERAGE(T972+M972*{7,8,9,10,11})/IF(G972="",I972,G972)-1,""))</f>
        <v/>
      </c>
      <c r="AG972" s="55">
        <f>IF(OR(T972="",I972&lt;T972),"",IFERROR(AF972/-(R972/IF(G972="",I972,G972)-1),""))</f>
        <v/>
      </c>
      <c r="AH972" s="94" t="n"/>
      <c r="AI972" s="94" t="n"/>
      <c r="AJ972" s="94" t="n"/>
      <c r="AK972" s="94" t="n"/>
      <c r="AL972" s="84" t="n"/>
    </row>
    <row r="973">
      <c r="A973" s="64" t="n"/>
      <c r="B973" s="65" t="n"/>
      <c r="C973" s="66" t="n"/>
      <c r="D973" s="67" t="n"/>
      <c r="E973" s="68" t="n"/>
      <c r="F973" s="47">
        <f>IF(A973="","",IF(MIN(H973,MAX(J973:K973))=0,"",MIN(H973,MAX(J973:K973))))</f>
        <v/>
      </c>
      <c r="G973" s="74" t="n"/>
      <c r="H973" s="49">
        <f>IF(M973="","",IFERROR(ROUND(AVERAGE(T973+M973*{7,8,9,10,11})/1.21,4),""))</f>
        <v/>
      </c>
      <c r="I973" s="76" t="n"/>
      <c r="J973" s="77" t="n"/>
      <c r="K973" s="74" t="n"/>
      <c r="L973" s="78" t="n"/>
      <c r="M973" s="77" t="n"/>
      <c r="N973" s="53">
        <f>IF(M973="","",IFERROR(M973/I973,""))</f>
        <v/>
      </c>
      <c r="O973" s="50">
        <f>IF(A973="","",IFERROR((IF(G973="",I973,G973)-T973)/M973,""))</f>
        <v/>
      </c>
      <c r="P973" s="50">
        <f>IFERROR((I973/T973-1)/N973,"")</f>
        <v/>
      </c>
      <c r="Q973" s="46">
        <f>IF(OR(T973="",I973&lt;T973),"",IFERROR(R973/IF(G973="",I973,G973)-1,""))</f>
        <v/>
      </c>
      <c r="R973" s="48">
        <f>IF($M973="","",MAX(IF($G973="",$I973,$G973)*(1/1.1),IF($G973="",$I973,$G973)+(R$2*$M973)))</f>
        <v/>
      </c>
      <c r="S973" s="49">
        <f>IF($M973="","",MAX(IF($G973="",$I973,$G973)*(1/1.1),IF($G973="",$I973,$G973)+(S$2*$M973)))</f>
        <v/>
      </c>
      <c r="T973" s="82" t="n"/>
      <c r="U973" s="47">
        <f>IF(OR($M973="",$T973=""),"",$T973+(U$2*$M973))</f>
        <v/>
      </c>
      <c r="V973" s="48">
        <f>IF(OR($M973="",$T973=""),"",$T973+(V$2*$M973))</f>
        <v/>
      </c>
      <c r="W973" s="48">
        <f>IF(OR($M973="",$T973=""),"",$T973+(W$2*$M973))</f>
        <v/>
      </c>
      <c r="X973" s="49">
        <f>IF(OR($M973="",$T973=""),"",$T973+(X$2*$M973))</f>
        <v/>
      </c>
      <c r="Y973" s="47">
        <f>IF(OR($M973="",$T973=""),"",$T973+(Y$2*$M973))</f>
        <v/>
      </c>
      <c r="Z973" s="49">
        <f>IF(OR($M973="",$T973=""),"",$T973+(Z$2*$M973))</f>
        <v/>
      </c>
      <c r="AA973" s="51">
        <f>IF(OR($M973="",$T973=""),"",$T973+(AA$2*$M973))</f>
        <v/>
      </c>
      <c r="AB973" s="48">
        <f>IF(OR($M973="",$T973=""),"",$T973+(AB$2*$M973))</f>
        <v/>
      </c>
      <c r="AC973" s="48">
        <f>IF(OR($M973="",$T973=""),"",$T973+(AC$2*$M973))</f>
        <v/>
      </c>
      <c r="AD973" s="48">
        <f>IF(OR($M973="",$T973=""),"",$T973+(AD$2*$M973))</f>
        <v/>
      </c>
      <c r="AE973" s="49">
        <f>IF(OR($M973="",$T973=""),"",$T973+(AE$2*$M973))</f>
        <v/>
      </c>
      <c r="AF973" s="52">
        <f>IF(OR(T973="",I973&lt;T973),"",IFERROR(AVERAGE(T973+M973*{7,8,9,10,11})/IF(G973="",I973,G973)-1,""))</f>
        <v/>
      </c>
      <c r="AG973" s="55">
        <f>IF(OR(T973="",I973&lt;T973),"",IFERROR(AF973/-(R973/IF(G973="",I973,G973)-1),""))</f>
        <v/>
      </c>
      <c r="AH973" s="94" t="n"/>
      <c r="AI973" s="94" t="n"/>
      <c r="AJ973" s="94" t="n"/>
      <c r="AK973" s="94" t="n"/>
      <c r="AL973" s="84" t="n"/>
    </row>
    <row r="974">
      <c r="A974" s="64" t="n"/>
      <c r="B974" s="65" t="n"/>
      <c r="C974" s="66" t="n"/>
      <c r="D974" s="67" t="n"/>
      <c r="E974" s="68" t="n"/>
      <c r="F974" s="47">
        <f>IF(A974="","",IF(MIN(H974,MAX(J974:K974))=0,"",MIN(H974,MAX(J974:K974))))</f>
        <v/>
      </c>
      <c r="G974" s="74" t="n"/>
      <c r="H974" s="49">
        <f>IF(M974="","",IFERROR(ROUND(AVERAGE(T974+M974*{7,8,9,10,11})/1.21,4),""))</f>
        <v/>
      </c>
      <c r="I974" s="76" t="n"/>
      <c r="J974" s="77" t="n"/>
      <c r="K974" s="74" t="n"/>
      <c r="L974" s="78" t="n"/>
      <c r="M974" s="77" t="n"/>
      <c r="N974" s="53">
        <f>IF(M974="","",IFERROR(M974/I974,""))</f>
        <v/>
      </c>
      <c r="O974" s="50">
        <f>IF(A974="","",IFERROR((IF(G974="",I974,G974)-T974)/M974,""))</f>
        <v/>
      </c>
      <c r="P974" s="50">
        <f>IFERROR((I974/T974-1)/N974,"")</f>
        <v/>
      </c>
      <c r="Q974" s="46">
        <f>IF(OR(T974="",I974&lt;T974),"",IFERROR(R974/IF(G974="",I974,G974)-1,""))</f>
        <v/>
      </c>
      <c r="R974" s="48">
        <f>IF($M974="","",MAX(IF($G974="",$I974,$G974)*(1/1.1),IF($G974="",$I974,$G974)+(R$2*$M974)))</f>
        <v/>
      </c>
      <c r="S974" s="49">
        <f>IF($M974="","",MAX(IF($G974="",$I974,$G974)*(1/1.1),IF($G974="",$I974,$G974)+(S$2*$M974)))</f>
        <v/>
      </c>
      <c r="T974" s="82" t="n"/>
      <c r="U974" s="47">
        <f>IF(OR($M974="",$T974=""),"",$T974+(U$2*$M974))</f>
        <v/>
      </c>
      <c r="V974" s="48">
        <f>IF(OR($M974="",$T974=""),"",$T974+(V$2*$M974))</f>
        <v/>
      </c>
      <c r="W974" s="48">
        <f>IF(OR($M974="",$T974=""),"",$T974+(W$2*$M974))</f>
        <v/>
      </c>
      <c r="X974" s="49">
        <f>IF(OR($M974="",$T974=""),"",$T974+(X$2*$M974))</f>
        <v/>
      </c>
      <c r="Y974" s="47">
        <f>IF(OR($M974="",$T974=""),"",$T974+(Y$2*$M974))</f>
        <v/>
      </c>
      <c r="Z974" s="49">
        <f>IF(OR($M974="",$T974=""),"",$T974+(Z$2*$M974))</f>
        <v/>
      </c>
      <c r="AA974" s="51">
        <f>IF(OR($M974="",$T974=""),"",$T974+(AA$2*$M974))</f>
        <v/>
      </c>
      <c r="AB974" s="48">
        <f>IF(OR($M974="",$T974=""),"",$T974+(AB$2*$M974))</f>
        <v/>
      </c>
      <c r="AC974" s="48">
        <f>IF(OR($M974="",$T974=""),"",$T974+(AC$2*$M974))</f>
        <v/>
      </c>
      <c r="AD974" s="48">
        <f>IF(OR($M974="",$T974=""),"",$T974+(AD$2*$M974))</f>
        <v/>
      </c>
      <c r="AE974" s="49">
        <f>IF(OR($M974="",$T974=""),"",$T974+(AE$2*$M974))</f>
        <v/>
      </c>
      <c r="AF974" s="52">
        <f>IF(OR(T974="",I974&lt;T974),"",IFERROR(AVERAGE(T974+M974*{7,8,9,10,11})/IF(G974="",I974,G974)-1,""))</f>
        <v/>
      </c>
      <c r="AG974" s="55">
        <f>IF(OR(T974="",I974&lt;T974),"",IFERROR(AF974/-(R974/IF(G974="",I974,G974)-1),""))</f>
        <v/>
      </c>
      <c r="AH974" s="94" t="n"/>
      <c r="AI974" s="94" t="n"/>
      <c r="AJ974" s="94" t="n"/>
      <c r="AK974" s="94" t="n"/>
      <c r="AL974" s="84" t="n"/>
    </row>
    <row r="975">
      <c r="A975" s="64" t="n"/>
      <c r="B975" s="65" t="n"/>
      <c r="C975" s="66" t="n"/>
      <c r="D975" s="67" t="n"/>
      <c r="E975" s="68" t="n"/>
      <c r="F975" s="47">
        <f>IF(A975="","",IF(MIN(H975,MAX(J975:K975))=0,"",MIN(H975,MAX(J975:K975))))</f>
        <v/>
      </c>
      <c r="G975" s="74" t="n"/>
      <c r="H975" s="49">
        <f>IF(M975="","",IFERROR(ROUND(AVERAGE(T975+M975*{7,8,9,10,11})/1.21,4),""))</f>
        <v/>
      </c>
      <c r="I975" s="76" t="n"/>
      <c r="J975" s="77" t="n"/>
      <c r="K975" s="74" t="n"/>
      <c r="L975" s="78" t="n"/>
      <c r="M975" s="77" t="n"/>
      <c r="N975" s="53">
        <f>IF(M975="","",IFERROR(M975/I975,""))</f>
        <v/>
      </c>
      <c r="O975" s="50">
        <f>IF(A975="","",IFERROR((IF(G975="",I975,G975)-T975)/M975,""))</f>
        <v/>
      </c>
      <c r="P975" s="50">
        <f>IFERROR((I975/T975-1)/N975,"")</f>
        <v/>
      </c>
      <c r="Q975" s="46">
        <f>IF(OR(T975="",I975&lt;T975),"",IFERROR(R975/IF(G975="",I975,G975)-1,""))</f>
        <v/>
      </c>
      <c r="R975" s="48">
        <f>IF($M975="","",MAX(IF($G975="",$I975,$G975)*(1/1.1),IF($G975="",$I975,$G975)+(R$2*$M975)))</f>
        <v/>
      </c>
      <c r="S975" s="49">
        <f>IF($M975="","",MAX(IF($G975="",$I975,$G975)*(1/1.1),IF($G975="",$I975,$G975)+(S$2*$M975)))</f>
        <v/>
      </c>
      <c r="T975" s="82" t="n"/>
      <c r="U975" s="47">
        <f>IF(OR($M975="",$T975=""),"",$T975+(U$2*$M975))</f>
        <v/>
      </c>
      <c r="V975" s="48">
        <f>IF(OR($M975="",$T975=""),"",$T975+(V$2*$M975))</f>
        <v/>
      </c>
      <c r="W975" s="48">
        <f>IF(OR($M975="",$T975=""),"",$T975+(W$2*$M975))</f>
        <v/>
      </c>
      <c r="X975" s="49">
        <f>IF(OR($M975="",$T975=""),"",$T975+(X$2*$M975))</f>
        <v/>
      </c>
      <c r="Y975" s="47">
        <f>IF(OR($M975="",$T975=""),"",$T975+(Y$2*$M975))</f>
        <v/>
      </c>
      <c r="Z975" s="49">
        <f>IF(OR($M975="",$T975=""),"",$T975+(Z$2*$M975))</f>
        <v/>
      </c>
      <c r="AA975" s="51">
        <f>IF(OR($M975="",$T975=""),"",$T975+(AA$2*$M975))</f>
        <v/>
      </c>
      <c r="AB975" s="48">
        <f>IF(OR($M975="",$T975=""),"",$T975+(AB$2*$M975))</f>
        <v/>
      </c>
      <c r="AC975" s="48">
        <f>IF(OR($M975="",$T975=""),"",$T975+(AC$2*$M975))</f>
        <v/>
      </c>
      <c r="AD975" s="48">
        <f>IF(OR($M975="",$T975=""),"",$T975+(AD$2*$M975))</f>
        <v/>
      </c>
      <c r="AE975" s="49">
        <f>IF(OR($M975="",$T975=""),"",$T975+(AE$2*$M975))</f>
        <v/>
      </c>
      <c r="AF975" s="52">
        <f>IF(OR(T975="",I975&lt;T975),"",IFERROR(AVERAGE(T975+M975*{7,8,9,10,11})/IF(G975="",I975,G975)-1,""))</f>
        <v/>
      </c>
      <c r="AG975" s="55">
        <f>IF(OR(T975="",I975&lt;T975),"",IFERROR(AF975/-(R975/IF(G975="",I975,G975)-1),""))</f>
        <v/>
      </c>
      <c r="AH975" s="94" t="n"/>
      <c r="AI975" s="94" t="n"/>
      <c r="AJ975" s="94" t="n"/>
      <c r="AK975" s="94" t="n"/>
      <c r="AL975" s="84" t="n"/>
    </row>
    <row r="976">
      <c r="A976" s="64" t="n"/>
      <c r="B976" s="65" t="n"/>
      <c r="C976" s="66" t="n"/>
      <c r="D976" s="67" t="n"/>
      <c r="E976" s="68" t="n"/>
      <c r="F976" s="47">
        <f>IF(A976="","",IF(MIN(H976,MAX(J976:K976))=0,"",MIN(H976,MAX(J976:K976))))</f>
        <v/>
      </c>
      <c r="G976" s="74" t="n"/>
      <c r="H976" s="49">
        <f>IF(M976="","",IFERROR(ROUND(AVERAGE(T976+M976*{7,8,9,10,11})/1.21,4),""))</f>
        <v/>
      </c>
      <c r="I976" s="76" t="n"/>
      <c r="J976" s="77" t="n"/>
      <c r="K976" s="74" t="n"/>
      <c r="L976" s="78" t="n"/>
      <c r="M976" s="77" t="n"/>
      <c r="N976" s="53">
        <f>IF(M976="","",IFERROR(M976/I976,""))</f>
        <v/>
      </c>
      <c r="O976" s="50">
        <f>IF(A976="","",IFERROR((IF(G976="",I976,G976)-T976)/M976,""))</f>
        <v/>
      </c>
      <c r="P976" s="50">
        <f>IFERROR((I976/T976-1)/N976,"")</f>
        <v/>
      </c>
      <c r="Q976" s="46">
        <f>IF(OR(T976="",I976&lt;T976),"",IFERROR(R976/IF(G976="",I976,G976)-1,""))</f>
        <v/>
      </c>
      <c r="R976" s="48">
        <f>IF($M976="","",MAX(IF($G976="",$I976,$G976)*(1/1.1),IF($G976="",$I976,$G976)+(R$2*$M976)))</f>
        <v/>
      </c>
      <c r="S976" s="49">
        <f>IF($M976="","",MAX(IF($G976="",$I976,$G976)*(1/1.1),IF($G976="",$I976,$G976)+(S$2*$M976)))</f>
        <v/>
      </c>
      <c r="T976" s="82" t="n"/>
      <c r="U976" s="47">
        <f>IF(OR($M976="",$T976=""),"",$T976+(U$2*$M976))</f>
        <v/>
      </c>
      <c r="V976" s="48">
        <f>IF(OR($M976="",$T976=""),"",$T976+(V$2*$M976))</f>
        <v/>
      </c>
      <c r="W976" s="48">
        <f>IF(OR($M976="",$T976=""),"",$T976+(W$2*$M976))</f>
        <v/>
      </c>
      <c r="X976" s="49">
        <f>IF(OR($M976="",$T976=""),"",$T976+(X$2*$M976))</f>
        <v/>
      </c>
      <c r="Y976" s="47">
        <f>IF(OR($M976="",$T976=""),"",$T976+(Y$2*$M976))</f>
        <v/>
      </c>
      <c r="Z976" s="49">
        <f>IF(OR($M976="",$T976=""),"",$T976+(Z$2*$M976))</f>
        <v/>
      </c>
      <c r="AA976" s="51">
        <f>IF(OR($M976="",$T976=""),"",$T976+(AA$2*$M976))</f>
        <v/>
      </c>
      <c r="AB976" s="48">
        <f>IF(OR($M976="",$T976=""),"",$T976+(AB$2*$M976))</f>
        <v/>
      </c>
      <c r="AC976" s="48">
        <f>IF(OR($M976="",$T976=""),"",$T976+(AC$2*$M976))</f>
        <v/>
      </c>
      <c r="AD976" s="48">
        <f>IF(OR($M976="",$T976=""),"",$T976+(AD$2*$M976))</f>
        <v/>
      </c>
      <c r="AE976" s="49">
        <f>IF(OR($M976="",$T976=""),"",$T976+(AE$2*$M976))</f>
        <v/>
      </c>
      <c r="AF976" s="52">
        <f>IF(OR(T976="",I976&lt;T976),"",IFERROR(AVERAGE(T976+M976*{7,8,9,10,11})/IF(G976="",I976,G976)-1,""))</f>
        <v/>
      </c>
      <c r="AG976" s="55">
        <f>IF(OR(T976="",I976&lt;T976),"",IFERROR(AF976/-(R976/IF(G976="",I976,G976)-1),""))</f>
        <v/>
      </c>
      <c r="AH976" s="94" t="n"/>
      <c r="AI976" s="94" t="n"/>
      <c r="AJ976" s="94" t="n"/>
      <c r="AK976" s="94" t="n"/>
      <c r="AL976" s="84" t="n"/>
    </row>
    <row r="977">
      <c r="A977" s="64" t="n"/>
      <c r="B977" s="65" t="n"/>
      <c r="C977" s="66" t="n"/>
      <c r="D977" s="67" t="n"/>
      <c r="E977" s="68" t="n"/>
      <c r="F977" s="47">
        <f>IF(A977="","",IF(MIN(H977,MAX(J977:K977))=0,"",MIN(H977,MAX(J977:K977))))</f>
        <v/>
      </c>
      <c r="G977" s="74" t="n"/>
      <c r="H977" s="49">
        <f>IF(M977="","",IFERROR(ROUND(AVERAGE(T977+M977*{7,8,9,10,11})/1.21,4),""))</f>
        <v/>
      </c>
      <c r="I977" s="76" t="n"/>
      <c r="J977" s="77" t="n"/>
      <c r="K977" s="74" t="n"/>
      <c r="L977" s="78" t="n"/>
      <c r="M977" s="77" t="n"/>
      <c r="N977" s="53">
        <f>IF(M977="","",IFERROR(M977/I977,""))</f>
        <v/>
      </c>
      <c r="O977" s="50">
        <f>IF(A977="","",IFERROR((IF(G977="",I977,G977)-T977)/M977,""))</f>
        <v/>
      </c>
      <c r="P977" s="50">
        <f>IFERROR((I977/T977-1)/N977,"")</f>
        <v/>
      </c>
      <c r="Q977" s="46">
        <f>IF(OR(T977="",I977&lt;T977),"",IFERROR(R977/IF(G977="",I977,G977)-1,""))</f>
        <v/>
      </c>
      <c r="R977" s="48">
        <f>IF($M977="","",MAX(IF($G977="",$I977,$G977)*(1/1.1),IF($G977="",$I977,$G977)+(R$2*$M977)))</f>
        <v/>
      </c>
      <c r="S977" s="49">
        <f>IF($M977="","",MAX(IF($G977="",$I977,$G977)*(1/1.1),IF($G977="",$I977,$G977)+(S$2*$M977)))</f>
        <v/>
      </c>
      <c r="T977" s="82" t="n"/>
      <c r="U977" s="47">
        <f>IF(OR($M977="",$T977=""),"",$T977+(U$2*$M977))</f>
        <v/>
      </c>
      <c r="V977" s="48">
        <f>IF(OR($M977="",$T977=""),"",$T977+(V$2*$M977))</f>
        <v/>
      </c>
      <c r="W977" s="48">
        <f>IF(OR($M977="",$T977=""),"",$T977+(W$2*$M977))</f>
        <v/>
      </c>
      <c r="X977" s="49">
        <f>IF(OR($M977="",$T977=""),"",$T977+(X$2*$M977))</f>
        <v/>
      </c>
      <c r="Y977" s="47">
        <f>IF(OR($M977="",$T977=""),"",$T977+(Y$2*$M977))</f>
        <v/>
      </c>
      <c r="Z977" s="49">
        <f>IF(OR($M977="",$T977=""),"",$T977+(Z$2*$M977))</f>
        <v/>
      </c>
      <c r="AA977" s="51">
        <f>IF(OR($M977="",$T977=""),"",$T977+(AA$2*$M977))</f>
        <v/>
      </c>
      <c r="AB977" s="48">
        <f>IF(OR($M977="",$T977=""),"",$T977+(AB$2*$M977))</f>
        <v/>
      </c>
      <c r="AC977" s="48">
        <f>IF(OR($M977="",$T977=""),"",$T977+(AC$2*$M977))</f>
        <v/>
      </c>
      <c r="AD977" s="48">
        <f>IF(OR($M977="",$T977=""),"",$T977+(AD$2*$M977))</f>
        <v/>
      </c>
      <c r="AE977" s="49">
        <f>IF(OR($M977="",$T977=""),"",$T977+(AE$2*$M977))</f>
        <v/>
      </c>
      <c r="AF977" s="52">
        <f>IF(OR(T977="",I977&lt;T977),"",IFERROR(AVERAGE(T977+M977*{7,8,9,10,11})/IF(G977="",I977,G977)-1,""))</f>
        <v/>
      </c>
      <c r="AG977" s="55">
        <f>IF(OR(T977="",I977&lt;T977),"",IFERROR(AF977/-(R977/IF(G977="",I977,G977)-1),""))</f>
        <v/>
      </c>
      <c r="AH977" s="94" t="n"/>
      <c r="AI977" s="94" t="n"/>
      <c r="AJ977" s="94" t="n"/>
      <c r="AK977" s="94" t="n"/>
      <c r="AL977" s="84" t="n"/>
    </row>
    <row r="978">
      <c r="A978" s="64" t="n"/>
      <c r="B978" s="65" t="n"/>
      <c r="C978" s="66" t="n"/>
      <c r="D978" s="67" t="n"/>
      <c r="E978" s="68" t="n"/>
      <c r="F978" s="47">
        <f>IF(A978="","",IF(MIN(H978,MAX(J978:K978))=0,"",MIN(H978,MAX(J978:K978))))</f>
        <v/>
      </c>
      <c r="G978" s="74" t="n"/>
      <c r="H978" s="49">
        <f>IF(M978="","",IFERROR(ROUND(AVERAGE(T978+M978*{7,8,9,10,11})/1.21,4),""))</f>
        <v/>
      </c>
      <c r="I978" s="76" t="n"/>
      <c r="J978" s="77" t="n"/>
      <c r="K978" s="74" t="n"/>
      <c r="L978" s="78" t="n"/>
      <c r="M978" s="77" t="n"/>
      <c r="N978" s="53">
        <f>IF(M978="","",IFERROR(M978/I978,""))</f>
        <v/>
      </c>
      <c r="O978" s="50">
        <f>IF(A978="","",IFERROR((IF(G978="",I978,G978)-T978)/M978,""))</f>
        <v/>
      </c>
      <c r="P978" s="50">
        <f>IFERROR((I978/T978-1)/N978,"")</f>
        <v/>
      </c>
      <c r="Q978" s="46">
        <f>IF(OR(T978="",I978&lt;T978),"",IFERROR(R978/IF(G978="",I978,G978)-1,""))</f>
        <v/>
      </c>
      <c r="R978" s="48">
        <f>IF($M978="","",MAX(IF($G978="",$I978,$G978)*(1/1.1),IF($G978="",$I978,$G978)+(R$2*$M978)))</f>
        <v/>
      </c>
      <c r="S978" s="49">
        <f>IF($M978="","",MAX(IF($G978="",$I978,$G978)*(1/1.1),IF($G978="",$I978,$G978)+(S$2*$M978)))</f>
        <v/>
      </c>
      <c r="T978" s="82" t="n"/>
      <c r="U978" s="47">
        <f>IF(OR($M978="",$T978=""),"",$T978+(U$2*$M978))</f>
        <v/>
      </c>
      <c r="V978" s="48">
        <f>IF(OR($M978="",$T978=""),"",$T978+(V$2*$M978))</f>
        <v/>
      </c>
      <c r="W978" s="48">
        <f>IF(OR($M978="",$T978=""),"",$T978+(W$2*$M978))</f>
        <v/>
      </c>
      <c r="X978" s="49">
        <f>IF(OR($M978="",$T978=""),"",$T978+(X$2*$M978))</f>
        <v/>
      </c>
      <c r="Y978" s="47">
        <f>IF(OR($M978="",$T978=""),"",$T978+(Y$2*$M978))</f>
        <v/>
      </c>
      <c r="Z978" s="49">
        <f>IF(OR($M978="",$T978=""),"",$T978+(Z$2*$M978))</f>
        <v/>
      </c>
      <c r="AA978" s="51">
        <f>IF(OR($M978="",$T978=""),"",$T978+(AA$2*$M978))</f>
        <v/>
      </c>
      <c r="AB978" s="48">
        <f>IF(OR($M978="",$T978=""),"",$T978+(AB$2*$M978))</f>
        <v/>
      </c>
      <c r="AC978" s="48">
        <f>IF(OR($M978="",$T978=""),"",$T978+(AC$2*$M978))</f>
        <v/>
      </c>
      <c r="AD978" s="48">
        <f>IF(OR($M978="",$T978=""),"",$T978+(AD$2*$M978))</f>
        <v/>
      </c>
      <c r="AE978" s="49">
        <f>IF(OR($M978="",$T978=""),"",$T978+(AE$2*$M978))</f>
        <v/>
      </c>
      <c r="AF978" s="52">
        <f>IF(OR(T978="",I978&lt;T978),"",IFERROR(AVERAGE(T978+M978*{7,8,9,10,11})/IF(G978="",I978,G978)-1,""))</f>
        <v/>
      </c>
      <c r="AG978" s="55">
        <f>IF(OR(T978="",I978&lt;T978),"",IFERROR(AF978/-(R978/IF(G978="",I978,G978)-1),""))</f>
        <v/>
      </c>
      <c r="AH978" s="94" t="n"/>
      <c r="AI978" s="94" t="n"/>
      <c r="AJ978" s="94" t="n"/>
      <c r="AK978" s="94" t="n"/>
      <c r="AL978" s="84" t="n"/>
    </row>
    <row r="979">
      <c r="A979" s="64" t="n"/>
      <c r="B979" s="65" t="n"/>
      <c r="C979" s="66" t="n"/>
      <c r="D979" s="67" t="n"/>
      <c r="E979" s="68" t="n"/>
      <c r="F979" s="47">
        <f>IF(A979="","",IF(MIN(H979,MAX(J979:K979))=0,"",MIN(H979,MAX(J979:K979))))</f>
        <v/>
      </c>
      <c r="G979" s="74" t="n"/>
      <c r="H979" s="49">
        <f>IF(M979="","",IFERROR(ROUND(AVERAGE(T979+M979*{7,8,9,10,11})/1.21,4),""))</f>
        <v/>
      </c>
      <c r="I979" s="76" t="n"/>
      <c r="J979" s="77" t="n"/>
      <c r="K979" s="74" t="n"/>
      <c r="L979" s="78" t="n"/>
      <c r="M979" s="77" t="n"/>
      <c r="N979" s="53">
        <f>IF(M979="","",IFERROR(M979/I979,""))</f>
        <v/>
      </c>
      <c r="O979" s="50">
        <f>IF(A979="","",IFERROR((IF(G979="",I979,G979)-T979)/M979,""))</f>
        <v/>
      </c>
      <c r="P979" s="50">
        <f>IFERROR((I979/T979-1)/N979,"")</f>
        <v/>
      </c>
      <c r="Q979" s="46">
        <f>IF(OR(T979="",I979&lt;T979),"",IFERROR(R979/IF(G979="",I979,G979)-1,""))</f>
        <v/>
      </c>
      <c r="R979" s="48">
        <f>IF($M979="","",MAX(IF($G979="",$I979,$G979)*(1/1.1),IF($G979="",$I979,$G979)+(R$2*$M979)))</f>
        <v/>
      </c>
      <c r="S979" s="49">
        <f>IF($M979="","",MAX(IF($G979="",$I979,$G979)*(1/1.1),IF($G979="",$I979,$G979)+(S$2*$M979)))</f>
        <v/>
      </c>
      <c r="T979" s="82" t="n"/>
      <c r="U979" s="47">
        <f>IF(OR($M979="",$T979=""),"",$T979+(U$2*$M979))</f>
        <v/>
      </c>
      <c r="V979" s="48">
        <f>IF(OR($M979="",$T979=""),"",$T979+(V$2*$M979))</f>
        <v/>
      </c>
      <c r="W979" s="48">
        <f>IF(OR($M979="",$T979=""),"",$T979+(W$2*$M979))</f>
        <v/>
      </c>
      <c r="X979" s="49">
        <f>IF(OR($M979="",$T979=""),"",$T979+(X$2*$M979))</f>
        <v/>
      </c>
      <c r="Y979" s="47">
        <f>IF(OR($M979="",$T979=""),"",$T979+(Y$2*$M979))</f>
        <v/>
      </c>
      <c r="Z979" s="49">
        <f>IF(OR($M979="",$T979=""),"",$T979+(Z$2*$M979))</f>
        <v/>
      </c>
      <c r="AA979" s="51">
        <f>IF(OR($M979="",$T979=""),"",$T979+(AA$2*$M979))</f>
        <v/>
      </c>
      <c r="AB979" s="48">
        <f>IF(OR($M979="",$T979=""),"",$T979+(AB$2*$M979))</f>
        <v/>
      </c>
      <c r="AC979" s="48">
        <f>IF(OR($M979="",$T979=""),"",$T979+(AC$2*$M979))</f>
        <v/>
      </c>
      <c r="AD979" s="48">
        <f>IF(OR($M979="",$T979=""),"",$T979+(AD$2*$M979))</f>
        <v/>
      </c>
      <c r="AE979" s="49">
        <f>IF(OR($M979="",$T979=""),"",$T979+(AE$2*$M979))</f>
        <v/>
      </c>
      <c r="AF979" s="52">
        <f>IF(OR(T979="",I979&lt;T979),"",IFERROR(AVERAGE(T979+M979*{7,8,9,10,11})/IF(G979="",I979,G979)-1,""))</f>
        <v/>
      </c>
      <c r="AG979" s="55">
        <f>IF(OR(T979="",I979&lt;T979),"",IFERROR(AF979/-(R979/IF(G979="",I979,G979)-1),""))</f>
        <v/>
      </c>
      <c r="AH979" s="94" t="n"/>
      <c r="AI979" s="94" t="n"/>
      <c r="AJ979" s="94" t="n"/>
      <c r="AK979" s="94" t="n"/>
      <c r="AL979" s="84" t="n"/>
    </row>
    <row r="980">
      <c r="A980" s="64" t="n"/>
      <c r="B980" s="65" t="n"/>
      <c r="C980" s="66" t="n"/>
      <c r="D980" s="67" t="n"/>
      <c r="E980" s="68" t="n"/>
      <c r="F980" s="47">
        <f>IF(A980="","",IF(MIN(H980,MAX(J980:K980))=0,"",MIN(H980,MAX(J980:K980))))</f>
        <v/>
      </c>
      <c r="G980" s="74" t="n"/>
      <c r="H980" s="49">
        <f>IF(M980="","",IFERROR(ROUND(AVERAGE(T980+M980*{7,8,9,10,11})/1.21,4),""))</f>
        <v/>
      </c>
      <c r="I980" s="76" t="n"/>
      <c r="J980" s="77" t="n"/>
      <c r="K980" s="74" t="n"/>
      <c r="L980" s="78" t="n"/>
      <c r="M980" s="77" t="n"/>
      <c r="N980" s="53">
        <f>IF(M980="","",IFERROR(M980/I980,""))</f>
        <v/>
      </c>
      <c r="O980" s="50">
        <f>IF(A980="","",IFERROR((IF(G980="",I980,G980)-T980)/M980,""))</f>
        <v/>
      </c>
      <c r="P980" s="50">
        <f>IFERROR((I980/T980-1)/N980,"")</f>
        <v/>
      </c>
      <c r="Q980" s="46">
        <f>IF(OR(T980="",I980&lt;T980),"",IFERROR(R980/IF(G980="",I980,G980)-1,""))</f>
        <v/>
      </c>
      <c r="R980" s="48">
        <f>IF($M980="","",MAX(IF($G980="",$I980,$G980)*(1/1.1),IF($G980="",$I980,$G980)+(R$2*$M980)))</f>
        <v/>
      </c>
      <c r="S980" s="49">
        <f>IF($M980="","",MAX(IF($G980="",$I980,$G980)*(1/1.1),IF($G980="",$I980,$G980)+(S$2*$M980)))</f>
        <v/>
      </c>
      <c r="T980" s="82" t="n"/>
      <c r="U980" s="47">
        <f>IF(OR($M980="",$T980=""),"",$T980+(U$2*$M980))</f>
        <v/>
      </c>
      <c r="V980" s="48">
        <f>IF(OR($M980="",$T980=""),"",$T980+(V$2*$M980))</f>
        <v/>
      </c>
      <c r="W980" s="48">
        <f>IF(OR($M980="",$T980=""),"",$T980+(W$2*$M980))</f>
        <v/>
      </c>
      <c r="X980" s="49">
        <f>IF(OR($M980="",$T980=""),"",$T980+(X$2*$M980))</f>
        <v/>
      </c>
      <c r="Y980" s="47">
        <f>IF(OR($M980="",$T980=""),"",$T980+(Y$2*$M980))</f>
        <v/>
      </c>
      <c r="Z980" s="49">
        <f>IF(OR($M980="",$T980=""),"",$T980+(Z$2*$M980))</f>
        <v/>
      </c>
      <c r="AA980" s="51">
        <f>IF(OR($M980="",$T980=""),"",$T980+(AA$2*$M980))</f>
        <v/>
      </c>
      <c r="AB980" s="48">
        <f>IF(OR($M980="",$T980=""),"",$T980+(AB$2*$M980))</f>
        <v/>
      </c>
      <c r="AC980" s="48">
        <f>IF(OR($M980="",$T980=""),"",$T980+(AC$2*$M980))</f>
        <v/>
      </c>
      <c r="AD980" s="48">
        <f>IF(OR($M980="",$T980=""),"",$T980+(AD$2*$M980))</f>
        <v/>
      </c>
      <c r="AE980" s="49">
        <f>IF(OR($M980="",$T980=""),"",$T980+(AE$2*$M980))</f>
        <v/>
      </c>
      <c r="AF980" s="52">
        <f>IF(OR(T980="",I980&lt;T980),"",IFERROR(AVERAGE(T980+M980*{7,8,9,10,11})/IF(G980="",I980,G980)-1,""))</f>
        <v/>
      </c>
      <c r="AG980" s="55">
        <f>IF(OR(T980="",I980&lt;T980),"",IFERROR(AF980/-(R980/IF(G980="",I980,G980)-1),""))</f>
        <v/>
      </c>
      <c r="AH980" s="94" t="n"/>
      <c r="AI980" s="94" t="n"/>
      <c r="AJ980" s="94" t="n"/>
      <c r="AK980" s="94" t="n"/>
      <c r="AL980" s="84" t="n"/>
    </row>
    <row r="981">
      <c r="A981" s="64" t="n"/>
      <c r="B981" s="65" t="n"/>
      <c r="C981" s="66" t="n"/>
      <c r="D981" s="67" t="n"/>
      <c r="E981" s="68" t="n"/>
      <c r="F981" s="47">
        <f>IF(A981="","",IF(MIN(H981,MAX(J981:K981))=0,"",MIN(H981,MAX(J981:K981))))</f>
        <v/>
      </c>
      <c r="G981" s="74" t="n"/>
      <c r="H981" s="49">
        <f>IF(M981="","",IFERROR(ROUND(AVERAGE(T981+M981*{7,8,9,10,11})/1.21,4),""))</f>
        <v/>
      </c>
      <c r="I981" s="76" t="n"/>
      <c r="J981" s="77" t="n"/>
      <c r="K981" s="74" t="n"/>
      <c r="L981" s="78" t="n"/>
      <c r="M981" s="77" t="n"/>
      <c r="N981" s="53">
        <f>IF(M981="","",IFERROR(M981/I981,""))</f>
        <v/>
      </c>
      <c r="O981" s="50">
        <f>IF(A981="","",IFERROR((IF(G981="",I981,G981)-T981)/M981,""))</f>
        <v/>
      </c>
      <c r="P981" s="50">
        <f>IFERROR((I981/T981-1)/N981,"")</f>
        <v/>
      </c>
      <c r="Q981" s="46">
        <f>IF(OR(T981="",I981&lt;T981),"",IFERROR(R981/IF(G981="",I981,G981)-1,""))</f>
        <v/>
      </c>
      <c r="R981" s="48">
        <f>IF($M981="","",MAX(IF($G981="",$I981,$G981)*(1/1.1),IF($G981="",$I981,$G981)+(R$2*$M981)))</f>
        <v/>
      </c>
      <c r="S981" s="49">
        <f>IF($M981="","",MAX(IF($G981="",$I981,$G981)*(1/1.1),IF($G981="",$I981,$G981)+(S$2*$M981)))</f>
        <v/>
      </c>
      <c r="T981" s="82" t="n"/>
      <c r="U981" s="47">
        <f>IF(OR($M981="",$T981=""),"",$T981+(U$2*$M981))</f>
        <v/>
      </c>
      <c r="V981" s="48">
        <f>IF(OR($M981="",$T981=""),"",$T981+(V$2*$M981))</f>
        <v/>
      </c>
      <c r="W981" s="48">
        <f>IF(OR($M981="",$T981=""),"",$T981+(W$2*$M981))</f>
        <v/>
      </c>
      <c r="X981" s="49">
        <f>IF(OR($M981="",$T981=""),"",$T981+(X$2*$M981))</f>
        <v/>
      </c>
      <c r="Y981" s="47">
        <f>IF(OR($M981="",$T981=""),"",$T981+(Y$2*$M981))</f>
        <v/>
      </c>
      <c r="Z981" s="49">
        <f>IF(OR($M981="",$T981=""),"",$T981+(Z$2*$M981))</f>
        <v/>
      </c>
      <c r="AA981" s="51">
        <f>IF(OR($M981="",$T981=""),"",$T981+(AA$2*$M981))</f>
        <v/>
      </c>
      <c r="AB981" s="48">
        <f>IF(OR($M981="",$T981=""),"",$T981+(AB$2*$M981))</f>
        <v/>
      </c>
      <c r="AC981" s="48">
        <f>IF(OR($M981="",$T981=""),"",$T981+(AC$2*$M981))</f>
        <v/>
      </c>
      <c r="AD981" s="48">
        <f>IF(OR($M981="",$T981=""),"",$T981+(AD$2*$M981))</f>
        <v/>
      </c>
      <c r="AE981" s="49">
        <f>IF(OR($M981="",$T981=""),"",$T981+(AE$2*$M981))</f>
        <v/>
      </c>
      <c r="AF981" s="52">
        <f>IF(OR(T981="",I981&lt;T981),"",IFERROR(AVERAGE(T981+M981*{7,8,9,10,11})/IF(G981="",I981,G981)-1,""))</f>
        <v/>
      </c>
      <c r="AG981" s="55">
        <f>IF(OR(T981="",I981&lt;T981),"",IFERROR(AF981/-(R981/IF(G981="",I981,G981)-1),""))</f>
        <v/>
      </c>
      <c r="AH981" s="94" t="n"/>
      <c r="AI981" s="94" t="n"/>
      <c r="AJ981" s="94" t="n"/>
      <c r="AK981" s="94" t="n"/>
      <c r="AL981" s="84" t="n"/>
    </row>
    <row r="982">
      <c r="A982" s="64" t="n"/>
      <c r="B982" s="65" t="n"/>
      <c r="C982" s="66" t="n"/>
      <c r="D982" s="67" t="n"/>
      <c r="E982" s="68" t="n"/>
      <c r="F982" s="47">
        <f>IF(A982="","",IF(MIN(H982,MAX(J982:K982))=0,"",MIN(H982,MAX(J982:K982))))</f>
        <v/>
      </c>
      <c r="G982" s="74" t="n"/>
      <c r="H982" s="49">
        <f>IF(M982="","",IFERROR(ROUND(AVERAGE(T982+M982*{7,8,9,10,11})/1.21,4),""))</f>
        <v/>
      </c>
      <c r="I982" s="76" t="n"/>
      <c r="J982" s="77" t="n"/>
      <c r="K982" s="74" t="n"/>
      <c r="L982" s="78" t="n"/>
      <c r="M982" s="77" t="n"/>
      <c r="N982" s="53">
        <f>IF(M982="","",IFERROR(M982/I982,""))</f>
        <v/>
      </c>
      <c r="O982" s="50">
        <f>IF(A982="","",IFERROR((IF(G982="",I982,G982)-T982)/M982,""))</f>
        <v/>
      </c>
      <c r="P982" s="50">
        <f>IFERROR((I982/T982-1)/N982,"")</f>
        <v/>
      </c>
      <c r="Q982" s="46">
        <f>IF(OR(T982="",I982&lt;T982),"",IFERROR(R982/IF(G982="",I982,G982)-1,""))</f>
        <v/>
      </c>
      <c r="R982" s="48">
        <f>IF($M982="","",MAX(IF($G982="",$I982,$G982)*(1/1.1),IF($G982="",$I982,$G982)+(R$2*$M982)))</f>
        <v/>
      </c>
      <c r="S982" s="49">
        <f>IF($M982="","",MAX(IF($G982="",$I982,$G982)*(1/1.1),IF($G982="",$I982,$G982)+(S$2*$M982)))</f>
        <v/>
      </c>
      <c r="T982" s="82" t="n"/>
      <c r="U982" s="47">
        <f>IF(OR($M982="",$T982=""),"",$T982+(U$2*$M982))</f>
        <v/>
      </c>
      <c r="V982" s="48">
        <f>IF(OR($M982="",$T982=""),"",$T982+(V$2*$M982))</f>
        <v/>
      </c>
      <c r="W982" s="48">
        <f>IF(OR($M982="",$T982=""),"",$T982+(W$2*$M982))</f>
        <v/>
      </c>
      <c r="X982" s="49">
        <f>IF(OR($M982="",$T982=""),"",$T982+(X$2*$M982))</f>
        <v/>
      </c>
      <c r="Y982" s="47">
        <f>IF(OR($M982="",$T982=""),"",$T982+(Y$2*$M982))</f>
        <v/>
      </c>
      <c r="Z982" s="49">
        <f>IF(OR($M982="",$T982=""),"",$T982+(Z$2*$M982))</f>
        <v/>
      </c>
      <c r="AA982" s="51">
        <f>IF(OR($M982="",$T982=""),"",$T982+(AA$2*$M982))</f>
        <v/>
      </c>
      <c r="AB982" s="48">
        <f>IF(OR($M982="",$T982=""),"",$T982+(AB$2*$M982))</f>
        <v/>
      </c>
      <c r="AC982" s="48">
        <f>IF(OR($M982="",$T982=""),"",$T982+(AC$2*$M982))</f>
        <v/>
      </c>
      <c r="AD982" s="48">
        <f>IF(OR($M982="",$T982=""),"",$T982+(AD$2*$M982))</f>
        <v/>
      </c>
      <c r="AE982" s="49">
        <f>IF(OR($M982="",$T982=""),"",$T982+(AE$2*$M982))</f>
        <v/>
      </c>
      <c r="AF982" s="52">
        <f>IF(OR(T982="",I982&lt;T982),"",IFERROR(AVERAGE(T982+M982*{7,8,9,10,11})/IF(G982="",I982,G982)-1,""))</f>
        <v/>
      </c>
      <c r="AG982" s="55">
        <f>IF(OR(T982="",I982&lt;T982),"",IFERROR(AF982/-(R982/IF(G982="",I982,G982)-1),""))</f>
        <v/>
      </c>
      <c r="AH982" s="94" t="n"/>
      <c r="AI982" s="94" t="n"/>
      <c r="AJ982" s="94" t="n"/>
      <c r="AK982" s="94" t="n"/>
      <c r="AL982" s="84" t="n"/>
    </row>
    <row r="983">
      <c r="A983" s="64" t="n"/>
      <c r="B983" s="65" t="n"/>
      <c r="C983" s="66" t="n"/>
      <c r="D983" s="67" t="n"/>
      <c r="E983" s="68" t="n"/>
      <c r="F983" s="47">
        <f>IF(A983="","",IF(MIN(H983,MAX(J983:K983))=0,"",MIN(H983,MAX(J983:K983))))</f>
        <v/>
      </c>
      <c r="G983" s="74" t="n"/>
      <c r="H983" s="49">
        <f>IF(M983="","",IFERROR(ROUND(AVERAGE(T983+M983*{7,8,9,10,11})/1.21,4),""))</f>
        <v/>
      </c>
      <c r="I983" s="76" t="n"/>
      <c r="J983" s="77" t="n"/>
      <c r="K983" s="74" t="n"/>
      <c r="L983" s="78" t="n"/>
      <c r="M983" s="77" t="n"/>
      <c r="N983" s="53">
        <f>IF(M983="","",IFERROR(M983/I983,""))</f>
        <v/>
      </c>
      <c r="O983" s="50">
        <f>IF(A983="","",IFERROR((IF(G983="",I983,G983)-T983)/M983,""))</f>
        <v/>
      </c>
      <c r="P983" s="50">
        <f>IFERROR((I983/T983-1)/N983,"")</f>
        <v/>
      </c>
      <c r="Q983" s="46">
        <f>IF(OR(T983="",I983&lt;T983),"",IFERROR(R983/IF(G983="",I983,G983)-1,""))</f>
        <v/>
      </c>
      <c r="R983" s="48">
        <f>IF($M983="","",MAX(IF($G983="",$I983,$G983)*(1/1.1),IF($G983="",$I983,$G983)+(R$2*$M983)))</f>
        <v/>
      </c>
      <c r="S983" s="49">
        <f>IF($M983="","",MAX(IF($G983="",$I983,$G983)*(1/1.1),IF($G983="",$I983,$G983)+(S$2*$M983)))</f>
        <v/>
      </c>
      <c r="T983" s="82" t="n"/>
      <c r="U983" s="47">
        <f>IF(OR($M983="",$T983=""),"",$T983+(U$2*$M983))</f>
        <v/>
      </c>
      <c r="V983" s="48">
        <f>IF(OR($M983="",$T983=""),"",$T983+(V$2*$M983))</f>
        <v/>
      </c>
      <c r="W983" s="48">
        <f>IF(OR($M983="",$T983=""),"",$T983+(W$2*$M983))</f>
        <v/>
      </c>
      <c r="X983" s="49">
        <f>IF(OR($M983="",$T983=""),"",$T983+(X$2*$M983))</f>
        <v/>
      </c>
      <c r="Y983" s="47">
        <f>IF(OR($M983="",$T983=""),"",$T983+(Y$2*$M983))</f>
        <v/>
      </c>
      <c r="Z983" s="49">
        <f>IF(OR($M983="",$T983=""),"",$T983+(Z$2*$M983))</f>
        <v/>
      </c>
      <c r="AA983" s="51">
        <f>IF(OR($M983="",$T983=""),"",$T983+(AA$2*$M983))</f>
        <v/>
      </c>
      <c r="AB983" s="48">
        <f>IF(OR($M983="",$T983=""),"",$T983+(AB$2*$M983))</f>
        <v/>
      </c>
      <c r="AC983" s="48">
        <f>IF(OR($M983="",$T983=""),"",$T983+(AC$2*$M983))</f>
        <v/>
      </c>
      <c r="AD983" s="48">
        <f>IF(OR($M983="",$T983=""),"",$T983+(AD$2*$M983))</f>
        <v/>
      </c>
      <c r="AE983" s="49">
        <f>IF(OR($M983="",$T983=""),"",$T983+(AE$2*$M983))</f>
        <v/>
      </c>
      <c r="AF983" s="52">
        <f>IF(OR(T983="",I983&lt;T983),"",IFERROR(AVERAGE(T983+M983*{7,8,9,10,11})/IF(G983="",I983,G983)-1,""))</f>
        <v/>
      </c>
      <c r="AG983" s="55">
        <f>IF(OR(T983="",I983&lt;T983),"",IFERROR(AF983/-(R983/IF(G983="",I983,G983)-1),""))</f>
        <v/>
      </c>
      <c r="AH983" s="94" t="n"/>
      <c r="AI983" s="94" t="n"/>
      <c r="AJ983" s="94" t="n"/>
      <c r="AK983" s="94" t="n"/>
      <c r="AL983" s="84" t="n"/>
    </row>
    <row r="984">
      <c r="A984" s="64" t="n"/>
      <c r="B984" s="65" t="n"/>
      <c r="C984" s="66" t="n"/>
      <c r="D984" s="67" t="n"/>
      <c r="E984" s="68" t="n"/>
      <c r="F984" s="47">
        <f>IF(A984="","",IF(MIN(H984,MAX(J984:K984))=0,"",MIN(H984,MAX(J984:K984))))</f>
        <v/>
      </c>
      <c r="G984" s="74" t="n"/>
      <c r="H984" s="49">
        <f>IF(M984="","",IFERROR(ROUND(AVERAGE(T984+M984*{7,8,9,10,11})/1.21,4),""))</f>
        <v/>
      </c>
      <c r="I984" s="76" t="n"/>
      <c r="J984" s="77" t="n"/>
      <c r="K984" s="74" t="n"/>
      <c r="L984" s="78" t="n"/>
      <c r="M984" s="77" t="n"/>
      <c r="N984" s="53">
        <f>IF(M984="","",IFERROR(M984/I984,""))</f>
        <v/>
      </c>
      <c r="O984" s="50">
        <f>IF(A984="","",IFERROR((IF(G984="",I984,G984)-T984)/M984,""))</f>
        <v/>
      </c>
      <c r="P984" s="50">
        <f>IFERROR((I984/T984-1)/N984,"")</f>
        <v/>
      </c>
      <c r="Q984" s="46">
        <f>IF(OR(T984="",I984&lt;T984),"",IFERROR(R984/IF(G984="",I984,G984)-1,""))</f>
        <v/>
      </c>
      <c r="R984" s="48">
        <f>IF($M984="","",MAX(IF($G984="",$I984,$G984)*(1/1.1),IF($G984="",$I984,$G984)+(R$2*$M984)))</f>
        <v/>
      </c>
      <c r="S984" s="49">
        <f>IF($M984="","",MAX(IF($G984="",$I984,$G984)*(1/1.1),IF($G984="",$I984,$G984)+(S$2*$M984)))</f>
        <v/>
      </c>
      <c r="T984" s="82" t="n"/>
      <c r="U984" s="47">
        <f>IF(OR($M984="",$T984=""),"",$T984+(U$2*$M984))</f>
        <v/>
      </c>
      <c r="V984" s="48">
        <f>IF(OR($M984="",$T984=""),"",$T984+(V$2*$M984))</f>
        <v/>
      </c>
      <c r="W984" s="48">
        <f>IF(OR($M984="",$T984=""),"",$T984+(W$2*$M984))</f>
        <v/>
      </c>
      <c r="X984" s="49">
        <f>IF(OR($M984="",$T984=""),"",$T984+(X$2*$M984))</f>
        <v/>
      </c>
      <c r="Y984" s="47">
        <f>IF(OR($M984="",$T984=""),"",$T984+(Y$2*$M984))</f>
        <v/>
      </c>
      <c r="Z984" s="49">
        <f>IF(OR($M984="",$T984=""),"",$T984+(Z$2*$M984))</f>
        <v/>
      </c>
      <c r="AA984" s="51">
        <f>IF(OR($M984="",$T984=""),"",$T984+(AA$2*$M984))</f>
        <v/>
      </c>
      <c r="AB984" s="48">
        <f>IF(OR($M984="",$T984=""),"",$T984+(AB$2*$M984))</f>
        <v/>
      </c>
      <c r="AC984" s="48">
        <f>IF(OR($M984="",$T984=""),"",$T984+(AC$2*$M984))</f>
        <v/>
      </c>
      <c r="AD984" s="48">
        <f>IF(OR($M984="",$T984=""),"",$T984+(AD$2*$M984))</f>
        <v/>
      </c>
      <c r="AE984" s="49">
        <f>IF(OR($M984="",$T984=""),"",$T984+(AE$2*$M984))</f>
        <v/>
      </c>
      <c r="AF984" s="52">
        <f>IF(OR(T984="",I984&lt;T984),"",IFERROR(AVERAGE(T984+M984*{7,8,9,10,11})/IF(G984="",I984,G984)-1,""))</f>
        <v/>
      </c>
      <c r="AG984" s="55">
        <f>IF(OR(T984="",I984&lt;T984),"",IFERROR(AF984/-(R984/IF(G984="",I984,G984)-1),""))</f>
        <v/>
      </c>
      <c r="AH984" s="94" t="n"/>
      <c r="AI984" s="94" t="n"/>
      <c r="AJ984" s="94" t="n"/>
      <c r="AK984" s="94" t="n"/>
      <c r="AL984" s="84" t="n"/>
    </row>
    <row r="985">
      <c r="A985" s="64" t="n"/>
      <c r="B985" s="65" t="n"/>
      <c r="C985" s="66" t="n"/>
      <c r="D985" s="67" t="n"/>
      <c r="E985" s="68" t="n"/>
      <c r="F985" s="47">
        <f>IF(A985="","",IF(MIN(H985,MAX(J985:K985))=0,"",MIN(H985,MAX(J985:K985))))</f>
        <v/>
      </c>
      <c r="G985" s="74" t="n"/>
      <c r="H985" s="49">
        <f>IF(M985="","",IFERROR(ROUND(AVERAGE(T985+M985*{7,8,9,10,11})/1.21,4),""))</f>
        <v/>
      </c>
      <c r="I985" s="76" t="n"/>
      <c r="J985" s="77" t="n"/>
      <c r="K985" s="74" t="n"/>
      <c r="L985" s="78" t="n"/>
      <c r="M985" s="77" t="n"/>
      <c r="N985" s="53">
        <f>IF(M985="","",IFERROR(M985/I985,""))</f>
        <v/>
      </c>
      <c r="O985" s="50">
        <f>IF(A985="","",IFERROR((IF(G985="",I985,G985)-T985)/M985,""))</f>
        <v/>
      </c>
      <c r="P985" s="50">
        <f>IFERROR((I985/T985-1)/N985,"")</f>
        <v/>
      </c>
      <c r="Q985" s="46">
        <f>IF(OR(T985="",I985&lt;T985),"",IFERROR(R985/IF(G985="",I985,G985)-1,""))</f>
        <v/>
      </c>
      <c r="R985" s="48">
        <f>IF($M985="","",MAX(IF($G985="",$I985,$G985)*(1/1.1),IF($G985="",$I985,$G985)+(R$2*$M985)))</f>
        <v/>
      </c>
      <c r="S985" s="49">
        <f>IF($M985="","",MAX(IF($G985="",$I985,$G985)*(1/1.1),IF($G985="",$I985,$G985)+(S$2*$M985)))</f>
        <v/>
      </c>
      <c r="T985" s="82" t="n"/>
      <c r="U985" s="47">
        <f>IF(OR($M985="",$T985=""),"",$T985+(U$2*$M985))</f>
        <v/>
      </c>
      <c r="V985" s="48">
        <f>IF(OR($M985="",$T985=""),"",$T985+(V$2*$M985))</f>
        <v/>
      </c>
      <c r="W985" s="48">
        <f>IF(OR($M985="",$T985=""),"",$T985+(W$2*$M985))</f>
        <v/>
      </c>
      <c r="X985" s="49">
        <f>IF(OR($M985="",$T985=""),"",$T985+(X$2*$M985))</f>
        <v/>
      </c>
      <c r="Y985" s="47">
        <f>IF(OR($M985="",$T985=""),"",$T985+(Y$2*$M985))</f>
        <v/>
      </c>
      <c r="Z985" s="49">
        <f>IF(OR($M985="",$T985=""),"",$T985+(Z$2*$M985))</f>
        <v/>
      </c>
      <c r="AA985" s="51">
        <f>IF(OR($M985="",$T985=""),"",$T985+(AA$2*$M985))</f>
        <v/>
      </c>
      <c r="AB985" s="48">
        <f>IF(OR($M985="",$T985=""),"",$T985+(AB$2*$M985))</f>
        <v/>
      </c>
      <c r="AC985" s="48">
        <f>IF(OR($M985="",$T985=""),"",$T985+(AC$2*$M985))</f>
        <v/>
      </c>
      <c r="AD985" s="48">
        <f>IF(OR($M985="",$T985=""),"",$T985+(AD$2*$M985))</f>
        <v/>
      </c>
      <c r="AE985" s="49">
        <f>IF(OR($M985="",$T985=""),"",$T985+(AE$2*$M985))</f>
        <v/>
      </c>
      <c r="AF985" s="52">
        <f>IF(OR(T985="",I985&lt;T985),"",IFERROR(AVERAGE(T985+M985*{7,8,9,10,11})/IF(G985="",I985,G985)-1,""))</f>
        <v/>
      </c>
      <c r="AG985" s="55">
        <f>IF(OR(T985="",I985&lt;T985),"",IFERROR(AF985/-(R985/IF(G985="",I985,G985)-1),""))</f>
        <v/>
      </c>
      <c r="AH985" s="94" t="n"/>
      <c r="AI985" s="94" t="n"/>
      <c r="AJ985" s="94" t="n"/>
      <c r="AK985" s="94" t="n"/>
      <c r="AL985" s="84" t="n"/>
    </row>
    <row r="986">
      <c r="A986" s="64" t="n"/>
      <c r="B986" s="65" t="n"/>
      <c r="C986" s="66" t="n"/>
      <c r="D986" s="67" t="n"/>
      <c r="E986" s="68" t="n"/>
      <c r="F986" s="47">
        <f>IF(A986="","",IF(MIN(H986,MAX(J986:K986))=0,"",MIN(H986,MAX(J986:K986))))</f>
        <v/>
      </c>
      <c r="G986" s="74" t="n"/>
      <c r="H986" s="49">
        <f>IF(M986="","",IFERROR(ROUND(AVERAGE(T986+M986*{7,8,9,10,11})/1.21,4),""))</f>
        <v/>
      </c>
      <c r="I986" s="76" t="n"/>
      <c r="J986" s="77" t="n"/>
      <c r="K986" s="74" t="n"/>
      <c r="L986" s="78" t="n"/>
      <c r="M986" s="77" t="n"/>
      <c r="N986" s="53">
        <f>IF(M986="","",IFERROR(M986/I986,""))</f>
        <v/>
      </c>
      <c r="O986" s="50">
        <f>IF(A986="","",IFERROR((IF(G986="",I986,G986)-T986)/M986,""))</f>
        <v/>
      </c>
      <c r="P986" s="50">
        <f>IFERROR((I986/T986-1)/N986,"")</f>
        <v/>
      </c>
      <c r="Q986" s="46">
        <f>IF(OR(T986="",I986&lt;T986),"",IFERROR(R986/IF(G986="",I986,G986)-1,""))</f>
        <v/>
      </c>
      <c r="R986" s="48">
        <f>IF($M986="","",MAX(IF($G986="",$I986,$G986)*(1/1.1),IF($G986="",$I986,$G986)+(R$2*$M986)))</f>
        <v/>
      </c>
      <c r="S986" s="49">
        <f>IF($M986="","",MAX(IF($G986="",$I986,$G986)*(1/1.1),IF($G986="",$I986,$G986)+(S$2*$M986)))</f>
        <v/>
      </c>
      <c r="T986" s="82" t="n"/>
      <c r="U986" s="47">
        <f>IF(OR($M986="",$T986=""),"",$T986+(U$2*$M986))</f>
        <v/>
      </c>
      <c r="V986" s="48">
        <f>IF(OR($M986="",$T986=""),"",$T986+(V$2*$M986))</f>
        <v/>
      </c>
      <c r="W986" s="48">
        <f>IF(OR($M986="",$T986=""),"",$T986+(W$2*$M986))</f>
        <v/>
      </c>
      <c r="X986" s="49">
        <f>IF(OR($M986="",$T986=""),"",$T986+(X$2*$M986))</f>
        <v/>
      </c>
      <c r="Y986" s="47">
        <f>IF(OR($M986="",$T986=""),"",$T986+(Y$2*$M986))</f>
        <v/>
      </c>
      <c r="Z986" s="49">
        <f>IF(OR($M986="",$T986=""),"",$T986+(Z$2*$M986))</f>
        <v/>
      </c>
      <c r="AA986" s="51">
        <f>IF(OR($M986="",$T986=""),"",$T986+(AA$2*$M986))</f>
        <v/>
      </c>
      <c r="AB986" s="48">
        <f>IF(OR($M986="",$T986=""),"",$T986+(AB$2*$M986))</f>
        <v/>
      </c>
      <c r="AC986" s="48">
        <f>IF(OR($M986="",$T986=""),"",$T986+(AC$2*$M986))</f>
        <v/>
      </c>
      <c r="AD986" s="48">
        <f>IF(OR($M986="",$T986=""),"",$T986+(AD$2*$M986))</f>
        <v/>
      </c>
      <c r="AE986" s="49">
        <f>IF(OR($M986="",$T986=""),"",$T986+(AE$2*$M986))</f>
        <v/>
      </c>
      <c r="AF986" s="52">
        <f>IF(OR(T986="",I986&lt;T986),"",IFERROR(AVERAGE(T986+M986*{7,8,9,10,11})/IF(G986="",I986,G986)-1,""))</f>
        <v/>
      </c>
      <c r="AG986" s="55">
        <f>IF(OR(T986="",I986&lt;T986),"",IFERROR(AF986/-(R986/IF(G986="",I986,G986)-1),""))</f>
        <v/>
      </c>
      <c r="AH986" s="94" t="n"/>
      <c r="AI986" s="94" t="n"/>
      <c r="AJ986" s="94" t="n"/>
      <c r="AK986" s="94" t="n"/>
      <c r="AL986" s="84" t="n"/>
    </row>
    <row r="987">
      <c r="A987" s="64" t="n"/>
      <c r="B987" s="65" t="n"/>
      <c r="C987" s="66" t="n"/>
      <c r="D987" s="67" t="n"/>
      <c r="E987" s="68" t="n"/>
      <c r="F987" s="47">
        <f>IF(A987="","",IF(MIN(H987,MAX(J987:K987))=0,"",MIN(H987,MAX(J987:K987))))</f>
        <v/>
      </c>
      <c r="G987" s="74" t="n"/>
      <c r="H987" s="49">
        <f>IF(M987="","",IFERROR(ROUND(AVERAGE(T987+M987*{7,8,9,10,11})/1.21,4),""))</f>
        <v/>
      </c>
      <c r="I987" s="76" t="n"/>
      <c r="J987" s="77" t="n"/>
      <c r="K987" s="74" t="n"/>
      <c r="L987" s="78" t="n"/>
      <c r="M987" s="77" t="n"/>
      <c r="N987" s="53">
        <f>IF(M987="","",IFERROR(M987/I987,""))</f>
        <v/>
      </c>
      <c r="O987" s="50">
        <f>IF(A987="","",IFERROR((IF(G987="",I987,G987)-T987)/M987,""))</f>
        <v/>
      </c>
      <c r="P987" s="50">
        <f>IFERROR((I987/T987-1)/N987,"")</f>
        <v/>
      </c>
      <c r="Q987" s="46">
        <f>IF(OR(T987="",I987&lt;T987),"",IFERROR(R987/IF(G987="",I987,G987)-1,""))</f>
        <v/>
      </c>
      <c r="R987" s="48">
        <f>IF($M987="","",MAX(IF($G987="",$I987,$G987)*(1/1.1),IF($G987="",$I987,$G987)+(R$2*$M987)))</f>
        <v/>
      </c>
      <c r="S987" s="49">
        <f>IF($M987="","",MAX(IF($G987="",$I987,$G987)*(1/1.1),IF($G987="",$I987,$G987)+(S$2*$M987)))</f>
        <v/>
      </c>
      <c r="T987" s="82" t="n"/>
      <c r="U987" s="47">
        <f>IF(OR($M987="",$T987=""),"",$T987+(U$2*$M987))</f>
        <v/>
      </c>
      <c r="V987" s="48">
        <f>IF(OR($M987="",$T987=""),"",$T987+(V$2*$M987))</f>
        <v/>
      </c>
      <c r="W987" s="48">
        <f>IF(OR($M987="",$T987=""),"",$T987+(W$2*$M987))</f>
        <v/>
      </c>
      <c r="X987" s="49">
        <f>IF(OR($M987="",$T987=""),"",$T987+(X$2*$M987))</f>
        <v/>
      </c>
      <c r="Y987" s="47">
        <f>IF(OR($M987="",$T987=""),"",$T987+(Y$2*$M987))</f>
        <v/>
      </c>
      <c r="Z987" s="49">
        <f>IF(OR($M987="",$T987=""),"",$T987+(Z$2*$M987))</f>
        <v/>
      </c>
      <c r="AA987" s="51">
        <f>IF(OR($M987="",$T987=""),"",$T987+(AA$2*$M987))</f>
        <v/>
      </c>
      <c r="AB987" s="48">
        <f>IF(OR($M987="",$T987=""),"",$T987+(AB$2*$M987))</f>
        <v/>
      </c>
      <c r="AC987" s="48">
        <f>IF(OR($M987="",$T987=""),"",$T987+(AC$2*$M987))</f>
        <v/>
      </c>
      <c r="AD987" s="48">
        <f>IF(OR($M987="",$T987=""),"",$T987+(AD$2*$M987))</f>
        <v/>
      </c>
      <c r="AE987" s="49">
        <f>IF(OR($M987="",$T987=""),"",$T987+(AE$2*$M987))</f>
        <v/>
      </c>
      <c r="AF987" s="52">
        <f>IF(OR(T987="",I987&lt;T987),"",IFERROR(AVERAGE(T987+M987*{7,8,9,10,11})/IF(G987="",I987,G987)-1,""))</f>
        <v/>
      </c>
      <c r="AG987" s="55">
        <f>IF(OR(T987="",I987&lt;T987),"",IFERROR(AF987/-(R987/IF(G987="",I987,G987)-1),""))</f>
        <v/>
      </c>
      <c r="AH987" s="94" t="n"/>
      <c r="AI987" s="94" t="n"/>
      <c r="AJ987" s="94" t="n"/>
      <c r="AK987" s="94" t="n"/>
      <c r="AL987" s="84" t="n"/>
    </row>
    <row r="988">
      <c r="A988" s="64" t="n"/>
      <c r="B988" s="65" t="n"/>
      <c r="C988" s="66" t="n"/>
      <c r="D988" s="67" t="n"/>
      <c r="E988" s="68" t="n"/>
      <c r="F988" s="47">
        <f>IF(A988="","",IF(MIN(H988,MAX(J988:K988))=0,"",MIN(H988,MAX(J988:K988))))</f>
        <v/>
      </c>
      <c r="G988" s="74" t="n"/>
      <c r="H988" s="49">
        <f>IF(M988="","",IFERROR(ROUND(AVERAGE(T988+M988*{7,8,9,10,11})/1.21,4),""))</f>
        <v/>
      </c>
      <c r="I988" s="76" t="n"/>
      <c r="J988" s="77" t="n"/>
      <c r="K988" s="74" t="n"/>
      <c r="L988" s="78" t="n"/>
      <c r="M988" s="77" t="n"/>
      <c r="N988" s="53">
        <f>IF(M988="","",IFERROR(M988/I988,""))</f>
        <v/>
      </c>
      <c r="O988" s="50">
        <f>IF(A988="","",IFERROR((IF(G988="",I988,G988)-T988)/M988,""))</f>
        <v/>
      </c>
      <c r="P988" s="50">
        <f>IFERROR((I988/T988-1)/N988,"")</f>
        <v/>
      </c>
      <c r="Q988" s="46">
        <f>IF(OR(T988="",I988&lt;T988),"",IFERROR(R988/IF(G988="",I988,G988)-1,""))</f>
        <v/>
      </c>
      <c r="R988" s="48">
        <f>IF($M988="","",MAX(IF($G988="",$I988,$G988)*(1/1.1),IF($G988="",$I988,$G988)+(R$2*$M988)))</f>
        <v/>
      </c>
      <c r="S988" s="49">
        <f>IF($M988="","",MAX(IF($G988="",$I988,$G988)*(1/1.1),IF($G988="",$I988,$G988)+(S$2*$M988)))</f>
        <v/>
      </c>
      <c r="T988" s="82" t="n"/>
      <c r="U988" s="47">
        <f>IF(OR($M988="",$T988=""),"",$T988+(U$2*$M988))</f>
        <v/>
      </c>
      <c r="V988" s="48">
        <f>IF(OR($M988="",$T988=""),"",$T988+(V$2*$M988))</f>
        <v/>
      </c>
      <c r="W988" s="48">
        <f>IF(OR($M988="",$T988=""),"",$T988+(W$2*$M988))</f>
        <v/>
      </c>
      <c r="X988" s="49">
        <f>IF(OR($M988="",$T988=""),"",$T988+(X$2*$M988))</f>
        <v/>
      </c>
      <c r="Y988" s="47">
        <f>IF(OR($M988="",$T988=""),"",$T988+(Y$2*$M988))</f>
        <v/>
      </c>
      <c r="Z988" s="49">
        <f>IF(OR($M988="",$T988=""),"",$T988+(Z$2*$M988))</f>
        <v/>
      </c>
      <c r="AA988" s="51">
        <f>IF(OR($M988="",$T988=""),"",$T988+(AA$2*$M988))</f>
        <v/>
      </c>
      <c r="AB988" s="48">
        <f>IF(OR($M988="",$T988=""),"",$T988+(AB$2*$M988))</f>
        <v/>
      </c>
      <c r="AC988" s="48">
        <f>IF(OR($M988="",$T988=""),"",$T988+(AC$2*$M988))</f>
        <v/>
      </c>
      <c r="AD988" s="48">
        <f>IF(OR($M988="",$T988=""),"",$T988+(AD$2*$M988))</f>
        <v/>
      </c>
      <c r="AE988" s="49">
        <f>IF(OR($M988="",$T988=""),"",$T988+(AE$2*$M988))</f>
        <v/>
      </c>
      <c r="AF988" s="52">
        <f>IF(OR(T988="",I988&lt;T988),"",IFERROR(AVERAGE(T988+M988*{7,8,9,10,11})/IF(G988="",I988,G988)-1,""))</f>
        <v/>
      </c>
      <c r="AG988" s="55">
        <f>IF(OR(T988="",I988&lt;T988),"",IFERROR(AF988/-(R988/IF(G988="",I988,G988)-1),""))</f>
        <v/>
      </c>
      <c r="AH988" s="94" t="n"/>
      <c r="AI988" s="94" t="n"/>
      <c r="AJ988" s="94" t="n"/>
      <c r="AK988" s="94" t="n"/>
      <c r="AL988" s="84" t="n"/>
    </row>
    <row r="989">
      <c r="A989" s="64" t="n"/>
      <c r="B989" s="65" t="n"/>
      <c r="C989" s="66" t="n"/>
      <c r="D989" s="67" t="n"/>
      <c r="E989" s="68" t="n"/>
      <c r="F989" s="47">
        <f>IF(A989="","",IF(MIN(H989,MAX(J989:K989))=0,"",MIN(H989,MAX(J989:K989))))</f>
        <v/>
      </c>
      <c r="G989" s="74" t="n"/>
      <c r="H989" s="49">
        <f>IF(M989="","",IFERROR(ROUND(AVERAGE(T989+M989*{7,8,9,10,11})/1.21,4),""))</f>
        <v/>
      </c>
      <c r="I989" s="76" t="n"/>
      <c r="J989" s="77" t="n"/>
      <c r="K989" s="74" t="n"/>
      <c r="L989" s="78" t="n"/>
      <c r="M989" s="77" t="n"/>
      <c r="N989" s="53">
        <f>IF(M989="","",IFERROR(M989/I989,""))</f>
        <v/>
      </c>
      <c r="O989" s="50">
        <f>IF(A989="","",IFERROR((IF(G989="",I989,G989)-T989)/M989,""))</f>
        <v/>
      </c>
      <c r="P989" s="50">
        <f>IFERROR((I989/T989-1)/N989,"")</f>
        <v/>
      </c>
      <c r="Q989" s="46">
        <f>IF(OR(T989="",I989&lt;T989),"",IFERROR(R989/IF(G989="",I989,G989)-1,""))</f>
        <v/>
      </c>
      <c r="R989" s="48">
        <f>IF($M989="","",MAX(IF($G989="",$I989,$G989)*(1/1.1),IF($G989="",$I989,$G989)+(R$2*$M989)))</f>
        <v/>
      </c>
      <c r="S989" s="49">
        <f>IF($M989="","",MAX(IF($G989="",$I989,$G989)*(1/1.1),IF($G989="",$I989,$G989)+(S$2*$M989)))</f>
        <v/>
      </c>
      <c r="T989" s="82" t="n"/>
      <c r="U989" s="47">
        <f>IF(OR($M989="",$T989=""),"",$T989+(U$2*$M989))</f>
        <v/>
      </c>
      <c r="V989" s="48">
        <f>IF(OR($M989="",$T989=""),"",$T989+(V$2*$M989))</f>
        <v/>
      </c>
      <c r="W989" s="48">
        <f>IF(OR($M989="",$T989=""),"",$T989+(W$2*$M989))</f>
        <v/>
      </c>
      <c r="X989" s="49">
        <f>IF(OR($M989="",$T989=""),"",$T989+(X$2*$M989))</f>
        <v/>
      </c>
      <c r="Y989" s="47">
        <f>IF(OR($M989="",$T989=""),"",$T989+(Y$2*$M989))</f>
        <v/>
      </c>
      <c r="Z989" s="49">
        <f>IF(OR($M989="",$T989=""),"",$T989+(Z$2*$M989))</f>
        <v/>
      </c>
      <c r="AA989" s="51">
        <f>IF(OR($M989="",$T989=""),"",$T989+(AA$2*$M989))</f>
        <v/>
      </c>
      <c r="AB989" s="48">
        <f>IF(OR($M989="",$T989=""),"",$T989+(AB$2*$M989))</f>
        <v/>
      </c>
      <c r="AC989" s="48">
        <f>IF(OR($M989="",$T989=""),"",$T989+(AC$2*$M989))</f>
        <v/>
      </c>
      <c r="AD989" s="48">
        <f>IF(OR($M989="",$T989=""),"",$T989+(AD$2*$M989))</f>
        <v/>
      </c>
      <c r="AE989" s="49">
        <f>IF(OR($M989="",$T989=""),"",$T989+(AE$2*$M989))</f>
        <v/>
      </c>
      <c r="AF989" s="52">
        <f>IF(OR(T989="",I989&lt;T989),"",IFERROR(AVERAGE(T989+M989*{7,8,9,10,11})/IF(G989="",I989,G989)-1,""))</f>
        <v/>
      </c>
      <c r="AG989" s="55">
        <f>IF(OR(T989="",I989&lt;T989),"",IFERROR(AF989/-(R989/IF(G989="",I989,G989)-1),""))</f>
        <v/>
      </c>
      <c r="AH989" s="94" t="n"/>
      <c r="AI989" s="94" t="n"/>
      <c r="AJ989" s="94" t="n"/>
      <c r="AK989" s="94" t="n"/>
      <c r="AL989" s="84" t="n"/>
    </row>
    <row r="990">
      <c r="A990" s="64" t="n"/>
      <c r="B990" s="65" t="n"/>
      <c r="C990" s="66" t="n"/>
      <c r="D990" s="67" t="n"/>
      <c r="E990" s="68" t="n"/>
      <c r="F990" s="47">
        <f>IF(A990="","",IF(MIN(H990,MAX(J990:K990))=0,"",MIN(H990,MAX(J990:K990))))</f>
        <v/>
      </c>
      <c r="G990" s="74" t="n"/>
      <c r="H990" s="49">
        <f>IF(M990="","",IFERROR(ROUND(AVERAGE(T990+M990*{7,8,9,10,11})/1.21,4),""))</f>
        <v/>
      </c>
      <c r="I990" s="76" t="n"/>
      <c r="J990" s="77" t="n"/>
      <c r="K990" s="74" t="n"/>
      <c r="L990" s="78" t="n"/>
      <c r="M990" s="77" t="n"/>
      <c r="N990" s="53">
        <f>IF(M990="","",IFERROR(M990/I990,""))</f>
        <v/>
      </c>
      <c r="O990" s="50">
        <f>IF(A990="","",IFERROR((IF(G990="",I990,G990)-T990)/M990,""))</f>
        <v/>
      </c>
      <c r="P990" s="50">
        <f>IFERROR((I990/T990-1)/N990,"")</f>
        <v/>
      </c>
      <c r="Q990" s="46">
        <f>IF(OR(T990="",I990&lt;T990),"",IFERROR(R990/IF(G990="",I990,G990)-1,""))</f>
        <v/>
      </c>
      <c r="R990" s="48">
        <f>IF($M990="","",MAX(IF($G990="",$I990,$G990)*(1/1.1),IF($G990="",$I990,$G990)+(R$2*$M990)))</f>
        <v/>
      </c>
      <c r="S990" s="49">
        <f>IF($M990="","",MAX(IF($G990="",$I990,$G990)*(1/1.1),IF($G990="",$I990,$G990)+(S$2*$M990)))</f>
        <v/>
      </c>
      <c r="T990" s="82" t="n"/>
      <c r="U990" s="47">
        <f>IF(OR($M990="",$T990=""),"",$T990+(U$2*$M990))</f>
        <v/>
      </c>
      <c r="V990" s="48">
        <f>IF(OR($M990="",$T990=""),"",$T990+(V$2*$M990))</f>
        <v/>
      </c>
      <c r="W990" s="48">
        <f>IF(OR($M990="",$T990=""),"",$T990+(W$2*$M990))</f>
        <v/>
      </c>
      <c r="X990" s="49">
        <f>IF(OR($M990="",$T990=""),"",$T990+(X$2*$M990))</f>
        <v/>
      </c>
      <c r="Y990" s="47">
        <f>IF(OR($M990="",$T990=""),"",$T990+(Y$2*$M990))</f>
        <v/>
      </c>
      <c r="Z990" s="49">
        <f>IF(OR($M990="",$T990=""),"",$T990+(Z$2*$M990))</f>
        <v/>
      </c>
      <c r="AA990" s="51">
        <f>IF(OR($M990="",$T990=""),"",$T990+(AA$2*$M990))</f>
        <v/>
      </c>
      <c r="AB990" s="48">
        <f>IF(OR($M990="",$T990=""),"",$T990+(AB$2*$M990))</f>
        <v/>
      </c>
      <c r="AC990" s="48">
        <f>IF(OR($M990="",$T990=""),"",$T990+(AC$2*$M990))</f>
        <v/>
      </c>
      <c r="AD990" s="48">
        <f>IF(OR($M990="",$T990=""),"",$T990+(AD$2*$M990))</f>
        <v/>
      </c>
      <c r="AE990" s="49">
        <f>IF(OR($M990="",$T990=""),"",$T990+(AE$2*$M990))</f>
        <v/>
      </c>
      <c r="AF990" s="52">
        <f>IF(OR(T990="",I990&lt;T990),"",IFERROR(AVERAGE(T990+M990*{7,8,9,10,11})/IF(G990="",I990,G990)-1,""))</f>
        <v/>
      </c>
      <c r="AG990" s="55">
        <f>IF(OR(T990="",I990&lt;T990),"",IFERROR(AF990/-(R990/IF(G990="",I990,G990)-1),""))</f>
        <v/>
      </c>
      <c r="AH990" s="94" t="n"/>
      <c r="AI990" s="94" t="n"/>
      <c r="AJ990" s="94" t="n"/>
      <c r="AK990" s="94" t="n"/>
      <c r="AL990" s="84" t="n"/>
    </row>
    <row r="991">
      <c r="A991" s="64" t="n"/>
      <c r="B991" s="65" t="n"/>
      <c r="C991" s="66" t="n"/>
      <c r="D991" s="67" t="n"/>
      <c r="E991" s="68" t="n"/>
      <c r="F991" s="47">
        <f>IF(A991="","",IF(MIN(H991,MAX(J991:K991))=0,"",MIN(H991,MAX(J991:K991))))</f>
        <v/>
      </c>
      <c r="G991" s="74" t="n"/>
      <c r="H991" s="49">
        <f>IF(M991="","",IFERROR(ROUND(AVERAGE(T991+M991*{7,8,9,10,11})/1.21,4),""))</f>
        <v/>
      </c>
      <c r="I991" s="76" t="n"/>
      <c r="J991" s="77" t="n"/>
      <c r="K991" s="74" t="n"/>
      <c r="L991" s="78" t="n"/>
      <c r="M991" s="77" t="n"/>
      <c r="N991" s="53">
        <f>IF(M991="","",IFERROR(M991/I991,""))</f>
        <v/>
      </c>
      <c r="O991" s="50">
        <f>IF(A991="","",IFERROR((IF(G991="",I991,G991)-T991)/M991,""))</f>
        <v/>
      </c>
      <c r="P991" s="50">
        <f>IFERROR((I991/T991-1)/N991,"")</f>
        <v/>
      </c>
      <c r="Q991" s="46">
        <f>IF(OR(T991="",I991&lt;T991),"",IFERROR(R991/IF(G991="",I991,G991)-1,""))</f>
        <v/>
      </c>
      <c r="R991" s="48">
        <f>IF($M991="","",MAX(IF($G991="",$I991,$G991)*(1/1.1),IF($G991="",$I991,$G991)+(R$2*$M991)))</f>
        <v/>
      </c>
      <c r="S991" s="49">
        <f>IF($M991="","",MAX(IF($G991="",$I991,$G991)*(1/1.1),IF($G991="",$I991,$G991)+(S$2*$M991)))</f>
        <v/>
      </c>
      <c r="T991" s="82" t="n"/>
      <c r="U991" s="47">
        <f>IF(OR($M991="",$T991=""),"",$T991+(U$2*$M991))</f>
        <v/>
      </c>
      <c r="V991" s="48">
        <f>IF(OR($M991="",$T991=""),"",$T991+(V$2*$M991))</f>
        <v/>
      </c>
      <c r="W991" s="48">
        <f>IF(OR($M991="",$T991=""),"",$T991+(W$2*$M991))</f>
        <v/>
      </c>
      <c r="X991" s="49">
        <f>IF(OR($M991="",$T991=""),"",$T991+(X$2*$M991))</f>
        <v/>
      </c>
      <c r="Y991" s="47">
        <f>IF(OR($M991="",$T991=""),"",$T991+(Y$2*$M991))</f>
        <v/>
      </c>
      <c r="Z991" s="49">
        <f>IF(OR($M991="",$T991=""),"",$T991+(Z$2*$M991))</f>
        <v/>
      </c>
      <c r="AA991" s="51">
        <f>IF(OR($M991="",$T991=""),"",$T991+(AA$2*$M991))</f>
        <v/>
      </c>
      <c r="AB991" s="48">
        <f>IF(OR($M991="",$T991=""),"",$T991+(AB$2*$M991))</f>
        <v/>
      </c>
      <c r="AC991" s="48">
        <f>IF(OR($M991="",$T991=""),"",$T991+(AC$2*$M991))</f>
        <v/>
      </c>
      <c r="AD991" s="48">
        <f>IF(OR($M991="",$T991=""),"",$T991+(AD$2*$M991))</f>
        <v/>
      </c>
      <c r="AE991" s="49">
        <f>IF(OR($M991="",$T991=""),"",$T991+(AE$2*$M991))</f>
        <v/>
      </c>
      <c r="AF991" s="52">
        <f>IF(OR(T991="",I991&lt;T991),"",IFERROR(AVERAGE(T991+M991*{7,8,9,10,11})/IF(G991="",I991,G991)-1,""))</f>
        <v/>
      </c>
      <c r="AG991" s="55">
        <f>IF(OR(T991="",I991&lt;T991),"",IFERROR(AF991/-(R991/IF(G991="",I991,G991)-1),""))</f>
        <v/>
      </c>
      <c r="AH991" s="94" t="n"/>
      <c r="AI991" s="94" t="n"/>
      <c r="AJ991" s="94" t="n"/>
      <c r="AK991" s="94" t="n"/>
      <c r="AL991" s="84" t="n"/>
    </row>
    <row r="992">
      <c r="A992" s="64" t="n"/>
      <c r="B992" s="65" t="n"/>
      <c r="C992" s="66" t="n"/>
      <c r="D992" s="67" t="n"/>
      <c r="E992" s="68" t="n"/>
      <c r="F992" s="47">
        <f>IF(A992="","",IF(MIN(H992,MAX(J992:K992))=0,"",MIN(H992,MAX(J992:K992))))</f>
        <v/>
      </c>
      <c r="G992" s="74" t="n"/>
      <c r="H992" s="49">
        <f>IF(M992="","",IFERROR(ROUND(AVERAGE(T992+M992*{7,8,9,10,11})/1.21,4),""))</f>
        <v/>
      </c>
      <c r="I992" s="76" t="n"/>
      <c r="J992" s="77" t="n"/>
      <c r="K992" s="74" t="n"/>
      <c r="L992" s="78" t="n"/>
      <c r="M992" s="77" t="n"/>
      <c r="N992" s="53">
        <f>IF(M992="","",IFERROR(M992/I992,""))</f>
        <v/>
      </c>
      <c r="O992" s="50">
        <f>IF(A992="","",IFERROR((IF(G992="",I992,G992)-T992)/M992,""))</f>
        <v/>
      </c>
      <c r="P992" s="50">
        <f>IFERROR((I992/T992-1)/N992,"")</f>
        <v/>
      </c>
      <c r="Q992" s="46">
        <f>IF(OR(T992="",I992&lt;T992),"",IFERROR(R992/IF(G992="",I992,G992)-1,""))</f>
        <v/>
      </c>
      <c r="R992" s="48">
        <f>IF($M992="","",MAX(IF($G992="",$I992,$G992)*(1/1.1),IF($G992="",$I992,$G992)+(R$2*$M992)))</f>
        <v/>
      </c>
      <c r="S992" s="49">
        <f>IF($M992="","",MAX(IF($G992="",$I992,$G992)*(1/1.1),IF($G992="",$I992,$G992)+(S$2*$M992)))</f>
        <v/>
      </c>
      <c r="T992" s="82" t="n"/>
      <c r="U992" s="47">
        <f>IF(OR($M992="",$T992=""),"",$T992+(U$2*$M992))</f>
        <v/>
      </c>
      <c r="V992" s="48">
        <f>IF(OR($M992="",$T992=""),"",$T992+(V$2*$M992))</f>
        <v/>
      </c>
      <c r="W992" s="48">
        <f>IF(OR($M992="",$T992=""),"",$T992+(W$2*$M992))</f>
        <v/>
      </c>
      <c r="X992" s="49">
        <f>IF(OR($M992="",$T992=""),"",$T992+(X$2*$M992))</f>
        <v/>
      </c>
      <c r="Y992" s="47">
        <f>IF(OR($M992="",$T992=""),"",$T992+(Y$2*$M992))</f>
        <v/>
      </c>
      <c r="Z992" s="49">
        <f>IF(OR($M992="",$T992=""),"",$T992+(Z$2*$M992))</f>
        <v/>
      </c>
      <c r="AA992" s="51">
        <f>IF(OR($M992="",$T992=""),"",$T992+(AA$2*$M992))</f>
        <v/>
      </c>
      <c r="AB992" s="48">
        <f>IF(OR($M992="",$T992=""),"",$T992+(AB$2*$M992))</f>
        <v/>
      </c>
      <c r="AC992" s="48">
        <f>IF(OR($M992="",$T992=""),"",$T992+(AC$2*$M992))</f>
        <v/>
      </c>
      <c r="AD992" s="48">
        <f>IF(OR($M992="",$T992=""),"",$T992+(AD$2*$M992))</f>
        <v/>
      </c>
      <c r="AE992" s="49">
        <f>IF(OR($M992="",$T992=""),"",$T992+(AE$2*$M992))</f>
        <v/>
      </c>
      <c r="AF992" s="52">
        <f>IF(OR(T992="",I992&lt;T992),"",IFERROR(AVERAGE(T992+M992*{7,8,9,10,11})/IF(G992="",I992,G992)-1,""))</f>
        <v/>
      </c>
      <c r="AG992" s="55">
        <f>IF(OR(T992="",I992&lt;T992),"",IFERROR(AF992/-(R992/IF(G992="",I992,G992)-1),""))</f>
        <v/>
      </c>
      <c r="AH992" s="94" t="n"/>
      <c r="AI992" s="94" t="n"/>
      <c r="AJ992" s="94" t="n"/>
      <c r="AK992" s="94" t="n"/>
      <c r="AL992" s="84" t="n"/>
    </row>
    <row r="993">
      <c r="A993" s="64" t="n"/>
      <c r="B993" s="65" t="n"/>
      <c r="C993" s="66" t="n"/>
      <c r="D993" s="67" t="n"/>
      <c r="E993" s="68" t="n"/>
      <c r="F993" s="47">
        <f>IF(A993="","",IF(MIN(H993,MAX(J993:K993))=0,"",MIN(H993,MAX(J993:K993))))</f>
        <v/>
      </c>
      <c r="G993" s="74" t="n"/>
      <c r="H993" s="49">
        <f>IF(M993="","",IFERROR(ROUND(AVERAGE(T993+M993*{7,8,9,10,11})/1.21,4),""))</f>
        <v/>
      </c>
      <c r="I993" s="76" t="n"/>
      <c r="J993" s="77" t="n"/>
      <c r="K993" s="74" t="n"/>
      <c r="L993" s="78" t="n"/>
      <c r="M993" s="77" t="n"/>
      <c r="N993" s="53">
        <f>IF(M993="","",IFERROR(M993/I993,""))</f>
        <v/>
      </c>
      <c r="O993" s="50">
        <f>IF(A993="","",IFERROR((IF(G993="",I993,G993)-T993)/M993,""))</f>
        <v/>
      </c>
      <c r="P993" s="50">
        <f>IFERROR((I993/T993-1)/N993,"")</f>
        <v/>
      </c>
      <c r="Q993" s="46">
        <f>IF(OR(T993="",I993&lt;T993),"",IFERROR(R993/IF(G993="",I993,G993)-1,""))</f>
        <v/>
      </c>
      <c r="R993" s="48">
        <f>IF($M993="","",MAX(IF($G993="",$I993,$G993)*(1/1.1),IF($G993="",$I993,$G993)+(R$2*$M993)))</f>
        <v/>
      </c>
      <c r="S993" s="49">
        <f>IF($M993="","",MAX(IF($G993="",$I993,$G993)*(1/1.1),IF($G993="",$I993,$G993)+(S$2*$M993)))</f>
        <v/>
      </c>
      <c r="T993" s="82" t="n"/>
      <c r="U993" s="47">
        <f>IF(OR($M993="",$T993=""),"",$T993+(U$2*$M993))</f>
        <v/>
      </c>
      <c r="V993" s="48">
        <f>IF(OR($M993="",$T993=""),"",$T993+(V$2*$M993))</f>
        <v/>
      </c>
      <c r="W993" s="48">
        <f>IF(OR($M993="",$T993=""),"",$T993+(W$2*$M993))</f>
        <v/>
      </c>
      <c r="X993" s="49">
        <f>IF(OR($M993="",$T993=""),"",$T993+(X$2*$M993))</f>
        <v/>
      </c>
      <c r="Y993" s="47">
        <f>IF(OR($M993="",$T993=""),"",$T993+(Y$2*$M993))</f>
        <v/>
      </c>
      <c r="Z993" s="49">
        <f>IF(OR($M993="",$T993=""),"",$T993+(Z$2*$M993))</f>
        <v/>
      </c>
      <c r="AA993" s="51">
        <f>IF(OR($M993="",$T993=""),"",$T993+(AA$2*$M993))</f>
        <v/>
      </c>
      <c r="AB993" s="48">
        <f>IF(OR($M993="",$T993=""),"",$T993+(AB$2*$M993))</f>
        <v/>
      </c>
      <c r="AC993" s="48">
        <f>IF(OR($M993="",$T993=""),"",$T993+(AC$2*$M993))</f>
        <v/>
      </c>
      <c r="AD993" s="48">
        <f>IF(OR($M993="",$T993=""),"",$T993+(AD$2*$M993))</f>
        <v/>
      </c>
      <c r="AE993" s="49">
        <f>IF(OR($M993="",$T993=""),"",$T993+(AE$2*$M993))</f>
        <v/>
      </c>
      <c r="AF993" s="52">
        <f>IF(OR(T993="",I993&lt;T993),"",IFERROR(AVERAGE(T993+M993*{7,8,9,10,11})/IF(G993="",I993,G993)-1,""))</f>
        <v/>
      </c>
      <c r="AG993" s="55">
        <f>IF(OR(T993="",I993&lt;T993),"",IFERROR(AF993/-(R993/IF(G993="",I993,G993)-1),""))</f>
        <v/>
      </c>
      <c r="AH993" s="94" t="n"/>
      <c r="AI993" s="94" t="n"/>
      <c r="AJ993" s="94" t="n"/>
      <c r="AK993" s="94" t="n"/>
      <c r="AL993" s="84" t="n"/>
    </row>
    <row r="994">
      <c r="A994" s="64" t="n"/>
      <c r="B994" s="65" t="n"/>
      <c r="C994" s="66" t="n"/>
      <c r="D994" s="67" t="n"/>
      <c r="E994" s="68" t="n"/>
      <c r="F994" s="47">
        <f>IF(A994="","",IF(MIN(H994,MAX(J994:K994))=0,"",MIN(H994,MAX(J994:K994))))</f>
        <v/>
      </c>
      <c r="G994" s="74" t="n"/>
      <c r="H994" s="49">
        <f>IF(M994="","",IFERROR(ROUND(AVERAGE(T994+M994*{7,8,9,10,11})/1.21,4),""))</f>
        <v/>
      </c>
      <c r="I994" s="76" t="n"/>
      <c r="J994" s="77" t="n"/>
      <c r="K994" s="74" t="n"/>
      <c r="L994" s="78" t="n"/>
      <c r="M994" s="77" t="n"/>
      <c r="N994" s="53">
        <f>IF(M994="","",IFERROR(M994/I994,""))</f>
        <v/>
      </c>
      <c r="O994" s="50">
        <f>IF(A994="","",IFERROR((IF(G994="",I994,G994)-T994)/M994,""))</f>
        <v/>
      </c>
      <c r="P994" s="50">
        <f>IFERROR((I994/T994-1)/N994,"")</f>
        <v/>
      </c>
      <c r="Q994" s="46">
        <f>IF(OR(T994="",I994&lt;T994),"",IFERROR(R994/IF(G994="",I994,G994)-1,""))</f>
        <v/>
      </c>
      <c r="R994" s="48">
        <f>IF($M994="","",MAX(IF($G994="",$I994,$G994)*(1/1.1),IF($G994="",$I994,$G994)+(R$2*$M994)))</f>
        <v/>
      </c>
      <c r="S994" s="49">
        <f>IF($M994="","",MAX(IF($G994="",$I994,$G994)*(1/1.1),IF($G994="",$I994,$G994)+(S$2*$M994)))</f>
        <v/>
      </c>
      <c r="T994" s="82" t="n"/>
      <c r="U994" s="47">
        <f>IF(OR($M994="",$T994=""),"",$T994+(U$2*$M994))</f>
        <v/>
      </c>
      <c r="V994" s="48">
        <f>IF(OR($M994="",$T994=""),"",$T994+(V$2*$M994))</f>
        <v/>
      </c>
      <c r="W994" s="48">
        <f>IF(OR($M994="",$T994=""),"",$T994+(W$2*$M994))</f>
        <v/>
      </c>
      <c r="X994" s="49">
        <f>IF(OR($M994="",$T994=""),"",$T994+(X$2*$M994))</f>
        <v/>
      </c>
      <c r="Y994" s="47">
        <f>IF(OR($M994="",$T994=""),"",$T994+(Y$2*$M994))</f>
        <v/>
      </c>
      <c r="Z994" s="49">
        <f>IF(OR($M994="",$T994=""),"",$T994+(Z$2*$M994))</f>
        <v/>
      </c>
      <c r="AA994" s="51">
        <f>IF(OR($M994="",$T994=""),"",$T994+(AA$2*$M994))</f>
        <v/>
      </c>
      <c r="AB994" s="48">
        <f>IF(OR($M994="",$T994=""),"",$T994+(AB$2*$M994))</f>
        <v/>
      </c>
      <c r="AC994" s="48">
        <f>IF(OR($M994="",$T994=""),"",$T994+(AC$2*$M994))</f>
        <v/>
      </c>
      <c r="AD994" s="48">
        <f>IF(OR($M994="",$T994=""),"",$T994+(AD$2*$M994))</f>
        <v/>
      </c>
      <c r="AE994" s="49">
        <f>IF(OR($M994="",$T994=""),"",$T994+(AE$2*$M994))</f>
        <v/>
      </c>
      <c r="AF994" s="52">
        <f>IF(OR(T994="",I994&lt;T994),"",IFERROR(AVERAGE(T994+M994*{7,8,9,10,11})/IF(G994="",I994,G994)-1,""))</f>
        <v/>
      </c>
      <c r="AG994" s="55">
        <f>IF(OR(T994="",I994&lt;T994),"",IFERROR(AF994/-(R994/IF(G994="",I994,G994)-1),""))</f>
        <v/>
      </c>
      <c r="AH994" s="94" t="n"/>
      <c r="AI994" s="94" t="n"/>
      <c r="AJ994" s="94" t="n"/>
      <c r="AK994" s="94" t="n"/>
      <c r="AL994" s="84" t="n"/>
    </row>
    <row r="995">
      <c r="A995" s="64" t="n"/>
      <c r="B995" s="65" t="n"/>
      <c r="C995" s="66" t="n"/>
      <c r="D995" s="67" t="n"/>
      <c r="E995" s="68" t="n"/>
      <c r="F995" s="47">
        <f>IF(A995="","",IF(MIN(H995,MAX(J995:K995))=0,"",MIN(H995,MAX(J995:K995))))</f>
        <v/>
      </c>
      <c r="G995" s="74" t="n"/>
      <c r="H995" s="49">
        <f>IF(M995="","",IFERROR(ROUND(AVERAGE(T995+M995*{7,8,9,10,11})/1.21,4),""))</f>
        <v/>
      </c>
      <c r="I995" s="76" t="n"/>
      <c r="J995" s="77" t="n"/>
      <c r="K995" s="74" t="n"/>
      <c r="L995" s="78" t="n"/>
      <c r="M995" s="77" t="n"/>
      <c r="N995" s="53">
        <f>IF(M995="","",IFERROR(M995/I995,""))</f>
        <v/>
      </c>
      <c r="O995" s="50">
        <f>IF(A995="","",IFERROR((IF(G995="",I995,G995)-T995)/M995,""))</f>
        <v/>
      </c>
      <c r="P995" s="50">
        <f>IFERROR((I995/T995-1)/N995,"")</f>
        <v/>
      </c>
      <c r="Q995" s="46">
        <f>IF(OR(T995="",I995&lt;T995),"",IFERROR(R995/IF(G995="",I995,G995)-1,""))</f>
        <v/>
      </c>
      <c r="R995" s="48">
        <f>IF($M995="","",MAX(IF($G995="",$I995,$G995)*(1/1.1),IF($G995="",$I995,$G995)+(R$2*$M995)))</f>
        <v/>
      </c>
      <c r="S995" s="49">
        <f>IF($M995="","",MAX(IF($G995="",$I995,$G995)*(1/1.1),IF($G995="",$I995,$G995)+(S$2*$M995)))</f>
        <v/>
      </c>
      <c r="T995" s="82" t="n"/>
      <c r="U995" s="47">
        <f>IF(OR($M995="",$T995=""),"",$T995+(U$2*$M995))</f>
        <v/>
      </c>
      <c r="V995" s="48">
        <f>IF(OR($M995="",$T995=""),"",$T995+(V$2*$M995))</f>
        <v/>
      </c>
      <c r="W995" s="48">
        <f>IF(OR($M995="",$T995=""),"",$T995+(W$2*$M995))</f>
        <v/>
      </c>
      <c r="X995" s="49">
        <f>IF(OR($M995="",$T995=""),"",$T995+(X$2*$M995))</f>
        <v/>
      </c>
      <c r="Y995" s="47">
        <f>IF(OR($M995="",$T995=""),"",$T995+(Y$2*$M995))</f>
        <v/>
      </c>
      <c r="Z995" s="49">
        <f>IF(OR($M995="",$T995=""),"",$T995+(Z$2*$M995))</f>
        <v/>
      </c>
      <c r="AA995" s="51">
        <f>IF(OR($M995="",$T995=""),"",$T995+(AA$2*$M995))</f>
        <v/>
      </c>
      <c r="AB995" s="48">
        <f>IF(OR($M995="",$T995=""),"",$T995+(AB$2*$M995))</f>
        <v/>
      </c>
      <c r="AC995" s="48">
        <f>IF(OR($M995="",$T995=""),"",$T995+(AC$2*$M995))</f>
        <v/>
      </c>
      <c r="AD995" s="48">
        <f>IF(OR($M995="",$T995=""),"",$T995+(AD$2*$M995))</f>
        <v/>
      </c>
      <c r="AE995" s="49">
        <f>IF(OR($M995="",$T995=""),"",$T995+(AE$2*$M995))</f>
        <v/>
      </c>
      <c r="AF995" s="52">
        <f>IF(OR(T995="",I995&lt;T995),"",IFERROR(AVERAGE(T995+M995*{7,8,9,10,11})/IF(G995="",I995,G995)-1,""))</f>
        <v/>
      </c>
      <c r="AG995" s="55">
        <f>IF(OR(T995="",I995&lt;T995),"",IFERROR(AF995/-(R995/IF(G995="",I995,G995)-1),""))</f>
        <v/>
      </c>
      <c r="AH995" s="94" t="n"/>
      <c r="AI995" s="94" t="n"/>
      <c r="AJ995" s="94" t="n"/>
      <c r="AK995" s="94" t="n"/>
      <c r="AL995" s="84" t="n"/>
    </row>
    <row r="996">
      <c r="A996" s="64" t="n"/>
      <c r="B996" s="65" t="n"/>
      <c r="C996" s="66" t="n"/>
      <c r="D996" s="67" t="n"/>
      <c r="E996" s="68" t="n"/>
      <c r="F996" s="47">
        <f>IF(A996="","",IF(MIN(H996,MAX(J996:K996))=0,"",MIN(H996,MAX(J996:K996))))</f>
        <v/>
      </c>
      <c r="G996" s="74" t="n"/>
      <c r="H996" s="49">
        <f>IF(M996="","",IFERROR(ROUND(AVERAGE(T996+M996*{7,8,9,10,11})/1.21,4),""))</f>
        <v/>
      </c>
      <c r="I996" s="76" t="n"/>
      <c r="J996" s="77" t="n"/>
      <c r="K996" s="74" t="n"/>
      <c r="L996" s="78" t="n"/>
      <c r="M996" s="77" t="n"/>
      <c r="N996" s="53">
        <f>IF(M996="","",IFERROR(M996/I996,""))</f>
        <v/>
      </c>
      <c r="O996" s="50">
        <f>IF(A996="","",IFERROR((IF(G996="",I996,G996)-T996)/M996,""))</f>
        <v/>
      </c>
      <c r="P996" s="50">
        <f>IFERROR((I996/T996-1)/N996,"")</f>
        <v/>
      </c>
      <c r="Q996" s="46">
        <f>IF(OR(T996="",I996&lt;T996),"",IFERROR(R996/IF(G996="",I996,G996)-1,""))</f>
        <v/>
      </c>
      <c r="R996" s="48">
        <f>IF($M996="","",MAX(IF($G996="",$I996,$G996)*(1/1.1),IF($G996="",$I996,$G996)+(R$2*$M996)))</f>
        <v/>
      </c>
      <c r="S996" s="49">
        <f>IF($M996="","",MAX(IF($G996="",$I996,$G996)*(1/1.1),IF($G996="",$I996,$G996)+(S$2*$M996)))</f>
        <v/>
      </c>
      <c r="T996" s="82" t="n"/>
      <c r="U996" s="47">
        <f>IF(OR($M996="",$T996=""),"",$T996+(U$2*$M996))</f>
        <v/>
      </c>
      <c r="V996" s="48">
        <f>IF(OR($M996="",$T996=""),"",$T996+(V$2*$M996))</f>
        <v/>
      </c>
      <c r="W996" s="48">
        <f>IF(OR($M996="",$T996=""),"",$T996+(W$2*$M996))</f>
        <v/>
      </c>
      <c r="X996" s="49">
        <f>IF(OR($M996="",$T996=""),"",$T996+(X$2*$M996))</f>
        <v/>
      </c>
      <c r="Y996" s="47">
        <f>IF(OR($M996="",$T996=""),"",$T996+(Y$2*$M996))</f>
        <v/>
      </c>
      <c r="Z996" s="49">
        <f>IF(OR($M996="",$T996=""),"",$T996+(Z$2*$M996))</f>
        <v/>
      </c>
      <c r="AA996" s="51">
        <f>IF(OR($M996="",$T996=""),"",$T996+(AA$2*$M996))</f>
        <v/>
      </c>
      <c r="AB996" s="48">
        <f>IF(OR($M996="",$T996=""),"",$T996+(AB$2*$M996))</f>
        <v/>
      </c>
      <c r="AC996" s="48">
        <f>IF(OR($M996="",$T996=""),"",$T996+(AC$2*$M996))</f>
        <v/>
      </c>
      <c r="AD996" s="48">
        <f>IF(OR($M996="",$T996=""),"",$T996+(AD$2*$M996))</f>
        <v/>
      </c>
      <c r="AE996" s="49">
        <f>IF(OR($M996="",$T996=""),"",$T996+(AE$2*$M996))</f>
        <v/>
      </c>
      <c r="AF996" s="52">
        <f>IF(OR(T996="",I996&lt;T996),"",IFERROR(AVERAGE(T996+M996*{7,8,9,10,11})/IF(G996="",I996,G996)-1,""))</f>
        <v/>
      </c>
      <c r="AG996" s="55">
        <f>IF(OR(T996="",I996&lt;T996),"",IFERROR(AF996/-(R996/IF(G996="",I996,G996)-1),""))</f>
        <v/>
      </c>
      <c r="AH996" s="94" t="n"/>
      <c r="AI996" s="94" t="n"/>
      <c r="AJ996" s="94" t="n"/>
      <c r="AK996" s="94" t="n"/>
      <c r="AL996" s="84" t="n"/>
    </row>
    <row r="997">
      <c r="A997" s="64" t="n"/>
      <c r="B997" s="65" t="n"/>
      <c r="C997" s="66" t="n"/>
      <c r="D997" s="67" t="n"/>
      <c r="E997" s="68" t="n"/>
      <c r="F997" s="47">
        <f>IF(A997="","",IF(MIN(H997,MAX(J997:K997))=0,"",MIN(H997,MAX(J997:K997))))</f>
        <v/>
      </c>
      <c r="G997" s="74" t="n"/>
      <c r="H997" s="49">
        <f>IF(M997="","",IFERROR(ROUND(AVERAGE(T997+M997*{7,8,9,10,11})/1.21,4),""))</f>
        <v/>
      </c>
      <c r="I997" s="76" t="n"/>
      <c r="J997" s="77" t="n"/>
      <c r="K997" s="74" t="n"/>
      <c r="L997" s="78" t="n"/>
      <c r="M997" s="77" t="n"/>
      <c r="N997" s="53">
        <f>IF(M997="","",IFERROR(M997/I997,""))</f>
        <v/>
      </c>
      <c r="O997" s="50">
        <f>IF(A997="","",IFERROR((IF(G997="",I997,G997)-T997)/M997,""))</f>
        <v/>
      </c>
      <c r="P997" s="50">
        <f>IFERROR((I997/T997-1)/N997,"")</f>
        <v/>
      </c>
      <c r="Q997" s="46">
        <f>IF(OR(T997="",I997&lt;T997),"",IFERROR(R997/IF(G997="",I997,G997)-1,""))</f>
        <v/>
      </c>
      <c r="R997" s="48">
        <f>IF($M997="","",MAX(IF($G997="",$I997,$G997)*(1/1.1),IF($G997="",$I997,$G997)+(R$2*$M997)))</f>
        <v/>
      </c>
      <c r="S997" s="49">
        <f>IF($M997="","",MAX(IF($G997="",$I997,$G997)*(1/1.1),IF($G997="",$I997,$G997)+(S$2*$M997)))</f>
        <v/>
      </c>
      <c r="T997" s="82" t="n"/>
      <c r="U997" s="47">
        <f>IF(OR($M997="",$T997=""),"",$T997+(U$2*$M997))</f>
        <v/>
      </c>
      <c r="V997" s="48">
        <f>IF(OR($M997="",$T997=""),"",$T997+(V$2*$M997))</f>
        <v/>
      </c>
      <c r="W997" s="48">
        <f>IF(OR($M997="",$T997=""),"",$T997+(W$2*$M997))</f>
        <v/>
      </c>
      <c r="X997" s="49">
        <f>IF(OR($M997="",$T997=""),"",$T997+(X$2*$M997))</f>
        <v/>
      </c>
      <c r="Y997" s="47">
        <f>IF(OR($M997="",$T997=""),"",$T997+(Y$2*$M997))</f>
        <v/>
      </c>
      <c r="Z997" s="49">
        <f>IF(OR($M997="",$T997=""),"",$T997+(Z$2*$M997))</f>
        <v/>
      </c>
      <c r="AA997" s="51">
        <f>IF(OR($M997="",$T997=""),"",$T997+(AA$2*$M997))</f>
        <v/>
      </c>
      <c r="AB997" s="48">
        <f>IF(OR($M997="",$T997=""),"",$T997+(AB$2*$M997))</f>
        <v/>
      </c>
      <c r="AC997" s="48">
        <f>IF(OR($M997="",$T997=""),"",$T997+(AC$2*$M997))</f>
        <v/>
      </c>
      <c r="AD997" s="48">
        <f>IF(OR($M997="",$T997=""),"",$T997+(AD$2*$M997))</f>
        <v/>
      </c>
      <c r="AE997" s="49">
        <f>IF(OR($M997="",$T997=""),"",$T997+(AE$2*$M997))</f>
        <v/>
      </c>
      <c r="AF997" s="52">
        <f>IF(OR(T997="",I997&lt;T997),"",IFERROR(AVERAGE(T997+M997*{7,8,9,10,11})/IF(G997="",I997,G997)-1,""))</f>
        <v/>
      </c>
      <c r="AG997" s="55">
        <f>IF(OR(T997="",I997&lt;T997),"",IFERROR(AF997/-(R997/IF(G997="",I997,G997)-1),""))</f>
        <v/>
      </c>
      <c r="AH997" s="94" t="n"/>
      <c r="AI997" s="94" t="n"/>
      <c r="AJ997" s="94" t="n"/>
      <c r="AK997" s="94" t="n"/>
      <c r="AL997" s="84" t="n"/>
    </row>
    <row r="998">
      <c r="A998" s="64" t="n"/>
      <c r="B998" s="65" t="n"/>
      <c r="C998" s="66" t="n"/>
      <c r="D998" s="67" t="n"/>
      <c r="E998" s="68" t="n"/>
      <c r="F998" s="47">
        <f>IF(A998="","",IF(MIN(H998,MAX(J998:K998))=0,"",MIN(H998,MAX(J998:K998))))</f>
        <v/>
      </c>
      <c r="G998" s="74" t="n"/>
      <c r="H998" s="49">
        <f>IF(M998="","",IFERROR(ROUND(AVERAGE(T998+M998*{7,8,9,10,11})/1.21,4),""))</f>
        <v/>
      </c>
      <c r="I998" s="76" t="n"/>
      <c r="J998" s="77" t="n"/>
      <c r="K998" s="74" t="n"/>
      <c r="L998" s="78" t="n"/>
      <c r="M998" s="77" t="n"/>
      <c r="N998" s="53">
        <f>IF(M998="","",IFERROR(M998/I998,""))</f>
        <v/>
      </c>
      <c r="O998" s="50">
        <f>IF(A998="","",IFERROR((IF(G998="",I998,G998)-T998)/M998,""))</f>
        <v/>
      </c>
      <c r="P998" s="50">
        <f>IFERROR((I998/T998-1)/N998,"")</f>
        <v/>
      </c>
      <c r="Q998" s="46">
        <f>IF(OR(T998="",I998&lt;T998),"",IFERROR(R998/IF(G998="",I998,G998)-1,""))</f>
        <v/>
      </c>
      <c r="R998" s="48">
        <f>IF($M998="","",MAX(IF($G998="",$I998,$G998)*(1/1.1),IF($G998="",$I998,$G998)+(R$2*$M998)))</f>
        <v/>
      </c>
      <c r="S998" s="49">
        <f>IF($M998="","",MAX(IF($G998="",$I998,$G998)*(1/1.1),IF($G998="",$I998,$G998)+(S$2*$M998)))</f>
        <v/>
      </c>
      <c r="T998" s="82" t="n"/>
      <c r="U998" s="47">
        <f>IF(OR($M998="",$T998=""),"",$T998+(U$2*$M998))</f>
        <v/>
      </c>
      <c r="V998" s="48">
        <f>IF(OR($M998="",$T998=""),"",$T998+(V$2*$M998))</f>
        <v/>
      </c>
      <c r="W998" s="48">
        <f>IF(OR($M998="",$T998=""),"",$T998+(W$2*$M998))</f>
        <v/>
      </c>
      <c r="X998" s="49">
        <f>IF(OR($M998="",$T998=""),"",$T998+(X$2*$M998))</f>
        <v/>
      </c>
      <c r="Y998" s="47">
        <f>IF(OR($M998="",$T998=""),"",$T998+(Y$2*$M998))</f>
        <v/>
      </c>
      <c r="Z998" s="49">
        <f>IF(OR($M998="",$T998=""),"",$T998+(Z$2*$M998))</f>
        <v/>
      </c>
      <c r="AA998" s="51">
        <f>IF(OR($M998="",$T998=""),"",$T998+(AA$2*$M998))</f>
        <v/>
      </c>
      <c r="AB998" s="48">
        <f>IF(OR($M998="",$T998=""),"",$T998+(AB$2*$M998))</f>
        <v/>
      </c>
      <c r="AC998" s="48">
        <f>IF(OR($M998="",$T998=""),"",$T998+(AC$2*$M998))</f>
        <v/>
      </c>
      <c r="AD998" s="48">
        <f>IF(OR($M998="",$T998=""),"",$T998+(AD$2*$M998))</f>
        <v/>
      </c>
      <c r="AE998" s="49">
        <f>IF(OR($M998="",$T998=""),"",$T998+(AE$2*$M998))</f>
        <v/>
      </c>
      <c r="AF998" s="52">
        <f>IF(OR(T998="",I998&lt;T998),"",IFERROR(AVERAGE(T998+M998*{7,8,9,10,11})/IF(G998="",I998,G998)-1,""))</f>
        <v/>
      </c>
      <c r="AG998" s="55">
        <f>IF(OR(T998="",I998&lt;T998),"",IFERROR(AF998/-(R998/IF(G998="",I998,G998)-1),""))</f>
        <v/>
      </c>
      <c r="AH998" s="94" t="n"/>
      <c r="AI998" s="94" t="n"/>
      <c r="AJ998" s="94" t="n"/>
      <c r="AK998" s="94" t="n"/>
      <c r="AL998" s="84" t="n"/>
    </row>
    <row r="999">
      <c r="A999" s="64" t="n"/>
      <c r="B999" s="65" t="n"/>
      <c r="C999" s="66" t="n"/>
      <c r="D999" s="67" t="n"/>
      <c r="E999" s="68" t="n"/>
      <c r="F999" s="47">
        <f>IF(A999="","",IF(MIN(H999,MAX(J999:K999))=0,"",MIN(H999,MAX(J999:K999))))</f>
        <v/>
      </c>
      <c r="G999" s="74" t="n"/>
      <c r="H999" s="49">
        <f>IF(M999="","",IFERROR(ROUND(AVERAGE(T999+M999*{7,8,9,10,11})/1.21,4),""))</f>
        <v/>
      </c>
      <c r="I999" s="76" t="n"/>
      <c r="J999" s="77" t="n"/>
      <c r="K999" s="74" t="n"/>
      <c r="L999" s="78" t="n"/>
      <c r="M999" s="77" t="n"/>
      <c r="N999" s="53">
        <f>IF(M999="","",IFERROR(M999/I999,""))</f>
        <v/>
      </c>
      <c r="O999" s="50">
        <f>IF(A999="","",IFERROR((IF(G999="",I999,G999)-T999)/M999,""))</f>
        <v/>
      </c>
      <c r="P999" s="50">
        <f>IFERROR((I999/T999-1)/N999,"")</f>
        <v/>
      </c>
      <c r="Q999" s="46">
        <f>IF(OR(T999="",I999&lt;T999),"",IFERROR(R999/IF(G999="",I999,G999)-1,""))</f>
        <v/>
      </c>
      <c r="R999" s="48">
        <f>IF($M999="","",MAX(IF($G999="",$I999,$G999)*(1/1.1),IF($G999="",$I999,$G999)+(R$2*$M999)))</f>
        <v/>
      </c>
      <c r="S999" s="49">
        <f>IF($M999="","",MAX(IF($G999="",$I999,$G999)*(1/1.1),IF($G999="",$I999,$G999)+(S$2*$M999)))</f>
        <v/>
      </c>
      <c r="T999" s="82" t="n"/>
      <c r="U999" s="47">
        <f>IF(OR($M999="",$T999=""),"",$T999+(U$2*$M999))</f>
        <v/>
      </c>
      <c r="V999" s="48">
        <f>IF(OR($M999="",$T999=""),"",$T999+(V$2*$M999))</f>
        <v/>
      </c>
      <c r="W999" s="48">
        <f>IF(OR($M999="",$T999=""),"",$T999+(W$2*$M999))</f>
        <v/>
      </c>
      <c r="X999" s="49">
        <f>IF(OR($M999="",$T999=""),"",$T999+(X$2*$M999))</f>
        <v/>
      </c>
      <c r="Y999" s="47">
        <f>IF(OR($M999="",$T999=""),"",$T999+(Y$2*$M999))</f>
        <v/>
      </c>
      <c r="Z999" s="49">
        <f>IF(OR($M999="",$T999=""),"",$T999+(Z$2*$M999))</f>
        <v/>
      </c>
      <c r="AA999" s="51">
        <f>IF(OR($M999="",$T999=""),"",$T999+(AA$2*$M999))</f>
        <v/>
      </c>
      <c r="AB999" s="48">
        <f>IF(OR($M999="",$T999=""),"",$T999+(AB$2*$M999))</f>
        <v/>
      </c>
      <c r="AC999" s="48">
        <f>IF(OR($M999="",$T999=""),"",$T999+(AC$2*$M999))</f>
        <v/>
      </c>
      <c r="AD999" s="48">
        <f>IF(OR($M999="",$T999=""),"",$T999+(AD$2*$M999))</f>
        <v/>
      </c>
      <c r="AE999" s="49">
        <f>IF(OR($M999="",$T999=""),"",$T999+(AE$2*$M999))</f>
        <v/>
      </c>
      <c r="AF999" s="52">
        <f>IF(OR(T999="",I999&lt;T999),"",IFERROR(AVERAGE(T999+M999*{7,8,9,10,11})/IF(G999="",I999,G999)-1,""))</f>
        <v/>
      </c>
      <c r="AG999" s="55">
        <f>IF(OR(T999="",I999&lt;T999),"",IFERROR(AF999/-(R999/IF(G999="",I999,G999)-1),""))</f>
        <v/>
      </c>
      <c r="AH999" s="94" t="n"/>
      <c r="AI999" s="94" t="n"/>
      <c r="AJ999" s="94" t="n"/>
      <c r="AK999" s="94" t="n"/>
      <c r="AL999" s="84" t="n"/>
    </row>
    <row r="1000">
      <c r="A1000" s="64" t="n"/>
      <c r="B1000" s="65" t="n"/>
      <c r="C1000" s="66" t="n"/>
      <c r="D1000" s="67" t="n"/>
      <c r="E1000" s="68" t="n"/>
      <c r="F1000" s="47">
        <f>IF(A1000="","",IF(MIN(H1000,MAX(J1000:K1000))=0,"",MIN(H1000,MAX(J1000:K1000))))</f>
        <v/>
      </c>
      <c r="G1000" s="74" t="n"/>
      <c r="H1000" s="49">
        <f>IF(M1000="","",IFERROR(ROUND(AVERAGE(T1000+M1000*{7,8,9,10,11})/1.21,4),""))</f>
        <v/>
      </c>
      <c r="I1000" s="76" t="n"/>
      <c r="J1000" s="77" t="n"/>
      <c r="K1000" s="74" t="n"/>
      <c r="L1000" s="78" t="n"/>
      <c r="M1000" s="77" t="n"/>
      <c r="N1000" s="53">
        <f>IF(M1000="","",IFERROR(M1000/I1000,""))</f>
        <v/>
      </c>
      <c r="O1000" s="50">
        <f>IF(A1000="","",IFERROR((IF(G1000="",I1000,G1000)-T1000)/M1000,""))</f>
        <v/>
      </c>
      <c r="P1000" s="50">
        <f>IFERROR((I1000/T1000-1)/N1000,"")</f>
        <v/>
      </c>
      <c r="Q1000" s="46">
        <f>IF(OR(T1000="",I1000&lt;T1000),"",IFERROR(R1000/IF(G1000="",I1000,G1000)-1,""))</f>
        <v/>
      </c>
      <c r="R1000" s="48">
        <f>IF($M1000="","",MAX(IF($G1000="",$I1000,$G1000)*(1/1.1),IF($G1000="",$I1000,$G1000)+(R$2*$M1000)))</f>
        <v/>
      </c>
      <c r="S1000" s="49">
        <f>IF($M1000="","",MAX(IF($G1000="",$I1000,$G1000)*(1/1.1),IF($G1000="",$I1000,$G1000)+(S$2*$M1000)))</f>
        <v/>
      </c>
      <c r="T1000" s="82" t="n"/>
      <c r="U1000" s="47">
        <f>IF(OR($M1000="",$T1000=""),"",$T1000+(U$2*$M1000))</f>
        <v/>
      </c>
      <c r="V1000" s="48">
        <f>IF(OR($M1000="",$T1000=""),"",$T1000+(V$2*$M1000))</f>
        <v/>
      </c>
      <c r="W1000" s="48">
        <f>IF(OR($M1000="",$T1000=""),"",$T1000+(W$2*$M1000))</f>
        <v/>
      </c>
      <c r="X1000" s="49">
        <f>IF(OR($M1000="",$T1000=""),"",$T1000+(X$2*$M1000))</f>
        <v/>
      </c>
      <c r="Y1000" s="47">
        <f>IF(OR($M1000="",$T1000=""),"",$T1000+(Y$2*$M1000))</f>
        <v/>
      </c>
      <c r="Z1000" s="49">
        <f>IF(OR($M1000="",$T1000=""),"",$T1000+(Z$2*$M1000))</f>
        <v/>
      </c>
      <c r="AA1000" s="51">
        <f>IF(OR($M1000="",$T1000=""),"",$T1000+(AA$2*$M1000))</f>
        <v/>
      </c>
      <c r="AB1000" s="48">
        <f>IF(OR($M1000="",$T1000=""),"",$T1000+(AB$2*$M1000))</f>
        <v/>
      </c>
      <c r="AC1000" s="48">
        <f>IF(OR($M1000="",$T1000=""),"",$T1000+(AC$2*$M1000))</f>
        <v/>
      </c>
      <c r="AD1000" s="48">
        <f>IF(OR($M1000="",$T1000=""),"",$T1000+(AD$2*$M1000))</f>
        <v/>
      </c>
      <c r="AE1000" s="49">
        <f>IF(OR($M1000="",$T1000=""),"",$T1000+(AE$2*$M1000))</f>
        <v/>
      </c>
      <c r="AF1000" s="52">
        <f>IF(OR(T1000="",I1000&lt;T1000),"",IFERROR(AVERAGE(T1000+M1000*{7,8,9,10,11})/IF(G1000="",I1000,G1000)-1,""))</f>
        <v/>
      </c>
      <c r="AG1000" s="55">
        <f>IF(OR(T1000="",I1000&lt;T1000),"",IFERROR(AF1000/-(R1000/IF(G1000="",I1000,G1000)-1),""))</f>
        <v/>
      </c>
      <c r="AH1000" s="94" t="n"/>
      <c r="AI1000" s="94" t="n"/>
      <c r="AJ1000" s="94" t="n"/>
      <c r="AK1000" s="94" t="n"/>
      <c r="AL1000" s="84" t="n"/>
    </row>
    <row r="1001">
      <c r="A1001" s="64" t="n"/>
      <c r="B1001" s="65" t="n"/>
      <c r="C1001" s="66" t="n"/>
      <c r="D1001" s="67" t="n"/>
      <c r="E1001" s="68" t="n"/>
      <c r="F1001" s="47">
        <f>IF(A1001="","",IF(MIN(H1001,MAX(J1001:K1001))=0,"",MIN(H1001,MAX(J1001:K1001))))</f>
        <v/>
      </c>
      <c r="G1001" s="74" t="n"/>
      <c r="H1001" s="49">
        <f>IF(M1001="","",IFERROR(ROUND(AVERAGE(T1001+M1001*{7,8,9,10,11})/1.21,4),""))</f>
        <v/>
      </c>
      <c r="I1001" s="76" t="n"/>
      <c r="J1001" s="77" t="n"/>
      <c r="K1001" s="74" t="n"/>
      <c r="L1001" s="78" t="n"/>
      <c r="M1001" s="77" t="n"/>
      <c r="N1001" s="53">
        <f>IF(M1001="","",IFERROR(M1001/I1001,""))</f>
        <v/>
      </c>
      <c r="O1001" s="50">
        <f>IF(A1001="","",IFERROR((IF(G1001="",I1001,G1001)-T1001)/M1001,""))</f>
        <v/>
      </c>
      <c r="P1001" s="50">
        <f>IFERROR((I1001/T1001-1)/N1001,"")</f>
        <v/>
      </c>
      <c r="Q1001" s="46">
        <f>IF(OR(T1001="",I1001&lt;T1001),"",IFERROR(R1001/IF(G1001="",I1001,G1001)-1,""))</f>
        <v/>
      </c>
      <c r="R1001" s="48">
        <f>IF($M1001="","",MAX(IF($G1001="",$I1001,$G1001)*(1/1.1),IF($G1001="",$I1001,$G1001)+(R$2*$M1001)))</f>
        <v/>
      </c>
      <c r="S1001" s="49">
        <f>IF($M1001="","",MAX(IF($G1001="",$I1001,$G1001)*(1/1.1),IF($G1001="",$I1001,$G1001)+(S$2*$M1001)))</f>
        <v/>
      </c>
      <c r="T1001" s="82" t="n"/>
      <c r="U1001" s="47">
        <f>IF(OR($M1001="",$T1001=""),"",$T1001+(U$2*$M1001))</f>
        <v/>
      </c>
      <c r="V1001" s="48">
        <f>IF(OR($M1001="",$T1001=""),"",$T1001+(V$2*$M1001))</f>
        <v/>
      </c>
      <c r="W1001" s="48">
        <f>IF(OR($M1001="",$T1001=""),"",$T1001+(W$2*$M1001))</f>
        <v/>
      </c>
      <c r="X1001" s="49">
        <f>IF(OR($M1001="",$T1001=""),"",$T1001+(X$2*$M1001))</f>
        <v/>
      </c>
      <c r="Y1001" s="47">
        <f>IF(OR($M1001="",$T1001=""),"",$T1001+(Y$2*$M1001))</f>
        <v/>
      </c>
      <c r="Z1001" s="49">
        <f>IF(OR($M1001="",$T1001=""),"",$T1001+(Z$2*$M1001))</f>
        <v/>
      </c>
      <c r="AA1001" s="51">
        <f>IF(OR($M1001="",$T1001=""),"",$T1001+(AA$2*$M1001))</f>
        <v/>
      </c>
      <c r="AB1001" s="48">
        <f>IF(OR($M1001="",$T1001=""),"",$T1001+(AB$2*$M1001))</f>
        <v/>
      </c>
      <c r="AC1001" s="48">
        <f>IF(OR($M1001="",$T1001=""),"",$T1001+(AC$2*$M1001))</f>
        <v/>
      </c>
      <c r="AD1001" s="48">
        <f>IF(OR($M1001="",$T1001=""),"",$T1001+(AD$2*$M1001))</f>
        <v/>
      </c>
      <c r="AE1001" s="49">
        <f>IF(OR($M1001="",$T1001=""),"",$T1001+(AE$2*$M1001))</f>
        <v/>
      </c>
      <c r="AF1001" s="52">
        <f>IF(OR(T1001="",I1001&lt;T1001),"",IFERROR(AVERAGE(T1001+M1001*{7,8,9,10,11})/IF(G1001="",I1001,G1001)-1,""))</f>
        <v/>
      </c>
      <c r="AG1001" s="55">
        <f>IF(OR(T1001="",I1001&lt;T1001),"",IFERROR(AF1001/-(R1001/IF(G1001="",I1001,G1001)-1),""))</f>
        <v/>
      </c>
      <c r="AH1001" s="94" t="n"/>
      <c r="AI1001" s="94" t="n"/>
      <c r="AJ1001" s="94" t="n"/>
      <c r="AK1001" s="94" t="n"/>
      <c r="AL1001" s="84" t="n"/>
    </row>
    <row r="1002">
      <c r="A1002" s="64" t="n"/>
      <c r="B1002" s="65" t="n"/>
      <c r="C1002" s="66" t="n"/>
      <c r="D1002" s="67" t="n"/>
      <c r="E1002" s="68" t="n"/>
      <c r="F1002" s="47">
        <f>IF(A1002="","",IF(MIN(H1002,MAX(J1002:K1002))=0,"",MIN(H1002,MAX(J1002:K1002))))</f>
        <v/>
      </c>
      <c r="G1002" s="74" t="n"/>
      <c r="H1002" s="49">
        <f>IF(M1002="","",IFERROR(ROUND(AVERAGE(T1002+M1002*{7,8,9,10,11})/1.21,4),""))</f>
        <v/>
      </c>
      <c r="I1002" s="76" t="n"/>
      <c r="J1002" s="77" t="n"/>
      <c r="K1002" s="74" t="n"/>
      <c r="L1002" s="78" t="n"/>
      <c r="M1002" s="77" t="n"/>
      <c r="N1002" s="53">
        <f>IF(M1002="","",IFERROR(M1002/I1002,""))</f>
        <v/>
      </c>
      <c r="O1002" s="50">
        <f>IF(A1002="","",IFERROR((IF(G1002="",I1002,G1002)-T1002)/M1002,""))</f>
        <v/>
      </c>
      <c r="P1002" s="50">
        <f>IFERROR((I1002/T1002-1)/N1002,"")</f>
        <v/>
      </c>
      <c r="Q1002" s="46">
        <f>IF(OR(T1002="",I1002&lt;T1002),"",IFERROR(R1002/IF(G1002="",I1002,G1002)-1,""))</f>
        <v/>
      </c>
      <c r="R1002" s="48">
        <f>IF($M1002="","",MAX(IF($G1002="",$I1002,$G1002)*(1/1.1),IF($G1002="",$I1002,$G1002)+(R$2*$M1002)))</f>
        <v/>
      </c>
      <c r="S1002" s="49">
        <f>IF($M1002="","",MAX(IF($G1002="",$I1002,$G1002)*(1/1.1),IF($G1002="",$I1002,$G1002)+(S$2*$M1002)))</f>
        <v/>
      </c>
      <c r="T1002" s="82" t="n"/>
      <c r="U1002" s="47">
        <f>IF(OR($M1002="",$T1002=""),"",$T1002+(U$2*$M1002))</f>
        <v/>
      </c>
      <c r="V1002" s="48">
        <f>IF(OR($M1002="",$T1002=""),"",$T1002+(V$2*$M1002))</f>
        <v/>
      </c>
      <c r="W1002" s="48">
        <f>IF(OR($M1002="",$T1002=""),"",$T1002+(W$2*$M1002))</f>
        <v/>
      </c>
      <c r="X1002" s="49">
        <f>IF(OR($M1002="",$T1002=""),"",$T1002+(X$2*$M1002))</f>
        <v/>
      </c>
      <c r="Y1002" s="47">
        <f>IF(OR($M1002="",$T1002=""),"",$T1002+(Y$2*$M1002))</f>
        <v/>
      </c>
      <c r="Z1002" s="49">
        <f>IF(OR($M1002="",$T1002=""),"",$T1002+(Z$2*$M1002))</f>
        <v/>
      </c>
      <c r="AA1002" s="51">
        <f>IF(OR($M1002="",$T1002=""),"",$T1002+(AA$2*$M1002))</f>
        <v/>
      </c>
      <c r="AB1002" s="48">
        <f>IF(OR($M1002="",$T1002=""),"",$T1002+(AB$2*$M1002))</f>
        <v/>
      </c>
      <c r="AC1002" s="48">
        <f>IF(OR($M1002="",$T1002=""),"",$T1002+(AC$2*$M1002))</f>
        <v/>
      </c>
      <c r="AD1002" s="48">
        <f>IF(OR($M1002="",$T1002=""),"",$T1002+(AD$2*$M1002))</f>
        <v/>
      </c>
      <c r="AE1002" s="49">
        <f>IF(OR($M1002="",$T1002=""),"",$T1002+(AE$2*$M1002))</f>
        <v/>
      </c>
      <c r="AF1002" s="52">
        <f>IF(OR(T1002="",I1002&lt;T1002),"",IFERROR(AVERAGE(T1002+M1002*{7,8,9,10,11})/IF(G1002="",I1002,G1002)-1,""))</f>
        <v/>
      </c>
      <c r="AG1002" s="55">
        <f>IF(OR(T1002="",I1002&lt;T1002),"",IFERROR(AF1002/-(R1002/IF(G1002="",I1002,G1002)-1),""))</f>
        <v/>
      </c>
      <c r="AH1002" s="94" t="n"/>
      <c r="AI1002" s="94" t="n"/>
      <c r="AJ1002" s="94" t="n"/>
      <c r="AK1002" s="94" t="n"/>
      <c r="AL1002" s="84" t="n"/>
    </row>
    <row r="1003">
      <c r="A1003" s="64" t="n"/>
      <c r="B1003" s="65" t="n"/>
      <c r="C1003" s="66" t="n"/>
      <c r="D1003" s="67" t="n"/>
      <c r="E1003" s="68" t="n"/>
      <c r="F1003" s="47">
        <f>IF(A1003="","",IF(MIN(H1003,MAX(J1003:K1003))=0,"",MIN(H1003,MAX(J1003:K1003))))</f>
        <v/>
      </c>
      <c r="G1003" s="74" t="n"/>
      <c r="H1003" s="49">
        <f>IF(M1003="","",IFERROR(ROUND(AVERAGE(T1003+M1003*{7,8,9,10,11})/1.21,4),""))</f>
        <v/>
      </c>
      <c r="I1003" s="76" t="n"/>
      <c r="J1003" s="77" t="n"/>
      <c r="K1003" s="74" t="n"/>
      <c r="L1003" s="78" t="n"/>
      <c r="M1003" s="77" t="n"/>
      <c r="N1003" s="53">
        <f>IF(M1003="","",IFERROR(M1003/I1003,""))</f>
        <v/>
      </c>
      <c r="O1003" s="50">
        <f>IF(A1003="","",IFERROR((IF(G1003="",I1003,G1003)-T1003)/M1003,""))</f>
        <v/>
      </c>
      <c r="P1003" s="50">
        <f>IFERROR((I1003/T1003-1)/N1003,"")</f>
        <v/>
      </c>
      <c r="Q1003" s="46">
        <f>IF(OR(T1003="",I1003&lt;T1003),"",IFERROR(R1003/IF(G1003="",I1003,G1003)-1,""))</f>
        <v/>
      </c>
      <c r="R1003" s="48">
        <f>IF($M1003="","",MAX(IF($G1003="",$I1003,$G1003)*(1/1.1),IF($G1003="",$I1003,$G1003)+(R$2*$M1003)))</f>
        <v/>
      </c>
      <c r="S1003" s="49">
        <f>IF($M1003="","",MAX(IF($G1003="",$I1003,$G1003)*(1/1.1),IF($G1003="",$I1003,$G1003)+(S$2*$M1003)))</f>
        <v/>
      </c>
      <c r="T1003" s="82" t="n"/>
      <c r="U1003" s="47">
        <f>IF(OR($M1003="",$T1003=""),"",$T1003+(U$2*$M1003))</f>
        <v/>
      </c>
      <c r="V1003" s="48">
        <f>IF(OR($M1003="",$T1003=""),"",$T1003+(V$2*$M1003))</f>
        <v/>
      </c>
      <c r="W1003" s="48">
        <f>IF(OR($M1003="",$T1003=""),"",$T1003+(W$2*$M1003))</f>
        <v/>
      </c>
      <c r="X1003" s="49">
        <f>IF(OR($M1003="",$T1003=""),"",$T1003+(X$2*$M1003))</f>
        <v/>
      </c>
      <c r="Y1003" s="47">
        <f>IF(OR($M1003="",$T1003=""),"",$T1003+(Y$2*$M1003))</f>
        <v/>
      </c>
      <c r="Z1003" s="49">
        <f>IF(OR($M1003="",$T1003=""),"",$T1003+(Z$2*$M1003))</f>
        <v/>
      </c>
      <c r="AA1003" s="51">
        <f>IF(OR($M1003="",$T1003=""),"",$T1003+(AA$2*$M1003))</f>
        <v/>
      </c>
      <c r="AB1003" s="48">
        <f>IF(OR($M1003="",$T1003=""),"",$T1003+(AB$2*$M1003))</f>
        <v/>
      </c>
      <c r="AC1003" s="48">
        <f>IF(OR($M1003="",$T1003=""),"",$T1003+(AC$2*$M1003))</f>
        <v/>
      </c>
      <c r="AD1003" s="48">
        <f>IF(OR($M1003="",$T1003=""),"",$T1003+(AD$2*$M1003))</f>
        <v/>
      </c>
      <c r="AE1003" s="49">
        <f>IF(OR($M1003="",$T1003=""),"",$T1003+(AE$2*$M1003))</f>
        <v/>
      </c>
      <c r="AF1003" s="52">
        <f>IF(OR(T1003="",I1003&lt;T1003),"",IFERROR(AVERAGE(T1003+M1003*{7,8,9,10,11})/IF(G1003="",I1003,G1003)-1,""))</f>
        <v/>
      </c>
      <c r="AG1003" s="55">
        <f>IF(OR(T1003="",I1003&lt;T1003),"",IFERROR(AF1003/-(R1003/IF(G1003="",I1003,G1003)-1),""))</f>
        <v/>
      </c>
      <c r="AH1003" s="94" t="n"/>
      <c r="AI1003" s="94" t="n"/>
      <c r="AJ1003" s="94" t="n"/>
      <c r="AK1003" s="94" t="n"/>
      <c r="AL1003" s="84" t="n"/>
    </row>
    <row r="1004">
      <c r="A1004" s="64" t="n"/>
      <c r="B1004" s="65" t="n"/>
      <c r="C1004" s="66" t="n"/>
      <c r="D1004" s="67" t="n"/>
      <c r="E1004" s="68" t="n"/>
      <c r="F1004" s="47">
        <f>IF(A1004="","",IF(MIN(H1004,MAX(J1004:K1004))=0,"",MIN(H1004,MAX(J1004:K1004))))</f>
        <v/>
      </c>
      <c r="G1004" s="74" t="n"/>
      <c r="H1004" s="49">
        <f>IF(M1004="","",IFERROR(ROUND(AVERAGE(T1004+M1004*{7,8,9,10,11})/1.21,4),""))</f>
        <v/>
      </c>
      <c r="I1004" s="76" t="n"/>
      <c r="J1004" s="77" t="n"/>
      <c r="K1004" s="74" t="n"/>
      <c r="L1004" s="78" t="n"/>
      <c r="M1004" s="77" t="n"/>
      <c r="N1004" s="53">
        <f>IF(M1004="","",IFERROR(M1004/I1004,""))</f>
        <v/>
      </c>
      <c r="O1004" s="50">
        <f>IF(A1004="","",IFERROR((IF(G1004="",I1004,G1004)-T1004)/M1004,""))</f>
        <v/>
      </c>
      <c r="P1004" s="50">
        <f>IFERROR((I1004/T1004-1)/N1004,"")</f>
        <v/>
      </c>
      <c r="Q1004" s="46">
        <f>IF(OR(T1004="",I1004&lt;T1004),"",IFERROR(R1004/IF(G1004="",I1004,G1004)-1,""))</f>
        <v/>
      </c>
      <c r="R1004" s="48">
        <f>IF($M1004="","",MAX(IF($G1004="",$I1004,$G1004)*(1/1.1),IF($G1004="",$I1004,$G1004)+(R$2*$M1004)))</f>
        <v/>
      </c>
      <c r="S1004" s="49">
        <f>IF($M1004="","",MAX(IF($G1004="",$I1004,$G1004)*(1/1.1),IF($G1004="",$I1004,$G1004)+(S$2*$M1004)))</f>
        <v/>
      </c>
      <c r="T1004" s="82" t="n"/>
      <c r="U1004" s="47">
        <f>IF(OR($M1004="",$T1004=""),"",$T1004+(U$2*$M1004))</f>
        <v/>
      </c>
      <c r="V1004" s="48">
        <f>IF(OR($M1004="",$T1004=""),"",$T1004+(V$2*$M1004))</f>
        <v/>
      </c>
      <c r="W1004" s="48">
        <f>IF(OR($M1004="",$T1004=""),"",$T1004+(W$2*$M1004))</f>
        <v/>
      </c>
      <c r="X1004" s="49">
        <f>IF(OR($M1004="",$T1004=""),"",$T1004+(X$2*$M1004))</f>
        <v/>
      </c>
      <c r="Y1004" s="47">
        <f>IF(OR($M1004="",$T1004=""),"",$T1004+(Y$2*$M1004))</f>
        <v/>
      </c>
      <c r="Z1004" s="49">
        <f>IF(OR($M1004="",$T1004=""),"",$T1004+(Z$2*$M1004))</f>
        <v/>
      </c>
      <c r="AA1004" s="51">
        <f>IF(OR($M1004="",$T1004=""),"",$T1004+(AA$2*$M1004))</f>
        <v/>
      </c>
      <c r="AB1004" s="48">
        <f>IF(OR($M1004="",$T1004=""),"",$T1004+(AB$2*$M1004))</f>
        <v/>
      </c>
      <c r="AC1004" s="48">
        <f>IF(OR($M1004="",$T1004=""),"",$T1004+(AC$2*$M1004))</f>
        <v/>
      </c>
      <c r="AD1004" s="48">
        <f>IF(OR($M1004="",$T1004=""),"",$T1004+(AD$2*$M1004))</f>
        <v/>
      </c>
      <c r="AE1004" s="49">
        <f>IF(OR($M1004="",$T1004=""),"",$T1004+(AE$2*$M1004))</f>
        <v/>
      </c>
      <c r="AF1004" s="52">
        <f>IF(OR(T1004="",I1004&lt;T1004),"",IFERROR(AVERAGE(T1004+M1004*{7,8,9,10,11})/IF(G1004="",I1004,G1004)-1,""))</f>
        <v/>
      </c>
      <c r="AG1004" s="55">
        <f>IF(OR(T1004="",I1004&lt;T1004),"",IFERROR(AF1004/-(R1004/IF(G1004="",I1004,G1004)-1),""))</f>
        <v/>
      </c>
      <c r="AH1004" s="94" t="n"/>
      <c r="AI1004" s="94" t="n"/>
      <c r="AJ1004" s="94" t="n"/>
      <c r="AK1004" s="94" t="n"/>
      <c r="AL1004" s="84" t="n"/>
    </row>
    <row r="1005">
      <c r="A1005" s="64" t="n"/>
      <c r="B1005" s="65" t="n"/>
      <c r="C1005" s="66" t="n"/>
      <c r="D1005" s="67" t="n"/>
      <c r="E1005" s="68" t="n"/>
      <c r="F1005" s="47">
        <f>IF(A1005="","",IF(MIN(H1005,MAX(J1005:K1005))=0,"",MIN(H1005,MAX(J1005:K1005))))</f>
        <v/>
      </c>
      <c r="G1005" s="74" t="n"/>
      <c r="H1005" s="49">
        <f>IF(M1005="","",IFERROR(ROUND(AVERAGE(T1005+M1005*{7,8,9,10,11})/1.21,4),""))</f>
        <v/>
      </c>
      <c r="I1005" s="76" t="n"/>
      <c r="J1005" s="77" t="n"/>
      <c r="K1005" s="74" t="n"/>
      <c r="L1005" s="78" t="n"/>
      <c r="M1005" s="77" t="n"/>
      <c r="N1005" s="53">
        <f>IF(M1005="","",IFERROR(M1005/I1005,""))</f>
        <v/>
      </c>
      <c r="O1005" s="50">
        <f>IF(A1005="","",IFERROR((IF(G1005="",I1005,G1005)-T1005)/M1005,""))</f>
        <v/>
      </c>
      <c r="P1005" s="50">
        <f>IFERROR((I1005/T1005-1)/N1005,"")</f>
        <v/>
      </c>
      <c r="Q1005" s="46">
        <f>IF(OR(T1005="",I1005&lt;T1005),"",IFERROR(R1005/IF(G1005="",I1005,G1005)-1,""))</f>
        <v/>
      </c>
      <c r="R1005" s="48">
        <f>IF($M1005="","",MAX(IF($G1005="",$I1005,$G1005)*(1/1.1),IF($G1005="",$I1005,$G1005)+(R$2*$M1005)))</f>
        <v/>
      </c>
      <c r="S1005" s="49">
        <f>IF($M1005="","",MAX(IF($G1005="",$I1005,$G1005)*(1/1.1),IF($G1005="",$I1005,$G1005)+(S$2*$M1005)))</f>
        <v/>
      </c>
      <c r="T1005" s="82" t="n"/>
      <c r="U1005" s="47">
        <f>IF(OR($M1005="",$T1005=""),"",$T1005+(U$2*$M1005))</f>
        <v/>
      </c>
      <c r="V1005" s="48">
        <f>IF(OR($M1005="",$T1005=""),"",$T1005+(V$2*$M1005))</f>
        <v/>
      </c>
      <c r="W1005" s="48">
        <f>IF(OR($M1005="",$T1005=""),"",$T1005+(W$2*$M1005))</f>
        <v/>
      </c>
      <c r="X1005" s="49">
        <f>IF(OR($M1005="",$T1005=""),"",$T1005+(X$2*$M1005))</f>
        <v/>
      </c>
      <c r="Y1005" s="47">
        <f>IF(OR($M1005="",$T1005=""),"",$T1005+(Y$2*$M1005))</f>
        <v/>
      </c>
      <c r="Z1005" s="49">
        <f>IF(OR($M1005="",$T1005=""),"",$T1005+(Z$2*$M1005))</f>
        <v/>
      </c>
      <c r="AA1005" s="51">
        <f>IF(OR($M1005="",$T1005=""),"",$T1005+(AA$2*$M1005))</f>
        <v/>
      </c>
      <c r="AB1005" s="48">
        <f>IF(OR($M1005="",$T1005=""),"",$T1005+(AB$2*$M1005))</f>
        <v/>
      </c>
      <c r="AC1005" s="48">
        <f>IF(OR($M1005="",$T1005=""),"",$T1005+(AC$2*$M1005))</f>
        <v/>
      </c>
      <c r="AD1005" s="48">
        <f>IF(OR($M1005="",$T1005=""),"",$T1005+(AD$2*$M1005))</f>
        <v/>
      </c>
      <c r="AE1005" s="49">
        <f>IF(OR($M1005="",$T1005=""),"",$T1005+(AE$2*$M1005))</f>
        <v/>
      </c>
      <c r="AF1005" s="52">
        <f>IF(OR(T1005="",I1005&lt;T1005),"",IFERROR(AVERAGE(T1005+M1005*{7,8,9,10,11})/IF(G1005="",I1005,G1005)-1,""))</f>
        <v/>
      </c>
      <c r="AG1005" s="55">
        <f>IF(OR(T1005="",I1005&lt;T1005),"",IFERROR(AF1005/-(R1005/IF(G1005="",I1005,G1005)-1),""))</f>
        <v/>
      </c>
      <c r="AH1005" s="94" t="n"/>
      <c r="AI1005" s="94" t="n"/>
      <c r="AJ1005" s="94" t="n"/>
      <c r="AK1005" s="94" t="n"/>
      <c r="AL1005" s="84" t="n"/>
    </row>
    <row r="1006">
      <c r="A1006" s="64" t="n"/>
      <c r="B1006" s="65" t="n"/>
      <c r="C1006" s="66" t="n"/>
      <c r="D1006" s="67" t="n"/>
      <c r="E1006" s="68" t="n"/>
      <c r="F1006" s="47">
        <f>IF(A1006="","",IF(MIN(H1006,MAX(J1006:K1006))=0,"",MIN(H1006,MAX(J1006:K1006))))</f>
        <v/>
      </c>
      <c r="G1006" s="74" t="n"/>
      <c r="H1006" s="49">
        <f>IF(M1006="","",IFERROR(ROUND(AVERAGE(T1006+M1006*{7,8,9,10,11})/1.21,4),""))</f>
        <v/>
      </c>
      <c r="I1006" s="76" t="n"/>
      <c r="J1006" s="77" t="n"/>
      <c r="K1006" s="74" t="n"/>
      <c r="L1006" s="78" t="n"/>
      <c r="M1006" s="77" t="n"/>
      <c r="N1006" s="53">
        <f>IF(M1006="","",IFERROR(M1006/I1006,""))</f>
        <v/>
      </c>
      <c r="O1006" s="50">
        <f>IF(A1006="","",IFERROR((IF(G1006="",I1006,G1006)-T1006)/M1006,""))</f>
        <v/>
      </c>
      <c r="P1006" s="50">
        <f>IFERROR((I1006/T1006-1)/N1006,"")</f>
        <v/>
      </c>
      <c r="Q1006" s="46">
        <f>IF(OR(T1006="",I1006&lt;T1006),"",IFERROR(R1006/IF(G1006="",I1006,G1006)-1,""))</f>
        <v/>
      </c>
      <c r="R1006" s="48">
        <f>IF($M1006="","",MAX(IF($G1006="",$I1006,$G1006)*(1/1.1),IF($G1006="",$I1006,$G1006)+(R$2*$M1006)))</f>
        <v/>
      </c>
      <c r="S1006" s="49">
        <f>IF($M1006="","",MAX(IF($G1006="",$I1006,$G1006)*(1/1.1),IF($G1006="",$I1006,$G1006)+(S$2*$M1006)))</f>
        <v/>
      </c>
      <c r="T1006" s="82" t="n"/>
      <c r="U1006" s="47">
        <f>IF(OR($M1006="",$T1006=""),"",$T1006+(U$2*$M1006))</f>
        <v/>
      </c>
      <c r="V1006" s="48">
        <f>IF(OR($M1006="",$T1006=""),"",$T1006+(V$2*$M1006))</f>
        <v/>
      </c>
      <c r="W1006" s="48">
        <f>IF(OR($M1006="",$T1006=""),"",$T1006+(W$2*$M1006))</f>
        <v/>
      </c>
      <c r="X1006" s="49">
        <f>IF(OR($M1006="",$T1006=""),"",$T1006+(X$2*$M1006))</f>
        <v/>
      </c>
      <c r="Y1006" s="47">
        <f>IF(OR($M1006="",$T1006=""),"",$T1006+(Y$2*$M1006))</f>
        <v/>
      </c>
      <c r="Z1006" s="49">
        <f>IF(OR($M1006="",$T1006=""),"",$T1006+(Z$2*$M1006))</f>
        <v/>
      </c>
      <c r="AA1006" s="51">
        <f>IF(OR($M1006="",$T1006=""),"",$T1006+(AA$2*$M1006))</f>
        <v/>
      </c>
      <c r="AB1006" s="48">
        <f>IF(OR($M1006="",$T1006=""),"",$T1006+(AB$2*$M1006))</f>
        <v/>
      </c>
      <c r="AC1006" s="48">
        <f>IF(OR($M1006="",$T1006=""),"",$T1006+(AC$2*$M1006))</f>
        <v/>
      </c>
      <c r="AD1006" s="48">
        <f>IF(OR($M1006="",$T1006=""),"",$T1006+(AD$2*$M1006))</f>
        <v/>
      </c>
      <c r="AE1006" s="49">
        <f>IF(OR($M1006="",$T1006=""),"",$T1006+(AE$2*$M1006))</f>
        <v/>
      </c>
      <c r="AF1006" s="52">
        <f>IF(OR(T1006="",I1006&lt;T1006),"",IFERROR(AVERAGE(T1006+M1006*{7,8,9,10,11})/IF(G1006="",I1006,G1006)-1,""))</f>
        <v/>
      </c>
      <c r="AG1006" s="55">
        <f>IF(OR(T1006="",I1006&lt;T1006),"",IFERROR(AF1006/-(R1006/IF(G1006="",I1006,G1006)-1),""))</f>
        <v/>
      </c>
      <c r="AH1006" s="94" t="n"/>
      <c r="AI1006" s="94" t="n"/>
      <c r="AJ1006" s="94" t="n"/>
      <c r="AK1006" s="94" t="n"/>
      <c r="AL1006" s="84" t="n"/>
    </row>
    <row r="1007">
      <c r="A1007" s="64" t="n"/>
      <c r="B1007" s="65" t="n"/>
      <c r="C1007" s="66" t="n"/>
      <c r="D1007" s="67" t="n"/>
      <c r="E1007" s="68" t="n"/>
      <c r="F1007" s="47">
        <f>IF(A1007="","",IF(MIN(H1007,MAX(J1007:K1007))=0,"",MIN(H1007,MAX(J1007:K1007))))</f>
        <v/>
      </c>
      <c r="G1007" s="74" t="n"/>
      <c r="H1007" s="49">
        <f>IF(M1007="","",IFERROR(ROUND(AVERAGE(T1007+M1007*{7,8,9,10,11})/1.21,4),""))</f>
        <v/>
      </c>
      <c r="I1007" s="76" t="n"/>
      <c r="J1007" s="77" t="n"/>
      <c r="K1007" s="74" t="n"/>
      <c r="L1007" s="78" t="n"/>
      <c r="M1007" s="77" t="n"/>
      <c r="N1007" s="53">
        <f>IF(M1007="","",IFERROR(M1007/I1007,""))</f>
        <v/>
      </c>
      <c r="O1007" s="50">
        <f>IF(A1007="","",IFERROR((IF(G1007="",I1007,G1007)-T1007)/M1007,""))</f>
        <v/>
      </c>
      <c r="P1007" s="50">
        <f>IFERROR((I1007/T1007-1)/N1007,"")</f>
        <v/>
      </c>
      <c r="Q1007" s="46">
        <f>IF(OR(T1007="",I1007&lt;T1007),"",IFERROR(R1007/IF(G1007="",I1007,G1007)-1,""))</f>
        <v/>
      </c>
      <c r="R1007" s="48">
        <f>IF($M1007="","",MAX(IF($G1007="",$I1007,$G1007)*(1/1.1),IF($G1007="",$I1007,$G1007)+(R$2*$M1007)))</f>
        <v/>
      </c>
      <c r="S1007" s="49">
        <f>IF($M1007="","",MAX(IF($G1007="",$I1007,$G1007)*(1/1.1),IF($G1007="",$I1007,$G1007)+(S$2*$M1007)))</f>
        <v/>
      </c>
      <c r="T1007" s="82" t="n"/>
      <c r="U1007" s="47">
        <f>IF(OR($M1007="",$T1007=""),"",$T1007+(U$2*$M1007))</f>
        <v/>
      </c>
      <c r="V1007" s="48">
        <f>IF(OR($M1007="",$T1007=""),"",$T1007+(V$2*$M1007))</f>
        <v/>
      </c>
      <c r="W1007" s="48">
        <f>IF(OR($M1007="",$T1007=""),"",$T1007+(W$2*$M1007))</f>
        <v/>
      </c>
      <c r="X1007" s="49">
        <f>IF(OR($M1007="",$T1007=""),"",$T1007+(X$2*$M1007))</f>
        <v/>
      </c>
      <c r="Y1007" s="47">
        <f>IF(OR($M1007="",$T1007=""),"",$T1007+(Y$2*$M1007))</f>
        <v/>
      </c>
      <c r="Z1007" s="49">
        <f>IF(OR($M1007="",$T1007=""),"",$T1007+(Z$2*$M1007))</f>
        <v/>
      </c>
      <c r="AA1007" s="51">
        <f>IF(OR($M1007="",$T1007=""),"",$T1007+(AA$2*$M1007))</f>
        <v/>
      </c>
      <c r="AB1007" s="48">
        <f>IF(OR($M1007="",$T1007=""),"",$T1007+(AB$2*$M1007))</f>
        <v/>
      </c>
      <c r="AC1007" s="48">
        <f>IF(OR($M1007="",$T1007=""),"",$T1007+(AC$2*$M1007))</f>
        <v/>
      </c>
      <c r="AD1007" s="48">
        <f>IF(OR($M1007="",$T1007=""),"",$T1007+(AD$2*$M1007))</f>
        <v/>
      </c>
      <c r="AE1007" s="49">
        <f>IF(OR($M1007="",$T1007=""),"",$T1007+(AE$2*$M1007))</f>
        <v/>
      </c>
      <c r="AF1007" s="52">
        <f>IF(OR(T1007="",I1007&lt;T1007),"",IFERROR(AVERAGE(T1007+M1007*{7,8,9,10,11})/IF(G1007="",I1007,G1007)-1,""))</f>
        <v/>
      </c>
      <c r="AG1007" s="55">
        <f>IF(OR(T1007="",I1007&lt;T1007),"",IFERROR(AF1007/-(R1007/IF(G1007="",I1007,G1007)-1),""))</f>
        <v/>
      </c>
      <c r="AH1007" s="94" t="n"/>
      <c r="AI1007" s="94" t="n"/>
      <c r="AJ1007" s="94" t="n"/>
      <c r="AK1007" s="94" t="n"/>
      <c r="AL1007" s="84" t="n"/>
    </row>
    <row r="1008">
      <c r="A1008" s="64" t="n"/>
      <c r="B1008" s="65" t="n"/>
      <c r="C1008" s="66" t="n"/>
      <c r="D1008" s="67" t="n"/>
      <c r="E1008" s="68" t="n"/>
      <c r="F1008" s="47">
        <f>IF(A1008="","",IF(MIN(H1008,MAX(J1008:K1008))=0,"",MIN(H1008,MAX(J1008:K1008))))</f>
        <v/>
      </c>
      <c r="G1008" s="74" t="n"/>
      <c r="H1008" s="49">
        <f>IF(M1008="","",IFERROR(ROUND(AVERAGE(T1008+M1008*{7,8,9,10,11})/1.21,4),""))</f>
        <v/>
      </c>
      <c r="I1008" s="76" t="n"/>
      <c r="J1008" s="77" t="n"/>
      <c r="K1008" s="74" t="n"/>
      <c r="L1008" s="78" t="n"/>
      <c r="M1008" s="77" t="n"/>
      <c r="N1008" s="53">
        <f>IF(M1008="","",IFERROR(M1008/I1008,""))</f>
        <v/>
      </c>
      <c r="O1008" s="50">
        <f>IF(A1008="","",IFERROR((IF(G1008="",I1008,G1008)-T1008)/M1008,""))</f>
        <v/>
      </c>
      <c r="P1008" s="50">
        <f>IFERROR((I1008/T1008-1)/N1008,"")</f>
        <v/>
      </c>
      <c r="Q1008" s="46">
        <f>IF(OR(T1008="",I1008&lt;T1008),"",IFERROR(R1008/IF(G1008="",I1008,G1008)-1,""))</f>
        <v/>
      </c>
      <c r="R1008" s="48">
        <f>IF($M1008="","",MAX(IF($G1008="",$I1008,$G1008)*(1/1.1),IF($G1008="",$I1008,$G1008)+(R$2*$M1008)))</f>
        <v/>
      </c>
      <c r="S1008" s="49">
        <f>IF($M1008="","",MAX(IF($G1008="",$I1008,$G1008)*(1/1.1),IF($G1008="",$I1008,$G1008)+(S$2*$M1008)))</f>
        <v/>
      </c>
      <c r="T1008" s="82" t="n"/>
      <c r="U1008" s="47">
        <f>IF(OR($M1008="",$T1008=""),"",$T1008+(U$2*$M1008))</f>
        <v/>
      </c>
      <c r="V1008" s="48">
        <f>IF(OR($M1008="",$T1008=""),"",$T1008+(V$2*$M1008))</f>
        <v/>
      </c>
      <c r="W1008" s="48">
        <f>IF(OR($M1008="",$T1008=""),"",$T1008+(W$2*$M1008))</f>
        <v/>
      </c>
      <c r="X1008" s="49">
        <f>IF(OR($M1008="",$T1008=""),"",$T1008+(X$2*$M1008))</f>
        <v/>
      </c>
      <c r="Y1008" s="47">
        <f>IF(OR($M1008="",$T1008=""),"",$T1008+(Y$2*$M1008))</f>
        <v/>
      </c>
      <c r="Z1008" s="49">
        <f>IF(OR($M1008="",$T1008=""),"",$T1008+(Z$2*$M1008))</f>
        <v/>
      </c>
      <c r="AA1008" s="51">
        <f>IF(OR($M1008="",$T1008=""),"",$T1008+(AA$2*$M1008))</f>
        <v/>
      </c>
      <c r="AB1008" s="48">
        <f>IF(OR($M1008="",$T1008=""),"",$T1008+(AB$2*$M1008))</f>
        <v/>
      </c>
      <c r="AC1008" s="48">
        <f>IF(OR($M1008="",$T1008=""),"",$T1008+(AC$2*$M1008))</f>
        <v/>
      </c>
      <c r="AD1008" s="48">
        <f>IF(OR($M1008="",$T1008=""),"",$T1008+(AD$2*$M1008))</f>
        <v/>
      </c>
      <c r="AE1008" s="49">
        <f>IF(OR($M1008="",$T1008=""),"",$T1008+(AE$2*$M1008))</f>
        <v/>
      </c>
      <c r="AF1008" s="52">
        <f>IF(OR(T1008="",I1008&lt;T1008),"",IFERROR(AVERAGE(T1008+M1008*{7,8,9,10,11})/IF(G1008="",I1008,G1008)-1,""))</f>
        <v/>
      </c>
      <c r="AG1008" s="55">
        <f>IF(OR(T1008="",I1008&lt;T1008),"",IFERROR(AF1008/-(R1008/IF(G1008="",I1008,G1008)-1),""))</f>
        <v/>
      </c>
      <c r="AH1008" s="94" t="n"/>
      <c r="AI1008" s="94" t="n"/>
      <c r="AJ1008" s="94" t="n"/>
      <c r="AK1008" s="94" t="n"/>
      <c r="AL1008" s="84" t="n"/>
    </row>
    <row r="1009">
      <c r="A1009" s="64" t="n"/>
      <c r="B1009" s="65" t="n"/>
      <c r="C1009" s="66" t="n"/>
      <c r="D1009" s="67" t="n"/>
      <c r="E1009" s="68" t="n"/>
      <c r="F1009" s="47">
        <f>IF(A1009="","",IF(MIN(H1009,MAX(J1009:K1009))=0,"",MIN(H1009,MAX(J1009:K1009))))</f>
        <v/>
      </c>
      <c r="G1009" s="74" t="n"/>
      <c r="H1009" s="49">
        <f>IF(M1009="","",IFERROR(ROUND(AVERAGE(T1009+M1009*{7,8,9,10,11})/1.21,4),""))</f>
        <v/>
      </c>
      <c r="I1009" s="76" t="n"/>
      <c r="J1009" s="77" t="n"/>
      <c r="K1009" s="74" t="n"/>
      <c r="L1009" s="78" t="n"/>
      <c r="M1009" s="77" t="n"/>
      <c r="N1009" s="53">
        <f>IF(M1009="","",IFERROR(M1009/I1009,""))</f>
        <v/>
      </c>
      <c r="O1009" s="50">
        <f>IF(A1009="","",IFERROR((IF(G1009="",I1009,G1009)-T1009)/M1009,""))</f>
        <v/>
      </c>
      <c r="P1009" s="50">
        <f>IFERROR((I1009/T1009-1)/N1009,"")</f>
        <v/>
      </c>
      <c r="Q1009" s="46">
        <f>IF(OR(T1009="",I1009&lt;T1009),"",IFERROR(R1009/IF(G1009="",I1009,G1009)-1,""))</f>
        <v/>
      </c>
      <c r="R1009" s="48">
        <f>IF($M1009="","",MAX(IF($G1009="",$I1009,$G1009)*(1/1.1),IF($G1009="",$I1009,$G1009)+(R$2*$M1009)))</f>
        <v/>
      </c>
      <c r="S1009" s="49">
        <f>IF($M1009="","",MAX(IF($G1009="",$I1009,$G1009)*(1/1.1),IF($G1009="",$I1009,$G1009)+(S$2*$M1009)))</f>
        <v/>
      </c>
      <c r="T1009" s="82" t="n"/>
      <c r="U1009" s="47">
        <f>IF(OR($M1009="",$T1009=""),"",$T1009+(U$2*$M1009))</f>
        <v/>
      </c>
      <c r="V1009" s="48">
        <f>IF(OR($M1009="",$T1009=""),"",$T1009+(V$2*$M1009))</f>
        <v/>
      </c>
      <c r="W1009" s="48">
        <f>IF(OR($M1009="",$T1009=""),"",$T1009+(W$2*$M1009))</f>
        <v/>
      </c>
      <c r="X1009" s="49">
        <f>IF(OR($M1009="",$T1009=""),"",$T1009+(X$2*$M1009))</f>
        <v/>
      </c>
      <c r="Y1009" s="47">
        <f>IF(OR($M1009="",$T1009=""),"",$T1009+(Y$2*$M1009))</f>
        <v/>
      </c>
      <c r="Z1009" s="49">
        <f>IF(OR($M1009="",$T1009=""),"",$T1009+(Z$2*$M1009))</f>
        <v/>
      </c>
      <c r="AA1009" s="51">
        <f>IF(OR($M1009="",$T1009=""),"",$T1009+(AA$2*$M1009))</f>
        <v/>
      </c>
      <c r="AB1009" s="48">
        <f>IF(OR($M1009="",$T1009=""),"",$T1009+(AB$2*$M1009))</f>
        <v/>
      </c>
      <c r="AC1009" s="48">
        <f>IF(OR($M1009="",$T1009=""),"",$T1009+(AC$2*$M1009))</f>
        <v/>
      </c>
      <c r="AD1009" s="48">
        <f>IF(OR($M1009="",$T1009=""),"",$T1009+(AD$2*$M1009))</f>
        <v/>
      </c>
      <c r="AE1009" s="49">
        <f>IF(OR($M1009="",$T1009=""),"",$T1009+(AE$2*$M1009))</f>
        <v/>
      </c>
      <c r="AF1009" s="52">
        <f>IF(OR(T1009="",I1009&lt;T1009),"",IFERROR(AVERAGE(T1009+M1009*{7,8,9,10,11})/IF(G1009="",I1009,G1009)-1,""))</f>
        <v/>
      </c>
      <c r="AG1009" s="55">
        <f>IF(OR(T1009="",I1009&lt;T1009),"",IFERROR(AF1009/-(R1009/IF(G1009="",I1009,G1009)-1),""))</f>
        <v/>
      </c>
      <c r="AH1009" s="94" t="n"/>
      <c r="AI1009" s="94" t="n"/>
      <c r="AJ1009" s="94" t="n"/>
      <c r="AK1009" s="94" t="n"/>
      <c r="AL1009" s="84" t="n"/>
    </row>
    <row r="1010">
      <c r="A1010" s="64" t="n"/>
      <c r="B1010" s="65" t="n"/>
      <c r="C1010" s="66" t="n"/>
      <c r="D1010" s="67" t="n"/>
      <c r="E1010" s="68" t="n"/>
      <c r="F1010" s="47">
        <f>IF(A1010="","",IF(MIN(H1010,MAX(J1010:K1010))=0,"",MIN(H1010,MAX(J1010:K1010))))</f>
        <v/>
      </c>
      <c r="G1010" s="74" t="n"/>
      <c r="H1010" s="49">
        <f>IF(M1010="","",IFERROR(ROUND(AVERAGE(T1010+M1010*{7,8,9,10,11})/1.21,4),""))</f>
        <v/>
      </c>
      <c r="I1010" s="76" t="n"/>
      <c r="J1010" s="77" t="n"/>
      <c r="K1010" s="74" t="n"/>
      <c r="L1010" s="78" t="n"/>
      <c r="M1010" s="77" t="n"/>
      <c r="N1010" s="53">
        <f>IF(M1010="","",IFERROR(M1010/I1010,""))</f>
        <v/>
      </c>
      <c r="O1010" s="50">
        <f>IF(A1010="","",IFERROR((IF(G1010="",I1010,G1010)-T1010)/M1010,""))</f>
        <v/>
      </c>
      <c r="P1010" s="50">
        <f>IFERROR((I1010/T1010-1)/N1010,"")</f>
        <v/>
      </c>
      <c r="Q1010" s="46">
        <f>IF(OR(T1010="",I1010&lt;T1010),"",IFERROR(R1010/IF(G1010="",I1010,G1010)-1,""))</f>
        <v/>
      </c>
      <c r="R1010" s="48">
        <f>IF($M1010="","",MAX(IF($G1010="",$I1010,$G1010)*(1/1.1),IF($G1010="",$I1010,$G1010)+(R$2*$M1010)))</f>
        <v/>
      </c>
      <c r="S1010" s="49">
        <f>IF($M1010="","",MAX(IF($G1010="",$I1010,$G1010)*(1/1.1),IF($G1010="",$I1010,$G1010)+(S$2*$M1010)))</f>
        <v/>
      </c>
      <c r="T1010" s="82" t="n"/>
      <c r="U1010" s="47">
        <f>IF(OR($M1010="",$T1010=""),"",$T1010+(U$2*$M1010))</f>
        <v/>
      </c>
      <c r="V1010" s="48">
        <f>IF(OR($M1010="",$T1010=""),"",$T1010+(V$2*$M1010))</f>
        <v/>
      </c>
      <c r="W1010" s="48">
        <f>IF(OR($M1010="",$T1010=""),"",$T1010+(W$2*$M1010))</f>
        <v/>
      </c>
      <c r="X1010" s="49">
        <f>IF(OR($M1010="",$T1010=""),"",$T1010+(X$2*$M1010))</f>
        <v/>
      </c>
      <c r="Y1010" s="47">
        <f>IF(OR($M1010="",$T1010=""),"",$T1010+(Y$2*$M1010))</f>
        <v/>
      </c>
      <c r="Z1010" s="49">
        <f>IF(OR($M1010="",$T1010=""),"",$T1010+(Z$2*$M1010))</f>
        <v/>
      </c>
      <c r="AA1010" s="51">
        <f>IF(OR($M1010="",$T1010=""),"",$T1010+(AA$2*$M1010))</f>
        <v/>
      </c>
      <c r="AB1010" s="48">
        <f>IF(OR($M1010="",$T1010=""),"",$T1010+(AB$2*$M1010))</f>
        <v/>
      </c>
      <c r="AC1010" s="48">
        <f>IF(OR($M1010="",$T1010=""),"",$T1010+(AC$2*$M1010))</f>
        <v/>
      </c>
      <c r="AD1010" s="48">
        <f>IF(OR($M1010="",$T1010=""),"",$T1010+(AD$2*$M1010))</f>
        <v/>
      </c>
      <c r="AE1010" s="49">
        <f>IF(OR($M1010="",$T1010=""),"",$T1010+(AE$2*$M1010))</f>
        <v/>
      </c>
      <c r="AF1010" s="52">
        <f>IF(OR(T1010="",I1010&lt;T1010),"",IFERROR(AVERAGE(T1010+M1010*{7,8,9,10,11})/IF(G1010="",I1010,G1010)-1,""))</f>
        <v/>
      </c>
      <c r="AG1010" s="55">
        <f>IF(OR(T1010="",I1010&lt;T1010),"",IFERROR(AF1010/-(R1010/IF(G1010="",I1010,G1010)-1),""))</f>
        <v/>
      </c>
      <c r="AH1010" s="94" t="n"/>
      <c r="AI1010" s="94" t="n"/>
      <c r="AJ1010" s="94" t="n"/>
      <c r="AK1010" s="94" t="n"/>
      <c r="AL1010" s="84" t="n"/>
    </row>
    <row r="1011">
      <c r="A1011" s="64" t="n"/>
      <c r="B1011" s="65" t="n"/>
      <c r="C1011" s="66" t="n"/>
      <c r="D1011" s="67" t="n"/>
      <c r="E1011" s="68" t="n"/>
      <c r="F1011" s="47">
        <f>IF(A1011="","",IF(MIN(H1011,MAX(J1011:K1011))=0,"",MIN(H1011,MAX(J1011:K1011))))</f>
        <v/>
      </c>
      <c r="G1011" s="74" t="n"/>
      <c r="H1011" s="49">
        <f>IF(M1011="","",IFERROR(ROUND(AVERAGE(T1011+M1011*{7,8,9,10,11})/1.21,4),""))</f>
        <v/>
      </c>
      <c r="I1011" s="76" t="n"/>
      <c r="J1011" s="77" t="n"/>
      <c r="K1011" s="74" t="n"/>
      <c r="L1011" s="78" t="n"/>
      <c r="M1011" s="77" t="n"/>
      <c r="N1011" s="53">
        <f>IF(M1011="","",IFERROR(M1011/I1011,""))</f>
        <v/>
      </c>
      <c r="O1011" s="50">
        <f>IF(A1011="","",IFERROR((IF(G1011="",I1011,G1011)-T1011)/M1011,""))</f>
        <v/>
      </c>
      <c r="P1011" s="50">
        <f>IFERROR((I1011/T1011-1)/N1011,"")</f>
        <v/>
      </c>
      <c r="Q1011" s="46">
        <f>IF(OR(T1011="",I1011&lt;T1011),"",IFERROR(R1011/IF(G1011="",I1011,G1011)-1,""))</f>
        <v/>
      </c>
      <c r="R1011" s="48">
        <f>IF($M1011="","",MAX(IF($G1011="",$I1011,$G1011)*(1/1.1),IF($G1011="",$I1011,$G1011)+(R$2*$M1011)))</f>
        <v/>
      </c>
      <c r="S1011" s="49">
        <f>IF($M1011="","",MAX(IF($G1011="",$I1011,$G1011)*(1/1.1),IF($G1011="",$I1011,$G1011)+(S$2*$M1011)))</f>
        <v/>
      </c>
      <c r="T1011" s="82" t="n"/>
      <c r="U1011" s="47">
        <f>IF(OR($M1011="",$T1011=""),"",$T1011+(U$2*$M1011))</f>
        <v/>
      </c>
      <c r="V1011" s="48">
        <f>IF(OR($M1011="",$T1011=""),"",$T1011+(V$2*$M1011))</f>
        <v/>
      </c>
      <c r="W1011" s="48">
        <f>IF(OR($M1011="",$T1011=""),"",$T1011+(W$2*$M1011))</f>
        <v/>
      </c>
      <c r="X1011" s="49">
        <f>IF(OR($M1011="",$T1011=""),"",$T1011+(X$2*$M1011))</f>
        <v/>
      </c>
      <c r="Y1011" s="47">
        <f>IF(OR($M1011="",$T1011=""),"",$T1011+(Y$2*$M1011))</f>
        <v/>
      </c>
      <c r="Z1011" s="49">
        <f>IF(OR($M1011="",$T1011=""),"",$T1011+(Z$2*$M1011))</f>
        <v/>
      </c>
      <c r="AA1011" s="51">
        <f>IF(OR($M1011="",$T1011=""),"",$T1011+(AA$2*$M1011))</f>
        <v/>
      </c>
      <c r="AB1011" s="48">
        <f>IF(OR($M1011="",$T1011=""),"",$T1011+(AB$2*$M1011))</f>
        <v/>
      </c>
      <c r="AC1011" s="48">
        <f>IF(OR($M1011="",$T1011=""),"",$T1011+(AC$2*$M1011))</f>
        <v/>
      </c>
      <c r="AD1011" s="48">
        <f>IF(OR($M1011="",$T1011=""),"",$T1011+(AD$2*$M1011))</f>
        <v/>
      </c>
      <c r="AE1011" s="49">
        <f>IF(OR($M1011="",$T1011=""),"",$T1011+(AE$2*$M1011))</f>
        <v/>
      </c>
      <c r="AF1011" s="52">
        <f>IF(OR(T1011="",I1011&lt;T1011),"",IFERROR(AVERAGE(T1011+M1011*{7,8,9,10,11})/IF(G1011="",I1011,G1011)-1,""))</f>
        <v/>
      </c>
      <c r="AG1011" s="55">
        <f>IF(OR(T1011="",I1011&lt;T1011),"",IFERROR(AF1011/-(R1011/IF(G1011="",I1011,G1011)-1),""))</f>
        <v/>
      </c>
      <c r="AH1011" s="94" t="n"/>
      <c r="AI1011" s="94" t="n"/>
      <c r="AJ1011" s="94" t="n"/>
      <c r="AK1011" s="94" t="n"/>
      <c r="AL1011" s="84" t="n"/>
    </row>
    <row r="1012">
      <c r="A1012" s="64" t="n"/>
      <c r="B1012" s="65" t="n"/>
      <c r="C1012" s="66" t="n"/>
      <c r="D1012" s="67" t="n"/>
      <c r="E1012" s="68" t="n"/>
      <c r="F1012" s="47">
        <f>IF(A1012="","",IF(MIN(H1012,MAX(J1012:K1012))=0,"",MIN(H1012,MAX(J1012:K1012))))</f>
        <v/>
      </c>
      <c r="G1012" s="74" t="n"/>
      <c r="H1012" s="49">
        <f>IF(M1012="","",IFERROR(ROUND(AVERAGE(T1012+M1012*{7,8,9,10,11})/1.21,4),""))</f>
        <v/>
      </c>
      <c r="I1012" s="76" t="n"/>
      <c r="J1012" s="77" t="n"/>
      <c r="K1012" s="74" t="n"/>
      <c r="L1012" s="78" t="n"/>
      <c r="M1012" s="77" t="n"/>
      <c r="N1012" s="53">
        <f>IF(M1012="","",IFERROR(M1012/I1012,""))</f>
        <v/>
      </c>
      <c r="O1012" s="50">
        <f>IF(A1012="","",IFERROR((IF(G1012="",I1012,G1012)-T1012)/M1012,""))</f>
        <v/>
      </c>
      <c r="P1012" s="50">
        <f>IFERROR((I1012/T1012-1)/N1012,"")</f>
        <v/>
      </c>
      <c r="Q1012" s="46">
        <f>IF(OR(T1012="",I1012&lt;T1012),"",IFERROR(R1012/IF(G1012="",I1012,G1012)-1,""))</f>
        <v/>
      </c>
      <c r="R1012" s="48">
        <f>IF($M1012="","",MAX(IF($G1012="",$I1012,$G1012)*(1/1.1),IF($G1012="",$I1012,$G1012)+(R$2*$M1012)))</f>
        <v/>
      </c>
      <c r="S1012" s="49">
        <f>IF($M1012="","",MAX(IF($G1012="",$I1012,$G1012)*(1/1.1),IF($G1012="",$I1012,$G1012)+(S$2*$M1012)))</f>
        <v/>
      </c>
      <c r="T1012" s="82" t="n"/>
      <c r="U1012" s="47">
        <f>IF(OR($M1012="",$T1012=""),"",$T1012+(U$2*$M1012))</f>
        <v/>
      </c>
      <c r="V1012" s="48">
        <f>IF(OR($M1012="",$T1012=""),"",$T1012+(V$2*$M1012))</f>
        <v/>
      </c>
      <c r="W1012" s="48">
        <f>IF(OR($M1012="",$T1012=""),"",$T1012+(W$2*$M1012))</f>
        <v/>
      </c>
      <c r="X1012" s="49">
        <f>IF(OR($M1012="",$T1012=""),"",$T1012+(X$2*$M1012))</f>
        <v/>
      </c>
      <c r="Y1012" s="47">
        <f>IF(OR($M1012="",$T1012=""),"",$T1012+(Y$2*$M1012))</f>
        <v/>
      </c>
      <c r="Z1012" s="49">
        <f>IF(OR($M1012="",$T1012=""),"",$T1012+(Z$2*$M1012))</f>
        <v/>
      </c>
      <c r="AA1012" s="51">
        <f>IF(OR($M1012="",$T1012=""),"",$T1012+(AA$2*$M1012))</f>
        <v/>
      </c>
      <c r="AB1012" s="48">
        <f>IF(OR($M1012="",$T1012=""),"",$T1012+(AB$2*$M1012))</f>
        <v/>
      </c>
      <c r="AC1012" s="48">
        <f>IF(OR($M1012="",$T1012=""),"",$T1012+(AC$2*$M1012))</f>
        <v/>
      </c>
      <c r="AD1012" s="48">
        <f>IF(OR($M1012="",$T1012=""),"",$T1012+(AD$2*$M1012))</f>
        <v/>
      </c>
      <c r="AE1012" s="49">
        <f>IF(OR($M1012="",$T1012=""),"",$T1012+(AE$2*$M1012))</f>
        <v/>
      </c>
      <c r="AF1012" s="52">
        <f>IF(OR(T1012="",I1012&lt;T1012),"",IFERROR(AVERAGE(T1012+M1012*{7,8,9,10,11})/IF(G1012="",I1012,G1012)-1,""))</f>
        <v/>
      </c>
      <c r="AG1012" s="55">
        <f>IF(OR(T1012="",I1012&lt;T1012),"",IFERROR(AF1012/-(R1012/IF(G1012="",I1012,G1012)-1),""))</f>
        <v/>
      </c>
      <c r="AH1012" s="94" t="n"/>
      <c r="AI1012" s="94" t="n"/>
      <c r="AJ1012" s="94" t="n"/>
      <c r="AK1012" s="94" t="n"/>
      <c r="AL1012" s="84" t="n"/>
    </row>
    <row r="1013">
      <c r="A1013" s="64" t="n"/>
      <c r="B1013" s="65" t="n"/>
      <c r="C1013" s="66" t="n"/>
      <c r="D1013" s="67" t="n"/>
      <c r="E1013" s="68" t="n"/>
      <c r="F1013" s="47">
        <f>IF(A1013="","",IF(MIN(H1013,MAX(J1013:K1013))=0,"",MIN(H1013,MAX(J1013:K1013))))</f>
        <v/>
      </c>
      <c r="G1013" s="74" t="n"/>
      <c r="H1013" s="49">
        <f>IF(M1013="","",IFERROR(ROUND(AVERAGE(T1013+M1013*{7,8,9,10,11})/1.21,4),""))</f>
        <v/>
      </c>
      <c r="I1013" s="76" t="n"/>
      <c r="J1013" s="77" t="n"/>
      <c r="K1013" s="74" t="n"/>
      <c r="L1013" s="78" t="n"/>
      <c r="M1013" s="77" t="n"/>
      <c r="N1013" s="53">
        <f>IF(M1013="","",IFERROR(M1013/I1013,""))</f>
        <v/>
      </c>
      <c r="O1013" s="50">
        <f>IF(A1013="","",IFERROR((IF(G1013="",I1013,G1013)-T1013)/M1013,""))</f>
        <v/>
      </c>
      <c r="P1013" s="50">
        <f>IFERROR((I1013/T1013-1)/N1013,"")</f>
        <v/>
      </c>
      <c r="Q1013" s="46">
        <f>IF(OR(T1013="",I1013&lt;T1013),"",IFERROR(R1013/IF(G1013="",I1013,G1013)-1,""))</f>
        <v/>
      </c>
      <c r="R1013" s="48">
        <f>IF($M1013="","",MAX(IF($G1013="",$I1013,$G1013)*(1/1.1),IF($G1013="",$I1013,$G1013)+(R$2*$M1013)))</f>
        <v/>
      </c>
      <c r="S1013" s="49">
        <f>IF($M1013="","",MAX(IF($G1013="",$I1013,$G1013)*(1/1.1),IF($G1013="",$I1013,$G1013)+(S$2*$M1013)))</f>
        <v/>
      </c>
      <c r="T1013" s="82" t="n"/>
      <c r="U1013" s="47">
        <f>IF(OR($M1013="",$T1013=""),"",$T1013+(U$2*$M1013))</f>
        <v/>
      </c>
      <c r="V1013" s="48">
        <f>IF(OR($M1013="",$T1013=""),"",$T1013+(V$2*$M1013))</f>
        <v/>
      </c>
      <c r="W1013" s="48">
        <f>IF(OR($M1013="",$T1013=""),"",$T1013+(W$2*$M1013))</f>
        <v/>
      </c>
      <c r="X1013" s="49">
        <f>IF(OR($M1013="",$T1013=""),"",$T1013+(X$2*$M1013))</f>
        <v/>
      </c>
      <c r="Y1013" s="47">
        <f>IF(OR($M1013="",$T1013=""),"",$T1013+(Y$2*$M1013))</f>
        <v/>
      </c>
      <c r="Z1013" s="49">
        <f>IF(OR($M1013="",$T1013=""),"",$T1013+(Z$2*$M1013))</f>
        <v/>
      </c>
      <c r="AA1013" s="51">
        <f>IF(OR($M1013="",$T1013=""),"",$T1013+(AA$2*$M1013))</f>
        <v/>
      </c>
      <c r="AB1013" s="48">
        <f>IF(OR($M1013="",$T1013=""),"",$T1013+(AB$2*$M1013))</f>
        <v/>
      </c>
      <c r="AC1013" s="48">
        <f>IF(OR($M1013="",$T1013=""),"",$T1013+(AC$2*$M1013))</f>
        <v/>
      </c>
      <c r="AD1013" s="48">
        <f>IF(OR($M1013="",$T1013=""),"",$T1013+(AD$2*$M1013))</f>
        <v/>
      </c>
      <c r="AE1013" s="49">
        <f>IF(OR($M1013="",$T1013=""),"",$T1013+(AE$2*$M1013))</f>
        <v/>
      </c>
      <c r="AF1013" s="52">
        <f>IF(OR(T1013="",I1013&lt;T1013),"",IFERROR(AVERAGE(T1013+M1013*{7,8,9,10,11})/IF(G1013="",I1013,G1013)-1,""))</f>
        <v/>
      </c>
      <c r="AG1013" s="55">
        <f>IF(OR(T1013="",I1013&lt;T1013),"",IFERROR(AF1013/-(R1013/IF(G1013="",I1013,G1013)-1),""))</f>
        <v/>
      </c>
      <c r="AH1013" s="94" t="n"/>
      <c r="AI1013" s="94" t="n"/>
      <c r="AJ1013" s="94" t="n"/>
      <c r="AK1013" s="94" t="n"/>
      <c r="AL1013" s="84" t="n"/>
    </row>
    <row r="1014">
      <c r="A1014" s="64" t="n"/>
      <c r="B1014" s="65" t="n"/>
      <c r="C1014" s="66" t="n"/>
      <c r="D1014" s="67" t="n"/>
      <c r="E1014" s="68" t="n"/>
      <c r="F1014" s="47">
        <f>IF(A1014="","",IF(MIN(H1014,MAX(J1014:K1014))=0,"",MIN(H1014,MAX(J1014:K1014))))</f>
        <v/>
      </c>
      <c r="G1014" s="74" t="n"/>
      <c r="H1014" s="49">
        <f>IF(M1014="","",IFERROR(ROUND(AVERAGE(T1014+M1014*{7,8,9,10,11})/1.21,4),""))</f>
        <v/>
      </c>
      <c r="I1014" s="76" t="n"/>
      <c r="J1014" s="77" t="n"/>
      <c r="K1014" s="74" t="n"/>
      <c r="L1014" s="78" t="n"/>
      <c r="M1014" s="77" t="n"/>
      <c r="N1014" s="53">
        <f>IF(M1014="","",IFERROR(M1014/I1014,""))</f>
        <v/>
      </c>
      <c r="O1014" s="50">
        <f>IF(A1014="","",IFERROR((IF(G1014="",I1014,G1014)-T1014)/M1014,""))</f>
        <v/>
      </c>
      <c r="P1014" s="50">
        <f>IFERROR((I1014/T1014-1)/N1014,"")</f>
        <v/>
      </c>
      <c r="Q1014" s="46">
        <f>IF(OR(T1014="",I1014&lt;T1014),"",IFERROR(R1014/IF(G1014="",I1014,G1014)-1,""))</f>
        <v/>
      </c>
      <c r="R1014" s="48">
        <f>IF($M1014="","",MAX(IF($G1014="",$I1014,$G1014)*(1/1.1),IF($G1014="",$I1014,$G1014)+(R$2*$M1014)))</f>
        <v/>
      </c>
      <c r="S1014" s="49">
        <f>IF($M1014="","",MAX(IF($G1014="",$I1014,$G1014)*(1/1.1),IF($G1014="",$I1014,$G1014)+(S$2*$M1014)))</f>
        <v/>
      </c>
      <c r="T1014" s="82" t="n"/>
      <c r="U1014" s="47">
        <f>IF(OR($M1014="",$T1014=""),"",$T1014+(U$2*$M1014))</f>
        <v/>
      </c>
      <c r="V1014" s="48">
        <f>IF(OR($M1014="",$T1014=""),"",$T1014+(V$2*$M1014))</f>
        <v/>
      </c>
      <c r="W1014" s="48">
        <f>IF(OR($M1014="",$T1014=""),"",$T1014+(W$2*$M1014))</f>
        <v/>
      </c>
      <c r="X1014" s="49">
        <f>IF(OR($M1014="",$T1014=""),"",$T1014+(X$2*$M1014))</f>
        <v/>
      </c>
      <c r="Y1014" s="47">
        <f>IF(OR($M1014="",$T1014=""),"",$T1014+(Y$2*$M1014))</f>
        <v/>
      </c>
      <c r="Z1014" s="49">
        <f>IF(OR($M1014="",$T1014=""),"",$T1014+(Z$2*$M1014))</f>
        <v/>
      </c>
      <c r="AA1014" s="51">
        <f>IF(OR($M1014="",$T1014=""),"",$T1014+(AA$2*$M1014))</f>
        <v/>
      </c>
      <c r="AB1014" s="48">
        <f>IF(OR($M1014="",$T1014=""),"",$T1014+(AB$2*$M1014))</f>
        <v/>
      </c>
      <c r="AC1014" s="48">
        <f>IF(OR($M1014="",$T1014=""),"",$T1014+(AC$2*$M1014))</f>
        <v/>
      </c>
      <c r="AD1014" s="48">
        <f>IF(OR($M1014="",$T1014=""),"",$T1014+(AD$2*$M1014))</f>
        <v/>
      </c>
      <c r="AE1014" s="49">
        <f>IF(OR($M1014="",$T1014=""),"",$T1014+(AE$2*$M1014))</f>
        <v/>
      </c>
      <c r="AF1014" s="52">
        <f>IF(OR(T1014="",I1014&lt;T1014),"",IFERROR(AVERAGE(T1014+M1014*{7,8,9,10,11})/IF(G1014="",I1014,G1014)-1,""))</f>
        <v/>
      </c>
      <c r="AG1014" s="55">
        <f>IF(OR(T1014="",I1014&lt;T1014),"",IFERROR(AF1014/-(R1014/IF(G1014="",I1014,G1014)-1),""))</f>
        <v/>
      </c>
      <c r="AH1014" s="94" t="n"/>
      <c r="AI1014" s="94" t="n"/>
      <c r="AJ1014" s="94" t="n"/>
      <c r="AK1014" s="94" t="n"/>
      <c r="AL1014" s="84" t="n"/>
    </row>
    <row r="1015">
      <c r="A1015" s="64" t="n"/>
      <c r="B1015" s="65" t="n"/>
      <c r="C1015" s="66" t="n"/>
      <c r="D1015" s="67" t="n"/>
      <c r="E1015" s="68" t="n"/>
      <c r="F1015" s="47">
        <f>IF(A1015="","",IF(MIN(H1015,MAX(J1015:K1015))=0,"",MIN(H1015,MAX(J1015:K1015))))</f>
        <v/>
      </c>
      <c r="G1015" s="74" t="n"/>
      <c r="H1015" s="49">
        <f>IF(M1015="","",IFERROR(ROUND(AVERAGE(T1015+M1015*{7,8,9,10,11})/1.21,4),""))</f>
        <v/>
      </c>
      <c r="I1015" s="76" t="n"/>
      <c r="J1015" s="77" t="n"/>
      <c r="K1015" s="74" t="n"/>
      <c r="L1015" s="78" t="n"/>
      <c r="M1015" s="77" t="n"/>
      <c r="N1015" s="53">
        <f>IF(M1015="","",IFERROR(M1015/I1015,""))</f>
        <v/>
      </c>
      <c r="O1015" s="50">
        <f>IF(A1015="","",IFERROR((IF(G1015="",I1015,G1015)-T1015)/M1015,""))</f>
        <v/>
      </c>
      <c r="P1015" s="50">
        <f>IFERROR((I1015/T1015-1)/N1015,"")</f>
        <v/>
      </c>
      <c r="Q1015" s="46">
        <f>IF(OR(T1015="",I1015&lt;T1015),"",IFERROR(R1015/IF(G1015="",I1015,G1015)-1,""))</f>
        <v/>
      </c>
      <c r="R1015" s="48">
        <f>IF($M1015="","",MAX(IF($G1015="",$I1015,$G1015)*(1/1.1),IF($G1015="",$I1015,$G1015)+(R$2*$M1015)))</f>
        <v/>
      </c>
      <c r="S1015" s="49">
        <f>IF($M1015="","",MAX(IF($G1015="",$I1015,$G1015)*(1/1.1),IF($G1015="",$I1015,$G1015)+(S$2*$M1015)))</f>
        <v/>
      </c>
      <c r="T1015" s="82" t="n"/>
      <c r="U1015" s="47">
        <f>IF(OR($M1015="",$T1015=""),"",$T1015+(U$2*$M1015))</f>
        <v/>
      </c>
      <c r="V1015" s="48">
        <f>IF(OR($M1015="",$T1015=""),"",$T1015+(V$2*$M1015))</f>
        <v/>
      </c>
      <c r="W1015" s="48">
        <f>IF(OR($M1015="",$T1015=""),"",$T1015+(W$2*$M1015))</f>
        <v/>
      </c>
      <c r="X1015" s="49">
        <f>IF(OR($M1015="",$T1015=""),"",$T1015+(X$2*$M1015))</f>
        <v/>
      </c>
      <c r="Y1015" s="47">
        <f>IF(OR($M1015="",$T1015=""),"",$T1015+(Y$2*$M1015))</f>
        <v/>
      </c>
      <c r="Z1015" s="49">
        <f>IF(OR($M1015="",$T1015=""),"",$T1015+(Z$2*$M1015))</f>
        <v/>
      </c>
      <c r="AA1015" s="51">
        <f>IF(OR($M1015="",$T1015=""),"",$T1015+(AA$2*$M1015))</f>
        <v/>
      </c>
      <c r="AB1015" s="48">
        <f>IF(OR($M1015="",$T1015=""),"",$T1015+(AB$2*$M1015))</f>
        <v/>
      </c>
      <c r="AC1015" s="48">
        <f>IF(OR($M1015="",$T1015=""),"",$T1015+(AC$2*$M1015))</f>
        <v/>
      </c>
      <c r="AD1015" s="48">
        <f>IF(OR($M1015="",$T1015=""),"",$T1015+(AD$2*$M1015))</f>
        <v/>
      </c>
      <c r="AE1015" s="49">
        <f>IF(OR($M1015="",$T1015=""),"",$T1015+(AE$2*$M1015))</f>
        <v/>
      </c>
      <c r="AF1015" s="52">
        <f>IF(OR(T1015="",I1015&lt;T1015),"",IFERROR(AVERAGE(T1015+M1015*{7,8,9,10,11})/IF(G1015="",I1015,G1015)-1,""))</f>
        <v/>
      </c>
      <c r="AG1015" s="55">
        <f>IF(OR(T1015="",I1015&lt;T1015),"",IFERROR(AF1015/-(R1015/IF(G1015="",I1015,G1015)-1),""))</f>
        <v/>
      </c>
      <c r="AH1015" s="94" t="n"/>
      <c r="AI1015" s="94" t="n"/>
      <c r="AJ1015" s="94" t="n"/>
      <c r="AK1015" s="94" t="n"/>
      <c r="AL1015" s="84" t="n"/>
    </row>
    <row r="1016">
      <c r="A1016" s="64" t="n"/>
      <c r="B1016" s="65" t="n"/>
      <c r="C1016" s="66" t="n"/>
      <c r="D1016" s="67" t="n"/>
      <c r="E1016" s="68" t="n"/>
      <c r="F1016" s="47">
        <f>IF(A1016="","",IF(MIN(H1016,MAX(J1016:K1016))=0,"",MIN(H1016,MAX(J1016:K1016))))</f>
        <v/>
      </c>
      <c r="G1016" s="74" t="n"/>
      <c r="H1016" s="49">
        <f>IF(M1016="","",IFERROR(ROUND(AVERAGE(T1016+M1016*{7,8,9,10,11})/1.21,4),""))</f>
        <v/>
      </c>
      <c r="I1016" s="76" t="n"/>
      <c r="J1016" s="77" t="n"/>
      <c r="K1016" s="74" t="n"/>
      <c r="L1016" s="78" t="n"/>
      <c r="M1016" s="77" t="n"/>
      <c r="N1016" s="53">
        <f>IF(M1016="","",IFERROR(M1016/I1016,""))</f>
        <v/>
      </c>
      <c r="O1016" s="50">
        <f>IF(A1016="","",IFERROR((IF(G1016="",I1016,G1016)-T1016)/M1016,""))</f>
        <v/>
      </c>
      <c r="P1016" s="50">
        <f>IFERROR((I1016/T1016-1)/N1016,"")</f>
        <v/>
      </c>
      <c r="Q1016" s="46">
        <f>IF(OR(T1016="",I1016&lt;T1016),"",IFERROR(R1016/IF(G1016="",I1016,G1016)-1,""))</f>
        <v/>
      </c>
      <c r="R1016" s="48">
        <f>IF($M1016="","",MAX(IF($G1016="",$I1016,$G1016)*(1/1.1),IF($G1016="",$I1016,$G1016)+(R$2*$M1016)))</f>
        <v/>
      </c>
      <c r="S1016" s="49">
        <f>IF($M1016="","",MAX(IF($G1016="",$I1016,$G1016)*(1/1.1),IF($G1016="",$I1016,$G1016)+(S$2*$M1016)))</f>
        <v/>
      </c>
      <c r="T1016" s="82" t="n"/>
      <c r="U1016" s="47">
        <f>IF(OR($M1016="",$T1016=""),"",$T1016+(U$2*$M1016))</f>
        <v/>
      </c>
      <c r="V1016" s="48">
        <f>IF(OR($M1016="",$T1016=""),"",$T1016+(V$2*$M1016))</f>
        <v/>
      </c>
      <c r="W1016" s="48">
        <f>IF(OR($M1016="",$T1016=""),"",$T1016+(W$2*$M1016))</f>
        <v/>
      </c>
      <c r="X1016" s="49">
        <f>IF(OR($M1016="",$T1016=""),"",$T1016+(X$2*$M1016))</f>
        <v/>
      </c>
      <c r="Y1016" s="47">
        <f>IF(OR($M1016="",$T1016=""),"",$T1016+(Y$2*$M1016))</f>
        <v/>
      </c>
      <c r="Z1016" s="49">
        <f>IF(OR($M1016="",$T1016=""),"",$T1016+(Z$2*$M1016))</f>
        <v/>
      </c>
      <c r="AA1016" s="51">
        <f>IF(OR($M1016="",$T1016=""),"",$T1016+(AA$2*$M1016))</f>
        <v/>
      </c>
      <c r="AB1016" s="48">
        <f>IF(OR($M1016="",$T1016=""),"",$T1016+(AB$2*$M1016))</f>
        <v/>
      </c>
      <c r="AC1016" s="48">
        <f>IF(OR($M1016="",$T1016=""),"",$T1016+(AC$2*$M1016))</f>
        <v/>
      </c>
      <c r="AD1016" s="48">
        <f>IF(OR($M1016="",$T1016=""),"",$T1016+(AD$2*$M1016))</f>
        <v/>
      </c>
      <c r="AE1016" s="49">
        <f>IF(OR($M1016="",$T1016=""),"",$T1016+(AE$2*$M1016))</f>
        <v/>
      </c>
      <c r="AF1016" s="52">
        <f>IF(OR(T1016="",I1016&lt;T1016),"",IFERROR(AVERAGE(T1016+M1016*{7,8,9,10,11})/IF(G1016="",I1016,G1016)-1,""))</f>
        <v/>
      </c>
      <c r="AG1016" s="55">
        <f>IF(OR(T1016="",I1016&lt;T1016),"",IFERROR(AF1016/-(R1016/IF(G1016="",I1016,G1016)-1),""))</f>
        <v/>
      </c>
      <c r="AH1016" s="94" t="n"/>
      <c r="AI1016" s="94" t="n"/>
      <c r="AJ1016" s="94" t="n"/>
      <c r="AK1016" s="94" t="n"/>
      <c r="AL1016" s="84" t="n"/>
    </row>
    <row r="1017">
      <c r="A1017" s="64" t="n"/>
      <c r="B1017" s="65" t="n"/>
      <c r="C1017" s="66" t="n"/>
      <c r="D1017" s="67" t="n"/>
      <c r="E1017" s="68" t="n"/>
      <c r="F1017" s="47">
        <f>IF(A1017="","",IF(MIN(H1017,MAX(J1017:K1017))=0,"",MIN(H1017,MAX(J1017:K1017))))</f>
        <v/>
      </c>
      <c r="G1017" s="74" t="n"/>
      <c r="H1017" s="49">
        <f>IF(M1017="","",IFERROR(ROUND(AVERAGE(T1017+M1017*{7,8,9,10,11})/1.21,4),""))</f>
        <v/>
      </c>
      <c r="I1017" s="76" t="n"/>
      <c r="J1017" s="77" t="n"/>
      <c r="K1017" s="74" t="n"/>
      <c r="L1017" s="78" t="n"/>
      <c r="M1017" s="77" t="n"/>
      <c r="N1017" s="53">
        <f>IF(M1017="","",IFERROR(M1017/I1017,""))</f>
        <v/>
      </c>
      <c r="O1017" s="50">
        <f>IF(A1017="","",IFERROR((IF(G1017="",I1017,G1017)-T1017)/M1017,""))</f>
        <v/>
      </c>
      <c r="P1017" s="50">
        <f>IFERROR((I1017/T1017-1)/N1017,"")</f>
        <v/>
      </c>
      <c r="Q1017" s="46">
        <f>IF(OR(T1017="",I1017&lt;T1017),"",IFERROR(R1017/IF(G1017="",I1017,G1017)-1,""))</f>
        <v/>
      </c>
      <c r="R1017" s="48">
        <f>IF($M1017="","",MAX(IF($G1017="",$I1017,$G1017)*(1/1.1),IF($G1017="",$I1017,$G1017)+(R$2*$M1017)))</f>
        <v/>
      </c>
      <c r="S1017" s="49">
        <f>IF($M1017="","",MAX(IF($G1017="",$I1017,$G1017)*(1/1.1),IF($G1017="",$I1017,$G1017)+(S$2*$M1017)))</f>
        <v/>
      </c>
      <c r="T1017" s="82" t="n"/>
      <c r="U1017" s="47">
        <f>IF(OR($M1017="",$T1017=""),"",$T1017+(U$2*$M1017))</f>
        <v/>
      </c>
      <c r="V1017" s="48">
        <f>IF(OR($M1017="",$T1017=""),"",$T1017+(V$2*$M1017))</f>
        <v/>
      </c>
      <c r="W1017" s="48">
        <f>IF(OR($M1017="",$T1017=""),"",$T1017+(W$2*$M1017))</f>
        <v/>
      </c>
      <c r="X1017" s="49">
        <f>IF(OR($M1017="",$T1017=""),"",$T1017+(X$2*$M1017))</f>
        <v/>
      </c>
      <c r="Y1017" s="47">
        <f>IF(OR($M1017="",$T1017=""),"",$T1017+(Y$2*$M1017))</f>
        <v/>
      </c>
      <c r="Z1017" s="49">
        <f>IF(OR($M1017="",$T1017=""),"",$T1017+(Z$2*$M1017))</f>
        <v/>
      </c>
      <c r="AA1017" s="51">
        <f>IF(OR($M1017="",$T1017=""),"",$T1017+(AA$2*$M1017))</f>
        <v/>
      </c>
      <c r="AB1017" s="48">
        <f>IF(OR($M1017="",$T1017=""),"",$T1017+(AB$2*$M1017))</f>
        <v/>
      </c>
      <c r="AC1017" s="48">
        <f>IF(OR($M1017="",$T1017=""),"",$T1017+(AC$2*$M1017))</f>
        <v/>
      </c>
      <c r="AD1017" s="48">
        <f>IF(OR($M1017="",$T1017=""),"",$T1017+(AD$2*$M1017))</f>
        <v/>
      </c>
      <c r="AE1017" s="49">
        <f>IF(OR($M1017="",$T1017=""),"",$T1017+(AE$2*$M1017))</f>
        <v/>
      </c>
      <c r="AF1017" s="52">
        <f>IF(OR(T1017="",I1017&lt;T1017),"",IFERROR(AVERAGE(T1017+M1017*{7,8,9,10,11})/IF(G1017="",I1017,G1017)-1,""))</f>
        <v/>
      </c>
      <c r="AG1017" s="55">
        <f>IF(OR(T1017="",I1017&lt;T1017),"",IFERROR(AF1017/-(R1017/IF(G1017="",I1017,G1017)-1),""))</f>
        <v/>
      </c>
      <c r="AH1017" s="94" t="n"/>
      <c r="AI1017" s="94" t="n"/>
      <c r="AJ1017" s="94" t="n"/>
      <c r="AK1017" s="94" t="n"/>
      <c r="AL1017" s="84" t="n"/>
    </row>
    <row r="1018">
      <c r="A1018" s="64" t="n"/>
      <c r="B1018" s="65" t="n"/>
      <c r="C1018" s="66" t="n"/>
      <c r="D1018" s="67" t="n"/>
      <c r="E1018" s="68" t="n"/>
      <c r="F1018" s="47">
        <f>IF(A1018="","",IF(MIN(H1018,MAX(J1018:K1018))=0,"",MIN(H1018,MAX(J1018:K1018))))</f>
        <v/>
      </c>
      <c r="G1018" s="74" t="n"/>
      <c r="H1018" s="49">
        <f>IF(M1018="","",IFERROR(ROUND(AVERAGE(T1018+M1018*{7,8,9,10,11})/1.21,4),""))</f>
        <v/>
      </c>
      <c r="I1018" s="76" t="n"/>
      <c r="J1018" s="77" t="n"/>
      <c r="K1018" s="74" t="n"/>
      <c r="L1018" s="78" t="n"/>
      <c r="M1018" s="77" t="n"/>
      <c r="N1018" s="53">
        <f>IF(M1018="","",IFERROR(M1018/I1018,""))</f>
        <v/>
      </c>
      <c r="O1018" s="50">
        <f>IF(A1018="","",IFERROR((IF(G1018="",I1018,G1018)-T1018)/M1018,""))</f>
        <v/>
      </c>
      <c r="P1018" s="50">
        <f>IFERROR((I1018/T1018-1)/N1018,"")</f>
        <v/>
      </c>
      <c r="Q1018" s="46">
        <f>IF(OR(T1018="",I1018&lt;T1018),"",IFERROR(R1018/IF(G1018="",I1018,G1018)-1,""))</f>
        <v/>
      </c>
      <c r="R1018" s="48">
        <f>IF($M1018="","",MAX(IF($G1018="",$I1018,$G1018)*(1/1.1),IF($G1018="",$I1018,$G1018)+(R$2*$M1018)))</f>
        <v/>
      </c>
      <c r="S1018" s="49">
        <f>IF($M1018="","",MAX(IF($G1018="",$I1018,$G1018)*(1/1.1),IF($G1018="",$I1018,$G1018)+(S$2*$M1018)))</f>
        <v/>
      </c>
      <c r="T1018" s="82" t="n"/>
      <c r="U1018" s="47">
        <f>IF(OR($M1018="",$T1018=""),"",$T1018+(U$2*$M1018))</f>
        <v/>
      </c>
      <c r="V1018" s="48">
        <f>IF(OR($M1018="",$T1018=""),"",$T1018+(V$2*$M1018))</f>
        <v/>
      </c>
      <c r="W1018" s="48">
        <f>IF(OR($M1018="",$T1018=""),"",$T1018+(W$2*$M1018))</f>
        <v/>
      </c>
      <c r="X1018" s="49">
        <f>IF(OR($M1018="",$T1018=""),"",$T1018+(X$2*$M1018))</f>
        <v/>
      </c>
      <c r="Y1018" s="47">
        <f>IF(OR($M1018="",$T1018=""),"",$T1018+(Y$2*$M1018))</f>
        <v/>
      </c>
      <c r="Z1018" s="49">
        <f>IF(OR($M1018="",$T1018=""),"",$T1018+(Z$2*$M1018))</f>
        <v/>
      </c>
      <c r="AA1018" s="51">
        <f>IF(OR($M1018="",$T1018=""),"",$T1018+(AA$2*$M1018))</f>
        <v/>
      </c>
      <c r="AB1018" s="48">
        <f>IF(OR($M1018="",$T1018=""),"",$T1018+(AB$2*$M1018))</f>
        <v/>
      </c>
      <c r="AC1018" s="48">
        <f>IF(OR($M1018="",$T1018=""),"",$T1018+(AC$2*$M1018))</f>
        <v/>
      </c>
      <c r="AD1018" s="48">
        <f>IF(OR($M1018="",$T1018=""),"",$T1018+(AD$2*$M1018))</f>
        <v/>
      </c>
      <c r="AE1018" s="49">
        <f>IF(OR($M1018="",$T1018=""),"",$T1018+(AE$2*$M1018))</f>
        <v/>
      </c>
      <c r="AF1018" s="52">
        <f>IF(OR(T1018="",I1018&lt;T1018),"",IFERROR(AVERAGE(T1018+M1018*{7,8,9,10,11})/IF(G1018="",I1018,G1018)-1,""))</f>
        <v/>
      </c>
      <c r="AG1018" s="55">
        <f>IF(OR(T1018="",I1018&lt;T1018),"",IFERROR(AF1018/-(R1018/IF(G1018="",I1018,G1018)-1),""))</f>
        <v/>
      </c>
      <c r="AH1018" s="94" t="n"/>
      <c r="AI1018" s="94" t="n"/>
      <c r="AJ1018" s="94" t="n"/>
      <c r="AK1018" s="94" t="n"/>
      <c r="AL1018" s="84" t="n"/>
    </row>
    <row r="1019">
      <c r="A1019" s="64" t="n"/>
      <c r="B1019" s="65" t="n"/>
      <c r="C1019" s="66" t="n"/>
      <c r="D1019" s="67" t="n"/>
      <c r="E1019" s="68" t="n"/>
      <c r="F1019" s="47">
        <f>IF(A1019="","",IF(MIN(H1019,MAX(J1019:K1019))=0,"",MIN(H1019,MAX(J1019:K1019))))</f>
        <v/>
      </c>
      <c r="G1019" s="74" t="n"/>
      <c r="H1019" s="49">
        <f>IF(M1019="","",IFERROR(ROUND(AVERAGE(T1019+M1019*{7,8,9,10,11})/1.21,4),""))</f>
        <v/>
      </c>
      <c r="I1019" s="76" t="n"/>
      <c r="J1019" s="77" t="n"/>
      <c r="K1019" s="74" t="n"/>
      <c r="L1019" s="78" t="n"/>
      <c r="M1019" s="77" t="n"/>
      <c r="N1019" s="53">
        <f>IF(M1019="","",IFERROR(M1019/I1019,""))</f>
        <v/>
      </c>
      <c r="O1019" s="50">
        <f>IF(A1019="","",IFERROR((IF(G1019="",I1019,G1019)-T1019)/M1019,""))</f>
        <v/>
      </c>
      <c r="P1019" s="50">
        <f>IFERROR((I1019/T1019-1)/N1019,"")</f>
        <v/>
      </c>
      <c r="Q1019" s="46">
        <f>IF(OR(T1019="",I1019&lt;T1019),"",IFERROR(R1019/IF(G1019="",I1019,G1019)-1,""))</f>
        <v/>
      </c>
      <c r="R1019" s="48">
        <f>IF($M1019="","",MAX(IF($G1019="",$I1019,$G1019)*(1/1.1),IF($G1019="",$I1019,$G1019)+(R$2*$M1019)))</f>
        <v/>
      </c>
      <c r="S1019" s="49">
        <f>IF($M1019="","",MAX(IF($G1019="",$I1019,$G1019)*(1/1.1),IF($G1019="",$I1019,$G1019)+(S$2*$M1019)))</f>
        <v/>
      </c>
      <c r="T1019" s="82" t="n"/>
      <c r="U1019" s="47">
        <f>IF(OR($M1019="",$T1019=""),"",$T1019+(U$2*$M1019))</f>
        <v/>
      </c>
      <c r="V1019" s="48">
        <f>IF(OR($M1019="",$T1019=""),"",$T1019+(V$2*$M1019))</f>
        <v/>
      </c>
      <c r="W1019" s="48">
        <f>IF(OR($M1019="",$T1019=""),"",$T1019+(W$2*$M1019))</f>
        <v/>
      </c>
      <c r="X1019" s="49">
        <f>IF(OR($M1019="",$T1019=""),"",$T1019+(X$2*$M1019))</f>
        <v/>
      </c>
      <c r="Y1019" s="47">
        <f>IF(OR($M1019="",$T1019=""),"",$T1019+(Y$2*$M1019))</f>
        <v/>
      </c>
      <c r="Z1019" s="49">
        <f>IF(OR($M1019="",$T1019=""),"",$T1019+(Z$2*$M1019))</f>
        <v/>
      </c>
      <c r="AA1019" s="51">
        <f>IF(OR($M1019="",$T1019=""),"",$T1019+(AA$2*$M1019))</f>
        <v/>
      </c>
      <c r="AB1019" s="48">
        <f>IF(OR($M1019="",$T1019=""),"",$T1019+(AB$2*$M1019))</f>
        <v/>
      </c>
      <c r="AC1019" s="48">
        <f>IF(OR($M1019="",$T1019=""),"",$T1019+(AC$2*$M1019))</f>
        <v/>
      </c>
      <c r="AD1019" s="48">
        <f>IF(OR($M1019="",$T1019=""),"",$T1019+(AD$2*$M1019))</f>
        <v/>
      </c>
      <c r="AE1019" s="49">
        <f>IF(OR($M1019="",$T1019=""),"",$T1019+(AE$2*$M1019))</f>
        <v/>
      </c>
      <c r="AF1019" s="52">
        <f>IF(OR(T1019="",I1019&lt;T1019),"",IFERROR(AVERAGE(T1019+M1019*{7,8,9,10,11})/IF(G1019="",I1019,G1019)-1,""))</f>
        <v/>
      </c>
      <c r="AG1019" s="55">
        <f>IF(OR(T1019="",I1019&lt;T1019),"",IFERROR(AF1019/-(R1019/IF(G1019="",I1019,G1019)-1),""))</f>
        <v/>
      </c>
      <c r="AH1019" s="94" t="n"/>
      <c r="AI1019" s="94" t="n"/>
      <c r="AJ1019" s="94" t="n"/>
      <c r="AK1019" s="94" t="n"/>
      <c r="AL1019" s="84" t="n"/>
    </row>
    <row r="1020">
      <c r="A1020" s="64" t="n"/>
      <c r="B1020" s="65" t="n"/>
      <c r="C1020" s="66" t="n"/>
      <c r="D1020" s="67" t="n"/>
      <c r="E1020" s="68" t="n"/>
      <c r="F1020" s="47">
        <f>IF(A1020="","",IF(MIN(H1020,MAX(J1020:K1020))=0,"",MIN(H1020,MAX(J1020:K1020))))</f>
        <v/>
      </c>
      <c r="G1020" s="74" t="n"/>
      <c r="H1020" s="49">
        <f>IF(M1020="","",IFERROR(ROUND(AVERAGE(T1020+M1020*{7,8,9,10,11})/1.21,4),""))</f>
        <v/>
      </c>
      <c r="I1020" s="76" t="n"/>
      <c r="J1020" s="77" t="n"/>
      <c r="K1020" s="74" t="n"/>
      <c r="L1020" s="78" t="n"/>
      <c r="M1020" s="77" t="n"/>
      <c r="N1020" s="53">
        <f>IF(M1020="","",IFERROR(M1020/I1020,""))</f>
        <v/>
      </c>
      <c r="O1020" s="50">
        <f>IF(A1020="","",IFERROR((IF(G1020="",I1020,G1020)-T1020)/M1020,""))</f>
        <v/>
      </c>
      <c r="P1020" s="50">
        <f>IFERROR((I1020/T1020-1)/N1020,"")</f>
        <v/>
      </c>
      <c r="Q1020" s="46">
        <f>IF(OR(T1020="",I1020&lt;T1020),"",IFERROR(R1020/IF(G1020="",I1020,G1020)-1,""))</f>
        <v/>
      </c>
      <c r="R1020" s="48">
        <f>IF($M1020="","",MAX(IF($G1020="",$I1020,$G1020)*(1/1.1),IF($G1020="",$I1020,$G1020)+(R$2*$M1020)))</f>
        <v/>
      </c>
      <c r="S1020" s="49">
        <f>IF($M1020="","",MAX(IF($G1020="",$I1020,$G1020)*(1/1.1),IF($G1020="",$I1020,$G1020)+(S$2*$M1020)))</f>
        <v/>
      </c>
      <c r="T1020" s="82" t="n"/>
      <c r="U1020" s="47">
        <f>IF(OR($M1020="",$T1020=""),"",$T1020+(U$2*$M1020))</f>
        <v/>
      </c>
      <c r="V1020" s="48">
        <f>IF(OR($M1020="",$T1020=""),"",$T1020+(V$2*$M1020))</f>
        <v/>
      </c>
      <c r="W1020" s="48">
        <f>IF(OR($M1020="",$T1020=""),"",$T1020+(W$2*$M1020))</f>
        <v/>
      </c>
      <c r="X1020" s="49">
        <f>IF(OR($M1020="",$T1020=""),"",$T1020+(X$2*$M1020))</f>
        <v/>
      </c>
      <c r="Y1020" s="47">
        <f>IF(OR($M1020="",$T1020=""),"",$T1020+(Y$2*$M1020))</f>
        <v/>
      </c>
      <c r="Z1020" s="49">
        <f>IF(OR($M1020="",$T1020=""),"",$T1020+(Z$2*$M1020))</f>
        <v/>
      </c>
      <c r="AA1020" s="51">
        <f>IF(OR($M1020="",$T1020=""),"",$T1020+(AA$2*$M1020))</f>
        <v/>
      </c>
      <c r="AB1020" s="48">
        <f>IF(OR($M1020="",$T1020=""),"",$T1020+(AB$2*$M1020))</f>
        <v/>
      </c>
      <c r="AC1020" s="48">
        <f>IF(OR($M1020="",$T1020=""),"",$T1020+(AC$2*$M1020))</f>
        <v/>
      </c>
      <c r="AD1020" s="48">
        <f>IF(OR($M1020="",$T1020=""),"",$T1020+(AD$2*$M1020))</f>
        <v/>
      </c>
      <c r="AE1020" s="49">
        <f>IF(OR($M1020="",$T1020=""),"",$T1020+(AE$2*$M1020))</f>
        <v/>
      </c>
      <c r="AF1020" s="52">
        <f>IF(OR(T1020="",I1020&lt;T1020),"",IFERROR(AVERAGE(T1020+M1020*{7,8,9,10,11})/IF(G1020="",I1020,G1020)-1,""))</f>
        <v/>
      </c>
      <c r="AG1020" s="55">
        <f>IF(OR(T1020="",I1020&lt;T1020),"",IFERROR(AF1020/-(R1020/IF(G1020="",I1020,G1020)-1),""))</f>
        <v/>
      </c>
      <c r="AH1020" s="94" t="n"/>
      <c r="AI1020" s="94" t="n"/>
      <c r="AJ1020" s="94" t="n"/>
      <c r="AK1020" s="94" t="n"/>
      <c r="AL1020" s="84" t="n"/>
    </row>
    <row r="1021">
      <c r="A1021" s="64" t="n"/>
      <c r="B1021" s="65" t="n"/>
      <c r="C1021" s="66" t="n"/>
      <c r="D1021" s="67" t="n"/>
      <c r="E1021" s="68" t="n"/>
      <c r="F1021" s="47">
        <f>IF(A1021="","",IF(MIN(H1021,MAX(J1021:K1021))=0,"",MIN(H1021,MAX(J1021:K1021))))</f>
        <v/>
      </c>
      <c r="G1021" s="74" t="n"/>
      <c r="H1021" s="49">
        <f>IF(M1021="","",IFERROR(ROUND(AVERAGE(T1021+M1021*{7,8,9,10,11})/1.21,4),""))</f>
        <v/>
      </c>
      <c r="I1021" s="76" t="n"/>
      <c r="J1021" s="77" t="n"/>
      <c r="K1021" s="74" t="n"/>
      <c r="L1021" s="78" t="n"/>
      <c r="M1021" s="77" t="n"/>
      <c r="N1021" s="53">
        <f>IF(M1021="","",IFERROR(M1021/I1021,""))</f>
        <v/>
      </c>
      <c r="O1021" s="50">
        <f>IF(A1021="","",IFERROR((IF(G1021="",I1021,G1021)-T1021)/M1021,""))</f>
        <v/>
      </c>
      <c r="P1021" s="50">
        <f>IFERROR((I1021/T1021-1)/N1021,"")</f>
        <v/>
      </c>
      <c r="Q1021" s="46">
        <f>IF(OR(T1021="",I1021&lt;T1021),"",IFERROR(R1021/IF(G1021="",I1021,G1021)-1,""))</f>
        <v/>
      </c>
      <c r="R1021" s="48">
        <f>IF($M1021="","",MAX(IF($G1021="",$I1021,$G1021)*(1/1.1),IF($G1021="",$I1021,$G1021)+(R$2*$M1021)))</f>
        <v/>
      </c>
      <c r="S1021" s="49">
        <f>IF($M1021="","",MAX(IF($G1021="",$I1021,$G1021)*(1/1.1),IF($G1021="",$I1021,$G1021)+(S$2*$M1021)))</f>
        <v/>
      </c>
      <c r="T1021" s="82" t="n"/>
      <c r="U1021" s="47">
        <f>IF(OR($M1021="",$T1021=""),"",$T1021+(U$2*$M1021))</f>
        <v/>
      </c>
      <c r="V1021" s="48">
        <f>IF(OR($M1021="",$T1021=""),"",$T1021+(V$2*$M1021))</f>
        <v/>
      </c>
      <c r="W1021" s="48">
        <f>IF(OR($M1021="",$T1021=""),"",$T1021+(W$2*$M1021))</f>
        <v/>
      </c>
      <c r="X1021" s="49">
        <f>IF(OR($M1021="",$T1021=""),"",$T1021+(X$2*$M1021))</f>
        <v/>
      </c>
      <c r="Y1021" s="47">
        <f>IF(OR($M1021="",$T1021=""),"",$T1021+(Y$2*$M1021))</f>
        <v/>
      </c>
      <c r="Z1021" s="49">
        <f>IF(OR($M1021="",$T1021=""),"",$T1021+(Z$2*$M1021))</f>
        <v/>
      </c>
      <c r="AA1021" s="51">
        <f>IF(OR($M1021="",$T1021=""),"",$T1021+(AA$2*$M1021))</f>
        <v/>
      </c>
      <c r="AB1021" s="48">
        <f>IF(OR($M1021="",$T1021=""),"",$T1021+(AB$2*$M1021))</f>
        <v/>
      </c>
      <c r="AC1021" s="48">
        <f>IF(OR($M1021="",$T1021=""),"",$T1021+(AC$2*$M1021))</f>
        <v/>
      </c>
      <c r="AD1021" s="48">
        <f>IF(OR($M1021="",$T1021=""),"",$T1021+(AD$2*$M1021))</f>
        <v/>
      </c>
      <c r="AE1021" s="49">
        <f>IF(OR($M1021="",$T1021=""),"",$T1021+(AE$2*$M1021))</f>
        <v/>
      </c>
      <c r="AF1021" s="52">
        <f>IF(OR(T1021="",I1021&lt;T1021),"",IFERROR(AVERAGE(T1021+M1021*{7,8,9,10,11})/IF(G1021="",I1021,G1021)-1,""))</f>
        <v/>
      </c>
      <c r="AG1021" s="55">
        <f>IF(OR(T1021="",I1021&lt;T1021),"",IFERROR(AF1021/-(R1021/IF(G1021="",I1021,G1021)-1),""))</f>
        <v/>
      </c>
      <c r="AH1021" s="94" t="n"/>
      <c r="AI1021" s="94" t="n"/>
      <c r="AJ1021" s="94" t="n"/>
      <c r="AK1021" s="94" t="n"/>
      <c r="AL1021" s="84" t="n"/>
    </row>
    <row r="1022">
      <c r="A1022" s="64" t="n"/>
      <c r="B1022" s="65" t="n"/>
      <c r="C1022" s="66" t="n"/>
      <c r="D1022" s="67" t="n"/>
      <c r="E1022" s="68" t="n"/>
      <c r="F1022" s="47">
        <f>IF(A1022="","",IF(MIN(H1022,MAX(J1022:K1022))=0,"",MIN(H1022,MAX(J1022:K1022))))</f>
        <v/>
      </c>
      <c r="G1022" s="74" t="n"/>
      <c r="H1022" s="49">
        <f>IF(M1022="","",IFERROR(ROUND(AVERAGE(T1022+M1022*{7,8,9,10,11})/1.21,4),""))</f>
        <v/>
      </c>
      <c r="I1022" s="76" t="n"/>
      <c r="J1022" s="77" t="n"/>
      <c r="K1022" s="74" t="n"/>
      <c r="L1022" s="78" t="n"/>
      <c r="M1022" s="77" t="n"/>
      <c r="N1022" s="53">
        <f>IF(M1022="","",IFERROR(M1022/I1022,""))</f>
        <v/>
      </c>
      <c r="O1022" s="50">
        <f>IF(A1022="","",IFERROR((IF(G1022="",I1022,G1022)-T1022)/M1022,""))</f>
        <v/>
      </c>
      <c r="P1022" s="50">
        <f>IFERROR((I1022/T1022-1)/N1022,"")</f>
        <v/>
      </c>
      <c r="Q1022" s="46">
        <f>IF(OR(T1022="",I1022&lt;T1022),"",IFERROR(R1022/IF(G1022="",I1022,G1022)-1,""))</f>
        <v/>
      </c>
      <c r="R1022" s="48">
        <f>IF($M1022="","",MAX(IF($G1022="",$I1022,$G1022)*(1/1.1),IF($G1022="",$I1022,$G1022)+(R$2*$M1022)))</f>
        <v/>
      </c>
      <c r="S1022" s="49">
        <f>IF($M1022="","",MAX(IF($G1022="",$I1022,$G1022)*(1/1.1),IF($G1022="",$I1022,$G1022)+(S$2*$M1022)))</f>
        <v/>
      </c>
      <c r="T1022" s="82" t="n"/>
      <c r="U1022" s="47">
        <f>IF(OR($M1022="",$T1022=""),"",$T1022+(U$2*$M1022))</f>
        <v/>
      </c>
      <c r="V1022" s="48">
        <f>IF(OR($M1022="",$T1022=""),"",$T1022+(V$2*$M1022))</f>
        <v/>
      </c>
      <c r="W1022" s="48">
        <f>IF(OR($M1022="",$T1022=""),"",$T1022+(W$2*$M1022))</f>
        <v/>
      </c>
      <c r="X1022" s="49">
        <f>IF(OR($M1022="",$T1022=""),"",$T1022+(X$2*$M1022))</f>
        <v/>
      </c>
      <c r="Y1022" s="47">
        <f>IF(OR($M1022="",$T1022=""),"",$T1022+(Y$2*$M1022))</f>
        <v/>
      </c>
      <c r="Z1022" s="49">
        <f>IF(OR($M1022="",$T1022=""),"",$T1022+(Z$2*$M1022))</f>
        <v/>
      </c>
      <c r="AA1022" s="51">
        <f>IF(OR($M1022="",$T1022=""),"",$T1022+(AA$2*$M1022))</f>
        <v/>
      </c>
      <c r="AB1022" s="48">
        <f>IF(OR($M1022="",$T1022=""),"",$T1022+(AB$2*$M1022))</f>
        <v/>
      </c>
      <c r="AC1022" s="48">
        <f>IF(OR($M1022="",$T1022=""),"",$T1022+(AC$2*$M1022))</f>
        <v/>
      </c>
      <c r="AD1022" s="48">
        <f>IF(OR($M1022="",$T1022=""),"",$T1022+(AD$2*$M1022))</f>
        <v/>
      </c>
      <c r="AE1022" s="49">
        <f>IF(OR($M1022="",$T1022=""),"",$T1022+(AE$2*$M1022))</f>
        <v/>
      </c>
      <c r="AF1022" s="52">
        <f>IF(OR(T1022="",I1022&lt;T1022),"",IFERROR(AVERAGE(T1022+M1022*{7,8,9,10,11})/IF(G1022="",I1022,G1022)-1,""))</f>
        <v/>
      </c>
      <c r="AG1022" s="55">
        <f>IF(OR(T1022="",I1022&lt;T1022),"",IFERROR(AF1022/-(R1022/IF(G1022="",I1022,G1022)-1),""))</f>
        <v/>
      </c>
      <c r="AH1022" s="94" t="n"/>
      <c r="AI1022" s="94" t="n"/>
      <c r="AJ1022" s="94" t="n"/>
      <c r="AK1022" s="94" t="n"/>
      <c r="AL1022" s="84" t="n"/>
    </row>
    <row r="1023">
      <c r="A1023" s="64" t="n"/>
      <c r="B1023" s="65" t="n"/>
      <c r="C1023" s="66" t="n"/>
      <c r="D1023" s="67" t="n"/>
      <c r="E1023" s="68" t="n"/>
      <c r="F1023" s="47">
        <f>IF(A1023="","",IF(MIN(H1023,MAX(J1023:K1023))=0,"",MIN(H1023,MAX(J1023:K1023))))</f>
        <v/>
      </c>
      <c r="G1023" s="74" t="n"/>
      <c r="H1023" s="49">
        <f>IF(M1023="","",IFERROR(ROUND(AVERAGE(T1023+M1023*{7,8,9,10,11})/1.21,4),""))</f>
        <v/>
      </c>
      <c r="I1023" s="76" t="n"/>
      <c r="J1023" s="77" t="n"/>
      <c r="K1023" s="74" t="n"/>
      <c r="L1023" s="78" t="n"/>
      <c r="M1023" s="77" t="n"/>
      <c r="N1023" s="53">
        <f>IF(M1023="","",IFERROR(M1023/I1023,""))</f>
        <v/>
      </c>
      <c r="O1023" s="50">
        <f>IF(A1023="","",IFERROR((IF(G1023="",I1023,G1023)-T1023)/M1023,""))</f>
        <v/>
      </c>
      <c r="P1023" s="50">
        <f>IFERROR((I1023/T1023-1)/N1023,"")</f>
        <v/>
      </c>
      <c r="Q1023" s="46">
        <f>IF(OR(T1023="",I1023&lt;T1023),"",IFERROR(R1023/IF(G1023="",I1023,G1023)-1,""))</f>
        <v/>
      </c>
      <c r="R1023" s="48">
        <f>IF($M1023="","",MAX(IF($G1023="",$I1023,$G1023)*(1/1.1),IF($G1023="",$I1023,$G1023)+(R$2*$M1023)))</f>
        <v/>
      </c>
      <c r="S1023" s="49">
        <f>IF($M1023="","",MAX(IF($G1023="",$I1023,$G1023)*(1/1.1),IF($G1023="",$I1023,$G1023)+(S$2*$M1023)))</f>
        <v/>
      </c>
      <c r="T1023" s="82" t="n"/>
      <c r="U1023" s="47">
        <f>IF(OR($M1023="",$T1023=""),"",$T1023+(U$2*$M1023))</f>
        <v/>
      </c>
      <c r="V1023" s="48">
        <f>IF(OR($M1023="",$T1023=""),"",$T1023+(V$2*$M1023))</f>
        <v/>
      </c>
      <c r="W1023" s="48">
        <f>IF(OR($M1023="",$T1023=""),"",$T1023+(W$2*$M1023))</f>
        <v/>
      </c>
      <c r="X1023" s="49">
        <f>IF(OR($M1023="",$T1023=""),"",$T1023+(X$2*$M1023))</f>
        <v/>
      </c>
      <c r="Y1023" s="47">
        <f>IF(OR($M1023="",$T1023=""),"",$T1023+(Y$2*$M1023))</f>
        <v/>
      </c>
      <c r="Z1023" s="49">
        <f>IF(OR($M1023="",$T1023=""),"",$T1023+(Z$2*$M1023))</f>
        <v/>
      </c>
      <c r="AA1023" s="51">
        <f>IF(OR($M1023="",$T1023=""),"",$T1023+(AA$2*$M1023))</f>
        <v/>
      </c>
      <c r="AB1023" s="48">
        <f>IF(OR($M1023="",$T1023=""),"",$T1023+(AB$2*$M1023))</f>
        <v/>
      </c>
      <c r="AC1023" s="48">
        <f>IF(OR($M1023="",$T1023=""),"",$T1023+(AC$2*$M1023))</f>
        <v/>
      </c>
      <c r="AD1023" s="48">
        <f>IF(OR($M1023="",$T1023=""),"",$T1023+(AD$2*$M1023))</f>
        <v/>
      </c>
      <c r="AE1023" s="49">
        <f>IF(OR($M1023="",$T1023=""),"",$T1023+(AE$2*$M1023))</f>
        <v/>
      </c>
      <c r="AF1023" s="52">
        <f>IF(OR(T1023="",I1023&lt;T1023),"",IFERROR(AVERAGE(T1023+M1023*{7,8,9,10,11})/IF(G1023="",I1023,G1023)-1,""))</f>
        <v/>
      </c>
      <c r="AG1023" s="55">
        <f>IF(OR(T1023="",I1023&lt;T1023),"",IFERROR(AF1023/-(R1023/IF(G1023="",I1023,G1023)-1),""))</f>
        <v/>
      </c>
      <c r="AH1023" s="94" t="n"/>
      <c r="AI1023" s="94" t="n"/>
      <c r="AJ1023" s="94" t="n"/>
      <c r="AK1023" s="94" t="n"/>
      <c r="AL1023" s="84" t="n"/>
    </row>
    <row r="1024">
      <c r="A1024" s="64" t="n"/>
      <c r="B1024" s="65" t="n"/>
      <c r="C1024" s="66" t="n"/>
      <c r="D1024" s="67" t="n"/>
      <c r="E1024" s="68" t="n"/>
      <c r="F1024" s="47">
        <f>IF(A1024="","",IF(MIN(H1024,MAX(J1024:K1024))=0,"",MIN(H1024,MAX(J1024:K1024))))</f>
        <v/>
      </c>
      <c r="G1024" s="74" t="n"/>
      <c r="H1024" s="49">
        <f>IF(M1024="","",IFERROR(ROUND(AVERAGE(T1024+M1024*{7,8,9,10,11})/1.21,4),""))</f>
        <v/>
      </c>
      <c r="I1024" s="76" t="n"/>
      <c r="J1024" s="77" t="n"/>
      <c r="K1024" s="74" t="n"/>
      <c r="L1024" s="78" t="n"/>
      <c r="M1024" s="77" t="n"/>
      <c r="N1024" s="53">
        <f>IF(M1024="","",IFERROR(M1024/I1024,""))</f>
        <v/>
      </c>
      <c r="O1024" s="50">
        <f>IF(A1024="","",IFERROR((IF(G1024="",I1024,G1024)-T1024)/M1024,""))</f>
        <v/>
      </c>
      <c r="P1024" s="50">
        <f>IFERROR((I1024/T1024-1)/N1024,"")</f>
        <v/>
      </c>
      <c r="Q1024" s="46">
        <f>IF(OR(T1024="",I1024&lt;T1024),"",IFERROR(R1024/IF(G1024="",I1024,G1024)-1,""))</f>
        <v/>
      </c>
      <c r="R1024" s="48">
        <f>IF($M1024="","",MAX(IF($G1024="",$I1024,$G1024)*(1/1.1),IF($G1024="",$I1024,$G1024)+(R$2*$M1024)))</f>
        <v/>
      </c>
      <c r="S1024" s="49">
        <f>IF($M1024="","",MAX(IF($G1024="",$I1024,$G1024)*(1/1.1),IF($G1024="",$I1024,$G1024)+(S$2*$M1024)))</f>
        <v/>
      </c>
      <c r="T1024" s="82" t="n"/>
      <c r="U1024" s="47">
        <f>IF(OR($M1024="",$T1024=""),"",$T1024+(U$2*$M1024))</f>
        <v/>
      </c>
      <c r="V1024" s="48">
        <f>IF(OR($M1024="",$T1024=""),"",$T1024+(V$2*$M1024))</f>
        <v/>
      </c>
      <c r="W1024" s="48">
        <f>IF(OR($M1024="",$T1024=""),"",$T1024+(W$2*$M1024))</f>
        <v/>
      </c>
      <c r="X1024" s="49">
        <f>IF(OR($M1024="",$T1024=""),"",$T1024+(X$2*$M1024))</f>
        <v/>
      </c>
      <c r="Y1024" s="47">
        <f>IF(OR($M1024="",$T1024=""),"",$T1024+(Y$2*$M1024))</f>
        <v/>
      </c>
      <c r="Z1024" s="49">
        <f>IF(OR($M1024="",$T1024=""),"",$T1024+(Z$2*$M1024))</f>
        <v/>
      </c>
      <c r="AA1024" s="51">
        <f>IF(OR($M1024="",$T1024=""),"",$T1024+(AA$2*$M1024))</f>
        <v/>
      </c>
      <c r="AB1024" s="48">
        <f>IF(OR($M1024="",$T1024=""),"",$T1024+(AB$2*$M1024))</f>
        <v/>
      </c>
      <c r="AC1024" s="48">
        <f>IF(OR($M1024="",$T1024=""),"",$T1024+(AC$2*$M1024))</f>
        <v/>
      </c>
      <c r="AD1024" s="48">
        <f>IF(OR($M1024="",$T1024=""),"",$T1024+(AD$2*$M1024))</f>
        <v/>
      </c>
      <c r="AE1024" s="49">
        <f>IF(OR($M1024="",$T1024=""),"",$T1024+(AE$2*$M1024))</f>
        <v/>
      </c>
      <c r="AF1024" s="52">
        <f>IF(OR(T1024="",I1024&lt;T1024),"",IFERROR(AVERAGE(T1024+M1024*{7,8,9,10,11})/IF(G1024="",I1024,G1024)-1,""))</f>
        <v/>
      </c>
      <c r="AG1024" s="55">
        <f>IF(OR(T1024="",I1024&lt;T1024),"",IFERROR(AF1024/-(R1024/IF(G1024="",I1024,G1024)-1),""))</f>
        <v/>
      </c>
      <c r="AH1024" s="94" t="n"/>
      <c r="AI1024" s="94" t="n"/>
      <c r="AJ1024" s="94" t="n"/>
      <c r="AK1024" s="94" t="n"/>
      <c r="AL1024" s="84" t="n"/>
    </row>
    <row r="1025">
      <c r="A1025" s="64" t="n"/>
      <c r="B1025" s="65" t="n"/>
      <c r="C1025" s="66" t="n"/>
      <c r="D1025" s="67" t="n"/>
      <c r="E1025" s="68" t="n"/>
      <c r="F1025" s="47">
        <f>IF(A1025="","",IF(MIN(H1025,MAX(J1025:K1025))=0,"",MIN(H1025,MAX(J1025:K1025))))</f>
        <v/>
      </c>
      <c r="G1025" s="74" t="n"/>
      <c r="H1025" s="49">
        <f>IF(M1025="","",IFERROR(ROUND(AVERAGE(T1025+M1025*{7,8,9,10,11})/1.21,4),""))</f>
        <v/>
      </c>
      <c r="I1025" s="76" t="n"/>
      <c r="J1025" s="77" t="n"/>
      <c r="K1025" s="74" t="n"/>
      <c r="L1025" s="78" t="n"/>
      <c r="M1025" s="77" t="n"/>
      <c r="N1025" s="53">
        <f>IF(M1025="","",IFERROR(M1025/I1025,""))</f>
        <v/>
      </c>
      <c r="O1025" s="50">
        <f>IF(A1025="","",IFERROR((IF(G1025="",I1025,G1025)-T1025)/M1025,""))</f>
        <v/>
      </c>
      <c r="P1025" s="50">
        <f>IFERROR((I1025/T1025-1)/N1025,"")</f>
        <v/>
      </c>
      <c r="Q1025" s="46">
        <f>IF(OR(T1025="",I1025&lt;T1025),"",IFERROR(R1025/IF(G1025="",I1025,G1025)-1,""))</f>
        <v/>
      </c>
      <c r="R1025" s="48">
        <f>IF($M1025="","",MAX(IF($G1025="",$I1025,$G1025)*(1/1.1),IF($G1025="",$I1025,$G1025)+(R$2*$M1025)))</f>
        <v/>
      </c>
      <c r="S1025" s="49">
        <f>IF($M1025="","",MAX(IF($G1025="",$I1025,$G1025)*(1/1.1),IF($G1025="",$I1025,$G1025)+(S$2*$M1025)))</f>
        <v/>
      </c>
      <c r="T1025" s="82" t="n"/>
      <c r="U1025" s="47">
        <f>IF(OR($M1025="",$T1025=""),"",$T1025+(U$2*$M1025))</f>
        <v/>
      </c>
      <c r="V1025" s="48">
        <f>IF(OR($M1025="",$T1025=""),"",$T1025+(V$2*$M1025))</f>
        <v/>
      </c>
      <c r="W1025" s="48">
        <f>IF(OR($M1025="",$T1025=""),"",$T1025+(W$2*$M1025))</f>
        <v/>
      </c>
      <c r="X1025" s="49">
        <f>IF(OR($M1025="",$T1025=""),"",$T1025+(X$2*$M1025))</f>
        <v/>
      </c>
      <c r="Y1025" s="47">
        <f>IF(OR($M1025="",$T1025=""),"",$T1025+(Y$2*$M1025))</f>
        <v/>
      </c>
      <c r="Z1025" s="49">
        <f>IF(OR($M1025="",$T1025=""),"",$T1025+(Z$2*$M1025))</f>
        <v/>
      </c>
      <c r="AA1025" s="51">
        <f>IF(OR($M1025="",$T1025=""),"",$T1025+(AA$2*$M1025))</f>
        <v/>
      </c>
      <c r="AB1025" s="48">
        <f>IF(OR($M1025="",$T1025=""),"",$T1025+(AB$2*$M1025))</f>
        <v/>
      </c>
      <c r="AC1025" s="48">
        <f>IF(OR($M1025="",$T1025=""),"",$T1025+(AC$2*$M1025))</f>
        <v/>
      </c>
      <c r="AD1025" s="48">
        <f>IF(OR($M1025="",$T1025=""),"",$T1025+(AD$2*$M1025))</f>
        <v/>
      </c>
      <c r="AE1025" s="49">
        <f>IF(OR($M1025="",$T1025=""),"",$T1025+(AE$2*$M1025))</f>
        <v/>
      </c>
      <c r="AF1025" s="52">
        <f>IF(OR(T1025="",I1025&lt;T1025),"",IFERROR(AVERAGE(T1025+M1025*{7,8,9,10,11})/IF(G1025="",I1025,G1025)-1,""))</f>
        <v/>
      </c>
      <c r="AG1025" s="55">
        <f>IF(OR(T1025="",I1025&lt;T1025),"",IFERROR(AF1025/-(R1025/IF(G1025="",I1025,G1025)-1),""))</f>
        <v/>
      </c>
      <c r="AH1025" s="94" t="n"/>
      <c r="AI1025" s="94" t="n"/>
      <c r="AJ1025" s="94" t="n"/>
      <c r="AK1025" s="94" t="n"/>
      <c r="AL1025" s="84" t="n"/>
    </row>
    <row r="1026">
      <c r="A1026" s="64" t="n"/>
      <c r="B1026" s="65" t="n"/>
      <c r="C1026" s="66" t="n"/>
      <c r="D1026" s="67" t="n"/>
      <c r="E1026" s="68" t="n"/>
      <c r="F1026" s="47">
        <f>IF(A1026="","",IF(MIN(H1026,MAX(J1026:K1026))=0,"",MIN(H1026,MAX(J1026:K1026))))</f>
        <v/>
      </c>
      <c r="G1026" s="74" t="n"/>
      <c r="H1026" s="49">
        <f>IF(M1026="","",IFERROR(ROUND(AVERAGE(T1026+M1026*{7,8,9,10,11})/1.21,4),""))</f>
        <v/>
      </c>
      <c r="I1026" s="76" t="n"/>
      <c r="J1026" s="77" t="n"/>
      <c r="K1026" s="74" t="n"/>
      <c r="L1026" s="78" t="n"/>
      <c r="M1026" s="77" t="n"/>
      <c r="N1026" s="53">
        <f>IF(M1026="","",IFERROR(M1026/I1026,""))</f>
        <v/>
      </c>
      <c r="O1026" s="50">
        <f>IF(A1026="","",IFERROR((IF(G1026="",I1026,G1026)-T1026)/M1026,""))</f>
        <v/>
      </c>
      <c r="P1026" s="50">
        <f>IFERROR((I1026/T1026-1)/N1026,"")</f>
        <v/>
      </c>
      <c r="Q1026" s="46">
        <f>IF(OR(T1026="",I1026&lt;T1026),"",IFERROR(R1026/IF(G1026="",I1026,G1026)-1,""))</f>
        <v/>
      </c>
      <c r="R1026" s="48">
        <f>IF($M1026="","",MAX(IF($G1026="",$I1026,$G1026)*(1/1.1),IF($G1026="",$I1026,$G1026)+(R$2*$M1026)))</f>
        <v/>
      </c>
      <c r="S1026" s="49">
        <f>IF($M1026="","",MAX(IF($G1026="",$I1026,$G1026)*(1/1.1),IF($G1026="",$I1026,$G1026)+(S$2*$M1026)))</f>
        <v/>
      </c>
      <c r="T1026" s="82" t="n"/>
      <c r="U1026" s="47">
        <f>IF(OR($M1026="",$T1026=""),"",$T1026+(U$2*$M1026))</f>
        <v/>
      </c>
      <c r="V1026" s="48">
        <f>IF(OR($M1026="",$T1026=""),"",$T1026+(V$2*$M1026))</f>
        <v/>
      </c>
      <c r="W1026" s="48">
        <f>IF(OR($M1026="",$T1026=""),"",$T1026+(W$2*$M1026))</f>
        <v/>
      </c>
      <c r="X1026" s="49">
        <f>IF(OR($M1026="",$T1026=""),"",$T1026+(X$2*$M1026))</f>
        <v/>
      </c>
      <c r="Y1026" s="47">
        <f>IF(OR($M1026="",$T1026=""),"",$T1026+(Y$2*$M1026))</f>
        <v/>
      </c>
      <c r="Z1026" s="49">
        <f>IF(OR($M1026="",$T1026=""),"",$T1026+(Z$2*$M1026))</f>
        <v/>
      </c>
      <c r="AA1026" s="51">
        <f>IF(OR($M1026="",$T1026=""),"",$T1026+(AA$2*$M1026))</f>
        <v/>
      </c>
      <c r="AB1026" s="48">
        <f>IF(OR($M1026="",$T1026=""),"",$T1026+(AB$2*$M1026))</f>
        <v/>
      </c>
      <c r="AC1026" s="48">
        <f>IF(OR($M1026="",$T1026=""),"",$T1026+(AC$2*$M1026))</f>
        <v/>
      </c>
      <c r="AD1026" s="48">
        <f>IF(OR($M1026="",$T1026=""),"",$T1026+(AD$2*$M1026))</f>
        <v/>
      </c>
      <c r="AE1026" s="49">
        <f>IF(OR($M1026="",$T1026=""),"",$T1026+(AE$2*$M1026))</f>
        <v/>
      </c>
      <c r="AF1026" s="52">
        <f>IF(OR(T1026="",I1026&lt;T1026),"",IFERROR(AVERAGE(T1026+M1026*{7,8,9,10,11})/IF(G1026="",I1026,G1026)-1,""))</f>
        <v/>
      </c>
      <c r="AG1026" s="55">
        <f>IF(OR(T1026="",I1026&lt;T1026),"",IFERROR(AF1026/-(R1026/IF(G1026="",I1026,G1026)-1),""))</f>
        <v/>
      </c>
      <c r="AH1026" s="94" t="n"/>
      <c r="AI1026" s="94" t="n"/>
      <c r="AJ1026" s="94" t="n"/>
      <c r="AK1026" s="94" t="n"/>
      <c r="AL1026" s="84" t="n"/>
    </row>
    <row r="1027">
      <c r="A1027" s="64" t="n"/>
      <c r="B1027" s="65" t="n"/>
      <c r="C1027" s="66" t="n"/>
      <c r="D1027" s="67" t="n"/>
      <c r="E1027" s="68" t="n"/>
      <c r="F1027" s="47">
        <f>IF(A1027="","",IF(MIN(H1027,MAX(J1027:K1027))=0,"",MIN(H1027,MAX(J1027:K1027))))</f>
        <v/>
      </c>
      <c r="G1027" s="74" t="n"/>
      <c r="H1027" s="49">
        <f>IF(M1027="","",IFERROR(ROUND(AVERAGE(T1027+M1027*{7,8,9,10,11})/1.21,4),""))</f>
        <v/>
      </c>
      <c r="I1027" s="76" t="n"/>
      <c r="J1027" s="77" t="n"/>
      <c r="K1027" s="74" t="n"/>
      <c r="L1027" s="78" t="n"/>
      <c r="M1027" s="77" t="n"/>
      <c r="N1027" s="53">
        <f>IF(M1027="","",IFERROR(M1027/I1027,""))</f>
        <v/>
      </c>
      <c r="O1027" s="50">
        <f>IF(A1027="","",IFERROR((IF(G1027="",I1027,G1027)-T1027)/M1027,""))</f>
        <v/>
      </c>
      <c r="P1027" s="50">
        <f>IFERROR((I1027/T1027-1)/N1027,"")</f>
        <v/>
      </c>
      <c r="Q1027" s="46">
        <f>IF(OR(T1027="",I1027&lt;T1027),"",IFERROR(R1027/IF(G1027="",I1027,G1027)-1,""))</f>
        <v/>
      </c>
      <c r="R1027" s="48">
        <f>IF($M1027="","",MAX(IF($G1027="",$I1027,$G1027)*(1/1.1),IF($G1027="",$I1027,$G1027)+(R$2*$M1027)))</f>
        <v/>
      </c>
      <c r="S1027" s="49">
        <f>IF($M1027="","",MAX(IF($G1027="",$I1027,$G1027)*(1/1.1),IF($G1027="",$I1027,$G1027)+(S$2*$M1027)))</f>
        <v/>
      </c>
      <c r="T1027" s="82" t="n"/>
      <c r="U1027" s="47">
        <f>IF(OR($M1027="",$T1027=""),"",$T1027+(U$2*$M1027))</f>
        <v/>
      </c>
      <c r="V1027" s="48">
        <f>IF(OR($M1027="",$T1027=""),"",$T1027+(V$2*$M1027))</f>
        <v/>
      </c>
      <c r="W1027" s="48">
        <f>IF(OR($M1027="",$T1027=""),"",$T1027+(W$2*$M1027))</f>
        <v/>
      </c>
      <c r="X1027" s="49">
        <f>IF(OR($M1027="",$T1027=""),"",$T1027+(X$2*$M1027))</f>
        <v/>
      </c>
      <c r="Y1027" s="47">
        <f>IF(OR($M1027="",$T1027=""),"",$T1027+(Y$2*$M1027))</f>
        <v/>
      </c>
      <c r="Z1027" s="49">
        <f>IF(OR($M1027="",$T1027=""),"",$T1027+(Z$2*$M1027))</f>
        <v/>
      </c>
      <c r="AA1027" s="51">
        <f>IF(OR($M1027="",$T1027=""),"",$T1027+(AA$2*$M1027))</f>
        <v/>
      </c>
      <c r="AB1027" s="48">
        <f>IF(OR($M1027="",$T1027=""),"",$T1027+(AB$2*$M1027))</f>
        <v/>
      </c>
      <c r="AC1027" s="48">
        <f>IF(OR($M1027="",$T1027=""),"",$T1027+(AC$2*$M1027))</f>
        <v/>
      </c>
      <c r="AD1027" s="48">
        <f>IF(OR($M1027="",$T1027=""),"",$T1027+(AD$2*$M1027))</f>
        <v/>
      </c>
      <c r="AE1027" s="49">
        <f>IF(OR($M1027="",$T1027=""),"",$T1027+(AE$2*$M1027))</f>
        <v/>
      </c>
      <c r="AF1027" s="52">
        <f>IF(OR(T1027="",I1027&lt;T1027),"",IFERROR(AVERAGE(T1027+M1027*{7,8,9,10,11})/IF(G1027="",I1027,G1027)-1,""))</f>
        <v/>
      </c>
      <c r="AG1027" s="55">
        <f>IF(OR(T1027="",I1027&lt;T1027),"",IFERROR(AF1027/-(R1027/IF(G1027="",I1027,G1027)-1),""))</f>
        <v/>
      </c>
      <c r="AH1027" s="94" t="n"/>
      <c r="AI1027" s="94" t="n"/>
      <c r="AJ1027" s="94" t="n"/>
      <c r="AK1027" s="94" t="n"/>
      <c r="AL1027" s="84" t="n"/>
    </row>
    <row r="1028">
      <c r="A1028" s="64" t="n"/>
      <c r="B1028" s="65" t="n"/>
      <c r="C1028" s="66" t="n"/>
      <c r="D1028" s="67" t="n"/>
      <c r="E1028" s="68" t="n"/>
      <c r="F1028" s="47">
        <f>IF(A1028="","",IF(MIN(H1028,MAX(J1028:K1028))=0,"",MIN(H1028,MAX(J1028:K1028))))</f>
        <v/>
      </c>
      <c r="G1028" s="74" t="n"/>
      <c r="H1028" s="49">
        <f>IF(M1028="","",IFERROR(ROUND(AVERAGE(T1028+M1028*{7,8,9,10,11})/1.21,4),""))</f>
        <v/>
      </c>
      <c r="I1028" s="76" t="n"/>
      <c r="J1028" s="77" t="n"/>
      <c r="K1028" s="74" t="n"/>
      <c r="L1028" s="78" t="n"/>
      <c r="M1028" s="77" t="n"/>
      <c r="N1028" s="53">
        <f>IF(M1028="","",IFERROR(M1028/I1028,""))</f>
        <v/>
      </c>
      <c r="O1028" s="50">
        <f>IF(A1028="","",IFERROR((IF(G1028="",I1028,G1028)-T1028)/M1028,""))</f>
        <v/>
      </c>
      <c r="P1028" s="50">
        <f>IFERROR((I1028/T1028-1)/N1028,"")</f>
        <v/>
      </c>
      <c r="Q1028" s="46">
        <f>IF(OR(T1028="",I1028&lt;T1028),"",IFERROR(R1028/IF(G1028="",I1028,G1028)-1,""))</f>
        <v/>
      </c>
      <c r="R1028" s="48">
        <f>IF($M1028="","",MAX(IF($G1028="",$I1028,$G1028)*(1/1.1),IF($G1028="",$I1028,$G1028)+(R$2*$M1028)))</f>
        <v/>
      </c>
      <c r="S1028" s="49">
        <f>IF($M1028="","",MAX(IF($G1028="",$I1028,$G1028)*(1/1.1),IF($G1028="",$I1028,$G1028)+(S$2*$M1028)))</f>
        <v/>
      </c>
      <c r="T1028" s="82" t="n"/>
      <c r="U1028" s="47">
        <f>IF(OR($M1028="",$T1028=""),"",$T1028+(U$2*$M1028))</f>
        <v/>
      </c>
      <c r="V1028" s="48">
        <f>IF(OR($M1028="",$T1028=""),"",$T1028+(V$2*$M1028))</f>
        <v/>
      </c>
      <c r="W1028" s="48">
        <f>IF(OR($M1028="",$T1028=""),"",$T1028+(W$2*$M1028))</f>
        <v/>
      </c>
      <c r="X1028" s="49">
        <f>IF(OR($M1028="",$T1028=""),"",$T1028+(X$2*$M1028))</f>
        <v/>
      </c>
      <c r="Y1028" s="47">
        <f>IF(OR($M1028="",$T1028=""),"",$T1028+(Y$2*$M1028))</f>
        <v/>
      </c>
      <c r="Z1028" s="49">
        <f>IF(OR($M1028="",$T1028=""),"",$T1028+(Z$2*$M1028))</f>
        <v/>
      </c>
      <c r="AA1028" s="51">
        <f>IF(OR($M1028="",$T1028=""),"",$T1028+(AA$2*$M1028))</f>
        <v/>
      </c>
      <c r="AB1028" s="48">
        <f>IF(OR($M1028="",$T1028=""),"",$T1028+(AB$2*$M1028))</f>
        <v/>
      </c>
      <c r="AC1028" s="48">
        <f>IF(OR($M1028="",$T1028=""),"",$T1028+(AC$2*$M1028))</f>
        <v/>
      </c>
      <c r="AD1028" s="48">
        <f>IF(OR($M1028="",$T1028=""),"",$T1028+(AD$2*$M1028))</f>
        <v/>
      </c>
      <c r="AE1028" s="49">
        <f>IF(OR($M1028="",$T1028=""),"",$T1028+(AE$2*$M1028))</f>
        <v/>
      </c>
      <c r="AF1028" s="52">
        <f>IF(OR(T1028="",I1028&lt;T1028),"",IFERROR(AVERAGE(T1028+M1028*{7,8,9,10,11})/IF(G1028="",I1028,G1028)-1,""))</f>
        <v/>
      </c>
      <c r="AG1028" s="55">
        <f>IF(OR(T1028="",I1028&lt;T1028),"",IFERROR(AF1028/-(R1028/IF(G1028="",I1028,G1028)-1),""))</f>
        <v/>
      </c>
      <c r="AH1028" s="94" t="n"/>
      <c r="AI1028" s="94" t="n"/>
      <c r="AJ1028" s="94" t="n"/>
      <c r="AK1028" s="94" t="n"/>
      <c r="AL1028" s="84" t="n"/>
    </row>
    <row r="1029">
      <c r="A1029" s="64" t="n"/>
      <c r="B1029" s="65" t="n"/>
      <c r="C1029" s="66" t="n"/>
      <c r="D1029" s="67" t="n"/>
      <c r="E1029" s="68" t="n"/>
      <c r="F1029" s="47">
        <f>IF(A1029="","",IF(MIN(H1029,MAX(J1029:K1029))=0,"",MIN(H1029,MAX(J1029:K1029))))</f>
        <v/>
      </c>
      <c r="G1029" s="74" t="n"/>
      <c r="H1029" s="49">
        <f>IF(M1029="","",IFERROR(ROUND(AVERAGE(T1029+M1029*{7,8,9,10,11})/1.21,4),""))</f>
        <v/>
      </c>
      <c r="I1029" s="76" t="n"/>
      <c r="J1029" s="77" t="n"/>
      <c r="K1029" s="74" t="n"/>
      <c r="L1029" s="78" t="n"/>
      <c r="M1029" s="77" t="n"/>
      <c r="N1029" s="53">
        <f>IF(M1029="","",IFERROR(M1029/I1029,""))</f>
        <v/>
      </c>
      <c r="O1029" s="50">
        <f>IF(A1029="","",IFERROR((IF(G1029="",I1029,G1029)-T1029)/M1029,""))</f>
        <v/>
      </c>
      <c r="P1029" s="50">
        <f>IFERROR((I1029/T1029-1)/N1029,"")</f>
        <v/>
      </c>
      <c r="Q1029" s="46">
        <f>IF(OR(T1029="",I1029&lt;T1029),"",IFERROR(R1029/IF(G1029="",I1029,G1029)-1,""))</f>
        <v/>
      </c>
      <c r="R1029" s="48">
        <f>IF($M1029="","",MAX(IF($G1029="",$I1029,$G1029)*(1/1.1),IF($G1029="",$I1029,$G1029)+(R$2*$M1029)))</f>
        <v/>
      </c>
      <c r="S1029" s="49">
        <f>IF($M1029="","",MAX(IF($G1029="",$I1029,$G1029)*(1/1.1),IF($G1029="",$I1029,$G1029)+(S$2*$M1029)))</f>
        <v/>
      </c>
      <c r="T1029" s="82" t="n"/>
      <c r="U1029" s="47">
        <f>IF(OR($M1029="",$T1029=""),"",$T1029+(U$2*$M1029))</f>
        <v/>
      </c>
      <c r="V1029" s="48">
        <f>IF(OR($M1029="",$T1029=""),"",$T1029+(V$2*$M1029))</f>
        <v/>
      </c>
      <c r="W1029" s="48">
        <f>IF(OR($M1029="",$T1029=""),"",$T1029+(W$2*$M1029))</f>
        <v/>
      </c>
      <c r="X1029" s="49">
        <f>IF(OR($M1029="",$T1029=""),"",$T1029+(X$2*$M1029))</f>
        <v/>
      </c>
      <c r="Y1029" s="47">
        <f>IF(OR($M1029="",$T1029=""),"",$T1029+(Y$2*$M1029))</f>
        <v/>
      </c>
      <c r="Z1029" s="49">
        <f>IF(OR($M1029="",$T1029=""),"",$T1029+(Z$2*$M1029))</f>
        <v/>
      </c>
      <c r="AA1029" s="51">
        <f>IF(OR($M1029="",$T1029=""),"",$T1029+(AA$2*$M1029))</f>
        <v/>
      </c>
      <c r="AB1029" s="48">
        <f>IF(OR($M1029="",$T1029=""),"",$T1029+(AB$2*$M1029))</f>
        <v/>
      </c>
      <c r="AC1029" s="48">
        <f>IF(OR($M1029="",$T1029=""),"",$T1029+(AC$2*$M1029))</f>
        <v/>
      </c>
      <c r="AD1029" s="48">
        <f>IF(OR($M1029="",$T1029=""),"",$T1029+(AD$2*$M1029))</f>
        <v/>
      </c>
      <c r="AE1029" s="49">
        <f>IF(OR($M1029="",$T1029=""),"",$T1029+(AE$2*$M1029))</f>
        <v/>
      </c>
      <c r="AF1029" s="52">
        <f>IF(OR(T1029="",I1029&lt;T1029),"",IFERROR(AVERAGE(T1029+M1029*{7,8,9,10,11})/IF(G1029="",I1029,G1029)-1,""))</f>
        <v/>
      </c>
      <c r="AG1029" s="55">
        <f>IF(OR(T1029="",I1029&lt;T1029),"",IFERROR(AF1029/-(R1029/IF(G1029="",I1029,G1029)-1),""))</f>
        <v/>
      </c>
      <c r="AH1029" s="94" t="n"/>
      <c r="AI1029" s="94" t="n"/>
      <c r="AJ1029" s="94" t="n"/>
      <c r="AK1029" s="94" t="n"/>
      <c r="AL1029" s="84" t="n"/>
    </row>
    <row r="1030">
      <c r="A1030" s="64" t="n"/>
      <c r="B1030" s="65" t="n"/>
      <c r="C1030" s="66" t="n"/>
      <c r="D1030" s="67" t="n"/>
      <c r="E1030" s="68" t="n"/>
      <c r="F1030" s="47">
        <f>IF(A1030="","",IF(MIN(H1030,MAX(J1030:K1030))=0,"",MIN(H1030,MAX(J1030:K1030))))</f>
        <v/>
      </c>
      <c r="G1030" s="74" t="n"/>
      <c r="H1030" s="49">
        <f>IF(M1030="","",IFERROR(ROUND(AVERAGE(T1030+M1030*{7,8,9,10,11})/1.21,4),""))</f>
        <v/>
      </c>
      <c r="I1030" s="76" t="n"/>
      <c r="J1030" s="77" t="n"/>
      <c r="K1030" s="74" t="n"/>
      <c r="L1030" s="78" t="n"/>
      <c r="M1030" s="77" t="n"/>
      <c r="N1030" s="53">
        <f>IF(M1030="","",IFERROR(M1030/I1030,""))</f>
        <v/>
      </c>
      <c r="O1030" s="50">
        <f>IF(A1030="","",IFERROR((IF(G1030="",I1030,G1030)-T1030)/M1030,""))</f>
        <v/>
      </c>
      <c r="P1030" s="50">
        <f>IFERROR((I1030/T1030-1)/N1030,"")</f>
        <v/>
      </c>
      <c r="Q1030" s="46">
        <f>IF(OR(T1030="",I1030&lt;T1030),"",IFERROR(R1030/IF(G1030="",I1030,G1030)-1,""))</f>
        <v/>
      </c>
      <c r="R1030" s="48">
        <f>IF($M1030="","",MAX(IF($G1030="",$I1030,$G1030)*(1/1.1),IF($G1030="",$I1030,$G1030)+(R$2*$M1030)))</f>
        <v/>
      </c>
      <c r="S1030" s="49">
        <f>IF($M1030="","",MAX(IF($G1030="",$I1030,$G1030)*(1/1.1),IF($G1030="",$I1030,$G1030)+(S$2*$M1030)))</f>
        <v/>
      </c>
      <c r="T1030" s="82" t="n"/>
      <c r="U1030" s="47">
        <f>IF(OR($M1030="",$T1030=""),"",$T1030+(U$2*$M1030))</f>
        <v/>
      </c>
      <c r="V1030" s="48">
        <f>IF(OR($M1030="",$T1030=""),"",$T1030+(V$2*$M1030))</f>
        <v/>
      </c>
      <c r="W1030" s="48">
        <f>IF(OR($M1030="",$T1030=""),"",$T1030+(W$2*$M1030))</f>
        <v/>
      </c>
      <c r="X1030" s="49">
        <f>IF(OR($M1030="",$T1030=""),"",$T1030+(X$2*$M1030))</f>
        <v/>
      </c>
      <c r="Y1030" s="47">
        <f>IF(OR($M1030="",$T1030=""),"",$T1030+(Y$2*$M1030))</f>
        <v/>
      </c>
      <c r="Z1030" s="49">
        <f>IF(OR($M1030="",$T1030=""),"",$T1030+(Z$2*$M1030))</f>
        <v/>
      </c>
      <c r="AA1030" s="51">
        <f>IF(OR($M1030="",$T1030=""),"",$T1030+(AA$2*$M1030))</f>
        <v/>
      </c>
      <c r="AB1030" s="48">
        <f>IF(OR($M1030="",$T1030=""),"",$T1030+(AB$2*$M1030))</f>
        <v/>
      </c>
      <c r="AC1030" s="48">
        <f>IF(OR($M1030="",$T1030=""),"",$T1030+(AC$2*$M1030))</f>
        <v/>
      </c>
      <c r="AD1030" s="48">
        <f>IF(OR($M1030="",$T1030=""),"",$T1030+(AD$2*$M1030))</f>
        <v/>
      </c>
      <c r="AE1030" s="49">
        <f>IF(OR($M1030="",$T1030=""),"",$T1030+(AE$2*$M1030))</f>
        <v/>
      </c>
      <c r="AF1030" s="52">
        <f>IF(OR(T1030="",I1030&lt;T1030),"",IFERROR(AVERAGE(T1030+M1030*{7,8,9,10,11})/IF(G1030="",I1030,G1030)-1,""))</f>
        <v/>
      </c>
      <c r="AG1030" s="55">
        <f>IF(OR(T1030="",I1030&lt;T1030),"",IFERROR(AF1030/-(R1030/IF(G1030="",I1030,G1030)-1),""))</f>
        <v/>
      </c>
      <c r="AH1030" s="94" t="n"/>
      <c r="AI1030" s="94" t="n"/>
      <c r="AJ1030" s="94" t="n"/>
      <c r="AK1030" s="94" t="n"/>
      <c r="AL1030" s="84" t="n"/>
    </row>
    <row r="1031">
      <c r="A1031" s="64" t="n"/>
      <c r="B1031" s="65" t="n"/>
      <c r="C1031" s="66" t="n"/>
      <c r="D1031" s="67" t="n"/>
      <c r="E1031" s="68" t="n"/>
      <c r="F1031" s="47">
        <f>IF(A1031="","",IF(MIN(H1031,MAX(J1031:K1031))=0,"",MIN(H1031,MAX(J1031:K1031))))</f>
        <v/>
      </c>
      <c r="G1031" s="74" t="n"/>
      <c r="H1031" s="49">
        <f>IF(M1031="","",IFERROR(ROUND(AVERAGE(T1031+M1031*{7,8,9,10,11})/1.21,4),""))</f>
        <v/>
      </c>
      <c r="I1031" s="76" t="n"/>
      <c r="J1031" s="77" t="n"/>
      <c r="K1031" s="74" t="n"/>
      <c r="L1031" s="78" t="n"/>
      <c r="M1031" s="77" t="n"/>
      <c r="N1031" s="53">
        <f>IF(M1031="","",IFERROR(M1031/I1031,""))</f>
        <v/>
      </c>
      <c r="O1031" s="50">
        <f>IF(A1031="","",IFERROR((IF(G1031="",I1031,G1031)-T1031)/M1031,""))</f>
        <v/>
      </c>
      <c r="P1031" s="50">
        <f>IFERROR((I1031/T1031-1)/N1031,"")</f>
        <v/>
      </c>
      <c r="Q1031" s="46">
        <f>IF(OR(T1031="",I1031&lt;T1031),"",IFERROR(R1031/IF(G1031="",I1031,G1031)-1,""))</f>
        <v/>
      </c>
      <c r="R1031" s="48">
        <f>IF($M1031="","",MAX(IF($G1031="",$I1031,$G1031)*(1/1.1),IF($G1031="",$I1031,$G1031)+(R$2*$M1031)))</f>
        <v/>
      </c>
      <c r="S1031" s="49">
        <f>IF($M1031="","",MAX(IF($G1031="",$I1031,$G1031)*(1/1.1),IF($G1031="",$I1031,$G1031)+(S$2*$M1031)))</f>
        <v/>
      </c>
      <c r="T1031" s="82" t="n"/>
      <c r="U1031" s="47">
        <f>IF(OR($M1031="",$T1031=""),"",$T1031+(U$2*$M1031))</f>
        <v/>
      </c>
      <c r="V1031" s="48">
        <f>IF(OR($M1031="",$T1031=""),"",$T1031+(V$2*$M1031))</f>
        <v/>
      </c>
      <c r="W1031" s="48">
        <f>IF(OR($M1031="",$T1031=""),"",$T1031+(W$2*$M1031))</f>
        <v/>
      </c>
      <c r="X1031" s="49">
        <f>IF(OR($M1031="",$T1031=""),"",$T1031+(X$2*$M1031))</f>
        <v/>
      </c>
      <c r="Y1031" s="47">
        <f>IF(OR($M1031="",$T1031=""),"",$T1031+(Y$2*$M1031))</f>
        <v/>
      </c>
      <c r="Z1031" s="49">
        <f>IF(OR($M1031="",$T1031=""),"",$T1031+(Z$2*$M1031))</f>
        <v/>
      </c>
      <c r="AA1031" s="51">
        <f>IF(OR($M1031="",$T1031=""),"",$T1031+(AA$2*$M1031))</f>
        <v/>
      </c>
      <c r="AB1031" s="48">
        <f>IF(OR($M1031="",$T1031=""),"",$T1031+(AB$2*$M1031))</f>
        <v/>
      </c>
      <c r="AC1031" s="48">
        <f>IF(OR($M1031="",$T1031=""),"",$T1031+(AC$2*$M1031))</f>
        <v/>
      </c>
      <c r="AD1031" s="48">
        <f>IF(OR($M1031="",$T1031=""),"",$T1031+(AD$2*$M1031))</f>
        <v/>
      </c>
      <c r="AE1031" s="49">
        <f>IF(OR($M1031="",$T1031=""),"",$T1031+(AE$2*$M1031))</f>
        <v/>
      </c>
      <c r="AF1031" s="52">
        <f>IF(OR(T1031="",I1031&lt;T1031),"",IFERROR(AVERAGE(T1031+M1031*{7,8,9,10,11})/IF(G1031="",I1031,G1031)-1,""))</f>
        <v/>
      </c>
      <c r="AG1031" s="55">
        <f>IF(OR(T1031="",I1031&lt;T1031),"",IFERROR(AF1031/-(R1031/IF(G1031="",I1031,G1031)-1),""))</f>
        <v/>
      </c>
      <c r="AH1031" s="94" t="n"/>
      <c r="AI1031" s="94" t="n"/>
      <c r="AJ1031" s="94" t="n"/>
      <c r="AK1031" s="94" t="n"/>
      <c r="AL1031" s="84" t="n"/>
    </row>
    <row r="1032">
      <c r="A1032" s="64" t="n"/>
      <c r="B1032" s="65" t="n"/>
      <c r="C1032" s="66" t="n"/>
      <c r="D1032" s="67" t="n"/>
      <c r="E1032" s="68" t="n"/>
      <c r="F1032" s="47">
        <f>IF(A1032="","",IF(MIN(H1032,MAX(J1032:K1032))=0,"",MIN(H1032,MAX(J1032:K1032))))</f>
        <v/>
      </c>
      <c r="G1032" s="74" t="n"/>
      <c r="H1032" s="49">
        <f>IF(M1032="","",IFERROR(ROUND(AVERAGE(T1032+M1032*{7,8,9,10,11})/1.21,4),""))</f>
        <v/>
      </c>
      <c r="I1032" s="76" t="n"/>
      <c r="J1032" s="77" t="n"/>
      <c r="K1032" s="74" t="n"/>
      <c r="L1032" s="78" t="n"/>
      <c r="M1032" s="77" t="n"/>
      <c r="N1032" s="53">
        <f>IF(M1032="","",IFERROR(M1032/I1032,""))</f>
        <v/>
      </c>
      <c r="O1032" s="50">
        <f>IF(A1032="","",IFERROR((IF(G1032="",I1032,G1032)-T1032)/M1032,""))</f>
        <v/>
      </c>
      <c r="P1032" s="50">
        <f>IFERROR((I1032/T1032-1)/N1032,"")</f>
        <v/>
      </c>
      <c r="Q1032" s="46">
        <f>IF(OR(T1032="",I1032&lt;T1032),"",IFERROR(R1032/IF(G1032="",I1032,G1032)-1,""))</f>
        <v/>
      </c>
      <c r="R1032" s="48">
        <f>IF($M1032="","",MAX(IF($G1032="",$I1032,$G1032)*(1/1.1),IF($G1032="",$I1032,$G1032)+(R$2*$M1032)))</f>
        <v/>
      </c>
      <c r="S1032" s="49">
        <f>IF($M1032="","",MAX(IF($G1032="",$I1032,$G1032)*(1/1.1),IF($G1032="",$I1032,$G1032)+(S$2*$M1032)))</f>
        <v/>
      </c>
      <c r="T1032" s="82" t="n"/>
      <c r="U1032" s="47">
        <f>IF(OR($M1032="",$T1032=""),"",$T1032+(U$2*$M1032))</f>
        <v/>
      </c>
      <c r="V1032" s="48">
        <f>IF(OR($M1032="",$T1032=""),"",$T1032+(V$2*$M1032))</f>
        <v/>
      </c>
      <c r="W1032" s="48">
        <f>IF(OR($M1032="",$T1032=""),"",$T1032+(W$2*$M1032))</f>
        <v/>
      </c>
      <c r="X1032" s="49">
        <f>IF(OR($M1032="",$T1032=""),"",$T1032+(X$2*$M1032))</f>
        <v/>
      </c>
      <c r="Y1032" s="47">
        <f>IF(OR($M1032="",$T1032=""),"",$T1032+(Y$2*$M1032))</f>
        <v/>
      </c>
      <c r="Z1032" s="49">
        <f>IF(OR($M1032="",$T1032=""),"",$T1032+(Z$2*$M1032))</f>
        <v/>
      </c>
      <c r="AA1032" s="51">
        <f>IF(OR($M1032="",$T1032=""),"",$T1032+(AA$2*$M1032))</f>
        <v/>
      </c>
      <c r="AB1032" s="48">
        <f>IF(OR($M1032="",$T1032=""),"",$T1032+(AB$2*$M1032))</f>
        <v/>
      </c>
      <c r="AC1032" s="48">
        <f>IF(OR($M1032="",$T1032=""),"",$T1032+(AC$2*$M1032))</f>
        <v/>
      </c>
      <c r="AD1032" s="48">
        <f>IF(OR($M1032="",$T1032=""),"",$T1032+(AD$2*$M1032))</f>
        <v/>
      </c>
      <c r="AE1032" s="49">
        <f>IF(OR($M1032="",$T1032=""),"",$T1032+(AE$2*$M1032))</f>
        <v/>
      </c>
      <c r="AF1032" s="52">
        <f>IF(OR(T1032="",I1032&lt;T1032),"",IFERROR(AVERAGE(T1032+M1032*{7,8,9,10,11})/IF(G1032="",I1032,G1032)-1,""))</f>
        <v/>
      </c>
      <c r="AG1032" s="55">
        <f>IF(OR(T1032="",I1032&lt;T1032),"",IFERROR(AF1032/-(R1032/IF(G1032="",I1032,G1032)-1),""))</f>
        <v/>
      </c>
      <c r="AH1032" s="94" t="n"/>
      <c r="AI1032" s="94" t="n"/>
      <c r="AJ1032" s="94" t="n"/>
      <c r="AK1032" s="94" t="n"/>
      <c r="AL1032" s="84" t="n"/>
    </row>
    <row r="1033">
      <c r="A1033" s="64" t="n"/>
      <c r="B1033" s="65" t="n"/>
      <c r="C1033" s="66" t="n"/>
      <c r="D1033" s="67" t="n"/>
      <c r="E1033" s="68" t="n"/>
      <c r="F1033" s="47">
        <f>IF(A1033="","",IF(MIN(H1033,MAX(J1033:K1033))=0,"",MIN(H1033,MAX(J1033:K1033))))</f>
        <v/>
      </c>
      <c r="G1033" s="74" t="n"/>
      <c r="H1033" s="49">
        <f>IF(M1033="","",IFERROR(ROUND(AVERAGE(T1033+M1033*{7,8,9,10,11})/1.21,4),""))</f>
        <v/>
      </c>
      <c r="I1033" s="76" t="n"/>
      <c r="J1033" s="77" t="n"/>
      <c r="K1033" s="74" t="n"/>
      <c r="L1033" s="78" t="n"/>
      <c r="M1033" s="77" t="n"/>
      <c r="N1033" s="53">
        <f>IF(M1033="","",IFERROR(M1033/I1033,""))</f>
        <v/>
      </c>
      <c r="O1033" s="50">
        <f>IF(A1033="","",IFERROR((IF(G1033="",I1033,G1033)-T1033)/M1033,""))</f>
        <v/>
      </c>
      <c r="P1033" s="50">
        <f>IFERROR((I1033/T1033-1)/N1033,"")</f>
        <v/>
      </c>
      <c r="Q1033" s="46">
        <f>IF(OR(T1033="",I1033&lt;T1033),"",IFERROR(R1033/IF(G1033="",I1033,G1033)-1,""))</f>
        <v/>
      </c>
      <c r="R1033" s="48">
        <f>IF($M1033="","",MAX(IF($G1033="",$I1033,$G1033)*(1/1.1),IF($G1033="",$I1033,$G1033)+(R$2*$M1033)))</f>
        <v/>
      </c>
      <c r="S1033" s="49">
        <f>IF($M1033="","",MAX(IF($G1033="",$I1033,$G1033)*(1/1.1),IF($G1033="",$I1033,$G1033)+(S$2*$M1033)))</f>
        <v/>
      </c>
      <c r="T1033" s="82" t="n"/>
      <c r="U1033" s="47">
        <f>IF(OR($M1033="",$T1033=""),"",$T1033+(U$2*$M1033))</f>
        <v/>
      </c>
      <c r="V1033" s="48">
        <f>IF(OR($M1033="",$T1033=""),"",$T1033+(V$2*$M1033))</f>
        <v/>
      </c>
      <c r="W1033" s="48">
        <f>IF(OR($M1033="",$T1033=""),"",$T1033+(W$2*$M1033))</f>
        <v/>
      </c>
      <c r="X1033" s="49">
        <f>IF(OR($M1033="",$T1033=""),"",$T1033+(X$2*$M1033))</f>
        <v/>
      </c>
      <c r="Y1033" s="47">
        <f>IF(OR($M1033="",$T1033=""),"",$T1033+(Y$2*$M1033))</f>
        <v/>
      </c>
      <c r="Z1033" s="49">
        <f>IF(OR($M1033="",$T1033=""),"",$T1033+(Z$2*$M1033))</f>
        <v/>
      </c>
      <c r="AA1033" s="51">
        <f>IF(OR($M1033="",$T1033=""),"",$T1033+(AA$2*$M1033))</f>
        <v/>
      </c>
      <c r="AB1033" s="48">
        <f>IF(OR($M1033="",$T1033=""),"",$T1033+(AB$2*$M1033))</f>
        <v/>
      </c>
      <c r="AC1033" s="48">
        <f>IF(OR($M1033="",$T1033=""),"",$T1033+(AC$2*$M1033))</f>
        <v/>
      </c>
      <c r="AD1033" s="48">
        <f>IF(OR($M1033="",$T1033=""),"",$T1033+(AD$2*$M1033))</f>
        <v/>
      </c>
      <c r="AE1033" s="49">
        <f>IF(OR($M1033="",$T1033=""),"",$T1033+(AE$2*$M1033))</f>
        <v/>
      </c>
      <c r="AF1033" s="52">
        <f>IF(OR(T1033="",I1033&lt;T1033),"",IFERROR(AVERAGE(T1033+M1033*{7,8,9,10,11})/IF(G1033="",I1033,G1033)-1,""))</f>
        <v/>
      </c>
      <c r="AG1033" s="55">
        <f>IF(OR(T1033="",I1033&lt;T1033),"",IFERROR(AF1033/-(R1033/IF(G1033="",I1033,G1033)-1),""))</f>
        <v/>
      </c>
      <c r="AH1033" s="94" t="n"/>
      <c r="AI1033" s="94" t="n"/>
      <c r="AJ1033" s="94" t="n"/>
      <c r="AK1033" s="94" t="n"/>
      <c r="AL1033" s="84" t="n"/>
    </row>
    <row r="1034">
      <c r="A1034" s="64" t="n"/>
      <c r="B1034" s="65" t="n"/>
      <c r="C1034" s="66" t="n"/>
      <c r="D1034" s="67" t="n"/>
      <c r="E1034" s="68" t="n"/>
      <c r="F1034" s="47">
        <f>IF(A1034="","",IF(MIN(H1034,MAX(J1034:K1034))=0,"",MIN(H1034,MAX(J1034:K1034))))</f>
        <v/>
      </c>
      <c r="G1034" s="74" t="n"/>
      <c r="H1034" s="49">
        <f>IF(M1034="","",IFERROR(ROUND(AVERAGE(T1034+M1034*{7,8,9,10,11})/1.21,4),""))</f>
        <v/>
      </c>
      <c r="I1034" s="76" t="n"/>
      <c r="J1034" s="77" t="n"/>
      <c r="K1034" s="74" t="n"/>
      <c r="L1034" s="78" t="n"/>
      <c r="M1034" s="77" t="n"/>
      <c r="N1034" s="53">
        <f>IF(M1034="","",IFERROR(M1034/I1034,""))</f>
        <v/>
      </c>
      <c r="O1034" s="50">
        <f>IF(A1034="","",IFERROR((IF(G1034="",I1034,G1034)-T1034)/M1034,""))</f>
        <v/>
      </c>
      <c r="P1034" s="50">
        <f>IFERROR((I1034/T1034-1)/N1034,"")</f>
        <v/>
      </c>
      <c r="Q1034" s="46">
        <f>IF(OR(T1034="",I1034&lt;T1034),"",IFERROR(R1034/IF(G1034="",I1034,G1034)-1,""))</f>
        <v/>
      </c>
      <c r="R1034" s="48">
        <f>IF($M1034="","",MAX(IF($G1034="",$I1034,$G1034)*(1/1.1),IF($G1034="",$I1034,$G1034)+(R$2*$M1034)))</f>
        <v/>
      </c>
      <c r="S1034" s="49">
        <f>IF($M1034="","",MAX(IF($G1034="",$I1034,$G1034)*(1/1.1),IF($G1034="",$I1034,$G1034)+(S$2*$M1034)))</f>
        <v/>
      </c>
      <c r="T1034" s="82" t="n"/>
      <c r="U1034" s="47">
        <f>IF(OR($M1034="",$T1034=""),"",$T1034+(U$2*$M1034))</f>
        <v/>
      </c>
      <c r="V1034" s="48">
        <f>IF(OR($M1034="",$T1034=""),"",$T1034+(V$2*$M1034))</f>
        <v/>
      </c>
      <c r="W1034" s="48">
        <f>IF(OR($M1034="",$T1034=""),"",$T1034+(W$2*$M1034))</f>
        <v/>
      </c>
      <c r="X1034" s="49">
        <f>IF(OR($M1034="",$T1034=""),"",$T1034+(X$2*$M1034))</f>
        <v/>
      </c>
      <c r="Y1034" s="47">
        <f>IF(OR($M1034="",$T1034=""),"",$T1034+(Y$2*$M1034))</f>
        <v/>
      </c>
      <c r="Z1034" s="49">
        <f>IF(OR($M1034="",$T1034=""),"",$T1034+(Z$2*$M1034))</f>
        <v/>
      </c>
      <c r="AA1034" s="51">
        <f>IF(OR($M1034="",$T1034=""),"",$T1034+(AA$2*$M1034))</f>
        <v/>
      </c>
      <c r="AB1034" s="48">
        <f>IF(OR($M1034="",$T1034=""),"",$T1034+(AB$2*$M1034))</f>
        <v/>
      </c>
      <c r="AC1034" s="48">
        <f>IF(OR($M1034="",$T1034=""),"",$T1034+(AC$2*$M1034))</f>
        <v/>
      </c>
      <c r="AD1034" s="48">
        <f>IF(OR($M1034="",$T1034=""),"",$T1034+(AD$2*$M1034))</f>
        <v/>
      </c>
      <c r="AE1034" s="49">
        <f>IF(OR($M1034="",$T1034=""),"",$T1034+(AE$2*$M1034))</f>
        <v/>
      </c>
      <c r="AF1034" s="52">
        <f>IF(OR(T1034="",I1034&lt;T1034),"",IFERROR(AVERAGE(T1034+M1034*{7,8,9,10,11})/IF(G1034="",I1034,G1034)-1,""))</f>
        <v/>
      </c>
      <c r="AG1034" s="55">
        <f>IF(OR(T1034="",I1034&lt;T1034),"",IFERROR(AF1034/-(R1034/IF(G1034="",I1034,G1034)-1),""))</f>
        <v/>
      </c>
      <c r="AH1034" s="94" t="n"/>
      <c r="AI1034" s="94" t="n"/>
      <c r="AJ1034" s="94" t="n"/>
      <c r="AK1034" s="94" t="n"/>
      <c r="AL1034" s="84" t="n"/>
    </row>
    <row r="1035">
      <c r="A1035" s="64" t="n"/>
      <c r="B1035" s="65" t="n"/>
      <c r="C1035" s="66" t="n"/>
      <c r="D1035" s="67" t="n"/>
      <c r="E1035" s="68" t="n"/>
      <c r="F1035" s="47">
        <f>IF(A1035="","",IF(MIN(H1035,MAX(J1035:K1035))=0,"",MIN(H1035,MAX(J1035:K1035))))</f>
        <v/>
      </c>
      <c r="G1035" s="74" t="n"/>
      <c r="H1035" s="49">
        <f>IF(M1035="","",IFERROR(ROUND(AVERAGE(T1035+M1035*{7,8,9,10,11})/1.21,4),""))</f>
        <v/>
      </c>
      <c r="I1035" s="76" t="n"/>
      <c r="J1035" s="77" t="n"/>
      <c r="K1035" s="74" t="n"/>
      <c r="L1035" s="78" t="n"/>
      <c r="M1035" s="77" t="n"/>
      <c r="N1035" s="53">
        <f>IF(M1035="","",IFERROR(M1035/I1035,""))</f>
        <v/>
      </c>
      <c r="O1035" s="50">
        <f>IF(A1035="","",IFERROR((IF(G1035="",I1035,G1035)-T1035)/M1035,""))</f>
        <v/>
      </c>
      <c r="P1035" s="50">
        <f>IFERROR((I1035/T1035-1)/N1035,"")</f>
        <v/>
      </c>
      <c r="Q1035" s="46">
        <f>IF(OR(T1035="",I1035&lt;T1035),"",IFERROR(R1035/IF(G1035="",I1035,G1035)-1,""))</f>
        <v/>
      </c>
      <c r="R1035" s="48">
        <f>IF($M1035="","",MAX(IF($G1035="",$I1035,$G1035)*(1/1.1),IF($G1035="",$I1035,$G1035)+(R$2*$M1035)))</f>
        <v/>
      </c>
      <c r="S1035" s="49">
        <f>IF($M1035="","",MAX(IF($G1035="",$I1035,$G1035)*(1/1.1),IF($G1035="",$I1035,$G1035)+(S$2*$M1035)))</f>
        <v/>
      </c>
      <c r="T1035" s="82" t="n"/>
      <c r="U1035" s="47">
        <f>IF(OR($M1035="",$T1035=""),"",$T1035+(U$2*$M1035))</f>
        <v/>
      </c>
      <c r="V1035" s="48">
        <f>IF(OR($M1035="",$T1035=""),"",$T1035+(V$2*$M1035))</f>
        <v/>
      </c>
      <c r="W1035" s="48">
        <f>IF(OR($M1035="",$T1035=""),"",$T1035+(W$2*$M1035))</f>
        <v/>
      </c>
      <c r="X1035" s="49">
        <f>IF(OR($M1035="",$T1035=""),"",$T1035+(X$2*$M1035))</f>
        <v/>
      </c>
      <c r="Y1035" s="47">
        <f>IF(OR($M1035="",$T1035=""),"",$T1035+(Y$2*$M1035))</f>
        <v/>
      </c>
      <c r="Z1035" s="49">
        <f>IF(OR($M1035="",$T1035=""),"",$T1035+(Z$2*$M1035))</f>
        <v/>
      </c>
      <c r="AA1035" s="51">
        <f>IF(OR($M1035="",$T1035=""),"",$T1035+(AA$2*$M1035))</f>
        <v/>
      </c>
      <c r="AB1035" s="48">
        <f>IF(OR($M1035="",$T1035=""),"",$T1035+(AB$2*$M1035))</f>
        <v/>
      </c>
      <c r="AC1035" s="48">
        <f>IF(OR($M1035="",$T1035=""),"",$T1035+(AC$2*$M1035))</f>
        <v/>
      </c>
      <c r="AD1035" s="48">
        <f>IF(OR($M1035="",$T1035=""),"",$T1035+(AD$2*$M1035))</f>
        <v/>
      </c>
      <c r="AE1035" s="49">
        <f>IF(OR($M1035="",$T1035=""),"",$T1035+(AE$2*$M1035))</f>
        <v/>
      </c>
      <c r="AF1035" s="52">
        <f>IF(OR(T1035="",I1035&lt;T1035),"",IFERROR(AVERAGE(T1035+M1035*{7,8,9,10,11})/IF(G1035="",I1035,G1035)-1,""))</f>
        <v/>
      </c>
      <c r="AG1035" s="55">
        <f>IF(OR(T1035="",I1035&lt;T1035),"",IFERROR(AF1035/-(R1035/IF(G1035="",I1035,G1035)-1),""))</f>
        <v/>
      </c>
      <c r="AH1035" s="94" t="n"/>
      <c r="AI1035" s="94" t="n"/>
      <c r="AJ1035" s="94" t="n"/>
      <c r="AK1035" s="94" t="n"/>
      <c r="AL1035" s="84" t="n"/>
    </row>
    <row r="1036">
      <c r="A1036" s="64" t="n"/>
      <c r="B1036" s="65" t="n"/>
      <c r="C1036" s="66" t="n"/>
      <c r="D1036" s="67" t="n"/>
      <c r="E1036" s="68" t="n"/>
      <c r="F1036" s="47">
        <f>IF(A1036="","",IF(MIN(H1036,MAX(J1036:K1036))=0,"",MIN(H1036,MAX(J1036:K1036))))</f>
        <v/>
      </c>
      <c r="G1036" s="74" t="n"/>
      <c r="H1036" s="49">
        <f>IF(M1036="","",IFERROR(ROUND(AVERAGE(T1036+M1036*{7,8,9,10,11})/1.21,4),""))</f>
        <v/>
      </c>
      <c r="I1036" s="76" t="n"/>
      <c r="J1036" s="77" t="n"/>
      <c r="K1036" s="74" t="n"/>
      <c r="L1036" s="78" t="n"/>
      <c r="M1036" s="77" t="n"/>
      <c r="N1036" s="53">
        <f>IF(M1036="","",IFERROR(M1036/I1036,""))</f>
        <v/>
      </c>
      <c r="O1036" s="50">
        <f>IF(A1036="","",IFERROR((IF(G1036="",I1036,G1036)-T1036)/M1036,""))</f>
        <v/>
      </c>
      <c r="P1036" s="50">
        <f>IFERROR((I1036/T1036-1)/N1036,"")</f>
        <v/>
      </c>
      <c r="Q1036" s="46">
        <f>IF(OR(T1036="",I1036&lt;T1036),"",IFERROR(R1036/IF(G1036="",I1036,G1036)-1,""))</f>
        <v/>
      </c>
      <c r="R1036" s="48">
        <f>IF($M1036="","",MAX(IF($G1036="",$I1036,$G1036)*(1/1.1),IF($G1036="",$I1036,$G1036)+(R$2*$M1036)))</f>
        <v/>
      </c>
      <c r="S1036" s="49">
        <f>IF($M1036="","",MAX(IF($G1036="",$I1036,$G1036)*(1/1.1),IF($G1036="",$I1036,$G1036)+(S$2*$M1036)))</f>
        <v/>
      </c>
      <c r="T1036" s="82" t="n"/>
      <c r="U1036" s="47">
        <f>IF(OR($M1036="",$T1036=""),"",$T1036+(U$2*$M1036))</f>
        <v/>
      </c>
      <c r="V1036" s="48">
        <f>IF(OR($M1036="",$T1036=""),"",$T1036+(V$2*$M1036))</f>
        <v/>
      </c>
      <c r="W1036" s="48">
        <f>IF(OR($M1036="",$T1036=""),"",$T1036+(W$2*$M1036))</f>
        <v/>
      </c>
      <c r="X1036" s="49">
        <f>IF(OR($M1036="",$T1036=""),"",$T1036+(X$2*$M1036))</f>
        <v/>
      </c>
      <c r="Y1036" s="47">
        <f>IF(OR($M1036="",$T1036=""),"",$T1036+(Y$2*$M1036))</f>
        <v/>
      </c>
      <c r="Z1036" s="49">
        <f>IF(OR($M1036="",$T1036=""),"",$T1036+(Z$2*$M1036))</f>
        <v/>
      </c>
      <c r="AA1036" s="51">
        <f>IF(OR($M1036="",$T1036=""),"",$T1036+(AA$2*$M1036))</f>
        <v/>
      </c>
      <c r="AB1036" s="48">
        <f>IF(OR($M1036="",$T1036=""),"",$T1036+(AB$2*$M1036))</f>
        <v/>
      </c>
      <c r="AC1036" s="48">
        <f>IF(OR($M1036="",$T1036=""),"",$T1036+(AC$2*$M1036))</f>
        <v/>
      </c>
      <c r="AD1036" s="48">
        <f>IF(OR($M1036="",$T1036=""),"",$T1036+(AD$2*$M1036))</f>
        <v/>
      </c>
      <c r="AE1036" s="49">
        <f>IF(OR($M1036="",$T1036=""),"",$T1036+(AE$2*$M1036))</f>
        <v/>
      </c>
      <c r="AF1036" s="52">
        <f>IF(OR(T1036="",I1036&lt;T1036),"",IFERROR(AVERAGE(T1036+M1036*{7,8,9,10,11})/IF(G1036="",I1036,G1036)-1,""))</f>
        <v/>
      </c>
      <c r="AG1036" s="55">
        <f>IF(OR(T1036="",I1036&lt;T1036),"",IFERROR(AF1036/-(R1036/IF(G1036="",I1036,G1036)-1),""))</f>
        <v/>
      </c>
      <c r="AH1036" s="94" t="n"/>
      <c r="AI1036" s="94" t="n"/>
      <c r="AJ1036" s="94" t="n"/>
      <c r="AK1036" s="94" t="n"/>
      <c r="AL1036" s="84" t="n"/>
    </row>
    <row r="1037">
      <c r="A1037" s="64" t="n"/>
      <c r="B1037" s="65" t="n"/>
      <c r="C1037" s="66" t="n"/>
      <c r="D1037" s="67" t="n"/>
      <c r="E1037" s="68" t="n"/>
      <c r="F1037" s="47">
        <f>IF(A1037="","",IF(MIN(H1037,MAX(J1037:K1037))=0,"",MIN(H1037,MAX(J1037:K1037))))</f>
        <v/>
      </c>
      <c r="G1037" s="74" t="n"/>
      <c r="H1037" s="49">
        <f>IF(M1037="","",IFERROR(ROUND(AVERAGE(T1037+M1037*{7,8,9,10,11})/1.21,4),""))</f>
        <v/>
      </c>
      <c r="I1037" s="76" t="n"/>
      <c r="J1037" s="77" t="n"/>
      <c r="K1037" s="74" t="n"/>
      <c r="L1037" s="78" t="n"/>
      <c r="M1037" s="77" t="n"/>
      <c r="N1037" s="53">
        <f>IF(M1037="","",IFERROR(M1037/I1037,""))</f>
        <v/>
      </c>
      <c r="O1037" s="50">
        <f>IF(A1037="","",IFERROR((IF(G1037="",I1037,G1037)-T1037)/M1037,""))</f>
        <v/>
      </c>
      <c r="P1037" s="50">
        <f>IFERROR((I1037/T1037-1)/N1037,"")</f>
        <v/>
      </c>
      <c r="Q1037" s="46">
        <f>IF(OR(T1037="",I1037&lt;T1037),"",IFERROR(R1037/IF(G1037="",I1037,G1037)-1,""))</f>
        <v/>
      </c>
      <c r="R1037" s="48">
        <f>IF($M1037="","",MAX(IF($G1037="",$I1037,$G1037)*(1/1.1),IF($G1037="",$I1037,$G1037)+(R$2*$M1037)))</f>
        <v/>
      </c>
      <c r="S1037" s="49">
        <f>IF($M1037="","",MAX(IF($G1037="",$I1037,$G1037)*(1/1.1),IF($G1037="",$I1037,$G1037)+(S$2*$M1037)))</f>
        <v/>
      </c>
      <c r="T1037" s="82" t="n"/>
      <c r="U1037" s="47">
        <f>IF(OR($M1037="",$T1037=""),"",$T1037+(U$2*$M1037))</f>
        <v/>
      </c>
      <c r="V1037" s="48">
        <f>IF(OR($M1037="",$T1037=""),"",$T1037+(V$2*$M1037))</f>
        <v/>
      </c>
      <c r="W1037" s="48">
        <f>IF(OR($M1037="",$T1037=""),"",$T1037+(W$2*$M1037))</f>
        <v/>
      </c>
      <c r="X1037" s="49">
        <f>IF(OR($M1037="",$T1037=""),"",$T1037+(X$2*$M1037))</f>
        <v/>
      </c>
      <c r="Y1037" s="47">
        <f>IF(OR($M1037="",$T1037=""),"",$T1037+(Y$2*$M1037))</f>
        <v/>
      </c>
      <c r="Z1037" s="49">
        <f>IF(OR($M1037="",$T1037=""),"",$T1037+(Z$2*$M1037))</f>
        <v/>
      </c>
      <c r="AA1037" s="51">
        <f>IF(OR($M1037="",$T1037=""),"",$T1037+(AA$2*$M1037))</f>
        <v/>
      </c>
      <c r="AB1037" s="48">
        <f>IF(OR($M1037="",$T1037=""),"",$T1037+(AB$2*$M1037))</f>
        <v/>
      </c>
      <c r="AC1037" s="48">
        <f>IF(OR($M1037="",$T1037=""),"",$T1037+(AC$2*$M1037))</f>
        <v/>
      </c>
      <c r="AD1037" s="48">
        <f>IF(OR($M1037="",$T1037=""),"",$T1037+(AD$2*$M1037))</f>
        <v/>
      </c>
      <c r="AE1037" s="49">
        <f>IF(OR($M1037="",$T1037=""),"",$T1037+(AE$2*$M1037))</f>
        <v/>
      </c>
      <c r="AF1037" s="52">
        <f>IF(OR(T1037="",I1037&lt;T1037),"",IFERROR(AVERAGE(T1037+M1037*{7,8,9,10,11})/IF(G1037="",I1037,G1037)-1,""))</f>
        <v/>
      </c>
      <c r="AG1037" s="55">
        <f>IF(OR(T1037="",I1037&lt;T1037),"",IFERROR(AF1037/-(R1037/IF(G1037="",I1037,G1037)-1),""))</f>
        <v/>
      </c>
      <c r="AH1037" s="94" t="n"/>
      <c r="AI1037" s="94" t="n"/>
      <c r="AJ1037" s="94" t="n"/>
      <c r="AK1037" s="94" t="n"/>
      <c r="AL1037" s="84" t="n"/>
    </row>
    <row r="1038">
      <c r="A1038" s="64" t="n"/>
      <c r="B1038" s="65" t="n"/>
      <c r="C1038" s="66" t="n"/>
      <c r="D1038" s="67" t="n"/>
      <c r="E1038" s="68" t="n"/>
      <c r="F1038" s="47">
        <f>IF(A1038="","",IF(MIN(H1038,MAX(J1038:K1038))=0,"",MIN(H1038,MAX(J1038:K1038))))</f>
        <v/>
      </c>
      <c r="G1038" s="74" t="n"/>
      <c r="H1038" s="49">
        <f>IF(M1038="","",IFERROR(ROUND(AVERAGE(T1038+M1038*{7,8,9,10,11})/1.21,4),""))</f>
        <v/>
      </c>
      <c r="I1038" s="76" t="n"/>
      <c r="J1038" s="77" t="n"/>
      <c r="K1038" s="74" t="n"/>
      <c r="L1038" s="78" t="n"/>
      <c r="M1038" s="77" t="n"/>
      <c r="N1038" s="53">
        <f>IF(M1038="","",IFERROR(M1038/I1038,""))</f>
        <v/>
      </c>
      <c r="O1038" s="50">
        <f>IF(A1038="","",IFERROR((IF(G1038="",I1038,G1038)-T1038)/M1038,""))</f>
        <v/>
      </c>
      <c r="P1038" s="50">
        <f>IFERROR((I1038/T1038-1)/N1038,"")</f>
        <v/>
      </c>
      <c r="Q1038" s="46">
        <f>IF(OR(T1038="",I1038&lt;T1038),"",IFERROR(R1038/IF(G1038="",I1038,G1038)-1,""))</f>
        <v/>
      </c>
      <c r="R1038" s="48">
        <f>IF($M1038="","",MAX(IF($G1038="",$I1038,$G1038)*(1/1.1),IF($G1038="",$I1038,$G1038)+(R$2*$M1038)))</f>
        <v/>
      </c>
      <c r="S1038" s="49">
        <f>IF($M1038="","",MAX(IF($G1038="",$I1038,$G1038)*(1/1.1),IF($G1038="",$I1038,$G1038)+(S$2*$M1038)))</f>
        <v/>
      </c>
      <c r="T1038" s="82" t="n"/>
      <c r="U1038" s="47">
        <f>IF(OR($M1038="",$T1038=""),"",$T1038+(U$2*$M1038))</f>
        <v/>
      </c>
      <c r="V1038" s="48">
        <f>IF(OR($M1038="",$T1038=""),"",$T1038+(V$2*$M1038))</f>
        <v/>
      </c>
      <c r="W1038" s="48">
        <f>IF(OR($M1038="",$T1038=""),"",$T1038+(W$2*$M1038))</f>
        <v/>
      </c>
      <c r="X1038" s="49">
        <f>IF(OR($M1038="",$T1038=""),"",$T1038+(X$2*$M1038))</f>
        <v/>
      </c>
      <c r="Y1038" s="47">
        <f>IF(OR($M1038="",$T1038=""),"",$T1038+(Y$2*$M1038))</f>
        <v/>
      </c>
      <c r="Z1038" s="49">
        <f>IF(OR($M1038="",$T1038=""),"",$T1038+(Z$2*$M1038))</f>
        <v/>
      </c>
      <c r="AA1038" s="51">
        <f>IF(OR($M1038="",$T1038=""),"",$T1038+(AA$2*$M1038))</f>
        <v/>
      </c>
      <c r="AB1038" s="48">
        <f>IF(OR($M1038="",$T1038=""),"",$T1038+(AB$2*$M1038))</f>
        <v/>
      </c>
      <c r="AC1038" s="48">
        <f>IF(OR($M1038="",$T1038=""),"",$T1038+(AC$2*$M1038))</f>
        <v/>
      </c>
      <c r="AD1038" s="48">
        <f>IF(OR($M1038="",$T1038=""),"",$T1038+(AD$2*$M1038))</f>
        <v/>
      </c>
      <c r="AE1038" s="49">
        <f>IF(OR($M1038="",$T1038=""),"",$T1038+(AE$2*$M1038))</f>
        <v/>
      </c>
      <c r="AF1038" s="52">
        <f>IF(OR(T1038="",I1038&lt;T1038),"",IFERROR(AVERAGE(T1038+M1038*{7,8,9,10,11})/IF(G1038="",I1038,G1038)-1,""))</f>
        <v/>
      </c>
      <c r="AG1038" s="55">
        <f>IF(OR(T1038="",I1038&lt;T1038),"",IFERROR(AF1038/-(R1038/IF(G1038="",I1038,G1038)-1),""))</f>
        <v/>
      </c>
      <c r="AH1038" s="94" t="n"/>
      <c r="AI1038" s="94" t="n"/>
      <c r="AJ1038" s="94" t="n"/>
      <c r="AK1038" s="94" t="n"/>
      <c r="AL1038" s="84" t="n"/>
    </row>
    <row r="1039">
      <c r="A1039" s="64" t="n"/>
      <c r="B1039" s="65" t="n"/>
      <c r="C1039" s="66" t="n"/>
      <c r="D1039" s="67" t="n"/>
      <c r="E1039" s="68" t="n"/>
      <c r="F1039" s="47">
        <f>IF(A1039="","",IF(MIN(H1039,MAX(J1039:K1039))=0,"",MIN(H1039,MAX(J1039:K1039))))</f>
        <v/>
      </c>
      <c r="G1039" s="74" t="n"/>
      <c r="H1039" s="49">
        <f>IF(M1039="","",IFERROR(ROUND(AVERAGE(T1039+M1039*{7,8,9,10,11})/1.21,4),""))</f>
        <v/>
      </c>
      <c r="I1039" s="76" t="n"/>
      <c r="J1039" s="77" t="n"/>
      <c r="K1039" s="74" t="n"/>
      <c r="L1039" s="78" t="n"/>
      <c r="M1039" s="77" t="n"/>
      <c r="N1039" s="53">
        <f>IF(M1039="","",IFERROR(M1039/I1039,""))</f>
        <v/>
      </c>
      <c r="O1039" s="50">
        <f>IF(A1039="","",IFERROR((IF(G1039="",I1039,G1039)-T1039)/M1039,""))</f>
        <v/>
      </c>
      <c r="P1039" s="50">
        <f>IFERROR((I1039/T1039-1)/N1039,"")</f>
        <v/>
      </c>
      <c r="Q1039" s="46">
        <f>IF(OR(T1039="",I1039&lt;T1039),"",IFERROR(R1039/IF(G1039="",I1039,G1039)-1,""))</f>
        <v/>
      </c>
      <c r="R1039" s="48">
        <f>IF($M1039="","",MAX(IF($G1039="",$I1039,$G1039)*(1/1.1),IF($G1039="",$I1039,$G1039)+(R$2*$M1039)))</f>
        <v/>
      </c>
      <c r="S1039" s="49">
        <f>IF($M1039="","",MAX(IF($G1039="",$I1039,$G1039)*(1/1.1),IF($G1039="",$I1039,$G1039)+(S$2*$M1039)))</f>
        <v/>
      </c>
      <c r="T1039" s="82" t="n"/>
      <c r="U1039" s="47">
        <f>IF(OR($M1039="",$T1039=""),"",$T1039+(U$2*$M1039))</f>
        <v/>
      </c>
      <c r="V1039" s="48">
        <f>IF(OR($M1039="",$T1039=""),"",$T1039+(V$2*$M1039))</f>
        <v/>
      </c>
      <c r="W1039" s="48">
        <f>IF(OR($M1039="",$T1039=""),"",$T1039+(W$2*$M1039))</f>
        <v/>
      </c>
      <c r="X1039" s="49">
        <f>IF(OR($M1039="",$T1039=""),"",$T1039+(X$2*$M1039))</f>
        <v/>
      </c>
      <c r="Y1039" s="47">
        <f>IF(OR($M1039="",$T1039=""),"",$T1039+(Y$2*$M1039))</f>
        <v/>
      </c>
      <c r="Z1039" s="49">
        <f>IF(OR($M1039="",$T1039=""),"",$T1039+(Z$2*$M1039))</f>
        <v/>
      </c>
      <c r="AA1039" s="51">
        <f>IF(OR($M1039="",$T1039=""),"",$T1039+(AA$2*$M1039))</f>
        <v/>
      </c>
      <c r="AB1039" s="48">
        <f>IF(OR($M1039="",$T1039=""),"",$T1039+(AB$2*$M1039))</f>
        <v/>
      </c>
      <c r="AC1039" s="48">
        <f>IF(OR($M1039="",$T1039=""),"",$T1039+(AC$2*$M1039))</f>
        <v/>
      </c>
      <c r="AD1039" s="48">
        <f>IF(OR($M1039="",$T1039=""),"",$T1039+(AD$2*$M1039))</f>
        <v/>
      </c>
      <c r="AE1039" s="49">
        <f>IF(OR($M1039="",$T1039=""),"",$T1039+(AE$2*$M1039))</f>
        <v/>
      </c>
      <c r="AF1039" s="52">
        <f>IF(OR(T1039="",I1039&lt;T1039),"",IFERROR(AVERAGE(T1039+M1039*{7,8,9,10,11})/IF(G1039="",I1039,G1039)-1,""))</f>
        <v/>
      </c>
      <c r="AG1039" s="55">
        <f>IF(OR(T1039="",I1039&lt;T1039),"",IFERROR(AF1039/-(R1039/IF(G1039="",I1039,G1039)-1),""))</f>
        <v/>
      </c>
      <c r="AH1039" s="94" t="n"/>
      <c r="AI1039" s="94" t="n"/>
      <c r="AJ1039" s="94" t="n"/>
      <c r="AK1039" s="94" t="n"/>
      <c r="AL1039" s="84" t="n"/>
    </row>
    <row r="1040">
      <c r="A1040" s="64" t="n"/>
      <c r="B1040" s="65" t="n"/>
      <c r="C1040" s="66" t="n"/>
      <c r="D1040" s="67" t="n"/>
      <c r="E1040" s="68" t="n"/>
      <c r="F1040" s="47">
        <f>IF(A1040="","",IF(MIN(H1040,MAX(J1040:K1040))=0,"",MIN(H1040,MAX(J1040:K1040))))</f>
        <v/>
      </c>
      <c r="G1040" s="74" t="n"/>
      <c r="H1040" s="49">
        <f>IF(M1040="","",IFERROR(ROUND(AVERAGE(T1040+M1040*{7,8,9,10,11})/1.21,4),""))</f>
        <v/>
      </c>
      <c r="I1040" s="76" t="n"/>
      <c r="J1040" s="77" t="n"/>
      <c r="K1040" s="74" t="n"/>
      <c r="L1040" s="78" t="n"/>
      <c r="M1040" s="77" t="n"/>
      <c r="N1040" s="53">
        <f>IF(M1040="","",IFERROR(M1040/I1040,""))</f>
        <v/>
      </c>
      <c r="O1040" s="50">
        <f>IF(A1040="","",IFERROR((IF(G1040="",I1040,G1040)-T1040)/M1040,""))</f>
        <v/>
      </c>
      <c r="P1040" s="50">
        <f>IFERROR((I1040/T1040-1)/N1040,"")</f>
        <v/>
      </c>
      <c r="Q1040" s="46">
        <f>IF(OR(T1040="",I1040&lt;T1040),"",IFERROR(R1040/IF(G1040="",I1040,G1040)-1,""))</f>
        <v/>
      </c>
      <c r="R1040" s="48">
        <f>IF($M1040="","",MAX(IF($G1040="",$I1040,$G1040)*(1/1.1),IF($G1040="",$I1040,$G1040)+(R$2*$M1040)))</f>
        <v/>
      </c>
      <c r="S1040" s="49">
        <f>IF($M1040="","",MAX(IF($G1040="",$I1040,$G1040)*(1/1.1),IF($G1040="",$I1040,$G1040)+(S$2*$M1040)))</f>
        <v/>
      </c>
      <c r="T1040" s="82" t="n"/>
      <c r="U1040" s="47">
        <f>IF(OR($M1040="",$T1040=""),"",$T1040+(U$2*$M1040))</f>
        <v/>
      </c>
      <c r="V1040" s="48">
        <f>IF(OR($M1040="",$T1040=""),"",$T1040+(V$2*$M1040))</f>
        <v/>
      </c>
      <c r="W1040" s="48">
        <f>IF(OR($M1040="",$T1040=""),"",$T1040+(W$2*$M1040))</f>
        <v/>
      </c>
      <c r="X1040" s="49">
        <f>IF(OR($M1040="",$T1040=""),"",$T1040+(X$2*$M1040))</f>
        <v/>
      </c>
      <c r="Y1040" s="47">
        <f>IF(OR($M1040="",$T1040=""),"",$T1040+(Y$2*$M1040))</f>
        <v/>
      </c>
      <c r="Z1040" s="49">
        <f>IF(OR($M1040="",$T1040=""),"",$T1040+(Z$2*$M1040))</f>
        <v/>
      </c>
      <c r="AA1040" s="51">
        <f>IF(OR($M1040="",$T1040=""),"",$T1040+(AA$2*$M1040))</f>
        <v/>
      </c>
      <c r="AB1040" s="48">
        <f>IF(OR($M1040="",$T1040=""),"",$T1040+(AB$2*$M1040))</f>
        <v/>
      </c>
      <c r="AC1040" s="48">
        <f>IF(OR($M1040="",$T1040=""),"",$T1040+(AC$2*$M1040))</f>
        <v/>
      </c>
      <c r="AD1040" s="48">
        <f>IF(OR($M1040="",$T1040=""),"",$T1040+(AD$2*$M1040))</f>
        <v/>
      </c>
      <c r="AE1040" s="49">
        <f>IF(OR($M1040="",$T1040=""),"",$T1040+(AE$2*$M1040))</f>
        <v/>
      </c>
      <c r="AF1040" s="52">
        <f>IF(OR(T1040="",I1040&lt;T1040),"",IFERROR(AVERAGE(T1040+M1040*{7,8,9,10,11})/IF(G1040="",I1040,G1040)-1,""))</f>
        <v/>
      </c>
      <c r="AG1040" s="55">
        <f>IF(OR(T1040="",I1040&lt;T1040),"",IFERROR(AF1040/-(R1040/IF(G1040="",I1040,G1040)-1),""))</f>
        <v/>
      </c>
      <c r="AH1040" s="94" t="n"/>
      <c r="AI1040" s="94" t="n"/>
      <c r="AJ1040" s="94" t="n"/>
      <c r="AK1040" s="94" t="n"/>
      <c r="AL1040" s="84" t="n"/>
    </row>
    <row r="1041">
      <c r="A1041" s="64" t="n"/>
      <c r="B1041" s="65" t="n"/>
      <c r="C1041" s="66" t="n"/>
      <c r="D1041" s="67" t="n"/>
      <c r="E1041" s="68" t="n"/>
      <c r="F1041" s="47">
        <f>IF(A1041="","",IF(MIN(H1041,MAX(J1041:K1041))=0,"",MIN(H1041,MAX(J1041:K1041))))</f>
        <v/>
      </c>
      <c r="G1041" s="74" t="n"/>
      <c r="H1041" s="49">
        <f>IF(M1041="","",IFERROR(ROUND(AVERAGE(T1041+M1041*{7,8,9,10,11})/1.21,4),""))</f>
        <v/>
      </c>
      <c r="I1041" s="76" t="n"/>
      <c r="J1041" s="77" t="n"/>
      <c r="K1041" s="74" t="n"/>
      <c r="L1041" s="78" t="n"/>
      <c r="M1041" s="77" t="n"/>
      <c r="N1041" s="53">
        <f>IF(M1041="","",IFERROR(M1041/I1041,""))</f>
        <v/>
      </c>
      <c r="O1041" s="50">
        <f>IF(A1041="","",IFERROR((IF(G1041="",I1041,G1041)-T1041)/M1041,""))</f>
        <v/>
      </c>
      <c r="P1041" s="50">
        <f>IFERROR((I1041/T1041-1)/N1041,"")</f>
        <v/>
      </c>
      <c r="Q1041" s="46">
        <f>IF(OR(T1041="",I1041&lt;T1041),"",IFERROR(R1041/IF(G1041="",I1041,G1041)-1,""))</f>
        <v/>
      </c>
      <c r="R1041" s="48">
        <f>IF($M1041="","",MAX(IF($G1041="",$I1041,$G1041)*(1/1.1),IF($G1041="",$I1041,$G1041)+(R$2*$M1041)))</f>
        <v/>
      </c>
      <c r="S1041" s="49">
        <f>IF($M1041="","",MAX(IF($G1041="",$I1041,$G1041)*(1/1.1),IF($G1041="",$I1041,$G1041)+(S$2*$M1041)))</f>
        <v/>
      </c>
      <c r="T1041" s="82" t="n"/>
      <c r="U1041" s="47">
        <f>IF(OR($M1041="",$T1041=""),"",$T1041+(U$2*$M1041))</f>
        <v/>
      </c>
      <c r="V1041" s="48">
        <f>IF(OR($M1041="",$T1041=""),"",$T1041+(V$2*$M1041))</f>
        <v/>
      </c>
      <c r="W1041" s="48">
        <f>IF(OR($M1041="",$T1041=""),"",$T1041+(W$2*$M1041))</f>
        <v/>
      </c>
      <c r="X1041" s="49">
        <f>IF(OR($M1041="",$T1041=""),"",$T1041+(X$2*$M1041))</f>
        <v/>
      </c>
      <c r="Y1041" s="47">
        <f>IF(OR($M1041="",$T1041=""),"",$T1041+(Y$2*$M1041))</f>
        <v/>
      </c>
      <c r="Z1041" s="49">
        <f>IF(OR($M1041="",$T1041=""),"",$T1041+(Z$2*$M1041))</f>
        <v/>
      </c>
      <c r="AA1041" s="51">
        <f>IF(OR($M1041="",$T1041=""),"",$T1041+(AA$2*$M1041))</f>
        <v/>
      </c>
      <c r="AB1041" s="48">
        <f>IF(OR($M1041="",$T1041=""),"",$T1041+(AB$2*$M1041))</f>
        <v/>
      </c>
      <c r="AC1041" s="48">
        <f>IF(OR($M1041="",$T1041=""),"",$T1041+(AC$2*$M1041))</f>
        <v/>
      </c>
      <c r="AD1041" s="48">
        <f>IF(OR($M1041="",$T1041=""),"",$T1041+(AD$2*$M1041))</f>
        <v/>
      </c>
      <c r="AE1041" s="49">
        <f>IF(OR($M1041="",$T1041=""),"",$T1041+(AE$2*$M1041))</f>
        <v/>
      </c>
      <c r="AF1041" s="52">
        <f>IF(OR(T1041="",I1041&lt;T1041),"",IFERROR(AVERAGE(T1041+M1041*{7,8,9,10,11})/IF(G1041="",I1041,G1041)-1,""))</f>
        <v/>
      </c>
      <c r="AG1041" s="55">
        <f>IF(OR(T1041="",I1041&lt;T1041),"",IFERROR(AF1041/-(R1041/IF(G1041="",I1041,G1041)-1),""))</f>
        <v/>
      </c>
      <c r="AH1041" s="94" t="n"/>
      <c r="AI1041" s="94" t="n"/>
      <c r="AJ1041" s="94" t="n"/>
      <c r="AK1041" s="94" t="n"/>
      <c r="AL1041" s="84" t="n"/>
    </row>
    <row r="1042">
      <c r="A1042" s="64" t="n"/>
      <c r="B1042" s="65" t="n"/>
      <c r="C1042" s="66" t="n"/>
      <c r="D1042" s="67" t="n"/>
      <c r="E1042" s="68" t="n"/>
      <c r="F1042" s="47">
        <f>IF(A1042="","",IF(MIN(H1042,MAX(J1042:K1042))=0,"",MIN(H1042,MAX(J1042:K1042))))</f>
        <v/>
      </c>
      <c r="G1042" s="74" t="n"/>
      <c r="H1042" s="49">
        <f>IF(M1042="","",IFERROR(ROUND(AVERAGE(T1042+M1042*{7,8,9,10,11})/1.21,4),""))</f>
        <v/>
      </c>
      <c r="I1042" s="76" t="n"/>
      <c r="J1042" s="77" t="n"/>
      <c r="K1042" s="74" t="n"/>
      <c r="L1042" s="78" t="n"/>
      <c r="M1042" s="77" t="n"/>
      <c r="N1042" s="53">
        <f>IF(M1042="","",IFERROR(M1042/I1042,""))</f>
        <v/>
      </c>
      <c r="O1042" s="50">
        <f>IF(A1042="","",IFERROR((IF(G1042="",I1042,G1042)-T1042)/M1042,""))</f>
        <v/>
      </c>
      <c r="P1042" s="50">
        <f>IFERROR((I1042/T1042-1)/N1042,"")</f>
        <v/>
      </c>
      <c r="Q1042" s="46">
        <f>IF(OR(T1042="",I1042&lt;T1042),"",IFERROR(R1042/IF(G1042="",I1042,G1042)-1,""))</f>
        <v/>
      </c>
      <c r="R1042" s="48">
        <f>IF($M1042="","",MAX(IF($G1042="",$I1042,$G1042)*(1/1.1),IF($G1042="",$I1042,$G1042)+(R$2*$M1042)))</f>
        <v/>
      </c>
      <c r="S1042" s="49">
        <f>IF($M1042="","",MAX(IF($G1042="",$I1042,$G1042)*(1/1.1),IF($G1042="",$I1042,$G1042)+(S$2*$M1042)))</f>
        <v/>
      </c>
      <c r="T1042" s="82" t="n"/>
      <c r="U1042" s="47">
        <f>IF(OR($M1042="",$T1042=""),"",$T1042+(U$2*$M1042))</f>
        <v/>
      </c>
      <c r="V1042" s="48">
        <f>IF(OR($M1042="",$T1042=""),"",$T1042+(V$2*$M1042))</f>
        <v/>
      </c>
      <c r="W1042" s="48">
        <f>IF(OR($M1042="",$T1042=""),"",$T1042+(W$2*$M1042))</f>
        <v/>
      </c>
      <c r="X1042" s="49">
        <f>IF(OR($M1042="",$T1042=""),"",$T1042+(X$2*$M1042))</f>
        <v/>
      </c>
      <c r="Y1042" s="47">
        <f>IF(OR($M1042="",$T1042=""),"",$T1042+(Y$2*$M1042))</f>
        <v/>
      </c>
      <c r="Z1042" s="49">
        <f>IF(OR($M1042="",$T1042=""),"",$T1042+(Z$2*$M1042))</f>
        <v/>
      </c>
      <c r="AA1042" s="51">
        <f>IF(OR($M1042="",$T1042=""),"",$T1042+(AA$2*$M1042))</f>
        <v/>
      </c>
      <c r="AB1042" s="48">
        <f>IF(OR($M1042="",$T1042=""),"",$T1042+(AB$2*$M1042))</f>
        <v/>
      </c>
      <c r="AC1042" s="48">
        <f>IF(OR($M1042="",$T1042=""),"",$T1042+(AC$2*$M1042))</f>
        <v/>
      </c>
      <c r="AD1042" s="48">
        <f>IF(OR($M1042="",$T1042=""),"",$T1042+(AD$2*$M1042))</f>
        <v/>
      </c>
      <c r="AE1042" s="49">
        <f>IF(OR($M1042="",$T1042=""),"",$T1042+(AE$2*$M1042))</f>
        <v/>
      </c>
      <c r="AF1042" s="52">
        <f>IF(OR(T1042="",I1042&lt;T1042),"",IFERROR(AVERAGE(T1042+M1042*{7,8,9,10,11})/IF(G1042="",I1042,G1042)-1,""))</f>
        <v/>
      </c>
      <c r="AG1042" s="55">
        <f>IF(OR(T1042="",I1042&lt;T1042),"",IFERROR(AF1042/-(R1042/IF(G1042="",I1042,G1042)-1),""))</f>
        <v/>
      </c>
      <c r="AH1042" s="94" t="n"/>
      <c r="AI1042" s="94" t="n"/>
      <c r="AJ1042" s="94" t="n"/>
      <c r="AK1042" s="94" t="n"/>
      <c r="AL1042" s="84" t="n"/>
    </row>
    <row r="1043">
      <c r="A1043" s="64" t="n"/>
      <c r="B1043" s="65" t="n"/>
      <c r="C1043" s="66" t="n"/>
      <c r="D1043" s="67" t="n"/>
      <c r="E1043" s="68" t="n"/>
      <c r="F1043" s="47">
        <f>IF(A1043="","",IF(MIN(H1043,MAX(J1043:K1043))=0,"",MIN(H1043,MAX(J1043:K1043))))</f>
        <v/>
      </c>
      <c r="G1043" s="74" t="n"/>
      <c r="H1043" s="49">
        <f>IF(M1043="","",IFERROR(ROUND(AVERAGE(T1043+M1043*{7,8,9,10,11})/1.21,4),""))</f>
        <v/>
      </c>
      <c r="I1043" s="76" t="n"/>
      <c r="J1043" s="77" t="n"/>
      <c r="K1043" s="74" t="n"/>
      <c r="L1043" s="78" t="n"/>
      <c r="M1043" s="77" t="n"/>
      <c r="N1043" s="53">
        <f>IF(M1043="","",IFERROR(M1043/I1043,""))</f>
        <v/>
      </c>
      <c r="O1043" s="50">
        <f>IF(A1043="","",IFERROR((IF(G1043="",I1043,G1043)-T1043)/M1043,""))</f>
        <v/>
      </c>
      <c r="P1043" s="50">
        <f>IFERROR((I1043/T1043-1)/N1043,"")</f>
        <v/>
      </c>
      <c r="Q1043" s="46">
        <f>IF(OR(T1043="",I1043&lt;T1043),"",IFERROR(R1043/IF(G1043="",I1043,G1043)-1,""))</f>
        <v/>
      </c>
      <c r="R1043" s="48">
        <f>IF($M1043="","",MAX(IF($G1043="",$I1043,$G1043)*(1/1.1),IF($G1043="",$I1043,$G1043)+(R$2*$M1043)))</f>
        <v/>
      </c>
      <c r="S1043" s="49">
        <f>IF($M1043="","",MAX(IF($G1043="",$I1043,$G1043)*(1/1.1),IF($G1043="",$I1043,$G1043)+(S$2*$M1043)))</f>
        <v/>
      </c>
      <c r="T1043" s="82" t="n"/>
      <c r="U1043" s="47">
        <f>IF(OR($M1043="",$T1043=""),"",$T1043+(U$2*$M1043))</f>
        <v/>
      </c>
      <c r="V1043" s="48">
        <f>IF(OR($M1043="",$T1043=""),"",$T1043+(V$2*$M1043))</f>
        <v/>
      </c>
      <c r="W1043" s="48">
        <f>IF(OR($M1043="",$T1043=""),"",$T1043+(W$2*$M1043))</f>
        <v/>
      </c>
      <c r="X1043" s="49">
        <f>IF(OR($M1043="",$T1043=""),"",$T1043+(X$2*$M1043))</f>
        <v/>
      </c>
      <c r="Y1043" s="47">
        <f>IF(OR($M1043="",$T1043=""),"",$T1043+(Y$2*$M1043))</f>
        <v/>
      </c>
      <c r="Z1043" s="49">
        <f>IF(OR($M1043="",$T1043=""),"",$T1043+(Z$2*$M1043))</f>
        <v/>
      </c>
      <c r="AA1043" s="51">
        <f>IF(OR($M1043="",$T1043=""),"",$T1043+(AA$2*$M1043))</f>
        <v/>
      </c>
      <c r="AB1043" s="48">
        <f>IF(OR($M1043="",$T1043=""),"",$T1043+(AB$2*$M1043))</f>
        <v/>
      </c>
      <c r="AC1043" s="48">
        <f>IF(OR($M1043="",$T1043=""),"",$T1043+(AC$2*$M1043))</f>
        <v/>
      </c>
      <c r="AD1043" s="48">
        <f>IF(OR($M1043="",$T1043=""),"",$T1043+(AD$2*$M1043))</f>
        <v/>
      </c>
      <c r="AE1043" s="49">
        <f>IF(OR($M1043="",$T1043=""),"",$T1043+(AE$2*$M1043))</f>
        <v/>
      </c>
      <c r="AF1043" s="52">
        <f>IF(OR(T1043="",I1043&lt;T1043),"",IFERROR(AVERAGE(T1043+M1043*{7,8,9,10,11})/IF(G1043="",I1043,G1043)-1,""))</f>
        <v/>
      </c>
      <c r="AG1043" s="55">
        <f>IF(OR(T1043="",I1043&lt;T1043),"",IFERROR(AF1043/-(R1043/IF(G1043="",I1043,G1043)-1),""))</f>
        <v/>
      </c>
      <c r="AH1043" s="94" t="n"/>
      <c r="AI1043" s="94" t="n"/>
      <c r="AJ1043" s="94" t="n"/>
      <c r="AK1043" s="94" t="n"/>
      <c r="AL1043" s="84" t="n"/>
    </row>
    <row r="1044">
      <c r="A1044" s="64" t="n"/>
      <c r="B1044" s="65" t="n"/>
      <c r="C1044" s="66" t="n"/>
      <c r="D1044" s="67" t="n"/>
      <c r="E1044" s="68" t="n"/>
      <c r="F1044" s="47">
        <f>IF(A1044="","",IF(MIN(H1044,MAX(J1044:K1044))=0,"",MIN(H1044,MAX(J1044:K1044))))</f>
        <v/>
      </c>
      <c r="G1044" s="74" t="n"/>
      <c r="H1044" s="49">
        <f>IF(M1044="","",IFERROR(ROUND(AVERAGE(T1044+M1044*{7,8,9,10,11})/1.21,4),""))</f>
        <v/>
      </c>
      <c r="I1044" s="76" t="n"/>
      <c r="J1044" s="77" t="n"/>
      <c r="K1044" s="74" t="n"/>
      <c r="L1044" s="78" t="n"/>
      <c r="M1044" s="77" t="n"/>
      <c r="N1044" s="53">
        <f>IF(M1044="","",IFERROR(M1044/I1044,""))</f>
        <v/>
      </c>
      <c r="O1044" s="50">
        <f>IF(A1044="","",IFERROR((IF(G1044="",I1044,G1044)-T1044)/M1044,""))</f>
        <v/>
      </c>
      <c r="P1044" s="50">
        <f>IFERROR((I1044/T1044-1)/N1044,"")</f>
        <v/>
      </c>
      <c r="Q1044" s="46">
        <f>IF(OR(T1044="",I1044&lt;T1044),"",IFERROR(R1044/IF(G1044="",I1044,G1044)-1,""))</f>
        <v/>
      </c>
      <c r="R1044" s="48">
        <f>IF($M1044="","",MAX(IF($G1044="",$I1044,$G1044)*(1/1.1),IF($G1044="",$I1044,$G1044)+(R$2*$M1044)))</f>
        <v/>
      </c>
      <c r="S1044" s="49">
        <f>IF($M1044="","",MAX(IF($G1044="",$I1044,$G1044)*(1/1.1),IF($G1044="",$I1044,$G1044)+(S$2*$M1044)))</f>
        <v/>
      </c>
      <c r="T1044" s="82" t="n"/>
      <c r="U1044" s="47">
        <f>IF(OR($M1044="",$T1044=""),"",$T1044+(U$2*$M1044))</f>
        <v/>
      </c>
      <c r="V1044" s="48">
        <f>IF(OR($M1044="",$T1044=""),"",$T1044+(V$2*$M1044))</f>
        <v/>
      </c>
      <c r="W1044" s="48">
        <f>IF(OR($M1044="",$T1044=""),"",$T1044+(W$2*$M1044))</f>
        <v/>
      </c>
      <c r="X1044" s="49">
        <f>IF(OR($M1044="",$T1044=""),"",$T1044+(X$2*$M1044))</f>
        <v/>
      </c>
      <c r="Y1044" s="47">
        <f>IF(OR($M1044="",$T1044=""),"",$T1044+(Y$2*$M1044))</f>
        <v/>
      </c>
      <c r="Z1044" s="49">
        <f>IF(OR($M1044="",$T1044=""),"",$T1044+(Z$2*$M1044))</f>
        <v/>
      </c>
      <c r="AA1044" s="51">
        <f>IF(OR($M1044="",$T1044=""),"",$T1044+(AA$2*$M1044))</f>
        <v/>
      </c>
      <c r="AB1044" s="48">
        <f>IF(OR($M1044="",$T1044=""),"",$T1044+(AB$2*$M1044))</f>
        <v/>
      </c>
      <c r="AC1044" s="48">
        <f>IF(OR($M1044="",$T1044=""),"",$T1044+(AC$2*$M1044))</f>
        <v/>
      </c>
      <c r="AD1044" s="48">
        <f>IF(OR($M1044="",$T1044=""),"",$T1044+(AD$2*$M1044))</f>
        <v/>
      </c>
      <c r="AE1044" s="49">
        <f>IF(OR($M1044="",$T1044=""),"",$T1044+(AE$2*$M1044))</f>
        <v/>
      </c>
      <c r="AF1044" s="52">
        <f>IF(OR(T1044="",I1044&lt;T1044),"",IFERROR(AVERAGE(T1044+M1044*{7,8,9,10,11})/IF(G1044="",I1044,G1044)-1,""))</f>
        <v/>
      </c>
      <c r="AG1044" s="55">
        <f>IF(OR(T1044="",I1044&lt;T1044),"",IFERROR(AF1044/-(R1044/IF(G1044="",I1044,G1044)-1),""))</f>
        <v/>
      </c>
      <c r="AH1044" s="94" t="n"/>
      <c r="AI1044" s="94" t="n"/>
      <c r="AJ1044" s="94" t="n"/>
      <c r="AK1044" s="94" t="n"/>
      <c r="AL1044" s="84" t="n"/>
    </row>
    <row r="1045">
      <c r="A1045" s="64" t="n"/>
      <c r="B1045" s="65" t="n"/>
      <c r="C1045" s="66" t="n"/>
      <c r="D1045" s="67" t="n"/>
      <c r="E1045" s="68" t="n"/>
      <c r="F1045" s="47">
        <f>IF(A1045="","",IF(MIN(H1045,MAX(J1045:K1045))=0,"",MIN(H1045,MAX(J1045:K1045))))</f>
        <v/>
      </c>
      <c r="G1045" s="74" t="n"/>
      <c r="H1045" s="49">
        <f>IF(M1045="","",IFERROR(ROUND(AVERAGE(T1045+M1045*{7,8,9,10,11})/1.21,4),""))</f>
        <v/>
      </c>
      <c r="I1045" s="76" t="n"/>
      <c r="J1045" s="77" t="n"/>
      <c r="K1045" s="74" t="n"/>
      <c r="L1045" s="78" t="n"/>
      <c r="M1045" s="77" t="n"/>
      <c r="N1045" s="53">
        <f>IF(M1045="","",IFERROR(M1045/I1045,""))</f>
        <v/>
      </c>
      <c r="O1045" s="50">
        <f>IF(A1045="","",IFERROR((IF(G1045="",I1045,G1045)-T1045)/M1045,""))</f>
        <v/>
      </c>
      <c r="P1045" s="50">
        <f>IFERROR((I1045/T1045-1)/N1045,"")</f>
        <v/>
      </c>
      <c r="Q1045" s="46">
        <f>IF(OR(T1045="",I1045&lt;T1045),"",IFERROR(R1045/IF(G1045="",I1045,G1045)-1,""))</f>
        <v/>
      </c>
      <c r="R1045" s="48">
        <f>IF($M1045="","",MAX(IF($G1045="",$I1045,$G1045)*(1/1.1),IF($G1045="",$I1045,$G1045)+(R$2*$M1045)))</f>
        <v/>
      </c>
      <c r="S1045" s="49">
        <f>IF($M1045="","",MAX(IF($G1045="",$I1045,$G1045)*(1/1.1),IF($G1045="",$I1045,$G1045)+(S$2*$M1045)))</f>
        <v/>
      </c>
      <c r="T1045" s="82" t="n"/>
      <c r="U1045" s="47">
        <f>IF(OR($M1045="",$T1045=""),"",$T1045+(U$2*$M1045))</f>
        <v/>
      </c>
      <c r="V1045" s="48">
        <f>IF(OR($M1045="",$T1045=""),"",$T1045+(V$2*$M1045))</f>
        <v/>
      </c>
      <c r="W1045" s="48">
        <f>IF(OR($M1045="",$T1045=""),"",$T1045+(W$2*$M1045))</f>
        <v/>
      </c>
      <c r="X1045" s="49">
        <f>IF(OR($M1045="",$T1045=""),"",$T1045+(X$2*$M1045))</f>
        <v/>
      </c>
      <c r="Y1045" s="47">
        <f>IF(OR($M1045="",$T1045=""),"",$T1045+(Y$2*$M1045))</f>
        <v/>
      </c>
      <c r="Z1045" s="49">
        <f>IF(OR($M1045="",$T1045=""),"",$T1045+(Z$2*$M1045))</f>
        <v/>
      </c>
      <c r="AA1045" s="51">
        <f>IF(OR($M1045="",$T1045=""),"",$T1045+(AA$2*$M1045))</f>
        <v/>
      </c>
      <c r="AB1045" s="48">
        <f>IF(OR($M1045="",$T1045=""),"",$T1045+(AB$2*$M1045))</f>
        <v/>
      </c>
      <c r="AC1045" s="48">
        <f>IF(OR($M1045="",$T1045=""),"",$T1045+(AC$2*$M1045))</f>
        <v/>
      </c>
      <c r="AD1045" s="48">
        <f>IF(OR($M1045="",$T1045=""),"",$T1045+(AD$2*$M1045))</f>
        <v/>
      </c>
      <c r="AE1045" s="49">
        <f>IF(OR($M1045="",$T1045=""),"",$T1045+(AE$2*$M1045))</f>
        <v/>
      </c>
      <c r="AF1045" s="52">
        <f>IF(OR(T1045="",I1045&lt;T1045),"",IFERROR(AVERAGE(T1045+M1045*{7,8,9,10,11})/IF(G1045="",I1045,G1045)-1,""))</f>
        <v/>
      </c>
      <c r="AG1045" s="55">
        <f>IF(OR(T1045="",I1045&lt;T1045),"",IFERROR(AF1045/-(R1045/IF(G1045="",I1045,G1045)-1),""))</f>
        <v/>
      </c>
      <c r="AH1045" s="94" t="n"/>
      <c r="AI1045" s="94" t="n"/>
      <c r="AJ1045" s="94" t="n"/>
      <c r="AK1045" s="94" t="n"/>
      <c r="AL1045" s="84" t="n"/>
    </row>
    <row r="1046">
      <c r="A1046" s="64" t="n"/>
      <c r="B1046" s="65" t="n"/>
      <c r="C1046" s="66" t="n"/>
      <c r="D1046" s="67" t="n"/>
      <c r="E1046" s="68" t="n"/>
      <c r="F1046" s="47">
        <f>IF(A1046="","",IF(MIN(H1046,MAX(J1046:K1046))=0,"",MIN(H1046,MAX(J1046:K1046))))</f>
        <v/>
      </c>
      <c r="G1046" s="74" t="n"/>
      <c r="H1046" s="49">
        <f>IF(M1046="","",IFERROR(ROUND(AVERAGE(T1046+M1046*{7,8,9,10,11})/1.21,4),""))</f>
        <v/>
      </c>
      <c r="I1046" s="76" t="n"/>
      <c r="J1046" s="77" t="n"/>
      <c r="K1046" s="74" t="n"/>
      <c r="L1046" s="78" t="n"/>
      <c r="M1046" s="77" t="n"/>
      <c r="N1046" s="53">
        <f>IF(M1046="","",IFERROR(M1046/I1046,""))</f>
        <v/>
      </c>
      <c r="O1046" s="50">
        <f>IF(A1046="","",IFERROR((IF(G1046="",I1046,G1046)-T1046)/M1046,""))</f>
        <v/>
      </c>
      <c r="P1046" s="50">
        <f>IFERROR((I1046/T1046-1)/N1046,"")</f>
        <v/>
      </c>
      <c r="Q1046" s="46">
        <f>IF(OR(T1046="",I1046&lt;T1046),"",IFERROR(R1046/IF(G1046="",I1046,G1046)-1,""))</f>
        <v/>
      </c>
      <c r="R1046" s="48">
        <f>IF($M1046="","",MAX(IF($G1046="",$I1046,$G1046)*(1/1.1),IF($G1046="",$I1046,$G1046)+(R$2*$M1046)))</f>
        <v/>
      </c>
      <c r="S1046" s="49">
        <f>IF($M1046="","",MAX(IF($G1046="",$I1046,$G1046)*(1/1.1),IF($G1046="",$I1046,$G1046)+(S$2*$M1046)))</f>
        <v/>
      </c>
      <c r="T1046" s="82" t="n"/>
      <c r="U1046" s="47">
        <f>IF(OR($M1046="",$T1046=""),"",$T1046+(U$2*$M1046))</f>
        <v/>
      </c>
      <c r="V1046" s="48">
        <f>IF(OR($M1046="",$T1046=""),"",$T1046+(V$2*$M1046))</f>
        <v/>
      </c>
      <c r="W1046" s="48">
        <f>IF(OR($M1046="",$T1046=""),"",$T1046+(W$2*$M1046))</f>
        <v/>
      </c>
      <c r="X1046" s="49">
        <f>IF(OR($M1046="",$T1046=""),"",$T1046+(X$2*$M1046))</f>
        <v/>
      </c>
      <c r="Y1046" s="47">
        <f>IF(OR($M1046="",$T1046=""),"",$T1046+(Y$2*$M1046))</f>
        <v/>
      </c>
      <c r="Z1046" s="49">
        <f>IF(OR($M1046="",$T1046=""),"",$T1046+(Z$2*$M1046))</f>
        <v/>
      </c>
      <c r="AA1046" s="51">
        <f>IF(OR($M1046="",$T1046=""),"",$T1046+(AA$2*$M1046))</f>
        <v/>
      </c>
      <c r="AB1046" s="48">
        <f>IF(OR($M1046="",$T1046=""),"",$T1046+(AB$2*$M1046))</f>
        <v/>
      </c>
      <c r="AC1046" s="48">
        <f>IF(OR($M1046="",$T1046=""),"",$T1046+(AC$2*$M1046))</f>
        <v/>
      </c>
      <c r="AD1046" s="48">
        <f>IF(OR($M1046="",$T1046=""),"",$T1046+(AD$2*$M1046))</f>
        <v/>
      </c>
      <c r="AE1046" s="49">
        <f>IF(OR($M1046="",$T1046=""),"",$T1046+(AE$2*$M1046))</f>
        <v/>
      </c>
      <c r="AF1046" s="52">
        <f>IF(OR(T1046="",I1046&lt;T1046),"",IFERROR(AVERAGE(T1046+M1046*{7,8,9,10,11})/IF(G1046="",I1046,G1046)-1,""))</f>
        <v/>
      </c>
      <c r="AG1046" s="55">
        <f>IF(OR(T1046="",I1046&lt;T1046),"",IFERROR(AF1046/-(R1046/IF(G1046="",I1046,G1046)-1),""))</f>
        <v/>
      </c>
      <c r="AH1046" s="94" t="n"/>
      <c r="AI1046" s="94" t="n"/>
      <c r="AJ1046" s="94" t="n"/>
      <c r="AK1046" s="94" t="n"/>
      <c r="AL1046" s="84" t="n"/>
    </row>
    <row r="1047">
      <c r="A1047" s="64" t="n"/>
      <c r="B1047" s="65" t="n"/>
      <c r="C1047" s="66" t="n"/>
      <c r="D1047" s="67" t="n"/>
      <c r="E1047" s="68" t="n"/>
      <c r="F1047" s="47">
        <f>IF(A1047="","",IF(MIN(H1047,MAX(J1047:K1047))=0,"",MIN(H1047,MAX(J1047:K1047))))</f>
        <v/>
      </c>
      <c r="G1047" s="74" t="n"/>
      <c r="H1047" s="49">
        <f>IF(M1047="","",IFERROR(ROUND(AVERAGE(T1047+M1047*{7,8,9,10,11})/1.21,4),""))</f>
        <v/>
      </c>
      <c r="I1047" s="76" t="n"/>
      <c r="J1047" s="77" t="n"/>
      <c r="K1047" s="74" t="n"/>
      <c r="L1047" s="78" t="n"/>
      <c r="M1047" s="77" t="n"/>
      <c r="N1047" s="53">
        <f>IF(M1047="","",IFERROR(M1047/I1047,""))</f>
        <v/>
      </c>
      <c r="O1047" s="50">
        <f>IF(A1047="","",IFERROR((IF(G1047="",I1047,G1047)-T1047)/M1047,""))</f>
        <v/>
      </c>
      <c r="P1047" s="50">
        <f>IFERROR((I1047/T1047-1)/N1047,"")</f>
        <v/>
      </c>
      <c r="Q1047" s="46">
        <f>IF(OR(T1047="",I1047&lt;T1047),"",IFERROR(R1047/IF(G1047="",I1047,G1047)-1,""))</f>
        <v/>
      </c>
      <c r="R1047" s="48">
        <f>IF($M1047="","",MAX(IF($G1047="",$I1047,$G1047)*(1/1.1),IF($G1047="",$I1047,$G1047)+(R$2*$M1047)))</f>
        <v/>
      </c>
      <c r="S1047" s="49">
        <f>IF($M1047="","",MAX(IF($G1047="",$I1047,$G1047)*(1/1.1),IF($G1047="",$I1047,$G1047)+(S$2*$M1047)))</f>
        <v/>
      </c>
      <c r="T1047" s="82" t="n"/>
      <c r="U1047" s="47">
        <f>IF(OR($M1047="",$T1047=""),"",$T1047+(U$2*$M1047))</f>
        <v/>
      </c>
      <c r="V1047" s="48">
        <f>IF(OR($M1047="",$T1047=""),"",$T1047+(V$2*$M1047))</f>
        <v/>
      </c>
      <c r="W1047" s="48">
        <f>IF(OR($M1047="",$T1047=""),"",$T1047+(W$2*$M1047))</f>
        <v/>
      </c>
      <c r="X1047" s="49">
        <f>IF(OR($M1047="",$T1047=""),"",$T1047+(X$2*$M1047))</f>
        <v/>
      </c>
      <c r="Y1047" s="47">
        <f>IF(OR($M1047="",$T1047=""),"",$T1047+(Y$2*$M1047))</f>
        <v/>
      </c>
      <c r="Z1047" s="49">
        <f>IF(OR($M1047="",$T1047=""),"",$T1047+(Z$2*$M1047))</f>
        <v/>
      </c>
      <c r="AA1047" s="51">
        <f>IF(OR($M1047="",$T1047=""),"",$T1047+(AA$2*$M1047))</f>
        <v/>
      </c>
      <c r="AB1047" s="48">
        <f>IF(OR($M1047="",$T1047=""),"",$T1047+(AB$2*$M1047))</f>
        <v/>
      </c>
      <c r="AC1047" s="48">
        <f>IF(OR($M1047="",$T1047=""),"",$T1047+(AC$2*$M1047))</f>
        <v/>
      </c>
      <c r="AD1047" s="48">
        <f>IF(OR($M1047="",$T1047=""),"",$T1047+(AD$2*$M1047))</f>
        <v/>
      </c>
      <c r="AE1047" s="49">
        <f>IF(OR($M1047="",$T1047=""),"",$T1047+(AE$2*$M1047))</f>
        <v/>
      </c>
      <c r="AF1047" s="52">
        <f>IF(OR(T1047="",I1047&lt;T1047),"",IFERROR(AVERAGE(T1047+M1047*{7,8,9,10,11})/IF(G1047="",I1047,G1047)-1,""))</f>
        <v/>
      </c>
      <c r="AG1047" s="55">
        <f>IF(OR(T1047="",I1047&lt;T1047),"",IFERROR(AF1047/-(R1047/IF(G1047="",I1047,G1047)-1),""))</f>
        <v/>
      </c>
      <c r="AH1047" s="94" t="n"/>
      <c r="AI1047" s="94" t="n"/>
      <c r="AJ1047" s="94" t="n"/>
      <c r="AK1047" s="94" t="n"/>
      <c r="AL1047" s="84" t="n"/>
    </row>
    <row r="1048">
      <c r="A1048" s="64" t="n"/>
      <c r="B1048" s="65" t="n"/>
      <c r="C1048" s="66" t="n"/>
      <c r="D1048" s="67" t="n"/>
      <c r="E1048" s="68" t="n"/>
      <c r="F1048" s="47">
        <f>IF(A1048="","",IF(MIN(H1048,MAX(J1048:K1048))=0,"",MIN(H1048,MAX(J1048:K1048))))</f>
        <v/>
      </c>
      <c r="G1048" s="74" t="n"/>
      <c r="H1048" s="49">
        <f>IF(M1048="","",IFERROR(ROUND(AVERAGE(T1048+M1048*{7,8,9,10,11})/1.21,4),""))</f>
        <v/>
      </c>
      <c r="I1048" s="76" t="n"/>
      <c r="J1048" s="77" t="n"/>
      <c r="K1048" s="74" t="n"/>
      <c r="L1048" s="78" t="n"/>
      <c r="M1048" s="77" t="n"/>
      <c r="N1048" s="53">
        <f>IF(M1048="","",IFERROR(M1048/I1048,""))</f>
        <v/>
      </c>
      <c r="O1048" s="50">
        <f>IF(A1048="","",IFERROR((IF(G1048="",I1048,G1048)-T1048)/M1048,""))</f>
        <v/>
      </c>
      <c r="P1048" s="50">
        <f>IFERROR((I1048/T1048-1)/N1048,"")</f>
        <v/>
      </c>
      <c r="Q1048" s="46">
        <f>IF(OR(T1048="",I1048&lt;T1048),"",IFERROR(R1048/IF(G1048="",I1048,G1048)-1,""))</f>
        <v/>
      </c>
      <c r="R1048" s="48">
        <f>IF($M1048="","",MAX(IF($G1048="",$I1048,$G1048)*(1/1.1),IF($G1048="",$I1048,$G1048)+(R$2*$M1048)))</f>
        <v/>
      </c>
      <c r="S1048" s="49">
        <f>IF($M1048="","",MAX(IF($G1048="",$I1048,$G1048)*(1/1.1),IF($G1048="",$I1048,$G1048)+(S$2*$M1048)))</f>
        <v/>
      </c>
      <c r="T1048" s="82" t="n"/>
      <c r="U1048" s="47">
        <f>IF(OR($M1048="",$T1048=""),"",$T1048+(U$2*$M1048))</f>
        <v/>
      </c>
      <c r="V1048" s="48">
        <f>IF(OR($M1048="",$T1048=""),"",$T1048+(V$2*$M1048))</f>
        <v/>
      </c>
      <c r="W1048" s="48">
        <f>IF(OR($M1048="",$T1048=""),"",$T1048+(W$2*$M1048))</f>
        <v/>
      </c>
      <c r="X1048" s="49">
        <f>IF(OR($M1048="",$T1048=""),"",$T1048+(X$2*$M1048))</f>
        <v/>
      </c>
      <c r="Y1048" s="47">
        <f>IF(OR($M1048="",$T1048=""),"",$T1048+(Y$2*$M1048))</f>
        <v/>
      </c>
      <c r="Z1048" s="49">
        <f>IF(OR($M1048="",$T1048=""),"",$T1048+(Z$2*$M1048))</f>
        <v/>
      </c>
      <c r="AA1048" s="51">
        <f>IF(OR($M1048="",$T1048=""),"",$T1048+(AA$2*$M1048))</f>
        <v/>
      </c>
      <c r="AB1048" s="48">
        <f>IF(OR($M1048="",$T1048=""),"",$T1048+(AB$2*$M1048))</f>
        <v/>
      </c>
      <c r="AC1048" s="48">
        <f>IF(OR($M1048="",$T1048=""),"",$T1048+(AC$2*$M1048))</f>
        <v/>
      </c>
      <c r="AD1048" s="48">
        <f>IF(OR($M1048="",$T1048=""),"",$T1048+(AD$2*$M1048))</f>
        <v/>
      </c>
      <c r="AE1048" s="49">
        <f>IF(OR($M1048="",$T1048=""),"",$T1048+(AE$2*$M1048))</f>
        <v/>
      </c>
      <c r="AF1048" s="52">
        <f>IF(OR(T1048="",I1048&lt;T1048),"",IFERROR(AVERAGE(T1048+M1048*{7,8,9,10,11})/IF(G1048="",I1048,G1048)-1,""))</f>
        <v/>
      </c>
      <c r="AG1048" s="55">
        <f>IF(OR(T1048="",I1048&lt;T1048),"",IFERROR(AF1048/-(R1048/IF(G1048="",I1048,G1048)-1),""))</f>
        <v/>
      </c>
      <c r="AH1048" s="94" t="n"/>
      <c r="AI1048" s="94" t="n"/>
      <c r="AJ1048" s="94" t="n"/>
      <c r="AK1048" s="94" t="n"/>
      <c r="AL1048" s="84" t="n"/>
    </row>
    <row r="1049">
      <c r="A1049" s="64" t="n"/>
      <c r="B1049" s="65" t="n"/>
      <c r="C1049" s="66" t="n"/>
      <c r="D1049" s="67" t="n"/>
      <c r="E1049" s="68" t="n"/>
      <c r="F1049" s="47">
        <f>IF(A1049="","",IF(MIN(H1049,MAX(J1049:K1049))=0,"",MIN(H1049,MAX(J1049:K1049))))</f>
        <v/>
      </c>
      <c r="G1049" s="74" t="n"/>
      <c r="H1049" s="49">
        <f>IF(M1049="","",IFERROR(ROUND(AVERAGE(T1049+M1049*{7,8,9,10,11})/1.21,4),""))</f>
        <v/>
      </c>
      <c r="I1049" s="76" t="n"/>
      <c r="J1049" s="77" t="n"/>
      <c r="K1049" s="74" t="n"/>
      <c r="L1049" s="78" t="n"/>
      <c r="M1049" s="77" t="n"/>
      <c r="N1049" s="53">
        <f>IF(M1049="","",IFERROR(M1049/I1049,""))</f>
        <v/>
      </c>
      <c r="O1049" s="50">
        <f>IF(A1049="","",IFERROR((IF(G1049="",I1049,G1049)-T1049)/M1049,""))</f>
        <v/>
      </c>
      <c r="P1049" s="50">
        <f>IFERROR((I1049/T1049-1)/N1049,"")</f>
        <v/>
      </c>
      <c r="Q1049" s="46">
        <f>IF(OR(T1049="",I1049&lt;T1049),"",IFERROR(R1049/IF(G1049="",I1049,G1049)-1,""))</f>
        <v/>
      </c>
      <c r="R1049" s="48">
        <f>IF($M1049="","",MAX(IF($G1049="",$I1049,$G1049)*(1/1.1),IF($G1049="",$I1049,$G1049)+(R$2*$M1049)))</f>
        <v/>
      </c>
      <c r="S1049" s="49">
        <f>IF($M1049="","",MAX(IF($G1049="",$I1049,$G1049)*(1/1.1),IF($G1049="",$I1049,$G1049)+(S$2*$M1049)))</f>
        <v/>
      </c>
      <c r="T1049" s="82" t="n"/>
      <c r="U1049" s="47">
        <f>IF(OR($M1049="",$T1049=""),"",$T1049+(U$2*$M1049))</f>
        <v/>
      </c>
      <c r="V1049" s="48">
        <f>IF(OR($M1049="",$T1049=""),"",$T1049+(V$2*$M1049))</f>
        <v/>
      </c>
      <c r="W1049" s="48">
        <f>IF(OR($M1049="",$T1049=""),"",$T1049+(W$2*$M1049))</f>
        <v/>
      </c>
      <c r="X1049" s="49">
        <f>IF(OR($M1049="",$T1049=""),"",$T1049+(X$2*$M1049))</f>
        <v/>
      </c>
      <c r="Y1049" s="47">
        <f>IF(OR($M1049="",$T1049=""),"",$T1049+(Y$2*$M1049))</f>
        <v/>
      </c>
      <c r="Z1049" s="49">
        <f>IF(OR($M1049="",$T1049=""),"",$T1049+(Z$2*$M1049))</f>
        <v/>
      </c>
      <c r="AA1049" s="51">
        <f>IF(OR($M1049="",$T1049=""),"",$T1049+(AA$2*$M1049))</f>
        <v/>
      </c>
      <c r="AB1049" s="48">
        <f>IF(OR($M1049="",$T1049=""),"",$T1049+(AB$2*$M1049))</f>
        <v/>
      </c>
      <c r="AC1049" s="48">
        <f>IF(OR($M1049="",$T1049=""),"",$T1049+(AC$2*$M1049))</f>
        <v/>
      </c>
      <c r="AD1049" s="48">
        <f>IF(OR($M1049="",$T1049=""),"",$T1049+(AD$2*$M1049))</f>
        <v/>
      </c>
      <c r="AE1049" s="49">
        <f>IF(OR($M1049="",$T1049=""),"",$T1049+(AE$2*$M1049))</f>
        <v/>
      </c>
      <c r="AF1049" s="52">
        <f>IF(OR(T1049="",I1049&lt;T1049),"",IFERROR(AVERAGE(T1049+M1049*{7,8,9,10,11})/IF(G1049="",I1049,G1049)-1,""))</f>
        <v/>
      </c>
      <c r="AG1049" s="55">
        <f>IF(OR(T1049="",I1049&lt;T1049),"",IFERROR(AF1049/-(R1049/IF(G1049="",I1049,G1049)-1),""))</f>
        <v/>
      </c>
      <c r="AH1049" s="94" t="n"/>
      <c r="AI1049" s="94" t="n"/>
      <c r="AJ1049" s="94" t="n"/>
      <c r="AK1049" s="94" t="n"/>
      <c r="AL1049" s="84" t="n"/>
    </row>
    <row r="1050">
      <c r="A1050" s="64" t="n"/>
      <c r="B1050" s="65" t="n"/>
      <c r="C1050" s="66" t="n"/>
      <c r="D1050" s="67" t="n"/>
      <c r="E1050" s="68" t="n"/>
      <c r="F1050" s="47">
        <f>IF(A1050="","",IF(MIN(H1050,MAX(J1050:K1050))=0,"",MIN(H1050,MAX(J1050:K1050))))</f>
        <v/>
      </c>
      <c r="G1050" s="74" t="n"/>
      <c r="H1050" s="49">
        <f>IF(M1050="","",IFERROR(ROUND(AVERAGE(T1050+M1050*{7,8,9,10,11})/1.21,4),""))</f>
        <v/>
      </c>
      <c r="I1050" s="76" t="n"/>
      <c r="J1050" s="77" t="n"/>
      <c r="K1050" s="74" t="n"/>
      <c r="L1050" s="78" t="n"/>
      <c r="M1050" s="77" t="n"/>
      <c r="N1050" s="53">
        <f>IF(M1050="","",IFERROR(M1050/I1050,""))</f>
        <v/>
      </c>
      <c r="O1050" s="50">
        <f>IF(A1050="","",IFERROR((IF(G1050="",I1050,G1050)-T1050)/M1050,""))</f>
        <v/>
      </c>
      <c r="P1050" s="50">
        <f>IFERROR((I1050/T1050-1)/N1050,"")</f>
        <v/>
      </c>
      <c r="Q1050" s="46">
        <f>IF(OR(T1050="",I1050&lt;T1050),"",IFERROR(R1050/IF(G1050="",I1050,G1050)-1,""))</f>
        <v/>
      </c>
      <c r="R1050" s="48">
        <f>IF($M1050="","",MAX(IF($G1050="",$I1050,$G1050)*(1/1.1),IF($G1050="",$I1050,$G1050)+(R$2*$M1050)))</f>
        <v/>
      </c>
      <c r="S1050" s="49">
        <f>IF($M1050="","",MAX(IF($G1050="",$I1050,$G1050)*(1/1.1),IF($G1050="",$I1050,$G1050)+(S$2*$M1050)))</f>
        <v/>
      </c>
      <c r="T1050" s="82" t="n"/>
      <c r="U1050" s="47">
        <f>IF(OR($M1050="",$T1050=""),"",$T1050+(U$2*$M1050))</f>
        <v/>
      </c>
      <c r="V1050" s="48">
        <f>IF(OR($M1050="",$T1050=""),"",$T1050+(V$2*$M1050))</f>
        <v/>
      </c>
      <c r="W1050" s="48">
        <f>IF(OR($M1050="",$T1050=""),"",$T1050+(W$2*$M1050))</f>
        <v/>
      </c>
      <c r="X1050" s="49">
        <f>IF(OR($M1050="",$T1050=""),"",$T1050+(X$2*$M1050))</f>
        <v/>
      </c>
      <c r="Y1050" s="47">
        <f>IF(OR($M1050="",$T1050=""),"",$T1050+(Y$2*$M1050))</f>
        <v/>
      </c>
      <c r="Z1050" s="49">
        <f>IF(OR($M1050="",$T1050=""),"",$T1050+(Z$2*$M1050))</f>
        <v/>
      </c>
      <c r="AA1050" s="51">
        <f>IF(OR($M1050="",$T1050=""),"",$T1050+(AA$2*$M1050))</f>
        <v/>
      </c>
      <c r="AB1050" s="48">
        <f>IF(OR($M1050="",$T1050=""),"",$T1050+(AB$2*$M1050))</f>
        <v/>
      </c>
      <c r="AC1050" s="48">
        <f>IF(OR($M1050="",$T1050=""),"",$T1050+(AC$2*$M1050))</f>
        <v/>
      </c>
      <c r="AD1050" s="48">
        <f>IF(OR($M1050="",$T1050=""),"",$T1050+(AD$2*$M1050))</f>
        <v/>
      </c>
      <c r="AE1050" s="49">
        <f>IF(OR($M1050="",$T1050=""),"",$T1050+(AE$2*$M1050))</f>
        <v/>
      </c>
      <c r="AF1050" s="52">
        <f>IF(OR(T1050="",I1050&lt;T1050),"",IFERROR(AVERAGE(T1050+M1050*{7,8,9,10,11})/IF(G1050="",I1050,G1050)-1,""))</f>
        <v/>
      </c>
      <c r="AG1050" s="55">
        <f>IF(OR(T1050="",I1050&lt;T1050),"",IFERROR(AF1050/-(R1050/IF(G1050="",I1050,G1050)-1),""))</f>
        <v/>
      </c>
      <c r="AH1050" s="94" t="n"/>
      <c r="AI1050" s="94" t="n"/>
      <c r="AJ1050" s="94" t="n"/>
      <c r="AK1050" s="94" t="n"/>
      <c r="AL1050" s="84" t="n"/>
    </row>
    <row r="1051">
      <c r="A1051" s="64" t="n"/>
      <c r="B1051" s="65" t="n"/>
      <c r="C1051" s="66" t="n"/>
      <c r="D1051" s="67" t="n"/>
      <c r="E1051" s="68" t="n"/>
      <c r="F1051" s="47">
        <f>IF(A1051="","",IF(MIN(H1051,MAX(J1051:K1051))=0,"",MIN(H1051,MAX(J1051:K1051))))</f>
        <v/>
      </c>
      <c r="G1051" s="74" t="n"/>
      <c r="H1051" s="49">
        <f>IF(M1051="","",IFERROR(ROUND(AVERAGE(T1051+M1051*{7,8,9,10,11})/1.21,4),""))</f>
        <v/>
      </c>
      <c r="I1051" s="76" t="n"/>
      <c r="J1051" s="77" t="n"/>
      <c r="K1051" s="74" t="n"/>
      <c r="L1051" s="78" t="n"/>
      <c r="M1051" s="77" t="n"/>
      <c r="N1051" s="53">
        <f>IF(M1051="","",IFERROR(M1051/I1051,""))</f>
        <v/>
      </c>
      <c r="O1051" s="50">
        <f>IF(A1051="","",IFERROR((IF(G1051="",I1051,G1051)-T1051)/M1051,""))</f>
        <v/>
      </c>
      <c r="P1051" s="50">
        <f>IFERROR((I1051/T1051-1)/N1051,"")</f>
        <v/>
      </c>
      <c r="Q1051" s="46">
        <f>IF(OR(T1051="",I1051&lt;T1051),"",IFERROR(R1051/IF(G1051="",I1051,G1051)-1,""))</f>
        <v/>
      </c>
      <c r="R1051" s="48">
        <f>IF($M1051="","",MAX(IF($G1051="",$I1051,$G1051)*(1/1.1),IF($G1051="",$I1051,$G1051)+(R$2*$M1051)))</f>
        <v/>
      </c>
      <c r="S1051" s="49">
        <f>IF($M1051="","",MAX(IF($G1051="",$I1051,$G1051)*(1/1.1),IF($G1051="",$I1051,$G1051)+(S$2*$M1051)))</f>
        <v/>
      </c>
      <c r="T1051" s="82" t="n"/>
      <c r="U1051" s="47">
        <f>IF(OR($M1051="",$T1051=""),"",$T1051+(U$2*$M1051))</f>
        <v/>
      </c>
      <c r="V1051" s="48">
        <f>IF(OR($M1051="",$T1051=""),"",$T1051+(V$2*$M1051))</f>
        <v/>
      </c>
      <c r="W1051" s="48">
        <f>IF(OR($M1051="",$T1051=""),"",$T1051+(W$2*$M1051))</f>
        <v/>
      </c>
      <c r="X1051" s="49">
        <f>IF(OR($M1051="",$T1051=""),"",$T1051+(X$2*$M1051))</f>
        <v/>
      </c>
      <c r="Y1051" s="47">
        <f>IF(OR($M1051="",$T1051=""),"",$T1051+(Y$2*$M1051))</f>
        <v/>
      </c>
      <c r="Z1051" s="49">
        <f>IF(OR($M1051="",$T1051=""),"",$T1051+(Z$2*$M1051))</f>
        <v/>
      </c>
      <c r="AA1051" s="51">
        <f>IF(OR($M1051="",$T1051=""),"",$T1051+(AA$2*$M1051))</f>
        <v/>
      </c>
      <c r="AB1051" s="48">
        <f>IF(OR($M1051="",$T1051=""),"",$T1051+(AB$2*$M1051))</f>
        <v/>
      </c>
      <c r="AC1051" s="48">
        <f>IF(OR($M1051="",$T1051=""),"",$T1051+(AC$2*$M1051))</f>
        <v/>
      </c>
      <c r="AD1051" s="48">
        <f>IF(OR($M1051="",$T1051=""),"",$T1051+(AD$2*$M1051))</f>
        <v/>
      </c>
      <c r="AE1051" s="49">
        <f>IF(OR($M1051="",$T1051=""),"",$T1051+(AE$2*$M1051))</f>
        <v/>
      </c>
      <c r="AF1051" s="52">
        <f>IF(OR(T1051="",I1051&lt;T1051),"",IFERROR(AVERAGE(T1051+M1051*{7,8,9,10,11})/IF(G1051="",I1051,G1051)-1,""))</f>
        <v/>
      </c>
      <c r="AG1051" s="55">
        <f>IF(OR(T1051="",I1051&lt;T1051),"",IFERROR(AF1051/-(R1051/IF(G1051="",I1051,G1051)-1),""))</f>
        <v/>
      </c>
      <c r="AH1051" s="94" t="n"/>
      <c r="AI1051" s="94" t="n"/>
      <c r="AJ1051" s="94" t="n"/>
      <c r="AK1051" s="94" t="n"/>
      <c r="AL1051" s="84" t="n"/>
    </row>
    <row r="1052">
      <c r="A1052" s="64" t="n"/>
      <c r="B1052" s="65" t="n"/>
      <c r="C1052" s="66" t="n"/>
      <c r="D1052" s="67" t="n"/>
      <c r="E1052" s="68" t="n"/>
      <c r="F1052" s="47">
        <f>IF(A1052="","",IF(MIN(H1052,MAX(J1052:K1052))=0,"",MIN(H1052,MAX(J1052:K1052))))</f>
        <v/>
      </c>
      <c r="G1052" s="74" t="n"/>
      <c r="H1052" s="49">
        <f>IF(M1052="","",IFERROR(ROUND(AVERAGE(T1052+M1052*{7,8,9,10,11})/1.21,4),""))</f>
        <v/>
      </c>
      <c r="I1052" s="76" t="n"/>
      <c r="J1052" s="77" t="n"/>
      <c r="K1052" s="74" t="n"/>
      <c r="L1052" s="78" t="n"/>
      <c r="M1052" s="77" t="n"/>
      <c r="N1052" s="53">
        <f>IF(M1052="","",IFERROR(M1052/I1052,""))</f>
        <v/>
      </c>
      <c r="O1052" s="50">
        <f>IF(A1052="","",IFERROR((IF(G1052="",I1052,G1052)-T1052)/M1052,""))</f>
        <v/>
      </c>
      <c r="P1052" s="50">
        <f>IFERROR((I1052/T1052-1)/N1052,"")</f>
        <v/>
      </c>
      <c r="Q1052" s="46">
        <f>IF(OR(T1052="",I1052&lt;T1052),"",IFERROR(R1052/IF(G1052="",I1052,G1052)-1,""))</f>
        <v/>
      </c>
      <c r="R1052" s="48">
        <f>IF($M1052="","",MAX(IF($G1052="",$I1052,$G1052)*(1/1.1),IF($G1052="",$I1052,$G1052)+(R$2*$M1052)))</f>
        <v/>
      </c>
      <c r="S1052" s="49">
        <f>IF($M1052="","",MAX(IF($G1052="",$I1052,$G1052)*(1/1.1),IF($G1052="",$I1052,$G1052)+(S$2*$M1052)))</f>
        <v/>
      </c>
      <c r="T1052" s="82" t="n"/>
      <c r="U1052" s="47">
        <f>IF(OR($M1052="",$T1052=""),"",$T1052+(U$2*$M1052))</f>
        <v/>
      </c>
      <c r="V1052" s="48">
        <f>IF(OR($M1052="",$T1052=""),"",$T1052+(V$2*$M1052))</f>
        <v/>
      </c>
      <c r="W1052" s="48">
        <f>IF(OR($M1052="",$T1052=""),"",$T1052+(W$2*$M1052))</f>
        <v/>
      </c>
      <c r="X1052" s="49">
        <f>IF(OR($M1052="",$T1052=""),"",$T1052+(X$2*$M1052))</f>
        <v/>
      </c>
      <c r="Y1052" s="47">
        <f>IF(OR($M1052="",$T1052=""),"",$T1052+(Y$2*$M1052))</f>
        <v/>
      </c>
      <c r="Z1052" s="49">
        <f>IF(OR($M1052="",$T1052=""),"",$T1052+(Z$2*$M1052))</f>
        <v/>
      </c>
      <c r="AA1052" s="51">
        <f>IF(OR($M1052="",$T1052=""),"",$T1052+(AA$2*$M1052))</f>
        <v/>
      </c>
      <c r="AB1052" s="48">
        <f>IF(OR($M1052="",$T1052=""),"",$T1052+(AB$2*$M1052))</f>
        <v/>
      </c>
      <c r="AC1052" s="48">
        <f>IF(OR($M1052="",$T1052=""),"",$T1052+(AC$2*$M1052))</f>
        <v/>
      </c>
      <c r="AD1052" s="48">
        <f>IF(OR($M1052="",$T1052=""),"",$T1052+(AD$2*$M1052))</f>
        <v/>
      </c>
      <c r="AE1052" s="49">
        <f>IF(OR($M1052="",$T1052=""),"",$T1052+(AE$2*$M1052))</f>
        <v/>
      </c>
      <c r="AF1052" s="52">
        <f>IF(OR(T1052="",I1052&lt;T1052),"",IFERROR(AVERAGE(T1052+M1052*{7,8,9,10,11})/IF(G1052="",I1052,G1052)-1,""))</f>
        <v/>
      </c>
      <c r="AG1052" s="55">
        <f>IF(OR(T1052="",I1052&lt;T1052),"",IFERROR(AF1052/-(R1052/IF(G1052="",I1052,G1052)-1),""))</f>
        <v/>
      </c>
      <c r="AH1052" s="94" t="n"/>
      <c r="AI1052" s="94" t="n"/>
      <c r="AJ1052" s="94" t="n"/>
      <c r="AK1052" s="94" t="n"/>
      <c r="AL1052" s="84" t="n"/>
    </row>
    <row r="1053">
      <c r="A1053" s="64" t="n"/>
      <c r="B1053" s="65" t="n"/>
      <c r="C1053" s="66" t="n"/>
      <c r="D1053" s="67" t="n"/>
      <c r="E1053" s="68" t="n"/>
      <c r="F1053" s="47">
        <f>IF(A1053="","",IF(MIN(H1053,MAX(J1053:K1053))=0,"",MIN(H1053,MAX(J1053:K1053))))</f>
        <v/>
      </c>
      <c r="G1053" s="74" t="n"/>
      <c r="H1053" s="49">
        <f>IF(M1053="","",IFERROR(ROUND(AVERAGE(T1053+M1053*{7,8,9,10,11})/1.21,4),""))</f>
        <v/>
      </c>
      <c r="I1053" s="76" t="n"/>
      <c r="J1053" s="77" t="n"/>
      <c r="K1053" s="74" t="n"/>
      <c r="L1053" s="78" t="n"/>
      <c r="M1053" s="77" t="n"/>
      <c r="N1053" s="53">
        <f>IF(M1053="","",IFERROR(M1053/I1053,""))</f>
        <v/>
      </c>
      <c r="O1053" s="50">
        <f>IF(A1053="","",IFERROR((IF(G1053="",I1053,G1053)-T1053)/M1053,""))</f>
        <v/>
      </c>
      <c r="P1053" s="50">
        <f>IFERROR((I1053/T1053-1)/N1053,"")</f>
        <v/>
      </c>
      <c r="Q1053" s="46">
        <f>IF(OR(T1053="",I1053&lt;T1053),"",IFERROR(R1053/IF(G1053="",I1053,G1053)-1,""))</f>
        <v/>
      </c>
      <c r="R1053" s="48">
        <f>IF($M1053="","",MAX(IF($G1053="",$I1053,$G1053)*(1/1.1),IF($G1053="",$I1053,$G1053)+(R$2*$M1053)))</f>
        <v/>
      </c>
      <c r="S1053" s="49">
        <f>IF($M1053="","",MAX(IF($G1053="",$I1053,$G1053)*(1/1.1),IF($G1053="",$I1053,$G1053)+(S$2*$M1053)))</f>
        <v/>
      </c>
      <c r="T1053" s="82" t="n"/>
      <c r="U1053" s="47">
        <f>IF(OR($M1053="",$T1053=""),"",$T1053+(U$2*$M1053))</f>
        <v/>
      </c>
      <c r="V1053" s="48">
        <f>IF(OR($M1053="",$T1053=""),"",$T1053+(V$2*$M1053))</f>
        <v/>
      </c>
      <c r="W1053" s="48">
        <f>IF(OR($M1053="",$T1053=""),"",$T1053+(W$2*$M1053))</f>
        <v/>
      </c>
      <c r="X1053" s="49">
        <f>IF(OR($M1053="",$T1053=""),"",$T1053+(X$2*$M1053))</f>
        <v/>
      </c>
      <c r="Y1053" s="47">
        <f>IF(OR($M1053="",$T1053=""),"",$T1053+(Y$2*$M1053))</f>
        <v/>
      </c>
      <c r="Z1053" s="49">
        <f>IF(OR($M1053="",$T1053=""),"",$T1053+(Z$2*$M1053))</f>
        <v/>
      </c>
      <c r="AA1053" s="51">
        <f>IF(OR($M1053="",$T1053=""),"",$T1053+(AA$2*$M1053))</f>
        <v/>
      </c>
      <c r="AB1053" s="48">
        <f>IF(OR($M1053="",$T1053=""),"",$T1053+(AB$2*$M1053))</f>
        <v/>
      </c>
      <c r="AC1053" s="48">
        <f>IF(OR($M1053="",$T1053=""),"",$T1053+(AC$2*$M1053))</f>
        <v/>
      </c>
      <c r="AD1053" s="48">
        <f>IF(OR($M1053="",$T1053=""),"",$T1053+(AD$2*$M1053))</f>
        <v/>
      </c>
      <c r="AE1053" s="49">
        <f>IF(OR($M1053="",$T1053=""),"",$T1053+(AE$2*$M1053))</f>
        <v/>
      </c>
      <c r="AF1053" s="52">
        <f>IF(OR(T1053="",I1053&lt;T1053),"",IFERROR(AVERAGE(T1053+M1053*{7,8,9,10,11})/IF(G1053="",I1053,G1053)-1,""))</f>
        <v/>
      </c>
      <c r="AG1053" s="55">
        <f>IF(OR(T1053="",I1053&lt;T1053),"",IFERROR(AF1053/-(R1053/IF(G1053="",I1053,G1053)-1),""))</f>
        <v/>
      </c>
      <c r="AH1053" s="94" t="n"/>
      <c r="AI1053" s="94" t="n"/>
      <c r="AJ1053" s="94" t="n"/>
      <c r="AK1053" s="94" t="n"/>
      <c r="AL1053" s="84" t="n"/>
    </row>
    <row r="1054">
      <c r="A1054" s="64" t="n"/>
      <c r="B1054" s="65" t="n"/>
      <c r="C1054" s="66" t="n"/>
      <c r="D1054" s="67" t="n"/>
      <c r="E1054" s="68" t="n"/>
      <c r="F1054" s="47">
        <f>IF(A1054="","",IF(MIN(H1054,MAX(J1054:K1054))=0,"",MIN(H1054,MAX(J1054:K1054))))</f>
        <v/>
      </c>
      <c r="G1054" s="74" t="n"/>
      <c r="H1054" s="49">
        <f>IF(M1054="","",IFERROR(ROUND(AVERAGE(T1054+M1054*{7,8,9,10,11})/1.21,4),""))</f>
        <v/>
      </c>
      <c r="I1054" s="76" t="n"/>
      <c r="J1054" s="77" t="n"/>
      <c r="K1054" s="74" t="n"/>
      <c r="L1054" s="78" t="n"/>
      <c r="M1054" s="77" t="n"/>
      <c r="N1054" s="53">
        <f>IF(M1054="","",IFERROR(M1054/I1054,""))</f>
        <v/>
      </c>
      <c r="O1054" s="50">
        <f>IF(A1054="","",IFERROR((IF(G1054="",I1054,G1054)-T1054)/M1054,""))</f>
        <v/>
      </c>
      <c r="P1054" s="50">
        <f>IFERROR((I1054/T1054-1)/N1054,"")</f>
        <v/>
      </c>
      <c r="Q1054" s="46">
        <f>IF(OR(T1054="",I1054&lt;T1054),"",IFERROR(R1054/IF(G1054="",I1054,G1054)-1,""))</f>
        <v/>
      </c>
      <c r="R1054" s="48">
        <f>IF($M1054="","",MAX(IF($G1054="",$I1054,$G1054)*(1/1.1),IF($G1054="",$I1054,$G1054)+(R$2*$M1054)))</f>
        <v/>
      </c>
      <c r="S1054" s="49">
        <f>IF($M1054="","",MAX(IF($G1054="",$I1054,$G1054)*(1/1.1),IF($G1054="",$I1054,$G1054)+(S$2*$M1054)))</f>
        <v/>
      </c>
      <c r="T1054" s="82" t="n"/>
      <c r="U1054" s="47">
        <f>IF(OR($M1054="",$T1054=""),"",$T1054+(U$2*$M1054))</f>
        <v/>
      </c>
      <c r="V1054" s="48">
        <f>IF(OR($M1054="",$T1054=""),"",$T1054+(V$2*$M1054))</f>
        <v/>
      </c>
      <c r="W1054" s="48">
        <f>IF(OR($M1054="",$T1054=""),"",$T1054+(W$2*$M1054))</f>
        <v/>
      </c>
      <c r="X1054" s="49">
        <f>IF(OR($M1054="",$T1054=""),"",$T1054+(X$2*$M1054))</f>
        <v/>
      </c>
      <c r="Y1054" s="47">
        <f>IF(OR($M1054="",$T1054=""),"",$T1054+(Y$2*$M1054))</f>
        <v/>
      </c>
      <c r="Z1054" s="49">
        <f>IF(OR($M1054="",$T1054=""),"",$T1054+(Z$2*$M1054))</f>
        <v/>
      </c>
      <c r="AA1054" s="51">
        <f>IF(OR($M1054="",$T1054=""),"",$T1054+(AA$2*$M1054))</f>
        <v/>
      </c>
      <c r="AB1054" s="48">
        <f>IF(OR($M1054="",$T1054=""),"",$T1054+(AB$2*$M1054))</f>
        <v/>
      </c>
      <c r="AC1054" s="48">
        <f>IF(OR($M1054="",$T1054=""),"",$T1054+(AC$2*$M1054))</f>
        <v/>
      </c>
      <c r="AD1054" s="48">
        <f>IF(OR($M1054="",$T1054=""),"",$T1054+(AD$2*$M1054))</f>
        <v/>
      </c>
      <c r="AE1054" s="49">
        <f>IF(OR($M1054="",$T1054=""),"",$T1054+(AE$2*$M1054))</f>
        <v/>
      </c>
      <c r="AF1054" s="52">
        <f>IF(OR(T1054="",I1054&lt;T1054),"",IFERROR(AVERAGE(T1054+M1054*{7,8,9,10,11})/IF(G1054="",I1054,G1054)-1,""))</f>
        <v/>
      </c>
      <c r="AG1054" s="55">
        <f>IF(OR(T1054="",I1054&lt;T1054),"",IFERROR(AF1054/-(R1054/IF(G1054="",I1054,G1054)-1),""))</f>
        <v/>
      </c>
      <c r="AH1054" s="94" t="n"/>
      <c r="AI1054" s="94" t="n"/>
      <c r="AJ1054" s="94" t="n"/>
      <c r="AK1054" s="94" t="n"/>
      <c r="AL1054" s="84" t="n"/>
    </row>
    <row r="1055">
      <c r="A1055" s="64" t="n"/>
      <c r="B1055" s="65" t="n"/>
      <c r="C1055" s="66" t="n"/>
      <c r="D1055" s="67" t="n"/>
      <c r="E1055" s="68" t="n"/>
      <c r="F1055" s="47">
        <f>IF(A1055="","",IF(MIN(H1055,MAX(J1055:K1055))=0,"",MIN(H1055,MAX(J1055:K1055))))</f>
        <v/>
      </c>
      <c r="G1055" s="74" t="n"/>
      <c r="H1055" s="49">
        <f>IF(M1055="","",IFERROR(ROUND(AVERAGE(T1055+M1055*{7,8,9,10,11})/1.21,4),""))</f>
        <v/>
      </c>
      <c r="I1055" s="76" t="n"/>
      <c r="J1055" s="77" t="n"/>
      <c r="K1055" s="74" t="n"/>
      <c r="L1055" s="78" t="n"/>
      <c r="M1055" s="77" t="n"/>
      <c r="N1055" s="53">
        <f>IF(M1055="","",IFERROR(M1055/I1055,""))</f>
        <v/>
      </c>
      <c r="O1055" s="50">
        <f>IF(A1055="","",IFERROR((IF(G1055="",I1055,G1055)-T1055)/M1055,""))</f>
        <v/>
      </c>
      <c r="P1055" s="50">
        <f>IFERROR((I1055/T1055-1)/N1055,"")</f>
        <v/>
      </c>
      <c r="Q1055" s="46">
        <f>IF(OR(T1055="",I1055&lt;T1055),"",IFERROR(R1055/IF(G1055="",I1055,G1055)-1,""))</f>
        <v/>
      </c>
      <c r="R1055" s="48">
        <f>IF($M1055="","",MAX(IF($G1055="",$I1055,$G1055)*(1/1.1),IF($G1055="",$I1055,$G1055)+(R$2*$M1055)))</f>
        <v/>
      </c>
      <c r="S1055" s="49">
        <f>IF($M1055="","",MAX(IF($G1055="",$I1055,$G1055)*(1/1.1),IF($G1055="",$I1055,$G1055)+(S$2*$M1055)))</f>
        <v/>
      </c>
      <c r="T1055" s="82" t="n"/>
      <c r="U1055" s="47">
        <f>IF(OR($M1055="",$T1055=""),"",$T1055+(U$2*$M1055))</f>
        <v/>
      </c>
      <c r="V1055" s="48">
        <f>IF(OR($M1055="",$T1055=""),"",$T1055+(V$2*$M1055))</f>
        <v/>
      </c>
      <c r="W1055" s="48">
        <f>IF(OR($M1055="",$T1055=""),"",$T1055+(W$2*$M1055))</f>
        <v/>
      </c>
      <c r="X1055" s="49">
        <f>IF(OR($M1055="",$T1055=""),"",$T1055+(X$2*$M1055))</f>
        <v/>
      </c>
      <c r="Y1055" s="47">
        <f>IF(OR($M1055="",$T1055=""),"",$T1055+(Y$2*$M1055))</f>
        <v/>
      </c>
      <c r="Z1055" s="49">
        <f>IF(OR($M1055="",$T1055=""),"",$T1055+(Z$2*$M1055))</f>
        <v/>
      </c>
      <c r="AA1055" s="51">
        <f>IF(OR($M1055="",$T1055=""),"",$T1055+(AA$2*$M1055))</f>
        <v/>
      </c>
      <c r="AB1055" s="48">
        <f>IF(OR($M1055="",$T1055=""),"",$T1055+(AB$2*$M1055))</f>
        <v/>
      </c>
      <c r="AC1055" s="48">
        <f>IF(OR($M1055="",$T1055=""),"",$T1055+(AC$2*$M1055))</f>
        <v/>
      </c>
      <c r="AD1055" s="48">
        <f>IF(OR($M1055="",$T1055=""),"",$T1055+(AD$2*$M1055))</f>
        <v/>
      </c>
      <c r="AE1055" s="49">
        <f>IF(OR($M1055="",$T1055=""),"",$T1055+(AE$2*$M1055))</f>
        <v/>
      </c>
      <c r="AF1055" s="52">
        <f>IF(OR(T1055="",I1055&lt;T1055),"",IFERROR(AVERAGE(T1055+M1055*{7,8,9,10,11})/IF(G1055="",I1055,G1055)-1,""))</f>
        <v/>
      </c>
      <c r="AG1055" s="55">
        <f>IF(OR(T1055="",I1055&lt;T1055),"",IFERROR(AF1055/-(R1055/IF(G1055="",I1055,G1055)-1),""))</f>
        <v/>
      </c>
      <c r="AH1055" s="94" t="n"/>
      <c r="AI1055" s="94" t="n"/>
      <c r="AJ1055" s="94" t="n"/>
      <c r="AK1055" s="94" t="n"/>
      <c r="AL1055" s="84" t="n"/>
    </row>
    <row r="1056">
      <c r="A1056" s="64" t="n"/>
      <c r="B1056" s="65" t="n"/>
      <c r="C1056" s="66" t="n"/>
      <c r="D1056" s="67" t="n"/>
      <c r="E1056" s="68" t="n"/>
      <c r="F1056" s="47">
        <f>IF(A1056="","",IF(MIN(H1056,MAX(J1056:K1056))=0,"",MIN(H1056,MAX(J1056:K1056))))</f>
        <v/>
      </c>
      <c r="G1056" s="74" t="n"/>
      <c r="H1056" s="49">
        <f>IF(M1056="","",IFERROR(ROUND(AVERAGE(T1056+M1056*{7,8,9,10,11})/1.21,4),""))</f>
        <v/>
      </c>
      <c r="I1056" s="76" t="n"/>
      <c r="J1056" s="77" t="n"/>
      <c r="K1056" s="74" t="n"/>
      <c r="L1056" s="78" t="n"/>
      <c r="M1056" s="77" t="n"/>
      <c r="N1056" s="53">
        <f>IF(M1056="","",IFERROR(M1056/I1056,""))</f>
        <v/>
      </c>
      <c r="O1056" s="50">
        <f>IF(A1056="","",IFERROR((IF(G1056="",I1056,G1056)-T1056)/M1056,""))</f>
        <v/>
      </c>
      <c r="P1056" s="50">
        <f>IFERROR((I1056/T1056-1)/N1056,"")</f>
        <v/>
      </c>
      <c r="Q1056" s="46">
        <f>IF(OR(T1056="",I1056&lt;T1056),"",IFERROR(R1056/IF(G1056="",I1056,G1056)-1,""))</f>
        <v/>
      </c>
      <c r="R1056" s="48">
        <f>IF($M1056="","",MAX(IF($G1056="",$I1056,$G1056)*(1/1.1),IF($G1056="",$I1056,$G1056)+(R$2*$M1056)))</f>
        <v/>
      </c>
      <c r="S1056" s="49">
        <f>IF($M1056="","",MAX(IF($G1056="",$I1056,$G1056)*(1/1.1),IF($G1056="",$I1056,$G1056)+(S$2*$M1056)))</f>
        <v/>
      </c>
      <c r="T1056" s="82" t="n"/>
      <c r="U1056" s="47">
        <f>IF(OR($M1056="",$T1056=""),"",$T1056+(U$2*$M1056))</f>
        <v/>
      </c>
      <c r="V1056" s="48">
        <f>IF(OR($M1056="",$T1056=""),"",$T1056+(V$2*$M1056))</f>
        <v/>
      </c>
      <c r="W1056" s="48">
        <f>IF(OR($M1056="",$T1056=""),"",$T1056+(W$2*$M1056))</f>
        <v/>
      </c>
      <c r="X1056" s="49">
        <f>IF(OR($M1056="",$T1056=""),"",$T1056+(X$2*$M1056))</f>
        <v/>
      </c>
      <c r="Y1056" s="47">
        <f>IF(OR($M1056="",$T1056=""),"",$T1056+(Y$2*$M1056))</f>
        <v/>
      </c>
      <c r="Z1056" s="49">
        <f>IF(OR($M1056="",$T1056=""),"",$T1056+(Z$2*$M1056))</f>
        <v/>
      </c>
      <c r="AA1056" s="51">
        <f>IF(OR($M1056="",$T1056=""),"",$T1056+(AA$2*$M1056))</f>
        <v/>
      </c>
      <c r="AB1056" s="48">
        <f>IF(OR($M1056="",$T1056=""),"",$T1056+(AB$2*$M1056))</f>
        <v/>
      </c>
      <c r="AC1056" s="48">
        <f>IF(OR($M1056="",$T1056=""),"",$T1056+(AC$2*$M1056))</f>
        <v/>
      </c>
      <c r="AD1056" s="48">
        <f>IF(OR($M1056="",$T1056=""),"",$T1056+(AD$2*$M1056))</f>
        <v/>
      </c>
      <c r="AE1056" s="49">
        <f>IF(OR($M1056="",$T1056=""),"",$T1056+(AE$2*$M1056))</f>
        <v/>
      </c>
      <c r="AF1056" s="52">
        <f>IF(OR(T1056="",I1056&lt;T1056),"",IFERROR(AVERAGE(T1056+M1056*{7,8,9,10,11})/IF(G1056="",I1056,G1056)-1,""))</f>
        <v/>
      </c>
      <c r="AG1056" s="55">
        <f>IF(OR(T1056="",I1056&lt;T1056),"",IFERROR(AF1056/-(R1056/IF(G1056="",I1056,G1056)-1),""))</f>
        <v/>
      </c>
      <c r="AH1056" s="94" t="n"/>
      <c r="AI1056" s="94" t="n"/>
      <c r="AJ1056" s="94" t="n"/>
      <c r="AK1056" s="94" t="n"/>
      <c r="AL1056" s="84" t="n"/>
    </row>
    <row r="1057">
      <c r="A1057" s="64" t="n"/>
      <c r="B1057" s="65" t="n"/>
      <c r="C1057" s="66" t="n"/>
      <c r="D1057" s="67" t="n"/>
      <c r="E1057" s="68" t="n"/>
      <c r="F1057" s="47">
        <f>IF(A1057="","",IF(MIN(H1057,MAX(J1057:K1057))=0,"",MIN(H1057,MAX(J1057:K1057))))</f>
        <v/>
      </c>
      <c r="G1057" s="74" t="n"/>
      <c r="H1057" s="49">
        <f>IF(M1057="","",IFERROR(ROUND(AVERAGE(T1057+M1057*{7,8,9,10,11})/1.21,4),""))</f>
        <v/>
      </c>
      <c r="I1057" s="76" t="n"/>
      <c r="J1057" s="77" t="n"/>
      <c r="K1057" s="74" t="n"/>
      <c r="L1057" s="78" t="n"/>
      <c r="M1057" s="77" t="n"/>
      <c r="N1057" s="53">
        <f>IF(M1057="","",IFERROR(M1057/I1057,""))</f>
        <v/>
      </c>
      <c r="O1057" s="50">
        <f>IF(A1057="","",IFERROR((IF(G1057="",I1057,G1057)-T1057)/M1057,""))</f>
        <v/>
      </c>
      <c r="P1057" s="50">
        <f>IFERROR((I1057/T1057-1)/N1057,"")</f>
        <v/>
      </c>
      <c r="Q1057" s="46">
        <f>IF(OR(T1057="",I1057&lt;T1057),"",IFERROR(R1057/IF(G1057="",I1057,G1057)-1,""))</f>
        <v/>
      </c>
      <c r="R1057" s="48">
        <f>IF($M1057="","",MAX(IF($G1057="",$I1057,$G1057)*(1/1.1),IF($G1057="",$I1057,$G1057)+(R$2*$M1057)))</f>
        <v/>
      </c>
      <c r="S1057" s="49">
        <f>IF($M1057="","",MAX(IF($G1057="",$I1057,$G1057)*(1/1.1),IF($G1057="",$I1057,$G1057)+(S$2*$M1057)))</f>
        <v/>
      </c>
      <c r="T1057" s="82" t="n"/>
      <c r="U1057" s="47">
        <f>IF(OR($M1057="",$T1057=""),"",$T1057+(U$2*$M1057))</f>
        <v/>
      </c>
      <c r="V1057" s="48">
        <f>IF(OR($M1057="",$T1057=""),"",$T1057+(V$2*$M1057))</f>
        <v/>
      </c>
      <c r="W1057" s="48">
        <f>IF(OR($M1057="",$T1057=""),"",$T1057+(W$2*$M1057))</f>
        <v/>
      </c>
      <c r="X1057" s="49">
        <f>IF(OR($M1057="",$T1057=""),"",$T1057+(X$2*$M1057))</f>
        <v/>
      </c>
      <c r="Y1057" s="47">
        <f>IF(OR($M1057="",$T1057=""),"",$T1057+(Y$2*$M1057))</f>
        <v/>
      </c>
      <c r="Z1057" s="49">
        <f>IF(OR($M1057="",$T1057=""),"",$T1057+(Z$2*$M1057))</f>
        <v/>
      </c>
      <c r="AA1057" s="51">
        <f>IF(OR($M1057="",$T1057=""),"",$T1057+(AA$2*$M1057))</f>
        <v/>
      </c>
      <c r="AB1057" s="48">
        <f>IF(OR($M1057="",$T1057=""),"",$T1057+(AB$2*$M1057))</f>
        <v/>
      </c>
      <c r="AC1057" s="48">
        <f>IF(OR($M1057="",$T1057=""),"",$T1057+(AC$2*$M1057))</f>
        <v/>
      </c>
      <c r="AD1057" s="48">
        <f>IF(OR($M1057="",$T1057=""),"",$T1057+(AD$2*$M1057))</f>
        <v/>
      </c>
      <c r="AE1057" s="49">
        <f>IF(OR($M1057="",$T1057=""),"",$T1057+(AE$2*$M1057))</f>
        <v/>
      </c>
      <c r="AF1057" s="52">
        <f>IF(OR(T1057="",I1057&lt;T1057),"",IFERROR(AVERAGE(T1057+M1057*{7,8,9,10,11})/IF(G1057="",I1057,G1057)-1,""))</f>
        <v/>
      </c>
      <c r="AG1057" s="55">
        <f>IF(OR(T1057="",I1057&lt;T1057),"",IFERROR(AF1057/-(R1057/IF(G1057="",I1057,G1057)-1),""))</f>
        <v/>
      </c>
      <c r="AH1057" s="94" t="n"/>
      <c r="AI1057" s="94" t="n"/>
      <c r="AJ1057" s="94" t="n"/>
      <c r="AK1057" s="94" t="n"/>
      <c r="AL1057" s="84" t="n"/>
    </row>
    <row r="1058">
      <c r="A1058" s="64" t="n"/>
      <c r="B1058" s="65" t="n"/>
      <c r="C1058" s="66" t="n"/>
      <c r="D1058" s="67" t="n"/>
      <c r="E1058" s="68" t="n"/>
      <c r="F1058" s="47">
        <f>IF(A1058="","",IF(MIN(H1058,MAX(J1058:K1058))=0,"",MIN(H1058,MAX(J1058:K1058))))</f>
        <v/>
      </c>
      <c r="G1058" s="74" t="n"/>
      <c r="H1058" s="49">
        <f>IF(M1058="","",IFERROR(ROUND(AVERAGE(T1058+M1058*{7,8,9,10,11})/1.21,4),""))</f>
        <v/>
      </c>
      <c r="I1058" s="76" t="n"/>
      <c r="J1058" s="77" t="n"/>
      <c r="K1058" s="74" t="n"/>
      <c r="L1058" s="78" t="n"/>
      <c r="M1058" s="77" t="n"/>
      <c r="N1058" s="53">
        <f>IF(M1058="","",IFERROR(M1058/I1058,""))</f>
        <v/>
      </c>
      <c r="O1058" s="50">
        <f>IF(A1058="","",IFERROR((IF(G1058="",I1058,G1058)-T1058)/M1058,""))</f>
        <v/>
      </c>
      <c r="P1058" s="50">
        <f>IFERROR((I1058/T1058-1)/N1058,"")</f>
        <v/>
      </c>
      <c r="Q1058" s="46">
        <f>IF(OR(T1058="",I1058&lt;T1058),"",IFERROR(R1058/IF(G1058="",I1058,G1058)-1,""))</f>
        <v/>
      </c>
      <c r="R1058" s="48">
        <f>IF($M1058="","",MAX(IF($G1058="",$I1058,$G1058)*(1/1.1),IF($G1058="",$I1058,$G1058)+(R$2*$M1058)))</f>
        <v/>
      </c>
      <c r="S1058" s="49">
        <f>IF($M1058="","",MAX(IF($G1058="",$I1058,$G1058)*(1/1.1),IF($G1058="",$I1058,$G1058)+(S$2*$M1058)))</f>
        <v/>
      </c>
      <c r="T1058" s="82" t="n"/>
      <c r="U1058" s="47">
        <f>IF(OR($M1058="",$T1058=""),"",$T1058+(U$2*$M1058))</f>
        <v/>
      </c>
      <c r="V1058" s="48">
        <f>IF(OR($M1058="",$T1058=""),"",$T1058+(V$2*$M1058))</f>
        <v/>
      </c>
      <c r="W1058" s="48">
        <f>IF(OR($M1058="",$T1058=""),"",$T1058+(W$2*$M1058))</f>
        <v/>
      </c>
      <c r="X1058" s="49">
        <f>IF(OR($M1058="",$T1058=""),"",$T1058+(X$2*$M1058))</f>
        <v/>
      </c>
      <c r="Y1058" s="47">
        <f>IF(OR($M1058="",$T1058=""),"",$T1058+(Y$2*$M1058))</f>
        <v/>
      </c>
      <c r="Z1058" s="49">
        <f>IF(OR($M1058="",$T1058=""),"",$T1058+(Z$2*$M1058))</f>
        <v/>
      </c>
      <c r="AA1058" s="51">
        <f>IF(OR($M1058="",$T1058=""),"",$T1058+(AA$2*$M1058))</f>
        <v/>
      </c>
      <c r="AB1058" s="48">
        <f>IF(OR($M1058="",$T1058=""),"",$T1058+(AB$2*$M1058))</f>
        <v/>
      </c>
      <c r="AC1058" s="48">
        <f>IF(OR($M1058="",$T1058=""),"",$T1058+(AC$2*$M1058))</f>
        <v/>
      </c>
      <c r="AD1058" s="48">
        <f>IF(OR($M1058="",$T1058=""),"",$T1058+(AD$2*$M1058))</f>
        <v/>
      </c>
      <c r="AE1058" s="49">
        <f>IF(OR($M1058="",$T1058=""),"",$T1058+(AE$2*$M1058))</f>
        <v/>
      </c>
      <c r="AF1058" s="52">
        <f>IF(OR(T1058="",I1058&lt;T1058),"",IFERROR(AVERAGE(T1058+M1058*{7,8,9,10,11})/IF(G1058="",I1058,G1058)-1,""))</f>
        <v/>
      </c>
      <c r="AG1058" s="55">
        <f>IF(OR(T1058="",I1058&lt;T1058),"",IFERROR(AF1058/-(R1058/IF(G1058="",I1058,G1058)-1),""))</f>
        <v/>
      </c>
      <c r="AH1058" s="94" t="n"/>
      <c r="AI1058" s="94" t="n"/>
      <c r="AJ1058" s="94" t="n"/>
      <c r="AK1058" s="94" t="n"/>
      <c r="AL1058" s="84" t="n"/>
    </row>
    <row r="1059">
      <c r="A1059" s="64" t="n"/>
      <c r="B1059" s="65" t="n"/>
      <c r="C1059" s="66" t="n"/>
      <c r="D1059" s="67" t="n"/>
      <c r="E1059" s="68" t="n"/>
      <c r="F1059" s="47">
        <f>IF(A1059="","",IF(MIN(H1059,MAX(J1059:K1059))=0,"",MIN(H1059,MAX(J1059:K1059))))</f>
        <v/>
      </c>
      <c r="G1059" s="74" t="n"/>
      <c r="H1059" s="49">
        <f>IF(M1059="","",IFERROR(ROUND(AVERAGE(T1059+M1059*{7,8,9,10,11})/1.21,4),""))</f>
        <v/>
      </c>
      <c r="I1059" s="76" t="n"/>
      <c r="J1059" s="77" t="n"/>
      <c r="K1059" s="74" t="n"/>
      <c r="L1059" s="78" t="n"/>
      <c r="M1059" s="77" t="n"/>
      <c r="N1059" s="53">
        <f>IF(M1059="","",IFERROR(M1059/I1059,""))</f>
        <v/>
      </c>
      <c r="O1059" s="50">
        <f>IF(A1059="","",IFERROR((IF(G1059="",I1059,G1059)-T1059)/M1059,""))</f>
        <v/>
      </c>
      <c r="P1059" s="50">
        <f>IFERROR((I1059/T1059-1)/N1059,"")</f>
        <v/>
      </c>
      <c r="Q1059" s="46">
        <f>IF(OR(T1059="",I1059&lt;T1059),"",IFERROR(R1059/IF(G1059="",I1059,G1059)-1,""))</f>
        <v/>
      </c>
      <c r="R1059" s="48">
        <f>IF($M1059="","",MAX(IF($G1059="",$I1059,$G1059)*(1/1.1),IF($G1059="",$I1059,$G1059)+(R$2*$M1059)))</f>
        <v/>
      </c>
      <c r="S1059" s="49">
        <f>IF($M1059="","",MAX(IF($G1059="",$I1059,$G1059)*(1/1.1),IF($G1059="",$I1059,$G1059)+(S$2*$M1059)))</f>
        <v/>
      </c>
      <c r="T1059" s="82" t="n"/>
      <c r="U1059" s="47">
        <f>IF(OR($M1059="",$T1059=""),"",$T1059+(U$2*$M1059))</f>
        <v/>
      </c>
      <c r="V1059" s="48">
        <f>IF(OR($M1059="",$T1059=""),"",$T1059+(V$2*$M1059))</f>
        <v/>
      </c>
      <c r="W1059" s="48">
        <f>IF(OR($M1059="",$T1059=""),"",$T1059+(W$2*$M1059))</f>
        <v/>
      </c>
      <c r="X1059" s="49">
        <f>IF(OR($M1059="",$T1059=""),"",$T1059+(X$2*$M1059))</f>
        <v/>
      </c>
      <c r="Y1059" s="47">
        <f>IF(OR($M1059="",$T1059=""),"",$T1059+(Y$2*$M1059))</f>
        <v/>
      </c>
      <c r="Z1059" s="49">
        <f>IF(OR($M1059="",$T1059=""),"",$T1059+(Z$2*$M1059))</f>
        <v/>
      </c>
      <c r="AA1059" s="51">
        <f>IF(OR($M1059="",$T1059=""),"",$T1059+(AA$2*$M1059))</f>
        <v/>
      </c>
      <c r="AB1059" s="48">
        <f>IF(OR($M1059="",$T1059=""),"",$T1059+(AB$2*$M1059))</f>
        <v/>
      </c>
      <c r="AC1059" s="48">
        <f>IF(OR($M1059="",$T1059=""),"",$T1059+(AC$2*$M1059))</f>
        <v/>
      </c>
      <c r="AD1059" s="48">
        <f>IF(OR($M1059="",$T1059=""),"",$T1059+(AD$2*$M1059))</f>
        <v/>
      </c>
      <c r="AE1059" s="49">
        <f>IF(OR($M1059="",$T1059=""),"",$T1059+(AE$2*$M1059))</f>
        <v/>
      </c>
      <c r="AF1059" s="52">
        <f>IF(OR(T1059="",I1059&lt;T1059),"",IFERROR(AVERAGE(T1059+M1059*{7,8,9,10,11})/IF(G1059="",I1059,G1059)-1,""))</f>
        <v/>
      </c>
      <c r="AG1059" s="55">
        <f>IF(OR(T1059="",I1059&lt;T1059),"",IFERROR(AF1059/-(R1059/IF(G1059="",I1059,G1059)-1),""))</f>
        <v/>
      </c>
      <c r="AH1059" s="94" t="n"/>
      <c r="AI1059" s="94" t="n"/>
      <c r="AJ1059" s="94" t="n"/>
      <c r="AK1059" s="94" t="n"/>
      <c r="AL1059" s="84" t="n"/>
    </row>
    <row r="1060">
      <c r="A1060" s="64" t="n"/>
      <c r="B1060" s="65" t="n"/>
      <c r="C1060" s="66" t="n"/>
      <c r="D1060" s="67" t="n"/>
      <c r="E1060" s="68" t="n"/>
      <c r="F1060" s="47">
        <f>IF(A1060="","",IF(MIN(H1060,MAX(J1060:K1060))=0,"",MIN(H1060,MAX(J1060:K1060))))</f>
        <v/>
      </c>
      <c r="G1060" s="74" t="n"/>
      <c r="H1060" s="49">
        <f>IF(M1060="","",IFERROR(ROUND(AVERAGE(T1060+M1060*{7,8,9,10,11})/1.21,4),""))</f>
        <v/>
      </c>
      <c r="I1060" s="76" t="n"/>
      <c r="J1060" s="77" t="n"/>
      <c r="K1060" s="74" t="n"/>
      <c r="L1060" s="78" t="n"/>
      <c r="M1060" s="77" t="n"/>
      <c r="N1060" s="53">
        <f>IF(M1060="","",IFERROR(M1060/I1060,""))</f>
        <v/>
      </c>
      <c r="O1060" s="50">
        <f>IF(A1060="","",IFERROR((IF(G1060="",I1060,G1060)-T1060)/M1060,""))</f>
        <v/>
      </c>
      <c r="P1060" s="50">
        <f>IFERROR((I1060/T1060-1)/N1060,"")</f>
        <v/>
      </c>
      <c r="Q1060" s="46">
        <f>IF(OR(T1060="",I1060&lt;T1060),"",IFERROR(R1060/IF(G1060="",I1060,G1060)-1,""))</f>
        <v/>
      </c>
      <c r="R1060" s="48">
        <f>IF($M1060="","",MAX(IF($G1060="",$I1060,$G1060)*(1/1.1),IF($G1060="",$I1060,$G1060)+(R$2*$M1060)))</f>
        <v/>
      </c>
      <c r="S1060" s="49">
        <f>IF($M1060="","",MAX(IF($G1060="",$I1060,$G1060)*(1/1.1),IF($G1060="",$I1060,$G1060)+(S$2*$M1060)))</f>
        <v/>
      </c>
      <c r="T1060" s="82" t="n"/>
      <c r="U1060" s="47">
        <f>IF(OR($M1060="",$T1060=""),"",$T1060+(U$2*$M1060))</f>
        <v/>
      </c>
      <c r="V1060" s="48">
        <f>IF(OR($M1060="",$T1060=""),"",$T1060+(V$2*$M1060))</f>
        <v/>
      </c>
      <c r="W1060" s="48">
        <f>IF(OR($M1060="",$T1060=""),"",$T1060+(W$2*$M1060))</f>
        <v/>
      </c>
      <c r="X1060" s="49">
        <f>IF(OR($M1060="",$T1060=""),"",$T1060+(X$2*$M1060))</f>
        <v/>
      </c>
      <c r="Y1060" s="47">
        <f>IF(OR($M1060="",$T1060=""),"",$T1060+(Y$2*$M1060))</f>
        <v/>
      </c>
      <c r="Z1060" s="49">
        <f>IF(OR($M1060="",$T1060=""),"",$T1060+(Z$2*$M1060))</f>
        <v/>
      </c>
      <c r="AA1060" s="51">
        <f>IF(OR($M1060="",$T1060=""),"",$T1060+(AA$2*$M1060))</f>
        <v/>
      </c>
      <c r="AB1060" s="48">
        <f>IF(OR($M1060="",$T1060=""),"",$T1060+(AB$2*$M1060))</f>
        <v/>
      </c>
      <c r="AC1060" s="48">
        <f>IF(OR($M1060="",$T1060=""),"",$T1060+(AC$2*$M1060))</f>
        <v/>
      </c>
      <c r="AD1060" s="48">
        <f>IF(OR($M1060="",$T1060=""),"",$T1060+(AD$2*$M1060))</f>
        <v/>
      </c>
      <c r="AE1060" s="49">
        <f>IF(OR($M1060="",$T1060=""),"",$T1060+(AE$2*$M1060))</f>
        <v/>
      </c>
      <c r="AF1060" s="52">
        <f>IF(OR(T1060="",I1060&lt;T1060),"",IFERROR(AVERAGE(T1060+M1060*{7,8,9,10,11})/IF(G1060="",I1060,G1060)-1,""))</f>
        <v/>
      </c>
      <c r="AG1060" s="55">
        <f>IF(OR(T1060="",I1060&lt;T1060),"",IFERROR(AF1060/-(R1060/IF(G1060="",I1060,G1060)-1),""))</f>
        <v/>
      </c>
      <c r="AH1060" s="94" t="n"/>
      <c r="AI1060" s="94" t="n"/>
      <c r="AJ1060" s="94" t="n"/>
      <c r="AK1060" s="94" t="n"/>
      <c r="AL1060" s="84" t="n"/>
    </row>
    <row r="1061">
      <c r="A1061" s="64" t="n"/>
      <c r="B1061" s="65" t="n"/>
      <c r="C1061" s="66" t="n"/>
      <c r="D1061" s="67" t="n"/>
      <c r="E1061" s="68" t="n"/>
      <c r="F1061" s="47">
        <f>IF(A1061="","",IF(MIN(H1061,MAX(J1061:K1061))=0,"",MIN(H1061,MAX(J1061:K1061))))</f>
        <v/>
      </c>
      <c r="G1061" s="74" t="n"/>
      <c r="H1061" s="49">
        <f>IF(M1061="","",IFERROR(ROUND(AVERAGE(T1061+M1061*{7,8,9,10,11})/1.21,4),""))</f>
        <v/>
      </c>
      <c r="I1061" s="76" t="n"/>
      <c r="J1061" s="77" t="n"/>
      <c r="K1061" s="74" t="n"/>
      <c r="L1061" s="78" t="n"/>
      <c r="M1061" s="77" t="n"/>
      <c r="N1061" s="53">
        <f>IF(M1061="","",IFERROR(M1061/I1061,""))</f>
        <v/>
      </c>
      <c r="O1061" s="50">
        <f>IF(A1061="","",IFERROR((IF(G1061="",I1061,G1061)-T1061)/M1061,""))</f>
        <v/>
      </c>
      <c r="P1061" s="50">
        <f>IFERROR((I1061/T1061-1)/N1061,"")</f>
        <v/>
      </c>
      <c r="Q1061" s="46">
        <f>IF(OR(T1061="",I1061&lt;T1061),"",IFERROR(R1061/IF(G1061="",I1061,G1061)-1,""))</f>
        <v/>
      </c>
      <c r="R1061" s="48">
        <f>IF($M1061="","",MAX(IF($G1061="",$I1061,$G1061)*(1/1.1),IF($G1061="",$I1061,$G1061)+(R$2*$M1061)))</f>
        <v/>
      </c>
      <c r="S1061" s="49">
        <f>IF($M1061="","",MAX(IF($G1061="",$I1061,$G1061)*(1/1.1),IF($G1061="",$I1061,$G1061)+(S$2*$M1061)))</f>
        <v/>
      </c>
      <c r="T1061" s="82" t="n"/>
      <c r="U1061" s="47">
        <f>IF(OR($M1061="",$T1061=""),"",$T1061+(U$2*$M1061))</f>
        <v/>
      </c>
      <c r="V1061" s="48">
        <f>IF(OR($M1061="",$T1061=""),"",$T1061+(V$2*$M1061))</f>
        <v/>
      </c>
      <c r="W1061" s="48">
        <f>IF(OR($M1061="",$T1061=""),"",$T1061+(W$2*$M1061))</f>
        <v/>
      </c>
      <c r="X1061" s="49">
        <f>IF(OR($M1061="",$T1061=""),"",$T1061+(X$2*$M1061))</f>
        <v/>
      </c>
      <c r="Y1061" s="47">
        <f>IF(OR($M1061="",$T1061=""),"",$T1061+(Y$2*$M1061))</f>
        <v/>
      </c>
      <c r="Z1061" s="49">
        <f>IF(OR($M1061="",$T1061=""),"",$T1061+(Z$2*$M1061))</f>
        <v/>
      </c>
      <c r="AA1061" s="51">
        <f>IF(OR($M1061="",$T1061=""),"",$T1061+(AA$2*$M1061))</f>
        <v/>
      </c>
      <c r="AB1061" s="48">
        <f>IF(OR($M1061="",$T1061=""),"",$T1061+(AB$2*$M1061))</f>
        <v/>
      </c>
      <c r="AC1061" s="48">
        <f>IF(OR($M1061="",$T1061=""),"",$T1061+(AC$2*$M1061))</f>
        <v/>
      </c>
      <c r="AD1061" s="48">
        <f>IF(OR($M1061="",$T1061=""),"",$T1061+(AD$2*$M1061))</f>
        <v/>
      </c>
      <c r="AE1061" s="49">
        <f>IF(OR($M1061="",$T1061=""),"",$T1061+(AE$2*$M1061))</f>
        <v/>
      </c>
      <c r="AF1061" s="52">
        <f>IF(OR(T1061="",I1061&lt;T1061),"",IFERROR(AVERAGE(T1061+M1061*{7,8,9,10,11})/IF(G1061="",I1061,G1061)-1,""))</f>
        <v/>
      </c>
      <c r="AG1061" s="55">
        <f>IF(OR(T1061="",I1061&lt;T1061),"",IFERROR(AF1061/-(R1061/IF(G1061="",I1061,G1061)-1),""))</f>
        <v/>
      </c>
      <c r="AH1061" s="94" t="n"/>
      <c r="AI1061" s="94" t="n"/>
      <c r="AJ1061" s="94" t="n"/>
      <c r="AK1061" s="94" t="n"/>
      <c r="AL1061" s="84" t="n"/>
    </row>
    <row r="1062">
      <c r="A1062" s="64" t="n"/>
      <c r="B1062" s="65" t="n"/>
      <c r="C1062" s="66" t="n"/>
      <c r="D1062" s="67" t="n"/>
      <c r="E1062" s="68" t="n"/>
      <c r="F1062" s="47">
        <f>IF(A1062="","",IF(MIN(H1062,MAX(J1062:K1062))=0,"",MIN(H1062,MAX(J1062:K1062))))</f>
        <v/>
      </c>
      <c r="G1062" s="74" t="n"/>
      <c r="H1062" s="49">
        <f>IF(M1062="","",IFERROR(ROUND(AVERAGE(T1062+M1062*{7,8,9,10,11})/1.21,4),""))</f>
        <v/>
      </c>
      <c r="I1062" s="76" t="n"/>
      <c r="J1062" s="77" t="n"/>
      <c r="K1062" s="74" t="n"/>
      <c r="L1062" s="78" t="n"/>
      <c r="M1062" s="77" t="n"/>
      <c r="N1062" s="53">
        <f>IF(M1062="","",IFERROR(M1062/I1062,""))</f>
        <v/>
      </c>
      <c r="O1062" s="50">
        <f>IF(A1062="","",IFERROR((IF(G1062="",I1062,G1062)-T1062)/M1062,""))</f>
        <v/>
      </c>
      <c r="P1062" s="50">
        <f>IFERROR((I1062/T1062-1)/N1062,"")</f>
        <v/>
      </c>
      <c r="Q1062" s="46">
        <f>IF(OR(T1062="",I1062&lt;T1062),"",IFERROR(R1062/IF(G1062="",I1062,G1062)-1,""))</f>
        <v/>
      </c>
      <c r="R1062" s="48">
        <f>IF($M1062="","",MAX(IF($G1062="",$I1062,$G1062)*(1/1.1),IF($G1062="",$I1062,$G1062)+(R$2*$M1062)))</f>
        <v/>
      </c>
      <c r="S1062" s="49">
        <f>IF($M1062="","",MAX(IF($G1062="",$I1062,$G1062)*(1/1.1),IF($G1062="",$I1062,$G1062)+(S$2*$M1062)))</f>
        <v/>
      </c>
      <c r="T1062" s="82" t="n"/>
      <c r="U1062" s="47">
        <f>IF(OR($M1062="",$T1062=""),"",$T1062+(U$2*$M1062))</f>
        <v/>
      </c>
      <c r="V1062" s="48">
        <f>IF(OR($M1062="",$T1062=""),"",$T1062+(V$2*$M1062))</f>
        <v/>
      </c>
      <c r="W1062" s="48">
        <f>IF(OR($M1062="",$T1062=""),"",$T1062+(W$2*$M1062))</f>
        <v/>
      </c>
      <c r="X1062" s="49">
        <f>IF(OR($M1062="",$T1062=""),"",$T1062+(X$2*$M1062))</f>
        <v/>
      </c>
      <c r="Y1062" s="47">
        <f>IF(OR($M1062="",$T1062=""),"",$T1062+(Y$2*$M1062))</f>
        <v/>
      </c>
      <c r="Z1062" s="49">
        <f>IF(OR($M1062="",$T1062=""),"",$T1062+(Z$2*$M1062))</f>
        <v/>
      </c>
      <c r="AA1062" s="51">
        <f>IF(OR($M1062="",$T1062=""),"",$T1062+(AA$2*$M1062))</f>
        <v/>
      </c>
      <c r="AB1062" s="48">
        <f>IF(OR($M1062="",$T1062=""),"",$T1062+(AB$2*$M1062))</f>
        <v/>
      </c>
      <c r="AC1062" s="48">
        <f>IF(OR($M1062="",$T1062=""),"",$T1062+(AC$2*$M1062))</f>
        <v/>
      </c>
      <c r="AD1062" s="48">
        <f>IF(OR($M1062="",$T1062=""),"",$T1062+(AD$2*$M1062))</f>
        <v/>
      </c>
      <c r="AE1062" s="49">
        <f>IF(OR($M1062="",$T1062=""),"",$T1062+(AE$2*$M1062))</f>
        <v/>
      </c>
      <c r="AF1062" s="52">
        <f>IF(OR(T1062="",I1062&lt;T1062),"",IFERROR(AVERAGE(T1062+M1062*{7,8,9,10,11})/IF(G1062="",I1062,G1062)-1,""))</f>
        <v/>
      </c>
      <c r="AG1062" s="55">
        <f>IF(OR(T1062="",I1062&lt;T1062),"",IFERROR(AF1062/-(R1062/IF(G1062="",I1062,G1062)-1),""))</f>
        <v/>
      </c>
      <c r="AH1062" s="94" t="n"/>
      <c r="AI1062" s="94" t="n"/>
      <c r="AJ1062" s="94" t="n"/>
      <c r="AK1062" s="94" t="n"/>
      <c r="AL1062" s="84" t="n"/>
    </row>
    <row r="1063">
      <c r="A1063" s="64" t="n"/>
      <c r="B1063" s="65" t="n"/>
      <c r="C1063" s="66" t="n"/>
      <c r="D1063" s="67" t="n"/>
      <c r="E1063" s="68" t="n"/>
      <c r="F1063" s="47">
        <f>IF(A1063="","",IF(MIN(H1063,MAX(J1063:K1063))=0,"",MIN(H1063,MAX(J1063:K1063))))</f>
        <v/>
      </c>
      <c r="G1063" s="74" t="n"/>
      <c r="H1063" s="49">
        <f>IF(M1063="","",IFERROR(ROUND(AVERAGE(T1063+M1063*{7,8,9,10,11})/1.21,4),""))</f>
        <v/>
      </c>
      <c r="I1063" s="76" t="n"/>
      <c r="J1063" s="77" t="n"/>
      <c r="K1063" s="74" t="n"/>
      <c r="L1063" s="78" t="n"/>
      <c r="M1063" s="77" t="n"/>
      <c r="N1063" s="53">
        <f>IF(M1063="","",IFERROR(M1063/I1063,""))</f>
        <v/>
      </c>
      <c r="O1063" s="50">
        <f>IF(A1063="","",IFERROR((IF(G1063="",I1063,G1063)-T1063)/M1063,""))</f>
        <v/>
      </c>
      <c r="P1063" s="50">
        <f>IFERROR((I1063/T1063-1)/N1063,"")</f>
        <v/>
      </c>
      <c r="Q1063" s="46">
        <f>IF(OR(T1063="",I1063&lt;T1063),"",IFERROR(R1063/IF(G1063="",I1063,G1063)-1,""))</f>
        <v/>
      </c>
      <c r="R1063" s="48">
        <f>IF($M1063="","",MAX(IF($G1063="",$I1063,$G1063)*(1/1.1),IF($G1063="",$I1063,$G1063)+(R$2*$M1063)))</f>
        <v/>
      </c>
      <c r="S1063" s="49">
        <f>IF($M1063="","",MAX(IF($G1063="",$I1063,$G1063)*(1/1.1),IF($G1063="",$I1063,$G1063)+(S$2*$M1063)))</f>
        <v/>
      </c>
      <c r="T1063" s="82" t="n"/>
      <c r="U1063" s="47">
        <f>IF(OR($M1063="",$T1063=""),"",$T1063+(U$2*$M1063))</f>
        <v/>
      </c>
      <c r="V1063" s="48">
        <f>IF(OR($M1063="",$T1063=""),"",$T1063+(V$2*$M1063))</f>
        <v/>
      </c>
      <c r="W1063" s="48">
        <f>IF(OR($M1063="",$T1063=""),"",$T1063+(W$2*$M1063))</f>
        <v/>
      </c>
      <c r="X1063" s="49">
        <f>IF(OR($M1063="",$T1063=""),"",$T1063+(X$2*$M1063))</f>
        <v/>
      </c>
      <c r="Y1063" s="47">
        <f>IF(OR($M1063="",$T1063=""),"",$T1063+(Y$2*$M1063))</f>
        <v/>
      </c>
      <c r="Z1063" s="49">
        <f>IF(OR($M1063="",$T1063=""),"",$T1063+(Z$2*$M1063))</f>
        <v/>
      </c>
      <c r="AA1063" s="51">
        <f>IF(OR($M1063="",$T1063=""),"",$T1063+(AA$2*$M1063))</f>
        <v/>
      </c>
      <c r="AB1063" s="48">
        <f>IF(OR($M1063="",$T1063=""),"",$T1063+(AB$2*$M1063))</f>
        <v/>
      </c>
      <c r="AC1063" s="48">
        <f>IF(OR($M1063="",$T1063=""),"",$T1063+(AC$2*$M1063))</f>
        <v/>
      </c>
      <c r="AD1063" s="48">
        <f>IF(OR($M1063="",$T1063=""),"",$T1063+(AD$2*$M1063))</f>
        <v/>
      </c>
      <c r="AE1063" s="49">
        <f>IF(OR($M1063="",$T1063=""),"",$T1063+(AE$2*$M1063))</f>
        <v/>
      </c>
      <c r="AF1063" s="52">
        <f>IF(OR(T1063="",I1063&lt;T1063),"",IFERROR(AVERAGE(T1063+M1063*{7,8,9,10,11})/IF(G1063="",I1063,G1063)-1,""))</f>
        <v/>
      </c>
      <c r="AG1063" s="55">
        <f>IF(OR(T1063="",I1063&lt;T1063),"",IFERROR(AF1063/-(R1063/IF(G1063="",I1063,G1063)-1),""))</f>
        <v/>
      </c>
      <c r="AH1063" s="94" t="n"/>
      <c r="AI1063" s="94" t="n"/>
      <c r="AJ1063" s="94" t="n"/>
      <c r="AK1063" s="94" t="n"/>
      <c r="AL1063" s="84" t="n"/>
    </row>
    <row r="1064">
      <c r="A1064" s="64" t="n"/>
      <c r="B1064" s="65" t="n"/>
      <c r="C1064" s="66" t="n"/>
      <c r="D1064" s="67" t="n"/>
      <c r="E1064" s="68" t="n"/>
      <c r="F1064" s="47">
        <f>IF(A1064="","",IF(MIN(H1064,MAX(J1064:K1064))=0,"",MIN(H1064,MAX(J1064:K1064))))</f>
        <v/>
      </c>
      <c r="G1064" s="74" t="n"/>
      <c r="H1064" s="49">
        <f>IF(M1064="","",IFERROR(ROUND(AVERAGE(T1064+M1064*{7,8,9,10,11})/1.21,4),""))</f>
        <v/>
      </c>
      <c r="I1064" s="76" t="n"/>
      <c r="J1064" s="77" t="n"/>
      <c r="K1064" s="74" t="n"/>
      <c r="L1064" s="78" t="n"/>
      <c r="M1064" s="77" t="n"/>
      <c r="N1064" s="53">
        <f>IF(M1064="","",IFERROR(M1064/I1064,""))</f>
        <v/>
      </c>
      <c r="O1064" s="50">
        <f>IF(A1064="","",IFERROR((IF(G1064="",I1064,G1064)-T1064)/M1064,""))</f>
        <v/>
      </c>
      <c r="P1064" s="50">
        <f>IFERROR((I1064/T1064-1)/N1064,"")</f>
        <v/>
      </c>
      <c r="Q1064" s="46">
        <f>IF(OR(T1064="",I1064&lt;T1064),"",IFERROR(R1064/IF(G1064="",I1064,G1064)-1,""))</f>
        <v/>
      </c>
      <c r="R1064" s="48">
        <f>IF($M1064="","",MAX(IF($G1064="",$I1064,$G1064)*(1/1.1),IF($G1064="",$I1064,$G1064)+(R$2*$M1064)))</f>
        <v/>
      </c>
      <c r="S1064" s="49">
        <f>IF($M1064="","",MAX(IF($G1064="",$I1064,$G1064)*(1/1.1),IF($G1064="",$I1064,$G1064)+(S$2*$M1064)))</f>
        <v/>
      </c>
      <c r="T1064" s="82" t="n"/>
      <c r="U1064" s="47">
        <f>IF(OR($M1064="",$T1064=""),"",$T1064+(U$2*$M1064))</f>
        <v/>
      </c>
      <c r="V1064" s="48">
        <f>IF(OR($M1064="",$T1064=""),"",$T1064+(V$2*$M1064))</f>
        <v/>
      </c>
      <c r="W1064" s="48">
        <f>IF(OR($M1064="",$T1064=""),"",$T1064+(W$2*$M1064))</f>
        <v/>
      </c>
      <c r="X1064" s="49">
        <f>IF(OR($M1064="",$T1064=""),"",$T1064+(X$2*$M1064))</f>
        <v/>
      </c>
      <c r="Y1064" s="47">
        <f>IF(OR($M1064="",$T1064=""),"",$T1064+(Y$2*$M1064))</f>
        <v/>
      </c>
      <c r="Z1064" s="49">
        <f>IF(OR($M1064="",$T1064=""),"",$T1064+(Z$2*$M1064))</f>
        <v/>
      </c>
      <c r="AA1064" s="51">
        <f>IF(OR($M1064="",$T1064=""),"",$T1064+(AA$2*$M1064))</f>
        <v/>
      </c>
      <c r="AB1064" s="48">
        <f>IF(OR($M1064="",$T1064=""),"",$T1064+(AB$2*$M1064))</f>
        <v/>
      </c>
      <c r="AC1064" s="48">
        <f>IF(OR($M1064="",$T1064=""),"",$T1064+(AC$2*$M1064))</f>
        <v/>
      </c>
      <c r="AD1064" s="48">
        <f>IF(OR($M1064="",$T1064=""),"",$T1064+(AD$2*$M1064))</f>
        <v/>
      </c>
      <c r="AE1064" s="49">
        <f>IF(OR($M1064="",$T1064=""),"",$T1064+(AE$2*$M1064))</f>
        <v/>
      </c>
      <c r="AF1064" s="52">
        <f>IF(OR(T1064="",I1064&lt;T1064),"",IFERROR(AVERAGE(T1064+M1064*{7,8,9,10,11})/IF(G1064="",I1064,G1064)-1,""))</f>
        <v/>
      </c>
      <c r="AG1064" s="55">
        <f>IF(OR(T1064="",I1064&lt;T1064),"",IFERROR(AF1064/-(R1064/IF(G1064="",I1064,G1064)-1),""))</f>
        <v/>
      </c>
      <c r="AH1064" s="94" t="n"/>
      <c r="AI1064" s="94" t="n"/>
      <c r="AJ1064" s="94" t="n"/>
      <c r="AK1064" s="94" t="n"/>
      <c r="AL1064" s="84" t="n"/>
    </row>
    <row r="1065">
      <c r="A1065" s="64" t="n"/>
      <c r="B1065" s="65" t="n"/>
      <c r="C1065" s="66" t="n"/>
      <c r="D1065" s="67" t="n"/>
      <c r="E1065" s="68" t="n"/>
      <c r="F1065" s="47">
        <f>IF(A1065="","",IF(MIN(H1065,MAX(J1065:K1065))=0,"",MIN(H1065,MAX(J1065:K1065))))</f>
        <v/>
      </c>
      <c r="G1065" s="74" t="n"/>
      <c r="H1065" s="49">
        <f>IF(M1065="","",IFERROR(ROUND(AVERAGE(T1065+M1065*{7,8,9,10,11})/1.21,4),""))</f>
        <v/>
      </c>
      <c r="I1065" s="76" t="n"/>
      <c r="J1065" s="77" t="n"/>
      <c r="K1065" s="74" t="n"/>
      <c r="L1065" s="78" t="n"/>
      <c r="M1065" s="77" t="n"/>
      <c r="N1065" s="53">
        <f>IF(M1065="","",IFERROR(M1065/I1065,""))</f>
        <v/>
      </c>
      <c r="O1065" s="50">
        <f>IF(A1065="","",IFERROR((IF(G1065="",I1065,G1065)-T1065)/M1065,""))</f>
        <v/>
      </c>
      <c r="P1065" s="50">
        <f>IFERROR((I1065/T1065-1)/N1065,"")</f>
        <v/>
      </c>
      <c r="Q1065" s="46">
        <f>IF(OR(T1065="",I1065&lt;T1065),"",IFERROR(R1065/IF(G1065="",I1065,G1065)-1,""))</f>
        <v/>
      </c>
      <c r="R1065" s="48">
        <f>IF($M1065="","",MAX(IF($G1065="",$I1065,$G1065)*(1/1.1),IF($G1065="",$I1065,$G1065)+(R$2*$M1065)))</f>
        <v/>
      </c>
      <c r="S1065" s="49">
        <f>IF($M1065="","",MAX(IF($G1065="",$I1065,$G1065)*(1/1.1),IF($G1065="",$I1065,$G1065)+(S$2*$M1065)))</f>
        <v/>
      </c>
      <c r="T1065" s="82" t="n"/>
      <c r="U1065" s="47">
        <f>IF(OR($M1065="",$T1065=""),"",$T1065+(U$2*$M1065))</f>
        <v/>
      </c>
      <c r="V1065" s="48">
        <f>IF(OR($M1065="",$T1065=""),"",$T1065+(V$2*$M1065))</f>
        <v/>
      </c>
      <c r="W1065" s="48">
        <f>IF(OR($M1065="",$T1065=""),"",$T1065+(W$2*$M1065))</f>
        <v/>
      </c>
      <c r="X1065" s="49">
        <f>IF(OR($M1065="",$T1065=""),"",$T1065+(X$2*$M1065))</f>
        <v/>
      </c>
      <c r="Y1065" s="47">
        <f>IF(OR($M1065="",$T1065=""),"",$T1065+(Y$2*$M1065))</f>
        <v/>
      </c>
      <c r="Z1065" s="49">
        <f>IF(OR($M1065="",$T1065=""),"",$T1065+(Z$2*$M1065))</f>
        <v/>
      </c>
      <c r="AA1065" s="51">
        <f>IF(OR($M1065="",$T1065=""),"",$T1065+(AA$2*$M1065))</f>
        <v/>
      </c>
      <c r="AB1065" s="48">
        <f>IF(OR($M1065="",$T1065=""),"",$T1065+(AB$2*$M1065))</f>
        <v/>
      </c>
      <c r="AC1065" s="48">
        <f>IF(OR($M1065="",$T1065=""),"",$T1065+(AC$2*$M1065))</f>
        <v/>
      </c>
      <c r="AD1065" s="48">
        <f>IF(OR($M1065="",$T1065=""),"",$T1065+(AD$2*$M1065))</f>
        <v/>
      </c>
      <c r="AE1065" s="49">
        <f>IF(OR($M1065="",$T1065=""),"",$T1065+(AE$2*$M1065))</f>
        <v/>
      </c>
      <c r="AF1065" s="52">
        <f>IF(OR(T1065="",I1065&lt;T1065),"",IFERROR(AVERAGE(T1065+M1065*{7,8,9,10,11})/IF(G1065="",I1065,G1065)-1,""))</f>
        <v/>
      </c>
      <c r="AG1065" s="55">
        <f>IF(OR(T1065="",I1065&lt;T1065),"",IFERROR(AF1065/-(R1065/IF(G1065="",I1065,G1065)-1),""))</f>
        <v/>
      </c>
      <c r="AH1065" s="94" t="n"/>
      <c r="AI1065" s="94" t="n"/>
      <c r="AJ1065" s="94" t="n"/>
      <c r="AK1065" s="94" t="n"/>
      <c r="AL1065" s="84" t="n"/>
    </row>
    <row r="1066">
      <c r="A1066" s="64" t="n"/>
      <c r="B1066" s="65" t="n"/>
      <c r="C1066" s="66" t="n"/>
      <c r="D1066" s="67" t="n"/>
      <c r="E1066" s="68" t="n"/>
      <c r="F1066" s="47">
        <f>IF(A1066="","",IF(MIN(H1066,MAX(J1066:K1066))=0,"",MIN(H1066,MAX(J1066:K1066))))</f>
        <v/>
      </c>
      <c r="G1066" s="74" t="n"/>
      <c r="H1066" s="49">
        <f>IF(M1066="","",IFERROR(ROUND(AVERAGE(T1066+M1066*{7,8,9,10,11})/1.21,4),""))</f>
        <v/>
      </c>
      <c r="I1066" s="76" t="n"/>
      <c r="J1066" s="77" t="n"/>
      <c r="K1066" s="74" t="n"/>
      <c r="L1066" s="78" t="n"/>
      <c r="M1066" s="77" t="n"/>
      <c r="N1066" s="53">
        <f>IF(M1066="","",IFERROR(M1066/I1066,""))</f>
        <v/>
      </c>
      <c r="O1066" s="50">
        <f>IF(A1066="","",IFERROR((IF(G1066="",I1066,G1066)-T1066)/M1066,""))</f>
        <v/>
      </c>
      <c r="P1066" s="50">
        <f>IFERROR((I1066/T1066-1)/N1066,"")</f>
        <v/>
      </c>
      <c r="Q1066" s="46">
        <f>IF(OR(T1066="",I1066&lt;T1066),"",IFERROR(R1066/IF(G1066="",I1066,G1066)-1,""))</f>
        <v/>
      </c>
      <c r="R1066" s="48">
        <f>IF($M1066="","",MAX(IF($G1066="",$I1066,$G1066)*(1/1.1),IF($G1066="",$I1066,$G1066)+(R$2*$M1066)))</f>
        <v/>
      </c>
      <c r="S1066" s="49">
        <f>IF($M1066="","",MAX(IF($G1066="",$I1066,$G1066)*(1/1.1),IF($G1066="",$I1066,$G1066)+(S$2*$M1066)))</f>
        <v/>
      </c>
      <c r="T1066" s="82" t="n"/>
      <c r="U1066" s="47">
        <f>IF(OR($M1066="",$T1066=""),"",$T1066+(U$2*$M1066))</f>
        <v/>
      </c>
      <c r="V1066" s="48">
        <f>IF(OR($M1066="",$T1066=""),"",$T1066+(V$2*$M1066))</f>
        <v/>
      </c>
      <c r="W1066" s="48">
        <f>IF(OR($M1066="",$T1066=""),"",$T1066+(W$2*$M1066))</f>
        <v/>
      </c>
      <c r="X1066" s="49">
        <f>IF(OR($M1066="",$T1066=""),"",$T1066+(X$2*$M1066))</f>
        <v/>
      </c>
      <c r="Y1066" s="47">
        <f>IF(OR($M1066="",$T1066=""),"",$T1066+(Y$2*$M1066))</f>
        <v/>
      </c>
      <c r="Z1066" s="49">
        <f>IF(OR($M1066="",$T1066=""),"",$T1066+(Z$2*$M1066))</f>
        <v/>
      </c>
      <c r="AA1066" s="51">
        <f>IF(OR($M1066="",$T1066=""),"",$T1066+(AA$2*$M1066))</f>
        <v/>
      </c>
      <c r="AB1066" s="48">
        <f>IF(OR($M1066="",$T1066=""),"",$T1066+(AB$2*$M1066))</f>
        <v/>
      </c>
      <c r="AC1066" s="48">
        <f>IF(OR($M1066="",$T1066=""),"",$T1066+(AC$2*$M1066))</f>
        <v/>
      </c>
      <c r="AD1066" s="48">
        <f>IF(OR($M1066="",$T1066=""),"",$T1066+(AD$2*$M1066))</f>
        <v/>
      </c>
      <c r="AE1066" s="49">
        <f>IF(OR($M1066="",$T1066=""),"",$T1066+(AE$2*$M1066))</f>
        <v/>
      </c>
      <c r="AF1066" s="52">
        <f>IF(OR(T1066="",I1066&lt;T1066),"",IFERROR(AVERAGE(T1066+M1066*{7,8,9,10,11})/IF(G1066="",I1066,G1066)-1,""))</f>
        <v/>
      </c>
      <c r="AG1066" s="55">
        <f>IF(OR(T1066="",I1066&lt;T1066),"",IFERROR(AF1066/-(R1066/IF(G1066="",I1066,G1066)-1),""))</f>
        <v/>
      </c>
      <c r="AH1066" s="94" t="n"/>
      <c r="AI1066" s="94" t="n"/>
      <c r="AJ1066" s="94" t="n"/>
      <c r="AK1066" s="94" t="n"/>
      <c r="AL1066" s="84" t="n"/>
    </row>
    <row r="1067">
      <c r="A1067" s="64" t="n"/>
      <c r="B1067" s="65" t="n"/>
      <c r="C1067" s="66" t="n"/>
      <c r="D1067" s="67" t="n"/>
      <c r="E1067" s="68" t="n"/>
      <c r="F1067" s="47">
        <f>IF(A1067="","",IF(MIN(H1067,MAX(J1067:K1067))=0,"",MIN(H1067,MAX(J1067:K1067))))</f>
        <v/>
      </c>
      <c r="G1067" s="74" t="n"/>
      <c r="H1067" s="49">
        <f>IF(M1067="","",IFERROR(ROUND(AVERAGE(T1067+M1067*{7,8,9,10,11})/1.21,4),""))</f>
        <v/>
      </c>
      <c r="I1067" s="76" t="n"/>
      <c r="J1067" s="77" t="n"/>
      <c r="K1067" s="74" t="n"/>
      <c r="L1067" s="78" t="n"/>
      <c r="M1067" s="77" t="n"/>
      <c r="N1067" s="53">
        <f>IF(M1067="","",IFERROR(M1067/I1067,""))</f>
        <v/>
      </c>
      <c r="O1067" s="50">
        <f>IF(A1067="","",IFERROR((IF(G1067="",I1067,G1067)-T1067)/M1067,""))</f>
        <v/>
      </c>
      <c r="P1067" s="50">
        <f>IFERROR((I1067/T1067-1)/N1067,"")</f>
        <v/>
      </c>
      <c r="Q1067" s="46">
        <f>IF(OR(T1067="",I1067&lt;T1067),"",IFERROR(R1067/IF(G1067="",I1067,G1067)-1,""))</f>
        <v/>
      </c>
      <c r="R1067" s="48">
        <f>IF($M1067="","",MAX(IF($G1067="",$I1067,$G1067)*(1/1.1),IF($G1067="",$I1067,$G1067)+(R$2*$M1067)))</f>
        <v/>
      </c>
      <c r="S1067" s="49">
        <f>IF($M1067="","",MAX(IF($G1067="",$I1067,$G1067)*(1/1.1),IF($G1067="",$I1067,$G1067)+(S$2*$M1067)))</f>
        <v/>
      </c>
      <c r="T1067" s="82" t="n"/>
      <c r="U1067" s="47">
        <f>IF(OR($M1067="",$T1067=""),"",$T1067+(U$2*$M1067))</f>
        <v/>
      </c>
      <c r="V1067" s="48">
        <f>IF(OR($M1067="",$T1067=""),"",$T1067+(V$2*$M1067))</f>
        <v/>
      </c>
      <c r="W1067" s="48">
        <f>IF(OR($M1067="",$T1067=""),"",$T1067+(W$2*$M1067))</f>
        <v/>
      </c>
      <c r="X1067" s="49">
        <f>IF(OR($M1067="",$T1067=""),"",$T1067+(X$2*$M1067))</f>
        <v/>
      </c>
      <c r="Y1067" s="47">
        <f>IF(OR($M1067="",$T1067=""),"",$T1067+(Y$2*$M1067))</f>
        <v/>
      </c>
      <c r="Z1067" s="49">
        <f>IF(OR($M1067="",$T1067=""),"",$T1067+(Z$2*$M1067))</f>
        <v/>
      </c>
      <c r="AA1067" s="51">
        <f>IF(OR($M1067="",$T1067=""),"",$T1067+(AA$2*$M1067))</f>
        <v/>
      </c>
      <c r="AB1067" s="48">
        <f>IF(OR($M1067="",$T1067=""),"",$T1067+(AB$2*$M1067))</f>
        <v/>
      </c>
      <c r="AC1067" s="48">
        <f>IF(OR($M1067="",$T1067=""),"",$T1067+(AC$2*$M1067))</f>
        <v/>
      </c>
      <c r="AD1067" s="48">
        <f>IF(OR($M1067="",$T1067=""),"",$T1067+(AD$2*$M1067))</f>
        <v/>
      </c>
      <c r="AE1067" s="49">
        <f>IF(OR($M1067="",$T1067=""),"",$T1067+(AE$2*$M1067))</f>
        <v/>
      </c>
      <c r="AF1067" s="52">
        <f>IF(OR(T1067="",I1067&lt;T1067),"",IFERROR(AVERAGE(T1067+M1067*{7,8,9,10,11})/IF(G1067="",I1067,G1067)-1,""))</f>
        <v/>
      </c>
      <c r="AG1067" s="55">
        <f>IF(OR(T1067="",I1067&lt;T1067),"",IFERROR(AF1067/-(R1067/IF(G1067="",I1067,G1067)-1),""))</f>
        <v/>
      </c>
      <c r="AH1067" s="94" t="n"/>
      <c r="AI1067" s="94" t="n"/>
      <c r="AJ1067" s="94" t="n"/>
      <c r="AK1067" s="94" t="n"/>
      <c r="AL1067" s="84" t="n"/>
    </row>
    <row r="1068">
      <c r="A1068" s="64" t="n"/>
      <c r="B1068" s="65" t="n"/>
      <c r="C1068" s="66" t="n"/>
      <c r="D1068" s="67" t="n"/>
      <c r="E1068" s="68" t="n"/>
      <c r="F1068" s="47">
        <f>IF(A1068="","",IF(MIN(H1068,MAX(J1068:K1068))=0,"",MIN(H1068,MAX(J1068:K1068))))</f>
        <v/>
      </c>
      <c r="G1068" s="74" t="n"/>
      <c r="H1068" s="49">
        <f>IF(M1068="","",IFERROR(ROUND(AVERAGE(T1068+M1068*{7,8,9,10,11})/1.21,4),""))</f>
        <v/>
      </c>
      <c r="I1068" s="76" t="n"/>
      <c r="J1068" s="77" t="n"/>
      <c r="K1068" s="74" t="n"/>
      <c r="L1068" s="78" t="n"/>
      <c r="M1068" s="77" t="n"/>
      <c r="N1068" s="53">
        <f>IF(M1068="","",IFERROR(M1068/I1068,""))</f>
        <v/>
      </c>
      <c r="O1068" s="50">
        <f>IF(A1068="","",IFERROR((IF(G1068="",I1068,G1068)-T1068)/M1068,""))</f>
        <v/>
      </c>
      <c r="P1068" s="50">
        <f>IFERROR((I1068/T1068-1)/N1068,"")</f>
        <v/>
      </c>
      <c r="Q1068" s="46">
        <f>IF(OR(T1068="",I1068&lt;T1068),"",IFERROR(R1068/IF(G1068="",I1068,G1068)-1,""))</f>
        <v/>
      </c>
      <c r="R1068" s="48">
        <f>IF($M1068="","",MAX(IF($G1068="",$I1068,$G1068)*(1/1.1),IF($G1068="",$I1068,$G1068)+(R$2*$M1068)))</f>
        <v/>
      </c>
      <c r="S1068" s="49">
        <f>IF($M1068="","",MAX(IF($G1068="",$I1068,$G1068)*(1/1.1),IF($G1068="",$I1068,$G1068)+(S$2*$M1068)))</f>
        <v/>
      </c>
      <c r="T1068" s="82" t="n"/>
      <c r="U1068" s="47">
        <f>IF(OR($M1068="",$T1068=""),"",$T1068+(U$2*$M1068))</f>
        <v/>
      </c>
      <c r="V1068" s="48">
        <f>IF(OR($M1068="",$T1068=""),"",$T1068+(V$2*$M1068))</f>
        <v/>
      </c>
      <c r="W1068" s="48">
        <f>IF(OR($M1068="",$T1068=""),"",$T1068+(W$2*$M1068))</f>
        <v/>
      </c>
      <c r="X1068" s="49">
        <f>IF(OR($M1068="",$T1068=""),"",$T1068+(X$2*$M1068))</f>
        <v/>
      </c>
      <c r="Y1068" s="47">
        <f>IF(OR($M1068="",$T1068=""),"",$T1068+(Y$2*$M1068))</f>
        <v/>
      </c>
      <c r="Z1068" s="49">
        <f>IF(OR($M1068="",$T1068=""),"",$T1068+(Z$2*$M1068))</f>
        <v/>
      </c>
      <c r="AA1068" s="51">
        <f>IF(OR($M1068="",$T1068=""),"",$T1068+(AA$2*$M1068))</f>
        <v/>
      </c>
      <c r="AB1068" s="48">
        <f>IF(OR($M1068="",$T1068=""),"",$T1068+(AB$2*$M1068))</f>
        <v/>
      </c>
      <c r="AC1068" s="48">
        <f>IF(OR($M1068="",$T1068=""),"",$T1068+(AC$2*$M1068))</f>
        <v/>
      </c>
      <c r="AD1068" s="48">
        <f>IF(OR($M1068="",$T1068=""),"",$T1068+(AD$2*$M1068))</f>
        <v/>
      </c>
      <c r="AE1068" s="49">
        <f>IF(OR($M1068="",$T1068=""),"",$T1068+(AE$2*$M1068))</f>
        <v/>
      </c>
      <c r="AF1068" s="52">
        <f>IF(OR(T1068="",I1068&lt;T1068),"",IFERROR(AVERAGE(T1068+M1068*{7,8,9,10,11})/IF(G1068="",I1068,G1068)-1,""))</f>
        <v/>
      </c>
      <c r="AG1068" s="55">
        <f>IF(OR(T1068="",I1068&lt;T1068),"",IFERROR(AF1068/-(R1068/IF(G1068="",I1068,G1068)-1),""))</f>
        <v/>
      </c>
      <c r="AH1068" s="94" t="n"/>
      <c r="AI1068" s="94" t="n"/>
      <c r="AJ1068" s="94" t="n"/>
      <c r="AK1068" s="94" t="n"/>
      <c r="AL1068" s="84" t="n"/>
    </row>
    <row r="1069">
      <c r="A1069" s="64" t="n"/>
      <c r="B1069" s="65" t="n"/>
      <c r="C1069" s="66" t="n"/>
      <c r="D1069" s="67" t="n"/>
      <c r="E1069" s="68" t="n"/>
      <c r="F1069" s="47">
        <f>IF(A1069="","",IF(MIN(H1069,MAX(J1069:K1069))=0,"",MIN(H1069,MAX(J1069:K1069))))</f>
        <v/>
      </c>
      <c r="G1069" s="74" t="n"/>
      <c r="H1069" s="49">
        <f>IF(M1069="","",IFERROR(ROUND(AVERAGE(T1069+M1069*{7,8,9,10,11})/1.21,4),""))</f>
        <v/>
      </c>
      <c r="I1069" s="76" t="n"/>
      <c r="J1069" s="77" t="n"/>
      <c r="K1069" s="74" t="n"/>
      <c r="L1069" s="78" t="n"/>
      <c r="M1069" s="77" t="n"/>
      <c r="N1069" s="53">
        <f>IF(M1069="","",IFERROR(M1069/I1069,""))</f>
        <v/>
      </c>
      <c r="O1069" s="50">
        <f>IF(A1069="","",IFERROR((IF(G1069="",I1069,G1069)-T1069)/M1069,""))</f>
        <v/>
      </c>
      <c r="P1069" s="50">
        <f>IFERROR((I1069/T1069-1)/N1069,"")</f>
        <v/>
      </c>
      <c r="Q1069" s="46">
        <f>IF(OR(T1069="",I1069&lt;T1069),"",IFERROR(R1069/IF(G1069="",I1069,G1069)-1,""))</f>
        <v/>
      </c>
      <c r="R1069" s="48">
        <f>IF($M1069="","",MAX(IF($G1069="",$I1069,$G1069)*(1/1.1),IF($G1069="",$I1069,$G1069)+(R$2*$M1069)))</f>
        <v/>
      </c>
      <c r="S1069" s="49">
        <f>IF($M1069="","",MAX(IF($G1069="",$I1069,$G1069)*(1/1.1),IF($G1069="",$I1069,$G1069)+(S$2*$M1069)))</f>
        <v/>
      </c>
      <c r="T1069" s="82" t="n"/>
      <c r="U1069" s="47">
        <f>IF(OR($M1069="",$T1069=""),"",$T1069+(U$2*$M1069))</f>
        <v/>
      </c>
      <c r="V1069" s="48">
        <f>IF(OR($M1069="",$T1069=""),"",$T1069+(V$2*$M1069))</f>
        <v/>
      </c>
      <c r="W1069" s="48">
        <f>IF(OR($M1069="",$T1069=""),"",$T1069+(W$2*$M1069))</f>
        <v/>
      </c>
      <c r="X1069" s="49">
        <f>IF(OR($M1069="",$T1069=""),"",$T1069+(X$2*$M1069))</f>
        <v/>
      </c>
      <c r="Y1069" s="47">
        <f>IF(OR($M1069="",$T1069=""),"",$T1069+(Y$2*$M1069))</f>
        <v/>
      </c>
      <c r="Z1069" s="49">
        <f>IF(OR($M1069="",$T1069=""),"",$T1069+(Z$2*$M1069))</f>
        <v/>
      </c>
      <c r="AA1069" s="51">
        <f>IF(OR($M1069="",$T1069=""),"",$T1069+(AA$2*$M1069))</f>
        <v/>
      </c>
      <c r="AB1069" s="48">
        <f>IF(OR($M1069="",$T1069=""),"",$T1069+(AB$2*$M1069))</f>
        <v/>
      </c>
      <c r="AC1069" s="48">
        <f>IF(OR($M1069="",$T1069=""),"",$T1069+(AC$2*$M1069))</f>
        <v/>
      </c>
      <c r="AD1069" s="48">
        <f>IF(OR($M1069="",$T1069=""),"",$T1069+(AD$2*$M1069))</f>
        <v/>
      </c>
      <c r="AE1069" s="49">
        <f>IF(OR($M1069="",$T1069=""),"",$T1069+(AE$2*$M1069))</f>
        <v/>
      </c>
      <c r="AF1069" s="52">
        <f>IF(OR(T1069="",I1069&lt;T1069),"",IFERROR(AVERAGE(T1069+M1069*{7,8,9,10,11})/IF(G1069="",I1069,G1069)-1,""))</f>
        <v/>
      </c>
      <c r="AG1069" s="55">
        <f>IF(OR(T1069="",I1069&lt;T1069),"",IFERROR(AF1069/-(R1069/IF(G1069="",I1069,G1069)-1),""))</f>
        <v/>
      </c>
      <c r="AH1069" s="94" t="n"/>
      <c r="AI1069" s="94" t="n"/>
      <c r="AJ1069" s="94" t="n"/>
      <c r="AK1069" s="94" t="n"/>
      <c r="AL1069" s="84" t="n"/>
    </row>
    <row r="1070">
      <c r="A1070" s="64" t="n"/>
      <c r="B1070" s="65" t="n"/>
      <c r="C1070" s="66" t="n"/>
      <c r="D1070" s="67" t="n"/>
      <c r="E1070" s="68" t="n"/>
      <c r="F1070" s="47">
        <f>IF(A1070="","",IF(MIN(H1070,MAX(J1070:K1070))=0,"",MIN(H1070,MAX(J1070:K1070))))</f>
        <v/>
      </c>
      <c r="G1070" s="74" t="n"/>
      <c r="H1070" s="49">
        <f>IF(M1070="","",IFERROR(ROUND(AVERAGE(T1070+M1070*{7,8,9,10,11})/1.21,4),""))</f>
        <v/>
      </c>
      <c r="I1070" s="76" t="n"/>
      <c r="J1070" s="77" t="n"/>
      <c r="K1070" s="74" t="n"/>
      <c r="L1070" s="78" t="n"/>
      <c r="M1070" s="77" t="n"/>
      <c r="N1070" s="53">
        <f>IF(M1070="","",IFERROR(M1070/I1070,""))</f>
        <v/>
      </c>
      <c r="O1070" s="50">
        <f>IF(A1070="","",IFERROR((IF(G1070="",I1070,G1070)-T1070)/M1070,""))</f>
        <v/>
      </c>
      <c r="P1070" s="50">
        <f>IFERROR((I1070/T1070-1)/N1070,"")</f>
        <v/>
      </c>
      <c r="Q1070" s="46">
        <f>IF(OR(T1070="",I1070&lt;T1070),"",IFERROR(R1070/IF(G1070="",I1070,G1070)-1,""))</f>
        <v/>
      </c>
      <c r="R1070" s="48">
        <f>IF($M1070="","",MAX(IF($G1070="",$I1070,$G1070)*(1/1.1),IF($G1070="",$I1070,$G1070)+(R$2*$M1070)))</f>
        <v/>
      </c>
      <c r="S1070" s="49">
        <f>IF($M1070="","",MAX(IF($G1070="",$I1070,$G1070)*(1/1.1),IF($G1070="",$I1070,$G1070)+(S$2*$M1070)))</f>
        <v/>
      </c>
      <c r="T1070" s="82" t="n"/>
      <c r="U1070" s="47">
        <f>IF(OR($M1070="",$T1070=""),"",$T1070+(U$2*$M1070))</f>
        <v/>
      </c>
      <c r="V1070" s="48">
        <f>IF(OR($M1070="",$T1070=""),"",$T1070+(V$2*$M1070))</f>
        <v/>
      </c>
      <c r="W1070" s="48">
        <f>IF(OR($M1070="",$T1070=""),"",$T1070+(W$2*$M1070))</f>
        <v/>
      </c>
      <c r="X1070" s="49">
        <f>IF(OR($M1070="",$T1070=""),"",$T1070+(X$2*$M1070))</f>
        <v/>
      </c>
      <c r="Y1070" s="47">
        <f>IF(OR($M1070="",$T1070=""),"",$T1070+(Y$2*$M1070))</f>
        <v/>
      </c>
      <c r="Z1070" s="49">
        <f>IF(OR($M1070="",$T1070=""),"",$T1070+(Z$2*$M1070))</f>
        <v/>
      </c>
      <c r="AA1070" s="51">
        <f>IF(OR($M1070="",$T1070=""),"",$T1070+(AA$2*$M1070))</f>
        <v/>
      </c>
      <c r="AB1070" s="48">
        <f>IF(OR($M1070="",$T1070=""),"",$T1070+(AB$2*$M1070))</f>
        <v/>
      </c>
      <c r="AC1070" s="48">
        <f>IF(OR($M1070="",$T1070=""),"",$T1070+(AC$2*$M1070))</f>
        <v/>
      </c>
      <c r="AD1070" s="48">
        <f>IF(OR($M1070="",$T1070=""),"",$T1070+(AD$2*$M1070))</f>
        <v/>
      </c>
      <c r="AE1070" s="49">
        <f>IF(OR($M1070="",$T1070=""),"",$T1070+(AE$2*$M1070))</f>
        <v/>
      </c>
      <c r="AF1070" s="52">
        <f>IF(OR(T1070="",I1070&lt;T1070),"",IFERROR(AVERAGE(T1070+M1070*{7,8,9,10,11})/IF(G1070="",I1070,G1070)-1,""))</f>
        <v/>
      </c>
      <c r="AG1070" s="55">
        <f>IF(OR(T1070="",I1070&lt;T1070),"",IFERROR(AF1070/-(R1070/IF(G1070="",I1070,G1070)-1),""))</f>
        <v/>
      </c>
      <c r="AH1070" s="94" t="n"/>
      <c r="AI1070" s="94" t="n"/>
      <c r="AJ1070" s="94" t="n"/>
      <c r="AK1070" s="94" t="n"/>
      <c r="AL1070" s="84" t="n"/>
    </row>
    <row r="1071">
      <c r="A1071" s="64" t="n"/>
      <c r="B1071" s="65" t="n"/>
      <c r="C1071" s="66" t="n"/>
      <c r="D1071" s="67" t="n"/>
      <c r="E1071" s="68" t="n"/>
      <c r="F1071" s="47">
        <f>IF(A1071="","",IF(MIN(H1071,MAX(J1071:K1071))=0,"",MIN(H1071,MAX(J1071:K1071))))</f>
        <v/>
      </c>
      <c r="G1071" s="74" t="n"/>
      <c r="H1071" s="49">
        <f>IF(M1071="","",IFERROR(ROUND(AVERAGE(T1071+M1071*{7,8,9,10,11})/1.21,4),""))</f>
        <v/>
      </c>
      <c r="I1071" s="76" t="n"/>
      <c r="J1071" s="77" t="n"/>
      <c r="K1071" s="74" t="n"/>
      <c r="L1071" s="78" t="n"/>
      <c r="M1071" s="77" t="n"/>
      <c r="N1071" s="53">
        <f>IF(M1071="","",IFERROR(M1071/I1071,""))</f>
        <v/>
      </c>
      <c r="O1071" s="50">
        <f>IF(A1071="","",IFERROR((IF(G1071="",I1071,G1071)-T1071)/M1071,""))</f>
        <v/>
      </c>
      <c r="P1071" s="50">
        <f>IFERROR((I1071/T1071-1)/N1071,"")</f>
        <v/>
      </c>
      <c r="Q1071" s="46">
        <f>IF(OR(T1071="",I1071&lt;T1071),"",IFERROR(R1071/IF(G1071="",I1071,G1071)-1,""))</f>
        <v/>
      </c>
      <c r="R1071" s="48">
        <f>IF($M1071="","",MAX(IF($G1071="",$I1071,$G1071)*(1/1.1),IF($G1071="",$I1071,$G1071)+(R$2*$M1071)))</f>
        <v/>
      </c>
      <c r="S1071" s="49">
        <f>IF($M1071="","",MAX(IF($G1071="",$I1071,$G1071)*(1/1.1),IF($G1071="",$I1071,$G1071)+(S$2*$M1071)))</f>
        <v/>
      </c>
      <c r="T1071" s="82" t="n"/>
      <c r="U1071" s="47">
        <f>IF(OR($M1071="",$T1071=""),"",$T1071+(U$2*$M1071))</f>
        <v/>
      </c>
      <c r="V1071" s="48">
        <f>IF(OR($M1071="",$T1071=""),"",$T1071+(V$2*$M1071))</f>
        <v/>
      </c>
      <c r="W1071" s="48">
        <f>IF(OR($M1071="",$T1071=""),"",$T1071+(W$2*$M1071))</f>
        <v/>
      </c>
      <c r="X1071" s="49">
        <f>IF(OR($M1071="",$T1071=""),"",$T1071+(X$2*$M1071))</f>
        <v/>
      </c>
      <c r="Y1071" s="47">
        <f>IF(OR($M1071="",$T1071=""),"",$T1071+(Y$2*$M1071))</f>
        <v/>
      </c>
      <c r="Z1071" s="49">
        <f>IF(OR($M1071="",$T1071=""),"",$T1071+(Z$2*$M1071))</f>
        <v/>
      </c>
      <c r="AA1071" s="51">
        <f>IF(OR($M1071="",$T1071=""),"",$T1071+(AA$2*$M1071))</f>
        <v/>
      </c>
      <c r="AB1071" s="48">
        <f>IF(OR($M1071="",$T1071=""),"",$T1071+(AB$2*$M1071))</f>
        <v/>
      </c>
      <c r="AC1071" s="48">
        <f>IF(OR($M1071="",$T1071=""),"",$T1071+(AC$2*$M1071))</f>
        <v/>
      </c>
      <c r="AD1071" s="48">
        <f>IF(OR($M1071="",$T1071=""),"",$T1071+(AD$2*$M1071))</f>
        <v/>
      </c>
      <c r="AE1071" s="49">
        <f>IF(OR($M1071="",$T1071=""),"",$T1071+(AE$2*$M1071))</f>
        <v/>
      </c>
      <c r="AF1071" s="52">
        <f>IF(OR(T1071="",I1071&lt;T1071),"",IFERROR(AVERAGE(T1071+M1071*{7,8,9,10,11})/IF(G1071="",I1071,G1071)-1,""))</f>
        <v/>
      </c>
      <c r="AG1071" s="55">
        <f>IF(OR(T1071="",I1071&lt;T1071),"",IFERROR(AF1071/-(R1071/IF(G1071="",I1071,G1071)-1),""))</f>
        <v/>
      </c>
      <c r="AH1071" s="94" t="n"/>
      <c r="AI1071" s="94" t="n"/>
      <c r="AJ1071" s="94" t="n"/>
      <c r="AK1071" s="94" t="n"/>
      <c r="AL1071" s="84" t="n"/>
    </row>
    <row r="1072">
      <c r="A1072" s="64" t="n"/>
      <c r="B1072" s="65" t="n"/>
      <c r="C1072" s="66" t="n"/>
      <c r="D1072" s="67" t="n"/>
      <c r="E1072" s="68" t="n"/>
      <c r="F1072" s="47">
        <f>IF(A1072="","",IF(MIN(H1072,MAX(J1072:K1072))=0,"",MIN(H1072,MAX(J1072:K1072))))</f>
        <v/>
      </c>
      <c r="G1072" s="74" t="n"/>
      <c r="H1072" s="49">
        <f>IF(M1072="","",IFERROR(ROUND(AVERAGE(T1072+M1072*{7,8,9,10,11})/1.21,4),""))</f>
        <v/>
      </c>
      <c r="I1072" s="76" t="n"/>
      <c r="J1072" s="77" t="n"/>
      <c r="K1072" s="74" t="n"/>
      <c r="L1072" s="78" t="n"/>
      <c r="M1072" s="77" t="n"/>
      <c r="N1072" s="53">
        <f>IF(M1072="","",IFERROR(M1072/I1072,""))</f>
        <v/>
      </c>
      <c r="O1072" s="50">
        <f>IF(A1072="","",IFERROR((IF(G1072="",I1072,G1072)-T1072)/M1072,""))</f>
        <v/>
      </c>
      <c r="P1072" s="50">
        <f>IFERROR((I1072/T1072-1)/N1072,"")</f>
        <v/>
      </c>
      <c r="Q1072" s="46">
        <f>IF(OR(T1072="",I1072&lt;T1072),"",IFERROR(R1072/IF(G1072="",I1072,G1072)-1,""))</f>
        <v/>
      </c>
      <c r="R1072" s="48">
        <f>IF($M1072="","",MAX(IF($G1072="",$I1072,$G1072)*(1/1.1),IF($G1072="",$I1072,$G1072)+(R$2*$M1072)))</f>
        <v/>
      </c>
      <c r="S1072" s="49">
        <f>IF($M1072="","",MAX(IF($G1072="",$I1072,$G1072)*(1/1.1),IF($G1072="",$I1072,$G1072)+(S$2*$M1072)))</f>
        <v/>
      </c>
      <c r="T1072" s="82" t="n"/>
      <c r="U1072" s="47">
        <f>IF(OR($M1072="",$T1072=""),"",$T1072+(U$2*$M1072))</f>
        <v/>
      </c>
      <c r="V1072" s="48">
        <f>IF(OR($M1072="",$T1072=""),"",$T1072+(V$2*$M1072))</f>
        <v/>
      </c>
      <c r="W1072" s="48">
        <f>IF(OR($M1072="",$T1072=""),"",$T1072+(W$2*$M1072))</f>
        <v/>
      </c>
      <c r="X1072" s="49">
        <f>IF(OR($M1072="",$T1072=""),"",$T1072+(X$2*$M1072))</f>
        <v/>
      </c>
      <c r="Y1072" s="47">
        <f>IF(OR($M1072="",$T1072=""),"",$T1072+(Y$2*$M1072))</f>
        <v/>
      </c>
      <c r="Z1072" s="49">
        <f>IF(OR($M1072="",$T1072=""),"",$T1072+(Z$2*$M1072))</f>
        <v/>
      </c>
      <c r="AA1072" s="51">
        <f>IF(OR($M1072="",$T1072=""),"",$T1072+(AA$2*$M1072))</f>
        <v/>
      </c>
      <c r="AB1072" s="48">
        <f>IF(OR($M1072="",$T1072=""),"",$T1072+(AB$2*$M1072))</f>
        <v/>
      </c>
      <c r="AC1072" s="48">
        <f>IF(OR($M1072="",$T1072=""),"",$T1072+(AC$2*$M1072))</f>
        <v/>
      </c>
      <c r="AD1072" s="48">
        <f>IF(OR($M1072="",$T1072=""),"",$T1072+(AD$2*$M1072))</f>
        <v/>
      </c>
      <c r="AE1072" s="49">
        <f>IF(OR($M1072="",$T1072=""),"",$T1072+(AE$2*$M1072))</f>
        <v/>
      </c>
      <c r="AF1072" s="52">
        <f>IF(OR(T1072="",I1072&lt;T1072),"",IFERROR(AVERAGE(T1072+M1072*{7,8,9,10,11})/IF(G1072="",I1072,G1072)-1,""))</f>
        <v/>
      </c>
      <c r="AG1072" s="55">
        <f>IF(OR(T1072="",I1072&lt;T1072),"",IFERROR(AF1072/-(R1072/IF(G1072="",I1072,G1072)-1),""))</f>
        <v/>
      </c>
      <c r="AH1072" s="94" t="n"/>
      <c r="AI1072" s="94" t="n"/>
      <c r="AJ1072" s="94" t="n"/>
      <c r="AK1072" s="94" t="n"/>
      <c r="AL1072" s="84" t="n"/>
    </row>
    <row r="1073">
      <c r="A1073" s="64" t="n"/>
      <c r="B1073" s="65" t="n"/>
      <c r="C1073" s="66" t="n"/>
      <c r="D1073" s="67" t="n"/>
      <c r="E1073" s="68" t="n"/>
      <c r="F1073" s="47">
        <f>IF(A1073="","",IF(MIN(H1073,MAX(J1073:K1073))=0,"",MIN(H1073,MAX(J1073:K1073))))</f>
        <v/>
      </c>
      <c r="G1073" s="74" t="n"/>
      <c r="H1073" s="49">
        <f>IF(M1073="","",IFERROR(ROUND(AVERAGE(T1073+M1073*{7,8,9,10,11})/1.21,4),""))</f>
        <v/>
      </c>
      <c r="I1073" s="76" t="n"/>
      <c r="J1073" s="77" t="n"/>
      <c r="K1073" s="74" t="n"/>
      <c r="L1073" s="78" t="n"/>
      <c r="M1073" s="77" t="n"/>
      <c r="N1073" s="53">
        <f>IF(M1073="","",IFERROR(M1073/I1073,""))</f>
        <v/>
      </c>
      <c r="O1073" s="50">
        <f>IF(A1073="","",IFERROR((IF(G1073="",I1073,G1073)-T1073)/M1073,""))</f>
        <v/>
      </c>
      <c r="P1073" s="50">
        <f>IFERROR((I1073/T1073-1)/N1073,"")</f>
        <v/>
      </c>
      <c r="Q1073" s="46">
        <f>IF(OR(T1073="",I1073&lt;T1073),"",IFERROR(R1073/IF(G1073="",I1073,G1073)-1,""))</f>
        <v/>
      </c>
      <c r="R1073" s="48">
        <f>IF($M1073="","",MAX(IF($G1073="",$I1073,$G1073)*(1/1.1),IF($G1073="",$I1073,$G1073)+(R$2*$M1073)))</f>
        <v/>
      </c>
      <c r="S1073" s="49">
        <f>IF($M1073="","",MAX(IF($G1073="",$I1073,$G1073)*(1/1.1),IF($G1073="",$I1073,$G1073)+(S$2*$M1073)))</f>
        <v/>
      </c>
      <c r="T1073" s="82" t="n"/>
      <c r="U1073" s="47">
        <f>IF(OR($M1073="",$T1073=""),"",$T1073+(U$2*$M1073))</f>
        <v/>
      </c>
      <c r="V1073" s="48">
        <f>IF(OR($M1073="",$T1073=""),"",$T1073+(V$2*$M1073))</f>
        <v/>
      </c>
      <c r="W1073" s="48">
        <f>IF(OR($M1073="",$T1073=""),"",$T1073+(W$2*$M1073))</f>
        <v/>
      </c>
      <c r="X1073" s="49">
        <f>IF(OR($M1073="",$T1073=""),"",$T1073+(X$2*$M1073))</f>
        <v/>
      </c>
      <c r="Y1073" s="47">
        <f>IF(OR($M1073="",$T1073=""),"",$T1073+(Y$2*$M1073))</f>
        <v/>
      </c>
      <c r="Z1073" s="49">
        <f>IF(OR($M1073="",$T1073=""),"",$T1073+(Z$2*$M1073))</f>
        <v/>
      </c>
      <c r="AA1073" s="51">
        <f>IF(OR($M1073="",$T1073=""),"",$T1073+(AA$2*$M1073))</f>
        <v/>
      </c>
      <c r="AB1073" s="48">
        <f>IF(OR($M1073="",$T1073=""),"",$T1073+(AB$2*$M1073))</f>
        <v/>
      </c>
      <c r="AC1073" s="48">
        <f>IF(OR($M1073="",$T1073=""),"",$T1073+(AC$2*$M1073))</f>
        <v/>
      </c>
      <c r="AD1073" s="48">
        <f>IF(OR($M1073="",$T1073=""),"",$T1073+(AD$2*$M1073))</f>
        <v/>
      </c>
      <c r="AE1073" s="49">
        <f>IF(OR($M1073="",$T1073=""),"",$T1073+(AE$2*$M1073))</f>
        <v/>
      </c>
      <c r="AF1073" s="52">
        <f>IF(OR(T1073="",I1073&lt;T1073),"",IFERROR(AVERAGE(T1073+M1073*{7,8,9,10,11})/IF(G1073="",I1073,G1073)-1,""))</f>
        <v/>
      </c>
      <c r="AG1073" s="55">
        <f>IF(OR(T1073="",I1073&lt;T1073),"",IFERROR(AF1073/-(R1073/IF(G1073="",I1073,G1073)-1),""))</f>
        <v/>
      </c>
      <c r="AH1073" s="94" t="n"/>
      <c r="AI1073" s="94" t="n"/>
      <c r="AJ1073" s="94" t="n"/>
      <c r="AK1073" s="94" t="n"/>
      <c r="AL1073" s="84" t="n"/>
    </row>
    <row r="1074">
      <c r="A1074" s="64" t="n"/>
      <c r="B1074" s="65" t="n"/>
      <c r="C1074" s="66" t="n"/>
      <c r="D1074" s="67" t="n"/>
      <c r="E1074" s="68" t="n"/>
      <c r="F1074" s="47">
        <f>IF(A1074="","",IF(MIN(H1074,MAX(J1074:K1074))=0,"",MIN(H1074,MAX(J1074:K1074))))</f>
        <v/>
      </c>
      <c r="G1074" s="74" t="n"/>
      <c r="H1074" s="49">
        <f>IF(M1074="","",IFERROR(ROUND(AVERAGE(T1074+M1074*{7,8,9,10,11})/1.21,4),""))</f>
        <v/>
      </c>
      <c r="I1074" s="76" t="n"/>
      <c r="J1074" s="77" t="n"/>
      <c r="K1074" s="74" t="n"/>
      <c r="L1074" s="78" t="n"/>
      <c r="M1074" s="77" t="n"/>
      <c r="N1074" s="53">
        <f>IF(M1074="","",IFERROR(M1074/I1074,""))</f>
        <v/>
      </c>
      <c r="O1074" s="50">
        <f>IF(A1074="","",IFERROR((IF(G1074="",I1074,G1074)-T1074)/M1074,""))</f>
        <v/>
      </c>
      <c r="P1074" s="50">
        <f>IFERROR((I1074/T1074-1)/N1074,"")</f>
        <v/>
      </c>
      <c r="Q1074" s="46">
        <f>IF(OR(T1074="",I1074&lt;T1074),"",IFERROR(R1074/IF(G1074="",I1074,G1074)-1,""))</f>
        <v/>
      </c>
      <c r="R1074" s="48">
        <f>IF($M1074="","",MAX(IF($G1074="",$I1074,$G1074)*(1/1.1),IF($G1074="",$I1074,$G1074)+(R$2*$M1074)))</f>
        <v/>
      </c>
      <c r="S1074" s="49">
        <f>IF($M1074="","",MAX(IF($G1074="",$I1074,$G1074)*(1/1.1),IF($G1074="",$I1074,$G1074)+(S$2*$M1074)))</f>
        <v/>
      </c>
      <c r="T1074" s="82" t="n"/>
      <c r="U1074" s="47">
        <f>IF(OR($M1074="",$T1074=""),"",$T1074+(U$2*$M1074))</f>
        <v/>
      </c>
      <c r="V1074" s="48">
        <f>IF(OR($M1074="",$T1074=""),"",$T1074+(V$2*$M1074))</f>
        <v/>
      </c>
      <c r="W1074" s="48">
        <f>IF(OR($M1074="",$T1074=""),"",$T1074+(W$2*$M1074))</f>
        <v/>
      </c>
      <c r="X1074" s="49">
        <f>IF(OR($M1074="",$T1074=""),"",$T1074+(X$2*$M1074))</f>
        <v/>
      </c>
      <c r="Y1074" s="47">
        <f>IF(OR($M1074="",$T1074=""),"",$T1074+(Y$2*$M1074))</f>
        <v/>
      </c>
      <c r="Z1074" s="49">
        <f>IF(OR($M1074="",$T1074=""),"",$T1074+(Z$2*$M1074))</f>
        <v/>
      </c>
      <c r="AA1074" s="51">
        <f>IF(OR($M1074="",$T1074=""),"",$T1074+(AA$2*$M1074))</f>
        <v/>
      </c>
      <c r="AB1074" s="48">
        <f>IF(OR($M1074="",$T1074=""),"",$T1074+(AB$2*$M1074))</f>
        <v/>
      </c>
      <c r="AC1074" s="48">
        <f>IF(OR($M1074="",$T1074=""),"",$T1074+(AC$2*$M1074))</f>
        <v/>
      </c>
      <c r="AD1074" s="48">
        <f>IF(OR($M1074="",$T1074=""),"",$T1074+(AD$2*$M1074))</f>
        <v/>
      </c>
      <c r="AE1074" s="49">
        <f>IF(OR($M1074="",$T1074=""),"",$T1074+(AE$2*$M1074))</f>
        <v/>
      </c>
      <c r="AF1074" s="52">
        <f>IF(OR(T1074="",I1074&lt;T1074),"",IFERROR(AVERAGE(T1074+M1074*{7,8,9,10,11})/IF(G1074="",I1074,G1074)-1,""))</f>
        <v/>
      </c>
      <c r="AG1074" s="55">
        <f>IF(OR(T1074="",I1074&lt;T1074),"",IFERROR(AF1074/-(R1074/IF(G1074="",I1074,G1074)-1),""))</f>
        <v/>
      </c>
      <c r="AH1074" s="94" t="n"/>
      <c r="AI1074" s="94" t="n"/>
      <c r="AJ1074" s="94" t="n"/>
      <c r="AK1074" s="94" t="n"/>
      <c r="AL1074" s="84" t="n"/>
    </row>
    <row r="1075">
      <c r="A1075" s="64" t="n"/>
      <c r="B1075" s="65" t="n"/>
      <c r="C1075" s="66" t="n"/>
      <c r="D1075" s="67" t="n"/>
      <c r="E1075" s="68" t="n"/>
      <c r="F1075" s="47">
        <f>IF(A1075="","",IF(MIN(H1075,MAX(J1075:K1075))=0,"",MIN(H1075,MAX(J1075:K1075))))</f>
        <v/>
      </c>
      <c r="G1075" s="74" t="n"/>
      <c r="H1075" s="49">
        <f>IF(M1075="","",IFERROR(ROUND(AVERAGE(T1075+M1075*{7,8,9,10,11})/1.21,4),""))</f>
        <v/>
      </c>
      <c r="I1075" s="76" t="n"/>
      <c r="J1075" s="77" t="n"/>
      <c r="K1075" s="74" t="n"/>
      <c r="L1075" s="78" t="n"/>
      <c r="M1075" s="77" t="n"/>
      <c r="N1075" s="53">
        <f>IF(M1075="","",IFERROR(M1075/I1075,""))</f>
        <v/>
      </c>
      <c r="O1075" s="50">
        <f>IF(A1075="","",IFERROR((IF(G1075="",I1075,G1075)-T1075)/M1075,""))</f>
        <v/>
      </c>
      <c r="P1075" s="50">
        <f>IFERROR((I1075/T1075-1)/N1075,"")</f>
        <v/>
      </c>
      <c r="Q1075" s="46">
        <f>IF(OR(T1075="",I1075&lt;T1075),"",IFERROR(R1075/IF(G1075="",I1075,G1075)-1,""))</f>
        <v/>
      </c>
      <c r="R1075" s="48">
        <f>IF($M1075="","",MAX(IF($G1075="",$I1075,$G1075)*(1/1.1),IF($G1075="",$I1075,$G1075)+(R$2*$M1075)))</f>
        <v/>
      </c>
      <c r="S1075" s="49">
        <f>IF($M1075="","",MAX(IF($G1075="",$I1075,$G1075)*(1/1.1),IF($G1075="",$I1075,$G1075)+(S$2*$M1075)))</f>
        <v/>
      </c>
      <c r="T1075" s="82" t="n"/>
      <c r="U1075" s="47">
        <f>IF(OR($M1075="",$T1075=""),"",$T1075+(U$2*$M1075))</f>
        <v/>
      </c>
      <c r="V1075" s="48">
        <f>IF(OR($M1075="",$T1075=""),"",$T1075+(V$2*$M1075))</f>
        <v/>
      </c>
      <c r="W1075" s="48">
        <f>IF(OR($M1075="",$T1075=""),"",$T1075+(W$2*$M1075))</f>
        <v/>
      </c>
      <c r="X1075" s="49">
        <f>IF(OR($M1075="",$T1075=""),"",$T1075+(X$2*$M1075))</f>
        <v/>
      </c>
      <c r="Y1075" s="47">
        <f>IF(OR($M1075="",$T1075=""),"",$T1075+(Y$2*$M1075))</f>
        <v/>
      </c>
      <c r="Z1075" s="49">
        <f>IF(OR($M1075="",$T1075=""),"",$T1075+(Z$2*$M1075))</f>
        <v/>
      </c>
      <c r="AA1075" s="51">
        <f>IF(OR($M1075="",$T1075=""),"",$T1075+(AA$2*$M1075))</f>
        <v/>
      </c>
      <c r="AB1075" s="48">
        <f>IF(OR($M1075="",$T1075=""),"",$T1075+(AB$2*$M1075))</f>
        <v/>
      </c>
      <c r="AC1075" s="48">
        <f>IF(OR($M1075="",$T1075=""),"",$T1075+(AC$2*$M1075))</f>
        <v/>
      </c>
      <c r="AD1075" s="48">
        <f>IF(OR($M1075="",$T1075=""),"",$T1075+(AD$2*$M1075))</f>
        <v/>
      </c>
      <c r="AE1075" s="49">
        <f>IF(OR($M1075="",$T1075=""),"",$T1075+(AE$2*$M1075))</f>
        <v/>
      </c>
      <c r="AF1075" s="52">
        <f>IF(OR(T1075="",I1075&lt;T1075),"",IFERROR(AVERAGE(T1075+M1075*{7,8,9,10,11})/IF(G1075="",I1075,G1075)-1,""))</f>
        <v/>
      </c>
      <c r="AG1075" s="55">
        <f>IF(OR(T1075="",I1075&lt;T1075),"",IFERROR(AF1075/-(R1075/IF(G1075="",I1075,G1075)-1),""))</f>
        <v/>
      </c>
      <c r="AH1075" s="94" t="n"/>
      <c r="AI1075" s="94" t="n"/>
      <c r="AJ1075" s="94" t="n"/>
      <c r="AK1075" s="94" t="n"/>
      <c r="AL1075" s="84" t="n"/>
    </row>
    <row r="1076">
      <c r="A1076" s="64" t="n"/>
      <c r="B1076" s="65" t="n"/>
      <c r="C1076" s="66" t="n"/>
      <c r="D1076" s="67" t="n"/>
      <c r="E1076" s="68" t="n"/>
      <c r="F1076" s="47">
        <f>IF(A1076="","",IF(MIN(H1076,MAX(J1076:K1076))=0,"",MIN(H1076,MAX(J1076:K1076))))</f>
        <v/>
      </c>
      <c r="G1076" s="74" t="n"/>
      <c r="H1076" s="49">
        <f>IF(M1076="","",IFERROR(ROUND(AVERAGE(T1076+M1076*{7,8,9,10,11})/1.21,4),""))</f>
        <v/>
      </c>
      <c r="I1076" s="76" t="n"/>
      <c r="J1076" s="77" t="n"/>
      <c r="K1076" s="74" t="n"/>
      <c r="L1076" s="78" t="n"/>
      <c r="M1076" s="77" t="n"/>
      <c r="N1076" s="53">
        <f>IF(M1076="","",IFERROR(M1076/I1076,""))</f>
        <v/>
      </c>
      <c r="O1076" s="50">
        <f>IF(A1076="","",IFERROR((IF(G1076="",I1076,G1076)-T1076)/M1076,""))</f>
        <v/>
      </c>
      <c r="P1076" s="50">
        <f>IFERROR((I1076/T1076-1)/N1076,"")</f>
        <v/>
      </c>
      <c r="Q1076" s="46">
        <f>IF(OR(T1076="",I1076&lt;T1076),"",IFERROR(R1076/IF(G1076="",I1076,G1076)-1,""))</f>
        <v/>
      </c>
      <c r="R1076" s="48">
        <f>IF($M1076="","",MAX(IF($G1076="",$I1076,$G1076)*(1/1.1),IF($G1076="",$I1076,$G1076)+(R$2*$M1076)))</f>
        <v/>
      </c>
      <c r="S1076" s="49">
        <f>IF($M1076="","",MAX(IF($G1076="",$I1076,$G1076)*(1/1.1),IF($G1076="",$I1076,$G1076)+(S$2*$M1076)))</f>
        <v/>
      </c>
      <c r="T1076" s="82" t="n"/>
      <c r="U1076" s="47">
        <f>IF(OR($M1076="",$T1076=""),"",$T1076+(U$2*$M1076))</f>
        <v/>
      </c>
      <c r="V1076" s="48">
        <f>IF(OR($M1076="",$T1076=""),"",$T1076+(V$2*$M1076))</f>
        <v/>
      </c>
      <c r="W1076" s="48">
        <f>IF(OR($M1076="",$T1076=""),"",$T1076+(W$2*$M1076))</f>
        <v/>
      </c>
      <c r="X1076" s="49">
        <f>IF(OR($M1076="",$T1076=""),"",$T1076+(X$2*$M1076))</f>
        <v/>
      </c>
      <c r="Y1076" s="47">
        <f>IF(OR($M1076="",$T1076=""),"",$T1076+(Y$2*$M1076))</f>
        <v/>
      </c>
      <c r="Z1076" s="49">
        <f>IF(OR($M1076="",$T1076=""),"",$T1076+(Z$2*$M1076))</f>
        <v/>
      </c>
      <c r="AA1076" s="51">
        <f>IF(OR($M1076="",$T1076=""),"",$T1076+(AA$2*$M1076))</f>
        <v/>
      </c>
      <c r="AB1076" s="48">
        <f>IF(OR($M1076="",$T1076=""),"",$T1076+(AB$2*$M1076))</f>
        <v/>
      </c>
      <c r="AC1076" s="48">
        <f>IF(OR($M1076="",$T1076=""),"",$T1076+(AC$2*$M1076))</f>
        <v/>
      </c>
      <c r="AD1076" s="48">
        <f>IF(OR($M1076="",$T1076=""),"",$T1076+(AD$2*$M1076))</f>
        <v/>
      </c>
      <c r="AE1076" s="49">
        <f>IF(OR($M1076="",$T1076=""),"",$T1076+(AE$2*$M1076))</f>
        <v/>
      </c>
      <c r="AF1076" s="52">
        <f>IF(OR(T1076="",I1076&lt;T1076),"",IFERROR(AVERAGE(T1076+M1076*{7,8,9,10,11})/IF(G1076="",I1076,G1076)-1,""))</f>
        <v/>
      </c>
      <c r="AG1076" s="55">
        <f>IF(OR(T1076="",I1076&lt;T1076),"",IFERROR(AF1076/-(R1076/IF(G1076="",I1076,G1076)-1),""))</f>
        <v/>
      </c>
      <c r="AH1076" s="94" t="n"/>
      <c r="AI1076" s="94" t="n"/>
      <c r="AJ1076" s="94" t="n"/>
      <c r="AK1076" s="94" t="n"/>
      <c r="AL1076" s="84" t="n"/>
    </row>
    <row r="1077">
      <c r="A1077" s="64" t="n"/>
      <c r="B1077" s="65" t="n"/>
      <c r="C1077" s="66" t="n"/>
      <c r="D1077" s="67" t="n"/>
      <c r="E1077" s="68" t="n"/>
      <c r="F1077" s="47">
        <f>IF(A1077="","",IF(MIN(H1077,MAX(J1077:K1077))=0,"",MIN(H1077,MAX(J1077:K1077))))</f>
        <v/>
      </c>
      <c r="G1077" s="74" t="n"/>
      <c r="H1077" s="49">
        <f>IF(M1077="","",IFERROR(ROUND(AVERAGE(T1077+M1077*{7,8,9,10,11})/1.21,4),""))</f>
        <v/>
      </c>
      <c r="I1077" s="76" t="n"/>
      <c r="J1077" s="77" t="n"/>
      <c r="K1077" s="74" t="n"/>
      <c r="L1077" s="78" t="n"/>
      <c r="M1077" s="77" t="n"/>
      <c r="N1077" s="53">
        <f>IF(M1077="","",IFERROR(M1077/I1077,""))</f>
        <v/>
      </c>
      <c r="O1077" s="50">
        <f>IF(A1077="","",IFERROR((IF(G1077="",I1077,G1077)-T1077)/M1077,""))</f>
        <v/>
      </c>
      <c r="P1077" s="50">
        <f>IFERROR((I1077/T1077-1)/N1077,"")</f>
        <v/>
      </c>
      <c r="Q1077" s="46">
        <f>IF(OR(T1077="",I1077&lt;T1077),"",IFERROR(R1077/IF(G1077="",I1077,G1077)-1,""))</f>
        <v/>
      </c>
      <c r="R1077" s="48">
        <f>IF($M1077="","",MAX(IF($G1077="",$I1077,$G1077)*(1/1.1),IF($G1077="",$I1077,$G1077)+(R$2*$M1077)))</f>
        <v/>
      </c>
      <c r="S1077" s="49">
        <f>IF($M1077="","",MAX(IF($G1077="",$I1077,$G1077)*(1/1.1),IF($G1077="",$I1077,$G1077)+(S$2*$M1077)))</f>
        <v/>
      </c>
      <c r="T1077" s="82" t="n"/>
      <c r="U1077" s="47">
        <f>IF(OR($M1077="",$T1077=""),"",$T1077+(U$2*$M1077))</f>
        <v/>
      </c>
      <c r="V1077" s="48">
        <f>IF(OR($M1077="",$T1077=""),"",$T1077+(V$2*$M1077))</f>
        <v/>
      </c>
      <c r="W1077" s="48">
        <f>IF(OR($M1077="",$T1077=""),"",$T1077+(W$2*$M1077))</f>
        <v/>
      </c>
      <c r="X1077" s="49">
        <f>IF(OR($M1077="",$T1077=""),"",$T1077+(X$2*$M1077))</f>
        <v/>
      </c>
      <c r="Y1077" s="47">
        <f>IF(OR($M1077="",$T1077=""),"",$T1077+(Y$2*$M1077))</f>
        <v/>
      </c>
      <c r="Z1077" s="49">
        <f>IF(OR($M1077="",$T1077=""),"",$T1077+(Z$2*$M1077))</f>
        <v/>
      </c>
      <c r="AA1077" s="51">
        <f>IF(OR($M1077="",$T1077=""),"",$T1077+(AA$2*$M1077))</f>
        <v/>
      </c>
      <c r="AB1077" s="48">
        <f>IF(OR($M1077="",$T1077=""),"",$T1077+(AB$2*$M1077))</f>
        <v/>
      </c>
      <c r="AC1077" s="48">
        <f>IF(OR($M1077="",$T1077=""),"",$T1077+(AC$2*$M1077))</f>
        <v/>
      </c>
      <c r="AD1077" s="48">
        <f>IF(OR($M1077="",$T1077=""),"",$T1077+(AD$2*$M1077))</f>
        <v/>
      </c>
      <c r="AE1077" s="49">
        <f>IF(OR($M1077="",$T1077=""),"",$T1077+(AE$2*$M1077))</f>
        <v/>
      </c>
      <c r="AF1077" s="52">
        <f>IF(OR(T1077="",I1077&lt;T1077),"",IFERROR(AVERAGE(T1077+M1077*{7,8,9,10,11})/IF(G1077="",I1077,G1077)-1,""))</f>
        <v/>
      </c>
      <c r="AG1077" s="55">
        <f>IF(OR(T1077="",I1077&lt;T1077),"",IFERROR(AF1077/-(R1077/IF(G1077="",I1077,G1077)-1),""))</f>
        <v/>
      </c>
      <c r="AH1077" s="94" t="n"/>
      <c r="AI1077" s="94" t="n"/>
      <c r="AJ1077" s="94" t="n"/>
      <c r="AK1077" s="94" t="n"/>
      <c r="AL1077" s="84" t="n"/>
    </row>
    <row r="1078">
      <c r="A1078" s="64" t="n"/>
      <c r="B1078" s="65" t="n"/>
      <c r="C1078" s="66" t="n"/>
      <c r="D1078" s="67" t="n"/>
      <c r="E1078" s="68" t="n"/>
      <c r="F1078" s="47">
        <f>IF(A1078="","",IF(MIN(H1078,MAX(J1078:K1078))=0,"",MIN(H1078,MAX(J1078:K1078))))</f>
        <v/>
      </c>
      <c r="G1078" s="74" t="n"/>
      <c r="H1078" s="49">
        <f>IF(M1078="","",IFERROR(ROUND(AVERAGE(T1078+M1078*{7,8,9,10,11})/1.21,4),""))</f>
        <v/>
      </c>
      <c r="I1078" s="76" t="n"/>
      <c r="J1078" s="77" t="n"/>
      <c r="K1078" s="74" t="n"/>
      <c r="L1078" s="78" t="n"/>
      <c r="M1078" s="77" t="n"/>
      <c r="N1078" s="53">
        <f>IF(M1078="","",IFERROR(M1078/I1078,""))</f>
        <v/>
      </c>
      <c r="O1078" s="50">
        <f>IF(A1078="","",IFERROR((IF(G1078="",I1078,G1078)-T1078)/M1078,""))</f>
        <v/>
      </c>
      <c r="P1078" s="50">
        <f>IFERROR((I1078/T1078-1)/N1078,"")</f>
        <v/>
      </c>
      <c r="Q1078" s="46">
        <f>IF(OR(T1078="",I1078&lt;T1078),"",IFERROR(R1078/IF(G1078="",I1078,G1078)-1,""))</f>
        <v/>
      </c>
      <c r="R1078" s="48">
        <f>IF($M1078="","",MAX(IF($G1078="",$I1078,$G1078)*(1/1.1),IF($G1078="",$I1078,$G1078)+(R$2*$M1078)))</f>
        <v/>
      </c>
      <c r="S1078" s="49">
        <f>IF($M1078="","",MAX(IF($G1078="",$I1078,$G1078)*(1/1.1),IF($G1078="",$I1078,$G1078)+(S$2*$M1078)))</f>
        <v/>
      </c>
      <c r="T1078" s="82" t="n"/>
      <c r="U1078" s="47">
        <f>IF(OR($M1078="",$T1078=""),"",$T1078+(U$2*$M1078))</f>
        <v/>
      </c>
      <c r="V1078" s="48">
        <f>IF(OR($M1078="",$T1078=""),"",$T1078+(V$2*$M1078))</f>
        <v/>
      </c>
      <c r="W1078" s="48">
        <f>IF(OR($M1078="",$T1078=""),"",$T1078+(W$2*$M1078))</f>
        <v/>
      </c>
      <c r="X1078" s="49">
        <f>IF(OR($M1078="",$T1078=""),"",$T1078+(X$2*$M1078))</f>
        <v/>
      </c>
      <c r="Y1078" s="47">
        <f>IF(OR($M1078="",$T1078=""),"",$T1078+(Y$2*$M1078))</f>
        <v/>
      </c>
      <c r="Z1078" s="49">
        <f>IF(OR($M1078="",$T1078=""),"",$T1078+(Z$2*$M1078))</f>
        <v/>
      </c>
      <c r="AA1078" s="51">
        <f>IF(OR($M1078="",$T1078=""),"",$T1078+(AA$2*$M1078))</f>
        <v/>
      </c>
      <c r="AB1078" s="48">
        <f>IF(OR($M1078="",$T1078=""),"",$T1078+(AB$2*$M1078))</f>
        <v/>
      </c>
      <c r="AC1078" s="48">
        <f>IF(OR($M1078="",$T1078=""),"",$T1078+(AC$2*$M1078))</f>
        <v/>
      </c>
      <c r="AD1078" s="48">
        <f>IF(OR($M1078="",$T1078=""),"",$T1078+(AD$2*$M1078))</f>
        <v/>
      </c>
      <c r="AE1078" s="49">
        <f>IF(OR($M1078="",$T1078=""),"",$T1078+(AE$2*$M1078))</f>
        <v/>
      </c>
      <c r="AF1078" s="52">
        <f>IF(OR(T1078="",I1078&lt;T1078),"",IFERROR(AVERAGE(T1078+M1078*{7,8,9,10,11})/IF(G1078="",I1078,G1078)-1,""))</f>
        <v/>
      </c>
      <c r="AG1078" s="55">
        <f>IF(OR(T1078="",I1078&lt;T1078),"",IFERROR(AF1078/-(R1078/IF(G1078="",I1078,G1078)-1),""))</f>
        <v/>
      </c>
      <c r="AH1078" s="94" t="n"/>
      <c r="AI1078" s="94" t="n"/>
      <c r="AJ1078" s="94" t="n"/>
      <c r="AK1078" s="94" t="n"/>
      <c r="AL1078" s="84" t="n"/>
    </row>
    <row r="1079">
      <c r="A1079" s="64" t="n"/>
      <c r="B1079" s="65" t="n"/>
      <c r="C1079" s="66" t="n"/>
      <c r="D1079" s="67" t="n"/>
      <c r="E1079" s="68" t="n"/>
      <c r="F1079" s="47">
        <f>IF(A1079="","",IF(MIN(H1079,MAX(J1079:K1079))=0,"",MIN(H1079,MAX(J1079:K1079))))</f>
        <v/>
      </c>
      <c r="G1079" s="74" t="n"/>
      <c r="H1079" s="49">
        <f>IF(M1079="","",IFERROR(ROUND(AVERAGE(T1079+M1079*{7,8,9,10,11})/1.21,4),""))</f>
        <v/>
      </c>
      <c r="I1079" s="76" t="n"/>
      <c r="J1079" s="77" t="n"/>
      <c r="K1079" s="74" t="n"/>
      <c r="L1079" s="78" t="n"/>
      <c r="M1079" s="77" t="n"/>
      <c r="N1079" s="53">
        <f>IF(M1079="","",IFERROR(M1079/I1079,""))</f>
        <v/>
      </c>
      <c r="O1079" s="50">
        <f>IF(A1079="","",IFERROR((IF(G1079="",I1079,G1079)-T1079)/M1079,""))</f>
        <v/>
      </c>
      <c r="P1079" s="50">
        <f>IFERROR((I1079/T1079-1)/N1079,"")</f>
        <v/>
      </c>
      <c r="Q1079" s="46">
        <f>IF(OR(T1079="",I1079&lt;T1079),"",IFERROR(R1079/IF(G1079="",I1079,G1079)-1,""))</f>
        <v/>
      </c>
      <c r="R1079" s="48">
        <f>IF($M1079="","",MAX(IF($G1079="",$I1079,$G1079)*(1/1.1),IF($G1079="",$I1079,$G1079)+(R$2*$M1079)))</f>
        <v/>
      </c>
      <c r="S1079" s="49">
        <f>IF($M1079="","",MAX(IF($G1079="",$I1079,$G1079)*(1/1.1),IF($G1079="",$I1079,$G1079)+(S$2*$M1079)))</f>
        <v/>
      </c>
      <c r="T1079" s="82" t="n"/>
      <c r="U1079" s="47">
        <f>IF(OR($M1079="",$T1079=""),"",$T1079+(U$2*$M1079))</f>
        <v/>
      </c>
      <c r="V1079" s="48">
        <f>IF(OR($M1079="",$T1079=""),"",$T1079+(V$2*$M1079))</f>
        <v/>
      </c>
      <c r="W1079" s="48">
        <f>IF(OR($M1079="",$T1079=""),"",$T1079+(W$2*$M1079))</f>
        <v/>
      </c>
      <c r="X1079" s="49">
        <f>IF(OR($M1079="",$T1079=""),"",$T1079+(X$2*$M1079))</f>
        <v/>
      </c>
      <c r="Y1079" s="47">
        <f>IF(OR($M1079="",$T1079=""),"",$T1079+(Y$2*$M1079))</f>
        <v/>
      </c>
      <c r="Z1079" s="49">
        <f>IF(OR($M1079="",$T1079=""),"",$T1079+(Z$2*$M1079))</f>
        <v/>
      </c>
      <c r="AA1079" s="51">
        <f>IF(OR($M1079="",$T1079=""),"",$T1079+(AA$2*$M1079))</f>
        <v/>
      </c>
      <c r="AB1079" s="48">
        <f>IF(OR($M1079="",$T1079=""),"",$T1079+(AB$2*$M1079))</f>
        <v/>
      </c>
      <c r="AC1079" s="48">
        <f>IF(OR($M1079="",$T1079=""),"",$T1079+(AC$2*$M1079))</f>
        <v/>
      </c>
      <c r="AD1079" s="48">
        <f>IF(OR($M1079="",$T1079=""),"",$T1079+(AD$2*$M1079))</f>
        <v/>
      </c>
      <c r="AE1079" s="49">
        <f>IF(OR($M1079="",$T1079=""),"",$T1079+(AE$2*$M1079))</f>
        <v/>
      </c>
      <c r="AF1079" s="52">
        <f>IF(OR(T1079="",I1079&lt;T1079),"",IFERROR(AVERAGE(T1079+M1079*{7,8,9,10,11})/IF(G1079="",I1079,G1079)-1,""))</f>
        <v/>
      </c>
      <c r="AG1079" s="55">
        <f>IF(OR(T1079="",I1079&lt;T1079),"",IFERROR(AF1079/-(R1079/IF(G1079="",I1079,G1079)-1),""))</f>
        <v/>
      </c>
      <c r="AH1079" s="94" t="n"/>
      <c r="AI1079" s="94" t="n"/>
      <c r="AJ1079" s="94" t="n"/>
      <c r="AK1079" s="94" t="n"/>
      <c r="AL1079" s="84" t="n"/>
    </row>
    <row r="1080">
      <c r="A1080" s="64" t="n"/>
      <c r="B1080" s="65" t="n"/>
      <c r="C1080" s="66" t="n"/>
      <c r="D1080" s="67" t="n"/>
      <c r="E1080" s="68" t="n"/>
      <c r="F1080" s="47">
        <f>IF(A1080="","",IF(MIN(H1080,MAX(J1080:K1080))=0,"",MIN(H1080,MAX(J1080:K1080))))</f>
        <v/>
      </c>
      <c r="G1080" s="74" t="n"/>
      <c r="H1080" s="49">
        <f>IF(M1080="","",IFERROR(ROUND(AVERAGE(T1080+M1080*{7,8,9,10,11})/1.21,4),""))</f>
        <v/>
      </c>
      <c r="I1080" s="76" t="n"/>
      <c r="J1080" s="77" t="n"/>
      <c r="K1080" s="74" t="n"/>
      <c r="L1080" s="78" t="n"/>
      <c r="M1080" s="77" t="n"/>
      <c r="N1080" s="53">
        <f>IF(M1080="","",IFERROR(M1080/I1080,""))</f>
        <v/>
      </c>
      <c r="O1080" s="50">
        <f>IF(A1080="","",IFERROR((IF(G1080="",I1080,G1080)-T1080)/M1080,""))</f>
        <v/>
      </c>
      <c r="P1080" s="50">
        <f>IFERROR((I1080/T1080-1)/N1080,"")</f>
        <v/>
      </c>
      <c r="Q1080" s="46">
        <f>IF(OR(T1080="",I1080&lt;T1080),"",IFERROR(R1080/IF(G1080="",I1080,G1080)-1,""))</f>
        <v/>
      </c>
      <c r="R1080" s="48">
        <f>IF($M1080="","",MAX(IF($G1080="",$I1080,$G1080)*(1/1.1),IF($G1080="",$I1080,$G1080)+(R$2*$M1080)))</f>
        <v/>
      </c>
      <c r="S1080" s="49">
        <f>IF($M1080="","",MAX(IF($G1080="",$I1080,$G1080)*(1/1.1),IF($G1080="",$I1080,$G1080)+(S$2*$M1080)))</f>
        <v/>
      </c>
      <c r="T1080" s="82" t="n"/>
      <c r="U1080" s="47">
        <f>IF(OR($M1080="",$T1080=""),"",$T1080+(U$2*$M1080))</f>
        <v/>
      </c>
      <c r="V1080" s="48">
        <f>IF(OR($M1080="",$T1080=""),"",$T1080+(V$2*$M1080))</f>
        <v/>
      </c>
      <c r="W1080" s="48">
        <f>IF(OR($M1080="",$T1080=""),"",$T1080+(W$2*$M1080))</f>
        <v/>
      </c>
      <c r="X1080" s="49">
        <f>IF(OR($M1080="",$T1080=""),"",$T1080+(X$2*$M1080))</f>
        <v/>
      </c>
      <c r="Y1080" s="47">
        <f>IF(OR($M1080="",$T1080=""),"",$T1080+(Y$2*$M1080))</f>
        <v/>
      </c>
      <c r="Z1080" s="49">
        <f>IF(OR($M1080="",$T1080=""),"",$T1080+(Z$2*$M1080))</f>
        <v/>
      </c>
      <c r="AA1080" s="51">
        <f>IF(OR($M1080="",$T1080=""),"",$T1080+(AA$2*$M1080))</f>
        <v/>
      </c>
      <c r="AB1080" s="48">
        <f>IF(OR($M1080="",$T1080=""),"",$T1080+(AB$2*$M1080))</f>
        <v/>
      </c>
      <c r="AC1080" s="48">
        <f>IF(OR($M1080="",$T1080=""),"",$T1080+(AC$2*$M1080))</f>
        <v/>
      </c>
      <c r="AD1080" s="48">
        <f>IF(OR($M1080="",$T1080=""),"",$T1080+(AD$2*$M1080))</f>
        <v/>
      </c>
      <c r="AE1080" s="49">
        <f>IF(OR($M1080="",$T1080=""),"",$T1080+(AE$2*$M1080))</f>
        <v/>
      </c>
      <c r="AF1080" s="52">
        <f>IF(OR(T1080="",I1080&lt;T1080),"",IFERROR(AVERAGE(T1080+M1080*{7,8,9,10,11})/IF(G1080="",I1080,G1080)-1,""))</f>
        <v/>
      </c>
      <c r="AG1080" s="55">
        <f>IF(OR(T1080="",I1080&lt;T1080),"",IFERROR(AF1080/-(R1080/IF(G1080="",I1080,G1080)-1),""))</f>
        <v/>
      </c>
      <c r="AH1080" s="94" t="n"/>
      <c r="AI1080" s="94" t="n"/>
      <c r="AJ1080" s="94" t="n"/>
      <c r="AK1080" s="94" t="n"/>
      <c r="AL1080" s="84" t="n"/>
    </row>
    <row r="1081">
      <c r="A1081" s="64" t="n"/>
      <c r="B1081" s="65" t="n"/>
      <c r="C1081" s="66" t="n"/>
      <c r="D1081" s="67" t="n"/>
      <c r="E1081" s="68" t="n"/>
      <c r="F1081" s="47">
        <f>IF(A1081="","",IF(MIN(H1081,MAX(J1081:K1081))=0,"",MIN(H1081,MAX(J1081:K1081))))</f>
        <v/>
      </c>
      <c r="G1081" s="74" t="n"/>
      <c r="H1081" s="49">
        <f>IF(M1081="","",IFERROR(ROUND(AVERAGE(T1081+M1081*{7,8,9,10,11})/1.21,4),""))</f>
        <v/>
      </c>
      <c r="I1081" s="76" t="n"/>
      <c r="J1081" s="77" t="n"/>
      <c r="K1081" s="74" t="n"/>
      <c r="L1081" s="78" t="n"/>
      <c r="M1081" s="77" t="n"/>
      <c r="N1081" s="53">
        <f>IF(M1081="","",IFERROR(M1081/I1081,""))</f>
        <v/>
      </c>
      <c r="O1081" s="50">
        <f>IF(A1081="","",IFERROR((IF(G1081="",I1081,G1081)-T1081)/M1081,""))</f>
        <v/>
      </c>
      <c r="P1081" s="50">
        <f>IFERROR((I1081/T1081-1)/N1081,"")</f>
        <v/>
      </c>
      <c r="Q1081" s="46">
        <f>IF(OR(T1081="",I1081&lt;T1081),"",IFERROR(R1081/IF(G1081="",I1081,G1081)-1,""))</f>
        <v/>
      </c>
      <c r="R1081" s="48">
        <f>IF($M1081="","",MAX(IF($G1081="",$I1081,$G1081)*(1/1.1),IF($G1081="",$I1081,$G1081)+(R$2*$M1081)))</f>
        <v/>
      </c>
      <c r="S1081" s="49">
        <f>IF($M1081="","",MAX(IF($G1081="",$I1081,$G1081)*(1/1.1),IF($G1081="",$I1081,$G1081)+(S$2*$M1081)))</f>
        <v/>
      </c>
      <c r="T1081" s="82" t="n"/>
      <c r="U1081" s="47">
        <f>IF(OR($M1081="",$T1081=""),"",$T1081+(U$2*$M1081))</f>
        <v/>
      </c>
      <c r="V1081" s="48">
        <f>IF(OR($M1081="",$T1081=""),"",$T1081+(V$2*$M1081))</f>
        <v/>
      </c>
      <c r="W1081" s="48">
        <f>IF(OR($M1081="",$T1081=""),"",$T1081+(W$2*$M1081))</f>
        <v/>
      </c>
      <c r="X1081" s="49">
        <f>IF(OR($M1081="",$T1081=""),"",$T1081+(X$2*$M1081))</f>
        <v/>
      </c>
      <c r="Y1081" s="47">
        <f>IF(OR($M1081="",$T1081=""),"",$T1081+(Y$2*$M1081))</f>
        <v/>
      </c>
      <c r="Z1081" s="49">
        <f>IF(OR($M1081="",$T1081=""),"",$T1081+(Z$2*$M1081))</f>
        <v/>
      </c>
      <c r="AA1081" s="51">
        <f>IF(OR($M1081="",$T1081=""),"",$T1081+(AA$2*$M1081))</f>
        <v/>
      </c>
      <c r="AB1081" s="48">
        <f>IF(OR($M1081="",$T1081=""),"",$T1081+(AB$2*$M1081))</f>
        <v/>
      </c>
      <c r="AC1081" s="48">
        <f>IF(OR($M1081="",$T1081=""),"",$T1081+(AC$2*$M1081))</f>
        <v/>
      </c>
      <c r="AD1081" s="48">
        <f>IF(OR($M1081="",$T1081=""),"",$T1081+(AD$2*$M1081))</f>
        <v/>
      </c>
      <c r="AE1081" s="49">
        <f>IF(OR($M1081="",$T1081=""),"",$T1081+(AE$2*$M1081))</f>
        <v/>
      </c>
      <c r="AF1081" s="52">
        <f>IF(OR(T1081="",I1081&lt;T1081),"",IFERROR(AVERAGE(T1081+M1081*{7,8,9,10,11})/IF(G1081="",I1081,G1081)-1,""))</f>
        <v/>
      </c>
      <c r="AG1081" s="55">
        <f>IF(OR(T1081="",I1081&lt;T1081),"",IFERROR(AF1081/-(R1081/IF(G1081="",I1081,G1081)-1),""))</f>
        <v/>
      </c>
      <c r="AH1081" s="94" t="n"/>
      <c r="AI1081" s="94" t="n"/>
      <c r="AJ1081" s="94" t="n"/>
      <c r="AK1081" s="94" t="n"/>
      <c r="AL1081" s="84" t="n"/>
    </row>
    <row r="1082">
      <c r="A1082" s="64" t="n"/>
      <c r="B1082" s="65" t="n"/>
      <c r="C1082" s="66" t="n"/>
      <c r="D1082" s="67" t="n"/>
      <c r="E1082" s="68" t="n"/>
      <c r="F1082" s="47">
        <f>IF(A1082="","",IF(MIN(H1082,MAX(J1082:K1082))=0,"",MIN(H1082,MAX(J1082:K1082))))</f>
        <v/>
      </c>
      <c r="G1082" s="74" t="n"/>
      <c r="H1082" s="49">
        <f>IF(M1082="","",IFERROR(ROUND(AVERAGE(T1082+M1082*{7,8,9,10,11})/1.21,4),""))</f>
        <v/>
      </c>
      <c r="I1082" s="76" t="n"/>
      <c r="J1082" s="77" t="n"/>
      <c r="K1082" s="74" t="n"/>
      <c r="L1082" s="78" t="n"/>
      <c r="M1082" s="77" t="n"/>
      <c r="N1082" s="53">
        <f>IF(M1082="","",IFERROR(M1082/I1082,""))</f>
        <v/>
      </c>
      <c r="O1082" s="50">
        <f>IF(A1082="","",IFERROR((IF(G1082="",I1082,G1082)-T1082)/M1082,""))</f>
        <v/>
      </c>
      <c r="P1082" s="50">
        <f>IFERROR((I1082/T1082-1)/N1082,"")</f>
        <v/>
      </c>
      <c r="Q1082" s="46">
        <f>IF(OR(T1082="",I1082&lt;T1082),"",IFERROR(R1082/IF(G1082="",I1082,G1082)-1,""))</f>
        <v/>
      </c>
      <c r="R1082" s="48">
        <f>IF($M1082="","",MAX(IF($G1082="",$I1082,$G1082)*(1/1.1),IF($G1082="",$I1082,$G1082)+(R$2*$M1082)))</f>
        <v/>
      </c>
      <c r="S1082" s="49">
        <f>IF($M1082="","",MAX(IF($G1082="",$I1082,$G1082)*(1/1.1),IF($G1082="",$I1082,$G1082)+(S$2*$M1082)))</f>
        <v/>
      </c>
      <c r="T1082" s="82" t="n"/>
      <c r="U1082" s="47">
        <f>IF(OR($M1082="",$T1082=""),"",$T1082+(U$2*$M1082))</f>
        <v/>
      </c>
      <c r="V1082" s="48">
        <f>IF(OR($M1082="",$T1082=""),"",$T1082+(V$2*$M1082))</f>
        <v/>
      </c>
      <c r="W1082" s="48">
        <f>IF(OR($M1082="",$T1082=""),"",$T1082+(W$2*$M1082))</f>
        <v/>
      </c>
      <c r="X1082" s="49">
        <f>IF(OR($M1082="",$T1082=""),"",$T1082+(X$2*$M1082))</f>
        <v/>
      </c>
      <c r="Y1082" s="47">
        <f>IF(OR($M1082="",$T1082=""),"",$T1082+(Y$2*$M1082))</f>
        <v/>
      </c>
      <c r="Z1082" s="49">
        <f>IF(OR($M1082="",$T1082=""),"",$T1082+(Z$2*$M1082))</f>
        <v/>
      </c>
      <c r="AA1082" s="51">
        <f>IF(OR($M1082="",$T1082=""),"",$T1082+(AA$2*$M1082))</f>
        <v/>
      </c>
      <c r="AB1082" s="48">
        <f>IF(OR($M1082="",$T1082=""),"",$T1082+(AB$2*$M1082))</f>
        <v/>
      </c>
      <c r="AC1082" s="48">
        <f>IF(OR($M1082="",$T1082=""),"",$T1082+(AC$2*$M1082))</f>
        <v/>
      </c>
      <c r="AD1082" s="48">
        <f>IF(OR($M1082="",$T1082=""),"",$T1082+(AD$2*$M1082))</f>
        <v/>
      </c>
      <c r="AE1082" s="49">
        <f>IF(OR($M1082="",$T1082=""),"",$T1082+(AE$2*$M1082))</f>
        <v/>
      </c>
      <c r="AF1082" s="52">
        <f>IF(OR(T1082="",I1082&lt;T1082),"",IFERROR(AVERAGE(T1082+M1082*{7,8,9,10,11})/IF(G1082="",I1082,G1082)-1,""))</f>
        <v/>
      </c>
      <c r="AG1082" s="55">
        <f>IF(OR(T1082="",I1082&lt;T1082),"",IFERROR(AF1082/-(R1082/IF(G1082="",I1082,G1082)-1),""))</f>
        <v/>
      </c>
      <c r="AH1082" s="94" t="n"/>
      <c r="AI1082" s="94" t="n"/>
      <c r="AJ1082" s="94" t="n"/>
      <c r="AK1082" s="94" t="n"/>
      <c r="AL1082" s="84" t="n"/>
    </row>
    <row r="1083">
      <c r="A1083" s="64" t="n"/>
      <c r="B1083" s="65" t="n"/>
      <c r="C1083" s="66" t="n"/>
      <c r="D1083" s="67" t="n"/>
      <c r="E1083" s="68" t="n"/>
      <c r="F1083" s="47">
        <f>IF(A1083="","",IF(MIN(H1083,MAX(J1083:K1083))=0,"",MIN(H1083,MAX(J1083:K1083))))</f>
        <v/>
      </c>
      <c r="G1083" s="74" t="n"/>
      <c r="H1083" s="49">
        <f>IF(M1083="","",IFERROR(ROUND(AVERAGE(T1083+M1083*{7,8,9,10,11})/1.21,4),""))</f>
        <v/>
      </c>
      <c r="I1083" s="76" t="n"/>
      <c r="J1083" s="77" t="n"/>
      <c r="K1083" s="74" t="n"/>
      <c r="L1083" s="78" t="n"/>
      <c r="M1083" s="77" t="n"/>
      <c r="N1083" s="53">
        <f>IF(M1083="","",IFERROR(M1083/I1083,""))</f>
        <v/>
      </c>
      <c r="O1083" s="50">
        <f>IF(A1083="","",IFERROR((IF(G1083="",I1083,G1083)-T1083)/M1083,""))</f>
        <v/>
      </c>
      <c r="P1083" s="50">
        <f>IFERROR((I1083/T1083-1)/N1083,"")</f>
        <v/>
      </c>
      <c r="Q1083" s="46">
        <f>IF(OR(T1083="",I1083&lt;T1083),"",IFERROR(R1083/IF(G1083="",I1083,G1083)-1,""))</f>
        <v/>
      </c>
      <c r="R1083" s="48">
        <f>IF($M1083="","",MAX(IF($G1083="",$I1083,$G1083)*(1/1.1),IF($G1083="",$I1083,$G1083)+(R$2*$M1083)))</f>
        <v/>
      </c>
      <c r="S1083" s="49">
        <f>IF($M1083="","",MAX(IF($G1083="",$I1083,$G1083)*(1/1.1),IF($G1083="",$I1083,$G1083)+(S$2*$M1083)))</f>
        <v/>
      </c>
      <c r="T1083" s="82" t="n"/>
      <c r="U1083" s="47">
        <f>IF(OR($M1083="",$T1083=""),"",$T1083+(U$2*$M1083))</f>
        <v/>
      </c>
      <c r="V1083" s="48">
        <f>IF(OR($M1083="",$T1083=""),"",$T1083+(V$2*$M1083))</f>
        <v/>
      </c>
      <c r="W1083" s="48">
        <f>IF(OR($M1083="",$T1083=""),"",$T1083+(W$2*$M1083))</f>
        <v/>
      </c>
      <c r="X1083" s="49">
        <f>IF(OR($M1083="",$T1083=""),"",$T1083+(X$2*$M1083))</f>
        <v/>
      </c>
      <c r="Y1083" s="47">
        <f>IF(OR($M1083="",$T1083=""),"",$T1083+(Y$2*$M1083))</f>
        <v/>
      </c>
      <c r="Z1083" s="49">
        <f>IF(OR($M1083="",$T1083=""),"",$T1083+(Z$2*$M1083))</f>
        <v/>
      </c>
      <c r="AA1083" s="51">
        <f>IF(OR($M1083="",$T1083=""),"",$T1083+(AA$2*$M1083))</f>
        <v/>
      </c>
      <c r="AB1083" s="48">
        <f>IF(OR($M1083="",$T1083=""),"",$T1083+(AB$2*$M1083))</f>
        <v/>
      </c>
      <c r="AC1083" s="48">
        <f>IF(OR($M1083="",$T1083=""),"",$T1083+(AC$2*$M1083))</f>
        <v/>
      </c>
      <c r="AD1083" s="48">
        <f>IF(OR($M1083="",$T1083=""),"",$T1083+(AD$2*$M1083))</f>
        <v/>
      </c>
      <c r="AE1083" s="49">
        <f>IF(OR($M1083="",$T1083=""),"",$T1083+(AE$2*$M1083))</f>
        <v/>
      </c>
      <c r="AF1083" s="52">
        <f>IF(OR(T1083="",I1083&lt;T1083),"",IFERROR(AVERAGE(T1083+M1083*{7,8,9,10,11})/IF(G1083="",I1083,G1083)-1,""))</f>
        <v/>
      </c>
      <c r="AG1083" s="55">
        <f>IF(OR(T1083="",I1083&lt;T1083),"",IFERROR(AF1083/-(R1083/IF(G1083="",I1083,G1083)-1),""))</f>
        <v/>
      </c>
      <c r="AH1083" s="94" t="n"/>
      <c r="AI1083" s="94" t="n"/>
      <c r="AJ1083" s="94" t="n"/>
      <c r="AK1083" s="94" t="n"/>
      <c r="AL1083" s="84" t="n"/>
    </row>
    <row r="1084">
      <c r="A1084" s="64" t="n"/>
      <c r="B1084" s="65" t="n"/>
      <c r="C1084" s="66" t="n"/>
      <c r="D1084" s="67" t="n"/>
      <c r="E1084" s="68" t="n"/>
      <c r="F1084" s="47">
        <f>IF(A1084="","",IF(MIN(H1084,MAX(J1084:K1084))=0,"",MIN(H1084,MAX(J1084:K1084))))</f>
        <v/>
      </c>
      <c r="G1084" s="74" t="n"/>
      <c r="H1084" s="49">
        <f>IF(M1084="","",IFERROR(ROUND(AVERAGE(T1084+M1084*{7,8,9,10,11})/1.21,4),""))</f>
        <v/>
      </c>
      <c r="I1084" s="76" t="n"/>
      <c r="J1084" s="77" t="n"/>
      <c r="K1084" s="74" t="n"/>
      <c r="L1084" s="78" t="n"/>
      <c r="M1084" s="77" t="n"/>
      <c r="N1084" s="53">
        <f>IF(M1084="","",IFERROR(M1084/I1084,""))</f>
        <v/>
      </c>
      <c r="O1084" s="50">
        <f>IF(A1084="","",IFERROR((IF(G1084="",I1084,G1084)-T1084)/M1084,""))</f>
        <v/>
      </c>
      <c r="P1084" s="50">
        <f>IFERROR((I1084/T1084-1)/N1084,"")</f>
        <v/>
      </c>
      <c r="Q1084" s="46">
        <f>IF(OR(T1084="",I1084&lt;T1084),"",IFERROR(R1084/IF(G1084="",I1084,G1084)-1,""))</f>
        <v/>
      </c>
      <c r="R1084" s="48">
        <f>IF($M1084="","",MAX(IF($G1084="",$I1084,$G1084)*(1/1.1),IF($G1084="",$I1084,$G1084)+(R$2*$M1084)))</f>
        <v/>
      </c>
      <c r="S1084" s="49">
        <f>IF($M1084="","",MAX(IF($G1084="",$I1084,$G1084)*(1/1.1),IF($G1084="",$I1084,$G1084)+(S$2*$M1084)))</f>
        <v/>
      </c>
      <c r="T1084" s="82" t="n"/>
      <c r="U1084" s="47">
        <f>IF(OR($M1084="",$T1084=""),"",$T1084+(U$2*$M1084))</f>
        <v/>
      </c>
      <c r="V1084" s="48">
        <f>IF(OR($M1084="",$T1084=""),"",$T1084+(V$2*$M1084))</f>
        <v/>
      </c>
      <c r="W1084" s="48">
        <f>IF(OR($M1084="",$T1084=""),"",$T1084+(W$2*$M1084))</f>
        <v/>
      </c>
      <c r="X1084" s="49">
        <f>IF(OR($M1084="",$T1084=""),"",$T1084+(X$2*$M1084))</f>
        <v/>
      </c>
      <c r="Y1084" s="47">
        <f>IF(OR($M1084="",$T1084=""),"",$T1084+(Y$2*$M1084))</f>
        <v/>
      </c>
      <c r="Z1084" s="49">
        <f>IF(OR($M1084="",$T1084=""),"",$T1084+(Z$2*$M1084))</f>
        <v/>
      </c>
      <c r="AA1084" s="51">
        <f>IF(OR($M1084="",$T1084=""),"",$T1084+(AA$2*$M1084))</f>
        <v/>
      </c>
      <c r="AB1084" s="48">
        <f>IF(OR($M1084="",$T1084=""),"",$T1084+(AB$2*$M1084))</f>
        <v/>
      </c>
      <c r="AC1084" s="48">
        <f>IF(OR($M1084="",$T1084=""),"",$T1084+(AC$2*$M1084))</f>
        <v/>
      </c>
      <c r="AD1084" s="48">
        <f>IF(OR($M1084="",$T1084=""),"",$T1084+(AD$2*$M1084))</f>
        <v/>
      </c>
      <c r="AE1084" s="49">
        <f>IF(OR($M1084="",$T1084=""),"",$T1084+(AE$2*$M1084))</f>
        <v/>
      </c>
      <c r="AF1084" s="52">
        <f>IF(OR(T1084="",I1084&lt;T1084),"",IFERROR(AVERAGE(T1084+M1084*{7,8,9,10,11})/IF(G1084="",I1084,G1084)-1,""))</f>
        <v/>
      </c>
      <c r="AG1084" s="55">
        <f>IF(OR(T1084="",I1084&lt;T1084),"",IFERROR(AF1084/-(R1084/IF(G1084="",I1084,G1084)-1),""))</f>
        <v/>
      </c>
      <c r="AH1084" s="94" t="n"/>
      <c r="AI1084" s="94" t="n"/>
      <c r="AJ1084" s="94" t="n"/>
      <c r="AK1084" s="94" t="n"/>
      <c r="AL1084" s="84" t="n"/>
    </row>
    <row r="1085">
      <c r="A1085" s="64" t="n"/>
      <c r="B1085" s="65" t="n"/>
      <c r="C1085" s="66" t="n"/>
      <c r="D1085" s="67" t="n"/>
      <c r="E1085" s="68" t="n"/>
      <c r="F1085" s="47">
        <f>IF(A1085="","",IF(MIN(H1085,MAX(J1085:K1085))=0,"",MIN(H1085,MAX(J1085:K1085))))</f>
        <v/>
      </c>
      <c r="G1085" s="74" t="n"/>
      <c r="H1085" s="49">
        <f>IF(M1085="","",IFERROR(ROUND(AVERAGE(T1085+M1085*{7,8,9,10,11})/1.21,4),""))</f>
        <v/>
      </c>
      <c r="I1085" s="76" t="n"/>
      <c r="J1085" s="77" t="n"/>
      <c r="K1085" s="74" t="n"/>
      <c r="L1085" s="78" t="n"/>
      <c r="M1085" s="77" t="n"/>
      <c r="N1085" s="53">
        <f>IF(M1085="","",IFERROR(M1085/I1085,""))</f>
        <v/>
      </c>
      <c r="O1085" s="50">
        <f>IF(A1085="","",IFERROR((IF(G1085="",I1085,G1085)-T1085)/M1085,""))</f>
        <v/>
      </c>
      <c r="P1085" s="50">
        <f>IFERROR((I1085/T1085-1)/N1085,"")</f>
        <v/>
      </c>
      <c r="Q1085" s="46">
        <f>IF(OR(T1085="",I1085&lt;T1085),"",IFERROR(R1085/IF(G1085="",I1085,G1085)-1,""))</f>
        <v/>
      </c>
      <c r="R1085" s="48">
        <f>IF($M1085="","",MAX(IF($G1085="",$I1085,$G1085)*(1/1.1),IF($G1085="",$I1085,$G1085)+(R$2*$M1085)))</f>
        <v/>
      </c>
      <c r="S1085" s="49">
        <f>IF($M1085="","",MAX(IF($G1085="",$I1085,$G1085)*(1/1.1),IF($G1085="",$I1085,$G1085)+(S$2*$M1085)))</f>
        <v/>
      </c>
      <c r="T1085" s="82" t="n"/>
      <c r="U1085" s="47">
        <f>IF(OR($M1085="",$T1085=""),"",$T1085+(U$2*$M1085))</f>
        <v/>
      </c>
      <c r="V1085" s="48">
        <f>IF(OR($M1085="",$T1085=""),"",$T1085+(V$2*$M1085))</f>
        <v/>
      </c>
      <c r="W1085" s="48">
        <f>IF(OR($M1085="",$T1085=""),"",$T1085+(W$2*$M1085))</f>
        <v/>
      </c>
      <c r="X1085" s="49">
        <f>IF(OR($M1085="",$T1085=""),"",$T1085+(X$2*$M1085))</f>
        <v/>
      </c>
      <c r="Y1085" s="47">
        <f>IF(OR($M1085="",$T1085=""),"",$T1085+(Y$2*$M1085))</f>
        <v/>
      </c>
      <c r="Z1085" s="49">
        <f>IF(OR($M1085="",$T1085=""),"",$T1085+(Z$2*$M1085))</f>
        <v/>
      </c>
      <c r="AA1085" s="51">
        <f>IF(OR($M1085="",$T1085=""),"",$T1085+(AA$2*$M1085))</f>
        <v/>
      </c>
      <c r="AB1085" s="48">
        <f>IF(OR($M1085="",$T1085=""),"",$T1085+(AB$2*$M1085))</f>
        <v/>
      </c>
      <c r="AC1085" s="48">
        <f>IF(OR($M1085="",$T1085=""),"",$T1085+(AC$2*$M1085))</f>
        <v/>
      </c>
      <c r="AD1085" s="48">
        <f>IF(OR($M1085="",$T1085=""),"",$T1085+(AD$2*$M1085))</f>
        <v/>
      </c>
      <c r="AE1085" s="49">
        <f>IF(OR($M1085="",$T1085=""),"",$T1085+(AE$2*$M1085))</f>
        <v/>
      </c>
      <c r="AF1085" s="52">
        <f>IF(OR(T1085="",I1085&lt;T1085),"",IFERROR(AVERAGE(T1085+M1085*{7,8,9,10,11})/IF(G1085="",I1085,G1085)-1,""))</f>
        <v/>
      </c>
      <c r="AG1085" s="55">
        <f>IF(OR(T1085="",I1085&lt;T1085),"",IFERROR(AF1085/-(R1085/IF(G1085="",I1085,G1085)-1),""))</f>
        <v/>
      </c>
      <c r="AH1085" s="94" t="n"/>
      <c r="AI1085" s="94" t="n"/>
      <c r="AJ1085" s="94" t="n"/>
      <c r="AK1085" s="94" t="n"/>
      <c r="AL1085" s="84" t="n"/>
    </row>
    <row r="1086">
      <c r="A1086" s="64" t="n"/>
      <c r="B1086" s="65" t="n"/>
      <c r="C1086" s="66" t="n"/>
      <c r="D1086" s="67" t="n"/>
      <c r="E1086" s="68" t="n"/>
      <c r="F1086" s="47">
        <f>IF(A1086="","",IF(MIN(H1086,MAX(J1086:K1086))=0,"",MIN(H1086,MAX(J1086:K1086))))</f>
        <v/>
      </c>
      <c r="G1086" s="74" t="n"/>
      <c r="H1086" s="49">
        <f>IF(M1086="","",IFERROR(ROUND(AVERAGE(T1086+M1086*{7,8,9,10,11})/1.21,4),""))</f>
        <v/>
      </c>
      <c r="I1086" s="76" t="n"/>
      <c r="J1086" s="77" t="n"/>
      <c r="K1086" s="74" t="n"/>
      <c r="L1086" s="78" t="n"/>
      <c r="M1086" s="77" t="n"/>
      <c r="N1086" s="53">
        <f>IF(M1086="","",IFERROR(M1086/I1086,""))</f>
        <v/>
      </c>
      <c r="O1086" s="50">
        <f>IF(A1086="","",IFERROR((IF(G1086="",I1086,G1086)-T1086)/M1086,""))</f>
        <v/>
      </c>
      <c r="P1086" s="50">
        <f>IFERROR((I1086/T1086-1)/N1086,"")</f>
        <v/>
      </c>
      <c r="Q1086" s="46">
        <f>IF(OR(T1086="",I1086&lt;T1086),"",IFERROR(R1086/IF(G1086="",I1086,G1086)-1,""))</f>
        <v/>
      </c>
      <c r="R1086" s="48">
        <f>IF($M1086="","",MAX(IF($G1086="",$I1086,$G1086)*(1/1.1),IF($G1086="",$I1086,$G1086)+(R$2*$M1086)))</f>
        <v/>
      </c>
      <c r="S1086" s="49">
        <f>IF($M1086="","",MAX(IF($G1086="",$I1086,$G1086)*(1/1.1),IF($G1086="",$I1086,$G1086)+(S$2*$M1086)))</f>
        <v/>
      </c>
      <c r="T1086" s="82" t="n"/>
      <c r="U1086" s="47">
        <f>IF(OR($M1086="",$T1086=""),"",$T1086+(U$2*$M1086))</f>
        <v/>
      </c>
      <c r="V1086" s="48">
        <f>IF(OR($M1086="",$T1086=""),"",$T1086+(V$2*$M1086))</f>
        <v/>
      </c>
      <c r="W1086" s="48">
        <f>IF(OR($M1086="",$T1086=""),"",$T1086+(W$2*$M1086))</f>
        <v/>
      </c>
      <c r="X1086" s="49">
        <f>IF(OR($M1086="",$T1086=""),"",$T1086+(X$2*$M1086))</f>
        <v/>
      </c>
      <c r="Y1086" s="47">
        <f>IF(OR($M1086="",$T1086=""),"",$T1086+(Y$2*$M1086))</f>
        <v/>
      </c>
      <c r="Z1086" s="49">
        <f>IF(OR($M1086="",$T1086=""),"",$T1086+(Z$2*$M1086))</f>
        <v/>
      </c>
      <c r="AA1086" s="51">
        <f>IF(OR($M1086="",$T1086=""),"",$T1086+(AA$2*$M1086))</f>
        <v/>
      </c>
      <c r="AB1086" s="48">
        <f>IF(OR($M1086="",$T1086=""),"",$T1086+(AB$2*$M1086))</f>
        <v/>
      </c>
      <c r="AC1086" s="48">
        <f>IF(OR($M1086="",$T1086=""),"",$T1086+(AC$2*$M1086))</f>
        <v/>
      </c>
      <c r="AD1086" s="48">
        <f>IF(OR($M1086="",$T1086=""),"",$T1086+(AD$2*$M1086))</f>
        <v/>
      </c>
      <c r="AE1086" s="49">
        <f>IF(OR($M1086="",$T1086=""),"",$T1086+(AE$2*$M1086))</f>
        <v/>
      </c>
      <c r="AF1086" s="52">
        <f>IF(OR(T1086="",I1086&lt;T1086),"",IFERROR(AVERAGE(T1086+M1086*{7,8,9,10,11})/IF(G1086="",I1086,G1086)-1,""))</f>
        <v/>
      </c>
      <c r="AG1086" s="55">
        <f>IF(OR(T1086="",I1086&lt;T1086),"",IFERROR(AF1086/-(R1086/IF(G1086="",I1086,G1086)-1),""))</f>
        <v/>
      </c>
      <c r="AH1086" s="94" t="n"/>
      <c r="AI1086" s="94" t="n"/>
      <c r="AJ1086" s="94" t="n"/>
      <c r="AK1086" s="94" t="n"/>
      <c r="AL1086" s="84" t="n"/>
    </row>
    <row r="1087">
      <c r="A1087" s="64" t="n"/>
      <c r="B1087" s="65" t="n"/>
      <c r="C1087" s="66" t="n"/>
      <c r="D1087" s="67" t="n"/>
      <c r="E1087" s="68" t="n"/>
      <c r="F1087" s="47">
        <f>IF(A1087="","",IF(MIN(H1087,MAX(J1087:K1087))=0,"",MIN(H1087,MAX(J1087:K1087))))</f>
        <v/>
      </c>
      <c r="G1087" s="74" t="n"/>
      <c r="H1087" s="49">
        <f>IF(M1087="","",IFERROR(ROUND(AVERAGE(T1087+M1087*{7,8,9,10,11})/1.21,4),""))</f>
        <v/>
      </c>
      <c r="I1087" s="76" t="n"/>
      <c r="J1087" s="77" t="n"/>
      <c r="K1087" s="74" t="n"/>
      <c r="L1087" s="78" t="n"/>
      <c r="M1087" s="77" t="n"/>
      <c r="N1087" s="53">
        <f>IF(M1087="","",IFERROR(M1087/I1087,""))</f>
        <v/>
      </c>
      <c r="O1087" s="50">
        <f>IF(A1087="","",IFERROR((IF(G1087="",I1087,G1087)-T1087)/M1087,""))</f>
        <v/>
      </c>
      <c r="P1087" s="50">
        <f>IFERROR((I1087/T1087-1)/N1087,"")</f>
        <v/>
      </c>
      <c r="Q1087" s="46">
        <f>IF(OR(T1087="",I1087&lt;T1087),"",IFERROR(R1087/IF(G1087="",I1087,G1087)-1,""))</f>
        <v/>
      </c>
      <c r="R1087" s="48">
        <f>IF($M1087="","",MAX(IF($G1087="",$I1087,$G1087)*(1/1.1),IF($G1087="",$I1087,$G1087)+(R$2*$M1087)))</f>
        <v/>
      </c>
      <c r="S1087" s="49">
        <f>IF($M1087="","",MAX(IF($G1087="",$I1087,$G1087)*(1/1.1),IF($G1087="",$I1087,$G1087)+(S$2*$M1087)))</f>
        <v/>
      </c>
      <c r="T1087" s="82" t="n"/>
      <c r="U1087" s="47">
        <f>IF(OR($M1087="",$T1087=""),"",$T1087+(U$2*$M1087))</f>
        <v/>
      </c>
      <c r="V1087" s="48">
        <f>IF(OR($M1087="",$T1087=""),"",$T1087+(V$2*$M1087))</f>
        <v/>
      </c>
      <c r="W1087" s="48">
        <f>IF(OR($M1087="",$T1087=""),"",$T1087+(W$2*$M1087))</f>
        <v/>
      </c>
      <c r="X1087" s="49">
        <f>IF(OR($M1087="",$T1087=""),"",$T1087+(X$2*$M1087))</f>
        <v/>
      </c>
      <c r="Y1087" s="47">
        <f>IF(OR($M1087="",$T1087=""),"",$T1087+(Y$2*$M1087))</f>
        <v/>
      </c>
      <c r="Z1087" s="49">
        <f>IF(OR($M1087="",$T1087=""),"",$T1087+(Z$2*$M1087))</f>
        <v/>
      </c>
      <c r="AA1087" s="51">
        <f>IF(OR($M1087="",$T1087=""),"",$T1087+(AA$2*$M1087))</f>
        <v/>
      </c>
      <c r="AB1087" s="48">
        <f>IF(OR($M1087="",$T1087=""),"",$T1087+(AB$2*$M1087))</f>
        <v/>
      </c>
      <c r="AC1087" s="48">
        <f>IF(OR($M1087="",$T1087=""),"",$T1087+(AC$2*$M1087))</f>
        <v/>
      </c>
      <c r="AD1087" s="48">
        <f>IF(OR($M1087="",$T1087=""),"",$T1087+(AD$2*$M1087))</f>
        <v/>
      </c>
      <c r="AE1087" s="49">
        <f>IF(OR($M1087="",$T1087=""),"",$T1087+(AE$2*$M1087))</f>
        <v/>
      </c>
      <c r="AF1087" s="52">
        <f>IF(OR(T1087="",I1087&lt;T1087),"",IFERROR(AVERAGE(T1087+M1087*{7,8,9,10,11})/IF(G1087="",I1087,G1087)-1,""))</f>
        <v/>
      </c>
      <c r="AG1087" s="55">
        <f>IF(OR(T1087="",I1087&lt;T1087),"",IFERROR(AF1087/-(R1087/IF(G1087="",I1087,G1087)-1),""))</f>
        <v/>
      </c>
      <c r="AH1087" s="94" t="n"/>
      <c r="AI1087" s="94" t="n"/>
      <c r="AJ1087" s="94" t="n"/>
      <c r="AK1087" s="94" t="n"/>
      <c r="AL1087" s="84" t="n"/>
    </row>
    <row r="1088">
      <c r="A1088" s="64" t="n"/>
      <c r="B1088" s="65" t="n"/>
      <c r="C1088" s="66" t="n"/>
      <c r="D1088" s="67" t="n"/>
      <c r="E1088" s="68" t="n"/>
      <c r="F1088" s="47">
        <f>IF(A1088="","",IF(MIN(H1088,MAX(J1088:K1088))=0,"",MIN(H1088,MAX(J1088:K1088))))</f>
        <v/>
      </c>
      <c r="G1088" s="74" t="n"/>
      <c r="H1088" s="49">
        <f>IF(M1088="","",IFERROR(ROUND(AVERAGE(T1088+M1088*{7,8,9,10,11})/1.21,4),""))</f>
        <v/>
      </c>
      <c r="I1088" s="76" t="n"/>
      <c r="J1088" s="77" t="n"/>
      <c r="K1088" s="74" t="n"/>
      <c r="L1088" s="78" t="n"/>
      <c r="M1088" s="77" t="n"/>
      <c r="N1088" s="53">
        <f>IF(M1088="","",IFERROR(M1088/I1088,""))</f>
        <v/>
      </c>
      <c r="O1088" s="50">
        <f>IF(A1088="","",IFERROR((IF(G1088="",I1088,G1088)-T1088)/M1088,""))</f>
        <v/>
      </c>
      <c r="P1088" s="50">
        <f>IFERROR((I1088/T1088-1)/N1088,"")</f>
        <v/>
      </c>
      <c r="Q1088" s="46">
        <f>IF(OR(T1088="",I1088&lt;T1088),"",IFERROR(R1088/IF(G1088="",I1088,G1088)-1,""))</f>
        <v/>
      </c>
      <c r="R1088" s="48">
        <f>IF($M1088="","",MAX(IF($G1088="",$I1088,$G1088)*(1/1.1),IF($G1088="",$I1088,$G1088)+(R$2*$M1088)))</f>
        <v/>
      </c>
      <c r="S1088" s="49">
        <f>IF($M1088="","",MAX(IF($G1088="",$I1088,$G1088)*(1/1.1),IF($G1088="",$I1088,$G1088)+(S$2*$M1088)))</f>
        <v/>
      </c>
      <c r="T1088" s="82" t="n"/>
      <c r="U1088" s="47">
        <f>IF(OR($M1088="",$T1088=""),"",$T1088+(U$2*$M1088))</f>
        <v/>
      </c>
      <c r="V1088" s="48">
        <f>IF(OR($M1088="",$T1088=""),"",$T1088+(V$2*$M1088))</f>
        <v/>
      </c>
      <c r="W1088" s="48">
        <f>IF(OR($M1088="",$T1088=""),"",$T1088+(W$2*$M1088))</f>
        <v/>
      </c>
      <c r="X1088" s="49">
        <f>IF(OR($M1088="",$T1088=""),"",$T1088+(X$2*$M1088))</f>
        <v/>
      </c>
      <c r="Y1088" s="47">
        <f>IF(OR($M1088="",$T1088=""),"",$T1088+(Y$2*$M1088))</f>
        <v/>
      </c>
      <c r="Z1088" s="49">
        <f>IF(OR($M1088="",$T1088=""),"",$T1088+(Z$2*$M1088))</f>
        <v/>
      </c>
      <c r="AA1088" s="51">
        <f>IF(OR($M1088="",$T1088=""),"",$T1088+(AA$2*$M1088))</f>
        <v/>
      </c>
      <c r="AB1088" s="48">
        <f>IF(OR($M1088="",$T1088=""),"",$T1088+(AB$2*$M1088))</f>
        <v/>
      </c>
      <c r="AC1088" s="48">
        <f>IF(OR($M1088="",$T1088=""),"",$T1088+(AC$2*$M1088))</f>
        <v/>
      </c>
      <c r="AD1088" s="48">
        <f>IF(OR($M1088="",$T1088=""),"",$T1088+(AD$2*$M1088))</f>
        <v/>
      </c>
      <c r="AE1088" s="49">
        <f>IF(OR($M1088="",$T1088=""),"",$T1088+(AE$2*$M1088))</f>
        <v/>
      </c>
      <c r="AF1088" s="52">
        <f>IF(OR(T1088="",I1088&lt;T1088),"",IFERROR(AVERAGE(T1088+M1088*{7,8,9,10,11})/IF(G1088="",I1088,G1088)-1,""))</f>
        <v/>
      </c>
      <c r="AG1088" s="55">
        <f>IF(OR(T1088="",I1088&lt;T1088),"",IFERROR(AF1088/-(R1088/IF(G1088="",I1088,G1088)-1),""))</f>
        <v/>
      </c>
      <c r="AH1088" s="94" t="n"/>
      <c r="AI1088" s="94" t="n"/>
      <c r="AJ1088" s="94" t="n"/>
      <c r="AK1088" s="94" t="n"/>
      <c r="AL1088" s="84" t="n"/>
    </row>
    <row r="1089">
      <c r="A1089" s="64" t="n"/>
      <c r="B1089" s="65" t="n"/>
      <c r="C1089" s="66" t="n"/>
      <c r="D1089" s="67" t="n"/>
      <c r="E1089" s="68" t="n"/>
      <c r="F1089" s="47">
        <f>IF(A1089="","",IF(MIN(H1089,MAX(J1089:K1089))=0,"",MIN(H1089,MAX(J1089:K1089))))</f>
        <v/>
      </c>
      <c r="G1089" s="74" t="n"/>
      <c r="H1089" s="49">
        <f>IF(M1089="","",IFERROR(ROUND(AVERAGE(T1089+M1089*{7,8,9,10,11})/1.21,4),""))</f>
        <v/>
      </c>
      <c r="I1089" s="76" t="n"/>
      <c r="J1089" s="77" t="n"/>
      <c r="K1089" s="74" t="n"/>
      <c r="L1089" s="78" t="n"/>
      <c r="M1089" s="77" t="n"/>
      <c r="N1089" s="53">
        <f>IF(M1089="","",IFERROR(M1089/I1089,""))</f>
        <v/>
      </c>
      <c r="O1089" s="50">
        <f>IF(A1089="","",IFERROR((IF(G1089="",I1089,G1089)-T1089)/M1089,""))</f>
        <v/>
      </c>
      <c r="P1089" s="50">
        <f>IFERROR((I1089/T1089-1)/N1089,"")</f>
        <v/>
      </c>
      <c r="Q1089" s="46">
        <f>IF(OR(T1089="",I1089&lt;T1089),"",IFERROR(R1089/IF(G1089="",I1089,G1089)-1,""))</f>
        <v/>
      </c>
      <c r="R1089" s="48">
        <f>IF($M1089="","",MAX(IF($G1089="",$I1089,$G1089)*(1/1.1),IF($G1089="",$I1089,$G1089)+(R$2*$M1089)))</f>
        <v/>
      </c>
      <c r="S1089" s="49">
        <f>IF($M1089="","",MAX(IF($G1089="",$I1089,$G1089)*(1/1.1),IF($G1089="",$I1089,$G1089)+(S$2*$M1089)))</f>
        <v/>
      </c>
      <c r="T1089" s="82" t="n"/>
      <c r="U1089" s="47">
        <f>IF(OR($M1089="",$T1089=""),"",$T1089+(U$2*$M1089))</f>
        <v/>
      </c>
      <c r="V1089" s="48">
        <f>IF(OR($M1089="",$T1089=""),"",$T1089+(V$2*$M1089))</f>
        <v/>
      </c>
      <c r="W1089" s="48">
        <f>IF(OR($M1089="",$T1089=""),"",$T1089+(W$2*$M1089))</f>
        <v/>
      </c>
      <c r="X1089" s="49">
        <f>IF(OR($M1089="",$T1089=""),"",$T1089+(X$2*$M1089))</f>
        <v/>
      </c>
      <c r="Y1089" s="47">
        <f>IF(OR($M1089="",$T1089=""),"",$T1089+(Y$2*$M1089))</f>
        <v/>
      </c>
      <c r="Z1089" s="49">
        <f>IF(OR($M1089="",$T1089=""),"",$T1089+(Z$2*$M1089))</f>
        <v/>
      </c>
      <c r="AA1089" s="51">
        <f>IF(OR($M1089="",$T1089=""),"",$T1089+(AA$2*$M1089))</f>
        <v/>
      </c>
      <c r="AB1089" s="48">
        <f>IF(OR($M1089="",$T1089=""),"",$T1089+(AB$2*$M1089))</f>
        <v/>
      </c>
      <c r="AC1089" s="48">
        <f>IF(OR($M1089="",$T1089=""),"",$T1089+(AC$2*$M1089))</f>
        <v/>
      </c>
      <c r="AD1089" s="48">
        <f>IF(OR($M1089="",$T1089=""),"",$T1089+(AD$2*$M1089))</f>
        <v/>
      </c>
      <c r="AE1089" s="49">
        <f>IF(OR($M1089="",$T1089=""),"",$T1089+(AE$2*$M1089))</f>
        <v/>
      </c>
      <c r="AF1089" s="52">
        <f>IF(OR(T1089="",I1089&lt;T1089),"",IFERROR(AVERAGE(T1089+M1089*{7,8,9,10,11})/IF(G1089="",I1089,G1089)-1,""))</f>
        <v/>
      </c>
      <c r="AG1089" s="55">
        <f>IF(OR(T1089="",I1089&lt;T1089),"",IFERROR(AF1089/-(R1089/IF(G1089="",I1089,G1089)-1),""))</f>
        <v/>
      </c>
      <c r="AH1089" s="94" t="n"/>
      <c r="AI1089" s="94" t="n"/>
      <c r="AJ1089" s="94" t="n"/>
      <c r="AK1089" s="94" t="n"/>
      <c r="AL1089" s="84" t="n"/>
    </row>
    <row r="1090">
      <c r="A1090" s="64" t="n"/>
      <c r="B1090" s="65" t="n"/>
      <c r="C1090" s="66" t="n"/>
      <c r="D1090" s="67" t="n"/>
      <c r="E1090" s="68" t="n"/>
      <c r="F1090" s="47">
        <f>IF(A1090="","",IF(MIN(H1090,MAX(J1090:K1090))=0,"",MIN(H1090,MAX(J1090:K1090))))</f>
        <v/>
      </c>
      <c r="G1090" s="74" t="n"/>
      <c r="H1090" s="49">
        <f>IF(M1090="","",IFERROR(ROUND(AVERAGE(T1090+M1090*{7,8,9,10,11})/1.21,4),""))</f>
        <v/>
      </c>
      <c r="I1090" s="76" t="n"/>
      <c r="J1090" s="77" t="n"/>
      <c r="K1090" s="74" t="n"/>
      <c r="L1090" s="78" t="n"/>
      <c r="M1090" s="77" t="n"/>
      <c r="N1090" s="53">
        <f>IF(M1090="","",IFERROR(M1090/I1090,""))</f>
        <v/>
      </c>
      <c r="O1090" s="50">
        <f>IF(A1090="","",IFERROR((IF(G1090="",I1090,G1090)-T1090)/M1090,""))</f>
        <v/>
      </c>
      <c r="P1090" s="50">
        <f>IFERROR((I1090/T1090-1)/N1090,"")</f>
        <v/>
      </c>
      <c r="Q1090" s="46">
        <f>IF(OR(T1090="",I1090&lt;T1090),"",IFERROR(R1090/IF(G1090="",I1090,G1090)-1,""))</f>
        <v/>
      </c>
      <c r="R1090" s="48">
        <f>IF($M1090="","",MAX(IF($G1090="",$I1090,$G1090)*(1/1.1),IF($G1090="",$I1090,$G1090)+(R$2*$M1090)))</f>
        <v/>
      </c>
      <c r="S1090" s="49">
        <f>IF($M1090="","",MAX(IF($G1090="",$I1090,$G1090)*(1/1.1),IF($G1090="",$I1090,$G1090)+(S$2*$M1090)))</f>
        <v/>
      </c>
      <c r="T1090" s="82" t="n"/>
      <c r="U1090" s="47">
        <f>IF(OR($M1090="",$T1090=""),"",$T1090+(U$2*$M1090))</f>
        <v/>
      </c>
      <c r="V1090" s="48">
        <f>IF(OR($M1090="",$T1090=""),"",$T1090+(V$2*$M1090))</f>
        <v/>
      </c>
      <c r="W1090" s="48">
        <f>IF(OR($M1090="",$T1090=""),"",$T1090+(W$2*$M1090))</f>
        <v/>
      </c>
      <c r="X1090" s="49">
        <f>IF(OR($M1090="",$T1090=""),"",$T1090+(X$2*$M1090))</f>
        <v/>
      </c>
      <c r="Y1090" s="47">
        <f>IF(OR($M1090="",$T1090=""),"",$T1090+(Y$2*$M1090))</f>
        <v/>
      </c>
      <c r="Z1090" s="49">
        <f>IF(OR($M1090="",$T1090=""),"",$T1090+(Z$2*$M1090))</f>
        <v/>
      </c>
      <c r="AA1090" s="51">
        <f>IF(OR($M1090="",$T1090=""),"",$T1090+(AA$2*$M1090))</f>
        <v/>
      </c>
      <c r="AB1090" s="48">
        <f>IF(OR($M1090="",$T1090=""),"",$T1090+(AB$2*$M1090))</f>
        <v/>
      </c>
      <c r="AC1090" s="48">
        <f>IF(OR($M1090="",$T1090=""),"",$T1090+(AC$2*$M1090))</f>
        <v/>
      </c>
      <c r="AD1090" s="48">
        <f>IF(OR($M1090="",$T1090=""),"",$T1090+(AD$2*$M1090))</f>
        <v/>
      </c>
      <c r="AE1090" s="49">
        <f>IF(OR($M1090="",$T1090=""),"",$T1090+(AE$2*$M1090))</f>
        <v/>
      </c>
      <c r="AF1090" s="52">
        <f>IF(OR(T1090="",I1090&lt;T1090),"",IFERROR(AVERAGE(T1090+M1090*{7,8,9,10,11})/IF(G1090="",I1090,G1090)-1,""))</f>
        <v/>
      </c>
      <c r="AG1090" s="55">
        <f>IF(OR(T1090="",I1090&lt;T1090),"",IFERROR(AF1090/-(R1090/IF(G1090="",I1090,G1090)-1),""))</f>
        <v/>
      </c>
      <c r="AH1090" s="94" t="n"/>
      <c r="AI1090" s="94" t="n"/>
      <c r="AJ1090" s="94" t="n"/>
      <c r="AK1090" s="94" t="n"/>
      <c r="AL1090" s="84" t="n"/>
    </row>
    <row r="1091">
      <c r="A1091" s="64" t="n"/>
      <c r="B1091" s="65" t="n"/>
      <c r="C1091" s="66" t="n"/>
      <c r="D1091" s="67" t="n"/>
      <c r="E1091" s="68" t="n"/>
      <c r="F1091" s="47">
        <f>IF(A1091="","",IF(MIN(H1091,MAX(J1091:K1091))=0,"",MIN(H1091,MAX(J1091:K1091))))</f>
        <v/>
      </c>
      <c r="G1091" s="74" t="n"/>
      <c r="H1091" s="49">
        <f>IF(M1091="","",IFERROR(ROUND(AVERAGE(T1091+M1091*{7,8,9,10,11})/1.21,4),""))</f>
        <v/>
      </c>
      <c r="I1091" s="76" t="n"/>
      <c r="J1091" s="77" t="n"/>
      <c r="K1091" s="74" t="n"/>
      <c r="L1091" s="78" t="n"/>
      <c r="M1091" s="77" t="n"/>
      <c r="N1091" s="53">
        <f>IF(M1091="","",IFERROR(M1091/I1091,""))</f>
        <v/>
      </c>
      <c r="O1091" s="50">
        <f>IF(A1091="","",IFERROR((IF(G1091="",I1091,G1091)-T1091)/M1091,""))</f>
        <v/>
      </c>
      <c r="P1091" s="50">
        <f>IFERROR((I1091/T1091-1)/N1091,"")</f>
        <v/>
      </c>
      <c r="Q1091" s="46">
        <f>IF(OR(T1091="",I1091&lt;T1091),"",IFERROR(R1091/IF(G1091="",I1091,G1091)-1,""))</f>
        <v/>
      </c>
      <c r="R1091" s="48">
        <f>IF($M1091="","",MAX(IF($G1091="",$I1091,$G1091)*(1/1.1),IF($G1091="",$I1091,$G1091)+(R$2*$M1091)))</f>
        <v/>
      </c>
      <c r="S1091" s="49">
        <f>IF($M1091="","",MAX(IF($G1091="",$I1091,$G1091)*(1/1.1),IF($G1091="",$I1091,$G1091)+(S$2*$M1091)))</f>
        <v/>
      </c>
      <c r="T1091" s="82" t="n"/>
      <c r="U1091" s="47">
        <f>IF(OR($M1091="",$T1091=""),"",$T1091+(U$2*$M1091))</f>
        <v/>
      </c>
      <c r="V1091" s="48">
        <f>IF(OR($M1091="",$T1091=""),"",$T1091+(V$2*$M1091))</f>
        <v/>
      </c>
      <c r="W1091" s="48">
        <f>IF(OR($M1091="",$T1091=""),"",$T1091+(W$2*$M1091))</f>
        <v/>
      </c>
      <c r="X1091" s="49">
        <f>IF(OR($M1091="",$T1091=""),"",$T1091+(X$2*$M1091))</f>
        <v/>
      </c>
      <c r="Y1091" s="47">
        <f>IF(OR($M1091="",$T1091=""),"",$T1091+(Y$2*$M1091))</f>
        <v/>
      </c>
      <c r="Z1091" s="49">
        <f>IF(OR($M1091="",$T1091=""),"",$T1091+(Z$2*$M1091))</f>
        <v/>
      </c>
      <c r="AA1091" s="51">
        <f>IF(OR($M1091="",$T1091=""),"",$T1091+(AA$2*$M1091))</f>
        <v/>
      </c>
      <c r="AB1091" s="48">
        <f>IF(OR($M1091="",$T1091=""),"",$T1091+(AB$2*$M1091))</f>
        <v/>
      </c>
      <c r="AC1091" s="48">
        <f>IF(OR($M1091="",$T1091=""),"",$T1091+(AC$2*$M1091))</f>
        <v/>
      </c>
      <c r="AD1091" s="48">
        <f>IF(OR($M1091="",$T1091=""),"",$T1091+(AD$2*$M1091))</f>
        <v/>
      </c>
      <c r="AE1091" s="49">
        <f>IF(OR($M1091="",$T1091=""),"",$T1091+(AE$2*$M1091))</f>
        <v/>
      </c>
      <c r="AF1091" s="52">
        <f>IF(OR(T1091="",I1091&lt;T1091),"",IFERROR(AVERAGE(T1091+M1091*{7,8,9,10,11})/IF(G1091="",I1091,G1091)-1,""))</f>
        <v/>
      </c>
      <c r="AG1091" s="55">
        <f>IF(OR(T1091="",I1091&lt;T1091),"",IFERROR(AF1091/-(R1091/IF(G1091="",I1091,G1091)-1),""))</f>
        <v/>
      </c>
      <c r="AH1091" s="94" t="n"/>
      <c r="AI1091" s="94" t="n"/>
      <c r="AJ1091" s="94" t="n"/>
      <c r="AK1091" s="94" t="n"/>
      <c r="AL1091" s="84" t="n"/>
    </row>
    <row r="1092">
      <c r="A1092" s="64" t="n"/>
      <c r="B1092" s="65" t="n"/>
      <c r="C1092" s="66" t="n"/>
      <c r="D1092" s="67" t="n"/>
      <c r="E1092" s="68" t="n"/>
      <c r="F1092" s="47">
        <f>IF(A1092="","",IF(MIN(H1092,MAX(J1092:K1092))=0,"",MIN(H1092,MAX(J1092:K1092))))</f>
        <v/>
      </c>
      <c r="G1092" s="74" t="n"/>
      <c r="H1092" s="49">
        <f>IF(M1092="","",IFERROR(ROUND(AVERAGE(T1092+M1092*{7,8,9,10,11})/1.21,4),""))</f>
        <v/>
      </c>
      <c r="I1092" s="76" t="n"/>
      <c r="J1092" s="77" t="n"/>
      <c r="K1092" s="74" t="n"/>
      <c r="L1092" s="78" t="n"/>
      <c r="M1092" s="77" t="n"/>
      <c r="N1092" s="53">
        <f>IF(M1092="","",IFERROR(M1092/I1092,""))</f>
        <v/>
      </c>
      <c r="O1092" s="50">
        <f>IF(A1092="","",IFERROR((IF(G1092="",I1092,G1092)-T1092)/M1092,""))</f>
        <v/>
      </c>
      <c r="P1092" s="50">
        <f>IFERROR((I1092/T1092-1)/N1092,"")</f>
        <v/>
      </c>
      <c r="Q1092" s="46">
        <f>IF(OR(T1092="",I1092&lt;T1092),"",IFERROR(R1092/IF(G1092="",I1092,G1092)-1,""))</f>
        <v/>
      </c>
      <c r="R1092" s="48">
        <f>IF($M1092="","",MAX(IF($G1092="",$I1092,$G1092)*(1/1.1),IF($G1092="",$I1092,$G1092)+(R$2*$M1092)))</f>
        <v/>
      </c>
      <c r="S1092" s="49">
        <f>IF($M1092="","",MAX(IF($G1092="",$I1092,$G1092)*(1/1.1),IF($G1092="",$I1092,$G1092)+(S$2*$M1092)))</f>
        <v/>
      </c>
      <c r="T1092" s="82" t="n"/>
      <c r="U1092" s="47">
        <f>IF(OR($M1092="",$T1092=""),"",$T1092+(U$2*$M1092))</f>
        <v/>
      </c>
      <c r="V1092" s="48">
        <f>IF(OR($M1092="",$T1092=""),"",$T1092+(V$2*$M1092))</f>
        <v/>
      </c>
      <c r="W1092" s="48">
        <f>IF(OR($M1092="",$T1092=""),"",$T1092+(W$2*$M1092))</f>
        <v/>
      </c>
      <c r="X1092" s="49">
        <f>IF(OR($M1092="",$T1092=""),"",$T1092+(X$2*$M1092))</f>
        <v/>
      </c>
      <c r="Y1092" s="47">
        <f>IF(OR($M1092="",$T1092=""),"",$T1092+(Y$2*$M1092))</f>
        <v/>
      </c>
      <c r="Z1092" s="49">
        <f>IF(OR($M1092="",$T1092=""),"",$T1092+(Z$2*$M1092))</f>
        <v/>
      </c>
      <c r="AA1092" s="51">
        <f>IF(OR($M1092="",$T1092=""),"",$T1092+(AA$2*$M1092))</f>
        <v/>
      </c>
      <c r="AB1092" s="48">
        <f>IF(OR($M1092="",$T1092=""),"",$T1092+(AB$2*$M1092))</f>
        <v/>
      </c>
      <c r="AC1092" s="48">
        <f>IF(OR($M1092="",$T1092=""),"",$T1092+(AC$2*$M1092))</f>
        <v/>
      </c>
      <c r="AD1092" s="48">
        <f>IF(OR($M1092="",$T1092=""),"",$T1092+(AD$2*$M1092))</f>
        <v/>
      </c>
      <c r="AE1092" s="49">
        <f>IF(OR($M1092="",$T1092=""),"",$T1092+(AE$2*$M1092))</f>
        <v/>
      </c>
      <c r="AF1092" s="52">
        <f>IF(OR(T1092="",I1092&lt;T1092),"",IFERROR(AVERAGE(T1092+M1092*{7,8,9,10,11})/IF(G1092="",I1092,G1092)-1,""))</f>
        <v/>
      </c>
      <c r="AG1092" s="55">
        <f>IF(OR(T1092="",I1092&lt;T1092),"",IFERROR(AF1092/-(R1092/IF(G1092="",I1092,G1092)-1),""))</f>
        <v/>
      </c>
      <c r="AH1092" s="94" t="n"/>
      <c r="AI1092" s="94" t="n"/>
      <c r="AJ1092" s="94" t="n"/>
      <c r="AK1092" s="94" t="n"/>
      <c r="AL1092" s="84" t="n"/>
    </row>
    <row r="1093">
      <c r="A1093" s="64" t="n"/>
      <c r="B1093" s="65" t="n"/>
      <c r="C1093" s="66" t="n"/>
      <c r="D1093" s="67" t="n"/>
      <c r="E1093" s="68" t="n"/>
      <c r="F1093" s="47">
        <f>IF(A1093="","",IF(MIN(H1093,MAX(J1093:K1093))=0,"",MIN(H1093,MAX(J1093:K1093))))</f>
        <v/>
      </c>
      <c r="G1093" s="74" t="n"/>
      <c r="H1093" s="49">
        <f>IF(M1093="","",IFERROR(ROUND(AVERAGE(T1093+M1093*{7,8,9,10,11})/1.21,4),""))</f>
        <v/>
      </c>
      <c r="I1093" s="76" t="n"/>
      <c r="J1093" s="77" t="n"/>
      <c r="K1093" s="74" t="n"/>
      <c r="L1093" s="78" t="n"/>
      <c r="M1093" s="77" t="n"/>
      <c r="N1093" s="53">
        <f>IF(M1093="","",IFERROR(M1093/I1093,""))</f>
        <v/>
      </c>
      <c r="O1093" s="50">
        <f>IF(A1093="","",IFERROR((IF(G1093="",I1093,G1093)-T1093)/M1093,""))</f>
        <v/>
      </c>
      <c r="P1093" s="50">
        <f>IFERROR((I1093/T1093-1)/N1093,"")</f>
        <v/>
      </c>
      <c r="Q1093" s="46">
        <f>IF(OR(T1093="",I1093&lt;T1093),"",IFERROR(R1093/IF(G1093="",I1093,G1093)-1,""))</f>
        <v/>
      </c>
      <c r="R1093" s="48">
        <f>IF($M1093="","",MAX(IF($G1093="",$I1093,$G1093)*(1/1.1),IF($G1093="",$I1093,$G1093)+(R$2*$M1093)))</f>
        <v/>
      </c>
      <c r="S1093" s="49">
        <f>IF($M1093="","",MAX(IF($G1093="",$I1093,$G1093)*(1/1.1),IF($G1093="",$I1093,$G1093)+(S$2*$M1093)))</f>
        <v/>
      </c>
      <c r="T1093" s="82" t="n"/>
      <c r="U1093" s="47">
        <f>IF(OR($M1093="",$T1093=""),"",$T1093+(U$2*$M1093))</f>
        <v/>
      </c>
      <c r="V1093" s="48">
        <f>IF(OR($M1093="",$T1093=""),"",$T1093+(V$2*$M1093))</f>
        <v/>
      </c>
      <c r="W1093" s="48">
        <f>IF(OR($M1093="",$T1093=""),"",$T1093+(W$2*$M1093))</f>
        <v/>
      </c>
      <c r="X1093" s="49">
        <f>IF(OR($M1093="",$T1093=""),"",$T1093+(X$2*$M1093))</f>
        <v/>
      </c>
      <c r="Y1093" s="47">
        <f>IF(OR($M1093="",$T1093=""),"",$T1093+(Y$2*$M1093))</f>
        <v/>
      </c>
      <c r="Z1093" s="49">
        <f>IF(OR($M1093="",$T1093=""),"",$T1093+(Z$2*$M1093))</f>
        <v/>
      </c>
      <c r="AA1093" s="51">
        <f>IF(OR($M1093="",$T1093=""),"",$T1093+(AA$2*$M1093))</f>
        <v/>
      </c>
      <c r="AB1093" s="48">
        <f>IF(OR($M1093="",$T1093=""),"",$T1093+(AB$2*$M1093))</f>
        <v/>
      </c>
      <c r="AC1093" s="48">
        <f>IF(OR($M1093="",$T1093=""),"",$T1093+(AC$2*$M1093))</f>
        <v/>
      </c>
      <c r="AD1093" s="48">
        <f>IF(OR($M1093="",$T1093=""),"",$T1093+(AD$2*$M1093))</f>
        <v/>
      </c>
      <c r="AE1093" s="49">
        <f>IF(OR($M1093="",$T1093=""),"",$T1093+(AE$2*$M1093))</f>
        <v/>
      </c>
      <c r="AF1093" s="52">
        <f>IF(OR(T1093="",I1093&lt;T1093),"",IFERROR(AVERAGE(T1093+M1093*{7,8,9,10,11})/IF(G1093="",I1093,G1093)-1,""))</f>
        <v/>
      </c>
      <c r="AG1093" s="55">
        <f>IF(OR(T1093="",I1093&lt;T1093),"",IFERROR(AF1093/-(R1093/IF(G1093="",I1093,G1093)-1),""))</f>
        <v/>
      </c>
      <c r="AH1093" s="94" t="n"/>
      <c r="AI1093" s="94" t="n"/>
      <c r="AJ1093" s="94" t="n"/>
      <c r="AK1093" s="94" t="n"/>
      <c r="AL1093" s="84" t="n"/>
    </row>
    <row r="1094">
      <c r="A1094" s="64" t="n"/>
      <c r="B1094" s="65" t="n"/>
      <c r="C1094" s="66" t="n"/>
      <c r="D1094" s="67" t="n"/>
      <c r="E1094" s="68" t="n"/>
      <c r="F1094" s="47">
        <f>IF(A1094="","",IF(MIN(H1094,MAX(J1094:K1094))=0,"",MIN(H1094,MAX(J1094:K1094))))</f>
        <v/>
      </c>
      <c r="G1094" s="74" t="n"/>
      <c r="H1094" s="49">
        <f>IF(M1094="","",IFERROR(ROUND(AVERAGE(T1094+M1094*{7,8,9,10,11})/1.21,4),""))</f>
        <v/>
      </c>
      <c r="I1094" s="76" t="n"/>
      <c r="J1094" s="77" t="n"/>
      <c r="K1094" s="74" t="n"/>
      <c r="L1094" s="78" t="n"/>
      <c r="M1094" s="77" t="n"/>
      <c r="N1094" s="53">
        <f>IF(M1094="","",IFERROR(M1094/I1094,""))</f>
        <v/>
      </c>
      <c r="O1094" s="50">
        <f>IF(A1094="","",IFERROR((IF(G1094="",I1094,G1094)-T1094)/M1094,""))</f>
        <v/>
      </c>
      <c r="P1094" s="50">
        <f>IFERROR((I1094/T1094-1)/N1094,"")</f>
        <v/>
      </c>
      <c r="Q1094" s="46">
        <f>IF(OR(T1094="",I1094&lt;T1094),"",IFERROR(R1094/IF(G1094="",I1094,G1094)-1,""))</f>
        <v/>
      </c>
      <c r="R1094" s="48">
        <f>IF($M1094="","",MAX(IF($G1094="",$I1094,$G1094)*(1/1.1),IF($G1094="",$I1094,$G1094)+(R$2*$M1094)))</f>
        <v/>
      </c>
      <c r="S1094" s="49">
        <f>IF($M1094="","",MAX(IF($G1094="",$I1094,$G1094)*(1/1.1),IF($G1094="",$I1094,$G1094)+(S$2*$M1094)))</f>
        <v/>
      </c>
      <c r="T1094" s="82" t="n"/>
      <c r="U1094" s="47">
        <f>IF(OR($M1094="",$T1094=""),"",$T1094+(U$2*$M1094))</f>
        <v/>
      </c>
      <c r="V1094" s="48">
        <f>IF(OR($M1094="",$T1094=""),"",$T1094+(V$2*$M1094))</f>
        <v/>
      </c>
      <c r="W1094" s="48">
        <f>IF(OR($M1094="",$T1094=""),"",$T1094+(W$2*$M1094))</f>
        <v/>
      </c>
      <c r="X1094" s="49">
        <f>IF(OR($M1094="",$T1094=""),"",$T1094+(X$2*$M1094))</f>
        <v/>
      </c>
      <c r="Y1094" s="47">
        <f>IF(OR($M1094="",$T1094=""),"",$T1094+(Y$2*$M1094))</f>
        <v/>
      </c>
      <c r="Z1094" s="49">
        <f>IF(OR($M1094="",$T1094=""),"",$T1094+(Z$2*$M1094))</f>
        <v/>
      </c>
      <c r="AA1094" s="51">
        <f>IF(OR($M1094="",$T1094=""),"",$T1094+(AA$2*$M1094))</f>
        <v/>
      </c>
      <c r="AB1094" s="48">
        <f>IF(OR($M1094="",$T1094=""),"",$T1094+(AB$2*$M1094))</f>
        <v/>
      </c>
      <c r="AC1094" s="48">
        <f>IF(OR($M1094="",$T1094=""),"",$T1094+(AC$2*$M1094))</f>
        <v/>
      </c>
      <c r="AD1094" s="48">
        <f>IF(OR($M1094="",$T1094=""),"",$T1094+(AD$2*$M1094))</f>
        <v/>
      </c>
      <c r="AE1094" s="49">
        <f>IF(OR($M1094="",$T1094=""),"",$T1094+(AE$2*$M1094))</f>
        <v/>
      </c>
      <c r="AF1094" s="52">
        <f>IF(OR(T1094="",I1094&lt;T1094),"",IFERROR(AVERAGE(T1094+M1094*{7,8,9,10,11})/IF(G1094="",I1094,G1094)-1,""))</f>
        <v/>
      </c>
      <c r="AG1094" s="55">
        <f>IF(OR(T1094="",I1094&lt;T1094),"",IFERROR(AF1094/-(R1094/IF(G1094="",I1094,G1094)-1),""))</f>
        <v/>
      </c>
      <c r="AH1094" s="94" t="n"/>
      <c r="AI1094" s="94" t="n"/>
      <c r="AJ1094" s="94" t="n"/>
      <c r="AK1094" s="94" t="n"/>
      <c r="AL1094" s="84" t="n"/>
    </row>
    <row r="1095">
      <c r="A1095" s="64" t="n"/>
      <c r="B1095" s="65" t="n"/>
      <c r="C1095" s="66" t="n"/>
      <c r="D1095" s="67" t="n"/>
      <c r="E1095" s="68" t="n"/>
      <c r="F1095" s="47">
        <f>IF(A1095="","",IF(MIN(H1095,MAX(J1095:K1095))=0,"",MIN(H1095,MAX(J1095:K1095))))</f>
        <v/>
      </c>
      <c r="G1095" s="74" t="n"/>
      <c r="H1095" s="49">
        <f>IF(M1095="","",IFERROR(ROUND(AVERAGE(T1095+M1095*{7,8,9,10,11})/1.21,4),""))</f>
        <v/>
      </c>
      <c r="I1095" s="76" t="n"/>
      <c r="J1095" s="77" t="n"/>
      <c r="K1095" s="74" t="n"/>
      <c r="L1095" s="78" t="n"/>
      <c r="M1095" s="77" t="n"/>
      <c r="N1095" s="53">
        <f>IF(M1095="","",IFERROR(M1095/I1095,""))</f>
        <v/>
      </c>
      <c r="O1095" s="50">
        <f>IF(A1095="","",IFERROR((IF(G1095="",I1095,G1095)-T1095)/M1095,""))</f>
        <v/>
      </c>
      <c r="P1095" s="50">
        <f>IFERROR((I1095/T1095-1)/N1095,"")</f>
        <v/>
      </c>
      <c r="Q1095" s="46">
        <f>IF(OR(T1095="",I1095&lt;T1095),"",IFERROR(R1095/IF(G1095="",I1095,G1095)-1,""))</f>
        <v/>
      </c>
      <c r="R1095" s="48">
        <f>IF($M1095="","",MAX(IF($G1095="",$I1095,$G1095)*(1/1.1),IF($G1095="",$I1095,$G1095)+(R$2*$M1095)))</f>
        <v/>
      </c>
      <c r="S1095" s="49">
        <f>IF($M1095="","",MAX(IF($G1095="",$I1095,$G1095)*(1/1.1),IF($G1095="",$I1095,$G1095)+(S$2*$M1095)))</f>
        <v/>
      </c>
      <c r="T1095" s="82" t="n"/>
      <c r="U1095" s="47">
        <f>IF(OR($M1095="",$T1095=""),"",$T1095+(U$2*$M1095))</f>
        <v/>
      </c>
      <c r="V1095" s="48">
        <f>IF(OR($M1095="",$T1095=""),"",$T1095+(V$2*$M1095))</f>
        <v/>
      </c>
      <c r="W1095" s="48">
        <f>IF(OR($M1095="",$T1095=""),"",$T1095+(W$2*$M1095))</f>
        <v/>
      </c>
      <c r="X1095" s="49">
        <f>IF(OR($M1095="",$T1095=""),"",$T1095+(X$2*$M1095))</f>
        <v/>
      </c>
      <c r="Y1095" s="47">
        <f>IF(OR($M1095="",$T1095=""),"",$T1095+(Y$2*$M1095))</f>
        <v/>
      </c>
      <c r="Z1095" s="49">
        <f>IF(OR($M1095="",$T1095=""),"",$T1095+(Z$2*$M1095))</f>
        <v/>
      </c>
      <c r="AA1095" s="51">
        <f>IF(OR($M1095="",$T1095=""),"",$T1095+(AA$2*$M1095))</f>
        <v/>
      </c>
      <c r="AB1095" s="48">
        <f>IF(OR($M1095="",$T1095=""),"",$T1095+(AB$2*$M1095))</f>
        <v/>
      </c>
      <c r="AC1095" s="48">
        <f>IF(OR($M1095="",$T1095=""),"",$T1095+(AC$2*$M1095))</f>
        <v/>
      </c>
      <c r="AD1095" s="48">
        <f>IF(OR($M1095="",$T1095=""),"",$T1095+(AD$2*$M1095))</f>
        <v/>
      </c>
      <c r="AE1095" s="49">
        <f>IF(OR($M1095="",$T1095=""),"",$T1095+(AE$2*$M1095))</f>
        <v/>
      </c>
      <c r="AF1095" s="52">
        <f>IF(OR(T1095="",I1095&lt;T1095),"",IFERROR(AVERAGE(T1095+M1095*{7,8,9,10,11})/IF(G1095="",I1095,G1095)-1,""))</f>
        <v/>
      </c>
      <c r="AG1095" s="55">
        <f>IF(OR(T1095="",I1095&lt;T1095),"",IFERROR(AF1095/-(R1095/IF(G1095="",I1095,G1095)-1),""))</f>
        <v/>
      </c>
      <c r="AH1095" s="94" t="n"/>
      <c r="AI1095" s="94" t="n"/>
      <c r="AJ1095" s="94" t="n"/>
      <c r="AK1095" s="94" t="n"/>
      <c r="AL1095" s="84" t="n"/>
    </row>
    <row r="1096">
      <c r="A1096" s="64" t="n"/>
      <c r="B1096" s="65" t="n"/>
      <c r="C1096" s="66" t="n"/>
      <c r="D1096" s="67" t="n"/>
      <c r="E1096" s="68" t="n"/>
      <c r="F1096" s="47">
        <f>IF(A1096="","",IF(MIN(H1096,MAX(J1096:K1096))=0,"",MIN(H1096,MAX(J1096:K1096))))</f>
        <v/>
      </c>
      <c r="G1096" s="74" t="n"/>
      <c r="H1096" s="49">
        <f>IF(M1096="","",IFERROR(ROUND(AVERAGE(T1096+M1096*{7,8,9,10,11})/1.21,4),""))</f>
        <v/>
      </c>
      <c r="I1096" s="76" t="n"/>
      <c r="J1096" s="77" t="n"/>
      <c r="K1096" s="74" t="n"/>
      <c r="L1096" s="78" t="n"/>
      <c r="M1096" s="77" t="n"/>
      <c r="N1096" s="53">
        <f>IF(M1096="","",IFERROR(M1096/I1096,""))</f>
        <v/>
      </c>
      <c r="O1096" s="50">
        <f>IF(A1096="","",IFERROR((IF(G1096="",I1096,G1096)-T1096)/M1096,""))</f>
        <v/>
      </c>
      <c r="P1096" s="50">
        <f>IFERROR((I1096/T1096-1)/N1096,"")</f>
        <v/>
      </c>
      <c r="Q1096" s="46">
        <f>IF(OR(T1096="",I1096&lt;T1096),"",IFERROR(R1096/IF(G1096="",I1096,G1096)-1,""))</f>
        <v/>
      </c>
      <c r="R1096" s="48">
        <f>IF($M1096="","",MAX(IF($G1096="",$I1096,$G1096)*(1/1.1),IF($G1096="",$I1096,$G1096)+(R$2*$M1096)))</f>
        <v/>
      </c>
      <c r="S1096" s="49">
        <f>IF($M1096="","",MAX(IF($G1096="",$I1096,$G1096)*(1/1.1),IF($G1096="",$I1096,$G1096)+(S$2*$M1096)))</f>
        <v/>
      </c>
      <c r="T1096" s="82" t="n"/>
      <c r="U1096" s="47">
        <f>IF(OR($M1096="",$T1096=""),"",$T1096+(U$2*$M1096))</f>
        <v/>
      </c>
      <c r="V1096" s="48">
        <f>IF(OR($M1096="",$T1096=""),"",$T1096+(V$2*$M1096))</f>
        <v/>
      </c>
      <c r="W1096" s="48">
        <f>IF(OR($M1096="",$T1096=""),"",$T1096+(W$2*$M1096))</f>
        <v/>
      </c>
      <c r="X1096" s="49">
        <f>IF(OR($M1096="",$T1096=""),"",$T1096+(X$2*$M1096))</f>
        <v/>
      </c>
      <c r="Y1096" s="47">
        <f>IF(OR($M1096="",$T1096=""),"",$T1096+(Y$2*$M1096))</f>
        <v/>
      </c>
      <c r="Z1096" s="49">
        <f>IF(OR($M1096="",$T1096=""),"",$T1096+(Z$2*$M1096))</f>
        <v/>
      </c>
      <c r="AA1096" s="51">
        <f>IF(OR($M1096="",$T1096=""),"",$T1096+(AA$2*$M1096))</f>
        <v/>
      </c>
      <c r="AB1096" s="48">
        <f>IF(OR($M1096="",$T1096=""),"",$T1096+(AB$2*$M1096))</f>
        <v/>
      </c>
      <c r="AC1096" s="48">
        <f>IF(OR($M1096="",$T1096=""),"",$T1096+(AC$2*$M1096))</f>
        <v/>
      </c>
      <c r="AD1096" s="48">
        <f>IF(OR($M1096="",$T1096=""),"",$T1096+(AD$2*$M1096))</f>
        <v/>
      </c>
      <c r="AE1096" s="49">
        <f>IF(OR($M1096="",$T1096=""),"",$T1096+(AE$2*$M1096))</f>
        <v/>
      </c>
      <c r="AF1096" s="52">
        <f>IF(OR(T1096="",I1096&lt;T1096),"",IFERROR(AVERAGE(T1096+M1096*{7,8,9,10,11})/IF(G1096="",I1096,G1096)-1,""))</f>
        <v/>
      </c>
      <c r="AG1096" s="55">
        <f>IF(OR(T1096="",I1096&lt;T1096),"",IFERROR(AF1096/-(R1096/IF(G1096="",I1096,G1096)-1),""))</f>
        <v/>
      </c>
      <c r="AH1096" s="94" t="n"/>
      <c r="AI1096" s="94" t="n"/>
      <c r="AJ1096" s="94" t="n"/>
      <c r="AK1096" s="94" t="n"/>
      <c r="AL1096" s="84" t="n"/>
    </row>
    <row r="1097">
      <c r="A1097" s="64" t="n"/>
      <c r="B1097" s="65" t="n"/>
      <c r="C1097" s="66" t="n"/>
      <c r="D1097" s="67" t="n"/>
      <c r="E1097" s="68" t="n"/>
      <c r="F1097" s="47">
        <f>IF(A1097="","",IF(MIN(H1097,MAX(J1097:K1097))=0,"",MIN(H1097,MAX(J1097:K1097))))</f>
        <v/>
      </c>
      <c r="G1097" s="74" t="n"/>
      <c r="H1097" s="49">
        <f>IF(M1097="","",IFERROR(ROUND(AVERAGE(T1097+M1097*{7,8,9,10,11})/1.21,4),""))</f>
        <v/>
      </c>
      <c r="I1097" s="76" t="n"/>
      <c r="J1097" s="77" t="n"/>
      <c r="K1097" s="74" t="n"/>
      <c r="L1097" s="78" t="n"/>
      <c r="M1097" s="77" t="n"/>
      <c r="N1097" s="53">
        <f>IF(M1097="","",IFERROR(M1097/I1097,""))</f>
        <v/>
      </c>
      <c r="O1097" s="50">
        <f>IF(A1097="","",IFERROR((IF(G1097="",I1097,G1097)-T1097)/M1097,""))</f>
        <v/>
      </c>
      <c r="P1097" s="50">
        <f>IFERROR((I1097/T1097-1)/N1097,"")</f>
        <v/>
      </c>
      <c r="Q1097" s="46">
        <f>IF(OR(T1097="",I1097&lt;T1097),"",IFERROR(R1097/IF(G1097="",I1097,G1097)-1,""))</f>
        <v/>
      </c>
      <c r="R1097" s="48">
        <f>IF($M1097="","",MAX(IF($G1097="",$I1097,$G1097)*(1/1.1),IF($G1097="",$I1097,$G1097)+(R$2*$M1097)))</f>
        <v/>
      </c>
      <c r="S1097" s="49">
        <f>IF($M1097="","",MAX(IF($G1097="",$I1097,$G1097)*(1/1.1),IF($G1097="",$I1097,$G1097)+(S$2*$M1097)))</f>
        <v/>
      </c>
      <c r="T1097" s="82" t="n"/>
      <c r="U1097" s="47">
        <f>IF(OR($M1097="",$T1097=""),"",$T1097+(U$2*$M1097))</f>
        <v/>
      </c>
      <c r="V1097" s="48">
        <f>IF(OR($M1097="",$T1097=""),"",$T1097+(V$2*$M1097))</f>
        <v/>
      </c>
      <c r="W1097" s="48">
        <f>IF(OR($M1097="",$T1097=""),"",$T1097+(W$2*$M1097))</f>
        <v/>
      </c>
      <c r="X1097" s="49">
        <f>IF(OR($M1097="",$T1097=""),"",$T1097+(X$2*$M1097))</f>
        <v/>
      </c>
      <c r="Y1097" s="47">
        <f>IF(OR($M1097="",$T1097=""),"",$T1097+(Y$2*$M1097))</f>
        <v/>
      </c>
      <c r="Z1097" s="49">
        <f>IF(OR($M1097="",$T1097=""),"",$T1097+(Z$2*$M1097))</f>
        <v/>
      </c>
      <c r="AA1097" s="51">
        <f>IF(OR($M1097="",$T1097=""),"",$T1097+(AA$2*$M1097))</f>
        <v/>
      </c>
      <c r="AB1097" s="48">
        <f>IF(OR($M1097="",$T1097=""),"",$T1097+(AB$2*$M1097))</f>
        <v/>
      </c>
      <c r="AC1097" s="48">
        <f>IF(OR($M1097="",$T1097=""),"",$T1097+(AC$2*$M1097))</f>
        <v/>
      </c>
      <c r="AD1097" s="48">
        <f>IF(OR($M1097="",$T1097=""),"",$T1097+(AD$2*$M1097))</f>
        <v/>
      </c>
      <c r="AE1097" s="49">
        <f>IF(OR($M1097="",$T1097=""),"",$T1097+(AE$2*$M1097))</f>
        <v/>
      </c>
      <c r="AF1097" s="52">
        <f>IF(OR(T1097="",I1097&lt;T1097),"",IFERROR(AVERAGE(T1097+M1097*{7,8,9,10,11})/IF(G1097="",I1097,G1097)-1,""))</f>
        <v/>
      </c>
      <c r="AG1097" s="55">
        <f>IF(OR(T1097="",I1097&lt;T1097),"",IFERROR(AF1097/-(R1097/IF(G1097="",I1097,G1097)-1),""))</f>
        <v/>
      </c>
      <c r="AH1097" s="94" t="n"/>
      <c r="AI1097" s="94" t="n"/>
      <c r="AJ1097" s="94" t="n"/>
      <c r="AK1097" s="94" t="n"/>
      <c r="AL1097" s="84" t="n"/>
    </row>
    <row r="1098">
      <c r="A1098" s="64" t="n"/>
      <c r="B1098" s="65" t="n"/>
      <c r="C1098" s="66" t="n"/>
      <c r="D1098" s="67" t="n"/>
      <c r="E1098" s="68" t="n"/>
      <c r="F1098" s="47">
        <f>IF(A1098="","",IF(MIN(H1098,MAX(J1098:K1098))=0,"",MIN(H1098,MAX(J1098:K1098))))</f>
        <v/>
      </c>
      <c r="G1098" s="74" t="n"/>
      <c r="H1098" s="49">
        <f>IF(M1098="","",IFERROR(ROUND(AVERAGE(T1098+M1098*{7,8,9,10,11})/1.21,4),""))</f>
        <v/>
      </c>
      <c r="I1098" s="76" t="n"/>
      <c r="J1098" s="77" t="n"/>
      <c r="K1098" s="74" t="n"/>
      <c r="L1098" s="78" t="n"/>
      <c r="M1098" s="77" t="n"/>
      <c r="N1098" s="53">
        <f>IF(M1098="","",IFERROR(M1098/I1098,""))</f>
        <v/>
      </c>
      <c r="O1098" s="50">
        <f>IF(A1098="","",IFERROR((IF(G1098="",I1098,G1098)-T1098)/M1098,""))</f>
        <v/>
      </c>
      <c r="P1098" s="50">
        <f>IFERROR((I1098/T1098-1)/N1098,"")</f>
        <v/>
      </c>
      <c r="Q1098" s="46">
        <f>IF(OR(T1098="",I1098&lt;T1098),"",IFERROR(R1098/IF(G1098="",I1098,G1098)-1,""))</f>
        <v/>
      </c>
      <c r="R1098" s="48">
        <f>IF($M1098="","",MAX(IF($G1098="",$I1098,$G1098)*(1/1.1),IF($G1098="",$I1098,$G1098)+(R$2*$M1098)))</f>
        <v/>
      </c>
      <c r="S1098" s="49">
        <f>IF($M1098="","",MAX(IF($G1098="",$I1098,$G1098)*(1/1.1),IF($G1098="",$I1098,$G1098)+(S$2*$M1098)))</f>
        <v/>
      </c>
      <c r="T1098" s="82" t="n"/>
      <c r="U1098" s="47">
        <f>IF(OR($M1098="",$T1098=""),"",$T1098+(U$2*$M1098))</f>
        <v/>
      </c>
      <c r="V1098" s="48">
        <f>IF(OR($M1098="",$T1098=""),"",$T1098+(V$2*$M1098))</f>
        <v/>
      </c>
      <c r="W1098" s="48">
        <f>IF(OR($M1098="",$T1098=""),"",$T1098+(W$2*$M1098))</f>
        <v/>
      </c>
      <c r="X1098" s="49">
        <f>IF(OR($M1098="",$T1098=""),"",$T1098+(X$2*$M1098))</f>
        <v/>
      </c>
      <c r="Y1098" s="47">
        <f>IF(OR($M1098="",$T1098=""),"",$T1098+(Y$2*$M1098))</f>
        <v/>
      </c>
      <c r="Z1098" s="49">
        <f>IF(OR($M1098="",$T1098=""),"",$T1098+(Z$2*$M1098))</f>
        <v/>
      </c>
      <c r="AA1098" s="51">
        <f>IF(OR($M1098="",$T1098=""),"",$T1098+(AA$2*$M1098))</f>
        <v/>
      </c>
      <c r="AB1098" s="48">
        <f>IF(OR($M1098="",$T1098=""),"",$T1098+(AB$2*$M1098))</f>
        <v/>
      </c>
      <c r="AC1098" s="48">
        <f>IF(OR($M1098="",$T1098=""),"",$T1098+(AC$2*$M1098))</f>
        <v/>
      </c>
      <c r="AD1098" s="48">
        <f>IF(OR($M1098="",$T1098=""),"",$T1098+(AD$2*$M1098))</f>
        <v/>
      </c>
      <c r="AE1098" s="49">
        <f>IF(OR($M1098="",$T1098=""),"",$T1098+(AE$2*$M1098))</f>
        <v/>
      </c>
      <c r="AF1098" s="52">
        <f>IF(OR(T1098="",I1098&lt;T1098),"",IFERROR(AVERAGE(T1098+M1098*{7,8,9,10,11})/IF(G1098="",I1098,G1098)-1,""))</f>
        <v/>
      </c>
      <c r="AG1098" s="55">
        <f>IF(OR(T1098="",I1098&lt;T1098),"",IFERROR(AF1098/-(R1098/IF(G1098="",I1098,G1098)-1),""))</f>
        <v/>
      </c>
      <c r="AH1098" s="94" t="n"/>
      <c r="AI1098" s="94" t="n"/>
      <c r="AJ1098" s="94" t="n"/>
      <c r="AK1098" s="94" t="n"/>
      <c r="AL1098" s="84" t="n"/>
    </row>
    <row r="1099">
      <c r="A1099" s="64" t="n"/>
      <c r="B1099" s="65" t="n"/>
      <c r="C1099" s="66" t="n"/>
      <c r="D1099" s="67" t="n"/>
      <c r="E1099" s="68" t="n"/>
      <c r="F1099" s="47">
        <f>IF(A1099="","",IF(MIN(H1099,MAX(J1099:K1099))=0,"",MIN(H1099,MAX(J1099:K1099))))</f>
        <v/>
      </c>
      <c r="G1099" s="74" t="n"/>
      <c r="H1099" s="49">
        <f>IF(M1099="","",IFERROR(ROUND(AVERAGE(T1099+M1099*{7,8,9,10,11})/1.21,4),""))</f>
        <v/>
      </c>
      <c r="I1099" s="76" t="n"/>
      <c r="J1099" s="77" t="n"/>
      <c r="K1099" s="74" t="n"/>
      <c r="L1099" s="78" t="n"/>
      <c r="M1099" s="77" t="n"/>
      <c r="N1099" s="53">
        <f>IF(M1099="","",IFERROR(M1099/I1099,""))</f>
        <v/>
      </c>
      <c r="O1099" s="50">
        <f>IF(A1099="","",IFERROR((IF(G1099="",I1099,G1099)-T1099)/M1099,""))</f>
        <v/>
      </c>
      <c r="P1099" s="50">
        <f>IFERROR((I1099/T1099-1)/N1099,"")</f>
        <v/>
      </c>
      <c r="Q1099" s="46">
        <f>IF(OR(T1099="",I1099&lt;T1099),"",IFERROR(R1099/IF(G1099="",I1099,G1099)-1,""))</f>
        <v/>
      </c>
      <c r="R1099" s="48">
        <f>IF($M1099="","",MAX(IF($G1099="",$I1099,$G1099)*(1/1.1),IF($G1099="",$I1099,$G1099)+(R$2*$M1099)))</f>
        <v/>
      </c>
      <c r="S1099" s="49">
        <f>IF($M1099="","",MAX(IF($G1099="",$I1099,$G1099)*(1/1.1),IF($G1099="",$I1099,$G1099)+(S$2*$M1099)))</f>
        <v/>
      </c>
      <c r="T1099" s="82" t="n"/>
      <c r="U1099" s="47">
        <f>IF(OR($M1099="",$T1099=""),"",$T1099+(U$2*$M1099))</f>
        <v/>
      </c>
      <c r="V1099" s="48">
        <f>IF(OR($M1099="",$T1099=""),"",$T1099+(V$2*$M1099))</f>
        <v/>
      </c>
      <c r="W1099" s="48">
        <f>IF(OR($M1099="",$T1099=""),"",$T1099+(W$2*$M1099))</f>
        <v/>
      </c>
      <c r="X1099" s="49">
        <f>IF(OR($M1099="",$T1099=""),"",$T1099+(X$2*$M1099))</f>
        <v/>
      </c>
      <c r="Y1099" s="47">
        <f>IF(OR($M1099="",$T1099=""),"",$T1099+(Y$2*$M1099))</f>
        <v/>
      </c>
      <c r="Z1099" s="49">
        <f>IF(OR($M1099="",$T1099=""),"",$T1099+(Z$2*$M1099))</f>
        <v/>
      </c>
      <c r="AA1099" s="51">
        <f>IF(OR($M1099="",$T1099=""),"",$T1099+(AA$2*$M1099))</f>
        <v/>
      </c>
      <c r="AB1099" s="48">
        <f>IF(OR($M1099="",$T1099=""),"",$T1099+(AB$2*$M1099))</f>
        <v/>
      </c>
      <c r="AC1099" s="48">
        <f>IF(OR($M1099="",$T1099=""),"",$T1099+(AC$2*$M1099))</f>
        <v/>
      </c>
      <c r="AD1099" s="48">
        <f>IF(OR($M1099="",$T1099=""),"",$T1099+(AD$2*$M1099))</f>
        <v/>
      </c>
      <c r="AE1099" s="49">
        <f>IF(OR($M1099="",$T1099=""),"",$T1099+(AE$2*$M1099))</f>
        <v/>
      </c>
      <c r="AF1099" s="52">
        <f>IF(OR(T1099="",I1099&lt;T1099),"",IFERROR(AVERAGE(T1099+M1099*{7,8,9,10,11})/IF(G1099="",I1099,G1099)-1,""))</f>
        <v/>
      </c>
      <c r="AG1099" s="55">
        <f>IF(OR(T1099="",I1099&lt;T1099),"",IFERROR(AF1099/-(R1099/IF(G1099="",I1099,G1099)-1),""))</f>
        <v/>
      </c>
      <c r="AH1099" s="94" t="n"/>
      <c r="AI1099" s="94" t="n"/>
      <c r="AJ1099" s="94" t="n"/>
      <c r="AK1099" s="94" t="n"/>
      <c r="AL1099" s="84" t="n"/>
    </row>
    <row r="1100">
      <c r="A1100" s="64" t="n"/>
      <c r="B1100" s="65" t="n"/>
      <c r="C1100" s="66" t="n"/>
      <c r="D1100" s="67" t="n"/>
      <c r="E1100" s="68" t="n"/>
      <c r="F1100" s="47">
        <f>IF(A1100="","",IF(MIN(H1100,MAX(J1100:K1100))=0,"",MIN(H1100,MAX(J1100:K1100))))</f>
        <v/>
      </c>
      <c r="G1100" s="74" t="n"/>
      <c r="H1100" s="49">
        <f>IF(M1100="","",IFERROR(ROUND(AVERAGE(T1100+M1100*{7,8,9,10,11})/1.21,4),""))</f>
        <v/>
      </c>
      <c r="I1100" s="76" t="n"/>
      <c r="J1100" s="77" t="n"/>
      <c r="K1100" s="74" t="n"/>
      <c r="L1100" s="78" t="n"/>
      <c r="M1100" s="77" t="n"/>
      <c r="N1100" s="53">
        <f>IF(M1100="","",IFERROR(M1100/I1100,""))</f>
        <v/>
      </c>
      <c r="O1100" s="50">
        <f>IF(A1100="","",IFERROR((IF(G1100="",I1100,G1100)-T1100)/M1100,""))</f>
        <v/>
      </c>
      <c r="P1100" s="50">
        <f>IFERROR((I1100/T1100-1)/N1100,"")</f>
        <v/>
      </c>
      <c r="Q1100" s="46">
        <f>IF(OR(T1100="",I1100&lt;T1100),"",IFERROR(R1100/IF(G1100="",I1100,G1100)-1,""))</f>
        <v/>
      </c>
      <c r="R1100" s="48">
        <f>IF($M1100="","",MAX(IF($G1100="",$I1100,$G1100)*(1/1.1),IF($G1100="",$I1100,$G1100)+(R$2*$M1100)))</f>
        <v/>
      </c>
      <c r="S1100" s="49">
        <f>IF($M1100="","",MAX(IF($G1100="",$I1100,$G1100)*(1/1.1),IF($G1100="",$I1100,$G1100)+(S$2*$M1100)))</f>
        <v/>
      </c>
      <c r="T1100" s="82" t="n"/>
      <c r="U1100" s="47">
        <f>IF(OR($M1100="",$T1100=""),"",$T1100+(U$2*$M1100))</f>
        <v/>
      </c>
      <c r="V1100" s="48">
        <f>IF(OR($M1100="",$T1100=""),"",$T1100+(V$2*$M1100))</f>
        <v/>
      </c>
      <c r="W1100" s="48">
        <f>IF(OR($M1100="",$T1100=""),"",$T1100+(W$2*$M1100))</f>
        <v/>
      </c>
      <c r="X1100" s="49">
        <f>IF(OR($M1100="",$T1100=""),"",$T1100+(X$2*$M1100))</f>
        <v/>
      </c>
      <c r="Y1100" s="47">
        <f>IF(OR($M1100="",$T1100=""),"",$T1100+(Y$2*$M1100))</f>
        <v/>
      </c>
      <c r="Z1100" s="49">
        <f>IF(OR($M1100="",$T1100=""),"",$T1100+(Z$2*$M1100))</f>
        <v/>
      </c>
      <c r="AA1100" s="51">
        <f>IF(OR($M1100="",$T1100=""),"",$T1100+(AA$2*$M1100))</f>
        <v/>
      </c>
      <c r="AB1100" s="48">
        <f>IF(OR($M1100="",$T1100=""),"",$T1100+(AB$2*$M1100))</f>
        <v/>
      </c>
      <c r="AC1100" s="48">
        <f>IF(OR($M1100="",$T1100=""),"",$T1100+(AC$2*$M1100))</f>
        <v/>
      </c>
      <c r="AD1100" s="48">
        <f>IF(OR($M1100="",$T1100=""),"",$T1100+(AD$2*$M1100))</f>
        <v/>
      </c>
      <c r="AE1100" s="49">
        <f>IF(OR($M1100="",$T1100=""),"",$T1100+(AE$2*$M1100))</f>
        <v/>
      </c>
      <c r="AF1100" s="52">
        <f>IF(OR(T1100="",I1100&lt;T1100),"",IFERROR(AVERAGE(T1100+M1100*{7,8,9,10,11})/IF(G1100="",I1100,G1100)-1,""))</f>
        <v/>
      </c>
      <c r="AG1100" s="55">
        <f>IF(OR(T1100="",I1100&lt;T1100),"",IFERROR(AF1100/-(R1100/IF(G1100="",I1100,G1100)-1),""))</f>
        <v/>
      </c>
      <c r="AH1100" s="94" t="n"/>
      <c r="AI1100" s="94" t="n"/>
      <c r="AJ1100" s="94" t="n"/>
      <c r="AK1100" s="94" t="n"/>
      <c r="AL1100" s="84" t="n"/>
    </row>
    <row r="1101">
      <c r="A1101" s="64" t="n"/>
      <c r="B1101" s="65" t="n"/>
      <c r="C1101" s="66" t="n"/>
      <c r="D1101" s="67" t="n"/>
      <c r="E1101" s="68" t="n"/>
      <c r="F1101" s="47">
        <f>IF(A1101="","",IF(MIN(H1101,MAX(J1101:K1101))=0,"",MIN(H1101,MAX(J1101:K1101))))</f>
        <v/>
      </c>
      <c r="G1101" s="74" t="n"/>
      <c r="H1101" s="49">
        <f>IF(M1101="","",IFERROR(ROUND(AVERAGE(T1101+M1101*{7,8,9,10,11})/1.21,4),""))</f>
        <v/>
      </c>
      <c r="I1101" s="76" t="n"/>
      <c r="J1101" s="77" t="n"/>
      <c r="K1101" s="74" t="n"/>
      <c r="L1101" s="78" t="n"/>
      <c r="M1101" s="77" t="n"/>
      <c r="N1101" s="53">
        <f>IF(M1101="","",IFERROR(M1101/I1101,""))</f>
        <v/>
      </c>
      <c r="O1101" s="50">
        <f>IF(A1101="","",IFERROR((IF(G1101="",I1101,G1101)-T1101)/M1101,""))</f>
        <v/>
      </c>
      <c r="P1101" s="50">
        <f>IFERROR((I1101/T1101-1)/N1101,"")</f>
        <v/>
      </c>
      <c r="Q1101" s="46">
        <f>IF(OR(T1101="",I1101&lt;T1101),"",IFERROR(R1101/IF(G1101="",I1101,G1101)-1,""))</f>
        <v/>
      </c>
      <c r="R1101" s="48">
        <f>IF($M1101="","",MAX(IF($G1101="",$I1101,$G1101)*(1/1.1),IF($G1101="",$I1101,$G1101)+(R$2*$M1101)))</f>
        <v/>
      </c>
      <c r="S1101" s="49">
        <f>IF($M1101="","",MAX(IF($G1101="",$I1101,$G1101)*(1/1.1),IF($G1101="",$I1101,$G1101)+(S$2*$M1101)))</f>
        <v/>
      </c>
      <c r="T1101" s="82" t="n"/>
      <c r="U1101" s="47">
        <f>IF(OR($M1101="",$T1101=""),"",$T1101+(U$2*$M1101))</f>
        <v/>
      </c>
      <c r="V1101" s="48">
        <f>IF(OR($M1101="",$T1101=""),"",$T1101+(V$2*$M1101))</f>
        <v/>
      </c>
      <c r="W1101" s="48">
        <f>IF(OR($M1101="",$T1101=""),"",$T1101+(W$2*$M1101))</f>
        <v/>
      </c>
      <c r="X1101" s="49">
        <f>IF(OR($M1101="",$T1101=""),"",$T1101+(X$2*$M1101))</f>
        <v/>
      </c>
      <c r="Y1101" s="47">
        <f>IF(OR($M1101="",$T1101=""),"",$T1101+(Y$2*$M1101))</f>
        <v/>
      </c>
      <c r="Z1101" s="49">
        <f>IF(OR($M1101="",$T1101=""),"",$T1101+(Z$2*$M1101))</f>
        <v/>
      </c>
      <c r="AA1101" s="51">
        <f>IF(OR($M1101="",$T1101=""),"",$T1101+(AA$2*$M1101))</f>
        <v/>
      </c>
      <c r="AB1101" s="48">
        <f>IF(OR($M1101="",$T1101=""),"",$T1101+(AB$2*$M1101))</f>
        <v/>
      </c>
      <c r="AC1101" s="48">
        <f>IF(OR($M1101="",$T1101=""),"",$T1101+(AC$2*$M1101))</f>
        <v/>
      </c>
      <c r="AD1101" s="48">
        <f>IF(OR($M1101="",$T1101=""),"",$T1101+(AD$2*$M1101))</f>
        <v/>
      </c>
      <c r="AE1101" s="49">
        <f>IF(OR($M1101="",$T1101=""),"",$T1101+(AE$2*$M1101))</f>
        <v/>
      </c>
      <c r="AF1101" s="52">
        <f>IF(OR(T1101="",I1101&lt;T1101),"",IFERROR(AVERAGE(T1101+M1101*{7,8,9,10,11})/IF(G1101="",I1101,G1101)-1,""))</f>
        <v/>
      </c>
      <c r="AG1101" s="55">
        <f>IF(OR(T1101="",I1101&lt;T1101),"",IFERROR(AF1101/-(R1101/IF(G1101="",I1101,G1101)-1),""))</f>
        <v/>
      </c>
      <c r="AH1101" s="94" t="n"/>
      <c r="AI1101" s="94" t="n"/>
      <c r="AJ1101" s="94" t="n"/>
      <c r="AK1101" s="94" t="n"/>
      <c r="AL1101" s="84" t="n"/>
    </row>
    <row r="1102">
      <c r="A1102" s="64" t="n"/>
      <c r="B1102" s="65" t="n"/>
      <c r="C1102" s="66" t="n"/>
      <c r="D1102" s="67" t="n"/>
      <c r="E1102" s="68" t="n"/>
      <c r="F1102" s="47">
        <f>IF(A1102="","",IF(MIN(H1102,MAX(J1102:K1102))=0,"",MIN(H1102,MAX(J1102:K1102))))</f>
        <v/>
      </c>
      <c r="G1102" s="74" t="n"/>
      <c r="H1102" s="49">
        <f>IF(M1102="","",IFERROR(ROUND(AVERAGE(T1102+M1102*{7,8,9,10,11})/1.21,4),""))</f>
        <v/>
      </c>
      <c r="I1102" s="76" t="n"/>
      <c r="J1102" s="77" t="n"/>
      <c r="K1102" s="74" t="n"/>
      <c r="L1102" s="78" t="n"/>
      <c r="M1102" s="77" t="n"/>
      <c r="N1102" s="53">
        <f>IF(M1102="","",IFERROR(M1102/I1102,""))</f>
        <v/>
      </c>
      <c r="O1102" s="50">
        <f>IF(A1102="","",IFERROR((IF(G1102="",I1102,G1102)-T1102)/M1102,""))</f>
        <v/>
      </c>
      <c r="P1102" s="50">
        <f>IFERROR((I1102/T1102-1)/N1102,"")</f>
        <v/>
      </c>
      <c r="Q1102" s="46">
        <f>IF(OR(T1102="",I1102&lt;T1102),"",IFERROR(R1102/IF(G1102="",I1102,G1102)-1,""))</f>
        <v/>
      </c>
      <c r="R1102" s="48">
        <f>IF($M1102="","",MAX(IF($G1102="",$I1102,$G1102)*(1/1.1),IF($G1102="",$I1102,$G1102)+(R$2*$M1102)))</f>
        <v/>
      </c>
      <c r="S1102" s="49">
        <f>IF($M1102="","",MAX(IF($G1102="",$I1102,$G1102)*(1/1.1),IF($G1102="",$I1102,$G1102)+(S$2*$M1102)))</f>
        <v/>
      </c>
      <c r="T1102" s="82" t="n"/>
      <c r="U1102" s="47">
        <f>IF(OR($M1102="",$T1102=""),"",$T1102+(U$2*$M1102))</f>
        <v/>
      </c>
      <c r="V1102" s="48">
        <f>IF(OR($M1102="",$T1102=""),"",$T1102+(V$2*$M1102))</f>
        <v/>
      </c>
      <c r="W1102" s="48">
        <f>IF(OR($M1102="",$T1102=""),"",$T1102+(W$2*$M1102))</f>
        <v/>
      </c>
      <c r="X1102" s="49">
        <f>IF(OR($M1102="",$T1102=""),"",$T1102+(X$2*$M1102))</f>
        <v/>
      </c>
      <c r="Y1102" s="47">
        <f>IF(OR($M1102="",$T1102=""),"",$T1102+(Y$2*$M1102))</f>
        <v/>
      </c>
      <c r="Z1102" s="49">
        <f>IF(OR($M1102="",$T1102=""),"",$T1102+(Z$2*$M1102))</f>
        <v/>
      </c>
      <c r="AA1102" s="51">
        <f>IF(OR($M1102="",$T1102=""),"",$T1102+(AA$2*$M1102))</f>
        <v/>
      </c>
      <c r="AB1102" s="48">
        <f>IF(OR($M1102="",$T1102=""),"",$T1102+(AB$2*$M1102))</f>
        <v/>
      </c>
      <c r="AC1102" s="48">
        <f>IF(OR($M1102="",$T1102=""),"",$T1102+(AC$2*$M1102))</f>
        <v/>
      </c>
      <c r="AD1102" s="48">
        <f>IF(OR($M1102="",$T1102=""),"",$T1102+(AD$2*$M1102))</f>
        <v/>
      </c>
      <c r="AE1102" s="49">
        <f>IF(OR($M1102="",$T1102=""),"",$T1102+(AE$2*$M1102))</f>
        <v/>
      </c>
      <c r="AF1102" s="52">
        <f>IF(OR(T1102="",I1102&lt;T1102),"",IFERROR(AVERAGE(T1102+M1102*{7,8,9,10,11})/IF(G1102="",I1102,G1102)-1,""))</f>
        <v/>
      </c>
      <c r="AG1102" s="55">
        <f>IF(OR(T1102="",I1102&lt;T1102),"",IFERROR(AF1102/-(R1102/IF(G1102="",I1102,G1102)-1),""))</f>
        <v/>
      </c>
      <c r="AH1102" s="94" t="n"/>
      <c r="AI1102" s="94" t="n"/>
      <c r="AJ1102" s="94" t="n"/>
      <c r="AK1102" s="94" t="n"/>
      <c r="AL1102" s="84" t="n"/>
    </row>
    <row r="1103">
      <c r="A1103" s="64" t="n"/>
      <c r="B1103" s="65" t="n"/>
      <c r="C1103" s="66" t="n"/>
      <c r="D1103" s="67" t="n"/>
      <c r="E1103" s="68" t="n"/>
      <c r="F1103" s="47">
        <f>IF(A1103="","",IF(MIN(H1103,MAX(J1103:K1103))=0,"",MIN(H1103,MAX(J1103:K1103))))</f>
        <v/>
      </c>
      <c r="G1103" s="74" t="n"/>
      <c r="H1103" s="49">
        <f>IF(M1103="","",IFERROR(ROUND(AVERAGE(T1103+M1103*{7,8,9,10,11})/1.21,4),""))</f>
        <v/>
      </c>
      <c r="I1103" s="76" t="n"/>
      <c r="J1103" s="77" t="n"/>
      <c r="K1103" s="74" t="n"/>
      <c r="L1103" s="78" t="n"/>
      <c r="M1103" s="77" t="n"/>
      <c r="N1103" s="53">
        <f>IF(M1103="","",IFERROR(M1103/I1103,""))</f>
        <v/>
      </c>
      <c r="O1103" s="50">
        <f>IF(A1103="","",IFERROR((IF(G1103="",I1103,G1103)-T1103)/M1103,""))</f>
        <v/>
      </c>
      <c r="P1103" s="50">
        <f>IFERROR((I1103/T1103-1)/N1103,"")</f>
        <v/>
      </c>
      <c r="Q1103" s="46">
        <f>IF(OR(T1103="",I1103&lt;T1103),"",IFERROR(R1103/IF(G1103="",I1103,G1103)-1,""))</f>
        <v/>
      </c>
      <c r="R1103" s="48">
        <f>IF($M1103="","",MAX(IF($G1103="",$I1103,$G1103)*(1/1.1),IF($G1103="",$I1103,$G1103)+(R$2*$M1103)))</f>
        <v/>
      </c>
      <c r="S1103" s="49">
        <f>IF($M1103="","",MAX(IF($G1103="",$I1103,$G1103)*(1/1.1),IF($G1103="",$I1103,$G1103)+(S$2*$M1103)))</f>
        <v/>
      </c>
      <c r="T1103" s="82" t="n"/>
      <c r="U1103" s="47">
        <f>IF(OR($M1103="",$T1103=""),"",$T1103+(U$2*$M1103))</f>
        <v/>
      </c>
      <c r="V1103" s="48">
        <f>IF(OR($M1103="",$T1103=""),"",$T1103+(V$2*$M1103))</f>
        <v/>
      </c>
      <c r="W1103" s="48">
        <f>IF(OR($M1103="",$T1103=""),"",$T1103+(W$2*$M1103))</f>
        <v/>
      </c>
      <c r="X1103" s="49">
        <f>IF(OR($M1103="",$T1103=""),"",$T1103+(X$2*$M1103))</f>
        <v/>
      </c>
      <c r="Y1103" s="47">
        <f>IF(OR($M1103="",$T1103=""),"",$T1103+(Y$2*$M1103))</f>
        <v/>
      </c>
      <c r="Z1103" s="49">
        <f>IF(OR($M1103="",$T1103=""),"",$T1103+(Z$2*$M1103))</f>
        <v/>
      </c>
      <c r="AA1103" s="51">
        <f>IF(OR($M1103="",$T1103=""),"",$T1103+(AA$2*$M1103))</f>
        <v/>
      </c>
      <c r="AB1103" s="48">
        <f>IF(OR($M1103="",$T1103=""),"",$T1103+(AB$2*$M1103))</f>
        <v/>
      </c>
      <c r="AC1103" s="48">
        <f>IF(OR($M1103="",$T1103=""),"",$T1103+(AC$2*$M1103))</f>
        <v/>
      </c>
      <c r="AD1103" s="48">
        <f>IF(OR($M1103="",$T1103=""),"",$T1103+(AD$2*$M1103))</f>
        <v/>
      </c>
      <c r="AE1103" s="49">
        <f>IF(OR($M1103="",$T1103=""),"",$T1103+(AE$2*$M1103))</f>
        <v/>
      </c>
      <c r="AF1103" s="52">
        <f>IF(OR(T1103="",I1103&lt;T1103),"",IFERROR(AVERAGE(T1103+M1103*{7,8,9,10,11})/IF(G1103="",I1103,G1103)-1,""))</f>
        <v/>
      </c>
      <c r="AG1103" s="55">
        <f>IF(OR(T1103="",I1103&lt;T1103),"",IFERROR(AF1103/-(R1103/IF(G1103="",I1103,G1103)-1),""))</f>
        <v/>
      </c>
      <c r="AH1103" s="94" t="n"/>
      <c r="AI1103" s="94" t="n"/>
      <c r="AJ1103" s="94" t="n"/>
      <c r="AK1103" s="94" t="n"/>
      <c r="AL1103" s="84" t="n"/>
    </row>
    <row r="1104">
      <c r="A1104" s="64" t="n"/>
      <c r="B1104" s="65" t="n"/>
      <c r="C1104" s="66" t="n"/>
      <c r="D1104" s="67" t="n"/>
      <c r="E1104" s="68" t="n"/>
      <c r="F1104" s="47">
        <f>IF(A1104="","",IF(MIN(H1104,MAX(J1104:K1104))=0,"",MIN(H1104,MAX(J1104:K1104))))</f>
        <v/>
      </c>
      <c r="G1104" s="74" t="n"/>
      <c r="H1104" s="49">
        <f>IF(M1104="","",IFERROR(ROUND(AVERAGE(T1104+M1104*{7,8,9,10,11})/1.21,4),""))</f>
        <v/>
      </c>
      <c r="I1104" s="76" t="n"/>
      <c r="J1104" s="77" t="n"/>
      <c r="K1104" s="74" t="n"/>
      <c r="L1104" s="78" t="n"/>
      <c r="M1104" s="77" t="n"/>
      <c r="N1104" s="53">
        <f>IF(M1104="","",IFERROR(M1104/I1104,""))</f>
        <v/>
      </c>
      <c r="O1104" s="50">
        <f>IF(A1104="","",IFERROR((IF(G1104="",I1104,G1104)-T1104)/M1104,""))</f>
        <v/>
      </c>
      <c r="P1104" s="50">
        <f>IFERROR((I1104/T1104-1)/N1104,"")</f>
        <v/>
      </c>
      <c r="Q1104" s="46">
        <f>IF(OR(T1104="",I1104&lt;T1104),"",IFERROR(R1104/IF(G1104="",I1104,G1104)-1,""))</f>
        <v/>
      </c>
      <c r="R1104" s="48">
        <f>IF($M1104="","",MAX(IF($G1104="",$I1104,$G1104)*(1/1.1),IF($G1104="",$I1104,$G1104)+(R$2*$M1104)))</f>
        <v/>
      </c>
      <c r="S1104" s="49">
        <f>IF($M1104="","",MAX(IF($G1104="",$I1104,$G1104)*(1/1.1),IF($G1104="",$I1104,$G1104)+(S$2*$M1104)))</f>
        <v/>
      </c>
      <c r="T1104" s="82" t="n"/>
      <c r="U1104" s="47">
        <f>IF(OR($M1104="",$T1104=""),"",$T1104+(U$2*$M1104))</f>
        <v/>
      </c>
      <c r="V1104" s="48">
        <f>IF(OR($M1104="",$T1104=""),"",$T1104+(V$2*$M1104))</f>
        <v/>
      </c>
      <c r="W1104" s="48">
        <f>IF(OR($M1104="",$T1104=""),"",$T1104+(W$2*$M1104))</f>
        <v/>
      </c>
      <c r="X1104" s="49">
        <f>IF(OR($M1104="",$T1104=""),"",$T1104+(X$2*$M1104))</f>
        <v/>
      </c>
      <c r="Y1104" s="47">
        <f>IF(OR($M1104="",$T1104=""),"",$T1104+(Y$2*$M1104))</f>
        <v/>
      </c>
      <c r="Z1104" s="49">
        <f>IF(OR($M1104="",$T1104=""),"",$T1104+(Z$2*$M1104))</f>
        <v/>
      </c>
      <c r="AA1104" s="51">
        <f>IF(OR($M1104="",$T1104=""),"",$T1104+(AA$2*$M1104))</f>
        <v/>
      </c>
      <c r="AB1104" s="48">
        <f>IF(OR($M1104="",$T1104=""),"",$T1104+(AB$2*$M1104))</f>
        <v/>
      </c>
      <c r="AC1104" s="48">
        <f>IF(OR($M1104="",$T1104=""),"",$T1104+(AC$2*$M1104))</f>
        <v/>
      </c>
      <c r="AD1104" s="48">
        <f>IF(OR($M1104="",$T1104=""),"",$T1104+(AD$2*$M1104))</f>
        <v/>
      </c>
      <c r="AE1104" s="49">
        <f>IF(OR($M1104="",$T1104=""),"",$T1104+(AE$2*$M1104))</f>
        <v/>
      </c>
      <c r="AF1104" s="52">
        <f>IF(OR(T1104="",I1104&lt;T1104),"",IFERROR(AVERAGE(T1104+M1104*{7,8,9,10,11})/IF(G1104="",I1104,G1104)-1,""))</f>
        <v/>
      </c>
      <c r="AG1104" s="55">
        <f>IF(OR(T1104="",I1104&lt;T1104),"",IFERROR(AF1104/-(R1104/IF(G1104="",I1104,G1104)-1),""))</f>
        <v/>
      </c>
      <c r="AH1104" s="94" t="n"/>
      <c r="AI1104" s="94" t="n"/>
      <c r="AJ1104" s="94" t="n"/>
      <c r="AK1104" s="94" t="n"/>
      <c r="AL1104" s="84" t="n"/>
    </row>
    <row r="1105">
      <c r="A1105" s="64" t="n"/>
      <c r="B1105" s="65" t="n"/>
      <c r="C1105" s="66" t="n"/>
      <c r="D1105" s="67" t="n"/>
      <c r="E1105" s="68" t="n"/>
      <c r="F1105" s="47">
        <f>IF(A1105="","",IF(MIN(H1105,MAX(J1105:K1105))=0,"",MIN(H1105,MAX(J1105:K1105))))</f>
        <v/>
      </c>
      <c r="G1105" s="74" t="n"/>
      <c r="H1105" s="49">
        <f>IF(M1105="","",IFERROR(ROUND(AVERAGE(T1105+M1105*{7,8,9,10,11})/1.21,4),""))</f>
        <v/>
      </c>
      <c r="I1105" s="76" t="n"/>
      <c r="J1105" s="77" t="n"/>
      <c r="K1105" s="74" t="n"/>
      <c r="L1105" s="78" t="n"/>
      <c r="M1105" s="77" t="n"/>
      <c r="N1105" s="53">
        <f>IF(M1105="","",IFERROR(M1105/I1105,""))</f>
        <v/>
      </c>
      <c r="O1105" s="50">
        <f>IF(A1105="","",IFERROR((IF(G1105="",I1105,G1105)-T1105)/M1105,""))</f>
        <v/>
      </c>
      <c r="P1105" s="50">
        <f>IFERROR((I1105/T1105-1)/N1105,"")</f>
        <v/>
      </c>
      <c r="Q1105" s="46">
        <f>IF(OR(T1105="",I1105&lt;T1105),"",IFERROR(R1105/IF(G1105="",I1105,G1105)-1,""))</f>
        <v/>
      </c>
      <c r="R1105" s="48">
        <f>IF($M1105="","",MAX(IF($G1105="",$I1105,$G1105)*(1/1.1),IF($G1105="",$I1105,$G1105)+(R$2*$M1105)))</f>
        <v/>
      </c>
      <c r="S1105" s="49">
        <f>IF($M1105="","",MAX(IF($G1105="",$I1105,$G1105)*(1/1.1),IF($G1105="",$I1105,$G1105)+(S$2*$M1105)))</f>
        <v/>
      </c>
      <c r="T1105" s="82" t="n"/>
      <c r="U1105" s="47">
        <f>IF(OR($M1105="",$T1105=""),"",$T1105+(U$2*$M1105))</f>
        <v/>
      </c>
      <c r="V1105" s="48">
        <f>IF(OR($M1105="",$T1105=""),"",$T1105+(V$2*$M1105))</f>
        <v/>
      </c>
      <c r="W1105" s="48">
        <f>IF(OR($M1105="",$T1105=""),"",$T1105+(W$2*$M1105))</f>
        <v/>
      </c>
      <c r="X1105" s="49">
        <f>IF(OR($M1105="",$T1105=""),"",$T1105+(X$2*$M1105))</f>
        <v/>
      </c>
      <c r="Y1105" s="47">
        <f>IF(OR($M1105="",$T1105=""),"",$T1105+(Y$2*$M1105))</f>
        <v/>
      </c>
      <c r="Z1105" s="49">
        <f>IF(OR($M1105="",$T1105=""),"",$T1105+(Z$2*$M1105))</f>
        <v/>
      </c>
      <c r="AA1105" s="51">
        <f>IF(OR($M1105="",$T1105=""),"",$T1105+(AA$2*$M1105))</f>
        <v/>
      </c>
      <c r="AB1105" s="48">
        <f>IF(OR($M1105="",$T1105=""),"",$T1105+(AB$2*$M1105))</f>
        <v/>
      </c>
      <c r="AC1105" s="48">
        <f>IF(OR($M1105="",$T1105=""),"",$T1105+(AC$2*$M1105))</f>
        <v/>
      </c>
      <c r="AD1105" s="48">
        <f>IF(OR($M1105="",$T1105=""),"",$T1105+(AD$2*$M1105))</f>
        <v/>
      </c>
      <c r="AE1105" s="49">
        <f>IF(OR($M1105="",$T1105=""),"",$T1105+(AE$2*$M1105))</f>
        <v/>
      </c>
      <c r="AF1105" s="52">
        <f>IF(OR(T1105="",I1105&lt;T1105),"",IFERROR(AVERAGE(T1105+M1105*{7,8,9,10,11})/IF(G1105="",I1105,G1105)-1,""))</f>
        <v/>
      </c>
      <c r="AG1105" s="55">
        <f>IF(OR(T1105="",I1105&lt;T1105),"",IFERROR(AF1105/-(R1105/IF(G1105="",I1105,G1105)-1),""))</f>
        <v/>
      </c>
      <c r="AH1105" s="94" t="n"/>
      <c r="AI1105" s="94" t="n"/>
      <c r="AJ1105" s="94" t="n"/>
      <c r="AK1105" s="94" t="n"/>
      <c r="AL1105" s="84" t="n"/>
    </row>
    <row r="1106">
      <c r="A1106" s="64" t="n"/>
      <c r="B1106" s="65" t="n"/>
      <c r="C1106" s="66" t="n"/>
      <c r="D1106" s="67" t="n"/>
      <c r="E1106" s="68" t="n"/>
      <c r="F1106" s="47">
        <f>IF(A1106="","",IF(MIN(H1106,MAX(J1106:K1106))=0,"",MIN(H1106,MAX(J1106:K1106))))</f>
        <v/>
      </c>
      <c r="G1106" s="74" t="n"/>
      <c r="H1106" s="49">
        <f>IF(M1106="","",IFERROR(ROUND(AVERAGE(T1106+M1106*{7,8,9,10,11})/1.21,4),""))</f>
        <v/>
      </c>
      <c r="I1106" s="76" t="n"/>
      <c r="J1106" s="77" t="n"/>
      <c r="K1106" s="74" t="n"/>
      <c r="L1106" s="78" t="n"/>
      <c r="M1106" s="77" t="n"/>
      <c r="N1106" s="53">
        <f>IF(M1106="","",IFERROR(M1106/I1106,""))</f>
        <v/>
      </c>
      <c r="O1106" s="50">
        <f>IF(A1106="","",IFERROR((IF(G1106="",I1106,G1106)-T1106)/M1106,""))</f>
        <v/>
      </c>
      <c r="P1106" s="50">
        <f>IFERROR((I1106/T1106-1)/N1106,"")</f>
        <v/>
      </c>
      <c r="Q1106" s="46">
        <f>IF(OR(T1106="",I1106&lt;T1106),"",IFERROR(R1106/IF(G1106="",I1106,G1106)-1,""))</f>
        <v/>
      </c>
      <c r="R1106" s="48">
        <f>IF($M1106="","",MAX(IF($G1106="",$I1106,$G1106)*(1/1.1),IF($G1106="",$I1106,$G1106)+(R$2*$M1106)))</f>
        <v/>
      </c>
      <c r="S1106" s="49">
        <f>IF($M1106="","",MAX(IF($G1106="",$I1106,$G1106)*(1/1.1),IF($G1106="",$I1106,$G1106)+(S$2*$M1106)))</f>
        <v/>
      </c>
      <c r="T1106" s="82" t="n"/>
      <c r="U1106" s="47">
        <f>IF(OR($M1106="",$T1106=""),"",$T1106+(U$2*$M1106))</f>
        <v/>
      </c>
      <c r="V1106" s="48">
        <f>IF(OR($M1106="",$T1106=""),"",$T1106+(V$2*$M1106))</f>
        <v/>
      </c>
      <c r="W1106" s="48">
        <f>IF(OR($M1106="",$T1106=""),"",$T1106+(W$2*$M1106))</f>
        <v/>
      </c>
      <c r="X1106" s="49">
        <f>IF(OR($M1106="",$T1106=""),"",$T1106+(X$2*$M1106))</f>
        <v/>
      </c>
      <c r="Y1106" s="47">
        <f>IF(OR($M1106="",$T1106=""),"",$T1106+(Y$2*$M1106))</f>
        <v/>
      </c>
      <c r="Z1106" s="49">
        <f>IF(OR($M1106="",$T1106=""),"",$T1106+(Z$2*$M1106))</f>
        <v/>
      </c>
      <c r="AA1106" s="51">
        <f>IF(OR($M1106="",$T1106=""),"",$T1106+(AA$2*$M1106))</f>
        <v/>
      </c>
      <c r="AB1106" s="48">
        <f>IF(OR($M1106="",$T1106=""),"",$T1106+(AB$2*$M1106))</f>
        <v/>
      </c>
      <c r="AC1106" s="48">
        <f>IF(OR($M1106="",$T1106=""),"",$T1106+(AC$2*$M1106))</f>
        <v/>
      </c>
      <c r="AD1106" s="48">
        <f>IF(OR($M1106="",$T1106=""),"",$T1106+(AD$2*$M1106))</f>
        <v/>
      </c>
      <c r="AE1106" s="49">
        <f>IF(OR($M1106="",$T1106=""),"",$T1106+(AE$2*$M1106))</f>
        <v/>
      </c>
      <c r="AF1106" s="52">
        <f>IF(OR(T1106="",I1106&lt;T1106),"",IFERROR(AVERAGE(T1106+M1106*{7,8,9,10,11})/IF(G1106="",I1106,G1106)-1,""))</f>
        <v/>
      </c>
      <c r="AG1106" s="55">
        <f>IF(OR(T1106="",I1106&lt;T1106),"",IFERROR(AF1106/-(R1106/IF(G1106="",I1106,G1106)-1),""))</f>
        <v/>
      </c>
      <c r="AH1106" s="94" t="n"/>
      <c r="AI1106" s="94" t="n"/>
      <c r="AJ1106" s="94" t="n"/>
      <c r="AK1106" s="94" t="n"/>
      <c r="AL1106" s="84" t="n"/>
    </row>
    <row r="1107">
      <c r="A1107" s="64" t="n"/>
      <c r="B1107" s="65" t="n"/>
      <c r="C1107" s="66" t="n"/>
      <c r="D1107" s="67" t="n"/>
      <c r="E1107" s="68" t="n"/>
      <c r="F1107" s="47">
        <f>IF(A1107="","",IF(MIN(H1107,MAX(J1107:K1107))=0,"",MIN(H1107,MAX(J1107:K1107))))</f>
        <v/>
      </c>
      <c r="G1107" s="74" t="n"/>
      <c r="H1107" s="49">
        <f>IF(M1107="","",IFERROR(ROUND(AVERAGE(T1107+M1107*{7,8,9,10,11})/1.21,4),""))</f>
        <v/>
      </c>
      <c r="I1107" s="76" t="n"/>
      <c r="J1107" s="77" t="n"/>
      <c r="K1107" s="74" t="n"/>
      <c r="L1107" s="78" t="n"/>
      <c r="M1107" s="77" t="n"/>
      <c r="N1107" s="53">
        <f>IF(M1107="","",IFERROR(M1107/I1107,""))</f>
        <v/>
      </c>
      <c r="O1107" s="50">
        <f>IF(A1107="","",IFERROR((IF(G1107="",I1107,G1107)-T1107)/M1107,""))</f>
        <v/>
      </c>
      <c r="P1107" s="50">
        <f>IFERROR((I1107/T1107-1)/N1107,"")</f>
        <v/>
      </c>
      <c r="Q1107" s="46">
        <f>IF(OR(T1107="",I1107&lt;T1107),"",IFERROR(R1107/IF(G1107="",I1107,G1107)-1,""))</f>
        <v/>
      </c>
      <c r="R1107" s="48">
        <f>IF($M1107="","",MAX(IF($G1107="",$I1107,$G1107)*(1/1.1),IF($G1107="",$I1107,$G1107)+(R$2*$M1107)))</f>
        <v/>
      </c>
      <c r="S1107" s="49">
        <f>IF($M1107="","",MAX(IF($G1107="",$I1107,$G1107)*(1/1.1),IF($G1107="",$I1107,$G1107)+(S$2*$M1107)))</f>
        <v/>
      </c>
      <c r="T1107" s="82" t="n"/>
      <c r="U1107" s="47">
        <f>IF(OR($M1107="",$T1107=""),"",$T1107+(U$2*$M1107))</f>
        <v/>
      </c>
      <c r="V1107" s="48">
        <f>IF(OR($M1107="",$T1107=""),"",$T1107+(V$2*$M1107))</f>
        <v/>
      </c>
      <c r="W1107" s="48">
        <f>IF(OR($M1107="",$T1107=""),"",$T1107+(W$2*$M1107))</f>
        <v/>
      </c>
      <c r="X1107" s="49">
        <f>IF(OR($M1107="",$T1107=""),"",$T1107+(X$2*$M1107))</f>
        <v/>
      </c>
      <c r="Y1107" s="47">
        <f>IF(OR($M1107="",$T1107=""),"",$T1107+(Y$2*$M1107))</f>
        <v/>
      </c>
      <c r="Z1107" s="49">
        <f>IF(OR($M1107="",$T1107=""),"",$T1107+(Z$2*$M1107))</f>
        <v/>
      </c>
      <c r="AA1107" s="51">
        <f>IF(OR($M1107="",$T1107=""),"",$T1107+(AA$2*$M1107))</f>
        <v/>
      </c>
      <c r="AB1107" s="48">
        <f>IF(OR($M1107="",$T1107=""),"",$T1107+(AB$2*$M1107))</f>
        <v/>
      </c>
      <c r="AC1107" s="48">
        <f>IF(OR($M1107="",$T1107=""),"",$T1107+(AC$2*$M1107))</f>
        <v/>
      </c>
      <c r="AD1107" s="48">
        <f>IF(OR($M1107="",$T1107=""),"",$T1107+(AD$2*$M1107))</f>
        <v/>
      </c>
      <c r="AE1107" s="49">
        <f>IF(OR($M1107="",$T1107=""),"",$T1107+(AE$2*$M1107))</f>
        <v/>
      </c>
      <c r="AF1107" s="52">
        <f>IF(OR(T1107="",I1107&lt;T1107),"",IFERROR(AVERAGE(T1107+M1107*{7,8,9,10,11})/IF(G1107="",I1107,G1107)-1,""))</f>
        <v/>
      </c>
      <c r="AG1107" s="55">
        <f>IF(OR(T1107="",I1107&lt;T1107),"",IFERROR(AF1107/-(R1107/IF(G1107="",I1107,G1107)-1),""))</f>
        <v/>
      </c>
      <c r="AH1107" s="94" t="n"/>
      <c r="AI1107" s="94" t="n"/>
      <c r="AJ1107" s="94" t="n"/>
      <c r="AK1107" s="94" t="n"/>
      <c r="AL1107" s="84" t="n"/>
    </row>
    <row r="1108">
      <c r="A1108" s="64" t="n"/>
      <c r="B1108" s="65" t="n"/>
      <c r="C1108" s="66" t="n"/>
      <c r="D1108" s="67" t="n"/>
      <c r="E1108" s="68" t="n"/>
      <c r="F1108" s="47">
        <f>IF(A1108="","",IF(MIN(H1108,MAX(J1108:K1108))=0,"",MIN(H1108,MAX(J1108:K1108))))</f>
        <v/>
      </c>
      <c r="G1108" s="74" t="n"/>
      <c r="H1108" s="49">
        <f>IF(M1108="","",IFERROR(ROUND(AVERAGE(T1108+M1108*{7,8,9,10,11})/1.21,4),""))</f>
        <v/>
      </c>
      <c r="I1108" s="76" t="n"/>
      <c r="J1108" s="77" t="n"/>
      <c r="K1108" s="74" t="n"/>
      <c r="L1108" s="78" t="n"/>
      <c r="M1108" s="77" t="n"/>
      <c r="N1108" s="53">
        <f>IF(M1108="","",IFERROR(M1108/I1108,""))</f>
        <v/>
      </c>
      <c r="O1108" s="50">
        <f>IF(A1108="","",IFERROR((IF(G1108="",I1108,G1108)-T1108)/M1108,""))</f>
        <v/>
      </c>
      <c r="P1108" s="50">
        <f>IFERROR((I1108/T1108-1)/N1108,"")</f>
        <v/>
      </c>
      <c r="Q1108" s="46">
        <f>IF(OR(T1108="",I1108&lt;T1108),"",IFERROR(R1108/IF(G1108="",I1108,G1108)-1,""))</f>
        <v/>
      </c>
      <c r="R1108" s="48">
        <f>IF($M1108="","",MAX(IF($G1108="",$I1108,$G1108)*(1/1.1),IF($G1108="",$I1108,$G1108)+(R$2*$M1108)))</f>
        <v/>
      </c>
      <c r="S1108" s="49">
        <f>IF($M1108="","",MAX(IF($G1108="",$I1108,$G1108)*(1/1.1),IF($G1108="",$I1108,$G1108)+(S$2*$M1108)))</f>
        <v/>
      </c>
      <c r="T1108" s="82" t="n"/>
      <c r="U1108" s="47">
        <f>IF(OR($M1108="",$T1108=""),"",$T1108+(U$2*$M1108))</f>
        <v/>
      </c>
      <c r="V1108" s="48">
        <f>IF(OR($M1108="",$T1108=""),"",$T1108+(V$2*$M1108))</f>
        <v/>
      </c>
      <c r="W1108" s="48">
        <f>IF(OR($M1108="",$T1108=""),"",$T1108+(W$2*$M1108))</f>
        <v/>
      </c>
      <c r="X1108" s="49">
        <f>IF(OR($M1108="",$T1108=""),"",$T1108+(X$2*$M1108))</f>
        <v/>
      </c>
      <c r="Y1108" s="47">
        <f>IF(OR($M1108="",$T1108=""),"",$T1108+(Y$2*$M1108))</f>
        <v/>
      </c>
      <c r="Z1108" s="49">
        <f>IF(OR($M1108="",$T1108=""),"",$T1108+(Z$2*$M1108))</f>
        <v/>
      </c>
      <c r="AA1108" s="51">
        <f>IF(OR($M1108="",$T1108=""),"",$T1108+(AA$2*$M1108))</f>
        <v/>
      </c>
      <c r="AB1108" s="48">
        <f>IF(OR($M1108="",$T1108=""),"",$T1108+(AB$2*$M1108))</f>
        <v/>
      </c>
      <c r="AC1108" s="48">
        <f>IF(OR($M1108="",$T1108=""),"",$T1108+(AC$2*$M1108))</f>
        <v/>
      </c>
      <c r="AD1108" s="48">
        <f>IF(OR($M1108="",$T1108=""),"",$T1108+(AD$2*$M1108))</f>
        <v/>
      </c>
      <c r="AE1108" s="49">
        <f>IF(OR($M1108="",$T1108=""),"",$T1108+(AE$2*$M1108))</f>
        <v/>
      </c>
      <c r="AF1108" s="52">
        <f>IF(OR(T1108="",I1108&lt;T1108),"",IFERROR(AVERAGE(T1108+M1108*{7,8,9,10,11})/IF(G1108="",I1108,G1108)-1,""))</f>
        <v/>
      </c>
      <c r="AG1108" s="55">
        <f>IF(OR(T1108="",I1108&lt;T1108),"",IFERROR(AF1108/-(R1108/IF(G1108="",I1108,G1108)-1),""))</f>
        <v/>
      </c>
      <c r="AH1108" s="94" t="n"/>
      <c r="AI1108" s="94" t="n"/>
      <c r="AJ1108" s="94" t="n"/>
      <c r="AK1108" s="94" t="n"/>
      <c r="AL1108" s="84" t="n"/>
    </row>
    <row r="1109">
      <c r="A1109" s="64" t="n"/>
      <c r="B1109" s="65" t="n"/>
      <c r="C1109" s="66" t="n"/>
      <c r="D1109" s="67" t="n"/>
      <c r="E1109" s="68" t="n"/>
      <c r="F1109" s="47">
        <f>IF(A1109="","",IF(MIN(H1109,MAX(J1109:K1109))=0,"",MIN(H1109,MAX(J1109:K1109))))</f>
        <v/>
      </c>
      <c r="G1109" s="74" t="n"/>
      <c r="H1109" s="49">
        <f>IF(M1109="","",IFERROR(ROUND(AVERAGE(T1109+M1109*{7,8,9,10,11})/1.21,4),""))</f>
        <v/>
      </c>
      <c r="I1109" s="76" t="n"/>
      <c r="J1109" s="77" t="n"/>
      <c r="K1109" s="74" t="n"/>
      <c r="L1109" s="78" t="n"/>
      <c r="M1109" s="77" t="n"/>
      <c r="N1109" s="53">
        <f>IF(M1109="","",IFERROR(M1109/I1109,""))</f>
        <v/>
      </c>
      <c r="O1109" s="50">
        <f>IF(A1109="","",IFERROR((IF(G1109="",I1109,G1109)-T1109)/M1109,""))</f>
        <v/>
      </c>
      <c r="P1109" s="50">
        <f>IFERROR((I1109/T1109-1)/N1109,"")</f>
        <v/>
      </c>
      <c r="Q1109" s="46">
        <f>IF(OR(T1109="",I1109&lt;T1109),"",IFERROR(R1109/IF(G1109="",I1109,G1109)-1,""))</f>
        <v/>
      </c>
      <c r="R1109" s="48">
        <f>IF($M1109="","",MAX(IF($G1109="",$I1109,$G1109)*(1/1.1),IF($G1109="",$I1109,$G1109)+(R$2*$M1109)))</f>
        <v/>
      </c>
      <c r="S1109" s="49">
        <f>IF($M1109="","",MAX(IF($G1109="",$I1109,$G1109)*(1/1.1),IF($G1109="",$I1109,$G1109)+(S$2*$M1109)))</f>
        <v/>
      </c>
      <c r="T1109" s="82" t="n"/>
      <c r="U1109" s="47">
        <f>IF(OR($M1109="",$T1109=""),"",$T1109+(U$2*$M1109))</f>
        <v/>
      </c>
      <c r="V1109" s="48">
        <f>IF(OR($M1109="",$T1109=""),"",$T1109+(V$2*$M1109))</f>
        <v/>
      </c>
      <c r="W1109" s="48">
        <f>IF(OR($M1109="",$T1109=""),"",$T1109+(W$2*$M1109))</f>
        <v/>
      </c>
      <c r="X1109" s="49">
        <f>IF(OR($M1109="",$T1109=""),"",$T1109+(X$2*$M1109))</f>
        <v/>
      </c>
      <c r="Y1109" s="47">
        <f>IF(OR($M1109="",$T1109=""),"",$T1109+(Y$2*$M1109))</f>
        <v/>
      </c>
      <c r="Z1109" s="49">
        <f>IF(OR($M1109="",$T1109=""),"",$T1109+(Z$2*$M1109))</f>
        <v/>
      </c>
      <c r="AA1109" s="51">
        <f>IF(OR($M1109="",$T1109=""),"",$T1109+(AA$2*$M1109))</f>
        <v/>
      </c>
      <c r="AB1109" s="48">
        <f>IF(OR($M1109="",$T1109=""),"",$T1109+(AB$2*$M1109))</f>
        <v/>
      </c>
      <c r="AC1109" s="48">
        <f>IF(OR($M1109="",$T1109=""),"",$T1109+(AC$2*$M1109))</f>
        <v/>
      </c>
      <c r="AD1109" s="48">
        <f>IF(OR($M1109="",$T1109=""),"",$T1109+(AD$2*$M1109))</f>
        <v/>
      </c>
      <c r="AE1109" s="49">
        <f>IF(OR($M1109="",$T1109=""),"",$T1109+(AE$2*$M1109))</f>
        <v/>
      </c>
      <c r="AF1109" s="52">
        <f>IF(OR(T1109="",I1109&lt;T1109),"",IFERROR(AVERAGE(T1109+M1109*{7,8,9,10,11})/IF(G1109="",I1109,G1109)-1,""))</f>
        <v/>
      </c>
      <c r="AG1109" s="55">
        <f>IF(OR(T1109="",I1109&lt;T1109),"",IFERROR(AF1109/-(R1109/IF(G1109="",I1109,G1109)-1),""))</f>
        <v/>
      </c>
      <c r="AH1109" s="94" t="n"/>
      <c r="AI1109" s="94" t="n"/>
      <c r="AJ1109" s="94" t="n"/>
      <c r="AK1109" s="94" t="n"/>
      <c r="AL1109" s="84" t="n"/>
    </row>
    <row r="1110">
      <c r="A1110" s="64" t="n"/>
      <c r="B1110" s="65" t="n"/>
      <c r="C1110" s="66" t="n"/>
      <c r="D1110" s="67" t="n"/>
      <c r="E1110" s="68" t="n"/>
      <c r="F1110" s="47">
        <f>IF(A1110="","",IF(MIN(H1110,MAX(J1110:K1110))=0,"",MIN(H1110,MAX(J1110:K1110))))</f>
        <v/>
      </c>
      <c r="G1110" s="74" t="n"/>
      <c r="H1110" s="49">
        <f>IF(M1110="","",IFERROR(ROUND(AVERAGE(T1110+M1110*{7,8,9,10,11})/1.21,4),""))</f>
        <v/>
      </c>
      <c r="I1110" s="76" t="n"/>
      <c r="J1110" s="77" t="n"/>
      <c r="K1110" s="74" t="n"/>
      <c r="L1110" s="78" t="n"/>
      <c r="M1110" s="77" t="n"/>
      <c r="N1110" s="53">
        <f>IF(M1110="","",IFERROR(M1110/I1110,""))</f>
        <v/>
      </c>
      <c r="O1110" s="50">
        <f>IF(A1110="","",IFERROR((IF(G1110="",I1110,G1110)-T1110)/M1110,""))</f>
        <v/>
      </c>
      <c r="P1110" s="50">
        <f>IFERROR((I1110/T1110-1)/N1110,"")</f>
        <v/>
      </c>
      <c r="Q1110" s="46">
        <f>IF(OR(T1110="",I1110&lt;T1110),"",IFERROR(R1110/IF(G1110="",I1110,G1110)-1,""))</f>
        <v/>
      </c>
      <c r="R1110" s="48">
        <f>IF($M1110="","",MAX(IF($G1110="",$I1110,$G1110)*(1/1.1),IF($G1110="",$I1110,$G1110)+(R$2*$M1110)))</f>
        <v/>
      </c>
      <c r="S1110" s="49">
        <f>IF($M1110="","",MAX(IF($G1110="",$I1110,$G1110)*(1/1.1),IF($G1110="",$I1110,$G1110)+(S$2*$M1110)))</f>
        <v/>
      </c>
      <c r="T1110" s="82" t="n"/>
      <c r="U1110" s="47">
        <f>IF(OR($M1110="",$T1110=""),"",$T1110+(U$2*$M1110))</f>
        <v/>
      </c>
      <c r="V1110" s="48">
        <f>IF(OR($M1110="",$T1110=""),"",$T1110+(V$2*$M1110))</f>
        <v/>
      </c>
      <c r="W1110" s="48">
        <f>IF(OR($M1110="",$T1110=""),"",$T1110+(W$2*$M1110))</f>
        <v/>
      </c>
      <c r="X1110" s="49">
        <f>IF(OR($M1110="",$T1110=""),"",$T1110+(X$2*$M1110))</f>
        <v/>
      </c>
      <c r="Y1110" s="47">
        <f>IF(OR($M1110="",$T1110=""),"",$T1110+(Y$2*$M1110))</f>
        <v/>
      </c>
      <c r="Z1110" s="49">
        <f>IF(OR($M1110="",$T1110=""),"",$T1110+(Z$2*$M1110))</f>
        <v/>
      </c>
      <c r="AA1110" s="51">
        <f>IF(OR($M1110="",$T1110=""),"",$T1110+(AA$2*$M1110))</f>
        <v/>
      </c>
      <c r="AB1110" s="48">
        <f>IF(OR($M1110="",$T1110=""),"",$T1110+(AB$2*$M1110))</f>
        <v/>
      </c>
      <c r="AC1110" s="48">
        <f>IF(OR($M1110="",$T1110=""),"",$T1110+(AC$2*$M1110))</f>
        <v/>
      </c>
      <c r="AD1110" s="48">
        <f>IF(OR($M1110="",$T1110=""),"",$T1110+(AD$2*$M1110))</f>
        <v/>
      </c>
      <c r="AE1110" s="49">
        <f>IF(OR($M1110="",$T1110=""),"",$T1110+(AE$2*$M1110))</f>
        <v/>
      </c>
      <c r="AF1110" s="52">
        <f>IF(OR(T1110="",I1110&lt;T1110),"",IFERROR(AVERAGE(T1110+M1110*{7,8,9,10,11})/IF(G1110="",I1110,G1110)-1,""))</f>
        <v/>
      </c>
      <c r="AG1110" s="55">
        <f>IF(OR(T1110="",I1110&lt;T1110),"",IFERROR(AF1110/-(R1110/IF(G1110="",I1110,G1110)-1),""))</f>
        <v/>
      </c>
      <c r="AH1110" s="94" t="n"/>
      <c r="AI1110" s="94" t="n"/>
      <c r="AJ1110" s="94" t="n"/>
      <c r="AK1110" s="94" t="n"/>
      <c r="AL1110" s="84" t="n"/>
    </row>
    <row r="1111">
      <c r="A1111" s="64" t="n"/>
      <c r="B1111" s="65" t="n"/>
      <c r="C1111" s="66" t="n"/>
      <c r="D1111" s="67" t="n"/>
      <c r="E1111" s="68" t="n"/>
      <c r="F1111" s="47">
        <f>IF(A1111="","",IF(MIN(H1111,MAX(J1111:K1111))=0,"",MIN(H1111,MAX(J1111:K1111))))</f>
        <v/>
      </c>
      <c r="G1111" s="74" t="n"/>
      <c r="H1111" s="49">
        <f>IF(M1111="","",IFERROR(ROUND(AVERAGE(T1111+M1111*{7,8,9,10,11})/1.21,4),""))</f>
        <v/>
      </c>
      <c r="I1111" s="76" t="n"/>
      <c r="J1111" s="77" t="n"/>
      <c r="K1111" s="74" t="n"/>
      <c r="L1111" s="78" t="n"/>
      <c r="M1111" s="77" t="n"/>
      <c r="N1111" s="53">
        <f>IF(M1111="","",IFERROR(M1111/I1111,""))</f>
        <v/>
      </c>
      <c r="O1111" s="50">
        <f>IF(A1111="","",IFERROR((IF(G1111="",I1111,G1111)-T1111)/M1111,""))</f>
        <v/>
      </c>
      <c r="P1111" s="50">
        <f>IFERROR((I1111/T1111-1)/N1111,"")</f>
        <v/>
      </c>
      <c r="Q1111" s="46">
        <f>IF(OR(T1111="",I1111&lt;T1111),"",IFERROR(R1111/IF(G1111="",I1111,G1111)-1,""))</f>
        <v/>
      </c>
      <c r="R1111" s="48">
        <f>IF($M1111="","",MAX(IF($G1111="",$I1111,$G1111)*(1/1.1),IF($G1111="",$I1111,$G1111)+(R$2*$M1111)))</f>
        <v/>
      </c>
      <c r="S1111" s="49">
        <f>IF($M1111="","",MAX(IF($G1111="",$I1111,$G1111)*(1/1.1),IF($G1111="",$I1111,$G1111)+(S$2*$M1111)))</f>
        <v/>
      </c>
      <c r="T1111" s="82" t="n"/>
      <c r="U1111" s="47">
        <f>IF(OR($M1111="",$T1111=""),"",$T1111+(U$2*$M1111))</f>
        <v/>
      </c>
      <c r="V1111" s="48">
        <f>IF(OR($M1111="",$T1111=""),"",$T1111+(V$2*$M1111))</f>
        <v/>
      </c>
      <c r="W1111" s="48">
        <f>IF(OR($M1111="",$T1111=""),"",$T1111+(W$2*$M1111))</f>
        <v/>
      </c>
      <c r="X1111" s="49">
        <f>IF(OR($M1111="",$T1111=""),"",$T1111+(X$2*$M1111))</f>
        <v/>
      </c>
      <c r="Y1111" s="47">
        <f>IF(OR($M1111="",$T1111=""),"",$T1111+(Y$2*$M1111))</f>
        <v/>
      </c>
      <c r="Z1111" s="49">
        <f>IF(OR($M1111="",$T1111=""),"",$T1111+(Z$2*$M1111))</f>
        <v/>
      </c>
      <c r="AA1111" s="51">
        <f>IF(OR($M1111="",$T1111=""),"",$T1111+(AA$2*$M1111))</f>
        <v/>
      </c>
      <c r="AB1111" s="48">
        <f>IF(OR($M1111="",$T1111=""),"",$T1111+(AB$2*$M1111))</f>
        <v/>
      </c>
      <c r="AC1111" s="48">
        <f>IF(OR($M1111="",$T1111=""),"",$T1111+(AC$2*$M1111))</f>
        <v/>
      </c>
      <c r="AD1111" s="48">
        <f>IF(OR($M1111="",$T1111=""),"",$T1111+(AD$2*$M1111))</f>
        <v/>
      </c>
      <c r="AE1111" s="49">
        <f>IF(OR($M1111="",$T1111=""),"",$T1111+(AE$2*$M1111))</f>
        <v/>
      </c>
      <c r="AF1111" s="52">
        <f>IF(OR(T1111="",I1111&lt;T1111),"",IFERROR(AVERAGE(T1111+M1111*{7,8,9,10,11})/IF(G1111="",I1111,G1111)-1,""))</f>
        <v/>
      </c>
      <c r="AG1111" s="55">
        <f>IF(OR(T1111="",I1111&lt;T1111),"",IFERROR(AF1111/-(R1111/IF(G1111="",I1111,G1111)-1),""))</f>
        <v/>
      </c>
      <c r="AH1111" s="94" t="n"/>
      <c r="AI1111" s="94" t="n"/>
      <c r="AJ1111" s="94" t="n"/>
      <c r="AK1111" s="94" t="n"/>
      <c r="AL1111" s="84" t="n"/>
    </row>
    <row r="1112">
      <c r="A1112" s="64" t="n"/>
      <c r="B1112" s="65" t="n"/>
      <c r="C1112" s="66" t="n"/>
      <c r="D1112" s="67" t="n"/>
      <c r="E1112" s="68" t="n"/>
      <c r="F1112" s="47">
        <f>IF(A1112="","",IF(MIN(H1112,MAX(J1112:K1112))=0,"",MIN(H1112,MAX(J1112:K1112))))</f>
        <v/>
      </c>
      <c r="G1112" s="74" t="n"/>
      <c r="H1112" s="49">
        <f>IF(M1112="","",IFERROR(ROUND(AVERAGE(T1112+M1112*{7,8,9,10,11})/1.21,4),""))</f>
        <v/>
      </c>
      <c r="I1112" s="76" t="n"/>
      <c r="J1112" s="77" t="n"/>
      <c r="K1112" s="74" t="n"/>
      <c r="L1112" s="78" t="n"/>
      <c r="M1112" s="77" t="n"/>
      <c r="N1112" s="53">
        <f>IF(M1112="","",IFERROR(M1112/I1112,""))</f>
        <v/>
      </c>
      <c r="O1112" s="50">
        <f>IF(A1112="","",IFERROR((IF(G1112="",I1112,G1112)-T1112)/M1112,""))</f>
        <v/>
      </c>
      <c r="P1112" s="50">
        <f>IFERROR((I1112/T1112-1)/N1112,"")</f>
        <v/>
      </c>
      <c r="Q1112" s="46">
        <f>IF(OR(T1112="",I1112&lt;T1112),"",IFERROR(R1112/IF(G1112="",I1112,G1112)-1,""))</f>
        <v/>
      </c>
      <c r="R1112" s="48">
        <f>IF($M1112="","",MAX(IF($G1112="",$I1112,$G1112)*(1/1.1),IF($G1112="",$I1112,$G1112)+(R$2*$M1112)))</f>
        <v/>
      </c>
      <c r="S1112" s="49">
        <f>IF($M1112="","",MAX(IF($G1112="",$I1112,$G1112)*(1/1.1),IF($G1112="",$I1112,$G1112)+(S$2*$M1112)))</f>
        <v/>
      </c>
      <c r="T1112" s="82" t="n"/>
      <c r="U1112" s="47">
        <f>IF(OR($M1112="",$T1112=""),"",$T1112+(U$2*$M1112))</f>
        <v/>
      </c>
      <c r="V1112" s="48">
        <f>IF(OR($M1112="",$T1112=""),"",$T1112+(V$2*$M1112))</f>
        <v/>
      </c>
      <c r="W1112" s="48">
        <f>IF(OR($M1112="",$T1112=""),"",$T1112+(W$2*$M1112))</f>
        <v/>
      </c>
      <c r="X1112" s="49">
        <f>IF(OR($M1112="",$T1112=""),"",$T1112+(X$2*$M1112))</f>
        <v/>
      </c>
      <c r="Y1112" s="47">
        <f>IF(OR($M1112="",$T1112=""),"",$T1112+(Y$2*$M1112))</f>
        <v/>
      </c>
      <c r="Z1112" s="49">
        <f>IF(OR($M1112="",$T1112=""),"",$T1112+(Z$2*$M1112))</f>
        <v/>
      </c>
      <c r="AA1112" s="51">
        <f>IF(OR($M1112="",$T1112=""),"",$T1112+(AA$2*$M1112))</f>
        <v/>
      </c>
      <c r="AB1112" s="48">
        <f>IF(OR($M1112="",$T1112=""),"",$T1112+(AB$2*$M1112))</f>
        <v/>
      </c>
      <c r="AC1112" s="48">
        <f>IF(OR($M1112="",$T1112=""),"",$T1112+(AC$2*$M1112))</f>
        <v/>
      </c>
      <c r="AD1112" s="48">
        <f>IF(OR($M1112="",$T1112=""),"",$T1112+(AD$2*$M1112))</f>
        <v/>
      </c>
      <c r="AE1112" s="49">
        <f>IF(OR($M1112="",$T1112=""),"",$T1112+(AE$2*$M1112))</f>
        <v/>
      </c>
      <c r="AF1112" s="52">
        <f>IF(OR(T1112="",I1112&lt;T1112),"",IFERROR(AVERAGE(T1112+M1112*{7,8,9,10,11})/IF(G1112="",I1112,G1112)-1,""))</f>
        <v/>
      </c>
      <c r="AG1112" s="55">
        <f>IF(OR(T1112="",I1112&lt;T1112),"",IFERROR(AF1112/-(R1112/IF(G1112="",I1112,G1112)-1),""))</f>
        <v/>
      </c>
      <c r="AH1112" s="94" t="n"/>
      <c r="AI1112" s="94" t="n"/>
      <c r="AJ1112" s="94" t="n"/>
      <c r="AK1112" s="94" t="n"/>
      <c r="AL1112" s="84" t="n"/>
    </row>
    <row r="1113">
      <c r="A1113" s="64" t="n"/>
      <c r="B1113" s="65" t="n"/>
      <c r="C1113" s="66" t="n"/>
      <c r="D1113" s="67" t="n"/>
      <c r="E1113" s="68" t="n"/>
      <c r="F1113" s="47">
        <f>IF(A1113="","",IF(MIN(H1113,MAX(J1113:K1113))=0,"",MIN(H1113,MAX(J1113:K1113))))</f>
        <v/>
      </c>
      <c r="G1113" s="74" t="n"/>
      <c r="H1113" s="49">
        <f>IF(M1113="","",IFERROR(ROUND(AVERAGE(T1113+M1113*{7,8,9,10,11})/1.21,4),""))</f>
        <v/>
      </c>
      <c r="I1113" s="76" t="n"/>
      <c r="J1113" s="77" t="n"/>
      <c r="K1113" s="74" t="n"/>
      <c r="L1113" s="78" t="n"/>
      <c r="M1113" s="77" t="n"/>
      <c r="N1113" s="53">
        <f>IF(M1113="","",IFERROR(M1113/I1113,""))</f>
        <v/>
      </c>
      <c r="O1113" s="50">
        <f>IF(A1113="","",IFERROR((IF(G1113="",I1113,G1113)-T1113)/M1113,""))</f>
        <v/>
      </c>
      <c r="P1113" s="50">
        <f>IFERROR((I1113/T1113-1)/N1113,"")</f>
        <v/>
      </c>
      <c r="Q1113" s="46">
        <f>IF(OR(T1113="",I1113&lt;T1113),"",IFERROR(R1113/IF(G1113="",I1113,G1113)-1,""))</f>
        <v/>
      </c>
      <c r="R1113" s="48">
        <f>IF($M1113="","",MAX(IF($G1113="",$I1113,$G1113)*(1/1.1),IF($G1113="",$I1113,$G1113)+(R$2*$M1113)))</f>
        <v/>
      </c>
      <c r="S1113" s="49">
        <f>IF($M1113="","",MAX(IF($G1113="",$I1113,$G1113)*(1/1.1),IF($G1113="",$I1113,$G1113)+(S$2*$M1113)))</f>
        <v/>
      </c>
      <c r="T1113" s="82" t="n"/>
      <c r="U1113" s="47">
        <f>IF(OR($M1113="",$T1113=""),"",$T1113+(U$2*$M1113))</f>
        <v/>
      </c>
      <c r="V1113" s="48">
        <f>IF(OR($M1113="",$T1113=""),"",$T1113+(V$2*$M1113))</f>
        <v/>
      </c>
      <c r="W1113" s="48">
        <f>IF(OR($M1113="",$T1113=""),"",$T1113+(W$2*$M1113))</f>
        <v/>
      </c>
      <c r="X1113" s="49">
        <f>IF(OR($M1113="",$T1113=""),"",$T1113+(X$2*$M1113))</f>
        <v/>
      </c>
      <c r="Y1113" s="47">
        <f>IF(OR($M1113="",$T1113=""),"",$T1113+(Y$2*$M1113))</f>
        <v/>
      </c>
      <c r="Z1113" s="49">
        <f>IF(OR($M1113="",$T1113=""),"",$T1113+(Z$2*$M1113))</f>
        <v/>
      </c>
      <c r="AA1113" s="51">
        <f>IF(OR($M1113="",$T1113=""),"",$T1113+(AA$2*$M1113))</f>
        <v/>
      </c>
      <c r="AB1113" s="48">
        <f>IF(OR($M1113="",$T1113=""),"",$T1113+(AB$2*$M1113))</f>
        <v/>
      </c>
      <c r="AC1113" s="48">
        <f>IF(OR($M1113="",$T1113=""),"",$T1113+(AC$2*$M1113))</f>
        <v/>
      </c>
      <c r="AD1113" s="48">
        <f>IF(OR($M1113="",$T1113=""),"",$T1113+(AD$2*$M1113))</f>
        <v/>
      </c>
      <c r="AE1113" s="49">
        <f>IF(OR($M1113="",$T1113=""),"",$T1113+(AE$2*$M1113))</f>
        <v/>
      </c>
      <c r="AF1113" s="52">
        <f>IF(OR(T1113="",I1113&lt;T1113),"",IFERROR(AVERAGE(T1113+M1113*{7,8,9,10,11})/IF(G1113="",I1113,G1113)-1,""))</f>
        <v/>
      </c>
      <c r="AG1113" s="55">
        <f>IF(OR(T1113="",I1113&lt;T1113),"",IFERROR(AF1113/-(R1113/IF(G1113="",I1113,G1113)-1),""))</f>
        <v/>
      </c>
      <c r="AH1113" s="94" t="n"/>
      <c r="AI1113" s="94" t="n"/>
      <c r="AJ1113" s="94" t="n"/>
      <c r="AK1113" s="94" t="n"/>
      <c r="AL1113" s="84" t="n"/>
    </row>
    <row r="1114">
      <c r="A1114" s="64" t="n"/>
      <c r="B1114" s="65" t="n"/>
      <c r="C1114" s="66" t="n"/>
      <c r="D1114" s="67" t="n"/>
      <c r="E1114" s="68" t="n"/>
      <c r="F1114" s="47">
        <f>IF(A1114="","",IF(MIN(H1114,MAX(J1114:K1114))=0,"",MIN(H1114,MAX(J1114:K1114))))</f>
        <v/>
      </c>
      <c r="G1114" s="74" t="n"/>
      <c r="H1114" s="49">
        <f>IF(M1114="","",IFERROR(ROUND(AVERAGE(T1114+M1114*{7,8,9,10,11})/1.21,4),""))</f>
        <v/>
      </c>
      <c r="I1114" s="76" t="n"/>
      <c r="J1114" s="77" t="n"/>
      <c r="K1114" s="74" t="n"/>
      <c r="L1114" s="78" t="n"/>
      <c r="M1114" s="77" t="n"/>
      <c r="N1114" s="53">
        <f>IF(M1114="","",IFERROR(M1114/I1114,""))</f>
        <v/>
      </c>
      <c r="O1114" s="50">
        <f>IF(A1114="","",IFERROR((IF(G1114="",I1114,G1114)-T1114)/M1114,""))</f>
        <v/>
      </c>
      <c r="P1114" s="50">
        <f>IFERROR((I1114/T1114-1)/N1114,"")</f>
        <v/>
      </c>
      <c r="Q1114" s="46">
        <f>IF(OR(T1114="",I1114&lt;T1114),"",IFERROR(R1114/IF(G1114="",I1114,G1114)-1,""))</f>
        <v/>
      </c>
      <c r="R1114" s="48">
        <f>IF($M1114="","",MAX(IF($G1114="",$I1114,$G1114)*(1/1.1),IF($G1114="",$I1114,$G1114)+(R$2*$M1114)))</f>
        <v/>
      </c>
      <c r="S1114" s="49">
        <f>IF($M1114="","",MAX(IF($G1114="",$I1114,$G1114)*(1/1.1),IF($G1114="",$I1114,$G1114)+(S$2*$M1114)))</f>
        <v/>
      </c>
      <c r="T1114" s="82" t="n"/>
      <c r="U1114" s="47">
        <f>IF(OR($M1114="",$T1114=""),"",$T1114+(U$2*$M1114))</f>
        <v/>
      </c>
      <c r="V1114" s="48">
        <f>IF(OR($M1114="",$T1114=""),"",$T1114+(V$2*$M1114))</f>
        <v/>
      </c>
      <c r="W1114" s="48">
        <f>IF(OR($M1114="",$T1114=""),"",$T1114+(W$2*$M1114))</f>
        <v/>
      </c>
      <c r="X1114" s="49">
        <f>IF(OR($M1114="",$T1114=""),"",$T1114+(X$2*$M1114))</f>
        <v/>
      </c>
      <c r="Y1114" s="47">
        <f>IF(OR($M1114="",$T1114=""),"",$T1114+(Y$2*$M1114))</f>
        <v/>
      </c>
      <c r="Z1114" s="49">
        <f>IF(OR($M1114="",$T1114=""),"",$T1114+(Z$2*$M1114))</f>
        <v/>
      </c>
      <c r="AA1114" s="51">
        <f>IF(OR($M1114="",$T1114=""),"",$T1114+(AA$2*$M1114))</f>
        <v/>
      </c>
      <c r="AB1114" s="48">
        <f>IF(OR($M1114="",$T1114=""),"",$T1114+(AB$2*$M1114))</f>
        <v/>
      </c>
      <c r="AC1114" s="48">
        <f>IF(OR($M1114="",$T1114=""),"",$T1114+(AC$2*$M1114))</f>
        <v/>
      </c>
      <c r="AD1114" s="48">
        <f>IF(OR($M1114="",$T1114=""),"",$T1114+(AD$2*$M1114))</f>
        <v/>
      </c>
      <c r="AE1114" s="49">
        <f>IF(OR($M1114="",$T1114=""),"",$T1114+(AE$2*$M1114))</f>
        <v/>
      </c>
      <c r="AF1114" s="52">
        <f>IF(OR(T1114="",I1114&lt;T1114),"",IFERROR(AVERAGE(T1114+M1114*{7,8,9,10,11})/IF(G1114="",I1114,G1114)-1,""))</f>
        <v/>
      </c>
      <c r="AG1114" s="55">
        <f>IF(OR(T1114="",I1114&lt;T1114),"",IFERROR(AF1114/-(R1114/IF(G1114="",I1114,G1114)-1),""))</f>
        <v/>
      </c>
      <c r="AH1114" s="94" t="n"/>
      <c r="AI1114" s="94" t="n"/>
      <c r="AJ1114" s="94" t="n"/>
      <c r="AK1114" s="94" t="n"/>
      <c r="AL1114" s="84" t="n"/>
    </row>
    <row r="1115">
      <c r="A1115" s="64" t="n"/>
      <c r="B1115" s="65" t="n"/>
      <c r="C1115" s="66" t="n"/>
      <c r="D1115" s="67" t="n"/>
      <c r="E1115" s="68" t="n"/>
      <c r="F1115" s="47">
        <f>IF(A1115="","",IF(MIN(H1115,MAX(J1115:K1115))=0,"",MIN(H1115,MAX(J1115:K1115))))</f>
        <v/>
      </c>
      <c r="G1115" s="74" t="n"/>
      <c r="H1115" s="49">
        <f>IF(M1115="","",IFERROR(ROUND(AVERAGE(T1115+M1115*{7,8,9,10,11})/1.21,4),""))</f>
        <v/>
      </c>
      <c r="I1115" s="76" t="n"/>
      <c r="J1115" s="77" t="n"/>
      <c r="K1115" s="74" t="n"/>
      <c r="L1115" s="78" t="n"/>
      <c r="M1115" s="77" t="n"/>
      <c r="N1115" s="53">
        <f>IF(M1115="","",IFERROR(M1115/I1115,""))</f>
        <v/>
      </c>
      <c r="O1115" s="50">
        <f>IF(A1115="","",IFERROR((IF(G1115="",I1115,G1115)-T1115)/M1115,""))</f>
        <v/>
      </c>
      <c r="P1115" s="50">
        <f>IFERROR((I1115/T1115-1)/N1115,"")</f>
        <v/>
      </c>
      <c r="Q1115" s="46">
        <f>IF(OR(T1115="",I1115&lt;T1115),"",IFERROR(R1115/IF(G1115="",I1115,G1115)-1,""))</f>
        <v/>
      </c>
      <c r="R1115" s="48">
        <f>IF($M1115="","",MAX(IF($G1115="",$I1115,$G1115)*(1/1.1),IF($G1115="",$I1115,$G1115)+(R$2*$M1115)))</f>
        <v/>
      </c>
      <c r="S1115" s="49">
        <f>IF($M1115="","",MAX(IF($G1115="",$I1115,$G1115)*(1/1.1),IF($G1115="",$I1115,$G1115)+(S$2*$M1115)))</f>
        <v/>
      </c>
      <c r="T1115" s="82" t="n"/>
      <c r="U1115" s="47">
        <f>IF(OR($M1115="",$T1115=""),"",$T1115+(U$2*$M1115))</f>
        <v/>
      </c>
      <c r="V1115" s="48">
        <f>IF(OR($M1115="",$T1115=""),"",$T1115+(V$2*$M1115))</f>
        <v/>
      </c>
      <c r="W1115" s="48">
        <f>IF(OR($M1115="",$T1115=""),"",$T1115+(W$2*$M1115))</f>
        <v/>
      </c>
      <c r="X1115" s="49">
        <f>IF(OR($M1115="",$T1115=""),"",$T1115+(X$2*$M1115))</f>
        <v/>
      </c>
      <c r="Y1115" s="47">
        <f>IF(OR($M1115="",$T1115=""),"",$T1115+(Y$2*$M1115))</f>
        <v/>
      </c>
      <c r="Z1115" s="49">
        <f>IF(OR($M1115="",$T1115=""),"",$T1115+(Z$2*$M1115))</f>
        <v/>
      </c>
      <c r="AA1115" s="51">
        <f>IF(OR($M1115="",$T1115=""),"",$T1115+(AA$2*$M1115))</f>
        <v/>
      </c>
      <c r="AB1115" s="48">
        <f>IF(OR($M1115="",$T1115=""),"",$T1115+(AB$2*$M1115))</f>
        <v/>
      </c>
      <c r="AC1115" s="48">
        <f>IF(OR($M1115="",$T1115=""),"",$T1115+(AC$2*$M1115))</f>
        <v/>
      </c>
      <c r="AD1115" s="48">
        <f>IF(OR($M1115="",$T1115=""),"",$T1115+(AD$2*$M1115))</f>
        <v/>
      </c>
      <c r="AE1115" s="49">
        <f>IF(OR($M1115="",$T1115=""),"",$T1115+(AE$2*$M1115))</f>
        <v/>
      </c>
      <c r="AF1115" s="52">
        <f>IF(OR(T1115="",I1115&lt;T1115),"",IFERROR(AVERAGE(T1115+M1115*{7,8,9,10,11})/IF(G1115="",I1115,G1115)-1,""))</f>
        <v/>
      </c>
      <c r="AG1115" s="55">
        <f>IF(OR(T1115="",I1115&lt;T1115),"",IFERROR(AF1115/-(R1115/IF(G1115="",I1115,G1115)-1),""))</f>
        <v/>
      </c>
      <c r="AH1115" s="94" t="n"/>
      <c r="AI1115" s="94" t="n"/>
      <c r="AJ1115" s="94" t="n"/>
      <c r="AK1115" s="94" t="n"/>
      <c r="AL1115" s="84" t="n"/>
    </row>
    <row r="1116">
      <c r="A1116" s="64" t="n"/>
      <c r="B1116" s="65" t="n"/>
      <c r="C1116" s="66" t="n"/>
      <c r="D1116" s="67" t="n"/>
      <c r="E1116" s="68" t="n"/>
      <c r="F1116" s="47">
        <f>IF(A1116="","",IF(MIN(H1116,MAX(J1116:K1116))=0,"",MIN(H1116,MAX(J1116:K1116))))</f>
        <v/>
      </c>
      <c r="G1116" s="74" t="n"/>
      <c r="H1116" s="49">
        <f>IF(M1116="","",IFERROR(ROUND(AVERAGE(T1116+M1116*{7,8,9,10,11})/1.21,4),""))</f>
        <v/>
      </c>
      <c r="I1116" s="76" t="n"/>
      <c r="J1116" s="77" t="n"/>
      <c r="K1116" s="74" t="n"/>
      <c r="L1116" s="78" t="n"/>
      <c r="M1116" s="77" t="n"/>
      <c r="N1116" s="53">
        <f>IF(M1116="","",IFERROR(M1116/I1116,""))</f>
        <v/>
      </c>
      <c r="O1116" s="50">
        <f>IF(A1116="","",IFERROR((IF(G1116="",I1116,G1116)-T1116)/M1116,""))</f>
        <v/>
      </c>
      <c r="P1116" s="50">
        <f>IFERROR((I1116/T1116-1)/N1116,"")</f>
        <v/>
      </c>
      <c r="Q1116" s="46">
        <f>IF(OR(T1116="",I1116&lt;T1116),"",IFERROR(R1116/IF(G1116="",I1116,G1116)-1,""))</f>
        <v/>
      </c>
      <c r="R1116" s="48">
        <f>IF($M1116="","",MAX(IF($G1116="",$I1116,$G1116)*(1/1.1),IF($G1116="",$I1116,$G1116)+(R$2*$M1116)))</f>
        <v/>
      </c>
      <c r="S1116" s="49">
        <f>IF($M1116="","",MAX(IF($G1116="",$I1116,$G1116)*(1/1.1),IF($G1116="",$I1116,$G1116)+(S$2*$M1116)))</f>
        <v/>
      </c>
      <c r="T1116" s="82" t="n"/>
      <c r="U1116" s="47">
        <f>IF(OR($M1116="",$T1116=""),"",$T1116+(U$2*$M1116))</f>
        <v/>
      </c>
      <c r="V1116" s="48">
        <f>IF(OR($M1116="",$T1116=""),"",$T1116+(V$2*$M1116))</f>
        <v/>
      </c>
      <c r="W1116" s="48">
        <f>IF(OR($M1116="",$T1116=""),"",$T1116+(W$2*$M1116))</f>
        <v/>
      </c>
      <c r="X1116" s="49">
        <f>IF(OR($M1116="",$T1116=""),"",$T1116+(X$2*$M1116))</f>
        <v/>
      </c>
      <c r="Y1116" s="47">
        <f>IF(OR($M1116="",$T1116=""),"",$T1116+(Y$2*$M1116))</f>
        <v/>
      </c>
      <c r="Z1116" s="49">
        <f>IF(OR($M1116="",$T1116=""),"",$T1116+(Z$2*$M1116))</f>
        <v/>
      </c>
      <c r="AA1116" s="51">
        <f>IF(OR($M1116="",$T1116=""),"",$T1116+(AA$2*$M1116))</f>
        <v/>
      </c>
      <c r="AB1116" s="48">
        <f>IF(OR($M1116="",$T1116=""),"",$T1116+(AB$2*$M1116))</f>
        <v/>
      </c>
      <c r="AC1116" s="48">
        <f>IF(OR($M1116="",$T1116=""),"",$T1116+(AC$2*$M1116))</f>
        <v/>
      </c>
      <c r="AD1116" s="48">
        <f>IF(OR($M1116="",$T1116=""),"",$T1116+(AD$2*$M1116))</f>
        <v/>
      </c>
      <c r="AE1116" s="49">
        <f>IF(OR($M1116="",$T1116=""),"",$T1116+(AE$2*$M1116))</f>
        <v/>
      </c>
      <c r="AF1116" s="52">
        <f>IF(OR(T1116="",I1116&lt;T1116),"",IFERROR(AVERAGE(T1116+M1116*{7,8,9,10,11})/IF(G1116="",I1116,G1116)-1,""))</f>
        <v/>
      </c>
      <c r="AG1116" s="55">
        <f>IF(OR(T1116="",I1116&lt;T1116),"",IFERROR(AF1116/-(R1116/IF(G1116="",I1116,G1116)-1),""))</f>
        <v/>
      </c>
      <c r="AH1116" s="94" t="n"/>
      <c r="AI1116" s="94" t="n"/>
      <c r="AJ1116" s="94" t="n"/>
      <c r="AK1116" s="94" t="n"/>
      <c r="AL1116" s="84" t="n"/>
    </row>
    <row r="1117">
      <c r="A1117" s="64" t="n"/>
      <c r="B1117" s="65" t="n"/>
      <c r="C1117" s="66" t="n"/>
      <c r="D1117" s="67" t="n"/>
      <c r="E1117" s="68" t="n"/>
      <c r="F1117" s="47">
        <f>IF(A1117="","",IF(MIN(H1117,MAX(J1117:K1117))=0,"",MIN(H1117,MAX(J1117:K1117))))</f>
        <v/>
      </c>
      <c r="G1117" s="74" t="n"/>
      <c r="H1117" s="49">
        <f>IF(M1117="","",IFERROR(ROUND(AVERAGE(T1117+M1117*{7,8,9,10,11})/1.21,4),""))</f>
        <v/>
      </c>
      <c r="I1117" s="76" t="n"/>
      <c r="J1117" s="77" t="n"/>
      <c r="K1117" s="74" t="n"/>
      <c r="L1117" s="78" t="n"/>
      <c r="M1117" s="77" t="n"/>
      <c r="N1117" s="53">
        <f>IF(M1117="","",IFERROR(M1117/I1117,""))</f>
        <v/>
      </c>
      <c r="O1117" s="50">
        <f>IF(A1117="","",IFERROR((IF(G1117="",I1117,G1117)-T1117)/M1117,""))</f>
        <v/>
      </c>
      <c r="P1117" s="50">
        <f>IFERROR((I1117/T1117-1)/N1117,"")</f>
        <v/>
      </c>
      <c r="Q1117" s="46">
        <f>IF(OR(T1117="",I1117&lt;T1117),"",IFERROR(R1117/IF(G1117="",I1117,G1117)-1,""))</f>
        <v/>
      </c>
      <c r="R1117" s="48">
        <f>IF($M1117="","",MAX(IF($G1117="",$I1117,$G1117)*(1/1.1),IF($G1117="",$I1117,$G1117)+(R$2*$M1117)))</f>
        <v/>
      </c>
      <c r="S1117" s="49">
        <f>IF($M1117="","",MAX(IF($G1117="",$I1117,$G1117)*(1/1.1),IF($G1117="",$I1117,$G1117)+(S$2*$M1117)))</f>
        <v/>
      </c>
      <c r="T1117" s="82" t="n"/>
      <c r="U1117" s="47">
        <f>IF(OR($M1117="",$T1117=""),"",$T1117+(U$2*$M1117))</f>
        <v/>
      </c>
      <c r="V1117" s="48">
        <f>IF(OR($M1117="",$T1117=""),"",$T1117+(V$2*$M1117))</f>
        <v/>
      </c>
      <c r="W1117" s="48">
        <f>IF(OR($M1117="",$T1117=""),"",$T1117+(W$2*$M1117))</f>
        <v/>
      </c>
      <c r="X1117" s="49">
        <f>IF(OR($M1117="",$T1117=""),"",$T1117+(X$2*$M1117))</f>
        <v/>
      </c>
      <c r="Y1117" s="47">
        <f>IF(OR($M1117="",$T1117=""),"",$T1117+(Y$2*$M1117))</f>
        <v/>
      </c>
      <c r="Z1117" s="49">
        <f>IF(OR($M1117="",$T1117=""),"",$T1117+(Z$2*$M1117))</f>
        <v/>
      </c>
      <c r="AA1117" s="51">
        <f>IF(OR($M1117="",$T1117=""),"",$T1117+(AA$2*$M1117))</f>
        <v/>
      </c>
      <c r="AB1117" s="48">
        <f>IF(OR($M1117="",$T1117=""),"",$T1117+(AB$2*$M1117))</f>
        <v/>
      </c>
      <c r="AC1117" s="48">
        <f>IF(OR($M1117="",$T1117=""),"",$T1117+(AC$2*$M1117))</f>
        <v/>
      </c>
      <c r="AD1117" s="48">
        <f>IF(OR($M1117="",$T1117=""),"",$T1117+(AD$2*$M1117))</f>
        <v/>
      </c>
      <c r="AE1117" s="49">
        <f>IF(OR($M1117="",$T1117=""),"",$T1117+(AE$2*$M1117))</f>
        <v/>
      </c>
      <c r="AF1117" s="52">
        <f>IF(OR(T1117="",I1117&lt;T1117),"",IFERROR(AVERAGE(T1117+M1117*{7,8,9,10,11})/IF(G1117="",I1117,G1117)-1,""))</f>
        <v/>
      </c>
      <c r="AG1117" s="55">
        <f>IF(OR(T1117="",I1117&lt;T1117),"",IFERROR(AF1117/-(R1117/IF(G1117="",I1117,G1117)-1),""))</f>
        <v/>
      </c>
      <c r="AH1117" s="94" t="n"/>
      <c r="AI1117" s="94" t="n"/>
      <c r="AJ1117" s="94" t="n"/>
      <c r="AK1117" s="94" t="n"/>
      <c r="AL1117" s="84" t="n"/>
    </row>
    <row r="1118">
      <c r="A1118" s="64" t="n"/>
      <c r="B1118" s="65" t="n"/>
      <c r="C1118" s="66" t="n"/>
      <c r="D1118" s="67" t="n"/>
      <c r="E1118" s="68" t="n"/>
      <c r="F1118" s="47">
        <f>IF(A1118="","",IF(MIN(H1118,MAX(J1118:K1118))=0,"",MIN(H1118,MAX(J1118:K1118))))</f>
        <v/>
      </c>
      <c r="G1118" s="74" t="n"/>
      <c r="H1118" s="49">
        <f>IF(M1118="","",IFERROR(ROUND(AVERAGE(T1118+M1118*{7,8,9,10,11})/1.21,4),""))</f>
        <v/>
      </c>
      <c r="I1118" s="76" t="n"/>
      <c r="J1118" s="77" t="n"/>
      <c r="K1118" s="74" t="n"/>
      <c r="L1118" s="78" t="n"/>
      <c r="M1118" s="77" t="n"/>
      <c r="N1118" s="53">
        <f>IF(M1118="","",IFERROR(M1118/I1118,""))</f>
        <v/>
      </c>
      <c r="O1118" s="50">
        <f>IF(A1118="","",IFERROR((IF(G1118="",I1118,G1118)-T1118)/M1118,""))</f>
        <v/>
      </c>
      <c r="P1118" s="50">
        <f>IFERROR((I1118/T1118-1)/N1118,"")</f>
        <v/>
      </c>
      <c r="Q1118" s="46">
        <f>IF(OR(T1118="",I1118&lt;T1118),"",IFERROR(R1118/IF(G1118="",I1118,G1118)-1,""))</f>
        <v/>
      </c>
      <c r="R1118" s="48">
        <f>IF($M1118="","",MAX(IF($G1118="",$I1118,$G1118)*(1/1.1),IF($G1118="",$I1118,$G1118)+(R$2*$M1118)))</f>
        <v/>
      </c>
      <c r="S1118" s="49">
        <f>IF($M1118="","",MAX(IF($G1118="",$I1118,$G1118)*(1/1.1),IF($G1118="",$I1118,$G1118)+(S$2*$M1118)))</f>
        <v/>
      </c>
      <c r="T1118" s="82" t="n"/>
      <c r="U1118" s="47">
        <f>IF(OR($M1118="",$T1118=""),"",$T1118+(U$2*$M1118))</f>
        <v/>
      </c>
      <c r="V1118" s="48">
        <f>IF(OR($M1118="",$T1118=""),"",$T1118+(V$2*$M1118))</f>
        <v/>
      </c>
      <c r="W1118" s="48">
        <f>IF(OR($M1118="",$T1118=""),"",$T1118+(W$2*$M1118))</f>
        <v/>
      </c>
      <c r="X1118" s="49">
        <f>IF(OR($M1118="",$T1118=""),"",$T1118+(X$2*$M1118))</f>
        <v/>
      </c>
      <c r="Y1118" s="47">
        <f>IF(OR($M1118="",$T1118=""),"",$T1118+(Y$2*$M1118))</f>
        <v/>
      </c>
      <c r="Z1118" s="49">
        <f>IF(OR($M1118="",$T1118=""),"",$T1118+(Z$2*$M1118))</f>
        <v/>
      </c>
      <c r="AA1118" s="51">
        <f>IF(OR($M1118="",$T1118=""),"",$T1118+(AA$2*$M1118))</f>
        <v/>
      </c>
      <c r="AB1118" s="48">
        <f>IF(OR($M1118="",$T1118=""),"",$T1118+(AB$2*$M1118))</f>
        <v/>
      </c>
      <c r="AC1118" s="48">
        <f>IF(OR($M1118="",$T1118=""),"",$T1118+(AC$2*$M1118))</f>
        <v/>
      </c>
      <c r="AD1118" s="48">
        <f>IF(OR($M1118="",$T1118=""),"",$T1118+(AD$2*$M1118))</f>
        <v/>
      </c>
      <c r="AE1118" s="49">
        <f>IF(OR($M1118="",$T1118=""),"",$T1118+(AE$2*$M1118))</f>
        <v/>
      </c>
      <c r="AF1118" s="52">
        <f>IF(OR(T1118="",I1118&lt;T1118),"",IFERROR(AVERAGE(T1118+M1118*{7,8,9,10,11})/IF(G1118="",I1118,G1118)-1,""))</f>
        <v/>
      </c>
      <c r="AG1118" s="55">
        <f>IF(OR(T1118="",I1118&lt;T1118),"",IFERROR(AF1118/-(R1118/IF(G1118="",I1118,G1118)-1),""))</f>
        <v/>
      </c>
      <c r="AH1118" s="94" t="n"/>
      <c r="AI1118" s="94" t="n"/>
      <c r="AJ1118" s="94" t="n"/>
      <c r="AK1118" s="94" t="n"/>
      <c r="AL1118" s="84" t="n"/>
    </row>
    <row r="1119">
      <c r="A1119" s="64" t="n"/>
      <c r="B1119" s="65" t="n"/>
      <c r="C1119" s="66" t="n"/>
      <c r="D1119" s="67" t="n"/>
      <c r="E1119" s="68" t="n"/>
      <c r="F1119" s="47">
        <f>IF(A1119="","",IF(MIN(H1119,MAX(J1119:K1119))=0,"",MIN(H1119,MAX(J1119:K1119))))</f>
        <v/>
      </c>
      <c r="G1119" s="74" t="n"/>
      <c r="H1119" s="49">
        <f>IF(M1119="","",IFERROR(ROUND(AVERAGE(T1119+M1119*{7,8,9,10,11})/1.21,4),""))</f>
        <v/>
      </c>
      <c r="I1119" s="76" t="n"/>
      <c r="J1119" s="77" t="n"/>
      <c r="K1119" s="74" t="n"/>
      <c r="L1119" s="78" t="n"/>
      <c r="M1119" s="77" t="n"/>
      <c r="N1119" s="53">
        <f>IF(M1119="","",IFERROR(M1119/I1119,""))</f>
        <v/>
      </c>
      <c r="O1119" s="50">
        <f>IF(A1119="","",IFERROR((IF(G1119="",I1119,G1119)-T1119)/M1119,""))</f>
        <v/>
      </c>
      <c r="P1119" s="50">
        <f>IFERROR((I1119/T1119-1)/N1119,"")</f>
        <v/>
      </c>
      <c r="Q1119" s="46">
        <f>IF(OR(T1119="",I1119&lt;T1119),"",IFERROR(R1119/IF(G1119="",I1119,G1119)-1,""))</f>
        <v/>
      </c>
      <c r="R1119" s="48">
        <f>IF($M1119="","",MAX(IF($G1119="",$I1119,$G1119)*(1/1.1),IF($G1119="",$I1119,$G1119)+(R$2*$M1119)))</f>
        <v/>
      </c>
      <c r="S1119" s="49">
        <f>IF($M1119="","",MAX(IF($G1119="",$I1119,$G1119)*(1/1.1),IF($G1119="",$I1119,$G1119)+(S$2*$M1119)))</f>
        <v/>
      </c>
      <c r="T1119" s="82" t="n"/>
      <c r="U1119" s="47">
        <f>IF(OR($M1119="",$T1119=""),"",$T1119+(U$2*$M1119))</f>
        <v/>
      </c>
      <c r="V1119" s="48">
        <f>IF(OR($M1119="",$T1119=""),"",$T1119+(V$2*$M1119))</f>
        <v/>
      </c>
      <c r="W1119" s="48">
        <f>IF(OR($M1119="",$T1119=""),"",$T1119+(W$2*$M1119))</f>
        <v/>
      </c>
      <c r="X1119" s="49">
        <f>IF(OR($M1119="",$T1119=""),"",$T1119+(X$2*$M1119))</f>
        <v/>
      </c>
      <c r="Y1119" s="47">
        <f>IF(OR($M1119="",$T1119=""),"",$T1119+(Y$2*$M1119))</f>
        <v/>
      </c>
      <c r="Z1119" s="49">
        <f>IF(OR($M1119="",$T1119=""),"",$T1119+(Z$2*$M1119))</f>
        <v/>
      </c>
      <c r="AA1119" s="51">
        <f>IF(OR($M1119="",$T1119=""),"",$T1119+(AA$2*$M1119))</f>
        <v/>
      </c>
      <c r="AB1119" s="48">
        <f>IF(OR($M1119="",$T1119=""),"",$T1119+(AB$2*$M1119))</f>
        <v/>
      </c>
      <c r="AC1119" s="48">
        <f>IF(OR($M1119="",$T1119=""),"",$T1119+(AC$2*$M1119))</f>
        <v/>
      </c>
      <c r="AD1119" s="48">
        <f>IF(OR($M1119="",$T1119=""),"",$T1119+(AD$2*$M1119))</f>
        <v/>
      </c>
      <c r="AE1119" s="49">
        <f>IF(OR($M1119="",$T1119=""),"",$T1119+(AE$2*$M1119))</f>
        <v/>
      </c>
      <c r="AF1119" s="52">
        <f>IF(OR(T1119="",I1119&lt;T1119),"",IFERROR(AVERAGE(T1119+M1119*{7,8,9,10,11})/IF(G1119="",I1119,G1119)-1,""))</f>
        <v/>
      </c>
      <c r="AG1119" s="55">
        <f>IF(OR(T1119="",I1119&lt;T1119),"",IFERROR(AF1119/-(R1119/IF(G1119="",I1119,G1119)-1),""))</f>
        <v/>
      </c>
      <c r="AH1119" s="94" t="n"/>
      <c r="AI1119" s="94" t="n"/>
      <c r="AJ1119" s="94" t="n"/>
      <c r="AK1119" s="94" t="n"/>
      <c r="AL1119" s="84" t="n"/>
    </row>
    <row r="1120">
      <c r="A1120" s="64" t="n"/>
      <c r="B1120" s="65" t="n"/>
      <c r="C1120" s="66" t="n"/>
      <c r="D1120" s="67" t="n"/>
      <c r="E1120" s="68" t="n"/>
      <c r="F1120" s="47">
        <f>IF(A1120="","",IF(MIN(H1120,MAX(J1120:K1120))=0,"",MIN(H1120,MAX(J1120:K1120))))</f>
        <v/>
      </c>
      <c r="G1120" s="74" t="n"/>
      <c r="H1120" s="49">
        <f>IF(M1120="","",IFERROR(ROUND(AVERAGE(T1120+M1120*{7,8,9,10,11})/1.21,4),""))</f>
        <v/>
      </c>
      <c r="I1120" s="76" t="n"/>
      <c r="J1120" s="77" t="n"/>
      <c r="K1120" s="74" t="n"/>
      <c r="L1120" s="78" t="n"/>
      <c r="M1120" s="77" t="n"/>
      <c r="N1120" s="53">
        <f>IF(M1120="","",IFERROR(M1120/I1120,""))</f>
        <v/>
      </c>
      <c r="O1120" s="50">
        <f>IF(A1120="","",IFERROR((IF(G1120="",I1120,G1120)-T1120)/M1120,""))</f>
        <v/>
      </c>
      <c r="P1120" s="50">
        <f>IFERROR((I1120/T1120-1)/N1120,"")</f>
        <v/>
      </c>
      <c r="Q1120" s="46">
        <f>IF(OR(T1120="",I1120&lt;T1120),"",IFERROR(R1120/IF(G1120="",I1120,G1120)-1,""))</f>
        <v/>
      </c>
      <c r="R1120" s="48">
        <f>IF($M1120="","",MAX(IF($G1120="",$I1120,$G1120)*(1/1.1),IF($G1120="",$I1120,$G1120)+(R$2*$M1120)))</f>
        <v/>
      </c>
      <c r="S1120" s="49">
        <f>IF($M1120="","",MAX(IF($G1120="",$I1120,$G1120)*(1/1.1),IF($G1120="",$I1120,$G1120)+(S$2*$M1120)))</f>
        <v/>
      </c>
      <c r="T1120" s="82" t="n"/>
      <c r="U1120" s="47">
        <f>IF(OR($M1120="",$T1120=""),"",$T1120+(U$2*$M1120))</f>
        <v/>
      </c>
      <c r="V1120" s="48">
        <f>IF(OR($M1120="",$T1120=""),"",$T1120+(V$2*$M1120))</f>
        <v/>
      </c>
      <c r="W1120" s="48">
        <f>IF(OR($M1120="",$T1120=""),"",$T1120+(W$2*$M1120))</f>
        <v/>
      </c>
      <c r="X1120" s="49">
        <f>IF(OR($M1120="",$T1120=""),"",$T1120+(X$2*$M1120))</f>
        <v/>
      </c>
      <c r="Y1120" s="47">
        <f>IF(OR($M1120="",$T1120=""),"",$T1120+(Y$2*$M1120))</f>
        <v/>
      </c>
      <c r="Z1120" s="49">
        <f>IF(OR($M1120="",$T1120=""),"",$T1120+(Z$2*$M1120))</f>
        <v/>
      </c>
      <c r="AA1120" s="51">
        <f>IF(OR($M1120="",$T1120=""),"",$T1120+(AA$2*$M1120))</f>
        <v/>
      </c>
      <c r="AB1120" s="48">
        <f>IF(OR($M1120="",$T1120=""),"",$T1120+(AB$2*$M1120))</f>
        <v/>
      </c>
      <c r="AC1120" s="48">
        <f>IF(OR($M1120="",$T1120=""),"",$T1120+(AC$2*$M1120))</f>
        <v/>
      </c>
      <c r="AD1120" s="48">
        <f>IF(OR($M1120="",$T1120=""),"",$T1120+(AD$2*$M1120))</f>
        <v/>
      </c>
      <c r="AE1120" s="49">
        <f>IF(OR($M1120="",$T1120=""),"",$T1120+(AE$2*$M1120))</f>
        <v/>
      </c>
      <c r="AF1120" s="52">
        <f>IF(OR(T1120="",I1120&lt;T1120),"",IFERROR(AVERAGE(T1120+M1120*{7,8,9,10,11})/IF(G1120="",I1120,G1120)-1,""))</f>
        <v/>
      </c>
      <c r="AG1120" s="55">
        <f>IF(OR(T1120="",I1120&lt;T1120),"",IFERROR(AF1120/-(R1120/IF(G1120="",I1120,G1120)-1),""))</f>
        <v/>
      </c>
      <c r="AH1120" s="94" t="n"/>
      <c r="AI1120" s="94" t="n"/>
      <c r="AJ1120" s="94" t="n"/>
      <c r="AK1120" s="94" t="n"/>
      <c r="AL1120" s="84" t="n"/>
    </row>
    <row r="1121">
      <c r="A1121" s="64" t="n"/>
      <c r="B1121" s="65" t="n"/>
      <c r="C1121" s="66" t="n"/>
      <c r="D1121" s="67" t="n"/>
      <c r="E1121" s="68" t="n"/>
      <c r="F1121" s="47">
        <f>IF(A1121="","",IF(MIN(H1121,MAX(J1121:K1121))=0,"",MIN(H1121,MAX(J1121:K1121))))</f>
        <v/>
      </c>
      <c r="G1121" s="74" t="n"/>
      <c r="H1121" s="49">
        <f>IF(M1121="","",IFERROR(ROUND(AVERAGE(T1121+M1121*{7,8,9,10,11})/1.21,4),""))</f>
        <v/>
      </c>
      <c r="I1121" s="76" t="n"/>
      <c r="J1121" s="77" t="n"/>
      <c r="K1121" s="74" t="n"/>
      <c r="L1121" s="78" t="n"/>
      <c r="M1121" s="77" t="n"/>
      <c r="N1121" s="53">
        <f>IF(M1121="","",IFERROR(M1121/I1121,""))</f>
        <v/>
      </c>
      <c r="O1121" s="50">
        <f>IF(A1121="","",IFERROR((IF(G1121="",I1121,G1121)-T1121)/M1121,""))</f>
        <v/>
      </c>
      <c r="P1121" s="50">
        <f>IFERROR((I1121/T1121-1)/N1121,"")</f>
        <v/>
      </c>
      <c r="Q1121" s="46">
        <f>IF(OR(T1121="",I1121&lt;T1121),"",IFERROR(R1121/IF(G1121="",I1121,G1121)-1,""))</f>
        <v/>
      </c>
      <c r="R1121" s="48">
        <f>IF($M1121="","",MAX(IF($G1121="",$I1121,$G1121)*(1/1.1),IF($G1121="",$I1121,$G1121)+(R$2*$M1121)))</f>
        <v/>
      </c>
      <c r="S1121" s="49">
        <f>IF($M1121="","",MAX(IF($G1121="",$I1121,$G1121)*(1/1.1),IF($G1121="",$I1121,$G1121)+(S$2*$M1121)))</f>
        <v/>
      </c>
      <c r="T1121" s="82" t="n"/>
      <c r="U1121" s="47">
        <f>IF(OR($M1121="",$T1121=""),"",$T1121+(U$2*$M1121))</f>
        <v/>
      </c>
      <c r="V1121" s="48">
        <f>IF(OR($M1121="",$T1121=""),"",$T1121+(V$2*$M1121))</f>
        <v/>
      </c>
      <c r="W1121" s="48">
        <f>IF(OR($M1121="",$T1121=""),"",$T1121+(W$2*$M1121))</f>
        <v/>
      </c>
      <c r="X1121" s="49">
        <f>IF(OR($M1121="",$T1121=""),"",$T1121+(X$2*$M1121))</f>
        <v/>
      </c>
      <c r="Y1121" s="47">
        <f>IF(OR($M1121="",$T1121=""),"",$T1121+(Y$2*$M1121))</f>
        <v/>
      </c>
      <c r="Z1121" s="49">
        <f>IF(OR($M1121="",$T1121=""),"",$T1121+(Z$2*$M1121))</f>
        <v/>
      </c>
      <c r="AA1121" s="51">
        <f>IF(OR($M1121="",$T1121=""),"",$T1121+(AA$2*$M1121))</f>
        <v/>
      </c>
      <c r="AB1121" s="48">
        <f>IF(OR($M1121="",$T1121=""),"",$T1121+(AB$2*$M1121))</f>
        <v/>
      </c>
      <c r="AC1121" s="48">
        <f>IF(OR($M1121="",$T1121=""),"",$T1121+(AC$2*$M1121))</f>
        <v/>
      </c>
      <c r="AD1121" s="48">
        <f>IF(OR($M1121="",$T1121=""),"",$T1121+(AD$2*$M1121))</f>
        <v/>
      </c>
      <c r="AE1121" s="49">
        <f>IF(OR($M1121="",$T1121=""),"",$T1121+(AE$2*$M1121))</f>
        <v/>
      </c>
      <c r="AF1121" s="52">
        <f>IF(OR(T1121="",I1121&lt;T1121),"",IFERROR(AVERAGE(T1121+M1121*{7,8,9,10,11})/IF(G1121="",I1121,G1121)-1,""))</f>
        <v/>
      </c>
      <c r="AG1121" s="55">
        <f>IF(OR(T1121="",I1121&lt;T1121),"",IFERROR(AF1121/-(R1121/IF(G1121="",I1121,G1121)-1),""))</f>
        <v/>
      </c>
      <c r="AH1121" s="94" t="n"/>
      <c r="AI1121" s="94" t="n"/>
      <c r="AJ1121" s="94" t="n"/>
      <c r="AK1121" s="94" t="n"/>
      <c r="AL1121" s="84" t="n"/>
    </row>
    <row r="1122">
      <c r="A1122" s="64" t="n"/>
      <c r="B1122" s="65" t="n"/>
      <c r="C1122" s="66" t="n"/>
      <c r="D1122" s="67" t="n"/>
      <c r="E1122" s="68" t="n"/>
      <c r="F1122" s="47">
        <f>IF(A1122="","",IF(MIN(H1122,MAX(J1122:K1122))=0,"",MIN(H1122,MAX(J1122:K1122))))</f>
        <v/>
      </c>
      <c r="G1122" s="74" t="n"/>
      <c r="H1122" s="49">
        <f>IF(M1122="","",IFERROR(ROUND(AVERAGE(T1122+M1122*{7,8,9,10,11})/1.21,4),""))</f>
        <v/>
      </c>
      <c r="I1122" s="76" t="n"/>
      <c r="J1122" s="77" t="n"/>
      <c r="K1122" s="74" t="n"/>
      <c r="L1122" s="78" t="n"/>
      <c r="M1122" s="77" t="n"/>
      <c r="N1122" s="53">
        <f>IF(M1122="","",IFERROR(M1122/I1122,""))</f>
        <v/>
      </c>
      <c r="O1122" s="50">
        <f>IF(A1122="","",IFERROR((IF(G1122="",I1122,G1122)-T1122)/M1122,""))</f>
        <v/>
      </c>
      <c r="P1122" s="50">
        <f>IFERROR((I1122/T1122-1)/N1122,"")</f>
        <v/>
      </c>
      <c r="Q1122" s="46">
        <f>IF(OR(T1122="",I1122&lt;T1122),"",IFERROR(R1122/IF(G1122="",I1122,G1122)-1,""))</f>
        <v/>
      </c>
      <c r="R1122" s="48">
        <f>IF($M1122="","",MAX(IF($G1122="",$I1122,$G1122)*(1/1.1),IF($G1122="",$I1122,$G1122)+(R$2*$M1122)))</f>
        <v/>
      </c>
      <c r="S1122" s="49">
        <f>IF($M1122="","",MAX(IF($G1122="",$I1122,$G1122)*(1/1.1),IF($G1122="",$I1122,$G1122)+(S$2*$M1122)))</f>
        <v/>
      </c>
      <c r="T1122" s="82" t="n"/>
      <c r="U1122" s="47">
        <f>IF(OR($M1122="",$T1122=""),"",$T1122+(U$2*$M1122))</f>
        <v/>
      </c>
      <c r="V1122" s="48">
        <f>IF(OR($M1122="",$T1122=""),"",$T1122+(V$2*$M1122))</f>
        <v/>
      </c>
      <c r="W1122" s="48">
        <f>IF(OR($M1122="",$T1122=""),"",$T1122+(W$2*$M1122))</f>
        <v/>
      </c>
      <c r="X1122" s="49">
        <f>IF(OR($M1122="",$T1122=""),"",$T1122+(X$2*$M1122))</f>
        <v/>
      </c>
      <c r="Y1122" s="47">
        <f>IF(OR($M1122="",$T1122=""),"",$T1122+(Y$2*$M1122))</f>
        <v/>
      </c>
      <c r="Z1122" s="49">
        <f>IF(OR($M1122="",$T1122=""),"",$T1122+(Z$2*$M1122))</f>
        <v/>
      </c>
      <c r="AA1122" s="51">
        <f>IF(OR($M1122="",$T1122=""),"",$T1122+(AA$2*$M1122))</f>
        <v/>
      </c>
      <c r="AB1122" s="48">
        <f>IF(OR($M1122="",$T1122=""),"",$T1122+(AB$2*$M1122))</f>
        <v/>
      </c>
      <c r="AC1122" s="48">
        <f>IF(OR($M1122="",$T1122=""),"",$T1122+(AC$2*$M1122))</f>
        <v/>
      </c>
      <c r="AD1122" s="48">
        <f>IF(OR($M1122="",$T1122=""),"",$T1122+(AD$2*$M1122))</f>
        <v/>
      </c>
      <c r="AE1122" s="49">
        <f>IF(OR($M1122="",$T1122=""),"",$T1122+(AE$2*$M1122))</f>
        <v/>
      </c>
      <c r="AF1122" s="52">
        <f>IF(OR(T1122="",I1122&lt;T1122),"",IFERROR(AVERAGE(T1122+M1122*{7,8,9,10,11})/IF(G1122="",I1122,G1122)-1,""))</f>
        <v/>
      </c>
      <c r="AG1122" s="55">
        <f>IF(OR(T1122="",I1122&lt;T1122),"",IFERROR(AF1122/-(R1122/IF(G1122="",I1122,G1122)-1),""))</f>
        <v/>
      </c>
      <c r="AH1122" s="94" t="n"/>
      <c r="AI1122" s="94" t="n"/>
      <c r="AJ1122" s="94" t="n"/>
      <c r="AK1122" s="94" t="n"/>
      <c r="AL1122" s="84" t="n"/>
    </row>
    <row r="1123">
      <c r="A1123" s="64" t="n"/>
      <c r="B1123" s="65" t="n"/>
      <c r="C1123" s="66" t="n"/>
      <c r="D1123" s="67" t="n"/>
      <c r="E1123" s="68" t="n"/>
      <c r="F1123" s="47">
        <f>IF(A1123="","",IF(MIN(H1123,MAX(J1123:K1123))=0,"",MIN(H1123,MAX(J1123:K1123))))</f>
        <v/>
      </c>
      <c r="G1123" s="74" t="n"/>
      <c r="H1123" s="49">
        <f>IF(M1123="","",IFERROR(ROUND(AVERAGE(T1123+M1123*{7,8,9,10,11})/1.21,4),""))</f>
        <v/>
      </c>
      <c r="I1123" s="76" t="n"/>
      <c r="J1123" s="77" t="n"/>
      <c r="K1123" s="74" t="n"/>
      <c r="L1123" s="78" t="n"/>
      <c r="M1123" s="77" t="n"/>
      <c r="N1123" s="53">
        <f>IF(M1123="","",IFERROR(M1123/I1123,""))</f>
        <v/>
      </c>
      <c r="O1123" s="50">
        <f>IF(A1123="","",IFERROR((IF(G1123="",I1123,G1123)-T1123)/M1123,""))</f>
        <v/>
      </c>
      <c r="P1123" s="50">
        <f>IFERROR((I1123/T1123-1)/N1123,"")</f>
        <v/>
      </c>
      <c r="Q1123" s="46">
        <f>IF(OR(T1123="",I1123&lt;T1123),"",IFERROR(R1123/IF(G1123="",I1123,G1123)-1,""))</f>
        <v/>
      </c>
      <c r="R1123" s="48">
        <f>IF($M1123="","",MAX(IF($G1123="",$I1123,$G1123)*(1/1.1),IF($G1123="",$I1123,$G1123)+(R$2*$M1123)))</f>
        <v/>
      </c>
      <c r="S1123" s="49">
        <f>IF($M1123="","",MAX(IF($G1123="",$I1123,$G1123)*(1/1.1),IF($G1123="",$I1123,$G1123)+(S$2*$M1123)))</f>
        <v/>
      </c>
      <c r="T1123" s="82" t="n"/>
      <c r="U1123" s="47">
        <f>IF(OR($M1123="",$T1123=""),"",$T1123+(U$2*$M1123))</f>
        <v/>
      </c>
      <c r="V1123" s="48">
        <f>IF(OR($M1123="",$T1123=""),"",$T1123+(V$2*$M1123))</f>
        <v/>
      </c>
      <c r="W1123" s="48">
        <f>IF(OR($M1123="",$T1123=""),"",$T1123+(W$2*$M1123))</f>
        <v/>
      </c>
      <c r="X1123" s="49">
        <f>IF(OR($M1123="",$T1123=""),"",$T1123+(X$2*$M1123))</f>
        <v/>
      </c>
      <c r="Y1123" s="47">
        <f>IF(OR($M1123="",$T1123=""),"",$T1123+(Y$2*$M1123))</f>
        <v/>
      </c>
      <c r="Z1123" s="49">
        <f>IF(OR($M1123="",$T1123=""),"",$T1123+(Z$2*$M1123))</f>
        <v/>
      </c>
      <c r="AA1123" s="51">
        <f>IF(OR($M1123="",$T1123=""),"",$T1123+(AA$2*$M1123))</f>
        <v/>
      </c>
      <c r="AB1123" s="48">
        <f>IF(OR($M1123="",$T1123=""),"",$T1123+(AB$2*$M1123))</f>
        <v/>
      </c>
      <c r="AC1123" s="48">
        <f>IF(OR($M1123="",$T1123=""),"",$T1123+(AC$2*$M1123))</f>
        <v/>
      </c>
      <c r="AD1123" s="48">
        <f>IF(OR($M1123="",$T1123=""),"",$T1123+(AD$2*$M1123))</f>
        <v/>
      </c>
      <c r="AE1123" s="49">
        <f>IF(OR($M1123="",$T1123=""),"",$T1123+(AE$2*$M1123))</f>
        <v/>
      </c>
      <c r="AF1123" s="52">
        <f>IF(OR(T1123="",I1123&lt;T1123),"",IFERROR(AVERAGE(T1123+M1123*{7,8,9,10,11})/IF(G1123="",I1123,G1123)-1,""))</f>
        <v/>
      </c>
      <c r="AG1123" s="55">
        <f>IF(OR(T1123="",I1123&lt;T1123),"",IFERROR(AF1123/-(R1123/IF(G1123="",I1123,G1123)-1),""))</f>
        <v/>
      </c>
      <c r="AH1123" s="94" t="n"/>
      <c r="AI1123" s="94" t="n"/>
      <c r="AJ1123" s="94" t="n"/>
      <c r="AK1123" s="94" t="n"/>
      <c r="AL1123" s="84" t="n"/>
    </row>
    <row r="1124">
      <c r="A1124" s="64" t="n"/>
      <c r="B1124" s="65" t="n"/>
      <c r="C1124" s="66" t="n"/>
      <c r="D1124" s="67" t="n"/>
      <c r="E1124" s="68" t="n"/>
      <c r="F1124" s="47">
        <f>IF(A1124="","",IF(MIN(H1124,MAX(J1124:K1124))=0,"",MIN(H1124,MAX(J1124:K1124))))</f>
        <v/>
      </c>
      <c r="G1124" s="74" t="n"/>
      <c r="H1124" s="49">
        <f>IF(M1124="","",IFERROR(ROUND(AVERAGE(T1124+M1124*{7,8,9,10,11})/1.21,4),""))</f>
        <v/>
      </c>
      <c r="I1124" s="76" t="n"/>
      <c r="J1124" s="77" t="n"/>
      <c r="K1124" s="74" t="n"/>
      <c r="L1124" s="78" t="n"/>
      <c r="M1124" s="77" t="n"/>
      <c r="N1124" s="53">
        <f>IF(M1124="","",IFERROR(M1124/I1124,""))</f>
        <v/>
      </c>
      <c r="O1124" s="50">
        <f>IF(A1124="","",IFERROR((IF(G1124="",I1124,G1124)-T1124)/M1124,""))</f>
        <v/>
      </c>
      <c r="P1124" s="50">
        <f>IFERROR((I1124/T1124-1)/N1124,"")</f>
        <v/>
      </c>
      <c r="Q1124" s="46">
        <f>IF(OR(T1124="",I1124&lt;T1124),"",IFERROR(R1124/IF(G1124="",I1124,G1124)-1,""))</f>
        <v/>
      </c>
      <c r="R1124" s="48">
        <f>IF($M1124="","",MAX(IF($G1124="",$I1124,$G1124)*(1/1.1),IF($G1124="",$I1124,$G1124)+(R$2*$M1124)))</f>
        <v/>
      </c>
      <c r="S1124" s="49">
        <f>IF($M1124="","",MAX(IF($G1124="",$I1124,$G1124)*(1/1.1),IF($G1124="",$I1124,$G1124)+(S$2*$M1124)))</f>
        <v/>
      </c>
      <c r="T1124" s="82" t="n"/>
      <c r="U1124" s="47">
        <f>IF(OR($M1124="",$T1124=""),"",$T1124+(U$2*$M1124))</f>
        <v/>
      </c>
      <c r="V1124" s="48">
        <f>IF(OR($M1124="",$T1124=""),"",$T1124+(V$2*$M1124))</f>
        <v/>
      </c>
      <c r="W1124" s="48">
        <f>IF(OR($M1124="",$T1124=""),"",$T1124+(W$2*$M1124))</f>
        <v/>
      </c>
      <c r="X1124" s="49">
        <f>IF(OR($M1124="",$T1124=""),"",$T1124+(X$2*$M1124))</f>
        <v/>
      </c>
      <c r="Y1124" s="47">
        <f>IF(OR($M1124="",$T1124=""),"",$T1124+(Y$2*$M1124))</f>
        <v/>
      </c>
      <c r="Z1124" s="49">
        <f>IF(OR($M1124="",$T1124=""),"",$T1124+(Z$2*$M1124))</f>
        <v/>
      </c>
      <c r="AA1124" s="51">
        <f>IF(OR($M1124="",$T1124=""),"",$T1124+(AA$2*$M1124))</f>
        <v/>
      </c>
      <c r="AB1124" s="48">
        <f>IF(OR($M1124="",$T1124=""),"",$T1124+(AB$2*$M1124))</f>
        <v/>
      </c>
      <c r="AC1124" s="48">
        <f>IF(OR($M1124="",$T1124=""),"",$T1124+(AC$2*$M1124))</f>
        <v/>
      </c>
      <c r="AD1124" s="48">
        <f>IF(OR($M1124="",$T1124=""),"",$T1124+(AD$2*$M1124))</f>
        <v/>
      </c>
      <c r="AE1124" s="49">
        <f>IF(OR($M1124="",$T1124=""),"",$T1124+(AE$2*$M1124))</f>
        <v/>
      </c>
      <c r="AF1124" s="52">
        <f>IF(OR(T1124="",I1124&lt;T1124),"",IFERROR(AVERAGE(T1124+M1124*{7,8,9,10,11})/IF(G1124="",I1124,G1124)-1,""))</f>
        <v/>
      </c>
      <c r="AG1124" s="55">
        <f>IF(OR(T1124="",I1124&lt;T1124),"",IFERROR(AF1124/-(R1124/IF(G1124="",I1124,G1124)-1),""))</f>
        <v/>
      </c>
      <c r="AH1124" s="94" t="n"/>
      <c r="AI1124" s="94" t="n"/>
      <c r="AJ1124" s="94" t="n"/>
      <c r="AK1124" s="94" t="n"/>
      <c r="AL1124" s="84" t="n"/>
    </row>
    <row r="1125">
      <c r="A1125" s="64" t="n"/>
      <c r="B1125" s="65" t="n"/>
      <c r="C1125" s="66" t="n"/>
      <c r="D1125" s="67" t="n"/>
      <c r="E1125" s="68" t="n"/>
      <c r="F1125" s="47">
        <f>IF(A1125="","",IF(MIN(H1125,MAX(J1125:K1125))=0,"",MIN(H1125,MAX(J1125:K1125))))</f>
        <v/>
      </c>
      <c r="G1125" s="74" t="n"/>
      <c r="H1125" s="49">
        <f>IF(M1125="","",IFERROR(ROUND(AVERAGE(T1125+M1125*{7,8,9,10,11})/1.21,4),""))</f>
        <v/>
      </c>
      <c r="I1125" s="76" t="n"/>
      <c r="J1125" s="77" t="n"/>
      <c r="K1125" s="74" t="n"/>
      <c r="L1125" s="78" t="n"/>
      <c r="M1125" s="77" t="n"/>
      <c r="N1125" s="53">
        <f>IF(M1125="","",IFERROR(M1125/I1125,""))</f>
        <v/>
      </c>
      <c r="O1125" s="50">
        <f>IF(A1125="","",IFERROR((IF(G1125="",I1125,G1125)-T1125)/M1125,""))</f>
        <v/>
      </c>
      <c r="P1125" s="50">
        <f>IFERROR((I1125/T1125-1)/N1125,"")</f>
        <v/>
      </c>
      <c r="Q1125" s="46">
        <f>IF(OR(T1125="",I1125&lt;T1125),"",IFERROR(R1125/IF(G1125="",I1125,G1125)-1,""))</f>
        <v/>
      </c>
      <c r="R1125" s="48">
        <f>IF($M1125="","",MAX(IF($G1125="",$I1125,$G1125)*(1/1.1),IF($G1125="",$I1125,$G1125)+(R$2*$M1125)))</f>
        <v/>
      </c>
      <c r="S1125" s="49">
        <f>IF($M1125="","",MAX(IF($G1125="",$I1125,$G1125)*(1/1.1),IF($G1125="",$I1125,$G1125)+(S$2*$M1125)))</f>
        <v/>
      </c>
      <c r="T1125" s="82" t="n"/>
      <c r="U1125" s="47">
        <f>IF(OR($M1125="",$T1125=""),"",$T1125+(U$2*$M1125))</f>
        <v/>
      </c>
      <c r="V1125" s="48">
        <f>IF(OR($M1125="",$T1125=""),"",$T1125+(V$2*$M1125))</f>
        <v/>
      </c>
      <c r="W1125" s="48">
        <f>IF(OR($M1125="",$T1125=""),"",$T1125+(W$2*$M1125))</f>
        <v/>
      </c>
      <c r="X1125" s="49">
        <f>IF(OR($M1125="",$T1125=""),"",$T1125+(X$2*$M1125))</f>
        <v/>
      </c>
      <c r="Y1125" s="47">
        <f>IF(OR($M1125="",$T1125=""),"",$T1125+(Y$2*$M1125))</f>
        <v/>
      </c>
      <c r="Z1125" s="49">
        <f>IF(OR($M1125="",$T1125=""),"",$T1125+(Z$2*$M1125))</f>
        <v/>
      </c>
      <c r="AA1125" s="51">
        <f>IF(OR($M1125="",$T1125=""),"",$T1125+(AA$2*$M1125))</f>
        <v/>
      </c>
      <c r="AB1125" s="48">
        <f>IF(OR($M1125="",$T1125=""),"",$T1125+(AB$2*$M1125))</f>
        <v/>
      </c>
      <c r="AC1125" s="48">
        <f>IF(OR($M1125="",$T1125=""),"",$T1125+(AC$2*$M1125))</f>
        <v/>
      </c>
      <c r="AD1125" s="48">
        <f>IF(OR($M1125="",$T1125=""),"",$T1125+(AD$2*$M1125))</f>
        <v/>
      </c>
      <c r="AE1125" s="49">
        <f>IF(OR($M1125="",$T1125=""),"",$T1125+(AE$2*$M1125))</f>
        <v/>
      </c>
      <c r="AF1125" s="52">
        <f>IF(OR(T1125="",I1125&lt;T1125),"",IFERROR(AVERAGE(T1125+M1125*{7,8,9,10,11})/IF(G1125="",I1125,G1125)-1,""))</f>
        <v/>
      </c>
      <c r="AG1125" s="55">
        <f>IF(OR(T1125="",I1125&lt;T1125),"",IFERROR(AF1125/-(R1125/IF(G1125="",I1125,G1125)-1),""))</f>
        <v/>
      </c>
      <c r="AH1125" s="94" t="n"/>
      <c r="AI1125" s="94" t="n"/>
      <c r="AJ1125" s="94" t="n"/>
      <c r="AK1125" s="94" t="n"/>
      <c r="AL1125" s="84" t="n"/>
    </row>
    <row r="1126">
      <c r="A1126" s="64" t="n"/>
      <c r="B1126" s="65" t="n"/>
      <c r="C1126" s="66" t="n"/>
      <c r="D1126" s="67" t="n"/>
      <c r="E1126" s="68" t="n"/>
      <c r="F1126" s="47">
        <f>IF(A1126="","",IF(MIN(H1126,MAX(J1126:K1126))=0,"",MIN(H1126,MAX(J1126:K1126))))</f>
        <v/>
      </c>
      <c r="G1126" s="74" t="n"/>
      <c r="H1126" s="49">
        <f>IF(M1126="","",IFERROR(ROUND(AVERAGE(T1126+M1126*{7,8,9,10,11})/1.21,4),""))</f>
        <v/>
      </c>
      <c r="I1126" s="76" t="n"/>
      <c r="J1126" s="77" t="n"/>
      <c r="K1126" s="74" t="n"/>
      <c r="L1126" s="78" t="n"/>
      <c r="M1126" s="77" t="n"/>
      <c r="N1126" s="53">
        <f>IF(M1126="","",IFERROR(M1126/I1126,""))</f>
        <v/>
      </c>
      <c r="O1126" s="50">
        <f>IF(A1126="","",IFERROR((IF(G1126="",I1126,G1126)-T1126)/M1126,""))</f>
        <v/>
      </c>
      <c r="P1126" s="50">
        <f>IFERROR((I1126/T1126-1)/N1126,"")</f>
        <v/>
      </c>
      <c r="Q1126" s="46">
        <f>IF(OR(T1126="",I1126&lt;T1126),"",IFERROR(R1126/IF(G1126="",I1126,G1126)-1,""))</f>
        <v/>
      </c>
      <c r="R1126" s="48">
        <f>IF($M1126="","",MAX(IF($G1126="",$I1126,$G1126)*(1/1.1),IF($G1126="",$I1126,$G1126)+(R$2*$M1126)))</f>
        <v/>
      </c>
      <c r="S1126" s="49">
        <f>IF($M1126="","",MAX(IF($G1126="",$I1126,$G1126)*(1/1.1),IF($G1126="",$I1126,$G1126)+(S$2*$M1126)))</f>
        <v/>
      </c>
      <c r="T1126" s="82" t="n"/>
      <c r="U1126" s="47">
        <f>IF(OR($M1126="",$T1126=""),"",$T1126+(U$2*$M1126))</f>
        <v/>
      </c>
      <c r="V1126" s="48">
        <f>IF(OR($M1126="",$T1126=""),"",$T1126+(V$2*$M1126))</f>
        <v/>
      </c>
      <c r="W1126" s="48">
        <f>IF(OR($M1126="",$T1126=""),"",$T1126+(W$2*$M1126))</f>
        <v/>
      </c>
      <c r="X1126" s="49">
        <f>IF(OR($M1126="",$T1126=""),"",$T1126+(X$2*$M1126))</f>
        <v/>
      </c>
      <c r="Y1126" s="47">
        <f>IF(OR($M1126="",$T1126=""),"",$T1126+(Y$2*$M1126))</f>
        <v/>
      </c>
      <c r="Z1126" s="49">
        <f>IF(OR($M1126="",$T1126=""),"",$T1126+(Z$2*$M1126))</f>
        <v/>
      </c>
      <c r="AA1126" s="51">
        <f>IF(OR($M1126="",$T1126=""),"",$T1126+(AA$2*$M1126))</f>
        <v/>
      </c>
      <c r="AB1126" s="48">
        <f>IF(OR($M1126="",$T1126=""),"",$T1126+(AB$2*$M1126))</f>
        <v/>
      </c>
      <c r="AC1126" s="48">
        <f>IF(OR($M1126="",$T1126=""),"",$T1126+(AC$2*$M1126))</f>
        <v/>
      </c>
      <c r="AD1126" s="48">
        <f>IF(OR($M1126="",$T1126=""),"",$T1126+(AD$2*$M1126))</f>
        <v/>
      </c>
      <c r="AE1126" s="49">
        <f>IF(OR($M1126="",$T1126=""),"",$T1126+(AE$2*$M1126))</f>
        <v/>
      </c>
      <c r="AF1126" s="52">
        <f>IF(OR(T1126="",I1126&lt;T1126),"",IFERROR(AVERAGE(T1126+M1126*{7,8,9,10,11})/IF(G1126="",I1126,G1126)-1,""))</f>
        <v/>
      </c>
      <c r="AG1126" s="55">
        <f>IF(OR(T1126="",I1126&lt;T1126),"",IFERROR(AF1126/-(R1126/IF(G1126="",I1126,G1126)-1),""))</f>
        <v/>
      </c>
      <c r="AH1126" s="94" t="n"/>
      <c r="AI1126" s="94" t="n"/>
      <c r="AJ1126" s="94" t="n"/>
      <c r="AK1126" s="94" t="n"/>
      <c r="AL1126" s="84" t="n"/>
    </row>
    <row r="1127">
      <c r="A1127" s="64" t="n"/>
      <c r="B1127" s="65" t="n"/>
      <c r="C1127" s="66" t="n"/>
      <c r="D1127" s="67" t="n"/>
      <c r="E1127" s="68" t="n"/>
      <c r="F1127" s="47">
        <f>IF(A1127="","",IF(MIN(H1127,MAX(J1127:K1127))=0,"",MIN(H1127,MAX(J1127:K1127))))</f>
        <v/>
      </c>
      <c r="G1127" s="74" t="n"/>
      <c r="H1127" s="49">
        <f>IF(M1127="","",IFERROR(ROUND(AVERAGE(T1127+M1127*{7,8,9,10,11})/1.21,4),""))</f>
        <v/>
      </c>
      <c r="I1127" s="76" t="n"/>
      <c r="J1127" s="77" t="n"/>
      <c r="K1127" s="74" t="n"/>
      <c r="L1127" s="78" t="n"/>
      <c r="M1127" s="77" t="n"/>
      <c r="N1127" s="53">
        <f>IF(M1127="","",IFERROR(M1127/I1127,""))</f>
        <v/>
      </c>
      <c r="O1127" s="50">
        <f>IF(A1127="","",IFERROR((IF(G1127="",I1127,G1127)-T1127)/M1127,""))</f>
        <v/>
      </c>
      <c r="P1127" s="50">
        <f>IFERROR((I1127/T1127-1)/N1127,"")</f>
        <v/>
      </c>
      <c r="Q1127" s="46">
        <f>IF(OR(T1127="",I1127&lt;T1127),"",IFERROR(R1127/IF(G1127="",I1127,G1127)-1,""))</f>
        <v/>
      </c>
      <c r="R1127" s="48">
        <f>IF($M1127="","",MAX(IF($G1127="",$I1127,$G1127)*(1/1.1),IF($G1127="",$I1127,$G1127)+(R$2*$M1127)))</f>
        <v/>
      </c>
      <c r="S1127" s="49">
        <f>IF($M1127="","",MAX(IF($G1127="",$I1127,$G1127)*(1/1.1),IF($G1127="",$I1127,$G1127)+(S$2*$M1127)))</f>
        <v/>
      </c>
      <c r="T1127" s="82" t="n"/>
      <c r="U1127" s="47">
        <f>IF(OR($M1127="",$T1127=""),"",$T1127+(U$2*$M1127))</f>
        <v/>
      </c>
      <c r="V1127" s="48">
        <f>IF(OR($M1127="",$T1127=""),"",$T1127+(V$2*$M1127))</f>
        <v/>
      </c>
      <c r="W1127" s="48">
        <f>IF(OR($M1127="",$T1127=""),"",$T1127+(W$2*$M1127))</f>
        <v/>
      </c>
      <c r="X1127" s="49">
        <f>IF(OR($M1127="",$T1127=""),"",$T1127+(X$2*$M1127))</f>
        <v/>
      </c>
      <c r="Y1127" s="47">
        <f>IF(OR($M1127="",$T1127=""),"",$T1127+(Y$2*$M1127))</f>
        <v/>
      </c>
      <c r="Z1127" s="49">
        <f>IF(OR($M1127="",$T1127=""),"",$T1127+(Z$2*$M1127))</f>
        <v/>
      </c>
      <c r="AA1127" s="51">
        <f>IF(OR($M1127="",$T1127=""),"",$T1127+(AA$2*$M1127))</f>
        <v/>
      </c>
      <c r="AB1127" s="48">
        <f>IF(OR($M1127="",$T1127=""),"",$T1127+(AB$2*$M1127))</f>
        <v/>
      </c>
      <c r="AC1127" s="48">
        <f>IF(OR($M1127="",$T1127=""),"",$T1127+(AC$2*$M1127))</f>
        <v/>
      </c>
      <c r="AD1127" s="48">
        <f>IF(OR($M1127="",$T1127=""),"",$T1127+(AD$2*$M1127))</f>
        <v/>
      </c>
      <c r="AE1127" s="49">
        <f>IF(OR($M1127="",$T1127=""),"",$T1127+(AE$2*$M1127))</f>
        <v/>
      </c>
      <c r="AF1127" s="52">
        <f>IF(OR(T1127="",I1127&lt;T1127),"",IFERROR(AVERAGE(T1127+M1127*{7,8,9,10,11})/IF(G1127="",I1127,G1127)-1,""))</f>
        <v/>
      </c>
      <c r="AG1127" s="55">
        <f>IF(OR(T1127="",I1127&lt;T1127),"",IFERROR(AF1127/-(R1127/IF(G1127="",I1127,G1127)-1),""))</f>
        <v/>
      </c>
      <c r="AH1127" s="94" t="n"/>
      <c r="AI1127" s="94" t="n"/>
      <c r="AJ1127" s="94" t="n"/>
      <c r="AK1127" s="94" t="n"/>
      <c r="AL1127" s="84" t="n"/>
    </row>
    <row r="1128">
      <c r="A1128" s="64" t="n"/>
      <c r="B1128" s="65" t="n"/>
      <c r="C1128" s="66" t="n"/>
      <c r="D1128" s="67" t="n"/>
      <c r="E1128" s="68" t="n"/>
      <c r="F1128" s="47">
        <f>IF(A1128="","",IF(MIN(H1128,MAX(J1128:K1128))=0,"",MIN(H1128,MAX(J1128:K1128))))</f>
        <v/>
      </c>
      <c r="G1128" s="74" t="n"/>
      <c r="H1128" s="49">
        <f>IF(M1128="","",IFERROR(ROUND(AVERAGE(T1128+M1128*{7,8,9,10,11})/1.21,4),""))</f>
        <v/>
      </c>
      <c r="I1128" s="76" t="n"/>
      <c r="J1128" s="77" t="n"/>
      <c r="K1128" s="74" t="n"/>
      <c r="L1128" s="78" t="n"/>
      <c r="M1128" s="77" t="n"/>
      <c r="N1128" s="53">
        <f>IF(M1128="","",IFERROR(M1128/I1128,""))</f>
        <v/>
      </c>
      <c r="O1128" s="50">
        <f>IF(A1128="","",IFERROR((IF(G1128="",I1128,G1128)-T1128)/M1128,""))</f>
        <v/>
      </c>
      <c r="P1128" s="50">
        <f>IFERROR((I1128/T1128-1)/N1128,"")</f>
        <v/>
      </c>
      <c r="Q1128" s="46">
        <f>IF(OR(T1128="",I1128&lt;T1128),"",IFERROR(R1128/IF(G1128="",I1128,G1128)-1,""))</f>
        <v/>
      </c>
      <c r="R1128" s="48">
        <f>IF($M1128="","",MAX(IF($G1128="",$I1128,$G1128)*(1/1.1),IF($G1128="",$I1128,$G1128)+(R$2*$M1128)))</f>
        <v/>
      </c>
      <c r="S1128" s="49">
        <f>IF($M1128="","",MAX(IF($G1128="",$I1128,$G1128)*(1/1.1),IF($G1128="",$I1128,$G1128)+(S$2*$M1128)))</f>
        <v/>
      </c>
      <c r="T1128" s="82" t="n"/>
      <c r="U1128" s="47">
        <f>IF(OR($M1128="",$T1128=""),"",$T1128+(U$2*$M1128))</f>
        <v/>
      </c>
      <c r="V1128" s="48">
        <f>IF(OR($M1128="",$T1128=""),"",$T1128+(V$2*$M1128))</f>
        <v/>
      </c>
      <c r="W1128" s="48">
        <f>IF(OR($M1128="",$T1128=""),"",$T1128+(W$2*$M1128))</f>
        <v/>
      </c>
      <c r="X1128" s="49">
        <f>IF(OR($M1128="",$T1128=""),"",$T1128+(X$2*$M1128))</f>
        <v/>
      </c>
      <c r="Y1128" s="47">
        <f>IF(OR($M1128="",$T1128=""),"",$T1128+(Y$2*$M1128))</f>
        <v/>
      </c>
      <c r="Z1128" s="49">
        <f>IF(OR($M1128="",$T1128=""),"",$T1128+(Z$2*$M1128))</f>
        <v/>
      </c>
      <c r="AA1128" s="51">
        <f>IF(OR($M1128="",$T1128=""),"",$T1128+(AA$2*$M1128))</f>
        <v/>
      </c>
      <c r="AB1128" s="48">
        <f>IF(OR($M1128="",$T1128=""),"",$T1128+(AB$2*$M1128))</f>
        <v/>
      </c>
      <c r="AC1128" s="48">
        <f>IF(OR($M1128="",$T1128=""),"",$T1128+(AC$2*$M1128))</f>
        <v/>
      </c>
      <c r="AD1128" s="48">
        <f>IF(OR($M1128="",$T1128=""),"",$T1128+(AD$2*$M1128))</f>
        <v/>
      </c>
      <c r="AE1128" s="49">
        <f>IF(OR($M1128="",$T1128=""),"",$T1128+(AE$2*$M1128))</f>
        <v/>
      </c>
      <c r="AF1128" s="52">
        <f>IF(OR(T1128="",I1128&lt;T1128),"",IFERROR(AVERAGE(T1128+M1128*{7,8,9,10,11})/IF(G1128="",I1128,G1128)-1,""))</f>
        <v/>
      </c>
      <c r="AG1128" s="55">
        <f>IF(OR(T1128="",I1128&lt;T1128),"",IFERROR(AF1128/-(R1128/IF(G1128="",I1128,G1128)-1),""))</f>
        <v/>
      </c>
      <c r="AH1128" s="94" t="n"/>
      <c r="AI1128" s="94" t="n"/>
      <c r="AJ1128" s="94" t="n"/>
      <c r="AK1128" s="94" t="n"/>
      <c r="AL1128" s="84" t="n"/>
    </row>
    <row r="1129">
      <c r="A1129" s="64" t="n"/>
      <c r="B1129" s="65" t="n"/>
      <c r="C1129" s="66" t="n"/>
      <c r="D1129" s="67" t="n"/>
      <c r="E1129" s="68" t="n"/>
      <c r="F1129" s="47">
        <f>IF(A1129="","",IF(MIN(H1129,MAX(J1129:K1129))=0,"",MIN(H1129,MAX(J1129:K1129))))</f>
        <v/>
      </c>
      <c r="G1129" s="74" t="n"/>
      <c r="H1129" s="49">
        <f>IF(M1129="","",IFERROR(ROUND(AVERAGE(T1129+M1129*{7,8,9,10,11})/1.21,4),""))</f>
        <v/>
      </c>
      <c r="I1129" s="76" t="n"/>
      <c r="J1129" s="77" t="n"/>
      <c r="K1129" s="74" t="n"/>
      <c r="L1129" s="78" t="n"/>
      <c r="M1129" s="77" t="n"/>
      <c r="N1129" s="53">
        <f>IF(M1129="","",IFERROR(M1129/I1129,""))</f>
        <v/>
      </c>
      <c r="O1129" s="50">
        <f>IF(A1129="","",IFERROR((IF(G1129="",I1129,G1129)-T1129)/M1129,""))</f>
        <v/>
      </c>
      <c r="P1129" s="50">
        <f>IFERROR((I1129/T1129-1)/N1129,"")</f>
        <v/>
      </c>
      <c r="Q1129" s="46">
        <f>IF(OR(T1129="",I1129&lt;T1129),"",IFERROR(R1129/IF(G1129="",I1129,G1129)-1,""))</f>
        <v/>
      </c>
      <c r="R1129" s="48">
        <f>IF($M1129="","",MAX(IF($G1129="",$I1129,$G1129)*(1/1.1),IF($G1129="",$I1129,$G1129)+(R$2*$M1129)))</f>
        <v/>
      </c>
      <c r="S1129" s="49">
        <f>IF($M1129="","",MAX(IF($G1129="",$I1129,$G1129)*(1/1.1),IF($G1129="",$I1129,$G1129)+(S$2*$M1129)))</f>
        <v/>
      </c>
      <c r="T1129" s="82" t="n"/>
      <c r="U1129" s="47">
        <f>IF(OR($M1129="",$T1129=""),"",$T1129+(U$2*$M1129))</f>
        <v/>
      </c>
      <c r="V1129" s="48">
        <f>IF(OR($M1129="",$T1129=""),"",$T1129+(V$2*$M1129))</f>
        <v/>
      </c>
      <c r="W1129" s="48">
        <f>IF(OR($M1129="",$T1129=""),"",$T1129+(W$2*$M1129))</f>
        <v/>
      </c>
      <c r="X1129" s="49">
        <f>IF(OR($M1129="",$T1129=""),"",$T1129+(X$2*$M1129))</f>
        <v/>
      </c>
      <c r="Y1129" s="47">
        <f>IF(OR($M1129="",$T1129=""),"",$T1129+(Y$2*$M1129))</f>
        <v/>
      </c>
      <c r="Z1129" s="49">
        <f>IF(OR($M1129="",$T1129=""),"",$T1129+(Z$2*$M1129))</f>
        <v/>
      </c>
      <c r="AA1129" s="51">
        <f>IF(OR($M1129="",$T1129=""),"",$T1129+(AA$2*$M1129))</f>
        <v/>
      </c>
      <c r="AB1129" s="48">
        <f>IF(OR($M1129="",$T1129=""),"",$T1129+(AB$2*$M1129))</f>
        <v/>
      </c>
      <c r="AC1129" s="48">
        <f>IF(OR($M1129="",$T1129=""),"",$T1129+(AC$2*$M1129))</f>
        <v/>
      </c>
      <c r="AD1129" s="48">
        <f>IF(OR($M1129="",$T1129=""),"",$T1129+(AD$2*$M1129))</f>
        <v/>
      </c>
      <c r="AE1129" s="49">
        <f>IF(OR($M1129="",$T1129=""),"",$T1129+(AE$2*$M1129))</f>
        <v/>
      </c>
      <c r="AF1129" s="52">
        <f>IF(OR(T1129="",I1129&lt;T1129),"",IFERROR(AVERAGE(T1129+M1129*{7,8,9,10,11})/IF(G1129="",I1129,G1129)-1,""))</f>
        <v/>
      </c>
      <c r="AG1129" s="55">
        <f>IF(OR(T1129="",I1129&lt;T1129),"",IFERROR(AF1129/-(R1129/IF(G1129="",I1129,G1129)-1),""))</f>
        <v/>
      </c>
      <c r="AH1129" s="94" t="n"/>
      <c r="AI1129" s="94" t="n"/>
      <c r="AJ1129" s="94" t="n"/>
      <c r="AK1129" s="94" t="n"/>
      <c r="AL1129" s="84" t="n"/>
    </row>
    <row r="1130">
      <c r="A1130" s="64" t="n"/>
      <c r="B1130" s="65" t="n"/>
      <c r="C1130" s="66" t="n"/>
      <c r="D1130" s="67" t="n"/>
      <c r="E1130" s="68" t="n"/>
      <c r="F1130" s="47">
        <f>IF(A1130="","",IF(MIN(H1130,MAX(J1130:K1130))=0,"",MIN(H1130,MAX(J1130:K1130))))</f>
        <v/>
      </c>
      <c r="G1130" s="74" t="n"/>
      <c r="H1130" s="49">
        <f>IF(M1130="","",IFERROR(ROUND(AVERAGE(T1130+M1130*{7,8,9,10,11})/1.21,4),""))</f>
        <v/>
      </c>
      <c r="I1130" s="76" t="n"/>
      <c r="J1130" s="77" t="n"/>
      <c r="K1130" s="74" t="n"/>
      <c r="L1130" s="78" t="n"/>
      <c r="M1130" s="77" t="n"/>
      <c r="N1130" s="53">
        <f>IF(M1130="","",IFERROR(M1130/I1130,""))</f>
        <v/>
      </c>
      <c r="O1130" s="50">
        <f>IF(A1130="","",IFERROR((IF(G1130="",I1130,G1130)-T1130)/M1130,""))</f>
        <v/>
      </c>
      <c r="P1130" s="50">
        <f>IFERROR((I1130/T1130-1)/N1130,"")</f>
        <v/>
      </c>
      <c r="Q1130" s="46">
        <f>IF(OR(T1130="",I1130&lt;T1130),"",IFERROR(R1130/IF(G1130="",I1130,G1130)-1,""))</f>
        <v/>
      </c>
      <c r="R1130" s="48">
        <f>IF($M1130="","",MAX(IF($G1130="",$I1130,$G1130)*(1/1.1),IF($G1130="",$I1130,$G1130)+(R$2*$M1130)))</f>
        <v/>
      </c>
      <c r="S1130" s="49">
        <f>IF($M1130="","",MAX(IF($G1130="",$I1130,$G1130)*(1/1.1),IF($G1130="",$I1130,$G1130)+(S$2*$M1130)))</f>
        <v/>
      </c>
      <c r="T1130" s="82" t="n"/>
      <c r="U1130" s="47">
        <f>IF(OR($M1130="",$T1130=""),"",$T1130+(U$2*$M1130))</f>
        <v/>
      </c>
      <c r="V1130" s="48">
        <f>IF(OR($M1130="",$T1130=""),"",$T1130+(V$2*$M1130))</f>
        <v/>
      </c>
      <c r="W1130" s="48">
        <f>IF(OR($M1130="",$T1130=""),"",$T1130+(W$2*$M1130))</f>
        <v/>
      </c>
      <c r="X1130" s="49">
        <f>IF(OR($M1130="",$T1130=""),"",$T1130+(X$2*$M1130))</f>
        <v/>
      </c>
      <c r="Y1130" s="47">
        <f>IF(OR($M1130="",$T1130=""),"",$T1130+(Y$2*$M1130))</f>
        <v/>
      </c>
      <c r="Z1130" s="49">
        <f>IF(OR($M1130="",$T1130=""),"",$T1130+(Z$2*$M1130))</f>
        <v/>
      </c>
      <c r="AA1130" s="51">
        <f>IF(OR($M1130="",$T1130=""),"",$T1130+(AA$2*$M1130))</f>
        <v/>
      </c>
      <c r="AB1130" s="48">
        <f>IF(OR($M1130="",$T1130=""),"",$T1130+(AB$2*$M1130))</f>
        <v/>
      </c>
      <c r="AC1130" s="48">
        <f>IF(OR($M1130="",$T1130=""),"",$T1130+(AC$2*$M1130))</f>
        <v/>
      </c>
      <c r="AD1130" s="48">
        <f>IF(OR($M1130="",$T1130=""),"",$T1130+(AD$2*$M1130))</f>
        <v/>
      </c>
      <c r="AE1130" s="49">
        <f>IF(OR($M1130="",$T1130=""),"",$T1130+(AE$2*$M1130))</f>
        <v/>
      </c>
      <c r="AF1130" s="52">
        <f>IF(OR(T1130="",I1130&lt;T1130),"",IFERROR(AVERAGE(T1130+M1130*{7,8,9,10,11})/IF(G1130="",I1130,G1130)-1,""))</f>
        <v/>
      </c>
      <c r="AG1130" s="55">
        <f>IF(OR(T1130="",I1130&lt;T1130),"",IFERROR(AF1130/-(R1130/IF(G1130="",I1130,G1130)-1),""))</f>
        <v/>
      </c>
      <c r="AH1130" s="94" t="n"/>
      <c r="AI1130" s="94" t="n"/>
      <c r="AJ1130" s="94" t="n"/>
      <c r="AK1130" s="94" t="n"/>
      <c r="AL1130" s="84" t="n"/>
    </row>
    <row r="1131">
      <c r="A1131" s="64" t="n"/>
      <c r="B1131" s="65" t="n"/>
      <c r="C1131" s="66" t="n"/>
      <c r="D1131" s="67" t="n"/>
      <c r="E1131" s="68" t="n"/>
      <c r="F1131" s="47">
        <f>IF(A1131="","",IF(MIN(H1131,MAX(J1131:K1131))=0,"",MIN(H1131,MAX(J1131:K1131))))</f>
        <v/>
      </c>
      <c r="G1131" s="74" t="n"/>
      <c r="H1131" s="49">
        <f>IF(M1131="","",IFERROR(ROUND(AVERAGE(T1131+M1131*{7,8,9,10,11})/1.21,4),""))</f>
        <v/>
      </c>
      <c r="I1131" s="76" t="n"/>
      <c r="J1131" s="77" t="n"/>
      <c r="K1131" s="74" t="n"/>
      <c r="L1131" s="78" t="n"/>
      <c r="M1131" s="77" t="n"/>
      <c r="N1131" s="53">
        <f>IF(M1131="","",IFERROR(M1131/I1131,""))</f>
        <v/>
      </c>
      <c r="O1131" s="50">
        <f>IF(A1131="","",IFERROR((IF(G1131="",I1131,G1131)-T1131)/M1131,""))</f>
        <v/>
      </c>
      <c r="P1131" s="50">
        <f>IFERROR((I1131/T1131-1)/N1131,"")</f>
        <v/>
      </c>
      <c r="Q1131" s="46">
        <f>IF(OR(T1131="",I1131&lt;T1131),"",IFERROR(R1131/IF(G1131="",I1131,G1131)-1,""))</f>
        <v/>
      </c>
      <c r="R1131" s="48">
        <f>IF($M1131="","",MAX(IF($G1131="",$I1131,$G1131)*(1/1.1),IF($G1131="",$I1131,$G1131)+(R$2*$M1131)))</f>
        <v/>
      </c>
      <c r="S1131" s="49">
        <f>IF($M1131="","",MAX(IF($G1131="",$I1131,$G1131)*(1/1.1),IF($G1131="",$I1131,$G1131)+(S$2*$M1131)))</f>
        <v/>
      </c>
      <c r="T1131" s="82" t="n"/>
      <c r="U1131" s="47">
        <f>IF(OR($M1131="",$T1131=""),"",$T1131+(U$2*$M1131))</f>
        <v/>
      </c>
      <c r="V1131" s="48">
        <f>IF(OR($M1131="",$T1131=""),"",$T1131+(V$2*$M1131))</f>
        <v/>
      </c>
      <c r="W1131" s="48">
        <f>IF(OR($M1131="",$T1131=""),"",$T1131+(W$2*$M1131))</f>
        <v/>
      </c>
      <c r="X1131" s="49">
        <f>IF(OR($M1131="",$T1131=""),"",$T1131+(X$2*$M1131))</f>
        <v/>
      </c>
      <c r="Y1131" s="47">
        <f>IF(OR($M1131="",$T1131=""),"",$T1131+(Y$2*$M1131))</f>
        <v/>
      </c>
      <c r="Z1131" s="49">
        <f>IF(OR($M1131="",$T1131=""),"",$T1131+(Z$2*$M1131))</f>
        <v/>
      </c>
      <c r="AA1131" s="51">
        <f>IF(OR($M1131="",$T1131=""),"",$T1131+(AA$2*$M1131))</f>
        <v/>
      </c>
      <c r="AB1131" s="48">
        <f>IF(OR($M1131="",$T1131=""),"",$T1131+(AB$2*$M1131))</f>
        <v/>
      </c>
      <c r="AC1131" s="48">
        <f>IF(OR($M1131="",$T1131=""),"",$T1131+(AC$2*$M1131))</f>
        <v/>
      </c>
      <c r="AD1131" s="48">
        <f>IF(OR($M1131="",$T1131=""),"",$T1131+(AD$2*$M1131))</f>
        <v/>
      </c>
      <c r="AE1131" s="49">
        <f>IF(OR($M1131="",$T1131=""),"",$T1131+(AE$2*$M1131))</f>
        <v/>
      </c>
      <c r="AF1131" s="52">
        <f>IF(OR(T1131="",I1131&lt;T1131),"",IFERROR(AVERAGE(T1131+M1131*{7,8,9,10,11})/IF(G1131="",I1131,G1131)-1,""))</f>
        <v/>
      </c>
      <c r="AG1131" s="55">
        <f>IF(OR(T1131="",I1131&lt;T1131),"",IFERROR(AF1131/-(R1131/IF(G1131="",I1131,G1131)-1),""))</f>
        <v/>
      </c>
      <c r="AH1131" s="94" t="n"/>
      <c r="AI1131" s="94" t="n"/>
      <c r="AJ1131" s="94" t="n"/>
      <c r="AK1131" s="94" t="n"/>
      <c r="AL1131" s="84" t="n"/>
    </row>
    <row r="1132">
      <c r="A1132" s="64" t="n"/>
      <c r="B1132" s="65" t="n"/>
      <c r="C1132" s="66" t="n"/>
      <c r="D1132" s="67" t="n"/>
      <c r="E1132" s="68" t="n"/>
      <c r="F1132" s="47">
        <f>IF(A1132="","",IF(MIN(H1132,MAX(J1132:K1132))=0,"",MIN(H1132,MAX(J1132:K1132))))</f>
        <v/>
      </c>
      <c r="G1132" s="74" t="n"/>
      <c r="H1132" s="49">
        <f>IF(M1132="","",IFERROR(ROUND(AVERAGE(T1132+M1132*{7,8,9,10,11})/1.21,4),""))</f>
        <v/>
      </c>
      <c r="I1132" s="76" t="n"/>
      <c r="J1132" s="77" t="n"/>
      <c r="K1132" s="74" t="n"/>
      <c r="L1132" s="78" t="n"/>
      <c r="M1132" s="77" t="n"/>
      <c r="N1132" s="53">
        <f>IF(M1132="","",IFERROR(M1132/I1132,""))</f>
        <v/>
      </c>
      <c r="O1132" s="50">
        <f>IF(A1132="","",IFERROR((IF(G1132="",I1132,G1132)-T1132)/M1132,""))</f>
        <v/>
      </c>
      <c r="P1132" s="50">
        <f>IFERROR((I1132/T1132-1)/N1132,"")</f>
        <v/>
      </c>
      <c r="Q1132" s="46">
        <f>IF(OR(T1132="",I1132&lt;T1132),"",IFERROR(R1132/IF(G1132="",I1132,G1132)-1,""))</f>
        <v/>
      </c>
      <c r="R1132" s="48">
        <f>IF($M1132="","",MAX(IF($G1132="",$I1132,$G1132)*(1/1.1),IF($G1132="",$I1132,$G1132)+(R$2*$M1132)))</f>
        <v/>
      </c>
      <c r="S1132" s="49">
        <f>IF($M1132="","",MAX(IF($G1132="",$I1132,$G1132)*(1/1.1),IF($G1132="",$I1132,$G1132)+(S$2*$M1132)))</f>
        <v/>
      </c>
      <c r="T1132" s="82" t="n"/>
      <c r="U1132" s="47">
        <f>IF(OR($M1132="",$T1132=""),"",$T1132+(U$2*$M1132))</f>
        <v/>
      </c>
      <c r="V1132" s="48">
        <f>IF(OR($M1132="",$T1132=""),"",$T1132+(V$2*$M1132))</f>
        <v/>
      </c>
      <c r="W1132" s="48">
        <f>IF(OR($M1132="",$T1132=""),"",$T1132+(W$2*$M1132))</f>
        <v/>
      </c>
      <c r="X1132" s="49">
        <f>IF(OR($M1132="",$T1132=""),"",$T1132+(X$2*$M1132))</f>
        <v/>
      </c>
      <c r="Y1132" s="47">
        <f>IF(OR($M1132="",$T1132=""),"",$T1132+(Y$2*$M1132))</f>
        <v/>
      </c>
      <c r="Z1132" s="49">
        <f>IF(OR($M1132="",$T1132=""),"",$T1132+(Z$2*$M1132))</f>
        <v/>
      </c>
      <c r="AA1132" s="51">
        <f>IF(OR($M1132="",$T1132=""),"",$T1132+(AA$2*$M1132))</f>
        <v/>
      </c>
      <c r="AB1132" s="48">
        <f>IF(OR($M1132="",$T1132=""),"",$T1132+(AB$2*$M1132))</f>
        <v/>
      </c>
      <c r="AC1132" s="48">
        <f>IF(OR($M1132="",$T1132=""),"",$T1132+(AC$2*$M1132))</f>
        <v/>
      </c>
      <c r="AD1132" s="48">
        <f>IF(OR($M1132="",$T1132=""),"",$T1132+(AD$2*$M1132))</f>
        <v/>
      </c>
      <c r="AE1132" s="49">
        <f>IF(OR($M1132="",$T1132=""),"",$T1132+(AE$2*$M1132))</f>
        <v/>
      </c>
      <c r="AF1132" s="52">
        <f>IF(OR(T1132="",I1132&lt;T1132),"",IFERROR(AVERAGE(T1132+M1132*{7,8,9,10,11})/IF(G1132="",I1132,G1132)-1,""))</f>
        <v/>
      </c>
      <c r="AG1132" s="55">
        <f>IF(OR(T1132="",I1132&lt;T1132),"",IFERROR(AF1132/-(R1132/IF(G1132="",I1132,G1132)-1),""))</f>
        <v/>
      </c>
      <c r="AH1132" s="94" t="n"/>
      <c r="AI1132" s="94" t="n"/>
      <c r="AJ1132" s="94" t="n"/>
      <c r="AK1132" s="94" t="n"/>
      <c r="AL1132" s="84" t="n"/>
    </row>
    <row r="1133">
      <c r="A1133" s="64" t="n"/>
      <c r="B1133" s="65" t="n"/>
      <c r="C1133" s="66" t="n"/>
      <c r="D1133" s="67" t="n"/>
      <c r="E1133" s="68" t="n"/>
      <c r="F1133" s="47">
        <f>IF(A1133="","",IF(MIN(H1133,MAX(J1133:K1133))=0,"",MIN(H1133,MAX(J1133:K1133))))</f>
        <v/>
      </c>
      <c r="G1133" s="74" t="n"/>
      <c r="H1133" s="49">
        <f>IF(M1133="","",IFERROR(ROUND(AVERAGE(T1133+M1133*{7,8,9,10,11})/1.21,4),""))</f>
        <v/>
      </c>
      <c r="I1133" s="76" t="n"/>
      <c r="J1133" s="77" t="n"/>
      <c r="K1133" s="74" t="n"/>
      <c r="L1133" s="78" t="n"/>
      <c r="M1133" s="77" t="n"/>
      <c r="N1133" s="53">
        <f>IF(M1133="","",IFERROR(M1133/I1133,""))</f>
        <v/>
      </c>
      <c r="O1133" s="50">
        <f>IF(A1133="","",IFERROR((IF(G1133="",I1133,G1133)-T1133)/M1133,""))</f>
        <v/>
      </c>
      <c r="P1133" s="50">
        <f>IFERROR((I1133/T1133-1)/N1133,"")</f>
        <v/>
      </c>
      <c r="Q1133" s="46">
        <f>IF(OR(T1133="",I1133&lt;T1133),"",IFERROR(R1133/IF(G1133="",I1133,G1133)-1,""))</f>
        <v/>
      </c>
      <c r="R1133" s="48">
        <f>IF($M1133="","",MAX(IF($G1133="",$I1133,$G1133)*(1/1.1),IF($G1133="",$I1133,$G1133)+(R$2*$M1133)))</f>
        <v/>
      </c>
      <c r="S1133" s="49">
        <f>IF($M1133="","",MAX(IF($G1133="",$I1133,$G1133)*(1/1.1),IF($G1133="",$I1133,$G1133)+(S$2*$M1133)))</f>
        <v/>
      </c>
      <c r="T1133" s="82" t="n"/>
      <c r="U1133" s="47">
        <f>IF(OR($M1133="",$T1133=""),"",$T1133+(U$2*$M1133))</f>
        <v/>
      </c>
      <c r="V1133" s="48">
        <f>IF(OR($M1133="",$T1133=""),"",$T1133+(V$2*$M1133))</f>
        <v/>
      </c>
      <c r="W1133" s="48">
        <f>IF(OR($M1133="",$T1133=""),"",$T1133+(W$2*$M1133))</f>
        <v/>
      </c>
      <c r="X1133" s="49">
        <f>IF(OR($M1133="",$T1133=""),"",$T1133+(X$2*$M1133))</f>
        <v/>
      </c>
      <c r="Y1133" s="47">
        <f>IF(OR($M1133="",$T1133=""),"",$T1133+(Y$2*$M1133))</f>
        <v/>
      </c>
      <c r="Z1133" s="49">
        <f>IF(OR($M1133="",$T1133=""),"",$T1133+(Z$2*$M1133))</f>
        <v/>
      </c>
      <c r="AA1133" s="51">
        <f>IF(OR($M1133="",$T1133=""),"",$T1133+(AA$2*$M1133))</f>
        <v/>
      </c>
      <c r="AB1133" s="48">
        <f>IF(OR($M1133="",$T1133=""),"",$T1133+(AB$2*$M1133))</f>
        <v/>
      </c>
      <c r="AC1133" s="48">
        <f>IF(OR($M1133="",$T1133=""),"",$T1133+(AC$2*$M1133))</f>
        <v/>
      </c>
      <c r="AD1133" s="48">
        <f>IF(OR($M1133="",$T1133=""),"",$T1133+(AD$2*$M1133))</f>
        <v/>
      </c>
      <c r="AE1133" s="49">
        <f>IF(OR($M1133="",$T1133=""),"",$T1133+(AE$2*$M1133))</f>
        <v/>
      </c>
      <c r="AF1133" s="52">
        <f>IF(OR(T1133="",I1133&lt;T1133),"",IFERROR(AVERAGE(T1133+M1133*{7,8,9,10,11})/IF(G1133="",I1133,G1133)-1,""))</f>
        <v/>
      </c>
      <c r="AG1133" s="55">
        <f>IF(OR(T1133="",I1133&lt;T1133),"",IFERROR(AF1133/-(R1133/IF(G1133="",I1133,G1133)-1),""))</f>
        <v/>
      </c>
      <c r="AH1133" s="94" t="n"/>
      <c r="AI1133" s="94" t="n"/>
      <c r="AJ1133" s="94" t="n"/>
      <c r="AK1133" s="94" t="n"/>
      <c r="AL1133" s="84" t="n"/>
    </row>
    <row r="1134">
      <c r="A1134" s="64" t="n"/>
      <c r="B1134" s="65" t="n"/>
      <c r="C1134" s="66" t="n"/>
      <c r="D1134" s="67" t="n"/>
      <c r="E1134" s="68" t="n"/>
      <c r="F1134" s="47">
        <f>IF(A1134="","",IF(MIN(H1134,MAX(J1134:K1134))=0,"",MIN(H1134,MAX(J1134:K1134))))</f>
        <v/>
      </c>
      <c r="G1134" s="74" t="n"/>
      <c r="H1134" s="49">
        <f>IF(M1134="","",IFERROR(ROUND(AVERAGE(T1134+M1134*{7,8,9,10,11})/1.21,4),""))</f>
        <v/>
      </c>
      <c r="I1134" s="76" t="n"/>
      <c r="J1134" s="77" t="n"/>
      <c r="K1134" s="74" t="n"/>
      <c r="L1134" s="78" t="n"/>
      <c r="M1134" s="77" t="n"/>
      <c r="N1134" s="53">
        <f>IF(M1134="","",IFERROR(M1134/I1134,""))</f>
        <v/>
      </c>
      <c r="O1134" s="50">
        <f>IF(A1134="","",IFERROR((IF(G1134="",I1134,G1134)-T1134)/M1134,""))</f>
        <v/>
      </c>
      <c r="P1134" s="50">
        <f>IFERROR((I1134/T1134-1)/N1134,"")</f>
        <v/>
      </c>
      <c r="Q1134" s="46">
        <f>IF(OR(T1134="",I1134&lt;T1134),"",IFERROR(R1134/IF(G1134="",I1134,G1134)-1,""))</f>
        <v/>
      </c>
      <c r="R1134" s="48">
        <f>IF($M1134="","",MAX(IF($G1134="",$I1134,$G1134)*(1/1.1),IF($G1134="",$I1134,$G1134)+(R$2*$M1134)))</f>
        <v/>
      </c>
      <c r="S1134" s="49">
        <f>IF($M1134="","",MAX(IF($G1134="",$I1134,$G1134)*(1/1.1),IF($G1134="",$I1134,$G1134)+(S$2*$M1134)))</f>
        <v/>
      </c>
      <c r="T1134" s="82" t="n"/>
      <c r="U1134" s="47">
        <f>IF(OR($M1134="",$T1134=""),"",$T1134+(U$2*$M1134))</f>
        <v/>
      </c>
      <c r="V1134" s="48">
        <f>IF(OR($M1134="",$T1134=""),"",$T1134+(V$2*$M1134))</f>
        <v/>
      </c>
      <c r="W1134" s="48">
        <f>IF(OR($M1134="",$T1134=""),"",$T1134+(W$2*$M1134))</f>
        <v/>
      </c>
      <c r="X1134" s="49">
        <f>IF(OR($M1134="",$T1134=""),"",$T1134+(X$2*$M1134))</f>
        <v/>
      </c>
      <c r="Y1134" s="47">
        <f>IF(OR($M1134="",$T1134=""),"",$T1134+(Y$2*$M1134))</f>
        <v/>
      </c>
      <c r="Z1134" s="49">
        <f>IF(OR($M1134="",$T1134=""),"",$T1134+(Z$2*$M1134))</f>
        <v/>
      </c>
      <c r="AA1134" s="51">
        <f>IF(OR($M1134="",$T1134=""),"",$T1134+(AA$2*$M1134))</f>
        <v/>
      </c>
      <c r="AB1134" s="48">
        <f>IF(OR($M1134="",$T1134=""),"",$T1134+(AB$2*$M1134))</f>
        <v/>
      </c>
      <c r="AC1134" s="48">
        <f>IF(OR($M1134="",$T1134=""),"",$T1134+(AC$2*$M1134))</f>
        <v/>
      </c>
      <c r="AD1134" s="48">
        <f>IF(OR($M1134="",$T1134=""),"",$T1134+(AD$2*$M1134))</f>
        <v/>
      </c>
      <c r="AE1134" s="49">
        <f>IF(OR($M1134="",$T1134=""),"",$T1134+(AE$2*$M1134))</f>
        <v/>
      </c>
      <c r="AF1134" s="52">
        <f>IF(OR(T1134="",I1134&lt;T1134),"",IFERROR(AVERAGE(T1134+M1134*{7,8,9,10,11})/IF(G1134="",I1134,G1134)-1,""))</f>
        <v/>
      </c>
      <c r="AG1134" s="55">
        <f>IF(OR(T1134="",I1134&lt;T1134),"",IFERROR(AF1134/-(R1134/IF(G1134="",I1134,G1134)-1),""))</f>
        <v/>
      </c>
      <c r="AH1134" s="94" t="n"/>
      <c r="AI1134" s="94" t="n"/>
      <c r="AJ1134" s="94" t="n"/>
      <c r="AK1134" s="94" t="n"/>
      <c r="AL1134" s="84" t="n"/>
    </row>
    <row r="1135">
      <c r="A1135" s="64" t="n"/>
      <c r="B1135" s="65" t="n"/>
      <c r="C1135" s="66" t="n"/>
      <c r="D1135" s="67" t="n"/>
      <c r="E1135" s="68" t="n"/>
      <c r="F1135" s="47">
        <f>IF(A1135="","",IF(MIN(H1135,MAX(J1135:K1135))=0,"",MIN(H1135,MAX(J1135:K1135))))</f>
        <v/>
      </c>
      <c r="G1135" s="74" t="n"/>
      <c r="H1135" s="49">
        <f>IF(M1135="","",IFERROR(ROUND(AVERAGE(T1135+M1135*{7,8,9,10,11})/1.21,4),""))</f>
        <v/>
      </c>
      <c r="I1135" s="76" t="n"/>
      <c r="J1135" s="77" t="n"/>
      <c r="K1135" s="74" t="n"/>
      <c r="L1135" s="78" t="n"/>
      <c r="M1135" s="77" t="n"/>
      <c r="N1135" s="53">
        <f>IF(M1135="","",IFERROR(M1135/I1135,""))</f>
        <v/>
      </c>
      <c r="O1135" s="50">
        <f>IF(A1135="","",IFERROR((IF(G1135="",I1135,G1135)-T1135)/M1135,""))</f>
        <v/>
      </c>
      <c r="P1135" s="50">
        <f>IFERROR((I1135/T1135-1)/N1135,"")</f>
        <v/>
      </c>
      <c r="Q1135" s="46">
        <f>IF(OR(T1135="",I1135&lt;T1135),"",IFERROR(R1135/IF(G1135="",I1135,G1135)-1,""))</f>
        <v/>
      </c>
      <c r="R1135" s="48">
        <f>IF($M1135="","",MAX(IF($G1135="",$I1135,$G1135)*(1/1.1),IF($G1135="",$I1135,$G1135)+(R$2*$M1135)))</f>
        <v/>
      </c>
      <c r="S1135" s="49">
        <f>IF($M1135="","",MAX(IF($G1135="",$I1135,$G1135)*(1/1.1),IF($G1135="",$I1135,$G1135)+(S$2*$M1135)))</f>
        <v/>
      </c>
      <c r="T1135" s="82" t="n"/>
      <c r="U1135" s="47">
        <f>IF(OR($M1135="",$T1135=""),"",$T1135+(U$2*$M1135))</f>
        <v/>
      </c>
      <c r="V1135" s="48">
        <f>IF(OR($M1135="",$T1135=""),"",$T1135+(V$2*$M1135))</f>
        <v/>
      </c>
      <c r="W1135" s="48">
        <f>IF(OR($M1135="",$T1135=""),"",$T1135+(W$2*$M1135))</f>
        <v/>
      </c>
      <c r="X1135" s="49">
        <f>IF(OR($M1135="",$T1135=""),"",$T1135+(X$2*$M1135))</f>
        <v/>
      </c>
      <c r="Y1135" s="47">
        <f>IF(OR($M1135="",$T1135=""),"",$T1135+(Y$2*$M1135))</f>
        <v/>
      </c>
      <c r="Z1135" s="49">
        <f>IF(OR($M1135="",$T1135=""),"",$T1135+(Z$2*$M1135))</f>
        <v/>
      </c>
      <c r="AA1135" s="51">
        <f>IF(OR($M1135="",$T1135=""),"",$T1135+(AA$2*$M1135))</f>
        <v/>
      </c>
      <c r="AB1135" s="48">
        <f>IF(OR($M1135="",$T1135=""),"",$T1135+(AB$2*$M1135))</f>
        <v/>
      </c>
      <c r="AC1135" s="48">
        <f>IF(OR($M1135="",$T1135=""),"",$T1135+(AC$2*$M1135))</f>
        <v/>
      </c>
      <c r="AD1135" s="48">
        <f>IF(OR($M1135="",$T1135=""),"",$T1135+(AD$2*$M1135))</f>
        <v/>
      </c>
      <c r="AE1135" s="49">
        <f>IF(OR($M1135="",$T1135=""),"",$T1135+(AE$2*$M1135))</f>
        <v/>
      </c>
      <c r="AF1135" s="52">
        <f>IF(OR(T1135="",I1135&lt;T1135),"",IFERROR(AVERAGE(T1135+M1135*{7,8,9,10,11})/IF(G1135="",I1135,G1135)-1,""))</f>
        <v/>
      </c>
      <c r="AG1135" s="55">
        <f>IF(OR(T1135="",I1135&lt;T1135),"",IFERROR(AF1135/-(R1135/IF(G1135="",I1135,G1135)-1),""))</f>
        <v/>
      </c>
      <c r="AH1135" s="94" t="n"/>
      <c r="AI1135" s="94" t="n"/>
      <c r="AJ1135" s="94" t="n"/>
      <c r="AK1135" s="94" t="n"/>
      <c r="AL1135" s="84" t="n"/>
    </row>
    <row r="1136">
      <c r="A1136" s="64" t="n"/>
      <c r="B1136" s="65" t="n"/>
      <c r="C1136" s="66" t="n"/>
      <c r="D1136" s="67" t="n"/>
      <c r="E1136" s="68" t="n"/>
      <c r="F1136" s="47">
        <f>IF(A1136="","",IF(MIN(H1136,MAX(J1136:K1136))=0,"",MIN(H1136,MAX(J1136:K1136))))</f>
        <v/>
      </c>
      <c r="G1136" s="74" t="n"/>
      <c r="H1136" s="49">
        <f>IF(M1136="","",IFERROR(ROUND(AVERAGE(T1136+M1136*{7,8,9,10,11})/1.21,4),""))</f>
        <v/>
      </c>
      <c r="I1136" s="76" t="n"/>
      <c r="J1136" s="77" t="n"/>
      <c r="K1136" s="74" t="n"/>
      <c r="L1136" s="78" t="n"/>
      <c r="M1136" s="77" t="n"/>
      <c r="N1136" s="53">
        <f>IF(M1136="","",IFERROR(M1136/I1136,""))</f>
        <v/>
      </c>
      <c r="O1136" s="50">
        <f>IF(A1136="","",IFERROR((IF(G1136="",I1136,G1136)-T1136)/M1136,""))</f>
        <v/>
      </c>
      <c r="P1136" s="50">
        <f>IFERROR((I1136/T1136-1)/N1136,"")</f>
        <v/>
      </c>
      <c r="Q1136" s="46">
        <f>IF(OR(T1136="",I1136&lt;T1136),"",IFERROR(R1136/IF(G1136="",I1136,G1136)-1,""))</f>
        <v/>
      </c>
      <c r="R1136" s="48">
        <f>IF($M1136="","",MAX(IF($G1136="",$I1136,$G1136)*(1/1.1),IF($G1136="",$I1136,$G1136)+(R$2*$M1136)))</f>
        <v/>
      </c>
      <c r="S1136" s="49">
        <f>IF($M1136="","",MAX(IF($G1136="",$I1136,$G1136)*(1/1.1),IF($G1136="",$I1136,$G1136)+(S$2*$M1136)))</f>
        <v/>
      </c>
      <c r="T1136" s="82" t="n"/>
      <c r="U1136" s="47">
        <f>IF(OR($M1136="",$T1136=""),"",$T1136+(U$2*$M1136))</f>
        <v/>
      </c>
      <c r="V1136" s="48">
        <f>IF(OR($M1136="",$T1136=""),"",$T1136+(V$2*$M1136))</f>
        <v/>
      </c>
      <c r="W1136" s="48">
        <f>IF(OR($M1136="",$T1136=""),"",$T1136+(W$2*$M1136))</f>
        <v/>
      </c>
      <c r="X1136" s="49">
        <f>IF(OR($M1136="",$T1136=""),"",$T1136+(X$2*$M1136))</f>
        <v/>
      </c>
      <c r="Y1136" s="47">
        <f>IF(OR($M1136="",$T1136=""),"",$T1136+(Y$2*$M1136))</f>
        <v/>
      </c>
      <c r="Z1136" s="49">
        <f>IF(OR($M1136="",$T1136=""),"",$T1136+(Z$2*$M1136))</f>
        <v/>
      </c>
      <c r="AA1136" s="51">
        <f>IF(OR($M1136="",$T1136=""),"",$T1136+(AA$2*$M1136))</f>
        <v/>
      </c>
      <c r="AB1136" s="48">
        <f>IF(OR($M1136="",$T1136=""),"",$T1136+(AB$2*$M1136))</f>
        <v/>
      </c>
      <c r="AC1136" s="48">
        <f>IF(OR($M1136="",$T1136=""),"",$T1136+(AC$2*$M1136))</f>
        <v/>
      </c>
      <c r="AD1136" s="48">
        <f>IF(OR($M1136="",$T1136=""),"",$T1136+(AD$2*$M1136))</f>
        <v/>
      </c>
      <c r="AE1136" s="49">
        <f>IF(OR($M1136="",$T1136=""),"",$T1136+(AE$2*$M1136))</f>
        <v/>
      </c>
      <c r="AF1136" s="52">
        <f>IF(OR(T1136="",I1136&lt;T1136),"",IFERROR(AVERAGE(T1136+M1136*{7,8,9,10,11})/IF(G1136="",I1136,G1136)-1,""))</f>
        <v/>
      </c>
      <c r="AG1136" s="55">
        <f>IF(OR(T1136="",I1136&lt;T1136),"",IFERROR(AF1136/-(R1136/IF(G1136="",I1136,G1136)-1),""))</f>
        <v/>
      </c>
      <c r="AH1136" s="94" t="n"/>
      <c r="AI1136" s="94" t="n"/>
      <c r="AJ1136" s="94" t="n"/>
      <c r="AK1136" s="94" t="n"/>
      <c r="AL1136" s="84" t="n"/>
    </row>
    <row r="1137">
      <c r="A1137" s="64" t="n"/>
      <c r="B1137" s="65" t="n"/>
      <c r="C1137" s="66" t="n"/>
      <c r="D1137" s="67" t="n"/>
      <c r="E1137" s="68" t="n"/>
      <c r="F1137" s="47">
        <f>IF(A1137="","",IF(MIN(H1137,MAX(J1137:K1137))=0,"",MIN(H1137,MAX(J1137:K1137))))</f>
        <v/>
      </c>
      <c r="G1137" s="74" t="n"/>
      <c r="H1137" s="49">
        <f>IF(M1137="","",IFERROR(ROUND(AVERAGE(T1137+M1137*{7,8,9,10,11})/1.21,4),""))</f>
        <v/>
      </c>
      <c r="I1137" s="76" t="n"/>
      <c r="J1137" s="77" t="n"/>
      <c r="K1137" s="74" t="n"/>
      <c r="L1137" s="78" t="n"/>
      <c r="M1137" s="77" t="n"/>
      <c r="N1137" s="53">
        <f>IF(M1137="","",IFERROR(M1137/I1137,""))</f>
        <v/>
      </c>
      <c r="O1137" s="50">
        <f>IF(A1137="","",IFERROR((IF(G1137="",I1137,G1137)-T1137)/M1137,""))</f>
        <v/>
      </c>
      <c r="P1137" s="50">
        <f>IFERROR((I1137/T1137-1)/N1137,"")</f>
        <v/>
      </c>
      <c r="Q1137" s="46">
        <f>IF(OR(T1137="",I1137&lt;T1137),"",IFERROR(R1137/IF(G1137="",I1137,G1137)-1,""))</f>
        <v/>
      </c>
      <c r="R1137" s="48">
        <f>IF($M1137="","",MAX(IF($G1137="",$I1137,$G1137)*(1/1.1),IF($G1137="",$I1137,$G1137)+(R$2*$M1137)))</f>
        <v/>
      </c>
      <c r="S1137" s="49">
        <f>IF($M1137="","",MAX(IF($G1137="",$I1137,$G1137)*(1/1.1),IF($G1137="",$I1137,$G1137)+(S$2*$M1137)))</f>
        <v/>
      </c>
      <c r="T1137" s="82" t="n"/>
      <c r="U1137" s="47">
        <f>IF(OR($M1137="",$T1137=""),"",$T1137+(U$2*$M1137))</f>
        <v/>
      </c>
      <c r="V1137" s="48">
        <f>IF(OR($M1137="",$T1137=""),"",$T1137+(V$2*$M1137))</f>
        <v/>
      </c>
      <c r="W1137" s="48">
        <f>IF(OR($M1137="",$T1137=""),"",$T1137+(W$2*$M1137))</f>
        <v/>
      </c>
      <c r="X1137" s="49">
        <f>IF(OR($M1137="",$T1137=""),"",$T1137+(X$2*$M1137))</f>
        <v/>
      </c>
      <c r="Y1137" s="47">
        <f>IF(OR($M1137="",$T1137=""),"",$T1137+(Y$2*$M1137))</f>
        <v/>
      </c>
      <c r="Z1137" s="49">
        <f>IF(OR($M1137="",$T1137=""),"",$T1137+(Z$2*$M1137))</f>
        <v/>
      </c>
      <c r="AA1137" s="51">
        <f>IF(OR($M1137="",$T1137=""),"",$T1137+(AA$2*$M1137))</f>
        <v/>
      </c>
      <c r="AB1137" s="48">
        <f>IF(OR($M1137="",$T1137=""),"",$T1137+(AB$2*$M1137))</f>
        <v/>
      </c>
      <c r="AC1137" s="48">
        <f>IF(OR($M1137="",$T1137=""),"",$T1137+(AC$2*$M1137))</f>
        <v/>
      </c>
      <c r="AD1137" s="48">
        <f>IF(OR($M1137="",$T1137=""),"",$T1137+(AD$2*$M1137))</f>
        <v/>
      </c>
      <c r="AE1137" s="49">
        <f>IF(OR($M1137="",$T1137=""),"",$T1137+(AE$2*$M1137))</f>
        <v/>
      </c>
      <c r="AF1137" s="52">
        <f>IF(OR(T1137="",I1137&lt;T1137),"",IFERROR(AVERAGE(T1137+M1137*{7,8,9,10,11})/IF(G1137="",I1137,G1137)-1,""))</f>
        <v/>
      </c>
      <c r="AG1137" s="55">
        <f>IF(OR(T1137="",I1137&lt;T1137),"",IFERROR(AF1137/-(R1137/IF(G1137="",I1137,G1137)-1),""))</f>
        <v/>
      </c>
      <c r="AH1137" s="94" t="n"/>
      <c r="AI1137" s="94" t="n"/>
      <c r="AJ1137" s="94" t="n"/>
      <c r="AK1137" s="94" t="n"/>
      <c r="AL1137" s="84" t="n"/>
    </row>
    <row r="1138">
      <c r="A1138" s="64" t="n"/>
      <c r="B1138" s="65" t="n"/>
      <c r="C1138" s="66" t="n"/>
      <c r="D1138" s="67" t="n"/>
      <c r="E1138" s="68" t="n"/>
      <c r="F1138" s="47">
        <f>IF(A1138="","",IF(MIN(H1138,MAX(J1138:K1138))=0,"",MIN(H1138,MAX(J1138:K1138))))</f>
        <v/>
      </c>
      <c r="G1138" s="74" t="n"/>
      <c r="H1138" s="49">
        <f>IF(M1138="","",IFERROR(ROUND(AVERAGE(T1138+M1138*{7,8,9,10,11})/1.21,4),""))</f>
        <v/>
      </c>
      <c r="I1138" s="76" t="n"/>
      <c r="J1138" s="77" t="n"/>
      <c r="K1138" s="74" t="n"/>
      <c r="L1138" s="78" t="n"/>
      <c r="M1138" s="77" t="n"/>
      <c r="N1138" s="53">
        <f>IF(M1138="","",IFERROR(M1138/I1138,""))</f>
        <v/>
      </c>
      <c r="O1138" s="50">
        <f>IF(A1138="","",IFERROR((IF(G1138="",I1138,G1138)-T1138)/M1138,""))</f>
        <v/>
      </c>
      <c r="P1138" s="50">
        <f>IFERROR((I1138/T1138-1)/N1138,"")</f>
        <v/>
      </c>
      <c r="Q1138" s="46">
        <f>IF(OR(T1138="",I1138&lt;T1138),"",IFERROR(R1138/IF(G1138="",I1138,G1138)-1,""))</f>
        <v/>
      </c>
      <c r="R1138" s="48">
        <f>IF($M1138="","",MAX(IF($G1138="",$I1138,$G1138)*(1/1.1),IF($G1138="",$I1138,$G1138)+(R$2*$M1138)))</f>
        <v/>
      </c>
      <c r="S1138" s="49">
        <f>IF($M1138="","",MAX(IF($G1138="",$I1138,$G1138)*(1/1.1),IF($G1138="",$I1138,$G1138)+(S$2*$M1138)))</f>
        <v/>
      </c>
      <c r="T1138" s="82" t="n"/>
      <c r="U1138" s="47">
        <f>IF(OR($M1138="",$T1138=""),"",$T1138+(U$2*$M1138))</f>
        <v/>
      </c>
      <c r="V1138" s="48">
        <f>IF(OR($M1138="",$T1138=""),"",$T1138+(V$2*$M1138))</f>
        <v/>
      </c>
      <c r="W1138" s="48">
        <f>IF(OR($M1138="",$T1138=""),"",$T1138+(W$2*$M1138))</f>
        <v/>
      </c>
      <c r="X1138" s="49">
        <f>IF(OR($M1138="",$T1138=""),"",$T1138+(X$2*$M1138))</f>
        <v/>
      </c>
      <c r="Y1138" s="47">
        <f>IF(OR($M1138="",$T1138=""),"",$T1138+(Y$2*$M1138))</f>
        <v/>
      </c>
      <c r="Z1138" s="49">
        <f>IF(OR($M1138="",$T1138=""),"",$T1138+(Z$2*$M1138))</f>
        <v/>
      </c>
      <c r="AA1138" s="51">
        <f>IF(OR($M1138="",$T1138=""),"",$T1138+(AA$2*$M1138))</f>
        <v/>
      </c>
      <c r="AB1138" s="48">
        <f>IF(OR($M1138="",$T1138=""),"",$T1138+(AB$2*$M1138))</f>
        <v/>
      </c>
      <c r="AC1138" s="48">
        <f>IF(OR($M1138="",$T1138=""),"",$T1138+(AC$2*$M1138))</f>
        <v/>
      </c>
      <c r="AD1138" s="48">
        <f>IF(OR($M1138="",$T1138=""),"",$T1138+(AD$2*$M1138))</f>
        <v/>
      </c>
      <c r="AE1138" s="49">
        <f>IF(OR($M1138="",$T1138=""),"",$T1138+(AE$2*$M1138))</f>
        <v/>
      </c>
      <c r="AF1138" s="52">
        <f>IF(OR(T1138="",I1138&lt;T1138),"",IFERROR(AVERAGE(T1138+M1138*{7,8,9,10,11})/IF(G1138="",I1138,G1138)-1,""))</f>
        <v/>
      </c>
      <c r="AG1138" s="55">
        <f>IF(OR(T1138="",I1138&lt;T1138),"",IFERROR(AF1138/-(R1138/IF(G1138="",I1138,G1138)-1),""))</f>
        <v/>
      </c>
      <c r="AH1138" s="94" t="n"/>
      <c r="AI1138" s="94" t="n"/>
      <c r="AJ1138" s="94" t="n"/>
      <c r="AK1138" s="94" t="n"/>
      <c r="AL1138" s="84" t="n"/>
    </row>
    <row r="1139">
      <c r="A1139" s="64" t="n"/>
      <c r="B1139" s="65" t="n"/>
      <c r="C1139" s="66" t="n"/>
      <c r="D1139" s="67" t="n"/>
      <c r="E1139" s="68" t="n"/>
      <c r="F1139" s="47">
        <f>IF(A1139="","",IF(MIN(H1139,MAX(J1139:K1139))=0,"",MIN(H1139,MAX(J1139:K1139))))</f>
        <v/>
      </c>
      <c r="G1139" s="74" t="n"/>
      <c r="H1139" s="49">
        <f>IF(M1139="","",IFERROR(ROUND(AVERAGE(T1139+M1139*{7,8,9,10,11})/1.21,4),""))</f>
        <v/>
      </c>
      <c r="I1139" s="76" t="n"/>
      <c r="J1139" s="77" t="n"/>
      <c r="K1139" s="74" t="n"/>
      <c r="L1139" s="78" t="n"/>
      <c r="M1139" s="77" t="n"/>
      <c r="N1139" s="53">
        <f>IF(M1139="","",IFERROR(M1139/I1139,""))</f>
        <v/>
      </c>
      <c r="O1139" s="50">
        <f>IF(A1139="","",IFERROR((IF(G1139="",I1139,G1139)-T1139)/M1139,""))</f>
        <v/>
      </c>
      <c r="P1139" s="50">
        <f>IFERROR((I1139/T1139-1)/N1139,"")</f>
        <v/>
      </c>
      <c r="Q1139" s="46">
        <f>IF(OR(T1139="",I1139&lt;T1139),"",IFERROR(R1139/IF(G1139="",I1139,G1139)-1,""))</f>
        <v/>
      </c>
      <c r="R1139" s="48">
        <f>IF($M1139="","",MAX(IF($G1139="",$I1139,$G1139)*(1/1.1),IF($G1139="",$I1139,$G1139)+(R$2*$M1139)))</f>
        <v/>
      </c>
      <c r="S1139" s="49">
        <f>IF($M1139="","",MAX(IF($G1139="",$I1139,$G1139)*(1/1.1),IF($G1139="",$I1139,$G1139)+(S$2*$M1139)))</f>
        <v/>
      </c>
      <c r="T1139" s="82" t="n"/>
      <c r="U1139" s="47">
        <f>IF(OR($M1139="",$T1139=""),"",$T1139+(U$2*$M1139))</f>
        <v/>
      </c>
      <c r="V1139" s="48">
        <f>IF(OR($M1139="",$T1139=""),"",$T1139+(V$2*$M1139))</f>
        <v/>
      </c>
      <c r="W1139" s="48">
        <f>IF(OR($M1139="",$T1139=""),"",$T1139+(W$2*$M1139))</f>
        <v/>
      </c>
      <c r="X1139" s="49">
        <f>IF(OR($M1139="",$T1139=""),"",$T1139+(X$2*$M1139))</f>
        <v/>
      </c>
      <c r="Y1139" s="47">
        <f>IF(OR($M1139="",$T1139=""),"",$T1139+(Y$2*$M1139))</f>
        <v/>
      </c>
      <c r="Z1139" s="49">
        <f>IF(OR($M1139="",$T1139=""),"",$T1139+(Z$2*$M1139))</f>
        <v/>
      </c>
      <c r="AA1139" s="51">
        <f>IF(OR($M1139="",$T1139=""),"",$T1139+(AA$2*$M1139))</f>
        <v/>
      </c>
      <c r="AB1139" s="48">
        <f>IF(OR($M1139="",$T1139=""),"",$T1139+(AB$2*$M1139))</f>
        <v/>
      </c>
      <c r="AC1139" s="48">
        <f>IF(OR($M1139="",$T1139=""),"",$T1139+(AC$2*$M1139))</f>
        <v/>
      </c>
      <c r="AD1139" s="48">
        <f>IF(OR($M1139="",$T1139=""),"",$T1139+(AD$2*$M1139))</f>
        <v/>
      </c>
      <c r="AE1139" s="49">
        <f>IF(OR($M1139="",$T1139=""),"",$T1139+(AE$2*$M1139))</f>
        <v/>
      </c>
      <c r="AF1139" s="52">
        <f>IF(OR(T1139="",I1139&lt;T1139),"",IFERROR(AVERAGE(T1139+M1139*{7,8,9,10,11})/IF(G1139="",I1139,G1139)-1,""))</f>
        <v/>
      </c>
      <c r="AG1139" s="55">
        <f>IF(OR(T1139="",I1139&lt;T1139),"",IFERROR(AF1139/-(R1139/IF(G1139="",I1139,G1139)-1),""))</f>
        <v/>
      </c>
      <c r="AH1139" s="94" t="n"/>
      <c r="AI1139" s="94" t="n"/>
      <c r="AJ1139" s="94" t="n"/>
      <c r="AK1139" s="94" t="n"/>
      <c r="AL1139" s="84" t="n"/>
    </row>
    <row r="1140">
      <c r="A1140" s="64" t="n"/>
      <c r="B1140" s="65" t="n"/>
      <c r="C1140" s="66" t="n"/>
      <c r="D1140" s="67" t="n"/>
      <c r="E1140" s="68" t="n"/>
      <c r="F1140" s="47">
        <f>IF(A1140="","",IF(MIN(H1140,MAX(J1140:K1140))=0,"",MIN(H1140,MAX(J1140:K1140))))</f>
        <v/>
      </c>
      <c r="G1140" s="74" t="n"/>
      <c r="H1140" s="49">
        <f>IF(M1140="","",IFERROR(ROUND(AVERAGE(T1140+M1140*{7,8,9,10,11})/1.21,4),""))</f>
        <v/>
      </c>
      <c r="I1140" s="76" t="n"/>
      <c r="J1140" s="77" t="n"/>
      <c r="K1140" s="74" t="n"/>
      <c r="L1140" s="78" t="n"/>
      <c r="M1140" s="77" t="n"/>
      <c r="N1140" s="53">
        <f>IF(M1140="","",IFERROR(M1140/I1140,""))</f>
        <v/>
      </c>
      <c r="O1140" s="50">
        <f>IF(A1140="","",IFERROR((IF(G1140="",I1140,G1140)-T1140)/M1140,""))</f>
        <v/>
      </c>
      <c r="P1140" s="50">
        <f>IFERROR((I1140/T1140-1)/N1140,"")</f>
        <v/>
      </c>
      <c r="Q1140" s="46">
        <f>IF(OR(T1140="",I1140&lt;T1140),"",IFERROR(R1140/IF(G1140="",I1140,G1140)-1,""))</f>
        <v/>
      </c>
      <c r="R1140" s="48">
        <f>IF($M1140="","",MAX(IF($G1140="",$I1140,$G1140)*(1/1.1),IF($G1140="",$I1140,$G1140)+(R$2*$M1140)))</f>
        <v/>
      </c>
      <c r="S1140" s="49">
        <f>IF($M1140="","",MAX(IF($G1140="",$I1140,$G1140)*(1/1.1),IF($G1140="",$I1140,$G1140)+(S$2*$M1140)))</f>
        <v/>
      </c>
      <c r="T1140" s="82" t="n"/>
      <c r="U1140" s="47">
        <f>IF(OR($M1140="",$T1140=""),"",$T1140+(U$2*$M1140))</f>
        <v/>
      </c>
      <c r="V1140" s="48">
        <f>IF(OR($M1140="",$T1140=""),"",$T1140+(V$2*$M1140))</f>
        <v/>
      </c>
      <c r="W1140" s="48">
        <f>IF(OR($M1140="",$T1140=""),"",$T1140+(W$2*$M1140))</f>
        <v/>
      </c>
      <c r="X1140" s="49">
        <f>IF(OR($M1140="",$T1140=""),"",$T1140+(X$2*$M1140))</f>
        <v/>
      </c>
      <c r="Y1140" s="47">
        <f>IF(OR($M1140="",$T1140=""),"",$T1140+(Y$2*$M1140))</f>
        <v/>
      </c>
      <c r="Z1140" s="49">
        <f>IF(OR($M1140="",$T1140=""),"",$T1140+(Z$2*$M1140))</f>
        <v/>
      </c>
      <c r="AA1140" s="51">
        <f>IF(OR($M1140="",$T1140=""),"",$T1140+(AA$2*$M1140))</f>
        <v/>
      </c>
      <c r="AB1140" s="48">
        <f>IF(OR($M1140="",$T1140=""),"",$T1140+(AB$2*$M1140))</f>
        <v/>
      </c>
      <c r="AC1140" s="48">
        <f>IF(OR($M1140="",$T1140=""),"",$T1140+(AC$2*$M1140))</f>
        <v/>
      </c>
      <c r="AD1140" s="48">
        <f>IF(OR($M1140="",$T1140=""),"",$T1140+(AD$2*$M1140))</f>
        <v/>
      </c>
      <c r="AE1140" s="49">
        <f>IF(OR($M1140="",$T1140=""),"",$T1140+(AE$2*$M1140))</f>
        <v/>
      </c>
      <c r="AF1140" s="52">
        <f>IF(OR(T1140="",I1140&lt;T1140),"",IFERROR(AVERAGE(T1140+M1140*{7,8,9,10,11})/IF(G1140="",I1140,G1140)-1,""))</f>
        <v/>
      </c>
      <c r="AG1140" s="55">
        <f>IF(OR(T1140="",I1140&lt;T1140),"",IFERROR(AF1140/-(R1140/IF(G1140="",I1140,G1140)-1),""))</f>
        <v/>
      </c>
      <c r="AH1140" s="94" t="n"/>
      <c r="AI1140" s="94" t="n"/>
      <c r="AJ1140" s="94" t="n"/>
      <c r="AK1140" s="94" t="n"/>
      <c r="AL1140" s="84" t="n"/>
    </row>
    <row r="1141">
      <c r="A1141" s="64" t="n"/>
      <c r="B1141" s="65" t="n"/>
      <c r="C1141" s="66" t="n"/>
      <c r="D1141" s="67" t="n"/>
      <c r="E1141" s="68" t="n"/>
      <c r="F1141" s="47">
        <f>IF(A1141="","",IF(MIN(H1141,MAX(J1141:K1141))=0,"",MIN(H1141,MAX(J1141:K1141))))</f>
        <v/>
      </c>
      <c r="G1141" s="74" t="n"/>
      <c r="H1141" s="49">
        <f>IF(M1141="","",IFERROR(ROUND(AVERAGE(T1141+M1141*{7,8,9,10,11})/1.21,4),""))</f>
        <v/>
      </c>
      <c r="I1141" s="76" t="n"/>
      <c r="J1141" s="77" t="n"/>
      <c r="K1141" s="74" t="n"/>
      <c r="L1141" s="78" t="n"/>
      <c r="M1141" s="77" t="n"/>
      <c r="N1141" s="53">
        <f>IF(M1141="","",IFERROR(M1141/I1141,""))</f>
        <v/>
      </c>
      <c r="O1141" s="50">
        <f>IF(A1141="","",IFERROR((IF(G1141="",I1141,G1141)-T1141)/M1141,""))</f>
        <v/>
      </c>
      <c r="P1141" s="50">
        <f>IFERROR((I1141/T1141-1)/N1141,"")</f>
        <v/>
      </c>
      <c r="Q1141" s="46">
        <f>IF(OR(T1141="",I1141&lt;T1141),"",IFERROR(R1141/IF(G1141="",I1141,G1141)-1,""))</f>
        <v/>
      </c>
      <c r="R1141" s="48">
        <f>IF($M1141="","",MAX(IF($G1141="",$I1141,$G1141)*(1/1.1),IF($G1141="",$I1141,$G1141)+(R$2*$M1141)))</f>
        <v/>
      </c>
      <c r="S1141" s="49">
        <f>IF($M1141="","",MAX(IF($G1141="",$I1141,$G1141)*(1/1.1),IF($G1141="",$I1141,$G1141)+(S$2*$M1141)))</f>
        <v/>
      </c>
      <c r="T1141" s="82" t="n"/>
      <c r="U1141" s="47">
        <f>IF(OR($M1141="",$T1141=""),"",$T1141+(U$2*$M1141))</f>
        <v/>
      </c>
      <c r="V1141" s="48">
        <f>IF(OR($M1141="",$T1141=""),"",$T1141+(V$2*$M1141))</f>
        <v/>
      </c>
      <c r="W1141" s="48">
        <f>IF(OR($M1141="",$T1141=""),"",$T1141+(W$2*$M1141))</f>
        <v/>
      </c>
      <c r="X1141" s="49">
        <f>IF(OR($M1141="",$T1141=""),"",$T1141+(X$2*$M1141))</f>
        <v/>
      </c>
      <c r="Y1141" s="47">
        <f>IF(OR($M1141="",$T1141=""),"",$T1141+(Y$2*$M1141))</f>
        <v/>
      </c>
      <c r="Z1141" s="49">
        <f>IF(OR($M1141="",$T1141=""),"",$T1141+(Z$2*$M1141))</f>
        <v/>
      </c>
      <c r="AA1141" s="51">
        <f>IF(OR($M1141="",$T1141=""),"",$T1141+(AA$2*$M1141))</f>
        <v/>
      </c>
      <c r="AB1141" s="48">
        <f>IF(OR($M1141="",$T1141=""),"",$T1141+(AB$2*$M1141))</f>
        <v/>
      </c>
      <c r="AC1141" s="48">
        <f>IF(OR($M1141="",$T1141=""),"",$T1141+(AC$2*$M1141))</f>
        <v/>
      </c>
      <c r="AD1141" s="48">
        <f>IF(OR($M1141="",$T1141=""),"",$T1141+(AD$2*$M1141))</f>
        <v/>
      </c>
      <c r="AE1141" s="49">
        <f>IF(OR($M1141="",$T1141=""),"",$T1141+(AE$2*$M1141))</f>
        <v/>
      </c>
      <c r="AF1141" s="52">
        <f>IF(OR(T1141="",I1141&lt;T1141),"",IFERROR(AVERAGE(T1141+M1141*{7,8,9,10,11})/IF(G1141="",I1141,G1141)-1,""))</f>
        <v/>
      </c>
      <c r="AG1141" s="55">
        <f>IF(OR(T1141="",I1141&lt;T1141),"",IFERROR(AF1141/-(R1141/IF(G1141="",I1141,G1141)-1),""))</f>
        <v/>
      </c>
      <c r="AH1141" s="94" t="n"/>
      <c r="AI1141" s="94" t="n"/>
      <c r="AJ1141" s="94" t="n"/>
      <c r="AK1141" s="94" t="n"/>
      <c r="AL1141" s="84" t="n"/>
    </row>
    <row r="1142">
      <c r="A1142" s="64" t="n"/>
      <c r="B1142" s="65" t="n"/>
      <c r="C1142" s="66" t="n"/>
      <c r="D1142" s="67" t="n"/>
      <c r="E1142" s="68" t="n"/>
      <c r="F1142" s="47">
        <f>IF(A1142="","",IF(MIN(H1142,MAX(J1142:K1142))=0,"",MIN(H1142,MAX(J1142:K1142))))</f>
        <v/>
      </c>
      <c r="G1142" s="74" t="n"/>
      <c r="H1142" s="49">
        <f>IF(M1142="","",IFERROR(ROUND(AVERAGE(T1142+M1142*{7,8,9,10,11})/1.21,4),""))</f>
        <v/>
      </c>
      <c r="I1142" s="76" t="n"/>
      <c r="J1142" s="77" t="n"/>
      <c r="K1142" s="74" t="n"/>
      <c r="L1142" s="78" t="n"/>
      <c r="M1142" s="77" t="n"/>
      <c r="N1142" s="53">
        <f>IF(M1142="","",IFERROR(M1142/I1142,""))</f>
        <v/>
      </c>
      <c r="O1142" s="50">
        <f>IF(A1142="","",IFERROR((IF(G1142="",I1142,G1142)-T1142)/M1142,""))</f>
        <v/>
      </c>
      <c r="P1142" s="50">
        <f>IFERROR((I1142/T1142-1)/N1142,"")</f>
        <v/>
      </c>
      <c r="Q1142" s="46">
        <f>IF(OR(T1142="",I1142&lt;T1142),"",IFERROR(R1142/IF(G1142="",I1142,G1142)-1,""))</f>
        <v/>
      </c>
      <c r="R1142" s="48">
        <f>IF($M1142="","",MAX(IF($G1142="",$I1142,$G1142)*(1/1.1),IF($G1142="",$I1142,$G1142)+(R$2*$M1142)))</f>
        <v/>
      </c>
      <c r="S1142" s="49">
        <f>IF($M1142="","",MAX(IF($G1142="",$I1142,$G1142)*(1/1.1),IF($G1142="",$I1142,$G1142)+(S$2*$M1142)))</f>
        <v/>
      </c>
      <c r="T1142" s="82" t="n"/>
      <c r="U1142" s="47">
        <f>IF(OR($M1142="",$T1142=""),"",$T1142+(U$2*$M1142))</f>
        <v/>
      </c>
      <c r="V1142" s="48">
        <f>IF(OR($M1142="",$T1142=""),"",$T1142+(V$2*$M1142))</f>
        <v/>
      </c>
      <c r="W1142" s="48">
        <f>IF(OR($M1142="",$T1142=""),"",$T1142+(W$2*$M1142))</f>
        <v/>
      </c>
      <c r="X1142" s="49">
        <f>IF(OR($M1142="",$T1142=""),"",$T1142+(X$2*$M1142))</f>
        <v/>
      </c>
      <c r="Y1142" s="47">
        <f>IF(OR($M1142="",$T1142=""),"",$T1142+(Y$2*$M1142))</f>
        <v/>
      </c>
      <c r="Z1142" s="49">
        <f>IF(OR($M1142="",$T1142=""),"",$T1142+(Z$2*$M1142))</f>
        <v/>
      </c>
      <c r="AA1142" s="51">
        <f>IF(OR($M1142="",$T1142=""),"",$T1142+(AA$2*$M1142))</f>
        <v/>
      </c>
      <c r="AB1142" s="48">
        <f>IF(OR($M1142="",$T1142=""),"",$T1142+(AB$2*$M1142))</f>
        <v/>
      </c>
      <c r="AC1142" s="48">
        <f>IF(OR($M1142="",$T1142=""),"",$T1142+(AC$2*$M1142))</f>
        <v/>
      </c>
      <c r="AD1142" s="48">
        <f>IF(OR($M1142="",$T1142=""),"",$T1142+(AD$2*$M1142))</f>
        <v/>
      </c>
      <c r="AE1142" s="49">
        <f>IF(OR($M1142="",$T1142=""),"",$T1142+(AE$2*$M1142))</f>
        <v/>
      </c>
      <c r="AF1142" s="52">
        <f>IF(OR(T1142="",I1142&lt;T1142),"",IFERROR(AVERAGE(T1142+M1142*{7,8,9,10,11})/IF(G1142="",I1142,G1142)-1,""))</f>
        <v/>
      </c>
      <c r="AG1142" s="55">
        <f>IF(OR(T1142="",I1142&lt;T1142),"",IFERROR(AF1142/-(R1142/IF(G1142="",I1142,G1142)-1),""))</f>
        <v/>
      </c>
      <c r="AH1142" s="94" t="n"/>
      <c r="AI1142" s="94" t="n"/>
      <c r="AJ1142" s="94" t="n"/>
      <c r="AK1142" s="94" t="n"/>
      <c r="AL1142" s="84" t="n"/>
    </row>
    <row r="1143">
      <c r="A1143" s="64" t="n"/>
      <c r="B1143" s="65" t="n"/>
      <c r="C1143" s="66" t="n"/>
      <c r="D1143" s="67" t="n"/>
      <c r="E1143" s="68" t="n"/>
      <c r="F1143" s="47">
        <f>IF(A1143="","",IF(MIN(H1143,MAX(J1143:K1143))=0,"",MIN(H1143,MAX(J1143:K1143))))</f>
        <v/>
      </c>
      <c r="G1143" s="74" t="n"/>
      <c r="H1143" s="49">
        <f>IF(M1143="","",IFERROR(ROUND(AVERAGE(T1143+M1143*{7,8,9,10,11})/1.21,4),""))</f>
        <v/>
      </c>
      <c r="I1143" s="76" t="n"/>
      <c r="J1143" s="77" t="n"/>
      <c r="K1143" s="74" t="n"/>
      <c r="L1143" s="78" t="n"/>
      <c r="M1143" s="77" t="n"/>
      <c r="N1143" s="53">
        <f>IF(M1143="","",IFERROR(M1143/I1143,""))</f>
        <v/>
      </c>
      <c r="O1143" s="50">
        <f>IF(A1143="","",IFERROR((IF(G1143="",I1143,G1143)-T1143)/M1143,""))</f>
        <v/>
      </c>
      <c r="P1143" s="50">
        <f>IFERROR((I1143/T1143-1)/N1143,"")</f>
        <v/>
      </c>
      <c r="Q1143" s="46">
        <f>IF(OR(T1143="",I1143&lt;T1143),"",IFERROR(R1143/IF(G1143="",I1143,G1143)-1,""))</f>
        <v/>
      </c>
      <c r="R1143" s="48">
        <f>IF($M1143="","",MAX(IF($G1143="",$I1143,$G1143)*(1/1.1),IF($G1143="",$I1143,$G1143)+(R$2*$M1143)))</f>
        <v/>
      </c>
      <c r="S1143" s="49">
        <f>IF($M1143="","",MAX(IF($G1143="",$I1143,$G1143)*(1/1.1),IF($G1143="",$I1143,$G1143)+(S$2*$M1143)))</f>
        <v/>
      </c>
      <c r="T1143" s="82" t="n"/>
      <c r="U1143" s="47">
        <f>IF(OR($M1143="",$T1143=""),"",$T1143+(U$2*$M1143))</f>
        <v/>
      </c>
      <c r="V1143" s="48">
        <f>IF(OR($M1143="",$T1143=""),"",$T1143+(V$2*$M1143))</f>
        <v/>
      </c>
      <c r="W1143" s="48">
        <f>IF(OR($M1143="",$T1143=""),"",$T1143+(W$2*$M1143))</f>
        <v/>
      </c>
      <c r="X1143" s="49">
        <f>IF(OR($M1143="",$T1143=""),"",$T1143+(X$2*$M1143))</f>
        <v/>
      </c>
      <c r="Y1143" s="47">
        <f>IF(OR($M1143="",$T1143=""),"",$T1143+(Y$2*$M1143))</f>
        <v/>
      </c>
      <c r="Z1143" s="49">
        <f>IF(OR($M1143="",$T1143=""),"",$T1143+(Z$2*$M1143))</f>
        <v/>
      </c>
      <c r="AA1143" s="51">
        <f>IF(OR($M1143="",$T1143=""),"",$T1143+(AA$2*$M1143))</f>
        <v/>
      </c>
      <c r="AB1143" s="48">
        <f>IF(OR($M1143="",$T1143=""),"",$T1143+(AB$2*$M1143))</f>
        <v/>
      </c>
      <c r="AC1143" s="48">
        <f>IF(OR($M1143="",$T1143=""),"",$T1143+(AC$2*$M1143))</f>
        <v/>
      </c>
      <c r="AD1143" s="48">
        <f>IF(OR($M1143="",$T1143=""),"",$T1143+(AD$2*$M1143))</f>
        <v/>
      </c>
      <c r="AE1143" s="49">
        <f>IF(OR($M1143="",$T1143=""),"",$T1143+(AE$2*$M1143))</f>
        <v/>
      </c>
      <c r="AF1143" s="52">
        <f>IF(OR(T1143="",I1143&lt;T1143),"",IFERROR(AVERAGE(T1143+M1143*{7,8,9,10,11})/IF(G1143="",I1143,G1143)-1,""))</f>
        <v/>
      </c>
      <c r="AG1143" s="55">
        <f>IF(OR(T1143="",I1143&lt;T1143),"",IFERROR(AF1143/-(R1143/IF(G1143="",I1143,G1143)-1),""))</f>
        <v/>
      </c>
      <c r="AH1143" s="94" t="n"/>
      <c r="AI1143" s="94" t="n"/>
      <c r="AJ1143" s="94" t="n"/>
      <c r="AK1143" s="94" t="n"/>
      <c r="AL1143" s="84" t="n"/>
    </row>
    <row r="1144">
      <c r="A1144" s="64" t="n"/>
      <c r="B1144" s="65" t="n"/>
      <c r="C1144" s="66" t="n"/>
      <c r="D1144" s="67" t="n"/>
      <c r="E1144" s="68" t="n"/>
      <c r="F1144" s="47">
        <f>IF(A1144="","",IF(MIN(H1144,MAX(J1144:K1144))=0,"",MIN(H1144,MAX(J1144:K1144))))</f>
        <v/>
      </c>
      <c r="G1144" s="74" t="n"/>
      <c r="H1144" s="49">
        <f>IF(M1144="","",IFERROR(ROUND(AVERAGE(T1144+M1144*{7,8,9,10,11})/1.21,4),""))</f>
        <v/>
      </c>
      <c r="I1144" s="76" t="n"/>
      <c r="J1144" s="77" t="n"/>
      <c r="K1144" s="74" t="n"/>
      <c r="L1144" s="78" t="n"/>
      <c r="M1144" s="77" t="n"/>
      <c r="N1144" s="53">
        <f>IF(M1144="","",IFERROR(M1144/I1144,""))</f>
        <v/>
      </c>
      <c r="O1144" s="50">
        <f>IF(A1144="","",IFERROR((IF(G1144="",I1144,G1144)-T1144)/M1144,""))</f>
        <v/>
      </c>
      <c r="P1144" s="50">
        <f>IFERROR((I1144/T1144-1)/N1144,"")</f>
        <v/>
      </c>
      <c r="Q1144" s="46">
        <f>IF(OR(T1144="",I1144&lt;T1144),"",IFERROR(R1144/IF(G1144="",I1144,G1144)-1,""))</f>
        <v/>
      </c>
      <c r="R1144" s="48">
        <f>IF($M1144="","",MAX(IF($G1144="",$I1144,$G1144)*(1/1.1),IF($G1144="",$I1144,$G1144)+(R$2*$M1144)))</f>
        <v/>
      </c>
      <c r="S1144" s="49">
        <f>IF($M1144="","",MAX(IF($G1144="",$I1144,$G1144)*(1/1.1),IF($G1144="",$I1144,$G1144)+(S$2*$M1144)))</f>
        <v/>
      </c>
      <c r="T1144" s="82" t="n"/>
      <c r="U1144" s="47">
        <f>IF(OR($M1144="",$T1144=""),"",$T1144+(U$2*$M1144))</f>
        <v/>
      </c>
      <c r="V1144" s="48">
        <f>IF(OR($M1144="",$T1144=""),"",$T1144+(V$2*$M1144))</f>
        <v/>
      </c>
      <c r="W1144" s="48">
        <f>IF(OR($M1144="",$T1144=""),"",$T1144+(W$2*$M1144))</f>
        <v/>
      </c>
      <c r="X1144" s="49">
        <f>IF(OR($M1144="",$T1144=""),"",$T1144+(X$2*$M1144))</f>
        <v/>
      </c>
      <c r="Y1144" s="47">
        <f>IF(OR($M1144="",$T1144=""),"",$T1144+(Y$2*$M1144))</f>
        <v/>
      </c>
      <c r="Z1144" s="49">
        <f>IF(OR($M1144="",$T1144=""),"",$T1144+(Z$2*$M1144))</f>
        <v/>
      </c>
      <c r="AA1144" s="51">
        <f>IF(OR($M1144="",$T1144=""),"",$T1144+(AA$2*$M1144))</f>
        <v/>
      </c>
      <c r="AB1144" s="48">
        <f>IF(OR($M1144="",$T1144=""),"",$T1144+(AB$2*$M1144))</f>
        <v/>
      </c>
      <c r="AC1144" s="48">
        <f>IF(OR($M1144="",$T1144=""),"",$T1144+(AC$2*$M1144))</f>
        <v/>
      </c>
      <c r="AD1144" s="48">
        <f>IF(OR($M1144="",$T1144=""),"",$T1144+(AD$2*$M1144))</f>
        <v/>
      </c>
      <c r="AE1144" s="49">
        <f>IF(OR($M1144="",$T1144=""),"",$T1144+(AE$2*$M1144))</f>
        <v/>
      </c>
      <c r="AF1144" s="52">
        <f>IF(OR(T1144="",I1144&lt;T1144),"",IFERROR(AVERAGE(T1144+M1144*{7,8,9,10,11})/IF(G1144="",I1144,G1144)-1,""))</f>
        <v/>
      </c>
      <c r="AG1144" s="55">
        <f>IF(OR(T1144="",I1144&lt;T1144),"",IFERROR(AF1144/-(R1144/IF(G1144="",I1144,G1144)-1),""))</f>
        <v/>
      </c>
      <c r="AH1144" s="94" t="n"/>
      <c r="AI1144" s="94" t="n"/>
      <c r="AJ1144" s="94" t="n"/>
      <c r="AK1144" s="94" t="n"/>
      <c r="AL1144" s="84" t="n"/>
    </row>
    <row r="1145">
      <c r="A1145" s="64" t="n"/>
      <c r="B1145" s="65" t="n"/>
      <c r="C1145" s="66" t="n"/>
      <c r="D1145" s="67" t="n"/>
      <c r="E1145" s="68" t="n"/>
      <c r="F1145" s="47">
        <f>IF(A1145="","",IF(MIN(H1145,MAX(J1145:K1145))=0,"",MIN(H1145,MAX(J1145:K1145))))</f>
        <v/>
      </c>
      <c r="G1145" s="74" t="n"/>
      <c r="H1145" s="49">
        <f>IF(M1145="","",IFERROR(ROUND(AVERAGE(T1145+M1145*{7,8,9,10,11})/1.21,4),""))</f>
        <v/>
      </c>
      <c r="I1145" s="76" t="n"/>
      <c r="J1145" s="77" t="n"/>
      <c r="K1145" s="74" t="n"/>
      <c r="L1145" s="78" t="n"/>
      <c r="M1145" s="77" t="n"/>
      <c r="N1145" s="53">
        <f>IF(M1145="","",IFERROR(M1145/I1145,""))</f>
        <v/>
      </c>
      <c r="O1145" s="50">
        <f>IF(A1145="","",IFERROR((IF(G1145="",I1145,G1145)-T1145)/M1145,""))</f>
        <v/>
      </c>
      <c r="P1145" s="50">
        <f>IFERROR((I1145/T1145-1)/N1145,"")</f>
        <v/>
      </c>
      <c r="Q1145" s="46">
        <f>IF(OR(T1145="",I1145&lt;T1145),"",IFERROR(R1145/IF(G1145="",I1145,G1145)-1,""))</f>
        <v/>
      </c>
      <c r="R1145" s="48">
        <f>IF($M1145="","",MAX(IF($G1145="",$I1145,$G1145)*(1/1.1),IF($G1145="",$I1145,$G1145)+(R$2*$M1145)))</f>
        <v/>
      </c>
      <c r="S1145" s="49">
        <f>IF($M1145="","",MAX(IF($G1145="",$I1145,$G1145)*(1/1.1),IF($G1145="",$I1145,$G1145)+(S$2*$M1145)))</f>
        <v/>
      </c>
      <c r="T1145" s="82" t="n"/>
      <c r="U1145" s="47">
        <f>IF(OR($M1145="",$T1145=""),"",$T1145+(U$2*$M1145))</f>
        <v/>
      </c>
      <c r="V1145" s="48">
        <f>IF(OR($M1145="",$T1145=""),"",$T1145+(V$2*$M1145))</f>
        <v/>
      </c>
      <c r="W1145" s="48">
        <f>IF(OR($M1145="",$T1145=""),"",$T1145+(W$2*$M1145))</f>
        <v/>
      </c>
      <c r="X1145" s="49">
        <f>IF(OR($M1145="",$T1145=""),"",$T1145+(X$2*$M1145))</f>
        <v/>
      </c>
      <c r="Y1145" s="47">
        <f>IF(OR($M1145="",$T1145=""),"",$T1145+(Y$2*$M1145))</f>
        <v/>
      </c>
      <c r="Z1145" s="49">
        <f>IF(OR($M1145="",$T1145=""),"",$T1145+(Z$2*$M1145))</f>
        <v/>
      </c>
      <c r="AA1145" s="51">
        <f>IF(OR($M1145="",$T1145=""),"",$T1145+(AA$2*$M1145))</f>
        <v/>
      </c>
      <c r="AB1145" s="48">
        <f>IF(OR($M1145="",$T1145=""),"",$T1145+(AB$2*$M1145))</f>
        <v/>
      </c>
      <c r="AC1145" s="48">
        <f>IF(OR($M1145="",$T1145=""),"",$T1145+(AC$2*$M1145))</f>
        <v/>
      </c>
      <c r="AD1145" s="48">
        <f>IF(OR($M1145="",$T1145=""),"",$T1145+(AD$2*$M1145))</f>
        <v/>
      </c>
      <c r="AE1145" s="49">
        <f>IF(OR($M1145="",$T1145=""),"",$T1145+(AE$2*$M1145))</f>
        <v/>
      </c>
      <c r="AF1145" s="52">
        <f>IF(OR(T1145="",I1145&lt;T1145),"",IFERROR(AVERAGE(T1145+M1145*{7,8,9,10,11})/IF(G1145="",I1145,G1145)-1,""))</f>
        <v/>
      </c>
      <c r="AG1145" s="55">
        <f>IF(OR(T1145="",I1145&lt;T1145),"",IFERROR(AF1145/-(R1145/IF(G1145="",I1145,G1145)-1),""))</f>
        <v/>
      </c>
      <c r="AH1145" s="94" t="n"/>
      <c r="AI1145" s="94" t="n"/>
      <c r="AJ1145" s="94" t="n"/>
      <c r="AK1145" s="94" t="n"/>
      <c r="AL1145" s="84" t="n"/>
    </row>
    <row r="1146">
      <c r="A1146" s="64" t="n"/>
      <c r="B1146" s="65" t="n"/>
      <c r="C1146" s="66" t="n"/>
      <c r="D1146" s="67" t="n"/>
      <c r="E1146" s="68" t="n"/>
      <c r="F1146" s="47">
        <f>IF(A1146="","",IF(MIN(H1146,MAX(J1146:K1146))=0,"",MIN(H1146,MAX(J1146:K1146))))</f>
        <v/>
      </c>
      <c r="G1146" s="74" t="n"/>
      <c r="H1146" s="49">
        <f>IF(M1146="","",IFERROR(ROUND(AVERAGE(T1146+M1146*{7,8,9,10,11})/1.21,4),""))</f>
        <v/>
      </c>
      <c r="I1146" s="76" t="n"/>
      <c r="J1146" s="77" t="n"/>
      <c r="K1146" s="74" t="n"/>
      <c r="L1146" s="78" t="n"/>
      <c r="M1146" s="77" t="n"/>
      <c r="N1146" s="53">
        <f>IF(M1146="","",IFERROR(M1146/I1146,""))</f>
        <v/>
      </c>
      <c r="O1146" s="50">
        <f>IF(A1146="","",IFERROR((IF(G1146="",I1146,G1146)-T1146)/M1146,""))</f>
        <v/>
      </c>
      <c r="P1146" s="50">
        <f>IFERROR((I1146/T1146-1)/N1146,"")</f>
        <v/>
      </c>
      <c r="Q1146" s="46">
        <f>IF(OR(T1146="",I1146&lt;T1146),"",IFERROR(R1146/IF(G1146="",I1146,G1146)-1,""))</f>
        <v/>
      </c>
      <c r="R1146" s="48">
        <f>IF($M1146="","",MAX(IF($G1146="",$I1146,$G1146)*(1/1.1),IF($G1146="",$I1146,$G1146)+(R$2*$M1146)))</f>
        <v/>
      </c>
      <c r="S1146" s="49">
        <f>IF($M1146="","",MAX(IF($G1146="",$I1146,$G1146)*(1/1.1),IF($G1146="",$I1146,$G1146)+(S$2*$M1146)))</f>
        <v/>
      </c>
      <c r="T1146" s="82" t="n"/>
      <c r="U1146" s="47">
        <f>IF(OR($M1146="",$T1146=""),"",$T1146+(U$2*$M1146))</f>
        <v/>
      </c>
      <c r="V1146" s="48">
        <f>IF(OR($M1146="",$T1146=""),"",$T1146+(V$2*$M1146))</f>
        <v/>
      </c>
      <c r="W1146" s="48">
        <f>IF(OR($M1146="",$T1146=""),"",$T1146+(W$2*$M1146))</f>
        <v/>
      </c>
      <c r="X1146" s="49">
        <f>IF(OR($M1146="",$T1146=""),"",$T1146+(X$2*$M1146))</f>
        <v/>
      </c>
      <c r="Y1146" s="47">
        <f>IF(OR($M1146="",$T1146=""),"",$T1146+(Y$2*$M1146))</f>
        <v/>
      </c>
      <c r="Z1146" s="49">
        <f>IF(OR($M1146="",$T1146=""),"",$T1146+(Z$2*$M1146))</f>
        <v/>
      </c>
      <c r="AA1146" s="51">
        <f>IF(OR($M1146="",$T1146=""),"",$T1146+(AA$2*$M1146))</f>
        <v/>
      </c>
      <c r="AB1146" s="48">
        <f>IF(OR($M1146="",$T1146=""),"",$T1146+(AB$2*$M1146))</f>
        <v/>
      </c>
      <c r="AC1146" s="48">
        <f>IF(OR($M1146="",$T1146=""),"",$T1146+(AC$2*$M1146))</f>
        <v/>
      </c>
      <c r="AD1146" s="48">
        <f>IF(OR($M1146="",$T1146=""),"",$T1146+(AD$2*$M1146))</f>
        <v/>
      </c>
      <c r="AE1146" s="49">
        <f>IF(OR($M1146="",$T1146=""),"",$T1146+(AE$2*$M1146))</f>
        <v/>
      </c>
      <c r="AF1146" s="52">
        <f>IF(OR(T1146="",I1146&lt;T1146),"",IFERROR(AVERAGE(T1146+M1146*{7,8,9,10,11})/IF(G1146="",I1146,G1146)-1,""))</f>
        <v/>
      </c>
      <c r="AG1146" s="55">
        <f>IF(OR(T1146="",I1146&lt;T1146),"",IFERROR(AF1146/-(R1146/IF(G1146="",I1146,G1146)-1),""))</f>
        <v/>
      </c>
      <c r="AH1146" s="94" t="n"/>
      <c r="AI1146" s="94" t="n"/>
      <c r="AJ1146" s="94" t="n"/>
      <c r="AK1146" s="94" t="n"/>
      <c r="AL1146" s="84" t="n"/>
    </row>
    <row r="1147">
      <c r="A1147" s="64" t="n"/>
      <c r="B1147" s="65" t="n"/>
      <c r="C1147" s="66" t="n"/>
      <c r="D1147" s="67" t="n"/>
      <c r="E1147" s="68" t="n"/>
      <c r="F1147" s="47">
        <f>IF(A1147="","",IF(MIN(H1147,MAX(J1147:K1147))=0,"",MIN(H1147,MAX(J1147:K1147))))</f>
        <v/>
      </c>
      <c r="G1147" s="74" t="n"/>
      <c r="H1147" s="49">
        <f>IF(M1147="","",IFERROR(ROUND(AVERAGE(T1147+M1147*{7,8,9,10,11})/1.21,4),""))</f>
        <v/>
      </c>
      <c r="I1147" s="76" t="n"/>
      <c r="J1147" s="77" t="n"/>
      <c r="K1147" s="74" t="n"/>
      <c r="L1147" s="78" t="n"/>
      <c r="M1147" s="77" t="n"/>
      <c r="N1147" s="53">
        <f>IF(M1147="","",IFERROR(M1147/I1147,""))</f>
        <v/>
      </c>
      <c r="O1147" s="50">
        <f>IF(A1147="","",IFERROR((IF(G1147="",I1147,G1147)-T1147)/M1147,""))</f>
        <v/>
      </c>
      <c r="P1147" s="50">
        <f>IFERROR((I1147/T1147-1)/N1147,"")</f>
        <v/>
      </c>
      <c r="Q1147" s="46">
        <f>IF(OR(T1147="",I1147&lt;T1147),"",IFERROR(R1147/IF(G1147="",I1147,G1147)-1,""))</f>
        <v/>
      </c>
      <c r="R1147" s="48">
        <f>IF($M1147="","",MAX(IF($G1147="",$I1147,$G1147)*(1/1.1),IF($G1147="",$I1147,$G1147)+(R$2*$M1147)))</f>
        <v/>
      </c>
      <c r="S1147" s="49">
        <f>IF($M1147="","",MAX(IF($G1147="",$I1147,$G1147)*(1/1.1),IF($G1147="",$I1147,$G1147)+(S$2*$M1147)))</f>
        <v/>
      </c>
      <c r="T1147" s="82" t="n"/>
      <c r="U1147" s="47">
        <f>IF(OR($M1147="",$T1147=""),"",$T1147+(U$2*$M1147))</f>
        <v/>
      </c>
      <c r="V1147" s="48">
        <f>IF(OR($M1147="",$T1147=""),"",$T1147+(V$2*$M1147))</f>
        <v/>
      </c>
      <c r="W1147" s="48">
        <f>IF(OR($M1147="",$T1147=""),"",$T1147+(W$2*$M1147))</f>
        <v/>
      </c>
      <c r="X1147" s="49">
        <f>IF(OR($M1147="",$T1147=""),"",$T1147+(X$2*$M1147))</f>
        <v/>
      </c>
      <c r="Y1147" s="47">
        <f>IF(OR($M1147="",$T1147=""),"",$T1147+(Y$2*$M1147))</f>
        <v/>
      </c>
      <c r="Z1147" s="49">
        <f>IF(OR($M1147="",$T1147=""),"",$T1147+(Z$2*$M1147))</f>
        <v/>
      </c>
      <c r="AA1147" s="51">
        <f>IF(OR($M1147="",$T1147=""),"",$T1147+(AA$2*$M1147))</f>
        <v/>
      </c>
      <c r="AB1147" s="48">
        <f>IF(OR($M1147="",$T1147=""),"",$T1147+(AB$2*$M1147))</f>
        <v/>
      </c>
      <c r="AC1147" s="48">
        <f>IF(OR($M1147="",$T1147=""),"",$T1147+(AC$2*$M1147))</f>
        <v/>
      </c>
      <c r="AD1147" s="48">
        <f>IF(OR($M1147="",$T1147=""),"",$T1147+(AD$2*$M1147))</f>
        <v/>
      </c>
      <c r="AE1147" s="49">
        <f>IF(OR($M1147="",$T1147=""),"",$T1147+(AE$2*$M1147))</f>
        <v/>
      </c>
      <c r="AF1147" s="52">
        <f>IF(OR(T1147="",I1147&lt;T1147),"",IFERROR(AVERAGE(T1147+M1147*{7,8,9,10,11})/IF(G1147="",I1147,G1147)-1,""))</f>
        <v/>
      </c>
      <c r="AG1147" s="55">
        <f>IF(OR(T1147="",I1147&lt;T1147),"",IFERROR(AF1147/-(R1147/IF(G1147="",I1147,G1147)-1),""))</f>
        <v/>
      </c>
      <c r="AH1147" s="94" t="n"/>
      <c r="AI1147" s="94" t="n"/>
      <c r="AJ1147" s="94" t="n"/>
      <c r="AK1147" s="94" t="n"/>
      <c r="AL1147" s="84" t="n"/>
    </row>
    <row r="1148">
      <c r="A1148" s="64" t="n"/>
      <c r="B1148" s="65" t="n"/>
      <c r="C1148" s="66" t="n"/>
      <c r="D1148" s="67" t="n"/>
      <c r="E1148" s="68" t="n"/>
      <c r="F1148" s="47">
        <f>IF(A1148="","",IF(MIN(H1148,MAX(J1148:K1148))=0,"",MIN(H1148,MAX(J1148:K1148))))</f>
        <v/>
      </c>
      <c r="G1148" s="74" t="n"/>
      <c r="H1148" s="49">
        <f>IF(M1148="","",IFERROR(ROUND(AVERAGE(T1148+M1148*{7,8,9,10,11})/1.21,4),""))</f>
        <v/>
      </c>
      <c r="I1148" s="76" t="n"/>
      <c r="J1148" s="77" t="n"/>
      <c r="K1148" s="74" t="n"/>
      <c r="L1148" s="78" t="n"/>
      <c r="M1148" s="77" t="n"/>
      <c r="N1148" s="53">
        <f>IF(M1148="","",IFERROR(M1148/I1148,""))</f>
        <v/>
      </c>
      <c r="O1148" s="50">
        <f>IF(A1148="","",IFERROR((IF(G1148="",I1148,G1148)-T1148)/M1148,""))</f>
        <v/>
      </c>
      <c r="P1148" s="50">
        <f>IFERROR((I1148/T1148-1)/N1148,"")</f>
        <v/>
      </c>
      <c r="Q1148" s="46">
        <f>IF(OR(T1148="",I1148&lt;T1148),"",IFERROR(R1148/IF(G1148="",I1148,G1148)-1,""))</f>
        <v/>
      </c>
      <c r="R1148" s="48">
        <f>IF($M1148="","",MAX(IF($G1148="",$I1148,$G1148)*(1/1.1),IF($G1148="",$I1148,$G1148)+(R$2*$M1148)))</f>
        <v/>
      </c>
      <c r="S1148" s="49">
        <f>IF($M1148="","",MAX(IF($G1148="",$I1148,$G1148)*(1/1.1),IF($G1148="",$I1148,$G1148)+(S$2*$M1148)))</f>
        <v/>
      </c>
      <c r="T1148" s="82" t="n"/>
      <c r="U1148" s="47">
        <f>IF(OR($M1148="",$T1148=""),"",$T1148+(U$2*$M1148))</f>
        <v/>
      </c>
      <c r="V1148" s="48">
        <f>IF(OR($M1148="",$T1148=""),"",$T1148+(V$2*$M1148))</f>
        <v/>
      </c>
      <c r="W1148" s="48">
        <f>IF(OR($M1148="",$T1148=""),"",$T1148+(W$2*$M1148))</f>
        <v/>
      </c>
      <c r="X1148" s="49">
        <f>IF(OR($M1148="",$T1148=""),"",$T1148+(X$2*$M1148))</f>
        <v/>
      </c>
      <c r="Y1148" s="47">
        <f>IF(OR($M1148="",$T1148=""),"",$T1148+(Y$2*$M1148))</f>
        <v/>
      </c>
      <c r="Z1148" s="49">
        <f>IF(OR($M1148="",$T1148=""),"",$T1148+(Z$2*$M1148))</f>
        <v/>
      </c>
      <c r="AA1148" s="51">
        <f>IF(OR($M1148="",$T1148=""),"",$T1148+(AA$2*$M1148))</f>
        <v/>
      </c>
      <c r="AB1148" s="48">
        <f>IF(OR($M1148="",$T1148=""),"",$T1148+(AB$2*$M1148))</f>
        <v/>
      </c>
      <c r="AC1148" s="48">
        <f>IF(OR($M1148="",$T1148=""),"",$T1148+(AC$2*$M1148))</f>
        <v/>
      </c>
      <c r="AD1148" s="48">
        <f>IF(OR($M1148="",$T1148=""),"",$T1148+(AD$2*$M1148))</f>
        <v/>
      </c>
      <c r="AE1148" s="49">
        <f>IF(OR($M1148="",$T1148=""),"",$T1148+(AE$2*$M1148))</f>
        <v/>
      </c>
      <c r="AF1148" s="52">
        <f>IF(OR(T1148="",I1148&lt;T1148),"",IFERROR(AVERAGE(T1148+M1148*{7,8,9,10,11})/IF(G1148="",I1148,G1148)-1,""))</f>
        <v/>
      </c>
      <c r="AG1148" s="55">
        <f>IF(OR(T1148="",I1148&lt;T1148),"",IFERROR(AF1148/-(R1148/IF(G1148="",I1148,G1148)-1),""))</f>
        <v/>
      </c>
      <c r="AH1148" s="94" t="n"/>
      <c r="AI1148" s="94" t="n"/>
      <c r="AJ1148" s="94" t="n"/>
      <c r="AK1148" s="94" t="n"/>
      <c r="AL1148" s="84" t="n"/>
    </row>
    <row r="1149">
      <c r="A1149" s="64" t="n"/>
      <c r="B1149" s="65" t="n"/>
      <c r="C1149" s="66" t="n"/>
      <c r="D1149" s="67" t="n"/>
      <c r="E1149" s="68" t="n"/>
      <c r="F1149" s="47">
        <f>IF(A1149="","",IF(MIN(H1149,MAX(J1149:K1149))=0,"",MIN(H1149,MAX(J1149:K1149))))</f>
        <v/>
      </c>
      <c r="G1149" s="74" t="n"/>
      <c r="H1149" s="49">
        <f>IF(M1149="","",IFERROR(ROUND(AVERAGE(T1149+M1149*{7,8,9,10,11})/1.21,4),""))</f>
        <v/>
      </c>
      <c r="I1149" s="76" t="n"/>
      <c r="J1149" s="77" t="n"/>
      <c r="K1149" s="74" t="n"/>
      <c r="L1149" s="78" t="n"/>
      <c r="M1149" s="77" t="n"/>
      <c r="N1149" s="53">
        <f>IF(M1149="","",IFERROR(M1149/I1149,""))</f>
        <v/>
      </c>
      <c r="O1149" s="50">
        <f>IF(A1149="","",IFERROR((IF(G1149="",I1149,G1149)-T1149)/M1149,""))</f>
        <v/>
      </c>
      <c r="P1149" s="50">
        <f>IFERROR((I1149/T1149-1)/N1149,"")</f>
        <v/>
      </c>
      <c r="Q1149" s="46">
        <f>IF(OR(T1149="",I1149&lt;T1149),"",IFERROR(R1149/IF(G1149="",I1149,G1149)-1,""))</f>
        <v/>
      </c>
      <c r="R1149" s="48">
        <f>IF($M1149="","",MAX(IF($G1149="",$I1149,$G1149)*(1/1.1),IF($G1149="",$I1149,$G1149)+(R$2*$M1149)))</f>
        <v/>
      </c>
      <c r="S1149" s="49">
        <f>IF($M1149="","",MAX(IF($G1149="",$I1149,$G1149)*(1/1.1),IF($G1149="",$I1149,$G1149)+(S$2*$M1149)))</f>
        <v/>
      </c>
      <c r="T1149" s="82" t="n"/>
      <c r="U1149" s="47">
        <f>IF(OR($M1149="",$T1149=""),"",$T1149+(U$2*$M1149))</f>
        <v/>
      </c>
      <c r="V1149" s="48">
        <f>IF(OR($M1149="",$T1149=""),"",$T1149+(V$2*$M1149))</f>
        <v/>
      </c>
      <c r="W1149" s="48">
        <f>IF(OR($M1149="",$T1149=""),"",$T1149+(W$2*$M1149))</f>
        <v/>
      </c>
      <c r="X1149" s="49">
        <f>IF(OR($M1149="",$T1149=""),"",$T1149+(X$2*$M1149))</f>
        <v/>
      </c>
      <c r="Y1149" s="47">
        <f>IF(OR($M1149="",$T1149=""),"",$T1149+(Y$2*$M1149))</f>
        <v/>
      </c>
      <c r="Z1149" s="49">
        <f>IF(OR($M1149="",$T1149=""),"",$T1149+(Z$2*$M1149))</f>
        <v/>
      </c>
      <c r="AA1149" s="51">
        <f>IF(OR($M1149="",$T1149=""),"",$T1149+(AA$2*$M1149))</f>
        <v/>
      </c>
      <c r="AB1149" s="48">
        <f>IF(OR($M1149="",$T1149=""),"",$T1149+(AB$2*$M1149))</f>
        <v/>
      </c>
      <c r="AC1149" s="48">
        <f>IF(OR($M1149="",$T1149=""),"",$T1149+(AC$2*$M1149))</f>
        <v/>
      </c>
      <c r="AD1149" s="48">
        <f>IF(OR($M1149="",$T1149=""),"",$T1149+(AD$2*$M1149))</f>
        <v/>
      </c>
      <c r="AE1149" s="49">
        <f>IF(OR($M1149="",$T1149=""),"",$T1149+(AE$2*$M1149))</f>
        <v/>
      </c>
      <c r="AF1149" s="52">
        <f>IF(OR(T1149="",I1149&lt;T1149),"",IFERROR(AVERAGE(T1149+M1149*{7,8,9,10,11})/IF(G1149="",I1149,G1149)-1,""))</f>
        <v/>
      </c>
      <c r="AG1149" s="55">
        <f>IF(OR(T1149="",I1149&lt;T1149),"",IFERROR(AF1149/-(R1149/IF(G1149="",I1149,G1149)-1),""))</f>
        <v/>
      </c>
      <c r="AH1149" s="94" t="n"/>
      <c r="AI1149" s="94" t="n"/>
      <c r="AJ1149" s="94" t="n"/>
      <c r="AK1149" s="94" t="n"/>
      <c r="AL1149" s="84" t="n"/>
    </row>
    <row r="1150">
      <c r="A1150" s="64" t="n"/>
      <c r="B1150" s="65" t="n"/>
      <c r="C1150" s="66" t="n"/>
      <c r="D1150" s="67" t="n"/>
      <c r="E1150" s="68" t="n"/>
      <c r="F1150" s="47">
        <f>IF(A1150="","",IF(MIN(H1150,MAX(J1150:K1150))=0,"",MIN(H1150,MAX(J1150:K1150))))</f>
        <v/>
      </c>
      <c r="G1150" s="74" t="n"/>
      <c r="H1150" s="49">
        <f>IF(M1150="","",IFERROR(ROUND(AVERAGE(T1150+M1150*{7,8,9,10,11})/1.21,4),""))</f>
        <v/>
      </c>
      <c r="I1150" s="76" t="n"/>
      <c r="J1150" s="77" t="n"/>
      <c r="K1150" s="74" t="n"/>
      <c r="L1150" s="78" t="n"/>
      <c r="M1150" s="77" t="n"/>
      <c r="N1150" s="53">
        <f>IF(M1150="","",IFERROR(M1150/I1150,""))</f>
        <v/>
      </c>
      <c r="O1150" s="50">
        <f>IF(A1150="","",IFERROR((IF(G1150="",I1150,G1150)-T1150)/M1150,""))</f>
        <v/>
      </c>
      <c r="P1150" s="50">
        <f>IFERROR((I1150/T1150-1)/N1150,"")</f>
        <v/>
      </c>
      <c r="Q1150" s="46">
        <f>IF(OR(T1150="",I1150&lt;T1150),"",IFERROR(R1150/IF(G1150="",I1150,G1150)-1,""))</f>
        <v/>
      </c>
      <c r="R1150" s="48">
        <f>IF($M1150="","",MAX(IF($G1150="",$I1150,$G1150)*(1/1.1),IF($G1150="",$I1150,$G1150)+(R$2*$M1150)))</f>
        <v/>
      </c>
      <c r="S1150" s="49">
        <f>IF($M1150="","",MAX(IF($G1150="",$I1150,$G1150)*(1/1.1),IF($G1150="",$I1150,$G1150)+(S$2*$M1150)))</f>
        <v/>
      </c>
      <c r="T1150" s="82" t="n"/>
      <c r="U1150" s="47">
        <f>IF(OR($M1150="",$T1150=""),"",$T1150+(U$2*$M1150))</f>
        <v/>
      </c>
      <c r="V1150" s="48">
        <f>IF(OR($M1150="",$T1150=""),"",$T1150+(V$2*$M1150))</f>
        <v/>
      </c>
      <c r="W1150" s="48">
        <f>IF(OR($M1150="",$T1150=""),"",$T1150+(W$2*$M1150))</f>
        <v/>
      </c>
      <c r="X1150" s="49">
        <f>IF(OR($M1150="",$T1150=""),"",$T1150+(X$2*$M1150))</f>
        <v/>
      </c>
      <c r="Y1150" s="47">
        <f>IF(OR($M1150="",$T1150=""),"",$T1150+(Y$2*$M1150))</f>
        <v/>
      </c>
      <c r="Z1150" s="49">
        <f>IF(OR($M1150="",$T1150=""),"",$T1150+(Z$2*$M1150))</f>
        <v/>
      </c>
      <c r="AA1150" s="51">
        <f>IF(OR($M1150="",$T1150=""),"",$T1150+(AA$2*$M1150))</f>
        <v/>
      </c>
      <c r="AB1150" s="48">
        <f>IF(OR($M1150="",$T1150=""),"",$T1150+(AB$2*$M1150))</f>
        <v/>
      </c>
      <c r="AC1150" s="48">
        <f>IF(OR($M1150="",$T1150=""),"",$T1150+(AC$2*$M1150))</f>
        <v/>
      </c>
      <c r="AD1150" s="48">
        <f>IF(OR($M1150="",$T1150=""),"",$T1150+(AD$2*$M1150))</f>
        <v/>
      </c>
      <c r="AE1150" s="49">
        <f>IF(OR($M1150="",$T1150=""),"",$T1150+(AE$2*$M1150))</f>
        <v/>
      </c>
      <c r="AF1150" s="52">
        <f>IF(OR(T1150="",I1150&lt;T1150),"",IFERROR(AVERAGE(T1150+M1150*{7,8,9,10,11})/IF(G1150="",I1150,G1150)-1,""))</f>
        <v/>
      </c>
      <c r="AG1150" s="55">
        <f>IF(OR(T1150="",I1150&lt;T1150),"",IFERROR(AF1150/-(R1150/IF(G1150="",I1150,G1150)-1),""))</f>
        <v/>
      </c>
      <c r="AH1150" s="94" t="n"/>
      <c r="AI1150" s="94" t="n"/>
      <c r="AJ1150" s="94" t="n"/>
      <c r="AK1150" s="94" t="n"/>
      <c r="AL1150" s="84" t="n"/>
    </row>
    <row r="1151">
      <c r="A1151" s="64" t="n"/>
      <c r="B1151" s="65" t="n"/>
      <c r="C1151" s="66" t="n"/>
      <c r="D1151" s="67" t="n"/>
      <c r="E1151" s="68" t="n"/>
      <c r="F1151" s="47">
        <f>IF(A1151="","",IF(MIN(H1151,MAX(J1151:K1151))=0,"",MIN(H1151,MAX(J1151:K1151))))</f>
        <v/>
      </c>
      <c r="G1151" s="74" t="n"/>
      <c r="H1151" s="49">
        <f>IF(M1151="","",IFERROR(ROUND(AVERAGE(T1151+M1151*{7,8,9,10,11})/1.21,4),""))</f>
        <v/>
      </c>
      <c r="I1151" s="76" t="n"/>
      <c r="J1151" s="77" t="n"/>
      <c r="K1151" s="74" t="n"/>
      <c r="L1151" s="78" t="n"/>
      <c r="M1151" s="77" t="n"/>
      <c r="N1151" s="53">
        <f>IF(M1151="","",IFERROR(M1151/I1151,""))</f>
        <v/>
      </c>
      <c r="O1151" s="50">
        <f>IF(A1151="","",IFERROR((IF(G1151="",I1151,G1151)-T1151)/M1151,""))</f>
        <v/>
      </c>
      <c r="P1151" s="50">
        <f>IFERROR((I1151/T1151-1)/N1151,"")</f>
        <v/>
      </c>
      <c r="Q1151" s="46">
        <f>IF(OR(T1151="",I1151&lt;T1151),"",IFERROR(R1151/IF(G1151="",I1151,G1151)-1,""))</f>
        <v/>
      </c>
      <c r="R1151" s="48">
        <f>IF($M1151="","",MAX(IF($G1151="",$I1151,$G1151)*(1/1.1),IF($G1151="",$I1151,$G1151)+(R$2*$M1151)))</f>
        <v/>
      </c>
      <c r="S1151" s="49">
        <f>IF($M1151="","",MAX(IF($G1151="",$I1151,$G1151)*(1/1.1),IF($G1151="",$I1151,$G1151)+(S$2*$M1151)))</f>
        <v/>
      </c>
      <c r="T1151" s="82" t="n"/>
      <c r="U1151" s="47">
        <f>IF(OR($M1151="",$T1151=""),"",$T1151+(U$2*$M1151))</f>
        <v/>
      </c>
      <c r="V1151" s="48">
        <f>IF(OR($M1151="",$T1151=""),"",$T1151+(V$2*$M1151))</f>
        <v/>
      </c>
      <c r="W1151" s="48">
        <f>IF(OR($M1151="",$T1151=""),"",$T1151+(W$2*$M1151))</f>
        <v/>
      </c>
      <c r="X1151" s="49">
        <f>IF(OR($M1151="",$T1151=""),"",$T1151+(X$2*$M1151))</f>
        <v/>
      </c>
      <c r="Y1151" s="47">
        <f>IF(OR($M1151="",$T1151=""),"",$T1151+(Y$2*$M1151))</f>
        <v/>
      </c>
      <c r="Z1151" s="49">
        <f>IF(OR($M1151="",$T1151=""),"",$T1151+(Z$2*$M1151))</f>
        <v/>
      </c>
      <c r="AA1151" s="51">
        <f>IF(OR($M1151="",$T1151=""),"",$T1151+(AA$2*$M1151))</f>
        <v/>
      </c>
      <c r="AB1151" s="48">
        <f>IF(OR($M1151="",$T1151=""),"",$T1151+(AB$2*$M1151))</f>
        <v/>
      </c>
      <c r="AC1151" s="48">
        <f>IF(OR($M1151="",$T1151=""),"",$T1151+(AC$2*$M1151))</f>
        <v/>
      </c>
      <c r="AD1151" s="48">
        <f>IF(OR($M1151="",$T1151=""),"",$T1151+(AD$2*$M1151))</f>
        <v/>
      </c>
      <c r="AE1151" s="49">
        <f>IF(OR($M1151="",$T1151=""),"",$T1151+(AE$2*$M1151))</f>
        <v/>
      </c>
      <c r="AF1151" s="52">
        <f>IF(OR(T1151="",I1151&lt;T1151),"",IFERROR(AVERAGE(T1151+M1151*{7,8,9,10,11})/IF(G1151="",I1151,G1151)-1,""))</f>
        <v/>
      </c>
      <c r="AG1151" s="55">
        <f>IF(OR(T1151="",I1151&lt;T1151),"",IFERROR(AF1151/-(R1151/IF(G1151="",I1151,G1151)-1),""))</f>
        <v/>
      </c>
      <c r="AH1151" s="94" t="n"/>
      <c r="AI1151" s="94" t="n"/>
      <c r="AJ1151" s="94" t="n"/>
      <c r="AK1151" s="94" t="n"/>
      <c r="AL1151" s="84" t="n"/>
    </row>
    <row r="1152">
      <c r="A1152" s="64" t="n"/>
      <c r="B1152" s="65" t="n"/>
      <c r="C1152" s="66" t="n"/>
      <c r="D1152" s="67" t="n"/>
      <c r="E1152" s="68" t="n"/>
      <c r="F1152" s="47">
        <f>IF(A1152="","",IF(MIN(H1152,MAX(J1152:K1152))=0,"",MIN(H1152,MAX(J1152:K1152))))</f>
        <v/>
      </c>
      <c r="G1152" s="74" t="n"/>
      <c r="H1152" s="49">
        <f>IF(M1152="","",IFERROR(ROUND(AVERAGE(T1152+M1152*{7,8,9,10,11})/1.21,4),""))</f>
        <v/>
      </c>
      <c r="I1152" s="76" t="n"/>
      <c r="J1152" s="77" t="n"/>
      <c r="K1152" s="74" t="n"/>
      <c r="L1152" s="78" t="n"/>
      <c r="M1152" s="77" t="n"/>
      <c r="N1152" s="53">
        <f>IF(M1152="","",IFERROR(M1152/I1152,""))</f>
        <v/>
      </c>
      <c r="O1152" s="50">
        <f>IF(A1152="","",IFERROR((IF(G1152="",I1152,G1152)-T1152)/M1152,""))</f>
        <v/>
      </c>
      <c r="P1152" s="50">
        <f>IFERROR((I1152/T1152-1)/N1152,"")</f>
        <v/>
      </c>
      <c r="Q1152" s="46">
        <f>IF(OR(T1152="",I1152&lt;T1152),"",IFERROR(R1152/IF(G1152="",I1152,G1152)-1,""))</f>
        <v/>
      </c>
      <c r="R1152" s="48">
        <f>IF($M1152="","",MAX(IF($G1152="",$I1152,$G1152)*(1/1.1),IF($G1152="",$I1152,$G1152)+(R$2*$M1152)))</f>
        <v/>
      </c>
      <c r="S1152" s="49">
        <f>IF($M1152="","",MAX(IF($G1152="",$I1152,$G1152)*(1/1.1),IF($G1152="",$I1152,$G1152)+(S$2*$M1152)))</f>
        <v/>
      </c>
      <c r="T1152" s="82" t="n"/>
      <c r="U1152" s="47">
        <f>IF(OR($M1152="",$T1152=""),"",$T1152+(U$2*$M1152))</f>
        <v/>
      </c>
      <c r="V1152" s="48">
        <f>IF(OR($M1152="",$T1152=""),"",$T1152+(V$2*$M1152))</f>
        <v/>
      </c>
      <c r="W1152" s="48">
        <f>IF(OR($M1152="",$T1152=""),"",$T1152+(W$2*$M1152))</f>
        <v/>
      </c>
      <c r="X1152" s="49">
        <f>IF(OR($M1152="",$T1152=""),"",$T1152+(X$2*$M1152))</f>
        <v/>
      </c>
      <c r="Y1152" s="47">
        <f>IF(OR($M1152="",$T1152=""),"",$T1152+(Y$2*$M1152))</f>
        <v/>
      </c>
      <c r="Z1152" s="49">
        <f>IF(OR($M1152="",$T1152=""),"",$T1152+(Z$2*$M1152))</f>
        <v/>
      </c>
      <c r="AA1152" s="51">
        <f>IF(OR($M1152="",$T1152=""),"",$T1152+(AA$2*$M1152))</f>
        <v/>
      </c>
      <c r="AB1152" s="48">
        <f>IF(OR($M1152="",$T1152=""),"",$T1152+(AB$2*$M1152))</f>
        <v/>
      </c>
      <c r="AC1152" s="48">
        <f>IF(OR($M1152="",$T1152=""),"",$T1152+(AC$2*$M1152))</f>
        <v/>
      </c>
      <c r="AD1152" s="48">
        <f>IF(OR($M1152="",$T1152=""),"",$T1152+(AD$2*$M1152))</f>
        <v/>
      </c>
      <c r="AE1152" s="49">
        <f>IF(OR($M1152="",$T1152=""),"",$T1152+(AE$2*$M1152))</f>
        <v/>
      </c>
      <c r="AF1152" s="52">
        <f>IF(OR(T1152="",I1152&lt;T1152),"",IFERROR(AVERAGE(T1152+M1152*{7,8,9,10,11})/IF(G1152="",I1152,G1152)-1,""))</f>
        <v/>
      </c>
      <c r="AG1152" s="55">
        <f>IF(OR(T1152="",I1152&lt;T1152),"",IFERROR(AF1152/-(R1152/IF(G1152="",I1152,G1152)-1),""))</f>
        <v/>
      </c>
      <c r="AH1152" s="94" t="n"/>
      <c r="AI1152" s="94" t="n"/>
      <c r="AJ1152" s="94" t="n"/>
      <c r="AK1152" s="94" t="n"/>
      <c r="AL1152" s="84" t="n"/>
    </row>
    <row r="1153">
      <c r="A1153" s="64" t="n"/>
      <c r="B1153" s="65" t="n"/>
      <c r="C1153" s="66" t="n"/>
      <c r="D1153" s="67" t="n"/>
      <c r="E1153" s="68" t="n"/>
      <c r="F1153" s="47">
        <f>IF(A1153="","",IF(MIN(H1153,MAX(J1153:K1153))=0,"",MIN(H1153,MAX(J1153:K1153))))</f>
        <v/>
      </c>
      <c r="G1153" s="74" t="n"/>
      <c r="H1153" s="49">
        <f>IF(M1153="","",IFERROR(ROUND(AVERAGE(T1153+M1153*{7,8,9,10,11})/1.21,4),""))</f>
        <v/>
      </c>
      <c r="I1153" s="76" t="n"/>
      <c r="J1153" s="77" t="n"/>
      <c r="K1153" s="74" t="n"/>
      <c r="L1153" s="78" t="n"/>
      <c r="M1153" s="77" t="n"/>
      <c r="N1153" s="53">
        <f>IF(M1153="","",IFERROR(M1153/I1153,""))</f>
        <v/>
      </c>
      <c r="O1153" s="50">
        <f>IF(A1153="","",IFERROR((IF(G1153="",I1153,G1153)-T1153)/M1153,""))</f>
        <v/>
      </c>
      <c r="P1153" s="50">
        <f>IFERROR((I1153/T1153-1)/N1153,"")</f>
        <v/>
      </c>
      <c r="Q1153" s="46">
        <f>IF(OR(T1153="",I1153&lt;T1153),"",IFERROR(R1153/IF(G1153="",I1153,G1153)-1,""))</f>
        <v/>
      </c>
      <c r="R1153" s="48">
        <f>IF($M1153="","",MAX(IF($G1153="",$I1153,$G1153)*(1/1.1),IF($G1153="",$I1153,$G1153)+(R$2*$M1153)))</f>
        <v/>
      </c>
      <c r="S1153" s="49">
        <f>IF($M1153="","",MAX(IF($G1153="",$I1153,$G1153)*(1/1.1),IF($G1153="",$I1153,$G1153)+(S$2*$M1153)))</f>
        <v/>
      </c>
      <c r="T1153" s="82" t="n"/>
      <c r="U1153" s="47">
        <f>IF(OR($M1153="",$T1153=""),"",$T1153+(U$2*$M1153))</f>
        <v/>
      </c>
      <c r="V1153" s="48">
        <f>IF(OR($M1153="",$T1153=""),"",$T1153+(V$2*$M1153))</f>
        <v/>
      </c>
      <c r="W1153" s="48">
        <f>IF(OR($M1153="",$T1153=""),"",$T1153+(W$2*$M1153))</f>
        <v/>
      </c>
      <c r="X1153" s="49">
        <f>IF(OR($M1153="",$T1153=""),"",$T1153+(X$2*$M1153))</f>
        <v/>
      </c>
      <c r="Y1153" s="47">
        <f>IF(OR($M1153="",$T1153=""),"",$T1153+(Y$2*$M1153))</f>
        <v/>
      </c>
      <c r="Z1153" s="49">
        <f>IF(OR($M1153="",$T1153=""),"",$T1153+(Z$2*$M1153))</f>
        <v/>
      </c>
      <c r="AA1153" s="51">
        <f>IF(OR($M1153="",$T1153=""),"",$T1153+(AA$2*$M1153))</f>
        <v/>
      </c>
      <c r="AB1153" s="48">
        <f>IF(OR($M1153="",$T1153=""),"",$T1153+(AB$2*$M1153))</f>
        <v/>
      </c>
      <c r="AC1153" s="48">
        <f>IF(OR($M1153="",$T1153=""),"",$T1153+(AC$2*$M1153))</f>
        <v/>
      </c>
      <c r="AD1153" s="48">
        <f>IF(OR($M1153="",$T1153=""),"",$T1153+(AD$2*$M1153))</f>
        <v/>
      </c>
      <c r="AE1153" s="49">
        <f>IF(OR($M1153="",$T1153=""),"",$T1153+(AE$2*$M1153))</f>
        <v/>
      </c>
      <c r="AF1153" s="52">
        <f>IF(OR(T1153="",I1153&lt;T1153),"",IFERROR(AVERAGE(T1153+M1153*{7,8,9,10,11})/IF(G1153="",I1153,G1153)-1,""))</f>
        <v/>
      </c>
      <c r="AG1153" s="55">
        <f>IF(OR(T1153="",I1153&lt;T1153),"",IFERROR(AF1153/-(R1153/IF(G1153="",I1153,G1153)-1),""))</f>
        <v/>
      </c>
      <c r="AH1153" s="94" t="n"/>
      <c r="AI1153" s="94" t="n"/>
      <c r="AJ1153" s="94" t="n"/>
      <c r="AK1153" s="94" t="n"/>
      <c r="AL1153" s="84" t="n"/>
    </row>
    <row r="1154">
      <c r="A1154" s="64" t="n"/>
      <c r="B1154" s="65" t="n"/>
      <c r="C1154" s="66" t="n"/>
      <c r="D1154" s="67" t="n"/>
      <c r="E1154" s="68" t="n"/>
      <c r="F1154" s="47">
        <f>IF(A1154="","",IF(MIN(H1154,MAX(J1154:K1154))=0,"",MIN(H1154,MAX(J1154:K1154))))</f>
        <v/>
      </c>
      <c r="G1154" s="74" t="n"/>
      <c r="H1154" s="49">
        <f>IF(M1154="","",IFERROR(ROUND(AVERAGE(T1154+M1154*{7,8,9,10,11})/1.21,4),""))</f>
        <v/>
      </c>
      <c r="I1154" s="76" t="n"/>
      <c r="J1154" s="77" t="n"/>
      <c r="K1154" s="74" t="n"/>
      <c r="L1154" s="78" t="n"/>
      <c r="M1154" s="77" t="n"/>
      <c r="N1154" s="53">
        <f>IF(M1154="","",IFERROR(M1154/I1154,""))</f>
        <v/>
      </c>
      <c r="O1154" s="50">
        <f>IF(A1154="","",IFERROR((IF(G1154="",I1154,G1154)-T1154)/M1154,""))</f>
        <v/>
      </c>
      <c r="P1154" s="50">
        <f>IFERROR((I1154/T1154-1)/N1154,"")</f>
        <v/>
      </c>
      <c r="Q1154" s="46">
        <f>IF(OR(T1154="",I1154&lt;T1154),"",IFERROR(R1154/IF(G1154="",I1154,G1154)-1,""))</f>
        <v/>
      </c>
      <c r="R1154" s="48">
        <f>IF($M1154="","",MAX(IF($G1154="",$I1154,$G1154)*(1/1.1),IF($G1154="",$I1154,$G1154)+(R$2*$M1154)))</f>
        <v/>
      </c>
      <c r="S1154" s="49">
        <f>IF($M1154="","",MAX(IF($G1154="",$I1154,$G1154)*(1/1.1),IF($G1154="",$I1154,$G1154)+(S$2*$M1154)))</f>
        <v/>
      </c>
      <c r="T1154" s="82" t="n"/>
      <c r="U1154" s="47">
        <f>IF(OR($M1154="",$T1154=""),"",$T1154+(U$2*$M1154))</f>
        <v/>
      </c>
      <c r="V1154" s="48">
        <f>IF(OR($M1154="",$T1154=""),"",$T1154+(V$2*$M1154))</f>
        <v/>
      </c>
      <c r="W1154" s="48">
        <f>IF(OR($M1154="",$T1154=""),"",$T1154+(W$2*$M1154))</f>
        <v/>
      </c>
      <c r="X1154" s="49">
        <f>IF(OR($M1154="",$T1154=""),"",$T1154+(X$2*$M1154))</f>
        <v/>
      </c>
      <c r="Y1154" s="47">
        <f>IF(OR($M1154="",$T1154=""),"",$T1154+(Y$2*$M1154))</f>
        <v/>
      </c>
      <c r="Z1154" s="49">
        <f>IF(OR($M1154="",$T1154=""),"",$T1154+(Z$2*$M1154))</f>
        <v/>
      </c>
      <c r="AA1154" s="51">
        <f>IF(OR($M1154="",$T1154=""),"",$T1154+(AA$2*$M1154))</f>
        <v/>
      </c>
      <c r="AB1154" s="48">
        <f>IF(OR($M1154="",$T1154=""),"",$T1154+(AB$2*$M1154))</f>
        <v/>
      </c>
      <c r="AC1154" s="48">
        <f>IF(OR($M1154="",$T1154=""),"",$T1154+(AC$2*$M1154))</f>
        <v/>
      </c>
      <c r="AD1154" s="48">
        <f>IF(OR($M1154="",$T1154=""),"",$T1154+(AD$2*$M1154))</f>
        <v/>
      </c>
      <c r="AE1154" s="49">
        <f>IF(OR($M1154="",$T1154=""),"",$T1154+(AE$2*$M1154))</f>
        <v/>
      </c>
      <c r="AF1154" s="52">
        <f>IF(OR(T1154="",I1154&lt;T1154),"",IFERROR(AVERAGE(T1154+M1154*{7,8,9,10,11})/IF(G1154="",I1154,G1154)-1,""))</f>
        <v/>
      </c>
      <c r="AG1154" s="55">
        <f>IF(OR(T1154="",I1154&lt;T1154),"",IFERROR(AF1154/-(R1154/IF(G1154="",I1154,G1154)-1),""))</f>
        <v/>
      </c>
      <c r="AH1154" s="94" t="n"/>
      <c r="AI1154" s="94" t="n"/>
      <c r="AJ1154" s="94" t="n"/>
      <c r="AK1154" s="94" t="n"/>
      <c r="AL1154" s="84" t="n"/>
    </row>
    <row r="1155">
      <c r="A1155" s="64" t="n"/>
      <c r="B1155" s="65" t="n"/>
      <c r="C1155" s="66" t="n"/>
      <c r="D1155" s="67" t="n"/>
      <c r="E1155" s="68" t="n"/>
      <c r="F1155" s="47">
        <f>IF(A1155="","",IF(MIN(H1155,MAX(J1155:K1155))=0,"",MIN(H1155,MAX(J1155:K1155))))</f>
        <v/>
      </c>
      <c r="G1155" s="74" t="n"/>
      <c r="H1155" s="49">
        <f>IF(M1155="","",IFERROR(ROUND(AVERAGE(T1155+M1155*{7,8,9,10,11})/1.21,4),""))</f>
        <v/>
      </c>
      <c r="I1155" s="76" t="n"/>
      <c r="J1155" s="77" t="n"/>
      <c r="K1155" s="74" t="n"/>
      <c r="L1155" s="78" t="n"/>
      <c r="M1155" s="77" t="n"/>
      <c r="N1155" s="53">
        <f>IF(M1155="","",IFERROR(M1155/I1155,""))</f>
        <v/>
      </c>
      <c r="O1155" s="50">
        <f>IF(A1155="","",IFERROR((IF(G1155="",I1155,G1155)-T1155)/M1155,""))</f>
        <v/>
      </c>
      <c r="P1155" s="50">
        <f>IFERROR((I1155/T1155-1)/N1155,"")</f>
        <v/>
      </c>
      <c r="Q1155" s="46">
        <f>IF(OR(T1155="",I1155&lt;T1155),"",IFERROR(R1155/IF(G1155="",I1155,G1155)-1,""))</f>
        <v/>
      </c>
      <c r="R1155" s="48">
        <f>IF($M1155="","",MAX(IF($G1155="",$I1155,$G1155)*(1/1.1),IF($G1155="",$I1155,$G1155)+(R$2*$M1155)))</f>
        <v/>
      </c>
      <c r="S1155" s="49">
        <f>IF($M1155="","",MAX(IF($G1155="",$I1155,$G1155)*(1/1.1),IF($G1155="",$I1155,$G1155)+(S$2*$M1155)))</f>
        <v/>
      </c>
      <c r="T1155" s="82" t="n"/>
      <c r="U1155" s="47">
        <f>IF(OR($M1155="",$T1155=""),"",$T1155+(U$2*$M1155))</f>
        <v/>
      </c>
      <c r="V1155" s="48">
        <f>IF(OR($M1155="",$T1155=""),"",$T1155+(V$2*$M1155))</f>
        <v/>
      </c>
      <c r="W1155" s="48">
        <f>IF(OR($M1155="",$T1155=""),"",$T1155+(W$2*$M1155))</f>
        <v/>
      </c>
      <c r="X1155" s="49">
        <f>IF(OR($M1155="",$T1155=""),"",$T1155+(X$2*$M1155))</f>
        <v/>
      </c>
      <c r="Y1155" s="47">
        <f>IF(OR($M1155="",$T1155=""),"",$T1155+(Y$2*$M1155))</f>
        <v/>
      </c>
      <c r="Z1155" s="49">
        <f>IF(OR($M1155="",$T1155=""),"",$T1155+(Z$2*$M1155))</f>
        <v/>
      </c>
      <c r="AA1155" s="51">
        <f>IF(OR($M1155="",$T1155=""),"",$T1155+(AA$2*$M1155))</f>
        <v/>
      </c>
      <c r="AB1155" s="48">
        <f>IF(OR($M1155="",$T1155=""),"",$T1155+(AB$2*$M1155))</f>
        <v/>
      </c>
      <c r="AC1155" s="48">
        <f>IF(OR($M1155="",$T1155=""),"",$T1155+(AC$2*$M1155))</f>
        <v/>
      </c>
      <c r="AD1155" s="48">
        <f>IF(OR($M1155="",$T1155=""),"",$T1155+(AD$2*$M1155))</f>
        <v/>
      </c>
      <c r="AE1155" s="49">
        <f>IF(OR($M1155="",$T1155=""),"",$T1155+(AE$2*$M1155))</f>
        <v/>
      </c>
      <c r="AF1155" s="52">
        <f>IF(OR(T1155="",I1155&lt;T1155),"",IFERROR(AVERAGE(T1155+M1155*{7,8,9,10,11})/IF(G1155="",I1155,G1155)-1,""))</f>
        <v/>
      </c>
      <c r="AG1155" s="55">
        <f>IF(OR(T1155="",I1155&lt;T1155),"",IFERROR(AF1155/-(R1155/IF(G1155="",I1155,G1155)-1),""))</f>
        <v/>
      </c>
      <c r="AH1155" s="94" t="n"/>
      <c r="AI1155" s="94" t="n"/>
      <c r="AJ1155" s="94" t="n"/>
      <c r="AK1155" s="94" t="n"/>
      <c r="AL1155" s="84" t="n"/>
    </row>
    <row r="1156">
      <c r="A1156" s="64" t="n"/>
      <c r="B1156" s="65" t="n"/>
      <c r="C1156" s="66" t="n"/>
      <c r="D1156" s="67" t="n"/>
      <c r="E1156" s="68" t="n"/>
      <c r="F1156" s="47">
        <f>IF(A1156="","",IF(MIN(H1156,MAX(J1156:K1156))=0,"",MIN(H1156,MAX(J1156:K1156))))</f>
        <v/>
      </c>
      <c r="G1156" s="74" t="n"/>
      <c r="H1156" s="49">
        <f>IF(M1156="","",IFERROR(ROUND(AVERAGE(T1156+M1156*{7,8,9,10,11})/1.21,4),""))</f>
        <v/>
      </c>
      <c r="I1156" s="76" t="n"/>
      <c r="J1156" s="77" t="n"/>
      <c r="K1156" s="74" t="n"/>
      <c r="L1156" s="78" t="n"/>
      <c r="M1156" s="77" t="n"/>
      <c r="N1156" s="53">
        <f>IF(M1156="","",IFERROR(M1156/I1156,""))</f>
        <v/>
      </c>
      <c r="O1156" s="50">
        <f>IF(A1156="","",IFERROR((IF(G1156="",I1156,G1156)-T1156)/M1156,""))</f>
        <v/>
      </c>
      <c r="P1156" s="50">
        <f>IFERROR((I1156/T1156-1)/N1156,"")</f>
        <v/>
      </c>
      <c r="Q1156" s="46">
        <f>IF(OR(T1156="",I1156&lt;T1156),"",IFERROR(R1156/IF(G1156="",I1156,G1156)-1,""))</f>
        <v/>
      </c>
      <c r="R1156" s="48">
        <f>IF($M1156="","",MAX(IF($G1156="",$I1156,$G1156)*(1/1.1),IF($G1156="",$I1156,$G1156)+(R$2*$M1156)))</f>
        <v/>
      </c>
      <c r="S1156" s="49">
        <f>IF($M1156="","",MAX(IF($G1156="",$I1156,$G1156)*(1/1.1),IF($G1156="",$I1156,$G1156)+(S$2*$M1156)))</f>
        <v/>
      </c>
      <c r="T1156" s="82" t="n"/>
      <c r="U1156" s="47">
        <f>IF(OR($M1156="",$T1156=""),"",$T1156+(U$2*$M1156))</f>
        <v/>
      </c>
      <c r="V1156" s="48">
        <f>IF(OR($M1156="",$T1156=""),"",$T1156+(V$2*$M1156))</f>
        <v/>
      </c>
      <c r="W1156" s="48">
        <f>IF(OR($M1156="",$T1156=""),"",$T1156+(W$2*$M1156))</f>
        <v/>
      </c>
      <c r="X1156" s="49">
        <f>IF(OR($M1156="",$T1156=""),"",$T1156+(X$2*$M1156))</f>
        <v/>
      </c>
      <c r="Y1156" s="47">
        <f>IF(OR($M1156="",$T1156=""),"",$T1156+(Y$2*$M1156))</f>
        <v/>
      </c>
      <c r="Z1156" s="49">
        <f>IF(OR($M1156="",$T1156=""),"",$T1156+(Z$2*$M1156))</f>
        <v/>
      </c>
      <c r="AA1156" s="51">
        <f>IF(OR($M1156="",$T1156=""),"",$T1156+(AA$2*$M1156))</f>
        <v/>
      </c>
      <c r="AB1156" s="48">
        <f>IF(OR($M1156="",$T1156=""),"",$T1156+(AB$2*$M1156))</f>
        <v/>
      </c>
      <c r="AC1156" s="48">
        <f>IF(OR($M1156="",$T1156=""),"",$T1156+(AC$2*$M1156))</f>
        <v/>
      </c>
      <c r="AD1156" s="48">
        <f>IF(OR($M1156="",$T1156=""),"",$T1156+(AD$2*$M1156))</f>
        <v/>
      </c>
      <c r="AE1156" s="49">
        <f>IF(OR($M1156="",$T1156=""),"",$T1156+(AE$2*$M1156))</f>
        <v/>
      </c>
      <c r="AF1156" s="52">
        <f>IF(OR(T1156="",I1156&lt;T1156),"",IFERROR(AVERAGE(T1156+M1156*{7,8,9,10,11})/IF(G1156="",I1156,G1156)-1,""))</f>
        <v/>
      </c>
      <c r="AG1156" s="55">
        <f>IF(OR(T1156="",I1156&lt;T1156),"",IFERROR(AF1156/-(R1156/IF(G1156="",I1156,G1156)-1),""))</f>
        <v/>
      </c>
      <c r="AH1156" s="94" t="n"/>
      <c r="AI1156" s="94" t="n"/>
      <c r="AJ1156" s="94" t="n"/>
      <c r="AK1156" s="94" t="n"/>
      <c r="AL1156" s="84" t="n"/>
    </row>
    <row r="1157">
      <c r="A1157" s="64" t="n"/>
      <c r="B1157" s="65" t="n"/>
      <c r="C1157" s="66" t="n"/>
      <c r="D1157" s="67" t="n"/>
      <c r="E1157" s="68" t="n"/>
      <c r="F1157" s="47">
        <f>IF(A1157="","",IF(MIN(H1157,MAX(J1157:K1157))=0,"",MIN(H1157,MAX(J1157:K1157))))</f>
        <v/>
      </c>
      <c r="G1157" s="74" t="n"/>
      <c r="H1157" s="49">
        <f>IF(M1157="","",IFERROR(ROUND(AVERAGE(T1157+M1157*{7,8,9,10,11})/1.21,4),""))</f>
        <v/>
      </c>
      <c r="I1157" s="76" t="n"/>
      <c r="J1157" s="77" t="n"/>
      <c r="K1157" s="74" t="n"/>
      <c r="L1157" s="78" t="n"/>
      <c r="M1157" s="77" t="n"/>
      <c r="N1157" s="53">
        <f>IF(M1157="","",IFERROR(M1157/I1157,""))</f>
        <v/>
      </c>
      <c r="O1157" s="50">
        <f>IF(A1157="","",IFERROR((IF(G1157="",I1157,G1157)-T1157)/M1157,""))</f>
        <v/>
      </c>
      <c r="P1157" s="50">
        <f>IFERROR((I1157/T1157-1)/N1157,"")</f>
        <v/>
      </c>
      <c r="Q1157" s="46">
        <f>IF(OR(T1157="",I1157&lt;T1157),"",IFERROR(R1157/IF(G1157="",I1157,G1157)-1,""))</f>
        <v/>
      </c>
      <c r="R1157" s="48">
        <f>IF($M1157="","",MAX(IF($G1157="",$I1157,$G1157)*(1/1.1),IF($G1157="",$I1157,$G1157)+(R$2*$M1157)))</f>
        <v/>
      </c>
      <c r="S1157" s="49">
        <f>IF($M1157="","",MAX(IF($G1157="",$I1157,$G1157)*(1/1.1),IF($G1157="",$I1157,$G1157)+(S$2*$M1157)))</f>
        <v/>
      </c>
      <c r="T1157" s="82" t="n"/>
      <c r="U1157" s="47">
        <f>IF(OR($M1157="",$T1157=""),"",$T1157+(U$2*$M1157))</f>
        <v/>
      </c>
      <c r="V1157" s="48">
        <f>IF(OR($M1157="",$T1157=""),"",$T1157+(V$2*$M1157))</f>
        <v/>
      </c>
      <c r="W1157" s="48">
        <f>IF(OR($M1157="",$T1157=""),"",$T1157+(W$2*$M1157))</f>
        <v/>
      </c>
      <c r="X1157" s="49">
        <f>IF(OR($M1157="",$T1157=""),"",$T1157+(X$2*$M1157))</f>
        <v/>
      </c>
      <c r="Y1157" s="47">
        <f>IF(OR($M1157="",$T1157=""),"",$T1157+(Y$2*$M1157))</f>
        <v/>
      </c>
      <c r="Z1157" s="49">
        <f>IF(OR($M1157="",$T1157=""),"",$T1157+(Z$2*$M1157))</f>
        <v/>
      </c>
      <c r="AA1157" s="51">
        <f>IF(OR($M1157="",$T1157=""),"",$T1157+(AA$2*$M1157))</f>
        <v/>
      </c>
      <c r="AB1157" s="48">
        <f>IF(OR($M1157="",$T1157=""),"",$T1157+(AB$2*$M1157))</f>
        <v/>
      </c>
      <c r="AC1157" s="48">
        <f>IF(OR($M1157="",$T1157=""),"",$T1157+(AC$2*$M1157))</f>
        <v/>
      </c>
      <c r="AD1157" s="48">
        <f>IF(OR($M1157="",$T1157=""),"",$T1157+(AD$2*$M1157))</f>
        <v/>
      </c>
      <c r="AE1157" s="49">
        <f>IF(OR($M1157="",$T1157=""),"",$T1157+(AE$2*$M1157))</f>
        <v/>
      </c>
      <c r="AF1157" s="52">
        <f>IF(OR(T1157="",I1157&lt;T1157),"",IFERROR(AVERAGE(T1157+M1157*{7,8,9,10,11})/IF(G1157="",I1157,G1157)-1,""))</f>
        <v/>
      </c>
      <c r="AG1157" s="55">
        <f>IF(OR(T1157="",I1157&lt;T1157),"",IFERROR(AF1157/-(R1157/IF(G1157="",I1157,G1157)-1),""))</f>
        <v/>
      </c>
      <c r="AH1157" s="94" t="n"/>
      <c r="AI1157" s="94" t="n"/>
      <c r="AJ1157" s="94" t="n"/>
      <c r="AK1157" s="94" t="n"/>
      <c r="AL1157" s="84" t="n"/>
    </row>
    <row r="1158">
      <c r="A1158" s="64" t="n"/>
      <c r="B1158" s="65" t="n"/>
      <c r="C1158" s="66" t="n"/>
      <c r="D1158" s="67" t="n"/>
      <c r="E1158" s="68" t="n"/>
      <c r="F1158" s="47">
        <f>IF(A1158="","",IF(MIN(H1158,MAX(J1158:K1158))=0,"",MIN(H1158,MAX(J1158:K1158))))</f>
        <v/>
      </c>
      <c r="G1158" s="74" t="n"/>
      <c r="H1158" s="49">
        <f>IF(M1158="","",IFERROR(ROUND(AVERAGE(T1158+M1158*{7,8,9,10,11})/1.21,4),""))</f>
        <v/>
      </c>
      <c r="I1158" s="76" t="n"/>
      <c r="J1158" s="77" t="n"/>
      <c r="K1158" s="74" t="n"/>
      <c r="L1158" s="78" t="n"/>
      <c r="M1158" s="77" t="n"/>
      <c r="N1158" s="53">
        <f>IF(M1158="","",IFERROR(M1158/I1158,""))</f>
        <v/>
      </c>
      <c r="O1158" s="50">
        <f>IF(A1158="","",IFERROR((IF(G1158="",I1158,G1158)-T1158)/M1158,""))</f>
        <v/>
      </c>
      <c r="P1158" s="50">
        <f>IFERROR((I1158/T1158-1)/N1158,"")</f>
        <v/>
      </c>
      <c r="Q1158" s="46">
        <f>IF(OR(T1158="",I1158&lt;T1158),"",IFERROR(R1158/IF(G1158="",I1158,G1158)-1,""))</f>
        <v/>
      </c>
      <c r="R1158" s="48">
        <f>IF($M1158="","",MAX(IF($G1158="",$I1158,$G1158)*(1/1.1),IF($G1158="",$I1158,$G1158)+(R$2*$M1158)))</f>
        <v/>
      </c>
      <c r="S1158" s="49">
        <f>IF($M1158="","",MAX(IF($G1158="",$I1158,$G1158)*(1/1.1),IF($G1158="",$I1158,$G1158)+(S$2*$M1158)))</f>
        <v/>
      </c>
      <c r="T1158" s="82" t="n"/>
      <c r="U1158" s="47">
        <f>IF(OR($M1158="",$T1158=""),"",$T1158+(U$2*$M1158))</f>
        <v/>
      </c>
      <c r="V1158" s="48">
        <f>IF(OR($M1158="",$T1158=""),"",$T1158+(V$2*$M1158))</f>
        <v/>
      </c>
      <c r="W1158" s="48">
        <f>IF(OR($M1158="",$T1158=""),"",$T1158+(W$2*$M1158))</f>
        <v/>
      </c>
      <c r="X1158" s="49">
        <f>IF(OR($M1158="",$T1158=""),"",$T1158+(X$2*$M1158))</f>
        <v/>
      </c>
      <c r="Y1158" s="47">
        <f>IF(OR($M1158="",$T1158=""),"",$T1158+(Y$2*$M1158))</f>
        <v/>
      </c>
      <c r="Z1158" s="49">
        <f>IF(OR($M1158="",$T1158=""),"",$T1158+(Z$2*$M1158))</f>
        <v/>
      </c>
      <c r="AA1158" s="51">
        <f>IF(OR($M1158="",$T1158=""),"",$T1158+(AA$2*$M1158))</f>
        <v/>
      </c>
      <c r="AB1158" s="48">
        <f>IF(OR($M1158="",$T1158=""),"",$T1158+(AB$2*$M1158))</f>
        <v/>
      </c>
      <c r="AC1158" s="48">
        <f>IF(OR($M1158="",$T1158=""),"",$T1158+(AC$2*$M1158))</f>
        <v/>
      </c>
      <c r="AD1158" s="48">
        <f>IF(OR($M1158="",$T1158=""),"",$T1158+(AD$2*$M1158))</f>
        <v/>
      </c>
      <c r="AE1158" s="49">
        <f>IF(OR($M1158="",$T1158=""),"",$T1158+(AE$2*$M1158))</f>
        <v/>
      </c>
      <c r="AF1158" s="52">
        <f>IF(OR(T1158="",I1158&lt;T1158),"",IFERROR(AVERAGE(T1158+M1158*{7,8,9,10,11})/IF(G1158="",I1158,G1158)-1,""))</f>
        <v/>
      </c>
      <c r="AG1158" s="55">
        <f>IF(OR(T1158="",I1158&lt;T1158),"",IFERROR(AF1158/-(R1158/IF(G1158="",I1158,G1158)-1),""))</f>
        <v/>
      </c>
      <c r="AH1158" s="94" t="n"/>
      <c r="AI1158" s="94" t="n"/>
      <c r="AJ1158" s="94" t="n"/>
      <c r="AK1158" s="94" t="n"/>
      <c r="AL1158" s="84" t="n"/>
    </row>
    <row r="1159">
      <c r="A1159" s="64" t="n"/>
      <c r="B1159" s="65" t="n"/>
      <c r="C1159" s="66" t="n"/>
      <c r="D1159" s="67" t="n"/>
      <c r="E1159" s="68" t="n"/>
      <c r="F1159" s="47">
        <f>IF(A1159="","",IF(MIN(H1159,MAX(J1159:K1159))=0,"",MIN(H1159,MAX(J1159:K1159))))</f>
        <v/>
      </c>
      <c r="G1159" s="74" t="n"/>
      <c r="H1159" s="49">
        <f>IF(M1159="","",IFERROR(ROUND(AVERAGE(T1159+M1159*{7,8,9,10,11})/1.21,4),""))</f>
        <v/>
      </c>
      <c r="I1159" s="76" t="n"/>
      <c r="J1159" s="77" t="n"/>
      <c r="K1159" s="74" t="n"/>
      <c r="L1159" s="78" t="n"/>
      <c r="M1159" s="77" t="n"/>
      <c r="N1159" s="53">
        <f>IF(M1159="","",IFERROR(M1159/I1159,""))</f>
        <v/>
      </c>
      <c r="O1159" s="50">
        <f>IF(A1159="","",IFERROR((IF(G1159="",I1159,G1159)-T1159)/M1159,""))</f>
        <v/>
      </c>
      <c r="P1159" s="50">
        <f>IFERROR((I1159/T1159-1)/N1159,"")</f>
        <v/>
      </c>
      <c r="Q1159" s="46">
        <f>IF(OR(T1159="",I1159&lt;T1159),"",IFERROR(R1159/IF(G1159="",I1159,G1159)-1,""))</f>
        <v/>
      </c>
      <c r="R1159" s="48">
        <f>IF($M1159="","",MAX(IF($G1159="",$I1159,$G1159)*(1/1.1),IF($G1159="",$I1159,$G1159)+(R$2*$M1159)))</f>
        <v/>
      </c>
      <c r="S1159" s="49">
        <f>IF($M1159="","",MAX(IF($G1159="",$I1159,$G1159)*(1/1.1),IF($G1159="",$I1159,$G1159)+(S$2*$M1159)))</f>
        <v/>
      </c>
      <c r="T1159" s="82" t="n"/>
      <c r="U1159" s="47">
        <f>IF(OR($M1159="",$T1159=""),"",$T1159+(U$2*$M1159))</f>
        <v/>
      </c>
      <c r="V1159" s="48">
        <f>IF(OR($M1159="",$T1159=""),"",$T1159+(V$2*$M1159))</f>
        <v/>
      </c>
      <c r="W1159" s="48">
        <f>IF(OR($M1159="",$T1159=""),"",$T1159+(W$2*$M1159))</f>
        <v/>
      </c>
      <c r="X1159" s="49">
        <f>IF(OR($M1159="",$T1159=""),"",$T1159+(X$2*$M1159))</f>
        <v/>
      </c>
      <c r="Y1159" s="47">
        <f>IF(OR($M1159="",$T1159=""),"",$T1159+(Y$2*$M1159))</f>
        <v/>
      </c>
      <c r="Z1159" s="49">
        <f>IF(OR($M1159="",$T1159=""),"",$T1159+(Z$2*$M1159))</f>
        <v/>
      </c>
      <c r="AA1159" s="51">
        <f>IF(OR($M1159="",$T1159=""),"",$T1159+(AA$2*$M1159))</f>
        <v/>
      </c>
      <c r="AB1159" s="48">
        <f>IF(OR($M1159="",$T1159=""),"",$T1159+(AB$2*$M1159))</f>
        <v/>
      </c>
      <c r="AC1159" s="48">
        <f>IF(OR($M1159="",$T1159=""),"",$T1159+(AC$2*$M1159))</f>
        <v/>
      </c>
      <c r="AD1159" s="48">
        <f>IF(OR($M1159="",$T1159=""),"",$T1159+(AD$2*$M1159))</f>
        <v/>
      </c>
      <c r="AE1159" s="49">
        <f>IF(OR($M1159="",$T1159=""),"",$T1159+(AE$2*$M1159))</f>
        <v/>
      </c>
      <c r="AF1159" s="52">
        <f>IF(OR(T1159="",I1159&lt;T1159),"",IFERROR(AVERAGE(T1159+M1159*{7,8,9,10,11})/IF(G1159="",I1159,G1159)-1,""))</f>
        <v/>
      </c>
      <c r="AG1159" s="55">
        <f>IF(OR(T1159="",I1159&lt;T1159),"",IFERROR(AF1159/-(R1159/IF(G1159="",I1159,G1159)-1),""))</f>
        <v/>
      </c>
      <c r="AH1159" s="94" t="n"/>
      <c r="AI1159" s="94" t="n"/>
      <c r="AJ1159" s="94" t="n"/>
      <c r="AK1159" s="94" t="n"/>
      <c r="AL1159" s="84" t="n"/>
    </row>
    <row r="1160">
      <c r="A1160" s="64" t="n"/>
      <c r="B1160" s="65" t="n"/>
      <c r="C1160" s="66" t="n"/>
      <c r="D1160" s="67" t="n"/>
      <c r="E1160" s="68" t="n"/>
      <c r="F1160" s="47">
        <f>IF(A1160="","",IF(MIN(H1160,MAX(J1160:K1160))=0,"",MIN(H1160,MAX(J1160:K1160))))</f>
        <v/>
      </c>
      <c r="G1160" s="74" t="n"/>
      <c r="H1160" s="49">
        <f>IF(M1160="","",IFERROR(ROUND(AVERAGE(T1160+M1160*{7,8,9,10,11})/1.21,4),""))</f>
        <v/>
      </c>
      <c r="I1160" s="76" t="n"/>
      <c r="J1160" s="77" t="n"/>
      <c r="K1160" s="74" t="n"/>
      <c r="L1160" s="78" t="n"/>
      <c r="M1160" s="77" t="n"/>
      <c r="N1160" s="53">
        <f>IF(M1160="","",IFERROR(M1160/I1160,""))</f>
        <v/>
      </c>
      <c r="O1160" s="50">
        <f>IF(A1160="","",IFERROR((IF(G1160="",I1160,G1160)-T1160)/M1160,""))</f>
        <v/>
      </c>
      <c r="P1160" s="50">
        <f>IFERROR((I1160/T1160-1)/N1160,"")</f>
        <v/>
      </c>
      <c r="Q1160" s="46">
        <f>IF(OR(T1160="",I1160&lt;T1160),"",IFERROR(R1160/IF(G1160="",I1160,G1160)-1,""))</f>
        <v/>
      </c>
      <c r="R1160" s="48">
        <f>IF($M1160="","",MAX(IF($G1160="",$I1160,$G1160)*(1/1.1),IF($G1160="",$I1160,$G1160)+(R$2*$M1160)))</f>
        <v/>
      </c>
      <c r="S1160" s="49">
        <f>IF($M1160="","",MAX(IF($G1160="",$I1160,$G1160)*(1/1.1),IF($G1160="",$I1160,$G1160)+(S$2*$M1160)))</f>
        <v/>
      </c>
      <c r="T1160" s="82" t="n"/>
      <c r="U1160" s="47">
        <f>IF(OR($M1160="",$T1160=""),"",$T1160+(U$2*$M1160))</f>
        <v/>
      </c>
      <c r="V1160" s="48">
        <f>IF(OR($M1160="",$T1160=""),"",$T1160+(V$2*$M1160))</f>
        <v/>
      </c>
      <c r="W1160" s="48">
        <f>IF(OR($M1160="",$T1160=""),"",$T1160+(W$2*$M1160))</f>
        <v/>
      </c>
      <c r="X1160" s="49">
        <f>IF(OR($M1160="",$T1160=""),"",$T1160+(X$2*$M1160))</f>
        <v/>
      </c>
      <c r="Y1160" s="47">
        <f>IF(OR($M1160="",$T1160=""),"",$T1160+(Y$2*$M1160))</f>
        <v/>
      </c>
      <c r="Z1160" s="49">
        <f>IF(OR($M1160="",$T1160=""),"",$T1160+(Z$2*$M1160))</f>
        <v/>
      </c>
      <c r="AA1160" s="51">
        <f>IF(OR($M1160="",$T1160=""),"",$T1160+(AA$2*$M1160))</f>
        <v/>
      </c>
      <c r="AB1160" s="48">
        <f>IF(OR($M1160="",$T1160=""),"",$T1160+(AB$2*$M1160))</f>
        <v/>
      </c>
      <c r="AC1160" s="48">
        <f>IF(OR($M1160="",$T1160=""),"",$T1160+(AC$2*$M1160))</f>
        <v/>
      </c>
      <c r="AD1160" s="48">
        <f>IF(OR($M1160="",$T1160=""),"",$T1160+(AD$2*$M1160))</f>
        <v/>
      </c>
      <c r="AE1160" s="49">
        <f>IF(OR($M1160="",$T1160=""),"",$T1160+(AE$2*$M1160))</f>
        <v/>
      </c>
      <c r="AF1160" s="52">
        <f>IF(OR(T1160="",I1160&lt;T1160),"",IFERROR(AVERAGE(T1160+M1160*{7,8,9,10,11})/IF(G1160="",I1160,G1160)-1,""))</f>
        <v/>
      </c>
      <c r="AG1160" s="55">
        <f>IF(OR(T1160="",I1160&lt;T1160),"",IFERROR(AF1160/-(R1160/IF(G1160="",I1160,G1160)-1),""))</f>
        <v/>
      </c>
      <c r="AH1160" s="94" t="n"/>
      <c r="AI1160" s="94" t="n"/>
      <c r="AJ1160" s="94" t="n"/>
      <c r="AK1160" s="94" t="n"/>
      <c r="AL1160" s="84" t="n"/>
    </row>
    <row r="1161">
      <c r="A1161" s="64" t="n"/>
      <c r="B1161" s="65" t="n"/>
      <c r="C1161" s="66" t="n"/>
      <c r="D1161" s="67" t="n"/>
      <c r="E1161" s="68" t="n"/>
      <c r="F1161" s="47">
        <f>IF(A1161="","",IF(MIN(H1161,MAX(J1161:K1161))=0,"",MIN(H1161,MAX(J1161:K1161))))</f>
        <v/>
      </c>
      <c r="G1161" s="74" t="n"/>
      <c r="H1161" s="49">
        <f>IF(M1161="","",IFERROR(ROUND(AVERAGE(T1161+M1161*{7,8,9,10,11})/1.21,4),""))</f>
        <v/>
      </c>
      <c r="I1161" s="76" t="n"/>
      <c r="J1161" s="77" t="n"/>
      <c r="K1161" s="74" t="n"/>
      <c r="L1161" s="78" t="n"/>
      <c r="M1161" s="77" t="n"/>
      <c r="N1161" s="53">
        <f>IF(M1161="","",IFERROR(M1161/I1161,""))</f>
        <v/>
      </c>
      <c r="O1161" s="50">
        <f>IF(A1161="","",IFERROR((IF(G1161="",I1161,G1161)-T1161)/M1161,""))</f>
        <v/>
      </c>
      <c r="P1161" s="50">
        <f>IFERROR((I1161/T1161-1)/N1161,"")</f>
        <v/>
      </c>
      <c r="Q1161" s="46">
        <f>IF(OR(T1161="",I1161&lt;T1161),"",IFERROR(R1161/IF(G1161="",I1161,G1161)-1,""))</f>
        <v/>
      </c>
      <c r="R1161" s="48">
        <f>IF($M1161="","",MAX(IF($G1161="",$I1161,$G1161)*(1/1.1),IF($G1161="",$I1161,$G1161)+(R$2*$M1161)))</f>
        <v/>
      </c>
      <c r="S1161" s="49">
        <f>IF($M1161="","",MAX(IF($G1161="",$I1161,$G1161)*(1/1.1),IF($G1161="",$I1161,$G1161)+(S$2*$M1161)))</f>
        <v/>
      </c>
      <c r="T1161" s="82" t="n"/>
      <c r="U1161" s="47">
        <f>IF(OR($M1161="",$T1161=""),"",$T1161+(U$2*$M1161))</f>
        <v/>
      </c>
      <c r="V1161" s="48">
        <f>IF(OR($M1161="",$T1161=""),"",$T1161+(V$2*$M1161))</f>
        <v/>
      </c>
      <c r="W1161" s="48">
        <f>IF(OR($M1161="",$T1161=""),"",$T1161+(W$2*$M1161))</f>
        <v/>
      </c>
      <c r="X1161" s="49">
        <f>IF(OR($M1161="",$T1161=""),"",$T1161+(X$2*$M1161))</f>
        <v/>
      </c>
      <c r="Y1161" s="47">
        <f>IF(OR($M1161="",$T1161=""),"",$T1161+(Y$2*$M1161))</f>
        <v/>
      </c>
      <c r="Z1161" s="49">
        <f>IF(OR($M1161="",$T1161=""),"",$T1161+(Z$2*$M1161))</f>
        <v/>
      </c>
      <c r="AA1161" s="51">
        <f>IF(OR($M1161="",$T1161=""),"",$T1161+(AA$2*$M1161))</f>
        <v/>
      </c>
      <c r="AB1161" s="48">
        <f>IF(OR($M1161="",$T1161=""),"",$T1161+(AB$2*$M1161))</f>
        <v/>
      </c>
      <c r="AC1161" s="48">
        <f>IF(OR($M1161="",$T1161=""),"",$T1161+(AC$2*$M1161))</f>
        <v/>
      </c>
      <c r="AD1161" s="48">
        <f>IF(OR($M1161="",$T1161=""),"",$T1161+(AD$2*$M1161))</f>
        <v/>
      </c>
      <c r="AE1161" s="49">
        <f>IF(OR($M1161="",$T1161=""),"",$T1161+(AE$2*$M1161))</f>
        <v/>
      </c>
      <c r="AF1161" s="52">
        <f>IF(OR(T1161="",I1161&lt;T1161),"",IFERROR(AVERAGE(T1161+M1161*{7,8,9,10,11})/IF(G1161="",I1161,G1161)-1,""))</f>
        <v/>
      </c>
      <c r="AG1161" s="55">
        <f>IF(OR(T1161="",I1161&lt;T1161),"",IFERROR(AF1161/-(R1161/IF(G1161="",I1161,G1161)-1),""))</f>
        <v/>
      </c>
      <c r="AH1161" s="94" t="n"/>
      <c r="AI1161" s="94" t="n"/>
      <c r="AJ1161" s="94" t="n"/>
      <c r="AK1161" s="94" t="n"/>
      <c r="AL1161" s="84" t="n"/>
    </row>
    <row r="1162">
      <c r="A1162" s="64" t="n"/>
      <c r="B1162" s="65" t="n"/>
      <c r="C1162" s="66" t="n"/>
      <c r="D1162" s="67" t="n"/>
      <c r="E1162" s="68" t="n"/>
      <c r="F1162" s="47">
        <f>IF(A1162="","",IF(MIN(H1162,MAX(J1162:K1162))=0,"",MIN(H1162,MAX(J1162:K1162))))</f>
        <v/>
      </c>
      <c r="G1162" s="74" t="n"/>
      <c r="H1162" s="49">
        <f>IF(M1162="","",IFERROR(ROUND(AVERAGE(T1162+M1162*{7,8,9,10,11})/1.21,4),""))</f>
        <v/>
      </c>
      <c r="I1162" s="76" t="n"/>
      <c r="J1162" s="77" t="n"/>
      <c r="K1162" s="74" t="n"/>
      <c r="L1162" s="78" t="n"/>
      <c r="M1162" s="77" t="n"/>
      <c r="N1162" s="53">
        <f>IF(M1162="","",IFERROR(M1162/I1162,""))</f>
        <v/>
      </c>
      <c r="O1162" s="50">
        <f>IF(A1162="","",IFERROR((IF(G1162="",I1162,G1162)-T1162)/M1162,""))</f>
        <v/>
      </c>
      <c r="P1162" s="50">
        <f>IFERROR((I1162/T1162-1)/N1162,"")</f>
        <v/>
      </c>
      <c r="Q1162" s="46">
        <f>IF(OR(T1162="",I1162&lt;T1162),"",IFERROR(R1162/IF(G1162="",I1162,G1162)-1,""))</f>
        <v/>
      </c>
      <c r="R1162" s="48">
        <f>IF($M1162="","",MAX(IF($G1162="",$I1162,$G1162)*(1/1.1),IF($G1162="",$I1162,$G1162)+(R$2*$M1162)))</f>
        <v/>
      </c>
      <c r="S1162" s="49">
        <f>IF($M1162="","",MAX(IF($G1162="",$I1162,$G1162)*(1/1.1),IF($G1162="",$I1162,$G1162)+(S$2*$M1162)))</f>
        <v/>
      </c>
      <c r="T1162" s="82" t="n"/>
      <c r="U1162" s="47">
        <f>IF(OR($M1162="",$T1162=""),"",$T1162+(U$2*$M1162))</f>
        <v/>
      </c>
      <c r="V1162" s="48">
        <f>IF(OR($M1162="",$T1162=""),"",$T1162+(V$2*$M1162))</f>
        <v/>
      </c>
      <c r="W1162" s="48">
        <f>IF(OR($M1162="",$T1162=""),"",$T1162+(W$2*$M1162))</f>
        <v/>
      </c>
      <c r="X1162" s="49">
        <f>IF(OR($M1162="",$T1162=""),"",$T1162+(X$2*$M1162))</f>
        <v/>
      </c>
      <c r="Y1162" s="47">
        <f>IF(OR($M1162="",$T1162=""),"",$T1162+(Y$2*$M1162))</f>
        <v/>
      </c>
      <c r="Z1162" s="49">
        <f>IF(OR($M1162="",$T1162=""),"",$T1162+(Z$2*$M1162))</f>
        <v/>
      </c>
      <c r="AA1162" s="51">
        <f>IF(OR($M1162="",$T1162=""),"",$T1162+(AA$2*$M1162))</f>
        <v/>
      </c>
      <c r="AB1162" s="48">
        <f>IF(OR($M1162="",$T1162=""),"",$T1162+(AB$2*$M1162))</f>
        <v/>
      </c>
      <c r="AC1162" s="48">
        <f>IF(OR($M1162="",$T1162=""),"",$T1162+(AC$2*$M1162))</f>
        <v/>
      </c>
      <c r="AD1162" s="48">
        <f>IF(OR($M1162="",$T1162=""),"",$T1162+(AD$2*$M1162))</f>
        <v/>
      </c>
      <c r="AE1162" s="49">
        <f>IF(OR($M1162="",$T1162=""),"",$T1162+(AE$2*$M1162))</f>
        <v/>
      </c>
      <c r="AF1162" s="52">
        <f>IF(OR(T1162="",I1162&lt;T1162),"",IFERROR(AVERAGE(T1162+M1162*{7,8,9,10,11})/IF(G1162="",I1162,G1162)-1,""))</f>
        <v/>
      </c>
      <c r="AG1162" s="55">
        <f>IF(OR(T1162="",I1162&lt;T1162),"",IFERROR(AF1162/-(R1162/IF(G1162="",I1162,G1162)-1),""))</f>
        <v/>
      </c>
      <c r="AH1162" s="94" t="n"/>
      <c r="AI1162" s="94" t="n"/>
      <c r="AJ1162" s="94" t="n"/>
      <c r="AK1162" s="94" t="n"/>
      <c r="AL1162" s="84" t="n"/>
    </row>
    <row r="1163">
      <c r="A1163" s="64" t="n"/>
      <c r="B1163" s="65" t="n"/>
      <c r="C1163" s="66" t="n"/>
      <c r="D1163" s="67" t="n"/>
      <c r="E1163" s="68" t="n"/>
      <c r="F1163" s="47">
        <f>IF(A1163="","",IF(MIN(H1163,MAX(J1163:K1163))=0,"",MIN(H1163,MAX(J1163:K1163))))</f>
        <v/>
      </c>
      <c r="G1163" s="74" t="n"/>
      <c r="H1163" s="49">
        <f>IF(M1163="","",IFERROR(ROUND(AVERAGE(T1163+M1163*{7,8,9,10,11})/1.21,4),""))</f>
        <v/>
      </c>
      <c r="I1163" s="76" t="n"/>
      <c r="J1163" s="77" t="n"/>
      <c r="K1163" s="74" t="n"/>
      <c r="L1163" s="78" t="n"/>
      <c r="M1163" s="77" t="n"/>
      <c r="N1163" s="53">
        <f>IF(M1163="","",IFERROR(M1163/I1163,""))</f>
        <v/>
      </c>
      <c r="O1163" s="50">
        <f>IF(A1163="","",IFERROR((IF(G1163="",I1163,G1163)-T1163)/M1163,""))</f>
        <v/>
      </c>
      <c r="P1163" s="50">
        <f>IFERROR((I1163/T1163-1)/N1163,"")</f>
        <v/>
      </c>
      <c r="Q1163" s="46">
        <f>IF(OR(T1163="",I1163&lt;T1163),"",IFERROR(R1163/IF(G1163="",I1163,G1163)-1,""))</f>
        <v/>
      </c>
      <c r="R1163" s="48">
        <f>IF($M1163="","",MAX(IF($G1163="",$I1163,$G1163)*(1/1.1),IF($G1163="",$I1163,$G1163)+(R$2*$M1163)))</f>
        <v/>
      </c>
      <c r="S1163" s="49">
        <f>IF($M1163="","",MAX(IF($G1163="",$I1163,$G1163)*(1/1.1),IF($G1163="",$I1163,$G1163)+(S$2*$M1163)))</f>
        <v/>
      </c>
      <c r="T1163" s="82" t="n"/>
      <c r="U1163" s="47">
        <f>IF(OR($M1163="",$T1163=""),"",$T1163+(U$2*$M1163))</f>
        <v/>
      </c>
      <c r="V1163" s="48">
        <f>IF(OR($M1163="",$T1163=""),"",$T1163+(V$2*$M1163))</f>
        <v/>
      </c>
      <c r="W1163" s="48">
        <f>IF(OR($M1163="",$T1163=""),"",$T1163+(W$2*$M1163))</f>
        <v/>
      </c>
      <c r="X1163" s="49">
        <f>IF(OR($M1163="",$T1163=""),"",$T1163+(X$2*$M1163))</f>
        <v/>
      </c>
      <c r="Y1163" s="47">
        <f>IF(OR($M1163="",$T1163=""),"",$T1163+(Y$2*$M1163))</f>
        <v/>
      </c>
      <c r="Z1163" s="49">
        <f>IF(OR($M1163="",$T1163=""),"",$T1163+(Z$2*$M1163))</f>
        <v/>
      </c>
      <c r="AA1163" s="51">
        <f>IF(OR($M1163="",$T1163=""),"",$T1163+(AA$2*$M1163))</f>
        <v/>
      </c>
      <c r="AB1163" s="48">
        <f>IF(OR($M1163="",$T1163=""),"",$T1163+(AB$2*$M1163))</f>
        <v/>
      </c>
      <c r="AC1163" s="48">
        <f>IF(OR($M1163="",$T1163=""),"",$T1163+(AC$2*$M1163))</f>
        <v/>
      </c>
      <c r="AD1163" s="48">
        <f>IF(OR($M1163="",$T1163=""),"",$T1163+(AD$2*$M1163))</f>
        <v/>
      </c>
      <c r="AE1163" s="49">
        <f>IF(OR($M1163="",$T1163=""),"",$T1163+(AE$2*$M1163))</f>
        <v/>
      </c>
      <c r="AF1163" s="52">
        <f>IF(OR(T1163="",I1163&lt;T1163),"",IFERROR(AVERAGE(T1163+M1163*{7,8,9,10,11})/IF(G1163="",I1163,G1163)-1,""))</f>
        <v/>
      </c>
      <c r="AG1163" s="55">
        <f>IF(OR(T1163="",I1163&lt;T1163),"",IFERROR(AF1163/-(R1163/IF(G1163="",I1163,G1163)-1),""))</f>
        <v/>
      </c>
      <c r="AH1163" s="94" t="n"/>
      <c r="AI1163" s="94" t="n"/>
      <c r="AJ1163" s="94" t="n"/>
      <c r="AK1163" s="94" t="n"/>
      <c r="AL1163" s="84" t="n"/>
    </row>
    <row r="1164">
      <c r="A1164" s="64" t="n"/>
      <c r="B1164" s="65" t="n"/>
      <c r="C1164" s="66" t="n"/>
      <c r="D1164" s="67" t="n"/>
      <c r="E1164" s="68" t="n"/>
      <c r="F1164" s="47">
        <f>IF(A1164="","",IF(MIN(H1164,MAX(J1164:K1164))=0,"",MIN(H1164,MAX(J1164:K1164))))</f>
        <v/>
      </c>
      <c r="G1164" s="74" t="n"/>
      <c r="H1164" s="49">
        <f>IF(M1164="","",IFERROR(ROUND(AVERAGE(T1164+M1164*{7,8,9,10,11})/1.21,4),""))</f>
        <v/>
      </c>
      <c r="I1164" s="76" t="n"/>
      <c r="J1164" s="77" t="n"/>
      <c r="K1164" s="74" t="n"/>
      <c r="L1164" s="78" t="n"/>
      <c r="M1164" s="77" t="n"/>
      <c r="N1164" s="53">
        <f>IF(M1164="","",IFERROR(M1164/I1164,""))</f>
        <v/>
      </c>
      <c r="O1164" s="50">
        <f>IF(A1164="","",IFERROR((IF(G1164="",I1164,G1164)-T1164)/M1164,""))</f>
        <v/>
      </c>
      <c r="P1164" s="50">
        <f>IFERROR((I1164/T1164-1)/N1164,"")</f>
        <v/>
      </c>
      <c r="Q1164" s="46">
        <f>IF(OR(T1164="",I1164&lt;T1164),"",IFERROR(R1164/IF(G1164="",I1164,G1164)-1,""))</f>
        <v/>
      </c>
      <c r="R1164" s="48">
        <f>IF($M1164="","",MAX(IF($G1164="",$I1164,$G1164)*(1/1.1),IF($G1164="",$I1164,$G1164)+(R$2*$M1164)))</f>
        <v/>
      </c>
      <c r="S1164" s="49">
        <f>IF($M1164="","",MAX(IF($G1164="",$I1164,$G1164)*(1/1.1),IF($G1164="",$I1164,$G1164)+(S$2*$M1164)))</f>
        <v/>
      </c>
      <c r="T1164" s="82" t="n"/>
      <c r="U1164" s="47">
        <f>IF(OR($M1164="",$T1164=""),"",$T1164+(U$2*$M1164))</f>
        <v/>
      </c>
      <c r="V1164" s="48">
        <f>IF(OR($M1164="",$T1164=""),"",$T1164+(V$2*$M1164))</f>
        <v/>
      </c>
      <c r="W1164" s="48">
        <f>IF(OR($M1164="",$T1164=""),"",$T1164+(W$2*$M1164))</f>
        <v/>
      </c>
      <c r="X1164" s="49">
        <f>IF(OR($M1164="",$T1164=""),"",$T1164+(X$2*$M1164))</f>
        <v/>
      </c>
      <c r="Y1164" s="47">
        <f>IF(OR($M1164="",$T1164=""),"",$T1164+(Y$2*$M1164))</f>
        <v/>
      </c>
      <c r="Z1164" s="49">
        <f>IF(OR($M1164="",$T1164=""),"",$T1164+(Z$2*$M1164))</f>
        <v/>
      </c>
      <c r="AA1164" s="51">
        <f>IF(OR($M1164="",$T1164=""),"",$T1164+(AA$2*$M1164))</f>
        <v/>
      </c>
      <c r="AB1164" s="48">
        <f>IF(OR($M1164="",$T1164=""),"",$T1164+(AB$2*$M1164))</f>
        <v/>
      </c>
      <c r="AC1164" s="48">
        <f>IF(OR($M1164="",$T1164=""),"",$T1164+(AC$2*$M1164))</f>
        <v/>
      </c>
      <c r="AD1164" s="48">
        <f>IF(OR($M1164="",$T1164=""),"",$T1164+(AD$2*$M1164))</f>
        <v/>
      </c>
      <c r="AE1164" s="49">
        <f>IF(OR($M1164="",$T1164=""),"",$T1164+(AE$2*$M1164))</f>
        <v/>
      </c>
      <c r="AF1164" s="52">
        <f>IF(OR(T1164="",I1164&lt;T1164),"",IFERROR(AVERAGE(T1164+M1164*{7,8,9,10,11})/IF(G1164="",I1164,G1164)-1,""))</f>
        <v/>
      </c>
      <c r="AG1164" s="55">
        <f>IF(OR(T1164="",I1164&lt;T1164),"",IFERROR(AF1164/-(R1164/IF(G1164="",I1164,G1164)-1),""))</f>
        <v/>
      </c>
      <c r="AH1164" s="94" t="n"/>
      <c r="AI1164" s="94" t="n"/>
      <c r="AJ1164" s="94" t="n"/>
      <c r="AK1164" s="94" t="n"/>
      <c r="AL1164" s="84" t="n"/>
    </row>
    <row r="1165">
      <c r="A1165" s="64" t="n"/>
      <c r="B1165" s="65" t="n"/>
      <c r="C1165" s="66" t="n"/>
      <c r="D1165" s="67" t="n"/>
      <c r="E1165" s="68" t="n"/>
      <c r="F1165" s="47">
        <f>IF(A1165="","",IF(MIN(H1165,MAX(J1165:K1165))=0,"",MIN(H1165,MAX(J1165:K1165))))</f>
        <v/>
      </c>
      <c r="G1165" s="74" t="n"/>
      <c r="H1165" s="49">
        <f>IF(M1165="","",IFERROR(ROUND(AVERAGE(T1165+M1165*{7,8,9,10,11})/1.21,4),""))</f>
        <v/>
      </c>
      <c r="I1165" s="76" t="n"/>
      <c r="J1165" s="77" t="n"/>
      <c r="K1165" s="74" t="n"/>
      <c r="L1165" s="78" t="n"/>
      <c r="M1165" s="77" t="n"/>
      <c r="N1165" s="53">
        <f>IF(M1165="","",IFERROR(M1165/I1165,""))</f>
        <v/>
      </c>
      <c r="O1165" s="50">
        <f>IF(A1165="","",IFERROR((IF(G1165="",I1165,G1165)-T1165)/M1165,""))</f>
        <v/>
      </c>
      <c r="P1165" s="50">
        <f>IFERROR((I1165/T1165-1)/N1165,"")</f>
        <v/>
      </c>
      <c r="Q1165" s="46">
        <f>IF(OR(T1165="",I1165&lt;T1165),"",IFERROR(R1165/IF(G1165="",I1165,G1165)-1,""))</f>
        <v/>
      </c>
      <c r="R1165" s="48">
        <f>IF($M1165="","",MAX(IF($G1165="",$I1165,$G1165)*(1/1.1),IF($G1165="",$I1165,$G1165)+(R$2*$M1165)))</f>
        <v/>
      </c>
      <c r="S1165" s="49">
        <f>IF($M1165="","",MAX(IF($G1165="",$I1165,$G1165)*(1/1.1),IF($G1165="",$I1165,$G1165)+(S$2*$M1165)))</f>
        <v/>
      </c>
      <c r="T1165" s="82" t="n"/>
      <c r="U1165" s="47">
        <f>IF(OR($M1165="",$T1165=""),"",$T1165+(U$2*$M1165))</f>
        <v/>
      </c>
      <c r="V1165" s="48">
        <f>IF(OR($M1165="",$T1165=""),"",$T1165+(V$2*$M1165))</f>
        <v/>
      </c>
      <c r="W1165" s="48">
        <f>IF(OR($M1165="",$T1165=""),"",$T1165+(W$2*$M1165))</f>
        <v/>
      </c>
      <c r="X1165" s="49">
        <f>IF(OR($M1165="",$T1165=""),"",$T1165+(X$2*$M1165))</f>
        <v/>
      </c>
      <c r="Y1165" s="47">
        <f>IF(OR($M1165="",$T1165=""),"",$T1165+(Y$2*$M1165))</f>
        <v/>
      </c>
      <c r="Z1165" s="49">
        <f>IF(OR($M1165="",$T1165=""),"",$T1165+(Z$2*$M1165))</f>
        <v/>
      </c>
      <c r="AA1165" s="51">
        <f>IF(OR($M1165="",$T1165=""),"",$T1165+(AA$2*$M1165))</f>
        <v/>
      </c>
      <c r="AB1165" s="48">
        <f>IF(OR($M1165="",$T1165=""),"",$T1165+(AB$2*$M1165))</f>
        <v/>
      </c>
      <c r="AC1165" s="48">
        <f>IF(OR($M1165="",$T1165=""),"",$T1165+(AC$2*$M1165))</f>
        <v/>
      </c>
      <c r="AD1165" s="48">
        <f>IF(OR($M1165="",$T1165=""),"",$T1165+(AD$2*$M1165))</f>
        <v/>
      </c>
      <c r="AE1165" s="49">
        <f>IF(OR($M1165="",$T1165=""),"",$T1165+(AE$2*$M1165))</f>
        <v/>
      </c>
      <c r="AF1165" s="52">
        <f>IF(OR(T1165="",I1165&lt;T1165),"",IFERROR(AVERAGE(T1165+M1165*{7,8,9,10,11})/IF(G1165="",I1165,G1165)-1,""))</f>
        <v/>
      </c>
      <c r="AG1165" s="55">
        <f>IF(OR(T1165="",I1165&lt;T1165),"",IFERROR(AF1165/-(R1165/IF(G1165="",I1165,G1165)-1),""))</f>
        <v/>
      </c>
      <c r="AH1165" s="94" t="n"/>
      <c r="AI1165" s="94" t="n"/>
      <c r="AJ1165" s="94" t="n"/>
      <c r="AK1165" s="94" t="n"/>
      <c r="AL1165" s="84" t="n"/>
    </row>
    <row r="1166">
      <c r="A1166" s="64" t="n"/>
      <c r="B1166" s="65" t="n"/>
      <c r="C1166" s="66" t="n"/>
      <c r="D1166" s="67" t="n"/>
      <c r="E1166" s="68" t="n"/>
      <c r="F1166" s="47">
        <f>IF(A1166="","",IF(MIN(H1166,MAX(J1166:K1166))=0,"",MIN(H1166,MAX(J1166:K1166))))</f>
        <v/>
      </c>
      <c r="G1166" s="74" t="n"/>
      <c r="H1166" s="49">
        <f>IF(M1166="","",IFERROR(ROUND(AVERAGE(T1166+M1166*{7,8,9,10,11})/1.21,4),""))</f>
        <v/>
      </c>
      <c r="I1166" s="76" t="n"/>
      <c r="J1166" s="77" t="n"/>
      <c r="K1166" s="74" t="n"/>
      <c r="L1166" s="78" t="n"/>
      <c r="M1166" s="77" t="n"/>
      <c r="N1166" s="53">
        <f>IF(M1166="","",IFERROR(M1166/I1166,""))</f>
        <v/>
      </c>
      <c r="O1166" s="50">
        <f>IF(A1166="","",IFERROR((IF(G1166="",I1166,G1166)-T1166)/M1166,""))</f>
        <v/>
      </c>
      <c r="P1166" s="50">
        <f>IFERROR((I1166/T1166-1)/N1166,"")</f>
        <v/>
      </c>
      <c r="Q1166" s="46">
        <f>IF(OR(T1166="",I1166&lt;T1166),"",IFERROR(R1166/IF(G1166="",I1166,G1166)-1,""))</f>
        <v/>
      </c>
      <c r="R1166" s="48">
        <f>IF($M1166="","",MAX(IF($G1166="",$I1166,$G1166)*(1/1.1),IF($G1166="",$I1166,$G1166)+(R$2*$M1166)))</f>
        <v/>
      </c>
      <c r="S1166" s="49">
        <f>IF($M1166="","",MAX(IF($G1166="",$I1166,$G1166)*(1/1.1),IF($G1166="",$I1166,$G1166)+(S$2*$M1166)))</f>
        <v/>
      </c>
      <c r="T1166" s="82" t="n"/>
      <c r="U1166" s="47">
        <f>IF(OR($M1166="",$T1166=""),"",$T1166+(U$2*$M1166))</f>
        <v/>
      </c>
      <c r="V1166" s="48">
        <f>IF(OR($M1166="",$T1166=""),"",$T1166+(V$2*$M1166))</f>
        <v/>
      </c>
      <c r="W1166" s="48">
        <f>IF(OR($M1166="",$T1166=""),"",$T1166+(W$2*$M1166))</f>
        <v/>
      </c>
      <c r="X1166" s="49">
        <f>IF(OR($M1166="",$T1166=""),"",$T1166+(X$2*$M1166))</f>
        <v/>
      </c>
      <c r="Y1166" s="47">
        <f>IF(OR($M1166="",$T1166=""),"",$T1166+(Y$2*$M1166))</f>
        <v/>
      </c>
      <c r="Z1166" s="49">
        <f>IF(OR($M1166="",$T1166=""),"",$T1166+(Z$2*$M1166))</f>
        <v/>
      </c>
      <c r="AA1166" s="51">
        <f>IF(OR($M1166="",$T1166=""),"",$T1166+(AA$2*$M1166))</f>
        <v/>
      </c>
      <c r="AB1166" s="48">
        <f>IF(OR($M1166="",$T1166=""),"",$T1166+(AB$2*$M1166))</f>
        <v/>
      </c>
      <c r="AC1166" s="48">
        <f>IF(OR($M1166="",$T1166=""),"",$T1166+(AC$2*$M1166))</f>
        <v/>
      </c>
      <c r="AD1166" s="48">
        <f>IF(OR($M1166="",$T1166=""),"",$T1166+(AD$2*$M1166))</f>
        <v/>
      </c>
      <c r="AE1166" s="49">
        <f>IF(OR($M1166="",$T1166=""),"",$T1166+(AE$2*$M1166))</f>
        <v/>
      </c>
      <c r="AF1166" s="52">
        <f>IF(OR(T1166="",I1166&lt;T1166),"",IFERROR(AVERAGE(T1166+M1166*{7,8,9,10,11})/IF(G1166="",I1166,G1166)-1,""))</f>
        <v/>
      </c>
      <c r="AG1166" s="55">
        <f>IF(OR(T1166="",I1166&lt;T1166),"",IFERROR(AF1166/-(R1166/IF(G1166="",I1166,G1166)-1),""))</f>
        <v/>
      </c>
      <c r="AH1166" s="94" t="n"/>
      <c r="AI1166" s="94" t="n"/>
      <c r="AJ1166" s="94" t="n"/>
      <c r="AK1166" s="94" t="n"/>
      <c r="AL1166" s="84" t="n"/>
    </row>
    <row r="1167">
      <c r="A1167" s="64" t="n"/>
      <c r="B1167" s="65" t="n"/>
      <c r="C1167" s="66" t="n"/>
      <c r="D1167" s="67" t="n"/>
      <c r="E1167" s="68" t="n"/>
      <c r="F1167" s="47">
        <f>IF(A1167="","",IF(MIN(H1167,MAX(J1167:K1167))=0,"",MIN(H1167,MAX(J1167:K1167))))</f>
        <v/>
      </c>
      <c r="G1167" s="74" t="n"/>
      <c r="H1167" s="49">
        <f>IF(M1167="","",IFERROR(ROUND(AVERAGE(T1167+M1167*{7,8,9,10,11})/1.21,4),""))</f>
        <v/>
      </c>
      <c r="I1167" s="76" t="n"/>
      <c r="J1167" s="77" t="n"/>
      <c r="K1167" s="74" t="n"/>
      <c r="L1167" s="78" t="n"/>
      <c r="M1167" s="77" t="n"/>
      <c r="N1167" s="53">
        <f>IF(M1167="","",IFERROR(M1167/I1167,""))</f>
        <v/>
      </c>
      <c r="O1167" s="50">
        <f>IF(A1167="","",IFERROR((IF(G1167="",I1167,G1167)-T1167)/M1167,""))</f>
        <v/>
      </c>
      <c r="P1167" s="50">
        <f>IFERROR((I1167/T1167-1)/N1167,"")</f>
        <v/>
      </c>
      <c r="Q1167" s="46">
        <f>IF(OR(T1167="",I1167&lt;T1167),"",IFERROR(R1167/IF(G1167="",I1167,G1167)-1,""))</f>
        <v/>
      </c>
      <c r="R1167" s="48">
        <f>IF($M1167="","",MAX(IF($G1167="",$I1167,$G1167)*(1/1.1),IF($G1167="",$I1167,$G1167)+(R$2*$M1167)))</f>
        <v/>
      </c>
      <c r="S1167" s="49">
        <f>IF($M1167="","",MAX(IF($G1167="",$I1167,$G1167)*(1/1.1),IF($G1167="",$I1167,$G1167)+(S$2*$M1167)))</f>
        <v/>
      </c>
      <c r="T1167" s="82" t="n"/>
      <c r="U1167" s="47">
        <f>IF(OR($M1167="",$T1167=""),"",$T1167+(U$2*$M1167))</f>
        <v/>
      </c>
      <c r="V1167" s="48">
        <f>IF(OR($M1167="",$T1167=""),"",$T1167+(V$2*$M1167))</f>
        <v/>
      </c>
      <c r="W1167" s="48">
        <f>IF(OR($M1167="",$T1167=""),"",$T1167+(W$2*$M1167))</f>
        <v/>
      </c>
      <c r="X1167" s="49">
        <f>IF(OR($M1167="",$T1167=""),"",$T1167+(X$2*$M1167))</f>
        <v/>
      </c>
      <c r="Y1167" s="47">
        <f>IF(OR($M1167="",$T1167=""),"",$T1167+(Y$2*$M1167))</f>
        <v/>
      </c>
      <c r="Z1167" s="49">
        <f>IF(OR($M1167="",$T1167=""),"",$T1167+(Z$2*$M1167))</f>
        <v/>
      </c>
      <c r="AA1167" s="51">
        <f>IF(OR($M1167="",$T1167=""),"",$T1167+(AA$2*$M1167))</f>
        <v/>
      </c>
      <c r="AB1167" s="48">
        <f>IF(OR($M1167="",$T1167=""),"",$T1167+(AB$2*$M1167))</f>
        <v/>
      </c>
      <c r="AC1167" s="48">
        <f>IF(OR($M1167="",$T1167=""),"",$T1167+(AC$2*$M1167))</f>
        <v/>
      </c>
      <c r="AD1167" s="48">
        <f>IF(OR($M1167="",$T1167=""),"",$T1167+(AD$2*$M1167))</f>
        <v/>
      </c>
      <c r="AE1167" s="49">
        <f>IF(OR($M1167="",$T1167=""),"",$T1167+(AE$2*$M1167))</f>
        <v/>
      </c>
      <c r="AF1167" s="52">
        <f>IF(OR(T1167="",I1167&lt;T1167),"",IFERROR(AVERAGE(T1167+M1167*{7,8,9,10,11})/IF(G1167="",I1167,G1167)-1,""))</f>
        <v/>
      </c>
      <c r="AG1167" s="55">
        <f>IF(OR(T1167="",I1167&lt;T1167),"",IFERROR(AF1167/-(R1167/IF(G1167="",I1167,G1167)-1),""))</f>
        <v/>
      </c>
      <c r="AH1167" s="94" t="n"/>
      <c r="AI1167" s="94" t="n"/>
      <c r="AJ1167" s="94" t="n"/>
      <c r="AK1167" s="94" t="n"/>
      <c r="AL1167" s="84" t="n"/>
    </row>
    <row r="1168">
      <c r="A1168" s="64" t="n"/>
      <c r="B1168" s="65" t="n"/>
      <c r="C1168" s="66" t="n"/>
      <c r="D1168" s="67" t="n"/>
      <c r="E1168" s="68" t="n"/>
      <c r="F1168" s="47">
        <f>IF(A1168="","",IF(MIN(H1168,MAX(J1168:K1168))=0,"",MIN(H1168,MAX(J1168:K1168))))</f>
        <v/>
      </c>
      <c r="G1168" s="74" t="n"/>
      <c r="H1168" s="49">
        <f>IF(M1168="","",IFERROR(ROUND(AVERAGE(T1168+M1168*{7,8,9,10,11})/1.21,4),""))</f>
        <v/>
      </c>
      <c r="I1168" s="76" t="n"/>
      <c r="J1168" s="77" t="n"/>
      <c r="K1168" s="74" t="n"/>
      <c r="L1168" s="78" t="n"/>
      <c r="M1168" s="77" t="n"/>
      <c r="N1168" s="53">
        <f>IF(M1168="","",IFERROR(M1168/I1168,""))</f>
        <v/>
      </c>
      <c r="O1168" s="50">
        <f>IF(A1168="","",IFERROR((IF(G1168="",I1168,G1168)-T1168)/M1168,""))</f>
        <v/>
      </c>
      <c r="P1168" s="50">
        <f>IFERROR((I1168/T1168-1)/N1168,"")</f>
        <v/>
      </c>
      <c r="Q1168" s="46">
        <f>IF(OR(T1168="",I1168&lt;T1168),"",IFERROR(R1168/IF(G1168="",I1168,G1168)-1,""))</f>
        <v/>
      </c>
      <c r="R1168" s="48">
        <f>IF($M1168="","",MAX(IF($G1168="",$I1168,$G1168)*(1/1.1),IF($G1168="",$I1168,$G1168)+(R$2*$M1168)))</f>
        <v/>
      </c>
      <c r="S1168" s="49">
        <f>IF($M1168="","",MAX(IF($G1168="",$I1168,$G1168)*(1/1.1),IF($G1168="",$I1168,$G1168)+(S$2*$M1168)))</f>
        <v/>
      </c>
      <c r="T1168" s="82" t="n"/>
      <c r="U1168" s="47">
        <f>IF(OR($M1168="",$T1168=""),"",$T1168+(U$2*$M1168))</f>
        <v/>
      </c>
      <c r="V1168" s="48">
        <f>IF(OR($M1168="",$T1168=""),"",$T1168+(V$2*$M1168))</f>
        <v/>
      </c>
      <c r="W1168" s="48">
        <f>IF(OR($M1168="",$T1168=""),"",$T1168+(W$2*$M1168))</f>
        <v/>
      </c>
      <c r="X1168" s="49">
        <f>IF(OR($M1168="",$T1168=""),"",$T1168+(X$2*$M1168))</f>
        <v/>
      </c>
      <c r="Y1168" s="47">
        <f>IF(OR($M1168="",$T1168=""),"",$T1168+(Y$2*$M1168))</f>
        <v/>
      </c>
      <c r="Z1168" s="49">
        <f>IF(OR($M1168="",$T1168=""),"",$T1168+(Z$2*$M1168))</f>
        <v/>
      </c>
      <c r="AA1168" s="51">
        <f>IF(OR($M1168="",$T1168=""),"",$T1168+(AA$2*$M1168))</f>
        <v/>
      </c>
      <c r="AB1168" s="48">
        <f>IF(OR($M1168="",$T1168=""),"",$T1168+(AB$2*$M1168))</f>
        <v/>
      </c>
      <c r="AC1168" s="48">
        <f>IF(OR($M1168="",$T1168=""),"",$T1168+(AC$2*$M1168))</f>
        <v/>
      </c>
      <c r="AD1168" s="48">
        <f>IF(OR($M1168="",$T1168=""),"",$T1168+(AD$2*$M1168))</f>
        <v/>
      </c>
      <c r="AE1168" s="49">
        <f>IF(OR($M1168="",$T1168=""),"",$T1168+(AE$2*$M1168))</f>
        <v/>
      </c>
      <c r="AF1168" s="52">
        <f>IF(OR(T1168="",I1168&lt;T1168),"",IFERROR(AVERAGE(T1168+M1168*{7,8,9,10,11})/IF(G1168="",I1168,G1168)-1,""))</f>
        <v/>
      </c>
      <c r="AG1168" s="55">
        <f>IF(OR(T1168="",I1168&lt;T1168),"",IFERROR(AF1168/-(R1168/IF(G1168="",I1168,G1168)-1),""))</f>
        <v/>
      </c>
      <c r="AH1168" s="94" t="n"/>
      <c r="AI1168" s="94" t="n"/>
      <c r="AJ1168" s="94" t="n"/>
      <c r="AK1168" s="94" t="n"/>
      <c r="AL1168" s="84" t="n"/>
    </row>
    <row r="1169">
      <c r="A1169" s="64" t="n"/>
      <c r="B1169" s="65" t="n"/>
      <c r="C1169" s="66" t="n"/>
      <c r="D1169" s="67" t="n"/>
      <c r="E1169" s="68" t="n"/>
      <c r="F1169" s="47">
        <f>IF(A1169="","",IF(MIN(H1169,MAX(J1169:K1169))=0,"",MIN(H1169,MAX(J1169:K1169))))</f>
        <v/>
      </c>
      <c r="G1169" s="74" t="n"/>
      <c r="H1169" s="49">
        <f>IF(M1169="","",IFERROR(ROUND(AVERAGE(T1169+M1169*{7,8,9,10,11})/1.21,4),""))</f>
        <v/>
      </c>
      <c r="I1169" s="76" t="n"/>
      <c r="J1169" s="77" t="n"/>
      <c r="K1169" s="74" t="n"/>
      <c r="L1169" s="78" t="n"/>
      <c r="M1169" s="77" t="n"/>
      <c r="N1169" s="53">
        <f>IF(M1169="","",IFERROR(M1169/I1169,""))</f>
        <v/>
      </c>
      <c r="O1169" s="50">
        <f>IF(A1169="","",IFERROR((IF(G1169="",I1169,G1169)-T1169)/M1169,""))</f>
        <v/>
      </c>
      <c r="P1169" s="50">
        <f>IFERROR((I1169/T1169-1)/N1169,"")</f>
        <v/>
      </c>
      <c r="Q1169" s="46">
        <f>IF(OR(T1169="",I1169&lt;T1169),"",IFERROR(R1169/IF(G1169="",I1169,G1169)-1,""))</f>
        <v/>
      </c>
      <c r="R1169" s="48">
        <f>IF($M1169="","",MAX(IF($G1169="",$I1169,$G1169)*(1/1.1),IF($G1169="",$I1169,$G1169)+(R$2*$M1169)))</f>
        <v/>
      </c>
      <c r="S1169" s="49">
        <f>IF($M1169="","",MAX(IF($G1169="",$I1169,$G1169)*(1/1.1),IF($G1169="",$I1169,$G1169)+(S$2*$M1169)))</f>
        <v/>
      </c>
      <c r="T1169" s="82" t="n"/>
      <c r="U1169" s="47">
        <f>IF(OR($M1169="",$T1169=""),"",$T1169+(U$2*$M1169))</f>
        <v/>
      </c>
      <c r="V1169" s="48">
        <f>IF(OR($M1169="",$T1169=""),"",$T1169+(V$2*$M1169))</f>
        <v/>
      </c>
      <c r="W1169" s="48">
        <f>IF(OR($M1169="",$T1169=""),"",$T1169+(W$2*$M1169))</f>
        <v/>
      </c>
      <c r="X1169" s="49">
        <f>IF(OR($M1169="",$T1169=""),"",$T1169+(X$2*$M1169))</f>
        <v/>
      </c>
      <c r="Y1169" s="47">
        <f>IF(OR($M1169="",$T1169=""),"",$T1169+(Y$2*$M1169))</f>
        <v/>
      </c>
      <c r="Z1169" s="49">
        <f>IF(OR($M1169="",$T1169=""),"",$T1169+(Z$2*$M1169))</f>
        <v/>
      </c>
      <c r="AA1169" s="51">
        <f>IF(OR($M1169="",$T1169=""),"",$T1169+(AA$2*$M1169))</f>
        <v/>
      </c>
      <c r="AB1169" s="48">
        <f>IF(OR($M1169="",$T1169=""),"",$T1169+(AB$2*$M1169))</f>
        <v/>
      </c>
      <c r="AC1169" s="48">
        <f>IF(OR($M1169="",$T1169=""),"",$T1169+(AC$2*$M1169))</f>
        <v/>
      </c>
      <c r="AD1169" s="48">
        <f>IF(OR($M1169="",$T1169=""),"",$T1169+(AD$2*$M1169))</f>
        <v/>
      </c>
      <c r="AE1169" s="49">
        <f>IF(OR($M1169="",$T1169=""),"",$T1169+(AE$2*$M1169))</f>
        <v/>
      </c>
      <c r="AF1169" s="52">
        <f>IF(OR(T1169="",I1169&lt;T1169),"",IFERROR(AVERAGE(T1169+M1169*{7,8,9,10,11})/IF(G1169="",I1169,G1169)-1,""))</f>
        <v/>
      </c>
      <c r="AG1169" s="55">
        <f>IF(OR(T1169="",I1169&lt;T1169),"",IFERROR(AF1169/-(R1169/IF(G1169="",I1169,G1169)-1),""))</f>
        <v/>
      </c>
      <c r="AH1169" s="94" t="n"/>
      <c r="AI1169" s="94" t="n"/>
      <c r="AJ1169" s="94" t="n"/>
      <c r="AK1169" s="94" t="n"/>
      <c r="AL1169" s="84" t="n"/>
    </row>
    <row r="1170">
      <c r="A1170" s="64" t="n"/>
      <c r="B1170" s="65" t="n"/>
      <c r="C1170" s="66" t="n"/>
      <c r="D1170" s="67" t="n"/>
      <c r="E1170" s="68" t="n"/>
      <c r="F1170" s="47">
        <f>IF(A1170="","",IF(MIN(H1170,MAX(J1170:K1170))=0,"",MIN(H1170,MAX(J1170:K1170))))</f>
        <v/>
      </c>
      <c r="G1170" s="74" t="n"/>
      <c r="H1170" s="49">
        <f>IF(M1170="","",IFERROR(ROUND(AVERAGE(T1170+M1170*{7,8,9,10,11})/1.21,4),""))</f>
        <v/>
      </c>
      <c r="I1170" s="76" t="n"/>
      <c r="J1170" s="77" t="n"/>
      <c r="K1170" s="74" t="n"/>
      <c r="L1170" s="78" t="n"/>
      <c r="M1170" s="77" t="n"/>
      <c r="N1170" s="53">
        <f>IF(M1170="","",IFERROR(M1170/I1170,""))</f>
        <v/>
      </c>
      <c r="O1170" s="50">
        <f>IF(A1170="","",IFERROR((IF(G1170="",I1170,G1170)-T1170)/M1170,""))</f>
        <v/>
      </c>
      <c r="P1170" s="50">
        <f>IFERROR((I1170/T1170-1)/N1170,"")</f>
        <v/>
      </c>
      <c r="Q1170" s="46">
        <f>IF(OR(T1170="",I1170&lt;T1170),"",IFERROR(R1170/IF(G1170="",I1170,G1170)-1,""))</f>
        <v/>
      </c>
      <c r="R1170" s="48">
        <f>IF($M1170="","",MAX(IF($G1170="",$I1170,$G1170)*(1/1.1),IF($G1170="",$I1170,$G1170)+(R$2*$M1170)))</f>
        <v/>
      </c>
      <c r="S1170" s="49">
        <f>IF($M1170="","",MAX(IF($G1170="",$I1170,$G1170)*(1/1.1),IF($G1170="",$I1170,$G1170)+(S$2*$M1170)))</f>
        <v/>
      </c>
      <c r="T1170" s="82" t="n"/>
      <c r="U1170" s="47">
        <f>IF(OR($M1170="",$T1170=""),"",$T1170+(U$2*$M1170))</f>
        <v/>
      </c>
      <c r="V1170" s="48">
        <f>IF(OR($M1170="",$T1170=""),"",$T1170+(V$2*$M1170))</f>
        <v/>
      </c>
      <c r="W1170" s="48">
        <f>IF(OR($M1170="",$T1170=""),"",$T1170+(W$2*$M1170))</f>
        <v/>
      </c>
      <c r="X1170" s="49">
        <f>IF(OR($M1170="",$T1170=""),"",$T1170+(X$2*$M1170))</f>
        <v/>
      </c>
      <c r="Y1170" s="47">
        <f>IF(OR($M1170="",$T1170=""),"",$T1170+(Y$2*$M1170))</f>
        <v/>
      </c>
      <c r="Z1170" s="49">
        <f>IF(OR($M1170="",$T1170=""),"",$T1170+(Z$2*$M1170))</f>
        <v/>
      </c>
      <c r="AA1170" s="51">
        <f>IF(OR($M1170="",$T1170=""),"",$T1170+(AA$2*$M1170))</f>
        <v/>
      </c>
      <c r="AB1170" s="48">
        <f>IF(OR($M1170="",$T1170=""),"",$T1170+(AB$2*$M1170))</f>
        <v/>
      </c>
      <c r="AC1170" s="48">
        <f>IF(OR($M1170="",$T1170=""),"",$T1170+(AC$2*$M1170))</f>
        <v/>
      </c>
      <c r="AD1170" s="48">
        <f>IF(OR($M1170="",$T1170=""),"",$T1170+(AD$2*$M1170))</f>
        <v/>
      </c>
      <c r="AE1170" s="49">
        <f>IF(OR($M1170="",$T1170=""),"",$T1170+(AE$2*$M1170))</f>
        <v/>
      </c>
      <c r="AF1170" s="52">
        <f>IF(OR(T1170="",I1170&lt;T1170),"",IFERROR(AVERAGE(T1170+M1170*{7,8,9,10,11})/IF(G1170="",I1170,G1170)-1,""))</f>
        <v/>
      </c>
      <c r="AG1170" s="55">
        <f>IF(OR(T1170="",I1170&lt;T1170),"",IFERROR(AF1170/-(R1170/IF(G1170="",I1170,G1170)-1),""))</f>
        <v/>
      </c>
      <c r="AH1170" s="94" t="n"/>
      <c r="AI1170" s="94" t="n"/>
      <c r="AJ1170" s="94" t="n"/>
      <c r="AK1170" s="94" t="n"/>
      <c r="AL1170" s="84" t="n"/>
    </row>
    <row r="1171">
      <c r="A1171" s="64" t="n"/>
      <c r="B1171" s="65" t="n"/>
      <c r="C1171" s="66" t="n"/>
      <c r="D1171" s="67" t="n"/>
      <c r="E1171" s="68" t="n"/>
      <c r="F1171" s="47">
        <f>IF(A1171="","",IF(MIN(H1171,MAX(J1171:K1171))=0,"",MIN(H1171,MAX(J1171:K1171))))</f>
        <v/>
      </c>
      <c r="G1171" s="74" t="n"/>
      <c r="H1171" s="49">
        <f>IF(M1171="","",IFERROR(ROUND(AVERAGE(T1171+M1171*{7,8,9,10,11})/1.21,4),""))</f>
        <v/>
      </c>
      <c r="I1171" s="76" t="n"/>
      <c r="J1171" s="77" t="n"/>
      <c r="K1171" s="74" t="n"/>
      <c r="L1171" s="78" t="n"/>
      <c r="M1171" s="77" t="n"/>
      <c r="N1171" s="53">
        <f>IF(M1171="","",IFERROR(M1171/I1171,""))</f>
        <v/>
      </c>
      <c r="O1171" s="50">
        <f>IF(A1171="","",IFERROR((IF(G1171="",I1171,G1171)-T1171)/M1171,""))</f>
        <v/>
      </c>
      <c r="P1171" s="50">
        <f>IFERROR((I1171/T1171-1)/N1171,"")</f>
        <v/>
      </c>
      <c r="Q1171" s="46">
        <f>IF(OR(T1171="",I1171&lt;T1171),"",IFERROR(R1171/IF(G1171="",I1171,G1171)-1,""))</f>
        <v/>
      </c>
      <c r="R1171" s="48">
        <f>IF($M1171="","",MAX(IF($G1171="",$I1171,$G1171)*(1/1.1),IF($G1171="",$I1171,$G1171)+(R$2*$M1171)))</f>
        <v/>
      </c>
      <c r="S1171" s="49">
        <f>IF($M1171="","",MAX(IF($G1171="",$I1171,$G1171)*(1/1.1),IF($G1171="",$I1171,$G1171)+(S$2*$M1171)))</f>
        <v/>
      </c>
      <c r="T1171" s="82" t="n"/>
      <c r="U1171" s="47">
        <f>IF(OR($M1171="",$T1171=""),"",$T1171+(U$2*$M1171))</f>
        <v/>
      </c>
      <c r="V1171" s="48">
        <f>IF(OR($M1171="",$T1171=""),"",$T1171+(V$2*$M1171))</f>
        <v/>
      </c>
      <c r="W1171" s="48">
        <f>IF(OR($M1171="",$T1171=""),"",$T1171+(W$2*$M1171))</f>
        <v/>
      </c>
      <c r="X1171" s="49">
        <f>IF(OR($M1171="",$T1171=""),"",$T1171+(X$2*$M1171))</f>
        <v/>
      </c>
      <c r="Y1171" s="47">
        <f>IF(OR($M1171="",$T1171=""),"",$T1171+(Y$2*$M1171))</f>
        <v/>
      </c>
      <c r="Z1171" s="49">
        <f>IF(OR($M1171="",$T1171=""),"",$T1171+(Z$2*$M1171))</f>
        <v/>
      </c>
      <c r="AA1171" s="51">
        <f>IF(OR($M1171="",$T1171=""),"",$T1171+(AA$2*$M1171))</f>
        <v/>
      </c>
      <c r="AB1171" s="48">
        <f>IF(OR($M1171="",$T1171=""),"",$T1171+(AB$2*$M1171))</f>
        <v/>
      </c>
      <c r="AC1171" s="48">
        <f>IF(OR($M1171="",$T1171=""),"",$T1171+(AC$2*$M1171))</f>
        <v/>
      </c>
      <c r="AD1171" s="48">
        <f>IF(OR($M1171="",$T1171=""),"",$T1171+(AD$2*$M1171))</f>
        <v/>
      </c>
      <c r="AE1171" s="49">
        <f>IF(OR($M1171="",$T1171=""),"",$T1171+(AE$2*$M1171))</f>
        <v/>
      </c>
      <c r="AF1171" s="52">
        <f>IF(OR(T1171="",I1171&lt;T1171),"",IFERROR(AVERAGE(T1171+M1171*{7,8,9,10,11})/IF(G1171="",I1171,G1171)-1,""))</f>
        <v/>
      </c>
      <c r="AG1171" s="55">
        <f>IF(OR(T1171="",I1171&lt;T1171),"",IFERROR(AF1171/-(R1171/IF(G1171="",I1171,G1171)-1),""))</f>
        <v/>
      </c>
      <c r="AH1171" s="94" t="n"/>
      <c r="AI1171" s="94" t="n"/>
      <c r="AJ1171" s="94" t="n"/>
      <c r="AK1171" s="94" t="n"/>
      <c r="AL1171" s="84" t="n"/>
    </row>
    <row r="1172">
      <c r="A1172" s="64" t="n"/>
      <c r="B1172" s="65" t="n"/>
      <c r="C1172" s="66" t="n"/>
      <c r="D1172" s="67" t="n"/>
      <c r="E1172" s="68" t="n"/>
      <c r="F1172" s="47">
        <f>IF(A1172="","",IF(MIN(H1172,MAX(J1172:K1172))=0,"",MIN(H1172,MAX(J1172:K1172))))</f>
        <v/>
      </c>
      <c r="G1172" s="74" t="n"/>
      <c r="H1172" s="49">
        <f>IF(M1172="","",IFERROR(ROUND(AVERAGE(T1172+M1172*{7,8,9,10,11})/1.21,4),""))</f>
        <v/>
      </c>
      <c r="I1172" s="76" t="n"/>
      <c r="J1172" s="77" t="n"/>
      <c r="K1172" s="74" t="n"/>
      <c r="L1172" s="78" t="n"/>
      <c r="M1172" s="77" t="n"/>
      <c r="N1172" s="53">
        <f>IF(M1172="","",IFERROR(M1172/I1172,""))</f>
        <v/>
      </c>
      <c r="O1172" s="50">
        <f>IF(A1172="","",IFERROR((IF(G1172="",I1172,G1172)-T1172)/M1172,""))</f>
        <v/>
      </c>
      <c r="P1172" s="50">
        <f>IFERROR((I1172/T1172-1)/N1172,"")</f>
        <v/>
      </c>
      <c r="Q1172" s="46">
        <f>IF(OR(T1172="",I1172&lt;T1172),"",IFERROR(R1172/IF(G1172="",I1172,G1172)-1,""))</f>
        <v/>
      </c>
      <c r="R1172" s="48">
        <f>IF($M1172="","",MAX(IF($G1172="",$I1172,$G1172)*(1/1.1),IF($G1172="",$I1172,$G1172)+(R$2*$M1172)))</f>
        <v/>
      </c>
      <c r="S1172" s="49">
        <f>IF($M1172="","",MAX(IF($G1172="",$I1172,$G1172)*(1/1.1),IF($G1172="",$I1172,$G1172)+(S$2*$M1172)))</f>
        <v/>
      </c>
      <c r="T1172" s="82" t="n"/>
      <c r="U1172" s="47">
        <f>IF(OR($M1172="",$T1172=""),"",$T1172+(U$2*$M1172))</f>
        <v/>
      </c>
      <c r="V1172" s="48">
        <f>IF(OR($M1172="",$T1172=""),"",$T1172+(V$2*$M1172))</f>
        <v/>
      </c>
      <c r="W1172" s="48">
        <f>IF(OR($M1172="",$T1172=""),"",$T1172+(W$2*$M1172))</f>
        <v/>
      </c>
      <c r="X1172" s="49">
        <f>IF(OR($M1172="",$T1172=""),"",$T1172+(X$2*$M1172))</f>
        <v/>
      </c>
      <c r="Y1172" s="47">
        <f>IF(OR($M1172="",$T1172=""),"",$T1172+(Y$2*$M1172))</f>
        <v/>
      </c>
      <c r="Z1172" s="49">
        <f>IF(OR($M1172="",$T1172=""),"",$T1172+(Z$2*$M1172))</f>
        <v/>
      </c>
      <c r="AA1172" s="51">
        <f>IF(OR($M1172="",$T1172=""),"",$T1172+(AA$2*$M1172))</f>
        <v/>
      </c>
      <c r="AB1172" s="48">
        <f>IF(OR($M1172="",$T1172=""),"",$T1172+(AB$2*$M1172))</f>
        <v/>
      </c>
      <c r="AC1172" s="48">
        <f>IF(OR($M1172="",$T1172=""),"",$T1172+(AC$2*$M1172))</f>
        <v/>
      </c>
      <c r="AD1172" s="48">
        <f>IF(OR($M1172="",$T1172=""),"",$T1172+(AD$2*$M1172))</f>
        <v/>
      </c>
      <c r="AE1172" s="49">
        <f>IF(OR($M1172="",$T1172=""),"",$T1172+(AE$2*$M1172))</f>
        <v/>
      </c>
      <c r="AF1172" s="52">
        <f>IF(OR(T1172="",I1172&lt;T1172),"",IFERROR(AVERAGE(T1172+M1172*{7,8,9,10,11})/IF(G1172="",I1172,G1172)-1,""))</f>
        <v/>
      </c>
      <c r="AG1172" s="55">
        <f>IF(OR(T1172="",I1172&lt;T1172),"",IFERROR(AF1172/-(R1172/IF(G1172="",I1172,G1172)-1),""))</f>
        <v/>
      </c>
      <c r="AH1172" s="94" t="n"/>
      <c r="AI1172" s="94" t="n"/>
      <c r="AJ1172" s="94" t="n"/>
      <c r="AK1172" s="94" t="n"/>
      <c r="AL1172" s="84" t="n"/>
    </row>
    <row r="1173">
      <c r="A1173" s="64" t="n"/>
      <c r="B1173" s="65" t="n"/>
      <c r="C1173" s="66" t="n"/>
      <c r="D1173" s="67" t="n"/>
      <c r="E1173" s="68" t="n"/>
      <c r="F1173" s="47">
        <f>IF(A1173="","",IF(MIN(H1173,MAX(J1173:K1173))=0,"",MIN(H1173,MAX(J1173:K1173))))</f>
        <v/>
      </c>
      <c r="G1173" s="74" t="n"/>
      <c r="H1173" s="49">
        <f>IF(M1173="","",IFERROR(ROUND(AVERAGE(T1173+M1173*{7,8,9,10,11})/1.21,4),""))</f>
        <v/>
      </c>
      <c r="I1173" s="76" t="n"/>
      <c r="J1173" s="77" t="n"/>
      <c r="K1173" s="74" t="n"/>
      <c r="L1173" s="78" t="n"/>
      <c r="M1173" s="77" t="n"/>
      <c r="N1173" s="53">
        <f>IF(M1173="","",IFERROR(M1173/I1173,""))</f>
        <v/>
      </c>
      <c r="O1173" s="50">
        <f>IF(A1173="","",IFERROR((IF(G1173="",I1173,G1173)-T1173)/M1173,""))</f>
        <v/>
      </c>
      <c r="P1173" s="50">
        <f>IFERROR((I1173/T1173-1)/N1173,"")</f>
        <v/>
      </c>
      <c r="Q1173" s="46">
        <f>IF(OR(T1173="",I1173&lt;T1173),"",IFERROR(R1173/IF(G1173="",I1173,G1173)-1,""))</f>
        <v/>
      </c>
      <c r="R1173" s="48">
        <f>IF($M1173="","",MAX(IF($G1173="",$I1173,$G1173)*(1/1.1),IF($G1173="",$I1173,$G1173)+(R$2*$M1173)))</f>
        <v/>
      </c>
      <c r="S1173" s="49">
        <f>IF($M1173="","",MAX(IF($G1173="",$I1173,$G1173)*(1/1.1),IF($G1173="",$I1173,$G1173)+(S$2*$M1173)))</f>
        <v/>
      </c>
      <c r="T1173" s="82" t="n"/>
      <c r="U1173" s="47">
        <f>IF(OR($M1173="",$T1173=""),"",$T1173+(U$2*$M1173))</f>
        <v/>
      </c>
      <c r="V1173" s="48">
        <f>IF(OR($M1173="",$T1173=""),"",$T1173+(V$2*$M1173))</f>
        <v/>
      </c>
      <c r="W1173" s="48">
        <f>IF(OR($M1173="",$T1173=""),"",$T1173+(W$2*$M1173))</f>
        <v/>
      </c>
      <c r="X1173" s="49">
        <f>IF(OR($M1173="",$T1173=""),"",$T1173+(X$2*$M1173))</f>
        <v/>
      </c>
      <c r="Y1173" s="47">
        <f>IF(OR($M1173="",$T1173=""),"",$T1173+(Y$2*$M1173))</f>
        <v/>
      </c>
      <c r="Z1173" s="49">
        <f>IF(OR($M1173="",$T1173=""),"",$T1173+(Z$2*$M1173))</f>
        <v/>
      </c>
      <c r="AA1173" s="51">
        <f>IF(OR($M1173="",$T1173=""),"",$T1173+(AA$2*$M1173))</f>
        <v/>
      </c>
      <c r="AB1173" s="48">
        <f>IF(OR($M1173="",$T1173=""),"",$T1173+(AB$2*$M1173))</f>
        <v/>
      </c>
      <c r="AC1173" s="48">
        <f>IF(OR($M1173="",$T1173=""),"",$T1173+(AC$2*$M1173))</f>
        <v/>
      </c>
      <c r="AD1173" s="48">
        <f>IF(OR($M1173="",$T1173=""),"",$T1173+(AD$2*$M1173))</f>
        <v/>
      </c>
      <c r="AE1173" s="49">
        <f>IF(OR($M1173="",$T1173=""),"",$T1173+(AE$2*$M1173))</f>
        <v/>
      </c>
      <c r="AF1173" s="52">
        <f>IF(OR(T1173="",I1173&lt;T1173),"",IFERROR(AVERAGE(T1173+M1173*{7,8,9,10,11})/IF(G1173="",I1173,G1173)-1,""))</f>
        <v/>
      </c>
      <c r="AG1173" s="55">
        <f>IF(OR(T1173="",I1173&lt;T1173),"",IFERROR(AF1173/-(R1173/IF(G1173="",I1173,G1173)-1),""))</f>
        <v/>
      </c>
      <c r="AH1173" s="94" t="n"/>
      <c r="AI1173" s="94" t="n"/>
      <c r="AJ1173" s="94" t="n"/>
      <c r="AK1173" s="94" t="n"/>
      <c r="AL1173" s="84" t="n"/>
    </row>
    <row r="1174">
      <c r="A1174" s="64" t="n"/>
      <c r="B1174" s="65" t="n"/>
      <c r="C1174" s="66" t="n"/>
      <c r="D1174" s="67" t="n"/>
      <c r="E1174" s="68" t="n"/>
      <c r="F1174" s="47">
        <f>IF(A1174="","",IF(MIN(H1174,MAX(J1174:K1174))=0,"",MIN(H1174,MAX(J1174:K1174))))</f>
        <v/>
      </c>
      <c r="G1174" s="74" t="n"/>
      <c r="H1174" s="49">
        <f>IF(M1174="","",IFERROR(ROUND(AVERAGE(T1174+M1174*{7,8,9,10,11})/1.21,4),""))</f>
        <v/>
      </c>
      <c r="I1174" s="76" t="n"/>
      <c r="J1174" s="77" t="n"/>
      <c r="K1174" s="74" t="n"/>
      <c r="L1174" s="78" t="n"/>
      <c r="M1174" s="77" t="n"/>
      <c r="N1174" s="53">
        <f>IF(M1174="","",IFERROR(M1174/I1174,""))</f>
        <v/>
      </c>
      <c r="O1174" s="50">
        <f>IF(A1174="","",IFERROR((IF(G1174="",I1174,G1174)-T1174)/M1174,""))</f>
        <v/>
      </c>
      <c r="P1174" s="50">
        <f>IFERROR((I1174/T1174-1)/N1174,"")</f>
        <v/>
      </c>
      <c r="Q1174" s="46">
        <f>IF(OR(T1174="",I1174&lt;T1174),"",IFERROR(R1174/IF(G1174="",I1174,G1174)-1,""))</f>
        <v/>
      </c>
      <c r="R1174" s="48">
        <f>IF($M1174="","",MAX(IF($G1174="",$I1174,$G1174)*(1/1.1),IF($G1174="",$I1174,$G1174)+(R$2*$M1174)))</f>
        <v/>
      </c>
      <c r="S1174" s="49">
        <f>IF($M1174="","",MAX(IF($G1174="",$I1174,$G1174)*(1/1.1),IF($G1174="",$I1174,$G1174)+(S$2*$M1174)))</f>
        <v/>
      </c>
      <c r="T1174" s="82" t="n"/>
      <c r="U1174" s="47">
        <f>IF(OR($M1174="",$T1174=""),"",$T1174+(U$2*$M1174))</f>
        <v/>
      </c>
      <c r="V1174" s="48">
        <f>IF(OR($M1174="",$T1174=""),"",$T1174+(V$2*$M1174))</f>
        <v/>
      </c>
      <c r="W1174" s="48">
        <f>IF(OR($M1174="",$T1174=""),"",$T1174+(W$2*$M1174))</f>
        <v/>
      </c>
      <c r="X1174" s="49">
        <f>IF(OR($M1174="",$T1174=""),"",$T1174+(X$2*$M1174))</f>
        <v/>
      </c>
      <c r="Y1174" s="47">
        <f>IF(OR($M1174="",$T1174=""),"",$T1174+(Y$2*$M1174))</f>
        <v/>
      </c>
      <c r="Z1174" s="49">
        <f>IF(OR($M1174="",$T1174=""),"",$T1174+(Z$2*$M1174))</f>
        <v/>
      </c>
      <c r="AA1174" s="51">
        <f>IF(OR($M1174="",$T1174=""),"",$T1174+(AA$2*$M1174))</f>
        <v/>
      </c>
      <c r="AB1174" s="48">
        <f>IF(OR($M1174="",$T1174=""),"",$T1174+(AB$2*$M1174))</f>
        <v/>
      </c>
      <c r="AC1174" s="48">
        <f>IF(OR($M1174="",$T1174=""),"",$T1174+(AC$2*$M1174))</f>
        <v/>
      </c>
      <c r="AD1174" s="48">
        <f>IF(OR($M1174="",$T1174=""),"",$T1174+(AD$2*$M1174))</f>
        <v/>
      </c>
      <c r="AE1174" s="49">
        <f>IF(OR($M1174="",$T1174=""),"",$T1174+(AE$2*$M1174))</f>
        <v/>
      </c>
      <c r="AF1174" s="52">
        <f>IF(OR(T1174="",I1174&lt;T1174),"",IFERROR(AVERAGE(T1174+M1174*{7,8,9,10,11})/IF(G1174="",I1174,G1174)-1,""))</f>
        <v/>
      </c>
      <c r="AG1174" s="55">
        <f>IF(OR(T1174="",I1174&lt;T1174),"",IFERROR(AF1174/-(R1174/IF(G1174="",I1174,G1174)-1),""))</f>
        <v/>
      </c>
      <c r="AH1174" s="94" t="n"/>
      <c r="AI1174" s="94" t="n"/>
      <c r="AJ1174" s="94" t="n"/>
      <c r="AK1174" s="94" t="n"/>
      <c r="AL1174" s="84" t="n"/>
    </row>
    <row r="1175">
      <c r="A1175" s="64" t="n"/>
      <c r="B1175" s="65" t="n"/>
      <c r="C1175" s="66" t="n"/>
      <c r="D1175" s="67" t="n"/>
      <c r="E1175" s="68" t="n"/>
      <c r="F1175" s="47">
        <f>IF(A1175="","",IF(MIN(H1175,MAX(J1175:K1175))=0,"",MIN(H1175,MAX(J1175:K1175))))</f>
        <v/>
      </c>
      <c r="G1175" s="74" t="n"/>
      <c r="H1175" s="49">
        <f>IF(M1175="","",IFERROR(ROUND(AVERAGE(T1175+M1175*{7,8,9,10,11})/1.21,4),""))</f>
        <v/>
      </c>
      <c r="I1175" s="76" t="n"/>
      <c r="J1175" s="77" t="n"/>
      <c r="K1175" s="74" t="n"/>
      <c r="L1175" s="78" t="n"/>
      <c r="M1175" s="77" t="n"/>
      <c r="N1175" s="53">
        <f>IF(M1175="","",IFERROR(M1175/I1175,""))</f>
        <v/>
      </c>
      <c r="O1175" s="50">
        <f>IF(A1175="","",IFERROR((IF(G1175="",I1175,G1175)-T1175)/M1175,""))</f>
        <v/>
      </c>
      <c r="P1175" s="50">
        <f>IFERROR((I1175/T1175-1)/N1175,"")</f>
        <v/>
      </c>
      <c r="Q1175" s="46">
        <f>IF(OR(T1175="",I1175&lt;T1175),"",IFERROR(R1175/IF(G1175="",I1175,G1175)-1,""))</f>
        <v/>
      </c>
      <c r="R1175" s="48">
        <f>IF($M1175="","",MAX(IF($G1175="",$I1175,$G1175)*(1/1.1),IF($G1175="",$I1175,$G1175)+(R$2*$M1175)))</f>
        <v/>
      </c>
      <c r="S1175" s="49">
        <f>IF($M1175="","",MAX(IF($G1175="",$I1175,$G1175)*(1/1.1),IF($G1175="",$I1175,$G1175)+(S$2*$M1175)))</f>
        <v/>
      </c>
      <c r="T1175" s="82" t="n"/>
      <c r="U1175" s="47">
        <f>IF(OR($M1175="",$T1175=""),"",$T1175+(U$2*$M1175))</f>
        <v/>
      </c>
      <c r="V1175" s="48">
        <f>IF(OR($M1175="",$T1175=""),"",$T1175+(V$2*$M1175))</f>
        <v/>
      </c>
      <c r="W1175" s="48">
        <f>IF(OR($M1175="",$T1175=""),"",$T1175+(W$2*$M1175))</f>
        <v/>
      </c>
      <c r="X1175" s="49">
        <f>IF(OR($M1175="",$T1175=""),"",$T1175+(X$2*$M1175))</f>
        <v/>
      </c>
      <c r="Y1175" s="47">
        <f>IF(OR($M1175="",$T1175=""),"",$T1175+(Y$2*$M1175))</f>
        <v/>
      </c>
      <c r="Z1175" s="49">
        <f>IF(OR($M1175="",$T1175=""),"",$T1175+(Z$2*$M1175))</f>
        <v/>
      </c>
      <c r="AA1175" s="51">
        <f>IF(OR($M1175="",$T1175=""),"",$T1175+(AA$2*$M1175))</f>
        <v/>
      </c>
      <c r="AB1175" s="48">
        <f>IF(OR($M1175="",$T1175=""),"",$T1175+(AB$2*$M1175))</f>
        <v/>
      </c>
      <c r="AC1175" s="48">
        <f>IF(OR($M1175="",$T1175=""),"",$T1175+(AC$2*$M1175))</f>
        <v/>
      </c>
      <c r="AD1175" s="48">
        <f>IF(OR($M1175="",$T1175=""),"",$T1175+(AD$2*$M1175))</f>
        <v/>
      </c>
      <c r="AE1175" s="49">
        <f>IF(OR($M1175="",$T1175=""),"",$T1175+(AE$2*$M1175))</f>
        <v/>
      </c>
      <c r="AF1175" s="52">
        <f>IF(OR(T1175="",I1175&lt;T1175),"",IFERROR(AVERAGE(T1175+M1175*{7,8,9,10,11})/IF(G1175="",I1175,G1175)-1,""))</f>
        <v/>
      </c>
      <c r="AG1175" s="55">
        <f>IF(OR(T1175="",I1175&lt;T1175),"",IFERROR(AF1175/-(R1175/IF(G1175="",I1175,G1175)-1),""))</f>
        <v/>
      </c>
      <c r="AH1175" s="94" t="n"/>
      <c r="AI1175" s="94" t="n"/>
      <c r="AJ1175" s="94" t="n"/>
      <c r="AK1175" s="94" t="n"/>
      <c r="AL1175" s="84" t="n"/>
    </row>
    <row r="1176">
      <c r="A1176" s="64" t="n"/>
      <c r="B1176" s="65" t="n"/>
      <c r="C1176" s="66" t="n"/>
      <c r="D1176" s="67" t="n"/>
      <c r="E1176" s="68" t="n"/>
      <c r="F1176" s="47">
        <f>IF(A1176="","",IF(MIN(H1176,MAX(J1176:K1176))=0,"",MIN(H1176,MAX(J1176:K1176))))</f>
        <v/>
      </c>
      <c r="G1176" s="74" t="n"/>
      <c r="H1176" s="49">
        <f>IF(M1176="","",IFERROR(ROUND(AVERAGE(T1176+M1176*{7,8,9,10,11})/1.21,4),""))</f>
        <v/>
      </c>
      <c r="I1176" s="76" t="n"/>
      <c r="J1176" s="77" t="n"/>
      <c r="K1176" s="74" t="n"/>
      <c r="L1176" s="78" t="n"/>
      <c r="M1176" s="77" t="n"/>
      <c r="N1176" s="53">
        <f>IF(M1176="","",IFERROR(M1176/I1176,""))</f>
        <v/>
      </c>
      <c r="O1176" s="50">
        <f>IF(A1176="","",IFERROR((IF(G1176="",I1176,G1176)-T1176)/M1176,""))</f>
        <v/>
      </c>
      <c r="P1176" s="50">
        <f>IFERROR((I1176/T1176-1)/N1176,"")</f>
        <v/>
      </c>
      <c r="Q1176" s="46">
        <f>IF(OR(T1176="",I1176&lt;T1176),"",IFERROR(R1176/IF(G1176="",I1176,G1176)-1,""))</f>
        <v/>
      </c>
      <c r="R1176" s="48">
        <f>IF($M1176="","",MAX(IF($G1176="",$I1176,$G1176)*(1/1.1),IF($G1176="",$I1176,$G1176)+(R$2*$M1176)))</f>
        <v/>
      </c>
      <c r="S1176" s="49">
        <f>IF($M1176="","",MAX(IF($G1176="",$I1176,$G1176)*(1/1.1),IF($G1176="",$I1176,$G1176)+(S$2*$M1176)))</f>
        <v/>
      </c>
      <c r="T1176" s="82" t="n"/>
      <c r="U1176" s="47">
        <f>IF(OR($M1176="",$T1176=""),"",$T1176+(U$2*$M1176))</f>
        <v/>
      </c>
      <c r="V1176" s="48">
        <f>IF(OR($M1176="",$T1176=""),"",$T1176+(V$2*$M1176))</f>
        <v/>
      </c>
      <c r="W1176" s="48">
        <f>IF(OR($M1176="",$T1176=""),"",$T1176+(W$2*$M1176))</f>
        <v/>
      </c>
      <c r="X1176" s="49">
        <f>IF(OR($M1176="",$T1176=""),"",$T1176+(X$2*$M1176))</f>
        <v/>
      </c>
      <c r="Y1176" s="47">
        <f>IF(OR($M1176="",$T1176=""),"",$T1176+(Y$2*$M1176))</f>
        <v/>
      </c>
      <c r="Z1176" s="49">
        <f>IF(OR($M1176="",$T1176=""),"",$T1176+(Z$2*$M1176))</f>
        <v/>
      </c>
      <c r="AA1176" s="51">
        <f>IF(OR($M1176="",$T1176=""),"",$T1176+(AA$2*$M1176))</f>
        <v/>
      </c>
      <c r="AB1176" s="48">
        <f>IF(OR($M1176="",$T1176=""),"",$T1176+(AB$2*$M1176))</f>
        <v/>
      </c>
      <c r="AC1176" s="48">
        <f>IF(OR($M1176="",$T1176=""),"",$T1176+(AC$2*$M1176))</f>
        <v/>
      </c>
      <c r="AD1176" s="48">
        <f>IF(OR($M1176="",$T1176=""),"",$T1176+(AD$2*$M1176))</f>
        <v/>
      </c>
      <c r="AE1176" s="49">
        <f>IF(OR($M1176="",$T1176=""),"",$T1176+(AE$2*$M1176))</f>
        <v/>
      </c>
      <c r="AF1176" s="52">
        <f>IF(OR(T1176="",I1176&lt;T1176),"",IFERROR(AVERAGE(T1176+M1176*{7,8,9,10,11})/IF(G1176="",I1176,G1176)-1,""))</f>
        <v/>
      </c>
      <c r="AG1176" s="55">
        <f>IF(OR(T1176="",I1176&lt;T1176),"",IFERROR(AF1176/-(R1176/IF(G1176="",I1176,G1176)-1),""))</f>
        <v/>
      </c>
      <c r="AH1176" s="94" t="n"/>
      <c r="AI1176" s="94" t="n"/>
      <c r="AJ1176" s="94" t="n"/>
      <c r="AK1176" s="94" t="n"/>
      <c r="AL1176" s="84" t="n"/>
    </row>
    <row r="1177">
      <c r="A1177" s="64" t="n"/>
      <c r="B1177" s="65" t="n"/>
      <c r="C1177" s="66" t="n"/>
      <c r="D1177" s="67" t="n"/>
      <c r="E1177" s="68" t="n"/>
      <c r="F1177" s="47">
        <f>IF(A1177="","",IF(MIN(H1177,MAX(J1177:K1177))=0,"",MIN(H1177,MAX(J1177:K1177))))</f>
        <v/>
      </c>
      <c r="G1177" s="74" t="n"/>
      <c r="H1177" s="49">
        <f>IF(M1177="","",IFERROR(ROUND(AVERAGE(T1177+M1177*{7,8,9,10,11})/1.21,4),""))</f>
        <v/>
      </c>
      <c r="I1177" s="76" t="n"/>
      <c r="J1177" s="77" t="n"/>
      <c r="K1177" s="74" t="n"/>
      <c r="L1177" s="78" t="n"/>
      <c r="M1177" s="77" t="n"/>
      <c r="N1177" s="53">
        <f>IF(M1177="","",IFERROR(M1177/I1177,""))</f>
        <v/>
      </c>
      <c r="O1177" s="50">
        <f>IF(A1177="","",IFERROR((IF(G1177="",I1177,G1177)-T1177)/M1177,""))</f>
        <v/>
      </c>
      <c r="P1177" s="50">
        <f>IFERROR((I1177/T1177-1)/N1177,"")</f>
        <v/>
      </c>
      <c r="Q1177" s="46">
        <f>IF(OR(T1177="",I1177&lt;T1177),"",IFERROR(R1177/IF(G1177="",I1177,G1177)-1,""))</f>
        <v/>
      </c>
      <c r="R1177" s="48">
        <f>IF($M1177="","",MAX(IF($G1177="",$I1177,$G1177)*(1/1.1),IF($G1177="",$I1177,$G1177)+(R$2*$M1177)))</f>
        <v/>
      </c>
      <c r="S1177" s="49">
        <f>IF($M1177="","",MAX(IF($G1177="",$I1177,$G1177)*(1/1.1),IF($G1177="",$I1177,$G1177)+(S$2*$M1177)))</f>
        <v/>
      </c>
      <c r="T1177" s="82" t="n"/>
      <c r="U1177" s="47">
        <f>IF(OR($M1177="",$T1177=""),"",$T1177+(U$2*$M1177))</f>
        <v/>
      </c>
      <c r="V1177" s="48">
        <f>IF(OR($M1177="",$T1177=""),"",$T1177+(V$2*$M1177))</f>
        <v/>
      </c>
      <c r="W1177" s="48">
        <f>IF(OR($M1177="",$T1177=""),"",$T1177+(W$2*$M1177))</f>
        <v/>
      </c>
      <c r="X1177" s="49">
        <f>IF(OR($M1177="",$T1177=""),"",$T1177+(X$2*$M1177))</f>
        <v/>
      </c>
      <c r="Y1177" s="47">
        <f>IF(OR($M1177="",$T1177=""),"",$T1177+(Y$2*$M1177))</f>
        <v/>
      </c>
      <c r="Z1177" s="49">
        <f>IF(OR($M1177="",$T1177=""),"",$T1177+(Z$2*$M1177))</f>
        <v/>
      </c>
      <c r="AA1177" s="51">
        <f>IF(OR($M1177="",$T1177=""),"",$T1177+(AA$2*$M1177))</f>
        <v/>
      </c>
      <c r="AB1177" s="48">
        <f>IF(OR($M1177="",$T1177=""),"",$T1177+(AB$2*$M1177))</f>
        <v/>
      </c>
      <c r="AC1177" s="48">
        <f>IF(OR($M1177="",$T1177=""),"",$T1177+(AC$2*$M1177))</f>
        <v/>
      </c>
      <c r="AD1177" s="48">
        <f>IF(OR($M1177="",$T1177=""),"",$T1177+(AD$2*$M1177))</f>
        <v/>
      </c>
      <c r="AE1177" s="49">
        <f>IF(OR($M1177="",$T1177=""),"",$T1177+(AE$2*$M1177))</f>
        <v/>
      </c>
      <c r="AF1177" s="52">
        <f>IF(OR(T1177="",I1177&lt;T1177),"",IFERROR(AVERAGE(T1177+M1177*{7,8,9,10,11})/IF(G1177="",I1177,G1177)-1,""))</f>
        <v/>
      </c>
      <c r="AG1177" s="55">
        <f>IF(OR(T1177="",I1177&lt;T1177),"",IFERROR(AF1177/-(R1177/IF(G1177="",I1177,G1177)-1),""))</f>
        <v/>
      </c>
      <c r="AH1177" s="94" t="n"/>
      <c r="AI1177" s="94" t="n"/>
      <c r="AJ1177" s="94" t="n"/>
      <c r="AK1177" s="94" t="n"/>
      <c r="AL1177" s="84" t="n"/>
    </row>
    <row r="1178">
      <c r="A1178" s="64" t="n"/>
      <c r="B1178" s="65" t="n"/>
      <c r="C1178" s="66" t="n"/>
      <c r="D1178" s="67" t="n"/>
      <c r="E1178" s="68" t="n"/>
      <c r="F1178" s="47">
        <f>IF(A1178="","",IF(MIN(H1178,MAX(J1178:K1178))=0,"",MIN(H1178,MAX(J1178:K1178))))</f>
        <v/>
      </c>
      <c r="G1178" s="74" t="n"/>
      <c r="H1178" s="49">
        <f>IF(M1178="","",IFERROR(ROUND(AVERAGE(T1178+M1178*{7,8,9,10,11})/1.21,4),""))</f>
        <v/>
      </c>
      <c r="I1178" s="76" t="n"/>
      <c r="J1178" s="77" t="n"/>
      <c r="K1178" s="74" t="n"/>
      <c r="L1178" s="78" t="n"/>
      <c r="M1178" s="77" t="n"/>
      <c r="N1178" s="53">
        <f>IF(M1178="","",IFERROR(M1178/I1178,""))</f>
        <v/>
      </c>
      <c r="O1178" s="50">
        <f>IF(A1178="","",IFERROR((IF(G1178="",I1178,G1178)-T1178)/M1178,""))</f>
        <v/>
      </c>
      <c r="P1178" s="50">
        <f>IFERROR((I1178/T1178-1)/N1178,"")</f>
        <v/>
      </c>
      <c r="Q1178" s="46">
        <f>IF(OR(T1178="",I1178&lt;T1178),"",IFERROR(R1178/IF(G1178="",I1178,G1178)-1,""))</f>
        <v/>
      </c>
      <c r="R1178" s="48">
        <f>IF($M1178="","",MAX(IF($G1178="",$I1178,$G1178)*(1/1.1),IF($G1178="",$I1178,$G1178)+(R$2*$M1178)))</f>
        <v/>
      </c>
      <c r="S1178" s="49">
        <f>IF($M1178="","",MAX(IF($G1178="",$I1178,$G1178)*(1/1.1),IF($G1178="",$I1178,$G1178)+(S$2*$M1178)))</f>
        <v/>
      </c>
      <c r="T1178" s="82" t="n"/>
      <c r="U1178" s="47">
        <f>IF(OR($M1178="",$T1178=""),"",$T1178+(U$2*$M1178))</f>
        <v/>
      </c>
      <c r="V1178" s="48">
        <f>IF(OR($M1178="",$T1178=""),"",$T1178+(V$2*$M1178))</f>
        <v/>
      </c>
      <c r="W1178" s="48">
        <f>IF(OR($M1178="",$T1178=""),"",$T1178+(W$2*$M1178))</f>
        <v/>
      </c>
      <c r="X1178" s="49">
        <f>IF(OR($M1178="",$T1178=""),"",$T1178+(X$2*$M1178))</f>
        <v/>
      </c>
      <c r="Y1178" s="47">
        <f>IF(OR($M1178="",$T1178=""),"",$T1178+(Y$2*$M1178))</f>
        <v/>
      </c>
      <c r="Z1178" s="49">
        <f>IF(OR($M1178="",$T1178=""),"",$T1178+(Z$2*$M1178))</f>
        <v/>
      </c>
      <c r="AA1178" s="51">
        <f>IF(OR($M1178="",$T1178=""),"",$T1178+(AA$2*$M1178))</f>
        <v/>
      </c>
      <c r="AB1178" s="48">
        <f>IF(OR($M1178="",$T1178=""),"",$T1178+(AB$2*$M1178))</f>
        <v/>
      </c>
      <c r="AC1178" s="48">
        <f>IF(OR($M1178="",$T1178=""),"",$T1178+(AC$2*$M1178))</f>
        <v/>
      </c>
      <c r="AD1178" s="48">
        <f>IF(OR($M1178="",$T1178=""),"",$T1178+(AD$2*$M1178))</f>
        <v/>
      </c>
      <c r="AE1178" s="49">
        <f>IF(OR($M1178="",$T1178=""),"",$T1178+(AE$2*$M1178))</f>
        <v/>
      </c>
      <c r="AF1178" s="52">
        <f>IF(OR(T1178="",I1178&lt;T1178),"",IFERROR(AVERAGE(T1178+M1178*{7,8,9,10,11})/IF(G1178="",I1178,G1178)-1,""))</f>
        <v/>
      </c>
      <c r="AG1178" s="55">
        <f>IF(OR(T1178="",I1178&lt;T1178),"",IFERROR(AF1178/-(R1178/IF(G1178="",I1178,G1178)-1),""))</f>
        <v/>
      </c>
      <c r="AH1178" s="94" t="n"/>
      <c r="AI1178" s="94" t="n"/>
      <c r="AJ1178" s="94" t="n"/>
      <c r="AK1178" s="94" t="n"/>
      <c r="AL1178" s="84" t="n"/>
    </row>
    <row r="1179">
      <c r="A1179" s="64" t="n"/>
      <c r="B1179" s="65" t="n"/>
      <c r="C1179" s="66" t="n"/>
      <c r="D1179" s="67" t="n"/>
      <c r="E1179" s="68" t="n"/>
      <c r="F1179" s="47">
        <f>IF(A1179="","",IF(MIN(H1179,MAX(J1179:K1179))=0,"",MIN(H1179,MAX(J1179:K1179))))</f>
        <v/>
      </c>
      <c r="G1179" s="74" t="n"/>
      <c r="H1179" s="49">
        <f>IF(M1179="","",IFERROR(ROUND(AVERAGE(T1179+M1179*{7,8,9,10,11})/1.21,4),""))</f>
        <v/>
      </c>
      <c r="I1179" s="76" t="n"/>
      <c r="J1179" s="77" t="n"/>
      <c r="K1179" s="74" t="n"/>
      <c r="L1179" s="78" t="n"/>
      <c r="M1179" s="77" t="n"/>
      <c r="N1179" s="53">
        <f>IF(M1179="","",IFERROR(M1179/I1179,""))</f>
        <v/>
      </c>
      <c r="O1179" s="50">
        <f>IF(A1179="","",IFERROR((IF(G1179="",I1179,G1179)-T1179)/M1179,""))</f>
        <v/>
      </c>
      <c r="P1179" s="50">
        <f>IFERROR((I1179/T1179-1)/N1179,"")</f>
        <v/>
      </c>
      <c r="Q1179" s="46">
        <f>IF(OR(T1179="",I1179&lt;T1179),"",IFERROR(R1179/IF(G1179="",I1179,G1179)-1,""))</f>
        <v/>
      </c>
      <c r="R1179" s="48">
        <f>IF($M1179="","",MAX(IF($G1179="",$I1179,$G1179)*(1/1.1),IF($G1179="",$I1179,$G1179)+(R$2*$M1179)))</f>
        <v/>
      </c>
      <c r="S1179" s="49">
        <f>IF($M1179="","",MAX(IF($G1179="",$I1179,$G1179)*(1/1.1),IF($G1179="",$I1179,$G1179)+(S$2*$M1179)))</f>
        <v/>
      </c>
      <c r="T1179" s="82" t="n"/>
      <c r="U1179" s="47">
        <f>IF(OR($M1179="",$T1179=""),"",$T1179+(U$2*$M1179))</f>
        <v/>
      </c>
      <c r="V1179" s="48">
        <f>IF(OR($M1179="",$T1179=""),"",$T1179+(V$2*$M1179))</f>
        <v/>
      </c>
      <c r="W1179" s="48">
        <f>IF(OR($M1179="",$T1179=""),"",$T1179+(W$2*$M1179))</f>
        <v/>
      </c>
      <c r="X1179" s="49">
        <f>IF(OR($M1179="",$T1179=""),"",$T1179+(X$2*$M1179))</f>
        <v/>
      </c>
      <c r="Y1179" s="47">
        <f>IF(OR($M1179="",$T1179=""),"",$T1179+(Y$2*$M1179))</f>
        <v/>
      </c>
      <c r="Z1179" s="49">
        <f>IF(OR($M1179="",$T1179=""),"",$T1179+(Z$2*$M1179))</f>
        <v/>
      </c>
      <c r="AA1179" s="51">
        <f>IF(OR($M1179="",$T1179=""),"",$T1179+(AA$2*$M1179))</f>
        <v/>
      </c>
      <c r="AB1179" s="48">
        <f>IF(OR($M1179="",$T1179=""),"",$T1179+(AB$2*$M1179))</f>
        <v/>
      </c>
      <c r="AC1179" s="48">
        <f>IF(OR($M1179="",$T1179=""),"",$T1179+(AC$2*$M1179))</f>
        <v/>
      </c>
      <c r="AD1179" s="48">
        <f>IF(OR($M1179="",$T1179=""),"",$T1179+(AD$2*$M1179))</f>
        <v/>
      </c>
      <c r="AE1179" s="49">
        <f>IF(OR($M1179="",$T1179=""),"",$T1179+(AE$2*$M1179))</f>
        <v/>
      </c>
      <c r="AF1179" s="52">
        <f>IF(OR(T1179="",I1179&lt;T1179),"",IFERROR(AVERAGE(T1179+M1179*{7,8,9,10,11})/IF(G1179="",I1179,G1179)-1,""))</f>
        <v/>
      </c>
      <c r="AG1179" s="55">
        <f>IF(OR(T1179="",I1179&lt;T1179),"",IFERROR(AF1179/-(R1179/IF(G1179="",I1179,G1179)-1),""))</f>
        <v/>
      </c>
      <c r="AH1179" s="94" t="n"/>
      <c r="AI1179" s="94" t="n"/>
      <c r="AJ1179" s="94" t="n"/>
      <c r="AK1179" s="94" t="n"/>
      <c r="AL1179" s="84" t="n"/>
    </row>
    <row r="1180">
      <c r="A1180" s="64" t="n"/>
      <c r="B1180" s="65" t="n"/>
      <c r="C1180" s="66" t="n"/>
      <c r="D1180" s="67" t="n"/>
      <c r="E1180" s="68" t="n"/>
      <c r="F1180" s="47">
        <f>IF(A1180="","",IF(MIN(H1180,MAX(J1180:K1180))=0,"",MIN(H1180,MAX(J1180:K1180))))</f>
        <v/>
      </c>
      <c r="G1180" s="74" t="n"/>
      <c r="H1180" s="49">
        <f>IF(M1180="","",IFERROR(ROUND(AVERAGE(T1180+M1180*{7,8,9,10,11})/1.21,4),""))</f>
        <v/>
      </c>
      <c r="I1180" s="76" t="n"/>
      <c r="J1180" s="77" t="n"/>
      <c r="K1180" s="74" t="n"/>
      <c r="L1180" s="78" t="n"/>
      <c r="M1180" s="77" t="n"/>
      <c r="N1180" s="53">
        <f>IF(M1180="","",IFERROR(M1180/I1180,""))</f>
        <v/>
      </c>
      <c r="O1180" s="50">
        <f>IF(A1180="","",IFERROR((IF(G1180="",I1180,G1180)-T1180)/M1180,""))</f>
        <v/>
      </c>
      <c r="P1180" s="50">
        <f>IFERROR((I1180/T1180-1)/N1180,"")</f>
        <v/>
      </c>
      <c r="Q1180" s="46">
        <f>IF(OR(T1180="",I1180&lt;T1180),"",IFERROR(R1180/IF(G1180="",I1180,G1180)-1,""))</f>
        <v/>
      </c>
      <c r="R1180" s="48">
        <f>IF($M1180="","",MAX(IF($G1180="",$I1180,$G1180)*(1/1.1),IF($G1180="",$I1180,$G1180)+(R$2*$M1180)))</f>
        <v/>
      </c>
      <c r="S1180" s="49">
        <f>IF($M1180="","",MAX(IF($G1180="",$I1180,$G1180)*(1/1.1),IF($G1180="",$I1180,$G1180)+(S$2*$M1180)))</f>
        <v/>
      </c>
      <c r="T1180" s="82" t="n"/>
      <c r="U1180" s="47">
        <f>IF(OR($M1180="",$T1180=""),"",$T1180+(U$2*$M1180))</f>
        <v/>
      </c>
      <c r="V1180" s="48">
        <f>IF(OR($M1180="",$T1180=""),"",$T1180+(V$2*$M1180))</f>
        <v/>
      </c>
      <c r="W1180" s="48">
        <f>IF(OR($M1180="",$T1180=""),"",$T1180+(W$2*$M1180))</f>
        <v/>
      </c>
      <c r="X1180" s="49">
        <f>IF(OR($M1180="",$T1180=""),"",$T1180+(X$2*$M1180))</f>
        <v/>
      </c>
      <c r="Y1180" s="47">
        <f>IF(OR($M1180="",$T1180=""),"",$T1180+(Y$2*$M1180))</f>
        <v/>
      </c>
      <c r="Z1180" s="49">
        <f>IF(OR($M1180="",$T1180=""),"",$T1180+(Z$2*$M1180))</f>
        <v/>
      </c>
      <c r="AA1180" s="51">
        <f>IF(OR($M1180="",$T1180=""),"",$T1180+(AA$2*$M1180))</f>
        <v/>
      </c>
      <c r="AB1180" s="48">
        <f>IF(OR($M1180="",$T1180=""),"",$T1180+(AB$2*$M1180))</f>
        <v/>
      </c>
      <c r="AC1180" s="48">
        <f>IF(OR($M1180="",$T1180=""),"",$T1180+(AC$2*$M1180))</f>
        <v/>
      </c>
      <c r="AD1180" s="48">
        <f>IF(OR($M1180="",$T1180=""),"",$T1180+(AD$2*$M1180))</f>
        <v/>
      </c>
      <c r="AE1180" s="49">
        <f>IF(OR($M1180="",$T1180=""),"",$T1180+(AE$2*$M1180))</f>
        <v/>
      </c>
      <c r="AF1180" s="52">
        <f>IF(OR(T1180="",I1180&lt;T1180),"",IFERROR(AVERAGE(T1180+M1180*{7,8,9,10,11})/IF(G1180="",I1180,G1180)-1,""))</f>
        <v/>
      </c>
      <c r="AG1180" s="55">
        <f>IF(OR(T1180="",I1180&lt;T1180),"",IFERROR(AF1180/-(R1180/IF(G1180="",I1180,G1180)-1),""))</f>
        <v/>
      </c>
      <c r="AH1180" s="94" t="n"/>
      <c r="AI1180" s="94" t="n"/>
      <c r="AJ1180" s="94" t="n"/>
      <c r="AK1180" s="94" t="n"/>
      <c r="AL1180" s="84" t="n"/>
    </row>
    <row r="1181">
      <c r="A1181" s="64" t="n"/>
      <c r="B1181" s="65" t="n"/>
      <c r="C1181" s="66" t="n"/>
      <c r="D1181" s="67" t="n"/>
      <c r="E1181" s="68" t="n"/>
      <c r="F1181" s="47">
        <f>IF(A1181="","",IF(MIN(H1181,MAX(J1181:K1181))=0,"",MIN(H1181,MAX(J1181:K1181))))</f>
        <v/>
      </c>
      <c r="G1181" s="74" t="n"/>
      <c r="H1181" s="49">
        <f>IF(M1181="","",IFERROR(ROUND(AVERAGE(T1181+M1181*{7,8,9,10,11})/1.21,4),""))</f>
        <v/>
      </c>
      <c r="I1181" s="76" t="n"/>
      <c r="J1181" s="77" t="n"/>
      <c r="K1181" s="74" t="n"/>
      <c r="L1181" s="78" t="n"/>
      <c r="M1181" s="77" t="n"/>
      <c r="N1181" s="53">
        <f>IF(M1181="","",IFERROR(M1181/I1181,""))</f>
        <v/>
      </c>
      <c r="O1181" s="50">
        <f>IF(A1181="","",IFERROR((IF(G1181="",I1181,G1181)-T1181)/M1181,""))</f>
        <v/>
      </c>
      <c r="P1181" s="50">
        <f>IFERROR((I1181/T1181-1)/N1181,"")</f>
        <v/>
      </c>
      <c r="Q1181" s="46">
        <f>IF(OR(T1181="",I1181&lt;T1181),"",IFERROR(R1181/IF(G1181="",I1181,G1181)-1,""))</f>
        <v/>
      </c>
      <c r="R1181" s="48">
        <f>IF($M1181="","",MAX(IF($G1181="",$I1181,$G1181)*(1/1.1),IF($G1181="",$I1181,$G1181)+(R$2*$M1181)))</f>
        <v/>
      </c>
      <c r="S1181" s="49">
        <f>IF($M1181="","",MAX(IF($G1181="",$I1181,$G1181)*(1/1.1),IF($G1181="",$I1181,$G1181)+(S$2*$M1181)))</f>
        <v/>
      </c>
      <c r="T1181" s="82" t="n"/>
      <c r="U1181" s="47">
        <f>IF(OR($M1181="",$T1181=""),"",$T1181+(U$2*$M1181))</f>
        <v/>
      </c>
      <c r="V1181" s="48">
        <f>IF(OR($M1181="",$T1181=""),"",$T1181+(V$2*$M1181))</f>
        <v/>
      </c>
      <c r="W1181" s="48">
        <f>IF(OR($M1181="",$T1181=""),"",$T1181+(W$2*$M1181))</f>
        <v/>
      </c>
      <c r="X1181" s="49">
        <f>IF(OR($M1181="",$T1181=""),"",$T1181+(X$2*$M1181))</f>
        <v/>
      </c>
      <c r="Y1181" s="47">
        <f>IF(OR($M1181="",$T1181=""),"",$T1181+(Y$2*$M1181))</f>
        <v/>
      </c>
      <c r="Z1181" s="49">
        <f>IF(OR($M1181="",$T1181=""),"",$T1181+(Z$2*$M1181))</f>
        <v/>
      </c>
      <c r="AA1181" s="51">
        <f>IF(OR($M1181="",$T1181=""),"",$T1181+(AA$2*$M1181))</f>
        <v/>
      </c>
      <c r="AB1181" s="48">
        <f>IF(OR($M1181="",$T1181=""),"",$T1181+(AB$2*$M1181))</f>
        <v/>
      </c>
      <c r="AC1181" s="48">
        <f>IF(OR($M1181="",$T1181=""),"",$T1181+(AC$2*$M1181))</f>
        <v/>
      </c>
      <c r="AD1181" s="48">
        <f>IF(OR($M1181="",$T1181=""),"",$T1181+(AD$2*$M1181))</f>
        <v/>
      </c>
      <c r="AE1181" s="49">
        <f>IF(OR($M1181="",$T1181=""),"",$T1181+(AE$2*$M1181))</f>
        <v/>
      </c>
      <c r="AF1181" s="52">
        <f>IF(OR(T1181="",I1181&lt;T1181),"",IFERROR(AVERAGE(T1181+M1181*{7,8,9,10,11})/IF(G1181="",I1181,G1181)-1,""))</f>
        <v/>
      </c>
      <c r="AG1181" s="55">
        <f>IF(OR(T1181="",I1181&lt;T1181),"",IFERROR(AF1181/-(R1181/IF(G1181="",I1181,G1181)-1),""))</f>
        <v/>
      </c>
      <c r="AH1181" s="94" t="n"/>
      <c r="AI1181" s="94" t="n"/>
      <c r="AJ1181" s="94" t="n"/>
      <c r="AK1181" s="94" t="n"/>
      <c r="AL1181" s="84" t="n"/>
    </row>
    <row r="1182">
      <c r="A1182" s="64" t="n"/>
      <c r="B1182" s="65" t="n"/>
      <c r="C1182" s="66" t="n"/>
      <c r="D1182" s="67" t="n"/>
      <c r="E1182" s="68" t="n"/>
      <c r="F1182" s="47">
        <f>IF(A1182="","",IF(MIN(H1182,MAX(J1182:K1182))=0,"",MIN(H1182,MAX(J1182:K1182))))</f>
        <v/>
      </c>
      <c r="G1182" s="74" t="n"/>
      <c r="H1182" s="49">
        <f>IF(M1182="","",IFERROR(ROUND(AVERAGE(T1182+M1182*{7,8,9,10,11})/1.21,4),""))</f>
        <v/>
      </c>
      <c r="I1182" s="76" t="n"/>
      <c r="J1182" s="77" t="n"/>
      <c r="K1182" s="74" t="n"/>
      <c r="L1182" s="78" t="n"/>
      <c r="M1182" s="77" t="n"/>
      <c r="N1182" s="53">
        <f>IF(M1182="","",IFERROR(M1182/I1182,""))</f>
        <v/>
      </c>
      <c r="O1182" s="50">
        <f>IF(A1182="","",IFERROR((IF(G1182="",I1182,G1182)-T1182)/M1182,""))</f>
        <v/>
      </c>
      <c r="P1182" s="50">
        <f>IFERROR((I1182/T1182-1)/N1182,"")</f>
        <v/>
      </c>
      <c r="Q1182" s="46">
        <f>IF(OR(T1182="",I1182&lt;T1182),"",IFERROR(R1182/IF(G1182="",I1182,G1182)-1,""))</f>
        <v/>
      </c>
      <c r="R1182" s="48">
        <f>IF($M1182="","",MAX(IF($G1182="",$I1182,$G1182)*(1/1.1),IF($G1182="",$I1182,$G1182)+(R$2*$M1182)))</f>
        <v/>
      </c>
      <c r="S1182" s="49">
        <f>IF($M1182="","",MAX(IF($G1182="",$I1182,$G1182)*(1/1.1),IF($G1182="",$I1182,$G1182)+(S$2*$M1182)))</f>
        <v/>
      </c>
      <c r="T1182" s="82" t="n"/>
      <c r="U1182" s="47">
        <f>IF(OR($M1182="",$T1182=""),"",$T1182+(U$2*$M1182))</f>
        <v/>
      </c>
      <c r="V1182" s="48">
        <f>IF(OR($M1182="",$T1182=""),"",$T1182+(V$2*$M1182))</f>
        <v/>
      </c>
      <c r="W1182" s="48">
        <f>IF(OR($M1182="",$T1182=""),"",$T1182+(W$2*$M1182))</f>
        <v/>
      </c>
      <c r="X1182" s="49">
        <f>IF(OR($M1182="",$T1182=""),"",$T1182+(X$2*$M1182))</f>
        <v/>
      </c>
      <c r="Y1182" s="47">
        <f>IF(OR($M1182="",$T1182=""),"",$T1182+(Y$2*$M1182))</f>
        <v/>
      </c>
      <c r="Z1182" s="49">
        <f>IF(OR($M1182="",$T1182=""),"",$T1182+(Z$2*$M1182))</f>
        <v/>
      </c>
      <c r="AA1182" s="51">
        <f>IF(OR($M1182="",$T1182=""),"",$T1182+(AA$2*$M1182))</f>
        <v/>
      </c>
      <c r="AB1182" s="48">
        <f>IF(OR($M1182="",$T1182=""),"",$T1182+(AB$2*$M1182))</f>
        <v/>
      </c>
      <c r="AC1182" s="48">
        <f>IF(OR($M1182="",$T1182=""),"",$T1182+(AC$2*$M1182))</f>
        <v/>
      </c>
      <c r="AD1182" s="48">
        <f>IF(OR($M1182="",$T1182=""),"",$T1182+(AD$2*$M1182))</f>
        <v/>
      </c>
      <c r="AE1182" s="49">
        <f>IF(OR($M1182="",$T1182=""),"",$T1182+(AE$2*$M1182))</f>
        <v/>
      </c>
      <c r="AF1182" s="52">
        <f>IF(OR(T1182="",I1182&lt;T1182),"",IFERROR(AVERAGE(T1182+M1182*{7,8,9,10,11})/IF(G1182="",I1182,G1182)-1,""))</f>
        <v/>
      </c>
      <c r="AG1182" s="55">
        <f>IF(OR(T1182="",I1182&lt;T1182),"",IFERROR(AF1182/-(R1182/IF(G1182="",I1182,G1182)-1),""))</f>
        <v/>
      </c>
      <c r="AH1182" s="94" t="n"/>
      <c r="AI1182" s="94" t="n"/>
      <c r="AJ1182" s="94" t="n"/>
      <c r="AK1182" s="94" t="n"/>
      <c r="AL1182" s="84" t="n"/>
    </row>
    <row r="1183">
      <c r="A1183" s="64" t="n"/>
      <c r="B1183" s="65" t="n"/>
      <c r="C1183" s="66" t="n"/>
      <c r="D1183" s="67" t="n"/>
      <c r="E1183" s="68" t="n"/>
      <c r="F1183" s="47">
        <f>IF(A1183="","",IF(MIN(H1183,MAX(J1183:K1183))=0,"",MIN(H1183,MAX(J1183:K1183))))</f>
        <v/>
      </c>
      <c r="G1183" s="74" t="n"/>
      <c r="H1183" s="49">
        <f>IF(M1183="","",IFERROR(ROUND(AVERAGE(T1183+M1183*{7,8,9,10,11})/1.21,4),""))</f>
        <v/>
      </c>
      <c r="I1183" s="76" t="n"/>
      <c r="J1183" s="77" t="n"/>
      <c r="K1183" s="74" t="n"/>
      <c r="L1183" s="78" t="n"/>
      <c r="M1183" s="77" t="n"/>
      <c r="N1183" s="53">
        <f>IF(M1183="","",IFERROR(M1183/I1183,""))</f>
        <v/>
      </c>
      <c r="O1183" s="50">
        <f>IF(A1183="","",IFERROR((IF(G1183="",I1183,G1183)-T1183)/M1183,""))</f>
        <v/>
      </c>
      <c r="P1183" s="50">
        <f>IFERROR((I1183/T1183-1)/N1183,"")</f>
        <v/>
      </c>
      <c r="Q1183" s="46">
        <f>IF(OR(T1183="",I1183&lt;T1183),"",IFERROR(R1183/IF(G1183="",I1183,G1183)-1,""))</f>
        <v/>
      </c>
      <c r="R1183" s="48">
        <f>IF($M1183="","",MAX(IF($G1183="",$I1183,$G1183)*(1/1.1),IF($G1183="",$I1183,$G1183)+(R$2*$M1183)))</f>
        <v/>
      </c>
      <c r="S1183" s="49">
        <f>IF($M1183="","",MAX(IF($G1183="",$I1183,$G1183)*(1/1.1),IF($G1183="",$I1183,$G1183)+(S$2*$M1183)))</f>
        <v/>
      </c>
      <c r="T1183" s="82" t="n"/>
      <c r="U1183" s="47">
        <f>IF(OR($M1183="",$T1183=""),"",$T1183+(U$2*$M1183))</f>
        <v/>
      </c>
      <c r="V1183" s="48">
        <f>IF(OR($M1183="",$T1183=""),"",$T1183+(V$2*$M1183))</f>
        <v/>
      </c>
      <c r="W1183" s="48">
        <f>IF(OR($M1183="",$T1183=""),"",$T1183+(W$2*$M1183))</f>
        <v/>
      </c>
      <c r="X1183" s="49">
        <f>IF(OR($M1183="",$T1183=""),"",$T1183+(X$2*$M1183))</f>
        <v/>
      </c>
      <c r="Y1183" s="47">
        <f>IF(OR($M1183="",$T1183=""),"",$T1183+(Y$2*$M1183))</f>
        <v/>
      </c>
      <c r="Z1183" s="49">
        <f>IF(OR($M1183="",$T1183=""),"",$T1183+(Z$2*$M1183))</f>
        <v/>
      </c>
      <c r="AA1183" s="51">
        <f>IF(OR($M1183="",$T1183=""),"",$T1183+(AA$2*$M1183))</f>
        <v/>
      </c>
      <c r="AB1183" s="48">
        <f>IF(OR($M1183="",$T1183=""),"",$T1183+(AB$2*$M1183))</f>
        <v/>
      </c>
      <c r="AC1183" s="48">
        <f>IF(OR($M1183="",$T1183=""),"",$T1183+(AC$2*$M1183))</f>
        <v/>
      </c>
      <c r="AD1183" s="48">
        <f>IF(OR($M1183="",$T1183=""),"",$T1183+(AD$2*$M1183))</f>
        <v/>
      </c>
      <c r="AE1183" s="49">
        <f>IF(OR($M1183="",$T1183=""),"",$T1183+(AE$2*$M1183))</f>
        <v/>
      </c>
      <c r="AF1183" s="52">
        <f>IF(OR(T1183="",I1183&lt;T1183),"",IFERROR(AVERAGE(T1183+M1183*{7,8,9,10,11})/IF(G1183="",I1183,G1183)-1,""))</f>
        <v/>
      </c>
      <c r="AG1183" s="55">
        <f>IF(OR(T1183="",I1183&lt;T1183),"",IFERROR(AF1183/-(R1183/IF(G1183="",I1183,G1183)-1),""))</f>
        <v/>
      </c>
      <c r="AH1183" s="94" t="n"/>
      <c r="AI1183" s="94" t="n"/>
      <c r="AJ1183" s="94" t="n"/>
      <c r="AK1183" s="94" t="n"/>
      <c r="AL1183" s="84" t="n"/>
    </row>
    <row r="1184">
      <c r="A1184" s="64" t="n"/>
      <c r="B1184" s="65" t="n"/>
      <c r="C1184" s="66" t="n"/>
      <c r="D1184" s="67" t="n"/>
      <c r="E1184" s="68" t="n"/>
      <c r="F1184" s="47">
        <f>IF(A1184="","",IF(MIN(H1184,MAX(J1184:K1184))=0,"",MIN(H1184,MAX(J1184:K1184))))</f>
        <v/>
      </c>
      <c r="G1184" s="74" t="n"/>
      <c r="H1184" s="49">
        <f>IF(M1184="","",IFERROR(ROUND(AVERAGE(T1184+M1184*{7,8,9,10,11})/1.21,4),""))</f>
        <v/>
      </c>
      <c r="I1184" s="76" t="n"/>
      <c r="J1184" s="77" t="n"/>
      <c r="K1184" s="74" t="n"/>
      <c r="L1184" s="78" t="n"/>
      <c r="M1184" s="77" t="n"/>
      <c r="N1184" s="53">
        <f>IF(M1184="","",IFERROR(M1184/I1184,""))</f>
        <v/>
      </c>
      <c r="O1184" s="50">
        <f>IF(A1184="","",IFERROR((IF(G1184="",I1184,G1184)-T1184)/M1184,""))</f>
        <v/>
      </c>
      <c r="P1184" s="50">
        <f>IFERROR((I1184/T1184-1)/N1184,"")</f>
        <v/>
      </c>
      <c r="Q1184" s="46">
        <f>IF(OR(T1184="",I1184&lt;T1184),"",IFERROR(R1184/IF(G1184="",I1184,G1184)-1,""))</f>
        <v/>
      </c>
      <c r="R1184" s="48">
        <f>IF($M1184="","",MAX(IF($G1184="",$I1184,$G1184)*(1/1.1),IF($G1184="",$I1184,$G1184)+(R$2*$M1184)))</f>
        <v/>
      </c>
      <c r="S1184" s="49">
        <f>IF($M1184="","",MAX(IF($G1184="",$I1184,$G1184)*(1/1.1),IF($G1184="",$I1184,$G1184)+(S$2*$M1184)))</f>
        <v/>
      </c>
      <c r="T1184" s="82" t="n"/>
      <c r="U1184" s="47">
        <f>IF(OR($M1184="",$T1184=""),"",$T1184+(U$2*$M1184))</f>
        <v/>
      </c>
      <c r="V1184" s="48">
        <f>IF(OR($M1184="",$T1184=""),"",$T1184+(V$2*$M1184))</f>
        <v/>
      </c>
      <c r="W1184" s="48">
        <f>IF(OR($M1184="",$T1184=""),"",$T1184+(W$2*$M1184))</f>
        <v/>
      </c>
      <c r="X1184" s="49">
        <f>IF(OR($M1184="",$T1184=""),"",$T1184+(X$2*$M1184))</f>
        <v/>
      </c>
      <c r="Y1184" s="47">
        <f>IF(OR($M1184="",$T1184=""),"",$T1184+(Y$2*$M1184))</f>
        <v/>
      </c>
      <c r="Z1184" s="49">
        <f>IF(OR($M1184="",$T1184=""),"",$T1184+(Z$2*$M1184))</f>
        <v/>
      </c>
      <c r="AA1184" s="51">
        <f>IF(OR($M1184="",$T1184=""),"",$T1184+(AA$2*$M1184))</f>
        <v/>
      </c>
      <c r="AB1184" s="48">
        <f>IF(OR($M1184="",$T1184=""),"",$T1184+(AB$2*$M1184))</f>
        <v/>
      </c>
      <c r="AC1184" s="48">
        <f>IF(OR($M1184="",$T1184=""),"",$T1184+(AC$2*$M1184))</f>
        <v/>
      </c>
      <c r="AD1184" s="48">
        <f>IF(OR($M1184="",$T1184=""),"",$T1184+(AD$2*$M1184))</f>
        <v/>
      </c>
      <c r="AE1184" s="49">
        <f>IF(OR($M1184="",$T1184=""),"",$T1184+(AE$2*$M1184))</f>
        <v/>
      </c>
      <c r="AF1184" s="52">
        <f>IF(OR(T1184="",I1184&lt;T1184),"",IFERROR(AVERAGE(T1184+M1184*{7,8,9,10,11})/IF(G1184="",I1184,G1184)-1,""))</f>
        <v/>
      </c>
      <c r="AG1184" s="55">
        <f>IF(OR(T1184="",I1184&lt;T1184),"",IFERROR(AF1184/-(R1184/IF(G1184="",I1184,G1184)-1),""))</f>
        <v/>
      </c>
      <c r="AH1184" s="94" t="n"/>
      <c r="AI1184" s="94" t="n"/>
      <c r="AJ1184" s="94" t="n"/>
      <c r="AK1184" s="94" t="n"/>
      <c r="AL1184" s="84" t="n"/>
    </row>
    <row r="1185">
      <c r="A1185" s="64" t="n"/>
      <c r="B1185" s="65" t="n"/>
      <c r="C1185" s="66" t="n"/>
      <c r="D1185" s="67" t="n"/>
      <c r="E1185" s="68" t="n"/>
      <c r="F1185" s="47">
        <f>IF(A1185="","",IF(MIN(H1185,MAX(J1185:K1185))=0,"",MIN(H1185,MAX(J1185:K1185))))</f>
        <v/>
      </c>
      <c r="G1185" s="74" t="n"/>
      <c r="H1185" s="49">
        <f>IF(M1185="","",IFERROR(ROUND(AVERAGE(T1185+M1185*{7,8,9,10,11})/1.21,4),""))</f>
        <v/>
      </c>
      <c r="I1185" s="76" t="n"/>
      <c r="J1185" s="77" t="n"/>
      <c r="K1185" s="74" t="n"/>
      <c r="L1185" s="78" t="n"/>
      <c r="M1185" s="77" t="n"/>
      <c r="N1185" s="53">
        <f>IF(M1185="","",IFERROR(M1185/I1185,""))</f>
        <v/>
      </c>
      <c r="O1185" s="50">
        <f>IF(A1185="","",IFERROR((IF(G1185="",I1185,G1185)-T1185)/M1185,""))</f>
        <v/>
      </c>
      <c r="P1185" s="50">
        <f>IFERROR((I1185/T1185-1)/N1185,"")</f>
        <v/>
      </c>
      <c r="Q1185" s="46">
        <f>IF(OR(T1185="",I1185&lt;T1185),"",IFERROR(R1185/IF(G1185="",I1185,G1185)-1,""))</f>
        <v/>
      </c>
      <c r="R1185" s="48">
        <f>IF($M1185="","",MAX(IF($G1185="",$I1185,$G1185)*(1/1.1),IF($G1185="",$I1185,$G1185)+(R$2*$M1185)))</f>
        <v/>
      </c>
      <c r="S1185" s="49">
        <f>IF($M1185="","",MAX(IF($G1185="",$I1185,$G1185)*(1/1.1),IF($G1185="",$I1185,$G1185)+(S$2*$M1185)))</f>
        <v/>
      </c>
      <c r="T1185" s="82" t="n"/>
      <c r="U1185" s="47">
        <f>IF(OR($M1185="",$T1185=""),"",$T1185+(U$2*$M1185))</f>
        <v/>
      </c>
      <c r="V1185" s="48">
        <f>IF(OR($M1185="",$T1185=""),"",$T1185+(V$2*$M1185))</f>
        <v/>
      </c>
      <c r="W1185" s="48">
        <f>IF(OR($M1185="",$T1185=""),"",$T1185+(W$2*$M1185))</f>
        <v/>
      </c>
      <c r="X1185" s="49">
        <f>IF(OR($M1185="",$T1185=""),"",$T1185+(X$2*$M1185))</f>
        <v/>
      </c>
      <c r="Y1185" s="47">
        <f>IF(OR($M1185="",$T1185=""),"",$T1185+(Y$2*$M1185))</f>
        <v/>
      </c>
      <c r="Z1185" s="49">
        <f>IF(OR($M1185="",$T1185=""),"",$T1185+(Z$2*$M1185))</f>
        <v/>
      </c>
      <c r="AA1185" s="51">
        <f>IF(OR($M1185="",$T1185=""),"",$T1185+(AA$2*$M1185))</f>
        <v/>
      </c>
      <c r="AB1185" s="48">
        <f>IF(OR($M1185="",$T1185=""),"",$T1185+(AB$2*$M1185))</f>
        <v/>
      </c>
      <c r="AC1185" s="48">
        <f>IF(OR($M1185="",$T1185=""),"",$T1185+(AC$2*$M1185))</f>
        <v/>
      </c>
      <c r="AD1185" s="48">
        <f>IF(OR($M1185="",$T1185=""),"",$T1185+(AD$2*$M1185))</f>
        <v/>
      </c>
      <c r="AE1185" s="49">
        <f>IF(OR($M1185="",$T1185=""),"",$T1185+(AE$2*$M1185))</f>
        <v/>
      </c>
      <c r="AF1185" s="52">
        <f>IF(OR(T1185="",I1185&lt;T1185),"",IFERROR(AVERAGE(T1185+M1185*{7,8,9,10,11})/IF(G1185="",I1185,G1185)-1,""))</f>
        <v/>
      </c>
      <c r="AG1185" s="55">
        <f>IF(OR(T1185="",I1185&lt;T1185),"",IFERROR(AF1185/-(R1185/IF(G1185="",I1185,G1185)-1),""))</f>
        <v/>
      </c>
      <c r="AH1185" s="94" t="n"/>
      <c r="AI1185" s="94" t="n"/>
      <c r="AJ1185" s="94" t="n"/>
      <c r="AK1185" s="94" t="n"/>
      <c r="AL1185" s="84" t="n"/>
    </row>
    <row r="1186">
      <c r="A1186" s="64" t="n"/>
      <c r="B1186" s="65" t="n"/>
      <c r="C1186" s="66" t="n"/>
      <c r="D1186" s="67" t="n"/>
      <c r="E1186" s="68" t="n"/>
      <c r="F1186" s="47">
        <f>IF(A1186="","",IF(MIN(H1186,MAX(J1186:K1186))=0,"",MIN(H1186,MAX(J1186:K1186))))</f>
        <v/>
      </c>
      <c r="G1186" s="74" t="n"/>
      <c r="H1186" s="49">
        <f>IF(M1186="","",IFERROR(ROUND(AVERAGE(T1186+M1186*{7,8,9,10,11})/1.21,4),""))</f>
        <v/>
      </c>
      <c r="I1186" s="76" t="n"/>
      <c r="J1186" s="77" t="n"/>
      <c r="K1186" s="74" t="n"/>
      <c r="L1186" s="78" t="n"/>
      <c r="M1186" s="77" t="n"/>
      <c r="N1186" s="53">
        <f>IF(M1186="","",IFERROR(M1186/I1186,""))</f>
        <v/>
      </c>
      <c r="O1186" s="50">
        <f>IF(A1186="","",IFERROR((IF(G1186="",I1186,G1186)-T1186)/M1186,""))</f>
        <v/>
      </c>
      <c r="P1186" s="50">
        <f>IFERROR((I1186/T1186-1)/N1186,"")</f>
        <v/>
      </c>
      <c r="Q1186" s="46">
        <f>IF(OR(T1186="",I1186&lt;T1186),"",IFERROR(R1186/IF(G1186="",I1186,G1186)-1,""))</f>
        <v/>
      </c>
      <c r="R1186" s="48">
        <f>IF($M1186="","",MAX(IF($G1186="",$I1186,$G1186)*(1/1.1),IF($G1186="",$I1186,$G1186)+(R$2*$M1186)))</f>
        <v/>
      </c>
      <c r="S1186" s="49">
        <f>IF($M1186="","",MAX(IF($G1186="",$I1186,$G1186)*(1/1.1),IF($G1186="",$I1186,$G1186)+(S$2*$M1186)))</f>
        <v/>
      </c>
      <c r="T1186" s="82" t="n"/>
      <c r="U1186" s="47">
        <f>IF(OR($M1186="",$T1186=""),"",$T1186+(U$2*$M1186))</f>
        <v/>
      </c>
      <c r="V1186" s="48">
        <f>IF(OR($M1186="",$T1186=""),"",$T1186+(V$2*$M1186))</f>
        <v/>
      </c>
      <c r="W1186" s="48">
        <f>IF(OR($M1186="",$T1186=""),"",$T1186+(W$2*$M1186))</f>
        <v/>
      </c>
      <c r="X1186" s="49">
        <f>IF(OR($M1186="",$T1186=""),"",$T1186+(X$2*$M1186))</f>
        <v/>
      </c>
      <c r="Y1186" s="47">
        <f>IF(OR($M1186="",$T1186=""),"",$T1186+(Y$2*$M1186))</f>
        <v/>
      </c>
      <c r="Z1186" s="49">
        <f>IF(OR($M1186="",$T1186=""),"",$T1186+(Z$2*$M1186))</f>
        <v/>
      </c>
      <c r="AA1186" s="51">
        <f>IF(OR($M1186="",$T1186=""),"",$T1186+(AA$2*$M1186))</f>
        <v/>
      </c>
      <c r="AB1186" s="48">
        <f>IF(OR($M1186="",$T1186=""),"",$T1186+(AB$2*$M1186))</f>
        <v/>
      </c>
      <c r="AC1186" s="48">
        <f>IF(OR($M1186="",$T1186=""),"",$T1186+(AC$2*$M1186))</f>
        <v/>
      </c>
      <c r="AD1186" s="48">
        <f>IF(OR($M1186="",$T1186=""),"",$T1186+(AD$2*$M1186))</f>
        <v/>
      </c>
      <c r="AE1186" s="49">
        <f>IF(OR($M1186="",$T1186=""),"",$T1186+(AE$2*$M1186))</f>
        <v/>
      </c>
      <c r="AF1186" s="52">
        <f>IF(OR(T1186="",I1186&lt;T1186),"",IFERROR(AVERAGE(T1186+M1186*{7,8,9,10,11})/IF(G1186="",I1186,G1186)-1,""))</f>
        <v/>
      </c>
      <c r="AG1186" s="55">
        <f>IF(OR(T1186="",I1186&lt;T1186),"",IFERROR(AF1186/-(R1186/IF(G1186="",I1186,G1186)-1),""))</f>
        <v/>
      </c>
      <c r="AH1186" s="94" t="n"/>
      <c r="AI1186" s="94" t="n"/>
      <c r="AJ1186" s="94" t="n"/>
      <c r="AK1186" s="94" t="n"/>
      <c r="AL1186" s="84" t="n"/>
    </row>
    <row r="1187">
      <c r="A1187" s="64" t="n"/>
      <c r="B1187" s="65" t="n"/>
      <c r="C1187" s="66" t="n"/>
      <c r="D1187" s="67" t="n"/>
      <c r="E1187" s="68" t="n"/>
      <c r="F1187" s="47">
        <f>IF(A1187="","",IF(MIN(H1187,MAX(J1187:K1187))=0,"",MIN(H1187,MAX(J1187:K1187))))</f>
        <v/>
      </c>
      <c r="G1187" s="74" t="n"/>
      <c r="H1187" s="49">
        <f>IF(M1187="","",IFERROR(ROUND(AVERAGE(T1187+M1187*{7,8,9,10,11})/1.21,4),""))</f>
        <v/>
      </c>
      <c r="I1187" s="76" t="n"/>
      <c r="J1187" s="77" t="n"/>
      <c r="K1187" s="74" t="n"/>
      <c r="L1187" s="78" t="n"/>
      <c r="M1187" s="77" t="n"/>
      <c r="N1187" s="53">
        <f>IF(M1187="","",IFERROR(M1187/I1187,""))</f>
        <v/>
      </c>
      <c r="O1187" s="50">
        <f>IF(A1187="","",IFERROR((IF(G1187="",I1187,G1187)-T1187)/M1187,""))</f>
        <v/>
      </c>
      <c r="P1187" s="50">
        <f>IFERROR((I1187/T1187-1)/N1187,"")</f>
        <v/>
      </c>
      <c r="Q1187" s="46">
        <f>IF(OR(T1187="",I1187&lt;T1187),"",IFERROR(R1187/IF(G1187="",I1187,G1187)-1,""))</f>
        <v/>
      </c>
      <c r="R1187" s="48">
        <f>IF($M1187="","",MAX(IF($G1187="",$I1187,$G1187)*(1/1.1),IF($G1187="",$I1187,$G1187)+(R$2*$M1187)))</f>
        <v/>
      </c>
      <c r="S1187" s="49">
        <f>IF($M1187="","",MAX(IF($G1187="",$I1187,$G1187)*(1/1.1),IF($G1187="",$I1187,$G1187)+(S$2*$M1187)))</f>
        <v/>
      </c>
      <c r="T1187" s="82" t="n"/>
      <c r="U1187" s="47">
        <f>IF(OR($M1187="",$T1187=""),"",$T1187+(U$2*$M1187))</f>
        <v/>
      </c>
      <c r="V1187" s="48">
        <f>IF(OR($M1187="",$T1187=""),"",$T1187+(V$2*$M1187))</f>
        <v/>
      </c>
      <c r="W1187" s="48">
        <f>IF(OR($M1187="",$T1187=""),"",$T1187+(W$2*$M1187))</f>
        <v/>
      </c>
      <c r="X1187" s="49">
        <f>IF(OR($M1187="",$T1187=""),"",$T1187+(X$2*$M1187))</f>
        <v/>
      </c>
      <c r="Y1187" s="47">
        <f>IF(OR($M1187="",$T1187=""),"",$T1187+(Y$2*$M1187))</f>
        <v/>
      </c>
      <c r="Z1187" s="49">
        <f>IF(OR($M1187="",$T1187=""),"",$T1187+(Z$2*$M1187))</f>
        <v/>
      </c>
      <c r="AA1187" s="51">
        <f>IF(OR($M1187="",$T1187=""),"",$T1187+(AA$2*$M1187))</f>
        <v/>
      </c>
      <c r="AB1187" s="48">
        <f>IF(OR($M1187="",$T1187=""),"",$T1187+(AB$2*$M1187))</f>
        <v/>
      </c>
      <c r="AC1187" s="48">
        <f>IF(OR($M1187="",$T1187=""),"",$T1187+(AC$2*$M1187))</f>
        <v/>
      </c>
      <c r="AD1187" s="48">
        <f>IF(OR($M1187="",$T1187=""),"",$T1187+(AD$2*$M1187))</f>
        <v/>
      </c>
      <c r="AE1187" s="49">
        <f>IF(OR($M1187="",$T1187=""),"",$T1187+(AE$2*$M1187))</f>
        <v/>
      </c>
      <c r="AF1187" s="52">
        <f>IF(OR(T1187="",I1187&lt;T1187),"",IFERROR(AVERAGE(T1187+M1187*{7,8,9,10,11})/IF(G1187="",I1187,G1187)-1,""))</f>
        <v/>
      </c>
      <c r="AG1187" s="55">
        <f>IF(OR(T1187="",I1187&lt;T1187),"",IFERROR(AF1187/-(R1187/IF(G1187="",I1187,G1187)-1),""))</f>
        <v/>
      </c>
      <c r="AH1187" s="94" t="n"/>
      <c r="AI1187" s="94" t="n"/>
      <c r="AJ1187" s="94" t="n"/>
      <c r="AK1187" s="94" t="n"/>
      <c r="AL1187" s="84" t="n"/>
    </row>
    <row r="1188">
      <c r="A1188" s="64" t="n"/>
      <c r="B1188" s="65" t="n"/>
      <c r="C1188" s="66" t="n"/>
      <c r="D1188" s="67" t="n"/>
      <c r="E1188" s="68" t="n"/>
      <c r="F1188" s="47">
        <f>IF(A1188="","",IF(MIN(H1188,MAX(J1188:K1188))=0,"",MIN(H1188,MAX(J1188:K1188))))</f>
        <v/>
      </c>
      <c r="G1188" s="74" t="n"/>
      <c r="H1188" s="49">
        <f>IF(M1188="","",IFERROR(ROUND(AVERAGE(T1188+M1188*{7,8,9,10,11})/1.21,4),""))</f>
        <v/>
      </c>
      <c r="I1188" s="76" t="n"/>
      <c r="J1188" s="77" t="n"/>
      <c r="K1188" s="74" t="n"/>
      <c r="L1188" s="78" t="n"/>
      <c r="M1188" s="77" t="n"/>
      <c r="N1188" s="53">
        <f>IF(M1188="","",IFERROR(M1188/I1188,""))</f>
        <v/>
      </c>
      <c r="O1188" s="50">
        <f>IF(A1188="","",IFERROR((IF(G1188="",I1188,G1188)-T1188)/M1188,""))</f>
        <v/>
      </c>
      <c r="P1188" s="50">
        <f>IFERROR((I1188/T1188-1)/N1188,"")</f>
        <v/>
      </c>
      <c r="Q1188" s="46">
        <f>IF(OR(T1188="",I1188&lt;T1188),"",IFERROR(R1188/IF(G1188="",I1188,G1188)-1,""))</f>
        <v/>
      </c>
      <c r="R1188" s="48">
        <f>IF($M1188="","",MAX(IF($G1188="",$I1188,$G1188)*(1/1.1),IF($G1188="",$I1188,$G1188)+(R$2*$M1188)))</f>
        <v/>
      </c>
      <c r="S1188" s="49">
        <f>IF($M1188="","",MAX(IF($G1188="",$I1188,$G1188)*(1/1.1),IF($G1188="",$I1188,$G1188)+(S$2*$M1188)))</f>
        <v/>
      </c>
      <c r="T1188" s="82" t="n"/>
      <c r="U1188" s="47">
        <f>IF(OR($M1188="",$T1188=""),"",$T1188+(U$2*$M1188))</f>
        <v/>
      </c>
      <c r="V1188" s="48">
        <f>IF(OR($M1188="",$T1188=""),"",$T1188+(V$2*$M1188))</f>
        <v/>
      </c>
      <c r="W1188" s="48">
        <f>IF(OR($M1188="",$T1188=""),"",$T1188+(W$2*$M1188))</f>
        <v/>
      </c>
      <c r="X1188" s="49">
        <f>IF(OR($M1188="",$T1188=""),"",$T1188+(X$2*$M1188))</f>
        <v/>
      </c>
      <c r="Y1188" s="47">
        <f>IF(OR($M1188="",$T1188=""),"",$T1188+(Y$2*$M1188))</f>
        <v/>
      </c>
      <c r="Z1188" s="49">
        <f>IF(OR($M1188="",$T1188=""),"",$T1188+(Z$2*$M1188))</f>
        <v/>
      </c>
      <c r="AA1188" s="51">
        <f>IF(OR($M1188="",$T1188=""),"",$T1188+(AA$2*$M1188))</f>
        <v/>
      </c>
      <c r="AB1188" s="48">
        <f>IF(OR($M1188="",$T1188=""),"",$T1188+(AB$2*$M1188))</f>
        <v/>
      </c>
      <c r="AC1188" s="48">
        <f>IF(OR($M1188="",$T1188=""),"",$T1188+(AC$2*$M1188))</f>
        <v/>
      </c>
      <c r="AD1188" s="48">
        <f>IF(OR($M1188="",$T1188=""),"",$T1188+(AD$2*$M1188))</f>
        <v/>
      </c>
      <c r="AE1188" s="49">
        <f>IF(OR($M1188="",$T1188=""),"",$T1188+(AE$2*$M1188))</f>
        <v/>
      </c>
      <c r="AF1188" s="52">
        <f>IF(OR(T1188="",I1188&lt;T1188),"",IFERROR(AVERAGE(T1188+M1188*{7,8,9,10,11})/IF(G1188="",I1188,G1188)-1,""))</f>
        <v/>
      </c>
      <c r="AG1188" s="55">
        <f>IF(OR(T1188="",I1188&lt;T1188),"",IFERROR(AF1188/-(R1188/IF(G1188="",I1188,G1188)-1),""))</f>
        <v/>
      </c>
      <c r="AH1188" s="94" t="n"/>
      <c r="AI1188" s="94" t="n"/>
      <c r="AJ1188" s="94" t="n"/>
      <c r="AK1188" s="94" t="n"/>
      <c r="AL1188" s="84" t="n"/>
    </row>
    <row r="1189">
      <c r="A1189" s="64" t="n"/>
      <c r="B1189" s="65" t="n"/>
      <c r="C1189" s="66" t="n"/>
      <c r="D1189" s="67" t="n"/>
      <c r="E1189" s="68" t="n"/>
      <c r="F1189" s="47">
        <f>IF(A1189="","",IF(MIN(H1189,MAX(J1189:K1189))=0,"",MIN(H1189,MAX(J1189:K1189))))</f>
        <v/>
      </c>
      <c r="G1189" s="74" t="n"/>
      <c r="H1189" s="49">
        <f>IF(M1189="","",IFERROR(ROUND(AVERAGE(T1189+M1189*{7,8,9,10,11})/1.21,4),""))</f>
        <v/>
      </c>
      <c r="I1189" s="76" t="n"/>
      <c r="J1189" s="77" t="n"/>
      <c r="K1189" s="74" t="n"/>
      <c r="L1189" s="78" t="n"/>
      <c r="M1189" s="77" t="n"/>
      <c r="N1189" s="53">
        <f>IF(M1189="","",IFERROR(M1189/I1189,""))</f>
        <v/>
      </c>
      <c r="O1189" s="50">
        <f>IF(A1189="","",IFERROR((IF(G1189="",I1189,G1189)-T1189)/M1189,""))</f>
        <v/>
      </c>
      <c r="P1189" s="50">
        <f>IFERROR((I1189/T1189-1)/N1189,"")</f>
        <v/>
      </c>
      <c r="Q1189" s="46">
        <f>IF(OR(T1189="",I1189&lt;T1189),"",IFERROR(R1189/IF(G1189="",I1189,G1189)-1,""))</f>
        <v/>
      </c>
      <c r="R1189" s="48">
        <f>IF($M1189="","",MAX(IF($G1189="",$I1189,$G1189)*(1/1.1),IF($G1189="",$I1189,$G1189)+(R$2*$M1189)))</f>
        <v/>
      </c>
      <c r="S1189" s="49">
        <f>IF($M1189="","",MAX(IF($G1189="",$I1189,$G1189)*(1/1.1),IF($G1189="",$I1189,$G1189)+(S$2*$M1189)))</f>
        <v/>
      </c>
      <c r="T1189" s="82" t="n"/>
      <c r="U1189" s="47">
        <f>IF(OR($M1189="",$T1189=""),"",$T1189+(U$2*$M1189))</f>
        <v/>
      </c>
      <c r="V1189" s="48">
        <f>IF(OR($M1189="",$T1189=""),"",$T1189+(V$2*$M1189))</f>
        <v/>
      </c>
      <c r="W1189" s="48">
        <f>IF(OR($M1189="",$T1189=""),"",$T1189+(W$2*$M1189))</f>
        <v/>
      </c>
      <c r="X1189" s="49">
        <f>IF(OR($M1189="",$T1189=""),"",$T1189+(X$2*$M1189))</f>
        <v/>
      </c>
      <c r="Y1189" s="47">
        <f>IF(OR($M1189="",$T1189=""),"",$T1189+(Y$2*$M1189))</f>
        <v/>
      </c>
      <c r="Z1189" s="49">
        <f>IF(OR($M1189="",$T1189=""),"",$T1189+(Z$2*$M1189))</f>
        <v/>
      </c>
      <c r="AA1189" s="51">
        <f>IF(OR($M1189="",$T1189=""),"",$T1189+(AA$2*$M1189))</f>
        <v/>
      </c>
      <c r="AB1189" s="48">
        <f>IF(OR($M1189="",$T1189=""),"",$T1189+(AB$2*$M1189))</f>
        <v/>
      </c>
      <c r="AC1189" s="48">
        <f>IF(OR($M1189="",$T1189=""),"",$T1189+(AC$2*$M1189))</f>
        <v/>
      </c>
      <c r="AD1189" s="48">
        <f>IF(OR($M1189="",$T1189=""),"",$T1189+(AD$2*$M1189))</f>
        <v/>
      </c>
      <c r="AE1189" s="49">
        <f>IF(OR($M1189="",$T1189=""),"",$T1189+(AE$2*$M1189))</f>
        <v/>
      </c>
      <c r="AF1189" s="52">
        <f>IF(OR(T1189="",I1189&lt;T1189),"",IFERROR(AVERAGE(T1189+M1189*{7,8,9,10,11})/IF(G1189="",I1189,G1189)-1,""))</f>
        <v/>
      </c>
      <c r="AG1189" s="55">
        <f>IF(OR(T1189="",I1189&lt;T1189),"",IFERROR(AF1189/-(R1189/IF(G1189="",I1189,G1189)-1),""))</f>
        <v/>
      </c>
      <c r="AH1189" s="94" t="n"/>
      <c r="AI1189" s="94" t="n"/>
      <c r="AJ1189" s="94" t="n"/>
      <c r="AK1189" s="94" t="n"/>
      <c r="AL1189" s="84" t="n"/>
    </row>
    <row r="1190">
      <c r="A1190" s="64" t="n"/>
      <c r="B1190" s="65" t="n"/>
      <c r="C1190" s="66" t="n"/>
      <c r="D1190" s="67" t="n"/>
      <c r="E1190" s="68" t="n"/>
      <c r="F1190" s="47">
        <f>IF(A1190="","",IF(MIN(H1190,MAX(J1190:K1190))=0,"",MIN(H1190,MAX(J1190:K1190))))</f>
        <v/>
      </c>
      <c r="G1190" s="74" t="n"/>
      <c r="H1190" s="49">
        <f>IF(M1190="","",IFERROR(ROUND(AVERAGE(T1190+M1190*{7,8,9,10,11})/1.21,4),""))</f>
        <v/>
      </c>
      <c r="I1190" s="76" t="n"/>
      <c r="J1190" s="77" t="n"/>
      <c r="K1190" s="74" t="n"/>
      <c r="L1190" s="78" t="n"/>
      <c r="M1190" s="77" t="n"/>
      <c r="N1190" s="53">
        <f>IF(M1190="","",IFERROR(M1190/I1190,""))</f>
        <v/>
      </c>
      <c r="O1190" s="50">
        <f>IF(A1190="","",IFERROR((IF(G1190="",I1190,G1190)-T1190)/M1190,""))</f>
        <v/>
      </c>
      <c r="P1190" s="50">
        <f>IFERROR((I1190/T1190-1)/N1190,"")</f>
        <v/>
      </c>
      <c r="Q1190" s="46">
        <f>IF(OR(T1190="",I1190&lt;T1190),"",IFERROR(R1190/IF(G1190="",I1190,G1190)-1,""))</f>
        <v/>
      </c>
      <c r="R1190" s="48">
        <f>IF($M1190="","",MAX(IF($G1190="",$I1190,$G1190)*(1/1.1),IF($G1190="",$I1190,$G1190)+(R$2*$M1190)))</f>
        <v/>
      </c>
      <c r="S1190" s="49">
        <f>IF($M1190="","",MAX(IF($G1190="",$I1190,$G1190)*(1/1.1),IF($G1190="",$I1190,$G1190)+(S$2*$M1190)))</f>
        <v/>
      </c>
      <c r="T1190" s="82" t="n"/>
      <c r="U1190" s="47">
        <f>IF(OR($M1190="",$T1190=""),"",$T1190+(U$2*$M1190))</f>
        <v/>
      </c>
      <c r="V1190" s="48">
        <f>IF(OR($M1190="",$T1190=""),"",$T1190+(V$2*$M1190))</f>
        <v/>
      </c>
      <c r="W1190" s="48">
        <f>IF(OR($M1190="",$T1190=""),"",$T1190+(W$2*$M1190))</f>
        <v/>
      </c>
      <c r="X1190" s="49">
        <f>IF(OR($M1190="",$T1190=""),"",$T1190+(X$2*$M1190))</f>
        <v/>
      </c>
      <c r="Y1190" s="47">
        <f>IF(OR($M1190="",$T1190=""),"",$T1190+(Y$2*$M1190))</f>
        <v/>
      </c>
      <c r="Z1190" s="49">
        <f>IF(OR($M1190="",$T1190=""),"",$T1190+(Z$2*$M1190))</f>
        <v/>
      </c>
      <c r="AA1190" s="51">
        <f>IF(OR($M1190="",$T1190=""),"",$T1190+(AA$2*$M1190))</f>
        <v/>
      </c>
      <c r="AB1190" s="48">
        <f>IF(OR($M1190="",$T1190=""),"",$T1190+(AB$2*$M1190))</f>
        <v/>
      </c>
      <c r="AC1190" s="48">
        <f>IF(OR($M1190="",$T1190=""),"",$T1190+(AC$2*$M1190))</f>
        <v/>
      </c>
      <c r="AD1190" s="48">
        <f>IF(OR($M1190="",$T1190=""),"",$T1190+(AD$2*$M1190))</f>
        <v/>
      </c>
      <c r="AE1190" s="49">
        <f>IF(OR($M1190="",$T1190=""),"",$T1190+(AE$2*$M1190))</f>
        <v/>
      </c>
      <c r="AF1190" s="52">
        <f>IF(OR(T1190="",I1190&lt;T1190),"",IFERROR(AVERAGE(T1190+M1190*{7,8,9,10,11})/IF(G1190="",I1190,G1190)-1,""))</f>
        <v/>
      </c>
      <c r="AG1190" s="55">
        <f>IF(OR(T1190="",I1190&lt;T1190),"",IFERROR(AF1190/-(R1190/IF(G1190="",I1190,G1190)-1),""))</f>
        <v/>
      </c>
      <c r="AH1190" s="94" t="n"/>
      <c r="AI1190" s="94" t="n"/>
      <c r="AJ1190" s="94" t="n"/>
      <c r="AK1190" s="94" t="n"/>
      <c r="AL1190" s="84" t="n"/>
    </row>
    <row r="1191">
      <c r="A1191" s="64" t="n"/>
      <c r="B1191" s="65" t="n"/>
      <c r="C1191" s="66" t="n"/>
      <c r="D1191" s="67" t="n"/>
      <c r="E1191" s="68" t="n"/>
      <c r="F1191" s="47">
        <f>IF(A1191="","",IF(MIN(H1191,MAX(J1191:K1191))=0,"",MIN(H1191,MAX(J1191:K1191))))</f>
        <v/>
      </c>
      <c r="G1191" s="74" t="n"/>
      <c r="H1191" s="49">
        <f>IF(M1191="","",IFERROR(ROUND(AVERAGE(T1191+M1191*{7,8,9,10,11})/1.21,4),""))</f>
        <v/>
      </c>
      <c r="I1191" s="76" t="n"/>
      <c r="J1191" s="77" t="n"/>
      <c r="K1191" s="74" t="n"/>
      <c r="L1191" s="78" t="n"/>
      <c r="M1191" s="77" t="n"/>
      <c r="N1191" s="53">
        <f>IF(M1191="","",IFERROR(M1191/I1191,""))</f>
        <v/>
      </c>
      <c r="O1191" s="50">
        <f>IF(A1191="","",IFERROR((IF(G1191="",I1191,G1191)-T1191)/M1191,""))</f>
        <v/>
      </c>
      <c r="P1191" s="50">
        <f>IFERROR((I1191/T1191-1)/N1191,"")</f>
        <v/>
      </c>
      <c r="Q1191" s="46">
        <f>IF(OR(T1191="",I1191&lt;T1191),"",IFERROR(R1191/IF(G1191="",I1191,G1191)-1,""))</f>
        <v/>
      </c>
      <c r="R1191" s="48">
        <f>IF($M1191="","",MAX(IF($G1191="",$I1191,$G1191)*(1/1.1),IF($G1191="",$I1191,$G1191)+(R$2*$M1191)))</f>
        <v/>
      </c>
      <c r="S1191" s="49">
        <f>IF($M1191="","",MAX(IF($G1191="",$I1191,$G1191)*(1/1.1),IF($G1191="",$I1191,$G1191)+(S$2*$M1191)))</f>
        <v/>
      </c>
      <c r="T1191" s="82" t="n"/>
      <c r="U1191" s="47">
        <f>IF(OR($M1191="",$T1191=""),"",$T1191+(U$2*$M1191))</f>
        <v/>
      </c>
      <c r="V1191" s="48">
        <f>IF(OR($M1191="",$T1191=""),"",$T1191+(V$2*$M1191))</f>
        <v/>
      </c>
      <c r="W1191" s="48">
        <f>IF(OR($M1191="",$T1191=""),"",$T1191+(W$2*$M1191))</f>
        <v/>
      </c>
      <c r="X1191" s="49">
        <f>IF(OR($M1191="",$T1191=""),"",$T1191+(X$2*$M1191))</f>
        <v/>
      </c>
      <c r="Y1191" s="47">
        <f>IF(OR($M1191="",$T1191=""),"",$T1191+(Y$2*$M1191))</f>
        <v/>
      </c>
      <c r="Z1191" s="49">
        <f>IF(OR($M1191="",$T1191=""),"",$T1191+(Z$2*$M1191))</f>
        <v/>
      </c>
      <c r="AA1191" s="51">
        <f>IF(OR($M1191="",$T1191=""),"",$T1191+(AA$2*$M1191))</f>
        <v/>
      </c>
      <c r="AB1191" s="48">
        <f>IF(OR($M1191="",$T1191=""),"",$T1191+(AB$2*$M1191))</f>
        <v/>
      </c>
      <c r="AC1191" s="48">
        <f>IF(OR($M1191="",$T1191=""),"",$T1191+(AC$2*$M1191))</f>
        <v/>
      </c>
      <c r="AD1191" s="48">
        <f>IF(OR($M1191="",$T1191=""),"",$T1191+(AD$2*$M1191))</f>
        <v/>
      </c>
      <c r="AE1191" s="49">
        <f>IF(OR($M1191="",$T1191=""),"",$T1191+(AE$2*$M1191))</f>
        <v/>
      </c>
      <c r="AF1191" s="52">
        <f>IF(OR(T1191="",I1191&lt;T1191),"",IFERROR(AVERAGE(T1191+M1191*{7,8,9,10,11})/IF(G1191="",I1191,G1191)-1,""))</f>
        <v/>
      </c>
      <c r="AG1191" s="55">
        <f>IF(OR(T1191="",I1191&lt;T1191),"",IFERROR(AF1191/-(R1191/IF(G1191="",I1191,G1191)-1),""))</f>
        <v/>
      </c>
      <c r="AH1191" s="94" t="n"/>
      <c r="AI1191" s="94" t="n"/>
      <c r="AJ1191" s="94" t="n"/>
      <c r="AK1191" s="94" t="n"/>
      <c r="AL1191" s="84" t="n"/>
    </row>
    <row r="1192">
      <c r="A1192" s="64" t="n"/>
      <c r="B1192" s="65" t="n"/>
      <c r="C1192" s="66" t="n"/>
      <c r="D1192" s="67" t="n"/>
      <c r="E1192" s="68" t="n"/>
      <c r="F1192" s="47">
        <f>IF(A1192="","",IF(MIN(H1192,MAX(J1192:K1192))=0,"",MIN(H1192,MAX(J1192:K1192))))</f>
        <v/>
      </c>
      <c r="G1192" s="74" t="n"/>
      <c r="H1192" s="49">
        <f>IF(M1192="","",IFERROR(ROUND(AVERAGE(T1192+M1192*{7,8,9,10,11})/1.21,4),""))</f>
        <v/>
      </c>
      <c r="I1192" s="76" t="n"/>
      <c r="J1192" s="77" t="n"/>
      <c r="K1192" s="74" t="n"/>
      <c r="L1192" s="78" t="n"/>
      <c r="M1192" s="77" t="n"/>
      <c r="N1192" s="53">
        <f>IF(M1192="","",IFERROR(M1192/I1192,""))</f>
        <v/>
      </c>
      <c r="O1192" s="50">
        <f>IF(A1192="","",IFERROR((IF(G1192="",I1192,G1192)-T1192)/M1192,""))</f>
        <v/>
      </c>
      <c r="P1192" s="50">
        <f>IFERROR((I1192/T1192-1)/N1192,"")</f>
        <v/>
      </c>
      <c r="Q1192" s="46">
        <f>IF(OR(T1192="",I1192&lt;T1192),"",IFERROR(R1192/IF(G1192="",I1192,G1192)-1,""))</f>
        <v/>
      </c>
      <c r="R1192" s="48">
        <f>IF($M1192="","",MAX(IF($G1192="",$I1192,$G1192)*(1/1.1),IF($G1192="",$I1192,$G1192)+(R$2*$M1192)))</f>
        <v/>
      </c>
      <c r="S1192" s="49">
        <f>IF($M1192="","",MAX(IF($G1192="",$I1192,$G1192)*(1/1.1),IF($G1192="",$I1192,$G1192)+(S$2*$M1192)))</f>
        <v/>
      </c>
      <c r="T1192" s="82" t="n"/>
      <c r="U1192" s="47">
        <f>IF(OR($M1192="",$T1192=""),"",$T1192+(U$2*$M1192))</f>
        <v/>
      </c>
      <c r="V1192" s="48">
        <f>IF(OR($M1192="",$T1192=""),"",$T1192+(V$2*$M1192))</f>
        <v/>
      </c>
      <c r="W1192" s="48">
        <f>IF(OR($M1192="",$T1192=""),"",$T1192+(W$2*$M1192))</f>
        <v/>
      </c>
      <c r="X1192" s="49">
        <f>IF(OR($M1192="",$T1192=""),"",$T1192+(X$2*$M1192))</f>
        <v/>
      </c>
      <c r="Y1192" s="47">
        <f>IF(OR($M1192="",$T1192=""),"",$T1192+(Y$2*$M1192))</f>
        <v/>
      </c>
      <c r="Z1192" s="49">
        <f>IF(OR($M1192="",$T1192=""),"",$T1192+(Z$2*$M1192))</f>
        <v/>
      </c>
      <c r="AA1192" s="51">
        <f>IF(OR($M1192="",$T1192=""),"",$T1192+(AA$2*$M1192))</f>
        <v/>
      </c>
      <c r="AB1192" s="48">
        <f>IF(OR($M1192="",$T1192=""),"",$T1192+(AB$2*$M1192))</f>
        <v/>
      </c>
      <c r="AC1192" s="48">
        <f>IF(OR($M1192="",$T1192=""),"",$T1192+(AC$2*$M1192))</f>
        <v/>
      </c>
      <c r="AD1192" s="48">
        <f>IF(OR($M1192="",$T1192=""),"",$T1192+(AD$2*$M1192))</f>
        <v/>
      </c>
      <c r="AE1192" s="49">
        <f>IF(OR($M1192="",$T1192=""),"",$T1192+(AE$2*$M1192))</f>
        <v/>
      </c>
      <c r="AF1192" s="52">
        <f>IF(OR(T1192="",I1192&lt;T1192),"",IFERROR(AVERAGE(T1192+M1192*{7,8,9,10,11})/IF(G1192="",I1192,G1192)-1,""))</f>
        <v/>
      </c>
      <c r="AG1192" s="55">
        <f>IF(OR(T1192="",I1192&lt;T1192),"",IFERROR(AF1192/-(R1192/IF(G1192="",I1192,G1192)-1),""))</f>
        <v/>
      </c>
      <c r="AH1192" s="94" t="n"/>
      <c r="AI1192" s="94" t="n"/>
      <c r="AJ1192" s="94" t="n"/>
      <c r="AK1192" s="94" t="n"/>
      <c r="AL1192" s="84" t="n"/>
    </row>
    <row r="1193">
      <c r="A1193" s="64" t="n"/>
      <c r="B1193" s="65" t="n"/>
      <c r="C1193" s="66" t="n"/>
      <c r="D1193" s="67" t="n"/>
      <c r="E1193" s="68" t="n"/>
      <c r="F1193" s="47">
        <f>IF(A1193="","",IF(MIN(H1193,MAX(J1193:K1193))=0,"",MIN(H1193,MAX(J1193:K1193))))</f>
        <v/>
      </c>
      <c r="G1193" s="74" t="n"/>
      <c r="H1193" s="49">
        <f>IF(M1193="","",IFERROR(ROUND(AVERAGE(T1193+M1193*{7,8,9,10,11})/1.21,4),""))</f>
        <v/>
      </c>
      <c r="I1193" s="76" t="n"/>
      <c r="J1193" s="77" t="n"/>
      <c r="K1193" s="74" t="n"/>
      <c r="L1193" s="78" t="n"/>
      <c r="M1193" s="77" t="n"/>
      <c r="N1193" s="53">
        <f>IF(M1193="","",IFERROR(M1193/I1193,""))</f>
        <v/>
      </c>
      <c r="O1193" s="50">
        <f>IF(A1193="","",IFERROR((IF(G1193="",I1193,G1193)-T1193)/M1193,""))</f>
        <v/>
      </c>
      <c r="P1193" s="50">
        <f>IFERROR((I1193/T1193-1)/N1193,"")</f>
        <v/>
      </c>
      <c r="Q1193" s="46">
        <f>IF(OR(T1193="",I1193&lt;T1193),"",IFERROR(R1193/IF(G1193="",I1193,G1193)-1,""))</f>
        <v/>
      </c>
      <c r="R1193" s="48">
        <f>IF($M1193="","",MAX(IF($G1193="",$I1193,$G1193)*(1/1.1),IF($G1193="",$I1193,$G1193)+(R$2*$M1193)))</f>
        <v/>
      </c>
      <c r="S1193" s="49">
        <f>IF($M1193="","",MAX(IF($G1193="",$I1193,$G1193)*(1/1.1),IF($G1193="",$I1193,$G1193)+(S$2*$M1193)))</f>
        <v/>
      </c>
      <c r="T1193" s="82" t="n"/>
      <c r="U1193" s="47">
        <f>IF(OR($M1193="",$T1193=""),"",$T1193+(U$2*$M1193))</f>
        <v/>
      </c>
      <c r="V1193" s="48">
        <f>IF(OR($M1193="",$T1193=""),"",$T1193+(V$2*$M1193))</f>
        <v/>
      </c>
      <c r="W1193" s="48">
        <f>IF(OR($M1193="",$T1193=""),"",$T1193+(W$2*$M1193))</f>
        <v/>
      </c>
      <c r="X1193" s="49">
        <f>IF(OR($M1193="",$T1193=""),"",$T1193+(X$2*$M1193))</f>
        <v/>
      </c>
      <c r="Y1193" s="47">
        <f>IF(OR($M1193="",$T1193=""),"",$T1193+(Y$2*$M1193))</f>
        <v/>
      </c>
      <c r="Z1193" s="49">
        <f>IF(OR($M1193="",$T1193=""),"",$T1193+(Z$2*$M1193))</f>
        <v/>
      </c>
      <c r="AA1193" s="51">
        <f>IF(OR($M1193="",$T1193=""),"",$T1193+(AA$2*$M1193))</f>
        <v/>
      </c>
      <c r="AB1193" s="48">
        <f>IF(OR($M1193="",$T1193=""),"",$T1193+(AB$2*$M1193))</f>
        <v/>
      </c>
      <c r="AC1193" s="48">
        <f>IF(OR($M1193="",$T1193=""),"",$T1193+(AC$2*$M1193))</f>
        <v/>
      </c>
      <c r="AD1193" s="48">
        <f>IF(OR($M1193="",$T1193=""),"",$T1193+(AD$2*$M1193))</f>
        <v/>
      </c>
      <c r="AE1193" s="49">
        <f>IF(OR($M1193="",$T1193=""),"",$T1193+(AE$2*$M1193))</f>
        <v/>
      </c>
      <c r="AF1193" s="52">
        <f>IF(OR(T1193="",I1193&lt;T1193),"",IFERROR(AVERAGE(T1193+M1193*{7,8,9,10,11})/IF(G1193="",I1193,G1193)-1,""))</f>
        <v/>
      </c>
      <c r="AG1193" s="55">
        <f>IF(OR(T1193="",I1193&lt;T1193),"",IFERROR(AF1193/-(R1193/IF(G1193="",I1193,G1193)-1),""))</f>
        <v/>
      </c>
      <c r="AH1193" s="94" t="n"/>
      <c r="AI1193" s="94" t="n"/>
      <c r="AJ1193" s="94" t="n"/>
      <c r="AK1193" s="94" t="n"/>
      <c r="AL1193" s="84" t="n"/>
    </row>
    <row r="1194">
      <c r="A1194" s="64" t="n"/>
      <c r="B1194" s="65" t="n"/>
      <c r="C1194" s="66" t="n"/>
      <c r="D1194" s="67" t="n"/>
      <c r="E1194" s="68" t="n"/>
      <c r="F1194" s="47">
        <f>IF(A1194="","",IF(MIN(H1194,MAX(J1194:K1194))=0,"",MIN(H1194,MAX(J1194:K1194))))</f>
        <v/>
      </c>
      <c r="G1194" s="74" t="n"/>
      <c r="H1194" s="49">
        <f>IF(M1194="","",IFERROR(ROUND(AVERAGE(T1194+M1194*{7,8,9,10,11})/1.21,4),""))</f>
        <v/>
      </c>
      <c r="I1194" s="76" t="n"/>
      <c r="J1194" s="77" t="n"/>
      <c r="K1194" s="74" t="n"/>
      <c r="L1194" s="78" t="n"/>
      <c r="M1194" s="77" t="n"/>
      <c r="N1194" s="53">
        <f>IF(M1194="","",IFERROR(M1194/I1194,""))</f>
        <v/>
      </c>
      <c r="O1194" s="50">
        <f>IF(A1194="","",IFERROR((IF(G1194="",I1194,G1194)-T1194)/M1194,""))</f>
        <v/>
      </c>
      <c r="P1194" s="50">
        <f>IFERROR((I1194/T1194-1)/N1194,"")</f>
        <v/>
      </c>
      <c r="Q1194" s="46">
        <f>IF(OR(T1194="",I1194&lt;T1194),"",IFERROR(R1194/IF(G1194="",I1194,G1194)-1,""))</f>
        <v/>
      </c>
      <c r="R1194" s="48">
        <f>IF($M1194="","",MAX(IF($G1194="",$I1194,$G1194)*(1/1.1),IF($G1194="",$I1194,$G1194)+(R$2*$M1194)))</f>
        <v/>
      </c>
      <c r="S1194" s="49">
        <f>IF($M1194="","",MAX(IF($G1194="",$I1194,$G1194)*(1/1.1),IF($G1194="",$I1194,$G1194)+(S$2*$M1194)))</f>
        <v/>
      </c>
      <c r="T1194" s="82" t="n"/>
      <c r="U1194" s="47">
        <f>IF(OR($M1194="",$T1194=""),"",$T1194+(U$2*$M1194))</f>
        <v/>
      </c>
      <c r="V1194" s="48">
        <f>IF(OR($M1194="",$T1194=""),"",$T1194+(V$2*$M1194))</f>
        <v/>
      </c>
      <c r="W1194" s="48">
        <f>IF(OR($M1194="",$T1194=""),"",$T1194+(W$2*$M1194))</f>
        <v/>
      </c>
      <c r="X1194" s="49">
        <f>IF(OR($M1194="",$T1194=""),"",$T1194+(X$2*$M1194))</f>
        <v/>
      </c>
      <c r="Y1194" s="47">
        <f>IF(OR($M1194="",$T1194=""),"",$T1194+(Y$2*$M1194))</f>
        <v/>
      </c>
      <c r="Z1194" s="49">
        <f>IF(OR($M1194="",$T1194=""),"",$T1194+(Z$2*$M1194))</f>
        <v/>
      </c>
      <c r="AA1194" s="51">
        <f>IF(OR($M1194="",$T1194=""),"",$T1194+(AA$2*$M1194))</f>
        <v/>
      </c>
      <c r="AB1194" s="48">
        <f>IF(OR($M1194="",$T1194=""),"",$T1194+(AB$2*$M1194))</f>
        <v/>
      </c>
      <c r="AC1194" s="48">
        <f>IF(OR($M1194="",$T1194=""),"",$T1194+(AC$2*$M1194))</f>
        <v/>
      </c>
      <c r="AD1194" s="48">
        <f>IF(OR($M1194="",$T1194=""),"",$T1194+(AD$2*$M1194))</f>
        <v/>
      </c>
      <c r="AE1194" s="49">
        <f>IF(OR($M1194="",$T1194=""),"",$T1194+(AE$2*$M1194))</f>
        <v/>
      </c>
      <c r="AF1194" s="52">
        <f>IF(OR(T1194="",I1194&lt;T1194),"",IFERROR(AVERAGE(T1194+M1194*{7,8,9,10,11})/IF(G1194="",I1194,G1194)-1,""))</f>
        <v/>
      </c>
      <c r="AG1194" s="55">
        <f>IF(OR(T1194="",I1194&lt;T1194),"",IFERROR(AF1194/-(R1194/IF(G1194="",I1194,G1194)-1),""))</f>
        <v/>
      </c>
      <c r="AH1194" s="94" t="n"/>
      <c r="AI1194" s="94" t="n"/>
      <c r="AJ1194" s="94" t="n"/>
      <c r="AK1194" s="94" t="n"/>
      <c r="AL1194" s="84" t="n"/>
    </row>
    <row r="1195">
      <c r="A1195" s="64" t="n"/>
      <c r="B1195" s="65" t="n"/>
      <c r="C1195" s="66" t="n"/>
      <c r="D1195" s="67" t="n"/>
      <c r="E1195" s="68" t="n"/>
      <c r="F1195" s="47">
        <f>IF(A1195="","",IF(MIN(H1195,MAX(J1195:K1195))=0,"",MIN(H1195,MAX(J1195:K1195))))</f>
        <v/>
      </c>
      <c r="G1195" s="74" t="n"/>
      <c r="H1195" s="49">
        <f>IF(M1195="","",IFERROR(ROUND(AVERAGE(T1195+M1195*{7,8,9,10,11})/1.21,4),""))</f>
        <v/>
      </c>
      <c r="I1195" s="76" t="n"/>
      <c r="J1195" s="77" t="n"/>
      <c r="K1195" s="74" t="n"/>
      <c r="L1195" s="78" t="n"/>
      <c r="M1195" s="77" t="n"/>
      <c r="N1195" s="53">
        <f>IF(M1195="","",IFERROR(M1195/I1195,""))</f>
        <v/>
      </c>
      <c r="O1195" s="50">
        <f>IF(A1195="","",IFERROR((IF(G1195="",I1195,G1195)-T1195)/M1195,""))</f>
        <v/>
      </c>
      <c r="P1195" s="50">
        <f>IFERROR((I1195/T1195-1)/N1195,"")</f>
        <v/>
      </c>
      <c r="Q1195" s="46">
        <f>IF(OR(T1195="",I1195&lt;T1195),"",IFERROR(R1195/IF(G1195="",I1195,G1195)-1,""))</f>
        <v/>
      </c>
      <c r="R1195" s="48">
        <f>IF($M1195="","",MAX(IF($G1195="",$I1195,$G1195)*(1/1.1),IF($G1195="",$I1195,$G1195)+(R$2*$M1195)))</f>
        <v/>
      </c>
      <c r="S1195" s="49">
        <f>IF($M1195="","",MAX(IF($G1195="",$I1195,$G1195)*(1/1.1),IF($G1195="",$I1195,$G1195)+(S$2*$M1195)))</f>
        <v/>
      </c>
      <c r="T1195" s="82" t="n"/>
      <c r="U1195" s="47">
        <f>IF(OR($M1195="",$T1195=""),"",$T1195+(U$2*$M1195))</f>
        <v/>
      </c>
      <c r="V1195" s="48">
        <f>IF(OR($M1195="",$T1195=""),"",$T1195+(V$2*$M1195))</f>
        <v/>
      </c>
      <c r="W1195" s="48">
        <f>IF(OR($M1195="",$T1195=""),"",$T1195+(W$2*$M1195))</f>
        <v/>
      </c>
      <c r="X1195" s="49">
        <f>IF(OR($M1195="",$T1195=""),"",$T1195+(X$2*$M1195))</f>
        <v/>
      </c>
      <c r="Y1195" s="47">
        <f>IF(OR($M1195="",$T1195=""),"",$T1195+(Y$2*$M1195))</f>
        <v/>
      </c>
      <c r="Z1195" s="49">
        <f>IF(OR($M1195="",$T1195=""),"",$T1195+(Z$2*$M1195))</f>
        <v/>
      </c>
      <c r="AA1195" s="51">
        <f>IF(OR($M1195="",$T1195=""),"",$T1195+(AA$2*$M1195))</f>
        <v/>
      </c>
      <c r="AB1195" s="48">
        <f>IF(OR($M1195="",$T1195=""),"",$T1195+(AB$2*$M1195))</f>
        <v/>
      </c>
      <c r="AC1195" s="48">
        <f>IF(OR($M1195="",$T1195=""),"",$T1195+(AC$2*$M1195))</f>
        <v/>
      </c>
      <c r="AD1195" s="48">
        <f>IF(OR($M1195="",$T1195=""),"",$T1195+(AD$2*$M1195))</f>
        <v/>
      </c>
      <c r="AE1195" s="49">
        <f>IF(OR($M1195="",$T1195=""),"",$T1195+(AE$2*$M1195))</f>
        <v/>
      </c>
      <c r="AF1195" s="52">
        <f>IF(OR(T1195="",I1195&lt;T1195),"",IFERROR(AVERAGE(T1195+M1195*{7,8,9,10,11})/IF(G1195="",I1195,G1195)-1,""))</f>
        <v/>
      </c>
      <c r="AG1195" s="55">
        <f>IF(OR(T1195="",I1195&lt;T1195),"",IFERROR(AF1195/-(R1195/IF(G1195="",I1195,G1195)-1),""))</f>
        <v/>
      </c>
      <c r="AH1195" s="94" t="n"/>
      <c r="AI1195" s="94" t="n"/>
      <c r="AJ1195" s="94" t="n"/>
      <c r="AK1195" s="94" t="n"/>
      <c r="AL1195" s="84" t="n"/>
    </row>
    <row r="1196">
      <c r="A1196" s="64" t="n"/>
      <c r="B1196" s="65" t="n"/>
      <c r="C1196" s="66" t="n"/>
      <c r="D1196" s="67" t="n"/>
      <c r="E1196" s="68" t="n"/>
      <c r="F1196" s="47">
        <f>IF(A1196="","",IF(MIN(H1196,MAX(J1196:K1196))=0,"",MIN(H1196,MAX(J1196:K1196))))</f>
        <v/>
      </c>
      <c r="G1196" s="74" t="n"/>
      <c r="H1196" s="49">
        <f>IF(M1196="","",IFERROR(ROUND(AVERAGE(T1196+M1196*{7,8,9,10,11})/1.21,4),""))</f>
        <v/>
      </c>
      <c r="I1196" s="76" t="n"/>
      <c r="J1196" s="77" t="n"/>
      <c r="K1196" s="74" t="n"/>
      <c r="L1196" s="78" t="n"/>
      <c r="M1196" s="77" t="n"/>
      <c r="N1196" s="53">
        <f>IF(M1196="","",IFERROR(M1196/I1196,""))</f>
        <v/>
      </c>
      <c r="O1196" s="50">
        <f>IF(A1196="","",IFERROR((IF(G1196="",I1196,G1196)-T1196)/M1196,""))</f>
        <v/>
      </c>
      <c r="P1196" s="50">
        <f>IFERROR((I1196/T1196-1)/N1196,"")</f>
        <v/>
      </c>
      <c r="Q1196" s="46">
        <f>IF(OR(T1196="",I1196&lt;T1196),"",IFERROR(R1196/IF(G1196="",I1196,G1196)-1,""))</f>
        <v/>
      </c>
      <c r="R1196" s="48">
        <f>IF($M1196="","",MAX(IF($G1196="",$I1196,$G1196)*(1/1.1),IF($G1196="",$I1196,$G1196)+(R$2*$M1196)))</f>
        <v/>
      </c>
      <c r="S1196" s="49">
        <f>IF($M1196="","",MAX(IF($G1196="",$I1196,$G1196)*(1/1.1),IF($G1196="",$I1196,$G1196)+(S$2*$M1196)))</f>
        <v/>
      </c>
      <c r="T1196" s="82" t="n"/>
      <c r="U1196" s="47">
        <f>IF(OR($M1196="",$T1196=""),"",$T1196+(U$2*$M1196))</f>
        <v/>
      </c>
      <c r="V1196" s="48">
        <f>IF(OR($M1196="",$T1196=""),"",$T1196+(V$2*$M1196))</f>
        <v/>
      </c>
      <c r="W1196" s="48">
        <f>IF(OR($M1196="",$T1196=""),"",$T1196+(W$2*$M1196))</f>
        <v/>
      </c>
      <c r="X1196" s="49">
        <f>IF(OR($M1196="",$T1196=""),"",$T1196+(X$2*$M1196))</f>
        <v/>
      </c>
      <c r="Y1196" s="47">
        <f>IF(OR($M1196="",$T1196=""),"",$T1196+(Y$2*$M1196))</f>
        <v/>
      </c>
      <c r="Z1196" s="49">
        <f>IF(OR($M1196="",$T1196=""),"",$T1196+(Z$2*$M1196))</f>
        <v/>
      </c>
      <c r="AA1196" s="51">
        <f>IF(OR($M1196="",$T1196=""),"",$T1196+(AA$2*$M1196))</f>
        <v/>
      </c>
      <c r="AB1196" s="48">
        <f>IF(OR($M1196="",$T1196=""),"",$T1196+(AB$2*$M1196))</f>
        <v/>
      </c>
      <c r="AC1196" s="48">
        <f>IF(OR($M1196="",$T1196=""),"",$T1196+(AC$2*$M1196))</f>
        <v/>
      </c>
      <c r="AD1196" s="48">
        <f>IF(OR($M1196="",$T1196=""),"",$T1196+(AD$2*$M1196))</f>
        <v/>
      </c>
      <c r="AE1196" s="49">
        <f>IF(OR($M1196="",$T1196=""),"",$T1196+(AE$2*$M1196))</f>
        <v/>
      </c>
      <c r="AF1196" s="52">
        <f>IF(OR(T1196="",I1196&lt;T1196),"",IFERROR(AVERAGE(T1196+M1196*{7,8,9,10,11})/IF(G1196="",I1196,G1196)-1,""))</f>
        <v/>
      </c>
      <c r="AG1196" s="55">
        <f>IF(OR(T1196="",I1196&lt;T1196),"",IFERROR(AF1196/-(R1196/IF(G1196="",I1196,G1196)-1),""))</f>
        <v/>
      </c>
      <c r="AH1196" s="94" t="n"/>
      <c r="AI1196" s="94" t="n"/>
      <c r="AJ1196" s="94" t="n"/>
      <c r="AK1196" s="94" t="n"/>
      <c r="AL1196" s="84" t="n"/>
    </row>
    <row r="1197">
      <c r="A1197" s="64" t="n"/>
      <c r="B1197" s="65" t="n"/>
      <c r="C1197" s="66" t="n"/>
      <c r="D1197" s="67" t="n"/>
      <c r="E1197" s="68" t="n"/>
      <c r="F1197" s="47">
        <f>IF(A1197="","",IF(MIN(H1197,MAX(J1197:K1197))=0,"",MIN(H1197,MAX(J1197:K1197))))</f>
        <v/>
      </c>
      <c r="G1197" s="74" t="n"/>
      <c r="H1197" s="49">
        <f>IF(M1197="","",IFERROR(ROUND(AVERAGE(T1197+M1197*{7,8,9,10,11})/1.21,4),""))</f>
        <v/>
      </c>
      <c r="I1197" s="76" t="n"/>
      <c r="J1197" s="77" t="n"/>
      <c r="K1197" s="74" t="n"/>
      <c r="L1197" s="78" t="n"/>
      <c r="M1197" s="77" t="n"/>
      <c r="N1197" s="53">
        <f>IF(M1197="","",IFERROR(M1197/I1197,""))</f>
        <v/>
      </c>
      <c r="O1197" s="50">
        <f>IF(A1197="","",IFERROR((IF(G1197="",I1197,G1197)-T1197)/M1197,""))</f>
        <v/>
      </c>
      <c r="P1197" s="50">
        <f>IFERROR((I1197/T1197-1)/N1197,"")</f>
        <v/>
      </c>
      <c r="Q1197" s="46">
        <f>IF(OR(T1197="",I1197&lt;T1197),"",IFERROR(R1197/IF(G1197="",I1197,G1197)-1,""))</f>
        <v/>
      </c>
      <c r="R1197" s="48">
        <f>IF($M1197="","",MAX(IF($G1197="",$I1197,$G1197)*(1/1.1),IF($G1197="",$I1197,$G1197)+(R$2*$M1197)))</f>
        <v/>
      </c>
      <c r="S1197" s="49">
        <f>IF($M1197="","",MAX(IF($G1197="",$I1197,$G1197)*(1/1.1),IF($G1197="",$I1197,$G1197)+(S$2*$M1197)))</f>
        <v/>
      </c>
      <c r="T1197" s="82" t="n"/>
      <c r="U1197" s="47">
        <f>IF(OR($M1197="",$T1197=""),"",$T1197+(U$2*$M1197))</f>
        <v/>
      </c>
      <c r="V1197" s="48">
        <f>IF(OR($M1197="",$T1197=""),"",$T1197+(V$2*$M1197))</f>
        <v/>
      </c>
      <c r="W1197" s="48">
        <f>IF(OR($M1197="",$T1197=""),"",$T1197+(W$2*$M1197))</f>
        <v/>
      </c>
      <c r="X1197" s="49">
        <f>IF(OR($M1197="",$T1197=""),"",$T1197+(X$2*$M1197))</f>
        <v/>
      </c>
      <c r="Y1197" s="47">
        <f>IF(OR($M1197="",$T1197=""),"",$T1197+(Y$2*$M1197))</f>
        <v/>
      </c>
      <c r="Z1197" s="49">
        <f>IF(OR($M1197="",$T1197=""),"",$T1197+(Z$2*$M1197))</f>
        <v/>
      </c>
      <c r="AA1197" s="51">
        <f>IF(OR($M1197="",$T1197=""),"",$T1197+(AA$2*$M1197))</f>
        <v/>
      </c>
      <c r="AB1197" s="48">
        <f>IF(OR($M1197="",$T1197=""),"",$T1197+(AB$2*$M1197))</f>
        <v/>
      </c>
      <c r="AC1197" s="48">
        <f>IF(OR($M1197="",$T1197=""),"",$T1197+(AC$2*$M1197))</f>
        <v/>
      </c>
      <c r="AD1197" s="48">
        <f>IF(OR($M1197="",$T1197=""),"",$T1197+(AD$2*$M1197))</f>
        <v/>
      </c>
      <c r="AE1197" s="49">
        <f>IF(OR($M1197="",$T1197=""),"",$T1197+(AE$2*$M1197))</f>
        <v/>
      </c>
      <c r="AF1197" s="52">
        <f>IF(OR(T1197="",I1197&lt;T1197),"",IFERROR(AVERAGE(T1197+M1197*{7,8,9,10,11})/IF(G1197="",I1197,G1197)-1,""))</f>
        <v/>
      </c>
      <c r="AG1197" s="55">
        <f>IF(OR(T1197="",I1197&lt;T1197),"",IFERROR(AF1197/-(R1197/IF(G1197="",I1197,G1197)-1),""))</f>
        <v/>
      </c>
      <c r="AH1197" s="94" t="n"/>
      <c r="AI1197" s="94" t="n"/>
      <c r="AJ1197" s="94" t="n"/>
      <c r="AK1197" s="94" t="n"/>
      <c r="AL1197" s="84" t="n"/>
    </row>
    <row r="1198">
      <c r="A1198" s="64" t="n"/>
      <c r="B1198" s="65" t="n"/>
      <c r="C1198" s="66" t="n"/>
      <c r="D1198" s="67" t="n"/>
      <c r="E1198" s="68" t="n"/>
      <c r="F1198" s="47">
        <f>IF(A1198="","",IF(MIN(H1198,MAX(J1198:K1198))=0,"",MIN(H1198,MAX(J1198:K1198))))</f>
        <v/>
      </c>
      <c r="G1198" s="74" t="n"/>
      <c r="H1198" s="49">
        <f>IF(M1198="","",IFERROR(ROUND(AVERAGE(T1198+M1198*{7,8,9,10,11})/1.21,4),""))</f>
        <v/>
      </c>
      <c r="I1198" s="76" t="n"/>
      <c r="J1198" s="77" t="n"/>
      <c r="K1198" s="74" t="n"/>
      <c r="L1198" s="78" t="n"/>
      <c r="M1198" s="77" t="n"/>
      <c r="N1198" s="53">
        <f>IF(M1198="","",IFERROR(M1198/I1198,""))</f>
        <v/>
      </c>
      <c r="O1198" s="50">
        <f>IF(A1198="","",IFERROR((IF(G1198="",I1198,G1198)-T1198)/M1198,""))</f>
        <v/>
      </c>
      <c r="P1198" s="50">
        <f>IFERROR((I1198/T1198-1)/N1198,"")</f>
        <v/>
      </c>
      <c r="Q1198" s="46">
        <f>IF(OR(T1198="",I1198&lt;T1198),"",IFERROR(R1198/IF(G1198="",I1198,G1198)-1,""))</f>
        <v/>
      </c>
      <c r="R1198" s="48">
        <f>IF($M1198="","",MAX(IF($G1198="",$I1198,$G1198)*(1/1.1),IF($G1198="",$I1198,$G1198)+(R$2*$M1198)))</f>
        <v/>
      </c>
      <c r="S1198" s="49">
        <f>IF($M1198="","",MAX(IF($G1198="",$I1198,$G1198)*(1/1.1),IF($G1198="",$I1198,$G1198)+(S$2*$M1198)))</f>
        <v/>
      </c>
      <c r="T1198" s="82" t="n"/>
      <c r="U1198" s="47">
        <f>IF(OR($M1198="",$T1198=""),"",$T1198+(U$2*$M1198))</f>
        <v/>
      </c>
      <c r="V1198" s="48">
        <f>IF(OR($M1198="",$T1198=""),"",$T1198+(V$2*$M1198))</f>
        <v/>
      </c>
      <c r="W1198" s="48">
        <f>IF(OR($M1198="",$T1198=""),"",$T1198+(W$2*$M1198))</f>
        <v/>
      </c>
      <c r="X1198" s="49">
        <f>IF(OR($M1198="",$T1198=""),"",$T1198+(X$2*$M1198))</f>
        <v/>
      </c>
      <c r="Y1198" s="47">
        <f>IF(OR($M1198="",$T1198=""),"",$T1198+(Y$2*$M1198))</f>
        <v/>
      </c>
      <c r="Z1198" s="49">
        <f>IF(OR($M1198="",$T1198=""),"",$T1198+(Z$2*$M1198))</f>
        <v/>
      </c>
      <c r="AA1198" s="51">
        <f>IF(OR($M1198="",$T1198=""),"",$T1198+(AA$2*$M1198))</f>
        <v/>
      </c>
      <c r="AB1198" s="48">
        <f>IF(OR($M1198="",$T1198=""),"",$T1198+(AB$2*$M1198))</f>
        <v/>
      </c>
      <c r="AC1198" s="48">
        <f>IF(OR($M1198="",$T1198=""),"",$T1198+(AC$2*$M1198))</f>
        <v/>
      </c>
      <c r="AD1198" s="48">
        <f>IF(OR($M1198="",$T1198=""),"",$T1198+(AD$2*$M1198))</f>
        <v/>
      </c>
      <c r="AE1198" s="49">
        <f>IF(OR($M1198="",$T1198=""),"",$T1198+(AE$2*$M1198))</f>
        <v/>
      </c>
      <c r="AF1198" s="52">
        <f>IF(OR(T1198="",I1198&lt;T1198),"",IFERROR(AVERAGE(T1198+M1198*{7,8,9,10,11})/IF(G1198="",I1198,G1198)-1,""))</f>
        <v/>
      </c>
      <c r="AG1198" s="55">
        <f>IF(OR(T1198="",I1198&lt;T1198),"",IFERROR(AF1198/-(R1198/IF(G1198="",I1198,G1198)-1),""))</f>
        <v/>
      </c>
      <c r="AH1198" s="94" t="n"/>
      <c r="AI1198" s="94" t="n"/>
      <c r="AJ1198" s="94" t="n"/>
      <c r="AK1198" s="94" t="n"/>
      <c r="AL1198" s="84" t="n"/>
    </row>
    <row r="1199">
      <c r="A1199" s="64" t="n"/>
      <c r="B1199" s="65" t="n"/>
      <c r="C1199" s="66" t="n"/>
      <c r="D1199" s="67" t="n"/>
      <c r="E1199" s="68" t="n"/>
      <c r="F1199" s="47">
        <f>IF(A1199="","",IF(MIN(H1199,MAX(J1199:K1199))=0,"",MIN(H1199,MAX(J1199:K1199))))</f>
        <v/>
      </c>
      <c r="G1199" s="74" t="n"/>
      <c r="H1199" s="49">
        <f>IF(M1199="","",IFERROR(ROUND(AVERAGE(T1199+M1199*{7,8,9,10,11})/1.21,4),""))</f>
        <v/>
      </c>
      <c r="I1199" s="76" t="n"/>
      <c r="J1199" s="77" t="n"/>
      <c r="K1199" s="74" t="n"/>
      <c r="L1199" s="78" t="n"/>
      <c r="M1199" s="77" t="n"/>
      <c r="N1199" s="53">
        <f>IF(M1199="","",IFERROR(M1199/I1199,""))</f>
        <v/>
      </c>
      <c r="O1199" s="50">
        <f>IF(A1199="","",IFERROR((IF(G1199="",I1199,G1199)-T1199)/M1199,""))</f>
        <v/>
      </c>
      <c r="P1199" s="50">
        <f>IFERROR((I1199/T1199-1)/N1199,"")</f>
        <v/>
      </c>
      <c r="Q1199" s="46">
        <f>IF(OR(T1199="",I1199&lt;T1199),"",IFERROR(R1199/IF(G1199="",I1199,G1199)-1,""))</f>
        <v/>
      </c>
      <c r="R1199" s="48">
        <f>IF($M1199="","",MAX(IF($G1199="",$I1199,$G1199)*(1/1.1),IF($G1199="",$I1199,$G1199)+(R$2*$M1199)))</f>
        <v/>
      </c>
      <c r="S1199" s="49">
        <f>IF($M1199="","",MAX(IF($G1199="",$I1199,$G1199)*(1/1.1),IF($G1199="",$I1199,$G1199)+(S$2*$M1199)))</f>
        <v/>
      </c>
      <c r="T1199" s="82" t="n"/>
      <c r="U1199" s="47">
        <f>IF(OR($M1199="",$T1199=""),"",$T1199+(U$2*$M1199))</f>
        <v/>
      </c>
      <c r="V1199" s="48">
        <f>IF(OR($M1199="",$T1199=""),"",$T1199+(V$2*$M1199))</f>
        <v/>
      </c>
      <c r="W1199" s="48">
        <f>IF(OR($M1199="",$T1199=""),"",$T1199+(W$2*$M1199))</f>
        <v/>
      </c>
      <c r="X1199" s="49">
        <f>IF(OR($M1199="",$T1199=""),"",$T1199+(X$2*$M1199))</f>
        <v/>
      </c>
      <c r="Y1199" s="47">
        <f>IF(OR($M1199="",$T1199=""),"",$T1199+(Y$2*$M1199))</f>
        <v/>
      </c>
      <c r="Z1199" s="49">
        <f>IF(OR($M1199="",$T1199=""),"",$T1199+(Z$2*$M1199))</f>
        <v/>
      </c>
      <c r="AA1199" s="51">
        <f>IF(OR($M1199="",$T1199=""),"",$T1199+(AA$2*$M1199))</f>
        <v/>
      </c>
      <c r="AB1199" s="48">
        <f>IF(OR($M1199="",$T1199=""),"",$T1199+(AB$2*$M1199))</f>
        <v/>
      </c>
      <c r="AC1199" s="48">
        <f>IF(OR($M1199="",$T1199=""),"",$T1199+(AC$2*$M1199))</f>
        <v/>
      </c>
      <c r="AD1199" s="48">
        <f>IF(OR($M1199="",$T1199=""),"",$T1199+(AD$2*$M1199))</f>
        <v/>
      </c>
      <c r="AE1199" s="49">
        <f>IF(OR($M1199="",$T1199=""),"",$T1199+(AE$2*$M1199))</f>
        <v/>
      </c>
      <c r="AF1199" s="52">
        <f>IF(OR(T1199="",I1199&lt;T1199),"",IFERROR(AVERAGE(T1199+M1199*{7,8,9,10,11})/IF(G1199="",I1199,G1199)-1,""))</f>
        <v/>
      </c>
      <c r="AG1199" s="55">
        <f>IF(OR(T1199="",I1199&lt;T1199),"",IFERROR(AF1199/-(R1199/IF(G1199="",I1199,G1199)-1),""))</f>
        <v/>
      </c>
      <c r="AH1199" s="94" t="n"/>
      <c r="AI1199" s="94" t="n"/>
      <c r="AJ1199" s="94" t="n"/>
      <c r="AK1199" s="94" t="n"/>
      <c r="AL1199" s="84" t="n"/>
    </row>
    <row r="1200">
      <c r="A1200" s="64" t="n"/>
      <c r="B1200" s="65" t="n"/>
      <c r="C1200" s="66" t="n"/>
      <c r="D1200" s="67" t="n"/>
      <c r="E1200" s="68" t="n"/>
      <c r="F1200" s="47">
        <f>IF(A1200="","",IF(MIN(H1200,MAX(J1200:K1200))=0,"",MIN(H1200,MAX(J1200:K1200))))</f>
        <v/>
      </c>
      <c r="G1200" s="74" t="n"/>
      <c r="H1200" s="49">
        <f>IF(M1200="","",IFERROR(ROUND(AVERAGE(T1200+M1200*{7,8,9,10,11})/1.21,4),""))</f>
        <v/>
      </c>
      <c r="I1200" s="76" t="n"/>
      <c r="J1200" s="77" t="n"/>
      <c r="K1200" s="74" t="n"/>
      <c r="L1200" s="78" t="n"/>
      <c r="M1200" s="77" t="n"/>
      <c r="N1200" s="53">
        <f>IF(M1200="","",IFERROR(M1200/I1200,""))</f>
        <v/>
      </c>
      <c r="O1200" s="50">
        <f>IF(A1200="","",IFERROR((IF(G1200="",I1200,G1200)-T1200)/M1200,""))</f>
        <v/>
      </c>
      <c r="P1200" s="50">
        <f>IFERROR((I1200/T1200-1)/N1200,"")</f>
        <v/>
      </c>
      <c r="Q1200" s="46">
        <f>IF(OR(T1200="",I1200&lt;T1200),"",IFERROR(R1200/IF(G1200="",I1200,G1200)-1,""))</f>
        <v/>
      </c>
      <c r="R1200" s="48">
        <f>IF($M1200="","",MAX(IF($G1200="",$I1200,$G1200)*(1/1.1),IF($G1200="",$I1200,$G1200)+(R$2*$M1200)))</f>
        <v/>
      </c>
      <c r="S1200" s="49">
        <f>IF($M1200="","",MAX(IF($G1200="",$I1200,$G1200)*(1/1.1),IF($G1200="",$I1200,$G1200)+(S$2*$M1200)))</f>
        <v/>
      </c>
      <c r="T1200" s="82" t="n"/>
      <c r="U1200" s="47">
        <f>IF(OR($M1200="",$T1200=""),"",$T1200+(U$2*$M1200))</f>
        <v/>
      </c>
      <c r="V1200" s="48">
        <f>IF(OR($M1200="",$T1200=""),"",$T1200+(V$2*$M1200))</f>
        <v/>
      </c>
      <c r="W1200" s="48">
        <f>IF(OR($M1200="",$T1200=""),"",$T1200+(W$2*$M1200))</f>
        <v/>
      </c>
      <c r="X1200" s="49">
        <f>IF(OR($M1200="",$T1200=""),"",$T1200+(X$2*$M1200))</f>
        <v/>
      </c>
      <c r="Y1200" s="47">
        <f>IF(OR($M1200="",$T1200=""),"",$T1200+(Y$2*$M1200))</f>
        <v/>
      </c>
      <c r="Z1200" s="49">
        <f>IF(OR($M1200="",$T1200=""),"",$T1200+(Z$2*$M1200))</f>
        <v/>
      </c>
      <c r="AA1200" s="51">
        <f>IF(OR($M1200="",$T1200=""),"",$T1200+(AA$2*$M1200))</f>
        <v/>
      </c>
      <c r="AB1200" s="48">
        <f>IF(OR($M1200="",$T1200=""),"",$T1200+(AB$2*$M1200))</f>
        <v/>
      </c>
      <c r="AC1200" s="48">
        <f>IF(OR($M1200="",$T1200=""),"",$T1200+(AC$2*$M1200))</f>
        <v/>
      </c>
      <c r="AD1200" s="48">
        <f>IF(OR($M1200="",$T1200=""),"",$T1200+(AD$2*$M1200))</f>
        <v/>
      </c>
      <c r="AE1200" s="49">
        <f>IF(OR($M1200="",$T1200=""),"",$T1200+(AE$2*$M1200))</f>
        <v/>
      </c>
      <c r="AF1200" s="52">
        <f>IF(OR(T1200="",I1200&lt;T1200),"",IFERROR(AVERAGE(T1200+M1200*{7,8,9,10,11})/IF(G1200="",I1200,G1200)-1,""))</f>
        <v/>
      </c>
      <c r="AG1200" s="55">
        <f>IF(OR(T1200="",I1200&lt;T1200),"",IFERROR(AF1200/-(R1200/IF(G1200="",I1200,G1200)-1),""))</f>
        <v/>
      </c>
      <c r="AH1200" s="94" t="n"/>
      <c r="AI1200" s="94" t="n"/>
      <c r="AJ1200" s="94" t="n"/>
      <c r="AK1200" s="94" t="n"/>
      <c r="AL1200" s="84" t="n"/>
    </row>
    <row r="1201">
      <c r="A1201" s="64" t="n"/>
      <c r="B1201" s="65" t="n"/>
      <c r="C1201" s="66" t="n"/>
      <c r="D1201" s="67" t="n"/>
      <c r="E1201" s="68" t="n"/>
      <c r="F1201" s="47">
        <f>IF(A1201="","",IF(MIN(H1201,MAX(J1201:K1201))=0,"",MIN(H1201,MAX(J1201:K1201))))</f>
        <v/>
      </c>
      <c r="G1201" s="74" t="n"/>
      <c r="H1201" s="49">
        <f>IF(M1201="","",IFERROR(ROUND(AVERAGE(T1201+M1201*{7,8,9,10,11})/1.21,4),""))</f>
        <v/>
      </c>
      <c r="I1201" s="76" t="n"/>
      <c r="J1201" s="77" t="n"/>
      <c r="K1201" s="74" t="n"/>
      <c r="L1201" s="78" t="n"/>
      <c r="M1201" s="77" t="n"/>
      <c r="N1201" s="53">
        <f>IF(M1201="","",IFERROR(M1201/I1201,""))</f>
        <v/>
      </c>
      <c r="O1201" s="50">
        <f>IF(A1201="","",IFERROR((IF(G1201="",I1201,G1201)-T1201)/M1201,""))</f>
        <v/>
      </c>
      <c r="P1201" s="50">
        <f>IFERROR((I1201/T1201-1)/N1201,"")</f>
        <v/>
      </c>
      <c r="Q1201" s="46">
        <f>IF(OR(T1201="",I1201&lt;T1201),"",IFERROR(R1201/IF(G1201="",I1201,G1201)-1,""))</f>
        <v/>
      </c>
      <c r="R1201" s="48">
        <f>IF($M1201="","",MAX(IF($G1201="",$I1201,$G1201)*(1/1.1),IF($G1201="",$I1201,$G1201)+(R$2*$M1201)))</f>
        <v/>
      </c>
      <c r="S1201" s="49">
        <f>IF($M1201="","",MAX(IF($G1201="",$I1201,$G1201)*(1/1.1),IF($G1201="",$I1201,$G1201)+(S$2*$M1201)))</f>
        <v/>
      </c>
      <c r="T1201" s="82" t="n"/>
      <c r="U1201" s="47">
        <f>IF(OR($M1201="",$T1201=""),"",$T1201+(U$2*$M1201))</f>
        <v/>
      </c>
      <c r="V1201" s="48">
        <f>IF(OR($M1201="",$T1201=""),"",$T1201+(V$2*$M1201))</f>
        <v/>
      </c>
      <c r="W1201" s="48">
        <f>IF(OR($M1201="",$T1201=""),"",$T1201+(W$2*$M1201))</f>
        <v/>
      </c>
      <c r="X1201" s="49">
        <f>IF(OR($M1201="",$T1201=""),"",$T1201+(X$2*$M1201))</f>
        <v/>
      </c>
      <c r="Y1201" s="47">
        <f>IF(OR($M1201="",$T1201=""),"",$T1201+(Y$2*$M1201))</f>
        <v/>
      </c>
      <c r="Z1201" s="49">
        <f>IF(OR($M1201="",$T1201=""),"",$T1201+(Z$2*$M1201))</f>
        <v/>
      </c>
      <c r="AA1201" s="51">
        <f>IF(OR($M1201="",$T1201=""),"",$T1201+(AA$2*$M1201))</f>
        <v/>
      </c>
      <c r="AB1201" s="48">
        <f>IF(OR($M1201="",$T1201=""),"",$T1201+(AB$2*$M1201))</f>
        <v/>
      </c>
      <c r="AC1201" s="48">
        <f>IF(OR($M1201="",$T1201=""),"",$T1201+(AC$2*$M1201))</f>
        <v/>
      </c>
      <c r="AD1201" s="48">
        <f>IF(OR($M1201="",$T1201=""),"",$T1201+(AD$2*$M1201))</f>
        <v/>
      </c>
      <c r="AE1201" s="49">
        <f>IF(OR($M1201="",$T1201=""),"",$T1201+(AE$2*$M1201))</f>
        <v/>
      </c>
      <c r="AF1201" s="52">
        <f>IF(OR(T1201="",I1201&lt;T1201),"",IFERROR(AVERAGE(T1201+M1201*{7,8,9,10,11})/IF(G1201="",I1201,G1201)-1,""))</f>
        <v/>
      </c>
      <c r="AG1201" s="55">
        <f>IF(OR(T1201="",I1201&lt;T1201),"",IFERROR(AF1201/-(R1201/IF(G1201="",I1201,G1201)-1),""))</f>
        <v/>
      </c>
      <c r="AH1201" s="94" t="n"/>
      <c r="AI1201" s="94" t="n"/>
      <c r="AJ1201" s="94" t="n"/>
      <c r="AK1201" s="94" t="n"/>
      <c r="AL1201" s="84" t="n"/>
    </row>
    <row r="1202">
      <c r="A1202" s="64" t="n"/>
      <c r="B1202" s="65" t="n"/>
      <c r="C1202" s="66" t="n"/>
      <c r="D1202" s="67" t="n"/>
      <c r="E1202" s="68" t="n"/>
      <c r="F1202" s="47">
        <f>IF(A1202="","",IF(MIN(H1202,MAX(J1202:K1202))=0,"",MIN(H1202,MAX(J1202:K1202))))</f>
        <v/>
      </c>
      <c r="G1202" s="74" t="n"/>
      <c r="H1202" s="49">
        <f>IF(M1202="","",IFERROR(ROUND(AVERAGE(T1202+M1202*{7,8,9,10,11})/1.21,4),""))</f>
        <v/>
      </c>
      <c r="I1202" s="76" t="n"/>
      <c r="J1202" s="77" t="n"/>
      <c r="K1202" s="74" t="n"/>
      <c r="L1202" s="78" t="n"/>
      <c r="M1202" s="77" t="n"/>
      <c r="N1202" s="53">
        <f>IF(M1202="","",IFERROR(M1202/I1202,""))</f>
        <v/>
      </c>
      <c r="O1202" s="50">
        <f>IF(A1202="","",IFERROR((IF(G1202="",I1202,G1202)-T1202)/M1202,""))</f>
        <v/>
      </c>
      <c r="P1202" s="50">
        <f>IFERROR((I1202/T1202-1)/N1202,"")</f>
        <v/>
      </c>
      <c r="Q1202" s="46">
        <f>IF(OR(T1202="",I1202&lt;T1202),"",IFERROR(R1202/IF(G1202="",I1202,G1202)-1,""))</f>
        <v/>
      </c>
      <c r="R1202" s="48">
        <f>IF($M1202="","",MAX(IF($G1202="",$I1202,$G1202)*(1/1.1),IF($G1202="",$I1202,$G1202)+(R$2*$M1202)))</f>
        <v/>
      </c>
      <c r="S1202" s="49">
        <f>IF($M1202="","",MAX(IF($G1202="",$I1202,$G1202)*(1/1.1),IF($G1202="",$I1202,$G1202)+(S$2*$M1202)))</f>
        <v/>
      </c>
      <c r="T1202" s="82" t="n"/>
      <c r="U1202" s="47">
        <f>IF(OR($M1202="",$T1202=""),"",$T1202+(U$2*$M1202))</f>
        <v/>
      </c>
      <c r="V1202" s="48">
        <f>IF(OR($M1202="",$T1202=""),"",$T1202+(V$2*$M1202))</f>
        <v/>
      </c>
      <c r="W1202" s="48">
        <f>IF(OR($M1202="",$T1202=""),"",$T1202+(W$2*$M1202))</f>
        <v/>
      </c>
      <c r="X1202" s="49">
        <f>IF(OR($M1202="",$T1202=""),"",$T1202+(X$2*$M1202))</f>
        <v/>
      </c>
      <c r="Y1202" s="47">
        <f>IF(OR($M1202="",$T1202=""),"",$T1202+(Y$2*$M1202))</f>
        <v/>
      </c>
      <c r="Z1202" s="49">
        <f>IF(OR($M1202="",$T1202=""),"",$T1202+(Z$2*$M1202))</f>
        <v/>
      </c>
      <c r="AA1202" s="51">
        <f>IF(OR($M1202="",$T1202=""),"",$T1202+(AA$2*$M1202))</f>
        <v/>
      </c>
      <c r="AB1202" s="48">
        <f>IF(OR($M1202="",$T1202=""),"",$T1202+(AB$2*$M1202))</f>
        <v/>
      </c>
      <c r="AC1202" s="48">
        <f>IF(OR($M1202="",$T1202=""),"",$T1202+(AC$2*$M1202))</f>
        <v/>
      </c>
      <c r="AD1202" s="48">
        <f>IF(OR($M1202="",$T1202=""),"",$T1202+(AD$2*$M1202))</f>
        <v/>
      </c>
      <c r="AE1202" s="49">
        <f>IF(OR($M1202="",$T1202=""),"",$T1202+(AE$2*$M1202))</f>
        <v/>
      </c>
      <c r="AF1202" s="52">
        <f>IF(OR(T1202="",I1202&lt;T1202),"",IFERROR(AVERAGE(T1202+M1202*{7,8,9,10,11})/IF(G1202="",I1202,G1202)-1,""))</f>
        <v/>
      </c>
      <c r="AG1202" s="55">
        <f>IF(OR(T1202="",I1202&lt;T1202),"",IFERROR(AF1202/-(R1202/IF(G1202="",I1202,G1202)-1),""))</f>
        <v/>
      </c>
      <c r="AH1202" s="94" t="n"/>
      <c r="AI1202" s="94" t="n"/>
      <c r="AJ1202" s="94" t="n"/>
      <c r="AK1202" s="94" t="n"/>
      <c r="AL1202" s="84" t="n"/>
    </row>
    <row r="1203">
      <c r="A1203" s="64" t="n"/>
      <c r="B1203" s="65" t="n"/>
      <c r="C1203" s="66" t="n"/>
      <c r="D1203" s="67" t="n"/>
      <c r="E1203" s="68" t="n"/>
      <c r="F1203" s="47">
        <f>IF(A1203="","",IF(MIN(H1203,MAX(J1203:K1203))=0,"",MIN(H1203,MAX(J1203:K1203))))</f>
        <v/>
      </c>
      <c r="G1203" s="74" t="n"/>
      <c r="H1203" s="49">
        <f>IF(M1203="","",IFERROR(ROUND(AVERAGE(T1203+M1203*{7,8,9,10,11})/1.21,4),""))</f>
        <v/>
      </c>
      <c r="I1203" s="76" t="n"/>
      <c r="J1203" s="77" t="n"/>
      <c r="K1203" s="74" t="n"/>
      <c r="L1203" s="78" t="n"/>
      <c r="M1203" s="77" t="n"/>
      <c r="N1203" s="53">
        <f>IF(M1203="","",IFERROR(M1203/I1203,""))</f>
        <v/>
      </c>
      <c r="O1203" s="50">
        <f>IF(A1203="","",IFERROR((IF(G1203="",I1203,G1203)-T1203)/M1203,""))</f>
        <v/>
      </c>
      <c r="P1203" s="50">
        <f>IFERROR((I1203/T1203-1)/N1203,"")</f>
        <v/>
      </c>
      <c r="Q1203" s="46">
        <f>IF(OR(T1203="",I1203&lt;T1203),"",IFERROR(R1203/IF(G1203="",I1203,G1203)-1,""))</f>
        <v/>
      </c>
      <c r="R1203" s="48">
        <f>IF($M1203="","",MAX(IF($G1203="",$I1203,$G1203)*(1/1.1),IF($G1203="",$I1203,$G1203)+(R$2*$M1203)))</f>
        <v/>
      </c>
      <c r="S1203" s="49">
        <f>IF($M1203="","",MAX(IF($G1203="",$I1203,$G1203)*(1/1.1),IF($G1203="",$I1203,$G1203)+(S$2*$M1203)))</f>
        <v/>
      </c>
      <c r="T1203" s="82" t="n"/>
      <c r="U1203" s="47">
        <f>IF(OR($M1203="",$T1203=""),"",$T1203+(U$2*$M1203))</f>
        <v/>
      </c>
      <c r="V1203" s="48">
        <f>IF(OR($M1203="",$T1203=""),"",$T1203+(V$2*$M1203))</f>
        <v/>
      </c>
      <c r="W1203" s="48">
        <f>IF(OR($M1203="",$T1203=""),"",$T1203+(W$2*$M1203))</f>
        <v/>
      </c>
      <c r="X1203" s="49">
        <f>IF(OR($M1203="",$T1203=""),"",$T1203+(X$2*$M1203))</f>
        <v/>
      </c>
      <c r="Y1203" s="47">
        <f>IF(OR($M1203="",$T1203=""),"",$T1203+(Y$2*$M1203))</f>
        <v/>
      </c>
      <c r="Z1203" s="49">
        <f>IF(OR($M1203="",$T1203=""),"",$T1203+(Z$2*$M1203))</f>
        <v/>
      </c>
      <c r="AA1203" s="51">
        <f>IF(OR($M1203="",$T1203=""),"",$T1203+(AA$2*$M1203))</f>
        <v/>
      </c>
      <c r="AB1203" s="48">
        <f>IF(OR($M1203="",$T1203=""),"",$T1203+(AB$2*$M1203))</f>
        <v/>
      </c>
      <c r="AC1203" s="48">
        <f>IF(OR($M1203="",$T1203=""),"",$T1203+(AC$2*$M1203))</f>
        <v/>
      </c>
      <c r="AD1203" s="48">
        <f>IF(OR($M1203="",$T1203=""),"",$T1203+(AD$2*$M1203))</f>
        <v/>
      </c>
      <c r="AE1203" s="49">
        <f>IF(OR($M1203="",$T1203=""),"",$T1203+(AE$2*$M1203))</f>
        <v/>
      </c>
      <c r="AF1203" s="52">
        <f>IF(OR(T1203="",I1203&lt;T1203),"",IFERROR(AVERAGE(T1203+M1203*{7,8,9,10,11})/IF(G1203="",I1203,G1203)-1,""))</f>
        <v/>
      </c>
      <c r="AG1203" s="55">
        <f>IF(OR(T1203="",I1203&lt;T1203),"",IFERROR(AF1203/-(R1203/IF(G1203="",I1203,G1203)-1),""))</f>
        <v/>
      </c>
      <c r="AH1203" s="94" t="n"/>
      <c r="AI1203" s="94" t="n"/>
      <c r="AJ1203" s="94" t="n"/>
      <c r="AK1203" s="94" t="n"/>
      <c r="AL1203" s="84" t="n"/>
    </row>
    <row r="1204">
      <c r="A1204" s="64" t="n"/>
      <c r="B1204" s="65" t="n"/>
      <c r="C1204" s="66" t="n"/>
      <c r="D1204" s="67" t="n"/>
      <c r="E1204" s="68" t="n"/>
      <c r="F1204" s="47">
        <f>IF(A1204="","",IF(MIN(H1204,MAX(J1204:K1204))=0,"",MIN(H1204,MAX(J1204:K1204))))</f>
        <v/>
      </c>
      <c r="G1204" s="74" t="n"/>
      <c r="H1204" s="49">
        <f>IF(M1204="","",IFERROR(ROUND(AVERAGE(T1204+M1204*{7,8,9,10,11})/1.21,4),""))</f>
        <v/>
      </c>
      <c r="I1204" s="76" t="n"/>
      <c r="J1204" s="77" t="n"/>
      <c r="K1204" s="74" t="n"/>
      <c r="L1204" s="78" t="n"/>
      <c r="M1204" s="77" t="n"/>
      <c r="N1204" s="53">
        <f>IF(M1204="","",IFERROR(M1204/I1204,""))</f>
        <v/>
      </c>
      <c r="O1204" s="50">
        <f>IF(A1204="","",IFERROR((IF(G1204="",I1204,G1204)-T1204)/M1204,""))</f>
        <v/>
      </c>
      <c r="P1204" s="50">
        <f>IFERROR((I1204/T1204-1)/N1204,"")</f>
        <v/>
      </c>
      <c r="Q1204" s="46">
        <f>IF(OR(T1204="",I1204&lt;T1204),"",IFERROR(R1204/IF(G1204="",I1204,G1204)-1,""))</f>
        <v/>
      </c>
      <c r="R1204" s="48">
        <f>IF($M1204="","",MAX(IF($G1204="",$I1204,$G1204)*(1/1.1),IF($G1204="",$I1204,$G1204)+(R$2*$M1204)))</f>
        <v/>
      </c>
      <c r="S1204" s="49">
        <f>IF($M1204="","",MAX(IF($G1204="",$I1204,$G1204)*(1/1.1),IF($G1204="",$I1204,$G1204)+(S$2*$M1204)))</f>
        <v/>
      </c>
      <c r="T1204" s="82" t="n"/>
      <c r="U1204" s="47">
        <f>IF(OR($M1204="",$T1204=""),"",$T1204+(U$2*$M1204))</f>
        <v/>
      </c>
      <c r="V1204" s="48">
        <f>IF(OR($M1204="",$T1204=""),"",$T1204+(V$2*$M1204))</f>
        <v/>
      </c>
      <c r="W1204" s="48">
        <f>IF(OR($M1204="",$T1204=""),"",$T1204+(W$2*$M1204))</f>
        <v/>
      </c>
      <c r="X1204" s="49">
        <f>IF(OR($M1204="",$T1204=""),"",$T1204+(X$2*$M1204))</f>
        <v/>
      </c>
      <c r="Y1204" s="47">
        <f>IF(OR($M1204="",$T1204=""),"",$T1204+(Y$2*$M1204))</f>
        <v/>
      </c>
      <c r="Z1204" s="49">
        <f>IF(OR($M1204="",$T1204=""),"",$T1204+(Z$2*$M1204))</f>
        <v/>
      </c>
      <c r="AA1204" s="51">
        <f>IF(OR($M1204="",$T1204=""),"",$T1204+(AA$2*$M1204))</f>
        <v/>
      </c>
      <c r="AB1204" s="48">
        <f>IF(OR($M1204="",$T1204=""),"",$T1204+(AB$2*$M1204))</f>
        <v/>
      </c>
      <c r="AC1204" s="48">
        <f>IF(OR($M1204="",$T1204=""),"",$T1204+(AC$2*$M1204))</f>
        <v/>
      </c>
      <c r="AD1204" s="48">
        <f>IF(OR($M1204="",$T1204=""),"",$T1204+(AD$2*$M1204))</f>
        <v/>
      </c>
      <c r="AE1204" s="49">
        <f>IF(OR($M1204="",$T1204=""),"",$T1204+(AE$2*$M1204))</f>
        <v/>
      </c>
      <c r="AF1204" s="52">
        <f>IF(OR(T1204="",I1204&lt;T1204),"",IFERROR(AVERAGE(T1204+M1204*{7,8,9,10,11})/IF(G1204="",I1204,G1204)-1,""))</f>
        <v/>
      </c>
      <c r="AG1204" s="55">
        <f>IF(OR(T1204="",I1204&lt;T1204),"",IFERROR(AF1204/-(R1204/IF(G1204="",I1204,G1204)-1),""))</f>
        <v/>
      </c>
      <c r="AH1204" s="94" t="n"/>
      <c r="AI1204" s="94" t="n"/>
      <c r="AJ1204" s="94" t="n"/>
      <c r="AK1204" s="94" t="n"/>
      <c r="AL1204" s="84" t="n"/>
    </row>
    <row r="1205">
      <c r="A1205" s="64" t="n"/>
      <c r="B1205" s="65" t="n"/>
      <c r="C1205" s="66" t="n"/>
      <c r="D1205" s="67" t="n"/>
      <c r="E1205" s="68" t="n"/>
      <c r="F1205" s="47">
        <f>IF(A1205="","",IF(MIN(H1205,MAX(J1205:K1205))=0,"",MIN(H1205,MAX(J1205:K1205))))</f>
        <v/>
      </c>
      <c r="G1205" s="74" t="n"/>
      <c r="H1205" s="49">
        <f>IF(M1205="","",IFERROR(ROUND(AVERAGE(T1205+M1205*{7,8,9,10,11})/1.21,4),""))</f>
        <v/>
      </c>
      <c r="I1205" s="76" t="n"/>
      <c r="J1205" s="77" t="n"/>
      <c r="K1205" s="74" t="n"/>
      <c r="L1205" s="78" t="n"/>
      <c r="M1205" s="77" t="n"/>
      <c r="N1205" s="53">
        <f>IF(M1205="","",IFERROR(M1205/I1205,""))</f>
        <v/>
      </c>
      <c r="O1205" s="50">
        <f>IF(A1205="","",IFERROR((IF(G1205="",I1205,G1205)-T1205)/M1205,""))</f>
        <v/>
      </c>
      <c r="P1205" s="50">
        <f>IFERROR((I1205/T1205-1)/N1205,"")</f>
        <v/>
      </c>
      <c r="Q1205" s="46">
        <f>IF(OR(T1205="",I1205&lt;T1205),"",IFERROR(R1205/IF(G1205="",I1205,G1205)-1,""))</f>
        <v/>
      </c>
      <c r="R1205" s="48">
        <f>IF($M1205="","",MAX(IF($G1205="",$I1205,$G1205)*(1/1.1),IF($G1205="",$I1205,$G1205)+(R$2*$M1205)))</f>
        <v/>
      </c>
      <c r="S1205" s="49">
        <f>IF($M1205="","",MAX(IF($G1205="",$I1205,$G1205)*(1/1.1),IF($G1205="",$I1205,$G1205)+(S$2*$M1205)))</f>
        <v/>
      </c>
      <c r="T1205" s="82" t="n"/>
      <c r="U1205" s="47">
        <f>IF(OR($M1205="",$T1205=""),"",$T1205+(U$2*$M1205))</f>
        <v/>
      </c>
      <c r="V1205" s="48">
        <f>IF(OR($M1205="",$T1205=""),"",$T1205+(V$2*$M1205))</f>
        <v/>
      </c>
      <c r="W1205" s="48">
        <f>IF(OR($M1205="",$T1205=""),"",$T1205+(W$2*$M1205))</f>
        <v/>
      </c>
      <c r="X1205" s="49">
        <f>IF(OR($M1205="",$T1205=""),"",$T1205+(X$2*$M1205))</f>
        <v/>
      </c>
      <c r="Y1205" s="47">
        <f>IF(OR($M1205="",$T1205=""),"",$T1205+(Y$2*$M1205))</f>
        <v/>
      </c>
      <c r="Z1205" s="49">
        <f>IF(OR($M1205="",$T1205=""),"",$T1205+(Z$2*$M1205))</f>
        <v/>
      </c>
      <c r="AA1205" s="51">
        <f>IF(OR($M1205="",$T1205=""),"",$T1205+(AA$2*$M1205))</f>
        <v/>
      </c>
      <c r="AB1205" s="48">
        <f>IF(OR($M1205="",$T1205=""),"",$T1205+(AB$2*$M1205))</f>
        <v/>
      </c>
      <c r="AC1205" s="48">
        <f>IF(OR($M1205="",$T1205=""),"",$T1205+(AC$2*$M1205))</f>
        <v/>
      </c>
      <c r="AD1205" s="48">
        <f>IF(OR($M1205="",$T1205=""),"",$T1205+(AD$2*$M1205))</f>
        <v/>
      </c>
      <c r="AE1205" s="49">
        <f>IF(OR($M1205="",$T1205=""),"",$T1205+(AE$2*$M1205))</f>
        <v/>
      </c>
      <c r="AF1205" s="52">
        <f>IF(OR(T1205="",I1205&lt;T1205),"",IFERROR(AVERAGE(T1205+M1205*{7,8,9,10,11})/IF(G1205="",I1205,G1205)-1,""))</f>
        <v/>
      </c>
      <c r="AG1205" s="55">
        <f>IF(OR(T1205="",I1205&lt;T1205),"",IFERROR(AF1205/-(R1205/IF(G1205="",I1205,G1205)-1),""))</f>
        <v/>
      </c>
      <c r="AH1205" s="94" t="n"/>
      <c r="AI1205" s="94" t="n"/>
      <c r="AJ1205" s="94" t="n"/>
      <c r="AK1205" s="94" t="n"/>
      <c r="AL1205" s="84" t="n"/>
    </row>
    <row r="1206">
      <c r="A1206" s="64" t="n"/>
      <c r="B1206" s="65" t="n"/>
      <c r="C1206" s="66" t="n"/>
      <c r="D1206" s="67" t="n"/>
      <c r="E1206" s="68" t="n"/>
      <c r="F1206" s="47">
        <f>IF(A1206="","",IF(MIN(H1206,MAX(J1206:K1206))=0,"",MIN(H1206,MAX(J1206:K1206))))</f>
        <v/>
      </c>
      <c r="G1206" s="74" t="n"/>
      <c r="H1206" s="49">
        <f>IF(M1206="","",IFERROR(ROUND(AVERAGE(T1206+M1206*{7,8,9,10,11})/1.21,4),""))</f>
        <v/>
      </c>
      <c r="I1206" s="76" t="n"/>
      <c r="J1206" s="77" t="n"/>
      <c r="K1206" s="74" t="n"/>
      <c r="L1206" s="78" t="n"/>
      <c r="M1206" s="77" t="n"/>
      <c r="N1206" s="53">
        <f>IF(M1206="","",IFERROR(M1206/I1206,""))</f>
        <v/>
      </c>
      <c r="O1206" s="50">
        <f>IF(A1206="","",IFERROR((IF(G1206="",I1206,G1206)-T1206)/M1206,""))</f>
        <v/>
      </c>
      <c r="P1206" s="50">
        <f>IFERROR((I1206/T1206-1)/N1206,"")</f>
        <v/>
      </c>
      <c r="Q1206" s="46">
        <f>IF(OR(T1206="",I1206&lt;T1206),"",IFERROR(R1206/IF(G1206="",I1206,G1206)-1,""))</f>
        <v/>
      </c>
      <c r="R1206" s="48">
        <f>IF($M1206="","",MAX(IF($G1206="",$I1206,$G1206)*(1/1.1),IF($G1206="",$I1206,$G1206)+(R$2*$M1206)))</f>
        <v/>
      </c>
      <c r="S1206" s="49">
        <f>IF($M1206="","",MAX(IF($G1206="",$I1206,$G1206)*(1/1.1),IF($G1206="",$I1206,$G1206)+(S$2*$M1206)))</f>
        <v/>
      </c>
      <c r="T1206" s="82" t="n"/>
      <c r="U1206" s="47">
        <f>IF(OR($M1206="",$T1206=""),"",$T1206+(U$2*$M1206))</f>
        <v/>
      </c>
      <c r="V1206" s="48">
        <f>IF(OR($M1206="",$T1206=""),"",$T1206+(V$2*$M1206))</f>
        <v/>
      </c>
      <c r="W1206" s="48">
        <f>IF(OR($M1206="",$T1206=""),"",$T1206+(W$2*$M1206))</f>
        <v/>
      </c>
      <c r="X1206" s="49">
        <f>IF(OR($M1206="",$T1206=""),"",$T1206+(X$2*$M1206))</f>
        <v/>
      </c>
      <c r="Y1206" s="47">
        <f>IF(OR($M1206="",$T1206=""),"",$T1206+(Y$2*$M1206))</f>
        <v/>
      </c>
      <c r="Z1206" s="49">
        <f>IF(OR($M1206="",$T1206=""),"",$T1206+(Z$2*$M1206))</f>
        <v/>
      </c>
      <c r="AA1206" s="51">
        <f>IF(OR($M1206="",$T1206=""),"",$T1206+(AA$2*$M1206))</f>
        <v/>
      </c>
      <c r="AB1206" s="48">
        <f>IF(OR($M1206="",$T1206=""),"",$T1206+(AB$2*$M1206))</f>
        <v/>
      </c>
      <c r="AC1206" s="48">
        <f>IF(OR($M1206="",$T1206=""),"",$T1206+(AC$2*$M1206))</f>
        <v/>
      </c>
      <c r="AD1206" s="48">
        <f>IF(OR($M1206="",$T1206=""),"",$T1206+(AD$2*$M1206))</f>
        <v/>
      </c>
      <c r="AE1206" s="49">
        <f>IF(OR($M1206="",$T1206=""),"",$T1206+(AE$2*$M1206))</f>
        <v/>
      </c>
      <c r="AF1206" s="52">
        <f>IF(OR(T1206="",I1206&lt;T1206),"",IFERROR(AVERAGE(T1206+M1206*{7,8,9,10,11})/IF(G1206="",I1206,G1206)-1,""))</f>
        <v/>
      </c>
      <c r="AG1206" s="55">
        <f>IF(OR(T1206="",I1206&lt;T1206),"",IFERROR(AF1206/-(R1206/IF(G1206="",I1206,G1206)-1),""))</f>
        <v/>
      </c>
      <c r="AH1206" s="94" t="n"/>
      <c r="AI1206" s="94" t="n"/>
      <c r="AJ1206" s="94" t="n"/>
      <c r="AK1206" s="94" t="n"/>
      <c r="AL1206" s="84" t="n"/>
    </row>
    <row r="1207">
      <c r="A1207" s="64" t="n"/>
      <c r="B1207" s="65" t="n"/>
      <c r="C1207" s="66" t="n"/>
      <c r="D1207" s="67" t="n"/>
      <c r="E1207" s="68" t="n"/>
      <c r="F1207" s="47">
        <f>IF(A1207="","",IF(MIN(H1207,MAX(J1207:K1207))=0,"",MIN(H1207,MAX(J1207:K1207))))</f>
        <v/>
      </c>
      <c r="G1207" s="74" t="n"/>
      <c r="H1207" s="49">
        <f>IF(M1207="","",IFERROR(ROUND(AVERAGE(T1207+M1207*{7,8,9,10,11})/1.21,4),""))</f>
        <v/>
      </c>
      <c r="I1207" s="76" t="n"/>
      <c r="J1207" s="77" t="n"/>
      <c r="K1207" s="74" t="n"/>
      <c r="L1207" s="78" t="n"/>
      <c r="M1207" s="77" t="n"/>
      <c r="N1207" s="53">
        <f>IF(M1207="","",IFERROR(M1207/I1207,""))</f>
        <v/>
      </c>
      <c r="O1207" s="50">
        <f>IF(A1207="","",IFERROR((IF(G1207="",I1207,G1207)-T1207)/M1207,""))</f>
        <v/>
      </c>
      <c r="P1207" s="50">
        <f>IFERROR((I1207/T1207-1)/N1207,"")</f>
        <v/>
      </c>
      <c r="Q1207" s="46">
        <f>IF(OR(T1207="",I1207&lt;T1207),"",IFERROR(R1207/IF(G1207="",I1207,G1207)-1,""))</f>
        <v/>
      </c>
      <c r="R1207" s="48">
        <f>IF($M1207="","",MAX(IF($G1207="",$I1207,$G1207)*(1/1.1),IF($G1207="",$I1207,$G1207)+(R$2*$M1207)))</f>
        <v/>
      </c>
      <c r="S1207" s="49">
        <f>IF($M1207="","",MAX(IF($G1207="",$I1207,$G1207)*(1/1.1),IF($G1207="",$I1207,$G1207)+(S$2*$M1207)))</f>
        <v/>
      </c>
      <c r="T1207" s="82" t="n"/>
      <c r="U1207" s="47">
        <f>IF(OR($M1207="",$T1207=""),"",$T1207+(U$2*$M1207))</f>
        <v/>
      </c>
      <c r="V1207" s="48">
        <f>IF(OR($M1207="",$T1207=""),"",$T1207+(V$2*$M1207))</f>
        <v/>
      </c>
      <c r="W1207" s="48">
        <f>IF(OR($M1207="",$T1207=""),"",$T1207+(W$2*$M1207))</f>
        <v/>
      </c>
      <c r="X1207" s="49">
        <f>IF(OR($M1207="",$T1207=""),"",$T1207+(X$2*$M1207))</f>
        <v/>
      </c>
      <c r="Y1207" s="47">
        <f>IF(OR($M1207="",$T1207=""),"",$T1207+(Y$2*$M1207))</f>
        <v/>
      </c>
      <c r="Z1207" s="49">
        <f>IF(OR($M1207="",$T1207=""),"",$T1207+(Z$2*$M1207))</f>
        <v/>
      </c>
      <c r="AA1207" s="51">
        <f>IF(OR($M1207="",$T1207=""),"",$T1207+(AA$2*$M1207))</f>
        <v/>
      </c>
      <c r="AB1207" s="48">
        <f>IF(OR($M1207="",$T1207=""),"",$T1207+(AB$2*$M1207))</f>
        <v/>
      </c>
      <c r="AC1207" s="48">
        <f>IF(OR($M1207="",$T1207=""),"",$T1207+(AC$2*$M1207))</f>
        <v/>
      </c>
      <c r="AD1207" s="48">
        <f>IF(OR($M1207="",$T1207=""),"",$T1207+(AD$2*$M1207))</f>
        <v/>
      </c>
      <c r="AE1207" s="49">
        <f>IF(OR($M1207="",$T1207=""),"",$T1207+(AE$2*$M1207))</f>
        <v/>
      </c>
      <c r="AF1207" s="52">
        <f>IF(OR(T1207="",I1207&lt;T1207),"",IFERROR(AVERAGE(T1207+M1207*{7,8,9,10,11})/IF(G1207="",I1207,G1207)-1,""))</f>
        <v/>
      </c>
      <c r="AG1207" s="55">
        <f>IF(OR(T1207="",I1207&lt;T1207),"",IFERROR(AF1207/-(R1207/IF(G1207="",I1207,G1207)-1),""))</f>
        <v/>
      </c>
      <c r="AH1207" s="94" t="n"/>
      <c r="AI1207" s="94" t="n"/>
      <c r="AJ1207" s="94" t="n"/>
      <c r="AK1207" s="94" t="n"/>
      <c r="AL1207" s="84" t="n"/>
    </row>
    <row r="1208">
      <c r="A1208" s="64" t="n"/>
      <c r="B1208" s="65" t="n"/>
      <c r="C1208" s="66" t="n"/>
      <c r="D1208" s="67" t="n"/>
      <c r="E1208" s="68" t="n"/>
      <c r="F1208" s="47">
        <f>IF(A1208="","",IF(MIN(H1208,MAX(J1208:K1208))=0,"",MIN(H1208,MAX(J1208:K1208))))</f>
        <v/>
      </c>
      <c r="G1208" s="74" t="n"/>
      <c r="H1208" s="49">
        <f>IF(M1208="","",IFERROR(ROUND(AVERAGE(T1208+M1208*{7,8,9,10,11})/1.21,4),""))</f>
        <v/>
      </c>
      <c r="I1208" s="76" t="n"/>
      <c r="J1208" s="77" t="n"/>
      <c r="K1208" s="74" t="n"/>
      <c r="L1208" s="78" t="n"/>
      <c r="M1208" s="77" t="n"/>
      <c r="N1208" s="53">
        <f>IF(M1208="","",IFERROR(M1208/I1208,""))</f>
        <v/>
      </c>
      <c r="O1208" s="50">
        <f>IF(A1208="","",IFERROR((IF(G1208="",I1208,G1208)-T1208)/M1208,""))</f>
        <v/>
      </c>
      <c r="P1208" s="50">
        <f>IFERROR((I1208/T1208-1)/N1208,"")</f>
        <v/>
      </c>
      <c r="Q1208" s="46">
        <f>IF(OR(T1208="",I1208&lt;T1208),"",IFERROR(R1208/IF(G1208="",I1208,G1208)-1,""))</f>
        <v/>
      </c>
      <c r="R1208" s="48">
        <f>IF($M1208="","",MAX(IF($G1208="",$I1208,$G1208)*(1/1.1),IF($G1208="",$I1208,$G1208)+(R$2*$M1208)))</f>
        <v/>
      </c>
      <c r="S1208" s="49">
        <f>IF($M1208="","",MAX(IF($G1208="",$I1208,$G1208)*(1/1.1),IF($G1208="",$I1208,$G1208)+(S$2*$M1208)))</f>
        <v/>
      </c>
      <c r="T1208" s="82" t="n"/>
      <c r="U1208" s="47">
        <f>IF(OR($M1208="",$T1208=""),"",$T1208+(U$2*$M1208))</f>
        <v/>
      </c>
      <c r="V1208" s="48">
        <f>IF(OR($M1208="",$T1208=""),"",$T1208+(V$2*$M1208))</f>
        <v/>
      </c>
      <c r="W1208" s="48">
        <f>IF(OR($M1208="",$T1208=""),"",$T1208+(W$2*$M1208))</f>
        <v/>
      </c>
      <c r="X1208" s="49">
        <f>IF(OR($M1208="",$T1208=""),"",$T1208+(X$2*$M1208))</f>
        <v/>
      </c>
      <c r="Y1208" s="47">
        <f>IF(OR($M1208="",$T1208=""),"",$T1208+(Y$2*$M1208))</f>
        <v/>
      </c>
      <c r="Z1208" s="49">
        <f>IF(OR($M1208="",$T1208=""),"",$T1208+(Z$2*$M1208))</f>
        <v/>
      </c>
      <c r="AA1208" s="51">
        <f>IF(OR($M1208="",$T1208=""),"",$T1208+(AA$2*$M1208))</f>
        <v/>
      </c>
      <c r="AB1208" s="48">
        <f>IF(OR($M1208="",$T1208=""),"",$T1208+(AB$2*$M1208))</f>
        <v/>
      </c>
      <c r="AC1208" s="48">
        <f>IF(OR($M1208="",$T1208=""),"",$T1208+(AC$2*$M1208))</f>
        <v/>
      </c>
      <c r="AD1208" s="48">
        <f>IF(OR($M1208="",$T1208=""),"",$T1208+(AD$2*$M1208))</f>
        <v/>
      </c>
      <c r="AE1208" s="49">
        <f>IF(OR($M1208="",$T1208=""),"",$T1208+(AE$2*$M1208))</f>
        <v/>
      </c>
      <c r="AF1208" s="52">
        <f>IF(OR(T1208="",I1208&lt;T1208),"",IFERROR(AVERAGE(T1208+M1208*{7,8,9,10,11})/IF(G1208="",I1208,G1208)-1,""))</f>
        <v/>
      </c>
      <c r="AG1208" s="55">
        <f>IF(OR(T1208="",I1208&lt;T1208),"",IFERROR(AF1208/-(R1208/IF(G1208="",I1208,G1208)-1),""))</f>
        <v/>
      </c>
      <c r="AH1208" s="94" t="n"/>
      <c r="AI1208" s="94" t="n"/>
      <c r="AJ1208" s="94" t="n"/>
      <c r="AK1208" s="94" t="n"/>
      <c r="AL1208" s="84" t="n"/>
    </row>
    <row r="1209">
      <c r="A1209" s="64" t="n"/>
      <c r="B1209" s="65" t="n"/>
      <c r="C1209" s="66" t="n"/>
      <c r="D1209" s="67" t="n"/>
      <c r="E1209" s="68" t="n"/>
      <c r="F1209" s="47">
        <f>IF(A1209="","",IF(MIN(H1209,MAX(J1209:K1209))=0,"",MIN(H1209,MAX(J1209:K1209))))</f>
        <v/>
      </c>
      <c r="G1209" s="74" t="n"/>
      <c r="H1209" s="49">
        <f>IF(M1209="","",IFERROR(ROUND(AVERAGE(T1209+M1209*{7,8,9,10,11})/1.21,4),""))</f>
        <v/>
      </c>
      <c r="I1209" s="76" t="n"/>
      <c r="J1209" s="77" t="n"/>
      <c r="K1209" s="74" t="n"/>
      <c r="L1209" s="78" t="n"/>
      <c r="M1209" s="77" t="n"/>
      <c r="N1209" s="53">
        <f>IF(M1209="","",IFERROR(M1209/I1209,""))</f>
        <v/>
      </c>
      <c r="O1209" s="50">
        <f>IF(A1209="","",IFERROR((IF(G1209="",I1209,G1209)-T1209)/M1209,""))</f>
        <v/>
      </c>
      <c r="P1209" s="50">
        <f>IFERROR((I1209/T1209-1)/N1209,"")</f>
        <v/>
      </c>
      <c r="Q1209" s="46">
        <f>IF(OR(T1209="",I1209&lt;T1209),"",IFERROR(R1209/IF(G1209="",I1209,G1209)-1,""))</f>
        <v/>
      </c>
      <c r="R1209" s="48">
        <f>IF($M1209="","",MAX(IF($G1209="",$I1209,$G1209)*(1/1.1),IF($G1209="",$I1209,$G1209)+(R$2*$M1209)))</f>
        <v/>
      </c>
      <c r="S1209" s="49">
        <f>IF($M1209="","",MAX(IF($G1209="",$I1209,$G1209)*(1/1.1),IF($G1209="",$I1209,$G1209)+(S$2*$M1209)))</f>
        <v/>
      </c>
      <c r="T1209" s="82" t="n"/>
      <c r="U1209" s="47">
        <f>IF(OR($M1209="",$T1209=""),"",$T1209+(U$2*$M1209))</f>
        <v/>
      </c>
      <c r="V1209" s="48">
        <f>IF(OR($M1209="",$T1209=""),"",$T1209+(V$2*$M1209))</f>
        <v/>
      </c>
      <c r="W1209" s="48">
        <f>IF(OR($M1209="",$T1209=""),"",$T1209+(W$2*$M1209))</f>
        <v/>
      </c>
      <c r="X1209" s="49">
        <f>IF(OR($M1209="",$T1209=""),"",$T1209+(X$2*$M1209))</f>
        <v/>
      </c>
      <c r="Y1209" s="47">
        <f>IF(OR($M1209="",$T1209=""),"",$T1209+(Y$2*$M1209))</f>
        <v/>
      </c>
      <c r="Z1209" s="49">
        <f>IF(OR($M1209="",$T1209=""),"",$T1209+(Z$2*$M1209))</f>
        <v/>
      </c>
      <c r="AA1209" s="51">
        <f>IF(OR($M1209="",$T1209=""),"",$T1209+(AA$2*$M1209))</f>
        <v/>
      </c>
      <c r="AB1209" s="48">
        <f>IF(OR($M1209="",$T1209=""),"",$T1209+(AB$2*$M1209))</f>
        <v/>
      </c>
      <c r="AC1209" s="48">
        <f>IF(OR($M1209="",$T1209=""),"",$T1209+(AC$2*$M1209))</f>
        <v/>
      </c>
      <c r="AD1209" s="48">
        <f>IF(OR($M1209="",$T1209=""),"",$T1209+(AD$2*$M1209))</f>
        <v/>
      </c>
      <c r="AE1209" s="49">
        <f>IF(OR($M1209="",$T1209=""),"",$T1209+(AE$2*$M1209))</f>
        <v/>
      </c>
      <c r="AF1209" s="52">
        <f>IF(OR(T1209="",I1209&lt;T1209),"",IFERROR(AVERAGE(T1209+M1209*{7,8,9,10,11})/IF(G1209="",I1209,G1209)-1,""))</f>
        <v/>
      </c>
      <c r="AG1209" s="55">
        <f>IF(OR(T1209="",I1209&lt;T1209),"",IFERROR(AF1209/-(R1209/IF(G1209="",I1209,G1209)-1),""))</f>
        <v/>
      </c>
      <c r="AH1209" s="94" t="n"/>
      <c r="AI1209" s="94" t="n"/>
      <c r="AJ1209" s="94" t="n"/>
      <c r="AK1209" s="94" t="n"/>
      <c r="AL1209" s="84" t="n"/>
    </row>
    <row r="1210">
      <c r="A1210" s="64" t="n"/>
      <c r="B1210" s="65" t="n"/>
      <c r="C1210" s="66" t="n"/>
      <c r="D1210" s="67" t="n"/>
      <c r="E1210" s="68" t="n"/>
      <c r="F1210" s="47">
        <f>IF(A1210="","",IF(MIN(H1210,MAX(J1210:K1210))=0,"",MIN(H1210,MAX(J1210:K1210))))</f>
        <v/>
      </c>
      <c r="G1210" s="74" t="n"/>
      <c r="H1210" s="49">
        <f>IF(M1210="","",IFERROR(ROUND(AVERAGE(T1210+M1210*{7,8,9,10,11})/1.21,4),""))</f>
        <v/>
      </c>
      <c r="I1210" s="76" t="n"/>
      <c r="J1210" s="77" t="n"/>
      <c r="K1210" s="74" t="n"/>
      <c r="L1210" s="78" t="n"/>
      <c r="M1210" s="77" t="n"/>
      <c r="N1210" s="53">
        <f>IF(M1210="","",IFERROR(M1210/I1210,""))</f>
        <v/>
      </c>
      <c r="O1210" s="50">
        <f>IF(A1210="","",IFERROR((IF(G1210="",I1210,G1210)-T1210)/M1210,""))</f>
        <v/>
      </c>
      <c r="P1210" s="50">
        <f>IFERROR((I1210/T1210-1)/N1210,"")</f>
        <v/>
      </c>
      <c r="Q1210" s="46">
        <f>IF(OR(T1210="",I1210&lt;T1210),"",IFERROR(R1210/IF(G1210="",I1210,G1210)-1,""))</f>
        <v/>
      </c>
      <c r="R1210" s="48">
        <f>IF($M1210="","",MAX(IF($G1210="",$I1210,$G1210)*(1/1.1),IF($G1210="",$I1210,$G1210)+(R$2*$M1210)))</f>
        <v/>
      </c>
      <c r="S1210" s="49">
        <f>IF($M1210="","",MAX(IF($G1210="",$I1210,$G1210)*(1/1.1),IF($G1210="",$I1210,$G1210)+(S$2*$M1210)))</f>
        <v/>
      </c>
      <c r="T1210" s="82" t="n"/>
      <c r="U1210" s="47">
        <f>IF(OR($M1210="",$T1210=""),"",$T1210+(U$2*$M1210))</f>
        <v/>
      </c>
      <c r="V1210" s="48">
        <f>IF(OR($M1210="",$T1210=""),"",$T1210+(V$2*$M1210))</f>
        <v/>
      </c>
      <c r="W1210" s="48">
        <f>IF(OR($M1210="",$T1210=""),"",$T1210+(W$2*$M1210))</f>
        <v/>
      </c>
      <c r="X1210" s="49">
        <f>IF(OR($M1210="",$T1210=""),"",$T1210+(X$2*$M1210))</f>
        <v/>
      </c>
      <c r="Y1210" s="47">
        <f>IF(OR($M1210="",$T1210=""),"",$T1210+(Y$2*$M1210))</f>
        <v/>
      </c>
      <c r="Z1210" s="49">
        <f>IF(OR($M1210="",$T1210=""),"",$T1210+(Z$2*$M1210))</f>
        <v/>
      </c>
      <c r="AA1210" s="51">
        <f>IF(OR($M1210="",$T1210=""),"",$T1210+(AA$2*$M1210))</f>
        <v/>
      </c>
      <c r="AB1210" s="48">
        <f>IF(OR($M1210="",$T1210=""),"",$T1210+(AB$2*$M1210))</f>
        <v/>
      </c>
      <c r="AC1210" s="48">
        <f>IF(OR($M1210="",$T1210=""),"",$T1210+(AC$2*$M1210))</f>
        <v/>
      </c>
      <c r="AD1210" s="48">
        <f>IF(OR($M1210="",$T1210=""),"",$T1210+(AD$2*$M1210))</f>
        <v/>
      </c>
      <c r="AE1210" s="49">
        <f>IF(OR($M1210="",$T1210=""),"",$T1210+(AE$2*$M1210))</f>
        <v/>
      </c>
      <c r="AF1210" s="52">
        <f>IF(OR(T1210="",I1210&lt;T1210),"",IFERROR(AVERAGE(T1210+M1210*{7,8,9,10,11})/IF(G1210="",I1210,G1210)-1,""))</f>
        <v/>
      </c>
      <c r="AG1210" s="55">
        <f>IF(OR(T1210="",I1210&lt;T1210),"",IFERROR(AF1210/-(R1210/IF(G1210="",I1210,G1210)-1),""))</f>
        <v/>
      </c>
      <c r="AH1210" s="94" t="n"/>
      <c r="AI1210" s="94" t="n"/>
      <c r="AJ1210" s="94" t="n"/>
      <c r="AK1210" s="94" t="n"/>
      <c r="AL1210" s="84" t="n"/>
    </row>
    <row r="1211">
      <c r="A1211" s="64" t="n"/>
      <c r="B1211" s="65" t="n"/>
      <c r="C1211" s="66" t="n"/>
      <c r="D1211" s="67" t="n"/>
      <c r="E1211" s="68" t="n"/>
      <c r="F1211" s="47">
        <f>IF(A1211="","",IF(MIN(H1211,MAX(J1211:K1211))=0,"",MIN(H1211,MAX(J1211:K1211))))</f>
        <v/>
      </c>
      <c r="G1211" s="74" t="n"/>
      <c r="H1211" s="49">
        <f>IF(M1211="","",IFERROR(ROUND(AVERAGE(T1211+M1211*{7,8,9,10,11})/1.21,4),""))</f>
        <v/>
      </c>
      <c r="I1211" s="76" t="n"/>
      <c r="J1211" s="77" t="n"/>
      <c r="K1211" s="74" t="n"/>
      <c r="L1211" s="78" t="n"/>
      <c r="M1211" s="77" t="n"/>
      <c r="N1211" s="53">
        <f>IF(M1211="","",IFERROR(M1211/I1211,""))</f>
        <v/>
      </c>
      <c r="O1211" s="50">
        <f>IF(A1211="","",IFERROR((IF(G1211="",I1211,G1211)-T1211)/M1211,""))</f>
        <v/>
      </c>
      <c r="P1211" s="50">
        <f>IFERROR((I1211/T1211-1)/N1211,"")</f>
        <v/>
      </c>
      <c r="Q1211" s="46">
        <f>IF(OR(T1211="",I1211&lt;T1211),"",IFERROR(R1211/IF(G1211="",I1211,G1211)-1,""))</f>
        <v/>
      </c>
      <c r="R1211" s="48">
        <f>IF($M1211="","",MAX(IF($G1211="",$I1211,$G1211)*(1/1.1),IF($G1211="",$I1211,$G1211)+(R$2*$M1211)))</f>
        <v/>
      </c>
      <c r="S1211" s="49">
        <f>IF($M1211="","",MAX(IF($G1211="",$I1211,$G1211)*(1/1.1),IF($G1211="",$I1211,$G1211)+(S$2*$M1211)))</f>
        <v/>
      </c>
      <c r="T1211" s="82" t="n"/>
      <c r="U1211" s="47">
        <f>IF(OR($M1211="",$T1211=""),"",$T1211+(U$2*$M1211))</f>
        <v/>
      </c>
      <c r="V1211" s="48">
        <f>IF(OR($M1211="",$T1211=""),"",$T1211+(V$2*$M1211))</f>
        <v/>
      </c>
      <c r="W1211" s="48">
        <f>IF(OR($M1211="",$T1211=""),"",$T1211+(W$2*$M1211))</f>
        <v/>
      </c>
      <c r="X1211" s="49">
        <f>IF(OR($M1211="",$T1211=""),"",$T1211+(X$2*$M1211))</f>
        <v/>
      </c>
      <c r="Y1211" s="47">
        <f>IF(OR($M1211="",$T1211=""),"",$T1211+(Y$2*$M1211))</f>
        <v/>
      </c>
      <c r="Z1211" s="49">
        <f>IF(OR($M1211="",$T1211=""),"",$T1211+(Z$2*$M1211))</f>
        <v/>
      </c>
      <c r="AA1211" s="51">
        <f>IF(OR($M1211="",$T1211=""),"",$T1211+(AA$2*$M1211))</f>
        <v/>
      </c>
      <c r="AB1211" s="48">
        <f>IF(OR($M1211="",$T1211=""),"",$T1211+(AB$2*$M1211))</f>
        <v/>
      </c>
      <c r="AC1211" s="48">
        <f>IF(OR($M1211="",$T1211=""),"",$T1211+(AC$2*$M1211))</f>
        <v/>
      </c>
      <c r="AD1211" s="48">
        <f>IF(OR($M1211="",$T1211=""),"",$T1211+(AD$2*$M1211))</f>
        <v/>
      </c>
      <c r="AE1211" s="49">
        <f>IF(OR($M1211="",$T1211=""),"",$T1211+(AE$2*$M1211))</f>
        <v/>
      </c>
      <c r="AF1211" s="52">
        <f>IF(OR(T1211="",I1211&lt;T1211),"",IFERROR(AVERAGE(T1211+M1211*{7,8,9,10,11})/IF(G1211="",I1211,G1211)-1,""))</f>
        <v/>
      </c>
      <c r="AG1211" s="55">
        <f>IF(OR(T1211="",I1211&lt;T1211),"",IFERROR(AF1211/-(R1211/IF(G1211="",I1211,G1211)-1),""))</f>
        <v/>
      </c>
      <c r="AH1211" s="94" t="n"/>
      <c r="AI1211" s="94" t="n"/>
      <c r="AJ1211" s="94" t="n"/>
      <c r="AK1211" s="94" t="n"/>
      <c r="AL1211" s="84" t="n"/>
    </row>
    <row r="1212">
      <c r="A1212" s="64" t="n"/>
      <c r="B1212" s="65" t="n"/>
      <c r="C1212" s="66" t="n"/>
      <c r="D1212" s="67" t="n"/>
      <c r="E1212" s="68" t="n"/>
      <c r="F1212" s="47">
        <f>IF(A1212="","",IF(MIN(H1212,MAX(J1212:K1212))=0,"",MIN(H1212,MAX(J1212:K1212))))</f>
        <v/>
      </c>
      <c r="G1212" s="74" t="n"/>
      <c r="H1212" s="49">
        <f>IF(M1212="","",IFERROR(ROUND(AVERAGE(T1212+M1212*{7,8,9,10,11})/1.21,4),""))</f>
        <v/>
      </c>
      <c r="I1212" s="76" t="n"/>
      <c r="J1212" s="77" t="n"/>
      <c r="K1212" s="74" t="n"/>
      <c r="L1212" s="78" t="n"/>
      <c r="M1212" s="77" t="n"/>
      <c r="N1212" s="53">
        <f>IF(M1212="","",IFERROR(M1212/I1212,""))</f>
        <v/>
      </c>
      <c r="O1212" s="50">
        <f>IF(A1212="","",IFERROR((IF(G1212="",I1212,G1212)-T1212)/M1212,""))</f>
        <v/>
      </c>
      <c r="P1212" s="50">
        <f>IFERROR((I1212/T1212-1)/N1212,"")</f>
        <v/>
      </c>
      <c r="Q1212" s="46">
        <f>IF(OR(T1212="",I1212&lt;T1212),"",IFERROR(R1212/IF(G1212="",I1212,G1212)-1,""))</f>
        <v/>
      </c>
      <c r="R1212" s="48">
        <f>IF($M1212="","",MAX(IF($G1212="",$I1212,$G1212)*(1/1.1),IF($G1212="",$I1212,$G1212)+(R$2*$M1212)))</f>
        <v/>
      </c>
      <c r="S1212" s="49">
        <f>IF($M1212="","",MAX(IF($G1212="",$I1212,$G1212)*(1/1.1),IF($G1212="",$I1212,$G1212)+(S$2*$M1212)))</f>
        <v/>
      </c>
      <c r="T1212" s="82" t="n"/>
      <c r="U1212" s="47">
        <f>IF(OR($M1212="",$T1212=""),"",$T1212+(U$2*$M1212))</f>
        <v/>
      </c>
      <c r="V1212" s="48">
        <f>IF(OR($M1212="",$T1212=""),"",$T1212+(V$2*$M1212))</f>
        <v/>
      </c>
      <c r="W1212" s="48">
        <f>IF(OR($M1212="",$T1212=""),"",$T1212+(W$2*$M1212))</f>
        <v/>
      </c>
      <c r="X1212" s="49">
        <f>IF(OR($M1212="",$T1212=""),"",$T1212+(X$2*$M1212))</f>
        <v/>
      </c>
      <c r="Y1212" s="47">
        <f>IF(OR($M1212="",$T1212=""),"",$T1212+(Y$2*$M1212))</f>
        <v/>
      </c>
      <c r="Z1212" s="49">
        <f>IF(OR($M1212="",$T1212=""),"",$T1212+(Z$2*$M1212))</f>
        <v/>
      </c>
      <c r="AA1212" s="51">
        <f>IF(OR($M1212="",$T1212=""),"",$T1212+(AA$2*$M1212))</f>
        <v/>
      </c>
      <c r="AB1212" s="48">
        <f>IF(OR($M1212="",$T1212=""),"",$T1212+(AB$2*$M1212))</f>
        <v/>
      </c>
      <c r="AC1212" s="48">
        <f>IF(OR($M1212="",$T1212=""),"",$T1212+(AC$2*$M1212))</f>
        <v/>
      </c>
      <c r="AD1212" s="48">
        <f>IF(OR($M1212="",$T1212=""),"",$T1212+(AD$2*$M1212))</f>
        <v/>
      </c>
      <c r="AE1212" s="49">
        <f>IF(OR($M1212="",$T1212=""),"",$T1212+(AE$2*$M1212))</f>
        <v/>
      </c>
      <c r="AF1212" s="52">
        <f>IF(OR(T1212="",I1212&lt;T1212),"",IFERROR(AVERAGE(T1212+M1212*{7,8,9,10,11})/IF(G1212="",I1212,G1212)-1,""))</f>
        <v/>
      </c>
      <c r="AG1212" s="55">
        <f>IF(OR(T1212="",I1212&lt;T1212),"",IFERROR(AF1212/-(R1212/IF(G1212="",I1212,G1212)-1),""))</f>
        <v/>
      </c>
      <c r="AH1212" s="94" t="n"/>
      <c r="AI1212" s="94" t="n"/>
      <c r="AJ1212" s="94" t="n"/>
      <c r="AK1212" s="94" t="n"/>
      <c r="AL1212" s="84" t="n"/>
    </row>
    <row r="1213">
      <c r="A1213" s="64" t="n"/>
      <c r="B1213" s="65" t="n"/>
      <c r="C1213" s="66" t="n"/>
      <c r="D1213" s="67" t="n"/>
      <c r="E1213" s="68" t="n"/>
      <c r="F1213" s="47">
        <f>IF(A1213="","",IF(MIN(H1213,MAX(J1213:K1213))=0,"",MIN(H1213,MAX(J1213:K1213))))</f>
        <v/>
      </c>
      <c r="G1213" s="74" t="n"/>
      <c r="H1213" s="49">
        <f>IF(M1213="","",IFERROR(ROUND(AVERAGE(T1213+M1213*{7,8,9,10,11})/1.21,4),""))</f>
        <v/>
      </c>
      <c r="I1213" s="76" t="n"/>
      <c r="J1213" s="77" t="n"/>
      <c r="K1213" s="74" t="n"/>
      <c r="L1213" s="78" t="n"/>
      <c r="M1213" s="77" t="n"/>
      <c r="N1213" s="53">
        <f>IF(M1213="","",IFERROR(M1213/I1213,""))</f>
        <v/>
      </c>
      <c r="O1213" s="50">
        <f>IF(A1213="","",IFERROR((IF(G1213="",I1213,G1213)-T1213)/M1213,""))</f>
        <v/>
      </c>
      <c r="P1213" s="50">
        <f>IFERROR((I1213/T1213-1)/N1213,"")</f>
        <v/>
      </c>
      <c r="Q1213" s="46">
        <f>IF(OR(T1213="",I1213&lt;T1213),"",IFERROR(R1213/IF(G1213="",I1213,G1213)-1,""))</f>
        <v/>
      </c>
      <c r="R1213" s="48">
        <f>IF($M1213="","",MAX(IF($G1213="",$I1213,$G1213)*(1/1.1),IF($G1213="",$I1213,$G1213)+(R$2*$M1213)))</f>
        <v/>
      </c>
      <c r="S1213" s="49">
        <f>IF($M1213="","",MAX(IF($G1213="",$I1213,$G1213)*(1/1.1),IF($G1213="",$I1213,$G1213)+(S$2*$M1213)))</f>
        <v/>
      </c>
      <c r="T1213" s="82" t="n"/>
      <c r="U1213" s="47">
        <f>IF(OR($M1213="",$T1213=""),"",$T1213+(U$2*$M1213))</f>
        <v/>
      </c>
      <c r="V1213" s="48">
        <f>IF(OR($M1213="",$T1213=""),"",$T1213+(V$2*$M1213))</f>
        <v/>
      </c>
      <c r="W1213" s="48">
        <f>IF(OR($M1213="",$T1213=""),"",$T1213+(W$2*$M1213))</f>
        <v/>
      </c>
      <c r="X1213" s="49">
        <f>IF(OR($M1213="",$T1213=""),"",$T1213+(X$2*$M1213))</f>
        <v/>
      </c>
      <c r="Y1213" s="47">
        <f>IF(OR($M1213="",$T1213=""),"",$T1213+(Y$2*$M1213))</f>
        <v/>
      </c>
      <c r="Z1213" s="49">
        <f>IF(OR($M1213="",$T1213=""),"",$T1213+(Z$2*$M1213))</f>
        <v/>
      </c>
      <c r="AA1213" s="51">
        <f>IF(OR($M1213="",$T1213=""),"",$T1213+(AA$2*$M1213))</f>
        <v/>
      </c>
      <c r="AB1213" s="48">
        <f>IF(OR($M1213="",$T1213=""),"",$T1213+(AB$2*$M1213))</f>
        <v/>
      </c>
      <c r="AC1213" s="48">
        <f>IF(OR($M1213="",$T1213=""),"",$T1213+(AC$2*$M1213))</f>
        <v/>
      </c>
      <c r="AD1213" s="48">
        <f>IF(OR($M1213="",$T1213=""),"",$T1213+(AD$2*$M1213))</f>
        <v/>
      </c>
      <c r="AE1213" s="49">
        <f>IF(OR($M1213="",$T1213=""),"",$T1213+(AE$2*$M1213))</f>
        <v/>
      </c>
      <c r="AF1213" s="52">
        <f>IF(OR(T1213="",I1213&lt;T1213),"",IFERROR(AVERAGE(T1213+M1213*{7,8,9,10,11})/IF(G1213="",I1213,G1213)-1,""))</f>
        <v/>
      </c>
      <c r="AG1213" s="55">
        <f>IF(OR(T1213="",I1213&lt;T1213),"",IFERROR(AF1213/-(R1213/IF(G1213="",I1213,G1213)-1),""))</f>
        <v/>
      </c>
      <c r="AH1213" s="94" t="n"/>
      <c r="AI1213" s="94" t="n"/>
      <c r="AJ1213" s="94" t="n"/>
      <c r="AK1213" s="94" t="n"/>
      <c r="AL1213" s="84" t="n"/>
    </row>
    <row r="1214">
      <c r="A1214" s="64" t="n"/>
      <c r="B1214" s="65" t="n"/>
      <c r="C1214" s="66" t="n"/>
      <c r="D1214" s="67" t="n"/>
      <c r="E1214" s="68" t="n"/>
      <c r="F1214" s="47">
        <f>IF(A1214="","",IF(MIN(H1214,MAX(J1214:K1214))=0,"",MIN(H1214,MAX(J1214:K1214))))</f>
        <v/>
      </c>
      <c r="G1214" s="74" t="n"/>
      <c r="H1214" s="49">
        <f>IF(M1214="","",IFERROR(ROUND(AVERAGE(T1214+M1214*{7,8,9,10,11})/1.21,4),""))</f>
        <v/>
      </c>
      <c r="I1214" s="76" t="n"/>
      <c r="J1214" s="77" t="n"/>
      <c r="K1214" s="74" t="n"/>
      <c r="L1214" s="78" t="n"/>
      <c r="M1214" s="77" t="n"/>
      <c r="N1214" s="53">
        <f>IF(M1214="","",IFERROR(M1214/I1214,""))</f>
        <v/>
      </c>
      <c r="O1214" s="50">
        <f>IF(A1214="","",IFERROR((IF(G1214="",I1214,G1214)-T1214)/M1214,""))</f>
        <v/>
      </c>
      <c r="P1214" s="50">
        <f>IFERROR((I1214/T1214-1)/N1214,"")</f>
        <v/>
      </c>
      <c r="Q1214" s="46">
        <f>IF(OR(T1214="",I1214&lt;T1214),"",IFERROR(R1214/IF(G1214="",I1214,G1214)-1,""))</f>
        <v/>
      </c>
      <c r="R1214" s="48">
        <f>IF($M1214="","",MAX(IF($G1214="",$I1214,$G1214)*(1/1.1),IF($G1214="",$I1214,$G1214)+(R$2*$M1214)))</f>
        <v/>
      </c>
      <c r="S1214" s="49">
        <f>IF($M1214="","",MAX(IF($G1214="",$I1214,$G1214)*(1/1.1),IF($G1214="",$I1214,$G1214)+(S$2*$M1214)))</f>
        <v/>
      </c>
      <c r="T1214" s="82" t="n"/>
      <c r="U1214" s="47">
        <f>IF(OR($M1214="",$T1214=""),"",$T1214+(U$2*$M1214))</f>
        <v/>
      </c>
      <c r="V1214" s="48">
        <f>IF(OR($M1214="",$T1214=""),"",$T1214+(V$2*$M1214))</f>
        <v/>
      </c>
      <c r="W1214" s="48">
        <f>IF(OR($M1214="",$T1214=""),"",$T1214+(W$2*$M1214))</f>
        <v/>
      </c>
      <c r="X1214" s="49">
        <f>IF(OR($M1214="",$T1214=""),"",$T1214+(X$2*$M1214))</f>
        <v/>
      </c>
      <c r="Y1214" s="47">
        <f>IF(OR($M1214="",$T1214=""),"",$T1214+(Y$2*$M1214))</f>
        <v/>
      </c>
      <c r="Z1214" s="49">
        <f>IF(OR($M1214="",$T1214=""),"",$T1214+(Z$2*$M1214))</f>
        <v/>
      </c>
      <c r="AA1214" s="51">
        <f>IF(OR($M1214="",$T1214=""),"",$T1214+(AA$2*$M1214))</f>
        <v/>
      </c>
      <c r="AB1214" s="48">
        <f>IF(OR($M1214="",$T1214=""),"",$T1214+(AB$2*$M1214))</f>
        <v/>
      </c>
      <c r="AC1214" s="48">
        <f>IF(OR($M1214="",$T1214=""),"",$T1214+(AC$2*$M1214))</f>
        <v/>
      </c>
      <c r="AD1214" s="48">
        <f>IF(OR($M1214="",$T1214=""),"",$T1214+(AD$2*$M1214))</f>
        <v/>
      </c>
      <c r="AE1214" s="49">
        <f>IF(OR($M1214="",$T1214=""),"",$T1214+(AE$2*$M1214))</f>
        <v/>
      </c>
      <c r="AF1214" s="52">
        <f>IF(OR(T1214="",I1214&lt;T1214),"",IFERROR(AVERAGE(T1214+M1214*{7,8,9,10,11})/IF(G1214="",I1214,G1214)-1,""))</f>
        <v/>
      </c>
      <c r="AG1214" s="55">
        <f>IF(OR(T1214="",I1214&lt;T1214),"",IFERROR(AF1214/-(R1214/IF(G1214="",I1214,G1214)-1),""))</f>
        <v/>
      </c>
      <c r="AH1214" s="94" t="n"/>
      <c r="AI1214" s="94" t="n"/>
      <c r="AJ1214" s="94" t="n"/>
      <c r="AK1214" s="94" t="n"/>
      <c r="AL1214" s="84" t="n"/>
    </row>
    <row r="1215">
      <c r="A1215" s="64" t="n"/>
      <c r="B1215" s="65" t="n"/>
      <c r="C1215" s="66" t="n"/>
      <c r="D1215" s="67" t="n"/>
      <c r="E1215" s="68" t="n"/>
      <c r="F1215" s="47">
        <f>IF(A1215="","",IF(MIN(H1215,MAX(J1215:K1215))=0,"",MIN(H1215,MAX(J1215:K1215))))</f>
        <v/>
      </c>
      <c r="G1215" s="74" t="n"/>
      <c r="H1215" s="49">
        <f>IF(M1215="","",IFERROR(ROUND(AVERAGE(T1215+M1215*{7,8,9,10,11})/1.21,4),""))</f>
        <v/>
      </c>
      <c r="I1215" s="76" t="n"/>
      <c r="J1215" s="77" t="n"/>
      <c r="K1215" s="74" t="n"/>
      <c r="L1215" s="78" t="n"/>
      <c r="M1215" s="77" t="n"/>
      <c r="N1215" s="53">
        <f>IF(M1215="","",IFERROR(M1215/I1215,""))</f>
        <v/>
      </c>
      <c r="O1215" s="50">
        <f>IF(A1215="","",IFERROR((IF(G1215="",I1215,G1215)-T1215)/M1215,""))</f>
        <v/>
      </c>
      <c r="P1215" s="50">
        <f>IFERROR((I1215/T1215-1)/N1215,"")</f>
        <v/>
      </c>
      <c r="Q1215" s="46">
        <f>IF(OR(T1215="",I1215&lt;T1215),"",IFERROR(R1215/IF(G1215="",I1215,G1215)-1,""))</f>
        <v/>
      </c>
      <c r="R1215" s="48">
        <f>IF($M1215="","",MAX(IF($G1215="",$I1215,$G1215)*(1/1.1),IF($G1215="",$I1215,$G1215)+(R$2*$M1215)))</f>
        <v/>
      </c>
      <c r="S1215" s="49">
        <f>IF($M1215="","",MAX(IF($G1215="",$I1215,$G1215)*(1/1.1),IF($G1215="",$I1215,$G1215)+(S$2*$M1215)))</f>
        <v/>
      </c>
      <c r="T1215" s="82" t="n"/>
      <c r="U1215" s="47">
        <f>IF(OR($M1215="",$T1215=""),"",$T1215+(U$2*$M1215))</f>
        <v/>
      </c>
      <c r="V1215" s="48">
        <f>IF(OR($M1215="",$T1215=""),"",$T1215+(V$2*$M1215))</f>
        <v/>
      </c>
      <c r="W1215" s="48">
        <f>IF(OR($M1215="",$T1215=""),"",$T1215+(W$2*$M1215))</f>
        <v/>
      </c>
      <c r="X1215" s="49">
        <f>IF(OR($M1215="",$T1215=""),"",$T1215+(X$2*$M1215))</f>
        <v/>
      </c>
      <c r="Y1215" s="47">
        <f>IF(OR($M1215="",$T1215=""),"",$T1215+(Y$2*$M1215))</f>
        <v/>
      </c>
      <c r="Z1215" s="49">
        <f>IF(OR($M1215="",$T1215=""),"",$T1215+(Z$2*$M1215))</f>
        <v/>
      </c>
      <c r="AA1215" s="51">
        <f>IF(OR($M1215="",$T1215=""),"",$T1215+(AA$2*$M1215))</f>
        <v/>
      </c>
      <c r="AB1215" s="48">
        <f>IF(OR($M1215="",$T1215=""),"",$T1215+(AB$2*$M1215))</f>
        <v/>
      </c>
      <c r="AC1215" s="48">
        <f>IF(OR($M1215="",$T1215=""),"",$T1215+(AC$2*$M1215))</f>
        <v/>
      </c>
      <c r="AD1215" s="48">
        <f>IF(OR($M1215="",$T1215=""),"",$T1215+(AD$2*$M1215))</f>
        <v/>
      </c>
      <c r="AE1215" s="49">
        <f>IF(OR($M1215="",$T1215=""),"",$T1215+(AE$2*$M1215))</f>
        <v/>
      </c>
      <c r="AF1215" s="52">
        <f>IF(OR(T1215="",I1215&lt;T1215),"",IFERROR(AVERAGE(T1215+M1215*{7,8,9,10,11})/IF(G1215="",I1215,G1215)-1,""))</f>
        <v/>
      </c>
      <c r="AG1215" s="55">
        <f>IF(OR(T1215="",I1215&lt;T1215),"",IFERROR(AF1215/-(R1215/IF(G1215="",I1215,G1215)-1),""))</f>
        <v/>
      </c>
      <c r="AH1215" s="94" t="n"/>
      <c r="AI1215" s="94" t="n"/>
      <c r="AJ1215" s="94" t="n"/>
      <c r="AK1215" s="94" t="n"/>
      <c r="AL1215" s="84" t="n"/>
    </row>
    <row r="1216">
      <c r="A1216" s="64" t="n"/>
      <c r="B1216" s="65" t="n"/>
      <c r="C1216" s="66" t="n"/>
      <c r="D1216" s="67" t="n"/>
      <c r="E1216" s="68" t="n"/>
      <c r="F1216" s="47">
        <f>IF(A1216="","",IF(MIN(H1216,MAX(J1216:K1216))=0,"",MIN(H1216,MAX(J1216:K1216))))</f>
        <v/>
      </c>
      <c r="G1216" s="74" t="n"/>
      <c r="H1216" s="49">
        <f>IF(M1216="","",IFERROR(ROUND(AVERAGE(T1216+M1216*{7,8,9,10,11})/1.21,4),""))</f>
        <v/>
      </c>
      <c r="I1216" s="76" t="n"/>
      <c r="J1216" s="77" t="n"/>
      <c r="K1216" s="74" t="n"/>
      <c r="L1216" s="78" t="n"/>
      <c r="M1216" s="77" t="n"/>
      <c r="N1216" s="53">
        <f>IF(M1216="","",IFERROR(M1216/I1216,""))</f>
        <v/>
      </c>
      <c r="O1216" s="50">
        <f>IF(A1216="","",IFERROR((IF(G1216="",I1216,G1216)-T1216)/M1216,""))</f>
        <v/>
      </c>
      <c r="P1216" s="50">
        <f>IFERROR((I1216/T1216-1)/N1216,"")</f>
        <v/>
      </c>
      <c r="Q1216" s="46">
        <f>IF(OR(T1216="",I1216&lt;T1216),"",IFERROR(R1216/IF(G1216="",I1216,G1216)-1,""))</f>
        <v/>
      </c>
      <c r="R1216" s="48">
        <f>IF($M1216="","",MAX(IF($G1216="",$I1216,$G1216)*(1/1.1),IF($G1216="",$I1216,$G1216)+(R$2*$M1216)))</f>
        <v/>
      </c>
      <c r="S1216" s="49">
        <f>IF($M1216="","",MAX(IF($G1216="",$I1216,$G1216)*(1/1.1),IF($G1216="",$I1216,$G1216)+(S$2*$M1216)))</f>
        <v/>
      </c>
      <c r="T1216" s="82" t="n"/>
      <c r="U1216" s="47">
        <f>IF(OR($M1216="",$T1216=""),"",$T1216+(U$2*$M1216))</f>
        <v/>
      </c>
      <c r="V1216" s="48">
        <f>IF(OR($M1216="",$T1216=""),"",$T1216+(V$2*$M1216))</f>
        <v/>
      </c>
      <c r="W1216" s="48">
        <f>IF(OR($M1216="",$T1216=""),"",$T1216+(W$2*$M1216))</f>
        <v/>
      </c>
      <c r="X1216" s="49">
        <f>IF(OR($M1216="",$T1216=""),"",$T1216+(X$2*$M1216))</f>
        <v/>
      </c>
      <c r="Y1216" s="47">
        <f>IF(OR($M1216="",$T1216=""),"",$T1216+(Y$2*$M1216))</f>
        <v/>
      </c>
      <c r="Z1216" s="49">
        <f>IF(OR($M1216="",$T1216=""),"",$T1216+(Z$2*$M1216))</f>
        <v/>
      </c>
      <c r="AA1216" s="51">
        <f>IF(OR($M1216="",$T1216=""),"",$T1216+(AA$2*$M1216))</f>
        <v/>
      </c>
      <c r="AB1216" s="48">
        <f>IF(OR($M1216="",$T1216=""),"",$T1216+(AB$2*$M1216))</f>
        <v/>
      </c>
      <c r="AC1216" s="48">
        <f>IF(OR($M1216="",$T1216=""),"",$T1216+(AC$2*$M1216))</f>
        <v/>
      </c>
      <c r="AD1216" s="48">
        <f>IF(OR($M1216="",$T1216=""),"",$T1216+(AD$2*$M1216))</f>
        <v/>
      </c>
      <c r="AE1216" s="49">
        <f>IF(OR($M1216="",$T1216=""),"",$T1216+(AE$2*$M1216))</f>
        <v/>
      </c>
      <c r="AF1216" s="52">
        <f>IF(OR(T1216="",I1216&lt;T1216),"",IFERROR(AVERAGE(T1216+M1216*{7,8,9,10,11})/IF(G1216="",I1216,G1216)-1,""))</f>
        <v/>
      </c>
      <c r="AG1216" s="55">
        <f>IF(OR(T1216="",I1216&lt;T1216),"",IFERROR(AF1216/-(R1216/IF(G1216="",I1216,G1216)-1),""))</f>
        <v/>
      </c>
      <c r="AH1216" s="94" t="n"/>
      <c r="AI1216" s="94" t="n"/>
      <c r="AJ1216" s="94" t="n"/>
      <c r="AK1216" s="94" t="n"/>
      <c r="AL1216" s="84" t="n"/>
    </row>
    <row r="1217">
      <c r="A1217" s="64" t="n"/>
      <c r="B1217" s="65" t="n"/>
      <c r="C1217" s="66" t="n"/>
      <c r="D1217" s="67" t="n"/>
      <c r="E1217" s="68" t="n"/>
      <c r="F1217" s="47">
        <f>IF(A1217="","",IF(MIN(H1217,MAX(J1217:K1217))=0,"",MIN(H1217,MAX(J1217:K1217))))</f>
        <v/>
      </c>
      <c r="G1217" s="74" t="n"/>
      <c r="H1217" s="49">
        <f>IF(M1217="","",IFERROR(ROUND(AVERAGE(T1217+M1217*{7,8,9,10,11})/1.21,4),""))</f>
        <v/>
      </c>
      <c r="I1217" s="76" t="n"/>
      <c r="J1217" s="77" t="n"/>
      <c r="K1217" s="74" t="n"/>
      <c r="L1217" s="78" t="n"/>
      <c r="M1217" s="77" t="n"/>
      <c r="N1217" s="53">
        <f>IF(M1217="","",IFERROR(M1217/I1217,""))</f>
        <v/>
      </c>
      <c r="O1217" s="50">
        <f>IF(A1217="","",IFERROR((IF(G1217="",I1217,G1217)-T1217)/M1217,""))</f>
        <v/>
      </c>
      <c r="P1217" s="50">
        <f>IFERROR((I1217/T1217-1)/N1217,"")</f>
        <v/>
      </c>
      <c r="Q1217" s="46">
        <f>IF(OR(T1217="",I1217&lt;T1217),"",IFERROR(R1217/IF(G1217="",I1217,G1217)-1,""))</f>
        <v/>
      </c>
      <c r="R1217" s="48">
        <f>IF($M1217="","",MAX(IF($G1217="",$I1217,$G1217)*(1/1.1),IF($G1217="",$I1217,$G1217)+(R$2*$M1217)))</f>
        <v/>
      </c>
      <c r="S1217" s="49">
        <f>IF($M1217="","",MAX(IF($G1217="",$I1217,$G1217)*(1/1.1),IF($G1217="",$I1217,$G1217)+(S$2*$M1217)))</f>
        <v/>
      </c>
      <c r="T1217" s="82" t="n"/>
      <c r="U1217" s="47">
        <f>IF(OR($M1217="",$T1217=""),"",$T1217+(U$2*$M1217))</f>
        <v/>
      </c>
      <c r="V1217" s="48">
        <f>IF(OR($M1217="",$T1217=""),"",$T1217+(V$2*$M1217))</f>
        <v/>
      </c>
      <c r="W1217" s="48">
        <f>IF(OR($M1217="",$T1217=""),"",$T1217+(W$2*$M1217))</f>
        <v/>
      </c>
      <c r="X1217" s="49">
        <f>IF(OR($M1217="",$T1217=""),"",$T1217+(X$2*$M1217))</f>
        <v/>
      </c>
      <c r="Y1217" s="47">
        <f>IF(OR($M1217="",$T1217=""),"",$T1217+(Y$2*$M1217))</f>
        <v/>
      </c>
      <c r="Z1217" s="49">
        <f>IF(OR($M1217="",$T1217=""),"",$T1217+(Z$2*$M1217))</f>
        <v/>
      </c>
      <c r="AA1217" s="51">
        <f>IF(OR($M1217="",$T1217=""),"",$T1217+(AA$2*$M1217))</f>
        <v/>
      </c>
      <c r="AB1217" s="48">
        <f>IF(OR($M1217="",$T1217=""),"",$T1217+(AB$2*$M1217))</f>
        <v/>
      </c>
      <c r="AC1217" s="48">
        <f>IF(OR($M1217="",$T1217=""),"",$T1217+(AC$2*$M1217))</f>
        <v/>
      </c>
      <c r="AD1217" s="48">
        <f>IF(OR($M1217="",$T1217=""),"",$T1217+(AD$2*$M1217))</f>
        <v/>
      </c>
      <c r="AE1217" s="49">
        <f>IF(OR($M1217="",$T1217=""),"",$T1217+(AE$2*$M1217))</f>
        <v/>
      </c>
      <c r="AF1217" s="52">
        <f>IF(OR(T1217="",I1217&lt;T1217),"",IFERROR(AVERAGE(T1217+M1217*{7,8,9,10,11})/IF(G1217="",I1217,G1217)-1,""))</f>
        <v/>
      </c>
      <c r="AG1217" s="55">
        <f>IF(OR(T1217="",I1217&lt;T1217),"",IFERROR(AF1217/-(R1217/IF(G1217="",I1217,G1217)-1),""))</f>
        <v/>
      </c>
      <c r="AH1217" s="94" t="n"/>
      <c r="AI1217" s="94" t="n"/>
      <c r="AJ1217" s="94" t="n"/>
      <c r="AK1217" s="94" t="n"/>
      <c r="AL1217" s="84" t="n"/>
    </row>
    <row r="1218">
      <c r="A1218" s="64" t="n"/>
      <c r="B1218" s="65" t="n"/>
      <c r="C1218" s="66" t="n"/>
      <c r="D1218" s="67" t="n"/>
      <c r="E1218" s="68" t="n"/>
      <c r="F1218" s="47">
        <f>IF(A1218="","",IF(MIN(H1218,MAX(J1218:K1218))=0,"",MIN(H1218,MAX(J1218:K1218))))</f>
        <v/>
      </c>
      <c r="G1218" s="74" t="n"/>
      <c r="H1218" s="49">
        <f>IF(M1218="","",IFERROR(ROUND(AVERAGE(T1218+M1218*{7,8,9,10,11})/1.21,4),""))</f>
        <v/>
      </c>
      <c r="I1218" s="76" t="n"/>
      <c r="J1218" s="77" t="n"/>
      <c r="K1218" s="74" t="n"/>
      <c r="L1218" s="78" t="n"/>
      <c r="M1218" s="77" t="n"/>
      <c r="N1218" s="53">
        <f>IF(M1218="","",IFERROR(M1218/I1218,""))</f>
        <v/>
      </c>
      <c r="O1218" s="50">
        <f>IF(A1218="","",IFERROR((IF(G1218="",I1218,G1218)-T1218)/M1218,""))</f>
        <v/>
      </c>
      <c r="P1218" s="50">
        <f>IFERROR((I1218/T1218-1)/N1218,"")</f>
        <v/>
      </c>
      <c r="Q1218" s="46">
        <f>IF(OR(T1218="",I1218&lt;T1218),"",IFERROR(R1218/IF(G1218="",I1218,G1218)-1,""))</f>
        <v/>
      </c>
      <c r="R1218" s="48">
        <f>IF($M1218="","",MAX(IF($G1218="",$I1218,$G1218)*(1/1.1),IF($G1218="",$I1218,$G1218)+(R$2*$M1218)))</f>
        <v/>
      </c>
      <c r="S1218" s="49">
        <f>IF($M1218="","",MAX(IF($G1218="",$I1218,$G1218)*(1/1.1),IF($G1218="",$I1218,$G1218)+(S$2*$M1218)))</f>
        <v/>
      </c>
      <c r="T1218" s="82" t="n"/>
      <c r="U1218" s="47">
        <f>IF(OR($M1218="",$T1218=""),"",$T1218+(U$2*$M1218))</f>
        <v/>
      </c>
      <c r="V1218" s="48">
        <f>IF(OR($M1218="",$T1218=""),"",$T1218+(V$2*$M1218))</f>
        <v/>
      </c>
      <c r="W1218" s="48">
        <f>IF(OR($M1218="",$T1218=""),"",$T1218+(W$2*$M1218))</f>
        <v/>
      </c>
      <c r="X1218" s="49">
        <f>IF(OR($M1218="",$T1218=""),"",$T1218+(X$2*$M1218))</f>
        <v/>
      </c>
      <c r="Y1218" s="47">
        <f>IF(OR($M1218="",$T1218=""),"",$T1218+(Y$2*$M1218))</f>
        <v/>
      </c>
      <c r="Z1218" s="49">
        <f>IF(OR($M1218="",$T1218=""),"",$T1218+(Z$2*$M1218))</f>
        <v/>
      </c>
      <c r="AA1218" s="51">
        <f>IF(OR($M1218="",$T1218=""),"",$T1218+(AA$2*$M1218))</f>
        <v/>
      </c>
      <c r="AB1218" s="48">
        <f>IF(OR($M1218="",$T1218=""),"",$T1218+(AB$2*$M1218))</f>
        <v/>
      </c>
      <c r="AC1218" s="48">
        <f>IF(OR($M1218="",$T1218=""),"",$T1218+(AC$2*$M1218))</f>
        <v/>
      </c>
      <c r="AD1218" s="48">
        <f>IF(OR($M1218="",$T1218=""),"",$T1218+(AD$2*$M1218))</f>
        <v/>
      </c>
      <c r="AE1218" s="49">
        <f>IF(OR($M1218="",$T1218=""),"",$T1218+(AE$2*$M1218))</f>
        <v/>
      </c>
      <c r="AF1218" s="52">
        <f>IF(OR(T1218="",I1218&lt;T1218),"",IFERROR(AVERAGE(T1218+M1218*{7,8,9,10,11})/IF(G1218="",I1218,G1218)-1,""))</f>
        <v/>
      </c>
      <c r="AG1218" s="55">
        <f>IF(OR(T1218="",I1218&lt;T1218),"",IFERROR(AF1218/-(R1218/IF(G1218="",I1218,G1218)-1),""))</f>
        <v/>
      </c>
      <c r="AH1218" s="94" t="n"/>
      <c r="AI1218" s="94" t="n"/>
      <c r="AJ1218" s="94" t="n"/>
      <c r="AK1218" s="94" t="n"/>
      <c r="AL1218" s="84" t="n"/>
    </row>
    <row r="1219">
      <c r="A1219" s="64" t="n"/>
      <c r="B1219" s="65" t="n"/>
      <c r="C1219" s="66" t="n"/>
      <c r="D1219" s="67" t="n"/>
      <c r="E1219" s="68" t="n"/>
      <c r="F1219" s="47">
        <f>IF(A1219="","",IF(MIN(H1219,MAX(J1219:K1219))=0,"",MIN(H1219,MAX(J1219:K1219))))</f>
        <v/>
      </c>
      <c r="G1219" s="74" t="n"/>
      <c r="H1219" s="49">
        <f>IF(M1219="","",IFERROR(ROUND(AVERAGE(T1219+M1219*{7,8,9,10,11})/1.21,4),""))</f>
        <v/>
      </c>
      <c r="I1219" s="76" t="n"/>
      <c r="J1219" s="77" t="n"/>
      <c r="K1219" s="74" t="n"/>
      <c r="L1219" s="78" t="n"/>
      <c r="M1219" s="77" t="n"/>
      <c r="N1219" s="53">
        <f>IF(M1219="","",IFERROR(M1219/I1219,""))</f>
        <v/>
      </c>
      <c r="O1219" s="50">
        <f>IF(A1219="","",IFERROR((IF(G1219="",I1219,G1219)-T1219)/M1219,""))</f>
        <v/>
      </c>
      <c r="P1219" s="50">
        <f>IFERROR((I1219/T1219-1)/N1219,"")</f>
        <v/>
      </c>
      <c r="Q1219" s="46">
        <f>IF(OR(T1219="",I1219&lt;T1219),"",IFERROR(R1219/IF(G1219="",I1219,G1219)-1,""))</f>
        <v/>
      </c>
      <c r="R1219" s="48">
        <f>IF($M1219="","",MAX(IF($G1219="",$I1219,$G1219)*(1/1.1),IF($G1219="",$I1219,$G1219)+(R$2*$M1219)))</f>
        <v/>
      </c>
      <c r="S1219" s="49">
        <f>IF($M1219="","",MAX(IF($G1219="",$I1219,$G1219)*(1/1.1),IF($G1219="",$I1219,$G1219)+(S$2*$M1219)))</f>
        <v/>
      </c>
      <c r="T1219" s="82" t="n"/>
      <c r="U1219" s="47">
        <f>IF(OR($M1219="",$T1219=""),"",$T1219+(U$2*$M1219))</f>
        <v/>
      </c>
      <c r="V1219" s="48">
        <f>IF(OR($M1219="",$T1219=""),"",$T1219+(V$2*$M1219))</f>
        <v/>
      </c>
      <c r="W1219" s="48">
        <f>IF(OR($M1219="",$T1219=""),"",$T1219+(W$2*$M1219))</f>
        <v/>
      </c>
      <c r="X1219" s="49">
        <f>IF(OR($M1219="",$T1219=""),"",$T1219+(X$2*$M1219))</f>
        <v/>
      </c>
      <c r="Y1219" s="47">
        <f>IF(OR($M1219="",$T1219=""),"",$T1219+(Y$2*$M1219))</f>
        <v/>
      </c>
      <c r="Z1219" s="49">
        <f>IF(OR($M1219="",$T1219=""),"",$T1219+(Z$2*$M1219))</f>
        <v/>
      </c>
      <c r="AA1219" s="51">
        <f>IF(OR($M1219="",$T1219=""),"",$T1219+(AA$2*$M1219))</f>
        <v/>
      </c>
      <c r="AB1219" s="48">
        <f>IF(OR($M1219="",$T1219=""),"",$T1219+(AB$2*$M1219))</f>
        <v/>
      </c>
      <c r="AC1219" s="48">
        <f>IF(OR($M1219="",$T1219=""),"",$T1219+(AC$2*$M1219))</f>
        <v/>
      </c>
      <c r="AD1219" s="48">
        <f>IF(OR($M1219="",$T1219=""),"",$T1219+(AD$2*$M1219))</f>
        <v/>
      </c>
      <c r="AE1219" s="49">
        <f>IF(OR($M1219="",$T1219=""),"",$T1219+(AE$2*$M1219))</f>
        <v/>
      </c>
      <c r="AF1219" s="52">
        <f>IF(OR(T1219="",I1219&lt;T1219),"",IFERROR(AVERAGE(T1219+M1219*{7,8,9,10,11})/IF(G1219="",I1219,G1219)-1,""))</f>
        <v/>
      </c>
      <c r="AG1219" s="55">
        <f>IF(OR(T1219="",I1219&lt;T1219),"",IFERROR(AF1219/-(R1219/IF(G1219="",I1219,G1219)-1),""))</f>
        <v/>
      </c>
      <c r="AH1219" s="94" t="n"/>
      <c r="AI1219" s="94" t="n"/>
      <c r="AJ1219" s="94" t="n"/>
      <c r="AK1219" s="94" t="n"/>
      <c r="AL1219" s="84" t="n"/>
    </row>
    <row r="1220">
      <c r="A1220" s="64" t="n"/>
      <c r="B1220" s="65" t="n"/>
      <c r="C1220" s="66" t="n"/>
      <c r="D1220" s="67" t="n"/>
      <c r="E1220" s="68" t="n"/>
      <c r="F1220" s="47">
        <f>IF(A1220="","",IF(MIN(H1220,MAX(J1220:K1220))=0,"",MIN(H1220,MAX(J1220:K1220))))</f>
        <v/>
      </c>
      <c r="G1220" s="74" t="n"/>
      <c r="H1220" s="49">
        <f>IF(M1220="","",IFERROR(ROUND(AVERAGE(T1220+M1220*{7,8,9,10,11})/1.21,4),""))</f>
        <v/>
      </c>
      <c r="I1220" s="76" t="n"/>
      <c r="J1220" s="77" t="n"/>
      <c r="K1220" s="74" t="n"/>
      <c r="L1220" s="78" t="n"/>
      <c r="M1220" s="77" t="n"/>
      <c r="N1220" s="53">
        <f>IF(M1220="","",IFERROR(M1220/I1220,""))</f>
        <v/>
      </c>
      <c r="O1220" s="50">
        <f>IF(A1220="","",IFERROR((IF(G1220="",I1220,G1220)-T1220)/M1220,""))</f>
        <v/>
      </c>
      <c r="P1220" s="50">
        <f>IFERROR((I1220/T1220-1)/N1220,"")</f>
        <v/>
      </c>
      <c r="Q1220" s="46">
        <f>IF(OR(T1220="",I1220&lt;T1220),"",IFERROR(R1220/IF(G1220="",I1220,G1220)-1,""))</f>
        <v/>
      </c>
      <c r="R1220" s="48">
        <f>IF($M1220="","",MAX(IF($G1220="",$I1220,$G1220)*(1/1.1),IF($G1220="",$I1220,$G1220)+(R$2*$M1220)))</f>
        <v/>
      </c>
      <c r="S1220" s="49">
        <f>IF($M1220="","",MAX(IF($G1220="",$I1220,$G1220)*(1/1.1),IF($G1220="",$I1220,$G1220)+(S$2*$M1220)))</f>
        <v/>
      </c>
      <c r="T1220" s="82" t="n"/>
      <c r="U1220" s="47">
        <f>IF(OR($M1220="",$T1220=""),"",$T1220+(U$2*$M1220))</f>
        <v/>
      </c>
      <c r="V1220" s="48">
        <f>IF(OR($M1220="",$T1220=""),"",$T1220+(V$2*$M1220))</f>
        <v/>
      </c>
      <c r="W1220" s="48">
        <f>IF(OR($M1220="",$T1220=""),"",$T1220+(W$2*$M1220))</f>
        <v/>
      </c>
      <c r="X1220" s="49">
        <f>IF(OR($M1220="",$T1220=""),"",$T1220+(X$2*$M1220))</f>
        <v/>
      </c>
      <c r="Y1220" s="47">
        <f>IF(OR($M1220="",$T1220=""),"",$T1220+(Y$2*$M1220))</f>
        <v/>
      </c>
      <c r="Z1220" s="49">
        <f>IF(OR($M1220="",$T1220=""),"",$T1220+(Z$2*$M1220))</f>
        <v/>
      </c>
      <c r="AA1220" s="51">
        <f>IF(OR($M1220="",$T1220=""),"",$T1220+(AA$2*$M1220))</f>
        <v/>
      </c>
      <c r="AB1220" s="48">
        <f>IF(OR($M1220="",$T1220=""),"",$T1220+(AB$2*$M1220))</f>
        <v/>
      </c>
      <c r="AC1220" s="48">
        <f>IF(OR($M1220="",$T1220=""),"",$T1220+(AC$2*$M1220))</f>
        <v/>
      </c>
      <c r="AD1220" s="48">
        <f>IF(OR($M1220="",$T1220=""),"",$T1220+(AD$2*$M1220))</f>
        <v/>
      </c>
      <c r="AE1220" s="49">
        <f>IF(OR($M1220="",$T1220=""),"",$T1220+(AE$2*$M1220))</f>
        <v/>
      </c>
      <c r="AF1220" s="52">
        <f>IF(OR(T1220="",I1220&lt;T1220),"",IFERROR(AVERAGE(T1220+M1220*{7,8,9,10,11})/IF(G1220="",I1220,G1220)-1,""))</f>
        <v/>
      </c>
      <c r="AG1220" s="55">
        <f>IF(OR(T1220="",I1220&lt;T1220),"",IFERROR(AF1220/-(R1220/IF(G1220="",I1220,G1220)-1),""))</f>
        <v/>
      </c>
      <c r="AH1220" s="94" t="n"/>
      <c r="AI1220" s="94" t="n"/>
      <c r="AJ1220" s="94" t="n"/>
      <c r="AK1220" s="94" t="n"/>
      <c r="AL1220" s="84" t="n"/>
    </row>
    <row r="1221">
      <c r="A1221" s="64" t="n"/>
      <c r="B1221" s="65" t="n"/>
      <c r="C1221" s="66" t="n"/>
      <c r="D1221" s="67" t="n"/>
      <c r="E1221" s="68" t="n"/>
      <c r="F1221" s="47">
        <f>IF(A1221="","",IF(MIN(H1221,MAX(J1221:K1221))=0,"",MIN(H1221,MAX(J1221:K1221))))</f>
        <v/>
      </c>
      <c r="G1221" s="74" t="n"/>
      <c r="H1221" s="49">
        <f>IF(M1221="","",IFERROR(ROUND(AVERAGE(T1221+M1221*{7,8,9,10,11})/1.21,4),""))</f>
        <v/>
      </c>
      <c r="I1221" s="76" t="n"/>
      <c r="J1221" s="77" t="n"/>
      <c r="K1221" s="74" t="n"/>
      <c r="L1221" s="78" t="n"/>
      <c r="M1221" s="77" t="n"/>
      <c r="N1221" s="53">
        <f>IF(M1221="","",IFERROR(M1221/I1221,""))</f>
        <v/>
      </c>
      <c r="O1221" s="50">
        <f>IF(A1221="","",IFERROR((IF(G1221="",I1221,G1221)-T1221)/M1221,""))</f>
        <v/>
      </c>
      <c r="P1221" s="50">
        <f>IFERROR((I1221/T1221-1)/N1221,"")</f>
        <v/>
      </c>
      <c r="Q1221" s="46">
        <f>IF(OR(T1221="",I1221&lt;T1221),"",IFERROR(R1221/IF(G1221="",I1221,G1221)-1,""))</f>
        <v/>
      </c>
      <c r="R1221" s="48">
        <f>IF($M1221="","",MAX(IF($G1221="",$I1221,$G1221)*(1/1.1),IF($G1221="",$I1221,$G1221)+(R$2*$M1221)))</f>
        <v/>
      </c>
      <c r="S1221" s="49">
        <f>IF($M1221="","",MAX(IF($G1221="",$I1221,$G1221)*(1/1.1),IF($G1221="",$I1221,$G1221)+(S$2*$M1221)))</f>
        <v/>
      </c>
      <c r="T1221" s="82" t="n"/>
      <c r="U1221" s="47">
        <f>IF(OR($M1221="",$T1221=""),"",$T1221+(U$2*$M1221))</f>
        <v/>
      </c>
      <c r="V1221" s="48">
        <f>IF(OR($M1221="",$T1221=""),"",$T1221+(V$2*$M1221))</f>
        <v/>
      </c>
      <c r="W1221" s="48">
        <f>IF(OR($M1221="",$T1221=""),"",$T1221+(W$2*$M1221))</f>
        <v/>
      </c>
      <c r="X1221" s="49">
        <f>IF(OR($M1221="",$T1221=""),"",$T1221+(X$2*$M1221))</f>
        <v/>
      </c>
      <c r="Y1221" s="47">
        <f>IF(OR($M1221="",$T1221=""),"",$T1221+(Y$2*$M1221))</f>
        <v/>
      </c>
      <c r="Z1221" s="49">
        <f>IF(OR($M1221="",$T1221=""),"",$T1221+(Z$2*$M1221))</f>
        <v/>
      </c>
      <c r="AA1221" s="51">
        <f>IF(OR($M1221="",$T1221=""),"",$T1221+(AA$2*$M1221))</f>
        <v/>
      </c>
      <c r="AB1221" s="48">
        <f>IF(OR($M1221="",$T1221=""),"",$T1221+(AB$2*$M1221))</f>
        <v/>
      </c>
      <c r="AC1221" s="48">
        <f>IF(OR($M1221="",$T1221=""),"",$T1221+(AC$2*$M1221))</f>
        <v/>
      </c>
      <c r="AD1221" s="48">
        <f>IF(OR($M1221="",$T1221=""),"",$T1221+(AD$2*$M1221))</f>
        <v/>
      </c>
      <c r="AE1221" s="49">
        <f>IF(OR($M1221="",$T1221=""),"",$T1221+(AE$2*$M1221))</f>
        <v/>
      </c>
      <c r="AF1221" s="52">
        <f>IF(OR(T1221="",I1221&lt;T1221),"",IFERROR(AVERAGE(T1221+M1221*{7,8,9,10,11})/IF(G1221="",I1221,G1221)-1,""))</f>
        <v/>
      </c>
      <c r="AG1221" s="55">
        <f>IF(OR(T1221="",I1221&lt;T1221),"",IFERROR(AF1221/-(R1221/IF(G1221="",I1221,G1221)-1),""))</f>
        <v/>
      </c>
      <c r="AH1221" s="94" t="n"/>
      <c r="AI1221" s="94" t="n"/>
      <c r="AJ1221" s="94" t="n"/>
      <c r="AK1221" s="94" t="n"/>
      <c r="AL1221" s="84" t="n"/>
    </row>
    <row r="1222">
      <c r="A1222" s="64" t="n"/>
      <c r="B1222" s="65" t="n"/>
      <c r="C1222" s="66" t="n"/>
      <c r="D1222" s="67" t="n"/>
      <c r="E1222" s="68" t="n"/>
      <c r="F1222" s="47">
        <f>IF(A1222="","",IF(MIN(H1222,MAX(J1222:K1222))=0,"",MIN(H1222,MAX(J1222:K1222))))</f>
        <v/>
      </c>
      <c r="G1222" s="74" t="n"/>
      <c r="H1222" s="49">
        <f>IF(M1222="","",IFERROR(ROUND(AVERAGE(T1222+M1222*{7,8,9,10,11})/1.21,4),""))</f>
        <v/>
      </c>
      <c r="I1222" s="76" t="n"/>
      <c r="J1222" s="77" t="n"/>
      <c r="K1222" s="74" t="n"/>
      <c r="L1222" s="78" t="n"/>
      <c r="M1222" s="77" t="n"/>
      <c r="N1222" s="53">
        <f>IF(M1222="","",IFERROR(M1222/I1222,""))</f>
        <v/>
      </c>
      <c r="O1222" s="50">
        <f>IF(A1222="","",IFERROR((IF(G1222="",I1222,G1222)-T1222)/M1222,""))</f>
        <v/>
      </c>
      <c r="P1222" s="50">
        <f>IFERROR((I1222/T1222-1)/N1222,"")</f>
        <v/>
      </c>
      <c r="Q1222" s="46">
        <f>IF(OR(T1222="",I1222&lt;T1222),"",IFERROR(R1222/IF(G1222="",I1222,G1222)-1,""))</f>
        <v/>
      </c>
      <c r="R1222" s="48">
        <f>IF($M1222="","",MAX(IF($G1222="",$I1222,$G1222)*(1/1.1),IF($G1222="",$I1222,$G1222)+(R$2*$M1222)))</f>
        <v/>
      </c>
      <c r="S1222" s="49">
        <f>IF($M1222="","",MAX(IF($G1222="",$I1222,$G1222)*(1/1.1),IF($G1222="",$I1222,$G1222)+(S$2*$M1222)))</f>
        <v/>
      </c>
      <c r="T1222" s="82" t="n"/>
      <c r="U1222" s="47">
        <f>IF(OR($M1222="",$T1222=""),"",$T1222+(U$2*$M1222))</f>
        <v/>
      </c>
      <c r="V1222" s="48">
        <f>IF(OR($M1222="",$T1222=""),"",$T1222+(V$2*$M1222))</f>
        <v/>
      </c>
      <c r="W1222" s="48">
        <f>IF(OR($M1222="",$T1222=""),"",$T1222+(W$2*$M1222))</f>
        <v/>
      </c>
      <c r="X1222" s="49">
        <f>IF(OR($M1222="",$T1222=""),"",$T1222+(X$2*$M1222))</f>
        <v/>
      </c>
      <c r="Y1222" s="47">
        <f>IF(OR($M1222="",$T1222=""),"",$T1222+(Y$2*$M1222))</f>
        <v/>
      </c>
      <c r="Z1222" s="49">
        <f>IF(OR($M1222="",$T1222=""),"",$T1222+(Z$2*$M1222))</f>
        <v/>
      </c>
      <c r="AA1222" s="51">
        <f>IF(OR($M1222="",$T1222=""),"",$T1222+(AA$2*$M1222))</f>
        <v/>
      </c>
      <c r="AB1222" s="48">
        <f>IF(OR($M1222="",$T1222=""),"",$T1222+(AB$2*$M1222))</f>
        <v/>
      </c>
      <c r="AC1222" s="48">
        <f>IF(OR($M1222="",$T1222=""),"",$T1222+(AC$2*$M1222))</f>
        <v/>
      </c>
      <c r="AD1222" s="48">
        <f>IF(OR($M1222="",$T1222=""),"",$T1222+(AD$2*$M1222))</f>
        <v/>
      </c>
      <c r="AE1222" s="49">
        <f>IF(OR($M1222="",$T1222=""),"",$T1222+(AE$2*$M1222))</f>
        <v/>
      </c>
      <c r="AF1222" s="52">
        <f>IF(OR(T1222="",I1222&lt;T1222),"",IFERROR(AVERAGE(T1222+M1222*{7,8,9,10,11})/IF(G1222="",I1222,G1222)-1,""))</f>
        <v/>
      </c>
      <c r="AG1222" s="55">
        <f>IF(OR(T1222="",I1222&lt;T1222),"",IFERROR(AF1222/-(R1222/IF(G1222="",I1222,G1222)-1),""))</f>
        <v/>
      </c>
      <c r="AH1222" s="94" t="n"/>
      <c r="AI1222" s="94" t="n"/>
      <c r="AJ1222" s="94" t="n"/>
      <c r="AK1222" s="94" t="n"/>
      <c r="AL1222" s="84" t="n"/>
    </row>
    <row r="1223">
      <c r="A1223" s="64" t="n"/>
      <c r="B1223" s="65" t="n"/>
      <c r="C1223" s="66" t="n"/>
      <c r="D1223" s="67" t="n"/>
      <c r="E1223" s="68" t="n"/>
      <c r="F1223" s="47">
        <f>IF(A1223="","",IF(MIN(H1223,MAX(J1223:K1223))=0,"",MIN(H1223,MAX(J1223:K1223))))</f>
        <v/>
      </c>
      <c r="G1223" s="74" t="n"/>
      <c r="H1223" s="49">
        <f>IF(M1223="","",IFERROR(ROUND(AVERAGE(T1223+M1223*{7,8,9,10,11})/1.21,4),""))</f>
        <v/>
      </c>
      <c r="I1223" s="76" t="n"/>
      <c r="J1223" s="77" t="n"/>
      <c r="K1223" s="74" t="n"/>
      <c r="L1223" s="78" t="n"/>
      <c r="M1223" s="77" t="n"/>
      <c r="N1223" s="53">
        <f>IF(M1223="","",IFERROR(M1223/I1223,""))</f>
        <v/>
      </c>
      <c r="O1223" s="50">
        <f>IF(A1223="","",IFERROR((IF(G1223="",I1223,G1223)-T1223)/M1223,""))</f>
        <v/>
      </c>
      <c r="P1223" s="50">
        <f>IFERROR((I1223/T1223-1)/N1223,"")</f>
        <v/>
      </c>
      <c r="Q1223" s="46">
        <f>IF(OR(T1223="",I1223&lt;T1223),"",IFERROR(R1223/IF(G1223="",I1223,G1223)-1,""))</f>
        <v/>
      </c>
      <c r="R1223" s="48">
        <f>IF($M1223="","",MAX(IF($G1223="",$I1223,$G1223)*(1/1.1),IF($G1223="",$I1223,$G1223)+(R$2*$M1223)))</f>
        <v/>
      </c>
      <c r="S1223" s="49">
        <f>IF($M1223="","",MAX(IF($G1223="",$I1223,$G1223)*(1/1.1),IF($G1223="",$I1223,$G1223)+(S$2*$M1223)))</f>
        <v/>
      </c>
      <c r="T1223" s="82" t="n"/>
      <c r="U1223" s="47">
        <f>IF(OR($M1223="",$T1223=""),"",$T1223+(U$2*$M1223))</f>
        <v/>
      </c>
      <c r="V1223" s="48">
        <f>IF(OR($M1223="",$T1223=""),"",$T1223+(V$2*$M1223))</f>
        <v/>
      </c>
      <c r="W1223" s="48">
        <f>IF(OR($M1223="",$T1223=""),"",$T1223+(W$2*$M1223))</f>
        <v/>
      </c>
      <c r="X1223" s="49">
        <f>IF(OR($M1223="",$T1223=""),"",$T1223+(X$2*$M1223))</f>
        <v/>
      </c>
      <c r="Y1223" s="47">
        <f>IF(OR($M1223="",$T1223=""),"",$T1223+(Y$2*$M1223))</f>
        <v/>
      </c>
      <c r="Z1223" s="49">
        <f>IF(OR($M1223="",$T1223=""),"",$T1223+(Z$2*$M1223))</f>
        <v/>
      </c>
      <c r="AA1223" s="51">
        <f>IF(OR($M1223="",$T1223=""),"",$T1223+(AA$2*$M1223))</f>
        <v/>
      </c>
      <c r="AB1223" s="48">
        <f>IF(OR($M1223="",$T1223=""),"",$T1223+(AB$2*$M1223))</f>
        <v/>
      </c>
      <c r="AC1223" s="48">
        <f>IF(OR($M1223="",$T1223=""),"",$T1223+(AC$2*$M1223))</f>
        <v/>
      </c>
      <c r="AD1223" s="48">
        <f>IF(OR($M1223="",$T1223=""),"",$T1223+(AD$2*$M1223))</f>
        <v/>
      </c>
      <c r="AE1223" s="49">
        <f>IF(OR($M1223="",$T1223=""),"",$T1223+(AE$2*$M1223))</f>
        <v/>
      </c>
      <c r="AF1223" s="52">
        <f>IF(OR(T1223="",I1223&lt;T1223),"",IFERROR(AVERAGE(T1223+M1223*{7,8,9,10,11})/IF(G1223="",I1223,G1223)-1,""))</f>
        <v/>
      </c>
      <c r="AG1223" s="55">
        <f>IF(OR(T1223="",I1223&lt;T1223),"",IFERROR(AF1223/-(R1223/IF(G1223="",I1223,G1223)-1),""))</f>
        <v/>
      </c>
      <c r="AH1223" s="94" t="n"/>
      <c r="AI1223" s="94" t="n"/>
      <c r="AJ1223" s="94" t="n"/>
      <c r="AK1223" s="94" t="n"/>
      <c r="AL1223" s="84" t="n"/>
    </row>
    <row r="1224">
      <c r="A1224" s="64" t="n"/>
      <c r="B1224" s="65" t="n"/>
      <c r="C1224" s="66" t="n"/>
      <c r="D1224" s="67" t="n"/>
      <c r="E1224" s="68" t="n"/>
      <c r="F1224" s="47">
        <f>IF(A1224="","",IF(MIN(H1224,MAX(J1224:K1224))=0,"",MIN(H1224,MAX(J1224:K1224))))</f>
        <v/>
      </c>
      <c r="G1224" s="74" t="n"/>
      <c r="H1224" s="49">
        <f>IF(M1224="","",IFERROR(ROUND(AVERAGE(T1224+M1224*{7,8,9,10,11})/1.21,4),""))</f>
        <v/>
      </c>
      <c r="I1224" s="76" t="n"/>
      <c r="J1224" s="77" t="n"/>
      <c r="K1224" s="74" t="n"/>
      <c r="L1224" s="78" t="n"/>
      <c r="M1224" s="77" t="n"/>
      <c r="N1224" s="53">
        <f>IF(M1224="","",IFERROR(M1224/I1224,""))</f>
        <v/>
      </c>
      <c r="O1224" s="50">
        <f>IF(A1224="","",IFERROR((IF(G1224="",I1224,G1224)-T1224)/M1224,""))</f>
        <v/>
      </c>
      <c r="P1224" s="50">
        <f>IFERROR((I1224/T1224-1)/N1224,"")</f>
        <v/>
      </c>
      <c r="Q1224" s="46">
        <f>IF(OR(T1224="",I1224&lt;T1224),"",IFERROR(R1224/IF(G1224="",I1224,G1224)-1,""))</f>
        <v/>
      </c>
      <c r="R1224" s="48">
        <f>IF($M1224="","",MAX(IF($G1224="",$I1224,$G1224)*(1/1.1),IF($G1224="",$I1224,$G1224)+(R$2*$M1224)))</f>
        <v/>
      </c>
      <c r="S1224" s="49">
        <f>IF($M1224="","",MAX(IF($G1224="",$I1224,$G1224)*(1/1.1),IF($G1224="",$I1224,$G1224)+(S$2*$M1224)))</f>
        <v/>
      </c>
      <c r="T1224" s="82" t="n"/>
      <c r="U1224" s="47">
        <f>IF(OR($M1224="",$T1224=""),"",$T1224+(U$2*$M1224))</f>
        <v/>
      </c>
      <c r="V1224" s="48">
        <f>IF(OR($M1224="",$T1224=""),"",$T1224+(V$2*$M1224))</f>
        <v/>
      </c>
      <c r="W1224" s="48">
        <f>IF(OR($M1224="",$T1224=""),"",$T1224+(W$2*$M1224))</f>
        <v/>
      </c>
      <c r="X1224" s="49">
        <f>IF(OR($M1224="",$T1224=""),"",$T1224+(X$2*$M1224))</f>
        <v/>
      </c>
      <c r="Y1224" s="47">
        <f>IF(OR($M1224="",$T1224=""),"",$T1224+(Y$2*$M1224))</f>
        <v/>
      </c>
      <c r="Z1224" s="49">
        <f>IF(OR($M1224="",$T1224=""),"",$T1224+(Z$2*$M1224))</f>
        <v/>
      </c>
      <c r="AA1224" s="51">
        <f>IF(OR($M1224="",$T1224=""),"",$T1224+(AA$2*$M1224))</f>
        <v/>
      </c>
      <c r="AB1224" s="48">
        <f>IF(OR($M1224="",$T1224=""),"",$T1224+(AB$2*$M1224))</f>
        <v/>
      </c>
      <c r="AC1224" s="48">
        <f>IF(OR($M1224="",$T1224=""),"",$T1224+(AC$2*$M1224))</f>
        <v/>
      </c>
      <c r="AD1224" s="48">
        <f>IF(OR($M1224="",$T1224=""),"",$T1224+(AD$2*$M1224))</f>
        <v/>
      </c>
      <c r="AE1224" s="49">
        <f>IF(OR($M1224="",$T1224=""),"",$T1224+(AE$2*$M1224))</f>
        <v/>
      </c>
      <c r="AF1224" s="52">
        <f>IF(OR(T1224="",I1224&lt;T1224),"",IFERROR(AVERAGE(T1224+M1224*{7,8,9,10,11})/IF(G1224="",I1224,G1224)-1,""))</f>
        <v/>
      </c>
      <c r="AG1224" s="55">
        <f>IF(OR(T1224="",I1224&lt;T1224),"",IFERROR(AF1224/-(R1224/IF(G1224="",I1224,G1224)-1),""))</f>
        <v/>
      </c>
      <c r="AH1224" s="94" t="n"/>
      <c r="AI1224" s="94" t="n"/>
      <c r="AJ1224" s="94" t="n"/>
      <c r="AK1224" s="94" t="n"/>
      <c r="AL1224" s="84" t="n"/>
    </row>
    <row r="1225">
      <c r="A1225" s="64" t="n"/>
      <c r="B1225" s="65" t="n"/>
      <c r="C1225" s="66" t="n"/>
      <c r="D1225" s="67" t="n"/>
      <c r="E1225" s="68" t="n"/>
      <c r="F1225" s="47">
        <f>IF(A1225="","",IF(MIN(H1225,MAX(J1225:K1225))=0,"",MIN(H1225,MAX(J1225:K1225))))</f>
        <v/>
      </c>
      <c r="G1225" s="74" t="n"/>
      <c r="H1225" s="49">
        <f>IF(M1225="","",IFERROR(ROUND(AVERAGE(T1225+M1225*{7,8,9,10,11})/1.21,4),""))</f>
        <v/>
      </c>
      <c r="I1225" s="76" t="n"/>
      <c r="J1225" s="77" t="n"/>
      <c r="K1225" s="74" t="n"/>
      <c r="L1225" s="78" t="n"/>
      <c r="M1225" s="77" t="n"/>
      <c r="N1225" s="53">
        <f>IF(M1225="","",IFERROR(M1225/I1225,""))</f>
        <v/>
      </c>
      <c r="O1225" s="50">
        <f>IF(A1225="","",IFERROR((IF(G1225="",I1225,G1225)-T1225)/M1225,""))</f>
        <v/>
      </c>
      <c r="P1225" s="50">
        <f>IFERROR((I1225/T1225-1)/N1225,"")</f>
        <v/>
      </c>
      <c r="Q1225" s="46">
        <f>IF(OR(T1225="",I1225&lt;T1225),"",IFERROR(R1225/IF(G1225="",I1225,G1225)-1,""))</f>
        <v/>
      </c>
      <c r="R1225" s="48">
        <f>IF($M1225="","",MAX(IF($G1225="",$I1225,$G1225)*(1/1.1),IF($G1225="",$I1225,$G1225)+(R$2*$M1225)))</f>
        <v/>
      </c>
      <c r="S1225" s="49">
        <f>IF($M1225="","",MAX(IF($G1225="",$I1225,$G1225)*(1/1.1),IF($G1225="",$I1225,$G1225)+(S$2*$M1225)))</f>
        <v/>
      </c>
      <c r="T1225" s="82" t="n"/>
      <c r="U1225" s="47">
        <f>IF(OR($M1225="",$T1225=""),"",$T1225+(U$2*$M1225))</f>
        <v/>
      </c>
      <c r="V1225" s="48">
        <f>IF(OR($M1225="",$T1225=""),"",$T1225+(V$2*$M1225))</f>
        <v/>
      </c>
      <c r="W1225" s="48">
        <f>IF(OR($M1225="",$T1225=""),"",$T1225+(W$2*$M1225))</f>
        <v/>
      </c>
      <c r="X1225" s="49">
        <f>IF(OR($M1225="",$T1225=""),"",$T1225+(X$2*$M1225))</f>
        <v/>
      </c>
      <c r="Y1225" s="47">
        <f>IF(OR($M1225="",$T1225=""),"",$T1225+(Y$2*$M1225))</f>
        <v/>
      </c>
      <c r="Z1225" s="49">
        <f>IF(OR($M1225="",$T1225=""),"",$T1225+(Z$2*$M1225))</f>
        <v/>
      </c>
      <c r="AA1225" s="51">
        <f>IF(OR($M1225="",$T1225=""),"",$T1225+(AA$2*$M1225))</f>
        <v/>
      </c>
      <c r="AB1225" s="48">
        <f>IF(OR($M1225="",$T1225=""),"",$T1225+(AB$2*$M1225))</f>
        <v/>
      </c>
      <c r="AC1225" s="48">
        <f>IF(OR($M1225="",$T1225=""),"",$T1225+(AC$2*$M1225))</f>
        <v/>
      </c>
      <c r="AD1225" s="48">
        <f>IF(OR($M1225="",$T1225=""),"",$T1225+(AD$2*$M1225))</f>
        <v/>
      </c>
      <c r="AE1225" s="49">
        <f>IF(OR($M1225="",$T1225=""),"",$T1225+(AE$2*$M1225))</f>
        <v/>
      </c>
      <c r="AF1225" s="52">
        <f>IF(OR(T1225="",I1225&lt;T1225),"",IFERROR(AVERAGE(T1225+M1225*{7,8,9,10,11})/IF(G1225="",I1225,G1225)-1,""))</f>
        <v/>
      </c>
      <c r="AG1225" s="55">
        <f>IF(OR(T1225="",I1225&lt;T1225),"",IFERROR(AF1225/-(R1225/IF(G1225="",I1225,G1225)-1),""))</f>
        <v/>
      </c>
      <c r="AH1225" s="94" t="n"/>
      <c r="AI1225" s="94" t="n"/>
      <c r="AJ1225" s="94" t="n"/>
      <c r="AK1225" s="94" t="n"/>
      <c r="AL1225" s="84" t="n"/>
    </row>
    <row r="1226">
      <c r="A1226" s="64" t="n"/>
      <c r="B1226" s="65" t="n"/>
      <c r="C1226" s="66" t="n"/>
      <c r="D1226" s="67" t="n"/>
      <c r="E1226" s="68" t="n"/>
      <c r="F1226" s="47">
        <f>IF(A1226="","",IF(MIN(H1226,MAX(J1226:K1226))=0,"",MIN(H1226,MAX(J1226:K1226))))</f>
        <v/>
      </c>
      <c r="G1226" s="74" t="n"/>
      <c r="H1226" s="49">
        <f>IF(M1226="","",IFERROR(ROUND(AVERAGE(T1226+M1226*{7,8,9,10,11})/1.21,4),""))</f>
        <v/>
      </c>
      <c r="I1226" s="76" t="n"/>
      <c r="J1226" s="77" t="n"/>
      <c r="K1226" s="74" t="n"/>
      <c r="L1226" s="78" t="n"/>
      <c r="M1226" s="77" t="n"/>
      <c r="N1226" s="53">
        <f>IF(M1226="","",IFERROR(M1226/I1226,""))</f>
        <v/>
      </c>
      <c r="O1226" s="50">
        <f>IF(A1226="","",IFERROR((IF(G1226="",I1226,G1226)-T1226)/M1226,""))</f>
        <v/>
      </c>
      <c r="P1226" s="50">
        <f>IFERROR((I1226/T1226-1)/N1226,"")</f>
        <v/>
      </c>
      <c r="Q1226" s="46">
        <f>IF(OR(T1226="",I1226&lt;T1226),"",IFERROR(R1226/IF(G1226="",I1226,G1226)-1,""))</f>
        <v/>
      </c>
      <c r="R1226" s="48">
        <f>IF($M1226="","",MAX(IF($G1226="",$I1226,$G1226)*(1/1.1),IF($G1226="",$I1226,$G1226)+(R$2*$M1226)))</f>
        <v/>
      </c>
      <c r="S1226" s="49">
        <f>IF($M1226="","",MAX(IF($G1226="",$I1226,$G1226)*(1/1.1),IF($G1226="",$I1226,$G1226)+(S$2*$M1226)))</f>
        <v/>
      </c>
      <c r="T1226" s="82" t="n"/>
      <c r="U1226" s="47">
        <f>IF(OR($M1226="",$T1226=""),"",$T1226+(U$2*$M1226))</f>
        <v/>
      </c>
      <c r="V1226" s="48">
        <f>IF(OR($M1226="",$T1226=""),"",$T1226+(V$2*$M1226))</f>
        <v/>
      </c>
      <c r="W1226" s="48">
        <f>IF(OR($M1226="",$T1226=""),"",$T1226+(W$2*$M1226))</f>
        <v/>
      </c>
      <c r="X1226" s="49">
        <f>IF(OR($M1226="",$T1226=""),"",$T1226+(X$2*$M1226))</f>
        <v/>
      </c>
      <c r="Y1226" s="47">
        <f>IF(OR($M1226="",$T1226=""),"",$T1226+(Y$2*$M1226))</f>
        <v/>
      </c>
      <c r="Z1226" s="49">
        <f>IF(OR($M1226="",$T1226=""),"",$T1226+(Z$2*$M1226))</f>
        <v/>
      </c>
      <c r="AA1226" s="51">
        <f>IF(OR($M1226="",$T1226=""),"",$T1226+(AA$2*$M1226))</f>
        <v/>
      </c>
      <c r="AB1226" s="48">
        <f>IF(OR($M1226="",$T1226=""),"",$T1226+(AB$2*$M1226))</f>
        <v/>
      </c>
      <c r="AC1226" s="48">
        <f>IF(OR($M1226="",$T1226=""),"",$T1226+(AC$2*$M1226))</f>
        <v/>
      </c>
      <c r="AD1226" s="48">
        <f>IF(OR($M1226="",$T1226=""),"",$T1226+(AD$2*$M1226))</f>
        <v/>
      </c>
      <c r="AE1226" s="49">
        <f>IF(OR($M1226="",$T1226=""),"",$T1226+(AE$2*$M1226))</f>
        <v/>
      </c>
      <c r="AF1226" s="52">
        <f>IF(OR(T1226="",I1226&lt;T1226),"",IFERROR(AVERAGE(T1226+M1226*{7,8,9,10,11})/IF(G1226="",I1226,G1226)-1,""))</f>
        <v/>
      </c>
      <c r="AG1226" s="55">
        <f>IF(OR(T1226="",I1226&lt;T1226),"",IFERROR(AF1226/-(R1226/IF(G1226="",I1226,G1226)-1),""))</f>
        <v/>
      </c>
      <c r="AH1226" s="94" t="n"/>
      <c r="AI1226" s="94" t="n"/>
      <c r="AJ1226" s="94" t="n"/>
      <c r="AK1226" s="94" t="n"/>
      <c r="AL1226" s="84" t="n"/>
    </row>
    <row r="1227">
      <c r="A1227" s="64" t="n"/>
      <c r="B1227" s="65" t="n"/>
      <c r="C1227" s="66" t="n"/>
      <c r="D1227" s="67" t="n"/>
      <c r="E1227" s="68" t="n"/>
      <c r="F1227" s="47">
        <f>IF(A1227="","",IF(MIN(H1227,MAX(J1227:K1227))=0,"",MIN(H1227,MAX(J1227:K1227))))</f>
        <v/>
      </c>
      <c r="G1227" s="74" t="n"/>
      <c r="H1227" s="49">
        <f>IF(M1227="","",IFERROR(ROUND(AVERAGE(T1227+M1227*{7,8,9,10,11})/1.21,4),""))</f>
        <v/>
      </c>
      <c r="I1227" s="76" t="n"/>
      <c r="J1227" s="77" t="n"/>
      <c r="K1227" s="74" t="n"/>
      <c r="L1227" s="78" t="n"/>
      <c r="M1227" s="77" t="n"/>
      <c r="N1227" s="53">
        <f>IF(M1227="","",IFERROR(M1227/I1227,""))</f>
        <v/>
      </c>
      <c r="O1227" s="50">
        <f>IF(A1227="","",IFERROR((IF(G1227="",I1227,G1227)-T1227)/M1227,""))</f>
        <v/>
      </c>
      <c r="P1227" s="50">
        <f>IFERROR((I1227/T1227-1)/N1227,"")</f>
        <v/>
      </c>
      <c r="Q1227" s="46">
        <f>IF(OR(T1227="",I1227&lt;T1227),"",IFERROR(R1227/IF(G1227="",I1227,G1227)-1,""))</f>
        <v/>
      </c>
      <c r="R1227" s="48">
        <f>IF($M1227="","",MAX(IF($G1227="",$I1227,$G1227)*(1/1.1),IF($G1227="",$I1227,$G1227)+(R$2*$M1227)))</f>
        <v/>
      </c>
      <c r="S1227" s="49">
        <f>IF($M1227="","",MAX(IF($G1227="",$I1227,$G1227)*(1/1.1),IF($G1227="",$I1227,$G1227)+(S$2*$M1227)))</f>
        <v/>
      </c>
      <c r="T1227" s="82" t="n"/>
      <c r="U1227" s="47">
        <f>IF(OR($M1227="",$T1227=""),"",$T1227+(U$2*$M1227))</f>
        <v/>
      </c>
      <c r="V1227" s="48">
        <f>IF(OR($M1227="",$T1227=""),"",$T1227+(V$2*$M1227))</f>
        <v/>
      </c>
      <c r="W1227" s="48">
        <f>IF(OR($M1227="",$T1227=""),"",$T1227+(W$2*$M1227))</f>
        <v/>
      </c>
      <c r="X1227" s="49">
        <f>IF(OR($M1227="",$T1227=""),"",$T1227+(X$2*$M1227))</f>
        <v/>
      </c>
      <c r="Y1227" s="47">
        <f>IF(OR($M1227="",$T1227=""),"",$T1227+(Y$2*$M1227))</f>
        <v/>
      </c>
      <c r="Z1227" s="49">
        <f>IF(OR($M1227="",$T1227=""),"",$T1227+(Z$2*$M1227))</f>
        <v/>
      </c>
      <c r="AA1227" s="51">
        <f>IF(OR($M1227="",$T1227=""),"",$T1227+(AA$2*$M1227))</f>
        <v/>
      </c>
      <c r="AB1227" s="48">
        <f>IF(OR($M1227="",$T1227=""),"",$T1227+(AB$2*$M1227))</f>
        <v/>
      </c>
      <c r="AC1227" s="48">
        <f>IF(OR($M1227="",$T1227=""),"",$T1227+(AC$2*$M1227))</f>
        <v/>
      </c>
      <c r="AD1227" s="48">
        <f>IF(OR($M1227="",$T1227=""),"",$T1227+(AD$2*$M1227))</f>
        <v/>
      </c>
      <c r="AE1227" s="49">
        <f>IF(OR($M1227="",$T1227=""),"",$T1227+(AE$2*$M1227))</f>
        <v/>
      </c>
      <c r="AF1227" s="52">
        <f>IF(OR(T1227="",I1227&lt;T1227),"",IFERROR(AVERAGE(T1227+M1227*{7,8,9,10,11})/IF(G1227="",I1227,G1227)-1,""))</f>
        <v/>
      </c>
      <c r="AG1227" s="55">
        <f>IF(OR(T1227="",I1227&lt;T1227),"",IFERROR(AF1227/-(R1227/IF(G1227="",I1227,G1227)-1),""))</f>
        <v/>
      </c>
      <c r="AH1227" s="94" t="n"/>
      <c r="AI1227" s="94" t="n"/>
      <c r="AJ1227" s="94" t="n"/>
      <c r="AK1227" s="94" t="n"/>
      <c r="AL1227" s="84" t="n"/>
    </row>
    <row r="1228">
      <c r="A1228" s="64" t="n"/>
      <c r="B1228" s="65" t="n"/>
      <c r="C1228" s="66" t="n"/>
      <c r="D1228" s="67" t="n"/>
      <c r="E1228" s="68" t="n"/>
      <c r="F1228" s="47">
        <f>IF(A1228="","",IF(MIN(H1228,MAX(J1228:K1228))=0,"",MIN(H1228,MAX(J1228:K1228))))</f>
        <v/>
      </c>
      <c r="G1228" s="74" t="n"/>
      <c r="H1228" s="49">
        <f>IF(M1228="","",IFERROR(ROUND(AVERAGE(T1228+M1228*{7,8,9,10,11})/1.21,4),""))</f>
        <v/>
      </c>
      <c r="I1228" s="76" t="n"/>
      <c r="J1228" s="77" t="n"/>
      <c r="K1228" s="74" t="n"/>
      <c r="L1228" s="78" t="n"/>
      <c r="M1228" s="77" t="n"/>
      <c r="N1228" s="53">
        <f>IF(M1228="","",IFERROR(M1228/I1228,""))</f>
        <v/>
      </c>
      <c r="O1228" s="50">
        <f>IF(A1228="","",IFERROR((IF(G1228="",I1228,G1228)-T1228)/M1228,""))</f>
        <v/>
      </c>
      <c r="P1228" s="50">
        <f>IFERROR((I1228/T1228-1)/N1228,"")</f>
        <v/>
      </c>
      <c r="Q1228" s="46">
        <f>IF(OR(T1228="",I1228&lt;T1228),"",IFERROR(R1228/IF(G1228="",I1228,G1228)-1,""))</f>
        <v/>
      </c>
      <c r="R1228" s="48">
        <f>IF($M1228="","",MAX(IF($G1228="",$I1228,$G1228)*(1/1.1),IF($G1228="",$I1228,$G1228)+(R$2*$M1228)))</f>
        <v/>
      </c>
      <c r="S1228" s="49">
        <f>IF($M1228="","",MAX(IF($G1228="",$I1228,$G1228)*(1/1.1),IF($G1228="",$I1228,$G1228)+(S$2*$M1228)))</f>
        <v/>
      </c>
      <c r="T1228" s="82" t="n"/>
      <c r="U1228" s="47">
        <f>IF(OR($M1228="",$T1228=""),"",$T1228+(U$2*$M1228))</f>
        <v/>
      </c>
      <c r="V1228" s="48">
        <f>IF(OR($M1228="",$T1228=""),"",$T1228+(V$2*$M1228))</f>
        <v/>
      </c>
      <c r="W1228" s="48">
        <f>IF(OR($M1228="",$T1228=""),"",$T1228+(W$2*$M1228))</f>
        <v/>
      </c>
      <c r="X1228" s="49">
        <f>IF(OR($M1228="",$T1228=""),"",$T1228+(X$2*$M1228))</f>
        <v/>
      </c>
      <c r="Y1228" s="47">
        <f>IF(OR($M1228="",$T1228=""),"",$T1228+(Y$2*$M1228))</f>
        <v/>
      </c>
      <c r="Z1228" s="49">
        <f>IF(OR($M1228="",$T1228=""),"",$T1228+(Z$2*$M1228))</f>
        <v/>
      </c>
      <c r="AA1228" s="51">
        <f>IF(OR($M1228="",$T1228=""),"",$T1228+(AA$2*$M1228))</f>
        <v/>
      </c>
      <c r="AB1228" s="48">
        <f>IF(OR($M1228="",$T1228=""),"",$T1228+(AB$2*$M1228))</f>
        <v/>
      </c>
      <c r="AC1228" s="48">
        <f>IF(OR($M1228="",$T1228=""),"",$T1228+(AC$2*$M1228))</f>
        <v/>
      </c>
      <c r="AD1228" s="48">
        <f>IF(OR($M1228="",$T1228=""),"",$T1228+(AD$2*$M1228))</f>
        <v/>
      </c>
      <c r="AE1228" s="49">
        <f>IF(OR($M1228="",$T1228=""),"",$T1228+(AE$2*$M1228))</f>
        <v/>
      </c>
      <c r="AF1228" s="52">
        <f>IF(OR(T1228="",I1228&lt;T1228),"",IFERROR(AVERAGE(T1228+M1228*{7,8,9,10,11})/IF(G1228="",I1228,G1228)-1,""))</f>
        <v/>
      </c>
      <c r="AG1228" s="55">
        <f>IF(OR(T1228="",I1228&lt;T1228),"",IFERROR(AF1228/-(R1228/IF(G1228="",I1228,G1228)-1),""))</f>
        <v/>
      </c>
      <c r="AH1228" s="94" t="n"/>
      <c r="AI1228" s="94" t="n"/>
      <c r="AJ1228" s="94" t="n"/>
      <c r="AK1228" s="94" t="n"/>
      <c r="AL1228" s="84" t="n"/>
    </row>
    <row r="1229">
      <c r="A1229" s="64" t="n"/>
      <c r="B1229" s="65" t="n"/>
      <c r="C1229" s="66" t="n"/>
      <c r="D1229" s="67" t="n"/>
      <c r="E1229" s="68" t="n"/>
      <c r="F1229" s="47">
        <f>IF(A1229="","",IF(MIN(H1229,MAX(J1229:K1229))=0,"",MIN(H1229,MAX(J1229:K1229))))</f>
        <v/>
      </c>
      <c r="G1229" s="74" t="n"/>
      <c r="H1229" s="49">
        <f>IF(M1229="","",IFERROR(ROUND(AVERAGE(T1229+M1229*{7,8,9,10,11})/1.21,4),""))</f>
        <v/>
      </c>
      <c r="I1229" s="76" t="n"/>
      <c r="J1229" s="77" t="n"/>
      <c r="K1229" s="74" t="n"/>
      <c r="L1229" s="78" t="n"/>
      <c r="M1229" s="77" t="n"/>
      <c r="N1229" s="53">
        <f>IF(M1229="","",IFERROR(M1229/I1229,""))</f>
        <v/>
      </c>
      <c r="O1229" s="50">
        <f>IF(A1229="","",IFERROR((IF(G1229="",I1229,G1229)-T1229)/M1229,""))</f>
        <v/>
      </c>
      <c r="P1229" s="50">
        <f>IFERROR((I1229/T1229-1)/N1229,"")</f>
        <v/>
      </c>
      <c r="Q1229" s="46">
        <f>IF(OR(T1229="",I1229&lt;T1229),"",IFERROR(R1229/IF(G1229="",I1229,G1229)-1,""))</f>
        <v/>
      </c>
      <c r="R1229" s="48">
        <f>IF($M1229="","",MAX(IF($G1229="",$I1229,$G1229)*(1/1.1),IF($G1229="",$I1229,$G1229)+(R$2*$M1229)))</f>
        <v/>
      </c>
      <c r="S1229" s="49">
        <f>IF($M1229="","",MAX(IF($G1229="",$I1229,$G1229)*(1/1.1),IF($G1229="",$I1229,$G1229)+(S$2*$M1229)))</f>
        <v/>
      </c>
      <c r="T1229" s="82" t="n"/>
      <c r="U1229" s="47">
        <f>IF(OR($M1229="",$T1229=""),"",$T1229+(U$2*$M1229))</f>
        <v/>
      </c>
      <c r="V1229" s="48">
        <f>IF(OR($M1229="",$T1229=""),"",$T1229+(V$2*$M1229))</f>
        <v/>
      </c>
      <c r="W1229" s="48">
        <f>IF(OR($M1229="",$T1229=""),"",$T1229+(W$2*$M1229))</f>
        <v/>
      </c>
      <c r="X1229" s="49">
        <f>IF(OR($M1229="",$T1229=""),"",$T1229+(X$2*$M1229))</f>
        <v/>
      </c>
      <c r="Y1229" s="47">
        <f>IF(OR($M1229="",$T1229=""),"",$T1229+(Y$2*$M1229))</f>
        <v/>
      </c>
      <c r="Z1229" s="49">
        <f>IF(OR($M1229="",$T1229=""),"",$T1229+(Z$2*$M1229))</f>
        <v/>
      </c>
      <c r="AA1229" s="51">
        <f>IF(OR($M1229="",$T1229=""),"",$T1229+(AA$2*$M1229))</f>
        <v/>
      </c>
      <c r="AB1229" s="48">
        <f>IF(OR($M1229="",$T1229=""),"",$T1229+(AB$2*$M1229))</f>
        <v/>
      </c>
      <c r="AC1229" s="48">
        <f>IF(OR($M1229="",$T1229=""),"",$T1229+(AC$2*$M1229))</f>
        <v/>
      </c>
      <c r="AD1229" s="48">
        <f>IF(OR($M1229="",$T1229=""),"",$T1229+(AD$2*$M1229))</f>
        <v/>
      </c>
      <c r="AE1229" s="49">
        <f>IF(OR($M1229="",$T1229=""),"",$T1229+(AE$2*$M1229))</f>
        <v/>
      </c>
      <c r="AF1229" s="52">
        <f>IF(OR(T1229="",I1229&lt;T1229),"",IFERROR(AVERAGE(T1229+M1229*{7,8,9,10,11})/IF(G1229="",I1229,G1229)-1,""))</f>
        <v/>
      </c>
      <c r="AG1229" s="55">
        <f>IF(OR(T1229="",I1229&lt;T1229),"",IFERROR(AF1229/-(R1229/IF(G1229="",I1229,G1229)-1),""))</f>
        <v/>
      </c>
      <c r="AH1229" s="94" t="n"/>
      <c r="AI1229" s="94" t="n"/>
      <c r="AJ1229" s="94" t="n"/>
      <c r="AK1229" s="94" t="n"/>
      <c r="AL1229" s="84" t="n"/>
    </row>
    <row r="1230">
      <c r="A1230" s="64" t="n"/>
      <c r="B1230" s="65" t="n"/>
      <c r="C1230" s="66" t="n"/>
      <c r="D1230" s="67" t="n"/>
      <c r="E1230" s="68" t="n"/>
      <c r="F1230" s="47">
        <f>IF(A1230="","",IF(MIN(H1230,MAX(J1230:K1230))=0,"",MIN(H1230,MAX(J1230:K1230))))</f>
        <v/>
      </c>
      <c r="G1230" s="74" t="n"/>
      <c r="H1230" s="49">
        <f>IF(M1230="","",IFERROR(ROUND(AVERAGE(T1230+M1230*{7,8,9,10,11})/1.21,4),""))</f>
        <v/>
      </c>
      <c r="I1230" s="76" t="n"/>
      <c r="J1230" s="77" t="n"/>
      <c r="K1230" s="74" t="n"/>
      <c r="L1230" s="78" t="n"/>
      <c r="M1230" s="77" t="n"/>
      <c r="N1230" s="53">
        <f>IF(M1230="","",IFERROR(M1230/I1230,""))</f>
        <v/>
      </c>
      <c r="O1230" s="50">
        <f>IF(A1230="","",IFERROR((IF(G1230="",I1230,G1230)-T1230)/M1230,""))</f>
        <v/>
      </c>
      <c r="P1230" s="50">
        <f>IFERROR((I1230/T1230-1)/N1230,"")</f>
        <v/>
      </c>
      <c r="Q1230" s="46">
        <f>IF(OR(T1230="",I1230&lt;T1230),"",IFERROR(R1230/IF(G1230="",I1230,G1230)-1,""))</f>
        <v/>
      </c>
      <c r="R1230" s="48">
        <f>IF($M1230="","",MAX(IF($G1230="",$I1230,$G1230)*(1/1.1),IF($G1230="",$I1230,$G1230)+(R$2*$M1230)))</f>
        <v/>
      </c>
      <c r="S1230" s="49">
        <f>IF($M1230="","",MAX(IF($G1230="",$I1230,$G1230)*(1/1.1),IF($G1230="",$I1230,$G1230)+(S$2*$M1230)))</f>
        <v/>
      </c>
      <c r="T1230" s="82" t="n"/>
      <c r="U1230" s="47">
        <f>IF(OR($M1230="",$T1230=""),"",$T1230+(U$2*$M1230))</f>
        <v/>
      </c>
      <c r="V1230" s="48">
        <f>IF(OR($M1230="",$T1230=""),"",$T1230+(V$2*$M1230))</f>
        <v/>
      </c>
      <c r="W1230" s="48">
        <f>IF(OR($M1230="",$T1230=""),"",$T1230+(W$2*$M1230))</f>
        <v/>
      </c>
      <c r="X1230" s="49">
        <f>IF(OR($M1230="",$T1230=""),"",$T1230+(X$2*$M1230))</f>
        <v/>
      </c>
      <c r="Y1230" s="47">
        <f>IF(OR($M1230="",$T1230=""),"",$T1230+(Y$2*$M1230))</f>
        <v/>
      </c>
      <c r="Z1230" s="49">
        <f>IF(OR($M1230="",$T1230=""),"",$T1230+(Z$2*$M1230))</f>
        <v/>
      </c>
      <c r="AA1230" s="51">
        <f>IF(OR($M1230="",$T1230=""),"",$T1230+(AA$2*$M1230))</f>
        <v/>
      </c>
      <c r="AB1230" s="48">
        <f>IF(OR($M1230="",$T1230=""),"",$T1230+(AB$2*$M1230))</f>
        <v/>
      </c>
      <c r="AC1230" s="48">
        <f>IF(OR($M1230="",$T1230=""),"",$T1230+(AC$2*$M1230))</f>
        <v/>
      </c>
      <c r="AD1230" s="48">
        <f>IF(OR($M1230="",$T1230=""),"",$T1230+(AD$2*$M1230))</f>
        <v/>
      </c>
      <c r="AE1230" s="49">
        <f>IF(OR($M1230="",$T1230=""),"",$T1230+(AE$2*$M1230))</f>
        <v/>
      </c>
      <c r="AF1230" s="52">
        <f>IF(OR(T1230="",I1230&lt;T1230),"",IFERROR(AVERAGE(T1230+M1230*{7,8,9,10,11})/IF(G1230="",I1230,G1230)-1,""))</f>
        <v/>
      </c>
      <c r="AG1230" s="55">
        <f>IF(OR(T1230="",I1230&lt;T1230),"",IFERROR(AF1230/-(R1230/IF(G1230="",I1230,G1230)-1),""))</f>
        <v/>
      </c>
      <c r="AH1230" s="94" t="n"/>
      <c r="AI1230" s="94" t="n"/>
      <c r="AJ1230" s="94" t="n"/>
      <c r="AK1230" s="94" t="n"/>
      <c r="AL1230" s="84" t="n"/>
    </row>
    <row r="1231">
      <c r="A1231" s="64" t="n"/>
      <c r="B1231" s="65" t="n"/>
      <c r="C1231" s="66" t="n"/>
      <c r="D1231" s="67" t="n"/>
      <c r="E1231" s="68" t="n"/>
      <c r="F1231" s="47">
        <f>IF(A1231="","",IF(MIN(H1231,MAX(J1231:K1231))=0,"",MIN(H1231,MAX(J1231:K1231))))</f>
        <v/>
      </c>
      <c r="G1231" s="74" t="n"/>
      <c r="H1231" s="49">
        <f>IF(M1231="","",IFERROR(ROUND(AVERAGE(T1231+M1231*{7,8,9,10,11})/1.21,4),""))</f>
        <v/>
      </c>
      <c r="I1231" s="76" t="n"/>
      <c r="J1231" s="77" t="n"/>
      <c r="K1231" s="74" t="n"/>
      <c r="L1231" s="78" t="n"/>
      <c r="M1231" s="77" t="n"/>
      <c r="N1231" s="53">
        <f>IF(M1231="","",IFERROR(M1231/I1231,""))</f>
        <v/>
      </c>
      <c r="O1231" s="50">
        <f>IF(A1231="","",IFERROR((IF(G1231="",I1231,G1231)-T1231)/M1231,""))</f>
        <v/>
      </c>
      <c r="P1231" s="50">
        <f>IFERROR((I1231/T1231-1)/N1231,"")</f>
        <v/>
      </c>
      <c r="Q1231" s="46">
        <f>IF(OR(T1231="",I1231&lt;T1231),"",IFERROR(R1231/IF(G1231="",I1231,G1231)-1,""))</f>
        <v/>
      </c>
      <c r="R1231" s="48">
        <f>IF($M1231="","",MAX(IF($G1231="",$I1231,$G1231)*(1/1.1),IF($G1231="",$I1231,$G1231)+(R$2*$M1231)))</f>
        <v/>
      </c>
      <c r="S1231" s="49">
        <f>IF($M1231="","",MAX(IF($G1231="",$I1231,$G1231)*(1/1.1),IF($G1231="",$I1231,$G1231)+(S$2*$M1231)))</f>
        <v/>
      </c>
      <c r="T1231" s="82" t="n"/>
      <c r="U1231" s="47">
        <f>IF(OR($M1231="",$T1231=""),"",$T1231+(U$2*$M1231))</f>
        <v/>
      </c>
      <c r="V1231" s="48">
        <f>IF(OR($M1231="",$T1231=""),"",$T1231+(V$2*$M1231))</f>
        <v/>
      </c>
      <c r="W1231" s="48">
        <f>IF(OR($M1231="",$T1231=""),"",$T1231+(W$2*$M1231))</f>
        <v/>
      </c>
      <c r="X1231" s="49">
        <f>IF(OR($M1231="",$T1231=""),"",$T1231+(X$2*$M1231))</f>
        <v/>
      </c>
      <c r="Y1231" s="47">
        <f>IF(OR($M1231="",$T1231=""),"",$T1231+(Y$2*$M1231))</f>
        <v/>
      </c>
      <c r="Z1231" s="49">
        <f>IF(OR($M1231="",$T1231=""),"",$T1231+(Z$2*$M1231))</f>
        <v/>
      </c>
      <c r="AA1231" s="51">
        <f>IF(OR($M1231="",$T1231=""),"",$T1231+(AA$2*$M1231))</f>
        <v/>
      </c>
      <c r="AB1231" s="48">
        <f>IF(OR($M1231="",$T1231=""),"",$T1231+(AB$2*$M1231))</f>
        <v/>
      </c>
      <c r="AC1231" s="48">
        <f>IF(OR($M1231="",$T1231=""),"",$T1231+(AC$2*$M1231))</f>
        <v/>
      </c>
      <c r="AD1231" s="48">
        <f>IF(OR($M1231="",$T1231=""),"",$T1231+(AD$2*$M1231))</f>
        <v/>
      </c>
      <c r="AE1231" s="49">
        <f>IF(OR($M1231="",$T1231=""),"",$T1231+(AE$2*$M1231))</f>
        <v/>
      </c>
      <c r="AF1231" s="52">
        <f>IF(OR(T1231="",I1231&lt;T1231),"",IFERROR(AVERAGE(T1231+M1231*{7,8,9,10,11})/IF(G1231="",I1231,G1231)-1,""))</f>
        <v/>
      </c>
      <c r="AG1231" s="55">
        <f>IF(OR(T1231="",I1231&lt;T1231),"",IFERROR(AF1231/-(R1231/IF(G1231="",I1231,G1231)-1),""))</f>
        <v/>
      </c>
      <c r="AH1231" s="94" t="n"/>
      <c r="AI1231" s="94" t="n"/>
      <c r="AJ1231" s="94" t="n"/>
      <c r="AK1231" s="94" t="n"/>
      <c r="AL1231" s="84" t="n"/>
    </row>
    <row r="1232">
      <c r="A1232" s="64" t="n"/>
      <c r="B1232" s="65" t="n"/>
      <c r="C1232" s="66" t="n"/>
      <c r="D1232" s="67" t="n"/>
      <c r="E1232" s="68" t="n"/>
      <c r="F1232" s="47">
        <f>IF(A1232="","",IF(MIN(H1232,MAX(J1232:K1232))=0,"",MIN(H1232,MAX(J1232:K1232))))</f>
        <v/>
      </c>
      <c r="G1232" s="74" t="n"/>
      <c r="H1232" s="49">
        <f>IF(M1232="","",IFERROR(ROUND(AVERAGE(T1232+M1232*{7,8,9,10,11})/1.21,4),""))</f>
        <v/>
      </c>
      <c r="I1232" s="76" t="n"/>
      <c r="J1232" s="77" t="n"/>
      <c r="K1232" s="74" t="n"/>
      <c r="L1232" s="78" t="n"/>
      <c r="M1232" s="77" t="n"/>
      <c r="N1232" s="53">
        <f>IF(M1232="","",IFERROR(M1232/I1232,""))</f>
        <v/>
      </c>
      <c r="O1232" s="50">
        <f>IF(A1232="","",IFERROR((IF(G1232="",I1232,G1232)-T1232)/M1232,""))</f>
        <v/>
      </c>
      <c r="P1232" s="50">
        <f>IFERROR((I1232/T1232-1)/N1232,"")</f>
        <v/>
      </c>
      <c r="Q1232" s="46">
        <f>IF(OR(T1232="",I1232&lt;T1232),"",IFERROR(R1232/IF(G1232="",I1232,G1232)-1,""))</f>
        <v/>
      </c>
      <c r="R1232" s="48">
        <f>IF($M1232="","",MAX(IF($G1232="",$I1232,$G1232)*(1/1.1),IF($G1232="",$I1232,$G1232)+(R$2*$M1232)))</f>
        <v/>
      </c>
      <c r="S1232" s="49">
        <f>IF($M1232="","",MAX(IF($G1232="",$I1232,$G1232)*(1/1.1),IF($G1232="",$I1232,$G1232)+(S$2*$M1232)))</f>
        <v/>
      </c>
      <c r="T1232" s="82" t="n"/>
      <c r="U1232" s="47">
        <f>IF(OR($M1232="",$T1232=""),"",$T1232+(U$2*$M1232))</f>
        <v/>
      </c>
      <c r="V1232" s="48">
        <f>IF(OR($M1232="",$T1232=""),"",$T1232+(V$2*$M1232))</f>
        <v/>
      </c>
      <c r="W1232" s="48">
        <f>IF(OR($M1232="",$T1232=""),"",$T1232+(W$2*$M1232))</f>
        <v/>
      </c>
      <c r="X1232" s="49">
        <f>IF(OR($M1232="",$T1232=""),"",$T1232+(X$2*$M1232))</f>
        <v/>
      </c>
      <c r="Y1232" s="47">
        <f>IF(OR($M1232="",$T1232=""),"",$T1232+(Y$2*$M1232))</f>
        <v/>
      </c>
      <c r="Z1232" s="49">
        <f>IF(OR($M1232="",$T1232=""),"",$T1232+(Z$2*$M1232))</f>
        <v/>
      </c>
      <c r="AA1232" s="51">
        <f>IF(OR($M1232="",$T1232=""),"",$T1232+(AA$2*$M1232))</f>
        <v/>
      </c>
      <c r="AB1232" s="48">
        <f>IF(OR($M1232="",$T1232=""),"",$T1232+(AB$2*$M1232))</f>
        <v/>
      </c>
      <c r="AC1232" s="48">
        <f>IF(OR($M1232="",$T1232=""),"",$T1232+(AC$2*$M1232))</f>
        <v/>
      </c>
      <c r="AD1232" s="48">
        <f>IF(OR($M1232="",$T1232=""),"",$T1232+(AD$2*$M1232))</f>
        <v/>
      </c>
      <c r="AE1232" s="49">
        <f>IF(OR($M1232="",$T1232=""),"",$T1232+(AE$2*$M1232))</f>
        <v/>
      </c>
      <c r="AF1232" s="52">
        <f>IF(OR(T1232="",I1232&lt;T1232),"",IFERROR(AVERAGE(T1232+M1232*{7,8,9,10,11})/IF(G1232="",I1232,G1232)-1,""))</f>
        <v/>
      </c>
      <c r="AG1232" s="55">
        <f>IF(OR(T1232="",I1232&lt;T1232),"",IFERROR(AF1232/-(R1232/IF(G1232="",I1232,G1232)-1),""))</f>
        <v/>
      </c>
      <c r="AH1232" s="94" t="n"/>
      <c r="AI1232" s="94" t="n"/>
      <c r="AJ1232" s="94" t="n"/>
      <c r="AK1232" s="94" t="n"/>
      <c r="AL1232" s="84" t="n"/>
    </row>
    <row r="1233">
      <c r="A1233" s="64" t="n"/>
      <c r="B1233" s="65" t="n"/>
      <c r="C1233" s="66" t="n"/>
      <c r="D1233" s="67" t="n"/>
      <c r="E1233" s="68" t="n"/>
      <c r="F1233" s="47">
        <f>IF(A1233="","",IF(MIN(H1233,MAX(J1233:K1233))=0,"",MIN(H1233,MAX(J1233:K1233))))</f>
        <v/>
      </c>
      <c r="G1233" s="74" t="n"/>
      <c r="H1233" s="49">
        <f>IF(M1233="","",IFERROR(ROUND(AVERAGE(T1233+M1233*{7,8,9,10,11})/1.21,4),""))</f>
        <v/>
      </c>
      <c r="I1233" s="76" t="n"/>
      <c r="J1233" s="77" t="n"/>
      <c r="K1233" s="74" t="n"/>
      <c r="L1233" s="78" t="n"/>
      <c r="M1233" s="77" t="n"/>
      <c r="N1233" s="53">
        <f>IF(M1233="","",IFERROR(M1233/I1233,""))</f>
        <v/>
      </c>
      <c r="O1233" s="50">
        <f>IF(A1233="","",IFERROR((IF(G1233="",I1233,G1233)-T1233)/M1233,""))</f>
        <v/>
      </c>
      <c r="P1233" s="50">
        <f>IFERROR((I1233/T1233-1)/N1233,"")</f>
        <v/>
      </c>
      <c r="Q1233" s="46">
        <f>IF(OR(T1233="",I1233&lt;T1233),"",IFERROR(R1233/IF(G1233="",I1233,G1233)-1,""))</f>
        <v/>
      </c>
      <c r="R1233" s="48">
        <f>IF($M1233="","",MAX(IF($G1233="",$I1233,$G1233)*(1/1.1),IF($G1233="",$I1233,$G1233)+(R$2*$M1233)))</f>
        <v/>
      </c>
      <c r="S1233" s="49">
        <f>IF($M1233="","",MAX(IF($G1233="",$I1233,$G1233)*(1/1.1),IF($G1233="",$I1233,$G1233)+(S$2*$M1233)))</f>
        <v/>
      </c>
      <c r="T1233" s="82" t="n"/>
      <c r="U1233" s="47">
        <f>IF(OR($M1233="",$T1233=""),"",$T1233+(U$2*$M1233))</f>
        <v/>
      </c>
      <c r="V1233" s="48">
        <f>IF(OR($M1233="",$T1233=""),"",$T1233+(V$2*$M1233))</f>
        <v/>
      </c>
      <c r="W1233" s="48">
        <f>IF(OR($M1233="",$T1233=""),"",$T1233+(W$2*$M1233))</f>
        <v/>
      </c>
      <c r="X1233" s="49">
        <f>IF(OR($M1233="",$T1233=""),"",$T1233+(X$2*$M1233))</f>
        <v/>
      </c>
      <c r="Y1233" s="47">
        <f>IF(OR($M1233="",$T1233=""),"",$T1233+(Y$2*$M1233))</f>
        <v/>
      </c>
      <c r="Z1233" s="49">
        <f>IF(OR($M1233="",$T1233=""),"",$T1233+(Z$2*$M1233))</f>
        <v/>
      </c>
      <c r="AA1233" s="51">
        <f>IF(OR($M1233="",$T1233=""),"",$T1233+(AA$2*$M1233))</f>
        <v/>
      </c>
      <c r="AB1233" s="48">
        <f>IF(OR($M1233="",$T1233=""),"",$T1233+(AB$2*$M1233))</f>
        <v/>
      </c>
      <c r="AC1233" s="48">
        <f>IF(OR($M1233="",$T1233=""),"",$T1233+(AC$2*$M1233))</f>
        <v/>
      </c>
      <c r="AD1233" s="48">
        <f>IF(OR($M1233="",$T1233=""),"",$T1233+(AD$2*$M1233))</f>
        <v/>
      </c>
      <c r="AE1233" s="49">
        <f>IF(OR($M1233="",$T1233=""),"",$T1233+(AE$2*$M1233))</f>
        <v/>
      </c>
      <c r="AF1233" s="52">
        <f>IF(OR(T1233="",I1233&lt;T1233),"",IFERROR(AVERAGE(T1233+M1233*{7,8,9,10,11})/IF(G1233="",I1233,G1233)-1,""))</f>
        <v/>
      </c>
      <c r="AG1233" s="55">
        <f>IF(OR(T1233="",I1233&lt;T1233),"",IFERROR(AF1233/-(R1233/IF(G1233="",I1233,G1233)-1),""))</f>
        <v/>
      </c>
      <c r="AH1233" s="94" t="n"/>
      <c r="AI1233" s="94" t="n"/>
      <c r="AJ1233" s="94" t="n"/>
      <c r="AK1233" s="94" t="n"/>
      <c r="AL1233" s="84" t="n"/>
    </row>
    <row r="1234">
      <c r="A1234" s="64" t="n"/>
      <c r="B1234" s="65" t="n"/>
      <c r="C1234" s="66" t="n"/>
      <c r="D1234" s="67" t="n"/>
      <c r="E1234" s="68" t="n"/>
      <c r="F1234" s="47">
        <f>IF(A1234="","",IF(MIN(H1234,MAX(J1234:K1234))=0,"",MIN(H1234,MAX(J1234:K1234))))</f>
        <v/>
      </c>
      <c r="G1234" s="74" t="n"/>
      <c r="H1234" s="49">
        <f>IF(M1234="","",IFERROR(ROUND(AVERAGE(T1234+M1234*{7,8,9,10,11})/1.21,4),""))</f>
        <v/>
      </c>
      <c r="I1234" s="76" t="n"/>
      <c r="J1234" s="77" t="n"/>
      <c r="K1234" s="74" t="n"/>
      <c r="L1234" s="78" t="n"/>
      <c r="M1234" s="77" t="n"/>
      <c r="N1234" s="53">
        <f>IF(M1234="","",IFERROR(M1234/I1234,""))</f>
        <v/>
      </c>
      <c r="O1234" s="50">
        <f>IF(A1234="","",IFERROR((IF(G1234="",I1234,G1234)-T1234)/M1234,""))</f>
        <v/>
      </c>
      <c r="P1234" s="50">
        <f>IFERROR((I1234/T1234-1)/N1234,"")</f>
        <v/>
      </c>
      <c r="Q1234" s="46">
        <f>IF(OR(T1234="",I1234&lt;T1234),"",IFERROR(R1234/IF(G1234="",I1234,G1234)-1,""))</f>
        <v/>
      </c>
      <c r="R1234" s="48">
        <f>IF($M1234="","",MAX(IF($G1234="",$I1234,$G1234)*(1/1.1),IF($G1234="",$I1234,$G1234)+(R$2*$M1234)))</f>
        <v/>
      </c>
      <c r="S1234" s="49">
        <f>IF($M1234="","",MAX(IF($G1234="",$I1234,$G1234)*(1/1.1),IF($G1234="",$I1234,$G1234)+(S$2*$M1234)))</f>
        <v/>
      </c>
      <c r="T1234" s="82" t="n"/>
      <c r="U1234" s="47">
        <f>IF(OR($M1234="",$T1234=""),"",$T1234+(U$2*$M1234))</f>
        <v/>
      </c>
      <c r="V1234" s="48">
        <f>IF(OR($M1234="",$T1234=""),"",$T1234+(V$2*$M1234))</f>
        <v/>
      </c>
      <c r="W1234" s="48">
        <f>IF(OR($M1234="",$T1234=""),"",$T1234+(W$2*$M1234))</f>
        <v/>
      </c>
      <c r="X1234" s="49">
        <f>IF(OR($M1234="",$T1234=""),"",$T1234+(X$2*$M1234))</f>
        <v/>
      </c>
      <c r="Y1234" s="47">
        <f>IF(OR($M1234="",$T1234=""),"",$T1234+(Y$2*$M1234))</f>
        <v/>
      </c>
      <c r="Z1234" s="49">
        <f>IF(OR($M1234="",$T1234=""),"",$T1234+(Z$2*$M1234))</f>
        <v/>
      </c>
      <c r="AA1234" s="51">
        <f>IF(OR($M1234="",$T1234=""),"",$T1234+(AA$2*$M1234))</f>
        <v/>
      </c>
      <c r="AB1234" s="48">
        <f>IF(OR($M1234="",$T1234=""),"",$T1234+(AB$2*$M1234))</f>
        <v/>
      </c>
      <c r="AC1234" s="48">
        <f>IF(OR($M1234="",$T1234=""),"",$T1234+(AC$2*$M1234))</f>
        <v/>
      </c>
      <c r="AD1234" s="48">
        <f>IF(OR($M1234="",$T1234=""),"",$T1234+(AD$2*$M1234))</f>
        <v/>
      </c>
      <c r="AE1234" s="49">
        <f>IF(OR($M1234="",$T1234=""),"",$T1234+(AE$2*$M1234))</f>
        <v/>
      </c>
      <c r="AF1234" s="52">
        <f>IF(OR(T1234="",I1234&lt;T1234),"",IFERROR(AVERAGE(T1234+M1234*{7,8,9,10,11})/IF(G1234="",I1234,G1234)-1,""))</f>
        <v/>
      </c>
      <c r="AG1234" s="55">
        <f>IF(OR(T1234="",I1234&lt;T1234),"",IFERROR(AF1234/-(R1234/IF(G1234="",I1234,G1234)-1),""))</f>
        <v/>
      </c>
      <c r="AH1234" s="94" t="n"/>
      <c r="AI1234" s="94" t="n"/>
      <c r="AJ1234" s="94" t="n"/>
      <c r="AK1234" s="94" t="n"/>
      <c r="AL1234" s="84" t="n"/>
    </row>
    <row r="1235">
      <c r="A1235" s="64" t="n"/>
      <c r="B1235" s="65" t="n"/>
      <c r="C1235" s="66" t="n"/>
      <c r="D1235" s="67" t="n"/>
      <c r="E1235" s="68" t="n"/>
      <c r="F1235" s="47">
        <f>IF(A1235="","",IF(MIN(H1235,MAX(J1235:K1235))=0,"",MIN(H1235,MAX(J1235:K1235))))</f>
        <v/>
      </c>
      <c r="G1235" s="74" t="n"/>
      <c r="H1235" s="49">
        <f>IF(M1235="","",IFERROR(ROUND(AVERAGE(T1235+M1235*{7,8,9,10,11})/1.21,4),""))</f>
        <v/>
      </c>
      <c r="I1235" s="76" t="n"/>
      <c r="J1235" s="77" t="n"/>
      <c r="K1235" s="74" t="n"/>
      <c r="L1235" s="78" t="n"/>
      <c r="M1235" s="77" t="n"/>
      <c r="N1235" s="53">
        <f>IF(M1235="","",IFERROR(M1235/I1235,""))</f>
        <v/>
      </c>
      <c r="O1235" s="50">
        <f>IF(A1235="","",IFERROR((IF(G1235="",I1235,G1235)-T1235)/M1235,""))</f>
        <v/>
      </c>
      <c r="P1235" s="50">
        <f>IFERROR((I1235/T1235-1)/N1235,"")</f>
        <v/>
      </c>
      <c r="Q1235" s="46">
        <f>IF(OR(T1235="",I1235&lt;T1235),"",IFERROR(R1235/IF(G1235="",I1235,G1235)-1,""))</f>
        <v/>
      </c>
      <c r="R1235" s="48">
        <f>IF($M1235="","",MAX(IF($G1235="",$I1235,$G1235)*(1/1.1),IF($G1235="",$I1235,$G1235)+(R$2*$M1235)))</f>
        <v/>
      </c>
      <c r="S1235" s="49">
        <f>IF($M1235="","",MAX(IF($G1235="",$I1235,$G1235)*(1/1.1),IF($G1235="",$I1235,$G1235)+(S$2*$M1235)))</f>
        <v/>
      </c>
      <c r="T1235" s="82" t="n"/>
      <c r="U1235" s="47">
        <f>IF(OR($M1235="",$T1235=""),"",$T1235+(U$2*$M1235))</f>
        <v/>
      </c>
      <c r="V1235" s="48">
        <f>IF(OR($M1235="",$T1235=""),"",$T1235+(V$2*$M1235))</f>
        <v/>
      </c>
      <c r="W1235" s="48">
        <f>IF(OR($M1235="",$T1235=""),"",$T1235+(W$2*$M1235))</f>
        <v/>
      </c>
      <c r="X1235" s="49">
        <f>IF(OR($M1235="",$T1235=""),"",$T1235+(X$2*$M1235))</f>
        <v/>
      </c>
      <c r="Y1235" s="47">
        <f>IF(OR($M1235="",$T1235=""),"",$T1235+(Y$2*$M1235))</f>
        <v/>
      </c>
      <c r="Z1235" s="49">
        <f>IF(OR($M1235="",$T1235=""),"",$T1235+(Z$2*$M1235))</f>
        <v/>
      </c>
      <c r="AA1235" s="51">
        <f>IF(OR($M1235="",$T1235=""),"",$T1235+(AA$2*$M1235))</f>
        <v/>
      </c>
      <c r="AB1235" s="48">
        <f>IF(OR($M1235="",$T1235=""),"",$T1235+(AB$2*$M1235))</f>
        <v/>
      </c>
      <c r="AC1235" s="48">
        <f>IF(OR($M1235="",$T1235=""),"",$T1235+(AC$2*$M1235))</f>
        <v/>
      </c>
      <c r="AD1235" s="48">
        <f>IF(OR($M1235="",$T1235=""),"",$T1235+(AD$2*$M1235))</f>
        <v/>
      </c>
      <c r="AE1235" s="49">
        <f>IF(OR($M1235="",$T1235=""),"",$T1235+(AE$2*$M1235))</f>
        <v/>
      </c>
      <c r="AF1235" s="52">
        <f>IF(OR(T1235="",I1235&lt;T1235),"",IFERROR(AVERAGE(T1235+M1235*{7,8,9,10,11})/IF(G1235="",I1235,G1235)-1,""))</f>
        <v/>
      </c>
      <c r="AG1235" s="55">
        <f>IF(OR(T1235="",I1235&lt;T1235),"",IFERROR(AF1235/-(R1235/IF(G1235="",I1235,G1235)-1),""))</f>
        <v/>
      </c>
      <c r="AH1235" s="94" t="n"/>
      <c r="AI1235" s="94" t="n"/>
      <c r="AJ1235" s="94" t="n"/>
      <c r="AK1235" s="94" t="n"/>
      <c r="AL1235" s="84" t="n"/>
    </row>
    <row r="1236">
      <c r="A1236" s="64" t="n"/>
      <c r="B1236" s="65" t="n"/>
      <c r="C1236" s="66" t="n"/>
      <c r="D1236" s="67" t="n"/>
      <c r="E1236" s="68" t="n"/>
      <c r="F1236" s="47">
        <f>IF(A1236="","",IF(MIN(H1236,MAX(J1236:K1236))=0,"",MIN(H1236,MAX(J1236:K1236))))</f>
        <v/>
      </c>
      <c r="G1236" s="74" t="n"/>
      <c r="H1236" s="49">
        <f>IF(M1236="","",IFERROR(ROUND(AVERAGE(T1236+M1236*{7,8,9,10,11})/1.21,4),""))</f>
        <v/>
      </c>
      <c r="I1236" s="76" t="n"/>
      <c r="J1236" s="77" t="n"/>
      <c r="K1236" s="74" t="n"/>
      <c r="L1236" s="78" t="n"/>
      <c r="M1236" s="77" t="n"/>
      <c r="N1236" s="53">
        <f>IF(M1236="","",IFERROR(M1236/I1236,""))</f>
        <v/>
      </c>
      <c r="O1236" s="50">
        <f>IF(A1236="","",IFERROR((IF(G1236="",I1236,G1236)-T1236)/M1236,""))</f>
        <v/>
      </c>
      <c r="P1236" s="50">
        <f>IFERROR((I1236/T1236-1)/N1236,"")</f>
        <v/>
      </c>
      <c r="Q1236" s="46">
        <f>IF(OR(T1236="",I1236&lt;T1236),"",IFERROR(R1236/IF(G1236="",I1236,G1236)-1,""))</f>
        <v/>
      </c>
      <c r="R1236" s="48">
        <f>IF($M1236="","",MAX(IF($G1236="",$I1236,$G1236)*(1/1.1),IF($G1236="",$I1236,$G1236)+(R$2*$M1236)))</f>
        <v/>
      </c>
      <c r="S1236" s="49">
        <f>IF($M1236="","",MAX(IF($G1236="",$I1236,$G1236)*(1/1.1),IF($G1236="",$I1236,$G1236)+(S$2*$M1236)))</f>
        <v/>
      </c>
      <c r="T1236" s="82" t="n"/>
      <c r="U1236" s="47">
        <f>IF(OR($M1236="",$T1236=""),"",$T1236+(U$2*$M1236))</f>
        <v/>
      </c>
      <c r="V1236" s="48">
        <f>IF(OR($M1236="",$T1236=""),"",$T1236+(V$2*$M1236))</f>
        <v/>
      </c>
      <c r="W1236" s="48">
        <f>IF(OR($M1236="",$T1236=""),"",$T1236+(W$2*$M1236))</f>
        <v/>
      </c>
      <c r="X1236" s="49">
        <f>IF(OR($M1236="",$T1236=""),"",$T1236+(X$2*$M1236))</f>
        <v/>
      </c>
      <c r="Y1236" s="47">
        <f>IF(OR($M1236="",$T1236=""),"",$T1236+(Y$2*$M1236))</f>
        <v/>
      </c>
      <c r="Z1236" s="49">
        <f>IF(OR($M1236="",$T1236=""),"",$T1236+(Z$2*$M1236))</f>
        <v/>
      </c>
      <c r="AA1236" s="51">
        <f>IF(OR($M1236="",$T1236=""),"",$T1236+(AA$2*$M1236))</f>
        <v/>
      </c>
      <c r="AB1236" s="48">
        <f>IF(OR($M1236="",$T1236=""),"",$T1236+(AB$2*$M1236))</f>
        <v/>
      </c>
      <c r="AC1236" s="48">
        <f>IF(OR($M1236="",$T1236=""),"",$T1236+(AC$2*$M1236))</f>
        <v/>
      </c>
      <c r="AD1236" s="48">
        <f>IF(OR($M1236="",$T1236=""),"",$T1236+(AD$2*$M1236))</f>
        <v/>
      </c>
      <c r="AE1236" s="49">
        <f>IF(OR($M1236="",$T1236=""),"",$T1236+(AE$2*$M1236))</f>
        <v/>
      </c>
      <c r="AF1236" s="52">
        <f>IF(OR(T1236="",I1236&lt;T1236),"",IFERROR(AVERAGE(T1236+M1236*{7,8,9,10,11})/IF(G1236="",I1236,G1236)-1,""))</f>
        <v/>
      </c>
      <c r="AG1236" s="55">
        <f>IF(OR(T1236="",I1236&lt;T1236),"",IFERROR(AF1236/-(R1236/IF(G1236="",I1236,G1236)-1),""))</f>
        <v/>
      </c>
      <c r="AH1236" s="94" t="n"/>
      <c r="AI1236" s="94" t="n"/>
      <c r="AJ1236" s="94" t="n"/>
      <c r="AK1236" s="94" t="n"/>
      <c r="AL1236" s="84" t="n"/>
    </row>
    <row r="1237">
      <c r="A1237" s="64" t="n"/>
      <c r="B1237" s="65" t="n"/>
      <c r="C1237" s="66" t="n"/>
      <c r="D1237" s="67" t="n"/>
      <c r="E1237" s="68" t="n"/>
      <c r="F1237" s="47">
        <f>IF(A1237="","",IF(MIN(H1237,MAX(J1237:K1237))=0,"",MIN(H1237,MAX(J1237:K1237))))</f>
        <v/>
      </c>
      <c r="G1237" s="74" t="n"/>
      <c r="H1237" s="49">
        <f>IF(M1237="","",IFERROR(ROUND(AVERAGE(T1237+M1237*{7,8,9,10,11})/1.21,4),""))</f>
        <v/>
      </c>
      <c r="I1237" s="76" t="n"/>
      <c r="J1237" s="77" t="n"/>
      <c r="K1237" s="74" t="n"/>
      <c r="L1237" s="78" t="n"/>
      <c r="M1237" s="77" t="n"/>
      <c r="N1237" s="53">
        <f>IF(M1237="","",IFERROR(M1237/I1237,""))</f>
        <v/>
      </c>
      <c r="O1237" s="50">
        <f>IF(A1237="","",IFERROR((IF(G1237="",I1237,G1237)-T1237)/M1237,""))</f>
        <v/>
      </c>
      <c r="P1237" s="50">
        <f>IFERROR((I1237/T1237-1)/N1237,"")</f>
        <v/>
      </c>
      <c r="Q1237" s="46">
        <f>IF(OR(T1237="",I1237&lt;T1237),"",IFERROR(R1237/IF(G1237="",I1237,G1237)-1,""))</f>
        <v/>
      </c>
      <c r="R1237" s="48">
        <f>IF($M1237="","",MAX(IF($G1237="",$I1237,$G1237)*(1/1.1),IF($G1237="",$I1237,$G1237)+(R$2*$M1237)))</f>
        <v/>
      </c>
      <c r="S1237" s="49">
        <f>IF($M1237="","",MAX(IF($G1237="",$I1237,$G1237)*(1/1.1),IF($G1237="",$I1237,$G1237)+(S$2*$M1237)))</f>
        <v/>
      </c>
      <c r="T1237" s="82" t="n"/>
      <c r="U1237" s="47">
        <f>IF(OR($M1237="",$T1237=""),"",$T1237+(U$2*$M1237))</f>
        <v/>
      </c>
      <c r="V1237" s="48">
        <f>IF(OR($M1237="",$T1237=""),"",$T1237+(V$2*$M1237))</f>
        <v/>
      </c>
      <c r="W1237" s="48">
        <f>IF(OR($M1237="",$T1237=""),"",$T1237+(W$2*$M1237))</f>
        <v/>
      </c>
      <c r="X1237" s="49">
        <f>IF(OR($M1237="",$T1237=""),"",$T1237+(X$2*$M1237))</f>
        <v/>
      </c>
      <c r="Y1237" s="47">
        <f>IF(OR($M1237="",$T1237=""),"",$T1237+(Y$2*$M1237))</f>
        <v/>
      </c>
      <c r="Z1237" s="49">
        <f>IF(OR($M1237="",$T1237=""),"",$T1237+(Z$2*$M1237))</f>
        <v/>
      </c>
      <c r="AA1237" s="51">
        <f>IF(OR($M1237="",$T1237=""),"",$T1237+(AA$2*$M1237))</f>
        <v/>
      </c>
      <c r="AB1237" s="48">
        <f>IF(OR($M1237="",$T1237=""),"",$T1237+(AB$2*$M1237))</f>
        <v/>
      </c>
      <c r="AC1237" s="48">
        <f>IF(OR($M1237="",$T1237=""),"",$T1237+(AC$2*$M1237))</f>
        <v/>
      </c>
      <c r="AD1237" s="48">
        <f>IF(OR($M1237="",$T1237=""),"",$T1237+(AD$2*$M1237))</f>
        <v/>
      </c>
      <c r="AE1237" s="49">
        <f>IF(OR($M1237="",$T1237=""),"",$T1237+(AE$2*$M1237))</f>
        <v/>
      </c>
      <c r="AF1237" s="52">
        <f>IF(OR(T1237="",I1237&lt;T1237),"",IFERROR(AVERAGE(T1237+M1237*{7,8,9,10,11})/IF(G1237="",I1237,G1237)-1,""))</f>
        <v/>
      </c>
      <c r="AG1237" s="55">
        <f>IF(OR(T1237="",I1237&lt;T1237),"",IFERROR(AF1237/-(R1237/IF(G1237="",I1237,G1237)-1),""))</f>
        <v/>
      </c>
      <c r="AH1237" s="94" t="n"/>
      <c r="AI1237" s="94" t="n"/>
      <c r="AJ1237" s="94" t="n"/>
      <c r="AK1237" s="94" t="n"/>
      <c r="AL1237" s="84" t="n"/>
    </row>
    <row r="1238">
      <c r="A1238" s="64" t="n"/>
      <c r="B1238" s="65" t="n"/>
      <c r="C1238" s="66" t="n"/>
      <c r="D1238" s="67" t="n"/>
      <c r="E1238" s="68" t="n"/>
      <c r="F1238" s="47">
        <f>IF(A1238="","",IF(MIN(H1238,MAX(J1238:K1238))=0,"",MIN(H1238,MAX(J1238:K1238))))</f>
        <v/>
      </c>
      <c r="G1238" s="74" t="n"/>
      <c r="H1238" s="49">
        <f>IF(M1238="","",IFERROR(ROUND(AVERAGE(T1238+M1238*{7,8,9,10,11})/1.21,4),""))</f>
        <v/>
      </c>
      <c r="I1238" s="76" t="n"/>
      <c r="J1238" s="77" t="n"/>
      <c r="K1238" s="74" t="n"/>
      <c r="L1238" s="78" t="n"/>
      <c r="M1238" s="77" t="n"/>
      <c r="N1238" s="53">
        <f>IF(M1238="","",IFERROR(M1238/I1238,""))</f>
        <v/>
      </c>
      <c r="O1238" s="50">
        <f>IF(A1238="","",IFERROR((IF(G1238="",I1238,G1238)-T1238)/M1238,""))</f>
        <v/>
      </c>
      <c r="P1238" s="50">
        <f>IFERROR((I1238/T1238-1)/N1238,"")</f>
        <v/>
      </c>
      <c r="Q1238" s="46">
        <f>IF(OR(T1238="",I1238&lt;T1238),"",IFERROR(R1238/IF(G1238="",I1238,G1238)-1,""))</f>
        <v/>
      </c>
      <c r="R1238" s="48">
        <f>IF($M1238="","",MAX(IF($G1238="",$I1238,$G1238)*(1/1.1),IF($G1238="",$I1238,$G1238)+(R$2*$M1238)))</f>
        <v/>
      </c>
      <c r="S1238" s="49">
        <f>IF($M1238="","",MAX(IF($G1238="",$I1238,$G1238)*(1/1.1),IF($G1238="",$I1238,$G1238)+(S$2*$M1238)))</f>
        <v/>
      </c>
      <c r="T1238" s="82" t="n"/>
      <c r="U1238" s="47">
        <f>IF(OR($M1238="",$T1238=""),"",$T1238+(U$2*$M1238))</f>
        <v/>
      </c>
      <c r="V1238" s="48">
        <f>IF(OR($M1238="",$T1238=""),"",$T1238+(V$2*$M1238))</f>
        <v/>
      </c>
      <c r="W1238" s="48">
        <f>IF(OR($M1238="",$T1238=""),"",$T1238+(W$2*$M1238))</f>
        <v/>
      </c>
      <c r="X1238" s="49">
        <f>IF(OR($M1238="",$T1238=""),"",$T1238+(X$2*$M1238))</f>
        <v/>
      </c>
      <c r="Y1238" s="47">
        <f>IF(OR($M1238="",$T1238=""),"",$T1238+(Y$2*$M1238))</f>
        <v/>
      </c>
      <c r="Z1238" s="49">
        <f>IF(OR($M1238="",$T1238=""),"",$T1238+(Z$2*$M1238))</f>
        <v/>
      </c>
      <c r="AA1238" s="51">
        <f>IF(OR($M1238="",$T1238=""),"",$T1238+(AA$2*$M1238))</f>
        <v/>
      </c>
      <c r="AB1238" s="48">
        <f>IF(OR($M1238="",$T1238=""),"",$T1238+(AB$2*$M1238))</f>
        <v/>
      </c>
      <c r="AC1238" s="48">
        <f>IF(OR($M1238="",$T1238=""),"",$T1238+(AC$2*$M1238))</f>
        <v/>
      </c>
      <c r="AD1238" s="48">
        <f>IF(OR($M1238="",$T1238=""),"",$T1238+(AD$2*$M1238))</f>
        <v/>
      </c>
      <c r="AE1238" s="49">
        <f>IF(OR($M1238="",$T1238=""),"",$T1238+(AE$2*$M1238))</f>
        <v/>
      </c>
      <c r="AF1238" s="52">
        <f>IF(OR(T1238="",I1238&lt;T1238),"",IFERROR(AVERAGE(T1238+M1238*{7,8,9,10,11})/IF(G1238="",I1238,G1238)-1,""))</f>
        <v/>
      </c>
      <c r="AG1238" s="55">
        <f>IF(OR(T1238="",I1238&lt;T1238),"",IFERROR(AF1238/-(R1238/IF(G1238="",I1238,G1238)-1),""))</f>
        <v/>
      </c>
      <c r="AH1238" s="94" t="n"/>
      <c r="AI1238" s="94" t="n"/>
      <c r="AJ1238" s="94" t="n"/>
      <c r="AK1238" s="94" t="n"/>
      <c r="AL1238" s="84" t="n"/>
    </row>
    <row r="1239">
      <c r="A1239" s="64" t="n"/>
      <c r="B1239" s="65" t="n"/>
      <c r="C1239" s="66" t="n"/>
      <c r="D1239" s="67" t="n"/>
      <c r="E1239" s="68" t="n"/>
      <c r="F1239" s="47">
        <f>IF(A1239="","",IF(MIN(H1239,MAX(J1239:K1239))=0,"",MIN(H1239,MAX(J1239:K1239))))</f>
        <v/>
      </c>
      <c r="G1239" s="74" t="n"/>
      <c r="H1239" s="49">
        <f>IF(M1239="","",IFERROR(ROUND(AVERAGE(T1239+M1239*{7,8,9,10,11})/1.21,4),""))</f>
        <v/>
      </c>
      <c r="I1239" s="76" t="n"/>
      <c r="J1239" s="77" t="n"/>
      <c r="K1239" s="74" t="n"/>
      <c r="L1239" s="78" t="n"/>
      <c r="M1239" s="77" t="n"/>
      <c r="N1239" s="53">
        <f>IF(M1239="","",IFERROR(M1239/I1239,""))</f>
        <v/>
      </c>
      <c r="O1239" s="50">
        <f>IF(A1239="","",IFERROR((IF(G1239="",I1239,G1239)-T1239)/M1239,""))</f>
        <v/>
      </c>
      <c r="P1239" s="50">
        <f>IFERROR((I1239/T1239-1)/N1239,"")</f>
        <v/>
      </c>
      <c r="Q1239" s="46">
        <f>IF(OR(T1239="",I1239&lt;T1239),"",IFERROR(R1239/IF(G1239="",I1239,G1239)-1,""))</f>
        <v/>
      </c>
      <c r="R1239" s="48">
        <f>IF($M1239="","",MAX(IF($G1239="",$I1239,$G1239)*(1/1.1),IF($G1239="",$I1239,$G1239)+(R$2*$M1239)))</f>
        <v/>
      </c>
      <c r="S1239" s="49">
        <f>IF($M1239="","",MAX(IF($G1239="",$I1239,$G1239)*(1/1.1),IF($G1239="",$I1239,$G1239)+(S$2*$M1239)))</f>
        <v/>
      </c>
      <c r="T1239" s="82" t="n"/>
      <c r="U1239" s="47">
        <f>IF(OR($M1239="",$T1239=""),"",$T1239+(U$2*$M1239))</f>
        <v/>
      </c>
      <c r="V1239" s="48">
        <f>IF(OR($M1239="",$T1239=""),"",$T1239+(V$2*$M1239))</f>
        <v/>
      </c>
      <c r="W1239" s="48">
        <f>IF(OR($M1239="",$T1239=""),"",$T1239+(W$2*$M1239))</f>
        <v/>
      </c>
      <c r="X1239" s="49">
        <f>IF(OR($M1239="",$T1239=""),"",$T1239+(X$2*$M1239))</f>
        <v/>
      </c>
      <c r="Y1239" s="47">
        <f>IF(OR($M1239="",$T1239=""),"",$T1239+(Y$2*$M1239))</f>
        <v/>
      </c>
      <c r="Z1239" s="49">
        <f>IF(OR($M1239="",$T1239=""),"",$T1239+(Z$2*$M1239))</f>
        <v/>
      </c>
      <c r="AA1239" s="51">
        <f>IF(OR($M1239="",$T1239=""),"",$T1239+(AA$2*$M1239))</f>
        <v/>
      </c>
      <c r="AB1239" s="48">
        <f>IF(OR($M1239="",$T1239=""),"",$T1239+(AB$2*$M1239))</f>
        <v/>
      </c>
      <c r="AC1239" s="48">
        <f>IF(OR($M1239="",$T1239=""),"",$T1239+(AC$2*$M1239))</f>
        <v/>
      </c>
      <c r="AD1239" s="48">
        <f>IF(OR($M1239="",$T1239=""),"",$T1239+(AD$2*$M1239))</f>
        <v/>
      </c>
      <c r="AE1239" s="49">
        <f>IF(OR($M1239="",$T1239=""),"",$T1239+(AE$2*$M1239))</f>
        <v/>
      </c>
      <c r="AF1239" s="52">
        <f>IF(OR(T1239="",I1239&lt;T1239),"",IFERROR(AVERAGE(T1239+M1239*{7,8,9,10,11})/IF(G1239="",I1239,G1239)-1,""))</f>
        <v/>
      </c>
      <c r="AG1239" s="55">
        <f>IF(OR(T1239="",I1239&lt;T1239),"",IFERROR(AF1239/-(R1239/IF(G1239="",I1239,G1239)-1),""))</f>
        <v/>
      </c>
      <c r="AH1239" s="94" t="n"/>
      <c r="AI1239" s="94" t="n"/>
      <c r="AJ1239" s="94" t="n"/>
      <c r="AK1239" s="94" t="n"/>
      <c r="AL1239" s="84" t="n"/>
    </row>
    <row r="1240">
      <c r="A1240" s="64" t="n"/>
      <c r="B1240" s="65" t="n"/>
      <c r="C1240" s="66" t="n"/>
      <c r="D1240" s="67" t="n"/>
      <c r="E1240" s="68" t="n"/>
      <c r="F1240" s="47">
        <f>IF(A1240="","",IF(MIN(H1240,MAX(J1240:K1240))=0,"",MIN(H1240,MAX(J1240:K1240))))</f>
        <v/>
      </c>
      <c r="G1240" s="74" t="n"/>
      <c r="H1240" s="49">
        <f>IF(M1240="","",IFERROR(ROUND(AVERAGE(T1240+M1240*{7,8,9,10,11})/1.21,4),""))</f>
        <v/>
      </c>
      <c r="I1240" s="76" t="n"/>
      <c r="J1240" s="77" t="n"/>
      <c r="K1240" s="74" t="n"/>
      <c r="L1240" s="78" t="n"/>
      <c r="M1240" s="77" t="n"/>
      <c r="N1240" s="53">
        <f>IF(M1240="","",IFERROR(M1240/I1240,""))</f>
        <v/>
      </c>
      <c r="O1240" s="50">
        <f>IF(A1240="","",IFERROR((IF(G1240="",I1240,G1240)-T1240)/M1240,""))</f>
        <v/>
      </c>
      <c r="P1240" s="50">
        <f>IFERROR((I1240/T1240-1)/N1240,"")</f>
        <v/>
      </c>
      <c r="Q1240" s="46">
        <f>IF(OR(T1240="",I1240&lt;T1240),"",IFERROR(R1240/IF(G1240="",I1240,G1240)-1,""))</f>
        <v/>
      </c>
      <c r="R1240" s="48">
        <f>IF($M1240="","",MAX(IF($G1240="",$I1240,$G1240)*(1/1.1),IF($G1240="",$I1240,$G1240)+(R$2*$M1240)))</f>
        <v/>
      </c>
      <c r="S1240" s="49">
        <f>IF($M1240="","",MAX(IF($G1240="",$I1240,$G1240)*(1/1.1),IF($G1240="",$I1240,$G1240)+(S$2*$M1240)))</f>
        <v/>
      </c>
      <c r="T1240" s="82" t="n"/>
      <c r="U1240" s="47">
        <f>IF(OR($M1240="",$T1240=""),"",$T1240+(U$2*$M1240))</f>
        <v/>
      </c>
      <c r="V1240" s="48">
        <f>IF(OR($M1240="",$T1240=""),"",$T1240+(V$2*$M1240))</f>
        <v/>
      </c>
      <c r="W1240" s="48">
        <f>IF(OR($M1240="",$T1240=""),"",$T1240+(W$2*$M1240))</f>
        <v/>
      </c>
      <c r="X1240" s="49">
        <f>IF(OR($M1240="",$T1240=""),"",$T1240+(X$2*$M1240))</f>
        <v/>
      </c>
      <c r="Y1240" s="47">
        <f>IF(OR($M1240="",$T1240=""),"",$T1240+(Y$2*$M1240))</f>
        <v/>
      </c>
      <c r="Z1240" s="49">
        <f>IF(OR($M1240="",$T1240=""),"",$T1240+(Z$2*$M1240))</f>
        <v/>
      </c>
      <c r="AA1240" s="51">
        <f>IF(OR($M1240="",$T1240=""),"",$T1240+(AA$2*$M1240))</f>
        <v/>
      </c>
      <c r="AB1240" s="48">
        <f>IF(OR($M1240="",$T1240=""),"",$T1240+(AB$2*$M1240))</f>
        <v/>
      </c>
      <c r="AC1240" s="48">
        <f>IF(OR($M1240="",$T1240=""),"",$T1240+(AC$2*$M1240))</f>
        <v/>
      </c>
      <c r="AD1240" s="48">
        <f>IF(OR($M1240="",$T1240=""),"",$T1240+(AD$2*$M1240))</f>
        <v/>
      </c>
      <c r="AE1240" s="49">
        <f>IF(OR($M1240="",$T1240=""),"",$T1240+(AE$2*$M1240))</f>
        <v/>
      </c>
      <c r="AF1240" s="52">
        <f>IF(OR(T1240="",I1240&lt;T1240),"",IFERROR(AVERAGE(T1240+M1240*{7,8,9,10,11})/IF(G1240="",I1240,G1240)-1,""))</f>
        <v/>
      </c>
      <c r="AG1240" s="55">
        <f>IF(OR(T1240="",I1240&lt;T1240),"",IFERROR(AF1240/-(R1240/IF(G1240="",I1240,G1240)-1),""))</f>
        <v/>
      </c>
      <c r="AH1240" s="94" t="n"/>
      <c r="AI1240" s="94" t="n"/>
      <c r="AJ1240" s="94" t="n"/>
      <c r="AK1240" s="94" t="n"/>
      <c r="AL1240" s="84" t="n"/>
    </row>
    <row r="1241">
      <c r="A1241" s="64" t="n"/>
      <c r="B1241" s="65" t="n"/>
      <c r="C1241" s="66" t="n"/>
      <c r="D1241" s="67" t="n"/>
      <c r="E1241" s="68" t="n"/>
      <c r="F1241" s="47">
        <f>IF(A1241="","",IF(MIN(H1241,MAX(J1241:K1241))=0,"",MIN(H1241,MAX(J1241:K1241))))</f>
        <v/>
      </c>
      <c r="G1241" s="74" t="n"/>
      <c r="H1241" s="49">
        <f>IF(M1241="","",IFERROR(ROUND(AVERAGE(T1241+M1241*{7,8,9,10,11})/1.21,4),""))</f>
        <v/>
      </c>
      <c r="I1241" s="76" t="n"/>
      <c r="J1241" s="77" t="n"/>
      <c r="K1241" s="74" t="n"/>
      <c r="L1241" s="78" t="n"/>
      <c r="M1241" s="77" t="n"/>
      <c r="N1241" s="53">
        <f>IF(M1241="","",IFERROR(M1241/I1241,""))</f>
        <v/>
      </c>
      <c r="O1241" s="50">
        <f>IF(A1241="","",IFERROR((IF(G1241="",I1241,G1241)-T1241)/M1241,""))</f>
        <v/>
      </c>
      <c r="P1241" s="50">
        <f>IFERROR((I1241/T1241-1)/N1241,"")</f>
        <v/>
      </c>
      <c r="Q1241" s="46">
        <f>IF(OR(T1241="",I1241&lt;T1241),"",IFERROR(R1241/IF(G1241="",I1241,G1241)-1,""))</f>
        <v/>
      </c>
      <c r="R1241" s="48">
        <f>IF($M1241="","",MAX(IF($G1241="",$I1241,$G1241)*(1/1.1),IF($G1241="",$I1241,$G1241)+(R$2*$M1241)))</f>
        <v/>
      </c>
      <c r="S1241" s="49">
        <f>IF($M1241="","",MAX(IF($G1241="",$I1241,$G1241)*(1/1.1),IF($G1241="",$I1241,$G1241)+(S$2*$M1241)))</f>
        <v/>
      </c>
      <c r="T1241" s="82" t="n"/>
      <c r="U1241" s="47">
        <f>IF(OR($M1241="",$T1241=""),"",$T1241+(U$2*$M1241))</f>
        <v/>
      </c>
      <c r="V1241" s="48">
        <f>IF(OR($M1241="",$T1241=""),"",$T1241+(V$2*$M1241))</f>
        <v/>
      </c>
      <c r="W1241" s="48">
        <f>IF(OR($M1241="",$T1241=""),"",$T1241+(W$2*$M1241))</f>
        <v/>
      </c>
      <c r="X1241" s="49">
        <f>IF(OR($M1241="",$T1241=""),"",$T1241+(X$2*$M1241))</f>
        <v/>
      </c>
      <c r="Y1241" s="47">
        <f>IF(OR($M1241="",$T1241=""),"",$T1241+(Y$2*$M1241))</f>
        <v/>
      </c>
      <c r="Z1241" s="49">
        <f>IF(OR($M1241="",$T1241=""),"",$T1241+(Z$2*$M1241))</f>
        <v/>
      </c>
      <c r="AA1241" s="51">
        <f>IF(OR($M1241="",$T1241=""),"",$T1241+(AA$2*$M1241))</f>
        <v/>
      </c>
      <c r="AB1241" s="48">
        <f>IF(OR($M1241="",$T1241=""),"",$T1241+(AB$2*$M1241))</f>
        <v/>
      </c>
      <c r="AC1241" s="48">
        <f>IF(OR($M1241="",$T1241=""),"",$T1241+(AC$2*$M1241))</f>
        <v/>
      </c>
      <c r="AD1241" s="48">
        <f>IF(OR($M1241="",$T1241=""),"",$T1241+(AD$2*$M1241))</f>
        <v/>
      </c>
      <c r="AE1241" s="49">
        <f>IF(OR($M1241="",$T1241=""),"",$T1241+(AE$2*$M1241))</f>
        <v/>
      </c>
      <c r="AF1241" s="52">
        <f>IF(OR(T1241="",I1241&lt;T1241),"",IFERROR(AVERAGE(T1241+M1241*{7,8,9,10,11})/IF(G1241="",I1241,G1241)-1,""))</f>
        <v/>
      </c>
      <c r="AG1241" s="55">
        <f>IF(OR(T1241="",I1241&lt;T1241),"",IFERROR(AF1241/-(R1241/IF(G1241="",I1241,G1241)-1),""))</f>
        <v/>
      </c>
      <c r="AH1241" s="94" t="n"/>
      <c r="AI1241" s="94" t="n"/>
      <c r="AJ1241" s="94" t="n"/>
      <c r="AK1241" s="94" t="n"/>
      <c r="AL1241" s="84" t="n"/>
    </row>
    <row r="1242">
      <c r="A1242" s="64" t="n"/>
      <c r="B1242" s="65" t="n"/>
      <c r="C1242" s="66" t="n"/>
      <c r="D1242" s="67" t="n"/>
      <c r="E1242" s="68" t="n"/>
      <c r="F1242" s="47">
        <f>IF(A1242="","",IF(MIN(H1242,MAX(J1242:K1242))=0,"",MIN(H1242,MAX(J1242:K1242))))</f>
        <v/>
      </c>
      <c r="G1242" s="74" t="n"/>
      <c r="H1242" s="49">
        <f>IF(M1242="","",IFERROR(ROUND(AVERAGE(T1242+M1242*{7,8,9,10,11})/1.21,4),""))</f>
        <v/>
      </c>
      <c r="I1242" s="76" t="n"/>
      <c r="J1242" s="77" t="n"/>
      <c r="K1242" s="74" t="n"/>
      <c r="L1242" s="78" t="n"/>
      <c r="M1242" s="77" t="n"/>
      <c r="N1242" s="53">
        <f>IF(M1242="","",IFERROR(M1242/I1242,""))</f>
        <v/>
      </c>
      <c r="O1242" s="50">
        <f>IF(A1242="","",IFERROR((IF(G1242="",I1242,G1242)-T1242)/M1242,""))</f>
        <v/>
      </c>
      <c r="P1242" s="50">
        <f>IFERROR((I1242/T1242-1)/N1242,"")</f>
        <v/>
      </c>
      <c r="Q1242" s="46">
        <f>IF(OR(T1242="",I1242&lt;T1242),"",IFERROR(R1242/IF(G1242="",I1242,G1242)-1,""))</f>
        <v/>
      </c>
      <c r="R1242" s="48">
        <f>IF($M1242="","",MAX(IF($G1242="",$I1242,$G1242)*(1/1.1),IF($G1242="",$I1242,$G1242)+(R$2*$M1242)))</f>
        <v/>
      </c>
      <c r="S1242" s="49">
        <f>IF($M1242="","",MAX(IF($G1242="",$I1242,$G1242)*(1/1.1),IF($G1242="",$I1242,$G1242)+(S$2*$M1242)))</f>
        <v/>
      </c>
      <c r="T1242" s="82" t="n"/>
      <c r="U1242" s="47">
        <f>IF(OR($M1242="",$T1242=""),"",$T1242+(U$2*$M1242))</f>
        <v/>
      </c>
      <c r="V1242" s="48">
        <f>IF(OR($M1242="",$T1242=""),"",$T1242+(V$2*$M1242))</f>
        <v/>
      </c>
      <c r="W1242" s="48">
        <f>IF(OR($M1242="",$T1242=""),"",$T1242+(W$2*$M1242))</f>
        <v/>
      </c>
      <c r="X1242" s="49">
        <f>IF(OR($M1242="",$T1242=""),"",$T1242+(X$2*$M1242))</f>
        <v/>
      </c>
      <c r="Y1242" s="47">
        <f>IF(OR($M1242="",$T1242=""),"",$T1242+(Y$2*$M1242))</f>
        <v/>
      </c>
      <c r="Z1242" s="49">
        <f>IF(OR($M1242="",$T1242=""),"",$T1242+(Z$2*$M1242))</f>
        <v/>
      </c>
      <c r="AA1242" s="51">
        <f>IF(OR($M1242="",$T1242=""),"",$T1242+(AA$2*$M1242))</f>
        <v/>
      </c>
      <c r="AB1242" s="48">
        <f>IF(OR($M1242="",$T1242=""),"",$T1242+(AB$2*$M1242))</f>
        <v/>
      </c>
      <c r="AC1242" s="48">
        <f>IF(OR($M1242="",$T1242=""),"",$T1242+(AC$2*$M1242))</f>
        <v/>
      </c>
      <c r="AD1242" s="48">
        <f>IF(OR($M1242="",$T1242=""),"",$T1242+(AD$2*$M1242))</f>
        <v/>
      </c>
      <c r="AE1242" s="49">
        <f>IF(OR($M1242="",$T1242=""),"",$T1242+(AE$2*$M1242))</f>
        <v/>
      </c>
      <c r="AF1242" s="52">
        <f>IF(OR(T1242="",I1242&lt;T1242),"",IFERROR(AVERAGE(T1242+M1242*{7,8,9,10,11})/IF(G1242="",I1242,G1242)-1,""))</f>
        <v/>
      </c>
      <c r="AG1242" s="55">
        <f>IF(OR(T1242="",I1242&lt;T1242),"",IFERROR(AF1242/-(R1242/IF(G1242="",I1242,G1242)-1),""))</f>
        <v/>
      </c>
      <c r="AH1242" s="94" t="n"/>
      <c r="AI1242" s="94" t="n"/>
      <c r="AJ1242" s="94" t="n"/>
      <c r="AK1242" s="94" t="n"/>
      <c r="AL1242" s="84" t="n"/>
    </row>
    <row r="1243">
      <c r="A1243" s="64" t="n"/>
      <c r="B1243" s="65" t="n"/>
      <c r="C1243" s="66" t="n"/>
      <c r="D1243" s="67" t="n"/>
      <c r="E1243" s="68" t="n"/>
      <c r="F1243" s="47">
        <f>IF(A1243="","",IF(MIN(H1243,MAX(J1243:K1243))=0,"",MIN(H1243,MAX(J1243:K1243))))</f>
        <v/>
      </c>
      <c r="G1243" s="74" t="n"/>
      <c r="H1243" s="49">
        <f>IF(M1243="","",IFERROR(ROUND(AVERAGE(T1243+M1243*{7,8,9,10,11})/1.21,4),""))</f>
        <v/>
      </c>
      <c r="I1243" s="76" t="n"/>
      <c r="J1243" s="77" t="n"/>
      <c r="K1243" s="74" t="n"/>
      <c r="L1243" s="78" t="n"/>
      <c r="M1243" s="77" t="n"/>
      <c r="N1243" s="53">
        <f>IF(M1243="","",IFERROR(M1243/I1243,""))</f>
        <v/>
      </c>
      <c r="O1243" s="50">
        <f>IF(A1243="","",IFERROR((IF(G1243="",I1243,G1243)-T1243)/M1243,""))</f>
        <v/>
      </c>
      <c r="P1243" s="50">
        <f>IFERROR((I1243/T1243-1)/N1243,"")</f>
        <v/>
      </c>
      <c r="Q1243" s="46">
        <f>IF(OR(T1243="",I1243&lt;T1243),"",IFERROR(R1243/IF(G1243="",I1243,G1243)-1,""))</f>
        <v/>
      </c>
      <c r="R1243" s="48">
        <f>IF($M1243="","",MAX(IF($G1243="",$I1243,$G1243)*(1/1.1),IF($G1243="",$I1243,$G1243)+(R$2*$M1243)))</f>
        <v/>
      </c>
      <c r="S1243" s="49">
        <f>IF($M1243="","",MAX(IF($G1243="",$I1243,$G1243)*(1/1.1),IF($G1243="",$I1243,$G1243)+(S$2*$M1243)))</f>
        <v/>
      </c>
      <c r="T1243" s="82" t="n"/>
      <c r="U1243" s="47">
        <f>IF(OR($M1243="",$T1243=""),"",$T1243+(U$2*$M1243))</f>
        <v/>
      </c>
      <c r="V1243" s="48">
        <f>IF(OR($M1243="",$T1243=""),"",$T1243+(V$2*$M1243))</f>
        <v/>
      </c>
      <c r="W1243" s="48">
        <f>IF(OR($M1243="",$T1243=""),"",$T1243+(W$2*$M1243))</f>
        <v/>
      </c>
      <c r="X1243" s="49">
        <f>IF(OR($M1243="",$T1243=""),"",$T1243+(X$2*$M1243))</f>
        <v/>
      </c>
      <c r="Y1243" s="47">
        <f>IF(OR($M1243="",$T1243=""),"",$T1243+(Y$2*$M1243))</f>
        <v/>
      </c>
      <c r="Z1243" s="49">
        <f>IF(OR($M1243="",$T1243=""),"",$T1243+(Z$2*$M1243))</f>
        <v/>
      </c>
      <c r="AA1243" s="51">
        <f>IF(OR($M1243="",$T1243=""),"",$T1243+(AA$2*$M1243))</f>
        <v/>
      </c>
      <c r="AB1243" s="48">
        <f>IF(OR($M1243="",$T1243=""),"",$T1243+(AB$2*$M1243))</f>
        <v/>
      </c>
      <c r="AC1243" s="48">
        <f>IF(OR($M1243="",$T1243=""),"",$T1243+(AC$2*$M1243))</f>
        <v/>
      </c>
      <c r="AD1243" s="48">
        <f>IF(OR($M1243="",$T1243=""),"",$T1243+(AD$2*$M1243))</f>
        <v/>
      </c>
      <c r="AE1243" s="49">
        <f>IF(OR($M1243="",$T1243=""),"",$T1243+(AE$2*$M1243))</f>
        <v/>
      </c>
      <c r="AF1243" s="52">
        <f>IF(OR(T1243="",I1243&lt;T1243),"",IFERROR(AVERAGE(T1243+M1243*{7,8,9,10,11})/IF(G1243="",I1243,G1243)-1,""))</f>
        <v/>
      </c>
      <c r="AG1243" s="55">
        <f>IF(OR(T1243="",I1243&lt;T1243),"",IFERROR(AF1243/-(R1243/IF(G1243="",I1243,G1243)-1),""))</f>
        <v/>
      </c>
      <c r="AH1243" s="94" t="n"/>
      <c r="AI1243" s="94" t="n"/>
      <c r="AJ1243" s="94" t="n"/>
      <c r="AK1243" s="94" t="n"/>
      <c r="AL1243" s="84" t="n"/>
    </row>
    <row r="1244">
      <c r="A1244" s="64" t="n"/>
      <c r="B1244" s="65" t="n"/>
      <c r="C1244" s="66" t="n"/>
      <c r="D1244" s="67" t="n"/>
      <c r="E1244" s="68" t="n"/>
      <c r="F1244" s="47">
        <f>IF(A1244="","",IF(MIN(H1244,MAX(J1244:K1244))=0,"",MIN(H1244,MAX(J1244:K1244))))</f>
        <v/>
      </c>
      <c r="G1244" s="74" t="n"/>
      <c r="H1244" s="49">
        <f>IF(M1244="","",IFERROR(ROUND(AVERAGE(T1244+M1244*{7,8,9,10,11})/1.21,4),""))</f>
        <v/>
      </c>
      <c r="I1244" s="76" t="n"/>
      <c r="J1244" s="77" t="n"/>
      <c r="K1244" s="74" t="n"/>
      <c r="L1244" s="78" t="n"/>
      <c r="M1244" s="77" t="n"/>
      <c r="N1244" s="53">
        <f>IF(M1244="","",IFERROR(M1244/I1244,""))</f>
        <v/>
      </c>
      <c r="O1244" s="50">
        <f>IF(A1244="","",IFERROR((IF(G1244="",I1244,G1244)-T1244)/M1244,""))</f>
        <v/>
      </c>
      <c r="P1244" s="50">
        <f>IFERROR((I1244/T1244-1)/N1244,"")</f>
        <v/>
      </c>
      <c r="Q1244" s="46">
        <f>IF(OR(T1244="",I1244&lt;T1244),"",IFERROR(R1244/IF(G1244="",I1244,G1244)-1,""))</f>
        <v/>
      </c>
      <c r="R1244" s="48">
        <f>IF($M1244="","",MAX(IF($G1244="",$I1244,$G1244)*(1/1.1),IF($G1244="",$I1244,$G1244)+(R$2*$M1244)))</f>
        <v/>
      </c>
      <c r="S1244" s="49">
        <f>IF($M1244="","",MAX(IF($G1244="",$I1244,$G1244)*(1/1.1),IF($G1244="",$I1244,$G1244)+(S$2*$M1244)))</f>
        <v/>
      </c>
      <c r="T1244" s="82" t="n"/>
      <c r="U1244" s="47">
        <f>IF(OR($M1244="",$T1244=""),"",$T1244+(U$2*$M1244))</f>
        <v/>
      </c>
      <c r="V1244" s="48">
        <f>IF(OR($M1244="",$T1244=""),"",$T1244+(V$2*$M1244))</f>
        <v/>
      </c>
      <c r="W1244" s="48">
        <f>IF(OR($M1244="",$T1244=""),"",$T1244+(W$2*$M1244))</f>
        <v/>
      </c>
      <c r="X1244" s="49">
        <f>IF(OR($M1244="",$T1244=""),"",$T1244+(X$2*$M1244))</f>
        <v/>
      </c>
      <c r="Y1244" s="47">
        <f>IF(OR($M1244="",$T1244=""),"",$T1244+(Y$2*$M1244))</f>
        <v/>
      </c>
      <c r="Z1244" s="49">
        <f>IF(OR($M1244="",$T1244=""),"",$T1244+(Z$2*$M1244))</f>
        <v/>
      </c>
      <c r="AA1244" s="51">
        <f>IF(OR($M1244="",$T1244=""),"",$T1244+(AA$2*$M1244))</f>
        <v/>
      </c>
      <c r="AB1244" s="48">
        <f>IF(OR($M1244="",$T1244=""),"",$T1244+(AB$2*$M1244))</f>
        <v/>
      </c>
      <c r="AC1244" s="48">
        <f>IF(OR($M1244="",$T1244=""),"",$T1244+(AC$2*$M1244))</f>
        <v/>
      </c>
      <c r="AD1244" s="48">
        <f>IF(OR($M1244="",$T1244=""),"",$T1244+(AD$2*$M1244))</f>
        <v/>
      </c>
      <c r="AE1244" s="49">
        <f>IF(OR($M1244="",$T1244=""),"",$T1244+(AE$2*$M1244))</f>
        <v/>
      </c>
      <c r="AF1244" s="52">
        <f>IF(OR(T1244="",I1244&lt;T1244),"",IFERROR(AVERAGE(T1244+M1244*{7,8,9,10,11})/IF(G1244="",I1244,G1244)-1,""))</f>
        <v/>
      </c>
      <c r="AG1244" s="55">
        <f>IF(OR(T1244="",I1244&lt;T1244),"",IFERROR(AF1244/-(R1244/IF(G1244="",I1244,G1244)-1),""))</f>
        <v/>
      </c>
      <c r="AH1244" s="94" t="n"/>
      <c r="AI1244" s="94" t="n"/>
      <c r="AJ1244" s="94" t="n"/>
      <c r="AK1244" s="94" t="n"/>
      <c r="AL1244" s="84" t="n"/>
    </row>
    <row r="1245">
      <c r="A1245" s="64" t="n"/>
      <c r="B1245" s="65" t="n"/>
      <c r="C1245" s="66" t="n"/>
      <c r="D1245" s="67" t="n"/>
      <c r="E1245" s="68" t="n"/>
      <c r="F1245" s="47">
        <f>IF(A1245="","",IF(MIN(H1245,MAX(J1245:K1245))=0,"",MIN(H1245,MAX(J1245:K1245))))</f>
        <v/>
      </c>
      <c r="G1245" s="74" t="n"/>
      <c r="H1245" s="49">
        <f>IF(M1245="","",IFERROR(ROUND(AVERAGE(T1245+M1245*{7,8,9,10,11})/1.21,4),""))</f>
        <v/>
      </c>
      <c r="I1245" s="76" t="n"/>
      <c r="J1245" s="77" t="n"/>
      <c r="K1245" s="74" t="n"/>
      <c r="L1245" s="78" t="n"/>
      <c r="M1245" s="77" t="n"/>
      <c r="N1245" s="53">
        <f>IF(M1245="","",IFERROR(M1245/I1245,""))</f>
        <v/>
      </c>
      <c r="O1245" s="50">
        <f>IF(A1245="","",IFERROR((IF(G1245="",I1245,G1245)-T1245)/M1245,""))</f>
        <v/>
      </c>
      <c r="P1245" s="50">
        <f>IFERROR((I1245/T1245-1)/N1245,"")</f>
        <v/>
      </c>
      <c r="Q1245" s="46">
        <f>IF(OR(T1245="",I1245&lt;T1245),"",IFERROR(R1245/IF(G1245="",I1245,G1245)-1,""))</f>
        <v/>
      </c>
      <c r="R1245" s="48">
        <f>IF($M1245="","",MAX(IF($G1245="",$I1245,$G1245)*(1/1.1),IF($G1245="",$I1245,$G1245)+(R$2*$M1245)))</f>
        <v/>
      </c>
      <c r="S1245" s="49">
        <f>IF($M1245="","",MAX(IF($G1245="",$I1245,$G1245)*(1/1.1),IF($G1245="",$I1245,$G1245)+(S$2*$M1245)))</f>
        <v/>
      </c>
      <c r="T1245" s="82" t="n"/>
      <c r="U1245" s="47">
        <f>IF(OR($M1245="",$T1245=""),"",$T1245+(U$2*$M1245))</f>
        <v/>
      </c>
      <c r="V1245" s="48">
        <f>IF(OR($M1245="",$T1245=""),"",$T1245+(V$2*$M1245))</f>
        <v/>
      </c>
      <c r="W1245" s="48">
        <f>IF(OR($M1245="",$T1245=""),"",$T1245+(W$2*$M1245))</f>
        <v/>
      </c>
      <c r="X1245" s="49">
        <f>IF(OR($M1245="",$T1245=""),"",$T1245+(X$2*$M1245))</f>
        <v/>
      </c>
      <c r="Y1245" s="47">
        <f>IF(OR($M1245="",$T1245=""),"",$T1245+(Y$2*$M1245))</f>
        <v/>
      </c>
      <c r="Z1245" s="49">
        <f>IF(OR($M1245="",$T1245=""),"",$T1245+(Z$2*$M1245))</f>
        <v/>
      </c>
      <c r="AA1245" s="51">
        <f>IF(OR($M1245="",$T1245=""),"",$T1245+(AA$2*$M1245))</f>
        <v/>
      </c>
      <c r="AB1245" s="48">
        <f>IF(OR($M1245="",$T1245=""),"",$T1245+(AB$2*$M1245))</f>
        <v/>
      </c>
      <c r="AC1245" s="48">
        <f>IF(OR($M1245="",$T1245=""),"",$T1245+(AC$2*$M1245))</f>
        <v/>
      </c>
      <c r="AD1245" s="48">
        <f>IF(OR($M1245="",$T1245=""),"",$T1245+(AD$2*$M1245))</f>
        <v/>
      </c>
      <c r="AE1245" s="49">
        <f>IF(OR($M1245="",$T1245=""),"",$T1245+(AE$2*$M1245))</f>
        <v/>
      </c>
      <c r="AF1245" s="52">
        <f>IF(OR(T1245="",I1245&lt;T1245),"",IFERROR(AVERAGE(T1245+M1245*{7,8,9,10,11})/IF(G1245="",I1245,G1245)-1,""))</f>
        <v/>
      </c>
      <c r="AG1245" s="55">
        <f>IF(OR(T1245="",I1245&lt;T1245),"",IFERROR(AF1245/-(R1245/IF(G1245="",I1245,G1245)-1),""))</f>
        <v/>
      </c>
      <c r="AH1245" s="94" t="n"/>
      <c r="AI1245" s="94" t="n"/>
      <c r="AJ1245" s="94" t="n"/>
      <c r="AK1245" s="94" t="n"/>
      <c r="AL1245" s="84" t="n"/>
    </row>
    <row r="1246">
      <c r="A1246" s="64" t="n"/>
      <c r="B1246" s="65" t="n"/>
      <c r="C1246" s="66" t="n"/>
      <c r="D1246" s="67" t="n"/>
      <c r="E1246" s="68" t="n"/>
      <c r="F1246" s="47">
        <f>IF(A1246="","",IF(MIN(H1246,MAX(J1246:K1246))=0,"",MIN(H1246,MAX(J1246:K1246))))</f>
        <v/>
      </c>
      <c r="G1246" s="74" t="n"/>
      <c r="H1246" s="49">
        <f>IF(M1246="","",IFERROR(ROUND(AVERAGE(T1246+M1246*{7,8,9,10,11})/1.21,4),""))</f>
        <v/>
      </c>
      <c r="I1246" s="76" t="n"/>
      <c r="J1246" s="77" t="n"/>
      <c r="K1246" s="74" t="n"/>
      <c r="L1246" s="78" t="n"/>
      <c r="M1246" s="77" t="n"/>
      <c r="N1246" s="53">
        <f>IF(M1246="","",IFERROR(M1246/I1246,""))</f>
        <v/>
      </c>
      <c r="O1246" s="50">
        <f>IF(A1246="","",IFERROR((IF(G1246="",I1246,G1246)-T1246)/M1246,""))</f>
        <v/>
      </c>
      <c r="P1246" s="50">
        <f>IFERROR((I1246/T1246-1)/N1246,"")</f>
        <v/>
      </c>
      <c r="Q1246" s="46">
        <f>IF(OR(T1246="",I1246&lt;T1246),"",IFERROR(R1246/IF(G1246="",I1246,G1246)-1,""))</f>
        <v/>
      </c>
      <c r="R1246" s="48">
        <f>IF($M1246="","",MAX(IF($G1246="",$I1246,$G1246)*(1/1.1),IF($G1246="",$I1246,$G1246)+(R$2*$M1246)))</f>
        <v/>
      </c>
      <c r="S1246" s="49">
        <f>IF($M1246="","",MAX(IF($G1246="",$I1246,$G1246)*(1/1.1),IF($G1246="",$I1246,$G1246)+(S$2*$M1246)))</f>
        <v/>
      </c>
      <c r="T1246" s="82" t="n"/>
      <c r="U1246" s="47">
        <f>IF(OR($M1246="",$T1246=""),"",$T1246+(U$2*$M1246))</f>
        <v/>
      </c>
      <c r="V1246" s="48">
        <f>IF(OR($M1246="",$T1246=""),"",$T1246+(V$2*$M1246))</f>
        <v/>
      </c>
      <c r="W1246" s="48">
        <f>IF(OR($M1246="",$T1246=""),"",$T1246+(W$2*$M1246))</f>
        <v/>
      </c>
      <c r="X1246" s="49">
        <f>IF(OR($M1246="",$T1246=""),"",$T1246+(X$2*$M1246))</f>
        <v/>
      </c>
      <c r="Y1246" s="47">
        <f>IF(OR($M1246="",$T1246=""),"",$T1246+(Y$2*$M1246))</f>
        <v/>
      </c>
      <c r="Z1246" s="49">
        <f>IF(OR($M1246="",$T1246=""),"",$T1246+(Z$2*$M1246))</f>
        <v/>
      </c>
      <c r="AA1246" s="51">
        <f>IF(OR($M1246="",$T1246=""),"",$T1246+(AA$2*$M1246))</f>
        <v/>
      </c>
      <c r="AB1246" s="48">
        <f>IF(OR($M1246="",$T1246=""),"",$T1246+(AB$2*$M1246))</f>
        <v/>
      </c>
      <c r="AC1246" s="48">
        <f>IF(OR($M1246="",$T1246=""),"",$T1246+(AC$2*$M1246))</f>
        <v/>
      </c>
      <c r="AD1246" s="48">
        <f>IF(OR($M1246="",$T1246=""),"",$T1246+(AD$2*$M1246))</f>
        <v/>
      </c>
      <c r="AE1246" s="49">
        <f>IF(OR($M1246="",$T1246=""),"",$T1246+(AE$2*$M1246))</f>
        <v/>
      </c>
      <c r="AF1246" s="52">
        <f>IF(OR(T1246="",I1246&lt;T1246),"",IFERROR(AVERAGE(T1246+M1246*{7,8,9,10,11})/IF(G1246="",I1246,G1246)-1,""))</f>
        <v/>
      </c>
      <c r="AG1246" s="55">
        <f>IF(OR(T1246="",I1246&lt;T1246),"",IFERROR(AF1246/-(R1246/IF(G1246="",I1246,G1246)-1),""))</f>
        <v/>
      </c>
      <c r="AH1246" s="94" t="n"/>
      <c r="AI1246" s="94" t="n"/>
      <c r="AJ1246" s="94" t="n"/>
      <c r="AK1246" s="94" t="n"/>
      <c r="AL1246" s="84" t="n"/>
    </row>
    <row r="1247">
      <c r="A1247" s="64" t="n"/>
      <c r="B1247" s="65" t="n"/>
      <c r="C1247" s="66" t="n"/>
      <c r="D1247" s="67" t="n"/>
      <c r="E1247" s="68" t="n"/>
      <c r="F1247" s="47">
        <f>IF(A1247="","",IF(MIN(H1247,MAX(J1247:K1247))=0,"",MIN(H1247,MAX(J1247:K1247))))</f>
        <v/>
      </c>
      <c r="G1247" s="74" t="n"/>
      <c r="H1247" s="49">
        <f>IF(M1247="","",IFERROR(ROUND(AVERAGE(T1247+M1247*{7,8,9,10,11})/1.21,4),""))</f>
        <v/>
      </c>
      <c r="I1247" s="76" t="n"/>
      <c r="J1247" s="77" t="n"/>
      <c r="K1247" s="74" t="n"/>
      <c r="L1247" s="78" t="n"/>
      <c r="M1247" s="77" t="n"/>
      <c r="N1247" s="53">
        <f>IF(M1247="","",IFERROR(M1247/I1247,""))</f>
        <v/>
      </c>
      <c r="O1247" s="50">
        <f>IF(A1247="","",IFERROR((IF(G1247="",I1247,G1247)-T1247)/M1247,""))</f>
        <v/>
      </c>
      <c r="P1247" s="50">
        <f>IFERROR((I1247/T1247-1)/N1247,"")</f>
        <v/>
      </c>
      <c r="Q1247" s="46">
        <f>IF(OR(T1247="",I1247&lt;T1247),"",IFERROR(R1247/IF(G1247="",I1247,G1247)-1,""))</f>
        <v/>
      </c>
      <c r="R1247" s="48">
        <f>IF($M1247="","",MAX(IF($G1247="",$I1247,$G1247)*(1/1.1),IF($G1247="",$I1247,$G1247)+(R$2*$M1247)))</f>
        <v/>
      </c>
      <c r="S1247" s="49">
        <f>IF($M1247="","",MAX(IF($G1247="",$I1247,$G1247)*(1/1.1),IF($G1247="",$I1247,$G1247)+(S$2*$M1247)))</f>
        <v/>
      </c>
      <c r="T1247" s="82" t="n"/>
      <c r="U1247" s="47">
        <f>IF(OR($M1247="",$T1247=""),"",$T1247+(U$2*$M1247))</f>
        <v/>
      </c>
      <c r="V1247" s="48">
        <f>IF(OR($M1247="",$T1247=""),"",$T1247+(V$2*$M1247))</f>
        <v/>
      </c>
      <c r="W1247" s="48">
        <f>IF(OR($M1247="",$T1247=""),"",$T1247+(W$2*$M1247))</f>
        <v/>
      </c>
      <c r="X1247" s="49">
        <f>IF(OR($M1247="",$T1247=""),"",$T1247+(X$2*$M1247))</f>
        <v/>
      </c>
      <c r="Y1247" s="47">
        <f>IF(OR($M1247="",$T1247=""),"",$T1247+(Y$2*$M1247))</f>
        <v/>
      </c>
      <c r="Z1247" s="49">
        <f>IF(OR($M1247="",$T1247=""),"",$T1247+(Z$2*$M1247))</f>
        <v/>
      </c>
      <c r="AA1247" s="51">
        <f>IF(OR($M1247="",$T1247=""),"",$T1247+(AA$2*$M1247))</f>
        <v/>
      </c>
      <c r="AB1247" s="48">
        <f>IF(OR($M1247="",$T1247=""),"",$T1247+(AB$2*$M1247))</f>
        <v/>
      </c>
      <c r="AC1247" s="48">
        <f>IF(OR($M1247="",$T1247=""),"",$T1247+(AC$2*$M1247))</f>
        <v/>
      </c>
      <c r="AD1247" s="48">
        <f>IF(OR($M1247="",$T1247=""),"",$T1247+(AD$2*$M1247))</f>
        <v/>
      </c>
      <c r="AE1247" s="49">
        <f>IF(OR($M1247="",$T1247=""),"",$T1247+(AE$2*$M1247))</f>
        <v/>
      </c>
      <c r="AF1247" s="52">
        <f>IF(OR(T1247="",I1247&lt;T1247),"",IFERROR(AVERAGE(T1247+M1247*{7,8,9,10,11})/IF(G1247="",I1247,G1247)-1,""))</f>
        <v/>
      </c>
      <c r="AG1247" s="55">
        <f>IF(OR(T1247="",I1247&lt;T1247),"",IFERROR(AF1247/-(R1247/IF(G1247="",I1247,G1247)-1),""))</f>
        <v/>
      </c>
      <c r="AH1247" s="94" t="n"/>
      <c r="AI1247" s="94" t="n"/>
      <c r="AJ1247" s="94" t="n"/>
      <c r="AK1247" s="94" t="n"/>
      <c r="AL1247" s="84" t="n"/>
    </row>
    <row r="1248">
      <c r="A1248" s="64" t="n"/>
      <c r="B1248" s="65" t="n"/>
      <c r="C1248" s="66" t="n"/>
      <c r="D1248" s="67" t="n"/>
      <c r="E1248" s="68" t="n"/>
      <c r="F1248" s="47">
        <f>IF(A1248="","",IF(MIN(H1248,MAX(J1248:K1248))=0,"",MIN(H1248,MAX(J1248:K1248))))</f>
        <v/>
      </c>
      <c r="G1248" s="74" t="n"/>
      <c r="H1248" s="49">
        <f>IF(M1248="","",IFERROR(ROUND(AVERAGE(T1248+M1248*{7,8,9,10,11})/1.21,4),""))</f>
        <v/>
      </c>
      <c r="I1248" s="76" t="n"/>
      <c r="J1248" s="77" t="n"/>
      <c r="K1248" s="74" t="n"/>
      <c r="L1248" s="78" t="n"/>
      <c r="M1248" s="77" t="n"/>
      <c r="N1248" s="53">
        <f>IF(M1248="","",IFERROR(M1248/I1248,""))</f>
        <v/>
      </c>
      <c r="O1248" s="50">
        <f>IF(A1248="","",IFERROR((IF(G1248="",I1248,G1248)-T1248)/M1248,""))</f>
        <v/>
      </c>
      <c r="P1248" s="50">
        <f>IFERROR((I1248/T1248-1)/N1248,"")</f>
        <v/>
      </c>
      <c r="Q1248" s="46">
        <f>IF(OR(T1248="",I1248&lt;T1248),"",IFERROR(R1248/IF(G1248="",I1248,G1248)-1,""))</f>
        <v/>
      </c>
      <c r="R1248" s="48">
        <f>IF($M1248="","",MAX(IF($G1248="",$I1248,$G1248)*(1/1.1),IF($G1248="",$I1248,$G1248)+(R$2*$M1248)))</f>
        <v/>
      </c>
      <c r="S1248" s="49">
        <f>IF($M1248="","",MAX(IF($G1248="",$I1248,$G1248)*(1/1.1),IF($G1248="",$I1248,$G1248)+(S$2*$M1248)))</f>
        <v/>
      </c>
      <c r="T1248" s="82" t="n"/>
      <c r="U1248" s="47">
        <f>IF(OR($M1248="",$T1248=""),"",$T1248+(U$2*$M1248))</f>
        <v/>
      </c>
      <c r="V1248" s="48">
        <f>IF(OR($M1248="",$T1248=""),"",$T1248+(V$2*$M1248))</f>
        <v/>
      </c>
      <c r="W1248" s="48">
        <f>IF(OR($M1248="",$T1248=""),"",$T1248+(W$2*$M1248))</f>
        <v/>
      </c>
      <c r="X1248" s="49">
        <f>IF(OR($M1248="",$T1248=""),"",$T1248+(X$2*$M1248))</f>
        <v/>
      </c>
      <c r="Y1248" s="47">
        <f>IF(OR($M1248="",$T1248=""),"",$T1248+(Y$2*$M1248))</f>
        <v/>
      </c>
      <c r="Z1248" s="49">
        <f>IF(OR($M1248="",$T1248=""),"",$T1248+(Z$2*$M1248))</f>
        <v/>
      </c>
      <c r="AA1248" s="51">
        <f>IF(OR($M1248="",$T1248=""),"",$T1248+(AA$2*$M1248))</f>
        <v/>
      </c>
      <c r="AB1248" s="48">
        <f>IF(OR($M1248="",$T1248=""),"",$T1248+(AB$2*$M1248))</f>
        <v/>
      </c>
      <c r="AC1248" s="48">
        <f>IF(OR($M1248="",$T1248=""),"",$T1248+(AC$2*$M1248))</f>
        <v/>
      </c>
      <c r="AD1248" s="48">
        <f>IF(OR($M1248="",$T1248=""),"",$T1248+(AD$2*$M1248))</f>
        <v/>
      </c>
      <c r="AE1248" s="49">
        <f>IF(OR($M1248="",$T1248=""),"",$T1248+(AE$2*$M1248))</f>
        <v/>
      </c>
      <c r="AF1248" s="52">
        <f>IF(OR(T1248="",I1248&lt;T1248),"",IFERROR(AVERAGE(T1248+M1248*{7,8,9,10,11})/IF(G1248="",I1248,G1248)-1,""))</f>
        <v/>
      </c>
      <c r="AG1248" s="55">
        <f>IF(OR(T1248="",I1248&lt;T1248),"",IFERROR(AF1248/-(R1248/IF(G1248="",I1248,G1248)-1),""))</f>
        <v/>
      </c>
      <c r="AH1248" s="94" t="n"/>
      <c r="AI1248" s="94" t="n"/>
      <c r="AJ1248" s="94" t="n"/>
      <c r="AK1248" s="94" t="n"/>
      <c r="AL1248" s="84" t="n"/>
    </row>
    <row r="1249">
      <c r="A1249" s="64" t="n"/>
      <c r="B1249" s="65" t="n"/>
      <c r="C1249" s="66" t="n"/>
      <c r="D1249" s="67" t="n"/>
      <c r="E1249" s="68" t="n"/>
      <c r="F1249" s="47">
        <f>IF(A1249="","",IF(MIN(H1249,MAX(J1249:K1249))=0,"",MIN(H1249,MAX(J1249:K1249))))</f>
        <v/>
      </c>
      <c r="G1249" s="74" t="n"/>
      <c r="H1249" s="49">
        <f>IF(M1249="","",IFERROR(ROUND(AVERAGE(T1249+M1249*{7,8,9,10,11})/1.21,4),""))</f>
        <v/>
      </c>
      <c r="I1249" s="76" t="n"/>
      <c r="J1249" s="77" t="n"/>
      <c r="K1249" s="74" t="n"/>
      <c r="L1249" s="78" t="n"/>
      <c r="M1249" s="77" t="n"/>
      <c r="N1249" s="53">
        <f>IF(M1249="","",IFERROR(M1249/I1249,""))</f>
        <v/>
      </c>
      <c r="O1249" s="50">
        <f>IF(A1249="","",IFERROR((IF(G1249="",I1249,G1249)-T1249)/M1249,""))</f>
        <v/>
      </c>
      <c r="P1249" s="50">
        <f>IFERROR((I1249/T1249-1)/N1249,"")</f>
        <v/>
      </c>
      <c r="Q1249" s="46">
        <f>IF(OR(T1249="",I1249&lt;T1249),"",IFERROR(R1249/IF(G1249="",I1249,G1249)-1,""))</f>
        <v/>
      </c>
      <c r="R1249" s="48">
        <f>IF($M1249="","",MAX(IF($G1249="",$I1249,$G1249)*(1/1.1),IF($G1249="",$I1249,$G1249)+(R$2*$M1249)))</f>
        <v/>
      </c>
      <c r="S1249" s="49">
        <f>IF($M1249="","",MAX(IF($G1249="",$I1249,$G1249)*(1/1.1),IF($G1249="",$I1249,$G1249)+(S$2*$M1249)))</f>
        <v/>
      </c>
      <c r="T1249" s="82" t="n"/>
      <c r="U1249" s="47">
        <f>IF(OR($M1249="",$T1249=""),"",$T1249+(U$2*$M1249))</f>
        <v/>
      </c>
      <c r="V1249" s="48">
        <f>IF(OR($M1249="",$T1249=""),"",$T1249+(V$2*$M1249))</f>
        <v/>
      </c>
      <c r="W1249" s="48">
        <f>IF(OR($M1249="",$T1249=""),"",$T1249+(W$2*$M1249))</f>
        <v/>
      </c>
      <c r="X1249" s="49">
        <f>IF(OR($M1249="",$T1249=""),"",$T1249+(X$2*$M1249))</f>
        <v/>
      </c>
      <c r="Y1249" s="47">
        <f>IF(OR($M1249="",$T1249=""),"",$T1249+(Y$2*$M1249))</f>
        <v/>
      </c>
      <c r="Z1249" s="49">
        <f>IF(OR($M1249="",$T1249=""),"",$T1249+(Z$2*$M1249))</f>
        <v/>
      </c>
      <c r="AA1249" s="51">
        <f>IF(OR($M1249="",$T1249=""),"",$T1249+(AA$2*$M1249))</f>
        <v/>
      </c>
      <c r="AB1249" s="48">
        <f>IF(OR($M1249="",$T1249=""),"",$T1249+(AB$2*$M1249))</f>
        <v/>
      </c>
      <c r="AC1249" s="48">
        <f>IF(OR($M1249="",$T1249=""),"",$T1249+(AC$2*$M1249))</f>
        <v/>
      </c>
      <c r="AD1249" s="48">
        <f>IF(OR($M1249="",$T1249=""),"",$T1249+(AD$2*$M1249))</f>
        <v/>
      </c>
      <c r="AE1249" s="49">
        <f>IF(OR($M1249="",$T1249=""),"",$T1249+(AE$2*$M1249))</f>
        <v/>
      </c>
      <c r="AF1249" s="52">
        <f>IF(OR(T1249="",I1249&lt;T1249),"",IFERROR(AVERAGE(T1249+M1249*{7,8,9,10,11})/IF(G1249="",I1249,G1249)-1,""))</f>
        <v/>
      </c>
      <c r="AG1249" s="55">
        <f>IF(OR(T1249="",I1249&lt;T1249),"",IFERROR(AF1249/-(R1249/IF(G1249="",I1249,G1249)-1),""))</f>
        <v/>
      </c>
      <c r="AH1249" s="94" t="n"/>
      <c r="AI1249" s="94" t="n"/>
      <c r="AJ1249" s="94" t="n"/>
      <c r="AK1249" s="94" t="n"/>
      <c r="AL1249" s="84" t="n"/>
    </row>
    <row r="1250">
      <c r="A1250" s="64" t="n"/>
      <c r="B1250" s="65" t="n"/>
      <c r="C1250" s="66" t="n"/>
      <c r="D1250" s="67" t="n"/>
      <c r="E1250" s="68" t="n"/>
      <c r="F1250" s="47">
        <f>IF(A1250="","",IF(MIN(H1250,MAX(J1250:K1250))=0,"",MIN(H1250,MAX(J1250:K1250))))</f>
        <v/>
      </c>
      <c r="G1250" s="74" t="n"/>
      <c r="H1250" s="49">
        <f>IF(M1250="","",IFERROR(ROUND(AVERAGE(T1250+M1250*{7,8,9,10,11})/1.21,4),""))</f>
        <v/>
      </c>
      <c r="I1250" s="76" t="n"/>
      <c r="J1250" s="77" t="n"/>
      <c r="K1250" s="74" t="n"/>
      <c r="L1250" s="78" t="n"/>
      <c r="M1250" s="77" t="n"/>
      <c r="N1250" s="53">
        <f>IF(M1250="","",IFERROR(M1250/I1250,""))</f>
        <v/>
      </c>
      <c r="O1250" s="50">
        <f>IF(A1250="","",IFERROR((IF(G1250="",I1250,G1250)-T1250)/M1250,""))</f>
        <v/>
      </c>
      <c r="P1250" s="50">
        <f>IFERROR((I1250/T1250-1)/N1250,"")</f>
        <v/>
      </c>
      <c r="Q1250" s="46">
        <f>IF(OR(T1250="",I1250&lt;T1250),"",IFERROR(R1250/IF(G1250="",I1250,G1250)-1,""))</f>
        <v/>
      </c>
      <c r="R1250" s="48">
        <f>IF($M1250="","",MAX(IF($G1250="",$I1250,$G1250)*(1/1.1),IF($G1250="",$I1250,$G1250)+(R$2*$M1250)))</f>
        <v/>
      </c>
      <c r="S1250" s="49">
        <f>IF($M1250="","",MAX(IF($G1250="",$I1250,$G1250)*(1/1.1),IF($G1250="",$I1250,$G1250)+(S$2*$M1250)))</f>
        <v/>
      </c>
      <c r="T1250" s="82" t="n"/>
      <c r="U1250" s="47">
        <f>IF(OR($M1250="",$T1250=""),"",$T1250+(U$2*$M1250))</f>
        <v/>
      </c>
      <c r="V1250" s="48">
        <f>IF(OR($M1250="",$T1250=""),"",$T1250+(V$2*$M1250))</f>
        <v/>
      </c>
      <c r="W1250" s="48">
        <f>IF(OR($M1250="",$T1250=""),"",$T1250+(W$2*$M1250))</f>
        <v/>
      </c>
      <c r="X1250" s="49">
        <f>IF(OR($M1250="",$T1250=""),"",$T1250+(X$2*$M1250))</f>
        <v/>
      </c>
      <c r="Y1250" s="47">
        <f>IF(OR($M1250="",$T1250=""),"",$T1250+(Y$2*$M1250))</f>
        <v/>
      </c>
      <c r="Z1250" s="49">
        <f>IF(OR($M1250="",$T1250=""),"",$T1250+(Z$2*$M1250))</f>
        <v/>
      </c>
      <c r="AA1250" s="51">
        <f>IF(OR($M1250="",$T1250=""),"",$T1250+(AA$2*$M1250))</f>
        <v/>
      </c>
      <c r="AB1250" s="48">
        <f>IF(OR($M1250="",$T1250=""),"",$T1250+(AB$2*$M1250))</f>
        <v/>
      </c>
      <c r="AC1250" s="48">
        <f>IF(OR($M1250="",$T1250=""),"",$T1250+(AC$2*$M1250))</f>
        <v/>
      </c>
      <c r="AD1250" s="48">
        <f>IF(OR($M1250="",$T1250=""),"",$T1250+(AD$2*$M1250))</f>
        <v/>
      </c>
      <c r="AE1250" s="49">
        <f>IF(OR($M1250="",$T1250=""),"",$T1250+(AE$2*$M1250))</f>
        <v/>
      </c>
      <c r="AF1250" s="52">
        <f>IF(OR(T1250="",I1250&lt;T1250),"",IFERROR(AVERAGE(T1250+M1250*{7,8,9,10,11})/IF(G1250="",I1250,G1250)-1,""))</f>
        <v/>
      </c>
      <c r="AG1250" s="55">
        <f>IF(OR(T1250="",I1250&lt;T1250),"",IFERROR(AF1250/-(R1250/IF(G1250="",I1250,G1250)-1),""))</f>
        <v/>
      </c>
      <c r="AH1250" s="94" t="n"/>
      <c r="AI1250" s="94" t="n"/>
      <c r="AJ1250" s="94" t="n"/>
      <c r="AK1250" s="94" t="n"/>
      <c r="AL1250" s="84" t="n"/>
    </row>
    <row r="1251">
      <c r="A1251" s="64" t="n"/>
      <c r="B1251" s="65" t="n"/>
      <c r="C1251" s="66" t="n"/>
      <c r="D1251" s="67" t="n"/>
      <c r="E1251" s="68" t="n"/>
      <c r="F1251" s="47">
        <f>IF(A1251="","",IF(MIN(H1251,MAX(J1251:K1251))=0,"",MIN(H1251,MAX(J1251:K1251))))</f>
        <v/>
      </c>
      <c r="G1251" s="74" t="n"/>
      <c r="H1251" s="49">
        <f>IF(M1251="","",IFERROR(ROUND(AVERAGE(T1251+M1251*{7,8,9,10,11})/1.21,4),""))</f>
        <v/>
      </c>
      <c r="I1251" s="76" t="n"/>
      <c r="J1251" s="77" t="n"/>
      <c r="K1251" s="74" t="n"/>
      <c r="L1251" s="78" t="n"/>
      <c r="M1251" s="77" t="n"/>
      <c r="N1251" s="53">
        <f>IF(M1251="","",IFERROR(M1251/I1251,""))</f>
        <v/>
      </c>
      <c r="O1251" s="50">
        <f>IF(A1251="","",IFERROR((IF(G1251="",I1251,G1251)-T1251)/M1251,""))</f>
        <v/>
      </c>
      <c r="P1251" s="50">
        <f>IFERROR((I1251/T1251-1)/N1251,"")</f>
        <v/>
      </c>
      <c r="Q1251" s="46">
        <f>IF(OR(T1251="",I1251&lt;T1251),"",IFERROR(R1251/IF(G1251="",I1251,G1251)-1,""))</f>
        <v/>
      </c>
      <c r="R1251" s="48">
        <f>IF($M1251="","",MAX(IF($G1251="",$I1251,$G1251)*(1/1.1),IF($G1251="",$I1251,$G1251)+(R$2*$M1251)))</f>
        <v/>
      </c>
      <c r="S1251" s="49">
        <f>IF($M1251="","",MAX(IF($G1251="",$I1251,$G1251)*(1/1.1),IF($G1251="",$I1251,$G1251)+(S$2*$M1251)))</f>
        <v/>
      </c>
      <c r="T1251" s="82" t="n"/>
      <c r="U1251" s="47">
        <f>IF(OR($M1251="",$T1251=""),"",$T1251+(U$2*$M1251))</f>
        <v/>
      </c>
      <c r="V1251" s="48">
        <f>IF(OR($M1251="",$T1251=""),"",$T1251+(V$2*$M1251))</f>
        <v/>
      </c>
      <c r="W1251" s="48">
        <f>IF(OR($M1251="",$T1251=""),"",$T1251+(W$2*$M1251))</f>
        <v/>
      </c>
      <c r="X1251" s="49">
        <f>IF(OR($M1251="",$T1251=""),"",$T1251+(X$2*$M1251))</f>
        <v/>
      </c>
      <c r="Y1251" s="47">
        <f>IF(OR($M1251="",$T1251=""),"",$T1251+(Y$2*$M1251))</f>
        <v/>
      </c>
      <c r="Z1251" s="49">
        <f>IF(OR($M1251="",$T1251=""),"",$T1251+(Z$2*$M1251))</f>
        <v/>
      </c>
      <c r="AA1251" s="51">
        <f>IF(OR($M1251="",$T1251=""),"",$T1251+(AA$2*$M1251))</f>
        <v/>
      </c>
      <c r="AB1251" s="48">
        <f>IF(OR($M1251="",$T1251=""),"",$T1251+(AB$2*$M1251))</f>
        <v/>
      </c>
      <c r="AC1251" s="48">
        <f>IF(OR($M1251="",$T1251=""),"",$T1251+(AC$2*$M1251))</f>
        <v/>
      </c>
      <c r="AD1251" s="48">
        <f>IF(OR($M1251="",$T1251=""),"",$T1251+(AD$2*$M1251))</f>
        <v/>
      </c>
      <c r="AE1251" s="49">
        <f>IF(OR($M1251="",$T1251=""),"",$T1251+(AE$2*$M1251))</f>
        <v/>
      </c>
      <c r="AF1251" s="52">
        <f>IF(OR(T1251="",I1251&lt;T1251),"",IFERROR(AVERAGE(T1251+M1251*{7,8,9,10,11})/IF(G1251="",I1251,G1251)-1,""))</f>
        <v/>
      </c>
      <c r="AG1251" s="55">
        <f>IF(OR(T1251="",I1251&lt;T1251),"",IFERROR(AF1251/-(R1251/IF(G1251="",I1251,G1251)-1),""))</f>
        <v/>
      </c>
      <c r="AH1251" s="94" t="n"/>
      <c r="AI1251" s="94" t="n"/>
      <c r="AJ1251" s="94" t="n"/>
      <c r="AK1251" s="94" t="n"/>
      <c r="AL1251" s="84" t="n"/>
    </row>
    <row r="1252">
      <c r="A1252" s="64" t="n"/>
      <c r="B1252" s="65" t="n"/>
      <c r="C1252" s="66" t="n"/>
      <c r="D1252" s="67" t="n"/>
      <c r="E1252" s="68" t="n"/>
      <c r="F1252" s="47">
        <f>IF(A1252="","",IF(MIN(H1252,MAX(J1252:K1252))=0,"",MIN(H1252,MAX(J1252:K1252))))</f>
        <v/>
      </c>
      <c r="G1252" s="74" t="n"/>
      <c r="H1252" s="49">
        <f>IF(M1252="","",IFERROR(ROUND(AVERAGE(T1252+M1252*{7,8,9,10,11})/1.21,4),""))</f>
        <v/>
      </c>
      <c r="I1252" s="76" t="n"/>
      <c r="J1252" s="77" t="n"/>
      <c r="K1252" s="74" t="n"/>
      <c r="L1252" s="78" t="n"/>
      <c r="M1252" s="77" t="n"/>
      <c r="N1252" s="53">
        <f>IF(M1252="","",IFERROR(M1252/I1252,""))</f>
        <v/>
      </c>
      <c r="O1252" s="50">
        <f>IF(A1252="","",IFERROR((IF(G1252="",I1252,G1252)-T1252)/M1252,""))</f>
        <v/>
      </c>
      <c r="P1252" s="50">
        <f>IFERROR((I1252/T1252-1)/N1252,"")</f>
        <v/>
      </c>
      <c r="Q1252" s="46">
        <f>IF(OR(T1252="",I1252&lt;T1252),"",IFERROR(R1252/IF(G1252="",I1252,G1252)-1,""))</f>
        <v/>
      </c>
      <c r="R1252" s="48">
        <f>IF($M1252="","",MAX(IF($G1252="",$I1252,$G1252)*(1/1.1),IF($G1252="",$I1252,$G1252)+(R$2*$M1252)))</f>
        <v/>
      </c>
      <c r="S1252" s="49">
        <f>IF($M1252="","",MAX(IF($G1252="",$I1252,$G1252)*(1/1.1),IF($G1252="",$I1252,$G1252)+(S$2*$M1252)))</f>
        <v/>
      </c>
      <c r="T1252" s="82" t="n"/>
      <c r="U1252" s="47">
        <f>IF(OR($M1252="",$T1252=""),"",$T1252+(U$2*$M1252))</f>
        <v/>
      </c>
      <c r="V1252" s="48">
        <f>IF(OR($M1252="",$T1252=""),"",$T1252+(V$2*$M1252))</f>
        <v/>
      </c>
      <c r="W1252" s="48">
        <f>IF(OR($M1252="",$T1252=""),"",$T1252+(W$2*$M1252))</f>
        <v/>
      </c>
      <c r="X1252" s="49">
        <f>IF(OR($M1252="",$T1252=""),"",$T1252+(X$2*$M1252))</f>
        <v/>
      </c>
      <c r="Y1252" s="47">
        <f>IF(OR($M1252="",$T1252=""),"",$T1252+(Y$2*$M1252))</f>
        <v/>
      </c>
      <c r="Z1252" s="49">
        <f>IF(OR($M1252="",$T1252=""),"",$T1252+(Z$2*$M1252))</f>
        <v/>
      </c>
      <c r="AA1252" s="51">
        <f>IF(OR($M1252="",$T1252=""),"",$T1252+(AA$2*$M1252))</f>
        <v/>
      </c>
      <c r="AB1252" s="48">
        <f>IF(OR($M1252="",$T1252=""),"",$T1252+(AB$2*$M1252))</f>
        <v/>
      </c>
      <c r="AC1252" s="48">
        <f>IF(OR($M1252="",$T1252=""),"",$T1252+(AC$2*$M1252))</f>
        <v/>
      </c>
      <c r="AD1252" s="48">
        <f>IF(OR($M1252="",$T1252=""),"",$T1252+(AD$2*$M1252))</f>
        <v/>
      </c>
      <c r="AE1252" s="49">
        <f>IF(OR($M1252="",$T1252=""),"",$T1252+(AE$2*$M1252))</f>
        <v/>
      </c>
      <c r="AF1252" s="52">
        <f>IF(OR(T1252="",I1252&lt;T1252),"",IFERROR(AVERAGE(T1252+M1252*{7,8,9,10,11})/IF(G1252="",I1252,G1252)-1,""))</f>
        <v/>
      </c>
      <c r="AG1252" s="55">
        <f>IF(OR(T1252="",I1252&lt;T1252),"",IFERROR(AF1252/-(R1252/IF(G1252="",I1252,G1252)-1),""))</f>
        <v/>
      </c>
      <c r="AH1252" s="94" t="n"/>
      <c r="AI1252" s="94" t="n"/>
      <c r="AJ1252" s="94" t="n"/>
      <c r="AK1252" s="94" t="n"/>
      <c r="AL1252" s="84" t="n"/>
    </row>
    <row r="1253">
      <c r="A1253" s="64" t="n"/>
      <c r="B1253" s="65" t="n"/>
      <c r="C1253" s="66" t="n"/>
      <c r="D1253" s="67" t="n"/>
      <c r="E1253" s="68" t="n"/>
      <c r="F1253" s="47">
        <f>IF(A1253="","",IF(MIN(H1253,MAX(J1253:K1253))=0,"",MIN(H1253,MAX(J1253:K1253))))</f>
        <v/>
      </c>
      <c r="G1253" s="74" t="n"/>
      <c r="H1253" s="49">
        <f>IF(M1253="","",IFERROR(ROUND(AVERAGE(T1253+M1253*{7,8,9,10,11})/1.21,4),""))</f>
        <v/>
      </c>
      <c r="I1253" s="76" t="n"/>
      <c r="J1253" s="77" t="n"/>
      <c r="K1253" s="74" t="n"/>
      <c r="L1253" s="78" t="n"/>
      <c r="M1253" s="77" t="n"/>
      <c r="N1253" s="53">
        <f>IF(M1253="","",IFERROR(M1253/I1253,""))</f>
        <v/>
      </c>
      <c r="O1253" s="50">
        <f>IF(A1253="","",IFERROR((IF(G1253="",I1253,G1253)-T1253)/M1253,""))</f>
        <v/>
      </c>
      <c r="P1253" s="50">
        <f>IFERROR((I1253/T1253-1)/N1253,"")</f>
        <v/>
      </c>
      <c r="Q1253" s="46">
        <f>IF(OR(T1253="",I1253&lt;T1253),"",IFERROR(R1253/IF(G1253="",I1253,G1253)-1,""))</f>
        <v/>
      </c>
      <c r="R1253" s="48">
        <f>IF($M1253="","",MAX(IF($G1253="",$I1253,$G1253)*(1/1.1),IF($G1253="",$I1253,$G1253)+(R$2*$M1253)))</f>
        <v/>
      </c>
      <c r="S1253" s="49">
        <f>IF($M1253="","",MAX(IF($G1253="",$I1253,$G1253)*(1/1.1),IF($G1253="",$I1253,$G1253)+(S$2*$M1253)))</f>
        <v/>
      </c>
      <c r="T1253" s="82" t="n"/>
      <c r="U1253" s="47">
        <f>IF(OR($M1253="",$T1253=""),"",$T1253+(U$2*$M1253))</f>
        <v/>
      </c>
      <c r="V1253" s="48">
        <f>IF(OR($M1253="",$T1253=""),"",$T1253+(V$2*$M1253))</f>
        <v/>
      </c>
      <c r="W1253" s="48">
        <f>IF(OR($M1253="",$T1253=""),"",$T1253+(W$2*$M1253))</f>
        <v/>
      </c>
      <c r="X1253" s="49">
        <f>IF(OR($M1253="",$T1253=""),"",$T1253+(X$2*$M1253))</f>
        <v/>
      </c>
      <c r="Y1253" s="47">
        <f>IF(OR($M1253="",$T1253=""),"",$T1253+(Y$2*$M1253))</f>
        <v/>
      </c>
      <c r="Z1253" s="49">
        <f>IF(OR($M1253="",$T1253=""),"",$T1253+(Z$2*$M1253))</f>
        <v/>
      </c>
      <c r="AA1253" s="51">
        <f>IF(OR($M1253="",$T1253=""),"",$T1253+(AA$2*$M1253))</f>
        <v/>
      </c>
      <c r="AB1253" s="48">
        <f>IF(OR($M1253="",$T1253=""),"",$T1253+(AB$2*$M1253))</f>
        <v/>
      </c>
      <c r="AC1253" s="48">
        <f>IF(OR($M1253="",$T1253=""),"",$T1253+(AC$2*$M1253))</f>
        <v/>
      </c>
      <c r="AD1253" s="48">
        <f>IF(OR($M1253="",$T1253=""),"",$T1253+(AD$2*$M1253))</f>
        <v/>
      </c>
      <c r="AE1253" s="49">
        <f>IF(OR($M1253="",$T1253=""),"",$T1253+(AE$2*$M1253))</f>
        <v/>
      </c>
      <c r="AF1253" s="52">
        <f>IF(OR(T1253="",I1253&lt;T1253),"",IFERROR(AVERAGE(T1253+M1253*{7,8,9,10,11})/IF(G1253="",I1253,G1253)-1,""))</f>
        <v/>
      </c>
      <c r="AG1253" s="55">
        <f>IF(OR(T1253="",I1253&lt;T1253),"",IFERROR(AF1253/-(R1253/IF(G1253="",I1253,G1253)-1),""))</f>
        <v/>
      </c>
      <c r="AH1253" s="94" t="n"/>
      <c r="AI1253" s="94" t="n"/>
      <c r="AJ1253" s="94" t="n"/>
      <c r="AK1253" s="94" t="n"/>
      <c r="AL1253" s="84" t="n"/>
    </row>
    <row r="1254">
      <c r="A1254" s="64" t="n"/>
      <c r="B1254" s="65" t="n"/>
      <c r="C1254" s="66" t="n"/>
      <c r="D1254" s="67" t="n"/>
      <c r="E1254" s="68" t="n"/>
      <c r="F1254" s="47">
        <f>IF(A1254="","",IF(MIN(H1254,MAX(J1254:K1254))=0,"",MIN(H1254,MAX(J1254:K1254))))</f>
        <v/>
      </c>
      <c r="G1254" s="74" t="n"/>
      <c r="H1254" s="49">
        <f>IF(M1254="","",IFERROR(ROUND(AVERAGE(T1254+M1254*{7,8,9,10,11})/1.21,4),""))</f>
        <v/>
      </c>
      <c r="I1254" s="76" t="n"/>
      <c r="J1254" s="77" t="n"/>
      <c r="K1254" s="74" t="n"/>
      <c r="L1254" s="78" t="n"/>
      <c r="M1254" s="77" t="n"/>
      <c r="N1254" s="53">
        <f>IF(M1254="","",IFERROR(M1254/I1254,""))</f>
        <v/>
      </c>
      <c r="O1254" s="50">
        <f>IF(A1254="","",IFERROR((IF(G1254="",I1254,G1254)-T1254)/M1254,""))</f>
        <v/>
      </c>
      <c r="P1254" s="50">
        <f>IFERROR((I1254/T1254-1)/N1254,"")</f>
        <v/>
      </c>
      <c r="Q1254" s="46">
        <f>IF(OR(T1254="",I1254&lt;T1254),"",IFERROR(R1254/IF(G1254="",I1254,G1254)-1,""))</f>
        <v/>
      </c>
      <c r="R1254" s="48">
        <f>IF($M1254="","",MAX(IF($G1254="",$I1254,$G1254)*(1/1.1),IF($G1254="",$I1254,$G1254)+(R$2*$M1254)))</f>
        <v/>
      </c>
      <c r="S1254" s="49">
        <f>IF($M1254="","",MAX(IF($G1254="",$I1254,$G1254)*(1/1.1),IF($G1254="",$I1254,$G1254)+(S$2*$M1254)))</f>
        <v/>
      </c>
      <c r="T1254" s="82" t="n"/>
      <c r="U1254" s="47">
        <f>IF(OR($M1254="",$T1254=""),"",$T1254+(U$2*$M1254))</f>
        <v/>
      </c>
      <c r="V1254" s="48">
        <f>IF(OR($M1254="",$T1254=""),"",$T1254+(V$2*$M1254))</f>
        <v/>
      </c>
      <c r="W1254" s="48">
        <f>IF(OR($M1254="",$T1254=""),"",$T1254+(W$2*$M1254))</f>
        <v/>
      </c>
      <c r="X1254" s="49">
        <f>IF(OR($M1254="",$T1254=""),"",$T1254+(X$2*$M1254))</f>
        <v/>
      </c>
      <c r="Y1254" s="47">
        <f>IF(OR($M1254="",$T1254=""),"",$T1254+(Y$2*$M1254))</f>
        <v/>
      </c>
      <c r="Z1254" s="49">
        <f>IF(OR($M1254="",$T1254=""),"",$T1254+(Z$2*$M1254))</f>
        <v/>
      </c>
      <c r="AA1254" s="51">
        <f>IF(OR($M1254="",$T1254=""),"",$T1254+(AA$2*$M1254))</f>
        <v/>
      </c>
      <c r="AB1254" s="48">
        <f>IF(OR($M1254="",$T1254=""),"",$T1254+(AB$2*$M1254))</f>
        <v/>
      </c>
      <c r="AC1254" s="48">
        <f>IF(OR($M1254="",$T1254=""),"",$T1254+(AC$2*$M1254))</f>
        <v/>
      </c>
      <c r="AD1254" s="48">
        <f>IF(OR($M1254="",$T1254=""),"",$T1254+(AD$2*$M1254))</f>
        <v/>
      </c>
      <c r="AE1254" s="49">
        <f>IF(OR($M1254="",$T1254=""),"",$T1254+(AE$2*$M1254))</f>
        <v/>
      </c>
      <c r="AF1254" s="52">
        <f>IF(OR(T1254="",I1254&lt;T1254),"",IFERROR(AVERAGE(T1254+M1254*{7,8,9,10,11})/IF(G1254="",I1254,G1254)-1,""))</f>
        <v/>
      </c>
      <c r="AG1254" s="55">
        <f>IF(OR(T1254="",I1254&lt;T1254),"",IFERROR(AF1254/-(R1254/IF(G1254="",I1254,G1254)-1),""))</f>
        <v/>
      </c>
      <c r="AH1254" s="94" t="n"/>
      <c r="AI1254" s="94" t="n"/>
      <c r="AJ1254" s="94" t="n"/>
      <c r="AK1254" s="94" t="n"/>
      <c r="AL1254" s="84" t="n"/>
    </row>
    <row r="1255">
      <c r="A1255" s="64" t="n"/>
      <c r="B1255" s="65" t="n"/>
      <c r="C1255" s="66" t="n"/>
      <c r="D1255" s="67" t="n"/>
      <c r="E1255" s="68" t="n"/>
      <c r="F1255" s="47">
        <f>IF(A1255="","",IF(MIN(H1255,MAX(J1255:K1255))=0,"",MIN(H1255,MAX(J1255:K1255))))</f>
        <v/>
      </c>
      <c r="G1255" s="74" t="n"/>
      <c r="H1255" s="49">
        <f>IF(M1255="","",IFERROR(ROUND(AVERAGE(T1255+M1255*{7,8,9,10,11})/1.21,4),""))</f>
        <v/>
      </c>
      <c r="I1255" s="76" t="n"/>
      <c r="J1255" s="77" t="n"/>
      <c r="K1255" s="74" t="n"/>
      <c r="L1255" s="78" t="n"/>
      <c r="M1255" s="77" t="n"/>
      <c r="N1255" s="53">
        <f>IF(M1255="","",IFERROR(M1255/I1255,""))</f>
        <v/>
      </c>
      <c r="O1255" s="50">
        <f>IF(A1255="","",IFERROR((IF(G1255="",I1255,G1255)-T1255)/M1255,""))</f>
        <v/>
      </c>
      <c r="P1255" s="50">
        <f>IFERROR((I1255/T1255-1)/N1255,"")</f>
        <v/>
      </c>
      <c r="Q1255" s="46">
        <f>IF(OR(T1255="",I1255&lt;T1255),"",IFERROR(R1255/IF(G1255="",I1255,G1255)-1,""))</f>
        <v/>
      </c>
      <c r="R1255" s="48">
        <f>IF($M1255="","",MAX(IF($G1255="",$I1255,$G1255)*(1/1.1),IF($G1255="",$I1255,$G1255)+(R$2*$M1255)))</f>
        <v/>
      </c>
      <c r="S1255" s="49">
        <f>IF($M1255="","",MAX(IF($G1255="",$I1255,$G1255)*(1/1.1),IF($G1255="",$I1255,$G1255)+(S$2*$M1255)))</f>
        <v/>
      </c>
      <c r="T1255" s="82" t="n"/>
      <c r="U1255" s="47">
        <f>IF(OR($M1255="",$T1255=""),"",$T1255+(U$2*$M1255))</f>
        <v/>
      </c>
      <c r="V1255" s="48">
        <f>IF(OR($M1255="",$T1255=""),"",$T1255+(V$2*$M1255))</f>
        <v/>
      </c>
      <c r="W1255" s="48">
        <f>IF(OR($M1255="",$T1255=""),"",$T1255+(W$2*$M1255))</f>
        <v/>
      </c>
      <c r="X1255" s="49">
        <f>IF(OR($M1255="",$T1255=""),"",$T1255+(X$2*$M1255))</f>
        <v/>
      </c>
      <c r="Y1255" s="47">
        <f>IF(OR($M1255="",$T1255=""),"",$T1255+(Y$2*$M1255))</f>
        <v/>
      </c>
      <c r="Z1255" s="49">
        <f>IF(OR($M1255="",$T1255=""),"",$T1255+(Z$2*$M1255))</f>
        <v/>
      </c>
      <c r="AA1255" s="51">
        <f>IF(OR($M1255="",$T1255=""),"",$T1255+(AA$2*$M1255))</f>
        <v/>
      </c>
      <c r="AB1255" s="48">
        <f>IF(OR($M1255="",$T1255=""),"",$T1255+(AB$2*$M1255))</f>
        <v/>
      </c>
      <c r="AC1255" s="48">
        <f>IF(OR($M1255="",$T1255=""),"",$T1255+(AC$2*$M1255))</f>
        <v/>
      </c>
      <c r="AD1255" s="48">
        <f>IF(OR($M1255="",$T1255=""),"",$T1255+(AD$2*$M1255))</f>
        <v/>
      </c>
      <c r="AE1255" s="49">
        <f>IF(OR($M1255="",$T1255=""),"",$T1255+(AE$2*$M1255))</f>
        <v/>
      </c>
      <c r="AF1255" s="52">
        <f>IF(OR(T1255="",I1255&lt;T1255),"",IFERROR(AVERAGE(T1255+M1255*{7,8,9,10,11})/IF(G1255="",I1255,G1255)-1,""))</f>
        <v/>
      </c>
      <c r="AG1255" s="55">
        <f>IF(OR(T1255="",I1255&lt;T1255),"",IFERROR(AF1255/-(R1255/IF(G1255="",I1255,G1255)-1),""))</f>
        <v/>
      </c>
      <c r="AH1255" s="94" t="n"/>
      <c r="AI1255" s="94" t="n"/>
      <c r="AJ1255" s="94" t="n"/>
      <c r="AK1255" s="94" t="n"/>
      <c r="AL1255" s="84" t="n"/>
    </row>
    <row r="1256">
      <c r="A1256" s="64" t="n"/>
      <c r="B1256" s="65" t="n"/>
      <c r="C1256" s="66" t="n"/>
      <c r="D1256" s="67" t="n"/>
      <c r="E1256" s="68" t="n"/>
      <c r="F1256" s="47">
        <f>IF(A1256="","",IF(MIN(H1256,MAX(J1256:K1256))=0,"",MIN(H1256,MAX(J1256:K1256))))</f>
        <v/>
      </c>
      <c r="G1256" s="74" t="n"/>
      <c r="H1256" s="49">
        <f>IF(M1256="","",IFERROR(ROUND(AVERAGE(T1256+M1256*{7,8,9,10,11})/1.21,4),""))</f>
        <v/>
      </c>
      <c r="I1256" s="76" t="n"/>
      <c r="J1256" s="77" t="n"/>
      <c r="K1256" s="74" t="n"/>
      <c r="L1256" s="78" t="n"/>
      <c r="M1256" s="77" t="n"/>
      <c r="N1256" s="53">
        <f>IF(M1256="","",IFERROR(M1256/I1256,""))</f>
        <v/>
      </c>
      <c r="O1256" s="50">
        <f>IF(A1256="","",IFERROR((IF(G1256="",I1256,G1256)-T1256)/M1256,""))</f>
        <v/>
      </c>
      <c r="P1256" s="50">
        <f>IFERROR((I1256/T1256-1)/N1256,"")</f>
        <v/>
      </c>
      <c r="Q1256" s="46">
        <f>IF(OR(T1256="",I1256&lt;T1256),"",IFERROR(R1256/IF(G1256="",I1256,G1256)-1,""))</f>
        <v/>
      </c>
      <c r="R1256" s="48">
        <f>IF($M1256="","",MAX(IF($G1256="",$I1256,$G1256)*(1/1.1),IF($G1256="",$I1256,$G1256)+(R$2*$M1256)))</f>
        <v/>
      </c>
      <c r="S1256" s="49">
        <f>IF($M1256="","",MAX(IF($G1256="",$I1256,$G1256)*(1/1.1),IF($G1256="",$I1256,$G1256)+(S$2*$M1256)))</f>
        <v/>
      </c>
      <c r="T1256" s="82" t="n"/>
      <c r="U1256" s="47">
        <f>IF(OR($M1256="",$T1256=""),"",$T1256+(U$2*$M1256))</f>
        <v/>
      </c>
      <c r="V1256" s="48">
        <f>IF(OR($M1256="",$T1256=""),"",$T1256+(V$2*$M1256))</f>
        <v/>
      </c>
      <c r="W1256" s="48">
        <f>IF(OR($M1256="",$T1256=""),"",$T1256+(W$2*$M1256))</f>
        <v/>
      </c>
      <c r="X1256" s="49">
        <f>IF(OR($M1256="",$T1256=""),"",$T1256+(X$2*$M1256))</f>
        <v/>
      </c>
      <c r="Y1256" s="47">
        <f>IF(OR($M1256="",$T1256=""),"",$T1256+(Y$2*$M1256))</f>
        <v/>
      </c>
      <c r="Z1256" s="49">
        <f>IF(OR($M1256="",$T1256=""),"",$T1256+(Z$2*$M1256))</f>
        <v/>
      </c>
      <c r="AA1256" s="51">
        <f>IF(OR($M1256="",$T1256=""),"",$T1256+(AA$2*$M1256))</f>
        <v/>
      </c>
      <c r="AB1256" s="48">
        <f>IF(OR($M1256="",$T1256=""),"",$T1256+(AB$2*$M1256))</f>
        <v/>
      </c>
      <c r="AC1256" s="48">
        <f>IF(OR($M1256="",$T1256=""),"",$T1256+(AC$2*$M1256))</f>
        <v/>
      </c>
      <c r="AD1256" s="48">
        <f>IF(OR($M1256="",$T1256=""),"",$T1256+(AD$2*$M1256))</f>
        <v/>
      </c>
      <c r="AE1256" s="49">
        <f>IF(OR($M1256="",$T1256=""),"",$T1256+(AE$2*$M1256))</f>
        <v/>
      </c>
      <c r="AF1256" s="52">
        <f>IF(OR(T1256="",I1256&lt;T1256),"",IFERROR(AVERAGE(T1256+M1256*{7,8,9,10,11})/IF(G1256="",I1256,G1256)-1,""))</f>
        <v/>
      </c>
      <c r="AG1256" s="55">
        <f>IF(OR(T1256="",I1256&lt;T1256),"",IFERROR(AF1256/-(R1256/IF(G1256="",I1256,G1256)-1),""))</f>
        <v/>
      </c>
      <c r="AH1256" s="94" t="n"/>
      <c r="AI1256" s="94" t="n"/>
      <c r="AJ1256" s="94" t="n"/>
      <c r="AK1256" s="94" t="n"/>
      <c r="AL1256" s="84" t="n"/>
    </row>
    <row r="1257">
      <c r="A1257" s="64" t="n"/>
      <c r="B1257" s="65" t="n"/>
      <c r="C1257" s="66" t="n"/>
      <c r="D1257" s="67" t="n"/>
      <c r="E1257" s="68" t="n"/>
      <c r="F1257" s="47">
        <f>IF(A1257="","",IF(MIN(H1257,MAX(J1257:K1257))=0,"",MIN(H1257,MAX(J1257:K1257))))</f>
        <v/>
      </c>
      <c r="G1257" s="74" t="n"/>
      <c r="H1257" s="49">
        <f>IF(M1257="","",IFERROR(ROUND(AVERAGE(T1257+M1257*{7,8,9,10,11})/1.21,4),""))</f>
        <v/>
      </c>
      <c r="I1257" s="76" t="n"/>
      <c r="J1257" s="77" t="n"/>
      <c r="K1257" s="74" t="n"/>
      <c r="L1257" s="78" t="n"/>
      <c r="M1257" s="77" t="n"/>
      <c r="N1257" s="53">
        <f>IF(M1257="","",IFERROR(M1257/I1257,""))</f>
        <v/>
      </c>
      <c r="O1257" s="50">
        <f>IF(A1257="","",IFERROR((IF(G1257="",I1257,G1257)-T1257)/M1257,""))</f>
        <v/>
      </c>
      <c r="P1257" s="50">
        <f>IFERROR((I1257/T1257-1)/N1257,"")</f>
        <v/>
      </c>
      <c r="Q1257" s="46">
        <f>IF(OR(T1257="",I1257&lt;T1257),"",IFERROR(R1257/IF(G1257="",I1257,G1257)-1,""))</f>
        <v/>
      </c>
      <c r="R1257" s="48">
        <f>IF($M1257="","",MAX(IF($G1257="",$I1257,$G1257)*(1/1.1),IF($G1257="",$I1257,$G1257)+(R$2*$M1257)))</f>
        <v/>
      </c>
      <c r="S1257" s="49">
        <f>IF($M1257="","",MAX(IF($G1257="",$I1257,$G1257)*(1/1.1),IF($G1257="",$I1257,$G1257)+(S$2*$M1257)))</f>
        <v/>
      </c>
      <c r="T1257" s="82" t="n"/>
      <c r="U1257" s="47">
        <f>IF(OR($M1257="",$T1257=""),"",$T1257+(U$2*$M1257))</f>
        <v/>
      </c>
      <c r="V1257" s="48">
        <f>IF(OR($M1257="",$T1257=""),"",$T1257+(V$2*$M1257))</f>
        <v/>
      </c>
      <c r="W1257" s="48">
        <f>IF(OR($M1257="",$T1257=""),"",$T1257+(W$2*$M1257))</f>
        <v/>
      </c>
      <c r="X1257" s="49">
        <f>IF(OR($M1257="",$T1257=""),"",$T1257+(X$2*$M1257))</f>
        <v/>
      </c>
      <c r="Y1257" s="47">
        <f>IF(OR($M1257="",$T1257=""),"",$T1257+(Y$2*$M1257))</f>
        <v/>
      </c>
      <c r="Z1257" s="49">
        <f>IF(OR($M1257="",$T1257=""),"",$T1257+(Z$2*$M1257))</f>
        <v/>
      </c>
      <c r="AA1257" s="51">
        <f>IF(OR($M1257="",$T1257=""),"",$T1257+(AA$2*$M1257))</f>
        <v/>
      </c>
      <c r="AB1257" s="48">
        <f>IF(OR($M1257="",$T1257=""),"",$T1257+(AB$2*$M1257))</f>
        <v/>
      </c>
      <c r="AC1257" s="48">
        <f>IF(OR($M1257="",$T1257=""),"",$T1257+(AC$2*$M1257))</f>
        <v/>
      </c>
      <c r="AD1257" s="48">
        <f>IF(OR($M1257="",$T1257=""),"",$T1257+(AD$2*$M1257))</f>
        <v/>
      </c>
      <c r="AE1257" s="49">
        <f>IF(OR($M1257="",$T1257=""),"",$T1257+(AE$2*$M1257))</f>
        <v/>
      </c>
      <c r="AF1257" s="52">
        <f>IF(OR(T1257="",I1257&lt;T1257),"",IFERROR(AVERAGE(T1257+M1257*{7,8,9,10,11})/IF(G1257="",I1257,G1257)-1,""))</f>
        <v/>
      </c>
      <c r="AG1257" s="55">
        <f>IF(OR(T1257="",I1257&lt;T1257),"",IFERROR(AF1257/-(R1257/IF(G1257="",I1257,G1257)-1),""))</f>
        <v/>
      </c>
      <c r="AH1257" s="94" t="n"/>
      <c r="AI1257" s="94" t="n"/>
      <c r="AJ1257" s="94" t="n"/>
      <c r="AK1257" s="94" t="n"/>
      <c r="AL1257" s="84" t="n"/>
    </row>
    <row r="1258">
      <c r="A1258" s="64" t="n"/>
      <c r="B1258" s="65" t="n"/>
      <c r="C1258" s="66" t="n"/>
      <c r="D1258" s="67" t="n"/>
      <c r="E1258" s="68" t="n"/>
      <c r="F1258" s="47">
        <f>IF(A1258="","",IF(MIN(H1258,MAX(J1258:K1258))=0,"",MIN(H1258,MAX(J1258:K1258))))</f>
        <v/>
      </c>
      <c r="G1258" s="74" t="n"/>
      <c r="H1258" s="49">
        <f>IF(M1258="","",IFERROR(ROUND(AVERAGE(T1258+M1258*{7,8,9,10,11})/1.21,4),""))</f>
        <v/>
      </c>
      <c r="I1258" s="76" t="n"/>
      <c r="J1258" s="77" t="n"/>
      <c r="K1258" s="74" t="n"/>
      <c r="L1258" s="78" t="n"/>
      <c r="M1258" s="77" t="n"/>
      <c r="N1258" s="53">
        <f>IF(M1258="","",IFERROR(M1258/I1258,""))</f>
        <v/>
      </c>
      <c r="O1258" s="50">
        <f>IF(A1258="","",IFERROR((IF(G1258="",I1258,G1258)-T1258)/M1258,""))</f>
        <v/>
      </c>
      <c r="P1258" s="50">
        <f>IFERROR((I1258/T1258-1)/N1258,"")</f>
        <v/>
      </c>
      <c r="Q1258" s="46">
        <f>IF(OR(T1258="",I1258&lt;T1258),"",IFERROR(R1258/IF(G1258="",I1258,G1258)-1,""))</f>
        <v/>
      </c>
      <c r="R1258" s="48">
        <f>IF($M1258="","",MAX(IF($G1258="",$I1258,$G1258)*(1/1.1),IF($G1258="",$I1258,$G1258)+(R$2*$M1258)))</f>
        <v/>
      </c>
      <c r="S1258" s="49">
        <f>IF($M1258="","",MAX(IF($G1258="",$I1258,$G1258)*(1/1.1),IF($G1258="",$I1258,$G1258)+(S$2*$M1258)))</f>
        <v/>
      </c>
      <c r="T1258" s="82" t="n"/>
      <c r="U1258" s="47">
        <f>IF(OR($M1258="",$T1258=""),"",$T1258+(U$2*$M1258))</f>
        <v/>
      </c>
      <c r="V1258" s="48">
        <f>IF(OR($M1258="",$T1258=""),"",$T1258+(V$2*$M1258))</f>
        <v/>
      </c>
      <c r="W1258" s="48">
        <f>IF(OR($M1258="",$T1258=""),"",$T1258+(W$2*$M1258))</f>
        <v/>
      </c>
      <c r="X1258" s="49">
        <f>IF(OR($M1258="",$T1258=""),"",$T1258+(X$2*$M1258))</f>
        <v/>
      </c>
      <c r="Y1258" s="47">
        <f>IF(OR($M1258="",$T1258=""),"",$T1258+(Y$2*$M1258))</f>
        <v/>
      </c>
      <c r="Z1258" s="49">
        <f>IF(OR($M1258="",$T1258=""),"",$T1258+(Z$2*$M1258))</f>
        <v/>
      </c>
      <c r="AA1258" s="51">
        <f>IF(OR($M1258="",$T1258=""),"",$T1258+(AA$2*$M1258))</f>
        <v/>
      </c>
      <c r="AB1258" s="48">
        <f>IF(OR($M1258="",$T1258=""),"",$T1258+(AB$2*$M1258))</f>
        <v/>
      </c>
      <c r="AC1258" s="48">
        <f>IF(OR($M1258="",$T1258=""),"",$T1258+(AC$2*$M1258))</f>
        <v/>
      </c>
      <c r="AD1258" s="48">
        <f>IF(OR($M1258="",$T1258=""),"",$T1258+(AD$2*$M1258))</f>
        <v/>
      </c>
      <c r="AE1258" s="49">
        <f>IF(OR($M1258="",$T1258=""),"",$T1258+(AE$2*$M1258))</f>
        <v/>
      </c>
      <c r="AF1258" s="52">
        <f>IF(OR(T1258="",I1258&lt;T1258),"",IFERROR(AVERAGE(T1258+M1258*{7,8,9,10,11})/IF(G1258="",I1258,G1258)-1,""))</f>
        <v/>
      </c>
      <c r="AG1258" s="55">
        <f>IF(OR(T1258="",I1258&lt;T1258),"",IFERROR(AF1258/-(R1258/IF(G1258="",I1258,G1258)-1),""))</f>
        <v/>
      </c>
      <c r="AH1258" s="94" t="n"/>
      <c r="AI1258" s="94" t="n"/>
      <c r="AJ1258" s="94" t="n"/>
      <c r="AK1258" s="94" t="n"/>
      <c r="AL1258" s="84" t="n"/>
    </row>
    <row r="1259">
      <c r="A1259" s="64" t="n"/>
      <c r="B1259" s="65" t="n"/>
      <c r="C1259" s="66" t="n"/>
      <c r="D1259" s="67" t="n"/>
      <c r="E1259" s="68" t="n"/>
      <c r="F1259" s="47">
        <f>IF(A1259="","",IF(MIN(H1259,MAX(J1259:K1259))=0,"",MIN(H1259,MAX(J1259:K1259))))</f>
        <v/>
      </c>
      <c r="G1259" s="74" t="n"/>
      <c r="H1259" s="49">
        <f>IF(M1259="","",IFERROR(ROUND(AVERAGE(T1259+M1259*{7,8,9,10,11})/1.21,4),""))</f>
        <v/>
      </c>
      <c r="I1259" s="76" t="n"/>
      <c r="J1259" s="77" t="n"/>
      <c r="K1259" s="74" t="n"/>
      <c r="L1259" s="78" t="n"/>
      <c r="M1259" s="77" t="n"/>
      <c r="N1259" s="53">
        <f>IF(M1259="","",IFERROR(M1259/I1259,""))</f>
        <v/>
      </c>
      <c r="O1259" s="50">
        <f>IF(A1259="","",IFERROR((IF(G1259="",I1259,G1259)-T1259)/M1259,""))</f>
        <v/>
      </c>
      <c r="P1259" s="50">
        <f>IFERROR((I1259/T1259-1)/N1259,"")</f>
        <v/>
      </c>
      <c r="Q1259" s="46">
        <f>IF(OR(T1259="",I1259&lt;T1259),"",IFERROR(R1259/IF(G1259="",I1259,G1259)-1,""))</f>
        <v/>
      </c>
      <c r="R1259" s="48">
        <f>IF($M1259="","",MAX(IF($G1259="",$I1259,$G1259)*(1/1.1),IF($G1259="",$I1259,$G1259)+(R$2*$M1259)))</f>
        <v/>
      </c>
      <c r="S1259" s="49">
        <f>IF($M1259="","",MAX(IF($G1259="",$I1259,$G1259)*(1/1.1),IF($G1259="",$I1259,$G1259)+(S$2*$M1259)))</f>
        <v/>
      </c>
      <c r="T1259" s="82" t="n"/>
      <c r="U1259" s="47">
        <f>IF(OR($M1259="",$T1259=""),"",$T1259+(U$2*$M1259))</f>
        <v/>
      </c>
      <c r="V1259" s="48">
        <f>IF(OR($M1259="",$T1259=""),"",$T1259+(V$2*$M1259))</f>
        <v/>
      </c>
      <c r="W1259" s="48">
        <f>IF(OR($M1259="",$T1259=""),"",$T1259+(W$2*$M1259))</f>
        <v/>
      </c>
      <c r="X1259" s="49">
        <f>IF(OR($M1259="",$T1259=""),"",$T1259+(X$2*$M1259))</f>
        <v/>
      </c>
      <c r="Y1259" s="47">
        <f>IF(OR($M1259="",$T1259=""),"",$T1259+(Y$2*$M1259))</f>
        <v/>
      </c>
      <c r="Z1259" s="49">
        <f>IF(OR($M1259="",$T1259=""),"",$T1259+(Z$2*$M1259))</f>
        <v/>
      </c>
      <c r="AA1259" s="51">
        <f>IF(OR($M1259="",$T1259=""),"",$T1259+(AA$2*$M1259))</f>
        <v/>
      </c>
      <c r="AB1259" s="48">
        <f>IF(OR($M1259="",$T1259=""),"",$T1259+(AB$2*$M1259))</f>
        <v/>
      </c>
      <c r="AC1259" s="48">
        <f>IF(OR($M1259="",$T1259=""),"",$T1259+(AC$2*$M1259))</f>
        <v/>
      </c>
      <c r="AD1259" s="48">
        <f>IF(OR($M1259="",$T1259=""),"",$T1259+(AD$2*$M1259))</f>
        <v/>
      </c>
      <c r="AE1259" s="49">
        <f>IF(OR($M1259="",$T1259=""),"",$T1259+(AE$2*$M1259))</f>
        <v/>
      </c>
      <c r="AF1259" s="52">
        <f>IF(OR(T1259="",I1259&lt;T1259),"",IFERROR(AVERAGE(T1259+M1259*{7,8,9,10,11})/IF(G1259="",I1259,G1259)-1,""))</f>
        <v/>
      </c>
      <c r="AG1259" s="55">
        <f>IF(OR(T1259="",I1259&lt;T1259),"",IFERROR(AF1259/-(R1259/IF(G1259="",I1259,G1259)-1),""))</f>
        <v/>
      </c>
      <c r="AH1259" s="94" t="n"/>
      <c r="AI1259" s="94" t="n"/>
      <c r="AJ1259" s="94" t="n"/>
      <c r="AK1259" s="94" t="n"/>
      <c r="AL1259" s="84" t="n"/>
    </row>
    <row r="1260">
      <c r="A1260" s="64" t="n"/>
      <c r="B1260" s="65" t="n"/>
      <c r="C1260" s="66" t="n"/>
      <c r="D1260" s="67" t="n"/>
      <c r="E1260" s="68" t="n"/>
      <c r="F1260" s="47">
        <f>IF(A1260="","",IF(MIN(H1260,MAX(J1260:K1260))=0,"",MIN(H1260,MAX(J1260:K1260))))</f>
        <v/>
      </c>
      <c r="G1260" s="74" t="n"/>
      <c r="H1260" s="49">
        <f>IF(M1260="","",IFERROR(ROUND(AVERAGE(T1260+M1260*{7,8,9,10,11})/1.21,4),""))</f>
        <v/>
      </c>
      <c r="I1260" s="76" t="n"/>
      <c r="J1260" s="77" t="n"/>
      <c r="K1260" s="74" t="n"/>
      <c r="L1260" s="78" t="n"/>
      <c r="M1260" s="77" t="n"/>
      <c r="N1260" s="53">
        <f>IF(M1260="","",IFERROR(M1260/I1260,""))</f>
        <v/>
      </c>
      <c r="O1260" s="50">
        <f>IF(A1260="","",IFERROR((IF(G1260="",I1260,G1260)-T1260)/M1260,""))</f>
        <v/>
      </c>
      <c r="P1260" s="50">
        <f>IFERROR((I1260/T1260-1)/N1260,"")</f>
        <v/>
      </c>
      <c r="Q1260" s="46">
        <f>IF(OR(T1260="",I1260&lt;T1260),"",IFERROR(R1260/IF(G1260="",I1260,G1260)-1,""))</f>
        <v/>
      </c>
      <c r="R1260" s="48">
        <f>IF($M1260="","",MAX(IF($G1260="",$I1260,$G1260)*(1/1.1),IF($G1260="",$I1260,$G1260)+(R$2*$M1260)))</f>
        <v/>
      </c>
      <c r="S1260" s="49">
        <f>IF($M1260="","",MAX(IF($G1260="",$I1260,$G1260)*(1/1.1),IF($G1260="",$I1260,$G1260)+(S$2*$M1260)))</f>
        <v/>
      </c>
      <c r="T1260" s="82" t="n"/>
      <c r="U1260" s="47">
        <f>IF(OR($M1260="",$T1260=""),"",$T1260+(U$2*$M1260))</f>
        <v/>
      </c>
      <c r="V1260" s="48">
        <f>IF(OR($M1260="",$T1260=""),"",$T1260+(V$2*$M1260))</f>
        <v/>
      </c>
      <c r="W1260" s="48">
        <f>IF(OR($M1260="",$T1260=""),"",$T1260+(W$2*$M1260))</f>
        <v/>
      </c>
      <c r="X1260" s="49">
        <f>IF(OR($M1260="",$T1260=""),"",$T1260+(X$2*$M1260))</f>
        <v/>
      </c>
      <c r="Y1260" s="47">
        <f>IF(OR($M1260="",$T1260=""),"",$T1260+(Y$2*$M1260))</f>
        <v/>
      </c>
      <c r="Z1260" s="49">
        <f>IF(OR($M1260="",$T1260=""),"",$T1260+(Z$2*$M1260))</f>
        <v/>
      </c>
      <c r="AA1260" s="51">
        <f>IF(OR($M1260="",$T1260=""),"",$T1260+(AA$2*$M1260))</f>
        <v/>
      </c>
      <c r="AB1260" s="48">
        <f>IF(OR($M1260="",$T1260=""),"",$T1260+(AB$2*$M1260))</f>
        <v/>
      </c>
      <c r="AC1260" s="48">
        <f>IF(OR($M1260="",$T1260=""),"",$T1260+(AC$2*$M1260))</f>
        <v/>
      </c>
      <c r="AD1260" s="48">
        <f>IF(OR($M1260="",$T1260=""),"",$T1260+(AD$2*$M1260))</f>
        <v/>
      </c>
      <c r="AE1260" s="49">
        <f>IF(OR($M1260="",$T1260=""),"",$T1260+(AE$2*$M1260))</f>
        <v/>
      </c>
      <c r="AF1260" s="52">
        <f>IF(OR(T1260="",I1260&lt;T1260),"",IFERROR(AVERAGE(T1260+M1260*{7,8,9,10,11})/IF(G1260="",I1260,G1260)-1,""))</f>
        <v/>
      </c>
      <c r="AG1260" s="55">
        <f>IF(OR(T1260="",I1260&lt;T1260),"",IFERROR(AF1260/-(R1260/IF(G1260="",I1260,G1260)-1),""))</f>
        <v/>
      </c>
      <c r="AH1260" s="94" t="n"/>
      <c r="AI1260" s="94" t="n"/>
      <c r="AJ1260" s="94" t="n"/>
      <c r="AK1260" s="94" t="n"/>
      <c r="AL1260" s="84" t="n"/>
    </row>
    <row r="1261">
      <c r="A1261" s="64" t="n"/>
      <c r="B1261" s="65" t="n"/>
      <c r="C1261" s="66" t="n"/>
      <c r="D1261" s="67" t="n"/>
      <c r="E1261" s="68" t="n"/>
      <c r="F1261" s="47">
        <f>IF(A1261="","",IF(MIN(H1261,MAX(J1261:K1261))=0,"",MIN(H1261,MAX(J1261:K1261))))</f>
        <v/>
      </c>
      <c r="G1261" s="74" t="n"/>
      <c r="H1261" s="49">
        <f>IF(M1261="","",IFERROR(ROUND(AVERAGE(T1261+M1261*{7,8,9,10,11})/1.21,4),""))</f>
        <v/>
      </c>
      <c r="I1261" s="76" t="n"/>
      <c r="J1261" s="77" t="n"/>
      <c r="K1261" s="74" t="n"/>
      <c r="L1261" s="78" t="n"/>
      <c r="M1261" s="77" t="n"/>
      <c r="N1261" s="53">
        <f>IF(M1261="","",IFERROR(M1261/I1261,""))</f>
        <v/>
      </c>
      <c r="O1261" s="50">
        <f>IF(A1261="","",IFERROR((IF(G1261="",I1261,G1261)-T1261)/M1261,""))</f>
        <v/>
      </c>
      <c r="P1261" s="50">
        <f>IFERROR((I1261/T1261-1)/N1261,"")</f>
        <v/>
      </c>
      <c r="Q1261" s="46">
        <f>IF(OR(T1261="",I1261&lt;T1261),"",IFERROR(R1261/IF(G1261="",I1261,G1261)-1,""))</f>
        <v/>
      </c>
      <c r="R1261" s="48">
        <f>IF($M1261="","",MAX(IF($G1261="",$I1261,$G1261)*(1/1.1),IF($G1261="",$I1261,$G1261)+(R$2*$M1261)))</f>
        <v/>
      </c>
      <c r="S1261" s="49">
        <f>IF($M1261="","",MAX(IF($G1261="",$I1261,$G1261)*(1/1.1),IF($G1261="",$I1261,$G1261)+(S$2*$M1261)))</f>
        <v/>
      </c>
      <c r="T1261" s="82" t="n"/>
      <c r="U1261" s="47">
        <f>IF(OR($M1261="",$T1261=""),"",$T1261+(U$2*$M1261))</f>
        <v/>
      </c>
      <c r="V1261" s="48">
        <f>IF(OR($M1261="",$T1261=""),"",$T1261+(V$2*$M1261))</f>
        <v/>
      </c>
      <c r="W1261" s="48">
        <f>IF(OR($M1261="",$T1261=""),"",$T1261+(W$2*$M1261))</f>
        <v/>
      </c>
      <c r="X1261" s="49">
        <f>IF(OR($M1261="",$T1261=""),"",$T1261+(X$2*$M1261))</f>
        <v/>
      </c>
      <c r="Y1261" s="47">
        <f>IF(OR($M1261="",$T1261=""),"",$T1261+(Y$2*$M1261))</f>
        <v/>
      </c>
      <c r="Z1261" s="49">
        <f>IF(OR($M1261="",$T1261=""),"",$T1261+(Z$2*$M1261))</f>
        <v/>
      </c>
      <c r="AA1261" s="51">
        <f>IF(OR($M1261="",$T1261=""),"",$T1261+(AA$2*$M1261))</f>
        <v/>
      </c>
      <c r="AB1261" s="48">
        <f>IF(OR($M1261="",$T1261=""),"",$T1261+(AB$2*$M1261))</f>
        <v/>
      </c>
      <c r="AC1261" s="48">
        <f>IF(OR($M1261="",$T1261=""),"",$T1261+(AC$2*$M1261))</f>
        <v/>
      </c>
      <c r="AD1261" s="48">
        <f>IF(OR($M1261="",$T1261=""),"",$T1261+(AD$2*$M1261))</f>
        <v/>
      </c>
      <c r="AE1261" s="49">
        <f>IF(OR($M1261="",$T1261=""),"",$T1261+(AE$2*$M1261))</f>
        <v/>
      </c>
      <c r="AF1261" s="52">
        <f>IF(OR(T1261="",I1261&lt;T1261),"",IFERROR(AVERAGE(T1261+M1261*{7,8,9,10,11})/IF(G1261="",I1261,G1261)-1,""))</f>
        <v/>
      </c>
      <c r="AG1261" s="55">
        <f>IF(OR(T1261="",I1261&lt;T1261),"",IFERROR(AF1261/-(R1261/IF(G1261="",I1261,G1261)-1),""))</f>
        <v/>
      </c>
      <c r="AH1261" s="94" t="n"/>
      <c r="AI1261" s="94" t="n"/>
      <c r="AJ1261" s="94" t="n"/>
      <c r="AK1261" s="94" t="n"/>
      <c r="AL1261" s="84" t="n"/>
    </row>
    <row r="1262">
      <c r="A1262" s="64" t="n"/>
      <c r="B1262" s="65" t="n"/>
      <c r="C1262" s="66" t="n"/>
      <c r="D1262" s="67" t="n"/>
      <c r="E1262" s="68" t="n"/>
      <c r="F1262" s="47">
        <f>IF(A1262="","",IF(MIN(H1262,MAX(J1262:K1262))=0,"",MIN(H1262,MAX(J1262:K1262))))</f>
        <v/>
      </c>
      <c r="G1262" s="74" t="n"/>
      <c r="H1262" s="49">
        <f>IF(M1262="","",IFERROR(ROUND(AVERAGE(T1262+M1262*{7,8,9,10,11})/1.21,4),""))</f>
        <v/>
      </c>
      <c r="I1262" s="76" t="n"/>
      <c r="J1262" s="77" t="n"/>
      <c r="K1262" s="74" t="n"/>
      <c r="L1262" s="78" t="n"/>
      <c r="M1262" s="77" t="n"/>
      <c r="N1262" s="53">
        <f>IF(M1262="","",IFERROR(M1262/I1262,""))</f>
        <v/>
      </c>
      <c r="O1262" s="50">
        <f>IF(A1262="","",IFERROR((IF(G1262="",I1262,G1262)-T1262)/M1262,""))</f>
        <v/>
      </c>
      <c r="P1262" s="50">
        <f>IFERROR((I1262/T1262-1)/N1262,"")</f>
        <v/>
      </c>
      <c r="Q1262" s="46">
        <f>IF(OR(T1262="",I1262&lt;T1262),"",IFERROR(R1262/IF(G1262="",I1262,G1262)-1,""))</f>
        <v/>
      </c>
      <c r="R1262" s="48">
        <f>IF($M1262="","",MAX(IF($G1262="",$I1262,$G1262)*(1/1.1),IF($G1262="",$I1262,$G1262)+(R$2*$M1262)))</f>
        <v/>
      </c>
      <c r="S1262" s="49">
        <f>IF($M1262="","",MAX(IF($G1262="",$I1262,$G1262)*(1/1.1),IF($G1262="",$I1262,$G1262)+(S$2*$M1262)))</f>
        <v/>
      </c>
      <c r="T1262" s="82" t="n"/>
      <c r="U1262" s="47">
        <f>IF(OR($M1262="",$T1262=""),"",$T1262+(U$2*$M1262))</f>
        <v/>
      </c>
      <c r="V1262" s="48">
        <f>IF(OR($M1262="",$T1262=""),"",$T1262+(V$2*$M1262))</f>
        <v/>
      </c>
      <c r="W1262" s="48">
        <f>IF(OR($M1262="",$T1262=""),"",$T1262+(W$2*$M1262))</f>
        <v/>
      </c>
      <c r="X1262" s="49">
        <f>IF(OR($M1262="",$T1262=""),"",$T1262+(X$2*$M1262))</f>
        <v/>
      </c>
      <c r="Y1262" s="47">
        <f>IF(OR($M1262="",$T1262=""),"",$T1262+(Y$2*$M1262))</f>
        <v/>
      </c>
      <c r="Z1262" s="49">
        <f>IF(OR($M1262="",$T1262=""),"",$T1262+(Z$2*$M1262))</f>
        <v/>
      </c>
      <c r="AA1262" s="51">
        <f>IF(OR($M1262="",$T1262=""),"",$T1262+(AA$2*$M1262))</f>
        <v/>
      </c>
      <c r="AB1262" s="48">
        <f>IF(OR($M1262="",$T1262=""),"",$T1262+(AB$2*$M1262))</f>
        <v/>
      </c>
      <c r="AC1262" s="48">
        <f>IF(OR($M1262="",$T1262=""),"",$T1262+(AC$2*$M1262))</f>
        <v/>
      </c>
      <c r="AD1262" s="48">
        <f>IF(OR($M1262="",$T1262=""),"",$T1262+(AD$2*$M1262))</f>
        <v/>
      </c>
      <c r="AE1262" s="49">
        <f>IF(OR($M1262="",$T1262=""),"",$T1262+(AE$2*$M1262))</f>
        <v/>
      </c>
      <c r="AF1262" s="52">
        <f>IF(OR(T1262="",I1262&lt;T1262),"",IFERROR(AVERAGE(T1262+M1262*{7,8,9,10,11})/IF(G1262="",I1262,G1262)-1,""))</f>
        <v/>
      </c>
      <c r="AG1262" s="55">
        <f>IF(OR(T1262="",I1262&lt;T1262),"",IFERROR(AF1262/-(R1262/IF(G1262="",I1262,G1262)-1),""))</f>
        <v/>
      </c>
      <c r="AH1262" s="94" t="n"/>
      <c r="AI1262" s="94" t="n"/>
      <c r="AJ1262" s="94" t="n"/>
      <c r="AK1262" s="94" t="n"/>
      <c r="AL1262" s="84" t="n"/>
    </row>
    <row r="1263">
      <c r="A1263" s="64" t="n"/>
      <c r="B1263" s="65" t="n"/>
      <c r="C1263" s="66" t="n"/>
      <c r="D1263" s="67" t="n"/>
      <c r="E1263" s="68" t="n"/>
      <c r="F1263" s="47">
        <f>IF(A1263="","",IF(MIN(H1263,MAX(J1263:K1263))=0,"",MIN(H1263,MAX(J1263:K1263))))</f>
        <v/>
      </c>
      <c r="G1263" s="74" t="n"/>
      <c r="H1263" s="49">
        <f>IF(M1263="","",IFERROR(ROUND(AVERAGE(T1263+M1263*{7,8,9,10,11})/1.21,4),""))</f>
        <v/>
      </c>
      <c r="I1263" s="76" t="n"/>
      <c r="J1263" s="77" t="n"/>
      <c r="K1263" s="74" t="n"/>
      <c r="L1263" s="78" t="n"/>
      <c r="M1263" s="77" t="n"/>
      <c r="N1263" s="53">
        <f>IF(M1263="","",IFERROR(M1263/I1263,""))</f>
        <v/>
      </c>
      <c r="O1263" s="50">
        <f>IF(A1263="","",IFERROR((IF(G1263="",I1263,G1263)-T1263)/M1263,""))</f>
        <v/>
      </c>
      <c r="P1263" s="50">
        <f>IFERROR((I1263/T1263-1)/N1263,"")</f>
        <v/>
      </c>
      <c r="Q1263" s="46">
        <f>IF(OR(T1263="",I1263&lt;T1263),"",IFERROR(R1263/IF(G1263="",I1263,G1263)-1,""))</f>
        <v/>
      </c>
      <c r="R1263" s="48">
        <f>IF($M1263="","",MAX(IF($G1263="",$I1263,$G1263)*(1/1.1),IF($G1263="",$I1263,$G1263)+(R$2*$M1263)))</f>
        <v/>
      </c>
      <c r="S1263" s="49">
        <f>IF($M1263="","",MAX(IF($G1263="",$I1263,$G1263)*(1/1.1),IF($G1263="",$I1263,$G1263)+(S$2*$M1263)))</f>
        <v/>
      </c>
      <c r="T1263" s="82" t="n"/>
      <c r="U1263" s="47">
        <f>IF(OR($M1263="",$T1263=""),"",$T1263+(U$2*$M1263))</f>
        <v/>
      </c>
      <c r="V1263" s="48">
        <f>IF(OR($M1263="",$T1263=""),"",$T1263+(V$2*$M1263))</f>
        <v/>
      </c>
      <c r="W1263" s="48">
        <f>IF(OR($M1263="",$T1263=""),"",$T1263+(W$2*$M1263))</f>
        <v/>
      </c>
      <c r="X1263" s="49">
        <f>IF(OR($M1263="",$T1263=""),"",$T1263+(X$2*$M1263))</f>
        <v/>
      </c>
      <c r="Y1263" s="47">
        <f>IF(OR($M1263="",$T1263=""),"",$T1263+(Y$2*$M1263))</f>
        <v/>
      </c>
      <c r="Z1263" s="49">
        <f>IF(OR($M1263="",$T1263=""),"",$T1263+(Z$2*$M1263))</f>
        <v/>
      </c>
      <c r="AA1263" s="51">
        <f>IF(OR($M1263="",$T1263=""),"",$T1263+(AA$2*$M1263))</f>
        <v/>
      </c>
      <c r="AB1263" s="48">
        <f>IF(OR($M1263="",$T1263=""),"",$T1263+(AB$2*$M1263))</f>
        <v/>
      </c>
      <c r="AC1263" s="48">
        <f>IF(OR($M1263="",$T1263=""),"",$T1263+(AC$2*$M1263))</f>
        <v/>
      </c>
      <c r="AD1263" s="48">
        <f>IF(OR($M1263="",$T1263=""),"",$T1263+(AD$2*$M1263))</f>
        <v/>
      </c>
      <c r="AE1263" s="49">
        <f>IF(OR($M1263="",$T1263=""),"",$T1263+(AE$2*$M1263))</f>
        <v/>
      </c>
      <c r="AF1263" s="52">
        <f>IF(OR(T1263="",I1263&lt;T1263),"",IFERROR(AVERAGE(T1263+M1263*{7,8,9,10,11})/IF(G1263="",I1263,G1263)-1,""))</f>
        <v/>
      </c>
      <c r="AG1263" s="55">
        <f>IF(OR(T1263="",I1263&lt;T1263),"",IFERROR(AF1263/-(R1263/IF(G1263="",I1263,G1263)-1),""))</f>
        <v/>
      </c>
      <c r="AH1263" s="94" t="n"/>
      <c r="AI1263" s="94" t="n"/>
      <c r="AJ1263" s="94" t="n"/>
      <c r="AK1263" s="94" t="n"/>
      <c r="AL1263" s="84" t="n"/>
    </row>
    <row r="1264">
      <c r="A1264" s="64" t="n"/>
      <c r="B1264" s="65" t="n"/>
      <c r="C1264" s="66" t="n"/>
      <c r="D1264" s="67" t="n"/>
      <c r="E1264" s="68" t="n"/>
      <c r="F1264" s="47">
        <f>IF(A1264="","",IF(MIN(H1264,MAX(J1264:K1264))=0,"",MIN(H1264,MAX(J1264:K1264))))</f>
        <v/>
      </c>
      <c r="G1264" s="74" t="n"/>
      <c r="H1264" s="49">
        <f>IF(M1264="","",IFERROR(ROUND(AVERAGE(T1264+M1264*{7,8,9,10,11})/1.21,4),""))</f>
        <v/>
      </c>
      <c r="I1264" s="76" t="n"/>
      <c r="J1264" s="77" t="n"/>
      <c r="K1264" s="74" t="n"/>
      <c r="L1264" s="78" t="n"/>
      <c r="M1264" s="77" t="n"/>
      <c r="N1264" s="53">
        <f>IF(M1264="","",IFERROR(M1264/I1264,""))</f>
        <v/>
      </c>
      <c r="O1264" s="50">
        <f>IF(A1264="","",IFERROR((IF(G1264="",I1264,G1264)-T1264)/M1264,""))</f>
        <v/>
      </c>
      <c r="P1264" s="50">
        <f>IFERROR((I1264/T1264-1)/N1264,"")</f>
        <v/>
      </c>
      <c r="Q1264" s="46">
        <f>IF(OR(T1264="",I1264&lt;T1264),"",IFERROR(R1264/IF(G1264="",I1264,G1264)-1,""))</f>
        <v/>
      </c>
      <c r="R1264" s="48">
        <f>IF($M1264="","",MAX(IF($G1264="",$I1264,$G1264)*(1/1.1),IF($G1264="",$I1264,$G1264)+(R$2*$M1264)))</f>
        <v/>
      </c>
      <c r="S1264" s="49">
        <f>IF($M1264="","",MAX(IF($G1264="",$I1264,$G1264)*(1/1.1),IF($G1264="",$I1264,$G1264)+(S$2*$M1264)))</f>
        <v/>
      </c>
      <c r="T1264" s="82" t="n"/>
      <c r="U1264" s="47">
        <f>IF(OR($M1264="",$T1264=""),"",$T1264+(U$2*$M1264))</f>
        <v/>
      </c>
      <c r="V1264" s="48">
        <f>IF(OR($M1264="",$T1264=""),"",$T1264+(V$2*$M1264))</f>
        <v/>
      </c>
      <c r="W1264" s="48">
        <f>IF(OR($M1264="",$T1264=""),"",$T1264+(W$2*$M1264))</f>
        <v/>
      </c>
      <c r="X1264" s="49">
        <f>IF(OR($M1264="",$T1264=""),"",$T1264+(X$2*$M1264))</f>
        <v/>
      </c>
      <c r="Y1264" s="47">
        <f>IF(OR($M1264="",$T1264=""),"",$T1264+(Y$2*$M1264))</f>
        <v/>
      </c>
      <c r="Z1264" s="49">
        <f>IF(OR($M1264="",$T1264=""),"",$T1264+(Z$2*$M1264))</f>
        <v/>
      </c>
      <c r="AA1264" s="51">
        <f>IF(OR($M1264="",$T1264=""),"",$T1264+(AA$2*$M1264))</f>
        <v/>
      </c>
      <c r="AB1264" s="48">
        <f>IF(OR($M1264="",$T1264=""),"",$T1264+(AB$2*$M1264))</f>
        <v/>
      </c>
      <c r="AC1264" s="48">
        <f>IF(OR($M1264="",$T1264=""),"",$T1264+(AC$2*$M1264))</f>
        <v/>
      </c>
      <c r="AD1264" s="48">
        <f>IF(OR($M1264="",$T1264=""),"",$T1264+(AD$2*$M1264))</f>
        <v/>
      </c>
      <c r="AE1264" s="49">
        <f>IF(OR($M1264="",$T1264=""),"",$T1264+(AE$2*$M1264))</f>
        <v/>
      </c>
      <c r="AF1264" s="52">
        <f>IF(OR(T1264="",I1264&lt;T1264),"",IFERROR(AVERAGE(T1264+M1264*{7,8,9,10,11})/IF(G1264="",I1264,G1264)-1,""))</f>
        <v/>
      </c>
      <c r="AG1264" s="55">
        <f>IF(OR(T1264="",I1264&lt;T1264),"",IFERROR(AF1264/-(R1264/IF(G1264="",I1264,G1264)-1),""))</f>
        <v/>
      </c>
      <c r="AH1264" s="94" t="n"/>
      <c r="AI1264" s="94" t="n"/>
      <c r="AJ1264" s="94" t="n"/>
      <c r="AK1264" s="94" t="n"/>
      <c r="AL1264" s="84" t="n"/>
    </row>
    <row r="1265">
      <c r="A1265" s="64" t="n"/>
      <c r="B1265" s="65" t="n"/>
      <c r="C1265" s="66" t="n"/>
      <c r="D1265" s="67" t="n"/>
      <c r="E1265" s="68" t="n"/>
      <c r="F1265" s="47">
        <f>IF(A1265="","",IF(MIN(H1265,MAX(J1265:K1265))=0,"",MIN(H1265,MAX(J1265:K1265))))</f>
        <v/>
      </c>
      <c r="G1265" s="74" t="n"/>
      <c r="H1265" s="49">
        <f>IF(M1265="","",IFERROR(ROUND(AVERAGE(T1265+M1265*{7,8,9,10,11})/1.21,4),""))</f>
        <v/>
      </c>
      <c r="I1265" s="76" t="n"/>
      <c r="J1265" s="77" t="n"/>
      <c r="K1265" s="74" t="n"/>
      <c r="L1265" s="78" t="n"/>
      <c r="M1265" s="77" t="n"/>
      <c r="N1265" s="53">
        <f>IF(M1265="","",IFERROR(M1265/I1265,""))</f>
        <v/>
      </c>
      <c r="O1265" s="50">
        <f>IF(A1265="","",IFERROR((IF(G1265="",I1265,G1265)-T1265)/M1265,""))</f>
        <v/>
      </c>
      <c r="P1265" s="50">
        <f>IFERROR((I1265/T1265-1)/N1265,"")</f>
        <v/>
      </c>
      <c r="Q1265" s="46">
        <f>IF(OR(T1265="",I1265&lt;T1265),"",IFERROR(R1265/IF(G1265="",I1265,G1265)-1,""))</f>
        <v/>
      </c>
      <c r="R1265" s="48">
        <f>IF($M1265="","",MAX(IF($G1265="",$I1265,$G1265)*(1/1.1),IF($G1265="",$I1265,$G1265)+(R$2*$M1265)))</f>
        <v/>
      </c>
      <c r="S1265" s="49">
        <f>IF($M1265="","",MAX(IF($G1265="",$I1265,$G1265)*(1/1.1),IF($G1265="",$I1265,$G1265)+(S$2*$M1265)))</f>
        <v/>
      </c>
      <c r="T1265" s="82" t="n"/>
      <c r="U1265" s="47">
        <f>IF(OR($M1265="",$T1265=""),"",$T1265+(U$2*$M1265))</f>
        <v/>
      </c>
      <c r="V1265" s="48">
        <f>IF(OR($M1265="",$T1265=""),"",$T1265+(V$2*$M1265))</f>
        <v/>
      </c>
      <c r="W1265" s="48">
        <f>IF(OR($M1265="",$T1265=""),"",$T1265+(W$2*$M1265))</f>
        <v/>
      </c>
      <c r="X1265" s="49">
        <f>IF(OR($M1265="",$T1265=""),"",$T1265+(X$2*$M1265))</f>
        <v/>
      </c>
      <c r="Y1265" s="47">
        <f>IF(OR($M1265="",$T1265=""),"",$T1265+(Y$2*$M1265))</f>
        <v/>
      </c>
      <c r="Z1265" s="49">
        <f>IF(OR($M1265="",$T1265=""),"",$T1265+(Z$2*$M1265))</f>
        <v/>
      </c>
      <c r="AA1265" s="51">
        <f>IF(OR($M1265="",$T1265=""),"",$T1265+(AA$2*$M1265))</f>
        <v/>
      </c>
      <c r="AB1265" s="48">
        <f>IF(OR($M1265="",$T1265=""),"",$T1265+(AB$2*$M1265))</f>
        <v/>
      </c>
      <c r="AC1265" s="48">
        <f>IF(OR($M1265="",$T1265=""),"",$T1265+(AC$2*$M1265))</f>
        <v/>
      </c>
      <c r="AD1265" s="48">
        <f>IF(OR($M1265="",$T1265=""),"",$T1265+(AD$2*$M1265))</f>
        <v/>
      </c>
      <c r="AE1265" s="49">
        <f>IF(OR($M1265="",$T1265=""),"",$T1265+(AE$2*$M1265))</f>
        <v/>
      </c>
      <c r="AF1265" s="52">
        <f>IF(OR(T1265="",I1265&lt;T1265),"",IFERROR(AVERAGE(T1265+M1265*{7,8,9,10,11})/IF(G1265="",I1265,G1265)-1,""))</f>
        <v/>
      </c>
      <c r="AG1265" s="55">
        <f>IF(OR(T1265="",I1265&lt;T1265),"",IFERROR(AF1265/-(R1265/IF(G1265="",I1265,G1265)-1),""))</f>
        <v/>
      </c>
      <c r="AH1265" s="94" t="n"/>
      <c r="AI1265" s="94" t="n"/>
      <c r="AJ1265" s="94" t="n"/>
      <c r="AK1265" s="94" t="n"/>
      <c r="AL1265" s="84" t="n"/>
    </row>
    <row r="1266">
      <c r="A1266" s="64" t="n"/>
      <c r="B1266" s="65" t="n"/>
      <c r="C1266" s="66" t="n"/>
      <c r="D1266" s="67" t="n"/>
      <c r="E1266" s="68" t="n"/>
      <c r="F1266" s="47">
        <f>IF(A1266="","",IF(MIN(H1266,MAX(J1266:K1266))=0,"",MIN(H1266,MAX(J1266:K1266))))</f>
        <v/>
      </c>
      <c r="G1266" s="74" t="n"/>
      <c r="H1266" s="49">
        <f>IF(M1266="","",IFERROR(ROUND(AVERAGE(T1266+M1266*{7,8,9,10,11})/1.21,4),""))</f>
        <v/>
      </c>
      <c r="I1266" s="76" t="n"/>
      <c r="J1266" s="77" t="n"/>
      <c r="K1266" s="74" t="n"/>
      <c r="L1266" s="78" t="n"/>
      <c r="M1266" s="77" t="n"/>
      <c r="N1266" s="53">
        <f>IF(M1266="","",IFERROR(M1266/I1266,""))</f>
        <v/>
      </c>
      <c r="O1266" s="50">
        <f>IF(A1266="","",IFERROR((IF(G1266="",I1266,G1266)-T1266)/M1266,""))</f>
        <v/>
      </c>
      <c r="P1266" s="50">
        <f>IFERROR((I1266/T1266-1)/N1266,"")</f>
        <v/>
      </c>
      <c r="Q1266" s="46">
        <f>IF(OR(T1266="",I1266&lt;T1266),"",IFERROR(R1266/IF(G1266="",I1266,G1266)-1,""))</f>
        <v/>
      </c>
      <c r="R1266" s="48">
        <f>IF($M1266="","",MAX(IF($G1266="",$I1266,$G1266)*(1/1.1),IF($G1266="",$I1266,$G1266)+(R$2*$M1266)))</f>
        <v/>
      </c>
      <c r="S1266" s="49">
        <f>IF($M1266="","",MAX(IF($G1266="",$I1266,$G1266)*(1/1.1),IF($G1266="",$I1266,$G1266)+(S$2*$M1266)))</f>
        <v/>
      </c>
      <c r="T1266" s="82" t="n"/>
      <c r="U1266" s="47">
        <f>IF(OR($M1266="",$T1266=""),"",$T1266+(U$2*$M1266))</f>
        <v/>
      </c>
      <c r="V1266" s="48">
        <f>IF(OR($M1266="",$T1266=""),"",$T1266+(V$2*$M1266))</f>
        <v/>
      </c>
      <c r="W1266" s="48">
        <f>IF(OR($M1266="",$T1266=""),"",$T1266+(W$2*$M1266))</f>
        <v/>
      </c>
      <c r="X1266" s="49">
        <f>IF(OR($M1266="",$T1266=""),"",$T1266+(X$2*$M1266))</f>
        <v/>
      </c>
      <c r="Y1266" s="47">
        <f>IF(OR($M1266="",$T1266=""),"",$T1266+(Y$2*$M1266))</f>
        <v/>
      </c>
      <c r="Z1266" s="49">
        <f>IF(OR($M1266="",$T1266=""),"",$T1266+(Z$2*$M1266))</f>
        <v/>
      </c>
      <c r="AA1266" s="51">
        <f>IF(OR($M1266="",$T1266=""),"",$T1266+(AA$2*$M1266))</f>
        <v/>
      </c>
      <c r="AB1266" s="48">
        <f>IF(OR($M1266="",$T1266=""),"",$T1266+(AB$2*$M1266))</f>
        <v/>
      </c>
      <c r="AC1266" s="48">
        <f>IF(OR($M1266="",$T1266=""),"",$T1266+(AC$2*$M1266))</f>
        <v/>
      </c>
      <c r="AD1266" s="48">
        <f>IF(OR($M1266="",$T1266=""),"",$T1266+(AD$2*$M1266))</f>
        <v/>
      </c>
      <c r="AE1266" s="49">
        <f>IF(OR($M1266="",$T1266=""),"",$T1266+(AE$2*$M1266))</f>
        <v/>
      </c>
      <c r="AF1266" s="52">
        <f>IF(OR(T1266="",I1266&lt;T1266),"",IFERROR(AVERAGE(T1266+M1266*{7,8,9,10,11})/IF(G1266="",I1266,G1266)-1,""))</f>
        <v/>
      </c>
      <c r="AG1266" s="55">
        <f>IF(OR(T1266="",I1266&lt;T1266),"",IFERROR(AF1266/-(R1266/IF(G1266="",I1266,G1266)-1),""))</f>
        <v/>
      </c>
      <c r="AH1266" s="94" t="n"/>
      <c r="AI1266" s="94" t="n"/>
      <c r="AJ1266" s="94" t="n"/>
      <c r="AK1266" s="94" t="n"/>
      <c r="AL1266" s="84" t="n"/>
    </row>
    <row r="1267">
      <c r="A1267" s="64" t="n"/>
      <c r="B1267" s="65" t="n"/>
      <c r="C1267" s="66" t="n"/>
      <c r="D1267" s="67" t="n"/>
      <c r="E1267" s="68" t="n"/>
      <c r="F1267" s="47">
        <f>IF(A1267="","",IF(MIN(H1267,MAX(J1267:K1267))=0,"",MIN(H1267,MAX(J1267:K1267))))</f>
        <v/>
      </c>
      <c r="G1267" s="74" t="n"/>
      <c r="H1267" s="49">
        <f>IF(M1267="","",IFERROR(ROUND(AVERAGE(T1267+M1267*{7,8,9,10,11})/1.21,4),""))</f>
        <v/>
      </c>
      <c r="I1267" s="76" t="n"/>
      <c r="J1267" s="77" t="n"/>
      <c r="K1267" s="74" t="n"/>
      <c r="L1267" s="78" t="n"/>
      <c r="M1267" s="77" t="n"/>
      <c r="N1267" s="53">
        <f>IF(M1267="","",IFERROR(M1267/I1267,""))</f>
        <v/>
      </c>
      <c r="O1267" s="50">
        <f>IF(A1267="","",IFERROR((IF(G1267="",I1267,G1267)-T1267)/M1267,""))</f>
        <v/>
      </c>
      <c r="P1267" s="50">
        <f>IFERROR((I1267/T1267-1)/N1267,"")</f>
        <v/>
      </c>
      <c r="Q1267" s="46">
        <f>IF(OR(T1267="",I1267&lt;T1267),"",IFERROR(R1267/IF(G1267="",I1267,G1267)-1,""))</f>
        <v/>
      </c>
      <c r="R1267" s="48">
        <f>IF($M1267="","",MAX(IF($G1267="",$I1267,$G1267)*(1/1.1),IF($G1267="",$I1267,$G1267)+(R$2*$M1267)))</f>
        <v/>
      </c>
      <c r="S1267" s="49">
        <f>IF($M1267="","",MAX(IF($G1267="",$I1267,$G1267)*(1/1.1),IF($G1267="",$I1267,$G1267)+(S$2*$M1267)))</f>
        <v/>
      </c>
      <c r="T1267" s="82" t="n"/>
      <c r="U1267" s="47">
        <f>IF(OR($M1267="",$T1267=""),"",$T1267+(U$2*$M1267))</f>
        <v/>
      </c>
      <c r="V1267" s="48">
        <f>IF(OR($M1267="",$T1267=""),"",$T1267+(V$2*$M1267))</f>
        <v/>
      </c>
      <c r="W1267" s="48">
        <f>IF(OR($M1267="",$T1267=""),"",$T1267+(W$2*$M1267))</f>
        <v/>
      </c>
      <c r="X1267" s="49">
        <f>IF(OR($M1267="",$T1267=""),"",$T1267+(X$2*$M1267))</f>
        <v/>
      </c>
      <c r="Y1267" s="47">
        <f>IF(OR($M1267="",$T1267=""),"",$T1267+(Y$2*$M1267))</f>
        <v/>
      </c>
      <c r="Z1267" s="49">
        <f>IF(OR($M1267="",$T1267=""),"",$T1267+(Z$2*$M1267))</f>
        <v/>
      </c>
      <c r="AA1267" s="51">
        <f>IF(OR($M1267="",$T1267=""),"",$T1267+(AA$2*$M1267))</f>
        <v/>
      </c>
      <c r="AB1267" s="48">
        <f>IF(OR($M1267="",$T1267=""),"",$T1267+(AB$2*$M1267))</f>
        <v/>
      </c>
      <c r="AC1267" s="48">
        <f>IF(OR($M1267="",$T1267=""),"",$T1267+(AC$2*$M1267))</f>
        <v/>
      </c>
      <c r="AD1267" s="48">
        <f>IF(OR($M1267="",$T1267=""),"",$T1267+(AD$2*$M1267))</f>
        <v/>
      </c>
      <c r="AE1267" s="49">
        <f>IF(OR($M1267="",$T1267=""),"",$T1267+(AE$2*$M1267))</f>
        <v/>
      </c>
      <c r="AF1267" s="52">
        <f>IF(OR(T1267="",I1267&lt;T1267),"",IFERROR(AVERAGE(T1267+M1267*{7,8,9,10,11})/IF(G1267="",I1267,G1267)-1,""))</f>
        <v/>
      </c>
      <c r="AG1267" s="55">
        <f>IF(OR(T1267="",I1267&lt;T1267),"",IFERROR(AF1267/-(R1267/IF(G1267="",I1267,G1267)-1),""))</f>
        <v/>
      </c>
      <c r="AH1267" s="94" t="n"/>
      <c r="AI1267" s="94" t="n"/>
      <c r="AJ1267" s="94" t="n"/>
      <c r="AK1267" s="94" t="n"/>
      <c r="AL1267" s="84" t="n"/>
    </row>
    <row r="1268">
      <c r="A1268" s="64" t="n"/>
      <c r="B1268" s="65" t="n"/>
      <c r="C1268" s="66" t="n"/>
      <c r="D1268" s="67" t="n"/>
      <c r="E1268" s="68" t="n"/>
      <c r="F1268" s="47">
        <f>IF(A1268="","",IF(MIN(H1268,MAX(J1268:K1268))=0,"",MIN(H1268,MAX(J1268:K1268))))</f>
        <v/>
      </c>
      <c r="G1268" s="74" t="n"/>
      <c r="H1268" s="49">
        <f>IF(M1268="","",IFERROR(ROUND(AVERAGE(T1268+M1268*{7,8,9,10,11})/1.21,4),""))</f>
        <v/>
      </c>
      <c r="I1268" s="76" t="n"/>
      <c r="J1268" s="77" t="n"/>
      <c r="K1268" s="74" t="n"/>
      <c r="L1268" s="78" t="n"/>
      <c r="M1268" s="77" t="n"/>
      <c r="N1268" s="53">
        <f>IF(M1268="","",IFERROR(M1268/I1268,""))</f>
        <v/>
      </c>
      <c r="O1268" s="50">
        <f>IF(A1268="","",IFERROR((IF(G1268="",I1268,G1268)-T1268)/M1268,""))</f>
        <v/>
      </c>
      <c r="P1268" s="50">
        <f>IFERROR((I1268/T1268-1)/N1268,"")</f>
        <v/>
      </c>
      <c r="Q1268" s="46">
        <f>IF(OR(T1268="",I1268&lt;T1268),"",IFERROR(R1268/IF(G1268="",I1268,G1268)-1,""))</f>
        <v/>
      </c>
      <c r="R1268" s="48">
        <f>IF($M1268="","",MAX(IF($G1268="",$I1268,$G1268)*(1/1.1),IF($G1268="",$I1268,$G1268)+(R$2*$M1268)))</f>
        <v/>
      </c>
      <c r="S1268" s="49">
        <f>IF($M1268="","",MAX(IF($G1268="",$I1268,$G1268)*(1/1.1),IF($G1268="",$I1268,$G1268)+(S$2*$M1268)))</f>
        <v/>
      </c>
      <c r="T1268" s="82" t="n"/>
      <c r="U1268" s="47">
        <f>IF(OR($M1268="",$T1268=""),"",$T1268+(U$2*$M1268))</f>
        <v/>
      </c>
      <c r="V1268" s="48">
        <f>IF(OR($M1268="",$T1268=""),"",$T1268+(V$2*$M1268))</f>
        <v/>
      </c>
      <c r="W1268" s="48">
        <f>IF(OR($M1268="",$T1268=""),"",$T1268+(W$2*$M1268))</f>
        <v/>
      </c>
      <c r="X1268" s="49">
        <f>IF(OR($M1268="",$T1268=""),"",$T1268+(X$2*$M1268))</f>
        <v/>
      </c>
      <c r="Y1268" s="47">
        <f>IF(OR($M1268="",$T1268=""),"",$T1268+(Y$2*$M1268))</f>
        <v/>
      </c>
      <c r="Z1268" s="49">
        <f>IF(OR($M1268="",$T1268=""),"",$T1268+(Z$2*$M1268))</f>
        <v/>
      </c>
      <c r="AA1268" s="51">
        <f>IF(OR($M1268="",$T1268=""),"",$T1268+(AA$2*$M1268))</f>
        <v/>
      </c>
      <c r="AB1268" s="48">
        <f>IF(OR($M1268="",$T1268=""),"",$T1268+(AB$2*$M1268))</f>
        <v/>
      </c>
      <c r="AC1268" s="48">
        <f>IF(OR($M1268="",$T1268=""),"",$T1268+(AC$2*$M1268))</f>
        <v/>
      </c>
      <c r="AD1268" s="48">
        <f>IF(OR($M1268="",$T1268=""),"",$T1268+(AD$2*$M1268))</f>
        <v/>
      </c>
      <c r="AE1268" s="49">
        <f>IF(OR($M1268="",$T1268=""),"",$T1268+(AE$2*$M1268))</f>
        <v/>
      </c>
      <c r="AF1268" s="52">
        <f>IF(OR(T1268="",I1268&lt;T1268),"",IFERROR(AVERAGE(T1268+M1268*{7,8,9,10,11})/IF(G1268="",I1268,G1268)-1,""))</f>
        <v/>
      </c>
      <c r="AG1268" s="55">
        <f>IF(OR(T1268="",I1268&lt;T1268),"",IFERROR(AF1268/-(R1268/IF(G1268="",I1268,G1268)-1),""))</f>
        <v/>
      </c>
      <c r="AH1268" s="94" t="n"/>
      <c r="AI1268" s="94" t="n"/>
      <c r="AJ1268" s="94" t="n"/>
      <c r="AK1268" s="94" t="n"/>
      <c r="AL1268" s="84" t="n"/>
    </row>
    <row r="1269">
      <c r="A1269" s="64" t="n"/>
      <c r="B1269" s="65" t="n"/>
      <c r="C1269" s="66" t="n"/>
      <c r="D1269" s="67" t="n"/>
      <c r="E1269" s="68" t="n"/>
      <c r="F1269" s="47">
        <f>IF(A1269="","",IF(MIN(H1269,MAX(J1269:K1269))=0,"",MIN(H1269,MAX(J1269:K1269))))</f>
        <v/>
      </c>
      <c r="G1269" s="74" t="n"/>
      <c r="H1269" s="49">
        <f>IF(M1269="","",IFERROR(ROUND(AVERAGE(T1269+M1269*{7,8,9,10,11})/1.21,4),""))</f>
        <v/>
      </c>
      <c r="I1269" s="76" t="n"/>
      <c r="J1269" s="77" t="n"/>
      <c r="K1269" s="74" t="n"/>
      <c r="L1269" s="78" t="n"/>
      <c r="M1269" s="77" t="n"/>
      <c r="N1269" s="53">
        <f>IF(M1269="","",IFERROR(M1269/I1269,""))</f>
        <v/>
      </c>
      <c r="O1269" s="50">
        <f>IF(A1269="","",IFERROR((IF(G1269="",I1269,G1269)-T1269)/M1269,""))</f>
        <v/>
      </c>
      <c r="P1269" s="50">
        <f>IFERROR((I1269/T1269-1)/N1269,"")</f>
        <v/>
      </c>
      <c r="Q1269" s="46">
        <f>IF(OR(T1269="",I1269&lt;T1269),"",IFERROR(R1269/IF(G1269="",I1269,G1269)-1,""))</f>
        <v/>
      </c>
      <c r="R1269" s="48">
        <f>IF($M1269="","",MAX(IF($G1269="",$I1269,$G1269)*(1/1.1),IF($G1269="",$I1269,$G1269)+(R$2*$M1269)))</f>
        <v/>
      </c>
      <c r="S1269" s="49">
        <f>IF($M1269="","",MAX(IF($G1269="",$I1269,$G1269)*(1/1.1),IF($G1269="",$I1269,$G1269)+(S$2*$M1269)))</f>
        <v/>
      </c>
      <c r="T1269" s="82" t="n"/>
      <c r="U1269" s="47">
        <f>IF(OR($M1269="",$T1269=""),"",$T1269+(U$2*$M1269))</f>
        <v/>
      </c>
      <c r="V1269" s="48">
        <f>IF(OR($M1269="",$T1269=""),"",$T1269+(V$2*$M1269))</f>
        <v/>
      </c>
      <c r="W1269" s="48">
        <f>IF(OR($M1269="",$T1269=""),"",$T1269+(W$2*$M1269))</f>
        <v/>
      </c>
      <c r="X1269" s="49">
        <f>IF(OR($M1269="",$T1269=""),"",$T1269+(X$2*$M1269))</f>
        <v/>
      </c>
      <c r="Y1269" s="47">
        <f>IF(OR($M1269="",$T1269=""),"",$T1269+(Y$2*$M1269))</f>
        <v/>
      </c>
      <c r="Z1269" s="49">
        <f>IF(OR($M1269="",$T1269=""),"",$T1269+(Z$2*$M1269))</f>
        <v/>
      </c>
      <c r="AA1269" s="51">
        <f>IF(OR($M1269="",$T1269=""),"",$T1269+(AA$2*$M1269))</f>
        <v/>
      </c>
      <c r="AB1269" s="48">
        <f>IF(OR($M1269="",$T1269=""),"",$T1269+(AB$2*$M1269))</f>
        <v/>
      </c>
      <c r="AC1269" s="48">
        <f>IF(OR($M1269="",$T1269=""),"",$T1269+(AC$2*$M1269))</f>
        <v/>
      </c>
      <c r="AD1269" s="48">
        <f>IF(OR($M1269="",$T1269=""),"",$T1269+(AD$2*$M1269))</f>
        <v/>
      </c>
      <c r="AE1269" s="49">
        <f>IF(OR($M1269="",$T1269=""),"",$T1269+(AE$2*$M1269))</f>
        <v/>
      </c>
      <c r="AF1269" s="52">
        <f>IF(OR(T1269="",I1269&lt;T1269),"",IFERROR(AVERAGE(T1269+M1269*{7,8,9,10,11})/IF(G1269="",I1269,G1269)-1,""))</f>
        <v/>
      </c>
      <c r="AG1269" s="55">
        <f>IF(OR(T1269="",I1269&lt;T1269),"",IFERROR(AF1269/-(R1269/IF(G1269="",I1269,G1269)-1),""))</f>
        <v/>
      </c>
      <c r="AH1269" s="94" t="n"/>
      <c r="AI1269" s="94" t="n"/>
      <c r="AJ1269" s="94" t="n"/>
      <c r="AK1269" s="94" t="n"/>
      <c r="AL1269" s="84" t="n"/>
    </row>
    <row r="1270">
      <c r="A1270" s="64" t="n"/>
      <c r="B1270" s="65" t="n"/>
      <c r="C1270" s="66" t="n"/>
      <c r="D1270" s="67" t="n"/>
      <c r="E1270" s="68" t="n"/>
      <c r="F1270" s="47">
        <f>IF(A1270="","",IF(MIN(H1270,MAX(J1270:K1270))=0,"",MIN(H1270,MAX(J1270:K1270))))</f>
        <v/>
      </c>
      <c r="G1270" s="74" t="n"/>
      <c r="H1270" s="49">
        <f>IF(M1270="","",IFERROR(ROUND(AVERAGE(T1270+M1270*{7,8,9,10,11})/1.21,4),""))</f>
        <v/>
      </c>
      <c r="I1270" s="76" t="n"/>
      <c r="J1270" s="77" t="n"/>
      <c r="K1270" s="74" t="n"/>
      <c r="L1270" s="78" t="n"/>
      <c r="M1270" s="77" t="n"/>
      <c r="N1270" s="53">
        <f>IF(M1270="","",IFERROR(M1270/I1270,""))</f>
        <v/>
      </c>
      <c r="O1270" s="50">
        <f>IF(A1270="","",IFERROR((IF(G1270="",I1270,G1270)-T1270)/M1270,""))</f>
        <v/>
      </c>
      <c r="P1270" s="50">
        <f>IFERROR((I1270/T1270-1)/N1270,"")</f>
        <v/>
      </c>
      <c r="Q1270" s="46">
        <f>IF(OR(T1270="",I1270&lt;T1270),"",IFERROR(R1270/IF(G1270="",I1270,G1270)-1,""))</f>
        <v/>
      </c>
      <c r="R1270" s="48">
        <f>IF($M1270="","",MAX(IF($G1270="",$I1270,$G1270)*(1/1.1),IF($G1270="",$I1270,$G1270)+(R$2*$M1270)))</f>
        <v/>
      </c>
      <c r="S1270" s="49">
        <f>IF($M1270="","",MAX(IF($G1270="",$I1270,$G1270)*(1/1.1),IF($G1270="",$I1270,$G1270)+(S$2*$M1270)))</f>
        <v/>
      </c>
      <c r="T1270" s="82" t="n"/>
      <c r="U1270" s="47">
        <f>IF(OR($M1270="",$T1270=""),"",$T1270+(U$2*$M1270))</f>
        <v/>
      </c>
      <c r="V1270" s="48">
        <f>IF(OR($M1270="",$T1270=""),"",$T1270+(V$2*$M1270))</f>
        <v/>
      </c>
      <c r="W1270" s="48">
        <f>IF(OR($M1270="",$T1270=""),"",$T1270+(W$2*$M1270))</f>
        <v/>
      </c>
      <c r="X1270" s="49">
        <f>IF(OR($M1270="",$T1270=""),"",$T1270+(X$2*$M1270))</f>
        <v/>
      </c>
      <c r="Y1270" s="47">
        <f>IF(OR($M1270="",$T1270=""),"",$T1270+(Y$2*$M1270))</f>
        <v/>
      </c>
      <c r="Z1270" s="49">
        <f>IF(OR($M1270="",$T1270=""),"",$T1270+(Z$2*$M1270))</f>
        <v/>
      </c>
      <c r="AA1270" s="51">
        <f>IF(OR($M1270="",$T1270=""),"",$T1270+(AA$2*$M1270))</f>
        <v/>
      </c>
      <c r="AB1270" s="48">
        <f>IF(OR($M1270="",$T1270=""),"",$T1270+(AB$2*$M1270))</f>
        <v/>
      </c>
      <c r="AC1270" s="48">
        <f>IF(OR($M1270="",$T1270=""),"",$T1270+(AC$2*$M1270))</f>
        <v/>
      </c>
      <c r="AD1270" s="48">
        <f>IF(OR($M1270="",$T1270=""),"",$T1270+(AD$2*$M1270))</f>
        <v/>
      </c>
      <c r="AE1270" s="49">
        <f>IF(OR($M1270="",$T1270=""),"",$T1270+(AE$2*$M1270))</f>
        <v/>
      </c>
      <c r="AF1270" s="52">
        <f>IF(OR(T1270="",I1270&lt;T1270),"",IFERROR(AVERAGE(T1270+M1270*{7,8,9,10,11})/IF(G1270="",I1270,G1270)-1,""))</f>
        <v/>
      </c>
      <c r="AG1270" s="55">
        <f>IF(OR(T1270="",I1270&lt;T1270),"",IFERROR(AF1270/-(R1270/IF(G1270="",I1270,G1270)-1),""))</f>
        <v/>
      </c>
      <c r="AH1270" s="94" t="n"/>
      <c r="AI1270" s="94" t="n"/>
      <c r="AJ1270" s="94" t="n"/>
      <c r="AK1270" s="94" t="n"/>
      <c r="AL1270" s="84" t="n"/>
    </row>
    <row r="1271">
      <c r="A1271" s="64" t="n"/>
      <c r="B1271" s="65" t="n"/>
      <c r="C1271" s="66" t="n"/>
      <c r="D1271" s="67" t="n"/>
      <c r="E1271" s="68" t="n"/>
      <c r="F1271" s="47">
        <f>IF(A1271="","",IF(MIN(H1271,MAX(J1271:K1271))=0,"",MIN(H1271,MAX(J1271:K1271))))</f>
        <v/>
      </c>
      <c r="G1271" s="74" t="n"/>
      <c r="H1271" s="49">
        <f>IF(M1271="","",IFERROR(ROUND(AVERAGE(T1271+M1271*{7,8,9,10,11})/1.21,4),""))</f>
        <v/>
      </c>
      <c r="I1271" s="76" t="n"/>
      <c r="J1271" s="77" t="n"/>
      <c r="K1271" s="74" t="n"/>
      <c r="L1271" s="78" t="n"/>
      <c r="M1271" s="77" t="n"/>
      <c r="N1271" s="53">
        <f>IF(M1271="","",IFERROR(M1271/I1271,""))</f>
        <v/>
      </c>
      <c r="O1271" s="50">
        <f>IF(A1271="","",IFERROR((IF(G1271="",I1271,G1271)-T1271)/M1271,""))</f>
        <v/>
      </c>
      <c r="P1271" s="50">
        <f>IFERROR((I1271/T1271-1)/N1271,"")</f>
        <v/>
      </c>
      <c r="Q1271" s="46">
        <f>IF(OR(T1271="",I1271&lt;T1271),"",IFERROR(R1271/IF(G1271="",I1271,G1271)-1,""))</f>
        <v/>
      </c>
      <c r="R1271" s="48">
        <f>IF($M1271="","",MAX(IF($G1271="",$I1271,$G1271)*(1/1.1),IF($G1271="",$I1271,$G1271)+(R$2*$M1271)))</f>
        <v/>
      </c>
      <c r="S1271" s="49">
        <f>IF($M1271="","",MAX(IF($G1271="",$I1271,$G1271)*(1/1.1),IF($G1271="",$I1271,$G1271)+(S$2*$M1271)))</f>
        <v/>
      </c>
      <c r="T1271" s="82" t="n"/>
      <c r="U1271" s="47">
        <f>IF(OR($M1271="",$T1271=""),"",$T1271+(U$2*$M1271))</f>
        <v/>
      </c>
      <c r="V1271" s="48">
        <f>IF(OR($M1271="",$T1271=""),"",$T1271+(V$2*$M1271))</f>
        <v/>
      </c>
      <c r="W1271" s="48">
        <f>IF(OR($M1271="",$T1271=""),"",$T1271+(W$2*$M1271))</f>
        <v/>
      </c>
      <c r="X1271" s="49">
        <f>IF(OR($M1271="",$T1271=""),"",$T1271+(X$2*$M1271))</f>
        <v/>
      </c>
      <c r="Y1271" s="47">
        <f>IF(OR($M1271="",$T1271=""),"",$T1271+(Y$2*$M1271))</f>
        <v/>
      </c>
      <c r="Z1271" s="49">
        <f>IF(OR($M1271="",$T1271=""),"",$T1271+(Z$2*$M1271))</f>
        <v/>
      </c>
      <c r="AA1271" s="51">
        <f>IF(OR($M1271="",$T1271=""),"",$T1271+(AA$2*$M1271))</f>
        <v/>
      </c>
      <c r="AB1271" s="48">
        <f>IF(OR($M1271="",$T1271=""),"",$T1271+(AB$2*$M1271))</f>
        <v/>
      </c>
      <c r="AC1271" s="48">
        <f>IF(OR($M1271="",$T1271=""),"",$T1271+(AC$2*$M1271))</f>
        <v/>
      </c>
      <c r="AD1271" s="48">
        <f>IF(OR($M1271="",$T1271=""),"",$T1271+(AD$2*$M1271))</f>
        <v/>
      </c>
      <c r="AE1271" s="49">
        <f>IF(OR($M1271="",$T1271=""),"",$T1271+(AE$2*$M1271))</f>
        <v/>
      </c>
      <c r="AF1271" s="52">
        <f>IF(OR(T1271="",I1271&lt;T1271),"",IFERROR(AVERAGE(T1271+M1271*{7,8,9,10,11})/IF(G1271="",I1271,G1271)-1,""))</f>
        <v/>
      </c>
      <c r="AG1271" s="55">
        <f>IF(OR(T1271="",I1271&lt;T1271),"",IFERROR(AF1271/-(R1271/IF(G1271="",I1271,G1271)-1),""))</f>
        <v/>
      </c>
      <c r="AH1271" s="94" t="n"/>
      <c r="AI1271" s="94" t="n"/>
      <c r="AJ1271" s="94" t="n"/>
      <c r="AK1271" s="94" t="n"/>
      <c r="AL1271" s="84" t="n"/>
    </row>
    <row r="1272">
      <c r="A1272" s="64" t="n"/>
      <c r="B1272" s="65" t="n"/>
      <c r="C1272" s="66" t="n"/>
      <c r="D1272" s="67" t="n"/>
      <c r="E1272" s="68" t="n"/>
      <c r="F1272" s="47">
        <f>IF(A1272="","",IF(MIN(H1272,MAX(J1272:K1272))=0,"",MIN(H1272,MAX(J1272:K1272))))</f>
        <v/>
      </c>
      <c r="G1272" s="74" t="n"/>
      <c r="H1272" s="49">
        <f>IF(M1272="","",IFERROR(ROUND(AVERAGE(T1272+M1272*{7,8,9,10,11})/1.21,4),""))</f>
        <v/>
      </c>
      <c r="I1272" s="76" t="n"/>
      <c r="J1272" s="77" t="n"/>
      <c r="K1272" s="74" t="n"/>
      <c r="L1272" s="78" t="n"/>
      <c r="M1272" s="77" t="n"/>
      <c r="N1272" s="53">
        <f>IF(M1272="","",IFERROR(M1272/I1272,""))</f>
        <v/>
      </c>
      <c r="O1272" s="50">
        <f>IF(A1272="","",IFERROR((IF(G1272="",I1272,G1272)-T1272)/M1272,""))</f>
        <v/>
      </c>
      <c r="P1272" s="50">
        <f>IFERROR((I1272/T1272-1)/N1272,"")</f>
        <v/>
      </c>
      <c r="Q1272" s="46">
        <f>IF(OR(T1272="",I1272&lt;T1272),"",IFERROR(R1272/IF(G1272="",I1272,G1272)-1,""))</f>
        <v/>
      </c>
      <c r="R1272" s="48">
        <f>IF($M1272="","",MAX(IF($G1272="",$I1272,$G1272)*(1/1.1),IF($G1272="",$I1272,$G1272)+(R$2*$M1272)))</f>
        <v/>
      </c>
      <c r="S1272" s="49">
        <f>IF($M1272="","",MAX(IF($G1272="",$I1272,$G1272)*(1/1.1),IF($G1272="",$I1272,$G1272)+(S$2*$M1272)))</f>
        <v/>
      </c>
      <c r="T1272" s="82" t="n"/>
      <c r="U1272" s="47">
        <f>IF(OR($M1272="",$T1272=""),"",$T1272+(U$2*$M1272))</f>
        <v/>
      </c>
      <c r="V1272" s="48">
        <f>IF(OR($M1272="",$T1272=""),"",$T1272+(V$2*$M1272))</f>
        <v/>
      </c>
      <c r="W1272" s="48">
        <f>IF(OR($M1272="",$T1272=""),"",$T1272+(W$2*$M1272))</f>
        <v/>
      </c>
      <c r="X1272" s="49">
        <f>IF(OR($M1272="",$T1272=""),"",$T1272+(X$2*$M1272))</f>
        <v/>
      </c>
      <c r="Y1272" s="47">
        <f>IF(OR($M1272="",$T1272=""),"",$T1272+(Y$2*$M1272))</f>
        <v/>
      </c>
      <c r="Z1272" s="49">
        <f>IF(OR($M1272="",$T1272=""),"",$T1272+(Z$2*$M1272))</f>
        <v/>
      </c>
      <c r="AA1272" s="51">
        <f>IF(OR($M1272="",$T1272=""),"",$T1272+(AA$2*$M1272))</f>
        <v/>
      </c>
      <c r="AB1272" s="48">
        <f>IF(OR($M1272="",$T1272=""),"",$T1272+(AB$2*$M1272))</f>
        <v/>
      </c>
      <c r="AC1272" s="48">
        <f>IF(OR($M1272="",$T1272=""),"",$T1272+(AC$2*$M1272))</f>
        <v/>
      </c>
      <c r="AD1272" s="48">
        <f>IF(OR($M1272="",$T1272=""),"",$T1272+(AD$2*$M1272))</f>
        <v/>
      </c>
      <c r="AE1272" s="49">
        <f>IF(OR($M1272="",$T1272=""),"",$T1272+(AE$2*$M1272))</f>
        <v/>
      </c>
      <c r="AF1272" s="52">
        <f>IF(OR(T1272="",I1272&lt;T1272),"",IFERROR(AVERAGE(T1272+M1272*{7,8,9,10,11})/IF(G1272="",I1272,G1272)-1,""))</f>
        <v/>
      </c>
      <c r="AG1272" s="55">
        <f>IF(OR(T1272="",I1272&lt;T1272),"",IFERROR(AF1272/-(R1272/IF(G1272="",I1272,G1272)-1),""))</f>
        <v/>
      </c>
      <c r="AH1272" s="94" t="n"/>
      <c r="AI1272" s="94" t="n"/>
      <c r="AJ1272" s="94" t="n"/>
      <c r="AK1272" s="94" t="n"/>
      <c r="AL1272" s="84" t="n"/>
    </row>
    <row r="1273">
      <c r="A1273" s="64" t="n"/>
      <c r="B1273" s="65" t="n"/>
      <c r="C1273" s="66" t="n"/>
      <c r="D1273" s="67" t="n"/>
      <c r="E1273" s="68" t="n"/>
      <c r="F1273" s="47">
        <f>IF(A1273="","",IF(MIN(H1273,MAX(J1273:K1273))=0,"",MIN(H1273,MAX(J1273:K1273))))</f>
        <v/>
      </c>
      <c r="G1273" s="74" t="n"/>
      <c r="H1273" s="49">
        <f>IF(M1273="","",IFERROR(ROUND(AVERAGE(T1273+M1273*{7,8,9,10,11})/1.21,4),""))</f>
        <v/>
      </c>
      <c r="I1273" s="76" t="n"/>
      <c r="J1273" s="77" t="n"/>
      <c r="K1273" s="74" t="n"/>
      <c r="L1273" s="78" t="n"/>
      <c r="M1273" s="77" t="n"/>
      <c r="N1273" s="53">
        <f>IF(M1273="","",IFERROR(M1273/I1273,""))</f>
        <v/>
      </c>
      <c r="O1273" s="50">
        <f>IF(A1273="","",IFERROR((IF(G1273="",I1273,G1273)-T1273)/M1273,""))</f>
        <v/>
      </c>
      <c r="P1273" s="50">
        <f>IFERROR((I1273/T1273-1)/N1273,"")</f>
        <v/>
      </c>
      <c r="Q1273" s="46">
        <f>IF(OR(T1273="",I1273&lt;T1273),"",IFERROR(R1273/IF(G1273="",I1273,G1273)-1,""))</f>
        <v/>
      </c>
      <c r="R1273" s="48">
        <f>IF($M1273="","",MAX(IF($G1273="",$I1273,$G1273)*(1/1.1),IF($G1273="",$I1273,$G1273)+(R$2*$M1273)))</f>
        <v/>
      </c>
      <c r="S1273" s="49">
        <f>IF($M1273="","",MAX(IF($G1273="",$I1273,$G1273)*(1/1.1),IF($G1273="",$I1273,$G1273)+(S$2*$M1273)))</f>
        <v/>
      </c>
      <c r="T1273" s="82" t="n"/>
      <c r="U1273" s="47">
        <f>IF(OR($M1273="",$T1273=""),"",$T1273+(U$2*$M1273))</f>
        <v/>
      </c>
      <c r="V1273" s="48">
        <f>IF(OR($M1273="",$T1273=""),"",$T1273+(V$2*$M1273))</f>
        <v/>
      </c>
      <c r="W1273" s="48">
        <f>IF(OR($M1273="",$T1273=""),"",$T1273+(W$2*$M1273))</f>
        <v/>
      </c>
      <c r="X1273" s="49">
        <f>IF(OR($M1273="",$T1273=""),"",$T1273+(X$2*$M1273))</f>
        <v/>
      </c>
      <c r="Y1273" s="47">
        <f>IF(OR($M1273="",$T1273=""),"",$T1273+(Y$2*$M1273))</f>
        <v/>
      </c>
      <c r="Z1273" s="49">
        <f>IF(OR($M1273="",$T1273=""),"",$T1273+(Z$2*$M1273))</f>
        <v/>
      </c>
      <c r="AA1273" s="51">
        <f>IF(OR($M1273="",$T1273=""),"",$T1273+(AA$2*$M1273))</f>
        <v/>
      </c>
      <c r="AB1273" s="48">
        <f>IF(OR($M1273="",$T1273=""),"",$T1273+(AB$2*$M1273))</f>
        <v/>
      </c>
      <c r="AC1273" s="48">
        <f>IF(OR($M1273="",$T1273=""),"",$T1273+(AC$2*$M1273))</f>
        <v/>
      </c>
      <c r="AD1273" s="48">
        <f>IF(OR($M1273="",$T1273=""),"",$T1273+(AD$2*$M1273))</f>
        <v/>
      </c>
      <c r="AE1273" s="49">
        <f>IF(OR($M1273="",$T1273=""),"",$T1273+(AE$2*$M1273))</f>
        <v/>
      </c>
      <c r="AF1273" s="52">
        <f>IF(OR(T1273="",I1273&lt;T1273),"",IFERROR(AVERAGE(T1273+M1273*{7,8,9,10,11})/IF(G1273="",I1273,G1273)-1,""))</f>
        <v/>
      </c>
      <c r="AG1273" s="55">
        <f>IF(OR(T1273="",I1273&lt;T1273),"",IFERROR(AF1273/-(R1273/IF(G1273="",I1273,G1273)-1),""))</f>
        <v/>
      </c>
      <c r="AH1273" s="94" t="n"/>
      <c r="AI1273" s="94" t="n"/>
      <c r="AJ1273" s="94" t="n"/>
      <c r="AK1273" s="94" t="n"/>
      <c r="AL1273" s="84" t="n"/>
    </row>
    <row r="1274">
      <c r="A1274" s="64" t="n"/>
      <c r="B1274" s="65" t="n"/>
      <c r="C1274" s="66" t="n"/>
      <c r="D1274" s="67" t="n"/>
      <c r="E1274" s="68" t="n"/>
      <c r="F1274" s="47">
        <f>IF(A1274="","",IF(MIN(H1274,MAX(J1274:K1274))=0,"",MIN(H1274,MAX(J1274:K1274))))</f>
        <v/>
      </c>
      <c r="G1274" s="74" t="n"/>
      <c r="H1274" s="49">
        <f>IF(M1274="","",IFERROR(ROUND(AVERAGE(T1274+M1274*{7,8,9,10,11})/1.21,4),""))</f>
        <v/>
      </c>
      <c r="I1274" s="76" t="n"/>
      <c r="J1274" s="77" t="n"/>
      <c r="K1274" s="74" t="n"/>
      <c r="L1274" s="78" t="n"/>
      <c r="M1274" s="77" t="n"/>
      <c r="N1274" s="53">
        <f>IF(M1274="","",IFERROR(M1274/I1274,""))</f>
        <v/>
      </c>
      <c r="O1274" s="50">
        <f>IF(A1274="","",IFERROR((IF(G1274="",I1274,G1274)-T1274)/M1274,""))</f>
        <v/>
      </c>
      <c r="P1274" s="50">
        <f>IFERROR((I1274/T1274-1)/N1274,"")</f>
        <v/>
      </c>
      <c r="Q1274" s="46">
        <f>IF(OR(T1274="",I1274&lt;T1274),"",IFERROR(R1274/IF(G1274="",I1274,G1274)-1,""))</f>
        <v/>
      </c>
      <c r="R1274" s="48">
        <f>IF($M1274="","",MAX(IF($G1274="",$I1274,$G1274)*(1/1.1),IF($G1274="",$I1274,$G1274)+(R$2*$M1274)))</f>
        <v/>
      </c>
      <c r="S1274" s="49">
        <f>IF($M1274="","",MAX(IF($G1274="",$I1274,$G1274)*(1/1.1),IF($G1274="",$I1274,$G1274)+(S$2*$M1274)))</f>
        <v/>
      </c>
      <c r="T1274" s="82" t="n"/>
      <c r="U1274" s="47">
        <f>IF(OR($M1274="",$T1274=""),"",$T1274+(U$2*$M1274))</f>
        <v/>
      </c>
      <c r="V1274" s="48">
        <f>IF(OR($M1274="",$T1274=""),"",$T1274+(V$2*$M1274))</f>
        <v/>
      </c>
      <c r="W1274" s="48">
        <f>IF(OR($M1274="",$T1274=""),"",$T1274+(W$2*$M1274))</f>
        <v/>
      </c>
      <c r="X1274" s="49">
        <f>IF(OR($M1274="",$T1274=""),"",$T1274+(X$2*$M1274))</f>
        <v/>
      </c>
      <c r="Y1274" s="47">
        <f>IF(OR($M1274="",$T1274=""),"",$T1274+(Y$2*$M1274))</f>
        <v/>
      </c>
      <c r="Z1274" s="49">
        <f>IF(OR($M1274="",$T1274=""),"",$T1274+(Z$2*$M1274))</f>
        <v/>
      </c>
      <c r="AA1274" s="51">
        <f>IF(OR($M1274="",$T1274=""),"",$T1274+(AA$2*$M1274))</f>
        <v/>
      </c>
      <c r="AB1274" s="48">
        <f>IF(OR($M1274="",$T1274=""),"",$T1274+(AB$2*$M1274))</f>
        <v/>
      </c>
      <c r="AC1274" s="48">
        <f>IF(OR($M1274="",$T1274=""),"",$T1274+(AC$2*$M1274))</f>
        <v/>
      </c>
      <c r="AD1274" s="48">
        <f>IF(OR($M1274="",$T1274=""),"",$T1274+(AD$2*$M1274))</f>
        <v/>
      </c>
      <c r="AE1274" s="49">
        <f>IF(OR($M1274="",$T1274=""),"",$T1274+(AE$2*$M1274))</f>
        <v/>
      </c>
      <c r="AF1274" s="52">
        <f>IF(OR(T1274="",I1274&lt;T1274),"",IFERROR(AVERAGE(T1274+M1274*{7,8,9,10,11})/IF(G1274="",I1274,G1274)-1,""))</f>
        <v/>
      </c>
      <c r="AG1274" s="55">
        <f>IF(OR(T1274="",I1274&lt;T1274),"",IFERROR(AF1274/-(R1274/IF(G1274="",I1274,G1274)-1),""))</f>
        <v/>
      </c>
      <c r="AH1274" s="94" t="n"/>
      <c r="AI1274" s="94" t="n"/>
      <c r="AJ1274" s="94" t="n"/>
      <c r="AK1274" s="94" t="n"/>
      <c r="AL1274" s="84" t="n"/>
    </row>
    <row r="1275">
      <c r="A1275" s="64" t="n"/>
      <c r="B1275" s="65" t="n"/>
      <c r="C1275" s="66" t="n"/>
      <c r="D1275" s="67" t="n"/>
      <c r="E1275" s="68" t="n"/>
      <c r="F1275" s="47">
        <f>IF(A1275="","",IF(MIN(H1275,MAX(J1275:K1275))=0,"",MIN(H1275,MAX(J1275:K1275))))</f>
        <v/>
      </c>
      <c r="G1275" s="74" t="n"/>
      <c r="H1275" s="49">
        <f>IF(M1275="","",IFERROR(ROUND(AVERAGE(T1275+M1275*{7,8,9,10,11})/1.21,4),""))</f>
        <v/>
      </c>
      <c r="I1275" s="76" t="n"/>
      <c r="J1275" s="77" t="n"/>
      <c r="K1275" s="74" t="n"/>
      <c r="L1275" s="78" t="n"/>
      <c r="M1275" s="77" t="n"/>
      <c r="N1275" s="53">
        <f>IF(M1275="","",IFERROR(M1275/I1275,""))</f>
        <v/>
      </c>
      <c r="O1275" s="50">
        <f>IF(A1275="","",IFERROR((IF(G1275="",I1275,G1275)-T1275)/M1275,""))</f>
        <v/>
      </c>
      <c r="P1275" s="50">
        <f>IFERROR((I1275/T1275-1)/N1275,"")</f>
        <v/>
      </c>
      <c r="Q1275" s="46">
        <f>IF(OR(T1275="",I1275&lt;T1275),"",IFERROR(R1275/IF(G1275="",I1275,G1275)-1,""))</f>
        <v/>
      </c>
      <c r="R1275" s="48">
        <f>IF($M1275="","",MAX(IF($G1275="",$I1275,$G1275)*(1/1.1),IF($G1275="",$I1275,$G1275)+(R$2*$M1275)))</f>
        <v/>
      </c>
      <c r="S1275" s="49">
        <f>IF($M1275="","",MAX(IF($G1275="",$I1275,$G1275)*(1/1.1),IF($G1275="",$I1275,$G1275)+(S$2*$M1275)))</f>
        <v/>
      </c>
      <c r="T1275" s="82" t="n"/>
      <c r="U1275" s="47">
        <f>IF(OR($M1275="",$T1275=""),"",$T1275+(U$2*$M1275))</f>
        <v/>
      </c>
      <c r="V1275" s="48">
        <f>IF(OR($M1275="",$T1275=""),"",$T1275+(V$2*$M1275))</f>
        <v/>
      </c>
      <c r="W1275" s="48">
        <f>IF(OR($M1275="",$T1275=""),"",$T1275+(W$2*$M1275))</f>
        <v/>
      </c>
      <c r="X1275" s="49">
        <f>IF(OR($M1275="",$T1275=""),"",$T1275+(X$2*$M1275))</f>
        <v/>
      </c>
      <c r="Y1275" s="47">
        <f>IF(OR($M1275="",$T1275=""),"",$T1275+(Y$2*$M1275))</f>
        <v/>
      </c>
      <c r="Z1275" s="49">
        <f>IF(OR($M1275="",$T1275=""),"",$T1275+(Z$2*$M1275))</f>
        <v/>
      </c>
      <c r="AA1275" s="51">
        <f>IF(OR($M1275="",$T1275=""),"",$T1275+(AA$2*$M1275))</f>
        <v/>
      </c>
      <c r="AB1275" s="48">
        <f>IF(OR($M1275="",$T1275=""),"",$T1275+(AB$2*$M1275))</f>
        <v/>
      </c>
      <c r="AC1275" s="48">
        <f>IF(OR($M1275="",$T1275=""),"",$T1275+(AC$2*$M1275))</f>
        <v/>
      </c>
      <c r="AD1275" s="48">
        <f>IF(OR($M1275="",$T1275=""),"",$T1275+(AD$2*$M1275))</f>
        <v/>
      </c>
      <c r="AE1275" s="49">
        <f>IF(OR($M1275="",$T1275=""),"",$T1275+(AE$2*$M1275))</f>
        <v/>
      </c>
      <c r="AF1275" s="52">
        <f>IF(OR(T1275="",I1275&lt;T1275),"",IFERROR(AVERAGE(T1275+M1275*{7,8,9,10,11})/IF(G1275="",I1275,G1275)-1,""))</f>
        <v/>
      </c>
      <c r="AG1275" s="55">
        <f>IF(OR(T1275="",I1275&lt;T1275),"",IFERROR(AF1275/-(R1275/IF(G1275="",I1275,G1275)-1),""))</f>
        <v/>
      </c>
      <c r="AH1275" s="94" t="n"/>
      <c r="AI1275" s="94" t="n"/>
      <c r="AJ1275" s="94" t="n"/>
      <c r="AK1275" s="94" t="n"/>
      <c r="AL1275" s="84" t="n"/>
    </row>
    <row r="1276">
      <c r="A1276" s="64" t="n"/>
      <c r="B1276" s="65" t="n"/>
      <c r="C1276" s="66" t="n"/>
      <c r="D1276" s="67" t="n"/>
      <c r="E1276" s="68" t="n"/>
      <c r="F1276" s="47">
        <f>IF(A1276="","",IF(MIN(H1276,MAX(J1276:K1276))=0,"",MIN(H1276,MAX(J1276:K1276))))</f>
        <v/>
      </c>
      <c r="G1276" s="74" t="n"/>
      <c r="H1276" s="49">
        <f>IF(M1276="","",IFERROR(ROUND(AVERAGE(T1276+M1276*{7,8,9,10,11})/1.21,4),""))</f>
        <v/>
      </c>
      <c r="I1276" s="76" t="n"/>
      <c r="J1276" s="77" t="n"/>
      <c r="K1276" s="74" t="n"/>
      <c r="L1276" s="78" t="n"/>
      <c r="M1276" s="77" t="n"/>
      <c r="N1276" s="53">
        <f>IF(M1276="","",IFERROR(M1276/I1276,""))</f>
        <v/>
      </c>
      <c r="O1276" s="50">
        <f>IF(A1276="","",IFERROR((IF(G1276="",I1276,G1276)-T1276)/M1276,""))</f>
        <v/>
      </c>
      <c r="P1276" s="50">
        <f>IFERROR((I1276/T1276-1)/N1276,"")</f>
        <v/>
      </c>
      <c r="Q1276" s="46">
        <f>IF(OR(T1276="",I1276&lt;T1276),"",IFERROR(R1276/IF(G1276="",I1276,G1276)-1,""))</f>
        <v/>
      </c>
      <c r="R1276" s="48">
        <f>IF($M1276="","",MAX(IF($G1276="",$I1276,$G1276)*(1/1.1),IF($G1276="",$I1276,$G1276)+(R$2*$M1276)))</f>
        <v/>
      </c>
      <c r="S1276" s="49">
        <f>IF($M1276="","",MAX(IF($G1276="",$I1276,$G1276)*(1/1.1),IF($G1276="",$I1276,$G1276)+(S$2*$M1276)))</f>
        <v/>
      </c>
      <c r="T1276" s="82" t="n"/>
      <c r="U1276" s="47">
        <f>IF(OR($M1276="",$T1276=""),"",$T1276+(U$2*$M1276))</f>
        <v/>
      </c>
      <c r="V1276" s="48">
        <f>IF(OR($M1276="",$T1276=""),"",$T1276+(V$2*$M1276))</f>
        <v/>
      </c>
      <c r="W1276" s="48">
        <f>IF(OR($M1276="",$T1276=""),"",$T1276+(W$2*$M1276))</f>
        <v/>
      </c>
      <c r="X1276" s="49">
        <f>IF(OR($M1276="",$T1276=""),"",$T1276+(X$2*$M1276))</f>
        <v/>
      </c>
      <c r="Y1276" s="47">
        <f>IF(OR($M1276="",$T1276=""),"",$T1276+(Y$2*$M1276))</f>
        <v/>
      </c>
      <c r="Z1276" s="49">
        <f>IF(OR($M1276="",$T1276=""),"",$T1276+(Z$2*$M1276))</f>
        <v/>
      </c>
      <c r="AA1276" s="51">
        <f>IF(OR($M1276="",$T1276=""),"",$T1276+(AA$2*$M1276))</f>
        <v/>
      </c>
      <c r="AB1276" s="48">
        <f>IF(OR($M1276="",$T1276=""),"",$T1276+(AB$2*$M1276))</f>
        <v/>
      </c>
      <c r="AC1276" s="48">
        <f>IF(OR($M1276="",$T1276=""),"",$T1276+(AC$2*$M1276))</f>
        <v/>
      </c>
      <c r="AD1276" s="48">
        <f>IF(OR($M1276="",$T1276=""),"",$T1276+(AD$2*$M1276))</f>
        <v/>
      </c>
      <c r="AE1276" s="49">
        <f>IF(OR($M1276="",$T1276=""),"",$T1276+(AE$2*$M1276))</f>
        <v/>
      </c>
      <c r="AF1276" s="52">
        <f>IF(OR(T1276="",I1276&lt;T1276),"",IFERROR(AVERAGE(T1276+M1276*{7,8,9,10,11})/IF(G1276="",I1276,G1276)-1,""))</f>
        <v/>
      </c>
      <c r="AG1276" s="55">
        <f>IF(OR(T1276="",I1276&lt;T1276),"",IFERROR(AF1276/-(R1276/IF(G1276="",I1276,G1276)-1),""))</f>
        <v/>
      </c>
      <c r="AH1276" s="94" t="n"/>
      <c r="AI1276" s="94" t="n"/>
      <c r="AJ1276" s="94" t="n"/>
      <c r="AK1276" s="94" t="n"/>
      <c r="AL1276" s="84" t="n"/>
    </row>
    <row r="1277">
      <c r="A1277" s="64" t="n"/>
      <c r="B1277" s="65" t="n"/>
      <c r="C1277" s="66" t="n"/>
      <c r="D1277" s="67" t="n"/>
      <c r="E1277" s="68" t="n"/>
      <c r="F1277" s="47">
        <f>IF(A1277="","",IF(MIN(H1277,MAX(J1277:K1277))=0,"",MIN(H1277,MAX(J1277:K1277))))</f>
        <v/>
      </c>
      <c r="G1277" s="74" t="n"/>
      <c r="H1277" s="49">
        <f>IF(M1277="","",IFERROR(ROUND(AVERAGE(T1277+M1277*{7,8,9,10,11})/1.21,4),""))</f>
        <v/>
      </c>
      <c r="I1277" s="76" t="n"/>
      <c r="J1277" s="77" t="n"/>
      <c r="K1277" s="74" t="n"/>
      <c r="L1277" s="78" t="n"/>
      <c r="M1277" s="77" t="n"/>
      <c r="N1277" s="53">
        <f>IF(M1277="","",IFERROR(M1277/I1277,""))</f>
        <v/>
      </c>
      <c r="O1277" s="50">
        <f>IF(A1277="","",IFERROR((IF(G1277="",I1277,G1277)-T1277)/M1277,""))</f>
        <v/>
      </c>
      <c r="P1277" s="50">
        <f>IFERROR((I1277/T1277-1)/N1277,"")</f>
        <v/>
      </c>
      <c r="Q1277" s="46">
        <f>IF(OR(T1277="",I1277&lt;T1277),"",IFERROR(R1277/IF(G1277="",I1277,G1277)-1,""))</f>
        <v/>
      </c>
      <c r="R1277" s="48">
        <f>IF($M1277="","",MAX(IF($G1277="",$I1277,$G1277)*(1/1.1),IF($G1277="",$I1277,$G1277)+(R$2*$M1277)))</f>
        <v/>
      </c>
      <c r="S1277" s="49">
        <f>IF($M1277="","",MAX(IF($G1277="",$I1277,$G1277)*(1/1.1),IF($G1277="",$I1277,$G1277)+(S$2*$M1277)))</f>
        <v/>
      </c>
      <c r="T1277" s="82" t="n"/>
      <c r="U1277" s="47">
        <f>IF(OR($M1277="",$T1277=""),"",$T1277+(U$2*$M1277))</f>
        <v/>
      </c>
      <c r="V1277" s="48">
        <f>IF(OR($M1277="",$T1277=""),"",$T1277+(V$2*$M1277))</f>
        <v/>
      </c>
      <c r="W1277" s="48">
        <f>IF(OR($M1277="",$T1277=""),"",$T1277+(W$2*$M1277))</f>
        <v/>
      </c>
      <c r="X1277" s="49">
        <f>IF(OR($M1277="",$T1277=""),"",$T1277+(X$2*$M1277))</f>
        <v/>
      </c>
      <c r="Y1277" s="47">
        <f>IF(OR($M1277="",$T1277=""),"",$T1277+(Y$2*$M1277))</f>
        <v/>
      </c>
      <c r="Z1277" s="49">
        <f>IF(OR($M1277="",$T1277=""),"",$T1277+(Z$2*$M1277))</f>
        <v/>
      </c>
      <c r="AA1277" s="51">
        <f>IF(OR($M1277="",$T1277=""),"",$T1277+(AA$2*$M1277))</f>
        <v/>
      </c>
      <c r="AB1277" s="48">
        <f>IF(OR($M1277="",$T1277=""),"",$T1277+(AB$2*$M1277))</f>
        <v/>
      </c>
      <c r="AC1277" s="48">
        <f>IF(OR($M1277="",$T1277=""),"",$T1277+(AC$2*$M1277))</f>
        <v/>
      </c>
      <c r="AD1277" s="48">
        <f>IF(OR($M1277="",$T1277=""),"",$T1277+(AD$2*$M1277))</f>
        <v/>
      </c>
      <c r="AE1277" s="49">
        <f>IF(OR($M1277="",$T1277=""),"",$T1277+(AE$2*$M1277))</f>
        <v/>
      </c>
      <c r="AF1277" s="52">
        <f>IF(OR(T1277="",I1277&lt;T1277),"",IFERROR(AVERAGE(T1277+M1277*{7,8,9,10,11})/IF(G1277="",I1277,G1277)-1,""))</f>
        <v/>
      </c>
      <c r="AG1277" s="55">
        <f>IF(OR(T1277="",I1277&lt;T1277),"",IFERROR(AF1277/-(R1277/IF(G1277="",I1277,G1277)-1),""))</f>
        <v/>
      </c>
      <c r="AH1277" s="94" t="n"/>
      <c r="AI1277" s="94" t="n"/>
      <c r="AJ1277" s="94" t="n"/>
      <c r="AK1277" s="94" t="n"/>
      <c r="AL1277" s="84" t="n"/>
    </row>
    <row r="1278">
      <c r="A1278" s="64" t="n"/>
      <c r="B1278" s="65" t="n"/>
      <c r="C1278" s="66" t="n"/>
      <c r="D1278" s="67" t="n"/>
      <c r="E1278" s="68" t="n"/>
      <c r="F1278" s="47">
        <f>IF(A1278="","",IF(MIN(H1278,MAX(J1278:K1278))=0,"",MIN(H1278,MAX(J1278:K1278))))</f>
        <v/>
      </c>
      <c r="G1278" s="74" t="n"/>
      <c r="H1278" s="49">
        <f>IF(M1278="","",IFERROR(ROUND(AVERAGE(T1278+M1278*{7,8,9,10,11})/1.21,4),""))</f>
        <v/>
      </c>
      <c r="I1278" s="76" t="n"/>
      <c r="J1278" s="77" t="n"/>
      <c r="K1278" s="74" t="n"/>
      <c r="L1278" s="78" t="n"/>
      <c r="M1278" s="77" t="n"/>
      <c r="N1278" s="53">
        <f>IF(M1278="","",IFERROR(M1278/I1278,""))</f>
        <v/>
      </c>
      <c r="O1278" s="50">
        <f>IF(A1278="","",IFERROR((IF(G1278="",I1278,G1278)-T1278)/M1278,""))</f>
        <v/>
      </c>
      <c r="P1278" s="50">
        <f>IFERROR((I1278/T1278-1)/N1278,"")</f>
        <v/>
      </c>
      <c r="Q1278" s="46">
        <f>IF(OR(T1278="",I1278&lt;T1278),"",IFERROR(R1278/IF(G1278="",I1278,G1278)-1,""))</f>
        <v/>
      </c>
      <c r="R1278" s="48">
        <f>IF($M1278="","",MAX(IF($G1278="",$I1278,$G1278)*(1/1.1),IF($G1278="",$I1278,$G1278)+(R$2*$M1278)))</f>
        <v/>
      </c>
      <c r="S1278" s="49">
        <f>IF($M1278="","",MAX(IF($G1278="",$I1278,$G1278)*(1/1.1),IF($G1278="",$I1278,$G1278)+(S$2*$M1278)))</f>
        <v/>
      </c>
      <c r="T1278" s="82" t="n"/>
      <c r="U1278" s="47">
        <f>IF(OR($M1278="",$T1278=""),"",$T1278+(U$2*$M1278))</f>
        <v/>
      </c>
      <c r="V1278" s="48">
        <f>IF(OR($M1278="",$T1278=""),"",$T1278+(V$2*$M1278))</f>
        <v/>
      </c>
      <c r="W1278" s="48">
        <f>IF(OR($M1278="",$T1278=""),"",$T1278+(W$2*$M1278))</f>
        <v/>
      </c>
      <c r="X1278" s="49">
        <f>IF(OR($M1278="",$T1278=""),"",$T1278+(X$2*$M1278))</f>
        <v/>
      </c>
      <c r="Y1278" s="47">
        <f>IF(OR($M1278="",$T1278=""),"",$T1278+(Y$2*$M1278))</f>
        <v/>
      </c>
      <c r="Z1278" s="49">
        <f>IF(OR($M1278="",$T1278=""),"",$T1278+(Z$2*$M1278))</f>
        <v/>
      </c>
      <c r="AA1278" s="51">
        <f>IF(OR($M1278="",$T1278=""),"",$T1278+(AA$2*$M1278))</f>
        <v/>
      </c>
      <c r="AB1278" s="48">
        <f>IF(OR($M1278="",$T1278=""),"",$T1278+(AB$2*$M1278))</f>
        <v/>
      </c>
      <c r="AC1278" s="48">
        <f>IF(OR($M1278="",$T1278=""),"",$T1278+(AC$2*$M1278))</f>
        <v/>
      </c>
      <c r="AD1278" s="48">
        <f>IF(OR($M1278="",$T1278=""),"",$T1278+(AD$2*$M1278))</f>
        <v/>
      </c>
      <c r="AE1278" s="49">
        <f>IF(OR($M1278="",$T1278=""),"",$T1278+(AE$2*$M1278))</f>
        <v/>
      </c>
      <c r="AF1278" s="52">
        <f>IF(OR(T1278="",I1278&lt;T1278),"",IFERROR(AVERAGE(T1278+M1278*{7,8,9,10,11})/IF(G1278="",I1278,G1278)-1,""))</f>
        <v/>
      </c>
      <c r="AG1278" s="55">
        <f>IF(OR(T1278="",I1278&lt;T1278),"",IFERROR(AF1278/-(R1278/IF(G1278="",I1278,G1278)-1),""))</f>
        <v/>
      </c>
      <c r="AH1278" s="94" t="n"/>
      <c r="AI1278" s="94" t="n"/>
      <c r="AJ1278" s="94" t="n"/>
      <c r="AK1278" s="94" t="n"/>
      <c r="AL1278" s="84" t="n"/>
    </row>
    <row r="1279">
      <c r="A1279" s="64" t="n"/>
      <c r="B1279" s="65" t="n"/>
      <c r="C1279" s="66" t="n"/>
      <c r="D1279" s="67" t="n"/>
      <c r="E1279" s="68" t="n"/>
      <c r="F1279" s="47">
        <f>IF(A1279="","",IF(MIN(H1279,MAX(J1279:K1279))=0,"",MIN(H1279,MAX(J1279:K1279))))</f>
        <v/>
      </c>
      <c r="G1279" s="74" t="n"/>
      <c r="H1279" s="49">
        <f>IF(M1279="","",IFERROR(ROUND(AVERAGE(T1279+M1279*{7,8,9,10,11})/1.21,4),""))</f>
        <v/>
      </c>
      <c r="I1279" s="76" t="n"/>
      <c r="J1279" s="77" t="n"/>
      <c r="K1279" s="74" t="n"/>
      <c r="L1279" s="78" t="n"/>
      <c r="M1279" s="77" t="n"/>
      <c r="N1279" s="53">
        <f>IF(M1279="","",IFERROR(M1279/I1279,""))</f>
        <v/>
      </c>
      <c r="O1279" s="50">
        <f>IF(A1279="","",IFERROR((IF(G1279="",I1279,G1279)-T1279)/M1279,""))</f>
        <v/>
      </c>
      <c r="P1279" s="50">
        <f>IFERROR((I1279/T1279-1)/N1279,"")</f>
        <v/>
      </c>
      <c r="Q1279" s="46">
        <f>IF(OR(T1279="",I1279&lt;T1279),"",IFERROR(R1279/IF(G1279="",I1279,G1279)-1,""))</f>
        <v/>
      </c>
      <c r="R1279" s="48">
        <f>IF($M1279="","",MAX(IF($G1279="",$I1279,$G1279)*(1/1.1),IF($G1279="",$I1279,$G1279)+(R$2*$M1279)))</f>
        <v/>
      </c>
      <c r="S1279" s="49">
        <f>IF($M1279="","",MAX(IF($G1279="",$I1279,$G1279)*(1/1.1),IF($G1279="",$I1279,$G1279)+(S$2*$M1279)))</f>
        <v/>
      </c>
      <c r="T1279" s="82" t="n"/>
      <c r="U1279" s="47">
        <f>IF(OR($M1279="",$T1279=""),"",$T1279+(U$2*$M1279))</f>
        <v/>
      </c>
      <c r="V1279" s="48">
        <f>IF(OR($M1279="",$T1279=""),"",$T1279+(V$2*$M1279))</f>
        <v/>
      </c>
      <c r="W1279" s="48">
        <f>IF(OR($M1279="",$T1279=""),"",$T1279+(W$2*$M1279))</f>
        <v/>
      </c>
      <c r="X1279" s="49">
        <f>IF(OR($M1279="",$T1279=""),"",$T1279+(X$2*$M1279))</f>
        <v/>
      </c>
      <c r="Y1279" s="47">
        <f>IF(OR($M1279="",$T1279=""),"",$T1279+(Y$2*$M1279))</f>
        <v/>
      </c>
      <c r="Z1279" s="49">
        <f>IF(OR($M1279="",$T1279=""),"",$T1279+(Z$2*$M1279))</f>
        <v/>
      </c>
      <c r="AA1279" s="51">
        <f>IF(OR($M1279="",$T1279=""),"",$T1279+(AA$2*$M1279))</f>
        <v/>
      </c>
      <c r="AB1279" s="48">
        <f>IF(OR($M1279="",$T1279=""),"",$T1279+(AB$2*$M1279))</f>
        <v/>
      </c>
      <c r="AC1279" s="48">
        <f>IF(OR($M1279="",$T1279=""),"",$T1279+(AC$2*$M1279))</f>
        <v/>
      </c>
      <c r="AD1279" s="48">
        <f>IF(OR($M1279="",$T1279=""),"",$T1279+(AD$2*$M1279))</f>
        <v/>
      </c>
      <c r="AE1279" s="49">
        <f>IF(OR($M1279="",$T1279=""),"",$T1279+(AE$2*$M1279))</f>
        <v/>
      </c>
      <c r="AF1279" s="52">
        <f>IF(OR(T1279="",I1279&lt;T1279),"",IFERROR(AVERAGE(T1279+M1279*{7,8,9,10,11})/IF(G1279="",I1279,G1279)-1,""))</f>
        <v/>
      </c>
      <c r="AG1279" s="55">
        <f>IF(OR(T1279="",I1279&lt;T1279),"",IFERROR(AF1279/-(R1279/IF(G1279="",I1279,G1279)-1),""))</f>
        <v/>
      </c>
      <c r="AH1279" s="94" t="n"/>
      <c r="AI1279" s="94" t="n"/>
      <c r="AJ1279" s="94" t="n"/>
      <c r="AK1279" s="94" t="n"/>
      <c r="AL1279" s="84" t="n"/>
    </row>
    <row r="1280">
      <c r="A1280" s="64" t="n"/>
      <c r="B1280" s="65" t="n"/>
      <c r="C1280" s="66" t="n"/>
      <c r="D1280" s="67" t="n"/>
      <c r="E1280" s="68" t="n"/>
      <c r="F1280" s="47">
        <f>IF(A1280="","",IF(MIN(H1280,MAX(J1280:K1280))=0,"",MIN(H1280,MAX(J1280:K1280))))</f>
        <v/>
      </c>
      <c r="G1280" s="74" t="n"/>
      <c r="H1280" s="49">
        <f>IF(M1280="","",IFERROR(ROUND(AVERAGE(T1280+M1280*{7,8,9,10,11})/1.21,4),""))</f>
        <v/>
      </c>
      <c r="I1280" s="76" t="n"/>
      <c r="J1280" s="77" t="n"/>
      <c r="K1280" s="74" t="n"/>
      <c r="L1280" s="78" t="n"/>
      <c r="M1280" s="77" t="n"/>
      <c r="N1280" s="53">
        <f>IF(M1280="","",IFERROR(M1280/I1280,""))</f>
        <v/>
      </c>
      <c r="O1280" s="50">
        <f>IF(A1280="","",IFERROR((IF(G1280="",I1280,G1280)-T1280)/M1280,""))</f>
        <v/>
      </c>
      <c r="P1280" s="50">
        <f>IFERROR((I1280/T1280-1)/N1280,"")</f>
        <v/>
      </c>
      <c r="Q1280" s="46">
        <f>IF(OR(T1280="",I1280&lt;T1280),"",IFERROR(R1280/IF(G1280="",I1280,G1280)-1,""))</f>
        <v/>
      </c>
      <c r="R1280" s="48">
        <f>IF($M1280="","",MAX(IF($G1280="",$I1280,$G1280)*(1/1.1),IF($G1280="",$I1280,$G1280)+(R$2*$M1280)))</f>
        <v/>
      </c>
      <c r="S1280" s="49">
        <f>IF($M1280="","",MAX(IF($G1280="",$I1280,$G1280)*(1/1.1),IF($G1280="",$I1280,$G1280)+(S$2*$M1280)))</f>
        <v/>
      </c>
      <c r="T1280" s="82" t="n"/>
      <c r="U1280" s="47">
        <f>IF(OR($M1280="",$T1280=""),"",$T1280+(U$2*$M1280))</f>
        <v/>
      </c>
      <c r="V1280" s="48">
        <f>IF(OR($M1280="",$T1280=""),"",$T1280+(V$2*$M1280))</f>
        <v/>
      </c>
      <c r="W1280" s="48">
        <f>IF(OR($M1280="",$T1280=""),"",$T1280+(W$2*$M1280))</f>
        <v/>
      </c>
      <c r="X1280" s="49">
        <f>IF(OR($M1280="",$T1280=""),"",$T1280+(X$2*$M1280))</f>
        <v/>
      </c>
      <c r="Y1280" s="47">
        <f>IF(OR($M1280="",$T1280=""),"",$T1280+(Y$2*$M1280))</f>
        <v/>
      </c>
      <c r="Z1280" s="49">
        <f>IF(OR($M1280="",$T1280=""),"",$T1280+(Z$2*$M1280))</f>
        <v/>
      </c>
      <c r="AA1280" s="51">
        <f>IF(OR($M1280="",$T1280=""),"",$T1280+(AA$2*$M1280))</f>
        <v/>
      </c>
      <c r="AB1280" s="48">
        <f>IF(OR($M1280="",$T1280=""),"",$T1280+(AB$2*$M1280))</f>
        <v/>
      </c>
      <c r="AC1280" s="48">
        <f>IF(OR($M1280="",$T1280=""),"",$T1280+(AC$2*$M1280))</f>
        <v/>
      </c>
      <c r="AD1280" s="48">
        <f>IF(OR($M1280="",$T1280=""),"",$T1280+(AD$2*$M1280))</f>
        <v/>
      </c>
      <c r="AE1280" s="49">
        <f>IF(OR($M1280="",$T1280=""),"",$T1280+(AE$2*$M1280))</f>
        <v/>
      </c>
      <c r="AF1280" s="52">
        <f>IF(OR(T1280="",I1280&lt;T1280),"",IFERROR(AVERAGE(T1280+M1280*{7,8,9,10,11})/IF(G1280="",I1280,G1280)-1,""))</f>
        <v/>
      </c>
      <c r="AG1280" s="55">
        <f>IF(OR(T1280="",I1280&lt;T1280),"",IFERROR(AF1280/-(R1280/IF(G1280="",I1280,G1280)-1),""))</f>
        <v/>
      </c>
      <c r="AH1280" s="94" t="n"/>
      <c r="AI1280" s="94" t="n"/>
      <c r="AJ1280" s="94" t="n"/>
      <c r="AK1280" s="94" t="n"/>
      <c r="AL1280" s="84" t="n"/>
    </row>
    <row r="1281">
      <c r="A1281" s="64" t="n"/>
      <c r="B1281" s="65" t="n"/>
      <c r="C1281" s="66" t="n"/>
      <c r="D1281" s="67" t="n"/>
      <c r="E1281" s="68" t="n"/>
      <c r="F1281" s="47">
        <f>IF(A1281="","",IF(MIN(H1281,MAX(J1281:K1281))=0,"",MIN(H1281,MAX(J1281:K1281))))</f>
        <v/>
      </c>
      <c r="G1281" s="74" t="n"/>
      <c r="H1281" s="49">
        <f>IF(M1281="","",IFERROR(ROUND(AVERAGE(T1281+M1281*{7,8,9,10,11})/1.21,4),""))</f>
        <v/>
      </c>
      <c r="I1281" s="76" t="n"/>
      <c r="J1281" s="77" t="n"/>
      <c r="K1281" s="74" t="n"/>
      <c r="L1281" s="78" t="n"/>
      <c r="M1281" s="77" t="n"/>
      <c r="N1281" s="53">
        <f>IF(M1281="","",IFERROR(M1281/I1281,""))</f>
        <v/>
      </c>
      <c r="O1281" s="50">
        <f>IF(A1281="","",IFERROR((IF(G1281="",I1281,G1281)-T1281)/M1281,""))</f>
        <v/>
      </c>
      <c r="P1281" s="50">
        <f>IFERROR((I1281/T1281-1)/N1281,"")</f>
        <v/>
      </c>
      <c r="Q1281" s="46">
        <f>IF(OR(T1281="",I1281&lt;T1281),"",IFERROR(R1281/IF(G1281="",I1281,G1281)-1,""))</f>
        <v/>
      </c>
      <c r="R1281" s="48">
        <f>IF($M1281="","",MAX(IF($G1281="",$I1281,$G1281)*(1/1.1),IF($G1281="",$I1281,$G1281)+(R$2*$M1281)))</f>
        <v/>
      </c>
      <c r="S1281" s="49">
        <f>IF($M1281="","",MAX(IF($G1281="",$I1281,$G1281)*(1/1.1),IF($G1281="",$I1281,$G1281)+(S$2*$M1281)))</f>
        <v/>
      </c>
      <c r="T1281" s="82" t="n"/>
      <c r="U1281" s="47">
        <f>IF(OR($M1281="",$T1281=""),"",$T1281+(U$2*$M1281))</f>
        <v/>
      </c>
      <c r="V1281" s="48">
        <f>IF(OR($M1281="",$T1281=""),"",$T1281+(V$2*$M1281))</f>
        <v/>
      </c>
      <c r="W1281" s="48">
        <f>IF(OR($M1281="",$T1281=""),"",$T1281+(W$2*$M1281))</f>
        <v/>
      </c>
      <c r="X1281" s="49">
        <f>IF(OR($M1281="",$T1281=""),"",$T1281+(X$2*$M1281))</f>
        <v/>
      </c>
      <c r="Y1281" s="47">
        <f>IF(OR($M1281="",$T1281=""),"",$T1281+(Y$2*$M1281))</f>
        <v/>
      </c>
      <c r="Z1281" s="49">
        <f>IF(OR($M1281="",$T1281=""),"",$T1281+(Z$2*$M1281))</f>
        <v/>
      </c>
      <c r="AA1281" s="51">
        <f>IF(OR($M1281="",$T1281=""),"",$T1281+(AA$2*$M1281))</f>
        <v/>
      </c>
      <c r="AB1281" s="48">
        <f>IF(OR($M1281="",$T1281=""),"",$T1281+(AB$2*$M1281))</f>
        <v/>
      </c>
      <c r="AC1281" s="48">
        <f>IF(OR($M1281="",$T1281=""),"",$T1281+(AC$2*$M1281))</f>
        <v/>
      </c>
      <c r="AD1281" s="48">
        <f>IF(OR($M1281="",$T1281=""),"",$T1281+(AD$2*$M1281))</f>
        <v/>
      </c>
      <c r="AE1281" s="49">
        <f>IF(OR($M1281="",$T1281=""),"",$T1281+(AE$2*$M1281))</f>
        <v/>
      </c>
      <c r="AF1281" s="52">
        <f>IF(OR(T1281="",I1281&lt;T1281),"",IFERROR(AVERAGE(T1281+M1281*{7,8,9,10,11})/IF(G1281="",I1281,G1281)-1,""))</f>
        <v/>
      </c>
      <c r="AG1281" s="55">
        <f>IF(OR(T1281="",I1281&lt;T1281),"",IFERROR(AF1281/-(R1281/IF(G1281="",I1281,G1281)-1),""))</f>
        <v/>
      </c>
      <c r="AH1281" s="94" t="n"/>
      <c r="AI1281" s="94" t="n"/>
      <c r="AJ1281" s="94" t="n"/>
      <c r="AK1281" s="94" t="n"/>
      <c r="AL1281" s="84" t="n"/>
    </row>
    <row r="1282">
      <c r="A1282" s="64" t="n"/>
      <c r="B1282" s="65" t="n"/>
      <c r="C1282" s="66" t="n"/>
      <c r="D1282" s="67" t="n"/>
      <c r="E1282" s="68" t="n"/>
      <c r="F1282" s="47">
        <f>IF(A1282="","",IF(MIN(H1282,MAX(J1282:K1282))=0,"",MIN(H1282,MAX(J1282:K1282))))</f>
        <v/>
      </c>
      <c r="G1282" s="74" t="n"/>
      <c r="H1282" s="49">
        <f>IF(M1282="","",IFERROR(ROUND(AVERAGE(T1282+M1282*{7,8,9,10,11})/1.21,4),""))</f>
        <v/>
      </c>
      <c r="I1282" s="76" t="n"/>
      <c r="J1282" s="77" t="n"/>
      <c r="K1282" s="74" t="n"/>
      <c r="L1282" s="78" t="n"/>
      <c r="M1282" s="77" t="n"/>
      <c r="N1282" s="53">
        <f>IF(M1282="","",IFERROR(M1282/I1282,""))</f>
        <v/>
      </c>
      <c r="O1282" s="50">
        <f>IF(A1282="","",IFERROR((IF(G1282="",I1282,G1282)-T1282)/M1282,""))</f>
        <v/>
      </c>
      <c r="P1282" s="50">
        <f>IFERROR((I1282/T1282-1)/N1282,"")</f>
        <v/>
      </c>
      <c r="Q1282" s="46">
        <f>IF(OR(T1282="",I1282&lt;T1282),"",IFERROR(R1282/IF(G1282="",I1282,G1282)-1,""))</f>
        <v/>
      </c>
      <c r="R1282" s="48">
        <f>IF($M1282="","",MAX(IF($G1282="",$I1282,$G1282)*(1/1.1),IF($G1282="",$I1282,$G1282)+(R$2*$M1282)))</f>
        <v/>
      </c>
      <c r="S1282" s="49">
        <f>IF($M1282="","",MAX(IF($G1282="",$I1282,$G1282)*(1/1.1),IF($G1282="",$I1282,$G1282)+(S$2*$M1282)))</f>
        <v/>
      </c>
      <c r="T1282" s="82" t="n"/>
      <c r="U1282" s="47">
        <f>IF(OR($M1282="",$T1282=""),"",$T1282+(U$2*$M1282))</f>
        <v/>
      </c>
      <c r="V1282" s="48">
        <f>IF(OR($M1282="",$T1282=""),"",$T1282+(V$2*$M1282))</f>
        <v/>
      </c>
      <c r="W1282" s="48">
        <f>IF(OR($M1282="",$T1282=""),"",$T1282+(W$2*$M1282))</f>
        <v/>
      </c>
      <c r="X1282" s="49">
        <f>IF(OR($M1282="",$T1282=""),"",$T1282+(X$2*$M1282))</f>
        <v/>
      </c>
      <c r="Y1282" s="47">
        <f>IF(OR($M1282="",$T1282=""),"",$T1282+(Y$2*$M1282))</f>
        <v/>
      </c>
      <c r="Z1282" s="49">
        <f>IF(OR($M1282="",$T1282=""),"",$T1282+(Z$2*$M1282))</f>
        <v/>
      </c>
      <c r="AA1282" s="51">
        <f>IF(OR($M1282="",$T1282=""),"",$T1282+(AA$2*$M1282))</f>
        <v/>
      </c>
      <c r="AB1282" s="48">
        <f>IF(OR($M1282="",$T1282=""),"",$T1282+(AB$2*$M1282))</f>
        <v/>
      </c>
      <c r="AC1282" s="48">
        <f>IF(OR($M1282="",$T1282=""),"",$T1282+(AC$2*$M1282))</f>
        <v/>
      </c>
      <c r="AD1282" s="48">
        <f>IF(OR($M1282="",$T1282=""),"",$T1282+(AD$2*$M1282))</f>
        <v/>
      </c>
      <c r="AE1282" s="49">
        <f>IF(OR($M1282="",$T1282=""),"",$T1282+(AE$2*$M1282))</f>
        <v/>
      </c>
      <c r="AF1282" s="52">
        <f>IF(OR(T1282="",I1282&lt;T1282),"",IFERROR(AVERAGE(T1282+M1282*{7,8,9,10,11})/IF(G1282="",I1282,G1282)-1,""))</f>
        <v/>
      </c>
      <c r="AG1282" s="55">
        <f>IF(OR(T1282="",I1282&lt;T1282),"",IFERROR(AF1282/-(R1282/IF(G1282="",I1282,G1282)-1),""))</f>
        <v/>
      </c>
      <c r="AH1282" s="94" t="n"/>
      <c r="AI1282" s="94" t="n"/>
      <c r="AJ1282" s="94" t="n"/>
      <c r="AK1282" s="94" t="n"/>
      <c r="AL1282" s="84" t="n"/>
    </row>
    <row r="1283">
      <c r="A1283" s="64" t="n"/>
      <c r="B1283" s="65" t="n"/>
      <c r="C1283" s="66" t="n"/>
      <c r="D1283" s="67" t="n"/>
      <c r="E1283" s="68" t="n"/>
      <c r="F1283" s="47">
        <f>IF(A1283="","",IF(MIN(H1283,MAX(J1283:K1283))=0,"",MIN(H1283,MAX(J1283:K1283))))</f>
        <v/>
      </c>
      <c r="G1283" s="74" t="n"/>
      <c r="H1283" s="49">
        <f>IF(M1283="","",IFERROR(ROUND(AVERAGE(T1283+M1283*{7,8,9,10,11})/1.21,4),""))</f>
        <v/>
      </c>
      <c r="I1283" s="76" t="n"/>
      <c r="J1283" s="77" t="n"/>
      <c r="K1283" s="74" t="n"/>
      <c r="L1283" s="78" t="n"/>
      <c r="M1283" s="77" t="n"/>
      <c r="N1283" s="53">
        <f>IF(M1283="","",IFERROR(M1283/I1283,""))</f>
        <v/>
      </c>
      <c r="O1283" s="50">
        <f>IF(A1283="","",IFERROR((IF(G1283="",I1283,G1283)-T1283)/M1283,""))</f>
        <v/>
      </c>
      <c r="P1283" s="50">
        <f>IFERROR((I1283/T1283-1)/N1283,"")</f>
        <v/>
      </c>
      <c r="Q1283" s="46">
        <f>IF(OR(T1283="",I1283&lt;T1283),"",IFERROR(R1283/IF(G1283="",I1283,G1283)-1,""))</f>
        <v/>
      </c>
      <c r="R1283" s="48">
        <f>IF($M1283="","",MAX(IF($G1283="",$I1283,$G1283)*(1/1.1),IF($G1283="",$I1283,$G1283)+(R$2*$M1283)))</f>
        <v/>
      </c>
      <c r="S1283" s="49">
        <f>IF($M1283="","",MAX(IF($G1283="",$I1283,$G1283)*(1/1.1),IF($G1283="",$I1283,$G1283)+(S$2*$M1283)))</f>
        <v/>
      </c>
      <c r="T1283" s="82" t="n"/>
      <c r="U1283" s="47">
        <f>IF(OR($M1283="",$T1283=""),"",$T1283+(U$2*$M1283))</f>
        <v/>
      </c>
      <c r="V1283" s="48">
        <f>IF(OR($M1283="",$T1283=""),"",$T1283+(V$2*$M1283))</f>
        <v/>
      </c>
      <c r="W1283" s="48">
        <f>IF(OR($M1283="",$T1283=""),"",$T1283+(W$2*$M1283))</f>
        <v/>
      </c>
      <c r="X1283" s="49">
        <f>IF(OR($M1283="",$T1283=""),"",$T1283+(X$2*$M1283))</f>
        <v/>
      </c>
      <c r="Y1283" s="47">
        <f>IF(OR($M1283="",$T1283=""),"",$T1283+(Y$2*$M1283))</f>
        <v/>
      </c>
      <c r="Z1283" s="49">
        <f>IF(OR($M1283="",$T1283=""),"",$T1283+(Z$2*$M1283))</f>
        <v/>
      </c>
      <c r="AA1283" s="51">
        <f>IF(OR($M1283="",$T1283=""),"",$T1283+(AA$2*$M1283))</f>
        <v/>
      </c>
      <c r="AB1283" s="48">
        <f>IF(OR($M1283="",$T1283=""),"",$T1283+(AB$2*$M1283))</f>
        <v/>
      </c>
      <c r="AC1283" s="48">
        <f>IF(OR($M1283="",$T1283=""),"",$T1283+(AC$2*$M1283))</f>
        <v/>
      </c>
      <c r="AD1283" s="48">
        <f>IF(OR($M1283="",$T1283=""),"",$T1283+(AD$2*$M1283))</f>
        <v/>
      </c>
      <c r="AE1283" s="49">
        <f>IF(OR($M1283="",$T1283=""),"",$T1283+(AE$2*$M1283))</f>
        <v/>
      </c>
      <c r="AF1283" s="52">
        <f>IF(OR(T1283="",I1283&lt;T1283),"",IFERROR(AVERAGE(T1283+M1283*{7,8,9,10,11})/IF(G1283="",I1283,G1283)-1,""))</f>
        <v/>
      </c>
      <c r="AG1283" s="55">
        <f>IF(OR(T1283="",I1283&lt;T1283),"",IFERROR(AF1283/-(R1283/IF(G1283="",I1283,G1283)-1),""))</f>
        <v/>
      </c>
      <c r="AH1283" s="94" t="n"/>
      <c r="AI1283" s="94" t="n"/>
      <c r="AJ1283" s="94" t="n"/>
      <c r="AK1283" s="94" t="n"/>
      <c r="AL1283" s="84" t="n"/>
    </row>
    <row r="1284">
      <c r="A1284" s="64" t="n"/>
      <c r="B1284" s="65" t="n"/>
      <c r="C1284" s="66" t="n"/>
      <c r="D1284" s="67" t="n"/>
      <c r="E1284" s="68" t="n"/>
      <c r="F1284" s="47">
        <f>IF(A1284="","",IF(MIN(H1284,MAX(J1284:K1284))=0,"",MIN(H1284,MAX(J1284:K1284))))</f>
        <v/>
      </c>
      <c r="G1284" s="74" t="n"/>
      <c r="H1284" s="49">
        <f>IF(M1284="","",IFERROR(ROUND(AVERAGE(T1284+M1284*{7,8,9,10,11})/1.21,4),""))</f>
        <v/>
      </c>
      <c r="I1284" s="76" t="n"/>
      <c r="J1284" s="77" t="n"/>
      <c r="K1284" s="74" t="n"/>
      <c r="L1284" s="78" t="n"/>
      <c r="M1284" s="77" t="n"/>
      <c r="N1284" s="53">
        <f>IF(M1284="","",IFERROR(M1284/I1284,""))</f>
        <v/>
      </c>
      <c r="O1284" s="50">
        <f>IF(A1284="","",IFERROR((IF(G1284="",I1284,G1284)-T1284)/M1284,""))</f>
        <v/>
      </c>
      <c r="P1284" s="50">
        <f>IFERROR((I1284/T1284-1)/N1284,"")</f>
        <v/>
      </c>
      <c r="Q1284" s="46">
        <f>IF(OR(T1284="",I1284&lt;T1284),"",IFERROR(R1284/IF(G1284="",I1284,G1284)-1,""))</f>
        <v/>
      </c>
      <c r="R1284" s="48">
        <f>IF($M1284="","",MAX(IF($G1284="",$I1284,$G1284)*(1/1.1),IF($G1284="",$I1284,$G1284)+(R$2*$M1284)))</f>
        <v/>
      </c>
      <c r="S1284" s="49">
        <f>IF($M1284="","",MAX(IF($G1284="",$I1284,$G1284)*(1/1.1),IF($G1284="",$I1284,$G1284)+(S$2*$M1284)))</f>
        <v/>
      </c>
      <c r="T1284" s="82" t="n"/>
      <c r="U1284" s="47">
        <f>IF(OR($M1284="",$T1284=""),"",$T1284+(U$2*$M1284))</f>
        <v/>
      </c>
      <c r="V1284" s="48">
        <f>IF(OR($M1284="",$T1284=""),"",$T1284+(V$2*$M1284))</f>
        <v/>
      </c>
      <c r="W1284" s="48">
        <f>IF(OR($M1284="",$T1284=""),"",$T1284+(W$2*$M1284))</f>
        <v/>
      </c>
      <c r="X1284" s="49">
        <f>IF(OR($M1284="",$T1284=""),"",$T1284+(X$2*$M1284))</f>
        <v/>
      </c>
      <c r="Y1284" s="47">
        <f>IF(OR($M1284="",$T1284=""),"",$T1284+(Y$2*$M1284))</f>
        <v/>
      </c>
      <c r="Z1284" s="49">
        <f>IF(OR($M1284="",$T1284=""),"",$T1284+(Z$2*$M1284))</f>
        <v/>
      </c>
      <c r="AA1284" s="51">
        <f>IF(OR($M1284="",$T1284=""),"",$T1284+(AA$2*$M1284))</f>
        <v/>
      </c>
      <c r="AB1284" s="48">
        <f>IF(OR($M1284="",$T1284=""),"",$T1284+(AB$2*$M1284))</f>
        <v/>
      </c>
      <c r="AC1284" s="48">
        <f>IF(OR($M1284="",$T1284=""),"",$T1284+(AC$2*$M1284))</f>
        <v/>
      </c>
      <c r="AD1284" s="48">
        <f>IF(OR($M1284="",$T1284=""),"",$T1284+(AD$2*$M1284))</f>
        <v/>
      </c>
      <c r="AE1284" s="49">
        <f>IF(OR($M1284="",$T1284=""),"",$T1284+(AE$2*$M1284))</f>
        <v/>
      </c>
      <c r="AF1284" s="52">
        <f>IF(OR(T1284="",I1284&lt;T1284),"",IFERROR(AVERAGE(T1284+M1284*{7,8,9,10,11})/IF(G1284="",I1284,G1284)-1,""))</f>
        <v/>
      </c>
      <c r="AG1284" s="55">
        <f>IF(OR(T1284="",I1284&lt;T1284),"",IFERROR(AF1284/-(R1284/IF(G1284="",I1284,G1284)-1),""))</f>
        <v/>
      </c>
      <c r="AH1284" s="94" t="n"/>
      <c r="AI1284" s="94" t="n"/>
      <c r="AJ1284" s="94" t="n"/>
      <c r="AK1284" s="94" t="n"/>
      <c r="AL1284" s="84" t="n"/>
    </row>
    <row r="1285">
      <c r="A1285" s="64" t="n"/>
      <c r="B1285" s="65" t="n"/>
      <c r="C1285" s="66" t="n"/>
      <c r="D1285" s="67" t="n"/>
      <c r="E1285" s="68" t="n"/>
      <c r="F1285" s="47">
        <f>IF(A1285="","",IF(MIN(H1285,MAX(J1285:K1285))=0,"",MIN(H1285,MAX(J1285:K1285))))</f>
        <v/>
      </c>
      <c r="G1285" s="74" t="n"/>
      <c r="H1285" s="49">
        <f>IF(M1285="","",IFERROR(ROUND(AVERAGE(T1285+M1285*{7,8,9,10,11})/1.21,4),""))</f>
        <v/>
      </c>
      <c r="I1285" s="76" t="n"/>
      <c r="J1285" s="77" t="n"/>
      <c r="K1285" s="74" t="n"/>
      <c r="L1285" s="78" t="n"/>
      <c r="M1285" s="77" t="n"/>
      <c r="N1285" s="53">
        <f>IF(M1285="","",IFERROR(M1285/I1285,""))</f>
        <v/>
      </c>
      <c r="O1285" s="50">
        <f>IF(A1285="","",IFERROR((IF(G1285="",I1285,G1285)-T1285)/M1285,""))</f>
        <v/>
      </c>
      <c r="P1285" s="50">
        <f>IFERROR((I1285/T1285-1)/N1285,"")</f>
        <v/>
      </c>
      <c r="Q1285" s="46">
        <f>IF(OR(T1285="",I1285&lt;T1285),"",IFERROR(R1285/IF(G1285="",I1285,G1285)-1,""))</f>
        <v/>
      </c>
      <c r="R1285" s="48">
        <f>IF($M1285="","",MAX(IF($G1285="",$I1285,$G1285)*(1/1.1),IF($G1285="",$I1285,$G1285)+(R$2*$M1285)))</f>
        <v/>
      </c>
      <c r="S1285" s="49">
        <f>IF($M1285="","",MAX(IF($G1285="",$I1285,$G1285)*(1/1.1),IF($G1285="",$I1285,$G1285)+(S$2*$M1285)))</f>
        <v/>
      </c>
      <c r="T1285" s="82" t="n"/>
      <c r="U1285" s="47">
        <f>IF(OR($M1285="",$T1285=""),"",$T1285+(U$2*$M1285))</f>
        <v/>
      </c>
      <c r="V1285" s="48">
        <f>IF(OR($M1285="",$T1285=""),"",$T1285+(V$2*$M1285))</f>
        <v/>
      </c>
      <c r="W1285" s="48">
        <f>IF(OR($M1285="",$T1285=""),"",$T1285+(W$2*$M1285))</f>
        <v/>
      </c>
      <c r="X1285" s="49">
        <f>IF(OR($M1285="",$T1285=""),"",$T1285+(X$2*$M1285))</f>
        <v/>
      </c>
      <c r="Y1285" s="47">
        <f>IF(OR($M1285="",$T1285=""),"",$T1285+(Y$2*$M1285))</f>
        <v/>
      </c>
      <c r="Z1285" s="49">
        <f>IF(OR($M1285="",$T1285=""),"",$T1285+(Z$2*$M1285))</f>
        <v/>
      </c>
      <c r="AA1285" s="51">
        <f>IF(OR($M1285="",$T1285=""),"",$T1285+(AA$2*$M1285))</f>
        <v/>
      </c>
      <c r="AB1285" s="48">
        <f>IF(OR($M1285="",$T1285=""),"",$T1285+(AB$2*$M1285))</f>
        <v/>
      </c>
      <c r="AC1285" s="48">
        <f>IF(OR($M1285="",$T1285=""),"",$T1285+(AC$2*$M1285))</f>
        <v/>
      </c>
      <c r="AD1285" s="48">
        <f>IF(OR($M1285="",$T1285=""),"",$T1285+(AD$2*$M1285))</f>
        <v/>
      </c>
      <c r="AE1285" s="49">
        <f>IF(OR($M1285="",$T1285=""),"",$T1285+(AE$2*$M1285))</f>
        <v/>
      </c>
      <c r="AF1285" s="52">
        <f>IF(OR(T1285="",I1285&lt;T1285),"",IFERROR(AVERAGE(T1285+M1285*{7,8,9,10,11})/IF(G1285="",I1285,G1285)-1,""))</f>
        <v/>
      </c>
      <c r="AG1285" s="55">
        <f>IF(OR(T1285="",I1285&lt;T1285),"",IFERROR(AF1285/-(R1285/IF(G1285="",I1285,G1285)-1),""))</f>
        <v/>
      </c>
      <c r="AH1285" s="94" t="n"/>
      <c r="AI1285" s="94" t="n"/>
      <c r="AJ1285" s="94" t="n"/>
      <c r="AK1285" s="94" t="n"/>
      <c r="AL1285" s="84" t="n"/>
    </row>
    <row r="1286">
      <c r="A1286" s="64" t="n"/>
      <c r="B1286" s="65" t="n"/>
      <c r="C1286" s="66" t="n"/>
      <c r="D1286" s="67" t="n"/>
      <c r="E1286" s="68" t="n"/>
      <c r="F1286" s="47">
        <f>IF(A1286="","",IF(MIN(H1286,MAX(J1286:K1286))=0,"",MIN(H1286,MAX(J1286:K1286))))</f>
        <v/>
      </c>
      <c r="G1286" s="74" t="n"/>
      <c r="H1286" s="49">
        <f>IF(M1286="","",IFERROR(ROUND(AVERAGE(T1286+M1286*{7,8,9,10,11})/1.21,4),""))</f>
        <v/>
      </c>
      <c r="I1286" s="76" t="n"/>
      <c r="J1286" s="77" t="n"/>
      <c r="K1286" s="74" t="n"/>
      <c r="L1286" s="78" t="n"/>
      <c r="M1286" s="77" t="n"/>
      <c r="N1286" s="53">
        <f>IF(M1286="","",IFERROR(M1286/I1286,""))</f>
        <v/>
      </c>
      <c r="O1286" s="50">
        <f>IF(A1286="","",IFERROR((IF(G1286="",I1286,G1286)-T1286)/M1286,""))</f>
        <v/>
      </c>
      <c r="P1286" s="50">
        <f>IFERROR((I1286/T1286-1)/N1286,"")</f>
        <v/>
      </c>
      <c r="Q1286" s="46">
        <f>IF(OR(T1286="",I1286&lt;T1286),"",IFERROR(R1286/IF(G1286="",I1286,G1286)-1,""))</f>
        <v/>
      </c>
      <c r="R1286" s="48">
        <f>IF($M1286="","",MAX(IF($G1286="",$I1286,$G1286)*(1/1.1),IF($G1286="",$I1286,$G1286)+(R$2*$M1286)))</f>
        <v/>
      </c>
      <c r="S1286" s="49">
        <f>IF($M1286="","",MAX(IF($G1286="",$I1286,$G1286)*(1/1.1),IF($G1286="",$I1286,$G1286)+(S$2*$M1286)))</f>
        <v/>
      </c>
      <c r="T1286" s="82" t="n"/>
      <c r="U1286" s="47">
        <f>IF(OR($M1286="",$T1286=""),"",$T1286+(U$2*$M1286))</f>
        <v/>
      </c>
      <c r="V1286" s="48">
        <f>IF(OR($M1286="",$T1286=""),"",$T1286+(V$2*$M1286))</f>
        <v/>
      </c>
      <c r="W1286" s="48">
        <f>IF(OR($M1286="",$T1286=""),"",$T1286+(W$2*$M1286))</f>
        <v/>
      </c>
      <c r="X1286" s="49">
        <f>IF(OR($M1286="",$T1286=""),"",$T1286+(X$2*$M1286))</f>
        <v/>
      </c>
      <c r="Y1286" s="47">
        <f>IF(OR($M1286="",$T1286=""),"",$T1286+(Y$2*$M1286))</f>
        <v/>
      </c>
      <c r="Z1286" s="49">
        <f>IF(OR($M1286="",$T1286=""),"",$T1286+(Z$2*$M1286))</f>
        <v/>
      </c>
      <c r="AA1286" s="51">
        <f>IF(OR($M1286="",$T1286=""),"",$T1286+(AA$2*$M1286))</f>
        <v/>
      </c>
      <c r="AB1286" s="48">
        <f>IF(OR($M1286="",$T1286=""),"",$T1286+(AB$2*$M1286))</f>
        <v/>
      </c>
      <c r="AC1286" s="48">
        <f>IF(OR($M1286="",$T1286=""),"",$T1286+(AC$2*$M1286))</f>
        <v/>
      </c>
      <c r="AD1286" s="48">
        <f>IF(OR($M1286="",$T1286=""),"",$T1286+(AD$2*$M1286))</f>
        <v/>
      </c>
      <c r="AE1286" s="49">
        <f>IF(OR($M1286="",$T1286=""),"",$T1286+(AE$2*$M1286))</f>
        <v/>
      </c>
      <c r="AF1286" s="52">
        <f>IF(OR(T1286="",I1286&lt;T1286),"",IFERROR(AVERAGE(T1286+M1286*{7,8,9,10,11})/IF(G1286="",I1286,G1286)-1,""))</f>
        <v/>
      </c>
      <c r="AG1286" s="55">
        <f>IF(OR(T1286="",I1286&lt;T1286),"",IFERROR(AF1286/-(R1286/IF(G1286="",I1286,G1286)-1),""))</f>
        <v/>
      </c>
      <c r="AH1286" s="94" t="n"/>
      <c r="AI1286" s="94" t="n"/>
      <c r="AJ1286" s="94" t="n"/>
      <c r="AK1286" s="94" t="n"/>
      <c r="AL1286" s="84" t="n"/>
    </row>
    <row r="1287">
      <c r="A1287" s="64" t="n"/>
      <c r="B1287" s="65" t="n"/>
      <c r="C1287" s="66" t="n"/>
      <c r="D1287" s="67" t="n"/>
      <c r="E1287" s="68" t="n"/>
      <c r="F1287" s="47">
        <f>IF(A1287="","",IF(MIN(H1287,MAX(J1287:K1287))=0,"",MIN(H1287,MAX(J1287:K1287))))</f>
        <v/>
      </c>
      <c r="G1287" s="74" t="n"/>
      <c r="H1287" s="49">
        <f>IF(M1287="","",IFERROR(ROUND(AVERAGE(T1287+M1287*{7,8,9,10,11})/1.21,4),""))</f>
        <v/>
      </c>
      <c r="I1287" s="76" t="n"/>
      <c r="J1287" s="77" t="n"/>
      <c r="K1287" s="74" t="n"/>
      <c r="L1287" s="78" t="n"/>
      <c r="M1287" s="77" t="n"/>
      <c r="N1287" s="53">
        <f>IF(M1287="","",IFERROR(M1287/I1287,""))</f>
        <v/>
      </c>
      <c r="O1287" s="50">
        <f>IF(A1287="","",IFERROR((IF(G1287="",I1287,G1287)-T1287)/M1287,""))</f>
        <v/>
      </c>
      <c r="P1287" s="50">
        <f>IFERROR((I1287/T1287-1)/N1287,"")</f>
        <v/>
      </c>
      <c r="Q1287" s="46">
        <f>IF(OR(T1287="",I1287&lt;T1287),"",IFERROR(R1287/IF(G1287="",I1287,G1287)-1,""))</f>
        <v/>
      </c>
      <c r="R1287" s="48">
        <f>IF($M1287="","",MAX(IF($G1287="",$I1287,$G1287)*(1/1.1),IF($G1287="",$I1287,$G1287)+(R$2*$M1287)))</f>
        <v/>
      </c>
      <c r="S1287" s="49">
        <f>IF($M1287="","",MAX(IF($G1287="",$I1287,$G1287)*(1/1.1),IF($G1287="",$I1287,$G1287)+(S$2*$M1287)))</f>
        <v/>
      </c>
      <c r="T1287" s="82" t="n"/>
      <c r="U1287" s="47">
        <f>IF(OR($M1287="",$T1287=""),"",$T1287+(U$2*$M1287))</f>
        <v/>
      </c>
      <c r="V1287" s="48">
        <f>IF(OR($M1287="",$T1287=""),"",$T1287+(V$2*$M1287))</f>
        <v/>
      </c>
      <c r="W1287" s="48">
        <f>IF(OR($M1287="",$T1287=""),"",$T1287+(W$2*$M1287))</f>
        <v/>
      </c>
      <c r="X1287" s="49">
        <f>IF(OR($M1287="",$T1287=""),"",$T1287+(X$2*$M1287))</f>
        <v/>
      </c>
      <c r="Y1287" s="47">
        <f>IF(OR($M1287="",$T1287=""),"",$T1287+(Y$2*$M1287))</f>
        <v/>
      </c>
      <c r="Z1287" s="49">
        <f>IF(OR($M1287="",$T1287=""),"",$T1287+(Z$2*$M1287))</f>
        <v/>
      </c>
      <c r="AA1287" s="51">
        <f>IF(OR($M1287="",$T1287=""),"",$T1287+(AA$2*$M1287))</f>
        <v/>
      </c>
      <c r="AB1287" s="48">
        <f>IF(OR($M1287="",$T1287=""),"",$T1287+(AB$2*$M1287))</f>
        <v/>
      </c>
      <c r="AC1287" s="48">
        <f>IF(OR($M1287="",$T1287=""),"",$T1287+(AC$2*$M1287))</f>
        <v/>
      </c>
      <c r="AD1287" s="48">
        <f>IF(OR($M1287="",$T1287=""),"",$T1287+(AD$2*$M1287))</f>
        <v/>
      </c>
      <c r="AE1287" s="49">
        <f>IF(OR($M1287="",$T1287=""),"",$T1287+(AE$2*$M1287))</f>
        <v/>
      </c>
      <c r="AF1287" s="52">
        <f>IF(OR(T1287="",I1287&lt;T1287),"",IFERROR(AVERAGE(T1287+M1287*{7,8,9,10,11})/IF(G1287="",I1287,G1287)-1,""))</f>
        <v/>
      </c>
      <c r="AG1287" s="55">
        <f>IF(OR(T1287="",I1287&lt;T1287),"",IFERROR(AF1287/-(R1287/IF(G1287="",I1287,G1287)-1),""))</f>
        <v/>
      </c>
      <c r="AH1287" s="94" t="n"/>
      <c r="AI1287" s="94" t="n"/>
      <c r="AJ1287" s="94" t="n"/>
      <c r="AK1287" s="94" t="n"/>
      <c r="AL1287" s="84" t="n"/>
    </row>
    <row r="1288">
      <c r="A1288" s="64" t="n"/>
      <c r="B1288" s="65" t="n"/>
      <c r="C1288" s="66" t="n"/>
      <c r="D1288" s="67" t="n"/>
      <c r="E1288" s="68" t="n"/>
      <c r="F1288" s="47">
        <f>IF(A1288="","",IF(MIN(H1288,MAX(J1288:K1288))=0,"",MIN(H1288,MAX(J1288:K1288))))</f>
        <v/>
      </c>
      <c r="G1288" s="74" t="n"/>
      <c r="H1288" s="49">
        <f>IF(M1288="","",IFERROR(ROUND(AVERAGE(T1288+M1288*{7,8,9,10,11})/1.21,4),""))</f>
        <v/>
      </c>
      <c r="I1288" s="76" t="n"/>
      <c r="J1288" s="77" t="n"/>
      <c r="K1288" s="74" t="n"/>
      <c r="L1288" s="78" t="n"/>
      <c r="M1288" s="77" t="n"/>
      <c r="N1288" s="53">
        <f>IF(M1288="","",IFERROR(M1288/I1288,""))</f>
        <v/>
      </c>
      <c r="O1288" s="50">
        <f>IF(A1288="","",IFERROR((IF(G1288="",I1288,G1288)-T1288)/M1288,""))</f>
        <v/>
      </c>
      <c r="P1288" s="50">
        <f>IFERROR((I1288/T1288-1)/N1288,"")</f>
        <v/>
      </c>
      <c r="Q1288" s="46">
        <f>IF(OR(T1288="",I1288&lt;T1288),"",IFERROR(R1288/IF(G1288="",I1288,G1288)-1,""))</f>
        <v/>
      </c>
      <c r="R1288" s="48">
        <f>IF($M1288="","",MAX(IF($G1288="",$I1288,$G1288)*(1/1.1),IF($G1288="",$I1288,$G1288)+(R$2*$M1288)))</f>
        <v/>
      </c>
      <c r="S1288" s="49">
        <f>IF($M1288="","",MAX(IF($G1288="",$I1288,$G1288)*(1/1.1),IF($G1288="",$I1288,$G1288)+(S$2*$M1288)))</f>
        <v/>
      </c>
      <c r="T1288" s="82" t="n"/>
      <c r="U1288" s="47">
        <f>IF(OR($M1288="",$T1288=""),"",$T1288+(U$2*$M1288))</f>
        <v/>
      </c>
      <c r="V1288" s="48">
        <f>IF(OR($M1288="",$T1288=""),"",$T1288+(V$2*$M1288))</f>
        <v/>
      </c>
      <c r="W1288" s="48">
        <f>IF(OR($M1288="",$T1288=""),"",$T1288+(W$2*$M1288))</f>
        <v/>
      </c>
      <c r="X1288" s="49">
        <f>IF(OR($M1288="",$T1288=""),"",$T1288+(X$2*$M1288))</f>
        <v/>
      </c>
      <c r="Y1288" s="47">
        <f>IF(OR($M1288="",$T1288=""),"",$T1288+(Y$2*$M1288))</f>
        <v/>
      </c>
      <c r="Z1288" s="49">
        <f>IF(OR($M1288="",$T1288=""),"",$T1288+(Z$2*$M1288))</f>
        <v/>
      </c>
      <c r="AA1288" s="51">
        <f>IF(OR($M1288="",$T1288=""),"",$T1288+(AA$2*$M1288))</f>
        <v/>
      </c>
      <c r="AB1288" s="48">
        <f>IF(OR($M1288="",$T1288=""),"",$T1288+(AB$2*$M1288))</f>
        <v/>
      </c>
      <c r="AC1288" s="48">
        <f>IF(OR($M1288="",$T1288=""),"",$T1288+(AC$2*$M1288))</f>
        <v/>
      </c>
      <c r="AD1288" s="48">
        <f>IF(OR($M1288="",$T1288=""),"",$T1288+(AD$2*$M1288))</f>
        <v/>
      </c>
      <c r="AE1288" s="49">
        <f>IF(OR($M1288="",$T1288=""),"",$T1288+(AE$2*$M1288))</f>
        <v/>
      </c>
      <c r="AF1288" s="52">
        <f>IF(OR(T1288="",I1288&lt;T1288),"",IFERROR(AVERAGE(T1288+M1288*{7,8,9,10,11})/IF(G1288="",I1288,G1288)-1,""))</f>
        <v/>
      </c>
      <c r="AG1288" s="55">
        <f>IF(OR(T1288="",I1288&lt;T1288),"",IFERROR(AF1288/-(R1288/IF(G1288="",I1288,G1288)-1),""))</f>
        <v/>
      </c>
      <c r="AH1288" s="94" t="n"/>
      <c r="AI1288" s="94" t="n"/>
      <c r="AJ1288" s="94" t="n"/>
      <c r="AK1288" s="94" t="n"/>
      <c r="AL1288" s="84" t="n"/>
    </row>
    <row r="1289">
      <c r="A1289" s="64" t="n"/>
      <c r="B1289" s="65" t="n"/>
      <c r="C1289" s="66" t="n"/>
      <c r="D1289" s="67" t="n"/>
      <c r="E1289" s="68" t="n"/>
      <c r="F1289" s="47">
        <f>IF(A1289="","",IF(MIN(H1289,MAX(J1289:K1289))=0,"",MIN(H1289,MAX(J1289:K1289))))</f>
        <v/>
      </c>
      <c r="G1289" s="74" t="n"/>
      <c r="H1289" s="49">
        <f>IF(M1289="","",IFERROR(ROUND(AVERAGE(T1289+M1289*{7,8,9,10,11})/1.21,4),""))</f>
        <v/>
      </c>
      <c r="I1289" s="76" t="n"/>
      <c r="J1289" s="77" t="n"/>
      <c r="K1289" s="74" t="n"/>
      <c r="L1289" s="78" t="n"/>
      <c r="M1289" s="77" t="n"/>
      <c r="N1289" s="53">
        <f>IF(M1289="","",IFERROR(M1289/I1289,""))</f>
        <v/>
      </c>
      <c r="O1289" s="50">
        <f>IF(A1289="","",IFERROR((IF(G1289="",I1289,G1289)-T1289)/M1289,""))</f>
        <v/>
      </c>
      <c r="P1289" s="50">
        <f>IFERROR((I1289/T1289-1)/N1289,"")</f>
        <v/>
      </c>
      <c r="Q1289" s="46">
        <f>IF(OR(T1289="",I1289&lt;T1289),"",IFERROR(R1289/IF(G1289="",I1289,G1289)-1,""))</f>
        <v/>
      </c>
      <c r="R1289" s="48">
        <f>IF($M1289="","",MAX(IF($G1289="",$I1289,$G1289)*(1/1.1),IF($G1289="",$I1289,$G1289)+(R$2*$M1289)))</f>
        <v/>
      </c>
      <c r="S1289" s="49">
        <f>IF($M1289="","",MAX(IF($G1289="",$I1289,$G1289)*(1/1.1),IF($G1289="",$I1289,$G1289)+(S$2*$M1289)))</f>
        <v/>
      </c>
      <c r="T1289" s="82" t="n"/>
      <c r="U1289" s="47">
        <f>IF(OR($M1289="",$T1289=""),"",$T1289+(U$2*$M1289))</f>
        <v/>
      </c>
      <c r="V1289" s="48">
        <f>IF(OR($M1289="",$T1289=""),"",$T1289+(V$2*$M1289))</f>
        <v/>
      </c>
      <c r="W1289" s="48">
        <f>IF(OR($M1289="",$T1289=""),"",$T1289+(W$2*$M1289))</f>
        <v/>
      </c>
      <c r="X1289" s="49">
        <f>IF(OR($M1289="",$T1289=""),"",$T1289+(X$2*$M1289))</f>
        <v/>
      </c>
      <c r="Y1289" s="47">
        <f>IF(OR($M1289="",$T1289=""),"",$T1289+(Y$2*$M1289))</f>
        <v/>
      </c>
      <c r="Z1289" s="49">
        <f>IF(OR($M1289="",$T1289=""),"",$T1289+(Z$2*$M1289))</f>
        <v/>
      </c>
      <c r="AA1289" s="51">
        <f>IF(OR($M1289="",$T1289=""),"",$T1289+(AA$2*$M1289))</f>
        <v/>
      </c>
      <c r="AB1289" s="48">
        <f>IF(OR($M1289="",$T1289=""),"",$T1289+(AB$2*$M1289))</f>
        <v/>
      </c>
      <c r="AC1289" s="48">
        <f>IF(OR($M1289="",$T1289=""),"",$T1289+(AC$2*$M1289))</f>
        <v/>
      </c>
      <c r="AD1289" s="48">
        <f>IF(OR($M1289="",$T1289=""),"",$T1289+(AD$2*$M1289))</f>
        <v/>
      </c>
      <c r="AE1289" s="49">
        <f>IF(OR($M1289="",$T1289=""),"",$T1289+(AE$2*$M1289))</f>
        <v/>
      </c>
      <c r="AF1289" s="52">
        <f>IF(OR(T1289="",I1289&lt;T1289),"",IFERROR(AVERAGE(T1289+M1289*{7,8,9,10,11})/IF(G1289="",I1289,G1289)-1,""))</f>
        <v/>
      </c>
      <c r="AG1289" s="55">
        <f>IF(OR(T1289="",I1289&lt;T1289),"",IFERROR(AF1289/-(R1289/IF(G1289="",I1289,G1289)-1),""))</f>
        <v/>
      </c>
      <c r="AH1289" s="94" t="n"/>
      <c r="AI1289" s="94" t="n"/>
      <c r="AJ1289" s="94" t="n"/>
      <c r="AK1289" s="94" t="n"/>
      <c r="AL1289" s="84" t="n"/>
    </row>
    <row r="1290">
      <c r="A1290" s="64" t="n"/>
      <c r="B1290" s="65" t="n"/>
      <c r="C1290" s="66" t="n"/>
      <c r="D1290" s="67" t="n"/>
      <c r="E1290" s="68" t="n"/>
      <c r="F1290" s="47">
        <f>IF(A1290="","",IF(MIN(H1290,MAX(J1290:K1290))=0,"",MIN(H1290,MAX(J1290:K1290))))</f>
        <v/>
      </c>
      <c r="G1290" s="74" t="n"/>
      <c r="H1290" s="49">
        <f>IF(M1290="","",IFERROR(ROUND(AVERAGE(T1290+M1290*{7,8,9,10,11})/1.21,4),""))</f>
        <v/>
      </c>
      <c r="I1290" s="76" t="n"/>
      <c r="J1290" s="77" t="n"/>
      <c r="K1290" s="74" t="n"/>
      <c r="L1290" s="78" t="n"/>
      <c r="M1290" s="77" t="n"/>
      <c r="N1290" s="53">
        <f>IF(M1290="","",IFERROR(M1290/I1290,""))</f>
        <v/>
      </c>
      <c r="O1290" s="50">
        <f>IF(A1290="","",IFERROR((IF(G1290="",I1290,G1290)-T1290)/M1290,""))</f>
        <v/>
      </c>
      <c r="P1290" s="50">
        <f>IFERROR((I1290/T1290-1)/N1290,"")</f>
        <v/>
      </c>
      <c r="Q1290" s="46">
        <f>IF(OR(T1290="",I1290&lt;T1290),"",IFERROR(R1290/IF(G1290="",I1290,G1290)-1,""))</f>
        <v/>
      </c>
      <c r="R1290" s="48">
        <f>IF($M1290="","",MAX(IF($G1290="",$I1290,$G1290)*(1/1.1),IF($G1290="",$I1290,$G1290)+(R$2*$M1290)))</f>
        <v/>
      </c>
      <c r="S1290" s="49">
        <f>IF($M1290="","",MAX(IF($G1290="",$I1290,$G1290)*(1/1.1),IF($G1290="",$I1290,$G1290)+(S$2*$M1290)))</f>
        <v/>
      </c>
      <c r="T1290" s="82" t="n"/>
      <c r="U1290" s="47">
        <f>IF(OR($M1290="",$T1290=""),"",$T1290+(U$2*$M1290))</f>
        <v/>
      </c>
      <c r="V1290" s="48">
        <f>IF(OR($M1290="",$T1290=""),"",$T1290+(V$2*$M1290))</f>
        <v/>
      </c>
      <c r="W1290" s="48">
        <f>IF(OR($M1290="",$T1290=""),"",$T1290+(W$2*$M1290))</f>
        <v/>
      </c>
      <c r="X1290" s="49">
        <f>IF(OR($M1290="",$T1290=""),"",$T1290+(X$2*$M1290))</f>
        <v/>
      </c>
      <c r="Y1290" s="47">
        <f>IF(OR($M1290="",$T1290=""),"",$T1290+(Y$2*$M1290))</f>
        <v/>
      </c>
      <c r="Z1290" s="49">
        <f>IF(OR($M1290="",$T1290=""),"",$T1290+(Z$2*$M1290))</f>
        <v/>
      </c>
      <c r="AA1290" s="51">
        <f>IF(OR($M1290="",$T1290=""),"",$T1290+(AA$2*$M1290))</f>
        <v/>
      </c>
      <c r="AB1290" s="48">
        <f>IF(OR($M1290="",$T1290=""),"",$T1290+(AB$2*$M1290))</f>
        <v/>
      </c>
      <c r="AC1290" s="48">
        <f>IF(OR($M1290="",$T1290=""),"",$T1290+(AC$2*$M1290))</f>
        <v/>
      </c>
      <c r="AD1290" s="48">
        <f>IF(OR($M1290="",$T1290=""),"",$T1290+(AD$2*$M1290))</f>
        <v/>
      </c>
      <c r="AE1290" s="49">
        <f>IF(OR($M1290="",$T1290=""),"",$T1290+(AE$2*$M1290))</f>
        <v/>
      </c>
      <c r="AF1290" s="52">
        <f>IF(OR(T1290="",I1290&lt;T1290),"",IFERROR(AVERAGE(T1290+M1290*{7,8,9,10,11})/IF(G1290="",I1290,G1290)-1,""))</f>
        <v/>
      </c>
      <c r="AG1290" s="55">
        <f>IF(OR(T1290="",I1290&lt;T1290),"",IFERROR(AF1290/-(R1290/IF(G1290="",I1290,G1290)-1),""))</f>
        <v/>
      </c>
      <c r="AH1290" s="94" t="n"/>
      <c r="AI1290" s="94" t="n"/>
      <c r="AJ1290" s="94" t="n"/>
      <c r="AK1290" s="94" t="n"/>
      <c r="AL1290" s="84" t="n"/>
    </row>
    <row r="1291">
      <c r="A1291" s="64" t="n"/>
      <c r="B1291" s="65" t="n"/>
      <c r="C1291" s="66" t="n"/>
      <c r="D1291" s="67" t="n"/>
      <c r="E1291" s="68" t="n"/>
      <c r="F1291" s="47">
        <f>IF(A1291="","",IF(MIN(H1291,MAX(J1291:K1291))=0,"",MIN(H1291,MAX(J1291:K1291))))</f>
        <v/>
      </c>
      <c r="G1291" s="74" t="n"/>
      <c r="H1291" s="49">
        <f>IF(M1291="","",IFERROR(ROUND(AVERAGE(T1291+M1291*{7,8,9,10,11})/1.21,4),""))</f>
        <v/>
      </c>
      <c r="I1291" s="76" t="n"/>
      <c r="J1291" s="77" t="n"/>
      <c r="K1291" s="74" t="n"/>
      <c r="L1291" s="78" t="n"/>
      <c r="M1291" s="77" t="n"/>
      <c r="N1291" s="53">
        <f>IF(M1291="","",IFERROR(M1291/I1291,""))</f>
        <v/>
      </c>
      <c r="O1291" s="50">
        <f>IF(A1291="","",IFERROR((IF(G1291="",I1291,G1291)-T1291)/M1291,""))</f>
        <v/>
      </c>
      <c r="P1291" s="50">
        <f>IFERROR((I1291/T1291-1)/N1291,"")</f>
        <v/>
      </c>
      <c r="Q1291" s="46">
        <f>IF(OR(T1291="",I1291&lt;T1291),"",IFERROR(R1291/IF(G1291="",I1291,G1291)-1,""))</f>
        <v/>
      </c>
      <c r="R1291" s="48">
        <f>IF($M1291="","",MAX(IF($G1291="",$I1291,$G1291)*(1/1.1),IF($G1291="",$I1291,$G1291)+(R$2*$M1291)))</f>
        <v/>
      </c>
      <c r="S1291" s="49">
        <f>IF($M1291="","",MAX(IF($G1291="",$I1291,$G1291)*(1/1.1),IF($G1291="",$I1291,$G1291)+(S$2*$M1291)))</f>
        <v/>
      </c>
      <c r="T1291" s="82" t="n"/>
      <c r="U1291" s="47">
        <f>IF(OR($M1291="",$T1291=""),"",$T1291+(U$2*$M1291))</f>
        <v/>
      </c>
      <c r="V1291" s="48">
        <f>IF(OR($M1291="",$T1291=""),"",$T1291+(V$2*$M1291))</f>
        <v/>
      </c>
      <c r="W1291" s="48">
        <f>IF(OR($M1291="",$T1291=""),"",$T1291+(W$2*$M1291))</f>
        <v/>
      </c>
      <c r="X1291" s="49">
        <f>IF(OR($M1291="",$T1291=""),"",$T1291+(X$2*$M1291))</f>
        <v/>
      </c>
      <c r="Y1291" s="47">
        <f>IF(OR($M1291="",$T1291=""),"",$T1291+(Y$2*$M1291))</f>
        <v/>
      </c>
      <c r="Z1291" s="49">
        <f>IF(OR($M1291="",$T1291=""),"",$T1291+(Z$2*$M1291))</f>
        <v/>
      </c>
      <c r="AA1291" s="51">
        <f>IF(OR($M1291="",$T1291=""),"",$T1291+(AA$2*$M1291))</f>
        <v/>
      </c>
      <c r="AB1291" s="48">
        <f>IF(OR($M1291="",$T1291=""),"",$T1291+(AB$2*$M1291))</f>
        <v/>
      </c>
      <c r="AC1291" s="48">
        <f>IF(OR($M1291="",$T1291=""),"",$T1291+(AC$2*$M1291))</f>
        <v/>
      </c>
      <c r="AD1291" s="48">
        <f>IF(OR($M1291="",$T1291=""),"",$T1291+(AD$2*$M1291))</f>
        <v/>
      </c>
      <c r="AE1291" s="49">
        <f>IF(OR($M1291="",$T1291=""),"",$T1291+(AE$2*$M1291))</f>
        <v/>
      </c>
      <c r="AF1291" s="52">
        <f>IF(OR(T1291="",I1291&lt;T1291),"",IFERROR(AVERAGE(T1291+M1291*{7,8,9,10,11})/IF(G1291="",I1291,G1291)-1,""))</f>
        <v/>
      </c>
      <c r="AG1291" s="55">
        <f>IF(OR(T1291="",I1291&lt;T1291),"",IFERROR(AF1291/-(R1291/IF(G1291="",I1291,G1291)-1),""))</f>
        <v/>
      </c>
      <c r="AH1291" s="94" t="n"/>
      <c r="AI1291" s="94" t="n"/>
      <c r="AJ1291" s="94" t="n"/>
      <c r="AK1291" s="94" t="n"/>
      <c r="AL1291" s="84" t="n"/>
    </row>
    <row r="1292">
      <c r="A1292" s="64" t="n"/>
      <c r="B1292" s="65" t="n"/>
      <c r="C1292" s="66" t="n"/>
      <c r="D1292" s="67" t="n"/>
      <c r="E1292" s="68" t="n"/>
      <c r="F1292" s="47">
        <f>IF(A1292="","",IF(MIN(H1292,MAX(J1292:K1292))=0,"",MIN(H1292,MAX(J1292:K1292))))</f>
        <v/>
      </c>
      <c r="G1292" s="74" t="n"/>
      <c r="H1292" s="49">
        <f>IF(M1292="","",IFERROR(ROUND(AVERAGE(T1292+M1292*{7,8,9,10,11})/1.21,4),""))</f>
        <v/>
      </c>
      <c r="I1292" s="76" t="n"/>
      <c r="J1292" s="77" t="n"/>
      <c r="K1292" s="74" t="n"/>
      <c r="L1292" s="78" t="n"/>
      <c r="M1292" s="77" t="n"/>
      <c r="N1292" s="53">
        <f>IF(M1292="","",IFERROR(M1292/I1292,""))</f>
        <v/>
      </c>
      <c r="O1292" s="50">
        <f>IF(A1292="","",IFERROR((IF(G1292="",I1292,G1292)-T1292)/M1292,""))</f>
        <v/>
      </c>
      <c r="P1292" s="50">
        <f>IFERROR((I1292/T1292-1)/N1292,"")</f>
        <v/>
      </c>
      <c r="Q1292" s="46">
        <f>IF(OR(T1292="",I1292&lt;T1292),"",IFERROR(R1292/IF(G1292="",I1292,G1292)-1,""))</f>
        <v/>
      </c>
      <c r="R1292" s="48">
        <f>IF($M1292="","",MAX(IF($G1292="",$I1292,$G1292)*(1/1.1),IF($G1292="",$I1292,$G1292)+(R$2*$M1292)))</f>
        <v/>
      </c>
      <c r="S1292" s="49">
        <f>IF($M1292="","",MAX(IF($G1292="",$I1292,$G1292)*(1/1.1),IF($G1292="",$I1292,$G1292)+(S$2*$M1292)))</f>
        <v/>
      </c>
      <c r="T1292" s="82" t="n"/>
      <c r="U1292" s="47">
        <f>IF(OR($M1292="",$T1292=""),"",$T1292+(U$2*$M1292))</f>
        <v/>
      </c>
      <c r="V1292" s="48">
        <f>IF(OR($M1292="",$T1292=""),"",$T1292+(V$2*$M1292))</f>
        <v/>
      </c>
      <c r="W1292" s="48">
        <f>IF(OR($M1292="",$T1292=""),"",$T1292+(W$2*$M1292))</f>
        <v/>
      </c>
      <c r="X1292" s="49">
        <f>IF(OR($M1292="",$T1292=""),"",$T1292+(X$2*$M1292))</f>
        <v/>
      </c>
      <c r="Y1292" s="47">
        <f>IF(OR($M1292="",$T1292=""),"",$T1292+(Y$2*$M1292))</f>
        <v/>
      </c>
      <c r="Z1292" s="49">
        <f>IF(OR($M1292="",$T1292=""),"",$T1292+(Z$2*$M1292))</f>
        <v/>
      </c>
      <c r="AA1292" s="51">
        <f>IF(OR($M1292="",$T1292=""),"",$T1292+(AA$2*$M1292))</f>
        <v/>
      </c>
      <c r="AB1292" s="48">
        <f>IF(OR($M1292="",$T1292=""),"",$T1292+(AB$2*$M1292))</f>
        <v/>
      </c>
      <c r="AC1292" s="48">
        <f>IF(OR($M1292="",$T1292=""),"",$T1292+(AC$2*$M1292))</f>
        <v/>
      </c>
      <c r="AD1292" s="48">
        <f>IF(OR($M1292="",$T1292=""),"",$T1292+(AD$2*$M1292))</f>
        <v/>
      </c>
      <c r="AE1292" s="49">
        <f>IF(OR($M1292="",$T1292=""),"",$T1292+(AE$2*$M1292))</f>
        <v/>
      </c>
      <c r="AF1292" s="52">
        <f>IF(OR(T1292="",I1292&lt;T1292),"",IFERROR(AVERAGE(T1292+M1292*{7,8,9,10,11})/IF(G1292="",I1292,G1292)-1,""))</f>
        <v/>
      </c>
      <c r="AG1292" s="55">
        <f>IF(OR(T1292="",I1292&lt;T1292),"",IFERROR(AF1292/-(R1292/IF(G1292="",I1292,G1292)-1),""))</f>
        <v/>
      </c>
      <c r="AH1292" s="94" t="n"/>
      <c r="AI1292" s="94" t="n"/>
      <c r="AJ1292" s="94" t="n"/>
      <c r="AK1292" s="94" t="n"/>
      <c r="AL1292" s="84" t="n"/>
    </row>
    <row r="1293">
      <c r="A1293" s="64" t="n"/>
      <c r="B1293" s="65" t="n"/>
      <c r="C1293" s="66" t="n"/>
      <c r="D1293" s="67" t="n"/>
      <c r="E1293" s="68" t="n"/>
      <c r="F1293" s="47">
        <f>IF(A1293="","",IF(MIN(H1293,MAX(J1293:K1293))=0,"",MIN(H1293,MAX(J1293:K1293))))</f>
        <v/>
      </c>
      <c r="G1293" s="74" t="n"/>
      <c r="H1293" s="49">
        <f>IF(M1293="","",IFERROR(ROUND(AVERAGE(T1293+M1293*{7,8,9,10,11})/1.21,4),""))</f>
        <v/>
      </c>
      <c r="I1293" s="76" t="n"/>
      <c r="J1293" s="77" t="n"/>
      <c r="K1293" s="74" t="n"/>
      <c r="L1293" s="78" t="n"/>
      <c r="M1293" s="77" t="n"/>
      <c r="N1293" s="53">
        <f>IF(M1293="","",IFERROR(M1293/I1293,""))</f>
        <v/>
      </c>
      <c r="O1293" s="50">
        <f>IF(A1293="","",IFERROR((IF(G1293="",I1293,G1293)-T1293)/M1293,""))</f>
        <v/>
      </c>
      <c r="P1293" s="50">
        <f>IFERROR((I1293/T1293-1)/N1293,"")</f>
        <v/>
      </c>
      <c r="Q1293" s="46">
        <f>IF(OR(T1293="",I1293&lt;T1293),"",IFERROR(R1293/IF(G1293="",I1293,G1293)-1,""))</f>
        <v/>
      </c>
      <c r="R1293" s="48">
        <f>IF($M1293="","",MAX(IF($G1293="",$I1293,$G1293)*(1/1.1),IF($G1293="",$I1293,$G1293)+(R$2*$M1293)))</f>
        <v/>
      </c>
      <c r="S1293" s="49">
        <f>IF($M1293="","",MAX(IF($G1293="",$I1293,$G1293)*(1/1.1),IF($G1293="",$I1293,$G1293)+(S$2*$M1293)))</f>
        <v/>
      </c>
      <c r="T1293" s="82" t="n"/>
      <c r="U1293" s="47">
        <f>IF(OR($M1293="",$T1293=""),"",$T1293+(U$2*$M1293))</f>
        <v/>
      </c>
      <c r="V1293" s="48">
        <f>IF(OR($M1293="",$T1293=""),"",$T1293+(V$2*$M1293))</f>
        <v/>
      </c>
      <c r="W1293" s="48">
        <f>IF(OR($M1293="",$T1293=""),"",$T1293+(W$2*$M1293))</f>
        <v/>
      </c>
      <c r="X1293" s="49">
        <f>IF(OR($M1293="",$T1293=""),"",$T1293+(X$2*$M1293))</f>
        <v/>
      </c>
      <c r="Y1293" s="47">
        <f>IF(OR($M1293="",$T1293=""),"",$T1293+(Y$2*$M1293))</f>
        <v/>
      </c>
      <c r="Z1293" s="49">
        <f>IF(OR($M1293="",$T1293=""),"",$T1293+(Z$2*$M1293))</f>
        <v/>
      </c>
      <c r="AA1293" s="51">
        <f>IF(OR($M1293="",$T1293=""),"",$T1293+(AA$2*$M1293))</f>
        <v/>
      </c>
      <c r="AB1293" s="48">
        <f>IF(OR($M1293="",$T1293=""),"",$T1293+(AB$2*$M1293))</f>
        <v/>
      </c>
      <c r="AC1293" s="48">
        <f>IF(OR($M1293="",$T1293=""),"",$T1293+(AC$2*$M1293))</f>
        <v/>
      </c>
      <c r="AD1293" s="48">
        <f>IF(OR($M1293="",$T1293=""),"",$T1293+(AD$2*$M1293))</f>
        <v/>
      </c>
      <c r="AE1293" s="49">
        <f>IF(OR($M1293="",$T1293=""),"",$T1293+(AE$2*$M1293))</f>
        <v/>
      </c>
      <c r="AF1293" s="52">
        <f>IF(OR(T1293="",I1293&lt;T1293),"",IFERROR(AVERAGE(T1293+M1293*{7,8,9,10,11})/IF(G1293="",I1293,G1293)-1,""))</f>
        <v/>
      </c>
      <c r="AG1293" s="55">
        <f>IF(OR(T1293="",I1293&lt;T1293),"",IFERROR(AF1293/-(R1293/IF(G1293="",I1293,G1293)-1),""))</f>
        <v/>
      </c>
      <c r="AH1293" s="94" t="n"/>
      <c r="AI1293" s="94" t="n"/>
      <c r="AJ1293" s="94" t="n"/>
      <c r="AK1293" s="94" t="n"/>
      <c r="AL1293" s="84" t="n"/>
    </row>
    <row r="1294">
      <c r="A1294" s="64" t="n"/>
      <c r="B1294" s="65" t="n"/>
      <c r="C1294" s="66" t="n"/>
      <c r="D1294" s="67" t="n"/>
      <c r="E1294" s="68" t="n"/>
      <c r="F1294" s="47">
        <f>IF(A1294="","",IF(MIN(H1294,MAX(J1294:K1294))=0,"",MIN(H1294,MAX(J1294:K1294))))</f>
        <v/>
      </c>
      <c r="G1294" s="74" t="n"/>
      <c r="H1294" s="49">
        <f>IF(M1294="","",IFERROR(ROUND(AVERAGE(T1294+M1294*{7,8,9,10,11})/1.21,4),""))</f>
        <v/>
      </c>
      <c r="I1294" s="76" t="n"/>
      <c r="J1294" s="77" t="n"/>
      <c r="K1294" s="74" t="n"/>
      <c r="L1294" s="78" t="n"/>
      <c r="M1294" s="77" t="n"/>
      <c r="N1294" s="53">
        <f>IF(M1294="","",IFERROR(M1294/I1294,""))</f>
        <v/>
      </c>
      <c r="O1294" s="50">
        <f>IF(A1294="","",IFERROR((IF(G1294="",I1294,G1294)-T1294)/M1294,""))</f>
        <v/>
      </c>
      <c r="P1294" s="50">
        <f>IFERROR((I1294/T1294-1)/N1294,"")</f>
        <v/>
      </c>
      <c r="Q1294" s="46">
        <f>IF(OR(T1294="",I1294&lt;T1294),"",IFERROR(R1294/IF(G1294="",I1294,G1294)-1,""))</f>
        <v/>
      </c>
      <c r="R1294" s="48">
        <f>IF($M1294="","",MAX(IF($G1294="",$I1294,$G1294)*(1/1.1),IF($G1294="",$I1294,$G1294)+(R$2*$M1294)))</f>
        <v/>
      </c>
      <c r="S1294" s="49">
        <f>IF($M1294="","",MAX(IF($G1294="",$I1294,$G1294)*(1/1.1),IF($G1294="",$I1294,$G1294)+(S$2*$M1294)))</f>
        <v/>
      </c>
      <c r="T1294" s="82" t="n"/>
      <c r="U1294" s="47">
        <f>IF(OR($M1294="",$T1294=""),"",$T1294+(U$2*$M1294))</f>
        <v/>
      </c>
      <c r="V1294" s="48">
        <f>IF(OR($M1294="",$T1294=""),"",$T1294+(V$2*$M1294))</f>
        <v/>
      </c>
      <c r="W1294" s="48">
        <f>IF(OR($M1294="",$T1294=""),"",$T1294+(W$2*$M1294))</f>
        <v/>
      </c>
      <c r="X1294" s="49">
        <f>IF(OR($M1294="",$T1294=""),"",$T1294+(X$2*$M1294))</f>
        <v/>
      </c>
      <c r="Y1294" s="47">
        <f>IF(OR($M1294="",$T1294=""),"",$T1294+(Y$2*$M1294))</f>
        <v/>
      </c>
      <c r="Z1294" s="49">
        <f>IF(OR($M1294="",$T1294=""),"",$T1294+(Z$2*$M1294))</f>
        <v/>
      </c>
      <c r="AA1294" s="51">
        <f>IF(OR($M1294="",$T1294=""),"",$T1294+(AA$2*$M1294))</f>
        <v/>
      </c>
      <c r="AB1294" s="48">
        <f>IF(OR($M1294="",$T1294=""),"",$T1294+(AB$2*$M1294))</f>
        <v/>
      </c>
      <c r="AC1294" s="48">
        <f>IF(OR($M1294="",$T1294=""),"",$T1294+(AC$2*$M1294))</f>
        <v/>
      </c>
      <c r="AD1294" s="48">
        <f>IF(OR($M1294="",$T1294=""),"",$T1294+(AD$2*$M1294))</f>
        <v/>
      </c>
      <c r="AE1294" s="49">
        <f>IF(OR($M1294="",$T1294=""),"",$T1294+(AE$2*$M1294))</f>
        <v/>
      </c>
      <c r="AF1294" s="52">
        <f>IF(OR(T1294="",I1294&lt;T1294),"",IFERROR(AVERAGE(T1294+M1294*{7,8,9,10,11})/IF(G1294="",I1294,G1294)-1,""))</f>
        <v/>
      </c>
      <c r="AG1294" s="55">
        <f>IF(OR(T1294="",I1294&lt;T1294),"",IFERROR(AF1294/-(R1294/IF(G1294="",I1294,G1294)-1),""))</f>
        <v/>
      </c>
      <c r="AH1294" s="94" t="n"/>
      <c r="AI1294" s="94" t="n"/>
      <c r="AJ1294" s="94" t="n"/>
      <c r="AK1294" s="94" t="n"/>
      <c r="AL1294" s="84" t="n"/>
    </row>
    <row r="1295">
      <c r="A1295" s="64" t="n"/>
      <c r="B1295" s="65" t="n"/>
      <c r="C1295" s="66" t="n"/>
      <c r="D1295" s="67" t="n"/>
      <c r="E1295" s="68" t="n"/>
      <c r="F1295" s="47">
        <f>IF(A1295="","",IF(MIN(H1295,MAX(J1295:K1295))=0,"",MIN(H1295,MAX(J1295:K1295))))</f>
        <v/>
      </c>
      <c r="G1295" s="74" t="n"/>
      <c r="H1295" s="49">
        <f>IF(M1295="","",IFERROR(ROUND(AVERAGE(T1295+M1295*{7,8,9,10,11})/1.21,4),""))</f>
        <v/>
      </c>
      <c r="I1295" s="76" t="n"/>
      <c r="J1295" s="77" t="n"/>
      <c r="K1295" s="74" t="n"/>
      <c r="L1295" s="78" t="n"/>
      <c r="M1295" s="77" t="n"/>
      <c r="N1295" s="53">
        <f>IF(M1295="","",IFERROR(M1295/I1295,""))</f>
        <v/>
      </c>
      <c r="O1295" s="50">
        <f>IF(A1295="","",IFERROR((IF(G1295="",I1295,G1295)-T1295)/M1295,""))</f>
        <v/>
      </c>
      <c r="P1295" s="50">
        <f>IFERROR((I1295/T1295-1)/N1295,"")</f>
        <v/>
      </c>
      <c r="Q1295" s="46">
        <f>IF(OR(T1295="",I1295&lt;T1295),"",IFERROR(R1295/IF(G1295="",I1295,G1295)-1,""))</f>
        <v/>
      </c>
      <c r="R1295" s="48">
        <f>IF($M1295="","",MAX(IF($G1295="",$I1295,$G1295)*(1/1.1),IF($G1295="",$I1295,$G1295)+(R$2*$M1295)))</f>
        <v/>
      </c>
      <c r="S1295" s="49">
        <f>IF($M1295="","",MAX(IF($G1295="",$I1295,$G1295)*(1/1.1),IF($G1295="",$I1295,$G1295)+(S$2*$M1295)))</f>
        <v/>
      </c>
      <c r="T1295" s="82" t="n"/>
      <c r="U1295" s="47">
        <f>IF(OR($M1295="",$T1295=""),"",$T1295+(U$2*$M1295))</f>
        <v/>
      </c>
      <c r="V1295" s="48">
        <f>IF(OR($M1295="",$T1295=""),"",$T1295+(V$2*$M1295))</f>
        <v/>
      </c>
      <c r="W1295" s="48">
        <f>IF(OR($M1295="",$T1295=""),"",$T1295+(W$2*$M1295))</f>
        <v/>
      </c>
      <c r="X1295" s="49">
        <f>IF(OR($M1295="",$T1295=""),"",$T1295+(X$2*$M1295))</f>
        <v/>
      </c>
      <c r="Y1295" s="47">
        <f>IF(OR($M1295="",$T1295=""),"",$T1295+(Y$2*$M1295))</f>
        <v/>
      </c>
      <c r="Z1295" s="49">
        <f>IF(OR($M1295="",$T1295=""),"",$T1295+(Z$2*$M1295))</f>
        <v/>
      </c>
      <c r="AA1295" s="51">
        <f>IF(OR($M1295="",$T1295=""),"",$T1295+(AA$2*$M1295))</f>
        <v/>
      </c>
      <c r="AB1295" s="48">
        <f>IF(OR($M1295="",$T1295=""),"",$T1295+(AB$2*$M1295))</f>
        <v/>
      </c>
      <c r="AC1295" s="48">
        <f>IF(OR($M1295="",$T1295=""),"",$T1295+(AC$2*$M1295))</f>
        <v/>
      </c>
      <c r="AD1295" s="48">
        <f>IF(OR($M1295="",$T1295=""),"",$T1295+(AD$2*$M1295))</f>
        <v/>
      </c>
      <c r="AE1295" s="49">
        <f>IF(OR($M1295="",$T1295=""),"",$T1295+(AE$2*$M1295))</f>
        <v/>
      </c>
      <c r="AF1295" s="52">
        <f>IF(OR(T1295="",I1295&lt;T1295),"",IFERROR(AVERAGE(T1295+M1295*{7,8,9,10,11})/IF(G1295="",I1295,G1295)-1,""))</f>
        <v/>
      </c>
      <c r="AG1295" s="55">
        <f>IF(OR(T1295="",I1295&lt;T1295),"",IFERROR(AF1295/-(R1295/IF(G1295="",I1295,G1295)-1),""))</f>
        <v/>
      </c>
      <c r="AH1295" s="94" t="n"/>
      <c r="AI1295" s="94" t="n"/>
      <c r="AJ1295" s="94" t="n"/>
      <c r="AK1295" s="94" t="n"/>
      <c r="AL1295" s="84" t="n"/>
    </row>
    <row r="1296">
      <c r="A1296" s="64" t="n"/>
      <c r="B1296" s="65" t="n"/>
      <c r="C1296" s="66" t="n"/>
      <c r="D1296" s="67" t="n"/>
      <c r="E1296" s="68" t="n"/>
      <c r="F1296" s="47">
        <f>IF(A1296="","",IF(MIN(H1296,MAX(J1296:K1296))=0,"",MIN(H1296,MAX(J1296:K1296))))</f>
        <v/>
      </c>
      <c r="G1296" s="74" t="n"/>
      <c r="H1296" s="49">
        <f>IF(M1296="","",IFERROR(ROUND(AVERAGE(T1296+M1296*{7,8,9,10,11})/1.21,4),""))</f>
        <v/>
      </c>
      <c r="I1296" s="76" t="n"/>
      <c r="J1296" s="77" t="n"/>
      <c r="K1296" s="74" t="n"/>
      <c r="L1296" s="78" t="n"/>
      <c r="M1296" s="77" t="n"/>
      <c r="N1296" s="53">
        <f>IF(M1296="","",IFERROR(M1296/I1296,""))</f>
        <v/>
      </c>
      <c r="O1296" s="50">
        <f>IF(A1296="","",IFERROR((IF(G1296="",I1296,G1296)-T1296)/M1296,""))</f>
        <v/>
      </c>
      <c r="P1296" s="50">
        <f>IFERROR((I1296/T1296-1)/N1296,"")</f>
        <v/>
      </c>
      <c r="Q1296" s="46">
        <f>IF(OR(T1296="",I1296&lt;T1296),"",IFERROR(R1296/IF(G1296="",I1296,G1296)-1,""))</f>
        <v/>
      </c>
      <c r="R1296" s="48">
        <f>IF($M1296="","",MAX(IF($G1296="",$I1296,$G1296)*(1/1.1),IF($G1296="",$I1296,$G1296)+(R$2*$M1296)))</f>
        <v/>
      </c>
      <c r="S1296" s="49">
        <f>IF($M1296="","",MAX(IF($G1296="",$I1296,$G1296)*(1/1.1),IF($G1296="",$I1296,$G1296)+(S$2*$M1296)))</f>
        <v/>
      </c>
      <c r="T1296" s="82" t="n"/>
      <c r="U1296" s="47">
        <f>IF(OR($M1296="",$T1296=""),"",$T1296+(U$2*$M1296))</f>
        <v/>
      </c>
      <c r="V1296" s="48">
        <f>IF(OR($M1296="",$T1296=""),"",$T1296+(V$2*$M1296))</f>
        <v/>
      </c>
      <c r="W1296" s="48">
        <f>IF(OR($M1296="",$T1296=""),"",$T1296+(W$2*$M1296))</f>
        <v/>
      </c>
      <c r="X1296" s="49">
        <f>IF(OR($M1296="",$T1296=""),"",$T1296+(X$2*$M1296))</f>
        <v/>
      </c>
      <c r="Y1296" s="47">
        <f>IF(OR($M1296="",$T1296=""),"",$T1296+(Y$2*$M1296))</f>
        <v/>
      </c>
      <c r="Z1296" s="49">
        <f>IF(OR($M1296="",$T1296=""),"",$T1296+(Z$2*$M1296))</f>
        <v/>
      </c>
      <c r="AA1296" s="51">
        <f>IF(OR($M1296="",$T1296=""),"",$T1296+(AA$2*$M1296))</f>
        <v/>
      </c>
      <c r="AB1296" s="48">
        <f>IF(OR($M1296="",$T1296=""),"",$T1296+(AB$2*$M1296))</f>
        <v/>
      </c>
      <c r="AC1296" s="48">
        <f>IF(OR($M1296="",$T1296=""),"",$T1296+(AC$2*$M1296))</f>
        <v/>
      </c>
      <c r="AD1296" s="48">
        <f>IF(OR($M1296="",$T1296=""),"",$T1296+(AD$2*$M1296))</f>
        <v/>
      </c>
      <c r="AE1296" s="49">
        <f>IF(OR($M1296="",$T1296=""),"",$T1296+(AE$2*$M1296))</f>
        <v/>
      </c>
      <c r="AF1296" s="52">
        <f>IF(OR(T1296="",I1296&lt;T1296),"",IFERROR(AVERAGE(T1296+M1296*{7,8,9,10,11})/IF(G1296="",I1296,G1296)-1,""))</f>
        <v/>
      </c>
      <c r="AG1296" s="55">
        <f>IF(OR(T1296="",I1296&lt;T1296),"",IFERROR(AF1296/-(R1296/IF(G1296="",I1296,G1296)-1),""))</f>
        <v/>
      </c>
      <c r="AH1296" s="94" t="n"/>
      <c r="AI1296" s="94" t="n"/>
      <c r="AJ1296" s="94" t="n"/>
      <c r="AK1296" s="94" t="n"/>
      <c r="AL1296" s="84" t="n"/>
    </row>
    <row r="1297">
      <c r="A1297" s="64" t="n"/>
      <c r="B1297" s="65" t="n"/>
      <c r="C1297" s="66" t="n"/>
      <c r="D1297" s="67" t="n"/>
      <c r="E1297" s="68" t="n"/>
      <c r="F1297" s="47">
        <f>IF(A1297="","",IF(MIN(H1297,MAX(J1297:K1297))=0,"",MIN(H1297,MAX(J1297:K1297))))</f>
        <v/>
      </c>
      <c r="G1297" s="74" t="n"/>
      <c r="H1297" s="49">
        <f>IF(M1297="","",IFERROR(ROUND(AVERAGE(T1297+M1297*{7,8,9,10,11})/1.21,4),""))</f>
        <v/>
      </c>
      <c r="I1297" s="76" t="n"/>
      <c r="J1297" s="77" t="n"/>
      <c r="K1297" s="74" t="n"/>
      <c r="L1297" s="78" t="n"/>
      <c r="M1297" s="77" t="n"/>
      <c r="N1297" s="53">
        <f>IF(M1297="","",IFERROR(M1297/I1297,""))</f>
        <v/>
      </c>
      <c r="O1297" s="50">
        <f>IF(A1297="","",IFERROR((IF(G1297="",I1297,G1297)-T1297)/M1297,""))</f>
        <v/>
      </c>
      <c r="P1297" s="50">
        <f>IFERROR((I1297/T1297-1)/N1297,"")</f>
        <v/>
      </c>
      <c r="Q1297" s="46">
        <f>IF(OR(T1297="",I1297&lt;T1297),"",IFERROR(R1297/IF(G1297="",I1297,G1297)-1,""))</f>
        <v/>
      </c>
      <c r="R1297" s="48">
        <f>IF($M1297="","",MAX(IF($G1297="",$I1297,$G1297)*(1/1.1),IF($G1297="",$I1297,$G1297)+(R$2*$M1297)))</f>
        <v/>
      </c>
      <c r="S1297" s="49">
        <f>IF($M1297="","",MAX(IF($G1297="",$I1297,$G1297)*(1/1.1),IF($G1297="",$I1297,$G1297)+(S$2*$M1297)))</f>
        <v/>
      </c>
      <c r="T1297" s="82" t="n"/>
      <c r="U1297" s="47">
        <f>IF(OR($M1297="",$T1297=""),"",$T1297+(U$2*$M1297))</f>
        <v/>
      </c>
      <c r="V1297" s="48">
        <f>IF(OR($M1297="",$T1297=""),"",$T1297+(V$2*$M1297))</f>
        <v/>
      </c>
      <c r="W1297" s="48">
        <f>IF(OR($M1297="",$T1297=""),"",$T1297+(W$2*$M1297))</f>
        <v/>
      </c>
      <c r="X1297" s="49">
        <f>IF(OR($M1297="",$T1297=""),"",$T1297+(X$2*$M1297))</f>
        <v/>
      </c>
      <c r="Y1297" s="47">
        <f>IF(OR($M1297="",$T1297=""),"",$T1297+(Y$2*$M1297))</f>
        <v/>
      </c>
      <c r="Z1297" s="49">
        <f>IF(OR($M1297="",$T1297=""),"",$T1297+(Z$2*$M1297))</f>
        <v/>
      </c>
      <c r="AA1297" s="51">
        <f>IF(OR($M1297="",$T1297=""),"",$T1297+(AA$2*$M1297))</f>
        <v/>
      </c>
      <c r="AB1297" s="48">
        <f>IF(OR($M1297="",$T1297=""),"",$T1297+(AB$2*$M1297))</f>
        <v/>
      </c>
      <c r="AC1297" s="48">
        <f>IF(OR($M1297="",$T1297=""),"",$T1297+(AC$2*$M1297))</f>
        <v/>
      </c>
      <c r="AD1297" s="48">
        <f>IF(OR($M1297="",$T1297=""),"",$T1297+(AD$2*$M1297))</f>
        <v/>
      </c>
      <c r="AE1297" s="49">
        <f>IF(OR($M1297="",$T1297=""),"",$T1297+(AE$2*$M1297))</f>
        <v/>
      </c>
      <c r="AF1297" s="52">
        <f>IF(OR(T1297="",I1297&lt;T1297),"",IFERROR(AVERAGE(T1297+M1297*{7,8,9,10,11})/IF(G1297="",I1297,G1297)-1,""))</f>
        <v/>
      </c>
      <c r="AG1297" s="55">
        <f>IF(OR(T1297="",I1297&lt;T1297),"",IFERROR(AF1297/-(R1297/IF(G1297="",I1297,G1297)-1),""))</f>
        <v/>
      </c>
      <c r="AH1297" s="94" t="n"/>
      <c r="AI1297" s="94" t="n"/>
      <c r="AJ1297" s="94" t="n"/>
      <c r="AK1297" s="94" t="n"/>
      <c r="AL1297" s="84" t="n"/>
    </row>
    <row r="1298">
      <c r="A1298" s="64" t="n"/>
      <c r="B1298" s="65" t="n"/>
      <c r="C1298" s="66" t="n"/>
      <c r="D1298" s="67" t="n"/>
      <c r="E1298" s="68" t="n"/>
      <c r="F1298" s="47">
        <f>IF(A1298="","",IF(MIN(H1298,MAX(J1298:K1298))=0,"",MIN(H1298,MAX(J1298:K1298))))</f>
        <v/>
      </c>
      <c r="G1298" s="74" t="n"/>
      <c r="H1298" s="49">
        <f>IF(M1298="","",IFERROR(ROUND(AVERAGE(T1298+M1298*{7,8,9,10,11})/1.21,4),""))</f>
        <v/>
      </c>
      <c r="I1298" s="76" t="n"/>
      <c r="J1298" s="77" t="n"/>
      <c r="K1298" s="74" t="n"/>
      <c r="L1298" s="78" t="n"/>
      <c r="M1298" s="77" t="n"/>
      <c r="N1298" s="53">
        <f>IF(M1298="","",IFERROR(M1298/I1298,""))</f>
        <v/>
      </c>
      <c r="O1298" s="50">
        <f>IF(A1298="","",IFERROR((IF(G1298="",I1298,G1298)-T1298)/M1298,""))</f>
        <v/>
      </c>
      <c r="P1298" s="50">
        <f>IFERROR((I1298/T1298-1)/N1298,"")</f>
        <v/>
      </c>
      <c r="Q1298" s="46">
        <f>IF(OR(T1298="",I1298&lt;T1298),"",IFERROR(R1298/IF(G1298="",I1298,G1298)-1,""))</f>
        <v/>
      </c>
      <c r="R1298" s="48">
        <f>IF($M1298="","",MAX(IF($G1298="",$I1298,$G1298)*(1/1.1),IF($G1298="",$I1298,$G1298)+(R$2*$M1298)))</f>
        <v/>
      </c>
      <c r="S1298" s="49">
        <f>IF($M1298="","",MAX(IF($G1298="",$I1298,$G1298)*(1/1.1),IF($G1298="",$I1298,$G1298)+(S$2*$M1298)))</f>
        <v/>
      </c>
      <c r="T1298" s="82" t="n"/>
      <c r="U1298" s="47">
        <f>IF(OR($M1298="",$T1298=""),"",$T1298+(U$2*$M1298))</f>
        <v/>
      </c>
      <c r="V1298" s="48">
        <f>IF(OR($M1298="",$T1298=""),"",$T1298+(V$2*$M1298))</f>
        <v/>
      </c>
      <c r="W1298" s="48">
        <f>IF(OR($M1298="",$T1298=""),"",$T1298+(W$2*$M1298))</f>
        <v/>
      </c>
      <c r="X1298" s="49">
        <f>IF(OR($M1298="",$T1298=""),"",$T1298+(X$2*$M1298))</f>
        <v/>
      </c>
      <c r="Y1298" s="47">
        <f>IF(OR($M1298="",$T1298=""),"",$T1298+(Y$2*$M1298))</f>
        <v/>
      </c>
      <c r="Z1298" s="49">
        <f>IF(OR($M1298="",$T1298=""),"",$T1298+(Z$2*$M1298))</f>
        <v/>
      </c>
      <c r="AA1298" s="51">
        <f>IF(OR($M1298="",$T1298=""),"",$T1298+(AA$2*$M1298))</f>
        <v/>
      </c>
      <c r="AB1298" s="48">
        <f>IF(OR($M1298="",$T1298=""),"",$T1298+(AB$2*$M1298))</f>
        <v/>
      </c>
      <c r="AC1298" s="48">
        <f>IF(OR($M1298="",$T1298=""),"",$T1298+(AC$2*$M1298))</f>
        <v/>
      </c>
      <c r="AD1298" s="48">
        <f>IF(OR($M1298="",$T1298=""),"",$T1298+(AD$2*$M1298))</f>
        <v/>
      </c>
      <c r="AE1298" s="49">
        <f>IF(OR($M1298="",$T1298=""),"",$T1298+(AE$2*$M1298))</f>
        <v/>
      </c>
      <c r="AF1298" s="52">
        <f>IF(OR(T1298="",I1298&lt;T1298),"",IFERROR(AVERAGE(T1298+M1298*{7,8,9,10,11})/IF(G1298="",I1298,G1298)-1,""))</f>
        <v/>
      </c>
      <c r="AG1298" s="55">
        <f>IF(OR(T1298="",I1298&lt;T1298),"",IFERROR(AF1298/-(R1298/IF(G1298="",I1298,G1298)-1),""))</f>
        <v/>
      </c>
      <c r="AH1298" s="94" t="n"/>
      <c r="AI1298" s="94" t="n"/>
      <c r="AJ1298" s="94" t="n"/>
      <c r="AK1298" s="94" t="n"/>
      <c r="AL1298" s="84" t="n"/>
    </row>
    <row r="1299">
      <c r="A1299" s="64" t="n"/>
      <c r="B1299" s="65" t="n"/>
      <c r="C1299" s="66" t="n"/>
      <c r="D1299" s="67" t="n"/>
      <c r="E1299" s="68" t="n"/>
      <c r="F1299" s="47">
        <f>IF(A1299="","",IF(MIN(H1299,MAX(J1299:K1299))=0,"",MIN(H1299,MAX(J1299:K1299))))</f>
        <v/>
      </c>
      <c r="G1299" s="74" t="n"/>
      <c r="H1299" s="49">
        <f>IF(M1299="","",IFERROR(ROUND(AVERAGE(T1299+M1299*{7,8,9,10,11})/1.21,4),""))</f>
        <v/>
      </c>
      <c r="I1299" s="76" t="n"/>
      <c r="J1299" s="77" t="n"/>
      <c r="K1299" s="74" t="n"/>
      <c r="L1299" s="78" t="n"/>
      <c r="M1299" s="77" t="n"/>
      <c r="N1299" s="53">
        <f>IF(M1299="","",IFERROR(M1299/I1299,""))</f>
        <v/>
      </c>
      <c r="O1299" s="50">
        <f>IF(A1299="","",IFERROR((IF(G1299="",I1299,G1299)-T1299)/M1299,""))</f>
        <v/>
      </c>
      <c r="P1299" s="50">
        <f>IFERROR((I1299/T1299-1)/N1299,"")</f>
        <v/>
      </c>
      <c r="Q1299" s="46">
        <f>IF(OR(T1299="",I1299&lt;T1299),"",IFERROR(R1299/IF(G1299="",I1299,G1299)-1,""))</f>
        <v/>
      </c>
      <c r="R1299" s="48">
        <f>IF($M1299="","",MAX(IF($G1299="",$I1299,$G1299)*(1/1.1),IF($G1299="",$I1299,$G1299)+(R$2*$M1299)))</f>
        <v/>
      </c>
      <c r="S1299" s="49">
        <f>IF($M1299="","",MAX(IF($G1299="",$I1299,$G1299)*(1/1.1),IF($G1299="",$I1299,$G1299)+(S$2*$M1299)))</f>
        <v/>
      </c>
      <c r="T1299" s="82" t="n"/>
      <c r="U1299" s="47">
        <f>IF(OR($M1299="",$T1299=""),"",$T1299+(U$2*$M1299))</f>
        <v/>
      </c>
      <c r="V1299" s="48">
        <f>IF(OR($M1299="",$T1299=""),"",$T1299+(V$2*$M1299))</f>
        <v/>
      </c>
      <c r="W1299" s="48">
        <f>IF(OR($M1299="",$T1299=""),"",$T1299+(W$2*$M1299))</f>
        <v/>
      </c>
      <c r="X1299" s="49">
        <f>IF(OR($M1299="",$T1299=""),"",$T1299+(X$2*$M1299))</f>
        <v/>
      </c>
      <c r="Y1299" s="47">
        <f>IF(OR($M1299="",$T1299=""),"",$T1299+(Y$2*$M1299))</f>
        <v/>
      </c>
      <c r="Z1299" s="49">
        <f>IF(OR($M1299="",$T1299=""),"",$T1299+(Z$2*$M1299))</f>
        <v/>
      </c>
      <c r="AA1299" s="51">
        <f>IF(OR($M1299="",$T1299=""),"",$T1299+(AA$2*$M1299))</f>
        <v/>
      </c>
      <c r="AB1299" s="48">
        <f>IF(OR($M1299="",$T1299=""),"",$T1299+(AB$2*$M1299))</f>
        <v/>
      </c>
      <c r="AC1299" s="48">
        <f>IF(OR($M1299="",$T1299=""),"",$T1299+(AC$2*$M1299))</f>
        <v/>
      </c>
      <c r="AD1299" s="48">
        <f>IF(OR($M1299="",$T1299=""),"",$T1299+(AD$2*$M1299))</f>
        <v/>
      </c>
      <c r="AE1299" s="49">
        <f>IF(OR($M1299="",$T1299=""),"",$T1299+(AE$2*$M1299))</f>
        <v/>
      </c>
      <c r="AF1299" s="52">
        <f>IF(OR(T1299="",I1299&lt;T1299),"",IFERROR(AVERAGE(T1299+M1299*{7,8,9,10,11})/IF(G1299="",I1299,G1299)-1,""))</f>
        <v/>
      </c>
      <c r="AG1299" s="55">
        <f>IF(OR(T1299="",I1299&lt;T1299),"",IFERROR(AF1299/-(R1299/IF(G1299="",I1299,G1299)-1),""))</f>
        <v/>
      </c>
      <c r="AH1299" s="94" t="n"/>
      <c r="AI1299" s="94" t="n"/>
      <c r="AJ1299" s="94" t="n"/>
      <c r="AK1299" s="94" t="n"/>
      <c r="AL1299" s="84" t="n"/>
    </row>
    <row r="1300">
      <c r="A1300" s="64" t="n"/>
      <c r="B1300" s="65" t="n"/>
      <c r="C1300" s="66" t="n"/>
      <c r="D1300" s="67" t="n"/>
      <c r="E1300" s="68" t="n"/>
      <c r="F1300" s="47">
        <f>IF(A1300="","",IF(MIN(H1300,MAX(J1300:K1300))=0,"",MIN(H1300,MAX(J1300:K1300))))</f>
        <v/>
      </c>
      <c r="G1300" s="74" t="n"/>
      <c r="H1300" s="49">
        <f>IF(M1300="","",IFERROR(ROUND(AVERAGE(T1300+M1300*{7,8,9,10,11})/1.21,4),""))</f>
        <v/>
      </c>
      <c r="I1300" s="76" t="n"/>
      <c r="J1300" s="77" t="n"/>
      <c r="K1300" s="74" t="n"/>
      <c r="L1300" s="78" t="n"/>
      <c r="M1300" s="77" t="n"/>
      <c r="N1300" s="53">
        <f>IF(M1300="","",IFERROR(M1300/I1300,""))</f>
        <v/>
      </c>
      <c r="O1300" s="50">
        <f>IF(A1300="","",IFERROR((IF(G1300="",I1300,G1300)-T1300)/M1300,""))</f>
        <v/>
      </c>
      <c r="P1300" s="50">
        <f>IFERROR((I1300/T1300-1)/N1300,"")</f>
        <v/>
      </c>
      <c r="Q1300" s="46">
        <f>IF(OR(T1300="",I1300&lt;T1300),"",IFERROR(R1300/IF(G1300="",I1300,G1300)-1,""))</f>
        <v/>
      </c>
      <c r="R1300" s="48">
        <f>IF($M1300="","",MAX(IF($G1300="",$I1300,$G1300)*(1/1.1),IF($G1300="",$I1300,$G1300)+(R$2*$M1300)))</f>
        <v/>
      </c>
      <c r="S1300" s="49">
        <f>IF($M1300="","",MAX(IF($G1300="",$I1300,$G1300)*(1/1.1),IF($G1300="",$I1300,$G1300)+(S$2*$M1300)))</f>
        <v/>
      </c>
      <c r="T1300" s="82" t="n"/>
      <c r="U1300" s="47">
        <f>IF(OR($M1300="",$T1300=""),"",$T1300+(U$2*$M1300))</f>
        <v/>
      </c>
      <c r="V1300" s="48">
        <f>IF(OR($M1300="",$T1300=""),"",$T1300+(V$2*$M1300))</f>
        <v/>
      </c>
      <c r="W1300" s="48">
        <f>IF(OR($M1300="",$T1300=""),"",$T1300+(W$2*$M1300))</f>
        <v/>
      </c>
      <c r="X1300" s="49">
        <f>IF(OR($M1300="",$T1300=""),"",$T1300+(X$2*$M1300))</f>
        <v/>
      </c>
      <c r="Y1300" s="47">
        <f>IF(OR($M1300="",$T1300=""),"",$T1300+(Y$2*$M1300))</f>
        <v/>
      </c>
      <c r="Z1300" s="49">
        <f>IF(OR($M1300="",$T1300=""),"",$T1300+(Z$2*$M1300))</f>
        <v/>
      </c>
      <c r="AA1300" s="51">
        <f>IF(OR($M1300="",$T1300=""),"",$T1300+(AA$2*$M1300))</f>
        <v/>
      </c>
      <c r="AB1300" s="48">
        <f>IF(OR($M1300="",$T1300=""),"",$T1300+(AB$2*$M1300))</f>
        <v/>
      </c>
      <c r="AC1300" s="48">
        <f>IF(OR($M1300="",$T1300=""),"",$T1300+(AC$2*$M1300))</f>
        <v/>
      </c>
      <c r="AD1300" s="48">
        <f>IF(OR($M1300="",$T1300=""),"",$T1300+(AD$2*$M1300))</f>
        <v/>
      </c>
      <c r="AE1300" s="49">
        <f>IF(OR($M1300="",$T1300=""),"",$T1300+(AE$2*$M1300))</f>
        <v/>
      </c>
      <c r="AF1300" s="52">
        <f>IF(OR(T1300="",I1300&lt;T1300),"",IFERROR(AVERAGE(T1300+M1300*{7,8,9,10,11})/IF(G1300="",I1300,G1300)-1,""))</f>
        <v/>
      </c>
      <c r="AG1300" s="55">
        <f>IF(OR(T1300="",I1300&lt;T1300),"",IFERROR(AF1300/-(R1300/IF(G1300="",I1300,G1300)-1),""))</f>
        <v/>
      </c>
      <c r="AH1300" s="94" t="n"/>
      <c r="AI1300" s="94" t="n"/>
      <c r="AJ1300" s="94" t="n"/>
      <c r="AK1300" s="94" t="n"/>
      <c r="AL1300" s="84" t="n"/>
    </row>
    <row r="1301">
      <c r="A1301" s="64" t="n"/>
      <c r="B1301" s="65" t="n"/>
      <c r="C1301" s="66" t="n"/>
      <c r="D1301" s="67" t="n"/>
      <c r="E1301" s="68" t="n"/>
      <c r="F1301" s="47">
        <f>IF(A1301="","",IF(MIN(H1301,MAX(J1301:K1301))=0,"",MIN(H1301,MAX(J1301:K1301))))</f>
        <v/>
      </c>
      <c r="G1301" s="74" t="n"/>
      <c r="H1301" s="49">
        <f>IF(M1301="","",IFERROR(ROUND(AVERAGE(T1301+M1301*{7,8,9,10,11})/1.21,4),""))</f>
        <v/>
      </c>
      <c r="I1301" s="76" t="n"/>
      <c r="J1301" s="77" t="n"/>
      <c r="K1301" s="74" t="n"/>
      <c r="L1301" s="78" t="n"/>
      <c r="M1301" s="77" t="n"/>
      <c r="N1301" s="53">
        <f>IF(M1301="","",IFERROR(M1301/I1301,""))</f>
        <v/>
      </c>
      <c r="O1301" s="50">
        <f>IF(A1301="","",IFERROR((IF(G1301="",I1301,G1301)-T1301)/M1301,""))</f>
        <v/>
      </c>
      <c r="P1301" s="50">
        <f>IFERROR((I1301/T1301-1)/N1301,"")</f>
        <v/>
      </c>
      <c r="Q1301" s="46">
        <f>IF(OR(T1301="",I1301&lt;T1301),"",IFERROR(R1301/IF(G1301="",I1301,G1301)-1,""))</f>
        <v/>
      </c>
      <c r="R1301" s="48">
        <f>IF($M1301="","",MAX(IF($G1301="",$I1301,$G1301)*(1/1.1),IF($G1301="",$I1301,$G1301)+(R$2*$M1301)))</f>
        <v/>
      </c>
      <c r="S1301" s="49">
        <f>IF($M1301="","",MAX(IF($G1301="",$I1301,$G1301)*(1/1.1),IF($G1301="",$I1301,$G1301)+(S$2*$M1301)))</f>
        <v/>
      </c>
      <c r="T1301" s="82" t="n"/>
      <c r="U1301" s="47">
        <f>IF(OR($M1301="",$T1301=""),"",$T1301+(U$2*$M1301))</f>
        <v/>
      </c>
      <c r="V1301" s="48">
        <f>IF(OR($M1301="",$T1301=""),"",$T1301+(V$2*$M1301))</f>
        <v/>
      </c>
      <c r="W1301" s="48">
        <f>IF(OR($M1301="",$T1301=""),"",$T1301+(W$2*$M1301))</f>
        <v/>
      </c>
      <c r="X1301" s="49">
        <f>IF(OR($M1301="",$T1301=""),"",$T1301+(X$2*$M1301))</f>
        <v/>
      </c>
      <c r="Y1301" s="47">
        <f>IF(OR($M1301="",$T1301=""),"",$T1301+(Y$2*$M1301))</f>
        <v/>
      </c>
      <c r="Z1301" s="49">
        <f>IF(OR($M1301="",$T1301=""),"",$T1301+(Z$2*$M1301))</f>
        <v/>
      </c>
      <c r="AA1301" s="51">
        <f>IF(OR($M1301="",$T1301=""),"",$T1301+(AA$2*$M1301))</f>
        <v/>
      </c>
      <c r="AB1301" s="48">
        <f>IF(OR($M1301="",$T1301=""),"",$T1301+(AB$2*$M1301))</f>
        <v/>
      </c>
      <c r="AC1301" s="48">
        <f>IF(OR($M1301="",$T1301=""),"",$T1301+(AC$2*$M1301))</f>
        <v/>
      </c>
      <c r="AD1301" s="48">
        <f>IF(OR($M1301="",$T1301=""),"",$T1301+(AD$2*$M1301))</f>
        <v/>
      </c>
      <c r="AE1301" s="49">
        <f>IF(OR($M1301="",$T1301=""),"",$T1301+(AE$2*$M1301))</f>
        <v/>
      </c>
      <c r="AF1301" s="52">
        <f>IF(OR(T1301="",I1301&lt;T1301),"",IFERROR(AVERAGE(T1301+M1301*{7,8,9,10,11})/IF(G1301="",I1301,G1301)-1,""))</f>
        <v/>
      </c>
      <c r="AG1301" s="55">
        <f>IF(OR(T1301="",I1301&lt;T1301),"",IFERROR(AF1301/-(R1301/IF(G1301="",I1301,G1301)-1),""))</f>
        <v/>
      </c>
      <c r="AH1301" s="94" t="n"/>
      <c r="AI1301" s="94" t="n"/>
      <c r="AJ1301" s="94" t="n"/>
      <c r="AK1301" s="94" t="n"/>
      <c r="AL1301" s="84" t="n"/>
    </row>
    <row r="1302">
      <c r="A1302" s="64" t="n"/>
      <c r="B1302" s="65" t="n"/>
      <c r="C1302" s="66" t="n"/>
      <c r="D1302" s="67" t="n"/>
      <c r="E1302" s="68" t="n"/>
      <c r="F1302" s="47">
        <f>IF(A1302="","",IF(MIN(H1302,MAX(J1302:K1302))=0,"",MIN(H1302,MAX(J1302:K1302))))</f>
        <v/>
      </c>
      <c r="G1302" s="74" t="n"/>
      <c r="H1302" s="49">
        <f>IF(M1302="","",IFERROR(ROUND(AVERAGE(T1302+M1302*{7,8,9,10,11})/1.21,4),""))</f>
        <v/>
      </c>
      <c r="I1302" s="76" t="n"/>
      <c r="J1302" s="77" t="n"/>
      <c r="K1302" s="74" t="n"/>
      <c r="L1302" s="78" t="n"/>
      <c r="M1302" s="77" t="n"/>
      <c r="N1302" s="53">
        <f>IF(M1302="","",IFERROR(M1302/I1302,""))</f>
        <v/>
      </c>
      <c r="O1302" s="50">
        <f>IF(A1302="","",IFERROR((IF(G1302="",I1302,G1302)-T1302)/M1302,""))</f>
        <v/>
      </c>
      <c r="P1302" s="50">
        <f>IFERROR((I1302/T1302-1)/N1302,"")</f>
        <v/>
      </c>
      <c r="Q1302" s="46">
        <f>IF(OR(T1302="",I1302&lt;T1302),"",IFERROR(R1302/IF(G1302="",I1302,G1302)-1,""))</f>
        <v/>
      </c>
      <c r="R1302" s="48">
        <f>IF($M1302="","",MAX(IF($G1302="",$I1302,$G1302)*(1/1.1),IF($G1302="",$I1302,$G1302)+(R$2*$M1302)))</f>
        <v/>
      </c>
      <c r="S1302" s="49">
        <f>IF($M1302="","",MAX(IF($G1302="",$I1302,$G1302)*(1/1.1),IF($G1302="",$I1302,$G1302)+(S$2*$M1302)))</f>
        <v/>
      </c>
      <c r="T1302" s="82" t="n"/>
      <c r="U1302" s="47">
        <f>IF(OR($M1302="",$T1302=""),"",$T1302+(U$2*$M1302))</f>
        <v/>
      </c>
      <c r="V1302" s="48">
        <f>IF(OR($M1302="",$T1302=""),"",$T1302+(V$2*$M1302))</f>
        <v/>
      </c>
      <c r="W1302" s="48">
        <f>IF(OR($M1302="",$T1302=""),"",$T1302+(W$2*$M1302))</f>
        <v/>
      </c>
      <c r="X1302" s="49">
        <f>IF(OR($M1302="",$T1302=""),"",$T1302+(X$2*$M1302))</f>
        <v/>
      </c>
      <c r="Y1302" s="47">
        <f>IF(OR($M1302="",$T1302=""),"",$T1302+(Y$2*$M1302))</f>
        <v/>
      </c>
      <c r="Z1302" s="49">
        <f>IF(OR($M1302="",$T1302=""),"",$T1302+(Z$2*$M1302))</f>
        <v/>
      </c>
      <c r="AA1302" s="51">
        <f>IF(OR($M1302="",$T1302=""),"",$T1302+(AA$2*$M1302))</f>
        <v/>
      </c>
      <c r="AB1302" s="48">
        <f>IF(OR($M1302="",$T1302=""),"",$T1302+(AB$2*$M1302))</f>
        <v/>
      </c>
      <c r="AC1302" s="48">
        <f>IF(OR($M1302="",$T1302=""),"",$T1302+(AC$2*$M1302))</f>
        <v/>
      </c>
      <c r="AD1302" s="48">
        <f>IF(OR($M1302="",$T1302=""),"",$T1302+(AD$2*$M1302))</f>
        <v/>
      </c>
      <c r="AE1302" s="49">
        <f>IF(OR($M1302="",$T1302=""),"",$T1302+(AE$2*$M1302))</f>
        <v/>
      </c>
      <c r="AF1302" s="52">
        <f>IF(OR(T1302="",I1302&lt;T1302),"",IFERROR(AVERAGE(T1302+M1302*{7,8,9,10,11})/IF(G1302="",I1302,G1302)-1,""))</f>
        <v/>
      </c>
      <c r="AG1302" s="55">
        <f>IF(OR(T1302="",I1302&lt;T1302),"",IFERROR(AF1302/-(R1302/IF(G1302="",I1302,G1302)-1),""))</f>
        <v/>
      </c>
      <c r="AH1302" s="94" t="n"/>
      <c r="AI1302" s="94" t="n"/>
      <c r="AJ1302" s="94" t="n"/>
      <c r="AK1302" s="94" t="n"/>
      <c r="AL1302" s="84" t="n"/>
    </row>
    <row r="1303">
      <c r="A1303" s="64" t="n"/>
      <c r="B1303" s="65" t="n"/>
      <c r="C1303" s="66" t="n"/>
      <c r="D1303" s="67" t="n"/>
      <c r="E1303" s="68" t="n"/>
      <c r="F1303" s="47">
        <f>IF(A1303="","",IF(MIN(H1303,MAX(J1303:K1303))=0,"",MIN(H1303,MAX(J1303:K1303))))</f>
        <v/>
      </c>
      <c r="G1303" s="74" t="n"/>
      <c r="H1303" s="49">
        <f>IF(M1303="","",IFERROR(ROUND(AVERAGE(T1303+M1303*{7,8,9,10,11})/1.21,4),""))</f>
        <v/>
      </c>
      <c r="I1303" s="76" t="n"/>
      <c r="J1303" s="77" t="n"/>
      <c r="K1303" s="74" t="n"/>
      <c r="L1303" s="78" t="n"/>
      <c r="M1303" s="77" t="n"/>
      <c r="N1303" s="53">
        <f>IF(M1303="","",IFERROR(M1303/I1303,""))</f>
        <v/>
      </c>
      <c r="O1303" s="50">
        <f>IF(A1303="","",IFERROR((IF(G1303="",I1303,G1303)-T1303)/M1303,""))</f>
        <v/>
      </c>
      <c r="P1303" s="50">
        <f>IFERROR((I1303/T1303-1)/N1303,"")</f>
        <v/>
      </c>
      <c r="Q1303" s="46">
        <f>IF(OR(T1303="",I1303&lt;T1303),"",IFERROR(R1303/IF(G1303="",I1303,G1303)-1,""))</f>
        <v/>
      </c>
      <c r="R1303" s="48">
        <f>IF($M1303="","",MAX(IF($G1303="",$I1303,$G1303)*(1/1.1),IF($G1303="",$I1303,$G1303)+(R$2*$M1303)))</f>
        <v/>
      </c>
      <c r="S1303" s="49">
        <f>IF($M1303="","",MAX(IF($G1303="",$I1303,$G1303)*(1/1.1),IF($G1303="",$I1303,$G1303)+(S$2*$M1303)))</f>
        <v/>
      </c>
      <c r="T1303" s="82" t="n"/>
      <c r="U1303" s="47">
        <f>IF(OR($M1303="",$T1303=""),"",$T1303+(U$2*$M1303))</f>
        <v/>
      </c>
      <c r="V1303" s="48">
        <f>IF(OR($M1303="",$T1303=""),"",$T1303+(V$2*$M1303))</f>
        <v/>
      </c>
      <c r="W1303" s="48">
        <f>IF(OR($M1303="",$T1303=""),"",$T1303+(W$2*$M1303))</f>
        <v/>
      </c>
      <c r="X1303" s="49">
        <f>IF(OR($M1303="",$T1303=""),"",$T1303+(X$2*$M1303))</f>
        <v/>
      </c>
      <c r="Y1303" s="47">
        <f>IF(OR($M1303="",$T1303=""),"",$T1303+(Y$2*$M1303))</f>
        <v/>
      </c>
      <c r="Z1303" s="49">
        <f>IF(OR($M1303="",$T1303=""),"",$T1303+(Z$2*$M1303))</f>
        <v/>
      </c>
      <c r="AA1303" s="51">
        <f>IF(OR($M1303="",$T1303=""),"",$T1303+(AA$2*$M1303))</f>
        <v/>
      </c>
      <c r="AB1303" s="48">
        <f>IF(OR($M1303="",$T1303=""),"",$T1303+(AB$2*$M1303))</f>
        <v/>
      </c>
      <c r="AC1303" s="48">
        <f>IF(OR($M1303="",$T1303=""),"",$T1303+(AC$2*$M1303))</f>
        <v/>
      </c>
      <c r="AD1303" s="48">
        <f>IF(OR($M1303="",$T1303=""),"",$T1303+(AD$2*$M1303))</f>
        <v/>
      </c>
      <c r="AE1303" s="49">
        <f>IF(OR($M1303="",$T1303=""),"",$T1303+(AE$2*$M1303))</f>
        <v/>
      </c>
      <c r="AF1303" s="52">
        <f>IF(OR(T1303="",I1303&lt;T1303),"",IFERROR(AVERAGE(T1303+M1303*{7,8,9,10,11})/IF(G1303="",I1303,G1303)-1,""))</f>
        <v/>
      </c>
      <c r="AG1303" s="55">
        <f>IF(OR(T1303="",I1303&lt;T1303),"",IFERROR(AF1303/-(R1303/IF(G1303="",I1303,G1303)-1),""))</f>
        <v/>
      </c>
      <c r="AH1303" s="94" t="n"/>
      <c r="AI1303" s="94" t="n"/>
      <c r="AJ1303" s="94" t="n"/>
      <c r="AK1303" s="94" t="n"/>
      <c r="AL1303" s="84" t="n"/>
    </row>
    <row r="1304">
      <c r="A1304" s="64" t="n"/>
      <c r="B1304" s="65" t="n"/>
      <c r="C1304" s="66" t="n"/>
      <c r="D1304" s="67" t="n"/>
      <c r="E1304" s="68" t="n"/>
      <c r="F1304" s="47">
        <f>IF(A1304="","",IF(MIN(H1304,MAX(J1304:K1304))=0,"",MIN(H1304,MAX(J1304:K1304))))</f>
        <v/>
      </c>
      <c r="G1304" s="74" t="n"/>
      <c r="H1304" s="49">
        <f>IF(M1304="","",IFERROR(ROUND(AVERAGE(T1304+M1304*{7,8,9,10,11})/1.21,4),""))</f>
        <v/>
      </c>
      <c r="I1304" s="76" t="n"/>
      <c r="J1304" s="77" t="n"/>
      <c r="K1304" s="74" t="n"/>
      <c r="L1304" s="78" t="n"/>
      <c r="M1304" s="77" t="n"/>
      <c r="N1304" s="53">
        <f>IF(M1304="","",IFERROR(M1304/I1304,""))</f>
        <v/>
      </c>
      <c r="O1304" s="50">
        <f>IF(A1304="","",IFERROR((IF(G1304="",I1304,G1304)-T1304)/M1304,""))</f>
        <v/>
      </c>
      <c r="P1304" s="50">
        <f>IFERROR((I1304/T1304-1)/N1304,"")</f>
        <v/>
      </c>
      <c r="Q1304" s="46">
        <f>IF(OR(T1304="",I1304&lt;T1304),"",IFERROR(R1304/IF(G1304="",I1304,G1304)-1,""))</f>
        <v/>
      </c>
      <c r="R1304" s="48">
        <f>IF($M1304="","",MAX(IF($G1304="",$I1304,$G1304)*(1/1.1),IF($G1304="",$I1304,$G1304)+(R$2*$M1304)))</f>
        <v/>
      </c>
      <c r="S1304" s="49">
        <f>IF($M1304="","",MAX(IF($G1304="",$I1304,$G1304)*(1/1.1),IF($G1304="",$I1304,$G1304)+(S$2*$M1304)))</f>
        <v/>
      </c>
      <c r="T1304" s="82" t="n"/>
      <c r="U1304" s="47">
        <f>IF(OR($M1304="",$T1304=""),"",$T1304+(U$2*$M1304))</f>
        <v/>
      </c>
      <c r="V1304" s="48">
        <f>IF(OR($M1304="",$T1304=""),"",$T1304+(V$2*$M1304))</f>
        <v/>
      </c>
      <c r="W1304" s="48">
        <f>IF(OR($M1304="",$T1304=""),"",$T1304+(W$2*$M1304))</f>
        <v/>
      </c>
      <c r="X1304" s="49">
        <f>IF(OR($M1304="",$T1304=""),"",$T1304+(X$2*$M1304))</f>
        <v/>
      </c>
      <c r="Y1304" s="47">
        <f>IF(OR($M1304="",$T1304=""),"",$T1304+(Y$2*$M1304))</f>
        <v/>
      </c>
      <c r="Z1304" s="49">
        <f>IF(OR($M1304="",$T1304=""),"",$T1304+(Z$2*$M1304))</f>
        <v/>
      </c>
      <c r="AA1304" s="51">
        <f>IF(OR($M1304="",$T1304=""),"",$T1304+(AA$2*$M1304))</f>
        <v/>
      </c>
      <c r="AB1304" s="48">
        <f>IF(OR($M1304="",$T1304=""),"",$T1304+(AB$2*$M1304))</f>
        <v/>
      </c>
      <c r="AC1304" s="48">
        <f>IF(OR($M1304="",$T1304=""),"",$T1304+(AC$2*$M1304))</f>
        <v/>
      </c>
      <c r="AD1304" s="48">
        <f>IF(OR($M1304="",$T1304=""),"",$T1304+(AD$2*$M1304))</f>
        <v/>
      </c>
      <c r="AE1304" s="49">
        <f>IF(OR($M1304="",$T1304=""),"",$T1304+(AE$2*$M1304))</f>
        <v/>
      </c>
      <c r="AF1304" s="52">
        <f>IF(OR(T1304="",I1304&lt;T1304),"",IFERROR(AVERAGE(T1304+M1304*{7,8,9,10,11})/IF(G1304="",I1304,G1304)-1,""))</f>
        <v/>
      </c>
      <c r="AG1304" s="55">
        <f>IF(OR(T1304="",I1304&lt;T1304),"",IFERROR(AF1304/-(R1304/IF(G1304="",I1304,G1304)-1),""))</f>
        <v/>
      </c>
      <c r="AH1304" s="94" t="n"/>
      <c r="AI1304" s="94" t="n"/>
      <c r="AJ1304" s="94" t="n"/>
      <c r="AK1304" s="94" t="n"/>
      <c r="AL1304" s="84" t="n"/>
    </row>
    <row r="1305">
      <c r="A1305" s="64" t="n"/>
      <c r="B1305" s="65" t="n"/>
      <c r="C1305" s="66" t="n"/>
      <c r="D1305" s="67" t="n"/>
      <c r="E1305" s="68" t="n"/>
      <c r="F1305" s="47">
        <f>IF(A1305="","",IF(MIN(H1305,MAX(J1305:K1305))=0,"",MIN(H1305,MAX(J1305:K1305))))</f>
        <v/>
      </c>
      <c r="G1305" s="74" t="n"/>
      <c r="H1305" s="49">
        <f>IF(M1305="","",IFERROR(ROUND(AVERAGE(T1305+M1305*{7,8,9,10,11})/1.21,4),""))</f>
        <v/>
      </c>
      <c r="I1305" s="76" t="n"/>
      <c r="J1305" s="77" t="n"/>
      <c r="K1305" s="74" t="n"/>
      <c r="L1305" s="78" t="n"/>
      <c r="M1305" s="77" t="n"/>
      <c r="N1305" s="53">
        <f>IF(M1305="","",IFERROR(M1305/I1305,""))</f>
        <v/>
      </c>
      <c r="O1305" s="50">
        <f>IF(A1305="","",IFERROR((IF(G1305="",I1305,G1305)-T1305)/M1305,""))</f>
        <v/>
      </c>
      <c r="P1305" s="50">
        <f>IFERROR((I1305/T1305-1)/N1305,"")</f>
        <v/>
      </c>
      <c r="Q1305" s="46">
        <f>IF(OR(T1305="",I1305&lt;T1305),"",IFERROR(R1305/IF(G1305="",I1305,G1305)-1,""))</f>
        <v/>
      </c>
      <c r="R1305" s="48">
        <f>IF($M1305="","",MAX(IF($G1305="",$I1305,$G1305)*(1/1.1),IF($G1305="",$I1305,$G1305)+(R$2*$M1305)))</f>
        <v/>
      </c>
      <c r="S1305" s="49">
        <f>IF($M1305="","",MAX(IF($G1305="",$I1305,$G1305)*(1/1.1),IF($G1305="",$I1305,$G1305)+(S$2*$M1305)))</f>
        <v/>
      </c>
      <c r="T1305" s="82" t="n"/>
      <c r="U1305" s="47">
        <f>IF(OR($M1305="",$T1305=""),"",$T1305+(U$2*$M1305))</f>
        <v/>
      </c>
      <c r="V1305" s="48">
        <f>IF(OR($M1305="",$T1305=""),"",$T1305+(V$2*$M1305))</f>
        <v/>
      </c>
      <c r="W1305" s="48">
        <f>IF(OR($M1305="",$T1305=""),"",$T1305+(W$2*$M1305))</f>
        <v/>
      </c>
      <c r="X1305" s="49">
        <f>IF(OR($M1305="",$T1305=""),"",$T1305+(X$2*$M1305))</f>
        <v/>
      </c>
      <c r="Y1305" s="47">
        <f>IF(OR($M1305="",$T1305=""),"",$T1305+(Y$2*$M1305))</f>
        <v/>
      </c>
      <c r="Z1305" s="49">
        <f>IF(OR($M1305="",$T1305=""),"",$T1305+(Z$2*$M1305))</f>
        <v/>
      </c>
      <c r="AA1305" s="51">
        <f>IF(OR($M1305="",$T1305=""),"",$T1305+(AA$2*$M1305))</f>
        <v/>
      </c>
      <c r="AB1305" s="48">
        <f>IF(OR($M1305="",$T1305=""),"",$T1305+(AB$2*$M1305))</f>
        <v/>
      </c>
      <c r="AC1305" s="48">
        <f>IF(OR($M1305="",$T1305=""),"",$T1305+(AC$2*$M1305))</f>
        <v/>
      </c>
      <c r="AD1305" s="48">
        <f>IF(OR($M1305="",$T1305=""),"",$T1305+(AD$2*$M1305))</f>
        <v/>
      </c>
      <c r="AE1305" s="49">
        <f>IF(OR($M1305="",$T1305=""),"",$T1305+(AE$2*$M1305))</f>
        <v/>
      </c>
      <c r="AF1305" s="52">
        <f>IF(OR(T1305="",I1305&lt;T1305),"",IFERROR(AVERAGE(T1305+M1305*{7,8,9,10,11})/IF(G1305="",I1305,G1305)-1,""))</f>
        <v/>
      </c>
      <c r="AG1305" s="55">
        <f>IF(OR(T1305="",I1305&lt;T1305),"",IFERROR(AF1305/-(R1305/IF(G1305="",I1305,G1305)-1),""))</f>
        <v/>
      </c>
      <c r="AH1305" s="94" t="n"/>
      <c r="AI1305" s="94" t="n"/>
      <c r="AJ1305" s="94" t="n"/>
      <c r="AK1305" s="94" t="n"/>
      <c r="AL1305" s="84" t="n"/>
    </row>
    <row r="1306">
      <c r="A1306" s="64" t="n"/>
      <c r="B1306" s="65" t="n"/>
      <c r="C1306" s="66" t="n"/>
      <c r="D1306" s="67" t="n"/>
      <c r="E1306" s="68" t="n"/>
      <c r="F1306" s="47">
        <f>IF(A1306="","",IF(MIN(H1306,MAX(J1306:K1306))=0,"",MIN(H1306,MAX(J1306:K1306))))</f>
        <v/>
      </c>
      <c r="G1306" s="74" t="n"/>
      <c r="H1306" s="49">
        <f>IF(M1306="","",IFERROR(ROUND(AVERAGE(T1306+M1306*{7,8,9,10,11})/1.21,4),""))</f>
        <v/>
      </c>
      <c r="I1306" s="76" t="n"/>
      <c r="J1306" s="77" t="n"/>
      <c r="K1306" s="74" t="n"/>
      <c r="L1306" s="78" t="n"/>
      <c r="M1306" s="77" t="n"/>
      <c r="N1306" s="53">
        <f>IF(M1306="","",IFERROR(M1306/I1306,""))</f>
        <v/>
      </c>
      <c r="O1306" s="50">
        <f>IF(A1306="","",IFERROR((IF(G1306="",I1306,G1306)-T1306)/M1306,""))</f>
        <v/>
      </c>
      <c r="P1306" s="50">
        <f>IFERROR((I1306/T1306-1)/N1306,"")</f>
        <v/>
      </c>
      <c r="Q1306" s="46">
        <f>IF(OR(T1306="",I1306&lt;T1306),"",IFERROR(R1306/IF(G1306="",I1306,G1306)-1,""))</f>
        <v/>
      </c>
      <c r="R1306" s="48">
        <f>IF($M1306="","",MAX(IF($G1306="",$I1306,$G1306)*(1/1.1),IF($G1306="",$I1306,$G1306)+(R$2*$M1306)))</f>
        <v/>
      </c>
      <c r="S1306" s="49">
        <f>IF($M1306="","",MAX(IF($G1306="",$I1306,$G1306)*(1/1.1),IF($G1306="",$I1306,$G1306)+(S$2*$M1306)))</f>
        <v/>
      </c>
      <c r="T1306" s="82" t="n"/>
      <c r="U1306" s="47">
        <f>IF(OR($M1306="",$T1306=""),"",$T1306+(U$2*$M1306))</f>
        <v/>
      </c>
      <c r="V1306" s="48">
        <f>IF(OR($M1306="",$T1306=""),"",$T1306+(V$2*$M1306))</f>
        <v/>
      </c>
      <c r="W1306" s="48">
        <f>IF(OR($M1306="",$T1306=""),"",$T1306+(W$2*$M1306))</f>
        <v/>
      </c>
      <c r="X1306" s="49">
        <f>IF(OR($M1306="",$T1306=""),"",$T1306+(X$2*$M1306))</f>
        <v/>
      </c>
      <c r="Y1306" s="47">
        <f>IF(OR($M1306="",$T1306=""),"",$T1306+(Y$2*$M1306))</f>
        <v/>
      </c>
      <c r="Z1306" s="49">
        <f>IF(OR($M1306="",$T1306=""),"",$T1306+(Z$2*$M1306))</f>
        <v/>
      </c>
      <c r="AA1306" s="51">
        <f>IF(OR($M1306="",$T1306=""),"",$T1306+(AA$2*$M1306))</f>
        <v/>
      </c>
      <c r="AB1306" s="48">
        <f>IF(OR($M1306="",$T1306=""),"",$T1306+(AB$2*$M1306))</f>
        <v/>
      </c>
      <c r="AC1306" s="48">
        <f>IF(OR($M1306="",$T1306=""),"",$T1306+(AC$2*$M1306))</f>
        <v/>
      </c>
      <c r="AD1306" s="48">
        <f>IF(OR($M1306="",$T1306=""),"",$T1306+(AD$2*$M1306))</f>
        <v/>
      </c>
      <c r="AE1306" s="49">
        <f>IF(OR($M1306="",$T1306=""),"",$T1306+(AE$2*$M1306))</f>
        <v/>
      </c>
      <c r="AF1306" s="52">
        <f>IF(OR(T1306="",I1306&lt;T1306),"",IFERROR(AVERAGE(T1306+M1306*{7,8,9,10,11})/IF(G1306="",I1306,G1306)-1,""))</f>
        <v/>
      </c>
      <c r="AG1306" s="55">
        <f>IF(OR(T1306="",I1306&lt;T1306),"",IFERROR(AF1306/-(R1306/IF(G1306="",I1306,G1306)-1),""))</f>
        <v/>
      </c>
      <c r="AH1306" s="94" t="n"/>
      <c r="AI1306" s="94" t="n"/>
      <c r="AJ1306" s="94" t="n"/>
      <c r="AK1306" s="94" t="n"/>
      <c r="AL1306" s="84" t="n"/>
    </row>
    <row r="1307">
      <c r="A1307" s="64" t="n"/>
      <c r="B1307" s="65" t="n"/>
      <c r="C1307" s="66" t="n"/>
      <c r="D1307" s="67" t="n"/>
      <c r="E1307" s="68" t="n"/>
      <c r="F1307" s="47">
        <f>IF(A1307="","",IF(MIN(H1307,MAX(J1307:K1307))=0,"",MIN(H1307,MAX(J1307:K1307))))</f>
        <v/>
      </c>
      <c r="G1307" s="74" t="n"/>
      <c r="H1307" s="49">
        <f>IF(M1307="","",IFERROR(ROUND(AVERAGE(T1307+M1307*{7,8,9,10,11})/1.21,4),""))</f>
        <v/>
      </c>
      <c r="I1307" s="76" t="n"/>
      <c r="J1307" s="77" t="n"/>
      <c r="K1307" s="74" t="n"/>
      <c r="L1307" s="78" t="n"/>
      <c r="M1307" s="77" t="n"/>
      <c r="N1307" s="53">
        <f>IF(M1307="","",IFERROR(M1307/I1307,""))</f>
        <v/>
      </c>
      <c r="O1307" s="50">
        <f>IF(A1307="","",IFERROR((IF(G1307="",I1307,G1307)-T1307)/M1307,""))</f>
        <v/>
      </c>
      <c r="P1307" s="50">
        <f>IFERROR((I1307/T1307-1)/N1307,"")</f>
        <v/>
      </c>
      <c r="Q1307" s="46">
        <f>IF(OR(T1307="",I1307&lt;T1307),"",IFERROR(R1307/IF(G1307="",I1307,G1307)-1,""))</f>
        <v/>
      </c>
      <c r="R1307" s="48">
        <f>IF($M1307="","",MAX(IF($G1307="",$I1307,$G1307)*(1/1.1),IF($G1307="",$I1307,$G1307)+(R$2*$M1307)))</f>
        <v/>
      </c>
      <c r="S1307" s="49">
        <f>IF($M1307="","",MAX(IF($G1307="",$I1307,$G1307)*(1/1.1),IF($G1307="",$I1307,$G1307)+(S$2*$M1307)))</f>
        <v/>
      </c>
      <c r="T1307" s="82" t="n"/>
      <c r="U1307" s="47">
        <f>IF(OR($M1307="",$T1307=""),"",$T1307+(U$2*$M1307))</f>
        <v/>
      </c>
      <c r="V1307" s="48">
        <f>IF(OR($M1307="",$T1307=""),"",$T1307+(V$2*$M1307))</f>
        <v/>
      </c>
      <c r="W1307" s="48">
        <f>IF(OR($M1307="",$T1307=""),"",$T1307+(W$2*$M1307))</f>
        <v/>
      </c>
      <c r="X1307" s="49">
        <f>IF(OR($M1307="",$T1307=""),"",$T1307+(X$2*$M1307))</f>
        <v/>
      </c>
      <c r="Y1307" s="47">
        <f>IF(OR($M1307="",$T1307=""),"",$T1307+(Y$2*$M1307))</f>
        <v/>
      </c>
      <c r="Z1307" s="49">
        <f>IF(OR($M1307="",$T1307=""),"",$T1307+(Z$2*$M1307))</f>
        <v/>
      </c>
      <c r="AA1307" s="51">
        <f>IF(OR($M1307="",$T1307=""),"",$T1307+(AA$2*$M1307))</f>
        <v/>
      </c>
      <c r="AB1307" s="48">
        <f>IF(OR($M1307="",$T1307=""),"",$T1307+(AB$2*$M1307))</f>
        <v/>
      </c>
      <c r="AC1307" s="48">
        <f>IF(OR($M1307="",$T1307=""),"",$T1307+(AC$2*$M1307))</f>
        <v/>
      </c>
      <c r="AD1307" s="48">
        <f>IF(OR($M1307="",$T1307=""),"",$T1307+(AD$2*$M1307))</f>
        <v/>
      </c>
      <c r="AE1307" s="49">
        <f>IF(OR($M1307="",$T1307=""),"",$T1307+(AE$2*$M1307))</f>
        <v/>
      </c>
      <c r="AF1307" s="52">
        <f>IF(OR(T1307="",I1307&lt;T1307),"",IFERROR(AVERAGE(T1307+M1307*{7,8,9,10,11})/IF(G1307="",I1307,G1307)-1,""))</f>
        <v/>
      </c>
      <c r="AG1307" s="55">
        <f>IF(OR(T1307="",I1307&lt;T1307),"",IFERROR(AF1307/-(R1307/IF(G1307="",I1307,G1307)-1),""))</f>
        <v/>
      </c>
      <c r="AH1307" s="94" t="n"/>
      <c r="AI1307" s="94" t="n"/>
      <c r="AJ1307" s="94" t="n"/>
      <c r="AK1307" s="94" t="n"/>
      <c r="AL1307" s="84" t="n"/>
    </row>
    <row r="1308">
      <c r="A1308" s="64" t="n"/>
      <c r="B1308" s="65" t="n"/>
      <c r="C1308" s="66" t="n"/>
      <c r="D1308" s="67" t="n"/>
      <c r="E1308" s="68" t="n"/>
      <c r="F1308" s="47">
        <f>IF(A1308="","",IF(MIN(H1308,MAX(J1308:K1308))=0,"",MIN(H1308,MAX(J1308:K1308))))</f>
        <v/>
      </c>
      <c r="G1308" s="74" t="n"/>
      <c r="H1308" s="49">
        <f>IF(M1308="","",IFERROR(ROUND(AVERAGE(T1308+M1308*{7,8,9,10,11})/1.21,4),""))</f>
        <v/>
      </c>
      <c r="I1308" s="76" t="n"/>
      <c r="J1308" s="77" t="n"/>
      <c r="K1308" s="74" t="n"/>
      <c r="L1308" s="78" t="n"/>
      <c r="M1308" s="77" t="n"/>
      <c r="N1308" s="53">
        <f>IF(M1308="","",IFERROR(M1308/I1308,""))</f>
        <v/>
      </c>
      <c r="O1308" s="50">
        <f>IF(A1308="","",IFERROR((IF(G1308="",I1308,G1308)-T1308)/M1308,""))</f>
        <v/>
      </c>
      <c r="P1308" s="50">
        <f>IFERROR((I1308/T1308-1)/N1308,"")</f>
        <v/>
      </c>
      <c r="Q1308" s="46">
        <f>IF(OR(T1308="",I1308&lt;T1308),"",IFERROR(R1308/IF(G1308="",I1308,G1308)-1,""))</f>
        <v/>
      </c>
      <c r="R1308" s="48">
        <f>IF($M1308="","",MAX(IF($G1308="",$I1308,$G1308)*(1/1.1),IF($G1308="",$I1308,$G1308)+(R$2*$M1308)))</f>
        <v/>
      </c>
      <c r="S1308" s="49">
        <f>IF($M1308="","",MAX(IF($G1308="",$I1308,$G1308)*(1/1.1),IF($G1308="",$I1308,$G1308)+(S$2*$M1308)))</f>
        <v/>
      </c>
      <c r="T1308" s="82" t="n"/>
      <c r="U1308" s="47">
        <f>IF(OR($M1308="",$T1308=""),"",$T1308+(U$2*$M1308))</f>
        <v/>
      </c>
      <c r="V1308" s="48">
        <f>IF(OR($M1308="",$T1308=""),"",$T1308+(V$2*$M1308))</f>
        <v/>
      </c>
      <c r="W1308" s="48">
        <f>IF(OR($M1308="",$T1308=""),"",$T1308+(W$2*$M1308))</f>
        <v/>
      </c>
      <c r="X1308" s="49">
        <f>IF(OR($M1308="",$T1308=""),"",$T1308+(X$2*$M1308))</f>
        <v/>
      </c>
      <c r="Y1308" s="47">
        <f>IF(OR($M1308="",$T1308=""),"",$T1308+(Y$2*$M1308))</f>
        <v/>
      </c>
      <c r="Z1308" s="49">
        <f>IF(OR($M1308="",$T1308=""),"",$T1308+(Z$2*$M1308))</f>
        <v/>
      </c>
      <c r="AA1308" s="51">
        <f>IF(OR($M1308="",$T1308=""),"",$T1308+(AA$2*$M1308))</f>
        <v/>
      </c>
      <c r="AB1308" s="48">
        <f>IF(OR($M1308="",$T1308=""),"",$T1308+(AB$2*$M1308))</f>
        <v/>
      </c>
      <c r="AC1308" s="48">
        <f>IF(OR($M1308="",$T1308=""),"",$T1308+(AC$2*$M1308))</f>
        <v/>
      </c>
      <c r="AD1308" s="48">
        <f>IF(OR($M1308="",$T1308=""),"",$T1308+(AD$2*$M1308))</f>
        <v/>
      </c>
      <c r="AE1308" s="49">
        <f>IF(OR($M1308="",$T1308=""),"",$T1308+(AE$2*$M1308))</f>
        <v/>
      </c>
      <c r="AF1308" s="52">
        <f>IF(OR(T1308="",I1308&lt;T1308),"",IFERROR(AVERAGE(T1308+M1308*{7,8,9,10,11})/IF(G1308="",I1308,G1308)-1,""))</f>
        <v/>
      </c>
      <c r="AG1308" s="55">
        <f>IF(OR(T1308="",I1308&lt;T1308),"",IFERROR(AF1308/-(R1308/IF(G1308="",I1308,G1308)-1),""))</f>
        <v/>
      </c>
      <c r="AH1308" s="94" t="n"/>
      <c r="AI1308" s="94" t="n"/>
      <c r="AJ1308" s="94" t="n"/>
      <c r="AK1308" s="94" t="n"/>
      <c r="AL1308" s="84" t="n"/>
    </row>
    <row r="1309">
      <c r="A1309" s="64" t="n"/>
      <c r="B1309" s="65" t="n"/>
      <c r="C1309" s="66" t="n"/>
      <c r="D1309" s="67" t="n"/>
      <c r="E1309" s="68" t="n"/>
      <c r="F1309" s="47">
        <f>IF(A1309="","",IF(MIN(H1309,MAX(J1309:K1309))=0,"",MIN(H1309,MAX(J1309:K1309))))</f>
        <v/>
      </c>
      <c r="G1309" s="74" t="n"/>
      <c r="H1309" s="49">
        <f>IF(M1309="","",IFERROR(ROUND(AVERAGE(T1309+M1309*{7,8,9,10,11})/1.21,4),""))</f>
        <v/>
      </c>
      <c r="I1309" s="76" t="n"/>
      <c r="J1309" s="77" t="n"/>
      <c r="K1309" s="74" t="n"/>
      <c r="L1309" s="78" t="n"/>
      <c r="M1309" s="77" t="n"/>
      <c r="N1309" s="53">
        <f>IF(M1309="","",IFERROR(M1309/I1309,""))</f>
        <v/>
      </c>
      <c r="O1309" s="50">
        <f>IF(A1309="","",IFERROR((IF(G1309="",I1309,G1309)-T1309)/M1309,""))</f>
        <v/>
      </c>
      <c r="P1309" s="50">
        <f>IFERROR((I1309/T1309-1)/N1309,"")</f>
        <v/>
      </c>
      <c r="Q1309" s="46">
        <f>IF(OR(T1309="",I1309&lt;T1309),"",IFERROR(R1309/IF(G1309="",I1309,G1309)-1,""))</f>
        <v/>
      </c>
      <c r="R1309" s="48">
        <f>IF($M1309="","",MAX(IF($G1309="",$I1309,$G1309)*(1/1.1),IF($G1309="",$I1309,$G1309)+(R$2*$M1309)))</f>
        <v/>
      </c>
      <c r="S1309" s="49">
        <f>IF($M1309="","",MAX(IF($G1309="",$I1309,$G1309)*(1/1.1),IF($G1309="",$I1309,$G1309)+(S$2*$M1309)))</f>
        <v/>
      </c>
      <c r="T1309" s="82" t="n"/>
      <c r="U1309" s="47">
        <f>IF(OR($M1309="",$T1309=""),"",$T1309+(U$2*$M1309))</f>
        <v/>
      </c>
      <c r="V1309" s="48">
        <f>IF(OR($M1309="",$T1309=""),"",$T1309+(V$2*$M1309))</f>
        <v/>
      </c>
      <c r="W1309" s="48">
        <f>IF(OR($M1309="",$T1309=""),"",$T1309+(W$2*$M1309))</f>
        <v/>
      </c>
      <c r="X1309" s="49">
        <f>IF(OR($M1309="",$T1309=""),"",$T1309+(X$2*$M1309))</f>
        <v/>
      </c>
      <c r="Y1309" s="47">
        <f>IF(OR($M1309="",$T1309=""),"",$T1309+(Y$2*$M1309))</f>
        <v/>
      </c>
      <c r="Z1309" s="49">
        <f>IF(OR($M1309="",$T1309=""),"",$T1309+(Z$2*$M1309))</f>
        <v/>
      </c>
      <c r="AA1309" s="51">
        <f>IF(OR($M1309="",$T1309=""),"",$T1309+(AA$2*$M1309))</f>
        <v/>
      </c>
      <c r="AB1309" s="48">
        <f>IF(OR($M1309="",$T1309=""),"",$T1309+(AB$2*$M1309))</f>
        <v/>
      </c>
      <c r="AC1309" s="48">
        <f>IF(OR($M1309="",$T1309=""),"",$T1309+(AC$2*$M1309))</f>
        <v/>
      </c>
      <c r="AD1309" s="48">
        <f>IF(OR($M1309="",$T1309=""),"",$T1309+(AD$2*$M1309))</f>
        <v/>
      </c>
      <c r="AE1309" s="49">
        <f>IF(OR($M1309="",$T1309=""),"",$T1309+(AE$2*$M1309))</f>
        <v/>
      </c>
      <c r="AF1309" s="52">
        <f>IF(OR(T1309="",I1309&lt;T1309),"",IFERROR(AVERAGE(T1309+M1309*{7,8,9,10,11})/IF(G1309="",I1309,G1309)-1,""))</f>
        <v/>
      </c>
      <c r="AG1309" s="55">
        <f>IF(OR(T1309="",I1309&lt;T1309),"",IFERROR(AF1309/-(R1309/IF(G1309="",I1309,G1309)-1),""))</f>
        <v/>
      </c>
      <c r="AH1309" s="94" t="n"/>
      <c r="AI1309" s="94" t="n"/>
      <c r="AJ1309" s="94" t="n"/>
      <c r="AK1309" s="94" t="n"/>
      <c r="AL1309" s="84" t="n"/>
    </row>
    <row r="1310">
      <c r="A1310" s="64" t="n"/>
      <c r="B1310" s="65" t="n"/>
      <c r="C1310" s="66" t="n"/>
      <c r="D1310" s="67" t="n"/>
      <c r="E1310" s="68" t="n"/>
      <c r="F1310" s="47">
        <f>IF(A1310="","",IF(MIN(H1310,MAX(J1310:K1310))=0,"",MIN(H1310,MAX(J1310:K1310))))</f>
        <v/>
      </c>
      <c r="G1310" s="74" t="n"/>
      <c r="H1310" s="49">
        <f>IF(M1310="","",IFERROR(ROUND(AVERAGE(T1310+M1310*{7,8,9,10,11})/1.21,4),""))</f>
        <v/>
      </c>
      <c r="I1310" s="76" t="n"/>
      <c r="J1310" s="77" t="n"/>
      <c r="K1310" s="74" t="n"/>
      <c r="L1310" s="78" t="n"/>
      <c r="M1310" s="77" t="n"/>
      <c r="N1310" s="53">
        <f>IF(M1310="","",IFERROR(M1310/I1310,""))</f>
        <v/>
      </c>
      <c r="O1310" s="50">
        <f>IF(A1310="","",IFERROR((IF(G1310="",I1310,G1310)-T1310)/M1310,""))</f>
        <v/>
      </c>
      <c r="P1310" s="50">
        <f>IFERROR((I1310/T1310-1)/N1310,"")</f>
        <v/>
      </c>
      <c r="Q1310" s="46">
        <f>IF(OR(T1310="",I1310&lt;T1310),"",IFERROR(R1310/IF(G1310="",I1310,G1310)-1,""))</f>
        <v/>
      </c>
      <c r="R1310" s="48">
        <f>IF($M1310="","",MAX(IF($G1310="",$I1310,$G1310)*(1/1.1),IF($G1310="",$I1310,$G1310)+(R$2*$M1310)))</f>
        <v/>
      </c>
      <c r="S1310" s="49">
        <f>IF($M1310="","",MAX(IF($G1310="",$I1310,$G1310)*(1/1.1),IF($G1310="",$I1310,$G1310)+(S$2*$M1310)))</f>
        <v/>
      </c>
      <c r="T1310" s="82" t="n"/>
      <c r="U1310" s="47">
        <f>IF(OR($M1310="",$T1310=""),"",$T1310+(U$2*$M1310))</f>
        <v/>
      </c>
      <c r="V1310" s="48">
        <f>IF(OR($M1310="",$T1310=""),"",$T1310+(V$2*$M1310))</f>
        <v/>
      </c>
      <c r="W1310" s="48">
        <f>IF(OR($M1310="",$T1310=""),"",$T1310+(W$2*$M1310))</f>
        <v/>
      </c>
      <c r="X1310" s="49">
        <f>IF(OR($M1310="",$T1310=""),"",$T1310+(X$2*$M1310))</f>
        <v/>
      </c>
      <c r="Y1310" s="47">
        <f>IF(OR($M1310="",$T1310=""),"",$T1310+(Y$2*$M1310))</f>
        <v/>
      </c>
      <c r="Z1310" s="49">
        <f>IF(OR($M1310="",$T1310=""),"",$T1310+(Z$2*$M1310))</f>
        <v/>
      </c>
      <c r="AA1310" s="51">
        <f>IF(OR($M1310="",$T1310=""),"",$T1310+(AA$2*$M1310))</f>
        <v/>
      </c>
      <c r="AB1310" s="48">
        <f>IF(OR($M1310="",$T1310=""),"",$T1310+(AB$2*$M1310))</f>
        <v/>
      </c>
      <c r="AC1310" s="48">
        <f>IF(OR($M1310="",$T1310=""),"",$T1310+(AC$2*$M1310))</f>
        <v/>
      </c>
      <c r="AD1310" s="48">
        <f>IF(OR($M1310="",$T1310=""),"",$T1310+(AD$2*$M1310))</f>
        <v/>
      </c>
      <c r="AE1310" s="49">
        <f>IF(OR($M1310="",$T1310=""),"",$T1310+(AE$2*$M1310))</f>
        <v/>
      </c>
      <c r="AF1310" s="52">
        <f>IF(OR(T1310="",I1310&lt;T1310),"",IFERROR(AVERAGE(T1310+M1310*{7,8,9,10,11})/IF(G1310="",I1310,G1310)-1,""))</f>
        <v/>
      </c>
      <c r="AG1310" s="55">
        <f>IF(OR(T1310="",I1310&lt;T1310),"",IFERROR(AF1310/-(R1310/IF(G1310="",I1310,G1310)-1),""))</f>
        <v/>
      </c>
      <c r="AH1310" s="94" t="n"/>
      <c r="AI1310" s="94" t="n"/>
      <c r="AJ1310" s="94" t="n"/>
      <c r="AK1310" s="94" t="n"/>
      <c r="AL1310" s="84" t="n"/>
    </row>
    <row r="1311">
      <c r="A1311" s="64" t="n"/>
      <c r="B1311" s="65" t="n"/>
      <c r="C1311" s="66" t="n"/>
      <c r="D1311" s="67" t="n"/>
      <c r="E1311" s="68" t="n"/>
      <c r="F1311" s="47">
        <f>IF(A1311="","",IF(MIN(H1311,MAX(J1311:K1311))=0,"",MIN(H1311,MAX(J1311:K1311))))</f>
        <v/>
      </c>
      <c r="G1311" s="74" t="n"/>
      <c r="H1311" s="49">
        <f>IF(M1311="","",IFERROR(ROUND(AVERAGE(T1311+M1311*{7,8,9,10,11})/1.21,4),""))</f>
        <v/>
      </c>
      <c r="I1311" s="76" t="n"/>
      <c r="J1311" s="77" t="n"/>
      <c r="K1311" s="74" t="n"/>
      <c r="L1311" s="78" t="n"/>
      <c r="M1311" s="77" t="n"/>
      <c r="N1311" s="53">
        <f>IF(M1311="","",IFERROR(M1311/I1311,""))</f>
        <v/>
      </c>
      <c r="O1311" s="50">
        <f>IF(A1311="","",IFERROR((IF(G1311="",I1311,G1311)-T1311)/M1311,""))</f>
        <v/>
      </c>
      <c r="P1311" s="50">
        <f>IFERROR((I1311/T1311-1)/N1311,"")</f>
        <v/>
      </c>
      <c r="Q1311" s="46">
        <f>IF(OR(T1311="",I1311&lt;T1311),"",IFERROR(R1311/IF(G1311="",I1311,G1311)-1,""))</f>
        <v/>
      </c>
      <c r="R1311" s="48">
        <f>IF($M1311="","",MAX(IF($G1311="",$I1311,$G1311)*(1/1.1),IF($G1311="",$I1311,$G1311)+(R$2*$M1311)))</f>
        <v/>
      </c>
      <c r="S1311" s="49">
        <f>IF($M1311="","",MAX(IF($G1311="",$I1311,$G1311)*(1/1.1),IF($G1311="",$I1311,$G1311)+(S$2*$M1311)))</f>
        <v/>
      </c>
      <c r="T1311" s="82" t="n"/>
      <c r="U1311" s="47">
        <f>IF(OR($M1311="",$T1311=""),"",$T1311+(U$2*$M1311))</f>
        <v/>
      </c>
      <c r="V1311" s="48">
        <f>IF(OR($M1311="",$T1311=""),"",$T1311+(V$2*$M1311))</f>
        <v/>
      </c>
      <c r="W1311" s="48">
        <f>IF(OR($M1311="",$T1311=""),"",$T1311+(W$2*$M1311))</f>
        <v/>
      </c>
      <c r="X1311" s="49">
        <f>IF(OR($M1311="",$T1311=""),"",$T1311+(X$2*$M1311))</f>
        <v/>
      </c>
      <c r="Y1311" s="47">
        <f>IF(OR($M1311="",$T1311=""),"",$T1311+(Y$2*$M1311))</f>
        <v/>
      </c>
      <c r="Z1311" s="49">
        <f>IF(OR($M1311="",$T1311=""),"",$T1311+(Z$2*$M1311))</f>
        <v/>
      </c>
      <c r="AA1311" s="51">
        <f>IF(OR($M1311="",$T1311=""),"",$T1311+(AA$2*$M1311))</f>
        <v/>
      </c>
      <c r="AB1311" s="48">
        <f>IF(OR($M1311="",$T1311=""),"",$T1311+(AB$2*$M1311))</f>
        <v/>
      </c>
      <c r="AC1311" s="48">
        <f>IF(OR($M1311="",$T1311=""),"",$T1311+(AC$2*$M1311))</f>
        <v/>
      </c>
      <c r="AD1311" s="48">
        <f>IF(OR($M1311="",$T1311=""),"",$T1311+(AD$2*$M1311))</f>
        <v/>
      </c>
      <c r="AE1311" s="49">
        <f>IF(OR($M1311="",$T1311=""),"",$T1311+(AE$2*$M1311))</f>
        <v/>
      </c>
      <c r="AF1311" s="52">
        <f>IF(OR(T1311="",I1311&lt;T1311),"",IFERROR(AVERAGE(T1311+M1311*{7,8,9,10,11})/IF(G1311="",I1311,G1311)-1,""))</f>
        <v/>
      </c>
      <c r="AG1311" s="55">
        <f>IF(OR(T1311="",I1311&lt;T1311),"",IFERROR(AF1311/-(R1311/IF(G1311="",I1311,G1311)-1),""))</f>
        <v/>
      </c>
      <c r="AH1311" s="94" t="n"/>
      <c r="AI1311" s="94" t="n"/>
      <c r="AJ1311" s="94" t="n"/>
      <c r="AK1311" s="94" t="n"/>
      <c r="AL1311" s="84" t="n"/>
    </row>
    <row r="1312">
      <c r="A1312" s="64" t="n"/>
      <c r="B1312" s="65" t="n"/>
      <c r="C1312" s="66" t="n"/>
      <c r="D1312" s="67" t="n"/>
      <c r="E1312" s="68" t="n"/>
      <c r="F1312" s="47">
        <f>IF(A1312="","",IF(MIN(H1312,MAX(J1312:K1312))=0,"",MIN(H1312,MAX(J1312:K1312))))</f>
        <v/>
      </c>
      <c r="G1312" s="74" t="n"/>
      <c r="H1312" s="49">
        <f>IF(M1312="","",IFERROR(ROUND(AVERAGE(T1312+M1312*{7,8,9,10,11})/1.21,4),""))</f>
        <v/>
      </c>
      <c r="I1312" s="76" t="n"/>
      <c r="J1312" s="77" t="n"/>
      <c r="K1312" s="74" t="n"/>
      <c r="L1312" s="78" t="n"/>
      <c r="M1312" s="77" t="n"/>
      <c r="N1312" s="53">
        <f>IF(M1312="","",IFERROR(M1312/I1312,""))</f>
        <v/>
      </c>
      <c r="O1312" s="50">
        <f>IF(A1312="","",IFERROR((IF(G1312="",I1312,G1312)-T1312)/M1312,""))</f>
        <v/>
      </c>
      <c r="P1312" s="50">
        <f>IFERROR((I1312/T1312-1)/N1312,"")</f>
        <v/>
      </c>
      <c r="Q1312" s="46">
        <f>IF(OR(T1312="",I1312&lt;T1312),"",IFERROR(R1312/IF(G1312="",I1312,G1312)-1,""))</f>
        <v/>
      </c>
      <c r="R1312" s="48">
        <f>IF($M1312="","",MAX(IF($G1312="",$I1312,$G1312)*(1/1.1),IF($G1312="",$I1312,$G1312)+(R$2*$M1312)))</f>
        <v/>
      </c>
      <c r="S1312" s="49">
        <f>IF($M1312="","",MAX(IF($G1312="",$I1312,$G1312)*(1/1.1),IF($G1312="",$I1312,$G1312)+(S$2*$M1312)))</f>
        <v/>
      </c>
      <c r="T1312" s="82" t="n"/>
      <c r="U1312" s="47">
        <f>IF(OR($M1312="",$T1312=""),"",$T1312+(U$2*$M1312))</f>
        <v/>
      </c>
      <c r="V1312" s="48">
        <f>IF(OR($M1312="",$T1312=""),"",$T1312+(V$2*$M1312))</f>
        <v/>
      </c>
      <c r="W1312" s="48">
        <f>IF(OR($M1312="",$T1312=""),"",$T1312+(W$2*$M1312))</f>
        <v/>
      </c>
      <c r="X1312" s="49">
        <f>IF(OR($M1312="",$T1312=""),"",$T1312+(X$2*$M1312))</f>
        <v/>
      </c>
      <c r="Y1312" s="47">
        <f>IF(OR($M1312="",$T1312=""),"",$T1312+(Y$2*$M1312))</f>
        <v/>
      </c>
      <c r="Z1312" s="49">
        <f>IF(OR($M1312="",$T1312=""),"",$T1312+(Z$2*$M1312))</f>
        <v/>
      </c>
      <c r="AA1312" s="51">
        <f>IF(OR($M1312="",$T1312=""),"",$T1312+(AA$2*$M1312))</f>
        <v/>
      </c>
      <c r="AB1312" s="48">
        <f>IF(OR($M1312="",$T1312=""),"",$T1312+(AB$2*$M1312))</f>
        <v/>
      </c>
      <c r="AC1312" s="48">
        <f>IF(OR($M1312="",$T1312=""),"",$T1312+(AC$2*$M1312))</f>
        <v/>
      </c>
      <c r="AD1312" s="48">
        <f>IF(OR($M1312="",$T1312=""),"",$T1312+(AD$2*$M1312))</f>
        <v/>
      </c>
      <c r="AE1312" s="49">
        <f>IF(OR($M1312="",$T1312=""),"",$T1312+(AE$2*$M1312))</f>
        <v/>
      </c>
      <c r="AF1312" s="52">
        <f>IF(OR(T1312="",I1312&lt;T1312),"",IFERROR(AVERAGE(T1312+M1312*{7,8,9,10,11})/IF(G1312="",I1312,G1312)-1,""))</f>
        <v/>
      </c>
      <c r="AG1312" s="55">
        <f>IF(OR(T1312="",I1312&lt;T1312),"",IFERROR(AF1312/-(R1312/IF(G1312="",I1312,G1312)-1),""))</f>
        <v/>
      </c>
      <c r="AH1312" s="94" t="n"/>
      <c r="AI1312" s="94" t="n"/>
      <c r="AJ1312" s="94" t="n"/>
      <c r="AK1312" s="94" t="n"/>
      <c r="AL1312" s="84" t="n"/>
    </row>
    <row r="1313">
      <c r="A1313" s="64" t="n"/>
      <c r="B1313" s="65" t="n"/>
      <c r="C1313" s="66" t="n"/>
      <c r="D1313" s="67" t="n"/>
      <c r="E1313" s="68" t="n"/>
      <c r="F1313" s="47">
        <f>IF(A1313="","",IF(MIN(H1313,MAX(J1313:K1313))=0,"",MIN(H1313,MAX(J1313:K1313))))</f>
        <v/>
      </c>
      <c r="G1313" s="74" t="n"/>
      <c r="H1313" s="49">
        <f>IF(M1313="","",IFERROR(ROUND(AVERAGE(T1313+M1313*{7,8,9,10,11})/1.21,4),""))</f>
        <v/>
      </c>
      <c r="I1313" s="76" t="n"/>
      <c r="J1313" s="77" t="n"/>
      <c r="K1313" s="74" t="n"/>
      <c r="L1313" s="78" t="n"/>
      <c r="M1313" s="77" t="n"/>
      <c r="N1313" s="53">
        <f>IF(M1313="","",IFERROR(M1313/I1313,""))</f>
        <v/>
      </c>
      <c r="O1313" s="50">
        <f>IF(A1313="","",IFERROR((IF(G1313="",I1313,G1313)-T1313)/M1313,""))</f>
        <v/>
      </c>
      <c r="P1313" s="50">
        <f>IFERROR((I1313/T1313-1)/N1313,"")</f>
        <v/>
      </c>
      <c r="Q1313" s="46">
        <f>IF(OR(T1313="",I1313&lt;T1313),"",IFERROR(R1313/IF(G1313="",I1313,G1313)-1,""))</f>
        <v/>
      </c>
      <c r="R1313" s="48">
        <f>IF($M1313="","",MAX(IF($G1313="",$I1313,$G1313)*(1/1.1),IF($G1313="",$I1313,$G1313)+(R$2*$M1313)))</f>
        <v/>
      </c>
      <c r="S1313" s="49">
        <f>IF($M1313="","",MAX(IF($G1313="",$I1313,$G1313)*(1/1.1),IF($G1313="",$I1313,$G1313)+(S$2*$M1313)))</f>
        <v/>
      </c>
      <c r="T1313" s="82" t="n"/>
      <c r="U1313" s="47">
        <f>IF(OR($M1313="",$T1313=""),"",$T1313+(U$2*$M1313))</f>
        <v/>
      </c>
      <c r="V1313" s="48">
        <f>IF(OR($M1313="",$T1313=""),"",$T1313+(V$2*$M1313))</f>
        <v/>
      </c>
      <c r="W1313" s="48">
        <f>IF(OR($M1313="",$T1313=""),"",$T1313+(W$2*$M1313))</f>
        <v/>
      </c>
      <c r="X1313" s="49">
        <f>IF(OR($M1313="",$T1313=""),"",$T1313+(X$2*$M1313))</f>
        <v/>
      </c>
      <c r="Y1313" s="47">
        <f>IF(OR($M1313="",$T1313=""),"",$T1313+(Y$2*$M1313))</f>
        <v/>
      </c>
      <c r="Z1313" s="49">
        <f>IF(OR($M1313="",$T1313=""),"",$T1313+(Z$2*$M1313))</f>
        <v/>
      </c>
      <c r="AA1313" s="51">
        <f>IF(OR($M1313="",$T1313=""),"",$T1313+(AA$2*$M1313))</f>
        <v/>
      </c>
      <c r="AB1313" s="48">
        <f>IF(OR($M1313="",$T1313=""),"",$T1313+(AB$2*$M1313))</f>
        <v/>
      </c>
      <c r="AC1313" s="48">
        <f>IF(OR($M1313="",$T1313=""),"",$T1313+(AC$2*$M1313))</f>
        <v/>
      </c>
      <c r="AD1313" s="48">
        <f>IF(OR($M1313="",$T1313=""),"",$T1313+(AD$2*$M1313))</f>
        <v/>
      </c>
      <c r="AE1313" s="49">
        <f>IF(OR($M1313="",$T1313=""),"",$T1313+(AE$2*$M1313))</f>
        <v/>
      </c>
      <c r="AF1313" s="52">
        <f>IF(OR(T1313="",I1313&lt;T1313),"",IFERROR(AVERAGE(T1313+M1313*{7,8,9,10,11})/IF(G1313="",I1313,G1313)-1,""))</f>
        <v/>
      </c>
      <c r="AG1313" s="55">
        <f>IF(OR(T1313="",I1313&lt;T1313),"",IFERROR(AF1313/-(R1313/IF(G1313="",I1313,G1313)-1),""))</f>
        <v/>
      </c>
      <c r="AH1313" s="94" t="n"/>
      <c r="AI1313" s="94" t="n"/>
      <c r="AJ1313" s="94" t="n"/>
      <c r="AK1313" s="94" t="n"/>
      <c r="AL1313" s="84" t="n"/>
    </row>
    <row r="1314">
      <c r="A1314" s="64" t="n"/>
      <c r="B1314" s="65" t="n"/>
      <c r="C1314" s="66" t="n"/>
      <c r="D1314" s="67" t="n"/>
      <c r="E1314" s="68" t="n"/>
      <c r="F1314" s="47">
        <f>IF(A1314="","",IF(MIN(H1314,MAX(J1314:K1314))=0,"",MIN(H1314,MAX(J1314:K1314))))</f>
        <v/>
      </c>
      <c r="G1314" s="74" t="n"/>
      <c r="H1314" s="49">
        <f>IF(M1314="","",IFERROR(ROUND(AVERAGE(T1314+M1314*{7,8,9,10,11})/1.21,4),""))</f>
        <v/>
      </c>
      <c r="I1314" s="76" t="n"/>
      <c r="J1314" s="77" t="n"/>
      <c r="K1314" s="74" t="n"/>
      <c r="L1314" s="78" t="n"/>
      <c r="M1314" s="77" t="n"/>
      <c r="N1314" s="53">
        <f>IF(M1314="","",IFERROR(M1314/I1314,""))</f>
        <v/>
      </c>
      <c r="O1314" s="50">
        <f>IF(A1314="","",IFERROR((IF(G1314="",I1314,G1314)-T1314)/M1314,""))</f>
        <v/>
      </c>
      <c r="P1314" s="50">
        <f>IFERROR((I1314/T1314-1)/N1314,"")</f>
        <v/>
      </c>
      <c r="Q1314" s="46">
        <f>IF(OR(T1314="",I1314&lt;T1314),"",IFERROR(R1314/IF(G1314="",I1314,G1314)-1,""))</f>
        <v/>
      </c>
      <c r="R1314" s="48">
        <f>IF($M1314="","",MAX(IF($G1314="",$I1314,$G1314)*(1/1.1),IF($G1314="",$I1314,$G1314)+(R$2*$M1314)))</f>
        <v/>
      </c>
      <c r="S1314" s="49">
        <f>IF($M1314="","",MAX(IF($G1314="",$I1314,$G1314)*(1/1.1),IF($G1314="",$I1314,$G1314)+(S$2*$M1314)))</f>
        <v/>
      </c>
      <c r="T1314" s="82" t="n"/>
      <c r="U1314" s="47">
        <f>IF(OR($M1314="",$T1314=""),"",$T1314+(U$2*$M1314))</f>
        <v/>
      </c>
      <c r="V1314" s="48">
        <f>IF(OR($M1314="",$T1314=""),"",$T1314+(V$2*$M1314))</f>
        <v/>
      </c>
      <c r="W1314" s="48">
        <f>IF(OR($M1314="",$T1314=""),"",$T1314+(W$2*$M1314))</f>
        <v/>
      </c>
      <c r="X1314" s="49">
        <f>IF(OR($M1314="",$T1314=""),"",$T1314+(X$2*$M1314))</f>
        <v/>
      </c>
      <c r="Y1314" s="47">
        <f>IF(OR($M1314="",$T1314=""),"",$T1314+(Y$2*$M1314))</f>
        <v/>
      </c>
      <c r="Z1314" s="49">
        <f>IF(OR($M1314="",$T1314=""),"",$T1314+(Z$2*$M1314))</f>
        <v/>
      </c>
      <c r="AA1314" s="51">
        <f>IF(OR($M1314="",$T1314=""),"",$T1314+(AA$2*$M1314))</f>
        <v/>
      </c>
      <c r="AB1314" s="48">
        <f>IF(OR($M1314="",$T1314=""),"",$T1314+(AB$2*$M1314))</f>
        <v/>
      </c>
      <c r="AC1314" s="48">
        <f>IF(OR($M1314="",$T1314=""),"",$T1314+(AC$2*$M1314))</f>
        <v/>
      </c>
      <c r="AD1314" s="48">
        <f>IF(OR($M1314="",$T1314=""),"",$T1314+(AD$2*$M1314))</f>
        <v/>
      </c>
      <c r="AE1314" s="49">
        <f>IF(OR($M1314="",$T1314=""),"",$T1314+(AE$2*$M1314))</f>
        <v/>
      </c>
      <c r="AF1314" s="52">
        <f>IF(OR(T1314="",I1314&lt;T1314),"",IFERROR(AVERAGE(T1314+M1314*{7,8,9,10,11})/IF(G1314="",I1314,G1314)-1,""))</f>
        <v/>
      </c>
      <c r="AG1314" s="55">
        <f>IF(OR(T1314="",I1314&lt;T1314),"",IFERROR(AF1314/-(R1314/IF(G1314="",I1314,G1314)-1),""))</f>
        <v/>
      </c>
      <c r="AH1314" s="94" t="n"/>
      <c r="AI1314" s="94" t="n"/>
      <c r="AJ1314" s="94" t="n"/>
      <c r="AK1314" s="94" t="n"/>
      <c r="AL1314" s="84" t="n"/>
    </row>
    <row r="1315">
      <c r="A1315" s="64" t="n"/>
      <c r="B1315" s="65" t="n"/>
      <c r="C1315" s="66" t="n"/>
      <c r="D1315" s="67" t="n"/>
      <c r="E1315" s="68" t="n"/>
      <c r="F1315" s="47">
        <f>IF(A1315="","",IF(MIN(H1315,MAX(J1315:K1315))=0,"",MIN(H1315,MAX(J1315:K1315))))</f>
        <v/>
      </c>
      <c r="G1315" s="74" t="n"/>
      <c r="H1315" s="49">
        <f>IF(M1315="","",IFERROR(ROUND(AVERAGE(T1315+M1315*{7,8,9,10,11})/1.21,4),""))</f>
        <v/>
      </c>
      <c r="I1315" s="76" t="n"/>
      <c r="J1315" s="77" t="n"/>
      <c r="K1315" s="74" t="n"/>
      <c r="L1315" s="78" t="n"/>
      <c r="M1315" s="77" t="n"/>
      <c r="N1315" s="53">
        <f>IF(M1315="","",IFERROR(M1315/I1315,""))</f>
        <v/>
      </c>
      <c r="O1315" s="50">
        <f>IF(A1315="","",IFERROR((IF(G1315="",I1315,G1315)-T1315)/M1315,""))</f>
        <v/>
      </c>
      <c r="P1315" s="50">
        <f>IFERROR((I1315/T1315-1)/N1315,"")</f>
        <v/>
      </c>
      <c r="Q1315" s="46">
        <f>IF(OR(T1315="",I1315&lt;T1315),"",IFERROR(R1315/IF(G1315="",I1315,G1315)-1,""))</f>
        <v/>
      </c>
      <c r="R1315" s="48">
        <f>IF($M1315="","",MAX(IF($G1315="",$I1315,$G1315)*(1/1.1),IF($G1315="",$I1315,$G1315)+(R$2*$M1315)))</f>
        <v/>
      </c>
      <c r="S1315" s="49">
        <f>IF($M1315="","",MAX(IF($G1315="",$I1315,$G1315)*(1/1.1),IF($G1315="",$I1315,$G1315)+(S$2*$M1315)))</f>
        <v/>
      </c>
      <c r="T1315" s="82" t="n"/>
      <c r="U1315" s="47">
        <f>IF(OR($M1315="",$T1315=""),"",$T1315+(U$2*$M1315))</f>
        <v/>
      </c>
      <c r="V1315" s="48">
        <f>IF(OR($M1315="",$T1315=""),"",$T1315+(V$2*$M1315))</f>
        <v/>
      </c>
      <c r="W1315" s="48">
        <f>IF(OR($M1315="",$T1315=""),"",$T1315+(W$2*$M1315))</f>
        <v/>
      </c>
      <c r="X1315" s="49">
        <f>IF(OR($M1315="",$T1315=""),"",$T1315+(X$2*$M1315))</f>
        <v/>
      </c>
      <c r="Y1315" s="47">
        <f>IF(OR($M1315="",$T1315=""),"",$T1315+(Y$2*$M1315))</f>
        <v/>
      </c>
      <c r="Z1315" s="49">
        <f>IF(OR($M1315="",$T1315=""),"",$T1315+(Z$2*$M1315))</f>
        <v/>
      </c>
      <c r="AA1315" s="51">
        <f>IF(OR($M1315="",$T1315=""),"",$T1315+(AA$2*$M1315))</f>
        <v/>
      </c>
      <c r="AB1315" s="48">
        <f>IF(OR($M1315="",$T1315=""),"",$T1315+(AB$2*$M1315))</f>
        <v/>
      </c>
      <c r="AC1315" s="48">
        <f>IF(OR($M1315="",$T1315=""),"",$T1315+(AC$2*$M1315))</f>
        <v/>
      </c>
      <c r="AD1315" s="48">
        <f>IF(OR($M1315="",$T1315=""),"",$T1315+(AD$2*$M1315))</f>
        <v/>
      </c>
      <c r="AE1315" s="49">
        <f>IF(OR($M1315="",$T1315=""),"",$T1315+(AE$2*$M1315))</f>
        <v/>
      </c>
      <c r="AF1315" s="52">
        <f>IF(OR(T1315="",I1315&lt;T1315),"",IFERROR(AVERAGE(T1315+M1315*{7,8,9,10,11})/IF(G1315="",I1315,G1315)-1,""))</f>
        <v/>
      </c>
      <c r="AG1315" s="55">
        <f>IF(OR(T1315="",I1315&lt;T1315),"",IFERROR(AF1315/-(R1315/IF(G1315="",I1315,G1315)-1),""))</f>
        <v/>
      </c>
      <c r="AH1315" s="94" t="n"/>
      <c r="AI1315" s="94" t="n"/>
      <c r="AJ1315" s="94" t="n"/>
      <c r="AK1315" s="94" t="n"/>
      <c r="AL1315" s="84" t="n"/>
    </row>
    <row r="1316">
      <c r="A1316" s="64" t="n"/>
      <c r="B1316" s="65" t="n"/>
      <c r="C1316" s="66" t="n"/>
      <c r="D1316" s="67" t="n"/>
      <c r="E1316" s="68" t="n"/>
      <c r="F1316" s="47">
        <f>IF(A1316="","",IF(MIN(H1316,MAX(J1316:K1316))=0,"",MIN(H1316,MAX(J1316:K1316))))</f>
        <v/>
      </c>
      <c r="G1316" s="74" t="n"/>
      <c r="H1316" s="49">
        <f>IF(M1316="","",IFERROR(ROUND(AVERAGE(T1316+M1316*{7,8,9,10,11})/1.21,4),""))</f>
        <v/>
      </c>
      <c r="I1316" s="76" t="n"/>
      <c r="J1316" s="77" t="n"/>
      <c r="K1316" s="74" t="n"/>
      <c r="L1316" s="78" t="n"/>
      <c r="M1316" s="77" t="n"/>
      <c r="N1316" s="53">
        <f>IF(M1316="","",IFERROR(M1316/I1316,""))</f>
        <v/>
      </c>
      <c r="O1316" s="50">
        <f>IF(A1316="","",IFERROR((IF(G1316="",I1316,G1316)-T1316)/M1316,""))</f>
        <v/>
      </c>
      <c r="P1316" s="50">
        <f>IFERROR((I1316/T1316-1)/N1316,"")</f>
        <v/>
      </c>
      <c r="Q1316" s="46">
        <f>IF(OR(T1316="",I1316&lt;T1316),"",IFERROR(R1316/IF(G1316="",I1316,G1316)-1,""))</f>
        <v/>
      </c>
      <c r="R1316" s="48">
        <f>IF($M1316="","",MAX(IF($G1316="",$I1316,$G1316)*(1/1.1),IF($G1316="",$I1316,$G1316)+(R$2*$M1316)))</f>
        <v/>
      </c>
      <c r="S1316" s="49">
        <f>IF($M1316="","",MAX(IF($G1316="",$I1316,$G1316)*(1/1.1),IF($G1316="",$I1316,$G1316)+(S$2*$M1316)))</f>
        <v/>
      </c>
      <c r="T1316" s="82" t="n"/>
      <c r="U1316" s="47">
        <f>IF(OR($M1316="",$T1316=""),"",$T1316+(U$2*$M1316))</f>
        <v/>
      </c>
      <c r="V1316" s="48">
        <f>IF(OR($M1316="",$T1316=""),"",$T1316+(V$2*$M1316))</f>
        <v/>
      </c>
      <c r="W1316" s="48">
        <f>IF(OR($M1316="",$T1316=""),"",$T1316+(W$2*$M1316))</f>
        <v/>
      </c>
      <c r="X1316" s="49">
        <f>IF(OR($M1316="",$T1316=""),"",$T1316+(X$2*$M1316))</f>
        <v/>
      </c>
      <c r="Y1316" s="47">
        <f>IF(OR($M1316="",$T1316=""),"",$T1316+(Y$2*$M1316))</f>
        <v/>
      </c>
      <c r="Z1316" s="49">
        <f>IF(OR($M1316="",$T1316=""),"",$T1316+(Z$2*$M1316))</f>
        <v/>
      </c>
      <c r="AA1316" s="51">
        <f>IF(OR($M1316="",$T1316=""),"",$T1316+(AA$2*$M1316))</f>
        <v/>
      </c>
      <c r="AB1316" s="48">
        <f>IF(OR($M1316="",$T1316=""),"",$T1316+(AB$2*$M1316))</f>
        <v/>
      </c>
      <c r="AC1316" s="48">
        <f>IF(OR($M1316="",$T1316=""),"",$T1316+(AC$2*$M1316))</f>
        <v/>
      </c>
      <c r="AD1316" s="48">
        <f>IF(OR($M1316="",$T1316=""),"",$T1316+(AD$2*$M1316))</f>
        <v/>
      </c>
      <c r="AE1316" s="49">
        <f>IF(OR($M1316="",$T1316=""),"",$T1316+(AE$2*$M1316))</f>
        <v/>
      </c>
      <c r="AF1316" s="52">
        <f>IF(OR(T1316="",I1316&lt;T1316),"",IFERROR(AVERAGE(T1316+M1316*{7,8,9,10,11})/IF(G1316="",I1316,G1316)-1,""))</f>
        <v/>
      </c>
      <c r="AG1316" s="55">
        <f>IF(OR(T1316="",I1316&lt;T1316),"",IFERROR(AF1316/-(R1316/IF(G1316="",I1316,G1316)-1),""))</f>
        <v/>
      </c>
      <c r="AH1316" s="94" t="n"/>
      <c r="AI1316" s="94" t="n"/>
      <c r="AJ1316" s="94" t="n"/>
      <c r="AK1316" s="94" t="n"/>
      <c r="AL1316" s="84" t="n"/>
    </row>
    <row r="1317">
      <c r="A1317" s="64" t="n"/>
      <c r="B1317" s="65" t="n"/>
      <c r="C1317" s="66" t="n"/>
      <c r="D1317" s="67" t="n"/>
      <c r="E1317" s="68" t="n"/>
      <c r="F1317" s="47">
        <f>IF(A1317="","",IF(MIN(H1317,MAX(J1317:K1317))=0,"",MIN(H1317,MAX(J1317:K1317))))</f>
        <v/>
      </c>
      <c r="G1317" s="74" t="n"/>
      <c r="H1317" s="49">
        <f>IF(M1317="","",IFERROR(ROUND(AVERAGE(T1317+M1317*{7,8,9,10,11})/1.21,4),""))</f>
        <v/>
      </c>
      <c r="I1317" s="76" t="n"/>
      <c r="J1317" s="77" t="n"/>
      <c r="K1317" s="74" t="n"/>
      <c r="L1317" s="78" t="n"/>
      <c r="M1317" s="77" t="n"/>
      <c r="N1317" s="53">
        <f>IF(M1317="","",IFERROR(M1317/I1317,""))</f>
        <v/>
      </c>
      <c r="O1317" s="50">
        <f>IF(A1317="","",IFERROR((IF(G1317="",I1317,G1317)-T1317)/M1317,""))</f>
        <v/>
      </c>
      <c r="P1317" s="50">
        <f>IFERROR((I1317/T1317-1)/N1317,"")</f>
        <v/>
      </c>
      <c r="Q1317" s="46">
        <f>IF(OR(T1317="",I1317&lt;T1317),"",IFERROR(R1317/IF(G1317="",I1317,G1317)-1,""))</f>
        <v/>
      </c>
      <c r="R1317" s="48">
        <f>IF($M1317="","",MAX(IF($G1317="",$I1317,$G1317)*(1/1.1),IF($G1317="",$I1317,$G1317)+(R$2*$M1317)))</f>
        <v/>
      </c>
      <c r="S1317" s="49">
        <f>IF($M1317="","",MAX(IF($G1317="",$I1317,$G1317)*(1/1.1),IF($G1317="",$I1317,$G1317)+(S$2*$M1317)))</f>
        <v/>
      </c>
      <c r="T1317" s="82" t="n"/>
      <c r="U1317" s="47">
        <f>IF(OR($M1317="",$T1317=""),"",$T1317+(U$2*$M1317))</f>
        <v/>
      </c>
      <c r="V1317" s="48">
        <f>IF(OR($M1317="",$T1317=""),"",$T1317+(V$2*$M1317))</f>
        <v/>
      </c>
      <c r="W1317" s="48">
        <f>IF(OR($M1317="",$T1317=""),"",$T1317+(W$2*$M1317))</f>
        <v/>
      </c>
      <c r="X1317" s="49">
        <f>IF(OR($M1317="",$T1317=""),"",$T1317+(X$2*$M1317))</f>
        <v/>
      </c>
      <c r="Y1317" s="47">
        <f>IF(OR($M1317="",$T1317=""),"",$T1317+(Y$2*$M1317))</f>
        <v/>
      </c>
      <c r="Z1317" s="49">
        <f>IF(OR($M1317="",$T1317=""),"",$T1317+(Z$2*$M1317))</f>
        <v/>
      </c>
      <c r="AA1317" s="51">
        <f>IF(OR($M1317="",$T1317=""),"",$T1317+(AA$2*$M1317))</f>
        <v/>
      </c>
      <c r="AB1317" s="48">
        <f>IF(OR($M1317="",$T1317=""),"",$T1317+(AB$2*$M1317))</f>
        <v/>
      </c>
      <c r="AC1317" s="48">
        <f>IF(OR($M1317="",$T1317=""),"",$T1317+(AC$2*$M1317))</f>
        <v/>
      </c>
      <c r="AD1317" s="48">
        <f>IF(OR($M1317="",$T1317=""),"",$T1317+(AD$2*$M1317))</f>
        <v/>
      </c>
      <c r="AE1317" s="49">
        <f>IF(OR($M1317="",$T1317=""),"",$T1317+(AE$2*$M1317))</f>
        <v/>
      </c>
      <c r="AF1317" s="52">
        <f>IF(OR(T1317="",I1317&lt;T1317),"",IFERROR(AVERAGE(T1317+M1317*{7,8,9,10,11})/IF(G1317="",I1317,G1317)-1,""))</f>
        <v/>
      </c>
      <c r="AG1317" s="55">
        <f>IF(OR(T1317="",I1317&lt;T1317),"",IFERROR(AF1317/-(R1317/IF(G1317="",I1317,G1317)-1),""))</f>
        <v/>
      </c>
      <c r="AH1317" s="94" t="n"/>
      <c r="AI1317" s="94" t="n"/>
      <c r="AJ1317" s="94" t="n"/>
      <c r="AK1317" s="94" t="n"/>
      <c r="AL1317" s="84" t="n"/>
    </row>
    <row r="1318">
      <c r="A1318" s="64" t="n"/>
      <c r="B1318" s="65" t="n"/>
      <c r="C1318" s="66" t="n"/>
      <c r="D1318" s="67" t="n"/>
      <c r="E1318" s="68" t="n"/>
      <c r="F1318" s="47">
        <f>IF(A1318="","",IF(MIN(H1318,MAX(J1318:K1318))=0,"",MIN(H1318,MAX(J1318:K1318))))</f>
        <v/>
      </c>
      <c r="G1318" s="74" t="n"/>
      <c r="H1318" s="49">
        <f>IF(M1318="","",IFERROR(ROUND(AVERAGE(T1318+M1318*{7,8,9,10,11})/1.21,4),""))</f>
        <v/>
      </c>
      <c r="I1318" s="76" t="n"/>
      <c r="J1318" s="77" t="n"/>
      <c r="K1318" s="74" t="n"/>
      <c r="L1318" s="78" t="n"/>
      <c r="M1318" s="77" t="n"/>
      <c r="N1318" s="53">
        <f>IF(M1318="","",IFERROR(M1318/I1318,""))</f>
        <v/>
      </c>
      <c r="O1318" s="50">
        <f>IF(A1318="","",IFERROR((IF(G1318="",I1318,G1318)-T1318)/M1318,""))</f>
        <v/>
      </c>
      <c r="P1318" s="50">
        <f>IFERROR((I1318/T1318-1)/N1318,"")</f>
        <v/>
      </c>
      <c r="Q1318" s="46">
        <f>IF(OR(T1318="",I1318&lt;T1318),"",IFERROR(R1318/IF(G1318="",I1318,G1318)-1,""))</f>
        <v/>
      </c>
      <c r="R1318" s="48">
        <f>IF($M1318="","",MAX(IF($G1318="",$I1318,$G1318)*(1/1.1),IF($G1318="",$I1318,$G1318)+(R$2*$M1318)))</f>
        <v/>
      </c>
      <c r="S1318" s="49">
        <f>IF($M1318="","",MAX(IF($G1318="",$I1318,$G1318)*(1/1.1),IF($G1318="",$I1318,$G1318)+(S$2*$M1318)))</f>
        <v/>
      </c>
      <c r="T1318" s="82" t="n"/>
      <c r="U1318" s="47">
        <f>IF(OR($M1318="",$T1318=""),"",$T1318+(U$2*$M1318))</f>
        <v/>
      </c>
      <c r="V1318" s="48">
        <f>IF(OR($M1318="",$T1318=""),"",$T1318+(V$2*$M1318))</f>
        <v/>
      </c>
      <c r="W1318" s="48">
        <f>IF(OR($M1318="",$T1318=""),"",$T1318+(W$2*$M1318))</f>
        <v/>
      </c>
      <c r="X1318" s="49">
        <f>IF(OR($M1318="",$T1318=""),"",$T1318+(X$2*$M1318))</f>
        <v/>
      </c>
      <c r="Y1318" s="47">
        <f>IF(OR($M1318="",$T1318=""),"",$T1318+(Y$2*$M1318))</f>
        <v/>
      </c>
      <c r="Z1318" s="49">
        <f>IF(OR($M1318="",$T1318=""),"",$T1318+(Z$2*$M1318))</f>
        <v/>
      </c>
      <c r="AA1318" s="51">
        <f>IF(OR($M1318="",$T1318=""),"",$T1318+(AA$2*$M1318))</f>
        <v/>
      </c>
      <c r="AB1318" s="48">
        <f>IF(OR($M1318="",$T1318=""),"",$T1318+(AB$2*$M1318))</f>
        <v/>
      </c>
      <c r="AC1318" s="48">
        <f>IF(OR($M1318="",$T1318=""),"",$T1318+(AC$2*$M1318))</f>
        <v/>
      </c>
      <c r="AD1318" s="48">
        <f>IF(OR($M1318="",$T1318=""),"",$T1318+(AD$2*$M1318))</f>
        <v/>
      </c>
      <c r="AE1318" s="49">
        <f>IF(OR($M1318="",$T1318=""),"",$T1318+(AE$2*$M1318))</f>
        <v/>
      </c>
      <c r="AF1318" s="52">
        <f>IF(OR(T1318="",I1318&lt;T1318),"",IFERROR(AVERAGE(T1318+M1318*{7,8,9,10,11})/IF(G1318="",I1318,G1318)-1,""))</f>
        <v/>
      </c>
      <c r="AG1318" s="55">
        <f>IF(OR(T1318="",I1318&lt;T1318),"",IFERROR(AF1318/-(R1318/IF(G1318="",I1318,G1318)-1),""))</f>
        <v/>
      </c>
      <c r="AH1318" s="94" t="n"/>
      <c r="AI1318" s="94" t="n"/>
      <c r="AJ1318" s="94" t="n"/>
      <c r="AK1318" s="94" t="n"/>
      <c r="AL1318" s="84" t="n"/>
    </row>
    <row r="1319">
      <c r="A1319" s="64" t="n"/>
      <c r="B1319" s="65" t="n"/>
      <c r="C1319" s="66" t="n"/>
      <c r="D1319" s="67" t="n"/>
      <c r="E1319" s="68" t="n"/>
      <c r="F1319" s="47">
        <f>IF(A1319="","",IF(MIN(H1319,MAX(J1319:K1319))=0,"",MIN(H1319,MAX(J1319:K1319))))</f>
        <v/>
      </c>
      <c r="G1319" s="74" t="n"/>
      <c r="H1319" s="49">
        <f>IF(M1319="","",IFERROR(ROUND(AVERAGE(T1319+M1319*{7,8,9,10,11})/1.21,4),""))</f>
        <v/>
      </c>
      <c r="I1319" s="76" t="n"/>
      <c r="J1319" s="77" t="n"/>
      <c r="K1319" s="74" t="n"/>
      <c r="L1319" s="78" t="n"/>
      <c r="M1319" s="77" t="n"/>
      <c r="N1319" s="53">
        <f>IF(M1319="","",IFERROR(M1319/I1319,""))</f>
        <v/>
      </c>
      <c r="O1319" s="50">
        <f>IF(A1319="","",IFERROR((IF(G1319="",I1319,G1319)-T1319)/M1319,""))</f>
        <v/>
      </c>
      <c r="P1319" s="50">
        <f>IFERROR((I1319/T1319-1)/N1319,"")</f>
        <v/>
      </c>
      <c r="Q1319" s="46">
        <f>IF(OR(T1319="",I1319&lt;T1319),"",IFERROR(R1319/IF(G1319="",I1319,G1319)-1,""))</f>
        <v/>
      </c>
      <c r="R1319" s="48">
        <f>IF($M1319="","",MAX(IF($G1319="",$I1319,$G1319)*(1/1.1),IF($G1319="",$I1319,$G1319)+(R$2*$M1319)))</f>
        <v/>
      </c>
      <c r="S1319" s="49">
        <f>IF($M1319="","",MAX(IF($G1319="",$I1319,$G1319)*(1/1.1),IF($G1319="",$I1319,$G1319)+(S$2*$M1319)))</f>
        <v/>
      </c>
      <c r="T1319" s="82" t="n"/>
      <c r="U1319" s="47">
        <f>IF(OR($M1319="",$T1319=""),"",$T1319+(U$2*$M1319))</f>
        <v/>
      </c>
      <c r="V1319" s="48">
        <f>IF(OR($M1319="",$T1319=""),"",$T1319+(V$2*$M1319))</f>
        <v/>
      </c>
      <c r="W1319" s="48">
        <f>IF(OR($M1319="",$T1319=""),"",$T1319+(W$2*$M1319))</f>
        <v/>
      </c>
      <c r="X1319" s="49">
        <f>IF(OR($M1319="",$T1319=""),"",$T1319+(X$2*$M1319))</f>
        <v/>
      </c>
      <c r="Y1319" s="47">
        <f>IF(OR($M1319="",$T1319=""),"",$T1319+(Y$2*$M1319))</f>
        <v/>
      </c>
      <c r="Z1319" s="49">
        <f>IF(OR($M1319="",$T1319=""),"",$T1319+(Z$2*$M1319))</f>
        <v/>
      </c>
      <c r="AA1319" s="51">
        <f>IF(OR($M1319="",$T1319=""),"",$T1319+(AA$2*$M1319))</f>
        <v/>
      </c>
      <c r="AB1319" s="48">
        <f>IF(OR($M1319="",$T1319=""),"",$T1319+(AB$2*$M1319))</f>
        <v/>
      </c>
      <c r="AC1319" s="48">
        <f>IF(OR($M1319="",$T1319=""),"",$T1319+(AC$2*$M1319))</f>
        <v/>
      </c>
      <c r="AD1319" s="48">
        <f>IF(OR($M1319="",$T1319=""),"",$T1319+(AD$2*$M1319))</f>
        <v/>
      </c>
      <c r="AE1319" s="49">
        <f>IF(OR($M1319="",$T1319=""),"",$T1319+(AE$2*$M1319))</f>
        <v/>
      </c>
      <c r="AF1319" s="52">
        <f>IF(OR(T1319="",I1319&lt;T1319),"",IFERROR(AVERAGE(T1319+M1319*{7,8,9,10,11})/IF(G1319="",I1319,G1319)-1,""))</f>
        <v/>
      </c>
      <c r="AG1319" s="55">
        <f>IF(OR(T1319="",I1319&lt;T1319),"",IFERROR(AF1319/-(R1319/IF(G1319="",I1319,G1319)-1),""))</f>
        <v/>
      </c>
      <c r="AH1319" s="94" t="n"/>
      <c r="AI1319" s="94" t="n"/>
      <c r="AJ1319" s="94" t="n"/>
      <c r="AK1319" s="94" t="n"/>
      <c r="AL1319" s="84" t="n"/>
    </row>
    <row r="1320">
      <c r="A1320" s="64" t="n"/>
      <c r="B1320" s="65" t="n"/>
      <c r="C1320" s="66" t="n"/>
      <c r="D1320" s="67" t="n"/>
      <c r="E1320" s="68" t="n"/>
      <c r="F1320" s="47">
        <f>IF(A1320="","",IF(MIN(H1320,MAX(J1320:K1320))=0,"",MIN(H1320,MAX(J1320:K1320))))</f>
        <v/>
      </c>
      <c r="G1320" s="74" t="n"/>
      <c r="H1320" s="49">
        <f>IF(M1320="","",IFERROR(ROUND(AVERAGE(T1320+M1320*{7,8,9,10,11})/1.21,4),""))</f>
        <v/>
      </c>
      <c r="I1320" s="76" t="n"/>
      <c r="J1320" s="77" t="n"/>
      <c r="K1320" s="74" t="n"/>
      <c r="L1320" s="78" t="n"/>
      <c r="M1320" s="77" t="n"/>
      <c r="N1320" s="53">
        <f>IF(M1320="","",IFERROR(M1320/I1320,""))</f>
        <v/>
      </c>
      <c r="O1320" s="50">
        <f>IF(A1320="","",IFERROR((IF(G1320="",I1320,G1320)-T1320)/M1320,""))</f>
        <v/>
      </c>
      <c r="P1320" s="50">
        <f>IFERROR((I1320/T1320-1)/N1320,"")</f>
        <v/>
      </c>
      <c r="Q1320" s="46">
        <f>IF(OR(T1320="",I1320&lt;T1320),"",IFERROR(R1320/IF(G1320="",I1320,G1320)-1,""))</f>
        <v/>
      </c>
      <c r="R1320" s="48">
        <f>IF($M1320="","",MAX(IF($G1320="",$I1320,$G1320)*(1/1.1),IF($G1320="",$I1320,$G1320)+(R$2*$M1320)))</f>
        <v/>
      </c>
      <c r="S1320" s="49">
        <f>IF($M1320="","",MAX(IF($G1320="",$I1320,$G1320)*(1/1.1),IF($G1320="",$I1320,$G1320)+(S$2*$M1320)))</f>
        <v/>
      </c>
      <c r="T1320" s="82" t="n"/>
      <c r="U1320" s="47">
        <f>IF(OR($M1320="",$T1320=""),"",$T1320+(U$2*$M1320))</f>
        <v/>
      </c>
      <c r="V1320" s="48">
        <f>IF(OR($M1320="",$T1320=""),"",$T1320+(V$2*$M1320))</f>
        <v/>
      </c>
      <c r="W1320" s="48">
        <f>IF(OR($M1320="",$T1320=""),"",$T1320+(W$2*$M1320))</f>
        <v/>
      </c>
      <c r="X1320" s="49">
        <f>IF(OR($M1320="",$T1320=""),"",$T1320+(X$2*$M1320))</f>
        <v/>
      </c>
      <c r="Y1320" s="47">
        <f>IF(OR($M1320="",$T1320=""),"",$T1320+(Y$2*$M1320))</f>
        <v/>
      </c>
      <c r="Z1320" s="49">
        <f>IF(OR($M1320="",$T1320=""),"",$T1320+(Z$2*$M1320))</f>
        <v/>
      </c>
      <c r="AA1320" s="51">
        <f>IF(OR($M1320="",$T1320=""),"",$T1320+(AA$2*$M1320))</f>
        <v/>
      </c>
      <c r="AB1320" s="48">
        <f>IF(OR($M1320="",$T1320=""),"",$T1320+(AB$2*$M1320))</f>
        <v/>
      </c>
      <c r="AC1320" s="48">
        <f>IF(OR($M1320="",$T1320=""),"",$T1320+(AC$2*$M1320))</f>
        <v/>
      </c>
      <c r="AD1320" s="48">
        <f>IF(OR($M1320="",$T1320=""),"",$T1320+(AD$2*$M1320))</f>
        <v/>
      </c>
      <c r="AE1320" s="49">
        <f>IF(OR($M1320="",$T1320=""),"",$T1320+(AE$2*$M1320))</f>
        <v/>
      </c>
      <c r="AF1320" s="52">
        <f>IF(OR(T1320="",I1320&lt;T1320),"",IFERROR(AVERAGE(T1320+M1320*{7,8,9,10,11})/IF(G1320="",I1320,G1320)-1,""))</f>
        <v/>
      </c>
      <c r="AG1320" s="55">
        <f>IF(OR(T1320="",I1320&lt;T1320),"",IFERROR(AF1320/-(R1320/IF(G1320="",I1320,G1320)-1),""))</f>
        <v/>
      </c>
      <c r="AH1320" s="94" t="n"/>
      <c r="AI1320" s="94" t="n"/>
      <c r="AJ1320" s="94" t="n"/>
      <c r="AK1320" s="94" t="n"/>
      <c r="AL1320" s="84" t="n"/>
    </row>
    <row r="1321">
      <c r="A1321" s="64" t="n"/>
      <c r="B1321" s="65" t="n"/>
      <c r="C1321" s="66" t="n"/>
      <c r="D1321" s="67" t="n"/>
      <c r="E1321" s="68" t="n"/>
      <c r="F1321" s="47">
        <f>IF(A1321="","",IF(MIN(H1321,MAX(J1321:K1321))=0,"",MIN(H1321,MAX(J1321:K1321))))</f>
        <v/>
      </c>
      <c r="G1321" s="74" t="n"/>
      <c r="H1321" s="49">
        <f>IF(M1321="","",IFERROR(ROUND(AVERAGE(T1321+M1321*{7,8,9,10,11})/1.21,4),""))</f>
        <v/>
      </c>
      <c r="I1321" s="76" t="n"/>
      <c r="J1321" s="77" t="n"/>
      <c r="K1321" s="74" t="n"/>
      <c r="L1321" s="78" t="n"/>
      <c r="M1321" s="77" t="n"/>
      <c r="N1321" s="53">
        <f>IF(M1321="","",IFERROR(M1321/I1321,""))</f>
        <v/>
      </c>
      <c r="O1321" s="50">
        <f>IF(A1321="","",IFERROR((IF(G1321="",I1321,G1321)-T1321)/M1321,""))</f>
        <v/>
      </c>
      <c r="P1321" s="50">
        <f>IFERROR((I1321/T1321-1)/N1321,"")</f>
        <v/>
      </c>
      <c r="Q1321" s="46">
        <f>IF(OR(T1321="",I1321&lt;T1321),"",IFERROR(R1321/IF(G1321="",I1321,G1321)-1,""))</f>
        <v/>
      </c>
      <c r="R1321" s="48">
        <f>IF($M1321="","",MAX(IF($G1321="",$I1321,$G1321)*(1/1.1),IF($G1321="",$I1321,$G1321)+(R$2*$M1321)))</f>
        <v/>
      </c>
      <c r="S1321" s="49">
        <f>IF($M1321="","",MAX(IF($G1321="",$I1321,$G1321)*(1/1.1),IF($G1321="",$I1321,$G1321)+(S$2*$M1321)))</f>
        <v/>
      </c>
      <c r="T1321" s="82" t="n"/>
      <c r="U1321" s="47">
        <f>IF(OR($M1321="",$T1321=""),"",$T1321+(U$2*$M1321))</f>
        <v/>
      </c>
      <c r="V1321" s="48">
        <f>IF(OR($M1321="",$T1321=""),"",$T1321+(V$2*$M1321))</f>
        <v/>
      </c>
      <c r="W1321" s="48">
        <f>IF(OR($M1321="",$T1321=""),"",$T1321+(W$2*$M1321))</f>
        <v/>
      </c>
      <c r="X1321" s="49">
        <f>IF(OR($M1321="",$T1321=""),"",$T1321+(X$2*$M1321))</f>
        <v/>
      </c>
      <c r="Y1321" s="47">
        <f>IF(OR($M1321="",$T1321=""),"",$T1321+(Y$2*$M1321))</f>
        <v/>
      </c>
      <c r="Z1321" s="49">
        <f>IF(OR($M1321="",$T1321=""),"",$T1321+(Z$2*$M1321))</f>
        <v/>
      </c>
      <c r="AA1321" s="51">
        <f>IF(OR($M1321="",$T1321=""),"",$T1321+(AA$2*$M1321))</f>
        <v/>
      </c>
      <c r="AB1321" s="48">
        <f>IF(OR($M1321="",$T1321=""),"",$T1321+(AB$2*$M1321))</f>
        <v/>
      </c>
      <c r="AC1321" s="48">
        <f>IF(OR($M1321="",$T1321=""),"",$T1321+(AC$2*$M1321))</f>
        <v/>
      </c>
      <c r="AD1321" s="48">
        <f>IF(OR($M1321="",$T1321=""),"",$T1321+(AD$2*$M1321))</f>
        <v/>
      </c>
      <c r="AE1321" s="49">
        <f>IF(OR($M1321="",$T1321=""),"",$T1321+(AE$2*$M1321))</f>
        <v/>
      </c>
      <c r="AF1321" s="52">
        <f>IF(OR(T1321="",I1321&lt;T1321),"",IFERROR(AVERAGE(T1321+M1321*{7,8,9,10,11})/IF(G1321="",I1321,G1321)-1,""))</f>
        <v/>
      </c>
      <c r="AG1321" s="55">
        <f>IF(OR(T1321="",I1321&lt;T1321),"",IFERROR(AF1321/-(R1321/IF(G1321="",I1321,G1321)-1),""))</f>
        <v/>
      </c>
      <c r="AH1321" s="94" t="n"/>
      <c r="AI1321" s="94" t="n"/>
      <c r="AJ1321" s="94" t="n"/>
      <c r="AK1321" s="94" t="n"/>
      <c r="AL1321" s="84" t="n"/>
    </row>
    <row r="1322">
      <c r="A1322" s="64" t="n"/>
      <c r="B1322" s="65" t="n"/>
      <c r="C1322" s="66" t="n"/>
      <c r="D1322" s="67" t="n"/>
      <c r="E1322" s="68" t="n"/>
      <c r="F1322" s="47">
        <f>IF(A1322="","",IF(MIN(H1322,MAX(J1322:K1322))=0,"",MIN(H1322,MAX(J1322:K1322))))</f>
        <v/>
      </c>
      <c r="G1322" s="74" t="n"/>
      <c r="H1322" s="49">
        <f>IF(M1322="","",IFERROR(ROUND(AVERAGE(T1322+M1322*{7,8,9,10,11})/1.21,4),""))</f>
        <v/>
      </c>
      <c r="I1322" s="76" t="n"/>
      <c r="J1322" s="77" t="n"/>
      <c r="K1322" s="74" t="n"/>
      <c r="L1322" s="78" t="n"/>
      <c r="M1322" s="77" t="n"/>
      <c r="N1322" s="53">
        <f>IF(M1322="","",IFERROR(M1322/I1322,""))</f>
        <v/>
      </c>
      <c r="O1322" s="50">
        <f>IF(A1322="","",IFERROR((IF(G1322="",I1322,G1322)-T1322)/M1322,""))</f>
        <v/>
      </c>
      <c r="P1322" s="50">
        <f>IFERROR((I1322/T1322-1)/N1322,"")</f>
        <v/>
      </c>
      <c r="Q1322" s="46">
        <f>IF(OR(T1322="",I1322&lt;T1322),"",IFERROR(R1322/IF(G1322="",I1322,G1322)-1,""))</f>
        <v/>
      </c>
      <c r="R1322" s="48">
        <f>IF($M1322="","",MAX(IF($G1322="",$I1322,$G1322)*(1/1.1),IF($G1322="",$I1322,$G1322)+(R$2*$M1322)))</f>
        <v/>
      </c>
      <c r="S1322" s="49">
        <f>IF($M1322="","",MAX(IF($G1322="",$I1322,$G1322)*(1/1.1),IF($G1322="",$I1322,$G1322)+(S$2*$M1322)))</f>
        <v/>
      </c>
      <c r="T1322" s="82" t="n"/>
      <c r="U1322" s="47">
        <f>IF(OR($M1322="",$T1322=""),"",$T1322+(U$2*$M1322))</f>
        <v/>
      </c>
      <c r="V1322" s="48">
        <f>IF(OR($M1322="",$T1322=""),"",$T1322+(V$2*$M1322))</f>
        <v/>
      </c>
      <c r="W1322" s="48">
        <f>IF(OR($M1322="",$T1322=""),"",$T1322+(W$2*$M1322))</f>
        <v/>
      </c>
      <c r="X1322" s="49">
        <f>IF(OR($M1322="",$T1322=""),"",$T1322+(X$2*$M1322))</f>
        <v/>
      </c>
      <c r="Y1322" s="47">
        <f>IF(OR($M1322="",$T1322=""),"",$T1322+(Y$2*$M1322))</f>
        <v/>
      </c>
      <c r="Z1322" s="49">
        <f>IF(OR($M1322="",$T1322=""),"",$T1322+(Z$2*$M1322))</f>
        <v/>
      </c>
      <c r="AA1322" s="51">
        <f>IF(OR($M1322="",$T1322=""),"",$T1322+(AA$2*$M1322))</f>
        <v/>
      </c>
      <c r="AB1322" s="48">
        <f>IF(OR($M1322="",$T1322=""),"",$T1322+(AB$2*$M1322))</f>
        <v/>
      </c>
      <c r="AC1322" s="48">
        <f>IF(OR($M1322="",$T1322=""),"",$T1322+(AC$2*$M1322))</f>
        <v/>
      </c>
      <c r="AD1322" s="48">
        <f>IF(OR($M1322="",$T1322=""),"",$T1322+(AD$2*$M1322))</f>
        <v/>
      </c>
      <c r="AE1322" s="49">
        <f>IF(OR($M1322="",$T1322=""),"",$T1322+(AE$2*$M1322))</f>
        <v/>
      </c>
      <c r="AF1322" s="52">
        <f>IF(OR(T1322="",I1322&lt;T1322),"",IFERROR(AVERAGE(T1322+M1322*{7,8,9,10,11})/IF(G1322="",I1322,G1322)-1,""))</f>
        <v/>
      </c>
      <c r="AG1322" s="55">
        <f>IF(OR(T1322="",I1322&lt;T1322),"",IFERROR(AF1322/-(R1322/IF(G1322="",I1322,G1322)-1),""))</f>
        <v/>
      </c>
      <c r="AH1322" s="94" t="n"/>
      <c r="AI1322" s="94" t="n"/>
      <c r="AJ1322" s="94" t="n"/>
      <c r="AK1322" s="94" t="n"/>
      <c r="AL1322" s="84" t="n"/>
    </row>
    <row r="1323">
      <c r="A1323" s="64" t="n"/>
      <c r="B1323" s="65" t="n"/>
      <c r="C1323" s="66" t="n"/>
      <c r="D1323" s="67" t="n"/>
      <c r="E1323" s="68" t="n"/>
      <c r="F1323" s="47">
        <f>IF(A1323="","",IF(MIN(H1323,MAX(J1323:K1323))=0,"",MIN(H1323,MAX(J1323:K1323))))</f>
        <v/>
      </c>
      <c r="G1323" s="74" t="n"/>
      <c r="H1323" s="49">
        <f>IF(M1323="","",IFERROR(ROUND(AVERAGE(T1323+M1323*{7,8,9,10,11})/1.21,4),""))</f>
        <v/>
      </c>
      <c r="I1323" s="76" t="n"/>
      <c r="J1323" s="77" t="n"/>
      <c r="K1323" s="74" t="n"/>
      <c r="L1323" s="78" t="n"/>
      <c r="M1323" s="77" t="n"/>
      <c r="N1323" s="53">
        <f>IF(M1323="","",IFERROR(M1323/I1323,""))</f>
        <v/>
      </c>
      <c r="O1323" s="50">
        <f>IF(A1323="","",IFERROR((IF(G1323="",I1323,G1323)-T1323)/M1323,""))</f>
        <v/>
      </c>
      <c r="P1323" s="50">
        <f>IFERROR((I1323/T1323-1)/N1323,"")</f>
        <v/>
      </c>
      <c r="Q1323" s="46">
        <f>IF(OR(T1323="",I1323&lt;T1323),"",IFERROR(R1323/IF(G1323="",I1323,G1323)-1,""))</f>
        <v/>
      </c>
      <c r="R1323" s="48">
        <f>IF($M1323="","",MAX(IF($G1323="",$I1323,$G1323)*(1/1.1),IF($G1323="",$I1323,$G1323)+(R$2*$M1323)))</f>
        <v/>
      </c>
      <c r="S1323" s="49">
        <f>IF($M1323="","",MAX(IF($G1323="",$I1323,$G1323)*(1/1.1),IF($G1323="",$I1323,$G1323)+(S$2*$M1323)))</f>
        <v/>
      </c>
      <c r="T1323" s="82" t="n"/>
      <c r="U1323" s="47">
        <f>IF(OR($M1323="",$T1323=""),"",$T1323+(U$2*$M1323))</f>
        <v/>
      </c>
      <c r="V1323" s="48">
        <f>IF(OR($M1323="",$T1323=""),"",$T1323+(V$2*$M1323))</f>
        <v/>
      </c>
      <c r="W1323" s="48">
        <f>IF(OR($M1323="",$T1323=""),"",$T1323+(W$2*$M1323))</f>
        <v/>
      </c>
      <c r="X1323" s="49">
        <f>IF(OR($M1323="",$T1323=""),"",$T1323+(X$2*$M1323))</f>
        <v/>
      </c>
      <c r="Y1323" s="47">
        <f>IF(OR($M1323="",$T1323=""),"",$T1323+(Y$2*$M1323))</f>
        <v/>
      </c>
      <c r="Z1323" s="49">
        <f>IF(OR($M1323="",$T1323=""),"",$T1323+(Z$2*$M1323))</f>
        <v/>
      </c>
      <c r="AA1323" s="51">
        <f>IF(OR($M1323="",$T1323=""),"",$T1323+(AA$2*$M1323))</f>
        <v/>
      </c>
      <c r="AB1323" s="48">
        <f>IF(OR($M1323="",$T1323=""),"",$T1323+(AB$2*$M1323))</f>
        <v/>
      </c>
      <c r="AC1323" s="48">
        <f>IF(OR($M1323="",$T1323=""),"",$T1323+(AC$2*$M1323))</f>
        <v/>
      </c>
      <c r="AD1323" s="48">
        <f>IF(OR($M1323="",$T1323=""),"",$T1323+(AD$2*$M1323))</f>
        <v/>
      </c>
      <c r="AE1323" s="49">
        <f>IF(OR($M1323="",$T1323=""),"",$T1323+(AE$2*$M1323))</f>
        <v/>
      </c>
      <c r="AF1323" s="52">
        <f>IF(OR(T1323="",I1323&lt;T1323),"",IFERROR(AVERAGE(T1323+M1323*{7,8,9,10,11})/IF(G1323="",I1323,G1323)-1,""))</f>
        <v/>
      </c>
      <c r="AG1323" s="55">
        <f>IF(OR(T1323="",I1323&lt;T1323),"",IFERROR(AF1323/-(R1323/IF(G1323="",I1323,G1323)-1),""))</f>
        <v/>
      </c>
      <c r="AH1323" s="94" t="n"/>
      <c r="AI1323" s="94" t="n"/>
      <c r="AJ1323" s="94" t="n"/>
      <c r="AK1323" s="94" t="n"/>
      <c r="AL1323" s="84" t="n"/>
    </row>
    <row r="1324">
      <c r="A1324" s="64" t="n"/>
      <c r="B1324" s="65" t="n"/>
      <c r="C1324" s="66" t="n"/>
      <c r="D1324" s="67" t="n"/>
      <c r="E1324" s="68" t="n"/>
      <c r="F1324" s="47">
        <f>IF(A1324="","",IF(MIN(H1324,MAX(J1324:K1324))=0,"",MIN(H1324,MAX(J1324:K1324))))</f>
        <v/>
      </c>
      <c r="G1324" s="74" t="n"/>
      <c r="H1324" s="49">
        <f>IF(M1324="","",IFERROR(ROUND(AVERAGE(T1324+M1324*{7,8,9,10,11})/1.21,4),""))</f>
        <v/>
      </c>
      <c r="I1324" s="76" t="n"/>
      <c r="J1324" s="77" t="n"/>
      <c r="K1324" s="74" t="n"/>
      <c r="L1324" s="78" t="n"/>
      <c r="M1324" s="77" t="n"/>
      <c r="N1324" s="53">
        <f>IF(M1324="","",IFERROR(M1324/I1324,""))</f>
        <v/>
      </c>
      <c r="O1324" s="50">
        <f>IF(A1324="","",IFERROR((IF(G1324="",I1324,G1324)-T1324)/M1324,""))</f>
        <v/>
      </c>
      <c r="P1324" s="50">
        <f>IFERROR((I1324/T1324-1)/N1324,"")</f>
        <v/>
      </c>
      <c r="Q1324" s="46">
        <f>IF(OR(T1324="",I1324&lt;T1324),"",IFERROR(R1324/IF(G1324="",I1324,G1324)-1,""))</f>
        <v/>
      </c>
      <c r="R1324" s="48">
        <f>IF($M1324="","",MAX(IF($G1324="",$I1324,$G1324)*(1/1.1),IF($G1324="",$I1324,$G1324)+(R$2*$M1324)))</f>
        <v/>
      </c>
      <c r="S1324" s="49">
        <f>IF($M1324="","",MAX(IF($G1324="",$I1324,$G1324)*(1/1.1),IF($G1324="",$I1324,$G1324)+(S$2*$M1324)))</f>
        <v/>
      </c>
      <c r="T1324" s="82" t="n"/>
      <c r="U1324" s="47">
        <f>IF(OR($M1324="",$T1324=""),"",$T1324+(U$2*$M1324))</f>
        <v/>
      </c>
      <c r="V1324" s="48">
        <f>IF(OR($M1324="",$T1324=""),"",$T1324+(V$2*$M1324))</f>
        <v/>
      </c>
      <c r="W1324" s="48">
        <f>IF(OR($M1324="",$T1324=""),"",$T1324+(W$2*$M1324))</f>
        <v/>
      </c>
      <c r="X1324" s="49">
        <f>IF(OR($M1324="",$T1324=""),"",$T1324+(X$2*$M1324))</f>
        <v/>
      </c>
      <c r="Y1324" s="47">
        <f>IF(OR($M1324="",$T1324=""),"",$T1324+(Y$2*$M1324))</f>
        <v/>
      </c>
      <c r="Z1324" s="49">
        <f>IF(OR($M1324="",$T1324=""),"",$T1324+(Z$2*$M1324))</f>
        <v/>
      </c>
      <c r="AA1324" s="51">
        <f>IF(OR($M1324="",$T1324=""),"",$T1324+(AA$2*$M1324))</f>
        <v/>
      </c>
      <c r="AB1324" s="48">
        <f>IF(OR($M1324="",$T1324=""),"",$T1324+(AB$2*$M1324))</f>
        <v/>
      </c>
      <c r="AC1324" s="48">
        <f>IF(OR($M1324="",$T1324=""),"",$T1324+(AC$2*$M1324))</f>
        <v/>
      </c>
      <c r="AD1324" s="48">
        <f>IF(OR($M1324="",$T1324=""),"",$T1324+(AD$2*$M1324))</f>
        <v/>
      </c>
      <c r="AE1324" s="49">
        <f>IF(OR($M1324="",$T1324=""),"",$T1324+(AE$2*$M1324))</f>
        <v/>
      </c>
      <c r="AF1324" s="52">
        <f>IF(OR(T1324="",I1324&lt;T1324),"",IFERROR(AVERAGE(T1324+M1324*{7,8,9,10,11})/IF(G1324="",I1324,G1324)-1,""))</f>
        <v/>
      </c>
      <c r="AG1324" s="55">
        <f>IF(OR(T1324="",I1324&lt;T1324),"",IFERROR(AF1324/-(R1324/IF(G1324="",I1324,G1324)-1),""))</f>
        <v/>
      </c>
      <c r="AH1324" s="94" t="n"/>
      <c r="AI1324" s="94" t="n"/>
      <c r="AJ1324" s="94" t="n"/>
      <c r="AK1324" s="94" t="n"/>
      <c r="AL1324" s="84" t="n"/>
    </row>
    <row r="1325">
      <c r="A1325" s="64" t="n"/>
      <c r="B1325" s="65" t="n"/>
      <c r="C1325" s="66" t="n"/>
      <c r="D1325" s="67" t="n"/>
      <c r="E1325" s="68" t="n"/>
      <c r="F1325" s="47">
        <f>IF(A1325="","",IF(MIN(H1325,MAX(J1325:K1325))=0,"",MIN(H1325,MAX(J1325:K1325))))</f>
        <v/>
      </c>
      <c r="G1325" s="74" t="n"/>
      <c r="H1325" s="49">
        <f>IF(M1325="","",IFERROR(ROUND(AVERAGE(T1325+M1325*{7,8,9,10,11})/1.21,4),""))</f>
        <v/>
      </c>
      <c r="I1325" s="76" t="n"/>
      <c r="J1325" s="77" t="n"/>
      <c r="K1325" s="74" t="n"/>
      <c r="L1325" s="78" t="n"/>
      <c r="M1325" s="77" t="n"/>
      <c r="N1325" s="53">
        <f>IF(M1325="","",IFERROR(M1325/I1325,""))</f>
        <v/>
      </c>
      <c r="O1325" s="50">
        <f>IF(A1325="","",IFERROR((IF(G1325="",I1325,G1325)-T1325)/M1325,""))</f>
        <v/>
      </c>
      <c r="P1325" s="50">
        <f>IFERROR((I1325/T1325-1)/N1325,"")</f>
        <v/>
      </c>
      <c r="Q1325" s="46">
        <f>IF(OR(T1325="",I1325&lt;T1325),"",IFERROR(R1325/IF(G1325="",I1325,G1325)-1,""))</f>
        <v/>
      </c>
      <c r="R1325" s="48">
        <f>IF($M1325="","",MAX(IF($G1325="",$I1325,$G1325)*(1/1.1),IF($G1325="",$I1325,$G1325)+(R$2*$M1325)))</f>
        <v/>
      </c>
      <c r="S1325" s="49">
        <f>IF($M1325="","",MAX(IF($G1325="",$I1325,$G1325)*(1/1.1),IF($G1325="",$I1325,$G1325)+(S$2*$M1325)))</f>
        <v/>
      </c>
      <c r="T1325" s="82" t="n"/>
      <c r="U1325" s="47">
        <f>IF(OR($M1325="",$T1325=""),"",$T1325+(U$2*$M1325))</f>
        <v/>
      </c>
      <c r="V1325" s="48">
        <f>IF(OR($M1325="",$T1325=""),"",$T1325+(V$2*$M1325))</f>
        <v/>
      </c>
      <c r="W1325" s="48">
        <f>IF(OR($M1325="",$T1325=""),"",$T1325+(W$2*$M1325))</f>
        <v/>
      </c>
      <c r="X1325" s="49">
        <f>IF(OR($M1325="",$T1325=""),"",$T1325+(X$2*$M1325))</f>
        <v/>
      </c>
      <c r="Y1325" s="47">
        <f>IF(OR($M1325="",$T1325=""),"",$T1325+(Y$2*$M1325))</f>
        <v/>
      </c>
      <c r="Z1325" s="49">
        <f>IF(OR($M1325="",$T1325=""),"",$T1325+(Z$2*$M1325))</f>
        <v/>
      </c>
      <c r="AA1325" s="51">
        <f>IF(OR($M1325="",$T1325=""),"",$T1325+(AA$2*$M1325))</f>
        <v/>
      </c>
      <c r="AB1325" s="48">
        <f>IF(OR($M1325="",$T1325=""),"",$T1325+(AB$2*$M1325))</f>
        <v/>
      </c>
      <c r="AC1325" s="48">
        <f>IF(OR($M1325="",$T1325=""),"",$T1325+(AC$2*$M1325))</f>
        <v/>
      </c>
      <c r="AD1325" s="48">
        <f>IF(OR($M1325="",$T1325=""),"",$T1325+(AD$2*$M1325))</f>
        <v/>
      </c>
      <c r="AE1325" s="49">
        <f>IF(OR($M1325="",$T1325=""),"",$T1325+(AE$2*$M1325))</f>
        <v/>
      </c>
      <c r="AF1325" s="52">
        <f>IF(OR(T1325="",I1325&lt;T1325),"",IFERROR(AVERAGE(T1325+M1325*{7,8,9,10,11})/IF(G1325="",I1325,G1325)-1,""))</f>
        <v/>
      </c>
      <c r="AG1325" s="55">
        <f>IF(OR(T1325="",I1325&lt;T1325),"",IFERROR(AF1325/-(R1325/IF(G1325="",I1325,G1325)-1),""))</f>
        <v/>
      </c>
      <c r="AH1325" s="94" t="n"/>
      <c r="AI1325" s="94" t="n"/>
      <c r="AJ1325" s="94" t="n"/>
      <c r="AK1325" s="94" t="n"/>
      <c r="AL1325" s="84" t="n"/>
    </row>
    <row r="1326">
      <c r="A1326" s="64" t="n"/>
      <c r="B1326" s="65" t="n"/>
      <c r="C1326" s="66" t="n"/>
      <c r="D1326" s="67" t="n"/>
      <c r="E1326" s="68" t="n"/>
      <c r="F1326" s="47">
        <f>IF(A1326="","",IF(MIN(H1326,MAX(J1326:K1326))=0,"",MIN(H1326,MAX(J1326:K1326))))</f>
        <v/>
      </c>
      <c r="G1326" s="74" t="n"/>
      <c r="H1326" s="49">
        <f>IF(M1326="","",IFERROR(ROUND(AVERAGE(T1326+M1326*{7,8,9,10,11})/1.21,4),""))</f>
        <v/>
      </c>
      <c r="I1326" s="76" t="n"/>
      <c r="J1326" s="77" t="n"/>
      <c r="K1326" s="74" t="n"/>
      <c r="L1326" s="78" t="n"/>
      <c r="M1326" s="77" t="n"/>
      <c r="N1326" s="53">
        <f>IF(M1326="","",IFERROR(M1326/I1326,""))</f>
        <v/>
      </c>
      <c r="O1326" s="50">
        <f>IF(A1326="","",IFERROR((IF(G1326="",I1326,G1326)-T1326)/M1326,""))</f>
        <v/>
      </c>
      <c r="P1326" s="50">
        <f>IFERROR((I1326/T1326-1)/N1326,"")</f>
        <v/>
      </c>
      <c r="Q1326" s="46">
        <f>IF(OR(T1326="",I1326&lt;T1326),"",IFERROR(R1326/IF(G1326="",I1326,G1326)-1,""))</f>
        <v/>
      </c>
      <c r="R1326" s="48">
        <f>IF($M1326="","",MAX(IF($G1326="",$I1326,$G1326)*(1/1.1),IF($G1326="",$I1326,$G1326)+(R$2*$M1326)))</f>
        <v/>
      </c>
      <c r="S1326" s="49">
        <f>IF($M1326="","",MAX(IF($G1326="",$I1326,$G1326)*(1/1.1),IF($G1326="",$I1326,$G1326)+(S$2*$M1326)))</f>
        <v/>
      </c>
      <c r="T1326" s="82" t="n"/>
      <c r="U1326" s="47">
        <f>IF(OR($M1326="",$T1326=""),"",$T1326+(U$2*$M1326))</f>
        <v/>
      </c>
      <c r="V1326" s="48">
        <f>IF(OR($M1326="",$T1326=""),"",$T1326+(V$2*$M1326))</f>
        <v/>
      </c>
      <c r="W1326" s="48">
        <f>IF(OR($M1326="",$T1326=""),"",$T1326+(W$2*$M1326))</f>
        <v/>
      </c>
      <c r="X1326" s="49">
        <f>IF(OR($M1326="",$T1326=""),"",$T1326+(X$2*$M1326))</f>
        <v/>
      </c>
      <c r="Y1326" s="47">
        <f>IF(OR($M1326="",$T1326=""),"",$T1326+(Y$2*$M1326))</f>
        <v/>
      </c>
      <c r="Z1326" s="49">
        <f>IF(OR($M1326="",$T1326=""),"",$T1326+(Z$2*$M1326))</f>
        <v/>
      </c>
      <c r="AA1326" s="51">
        <f>IF(OR($M1326="",$T1326=""),"",$T1326+(AA$2*$M1326))</f>
        <v/>
      </c>
      <c r="AB1326" s="48">
        <f>IF(OR($M1326="",$T1326=""),"",$T1326+(AB$2*$M1326))</f>
        <v/>
      </c>
      <c r="AC1326" s="48">
        <f>IF(OR($M1326="",$T1326=""),"",$T1326+(AC$2*$M1326))</f>
        <v/>
      </c>
      <c r="AD1326" s="48">
        <f>IF(OR($M1326="",$T1326=""),"",$T1326+(AD$2*$M1326))</f>
        <v/>
      </c>
      <c r="AE1326" s="49">
        <f>IF(OR($M1326="",$T1326=""),"",$T1326+(AE$2*$M1326))</f>
        <v/>
      </c>
      <c r="AF1326" s="52">
        <f>IF(OR(T1326="",I1326&lt;T1326),"",IFERROR(AVERAGE(T1326+M1326*{7,8,9,10,11})/IF(G1326="",I1326,G1326)-1,""))</f>
        <v/>
      </c>
      <c r="AG1326" s="55">
        <f>IF(OR(T1326="",I1326&lt;T1326),"",IFERROR(AF1326/-(R1326/IF(G1326="",I1326,G1326)-1),""))</f>
        <v/>
      </c>
      <c r="AH1326" s="94" t="n"/>
      <c r="AI1326" s="94" t="n"/>
      <c r="AJ1326" s="94" t="n"/>
      <c r="AK1326" s="94" t="n"/>
      <c r="AL1326" s="84" t="n"/>
    </row>
    <row r="1327">
      <c r="A1327" s="64" t="n"/>
      <c r="B1327" s="65" t="n"/>
      <c r="C1327" s="66" t="n"/>
      <c r="D1327" s="67" t="n"/>
      <c r="E1327" s="68" t="n"/>
      <c r="F1327" s="47">
        <f>IF(A1327="","",IF(MIN(H1327,MAX(J1327:K1327))=0,"",MIN(H1327,MAX(J1327:K1327))))</f>
        <v/>
      </c>
      <c r="G1327" s="74" t="n"/>
      <c r="H1327" s="49">
        <f>IF(M1327="","",IFERROR(ROUND(AVERAGE(T1327+M1327*{7,8,9,10,11})/1.21,4),""))</f>
        <v/>
      </c>
      <c r="I1327" s="76" t="n"/>
      <c r="J1327" s="77" t="n"/>
      <c r="K1327" s="74" t="n"/>
      <c r="L1327" s="78" t="n"/>
      <c r="M1327" s="77" t="n"/>
      <c r="N1327" s="53">
        <f>IF(M1327="","",IFERROR(M1327/I1327,""))</f>
        <v/>
      </c>
      <c r="O1327" s="50">
        <f>IF(A1327="","",IFERROR((IF(G1327="",I1327,G1327)-T1327)/M1327,""))</f>
        <v/>
      </c>
      <c r="P1327" s="50">
        <f>IFERROR((I1327/T1327-1)/N1327,"")</f>
        <v/>
      </c>
      <c r="Q1327" s="46">
        <f>IF(OR(T1327="",I1327&lt;T1327),"",IFERROR(R1327/IF(G1327="",I1327,G1327)-1,""))</f>
        <v/>
      </c>
      <c r="R1327" s="48">
        <f>IF($M1327="","",MAX(IF($G1327="",$I1327,$G1327)*(1/1.1),IF($G1327="",$I1327,$G1327)+(R$2*$M1327)))</f>
        <v/>
      </c>
      <c r="S1327" s="49">
        <f>IF($M1327="","",MAX(IF($G1327="",$I1327,$G1327)*(1/1.1),IF($G1327="",$I1327,$G1327)+(S$2*$M1327)))</f>
        <v/>
      </c>
      <c r="T1327" s="82" t="n"/>
      <c r="U1327" s="47">
        <f>IF(OR($M1327="",$T1327=""),"",$T1327+(U$2*$M1327))</f>
        <v/>
      </c>
      <c r="V1327" s="48">
        <f>IF(OR($M1327="",$T1327=""),"",$T1327+(V$2*$M1327))</f>
        <v/>
      </c>
      <c r="W1327" s="48">
        <f>IF(OR($M1327="",$T1327=""),"",$T1327+(W$2*$M1327))</f>
        <v/>
      </c>
      <c r="X1327" s="49">
        <f>IF(OR($M1327="",$T1327=""),"",$T1327+(X$2*$M1327))</f>
        <v/>
      </c>
      <c r="Y1327" s="47">
        <f>IF(OR($M1327="",$T1327=""),"",$T1327+(Y$2*$M1327))</f>
        <v/>
      </c>
      <c r="Z1327" s="49">
        <f>IF(OR($M1327="",$T1327=""),"",$T1327+(Z$2*$M1327))</f>
        <v/>
      </c>
      <c r="AA1327" s="51">
        <f>IF(OR($M1327="",$T1327=""),"",$T1327+(AA$2*$M1327))</f>
        <v/>
      </c>
      <c r="AB1327" s="48">
        <f>IF(OR($M1327="",$T1327=""),"",$T1327+(AB$2*$M1327))</f>
        <v/>
      </c>
      <c r="AC1327" s="48">
        <f>IF(OR($M1327="",$T1327=""),"",$T1327+(AC$2*$M1327))</f>
        <v/>
      </c>
      <c r="AD1327" s="48">
        <f>IF(OR($M1327="",$T1327=""),"",$T1327+(AD$2*$M1327))</f>
        <v/>
      </c>
      <c r="AE1327" s="49">
        <f>IF(OR($M1327="",$T1327=""),"",$T1327+(AE$2*$M1327))</f>
        <v/>
      </c>
      <c r="AF1327" s="52">
        <f>IF(OR(T1327="",I1327&lt;T1327),"",IFERROR(AVERAGE(T1327+M1327*{7,8,9,10,11})/IF(G1327="",I1327,G1327)-1,""))</f>
        <v/>
      </c>
      <c r="AG1327" s="55">
        <f>IF(OR(T1327="",I1327&lt;T1327),"",IFERROR(AF1327/-(R1327/IF(G1327="",I1327,G1327)-1),""))</f>
        <v/>
      </c>
      <c r="AH1327" s="94" t="n"/>
      <c r="AI1327" s="94" t="n"/>
      <c r="AJ1327" s="94" t="n"/>
      <c r="AK1327" s="94" t="n"/>
      <c r="AL1327" s="84" t="n"/>
    </row>
    <row r="1328">
      <c r="A1328" s="64" t="n"/>
      <c r="B1328" s="65" t="n"/>
      <c r="C1328" s="66" t="n"/>
      <c r="D1328" s="67" t="n"/>
      <c r="E1328" s="68" t="n"/>
      <c r="F1328" s="47">
        <f>IF(A1328="","",IF(MIN(H1328,MAX(J1328:K1328))=0,"",MIN(H1328,MAX(J1328:K1328))))</f>
        <v/>
      </c>
      <c r="G1328" s="74" t="n"/>
      <c r="H1328" s="49">
        <f>IF(M1328="","",IFERROR(ROUND(AVERAGE(T1328+M1328*{7,8,9,10,11})/1.21,4),""))</f>
        <v/>
      </c>
      <c r="I1328" s="76" t="n"/>
      <c r="J1328" s="77" t="n"/>
      <c r="K1328" s="74" t="n"/>
      <c r="L1328" s="78" t="n"/>
      <c r="M1328" s="77" t="n"/>
      <c r="N1328" s="53">
        <f>IF(M1328="","",IFERROR(M1328/I1328,""))</f>
        <v/>
      </c>
      <c r="O1328" s="50">
        <f>IF(A1328="","",IFERROR((IF(G1328="",I1328,G1328)-T1328)/M1328,""))</f>
        <v/>
      </c>
      <c r="P1328" s="50">
        <f>IFERROR((I1328/T1328-1)/N1328,"")</f>
        <v/>
      </c>
      <c r="Q1328" s="46">
        <f>IF(OR(T1328="",I1328&lt;T1328),"",IFERROR(R1328/IF(G1328="",I1328,G1328)-1,""))</f>
        <v/>
      </c>
      <c r="R1328" s="48">
        <f>IF($M1328="","",MAX(IF($G1328="",$I1328,$G1328)*(1/1.1),IF($G1328="",$I1328,$G1328)+(R$2*$M1328)))</f>
        <v/>
      </c>
      <c r="S1328" s="49">
        <f>IF($M1328="","",MAX(IF($G1328="",$I1328,$G1328)*(1/1.1),IF($G1328="",$I1328,$G1328)+(S$2*$M1328)))</f>
        <v/>
      </c>
      <c r="T1328" s="82" t="n"/>
      <c r="U1328" s="47">
        <f>IF(OR($M1328="",$T1328=""),"",$T1328+(U$2*$M1328))</f>
        <v/>
      </c>
      <c r="V1328" s="48">
        <f>IF(OR($M1328="",$T1328=""),"",$T1328+(V$2*$M1328))</f>
        <v/>
      </c>
      <c r="W1328" s="48">
        <f>IF(OR($M1328="",$T1328=""),"",$T1328+(W$2*$M1328))</f>
        <v/>
      </c>
      <c r="X1328" s="49">
        <f>IF(OR($M1328="",$T1328=""),"",$T1328+(X$2*$M1328))</f>
        <v/>
      </c>
      <c r="Y1328" s="47">
        <f>IF(OR($M1328="",$T1328=""),"",$T1328+(Y$2*$M1328))</f>
        <v/>
      </c>
      <c r="Z1328" s="49">
        <f>IF(OR($M1328="",$T1328=""),"",$T1328+(Z$2*$M1328))</f>
        <v/>
      </c>
      <c r="AA1328" s="51">
        <f>IF(OR($M1328="",$T1328=""),"",$T1328+(AA$2*$M1328))</f>
        <v/>
      </c>
      <c r="AB1328" s="48">
        <f>IF(OR($M1328="",$T1328=""),"",$T1328+(AB$2*$M1328))</f>
        <v/>
      </c>
      <c r="AC1328" s="48">
        <f>IF(OR($M1328="",$T1328=""),"",$T1328+(AC$2*$M1328))</f>
        <v/>
      </c>
      <c r="AD1328" s="48">
        <f>IF(OR($M1328="",$T1328=""),"",$T1328+(AD$2*$M1328))</f>
        <v/>
      </c>
      <c r="AE1328" s="49">
        <f>IF(OR($M1328="",$T1328=""),"",$T1328+(AE$2*$M1328))</f>
        <v/>
      </c>
      <c r="AF1328" s="52">
        <f>IF(OR(T1328="",I1328&lt;T1328),"",IFERROR(AVERAGE(T1328+M1328*{7,8,9,10,11})/IF(G1328="",I1328,G1328)-1,""))</f>
        <v/>
      </c>
      <c r="AG1328" s="55">
        <f>IF(OR(T1328="",I1328&lt;T1328),"",IFERROR(AF1328/-(R1328/IF(G1328="",I1328,G1328)-1),""))</f>
        <v/>
      </c>
      <c r="AH1328" s="94" t="n"/>
      <c r="AI1328" s="94" t="n"/>
      <c r="AJ1328" s="94" t="n"/>
      <c r="AK1328" s="94" t="n"/>
      <c r="AL1328" s="84" t="n"/>
    </row>
    <row r="1329">
      <c r="A1329" s="64" t="n"/>
      <c r="B1329" s="65" t="n"/>
      <c r="C1329" s="66" t="n"/>
      <c r="D1329" s="67" t="n"/>
      <c r="E1329" s="68" t="n"/>
      <c r="F1329" s="47">
        <f>IF(A1329="","",IF(MIN(H1329,MAX(J1329:K1329))=0,"",MIN(H1329,MAX(J1329:K1329))))</f>
        <v/>
      </c>
      <c r="G1329" s="74" t="n"/>
      <c r="H1329" s="49">
        <f>IF(M1329="","",IFERROR(ROUND(AVERAGE(T1329+M1329*{7,8,9,10,11})/1.21,4),""))</f>
        <v/>
      </c>
      <c r="I1329" s="76" t="n"/>
      <c r="J1329" s="77" t="n"/>
      <c r="K1329" s="74" t="n"/>
      <c r="L1329" s="78" t="n"/>
      <c r="M1329" s="77" t="n"/>
      <c r="N1329" s="53">
        <f>IF(M1329="","",IFERROR(M1329/I1329,""))</f>
        <v/>
      </c>
      <c r="O1329" s="50">
        <f>IF(A1329="","",IFERROR((IF(G1329="",I1329,G1329)-T1329)/M1329,""))</f>
        <v/>
      </c>
      <c r="P1329" s="50">
        <f>IFERROR((I1329/T1329-1)/N1329,"")</f>
        <v/>
      </c>
      <c r="Q1329" s="46">
        <f>IF(OR(T1329="",I1329&lt;T1329),"",IFERROR(R1329/IF(G1329="",I1329,G1329)-1,""))</f>
        <v/>
      </c>
      <c r="R1329" s="48">
        <f>IF($M1329="","",MAX(IF($G1329="",$I1329,$G1329)*(1/1.1),IF($G1329="",$I1329,$G1329)+(R$2*$M1329)))</f>
        <v/>
      </c>
      <c r="S1329" s="49">
        <f>IF($M1329="","",MAX(IF($G1329="",$I1329,$G1329)*(1/1.1),IF($G1329="",$I1329,$G1329)+(S$2*$M1329)))</f>
        <v/>
      </c>
      <c r="T1329" s="82" t="n"/>
      <c r="U1329" s="47">
        <f>IF(OR($M1329="",$T1329=""),"",$T1329+(U$2*$M1329))</f>
        <v/>
      </c>
      <c r="V1329" s="48">
        <f>IF(OR($M1329="",$T1329=""),"",$T1329+(V$2*$M1329))</f>
        <v/>
      </c>
      <c r="W1329" s="48">
        <f>IF(OR($M1329="",$T1329=""),"",$T1329+(W$2*$M1329))</f>
        <v/>
      </c>
      <c r="X1329" s="49">
        <f>IF(OR($M1329="",$T1329=""),"",$T1329+(X$2*$M1329))</f>
        <v/>
      </c>
      <c r="Y1329" s="47">
        <f>IF(OR($M1329="",$T1329=""),"",$T1329+(Y$2*$M1329))</f>
        <v/>
      </c>
      <c r="Z1329" s="49">
        <f>IF(OR($M1329="",$T1329=""),"",$T1329+(Z$2*$M1329))</f>
        <v/>
      </c>
      <c r="AA1329" s="51">
        <f>IF(OR($M1329="",$T1329=""),"",$T1329+(AA$2*$M1329))</f>
        <v/>
      </c>
      <c r="AB1329" s="48">
        <f>IF(OR($M1329="",$T1329=""),"",$T1329+(AB$2*$M1329))</f>
        <v/>
      </c>
      <c r="AC1329" s="48">
        <f>IF(OR($M1329="",$T1329=""),"",$T1329+(AC$2*$M1329))</f>
        <v/>
      </c>
      <c r="AD1329" s="48">
        <f>IF(OR($M1329="",$T1329=""),"",$T1329+(AD$2*$M1329))</f>
        <v/>
      </c>
      <c r="AE1329" s="49">
        <f>IF(OR($M1329="",$T1329=""),"",$T1329+(AE$2*$M1329))</f>
        <v/>
      </c>
      <c r="AF1329" s="52">
        <f>IF(OR(T1329="",I1329&lt;T1329),"",IFERROR(AVERAGE(T1329+M1329*{7,8,9,10,11})/IF(G1329="",I1329,G1329)-1,""))</f>
        <v/>
      </c>
      <c r="AG1329" s="55">
        <f>IF(OR(T1329="",I1329&lt;T1329),"",IFERROR(AF1329/-(R1329/IF(G1329="",I1329,G1329)-1),""))</f>
        <v/>
      </c>
      <c r="AH1329" s="94" t="n"/>
      <c r="AI1329" s="94" t="n"/>
      <c r="AJ1329" s="94" t="n"/>
      <c r="AK1329" s="94" t="n"/>
      <c r="AL1329" s="84" t="n"/>
    </row>
    <row r="1330">
      <c r="A1330" s="64" t="n"/>
      <c r="B1330" s="65" t="n"/>
      <c r="C1330" s="66" t="n"/>
      <c r="D1330" s="67" t="n"/>
      <c r="E1330" s="68" t="n"/>
      <c r="F1330" s="47">
        <f>IF(A1330="","",IF(MIN(H1330,MAX(J1330:K1330))=0,"",MIN(H1330,MAX(J1330:K1330))))</f>
        <v/>
      </c>
      <c r="G1330" s="74" t="n"/>
      <c r="H1330" s="49">
        <f>IF(M1330="","",IFERROR(ROUND(AVERAGE(T1330+M1330*{7,8,9,10,11})/1.21,4),""))</f>
        <v/>
      </c>
      <c r="I1330" s="76" t="n"/>
      <c r="J1330" s="77" t="n"/>
      <c r="K1330" s="74" t="n"/>
      <c r="L1330" s="78" t="n"/>
      <c r="M1330" s="77" t="n"/>
      <c r="N1330" s="53">
        <f>IF(M1330="","",IFERROR(M1330/I1330,""))</f>
        <v/>
      </c>
      <c r="O1330" s="50">
        <f>IF(A1330="","",IFERROR((IF(G1330="",I1330,G1330)-T1330)/M1330,""))</f>
        <v/>
      </c>
      <c r="P1330" s="50">
        <f>IFERROR((I1330/T1330-1)/N1330,"")</f>
        <v/>
      </c>
      <c r="Q1330" s="46">
        <f>IF(OR(T1330="",I1330&lt;T1330),"",IFERROR(R1330/IF(G1330="",I1330,G1330)-1,""))</f>
        <v/>
      </c>
      <c r="R1330" s="48">
        <f>IF($M1330="","",MAX(IF($G1330="",$I1330,$G1330)*(1/1.1),IF($G1330="",$I1330,$G1330)+(R$2*$M1330)))</f>
        <v/>
      </c>
      <c r="S1330" s="49">
        <f>IF($M1330="","",MAX(IF($G1330="",$I1330,$G1330)*(1/1.1),IF($G1330="",$I1330,$G1330)+(S$2*$M1330)))</f>
        <v/>
      </c>
      <c r="T1330" s="82" t="n"/>
      <c r="U1330" s="47">
        <f>IF(OR($M1330="",$T1330=""),"",$T1330+(U$2*$M1330))</f>
        <v/>
      </c>
      <c r="V1330" s="48">
        <f>IF(OR($M1330="",$T1330=""),"",$T1330+(V$2*$M1330))</f>
        <v/>
      </c>
      <c r="W1330" s="48">
        <f>IF(OR($M1330="",$T1330=""),"",$T1330+(W$2*$M1330))</f>
        <v/>
      </c>
      <c r="X1330" s="49">
        <f>IF(OR($M1330="",$T1330=""),"",$T1330+(X$2*$M1330))</f>
        <v/>
      </c>
      <c r="Y1330" s="47">
        <f>IF(OR($M1330="",$T1330=""),"",$T1330+(Y$2*$M1330))</f>
        <v/>
      </c>
      <c r="Z1330" s="49">
        <f>IF(OR($M1330="",$T1330=""),"",$T1330+(Z$2*$M1330))</f>
        <v/>
      </c>
      <c r="AA1330" s="51">
        <f>IF(OR($M1330="",$T1330=""),"",$T1330+(AA$2*$M1330))</f>
        <v/>
      </c>
      <c r="AB1330" s="48">
        <f>IF(OR($M1330="",$T1330=""),"",$T1330+(AB$2*$M1330))</f>
        <v/>
      </c>
      <c r="AC1330" s="48">
        <f>IF(OR($M1330="",$T1330=""),"",$T1330+(AC$2*$M1330))</f>
        <v/>
      </c>
      <c r="AD1330" s="48">
        <f>IF(OR($M1330="",$T1330=""),"",$T1330+(AD$2*$M1330))</f>
        <v/>
      </c>
      <c r="AE1330" s="49">
        <f>IF(OR($M1330="",$T1330=""),"",$T1330+(AE$2*$M1330))</f>
        <v/>
      </c>
      <c r="AF1330" s="52">
        <f>IF(OR(T1330="",I1330&lt;T1330),"",IFERROR(AVERAGE(T1330+M1330*{7,8,9,10,11})/IF(G1330="",I1330,G1330)-1,""))</f>
        <v/>
      </c>
      <c r="AG1330" s="55">
        <f>IF(OR(T1330="",I1330&lt;T1330),"",IFERROR(AF1330/-(R1330/IF(G1330="",I1330,G1330)-1),""))</f>
        <v/>
      </c>
      <c r="AH1330" s="94" t="n"/>
      <c r="AI1330" s="94" t="n"/>
      <c r="AJ1330" s="94" t="n"/>
      <c r="AK1330" s="94" t="n"/>
      <c r="AL1330" s="84" t="n"/>
    </row>
    <row r="1331">
      <c r="A1331" s="64" t="n"/>
      <c r="B1331" s="65" t="n"/>
      <c r="C1331" s="66" t="n"/>
      <c r="D1331" s="67" t="n"/>
      <c r="E1331" s="68" t="n"/>
      <c r="F1331" s="47">
        <f>IF(A1331="","",IF(MIN(H1331,MAX(J1331:K1331))=0,"",MIN(H1331,MAX(J1331:K1331))))</f>
        <v/>
      </c>
      <c r="G1331" s="74" t="n"/>
      <c r="H1331" s="49">
        <f>IF(M1331="","",IFERROR(ROUND(AVERAGE(T1331+M1331*{7,8,9,10,11})/1.21,4),""))</f>
        <v/>
      </c>
      <c r="I1331" s="76" t="n"/>
      <c r="J1331" s="77" t="n"/>
      <c r="K1331" s="74" t="n"/>
      <c r="L1331" s="78" t="n"/>
      <c r="M1331" s="77" t="n"/>
      <c r="N1331" s="53">
        <f>IF(M1331="","",IFERROR(M1331/I1331,""))</f>
        <v/>
      </c>
      <c r="O1331" s="50">
        <f>IF(A1331="","",IFERROR((IF(G1331="",I1331,G1331)-T1331)/M1331,""))</f>
        <v/>
      </c>
      <c r="P1331" s="50">
        <f>IFERROR((I1331/T1331-1)/N1331,"")</f>
        <v/>
      </c>
      <c r="Q1331" s="46">
        <f>IF(OR(T1331="",I1331&lt;T1331),"",IFERROR(R1331/IF(G1331="",I1331,G1331)-1,""))</f>
        <v/>
      </c>
      <c r="R1331" s="48">
        <f>IF($M1331="","",MAX(IF($G1331="",$I1331,$G1331)*(1/1.1),IF($G1331="",$I1331,$G1331)+(R$2*$M1331)))</f>
        <v/>
      </c>
      <c r="S1331" s="49">
        <f>IF($M1331="","",MAX(IF($G1331="",$I1331,$G1331)*(1/1.1),IF($G1331="",$I1331,$G1331)+(S$2*$M1331)))</f>
        <v/>
      </c>
      <c r="T1331" s="82" t="n"/>
      <c r="U1331" s="47">
        <f>IF(OR($M1331="",$T1331=""),"",$T1331+(U$2*$M1331))</f>
        <v/>
      </c>
      <c r="V1331" s="48">
        <f>IF(OR($M1331="",$T1331=""),"",$T1331+(V$2*$M1331))</f>
        <v/>
      </c>
      <c r="W1331" s="48">
        <f>IF(OR($M1331="",$T1331=""),"",$T1331+(W$2*$M1331))</f>
        <v/>
      </c>
      <c r="X1331" s="49">
        <f>IF(OR($M1331="",$T1331=""),"",$T1331+(X$2*$M1331))</f>
        <v/>
      </c>
      <c r="Y1331" s="47">
        <f>IF(OR($M1331="",$T1331=""),"",$T1331+(Y$2*$M1331))</f>
        <v/>
      </c>
      <c r="Z1331" s="49">
        <f>IF(OR($M1331="",$T1331=""),"",$T1331+(Z$2*$M1331))</f>
        <v/>
      </c>
      <c r="AA1331" s="51">
        <f>IF(OR($M1331="",$T1331=""),"",$T1331+(AA$2*$M1331))</f>
        <v/>
      </c>
      <c r="AB1331" s="48">
        <f>IF(OR($M1331="",$T1331=""),"",$T1331+(AB$2*$M1331))</f>
        <v/>
      </c>
      <c r="AC1331" s="48">
        <f>IF(OR($M1331="",$T1331=""),"",$T1331+(AC$2*$M1331))</f>
        <v/>
      </c>
      <c r="AD1331" s="48">
        <f>IF(OR($M1331="",$T1331=""),"",$T1331+(AD$2*$M1331))</f>
        <v/>
      </c>
      <c r="AE1331" s="49">
        <f>IF(OR($M1331="",$T1331=""),"",$T1331+(AE$2*$M1331))</f>
        <v/>
      </c>
      <c r="AF1331" s="52">
        <f>IF(OR(T1331="",I1331&lt;T1331),"",IFERROR(AVERAGE(T1331+M1331*{7,8,9,10,11})/IF(G1331="",I1331,G1331)-1,""))</f>
        <v/>
      </c>
      <c r="AG1331" s="55">
        <f>IF(OR(T1331="",I1331&lt;T1331),"",IFERROR(AF1331/-(R1331/IF(G1331="",I1331,G1331)-1),""))</f>
        <v/>
      </c>
      <c r="AH1331" s="94" t="n"/>
      <c r="AI1331" s="94" t="n"/>
      <c r="AJ1331" s="94" t="n"/>
      <c r="AK1331" s="94" t="n"/>
      <c r="AL1331" s="84" t="n"/>
    </row>
    <row r="1332">
      <c r="A1332" s="64" t="n"/>
      <c r="B1332" s="65" t="n"/>
      <c r="C1332" s="66" t="n"/>
      <c r="D1332" s="67" t="n"/>
      <c r="E1332" s="68" t="n"/>
      <c r="F1332" s="47">
        <f>IF(A1332="","",IF(MIN(H1332,MAX(J1332:K1332))=0,"",MIN(H1332,MAX(J1332:K1332))))</f>
        <v/>
      </c>
      <c r="G1332" s="74" t="n"/>
      <c r="H1332" s="49">
        <f>IF(M1332="","",IFERROR(ROUND(AVERAGE(T1332+M1332*{7,8,9,10,11})/1.21,4),""))</f>
        <v/>
      </c>
      <c r="I1332" s="76" t="n"/>
      <c r="J1332" s="77" t="n"/>
      <c r="K1332" s="74" t="n"/>
      <c r="L1332" s="78" t="n"/>
      <c r="M1332" s="77" t="n"/>
      <c r="N1332" s="53">
        <f>IF(M1332="","",IFERROR(M1332/I1332,""))</f>
        <v/>
      </c>
      <c r="O1332" s="50">
        <f>IF(A1332="","",IFERROR((IF(G1332="",I1332,G1332)-T1332)/M1332,""))</f>
        <v/>
      </c>
      <c r="P1332" s="50">
        <f>IFERROR((I1332/T1332-1)/N1332,"")</f>
        <v/>
      </c>
      <c r="Q1332" s="46">
        <f>IF(OR(T1332="",I1332&lt;T1332),"",IFERROR(R1332/IF(G1332="",I1332,G1332)-1,""))</f>
        <v/>
      </c>
      <c r="R1332" s="48">
        <f>IF($M1332="","",MAX(IF($G1332="",$I1332,$G1332)*(1/1.1),IF($G1332="",$I1332,$G1332)+(R$2*$M1332)))</f>
        <v/>
      </c>
      <c r="S1332" s="49">
        <f>IF($M1332="","",MAX(IF($G1332="",$I1332,$G1332)*(1/1.1),IF($G1332="",$I1332,$G1332)+(S$2*$M1332)))</f>
        <v/>
      </c>
      <c r="T1332" s="82" t="n"/>
      <c r="U1332" s="47">
        <f>IF(OR($M1332="",$T1332=""),"",$T1332+(U$2*$M1332))</f>
        <v/>
      </c>
      <c r="V1332" s="48">
        <f>IF(OR($M1332="",$T1332=""),"",$T1332+(V$2*$M1332))</f>
        <v/>
      </c>
      <c r="W1332" s="48">
        <f>IF(OR($M1332="",$T1332=""),"",$T1332+(W$2*$M1332))</f>
        <v/>
      </c>
      <c r="X1332" s="49">
        <f>IF(OR($M1332="",$T1332=""),"",$T1332+(X$2*$M1332))</f>
        <v/>
      </c>
      <c r="Y1332" s="47">
        <f>IF(OR($M1332="",$T1332=""),"",$T1332+(Y$2*$M1332))</f>
        <v/>
      </c>
      <c r="Z1332" s="49">
        <f>IF(OR($M1332="",$T1332=""),"",$T1332+(Z$2*$M1332))</f>
        <v/>
      </c>
      <c r="AA1332" s="51">
        <f>IF(OR($M1332="",$T1332=""),"",$T1332+(AA$2*$M1332))</f>
        <v/>
      </c>
      <c r="AB1332" s="48">
        <f>IF(OR($M1332="",$T1332=""),"",$T1332+(AB$2*$M1332))</f>
        <v/>
      </c>
      <c r="AC1332" s="48">
        <f>IF(OR($M1332="",$T1332=""),"",$T1332+(AC$2*$M1332))</f>
        <v/>
      </c>
      <c r="AD1332" s="48">
        <f>IF(OR($M1332="",$T1332=""),"",$T1332+(AD$2*$M1332))</f>
        <v/>
      </c>
      <c r="AE1332" s="49">
        <f>IF(OR($M1332="",$T1332=""),"",$T1332+(AE$2*$M1332))</f>
        <v/>
      </c>
      <c r="AF1332" s="52">
        <f>IF(OR(T1332="",I1332&lt;T1332),"",IFERROR(AVERAGE(T1332+M1332*{7,8,9,10,11})/IF(G1332="",I1332,G1332)-1,""))</f>
        <v/>
      </c>
      <c r="AG1332" s="55">
        <f>IF(OR(T1332="",I1332&lt;T1332),"",IFERROR(AF1332/-(R1332/IF(G1332="",I1332,G1332)-1),""))</f>
        <v/>
      </c>
      <c r="AH1332" s="94" t="n"/>
      <c r="AI1332" s="94" t="n"/>
      <c r="AJ1332" s="94" t="n"/>
      <c r="AK1332" s="94" t="n"/>
      <c r="AL1332" s="84" t="n"/>
    </row>
    <row r="1333">
      <c r="A1333" s="64" t="n"/>
      <c r="B1333" s="65" t="n"/>
      <c r="C1333" s="66" t="n"/>
      <c r="D1333" s="67" t="n"/>
      <c r="E1333" s="68" t="n"/>
      <c r="F1333" s="47">
        <f>IF(A1333="","",IF(MIN(H1333,MAX(J1333:K1333))=0,"",MIN(H1333,MAX(J1333:K1333))))</f>
        <v/>
      </c>
      <c r="G1333" s="74" t="n"/>
      <c r="H1333" s="49">
        <f>IF(M1333="","",IFERROR(ROUND(AVERAGE(T1333+M1333*{7,8,9,10,11})/1.21,4),""))</f>
        <v/>
      </c>
      <c r="I1333" s="76" t="n"/>
      <c r="J1333" s="77" t="n"/>
      <c r="K1333" s="74" t="n"/>
      <c r="L1333" s="78" t="n"/>
      <c r="M1333" s="77" t="n"/>
      <c r="N1333" s="53">
        <f>IF(M1333="","",IFERROR(M1333/I1333,""))</f>
        <v/>
      </c>
      <c r="O1333" s="50">
        <f>IF(A1333="","",IFERROR((IF(G1333="",I1333,G1333)-T1333)/M1333,""))</f>
        <v/>
      </c>
      <c r="P1333" s="50">
        <f>IFERROR((I1333/T1333-1)/N1333,"")</f>
        <v/>
      </c>
      <c r="Q1333" s="46">
        <f>IF(OR(T1333="",I1333&lt;T1333),"",IFERROR(R1333/IF(G1333="",I1333,G1333)-1,""))</f>
        <v/>
      </c>
      <c r="R1333" s="48">
        <f>IF($M1333="","",MAX(IF($G1333="",$I1333,$G1333)*(1/1.1),IF($G1333="",$I1333,$G1333)+(R$2*$M1333)))</f>
        <v/>
      </c>
      <c r="S1333" s="49">
        <f>IF($M1333="","",MAX(IF($G1333="",$I1333,$G1333)*(1/1.1),IF($G1333="",$I1333,$G1333)+(S$2*$M1333)))</f>
        <v/>
      </c>
      <c r="T1333" s="82" t="n"/>
      <c r="U1333" s="47">
        <f>IF(OR($M1333="",$T1333=""),"",$T1333+(U$2*$M1333))</f>
        <v/>
      </c>
      <c r="V1333" s="48">
        <f>IF(OR($M1333="",$T1333=""),"",$T1333+(V$2*$M1333))</f>
        <v/>
      </c>
      <c r="W1333" s="48">
        <f>IF(OR($M1333="",$T1333=""),"",$T1333+(W$2*$M1333))</f>
        <v/>
      </c>
      <c r="X1333" s="49">
        <f>IF(OR($M1333="",$T1333=""),"",$T1333+(X$2*$M1333))</f>
        <v/>
      </c>
      <c r="Y1333" s="47">
        <f>IF(OR($M1333="",$T1333=""),"",$T1333+(Y$2*$M1333))</f>
        <v/>
      </c>
      <c r="Z1333" s="49">
        <f>IF(OR($M1333="",$T1333=""),"",$T1333+(Z$2*$M1333))</f>
        <v/>
      </c>
      <c r="AA1333" s="51">
        <f>IF(OR($M1333="",$T1333=""),"",$T1333+(AA$2*$M1333))</f>
        <v/>
      </c>
      <c r="AB1333" s="48">
        <f>IF(OR($M1333="",$T1333=""),"",$T1333+(AB$2*$M1333))</f>
        <v/>
      </c>
      <c r="AC1333" s="48">
        <f>IF(OR($M1333="",$T1333=""),"",$T1333+(AC$2*$M1333))</f>
        <v/>
      </c>
      <c r="AD1333" s="48">
        <f>IF(OR($M1333="",$T1333=""),"",$T1333+(AD$2*$M1333))</f>
        <v/>
      </c>
      <c r="AE1333" s="49">
        <f>IF(OR($M1333="",$T1333=""),"",$T1333+(AE$2*$M1333))</f>
        <v/>
      </c>
      <c r="AF1333" s="52">
        <f>IF(OR(T1333="",I1333&lt;T1333),"",IFERROR(AVERAGE(T1333+M1333*{7,8,9,10,11})/IF(G1333="",I1333,G1333)-1,""))</f>
        <v/>
      </c>
      <c r="AG1333" s="55">
        <f>IF(OR(T1333="",I1333&lt;T1333),"",IFERROR(AF1333/-(R1333/IF(G1333="",I1333,G1333)-1),""))</f>
        <v/>
      </c>
      <c r="AH1333" s="94" t="n"/>
      <c r="AI1333" s="94" t="n"/>
      <c r="AJ1333" s="94" t="n"/>
      <c r="AK1333" s="94" t="n"/>
      <c r="AL1333" s="84" t="n"/>
    </row>
    <row r="1334">
      <c r="A1334" s="64" t="n"/>
      <c r="B1334" s="65" t="n"/>
      <c r="C1334" s="66" t="n"/>
      <c r="D1334" s="67" t="n"/>
      <c r="E1334" s="68" t="n"/>
      <c r="F1334" s="47">
        <f>IF(A1334="","",IF(MIN(H1334,MAX(J1334:K1334))=0,"",MIN(H1334,MAX(J1334:K1334))))</f>
        <v/>
      </c>
      <c r="G1334" s="74" t="n"/>
      <c r="H1334" s="49">
        <f>IF(M1334="","",IFERROR(ROUND(AVERAGE(T1334+M1334*{7,8,9,10,11})/1.21,4),""))</f>
        <v/>
      </c>
      <c r="I1334" s="76" t="n"/>
      <c r="J1334" s="77" t="n"/>
      <c r="K1334" s="74" t="n"/>
      <c r="L1334" s="78" t="n"/>
      <c r="M1334" s="77" t="n"/>
      <c r="N1334" s="53">
        <f>IF(M1334="","",IFERROR(M1334/I1334,""))</f>
        <v/>
      </c>
      <c r="O1334" s="50">
        <f>IF(A1334="","",IFERROR((IF(G1334="",I1334,G1334)-T1334)/M1334,""))</f>
        <v/>
      </c>
      <c r="P1334" s="50">
        <f>IFERROR((I1334/T1334-1)/N1334,"")</f>
        <v/>
      </c>
      <c r="Q1334" s="46">
        <f>IF(OR(T1334="",I1334&lt;T1334),"",IFERROR(R1334/IF(G1334="",I1334,G1334)-1,""))</f>
        <v/>
      </c>
      <c r="R1334" s="48">
        <f>IF($M1334="","",MAX(IF($G1334="",$I1334,$G1334)*(1/1.1),IF($G1334="",$I1334,$G1334)+(R$2*$M1334)))</f>
        <v/>
      </c>
      <c r="S1334" s="49">
        <f>IF($M1334="","",MAX(IF($G1334="",$I1334,$G1334)*(1/1.1),IF($G1334="",$I1334,$G1334)+(S$2*$M1334)))</f>
        <v/>
      </c>
      <c r="T1334" s="82" t="n"/>
      <c r="U1334" s="47">
        <f>IF(OR($M1334="",$T1334=""),"",$T1334+(U$2*$M1334))</f>
        <v/>
      </c>
      <c r="V1334" s="48">
        <f>IF(OR($M1334="",$T1334=""),"",$T1334+(V$2*$M1334))</f>
        <v/>
      </c>
      <c r="W1334" s="48">
        <f>IF(OR($M1334="",$T1334=""),"",$T1334+(W$2*$M1334))</f>
        <v/>
      </c>
      <c r="X1334" s="49">
        <f>IF(OR($M1334="",$T1334=""),"",$T1334+(X$2*$M1334))</f>
        <v/>
      </c>
      <c r="Y1334" s="47">
        <f>IF(OR($M1334="",$T1334=""),"",$T1334+(Y$2*$M1334))</f>
        <v/>
      </c>
      <c r="Z1334" s="49">
        <f>IF(OR($M1334="",$T1334=""),"",$T1334+(Z$2*$M1334))</f>
        <v/>
      </c>
      <c r="AA1334" s="51">
        <f>IF(OR($M1334="",$T1334=""),"",$T1334+(AA$2*$M1334))</f>
        <v/>
      </c>
      <c r="AB1334" s="48">
        <f>IF(OR($M1334="",$T1334=""),"",$T1334+(AB$2*$M1334))</f>
        <v/>
      </c>
      <c r="AC1334" s="48">
        <f>IF(OR($M1334="",$T1334=""),"",$T1334+(AC$2*$M1334))</f>
        <v/>
      </c>
      <c r="AD1334" s="48">
        <f>IF(OR($M1334="",$T1334=""),"",$T1334+(AD$2*$M1334))</f>
        <v/>
      </c>
      <c r="AE1334" s="49">
        <f>IF(OR($M1334="",$T1334=""),"",$T1334+(AE$2*$M1334))</f>
        <v/>
      </c>
      <c r="AF1334" s="52">
        <f>IF(OR(T1334="",I1334&lt;T1334),"",IFERROR(AVERAGE(T1334+M1334*{7,8,9,10,11})/IF(G1334="",I1334,G1334)-1,""))</f>
        <v/>
      </c>
      <c r="AG1334" s="55">
        <f>IF(OR(T1334="",I1334&lt;T1334),"",IFERROR(AF1334/-(R1334/IF(G1334="",I1334,G1334)-1),""))</f>
        <v/>
      </c>
      <c r="AH1334" s="94" t="n"/>
      <c r="AI1334" s="94" t="n"/>
      <c r="AJ1334" s="94" t="n"/>
      <c r="AK1334" s="94" t="n"/>
      <c r="AL1334" s="84" t="n"/>
    </row>
    <row r="1335">
      <c r="A1335" s="64" t="n"/>
      <c r="B1335" s="65" t="n"/>
      <c r="C1335" s="66" t="n"/>
      <c r="D1335" s="67" t="n"/>
      <c r="E1335" s="68" t="n"/>
      <c r="F1335" s="47">
        <f>IF(A1335="","",IF(MIN(H1335,MAX(J1335:K1335))=0,"",MIN(H1335,MAX(J1335:K1335))))</f>
        <v/>
      </c>
      <c r="G1335" s="74" t="n"/>
      <c r="H1335" s="49">
        <f>IF(M1335="","",IFERROR(ROUND(AVERAGE(T1335+M1335*{7,8,9,10,11})/1.21,4),""))</f>
        <v/>
      </c>
      <c r="I1335" s="76" t="n"/>
      <c r="J1335" s="77" t="n"/>
      <c r="K1335" s="74" t="n"/>
      <c r="L1335" s="78" t="n"/>
      <c r="M1335" s="77" t="n"/>
      <c r="N1335" s="53">
        <f>IF(M1335="","",IFERROR(M1335/I1335,""))</f>
        <v/>
      </c>
      <c r="O1335" s="50">
        <f>IF(A1335="","",IFERROR((IF(G1335="",I1335,G1335)-T1335)/M1335,""))</f>
        <v/>
      </c>
      <c r="P1335" s="50">
        <f>IFERROR((I1335/T1335-1)/N1335,"")</f>
        <v/>
      </c>
      <c r="Q1335" s="46">
        <f>IF(OR(T1335="",I1335&lt;T1335),"",IFERROR(R1335/IF(G1335="",I1335,G1335)-1,""))</f>
        <v/>
      </c>
      <c r="R1335" s="48">
        <f>IF($M1335="","",MAX(IF($G1335="",$I1335,$G1335)*(1/1.1),IF($G1335="",$I1335,$G1335)+(R$2*$M1335)))</f>
        <v/>
      </c>
      <c r="S1335" s="49">
        <f>IF($M1335="","",MAX(IF($G1335="",$I1335,$G1335)*(1/1.1),IF($G1335="",$I1335,$G1335)+(S$2*$M1335)))</f>
        <v/>
      </c>
      <c r="T1335" s="82" t="n"/>
      <c r="U1335" s="47">
        <f>IF(OR($M1335="",$T1335=""),"",$T1335+(U$2*$M1335))</f>
        <v/>
      </c>
      <c r="V1335" s="48">
        <f>IF(OR($M1335="",$T1335=""),"",$T1335+(V$2*$M1335))</f>
        <v/>
      </c>
      <c r="W1335" s="48">
        <f>IF(OR($M1335="",$T1335=""),"",$T1335+(W$2*$M1335))</f>
        <v/>
      </c>
      <c r="X1335" s="49">
        <f>IF(OR($M1335="",$T1335=""),"",$T1335+(X$2*$M1335))</f>
        <v/>
      </c>
      <c r="Y1335" s="47">
        <f>IF(OR($M1335="",$T1335=""),"",$T1335+(Y$2*$M1335))</f>
        <v/>
      </c>
      <c r="Z1335" s="49">
        <f>IF(OR($M1335="",$T1335=""),"",$T1335+(Z$2*$M1335))</f>
        <v/>
      </c>
      <c r="AA1335" s="51">
        <f>IF(OR($M1335="",$T1335=""),"",$T1335+(AA$2*$M1335))</f>
        <v/>
      </c>
      <c r="AB1335" s="48">
        <f>IF(OR($M1335="",$T1335=""),"",$T1335+(AB$2*$M1335))</f>
        <v/>
      </c>
      <c r="AC1335" s="48">
        <f>IF(OR($M1335="",$T1335=""),"",$T1335+(AC$2*$M1335))</f>
        <v/>
      </c>
      <c r="AD1335" s="48">
        <f>IF(OR($M1335="",$T1335=""),"",$T1335+(AD$2*$M1335))</f>
        <v/>
      </c>
      <c r="AE1335" s="49">
        <f>IF(OR($M1335="",$T1335=""),"",$T1335+(AE$2*$M1335))</f>
        <v/>
      </c>
      <c r="AF1335" s="52">
        <f>IF(OR(T1335="",I1335&lt;T1335),"",IFERROR(AVERAGE(T1335+M1335*{7,8,9,10,11})/IF(G1335="",I1335,G1335)-1,""))</f>
        <v/>
      </c>
      <c r="AG1335" s="55">
        <f>IF(OR(T1335="",I1335&lt;T1335),"",IFERROR(AF1335/-(R1335/IF(G1335="",I1335,G1335)-1),""))</f>
        <v/>
      </c>
      <c r="AH1335" s="94" t="n"/>
      <c r="AI1335" s="94" t="n"/>
      <c r="AJ1335" s="94" t="n"/>
      <c r="AK1335" s="94" t="n"/>
      <c r="AL1335" s="84" t="n"/>
    </row>
    <row r="1336">
      <c r="A1336" s="64" t="n"/>
      <c r="B1336" s="65" t="n"/>
      <c r="C1336" s="66" t="n"/>
      <c r="D1336" s="67" t="n"/>
      <c r="E1336" s="68" t="n"/>
      <c r="F1336" s="47">
        <f>IF(A1336="","",IF(MIN(H1336,MAX(J1336:K1336))=0,"",MIN(H1336,MAX(J1336:K1336))))</f>
        <v/>
      </c>
      <c r="G1336" s="74" t="n"/>
      <c r="H1336" s="49">
        <f>IF(M1336="","",IFERROR(ROUND(AVERAGE(T1336+M1336*{7,8,9,10,11})/1.21,4),""))</f>
        <v/>
      </c>
      <c r="I1336" s="76" t="n"/>
      <c r="J1336" s="77" t="n"/>
      <c r="K1336" s="74" t="n"/>
      <c r="L1336" s="78" t="n"/>
      <c r="M1336" s="77" t="n"/>
      <c r="N1336" s="53">
        <f>IF(M1336="","",IFERROR(M1336/I1336,""))</f>
        <v/>
      </c>
      <c r="O1336" s="50">
        <f>IF(A1336="","",IFERROR((IF(G1336="",I1336,G1336)-T1336)/M1336,""))</f>
        <v/>
      </c>
      <c r="P1336" s="50">
        <f>IFERROR((I1336/T1336-1)/N1336,"")</f>
        <v/>
      </c>
      <c r="Q1336" s="46">
        <f>IF(OR(T1336="",I1336&lt;T1336),"",IFERROR(R1336/IF(G1336="",I1336,G1336)-1,""))</f>
        <v/>
      </c>
      <c r="R1336" s="48">
        <f>IF($M1336="","",MAX(IF($G1336="",$I1336,$G1336)*(1/1.1),IF($G1336="",$I1336,$G1336)+(R$2*$M1336)))</f>
        <v/>
      </c>
      <c r="S1336" s="49">
        <f>IF($M1336="","",MAX(IF($G1336="",$I1336,$G1336)*(1/1.1),IF($G1336="",$I1336,$G1336)+(S$2*$M1336)))</f>
        <v/>
      </c>
      <c r="T1336" s="82" t="n"/>
      <c r="U1336" s="47">
        <f>IF(OR($M1336="",$T1336=""),"",$T1336+(U$2*$M1336))</f>
        <v/>
      </c>
      <c r="V1336" s="48">
        <f>IF(OR($M1336="",$T1336=""),"",$T1336+(V$2*$M1336))</f>
        <v/>
      </c>
      <c r="W1336" s="48">
        <f>IF(OR($M1336="",$T1336=""),"",$T1336+(W$2*$M1336))</f>
        <v/>
      </c>
      <c r="X1336" s="49">
        <f>IF(OR($M1336="",$T1336=""),"",$T1336+(X$2*$M1336))</f>
        <v/>
      </c>
      <c r="Y1336" s="47">
        <f>IF(OR($M1336="",$T1336=""),"",$T1336+(Y$2*$M1336))</f>
        <v/>
      </c>
      <c r="Z1336" s="49">
        <f>IF(OR($M1336="",$T1336=""),"",$T1336+(Z$2*$M1336))</f>
        <v/>
      </c>
      <c r="AA1336" s="51">
        <f>IF(OR($M1336="",$T1336=""),"",$T1336+(AA$2*$M1336))</f>
        <v/>
      </c>
      <c r="AB1336" s="48">
        <f>IF(OR($M1336="",$T1336=""),"",$T1336+(AB$2*$M1336))</f>
        <v/>
      </c>
      <c r="AC1336" s="48">
        <f>IF(OR($M1336="",$T1336=""),"",$T1336+(AC$2*$M1336))</f>
        <v/>
      </c>
      <c r="AD1336" s="48">
        <f>IF(OR($M1336="",$T1336=""),"",$T1336+(AD$2*$M1336))</f>
        <v/>
      </c>
      <c r="AE1336" s="49">
        <f>IF(OR($M1336="",$T1336=""),"",$T1336+(AE$2*$M1336))</f>
        <v/>
      </c>
      <c r="AF1336" s="52">
        <f>IF(OR(T1336="",I1336&lt;T1336),"",IFERROR(AVERAGE(T1336+M1336*{7,8,9,10,11})/IF(G1336="",I1336,G1336)-1,""))</f>
        <v/>
      </c>
      <c r="AG1336" s="55">
        <f>IF(OR(T1336="",I1336&lt;T1336),"",IFERROR(AF1336/-(R1336/IF(G1336="",I1336,G1336)-1),""))</f>
        <v/>
      </c>
      <c r="AH1336" s="94" t="n"/>
      <c r="AI1336" s="94" t="n"/>
      <c r="AJ1336" s="94" t="n"/>
      <c r="AK1336" s="94" t="n"/>
      <c r="AL1336" s="84" t="n"/>
    </row>
    <row r="1337">
      <c r="A1337" s="64" t="n"/>
      <c r="B1337" s="65" t="n"/>
      <c r="C1337" s="66" t="n"/>
      <c r="D1337" s="67" t="n"/>
      <c r="E1337" s="68" t="n"/>
      <c r="F1337" s="47">
        <f>IF(A1337="","",IF(MIN(H1337,MAX(J1337:K1337))=0,"",MIN(H1337,MAX(J1337:K1337))))</f>
        <v/>
      </c>
      <c r="G1337" s="74" t="n"/>
      <c r="H1337" s="49">
        <f>IF(M1337="","",IFERROR(ROUND(AVERAGE(T1337+M1337*{7,8,9,10,11})/1.21,4),""))</f>
        <v/>
      </c>
      <c r="I1337" s="76" t="n"/>
      <c r="J1337" s="77" t="n"/>
      <c r="K1337" s="74" t="n"/>
      <c r="L1337" s="78" t="n"/>
      <c r="M1337" s="77" t="n"/>
      <c r="N1337" s="53">
        <f>IF(M1337="","",IFERROR(M1337/I1337,""))</f>
        <v/>
      </c>
      <c r="O1337" s="50">
        <f>IF(A1337="","",IFERROR((IF(G1337="",I1337,G1337)-T1337)/M1337,""))</f>
        <v/>
      </c>
      <c r="P1337" s="50">
        <f>IFERROR((I1337/T1337-1)/N1337,"")</f>
        <v/>
      </c>
      <c r="Q1337" s="46">
        <f>IF(OR(T1337="",I1337&lt;T1337),"",IFERROR(R1337/IF(G1337="",I1337,G1337)-1,""))</f>
        <v/>
      </c>
      <c r="R1337" s="48">
        <f>IF($M1337="","",MAX(IF($G1337="",$I1337,$G1337)*(1/1.1),IF($G1337="",$I1337,$G1337)+(R$2*$M1337)))</f>
        <v/>
      </c>
      <c r="S1337" s="49">
        <f>IF($M1337="","",MAX(IF($G1337="",$I1337,$G1337)*(1/1.1),IF($G1337="",$I1337,$G1337)+(S$2*$M1337)))</f>
        <v/>
      </c>
      <c r="T1337" s="82" t="n"/>
      <c r="U1337" s="47">
        <f>IF(OR($M1337="",$T1337=""),"",$T1337+(U$2*$M1337))</f>
        <v/>
      </c>
      <c r="V1337" s="48">
        <f>IF(OR($M1337="",$T1337=""),"",$T1337+(V$2*$M1337))</f>
        <v/>
      </c>
      <c r="W1337" s="48">
        <f>IF(OR($M1337="",$T1337=""),"",$T1337+(W$2*$M1337))</f>
        <v/>
      </c>
      <c r="X1337" s="49">
        <f>IF(OR($M1337="",$T1337=""),"",$T1337+(X$2*$M1337))</f>
        <v/>
      </c>
      <c r="Y1337" s="47">
        <f>IF(OR($M1337="",$T1337=""),"",$T1337+(Y$2*$M1337))</f>
        <v/>
      </c>
      <c r="Z1337" s="49">
        <f>IF(OR($M1337="",$T1337=""),"",$T1337+(Z$2*$M1337))</f>
        <v/>
      </c>
      <c r="AA1337" s="51">
        <f>IF(OR($M1337="",$T1337=""),"",$T1337+(AA$2*$M1337))</f>
        <v/>
      </c>
      <c r="AB1337" s="48">
        <f>IF(OR($M1337="",$T1337=""),"",$T1337+(AB$2*$M1337))</f>
        <v/>
      </c>
      <c r="AC1337" s="48">
        <f>IF(OR($M1337="",$T1337=""),"",$T1337+(AC$2*$M1337))</f>
        <v/>
      </c>
      <c r="AD1337" s="48">
        <f>IF(OR($M1337="",$T1337=""),"",$T1337+(AD$2*$M1337))</f>
        <v/>
      </c>
      <c r="AE1337" s="49">
        <f>IF(OR($M1337="",$T1337=""),"",$T1337+(AE$2*$M1337))</f>
        <v/>
      </c>
      <c r="AF1337" s="52">
        <f>IF(OR(T1337="",I1337&lt;T1337),"",IFERROR(AVERAGE(T1337+M1337*{7,8,9,10,11})/IF(G1337="",I1337,G1337)-1,""))</f>
        <v/>
      </c>
      <c r="AG1337" s="55">
        <f>IF(OR(T1337="",I1337&lt;T1337),"",IFERROR(AF1337/-(R1337/IF(G1337="",I1337,G1337)-1),""))</f>
        <v/>
      </c>
      <c r="AH1337" s="94" t="n"/>
      <c r="AI1337" s="94" t="n"/>
      <c r="AJ1337" s="94" t="n"/>
      <c r="AK1337" s="94" t="n"/>
      <c r="AL1337" s="84" t="n"/>
    </row>
    <row r="1338">
      <c r="A1338" s="64" t="n"/>
      <c r="B1338" s="65" t="n"/>
      <c r="C1338" s="66" t="n"/>
      <c r="D1338" s="67" t="n"/>
      <c r="E1338" s="68" t="n"/>
      <c r="F1338" s="47">
        <f>IF(A1338="","",IF(MIN(H1338,MAX(J1338:K1338))=0,"",MIN(H1338,MAX(J1338:K1338))))</f>
        <v/>
      </c>
      <c r="G1338" s="74" t="n"/>
      <c r="H1338" s="49">
        <f>IF(M1338="","",IFERROR(ROUND(AVERAGE(T1338+M1338*{7,8,9,10,11})/1.21,4),""))</f>
        <v/>
      </c>
      <c r="I1338" s="76" t="n"/>
      <c r="J1338" s="77" t="n"/>
      <c r="K1338" s="74" t="n"/>
      <c r="L1338" s="78" t="n"/>
      <c r="M1338" s="77" t="n"/>
      <c r="N1338" s="53">
        <f>IF(M1338="","",IFERROR(M1338/I1338,""))</f>
        <v/>
      </c>
      <c r="O1338" s="50">
        <f>IF(A1338="","",IFERROR((IF(G1338="",I1338,G1338)-T1338)/M1338,""))</f>
        <v/>
      </c>
      <c r="P1338" s="50">
        <f>IFERROR((I1338/T1338-1)/N1338,"")</f>
        <v/>
      </c>
      <c r="Q1338" s="46">
        <f>IF(OR(T1338="",I1338&lt;T1338),"",IFERROR(R1338/IF(G1338="",I1338,G1338)-1,""))</f>
        <v/>
      </c>
      <c r="R1338" s="48">
        <f>IF($M1338="","",MAX(IF($G1338="",$I1338,$G1338)*(1/1.1),IF($G1338="",$I1338,$G1338)+(R$2*$M1338)))</f>
        <v/>
      </c>
      <c r="S1338" s="49">
        <f>IF($M1338="","",MAX(IF($G1338="",$I1338,$G1338)*(1/1.1),IF($G1338="",$I1338,$G1338)+(S$2*$M1338)))</f>
        <v/>
      </c>
      <c r="T1338" s="82" t="n"/>
      <c r="U1338" s="47">
        <f>IF(OR($M1338="",$T1338=""),"",$T1338+(U$2*$M1338))</f>
        <v/>
      </c>
      <c r="V1338" s="48">
        <f>IF(OR($M1338="",$T1338=""),"",$T1338+(V$2*$M1338))</f>
        <v/>
      </c>
      <c r="W1338" s="48">
        <f>IF(OR($M1338="",$T1338=""),"",$T1338+(W$2*$M1338))</f>
        <v/>
      </c>
      <c r="X1338" s="49">
        <f>IF(OR($M1338="",$T1338=""),"",$T1338+(X$2*$M1338))</f>
        <v/>
      </c>
      <c r="Y1338" s="47">
        <f>IF(OR($M1338="",$T1338=""),"",$T1338+(Y$2*$M1338))</f>
        <v/>
      </c>
      <c r="Z1338" s="49">
        <f>IF(OR($M1338="",$T1338=""),"",$T1338+(Z$2*$M1338))</f>
        <v/>
      </c>
      <c r="AA1338" s="51">
        <f>IF(OR($M1338="",$T1338=""),"",$T1338+(AA$2*$M1338))</f>
        <v/>
      </c>
      <c r="AB1338" s="48">
        <f>IF(OR($M1338="",$T1338=""),"",$T1338+(AB$2*$M1338))</f>
        <v/>
      </c>
      <c r="AC1338" s="48">
        <f>IF(OR($M1338="",$T1338=""),"",$T1338+(AC$2*$M1338))</f>
        <v/>
      </c>
      <c r="AD1338" s="48">
        <f>IF(OR($M1338="",$T1338=""),"",$T1338+(AD$2*$M1338))</f>
        <v/>
      </c>
      <c r="AE1338" s="49">
        <f>IF(OR($M1338="",$T1338=""),"",$T1338+(AE$2*$M1338))</f>
        <v/>
      </c>
      <c r="AF1338" s="52">
        <f>IF(OR(T1338="",I1338&lt;T1338),"",IFERROR(AVERAGE(T1338+M1338*{7,8,9,10,11})/IF(G1338="",I1338,G1338)-1,""))</f>
        <v/>
      </c>
      <c r="AG1338" s="55">
        <f>IF(OR(T1338="",I1338&lt;T1338),"",IFERROR(AF1338/-(R1338/IF(G1338="",I1338,G1338)-1),""))</f>
        <v/>
      </c>
      <c r="AH1338" s="94" t="n"/>
      <c r="AI1338" s="94" t="n"/>
      <c r="AJ1338" s="94" t="n"/>
      <c r="AK1338" s="94" t="n"/>
      <c r="AL1338" s="84" t="n"/>
    </row>
    <row r="1339">
      <c r="A1339" s="64" t="n"/>
      <c r="B1339" s="65" t="n"/>
      <c r="C1339" s="66" t="n"/>
      <c r="D1339" s="67" t="n"/>
      <c r="E1339" s="68" t="n"/>
      <c r="F1339" s="47">
        <f>IF(A1339="","",IF(MIN(H1339,MAX(J1339:K1339))=0,"",MIN(H1339,MAX(J1339:K1339))))</f>
        <v/>
      </c>
      <c r="G1339" s="74" t="n"/>
      <c r="H1339" s="49">
        <f>IF(M1339="","",IFERROR(ROUND(AVERAGE(T1339+M1339*{7,8,9,10,11})/1.21,4),""))</f>
        <v/>
      </c>
      <c r="I1339" s="76" t="n"/>
      <c r="J1339" s="77" t="n"/>
      <c r="K1339" s="74" t="n"/>
      <c r="L1339" s="78" t="n"/>
      <c r="M1339" s="77" t="n"/>
      <c r="N1339" s="53">
        <f>IF(M1339="","",IFERROR(M1339/I1339,""))</f>
        <v/>
      </c>
      <c r="O1339" s="50">
        <f>IF(A1339="","",IFERROR((IF(G1339="",I1339,G1339)-T1339)/M1339,""))</f>
        <v/>
      </c>
      <c r="P1339" s="50">
        <f>IFERROR((I1339/T1339-1)/N1339,"")</f>
        <v/>
      </c>
      <c r="Q1339" s="46">
        <f>IF(OR(T1339="",I1339&lt;T1339),"",IFERROR(R1339/IF(G1339="",I1339,G1339)-1,""))</f>
        <v/>
      </c>
      <c r="R1339" s="48">
        <f>IF($M1339="","",MAX(IF($G1339="",$I1339,$G1339)*(1/1.1),IF($G1339="",$I1339,$G1339)+(R$2*$M1339)))</f>
        <v/>
      </c>
      <c r="S1339" s="49">
        <f>IF($M1339="","",MAX(IF($G1339="",$I1339,$G1339)*(1/1.1),IF($G1339="",$I1339,$G1339)+(S$2*$M1339)))</f>
        <v/>
      </c>
      <c r="T1339" s="82" t="n"/>
      <c r="U1339" s="47">
        <f>IF(OR($M1339="",$T1339=""),"",$T1339+(U$2*$M1339))</f>
        <v/>
      </c>
      <c r="V1339" s="48">
        <f>IF(OR($M1339="",$T1339=""),"",$T1339+(V$2*$M1339))</f>
        <v/>
      </c>
      <c r="W1339" s="48">
        <f>IF(OR($M1339="",$T1339=""),"",$T1339+(W$2*$M1339))</f>
        <v/>
      </c>
      <c r="X1339" s="49">
        <f>IF(OR($M1339="",$T1339=""),"",$T1339+(X$2*$M1339))</f>
        <v/>
      </c>
      <c r="Y1339" s="47">
        <f>IF(OR($M1339="",$T1339=""),"",$T1339+(Y$2*$M1339))</f>
        <v/>
      </c>
      <c r="Z1339" s="49">
        <f>IF(OR($M1339="",$T1339=""),"",$T1339+(Z$2*$M1339))</f>
        <v/>
      </c>
      <c r="AA1339" s="51">
        <f>IF(OR($M1339="",$T1339=""),"",$T1339+(AA$2*$M1339))</f>
        <v/>
      </c>
      <c r="AB1339" s="48">
        <f>IF(OR($M1339="",$T1339=""),"",$T1339+(AB$2*$M1339))</f>
        <v/>
      </c>
      <c r="AC1339" s="48">
        <f>IF(OR($M1339="",$T1339=""),"",$T1339+(AC$2*$M1339))</f>
        <v/>
      </c>
      <c r="AD1339" s="48">
        <f>IF(OR($M1339="",$T1339=""),"",$T1339+(AD$2*$M1339))</f>
        <v/>
      </c>
      <c r="AE1339" s="49">
        <f>IF(OR($M1339="",$T1339=""),"",$T1339+(AE$2*$M1339))</f>
        <v/>
      </c>
      <c r="AF1339" s="52">
        <f>IF(OR(T1339="",I1339&lt;T1339),"",IFERROR(AVERAGE(T1339+M1339*{7,8,9,10,11})/IF(G1339="",I1339,G1339)-1,""))</f>
        <v/>
      </c>
      <c r="AG1339" s="55">
        <f>IF(OR(T1339="",I1339&lt;T1339),"",IFERROR(AF1339/-(R1339/IF(G1339="",I1339,G1339)-1),""))</f>
        <v/>
      </c>
      <c r="AH1339" s="94" t="n"/>
      <c r="AI1339" s="94" t="n"/>
      <c r="AJ1339" s="94" t="n"/>
      <c r="AK1339" s="94" t="n"/>
      <c r="AL1339" s="84" t="n"/>
    </row>
    <row r="1340">
      <c r="A1340" s="64" t="n"/>
      <c r="B1340" s="65" t="n"/>
      <c r="C1340" s="66" t="n"/>
      <c r="D1340" s="67" t="n"/>
      <c r="E1340" s="68" t="n"/>
      <c r="F1340" s="47">
        <f>IF(A1340="","",IF(MIN(H1340,MAX(J1340:K1340))=0,"",MIN(H1340,MAX(J1340:K1340))))</f>
        <v/>
      </c>
      <c r="G1340" s="74" t="n"/>
      <c r="H1340" s="49">
        <f>IF(M1340="","",IFERROR(ROUND(AVERAGE(T1340+M1340*{7,8,9,10,11})/1.21,4),""))</f>
        <v/>
      </c>
      <c r="I1340" s="76" t="n"/>
      <c r="J1340" s="77" t="n"/>
      <c r="K1340" s="74" t="n"/>
      <c r="L1340" s="78" t="n"/>
      <c r="M1340" s="77" t="n"/>
      <c r="N1340" s="53">
        <f>IF(M1340="","",IFERROR(M1340/I1340,""))</f>
        <v/>
      </c>
      <c r="O1340" s="50">
        <f>IF(A1340="","",IFERROR((IF(G1340="",I1340,G1340)-T1340)/M1340,""))</f>
        <v/>
      </c>
      <c r="P1340" s="50">
        <f>IFERROR((I1340/T1340-1)/N1340,"")</f>
        <v/>
      </c>
      <c r="Q1340" s="46">
        <f>IF(OR(T1340="",I1340&lt;T1340),"",IFERROR(R1340/IF(G1340="",I1340,G1340)-1,""))</f>
        <v/>
      </c>
      <c r="R1340" s="48">
        <f>IF($M1340="","",MAX(IF($G1340="",$I1340,$G1340)*(1/1.1),IF($G1340="",$I1340,$G1340)+(R$2*$M1340)))</f>
        <v/>
      </c>
      <c r="S1340" s="49">
        <f>IF($M1340="","",MAX(IF($G1340="",$I1340,$G1340)*(1/1.1),IF($G1340="",$I1340,$G1340)+(S$2*$M1340)))</f>
        <v/>
      </c>
      <c r="T1340" s="82" t="n"/>
      <c r="U1340" s="47">
        <f>IF(OR($M1340="",$T1340=""),"",$T1340+(U$2*$M1340))</f>
        <v/>
      </c>
      <c r="V1340" s="48">
        <f>IF(OR($M1340="",$T1340=""),"",$T1340+(V$2*$M1340))</f>
        <v/>
      </c>
      <c r="W1340" s="48">
        <f>IF(OR($M1340="",$T1340=""),"",$T1340+(W$2*$M1340))</f>
        <v/>
      </c>
      <c r="X1340" s="49">
        <f>IF(OR($M1340="",$T1340=""),"",$T1340+(X$2*$M1340))</f>
        <v/>
      </c>
      <c r="Y1340" s="47">
        <f>IF(OR($M1340="",$T1340=""),"",$T1340+(Y$2*$M1340))</f>
        <v/>
      </c>
      <c r="Z1340" s="49">
        <f>IF(OR($M1340="",$T1340=""),"",$T1340+(Z$2*$M1340))</f>
        <v/>
      </c>
      <c r="AA1340" s="51">
        <f>IF(OR($M1340="",$T1340=""),"",$T1340+(AA$2*$M1340))</f>
        <v/>
      </c>
      <c r="AB1340" s="48">
        <f>IF(OR($M1340="",$T1340=""),"",$T1340+(AB$2*$M1340))</f>
        <v/>
      </c>
      <c r="AC1340" s="48">
        <f>IF(OR($M1340="",$T1340=""),"",$T1340+(AC$2*$M1340))</f>
        <v/>
      </c>
      <c r="AD1340" s="48">
        <f>IF(OR($M1340="",$T1340=""),"",$T1340+(AD$2*$M1340))</f>
        <v/>
      </c>
      <c r="AE1340" s="49">
        <f>IF(OR($M1340="",$T1340=""),"",$T1340+(AE$2*$M1340))</f>
        <v/>
      </c>
      <c r="AF1340" s="52">
        <f>IF(OR(T1340="",I1340&lt;T1340),"",IFERROR(AVERAGE(T1340+M1340*{7,8,9,10,11})/IF(G1340="",I1340,G1340)-1,""))</f>
        <v/>
      </c>
      <c r="AG1340" s="55">
        <f>IF(OR(T1340="",I1340&lt;T1340),"",IFERROR(AF1340/-(R1340/IF(G1340="",I1340,G1340)-1),""))</f>
        <v/>
      </c>
      <c r="AH1340" s="94" t="n"/>
      <c r="AI1340" s="94" t="n"/>
      <c r="AJ1340" s="94" t="n"/>
      <c r="AK1340" s="94" t="n"/>
      <c r="AL1340" s="84" t="n"/>
    </row>
    <row r="1341">
      <c r="A1341" s="64" t="n"/>
      <c r="B1341" s="65" t="n"/>
      <c r="C1341" s="66" t="n"/>
      <c r="D1341" s="67" t="n"/>
      <c r="E1341" s="68" t="n"/>
      <c r="F1341" s="47">
        <f>IF(A1341="","",IF(MIN(H1341,MAX(J1341:K1341))=0,"",MIN(H1341,MAX(J1341:K1341))))</f>
        <v/>
      </c>
      <c r="G1341" s="74" t="n"/>
      <c r="H1341" s="49">
        <f>IF(M1341="","",IFERROR(ROUND(AVERAGE(T1341+M1341*{7,8,9,10,11})/1.21,4),""))</f>
        <v/>
      </c>
      <c r="I1341" s="76" t="n"/>
      <c r="J1341" s="77" t="n"/>
      <c r="K1341" s="74" t="n"/>
      <c r="L1341" s="78" t="n"/>
      <c r="M1341" s="77" t="n"/>
      <c r="N1341" s="53">
        <f>IF(M1341="","",IFERROR(M1341/I1341,""))</f>
        <v/>
      </c>
      <c r="O1341" s="50">
        <f>IF(A1341="","",IFERROR((IF(G1341="",I1341,G1341)-T1341)/M1341,""))</f>
        <v/>
      </c>
      <c r="P1341" s="50">
        <f>IFERROR((I1341/T1341-1)/N1341,"")</f>
        <v/>
      </c>
      <c r="Q1341" s="46">
        <f>IF(OR(T1341="",I1341&lt;T1341),"",IFERROR(R1341/IF(G1341="",I1341,G1341)-1,""))</f>
        <v/>
      </c>
      <c r="R1341" s="48">
        <f>IF($M1341="","",MAX(IF($G1341="",$I1341,$G1341)*(1/1.1),IF($G1341="",$I1341,$G1341)+(R$2*$M1341)))</f>
        <v/>
      </c>
      <c r="S1341" s="49">
        <f>IF($M1341="","",MAX(IF($G1341="",$I1341,$G1341)*(1/1.1),IF($G1341="",$I1341,$G1341)+(S$2*$M1341)))</f>
        <v/>
      </c>
      <c r="T1341" s="82" t="n"/>
      <c r="U1341" s="47">
        <f>IF(OR($M1341="",$T1341=""),"",$T1341+(U$2*$M1341))</f>
        <v/>
      </c>
      <c r="V1341" s="48">
        <f>IF(OR($M1341="",$T1341=""),"",$T1341+(V$2*$M1341))</f>
        <v/>
      </c>
      <c r="W1341" s="48">
        <f>IF(OR($M1341="",$T1341=""),"",$T1341+(W$2*$M1341))</f>
        <v/>
      </c>
      <c r="X1341" s="49">
        <f>IF(OR($M1341="",$T1341=""),"",$T1341+(X$2*$M1341))</f>
        <v/>
      </c>
      <c r="Y1341" s="47">
        <f>IF(OR($M1341="",$T1341=""),"",$T1341+(Y$2*$M1341))</f>
        <v/>
      </c>
      <c r="Z1341" s="49">
        <f>IF(OR($M1341="",$T1341=""),"",$T1341+(Z$2*$M1341))</f>
        <v/>
      </c>
      <c r="AA1341" s="51">
        <f>IF(OR($M1341="",$T1341=""),"",$T1341+(AA$2*$M1341))</f>
        <v/>
      </c>
      <c r="AB1341" s="48">
        <f>IF(OR($M1341="",$T1341=""),"",$T1341+(AB$2*$M1341))</f>
        <v/>
      </c>
      <c r="AC1341" s="48">
        <f>IF(OR($M1341="",$T1341=""),"",$T1341+(AC$2*$M1341))</f>
        <v/>
      </c>
      <c r="AD1341" s="48">
        <f>IF(OR($M1341="",$T1341=""),"",$T1341+(AD$2*$M1341))</f>
        <v/>
      </c>
      <c r="AE1341" s="49">
        <f>IF(OR($M1341="",$T1341=""),"",$T1341+(AE$2*$M1341))</f>
        <v/>
      </c>
      <c r="AF1341" s="52">
        <f>IF(OR(T1341="",I1341&lt;T1341),"",IFERROR(AVERAGE(T1341+M1341*{7,8,9,10,11})/IF(G1341="",I1341,G1341)-1,""))</f>
        <v/>
      </c>
      <c r="AG1341" s="55">
        <f>IF(OR(T1341="",I1341&lt;T1341),"",IFERROR(AF1341/-(R1341/IF(G1341="",I1341,G1341)-1),""))</f>
        <v/>
      </c>
      <c r="AH1341" s="94" t="n"/>
      <c r="AI1341" s="94" t="n"/>
      <c r="AJ1341" s="94" t="n"/>
      <c r="AK1341" s="94" t="n"/>
      <c r="AL1341" s="84" t="n"/>
    </row>
    <row r="1342">
      <c r="A1342" s="64" t="n"/>
      <c r="B1342" s="65" t="n"/>
      <c r="C1342" s="66" t="n"/>
      <c r="D1342" s="67" t="n"/>
      <c r="E1342" s="68" t="n"/>
      <c r="F1342" s="47">
        <f>IF(A1342="","",IF(MIN(H1342,MAX(J1342:K1342))=0,"",MIN(H1342,MAX(J1342:K1342))))</f>
        <v/>
      </c>
      <c r="G1342" s="74" t="n"/>
      <c r="H1342" s="49">
        <f>IF(M1342="","",IFERROR(ROUND(AVERAGE(T1342+M1342*{7,8,9,10,11})/1.21,4),""))</f>
        <v/>
      </c>
      <c r="I1342" s="76" t="n"/>
      <c r="J1342" s="77" t="n"/>
      <c r="K1342" s="74" t="n"/>
      <c r="L1342" s="78" t="n"/>
      <c r="M1342" s="77" t="n"/>
      <c r="N1342" s="53">
        <f>IF(M1342="","",IFERROR(M1342/I1342,""))</f>
        <v/>
      </c>
      <c r="O1342" s="50">
        <f>IF(A1342="","",IFERROR((IF(G1342="",I1342,G1342)-T1342)/M1342,""))</f>
        <v/>
      </c>
      <c r="P1342" s="50">
        <f>IFERROR((I1342/T1342-1)/N1342,"")</f>
        <v/>
      </c>
      <c r="Q1342" s="46">
        <f>IF(OR(T1342="",I1342&lt;T1342),"",IFERROR(R1342/IF(G1342="",I1342,G1342)-1,""))</f>
        <v/>
      </c>
      <c r="R1342" s="48">
        <f>IF($M1342="","",MAX(IF($G1342="",$I1342,$G1342)*(1/1.1),IF($G1342="",$I1342,$G1342)+(R$2*$M1342)))</f>
        <v/>
      </c>
      <c r="S1342" s="49">
        <f>IF($M1342="","",MAX(IF($G1342="",$I1342,$G1342)*(1/1.1),IF($G1342="",$I1342,$G1342)+(S$2*$M1342)))</f>
        <v/>
      </c>
      <c r="T1342" s="82" t="n"/>
      <c r="U1342" s="47">
        <f>IF(OR($M1342="",$T1342=""),"",$T1342+(U$2*$M1342))</f>
        <v/>
      </c>
      <c r="V1342" s="48">
        <f>IF(OR($M1342="",$T1342=""),"",$T1342+(V$2*$M1342))</f>
        <v/>
      </c>
      <c r="W1342" s="48">
        <f>IF(OR($M1342="",$T1342=""),"",$T1342+(W$2*$M1342))</f>
        <v/>
      </c>
      <c r="X1342" s="49">
        <f>IF(OR($M1342="",$T1342=""),"",$T1342+(X$2*$M1342))</f>
        <v/>
      </c>
      <c r="Y1342" s="47">
        <f>IF(OR($M1342="",$T1342=""),"",$T1342+(Y$2*$M1342))</f>
        <v/>
      </c>
      <c r="Z1342" s="49">
        <f>IF(OR($M1342="",$T1342=""),"",$T1342+(Z$2*$M1342))</f>
        <v/>
      </c>
      <c r="AA1342" s="51">
        <f>IF(OR($M1342="",$T1342=""),"",$T1342+(AA$2*$M1342))</f>
        <v/>
      </c>
      <c r="AB1342" s="48">
        <f>IF(OR($M1342="",$T1342=""),"",$T1342+(AB$2*$M1342))</f>
        <v/>
      </c>
      <c r="AC1342" s="48">
        <f>IF(OR($M1342="",$T1342=""),"",$T1342+(AC$2*$M1342))</f>
        <v/>
      </c>
      <c r="AD1342" s="48">
        <f>IF(OR($M1342="",$T1342=""),"",$T1342+(AD$2*$M1342))</f>
        <v/>
      </c>
      <c r="AE1342" s="49">
        <f>IF(OR($M1342="",$T1342=""),"",$T1342+(AE$2*$M1342))</f>
        <v/>
      </c>
      <c r="AF1342" s="52">
        <f>IF(OR(T1342="",I1342&lt;T1342),"",IFERROR(AVERAGE(T1342+M1342*{7,8,9,10,11})/IF(G1342="",I1342,G1342)-1,""))</f>
        <v/>
      </c>
      <c r="AG1342" s="55">
        <f>IF(OR(T1342="",I1342&lt;T1342),"",IFERROR(AF1342/-(R1342/IF(G1342="",I1342,G1342)-1),""))</f>
        <v/>
      </c>
      <c r="AH1342" s="94" t="n"/>
      <c r="AI1342" s="94" t="n"/>
      <c r="AJ1342" s="94" t="n"/>
      <c r="AK1342" s="94" t="n"/>
      <c r="AL1342" s="84" t="n"/>
    </row>
    <row r="1343">
      <c r="A1343" s="64" t="n"/>
      <c r="B1343" s="65" t="n"/>
      <c r="C1343" s="66" t="n"/>
      <c r="D1343" s="67" t="n"/>
      <c r="E1343" s="68" t="n"/>
      <c r="F1343" s="47">
        <f>IF(A1343="","",IF(MIN(H1343,MAX(J1343:K1343))=0,"",MIN(H1343,MAX(J1343:K1343))))</f>
        <v/>
      </c>
      <c r="G1343" s="74" t="n"/>
      <c r="H1343" s="49">
        <f>IF(M1343="","",IFERROR(ROUND(AVERAGE(T1343+M1343*{7,8,9,10,11})/1.21,4),""))</f>
        <v/>
      </c>
      <c r="I1343" s="76" t="n"/>
      <c r="J1343" s="77" t="n"/>
      <c r="K1343" s="74" t="n"/>
      <c r="L1343" s="78" t="n"/>
      <c r="M1343" s="77" t="n"/>
      <c r="N1343" s="53">
        <f>IF(M1343="","",IFERROR(M1343/I1343,""))</f>
        <v/>
      </c>
      <c r="O1343" s="50">
        <f>IF(A1343="","",IFERROR((IF(G1343="",I1343,G1343)-T1343)/M1343,""))</f>
        <v/>
      </c>
      <c r="P1343" s="50">
        <f>IFERROR((I1343/T1343-1)/N1343,"")</f>
        <v/>
      </c>
      <c r="Q1343" s="46">
        <f>IF(OR(T1343="",I1343&lt;T1343),"",IFERROR(R1343/IF(G1343="",I1343,G1343)-1,""))</f>
        <v/>
      </c>
      <c r="R1343" s="48">
        <f>IF($M1343="","",MAX(IF($G1343="",$I1343,$G1343)*(1/1.1),IF($G1343="",$I1343,$G1343)+(R$2*$M1343)))</f>
        <v/>
      </c>
      <c r="S1343" s="49">
        <f>IF($M1343="","",MAX(IF($G1343="",$I1343,$G1343)*(1/1.1),IF($G1343="",$I1343,$G1343)+(S$2*$M1343)))</f>
        <v/>
      </c>
      <c r="T1343" s="82" t="n"/>
      <c r="U1343" s="47">
        <f>IF(OR($M1343="",$T1343=""),"",$T1343+(U$2*$M1343))</f>
        <v/>
      </c>
      <c r="V1343" s="48">
        <f>IF(OR($M1343="",$T1343=""),"",$T1343+(V$2*$M1343))</f>
        <v/>
      </c>
      <c r="W1343" s="48">
        <f>IF(OR($M1343="",$T1343=""),"",$T1343+(W$2*$M1343))</f>
        <v/>
      </c>
      <c r="X1343" s="49">
        <f>IF(OR($M1343="",$T1343=""),"",$T1343+(X$2*$M1343))</f>
        <v/>
      </c>
      <c r="Y1343" s="47">
        <f>IF(OR($M1343="",$T1343=""),"",$T1343+(Y$2*$M1343))</f>
        <v/>
      </c>
      <c r="Z1343" s="49">
        <f>IF(OR($M1343="",$T1343=""),"",$T1343+(Z$2*$M1343))</f>
        <v/>
      </c>
      <c r="AA1343" s="51">
        <f>IF(OR($M1343="",$T1343=""),"",$T1343+(AA$2*$M1343))</f>
        <v/>
      </c>
      <c r="AB1343" s="48">
        <f>IF(OR($M1343="",$T1343=""),"",$T1343+(AB$2*$M1343))</f>
        <v/>
      </c>
      <c r="AC1343" s="48">
        <f>IF(OR($M1343="",$T1343=""),"",$T1343+(AC$2*$M1343))</f>
        <v/>
      </c>
      <c r="AD1343" s="48">
        <f>IF(OR($M1343="",$T1343=""),"",$T1343+(AD$2*$M1343))</f>
        <v/>
      </c>
      <c r="AE1343" s="49">
        <f>IF(OR($M1343="",$T1343=""),"",$T1343+(AE$2*$M1343))</f>
        <v/>
      </c>
      <c r="AF1343" s="52">
        <f>IF(OR(T1343="",I1343&lt;T1343),"",IFERROR(AVERAGE(T1343+M1343*{7,8,9,10,11})/IF(G1343="",I1343,G1343)-1,""))</f>
        <v/>
      </c>
      <c r="AG1343" s="55">
        <f>IF(OR(T1343="",I1343&lt;T1343),"",IFERROR(AF1343/-(R1343/IF(G1343="",I1343,G1343)-1),""))</f>
        <v/>
      </c>
      <c r="AH1343" s="94" t="n"/>
      <c r="AI1343" s="94" t="n"/>
      <c r="AJ1343" s="94" t="n"/>
      <c r="AK1343" s="94" t="n"/>
      <c r="AL1343" s="84" t="n"/>
    </row>
    <row r="1344">
      <c r="A1344" s="64" t="n"/>
      <c r="B1344" s="65" t="n"/>
      <c r="C1344" s="66" t="n"/>
      <c r="D1344" s="67" t="n"/>
      <c r="E1344" s="68" t="n"/>
      <c r="F1344" s="47">
        <f>IF(A1344="","",IF(MIN(H1344,MAX(J1344:K1344))=0,"",MIN(H1344,MAX(J1344:K1344))))</f>
        <v/>
      </c>
      <c r="G1344" s="74" t="n"/>
      <c r="H1344" s="49">
        <f>IF(M1344="","",IFERROR(ROUND(AVERAGE(T1344+M1344*{7,8,9,10,11})/1.21,4),""))</f>
        <v/>
      </c>
      <c r="I1344" s="76" t="n"/>
      <c r="J1344" s="77" t="n"/>
      <c r="K1344" s="74" t="n"/>
      <c r="L1344" s="78" t="n"/>
      <c r="M1344" s="77" t="n"/>
      <c r="N1344" s="53">
        <f>IF(M1344="","",IFERROR(M1344/I1344,""))</f>
        <v/>
      </c>
      <c r="O1344" s="50">
        <f>IF(A1344="","",IFERROR((IF(G1344="",I1344,G1344)-T1344)/M1344,""))</f>
        <v/>
      </c>
      <c r="P1344" s="50">
        <f>IFERROR((I1344/T1344-1)/N1344,"")</f>
        <v/>
      </c>
      <c r="Q1344" s="46">
        <f>IF(OR(T1344="",I1344&lt;T1344),"",IFERROR(R1344/IF(G1344="",I1344,G1344)-1,""))</f>
        <v/>
      </c>
      <c r="R1344" s="48">
        <f>IF($M1344="","",MAX(IF($G1344="",$I1344,$G1344)*(1/1.1),IF($G1344="",$I1344,$G1344)+(R$2*$M1344)))</f>
        <v/>
      </c>
      <c r="S1344" s="49">
        <f>IF($M1344="","",MAX(IF($G1344="",$I1344,$G1344)*(1/1.1),IF($G1344="",$I1344,$G1344)+(S$2*$M1344)))</f>
        <v/>
      </c>
      <c r="T1344" s="82" t="n"/>
      <c r="U1344" s="47">
        <f>IF(OR($M1344="",$T1344=""),"",$T1344+(U$2*$M1344))</f>
        <v/>
      </c>
      <c r="V1344" s="48">
        <f>IF(OR($M1344="",$T1344=""),"",$T1344+(V$2*$M1344))</f>
        <v/>
      </c>
      <c r="W1344" s="48">
        <f>IF(OR($M1344="",$T1344=""),"",$T1344+(W$2*$M1344))</f>
        <v/>
      </c>
      <c r="X1344" s="49">
        <f>IF(OR($M1344="",$T1344=""),"",$T1344+(X$2*$M1344))</f>
        <v/>
      </c>
      <c r="Y1344" s="47">
        <f>IF(OR($M1344="",$T1344=""),"",$T1344+(Y$2*$M1344))</f>
        <v/>
      </c>
      <c r="Z1344" s="49">
        <f>IF(OR($M1344="",$T1344=""),"",$T1344+(Z$2*$M1344))</f>
        <v/>
      </c>
      <c r="AA1344" s="51">
        <f>IF(OR($M1344="",$T1344=""),"",$T1344+(AA$2*$M1344))</f>
        <v/>
      </c>
      <c r="AB1344" s="48">
        <f>IF(OR($M1344="",$T1344=""),"",$T1344+(AB$2*$M1344))</f>
        <v/>
      </c>
      <c r="AC1344" s="48">
        <f>IF(OR($M1344="",$T1344=""),"",$T1344+(AC$2*$M1344))</f>
        <v/>
      </c>
      <c r="AD1344" s="48">
        <f>IF(OR($M1344="",$T1344=""),"",$T1344+(AD$2*$M1344))</f>
        <v/>
      </c>
      <c r="AE1344" s="49">
        <f>IF(OR($M1344="",$T1344=""),"",$T1344+(AE$2*$M1344))</f>
        <v/>
      </c>
      <c r="AF1344" s="52">
        <f>IF(OR(T1344="",I1344&lt;T1344),"",IFERROR(AVERAGE(T1344+M1344*{7,8,9,10,11})/IF(G1344="",I1344,G1344)-1,""))</f>
        <v/>
      </c>
      <c r="AG1344" s="55">
        <f>IF(OR(T1344="",I1344&lt;T1344),"",IFERROR(AF1344/-(R1344/IF(G1344="",I1344,G1344)-1),""))</f>
        <v/>
      </c>
      <c r="AH1344" s="94" t="n"/>
      <c r="AI1344" s="94" t="n"/>
      <c r="AJ1344" s="94" t="n"/>
      <c r="AK1344" s="94" t="n"/>
      <c r="AL1344" s="84" t="n"/>
    </row>
    <row r="1345">
      <c r="A1345" s="64" t="n"/>
      <c r="B1345" s="65" t="n"/>
      <c r="C1345" s="66" t="n"/>
      <c r="D1345" s="67" t="n"/>
      <c r="E1345" s="68" t="n"/>
      <c r="F1345" s="47">
        <f>IF(A1345="","",IF(MIN(H1345,MAX(J1345:K1345))=0,"",MIN(H1345,MAX(J1345:K1345))))</f>
        <v/>
      </c>
      <c r="G1345" s="74" t="n"/>
      <c r="H1345" s="49">
        <f>IF(M1345="","",IFERROR(ROUND(AVERAGE(T1345+M1345*{7,8,9,10,11})/1.21,4),""))</f>
        <v/>
      </c>
      <c r="I1345" s="76" t="n"/>
      <c r="J1345" s="77" t="n"/>
      <c r="K1345" s="74" t="n"/>
      <c r="L1345" s="78" t="n"/>
      <c r="M1345" s="77" t="n"/>
      <c r="N1345" s="53">
        <f>IF(M1345="","",IFERROR(M1345/I1345,""))</f>
        <v/>
      </c>
      <c r="O1345" s="50">
        <f>IF(A1345="","",IFERROR((IF(G1345="",I1345,G1345)-T1345)/M1345,""))</f>
        <v/>
      </c>
      <c r="P1345" s="50">
        <f>IFERROR((I1345/T1345-1)/N1345,"")</f>
        <v/>
      </c>
      <c r="Q1345" s="46">
        <f>IF(OR(T1345="",I1345&lt;T1345),"",IFERROR(R1345/IF(G1345="",I1345,G1345)-1,""))</f>
        <v/>
      </c>
      <c r="R1345" s="48">
        <f>IF($M1345="","",MAX(IF($G1345="",$I1345,$G1345)*(1/1.1),IF($G1345="",$I1345,$G1345)+(R$2*$M1345)))</f>
        <v/>
      </c>
      <c r="S1345" s="49">
        <f>IF($M1345="","",MAX(IF($G1345="",$I1345,$G1345)*(1/1.1),IF($G1345="",$I1345,$G1345)+(S$2*$M1345)))</f>
        <v/>
      </c>
      <c r="T1345" s="82" t="n"/>
      <c r="U1345" s="47">
        <f>IF(OR($M1345="",$T1345=""),"",$T1345+(U$2*$M1345))</f>
        <v/>
      </c>
      <c r="V1345" s="48">
        <f>IF(OR($M1345="",$T1345=""),"",$T1345+(V$2*$M1345))</f>
        <v/>
      </c>
      <c r="W1345" s="48">
        <f>IF(OR($M1345="",$T1345=""),"",$T1345+(W$2*$M1345))</f>
        <v/>
      </c>
      <c r="X1345" s="49">
        <f>IF(OR($M1345="",$T1345=""),"",$T1345+(X$2*$M1345))</f>
        <v/>
      </c>
      <c r="Y1345" s="47">
        <f>IF(OR($M1345="",$T1345=""),"",$T1345+(Y$2*$M1345))</f>
        <v/>
      </c>
      <c r="Z1345" s="49">
        <f>IF(OR($M1345="",$T1345=""),"",$T1345+(Z$2*$M1345))</f>
        <v/>
      </c>
      <c r="AA1345" s="51">
        <f>IF(OR($M1345="",$T1345=""),"",$T1345+(AA$2*$M1345))</f>
        <v/>
      </c>
      <c r="AB1345" s="48">
        <f>IF(OR($M1345="",$T1345=""),"",$T1345+(AB$2*$M1345))</f>
        <v/>
      </c>
      <c r="AC1345" s="48">
        <f>IF(OR($M1345="",$T1345=""),"",$T1345+(AC$2*$M1345))</f>
        <v/>
      </c>
      <c r="AD1345" s="48">
        <f>IF(OR($M1345="",$T1345=""),"",$T1345+(AD$2*$M1345))</f>
        <v/>
      </c>
      <c r="AE1345" s="49">
        <f>IF(OR($M1345="",$T1345=""),"",$T1345+(AE$2*$M1345))</f>
        <v/>
      </c>
      <c r="AF1345" s="52">
        <f>IF(OR(T1345="",I1345&lt;T1345),"",IFERROR(AVERAGE(T1345+M1345*{7,8,9,10,11})/IF(G1345="",I1345,G1345)-1,""))</f>
        <v/>
      </c>
      <c r="AG1345" s="55">
        <f>IF(OR(T1345="",I1345&lt;T1345),"",IFERROR(AF1345/-(R1345/IF(G1345="",I1345,G1345)-1),""))</f>
        <v/>
      </c>
      <c r="AH1345" s="94" t="n"/>
      <c r="AI1345" s="94" t="n"/>
      <c r="AJ1345" s="94" t="n"/>
      <c r="AK1345" s="94" t="n"/>
      <c r="AL1345" s="84" t="n"/>
    </row>
    <row r="1346">
      <c r="A1346" s="64" t="n"/>
      <c r="B1346" s="65" t="n"/>
      <c r="C1346" s="66" t="n"/>
      <c r="D1346" s="67" t="n"/>
      <c r="E1346" s="68" t="n"/>
      <c r="F1346" s="47">
        <f>IF(A1346="","",IF(MIN(H1346,MAX(J1346:K1346))=0,"",MIN(H1346,MAX(J1346:K1346))))</f>
        <v/>
      </c>
      <c r="G1346" s="74" t="n"/>
      <c r="H1346" s="49">
        <f>IF(M1346="","",IFERROR(ROUND(AVERAGE(T1346+M1346*{7,8,9,10,11})/1.21,4),""))</f>
        <v/>
      </c>
      <c r="I1346" s="76" t="n"/>
      <c r="J1346" s="77" t="n"/>
      <c r="K1346" s="74" t="n"/>
      <c r="L1346" s="78" t="n"/>
      <c r="M1346" s="77" t="n"/>
      <c r="N1346" s="53">
        <f>IF(M1346="","",IFERROR(M1346/I1346,""))</f>
        <v/>
      </c>
      <c r="O1346" s="50">
        <f>IF(A1346="","",IFERROR((IF(G1346="",I1346,G1346)-T1346)/M1346,""))</f>
        <v/>
      </c>
      <c r="P1346" s="50">
        <f>IFERROR((I1346/T1346-1)/N1346,"")</f>
        <v/>
      </c>
      <c r="Q1346" s="46">
        <f>IF(OR(T1346="",I1346&lt;T1346),"",IFERROR(R1346/IF(G1346="",I1346,G1346)-1,""))</f>
        <v/>
      </c>
      <c r="R1346" s="48">
        <f>IF($M1346="","",MAX(IF($G1346="",$I1346,$G1346)*(1/1.1),IF($G1346="",$I1346,$G1346)+(R$2*$M1346)))</f>
        <v/>
      </c>
      <c r="S1346" s="49">
        <f>IF($M1346="","",MAX(IF($G1346="",$I1346,$G1346)*(1/1.1),IF($G1346="",$I1346,$G1346)+(S$2*$M1346)))</f>
        <v/>
      </c>
      <c r="T1346" s="82" t="n"/>
      <c r="U1346" s="47">
        <f>IF(OR($M1346="",$T1346=""),"",$T1346+(U$2*$M1346))</f>
        <v/>
      </c>
      <c r="V1346" s="48">
        <f>IF(OR($M1346="",$T1346=""),"",$T1346+(V$2*$M1346))</f>
        <v/>
      </c>
      <c r="W1346" s="48">
        <f>IF(OR($M1346="",$T1346=""),"",$T1346+(W$2*$M1346))</f>
        <v/>
      </c>
      <c r="X1346" s="49">
        <f>IF(OR($M1346="",$T1346=""),"",$T1346+(X$2*$M1346))</f>
        <v/>
      </c>
      <c r="Y1346" s="47">
        <f>IF(OR($M1346="",$T1346=""),"",$T1346+(Y$2*$M1346))</f>
        <v/>
      </c>
      <c r="Z1346" s="49">
        <f>IF(OR($M1346="",$T1346=""),"",$T1346+(Z$2*$M1346))</f>
        <v/>
      </c>
      <c r="AA1346" s="51">
        <f>IF(OR($M1346="",$T1346=""),"",$T1346+(AA$2*$M1346))</f>
        <v/>
      </c>
      <c r="AB1346" s="48">
        <f>IF(OR($M1346="",$T1346=""),"",$T1346+(AB$2*$M1346))</f>
        <v/>
      </c>
      <c r="AC1346" s="48">
        <f>IF(OR($M1346="",$T1346=""),"",$T1346+(AC$2*$M1346))</f>
        <v/>
      </c>
      <c r="AD1346" s="48">
        <f>IF(OR($M1346="",$T1346=""),"",$T1346+(AD$2*$M1346))</f>
        <v/>
      </c>
      <c r="AE1346" s="49">
        <f>IF(OR($M1346="",$T1346=""),"",$T1346+(AE$2*$M1346))</f>
        <v/>
      </c>
      <c r="AF1346" s="52">
        <f>IF(OR(T1346="",I1346&lt;T1346),"",IFERROR(AVERAGE(T1346+M1346*{7,8,9,10,11})/IF(G1346="",I1346,G1346)-1,""))</f>
        <v/>
      </c>
      <c r="AG1346" s="55">
        <f>IF(OR(T1346="",I1346&lt;T1346),"",IFERROR(AF1346/-(R1346/IF(G1346="",I1346,G1346)-1),""))</f>
        <v/>
      </c>
      <c r="AH1346" s="94" t="n"/>
      <c r="AI1346" s="94" t="n"/>
      <c r="AJ1346" s="94" t="n"/>
      <c r="AK1346" s="94" t="n"/>
      <c r="AL1346" s="84" t="n"/>
    </row>
    <row r="1347">
      <c r="A1347" s="64" t="n"/>
      <c r="B1347" s="65" t="n"/>
      <c r="C1347" s="66" t="n"/>
      <c r="D1347" s="67" t="n"/>
      <c r="E1347" s="68" t="n"/>
      <c r="F1347" s="47">
        <f>IF(A1347="","",IF(MIN(H1347,MAX(J1347:K1347))=0,"",MIN(H1347,MAX(J1347:K1347))))</f>
        <v/>
      </c>
      <c r="G1347" s="74" t="n"/>
      <c r="H1347" s="49">
        <f>IF(M1347="","",IFERROR(ROUND(AVERAGE(T1347+M1347*{7,8,9,10,11})/1.21,4),""))</f>
        <v/>
      </c>
      <c r="I1347" s="76" t="n"/>
      <c r="J1347" s="77" t="n"/>
      <c r="K1347" s="74" t="n"/>
      <c r="L1347" s="78" t="n"/>
      <c r="M1347" s="77" t="n"/>
      <c r="N1347" s="53">
        <f>IF(M1347="","",IFERROR(M1347/I1347,""))</f>
        <v/>
      </c>
      <c r="O1347" s="50">
        <f>IF(A1347="","",IFERROR((IF(G1347="",I1347,G1347)-T1347)/M1347,""))</f>
        <v/>
      </c>
      <c r="P1347" s="50">
        <f>IFERROR((I1347/T1347-1)/N1347,"")</f>
        <v/>
      </c>
      <c r="Q1347" s="46">
        <f>IF(OR(T1347="",I1347&lt;T1347),"",IFERROR(R1347/IF(G1347="",I1347,G1347)-1,""))</f>
        <v/>
      </c>
      <c r="R1347" s="48">
        <f>IF($M1347="","",MAX(IF($G1347="",$I1347,$G1347)*(1/1.1),IF($G1347="",$I1347,$G1347)+(R$2*$M1347)))</f>
        <v/>
      </c>
      <c r="S1347" s="49">
        <f>IF($M1347="","",MAX(IF($G1347="",$I1347,$G1347)*(1/1.1),IF($G1347="",$I1347,$G1347)+(S$2*$M1347)))</f>
        <v/>
      </c>
      <c r="T1347" s="82" t="n"/>
      <c r="U1347" s="47">
        <f>IF(OR($M1347="",$T1347=""),"",$T1347+(U$2*$M1347))</f>
        <v/>
      </c>
      <c r="V1347" s="48">
        <f>IF(OR($M1347="",$T1347=""),"",$T1347+(V$2*$M1347))</f>
        <v/>
      </c>
      <c r="W1347" s="48">
        <f>IF(OR($M1347="",$T1347=""),"",$T1347+(W$2*$M1347))</f>
        <v/>
      </c>
      <c r="X1347" s="49">
        <f>IF(OR($M1347="",$T1347=""),"",$T1347+(X$2*$M1347))</f>
        <v/>
      </c>
      <c r="Y1347" s="47">
        <f>IF(OR($M1347="",$T1347=""),"",$T1347+(Y$2*$M1347))</f>
        <v/>
      </c>
      <c r="Z1347" s="49">
        <f>IF(OR($M1347="",$T1347=""),"",$T1347+(Z$2*$M1347))</f>
        <v/>
      </c>
      <c r="AA1347" s="51">
        <f>IF(OR($M1347="",$T1347=""),"",$T1347+(AA$2*$M1347))</f>
        <v/>
      </c>
      <c r="AB1347" s="48">
        <f>IF(OR($M1347="",$T1347=""),"",$T1347+(AB$2*$M1347))</f>
        <v/>
      </c>
      <c r="AC1347" s="48">
        <f>IF(OR($M1347="",$T1347=""),"",$T1347+(AC$2*$M1347))</f>
        <v/>
      </c>
      <c r="AD1347" s="48">
        <f>IF(OR($M1347="",$T1347=""),"",$T1347+(AD$2*$M1347))</f>
        <v/>
      </c>
      <c r="AE1347" s="49">
        <f>IF(OR($M1347="",$T1347=""),"",$T1347+(AE$2*$M1347))</f>
        <v/>
      </c>
      <c r="AF1347" s="52">
        <f>IF(OR(T1347="",I1347&lt;T1347),"",IFERROR(AVERAGE(T1347+M1347*{7,8,9,10,11})/IF(G1347="",I1347,G1347)-1,""))</f>
        <v/>
      </c>
      <c r="AG1347" s="55">
        <f>IF(OR(T1347="",I1347&lt;T1347),"",IFERROR(AF1347/-(R1347/IF(G1347="",I1347,G1347)-1),""))</f>
        <v/>
      </c>
      <c r="AH1347" s="94" t="n"/>
      <c r="AI1347" s="94" t="n"/>
      <c r="AJ1347" s="94" t="n"/>
      <c r="AK1347" s="94" t="n"/>
      <c r="AL1347" s="84" t="n"/>
    </row>
    <row r="1348">
      <c r="A1348" s="64" t="n"/>
      <c r="B1348" s="65" t="n"/>
      <c r="C1348" s="66" t="n"/>
      <c r="D1348" s="67" t="n"/>
      <c r="E1348" s="68" t="n"/>
      <c r="F1348" s="47">
        <f>IF(A1348="","",IF(MIN(H1348,MAX(J1348:K1348))=0,"",MIN(H1348,MAX(J1348:K1348))))</f>
        <v/>
      </c>
      <c r="G1348" s="74" t="n"/>
      <c r="H1348" s="49">
        <f>IF(M1348="","",IFERROR(ROUND(AVERAGE(T1348+M1348*{7,8,9,10,11})/1.21,4),""))</f>
        <v/>
      </c>
      <c r="I1348" s="76" t="n"/>
      <c r="J1348" s="77" t="n"/>
      <c r="K1348" s="74" t="n"/>
      <c r="L1348" s="78" t="n"/>
      <c r="M1348" s="77" t="n"/>
      <c r="N1348" s="53">
        <f>IF(M1348="","",IFERROR(M1348/I1348,""))</f>
        <v/>
      </c>
      <c r="O1348" s="50">
        <f>IF(A1348="","",IFERROR((IF(G1348="",I1348,G1348)-T1348)/M1348,""))</f>
        <v/>
      </c>
      <c r="P1348" s="50">
        <f>IFERROR((I1348/T1348-1)/N1348,"")</f>
        <v/>
      </c>
      <c r="Q1348" s="46">
        <f>IF(OR(T1348="",I1348&lt;T1348),"",IFERROR(R1348/IF(G1348="",I1348,G1348)-1,""))</f>
        <v/>
      </c>
      <c r="R1348" s="48">
        <f>IF($M1348="","",MAX(IF($G1348="",$I1348,$G1348)*(1/1.1),IF($G1348="",$I1348,$G1348)+(R$2*$M1348)))</f>
        <v/>
      </c>
      <c r="S1348" s="49">
        <f>IF($M1348="","",MAX(IF($G1348="",$I1348,$G1348)*(1/1.1),IF($G1348="",$I1348,$G1348)+(S$2*$M1348)))</f>
        <v/>
      </c>
      <c r="T1348" s="82" t="n"/>
      <c r="U1348" s="47">
        <f>IF(OR($M1348="",$T1348=""),"",$T1348+(U$2*$M1348))</f>
        <v/>
      </c>
      <c r="V1348" s="48">
        <f>IF(OR($M1348="",$T1348=""),"",$T1348+(V$2*$M1348))</f>
        <v/>
      </c>
      <c r="W1348" s="48">
        <f>IF(OR($M1348="",$T1348=""),"",$T1348+(W$2*$M1348))</f>
        <v/>
      </c>
      <c r="X1348" s="49">
        <f>IF(OR($M1348="",$T1348=""),"",$T1348+(X$2*$M1348))</f>
        <v/>
      </c>
      <c r="Y1348" s="47">
        <f>IF(OR($M1348="",$T1348=""),"",$T1348+(Y$2*$M1348))</f>
        <v/>
      </c>
      <c r="Z1348" s="49">
        <f>IF(OR($M1348="",$T1348=""),"",$T1348+(Z$2*$M1348))</f>
        <v/>
      </c>
      <c r="AA1348" s="51">
        <f>IF(OR($M1348="",$T1348=""),"",$T1348+(AA$2*$M1348))</f>
        <v/>
      </c>
      <c r="AB1348" s="48">
        <f>IF(OR($M1348="",$T1348=""),"",$T1348+(AB$2*$M1348))</f>
        <v/>
      </c>
      <c r="AC1348" s="48">
        <f>IF(OR($M1348="",$T1348=""),"",$T1348+(AC$2*$M1348))</f>
        <v/>
      </c>
      <c r="AD1348" s="48">
        <f>IF(OR($M1348="",$T1348=""),"",$T1348+(AD$2*$M1348))</f>
        <v/>
      </c>
      <c r="AE1348" s="49">
        <f>IF(OR($M1348="",$T1348=""),"",$T1348+(AE$2*$M1348))</f>
        <v/>
      </c>
      <c r="AF1348" s="52">
        <f>IF(OR(T1348="",I1348&lt;T1348),"",IFERROR(AVERAGE(T1348+M1348*{7,8,9,10,11})/IF(G1348="",I1348,G1348)-1,""))</f>
        <v/>
      </c>
      <c r="AG1348" s="55">
        <f>IF(OR(T1348="",I1348&lt;T1348),"",IFERROR(AF1348/-(R1348/IF(G1348="",I1348,G1348)-1),""))</f>
        <v/>
      </c>
      <c r="AH1348" s="94" t="n"/>
      <c r="AI1348" s="94" t="n"/>
      <c r="AJ1348" s="94" t="n"/>
      <c r="AK1348" s="94" t="n"/>
      <c r="AL1348" s="84" t="n"/>
    </row>
    <row r="1349">
      <c r="A1349" s="64" t="n"/>
      <c r="B1349" s="65" t="n"/>
      <c r="C1349" s="66" t="n"/>
      <c r="D1349" s="67" t="n"/>
      <c r="E1349" s="68" t="n"/>
      <c r="F1349" s="47">
        <f>IF(A1349="","",IF(MIN(H1349,MAX(J1349:K1349))=0,"",MIN(H1349,MAX(J1349:K1349))))</f>
        <v/>
      </c>
      <c r="G1349" s="74" t="n"/>
      <c r="H1349" s="49">
        <f>IF(M1349="","",IFERROR(ROUND(AVERAGE(T1349+M1349*{7,8,9,10,11})/1.21,4),""))</f>
        <v/>
      </c>
      <c r="I1349" s="76" t="n"/>
      <c r="J1349" s="77" t="n"/>
      <c r="K1349" s="74" t="n"/>
      <c r="L1349" s="78" t="n"/>
      <c r="M1349" s="77" t="n"/>
      <c r="N1349" s="53">
        <f>IF(M1349="","",IFERROR(M1349/I1349,""))</f>
        <v/>
      </c>
      <c r="O1349" s="50">
        <f>IF(A1349="","",IFERROR((IF(G1349="",I1349,G1349)-T1349)/M1349,""))</f>
        <v/>
      </c>
      <c r="P1349" s="50">
        <f>IFERROR((I1349/T1349-1)/N1349,"")</f>
        <v/>
      </c>
      <c r="Q1349" s="46">
        <f>IF(OR(T1349="",I1349&lt;T1349),"",IFERROR(R1349/IF(G1349="",I1349,G1349)-1,""))</f>
        <v/>
      </c>
      <c r="R1349" s="48">
        <f>IF($M1349="","",MAX(IF($G1349="",$I1349,$G1349)*(1/1.1),IF($G1349="",$I1349,$G1349)+(R$2*$M1349)))</f>
        <v/>
      </c>
      <c r="S1349" s="49">
        <f>IF($M1349="","",MAX(IF($G1349="",$I1349,$G1349)*(1/1.1),IF($G1349="",$I1349,$G1349)+(S$2*$M1349)))</f>
        <v/>
      </c>
      <c r="T1349" s="82" t="n"/>
      <c r="U1349" s="47">
        <f>IF(OR($M1349="",$T1349=""),"",$T1349+(U$2*$M1349))</f>
        <v/>
      </c>
      <c r="V1349" s="48">
        <f>IF(OR($M1349="",$T1349=""),"",$T1349+(V$2*$M1349))</f>
        <v/>
      </c>
      <c r="W1349" s="48">
        <f>IF(OR($M1349="",$T1349=""),"",$T1349+(W$2*$M1349))</f>
        <v/>
      </c>
      <c r="X1349" s="49">
        <f>IF(OR($M1349="",$T1349=""),"",$T1349+(X$2*$M1349))</f>
        <v/>
      </c>
      <c r="Y1349" s="47">
        <f>IF(OR($M1349="",$T1349=""),"",$T1349+(Y$2*$M1349))</f>
        <v/>
      </c>
      <c r="Z1349" s="49">
        <f>IF(OR($M1349="",$T1349=""),"",$T1349+(Z$2*$M1349))</f>
        <v/>
      </c>
      <c r="AA1349" s="51">
        <f>IF(OR($M1349="",$T1349=""),"",$T1349+(AA$2*$M1349))</f>
        <v/>
      </c>
      <c r="AB1349" s="48">
        <f>IF(OR($M1349="",$T1349=""),"",$T1349+(AB$2*$M1349))</f>
        <v/>
      </c>
      <c r="AC1349" s="48">
        <f>IF(OR($M1349="",$T1349=""),"",$T1349+(AC$2*$M1349))</f>
        <v/>
      </c>
      <c r="AD1349" s="48">
        <f>IF(OR($M1349="",$T1349=""),"",$T1349+(AD$2*$M1349))</f>
        <v/>
      </c>
      <c r="AE1349" s="49">
        <f>IF(OR($M1349="",$T1349=""),"",$T1349+(AE$2*$M1349))</f>
        <v/>
      </c>
      <c r="AF1349" s="52">
        <f>IF(OR(T1349="",I1349&lt;T1349),"",IFERROR(AVERAGE(T1349+M1349*{7,8,9,10,11})/IF(G1349="",I1349,G1349)-1,""))</f>
        <v/>
      </c>
      <c r="AG1349" s="55">
        <f>IF(OR(T1349="",I1349&lt;T1349),"",IFERROR(AF1349/-(R1349/IF(G1349="",I1349,G1349)-1),""))</f>
        <v/>
      </c>
      <c r="AH1349" s="94" t="n"/>
      <c r="AI1349" s="94" t="n"/>
      <c r="AJ1349" s="94" t="n"/>
      <c r="AK1349" s="94" t="n"/>
      <c r="AL1349" s="84" t="n"/>
    </row>
    <row r="1350">
      <c r="A1350" s="64" t="n"/>
      <c r="B1350" s="65" t="n"/>
      <c r="C1350" s="66" t="n"/>
      <c r="D1350" s="67" t="n"/>
      <c r="E1350" s="68" t="n"/>
      <c r="F1350" s="47">
        <f>IF(A1350="","",IF(MIN(H1350,MAX(J1350:K1350))=0,"",MIN(H1350,MAX(J1350:K1350))))</f>
        <v/>
      </c>
      <c r="G1350" s="74" t="n"/>
      <c r="H1350" s="49">
        <f>IF(M1350="","",IFERROR(ROUND(AVERAGE(T1350+M1350*{7,8,9,10,11})/1.21,4),""))</f>
        <v/>
      </c>
      <c r="I1350" s="76" t="n"/>
      <c r="J1350" s="77" t="n"/>
      <c r="K1350" s="74" t="n"/>
      <c r="L1350" s="78" t="n"/>
      <c r="M1350" s="77" t="n"/>
      <c r="N1350" s="53">
        <f>IF(M1350="","",IFERROR(M1350/I1350,""))</f>
        <v/>
      </c>
      <c r="O1350" s="50">
        <f>IF(A1350="","",IFERROR((IF(G1350="",I1350,G1350)-T1350)/M1350,""))</f>
        <v/>
      </c>
      <c r="P1350" s="50">
        <f>IFERROR((I1350/T1350-1)/N1350,"")</f>
        <v/>
      </c>
      <c r="Q1350" s="46">
        <f>IF(OR(T1350="",I1350&lt;T1350),"",IFERROR(R1350/IF(G1350="",I1350,G1350)-1,""))</f>
        <v/>
      </c>
      <c r="R1350" s="48">
        <f>IF($M1350="","",MAX(IF($G1350="",$I1350,$G1350)*(1/1.1),IF($G1350="",$I1350,$G1350)+(R$2*$M1350)))</f>
        <v/>
      </c>
      <c r="S1350" s="49">
        <f>IF($M1350="","",MAX(IF($G1350="",$I1350,$G1350)*(1/1.1),IF($G1350="",$I1350,$G1350)+(S$2*$M1350)))</f>
        <v/>
      </c>
      <c r="T1350" s="82" t="n"/>
      <c r="U1350" s="47">
        <f>IF(OR($M1350="",$T1350=""),"",$T1350+(U$2*$M1350))</f>
        <v/>
      </c>
      <c r="V1350" s="48">
        <f>IF(OR($M1350="",$T1350=""),"",$T1350+(V$2*$M1350))</f>
        <v/>
      </c>
      <c r="W1350" s="48">
        <f>IF(OR($M1350="",$T1350=""),"",$T1350+(W$2*$M1350))</f>
        <v/>
      </c>
      <c r="X1350" s="49">
        <f>IF(OR($M1350="",$T1350=""),"",$T1350+(X$2*$M1350))</f>
        <v/>
      </c>
      <c r="Y1350" s="47">
        <f>IF(OR($M1350="",$T1350=""),"",$T1350+(Y$2*$M1350))</f>
        <v/>
      </c>
      <c r="Z1350" s="49">
        <f>IF(OR($M1350="",$T1350=""),"",$T1350+(Z$2*$M1350))</f>
        <v/>
      </c>
      <c r="AA1350" s="51">
        <f>IF(OR($M1350="",$T1350=""),"",$T1350+(AA$2*$M1350))</f>
        <v/>
      </c>
      <c r="AB1350" s="48">
        <f>IF(OR($M1350="",$T1350=""),"",$T1350+(AB$2*$M1350))</f>
        <v/>
      </c>
      <c r="AC1350" s="48">
        <f>IF(OR($M1350="",$T1350=""),"",$T1350+(AC$2*$M1350))</f>
        <v/>
      </c>
      <c r="AD1350" s="48">
        <f>IF(OR($M1350="",$T1350=""),"",$T1350+(AD$2*$M1350))</f>
        <v/>
      </c>
      <c r="AE1350" s="49">
        <f>IF(OR($M1350="",$T1350=""),"",$T1350+(AE$2*$M1350))</f>
        <v/>
      </c>
      <c r="AF1350" s="52">
        <f>IF(OR(T1350="",I1350&lt;T1350),"",IFERROR(AVERAGE(T1350+M1350*{7,8,9,10,11})/IF(G1350="",I1350,G1350)-1,""))</f>
        <v/>
      </c>
      <c r="AG1350" s="55">
        <f>IF(OR(T1350="",I1350&lt;T1350),"",IFERROR(AF1350/-(R1350/IF(G1350="",I1350,G1350)-1),""))</f>
        <v/>
      </c>
      <c r="AH1350" s="94" t="n"/>
      <c r="AI1350" s="94" t="n"/>
      <c r="AJ1350" s="94" t="n"/>
      <c r="AK1350" s="94" t="n"/>
      <c r="AL1350" s="84" t="n"/>
    </row>
    <row r="1351">
      <c r="A1351" s="64" t="n"/>
      <c r="B1351" s="65" t="n"/>
      <c r="C1351" s="66" t="n"/>
      <c r="D1351" s="67" t="n"/>
      <c r="E1351" s="68" t="n"/>
      <c r="F1351" s="47">
        <f>IF(A1351="","",IF(MIN(H1351,MAX(J1351:K1351))=0,"",MIN(H1351,MAX(J1351:K1351))))</f>
        <v/>
      </c>
      <c r="G1351" s="74" t="n"/>
      <c r="H1351" s="49">
        <f>IF(M1351="","",IFERROR(ROUND(AVERAGE(T1351+M1351*{7,8,9,10,11})/1.21,4),""))</f>
        <v/>
      </c>
      <c r="I1351" s="76" t="n"/>
      <c r="J1351" s="77" t="n"/>
      <c r="K1351" s="74" t="n"/>
      <c r="L1351" s="78" t="n"/>
      <c r="M1351" s="77" t="n"/>
      <c r="N1351" s="53">
        <f>IF(M1351="","",IFERROR(M1351/I1351,""))</f>
        <v/>
      </c>
      <c r="O1351" s="50">
        <f>IF(A1351="","",IFERROR((IF(G1351="",I1351,G1351)-T1351)/M1351,""))</f>
        <v/>
      </c>
      <c r="P1351" s="50">
        <f>IFERROR((I1351/T1351-1)/N1351,"")</f>
        <v/>
      </c>
      <c r="Q1351" s="46">
        <f>IF(OR(T1351="",I1351&lt;T1351),"",IFERROR(R1351/IF(G1351="",I1351,G1351)-1,""))</f>
        <v/>
      </c>
      <c r="R1351" s="48">
        <f>IF($M1351="","",MAX(IF($G1351="",$I1351,$G1351)*(1/1.1),IF($G1351="",$I1351,$G1351)+(R$2*$M1351)))</f>
        <v/>
      </c>
      <c r="S1351" s="49">
        <f>IF($M1351="","",MAX(IF($G1351="",$I1351,$G1351)*(1/1.1),IF($G1351="",$I1351,$G1351)+(S$2*$M1351)))</f>
        <v/>
      </c>
      <c r="T1351" s="82" t="n"/>
      <c r="U1351" s="47">
        <f>IF(OR($M1351="",$T1351=""),"",$T1351+(U$2*$M1351))</f>
        <v/>
      </c>
      <c r="V1351" s="48">
        <f>IF(OR($M1351="",$T1351=""),"",$T1351+(V$2*$M1351))</f>
        <v/>
      </c>
      <c r="W1351" s="48">
        <f>IF(OR($M1351="",$T1351=""),"",$T1351+(W$2*$M1351))</f>
        <v/>
      </c>
      <c r="X1351" s="49">
        <f>IF(OR($M1351="",$T1351=""),"",$T1351+(X$2*$M1351))</f>
        <v/>
      </c>
      <c r="Y1351" s="47">
        <f>IF(OR($M1351="",$T1351=""),"",$T1351+(Y$2*$M1351))</f>
        <v/>
      </c>
      <c r="Z1351" s="49">
        <f>IF(OR($M1351="",$T1351=""),"",$T1351+(Z$2*$M1351))</f>
        <v/>
      </c>
      <c r="AA1351" s="51">
        <f>IF(OR($M1351="",$T1351=""),"",$T1351+(AA$2*$M1351))</f>
        <v/>
      </c>
      <c r="AB1351" s="48">
        <f>IF(OR($M1351="",$T1351=""),"",$T1351+(AB$2*$M1351))</f>
        <v/>
      </c>
      <c r="AC1351" s="48">
        <f>IF(OR($M1351="",$T1351=""),"",$T1351+(AC$2*$M1351))</f>
        <v/>
      </c>
      <c r="AD1351" s="48">
        <f>IF(OR($M1351="",$T1351=""),"",$T1351+(AD$2*$M1351))</f>
        <v/>
      </c>
      <c r="AE1351" s="49">
        <f>IF(OR($M1351="",$T1351=""),"",$T1351+(AE$2*$M1351))</f>
        <v/>
      </c>
      <c r="AF1351" s="52">
        <f>IF(OR(T1351="",I1351&lt;T1351),"",IFERROR(AVERAGE(T1351+M1351*{7,8,9,10,11})/IF(G1351="",I1351,G1351)-1,""))</f>
        <v/>
      </c>
      <c r="AG1351" s="55">
        <f>IF(OR(T1351="",I1351&lt;T1351),"",IFERROR(AF1351/-(R1351/IF(G1351="",I1351,G1351)-1),""))</f>
        <v/>
      </c>
      <c r="AH1351" s="94" t="n"/>
      <c r="AI1351" s="94" t="n"/>
      <c r="AJ1351" s="94" t="n"/>
      <c r="AK1351" s="94" t="n"/>
      <c r="AL1351" s="84" t="n"/>
    </row>
    <row r="1352">
      <c r="A1352" s="64" t="n"/>
      <c r="B1352" s="65" t="n"/>
      <c r="C1352" s="66" t="n"/>
      <c r="D1352" s="67" t="n"/>
      <c r="E1352" s="68" t="n"/>
      <c r="F1352" s="47">
        <f>IF(A1352="","",IF(MIN(H1352,MAX(J1352:K1352))=0,"",MIN(H1352,MAX(J1352:K1352))))</f>
        <v/>
      </c>
      <c r="G1352" s="74" t="n"/>
      <c r="H1352" s="49">
        <f>IF(M1352="","",IFERROR(ROUND(AVERAGE(T1352+M1352*{7,8,9,10,11})/1.21,4),""))</f>
        <v/>
      </c>
      <c r="I1352" s="76" t="n"/>
      <c r="J1352" s="77" t="n"/>
      <c r="K1352" s="74" t="n"/>
      <c r="L1352" s="78" t="n"/>
      <c r="M1352" s="77" t="n"/>
      <c r="N1352" s="53">
        <f>IF(M1352="","",IFERROR(M1352/I1352,""))</f>
        <v/>
      </c>
      <c r="O1352" s="50">
        <f>IF(A1352="","",IFERROR((IF(G1352="",I1352,G1352)-T1352)/M1352,""))</f>
        <v/>
      </c>
      <c r="P1352" s="50">
        <f>IFERROR((I1352/T1352-1)/N1352,"")</f>
        <v/>
      </c>
      <c r="Q1352" s="46">
        <f>IF(OR(T1352="",I1352&lt;T1352),"",IFERROR(R1352/IF(G1352="",I1352,G1352)-1,""))</f>
        <v/>
      </c>
      <c r="R1352" s="48">
        <f>IF($M1352="","",MAX(IF($G1352="",$I1352,$G1352)*(1/1.1),IF($G1352="",$I1352,$G1352)+(R$2*$M1352)))</f>
        <v/>
      </c>
      <c r="S1352" s="49">
        <f>IF($M1352="","",MAX(IF($G1352="",$I1352,$G1352)*(1/1.1),IF($G1352="",$I1352,$G1352)+(S$2*$M1352)))</f>
        <v/>
      </c>
      <c r="T1352" s="82" t="n"/>
      <c r="U1352" s="47">
        <f>IF(OR($M1352="",$T1352=""),"",$T1352+(U$2*$M1352))</f>
        <v/>
      </c>
      <c r="V1352" s="48">
        <f>IF(OR($M1352="",$T1352=""),"",$T1352+(V$2*$M1352))</f>
        <v/>
      </c>
      <c r="W1352" s="48">
        <f>IF(OR($M1352="",$T1352=""),"",$T1352+(W$2*$M1352))</f>
        <v/>
      </c>
      <c r="X1352" s="49">
        <f>IF(OR($M1352="",$T1352=""),"",$T1352+(X$2*$M1352))</f>
        <v/>
      </c>
      <c r="Y1352" s="47">
        <f>IF(OR($M1352="",$T1352=""),"",$T1352+(Y$2*$M1352))</f>
        <v/>
      </c>
      <c r="Z1352" s="49">
        <f>IF(OR($M1352="",$T1352=""),"",$T1352+(Z$2*$M1352))</f>
        <v/>
      </c>
      <c r="AA1352" s="51">
        <f>IF(OR($M1352="",$T1352=""),"",$T1352+(AA$2*$M1352))</f>
        <v/>
      </c>
      <c r="AB1352" s="48">
        <f>IF(OR($M1352="",$T1352=""),"",$T1352+(AB$2*$M1352))</f>
        <v/>
      </c>
      <c r="AC1352" s="48">
        <f>IF(OR($M1352="",$T1352=""),"",$T1352+(AC$2*$M1352))</f>
        <v/>
      </c>
      <c r="AD1352" s="48">
        <f>IF(OR($M1352="",$T1352=""),"",$T1352+(AD$2*$M1352))</f>
        <v/>
      </c>
      <c r="AE1352" s="49">
        <f>IF(OR($M1352="",$T1352=""),"",$T1352+(AE$2*$M1352))</f>
        <v/>
      </c>
      <c r="AF1352" s="52">
        <f>IF(OR(T1352="",I1352&lt;T1352),"",IFERROR(AVERAGE(T1352+M1352*{7,8,9,10,11})/IF(G1352="",I1352,G1352)-1,""))</f>
        <v/>
      </c>
      <c r="AG1352" s="55">
        <f>IF(OR(T1352="",I1352&lt;T1352),"",IFERROR(AF1352/-(R1352/IF(G1352="",I1352,G1352)-1),""))</f>
        <v/>
      </c>
      <c r="AH1352" s="94" t="n"/>
      <c r="AI1352" s="94" t="n"/>
      <c r="AJ1352" s="94" t="n"/>
      <c r="AK1352" s="94" t="n"/>
      <c r="AL1352" s="84" t="n"/>
    </row>
    <row r="1353">
      <c r="A1353" s="64" t="n"/>
      <c r="B1353" s="65" t="n"/>
      <c r="C1353" s="66" t="n"/>
      <c r="D1353" s="67" t="n"/>
      <c r="E1353" s="68" t="n"/>
      <c r="F1353" s="47">
        <f>IF(A1353="","",IF(MIN(H1353,MAX(J1353:K1353))=0,"",MIN(H1353,MAX(J1353:K1353))))</f>
        <v/>
      </c>
      <c r="G1353" s="74" t="n"/>
      <c r="H1353" s="49">
        <f>IF(M1353="","",IFERROR(ROUND(AVERAGE(T1353+M1353*{7,8,9,10,11})/1.21,4),""))</f>
        <v/>
      </c>
      <c r="I1353" s="76" t="n"/>
      <c r="J1353" s="77" t="n"/>
      <c r="K1353" s="74" t="n"/>
      <c r="L1353" s="78" t="n"/>
      <c r="M1353" s="77" t="n"/>
      <c r="N1353" s="53">
        <f>IF(M1353="","",IFERROR(M1353/I1353,""))</f>
        <v/>
      </c>
      <c r="O1353" s="50">
        <f>IF(A1353="","",IFERROR((IF(G1353="",I1353,G1353)-T1353)/M1353,""))</f>
        <v/>
      </c>
      <c r="P1353" s="50">
        <f>IFERROR((I1353/T1353-1)/N1353,"")</f>
        <v/>
      </c>
      <c r="Q1353" s="46">
        <f>IF(OR(T1353="",I1353&lt;T1353),"",IFERROR(R1353/IF(G1353="",I1353,G1353)-1,""))</f>
        <v/>
      </c>
      <c r="R1353" s="48">
        <f>IF($M1353="","",MAX(IF($G1353="",$I1353,$G1353)*(1/1.1),IF($G1353="",$I1353,$G1353)+(R$2*$M1353)))</f>
        <v/>
      </c>
      <c r="S1353" s="49">
        <f>IF($M1353="","",MAX(IF($G1353="",$I1353,$G1353)*(1/1.1),IF($G1353="",$I1353,$G1353)+(S$2*$M1353)))</f>
        <v/>
      </c>
      <c r="T1353" s="82" t="n"/>
      <c r="U1353" s="47">
        <f>IF(OR($M1353="",$T1353=""),"",$T1353+(U$2*$M1353))</f>
        <v/>
      </c>
      <c r="V1353" s="48">
        <f>IF(OR($M1353="",$T1353=""),"",$T1353+(V$2*$M1353))</f>
        <v/>
      </c>
      <c r="W1353" s="48">
        <f>IF(OR($M1353="",$T1353=""),"",$T1353+(W$2*$M1353))</f>
        <v/>
      </c>
      <c r="X1353" s="49">
        <f>IF(OR($M1353="",$T1353=""),"",$T1353+(X$2*$M1353))</f>
        <v/>
      </c>
      <c r="Y1353" s="47">
        <f>IF(OR($M1353="",$T1353=""),"",$T1353+(Y$2*$M1353))</f>
        <v/>
      </c>
      <c r="Z1353" s="49">
        <f>IF(OR($M1353="",$T1353=""),"",$T1353+(Z$2*$M1353))</f>
        <v/>
      </c>
      <c r="AA1353" s="51">
        <f>IF(OR($M1353="",$T1353=""),"",$T1353+(AA$2*$M1353))</f>
        <v/>
      </c>
      <c r="AB1353" s="48">
        <f>IF(OR($M1353="",$T1353=""),"",$T1353+(AB$2*$M1353))</f>
        <v/>
      </c>
      <c r="AC1353" s="48">
        <f>IF(OR($M1353="",$T1353=""),"",$T1353+(AC$2*$M1353))</f>
        <v/>
      </c>
      <c r="AD1353" s="48">
        <f>IF(OR($M1353="",$T1353=""),"",$T1353+(AD$2*$M1353))</f>
        <v/>
      </c>
      <c r="AE1353" s="49">
        <f>IF(OR($M1353="",$T1353=""),"",$T1353+(AE$2*$M1353))</f>
        <v/>
      </c>
      <c r="AF1353" s="52">
        <f>IF(OR(T1353="",I1353&lt;T1353),"",IFERROR(AVERAGE(T1353+M1353*{7,8,9,10,11})/IF(G1353="",I1353,G1353)-1,""))</f>
        <v/>
      </c>
      <c r="AG1353" s="55">
        <f>IF(OR(T1353="",I1353&lt;T1353),"",IFERROR(AF1353/-(R1353/IF(G1353="",I1353,G1353)-1),""))</f>
        <v/>
      </c>
      <c r="AH1353" s="94" t="n"/>
      <c r="AI1353" s="94" t="n"/>
      <c r="AJ1353" s="94" t="n"/>
      <c r="AK1353" s="94" t="n"/>
      <c r="AL1353" s="84" t="n"/>
    </row>
    <row r="1354">
      <c r="A1354" s="64" t="n"/>
      <c r="B1354" s="65" t="n"/>
      <c r="C1354" s="66" t="n"/>
      <c r="D1354" s="67" t="n"/>
      <c r="E1354" s="68" t="n"/>
      <c r="F1354" s="47">
        <f>IF(A1354="","",IF(MIN(H1354,MAX(J1354:K1354))=0,"",MIN(H1354,MAX(J1354:K1354))))</f>
        <v/>
      </c>
      <c r="G1354" s="74" t="n"/>
      <c r="H1354" s="49">
        <f>IF(M1354="","",IFERROR(ROUND(AVERAGE(T1354+M1354*{7,8,9,10,11})/1.21,4),""))</f>
        <v/>
      </c>
      <c r="I1354" s="76" t="n"/>
      <c r="J1354" s="77" t="n"/>
      <c r="K1354" s="74" t="n"/>
      <c r="L1354" s="78" t="n"/>
      <c r="M1354" s="77" t="n"/>
      <c r="N1354" s="53">
        <f>IF(M1354="","",IFERROR(M1354/I1354,""))</f>
        <v/>
      </c>
      <c r="O1354" s="50">
        <f>IF(A1354="","",IFERROR((IF(G1354="",I1354,G1354)-T1354)/M1354,""))</f>
        <v/>
      </c>
      <c r="P1354" s="50">
        <f>IFERROR((I1354/T1354-1)/N1354,"")</f>
        <v/>
      </c>
      <c r="Q1354" s="46">
        <f>IF(OR(T1354="",I1354&lt;T1354),"",IFERROR(R1354/IF(G1354="",I1354,G1354)-1,""))</f>
        <v/>
      </c>
      <c r="R1354" s="48">
        <f>IF($M1354="","",MAX(IF($G1354="",$I1354,$G1354)*(1/1.1),IF($G1354="",$I1354,$G1354)+(R$2*$M1354)))</f>
        <v/>
      </c>
      <c r="S1354" s="49">
        <f>IF($M1354="","",MAX(IF($G1354="",$I1354,$G1354)*(1/1.1),IF($G1354="",$I1354,$G1354)+(S$2*$M1354)))</f>
        <v/>
      </c>
      <c r="T1354" s="82" t="n"/>
      <c r="U1354" s="47">
        <f>IF(OR($M1354="",$T1354=""),"",$T1354+(U$2*$M1354))</f>
        <v/>
      </c>
      <c r="V1354" s="48">
        <f>IF(OR($M1354="",$T1354=""),"",$T1354+(V$2*$M1354))</f>
        <v/>
      </c>
      <c r="W1354" s="48">
        <f>IF(OR($M1354="",$T1354=""),"",$T1354+(W$2*$M1354))</f>
        <v/>
      </c>
      <c r="X1354" s="49">
        <f>IF(OR($M1354="",$T1354=""),"",$T1354+(X$2*$M1354))</f>
        <v/>
      </c>
      <c r="Y1354" s="47">
        <f>IF(OR($M1354="",$T1354=""),"",$T1354+(Y$2*$M1354))</f>
        <v/>
      </c>
      <c r="Z1354" s="49">
        <f>IF(OR($M1354="",$T1354=""),"",$T1354+(Z$2*$M1354))</f>
        <v/>
      </c>
      <c r="AA1354" s="51">
        <f>IF(OR($M1354="",$T1354=""),"",$T1354+(AA$2*$M1354))</f>
        <v/>
      </c>
      <c r="AB1354" s="48">
        <f>IF(OR($M1354="",$T1354=""),"",$T1354+(AB$2*$M1354))</f>
        <v/>
      </c>
      <c r="AC1354" s="48">
        <f>IF(OR($M1354="",$T1354=""),"",$T1354+(AC$2*$M1354))</f>
        <v/>
      </c>
      <c r="AD1354" s="48">
        <f>IF(OR($M1354="",$T1354=""),"",$T1354+(AD$2*$M1354))</f>
        <v/>
      </c>
      <c r="AE1354" s="49">
        <f>IF(OR($M1354="",$T1354=""),"",$T1354+(AE$2*$M1354))</f>
        <v/>
      </c>
      <c r="AF1354" s="52">
        <f>IF(OR(T1354="",I1354&lt;T1354),"",IFERROR(AVERAGE(T1354+M1354*{7,8,9,10,11})/IF(G1354="",I1354,G1354)-1,""))</f>
        <v/>
      </c>
      <c r="AG1354" s="55">
        <f>IF(OR(T1354="",I1354&lt;T1354),"",IFERROR(AF1354/-(R1354/IF(G1354="",I1354,G1354)-1),""))</f>
        <v/>
      </c>
      <c r="AH1354" s="94" t="n"/>
      <c r="AI1354" s="94" t="n"/>
      <c r="AJ1354" s="94" t="n"/>
      <c r="AK1354" s="94" t="n"/>
      <c r="AL1354" s="84" t="n"/>
    </row>
    <row r="1355">
      <c r="A1355" s="64" t="n"/>
      <c r="B1355" s="65" t="n"/>
      <c r="C1355" s="66" t="n"/>
      <c r="D1355" s="67" t="n"/>
      <c r="E1355" s="68" t="n"/>
      <c r="F1355" s="47">
        <f>IF(A1355="","",IF(MIN(H1355,MAX(J1355:K1355))=0,"",MIN(H1355,MAX(J1355:K1355))))</f>
        <v/>
      </c>
      <c r="G1355" s="74" t="n"/>
      <c r="H1355" s="49">
        <f>IF(M1355="","",IFERROR(ROUND(AVERAGE(T1355+M1355*{7,8,9,10,11})/1.21,4),""))</f>
        <v/>
      </c>
      <c r="I1355" s="76" t="n"/>
      <c r="J1355" s="77" t="n"/>
      <c r="K1355" s="74" t="n"/>
      <c r="L1355" s="78" t="n"/>
      <c r="M1355" s="77" t="n"/>
      <c r="N1355" s="53">
        <f>IF(M1355="","",IFERROR(M1355/I1355,""))</f>
        <v/>
      </c>
      <c r="O1355" s="50">
        <f>IF(A1355="","",IFERROR((IF(G1355="",I1355,G1355)-T1355)/M1355,""))</f>
        <v/>
      </c>
      <c r="P1355" s="50">
        <f>IFERROR((I1355/T1355-1)/N1355,"")</f>
        <v/>
      </c>
      <c r="Q1355" s="46">
        <f>IF(OR(T1355="",I1355&lt;T1355),"",IFERROR(R1355/IF(G1355="",I1355,G1355)-1,""))</f>
        <v/>
      </c>
      <c r="R1355" s="48">
        <f>IF($M1355="","",MAX(IF($G1355="",$I1355,$G1355)*(1/1.1),IF($G1355="",$I1355,$G1355)+(R$2*$M1355)))</f>
        <v/>
      </c>
      <c r="S1355" s="49">
        <f>IF($M1355="","",MAX(IF($G1355="",$I1355,$G1355)*(1/1.1),IF($G1355="",$I1355,$G1355)+(S$2*$M1355)))</f>
        <v/>
      </c>
      <c r="T1355" s="82" t="n"/>
      <c r="U1355" s="47">
        <f>IF(OR($M1355="",$T1355=""),"",$T1355+(U$2*$M1355))</f>
        <v/>
      </c>
      <c r="V1355" s="48">
        <f>IF(OR($M1355="",$T1355=""),"",$T1355+(V$2*$M1355))</f>
        <v/>
      </c>
      <c r="W1355" s="48">
        <f>IF(OR($M1355="",$T1355=""),"",$T1355+(W$2*$M1355))</f>
        <v/>
      </c>
      <c r="X1355" s="49">
        <f>IF(OR($M1355="",$T1355=""),"",$T1355+(X$2*$M1355))</f>
        <v/>
      </c>
      <c r="Y1355" s="47">
        <f>IF(OR($M1355="",$T1355=""),"",$T1355+(Y$2*$M1355))</f>
        <v/>
      </c>
      <c r="Z1355" s="49">
        <f>IF(OR($M1355="",$T1355=""),"",$T1355+(Z$2*$M1355))</f>
        <v/>
      </c>
      <c r="AA1355" s="51">
        <f>IF(OR($M1355="",$T1355=""),"",$T1355+(AA$2*$M1355))</f>
        <v/>
      </c>
      <c r="AB1355" s="48">
        <f>IF(OR($M1355="",$T1355=""),"",$T1355+(AB$2*$M1355))</f>
        <v/>
      </c>
      <c r="AC1355" s="48">
        <f>IF(OR($M1355="",$T1355=""),"",$T1355+(AC$2*$M1355))</f>
        <v/>
      </c>
      <c r="AD1355" s="48">
        <f>IF(OR($M1355="",$T1355=""),"",$T1355+(AD$2*$M1355))</f>
        <v/>
      </c>
      <c r="AE1355" s="49">
        <f>IF(OR($M1355="",$T1355=""),"",$T1355+(AE$2*$M1355))</f>
        <v/>
      </c>
      <c r="AF1355" s="52">
        <f>IF(OR(T1355="",I1355&lt;T1355),"",IFERROR(AVERAGE(T1355+M1355*{7,8,9,10,11})/IF(G1355="",I1355,G1355)-1,""))</f>
        <v/>
      </c>
      <c r="AG1355" s="55">
        <f>IF(OR(T1355="",I1355&lt;T1355),"",IFERROR(AF1355/-(R1355/IF(G1355="",I1355,G1355)-1),""))</f>
        <v/>
      </c>
      <c r="AH1355" s="94" t="n"/>
      <c r="AI1355" s="94" t="n"/>
      <c r="AJ1355" s="94" t="n"/>
      <c r="AK1355" s="94" t="n"/>
      <c r="AL1355" s="84" t="n"/>
    </row>
    <row r="1356">
      <c r="A1356" s="64" t="n"/>
      <c r="B1356" s="65" t="n"/>
      <c r="C1356" s="66" t="n"/>
      <c r="D1356" s="67" t="n"/>
      <c r="E1356" s="68" t="n"/>
      <c r="F1356" s="47">
        <f>IF(A1356="","",IF(MIN(H1356,MAX(J1356:K1356))=0,"",MIN(H1356,MAX(J1356:K1356))))</f>
        <v/>
      </c>
      <c r="G1356" s="74" t="n"/>
      <c r="H1356" s="49">
        <f>IF(M1356="","",IFERROR(ROUND(AVERAGE(T1356+M1356*{7,8,9,10,11})/1.21,4),""))</f>
        <v/>
      </c>
      <c r="I1356" s="76" t="n"/>
      <c r="J1356" s="77" t="n"/>
      <c r="K1356" s="74" t="n"/>
      <c r="L1356" s="78" t="n"/>
      <c r="M1356" s="77" t="n"/>
      <c r="N1356" s="53">
        <f>IF(M1356="","",IFERROR(M1356/I1356,""))</f>
        <v/>
      </c>
      <c r="O1356" s="50">
        <f>IF(A1356="","",IFERROR((IF(G1356="",I1356,G1356)-T1356)/M1356,""))</f>
        <v/>
      </c>
      <c r="P1356" s="50">
        <f>IFERROR((I1356/T1356-1)/N1356,"")</f>
        <v/>
      </c>
      <c r="Q1356" s="46">
        <f>IF(OR(T1356="",I1356&lt;T1356),"",IFERROR(R1356/IF(G1356="",I1356,G1356)-1,""))</f>
        <v/>
      </c>
      <c r="R1356" s="48">
        <f>IF($M1356="","",MAX(IF($G1356="",$I1356,$G1356)*(1/1.1),IF($G1356="",$I1356,$G1356)+(R$2*$M1356)))</f>
        <v/>
      </c>
      <c r="S1356" s="49">
        <f>IF($M1356="","",MAX(IF($G1356="",$I1356,$G1356)*(1/1.1),IF($G1356="",$I1356,$G1356)+(S$2*$M1356)))</f>
        <v/>
      </c>
      <c r="T1356" s="82" t="n"/>
      <c r="U1356" s="47">
        <f>IF(OR($M1356="",$T1356=""),"",$T1356+(U$2*$M1356))</f>
        <v/>
      </c>
      <c r="V1356" s="48">
        <f>IF(OR($M1356="",$T1356=""),"",$T1356+(V$2*$M1356))</f>
        <v/>
      </c>
      <c r="W1356" s="48">
        <f>IF(OR($M1356="",$T1356=""),"",$T1356+(W$2*$M1356))</f>
        <v/>
      </c>
      <c r="X1356" s="49">
        <f>IF(OR($M1356="",$T1356=""),"",$T1356+(X$2*$M1356))</f>
        <v/>
      </c>
      <c r="Y1356" s="47">
        <f>IF(OR($M1356="",$T1356=""),"",$T1356+(Y$2*$M1356))</f>
        <v/>
      </c>
      <c r="Z1356" s="49">
        <f>IF(OR($M1356="",$T1356=""),"",$T1356+(Z$2*$M1356))</f>
        <v/>
      </c>
      <c r="AA1356" s="51">
        <f>IF(OR($M1356="",$T1356=""),"",$T1356+(AA$2*$M1356))</f>
        <v/>
      </c>
      <c r="AB1356" s="48">
        <f>IF(OR($M1356="",$T1356=""),"",$T1356+(AB$2*$M1356))</f>
        <v/>
      </c>
      <c r="AC1356" s="48">
        <f>IF(OR($M1356="",$T1356=""),"",$T1356+(AC$2*$M1356))</f>
        <v/>
      </c>
      <c r="AD1356" s="48">
        <f>IF(OR($M1356="",$T1356=""),"",$T1356+(AD$2*$M1356))</f>
        <v/>
      </c>
      <c r="AE1356" s="49">
        <f>IF(OR($M1356="",$T1356=""),"",$T1356+(AE$2*$M1356))</f>
        <v/>
      </c>
      <c r="AF1356" s="52">
        <f>IF(OR(T1356="",I1356&lt;T1356),"",IFERROR(AVERAGE(T1356+M1356*{7,8,9,10,11})/IF(G1356="",I1356,G1356)-1,""))</f>
        <v/>
      </c>
      <c r="AG1356" s="55">
        <f>IF(OR(T1356="",I1356&lt;T1356),"",IFERROR(AF1356/-(R1356/IF(G1356="",I1356,G1356)-1),""))</f>
        <v/>
      </c>
      <c r="AH1356" s="94" t="n"/>
      <c r="AI1356" s="94" t="n"/>
      <c r="AJ1356" s="94" t="n"/>
      <c r="AK1356" s="94" t="n"/>
      <c r="AL1356" s="84" t="n"/>
    </row>
    <row r="1357">
      <c r="A1357" s="64" t="n"/>
      <c r="B1357" s="65" t="n"/>
      <c r="C1357" s="66" t="n"/>
      <c r="D1357" s="67" t="n"/>
      <c r="E1357" s="68" t="n"/>
      <c r="F1357" s="47">
        <f>IF(A1357="","",IF(MIN(H1357,MAX(J1357:K1357))=0,"",MIN(H1357,MAX(J1357:K1357))))</f>
        <v/>
      </c>
      <c r="G1357" s="74" t="n"/>
      <c r="H1357" s="49">
        <f>IF(M1357="","",IFERROR(ROUND(AVERAGE(T1357+M1357*{7,8,9,10,11})/1.21,4),""))</f>
        <v/>
      </c>
      <c r="I1357" s="76" t="n"/>
      <c r="J1357" s="77" t="n"/>
      <c r="K1357" s="74" t="n"/>
      <c r="L1357" s="78" t="n"/>
      <c r="M1357" s="77" t="n"/>
      <c r="N1357" s="53">
        <f>IF(M1357="","",IFERROR(M1357/I1357,""))</f>
        <v/>
      </c>
      <c r="O1357" s="50">
        <f>IF(A1357="","",IFERROR((IF(G1357="",I1357,G1357)-T1357)/M1357,""))</f>
        <v/>
      </c>
      <c r="P1357" s="50">
        <f>IFERROR((I1357/T1357-1)/N1357,"")</f>
        <v/>
      </c>
      <c r="Q1357" s="46">
        <f>IF(OR(T1357="",I1357&lt;T1357),"",IFERROR(R1357/IF(G1357="",I1357,G1357)-1,""))</f>
        <v/>
      </c>
      <c r="R1357" s="48">
        <f>IF($M1357="","",MAX(IF($G1357="",$I1357,$G1357)*(1/1.1),IF($G1357="",$I1357,$G1357)+(R$2*$M1357)))</f>
        <v/>
      </c>
      <c r="S1357" s="49">
        <f>IF($M1357="","",MAX(IF($G1357="",$I1357,$G1357)*(1/1.1),IF($G1357="",$I1357,$G1357)+(S$2*$M1357)))</f>
        <v/>
      </c>
      <c r="T1357" s="82" t="n"/>
      <c r="U1357" s="47">
        <f>IF(OR($M1357="",$T1357=""),"",$T1357+(U$2*$M1357))</f>
        <v/>
      </c>
      <c r="V1357" s="48">
        <f>IF(OR($M1357="",$T1357=""),"",$T1357+(V$2*$M1357))</f>
        <v/>
      </c>
      <c r="W1357" s="48">
        <f>IF(OR($M1357="",$T1357=""),"",$T1357+(W$2*$M1357))</f>
        <v/>
      </c>
      <c r="X1357" s="49">
        <f>IF(OR($M1357="",$T1357=""),"",$T1357+(X$2*$M1357))</f>
        <v/>
      </c>
      <c r="Y1357" s="47">
        <f>IF(OR($M1357="",$T1357=""),"",$T1357+(Y$2*$M1357))</f>
        <v/>
      </c>
      <c r="Z1357" s="49">
        <f>IF(OR($M1357="",$T1357=""),"",$T1357+(Z$2*$M1357))</f>
        <v/>
      </c>
      <c r="AA1357" s="51">
        <f>IF(OR($M1357="",$T1357=""),"",$T1357+(AA$2*$M1357))</f>
        <v/>
      </c>
      <c r="AB1357" s="48">
        <f>IF(OR($M1357="",$T1357=""),"",$T1357+(AB$2*$M1357))</f>
        <v/>
      </c>
      <c r="AC1357" s="48">
        <f>IF(OR($M1357="",$T1357=""),"",$T1357+(AC$2*$M1357))</f>
        <v/>
      </c>
      <c r="AD1357" s="48">
        <f>IF(OR($M1357="",$T1357=""),"",$T1357+(AD$2*$M1357))</f>
        <v/>
      </c>
      <c r="AE1357" s="49">
        <f>IF(OR($M1357="",$T1357=""),"",$T1357+(AE$2*$M1357))</f>
        <v/>
      </c>
      <c r="AF1357" s="52">
        <f>IF(OR(T1357="",I1357&lt;T1357),"",IFERROR(AVERAGE(T1357+M1357*{7,8,9,10,11})/IF(G1357="",I1357,G1357)-1,""))</f>
        <v/>
      </c>
      <c r="AG1357" s="55">
        <f>IF(OR(T1357="",I1357&lt;T1357),"",IFERROR(AF1357/-(R1357/IF(G1357="",I1357,G1357)-1),""))</f>
        <v/>
      </c>
      <c r="AH1357" s="94" t="n"/>
      <c r="AI1357" s="94" t="n"/>
      <c r="AJ1357" s="94" t="n"/>
      <c r="AK1357" s="94" t="n"/>
      <c r="AL1357" s="84" t="n"/>
    </row>
    <row r="1358">
      <c r="A1358" s="64" t="n"/>
      <c r="B1358" s="65" t="n"/>
      <c r="C1358" s="66" t="n"/>
      <c r="D1358" s="67" t="n"/>
      <c r="E1358" s="68" t="n"/>
      <c r="F1358" s="47">
        <f>IF(A1358="","",IF(MIN(H1358,MAX(J1358:K1358))=0,"",MIN(H1358,MAX(J1358:K1358))))</f>
        <v/>
      </c>
      <c r="G1358" s="74" t="n"/>
      <c r="H1358" s="49">
        <f>IF(M1358="","",IFERROR(ROUND(AVERAGE(T1358+M1358*{7,8,9,10,11})/1.21,4),""))</f>
        <v/>
      </c>
      <c r="I1358" s="76" t="n"/>
      <c r="J1358" s="77" t="n"/>
      <c r="K1358" s="74" t="n"/>
      <c r="L1358" s="78" t="n"/>
      <c r="M1358" s="77" t="n"/>
      <c r="N1358" s="53">
        <f>IF(M1358="","",IFERROR(M1358/I1358,""))</f>
        <v/>
      </c>
      <c r="O1358" s="50">
        <f>IF(A1358="","",IFERROR((IF(G1358="",I1358,G1358)-T1358)/M1358,""))</f>
        <v/>
      </c>
      <c r="P1358" s="50">
        <f>IFERROR((I1358/T1358-1)/N1358,"")</f>
        <v/>
      </c>
      <c r="Q1358" s="46">
        <f>IF(OR(T1358="",I1358&lt;T1358),"",IFERROR(R1358/IF(G1358="",I1358,G1358)-1,""))</f>
        <v/>
      </c>
      <c r="R1358" s="48">
        <f>IF($M1358="","",MAX(IF($G1358="",$I1358,$G1358)*(1/1.1),IF($G1358="",$I1358,$G1358)+(R$2*$M1358)))</f>
        <v/>
      </c>
      <c r="S1358" s="49">
        <f>IF($M1358="","",MAX(IF($G1358="",$I1358,$G1358)*(1/1.1),IF($G1358="",$I1358,$G1358)+(S$2*$M1358)))</f>
        <v/>
      </c>
      <c r="T1358" s="82" t="n"/>
      <c r="U1358" s="47">
        <f>IF(OR($M1358="",$T1358=""),"",$T1358+(U$2*$M1358))</f>
        <v/>
      </c>
      <c r="V1358" s="48">
        <f>IF(OR($M1358="",$T1358=""),"",$T1358+(V$2*$M1358))</f>
        <v/>
      </c>
      <c r="W1358" s="48">
        <f>IF(OR($M1358="",$T1358=""),"",$T1358+(W$2*$M1358))</f>
        <v/>
      </c>
      <c r="X1358" s="49">
        <f>IF(OR($M1358="",$T1358=""),"",$T1358+(X$2*$M1358))</f>
        <v/>
      </c>
      <c r="Y1358" s="47">
        <f>IF(OR($M1358="",$T1358=""),"",$T1358+(Y$2*$M1358))</f>
        <v/>
      </c>
      <c r="Z1358" s="49">
        <f>IF(OR($M1358="",$T1358=""),"",$T1358+(Z$2*$M1358))</f>
        <v/>
      </c>
      <c r="AA1358" s="51">
        <f>IF(OR($M1358="",$T1358=""),"",$T1358+(AA$2*$M1358))</f>
        <v/>
      </c>
      <c r="AB1358" s="48">
        <f>IF(OR($M1358="",$T1358=""),"",$T1358+(AB$2*$M1358))</f>
        <v/>
      </c>
      <c r="AC1358" s="48">
        <f>IF(OR($M1358="",$T1358=""),"",$T1358+(AC$2*$M1358))</f>
        <v/>
      </c>
      <c r="AD1358" s="48">
        <f>IF(OR($M1358="",$T1358=""),"",$T1358+(AD$2*$M1358))</f>
        <v/>
      </c>
      <c r="AE1358" s="49">
        <f>IF(OR($M1358="",$T1358=""),"",$T1358+(AE$2*$M1358))</f>
        <v/>
      </c>
      <c r="AF1358" s="52">
        <f>IF(OR(T1358="",I1358&lt;T1358),"",IFERROR(AVERAGE(T1358+M1358*{7,8,9,10,11})/IF(G1358="",I1358,G1358)-1,""))</f>
        <v/>
      </c>
      <c r="AG1358" s="55">
        <f>IF(OR(T1358="",I1358&lt;T1358),"",IFERROR(AF1358/-(R1358/IF(G1358="",I1358,G1358)-1),""))</f>
        <v/>
      </c>
      <c r="AH1358" s="94" t="n"/>
      <c r="AI1358" s="94" t="n"/>
      <c r="AJ1358" s="94" t="n"/>
      <c r="AK1358" s="94" t="n"/>
      <c r="AL1358" s="84" t="n"/>
    </row>
    <row r="1359">
      <c r="A1359" s="64" t="n"/>
      <c r="B1359" s="65" t="n"/>
      <c r="C1359" s="66" t="n"/>
      <c r="D1359" s="67" t="n"/>
      <c r="E1359" s="68" t="n"/>
      <c r="F1359" s="47">
        <f>IF(A1359="","",IF(MIN(H1359,MAX(J1359:K1359))=0,"",MIN(H1359,MAX(J1359:K1359))))</f>
        <v/>
      </c>
      <c r="G1359" s="74" t="n"/>
      <c r="H1359" s="49">
        <f>IF(M1359="","",IFERROR(ROUND(AVERAGE(T1359+M1359*{7,8,9,10,11})/1.21,4),""))</f>
        <v/>
      </c>
      <c r="I1359" s="76" t="n"/>
      <c r="J1359" s="77" t="n"/>
      <c r="K1359" s="74" t="n"/>
      <c r="L1359" s="78" t="n"/>
      <c r="M1359" s="77" t="n"/>
      <c r="N1359" s="53">
        <f>IF(M1359="","",IFERROR(M1359/I1359,""))</f>
        <v/>
      </c>
      <c r="O1359" s="50">
        <f>IF(A1359="","",IFERROR((IF(G1359="",I1359,G1359)-T1359)/M1359,""))</f>
        <v/>
      </c>
      <c r="P1359" s="50">
        <f>IFERROR((I1359/T1359-1)/N1359,"")</f>
        <v/>
      </c>
      <c r="Q1359" s="46">
        <f>IF(OR(T1359="",I1359&lt;T1359),"",IFERROR(R1359/IF(G1359="",I1359,G1359)-1,""))</f>
        <v/>
      </c>
      <c r="R1359" s="48">
        <f>IF($M1359="","",MAX(IF($G1359="",$I1359,$G1359)*(1/1.1),IF($G1359="",$I1359,$G1359)+(R$2*$M1359)))</f>
        <v/>
      </c>
      <c r="S1359" s="49">
        <f>IF($M1359="","",MAX(IF($G1359="",$I1359,$G1359)*(1/1.1),IF($G1359="",$I1359,$G1359)+(S$2*$M1359)))</f>
        <v/>
      </c>
      <c r="T1359" s="82" t="n"/>
      <c r="U1359" s="47">
        <f>IF(OR($M1359="",$T1359=""),"",$T1359+(U$2*$M1359))</f>
        <v/>
      </c>
      <c r="V1359" s="48">
        <f>IF(OR($M1359="",$T1359=""),"",$T1359+(V$2*$M1359))</f>
        <v/>
      </c>
      <c r="W1359" s="48">
        <f>IF(OR($M1359="",$T1359=""),"",$T1359+(W$2*$M1359))</f>
        <v/>
      </c>
      <c r="X1359" s="49">
        <f>IF(OR($M1359="",$T1359=""),"",$T1359+(X$2*$M1359))</f>
        <v/>
      </c>
      <c r="Y1359" s="47">
        <f>IF(OR($M1359="",$T1359=""),"",$T1359+(Y$2*$M1359))</f>
        <v/>
      </c>
      <c r="Z1359" s="49">
        <f>IF(OR($M1359="",$T1359=""),"",$T1359+(Z$2*$M1359))</f>
        <v/>
      </c>
      <c r="AA1359" s="51">
        <f>IF(OR($M1359="",$T1359=""),"",$T1359+(AA$2*$M1359))</f>
        <v/>
      </c>
      <c r="AB1359" s="48">
        <f>IF(OR($M1359="",$T1359=""),"",$T1359+(AB$2*$M1359))</f>
        <v/>
      </c>
      <c r="AC1359" s="48">
        <f>IF(OR($M1359="",$T1359=""),"",$T1359+(AC$2*$M1359))</f>
        <v/>
      </c>
      <c r="AD1359" s="48">
        <f>IF(OR($M1359="",$T1359=""),"",$T1359+(AD$2*$M1359))</f>
        <v/>
      </c>
      <c r="AE1359" s="49">
        <f>IF(OR($M1359="",$T1359=""),"",$T1359+(AE$2*$M1359))</f>
        <v/>
      </c>
      <c r="AF1359" s="52">
        <f>IF(OR(T1359="",I1359&lt;T1359),"",IFERROR(AVERAGE(T1359+M1359*{7,8,9,10,11})/IF(G1359="",I1359,G1359)-1,""))</f>
        <v/>
      </c>
      <c r="AG1359" s="55">
        <f>IF(OR(T1359="",I1359&lt;T1359),"",IFERROR(AF1359/-(R1359/IF(G1359="",I1359,G1359)-1),""))</f>
        <v/>
      </c>
      <c r="AH1359" s="94" t="n"/>
      <c r="AI1359" s="94" t="n"/>
      <c r="AJ1359" s="94" t="n"/>
      <c r="AK1359" s="94" t="n"/>
      <c r="AL1359" s="84" t="n"/>
    </row>
    <row r="1360">
      <c r="A1360" s="64" t="n"/>
      <c r="B1360" s="65" t="n"/>
      <c r="C1360" s="66" t="n"/>
      <c r="D1360" s="67" t="n"/>
      <c r="E1360" s="68" t="n"/>
      <c r="F1360" s="47">
        <f>IF(A1360="","",IF(MIN(H1360,MAX(J1360:K1360))=0,"",MIN(H1360,MAX(J1360:K1360))))</f>
        <v/>
      </c>
      <c r="G1360" s="74" t="n"/>
      <c r="H1360" s="49">
        <f>IF(M1360="","",IFERROR(ROUND(AVERAGE(T1360+M1360*{7,8,9,10,11})/1.21,4),""))</f>
        <v/>
      </c>
      <c r="I1360" s="76" t="n"/>
      <c r="J1360" s="77" t="n"/>
      <c r="K1360" s="74" t="n"/>
      <c r="L1360" s="78" t="n"/>
      <c r="M1360" s="77" t="n"/>
      <c r="N1360" s="53">
        <f>IF(M1360="","",IFERROR(M1360/I1360,""))</f>
        <v/>
      </c>
      <c r="O1360" s="50">
        <f>IF(A1360="","",IFERROR((IF(G1360="",I1360,G1360)-T1360)/M1360,""))</f>
        <v/>
      </c>
      <c r="P1360" s="50">
        <f>IFERROR((I1360/T1360-1)/N1360,"")</f>
        <v/>
      </c>
      <c r="Q1360" s="46">
        <f>IF(OR(T1360="",I1360&lt;T1360),"",IFERROR(R1360/IF(G1360="",I1360,G1360)-1,""))</f>
        <v/>
      </c>
      <c r="R1360" s="48">
        <f>IF($M1360="","",MAX(IF($G1360="",$I1360,$G1360)*(1/1.1),IF($G1360="",$I1360,$G1360)+(R$2*$M1360)))</f>
        <v/>
      </c>
      <c r="S1360" s="49">
        <f>IF($M1360="","",MAX(IF($G1360="",$I1360,$G1360)*(1/1.1),IF($G1360="",$I1360,$G1360)+(S$2*$M1360)))</f>
        <v/>
      </c>
      <c r="T1360" s="82" t="n"/>
      <c r="U1360" s="47">
        <f>IF(OR($M1360="",$T1360=""),"",$T1360+(U$2*$M1360))</f>
        <v/>
      </c>
      <c r="V1360" s="48">
        <f>IF(OR($M1360="",$T1360=""),"",$T1360+(V$2*$M1360))</f>
        <v/>
      </c>
      <c r="W1360" s="48">
        <f>IF(OR($M1360="",$T1360=""),"",$T1360+(W$2*$M1360))</f>
        <v/>
      </c>
      <c r="X1360" s="49">
        <f>IF(OR($M1360="",$T1360=""),"",$T1360+(X$2*$M1360))</f>
        <v/>
      </c>
      <c r="Y1360" s="47">
        <f>IF(OR($M1360="",$T1360=""),"",$T1360+(Y$2*$M1360))</f>
        <v/>
      </c>
      <c r="Z1360" s="49">
        <f>IF(OR($M1360="",$T1360=""),"",$T1360+(Z$2*$M1360))</f>
        <v/>
      </c>
      <c r="AA1360" s="51">
        <f>IF(OR($M1360="",$T1360=""),"",$T1360+(AA$2*$M1360))</f>
        <v/>
      </c>
      <c r="AB1360" s="48">
        <f>IF(OR($M1360="",$T1360=""),"",$T1360+(AB$2*$M1360))</f>
        <v/>
      </c>
      <c r="AC1360" s="48">
        <f>IF(OR($M1360="",$T1360=""),"",$T1360+(AC$2*$M1360))</f>
        <v/>
      </c>
      <c r="AD1360" s="48">
        <f>IF(OR($M1360="",$T1360=""),"",$T1360+(AD$2*$M1360))</f>
        <v/>
      </c>
      <c r="AE1360" s="49">
        <f>IF(OR($M1360="",$T1360=""),"",$T1360+(AE$2*$M1360))</f>
        <v/>
      </c>
      <c r="AF1360" s="52">
        <f>IF(OR(T1360="",I1360&lt;T1360),"",IFERROR(AVERAGE(T1360+M1360*{7,8,9,10,11})/IF(G1360="",I1360,G1360)-1,""))</f>
        <v/>
      </c>
      <c r="AG1360" s="55">
        <f>IF(OR(T1360="",I1360&lt;T1360),"",IFERROR(AF1360/-(R1360/IF(G1360="",I1360,G1360)-1),""))</f>
        <v/>
      </c>
      <c r="AH1360" s="94" t="n"/>
      <c r="AI1360" s="94" t="n"/>
      <c r="AJ1360" s="94" t="n"/>
      <c r="AK1360" s="94" t="n"/>
      <c r="AL1360" s="84" t="n"/>
    </row>
    <row r="1361">
      <c r="A1361" s="64" t="n"/>
      <c r="B1361" s="65" t="n"/>
      <c r="C1361" s="66" t="n"/>
      <c r="D1361" s="67" t="n"/>
      <c r="E1361" s="68" t="n"/>
      <c r="F1361" s="47">
        <f>IF(A1361="","",IF(MIN(H1361,MAX(J1361:K1361))=0,"",MIN(H1361,MAX(J1361:K1361))))</f>
        <v/>
      </c>
      <c r="G1361" s="74" t="n"/>
      <c r="H1361" s="49">
        <f>IF(M1361="","",IFERROR(ROUND(AVERAGE(T1361+M1361*{7,8,9,10,11})/1.21,4),""))</f>
        <v/>
      </c>
      <c r="I1361" s="76" t="n"/>
      <c r="J1361" s="77" t="n"/>
      <c r="K1361" s="74" t="n"/>
      <c r="L1361" s="78" t="n"/>
      <c r="M1361" s="77" t="n"/>
      <c r="N1361" s="53">
        <f>IF(M1361="","",IFERROR(M1361/I1361,""))</f>
        <v/>
      </c>
      <c r="O1361" s="50">
        <f>IF(A1361="","",IFERROR((IF(G1361="",I1361,G1361)-T1361)/M1361,""))</f>
        <v/>
      </c>
      <c r="P1361" s="50">
        <f>IFERROR((I1361/T1361-1)/N1361,"")</f>
        <v/>
      </c>
      <c r="Q1361" s="46">
        <f>IF(OR(T1361="",I1361&lt;T1361),"",IFERROR(R1361/IF(G1361="",I1361,G1361)-1,""))</f>
        <v/>
      </c>
      <c r="R1361" s="48">
        <f>IF($M1361="","",MAX(IF($G1361="",$I1361,$G1361)*(1/1.1),IF($G1361="",$I1361,$G1361)+(R$2*$M1361)))</f>
        <v/>
      </c>
      <c r="S1361" s="49">
        <f>IF($M1361="","",MAX(IF($G1361="",$I1361,$G1361)*(1/1.1),IF($G1361="",$I1361,$G1361)+(S$2*$M1361)))</f>
        <v/>
      </c>
      <c r="T1361" s="82" t="n"/>
      <c r="U1361" s="47">
        <f>IF(OR($M1361="",$T1361=""),"",$T1361+(U$2*$M1361))</f>
        <v/>
      </c>
      <c r="V1361" s="48">
        <f>IF(OR($M1361="",$T1361=""),"",$T1361+(V$2*$M1361))</f>
        <v/>
      </c>
      <c r="W1361" s="48">
        <f>IF(OR($M1361="",$T1361=""),"",$T1361+(W$2*$M1361))</f>
        <v/>
      </c>
      <c r="X1361" s="49">
        <f>IF(OR($M1361="",$T1361=""),"",$T1361+(X$2*$M1361))</f>
        <v/>
      </c>
      <c r="Y1361" s="47">
        <f>IF(OR($M1361="",$T1361=""),"",$T1361+(Y$2*$M1361))</f>
        <v/>
      </c>
      <c r="Z1361" s="49">
        <f>IF(OR($M1361="",$T1361=""),"",$T1361+(Z$2*$M1361))</f>
        <v/>
      </c>
      <c r="AA1361" s="51">
        <f>IF(OR($M1361="",$T1361=""),"",$T1361+(AA$2*$M1361))</f>
        <v/>
      </c>
      <c r="AB1361" s="48">
        <f>IF(OR($M1361="",$T1361=""),"",$T1361+(AB$2*$M1361))</f>
        <v/>
      </c>
      <c r="AC1361" s="48">
        <f>IF(OR($M1361="",$T1361=""),"",$T1361+(AC$2*$M1361))</f>
        <v/>
      </c>
      <c r="AD1361" s="48">
        <f>IF(OR($M1361="",$T1361=""),"",$T1361+(AD$2*$M1361))</f>
        <v/>
      </c>
      <c r="AE1361" s="49">
        <f>IF(OR($M1361="",$T1361=""),"",$T1361+(AE$2*$M1361))</f>
        <v/>
      </c>
      <c r="AF1361" s="52">
        <f>IF(OR(T1361="",I1361&lt;T1361),"",IFERROR(AVERAGE(T1361+M1361*{7,8,9,10,11})/IF(G1361="",I1361,G1361)-1,""))</f>
        <v/>
      </c>
      <c r="AG1361" s="55">
        <f>IF(OR(T1361="",I1361&lt;T1361),"",IFERROR(AF1361/-(R1361/IF(G1361="",I1361,G1361)-1),""))</f>
        <v/>
      </c>
      <c r="AH1361" s="94" t="n"/>
      <c r="AI1361" s="94" t="n"/>
      <c r="AJ1361" s="94" t="n"/>
      <c r="AK1361" s="94" t="n"/>
      <c r="AL1361" s="84" t="n"/>
    </row>
    <row r="1362">
      <c r="A1362" s="64" t="n"/>
      <c r="B1362" s="65" t="n"/>
      <c r="C1362" s="66" t="n"/>
      <c r="D1362" s="67" t="n"/>
      <c r="E1362" s="68" t="n"/>
      <c r="F1362" s="47">
        <f>IF(A1362="","",IF(MIN(H1362,MAX(J1362:K1362))=0,"",MIN(H1362,MAX(J1362:K1362))))</f>
        <v/>
      </c>
      <c r="G1362" s="74" t="n"/>
      <c r="H1362" s="49">
        <f>IF(M1362="","",IFERROR(ROUND(AVERAGE(T1362+M1362*{7,8,9,10,11})/1.21,4),""))</f>
        <v/>
      </c>
      <c r="I1362" s="76" t="n"/>
      <c r="J1362" s="77" t="n"/>
      <c r="K1362" s="74" t="n"/>
      <c r="L1362" s="78" t="n"/>
      <c r="M1362" s="77" t="n"/>
      <c r="N1362" s="53">
        <f>IF(M1362="","",IFERROR(M1362/I1362,""))</f>
        <v/>
      </c>
      <c r="O1362" s="50">
        <f>IF(A1362="","",IFERROR((IF(G1362="",I1362,G1362)-T1362)/M1362,""))</f>
        <v/>
      </c>
      <c r="P1362" s="50">
        <f>IFERROR((I1362/T1362-1)/N1362,"")</f>
        <v/>
      </c>
      <c r="Q1362" s="46">
        <f>IF(OR(T1362="",I1362&lt;T1362),"",IFERROR(R1362/IF(G1362="",I1362,G1362)-1,""))</f>
        <v/>
      </c>
      <c r="R1362" s="48">
        <f>IF($M1362="","",MAX(IF($G1362="",$I1362,$G1362)*(1/1.1),IF($G1362="",$I1362,$G1362)+(R$2*$M1362)))</f>
        <v/>
      </c>
      <c r="S1362" s="49">
        <f>IF($M1362="","",MAX(IF($G1362="",$I1362,$G1362)*(1/1.1),IF($G1362="",$I1362,$G1362)+(S$2*$M1362)))</f>
        <v/>
      </c>
      <c r="T1362" s="82" t="n"/>
      <c r="U1362" s="47">
        <f>IF(OR($M1362="",$T1362=""),"",$T1362+(U$2*$M1362))</f>
        <v/>
      </c>
      <c r="V1362" s="48">
        <f>IF(OR($M1362="",$T1362=""),"",$T1362+(V$2*$M1362))</f>
        <v/>
      </c>
      <c r="W1362" s="48">
        <f>IF(OR($M1362="",$T1362=""),"",$T1362+(W$2*$M1362))</f>
        <v/>
      </c>
      <c r="X1362" s="49">
        <f>IF(OR($M1362="",$T1362=""),"",$T1362+(X$2*$M1362))</f>
        <v/>
      </c>
      <c r="Y1362" s="47">
        <f>IF(OR($M1362="",$T1362=""),"",$T1362+(Y$2*$M1362))</f>
        <v/>
      </c>
      <c r="Z1362" s="49">
        <f>IF(OR($M1362="",$T1362=""),"",$T1362+(Z$2*$M1362))</f>
        <v/>
      </c>
      <c r="AA1362" s="51">
        <f>IF(OR($M1362="",$T1362=""),"",$T1362+(AA$2*$M1362))</f>
        <v/>
      </c>
      <c r="AB1362" s="48">
        <f>IF(OR($M1362="",$T1362=""),"",$T1362+(AB$2*$M1362))</f>
        <v/>
      </c>
      <c r="AC1362" s="48">
        <f>IF(OR($M1362="",$T1362=""),"",$T1362+(AC$2*$M1362))</f>
        <v/>
      </c>
      <c r="AD1362" s="48">
        <f>IF(OR($M1362="",$T1362=""),"",$T1362+(AD$2*$M1362))</f>
        <v/>
      </c>
      <c r="AE1362" s="49">
        <f>IF(OR($M1362="",$T1362=""),"",$T1362+(AE$2*$M1362))</f>
        <v/>
      </c>
      <c r="AF1362" s="52">
        <f>IF(OR(T1362="",I1362&lt;T1362),"",IFERROR(AVERAGE(T1362+M1362*{7,8,9,10,11})/IF(G1362="",I1362,G1362)-1,""))</f>
        <v/>
      </c>
      <c r="AG1362" s="55">
        <f>IF(OR(T1362="",I1362&lt;T1362),"",IFERROR(AF1362/-(R1362/IF(G1362="",I1362,G1362)-1),""))</f>
        <v/>
      </c>
      <c r="AH1362" s="94" t="n"/>
      <c r="AI1362" s="94" t="n"/>
      <c r="AJ1362" s="94" t="n"/>
      <c r="AK1362" s="94" t="n"/>
      <c r="AL1362" s="84" t="n"/>
    </row>
    <row r="1363">
      <c r="A1363" s="64" t="n"/>
      <c r="B1363" s="65" t="n"/>
      <c r="C1363" s="66" t="n"/>
      <c r="D1363" s="67" t="n"/>
      <c r="E1363" s="68" t="n"/>
      <c r="F1363" s="47">
        <f>IF(A1363="","",IF(MIN(H1363,MAX(J1363:K1363))=0,"",MIN(H1363,MAX(J1363:K1363))))</f>
        <v/>
      </c>
      <c r="G1363" s="74" t="n"/>
      <c r="H1363" s="49">
        <f>IF(M1363="","",IFERROR(ROUND(AVERAGE(T1363+M1363*{7,8,9,10,11})/1.21,4),""))</f>
        <v/>
      </c>
      <c r="I1363" s="76" t="n"/>
      <c r="J1363" s="77" t="n"/>
      <c r="K1363" s="74" t="n"/>
      <c r="L1363" s="78" t="n"/>
      <c r="M1363" s="77" t="n"/>
      <c r="N1363" s="53">
        <f>IF(M1363="","",IFERROR(M1363/I1363,""))</f>
        <v/>
      </c>
      <c r="O1363" s="50">
        <f>IF(A1363="","",IFERROR((IF(G1363="",I1363,G1363)-T1363)/M1363,""))</f>
        <v/>
      </c>
      <c r="P1363" s="50">
        <f>IFERROR((I1363/T1363-1)/N1363,"")</f>
        <v/>
      </c>
      <c r="Q1363" s="46">
        <f>IF(OR(T1363="",I1363&lt;T1363),"",IFERROR(R1363/IF(G1363="",I1363,G1363)-1,""))</f>
        <v/>
      </c>
      <c r="R1363" s="48">
        <f>IF($M1363="","",MAX(IF($G1363="",$I1363,$G1363)*(1/1.1),IF($G1363="",$I1363,$G1363)+(R$2*$M1363)))</f>
        <v/>
      </c>
      <c r="S1363" s="49">
        <f>IF($M1363="","",MAX(IF($G1363="",$I1363,$G1363)*(1/1.1),IF($G1363="",$I1363,$G1363)+(S$2*$M1363)))</f>
        <v/>
      </c>
      <c r="T1363" s="82" t="n"/>
      <c r="U1363" s="47">
        <f>IF(OR($M1363="",$T1363=""),"",$T1363+(U$2*$M1363))</f>
        <v/>
      </c>
      <c r="V1363" s="48">
        <f>IF(OR($M1363="",$T1363=""),"",$T1363+(V$2*$M1363))</f>
        <v/>
      </c>
      <c r="W1363" s="48">
        <f>IF(OR($M1363="",$T1363=""),"",$T1363+(W$2*$M1363))</f>
        <v/>
      </c>
      <c r="X1363" s="49">
        <f>IF(OR($M1363="",$T1363=""),"",$T1363+(X$2*$M1363))</f>
        <v/>
      </c>
      <c r="Y1363" s="47">
        <f>IF(OR($M1363="",$T1363=""),"",$T1363+(Y$2*$M1363))</f>
        <v/>
      </c>
      <c r="Z1363" s="49">
        <f>IF(OR($M1363="",$T1363=""),"",$T1363+(Z$2*$M1363))</f>
        <v/>
      </c>
      <c r="AA1363" s="51">
        <f>IF(OR($M1363="",$T1363=""),"",$T1363+(AA$2*$M1363))</f>
        <v/>
      </c>
      <c r="AB1363" s="48">
        <f>IF(OR($M1363="",$T1363=""),"",$T1363+(AB$2*$M1363))</f>
        <v/>
      </c>
      <c r="AC1363" s="48">
        <f>IF(OR($M1363="",$T1363=""),"",$T1363+(AC$2*$M1363))</f>
        <v/>
      </c>
      <c r="AD1363" s="48">
        <f>IF(OR($M1363="",$T1363=""),"",$T1363+(AD$2*$M1363))</f>
        <v/>
      </c>
      <c r="AE1363" s="49">
        <f>IF(OR($M1363="",$T1363=""),"",$T1363+(AE$2*$M1363))</f>
        <v/>
      </c>
      <c r="AF1363" s="52">
        <f>IF(OR(T1363="",I1363&lt;T1363),"",IFERROR(AVERAGE(T1363+M1363*{7,8,9,10,11})/IF(G1363="",I1363,G1363)-1,""))</f>
        <v/>
      </c>
      <c r="AG1363" s="55">
        <f>IF(OR(T1363="",I1363&lt;T1363),"",IFERROR(AF1363/-(R1363/IF(G1363="",I1363,G1363)-1),""))</f>
        <v/>
      </c>
      <c r="AH1363" s="94" t="n"/>
      <c r="AI1363" s="94" t="n"/>
      <c r="AJ1363" s="94" t="n"/>
      <c r="AK1363" s="94" t="n"/>
      <c r="AL1363" s="84" t="n"/>
    </row>
    <row r="1364">
      <c r="A1364" s="64" t="n"/>
      <c r="B1364" s="65" t="n"/>
      <c r="C1364" s="66" t="n"/>
      <c r="D1364" s="67" t="n"/>
      <c r="E1364" s="68" t="n"/>
      <c r="F1364" s="47">
        <f>IF(A1364="","",IF(MIN(H1364,MAX(J1364:K1364))=0,"",MIN(H1364,MAX(J1364:K1364))))</f>
        <v/>
      </c>
      <c r="G1364" s="74" t="n"/>
      <c r="H1364" s="49">
        <f>IF(M1364="","",IFERROR(ROUND(AVERAGE(T1364+M1364*{7,8,9,10,11})/1.21,4),""))</f>
        <v/>
      </c>
      <c r="I1364" s="76" t="n"/>
      <c r="J1364" s="77" t="n"/>
      <c r="K1364" s="74" t="n"/>
      <c r="L1364" s="78" t="n"/>
      <c r="M1364" s="77" t="n"/>
      <c r="N1364" s="53">
        <f>IF(M1364="","",IFERROR(M1364/I1364,""))</f>
        <v/>
      </c>
      <c r="O1364" s="50">
        <f>IF(A1364="","",IFERROR((IF(G1364="",I1364,G1364)-T1364)/M1364,""))</f>
        <v/>
      </c>
      <c r="P1364" s="50">
        <f>IFERROR((I1364/T1364-1)/N1364,"")</f>
        <v/>
      </c>
      <c r="Q1364" s="46">
        <f>IF(OR(T1364="",I1364&lt;T1364),"",IFERROR(R1364/IF(G1364="",I1364,G1364)-1,""))</f>
        <v/>
      </c>
      <c r="R1364" s="48">
        <f>IF($M1364="","",MAX(IF($G1364="",$I1364,$G1364)*(1/1.1),IF($G1364="",$I1364,$G1364)+(R$2*$M1364)))</f>
        <v/>
      </c>
      <c r="S1364" s="49">
        <f>IF($M1364="","",MAX(IF($G1364="",$I1364,$G1364)*(1/1.1),IF($G1364="",$I1364,$G1364)+(S$2*$M1364)))</f>
        <v/>
      </c>
      <c r="T1364" s="82" t="n"/>
      <c r="U1364" s="47">
        <f>IF(OR($M1364="",$T1364=""),"",$T1364+(U$2*$M1364))</f>
        <v/>
      </c>
      <c r="V1364" s="48">
        <f>IF(OR($M1364="",$T1364=""),"",$T1364+(V$2*$M1364))</f>
        <v/>
      </c>
      <c r="W1364" s="48">
        <f>IF(OR($M1364="",$T1364=""),"",$T1364+(W$2*$M1364))</f>
        <v/>
      </c>
      <c r="X1364" s="49">
        <f>IF(OR($M1364="",$T1364=""),"",$T1364+(X$2*$M1364))</f>
        <v/>
      </c>
      <c r="Y1364" s="47">
        <f>IF(OR($M1364="",$T1364=""),"",$T1364+(Y$2*$M1364))</f>
        <v/>
      </c>
      <c r="Z1364" s="49">
        <f>IF(OR($M1364="",$T1364=""),"",$T1364+(Z$2*$M1364))</f>
        <v/>
      </c>
      <c r="AA1364" s="51">
        <f>IF(OR($M1364="",$T1364=""),"",$T1364+(AA$2*$M1364))</f>
        <v/>
      </c>
      <c r="AB1364" s="48">
        <f>IF(OR($M1364="",$T1364=""),"",$T1364+(AB$2*$M1364))</f>
        <v/>
      </c>
      <c r="AC1364" s="48">
        <f>IF(OR($M1364="",$T1364=""),"",$T1364+(AC$2*$M1364))</f>
        <v/>
      </c>
      <c r="AD1364" s="48">
        <f>IF(OR($M1364="",$T1364=""),"",$T1364+(AD$2*$M1364))</f>
        <v/>
      </c>
      <c r="AE1364" s="49">
        <f>IF(OR($M1364="",$T1364=""),"",$T1364+(AE$2*$M1364))</f>
        <v/>
      </c>
      <c r="AF1364" s="52">
        <f>IF(OR(T1364="",I1364&lt;T1364),"",IFERROR(AVERAGE(T1364+M1364*{7,8,9,10,11})/IF(G1364="",I1364,G1364)-1,""))</f>
        <v/>
      </c>
      <c r="AG1364" s="55">
        <f>IF(OR(T1364="",I1364&lt;T1364),"",IFERROR(AF1364/-(R1364/IF(G1364="",I1364,G1364)-1),""))</f>
        <v/>
      </c>
      <c r="AH1364" s="94" t="n"/>
      <c r="AI1364" s="94" t="n"/>
      <c r="AJ1364" s="94" t="n"/>
      <c r="AK1364" s="94" t="n"/>
      <c r="AL1364" s="84" t="n"/>
    </row>
    <row r="1365">
      <c r="A1365" s="64" t="n"/>
      <c r="B1365" s="65" t="n"/>
      <c r="C1365" s="66" t="n"/>
      <c r="D1365" s="67" t="n"/>
      <c r="E1365" s="68" t="n"/>
      <c r="F1365" s="47">
        <f>IF(A1365="","",IF(MIN(H1365,MAX(J1365:K1365))=0,"",MIN(H1365,MAX(J1365:K1365))))</f>
        <v/>
      </c>
      <c r="G1365" s="74" t="n"/>
      <c r="H1365" s="49">
        <f>IF(M1365="","",IFERROR(ROUND(AVERAGE(T1365+M1365*{7,8,9,10,11})/1.21,4),""))</f>
        <v/>
      </c>
      <c r="I1365" s="76" t="n"/>
      <c r="J1365" s="77" t="n"/>
      <c r="K1365" s="74" t="n"/>
      <c r="L1365" s="78" t="n"/>
      <c r="M1365" s="77" t="n"/>
      <c r="N1365" s="53">
        <f>IF(M1365="","",IFERROR(M1365/I1365,""))</f>
        <v/>
      </c>
      <c r="O1365" s="50">
        <f>IF(A1365="","",IFERROR((IF(G1365="",I1365,G1365)-T1365)/M1365,""))</f>
        <v/>
      </c>
      <c r="P1365" s="50">
        <f>IFERROR((I1365/T1365-1)/N1365,"")</f>
        <v/>
      </c>
      <c r="Q1365" s="46">
        <f>IF(OR(T1365="",I1365&lt;T1365),"",IFERROR(R1365/IF(G1365="",I1365,G1365)-1,""))</f>
        <v/>
      </c>
      <c r="R1365" s="48">
        <f>IF($M1365="","",MAX(IF($G1365="",$I1365,$G1365)*(1/1.1),IF($G1365="",$I1365,$G1365)+(R$2*$M1365)))</f>
        <v/>
      </c>
      <c r="S1365" s="49">
        <f>IF($M1365="","",MAX(IF($G1365="",$I1365,$G1365)*(1/1.1),IF($G1365="",$I1365,$G1365)+(S$2*$M1365)))</f>
        <v/>
      </c>
      <c r="T1365" s="82" t="n"/>
      <c r="U1365" s="47">
        <f>IF(OR($M1365="",$T1365=""),"",$T1365+(U$2*$M1365))</f>
        <v/>
      </c>
      <c r="V1365" s="48">
        <f>IF(OR($M1365="",$T1365=""),"",$T1365+(V$2*$M1365))</f>
        <v/>
      </c>
      <c r="W1365" s="48">
        <f>IF(OR($M1365="",$T1365=""),"",$T1365+(W$2*$M1365))</f>
        <v/>
      </c>
      <c r="X1365" s="49">
        <f>IF(OR($M1365="",$T1365=""),"",$T1365+(X$2*$M1365))</f>
        <v/>
      </c>
      <c r="Y1365" s="47">
        <f>IF(OR($M1365="",$T1365=""),"",$T1365+(Y$2*$M1365))</f>
        <v/>
      </c>
      <c r="Z1365" s="49">
        <f>IF(OR($M1365="",$T1365=""),"",$T1365+(Z$2*$M1365))</f>
        <v/>
      </c>
      <c r="AA1365" s="51">
        <f>IF(OR($M1365="",$T1365=""),"",$T1365+(AA$2*$M1365))</f>
        <v/>
      </c>
      <c r="AB1365" s="48">
        <f>IF(OR($M1365="",$T1365=""),"",$T1365+(AB$2*$M1365))</f>
        <v/>
      </c>
      <c r="AC1365" s="48">
        <f>IF(OR($M1365="",$T1365=""),"",$T1365+(AC$2*$M1365))</f>
        <v/>
      </c>
      <c r="AD1365" s="48">
        <f>IF(OR($M1365="",$T1365=""),"",$T1365+(AD$2*$M1365))</f>
        <v/>
      </c>
      <c r="AE1365" s="49">
        <f>IF(OR($M1365="",$T1365=""),"",$T1365+(AE$2*$M1365))</f>
        <v/>
      </c>
      <c r="AF1365" s="52">
        <f>IF(OR(T1365="",I1365&lt;T1365),"",IFERROR(AVERAGE(T1365+M1365*{7,8,9,10,11})/IF(G1365="",I1365,G1365)-1,""))</f>
        <v/>
      </c>
      <c r="AG1365" s="55">
        <f>IF(OR(T1365="",I1365&lt;T1365),"",IFERROR(AF1365/-(R1365/IF(G1365="",I1365,G1365)-1),""))</f>
        <v/>
      </c>
      <c r="AH1365" s="94" t="n"/>
      <c r="AI1365" s="94" t="n"/>
      <c r="AJ1365" s="94" t="n"/>
      <c r="AK1365" s="94" t="n"/>
      <c r="AL1365" s="84" t="n"/>
    </row>
    <row r="1366">
      <c r="A1366" s="64" t="n"/>
      <c r="B1366" s="65" t="n"/>
      <c r="C1366" s="66" t="n"/>
      <c r="D1366" s="67" t="n"/>
      <c r="E1366" s="68" t="n"/>
      <c r="F1366" s="47">
        <f>IF(A1366="","",IF(MIN(H1366,MAX(J1366:K1366))=0,"",MIN(H1366,MAX(J1366:K1366))))</f>
        <v/>
      </c>
      <c r="G1366" s="74" t="n"/>
      <c r="H1366" s="49">
        <f>IF(M1366="","",IFERROR(ROUND(AVERAGE(T1366+M1366*{7,8,9,10,11})/1.21,4),""))</f>
        <v/>
      </c>
      <c r="I1366" s="76" t="n"/>
      <c r="J1366" s="77" t="n"/>
      <c r="K1366" s="74" t="n"/>
      <c r="L1366" s="78" t="n"/>
      <c r="M1366" s="77" t="n"/>
      <c r="N1366" s="53">
        <f>IF(M1366="","",IFERROR(M1366/I1366,""))</f>
        <v/>
      </c>
      <c r="O1366" s="50">
        <f>IF(A1366="","",IFERROR((IF(G1366="",I1366,G1366)-T1366)/M1366,""))</f>
        <v/>
      </c>
      <c r="P1366" s="50">
        <f>IFERROR((I1366/T1366-1)/N1366,"")</f>
        <v/>
      </c>
      <c r="Q1366" s="46">
        <f>IF(OR(T1366="",I1366&lt;T1366),"",IFERROR(R1366/IF(G1366="",I1366,G1366)-1,""))</f>
        <v/>
      </c>
      <c r="R1366" s="48">
        <f>IF($M1366="","",MAX(IF($G1366="",$I1366,$G1366)*(1/1.1),IF($G1366="",$I1366,$G1366)+(R$2*$M1366)))</f>
        <v/>
      </c>
      <c r="S1366" s="49">
        <f>IF($M1366="","",MAX(IF($G1366="",$I1366,$G1366)*(1/1.1),IF($G1366="",$I1366,$G1366)+(S$2*$M1366)))</f>
        <v/>
      </c>
      <c r="T1366" s="82" t="n"/>
      <c r="U1366" s="47">
        <f>IF(OR($M1366="",$T1366=""),"",$T1366+(U$2*$M1366))</f>
        <v/>
      </c>
      <c r="V1366" s="48">
        <f>IF(OR($M1366="",$T1366=""),"",$T1366+(V$2*$M1366))</f>
        <v/>
      </c>
      <c r="W1366" s="48">
        <f>IF(OR($M1366="",$T1366=""),"",$T1366+(W$2*$M1366))</f>
        <v/>
      </c>
      <c r="X1366" s="49">
        <f>IF(OR($M1366="",$T1366=""),"",$T1366+(X$2*$M1366))</f>
        <v/>
      </c>
      <c r="Y1366" s="47">
        <f>IF(OR($M1366="",$T1366=""),"",$T1366+(Y$2*$M1366))</f>
        <v/>
      </c>
      <c r="Z1366" s="49">
        <f>IF(OR($M1366="",$T1366=""),"",$T1366+(Z$2*$M1366))</f>
        <v/>
      </c>
      <c r="AA1366" s="51">
        <f>IF(OR($M1366="",$T1366=""),"",$T1366+(AA$2*$M1366))</f>
        <v/>
      </c>
      <c r="AB1366" s="48">
        <f>IF(OR($M1366="",$T1366=""),"",$T1366+(AB$2*$M1366))</f>
        <v/>
      </c>
      <c r="AC1366" s="48">
        <f>IF(OR($M1366="",$T1366=""),"",$T1366+(AC$2*$M1366))</f>
        <v/>
      </c>
      <c r="AD1366" s="48">
        <f>IF(OR($M1366="",$T1366=""),"",$T1366+(AD$2*$M1366))</f>
        <v/>
      </c>
      <c r="AE1366" s="49">
        <f>IF(OR($M1366="",$T1366=""),"",$T1366+(AE$2*$M1366))</f>
        <v/>
      </c>
      <c r="AF1366" s="52">
        <f>IF(OR(T1366="",I1366&lt;T1366),"",IFERROR(AVERAGE(T1366+M1366*{7,8,9,10,11})/IF(G1366="",I1366,G1366)-1,""))</f>
        <v/>
      </c>
      <c r="AG1366" s="55">
        <f>IF(OR(T1366="",I1366&lt;T1366),"",IFERROR(AF1366/-(R1366/IF(G1366="",I1366,G1366)-1),""))</f>
        <v/>
      </c>
      <c r="AH1366" s="94" t="n"/>
      <c r="AI1366" s="94" t="n"/>
      <c r="AJ1366" s="94" t="n"/>
      <c r="AK1366" s="94" t="n"/>
      <c r="AL1366" s="84" t="n"/>
    </row>
    <row r="1367">
      <c r="A1367" s="64" t="n"/>
      <c r="B1367" s="65" t="n"/>
      <c r="C1367" s="66" t="n"/>
      <c r="D1367" s="67" t="n"/>
      <c r="E1367" s="68" t="n"/>
      <c r="F1367" s="47">
        <f>IF(A1367="","",IF(MIN(H1367,MAX(J1367:K1367))=0,"",MIN(H1367,MAX(J1367:K1367))))</f>
        <v/>
      </c>
      <c r="G1367" s="74" t="n"/>
      <c r="H1367" s="49">
        <f>IF(M1367="","",IFERROR(ROUND(AVERAGE(T1367+M1367*{7,8,9,10,11})/1.21,4),""))</f>
        <v/>
      </c>
      <c r="I1367" s="76" t="n"/>
      <c r="J1367" s="77" t="n"/>
      <c r="K1367" s="74" t="n"/>
      <c r="L1367" s="78" t="n"/>
      <c r="M1367" s="77" t="n"/>
      <c r="N1367" s="53">
        <f>IF(M1367="","",IFERROR(M1367/I1367,""))</f>
        <v/>
      </c>
      <c r="O1367" s="50">
        <f>IF(A1367="","",IFERROR((IF(G1367="",I1367,G1367)-T1367)/M1367,""))</f>
        <v/>
      </c>
      <c r="P1367" s="50">
        <f>IFERROR((I1367/T1367-1)/N1367,"")</f>
        <v/>
      </c>
      <c r="Q1367" s="46">
        <f>IF(OR(T1367="",I1367&lt;T1367),"",IFERROR(R1367/IF(G1367="",I1367,G1367)-1,""))</f>
        <v/>
      </c>
      <c r="R1367" s="48">
        <f>IF($M1367="","",MAX(IF($G1367="",$I1367,$G1367)*(1/1.1),IF($G1367="",$I1367,$G1367)+(R$2*$M1367)))</f>
        <v/>
      </c>
      <c r="S1367" s="49">
        <f>IF($M1367="","",MAX(IF($G1367="",$I1367,$G1367)*(1/1.1),IF($G1367="",$I1367,$G1367)+(S$2*$M1367)))</f>
        <v/>
      </c>
      <c r="T1367" s="82" t="n"/>
      <c r="U1367" s="47">
        <f>IF(OR($M1367="",$T1367=""),"",$T1367+(U$2*$M1367))</f>
        <v/>
      </c>
      <c r="V1367" s="48">
        <f>IF(OR($M1367="",$T1367=""),"",$T1367+(V$2*$M1367))</f>
        <v/>
      </c>
      <c r="W1367" s="48">
        <f>IF(OR($M1367="",$T1367=""),"",$T1367+(W$2*$M1367))</f>
        <v/>
      </c>
      <c r="X1367" s="49">
        <f>IF(OR($M1367="",$T1367=""),"",$T1367+(X$2*$M1367))</f>
        <v/>
      </c>
      <c r="Y1367" s="47">
        <f>IF(OR($M1367="",$T1367=""),"",$T1367+(Y$2*$M1367))</f>
        <v/>
      </c>
      <c r="Z1367" s="49">
        <f>IF(OR($M1367="",$T1367=""),"",$T1367+(Z$2*$M1367))</f>
        <v/>
      </c>
      <c r="AA1367" s="51">
        <f>IF(OR($M1367="",$T1367=""),"",$T1367+(AA$2*$M1367))</f>
        <v/>
      </c>
      <c r="AB1367" s="48">
        <f>IF(OR($M1367="",$T1367=""),"",$T1367+(AB$2*$M1367))</f>
        <v/>
      </c>
      <c r="AC1367" s="48">
        <f>IF(OR($M1367="",$T1367=""),"",$T1367+(AC$2*$M1367))</f>
        <v/>
      </c>
      <c r="AD1367" s="48">
        <f>IF(OR($M1367="",$T1367=""),"",$T1367+(AD$2*$M1367))</f>
        <v/>
      </c>
      <c r="AE1367" s="49">
        <f>IF(OR($M1367="",$T1367=""),"",$T1367+(AE$2*$M1367))</f>
        <v/>
      </c>
      <c r="AF1367" s="52">
        <f>IF(OR(T1367="",I1367&lt;T1367),"",IFERROR(AVERAGE(T1367+M1367*{7,8,9,10,11})/IF(G1367="",I1367,G1367)-1,""))</f>
        <v/>
      </c>
      <c r="AG1367" s="55">
        <f>IF(OR(T1367="",I1367&lt;T1367),"",IFERROR(AF1367/-(R1367/IF(G1367="",I1367,G1367)-1),""))</f>
        <v/>
      </c>
      <c r="AH1367" s="94" t="n"/>
      <c r="AI1367" s="94" t="n"/>
      <c r="AJ1367" s="94" t="n"/>
      <c r="AK1367" s="94" t="n"/>
      <c r="AL1367" s="84" t="n"/>
    </row>
    <row r="1368">
      <c r="A1368" s="64" t="n"/>
      <c r="B1368" s="65" t="n"/>
      <c r="C1368" s="66" t="n"/>
      <c r="D1368" s="67" t="n"/>
      <c r="E1368" s="68" t="n"/>
      <c r="F1368" s="47">
        <f>IF(A1368="","",IF(MIN(H1368,MAX(J1368:K1368))=0,"",MIN(H1368,MAX(J1368:K1368))))</f>
        <v/>
      </c>
      <c r="G1368" s="74" t="n"/>
      <c r="H1368" s="49">
        <f>IF(M1368="","",IFERROR(ROUND(AVERAGE(T1368+M1368*{7,8,9,10,11})/1.21,4),""))</f>
        <v/>
      </c>
      <c r="I1368" s="76" t="n"/>
      <c r="J1368" s="77" t="n"/>
      <c r="K1368" s="74" t="n"/>
      <c r="L1368" s="78" t="n"/>
      <c r="M1368" s="77" t="n"/>
      <c r="N1368" s="53">
        <f>IF(M1368="","",IFERROR(M1368/I1368,""))</f>
        <v/>
      </c>
      <c r="O1368" s="50">
        <f>IF(A1368="","",IFERROR((IF(G1368="",I1368,G1368)-T1368)/M1368,""))</f>
        <v/>
      </c>
      <c r="P1368" s="50">
        <f>IFERROR((I1368/T1368-1)/N1368,"")</f>
        <v/>
      </c>
      <c r="Q1368" s="46">
        <f>IF(OR(T1368="",I1368&lt;T1368),"",IFERROR(R1368/IF(G1368="",I1368,G1368)-1,""))</f>
        <v/>
      </c>
      <c r="R1368" s="48">
        <f>IF($M1368="","",MAX(IF($G1368="",$I1368,$G1368)*(1/1.1),IF($G1368="",$I1368,$G1368)+(R$2*$M1368)))</f>
        <v/>
      </c>
      <c r="S1368" s="49">
        <f>IF($M1368="","",MAX(IF($G1368="",$I1368,$G1368)*(1/1.1),IF($G1368="",$I1368,$G1368)+(S$2*$M1368)))</f>
        <v/>
      </c>
      <c r="T1368" s="82" t="n"/>
      <c r="U1368" s="47">
        <f>IF(OR($M1368="",$T1368=""),"",$T1368+(U$2*$M1368))</f>
        <v/>
      </c>
      <c r="V1368" s="48">
        <f>IF(OR($M1368="",$T1368=""),"",$T1368+(V$2*$M1368))</f>
        <v/>
      </c>
      <c r="W1368" s="48">
        <f>IF(OR($M1368="",$T1368=""),"",$T1368+(W$2*$M1368))</f>
        <v/>
      </c>
      <c r="X1368" s="49">
        <f>IF(OR($M1368="",$T1368=""),"",$T1368+(X$2*$M1368))</f>
        <v/>
      </c>
      <c r="Y1368" s="47">
        <f>IF(OR($M1368="",$T1368=""),"",$T1368+(Y$2*$M1368))</f>
        <v/>
      </c>
      <c r="Z1368" s="49">
        <f>IF(OR($M1368="",$T1368=""),"",$T1368+(Z$2*$M1368))</f>
        <v/>
      </c>
      <c r="AA1368" s="51">
        <f>IF(OR($M1368="",$T1368=""),"",$T1368+(AA$2*$M1368))</f>
        <v/>
      </c>
      <c r="AB1368" s="48">
        <f>IF(OR($M1368="",$T1368=""),"",$T1368+(AB$2*$M1368))</f>
        <v/>
      </c>
      <c r="AC1368" s="48">
        <f>IF(OR($M1368="",$T1368=""),"",$T1368+(AC$2*$M1368))</f>
        <v/>
      </c>
      <c r="AD1368" s="48">
        <f>IF(OR($M1368="",$T1368=""),"",$T1368+(AD$2*$M1368))</f>
        <v/>
      </c>
      <c r="AE1368" s="49">
        <f>IF(OR($M1368="",$T1368=""),"",$T1368+(AE$2*$M1368))</f>
        <v/>
      </c>
      <c r="AF1368" s="52">
        <f>IF(OR(T1368="",I1368&lt;T1368),"",IFERROR(AVERAGE(T1368+M1368*{7,8,9,10,11})/IF(G1368="",I1368,G1368)-1,""))</f>
        <v/>
      </c>
      <c r="AG1368" s="55">
        <f>IF(OR(T1368="",I1368&lt;T1368),"",IFERROR(AF1368/-(R1368/IF(G1368="",I1368,G1368)-1),""))</f>
        <v/>
      </c>
      <c r="AH1368" s="94" t="n"/>
      <c r="AI1368" s="94" t="n"/>
      <c r="AJ1368" s="94" t="n"/>
      <c r="AK1368" s="94" t="n"/>
      <c r="AL1368" s="84" t="n"/>
    </row>
    <row r="1369">
      <c r="A1369" s="64" t="n"/>
      <c r="B1369" s="65" t="n"/>
      <c r="C1369" s="66" t="n"/>
      <c r="D1369" s="67" t="n"/>
      <c r="E1369" s="68" t="n"/>
      <c r="F1369" s="47">
        <f>IF(A1369="","",IF(MIN(H1369,MAX(J1369:K1369))=0,"",MIN(H1369,MAX(J1369:K1369))))</f>
        <v/>
      </c>
      <c r="G1369" s="74" t="n"/>
      <c r="H1369" s="49">
        <f>IF(M1369="","",IFERROR(ROUND(AVERAGE(T1369+M1369*{7,8,9,10,11})/1.21,4),""))</f>
        <v/>
      </c>
      <c r="I1369" s="76" t="n"/>
      <c r="J1369" s="77" t="n"/>
      <c r="K1369" s="74" t="n"/>
      <c r="L1369" s="78" t="n"/>
      <c r="M1369" s="77" t="n"/>
      <c r="N1369" s="53">
        <f>IF(M1369="","",IFERROR(M1369/I1369,""))</f>
        <v/>
      </c>
      <c r="O1369" s="50">
        <f>IF(A1369="","",IFERROR((IF(G1369="",I1369,G1369)-T1369)/M1369,""))</f>
        <v/>
      </c>
      <c r="P1369" s="50">
        <f>IFERROR((I1369/T1369-1)/N1369,"")</f>
        <v/>
      </c>
      <c r="Q1369" s="46">
        <f>IF(OR(T1369="",I1369&lt;T1369),"",IFERROR(R1369/IF(G1369="",I1369,G1369)-1,""))</f>
        <v/>
      </c>
      <c r="R1369" s="48">
        <f>IF($M1369="","",MAX(IF($G1369="",$I1369,$G1369)*(1/1.1),IF($G1369="",$I1369,$G1369)+(R$2*$M1369)))</f>
        <v/>
      </c>
      <c r="S1369" s="49">
        <f>IF($M1369="","",MAX(IF($G1369="",$I1369,$G1369)*(1/1.1),IF($G1369="",$I1369,$G1369)+(S$2*$M1369)))</f>
        <v/>
      </c>
      <c r="T1369" s="82" t="n"/>
      <c r="U1369" s="47">
        <f>IF(OR($M1369="",$T1369=""),"",$T1369+(U$2*$M1369))</f>
        <v/>
      </c>
      <c r="V1369" s="48">
        <f>IF(OR($M1369="",$T1369=""),"",$T1369+(V$2*$M1369))</f>
        <v/>
      </c>
      <c r="W1369" s="48">
        <f>IF(OR($M1369="",$T1369=""),"",$T1369+(W$2*$M1369))</f>
        <v/>
      </c>
      <c r="X1369" s="49">
        <f>IF(OR($M1369="",$T1369=""),"",$T1369+(X$2*$M1369))</f>
        <v/>
      </c>
      <c r="Y1369" s="47">
        <f>IF(OR($M1369="",$T1369=""),"",$T1369+(Y$2*$M1369))</f>
        <v/>
      </c>
      <c r="Z1369" s="49">
        <f>IF(OR($M1369="",$T1369=""),"",$T1369+(Z$2*$M1369))</f>
        <v/>
      </c>
      <c r="AA1369" s="51">
        <f>IF(OR($M1369="",$T1369=""),"",$T1369+(AA$2*$M1369))</f>
        <v/>
      </c>
      <c r="AB1369" s="48">
        <f>IF(OR($M1369="",$T1369=""),"",$T1369+(AB$2*$M1369))</f>
        <v/>
      </c>
      <c r="AC1369" s="48">
        <f>IF(OR($M1369="",$T1369=""),"",$T1369+(AC$2*$M1369))</f>
        <v/>
      </c>
      <c r="AD1369" s="48">
        <f>IF(OR($M1369="",$T1369=""),"",$T1369+(AD$2*$M1369))</f>
        <v/>
      </c>
      <c r="AE1369" s="49">
        <f>IF(OR($M1369="",$T1369=""),"",$T1369+(AE$2*$M1369))</f>
        <v/>
      </c>
      <c r="AF1369" s="52">
        <f>IF(OR(T1369="",I1369&lt;T1369),"",IFERROR(AVERAGE(T1369+M1369*{7,8,9,10,11})/IF(G1369="",I1369,G1369)-1,""))</f>
        <v/>
      </c>
      <c r="AG1369" s="55">
        <f>IF(OR(T1369="",I1369&lt;T1369),"",IFERROR(AF1369/-(R1369/IF(G1369="",I1369,G1369)-1),""))</f>
        <v/>
      </c>
      <c r="AH1369" s="94" t="n"/>
      <c r="AI1369" s="94" t="n"/>
      <c r="AJ1369" s="94" t="n"/>
      <c r="AK1369" s="94" t="n"/>
      <c r="AL1369" s="84" t="n"/>
    </row>
    <row r="1370">
      <c r="A1370" s="64" t="n"/>
      <c r="B1370" s="65" t="n"/>
      <c r="C1370" s="66" t="n"/>
      <c r="D1370" s="67" t="n"/>
      <c r="E1370" s="68" t="n"/>
      <c r="F1370" s="47">
        <f>IF(A1370="","",IF(MIN(H1370,MAX(J1370:K1370))=0,"",MIN(H1370,MAX(J1370:K1370))))</f>
        <v/>
      </c>
      <c r="G1370" s="74" t="n"/>
      <c r="H1370" s="49">
        <f>IF(M1370="","",IFERROR(ROUND(AVERAGE(T1370+M1370*{7,8,9,10,11})/1.21,4),""))</f>
        <v/>
      </c>
      <c r="I1370" s="76" t="n"/>
      <c r="J1370" s="77" t="n"/>
      <c r="K1370" s="74" t="n"/>
      <c r="L1370" s="78" t="n"/>
      <c r="M1370" s="77" t="n"/>
      <c r="N1370" s="53">
        <f>IF(M1370="","",IFERROR(M1370/I1370,""))</f>
        <v/>
      </c>
      <c r="O1370" s="50">
        <f>IF(A1370="","",IFERROR((IF(G1370="",I1370,G1370)-T1370)/M1370,""))</f>
        <v/>
      </c>
      <c r="P1370" s="50">
        <f>IFERROR((I1370/T1370-1)/N1370,"")</f>
        <v/>
      </c>
      <c r="Q1370" s="46">
        <f>IF(OR(T1370="",I1370&lt;T1370),"",IFERROR(R1370/IF(G1370="",I1370,G1370)-1,""))</f>
        <v/>
      </c>
      <c r="R1370" s="48">
        <f>IF($M1370="","",MAX(IF($G1370="",$I1370,$G1370)*(1/1.1),IF($G1370="",$I1370,$G1370)+(R$2*$M1370)))</f>
        <v/>
      </c>
      <c r="S1370" s="49">
        <f>IF($M1370="","",MAX(IF($G1370="",$I1370,$G1370)*(1/1.1),IF($G1370="",$I1370,$G1370)+(S$2*$M1370)))</f>
        <v/>
      </c>
      <c r="T1370" s="82" t="n"/>
      <c r="U1370" s="47">
        <f>IF(OR($M1370="",$T1370=""),"",$T1370+(U$2*$M1370))</f>
        <v/>
      </c>
      <c r="V1370" s="48">
        <f>IF(OR($M1370="",$T1370=""),"",$T1370+(V$2*$M1370))</f>
        <v/>
      </c>
      <c r="W1370" s="48">
        <f>IF(OR($M1370="",$T1370=""),"",$T1370+(W$2*$M1370))</f>
        <v/>
      </c>
      <c r="X1370" s="49">
        <f>IF(OR($M1370="",$T1370=""),"",$T1370+(X$2*$M1370))</f>
        <v/>
      </c>
      <c r="Y1370" s="47">
        <f>IF(OR($M1370="",$T1370=""),"",$T1370+(Y$2*$M1370))</f>
        <v/>
      </c>
      <c r="Z1370" s="49">
        <f>IF(OR($M1370="",$T1370=""),"",$T1370+(Z$2*$M1370))</f>
        <v/>
      </c>
      <c r="AA1370" s="51">
        <f>IF(OR($M1370="",$T1370=""),"",$T1370+(AA$2*$M1370))</f>
        <v/>
      </c>
      <c r="AB1370" s="48">
        <f>IF(OR($M1370="",$T1370=""),"",$T1370+(AB$2*$M1370))</f>
        <v/>
      </c>
      <c r="AC1370" s="48">
        <f>IF(OR($M1370="",$T1370=""),"",$T1370+(AC$2*$M1370))</f>
        <v/>
      </c>
      <c r="AD1370" s="48">
        <f>IF(OR($M1370="",$T1370=""),"",$T1370+(AD$2*$M1370))</f>
        <v/>
      </c>
      <c r="AE1370" s="49">
        <f>IF(OR($M1370="",$T1370=""),"",$T1370+(AE$2*$M1370))</f>
        <v/>
      </c>
      <c r="AF1370" s="52">
        <f>IF(OR(T1370="",I1370&lt;T1370),"",IFERROR(AVERAGE(T1370+M1370*{7,8,9,10,11})/IF(G1370="",I1370,G1370)-1,""))</f>
        <v/>
      </c>
      <c r="AG1370" s="55">
        <f>IF(OR(T1370="",I1370&lt;T1370),"",IFERROR(AF1370/-(R1370/IF(G1370="",I1370,G1370)-1),""))</f>
        <v/>
      </c>
      <c r="AH1370" s="94" t="n"/>
      <c r="AI1370" s="94" t="n"/>
      <c r="AJ1370" s="94" t="n"/>
      <c r="AK1370" s="94" t="n"/>
      <c r="AL1370" s="84" t="n"/>
    </row>
    <row r="1371">
      <c r="A1371" s="64" t="n"/>
      <c r="B1371" s="65" t="n"/>
      <c r="C1371" s="66" t="n"/>
      <c r="D1371" s="67" t="n"/>
      <c r="E1371" s="68" t="n"/>
      <c r="F1371" s="47">
        <f>IF(A1371="","",IF(MIN(H1371,MAX(J1371:K1371))=0,"",MIN(H1371,MAX(J1371:K1371))))</f>
        <v/>
      </c>
      <c r="G1371" s="74" t="n"/>
      <c r="H1371" s="49">
        <f>IF(M1371="","",IFERROR(ROUND(AVERAGE(T1371+M1371*{7,8,9,10,11})/1.21,4),""))</f>
        <v/>
      </c>
      <c r="I1371" s="76" t="n"/>
      <c r="J1371" s="77" t="n"/>
      <c r="K1371" s="74" t="n"/>
      <c r="L1371" s="78" t="n"/>
      <c r="M1371" s="77" t="n"/>
      <c r="N1371" s="53">
        <f>IF(M1371="","",IFERROR(M1371/I1371,""))</f>
        <v/>
      </c>
      <c r="O1371" s="50">
        <f>IF(A1371="","",IFERROR((IF(G1371="",I1371,G1371)-T1371)/M1371,""))</f>
        <v/>
      </c>
      <c r="P1371" s="50">
        <f>IFERROR((I1371/T1371-1)/N1371,"")</f>
        <v/>
      </c>
      <c r="Q1371" s="46">
        <f>IF(OR(T1371="",I1371&lt;T1371),"",IFERROR(R1371/IF(G1371="",I1371,G1371)-1,""))</f>
        <v/>
      </c>
      <c r="R1371" s="48">
        <f>IF($M1371="","",MAX(IF($G1371="",$I1371,$G1371)*(1/1.1),IF($G1371="",$I1371,$G1371)+(R$2*$M1371)))</f>
        <v/>
      </c>
      <c r="S1371" s="49">
        <f>IF($M1371="","",MAX(IF($G1371="",$I1371,$G1371)*(1/1.1),IF($G1371="",$I1371,$G1371)+(S$2*$M1371)))</f>
        <v/>
      </c>
      <c r="T1371" s="82" t="n"/>
      <c r="U1371" s="47">
        <f>IF(OR($M1371="",$T1371=""),"",$T1371+(U$2*$M1371))</f>
        <v/>
      </c>
      <c r="V1371" s="48">
        <f>IF(OR($M1371="",$T1371=""),"",$T1371+(V$2*$M1371))</f>
        <v/>
      </c>
      <c r="W1371" s="48">
        <f>IF(OR($M1371="",$T1371=""),"",$T1371+(W$2*$M1371))</f>
        <v/>
      </c>
      <c r="X1371" s="49">
        <f>IF(OR($M1371="",$T1371=""),"",$T1371+(X$2*$M1371))</f>
        <v/>
      </c>
      <c r="Y1371" s="47">
        <f>IF(OR($M1371="",$T1371=""),"",$T1371+(Y$2*$M1371))</f>
        <v/>
      </c>
      <c r="Z1371" s="49">
        <f>IF(OR($M1371="",$T1371=""),"",$T1371+(Z$2*$M1371))</f>
        <v/>
      </c>
      <c r="AA1371" s="51">
        <f>IF(OR($M1371="",$T1371=""),"",$T1371+(AA$2*$M1371))</f>
        <v/>
      </c>
      <c r="AB1371" s="48">
        <f>IF(OR($M1371="",$T1371=""),"",$T1371+(AB$2*$M1371))</f>
        <v/>
      </c>
      <c r="AC1371" s="48">
        <f>IF(OR($M1371="",$T1371=""),"",$T1371+(AC$2*$M1371))</f>
        <v/>
      </c>
      <c r="AD1371" s="48">
        <f>IF(OR($M1371="",$T1371=""),"",$T1371+(AD$2*$M1371))</f>
        <v/>
      </c>
      <c r="AE1371" s="49">
        <f>IF(OR($M1371="",$T1371=""),"",$T1371+(AE$2*$M1371))</f>
        <v/>
      </c>
      <c r="AF1371" s="52">
        <f>IF(OR(T1371="",I1371&lt;T1371),"",IFERROR(AVERAGE(T1371+M1371*{7,8,9,10,11})/IF(G1371="",I1371,G1371)-1,""))</f>
        <v/>
      </c>
      <c r="AG1371" s="55">
        <f>IF(OR(T1371="",I1371&lt;T1371),"",IFERROR(AF1371/-(R1371/IF(G1371="",I1371,G1371)-1),""))</f>
        <v/>
      </c>
      <c r="AH1371" s="94" t="n"/>
      <c r="AI1371" s="94" t="n"/>
      <c r="AJ1371" s="94" t="n"/>
      <c r="AK1371" s="94" t="n"/>
      <c r="AL1371" s="84" t="n"/>
    </row>
    <row r="1372">
      <c r="A1372" s="64" t="n"/>
      <c r="B1372" s="65" t="n"/>
      <c r="C1372" s="66" t="n"/>
      <c r="D1372" s="67" t="n"/>
      <c r="E1372" s="68" t="n"/>
      <c r="F1372" s="47">
        <f>IF(A1372="","",IF(MIN(H1372,MAX(J1372:K1372))=0,"",MIN(H1372,MAX(J1372:K1372))))</f>
        <v/>
      </c>
      <c r="G1372" s="74" t="n"/>
      <c r="H1372" s="49">
        <f>IF(M1372="","",IFERROR(ROUND(AVERAGE(T1372+M1372*{7,8,9,10,11})/1.21,4),""))</f>
        <v/>
      </c>
      <c r="I1372" s="76" t="n"/>
      <c r="J1372" s="77" t="n"/>
      <c r="K1372" s="74" t="n"/>
      <c r="L1372" s="78" t="n"/>
      <c r="M1372" s="77" t="n"/>
      <c r="N1372" s="53">
        <f>IF(M1372="","",IFERROR(M1372/I1372,""))</f>
        <v/>
      </c>
      <c r="O1372" s="50">
        <f>IF(A1372="","",IFERROR((IF(G1372="",I1372,G1372)-T1372)/M1372,""))</f>
        <v/>
      </c>
      <c r="P1372" s="50">
        <f>IFERROR((I1372/T1372-1)/N1372,"")</f>
        <v/>
      </c>
      <c r="Q1372" s="46">
        <f>IF(OR(T1372="",I1372&lt;T1372),"",IFERROR(R1372/IF(G1372="",I1372,G1372)-1,""))</f>
        <v/>
      </c>
      <c r="R1372" s="48">
        <f>IF($M1372="","",MAX(IF($G1372="",$I1372,$G1372)*(1/1.1),IF($G1372="",$I1372,$G1372)+(R$2*$M1372)))</f>
        <v/>
      </c>
      <c r="S1372" s="49">
        <f>IF($M1372="","",MAX(IF($G1372="",$I1372,$G1372)*(1/1.1),IF($G1372="",$I1372,$G1372)+(S$2*$M1372)))</f>
        <v/>
      </c>
      <c r="T1372" s="82" t="n"/>
      <c r="U1372" s="47">
        <f>IF(OR($M1372="",$T1372=""),"",$T1372+(U$2*$M1372))</f>
        <v/>
      </c>
      <c r="V1372" s="48">
        <f>IF(OR($M1372="",$T1372=""),"",$T1372+(V$2*$M1372))</f>
        <v/>
      </c>
      <c r="W1372" s="48">
        <f>IF(OR($M1372="",$T1372=""),"",$T1372+(W$2*$M1372))</f>
        <v/>
      </c>
      <c r="X1372" s="49">
        <f>IF(OR($M1372="",$T1372=""),"",$T1372+(X$2*$M1372))</f>
        <v/>
      </c>
      <c r="Y1372" s="47">
        <f>IF(OR($M1372="",$T1372=""),"",$T1372+(Y$2*$M1372))</f>
        <v/>
      </c>
      <c r="Z1372" s="49">
        <f>IF(OR($M1372="",$T1372=""),"",$T1372+(Z$2*$M1372))</f>
        <v/>
      </c>
      <c r="AA1372" s="51">
        <f>IF(OR($M1372="",$T1372=""),"",$T1372+(AA$2*$M1372))</f>
        <v/>
      </c>
      <c r="AB1372" s="48">
        <f>IF(OR($M1372="",$T1372=""),"",$T1372+(AB$2*$M1372))</f>
        <v/>
      </c>
      <c r="AC1372" s="48">
        <f>IF(OR($M1372="",$T1372=""),"",$T1372+(AC$2*$M1372))</f>
        <v/>
      </c>
      <c r="AD1372" s="48">
        <f>IF(OR($M1372="",$T1372=""),"",$T1372+(AD$2*$M1372))</f>
        <v/>
      </c>
      <c r="AE1372" s="49">
        <f>IF(OR($M1372="",$T1372=""),"",$T1372+(AE$2*$M1372))</f>
        <v/>
      </c>
      <c r="AF1372" s="52">
        <f>IF(OR(T1372="",I1372&lt;T1372),"",IFERROR(AVERAGE(T1372+M1372*{7,8,9,10,11})/IF(G1372="",I1372,G1372)-1,""))</f>
        <v/>
      </c>
      <c r="AG1372" s="55">
        <f>IF(OR(T1372="",I1372&lt;T1372),"",IFERROR(AF1372/-(R1372/IF(G1372="",I1372,G1372)-1),""))</f>
        <v/>
      </c>
      <c r="AH1372" s="94" t="n"/>
      <c r="AI1372" s="94" t="n"/>
      <c r="AJ1372" s="94" t="n"/>
      <c r="AK1372" s="94" t="n"/>
      <c r="AL1372" s="84" t="n"/>
    </row>
    <row r="1373">
      <c r="A1373" s="64" t="n"/>
      <c r="B1373" s="65" t="n"/>
      <c r="C1373" s="66" t="n"/>
      <c r="D1373" s="67" t="n"/>
      <c r="E1373" s="68" t="n"/>
      <c r="F1373" s="47">
        <f>IF(A1373="","",IF(MIN(H1373,MAX(J1373:K1373))=0,"",MIN(H1373,MAX(J1373:K1373))))</f>
        <v/>
      </c>
      <c r="G1373" s="74" t="n"/>
      <c r="H1373" s="49">
        <f>IF(M1373="","",IFERROR(ROUND(AVERAGE(T1373+M1373*{7,8,9,10,11})/1.21,4),""))</f>
        <v/>
      </c>
      <c r="I1373" s="76" t="n"/>
      <c r="J1373" s="77" t="n"/>
      <c r="K1373" s="74" t="n"/>
      <c r="L1373" s="78" t="n"/>
      <c r="M1373" s="77" t="n"/>
      <c r="N1373" s="53">
        <f>IF(M1373="","",IFERROR(M1373/I1373,""))</f>
        <v/>
      </c>
      <c r="O1373" s="50">
        <f>IF(A1373="","",IFERROR((IF(G1373="",I1373,G1373)-T1373)/M1373,""))</f>
        <v/>
      </c>
      <c r="P1373" s="50">
        <f>IFERROR((I1373/T1373-1)/N1373,"")</f>
        <v/>
      </c>
      <c r="Q1373" s="46">
        <f>IF(OR(T1373="",I1373&lt;T1373),"",IFERROR(R1373/IF(G1373="",I1373,G1373)-1,""))</f>
        <v/>
      </c>
      <c r="R1373" s="48">
        <f>IF($M1373="","",MAX(IF($G1373="",$I1373,$G1373)*(1/1.1),IF($G1373="",$I1373,$G1373)+(R$2*$M1373)))</f>
        <v/>
      </c>
      <c r="S1373" s="49">
        <f>IF($M1373="","",MAX(IF($G1373="",$I1373,$G1373)*(1/1.1),IF($G1373="",$I1373,$G1373)+(S$2*$M1373)))</f>
        <v/>
      </c>
      <c r="T1373" s="82" t="n"/>
      <c r="U1373" s="47">
        <f>IF(OR($M1373="",$T1373=""),"",$T1373+(U$2*$M1373))</f>
        <v/>
      </c>
      <c r="V1373" s="48">
        <f>IF(OR($M1373="",$T1373=""),"",$T1373+(V$2*$M1373))</f>
        <v/>
      </c>
      <c r="W1373" s="48">
        <f>IF(OR($M1373="",$T1373=""),"",$T1373+(W$2*$M1373))</f>
        <v/>
      </c>
      <c r="X1373" s="49">
        <f>IF(OR($M1373="",$T1373=""),"",$T1373+(X$2*$M1373))</f>
        <v/>
      </c>
      <c r="Y1373" s="47">
        <f>IF(OR($M1373="",$T1373=""),"",$T1373+(Y$2*$M1373))</f>
        <v/>
      </c>
      <c r="Z1373" s="49">
        <f>IF(OR($M1373="",$T1373=""),"",$T1373+(Z$2*$M1373))</f>
        <v/>
      </c>
      <c r="AA1373" s="51">
        <f>IF(OR($M1373="",$T1373=""),"",$T1373+(AA$2*$M1373))</f>
        <v/>
      </c>
      <c r="AB1373" s="48">
        <f>IF(OR($M1373="",$T1373=""),"",$T1373+(AB$2*$M1373))</f>
        <v/>
      </c>
      <c r="AC1373" s="48">
        <f>IF(OR($M1373="",$T1373=""),"",$T1373+(AC$2*$M1373))</f>
        <v/>
      </c>
      <c r="AD1373" s="48">
        <f>IF(OR($M1373="",$T1373=""),"",$T1373+(AD$2*$M1373))</f>
        <v/>
      </c>
      <c r="AE1373" s="49">
        <f>IF(OR($M1373="",$T1373=""),"",$T1373+(AE$2*$M1373))</f>
        <v/>
      </c>
      <c r="AF1373" s="52">
        <f>IF(OR(T1373="",I1373&lt;T1373),"",IFERROR(AVERAGE(T1373+M1373*{7,8,9,10,11})/IF(G1373="",I1373,G1373)-1,""))</f>
        <v/>
      </c>
      <c r="AG1373" s="55">
        <f>IF(OR(T1373="",I1373&lt;T1373),"",IFERROR(AF1373/-(R1373/IF(G1373="",I1373,G1373)-1),""))</f>
        <v/>
      </c>
      <c r="AH1373" s="94" t="n"/>
      <c r="AI1373" s="94" t="n"/>
      <c r="AJ1373" s="94" t="n"/>
      <c r="AK1373" s="94" t="n"/>
      <c r="AL1373" s="84" t="n"/>
    </row>
    <row r="1374">
      <c r="A1374" s="64" t="n"/>
      <c r="B1374" s="65" t="n"/>
      <c r="C1374" s="66" t="n"/>
      <c r="D1374" s="67" t="n"/>
      <c r="E1374" s="68" t="n"/>
      <c r="F1374" s="47">
        <f>IF(A1374="","",IF(MIN(H1374,MAX(J1374:K1374))=0,"",MIN(H1374,MAX(J1374:K1374))))</f>
        <v/>
      </c>
      <c r="G1374" s="74" t="n"/>
      <c r="H1374" s="49">
        <f>IF(M1374="","",IFERROR(ROUND(AVERAGE(T1374+M1374*{7,8,9,10,11})/1.21,4),""))</f>
        <v/>
      </c>
      <c r="I1374" s="76" t="n"/>
      <c r="J1374" s="77" t="n"/>
      <c r="K1374" s="74" t="n"/>
      <c r="L1374" s="78" t="n"/>
      <c r="M1374" s="77" t="n"/>
      <c r="N1374" s="53">
        <f>IF(M1374="","",IFERROR(M1374/I1374,""))</f>
        <v/>
      </c>
      <c r="O1374" s="50">
        <f>IF(A1374="","",IFERROR((IF(G1374="",I1374,G1374)-T1374)/M1374,""))</f>
        <v/>
      </c>
      <c r="P1374" s="50">
        <f>IFERROR((I1374/T1374-1)/N1374,"")</f>
        <v/>
      </c>
      <c r="Q1374" s="46">
        <f>IF(OR(T1374="",I1374&lt;T1374),"",IFERROR(R1374/IF(G1374="",I1374,G1374)-1,""))</f>
        <v/>
      </c>
      <c r="R1374" s="48">
        <f>IF($M1374="","",MAX(IF($G1374="",$I1374,$G1374)*(1/1.1),IF($G1374="",$I1374,$G1374)+(R$2*$M1374)))</f>
        <v/>
      </c>
      <c r="S1374" s="49">
        <f>IF($M1374="","",MAX(IF($G1374="",$I1374,$G1374)*(1/1.1),IF($G1374="",$I1374,$G1374)+(S$2*$M1374)))</f>
        <v/>
      </c>
      <c r="T1374" s="82" t="n"/>
      <c r="U1374" s="47">
        <f>IF(OR($M1374="",$T1374=""),"",$T1374+(U$2*$M1374))</f>
        <v/>
      </c>
      <c r="V1374" s="48">
        <f>IF(OR($M1374="",$T1374=""),"",$T1374+(V$2*$M1374))</f>
        <v/>
      </c>
      <c r="W1374" s="48">
        <f>IF(OR($M1374="",$T1374=""),"",$T1374+(W$2*$M1374))</f>
        <v/>
      </c>
      <c r="X1374" s="49">
        <f>IF(OR($M1374="",$T1374=""),"",$T1374+(X$2*$M1374))</f>
        <v/>
      </c>
      <c r="Y1374" s="47">
        <f>IF(OR($M1374="",$T1374=""),"",$T1374+(Y$2*$M1374))</f>
        <v/>
      </c>
      <c r="Z1374" s="49">
        <f>IF(OR($M1374="",$T1374=""),"",$T1374+(Z$2*$M1374))</f>
        <v/>
      </c>
      <c r="AA1374" s="51">
        <f>IF(OR($M1374="",$T1374=""),"",$T1374+(AA$2*$M1374))</f>
        <v/>
      </c>
      <c r="AB1374" s="48">
        <f>IF(OR($M1374="",$T1374=""),"",$T1374+(AB$2*$M1374))</f>
        <v/>
      </c>
      <c r="AC1374" s="48">
        <f>IF(OR($M1374="",$T1374=""),"",$T1374+(AC$2*$M1374))</f>
        <v/>
      </c>
      <c r="AD1374" s="48">
        <f>IF(OR($M1374="",$T1374=""),"",$T1374+(AD$2*$M1374))</f>
        <v/>
      </c>
      <c r="AE1374" s="49">
        <f>IF(OR($M1374="",$T1374=""),"",$T1374+(AE$2*$M1374))</f>
        <v/>
      </c>
      <c r="AF1374" s="52">
        <f>IF(OR(T1374="",I1374&lt;T1374),"",IFERROR(AVERAGE(T1374+M1374*{7,8,9,10,11})/IF(G1374="",I1374,G1374)-1,""))</f>
        <v/>
      </c>
      <c r="AG1374" s="55">
        <f>IF(OR(T1374="",I1374&lt;T1374),"",IFERROR(AF1374/-(R1374/IF(G1374="",I1374,G1374)-1),""))</f>
        <v/>
      </c>
      <c r="AH1374" s="94" t="n"/>
      <c r="AI1374" s="94" t="n"/>
      <c r="AJ1374" s="94" t="n"/>
      <c r="AK1374" s="94" t="n"/>
      <c r="AL1374" s="84" t="n"/>
    </row>
    <row r="1375">
      <c r="A1375" s="64" t="n"/>
      <c r="B1375" s="65" t="n"/>
      <c r="C1375" s="66" t="n"/>
      <c r="D1375" s="67" t="n"/>
      <c r="E1375" s="68" t="n"/>
      <c r="F1375" s="47">
        <f>IF(A1375="","",IF(MIN(H1375,MAX(J1375:K1375))=0,"",MIN(H1375,MAX(J1375:K1375))))</f>
        <v/>
      </c>
      <c r="G1375" s="74" t="n"/>
      <c r="H1375" s="49">
        <f>IF(M1375="","",IFERROR(ROUND(AVERAGE(T1375+M1375*{7,8,9,10,11})/1.21,4),""))</f>
        <v/>
      </c>
      <c r="I1375" s="76" t="n"/>
      <c r="J1375" s="77" t="n"/>
      <c r="K1375" s="74" t="n"/>
      <c r="L1375" s="78" t="n"/>
      <c r="M1375" s="77" t="n"/>
      <c r="N1375" s="53">
        <f>IF(M1375="","",IFERROR(M1375/I1375,""))</f>
        <v/>
      </c>
      <c r="O1375" s="50">
        <f>IF(A1375="","",IFERROR((IF(G1375="",I1375,G1375)-T1375)/M1375,""))</f>
        <v/>
      </c>
      <c r="P1375" s="50">
        <f>IFERROR((I1375/T1375-1)/N1375,"")</f>
        <v/>
      </c>
      <c r="Q1375" s="46">
        <f>IF(OR(T1375="",I1375&lt;T1375),"",IFERROR(R1375/IF(G1375="",I1375,G1375)-1,""))</f>
        <v/>
      </c>
      <c r="R1375" s="48">
        <f>IF($M1375="","",MAX(IF($G1375="",$I1375,$G1375)*(1/1.1),IF($G1375="",$I1375,$G1375)+(R$2*$M1375)))</f>
        <v/>
      </c>
      <c r="S1375" s="49">
        <f>IF($M1375="","",MAX(IF($G1375="",$I1375,$G1375)*(1/1.1),IF($G1375="",$I1375,$G1375)+(S$2*$M1375)))</f>
        <v/>
      </c>
      <c r="T1375" s="82" t="n"/>
      <c r="U1375" s="47">
        <f>IF(OR($M1375="",$T1375=""),"",$T1375+(U$2*$M1375))</f>
        <v/>
      </c>
      <c r="V1375" s="48">
        <f>IF(OR($M1375="",$T1375=""),"",$T1375+(V$2*$M1375))</f>
        <v/>
      </c>
      <c r="W1375" s="48">
        <f>IF(OR($M1375="",$T1375=""),"",$T1375+(W$2*$M1375))</f>
        <v/>
      </c>
      <c r="X1375" s="49">
        <f>IF(OR($M1375="",$T1375=""),"",$T1375+(X$2*$M1375))</f>
        <v/>
      </c>
      <c r="Y1375" s="47">
        <f>IF(OR($M1375="",$T1375=""),"",$T1375+(Y$2*$M1375))</f>
        <v/>
      </c>
      <c r="Z1375" s="49">
        <f>IF(OR($M1375="",$T1375=""),"",$T1375+(Z$2*$M1375))</f>
        <v/>
      </c>
      <c r="AA1375" s="51">
        <f>IF(OR($M1375="",$T1375=""),"",$T1375+(AA$2*$M1375))</f>
        <v/>
      </c>
      <c r="AB1375" s="48">
        <f>IF(OR($M1375="",$T1375=""),"",$T1375+(AB$2*$M1375))</f>
        <v/>
      </c>
      <c r="AC1375" s="48">
        <f>IF(OR($M1375="",$T1375=""),"",$T1375+(AC$2*$M1375))</f>
        <v/>
      </c>
      <c r="AD1375" s="48">
        <f>IF(OR($M1375="",$T1375=""),"",$T1375+(AD$2*$M1375))</f>
        <v/>
      </c>
      <c r="AE1375" s="49">
        <f>IF(OR($M1375="",$T1375=""),"",$T1375+(AE$2*$M1375))</f>
        <v/>
      </c>
      <c r="AF1375" s="52">
        <f>IF(OR(T1375="",I1375&lt;T1375),"",IFERROR(AVERAGE(T1375+M1375*{7,8,9,10,11})/IF(G1375="",I1375,G1375)-1,""))</f>
        <v/>
      </c>
      <c r="AG1375" s="55">
        <f>IF(OR(T1375="",I1375&lt;T1375),"",IFERROR(AF1375/-(R1375/IF(G1375="",I1375,G1375)-1),""))</f>
        <v/>
      </c>
      <c r="AH1375" s="94" t="n"/>
      <c r="AI1375" s="94" t="n"/>
      <c r="AJ1375" s="94" t="n"/>
      <c r="AK1375" s="94" t="n"/>
      <c r="AL1375" s="84" t="n"/>
    </row>
    <row r="1376">
      <c r="A1376" s="64" t="n"/>
      <c r="B1376" s="65" t="n"/>
      <c r="C1376" s="66" t="n"/>
      <c r="D1376" s="67" t="n"/>
      <c r="E1376" s="68" t="n"/>
      <c r="F1376" s="47">
        <f>IF(A1376="","",IF(MIN(H1376,MAX(J1376:K1376))=0,"",MIN(H1376,MAX(J1376:K1376))))</f>
        <v/>
      </c>
      <c r="G1376" s="74" t="n"/>
      <c r="H1376" s="49">
        <f>IF(M1376="","",IFERROR(ROUND(AVERAGE(T1376+M1376*{7,8,9,10,11})/1.21,4),""))</f>
        <v/>
      </c>
      <c r="I1376" s="76" t="n"/>
      <c r="J1376" s="77" t="n"/>
      <c r="K1376" s="74" t="n"/>
      <c r="L1376" s="78" t="n"/>
      <c r="M1376" s="77" t="n"/>
      <c r="N1376" s="53">
        <f>IF(M1376="","",IFERROR(M1376/I1376,""))</f>
        <v/>
      </c>
      <c r="O1376" s="50">
        <f>IF(A1376="","",IFERROR((IF(G1376="",I1376,G1376)-T1376)/M1376,""))</f>
        <v/>
      </c>
      <c r="P1376" s="50">
        <f>IFERROR((I1376/T1376-1)/N1376,"")</f>
        <v/>
      </c>
      <c r="Q1376" s="46">
        <f>IF(OR(T1376="",I1376&lt;T1376),"",IFERROR(R1376/IF(G1376="",I1376,G1376)-1,""))</f>
        <v/>
      </c>
      <c r="R1376" s="48">
        <f>IF($M1376="","",MAX(IF($G1376="",$I1376,$G1376)*(1/1.1),IF($G1376="",$I1376,$G1376)+(R$2*$M1376)))</f>
        <v/>
      </c>
      <c r="S1376" s="49">
        <f>IF($M1376="","",MAX(IF($G1376="",$I1376,$G1376)*(1/1.1),IF($G1376="",$I1376,$G1376)+(S$2*$M1376)))</f>
        <v/>
      </c>
      <c r="T1376" s="82" t="n"/>
      <c r="U1376" s="47">
        <f>IF(OR($M1376="",$T1376=""),"",$T1376+(U$2*$M1376))</f>
        <v/>
      </c>
      <c r="V1376" s="48">
        <f>IF(OR($M1376="",$T1376=""),"",$T1376+(V$2*$M1376))</f>
        <v/>
      </c>
      <c r="W1376" s="48">
        <f>IF(OR($M1376="",$T1376=""),"",$T1376+(W$2*$M1376))</f>
        <v/>
      </c>
      <c r="X1376" s="49">
        <f>IF(OR($M1376="",$T1376=""),"",$T1376+(X$2*$M1376))</f>
        <v/>
      </c>
      <c r="Y1376" s="47">
        <f>IF(OR($M1376="",$T1376=""),"",$T1376+(Y$2*$M1376))</f>
        <v/>
      </c>
      <c r="Z1376" s="49">
        <f>IF(OR($M1376="",$T1376=""),"",$T1376+(Z$2*$M1376))</f>
        <v/>
      </c>
      <c r="AA1376" s="51">
        <f>IF(OR($M1376="",$T1376=""),"",$T1376+(AA$2*$M1376))</f>
        <v/>
      </c>
      <c r="AB1376" s="48">
        <f>IF(OR($M1376="",$T1376=""),"",$T1376+(AB$2*$M1376))</f>
        <v/>
      </c>
      <c r="AC1376" s="48">
        <f>IF(OR($M1376="",$T1376=""),"",$T1376+(AC$2*$M1376))</f>
        <v/>
      </c>
      <c r="AD1376" s="48">
        <f>IF(OR($M1376="",$T1376=""),"",$T1376+(AD$2*$M1376))</f>
        <v/>
      </c>
      <c r="AE1376" s="49">
        <f>IF(OR($M1376="",$T1376=""),"",$T1376+(AE$2*$M1376))</f>
        <v/>
      </c>
      <c r="AF1376" s="52">
        <f>IF(OR(T1376="",I1376&lt;T1376),"",IFERROR(AVERAGE(T1376+M1376*{7,8,9,10,11})/IF(G1376="",I1376,G1376)-1,""))</f>
        <v/>
      </c>
      <c r="AG1376" s="55">
        <f>IF(OR(T1376="",I1376&lt;T1376),"",IFERROR(AF1376/-(R1376/IF(G1376="",I1376,G1376)-1),""))</f>
        <v/>
      </c>
      <c r="AH1376" s="94" t="n"/>
      <c r="AI1376" s="94" t="n"/>
      <c r="AJ1376" s="94" t="n"/>
      <c r="AK1376" s="94" t="n"/>
      <c r="AL1376" s="84" t="n"/>
    </row>
    <row r="1377">
      <c r="A1377" s="64" t="n"/>
      <c r="B1377" s="65" t="n"/>
      <c r="C1377" s="66" t="n"/>
      <c r="D1377" s="67" t="n"/>
      <c r="E1377" s="68" t="n"/>
      <c r="F1377" s="47">
        <f>IF(A1377="","",IF(MIN(H1377,MAX(J1377:K1377))=0,"",MIN(H1377,MAX(J1377:K1377))))</f>
        <v/>
      </c>
      <c r="G1377" s="74" t="n"/>
      <c r="H1377" s="49">
        <f>IF(M1377="","",IFERROR(ROUND(AVERAGE(T1377+M1377*{7,8,9,10,11})/1.21,4),""))</f>
        <v/>
      </c>
      <c r="I1377" s="76" t="n"/>
      <c r="J1377" s="77" t="n"/>
      <c r="K1377" s="74" t="n"/>
      <c r="L1377" s="78" t="n"/>
      <c r="M1377" s="77" t="n"/>
      <c r="N1377" s="53">
        <f>IF(M1377="","",IFERROR(M1377/I1377,""))</f>
        <v/>
      </c>
      <c r="O1377" s="50">
        <f>IF(A1377="","",IFERROR((IF(G1377="",I1377,G1377)-T1377)/M1377,""))</f>
        <v/>
      </c>
      <c r="P1377" s="50">
        <f>IFERROR((I1377/T1377-1)/N1377,"")</f>
        <v/>
      </c>
      <c r="Q1377" s="46">
        <f>IF(OR(T1377="",I1377&lt;T1377),"",IFERROR(R1377/IF(G1377="",I1377,G1377)-1,""))</f>
        <v/>
      </c>
      <c r="R1377" s="48">
        <f>IF($M1377="","",MAX(IF($G1377="",$I1377,$G1377)*(1/1.1),IF($G1377="",$I1377,$G1377)+(R$2*$M1377)))</f>
        <v/>
      </c>
      <c r="S1377" s="49">
        <f>IF($M1377="","",MAX(IF($G1377="",$I1377,$G1377)*(1/1.1),IF($G1377="",$I1377,$G1377)+(S$2*$M1377)))</f>
        <v/>
      </c>
      <c r="T1377" s="82" t="n"/>
      <c r="U1377" s="47">
        <f>IF(OR($M1377="",$T1377=""),"",$T1377+(U$2*$M1377))</f>
        <v/>
      </c>
      <c r="V1377" s="48">
        <f>IF(OR($M1377="",$T1377=""),"",$T1377+(V$2*$M1377))</f>
        <v/>
      </c>
      <c r="W1377" s="48">
        <f>IF(OR($M1377="",$T1377=""),"",$T1377+(W$2*$M1377))</f>
        <v/>
      </c>
      <c r="X1377" s="49">
        <f>IF(OR($M1377="",$T1377=""),"",$T1377+(X$2*$M1377))</f>
        <v/>
      </c>
      <c r="Y1377" s="47">
        <f>IF(OR($M1377="",$T1377=""),"",$T1377+(Y$2*$M1377))</f>
        <v/>
      </c>
      <c r="Z1377" s="49">
        <f>IF(OR($M1377="",$T1377=""),"",$T1377+(Z$2*$M1377))</f>
        <v/>
      </c>
      <c r="AA1377" s="51">
        <f>IF(OR($M1377="",$T1377=""),"",$T1377+(AA$2*$M1377))</f>
        <v/>
      </c>
      <c r="AB1377" s="48">
        <f>IF(OR($M1377="",$T1377=""),"",$T1377+(AB$2*$M1377))</f>
        <v/>
      </c>
      <c r="AC1377" s="48">
        <f>IF(OR($M1377="",$T1377=""),"",$T1377+(AC$2*$M1377))</f>
        <v/>
      </c>
      <c r="AD1377" s="48">
        <f>IF(OR($M1377="",$T1377=""),"",$T1377+(AD$2*$M1377))</f>
        <v/>
      </c>
      <c r="AE1377" s="49">
        <f>IF(OR($M1377="",$T1377=""),"",$T1377+(AE$2*$M1377))</f>
        <v/>
      </c>
      <c r="AF1377" s="52">
        <f>IF(OR(T1377="",I1377&lt;T1377),"",IFERROR(AVERAGE(T1377+M1377*{7,8,9,10,11})/IF(G1377="",I1377,G1377)-1,""))</f>
        <v/>
      </c>
      <c r="AG1377" s="55">
        <f>IF(OR(T1377="",I1377&lt;T1377),"",IFERROR(AF1377/-(R1377/IF(G1377="",I1377,G1377)-1),""))</f>
        <v/>
      </c>
      <c r="AH1377" s="94" t="n"/>
      <c r="AI1377" s="94" t="n"/>
      <c r="AJ1377" s="94" t="n"/>
      <c r="AK1377" s="94" t="n"/>
      <c r="AL1377" s="84" t="n"/>
    </row>
    <row r="1378">
      <c r="A1378" s="64" t="n"/>
      <c r="B1378" s="65" t="n"/>
      <c r="C1378" s="66" t="n"/>
      <c r="D1378" s="67" t="n"/>
      <c r="E1378" s="68" t="n"/>
      <c r="F1378" s="47">
        <f>IF(A1378="","",IF(MIN(H1378,MAX(J1378:K1378))=0,"",MIN(H1378,MAX(J1378:K1378))))</f>
        <v/>
      </c>
      <c r="G1378" s="74" t="n"/>
      <c r="H1378" s="49">
        <f>IF(M1378="","",IFERROR(ROUND(AVERAGE(T1378+M1378*{7,8,9,10,11})/1.21,4),""))</f>
        <v/>
      </c>
      <c r="I1378" s="76" t="n"/>
      <c r="J1378" s="77" t="n"/>
      <c r="K1378" s="74" t="n"/>
      <c r="L1378" s="78" t="n"/>
      <c r="M1378" s="77" t="n"/>
      <c r="N1378" s="53">
        <f>IF(M1378="","",IFERROR(M1378/I1378,""))</f>
        <v/>
      </c>
      <c r="O1378" s="50">
        <f>IF(A1378="","",IFERROR((IF(G1378="",I1378,G1378)-T1378)/M1378,""))</f>
        <v/>
      </c>
      <c r="P1378" s="50">
        <f>IFERROR((I1378/T1378-1)/N1378,"")</f>
        <v/>
      </c>
      <c r="Q1378" s="46">
        <f>IF(OR(T1378="",I1378&lt;T1378),"",IFERROR(R1378/IF(G1378="",I1378,G1378)-1,""))</f>
        <v/>
      </c>
      <c r="R1378" s="48">
        <f>IF($M1378="","",MAX(IF($G1378="",$I1378,$G1378)*(1/1.1),IF($G1378="",$I1378,$G1378)+(R$2*$M1378)))</f>
        <v/>
      </c>
      <c r="S1378" s="49">
        <f>IF($M1378="","",MAX(IF($G1378="",$I1378,$G1378)*(1/1.1),IF($G1378="",$I1378,$G1378)+(S$2*$M1378)))</f>
        <v/>
      </c>
      <c r="T1378" s="82" t="n"/>
      <c r="U1378" s="47">
        <f>IF(OR($M1378="",$T1378=""),"",$T1378+(U$2*$M1378))</f>
        <v/>
      </c>
      <c r="V1378" s="48">
        <f>IF(OR($M1378="",$T1378=""),"",$T1378+(V$2*$M1378))</f>
        <v/>
      </c>
      <c r="W1378" s="48">
        <f>IF(OR($M1378="",$T1378=""),"",$T1378+(W$2*$M1378))</f>
        <v/>
      </c>
      <c r="X1378" s="49">
        <f>IF(OR($M1378="",$T1378=""),"",$T1378+(X$2*$M1378))</f>
        <v/>
      </c>
      <c r="Y1378" s="47">
        <f>IF(OR($M1378="",$T1378=""),"",$T1378+(Y$2*$M1378))</f>
        <v/>
      </c>
      <c r="Z1378" s="49">
        <f>IF(OR($M1378="",$T1378=""),"",$T1378+(Z$2*$M1378))</f>
        <v/>
      </c>
      <c r="AA1378" s="51">
        <f>IF(OR($M1378="",$T1378=""),"",$T1378+(AA$2*$M1378))</f>
        <v/>
      </c>
      <c r="AB1378" s="48">
        <f>IF(OR($M1378="",$T1378=""),"",$T1378+(AB$2*$M1378))</f>
        <v/>
      </c>
      <c r="AC1378" s="48">
        <f>IF(OR($M1378="",$T1378=""),"",$T1378+(AC$2*$M1378))</f>
        <v/>
      </c>
      <c r="AD1378" s="48">
        <f>IF(OR($M1378="",$T1378=""),"",$T1378+(AD$2*$M1378))</f>
        <v/>
      </c>
      <c r="AE1378" s="49">
        <f>IF(OR($M1378="",$T1378=""),"",$T1378+(AE$2*$M1378))</f>
        <v/>
      </c>
      <c r="AF1378" s="52">
        <f>IF(OR(T1378="",I1378&lt;T1378),"",IFERROR(AVERAGE(T1378+M1378*{7,8,9,10,11})/IF(G1378="",I1378,G1378)-1,""))</f>
        <v/>
      </c>
      <c r="AG1378" s="55">
        <f>IF(OR(T1378="",I1378&lt;T1378),"",IFERROR(AF1378/-(R1378/IF(G1378="",I1378,G1378)-1),""))</f>
        <v/>
      </c>
      <c r="AH1378" s="94" t="n"/>
      <c r="AI1378" s="94" t="n"/>
      <c r="AJ1378" s="94" t="n"/>
      <c r="AK1378" s="94" t="n"/>
      <c r="AL1378" s="84" t="n"/>
    </row>
    <row r="1379">
      <c r="A1379" s="64" t="n"/>
      <c r="B1379" s="65" t="n"/>
      <c r="C1379" s="66" t="n"/>
      <c r="D1379" s="67" t="n"/>
      <c r="E1379" s="68" t="n"/>
      <c r="F1379" s="47">
        <f>IF(A1379="","",IF(MIN(H1379,MAX(J1379:K1379))=0,"",MIN(H1379,MAX(J1379:K1379))))</f>
        <v/>
      </c>
      <c r="G1379" s="74" t="n"/>
      <c r="H1379" s="49">
        <f>IF(M1379="","",IFERROR(ROUND(AVERAGE(T1379+M1379*{7,8,9,10,11})/1.21,4),""))</f>
        <v/>
      </c>
      <c r="I1379" s="76" t="n"/>
      <c r="J1379" s="77" t="n"/>
      <c r="K1379" s="74" t="n"/>
      <c r="L1379" s="78" t="n"/>
      <c r="M1379" s="77" t="n"/>
      <c r="N1379" s="53">
        <f>IF(M1379="","",IFERROR(M1379/I1379,""))</f>
        <v/>
      </c>
      <c r="O1379" s="50">
        <f>IF(A1379="","",IFERROR((IF(G1379="",I1379,G1379)-T1379)/M1379,""))</f>
        <v/>
      </c>
      <c r="P1379" s="50">
        <f>IFERROR((I1379/T1379-1)/N1379,"")</f>
        <v/>
      </c>
      <c r="Q1379" s="46">
        <f>IF(OR(T1379="",I1379&lt;T1379),"",IFERROR(R1379/IF(G1379="",I1379,G1379)-1,""))</f>
        <v/>
      </c>
      <c r="R1379" s="48">
        <f>IF($M1379="","",MAX(IF($G1379="",$I1379,$G1379)*(1/1.1),IF($G1379="",$I1379,$G1379)+(R$2*$M1379)))</f>
        <v/>
      </c>
      <c r="S1379" s="49">
        <f>IF($M1379="","",MAX(IF($G1379="",$I1379,$G1379)*(1/1.1),IF($G1379="",$I1379,$G1379)+(S$2*$M1379)))</f>
        <v/>
      </c>
      <c r="T1379" s="82" t="n"/>
      <c r="U1379" s="47">
        <f>IF(OR($M1379="",$T1379=""),"",$T1379+(U$2*$M1379))</f>
        <v/>
      </c>
      <c r="V1379" s="48">
        <f>IF(OR($M1379="",$T1379=""),"",$T1379+(V$2*$M1379))</f>
        <v/>
      </c>
      <c r="W1379" s="48">
        <f>IF(OR($M1379="",$T1379=""),"",$T1379+(W$2*$M1379))</f>
        <v/>
      </c>
      <c r="X1379" s="49">
        <f>IF(OR($M1379="",$T1379=""),"",$T1379+(X$2*$M1379))</f>
        <v/>
      </c>
      <c r="Y1379" s="47">
        <f>IF(OR($M1379="",$T1379=""),"",$T1379+(Y$2*$M1379))</f>
        <v/>
      </c>
      <c r="Z1379" s="49">
        <f>IF(OR($M1379="",$T1379=""),"",$T1379+(Z$2*$M1379))</f>
        <v/>
      </c>
      <c r="AA1379" s="51">
        <f>IF(OR($M1379="",$T1379=""),"",$T1379+(AA$2*$M1379))</f>
        <v/>
      </c>
      <c r="AB1379" s="48">
        <f>IF(OR($M1379="",$T1379=""),"",$T1379+(AB$2*$M1379))</f>
        <v/>
      </c>
      <c r="AC1379" s="48">
        <f>IF(OR($M1379="",$T1379=""),"",$T1379+(AC$2*$M1379))</f>
        <v/>
      </c>
      <c r="AD1379" s="48">
        <f>IF(OR($M1379="",$T1379=""),"",$T1379+(AD$2*$M1379))</f>
        <v/>
      </c>
      <c r="AE1379" s="49">
        <f>IF(OR($M1379="",$T1379=""),"",$T1379+(AE$2*$M1379))</f>
        <v/>
      </c>
      <c r="AF1379" s="52">
        <f>IF(OR(T1379="",I1379&lt;T1379),"",IFERROR(AVERAGE(T1379+M1379*{7,8,9,10,11})/IF(G1379="",I1379,G1379)-1,""))</f>
        <v/>
      </c>
      <c r="AG1379" s="55">
        <f>IF(OR(T1379="",I1379&lt;T1379),"",IFERROR(AF1379/-(R1379/IF(G1379="",I1379,G1379)-1),""))</f>
        <v/>
      </c>
      <c r="AH1379" s="94" t="n"/>
      <c r="AI1379" s="94" t="n"/>
      <c r="AJ1379" s="94" t="n"/>
      <c r="AK1379" s="94" t="n"/>
      <c r="AL1379" s="84" t="n"/>
    </row>
    <row r="1380">
      <c r="A1380" s="64" t="n"/>
      <c r="B1380" s="65" t="n"/>
      <c r="C1380" s="66" t="n"/>
      <c r="D1380" s="67" t="n"/>
      <c r="E1380" s="68" t="n"/>
      <c r="F1380" s="47">
        <f>IF(A1380="","",IF(MIN(H1380,MAX(J1380:K1380))=0,"",MIN(H1380,MAX(J1380:K1380))))</f>
        <v/>
      </c>
      <c r="G1380" s="74" t="n"/>
      <c r="H1380" s="49">
        <f>IF(M1380="","",IFERROR(ROUND(AVERAGE(T1380+M1380*{7,8,9,10,11})/1.21,4),""))</f>
        <v/>
      </c>
      <c r="I1380" s="76" t="n"/>
      <c r="J1380" s="77" t="n"/>
      <c r="K1380" s="74" t="n"/>
      <c r="L1380" s="78" t="n"/>
      <c r="M1380" s="77" t="n"/>
      <c r="N1380" s="53">
        <f>IF(M1380="","",IFERROR(M1380/I1380,""))</f>
        <v/>
      </c>
      <c r="O1380" s="50">
        <f>IF(A1380="","",IFERROR((IF(G1380="",I1380,G1380)-T1380)/M1380,""))</f>
        <v/>
      </c>
      <c r="P1380" s="50">
        <f>IFERROR((I1380/T1380-1)/N1380,"")</f>
        <v/>
      </c>
      <c r="Q1380" s="46">
        <f>IF(OR(T1380="",I1380&lt;T1380),"",IFERROR(R1380/IF(G1380="",I1380,G1380)-1,""))</f>
        <v/>
      </c>
      <c r="R1380" s="48">
        <f>IF($M1380="","",MAX(IF($G1380="",$I1380,$G1380)*(1/1.1),IF($G1380="",$I1380,$G1380)+(R$2*$M1380)))</f>
        <v/>
      </c>
      <c r="S1380" s="49">
        <f>IF($M1380="","",MAX(IF($G1380="",$I1380,$G1380)*(1/1.1),IF($G1380="",$I1380,$G1380)+(S$2*$M1380)))</f>
        <v/>
      </c>
      <c r="T1380" s="82" t="n"/>
      <c r="U1380" s="47">
        <f>IF(OR($M1380="",$T1380=""),"",$T1380+(U$2*$M1380))</f>
        <v/>
      </c>
      <c r="V1380" s="48">
        <f>IF(OR($M1380="",$T1380=""),"",$T1380+(V$2*$M1380))</f>
        <v/>
      </c>
      <c r="W1380" s="48">
        <f>IF(OR($M1380="",$T1380=""),"",$T1380+(W$2*$M1380))</f>
        <v/>
      </c>
      <c r="X1380" s="49">
        <f>IF(OR($M1380="",$T1380=""),"",$T1380+(X$2*$M1380))</f>
        <v/>
      </c>
      <c r="Y1380" s="47">
        <f>IF(OR($M1380="",$T1380=""),"",$T1380+(Y$2*$M1380))</f>
        <v/>
      </c>
      <c r="Z1380" s="49">
        <f>IF(OR($M1380="",$T1380=""),"",$T1380+(Z$2*$M1380))</f>
        <v/>
      </c>
      <c r="AA1380" s="51">
        <f>IF(OR($M1380="",$T1380=""),"",$T1380+(AA$2*$M1380))</f>
        <v/>
      </c>
      <c r="AB1380" s="48">
        <f>IF(OR($M1380="",$T1380=""),"",$T1380+(AB$2*$M1380))</f>
        <v/>
      </c>
      <c r="AC1380" s="48">
        <f>IF(OR($M1380="",$T1380=""),"",$T1380+(AC$2*$M1380))</f>
        <v/>
      </c>
      <c r="AD1380" s="48">
        <f>IF(OR($M1380="",$T1380=""),"",$T1380+(AD$2*$M1380))</f>
        <v/>
      </c>
      <c r="AE1380" s="49">
        <f>IF(OR($M1380="",$T1380=""),"",$T1380+(AE$2*$M1380))</f>
        <v/>
      </c>
      <c r="AF1380" s="52">
        <f>IF(OR(T1380="",I1380&lt;T1380),"",IFERROR(AVERAGE(T1380+M1380*{7,8,9,10,11})/IF(G1380="",I1380,G1380)-1,""))</f>
        <v/>
      </c>
      <c r="AG1380" s="55">
        <f>IF(OR(T1380="",I1380&lt;T1380),"",IFERROR(AF1380/-(R1380/IF(G1380="",I1380,G1380)-1),""))</f>
        <v/>
      </c>
      <c r="AH1380" s="94" t="n"/>
      <c r="AI1380" s="94" t="n"/>
      <c r="AJ1380" s="94" t="n"/>
      <c r="AK1380" s="94" t="n"/>
      <c r="AL1380" s="84" t="n"/>
    </row>
    <row r="1381">
      <c r="A1381" s="64" t="n"/>
      <c r="B1381" s="65" t="n"/>
      <c r="C1381" s="66" t="n"/>
      <c r="D1381" s="67" t="n"/>
      <c r="E1381" s="68" t="n"/>
      <c r="F1381" s="47">
        <f>IF(A1381="","",IF(MIN(H1381,MAX(J1381:K1381))=0,"",MIN(H1381,MAX(J1381:K1381))))</f>
        <v/>
      </c>
      <c r="G1381" s="74" t="n"/>
      <c r="H1381" s="49">
        <f>IF(M1381="","",IFERROR(ROUND(AVERAGE(T1381+M1381*{7,8,9,10,11})/1.21,4),""))</f>
        <v/>
      </c>
      <c r="I1381" s="76" t="n"/>
      <c r="J1381" s="77" t="n"/>
      <c r="K1381" s="74" t="n"/>
      <c r="L1381" s="78" t="n"/>
      <c r="M1381" s="77" t="n"/>
      <c r="N1381" s="53">
        <f>IF(M1381="","",IFERROR(M1381/I1381,""))</f>
        <v/>
      </c>
      <c r="O1381" s="50">
        <f>IF(A1381="","",IFERROR((IF(G1381="",I1381,G1381)-T1381)/M1381,""))</f>
        <v/>
      </c>
      <c r="P1381" s="50">
        <f>IFERROR((I1381/T1381-1)/N1381,"")</f>
        <v/>
      </c>
      <c r="Q1381" s="46">
        <f>IF(OR(T1381="",I1381&lt;T1381),"",IFERROR(R1381/IF(G1381="",I1381,G1381)-1,""))</f>
        <v/>
      </c>
      <c r="R1381" s="48">
        <f>IF($M1381="","",MAX(IF($G1381="",$I1381,$G1381)*(1/1.1),IF($G1381="",$I1381,$G1381)+(R$2*$M1381)))</f>
        <v/>
      </c>
      <c r="S1381" s="49">
        <f>IF($M1381="","",MAX(IF($G1381="",$I1381,$G1381)*(1/1.1),IF($G1381="",$I1381,$G1381)+(S$2*$M1381)))</f>
        <v/>
      </c>
      <c r="T1381" s="82" t="n"/>
      <c r="U1381" s="47">
        <f>IF(OR($M1381="",$T1381=""),"",$T1381+(U$2*$M1381))</f>
        <v/>
      </c>
      <c r="V1381" s="48">
        <f>IF(OR($M1381="",$T1381=""),"",$T1381+(V$2*$M1381))</f>
        <v/>
      </c>
      <c r="W1381" s="48">
        <f>IF(OR($M1381="",$T1381=""),"",$T1381+(W$2*$M1381))</f>
        <v/>
      </c>
      <c r="X1381" s="49">
        <f>IF(OR($M1381="",$T1381=""),"",$T1381+(X$2*$M1381))</f>
        <v/>
      </c>
      <c r="Y1381" s="47">
        <f>IF(OR($M1381="",$T1381=""),"",$T1381+(Y$2*$M1381))</f>
        <v/>
      </c>
      <c r="Z1381" s="49">
        <f>IF(OR($M1381="",$T1381=""),"",$T1381+(Z$2*$M1381))</f>
        <v/>
      </c>
      <c r="AA1381" s="51">
        <f>IF(OR($M1381="",$T1381=""),"",$T1381+(AA$2*$M1381))</f>
        <v/>
      </c>
      <c r="AB1381" s="48">
        <f>IF(OR($M1381="",$T1381=""),"",$T1381+(AB$2*$M1381))</f>
        <v/>
      </c>
      <c r="AC1381" s="48">
        <f>IF(OR($M1381="",$T1381=""),"",$T1381+(AC$2*$M1381))</f>
        <v/>
      </c>
      <c r="AD1381" s="48">
        <f>IF(OR($M1381="",$T1381=""),"",$T1381+(AD$2*$M1381))</f>
        <v/>
      </c>
      <c r="AE1381" s="49">
        <f>IF(OR($M1381="",$T1381=""),"",$T1381+(AE$2*$M1381))</f>
        <v/>
      </c>
      <c r="AF1381" s="52">
        <f>IF(OR(T1381="",I1381&lt;T1381),"",IFERROR(AVERAGE(T1381+M1381*{7,8,9,10,11})/IF(G1381="",I1381,G1381)-1,""))</f>
        <v/>
      </c>
      <c r="AG1381" s="55">
        <f>IF(OR(T1381="",I1381&lt;T1381),"",IFERROR(AF1381/-(R1381/IF(G1381="",I1381,G1381)-1),""))</f>
        <v/>
      </c>
      <c r="AH1381" s="94" t="n"/>
      <c r="AI1381" s="94" t="n"/>
      <c r="AJ1381" s="94" t="n"/>
      <c r="AK1381" s="94" t="n"/>
      <c r="AL1381" s="84" t="n"/>
    </row>
    <row r="1382">
      <c r="A1382" s="64" t="n"/>
      <c r="B1382" s="65" t="n"/>
      <c r="C1382" s="66" t="n"/>
      <c r="D1382" s="67" t="n"/>
      <c r="E1382" s="68" t="n"/>
      <c r="F1382" s="47">
        <f>IF(A1382="","",IF(MIN(H1382,MAX(J1382:K1382))=0,"",MIN(H1382,MAX(J1382:K1382))))</f>
        <v/>
      </c>
      <c r="G1382" s="74" t="n"/>
      <c r="H1382" s="49">
        <f>IF(M1382="","",IFERROR(ROUND(AVERAGE(T1382+M1382*{7,8,9,10,11})/1.21,4),""))</f>
        <v/>
      </c>
      <c r="I1382" s="76" t="n"/>
      <c r="J1382" s="77" t="n"/>
      <c r="K1382" s="74" t="n"/>
      <c r="L1382" s="78" t="n"/>
      <c r="M1382" s="77" t="n"/>
      <c r="N1382" s="53">
        <f>IF(M1382="","",IFERROR(M1382/I1382,""))</f>
        <v/>
      </c>
      <c r="O1382" s="50">
        <f>IF(A1382="","",IFERROR((IF(G1382="",I1382,G1382)-T1382)/M1382,""))</f>
        <v/>
      </c>
      <c r="P1382" s="50">
        <f>IFERROR((I1382/T1382-1)/N1382,"")</f>
        <v/>
      </c>
      <c r="Q1382" s="46">
        <f>IF(OR(T1382="",I1382&lt;T1382),"",IFERROR(R1382/IF(G1382="",I1382,G1382)-1,""))</f>
        <v/>
      </c>
      <c r="R1382" s="48">
        <f>IF($M1382="","",MAX(IF($G1382="",$I1382,$G1382)*(1/1.1),IF($G1382="",$I1382,$G1382)+(R$2*$M1382)))</f>
        <v/>
      </c>
      <c r="S1382" s="49">
        <f>IF($M1382="","",MAX(IF($G1382="",$I1382,$G1382)*(1/1.1),IF($G1382="",$I1382,$G1382)+(S$2*$M1382)))</f>
        <v/>
      </c>
      <c r="T1382" s="82" t="n"/>
      <c r="U1382" s="47">
        <f>IF(OR($M1382="",$T1382=""),"",$T1382+(U$2*$M1382))</f>
        <v/>
      </c>
      <c r="V1382" s="48">
        <f>IF(OR($M1382="",$T1382=""),"",$T1382+(V$2*$M1382))</f>
        <v/>
      </c>
      <c r="W1382" s="48">
        <f>IF(OR($M1382="",$T1382=""),"",$T1382+(W$2*$M1382))</f>
        <v/>
      </c>
      <c r="X1382" s="49">
        <f>IF(OR($M1382="",$T1382=""),"",$T1382+(X$2*$M1382))</f>
        <v/>
      </c>
      <c r="Y1382" s="47">
        <f>IF(OR($M1382="",$T1382=""),"",$T1382+(Y$2*$M1382))</f>
        <v/>
      </c>
      <c r="Z1382" s="49">
        <f>IF(OR($M1382="",$T1382=""),"",$T1382+(Z$2*$M1382))</f>
        <v/>
      </c>
      <c r="AA1382" s="51">
        <f>IF(OR($M1382="",$T1382=""),"",$T1382+(AA$2*$M1382))</f>
        <v/>
      </c>
      <c r="AB1382" s="48">
        <f>IF(OR($M1382="",$T1382=""),"",$T1382+(AB$2*$M1382))</f>
        <v/>
      </c>
      <c r="AC1382" s="48">
        <f>IF(OR($M1382="",$T1382=""),"",$T1382+(AC$2*$M1382))</f>
        <v/>
      </c>
      <c r="AD1382" s="48">
        <f>IF(OR($M1382="",$T1382=""),"",$T1382+(AD$2*$M1382))</f>
        <v/>
      </c>
      <c r="AE1382" s="49">
        <f>IF(OR($M1382="",$T1382=""),"",$T1382+(AE$2*$M1382))</f>
        <v/>
      </c>
      <c r="AF1382" s="52">
        <f>IF(OR(T1382="",I1382&lt;T1382),"",IFERROR(AVERAGE(T1382+M1382*{7,8,9,10,11})/IF(G1382="",I1382,G1382)-1,""))</f>
        <v/>
      </c>
      <c r="AG1382" s="55">
        <f>IF(OR(T1382="",I1382&lt;T1382),"",IFERROR(AF1382/-(R1382/IF(G1382="",I1382,G1382)-1),""))</f>
        <v/>
      </c>
      <c r="AH1382" s="94" t="n"/>
      <c r="AI1382" s="94" t="n"/>
      <c r="AJ1382" s="94" t="n"/>
      <c r="AK1382" s="94" t="n"/>
      <c r="AL1382" s="84" t="n"/>
    </row>
    <row r="1383">
      <c r="A1383" s="64" t="n"/>
      <c r="B1383" s="65" t="n"/>
      <c r="C1383" s="66" t="n"/>
      <c r="D1383" s="67" t="n"/>
      <c r="E1383" s="68" t="n"/>
      <c r="F1383" s="47">
        <f>IF(A1383="","",IF(MIN(H1383,MAX(J1383:K1383))=0,"",MIN(H1383,MAX(J1383:K1383))))</f>
        <v/>
      </c>
      <c r="G1383" s="74" t="n"/>
      <c r="H1383" s="49">
        <f>IF(M1383="","",IFERROR(ROUND(AVERAGE(T1383+M1383*{7,8,9,10,11})/1.21,4),""))</f>
        <v/>
      </c>
      <c r="I1383" s="76" t="n"/>
      <c r="J1383" s="77" t="n"/>
      <c r="K1383" s="74" t="n"/>
      <c r="L1383" s="78" t="n"/>
      <c r="M1383" s="77" t="n"/>
      <c r="N1383" s="53">
        <f>IF(M1383="","",IFERROR(M1383/I1383,""))</f>
        <v/>
      </c>
      <c r="O1383" s="50">
        <f>IF(A1383="","",IFERROR((IF(G1383="",I1383,G1383)-T1383)/M1383,""))</f>
        <v/>
      </c>
      <c r="P1383" s="50">
        <f>IFERROR((I1383/T1383-1)/N1383,"")</f>
        <v/>
      </c>
      <c r="Q1383" s="46">
        <f>IF(OR(T1383="",I1383&lt;T1383),"",IFERROR(R1383/IF(G1383="",I1383,G1383)-1,""))</f>
        <v/>
      </c>
      <c r="R1383" s="48">
        <f>IF($M1383="","",MAX(IF($G1383="",$I1383,$G1383)*(1/1.1),IF($G1383="",$I1383,$G1383)+(R$2*$M1383)))</f>
        <v/>
      </c>
      <c r="S1383" s="49">
        <f>IF($M1383="","",MAX(IF($G1383="",$I1383,$G1383)*(1/1.1),IF($G1383="",$I1383,$G1383)+(S$2*$M1383)))</f>
        <v/>
      </c>
      <c r="T1383" s="82" t="n"/>
      <c r="U1383" s="47">
        <f>IF(OR($M1383="",$T1383=""),"",$T1383+(U$2*$M1383))</f>
        <v/>
      </c>
      <c r="V1383" s="48">
        <f>IF(OR($M1383="",$T1383=""),"",$T1383+(V$2*$M1383))</f>
        <v/>
      </c>
      <c r="W1383" s="48">
        <f>IF(OR($M1383="",$T1383=""),"",$T1383+(W$2*$M1383))</f>
        <v/>
      </c>
      <c r="X1383" s="49">
        <f>IF(OR($M1383="",$T1383=""),"",$T1383+(X$2*$M1383))</f>
        <v/>
      </c>
      <c r="Y1383" s="47">
        <f>IF(OR($M1383="",$T1383=""),"",$T1383+(Y$2*$M1383))</f>
        <v/>
      </c>
      <c r="Z1383" s="49">
        <f>IF(OR($M1383="",$T1383=""),"",$T1383+(Z$2*$M1383))</f>
        <v/>
      </c>
      <c r="AA1383" s="51">
        <f>IF(OR($M1383="",$T1383=""),"",$T1383+(AA$2*$M1383))</f>
        <v/>
      </c>
      <c r="AB1383" s="48">
        <f>IF(OR($M1383="",$T1383=""),"",$T1383+(AB$2*$M1383))</f>
        <v/>
      </c>
      <c r="AC1383" s="48">
        <f>IF(OR($M1383="",$T1383=""),"",$T1383+(AC$2*$M1383))</f>
        <v/>
      </c>
      <c r="AD1383" s="48">
        <f>IF(OR($M1383="",$T1383=""),"",$T1383+(AD$2*$M1383))</f>
        <v/>
      </c>
      <c r="AE1383" s="49">
        <f>IF(OR($M1383="",$T1383=""),"",$T1383+(AE$2*$M1383))</f>
        <v/>
      </c>
      <c r="AF1383" s="52">
        <f>IF(OR(T1383="",I1383&lt;T1383),"",IFERROR(AVERAGE(T1383+M1383*{7,8,9,10,11})/IF(G1383="",I1383,G1383)-1,""))</f>
        <v/>
      </c>
      <c r="AG1383" s="55">
        <f>IF(OR(T1383="",I1383&lt;T1383),"",IFERROR(AF1383/-(R1383/IF(G1383="",I1383,G1383)-1),""))</f>
        <v/>
      </c>
      <c r="AH1383" s="94" t="n"/>
      <c r="AI1383" s="94" t="n"/>
      <c r="AJ1383" s="94" t="n"/>
      <c r="AK1383" s="94" t="n"/>
      <c r="AL1383" s="84" t="n"/>
    </row>
    <row r="1384">
      <c r="A1384" s="64" t="n"/>
      <c r="B1384" s="65" t="n"/>
      <c r="C1384" s="66" t="n"/>
      <c r="D1384" s="67" t="n"/>
      <c r="E1384" s="68" t="n"/>
      <c r="F1384" s="47">
        <f>IF(A1384="","",IF(MIN(H1384,MAX(J1384:K1384))=0,"",MIN(H1384,MAX(J1384:K1384))))</f>
        <v/>
      </c>
      <c r="G1384" s="74" t="n"/>
      <c r="H1384" s="49">
        <f>IF(M1384="","",IFERROR(ROUND(AVERAGE(T1384+M1384*{7,8,9,10,11})/1.21,4),""))</f>
        <v/>
      </c>
      <c r="I1384" s="76" t="n"/>
      <c r="J1384" s="77" t="n"/>
      <c r="K1384" s="74" t="n"/>
      <c r="L1384" s="78" t="n"/>
      <c r="M1384" s="77" t="n"/>
      <c r="N1384" s="53">
        <f>IF(M1384="","",IFERROR(M1384/I1384,""))</f>
        <v/>
      </c>
      <c r="O1384" s="50">
        <f>IF(A1384="","",IFERROR((IF(G1384="",I1384,G1384)-T1384)/M1384,""))</f>
        <v/>
      </c>
      <c r="P1384" s="50">
        <f>IFERROR((I1384/T1384-1)/N1384,"")</f>
        <v/>
      </c>
      <c r="Q1384" s="46">
        <f>IF(OR(T1384="",I1384&lt;T1384),"",IFERROR(R1384/IF(G1384="",I1384,G1384)-1,""))</f>
        <v/>
      </c>
      <c r="R1384" s="48">
        <f>IF($M1384="","",MAX(IF($G1384="",$I1384,$G1384)*(1/1.1),IF($G1384="",$I1384,$G1384)+(R$2*$M1384)))</f>
        <v/>
      </c>
      <c r="S1384" s="49">
        <f>IF($M1384="","",MAX(IF($G1384="",$I1384,$G1384)*(1/1.1),IF($G1384="",$I1384,$G1384)+(S$2*$M1384)))</f>
        <v/>
      </c>
      <c r="T1384" s="82" t="n"/>
      <c r="U1384" s="47">
        <f>IF(OR($M1384="",$T1384=""),"",$T1384+(U$2*$M1384))</f>
        <v/>
      </c>
      <c r="V1384" s="48">
        <f>IF(OR($M1384="",$T1384=""),"",$T1384+(V$2*$M1384))</f>
        <v/>
      </c>
      <c r="W1384" s="48">
        <f>IF(OR($M1384="",$T1384=""),"",$T1384+(W$2*$M1384))</f>
        <v/>
      </c>
      <c r="X1384" s="49">
        <f>IF(OR($M1384="",$T1384=""),"",$T1384+(X$2*$M1384))</f>
        <v/>
      </c>
      <c r="Y1384" s="47">
        <f>IF(OR($M1384="",$T1384=""),"",$T1384+(Y$2*$M1384))</f>
        <v/>
      </c>
      <c r="Z1384" s="49">
        <f>IF(OR($M1384="",$T1384=""),"",$T1384+(Z$2*$M1384))</f>
        <v/>
      </c>
      <c r="AA1384" s="51">
        <f>IF(OR($M1384="",$T1384=""),"",$T1384+(AA$2*$M1384))</f>
        <v/>
      </c>
      <c r="AB1384" s="48">
        <f>IF(OR($M1384="",$T1384=""),"",$T1384+(AB$2*$M1384))</f>
        <v/>
      </c>
      <c r="AC1384" s="48">
        <f>IF(OR($M1384="",$T1384=""),"",$T1384+(AC$2*$M1384))</f>
        <v/>
      </c>
      <c r="AD1384" s="48">
        <f>IF(OR($M1384="",$T1384=""),"",$T1384+(AD$2*$M1384))</f>
        <v/>
      </c>
      <c r="AE1384" s="49">
        <f>IF(OR($M1384="",$T1384=""),"",$T1384+(AE$2*$M1384))</f>
        <v/>
      </c>
      <c r="AF1384" s="52">
        <f>IF(OR(T1384="",I1384&lt;T1384),"",IFERROR(AVERAGE(T1384+M1384*{7,8,9,10,11})/IF(G1384="",I1384,G1384)-1,""))</f>
        <v/>
      </c>
      <c r="AG1384" s="55">
        <f>IF(OR(T1384="",I1384&lt;T1384),"",IFERROR(AF1384/-(R1384/IF(G1384="",I1384,G1384)-1),""))</f>
        <v/>
      </c>
      <c r="AH1384" s="94" t="n"/>
      <c r="AI1384" s="94" t="n"/>
      <c r="AJ1384" s="94" t="n"/>
      <c r="AK1384" s="94" t="n"/>
      <c r="AL1384" s="84" t="n"/>
    </row>
    <row r="1385">
      <c r="A1385" s="64" t="n"/>
      <c r="B1385" s="65" t="n"/>
      <c r="C1385" s="66" t="n"/>
      <c r="D1385" s="67" t="n"/>
      <c r="E1385" s="68" t="n"/>
      <c r="F1385" s="47">
        <f>IF(A1385="","",IF(MIN(H1385,MAX(J1385:K1385))=0,"",MIN(H1385,MAX(J1385:K1385))))</f>
        <v/>
      </c>
      <c r="G1385" s="74" t="n"/>
      <c r="H1385" s="49">
        <f>IF(M1385="","",IFERROR(ROUND(AVERAGE(T1385+M1385*{7,8,9,10,11})/1.21,4),""))</f>
        <v/>
      </c>
      <c r="I1385" s="76" t="n"/>
      <c r="J1385" s="77" t="n"/>
      <c r="K1385" s="74" t="n"/>
      <c r="L1385" s="78" t="n"/>
      <c r="M1385" s="77" t="n"/>
      <c r="N1385" s="53">
        <f>IF(M1385="","",IFERROR(M1385/I1385,""))</f>
        <v/>
      </c>
      <c r="O1385" s="50">
        <f>IF(A1385="","",IFERROR((IF(G1385="",I1385,G1385)-T1385)/M1385,""))</f>
        <v/>
      </c>
      <c r="P1385" s="50">
        <f>IFERROR((I1385/T1385-1)/N1385,"")</f>
        <v/>
      </c>
      <c r="Q1385" s="46">
        <f>IF(OR(T1385="",I1385&lt;T1385),"",IFERROR(R1385/IF(G1385="",I1385,G1385)-1,""))</f>
        <v/>
      </c>
      <c r="R1385" s="48">
        <f>IF($M1385="","",MAX(IF($G1385="",$I1385,$G1385)*(1/1.1),IF($G1385="",$I1385,$G1385)+(R$2*$M1385)))</f>
        <v/>
      </c>
      <c r="S1385" s="49">
        <f>IF($M1385="","",MAX(IF($G1385="",$I1385,$G1385)*(1/1.1),IF($G1385="",$I1385,$G1385)+(S$2*$M1385)))</f>
        <v/>
      </c>
      <c r="T1385" s="82" t="n"/>
      <c r="U1385" s="47">
        <f>IF(OR($M1385="",$T1385=""),"",$T1385+(U$2*$M1385))</f>
        <v/>
      </c>
      <c r="V1385" s="48">
        <f>IF(OR($M1385="",$T1385=""),"",$T1385+(V$2*$M1385))</f>
        <v/>
      </c>
      <c r="W1385" s="48">
        <f>IF(OR($M1385="",$T1385=""),"",$T1385+(W$2*$M1385))</f>
        <v/>
      </c>
      <c r="X1385" s="49">
        <f>IF(OR($M1385="",$T1385=""),"",$T1385+(X$2*$M1385))</f>
        <v/>
      </c>
      <c r="Y1385" s="47">
        <f>IF(OR($M1385="",$T1385=""),"",$T1385+(Y$2*$M1385))</f>
        <v/>
      </c>
      <c r="Z1385" s="49">
        <f>IF(OR($M1385="",$T1385=""),"",$T1385+(Z$2*$M1385))</f>
        <v/>
      </c>
      <c r="AA1385" s="51">
        <f>IF(OR($M1385="",$T1385=""),"",$T1385+(AA$2*$M1385))</f>
        <v/>
      </c>
      <c r="AB1385" s="48">
        <f>IF(OR($M1385="",$T1385=""),"",$T1385+(AB$2*$M1385))</f>
        <v/>
      </c>
      <c r="AC1385" s="48">
        <f>IF(OR($M1385="",$T1385=""),"",$T1385+(AC$2*$M1385))</f>
        <v/>
      </c>
      <c r="AD1385" s="48">
        <f>IF(OR($M1385="",$T1385=""),"",$T1385+(AD$2*$M1385))</f>
        <v/>
      </c>
      <c r="AE1385" s="49">
        <f>IF(OR($M1385="",$T1385=""),"",$T1385+(AE$2*$M1385))</f>
        <v/>
      </c>
      <c r="AF1385" s="52">
        <f>IF(OR(T1385="",I1385&lt;T1385),"",IFERROR(AVERAGE(T1385+M1385*{7,8,9,10,11})/IF(G1385="",I1385,G1385)-1,""))</f>
        <v/>
      </c>
      <c r="AG1385" s="55">
        <f>IF(OR(T1385="",I1385&lt;T1385),"",IFERROR(AF1385/-(R1385/IF(G1385="",I1385,G1385)-1),""))</f>
        <v/>
      </c>
      <c r="AH1385" s="94" t="n"/>
      <c r="AI1385" s="94" t="n"/>
      <c r="AJ1385" s="94" t="n"/>
      <c r="AK1385" s="94" t="n"/>
      <c r="AL1385" s="84" t="n"/>
    </row>
    <row r="1386">
      <c r="A1386" s="64" t="n"/>
      <c r="B1386" s="65" t="n"/>
      <c r="C1386" s="66" t="n"/>
      <c r="D1386" s="67" t="n"/>
      <c r="E1386" s="68" t="n"/>
      <c r="F1386" s="47">
        <f>IF(A1386="","",IF(MIN(H1386,MAX(J1386:K1386))=0,"",MIN(H1386,MAX(J1386:K1386))))</f>
        <v/>
      </c>
      <c r="G1386" s="74" t="n"/>
      <c r="H1386" s="49">
        <f>IF(M1386="","",IFERROR(ROUND(AVERAGE(T1386+M1386*{7,8,9,10,11})/1.21,4),""))</f>
        <v/>
      </c>
      <c r="I1386" s="76" t="n"/>
      <c r="J1386" s="77" t="n"/>
      <c r="K1386" s="74" t="n"/>
      <c r="L1386" s="78" t="n"/>
      <c r="M1386" s="77" t="n"/>
      <c r="N1386" s="53">
        <f>IF(M1386="","",IFERROR(M1386/I1386,""))</f>
        <v/>
      </c>
      <c r="O1386" s="50">
        <f>IF(A1386="","",IFERROR((IF(G1386="",I1386,G1386)-T1386)/M1386,""))</f>
        <v/>
      </c>
      <c r="P1386" s="50">
        <f>IFERROR((I1386/T1386-1)/N1386,"")</f>
        <v/>
      </c>
      <c r="Q1386" s="46">
        <f>IF(OR(T1386="",I1386&lt;T1386),"",IFERROR(R1386/IF(G1386="",I1386,G1386)-1,""))</f>
        <v/>
      </c>
      <c r="R1386" s="48">
        <f>IF($M1386="","",MAX(IF($G1386="",$I1386,$G1386)*(1/1.1),IF($G1386="",$I1386,$G1386)+(R$2*$M1386)))</f>
        <v/>
      </c>
      <c r="S1386" s="49">
        <f>IF($M1386="","",MAX(IF($G1386="",$I1386,$G1386)*(1/1.1),IF($G1386="",$I1386,$G1386)+(S$2*$M1386)))</f>
        <v/>
      </c>
      <c r="T1386" s="82" t="n"/>
      <c r="U1386" s="47">
        <f>IF(OR($M1386="",$T1386=""),"",$T1386+(U$2*$M1386))</f>
        <v/>
      </c>
      <c r="V1386" s="48">
        <f>IF(OR($M1386="",$T1386=""),"",$T1386+(V$2*$M1386))</f>
        <v/>
      </c>
      <c r="W1386" s="48">
        <f>IF(OR($M1386="",$T1386=""),"",$T1386+(W$2*$M1386))</f>
        <v/>
      </c>
      <c r="X1386" s="49">
        <f>IF(OR($M1386="",$T1386=""),"",$T1386+(X$2*$M1386))</f>
        <v/>
      </c>
      <c r="Y1386" s="47">
        <f>IF(OR($M1386="",$T1386=""),"",$T1386+(Y$2*$M1386))</f>
        <v/>
      </c>
      <c r="Z1386" s="49">
        <f>IF(OR($M1386="",$T1386=""),"",$T1386+(Z$2*$M1386))</f>
        <v/>
      </c>
      <c r="AA1386" s="51">
        <f>IF(OR($M1386="",$T1386=""),"",$T1386+(AA$2*$M1386))</f>
        <v/>
      </c>
      <c r="AB1386" s="48">
        <f>IF(OR($M1386="",$T1386=""),"",$T1386+(AB$2*$M1386))</f>
        <v/>
      </c>
      <c r="AC1386" s="48">
        <f>IF(OR($M1386="",$T1386=""),"",$T1386+(AC$2*$M1386))</f>
        <v/>
      </c>
      <c r="AD1386" s="48">
        <f>IF(OR($M1386="",$T1386=""),"",$T1386+(AD$2*$M1386))</f>
        <v/>
      </c>
      <c r="AE1386" s="49">
        <f>IF(OR($M1386="",$T1386=""),"",$T1386+(AE$2*$M1386))</f>
        <v/>
      </c>
      <c r="AF1386" s="52">
        <f>IF(OR(T1386="",I1386&lt;T1386),"",IFERROR(AVERAGE(T1386+M1386*{7,8,9,10,11})/IF(G1386="",I1386,G1386)-1,""))</f>
        <v/>
      </c>
      <c r="AG1386" s="55">
        <f>IF(OR(T1386="",I1386&lt;T1386),"",IFERROR(AF1386/-(R1386/IF(G1386="",I1386,G1386)-1),""))</f>
        <v/>
      </c>
      <c r="AH1386" s="94" t="n"/>
      <c r="AI1386" s="94" t="n"/>
      <c r="AJ1386" s="94" t="n"/>
      <c r="AK1386" s="94" t="n"/>
      <c r="AL1386" s="84" t="n"/>
    </row>
    <row r="1387">
      <c r="A1387" s="64" t="n"/>
      <c r="B1387" s="65" t="n"/>
      <c r="C1387" s="66" t="n"/>
      <c r="D1387" s="67" t="n"/>
      <c r="E1387" s="68" t="n"/>
      <c r="F1387" s="47">
        <f>IF(A1387="","",IF(MIN(H1387,MAX(J1387:K1387))=0,"",MIN(H1387,MAX(J1387:K1387))))</f>
        <v/>
      </c>
      <c r="G1387" s="74" t="n"/>
      <c r="H1387" s="49">
        <f>IF(M1387="","",IFERROR(ROUND(AVERAGE(T1387+M1387*{7,8,9,10,11})/1.21,4),""))</f>
        <v/>
      </c>
      <c r="I1387" s="76" t="n"/>
      <c r="J1387" s="77" t="n"/>
      <c r="K1387" s="74" t="n"/>
      <c r="L1387" s="78" t="n"/>
      <c r="M1387" s="77" t="n"/>
      <c r="N1387" s="53">
        <f>IF(M1387="","",IFERROR(M1387/I1387,""))</f>
        <v/>
      </c>
      <c r="O1387" s="50">
        <f>IF(A1387="","",IFERROR((IF(G1387="",I1387,G1387)-T1387)/M1387,""))</f>
        <v/>
      </c>
      <c r="P1387" s="50">
        <f>IFERROR((I1387/T1387-1)/N1387,"")</f>
        <v/>
      </c>
      <c r="Q1387" s="46">
        <f>IF(OR(T1387="",I1387&lt;T1387),"",IFERROR(R1387/IF(G1387="",I1387,G1387)-1,""))</f>
        <v/>
      </c>
      <c r="R1387" s="48">
        <f>IF($M1387="","",MAX(IF($G1387="",$I1387,$G1387)*(1/1.1),IF($G1387="",$I1387,$G1387)+(R$2*$M1387)))</f>
        <v/>
      </c>
      <c r="S1387" s="49">
        <f>IF($M1387="","",MAX(IF($G1387="",$I1387,$G1387)*(1/1.1),IF($G1387="",$I1387,$G1387)+(S$2*$M1387)))</f>
        <v/>
      </c>
      <c r="T1387" s="82" t="n"/>
      <c r="U1387" s="47">
        <f>IF(OR($M1387="",$T1387=""),"",$T1387+(U$2*$M1387))</f>
        <v/>
      </c>
      <c r="V1387" s="48">
        <f>IF(OR($M1387="",$T1387=""),"",$T1387+(V$2*$M1387))</f>
        <v/>
      </c>
      <c r="W1387" s="48">
        <f>IF(OR($M1387="",$T1387=""),"",$T1387+(W$2*$M1387))</f>
        <v/>
      </c>
      <c r="X1387" s="49">
        <f>IF(OR($M1387="",$T1387=""),"",$T1387+(X$2*$M1387))</f>
        <v/>
      </c>
      <c r="Y1387" s="47">
        <f>IF(OR($M1387="",$T1387=""),"",$T1387+(Y$2*$M1387))</f>
        <v/>
      </c>
      <c r="Z1387" s="49">
        <f>IF(OR($M1387="",$T1387=""),"",$T1387+(Z$2*$M1387))</f>
        <v/>
      </c>
      <c r="AA1387" s="51">
        <f>IF(OR($M1387="",$T1387=""),"",$T1387+(AA$2*$M1387))</f>
        <v/>
      </c>
      <c r="AB1387" s="48">
        <f>IF(OR($M1387="",$T1387=""),"",$T1387+(AB$2*$M1387))</f>
        <v/>
      </c>
      <c r="AC1387" s="48">
        <f>IF(OR($M1387="",$T1387=""),"",$T1387+(AC$2*$M1387))</f>
        <v/>
      </c>
      <c r="AD1387" s="48">
        <f>IF(OR($M1387="",$T1387=""),"",$T1387+(AD$2*$M1387))</f>
        <v/>
      </c>
      <c r="AE1387" s="49">
        <f>IF(OR($M1387="",$T1387=""),"",$T1387+(AE$2*$M1387))</f>
        <v/>
      </c>
      <c r="AF1387" s="52">
        <f>IF(OR(T1387="",I1387&lt;T1387),"",IFERROR(AVERAGE(T1387+M1387*{7,8,9,10,11})/IF(G1387="",I1387,G1387)-1,""))</f>
        <v/>
      </c>
      <c r="AG1387" s="55">
        <f>IF(OR(T1387="",I1387&lt;T1387),"",IFERROR(AF1387/-(R1387/IF(G1387="",I1387,G1387)-1),""))</f>
        <v/>
      </c>
      <c r="AH1387" s="94" t="n"/>
      <c r="AI1387" s="94" t="n"/>
      <c r="AJ1387" s="94" t="n"/>
      <c r="AK1387" s="94" t="n"/>
      <c r="AL1387" s="84" t="n"/>
    </row>
    <row r="1388">
      <c r="A1388" s="64" t="n"/>
      <c r="B1388" s="65" t="n"/>
      <c r="C1388" s="66" t="n"/>
      <c r="D1388" s="67" t="n"/>
      <c r="E1388" s="68" t="n"/>
      <c r="F1388" s="47">
        <f>IF(A1388="","",IF(MIN(H1388,MAX(J1388:K1388))=0,"",MIN(H1388,MAX(J1388:K1388))))</f>
        <v/>
      </c>
      <c r="G1388" s="74" t="n"/>
      <c r="H1388" s="49">
        <f>IF(M1388="","",IFERROR(ROUND(AVERAGE(T1388+M1388*{7,8,9,10,11})/1.21,4),""))</f>
        <v/>
      </c>
      <c r="I1388" s="76" t="n"/>
      <c r="J1388" s="77" t="n"/>
      <c r="K1388" s="74" t="n"/>
      <c r="L1388" s="78" t="n"/>
      <c r="M1388" s="77" t="n"/>
      <c r="N1388" s="53">
        <f>IF(M1388="","",IFERROR(M1388/I1388,""))</f>
        <v/>
      </c>
      <c r="O1388" s="50">
        <f>IF(A1388="","",IFERROR((IF(G1388="",I1388,G1388)-T1388)/M1388,""))</f>
        <v/>
      </c>
      <c r="P1388" s="50">
        <f>IFERROR((I1388/T1388-1)/N1388,"")</f>
        <v/>
      </c>
      <c r="Q1388" s="46">
        <f>IF(OR(T1388="",I1388&lt;T1388),"",IFERROR(R1388/IF(G1388="",I1388,G1388)-1,""))</f>
        <v/>
      </c>
      <c r="R1388" s="48">
        <f>IF($M1388="","",MAX(IF($G1388="",$I1388,$G1388)*(1/1.1),IF($G1388="",$I1388,$G1388)+(R$2*$M1388)))</f>
        <v/>
      </c>
      <c r="S1388" s="49">
        <f>IF($M1388="","",MAX(IF($G1388="",$I1388,$G1388)*(1/1.1),IF($G1388="",$I1388,$G1388)+(S$2*$M1388)))</f>
        <v/>
      </c>
      <c r="T1388" s="82" t="n"/>
      <c r="U1388" s="47">
        <f>IF(OR($M1388="",$T1388=""),"",$T1388+(U$2*$M1388))</f>
        <v/>
      </c>
      <c r="V1388" s="48">
        <f>IF(OR($M1388="",$T1388=""),"",$T1388+(V$2*$M1388))</f>
        <v/>
      </c>
      <c r="W1388" s="48">
        <f>IF(OR($M1388="",$T1388=""),"",$T1388+(W$2*$M1388))</f>
        <v/>
      </c>
      <c r="X1388" s="49">
        <f>IF(OR($M1388="",$T1388=""),"",$T1388+(X$2*$M1388))</f>
        <v/>
      </c>
      <c r="Y1388" s="47">
        <f>IF(OR($M1388="",$T1388=""),"",$T1388+(Y$2*$M1388))</f>
        <v/>
      </c>
      <c r="Z1388" s="49">
        <f>IF(OR($M1388="",$T1388=""),"",$T1388+(Z$2*$M1388))</f>
        <v/>
      </c>
      <c r="AA1388" s="51">
        <f>IF(OR($M1388="",$T1388=""),"",$T1388+(AA$2*$M1388))</f>
        <v/>
      </c>
      <c r="AB1388" s="48">
        <f>IF(OR($M1388="",$T1388=""),"",$T1388+(AB$2*$M1388))</f>
        <v/>
      </c>
      <c r="AC1388" s="48">
        <f>IF(OR($M1388="",$T1388=""),"",$T1388+(AC$2*$M1388))</f>
        <v/>
      </c>
      <c r="AD1388" s="48">
        <f>IF(OR($M1388="",$T1388=""),"",$T1388+(AD$2*$M1388))</f>
        <v/>
      </c>
      <c r="AE1388" s="49">
        <f>IF(OR($M1388="",$T1388=""),"",$T1388+(AE$2*$M1388))</f>
        <v/>
      </c>
      <c r="AF1388" s="52">
        <f>IF(OR(T1388="",I1388&lt;T1388),"",IFERROR(AVERAGE(T1388+M1388*{7,8,9,10,11})/IF(G1388="",I1388,G1388)-1,""))</f>
        <v/>
      </c>
      <c r="AG1388" s="55">
        <f>IF(OR(T1388="",I1388&lt;T1388),"",IFERROR(AF1388/-(R1388/IF(G1388="",I1388,G1388)-1),""))</f>
        <v/>
      </c>
      <c r="AH1388" s="94" t="n"/>
      <c r="AI1388" s="94" t="n"/>
      <c r="AJ1388" s="94" t="n"/>
      <c r="AK1388" s="94" t="n"/>
      <c r="AL1388" s="84" t="n"/>
    </row>
    <row r="1389">
      <c r="A1389" s="64" t="n"/>
      <c r="B1389" s="65" t="n"/>
      <c r="C1389" s="66" t="n"/>
      <c r="D1389" s="67" t="n"/>
      <c r="E1389" s="68" t="n"/>
      <c r="F1389" s="47">
        <f>IF(A1389="","",IF(MIN(H1389,MAX(J1389:K1389))=0,"",MIN(H1389,MAX(J1389:K1389))))</f>
        <v/>
      </c>
      <c r="G1389" s="74" t="n"/>
      <c r="H1389" s="49">
        <f>IF(M1389="","",IFERROR(ROUND(AVERAGE(T1389+M1389*{7,8,9,10,11})/1.21,4),""))</f>
        <v/>
      </c>
      <c r="I1389" s="76" t="n"/>
      <c r="J1389" s="77" t="n"/>
      <c r="K1389" s="74" t="n"/>
      <c r="L1389" s="78" t="n"/>
      <c r="M1389" s="77" t="n"/>
      <c r="N1389" s="53">
        <f>IF(M1389="","",IFERROR(M1389/I1389,""))</f>
        <v/>
      </c>
      <c r="O1389" s="50">
        <f>IF(A1389="","",IFERROR((IF(G1389="",I1389,G1389)-T1389)/M1389,""))</f>
        <v/>
      </c>
      <c r="P1389" s="50">
        <f>IFERROR((I1389/T1389-1)/N1389,"")</f>
        <v/>
      </c>
      <c r="Q1389" s="46">
        <f>IF(OR(T1389="",I1389&lt;T1389),"",IFERROR(R1389/IF(G1389="",I1389,G1389)-1,""))</f>
        <v/>
      </c>
      <c r="R1389" s="48">
        <f>IF($M1389="","",MAX(IF($G1389="",$I1389,$G1389)*(1/1.1),IF($G1389="",$I1389,$G1389)+(R$2*$M1389)))</f>
        <v/>
      </c>
      <c r="S1389" s="49">
        <f>IF($M1389="","",MAX(IF($G1389="",$I1389,$G1389)*(1/1.1),IF($G1389="",$I1389,$G1389)+(S$2*$M1389)))</f>
        <v/>
      </c>
      <c r="T1389" s="82" t="n"/>
      <c r="U1389" s="47">
        <f>IF(OR($M1389="",$T1389=""),"",$T1389+(U$2*$M1389))</f>
        <v/>
      </c>
      <c r="V1389" s="48">
        <f>IF(OR($M1389="",$T1389=""),"",$T1389+(V$2*$M1389))</f>
        <v/>
      </c>
      <c r="W1389" s="48">
        <f>IF(OR($M1389="",$T1389=""),"",$T1389+(W$2*$M1389))</f>
        <v/>
      </c>
      <c r="X1389" s="49">
        <f>IF(OR($M1389="",$T1389=""),"",$T1389+(X$2*$M1389))</f>
        <v/>
      </c>
      <c r="Y1389" s="47">
        <f>IF(OR($M1389="",$T1389=""),"",$T1389+(Y$2*$M1389))</f>
        <v/>
      </c>
      <c r="Z1389" s="49">
        <f>IF(OR($M1389="",$T1389=""),"",$T1389+(Z$2*$M1389))</f>
        <v/>
      </c>
      <c r="AA1389" s="51">
        <f>IF(OR($M1389="",$T1389=""),"",$T1389+(AA$2*$M1389))</f>
        <v/>
      </c>
      <c r="AB1389" s="48">
        <f>IF(OR($M1389="",$T1389=""),"",$T1389+(AB$2*$M1389))</f>
        <v/>
      </c>
      <c r="AC1389" s="48">
        <f>IF(OR($M1389="",$T1389=""),"",$T1389+(AC$2*$M1389))</f>
        <v/>
      </c>
      <c r="AD1389" s="48">
        <f>IF(OR($M1389="",$T1389=""),"",$T1389+(AD$2*$M1389))</f>
        <v/>
      </c>
      <c r="AE1389" s="49">
        <f>IF(OR($M1389="",$T1389=""),"",$T1389+(AE$2*$M1389))</f>
        <v/>
      </c>
      <c r="AF1389" s="52">
        <f>IF(OR(T1389="",I1389&lt;T1389),"",IFERROR(AVERAGE(T1389+M1389*{7,8,9,10,11})/IF(G1389="",I1389,G1389)-1,""))</f>
        <v/>
      </c>
      <c r="AG1389" s="55">
        <f>IF(OR(T1389="",I1389&lt;T1389),"",IFERROR(AF1389/-(R1389/IF(G1389="",I1389,G1389)-1),""))</f>
        <v/>
      </c>
      <c r="AH1389" s="94" t="n"/>
      <c r="AI1389" s="94" t="n"/>
      <c r="AJ1389" s="94" t="n"/>
      <c r="AK1389" s="94" t="n"/>
      <c r="AL1389" s="84" t="n"/>
    </row>
    <row r="1390">
      <c r="A1390" s="64" t="n"/>
      <c r="B1390" s="65" t="n"/>
      <c r="C1390" s="66" t="n"/>
      <c r="D1390" s="67" t="n"/>
      <c r="E1390" s="68" t="n"/>
      <c r="F1390" s="47">
        <f>IF(A1390="","",IF(MIN(H1390,MAX(J1390:K1390))=0,"",MIN(H1390,MAX(J1390:K1390))))</f>
        <v/>
      </c>
      <c r="G1390" s="74" t="n"/>
      <c r="H1390" s="49">
        <f>IF(M1390="","",IFERROR(ROUND(AVERAGE(T1390+M1390*{7,8,9,10,11})/1.21,4),""))</f>
        <v/>
      </c>
      <c r="I1390" s="76" t="n"/>
      <c r="J1390" s="77" t="n"/>
      <c r="K1390" s="74" t="n"/>
      <c r="L1390" s="78" t="n"/>
      <c r="M1390" s="77" t="n"/>
      <c r="N1390" s="53">
        <f>IF(M1390="","",IFERROR(M1390/I1390,""))</f>
        <v/>
      </c>
      <c r="O1390" s="50">
        <f>IF(A1390="","",IFERROR((IF(G1390="",I1390,G1390)-T1390)/M1390,""))</f>
        <v/>
      </c>
      <c r="P1390" s="50">
        <f>IFERROR((I1390/T1390-1)/N1390,"")</f>
        <v/>
      </c>
      <c r="Q1390" s="46">
        <f>IF(OR(T1390="",I1390&lt;T1390),"",IFERROR(R1390/IF(G1390="",I1390,G1390)-1,""))</f>
        <v/>
      </c>
      <c r="R1390" s="48">
        <f>IF($M1390="","",MAX(IF($G1390="",$I1390,$G1390)*(1/1.1),IF($G1390="",$I1390,$G1390)+(R$2*$M1390)))</f>
        <v/>
      </c>
      <c r="S1390" s="49">
        <f>IF($M1390="","",MAX(IF($G1390="",$I1390,$G1390)*(1/1.1),IF($G1390="",$I1390,$G1390)+(S$2*$M1390)))</f>
        <v/>
      </c>
      <c r="T1390" s="82" t="n"/>
      <c r="U1390" s="47">
        <f>IF(OR($M1390="",$T1390=""),"",$T1390+(U$2*$M1390))</f>
        <v/>
      </c>
      <c r="V1390" s="48">
        <f>IF(OR($M1390="",$T1390=""),"",$T1390+(V$2*$M1390))</f>
        <v/>
      </c>
      <c r="W1390" s="48">
        <f>IF(OR($M1390="",$T1390=""),"",$T1390+(W$2*$M1390))</f>
        <v/>
      </c>
      <c r="X1390" s="49">
        <f>IF(OR($M1390="",$T1390=""),"",$T1390+(X$2*$M1390))</f>
        <v/>
      </c>
      <c r="Y1390" s="47">
        <f>IF(OR($M1390="",$T1390=""),"",$T1390+(Y$2*$M1390))</f>
        <v/>
      </c>
      <c r="Z1390" s="49">
        <f>IF(OR($M1390="",$T1390=""),"",$T1390+(Z$2*$M1390))</f>
        <v/>
      </c>
      <c r="AA1390" s="51">
        <f>IF(OR($M1390="",$T1390=""),"",$T1390+(AA$2*$M1390))</f>
        <v/>
      </c>
      <c r="AB1390" s="48">
        <f>IF(OR($M1390="",$T1390=""),"",$T1390+(AB$2*$M1390))</f>
        <v/>
      </c>
      <c r="AC1390" s="48">
        <f>IF(OR($M1390="",$T1390=""),"",$T1390+(AC$2*$M1390))</f>
        <v/>
      </c>
      <c r="AD1390" s="48">
        <f>IF(OR($M1390="",$T1390=""),"",$T1390+(AD$2*$M1390))</f>
        <v/>
      </c>
      <c r="AE1390" s="49">
        <f>IF(OR($M1390="",$T1390=""),"",$T1390+(AE$2*$M1390))</f>
        <v/>
      </c>
      <c r="AF1390" s="52">
        <f>IF(OR(T1390="",I1390&lt;T1390),"",IFERROR(AVERAGE(T1390+M1390*{7,8,9,10,11})/IF(G1390="",I1390,G1390)-1,""))</f>
        <v/>
      </c>
      <c r="AG1390" s="55">
        <f>IF(OR(T1390="",I1390&lt;T1390),"",IFERROR(AF1390/-(R1390/IF(G1390="",I1390,G1390)-1),""))</f>
        <v/>
      </c>
      <c r="AH1390" s="94" t="n"/>
      <c r="AI1390" s="94" t="n"/>
      <c r="AJ1390" s="94" t="n"/>
      <c r="AK1390" s="94" t="n"/>
      <c r="AL1390" s="84" t="n"/>
    </row>
    <row r="1391">
      <c r="A1391" s="64" t="n"/>
      <c r="B1391" s="65" t="n"/>
      <c r="C1391" s="66" t="n"/>
      <c r="D1391" s="67" t="n"/>
      <c r="E1391" s="68" t="n"/>
      <c r="F1391" s="47">
        <f>IF(A1391="","",IF(MIN(H1391,MAX(J1391:K1391))=0,"",MIN(H1391,MAX(J1391:K1391))))</f>
        <v/>
      </c>
      <c r="G1391" s="74" t="n"/>
      <c r="H1391" s="49">
        <f>IF(M1391="","",IFERROR(ROUND(AVERAGE(T1391+M1391*{7,8,9,10,11})/1.21,4),""))</f>
        <v/>
      </c>
      <c r="I1391" s="76" t="n"/>
      <c r="J1391" s="77" t="n"/>
      <c r="K1391" s="74" t="n"/>
      <c r="L1391" s="78" t="n"/>
      <c r="M1391" s="77" t="n"/>
      <c r="N1391" s="53">
        <f>IF(M1391="","",IFERROR(M1391/I1391,""))</f>
        <v/>
      </c>
      <c r="O1391" s="50">
        <f>IF(A1391="","",IFERROR((IF(G1391="",I1391,G1391)-T1391)/M1391,""))</f>
        <v/>
      </c>
      <c r="P1391" s="50">
        <f>IFERROR((I1391/T1391-1)/N1391,"")</f>
        <v/>
      </c>
      <c r="Q1391" s="46">
        <f>IF(OR(T1391="",I1391&lt;T1391),"",IFERROR(R1391/IF(G1391="",I1391,G1391)-1,""))</f>
        <v/>
      </c>
      <c r="R1391" s="48">
        <f>IF($M1391="","",MAX(IF($G1391="",$I1391,$G1391)*(1/1.1),IF($G1391="",$I1391,$G1391)+(R$2*$M1391)))</f>
        <v/>
      </c>
      <c r="S1391" s="49">
        <f>IF($M1391="","",MAX(IF($G1391="",$I1391,$G1391)*(1/1.1),IF($G1391="",$I1391,$G1391)+(S$2*$M1391)))</f>
        <v/>
      </c>
      <c r="T1391" s="82" t="n"/>
      <c r="U1391" s="47">
        <f>IF(OR($M1391="",$T1391=""),"",$T1391+(U$2*$M1391))</f>
        <v/>
      </c>
      <c r="V1391" s="48">
        <f>IF(OR($M1391="",$T1391=""),"",$T1391+(V$2*$M1391))</f>
        <v/>
      </c>
      <c r="W1391" s="48">
        <f>IF(OR($M1391="",$T1391=""),"",$T1391+(W$2*$M1391))</f>
        <v/>
      </c>
      <c r="X1391" s="49">
        <f>IF(OR($M1391="",$T1391=""),"",$T1391+(X$2*$M1391))</f>
        <v/>
      </c>
      <c r="Y1391" s="47">
        <f>IF(OR($M1391="",$T1391=""),"",$T1391+(Y$2*$M1391))</f>
        <v/>
      </c>
      <c r="Z1391" s="49">
        <f>IF(OR($M1391="",$T1391=""),"",$T1391+(Z$2*$M1391))</f>
        <v/>
      </c>
      <c r="AA1391" s="51">
        <f>IF(OR($M1391="",$T1391=""),"",$T1391+(AA$2*$M1391))</f>
        <v/>
      </c>
      <c r="AB1391" s="48">
        <f>IF(OR($M1391="",$T1391=""),"",$T1391+(AB$2*$M1391))</f>
        <v/>
      </c>
      <c r="AC1391" s="48">
        <f>IF(OR($M1391="",$T1391=""),"",$T1391+(AC$2*$M1391))</f>
        <v/>
      </c>
      <c r="AD1391" s="48">
        <f>IF(OR($M1391="",$T1391=""),"",$T1391+(AD$2*$M1391))</f>
        <v/>
      </c>
      <c r="AE1391" s="49">
        <f>IF(OR($M1391="",$T1391=""),"",$T1391+(AE$2*$M1391))</f>
        <v/>
      </c>
      <c r="AF1391" s="52">
        <f>IF(OR(T1391="",I1391&lt;T1391),"",IFERROR(AVERAGE(T1391+M1391*{7,8,9,10,11})/IF(G1391="",I1391,G1391)-1,""))</f>
        <v/>
      </c>
      <c r="AG1391" s="55">
        <f>IF(OR(T1391="",I1391&lt;T1391),"",IFERROR(AF1391/-(R1391/IF(G1391="",I1391,G1391)-1),""))</f>
        <v/>
      </c>
      <c r="AH1391" s="94" t="n"/>
      <c r="AI1391" s="94" t="n"/>
      <c r="AJ1391" s="94" t="n"/>
      <c r="AK1391" s="94" t="n"/>
      <c r="AL1391" s="84" t="n"/>
    </row>
    <row r="1392">
      <c r="A1392" s="64" t="n"/>
      <c r="B1392" s="65" t="n"/>
      <c r="C1392" s="66" t="n"/>
      <c r="D1392" s="67" t="n"/>
      <c r="E1392" s="68" t="n"/>
      <c r="F1392" s="47">
        <f>IF(A1392="","",IF(MIN(H1392,MAX(J1392:K1392))=0,"",MIN(H1392,MAX(J1392:K1392))))</f>
        <v/>
      </c>
      <c r="G1392" s="74" t="n"/>
      <c r="H1392" s="49">
        <f>IF(M1392="","",IFERROR(ROUND(AVERAGE(T1392+M1392*{7,8,9,10,11})/1.21,4),""))</f>
        <v/>
      </c>
      <c r="I1392" s="76" t="n"/>
      <c r="J1392" s="77" t="n"/>
      <c r="K1392" s="74" t="n"/>
      <c r="L1392" s="78" t="n"/>
      <c r="M1392" s="77" t="n"/>
      <c r="N1392" s="53">
        <f>IF(M1392="","",IFERROR(M1392/I1392,""))</f>
        <v/>
      </c>
      <c r="O1392" s="50">
        <f>IF(A1392="","",IFERROR((IF(G1392="",I1392,G1392)-T1392)/M1392,""))</f>
        <v/>
      </c>
      <c r="P1392" s="50">
        <f>IFERROR((I1392/T1392-1)/N1392,"")</f>
        <v/>
      </c>
      <c r="Q1392" s="46">
        <f>IF(OR(T1392="",I1392&lt;T1392),"",IFERROR(R1392/IF(G1392="",I1392,G1392)-1,""))</f>
        <v/>
      </c>
      <c r="R1392" s="48">
        <f>IF($M1392="","",MAX(IF($G1392="",$I1392,$G1392)*(1/1.1),IF($G1392="",$I1392,$G1392)+(R$2*$M1392)))</f>
        <v/>
      </c>
      <c r="S1392" s="49">
        <f>IF($M1392="","",MAX(IF($G1392="",$I1392,$G1392)*(1/1.1),IF($G1392="",$I1392,$G1392)+(S$2*$M1392)))</f>
        <v/>
      </c>
      <c r="T1392" s="82" t="n"/>
      <c r="U1392" s="47">
        <f>IF(OR($M1392="",$T1392=""),"",$T1392+(U$2*$M1392))</f>
        <v/>
      </c>
      <c r="V1392" s="48">
        <f>IF(OR($M1392="",$T1392=""),"",$T1392+(V$2*$M1392))</f>
        <v/>
      </c>
      <c r="W1392" s="48">
        <f>IF(OR($M1392="",$T1392=""),"",$T1392+(W$2*$M1392))</f>
        <v/>
      </c>
      <c r="X1392" s="49">
        <f>IF(OR($M1392="",$T1392=""),"",$T1392+(X$2*$M1392))</f>
        <v/>
      </c>
      <c r="Y1392" s="47">
        <f>IF(OR($M1392="",$T1392=""),"",$T1392+(Y$2*$M1392))</f>
        <v/>
      </c>
      <c r="Z1392" s="49">
        <f>IF(OR($M1392="",$T1392=""),"",$T1392+(Z$2*$M1392))</f>
        <v/>
      </c>
      <c r="AA1392" s="51">
        <f>IF(OR($M1392="",$T1392=""),"",$T1392+(AA$2*$M1392))</f>
        <v/>
      </c>
      <c r="AB1392" s="48">
        <f>IF(OR($M1392="",$T1392=""),"",$T1392+(AB$2*$M1392))</f>
        <v/>
      </c>
      <c r="AC1392" s="48">
        <f>IF(OR($M1392="",$T1392=""),"",$T1392+(AC$2*$M1392))</f>
        <v/>
      </c>
      <c r="AD1392" s="48">
        <f>IF(OR($M1392="",$T1392=""),"",$T1392+(AD$2*$M1392))</f>
        <v/>
      </c>
      <c r="AE1392" s="49">
        <f>IF(OR($M1392="",$T1392=""),"",$T1392+(AE$2*$M1392))</f>
        <v/>
      </c>
      <c r="AF1392" s="52">
        <f>IF(OR(T1392="",I1392&lt;T1392),"",IFERROR(AVERAGE(T1392+M1392*{7,8,9,10,11})/IF(G1392="",I1392,G1392)-1,""))</f>
        <v/>
      </c>
      <c r="AG1392" s="55">
        <f>IF(OR(T1392="",I1392&lt;T1392),"",IFERROR(AF1392/-(R1392/IF(G1392="",I1392,G1392)-1),""))</f>
        <v/>
      </c>
      <c r="AH1392" s="94" t="n"/>
      <c r="AI1392" s="94" t="n"/>
      <c r="AJ1392" s="94" t="n"/>
      <c r="AK1392" s="94" t="n"/>
      <c r="AL1392" s="84" t="n"/>
    </row>
    <row r="1393">
      <c r="A1393" s="64" t="n"/>
      <c r="B1393" s="65" t="n"/>
      <c r="C1393" s="66" t="n"/>
      <c r="D1393" s="67" t="n"/>
      <c r="E1393" s="68" t="n"/>
      <c r="F1393" s="47">
        <f>IF(A1393="","",IF(MIN(H1393,MAX(J1393:K1393))=0,"",MIN(H1393,MAX(J1393:K1393))))</f>
        <v/>
      </c>
      <c r="G1393" s="74" t="n"/>
      <c r="H1393" s="49">
        <f>IF(M1393="","",IFERROR(ROUND(AVERAGE(T1393+M1393*{7,8,9,10,11})/1.21,4),""))</f>
        <v/>
      </c>
      <c r="I1393" s="76" t="n"/>
      <c r="J1393" s="77" t="n"/>
      <c r="K1393" s="74" t="n"/>
      <c r="L1393" s="78" t="n"/>
      <c r="M1393" s="77" t="n"/>
      <c r="N1393" s="53">
        <f>IF(M1393="","",IFERROR(M1393/I1393,""))</f>
        <v/>
      </c>
      <c r="O1393" s="50">
        <f>IF(A1393="","",IFERROR((IF(G1393="",I1393,G1393)-T1393)/M1393,""))</f>
        <v/>
      </c>
      <c r="P1393" s="50">
        <f>IFERROR((I1393/T1393-1)/N1393,"")</f>
        <v/>
      </c>
      <c r="Q1393" s="46">
        <f>IF(OR(T1393="",I1393&lt;T1393),"",IFERROR(R1393/IF(G1393="",I1393,G1393)-1,""))</f>
        <v/>
      </c>
      <c r="R1393" s="48">
        <f>IF($M1393="","",MAX(IF($G1393="",$I1393,$G1393)*(1/1.1),IF($G1393="",$I1393,$G1393)+(R$2*$M1393)))</f>
        <v/>
      </c>
      <c r="S1393" s="49">
        <f>IF($M1393="","",MAX(IF($G1393="",$I1393,$G1393)*(1/1.1),IF($G1393="",$I1393,$G1393)+(S$2*$M1393)))</f>
        <v/>
      </c>
      <c r="T1393" s="82" t="n"/>
      <c r="U1393" s="47">
        <f>IF(OR($M1393="",$T1393=""),"",$T1393+(U$2*$M1393))</f>
        <v/>
      </c>
      <c r="V1393" s="48">
        <f>IF(OR($M1393="",$T1393=""),"",$T1393+(V$2*$M1393))</f>
        <v/>
      </c>
      <c r="W1393" s="48">
        <f>IF(OR($M1393="",$T1393=""),"",$T1393+(W$2*$M1393))</f>
        <v/>
      </c>
      <c r="X1393" s="49">
        <f>IF(OR($M1393="",$T1393=""),"",$T1393+(X$2*$M1393))</f>
        <v/>
      </c>
      <c r="Y1393" s="47">
        <f>IF(OR($M1393="",$T1393=""),"",$T1393+(Y$2*$M1393))</f>
        <v/>
      </c>
      <c r="Z1393" s="49">
        <f>IF(OR($M1393="",$T1393=""),"",$T1393+(Z$2*$M1393))</f>
        <v/>
      </c>
      <c r="AA1393" s="51">
        <f>IF(OR($M1393="",$T1393=""),"",$T1393+(AA$2*$M1393))</f>
        <v/>
      </c>
      <c r="AB1393" s="48">
        <f>IF(OR($M1393="",$T1393=""),"",$T1393+(AB$2*$M1393))</f>
        <v/>
      </c>
      <c r="AC1393" s="48">
        <f>IF(OR($M1393="",$T1393=""),"",$T1393+(AC$2*$M1393))</f>
        <v/>
      </c>
      <c r="AD1393" s="48">
        <f>IF(OR($M1393="",$T1393=""),"",$T1393+(AD$2*$M1393))</f>
        <v/>
      </c>
      <c r="AE1393" s="49">
        <f>IF(OR($M1393="",$T1393=""),"",$T1393+(AE$2*$M1393))</f>
        <v/>
      </c>
      <c r="AF1393" s="52">
        <f>IF(OR(T1393="",I1393&lt;T1393),"",IFERROR(AVERAGE(T1393+M1393*{7,8,9,10,11})/IF(G1393="",I1393,G1393)-1,""))</f>
        <v/>
      </c>
      <c r="AG1393" s="55">
        <f>IF(OR(T1393="",I1393&lt;T1393),"",IFERROR(AF1393/-(R1393/IF(G1393="",I1393,G1393)-1),""))</f>
        <v/>
      </c>
      <c r="AH1393" s="94" t="n"/>
      <c r="AI1393" s="94" t="n"/>
      <c r="AJ1393" s="94" t="n"/>
      <c r="AK1393" s="94" t="n"/>
      <c r="AL1393" s="84" t="n"/>
    </row>
    <row r="1394">
      <c r="A1394" s="64" t="n"/>
      <c r="B1394" s="65" t="n"/>
      <c r="C1394" s="66" t="n"/>
      <c r="D1394" s="67" t="n"/>
      <c r="E1394" s="68" t="n"/>
      <c r="F1394" s="47">
        <f>IF(A1394="","",IF(MIN(H1394,MAX(J1394:K1394))=0,"",MIN(H1394,MAX(J1394:K1394))))</f>
        <v/>
      </c>
      <c r="G1394" s="74" t="n"/>
      <c r="H1394" s="49">
        <f>IF(M1394="","",IFERROR(ROUND(AVERAGE(T1394+M1394*{7,8,9,10,11})/1.21,4),""))</f>
        <v/>
      </c>
      <c r="I1394" s="76" t="n"/>
      <c r="J1394" s="77" t="n"/>
      <c r="K1394" s="74" t="n"/>
      <c r="L1394" s="78" t="n"/>
      <c r="M1394" s="77" t="n"/>
      <c r="N1394" s="53">
        <f>IF(M1394="","",IFERROR(M1394/I1394,""))</f>
        <v/>
      </c>
      <c r="O1394" s="50">
        <f>IF(A1394="","",IFERROR((IF(G1394="",I1394,G1394)-T1394)/M1394,""))</f>
        <v/>
      </c>
      <c r="P1394" s="50">
        <f>IFERROR((I1394/T1394-1)/N1394,"")</f>
        <v/>
      </c>
      <c r="Q1394" s="46">
        <f>IF(OR(T1394="",I1394&lt;T1394),"",IFERROR(R1394/IF(G1394="",I1394,G1394)-1,""))</f>
        <v/>
      </c>
      <c r="R1394" s="48">
        <f>IF($M1394="","",MAX(IF($G1394="",$I1394,$G1394)*(1/1.1),IF($G1394="",$I1394,$G1394)+(R$2*$M1394)))</f>
        <v/>
      </c>
      <c r="S1394" s="49">
        <f>IF($M1394="","",MAX(IF($G1394="",$I1394,$G1394)*(1/1.1),IF($G1394="",$I1394,$G1394)+(S$2*$M1394)))</f>
        <v/>
      </c>
      <c r="T1394" s="82" t="n"/>
      <c r="U1394" s="47">
        <f>IF(OR($M1394="",$T1394=""),"",$T1394+(U$2*$M1394))</f>
        <v/>
      </c>
      <c r="V1394" s="48">
        <f>IF(OR($M1394="",$T1394=""),"",$T1394+(V$2*$M1394))</f>
        <v/>
      </c>
      <c r="W1394" s="48">
        <f>IF(OR($M1394="",$T1394=""),"",$T1394+(W$2*$M1394))</f>
        <v/>
      </c>
      <c r="X1394" s="49">
        <f>IF(OR($M1394="",$T1394=""),"",$T1394+(X$2*$M1394))</f>
        <v/>
      </c>
      <c r="Y1394" s="47">
        <f>IF(OR($M1394="",$T1394=""),"",$T1394+(Y$2*$M1394))</f>
        <v/>
      </c>
      <c r="Z1394" s="49">
        <f>IF(OR($M1394="",$T1394=""),"",$T1394+(Z$2*$M1394))</f>
        <v/>
      </c>
      <c r="AA1394" s="51">
        <f>IF(OR($M1394="",$T1394=""),"",$T1394+(AA$2*$M1394))</f>
        <v/>
      </c>
      <c r="AB1394" s="48">
        <f>IF(OR($M1394="",$T1394=""),"",$T1394+(AB$2*$M1394))</f>
        <v/>
      </c>
      <c r="AC1394" s="48">
        <f>IF(OR($M1394="",$T1394=""),"",$T1394+(AC$2*$M1394))</f>
        <v/>
      </c>
      <c r="AD1394" s="48">
        <f>IF(OR($M1394="",$T1394=""),"",$T1394+(AD$2*$M1394))</f>
        <v/>
      </c>
      <c r="AE1394" s="49">
        <f>IF(OR($M1394="",$T1394=""),"",$T1394+(AE$2*$M1394))</f>
        <v/>
      </c>
      <c r="AF1394" s="52">
        <f>IF(OR(T1394="",I1394&lt;T1394),"",IFERROR(AVERAGE(T1394+M1394*{7,8,9,10,11})/IF(G1394="",I1394,G1394)-1,""))</f>
        <v/>
      </c>
      <c r="AG1394" s="55">
        <f>IF(OR(T1394="",I1394&lt;T1394),"",IFERROR(AF1394/-(R1394/IF(G1394="",I1394,G1394)-1),""))</f>
        <v/>
      </c>
      <c r="AH1394" s="94" t="n"/>
      <c r="AI1394" s="94" t="n"/>
      <c r="AJ1394" s="94" t="n"/>
      <c r="AK1394" s="94" t="n"/>
      <c r="AL1394" s="84" t="n"/>
    </row>
    <row r="1395">
      <c r="A1395" s="64" t="n"/>
      <c r="B1395" s="65" t="n"/>
      <c r="C1395" s="66" t="n"/>
      <c r="D1395" s="67" t="n"/>
      <c r="E1395" s="68" t="n"/>
      <c r="F1395" s="47">
        <f>IF(A1395="","",IF(MIN(H1395,MAX(J1395:K1395))=0,"",MIN(H1395,MAX(J1395:K1395))))</f>
        <v/>
      </c>
      <c r="G1395" s="74" t="n"/>
      <c r="H1395" s="49">
        <f>IF(M1395="","",IFERROR(ROUND(AVERAGE(T1395+M1395*{7,8,9,10,11})/1.21,4),""))</f>
        <v/>
      </c>
      <c r="I1395" s="76" t="n"/>
      <c r="J1395" s="77" t="n"/>
      <c r="K1395" s="74" t="n"/>
      <c r="L1395" s="78" t="n"/>
      <c r="M1395" s="77" t="n"/>
      <c r="N1395" s="53">
        <f>IF(M1395="","",IFERROR(M1395/I1395,""))</f>
        <v/>
      </c>
      <c r="O1395" s="50">
        <f>IF(A1395="","",IFERROR((IF(G1395="",I1395,G1395)-T1395)/M1395,""))</f>
        <v/>
      </c>
      <c r="P1395" s="50">
        <f>IFERROR((I1395/T1395-1)/N1395,"")</f>
        <v/>
      </c>
      <c r="Q1395" s="46">
        <f>IF(OR(T1395="",I1395&lt;T1395),"",IFERROR(R1395/IF(G1395="",I1395,G1395)-1,""))</f>
        <v/>
      </c>
      <c r="R1395" s="48">
        <f>IF($M1395="","",MAX(IF($G1395="",$I1395,$G1395)*(1/1.1),IF($G1395="",$I1395,$G1395)+(R$2*$M1395)))</f>
        <v/>
      </c>
      <c r="S1395" s="49">
        <f>IF($M1395="","",MAX(IF($G1395="",$I1395,$G1395)*(1/1.1),IF($G1395="",$I1395,$G1395)+(S$2*$M1395)))</f>
        <v/>
      </c>
      <c r="T1395" s="82" t="n"/>
      <c r="U1395" s="47">
        <f>IF(OR($M1395="",$T1395=""),"",$T1395+(U$2*$M1395))</f>
        <v/>
      </c>
      <c r="V1395" s="48">
        <f>IF(OR($M1395="",$T1395=""),"",$T1395+(V$2*$M1395))</f>
        <v/>
      </c>
      <c r="W1395" s="48">
        <f>IF(OR($M1395="",$T1395=""),"",$T1395+(W$2*$M1395))</f>
        <v/>
      </c>
      <c r="X1395" s="49">
        <f>IF(OR($M1395="",$T1395=""),"",$T1395+(X$2*$M1395))</f>
        <v/>
      </c>
      <c r="Y1395" s="47">
        <f>IF(OR($M1395="",$T1395=""),"",$T1395+(Y$2*$M1395))</f>
        <v/>
      </c>
      <c r="Z1395" s="49">
        <f>IF(OR($M1395="",$T1395=""),"",$T1395+(Z$2*$M1395))</f>
        <v/>
      </c>
      <c r="AA1395" s="51">
        <f>IF(OR($M1395="",$T1395=""),"",$T1395+(AA$2*$M1395))</f>
        <v/>
      </c>
      <c r="AB1395" s="48">
        <f>IF(OR($M1395="",$T1395=""),"",$T1395+(AB$2*$M1395))</f>
        <v/>
      </c>
      <c r="AC1395" s="48">
        <f>IF(OR($M1395="",$T1395=""),"",$T1395+(AC$2*$M1395))</f>
        <v/>
      </c>
      <c r="AD1395" s="48">
        <f>IF(OR($M1395="",$T1395=""),"",$T1395+(AD$2*$M1395))</f>
        <v/>
      </c>
      <c r="AE1395" s="49">
        <f>IF(OR($M1395="",$T1395=""),"",$T1395+(AE$2*$M1395))</f>
        <v/>
      </c>
      <c r="AF1395" s="52">
        <f>IF(OR(T1395="",I1395&lt;T1395),"",IFERROR(AVERAGE(T1395+M1395*{7,8,9,10,11})/IF(G1395="",I1395,G1395)-1,""))</f>
        <v/>
      </c>
      <c r="AG1395" s="55">
        <f>IF(OR(T1395="",I1395&lt;T1395),"",IFERROR(AF1395/-(R1395/IF(G1395="",I1395,G1395)-1),""))</f>
        <v/>
      </c>
      <c r="AH1395" s="94" t="n"/>
      <c r="AI1395" s="94" t="n"/>
      <c r="AJ1395" s="94" t="n"/>
      <c r="AK1395" s="94" t="n"/>
      <c r="AL1395" s="84" t="n"/>
    </row>
    <row r="1396">
      <c r="A1396" s="64" t="n"/>
      <c r="B1396" s="65" t="n"/>
      <c r="C1396" s="66" t="n"/>
      <c r="D1396" s="67" t="n"/>
      <c r="E1396" s="68" t="n"/>
      <c r="F1396" s="47">
        <f>IF(A1396="","",IF(MIN(H1396,MAX(J1396:K1396))=0,"",MIN(H1396,MAX(J1396:K1396))))</f>
        <v/>
      </c>
      <c r="G1396" s="74" t="n"/>
      <c r="H1396" s="49">
        <f>IF(M1396="","",IFERROR(ROUND(AVERAGE(T1396+M1396*{7,8,9,10,11})/1.21,4),""))</f>
        <v/>
      </c>
      <c r="I1396" s="76" t="n"/>
      <c r="J1396" s="77" t="n"/>
      <c r="K1396" s="74" t="n"/>
      <c r="L1396" s="78" t="n"/>
      <c r="M1396" s="77" t="n"/>
      <c r="N1396" s="53">
        <f>IF(M1396="","",IFERROR(M1396/I1396,""))</f>
        <v/>
      </c>
      <c r="O1396" s="50">
        <f>IF(A1396="","",IFERROR((IF(G1396="",I1396,G1396)-T1396)/M1396,""))</f>
        <v/>
      </c>
      <c r="P1396" s="50">
        <f>IFERROR((I1396/T1396-1)/N1396,"")</f>
        <v/>
      </c>
      <c r="Q1396" s="46">
        <f>IF(OR(T1396="",I1396&lt;T1396),"",IFERROR(R1396/IF(G1396="",I1396,G1396)-1,""))</f>
        <v/>
      </c>
      <c r="R1396" s="48">
        <f>IF($M1396="","",MAX(IF($G1396="",$I1396,$G1396)*(1/1.1),IF($G1396="",$I1396,$G1396)+(R$2*$M1396)))</f>
        <v/>
      </c>
      <c r="S1396" s="49">
        <f>IF($M1396="","",MAX(IF($G1396="",$I1396,$G1396)*(1/1.1),IF($G1396="",$I1396,$G1396)+(S$2*$M1396)))</f>
        <v/>
      </c>
      <c r="T1396" s="82" t="n"/>
      <c r="U1396" s="47">
        <f>IF(OR($M1396="",$T1396=""),"",$T1396+(U$2*$M1396))</f>
        <v/>
      </c>
      <c r="V1396" s="48">
        <f>IF(OR($M1396="",$T1396=""),"",$T1396+(V$2*$M1396))</f>
        <v/>
      </c>
      <c r="W1396" s="48">
        <f>IF(OR($M1396="",$T1396=""),"",$T1396+(W$2*$M1396))</f>
        <v/>
      </c>
      <c r="X1396" s="49">
        <f>IF(OR($M1396="",$T1396=""),"",$T1396+(X$2*$M1396))</f>
        <v/>
      </c>
      <c r="Y1396" s="47">
        <f>IF(OR($M1396="",$T1396=""),"",$T1396+(Y$2*$M1396))</f>
        <v/>
      </c>
      <c r="Z1396" s="49">
        <f>IF(OR($M1396="",$T1396=""),"",$T1396+(Z$2*$M1396))</f>
        <v/>
      </c>
      <c r="AA1396" s="51">
        <f>IF(OR($M1396="",$T1396=""),"",$T1396+(AA$2*$M1396))</f>
        <v/>
      </c>
      <c r="AB1396" s="48">
        <f>IF(OR($M1396="",$T1396=""),"",$T1396+(AB$2*$M1396))</f>
        <v/>
      </c>
      <c r="AC1396" s="48">
        <f>IF(OR($M1396="",$T1396=""),"",$T1396+(AC$2*$M1396))</f>
        <v/>
      </c>
      <c r="AD1396" s="48">
        <f>IF(OR($M1396="",$T1396=""),"",$T1396+(AD$2*$M1396))</f>
        <v/>
      </c>
      <c r="AE1396" s="49">
        <f>IF(OR($M1396="",$T1396=""),"",$T1396+(AE$2*$M1396))</f>
        <v/>
      </c>
      <c r="AF1396" s="52">
        <f>IF(OR(T1396="",I1396&lt;T1396),"",IFERROR(AVERAGE(T1396+M1396*{7,8,9,10,11})/IF(G1396="",I1396,G1396)-1,""))</f>
        <v/>
      </c>
      <c r="AG1396" s="55">
        <f>IF(OR(T1396="",I1396&lt;T1396),"",IFERROR(AF1396/-(R1396/IF(G1396="",I1396,G1396)-1),""))</f>
        <v/>
      </c>
      <c r="AH1396" s="94" t="n"/>
      <c r="AI1396" s="94" t="n"/>
      <c r="AJ1396" s="94" t="n"/>
      <c r="AK1396" s="94" t="n"/>
      <c r="AL1396" s="84" t="n"/>
    </row>
    <row r="1397">
      <c r="A1397" s="64" t="n"/>
      <c r="B1397" s="65" t="n"/>
      <c r="C1397" s="66" t="n"/>
      <c r="D1397" s="67" t="n"/>
      <c r="E1397" s="68" t="n"/>
      <c r="F1397" s="47">
        <f>IF(A1397="","",IF(MIN(H1397,MAX(J1397:K1397))=0,"",MIN(H1397,MAX(J1397:K1397))))</f>
        <v/>
      </c>
      <c r="G1397" s="74" t="n"/>
      <c r="H1397" s="49">
        <f>IF(M1397="","",IFERROR(ROUND(AVERAGE(T1397+M1397*{7,8,9,10,11})/1.21,4),""))</f>
        <v/>
      </c>
      <c r="I1397" s="76" t="n"/>
      <c r="J1397" s="77" t="n"/>
      <c r="K1397" s="74" t="n"/>
      <c r="L1397" s="78" t="n"/>
      <c r="M1397" s="77" t="n"/>
      <c r="N1397" s="53">
        <f>IF(M1397="","",IFERROR(M1397/I1397,""))</f>
        <v/>
      </c>
      <c r="O1397" s="50">
        <f>IF(A1397="","",IFERROR((IF(G1397="",I1397,G1397)-T1397)/M1397,""))</f>
        <v/>
      </c>
      <c r="P1397" s="50">
        <f>IFERROR((I1397/T1397-1)/N1397,"")</f>
        <v/>
      </c>
      <c r="Q1397" s="46">
        <f>IF(OR(T1397="",I1397&lt;T1397),"",IFERROR(R1397/IF(G1397="",I1397,G1397)-1,""))</f>
        <v/>
      </c>
      <c r="R1397" s="48">
        <f>IF($M1397="","",MAX(IF($G1397="",$I1397,$G1397)*(1/1.1),IF($G1397="",$I1397,$G1397)+(R$2*$M1397)))</f>
        <v/>
      </c>
      <c r="S1397" s="49">
        <f>IF($M1397="","",MAX(IF($G1397="",$I1397,$G1397)*(1/1.1),IF($G1397="",$I1397,$G1397)+(S$2*$M1397)))</f>
        <v/>
      </c>
      <c r="T1397" s="82" t="n"/>
      <c r="U1397" s="47">
        <f>IF(OR($M1397="",$T1397=""),"",$T1397+(U$2*$M1397))</f>
        <v/>
      </c>
      <c r="V1397" s="48">
        <f>IF(OR($M1397="",$T1397=""),"",$T1397+(V$2*$M1397))</f>
        <v/>
      </c>
      <c r="W1397" s="48">
        <f>IF(OR($M1397="",$T1397=""),"",$T1397+(W$2*$M1397))</f>
        <v/>
      </c>
      <c r="X1397" s="49">
        <f>IF(OR($M1397="",$T1397=""),"",$T1397+(X$2*$M1397))</f>
        <v/>
      </c>
      <c r="Y1397" s="47">
        <f>IF(OR($M1397="",$T1397=""),"",$T1397+(Y$2*$M1397))</f>
        <v/>
      </c>
      <c r="Z1397" s="49">
        <f>IF(OR($M1397="",$T1397=""),"",$T1397+(Z$2*$M1397))</f>
        <v/>
      </c>
      <c r="AA1397" s="51">
        <f>IF(OR($M1397="",$T1397=""),"",$T1397+(AA$2*$M1397))</f>
        <v/>
      </c>
      <c r="AB1397" s="48">
        <f>IF(OR($M1397="",$T1397=""),"",$T1397+(AB$2*$M1397))</f>
        <v/>
      </c>
      <c r="AC1397" s="48">
        <f>IF(OR($M1397="",$T1397=""),"",$T1397+(AC$2*$M1397))</f>
        <v/>
      </c>
      <c r="AD1397" s="48">
        <f>IF(OR($M1397="",$T1397=""),"",$T1397+(AD$2*$M1397))</f>
        <v/>
      </c>
      <c r="AE1397" s="49">
        <f>IF(OR($M1397="",$T1397=""),"",$T1397+(AE$2*$M1397))</f>
        <v/>
      </c>
      <c r="AF1397" s="52">
        <f>IF(OR(T1397="",I1397&lt;T1397),"",IFERROR(AVERAGE(T1397+M1397*{7,8,9,10,11})/IF(G1397="",I1397,G1397)-1,""))</f>
        <v/>
      </c>
      <c r="AG1397" s="55">
        <f>IF(OR(T1397="",I1397&lt;T1397),"",IFERROR(AF1397/-(R1397/IF(G1397="",I1397,G1397)-1),""))</f>
        <v/>
      </c>
      <c r="AH1397" s="94" t="n"/>
      <c r="AI1397" s="94" t="n"/>
      <c r="AJ1397" s="94" t="n"/>
      <c r="AK1397" s="94" t="n"/>
      <c r="AL1397" s="84" t="n"/>
    </row>
    <row r="1398">
      <c r="A1398" s="64" t="n"/>
      <c r="B1398" s="65" t="n"/>
      <c r="C1398" s="66" t="n"/>
      <c r="D1398" s="67" t="n"/>
      <c r="E1398" s="68" t="n"/>
      <c r="F1398" s="47">
        <f>IF(A1398="","",IF(MIN(H1398,MAX(J1398:K1398))=0,"",MIN(H1398,MAX(J1398:K1398))))</f>
        <v/>
      </c>
      <c r="G1398" s="74" t="n"/>
      <c r="H1398" s="49">
        <f>IF(M1398="","",IFERROR(ROUND(AVERAGE(T1398+M1398*{7,8,9,10,11})/1.21,4),""))</f>
        <v/>
      </c>
      <c r="I1398" s="76" t="n"/>
      <c r="J1398" s="77" t="n"/>
      <c r="K1398" s="74" t="n"/>
      <c r="L1398" s="78" t="n"/>
      <c r="M1398" s="77" t="n"/>
      <c r="N1398" s="53">
        <f>IF(M1398="","",IFERROR(M1398/I1398,""))</f>
        <v/>
      </c>
      <c r="O1398" s="50">
        <f>IF(A1398="","",IFERROR((IF(G1398="",I1398,G1398)-T1398)/M1398,""))</f>
        <v/>
      </c>
      <c r="P1398" s="50">
        <f>IFERROR((I1398/T1398-1)/N1398,"")</f>
        <v/>
      </c>
      <c r="Q1398" s="46">
        <f>IF(OR(T1398="",I1398&lt;T1398),"",IFERROR(R1398/IF(G1398="",I1398,G1398)-1,""))</f>
        <v/>
      </c>
      <c r="R1398" s="48">
        <f>IF($M1398="","",MAX(IF($G1398="",$I1398,$G1398)*(1/1.1),IF($G1398="",$I1398,$G1398)+(R$2*$M1398)))</f>
        <v/>
      </c>
      <c r="S1398" s="49">
        <f>IF($M1398="","",MAX(IF($G1398="",$I1398,$G1398)*(1/1.1),IF($G1398="",$I1398,$G1398)+(S$2*$M1398)))</f>
        <v/>
      </c>
      <c r="T1398" s="82" t="n"/>
      <c r="U1398" s="47">
        <f>IF(OR($M1398="",$T1398=""),"",$T1398+(U$2*$M1398))</f>
        <v/>
      </c>
      <c r="V1398" s="48">
        <f>IF(OR($M1398="",$T1398=""),"",$T1398+(V$2*$M1398))</f>
        <v/>
      </c>
      <c r="W1398" s="48">
        <f>IF(OR($M1398="",$T1398=""),"",$T1398+(W$2*$M1398))</f>
        <v/>
      </c>
      <c r="X1398" s="49">
        <f>IF(OR($M1398="",$T1398=""),"",$T1398+(X$2*$M1398))</f>
        <v/>
      </c>
      <c r="Y1398" s="47">
        <f>IF(OR($M1398="",$T1398=""),"",$T1398+(Y$2*$M1398))</f>
        <v/>
      </c>
      <c r="Z1398" s="49">
        <f>IF(OR($M1398="",$T1398=""),"",$T1398+(Z$2*$M1398))</f>
        <v/>
      </c>
      <c r="AA1398" s="51">
        <f>IF(OR($M1398="",$T1398=""),"",$T1398+(AA$2*$M1398))</f>
        <v/>
      </c>
      <c r="AB1398" s="48">
        <f>IF(OR($M1398="",$T1398=""),"",$T1398+(AB$2*$M1398))</f>
        <v/>
      </c>
      <c r="AC1398" s="48">
        <f>IF(OR($M1398="",$T1398=""),"",$T1398+(AC$2*$M1398))</f>
        <v/>
      </c>
      <c r="AD1398" s="48">
        <f>IF(OR($M1398="",$T1398=""),"",$T1398+(AD$2*$M1398))</f>
        <v/>
      </c>
      <c r="AE1398" s="49">
        <f>IF(OR($M1398="",$T1398=""),"",$T1398+(AE$2*$M1398))</f>
        <v/>
      </c>
      <c r="AF1398" s="52">
        <f>IF(OR(T1398="",I1398&lt;T1398),"",IFERROR(AVERAGE(T1398+M1398*{7,8,9,10,11})/IF(G1398="",I1398,G1398)-1,""))</f>
        <v/>
      </c>
      <c r="AG1398" s="55">
        <f>IF(OR(T1398="",I1398&lt;T1398),"",IFERROR(AF1398/-(R1398/IF(G1398="",I1398,G1398)-1),""))</f>
        <v/>
      </c>
      <c r="AH1398" s="94" t="n"/>
      <c r="AI1398" s="94" t="n"/>
      <c r="AJ1398" s="94" t="n"/>
      <c r="AK1398" s="94" t="n"/>
      <c r="AL1398" s="84" t="n"/>
    </row>
    <row r="1399">
      <c r="A1399" s="64" t="n"/>
      <c r="B1399" s="65" t="n"/>
      <c r="C1399" s="66" t="n"/>
      <c r="D1399" s="67" t="n"/>
      <c r="E1399" s="68" t="n"/>
      <c r="F1399" s="47">
        <f>IF(A1399="","",IF(MIN(H1399,MAX(J1399:K1399))=0,"",MIN(H1399,MAX(J1399:K1399))))</f>
        <v/>
      </c>
      <c r="G1399" s="74" t="n"/>
      <c r="H1399" s="49">
        <f>IF(M1399="","",IFERROR(ROUND(AVERAGE(T1399+M1399*{7,8,9,10,11})/1.21,4),""))</f>
        <v/>
      </c>
      <c r="I1399" s="76" t="n"/>
      <c r="J1399" s="77" t="n"/>
      <c r="K1399" s="74" t="n"/>
      <c r="L1399" s="78" t="n"/>
      <c r="M1399" s="77" t="n"/>
      <c r="N1399" s="53">
        <f>IF(M1399="","",IFERROR(M1399/I1399,""))</f>
        <v/>
      </c>
      <c r="O1399" s="50">
        <f>IF(A1399="","",IFERROR((IF(G1399="",I1399,G1399)-T1399)/M1399,""))</f>
        <v/>
      </c>
      <c r="P1399" s="50">
        <f>IFERROR((I1399/T1399-1)/N1399,"")</f>
        <v/>
      </c>
      <c r="Q1399" s="46">
        <f>IF(OR(T1399="",I1399&lt;T1399),"",IFERROR(R1399/IF(G1399="",I1399,G1399)-1,""))</f>
        <v/>
      </c>
      <c r="R1399" s="48">
        <f>IF($M1399="","",MAX(IF($G1399="",$I1399,$G1399)*(1/1.1),IF($G1399="",$I1399,$G1399)+(R$2*$M1399)))</f>
        <v/>
      </c>
      <c r="S1399" s="49">
        <f>IF($M1399="","",MAX(IF($G1399="",$I1399,$G1399)*(1/1.1),IF($G1399="",$I1399,$G1399)+(S$2*$M1399)))</f>
        <v/>
      </c>
      <c r="T1399" s="82" t="n"/>
      <c r="U1399" s="47">
        <f>IF(OR($M1399="",$T1399=""),"",$T1399+(U$2*$M1399))</f>
        <v/>
      </c>
      <c r="V1399" s="48">
        <f>IF(OR($M1399="",$T1399=""),"",$T1399+(V$2*$M1399))</f>
        <v/>
      </c>
      <c r="W1399" s="48">
        <f>IF(OR($M1399="",$T1399=""),"",$T1399+(W$2*$M1399))</f>
        <v/>
      </c>
      <c r="X1399" s="49">
        <f>IF(OR($M1399="",$T1399=""),"",$T1399+(X$2*$M1399))</f>
        <v/>
      </c>
      <c r="Y1399" s="47">
        <f>IF(OR($M1399="",$T1399=""),"",$T1399+(Y$2*$M1399))</f>
        <v/>
      </c>
      <c r="Z1399" s="49">
        <f>IF(OR($M1399="",$T1399=""),"",$T1399+(Z$2*$M1399))</f>
        <v/>
      </c>
      <c r="AA1399" s="51">
        <f>IF(OR($M1399="",$T1399=""),"",$T1399+(AA$2*$M1399))</f>
        <v/>
      </c>
      <c r="AB1399" s="48">
        <f>IF(OR($M1399="",$T1399=""),"",$T1399+(AB$2*$M1399))</f>
        <v/>
      </c>
      <c r="AC1399" s="48">
        <f>IF(OR($M1399="",$T1399=""),"",$T1399+(AC$2*$M1399))</f>
        <v/>
      </c>
      <c r="AD1399" s="48">
        <f>IF(OR($M1399="",$T1399=""),"",$T1399+(AD$2*$M1399))</f>
        <v/>
      </c>
      <c r="AE1399" s="49">
        <f>IF(OR($M1399="",$T1399=""),"",$T1399+(AE$2*$M1399))</f>
        <v/>
      </c>
      <c r="AF1399" s="52">
        <f>IF(OR(T1399="",I1399&lt;T1399),"",IFERROR(AVERAGE(T1399+M1399*{7,8,9,10,11})/IF(G1399="",I1399,G1399)-1,""))</f>
        <v/>
      </c>
      <c r="AG1399" s="55">
        <f>IF(OR(T1399="",I1399&lt;T1399),"",IFERROR(AF1399/-(R1399/IF(G1399="",I1399,G1399)-1),""))</f>
        <v/>
      </c>
      <c r="AH1399" s="94" t="n"/>
      <c r="AI1399" s="94" t="n"/>
      <c r="AJ1399" s="94" t="n"/>
      <c r="AK1399" s="94" t="n"/>
      <c r="AL1399" s="84" t="n"/>
    </row>
    <row r="1400">
      <c r="A1400" s="64" t="n"/>
      <c r="B1400" s="65" t="n"/>
      <c r="C1400" s="66" t="n"/>
      <c r="D1400" s="67" t="n"/>
      <c r="E1400" s="68" t="n"/>
      <c r="F1400" s="47">
        <f>IF(A1400="","",IF(MIN(H1400,MAX(J1400:K1400))=0,"",MIN(H1400,MAX(J1400:K1400))))</f>
        <v/>
      </c>
      <c r="G1400" s="74" t="n"/>
      <c r="H1400" s="49">
        <f>IF(M1400="","",IFERROR(ROUND(AVERAGE(T1400+M1400*{7,8,9,10,11})/1.21,4),""))</f>
        <v/>
      </c>
      <c r="I1400" s="76" t="n"/>
      <c r="J1400" s="77" t="n"/>
      <c r="K1400" s="74" t="n"/>
      <c r="L1400" s="78" t="n"/>
      <c r="M1400" s="77" t="n"/>
      <c r="N1400" s="53">
        <f>IF(M1400="","",IFERROR(M1400/I1400,""))</f>
        <v/>
      </c>
      <c r="O1400" s="50">
        <f>IF(A1400="","",IFERROR((IF(G1400="",I1400,G1400)-T1400)/M1400,""))</f>
        <v/>
      </c>
      <c r="P1400" s="50">
        <f>IFERROR((I1400/T1400-1)/N1400,"")</f>
        <v/>
      </c>
      <c r="Q1400" s="46">
        <f>IF(OR(T1400="",I1400&lt;T1400),"",IFERROR(R1400/IF(G1400="",I1400,G1400)-1,""))</f>
        <v/>
      </c>
      <c r="R1400" s="48">
        <f>IF($M1400="","",MAX(IF($G1400="",$I1400,$G1400)*(1/1.1),IF($G1400="",$I1400,$G1400)+(R$2*$M1400)))</f>
        <v/>
      </c>
      <c r="S1400" s="49">
        <f>IF($M1400="","",MAX(IF($G1400="",$I1400,$G1400)*(1/1.1),IF($G1400="",$I1400,$G1400)+(S$2*$M1400)))</f>
        <v/>
      </c>
      <c r="T1400" s="82" t="n"/>
      <c r="U1400" s="47">
        <f>IF(OR($M1400="",$T1400=""),"",$T1400+(U$2*$M1400))</f>
        <v/>
      </c>
      <c r="V1400" s="48">
        <f>IF(OR($M1400="",$T1400=""),"",$T1400+(V$2*$M1400))</f>
        <v/>
      </c>
      <c r="W1400" s="48">
        <f>IF(OR($M1400="",$T1400=""),"",$T1400+(W$2*$M1400))</f>
        <v/>
      </c>
      <c r="X1400" s="49">
        <f>IF(OR($M1400="",$T1400=""),"",$T1400+(X$2*$M1400))</f>
        <v/>
      </c>
      <c r="Y1400" s="47">
        <f>IF(OR($M1400="",$T1400=""),"",$T1400+(Y$2*$M1400))</f>
        <v/>
      </c>
      <c r="Z1400" s="49">
        <f>IF(OR($M1400="",$T1400=""),"",$T1400+(Z$2*$M1400))</f>
        <v/>
      </c>
      <c r="AA1400" s="51">
        <f>IF(OR($M1400="",$T1400=""),"",$T1400+(AA$2*$M1400))</f>
        <v/>
      </c>
      <c r="AB1400" s="48">
        <f>IF(OR($M1400="",$T1400=""),"",$T1400+(AB$2*$M1400))</f>
        <v/>
      </c>
      <c r="AC1400" s="48">
        <f>IF(OR($M1400="",$T1400=""),"",$T1400+(AC$2*$M1400))</f>
        <v/>
      </c>
      <c r="AD1400" s="48">
        <f>IF(OR($M1400="",$T1400=""),"",$T1400+(AD$2*$M1400))</f>
        <v/>
      </c>
      <c r="AE1400" s="49">
        <f>IF(OR($M1400="",$T1400=""),"",$T1400+(AE$2*$M1400))</f>
        <v/>
      </c>
      <c r="AF1400" s="52">
        <f>IF(OR(T1400="",I1400&lt;T1400),"",IFERROR(AVERAGE(T1400+M1400*{7,8,9,10,11})/IF(G1400="",I1400,G1400)-1,""))</f>
        <v/>
      </c>
      <c r="AG1400" s="55">
        <f>IF(OR(T1400="",I1400&lt;T1400),"",IFERROR(AF1400/-(R1400/IF(G1400="",I1400,G1400)-1),""))</f>
        <v/>
      </c>
      <c r="AH1400" s="94" t="n"/>
      <c r="AI1400" s="94" t="n"/>
      <c r="AJ1400" s="94" t="n"/>
      <c r="AK1400" s="94" t="n"/>
      <c r="AL1400" s="84" t="n"/>
    </row>
    <row r="1401">
      <c r="A1401" s="64" t="n"/>
      <c r="B1401" s="65" t="n"/>
      <c r="C1401" s="66" t="n"/>
      <c r="D1401" s="67" t="n"/>
      <c r="E1401" s="68" t="n"/>
      <c r="F1401" s="47">
        <f>IF(A1401="","",IF(MIN(H1401,MAX(J1401:K1401))=0,"",MIN(H1401,MAX(J1401:K1401))))</f>
        <v/>
      </c>
      <c r="G1401" s="74" t="n"/>
      <c r="H1401" s="49">
        <f>IF(M1401="","",IFERROR(ROUND(AVERAGE(T1401+M1401*{7,8,9,10,11})/1.21,4),""))</f>
        <v/>
      </c>
      <c r="I1401" s="76" t="n"/>
      <c r="J1401" s="77" t="n"/>
      <c r="K1401" s="74" t="n"/>
      <c r="L1401" s="78" t="n"/>
      <c r="M1401" s="77" t="n"/>
      <c r="N1401" s="53">
        <f>IF(M1401="","",IFERROR(M1401/I1401,""))</f>
        <v/>
      </c>
      <c r="O1401" s="50">
        <f>IF(A1401="","",IFERROR((IF(G1401="",I1401,G1401)-T1401)/M1401,""))</f>
        <v/>
      </c>
      <c r="P1401" s="50">
        <f>IFERROR((I1401/T1401-1)/N1401,"")</f>
        <v/>
      </c>
      <c r="Q1401" s="46">
        <f>IF(OR(T1401="",I1401&lt;T1401),"",IFERROR(R1401/IF(G1401="",I1401,G1401)-1,""))</f>
        <v/>
      </c>
      <c r="R1401" s="48">
        <f>IF($M1401="","",MAX(IF($G1401="",$I1401,$G1401)*(1/1.1),IF($G1401="",$I1401,$G1401)+(R$2*$M1401)))</f>
        <v/>
      </c>
      <c r="S1401" s="49">
        <f>IF($M1401="","",MAX(IF($G1401="",$I1401,$G1401)*(1/1.1),IF($G1401="",$I1401,$G1401)+(S$2*$M1401)))</f>
        <v/>
      </c>
      <c r="T1401" s="82" t="n"/>
      <c r="U1401" s="47">
        <f>IF(OR($M1401="",$T1401=""),"",$T1401+(U$2*$M1401))</f>
        <v/>
      </c>
      <c r="V1401" s="48">
        <f>IF(OR($M1401="",$T1401=""),"",$T1401+(V$2*$M1401))</f>
        <v/>
      </c>
      <c r="W1401" s="48">
        <f>IF(OR($M1401="",$T1401=""),"",$T1401+(W$2*$M1401))</f>
        <v/>
      </c>
      <c r="X1401" s="49">
        <f>IF(OR($M1401="",$T1401=""),"",$T1401+(X$2*$M1401))</f>
        <v/>
      </c>
      <c r="Y1401" s="47">
        <f>IF(OR($M1401="",$T1401=""),"",$T1401+(Y$2*$M1401))</f>
        <v/>
      </c>
      <c r="Z1401" s="49">
        <f>IF(OR($M1401="",$T1401=""),"",$T1401+(Z$2*$M1401))</f>
        <v/>
      </c>
      <c r="AA1401" s="51">
        <f>IF(OR($M1401="",$T1401=""),"",$T1401+(AA$2*$M1401))</f>
        <v/>
      </c>
      <c r="AB1401" s="48">
        <f>IF(OR($M1401="",$T1401=""),"",$T1401+(AB$2*$M1401))</f>
        <v/>
      </c>
      <c r="AC1401" s="48">
        <f>IF(OR($M1401="",$T1401=""),"",$T1401+(AC$2*$M1401))</f>
        <v/>
      </c>
      <c r="AD1401" s="48">
        <f>IF(OR($M1401="",$T1401=""),"",$T1401+(AD$2*$M1401))</f>
        <v/>
      </c>
      <c r="AE1401" s="49">
        <f>IF(OR($M1401="",$T1401=""),"",$T1401+(AE$2*$M1401))</f>
        <v/>
      </c>
      <c r="AF1401" s="52">
        <f>IF(OR(T1401="",I1401&lt;T1401),"",IFERROR(AVERAGE(T1401+M1401*{7,8,9,10,11})/IF(G1401="",I1401,G1401)-1,""))</f>
        <v/>
      </c>
      <c r="AG1401" s="55">
        <f>IF(OR(T1401="",I1401&lt;T1401),"",IFERROR(AF1401/-(R1401/IF(G1401="",I1401,G1401)-1),""))</f>
        <v/>
      </c>
      <c r="AH1401" s="94" t="n"/>
      <c r="AI1401" s="94" t="n"/>
      <c r="AJ1401" s="94" t="n"/>
      <c r="AK1401" s="94" t="n"/>
      <c r="AL1401" s="84" t="n"/>
    </row>
    <row r="1402">
      <c r="A1402" s="64" t="n"/>
      <c r="B1402" s="65" t="n"/>
      <c r="C1402" s="66" t="n"/>
      <c r="D1402" s="67" t="n"/>
      <c r="E1402" s="68" t="n"/>
      <c r="F1402" s="47">
        <f>IF(A1402="","",IF(MIN(H1402,MAX(J1402:K1402))=0,"",MIN(H1402,MAX(J1402:K1402))))</f>
        <v/>
      </c>
      <c r="G1402" s="74" t="n"/>
      <c r="H1402" s="49">
        <f>IF(M1402="","",IFERROR(ROUND(AVERAGE(T1402+M1402*{7,8,9,10,11})/1.21,4),""))</f>
        <v/>
      </c>
      <c r="I1402" s="76" t="n"/>
      <c r="J1402" s="77" t="n"/>
      <c r="K1402" s="74" t="n"/>
      <c r="L1402" s="78" t="n"/>
      <c r="M1402" s="77" t="n"/>
      <c r="N1402" s="53">
        <f>IF(M1402="","",IFERROR(M1402/I1402,""))</f>
        <v/>
      </c>
      <c r="O1402" s="50">
        <f>IF(A1402="","",IFERROR((IF(G1402="",I1402,G1402)-T1402)/M1402,""))</f>
        <v/>
      </c>
      <c r="P1402" s="50">
        <f>IFERROR((I1402/T1402-1)/N1402,"")</f>
        <v/>
      </c>
      <c r="Q1402" s="46">
        <f>IF(OR(T1402="",I1402&lt;T1402),"",IFERROR(R1402/IF(G1402="",I1402,G1402)-1,""))</f>
        <v/>
      </c>
      <c r="R1402" s="48">
        <f>IF($M1402="","",MAX(IF($G1402="",$I1402,$G1402)*(1/1.1),IF($G1402="",$I1402,$G1402)+(R$2*$M1402)))</f>
        <v/>
      </c>
      <c r="S1402" s="49">
        <f>IF($M1402="","",MAX(IF($G1402="",$I1402,$G1402)*(1/1.1),IF($G1402="",$I1402,$G1402)+(S$2*$M1402)))</f>
        <v/>
      </c>
      <c r="T1402" s="82" t="n"/>
      <c r="U1402" s="47">
        <f>IF(OR($M1402="",$T1402=""),"",$T1402+(U$2*$M1402))</f>
        <v/>
      </c>
      <c r="V1402" s="48">
        <f>IF(OR($M1402="",$T1402=""),"",$T1402+(V$2*$M1402))</f>
        <v/>
      </c>
      <c r="W1402" s="48">
        <f>IF(OR($M1402="",$T1402=""),"",$T1402+(W$2*$M1402))</f>
        <v/>
      </c>
      <c r="X1402" s="49">
        <f>IF(OR($M1402="",$T1402=""),"",$T1402+(X$2*$M1402))</f>
        <v/>
      </c>
      <c r="Y1402" s="47">
        <f>IF(OR($M1402="",$T1402=""),"",$T1402+(Y$2*$M1402))</f>
        <v/>
      </c>
      <c r="Z1402" s="49">
        <f>IF(OR($M1402="",$T1402=""),"",$T1402+(Z$2*$M1402))</f>
        <v/>
      </c>
      <c r="AA1402" s="51">
        <f>IF(OR($M1402="",$T1402=""),"",$T1402+(AA$2*$M1402))</f>
        <v/>
      </c>
      <c r="AB1402" s="48">
        <f>IF(OR($M1402="",$T1402=""),"",$T1402+(AB$2*$M1402))</f>
        <v/>
      </c>
      <c r="AC1402" s="48">
        <f>IF(OR($M1402="",$T1402=""),"",$T1402+(AC$2*$M1402))</f>
        <v/>
      </c>
      <c r="AD1402" s="48">
        <f>IF(OR($M1402="",$T1402=""),"",$T1402+(AD$2*$M1402))</f>
        <v/>
      </c>
      <c r="AE1402" s="49">
        <f>IF(OR($M1402="",$T1402=""),"",$T1402+(AE$2*$M1402))</f>
        <v/>
      </c>
      <c r="AF1402" s="52">
        <f>IF(OR(T1402="",I1402&lt;T1402),"",IFERROR(AVERAGE(T1402+M1402*{7,8,9,10,11})/IF(G1402="",I1402,G1402)-1,""))</f>
        <v/>
      </c>
      <c r="AG1402" s="55">
        <f>IF(OR(T1402="",I1402&lt;T1402),"",IFERROR(AF1402/-(R1402/IF(G1402="",I1402,G1402)-1),""))</f>
        <v/>
      </c>
      <c r="AH1402" s="94" t="n"/>
      <c r="AI1402" s="94" t="n"/>
      <c r="AJ1402" s="94" t="n"/>
      <c r="AK1402" s="94" t="n"/>
      <c r="AL1402" s="84" t="n"/>
    </row>
    <row r="1403">
      <c r="A1403" s="64" t="n"/>
      <c r="B1403" s="65" t="n"/>
      <c r="C1403" s="66" t="n"/>
      <c r="D1403" s="67" t="n"/>
      <c r="E1403" s="68" t="n"/>
      <c r="F1403" s="47">
        <f>IF(A1403="","",IF(MIN(H1403,MAX(J1403:K1403))=0,"",MIN(H1403,MAX(J1403:K1403))))</f>
        <v/>
      </c>
      <c r="G1403" s="74" t="n"/>
      <c r="H1403" s="49">
        <f>IF(M1403="","",IFERROR(ROUND(AVERAGE(T1403+M1403*{7,8,9,10,11})/1.21,4),""))</f>
        <v/>
      </c>
      <c r="I1403" s="76" t="n"/>
      <c r="J1403" s="77" t="n"/>
      <c r="K1403" s="74" t="n"/>
      <c r="L1403" s="78" t="n"/>
      <c r="M1403" s="77" t="n"/>
      <c r="N1403" s="53">
        <f>IF(M1403="","",IFERROR(M1403/I1403,""))</f>
        <v/>
      </c>
      <c r="O1403" s="50">
        <f>IF(A1403="","",IFERROR((IF(G1403="",I1403,G1403)-T1403)/M1403,""))</f>
        <v/>
      </c>
      <c r="P1403" s="50">
        <f>IFERROR((I1403/T1403-1)/N1403,"")</f>
        <v/>
      </c>
      <c r="Q1403" s="46">
        <f>IF(OR(T1403="",I1403&lt;T1403),"",IFERROR(R1403/IF(G1403="",I1403,G1403)-1,""))</f>
        <v/>
      </c>
      <c r="R1403" s="48">
        <f>IF($M1403="","",MAX(IF($G1403="",$I1403,$G1403)*(1/1.1),IF($G1403="",$I1403,$G1403)+(R$2*$M1403)))</f>
        <v/>
      </c>
      <c r="S1403" s="49">
        <f>IF($M1403="","",MAX(IF($G1403="",$I1403,$G1403)*(1/1.1),IF($G1403="",$I1403,$G1403)+(S$2*$M1403)))</f>
        <v/>
      </c>
      <c r="T1403" s="82" t="n"/>
      <c r="U1403" s="47">
        <f>IF(OR($M1403="",$T1403=""),"",$T1403+(U$2*$M1403))</f>
        <v/>
      </c>
      <c r="V1403" s="48">
        <f>IF(OR($M1403="",$T1403=""),"",$T1403+(V$2*$M1403))</f>
        <v/>
      </c>
      <c r="W1403" s="48">
        <f>IF(OR($M1403="",$T1403=""),"",$T1403+(W$2*$M1403))</f>
        <v/>
      </c>
      <c r="X1403" s="49">
        <f>IF(OR($M1403="",$T1403=""),"",$T1403+(X$2*$M1403))</f>
        <v/>
      </c>
      <c r="Y1403" s="47">
        <f>IF(OR($M1403="",$T1403=""),"",$T1403+(Y$2*$M1403))</f>
        <v/>
      </c>
      <c r="Z1403" s="49">
        <f>IF(OR($M1403="",$T1403=""),"",$T1403+(Z$2*$M1403))</f>
        <v/>
      </c>
      <c r="AA1403" s="51">
        <f>IF(OR($M1403="",$T1403=""),"",$T1403+(AA$2*$M1403))</f>
        <v/>
      </c>
      <c r="AB1403" s="48">
        <f>IF(OR($M1403="",$T1403=""),"",$T1403+(AB$2*$M1403))</f>
        <v/>
      </c>
      <c r="AC1403" s="48">
        <f>IF(OR($M1403="",$T1403=""),"",$T1403+(AC$2*$M1403))</f>
        <v/>
      </c>
      <c r="AD1403" s="48">
        <f>IF(OR($M1403="",$T1403=""),"",$T1403+(AD$2*$M1403))</f>
        <v/>
      </c>
      <c r="AE1403" s="49">
        <f>IF(OR($M1403="",$T1403=""),"",$T1403+(AE$2*$M1403))</f>
        <v/>
      </c>
      <c r="AF1403" s="52">
        <f>IF(OR(T1403="",I1403&lt;T1403),"",IFERROR(AVERAGE(T1403+M1403*{7,8,9,10,11})/IF(G1403="",I1403,G1403)-1,""))</f>
        <v/>
      </c>
      <c r="AG1403" s="55">
        <f>IF(OR(T1403="",I1403&lt;T1403),"",IFERROR(AF1403/-(R1403/IF(G1403="",I1403,G1403)-1),""))</f>
        <v/>
      </c>
      <c r="AH1403" s="94" t="n"/>
      <c r="AI1403" s="94" t="n"/>
      <c r="AJ1403" s="94" t="n"/>
      <c r="AK1403" s="94" t="n"/>
      <c r="AL1403" s="84" t="n"/>
    </row>
    <row r="1404">
      <c r="A1404" s="64" t="n"/>
      <c r="B1404" s="65" t="n"/>
      <c r="C1404" s="66" t="n"/>
      <c r="D1404" s="67" t="n"/>
      <c r="E1404" s="68" t="n"/>
      <c r="F1404" s="47">
        <f>IF(A1404="","",IF(MIN(H1404,MAX(J1404:K1404))=0,"",MIN(H1404,MAX(J1404:K1404))))</f>
        <v/>
      </c>
      <c r="G1404" s="74" t="n"/>
      <c r="H1404" s="49">
        <f>IF(M1404="","",IFERROR(ROUND(AVERAGE(T1404+M1404*{7,8,9,10,11})/1.21,4),""))</f>
        <v/>
      </c>
      <c r="I1404" s="76" t="n"/>
      <c r="J1404" s="77" t="n"/>
      <c r="K1404" s="74" t="n"/>
      <c r="L1404" s="78" t="n"/>
      <c r="M1404" s="77" t="n"/>
      <c r="N1404" s="53">
        <f>IF(M1404="","",IFERROR(M1404/I1404,""))</f>
        <v/>
      </c>
      <c r="O1404" s="50">
        <f>IF(A1404="","",IFERROR((IF(G1404="",I1404,G1404)-T1404)/M1404,""))</f>
        <v/>
      </c>
      <c r="P1404" s="50">
        <f>IFERROR((I1404/T1404-1)/N1404,"")</f>
        <v/>
      </c>
      <c r="Q1404" s="46">
        <f>IF(OR(T1404="",I1404&lt;T1404),"",IFERROR(R1404/IF(G1404="",I1404,G1404)-1,""))</f>
        <v/>
      </c>
      <c r="R1404" s="48">
        <f>IF($M1404="","",MAX(IF($G1404="",$I1404,$G1404)*(1/1.1),IF($G1404="",$I1404,$G1404)+(R$2*$M1404)))</f>
        <v/>
      </c>
      <c r="S1404" s="49">
        <f>IF($M1404="","",MAX(IF($G1404="",$I1404,$G1404)*(1/1.1),IF($G1404="",$I1404,$G1404)+(S$2*$M1404)))</f>
        <v/>
      </c>
      <c r="T1404" s="82" t="n"/>
      <c r="U1404" s="47">
        <f>IF(OR($M1404="",$T1404=""),"",$T1404+(U$2*$M1404))</f>
        <v/>
      </c>
      <c r="V1404" s="48">
        <f>IF(OR($M1404="",$T1404=""),"",$T1404+(V$2*$M1404))</f>
        <v/>
      </c>
      <c r="W1404" s="48">
        <f>IF(OR($M1404="",$T1404=""),"",$T1404+(W$2*$M1404))</f>
        <v/>
      </c>
      <c r="X1404" s="49">
        <f>IF(OR($M1404="",$T1404=""),"",$T1404+(X$2*$M1404))</f>
        <v/>
      </c>
      <c r="Y1404" s="47">
        <f>IF(OR($M1404="",$T1404=""),"",$T1404+(Y$2*$M1404))</f>
        <v/>
      </c>
      <c r="Z1404" s="49">
        <f>IF(OR($M1404="",$T1404=""),"",$T1404+(Z$2*$M1404))</f>
        <v/>
      </c>
      <c r="AA1404" s="51">
        <f>IF(OR($M1404="",$T1404=""),"",$T1404+(AA$2*$M1404))</f>
        <v/>
      </c>
      <c r="AB1404" s="48">
        <f>IF(OR($M1404="",$T1404=""),"",$T1404+(AB$2*$M1404))</f>
        <v/>
      </c>
      <c r="AC1404" s="48">
        <f>IF(OR($M1404="",$T1404=""),"",$T1404+(AC$2*$M1404))</f>
        <v/>
      </c>
      <c r="AD1404" s="48">
        <f>IF(OR($M1404="",$T1404=""),"",$T1404+(AD$2*$M1404))</f>
        <v/>
      </c>
      <c r="AE1404" s="49">
        <f>IF(OR($M1404="",$T1404=""),"",$T1404+(AE$2*$M1404))</f>
        <v/>
      </c>
      <c r="AF1404" s="52">
        <f>IF(OR(T1404="",I1404&lt;T1404),"",IFERROR(AVERAGE(T1404+M1404*{7,8,9,10,11})/IF(G1404="",I1404,G1404)-1,""))</f>
        <v/>
      </c>
      <c r="AG1404" s="55">
        <f>IF(OR(T1404="",I1404&lt;T1404),"",IFERROR(AF1404/-(R1404/IF(G1404="",I1404,G1404)-1),""))</f>
        <v/>
      </c>
      <c r="AH1404" s="94" t="n"/>
      <c r="AI1404" s="94" t="n"/>
      <c r="AJ1404" s="94" t="n"/>
      <c r="AK1404" s="94" t="n"/>
      <c r="AL1404" s="84" t="n"/>
    </row>
    <row r="1405">
      <c r="A1405" s="64" t="n"/>
      <c r="B1405" s="65" t="n"/>
      <c r="C1405" s="66" t="n"/>
      <c r="D1405" s="67" t="n"/>
      <c r="E1405" s="68" t="n"/>
      <c r="F1405" s="47">
        <f>IF(A1405="","",IF(MIN(H1405,MAX(J1405:K1405))=0,"",MIN(H1405,MAX(J1405:K1405))))</f>
        <v/>
      </c>
      <c r="G1405" s="74" t="n"/>
      <c r="H1405" s="49">
        <f>IF(M1405="","",IFERROR(ROUND(AVERAGE(T1405+M1405*{7,8,9,10,11})/1.21,4),""))</f>
        <v/>
      </c>
      <c r="I1405" s="76" t="n"/>
      <c r="J1405" s="77" t="n"/>
      <c r="K1405" s="74" t="n"/>
      <c r="L1405" s="78" t="n"/>
      <c r="M1405" s="77" t="n"/>
      <c r="N1405" s="53">
        <f>IF(M1405="","",IFERROR(M1405/I1405,""))</f>
        <v/>
      </c>
      <c r="O1405" s="50">
        <f>IF(A1405="","",IFERROR((IF(G1405="",I1405,G1405)-T1405)/M1405,""))</f>
        <v/>
      </c>
      <c r="P1405" s="50">
        <f>IFERROR((I1405/T1405-1)/N1405,"")</f>
        <v/>
      </c>
      <c r="Q1405" s="46">
        <f>IF(OR(T1405="",I1405&lt;T1405),"",IFERROR(R1405/IF(G1405="",I1405,G1405)-1,""))</f>
        <v/>
      </c>
      <c r="R1405" s="48">
        <f>IF($M1405="","",MAX(IF($G1405="",$I1405,$G1405)*(1/1.1),IF($G1405="",$I1405,$G1405)+(R$2*$M1405)))</f>
        <v/>
      </c>
      <c r="S1405" s="49">
        <f>IF($M1405="","",MAX(IF($G1405="",$I1405,$G1405)*(1/1.1),IF($G1405="",$I1405,$G1405)+(S$2*$M1405)))</f>
        <v/>
      </c>
      <c r="T1405" s="82" t="n"/>
      <c r="U1405" s="47">
        <f>IF(OR($M1405="",$T1405=""),"",$T1405+(U$2*$M1405))</f>
        <v/>
      </c>
      <c r="V1405" s="48">
        <f>IF(OR($M1405="",$T1405=""),"",$T1405+(V$2*$M1405))</f>
        <v/>
      </c>
      <c r="W1405" s="48">
        <f>IF(OR($M1405="",$T1405=""),"",$T1405+(W$2*$M1405))</f>
        <v/>
      </c>
      <c r="X1405" s="49">
        <f>IF(OR($M1405="",$T1405=""),"",$T1405+(X$2*$M1405))</f>
        <v/>
      </c>
      <c r="Y1405" s="47">
        <f>IF(OR($M1405="",$T1405=""),"",$T1405+(Y$2*$M1405))</f>
        <v/>
      </c>
      <c r="Z1405" s="49">
        <f>IF(OR($M1405="",$T1405=""),"",$T1405+(Z$2*$M1405))</f>
        <v/>
      </c>
      <c r="AA1405" s="51">
        <f>IF(OR($M1405="",$T1405=""),"",$T1405+(AA$2*$M1405))</f>
        <v/>
      </c>
      <c r="AB1405" s="48">
        <f>IF(OR($M1405="",$T1405=""),"",$T1405+(AB$2*$M1405))</f>
        <v/>
      </c>
      <c r="AC1405" s="48">
        <f>IF(OR($M1405="",$T1405=""),"",$T1405+(AC$2*$M1405))</f>
        <v/>
      </c>
      <c r="AD1405" s="48">
        <f>IF(OR($M1405="",$T1405=""),"",$T1405+(AD$2*$M1405))</f>
        <v/>
      </c>
      <c r="AE1405" s="49">
        <f>IF(OR($M1405="",$T1405=""),"",$T1405+(AE$2*$M1405))</f>
        <v/>
      </c>
      <c r="AF1405" s="52">
        <f>IF(OR(T1405="",I1405&lt;T1405),"",IFERROR(AVERAGE(T1405+M1405*{7,8,9,10,11})/IF(G1405="",I1405,G1405)-1,""))</f>
        <v/>
      </c>
      <c r="AG1405" s="55">
        <f>IF(OR(T1405="",I1405&lt;T1405),"",IFERROR(AF1405/-(R1405/IF(G1405="",I1405,G1405)-1),""))</f>
        <v/>
      </c>
      <c r="AH1405" s="94" t="n"/>
      <c r="AI1405" s="94" t="n"/>
      <c r="AJ1405" s="94" t="n"/>
      <c r="AK1405" s="94" t="n"/>
      <c r="AL1405" s="84" t="n"/>
    </row>
    <row r="1406">
      <c r="A1406" s="64" t="n"/>
      <c r="B1406" s="65" t="n"/>
      <c r="C1406" s="66" t="n"/>
      <c r="D1406" s="67" t="n"/>
      <c r="E1406" s="68" t="n"/>
      <c r="F1406" s="47">
        <f>IF(A1406="","",IF(MIN(H1406,MAX(J1406:K1406))=0,"",MIN(H1406,MAX(J1406:K1406))))</f>
        <v/>
      </c>
      <c r="G1406" s="74" t="n"/>
      <c r="H1406" s="49">
        <f>IF(M1406="","",IFERROR(ROUND(AVERAGE(T1406+M1406*{7,8,9,10,11})/1.21,4),""))</f>
        <v/>
      </c>
      <c r="I1406" s="76" t="n"/>
      <c r="J1406" s="77" t="n"/>
      <c r="K1406" s="74" t="n"/>
      <c r="L1406" s="78" t="n"/>
      <c r="M1406" s="77" t="n"/>
      <c r="N1406" s="53">
        <f>IF(M1406="","",IFERROR(M1406/I1406,""))</f>
        <v/>
      </c>
      <c r="O1406" s="50">
        <f>IF(A1406="","",IFERROR((IF(G1406="",I1406,G1406)-T1406)/M1406,""))</f>
        <v/>
      </c>
      <c r="P1406" s="50">
        <f>IFERROR((I1406/T1406-1)/N1406,"")</f>
        <v/>
      </c>
      <c r="Q1406" s="46">
        <f>IF(OR(T1406="",I1406&lt;T1406),"",IFERROR(R1406/IF(G1406="",I1406,G1406)-1,""))</f>
        <v/>
      </c>
      <c r="R1406" s="48">
        <f>IF($M1406="","",MAX(IF($G1406="",$I1406,$G1406)*(1/1.1),IF($G1406="",$I1406,$G1406)+(R$2*$M1406)))</f>
        <v/>
      </c>
      <c r="S1406" s="49">
        <f>IF($M1406="","",MAX(IF($G1406="",$I1406,$G1406)*(1/1.1),IF($G1406="",$I1406,$G1406)+(S$2*$M1406)))</f>
        <v/>
      </c>
      <c r="T1406" s="82" t="n"/>
      <c r="U1406" s="47">
        <f>IF(OR($M1406="",$T1406=""),"",$T1406+(U$2*$M1406))</f>
        <v/>
      </c>
      <c r="V1406" s="48">
        <f>IF(OR($M1406="",$T1406=""),"",$T1406+(V$2*$M1406))</f>
        <v/>
      </c>
      <c r="W1406" s="48">
        <f>IF(OR($M1406="",$T1406=""),"",$T1406+(W$2*$M1406))</f>
        <v/>
      </c>
      <c r="X1406" s="49">
        <f>IF(OR($M1406="",$T1406=""),"",$T1406+(X$2*$M1406))</f>
        <v/>
      </c>
      <c r="Y1406" s="47">
        <f>IF(OR($M1406="",$T1406=""),"",$T1406+(Y$2*$M1406))</f>
        <v/>
      </c>
      <c r="Z1406" s="49">
        <f>IF(OR($M1406="",$T1406=""),"",$T1406+(Z$2*$M1406))</f>
        <v/>
      </c>
      <c r="AA1406" s="51">
        <f>IF(OR($M1406="",$T1406=""),"",$T1406+(AA$2*$M1406))</f>
        <v/>
      </c>
      <c r="AB1406" s="48">
        <f>IF(OR($M1406="",$T1406=""),"",$T1406+(AB$2*$M1406))</f>
        <v/>
      </c>
      <c r="AC1406" s="48">
        <f>IF(OR($M1406="",$T1406=""),"",$T1406+(AC$2*$M1406))</f>
        <v/>
      </c>
      <c r="AD1406" s="48">
        <f>IF(OR($M1406="",$T1406=""),"",$T1406+(AD$2*$M1406))</f>
        <v/>
      </c>
      <c r="AE1406" s="49">
        <f>IF(OR($M1406="",$T1406=""),"",$T1406+(AE$2*$M1406))</f>
        <v/>
      </c>
      <c r="AF1406" s="52">
        <f>IF(OR(T1406="",I1406&lt;T1406),"",IFERROR(AVERAGE(T1406+M1406*{7,8,9,10,11})/IF(G1406="",I1406,G1406)-1,""))</f>
        <v/>
      </c>
      <c r="AG1406" s="55">
        <f>IF(OR(T1406="",I1406&lt;T1406),"",IFERROR(AF1406/-(R1406/IF(G1406="",I1406,G1406)-1),""))</f>
        <v/>
      </c>
      <c r="AH1406" s="94" t="n"/>
      <c r="AI1406" s="94" t="n"/>
      <c r="AJ1406" s="94" t="n"/>
      <c r="AK1406" s="94" t="n"/>
      <c r="AL1406" s="84" t="n"/>
    </row>
    <row r="1407">
      <c r="A1407" s="64" t="n"/>
      <c r="B1407" s="65" t="n"/>
      <c r="C1407" s="66" t="n"/>
      <c r="D1407" s="67" t="n"/>
      <c r="E1407" s="68" t="n"/>
      <c r="F1407" s="47">
        <f>IF(A1407="","",IF(MIN(H1407,MAX(J1407:K1407))=0,"",MIN(H1407,MAX(J1407:K1407))))</f>
        <v/>
      </c>
      <c r="G1407" s="74" t="n"/>
      <c r="H1407" s="49">
        <f>IF(M1407="","",IFERROR(ROUND(AVERAGE(T1407+M1407*{7,8,9,10,11})/1.21,4),""))</f>
        <v/>
      </c>
      <c r="I1407" s="76" t="n"/>
      <c r="J1407" s="77" t="n"/>
      <c r="K1407" s="74" t="n"/>
      <c r="L1407" s="78" t="n"/>
      <c r="M1407" s="77" t="n"/>
      <c r="N1407" s="53">
        <f>IF(M1407="","",IFERROR(M1407/I1407,""))</f>
        <v/>
      </c>
      <c r="O1407" s="50">
        <f>IF(A1407="","",IFERROR((IF(G1407="",I1407,G1407)-T1407)/M1407,""))</f>
        <v/>
      </c>
      <c r="P1407" s="50">
        <f>IFERROR((I1407/T1407-1)/N1407,"")</f>
        <v/>
      </c>
      <c r="Q1407" s="46">
        <f>IF(OR(T1407="",I1407&lt;T1407),"",IFERROR(R1407/IF(G1407="",I1407,G1407)-1,""))</f>
        <v/>
      </c>
      <c r="R1407" s="48">
        <f>IF($M1407="","",MAX(IF($G1407="",$I1407,$G1407)*(1/1.1),IF($G1407="",$I1407,$G1407)+(R$2*$M1407)))</f>
        <v/>
      </c>
      <c r="S1407" s="49">
        <f>IF($M1407="","",MAX(IF($G1407="",$I1407,$G1407)*(1/1.1),IF($G1407="",$I1407,$G1407)+(S$2*$M1407)))</f>
        <v/>
      </c>
      <c r="T1407" s="82" t="n"/>
      <c r="U1407" s="47">
        <f>IF(OR($M1407="",$T1407=""),"",$T1407+(U$2*$M1407))</f>
        <v/>
      </c>
      <c r="V1407" s="48">
        <f>IF(OR($M1407="",$T1407=""),"",$T1407+(V$2*$M1407))</f>
        <v/>
      </c>
      <c r="W1407" s="48">
        <f>IF(OR($M1407="",$T1407=""),"",$T1407+(W$2*$M1407))</f>
        <v/>
      </c>
      <c r="X1407" s="49">
        <f>IF(OR($M1407="",$T1407=""),"",$T1407+(X$2*$M1407))</f>
        <v/>
      </c>
      <c r="Y1407" s="47">
        <f>IF(OR($M1407="",$T1407=""),"",$T1407+(Y$2*$M1407))</f>
        <v/>
      </c>
      <c r="Z1407" s="49">
        <f>IF(OR($M1407="",$T1407=""),"",$T1407+(Z$2*$M1407))</f>
        <v/>
      </c>
      <c r="AA1407" s="51">
        <f>IF(OR($M1407="",$T1407=""),"",$T1407+(AA$2*$M1407))</f>
        <v/>
      </c>
      <c r="AB1407" s="48">
        <f>IF(OR($M1407="",$T1407=""),"",$T1407+(AB$2*$M1407))</f>
        <v/>
      </c>
      <c r="AC1407" s="48">
        <f>IF(OR($M1407="",$T1407=""),"",$T1407+(AC$2*$M1407))</f>
        <v/>
      </c>
      <c r="AD1407" s="48">
        <f>IF(OR($M1407="",$T1407=""),"",$T1407+(AD$2*$M1407))</f>
        <v/>
      </c>
      <c r="AE1407" s="49">
        <f>IF(OR($M1407="",$T1407=""),"",$T1407+(AE$2*$M1407))</f>
        <v/>
      </c>
      <c r="AF1407" s="52">
        <f>IF(OR(T1407="",I1407&lt;T1407),"",IFERROR(AVERAGE(T1407+M1407*{7,8,9,10,11})/IF(G1407="",I1407,G1407)-1,""))</f>
        <v/>
      </c>
      <c r="AG1407" s="55">
        <f>IF(OR(T1407="",I1407&lt;T1407),"",IFERROR(AF1407/-(R1407/IF(G1407="",I1407,G1407)-1),""))</f>
        <v/>
      </c>
      <c r="AH1407" s="94" t="n"/>
      <c r="AI1407" s="94" t="n"/>
      <c r="AJ1407" s="94" t="n"/>
      <c r="AK1407" s="94" t="n"/>
      <c r="AL1407" s="84" t="n"/>
    </row>
    <row r="1408">
      <c r="A1408" s="64" t="n"/>
      <c r="B1408" s="65" t="n"/>
      <c r="C1408" s="66" t="n"/>
      <c r="D1408" s="67" t="n"/>
      <c r="E1408" s="68" t="n"/>
      <c r="F1408" s="47">
        <f>IF(A1408="","",IF(MIN(H1408,MAX(J1408:K1408))=0,"",MIN(H1408,MAX(J1408:K1408))))</f>
        <v/>
      </c>
      <c r="G1408" s="74" t="n"/>
      <c r="H1408" s="49">
        <f>IF(M1408="","",IFERROR(ROUND(AVERAGE(T1408+M1408*{7,8,9,10,11})/1.21,4),""))</f>
        <v/>
      </c>
      <c r="I1408" s="76" t="n"/>
      <c r="J1408" s="77" t="n"/>
      <c r="K1408" s="74" t="n"/>
      <c r="L1408" s="78" t="n"/>
      <c r="M1408" s="77" t="n"/>
      <c r="N1408" s="53">
        <f>IF(M1408="","",IFERROR(M1408/I1408,""))</f>
        <v/>
      </c>
      <c r="O1408" s="50">
        <f>IF(A1408="","",IFERROR((IF(G1408="",I1408,G1408)-T1408)/M1408,""))</f>
        <v/>
      </c>
      <c r="P1408" s="50">
        <f>IFERROR((I1408/T1408-1)/N1408,"")</f>
        <v/>
      </c>
      <c r="Q1408" s="46">
        <f>IF(OR(T1408="",I1408&lt;T1408),"",IFERROR(R1408/IF(G1408="",I1408,G1408)-1,""))</f>
        <v/>
      </c>
      <c r="R1408" s="48">
        <f>IF($M1408="","",MAX(IF($G1408="",$I1408,$G1408)*(1/1.1),IF($G1408="",$I1408,$G1408)+(R$2*$M1408)))</f>
        <v/>
      </c>
      <c r="S1408" s="49">
        <f>IF($M1408="","",MAX(IF($G1408="",$I1408,$G1408)*(1/1.1),IF($G1408="",$I1408,$G1408)+(S$2*$M1408)))</f>
        <v/>
      </c>
      <c r="T1408" s="82" t="n"/>
      <c r="U1408" s="47">
        <f>IF(OR($M1408="",$T1408=""),"",$T1408+(U$2*$M1408))</f>
        <v/>
      </c>
      <c r="V1408" s="48">
        <f>IF(OR($M1408="",$T1408=""),"",$T1408+(V$2*$M1408))</f>
        <v/>
      </c>
      <c r="W1408" s="48">
        <f>IF(OR($M1408="",$T1408=""),"",$T1408+(W$2*$M1408))</f>
        <v/>
      </c>
      <c r="X1408" s="49">
        <f>IF(OR($M1408="",$T1408=""),"",$T1408+(X$2*$M1408))</f>
        <v/>
      </c>
      <c r="Y1408" s="47">
        <f>IF(OR($M1408="",$T1408=""),"",$T1408+(Y$2*$M1408))</f>
        <v/>
      </c>
      <c r="Z1408" s="49">
        <f>IF(OR($M1408="",$T1408=""),"",$T1408+(Z$2*$M1408))</f>
        <v/>
      </c>
      <c r="AA1408" s="51">
        <f>IF(OR($M1408="",$T1408=""),"",$T1408+(AA$2*$M1408))</f>
        <v/>
      </c>
      <c r="AB1408" s="48">
        <f>IF(OR($M1408="",$T1408=""),"",$T1408+(AB$2*$M1408))</f>
        <v/>
      </c>
      <c r="AC1408" s="48">
        <f>IF(OR($M1408="",$T1408=""),"",$T1408+(AC$2*$M1408))</f>
        <v/>
      </c>
      <c r="AD1408" s="48">
        <f>IF(OR($M1408="",$T1408=""),"",$T1408+(AD$2*$M1408))</f>
        <v/>
      </c>
      <c r="AE1408" s="49">
        <f>IF(OR($M1408="",$T1408=""),"",$T1408+(AE$2*$M1408))</f>
        <v/>
      </c>
      <c r="AF1408" s="52">
        <f>IF(OR(T1408="",I1408&lt;T1408),"",IFERROR(AVERAGE(T1408+M1408*{7,8,9,10,11})/IF(G1408="",I1408,G1408)-1,""))</f>
        <v/>
      </c>
      <c r="AG1408" s="55">
        <f>IF(OR(T1408="",I1408&lt;T1408),"",IFERROR(AF1408/-(R1408/IF(G1408="",I1408,G1408)-1),""))</f>
        <v/>
      </c>
      <c r="AH1408" s="94" t="n"/>
      <c r="AI1408" s="94" t="n"/>
      <c r="AJ1408" s="94" t="n"/>
      <c r="AK1408" s="94" t="n"/>
      <c r="AL1408" s="84" t="n"/>
    </row>
    <row r="1409">
      <c r="A1409" s="64" t="n"/>
      <c r="B1409" s="65" t="n"/>
      <c r="C1409" s="66" t="n"/>
      <c r="D1409" s="67" t="n"/>
      <c r="E1409" s="68" t="n"/>
      <c r="F1409" s="47">
        <f>IF(A1409="","",IF(MIN(H1409,MAX(J1409:K1409))=0,"",MIN(H1409,MAX(J1409:K1409))))</f>
        <v/>
      </c>
      <c r="G1409" s="74" t="n"/>
      <c r="H1409" s="49">
        <f>IF(M1409="","",IFERROR(ROUND(AVERAGE(T1409+M1409*{7,8,9,10,11})/1.21,4),""))</f>
        <v/>
      </c>
      <c r="I1409" s="76" t="n"/>
      <c r="J1409" s="77" t="n"/>
      <c r="K1409" s="74" t="n"/>
      <c r="L1409" s="78" t="n"/>
      <c r="M1409" s="77" t="n"/>
      <c r="N1409" s="53">
        <f>IF(M1409="","",IFERROR(M1409/I1409,""))</f>
        <v/>
      </c>
      <c r="O1409" s="50">
        <f>IF(A1409="","",IFERROR((IF(G1409="",I1409,G1409)-T1409)/M1409,""))</f>
        <v/>
      </c>
      <c r="P1409" s="50">
        <f>IFERROR((I1409/T1409-1)/N1409,"")</f>
        <v/>
      </c>
      <c r="Q1409" s="46">
        <f>IF(OR(T1409="",I1409&lt;T1409),"",IFERROR(R1409/IF(G1409="",I1409,G1409)-1,""))</f>
        <v/>
      </c>
      <c r="R1409" s="48">
        <f>IF($M1409="","",MAX(IF($G1409="",$I1409,$G1409)*(1/1.1),IF($G1409="",$I1409,$G1409)+(R$2*$M1409)))</f>
        <v/>
      </c>
      <c r="S1409" s="49">
        <f>IF($M1409="","",MAX(IF($G1409="",$I1409,$G1409)*(1/1.1),IF($G1409="",$I1409,$G1409)+(S$2*$M1409)))</f>
        <v/>
      </c>
      <c r="T1409" s="82" t="n"/>
      <c r="U1409" s="47">
        <f>IF(OR($M1409="",$T1409=""),"",$T1409+(U$2*$M1409))</f>
        <v/>
      </c>
      <c r="V1409" s="48">
        <f>IF(OR($M1409="",$T1409=""),"",$T1409+(V$2*$M1409))</f>
        <v/>
      </c>
      <c r="W1409" s="48">
        <f>IF(OR($M1409="",$T1409=""),"",$T1409+(W$2*$M1409))</f>
        <v/>
      </c>
      <c r="X1409" s="49">
        <f>IF(OR($M1409="",$T1409=""),"",$T1409+(X$2*$M1409))</f>
        <v/>
      </c>
      <c r="Y1409" s="47">
        <f>IF(OR($M1409="",$T1409=""),"",$T1409+(Y$2*$M1409))</f>
        <v/>
      </c>
      <c r="Z1409" s="49">
        <f>IF(OR($M1409="",$T1409=""),"",$T1409+(Z$2*$M1409))</f>
        <v/>
      </c>
      <c r="AA1409" s="51">
        <f>IF(OR($M1409="",$T1409=""),"",$T1409+(AA$2*$M1409))</f>
        <v/>
      </c>
      <c r="AB1409" s="48">
        <f>IF(OR($M1409="",$T1409=""),"",$T1409+(AB$2*$M1409))</f>
        <v/>
      </c>
      <c r="AC1409" s="48">
        <f>IF(OR($M1409="",$T1409=""),"",$T1409+(AC$2*$M1409))</f>
        <v/>
      </c>
      <c r="AD1409" s="48">
        <f>IF(OR($M1409="",$T1409=""),"",$T1409+(AD$2*$M1409))</f>
        <v/>
      </c>
      <c r="AE1409" s="49">
        <f>IF(OR($M1409="",$T1409=""),"",$T1409+(AE$2*$M1409))</f>
        <v/>
      </c>
      <c r="AF1409" s="52">
        <f>IF(OR(T1409="",I1409&lt;T1409),"",IFERROR(AVERAGE(T1409+M1409*{7,8,9,10,11})/IF(G1409="",I1409,G1409)-1,""))</f>
        <v/>
      </c>
      <c r="AG1409" s="55">
        <f>IF(OR(T1409="",I1409&lt;T1409),"",IFERROR(AF1409/-(R1409/IF(G1409="",I1409,G1409)-1),""))</f>
        <v/>
      </c>
      <c r="AH1409" s="94" t="n"/>
      <c r="AI1409" s="94" t="n"/>
      <c r="AJ1409" s="94" t="n"/>
      <c r="AK1409" s="94" t="n"/>
      <c r="AL1409" s="84" t="n"/>
    </row>
    <row r="1410">
      <c r="A1410" s="64" t="n"/>
      <c r="B1410" s="65" t="n"/>
      <c r="C1410" s="66" t="n"/>
      <c r="D1410" s="67" t="n"/>
      <c r="E1410" s="68" t="n"/>
      <c r="F1410" s="47">
        <f>IF(A1410="","",IF(MIN(H1410,MAX(J1410:K1410))=0,"",MIN(H1410,MAX(J1410:K1410))))</f>
        <v/>
      </c>
      <c r="G1410" s="74" t="n"/>
      <c r="H1410" s="49">
        <f>IF(M1410="","",IFERROR(ROUND(AVERAGE(T1410+M1410*{7,8,9,10,11})/1.21,4),""))</f>
        <v/>
      </c>
      <c r="I1410" s="76" t="n"/>
      <c r="J1410" s="77" t="n"/>
      <c r="K1410" s="74" t="n"/>
      <c r="L1410" s="78" t="n"/>
      <c r="M1410" s="77" t="n"/>
      <c r="N1410" s="53">
        <f>IF(M1410="","",IFERROR(M1410/I1410,""))</f>
        <v/>
      </c>
      <c r="O1410" s="50">
        <f>IF(A1410="","",IFERROR((IF(G1410="",I1410,G1410)-T1410)/M1410,""))</f>
        <v/>
      </c>
      <c r="P1410" s="50">
        <f>IFERROR((I1410/T1410-1)/N1410,"")</f>
        <v/>
      </c>
      <c r="Q1410" s="46">
        <f>IF(OR(T1410="",I1410&lt;T1410),"",IFERROR(R1410/IF(G1410="",I1410,G1410)-1,""))</f>
        <v/>
      </c>
      <c r="R1410" s="48">
        <f>IF($M1410="","",MAX(IF($G1410="",$I1410,$G1410)*(1/1.1),IF($G1410="",$I1410,$G1410)+(R$2*$M1410)))</f>
        <v/>
      </c>
      <c r="S1410" s="49">
        <f>IF($M1410="","",MAX(IF($G1410="",$I1410,$G1410)*(1/1.1),IF($G1410="",$I1410,$G1410)+(S$2*$M1410)))</f>
        <v/>
      </c>
      <c r="T1410" s="82" t="n"/>
      <c r="U1410" s="47">
        <f>IF(OR($M1410="",$T1410=""),"",$T1410+(U$2*$M1410))</f>
        <v/>
      </c>
      <c r="V1410" s="48">
        <f>IF(OR($M1410="",$T1410=""),"",$T1410+(V$2*$M1410))</f>
        <v/>
      </c>
      <c r="W1410" s="48">
        <f>IF(OR($M1410="",$T1410=""),"",$T1410+(W$2*$M1410))</f>
        <v/>
      </c>
      <c r="X1410" s="49">
        <f>IF(OR($M1410="",$T1410=""),"",$T1410+(X$2*$M1410))</f>
        <v/>
      </c>
      <c r="Y1410" s="47">
        <f>IF(OR($M1410="",$T1410=""),"",$T1410+(Y$2*$M1410))</f>
        <v/>
      </c>
      <c r="Z1410" s="49">
        <f>IF(OR($M1410="",$T1410=""),"",$T1410+(Z$2*$M1410))</f>
        <v/>
      </c>
      <c r="AA1410" s="51">
        <f>IF(OR($M1410="",$T1410=""),"",$T1410+(AA$2*$M1410))</f>
        <v/>
      </c>
      <c r="AB1410" s="48">
        <f>IF(OR($M1410="",$T1410=""),"",$T1410+(AB$2*$M1410))</f>
        <v/>
      </c>
      <c r="AC1410" s="48">
        <f>IF(OR($M1410="",$T1410=""),"",$T1410+(AC$2*$M1410))</f>
        <v/>
      </c>
      <c r="AD1410" s="48">
        <f>IF(OR($M1410="",$T1410=""),"",$T1410+(AD$2*$M1410))</f>
        <v/>
      </c>
      <c r="AE1410" s="49">
        <f>IF(OR($M1410="",$T1410=""),"",$T1410+(AE$2*$M1410))</f>
        <v/>
      </c>
      <c r="AF1410" s="52">
        <f>IF(OR(T1410="",I1410&lt;T1410),"",IFERROR(AVERAGE(T1410+M1410*{7,8,9,10,11})/IF(G1410="",I1410,G1410)-1,""))</f>
        <v/>
      </c>
      <c r="AG1410" s="55">
        <f>IF(OR(T1410="",I1410&lt;T1410),"",IFERROR(AF1410/-(R1410/IF(G1410="",I1410,G1410)-1),""))</f>
        <v/>
      </c>
      <c r="AH1410" s="94" t="n"/>
      <c r="AI1410" s="94" t="n"/>
      <c r="AJ1410" s="94" t="n"/>
      <c r="AK1410" s="94" t="n"/>
      <c r="AL1410" s="84" t="n"/>
    </row>
    <row r="1411">
      <c r="A1411" s="64" t="n"/>
      <c r="B1411" s="65" t="n"/>
      <c r="C1411" s="66" t="n"/>
      <c r="D1411" s="67" t="n"/>
      <c r="E1411" s="68" t="n"/>
      <c r="F1411" s="47">
        <f>IF(A1411="","",IF(MIN(H1411,MAX(J1411:K1411))=0,"",MIN(H1411,MAX(J1411:K1411))))</f>
        <v/>
      </c>
      <c r="G1411" s="74" t="n"/>
      <c r="H1411" s="49">
        <f>IF(M1411="","",IFERROR(ROUND(AVERAGE(T1411+M1411*{7,8,9,10,11})/1.21,4),""))</f>
        <v/>
      </c>
      <c r="I1411" s="76" t="n"/>
      <c r="J1411" s="77" t="n"/>
      <c r="K1411" s="74" t="n"/>
      <c r="L1411" s="78" t="n"/>
      <c r="M1411" s="77" t="n"/>
      <c r="N1411" s="53">
        <f>IF(M1411="","",IFERROR(M1411/I1411,""))</f>
        <v/>
      </c>
      <c r="O1411" s="50">
        <f>IF(A1411="","",IFERROR((IF(G1411="",I1411,G1411)-T1411)/M1411,""))</f>
        <v/>
      </c>
      <c r="P1411" s="50">
        <f>IFERROR((I1411/T1411-1)/N1411,"")</f>
        <v/>
      </c>
      <c r="Q1411" s="46">
        <f>IF(OR(T1411="",I1411&lt;T1411),"",IFERROR(R1411/IF(G1411="",I1411,G1411)-1,""))</f>
        <v/>
      </c>
      <c r="R1411" s="48">
        <f>IF($M1411="","",MAX(IF($G1411="",$I1411,$G1411)*(1/1.1),IF($G1411="",$I1411,$G1411)+(R$2*$M1411)))</f>
        <v/>
      </c>
      <c r="S1411" s="49">
        <f>IF($M1411="","",MAX(IF($G1411="",$I1411,$G1411)*(1/1.1),IF($G1411="",$I1411,$G1411)+(S$2*$M1411)))</f>
        <v/>
      </c>
      <c r="T1411" s="82" t="n"/>
      <c r="U1411" s="47">
        <f>IF(OR($M1411="",$T1411=""),"",$T1411+(U$2*$M1411))</f>
        <v/>
      </c>
      <c r="V1411" s="48">
        <f>IF(OR($M1411="",$T1411=""),"",$T1411+(V$2*$M1411))</f>
        <v/>
      </c>
      <c r="W1411" s="48">
        <f>IF(OR($M1411="",$T1411=""),"",$T1411+(W$2*$M1411))</f>
        <v/>
      </c>
      <c r="X1411" s="49">
        <f>IF(OR($M1411="",$T1411=""),"",$T1411+(X$2*$M1411))</f>
        <v/>
      </c>
      <c r="Y1411" s="47">
        <f>IF(OR($M1411="",$T1411=""),"",$T1411+(Y$2*$M1411))</f>
        <v/>
      </c>
      <c r="Z1411" s="49">
        <f>IF(OR($M1411="",$T1411=""),"",$T1411+(Z$2*$M1411))</f>
        <v/>
      </c>
      <c r="AA1411" s="51">
        <f>IF(OR($M1411="",$T1411=""),"",$T1411+(AA$2*$M1411))</f>
        <v/>
      </c>
      <c r="AB1411" s="48">
        <f>IF(OR($M1411="",$T1411=""),"",$T1411+(AB$2*$M1411))</f>
        <v/>
      </c>
      <c r="AC1411" s="48">
        <f>IF(OR($M1411="",$T1411=""),"",$T1411+(AC$2*$M1411))</f>
        <v/>
      </c>
      <c r="AD1411" s="48">
        <f>IF(OR($M1411="",$T1411=""),"",$T1411+(AD$2*$M1411))</f>
        <v/>
      </c>
      <c r="AE1411" s="49">
        <f>IF(OR($M1411="",$T1411=""),"",$T1411+(AE$2*$M1411))</f>
        <v/>
      </c>
      <c r="AF1411" s="52">
        <f>IF(OR(T1411="",I1411&lt;T1411),"",IFERROR(AVERAGE(T1411+M1411*{7,8,9,10,11})/IF(G1411="",I1411,G1411)-1,""))</f>
        <v/>
      </c>
      <c r="AG1411" s="55">
        <f>IF(OR(T1411="",I1411&lt;T1411),"",IFERROR(AF1411/-(R1411/IF(G1411="",I1411,G1411)-1),""))</f>
        <v/>
      </c>
      <c r="AH1411" s="94" t="n"/>
      <c r="AI1411" s="94" t="n"/>
      <c r="AJ1411" s="94" t="n"/>
      <c r="AK1411" s="94" t="n"/>
      <c r="AL1411" s="84" t="n"/>
    </row>
    <row r="1412">
      <c r="A1412" s="64" t="n"/>
      <c r="B1412" s="65" t="n"/>
      <c r="C1412" s="66" t="n"/>
      <c r="D1412" s="67" t="n"/>
      <c r="E1412" s="68" t="n"/>
      <c r="F1412" s="47">
        <f>IF(A1412="","",IF(MIN(H1412,MAX(J1412:K1412))=0,"",MIN(H1412,MAX(J1412:K1412))))</f>
        <v/>
      </c>
      <c r="G1412" s="74" t="n"/>
      <c r="H1412" s="49">
        <f>IF(M1412="","",IFERROR(ROUND(AVERAGE(T1412+M1412*{7,8,9,10,11})/1.21,4),""))</f>
        <v/>
      </c>
      <c r="I1412" s="76" t="n"/>
      <c r="J1412" s="77" t="n"/>
      <c r="K1412" s="74" t="n"/>
      <c r="L1412" s="78" t="n"/>
      <c r="M1412" s="77" t="n"/>
      <c r="N1412" s="53">
        <f>IF(M1412="","",IFERROR(M1412/I1412,""))</f>
        <v/>
      </c>
      <c r="O1412" s="50">
        <f>IF(A1412="","",IFERROR((IF(G1412="",I1412,G1412)-T1412)/M1412,""))</f>
        <v/>
      </c>
      <c r="P1412" s="50">
        <f>IFERROR((I1412/T1412-1)/N1412,"")</f>
        <v/>
      </c>
      <c r="Q1412" s="46">
        <f>IF(OR(T1412="",I1412&lt;T1412),"",IFERROR(R1412/IF(G1412="",I1412,G1412)-1,""))</f>
        <v/>
      </c>
      <c r="R1412" s="48">
        <f>IF($M1412="","",MAX(IF($G1412="",$I1412,$G1412)*(1/1.1),IF($G1412="",$I1412,$G1412)+(R$2*$M1412)))</f>
        <v/>
      </c>
      <c r="S1412" s="49">
        <f>IF($M1412="","",MAX(IF($G1412="",$I1412,$G1412)*(1/1.1),IF($G1412="",$I1412,$G1412)+(S$2*$M1412)))</f>
        <v/>
      </c>
      <c r="T1412" s="82" t="n"/>
      <c r="U1412" s="47">
        <f>IF(OR($M1412="",$T1412=""),"",$T1412+(U$2*$M1412))</f>
        <v/>
      </c>
      <c r="V1412" s="48">
        <f>IF(OR($M1412="",$T1412=""),"",$T1412+(V$2*$M1412))</f>
        <v/>
      </c>
      <c r="W1412" s="48">
        <f>IF(OR($M1412="",$T1412=""),"",$T1412+(W$2*$M1412))</f>
        <v/>
      </c>
      <c r="X1412" s="49">
        <f>IF(OR($M1412="",$T1412=""),"",$T1412+(X$2*$M1412))</f>
        <v/>
      </c>
      <c r="Y1412" s="47">
        <f>IF(OR($M1412="",$T1412=""),"",$T1412+(Y$2*$M1412))</f>
        <v/>
      </c>
      <c r="Z1412" s="49">
        <f>IF(OR($M1412="",$T1412=""),"",$T1412+(Z$2*$M1412))</f>
        <v/>
      </c>
      <c r="AA1412" s="51">
        <f>IF(OR($M1412="",$T1412=""),"",$T1412+(AA$2*$M1412))</f>
        <v/>
      </c>
      <c r="AB1412" s="48">
        <f>IF(OR($M1412="",$T1412=""),"",$T1412+(AB$2*$M1412))</f>
        <v/>
      </c>
      <c r="AC1412" s="48">
        <f>IF(OR($M1412="",$T1412=""),"",$T1412+(AC$2*$M1412))</f>
        <v/>
      </c>
      <c r="AD1412" s="48">
        <f>IF(OR($M1412="",$T1412=""),"",$T1412+(AD$2*$M1412))</f>
        <v/>
      </c>
      <c r="AE1412" s="49">
        <f>IF(OR($M1412="",$T1412=""),"",$T1412+(AE$2*$M1412))</f>
        <v/>
      </c>
      <c r="AF1412" s="52">
        <f>IF(OR(T1412="",I1412&lt;T1412),"",IFERROR(AVERAGE(T1412+M1412*{7,8,9,10,11})/IF(G1412="",I1412,G1412)-1,""))</f>
        <v/>
      </c>
      <c r="AG1412" s="55">
        <f>IF(OR(T1412="",I1412&lt;T1412),"",IFERROR(AF1412/-(R1412/IF(G1412="",I1412,G1412)-1),""))</f>
        <v/>
      </c>
      <c r="AH1412" s="94" t="n"/>
      <c r="AI1412" s="94" t="n"/>
      <c r="AJ1412" s="94" t="n"/>
      <c r="AK1412" s="94" t="n"/>
      <c r="AL1412" s="84" t="n"/>
    </row>
    <row r="1413">
      <c r="A1413" s="64" t="n"/>
      <c r="B1413" s="65" t="n"/>
      <c r="C1413" s="66" t="n"/>
      <c r="D1413" s="67" t="n"/>
      <c r="E1413" s="68" t="n"/>
      <c r="F1413" s="47">
        <f>IF(A1413="","",IF(MIN(H1413,MAX(J1413:K1413))=0,"",MIN(H1413,MAX(J1413:K1413))))</f>
        <v/>
      </c>
      <c r="G1413" s="74" t="n"/>
      <c r="H1413" s="49">
        <f>IF(M1413="","",IFERROR(ROUND(AVERAGE(T1413+M1413*{7,8,9,10,11})/1.21,4),""))</f>
        <v/>
      </c>
      <c r="I1413" s="76" t="n"/>
      <c r="J1413" s="77" t="n"/>
      <c r="K1413" s="74" t="n"/>
      <c r="L1413" s="78" t="n"/>
      <c r="M1413" s="77" t="n"/>
      <c r="N1413" s="53">
        <f>IF(M1413="","",IFERROR(M1413/I1413,""))</f>
        <v/>
      </c>
      <c r="O1413" s="50">
        <f>IF(A1413="","",IFERROR((IF(G1413="",I1413,G1413)-T1413)/M1413,""))</f>
        <v/>
      </c>
      <c r="P1413" s="50">
        <f>IFERROR((I1413/T1413-1)/N1413,"")</f>
        <v/>
      </c>
      <c r="Q1413" s="46">
        <f>IF(OR(T1413="",I1413&lt;T1413),"",IFERROR(R1413/IF(G1413="",I1413,G1413)-1,""))</f>
        <v/>
      </c>
      <c r="R1413" s="48">
        <f>IF($M1413="","",MAX(IF($G1413="",$I1413,$G1413)*(1/1.1),IF($G1413="",$I1413,$G1413)+(R$2*$M1413)))</f>
        <v/>
      </c>
      <c r="S1413" s="49">
        <f>IF($M1413="","",MAX(IF($G1413="",$I1413,$G1413)*(1/1.1),IF($G1413="",$I1413,$G1413)+(S$2*$M1413)))</f>
        <v/>
      </c>
      <c r="T1413" s="82" t="n"/>
      <c r="U1413" s="47">
        <f>IF(OR($M1413="",$T1413=""),"",$T1413+(U$2*$M1413))</f>
        <v/>
      </c>
      <c r="V1413" s="48">
        <f>IF(OR($M1413="",$T1413=""),"",$T1413+(V$2*$M1413))</f>
        <v/>
      </c>
      <c r="W1413" s="48">
        <f>IF(OR($M1413="",$T1413=""),"",$T1413+(W$2*$M1413))</f>
        <v/>
      </c>
      <c r="X1413" s="49">
        <f>IF(OR($M1413="",$T1413=""),"",$T1413+(X$2*$M1413))</f>
        <v/>
      </c>
      <c r="Y1413" s="47">
        <f>IF(OR($M1413="",$T1413=""),"",$T1413+(Y$2*$M1413))</f>
        <v/>
      </c>
      <c r="Z1413" s="49">
        <f>IF(OR($M1413="",$T1413=""),"",$T1413+(Z$2*$M1413))</f>
        <v/>
      </c>
      <c r="AA1413" s="51">
        <f>IF(OR($M1413="",$T1413=""),"",$T1413+(AA$2*$M1413))</f>
        <v/>
      </c>
      <c r="AB1413" s="48">
        <f>IF(OR($M1413="",$T1413=""),"",$T1413+(AB$2*$M1413))</f>
        <v/>
      </c>
      <c r="AC1413" s="48">
        <f>IF(OR($M1413="",$T1413=""),"",$T1413+(AC$2*$M1413))</f>
        <v/>
      </c>
      <c r="AD1413" s="48">
        <f>IF(OR($M1413="",$T1413=""),"",$T1413+(AD$2*$M1413))</f>
        <v/>
      </c>
      <c r="AE1413" s="49">
        <f>IF(OR($M1413="",$T1413=""),"",$T1413+(AE$2*$M1413))</f>
        <v/>
      </c>
      <c r="AF1413" s="52">
        <f>IF(OR(T1413="",I1413&lt;T1413),"",IFERROR(AVERAGE(T1413+M1413*{7,8,9,10,11})/IF(G1413="",I1413,G1413)-1,""))</f>
        <v/>
      </c>
      <c r="AG1413" s="55">
        <f>IF(OR(T1413="",I1413&lt;T1413),"",IFERROR(AF1413/-(R1413/IF(G1413="",I1413,G1413)-1),""))</f>
        <v/>
      </c>
      <c r="AH1413" s="94" t="n"/>
      <c r="AI1413" s="94" t="n"/>
      <c r="AJ1413" s="94" t="n"/>
      <c r="AK1413" s="94" t="n"/>
      <c r="AL1413" s="84" t="n"/>
    </row>
    <row r="1414">
      <c r="A1414" s="64" t="n"/>
      <c r="B1414" s="65" t="n"/>
      <c r="C1414" s="66" t="n"/>
      <c r="D1414" s="67" t="n"/>
      <c r="E1414" s="68" t="n"/>
      <c r="F1414" s="47">
        <f>IF(A1414="","",IF(MIN(H1414,MAX(J1414:K1414))=0,"",MIN(H1414,MAX(J1414:K1414))))</f>
        <v/>
      </c>
      <c r="G1414" s="74" t="n"/>
      <c r="H1414" s="49">
        <f>IF(M1414="","",IFERROR(ROUND(AVERAGE(T1414+M1414*{7,8,9,10,11})/1.21,4),""))</f>
        <v/>
      </c>
      <c r="I1414" s="76" t="n"/>
      <c r="J1414" s="77" t="n"/>
      <c r="K1414" s="74" t="n"/>
      <c r="L1414" s="78" t="n"/>
      <c r="M1414" s="77" t="n"/>
      <c r="N1414" s="53">
        <f>IF(M1414="","",IFERROR(M1414/I1414,""))</f>
        <v/>
      </c>
      <c r="O1414" s="50">
        <f>IF(A1414="","",IFERROR((IF(G1414="",I1414,G1414)-T1414)/M1414,""))</f>
        <v/>
      </c>
      <c r="P1414" s="50">
        <f>IFERROR((I1414/T1414-1)/N1414,"")</f>
        <v/>
      </c>
      <c r="Q1414" s="46">
        <f>IF(OR(T1414="",I1414&lt;T1414),"",IFERROR(R1414/IF(G1414="",I1414,G1414)-1,""))</f>
        <v/>
      </c>
      <c r="R1414" s="48">
        <f>IF($M1414="","",MAX(IF($G1414="",$I1414,$G1414)*(1/1.1),IF($G1414="",$I1414,$G1414)+(R$2*$M1414)))</f>
        <v/>
      </c>
      <c r="S1414" s="49">
        <f>IF($M1414="","",MAX(IF($G1414="",$I1414,$G1414)*(1/1.1),IF($G1414="",$I1414,$G1414)+(S$2*$M1414)))</f>
        <v/>
      </c>
      <c r="T1414" s="82" t="n"/>
      <c r="U1414" s="47">
        <f>IF(OR($M1414="",$T1414=""),"",$T1414+(U$2*$M1414))</f>
        <v/>
      </c>
      <c r="V1414" s="48">
        <f>IF(OR($M1414="",$T1414=""),"",$T1414+(V$2*$M1414))</f>
        <v/>
      </c>
      <c r="W1414" s="48">
        <f>IF(OR($M1414="",$T1414=""),"",$T1414+(W$2*$M1414))</f>
        <v/>
      </c>
      <c r="X1414" s="49">
        <f>IF(OR($M1414="",$T1414=""),"",$T1414+(X$2*$M1414))</f>
        <v/>
      </c>
      <c r="Y1414" s="47">
        <f>IF(OR($M1414="",$T1414=""),"",$T1414+(Y$2*$M1414))</f>
        <v/>
      </c>
      <c r="Z1414" s="49">
        <f>IF(OR($M1414="",$T1414=""),"",$T1414+(Z$2*$M1414))</f>
        <v/>
      </c>
      <c r="AA1414" s="51">
        <f>IF(OR($M1414="",$T1414=""),"",$T1414+(AA$2*$M1414))</f>
        <v/>
      </c>
      <c r="AB1414" s="48">
        <f>IF(OR($M1414="",$T1414=""),"",$T1414+(AB$2*$M1414))</f>
        <v/>
      </c>
      <c r="AC1414" s="48">
        <f>IF(OR($M1414="",$T1414=""),"",$T1414+(AC$2*$M1414))</f>
        <v/>
      </c>
      <c r="AD1414" s="48">
        <f>IF(OR($M1414="",$T1414=""),"",$T1414+(AD$2*$M1414))</f>
        <v/>
      </c>
      <c r="AE1414" s="49">
        <f>IF(OR($M1414="",$T1414=""),"",$T1414+(AE$2*$M1414))</f>
        <v/>
      </c>
      <c r="AF1414" s="52">
        <f>IF(OR(T1414="",I1414&lt;T1414),"",IFERROR(AVERAGE(T1414+M1414*{7,8,9,10,11})/IF(G1414="",I1414,G1414)-1,""))</f>
        <v/>
      </c>
      <c r="AG1414" s="55">
        <f>IF(OR(T1414="",I1414&lt;T1414),"",IFERROR(AF1414/-(R1414/IF(G1414="",I1414,G1414)-1),""))</f>
        <v/>
      </c>
      <c r="AH1414" s="94" t="n"/>
      <c r="AI1414" s="94" t="n"/>
      <c r="AJ1414" s="94" t="n"/>
      <c r="AK1414" s="94" t="n"/>
      <c r="AL1414" s="84" t="n"/>
    </row>
    <row r="1415">
      <c r="A1415" s="64" t="n"/>
      <c r="B1415" s="65" t="n"/>
      <c r="C1415" s="66" t="n"/>
      <c r="D1415" s="67" t="n"/>
      <c r="E1415" s="68" t="n"/>
      <c r="F1415" s="47">
        <f>IF(A1415="","",IF(MIN(H1415,MAX(J1415:K1415))=0,"",MIN(H1415,MAX(J1415:K1415))))</f>
        <v/>
      </c>
      <c r="G1415" s="74" t="n"/>
      <c r="H1415" s="49">
        <f>IF(M1415="","",IFERROR(ROUND(AVERAGE(T1415+M1415*{7,8,9,10,11})/1.21,4),""))</f>
        <v/>
      </c>
      <c r="I1415" s="76" t="n"/>
      <c r="J1415" s="77" t="n"/>
      <c r="K1415" s="74" t="n"/>
      <c r="L1415" s="78" t="n"/>
      <c r="M1415" s="77" t="n"/>
      <c r="N1415" s="53">
        <f>IF(M1415="","",IFERROR(M1415/I1415,""))</f>
        <v/>
      </c>
      <c r="O1415" s="50">
        <f>IF(A1415="","",IFERROR((IF(G1415="",I1415,G1415)-T1415)/M1415,""))</f>
        <v/>
      </c>
      <c r="P1415" s="50">
        <f>IFERROR((I1415/T1415-1)/N1415,"")</f>
        <v/>
      </c>
      <c r="Q1415" s="46">
        <f>IF(OR(T1415="",I1415&lt;T1415),"",IFERROR(R1415/IF(G1415="",I1415,G1415)-1,""))</f>
        <v/>
      </c>
      <c r="R1415" s="48">
        <f>IF($M1415="","",MAX(IF($G1415="",$I1415,$G1415)*(1/1.1),IF($G1415="",$I1415,$G1415)+(R$2*$M1415)))</f>
        <v/>
      </c>
      <c r="S1415" s="49">
        <f>IF($M1415="","",MAX(IF($G1415="",$I1415,$G1415)*(1/1.1),IF($G1415="",$I1415,$G1415)+(S$2*$M1415)))</f>
        <v/>
      </c>
      <c r="T1415" s="82" t="n"/>
      <c r="U1415" s="47">
        <f>IF(OR($M1415="",$T1415=""),"",$T1415+(U$2*$M1415))</f>
        <v/>
      </c>
      <c r="V1415" s="48">
        <f>IF(OR($M1415="",$T1415=""),"",$T1415+(V$2*$M1415))</f>
        <v/>
      </c>
      <c r="W1415" s="48">
        <f>IF(OR($M1415="",$T1415=""),"",$T1415+(W$2*$M1415))</f>
        <v/>
      </c>
      <c r="X1415" s="49">
        <f>IF(OR($M1415="",$T1415=""),"",$T1415+(X$2*$M1415))</f>
        <v/>
      </c>
      <c r="Y1415" s="47">
        <f>IF(OR($M1415="",$T1415=""),"",$T1415+(Y$2*$M1415))</f>
        <v/>
      </c>
      <c r="Z1415" s="49">
        <f>IF(OR($M1415="",$T1415=""),"",$T1415+(Z$2*$M1415))</f>
        <v/>
      </c>
      <c r="AA1415" s="51">
        <f>IF(OR($M1415="",$T1415=""),"",$T1415+(AA$2*$M1415))</f>
        <v/>
      </c>
      <c r="AB1415" s="48">
        <f>IF(OR($M1415="",$T1415=""),"",$T1415+(AB$2*$M1415))</f>
        <v/>
      </c>
      <c r="AC1415" s="48">
        <f>IF(OR($M1415="",$T1415=""),"",$T1415+(AC$2*$M1415))</f>
        <v/>
      </c>
      <c r="AD1415" s="48">
        <f>IF(OR($M1415="",$T1415=""),"",$T1415+(AD$2*$M1415))</f>
        <v/>
      </c>
      <c r="AE1415" s="49">
        <f>IF(OR($M1415="",$T1415=""),"",$T1415+(AE$2*$M1415))</f>
        <v/>
      </c>
      <c r="AF1415" s="52">
        <f>IF(OR(T1415="",I1415&lt;T1415),"",IFERROR(AVERAGE(T1415+M1415*{7,8,9,10,11})/IF(G1415="",I1415,G1415)-1,""))</f>
        <v/>
      </c>
      <c r="AG1415" s="55">
        <f>IF(OR(T1415="",I1415&lt;T1415),"",IFERROR(AF1415/-(R1415/IF(G1415="",I1415,G1415)-1),""))</f>
        <v/>
      </c>
      <c r="AH1415" s="94" t="n"/>
      <c r="AI1415" s="94" t="n"/>
      <c r="AJ1415" s="94" t="n"/>
      <c r="AK1415" s="94" t="n"/>
      <c r="AL1415" s="84" t="n"/>
    </row>
    <row r="1416">
      <c r="A1416" s="64" t="n"/>
      <c r="B1416" s="65" t="n"/>
      <c r="C1416" s="66" t="n"/>
      <c r="D1416" s="67" t="n"/>
      <c r="E1416" s="68" t="n"/>
      <c r="F1416" s="47">
        <f>IF(A1416="","",IF(MIN(H1416,MAX(J1416:K1416))=0,"",MIN(H1416,MAX(J1416:K1416))))</f>
        <v/>
      </c>
      <c r="G1416" s="74" t="n"/>
      <c r="H1416" s="49">
        <f>IF(M1416="","",IFERROR(ROUND(AVERAGE(T1416+M1416*{7,8,9,10,11})/1.21,4),""))</f>
        <v/>
      </c>
      <c r="I1416" s="76" t="n"/>
      <c r="J1416" s="77" t="n"/>
      <c r="K1416" s="74" t="n"/>
      <c r="L1416" s="78" t="n"/>
      <c r="M1416" s="77" t="n"/>
      <c r="N1416" s="53">
        <f>IF(M1416="","",IFERROR(M1416/I1416,""))</f>
        <v/>
      </c>
      <c r="O1416" s="50">
        <f>IF(A1416="","",IFERROR((IF(G1416="",I1416,G1416)-T1416)/M1416,""))</f>
        <v/>
      </c>
      <c r="P1416" s="50">
        <f>IFERROR((I1416/T1416-1)/N1416,"")</f>
        <v/>
      </c>
      <c r="Q1416" s="46">
        <f>IF(OR(T1416="",I1416&lt;T1416),"",IFERROR(R1416/IF(G1416="",I1416,G1416)-1,""))</f>
        <v/>
      </c>
      <c r="R1416" s="48">
        <f>IF($M1416="","",MAX(IF($G1416="",$I1416,$G1416)*(1/1.1),IF($G1416="",$I1416,$G1416)+(R$2*$M1416)))</f>
        <v/>
      </c>
      <c r="S1416" s="49">
        <f>IF($M1416="","",MAX(IF($G1416="",$I1416,$G1416)*(1/1.1),IF($G1416="",$I1416,$G1416)+(S$2*$M1416)))</f>
        <v/>
      </c>
      <c r="T1416" s="82" t="n"/>
      <c r="U1416" s="47">
        <f>IF(OR($M1416="",$T1416=""),"",$T1416+(U$2*$M1416))</f>
        <v/>
      </c>
      <c r="V1416" s="48">
        <f>IF(OR($M1416="",$T1416=""),"",$T1416+(V$2*$M1416))</f>
        <v/>
      </c>
      <c r="W1416" s="48">
        <f>IF(OR($M1416="",$T1416=""),"",$T1416+(W$2*$M1416))</f>
        <v/>
      </c>
      <c r="X1416" s="49">
        <f>IF(OR($M1416="",$T1416=""),"",$T1416+(X$2*$M1416))</f>
        <v/>
      </c>
      <c r="Y1416" s="47">
        <f>IF(OR($M1416="",$T1416=""),"",$T1416+(Y$2*$M1416))</f>
        <v/>
      </c>
      <c r="Z1416" s="49">
        <f>IF(OR($M1416="",$T1416=""),"",$T1416+(Z$2*$M1416))</f>
        <v/>
      </c>
      <c r="AA1416" s="51">
        <f>IF(OR($M1416="",$T1416=""),"",$T1416+(AA$2*$M1416))</f>
        <v/>
      </c>
      <c r="AB1416" s="48">
        <f>IF(OR($M1416="",$T1416=""),"",$T1416+(AB$2*$M1416))</f>
        <v/>
      </c>
      <c r="AC1416" s="48">
        <f>IF(OR($M1416="",$T1416=""),"",$T1416+(AC$2*$M1416))</f>
        <v/>
      </c>
      <c r="AD1416" s="48">
        <f>IF(OR($M1416="",$T1416=""),"",$T1416+(AD$2*$M1416))</f>
        <v/>
      </c>
      <c r="AE1416" s="49">
        <f>IF(OR($M1416="",$T1416=""),"",$T1416+(AE$2*$M1416))</f>
        <v/>
      </c>
      <c r="AF1416" s="52">
        <f>IF(OR(T1416="",I1416&lt;T1416),"",IFERROR(AVERAGE(T1416+M1416*{7,8,9,10,11})/IF(G1416="",I1416,G1416)-1,""))</f>
        <v/>
      </c>
      <c r="AG1416" s="55">
        <f>IF(OR(T1416="",I1416&lt;T1416),"",IFERROR(AF1416/-(R1416/IF(G1416="",I1416,G1416)-1),""))</f>
        <v/>
      </c>
      <c r="AH1416" s="94" t="n"/>
      <c r="AI1416" s="94" t="n"/>
      <c r="AJ1416" s="94" t="n"/>
      <c r="AK1416" s="94" t="n"/>
      <c r="AL1416" s="84" t="n"/>
    </row>
    <row r="1417">
      <c r="A1417" s="64" t="n"/>
      <c r="B1417" s="65" t="n"/>
      <c r="C1417" s="66" t="n"/>
      <c r="D1417" s="67" t="n"/>
      <c r="E1417" s="68" t="n"/>
      <c r="F1417" s="47">
        <f>IF(A1417="","",IF(MIN(H1417,MAX(J1417:K1417))=0,"",MIN(H1417,MAX(J1417:K1417))))</f>
        <v/>
      </c>
      <c r="G1417" s="74" t="n"/>
      <c r="H1417" s="49">
        <f>IF(M1417="","",IFERROR(ROUND(AVERAGE(T1417+M1417*{7,8,9,10,11})/1.21,4),""))</f>
        <v/>
      </c>
      <c r="I1417" s="76" t="n"/>
      <c r="J1417" s="77" t="n"/>
      <c r="K1417" s="74" t="n"/>
      <c r="L1417" s="78" t="n"/>
      <c r="M1417" s="77" t="n"/>
      <c r="N1417" s="53">
        <f>IF(M1417="","",IFERROR(M1417/I1417,""))</f>
        <v/>
      </c>
      <c r="O1417" s="50">
        <f>IF(A1417="","",IFERROR((IF(G1417="",I1417,G1417)-T1417)/M1417,""))</f>
        <v/>
      </c>
      <c r="P1417" s="50">
        <f>IFERROR((I1417/T1417-1)/N1417,"")</f>
        <v/>
      </c>
      <c r="Q1417" s="46">
        <f>IF(OR(T1417="",I1417&lt;T1417),"",IFERROR(R1417/IF(G1417="",I1417,G1417)-1,""))</f>
        <v/>
      </c>
      <c r="R1417" s="48">
        <f>IF($M1417="","",MAX(IF($G1417="",$I1417,$G1417)*(1/1.1),IF($G1417="",$I1417,$G1417)+(R$2*$M1417)))</f>
        <v/>
      </c>
      <c r="S1417" s="49">
        <f>IF($M1417="","",MAX(IF($G1417="",$I1417,$G1417)*(1/1.1),IF($G1417="",$I1417,$G1417)+(S$2*$M1417)))</f>
        <v/>
      </c>
      <c r="T1417" s="82" t="n"/>
      <c r="U1417" s="47">
        <f>IF(OR($M1417="",$T1417=""),"",$T1417+(U$2*$M1417))</f>
        <v/>
      </c>
      <c r="V1417" s="48">
        <f>IF(OR($M1417="",$T1417=""),"",$T1417+(V$2*$M1417))</f>
        <v/>
      </c>
      <c r="W1417" s="48">
        <f>IF(OR($M1417="",$T1417=""),"",$T1417+(W$2*$M1417))</f>
        <v/>
      </c>
      <c r="X1417" s="49">
        <f>IF(OR($M1417="",$T1417=""),"",$T1417+(X$2*$M1417))</f>
        <v/>
      </c>
      <c r="Y1417" s="47">
        <f>IF(OR($M1417="",$T1417=""),"",$T1417+(Y$2*$M1417))</f>
        <v/>
      </c>
      <c r="Z1417" s="49">
        <f>IF(OR($M1417="",$T1417=""),"",$T1417+(Z$2*$M1417))</f>
        <v/>
      </c>
      <c r="AA1417" s="51">
        <f>IF(OR($M1417="",$T1417=""),"",$T1417+(AA$2*$M1417))</f>
        <v/>
      </c>
      <c r="AB1417" s="48">
        <f>IF(OR($M1417="",$T1417=""),"",$T1417+(AB$2*$M1417))</f>
        <v/>
      </c>
      <c r="AC1417" s="48">
        <f>IF(OR($M1417="",$T1417=""),"",$T1417+(AC$2*$M1417))</f>
        <v/>
      </c>
      <c r="AD1417" s="48">
        <f>IF(OR($M1417="",$T1417=""),"",$T1417+(AD$2*$M1417))</f>
        <v/>
      </c>
      <c r="AE1417" s="49">
        <f>IF(OR($M1417="",$T1417=""),"",$T1417+(AE$2*$M1417))</f>
        <v/>
      </c>
      <c r="AF1417" s="52">
        <f>IF(OR(T1417="",I1417&lt;T1417),"",IFERROR(AVERAGE(T1417+M1417*{7,8,9,10,11})/IF(G1417="",I1417,G1417)-1,""))</f>
        <v/>
      </c>
      <c r="AG1417" s="55">
        <f>IF(OR(T1417="",I1417&lt;T1417),"",IFERROR(AF1417/-(R1417/IF(G1417="",I1417,G1417)-1),""))</f>
        <v/>
      </c>
      <c r="AH1417" s="94" t="n"/>
      <c r="AI1417" s="94" t="n"/>
      <c r="AJ1417" s="94" t="n"/>
      <c r="AK1417" s="94" t="n"/>
      <c r="AL1417" s="84" t="n"/>
    </row>
    <row r="1418">
      <c r="A1418" s="64" t="n"/>
      <c r="B1418" s="65" t="n"/>
      <c r="C1418" s="66" t="n"/>
      <c r="D1418" s="67" t="n"/>
      <c r="E1418" s="68" t="n"/>
      <c r="F1418" s="47">
        <f>IF(A1418="","",IF(MIN(H1418,MAX(J1418:K1418))=0,"",MIN(H1418,MAX(J1418:K1418))))</f>
        <v/>
      </c>
      <c r="G1418" s="74" t="n"/>
      <c r="H1418" s="49">
        <f>IF(M1418="","",IFERROR(ROUND(AVERAGE(T1418+M1418*{7,8,9,10,11})/1.21,4),""))</f>
        <v/>
      </c>
      <c r="I1418" s="76" t="n"/>
      <c r="J1418" s="77" t="n"/>
      <c r="K1418" s="74" t="n"/>
      <c r="L1418" s="78" t="n"/>
      <c r="M1418" s="77" t="n"/>
      <c r="N1418" s="53">
        <f>IF(M1418="","",IFERROR(M1418/I1418,""))</f>
        <v/>
      </c>
      <c r="O1418" s="50">
        <f>IF(A1418="","",IFERROR((IF(G1418="",I1418,G1418)-T1418)/M1418,""))</f>
        <v/>
      </c>
      <c r="P1418" s="50">
        <f>IFERROR((I1418/T1418-1)/N1418,"")</f>
        <v/>
      </c>
      <c r="Q1418" s="46">
        <f>IF(OR(T1418="",I1418&lt;T1418),"",IFERROR(R1418/IF(G1418="",I1418,G1418)-1,""))</f>
        <v/>
      </c>
      <c r="R1418" s="48">
        <f>IF($M1418="","",MAX(IF($G1418="",$I1418,$G1418)*(1/1.1),IF($G1418="",$I1418,$G1418)+(R$2*$M1418)))</f>
        <v/>
      </c>
      <c r="S1418" s="49">
        <f>IF($M1418="","",MAX(IF($G1418="",$I1418,$G1418)*(1/1.1),IF($G1418="",$I1418,$G1418)+(S$2*$M1418)))</f>
        <v/>
      </c>
      <c r="T1418" s="82" t="n"/>
      <c r="U1418" s="47">
        <f>IF(OR($M1418="",$T1418=""),"",$T1418+(U$2*$M1418))</f>
        <v/>
      </c>
      <c r="V1418" s="48">
        <f>IF(OR($M1418="",$T1418=""),"",$T1418+(V$2*$M1418))</f>
        <v/>
      </c>
      <c r="W1418" s="48">
        <f>IF(OR($M1418="",$T1418=""),"",$T1418+(W$2*$M1418))</f>
        <v/>
      </c>
      <c r="X1418" s="49">
        <f>IF(OR($M1418="",$T1418=""),"",$T1418+(X$2*$M1418))</f>
        <v/>
      </c>
      <c r="Y1418" s="47">
        <f>IF(OR($M1418="",$T1418=""),"",$T1418+(Y$2*$M1418))</f>
        <v/>
      </c>
      <c r="Z1418" s="49">
        <f>IF(OR($M1418="",$T1418=""),"",$T1418+(Z$2*$M1418))</f>
        <v/>
      </c>
      <c r="AA1418" s="51">
        <f>IF(OR($M1418="",$T1418=""),"",$T1418+(AA$2*$M1418))</f>
        <v/>
      </c>
      <c r="AB1418" s="48">
        <f>IF(OR($M1418="",$T1418=""),"",$T1418+(AB$2*$M1418))</f>
        <v/>
      </c>
      <c r="AC1418" s="48">
        <f>IF(OR($M1418="",$T1418=""),"",$T1418+(AC$2*$M1418))</f>
        <v/>
      </c>
      <c r="AD1418" s="48">
        <f>IF(OR($M1418="",$T1418=""),"",$T1418+(AD$2*$M1418))</f>
        <v/>
      </c>
      <c r="AE1418" s="49">
        <f>IF(OR($M1418="",$T1418=""),"",$T1418+(AE$2*$M1418))</f>
        <v/>
      </c>
      <c r="AF1418" s="52">
        <f>IF(OR(T1418="",I1418&lt;T1418),"",IFERROR(AVERAGE(T1418+M1418*{7,8,9,10,11})/IF(G1418="",I1418,G1418)-1,""))</f>
        <v/>
      </c>
      <c r="AG1418" s="55">
        <f>IF(OR(T1418="",I1418&lt;T1418),"",IFERROR(AF1418/-(R1418/IF(G1418="",I1418,G1418)-1),""))</f>
        <v/>
      </c>
      <c r="AH1418" s="94" t="n"/>
      <c r="AI1418" s="94" t="n"/>
      <c r="AJ1418" s="94" t="n"/>
      <c r="AK1418" s="94" t="n"/>
      <c r="AL1418" s="84" t="n"/>
    </row>
    <row r="1419">
      <c r="A1419" s="64" t="n"/>
      <c r="B1419" s="65" t="n"/>
      <c r="C1419" s="66" t="n"/>
      <c r="D1419" s="67" t="n"/>
      <c r="E1419" s="68" t="n"/>
      <c r="F1419" s="47">
        <f>IF(A1419="","",IF(MIN(H1419,MAX(J1419:K1419))=0,"",MIN(H1419,MAX(J1419:K1419))))</f>
        <v/>
      </c>
      <c r="G1419" s="74" t="n"/>
      <c r="H1419" s="49">
        <f>IF(M1419="","",IFERROR(ROUND(AVERAGE(T1419+M1419*{7,8,9,10,11})/1.21,4),""))</f>
        <v/>
      </c>
      <c r="I1419" s="76" t="n"/>
      <c r="J1419" s="77" t="n"/>
      <c r="K1419" s="74" t="n"/>
      <c r="L1419" s="78" t="n"/>
      <c r="M1419" s="77" t="n"/>
      <c r="N1419" s="53">
        <f>IF(M1419="","",IFERROR(M1419/I1419,""))</f>
        <v/>
      </c>
      <c r="O1419" s="50">
        <f>IF(A1419="","",IFERROR((IF(G1419="",I1419,G1419)-T1419)/M1419,""))</f>
        <v/>
      </c>
      <c r="P1419" s="50">
        <f>IFERROR((I1419/T1419-1)/N1419,"")</f>
        <v/>
      </c>
      <c r="Q1419" s="46">
        <f>IF(OR(T1419="",I1419&lt;T1419),"",IFERROR(R1419/IF(G1419="",I1419,G1419)-1,""))</f>
        <v/>
      </c>
      <c r="R1419" s="48">
        <f>IF($M1419="","",MAX(IF($G1419="",$I1419,$G1419)*(1/1.1),IF($G1419="",$I1419,$G1419)+(R$2*$M1419)))</f>
        <v/>
      </c>
      <c r="S1419" s="49">
        <f>IF($M1419="","",MAX(IF($G1419="",$I1419,$G1419)*(1/1.1),IF($G1419="",$I1419,$G1419)+(S$2*$M1419)))</f>
        <v/>
      </c>
      <c r="T1419" s="82" t="n"/>
      <c r="U1419" s="47">
        <f>IF(OR($M1419="",$T1419=""),"",$T1419+(U$2*$M1419))</f>
        <v/>
      </c>
      <c r="V1419" s="48">
        <f>IF(OR($M1419="",$T1419=""),"",$T1419+(V$2*$M1419))</f>
        <v/>
      </c>
      <c r="W1419" s="48">
        <f>IF(OR($M1419="",$T1419=""),"",$T1419+(W$2*$M1419))</f>
        <v/>
      </c>
      <c r="X1419" s="49">
        <f>IF(OR($M1419="",$T1419=""),"",$T1419+(X$2*$M1419))</f>
        <v/>
      </c>
      <c r="Y1419" s="47">
        <f>IF(OR($M1419="",$T1419=""),"",$T1419+(Y$2*$M1419))</f>
        <v/>
      </c>
      <c r="Z1419" s="49">
        <f>IF(OR($M1419="",$T1419=""),"",$T1419+(Z$2*$M1419))</f>
        <v/>
      </c>
      <c r="AA1419" s="51">
        <f>IF(OR($M1419="",$T1419=""),"",$T1419+(AA$2*$M1419))</f>
        <v/>
      </c>
      <c r="AB1419" s="48">
        <f>IF(OR($M1419="",$T1419=""),"",$T1419+(AB$2*$M1419))</f>
        <v/>
      </c>
      <c r="AC1419" s="48">
        <f>IF(OR($M1419="",$T1419=""),"",$T1419+(AC$2*$M1419))</f>
        <v/>
      </c>
      <c r="AD1419" s="48">
        <f>IF(OR($M1419="",$T1419=""),"",$T1419+(AD$2*$M1419))</f>
        <v/>
      </c>
      <c r="AE1419" s="49">
        <f>IF(OR($M1419="",$T1419=""),"",$T1419+(AE$2*$M1419))</f>
        <v/>
      </c>
      <c r="AF1419" s="52">
        <f>IF(OR(T1419="",I1419&lt;T1419),"",IFERROR(AVERAGE(T1419+M1419*{7,8,9,10,11})/IF(G1419="",I1419,G1419)-1,""))</f>
        <v/>
      </c>
      <c r="AG1419" s="55">
        <f>IF(OR(T1419="",I1419&lt;T1419),"",IFERROR(AF1419/-(R1419/IF(G1419="",I1419,G1419)-1),""))</f>
        <v/>
      </c>
      <c r="AH1419" s="94" t="n"/>
      <c r="AI1419" s="94" t="n"/>
      <c r="AJ1419" s="94" t="n"/>
      <c r="AK1419" s="94" t="n"/>
      <c r="AL1419" s="84" t="n"/>
    </row>
    <row r="1420">
      <c r="A1420" s="64" t="n"/>
      <c r="B1420" s="65" t="n"/>
      <c r="C1420" s="66" t="n"/>
      <c r="D1420" s="67" t="n"/>
      <c r="E1420" s="68" t="n"/>
      <c r="F1420" s="47">
        <f>IF(A1420="","",IF(MIN(H1420,MAX(J1420:K1420))=0,"",MIN(H1420,MAX(J1420:K1420))))</f>
        <v/>
      </c>
      <c r="G1420" s="74" t="n"/>
      <c r="H1420" s="49">
        <f>IF(M1420="","",IFERROR(ROUND(AVERAGE(T1420+M1420*{7,8,9,10,11})/1.21,4),""))</f>
        <v/>
      </c>
      <c r="I1420" s="76" t="n"/>
      <c r="J1420" s="77" t="n"/>
      <c r="K1420" s="74" t="n"/>
      <c r="L1420" s="78" t="n"/>
      <c r="M1420" s="77" t="n"/>
      <c r="N1420" s="53">
        <f>IF(M1420="","",IFERROR(M1420/I1420,""))</f>
        <v/>
      </c>
      <c r="O1420" s="50">
        <f>IF(A1420="","",IFERROR((IF(G1420="",I1420,G1420)-T1420)/M1420,""))</f>
        <v/>
      </c>
      <c r="P1420" s="50">
        <f>IFERROR((I1420/T1420-1)/N1420,"")</f>
        <v/>
      </c>
      <c r="Q1420" s="46">
        <f>IF(OR(T1420="",I1420&lt;T1420),"",IFERROR(R1420/IF(G1420="",I1420,G1420)-1,""))</f>
        <v/>
      </c>
      <c r="R1420" s="48">
        <f>IF($M1420="","",MAX(IF($G1420="",$I1420,$G1420)*(1/1.1),IF($G1420="",$I1420,$G1420)+(R$2*$M1420)))</f>
        <v/>
      </c>
      <c r="S1420" s="49">
        <f>IF($M1420="","",MAX(IF($G1420="",$I1420,$G1420)*(1/1.1),IF($G1420="",$I1420,$G1420)+(S$2*$M1420)))</f>
        <v/>
      </c>
      <c r="T1420" s="82" t="n"/>
      <c r="U1420" s="47">
        <f>IF(OR($M1420="",$T1420=""),"",$T1420+(U$2*$M1420))</f>
        <v/>
      </c>
      <c r="V1420" s="48">
        <f>IF(OR($M1420="",$T1420=""),"",$T1420+(V$2*$M1420))</f>
        <v/>
      </c>
      <c r="W1420" s="48">
        <f>IF(OR($M1420="",$T1420=""),"",$T1420+(W$2*$M1420))</f>
        <v/>
      </c>
      <c r="X1420" s="49">
        <f>IF(OR($M1420="",$T1420=""),"",$T1420+(X$2*$M1420))</f>
        <v/>
      </c>
      <c r="Y1420" s="47">
        <f>IF(OR($M1420="",$T1420=""),"",$T1420+(Y$2*$M1420))</f>
        <v/>
      </c>
      <c r="Z1420" s="49">
        <f>IF(OR($M1420="",$T1420=""),"",$T1420+(Z$2*$M1420))</f>
        <v/>
      </c>
      <c r="AA1420" s="51">
        <f>IF(OR($M1420="",$T1420=""),"",$T1420+(AA$2*$M1420))</f>
        <v/>
      </c>
      <c r="AB1420" s="48">
        <f>IF(OR($M1420="",$T1420=""),"",$T1420+(AB$2*$M1420))</f>
        <v/>
      </c>
      <c r="AC1420" s="48">
        <f>IF(OR($M1420="",$T1420=""),"",$T1420+(AC$2*$M1420))</f>
        <v/>
      </c>
      <c r="AD1420" s="48">
        <f>IF(OR($M1420="",$T1420=""),"",$T1420+(AD$2*$M1420))</f>
        <v/>
      </c>
      <c r="AE1420" s="49">
        <f>IF(OR($M1420="",$T1420=""),"",$T1420+(AE$2*$M1420))</f>
        <v/>
      </c>
      <c r="AF1420" s="52">
        <f>IF(OR(T1420="",I1420&lt;T1420),"",IFERROR(AVERAGE(T1420+M1420*{7,8,9,10,11})/IF(G1420="",I1420,G1420)-1,""))</f>
        <v/>
      </c>
      <c r="AG1420" s="55">
        <f>IF(OR(T1420="",I1420&lt;T1420),"",IFERROR(AF1420/-(R1420/IF(G1420="",I1420,G1420)-1),""))</f>
        <v/>
      </c>
      <c r="AH1420" s="94" t="n"/>
      <c r="AI1420" s="94" t="n"/>
      <c r="AJ1420" s="94" t="n"/>
      <c r="AK1420" s="94" t="n"/>
      <c r="AL1420" s="84" t="n"/>
    </row>
    <row r="1421">
      <c r="A1421" s="64" t="n"/>
      <c r="B1421" s="65" t="n"/>
      <c r="C1421" s="66" t="n"/>
      <c r="D1421" s="67" t="n"/>
      <c r="E1421" s="68" t="n"/>
      <c r="F1421" s="47">
        <f>IF(A1421="","",IF(MIN(H1421,MAX(J1421:K1421))=0,"",MIN(H1421,MAX(J1421:K1421))))</f>
        <v/>
      </c>
      <c r="G1421" s="74" t="n"/>
      <c r="H1421" s="49">
        <f>IF(M1421="","",IFERROR(ROUND(AVERAGE(T1421+M1421*{7,8,9,10,11})/1.21,4),""))</f>
        <v/>
      </c>
      <c r="I1421" s="76" t="n"/>
      <c r="J1421" s="77" t="n"/>
      <c r="K1421" s="74" t="n"/>
      <c r="L1421" s="78" t="n"/>
      <c r="M1421" s="77" t="n"/>
      <c r="N1421" s="53">
        <f>IF(M1421="","",IFERROR(M1421/I1421,""))</f>
        <v/>
      </c>
      <c r="O1421" s="50">
        <f>IF(A1421="","",IFERROR((IF(G1421="",I1421,G1421)-T1421)/M1421,""))</f>
        <v/>
      </c>
      <c r="P1421" s="50">
        <f>IFERROR((I1421/T1421-1)/N1421,"")</f>
        <v/>
      </c>
      <c r="Q1421" s="46">
        <f>IF(OR(T1421="",I1421&lt;T1421),"",IFERROR(R1421/IF(G1421="",I1421,G1421)-1,""))</f>
        <v/>
      </c>
      <c r="R1421" s="48">
        <f>IF($M1421="","",MAX(IF($G1421="",$I1421,$G1421)*(1/1.1),IF($G1421="",$I1421,$G1421)+(R$2*$M1421)))</f>
        <v/>
      </c>
      <c r="S1421" s="49">
        <f>IF($M1421="","",MAX(IF($G1421="",$I1421,$G1421)*(1/1.1),IF($G1421="",$I1421,$G1421)+(S$2*$M1421)))</f>
        <v/>
      </c>
      <c r="T1421" s="82" t="n"/>
      <c r="U1421" s="47">
        <f>IF(OR($M1421="",$T1421=""),"",$T1421+(U$2*$M1421))</f>
        <v/>
      </c>
      <c r="V1421" s="48">
        <f>IF(OR($M1421="",$T1421=""),"",$T1421+(V$2*$M1421))</f>
        <v/>
      </c>
      <c r="W1421" s="48">
        <f>IF(OR($M1421="",$T1421=""),"",$T1421+(W$2*$M1421))</f>
        <v/>
      </c>
      <c r="X1421" s="49">
        <f>IF(OR($M1421="",$T1421=""),"",$T1421+(X$2*$M1421))</f>
        <v/>
      </c>
      <c r="Y1421" s="47">
        <f>IF(OR($M1421="",$T1421=""),"",$T1421+(Y$2*$M1421))</f>
        <v/>
      </c>
      <c r="Z1421" s="49">
        <f>IF(OR($M1421="",$T1421=""),"",$T1421+(Z$2*$M1421))</f>
        <v/>
      </c>
      <c r="AA1421" s="51">
        <f>IF(OR($M1421="",$T1421=""),"",$T1421+(AA$2*$M1421))</f>
        <v/>
      </c>
      <c r="AB1421" s="48">
        <f>IF(OR($M1421="",$T1421=""),"",$T1421+(AB$2*$M1421))</f>
        <v/>
      </c>
      <c r="AC1421" s="48">
        <f>IF(OR($M1421="",$T1421=""),"",$T1421+(AC$2*$M1421))</f>
        <v/>
      </c>
      <c r="AD1421" s="48">
        <f>IF(OR($M1421="",$T1421=""),"",$T1421+(AD$2*$M1421))</f>
        <v/>
      </c>
      <c r="AE1421" s="49">
        <f>IF(OR($M1421="",$T1421=""),"",$T1421+(AE$2*$M1421))</f>
        <v/>
      </c>
      <c r="AF1421" s="52">
        <f>IF(OR(T1421="",I1421&lt;T1421),"",IFERROR(AVERAGE(T1421+M1421*{7,8,9,10,11})/IF(G1421="",I1421,G1421)-1,""))</f>
        <v/>
      </c>
      <c r="AG1421" s="55">
        <f>IF(OR(T1421="",I1421&lt;T1421),"",IFERROR(AF1421/-(R1421/IF(G1421="",I1421,G1421)-1),""))</f>
        <v/>
      </c>
      <c r="AH1421" s="94" t="n"/>
      <c r="AI1421" s="94" t="n"/>
      <c r="AJ1421" s="94" t="n"/>
      <c r="AK1421" s="94" t="n"/>
      <c r="AL1421" s="84" t="n"/>
    </row>
    <row r="1422">
      <c r="A1422" s="64" t="n"/>
      <c r="B1422" s="65" t="n"/>
      <c r="C1422" s="66" t="n"/>
      <c r="D1422" s="67" t="n"/>
      <c r="E1422" s="68" t="n"/>
      <c r="F1422" s="47">
        <f>IF(A1422="","",IF(MIN(H1422,MAX(J1422:K1422))=0,"",MIN(H1422,MAX(J1422:K1422))))</f>
        <v/>
      </c>
      <c r="G1422" s="74" t="n"/>
      <c r="H1422" s="49">
        <f>IF(M1422="","",IFERROR(ROUND(AVERAGE(T1422+M1422*{7,8,9,10,11})/1.21,4),""))</f>
        <v/>
      </c>
      <c r="I1422" s="76" t="n"/>
      <c r="J1422" s="77" t="n"/>
      <c r="K1422" s="74" t="n"/>
      <c r="L1422" s="78" t="n"/>
      <c r="M1422" s="77" t="n"/>
      <c r="N1422" s="53">
        <f>IF(M1422="","",IFERROR(M1422/I1422,""))</f>
        <v/>
      </c>
      <c r="O1422" s="50">
        <f>IF(A1422="","",IFERROR((IF(G1422="",I1422,G1422)-T1422)/M1422,""))</f>
        <v/>
      </c>
      <c r="P1422" s="50">
        <f>IFERROR((I1422/T1422-1)/N1422,"")</f>
        <v/>
      </c>
      <c r="Q1422" s="46">
        <f>IF(OR(T1422="",I1422&lt;T1422),"",IFERROR(R1422/IF(G1422="",I1422,G1422)-1,""))</f>
        <v/>
      </c>
      <c r="R1422" s="48">
        <f>IF($M1422="","",MAX(IF($G1422="",$I1422,$G1422)*(1/1.1),IF($G1422="",$I1422,$G1422)+(R$2*$M1422)))</f>
        <v/>
      </c>
      <c r="S1422" s="49">
        <f>IF($M1422="","",MAX(IF($G1422="",$I1422,$G1422)*(1/1.1),IF($G1422="",$I1422,$G1422)+(S$2*$M1422)))</f>
        <v/>
      </c>
      <c r="T1422" s="82" t="n"/>
      <c r="U1422" s="47">
        <f>IF(OR($M1422="",$T1422=""),"",$T1422+(U$2*$M1422))</f>
        <v/>
      </c>
      <c r="V1422" s="48">
        <f>IF(OR($M1422="",$T1422=""),"",$T1422+(V$2*$M1422))</f>
        <v/>
      </c>
      <c r="W1422" s="48">
        <f>IF(OR($M1422="",$T1422=""),"",$T1422+(W$2*$M1422))</f>
        <v/>
      </c>
      <c r="X1422" s="49">
        <f>IF(OR($M1422="",$T1422=""),"",$T1422+(X$2*$M1422))</f>
        <v/>
      </c>
      <c r="Y1422" s="47">
        <f>IF(OR($M1422="",$T1422=""),"",$T1422+(Y$2*$M1422))</f>
        <v/>
      </c>
      <c r="Z1422" s="49">
        <f>IF(OR($M1422="",$T1422=""),"",$T1422+(Z$2*$M1422))</f>
        <v/>
      </c>
      <c r="AA1422" s="51">
        <f>IF(OR($M1422="",$T1422=""),"",$T1422+(AA$2*$M1422))</f>
        <v/>
      </c>
      <c r="AB1422" s="48">
        <f>IF(OR($M1422="",$T1422=""),"",$T1422+(AB$2*$M1422))</f>
        <v/>
      </c>
      <c r="AC1422" s="48">
        <f>IF(OR($M1422="",$T1422=""),"",$T1422+(AC$2*$M1422))</f>
        <v/>
      </c>
      <c r="AD1422" s="48">
        <f>IF(OR($M1422="",$T1422=""),"",$T1422+(AD$2*$M1422))</f>
        <v/>
      </c>
      <c r="AE1422" s="49">
        <f>IF(OR($M1422="",$T1422=""),"",$T1422+(AE$2*$M1422))</f>
        <v/>
      </c>
      <c r="AF1422" s="52">
        <f>IF(OR(T1422="",I1422&lt;T1422),"",IFERROR(AVERAGE(T1422+M1422*{7,8,9,10,11})/IF(G1422="",I1422,G1422)-1,""))</f>
        <v/>
      </c>
      <c r="AG1422" s="55">
        <f>IF(OR(T1422="",I1422&lt;T1422),"",IFERROR(AF1422/-(R1422/IF(G1422="",I1422,G1422)-1),""))</f>
        <v/>
      </c>
      <c r="AH1422" s="94" t="n"/>
      <c r="AI1422" s="94" t="n"/>
      <c r="AJ1422" s="94" t="n"/>
      <c r="AK1422" s="94" t="n"/>
      <c r="AL1422" s="84" t="n"/>
    </row>
    <row r="1423">
      <c r="A1423" s="64" t="n"/>
      <c r="B1423" s="65" t="n"/>
      <c r="C1423" s="66" t="n"/>
      <c r="D1423" s="67" t="n"/>
      <c r="E1423" s="68" t="n"/>
      <c r="F1423" s="47">
        <f>IF(A1423="","",IF(MIN(H1423,MAX(J1423:K1423))=0,"",MIN(H1423,MAX(J1423:K1423))))</f>
        <v/>
      </c>
      <c r="G1423" s="74" t="n"/>
      <c r="H1423" s="49">
        <f>IF(M1423="","",IFERROR(ROUND(AVERAGE(T1423+M1423*{7,8,9,10,11})/1.21,4),""))</f>
        <v/>
      </c>
      <c r="I1423" s="76" t="n"/>
      <c r="J1423" s="77" t="n"/>
      <c r="K1423" s="74" t="n"/>
      <c r="L1423" s="78" t="n"/>
      <c r="M1423" s="77" t="n"/>
      <c r="N1423" s="53">
        <f>IF(M1423="","",IFERROR(M1423/I1423,""))</f>
        <v/>
      </c>
      <c r="O1423" s="50">
        <f>IF(A1423="","",IFERROR((IF(G1423="",I1423,G1423)-T1423)/M1423,""))</f>
        <v/>
      </c>
      <c r="P1423" s="50">
        <f>IFERROR((I1423/T1423-1)/N1423,"")</f>
        <v/>
      </c>
      <c r="Q1423" s="46">
        <f>IF(OR(T1423="",I1423&lt;T1423),"",IFERROR(R1423/IF(G1423="",I1423,G1423)-1,""))</f>
        <v/>
      </c>
      <c r="R1423" s="48">
        <f>IF($M1423="","",MAX(IF($G1423="",$I1423,$G1423)*(1/1.1),IF($G1423="",$I1423,$G1423)+(R$2*$M1423)))</f>
        <v/>
      </c>
      <c r="S1423" s="49">
        <f>IF($M1423="","",MAX(IF($G1423="",$I1423,$G1423)*(1/1.1),IF($G1423="",$I1423,$G1423)+(S$2*$M1423)))</f>
        <v/>
      </c>
      <c r="T1423" s="82" t="n"/>
      <c r="U1423" s="47">
        <f>IF(OR($M1423="",$T1423=""),"",$T1423+(U$2*$M1423))</f>
        <v/>
      </c>
      <c r="V1423" s="48">
        <f>IF(OR($M1423="",$T1423=""),"",$T1423+(V$2*$M1423))</f>
        <v/>
      </c>
      <c r="W1423" s="48">
        <f>IF(OR($M1423="",$T1423=""),"",$T1423+(W$2*$M1423))</f>
        <v/>
      </c>
      <c r="X1423" s="49">
        <f>IF(OR($M1423="",$T1423=""),"",$T1423+(X$2*$M1423))</f>
        <v/>
      </c>
      <c r="Y1423" s="47">
        <f>IF(OR($M1423="",$T1423=""),"",$T1423+(Y$2*$M1423))</f>
        <v/>
      </c>
      <c r="Z1423" s="49">
        <f>IF(OR($M1423="",$T1423=""),"",$T1423+(Z$2*$M1423))</f>
        <v/>
      </c>
      <c r="AA1423" s="51">
        <f>IF(OR($M1423="",$T1423=""),"",$T1423+(AA$2*$M1423))</f>
        <v/>
      </c>
      <c r="AB1423" s="48">
        <f>IF(OR($M1423="",$T1423=""),"",$T1423+(AB$2*$M1423))</f>
        <v/>
      </c>
      <c r="AC1423" s="48">
        <f>IF(OR($M1423="",$T1423=""),"",$T1423+(AC$2*$M1423))</f>
        <v/>
      </c>
      <c r="AD1423" s="48">
        <f>IF(OR($M1423="",$T1423=""),"",$T1423+(AD$2*$M1423))</f>
        <v/>
      </c>
      <c r="AE1423" s="49">
        <f>IF(OR($M1423="",$T1423=""),"",$T1423+(AE$2*$M1423))</f>
        <v/>
      </c>
      <c r="AF1423" s="52">
        <f>IF(OR(T1423="",I1423&lt;T1423),"",IFERROR(AVERAGE(T1423+M1423*{7,8,9,10,11})/IF(G1423="",I1423,G1423)-1,""))</f>
        <v/>
      </c>
      <c r="AG1423" s="55">
        <f>IF(OR(T1423="",I1423&lt;T1423),"",IFERROR(AF1423/-(R1423/IF(G1423="",I1423,G1423)-1),""))</f>
        <v/>
      </c>
      <c r="AH1423" s="94" t="n"/>
      <c r="AI1423" s="94" t="n"/>
      <c r="AJ1423" s="94" t="n"/>
      <c r="AK1423" s="94" t="n"/>
      <c r="AL1423" s="84" t="n"/>
    </row>
    <row r="1424">
      <c r="A1424" s="64" t="n"/>
      <c r="B1424" s="65" t="n"/>
      <c r="C1424" s="66" t="n"/>
      <c r="D1424" s="67" t="n"/>
      <c r="E1424" s="68" t="n"/>
      <c r="F1424" s="47">
        <f>IF(A1424="","",IF(MIN(H1424,MAX(J1424:K1424))=0,"",MIN(H1424,MAX(J1424:K1424))))</f>
        <v/>
      </c>
      <c r="G1424" s="74" t="n"/>
      <c r="H1424" s="49">
        <f>IF(M1424="","",IFERROR(ROUND(AVERAGE(T1424+M1424*{7,8,9,10,11})/1.21,4),""))</f>
        <v/>
      </c>
      <c r="I1424" s="76" t="n"/>
      <c r="J1424" s="77" t="n"/>
      <c r="K1424" s="74" t="n"/>
      <c r="L1424" s="78" t="n"/>
      <c r="M1424" s="77" t="n"/>
      <c r="N1424" s="53">
        <f>IF(M1424="","",IFERROR(M1424/I1424,""))</f>
        <v/>
      </c>
      <c r="O1424" s="50">
        <f>IF(A1424="","",IFERROR((IF(G1424="",I1424,G1424)-T1424)/M1424,""))</f>
        <v/>
      </c>
      <c r="P1424" s="50">
        <f>IFERROR((I1424/T1424-1)/N1424,"")</f>
        <v/>
      </c>
      <c r="Q1424" s="46">
        <f>IF(OR(T1424="",I1424&lt;T1424),"",IFERROR(R1424/IF(G1424="",I1424,G1424)-1,""))</f>
        <v/>
      </c>
      <c r="R1424" s="48">
        <f>IF($M1424="","",MAX(IF($G1424="",$I1424,$G1424)*(1/1.1),IF($G1424="",$I1424,$G1424)+(R$2*$M1424)))</f>
        <v/>
      </c>
      <c r="S1424" s="49">
        <f>IF($M1424="","",MAX(IF($G1424="",$I1424,$G1424)*(1/1.1),IF($G1424="",$I1424,$G1424)+(S$2*$M1424)))</f>
        <v/>
      </c>
      <c r="T1424" s="82" t="n"/>
      <c r="U1424" s="47">
        <f>IF(OR($M1424="",$T1424=""),"",$T1424+(U$2*$M1424))</f>
        <v/>
      </c>
      <c r="V1424" s="48">
        <f>IF(OR($M1424="",$T1424=""),"",$T1424+(V$2*$M1424))</f>
        <v/>
      </c>
      <c r="W1424" s="48">
        <f>IF(OR($M1424="",$T1424=""),"",$T1424+(W$2*$M1424))</f>
        <v/>
      </c>
      <c r="X1424" s="49">
        <f>IF(OR($M1424="",$T1424=""),"",$T1424+(X$2*$M1424))</f>
        <v/>
      </c>
      <c r="Y1424" s="47">
        <f>IF(OR($M1424="",$T1424=""),"",$T1424+(Y$2*$M1424))</f>
        <v/>
      </c>
      <c r="Z1424" s="49">
        <f>IF(OR($M1424="",$T1424=""),"",$T1424+(Z$2*$M1424))</f>
        <v/>
      </c>
      <c r="AA1424" s="51">
        <f>IF(OR($M1424="",$T1424=""),"",$T1424+(AA$2*$M1424))</f>
        <v/>
      </c>
      <c r="AB1424" s="48">
        <f>IF(OR($M1424="",$T1424=""),"",$T1424+(AB$2*$M1424))</f>
        <v/>
      </c>
      <c r="AC1424" s="48">
        <f>IF(OR($M1424="",$T1424=""),"",$T1424+(AC$2*$M1424))</f>
        <v/>
      </c>
      <c r="AD1424" s="48">
        <f>IF(OR($M1424="",$T1424=""),"",$T1424+(AD$2*$M1424))</f>
        <v/>
      </c>
      <c r="AE1424" s="49">
        <f>IF(OR($M1424="",$T1424=""),"",$T1424+(AE$2*$M1424))</f>
        <v/>
      </c>
      <c r="AF1424" s="52">
        <f>IF(OR(T1424="",I1424&lt;T1424),"",IFERROR(AVERAGE(T1424+M1424*{7,8,9,10,11})/IF(G1424="",I1424,G1424)-1,""))</f>
        <v/>
      </c>
      <c r="AG1424" s="55">
        <f>IF(OR(T1424="",I1424&lt;T1424),"",IFERROR(AF1424/-(R1424/IF(G1424="",I1424,G1424)-1),""))</f>
        <v/>
      </c>
      <c r="AH1424" s="94" t="n"/>
      <c r="AI1424" s="94" t="n"/>
      <c r="AJ1424" s="94" t="n"/>
      <c r="AK1424" s="94" t="n"/>
      <c r="AL1424" s="84" t="n"/>
    </row>
    <row r="1425">
      <c r="A1425" s="64" t="n"/>
      <c r="B1425" s="65" t="n"/>
      <c r="C1425" s="66" t="n"/>
      <c r="D1425" s="67" t="n"/>
      <c r="E1425" s="68" t="n"/>
      <c r="F1425" s="47">
        <f>IF(A1425="","",IF(MIN(H1425,MAX(J1425:K1425))=0,"",MIN(H1425,MAX(J1425:K1425))))</f>
        <v/>
      </c>
      <c r="G1425" s="74" t="n"/>
      <c r="H1425" s="49">
        <f>IF(M1425="","",IFERROR(ROUND(AVERAGE(T1425+M1425*{7,8,9,10,11})/1.21,4),""))</f>
        <v/>
      </c>
      <c r="I1425" s="76" t="n"/>
      <c r="J1425" s="77" t="n"/>
      <c r="K1425" s="74" t="n"/>
      <c r="L1425" s="78" t="n"/>
      <c r="M1425" s="77" t="n"/>
      <c r="N1425" s="53">
        <f>IF(M1425="","",IFERROR(M1425/I1425,""))</f>
        <v/>
      </c>
      <c r="O1425" s="50">
        <f>IF(A1425="","",IFERROR((IF(G1425="",I1425,G1425)-T1425)/M1425,""))</f>
        <v/>
      </c>
      <c r="P1425" s="50">
        <f>IFERROR((I1425/T1425-1)/N1425,"")</f>
        <v/>
      </c>
      <c r="Q1425" s="46">
        <f>IF(OR(T1425="",I1425&lt;T1425),"",IFERROR(R1425/IF(G1425="",I1425,G1425)-1,""))</f>
        <v/>
      </c>
      <c r="R1425" s="48">
        <f>IF($M1425="","",MAX(IF($G1425="",$I1425,$G1425)*(1/1.1),IF($G1425="",$I1425,$G1425)+(R$2*$M1425)))</f>
        <v/>
      </c>
      <c r="S1425" s="49">
        <f>IF($M1425="","",MAX(IF($G1425="",$I1425,$G1425)*(1/1.1),IF($G1425="",$I1425,$G1425)+(S$2*$M1425)))</f>
        <v/>
      </c>
      <c r="T1425" s="82" t="n"/>
      <c r="U1425" s="47">
        <f>IF(OR($M1425="",$T1425=""),"",$T1425+(U$2*$M1425))</f>
        <v/>
      </c>
      <c r="V1425" s="48">
        <f>IF(OR($M1425="",$T1425=""),"",$T1425+(V$2*$M1425))</f>
        <v/>
      </c>
      <c r="W1425" s="48">
        <f>IF(OR($M1425="",$T1425=""),"",$T1425+(W$2*$M1425))</f>
        <v/>
      </c>
      <c r="X1425" s="49">
        <f>IF(OR($M1425="",$T1425=""),"",$T1425+(X$2*$M1425))</f>
        <v/>
      </c>
      <c r="Y1425" s="47">
        <f>IF(OR($M1425="",$T1425=""),"",$T1425+(Y$2*$M1425))</f>
        <v/>
      </c>
      <c r="Z1425" s="49">
        <f>IF(OR($M1425="",$T1425=""),"",$T1425+(Z$2*$M1425))</f>
        <v/>
      </c>
      <c r="AA1425" s="51">
        <f>IF(OR($M1425="",$T1425=""),"",$T1425+(AA$2*$M1425))</f>
        <v/>
      </c>
      <c r="AB1425" s="48">
        <f>IF(OR($M1425="",$T1425=""),"",$T1425+(AB$2*$M1425))</f>
        <v/>
      </c>
      <c r="AC1425" s="48">
        <f>IF(OR($M1425="",$T1425=""),"",$T1425+(AC$2*$M1425))</f>
        <v/>
      </c>
      <c r="AD1425" s="48">
        <f>IF(OR($M1425="",$T1425=""),"",$T1425+(AD$2*$M1425))</f>
        <v/>
      </c>
      <c r="AE1425" s="49">
        <f>IF(OR($M1425="",$T1425=""),"",$T1425+(AE$2*$M1425))</f>
        <v/>
      </c>
      <c r="AF1425" s="52">
        <f>IF(OR(T1425="",I1425&lt;T1425),"",IFERROR(AVERAGE(T1425+M1425*{7,8,9,10,11})/IF(G1425="",I1425,G1425)-1,""))</f>
        <v/>
      </c>
      <c r="AG1425" s="55">
        <f>IF(OR(T1425="",I1425&lt;T1425),"",IFERROR(AF1425/-(R1425/IF(G1425="",I1425,G1425)-1),""))</f>
        <v/>
      </c>
      <c r="AH1425" s="94" t="n"/>
      <c r="AI1425" s="94" t="n"/>
      <c r="AJ1425" s="94" t="n"/>
      <c r="AK1425" s="94" t="n"/>
      <c r="AL1425" s="84" t="n"/>
    </row>
    <row r="1426">
      <c r="A1426" s="64" t="n"/>
      <c r="B1426" s="65" t="n"/>
      <c r="C1426" s="66" t="n"/>
      <c r="D1426" s="67" t="n"/>
      <c r="E1426" s="68" t="n"/>
      <c r="F1426" s="47">
        <f>IF(A1426="","",IF(MIN(H1426,MAX(J1426:K1426))=0,"",MIN(H1426,MAX(J1426:K1426))))</f>
        <v/>
      </c>
      <c r="G1426" s="74" t="n"/>
      <c r="H1426" s="49">
        <f>IF(M1426="","",IFERROR(ROUND(AVERAGE(T1426+M1426*{7,8,9,10,11})/1.21,4),""))</f>
        <v/>
      </c>
      <c r="I1426" s="76" t="n"/>
      <c r="J1426" s="77" t="n"/>
      <c r="K1426" s="74" t="n"/>
      <c r="L1426" s="78" t="n"/>
      <c r="M1426" s="77" t="n"/>
      <c r="N1426" s="53">
        <f>IF(M1426="","",IFERROR(M1426/I1426,""))</f>
        <v/>
      </c>
      <c r="O1426" s="50">
        <f>IF(A1426="","",IFERROR((IF(G1426="",I1426,G1426)-T1426)/M1426,""))</f>
        <v/>
      </c>
      <c r="P1426" s="50">
        <f>IFERROR((I1426/T1426-1)/N1426,"")</f>
        <v/>
      </c>
      <c r="Q1426" s="46">
        <f>IF(OR(T1426="",I1426&lt;T1426),"",IFERROR(R1426/IF(G1426="",I1426,G1426)-1,""))</f>
        <v/>
      </c>
      <c r="R1426" s="48">
        <f>IF($M1426="","",MAX(IF($G1426="",$I1426,$G1426)*(1/1.1),IF($G1426="",$I1426,$G1426)+(R$2*$M1426)))</f>
        <v/>
      </c>
      <c r="S1426" s="49">
        <f>IF($M1426="","",MAX(IF($G1426="",$I1426,$G1426)*(1/1.1),IF($G1426="",$I1426,$G1426)+(S$2*$M1426)))</f>
        <v/>
      </c>
      <c r="T1426" s="82" t="n"/>
      <c r="U1426" s="47">
        <f>IF(OR($M1426="",$T1426=""),"",$T1426+(U$2*$M1426))</f>
        <v/>
      </c>
      <c r="V1426" s="48">
        <f>IF(OR($M1426="",$T1426=""),"",$T1426+(V$2*$M1426))</f>
        <v/>
      </c>
      <c r="W1426" s="48">
        <f>IF(OR($M1426="",$T1426=""),"",$T1426+(W$2*$M1426))</f>
        <v/>
      </c>
      <c r="X1426" s="49">
        <f>IF(OR($M1426="",$T1426=""),"",$T1426+(X$2*$M1426))</f>
        <v/>
      </c>
      <c r="Y1426" s="47">
        <f>IF(OR($M1426="",$T1426=""),"",$T1426+(Y$2*$M1426))</f>
        <v/>
      </c>
      <c r="Z1426" s="49">
        <f>IF(OR($M1426="",$T1426=""),"",$T1426+(Z$2*$M1426))</f>
        <v/>
      </c>
      <c r="AA1426" s="51">
        <f>IF(OR($M1426="",$T1426=""),"",$T1426+(AA$2*$M1426))</f>
        <v/>
      </c>
      <c r="AB1426" s="48">
        <f>IF(OR($M1426="",$T1426=""),"",$T1426+(AB$2*$M1426))</f>
        <v/>
      </c>
      <c r="AC1426" s="48">
        <f>IF(OR($M1426="",$T1426=""),"",$T1426+(AC$2*$M1426))</f>
        <v/>
      </c>
      <c r="AD1426" s="48">
        <f>IF(OR($M1426="",$T1426=""),"",$T1426+(AD$2*$M1426))</f>
        <v/>
      </c>
      <c r="AE1426" s="49">
        <f>IF(OR($M1426="",$T1426=""),"",$T1426+(AE$2*$M1426))</f>
        <v/>
      </c>
      <c r="AF1426" s="52">
        <f>IF(OR(T1426="",I1426&lt;T1426),"",IFERROR(AVERAGE(T1426+M1426*{7,8,9,10,11})/IF(G1426="",I1426,G1426)-1,""))</f>
        <v/>
      </c>
      <c r="AG1426" s="55">
        <f>IF(OR(T1426="",I1426&lt;T1426),"",IFERROR(AF1426/-(R1426/IF(G1426="",I1426,G1426)-1),""))</f>
        <v/>
      </c>
      <c r="AH1426" s="94" t="n"/>
      <c r="AI1426" s="94" t="n"/>
      <c r="AJ1426" s="94" t="n"/>
      <c r="AK1426" s="94" t="n"/>
      <c r="AL1426" s="84" t="n"/>
    </row>
    <row r="1427">
      <c r="A1427" s="64" t="n"/>
      <c r="B1427" s="65" t="n"/>
      <c r="C1427" s="66" t="n"/>
      <c r="D1427" s="67" t="n"/>
      <c r="E1427" s="68" t="n"/>
      <c r="F1427" s="47">
        <f>IF(A1427="","",IF(MIN(H1427,MAX(J1427:K1427))=0,"",MIN(H1427,MAX(J1427:K1427))))</f>
        <v/>
      </c>
      <c r="G1427" s="74" t="n"/>
      <c r="H1427" s="49">
        <f>IF(M1427="","",IFERROR(ROUND(AVERAGE(T1427+M1427*{7,8,9,10,11})/1.21,4),""))</f>
        <v/>
      </c>
      <c r="I1427" s="76" t="n"/>
      <c r="J1427" s="77" t="n"/>
      <c r="K1427" s="74" t="n"/>
      <c r="L1427" s="78" t="n"/>
      <c r="M1427" s="77" t="n"/>
      <c r="N1427" s="53">
        <f>IF(M1427="","",IFERROR(M1427/I1427,""))</f>
        <v/>
      </c>
      <c r="O1427" s="50">
        <f>IF(A1427="","",IFERROR((IF(G1427="",I1427,G1427)-T1427)/M1427,""))</f>
        <v/>
      </c>
      <c r="P1427" s="50">
        <f>IFERROR((I1427/T1427-1)/N1427,"")</f>
        <v/>
      </c>
      <c r="Q1427" s="46">
        <f>IF(OR(T1427="",I1427&lt;T1427),"",IFERROR(R1427/IF(G1427="",I1427,G1427)-1,""))</f>
        <v/>
      </c>
      <c r="R1427" s="48">
        <f>IF($M1427="","",MAX(IF($G1427="",$I1427,$G1427)*(1/1.1),IF($G1427="",$I1427,$G1427)+(R$2*$M1427)))</f>
        <v/>
      </c>
      <c r="S1427" s="49">
        <f>IF($M1427="","",MAX(IF($G1427="",$I1427,$G1427)*(1/1.1),IF($G1427="",$I1427,$G1427)+(S$2*$M1427)))</f>
        <v/>
      </c>
      <c r="T1427" s="82" t="n"/>
      <c r="U1427" s="47">
        <f>IF(OR($M1427="",$T1427=""),"",$T1427+(U$2*$M1427))</f>
        <v/>
      </c>
      <c r="V1427" s="48">
        <f>IF(OR($M1427="",$T1427=""),"",$T1427+(V$2*$M1427))</f>
        <v/>
      </c>
      <c r="W1427" s="48">
        <f>IF(OR($M1427="",$T1427=""),"",$T1427+(W$2*$M1427))</f>
        <v/>
      </c>
      <c r="X1427" s="49">
        <f>IF(OR($M1427="",$T1427=""),"",$T1427+(X$2*$M1427))</f>
        <v/>
      </c>
      <c r="Y1427" s="47">
        <f>IF(OR($M1427="",$T1427=""),"",$T1427+(Y$2*$M1427))</f>
        <v/>
      </c>
      <c r="Z1427" s="49">
        <f>IF(OR($M1427="",$T1427=""),"",$T1427+(Z$2*$M1427))</f>
        <v/>
      </c>
      <c r="AA1427" s="51">
        <f>IF(OR($M1427="",$T1427=""),"",$T1427+(AA$2*$M1427))</f>
        <v/>
      </c>
      <c r="AB1427" s="48">
        <f>IF(OR($M1427="",$T1427=""),"",$T1427+(AB$2*$M1427))</f>
        <v/>
      </c>
      <c r="AC1427" s="48">
        <f>IF(OR($M1427="",$T1427=""),"",$T1427+(AC$2*$M1427))</f>
        <v/>
      </c>
      <c r="AD1427" s="48">
        <f>IF(OR($M1427="",$T1427=""),"",$T1427+(AD$2*$M1427))</f>
        <v/>
      </c>
      <c r="AE1427" s="49">
        <f>IF(OR($M1427="",$T1427=""),"",$T1427+(AE$2*$M1427))</f>
        <v/>
      </c>
      <c r="AF1427" s="52">
        <f>IF(OR(T1427="",I1427&lt;T1427),"",IFERROR(AVERAGE(T1427+M1427*{7,8,9,10,11})/IF(G1427="",I1427,G1427)-1,""))</f>
        <v/>
      </c>
      <c r="AG1427" s="55">
        <f>IF(OR(T1427="",I1427&lt;T1427),"",IFERROR(AF1427/-(R1427/IF(G1427="",I1427,G1427)-1),""))</f>
        <v/>
      </c>
      <c r="AH1427" s="94" t="n"/>
      <c r="AI1427" s="94" t="n"/>
      <c r="AJ1427" s="94" t="n"/>
      <c r="AK1427" s="94" t="n"/>
      <c r="AL1427" s="84" t="n"/>
    </row>
    <row r="1428">
      <c r="A1428" s="64" t="n"/>
      <c r="B1428" s="65" t="n"/>
      <c r="C1428" s="66" t="n"/>
      <c r="D1428" s="67" t="n"/>
      <c r="E1428" s="68" t="n"/>
      <c r="F1428" s="47">
        <f>IF(A1428="","",IF(MIN(H1428,MAX(J1428:K1428))=0,"",MIN(H1428,MAX(J1428:K1428))))</f>
        <v/>
      </c>
      <c r="G1428" s="74" t="n"/>
      <c r="H1428" s="49">
        <f>IF(M1428="","",IFERROR(ROUND(AVERAGE(T1428+M1428*{7,8,9,10,11})/1.21,4),""))</f>
        <v/>
      </c>
      <c r="I1428" s="76" t="n"/>
      <c r="J1428" s="77" t="n"/>
      <c r="K1428" s="74" t="n"/>
      <c r="L1428" s="78" t="n"/>
      <c r="M1428" s="77" t="n"/>
      <c r="N1428" s="53">
        <f>IF(M1428="","",IFERROR(M1428/I1428,""))</f>
        <v/>
      </c>
      <c r="O1428" s="50">
        <f>IF(A1428="","",IFERROR((IF(G1428="",I1428,G1428)-T1428)/M1428,""))</f>
        <v/>
      </c>
      <c r="P1428" s="50">
        <f>IFERROR((I1428/T1428-1)/N1428,"")</f>
        <v/>
      </c>
      <c r="Q1428" s="46">
        <f>IF(OR(T1428="",I1428&lt;T1428),"",IFERROR(R1428/IF(G1428="",I1428,G1428)-1,""))</f>
        <v/>
      </c>
      <c r="R1428" s="48">
        <f>IF($M1428="","",MAX(IF($G1428="",$I1428,$G1428)*(1/1.1),IF($G1428="",$I1428,$G1428)+(R$2*$M1428)))</f>
        <v/>
      </c>
      <c r="S1428" s="49">
        <f>IF($M1428="","",MAX(IF($G1428="",$I1428,$G1428)*(1/1.1),IF($G1428="",$I1428,$G1428)+(S$2*$M1428)))</f>
        <v/>
      </c>
      <c r="T1428" s="82" t="n"/>
      <c r="U1428" s="47">
        <f>IF(OR($M1428="",$T1428=""),"",$T1428+(U$2*$M1428))</f>
        <v/>
      </c>
      <c r="V1428" s="48">
        <f>IF(OR($M1428="",$T1428=""),"",$T1428+(V$2*$M1428))</f>
        <v/>
      </c>
      <c r="W1428" s="48">
        <f>IF(OR($M1428="",$T1428=""),"",$T1428+(W$2*$M1428))</f>
        <v/>
      </c>
      <c r="X1428" s="49">
        <f>IF(OR($M1428="",$T1428=""),"",$T1428+(X$2*$M1428))</f>
        <v/>
      </c>
      <c r="Y1428" s="47">
        <f>IF(OR($M1428="",$T1428=""),"",$T1428+(Y$2*$M1428))</f>
        <v/>
      </c>
      <c r="Z1428" s="49">
        <f>IF(OR($M1428="",$T1428=""),"",$T1428+(Z$2*$M1428))</f>
        <v/>
      </c>
      <c r="AA1428" s="51">
        <f>IF(OR($M1428="",$T1428=""),"",$T1428+(AA$2*$M1428))</f>
        <v/>
      </c>
      <c r="AB1428" s="48">
        <f>IF(OR($M1428="",$T1428=""),"",$T1428+(AB$2*$M1428))</f>
        <v/>
      </c>
      <c r="AC1428" s="48">
        <f>IF(OR($M1428="",$T1428=""),"",$T1428+(AC$2*$M1428))</f>
        <v/>
      </c>
      <c r="AD1428" s="48">
        <f>IF(OR($M1428="",$T1428=""),"",$T1428+(AD$2*$M1428))</f>
        <v/>
      </c>
      <c r="AE1428" s="49">
        <f>IF(OR($M1428="",$T1428=""),"",$T1428+(AE$2*$M1428))</f>
        <v/>
      </c>
      <c r="AF1428" s="52">
        <f>IF(OR(T1428="",I1428&lt;T1428),"",IFERROR(AVERAGE(T1428+M1428*{7,8,9,10,11})/IF(G1428="",I1428,G1428)-1,""))</f>
        <v/>
      </c>
      <c r="AG1428" s="55">
        <f>IF(OR(T1428="",I1428&lt;T1428),"",IFERROR(AF1428/-(R1428/IF(G1428="",I1428,G1428)-1),""))</f>
        <v/>
      </c>
      <c r="AH1428" s="94" t="n"/>
      <c r="AI1428" s="94" t="n"/>
      <c r="AJ1428" s="94" t="n"/>
      <c r="AK1428" s="94" t="n"/>
      <c r="AL1428" s="84" t="n"/>
    </row>
    <row r="1429">
      <c r="A1429" s="64" t="n"/>
      <c r="B1429" s="65" t="n"/>
      <c r="C1429" s="66" t="n"/>
      <c r="D1429" s="67" t="n"/>
      <c r="E1429" s="68" t="n"/>
      <c r="F1429" s="47">
        <f>IF(A1429="","",IF(MIN(H1429,MAX(J1429:K1429))=0,"",MIN(H1429,MAX(J1429:K1429))))</f>
        <v/>
      </c>
      <c r="G1429" s="74" t="n"/>
      <c r="H1429" s="49">
        <f>IF(M1429="","",IFERROR(ROUND(AVERAGE(T1429+M1429*{7,8,9,10,11})/1.21,4),""))</f>
        <v/>
      </c>
      <c r="I1429" s="76" t="n"/>
      <c r="J1429" s="77" t="n"/>
      <c r="K1429" s="74" t="n"/>
      <c r="L1429" s="78" t="n"/>
      <c r="M1429" s="77" t="n"/>
      <c r="N1429" s="53">
        <f>IF(M1429="","",IFERROR(M1429/I1429,""))</f>
        <v/>
      </c>
      <c r="O1429" s="50">
        <f>IF(A1429="","",IFERROR((IF(G1429="",I1429,G1429)-T1429)/M1429,""))</f>
        <v/>
      </c>
      <c r="P1429" s="50">
        <f>IFERROR((I1429/T1429-1)/N1429,"")</f>
        <v/>
      </c>
      <c r="Q1429" s="46">
        <f>IF(OR(T1429="",I1429&lt;T1429),"",IFERROR(R1429/IF(G1429="",I1429,G1429)-1,""))</f>
        <v/>
      </c>
      <c r="R1429" s="48">
        <f>IF($M1429="","",MAX(IF($G1429="",$I1429,$G1429)*(1/1.1),IF($G1429="",$I1429,$G1429)+(R$2*$M1429)))</f>
        <v/>
      </c>
      <c r="S1429" s="49">
        <f>IF($M1429="","",MAX(IF($G1429="",$I1429,$G1429)*(1/1.1),IF($G1429="",$I1429,$G1429)+(S$2*$M1429)))</f>
        <v/>
      </c>
      <c r="T1429" s="82" t="n"/>
      <c r="U1429" s="47">
        <f>IF(OR($M1429="",$T1429=""),"",$T1429+(U$2*$M1429))</f>
        <v/>
      </c>
      <c r="V1429" s="48">
        <f>IF(OR($M1429="",$T1429=""),"",$T1429+(V$2*$M1429))</f>
        <v/>
      </c>
      <c r="W1429" s="48">
        <f>IF(OR($M1429="",$T1429=""),"",$T1429+(W$2*$M1429))</f>
        <v/>
      </c>
      <c r="X1429" s="49">
        <f>IF(OR($M1429="",$T1429=""),"",$T1429+(X$2*$M1429))</f>
        <v/>
      </c>
      <c r="Y1429" s="47">
        <f>IF(OR($M1429="",$T1429=""),"",$T1429+(Y$2*$M1429))</f>
        <v/>
      </c>
      <c r="Z1429" s="49">
        <f>IF(OR($M1429="",$T1429=""),"",$T1429+(Z$2*$M1429))</f>
        <v/>
      </c>
      <c r="AA1429" s="51">
        <f>IF(OR($M1429="",$T1429=""),"",$T1429+(AA$2*$M1429))</f>
        <v/>
      </c>
      <c r="AB1429" s="48">
        <f>IF(OR($M1429="",$T1429=""),"",$T1429+(AB$2*$M1429))</f>
        <v/>
      </c>
      <c r="AC1429" s="48">
        <f>IF(OR($M1429="",$T1429=""),"",$T1429+(AC$2*$M1429))</f>
        <v/>
      </c>
      <c r="AD1429" s="48">
        <f>IF(OR($M1429="",$T1429=""),"",$T1429+(AD$2*$M1429))</f>
        <v/>
      </c>
      <c r="AE1429" s="49">
        <f>IF(OR($M1429="",$T1429=""),"",$T1429+(AE$2*$M1429))</f>
        <v/>
      </c>
      <c r="AF1429" s="52">
        <f>IF(OR(T1429="",I1429&lt;T1429),"",IFERROR(AVERAGE(T1429+M1429*{7,8,9,10,11})/IF(G1429="",I1429,G1429)-1,""))</f>
        <v/>
      </c>
      <c r="AG1429" s="55">
        <f>IF(OR(T1429="",I1429&lt;T1429),"",IFERROR(AF1429/-(R1429/IF(G1429="",I1429,G1429)-1),""))</f>
        <v/>
      </c>
      <c r="AH1429" s="94" t="n"/>
      <c r="AI1429" s="94" t="n"/>
      <c r="AJ1429" s="94" t="n"/>
      <c r="AK1429" s="94" t="n"/>
      <c r="AL1429" s="84" t="n"/>
    </row>
    <row r="1430">
      <c r="A1430" s="64" t="n"/>
      <c r="B1430" s="65" t="n"/>
      <c r="C1430" s="66" t="n"/>
      <c r="D1430" s="67" t="n"/>
      <c r="E1430" s="68" t="n"/>
      <c r="F1430" s="47">
        <f>IF(A1430="","",IF(MIN(H1430,MAX(J1430:K1430))=0,"",MIN(H1430,MAX(J1430:K1430))))</f>
        <v/>
      </c>
      <c r="G1430" s="74" t="n"/>
      <c r="H1430" s="49">
        <f>IF(M1430="","",IFERROR(ROUND(AVERAGE(T1430+M1430*{7,8,9,10,11})/1.21,4),""))</f>
        <v/>
      </c>
      <c r="I1430" s="76" t="n"/>
      <c r="J1430" s="77" t="n"/>
      <c r="K1430" s="74" t="n"/>
      <c r="L1430" s="78" t="n"/>
      <c r="M1430" s="77" t="n"/>
      <c r="N1430" s="53">
        <f>IF(M1430="","",IFERROR(M1430/I1430,""))</f>
        <v/>
      </c>
      <c r="O1430" s="50">
        <f>IF(A1430="","",IFERROR((IF(G1430="",I1430,G1430)-T1430)/M1430,""))</f>
        <v/>
      </c>
      <c r="P1430" s="50">
        <f>IFERROR((I1430/T1430-1)/N1430,"")</f>
        <v/>
      </c>
      <c r="Q1430" s="46">
        <f>IF(OR(T1430="",I1430&lt;T1430),"",IFERROR(R1430/IF(G1430="",I1430,G1430)-1,""))</f>
        <v/>
      </c>
      <c r="R1430" s="48">
        <f>IF($M1430="","",MAX(IF($G1430="",$I1430,$G1430)*(1/1.1),IF($G1430="",$I1430,$G1430)+(R$2*$M1430)))</f>
        <v/>
      </c>
      <c r="S1430" s="49">
        <f>IF($M1430="","",MAX(IF($G1430="",$I1430,$G1430)*(1/1.1),IF($G1430="",$I1430,$G1430)+(S$2*$M1430)))</f>
        <v/>
      </c>
      <c r="T1430" s="82" t="n"/>
      <c r="U1430" s="47">
        <f>IF(OR($M1430="",$T1430=""),"",$T1430+(U$2*$M1430))</f>
        <v/>
      </c>
      <c r="V1430" s="48">
        <f>IF(OR($M1430="",$T1430=""),"",$T1430+(V$2*$M1430))</f>
        <v/>
      </c>
      <c r="W1430" s="48">
        <f>IF(OR($M1430="",$T1430=""),"",$T1430+(W$2*$M1430))</f>
        <v/>
      </c>
      <c r="X1430" s="49">
        <f>IF(OR($M1430="",$T1430=""),"",$T1430+(X$2*$M1430))</f>
        <v/>
      </c>
      <c r="Y1430" s="47">
        <f>IF(OR($M1430="",$T1430=""),"",$T1430+(Y$2*$M1430))</f>
        <v/>
      </c>
      <c r="Z1430" s="49">
        <f>IF(OR($M1430="",$T1430=""),"",$T1430+(Z$2*$M1430))</f>
        <v/>
      </c>
      <c r="AA1430" s="51">
        <f>IF(OR($M1430="",$T1430=""),"",$T1430+(AA$2*$M1430))</f>
        <v/>
      </c>
      <c r="AB1430" s="48">
        <f>IF(OR($M1430="",$T1430=""),"",$T1430+(AB$2*$M1430))</f>
        <v/>
      </c>
      <c r="AC1430" s="48">
        <f>IF(OR($M1430="",$T1430=""),"",$T1430+(AC$2*$M1430))</f>
        <v/>
      </c>
      <c r="AD1430" s="48">
        <f>IF(OR($M1430="",$T1430=""),"",$T1430+(AD$2*$M1430))</f>
        <v/>
      </c>
      <c r="AE1430" s="49">
        <f>IF(OR($M1430="",$T1430=""),"",$T1430+(AE$2*$M1430))</f>
        <v/>
      </c>
      <c r="AF1430" s="52">
        <f>IF(OR(T1430="",I1430&lt;T1430),"",IFERROR(AVERAGE(T1430+M1430*{7,8,9,10,11})/IF(G1430="",I1430,G1430)-1,""))</f>
        <v/>
      </c>
      <c r="AG1430" s="55">
        <f>IF(OR(T1430="",I1430&lt;T1430),"",IFERROR(AF1430/-(R1430/IF(G1430="",I1430,G1430)-1),""))</f>
        <v/>
      </c>
      <c r="AH1430" s="94" t="n"/>
      <c r="AI1430" s="94" t="n"/>
      <c r="AJ1430" s="94" t="n"/>
      <c r="AK1430" s="94" t="n"/>
      <c r="AL1430" s="84" t="n"/>
    </row>
    <row r="1431">
      <c r="A1431" s="64" t="n"/>
      <c r="B1431" s="65" t="n"/>
      <c r="C1431" s="66" t="n"/>
      <c r="D1431" s="67" t="n"/>
      <c r="E1431" s="68" t="n"/>
      <c r="F1431" s="47">
        <f>IF(A1431="","",IF(MIN(H1431,MAX(J1431:K1431))=0,"",MIN(H1431,MAX(J1431:K1431))))</f>
        <v/>
      </c>
      <c r="G1431" s="74" t="n"/>
      <c r="H1431" s="49">
        <f>IF(M1431="","",IFERROR(ROUND(AVERAGE(T1431+M1431*{7,8,9,10,11})/1.21,4),""))</f>
        <v/>
      </c>
      <c r="I1431" s="76" t="n"/>
      <c r="J1431" s="77" t="n"/>
      <c r="K1431" s="74" t="n"/>
      <c r="L1431" s="78" t="n"/>
      <c r="M1431" s="77" t="n"/>
      <c r="N1431" s="53">
        <f>IF(M1431="","",IFERROR(M1431/I1431,""))</f>
        <v/>
      </c>
      <c r="O1431" s="50">
        <f>IF(A1431="","",IFERROR((IF(G1431="",I1431,G1431)-T1431)/M1431,""))</f>
        <v/>
      </c>
      <c r="P1431" s="50">
        <f>IFERROR((I1431/T1431-1)/N1431,"")</f>
        <v/>
      </c>
      <c r="Q1431" s="46">
        <f>IF(OR(T1431="",I1431&lt;T1431),"",IFERROR(R1431/IF(G1431="",I1431,G1431)-1,""))</f>
        <v/>
      </c>
      <c r="R1431" s="48">
        <f>IF($M1431="","",MAX(IF($G1431="",$I1431,$G1431)*(1/1.1),IF($G1431="",$I1431,$G1431)+(R$2*$M1431)))</f>
        <v/>
      </c>
      <c r="S1431" s="49">
        <f>IF($M1431="","",MAX(IF($G1431="",$I1431,$G1431)*(1/1.1),IF($G1431="",$I1431,$G1431)+(S$2*$M1431)))</f>
        <v/>
      </c>
      <c r="T1431" s="82" t="n"/>
      <c r="U1431" s="47">
        <f>IF(OR($M1431="",$T1431=""),"",$T1431+(U$2*$M1431))</f>
        <v/>
      </c>
      <c r="V1431" s="48">
        <f>IF(OR($M1431="",$T1431=""),"",$T1431+(V$2*$M1431))</f>
        <v/>
      </c>
      <c r="W1431" s="48">
        <f>IF(OR($M1431="",$T1431=""),"",$T1431+(W$2*$M1431))</f>
        <v/>
      </c>
      <c r="X1431" s="49">
        <f>IF(OR($M1431="",$T1431=""),"",$T1431+(X$2*$M1431))</f>
        <v/>
      </c>
      <c r="Y1431" s="47">
        <f>IF(OR($M1431="",$T1431=""),"",$T1431+(Y$2*$M1431))</f>
        <v/>
      </c>
      <c r="Z1431" s="49">
        <f>IF(OR($M1431="",$T1431=""),"",$T1431+(Z$2*$M1431))</f>
        <v/>
      </c>
      <c r="AA1431" s="51">
        <f>IF(OR($M1431="",$T1431=""),"",$T1431+(AA$2*$M1431))</f>
        <v/>
      </c>
      <c r="AB1431" s="48">
        <f>IF(OR($M1431="",$T1431=""),"",$T1431+(AB$2*$M1431))</f>
        <v/>
      </c>
      <c r="AC1431" s="48">
        <f>IF(OR($M1431="",$T1431=""),"",$T1431+(AC$2*$M1431))</f>
        <v/>
      </c>
      <c r="AD1431" s="48">
        <f>IF(OR($M1431="",$T1431=""),"",$T1431+(AD$2*$M1431))</f>
        <v/>
      </c>
      <c r="AE1431" s="49">
        <f>IF(OR($M1431="",$T1431=""),"",$T1431+(AE$2*$M1431))</f>
        <v/>
      </c>
      <c r="AF1431" s="52">
        <f>IF(OR(T1431="",I1431&lt;T1431),"",IFERROR(AVERAGE(T1431+M1431*{7,8,9,10,11})/IF(G1431="",I1431,G1431)-1,""))</f>
        <v/>
      </c>
      <c r="AG1431" s="55">
        <f>IF(OR(T1431="",I1431&lt;T1431),"",IFERROR(AF1431/-(R1431/IF(G1431="",I1431,G1431)-1),""))</f>
        <v/>
      </c>
      <c r="AH1431" s="94" t="n"/>
      <c r="AI1431" s="94" t="n"/>
      <c r="AJ1431" s="94" t="n"/>
      <c r="AK1431" s="94" t="n"/>
      <c r="AL1431" s="84" t="n"/>
    </row>
    <row r="1432">
      <c r="A1432" s="64" t="n"/>
      <c r="B1432" s="65" t="n"/>
      <c r="C1432" s="66" t="n"/>
      <c r="D1432" s="67" t="n"/>
      <c r="E1432" s="68" t="n"/>
      <c r="F1432" s="47">
        <f>IF(A1432="","",IF(MIN(H1432,MAX(J1432:K1432))=0,"",MIN(H1432,MAX(J1432:K1432))))</f>
        <v/>
      </c>
      <c r="G1432" s="74" t="n"/>
      <c r="H1432" s="49">
        <f>IF(M1432="","",IFERROR(ROUND(AVERAGE(T1432+M1432*{7,8,9,10,11})/1.21,4),""))</f>
        <v/>
      </c>
      <c r="I1432" s="76" t="n"/>
      <c r="J1432" s="77" t="n"/>
      <c r="K1432" s="74" t="n"/>
      <c r="L1432" s="78" t="n"/>
      <c r="M1432" s="77" t="n"/>
      <c r="N1432" s="53">
        <f>IF(M1432="","",IFERROR(M1432/I1432,""))</f>
        <v/>
      </c>
      <c r="O1432" s="50">
        <f>IF(A1432="","",IFERROR((IF(G1432="",I1432,G1432)-T1432)/M1432,""))</f>
        <v/>
      </c>
      <c r="P1432" s="50">
        <f>IFERROR((I1432/T1432-1)/N1432,"")</f>
        <v/>
      </c>
      <c r="Q1432" s="46">
        <f>IF(OR(T1432="",I1432&lt;T1432),"",IFERROR(R1432/IF(G1432="",I1432,G1432)-1,""))</f>
        <v/>
      </c>
      <c r="R1432" s="48">
        <f>IF($M1432="","",MAX(IF($G1432="",$I1432,$G1432)*(1/1.1),IF($G1432="",$I1432,$G1432)+(R$2*$M1432)))</f>
        <v/>
      </c>
      <c r="S1432" s="49">
        <f>IF($M1432="","",MAX(IF($G1432="",$I1432,$G1432)*(1/1.1),IF($G1432="",$I1432,$G1432)+(S$2*$M1432)))</f>
        <v/>
      </c>
      <c r="T1432" s="82" t="n"/>
      <c r="U1432" s="47">
        <f>IF(OR($M1432="",$T1432=""),"",$T1432+(U$2*$M1432))</f>
        <v/>
      </c>
      <c r="V1432" s="48">
        <f>IF(OR($M1432="",$T1432=""),"",$T1432+(V$2*$M1432))</f>
        <v/>
      </c>
      <c r="W1432" s="48">
        <f>IF(OR($M1432="",$T1432=""),"",$T1432+(W$2*$M1432))</f>
        <v/>
      </c>
      <c r="X1432" s="49">
        <f>IF(OR($M1432="",$T1432=""),"",$T1432+(X$2*$M1432))</f>
        <v/>
      </c>
      <c r="Y1432" s="47">
        <f>IF(OR($M1432="",$T1432=""),"",$T1432+(Y$2*$M1432))</f>
        <v/>
      </c>
      <c r="Z1432" s="49">
        <f>IF(OR($M1432="",$T1432=""),"",$T1432+(Z$2*$M1432))</f>
        <v/>
      </c>
      <c r="AA1432" s="51">
        <f>IF(OR($M1432="",$T1432=""),"",$T1432+(AA$2*$M1432))</f>
        <v/>
      </c>
      <c r="AB1432" s="48">
        <f>IF(OR($M1432="",$T1432=""),"",$T1432+(AB$2*$M1432))</f>
        <v/>
      </c>
      <c r="AC1432" s="48">
        <f>IF(OR($M1432="",$T1432=""),"",$T1432+(AC$2*$M1432))</f>
        <v/>
      </c>
      <c r="AD1432" s="48">
        <f>IF(OR($M1432="",$T1432=""),"",$T1432+(AD$2*$M1432))</f>
        <v/>
      </c>
      <c r="AE1432" s="49">
        <f>IF(OR($M1432="",$T1432=""),"",$T1432+(AE$2*$M1432))</f>
        <v/>
      </c>
      <c r="AF1432" s="52">
        <f>IF(OR(T1432="",I1432&lt;T1432),"",IFERROR(AVERAGE(T1432+M1432*{7,8,9,10,11})/IF(G1432="",I1432,G1432)-1,""))</f>
        <v/>
      </c>
      <c r="AG1432" s="55">
        <f>IF(OR(T1432="",I1432&lt;T1432),"",IFERROR(AF1432/-(R1432/IF(G1432="",I1432,G1432)-1),""))</f>
        <v/>
      </c>
      <c r="AH1432" s="94" t="n"/>
      <c r="AI1432" s="94" t="n"/>
      <c r="AJ1432" s="94" t="n"/>
      <c r="AK1432" s="94" t="n"/>
      <c r="AL1432" s="84" t="n"/>
    </row>
    <row r="1433">
      <c r="A1433" s="64" t="n"/>
      <c r="B1433" s="65" t="n"/>
      <c r="C1433" s="66" t="n"/>
      <c r="D1433" s="67" t="n"/>
      <c r="E1433" s="68" t="n"/>
      <c r="F1433" s="47">
        <f>IF(A1433="","",IF(MIN(H1433,MAX(J1433:K1433))=0,"",MIN(H1433,MAX(J1433:K1433))))</f>
        <v/>
      </c>
      <c r="G1433" s="74" t="n"/>
      <c r="H1433" s="49">
        <f>IF(M1433="","",IFERROR(ROUND(AVERAGE(T1433+M1433*{7,8,9,10,11})/1.21,4),""))</f>
        <v/>
      </c>
      <c r="I1433" s="76" t="n"/>
      <c r="J1433" s="77" t="n"/>
      <c r="K1433" s="74" t="n"/>
      <c r="L1433" s="78" t="n"/>
      <c r="M1433" s="77" t="n"/>
      <c r="N1433" s="53">
        <f>IF(M1433="","",IFERROR(M1433/I1433,""))</f>
        <v/>
      </c>
      <c r="O1433" s="50">
        <f>IF(A1433="","",IFERROR((IF(G1433="",I1433,G1433)-T1433)/M1433,""))</f>
        <v/>
      </c>
      <c r="P1433" s="50">
        <f>IFERROR((I1433/T1433-1)/N1433,"")</f>
        <v/>
      </c>
      <c r="Q1433" s="46">
        <f>IF(OR(T1433="",I1433&lt;T1433),"",IFERROR(R1433/IF(G1433="",I1433,G1433)-1,""))</f>
        <v/>
      </c>
      <c r="R1433" s="48">
        <f>IF($M1433="","",MAX(IF($G1433="",$I1433,$G1433)*(1/1.1),IF($G1433="",$I1433,$G1433)+(R$2*$M1433)))</f>
        <v/>
      </c>
      <c r="S1433" s="49">
        <f>IF($M1433="","",MAX(IF($G1433="",$I1433,$G1433)*(1/1.1),IF($G1433="",$I1433,$G1433)+(S$2*$M1433)))</f>
        <v/>
      </c>
      <c r="T1433" s="82" t="n"/>
      <c r="U1433" s="47">
        <f>IF(OR($M1433="",$T1433=""),"",$T1433+(U$2*$M1433))</f>
        <v/>
      </c>
      <c r="V1433" s="48">
        <f>IF(OR($M1433="",$T1433=""),"",$T1433+(V$2*$M1433))</f>
        <v/>
      </c>
      <c r="W1433" s="48">
        <f>IF(OR($M1433="",$T1433=""),"",$T1433+(W$2*$M1433))</f>
        <v/>
      </c>
      <c r="X1433" s="49">
        <f>IF(OR($M1433="",$T1433=""),"",$T1433+(X$2*$M1433))</f>
        <v/>
      </c>
      <c r="Y1433" s="47">
        <f>IF(OR($M1433="",$T1433=""),"",$T1433+(Y$2*$M1433))</f>
        <v/>
      </c>
      <c r="Z1433" s="49">
        <f>IF(OR($M1433="",$T1433=""),"",$T1433+(Z$2*$M1433))</f>
        <v/>
      </c>
      <c r="AA1433" s="51">
        <f>IF(OR($M1433="",$T1433=""),"",$T1433+(AA$2*$M1433))</f>
        <v/>
      </c>
      <c r="AB1433" s="48">
        <f>IF(OR($M1433="",$T1433=""),"",$T1433+(AB$2*$M1433))</f>
        <v/>
      </c>
      <c r="AC1433" s="48">
        <f>IF(OR($M1433="",$T1433=""),"",$T1433+(AC$2*$M1433))</f>
        <v/>
      </c>
      <c r="AD1433" s="48">
        <f>IF(OR($M1433="",$T1433=""),"",$T1433+(AD$2*$M1433))</f>
        <v/>
      </c>
      <c r="AE1433" s="49">
        <f>IF(OR($M1433="",$T1433=""),"",$T1433+(AE$2*$M1433))</f>
        <v/>
      </c>
      <c r="AF1433" s="52">
        <f>IF(OR(T1433="",I1433&lt;T1433),"",IFERROR(AVERAGE(T1433+M1433*{7,8,9,10,11})/IF(G1433="",I1433,G1433)-1,""))</f>
        <v/>
      </c>
      <c r="AG1433" s="55">
        <f>IF(OR(T1433="",I1433&lt;T1433),"",IFERROR(AF1433/-(R1433/IF(G1433="",I1433,G1433)-1),""))</f>
        <v/>
      </c>
      <c r="AH1433" s="94" t="n"/>
      <c r="AI1433" s="94" t="n"/>
      <c r="AJ1433" s="94" t="n"/>
      <c r="AK1433" s="94" t="n"/>
      <c r="AL1433" s="84" t="n"/>
    </row>
    <row r="1434">
      <c r="A1434" s="64" t="n"/>
      <c r="B1434" s="65" t="n"/>
      <c r="C1434" s="66" t="n"/>
      <c r="D1434" s="67" t="n"/>
      <c r="E1434" s="68" t="n"/>
      <c r="F1434" s="47">
        <f>IF(A1434="","",IF(MIN(H1434,MAX(J1434:K1434))=0,"",MIN(H1434,MAX(J1434:K1434))))</f>
        <v/>
      </c>
      <c r="G1434" s="74" t="n"/>
      <c r="H1434" s="49">
        <f>IF(M1434="","",IFERROR(ROUND(AVERAGE(T1434+M1434*{7,8,9,10,11})/1.21,4),""))</f>
        <v/>
      </c>
      <c r="I1434" s="76" t="n"/>
      <c r="J1434" s="77" t="n"/>
      <c r="K1434" s="74" t="n"/>
      <c r="L1434" s="78" t="n"/>
      <c r="M1434" s="77" t="n"/>
      <c r="N1434" s="53">
        <f>IF(M1434="","",IFERROR(M1434/I1434,""))</f>
        <v/>
      </c>
      <c r="O1434" s="50">
        <f>IF(A1434="","",IFERROR((IF(G1434="",I1434,G1434)-T1434)/M1434,""))</f>
        <v/>
      </c>
      <c r="P1434" s="50">
        <f>IFERROR((I1434/T1434-1)/N1434,"")</f>
        <v/>
      </c>
      <c r="Q1434" s="46">
        <f>IF(OR(T1434="",I1434&lt;T1434),"",IFERROR(R1434/IF(G1434="",I1434,G1434)-1,""))</f>
        <v/>
      </c>
      <c r="R1434" s="48">
        <f>IF($M1434="","",MAX(IF($G1434="",$I1434,$G1434)*(1/1.1),IF($G1434="",$I1434,$G1434)+(R$2*$M1434)))</f>
        <v/>
      </c>
      <c r="S1434" s="49">
        <f>IF($M1434="","",MAX(IF($G1434="",$I1434,$G1434)*(1/1.1),IF($G1434="",$I1434,$G1434)+(S$2*$M1434)))</f>
        <v/>
      </c>
      <c r="T1434" s="82" t="n"/>
      <c r="U1434" s="47">
        <f>IF(OR($M1434="",$T1434=""),"",$T1434+(U$2*$M1434))</f>
        <v/>
      </c>
      <c r="V1434" s="48">
        <f>IF(OR($M1434="",$T1434=""),"",$T1434+(V$2*$M1434))</f>
        <v/>
      </c>
      <c r="W1434" s="48">
        <f>IF(OR($M1434="",$T1434=""),"",$T1434+(W$2*$M1434))</f>
        <v/>
      </c>
      <c r="X1434" s="49">
        <f>IF(OR($M1434="",$T1434=""),"",$T1434+(X$2*$M1434))</f>
        <v/>
      </c>
      <c r="Y1434" s="47">
        <f>IF(OR($M1434="",$T1434=""),"",$T1434+(Y$2*$M1434))</f>
        <v/>
      </c>
      <c r="Z1434" s="49">
        <f>IF(OR($M1434="",$T1434=""),"",$T1434+(Z$2*$M1434))</f>
        <v/>
      </c>
      <c r="AA1434" s="51">
        <f>IF(OR($M1434="",$T1434=""),"",$T1434+(AA$2*$M1434))</f>
        <v/>
      </c>
      <c r="AB1434" s="48">
        <f>IF(OR($M1434="",$T1434=""),"",$T1434+(AB$2*$M1434))</f>
        <v/>
      </c>
      <c r="AC1434" s="48">
        <f>IF(OR($M1434="",$T1434=""),"",$T1434+(AC$2*$M1434))</f>
        <v/>
      </c>
      <c r="AD1434" s="48">
        <f>IF(OR($M1434="",$T1434=""),"",$T1434+(AD$2*$M1434))</f>
        <v/>
      </c>
      <c r="AE1434" s="49">
        <f>IF(OR($M1434="",$T1434=""),"",$T1434+(AE$2*$M1434))</f>
        <v/>
      </c>
      <c r="AF1434" s="52">
        <f>IF(OR(T1434="",I1434&lt;T1434),"",IFERROR(AVERAGE(T1434+M1434*{7,8,9,10,11})/IF(G1434="",I1434,G1434)-1,""))</f>
        <v/>
      </c>
      <c r="AG1434" s="55">
        <f>IF(OR(T1434="",I1434&lt;T1434),"",IFERROR(AF1434/-(R1434/IF(G1434="",I1434,G1434)-1),""))</f>
        <v/>
      </c>
      <c r="AH1434" s="94" t="n"/>
      <c r="AI1434" s="94" t="n"/>
      <c r="AJ1434" s="94" t="n"/>
      <c r="AK1434" s="94" t="n"/>
      <c r="AL1434" s="84" t="n"/>
    </row>
    <row r="1435">
      <c r="A1435" s="64" t="n"/>
      <c r="B1435" s="65" t="n"/>
      <c r="C1435" s="66" t="n"/>
      <c r="D1435" s="67" t="n"/>
      <c r="E1435" s="68" t="n"/>
      <c r="F1435" s="47">
        <f>IF(A1435="","",IF(MIN(H1435,MAX(J1435:K1435))=0,"",MIN(H1435,MAX(J1435:K1435))))</f>
        <v/>
      </c>
      <c r="G1435" s="74" t="n"/>
      <c r="H1435" s="49">
        <f>IF(M1435="","",IFERROR(ROUND(AVERAGE(T1435+M1435*{7,8,9,10,11})/1.21,4),""))</f>
        <v/>
      </c>
      <c r="I1435" s="76" t="n"/>
      <c r="J1435" s="77" t="n"/>
      <c r="K1435" s="74" t="n"/>
      <c r="L1435" s="78" t="n"/>
      <c r="M1435" s="77" t="n"/>
      <c r="N1435" s="53">
        <f>IF(M1435="","",IFERROR(M1435/I1435,""))</f>
        <v/>
      </c>
      <c r="O1435" s="50">
        <f>IF(A1435="","",IFERROR((IF(G1435="",I1435,G1435)-T1435)/M1435,""))</f>
        <v/>
      </c>
      <c r="P1435" s="50">
        <f>IFERROR((I1435/T1435-1)/N1435,"")</f>
        <v/>
      </c>
      <c r="Q1435" s="46">
        <f>IF(OR(T1435="",I1435&lt;T1435),"",IFERROR(R1435/IF(G1435="",I1435,G1435)-1,""))</f>
        <v/>
      </c>
      <c r="R1435" s="48">
        <f>IF($M1435="","",MAX(IF($G1435="",$I1435,$G1435)*(1/1.1),IF($G1435="",$I1435,$G1435)+(R$2*$M1435)))</f>
        <v/>
      </c>
      <c r="S1435" s="49">
        <f>IF($M1435="","",MAX(IF($G1435="",$I1435,$G1435)*(1/1.1),IF($G1435="",$I1435,$G1435)+(S$2*$M1435)))</f>
        <v/>
      </c>
      <c r="T1435" s="82" t="n"/>
      <c r="U1435" s="47">
        <f>IF(OR($M1435="",$T1435=""),"",$T1435+(U$2*$M1435))</f>
        <v/>
      </c>
      <c r="V1435" s="48">
        <f>IF(OR($M1435="",$T1435=""),"",$T1435+(V$2*$M1435))</f>
        <v/>
      </c>
      <c r="W1435" s="48">
        <f>IF(OR($M1435="",$T1435=""),"",$T1435+(W$2*$M1435))</f>
        <v/>
      </c>
      <c r="X1435" s="49">
        <f>IF(OR($M1435="",$T1435=""),"",$T1435+(X$2*$M1435))</f>
        <v/>
      </c>
      <c r="Y1435" s="47">
        <f>IF(OR($M1435="",$T1435=""),"",$T1435+(Y$2*$M1435))</f>
        <v/>
      </c>
      <c r="Z1435" s="49">
        <f>IF(OR($M1435="",$T1435=""),"",$T1435+(Z$2*$M1435))</f>
        <v/>
      </c>
      <c r="AA1435" s="51">
        <f>IF(OR($M1435="",$T1435=""),"",$T1435+(AA$2*$M1435))</f>
        <v/>
      </c>
      <c r="AB1435" s="48">
        <f>IF(OR($M1435="",$T1435=""),"",$T1435+(AB$2*$M1435))</f>
        <v/>
      </c>
      <c r="AC1435" s="48">
        <f>IF(OR($M1435="",$T1435=""),"",$T1435+(AC$2*$M1435))</f>
        <v/>
      </c>
      <c r="AD1435" s="48">
        <f>IF(OR($M1435="",$T1435=""),"",$T1435+(AD$2*$M1435))</f>
        <v/>
      </c>
      <c r="AE1435" s="49">
        <f>IF(OR($M1435="",$T1435=""),"",$T1435+(AE$2*$M1435))</f>
        <v/>
      </c>
      <c r="AF1435" s="52">
        <f>IF(OR(T1435="",I1435&lt;T1435),"",IFERROR(AVERAGE(T1435+M1435*{7,8,9,10,11})/IF(G1435="",I1435,G1435)-1,""))</f>
        <v/>
      </c>
      <c r="AG1435" s="55">
        <f>IF(OR(T1435="",I1435&lt;T1435),"",IFERROR(AF1435/-(R1435/IF(G1435="",I1435,G1435)-1),""))</f>
        <v/>
      </c>
      <c r="AH1435" s="94" t="n"/>
      <c r="AI1435" s="94" t="n"/>
      <c r="AJ1435" s="94" t="n"/>
      <c r="AK1435" s="94" t="n"/>
      <c r="AL1435" s="84" t="n"/>
    </row>
    <row r="1436">
      <c r="A1436" s="64" t="n"/>
      <c r="B1436" s="65" t="n"/>
      <c r="C1436" s="66" t="n"/>
      <c r="D1436" s="67" t="n"/>
      <c r="E1436" s="68" t="n"/>
      <c r="F1436" s="47">
        <f>IF(A1436="","",IF(MIN(H1436,MAX(J1436:K1436))=0,"",MIN(H1436,MAX(J1436:K1436))))</f>
        <v/>
      </c>
      <c r="G1436" s="74" t="n"/>
      <c r="H1436" s="49">
        <f>IF(M1436="","",IFERROR(ROUND(AVERAGE(T1436+M1436*{7,8,9,10,11})/1.21,4),""))</f>
        <v/>
      </c>
      <c r="I1436" s="76" t="n"/>
      <c r="J1436" s="77" t="n"/>
      <c r="K1436" s="74" t="n"/>
      <c r="L1436" s="78" t="n"/>
      <c r="M1436" s="77" t="n"/>
      <c r="N1436" s="53">
        <f>IF(M1436="","",IFERROR(M1436/I1436,""))</f>
        <v/>
      </c>
      <c r="O1436" s="50">
        <f>IF(A1436="","",IFERROR((IF(G1436="",I1436,G1436)-T1436)/M1436,""))</f>
        <v/>
      </c>
      <c r="P1436" s="50">
        <f>IFERROR((I1436/T1436-1)/N1436,"")</f>
        <v/>
      </c>
      <c r="Q1436" s="46">
        <f>IF(OR(T1436="",I1436&lt;T1436),"",IFERROR(R1436/IF(G1436="",I1436,G1436)-1,""))</f>
        <v/>
      </c>
      <c r="R1436" s="48">
        <f>IF($M1436="","",MAX(IF($G1436="",$I1436,$G1436)*(1/1.1),IF($G1436="",$I1436,$G1436)+(R$2*$M1436)))</f>
        <v/>
      </c>
      <c r="S1436" s="49">
        <f>IF($M1436="","",MAX(IF($G1436="",$I1436,$G1436)*(1/1.1),IF($G1436="",$I1436,$G1436)+(S$2*$M1436)))</f>
        <v/>
      </c>
      <c r="T1436" s="82" t="n"/>
      <c r="U1436" s="47">
        <f>IF(OR($M1436="",$T1436=""),"",$T1436+(U$2*$M1436))</f>
        <v/>
      </c>
      <c r="V1436" s="48">
        <f>IF(OR($M1436="",$T1436=""),"",$T1436+(V$2*$M1436))</f>
        <v/>
      </c>
      <c r="W1436" s="48">
        <f>IF(OR($M1436="",$T1436=""),"",$T1436+(W$2*$M1436))</f>
        <v/>
      </c>
      <c r="X1436" s="49">
        <f>IF(OR($M1436="",$T1436=""),"",$T1436+(X$2*$M1436))</f>
        <v/>
      </c>
      <c r="Y1436" s="47">
        <f>IF(OR($M1436="",$T1436=""),"",$T1436+(Y$2*$M1436))</f>
        <v/>
      </c>
      <c r="Z1436" s="49">
        <f>IF(OR($M1436="",$T1436=""),"",$T1436+(Z$2*$M1436))</f>
        <v/>
      </c>
      <c r="AA1436" s="51">
        <f>IF(OR($M1436="",$T1436=""),"",$T1436+(AA$2*$M1436))</f>
        <v/>
      </c>
      <c r="AB1436" s="48">
        <f>IF(OR($M1436="",$T1436=""),"",$T1436+(AB$2*$M1436))</f>
        <v/>
      </c>
      <c r="AC1436" s="48">
        <f>IF(OR($M1436="",$T1436=""),"",$T1436+(AC$2*$M1436))</f>
        <v/>
      </c>
      <c r="AD1436" s="48">
        <f>IF(OR($M1436="",$T1436=""),"",$T1436+(AD$2*$M1436))</f>
        <v/>
      </c>
      <c r="AE1436" s="49">
        <f>IF(OR($M1436="",$T1436=""),"",$T1436+(AE$2*$M1436))</f>
        <v/>
      </c>
      <c r="AF1436" s="52">
        <f>IF(OR(T1436="",I1436&lt;T1436),"",IFERROR(AVERAGE(T1436+M1436*{7,8,9,10,11})/IF(G1436="",I1436,G1436)-1,""))</f>
        <v/>
      </c>
      <c r="AG1436" s="55">
        <f>IF(OR(T1436="",I1436&lt;T1436),"",IFERROR(AF1436/-(R1436/IF(G1436="",I1436,G1436)-1),""))</f>
        <v/>
      </c>
      <c r="AH1436" s="94" t="n"/>
      <c r="AI1436" s="94" t="n"/>
      <c r="AJ1436" s="94" t="n"/>
      <c r="AK1436" s="94" t="n"/>
      <c r="AL1436" s="84" t="n"/>
    </row>
    <row r="1437">
      <c r="A1437" s="64" t="n"/>
      <c r="B1437" s="65" t="n"/>
      <c r="C1437" s="66" t="n"/>
      <c r="D1437" s="67" t="n"/>
      <c r="E1437" s="68" t="n"/>
      <c r="F1437" s="47">
        <f>IF(A1437="","",IF(MIN(H1437,MAX(J1437:K1437))=0,"",MIN(H1437,MAX(J1437:K1437))))</f>
        <v/>
      </c>
      <c r="G1437" s="74" t="n"/>
      <c r="H1437" s="49">
        <f>IF(M1437="","",IFERROR(ROUND(AVERAGE(T1437+M1437*{7,8,9,10,11})/1.21,4),""))</f>
        <v/>
      </c>
      <c r="I1437" s="76" t="n"/>
      <c r="J1437" s="77" t="n"/>
      <c r="K1437" s="74" t="n"/>
      <c r="L1437" s="78" t="n"/>
      <c r="M1437" s="77" t="n"/>
      <c r="N1437" s="53">
        <f>IF(M1437="","",IFERROR(M1437/I1437,""))</f>
        <v/>
      </c>
      <c r="O1437" s="50">
        <f>IF(A1437="","",IFERROR((IF(G1437="",I1437,G1437)-T1437)/M1437,""))</f>
        <v/>
      </c>
      <c r="P1437" s="50">
        <f>IFERROR((I1437/T1437-1)/N1437,"")</f>
        <v/>
      </c>
      <c r="Q1437" s="46">
        <f>IF(OR(T1437="",I1437&lt;T1437),"",IFERROR(R1437/IF(G1437="",I1437,G1437)-1,""))</f>
        <v/>
      </c>
      <c r="R1437" s="48">
        <f>IF($M1437="","",MAX(IF($G1437="",$I1437,$G1437)*(1/1.1),IF($G1437="",$I1437,$G1437)+(R$2*$M1437)))</f>
        <v/>
      </c>
      <c r="S1437" s="49">
        <f>IF($M1437="","",MAX(IF($G1437="",$I1437,$G1437)*(1/1.1),IF($G1437="",$I1437,$G1437)+(S$2*$M1437)))</f>
        <v/>
      </c>
      <c r="T1437" s="82" t="n"/>
      <c r="U1437" s="47">
        <f>IF(OR($M1437="",$T1437=""),"",$T1437+(U$2*$M1437))</f>
        <v/>
      </c>
      <c r="V1437" s="48">
        <f>IF(OR($M1437="",$T1437=""),"",$T1437+(V$2*$M1437))</f>
        <v/>
      </c>
      <c r="W1437" s="48">
        <f>IF(OR($M1437="",$T1437=""),"",$T1437+(W$2*$M1437))</f>
        <v/>
      </c>
      <c r="X1437" s="49">
        <f>IF(OR($M1437="",$T1437=""),"",$T1437+(X$2*$M1437))</f>
        <v/>
      </c>
      <c r="Y1437" s="47">
        <f>IF(OR($M1437="",$T1437=""),"",$T1437+(Y$2*$M1437))</f>
        <v/>
      </c>
      <c r="Z1437" s="49">
        <f>IF(OR($M1437="",$T1437=""),"",$T1437+(Z$2*$M1437))</f>
        <v/>
      </c>
      <c r="AA1437" s="51">
        <f>IF(OR($M1437="",$T1437=""),"",$T1437+(AA$2*$M1437))</f>
        <v/>
      </c>
      <c r="AB1437" s="48">
        <f>IF(OR($M1437="",$T1437=""),"",$T1437+(AB$2*$M1437))</f>
        <v/>
      </c>
      <c r="AC1437" s="48">
        <f>IF(OR($M1437="",$T1437=""),"",$T1437+(AC$2*$M1437))</f>
        <v/>
      </c>
      <c r="AD1437" s="48">
        <f>IF(OR($M1437="",$T1437=""),"",$T1437+(AD$2*$M1437))</f>
        <v/>
      </c>
      <c r="AE1437" s="49">
        <f>IF(OR($M1437="",$T1437=""),"",$T1437+(AE$2*$M1437))</f>
        <v/>
      </c>
      <c r="AF1437" s="52">
        <f>IF(OR(T1437="",I1437&lt;T1437),"",IFERROR(AVERAGE(T1437+M1437*{7,8,9,10,11})/IF(G1437="",I1437,G1437)-1,""))</f>
        <v/>
      </c>
      <c r="AG1437" s="55">
        <f>IF(OR(T1437="",I1437&lt;T1437),"",IFERROR(AF1437/-(R1437/IF(G1437="",I1437,G1437)-1),""))</f>
        <v/>
      </c>
      <c r="AH1437" s="94" t="n"/>
      <c r="AI1437" s="94" t="n"/>
      <c r="AJ1437" s="94" t="n"/>
      <c r="AK1437" s="94" t="n"/>
      <c r="AL1437" s="84" t="n"/>
    </row>
    <row r="1438">
      <c r="A1438" s="64" t="n"/>
      <c r="B1438" s="65" t="n"/>
      <c r="C1438" s="66" t="n"/>
      <c r="D1438" s="67" t="n"/>
      <c r="E1438" s="68" t="n"/>
      <c r="F1438" s="47">
        <f>IF(A1438="","",IF(MIN(H1438,MAX(J1438:K1438))=0,"",MIN(H1438,MAX(J1438:K1438))))</f>
        <v/>
      </c>
      <c r="G1438" s="74" t="n"/>
      <c r="H1438" s="49">
        <f>IF(M1438="","",IFERROR(ROUND(AVERAGE(T1438+M1438*{7,8,9,10,11})/1.21,4),""))</f>
        <v/>
      </c>
      <c r="I1438" s="76" t="n"/>
      <c r="J1438" s="77" t="n"/>
      <c r="K1438" s="74" t="n"/>
      <c r="L1438" s="78" t="n"/>
      <c r="M1438" s="77" t="n"/>
      <c r="N1438" s="53">
        <f>IF(M1438="","",IFERROR(M1438/I1438,""))</f>
        <v/>
      </c>
      <c r="O1438" s="50">
        <f>IF(A1438="","",IFERROR((IF(G1438="",I1438,G1438)-T1438)/M1438,""))</f>
        <v/>
      </c>
      <c r="P1438" s="50">
        <f>IFERROR((I1438/T1438-1)/N1438,"")</f>
        <v/>
      </c>
      <c r="Q1438" s="46">
        <f>IF(OR(T1438="",I1438&lt;T1438),"",IFERROR(R1438/IF(G1438="",I1438,G1438)-1,""))</f>
        <v/>
      </c>
      <c r="R1438" s="48">
        <f>IF($M1438="","",MAX(IF($G1438="",$I1438,$G1438)*(1/1.1),IF($G1438="",$I1438,$G1438)+(R$2*$M1438)))</f>
        <v/>
      </c>
      <c r="S1438" s="49">
        <f>IF($M1438="","",MAX(IF($G1438="",$I1438,$G1438)*(1/1.1),IF($G1438="",$I1438,$G1438)+(S$2*$M1438)))</f>
        <v/>
      </c>
      <c r="T1438" s="82" t="n"/>
      <c r="U1438" s="47">
        <f>IF(OR($M1438="",$T1438=""),"",$T1438+(U$2*$M1438))</f>
        <v/>
      </c>
      <c r="V1438" s="48">
        <f>IF(OR($M1438="",$T1438=""),"",$T1438+(V$2*$M1438))</f>
        <v/>
      </c>
      <c r="W1438" s="48">
        <f>IF(OR($M1438="",$T1438=""),"",$T1438+(W$2*$M1438))</f>
        <v/>
      </c>
      <c r="X1438" s="49">
        <f>IF(OR($M1438="",$T1438=""),"",$T1438+(X$2*$M1438))</f>
        <v/>
      </c>
      <c r="Y1438" s="47">
        <f>IF(OR($M1438="",$T1438=""),"",$T1438+(Y$2*$M1438))</f>
        <v/>
      </c>
      <c r="Z1438" s="49">
        <f>IF(OR($M1438="",$T1438=""),"",$T1438+(Z$2*$M1438))</f>
        <v/>
      </c>
      <c r="AA1438" s="51">
        <f>IF(OR($M1438="",$T1438=""),"",$T1438+(AA$2*$M1438))</f>
        <v/>
      </c>
      <c r="AB1438" s="48">
        <f>IF(OR($M1438="",$T1438=""),"",$T1438+(AB$2*$M1438))</f>
        <v/>
      </c>
      <c r="AC1438" s="48">
        <f>IF(OR($M1438="",$T1438=""),"",$T1438+(AC$2*$M1438))</f>
        <v/>
      </c>
      <c r="AD1438" s="48">
        <f>IF(OR($M1438="",$T1438=""),"",$T1438+(AD$2*$M1438))</f>
        <v/>
      </c>
      <c r="AE1438" s="49">
        <f>IF(OR($M1438="",$T1438=""),"",$T1438+(AE$2*$M1438))</f>
        <v/>
      </c>
      <c r="AF1438" s="52">
        <f>IF(OR(T1438="",I1438&lt;T1438),"",IFERROR(AVERAGE(T1438+M1438*{7,8,9,10,11})/IF(G1438="",I1438,G1438)-1,""))</f>
        <v/>
      </c>
      <c r="AG1438" s="55">
        <f>IF(OR(T1438="",I1438&lt;T1438),"",IFERROR(AF1438/-(R1438/IF(G1438="",I1438,G1438)-1),""))</f>
        <v/>
      </c>
      <c r="AH1438" s="94" t="n"/>
      <c r="AI1438" s="94" t="n"/>
      <c r="AJ1438" s="94" t="n"/>
      <c r="AK1438" s="94" t="n"/>
      <c r="AL1438" s="84" t="n"/>
    </row>
    <row r="1439">
      <c r="A1439" s="64" t="n"/>
      <c r="B1439" s="65" t="n"/>
      <c r="C1439" s="66" t="n"/>
      <c r="D1439" s="67" t="n"/>
      <c r="E1439" s="68" t="n"/>
      <c r="F1439" s="47">
        <f>IF(A1439="","",IF(MIN(H1439,MAX(J1439:K1439))=0,"",MIN(H1439,MAX(J1439:K1439))))</f>
        <v/>
      </c>
      <c r="G1439" s="74" t="n"/>
      <c r="H1439" s="49">
        <f>IF(M1439="","",IFERROR(ROUND(AVERAGE(T1439+M1439*{7,8,9,10,11})/1.21,4),""))</f>
        <v/>
      </c>
      <c r="I1439" s="76" t="n"/>
      <c r="J1439" s="77" t="n"/>
      <c r="K1439" s="74" t="n"/>
      <c r="L1439" s="78" t="n"/>
      <c r="M1439" s="77" t="n"/>
      <c r="N1439" s="53">
        <f>IF(M1439="","",IFERROR(M1439/I1439,""))</f>
        <v/>
      </c>
      <c r="O1439" s="50">
        <f>IF(A1439="","",IFERROR((IF(G1439="",I1439,G1439)-T1439)/M1439,""))</f>
        <v/>
      </c>
      <c r="P1439" s="50">
        <f>IFERROR((I1439/T1439-1)/N1439,"")</f>
        <v/>
      </c>
      <c r="Q1439" s="46">
        <f>IF(OR(T1439="",I1439&lt;T1439),"",IFERROR(R1439/IF(G1439="",I1439,G1439)-1,""))</f>
        <v/>
      </c>
      <c r="R1439" s="48">
        <f>IF($M1439="","",MAX(IF($G1439="",$I1439,$G1439)*(1/1.1),IF($G1439="",$I1439,$G1439)+(R$2*$M1439)))</f>
        <v/>
      </c>
      <c r="S1439" s="49">
        <f>IF($M1439="","",MAX(IF($G1439="",$I1439,$G1439)*(1/1.1),IF($G1439="",$I1439,$G1439)+(S$2*$M1439)))</f>
        <v/>
      </c>
      <c r="T1439" s="82" t="n"/>
      <c r="U1439" s="47">
        <f>IF(OR($M1439="",$T1439=""),"",$T1439+(U$2*$M1439))</f>
        <v/>
      </c>
      <c r="V1439" s="48">
        <f>IF(OR($M1439="",$T1439=""),"",$T1439+(V$2*$M1439))</f>
        <v/>
      </c>
      <c r="W1439" s="48">
        <f>IF(OR($M1439="",$T1439=""),"",$T1439+(W$2*$M1439))</f>
        <v/>
      </c>
      <c r="X1439" s="49">
        <f>IF(OR($M1439="",$T1439=""),"",$T1439+(X$2*$M1439))</f>
        <v/>
      </c>
      <c r="Y1439" s="47">
        <f>IF(OR($M1439="",$T1439=""),"",$T1439+(Y$2*$M1439))</f>
        <v/>
      </c>
      <c r="Z1439" s="49">
        <f>IF(OR($M1439="",$T1439=""),"",$T1439+(Z$2*$M1439))</f>
        <v/>
      </c>
      <c r="AA1439" s="51">
        <f>IF(OR($M1439="",$T1439=""),"",$T1439+(AA$2*$M1439))</f>
        <v/>
      </c>
      <c r="AB1439" s="48">
        <f>IF(OR($M1439="",$T1439=""),"",$T1439+(AB$2*$M1439))</f>
        <v/>
      </c>
      <c r="AC1439" s="48">
        <f>IF(OR($M1439="",$T1439=""),"",$T1439+(AC$2*$M1439))</f>
        <v/>
      </c>
      <c r="AD1439" s="48">
        <f>IF(OR($M1439="",$T1439=""),"",$T1439+(AD$2*$M1439))</f>
        <v/>
      </c>
      <c r="AE1439" s="49">
        <f>IF(OR($M1439="",$T1439=""),"",$T1439+(AE$2*$M1439))</f>
        <v/>
      </c>
      <c r="AF1439" s="52">
        <f>IF(OR(T1439="",I1439&lt;T1439),"",IFERROR(AVERAGE(T1439+M1439*{7,8,9,10,11})/IF(G1439="",I1439,G1439)-1,""))</f>
        <v/>
      </c>
      <c r="AG1439" s="55">
        <f>IF(OR(T1439="",I1439&lt;T1439),"",IFERROR(AF1439/-(R1439/IF(G1439="",I1439,G1439)-1),""))</f>
        <v/>
      </c>
      <c r="AH1439" s="94" t="n"/>
      <c r="AI1439" s="94" t="n"/>
      <c r="AJ1439" s="94" t="n"/>
      <c r="AK1439" s="94" t="n"/>
      <c r="AL1439" s="84" t="n"/>
    </row>
    <row r="1440">
      <c r="A1440" s="64" t="n"/>
      <c r="B1440" s="65" t="n"/>
      <c r="C1440" s="66" t="n"/>
      <c r="D1440" s="67" t="n"/>
      <c r="E1440" s="68" t="n"/>
      <c r="F1440" s="47">
        <f>IF(A1440="","",IF(MIN(H1440,MAX(J1440:K1440))=0,"",MIN(H1440,MAX(J1440:K1440))))</f>
        <v/>
      </c>
      <c r="G1440" s="74" t="n"/>
      <c r="H1440" s="49">
        <f>IF(M1440="","",IFERROR(ROUND(AVERAGE(T1440+M1440*{7,8,9,10,11})/1.21,4),""))</f>
        <v/>
      </c>
      <c r="I1440" s="76" t="n"/>
      <c r="J1440" s="77" t="n"/>
      <c r="K1440" s="74" t="n"/>
      <c r="L1440" s="78" t="n"/>
      <c r="M1440" s="77" t="n"/>
      <c r="N1440" s="53">
        <f>IF(M1440="","",IFERROR(M1440/I1440,""))</f>
        <v/>
      </c>
      <c r="O1440" s="50">
        <f>IF(A1440="","",IFERROR((IF(G1440="",I1440,G1440)-T1440)/M1440,""))</f>
        <v/>
      </c>
      <c r="P1440" s="50">
        <f>IFERROR((I1440/T1440-1)/N1440,"")</f>
        <v/>
      </c>
      <c r="Q1440" s="46">
        <f>IF(OR(T1440="",I1440&lt;T1440),"",IFERROR(R1440/IF(G1440="",I1440,G1440)-1,""))</f>
        <v/>
      </c>
      <c r="R1440" s="48">
        <f>IF($M1440="","",MAX(IF($G1440="",$I1440,$G1440)*(1/1.1),IF($G1440="",$I1440,$G1440)+(R$2*$M1440)))</f>
        <v/>
      </c>
      <c r="S1440" s="49">
        <f>IF($M1440="","",MAX(IF($G1440="",$I1440,$G1440)*(1/1.1),IF($G1440="",$I1440,$G1440)+(S$2*$M1440)))</f>
        <v/>
      </c>
      <c r="T1440" s="82" t="n"/>
      <c r="U1440" s="47">
        <f>IF(OR($M1440="",$T1440=""),"",$T1440+(U$2*$M1440))</f>
        <v/>
      </c>
      <c r="V1440" s="48">
        <f>IF(OR($M1440="",$T1440=""),"",$T1440+(V$2*$M1440))</f>
        <v/>
      </c>
      <c r="W1440" s="48">
        <f>IF(OR($M1440="",$T1440=""),"",$T1440+(W$2*$M1440))</f>
        <v/>
      </c>
      <c r="X1440" s="49">
        <f>IF(OR($M1440="",$T1440=""),"",$T1440+(X$2*$M1440))</f>
        <v/>
      </c>
      <c r="Y1440" s="47">
        <f>IF(OR($M1440="",$T1440=""),"",$T1440+(Y$2*$M1440))</f>
        <v/>
      </c>
      <c r="Z1440" s="49">
        <f>IF(OR($M1440="",$T1440=""),"",$T1440+(Z$2*$M1440))</f>
        <v/>
      </c>
      <c r="AA1440" s="51">
        <f>IF(OR($M1440="",$T1440=""),"",$T1440+(AA$2*$M1440))</f>
        <v/>
      </c>
      <c r="AB1440" s="48">
        <f>IF(OR($M1440="",$T1440=""),"",$T1440+(AB$2*$M1440))</f>
        <v/>
      </c>
      <c r="AC1440" s="48">
        <f>IF(OR($M1440="",$T1440=""),"",$T1440+(AC$2*$M1440))</f>
        <v/>
      </c>
      <c r="AD1440" s="48">
        <f>IF(OR($M1440="",$T1440=""),"",$T1440+(AD$2*$M1440))</f>
        <v/>
      </c>
      <c r="AE1440" s="49">
        <f>IF(OR($M1440="",$T1440=""),"",$T1440+(AE$2*$M1440))</f>
        <v/>
      </c>
      <c r="AF1440" s="52">
        <f>IF(OR(T1440="",I1440&lt;T1440),"",IFERROR(AVERAGE(T1440+M1440*{7,8,9,10,11})/IF(G1440="",I1440,G1440)-1,""))</f>
        <v/>
      </c>
      <c r="AG1440" s="55">
        <f>IF(OR(T1440="",I1440&lt;T1440),"",IFERROR(AF1440/-(R1440/IF(G1440="",I1440,G1440)-1),""))</f>
        <v/>
      </c>
      <c r="AH1440" s="94" t="n"/>
      <c r="AI1440" s="94" t="n"/>
      <c r="AJ1440" s="94" t="n"/>
      <c r="AK1440" s="94" t="n"/>
      <c r="AL1440" s="84" t="n"/>
    </row>
    <row r="1441">
      <c r="A1441" s="64" t="n"/>
      <c r="B1441" s="65" t="n"/>
      <c r="C1441" s="66" t="n"/>
      <c r="D1441" s="67" t="n"/>
      <c r="E1441" s="68" t="n"/>
      <c r="F1441" s="47">
        <f>IF(A1441="","",IF(MIN(H1441,MAX(J1441:K1441))=0,"",MIN(H1441,MAX(J1441:K1441))))</f>
        <v/>
      </c>
      <c r="G1441" s="74" t="n"/>
      <c r="H1441" s="49">
        <f>IF(M1441="","",IFERROR(ROUND(AVERAGE(T1441+M1441*{7,8,9,10,11})/1.21,4),""))</f>
        <v/>
      </c>
      <c r="I1441" s="76" t="n"/>
      <c r="J1441" s="77" t="n"/>
      <c r="K1441" s="74" t="n"/>
      <c r="L1441" s="78" t="n"/>
      <c r="M1441" s="77" t="n"/>
      <c r="N1441" s="53">
        <f>IF(M1441="","",IFERROR(M1441/I1441,""))</f>
        <v/>
      </c>
      <c r="O1441" s="50">
        <f>IF(A1441="","",IFERROR((IF(G1441="",I1441,G1441)-T1441)/M1441,""))</f>
        <v/>
      </c>
      <c r="P1441" s="50">
        <f>IFERROR((I1441/T1441-1)/N1441,"")</f>
        <v/>
      </c>
      <c r="Q1441" s="46">
        <f>IF(OR(T1441="",I1441&lt;T1441),"",IFERROR(R1441/IF(G1441="",I1441,G1441)-1,""))</f>
        <v/>
      </c>
      <c r="R1441" s="48">
        <f>IF($M1441="","",MAX(IF($G1441="",$I1441,$G1441)*(1/1.1),IF($G1441="",$I1441,$G1441)+(R$2*$M1441)))</f>
        <v/>
      </c>
      <c r="S1441" s="49">
        <f>IF($M1441="","",MAX(IF($G1441="",$I1441,$G1441)*(1/1.1),IF($G1441="",$I1441,$G1441)+(S$2*$M1441)))</f>
        <v/>
      </c>
      <c r="T1441" s="82" t="n"/>
      <c r="U1441" s="47">
        <f>IF(OR($M1441="",$T1441=""),"",$T1441+(U$2*$M1441))</f>
        <v/>
      </c>
      <c r="V1441" s="48">
        <f>IF(OR($M1441="",$T1441=""),"",$T1441+(V$2*$M1441))</f>
        <v/>
      </c>
      <c r="W1441" s="48">
        <f>IF(OR($M1441="",$T1441=""),"",$T1441+(W$2*$M1441))</f>
        <v/>
      </c>
      <c r="X1441" s="49">
        <f>IF(OR($M1441="",$T1441=""),"",$T1441+(X$2*$M1441))</f>
        <v/>
      </c>
      <c r="Y1441" s="47">
        <f>IF(OR($M1441="",$T1441=""),"",$T1441+(Y$2*$M1441))</f>
        <v/>
      </c>
      <c r="Z1441" s="49">
        <f>IF(OR($M1441="",$T1441=""),"",$T1441+(Z$2*$M1441))</f>
        <v/>
      </c>
      <c r="AA1441" s="51">
        <f>IF(OR($M1441="",$T1441=""),"",$T1441+(AA$2*$M1441))</f>
        <v/>
      </c>
      <c r="AB1441" s="48">
        <f>IF(OR($M1441="",$T1441=""),"",$T1441+(AB$2*$M1441))</f>
        <v/>
      </c>
      <c r="AC1441" s="48">
        <f>IF(OR($M1441="",$T1441=""),"",$T1441+(AC$2*$M1441))</f>
        <v/>
      </c>
      <c r="AD1441" s="48">
        <f>IF(OR($M1441="",$T1441=""),"",$T1441+(AD$2*$M1441))</f>
        <v/>
      </c>
      <c r="AE1441" s="49">
        <f>IF(OR($M1441="",$T1441=""),"",$T1441+(AE$2*$M1441))</f>
        <v/>
      </c>
      <c r="AF1441" s="52">
        <f>IF(OR(T1441="",I1441&lt;T1441),"",IFERROR(AVERAGE(T1441+M1441*{7,8,9,10,11})/IF(G1441="",I1441,G1441)-1,""))</f>
        <v/>
      </c>
      <c r="AG1441" s="55">
        <f>IF(OR(T1441="",I1441&lt;T1441),"",IFERROR(AF1441/-(R1441/IF(G1441="",I1441,G1441)-1),""))</f>
        <v/>
      </c>
      <c r="AH1441" s="94" t="n"/>
      <c r="AI1441" s="94" t="n"/>
      <c r="AJ1441" s="94" t="n"/>
      <c r="AK1441" s="94" t="n"/>
      <c r="AL1441" s="84" t="n"/>
    </row>
    <row r="1442">
      <c r="A1442" s="64" t="n"/>
      <c r="B1442" s="65" t="n"/>
      <c r="C1442" s="66" t="n"/>
      <c r="D1442" s="67" t="n"/>
      <c r="E1442" s="68" t="n"/>
      <c r="F1442" s="47">
        <f>IF(A1442="","",IF(MIN(H1442,MAX(J1442:K1442))=0,"",MIN(H1442,MAX(J1442:K1442))))</f>
        <v/>
      </c>
      <c r="G1442" s="74" t="n"/>
      <c r="H1442" s="49">
        <f>IF(M1442="","",IFERROR(ROUND(AVERAGE(T1442+M1442*{7,8,9,10,11})/1.21,4),""))</f>
        <v/>
      </c>
      <c r="I1442" s="76" t="n"/>
      <c r="J1442" s="77" t="n"/>
      <c r="K1442" s="74" t="n"/>
      <c r="L1442" s="78" t="n"/>
      <c r="M1442" s="77" t="n"/>
      <c r="N1442" s="53">
        <f>IF(M1442="","",IFERROR(M1442/I1442,""))</f>
        <v/>
      </c>
      <c r="O1442" s="50">
        <f>IF(A1442="","",IFERROR((IF(G1442="",I1442,G1442)-T1442)/M1442,""))</f>
        <v/>
      </c>
      <c r="P1442" s="50">
        <f>IFERROR((I1442/T1442-1)/N1442,"")</f>
        <v/>
      </c>
      <c r="Q1442" s="46">
        <f>IF(OR(T1442="",I1442&lt;T1442),"",IFERROR(R1442/IF(G1442="",I1442,G1442)-1,""))</f>
        <v/>
      </c>
      <c r="R1442" s="48">
        <f>IF($M1442="","",MAX(IF($G1442="",$I1442,$G1442)*(1/1.1),IF($G1442="",$I1442,$G1442)+(R$2*$M1442)))</f>
        <v/>
      </c>
      <c r="S1442" s="49">
        <f>IF($M1442="","",MAX(IF($G1442="",$I1442,$G1442)*(1/1.1),IF($G1442="",$I1442,$G1442)+(S$2*$M1442)))</f>
        <v/>
      </c>
      <c r="T1442" s="82" t="n"/>
      <c r="U1442" s="47">
        <f>IF(OR($M1442="",$T1442=""),"",$T1442+(U$2*$M1442))</f>
        <v/>
      </c>
      <c r="V1442" s="48">
        <f>IF(OR($M1442="",$T1442=""),"",$T1442+(V$2*$M1442))</f>
        <v/>
      </c>
      <c r="W1442" s="48">
        <f>IF(OR($M1442="",$T1442=""),"",$T1442+(W$2*$M1442))</f>
        <v/>
      </c>
      <c r="X1442" s="49">
        <f>IF(OR($M1442="",$T1442=""),"",$T1442+(X$2*$M1442))</f>
        <v/>
      </c>
      <c r="Y1442" s="47">
        <f>IF(OR($M1442="",$T1442=""),"",$T1442+(Y$2*$M1442))</f>
        <v/>
      </c>
      <c r="Z1442" s="49">
        <f>IF(OR($M1442="",$T1442=""),"",$T1442+(Z$2*$M1442))</f>
        <v/>
      </c>
      <c r="AA1442" s="51">
        <f>IF(OR($M1442="",$T1442=""),"",$T1442+(AA$2*$M1442))</f>
        <v/>
      </c>
      <c r="AB1442" s="48">
        <f>IF(OR($M1442="",$T1442=""),"",$T1442+(AB$2*$M1442))</f>
        <v/>
      </c>
      <c r="AC1442" s="48">
        <f>IF(OR($M1442="",$T1442=""),"",$T1442+(AC$2*$M1442))</f>
        <v/>
      </c>
      <c r="AD1442" s="48">
        <f>IF(OR($M1442="",$T1442=""),"",$T1442+(AD$2*$M1442))</f>
        <v/>
      </c>
      <c r="AE1442" s="49">
        <f>IF(OR($M1442="",$T1442=""),"",$T1442+(AE$2*$M1442))</f>
        <v/>
      </c>
      <c r="AF1442" s="52">
        <f>IF(OR(T1442="",I1442&lt;T1442),"",IFERROR(AVERAGE(T1442+M1442*{7,8,9,10,11})/IF(G1442="",I1442,G1442)-1,""))</f>
        <v/>
      </c>
      <c r="AG1442" s="55">
        <f>IF(OR(T1442="",I1442&lt;T1442),"",IFERROR(AF1442/-(R1442/IF(G1442="",I1442,G1442)-1),""))</f>
        <v/>
      </c>
      <c r="AH1442" s="94" t="n"/>
      <c r="AI1442" s="94" t="n"/>
      <c r="AJ1442" s="94" t="n"/>
      <c r="AK1442" s="94" t="n"/>
      <c r="AL1442" s="84" t="n"/>
    </row>
    <row r="1443">
      <c r="A1443" s="64" t="n"/>
      <c r="B1443" s="65" t="n"/>
      <c r="C1443" s="66" t="n"/>
      <c r="D1443" s="67" t="n"/>
      <c r="E1443" s="68" t="n"/>
      <c r="F1443" s="47">
        <f>IF(A1443="","",IF(MIN(H1443,MAX(J1443:K1443))=0,"",MIN(H1443,MAX(J1443:K1443))))</f>
        <v/>
      </c>
      <c r="G1443" s="74" t="n"/>
      <c r="H1443" s="49">
        <f>IF(M1443="","",IFERROR(ROUND(AVERAGE(T1443+M1443*{7,8,9,10,11})/1.21,4),""))</f>
        <v/>
      </c>
      <c r="I1443" s="76" t="n"/>
      <c r="J1443" s="77" t="n"/>
      <c r="K1443" s="74" t="n"/>
      <c r="L1443" s="78" t="n"/>
      <c r="M1443" s="77" t="n"/>
      <c r="N1443" s="53">
        <f>IF(M1443="","",IFERROR(M1443/I1443,""))</f>
        <v/>
      </c>
      <c r="O1443" s="50">
        <f>IF(A1443="","",IFERROR((IF(G1443="",I1443,G1443)-T1443)/M1443,""))</f>
        <v/>
      </c>
      <c r="P1443" s="50">
        <f>IFERROR((I1443/T1443-1)/N1443,"")</f>
        <v/>
      </c>
      <c r="Q1443" s="46">
        <f>IF(OR(T1443="",I1443&lt;T1443),"",IFERROR(R1443/IF(G1443="",I1443,G1443)-1,""))</f>
        <v/>
      </c>
      <c r="R1443" s="48">
        <f>IF($M1443="","",MAX(IF($G1443="",$I1443,$G1443)*(1/1.1),IF($G1443="",$I1443,$G1443)+(R$2*$M1443)))</f>
        <v/>
      </c>
      <c r="S1443" s="49">
        <f>IF($M1443="","",MAX(IF($G1443="",$I1443,$G1443)*(1/1.1),IF($G1443="",$I1443,$G1443)+(S$2*$M1443)))</f>
        <v/>
      </c>
      <c r="T1443" s="82" t="n"/>
      <c r="U1443" s="47">
        <f>IF(OR($M1443="",$T1443=""),"",$T1443+(U$2*$M1443))</f>
        <v/>
      </c>
      <c r="V1443" s="48">
        <f>IF(OR($M1443="",$T1443=""),"",$T1443+(V$2*$M1443))</f>
        <v/>
      </c>
      <c r="W1443" s="48">
        <f>IF(OR($M1443="",$T1443=""),"",$T1443+(W$2*$M1443))</f>
        <v/>
      </c>
      <c r="X1443" s="49">
        <f>IF(OR($M1443="",$T1443=""),"",$T1443+(X$2*$M1443))</f>
        <v/>
      </c>
      <c r="Y1443" s="47">
        <f>IF(OR($M1443="",$T1443=""),"",$T1443+(Y$2*$M1443))</f>
        <v/>
      </c>
      <c r="Z1443" s="49">
        <f>IF(OR($M1443="",$T1443=""),"",$T1443+(Z$2*$M1443))</f>
        <v/>
      </c>
      <c r="AA1443" s="51">
        <f>IF(OR($M1443="",$T1443=""),"",$T1443+(AA$2*$M1443))</f>
        <v/>
      </c>
      <c r="AB1443" s="48">
        <f>IF(OR($M1443="",$T1443=""),"",$T1443+(AB$2*$M1443))</f>
        <v/>
      </c>
      <c r="AC1443" s="48">
        <f>IF(OR($M1443="",$T1443=""),"",$T1443+(AC$2*$M1443))</f>
        <v/>
      </c>
      <c r="AD1443" s="48">
        <f>IF(OR($M1443="",$T1443=""),"",$T1443+(AD$2*$M1443))</f>
        <v/>
      </c>
      <c r="AE1443" s="49">
        <f>IF(OR($M1443="",$T1443=""),"",$T1443+(AE$2*$M1443))</f>
        <v/>
      </c>
      <c r="AF1443" s="52">
        <f>IF(OR(T1443="",I1443&lt;T1443),"",IFERROR(AVERAGE(T1443+M1443*{7,8,9,10,11})/IF(G1443="",I1443,G1443)-1,""))</f>
        <v/>
      </c>
      <c r="AG1443" s="55">
        <f>IF(OR(T1443="",I1443&lt;T1443),"",IFERROR(AF1443/-(R1443/IF(G1443="",I1443,G1443)-1),""))</f>
        <v/>
      </c>
      <c r="AH1443" s="94" t="n"/>
      <c r="AI1443" s="94" t="n"/>
      <c r="AJ1443" s="94" t="n"/>
      <c r="AK1443" s="94" t="n"/>
      <c r="AL1443" s="84" t="n"/>
    </row>
    <row r="1444">
      <c r="A1444" s="64" t="n"/>
      <c r="B1444" s="65" t="n"/>
      <c r="C1444" s="66" t="n"/>
      <c r="D1444" s="67" t="n"/>
      <c r="E1444" s="68" t="n"/>
      <c r="F1444" s="47">
        <f>IF(A1444="","",IF(MIN(H1444,MAX(J1444:K1444))=0,"",MIN(H1444,MAX(J1444:K1444))))</f>
        <v/>
      </c>
      <c r="G1444" s="74" t="n"/>
      <c r="H1444" s="49">
        <f>IF(M1444="","",IFERROR(ROUND(AVERAGE(T1444+M1444*{7,8,9,10,11})/1.21,4),""))</f>
        <v/>
      </c>
      <c r="I1444" s="76" t="n"/>
      <c r="J1444" s="77" t="n"/>
      <c r="K1444" s="74" t="n"/>
      <c r="L1444" s="78" t="n"/>
      <c r="M1444" s="77" t="n"/>
      <c r="N1444" s="53">
        <f>IF(M1444="","",IFERROR(M1444/I1444,""))</f>
        <v/>
      </c>
      <c r="O1444" s="50">
        <f>IF(A1444="","",IFERROR((IF(G1444="",I1444,G1444)-T1444)/M1444,""))</f>
        <v/>
      </c>
      <c r="P1444" s="50">
        <f>IFERROR((I1444/T1444-1)/N1444,"")</f>
        <v/>
      </c>
      <c r="Q1444" s="46">
        <f>IF(OR(T1444="",I1444&lt;T1444),"",IFERROR(R1444/IF(G1444="",I1444,G1444)-1,""))</f>
        <v/>
      </c>
      <c r="R1444" s="48">
        <f>IF($M1444="","",MAX(IF($G1444="",$I1444,$G1444)*(1/1.1),IF($G1444="",$I1444,$G1444)+(R$2*$M1444)))</f>
        <v/>
      </c>
      <c r="S1444" s="49">
        <f>IF($M1444="","",MAX(IF($G1444="",$I1444,$G1444)*(1/1.1),IF($G1444="",$I1444,$G1444)+(S$2*$M1444)))</f>
        <v/>
      </c>
      <c r="T1444" s="82" t="n"/>
      <c r="U1444" s="47">
        <f>IF(OR($M1444="",$T1444=""),"",$T1444+(U$2*$M1444))</f>
        <v/>
      </c>
      <c r="V1444" s="48">
        <f>IF(OR($M1444="",$T1444=""),"",$T1444+(V$2*$M1444))</f>
        <v/>
      </c>
      <c r="W1444" s="48">
        <f>IF(OR($M1444="",$T1444=""),"",$T1444+(W$2*$M1444))</f>
        <v/>
      </c>
      <c r="X1444" s="49">
        <f>IF(OR($M1444="",$T1444=""),"",$T1444+(X$2*$M1444))</f>
        <v/>
      </c>
      <c r="Y1444" s="47">
        <f>IF(OR($M1444="",$T1444=""),"",$T1444+(Y$2*$M1444))</f>
        <v/>
      </c>
      <c r="Z1444" s="49">
        <f>IF(OR($M1444="",$T1444=""),"",$T1444+(Z$2*$M1444))</f>
        <v/>
      </c>
      <c r="AA1444" s="51">
        <f>IF(OR($M1444="",$T1444=""),"",$T1444+(AA$2*$M1444))</f>
        <v/>
      </c>
      <c r="AB1444" s="48">
        <f>IF(OR($M1444="",$T1444=""),"",$T1444+(AB$2*$M1444))</f>
        <v/>
      </c>
      <c r="AC1444" s="48">
        <f>IF(OR($M1444="",$T1444=""),"",$T1444+(AC$2*$M1444))</f>
        <v/>
      </c>
      <c r="AD1444" s="48">
        <f>IF(OR($M1444="",$T1444=""),"",$T1444+(AD$2*$M1444))</f>
        <v/>
      </c>
      <c r="AE1444" s="49">
        <f>IF(OR($M1444="",$T1444=""),"",$T1444+(AE$2*$M1444))</f>
        <v/>
      </c>
      <c r="AF1444" s="52">
        <f>IF(OR(T1444="",I1444&lt;T1444),"",IFERROR(AVERAGE(T1444+M1444*{7,8,9,10,11})/IF(G1444="",I1444,G1444)-1,""))</f>
        <v/>
      </c>
      <c r="AG1444" s="55">
        <f>IF(OR(T1444="",I1444&lt;T1444),"",IFERROR(AF1444/-(R1444/IF(G1444="",I1444,G1444)-1),""))</f>
        <v/>
      </c>
      <c r="AH1444" s="94" t="n"/>
      <c r="AI1444" s="94" t="n"/>
      <c r="AJ1444" s="94" t="n"/>
      <c r="AK1444" s="94" t="n"/>
      <c r="AL1444" s="84" t="n"/>
    </row>
    <row r="1445">
      <c r="A1445" s="64" t="n"/>
      <c r="B1445" s="65" t="n"/>
      <c r="C1445" s="66" t="n"/>
      <c r="D1445" s="67" t="n"/>
      <c r="E1445" s="68" t="n"/>
      <c r="F1445" s="47">
        <f>IF(A1445="","",IF(MIN(H1445,MAX(J1445:K1445))=0,"",MIN(H1445,MAX(J1445:K1445))))</f>
        <v/>
      </c>
      <c r="G1445" s="74" t="n"/>
      <c r="H1445" s="49">
        <f>IF(M1445="","",IFERROR(ROUND(AVERAGE(T1445+M1445*{7,8,9,10,11})/1.21,4),""))</f>
        <v/>
      </c>
      <c r="I1445" s="76" t="n"/>
      <c r="J1445" s="77" t="n"/>
      <c r="K1445" s="74" t="n"/>
      <c r="L1445" s="78" t="n"/>
      <c r="M1445" s="77" t="n"/>
      <c r="N1445" s="53">
        <f>IF(M1445="","",IFERROR(M1445/I1445,""))</f>
        <v/>
      </c>
      <c r="O1445" s="50">
        <f>IF(A1445="","",IFERROR((IF(G1445="",I1445,G1445)-T1445)/M1445,""))</f>
        <v/>
      </c>
      <c r="P1445" s="50">
        <f>IFERROR((I1445/T1445-1)/N1445,"")</f>
        <v/>
      </c>
      <c r="Q1445" s="46">
        <f>IF(OR(T1445="",I1445&lt;T1445),"",IFERROR(R1445/IF(G1445="",I1445,G1445)-1,""))</f>
        <v/>
      </c>
      <c r="R1445" s="48">
        <f>IF($M1445="","",MAX(IF($G1445="",$I1445,$G1445)*(1/1.1),IF($G1445="",$I1445,$G1445)+(R$2*$M1445)))</f>
        <v/>
      </c>
      <c r="S1445" s="49">
        <f>IF($M1445="","",MAX(IF($G1445="",$I1445,$G1445)*(1/1.1),IF($G1445="",$I1445,$G1445)+(S$2*$M1445)))</f>
        <v/>
      </c>
      <c r="T1445" s="82" t="n"/>
      <c r="U1445" s="47">
        <f>IF(OR($M1445="",$T1445=""),"",$T1445+(U$2*$M1445))</f>
        <v/>
      </c>
      <c r="V1445" s="48">
        <f>IF(OR($M1445="",$T1445=""),"",$T1445+(V$2*$M1445))</f>
        <v/>
      </c>
      <c r="W1445" s="48">
        <f>IF(OR($M1445="",$T1445=""),"",$T1445+(W$2*$M1445))</f>
        <v/>
      </c>
      <c r="X1445" s="49">
        <f>IF(OR($M1445="",$T1445=""),"",$T1445+(X$2*$M1445))</f>
        <v/>
      </c>
      <c r="Y1445" s="47">
        <f>IF(OR($M1445="",$T1445=""),"",$T1445+(Y$2*$M1445))</f>
        <v/>
      </c>
      <c r="Z1445" s="49">
        <f>IF(OR($M1445="",$T1445=""),"",$T1445+(Z$2*$M1445))</f>
        <v/>
      </c>
      <c r="AA1445" s="51">
        <f>IF(OR($M1445="",$T1445=""),"",$T1445+(AA$2*$M1445))</f>
        <v/>
      </c>
      <c r="AB1445" s="48">
        <f>IF(OR($M1445="",$T1445=""),"",$T1445+(AB$2*$M1445))</f>
        <v/>
      </c>
      <c r="AC1445" s="48">
        <f>IF(OR($M1445="",$T1445=""),"",$T1445+(AC$2*$M1445))</f>
        <v/>
      </c>
      <c r="AD1445" s="48">
        <f>IF(OR($M1445="",$T1445=""),"",$T1445+(AD$2*$M1445))</f>
        <v/>
      </c>
      <c r="AE1445" s="49">
        <f>IF(OR($M1445="",$T1445=""),"",$T1445+(AE$2*$M1445))</f>
        <v/>
      </c>
      <c r="AF1445" s="52">
        <f>IF(OR(T1445="",I1445&lt;T1445),"",IFERROR(AVERAGE(T1445+M1445*{7,8,9,10,11})/IF(G1445="",I1445,G1445)-1,""))</f>
        <v/>
      </c>
      <c r="AG1445" s="55">
        <f>IF(OR(T1445="",I1445&lt;T1445),"",IFERROR(AF1445/-(R1445/IF(G1445="",I1445,G1445)-1),""))</f>
        <v/>
      </c>
      <c r="AH1445" s="94" t="n"/>
      <c r="AI1445" s="94" t="n"/>
      <c r="AJ1445" s="94" t="n"/>
      <c r="AK1445" s="94" t="n"/>
      <c r="AL1445" s="84" t="n"/>
    </row>
    <row r="1446">
      <c r="A1446" s="64" t="n"/>
      <c r="B1446" s="65" t="n"/>
      <c r="C1446" s="66" t="n"/>
      <c r="D1446" s="67" t="n"/>
      <c r="E1446" s="68" t="n"/>
      <c r="F1446" s="47">
        <f>IF(A1446="","",IF(MIN(H1446,MAX(J1446:K1446))=0,"",MIN(H1446,MAX(J1446:K1446))))</f>
        <v/>
      </c>
      <c r="G1446" s="74" t="n"/>
      <c r="H1446" s="49">
        <f>IF(M1446="","",IFERROR(ROUND(AVERAGE(T1446+M1446*{7,8,9,10,11})/1.21,4),""))</f>
        <v/>
      </c>
      <c r="I1446" s="76" t="n"/>
      <c r="J1446" s="77" t="n"/>
      <c r="K1446" s="74" t="n"/>
      <c r="L1446" s="78" t="n"/>
      <c r="M1446" s="77" t="n"/>
      <c r="N1446" s="53">
        <f>IF(M1446="","",IFERROR(M1446/I1446,""))</f>
        <v/>
      </c>
      <c r="O1446" s="50">
        <f>IF(A1446="","",IFERROR((IF(G1446="",I1446,G1446)-T1446)/M1446,""))</f>
        <v/>
      </c>
      <c r="P1446" s="50">
        <f>IFERROR((I1446/T1446-1)/N1446,"")</f>
        <v/>
      </c>
      <c r="Q1446" s="46">
        <f>IF(OR(T1446="",I1446&lt;T1446),"",IFERROR(R1446/IF(G1446="",I1446,G1446)-1,""))</f>
        <v/>
      </c>
      <c r="R1446" s="48">
        <f>IF($M1446="","",MAX(IF($G1446="",$I1446,$G1446)*(1/1.1),IF($G1446="",$I1446,$G1446)+(R$2*$M1446)))</f>
        <v/>
      </c>
      <c r="S1446" s="49">
        <f>IF($M1446="","",MAX(IF($G1446="",$I1446,$G1446)*(1/1.1),IF($G1446="",$I1446,$G1446)+(S$2*$M1446)))</f>
        <v/>
      </c>
      <c r="T1446" s="82" t="n"/>
      <c r="U1446" s="47">
        <f>IF(OR($M1446="",$T1446=""),"",$T1446+(U$2*$M1446))</f>
        <v/>
      </c>
      <c r="V1446" s="48">
        <f>IF(OR($M1446="",$T1446=""),"",$T1446+(V$2*$M1446))</f>
        <v/>
      </c>
      <c r="W1446" s="48">
        <f>IF(OR($M1446="",$T1446=""),"",$T1446+(W$2*$M1446))</f>
        <v/>
      </c>
      <c r="X1446" s="49">
        <f>IF(OR($M1446="",$T1446=""),"",$T1446+(X$2*$M1446))</f>
        <v/>
      </c>
      <c r="Y1446" s="47">
        <f>IF(OR($M1446="",$T1446=""),"",$T1446+(Y$2*$M1446))</f>
        <v/>
      </c>
      <c r="Z1446" s="49">
        <f>IF(OR($M1446="",$T1446=""),"",$T1446+(Z$2*$M1446))</f>
        <v/>
      </c>
      <c r="AA1446" s="51">
        <f>IF(OR($M1446="",$T1446=""),"",$T1446+(AA$2*$M1446))</f>
        <v/>
      </c>
      <c r="AB1446" s="48">
        <f>IF(OR($M1446="",$T1446=""),"",$T1446+(AB$2*$M1446))</f>
        <v/>
      </c>
      <c r="AC1446" s="48">
        <f>IF(OR($M1446="",$T1446=""),"",$T1446+(AC$2*$M1446))</f>
        <v/>
      </c>
      <c r="AD1446" s="48">
        <f>IF(OR($M1446="",$T1446=""),"",$T1446+(AD$2*$M1446))</f>
        <v/>
      </c>
      <c r="AE1446" s="49">
        <f>IF(OR($M1446="",$T1446=""),"",$T1446+(AE$2*$M1446))</f>
        <v/>
      </c>
      <c r="AF1446" s="52">
        <f>IF(OR(T1446="",I1446&lt;T1446),"",IFERROR(AVERAGE(T1446+M1446*{7,8,9,10,11})/IF(G1446="",I1446,G1446)-1,""))</f>
        <v/>
      </c>
      <c r="AG1446" s="55">
        <f>IF(OR(T1446="",I1446&lt;T1446),"",IFERROR(AF1446/-(R1446/IF(G1446="",I1446,G1446)-1),""))</f>
        <v/>
      </c>
      <c r="AH1446" s="94" t="n"/>
      <c r="AI1446" s="94" t="n"/>
      <c r="AJ1446" s="94" t="n"/>
      <c r="AK1446" s="94" t="n"/>
      <c r="AL1446" s="84" t="n"/>
    </row>
    <row r="1447">
      <c r="A1447" s="64" t="n"/>
      <c r="B1447" s="65" t="n"/>
      <c r="C1447" s="66" t="n"/>
      <c r="D1447" s="67" t="n"/>
      <c r="E1447" s="68" t="n"/>
      <c r="F1447" s="47">
        <f>IF(A1447="","",IF(MIN(H1447,MAX(J1447:K1447))=0,"",MIN(H1447,MAX(J1447:K1447))))</f>
        <v/>
      </c>
      <c r="G1447" s="74" t="n"/>
      <c r="H1447" s="49">
        <f>IF(M1447="","",IFERROR(ROUND(AVERAGE(T1447+M1447*{7,8,9,10,11})/1.21,4),""))</f>
        <v/>
      </c>
      <c r="I1447" s="76" t="n"/>
      <c r="J1447" s="77" t="n"/>
      <c r="K1447" s="74" t="n"/>
      <c r="L1447" s="78" t="n"/>
      <c r="M1447" s="77" t="n"/>
      <c r="N1447" s="53">
        <f>IF(M1447="","",IFERROR(M1447/I1447,""))</f>
        <v/>
      </c>
      <c r="O1447" s="50">
        <f>IF(A1447="","",IFERROR((IF(G1447="",I1447,G1447)-T1447)/M1447,""))</f>
        <v/>
      </c>
      <c r="P1447" s="50">
        <f>IFERROR((I1447/T1447-1)/N1447,"")</f>
        <v/>
      </c>
      <c r="Q1447" s="46">
        <f>IF(OR(T1447="",I1447&lt;T1447),"",IFERROR(R1447/IF(G1447="",I1447,G1447)-1,""))</f>
        <v/>
      </c>
      <c r="R1447" s="48">
        <f>IF($M1447="","",MAX(IF($G1447="",$I1447,$G1447)*(1/1.1),IF($G1447="",$I1447,$G1447)+(R$2*$M1447)))</f>
        <v/>
      </c>
      <c r="S1447" s="49">
        <f>IF($M1447="","",MAX(IF($G1447="",$I1447,$G1447)*(1/1.1),IF($G1447="",$I1447,$G1447)+(S$2*$M1447)))</f>
        <v/>
      </c>
      <c r="T1447" s="82" t="n"/>
      <c r="U1447" s="47">
        <f>IF(OR($M1447="",$T1447=""),"",$T1447+(U$2*$M1447))</f>
        <v/>
      </c>
      <c r="V1447" s="48">
        <f>IF(OR($M1447="",$T1447=""),"",$T1447+(V$2*$M1447))</f>
        <v/>
      </c>
      <c r="W1447" s="48">
        <f>IF(OR($M1447="",$T1447=""),"",$T1447+(W$2*$M1447))</f>
        <v/>
      </c>
      <c r="X1447" s="49">
        <f>IF(OR($M1447="",$T1447=""),"",$T1447+(X$2*$M1447))</f>
        <v/>
      </c>
      <c r="Y1447" s="47">
        <f>IF(OR($M1447="",$T1447=""),"",$T1447+(Y$2*$M1447))</f>
        <v/>
      </c>
      <c r="Z1447" s="49">
        <f>IF(OR($M1447="",$T1447=""),"",$T1447+(Z$2*$M1447))</f>
        <v/>
      </c>
      <c r="AA1447" s="51">
        <f>IF(OR($M1447="",$T1447=""),"",$T1447+(AA$2*$M1447))</f>
        <v/>
      </c>
      <c r="AB1447" s="48">
        <f>IF(OR($M1447="",$T1447=""),"",$T1447+(AB$2*$M1447))</f>
        <v/>
      </c>
      <c r="AC1447" s="48">
        <f>IF(OR($M1447="",$T1447=""),"",$T1447+(AC$2*$M1447))</f>
        <v/>
      </c>
      <c r="AD1447" s="48">
        <f>IF(OR($M1447="",$T1447=""),"",$T1447+(AD$2*$M1447))</f>
        <v/>
      </c>
      <c r="AE1447" s="49">
        <f>IF(OR($M1447="",$T1447=""),"",$T1447+(AE$2*$M1447))</f>
        <v/>
      </c>
      <c r="AF1447" s="52">
        <f>IF(OR(T1447="",I1447&lt;T1447),"",IFERROR(AVERAGE(T1447+M1447*{7,8,9,10,11})/IF(G1447="",I1447,G1447)-1,""))</f>
        <v/>
      </c>
      <c r="AG1447" s="55">
        <f>IF(OR(T1447="",I1447&lt;T1447),"",IFERROR(AF1447/-(R1447/IF(G1447="",I1447,G1447)-1),""))</f>
        <v/>
      </c>
      <c r="AH1447" s="94" t="n"/>
      <c r="AI1447" s="94" t="n"/>
      <c r="AJ1447" s="94" t="n"/>
      <c r="AK1447" s="94" t="n"/>
      <c r="AL1447" s="84" t="n"/>
    </row>
    <row r="1448">
      <c r="A1448" s="64" t="n"/>
      <c r="B1448" s="65" t="n"/>
      <c r="C1448" s="66" t="n"/>
      <c r="D1448" s="67" t="n"/>
      <c r="E1448" s="68" t="n"/>
      <c r="F1448" s="47">
        <f>IF(A1448="","",IF(MIN(H1448,MAX(J1448:K1448))=0,"",MIN(H1448,MAX(J1448:K1448))))</f>
        <v/>
      </c>
      <c r="G1448" s="74" t="n"/>
      <c r="H1448" s="49">
        <f>IF(M1448="","",IFERROR(ROUND(AVERAGE(T1448+M1448*{7,8,9,10,11})/1.21,4),""))</f>
        <v/>
      </c>
      <c r="I1448" s="76" t="n"/>
      <c r="J1448" s="77" t="n"/>
      <c r="K1448" s="74" t="n"/>
      <c r="L1448" s="78" t="n"/>
      <c r="M1448" s="77" t="n"/>
      <c r="N1448" s="53">
        <f>IF(M1448="","",IFERROR(M1448/I1448,""))</f>
        <v/>
      </c>
      <c r="O1448" s="50">
        <f>IF(A1448="","",IFERROR((IF(G1448="",I1448,G1448)-T1448)/M1448,""))</f>
        <v/>
      </c>
      <c r="P1448" s="50">
        <f>IFERROR((I1448/T1448-1)/N1448,"")</f>
        <v/>
      </c>
      <c r="Q1448" s="46">
        <f>IF(OR(T1448="",I1448&lt;T1448),"",IFERROR(R1448/IF(G1448="",I1448,G1448)-1,""))</f>
        <v/>
      </c>
      <c r="R1448" s="48">
        <f>IF($M1448="","",MAX(IF($G1448="",$I1448,$G1448)*(1/1.1),IF($G1448="",$I1448,$G1448)+(R$2*$M1448)))</f>
        <v/>
      </c>
      <c r="S1448" s="49">
        <f>IF($M1448="","",MAX(IF($G1448="",$I1448,$G1448)*(1/1.1),IF($G1448="",$I1448,$G1448)+(S$2*$M1448)))</f>
        <v/>
      </c>
      <c r="T1448" s="82" t="n"/>
      <c r="U1448" s="47">
        <f>IF(OR($M1448="",$T1448=""),"",$T1448+(U$2*$M1448))</f>
        <v/>
      </c>
      <c r="V1448" s="48">
        <f>IF(OR($M1448="",$T1448=""),"",$T1448+(V$2*$M1448))</f>
        <v/>
      </c>
      <c r="W1448" s="48">
        <f>IF(OR($M1448="",$T1448=""),"",$T1448+(W$2*$M1448))</f>
        <v/>
      </c>
      <c r="X1448" s="49">
        <f>IF(OR($M1448="",$T1448=""),"",$T1448+(X$2*$M1448))</f>
        <v/>
      </c>
      <c r="Y1448" s="47">
        <f>IF(OR($M1448="",$T1448=""),"",$T1448+(Y$2*$M1448))</f>
        <v/>
      </c>
      <c r="Z1448" s="49">
        <f>IF(OR($M1448="",$T1448=""),"",$T1448+(Z$2*$M1448))</f>
        <v/>
      </c>
      <c r="AA1448" s="51">
        <f>IF(OR($M1448="",$T1448=""),"",$T1448+(AA$2*$M1448))</f>
        <v/>
      </c>
      <c r="AB1448" s="48">
        <f>IF(OR($M1448="",$T1448=""),"",$T1448+(AB$2*$M1448))</f>
        <v/>
      </c>
      <c r="AC1448" s="48">
        <f>IF(OR($M1448="",$T1448=""),"",$T1448+(AC$2*$M1448))</f>
        <v/>
      </c>
      <c r="AD1448" s="48">
        <f>IF(OR($M1448="",$T1448=""),"",$T1448+(AD$2*$M1448))</f>
        <v/>
      </c>
      <c r="AE1448" s="49">
        <f>IF(OR($M1448="",$T1448=""),"",$T1448+(AE$2*$M1448))</f>
        <v/>
      </c>
      <c r="AF1448" s="52">
        <f>IF(OR(T1448="",I1448&lt;T1448),"",IFERROR(AVERAGE(T1448+M1448*{7,8,9,10,11})/IF(G1448="",I1448,G1448)-1,""))</f>
        <v/>
      </c>
      <c r="AG1448" s="55">
        <f>IF(OR(T1448="",I1448&lt;T1448),"",IFERROR(AF1448/-(R1448/IF(G1448="",I1448,G1448)-1),""))</f>
        <v/>
      </c>
      <c r="AH1448" s="94" t="n"/>
      <c r="AI1448" s="94" t="n"/>
      <c r="AJ1448" s="94" t="n"/>
      <c r="AK1448" s="94" t="n"/>
      <c r="AL1448" s="84" t="n"/>
    </row>
    <row r="1449">
      <c r="A1449" s="64" t="n"/>
      <c r="B1449" s="65" t="n"/>
      <c r="C1449" s="66" t="n"/>
      <c r="D1449" s="67" t="n"/>
      <c r="E1449" s="68" t="n"/>
      <c r="F1449" s="47">
        <f>IF(A1449="","",IF(MIN(H1449,MAX(J1449:K1449))=0,"",MIN(H1449,MAX(J1449:K1449))))</f>
        <v/>
      </c>
      <c r="G1449" s="74" t="n"/>
      <c r="H1449" s="49">
        <f>IF(M1449="","",IFERROR(ROUND(AVERAGE(T1449+M1449*{7,8,9,10,11})/1.21,4),""))</f>
        <v/>
      </c>
      <c r="I1449" s="76" t="n"/>
      <c r="J1449" s="77" t="n"/>
      <c r="K1449" s="74" t="n"/>
      <c r="L1449" s="78" t="n"/>
      <c r="M1449" s="77" t="n"/>
      <c r="N1449" s="53">
        <f>IF(M1449="","",IFERROR(M1449/I1449,""))</f>
        <v/>
      </c>
      <c r="O1449" s="50">
        <f>IF(A1449="","",IFERROR((IF(G1449="",I1449,G1449)-T1449)/M1449,""))</f>
        <v/>
      </c>
      <c r="P1449" s="50">
        <f>IFERROR((I1449/T1449-1)/N1449,"")</f>
        <v/>
      </c>
      <c r="Q1449" s="46">
        <f>IF(OR(T1449="",I1449&lt;T1449),"",IFERROR(R1449/IF(G1449="",I1449,G1449)-1,""))</f>
        <v/>
      </c>
      <c r="R1449" s="48">
        <f>IF($M1449="","",MAX(IF($G1449="",$I1449,$G1449)*(1/1.1),IF($G1449="",$I1449,$G1449)+(R$2*$M1449)))</f>
        <v/>
      </c>
      <c r="S1449" s="49">
        <f>IF($M1449="","",MAX(IF($G1449="",$I1449,$G1449)*(1/1.1),IF($G1449="",$I1449,$G1449)+(S$2*$M1449)))</f>
        <v/>
      </c>
      <c r="T1449" s="82" t="n"/>
      <c r="U1449" s="47">
        <f>IF(OR($M1449="",$T1449=""),"",$T1449+(U$2*$M1449))</f>
        <v/>
      </c>
      <c r="V1449" s="48">
        <f>IF(OR($M1449="",$T1449=""),"",$T1449+(V$2*$M1449))</f>
        <v/>
      </c>
      <c r="W1449" s="48">
        <f>IF(OR($M1449="",$T1449=""),"",$T1449+(W$2*$M1449))</f>
        <v/>
      </c>
      <c r="X1449" s="49">
        <f>IF(OR($M1449="",$T1449=""),"",$T1449+(X$2*$M1449))</f>
        <v/>
      </c>
      <c r="Y1449" s="47">
        <f>IF(OR($M1449="",$T1449=""),"",$T1449+(Y$2*$M1449))</f>
        <v/>
      </c>
      <c r="Z1449" s="49">
        <f>IF(OR($M1449="",$T1449=""),"",$T1449+(Z$2*$M1449))</f>
        <v/>
      </c>
      <c r="AA1449" s="51">
        <f>IF(OR($M1449="",$T1449=""),"",$T1449+(AA$2*$M1449))</f>
        <v/>
      </c>
      <c r="AB1449" s="48">
        <f>IF(OR($M1449="",$T1449=""),"",$T1449+(AB$2*$M1449))</f>
        <v/>
      </c>
      <c r="AC1449" s="48">
        <f>IF(OR($M1449="",$T1449=""),"",$T1449+(AC$2*$M1449))</f>
        <v/>
      </c>
      <c r="AD1449" s="48">
        <f>IF(OR($M1449="",$T1449=""),"",$T1449+(AD$2*$M1449))</f>
        <v/>
      </c>
      <c r="AE1449" s="49">
        <f>IF(OR($M1449="",$T1449=""),"",$T1449+(AE$2*$M1449))</f>
        <v/>
      </c>
      <c r="AF1449" s="52">
        <f>IF(OR(T1449="",I1449&lt;T1449),"",IFERROR(AVERAGE(T1449+M1449*{7,8,9,10,11})/IF(G1449="",I1449,G1449)-1,""))</f>
        <v/>
      </c>
      <c r="AG1449" s="55">
        <f>IF(OR(T1449="",I1449&lt;T1449),"",IFERROR(AF1449/-(R1449/IF(G1449="",I1449,G1449)-1),""))</f>
        <v/>
      </c>
      <c r="AH1449" s="94" t="n"/>
      <c r="AI1449" s="94" t="n"/>
      <c r="AJ1449" s="94" t="n"/>
      <c r="AK1449" s="94" t="n"/>
      <c r="AL1449" s="84" t="n"/>
    </row>
    <row r="1450">
      <c r="A1450" s="64" t="n"/>
      <c r="B1450" s="65" t="n"/>
      <c r="C1450" s="66" t="n"/>
      <c r="D1450" s="67" t="n"/>
      <c r="E1450" s="68" t="n"/>
      <c r="F1450" s="47">
        <f>IF(A1450="","",IF(MIN(H1450,MAX(J1450:K1450))=0,"",MIN(H1450,MAX(J1450:K1450))))</f>
        <v/>
      </c>
      <c r="G1450" s="74" t="n"/>
      <c r="H1450" s="49">
        <f>IF(M1450="","",IFERROR(ROUND(AVERAGE(T1450+M1450*{7,8,9,10,11})/1.21,4),""))</f>
        <v/>
      </c>
      <c r="I1450" s="76" t="n"/>
      <c r="J1450" s="77" t="n"/>
      <c r="K1450" s="74" t="n"/>
      <c r="L1450" s="78" t="n"/>
      <c r="M1450" s="77" t="n"/>
      <c r="N1450" s="53">
        <f>IF(M1450="","",IFERROR(M1450/I1450,""))</f>
        <v/>
      </c>
      <c r="O1450" s="50">
        <f>IF(A1450="","",IFERROR((IF(G1450="",I1450,G1450)-T1450)/M1450,""))</f>
        <v/>
      </c>
      <c r="P1450" s="50">
        <f>IFERROR((I1450/T1450-1)/N1450,"")</f>
        <v/>
      </c>
      <c r="Q1450" s="46">
        <f>IF(OR(T1450="",I1450&lt;T1450),"",IFERROR(R1450/IF(G1450="",I1450,G1450)-1,""))</f>
        <v/>
      </c>
      <c r="R1450" s="48">
        <f>IF($M1450="","",MAX(IF($G1450="",$I1450,$G1450)*(1/1.1),IF($G1450="",$I1450,$G1450)+(R$2*$M1450)))</f>
        <v/>
      </c>
      <c r="S1450" s="49">
        <f>IF($M1450="","",MAX(IF($G1450="",$I1450,$G1450)*(1/1.1),IF($G1450="",$I1450,$G1450)+(S$2*$M1450)))</f>
        <v/>
      </c>
      <c r="T1450" s="82" t="n"/>
      <c r="U1450" s="47">
        <f>IF(OR($M1450="",$T1450=""),"",$T1450+(U$2*$M1450))</f>
        <v/>
      </c>
      <c r="V1450" s="48">
        <f>IF(OR($M1450="",$T1450=""),"",$T1450+(V$2*$M1450))</f>
        <v/>
      </c>
      <c r="W1450" s="48">
        <f>IF(OR($M1450="",$T1450=""),"",$T1450+(W$2*$M1450))</f>
        <v/>
      </c>
      <c r="X1450" s="49">
        <f>IF(OR($M1450="",$T1450=""),"",$T1450+(X$2*$M1450))</f>
        <v/>
      </c>
      <c r="Y1450" s="47">
        <f>IF(OR($M1450="",$T1450=""),"",$T1450+(Y$2*$M1450))</f>
        <v/>
      </c>
      <c r="Z1450" s="49">
        <f>IF(OR($M1450="",$T1450=""),"",$T1450+(Z$2*$M1450))</f>
        <v/>
      </c>
      <c r="AA1450" s="51">
        <f>IF(OR($M1450="",$T1450=""),"",$T1450+(AA$2*$M1450))</f>
        <v/>
      </c>
      <c r="AB1450" s="48">
        <f>IF(OR($M1450="",$T1450=""),"",$T1450+(AB$2*$M1450))</f>
        <v/>
      </c>
      <c r="AC1450" s="48">
        <f>IF(OR($M1450="",$T1450=""),"",$T1450+(AC$2*$M1450))</f>
        <v/>
      </c>
      <c r="AD1450" s="48">
        <f>IF(OR($M1450="",$T1450=""),"",$T1450+(AD$2*$M1450))</f>
        <v/>
      </c>
      <c r="AE1450" s="49">
        <f>IF(OR($M1450="",$T1450=""),"",$T1450+(AE$2*$M1450))</f>
        <v/>
      </c>
      <c r="AF1450" s="52">
        <f>IF(OR(T1450="",I1450&lt;T1450),"",IFERROR(AVERAGE(T1450+M1450*{7,8,9,10,11})/IF(G1450="",I1450,G1450)-1,""))</f>
        <v/>
      </c>
      <c r="AG1450" s="55">
        <f>IF(OR(T1450="",I1450&lt;T1450),"",IFERROR(AF1450/-(R1450/IF(G1450="",I1450,G1450)-1),""))</f>
        <v/>
      </c>
      <c r="AH1450" s="94" t="n"/>
      <c r="AI1450" s="94" t="n"/>
      <c r="AJ1450" s="94" t="n"/>
      <c r="AK1450" s="94" t="n"/>
      <c r="AL1450" s="84" t="n"/>
    </row>
    <row r="1451">
      <c r="A1451" s="64" t="n"/>
      <c r="B1451" s="65" t="n"/>
      <c r="C1451" s="66" t="n"/>
      <c r="D1451" s="67" t="n"/>
      <c r="E1451" s="68" t="n"/>
      <c r="F1451" s="47">
        <f>IF(A1451="","",IF(MIN(H1451,MAX(J1451:K1451))=0,"",MIN(H1451,MAX(J1451:K1451))))</f>
        <v/>
      </c>
      <c r="G1451" s="74" t="n"/>
      <c r="H1451" s="49">
        <f>IF(M1451="","",IFERROR(ROUND(AVERAGE(T1451+M1451*{7,8,9,10,11})/1.21,4),""))</f>
        <v/>
      </c>
      <c r="I1451" s="76" t="n"/>
      <c r="J1451" s="77" t="n"/>
      <c r="K1451" s="74" t="n"/>
      <c r="L1451" s="78" t="n"/>
      <c r="M1451" s="77" t="n"/>
      <c r="N1451" s="53">
        <f>IF(M1451="","",IFERROR(M1451/I1451,""))</f>
        <v/>
      </c>
      <c r="O1451" s="50">
        <f>IF(A1451="","",IFERROR((IF(G1451="",I1451,G1451)-T1451)/M1451,""))</f>
        <v/>
      </c>
      <c r="P1451" s="50">
        <f>IFERROR((I1451/T1451-1)/N1451,"")</f>
        <v/>
      </c>
      <c r="Q1451" s="46">
        <f>IF(OR(T1451="",I1451&lt;T1451),"",IFERROR(R1451/IF(G1451="",I1451,G1451)-1,""))</f>
        <v/>
      </c>
      <c r="R1451" s="48">
        <f>IF($M1451="","",MAX(IF($G1451="",$I1451,$G1451)*(1/1.1),IF($G1451="",$I1451,$G1451)+(R$2*$M1451)))</f>
        <v/>
      </c>
      <c r="S1451" s="49">
        <f>IF($M1451="","",MAX(IF($G1451="",$I1451,$G1451)*(1/1.1),IF($G1451="",$I1451,$G1451)+(S$2*$M1451)))</f>
        <v/>
      </c>
      <c r="T1451" s="82" t="n"/>
      <c r="U1451" s="47">
        <f>IF(OR($M1451="",$T1451=""),"",$T1451+(U$2*$M1451))</f>
        <v/>
      </c>
      <c r="V1451" s="48">
        <f>IF(OR($M1451="",$T1451=""),"",$T1451+(V$2*$M1451))</f>
        <v/>
      </c>
      <c r="W1451" s="48">
        <f>IF(OR($M1451="",$T1451=""),"",$T1451+(W$2*$M1451))</f>
        <v/>
      </c>
      <c r="X1451" s="49">
        <f>IF(OR($M1451="",$T1451=""),"",$T1451+(X$2*$M1451))</f>
        <v/>
      </c>
      <c r="Y1451" s="47">
        <f>IF(OR($M1451="",$T1451=""),"",$T1451+(Y$2*$M1451))</f>
        <v/>
      </c>
      <c r="Z1451" s="49">
        <f>IF(OR($M1451="",$T1451=""),"",$T1451+(Z$2*$M1451))</f>
        <v/>
      </c>
      <c r="AA1451" s="51">
        <f>IF(OR($M1451="",$T1451=""),"",$T1451+(AA$2*$M1451))</f>
        <v/>
      </c>
      <c r="AB1451" s="48">
        <f>IF(OR($M1451="",$T1451=""),"",$T1451+(AB$2*$M1451))</f>
        <v/>
      </c>
      <c r="AC1451" s="48">
        <f>IF(OR($M1451="",$T1451=""),"",$T1451+(AC$2*$M1451))</f>
        <v/>
      </c>
      <c r="AD1451" s="48">
        <f>IF(OR($M1451="",$T1451=""),"",$T1451+(AD$2*$M1451))</f>
        <v/>
      </c>
      <c r="AE1451" s="49">
        <f>IF(OR($M1451="",$T1451=""),"",$T1451+(AE$2*$M1451))</f>
        <v/>
      </c>
      <c r="AF1451" s="52">
        <f>IF(OR(T1451="",I1451&lt;T1451),"",IFERROR(AVERAGE(T1451+M1451*{7,8,9,10,11})/IF(G1451="",I1451,G1451)-1,""))</f>
        <v/>
      </c>
      <c r="AG1451" s="55">
        <f>IF(OR(T1451="",I1451&lt;T1451),"",IFERROR(AF1451/-(R1451/IF(G1451="",I1451,G1451)-1),""))</f>
        <v/>
      </c>
      <c r="AH1451" s="94" t="n"/>
      <c r="AI1451" s="94" t="n"/>
      <c r="AJ1451" s="94" t="n"/>
      <c r="AK1451" s="94" t="n"/>
      <c r="AL1451" s="84" t="n"/>
    </row>
    <row r="1452">
      <c r="A1452" s="64" t="n"/>
      <c r="B1452" s="65" t="n"/>
      <c r="C1452" s="66" t="n"/>
      <c r="D1452" s="67" t="n"/>
      <c r="E1452" s="68" t="n"/>
      <c r="F1452" s="47">
        <f>IF(A1452="","",IF(MIN(H1452,MAX(J1452:K1452))=0,"",MIN(H1452,MAX(J1452:K1452))))</f>
        <v/>
      </c>
      <c r="G1452" s="74" t="n"/>
      <c r="H1452" s="49">
        <f>IF(M1452="","",IFERROR(ROUND(AVERAGE(T1452+M1452*{7,8,9,10,11})/1.21,4),""))</f>
        <v/>
      </c>
      <c r="I1452" s="76" t="n"/>
      <c r="J1452" s="77" t="n"/>
      <c r="K1452" s="74" t="n"/>
      <c r="L1452" s="78" t="n"/>
      <c r="M1452" s="77" t="n"/>
      <c r="N1452" s="53">
        <f>IF(M1452="","",IFERROR(M1452/I1452,""))</f>
        <v/>
      </c>
      <c r="O1452" s="50">
        <f>IF(A1452="","",IFERROR((IF(G1452="",I1452,G1452)-T1452)/M1452,""))</f>
        <v/>
      </c>
      <c r="P1452" s="50">
        <f>IFERROR((I1452/T1452-1)/N1452,"")</f>
        <v/>
      </c>
      <c r="Q1452" s="46">
        <f>IF(OR(T1452="",I1452&lt;T1452),"",IFERROR(R1452/IF(G1452="",I1452,G1452)-1,""))</f>
        <v/>
      </c>
      <c r="R1452" s="48">
        <f>IF($M1452="","",MAX(IF($G1452="",$I1452,$G1452)*(1/1.1),IF($G1452="",$I1452,$G1452)+(R$2*$M1452)))</f>
        <v/>
      </c>
      <c r="S1452" s="49">
        <f>IF($M1452="","",MAX(IF($G1452="",$I1452,$G1452)*(1/1.1),IF($G1452="",$I1452,$G1452)+(S$2*$M1452)))</f>
        <v/>
      </c>
      <c r="T1452" s="82" t="n"/>
      <c r="U1452" s="47">
        <f>IF(OR($M1452="",$T1452=""),"",$T1452+(U$2*$M1452))</f>
        <v/>
      </c>
      <c r="V1452" s="48">
        <f>IF(OR($M1452="",$T1452=""),"",$T1452+(V$2*$M1452))</f>
        <v/>
      </c>
      <c r="W1452" s="48">
        <f>IF(OR($M1452="",$T1452=""),"",$T1452+(W$2*$M1452))</f>
        <v/>
      </c>
      <c r="X1452" s="49">
        <f>IF(OR($M1452="",$T1452=""),"",$T1452+(X$2*$M1452))</f>
        <v/>
      </c>
      <c r="Y1452" s="47">
        <f>IF(OR($M1452="",$T1452=""),"",$T1452+(Y$2*$M1452))</f>
        <v/>
      </c>
      <c r="Z1452" s="49">
        <f>IF(OR($M1452="",$T1452=""),"",$T1452+(Z$2*$M1452))</f>
        <v/>
      </c>
      <c r="AA1452" s="51">
        <f>IF(OR($M1452="",$T1452=""),"",$T1452+(AA$2*$M1452))</f>
        <v/>
      </c>
      <c r="AB1452" s="48">
        <f>IF(OR($M1452="",$T1452=""),"",$T1452+(AB$2*$M1452))</f>
        <v/>
      </c>
      <c r="AC1452" s="48">
        <f>IF(OR($M1452="",$T1452=""),"",$T1452+(AC$2*$M1452))</f>
        <v/>
      </c>
      <c r="AD1452" s="48">
        <f>IF(OR($M1452="",$T1452=""),"",$T1452+(AD$2*$M1452))</f>
        <v/>
      </c>
      <c r="AE1452" s="49">
        <f>IF(OR($M1452="",$T1452=""),"",$T1452+(AE$2*$M1452))</f>
        <v/>
      </c>
      <c r="AF1452" s="52">
        <f>IF(OR(T1452="",I1452&lt;T1452),"",IFERROR(AVERAGE(T1452+M1452*{7,8,9,10,11})/IF(G1452="",I1452,G1452)-1,""))</f>
        <v/>
      </c>
      <c r="AG1452" s="55">
        <f>IF(OR(T1452="",I1452&lt;T1452),"",IFERROR(AF1452/-(R1452/IF(G1452="",I1452,G1452)-1),""))</f>
        <v/>
      </c>
      <c r="AH1452" s="94" t="n"/>
      <c r="AI1452" s="94" t="n"/>
      <c r="AJ1452" s="94" t="n"/>
      <c r="AK1452" s="94" t="n"/>
      <c r="AL1452" s="84" t="n"/>
    </row>
    <row r="1453">
      <c r="A1453" s="64" t="n"/>
      <c r="B1453" s="65" t="n"/>
      <c r="C1453" s="66" t="n"/>
      <c r="D1453" s="67" t="n"/>
      <c r="E1453" s="68" t="n"/>
      <c r="F1453" s="47">
        <f>IF(A1453="","",IF(MIN(H1453,MAX(J1453:K1453))=0,"",MIN(H1453,MAX(J1453:K1453))))</f>
        <v/>
      </c>
      <c r="G1453" s="74" t="n"/>
      <c r="H1453" s="49">
        <f>IF(M1453="","",IFERROR(ROUND(AVERAGE(T1453+M1453*{7,8,9,10,11})/1.21,4),""))</f>
        <v/>
      </c>
      <c r="I1453" s="76" t="n"/>
      <c r="J1453" s="77" t="n"/>
      <c r="K1453" s="74" t="n"/>
      <c r="L1453" s="78" t="n"/>
      <c r="M1453" s="77" t="n"/>
      <c r="N1453" s="53">
        <f>IF(M1453="","",IFERROR(M1453/I1453,""))</f>
        <v/>
      </c>
      <c r="O1453" s="50">
        <f>IF(A1453="","",IFERROR((IF(G1453="",I1453,G1453)-T1453)/M1453,""))</f>
        <v/>
      </c>
      <c r="P1453" s="50">
        <f>IFERROR((I1453/T1453-1)/N1453,"")</f>
        <v/>
      </c>
      <c r="Q1453" s="46">
        <f>IF(OR(T1453="",I1453&lt;T1453),"",IFERROR(R1453/IF(G1453="",I1453,G1453)-1,""))</f>
        <v/>
      </c>
      <c r="R1453" s="48">
        <f>IF($M1453="","",MAX(IF($G1453="",$I1453,$G1453)*(1/1.1),IF($G1453="",$I1453,$G1453)+(R$2*$M1453)))</f>
        <v/>
      </c>
      <c r="S1453" s="49">
        <f>IF($M1453="","",MAX(IF($G1453="",$I1453,$G1453)*(1/1.1),IF($G1453="",$I1453,$G1453)+(S$2*$M1453)))</f>
        <v/>
      </c>
      <c r="T1453" s="82" t="n"/>
      <c r="U1453" s="47">
        <f>IF(OR($M1453="",$T1453=""),"",$T1453+(U$2*$M1453))</f>
        <v/>
      </c>
      <c r="V1453" s="48">
        <f>IF(OR($M1453="",$T1453=""),"",$T1453+(V$2*$M1453))</f>
        <v/>
      </c>
      <c r="W1453" s="48">
        <f>IF(OR($M1453="",$T1453=""),"",$T1453+(W$2*$M1453))</f>
        <v/>
      </c>
      <c r="X1453" s="49">
        <f>IF(OR($M1453="",$T1453=""),"",$T1453+(X$2*$M1453))</f>
        <v/>
      </c>
      <c r="Y1453" s="47">
        <f>IF(OR($M1453="",$T1453=""),"",$T1453+(Y$2*$M1453))</f>
        <v/>
      </c>
      <c r="Z1453" s="49">
        <f>IF(OR($M1453="",$T1453=""),"",$T1453+(Z$2*$M1453))</f>
        <v/>
      </c>
      <c r="AA1453" s="51">
        <f>IF(OR($M1453="",$T1453=""),"",$T1453+(AA$2*$M1453))</f>
        <v/>
      </c>
      <c r="AB1453" s="48">
        <f>IF(OR($M1453="",$T1453=""),"",$T1453+(AB$2*$M1453))</f>
        <v/>
      </c>
      <c r="AC1453" s="48">
        <f>IF(OR($M1453="",$T1453=""),"",$T1453+(AC$2*$M1453))</f>
        <v/>
      </c>
      <c r="AD1453" s="48">
        <f>IF(OR($M1453="",$T1453=""),"",$T1453+(AD$2*$M1453))</f>
        <v/>
      </c>
      <c r="AE1453" s="49">
        <f>IF(OR($M1453="",$T1453=""),"",$T1453+(AE$2*$M1453))</f>
        <v/>
      </c>
      <c r="AF1453" s="52">
        <f>IF(OR(T1453="",I1453&lt;T1453),"",IFERROR(AVERAGE(T1453+M1453*{7,8,9,10,11})/IF(G1453="",I1453,G1453)-1,""))</f>
        <v/>
      </c>
      <c r="AG1453" s="55">
        <f>IF(OR(T1453="",I1453&lt;T1453),"",IFERROR(AF1453/-(R1453/IF(G1453="",I1453,G1453)-1),""))</f>
        <v/>
      </c>
      <c r="AH1453" s="94" t="n"/>
      <c r="AI1453" s="94" t="n"/>
      <c r="AJ1453" s="94" t="n"/>
      <c r="AK1453" s="94" t="n"/>
      <c r="AL1453" s="84" t="n"/>
    </row>
    <row r="1454">
      <c r="A1454" s="64" t="n"/>
      <c r="B1454" s="65" t="n"/>
      <c r="C1454" s="66" t="n"/>
      <c r="D1454" s="67" t="n"/>
      <c r="E1454" s="68" t="n"/>
      <c r="F1454" s="47">
        <f>IF(A1454="","",IF(MIN(H1454,MAX(J1454:K1454))=0,"",MIN(H1454,MAX(J1454:K1454))))</f>
        <v/>
      </c>
      <c r="G1454" s="74" t="n"/>
      <c r="H1454" s="49">
        <f>IF(M1454="","",IFERROR(ROUND(AVERAGE(T1454+M1454*{7,8,9,10,11})/1.21,4),""))</f>
        <v/>
      </c>
      <c r="I1454" s="76" t="n"/>
      <c r="J1454" s="77" t="n"/>
      <c r="K1454" s="74" t="n"/>
      <c r="L1454" s="78" t="n"/>
      <c r="M1454" s="77" t="n"/>
      <c r="N1454" s="53">
        <f>IF(M1454="","",IFERROR(M1454/I1454,""))</f>
        <v/>
      </c>
      <c r="O1454" s="50">
        <f>IF(A1454="","",IFERROR((IF(G1454="",I1454,G1454)-T1454)/M1454,""))</f>
        <v/>
      </c>
      <c r="P1454" s="50">
        <f>IFERROR((I1454/T1454-1)/N1454,"")</f>
        <v/>
      </c>
      <c r="Q1454" s="46">
        <f>IF(OR(T1454="",I1454&lt;T1454),"",IFERROR(R1454/IF(G1454="",I1454,G1454)-1,""))</f>
        <v/>
      </c>
      <c r="R1454" s="48">
        <f>IF($M1454="","",MAX(IF($G1454="",$I1454,$G1454)*(1/1.1),IF($G1454="",$I1454,$G1454)+(R$2*$M1454)))</f>
        <v/>
      </c>
      <c r="S1454" s="49">
        <f>IF($M1454="","",MAX(IF($G1454="",$I1454,$G1454)*(1/1.1),IF($G1454="",$I1454,$G1454)+(S$2*$M1454)))</f>
        <v/>
      </c>
      <c r="T1454" s="82" t="n"/>
      <c r="U1454" s="47">
        <f>IF(OR($M1454="",$T1454=""),"",$T1454+(U$2*$M1454))</f>
        <v/>
      </c>
      <c r="V1454" s="48">
        <f>IF(OR($M1454="",$T1454=""),"",$T1454+(V$2*$M1454))</f>
        <v/>
      </c>
      <c r="W1454" s="48">
        <f>IF(OR($M1454="",$T1454=""),"",$T1454+(W$2*$M1454))</f>
        <v/>
      </c>
      <c r="X1454" s="49">
        <f>IF(OR($M1454="",$T1454=""),"",$T1454+(X$2*$M1454))</f>
        <v/>
      </c>
      <c r="Y1454" s="47">
        <f>IF(OR($M1454="",$T1454=""),"",$T1454+(Y$2*$M1454))</f>
        <v/>
      </c>
      <c r="Z1454" s="49">
        <f>IF(OR($M1454="",$T1454=""),"",$T1454+(Z$2*$M1454))</f>
        <v/>
      </c>
      <c r="AA1454" s="51">
        <f>IF(OR($M1454="",$T1454=""),"",$T1454+(AA$2*$M1454))</f>
        <v/>
      </c>
      <c r="AB1454" s="48">
        <f>IF(OR($M1454="",$T1454=""),"",$T1454+(AB$2*$M1454))</f>
        <v/>
      </c>
      <c r="AC1454" s="48">
        <f>IF(OR($M1454="",$T1454=""),"",$T1454+(AC$2*$M1454))</f>
        <v/>
      </c>
      <c r="AD1454" s="48">
        <f>IF(OR($M1454="",$T1454=""),"",$T1454+(AD$2*$M1454))</f>
        <v/>
      </c>
      <c r="AE1454" s="49">
        <f>IF(OR($M1454="",$T1454=""),"",$T1454+(AE$2*$M1454))</f>
        <v/>
      </c>
      <c r="AF1454" s="52">
        <f>IF(OR(T1454="",I1454&lt;T1454),"",IFERROR(AVERAGE(T1454+M1454*{7,8,9,10,11})/IF(G1454="",I1454,G1454)-1,""))</f>
        <v/>
      </c>
      <c r="AG1454" s="55">
        <f>IF(OR(T1454="",I1454&lt;T1454),"",IFERROR(AF1454/-(R1454/IF(G1454="",I1454,G1454)-1),""))</f>
        <v/>
      </c>
      <c r="AH1454" s="94" t="n"/>
      <c r="AI1454" s="94" t="n"/>
      <c r="AJ1454" s="94" t="n"/>
      <c r="AK1454" s="94" t="n"/>
      <c r="AL1454" s="84" t="n"/>
    </row>
    <row r="1455">
      <c r="A1455" s="64" t="n"/>
      <c r="B1455" s="65" t="n"/>
      <c r="C1455" s="66" t="n"/>
      <c r="D1455" s="67" t="n"/>
      <c r="E1455" s="68" t="n"/>
      <c r="F1455" s="47">
        <f>IF(A1455="","",IF(MIN(H1455,MAX(J1455:K1455))=0,"",MIN(H1455,MAX(J1455:K1455))))</f>
        <v/>
      </c>
      <c r="G1455" s="74" t="n"/>
      <c r="H1455" s="49">
        <f>IF(M1455="","",IFERROR(ROUND(AVERAGE(T1455+M1455*{7,8,9,10,11})/1.21,4),""))</f>
        <v/>
      </c>
      <c r="I1455" s="76" t="n"/>
      <c r="J1455" s="77" t="n"/>
      <c r="K1455" s="74" t="n"/>
      <c r="L1455" s="78" t="n"/>
      <c r="M1455" s="77" t="n"/>
      <c r="N1455" s="53">
        <f>IF(M1455="","",IFERROR(M1455/I1455,""))</f>
        <v/>
      </c>
      <c r="O1455" s="50">
        <f>IF(A1455="","",IFERROR((IF(G1455="",I1455,G1455)-T1455)/M1455,""))</f>
        <v/>
      </c>
      <c r="P1455" s="50">
        <f>IFERROR((I1455/T1455-1)/N1455,"")</f>
        <v/>
      </c>
      <c r="Q1455" s="46">
        <f>IF(OR(T1455="",I1455&lt;T1455),"",IFERROR(R1455/IF(G1455="",I1455,G1455)-1,""))</f>
        <v/>
      </c>
      <c r="R1455" s="48">
        <f>IF($M1455="","",MAX(IF($G1455="",$I1455,$G1455)*(1/1.1),IF($G1455="",$I1455,$G1455)+(R$2*$M1455)))</f>
        <v/>
      </c>
      <c r="S1455" s="49">
        <f>IF($M1455="","",MAX(IF($G1455="",$I1455,$G1455)*(1/1.1),IF($G1455="",$I1455,$G1455)+(S$2*$M1455)))</f>
        <v/>
      </c>
      <c r="T1455" s="82" t="n"/>
      <c r="U1455" s="47">
        <f>IF(OR($M1455="",$T1455=""),"",$T1455+(U$2*$M1455))</f>
        <v/>
      </c>
      <c r="V1455" s="48">
        <f>IF(OR($M1455="",$T1455=""),"",$T1455+(V$2*$M1455))</f>
        <v/>
      </c>
      <c r="W1455" s="48">
        <f>IF(OR($M1455="",$T1455=""),"",$T1455+(W$2*$M1455))</f>
        <v/>
      </c>
      <c r="X1455" s="49">
        <f>IF(OR($M1455="",$T1455=""),"",$T1455+(X$2*$M1455))</f>
        <v/>
      </c>
      <c r="Y1455" s="47">
        <f>IF(OR($M1455="",$T1455=""),"",$T1455+(Y$2*$M1455))</f>
        <v/>
      </c>
      <c r="Z1455" s="49">
        <f>IF(OR($M1455="",$T1455=""),"",$T1455+(Z$2*$M1455))</f>
        <v/>
      </c>
      <c r="AA1455" s="51">
        <f>IF(OR($M1455="",$T1455=""),"",$T1455+(AA$2*$M1455))</f>
        <v/>
      </c>
      <c r="AB1455" s="48">
        <f>IF(OR($M1455="",$T1455=""),"",$T1455+(AB$2*$M1455))</f>
        <v/>
      </c>
      <c r="AC1455" s="48">
        <f>IF(OR($M1455="",$T1455=""),"",$T1455+(AC$2*$M1455))</f>
        <v/>
      </c>
      <c r="AD1455" s="48">
        <f>IF(OR($M1455="",$T1455=""),"",$T1455+(AD$2*$M1455))</f>
        <v/>
      </c>
      <c r="AE1455" s="49">
        <f>IF(OR($M1455="",$T1455=""),"",$T1455+(AE$2*$M1455))</f>
        <v/>
      </c>
      <c r="AF1455" s="52">
        <f>IF(OR(T1455="",I1455&lt;T1455),"",IFERROR(AVERAGE(T1455+M1455*{7,8,9,10,11})/IF(G1455="",I1455,G1455)-1,""))</f>
        <v/>
      </c>
      <c r="AG1455" s="55">
        <f>IF(OR(T1455="",I1455&lt;T1455),"",IFERROR(AF1455/-(R1455/IF(G1455="",I1455,G1455)-1),""))</f>
        <v/>
      </c>
      <c r="AH1455" s="94" t="n"/>
      <c r="AI1455" s="94" t="n"/>
      <c r="AJ1455" s="94" t="n"/>
      <c r="AK1455" s="94" t="n"/>
      <c r="AL1455" s="84" t="n"/>
    </row>
    <row r="1456">
      <c r="A1456" s="64" t="n"/>
      <c r="B1456" s="65" t="n"/>
      <c r="C1456" s="66" t="n"/>
      <c r="D1456" s="67" t="n"/>
      <c r="E1456" s="68" t="n"/>
      <c r="F1456" s="47">
        <f>IF(A1456="","",IF(MIN(H1456,MAX(J1456:K1456))=0,"",MIN(H1456,MAX(J1456:K1456))))</f>
        <v/>
      </c>
      <c r="G1456" s="74" t="n"/>
      <c r="H1456" s="49">
        <f>IF(M1456="","",IFERROR(ROUND(AVERAGE(T1456+M1456*{7,8,9,10,11})/1.21,4),""))</f>
        <v/>
      </c>
      <c r="I1456" s="76" t="n"/>
      <c r="J1456" s="77" t="n"/>
      <c r="K1456" s="74" t="n"/>
      <c r="L1456" s="78" t="n"/>
      <c r="M1456" s="77" t="n"/>
      <c r="N1456" s="53">
        <f>IF(M1456="","",IFERROR(M1456/I1456,""))</f>
        <v/>
      </c>
      <c r="O1456" s="50">
        <f>IF(A1456="","",IFERROR((IF(G1456="",I1456,G1456)-T1456)/M1456,""))</f>
        <v/>
      </c>
      <c r="P1456" s="50">
        <f>IFERROR((I1456/T1456-1)/N1456,"")</f>
        <v/>
      </c>
      <c r="Q1456" s="46">
        <f>IF(OR(T1456="",I1456&lt;T1456),"",IFERROR(R1456/IF(G1456="",I1456,G1456)-1,""))</f>
        <v/>
      </c>
      <c r="R1456" s="48">
        <f>IF($M1456="","",MAX(IF($G1456="",$I1456,$G1456)*(1/1.1),IF($G1456="",$I1456,$G1456)+(R$2*$M1456)))</f>
        <v/>
      </c>
      <c r="S1456" s="49">
        <f>IF($M1456="","",MAX(IF($G1456="",$I1456,$G1456)*(1/1.1),IF($G1456="",$I1456,$G1456)+(S$2*$M1456)))</f>
        <v/>
      </c>
      <c r="T1456" s="82" t="n"/>
      <c r="U1456" s="47">
        <f>IF(OR($M1456="",$T1456=""),"",$T1456+(U$2*$M1456))</f>
        <v/>
      </c>
      <c r="V1456" s="48">
        <f>IF(OR($M1456="",$T1456=""),"",$T1456+(V$2*$M1456))</f>
        <v/>
      </c>
      <c r="W1456" s="48">
        <f>IF(OR($M1456="",$T1456=""),"",$T1456+(W$2*$M1456))</f>
        <v/>
      </c>
      <c r="X1456" s="49">
        <f>IF(OR($M1456="",$T1456=""),"",$T1456+(X$2*$M1456))</f>
        <v/>
      </c>
      <c r="Y1456" s="47">
        <f>IF(OR($M1456="",$T1456=""),"",$T1456+(Y$2*$M1456))</f>
        <v/>
      </c>
      <c r="Z1456" s="49">
        <f>IF(OR($M1456="",$T1456=""),"",$T1456+(Z$2*$M1456))</f>
        <v/>
      </c>
      <c r="AA1456" s="51">
        <f>IF(OR($M1456="",$T1456=""),"",$T1456+(AA$2*$M1456))</f>
        <v/>
      </c>
      <c r="AB1456" s="48">
        <f>IF(OR($M1456="",$T1456=""),"",$T1456+(AB$2*$M1456))</f>
        <v/>
      </c>
      <c r="AC1456" s="48">
        <f>IF(OR($M1456="",$T1456=""),"",$T1456+(AC$2*$M1456))</f>
        <v/>
      </c>
      <c r="AD1456" s="48">
        <f>IF(OR($M1456="",$T1456=""),"",$T1456+(AD$2*$M1456))</f>
        <v/>
      </c>
      <c r="AE1456" s="49">
        <f>IF(OR($M1456="",$T1456=""),"",$T1456+(AE$2*$M1456))</f>
        <v/>
      </c>
      <c r="AF1456" s="52">
        <f>IF(OR(T1456="",I1456&lt;T1456),"",IFERROR(AVERAGE(T1456+M1456*{7,8,9,10,11})/IF(G1456="",I1456,G1456)-1,""))</f>
        <v/>
      </c>
      <c r="AG1456" s="55">
        <f>IF(OR(T1456="",I1456&lt;T1456),"",IFERROR(AF1456/-(R1456/IF(G1456="",I1456,G1456)-1),""))</f>
        <v/>
      </c>
      <c r="AH1456" s="94" t="n"/>
      <c r="AI1456" s="94" t="n"/>
      <c r="AJ1456" s="94" t="n"/>
      <c r="AK1456" s="94" t="n"/>
      <c r="AL1456" s="84" t="n"/>
    </row>
    <row r="1457">
      <c r="A1457" s="64" t="n"/>
      <c r="B1457" s="65" t="n"/>
      <c r="C1457" s="66" t="n"/>
      <c r="D1457" s="67" t="n"/>
      <c r="E1457" s="68" t="n"/>
      <c r="F1457" s="47">
        <f>IF(A1457="","",IF(MIN(H1457,MAX(J1457:K1457))=0,"",MIN(H1457,MAX(J1457:K1457))))</f>
        <v/>
      </c>
      <c r="G1457" s="74" t="n"/>
      <c r="H1457" s="49">
        <f>IF(M1457="","",IFERROR(ROUND(AVERAGE(T1457+M1457*{7,8,9,10,11})/1.21,4),""))</f>
        <v/>
      </c>
      <c r="I1457" s="76" t="n"/>
      <c r="J1457" s="77" t="n"/>
      <c r="K1457" s="74" t="n"/>
      <c r="L1457" s="78" t="n"/>
      <c r="M1457" s="77" t="n"/>
      <c r="N1457" s="53">
        <f>IF(M1457="","",IFERROR(M1457/I1457,""))</f>
        <v/>
      </c>
      <c r="O1457" s="50">
        <f>IF(A1457="","",IFERROR((IF(G1457="",I1457,G1457)-T1457)/M1457,""))</f>
        <v/>
      </c>
      <c r="P1457" s="50">
        <f>IFERROR((I1457/T1457-1)/N1457,"")</f>
        <v/>
      </c>
      <c r="Q1457" s="46">
        <f>IF(OR(T1457="",I1457&lt;T1457),"",IFERROR(R1457/IF(G1457="",I1457,G1457)-1,""))</f>
        <v/>
      </c>
      <c r="R1457" s="48">
        <f>IF($M1457="","",MAX(IF($G1457="",$I1457,$G1457)*(1/1.1),IF($G1457="",$I1457,$G1457)+(R$2*$M1457)))</f>
        <v/>
      </c>
      <c r="S1457" s="49">
        <f>IF($M1457="","",MAX(IF($G1457="",$I1457,$G1457)*(1/1.1),IF($G1457="",$I1457,$G1457)+(S$2*$M1457)))</f>
        <v/>
      </c>
      <c r="T1457" s="82" t="n"/>
      <c r="U1457" s="47">
        <f>IF(OR($M1457="",$T1457=""),"",$T1457+(U$2*$M1457))</f>
        <v/>
      </c>
      <c r="V1457" s="48">
        <f>IF(OR($M1457="",$T1457=""),"",$T1457+(V$2*$M1457))</f>
        <v/>
      </c>
      <c r="W1457" s="48">
        <f>IF(OR($M1457="",$T1457=""),"",$T1457+(W$2*$M1457))</f>
        <v/>
      </c>
      <c r="X1457" s="49">
        <f>IF(OR($M1457="",$T1457=""),"",$T1457+(X$2*$M1457))</f>
        <v/>
      </c>
      <c r="Y1457" s="47">
        <f>IF(OR($M1457="",$T1457=""),"",$T1457+(Y$2*$M1457))</f>
        <v/>
      </c>
      <c r="Z1457" s="49">
        <f>IF(OR($M1457="",$T1457=""),"",$T1457+(Z$2*$M1457))</f>
        <v/>
      </c>
      <c r="AA1457" s="51">
        <f>IF(OR($M1457="",$T1457=""),"",$T1457+(AA$2*$M1457))</f>
        <v/>
      </c>
      <c r="AB1457" s="48">
        <f>IF(OR($M1457="",$T1457=""),"",$T1457+(AB$2*$M1457))</f>
        <v/>
      </c>
      <c r="AC1457" s="48">
        <f>IF(OR($M1457="",$T1457=""),"",$T1457+(AC$2*$M1457))</f>
        <v/>
      </c>
      <c r="AD1457" s="48">
        <f>IF(OR($M1457="",$T1457=""),"",$T1457+(AD$2*$M1457))</f>
        <v/>
      </c>
      <c r="AE1457" s="49">
        <f>IF(OR($M1457="",$T1457=""),"",$T1457+(AE$2*$M1457))</f>
        <v/>
      </c>
      <c r="AF1457" s="52">
        <f>IF(OR(T1457="",I1457&lt;T1457),"",IFERROR(AVERAGE(T1457+M1457*{7,8,9,10,11})/IF(G1457="",I1457,G1457)-1,""))</f>
        <v/>
      </c>
      <c r="AG1457" s="55">
        <f>IF(OR(T1457="",I1457&lt;T1457),"",IFERROR(AF1457/-(R1457/IF(G1457="",I1457,G1457)-1),""))</f>
        <v/>
      </c>
      <c r="AH1457" s="94" t="n"/>
      <c r="AI1457" s="94" t="n"/>
      <c r="AJ1457" s="94" t="n"/>
      <c r="AK1457" s="94" t="n"/>
      <c r="AL1457" s="84" t="n"/>
    </row>
    <row r="1458">
      <c r="A1458" s="64" t="n"/>
      <c r="B1458" s="65" t="n"/>
      <c r="C1458" s="66" t="n"/>
      <c r="D1458" s="67" t="n"/>
      <c r="E1458" s="68" t="n"/>
      <c r="F1458" s="47">
        <f>IF(A1458="","",IF(MIN(H1458,MAX(J1458:K1458))=0,"",MIN(H1458,MAX(J1458:K1458))))</f>
        <v/>
      </c>
      <c r="G1458" s="74" t="n"/>
      <c r="H1458" s="49">
        <f>IF(M1458="","",IFERROR(ROUND(AVERAGE(T1458+M1458*{7,8,9,10,11})/1.21,4),""))</f>
        <v/>
      </c>
      <c r="I1458" s="76" t="n"/>
      <c r="J1458" s="77" t="n"/>
      <c r="K1458" s="74" t="n"/>
      <c r="L1458" s="78" t="n"/>
      <c r="M1458" s="77" t="n"/>
      <c r="N1458" s="53">
        <f>IF(M1458="","",IFERROR(M1458/I1458,""))</f>
        <v/>
      </c>
      <c r="O1458" s="50">
        <f>IF(A1458="","",IFERROR((IF(G1458="",I1458,G1458)-T1458)/M1458,""))</f>
        <v/>
      </c>
      <c r="P1458" s="50">
        <f>IFERROR((I1458/T1458-1)/N1458,"")</f>
        <v/>
      </c>
      <c r="Q1458" s="46">
        <f>IF(OR(T1458="",I1458&lt;T1458),"",IFERROR(R1458/IF(G1458="",I1458,G1458)-1,""))</f>
        <v/>
      </c>
      <c r="R1458" s="48">
        <f>IF($M1458="","",MAX(IF($G1458="",$I1458,$G1458)*(1/1.1),IF($G1458="",$I1458,$G1458)+(R$2*$M1458)))</f>
        <v/>
      </c>
      <c r="S1458" s="49">
        <f>IF($M1458="","",MAX(IF($G1458="",$I1458,$G1458)*(1/1.1),IF($G1458="",$I1458,$G1458)+(S$2*$M1458)))</f>
        <v/>
      </c>
      <c r="T1458" s="82" t="n"/>
      <c r="U1458" s="47">
        <f>IF(OR($M1458="",$T1458=""),"",$T1458+(U$2*$M1458))</f>
        <v/>
      </c>
      <c r="V1458" s="48">
        <f>IF(OR($M1458="",$T1458=""),"",$T1458+(V$2*$M1458))</f>
        <v/>
      </c>
      <c r="W1458" s="48">
        <f>IF(OR($M1458="",$T1458=""),"",$T1458+(W$2*$M1458))</f>
        <v/>
      </c>
      <c r="X1458" s="49">
        <f>IF(OR($M1458="",$T1458=""),"",$T1458+(X$2*$M1458))</f>
        <v/>
      </c>
      <c r="Y1458" s="47">
        <f>IF(OR($M1458="",$T1458=""),"",$T1458+(Y$2*$M1458))</f>
        <v/>
      </c>
      <c r="Z1458" s="49">
        <f>IF(OR($M1458="",$T1458=""),"",$T1458+(Z$2*$M1458))</f>
        <v/>
      </c>
      <c r="AA1458" s="51">
        <f>IF(OR($M1458="",$T1458=""),"",$T1458+(AA$2*$M1458))</f>
        <v/>
      </c>
      <c r="AB1458" s="48">
        <f>IF(OR($M1458="",$T1458=""),"",$T1458+(AB$2*$M1458))</f>
        <v/>
      </c>
      <c r="AC1458" s="48">
        <f>IF(OR($M1458="",$T1458=""),"",$T1458+(AC$2*$M1458))</f>
        <v/>
      </c>
      <c r="AD1458" s="48">
        <f>IF(OR($M1458="",$T1458=""),"",$T1458+(AD$2*$M1458))</f>
        <v/>
      </c>
      <c r="AE1458" s="49">
        <f>IF(OR($M1458="",$T1458=""),"",$T1458+(AE$2*$M1458))</f>
        <v/>
      </c>
      <c r="AF1458" s="52">
        <f>IF(OR(T1458="",I1458&lt;T1458),"",IFERROR(AVERAGE(T1458+M1458*{7,8,9,10,11})/IF(G1458="",I1458,G1458)-1,""))</f>
        <v/>
      </c>
      <c r="AG1458" s="55">
        <f>IF(OR(T1458="",I1458&lt;T1458),"",IFERROR(AF1458/-(R1458/IF(G1458="",I1458,G1458)-1),""))</f>
        <v/>
      </c>
      <c r="AH1458" s="94" t="n"/>
      <c r="AI1458" s="94" t="n"/>
      <c r="AJ1458" s="94" t="n"/>
      <c r="AK1458" s="94" t="n"/>
      <c r="AL1458" s="84" t="n"/>
    </row>
    <row r="1459">
      <c r="A1459" s="64" t="n"/>
      <c r="B1459" s="65" t="n"/>
      <c r="C1459" s="66" t="n"/>
      <c r="D1459" s="67" t="n"/>
      <c r="E1459" s="68" t="n"/>
      <c r="F1459" s="47">
        <f>IF(A1459="","",IF(MIN(H1459,MAX(J1459:K1459))=0,"",MIN(H1459,MAX(J1459:K1459))))</f>
        <v/>
      </c>
      <c r="G1459" s="74" t="n"/>
      <c r="H1459" s="49">
        <f>IF(M1459="","",IFERROR(ROUND(AVERAGE(T1459+M1459*{7,8,9,10,11})/1.21,4),""))</f>
        <v/>
      </c>
      <c r="I1459" s="76" t="n"/>
      <c r="J1459" s="77" t="n"/>
      <c r="K1459" s="74" t="n"/>
      <c r="L1459" s="78" t="n"/>
      <c r="M1459" s="77" t="n"/>
      <c r="N1459" s="53">
        <f>IF(M1459="","",IFERROR(M1459/I1459,""))</f>
        <v/>
      </c>
      <c r="O1459" s="50">
        <f>IF(A1459="","",IFERROR((IF(G1459="",I1459,G1459)-T1459)/M1459,""))</f>
        <v/>
      </c>
      <c r="P1459" s="50">
        <f>IFERROR((I1459/T1459-1)/N1459,"")</f>
        <v/>
      </c>
      <c r="Q1459" s="46">
        <f>IF(OR(T1459="",I1459&lt;T1459),"",IFERROR(R1459/IF(G1459="",I1459,G1459)-1,""))</f>
        <v/>
      </c>
      <c r="R1459" s="48">
        <f>IF($M1459="","",MAX(IF($G1459="",$I1459,$G1459)*(1/1.1),IF($G1459="",$I1459,$G1459)+(R$2*$M1459)))</f>
        <v/>
      </c>
      <c r="S1459" s="49">
        <f>IF($M1459="","",MAX(IF($G1459="",$I1459,$G1459)*(1/1.1),IF($G1459="",$I1459,$G1459)+(S$2*$M1459)))</f>
        <v/>
      </c>
      <c r="T1459" s="82" t="n"/>
      <c r="U1459" s="47">
        <f>IF(OR($M1459="",$T1459=""),"",$T1459+(U$2*$M1459))</f>
        <v/>
      </c>
      <c r="V1459" s="48">
        <f>IF(OR($M1459="",$T1459=""),"",$T1459+(V$2*$M1459))</f>
        <v/>
      </c>
      <c r="W1459" s="48">
        <f>IF(OR($M1459="",$T1459=""),"",$T1459+(W$2*$M1459))</f>
        <v/>
      </c>
      <c r="X1459" s="49">
        <f>IF(OR($M1459="",$T1459=""),"",$T1459+(X$2*$M1459))</f>
        <v/>
      </c>
      <c r="Y1459" s="47">
        <f>IF(OR($M1459="",$T1459=""),"",$T1459+(Y$2*$M1459))</f>
        <v/>
      </c>
      <c r="Z1459" s="49">
        <f>IF(OR($M1459="",$T1459=""),"",$T1459+(Z$2*$M1459))</f>
        <v/>
      </c>
      <c r="AA1459" s="51">
        <f>IF(OR($M1459="",$T1459=""),"",$T1459+(AA$2*$M1459))</f>
        <v/>
      </c>
      <c r="AB1459" s="48">
        <f>IF(OR($M1459="",$T1459=""),"",$T1459+(AB$2*$M1459))</f>
        <v/>
      </c>
      <c r="AC1459" s="48">
        <f>IF(OR($M1459="",$T1459=""),"",$T1459+(AC$2*$M1459))</f>
        <v/>
      </c>
      <c r="AD1459" s="48">
        <f>IF(OR($M1459="",$T1459=""),"",$T1459+(AD$2*$M1459))</f>
        <v/>
      </c>
      <c r="AE1459" s="49">
        <f>IF(OR($M1459="",$T1459=""),"",$T1459+(AE$2*$M1459))</f>
        <v/>
      </c>
      <c r="AF1459" s="52">
        <f>IF(OR(T1459="",I1459&lt;T1459),"",IFERROR(AVERAGE(T1459+M1459*{7,8,9,10,11})/IF(G1459="",I1459,G1459)-1,""))</f>
        <v/>
      </c>
      <c r="AG1459" s="55">
        <f>IF(OR(T1459="",I1459&lt;T1459),"",IFERROR(AF1459/-(R1459/IF(G1459="",I1459,G1459)-1),""))</f>
        <v/>
      </c>
      <c r="AH1459" s="94" t="n"/>
      <c r="AI1459" s="94" t="n"/>
      <c r="AJ1459" s="94" t="n"/>
      <c r="AK1459" s="94" t="n"/>
      <c r="AL1459" s="84" t="n"/>
    </row>
    <row r="1460">
      <c r="A1460" s="64" t="n"/>
      <c r="B1460" s="65" t="n"/>
      <c r="C1460" s="66" t="n"/>
      <c r="D1460" s="67" t="n"/>
      <c r="E1460" s="68" t="n"/>
      <c r="F1460" s="47">
        <f>IF(A1460="","",IF(MIN(H1460,MAX(J1460:K1460))=0,"",MIN(H1460,MAX(J1460:K1460))))</f>
        <v/>
      </c>
      <c r="G1460" s="74" t="n"/>
      <c r="H1460" s="49">
        <f>IF(M1460="","",IFERROR(ROUND(AVERAGE(T1460+M1460*{7,8,9,10,11})/1.21,4),""))</f>
        <v/>
      </c>
      <c r="I1460" s="76" t="n"/>
      <c r="J1460" s="77" t="n"/>
      <c r="K1460" s="74" t="n"/>
      <c r="L1460" s="78" t="n"/>
      <c r="M1460" s="77" t="n"/>
      <c r="N1460" s="53">
        <f>IF(M1460="","",IFERROR(M1460/I1460,""))</f>
        <v/>
      </c>
      <c r="O1460" s="50">
        <f>IF(A1460="","",IFERROR((IF(G1460="",I1460,G1460)-T1460)/M1460,""))</f>
        <v/>
      </c>
      <c r="P1460" s="50">
        <f>IFERROR((I1460/T1460-1)/N1460,"")</f>
        <v/>
      </c>
      <c r="Q1460" s="46">
        <f>IF(OR(T1460="",I1460&lt;T1460),"",IFERROR(R1460/IF(G1460="",I1460,G1460)-1,""))</f>
        <v/>
      </c>
      <c r="R1460" s="48">
        <f>IF($M1460="","",MAX(IF($G1460="",$I1460,$G1460)*(1/1.1),IF($G1460="",$I1460,$G1460)+(R$2*$M1460)))</f>
        <v/>
      </c>
      <c r="S1460" s="49">
        <f>IF($M1460="","",MAX(IF($G1460="",$I1460,$G1460)*(1/1.1),IF($G1460="",$I1460,$G1460)+(S$2*$M1460)))</f>
        <v/>
      </c>
      <c r="T1460" s="82" t="n"/>
      <c r="U1460" s="47">
        <f>IF(OR($M1460="",$T1460=""),"",$T1460+(U$2*$M1460))</f>
        <v/>
      </c>
      <c r="V1460" s="48">
        <f>IF(OR($M1460="",$T1460=""),"",$T1460+(V$2*$M1460))</f>
        <v/>
      </c>
      <c r="W1460" s="48">
        <f>IF(OR($M1460="",$T1460=""),"",$T1460+(W$2*$M1460))</f>
        <v/>
      </c>
      <c r="X1460" s="49">
        <f>IF(OR($M1460="",$T1460=""),"",$T1460+(X$2*$M1460))</f>
        <v/>
      </c>
      <c r="Y1460" s="47">
        <f>IF(OR($M1460="",$T1460=""),"",$T1460+(Y$2*$M1460))</f>
        <v/>
      </c>
      <c r="Z1460" s="49">
        <f>IF(OR($M1460="",$T1460=""),"",$T1460+(Z$2*$M1460))</f>
        <v/>
      </c>
      <c r="AA1460" s="51">
        <f>IF(OR($M1460="",$T1460=""),"",$T1460+(AA$2*$M1460))</f>
        <v/>
      </c>
      <c r="AB1460" s="48">
        <f>IF(OR($M1460="",$T1460=""),"",$T1460+(AB$2*$M1460))</f>
        <v/>
      </c>
      <c r="AC1460" s="48">
        <f>IF(OR($M1460="",$T1460=""),"",$T1460+(AC$2*$M1460))</f>
        <v/>
      </c>
      <c r="AD1460" s="48">
        <f>IF(OR($M1460="",$T1460=""),"",$T1460+(AD$2*$M1460))</f>
        <v/>
      </c>
      <c r="AE1460" s="49">
        <f>IF(OR($M1460="",$T1460=""),"",$T1460+(AE$2*$M1460))</f>
        <v/>
      </c>
      <c r="AF1460" s="52">
        <f>IF(OR(T1460="",I1460&lt;T1460),"",IFERROR(AVERAGE(T1460+M1460*{7,8,9,10,11})/IF(G1460="",I1460,G1460)-1,""))</f>
        <v/>
      </c>
      <c r="AG1460" s="55">
        <f>IF(OR(T1460="",I1460&lt;T1460),"",IFERROR(AF1460/-(R1460/IF(G1460="",I1460,G1460)-1),""))</f>
        <v/>
      </c>
      <c r="AH1460" s="94" t="n"/>
      <c r="AI1460" s="94" t="n"/>
      <c r="AJ1460" s="94" t="n"/>
      <c r="AK1460" s="94" t="n"/>
      <c r="AL1460" s="84" t="n"/>
    </row>
    <row r="1461">
      <c r="A1461" s="64" t="n"/>
      <c r="B1461" s="65" t="n"/>
      <c r="C1461" s="66" t="n"/>
      <c r="D1461" s="67" t="n"/>
      <c r="E1461" s="68" t="n"/>
      <c r="F1461" s="47">
        <f>IF(A1461="","",IF(MIN(H1461,MAX(J1461:K1461))=0,"",MIN(H1461,MAX(J1461:K1461))))</f>
        <v/>
      </c>
      <c r="G1461" s="74" t="n"/>
      <c r="H1461" s="49">
        <f>IF(M1461="","",IFERROR(ROUND(AVERAGE(T1461+M1461*{7,8,9,10,11})/1.21,4),""))</f>
        <v/>
      </c>
      <c r="I1461" s="76" t="n"/>
      <c r="J1461" s="77" t="n"/>
      <c r="K1461" s="74" t="n"/>
      <c r="L1461" s="78" t="n"/>
      <c r="M1461" s="77" t="n"/>
      <c r="N1461" s="53">
        <f>IF(M1461="","",IFERROR(M1461/I1461,""))</f>
        <v/>
      </c>
      <c r="O1461" s="50">
        <f>IF(A1461="","",IFERROR((IF(G1461="",I1461,G1461)-T1461)/M1461,""))</f>
        <v/>
      </c>
      <c r="P1461" s="50">
        <f>IFERROR((I1461/T1461-1)/N1461,"")</f>
        <v/>
      </c>
      <c r="Q1461" s="46">
        <f>IF(OR(T1461="",I1461&lt;T1461),"",IFERROR(R1461/IF(G1461="",I1461,G1461)-1,""))</f>
        <v/>
      </c>
      <c r="R1461" s="48">
        <f>IF($M1461="","",MAX(IF($G1461="",$I1461,$G1461)*(1/1.1),IF($G1461="",$I1461,$G1461)+(R$2*$M1461)))</f>
        <v/>
      </c>
      <c r="S1461" s="49">
        <f>IF($M1461="","",MAX(IF($G1461="",$I1461,$G1461)*(1/1.1),IF($G1461="",$I1461,$G1461)+(S$2*$M1461)))</f>
        <v/>
      </c>
      <c r="T1461" s="82" t="n"/>
      <c r="U1461" s="47">
        <f>IF(OR($M1461="",$T1461=""),"",$T1461+(U$2*$M1461))</f>
        <v/>
      </c>
      <c r="V1461" s="48">
        <f>IF(OR($M1461="",$T1461=""),"",$T1461+(V$2*$M1461))</f>
        <v/>
      </c>
      <c r="W1461" s="48">
        <f>IF(OR($M1461="",$T1461=""),"",$T1461+(W$2*$M1461))</f>
        <v/>
      </c>
      <c r="X1461" s="49">
        <f>IF(OR($M1461="",$T1461=""),"",$T1461+(X$2*$M1461))</f>
        <v/>
      </c>
      <c r="Y1461" s="47">
        <f>IF(OR($M1461="",$T1461=""),"",$T1461+(Y$2*$M1461))</f>
        <v/>
      </c>
      <c r="Z1461" s="49">
        <f>IF(OR($M1461="",$T1461=""),"",$T1461+(Z$2*$M1461))</f>
        <v/>
      </c>
      <c r="AA1461" s="51">
        <f>IF(OR($M1461="",$T1461=""),"",$T1461+(AA$2*$M1461))</f>
        <v/>
      </c>
      <c r="AB1461" s="48">
        <f>IF(OR($M1461="",$T1461=""),"",$T1461+(AB$2*$M1461))</f>
        <v/>
      </c>
      <c r="AC1461" s="48">
        <f>IF(OR($M1461="",$T1461=""),"",$T1461+(AC$2*$M1461))</f>
        <v/>
      </c>
      <c r="AD1461" s="48">
        <f>IF(OR($M1461="",$T1461=""),"",$T1461+(AD$2*$M1461))</f>
        <v/>
      </c>
      <c r="AE1461" s="49">
        <f>IF(OR($M1461="",$T1461=""),"",$T1461+(AE$2*$M1461))</f>
        <v/>
      </c>
      <c r="AF1461" s="52">
        <f>IF(OR(T1461="",I1461&lt;T1461),"",IFERROR(AVERAGE(T1461+M1461*{7,8,9,10,11})/IF(G1461="",I1461,G1461)-1,""))</f>
        <v/>
      </c>
      <c r="AG1461" s="55">
        <f>IF(OR(T1461="",I1461&lt;T1461),"",IFERROR(AF1461/-(R1461/IF(G1461="",I1461,G1461)-1),""))</f>
        <v/>
      </c>
      <c r="AH1461" s="94" t="n"/>
      <c r="AI1461" s="94" t="n"/>
      <c r="AJ1461" s="94" t="n"/>
      <c r="AK1461" s="94" t="n"/>
      <c r="AL1461" s="84" t="n"/>
    </row>
    <row r="1462">
      <c r="A1462" s="64" t="n"/>
      <c r="B1462" s="65" t="n"/>
      <c r="C1462" s="66" t="n"/>
      <c r="D1462" s="67" t="n"/>
      <c r="E1462" s="68" t="n"/>
      <c r="F1462" s="47">
        <f>IF(A1462="","",IF(MIN(H1462,MAX(J1462:K1462))=0,"",MIN(H1462,MAX(J1462:K1462))))</f>
        <v/>
      </c>
      <c r="G1462" s="74" t="n"/>
      <c r="H1462" s="49">
        <f>IF(M1462="","",IFERROR(ROUND(AVERAGE(T1462+M1462*{7,8,9,10,11})/1.21,4),""))</f>
        <v/>
      </c>
      <c r="I1462" s="76" t="n"/>
      <c r="J1462" s="77" t="n"/>
      <c r="K1462" s="74" t="n"/>
      <c r="L1462" s="78" t="n"/>
      <c r="M1462" s="77" t="n"/>
      <c r="N1462" s="53">
        <f>IF(M1462="","",IFERROR(M1462/I1462,""))</f>
        <v/>
      </c>
      <c r="O1462" s="50">
        <f>IF(A1462="","",IFERROR((IF(G1462="",I1462,G1462)-T1462)/M1462,""))</f>
        <v/>
      </c>
      <c r="P1462" s="50">
        <f>IFERROR((I1462/T1462-1)/N1462,"")</f>
        <v/>
      </c>
      <c r="Q1462" s="46">
        <f>IF(OR(T1462="",I1462&lt;T1462),"",IFERROR(R1462/IF(G1462="",I1462,G1462)-1,""))</f>
        <v/>
      </c>
      <c r="R1462" s="48">
        <f>IF($M1462="","",MAX(IF($G1462="",$I1462,$G1462)*(1/1.1),IF($G1462="",$I1462,$G1462)+(R$2*$M1462)))</f>
        <v/>
      </c>
      <c r="S1462" s="49">
        <f>IF($M1462="","",MAX(IF($G1462="",$I1462,$G1462)*(1/1.1),IF($G1462="",$I1462,$G1462)+(S$2*$M1462)))</f>
        <v/>
      </c>
      <c r="T1462" s="82" t="n"/>
      <c r="U1462" s="47">
        <f>IF(OR($M1462="",$T1462=""),"",$T1462+(U$2*$M1462))</f>
        <v/>
      </c>
      <c r="V1462" s="48">
        <f>IF(OR($M1462="",$T1462=""),"",$T1462+(V$2*$M1462))</f>
        <v/>
      </c>
      <c r="W1462" s="48">
        <f>IF(OR($M1462="",$T1462=""),"",$T1462+(W$2*$M1462))</f>
        <v/>
      </c>
      <c r="X1462" s="49">
        <f>IF(OR($M1462="",$T1462=""),"",$T1462+(X$2*$M1462))</f>
        <v/>
      </c>
      <c r="Y1462" s="47">
        <f>IF(OR($M1462="",$T1462=""),"",$T1462+(Y$2*$M1462))</f>
        <v/>
      </c>
      <c r="Z1462" s="49">
        <f>IF(OR($M1462="",$T1462=""),"",$T1462+(Z$2*$M1462))</f>
        <v/>
      </c>
      <c r="AA1462" s="51">
        <f>IF(OR($M1462="",$T1462=""),"",$T1462+(AA$2*$M1462))</f>
        <v/>
      </c>
      <c r="AB1462" s="48">
        <f>IF(OR($M1462="",$T1462=""),"",$T1462+(AB$2*$M1462))</f>
        <v/>
      </c>
      <c r="AC1462" s="48">
        <f>IF(OR($M1462="",$T1462=""),"",$T1462+(AC$2*$M1462))</f>
        <v/>
      </c>
      <c r="AD1462" s="48">
        <f>IF(OR($M1462="",$T1462=""),"",$T1462+(AD$2*$M1462))</f>
        <v/>
      </c>
      <c r="AE1462" s="49">
        <f>IF(OR($M1462="",$T1462=""),"",$T1462+(AE$2*$M1462))</f>
        <v/>
      </c>
      <c r="AF1462" s="52">
        <f>IF(OR(T1462="",I1462&lt;T1462),"",IFERROR(AVERAGE(T1462+M1462*{7,8,9,10,11})/IF(G1462="",I1462,G1462)-1,""))</f>
        <v/>
      </c>
      <c r="AG1462" s="55">
        <f>IF(OR(T1462="",I1462&lt;T1462),"",IFERROR(AF1462/-(R1462/IF(G1462="",I1462,G1462)-1),""))</f>
        <v/>
      </c>
      <c r="AH1462" s="94" t="n"/>
      <c r="AI1462" s="94" t="n"/>
      <c r="AJ1462" s="94" t="n"/>
      <c r="AK1462" s="94" t="n"/>
      <c r="AL1462" s="84" t="n"/>
    </row>
    <row r="1463">
      <c r="A1463" s="64" t="n"/>
      <c r="B1463" s="65" t="n"/>
      <c r="C1463" s="66" t="n"/>
      <c r="D1463" s="67" t="n"/>
      <c r="E1463" s="68" t="n"/>
      <c r="F1463" s="47">
        <f>IF(A1463="","",IF(MIN(H1463,MAX(J1463:K1463))=0,"",MIN(H1463,MAX(J1463:K1463))))</f>
        <v/>
      </c>
      <c r="G1463" s="74" t="n"/>
      <c r="H1463" s="49">
        <f>IF(M1463="","",IFERROR(ROUND(AVERAGE(T1463+M1463*{7,8,9,10,11})/1.21,4),""))</f>
        <v/>
      </c>
      <c r="I1463" s="76" t="n"/>
      <c r="J1463" s="77" t="n"/>
      <c r="K1463" s="74" t="n"/>
      <c r="L1463" s="78" t="n"/>
      <c r="M1463" s="77" t="n"/>
      <c r="N1463" s="53">
        <f>IF(M1463="","",IFERROR(M1463/I1463,""))</f>
        <v/>
      </c>
      <c r="O1463" s="50">
        <f>IF(A1463="","",IFERROR((IF(G1463="",I1463,G1463)-T1463)/M1463,""))</f>
        <v/>
      </c>
      <c r="P1463" s="50">
        <f>IFERROR((I1463/T1463-1)/N1463,"")</f>
        <v/>
      </c>
      <c r="Q1463" s="46">
        <f>IF(OR(T1463="",I1463&lt;T1463),"",IFERROR(R1463/IF(G1463="",I1463,G1463)-1,""))</f>
        <v/>
      </c>
      <c r="R1463" s="48">
        <f>IF($M1463="","",MAX(IF($G1463="",$I1463,$G1463)*(1/1.1),IF($G1463="",$I1463,$G1463)+(R$2*$M1463)))</f>
        <v/>
      </c>
      <c r="S1463" s="49">
        <f>IF($M1463="","",MAX(IF($G1463="",$I1463,$G1463)*(1/1.1),IF($G1463="",$I1463,$G1463)+(S$2*$M1463)))</f>
        <v/>
      </c>
      <c r="T1463" s="82" t="n"/>
      <c r="U1463" s="47">
        <f>IF(OR($M1463="",$T1463=""),"",$T1463+(U$2*$M1463))</f>
        <v/>
      </c>
      <c r="V1463" s="48">
        <f>IF(OR($M1463="",$T1463=""),"",$T1463+(V$2*$M1463))</f>
        <v/>
      </c>
      <c r="W1463" s="48">
        <f>IF(OR($M1463="",$T1463=""),"",$T1463+(W$2*$M1463))</f>
        <v/>
      </c>
      <c r="X1463" s="49">
        <f>IF(OR($M1463="",$T1463=""),"",$T1463+(X$2*$M1463))</f>
        <v/>
      </c>
      <c r="Y1463" s="47">
        <f>IF(OR($M1463="",$T1463=""),"",$T1463+(Y$2*$M1463))</f>
        <v/>
      </c>
      <c r="Z1463" s="49">
        <f>IF(OR($M1463="",$T1463=""),"",$T1463+(Z$2*$M1463))</f>
        <v/>
      </c>
      <c r="AA1463" s="51">
        <f>IF(OR($M1463="",$T1463=""),"",$T1463+(AA$2*$M1463))</f>
        <v/>
      </c>
      <c r="AB1463" s="48">
        <f>IF(OR($M1463="",$T1463=""),"",$T1463+(AB$2*$M1463))</f>
        <v/>
      </c>
      <c r="AC1463" s="48">
        <f>IF(OR($M1463="",$T1463=""),"",$T1463+(AC$2*$M1463))</f>
        <v/>
      </c>
      <c r="AD1463" s="48">
        <f>IF(OR($M1463="",$T1463=""),"",$T1463+(AD$2*$M1463))</f>
        <v/>
      </c>
      <c r="AE1463" s="49">
        <f>IF(OR($M1463="",$T1463=""),"",$T1463+(AE$2*$M1463))</f>
        <v/>
      </c>
      <c r="AF1463" s="52">
        <f>IF(OR(T1463="",I1463&lt;T1463),"",IFERROR(AVERAGE(T1463+M1463*{7,8,9,10,11})/IF(G1463="",I1463,G1463)-1,""))</f>
        <v/>
      </c>
      <c r="AG1463" s="55">
        <f>IF(OR(T1463="",I1463&lt;T1463),"",IFERROR(AF1463/-(R1463/IF(G1463="",I1463,G1463)-1),""))</f>
        <v/>
      </c>
      <c r="AH1463" s="94" t="n"/>
      <c r="AI1463" s="94" t="n"/>
      <c r="AJ1463" s="94" t="n"/>
      <c r="AK1463" s="94" t="n"/>
      <c r="AL1463" s="84" t="n"/>
    </row>
    <row r="1464">
      <c r="A1464" s="64" t="n"/>
      <c r="B1464" s="65" t="n"/>
      <c r="C1464" s="66" t="n"/>
      <c r="D1464" s="67" t="n"/>
      <c r="E1464" s="68" t="n"/>
      <c r="F1464" s="47">
        <f>IF(A1464="","",IF(MIN(H1464,MAX(J1464:K1464))=0,"",MIN(H1464,MAX(J1464:K1464))))</f>
        <v/>
      </c>
      <c r="G1464" s="74" t="n"/>
      <c r="H1464" s="49">
        <f>IF(M1464="","",IFERROR(ROUND(AVERAGE(T1464+M1464*{7,8,9,10,11})/1.21,4),""))</f>
        <v/>
      </c>
      <c r="I1464" s="76" t="n"/>
      <c r="J1464" s="77" t="n"/>
      <c r="K1464" s="74" t="n"/>
      <c r="L1464" s="78" t="n"/>
      <c r="M1464" s="77" t="n"/>
      <c r="N1464" s="53">
        <f>IF(M1464="","",IFERROR(M1464/I1464,""))</f>
        <v/>
      </c>
      <c r="O1464" s="50">
        <f>IF(A1464="","",IFERROR((IF(G1464="",I1464,G1464)-T1464)/M1464,""))</f>
        <v/>
      </c>
      <c r="P1464" s="50">
        <f>IFERROR((I1464/T1464-1)/N1464,"")</f>
        <v/>
      </c>
      <c r="Q1464" s="46">
        <f>IF(OR(T1464="",I1464&lt;T1464),"",IFERROR(R1464/IF(G1464="",I1464,G1464)-1,""))</f>
        <v/>
      </c>
      <c r="R1464" s="48">
        <f>IF($M1464="","",MAX(IF($G1464="",$I1464,$G1464)*(1/1.1),IF($G1464="",$I1464,$G1464)+(R$2*$M1464)))</f>
        <v/>
      </c>
      <c r="S1464" s="49">
        <f>IF($M1464="","",MAX(IF($G1464="",$I1464,$G1464)*(1/1.1),IF($G1464="",$I1464,$G1464)+(S$2*$M1464)))</f>
        <v/>
      </c>
      <c r="T1464" s="82" t="n"/>
      <c r="U1464" s="47">
        <f>IF(OR($M1464="",$T1464=""),"",$T1464+(U$2*$M1464))</f>
        <v/>
      </c>
      <c r="V1464" s="48">
        <f>IF(OR($M1464="",$T1464=""),"",$T1464+(V$2*$M1464))</f>
        <v/>
      </c>
      <c r="W1464" s="48">
        <f>IF(OR($M1464="",$T1464=""),"",$T1464+(W$2*$M1464))</f>
        <v/>
      </c>
      <c r="X1464" s="49">
        <f>IF(OR($M1464="",$T1464=""),"",$T1464+(X$2*$M1464))</f>
        <v/>
      </c>
      <c r="Y1464" s="47">
        <f>IF(OR($M1464="",$T1464=""),"",$T1464+(Y$2*$M1464))</f>
        <v/>
      </c>
      <c r="Z1464" s="49">
        <f>IF(OR($M1464="",$T1464=""),"",$T1464+(Z$2*$M1464))</f>
        <v/>
      </c>
      <c r="AA1464" s="51">
        <f>IF(OR($M1464="",$T1464=""),"",$T1464+(AA$2*$M1464))</f>
        <v/>
      </c>
      <c r="AB1464" s="48">
        <f>IF(OR($M1464="",$T1464=""),"",$T1464+(AB$2*$M1464))</f>
        <v/>
      </c>
      <c r="AC1464" s="48">
        <f>IF(OR($M1464="",$T1464=""),"",$T1464+(AC$2*$M1464))</f>
        <v/>
      </c>
      <c r="AD1464" s="48">
        <f>IF(OR($M1464="",$T1464=""),"",$T1464+(AD$2*$M1464))</f>
        <v/>
      </c>
      <c r="AE1464" s="49">
        <f>IF(OR($M1464="",$T1464=""),"",$T1464+(AE$2*$M1464))</f>
        <v/>
      </c>
      <c r="AF1464" s="52">
        <f>IF(OR(T1464="",I1464&lt;T1464),"",IFERROR(AVERAGE(T1464+M1464*{7,8,9,10,11})/IF(G1464="",I1464,G1464)-1,""))</f>
        <v/>
      </c>
      <c r="AG1464" s="55">
        <f>IF(OR(T1464="",I1464&lt;T1464),"",IFERROR(AF1464/-(R1464/IF(G1464="",I1464,G1464)-1),""))</f>
        <v/>
      </c>
      <c r="AH1464" s="94" t="n"/>
      <c r="AI1464" s="94" t="n"/>
      <c r="AJ1464" s="94" t="n"/>
      <c r="AK1464" s="94" t="n"/>
      <c r="AL1464" s="84" t="n"/>
    </row>
    <row r="1465">
      <c r="A1465" s="64" t="n"/>
      <c r="B1465" s="65" t="n"/>
      <c r="C1465" s="66" t="n"/>
      <c r="D1465" s="67" t="n"/>
      <c r="E1465" s="68" t="n"/>
      <c r="F1465" s="47">
        <f>IF(A1465="","",IF(MIN(H1465,MAX(J1465:K1465))=0,"",MIN(H1465,MAX(J1465:K1465))))</f>
        <v/>
      </c>
      <c r="G1465" s="74" t="n"/>
      <c r="H1465" s="49">
        <f>IF(M1465="","",IFERROR(ROUND(AVERAGE(T1465+M1465*{7,8,9,10,11})/1.21,4),""))</f>
        <v/>
      </c>
      <c r="I1465" s="76" t="n"/>
      <c r="J1465" s="77" t="n"/>
      <c r="K1465" s="74" t="n"/>
      <c r="L1465" s="78" t="n"/>
      <c r="M1465" s="77" t="n"/>
      <c r="N1465" s="53">
        <f>IF(M1465="","",IFERROR(M1465/I1465,""))</f>
        <v/>
      </c>
      <c r="O1465" s="50">
        <f>IF(A1465="","",IFERROR((IF(G1465="",I1465,G1465)-T1465)/M1465,""))</f>
        <v/>
      </c>
      <c r="P1465" s="50">
        <f>IFERROR((I1465/T1465-1)/N1465,"")</f>
        <v/>
      </c>
      <c r="Q1465" s="46">
        <f>IF(OR(T1465="",I1465&lt;T1465),"",IFERROR(R1465/IF(G1465="",I1465,G1465)-1,""))</f>
        <v/>
      </c>
      <c r="R1465" s="48">
        <f>IF($M1465="","",MAX(IF($G1465="",$I1465,$G1465)*(1/1.1),IF($G1465="",$I1465,$G1465)+(R$2*$M1465)))</f>
        <v/>
      </c>
      <c r="S1465" s="49">
        <f>IF($M1465="","",MAX(IF($G1465="",$I1465,$G1465)*(1/1.1),IF($G1465="",$I1465,$G1465)+(S$2*$M1465)))</f>
        <v/>
      </c>
      <c r="T1465" s="82" t="n"/>
      <c r="U1465" s="47">
        <f>IF(OR($M1465="",$T1465=""),"",$T1465+(U$2*$M1465))</f>
        <v/>
      </c>
      <c r="V1465" s="48">
        <f>IF(OR($M1465="",$T1465=""),"",$T1465+(V$2*$M1465))</f>
        <v/>
      </c>
      <c r="W1465" s="48">
        <f>IF(OR($M1465="",$T1465=""),"",$T1465+(W$2*$M1465))</f>
        <v/>
      </c>
      <c r="X1465" s="49">
        <f>IF(OR($M1465="",$T1465=""),"",$T1465+(X$2*$M1465))</f>
        <v/>
      </c>
      <c r="Y1465" s="47">
        <f>IF(OR($M1465="",$T1465=""),"",$T1465+(Y$2*$M1465))</f>
        <v/>
      </c>
      <c r="Z1465" s="49">
        <f>IF(OR($M1465="",$T1465=""),"",$T1465+(Z$2*$M1465))</f>
        <v/>
      </c>
      <c r="AA1465" s="51">
        <f>IF(OR($M1465="",$T1465=""),"",$T1465+(AA$2*$M1465))</f>
        <v/>
      </c>
      <c r="AB1465" s="48">
        <f>IF(OR($M1465="",$T1465=""),"",$T1465+(AB$2*$M1465))</f>
        <v/>
      </c>
      <c r="AC1465" s="48">
        <f>IF(OR($M1465="",$T1465=""),"",$T1465+(AC$2*$M1465))</f>
        <v/>
      </c>
      <c r="AD1465" s="48">
        <f>IF(OR($M1465="",$T1465=""),"",$T1465+(AD$2*$M1465))</f>
        <v/>
      </c>
      <c r="AE1465" s="49">
        <f>IF(OR($M1465="",$T1465=""),"",$T1465+(AE$2*$M1465))</f>
        <v/>
      </c>
      <c r="AF1465" s="52">
        <f>IF(OR(T1465="",I1465&lt;T1465),"",IFERROR(AVERAGE(T1465+M1465*{7,8,9,10,11})/IF(G1465="",I1465,G1465)-1,""))</f>
        <v/>
      </c>
      <c r="AG1465" s="55">
        <f>IF(OR(T1465="",I1465&lt;T1465),"",IFERROR(AF1465/-(R1465/IF(G1465="",I1465,G1465)-1),""))</f>
        <v/>
      </c>
      <c r="AH1465" s="94" t="n"/>
      <c r="AI1465" s="94" t="n"/>
      <c r="AJ1465" s="94" t="n"/>
      <c r="AK1465" s="94" t="n"/>
      <c r="AL1465" s="84" t="n"/>
    </row>
    <row r="1466">
      <c r="A1466" s="64" t="n"/>
      <c r="B1466" s="65" t="n"/>
      <c r="C1466" s="66" t="n"/>
      <c r="D1466" s="67" t="n"/>
      <c r="E1466" s="68" t="n"/>
      <c r="F1466" s="47">
        <f>IF(A1466="","",IF(MIN(H1466,MAX(J1466:K1466))=0,"",MIN(H1466,MAX(J1466:K1466))))</f>
        <v/>
      </c>
      <c r="G1466" s="74" t="n"/>
      <c r="H1466" s="49">
        <f>IF(M1466="","",IFERROR(ROUND(AVERAGE(T1466+M1466*{7,8,9,10,11})/1.21,4),""))</f>
        <v/>
      </c>
      <c r="I1466" s="76" t="n"/>
      <c r="J1466" s="77" t="n"/>
      <c r="K1466" s="74" t="n"/>
      <c r="L1466" s="78" t="n"/>
      <c r="M1466" s="77" t="n"/>
      <c r="N1466" s="53">
        <f>IF(M1466="","",IFERROR(M1466/I1466,""))</f>
        <v/>
      </c>
      <c r="O1466" s="50">
        <f>IF(A1466="","",IFERROR((IF(G1466="",I1466,G1466)-T1466)/M1466,""))</f>
        <v/>
      </c>
      <c r="P1466" s="50">
        <f>IFERROR((I1466/T1466-1)/N1466,"")</f>
        <v/>
      </c>
      <c r="Q1466" s="46">
        <f>IF(OR(T1466="",I1466&lt;T1466),"",IFERROR(R1466/IF(G1466="",I1466,G1466)-1,""))</f>
        <v/>
      </c>
      <c r="R1466" s="48">
        <f>IF($M1466="","",MAX(IF($G1466="",$I1466,$G1466)*(1/1.1),IF($G1466="",$I1466,$G1466)+(R$2*$M1466)))</f>
        <v/>
      </c>
      <c r="S1466" s="49">
        <f>IF($M1466="","",MAX(IF($G1466="",$I1466,$G1466)*(1/1.1),IF($G1466="",$I1466,$G1466)+(S$2*$M1466)))</f>
        <v/>
      </c>
      <c r="T1466" s="82" t="n"/>
      <c r="U1466" s="47">
        <f>IF(OR($M1466="",$T1466=""),"",$T1466+(U$2*$M1466))</f>
        <v/>
      </c>
      <c r="V1466" s="48">
        <f>IF(OR($M1466="",$T1466=""),"",$T1466+(V$2*$M1466))</f>
        <v/>
      </c>
      <c r="W1466" s="48">
        <f>IF(OR($M1466="",$T1466=""),"",$T1466+(W$2*$M1466))</f>
        <v/>
      </c>
      <c r="X1466" s="49">
        <f>IF(OR($M1466="",$T1466=""),"",$T1466+(X$2*$M1466))</f>
        <v/>
      </c>
      <c r="Y1466" s="47">
        <f>IF(OR($M1466="",$T1466=""),"",$T1466+(Y$2*$M1466))</f>
        <v/>
      </c>
      <c r="Z1466" s="49">
        <f>IF(OR($M1466="",$T1466=""),"",$T1466+(Z$2*$M1466))</f>
        <v/>
      </c>
      <c r="AA1466" s="51">
        <f>IF(OR($M1466="",$T1466=""),"",$T1466+(AA$2*$M1466))</f>
        <v/>
      </c>
      <c r="AB1466" s="48">
        <f>IF(OR($M1466="",$T1466=""),"",$T1466+(AB$2*$M1466))</f>
        <v/>
      </c>
      <c r="AC1466" s="48">
        <f>IF(OR($M1466="",$T1466=""),"",$T1466+(AC$2*$M1466))</f>
        <v/>
      </c>
      <c r="AD1466" s="48">
        <f>IF(OR($M1466="",$T1466=""),"",$T1466+(AD$2*$M1466))</f>
        <v/>
      </c>
      <c r="AE1466" s="49">
        <f>IF(OR($M1466="",$T1466=""),"",$T1466+(AE$2*$M1466))</f>
        <v/>
      </c>
      <c r="AF1466" s="52">
        <f>IF(OR(T1466="",I1466&lt;T1466),"",IFERROR(AVERAGE(T1466+M1466*{7,8,9,10,11})/IF(G1466="",I1466,G1466)-1,""))</f>
        <v/>
      </c>
      <c r="AG1466" s="55">
        <f>IF(OR(T1466="",I1466&lt;T1466),"",IFERROR(AF1466/-(R1466/IF(G1466="",I1466,G1466)-1),""))</f>
        <v/>
      </c>
      <c r="AH1466" s="94" t="n"/>
      <c r="AI1466" s="94" t="n"/>
      <c r="AJ1466" s="94" t="n"/>
      <c r="AK1466" s="94" t="n"/>
      <c r="AL1466" s="84" t="n"/>
    </row>
    <row r="1467">
      <c r="A1467" s="64" t="n"/>
      <c r="B1467" s="65" t="n"/>
      <c r="C1467" s="66" t="n"/>
      <c r="D1467" s="67" t="n"/>
      <c r="E1467" s="68" t="n"/>
      <c r="F1467" s="47">
        <f>IF(A1467="","",IF(MIN(H1467,MAX(J1467:K1467))=0,"",MIN(H1467,MAX(J1467:K1467))))</f>
        <v/>
      </c>
      <c r="G1467" s="74" t="n"/>
      <c r="H1467" s="49">
        <f>IF(M1467="","",IFERROR(ROUND(AVERAGE(T1467+M1467*{7,8,9,10,11})/1.21,4),""))</f>
        <v/>
      </c>
      <c r="I1467" s="76" t="n"/>
      <c r="J1467" s="77" t="n"/>
      <c r="K1467" s="74" t="n"/>
      <c r="L1467" s="78" t="n"/>
      <c r="M1467" s="77" t="n"/>
      <c r="N1467" s="53">
        <f>IF(M1467="","",IFERROR(M1467/I1467,""))</f>
        <v/>
      </c>
      <c r="O1467" s="50">
        <f>IF(A1467="","",IFERROR((IF(G1467="",I1467,G1467)-T1467)/M1467,""))</f>
        <v/>
      </c>
      <c r="P1467" s="50">
        <f>IFERROR((I1467/T1467-1)/N1467,"")</f>
        <v/>
      </c>
      <c r="Q1467" s="46">
        <f>IF(OR(T1467="",I1467&lt;T1467),"",IFERROR(R1467/IF(G1467="",I1467,G1467)-1,""))</f>
        <v/>
      </c>
      <c r="R1467" s="48">
        <f>IF($M1467="","",MAX(IF($G1467="",$I1467,$G1467)*(1/1.1),IF($G1467="",$I1467,$G1467)+(R$2*$M1467)))</f>
        <v/>
      </c>
      <c r="S1467" s="49">
        <f>IF($M1467="","",MAX(IF($G1467="",$I1467,$G1467)*(1/1.1),IF($G1467="",$I1467,$G1467)+(S$2*$M1467)))</f>
        <v/>
      </c>
      <c r="T1467" s="82" t="n"/>
      <c r="U1467" s="47">
        <f>IF(OR($M1467="",$T1467=""),"",$T1467+(U$2*$M1467))</f>
        <v/>
      </c>
      <c r="V1467" s="48">
        <f>IF(OR($M1467="",$T1467=""),"",$T1467+(V$2*$M1467))</f>
        <v/>
      </c>
      <c r="W1467" s="48">
        <f>IF(OR($M1467="",$T1467=""),"",$T1467+(W$2*$M1467))</f>
        <v/>
      </c>
      <c r="X1467" s="49">
        <f>IF(OR($M1467="",$T1467=""),"",$T1467+(X$2*$M1467))</f>
        <v/>
      </c>
      <c r="Y1467" s="47">
        <f>IF(OR($M1467="",$T1467=""),"",$T1467+(Y$2*$M1467))</f>
        <v/>
      </c>
      <c r="Z1467" s="49">
        <f>IF(OR($M1467="",$T1467=""),"",$T1467+(Z$2*$M1467))</f>
        <v/>
      </c>
      <c r="AA1467" s="51">
        <f>IF(OR($M1467="",$T1467=""),"",$T1467+(AA$2*$M1467))</f>
        <v/>
      </c>
      <c r="AB1467" s="48">
        <f>IF(OR($M1467="",$T1467=""),"",$T1467+(AB$2*$M1467))</f>
        <v/>
      </c>
      <c r="AC1467" s="48">
        <f>IF(OR($M1467="",$T1467=""),"",$T1467+(AC$2*$M1467))</f>
        <v/>
      </c>
      <c r="AD1467" s="48">
        <f>IF(OR($M1467="",$T1467=""),"",$T1467+(AD$2*$M1467))</f>
        <v/>
      </c>
      <c r="AE1467" s="49">
        <f>IF(OR($M1467="",$T1467=""),"",$T1467+(AE$2*$M1467))</f>
        <v/>
      </c>
      <c r="AF1467" s="52">
        <f>IF(OR(T1467="",I1467&lt;T1467),"",IFERROR(AVERAGE(T1467+M1467*{7,8,9,10,11})/IF(G1467="",I1467,G1467)-1,""))</f>
        <v/>
      </c>
      <c r="AG1467" s="55">
        <f>IF(OR(T1467="",I1467&lt;T1467),"",IFERROR(AF1467/-(R1467/IF(G1467="",I1467,G1467)-1),""))</f>
        <v/>
      </c>
      <c r="AH1467" s="94" t="n"/>
      <c r="AI1467" s="94" t="n"/>
      <c r="AJ1467" s="94" t="n"/>
      <c r="AK1467" s="94" t="n"/>
      <c r="AL1467" s="84" t="n"/>
    </row>
    <row r="1468">
      <c r="A1468" s="64" t="n"/>
      <c r="B1468" s="65" t="n"/>
      <c r="C1468" s="66" t="n"/>
      <c r="D1468" s="67" t="n"/>
      <c r="E1468" s="68" t="n"/>
      <c r="F1468" s="47">
        <f>IF(A1468="","",IF(MIN(H1468,MAX(J1468:K1468))=0,"",MIN(H1468,MAX(J1468:K1468))))</f>
        <v/>
      </c>
      <c r="G1468" s="74" t="n"/>
      <c r="H1468" s="49">
        <f>IF(M1468="","",IFERROR(ROUND(AVERAGE(T1468+M1468*{7,8,9,10,11})/1.21,4),""))</f>
        <v/>
      </c>
      <c r="I1468" s="76" t="n"/>
      <c r="J1468" s="77" t="n"/>
      <c r="K1468" s="74" t="n"/>
      <c r="L1468" s="78" t="n"/>
      <c r="M1468" s="77" t="n"/>
      <c r="N1468" s="53">
        <f>IF(M1468="","",IFERROR(M1468/I1468,""))</f>
        <v/>
      </c>
      <c r="O1468" s="50">
        <f>IF(A1468="","",IFERROR((IF(G1468="",I1468,G1468)-T1468)/M1468,""))</f>
        <v/>
      </c>
      <c r="P1468" s="50">
        <f>IFERROR((I1468/T1468-1)/N1468,"")</f>
        <v/>
      </c>
      <c r="Q1468" s="46">
        <f>IF(OR(T1468="",I1468&lt;T1468),"",IFERROR(R1468/IF(G1468="",I1468,G1468)-1,""))</f>
        <v/>
      </c>
      <c r="R1468" s="48">
        <f>IF($M1468="","",MAX(IF($G1468="",$I1468,$G1468)*(1/1.1),IF($G1468="",$I1468,$G1468)+(R$2*$M1468)))</f>
        <v/>
      </c>
      <c r="S1468" s="49">
        <f>IF($M1468="","",MAX(IF($G1468="",$I1468,$G1468)*(1/1.1),IF($G1468="",$I1468,$G1468)+(S$2*$M1468)))</f>
        <v/>
      </c>
      <c r="T1468" s="82" t="n"/>
      <c r="U1468" s="47">
        <f>IF(OR($M1468="",$T1468=""),"",$T1468+(U$2*$M1468))</f>
        <v/>
      </c>
      <c r="V1468" s="48">
        <f>IF(OR($M1468="",$T1468=""),"",$T1468+(V$2*$M1468))</f>
        <v/>
      </c>
      <c r="W1468" s="48">
        <f>IF(OR($M1468="",$T1468=""),"",$T1468+(W$2*$M1468))</f>
        <v/>
      </c>
      <c r="X1468" s="49">
        <f>IF(OR($M1468="",$T1468=""),"",$T1468+(X$2*$M1468))</f>
        <v/>
      </c>
      <c r="Y1468" s="47">
        <f>IF(OR($M1468="",$T1468=""),"",$T1468+(Y$2*$M1468))</f>
        <v/>
      </c>
      <c r="Z1468" s="49">
        <f>IF(OR($M1468="",$T1468=""),"",$T1468+(Z$2*$M1468))</f>
        <v/>
      </c>
      <c r="AA1468" s="51">
        <f>IF(OR($M1468="",$T1468=""),"",$T1468+(AA$2*$M1468))</f>
        <v/>
      </c>
      <c r="AB1468" s="48">
        <f>IF(OR($M1468="",$T1468=""),"",$T1468+(AB$2*$M1468))</f>
        <v/>
      </c>
      <c r="AC1468" s="48">
        <f>IF(OR($M1468="",$T1468=""),"",$T1468+(AC$2*$M1468))</f>
        <v/>
      </c>
      <c r="AD1468" s="48">
        <f>IF(OR($M1468="",$T1468=""),"",$T1468+(AD$2*$M1468))</f>
        <v/>
      </c>
      <c r="AE1468" s="49">
        <f>IF(OR($M1468="",$T1468=""),"",$T1468+(AE$2*$M1468))</f>
        <v/>
      </c>
      <c r="AF1468" s="52">
        <f>IF(OR(T1468="",I1468&lt;T1468),"",IFERROR(AVERAGE(T1468+M1468*{7,8,9,10,11})/IF(G1468="",I1468,G1468)-1,""))</f>
        <v/>
      </c>
      <c r="AG1468" s="55">
        <f>IF(OR(T1468="",I1468&lt;T1468),"",IFERROR(AF1468/-(R1468/IF(G1468="",I1468,G1468)-1),""))</f>
        <v/>
      </c>
      <c r="AH1468" s="94" t="n"/>
      <c r="AI1468" s="94" t="n"/>
      <c r="AJ1468" s="94" t="n"/>
      <c r="AK1468" s="94" t="n"/>
      <c r="AL1468" s="84" t="n"/>
    </row>
    <row r="1469">
      <c r="A1469" s="64" t="n"/>
      <c r="B1469" s="65" t="n"/>
      <c r="C1469" s="66" t="n"/>
      <c r="D1469" s="67" t="n"/>
      <c r="E1469" s="68" t="n"/>
      <c r="F1469" s="47">
        <f>IF(A1469="","",IF(MIN(H1469,MAX(J1469:K1469))=0,"",MIN(H1469,MAX(J1469:K1469))))</f>
        <v/>
      </c>
      <c r="G1469" s="74" t="n"/>
      <c r="H1469" s="49">
        <f>IF(M1469="","",IFERROR(ROUND(AVERAGE(T1469+M1469*{7,8,9,10,11})/1.21,4),""))</f>
        <v/>
      </c>
      <c r="I1469" s="76" t="n"/>
      <c r="J1469" s="77" t="n"/>
      <c r="K1469" s="74" t="n"/>
      <c r="L1469" s="78" t="n"/>
      <c r="M1469" s="77" t="n"/>
      <c r="N1469" s="53">
        <f>IF(M1469="","",IFERROR(M1469/I1469,""))</f>
        <v/>
      </c>
      <c r="O1469" s="50">
        <f>IF(A1469="","",IFERROR((IF(G1469="",I1469,G1469)-T1469)/M1469,""))</f>
        <v/>
      </c>
      <c r="P1469" s="50">
        <f>IFERROR((I1469/T1469-1)/N1469,"")</f>
        <v/>
      </c>
      <c r="Q1469" s="46">
        <f>IF(OR(T1469="",I1469&lt;T1469),"",IFERROR(R1469/IF(G1469="",I1469,G1469)-1,""))</f>
        <v/>
      </c>
      <c r="R1469" s="48">
        <f>IF($M1469="","",MAX(IF($G1469="",$I1469,$G1469)*(1/1.1),IF($G1469="",$I1469,$G1469)+(R$2*$M1469)))</f>
        <v/>
      </c>
      <c r="S1469" s="49">
        <f>IF($M1469="","",MAX(IF($G1469="",$I1469,$G1469)*(1/1.1),IF($G1469="",$I1469,$G1469)+(S$2*$M1469)))</f>
        <v/>
      </c>
      <c r="T1469" s="82" t="n"/>
      <c r="U1469" s="47">
        <f>IF(OR($M1469="",$T1469=""),"",$T1469+(U$2*$M1469))</f>
        <v/>
      </c>
      <c r="V1469" s="48">
        <f>IF(OR($M1469="",$T1469=""),"",$T1469+(V$2*$M1469))</f>
        <v/>
      </c>
      <c r="W1469" s="48">
        <f>IF(OR($M1469="",$T1469=""),"",$T1469+(W$2*$M1469))</f>
        <v/>
      </c>
      <c r="X1469" s="49">
        <f>IF(OR($M1469="",$T1469=""),"",$T1469+(X$2*$M1469))</f>
        <v/>
      </c>
      <c r="Y1469" s="47">
        <f>IF(OR($M1469="",$T1469=""),"",$T1469+(Y$2*$M1469))</f>
        <v/>
      </c>
      <c r="Z1469" s="49">
        <f>IF(OR($M1469="",$T1469=""),"",$T1469+(Z$2*$M1469))</f>
        <v/>
      </c>
      <c r="AA1469" s="51">
        <f>IF(OR($M1469="",$T1469=""),"",$T1469+(AA$2*$M1469))</f>
        <v/>
      </c>
      <c r="AB1469" s="48">
        <f>IF(OR($M1469="",$T1469=""),"",$T1469+(AB$2*$M1469))</f>
        <v/>
      </c>
      <c r="AC1469" s="48">
        <f>IF(OR($M1469="",$T1469=""),"",$T1469+(AC$2*$M1469))</f>
        <v/>
      </c>
      <c r="AD1469" s="48">
        <f>IF(OR($M1469="",$T1469=""),"",$T1469+(AD$2*$M1469))</f>
        <v/>
      </c>
      <c r="AE1469" s="49">
        <f>IF(OR($M1469="",$T1469=""),"",$T1469+(AE$2*$M1469))</f>
        <v/>
      </c>
      <c r="AF1469" s="52">
        <f>IF(OR(T1469="",I1469&lt;T1469),"",IFERROR(AVERAGE(T1469+M1469*{7,8,9,10,11})/IF(G1469="",I1469,G1469)-1,""))</f>
        <v/>
      </c>
      <c r="AG1469" s="55">
        <f>IF(OR(T1469="",I1469&lt;T1469),"",IFERROR(AF1469/-(R1469/IF(G1469="",I1469,G1469)-1),""))</f>
        <v/>
      </c>
      <c r="AH1469" s="94" t="n"/>
      <c r="AI1469" s="94" t="n"/>
      <c r="AJ1469" s="94" t="n"/>
      <c r="AK1469" s="94" t="n"/>
      <c r="AL1469" s="84" t="n"/>
    </row>
    <row r="1470">
      <c r="A1470" s="64" t="n"/>
      <c r="B1470" s="65" t="n"/>
      <c r="C1470" s="66" t="n"/>
      <c r="D1470" s="67" t="n"/>
      <c r="E1470" s="68" t="n"/>
      <c r="F1470" s="47">
        <f>IF(A1470="","",IF(MIN(H1470,MAX(J1470:K1470))=0,"",MIN(H1470,MAX(J1470:K1470))))</f>
        <v/>
      </c>
      <c r="G1470" s="74" t="n"/>
      <c r="H1470" s="49">
        <f>IF(M1470="","",IFERROR(ROUND(AVERAGE(T1470+M1470*{7,8,9,10,11})/1.21,4),""))</f>
        <v/>
      </c>
      <c r="I1470" s="76" t="n"/>
      <c r="J1470" s="77" t="n"/>
      <c r="K1470" s="74" t="n"/>
      <c r="L1470" s="78" t="n"/>
      <c r="M1470" s="77" t="n"/>
      <c r="N1470" s="53">
        <f>IF(M1470="","",IFERROR(M1470/I1470,""))</f>
        <v/>
      </c>
      <c r="O1470" s="50">
        <f>IF(A1470="","",IFERROR((IF(G1470="",I1470,G1470)-T1470)/M1470,""))</f>
        <v/>
      </c>
      <c r="P1470" s="50">
        <f>IFERROR((I1470/T1470-1)/N1470,"")</f>
        <v/>
      </c>
      <c r="Q1470" s="46">
        <f>IF(OR(T1470="",I1470&lt;T1470),"",IFERROR(R1470/IF(G1470="",I1470,G1470)-1,""))</f>
        <v/>
      </c>
      <c r="R1470" s="48">
        <f>IF($M1470="","",MAX(IF($G1470="",$I1470,$G1470)*(1/1.1),IF($G1470="",$I1470,$G1470)+(R$2*$M1470)))</f>
        <v/>
      </c>
      <c r="S1470" s="49">
        <f>IF($M1470="","",MAX(IF($G1470="",$I1470,$G1470)*(1/1.1),IF($G1470="",$I1470,$G1470)+(S$2*$M1470)))</f>
        <v/>
      </c>
      <c r="T1470" s="82" t="n"/>
      <c r="U1470" s="47">
        <f>IF(OR($M1470="",$T1470=""),"",$T1470+(U$2*$M1470))</f>
        <v/>
      </c>
      <c r="V1470" s="48">
        <f>IF(OR($M1470="",$T1470=""),"",$T1470+(V$2*$M1470))</f>
        <v/>
      </c>
      <c r="W1470" s="48">
        <f>IF(OR($M1470="",$T1470=""),"",$T1470+(W$2*$M1470))</f>
        <v/>
      </c>
      <c r="X1470" s="49">
        <f>IF(OR($M1470="",$T1470=""),"",$T1470+(X$2*$M1470))</f>
        <v/>
      </c>
      <c r="Y1470" s="47">
        <f>IF(OR($M1470="",$T1470=""),"",$T1470+(Y$2*$M1470))</f>
        <v/>
      </c>
      <c r="Z1470" s="49">
        <f>IF(OR($M1470="",$T1470=""),"",$T1470+(Z$2*$M1470))</f>
        <v/>
      </c>
      <c r="AA1470" s="51">
        <f>IF(OR($M1470="",$T1470=""),"",$T1470+(AA$2*$M1470))</f>
        <v/>
      </c>
      <c r="AB1470" s="48">
        <f>IF(OR($M1470="",$T1470=""),"",$T1470+(AB$2*$M1470))</f>
        <v/>
      </c>
      <c r="AC1470" s="48">
        <f>IF(OR($M1470="",$T1470=""),"",$T1470+(AC$2*$M1470))</f>
        <v/>
      </c>
      <c r="AD1470" s="48">
        <f>IF(OR($M1470="",$T1470=""),"",$T1470+(AD$2*$M1470))</f>
        <v/>
      </c>
      <c r="AE1470" s="49">
        <f>IF(OR($M1470="",$T1470=""),"",$T1470+(AE$2*$M1470))</f>
        <v/>
      </c>
      <c r="AF1470" s="52">
        <f>IF(OR(T1470="",I1470&lt;T1470),"",IFERROR(AVERAGE(T1470+M1470*{7,8,9,10,11})/IF(G1470="",I1470,G1470)-1,""))</f>
        <v/>
      </c>
      <c r="AG1470" s="55">
        <f>IF(OR(T1470="",I1470&lt;T1470),"",IFERROR(AF1470/-(R1470/IF(G1470="",I1470,G1470)-1),""))</f>
        <v/>
      </c>
      <c r="AH1470" s="94" t="n"/>
      <c r="AI1470" s="94" t="n"/>
      <c r="AJ1470" s="94" t="n"/>
      <c r="AK1470" s="94" t="n"/>
      <c r="AL1470" s="84" t="n"/>
    </row>
    <row r="1471">
      <c r="A1471" s="64" t="n"/>
      <c r="B1471" s="65" t="n"/>
      <c r="C1471" s="66" t="n"/>
      <c r="D1471" s="67" t="n"/>
      <c r="E1471" s="68" t="n"/>
      <c r="F1471" s="47">
        <f>IF(A1471="","",IF(MIN(H1471,MAX(J1471:K1471))=0,"",MIN(H1471,MAX(J1471:K1471))))</f>
        <v/>
      </c>
      <c r="G1471" s="74" t="n"/>
      <c r="H1471" s="49">
        <f>IF(M1471="","",IFERROR(ROUND(AVERAGE(T1471+M1471*{7,8,9,10,11})/1.21,4),""))</f>
        <v/>
      </c>
      <c r="I1471" s="76" t="n"/>
      <c r="J1471" s="77" t="n"/>
      <c r="K1471" s="74" t="n"/>
      <c r="L1471" s="78" t="n"/>
      <c r="M1471" s="77" t="n"/>
      <c r="N1471" s="53">
        <f>IF(M1471="","",IFERROR(M1471/I1471,""))</f>
        <v/>
      </c>
      <c r="O1471" s="50">
        <f>IF(A1471="","",IFERROR((IF(G1471="",I1471,G1471)-T1471)/M1471,""))</f>
        <v/>
      </c>
      <c r="P1471" s="50">
        <f>IFERROR((I1471/T1471-1)/N1471,"")</f>
        <v/>
      </c>
      <c r="Q1471" s="46">
        <f>IF(OR(T1471="",I1471&lt;T1471),"",IFERROR(R1471/IF(G1471="",I1471,G1471)-1,""))</f>
        <v/>
      </c>
      <c r="R1471" s="48">
        <f>IF($M1471="","",MAX(IF($G1471="",$I1471,$G1471)*(1/1.1),IF($G1471="",$I1471,$G1471)+(R$2*$M1471)))</f>
        <v/>
      </c>
      <c r="S1471" s="49">
        <f>IF($M1471="","",MAX(IF($G1471="",$I1471,$G1471)*(1/1.1),IF($G1471="",$I1471,$G1471)+(S$2*$M1471)))</f>
        <v/>
      </c>
      <c r="T1471" s="82" t="n"/>
      <c r="U1471" s="47">
        <f>IF(OR($M1471="",$T1471=""),"",$T1471+(U$2*$M1471))</f>
        <v/>
      </c>
      <c r="V1471" s="48">
        <f>IF(OR($M1471="",$T1471=""),"",$T1471+(V$2*$M1471))</f>
        <v/>
      </c>
      <c r="W1471" s="48">
        <f>IF(OR($M1471="",$T1471=""),"",$T1471+(W$2*$M1471))</f>
        <v/>
      </c>
      <c r="X1471" s="49">
        <f>IF(OR($M1471="",$T1471=""),"",$T1471+(X$2*$M1471))</f>
        <v/>
      </c>
      <c r="Y1471" s="47">
        <f>IF(OR($M1471="",$T1471=""),"",$T1471+(Y$2*$M1471))</f>
        <v/>
      </c>
      <c r="Z1471" s="49">
        <f>IF(OR($M1471="",$T1471=""),"",$T1471+(Z$2*$M1471))</f>
        <v/>
      </c>
      <c r="AA1471" s="51">
        <f>IF(OR($M1471="",$T1471=""),"",$T1471+(AA$2*$M1471))</f>
        <v/>
      </c>
      <c r="AB1471" s="48">
        <f>IF(OR($M1471="",$T1471=""),"",$T1471+(AB$2*$M1471))</f>
        <v/>
      </c>
      <c r="AC1471" s="48">
        <f>IF(OR($M1471="",$T1471=""),"",$T1471+(AC$2*$M1471))</f>
        <v/>
      </c>
      <c r="AD1471" s="48">
        <f>IF(OR($M1471="",$T1471=""),"",$T1471+(AD$2*$M1471))</f>
        <v/>
      </c>
      <c r="AE1471" s="49">
        <f>IF(OR($M1471="",$T1471=""),"",$T1471+(AE$2*$M1471))</f>
        <v/>
      </c>
      <c r="AF1471" s="52">
        <f>IF(OR(T1471="",I1471&lt;T1471),"",IFERROR(AVERAGE(T1471+M1471*{7,8,9,10,11})/IF(G1471="",I1471,G1471)-1,""))</f>
        <v/>
      </c>
      <c r="AG1471" s="55">
        <f>IF(OR(T1471="",I1471&lt;T1471),"",IFERROR(AF1471/-(R1471/IF(G1471="",I1471,G1471)-1),""))</f>
        <v/>
      </c>
      <c r="AH1471" s="94" t="n"/>
      <c r="AI1471" s="94" t="n"/>
      <c r="AJ1471" s="94" t="n"/>
      <c r="AK1471" s="94" t="n"/>
      <c r="AL1471" s="84" t="n"/>
    </row>
    <row r="1472">
      <c r="A1472" s="64" t="n"/>
      <c r="B1472" s="65" t="n"/>
      <c r="C1472" s="66" t="n"/>
      <c r="D1472" s="67" t="n"/>
      <c r="E1472" s="68" t="n"/>
      <c r="F1472" s="47">
        <f>IF(A1472="","",IF(MIN(H1472,MAX(J1472:K1472))=0,"",MIN(H1472,MAX(J1472:K1472))))</f>
        <v/>
      </c>
      <c r="G1472" s="74" t="n"/>
      <c r="H1472" s="49">
        <f>IF(M1472="","",IFERROR(ROUND(AVERAGE(T1472+M1472*{7,8,9,10,11})/1.21,4),""))</f>
        <v/>
      </c>
      <c r="I1472" s="76" t="n"/>
      <c r="J1472" s="77" t="n"/>
      <c r="K1472" s="74" t="n"/>
      <c r="L1472" s="78" t="n"/>
      <c r="M1472" s="77" t="n"/>
      <c r="N1472" s="53">
        <f>IF(M1472="","",IFERROR(M1472/I1472,""))</f>
        <v/>
      </c>
      <c r="O1472" s="50">
        <f>IF(A1472="","",IFERROR((IF(G1472="",I1472,G1472)-T1472)/M1472,""))</f>
        <v/>
      </c>
      <c r="P1472" s="50">
        <f>IFERROR((I1472/T1472-1)/N1472,"")</f>
        <v/>
      </c>
      <c r="Q1472" s="46">
        <f>IF(OR(T1472="",I1472&lt;T1472),"",IFERROR(R1472/IF(G1472="",I1472,G1472)-1,""))</f>
        <v/>
      </c>
      <c r="R1472" s="48">
        <f>IF($M1472="","",MAX(IF($G1472="",$I1472,$G1472)*(1/1.1),IF($G1472="",$I1472,$G1472)+(R$2*$M1472)))</f>
        <v/>
      </c>
      <c r="S1472" s="49">
        <f>IF($M1472="","",MAX(IF($G1472="",$I1472,$G1472)*(1/1.1),IF($G1472="",$I1472,$G1472)+(S$2*$M1472)))</f>
        <v/>
      </c>
      <c r="T1472" s="82" t="n"/>
      <c r="U1472" s="47">
        <f>IF(OR($M1472="",$T1472=""),"",$T1472+(U$2*$M1472))</f>
        <v/>
      </c>
      <c r="V1472" s="48">
        <f>IF(OR($M1472="",$T1472=""),"",$T1472+(V$2*$M1472))</f>
        <v/>
      </c>
      <c r="W1472" s="48">
        <f>IF(OR($M1472="",$T1472=""),"",$T1472+(W$2*$M1472))</f>
        <v/>
      </c>
      <c r="X1472" s="49">
        <f>IF(OR($M1472="",$T1472=""),"",$T1472+(X$2*$M1472))</f>
        <v/>
      </c>
      <c r="Y1472" s="47">
        <f>IF(OR($M1472="",$T1472=""),"",$T1472+(Y$2*$M1472))</f>
        <v/>
      </c>
      <c r="Z1472" s="49">
        <f>IF(OR($M1472="",$T1472=""),"",$T1472+(Z$2*$M1472))</f>
        <v/>
      </c>
      <c r="AA1472" s="51">
        <f>IF(OR($M1472="",$T1472=""),"",$T1472+(AA$2*$M1472))</f>
        <v/>
      </c>
      <c r="AB1472" s="48">
        <f>IF(OR($M1472="",$T1472=""),"",$T1472+(AB$2*$M1472))</f>
        <v/>
      </c>
      <c r="AC1472" s="48">
        <f>IF(OR($M1472="",$T1472=""),"",$T1472+(AC$2*$M1472))</f>
        <v/>
      </c>
      <c r="AD1472" s="48">
        <f>IF(OR($M1472="",$T1472=""),"",$T1472+(AD$2*$M1472))</f>
        <v/>
      </c>
      <c r="AE1472" s="49">
        <f>IF(OR($M1472="",$T1472=""),"",$T1472+(AE$2*$M1472))</f>
        <v/>
      </c>
      <c r="AF1472" s="52">
        <f>IF(OR(T1472="",I1472&lt;T1472),"",IFERROR(AVERAGE(T1472+M1472*{7,8,9,10,11})/IF(G1472="",I1472,G1472)-1,""))</f>
        <v/>
      </c>
      <c r="AG1472" s="55">
        <f>IF(OR(T1472="",I1472&lt;T1472),"",IFERROR(AF1472/-(R1472/IF(G1472="",I1472,G1472)-1),""))</f>
        <v/>
      </c>
      <c r="AH1472" s="94" t="n"/>
      <c r="AI1472" s="94" t="n"/>
      <c r="AJ1472" s="94" t="n"/>
      <c r="AK1472" s="94" t="n"/>
      <c r="AL1472" s="84" t="n"/>
    </row>
    <row r="1473">
      <c r="A1473" s="64" t="n"/>
      <c r="B1473" s="65" t="n"/>
      <c r="C1473" s="66" t="n"/>
      <c r="D1473" s="67" t="n"/>
      <c r="E1473" s="68" t="n"/>
      <c r="F1473" s="47">
        <f>IF(A1473="","",IF(MIN(H1473,MAX(J1473:K1473))=0,"",MIN(H1473,MAX(J1473:K1473))))</f>
        <v/>
      </c>
      <c r="G1473" s="74" t="n"/>
      <c r="H1473" s="49">
        <f>IF(M1473="","",IFERROR(ROUND(AVERAGE(T1473+M1473*{7,8,9,10,11})/1.21,4),""))</f>
        <v/>
      </c>
      <c r="I1473" s="76" t="n"/>
      <c r="J1473" s="77" t="n"/>
      <c r="K1473" s="74" t="n"/>
      <c r="L1473" s="78" t="n"/>
      <c r="M1473" s="77" t="n"/>
      <c r="N1473" s="53">
        <f>IF(M1473="","",IFERROR(M1473/I1473,""))</f>
        <v/>
      </c>
      <c r="O1473" s="50">
        <f>IF(A1473="","",IFERROR((IF(G1473="",I1473,G1473)-T1473)/M1473,""))</f>
        <v/>
      </c>
      <c r="P1473" s="50">
        <f>IFERROR((I1473/T1473-1)/N1473,"")</f>
        <v/>
      </c>
      <c r="Q1473" s="46">
        <f>IF(OR(T1473="",I1473&lt;T1473),"",IFERROR(R1473/IF(G1473="",I1473,G1473)-1,""))</f>
        <v/>
      </c>
      <c r="R1473" s="48">
        <f>IF($M1473="","",MAX(IF($G1473="",$I1473,$G1473)*(1/1.1),IF($G1473="",$I1473,$G1473)+(R$2*$M1473)))</f>
        <v/>
      </c>
      <c r="S1473" s="49">
        <f>IF($M1473="","",MAX(IF($G1473="",$I1473,$G1473)*(1/1.1),IF($G1473="",$I1473,$G1473)+(S$2*$M1473)))</f>
        <v/>
      </c>
      <c r="T1473" s="82" t="n"/>
      <c r="U1473" s="47">
        <f>IF(OR($M1473="",$T1473=""),"",$T1473+(U$2*$M1473))</f>
        <v/>
      </c>
      <c r="V1473" s="48">
        <f>IF(OR($M1473="",$T1473=""),"",$T1473+(V$2*$M1473))</f>
        <v/>
      </c>
      <c r="W1473" s="48">
        <f>IF(OR($M1473="",$T1473=""),"",$T1473+(W$2*$M1473))</f>
        <v/>
      </c>
      <c r="X1473" s="49">
        <f>IF(OR($M1473="",$T1473=""),"",$T1473+(X$2*$M1473))</f>
        <v/>
      </c>
      <c r="Y1473" s="47">
        <f>IF(OR($M1473="",$T1473=""),"",$T1473+(Y$2*$M1473))</f>
        <v/>
      </c>
      <c r="Z1473" s="49">
        <f>IF(OR($M1473="",$T1473=""),"",$T1473+(Z$2*$M1473))</f>
        <v/>
      </c>
      <c r="AA1473" s="51">
        <f>IF(OR($M1473="",$T1473=""),"",$T1473+(AA$2*$M1473))</f>
        <v/>
      </c>
      <c r="AB1473" s="48">
        <f>IF(OR($M1473="",$T1473=""),"",$T1473+(AB$2*$M1473))</f>
        <v/>
      </c>
      <c r="AC1473" s="48">
        <f>IF(OR($M1473="",$T1473=""),"",$T1473+(AC$2*$M1473))</f>
        <v/>
      </c>
      <c r="AD1473" s="48">
        <f>IF(OR($M1473="",$T1473=""),"",$T1473+(AD$2*$M1473))</f>
        <v/>
      </c>
      <c r="AE1473" s="49">
        <f>IF(OR($M1473="",$T1473=""),"",$T1473+(AE$2*$M1473))</f>
        <v/>
      </c>
      <c r="AF1473" s="52">
        <f>IF(OR(T1473="",I1473&lt;T1473),"",IFERROR(AVERAGE(T1473+M1473*{7,8,9,10,11})/IF(G1473="",I1473,G1473)-1,""))</f>
        <v/>
      </c>
      <c r="AG1473" s="55">
        <f>IF(OR(T1473="",I1473&lt;T1473),"",IFERROR(AF1473/-(R1473/IF(G1473="",I1473,G1473)-1),""))</f>
        <v/>
      </c>
      <c r="AH1473" s="94" t="n"/>
      <c r="AI1473" s="94" t="n"/>
      <c r="AJ1473" s="94" t="n"/>
      <c r="AK1473" s="94" t="n"/>
      <c r="AL1473" s="84" t="n"/>
    </row>
    <row r="1474">
      <c r="A1474" s="64" t="n"/>
      <c r="B1474" s="65" t="n"/>
      <c r="C1474" s="66" t="n"/>
      <c r="D1474" s="67" t="n"/>
      <c r="E1474" s="68" t="n"/>
      <c r="F1474" s="47">
        <f>IF(A1474="","",IF(MIN(H1474,MAX(J1474:K1474))=0,"",MIN(H1474,MAX(J1474:K1474))))</f>
        <v/>
      </c>
      <c r="G1474" s="74" t="n"/>
      <c r="H1474" s="49">
        <f>IF(M1474="","",IFERROR(ROUND(AVERAGE(T1474+M1474*{7,8,9,10,11})/1.21,4),""))</f>
        <v/>
      </c>
      <c r="I1474" s="76" t="n"/>
      <c r="J1474" s="77" t="n"/>
      <c r="K1474" s="74" t="n"/>
      <c r="L1474" s="78" t="n"/>
      <c r="M1474" s="77" t="n"/>
      <c r="N1474" s="53">
        <f>IF(M1474="","",IFERROR(M1474/I1474,""))</f>
        <v/>
      </c>
      <c r="O1474" s="50">
        <f>IF(A1474="","",IFERROR((IF(G1474="",I1474,G1474)-T1474)/M1474,""))</f>
        <v/>
      </c>
      <c r="P1474" s="50">
        <f>IFERROR((I1474/T1474-1)/N1474,"")</f>
        <v/>
      </c>
      <c r="Q1474" s="46">
        <f>IF(OR(T1474="",I1474&lt;T1474),"",IFERROR(R1474/IF(G1474="",I1474,G1474)-1,""))</f>
        <v/>
      </c>
      <c r="R1474" s="48">
        <f>IF($M1474="","",MAX(IF($G1474="",$I1474,$G1474)*(1/1.1),IF($G1474="",$I1474,$G1474)+(R$2*$M1474)))</f>
        <v/>
      </c>
      <c r="S1474" s="49">
        <f>IF($M1474="","",MAX(IF($G1474="",$I1474,$G1474)*(1/1.1),IF($G1474="",$I1474,$G1474)+(S$2*$M1474)))</f>
        <v/>
      </c>
      <c r="T1474" s="82" t="n"/>
      <c r="U1474" s="47">
        <f>IF(OR($M1474="",$T1474=""),"",$T1474+(U$2*$M1474))</f>
        <v/>
      </c>
      <c r="V1474" s="48">
        <f>IF(OR($M1474="",$T1474=""),"",$T1474+(V$2*$M1474))</f>
        <v/>
      </c>
      <c r="W1474" s="48">
        <f>IF(OR($M1474="",$T1474=""),"",$T1474+(W$2*$M1474))</f>
        <v/>
      </c>
      <c r="X1474" s="49">
        <f>IF(OR($M1474="",$T1474=""),"",$T1474+(X$2*$M1474))</f>
        <v/>
      </c>
      <c r="Y1474" s="47">
        <f>IF(OR($M1474="",$T1474=""),"",$T1474+(Y$2*$M1474))</f>
        <v/>
      </c>
      <c r="Z1474" s="49">
        <f>IF(OR($M1474="",$T1474=""),"",$T1474+(Z$2*$M1474))</f>
        <v/>
      </c>
      <c r="AA1474" s="51">
        <f>IF(OR($M1474="",$T1474=""),"",$T1474+(AA$2*$M1474))</f>
        <v/>
      </c>
      <c r="AB1474" s="48">
        <f>IF(OR($M1474="",$T1474=""),"",$T1474+(AB$2*$M1474))</f>
        <v/>
      </c>
      <c r="AC1474" s="48">
        <f>IF(OR($M1474="",$T1474=""),"",$T1474+(AC$2*$M1474))</f>
        <v/>
      </c>
      <c r="AD1474" s="48">
        <f>IF(OR($M1474="",$T1474=""),"",$T1474+(AD$2*$M1474))</f>
        <v/>
      </c>
      <c r="AE1474" s="49">
        <f>IF(OR($M1474="",$T1474=""),"",$T1474+(AE$2*$M1474))</f>
        <v/>
      </c>
      <c r="AF1474" s="52">
        <f>IF(OR(T1474="",I1474&lt;T1474),"",IFERROR(AVERAGE(T1474+M1474*{7,8,9,10,11})/IF(G1474="",I1474,G1474)-1,""))</f>
        <v/>
      </c>
      <c r="AG1474" s="55">
        <f>IF(OR(T1474="",I1474&lt;T1474),"",IFERROR(AF1474/-(R1474/IF(G1474="",I1474,G1474)-1),""))</f>
        <v/>
      </c>
      <c r="AH1474" s="94" t="n"/>
      <c r="AI1474" s="94" t="n"/>
      <c r="AJ1474" s="94" t="n"/>
      <c r="AK1474" s="94" t="n"/>
      <c r="AL1474" s="84" t="n"/>
    </row>
    <row r="1475">
      <c r="A1475" s="64" t="n"/>
      <c r="B1475" s="65" t="n"/>
      <c r="C1475" s="66" t="n"/>
      <c r="D1475" s="67" t="n"/>
      <c r="E1475" s="68" t="n"/>
      <c r="F1475" s="47">
        <f>IF(A1475="","",IF(MIN(H1475,MAX(J1475:K1475))=0,"",MIN(H1475,MAX(J1475:K1475))))</f>
        <v/>
      </c>
      <c r="G1475" s="74" t="n"/>
      <c r="H1475" s="49">
        <f>IF(M1475="","",IFERROR(ROUND(AVERAGE(T1475+M1475*{7,8,9,10,11})/1.21,4),""))</f>
        <v/>
      </c>
      <c r="I1475" s="76" t="n"/>
      <c r="J1475" s="77" t="n"/>
      <c r="K1475" s="74" t="n"/>
      <c r="L1475" s="78" t="n"/>
      <c r="M1475" s="77" t="n"/>
      <c r="N1475" s="53">
        <f>IF(M1475="","",IFERROR(M1475/I1475,""))</f>
        <v/>
      </c>
      <c r="O1475" s="50">
        <f>IF(A1475="","",IFERROR((IF(G1475="",I1475,G1475)-T1475)/M1475,""))</f>
        <v/>
      </c>
      <c r="P1475" s="50">
        <f>IFERROR((I1475/T1475-1)/N1475,"")</f>
        <v/>
      </c>
      <c r="Q1475" s="46">
        <f>IF(OR(T1475="",I1475&lt;T1475),"",IFERROR(R1475/IF(G1475="",I1475,G1475)-1,""))</f>
        <v/>
      </c>
      <c r="R1475" s="48">
        <f>IF($M1475="","",MAX(IF($G1475="",$I1475,$G1475)*(1/1.1),IF($G1475="",$I1475,$G1475)+(R$2*$M1475)))</f>
        <v/>
      </c>
      <c r="S1475" s="49">
        <f>IF($M1475="","",MAX(IF($G1475="",$I1475,$G1475)*(1/1.1),IF($G1475="",$I1475,$G1475)+(S$2*$M1475)))</f>
        <v/>
      </c>
      <c r="T1475" s="82" t="n"/>
      <c r="U1475" s="47">
        <f>IF(OR($M1475="",$T1475=""),"",$T1475+(U$2*$M1475))</f>
        <v/>
      </c>
      <c r="V1475" s="48">
        <f>IF(OR($M1475="",$T1475=""),"",$T1475+(V$2*$M1475))</f>
        <v/>
      </c>
      <c r="W1475" s="48">
        <f>IF(OR($M1475="",$T1475=""),"",$T1475+(W$2*$M1475))</f>
        <v/>
      </c>
      <c r="X1475" s="49">
        <f>IF(OR($M1475="",$T1475=""),"",$T1475+(X$2*$M1475))</f>
        <v/>
      </c>
      <c r="Y1475" s="47">
        <f>IF(OR($M1475="",$T1475=""),"",$T1475+(Y$2*$M1475))</f>
        <v/>
      </c>
      <c r="Z1475" s="49">
        <f>IF(OR($M1475="",$T1475=""),"",$T1475+(Z$2*$M1475))</f>
        <v/>
      </c>
      <c r="AA1475" s="51">
        <f>IF(OR($M1475="",$T1475=""),"",$T1475+(AA$2*$M1475))</f>
        <v/>
      </c>
      <c r="AB1475" s="48">
        <f>IF(OR($M1475="",$T1475=""),"",$T1475+(AB$2*$M1475))</f>
        <v/>
      </c>
      <c r="AC1475" s="48">
        <f>IF(OR($M1475="",$T1475=""),"",$T1475+(AC$2*$M1475))</f>
        <v/>
      </c>
      <c r="AD1475" s="48">
        <f>IF(OR($M1475="",$T1475=""),"",$T1475+(AD$2*$M1475))</f>
        <v/>
      </c>
      <c r="AE1475" s="49">
        <f>IF(OR($M1475="",$T1475=""),"",$T1475+(AE$2*$M1475))</f>
        <v/>
      </c>
      <c r="AF1475" s="52">
        <f>IF(OR(T1475="",I1475&lt;T1475),"",IFERROR(AVERAGE(T1475+M1475*{7,8,9,10,11})/IF(G1475="",I1475,G1475)-1,""))</f>
        <v/>
      </c>
      <c r="AG1475" s="55">
        <f>IF(OR(T1475="",I1475&lt;T1475),"",IFERROR(AF1475/-(R1475/IF(G1475="",I1475,G1475)-1),""))</f>
        <v/>
      </c>
      <c r="AH1475" s="94" t="n"/>
      <c r="AI1475" s="94" t="n"/>
      <c r="AJ1475" s="94" t="n"/>
      <c r="AK1475" s="94" t="n"/>
      <c r="AL1475" s="84" t="n"/>
    </row>
    <row r="1476">
      <c r="A1476" s="64" t="n"/>
      <c r="B1476" s="65" t="n"/>
      <c r="C1476" s="66" t="n"/>
      <c r="D1476" s="67" t="n"/>
      <c r="E1476" s="68" t="n"/>
      <c r="F1476" s="47">
        <f>IF(A1476="","",IF(MIN(H1476,MAX(J1476:K1476))=0,"",MIN(H1476,MAX(J1476:K1476))))</f>
        <v/>
      </c>
      <c r="G1476" s="74" t="n"/>
      <c r="H1476" s="49">
        <f>IF(M1476="","",IFERROR(ROUND(AVERAGE(T1476+M1476*{7,8,9,10,11})/1.21,4),""))</f>
        <v/>
      </c>
      <c r="I1476" s="76" t="n"/>
      <c r="J1476" s="77" t="n"/>
      <c r="K1476" s="74" t="n"/>
      <c r="L1476" s="78" t="n"/>
      <c r="M1476" s="77" t="n"/>
      <c r="N1476" s="53">
        <f>IF(M1476="","",IFERROR(M1476/I1476,""))</f>
        <v/>
      </c>
      <c r="O1476" s="50">
        <f>IF(A1476="","",IFERROR((IF(G1476="",I1476,G1476)-T1476)/M1476,""))</f>
        <v/>
      </c>
      <c r="P1476" s="50">
        <f>IFERROR((I1476/T1476-1)/N1476,"")</f>
        <v/>
      </c>
      <c r="Q1476" s="46">
        <f>IF(OR(T1476="",I1476&lt;T1476),"",IFERROR(R1476/IF(G1476="",I1476,G1476)-1,""))</f>
        <v/>
      </c>
      <c r="R1476" s="48">
        <f>IF($M1476="","",MAX(IF($G1476="",$I1476,$G1476)*(1/1.1),IF($G1476="",$I1476,$G1476)+(R$2*$M1476)))</f>
        <v/>
      </c>
      <c r="S1476" s="49">
        <f>IF($M1476="","",MAX(IF($G1476="",$I1476,$G1476)*(1/1.1),IF($G1476="",$I1476,$G1476)+(S$2*$M1476)))</f>
        <v/>
      </c>
      <c r="T1476" s="82" t="n"/>
      <c r="U1476" s="47">
        <f>IF(OR($M1476="",$T1476=""),"",$T1476+(U$2*$M1476))</f>
        <v/>
      </c>
      <c r="V1476" s="48">
        <f>IF(OR($M1476="",$T1476=""),"",$T1476+(V$2*$M1476))</f>
        <v/>
      </c>
      <c r="W1476" s="48">
        <f>IF(OR($M1476="",$T1476=""),"",$T1476+(W$2*$M1476))</f>
        <v/>
      </c>
      <c r="X1476" s="49">
        <f>IF(OR($M1476="",$T1476=""),"",$T1476+(X$2*$M1476))</f>
        <v/>
      </c>
      <c r="Y1476" s="47">
        <f>IF(OR($M1476="",$T1476=""),"",$T1476+(Y$2*$M1476))</f>
        <v/>
      </c>
      <c r="Z1476" s="49">
        <f>IF(OR($M1476="",$T1476=""),"",$T1476+(Z$2*$M1476))</f>
        <v/>
      </c>
      <c r="AA1476" s="51">
        <f>IF(OR($M1476="",$T1476=""),"",$T1476+(AA$2*$M1476))</f>
        <v/>
      </c>
      <c r="AB1476" s="48">
        <f>IF(OR($M1476="",$T1476=""),"",$T1476+(AB$2*$M1476))</f>
        <v/>
      </c>
      <c r="AC1476" s="48">
        <f>IF(OR($M1476="",$T1476=""),"",$T1476+(AC$2*$M1476))</f>
        <v/>
      </c>
      <c r="AD1476" s="48">
        <f>IF(OR($M1476="",$T1476=""),"",$T1476+(AD$2*$M1476))</f>
        <v/>
      </c>
      <c r="AE1476" s="49">
        <f>IF(OR($M1476="",$T1476=""),"",$T1476+(AE$2*$M1476))</f>
        <v/>
      </c>
      <c r="AF1476" s="52">
        <f>IF(OR(T1476="",I1476&lt;T1476),"",IFERROR(AVERAGE(T1476+M1476*{7,8,9,10,11})/IF(G1476="",I1476,G1476)-1,""))</f>
        <v/>
      </c>
      <c r="AG1476" s="55">
        <f>IF(OR(T1476="",I1476&lt;T1476),"",IFERROR(AF1476/-(R1476/IF(G1476="",I1476,G1476)-1),""))</f>
        <v/>
      </c>
      <c r="AH1476" s="94" t="n"/>
      <c r="AI1476" s="94" t="n"/>
      <c r="AJ1476" s="94" t="n"/>
      <c r="AK1476" s="94" t="n"/>
      <c r="AL1476" s="84" t="n"/>
    </row>
    <row r="1477">
      <c r="A1477" s="64" t="n"/>
      <c r="B1477" s="65" t="n"/>
      <c r="C1477" s="66" t="n"/>
      <c r="D1477" s="67" t="n"/>
      <c r="E1477" s="68" t="n"/>
      <c r="F1477" s="47">
        <f>IF(A1477="","",IF(MIN(H1477,MAX(J1477:K1477))=0,"",MIN(H1477,MAX(J1477:K1477))))</f>
        <v/>
      </c>
      <c r="G1477" s="74" t="n"/>
      <c r="H1477" s="49">
        <f>IF(M1477="","",IFERROR(ROUND(AVERAGE(T1477+M1477*{7,8,9,10,11})/1.21,4),""))</f>
        <v/>
      </c>
      <c r="I1477" s="76" t="n"/>
      <c r="J1477" s="77" t="n"/>
      <c r="K1477" s="74" t="n"/>
      <c r="L1477" s="78" t="n"/>
      <c r="M1477" s="77" t="n"/>
      <c r="N1477" s="53">
        <f>IF(M1477="","",IFERROR(M1477/I1477,""))</f>
        <v/>
      </c>
      <c r="O1477" s="50">
        <f>IF(A1477="","",IFERROR((IF(G1477="",I1477,G1477)-T1477)/M1477,""))</f>
        <v/>
      </c>
      <c r="P1477" s="50">
        <f>IFERROR((I1477/T1477-1)/N1477,"")</f>
        <v/>
      </c>
      <c r="Q1477" s="46">
        <f>IF(OR(T1477="",I1477&lt;T1477),"",IFERROR(R1477/IF(G1477="",I1477,G1477)-1,""))</f>
        <v/>
      </c>
      <c r="R1477" s="48">
        <f>IF($M1477="","",MAX(IF($G1477="",$I1477,$G1477)*(1/1.1),IF($G1477="",$I1477,$G1477)+(R$2*$M1477)))</f>
        <v/>
      </c>
      <c r="S1477" s="49">
        <f>IF($M1477="","",MAX(IF($G1477="",$I1477,$G1477)*(1/1.1),IF($G1477="",$I1477,$G1477)+(S$2*$M1477)))</f>
        <v/>
      </c>
      <c r="T1477" s="82" t="n"/>
      <c r="U1477" s="47">
        <f>IF(OR($M1477="",$T1477=""),"",$T1477+(U$2*$M1477))</f>
        <v/>
      </c>
      <c r="V1477" s="48">
        <f>IF(OR($M1477="",$T1477=""),"",$T1477+(V$2*$M1477))</f>
        <v/>
      </c>
      <c r="W1477" s="48">
        <f>IF(OR($M1477="",$T1477=""),"",$T1477+(W$2*$M1477))</f>
        <v/>
      </c>
      <c r="X1477" s="49">
        <f>IF(OR($M1477="",$T1477=""),"",$T1477+(X$2*$M1477))</f>
        <v/>
      </c>
      <c r="Y1477" s="47">
        <f>IF(OR($M1477="",$T1477=""),"",$T1477+(Y$2*$M1477))</f>
        <v/>
      </c>
      <c r="Z1477" s="49">
        <f>IF(OR($M1477="",$T1477=""),"",$T1477+(Z$2*$M1477))</f>
        <v/>
      </c>
      <c r="AA1477" s="51">
        <f>IF(OR($M1477="",$T1477=""),"",$T1477+(AA$2*$M1477))</f>
        <v/>
      </c>
      <c r="AB1477" s="48">
        <f>IF(OR($M1477="",$T1477=""),"",$T1477+(AB$2*$M1477))</f>
        <v/>
      </c>
      <c r="AC1477" s="48">
        <f>IF(OR($M1477="",$T1477=""),"",$T1477+(AC$2*$M1477))</f>
        <v/>
      </c>
      <c r="AD1477" s="48">
        <f>IF(OR($M1477="",$T1477=""),"",$T1477+(AD$2*$M1477))</f>
        <v/>
      </c>
      <c r="AE1477" s="49">
        <f>IF(OR($M1477="",$T1477=""),"",$T1477+(AE$2*$M1477))</f>
        <v/>
      </c>
      <c r="AF1477" s="52">
        <f>IF(OR(T1477="",I1477&lt;T1477),"",IFERROR(AVERAGE(T1477+M1477*{7,8,9,10,11})/IF(G1477="",I1477,G1477)-1,""))</f>
        <v/>
      </c>
      <c r="AG1477" s="55">
        <f>IF(OR(T1477="",I1477&lt;T1477),"",IFERROR(AF1477/-(R1477/IF(G1477="",I1477,G1477)-1),""))</f>
        <v/>
      </c>
      <c r="AH1477" s="94" t="n"/>
      <c r="AI1477" s="94" t="n"/>
      <c r="AJ1477" s="94" t="n"/>
      <c r="AK1477" s="94" t="n"/>
      <c r="AL1477" s="84" t="n"/>
    </row>
    <row r="1478">
      <c r="A1478" s="64" t="n"/>
      <c r="B1478" s="65" t="n"/>
      <c r="C1478" s="66" t="n"/>
      <c r="D1478" s="67" t="n"/>
      <c r="E1478" s="68" t="n"/>
      <c r="F1478" s="47">
        <f>IF(A1478="","",IF(MIN(H1478,MAX(J1478:K1478))=0,"",MIN(H1478,MAX(J1478:K1478))))</f>
        <v/>
      </c>
      <c r="G1478" s="74" t="n"/>
      <c r="H1478" s="49">
        <f>IF(M1478="","",IFERROR(ROUND(AVERAGE(T1478+M1478*{7,8,9,10,11})/1.21,4),""))</f>
        <v/>
      </c>
      <c r="I1478" s="76" t="n"/>
      <c r="J1478" s="77" t="n"/>
      <c r="K1478" s="74" t="n"/>
      <c r="L1478" s="78" t="n"/>
      <c r="M1478" s="77" t="n"/>
      <c r="N1478" s="53">
        <f>IF(M1478="","",IFERROR(M1478/I1478,""))</f>
        <v/>
      </c>
      <c r="O1478" s="50">
        <f>IF(A1478="","",IFERROR((IF(G1478="",I1478,G1478)-T1478)/M1478,""))</f>
        <v/>
      </c>
      <c r="P1478" s="50">
        <f>IFERROR((I1478/T1478-1)/N1478,"")</f>
        <v/>
      </c>
      <c r="Q1478" s="46">
        <f>IF(OR(T1478="",I1478&lt;T1478),"",IFERROR(R1478/IF(G1478="",I1478,G1478)-1,""))</f>
        <v/>
      </c>
      <c r="R1478" s="48">
        <f>IF($M1478="","",MAX(IF($G1478="",$I1478,$G1478)*(1/1.1),IF($G1478="",$I1478,$G1478)+(R$2*$M1478)))</f>
        <v/>
      </c>
      <c r="S1478" s="49">
        <f>IF($M1478="","",MAX(IF($G1478="",$I1478,$G1478)*(1/1.1),IF($G1478="",$I1478,$G1478)+(S$2*$M1478)))</f>
        <v/>
      </c>
      <c r="T1478" s="82" t="n"/>
      <c r="U1478" s="47">
        <f>IF(OR($M1478="",$T1478=""),"",$T1478+(U$2*$M1478))</f>
        <v/>
      </c>
      <c r="V1478" s="48">
        <f>IF(OR($M1478="",$T1478=""),"",$T1478+(V$2*$M1478))</f>
        <v/>
      </c>
      <c r="W1478" s="48">
        <f>IF(OR($M1478="",$T1478=""),"",$T1478+(W$2*$M1478))</f>
        <v/>
      </c>
      <c r="X1478" s="49">
        <f>IF(OR($M1478="",$T1478=""),"",$T1478+(X$2*$M1478))</f>
        <v/>
      </c>
      <c r="Y1478" s="47">
        <f>IF(OR($M1478="",$T1478=""),"",$T1478+(Y$2*$M1478))</f>
        <v/>
      </c>
      <c r="Z1478" s="49">
        <f>IF(OR($M1478="",$T1478=""),"",$T1478+(Z$2*$M1478))</f>
        <v/>
      </c>
      <c r="AA1478" s="51">
        <f>IF(OR($M1478="",$T1478=""),"",$T1478+(AA$2*$M1478))</f>
        <v/>
      </c>
      <c r="AB1478" s="48">
        <f>IF(OR($M1478="",$T1478=""),"",$T1478+(AB$2*$M1478))</f>
        <v/>
      </c>
      <c r="AC1478" s="48">
        <f>IF(OR($M1478="",$T1478=""),"",$T1478+(AC$2*$M1478))</f>
        <v/>
      </c>
      <c r="AD1478" s="48">
        <f>IF(OR($M1478="",$T1478=""),"",$T1478+(AD$2*$M1478))</f>
        <v/>
      </c>
      <c r="AE1478" s="49">
        <f>IF(OR($M1478="",$T1478=""),"",$T1478+(AE$2*$M1478))</f>
        <v/>
      </c>
      <c r="AF1478" s="52">
        <f>IF(OR(T1478="",I1478&lt;T1478),"",IFERROR(AVERAGE(T1478+M1478*{7,8,9,10,11})/IF(G1478="",I1478,G1478)-1,""))</f>
        <v/>
      </c>
      <c r="AG1478" s="55">
        <f>IF(OR(T1478="",I1478&lt;T1478),"",IFERROR(AF1478/-(R1478/IF(G1478="",I1478,G1478)-1),""))</f>
        <v/>
      </c>
      <c r="AH1478" s="94" t="n"/>
      <c r="AI1478" s="94" t="n"/>
      <c r="AJ1478" s="94" t="n"/>
      <c r="AK1478" s="94" t="n"/>
      <c r="AL1478" s="84" t="n"/>
    </row>
    <row r="1479">
      <c r="A1479" s="64" t="n"/>
      <c r="B1479" s="65" t="n"/>
      <c r="C1479" s="66" t="n"/>
      <c r="D1479" s="67" t="n"/>
      <c r="E1479" s="68" t="n"/>
      <c r="F1479" s="47">
        <f>IF(A1479="","",IF(MIN(H1479,MAX(J1479:K1479))=0,"",MIN(H1479,MAX(J1479:K1479))))</f>
        <v/>
      </c>
      <c r="G1479" s="74" t="n"/>
      <c r="H1479" s="49">
        <f>IF(M1479="","",IFERROR(ROUND(AVERAGE(T1479+M1479*{7,8,9,10,11})/1.21,4),""))</f>
        <v/>
      </c>
      <c r="I1479" s="76" t="n"/>
      <c r="J1479" s="77" t="n"/>
      <c r="K1479" s="74" t="n"/>
      <c r="L1479" s="78" t="n"/>
      <c r="M1479" s="77" t="n"/>
      <c r="N1479" s="53">
        <f>IF(M1479="","",IFERROR(M1479/I1479,""))</f>
        <v/>
      </c>
      <c r="O1479" s="50">
        <f>IF(A1479="","",IFERROR((IF(G1479="",I1479,G1479)-T1479)/M1479,""))</f>
        <v/>
      </c>
      <c r="P1479" s="50">
        <f>IFERROR((I1479/T1479-1)/N1479,"")</f>
        <v/>
      </c>
      <c r="Q1479" s="46">
        <f>IF(OR(T1479="",I1479&lt;T1479),"",IFERROR(R1479/IF(G1479="",I1479,G1479)-1,""))</f>
        <v/>
      </c>
      <c r="R1479" s="48">
        <f>IF($M1479="","",MAX(IF($G1479="",$I1479,$G1479)*(1/1.1),IF($G1479="",$I1479,$G1479)+(R$2*$M1479)))</f>
        <v/>
      </c>
      <c r="S1479" s="49">
        <f>IF($M1479="","",MAX(IF($G1479="",$I1479,$G1479)*(1/1.1),IF($G1479="",$I1479,$G1479)+(S$2*$M1479)))</f>
        <v/>
      </c>
      <c r="T1479" s="82" t="n"/>
      <c r="U1479" s="47">
        <f>IF(OR($M1479="",$T1479=""),"",$T1479+(U$2*$M1479))</f>
        <v/>
      </c>
      <c r="V1479" s="48">
        <f>IF(OR($M1479="",$T1479=""),"",$T1479+(V$2*$M1479))</f>
        <v/>
      </c>
      <c r="W1479" s="48">
        <f>IF(OR($M1479="",$T1479=""),"",$T1479+(W$2*$M1479))</f>
        <v/>
      </c>
      <c r="X1479" s="49">
        <f>IF(OR($M1479="",$T1479=""),"",$T1479+(X$2*$M1479))</f>
        <v/>
      </c>
      <c r="Y1479" s="47">
        <f>IF(OR($M1479="",$T1479=""),"",$T1479+(Y$2*$M1479))</f>
        <v/>
      </c>
      <c r="Z1479" s="49">
        <f>IF(OR($M1479="",$T1479=""),"",$T1479+(Z$2*$M1479))</f>
        <v/>
      </c>
      <c r="AA1479" s="51">
        <f>IF(OR($M1479="",$T1479=""),"",$T1479+(AA$2*$M1479))</f>
        <v/>
      </c>
      <c r="AB1479" s="48">
        <f>IF(OR($M1479="",$T1479=""),"",$T1479+(AB$2*$M1479))</f>
        <v/>
      </c>
      <c r="AC1479" s="48">
        <f>IF(OR($M1479="",$T1479=""),"",$T1479+(AC$2*$M1479))</f>
        <v/>
      </c>
      <c r="AD1479" s="48">
        <f>IF(OR($M1479="",$T1479=""),"",$T1479+(AD$2*$M1479))</f>
        <v/>
      </c>
      <c r="AE1479" s="49">
        <f>IF(OR($M1479="",$T1479=""),"",$T1479+(AE$2*$M1479))</f>
        <v/>
      </c>
      <c r="AF1479" s="52">
        <f>IF(OR(T1479="",I1479&lt;T1479),"",IFERROR(AVERAGE(T1479+M1479*{7,8,9,10,11})/IF(G1479="",I1479,G1479)-1,""))</f>
        <v/>
      </c>
      <c r="AG1479" s="55">
        <f>IF(OR(T1479="",I1479&lt;T1479),"",IFERROR(AF1479/-(R1479/IF(G1479="",I1479,G1479)-1),""))</f>
        <v/>
      </c>
      <c r="AH1479" s="94" t="n"/>
      <c r="AI1479" s="94" t="n"/>
      <c r="AJ1479" s="94" t="n"/>
      <c r="AK1479" s="94" t="n"/>
      <c r="AL1479" s="84" t="n"/>
    </row>
    <row r="1480">
      <c r="A1480" s="64" t="n"/>
      <c r="B1480" s="65" t="n"/>
      <c r="C1480" s="66" t="n"/>
      <c r="D1480" s="67" t="n"/>
      <c r="E1480" s="68" t="n"/>
      <c r="F1480" s="47">
        <f>IF(A1480="","",IF(MIN(H1480,MAX(J1480:K1480))=0,"",MIN(H1480,MAX(J1480:K1480))))</f>
        <v/>
      </c>
      <c r="G1480" s="74" t="n"/>
      <c r="H1480" s="49">
        <f>IF(M1480="","",IFERROR(ROUND(AVERAGE(T1480+M1480*{7,8,9,10,11})/1.21,4),""))</f>
        <v/>
      </c>
      <c r="I1480" s="76" t="n"/>
      <c r="J1480" s="77" t="n"/>
      <c r="K1480" s="74" t="n"/>
      <c r="L1480" s="78" t="n"/>
      <c r="M1480" s="77" t="n"/>
      <c r="N1480" s="53">
        <f>IF(M1480="","",IFERROR(M1480/I1480,""))</f>
        <v/>
      </c>
      <c r="O1480" s="50">
        <f>IF(A1480="","",IFERROR((IF(G1480="",I1480,G1480)-T1480)/M1480,""))</f>
        <v/>
      </c>
      <c r="P1480" s="50">
        <f>IFERROR((I1480/T1480-1)/N1480,"")</f>
        <v/>
      </c>
      <c r="Q1480" s="46">
        <f>IF(OR(T1480="",I1480&lt;T1480),"",IFERROR(R1480/IF(G1480="",I1480,G1480)-1,""))</f>
        <v/>
      </c>
      <c r="R1480" s="48">
        <f>IF($M1480="","",MAX(IF($G1480="",$I1480,$G1480)*(1/1.1),IF($G1480="",$I1480,$G1480)+(R$2*$M1480)))</f>
        <v/>
      </c>
      <c r="S1480" s="49">
        <f>IF($M1480="","",MAX(IF($G1480="",$I1480,$G1480)*(1/1.1),IF($G1480="",$I1480,$G1480)+(S$2*$M1480)))</f>
        <v/>
      </c>
      <c r="T1480" s="82" t="n"/>
      <c r="U1480" s="47">
        <f>IF(OR($M1480="",$T1480=""),"",$T1480+(U$2*$M1480))</f>
        <v/>
      </c>
      <c r="V1480" s="48">
        <f>IF(OR($M1480="",$T1480=""),"",$T1480+(V$2*$M1480))</f>
        <v/>
      </c>
      <c r="W1480" s="48">
        <f>IF(OR($M1480="",$T1480=""),"",$T1480+(W$2*$M1480))</f>
        <v/>
      </c>
      <c r="X1480" s="49">
        <f>IF(OR($M1480="",$T1480=""),"",$T1480+(X$2*$M1480))</f>
        <v/>
      </c>
      <c r="Y1480" s="47">
        <f>IF(OR($M1480="",$T1480=""),"",$T1480+(Y$2*$M1480))</f>
        <v/>
      </c>
      <c r="Z1480" s="49">
        <f>IF(OR($M1480="",$T1480=""),"",$T1480+(Z$2*$M1480))</f>
        <v/>
      </c>
      <c r="AA1480" s="51">
        <f>IF(OR($M1480="",$T1480=""),"",$T1480+(AA$2*$M1480))</f>
        <v/>
      </c>
      <c r="AB1480" s="48">
        <f>IF(OR($M1480="",$T1480=""),"",$T1480+(AB$2*$M1480))</f>
        <v/>
      </c>
      <c r="AC1480" s="48">
        <f>IF(OR($M1480="",$T1480=""),"",$T1480+(AC$2*$M1480))</f>
        <v/>
      </c>
      <c r="AD1480" s="48">
        <f>IF(OR($M1480="",$T1480=""),"",$T1480+(AD$2*$M1480))</f>
        <v/>
      </c>
      <c r="AE1480" s="49">
        <f>IF(OR($M1480="",$T1480=""),"",$T1480+(AE$2*$M1480))</f>
        <v/>
      </c>
      <c r="AF1480" s="52">
        <f>IF(OR(T1480="",I1480&lt;T1480),"",IFERROR(AVERAGE(T1480+M1480*{7,8,9,10,11})/IF(G1480="",I1480,G1480)-1,""))</f>
        <v/>
      </c>
      <c r="AG1480" s="55">
        <f>IF(OR(T1480="",I1480&lt;T1480),"",IFERROR(AF1480/-(R1480/IF(G1480="",I1480,G1480)-1),""))</f>
        <v/>
      </c>
      <c r="AH1480" s="94" t="n"/>
      <c r="AI1480" s="94" t="n"/>
      <c r="AJ1480" s="94" t="n"/>
      <c r="AK1480" s="94" t="n"/>
      <c r="AL1480" s="84" t="n"/>
    </row>
    <row r="1481">
      <c r="A1481" s="64" t="n"/>
      <c r="B1481" s="65" t="n"/>
      <c r="C1481" s="66" t="n"/>
      <c r="D1481" s="67" t="n"/>
      <c r="E1481" s="68" t="n"/>
      <c r="F1481" s="47">
        <f>IF(A1481="","",IF(MIN(H1481,MAX(J1481:K1481))=0,"",MIN(H1481,MAX(J1481:K1481))))</f>
        <v/>
      </c>
      <c r="G1481" s="74" t="n"/>
      <c r="H1481" s="49">
        <f>IF(M1481="","",IFERROR(ROUND(AVERAGE(T1481+M1481*{7,8,9,10,11})/1.21,4),""))</f>
        <v/>
      </c>
      <c r="I1481" s="76" t="n"/>
      <c r="J1481" s="77" t="n"/>
      <c r="K1481" s="74" t="n"/>
      <c r="L1481" s="78" t="n"/>
      <c r="M1481" s="77" t="n"/>
      <c r="N1481" s="53">
        <f>IF(M1481="","",IFERROR(M1481/I1481,""))</f>
        <v/>
      </c>
      <c r="O1481" s="50">
        <f>IF(A1481="","",IFERROR((IF(G1481="",I1481,G1481)-T1481)/M1481,""))</f>
        <v/>
      </c>
      <c r="P1481" s="50">
        <f>IFERROR((I1481/T1481-1)/N1481,"")</f>
        <v/>
      </c>
      <c r="Q1481" s="46">
        <f>IF(OR(T1481="",I1481&lt;T1481),"",IFERROR(R1481/IF(G1481="",I1481,G1481)-1,""))</f>
        <v/>
      </c>
      <c r="R1481" s="48">
        <f>IF($M1481="","",MAX(IF($G1481="",$I1481,$G1481)*(1/1.1),IF($G1481="",$I1481,$G1481)+(R$2*$M1481)))</f>
        <v/>
      </c>
      <c r="S1481" s="49">
        <f>IF($M1481="","",MAX(IF($G1481="",$I1481,$G1481)*(1/1.1),IF($G1481="",$I1481,$G1481)+(S$2*$M1481)))</f>
        <v/>
      </c>
      <c r="T1481" s="82" t="n"/>
      <c r="U1481" s="47">
        <f>IF(OR($M1481="",$T1481=""),"",$T1481+(U$2*$M1481))</f>
        <v/>
      </c>
      <c r="V1481" s="48">
        <f>IF(OR($M1481="",$T1481=""),"",$T1481+(V$2*$M1481))</f>
        <v/>
      </c>
      <c r="W1481" s="48">
        <f>IF(OR($M1481="",$T1481=""),"",$T1481+(W$2*$M1481))</f>
        <v/>
      </c>
      <c r="X1481" s="49">
        <f>IF(OR($M1481="",$T1481=""),"",$T1481+(X$2*$M1481))</f>
        <v/>
      </c>
      <c r="Y1481" s="47">
        <f>IF(OR($M1481="",$T1481=""),"",$T1481+(Y$2*$M1481))</f>
        <v/>
      </c>
      <c r="Z1481" s="49">
        <f>IF(OR($M1481="",$T1481=""),"",$T1481+(Z$2*$M1481))</f>
        <v/>
      </c>
      <c r="AA1481" s="51">
        <f>IF(OR($M1481="",$T1481=""),"",$T1481+(AA$2*$M1481))</f>
        <v/>
      </c>
      <c r="AB1481" s="48">
        <f>IF(OR($M1481="",$T1481=""),"",$T1481+(AB$2*$M1481))</f>
        <v/>
      </c>
      <c r="AC1481" s="48">
        <f>IF(OR($M1481="",$T1481=""),"",$T1481+(AC$2*$M1481))</f>
        <v/>
      </c>
      <c r="AD1481" s="48">
        <f>IF(OR($M1481="",$T1481=""),"",$T1481+(AD$2*$M1481))</f>
        <v/>
      </c>
      <c r="AE1481" s="49">
        <f>IF(OR($M1481="",$T1481=""),"",$T1481+(AE$2*$M1481))</f>
        <v/>
      </c>
      <c r="AF1481" s="52">
        <f>IF(OR(T1481="",I1481&lt;T1481),"",IFERROR(AVERAGE(T1481+M1481*{7,8,9,10,11})/IF(G1481="",I1481,G1481)-1,""))</f>
        <v/>
      </c>
      <c r="AG1481" s="55">
        <f>IF(OR(T1481="",I1481&lt;T1481),"",IFERROR(AF1481/-(R1481/IF(G1481="",I1481,G1481)-1),""))</f>
        <v/>
      </c>
      <c r="AH1481" s="94" t="n"/>
      <c r="AI1481" s="94" t="n"/>
      <c r="AJ1481" s="94" t="n"/>
      <c r="AK1481" s="94" t="n"/>
      <c r="AL1481" s="84" t="n"/>
    </row>
    <row r="1482">
      <c r="A1482" s="64" t="n"/>
      <c r="B1482" s="65" t="n"/>
      <c r="C1482" s="66" t="n"/>
      <c r="D1482" s="67" t="n"/>
      <c r="E1482" s="68" t="n"/>
      <c r="F1482" s="47">
        <f>IF(A1482="","",IF(MIN(H1482,MAX(J1482:K1482))=0,"",MIN(H1482,MAX(J1482:K1482))))</f>
        <v/>
      </c>
      <c r="G1482" s="74" t="n"/>
      <c r="H1482" s="49">
        <f>IF(M1482="","",IFERROR(ROUND(AVERAGE(T1482+M1482*{7,8,9,10,11})/1.21,4),""))</f>
        <v/>
      </c>
      <c r="I1482" s="76" t="n"/>
      <c r="J1482" s="77" t="n"/>
      <c r="K1482" s="74" t="n"/>
      <c r="L1482" s="78" t="n"/>
      <c r="M1482" s="77" t="n"/>
      <c r="N1482" s="53">
        <f>IF(M1482="","",IFERROR(M1482/I1482,""))</f>
        <v/>
      </c>
      <c r="O1482" s="50">
        <f>IF(A1482="","",IFERROR((IF(G1482="",I1482,G1482)-T1482)/M1482,""))</f>
        <v/>
      </c>
      <c r="P1482" s="50">
        <f>IFERROR((I1482/T1482-1)/N1482,"")</f>
        <v/>
      </c>
      <c r="Q1482" s="46">
        <f>IF(OR(T1482="",I1482&lt;T1482),"",IFERROR(R1482/IF(G1482="",I1482,G1482)-1,""))</f>
        <v/>
      </c>
      <c r="R1482" s="48">
        <f>IF($M1482="","",MAX(IF($G1482="",$I1482,$G1482)*(1/1.1),IF($G1482="",$I1482,$G1482)+(R$2*$M1482)))</f>
        <v/>
      </c>
      <c r="S1482" s="49">
        <f>IF($M1482="","",MAX(IF($G1482="",$I1482,$G1482)*(1/1.1),IF($G1482="",$I1482,$G1482)+(S$2*$M1482)))</f>
        <v/>
      </c>
      <c r="T1482" s="82" t="n"/>
      <c r="U1482" s="47">
        <f>IF(OR($M1482="",$T1482=""),"",$T1482+(U$2*$M1482))</f>
        <v/>
      </c>
      <c r="V1482" s="48">
        <f>IF(OR($M1482="",$T1482=""),"",$T1482+(V$2*$M1482))</f>
        <v/>
      </c>
      <c r="W1482" s="48">
        <f>IF(OR($M1482="",$T1482=""),"",$T1482+(W$2*$M1482))</f>
        <v/>
      </c>
      <c r="X1482" s="49">
        <f>IF(OR($M1482="",$T1482=""),"",$T1482+(X$2*$M1482))</f>
        <v/>
      </c>
      <c r="Y1482" s="47">
        <f>IF(OR($M1482="",$T1482=""),"",$T1482+(Y$2*$M1482))</f>
        <v/>
      </c>
      <c r="Z1482" s="49">
        <f>IF(OR($M1482="",$T1482=""),"",$T1482+(Z$2*$M1482))</f>
        <v/>
      </c>
      <c r="AA1482" s="51">
        <f>IF(OR($M1482="",$T1482=""),"",$T1482+(AA$2*$M1482))</f>
        <v/>
      </c>
      <c r="AB1482" s="48">
        <f>IF(OR($M1482="",$T1482=""),"",$T1482+(AB$2*$M1482))</f>
        <v/>
      </c>
      <c r="AC1482" s="48">
        <f>IF(OR($M1482="",$T1482=""),"",$T1482+(AC$2*$M1482))</f>
        <v/>
      </c>
      <c r="AD1482" s="48">
        <f>IF(OR($M1482="",$T1482=""),"",$T1482+(AD$2*$M1482))</f>
        <v/>
      </c>
      <c r="AE1482" s="49">
        <f>IF(OR($M1482="",$T1482=""),"",$T1482+(AE$2*$M1482))</f>
        <v/>
      </c>
      <c r="AF1482" s="52">
        <f>IF(OR(T1482="",I1482&lt;T1482),"",IFERROR(AVERAGE(T1482+M1482*{7,8,9,10,11})/IF(G1482="",I1482,G1482)-1,""))</f>
        <v/>
      </c>
      <c r="AG1482" s="55">
        <f>IF(OR(T1482="",I1482&lt;T1482),"",IFERROR(AF1482/-(R1482/IF(G1482="",I1482,G1482)-1),""))</f>
        <v/>
      </c>
      <c r="AH1482" s="94" t="n"/>
      <c r="AI1482" s="94" t="n"/>
      <c r="AJ1482" s="94" t="n"/>
      <c r="AK1482" s="94" t="n"/>
      <c r="AL1482" s="84" t="n"/>
    </row>
    <row r="1483">
      <c r="A1483" s="64" t="n"/>
      <c r="B1483" s="65" t="n"/>
      <c r="C1483" s="66" t="n"/>
      <c r="D1483" s="67" t="n"/>
      <c r="E1483" s="68" t="n"/>
      <c r="F1483" s="47">
        <f>IF(A1483="","",IF(MIN(H1483,MAX(J1483:K1483))=0,"",MIN(H1483,MAX(J1483:K1483))))</f>
        <v/>
      </c>
      <c r="G1483" s="74" t="n"/>
      <c r="H1483" s="49">
        <f>IF(M1483="","",IFERROR(ROUND(AVERAGE(T1483+M1483*{7,8,9,10,11})/1.21,4),""))</f>
        <v/>
      </c>
      <c r="I1483" s="76" t="n"/>
      <c r="J1483" s="77" t="n"/>
      <c r="K1483" s="74" t="n"/>
      <c r="L1483" s="78" t="n"/>
      <c r="M1483" s="77" t="n"/>
      <c r="N1483" s="53">
        <f>IF(M1483="","",IFERROR(M1483/I1483,""))</f>
        <v/>
      </c>
      <c r="O1483" s="50">
        <f>IF(A1483="","",IFERROR((IF(G1483="",I1483,G1483)-T1483)/M1483,""))</f>
        <v/>
      </c>
      <c r="P1483" s="50">
        <f>IFERROR((I1483/T1483-1)/N1483,"")</f>
        <v/>
      </c>
      <c r="Q1483" s="46">
        <f>IF(OR(T1483="",I1483&lt;T1483),"",IFERROR(R1483/IF(G1483="",I1483,G1483)-1,""))</f>
        <v/>
      </c>
      <c r="R1483" s="48">
        <f>IF($M1483="","",MAX(IF($G1483="",$I1483,$G1483)*(1/1.1),IF($G1483="",$I1483,$G1483)+(R$2*$M1483)))</f>
        <v/>
      </c>
      <c r="S1483" s="49">
        <f>IF($M1483="","",MAX(IF($G1483="",$I1483,$G1483)*(1/1.1),IF($G1483="",$I1483,$G1483)+(S$2*$M1483)))</f>
        <v/>
      </c>
      <c r="T1483" s="82" t="n"/>
      <c r="U1483" s="47">
        <f>IF(OR($M1483="",$T1483=""),"",$T1483+(U$2*$M1483))</f>
        <v/>
      </c>
      <c r="V1483" s="48">
        <f>IF(OR($M1483="",$T1483=""),"",$T1483+(V$2*$M1483))</f>
        <v/>
      </c>
      <c r="W1483" s="48">
        <f>IF(OR($M1483="",$T1483=""),"",$T1483+(W$2*$M1483))</f>
        <v/>
      </c>
      <c r="X1483" s="49">
        <f>IF(OR($M1483="",$T1483=""),"",$T1483+(X$2*$M1483))</f>
        <v/>
      </c>
      <c r="Y1483" s="47">
        <f>IF(OR($M1483="",$T1483=""),"",$T1483+(Y$2*$M1483))</f>
        <v/>
      </c>
      <c r="Z1483" s="49">
        <f>IF(OR($M1483="",$T1483=""),"",$T1483+(Z$2*$M1483))</f>
        <v/>
      </c>
      <c r="AA1483" s="51">
        <f>IF(OR($M1483="",$T1483=""),"",$T1483+(AA$2*$M1483))</f>
        <v/>
      </c>
      <c r="AB1483" s="48">
        <f>IF(OR($M1483="",$T1483=""),"",$T1483+(AB$2*$M1483))</f>
        <v/>
      </c>
      <c r="AC1483" s="48">
        <f>IF(OR($M1483="",$T1483=""),"",$T1483+(AC$2*$M1483))</f>
        <v/>
      </c>
      <c r="AD1483" s="48">
        <f>IF(OR($M1483="",$T1483=""),"",$T1483+(AD$2*$M1483))</f>
        <v/>
      </c>
      <c r="AE1483" s="49">
        <f>IF(OR($M1483="",$T1483=""),"",$T1483+(AE$2*$M1483))</f>
        <v/>
      </c>
      <c r="AF1483" s="52">
        <f>IF(OR(T1483="",I1483&lt;T1483),"",IFERROR(AVERAGE(T1483+M1483*{7,8,9,10,11})/IF(G1483="",I1483,G1483)-1,""))</f>
        <v/>
      </c>
      <c r="AG1483" s="55">
        <f>IF(OR(T1483="",I1483&lt;T1483),"",IFERROR(AF1483/-(R1483/IF(G1483="",I1483,G1483)-1),""))</f>
        <v/>
      </c>
      <c r="AH1483" s="94" t="n"/>
      <c r="AI1483" s="94" t="n"/>
      <c r="AJ1483" s="94" t="n"/>
      <c r="AK1483" s="94" t="n"/>
      <c r="AL1483" s="84" t="n"/>
    </row>
    <row r="1484">
      <c r="A1484" s="64" t="n"/>
      <c r="B1484" s="65" t="n"/>
      <c r="C1484" s="66" t="n"/>
      <c r="D1484" s="67" t="n"/>
      <c r="E1484" s="68" t="n"/>
      <c r="F1484" s="47">
        <f>IF(A1484="","",IF(MIN(H1484,MAX(J1484:K1484))=0,"",MIN(H1484,MAX(J1484:K1484))))</f>
        <v/>
      </c>
      <c r="G1484" s="74" t="n"/>
      <c r="H1484" s="49">
        <f>IF(M1484="","",IFERROR(ROUND(AVERAGE(T1484+M1484*{7,8,9,10,11})/1.21,4),""))</f>
        <v/>
      </c>
      <c r="I1484" s="76" t="n"/>
      <c r="J1484" s="77" t="n"/>
      <c r="K1484" s="74" t="n"/>
      <c r="L1484" s="78" t="n"/>
      <c r="M1484" s="77" t="n"/>
      <c r="N1484" s="53">
        <f>IF(M1484="","",IFERROR(M1484/I1484,""))</f>
        <v/>
      </c>
      <c r="O1484" s="50">
        <f>IF(A1484="","",IFERROR((IF(G1484="",I1484,G1484)-T1484)/M1484,""))</f>
        <v/>
      </c>
      <c r="P1484" s="50">
        <f>IFERROR((I1484/T1484-1)/N1484,"")</f>
        <v/>
      </c>
      <c r="Q1484" s="46">
        <f>IF(OR(T1484="",I1484&lt;T1484),"",IFERROR(R1484/IF(G1484="",I1484,G1484)-1,""))</f>
        <v/>
      </c>
      <c r="R1484" s="48">
        <f>IF($M1484="","",MAX(IF($G1484="",$I1484,$G1484)*(1/1.1),IF($G1484="",$I1484,$G1484)+(R$2*$M1484)))</f>
        <v/>
      </c>
      <c r="S1484" s="49">
        <f>IF($M1484="","",MAX(IF($G1484="",$I1484,$G1484)*(1/1.1),IF($G1484="",$I1484,$G1484)+(S$2*$M1484)))</f>
        <v/>
      </c>
      <c r="T1484" s="82" t="n"/>
      <c r="U1484" s="47">
        <f>IF(OR($M1484="",$T1484=""),"",$T1484+(U$2*$M1484))</f>
        <v/>
      </c>
      <c r="V1484" s="48">
        <f>IF(OR($M1484="",$T1484=""),"",$T1484+(V$2*$M1484))</f>
        <v/>
      </c>
      <c r="W1484" s="48">
        <f>IF(OR($M1484="",$T1484=""),"",$T1484+(W$2*$M1484))</f>
        <v/>
      </c>
      <c r="X1484" s="49">
        <f>IF(OR($M1484="",$T1484=""),"",$T1484+(X$2*$M1484))</f>
        <v/>
      </c>
      <c r="Y1484" s="47">
        <f>IF(OR($M1484="",$T1484=""),"",$T1484+(Y$2*$M1484))</f>
        <v/>
      </c>
      <c r="Z1484" s="49">
        <f>IF(OR($M1484="",$T1484=""),"",$T1484+(Z$2*$M1484))</f>
        <v/>
      </c>
      <c r="AA1484" s="51">
        <f>IF(OR($M1484="",$T1484=""),"",$T1484+(AA$2*$M1484))</f>
        <v/>
      </c>
      <c r="AB1484" s="48">
        <f>IF(OR($M1484="",$T1484=""),"",$T1484+(AB$2*$M1484))</f>
        <v/>
      </c>
      <c r="AC1484" s="48">
        <f>IF(OR($M1484="",$T1484=""),"",$T1484+(AC$2*$M1484))</f>
        <v/>
      </c>
      <c r="AD1484" s="48">
        <f>IF(OR($M1484="",$T1484=""),"",$T1484+(AD$2*$M1484))</f>
        <v/>
      </c>
      <c r="AE1484" s="49">
        <f>IF(OR($M1484="",$T1484=""),"",$T1484+(AE$2*$M1484))</f>
        <v/>
      </c>
      <c r="AF1484" s="52">
        <f>IF(OR(T1484="",I1484&lt;T1484),"",IFERROR(AVERAGE(T1484+M1484*{7,8,9,10,11})/IF(G1484="",I1484,G1484)-1,""))</f>
        <v/>
      </c>
      <c r="AG1484" s="55">
        <f>IF(OR(T1484="",I1484&lt;T1484),"",IFERROR(AF1484/-(R1484/IF(G1484="",I1484,G1484)-1),""))</f>
        <v/>
      </c>
      <c r="AH1484" s="94" t="n"/>
      <c r="AI1484" s="94" t="n"/>
      <c r="AJ1484" s="94" t="n"/>
      <c r="AK1484" s="94" t="n"/>
      <c r="AL1484" s="84" t="n"/>
    </row>
    <row r="1485">
      <c r="A1485" s="64" t="n"/>
      <c r="B1485" s="65" t="n"/>
      <c r="C1485" s="66" t="n"/>
      <c r="D1485" s="67" t="n"/>
      <c r="E1485" s="68" t="n"/>
      <c r="F1485" s="47">
        <f>IF(A1485="","",IF(MIN(H1485,MAX(J1485:K1485))=0,"",MIN(H1485,MAX(J1485:K1485))))</f>
        <v/>
      </c>
      <c r="G1485" s="74" t="n"/>
      <c r="H1485" s="49">
        <f>IF(M1485="","",IFERROR(ROUND(AVERAGE(T1485+M1485*{7,8,9,10,11})/1.21,4),""))</f>
        <v/>
      </c>
      <c r="I1485" s="76" t="n"/>
      <c r="J1485" s="77" t="n"/>
      <c r="K1485" s="74" t="n"/>
      <c r="L1485" s="78" t="n"/>
      <c r="M1485" s="77" t="n"/>
      <c r="N1485" s="53">
        <f>IF(M1485="","",IFERROR(M1485/I1485,""))</f>
        <v/>
      </c>
      <c r="O1485" s="50">
        <f>IF(A1485="","",IFERROR((IF(G1485="",I1485,G1485)-T1485)/M1485,""))</f>
        <v/>
      </c>
      <c r="P1485" s="50">
        <f>IFERROR((I1485/T1485-1)/N1485,"")</f>
        <v/>
      </c>
      <c r="Q1485" s="46">
        <f>IF(OR(T1485="",I1485&lt;T1485),"",IFERROR(R1485/IF(G1485="",I1485,G1485)-1,""))</f>
        <v/>
      </c>
      <c r="R1485" s="48">
        <f>IF($M1485="","",MAX(IF($G1485="",$I1485,$G1485)*(1/1.1),IF($G1485="",$I1485,$G1485)+(R$2*$M1485)))</f>
        <v/>
      </c>
      <c r="S1485" s="49">
        <f>IF($M1485="","",MAX(IF($G1485="",$I1485,$G1485)*(1/1.1),IF($G1485="",$I1485,$G1485)+(S$2*$M1485)))</f>
        <v/>
      </c>
      <c r="T1485" s="82" t="n"/>
      <c r="U1485" s="47">
        <f>IF(OR($M1485="",$T1485=""),"",$T1485+(U$2*$M1485))</f>
        <v/>
      </c>
      <c r="V1485" s="48">
        <f>IF(OR($M1485="",$T1485=""),"",$T1485+(V$2*$M1485))</f>
        <v/>
      </c>
      <c r="W1485" s="48">
        <f>IF(OR($M1485="",$T1485=""),"",$T1485+(W$2*$M1485))</f>
        <v/>
      </c>
      <c r="X1485" s="49">
        <f>IF(OR($M1485="",$T1485=""),"",$T1485+(X$2*$M1485))</f>
        <v/>
      </c>
      <c r="Y1485" s="47">
        <f>IF(OR($M1485="",$T1485=""),"",$T1485+(Y$2*$M1485))</f>
        <v/>
      </c>
      <c r="Z1485" s="49">
        <f>IF(OR($M1485="",$T1485=""),"",$T1485+(Z$2*$M1485))</f>
        <v/>
      </c>
      <c r="AA1485" s="51">
        <f>IF(OR($M1485="",$T1485=""),"",$T1485+(AA$2*$M1485))</f>
        <v/>
      </c>
      <c r="AB1485" s="48">
        <f>IF(OR($M1485="",$T1485=""),"",$T1485+(AB$2*$M1485))</f>
        <v/>
      </c>
      <c r="AC1485" s="48">
        <f>IF(OR($M1485="",$T1485=""),"",$T1485+(AC$2*$M1485))</f>
        <v/>
      </c>
      <c r="AD1485" s="48">
        <f>IF(OR($M1485="",$T1485=""),"",$T1485+(AD$2*$M1485))</f>
        <v/>
      </c>
      <c r="AE1485" s="49">
        <f>IF(OR($M1485="",$T1485=""),"",$T1485+(AE$2*$M1485))</f>
        <v/>
      </c>
      <c r="AF1485" s="52">
        <f>IF(OR(T1485="",I1485&lt;T1485),"",IFERROR(AVERAGE(T1485+M1485*{7,8,9,10,11})/IF(G1485="",I1485,G1485)-1,""))</f>
        <v/>
      </c>
      <c r="AG1485" s="55">
        <f>IF(OR(T1485="",I1485&lt;T1485),"",IFERROR(AF1485/-(R1485/IF(G1485="",I1485,G1485)-1),""))</f>
        <v/>
      </c>
      <c r="AH1485" s="94" t="n"/>
      <c r="AI1485" s="94" t="n"/>
      <c r="AJ1485" s="94" t="n"/>
      <c r="AK1485" s="94" t="n"/>
      <c r="AL1485" s="84" t="n"/>
    </row>
    <row r="1486">
      <c r="A1486" s="64" t="n"/>
      <c r="B1486" s="65" t="n"/>
      <c r="C1486" s="66" t="n"/>
      <c r="D1486" s="67" t="n"/>
      <c r="E1486" s="68" t="n"/>
      <c r="F1486" s="47">
        <f>IF(A1486="","",IF(MIN(H1486,MAX(J1486:K1486))=0,"",MIN(H1486,MAX(J1486:K1486))))</f>
        <v/>
      </c>
      <c r="G1486" s="74" t="n"/>
      <c r="H1486" s="49">
        <f>IF(M1486="","",IFERROR(ROUND(AVERAGE(T1486+M1486*{7,8,9,10,11})/1.21,4),""))</f>
        <v/>
      </c>
      <c r="I1486" s="76" t="n"/>
      <c r="J1486" s="77" t="n"/>
      <c r="K1486" s="74" t="n"/>
      <c r="L1486" s="78" t="n"/>
      <c r="M1486" s="77" t="n"/>
      <c r="N1486" s="53">
        <f>IF(M1486="","",IFERROR(M1486/I1486,""))</f>
        <v/>
      </c>
      <c r="O1486" s="50">
        <f>IF(A1486="","",IFERROR((IF(G1486="",I1486,G1486)-T1486)/M1486,""))</f>
        <v/>
      </c>
      <c r="P1486" s="50">
        <f>IFERROR((I1486/T1486-1)/N1486,"")</f>
        <v/>
      </c>
      <c r="Q1486" s="46">
        <f>IF(OR(T1486="",I1486&lt;T1486),"",IFERROR(R1486/IF(G1486="",I1486,G1486)-1,""))</f>
        <v/>
      </c>
      <c r="R1486" s="48">
        <f>IF($M1486="","",MAX(IF($G1486="",$I1486,$G1486)*(1/1.1),IF($G1486="",$I1486,$G1486)+(R$2*$M1486)))</f>
        <v/>
      </c>
      <c r="S1486" s="49">
        <f>IF($M1486="","",MAX(IF($G1486="",$I1486,$G1486)*(1/1.1),IF($G1486="",$I1486,$G1486)+(S$2*$M1486)))</f>
        <v/>
      </c>
      <c r="T1486" s="82" t="n"/>
      <c r="U1486" s="47">
        <f>IF(OR($M1486="",$T1486=""),"",$T1486+(U$2*$M1486))</f>
        <v/>
      </c>
      <c r="V1486" s="48">
        <f>IF(OR($M1486="",$T1486=""),"",$T1486+(V$2*$M1486))</f>
        <v/>
      </c>
      <c r="W1486" s="48">
        <f>IF(OR($M1486="",$T1486=""),"",$T1486+(W$2*$M1486))</f>
        <v/>
      </c>
      <c r="X1486" s="49">
        <f>IF(OR($M1486="",$T1486=""),"",$T1486+(X$2*$M1486))</f>
        <v/>
      </c>
      <c r="Y1486" s="47">
        <f>IF(OR($M1486="",$T1486=""),"",$T1486+(Y$2*$M1486))</f>
        <v/>
      </c>
      <c r="Z1486" s="49">
        <f>IF(OR($M1486="",$T1486=""),"",$T1486+(Z$2*$M1486))</f>
        <v/>
      </c>
      <c r="AA1486" s="51">
        <f>IF(OR($M1486="",$T1486=""),"",$T1486+(AA$2*$M1486))</f>
        <v/>
      </c>
      <c r="AB1486" s="48">
        <f>IF(OR($M1486="",$T1486=""),"",$T1486+(AB$2*$M1486))</f>
        <v/>
      </c>
      <c r="AC1486" s="48">
        <f>IF(OR($M1486="",$T1486=""),"",$T1486+(AC$2*$M1486))</f>
        <v/>
      </c>
      <c r="AD1486" s="48">
        <f>IF(OR($M1486="",$T1486=""),"",$T1486+(AD$2*$M1486))</f>
        <v/>
      </c>
      <c r="AE1486" s="49">
        <f>IF(OR($M1486="",$T1486=""),"",$T1486+(AE$2*$M1486))</f>
        <v/>
      </c>
      <c r="AF1486" s="52">
        <f>IF(OR(T1486="",I1486&lt;T1486),"",IFERROR(AVERAGE(T1486+M1486*{7,8,9,10,11})/IF(G1486="",I1486,G1486)-1,""))</f>
        <v/>
      </c>
      <c r="AG1486" s="55">
        <f>IF(OR(T1486="",I1486&lt;T1486),"",IFERROR(AF1486/-(R1486/IF(G1486="",I1486,G1486)-1),""))</f>
        <v/>
      </c>
      <c r="AH1486" s="94" t="n"/>
      <c r="AI1486" s="94" t="n"/>
      <c r="AJ1486" s="94" t="n"/>
      <c r="AK1486" s="94" t="n"/>
      <c r="AL1486" s="84" t="n"/>
    </row>
    <row r="1487">
      <c r="A1487" s="64" t="n"/>
      <c r="B1487" s="65" t="n"/>
      <c r="C1487" s="66" t="n"/>
      <c r="D1487" s="67" t="n"/>
      <c r="E1487" s="68" t="n"/>
      <c r="F1487" s="47">
        <f>IF(A1487="","",IF(MIN(H1487,MAX(J1487:K1487))=0,"",MIN(H1487,MAX(J1487:K1487))))</f>
        <v/>
      </c>
      <c r="G1487" s="74" t="n"/>
      <c r="H1487" s="49">
        <f>IF(M1487="","",IFERROR(ROUND(AVERAGE(T1487+M1487*{7,8,9,10,11})/1.21,4),""))</f>
        <v/>
      </c>
      <c r="I1487" s="76" t="n"/>
      <c r="J1487" s="77" t="n"/>
      <c r="K1487" s="74" t="n"/>
      <c r="L1487" s="78" t="n"/>
      <c r="M1487" s="77" t="n"/>
      <c r="N1487" s="53">
        <f>IF(M1487="","",IFERROR(M1487/I1487,""))</f>
        <v/>
      </c>
      <c r="O1487" s="50">
        <f>IF(A1487="","",IFERROR((IF(G1487="",I1487,G1487)-T1487)/M1487,""))</f>
        <v/>
      </c>
      <c r="P1487" s="50">
        <f>IFERROR((I1487/T1487-1)/N1487,"")</f>
        <v/>
      </c>
      <c r="Q1487" s="46">
        <f>IF(OR(T1487="",I1487&lt;T1487),"",IFERROR(R1487/IF(G1487="",I1487,G1487)-1,""))</f>
        <v/>
      </c>
      <c r="R1487" s="48">
        <f>IF($M1487="","",MAX(IF($G1487="",$I1487,$G1487)*(1/1.1),IF($G1487="",$I1487,$G1487)+(R$2*$M1487)))</f>
        <v/>
      </c>
      <c r="S1487" s="49">
        <f>IF($M1487="","",MAX(IF($G1487="",$I1487,$G1487)*(1/1.1),IF($G1487="",$I1487,$G1487)+(S$2*$M1487)))</f>
        <v/>
      </c>
      <c r="T1487" s="82" t="n"/>
      <c r="U1487" s="47">
        <f>IF(OR($M1487="",$T1487=""),"",$T1487+(U$2*$M1487))</f>
        <v/>
      </c>
      <c r="V1487" s="48">
        <f>IF(OR($M1487="",$T1487=""),"",$T1487+(V$2*$M1487))</f>
        <v/>
      </c>
      <c r="W1487" s="48">
        <f>IF(OR($M1487="",$T1487=""),"",$T1487+(W$2*$M1487))</f>
        <v/>
      </c>
      <c r="X1487" s="49">
        <f>IF(OR($M1487="",$T1487=""),"",$T1487+(X$2*$M1487))</f>
        <v/>
      </c>
      <c r="Y1487" s="47">
        <f>IF(OR($M1487="",$T1487=""),"",$T1487+(Y$2*$M1487))</f>
        <v/>
      </c>
      <c r="Z1487" s="49">
        <f>IF(OR($M1487="",$T1487=""),"",$T1487+(Z$2*$M1487))</f>
        <v/>
      </c>
      <c r="AA1487" s="51">
        <f>IF(OR($M1487="",$T1487=""),"",$T1487+(AA$2*$M1487))</f>
        <v/>
      </c>
      <c r="AB1487" s="48">
        <f>IF(OR($M1487="",$T1487=""),"",$T1487+(AB$2*$M1487))</f>
        <v/>
      </c>
      <c r="AC1487" s="48">
        <f>IF(OR($M1487="",$T1487=""),"",$T1487+(AC$2*$M1487))</f>
        <v/>
      </c>
      <c r="AD1487" s="48">
        <f>IF(OR($M1487="",$T1487=""),"",$T1487+(AD$2*$M1487))</f>
        <v/>
      </c>
      <c r="AE1487" s="49">
        <f>IF(OR($M1487="",$T1487=""),"",$T1487+(AE$2*$M1487))</f>
        <v/>
      </c>
      <c r="AF1487" s="52">
        <f>IF(OR(T1487="",I1487&lt;T1487),"",IFERROR(AVERAGE(T1487+M1487*{7,8,9,10,11})/IF(G1487="",I1487,G1487)-1,""))</f>
        <v/>
      </c>
      <c r="AG1487" s="55">
        <f>IF(OR(T1487="",I1487&lt;T1487),"",IFERROR(AF1487/-(R1487/IF(G1487="",I1487,G1487)-1),""))</f>
        <v/>
      </c>
      <c r="AH1487" s="94" t="n"/>
      <c r="AI1487" s="94" t="n"/>
      <c r="AJ1487" s="94" t="n"/>
      <c r="AK1487" s="94" t="n"/>
      <c r="AL1487" s="84" t="n"/>
    </row>
    <row r="1488">
      <c r="A1488" s="64" t="n"/>
      <c r="B1488" s="65" t="n"/>
      <c r="C1488" s="66" t="n"/>
      <c r="D1488" s="67" t="n"/>
      <c r="E1488" s="68" t="n"/>
      <c r="F1488" s="47">
        <f>IF(A1488="","",IF(MIN(H1488,MAX(J1488:K1488))=0,"",MIN(H1488,MAX(J1488:K1488))))</f>
        <v/>
      </c>
      <c r="G1488" s="74" t="n"/>
      <c r="H1488" s="49">
        <f>IF(M1488="","",IFERROR(ROUND(AVERAGE(T1488+M1488*{7,8,9,10,11})/1.21,4),""))</f>
        <v/>
      </c>
      <c r="I1488" s="76" t="n"/>
      <c r="J1488" s="77" t="n"/>
      <c r="K1488" s="74" t="n"/>
      <c r="L1488" s="78" t="n"/>
      <c r="M1488" s="77" t="n"/>
      <c r="N1488" s="53">
        <f>IF(M1488="","",IFERROR(M1488/I1488,""))</f>
        <v/>
      </c>
      <c r="O1488" s="50">
        <f>IF(A1488="","",IFERROR((IF(G1488="",I1488,G1488)-T1488)/M1488,""))</f>
        <v/>
      </c>
      <c r="P1488" s="50">
        <f>IFERROR((I1488/T1488-1)/N1488,"")</f>
        <v/>
      </c>
      <c r="Q1488" s="46">
        <f>IF(OR(T1488="",I1488&lt;T1488),"",IFERROR(R1488/IF(G1488="",I1488,G1488)-1,""))</f>
        <v/>
      </c>
      <c r="R1488" s="48">
        <f>IF($M1488="","",MAX(IF($G1488="",$I1488,$G1488)*(1/1.1),IF($G1488="",$I1488,$G1488)+(R$2*$M1488)))</f>
        <v/>
      </c>
      <c r="S1488" s="49">
        <f>IF($M1488="","",MAX(IF($G1488="",$I1488,$G1488)*(1/1.1),IF($G1488="",$I1488,$G1488)+(S$2*$M1488)))</f>
        <v/>
      </c>
      <c r="T1488" s="82" t="n"/>
      <c r="U1488" s="47">
        <f>IF(OR($M1488="",$T1488=""),"",$T1488+(U$2*$M1488))</f>
        <v/>
      </c>
      <c r="V1488" s="48">
        <f>IF(OR($M1488="",$T1488=""),"",$T1488+(V$2*$M1488))</f>
        <v/>
      </c>
      <c r="W1488" s="48">
        <f>IF(OR($M1488="",$T1488=""),"",$T1488+(W$2*$M1488))</f>
        <v/>
      </c>
      <c r="X1488" s="49">
        <f>IF(OR($M1488="",$T1488=""),"",$T1488+(X$2*$M1488))</f>
        <v/>
      </c>
      <c r="Y1488" s="47">
        <f>IF(OR($M1488="",$T1488=""),"",$T1488+(Y$2*$M1488))</f>
        <v/>
      </c>
      <c r="Z1488" s="49">
        <f>IF(OR($M1488="",$T1488=""),"",$T1488+(Z$2*$M1488))</f>
        <v/>
      </c>
      <c r="AA1488" s="51">
        <f>IF(OR($M1488="",$T1488=""),"",$T1488+(AA$2*$M1488))</f>
        <v/>
      </c>
      <c r="AB1488" s="48">
        <f>IF(OR($M1488="",$T1488=""),"",$T1488+(AB$2*$M1488))</f>
        <v/>
      </c>
      <c r="AC1488" s="48">
        <f>IF(OR($M1488="",$T1488=""),"",$T1488+(AC$2*$M1488))</f>
        <v/>
      </c>
      <c r="AD1488" s="48">
        <f>IF(OR($M1488="",$T1488=""),"",$T1488+(AD$2*$M1488))</f>
        <v/>
      </c>
      <c r="AE1488" s="49">
        <f>IF(OR($M1488="",$T1488=""),"",$T1488+(AE$2*$M1488))</f>
        <v/>
      </c>
      <c r="AF1488" s="52">
        <f>IF(OR(T1488="",I1488&lt;T1488),"",IFERROR(AVERAGE(T1488+M1488*{7,8,9,10,11})/IF(G1488="",I1488,G1488)-1,""))</f>
        <v/>
      </c>
      <c r="AG1488" s="55">
        <f>IF(OR(T1488="",I1488&lt;T1488),"",IFERROR(AF1488/-(R1488/IF(G1488="",I1488,G1488)-1),""))</f>
        <v/>
      </c>
      <c r="AH1488" s="94" t="n"/>
      <c r="AI1488" s="94" t="n"/>
      <c r="AJ1488" s="94" t="n"/>
      <c r="AK1488" s="94" t="n"/>
      <c r="AL1488" s="84" t="n"/>
    </row>
    <row r="1489">
      <c r="A1489" s="64" t="n"/>
      <c r="B1489" s="65" t="n"/>
      <c r="C1489" s="66" t="n"/>
      <c r="D1489" s="67" t="n"/>
      <c r="E1489" s="68" t="n"/>
      <c r="F1489" s="47">
        <f>IF(A1489="","",IF(MIN(H1489,MAX(J1489:K1489))=0,"",MIN(H1489,MAX(J1489:K1489))))</f>
        <v/>
      </c>
      <c r="G1489" s="74" t="n"/>
      <c r="H1489" s="49">
        <f>IF(M1489="","",IFERROR(ROUND(AVERAGE(T1489+M1489*{7,8,9,10,11})/1.21,4),""))</f>
        <v/>
      </c>
      <c r="I1489" s="76" t="n"/>
      <c r="J1489" s="77" t="n"/>
      <c r="K1489" s="74" t="n"/>
      <c r="L1489" s="78" t="n"/>
      <c r="M1489" s="77" t="n"/>
      <c r="N1489" s="53">
        <f>IF(M1489="","",IFERROR(M1489/I1489,""))</f>
        <v/>
      </c>
      <c r="O1489" s="50">
        <f>IF(A1489="","",IFERROR((IF(G1489="",I1489,G1489)-T1489)/M1489,""))</f>
        <v/>
      </c>
      <c r="P1489" s="50">
        <f>IFERROR((I1489/T1489-1)/N1489,"")</f>
        <v/>
      </c>
      <c r="Q1489" s="46">
        <f>IF(OR(T1489="",I1489&lt;T1489),"",IFERROR(R1489/IF(G1489="",I1489,G1489)-1,""))</f>
        <v/>
      </c>
      <c r="R1489" s="48">
        <f>IF($M1489="","",MAX(IF($G1489="",$I1489,$G1489)*(1/1.1),IF($G1489="",$I1489,$G1489)+(R$2*$M1489)))</f>
        <v/>
      </c>
      <c r="S1489" s="49">
        <f>IF($M1489="","",MAX(IF($G1489="",$I1489,$G1489)*(1/1.1),IF($G1489="",$I1489,$G1489)+(S$2*$M1489)))</f>
        <v/>
      </c>
      <c r="T1489" s="82" t="n"/>
      <c r="U1489" s="47">
        <f>IF(OR($M1489="",$T1489=""),"",$T1489+(U$2*$M1489))</f>
        <v/>
      </c>
      <c r="V1489" s="48">
        <f>IF(OR($M1489="",$T1489=""),"",$T1489+(V$2*$M1489))</f>
        <v/>
      </c>
      <c r="W1489" s="48">
        <f>IF(OR($M1489="",$T1489=""),"",$T1489+(W$2*$M1489))</f>
        <v/>
      </c>
      <c r="X1489" s="49">
        <f>IF(OR($M1489="",$T1489=""),"",$T1489+(X$2*$M1489))</f>
        <v/>
      </c>
      <c r="Y1489" s="47">
        <f>IF(OR($M1489="",$T1489=""),"",$T1489+(Y$2*$M1489))</f>
        <v/>
      </c>
      <c r="Z1489" s="49">
        <f>IF(OR($M1489="",$T1489=""),"",$T1489+(Z$2*$M1489))</f>
        <v/>
      </c>
      <c r="AA1489" s="51">
        <f>IF(OR($M1489="",$T1489=""),"",$T1489+(AA$2*$M1489))</f>
        <v/>
      </c>
      <c r="AB1489" s="48">
        <f>IF(OR($M1489="",$T1489=""),"",$T1489+(AB$2*$M1489))</f>
        <v/>
      </c>
      <c r="AC1489" s="48">
        <f>IF(OR($M1489="",$T1489=""),"",$T1489+(AC$2*$M1489))</f>
        <v/>
      </c>
      <c r="AD1489" s="48">
        <f>IF(OR($M1489="",$T1489=""),"",$T1489+(AD$2*$M1489))</f>
        <v/>
      </c>
      <c r="AE1489" s="49">
        <f>IF(OR($M1489="",$T1489=""),"",$T1489+(AE$2*$M1489))</f>
        <v/>
      </c>
      <c r="AF1489" s="52">
        <f>IF(OR(T1489="",I1489&lt;T1489),"",IFERROR(AVERAGE(T1489+M1489*{7,8,9,10,11})/IF(G1489="",I1489,G1489)-1,""))</f>
        <v/>
      </c>
      <c r="AG1489" s="55">
        <f>IF(OR(T1489="",I1489&lt;T1489),"",IFERROR(AF1489/-(R1489/IF(G1489="",I1489,G1489)-1),""))</f>
        <v/>
      </c>
      <c r="AH1489" s="94" t="n"/>
      <c r="AI1489" s="94" t="n"/>
      <c r="AJ1489" s="94" t="n"/>
      <c r="AK1489" s="94" t="n"/>
      <c r="AL1489" s="84" t="n"/>
    </row>
    <row r="1490">
      <c r="A1490" s="64" t="n"/>
      <c r="B1490" s="65" t="n"/>
      <c r="C1490" s="66" t="n"/>
      <c r="D1490" s="67" t="n"/>
      <c r="E1490" s="68" t="n"/>
      <c r="F1490" s="47">
        <f>IF(A1490="","",IF(MIN(H1490,MAX(J1490:K1490))=0,"",MIN(H1490,MAX(J1490:K1490))))</f>
        <v/>
      </c>
      <c r="G1490" s="74" t="n"/>
      <c r="H1490" s="49">
        <f>IF(M1490="","",IFERROR(ROUND(AVERAGE(T1490+M1490*{7,8,9,10,11})/1.21,4),""))</f>
        <v/>
      </c>
      <c r="I1490" s="76" t="n"/>
      <c r="J1490" s="77" t="n"/>
      <c r="K1490" s="74" t="n"/>
      <c r="L1490" s="78" t="n"/>
      <c r="M1490" s="77" t="n"/>
      <c r="N1490" s="53">
        <f>IF(M1490="","",IFERROR(M1490/I1490,""))</f>
        <v/>
      </c>
      <c r="O1490" s="50">
        <f>IF(A1490="","",IFERROR((IF(G1490="",I1490,G1490)-T1490)/M1490,""))</f>
        <v/>
      </c>
      <c r="P1490" s="50">
        <f>IFERROR((I1490/T1490-1)/N1490,"")</f>
        <v/>
      </c>
      <c r="Q1490" s="46">
        <f>IF(OR(T1490="",I1490&lt;T1490),"",IFERROR(R1490/IF(G1490="",I1490,G1490)-1,""))</f>
        <v/>
      </c>
      <c r="R1490" s="48">
        <f>IF($M1490="","",MAX(IF($G1490="",$I1490,$G1490)*(1/1.1),IF($G1490="",$I1490,$G1490)+(R$2*$M1490)))</f>
        <v/>
      </c>
      <c r="S1490" s="49">
        <f>IF($M1490="","",MAX(IF($G1490="",$I1490,$G1490)*(1/1.1),IF($G1490="",$I1490,$G1490)+(S$2*$M1490)))</f>
        <v/>
      </c>
      <c r="T1490" s="82" t="n"/>
      <c r="U1490" s="47">
        <f>IF(OR($M1490="",$T1490=""),"",$T1490+(U$2*$M1490))</f>
        <v/>
      </c>
      <c r="V1490" s="48">
        <f>IF(OR($M1490="",$T1490=""),"",$T1490+(V$2*$M1490))</f>
        <v/>
      </c>
      <c r="W1490" s="48">
        <f>IF(OR($M1490="",$T1490=""),"",$T1490+(W$2*$M1490))</f>
        <v/>
      </c>
      <c r="X1490" s="49">
        <f>IF(OR($M1490="",$T1490=""),"",$T1490+(X$2*$M1490))</f>
        <v/>
      </c>
      <c r="Y1490" s="47">
        <f>IF(OR($M1490="",$T1490=""),"",$T1490+(Y$2*$M1490))</f>
        <v/>
      </c>
      <c r="Z1490" s="49">
        <f>IF(OR($M1490="",$T1490=""),"",$T1490+(Z$2*$M1490))</f>
        <v/>
      </c>
      <c r="AA1490" s="51">
        <f>IF(OR($M1490="",$T1490=""),"",$T1490+(AA$2*$M1490))</f>
        <v/>
      </c>
      <c r="AB1490" s="48">
        <f>IF(OR($M1490="",$T1490=""),"",$T1490+(AB$2*$M1490))</f>
        <v/>
      </c>
      <c r="AC1490" s="48">
        <f>IF(OR($M1490="",$T1490=""),"",$T1490+(AC$2*$M1490))</f>
        <v/>
      </c>
      <c r="AD1490" s="48">
        <f>IF(OR($M1490="",$T1490=""),"",$T1490+(AD$2*$M1490))</f>
        <v/>
      </c>
      <c r="AE1490" s="49">
        <f>IF(OR($M1490="",$T1490=""),"",$T1490+(AE$2*$M1490))</f>
        <v/>
      </c>
      <c r="AF1490" s="52">
        <f>IF(OR(T1490="",I1490&lt;T1490),"",IFERROR(AVERAGE(T1490+M1490*{7,8,9,10,11})/IF(G1490="",I1490,G1490)-1,""))</f>
        <v/>
      </c>
      <c r="AG1490" s="55">
        <f>IF(OR(T1490="",I1490&lt;T1490),"",IFERROR(AF1490/-(R1490/IF(G1490="",I1490,G1490)-1),""))</f>
        <v/>
      </c>
      <c r="AH1490" s="94" t="n"/>
      <c r="AI1490" s="94" t="n"/>
      <c r="AJ1490" s="94" t="n"/>
      <c r="AK1490" s="94" t="n"/>
      <c r="AL1490" s="84" t="n"/>
    </row>
    <row r="1491">
      <c r="A1491" s="64" t="n"/>
      <c r="B1491" s="65" t="n"/>
      <c r="C1491" s="66" t="n"/>
      <c r="D1491" s="67" t="n"/>
      <c r="E1491" s="68" t="n"/>
      <c r="F1491" s="47">
        <f>IF(A1491="","",IF(MIN(H1491,MAX(J1491:K1491))=0,"",MIN(H1491,MAX(J1491:K1491))))</f>
        <v/>
      </c>
      <c r="G1491" s="74" t="n"/>
      <c r="H1491" s="49">
        <f>IF(M1491="","",IFERROR(ROUND(AVERAGE(T1491+M1491*{7,8,9,10,11})/1.21,4),""))</f>
        <v/>
      </c>
      <c r="I1491" s="76" t="n"/>
      <c r="J1491" s="77" t="n"/>
      <c r="K1491" s="74" t="n"/>
      <c r="L1491" s="78" t="n"/>
      <c r="M1491" s="77" t="n"/>
      <c r="N1491" s="53">
        <f>IF(M1491="","",IFERROR(M1491/I1491,""))</f>
        <v/>
      </c>
      <c r="O1491" s="50">
        <f>IF(A1491="","",IFERROR((IF(G1491="",I1491,G1491)-T1491)/M1491,""))</f>
        <v/>
      </c>
      <c r="P1491" s="50">
        <f>IFERROR((I1491/T1491-1)/N1491,"")</f>
        <v/>
      </c>
      <c r="Q1491" s="46">
        <f>IF(OR(T1491="",I1491&lt;T1491),"",IFERROR(R1491/IF(G1491="",I1491,G1491)-1,""))</f>
        <v/>
      </c>
      <c r="R1491" s="48">
        <f>IF($M1491="","",MAX(IF($G1491="",$I1491,$G1491)*(1/1.1),IF($G1491="",$I1491,$G1491)+(R$2*$M1491)))</f>
        <v/>
      </c>
      <c r="S1491" s="49">
        <f>IF($M1491="","",MAX(IF($G1491="",$I1491,$G1491)*(1/1.1),IF($G1491="",$I1491,$G1491)+(S$2*$M1491)))</f>
        <v/>
      </c>
      <c r="T1491" s="82" t="n"/>
      <c r="U1491" s="47">
        <f>IF(OR($M1491="",$T1491=""),"",$T1491+(U$2*$M1491))</f>
        <v/>
      </c>
      <c r="V1491" s="48">
        <f>IF(OR($M1491="",$T1491=""),"",$T1491+(V$2*$M1491))</f>
        <v/>
      </c>
      <c r="W1491" s="48">
        <f>IF(OR($M1491="",$T1491=""),"",$T1491+(W$2*$M1491))</f>
        <v/>
      </c>
      <c r="X1491" s="49">
        <f>IF(OR($M1491="",$T1491=""),"",$T1491+(X$2*$M1491))</f>
        <v/>
      </c>
      <c r="Y1491" s="47">
        <f>IF(OR($M1491="",$T1491=""),"",$T1491+(Y$2*$M1491))</f>
        <v/>
      </c>
      <c r="Z1491" s="49">
        <f>IF(OR($M1491="",$T1491=""),"",$T1491+(Z$2*$M1491))</f>
        <v/>
      </c>
      <c r="AA1491" s="51">
        <f>IF(OR($M1491="",$T1491=""),"",$T1491+(AA$2*$M1491))</f>
        <v/>
      </c>
      <c r="AB1491" s="48">
        <f>IF(OR($M1491="",$T1491=""),"",$T1491+(AB$2*$M1491))</f>
        <v/>
      </c>
      <c r="AC1491" s="48">
        <f>IF(OR($M1491="",$T1491=""),"",$T1491+(AC$2*$M1491))</f>
        <v/>
      </c>
      <c r="AD1491" s="48">
        <f>IF(OR($M1491="",$T1491=""),"",$T1491+(AD$2*$M1491))</f>
        <v/>
      </c>
      <c r="AE1491" s="49">
        <f>IF(OR($M1491="",$T1491=""),"",$T1491+(AE$2*$M1491))</f>
        <v/>
      </c>
      <c r="AF1491" s="52">
        <f>IF(OR(T1491="",I1491&lt;T1491),"",IFERROR(AVERAGE(T1491+M1491*{7,8,9,10,11})/IF(G1491="",I1491,G1491)-1,""))</f>
        <v/>
      </c>
      <c r="AG1491" s="55">
        <f>IF(OR(T1491="",I1491&lt;T1491),"",IFERROR(AF1491/-(R1491/IF(G1491="",I1491,G1491)-1),""))</f>
        <v/>
      </c>
      <c r="AH1491" s="94" t="n"/>
      <c r="AI1491" s="94" t="n"/>
      <c r="AJ1491" s="94" t="n"/>
      <c r="AK1491" s="94" t="n"/>
      <c r="AL1491" s="84" t="n"/>
    </row>
    <row r="1492">
      <c r="A1492" s="64" t="n"/>
      <c r="B1492" s="65" t="n"/>
      <c r="C1492" s="66" t="n"/>
      <c r="D1492" s="67" t="n"/>
      <c r="E1492" s="68" t="n"/>
      <c r="F1492" s="47">
        <f>IF(A1492="","",IF(MIN(H1492,MAX(J1492:K1492))=0,"",MIN(H1492,MAX(J1492:K1492))))</f>
        <v/>
      </c>
      <c r="G1492" s="74" t="n"/>
      <c r="H1492" s="49">
        <f>IF(M1492="","",IFERROR(ROUND(AVERAGE(T1492+M1492*{7,8,9,10,11})/1.21,4),""))</f>
        <v/>
      </c>
      <c r="I1492" s="76" t="n"/>
      <c r="J1492" s="77" t="n"/>
      <c r="K1492" s="74" t="n"/>
      <c r="L1492" s="78" t="n"/>
      <c r="M1492" s="77" t="n"/>
      <c r="N1492" s="53">
        <f>IF(M1492="","",IFERROR(M1492/I1492,""))</f>
        <v/>
      </c>
      <c r="O1492" s="50">
        <f>IF(A1492="","",IFERROR((IF(G1492="",I1492,G1492)-T1492)/M1492,""))</f>
        <v/>
      </c>
      <c r="P1492" s="50">
        <f>IFERROR((I1492/T1492-1)/N1492,"")</f>
        <v/>
      </c>
      <c r="Q1492" s="46">
        <f>IF(OR(T1492="",I1492&lt;T1492),"",IFERROR(R1492/IF(G1492="",I1492,G1492)-1,""))</f>
        <v/>
      </c>
      <c r="R1492" s="48">
        <f>IF($M1492="","",MAX(IF($G1492="",$I1492,$G1492)*(1/1.1),IF($G1492="",$I1492,$G1492)+(R$2*$M1492)))</f>
        <v/>
      </c>
      <c r="S1492" s="49">
        <f>IF($M1492="","",MAX(IF($G1492="",$I1492,$G1492)*(1/1.1),IF($G1492="",$I1492,$G1492)+(S$2*$M1492)))</f>
        <v/>
      </c>
      <c r="T1492" s="82" t="n"/>
      <c r="U1492" s="47">
        <f>IF(OR($M1492="",$T1492=""),"",$T1492+(U$2*$M1492))</f>
        <v/>
      </c>
      <c r="V1492" s="48">
        <f>IF(OR($M1492="",$T1492=""),"",$T1492+(V$2*$M1492))</f>
        <v/>
      </c>
      <c r="W1492" s="48">
        <f>IF(OR($M1492="",$T1492=""),"",$T1492+(W$2*$M1492))</f>
        <v/>
      </c>
      <c r="X1492" s="49">
        <f>IF(OR($M1492="",$T1492=""),"",$T1492+(X$2*$M1492))</f>
        <v/>
      </c>
      <c r="Y1492" s="47">
        <f>IF(OR($M1492="",$T1492=""),"",$T1492+(Y$2*$M1492))</f>
        <v/>
      </c>
      <c r="Z1492" s="49">
        <f>IF(OR($M1492="",$T1492=""),"",$T1492+(Z$2*$M1492))</f>
        <v/>
      </c>
      <c r="AA1492" s="51">
        <f>IF(OR($M1492="",$T1492=""),"",$T1492+(AA$2*$M1492))</f>
        <v/>
      </c>
      <c r="AB1492" s="48">
        <f>IF(OR($M1492="",$T1492=""),"",$T1492+(AB$2*$M1492))</f>
        <v/>
      </c>
      <c r="AC1492" s="48">
        <f>IF(OR($M1492="",$T1492=""),"",$T1492+(AC$2*$M1492))</f>
        <v/>
      </c>
      <c r="AD1492" s="48">
        <f>IF(OR($M1492="",$T1492=""),"",$T1492+(AD$2*$M1492))</f>
        <v/>
      </c>
      <c r="AE1492" s="49">
        <f>IF(OR($M1492="",$T1492=""),"",$T1492+(AE$2*$M1492))</f>
        <v/>
      </c>
      <c r="AF1492" s="52">
        <f>IF(OR(T1492="",I1492&lt;T1492),"",IFERROR(AVERAGE(T1492+M1492*{7,8,9,10,11})/IF(G1492="",I1492,G1492)-1,""))</f>
        <v/>
      </c>
      <c r="AG1492" s="55">
        <f>IF(OR(T1492="",I1492&lt;T1492),"",IFERROR(AF1492/-(R1492/IF(G1492="",I1492,G1492)-1),""))</f>
        <v/>
      </c>
      <c r="AH1492" s="94" t="n"/>
      <c r="AI1492" s="94" t="n"/>
      <c r="AJ1492" s="94" t="n"/>
      <c r="AK1492" s="94" t="n"/>
      <c r="AL1492" s="84" t="n"/>
    </row>
    <row r="1493">
      <c r="A1493" s="64" t="n"/>
      <c r="B1493" s="65" t="n"/>
      <c r="C1493" s="66" t="n"/>
      <c r="D1493" s="67" t="n"/>
      <c r="E1493" s="68" t="n"/>
      <c r="F1493" s="47">
        <f>IF(A1493="","",IF(MIN(H1493,MAX(J1493:K1493))=0,"",MIN(H1493,MAX(J1493:K1493))))</f>
        <v/>
      </c>
      <c r="G1493" s="74" t="n"/>
      <c r="H1493" s="49">
        <f>IF(M1493="","",IFERROR(ROUND(AVERAGE(T1493+M1493*{7,8,9,10,11})/1.21,4),""))</f>
        <v/>
      </c>
      <c r="I1493" s="76" t="n"/>
      <c r="J1493" s="77" t="n"/>
      <c r="K1493" s="74" t="n"/>
      <c r="L1493" s="78" t="n"/>
      <c r="M1493" s="77" t="n"/>
      <c r="N1493" s="53">
        <f>IF(M1493="","",IFERROR(M1493/I1493,""))</f>
        <v/>
      </c>
      <c r="O1493" s="50">
        <f>IF(A1493="","",IFERROR((IF(G1493="",I1493,G1493)-T1493)/M1493,""))</f>
        <v/>
      </c>
      <c r="P1493" s="50">
        <f>IFERROR((I1493/T1493-1)/N1493,"")</f>
        <v/>
      </c>
      <c r="Q1493" s="46">
        <f>IF(OR(T1493="",I1493&lt;T1493),"",IFERROR(R1493/IF(G1493="",I1493,G1493)-1,""))</f>
        <v/>
      </c>
      <c r="R1493" s="48">
        <f>IF($M1493="","",MAX(IF($G1493="",$I1493,$G1493)*(1/1.1),IF($G1493="",$I1493,$G1493)+(R$2*$M1493)))</f>
        <v/>
      </c>
      <c r="S1493" s="49">
        <f>IF($M1493="","",MAX(IF($G1493="",$I1493,$G1493)*(1/1.1),IF($G1493="",$I1493,$G1493)+(S$2*$M1493)))</f>
        <v/>
      </c>
      <c r="T1493" s="82" t="n"/>
      <c r="U1493" s="47">
        <f>IF(OR($M1493="",$T1493=""),"",$T1493+(U$2*$M1493))</f>
        <v/>
      </c>
      <c r="V1493" s="48">
        <f>IF(OR($M1493="",$T1493=""),"",$T1493+(V$2*$M1493))</f>
        <v/>
      </c>
      <c r="W1493" s="48">
        <f>IF(OR($M1493="",$T1493=""),"",$T1493+(W$2*$M1493))</f>
        <v/>
      </c>
      <c r="X1493" s="49">
        <f>IF(OR($M1493="",$T1493=""),"",$T1493+(X$2*$M1493))</f>
        <v/>
      </c>
      <c r="Y1493" s="47">
        <f>IF(OR($M1493="",$T1493=""),"",$T1493+(Y$2*$M1493))</f>
        <v/>
      </c>
      <c r="Z1493" s="49">
        <f>IF(OR($M1493="",$T1493=""),"",$T1493+(Z$2*$M1493))</f>
        <v/>
      </c>
      <c r="AA1493" s="51">
        <f>IF(OR($M1493="",$T1493=""),"",$T1493+(AA$2*$M1493))</f>
        <v/>
      </c>
      <c r="AB1493" s="48">
        <f>IF(OR($M1493="",$T1493=""),"",$T1493+(AB$2*$M1493))</f>
        <v/>
      </c>
      <c r="AC1493" s="48">
        <f>IF(OR($M1493="",$T1493=""),"",$T1493+(AC$2*$M1493))</f>
        <v/>
      </c>
      <c r="AD1493" s="48">
        <f>IF(OR($M1493="",$T1493=""),"",$T1493+(AD$2*$M1493))</f>
        <v/>
      </c>
      <c r="AE1493" s="49">
        <f>IF(OR($M1493="",$T1493=""),"",$T1493+(AE$2*$M1493))</f>
        <v/>
      </c>
      <c r="AF1493" s="52">
        <f>IF(OR(T1493="",I1493&lt;T1493),"",IFERROR(AVERAGE(T1493+M1493*{7,8,9,10,11})/IF(G1493="",I1493,G1493)-1,""))</f>
        <v/>
      </c>
      <c r="AG1493" s="55">
        <f>IF(OR(T1493="",I1493&lt;T1493),"",IFERROR(AF1493/-(R1493/IF(G1493="",I1493,G1493)-1),""))</f>
        <v/>
      </c>
      <c r="AH1493" s="94" t="n"/>
      <c r="AI1493" s="94" t="n"/>
      <c r="AJ1493" s="94" t="n"/>
      <c r="AK1493" s="94" t="n"/>
      <c r="AL1493" s="84" t="n"/>
    </row>
    <row r="1494">
      <c r="A1494" s="64" t="n"/>
      <c r="B1494" s="65" t="n"/>
      <c r="C1494" s="66" t="n"/>
      <c r="D1494" s="67" t="n"/>
      <c r="E1494" s="68" t="n"/>
      <c r="F1494" s="47">
        <f>IF(A1494="","",IF(MIN(H1494,MAX(J1494:K1494))=0,"",MIN(H1494,MAX(J1494:K1494))))</f>
        <v/>
      </c>
      <c r="G1494" s="74" t="n"/>
      <c r="H1494" s="49">
        <f>IF(M1494="","",IFERROR(ROUND(AVERAGE(T1494+M1494*{7,8,9,10,11})/1.21,4),""))</f>
        <v/>
      </c>
      <c r="I1494" s="76" t="n"/>
      <c r="J1494" s="77" t="n"/>
      <c r="K1494" s="74" t="n"/>
      <c r="L1494" s="78" t="n"/>
      <c r="M1494" s="77" t="n"/>
      <c r="N1494" s="53">
        <f>IF(M1494="","",IFERROR(M1494/I1494,""))</f>
        <v/>
      </c>
      <c r="O1494" s="50">
        <f>IF(A1494="","",IFERROR((IF(G1494="",I1494,G1494)-T1494)/M1494,""))</f>
        <v/>
      </c>
      <c r="P1494" s="50">
        <f>IFERROR((I1494/T1494-1)/N1494,"")</f>
        <v/>
      </c>
      <c r="Q1494" s="46">
        <f>IF(OR(T1494="",I1494&lt;T1494),"",IFERROR(R1494/IF(G1494="",I1494,G1494)-1,""))</f>
        <v/>
      </c>
      <c r="R1494" s="48">
        <f>IF($M1494="","",MAX(IF($G1494="",$I1494,$G1494)*(1/1.1),IF($G1494="",$I1494,$G1494)+(R$2*$M1494)))</f>
        <v/>
      </c>
      <c r="S1494" s="49">
        <f>IF($M1494="","",MAX(IF($G1494="",$I1494,$G1494)*(1/1.1),IF($G1494="",$I1494,$G1494)+(S$2*$M1494)))</f>
        <v/>
      </c>
      <c r="T1494" s="82" t="n"/>
      <c r="U1494" s="47">
        <f>IF(OR($M1494="",$T1494=""),"",$T1494+(U$2*$M1494))</f>
        <v/>
      </c>
      <c r="V1494" s="48">
        <f>IF(OR($M1494="",$T1494=""),"",$T1494+(V$2*$M1494))</f>
        <v/>
      </c>
      <c r="W1494" s="48">
        <f>IF(OR($M1494="",$T1494=""),"",$T1494+(W$2*$M1494))</f>
        <v/>
      </c>
      <c r="X1494" s="49">
        <f>IF(OR($M1494="",$T1494=""),"",$T1494+(X$2*$M1494))</f>
        <v/>
      </c>
      <c r="Y1494" s="47">
        <f>IF(OR($M1494="",$T1494=""),"",$T1494+(Y$2*$M1494))</f>
        <v/>
      </c>
      <c r="Z1494" s="49">
        <f>IF(OR($M1494="",$T1494=""),"",$T1494+(Z$2*$M1494))</f>
        <v/>
      </c>
      <c r="AA1494" s="51">
        <f>IF(OR($M1494="",$T1494=""),"",$T1494+(AA$2*$M1494))</f>
        <v/>
      </c>
      <c r="AB1494" s="48">
        <f>IF(OR($M1494="",$T1494=""),"",$T1494+(AB$2*$M1494))</f>
        <v/>
      </c>
      <c r="AC1494" s="48">
        <f>IF(OR($M1494="",$T1494=""),"",$T1494+(AC$2*$M1494))</f>
        <v/>
      </c>
      <c r="AD1494" s="48">
        <f>IF(OR($M1494="",$T1494=""),"",$T1494+(AD$2*$M1494))</f>
        <v/>
      </c>
      <c r="AE1494" s="49">
        <f>IF(OR($M1494="",$T1494=""),"",$T1494+(AE$2*$M1494))</f>
        <v/>
      </c>
      <c r="AF1494" s="52">
        <f>IF(OR(T1494="",I1494&lt;T1494),"",IFERROR(AVERAGE(T1494+M1494*{7,8,9,10,11})/IF(G1494="",I1494,G1494)-1,""))</f>
        <v/>
      </c>
      <c r="AG1494" s="55">
        <f>IF(OR(T1494="",I1494&lt;T1494),"",IFERROR(AF1494/-(R1494/IF(G1494="",I1494,G1494)-1),""))</f>
        <v/>
      </c>
      <c r="AH1494" s="94" t="n"/>
      <c r="AI1494" s="94" t="n"/>
      <c r="AJ1494" s="94" t="n"/>
      <c r="AK1494" s="94" t="n"/>
      <c r="AL1494" s="84" t="n"/>
    </row>
    <row r="1495">
      <c r="A1495" s="64" t="n"/>
      <c r="B1495" s="65" t="n"/>
      <c r="C1495" s="66" t="n"/>
      <c r="D1495" s="67" t="n"/>
      <c r="E1495" s="68" t="n"/>
      <c r="F1495" s="47">
        <f>IF(A1495="","",IF(MIN(H1495,MAX(J1495:K1495))=0,"",MIN(H1495,MAX(J1495:K1495))))</f>
        <v/>
      </c>
      <c r="G1495" s="74" t="n"/>
      <c r="H1495" s="49">
        <f>IF(M1495="","",IFERROR(ROUND(AVERAGE(T1495+M1495*{7,8,9,10,11})/1.21,4),""))</f>
        <v/>
      </c>
      <c r="I1495" s="76" t="n"/>
      <c r="J1495" s="77" t="n"/>
      <c r="K1495" s="74" t="n"/>
      <c r="L1495" s="78" t="n"/>
      <c r="M1495" s="77" t="n"/>
      <c r="N1495" s="53">
        <f>IF(M1495="","",IFERROR(M1495/I1495,""))</f>
        <v/>
      </c>
      <c r="O1495" s="50">
        <f>IF(A1495="","",IFERROR((IF(G1495="",I1495,G1495)-T1495)/M1495,""))</f>
        <v/>
      </c>
      <c r="P1495" s="50">
        <f>IFERROR((I1495/T1495-1)/N1495,"")</f>
        <v/>
      </c>
      <c r="Q1495" s="46">
        <f>IF(OR(T1495="",I1495&lt;T1495),"",IFERROR(R1495/IF(G1495="",I1495,G1495)-1,""))</f>
        <v/>
      </c>
      <c r="R1495" s="48">
        <f>IF($M1495="","",MAX(IF($G1495="",$I1495,$G1495)*(1/1.1),IF($G1495="",$I1495,$G1495)+(R$2*$M1495)))</f>
        <v/>
      </c>
      <c r="S1495" s="49">
        <f>IF($M1495="","",MAX(IF($G1495="",$I1495,$G1495)*(1/1.1),IF($G1495="",$I1495,$G1495)+(S$2*$M1495)))</f>
        <v/>
      </c>
      <c r="T1495" s="82" t="n"/>
      <c r="U1495" s="47">
        <f>IF(OR($M1495="",$T1495=""),"",$T1495+(U$2*$M1495))</f>
        <v/>
      </c>
      <c r="V1495" s="48">
        <f>IF(OR($M1495="",$T1495=""),"",$T1495+(V$2*$M1495))</f>
        <v/>
      </c>
      <c r="W1495" s="48">
        <f>IF(OR($M1495="",$T1495=""),"",$T1495+(W$2*$M1495))</f>
        <v/>
      </c>
      <c r="X1495" s="49">
        <f>IF(OR($M1495="",$T1495=""),"",$T1495+(X$2*$M1495))</f>
        <v/>
      </c>
      <c r="Y1495" s="47">
        <f>IF(OR($M1495="",$T1495=""),"",$T1495+(Y$2*$M1495))</f>
        <v/>
      </c>
      <c r="Z1495" s="49">
        <f>IF(OR($M1495="",$T1495=""),"",$T1495+(Z$2*$M1495))</f>
        <v/>
      </c>
      <c r="AA1495" s="51">
        <f>IF(OR($M1495="",$T1495=""),"",$T1495+(AA$2*$M1495))</f>
        <v/>
      </c>
      <c r="AB1495" s="48">
        <f>IF(OR($M1495="",$T1495=""),"",$T1495+(AB$2*$M1495))</f>
        <v/>
      </c>
      <c r="AC1495" s="48">
        <f>IF(OR($M1495="",$T1495=""),"",$T1495+(AC$2*$M1495))</f>
        <v/>
      </c>
      <c r="AD1495" s="48">
        <f>IF(OR($M1495="",$T1495=""),"",$T1495+(AD$2*$M1495))</f>
        <v/>
      </c>
      <c r="AE1495" s="49">
        <f>IF(OR($M1495="",$T1495=""),"",$T1495+(AE$2*$M1495))</f>
        <v/>
      </c>
      <c r="AF1495" s="52">
        <f>IF(OR(T1495="",I1495&lt;T1495),"",IFERROR(AVERAGE(T1495+M1495*{7,8,9,10,11})/IF(G1495="",I1495,G1495)-1,""))</f>
        <v/>
      </c>
      <c r="AG1495" s="55">
        <f>IF(OR(T1495="",I1495&lt;T1495),"",IFERROR(AF1495/-(R1495/IF(G1495="",I1495,G1495)-1),""))</f>
        <v/>
      </c>
      <c r="AH1495" s="94" t="n"/>
      <c r="AI1495" s="94" t="n"/>
      <c r="AJ1495" s="94" t="n"/>
      <c r="AK1495" s="94" t="n"/>
      <c r="AL1495" s="84" t="n"/>
    </row>
    <row r="1496">
      <c r="A1496" s="64" t="n"/>
      <c r="B1496" s="65" t="n"/>
      <c r="C1496" s="66" t="n"/>
      <c r="D1496" s="67" t="n"/>
      <c r="E1496" s="68" t="n"/>
      <c r="F1496" s="47">
        <f>IF(A1496="","",IF(MIN(H1496,MAX(J1496:K1496))=0,"",MIN(H1496,MAX(J1496:K1496))))</f>
        <v/>
      </c>
      <c r="G1496" s="74" t="n"/>
      <c r="H1496" s="49">
        <f>IF(M1496="","",IFERROR(ROUND(AVERAGE(T1496+M1496*{7,8,9,10,11})/1.21,4),""))</f>
        <v/>
      </c>
      <c r="I1496" s="76" t="n"/>
      <c r="J1496" s="77" t="n"/>
      <c r="K1496" s="74" t="n"/>
      <c r="L1496" s="78" t="n"/>
      <c r="M1496" s="77" t="n"/>
      <c r="N1496" s="53">
        <f>IF(M1496="","",IFERROR(M1496/I1496,""))</f>
        <v/>
      </c>
      <c r="O1496" s="50">
        <f>IF(A1496="","",IFERROR((IF(G1496="",I1496,G1496)-T1496)/M1496,""))</f>
        <v/>
      </c>
      <c r="P1496" s="50">
        <f>IFERROR((I1496/T1496-1)/N1496,"")</f>
        <v/>
      </c>
      <c r="Q1496" s="46">
        <f>IF(OR(T1496="",I1496&lt;T1496),"",IFERROR(R1496/IF(G1496="",I1496,G1496)-1,""))</f>
        <v/>
      </c>
      <c r="R1496" s="48">
        <f>IF($M1496="","",MAX(IF($G1496="",$I1496,$G1496)*(1/1.1),IF($G1496="",$I1496,$G1496)+(R$2*$M1496)))</f>
        <v/>
      </c>
      <c r="S1496" s="49">
        <f>IF($M1496="","",MAX(IF($G1496="",$I1496,$G1496)*(1/1.1),IF($G1496="",$I1496,$G1496)+(S$2*$M1496)))</f>
        <v/>
      </c>
      <c r="T1496" s="82" t="n"/>
      <c r="U1496" s="47">
        <f>IF(OR($M1496="",$T1496=""),"",$T1496+(U$2*$M1496))</f>
        <v/>
      </c>
      <c r="V1496" s="48">
        <f>IF(OR($M1496="",$T1496=""),"",$T1496+(V$2*$M1496))</f>
        <v/>
      </c>
      <c r="W1496" s="48">
        <f>IF(OR($M1496="",$T1496=""),"",$T1496+(W$2*$M1496))</f>
        <v/>
      </c>
      <c r="X1496" s="49">
        <f>IF(OR($M1496="",$T1496=""),"",$T1496+(X$2*$M1496))</f>
        <v/>
      </c>
      <c r="Y1496" s="47">
        <f>IF(OR($M1496="",$T1496=""),"",$T1496+(Y$2*$M1496))</f>
        <v/>
      </c>
      <c r="Z1496" s="49">
        <f>IF(OR($M1496="",$T1496=""),"",$T1496+(Z$2*$M1496))</f>
        <v/>
      </c>
      <c r="AA1496" s="51">
        <f>IF(OR($M1496="",$T1496=""),"",$T1496+(AA$2*$M1496))</f>
        <v/>
      </c>
      <c r="AB1496" s="48">
        <f>IF(OR($M1496="",$T1496=""),"",$T1496+(AB$2*$M1496))</f>
        <v/>
      </c>
      <c r="AC1496" s="48">
        <f>IF(OR($M1496="",$T1496=""),"",$T1496+(AC$2*$M1496))</f>
        <v/>
      </c>
      <c r="AD1496" s="48">
        <f>IF(OR($M1496="",$T1496=""),"",$T1496+(AD$2*$M1496))</f>
        <v/>
      </c>
      <c r="AE1496" s="49">
        <f>IF(OR($M1496="",$T1496=""),"",$T1496+(AE$2*$M1496))</f>
        <v/>
      </c>
      <c r="AF1496" s="52">
        <f>IF(OR(T1496="",I1496&lt;T1496),"",IFERROR(AVERAGE(T1496+M1496*{7,8,9,10,11})/IF(G1496="",I1496,G1496)-1,""))</f>
        <v/>
      </c>
      <c r="AG1496" s="55">
        <f>IF(OR(T1496="",I1496&lt;T1496),"",IFERROR(AF1496/-(R1496/IF(G1496="",I1496,G1496)-1),""))</f>
        <v/>
      </c>
      <c r="AH1496" s="94" t="n"/>
      <c r="AI1496" s="94" t="n"/>
      <c r="AJ1496" s="94" t="n"/>
      <c r="AK1496" s="94" t="n"/>
      <c r="AL1496" s="84" t="n"/>
    </row>
    <row r="1497">
      <c r="A1497" s="64" t="n"/>
      <c r="B1497" s="65" t="n"/>
      <c r="C1497" s="66" t="n"/>
      <c r="D1497" s="67" t="n"/>
      <c r="E1497" s="68" t="n"/>
      <c r="F1497" s="47">
        <f>IF(A1497="","",IF(MIN(H1497,MAX(J1497:K1497))=0,"",MIN(H1497,MAX(J1497:K1497))))</f>
        <v/>
      </c>
      <c r="G1497" s="74" t="n"/>
      <c r="H1497" s="49">
        <f>IF(M1497="","",IFERROR(ROUND(AVERAGE(T1497+M1497*{7,8,9,10,11})/1.21,4),""))</f>
        <v/>
      </c>
      <c r="I1497" s="76" t="n"/>
      <c r="J1497" s="77" t="n"/>
      <c r="K1497" s="74" t="n"/>
      <c r="L1497" s="78" t="n"/>
      <c r="M1497" s="77" t="n"/>
      <c r="N1497" s="53">
        <f>IF(M1497="","",IFERROR(M1497/I1497,""))</f>
        <v/>
      </c>
      <c r="O1497" s="50">
        <f>IF(A1497="","",IFERROR((IF(G1497="",I1497,G1497)-T1497)/M1497,""))</f>
        <v/>
      </c>
      <c r="P1497" s="50">
        <f>IFERROR((I1497/T1497-1)/N1497,"")</f>
        <v/>
      </c>
      <c r="Q1497" s="46">
        <f>IF(OR(T1497="",I1497&lt;T1497),"",IFERROR(R1497/IF(G1497="",I1497,G1497)-1,""))</f>
        <v/>
      </c>
      <c r="R1497" s="48">
        <f>IF($M1497="","",MAX(IF($G1497="",$I1497,$G1497)*(1/1.1),IF($G1497="",$I1497,$G1497)+(R$2*$M1497)))</f>
        <v/>
      </c>
      <c r="S1497" s="49">
        <f>IF($M1497="","",MAX(IF($G1497="",$I1497,$G1497)*(1/1.1),IF($G1497="",$I1497,$G1497)+(S$2*$M1497)))</f>
        <v/>
      </c>
      <c r="T1497" s="82" t="n"/>
      <c r="U1497" s="47">
        <f>IF(OR($M1497="",$T1497=""),"",$T1497+(U$2*$M1497))</f>
        <v/>
      </c>
      <c r="V1497" s="48">
        <f>IF(OR($M1497="",$T1497=""),"",$T1497+(V$2*$M1497))</f>
        <v/>
      </c>
      <c r="W1497" s="48">
        <f>IF(OR($M1497="",$T1497=""),"",$T1497+(W$2*$M1497))</f>
        <v/>
      </c>
      <c r="X1497" s="49">
        <f>IF(OR($M1497="",$T1497=""),"",$T1497+(X$2*$M1497))</f>
        <v/>
      </c>
      <c r="Y1497" s="47">
        <f>IF(OR($M1497="",$T1497=""),"",$T1497+(Y$2*$M1497))</f>
        <v/>
      </c>
      <c r="Z1497" s="49">
        <f>IF(OR($M1497="",$T1497=""),"",$T1497+(Z$2*$M1497))</f>
        <v/>
      </c>
      <c r="AA1497" s="51">
        <f>IF(OR($M1497="",$T1497=""),"",$T1497+(AA$2*$M1497))</f>
        <v/>
      </c>
      <c r="AB1497" s="48">
        <f>IF(OR($M1497="",$T1497=""),"",$T1497+(AB$2*$M1497))</f>
        <v/>
      </c>
      <c r="AC1497" s="48">
        <f>IF(OR($M1497="",$T1497=""),"",$T1497+(AC$2*$M1497))</f>
        <v/>
      </c>
      <c r="AD1497" s="48">
        <f>IF(OR($M1497="",$T1497=""),"",$T1497+(AD$2*$M1497))</f>
        <v/>
      </c>
      <c r="AE1497" s="49">
        <f>IF(OR($M1497="",$T1497=""),"",$T1497+(AE$2*$M1497))</f>
        <v/>
      </c>
      <c r="AF1497" s="52">
        <f>IF(OR(T1497="",I1497&lt;T1497),"",IFERROR(AVERAGE(T1497+M1497*{7,8,9,10,11})/IF(G1497="",I1497,G1497)-1,""))</f>
        <v/>
      </c>
      <c r="AG1497" s="55">
        <f>IF(OR(T1497="",I1497&lt;T1497),"",IFERROR(AF1497/-(R1497/IF(G1497="",I1497,G1497)-1),""))</f>
        <v/>
      </c>
      <c r="AH1497" s="94" t="n"/>
      <c r="AI1497" s="94" t="n"/>
      <c r="AJ1497" s="94" t="n"/>
      <c r="AK1497" s="94" t="n"/>
      <c r="AL1497" s="84" t="n"/>
    </row>
    <row r="1498">
      <c r="A1498" s="64" t="n"/>
      <c r="B1498" s="65" t="n"/>
      <c r="C1498" s="66" t="n"/>
      <c r="D1498" s="67" t="n"/>
      <c r="E1498" s="68" t="n"/>
      <c r="F1498" s="47">
        <f>IF(A1498="","",IF(MIN(H1498,MAX(J1498:K1498))=0,"",MIN(H1498,MAX(J1498:K1498))))</f>
        <v/>
      </c>
      <c r="G1498" s="74" t="n"/>
      <c r="H1498" s="49">
        <f>IF(M1498="","",IFERROR(ROUND(AVERAGE(T1498+M1498*{7,8,9,10,11})/1.21,4),""))</f>
        <v/>
      </c>
      <c r="I1498" s="76" t="n"/>
      <c r="J1498" s="77" t="n"/>
      <c r="K1498" s="74" t="n"/>
      <c r="L1498" s="78" t="n"/>
      <c r="M1498" s="77" t="n"/>
      <c r="N1498" s="53">
        <f>IF(M1498="","",IFERROR(M1498/I1498,""))</f>
        <v/>
      </c>
      <c r="O1498" s="50">
        <f>IF(A1498="","",IFERROR((IF(G1498="",I1498,G1498)-T1498)/M1498,""))</f>
        <v/>
      </c>
      <c r="P1498" s="50">
        <f>IFERROR((I1498/T1498-1)/N1498,"")</f>
        <v/>
      </c>
      <c r="Q1498" s="46">
        <f>IF(OR(T1498="",I1498&lt;T1498),"",IFERROR(R1498/IF(G1498="",I1498,G1498)-1,""))</f>
        <v/>
      </c>
      <c r="R1498" s="48">
        <f>IF($M1498="","",MAX(IF($G1498="",$I1498,$G1498)*(1/1.1),IF($G1498="",$I1498,$G1498)+(R$2*$M1498)))</f>
        <v/>
      </c>
      <c r="S1498" s="49">
        <f>IF($M1498="","",MAX(IF($G1498="",$I1498,$G1498)*(1/1.1),IF($G1498="",$I1498,$G1498)+(S$2*$M1498)))</f>
        <v/>
      </c>
      <c r="T1498" s="82" t="n"/>
      <c r="U1498" s="47">
        <f>IF(OR($M1498="",$T1498=""),"",$T1498+(U$2*$M1498))</f>
        <v/>
      </c>
      <c r="V1498" s="48">
        <f>IF(OR($M1498="",$T1498=""),"",$T1498+(V$2*$M1498))</f>
        <v/>
      </c>
      <c r="W1498" s="48">
        <f>IF(OR($M1498="",$T1498=""),"",$T1498+(W$2*$M1498))</f>
        <v/>
      </c>
      <c r="X1498" s="49">
        <f>IF(OR($M1498="",$T1498=""),"",$T1498+(X$2*$M1498))</f>
        <v/>
      </c>
      <c r="Y1498" s="47">
        <f>IF(OR($M1498="",$T1498=""),"",$T1498+(Y$2*$M1498))</f>
        <v/>
      </c>
      <c r="Z1498" s="49">
        <f>IF(OR($M1498="",$T1498=""),"",$T1498+(Z$2*$M1498))</f>
        <v/>
      </c>
      <c r="AA1498" s="51">
        <f>IF(OR($M1498="",$T1498=""),"",$T1498+(AA$2*$M1498))</f>
        <v/>
      </c>
      <c r="AB1498" s="48">
        <f>IF(OR($M1498="",$T1498=""),"",$T1498+(AB$2*$M1498))</f>
        <v/>
      </c>
      <c r="AC1498" s="48">
        <f>IF(OR($M1498="",$T1498=""),"",$T1498+(AC$2*$M1498))</f>
        <v/>
      </c>
      <c r="AD1498" s="48">
        <f>IF(OR($M1498="",$T1498=""),"",$T1498+(AD$2*$M1498))</f>
        <v/>
      </c>
      <c r="AE1498" s="49">
        <f>IF(OR($M1498="",$T1498=""),"",$T1498+(AE$2*$M1498))</f>
        <v/>
      </c>
      <c r="AF1498" s="52">
        <f>IF(OR(T1498="",I1498&lt;T1498),"",IFERROR(AVERAGE(T1498+M1498*{7,8,9,10,11})/IF(G1498="",I1498,G1498)-1,""))</f>
        <v/>
      </c>
      <c r="AG1498" s="55">
        <f>IF(OR(T1498="",I1498&lt;T1498),"",IFERROR(AF1498/-(R1498/IF(G1498="",I1498,G1498)-1),""))</f>
        <v/>
      </c>
      <c r="AH1498" s="94" t="n"/>
      <c r="AI1498" s="94" t="n"/>
      <c r="AJ1498" s="94" t="n"/>
      <c r="AK1498" s="94" t="n"/>
      <c r="AL1498" s="84" t="n"/>
    </row>
    <row r="1499">
      <c r="A1499" s="64" t="n"/>
      <c r="B1499" s="65" t="n"/>
      <c r="C1499" s="66" t="n"/>
      <c r="D1499" s="67" t="n"/>
      <c r="E1499" s="68" t="n"/>
      <c r="F1499" s="47">
        <f>IF(A1499="","",IF(MIN(H1499,MAX(J1499:K1499))=0,"",MIN(H1499,MAX(J1499:K1499))))</f>
        <v/>
      </c>
      <c r="G1499" s="74" t="n"/>
      <c r="H1499" s="49">
        <f>IF(M1499="","",IFERROR(ROUND(AVERAGE(T1499+M1499*{7,8,9,10,11})/1.21,4),""))</f>
        <v/>
      </c>
      <c r="I1499" s="76" t="n"/>
      <c r="J1499" s="77" t="n"/>
      <c r="K1499" s="74" t="n"/>
      <c r="L1499" s="78" t="n"/>
      <c r="M1499" s="77" t="n"/>
      <c r="N1499" s="53">
        <f>IF(M1499="","",IFERROR(M1499/I1499,""))</f>
        <v/>
      </c>
      <c r="O1499" s="50">
        <f>IF(A1499="","",IFERROR((IF(G1499="",I1499,G1499)-T1499)/M1499,""))</f>
        <v/>
      </c>
      <c r="P1499" s="50">
        <f>IFERROR((I1499/T1499-1)/N1499,"")</f>
        <v/>
      </c>
      <c r="Q1499" s="46">
        <f>IF(OR(T1499="",I1499&lt;T1499),"",IFERROR(R1499/IF(G1499="",I1499,G1499)-1,""))</f>
        <v/>
      </c>
      <c r="R1499" s="48">
        <f>IF($M1499="","",MAX(IF($G1499="",$I1499,$G1499)*(1/1.1),IF($G1499="",$I1499,$G1499)+(R$2*$M1499)))</f>
        <v/>
      </c>
      <c r="S1499" s="49">
        <f>IF($M1499="","",MAX(IF($G1499="",$I1499,$G1499)*(1/1.1),IF($G1499="",$I1499,$G1499)+(S$2*$M1499)))</f>
        <v/>
      </c>
      <c r="T1499" s="82" t="n"/>
      <c r="U1499" s="47">
        <f>IF(OR($M1499="",$T1499=""),"",$T1499+(U$2*$M1499))</f>
        <v/>
      </c>
      <c r="V1499" s="48">
        <f>IF(OR($M1499="",$T1499=""),"",$T1499+(V$2*$M1499))</f>
        <v/>
      </c>
      <c r="W1499" s="48">
        <f>IF(OR($M1499="",$T1499=""),"",$T1499+(W$2*$M1499))</f>
        <v/>
      </c>
      <c r="X1499" s="49">
        <f>IF(OR($M1499="",$T1499=""),"",$T1499+(X$2*$M1499))</f>
        <v/>
      </c>
      <c r="Y1499" s="47">
        <f>IF(OR($M1499="",$T1499=""),"",$T1499+(Y$2*$M1499))</f>
        <v/>
      </c>
      <c r="Z1499" s="49">
        <f>IF(OR($M1499="",$T1499=""),"",$T1499+(Z$2*$M1499))</f>
        <v/>
      </c>
      <c r="AA1499" s="51">
        <f>IF(OR($M1499="",$T1499=""),"",$T1499+(AA$2*$M1499))</f>
        <v/>
      </c>
      <c r="AB1499" s="48">
        <f>IF(OR($M1499="",$T1499=""),"",$T1499+(AB$2*$M1499))</f>
        <v/>
      </c>
      <c r="AC1499" s="48">
        <f>IF(OR($M1499="",$T1499=""),"",$T1499+(AC$2*$M1499))</f>
        <v/>
      </c>
      <c r="AD1499" s="48">
        <f>IF(OR($M1499="",$T1499=""),"",$T1499+(AD$2*$M1499))</f>
        <v/>
      </c>
      <c r="AE1499" s="49">
        <f>IF(OR($M1499="",$T1499=""),"",$T1499+(AE$2*$M1499))</f>
        <v/>
      </c>
      <c r="AF1499" s="52">
        <f>IF(OR(T1499="",I1499&lt;T1499),"",IFERROR(AVERAGE(T1499+M1499*{7,8,9,10,11})/IF(G1499="",I1499,G1499)-1,""))</f>
        <v/>
      </c>
      <c r="AG1499" s="55">
        <f>IF(OR(T1499="",I1499&lt;T1499),"",IFERROR(AF1499/-(R1499/IF(G1499="",I1499,G1499)-1),""))</f>
        <v/>
      </c>
      <c r="AH1499" s="94" t="n"/>
      <c r="AI1499" s="94" t="n"/>
      <c r="AJ1499" s="94" t="n"/>
      <c r="AK1499" s="94" t="n"/>
      <c r="AL1499" s="84" t="n"/>
    </row>
    <row r="1500">
      <c r="A1500" s="64" t="n"/>
      <c r="B1500" s="65" t="n"/>
      <c r="C1500" s="66" t="n"/>
      <c r="D1500" s="67" t="n"/>
      <c r="E1500" s="68" t="n"/>
      <c r="F1500" s="47">
        <f>IF(A1500="","",IF(MIN(H1500,MAX(J1500:K1500))=0,"",MIN(H1500,MAX(J1500:K1500))))</f>
        <v/>
      </c>
      <c r="G1500" s="74" t="n"/>
      <c r="H1500" s="49">
        <f>IF(M1500="","",IFERROR(ROUND(AVERAGE(T1500+M1500*{7,8,9,10,11})/1.21,4),""))</f>
        <v/>
      </c>
      <c r="I1500" s="76" t="n"/>
      <c r="J1500" s="77" t="n"/>
      <c r="K1500" s="74" t="n"/>
      <c r="L1500" s="78" t="n"/>
      <c r="M1500" s="77" t="n"/>
      <c r="N1500" s="53">
        <f>IF(M1500="","",IFERROR(M1500/I1500,""))</f>
        <v/>
      </c>
      <c r="O1500" s="50">
        <f>IF(A1500="","",IFERROR((IF(G1500="",I1500,G1500)-T1500)/M1500,""))</f>
        <v/>
      </c>
      <c r="P1500" s="50">
        <f>IFERROR((I1500/T1500-1)/N1500,"")</f>
        <v/>
      </c>
      <c r="Q1500" s="46">
        <f>IF(OR(T1500="",I1500&lt;T1500),"",IFERROR(R1500/IF(G1500="",I1500,G1500)-1,""))</f>
        <v/>
      </c>
      <c r="R1500" s="48">
        <f>IF($M1500="","",MAX(IF($G1500="",$I1500,$G1500)*(1/1.1),IF($G1500="",$I1500,$G1500)+(R$2*$M1500)))</f>
        <v/>
      </c>
      <c r="S1500" s="49">
        <f>IF($M1500="","",MAX(IF($G1500="",$I1500,$G1500)*(1/1.1),IF($G1500="",$I1500,$G1500)+(S$2*$M1500)))</f>
        <v/>
      </c>
      <c r="T1500" s="82" t="n"/>
      <c r="U1500" s="47">
        <f>IF(OR($M1500="",$T1500=""),"",$T1500+(U$2*$M1500))</f>
        <v/>
      </c>
      <c r="V1500" s="48">
        <f>IF(OR($M1500="",$T1500=""),"",$T1500+(V$2*$M1500))</f>
        <v/>
      </c>
      <c r="W1500" s="48">
        <f>IF(OR($M1500="",$T1500=""),"",$T1500+(W$2*$M1500))</f>
        <v/>
      </c>
      <c r="X1500" s="49">
        <f>IF(OR($M1500="",$T1500=""),"",$T1500+(X$2*$M1500))</f>
        <v/>
      </c>
      <c r="Y1500" s="47">
        <f>IF(OR($M1500="",$T1500=""),"",$T1500+(Y$2*$M1500))</f>
        <v/>
      </c>
      <c r="Z1500" s="49">
        <f>IF(OR($M1500="",$T1500=""),"",$T1500+(Z$2*$M1500))</f>
        <v/>
      </c>
      <c r="AA1500" s="51">
        <f>IF(OR($M1500="",$T1500=""),"",$T1500+(AA$2*$M1500))</f>
        <v/>
      </c>
      <c r="AB1500" s="48">
        <f>IF(OR($M1500="",$T1500=""),"",$T1500+(AB$2*$M1500))</f>
        <v/>
      </c>
      <c r="AC1500" s="48">
        <f>IF(OR($M1500="",$T1500=""),"",$T1500+(AC$2*$M1500))</f>
        <v/>
      </c>
      <c r="AD1500" s="48">
        <f>IF(OR($M1500="",$T1500=""),"",$T1500+(AD$2*$M1500))</f>
        <v/>
      </c>
      <c r="AE1500" s="49">
        <f>IF(OR($M1500="",$T1500=""),"",$T1500+(AE$2*$M1500))</f>
        <v/>
      </c>
      <c r="AF1500" s="52">
        <f>IF(OR(T1500="",I1500&lt;T1500),"",IFERROR(AVERAGE(T1500+M1500*{7,8,9,10,11})/IF(G1500="",I1500,G1500)-1,""))</f>
        <v/>
      </c>
      <c r="AG1500" s="55">
        <f>IF(OR(T1500="",I1500&lt;T1500),"",IFERROR(AF1500/-(R1500/IF(G1500="",I1500,G1500)-1),""))</f>
        <v/>
      </c>
      <c r="AH1500" s="94" t="n"/>
      <c r="AI1500" s="94" t="n"/>
      <c r="AJ1500" s="94" t="n"/>
      <c r="AK1500" s="94" t="n"/>
      <c r="AL1500" s="84" t="n"/>
    </row>
    <row r="1501">
      <c r="A1501" s="64" t="n"/>
      <c r="B1501" s="65" t="n"/>
      <c r="C1501" s="66" t="n"/>
      <c r="D1501" s="67" t="n"/>
      <c r="E1501" s="68" t="n"/>
      <c r="F1501" s="47">
        <f>IF(A1501="","",IF(MIN(H1501,MAX(J1501:K1501))=0,"",MIN(H1501,MAX(J1501:K1501))))</f>
        <v/>
      </c>
      <c r="G1501" s="74" t="n"/>
      <c r="H1501" s="49">
        <f>IF(M1501="","",IFERROR(ROUND(AVERAGE(T1501+M1501*{7,8,9,10,11})/1.21,4),""))</f>
        <v/>
      </c>
      <c r="I1501" s="76" t="n"/>
      <c r="J1501" s="77" t="n"/>
      <c r="K1501" s="74" t="n"/>
      <c r="L1501" s="78" t="n"/>
      <c r="M1501" s="77" t="n"/>
      <c r="N1501" s="53">
        <f>IF(M1501="","",IFERROR(M1501/I1501,""))</f>
        <v/>
      </c>
      <c r="O1501" s="50">
        <f>IF(A1501="","",IFERROR((IF(G1501="",I1501,G1501)-T1501)/M1501,""))</f>
        <v/>
      </c>
      <c r="P1501" s="50">
        <f>IFERROR((I1501/T1501-1)/N1501,"")</f>
        <v/>
      </c>
      <c r="Q1501" s="46">
        <f>IF(OR(T1501="",I1501&lt;T1501),"",IFERROR(R1501/IF(G1501="",I1501,G1501)-1,""))</f>
        <v/>
      </c>
      <c r="R1501" s="48">
        <f>IF($M1501="","",MAX(IF($G1501="",$I1501,$G1501)*(1/1.1),IF($G1501="",$I1501,$G1501)+(R$2*$M1501)))</f>
        <v/>
      </c>
      <c r="S1501" s="49">
        <f>IF($M1501="","",MAX(IF($G1501="",$I1501,$G1501)*(1/1.1),IF($G1501="",$I1501,$G1501)+(S$2*$M1501)))</f>
        <v/>
      </c>
      <c r="T1501" s="82" t="n"/>
      <c r="U1501" s="47">
        <f>IF(OR($M1501="",$T1501=""),"",$T1501+(U$2*$M1501))</f>
        <v/>
      </c>
      <c r="V1501" s="48">
        <f>IF(OR($M1501="",$T1501=""),"",$T1501+(V$2*$M1501))</f>
        <v/>
      </c>
      <c r="W1501" s="48">
        <f>IF(OR($M1501="",$T1501=""),"",$T1501+(W$2*$M1501))</f>
        <v/>
      </c>
      <c r="X1501" s="49">
        <f>IF(OR($M1501="",$T1501=""),"",$T1501+(X$2*$M1501))</f>
        <v/>
      </c>
      <c r="Y1501" s="47">
        <f>IF(OR($M1501="",$T1501=""),"",$T1501+(Y$2*$M1501))</f>
        <v/>
      </c>
      <c r="Z1501" s="49">
        <f>IF(OR($M1501="",$T1501=""),"",$T1501+(Z$2*$M1501))</f>
        <v/>
      </c>
      <c r="AA1501" s="51">
        <f>IF(OR($M1501="",$T1501=""),"",$T1501+(AA$2*$M1501))</f>
        <v/>
      </c>
      <c r="AB1501" s="48">
        <f>IF(OR($M1501="",$T1501=""),"",$T1501+(AB$2*$M1501))</f>
        <v/>
      </c>
      <c r="AC1501" s="48">
        <f>IF(OR($M1501="",$T1501=""),"",$T1501+(AC$2*$M1501))</f>
        <v/>
      </c>
      <c r="AD1501" s="48">
        <f>IF(OR($M1501="",$T1501=""),"",$T1501+(AD$2*$M1501))</f>
        <v/>
      </c>
      <c r="AE1501" s="49">
        <f>IF(OR($M1501="",$T1501=""),"",$T1501+(AE$2*$M1501))</f>
        <v/>
      </c>
      <c r="AF1501" s="52">
        <f>IF(OR(T1501="",I1501&lt;T1501),"",IFERROR(AVERAGE(T1501+M1501*{7,8,9,10,11})/IF(G1501="",I1501,G1501)-1,""))</f>
        <v/>
      </c>
      <c r="AG1501" s="55">
        <f>IF(OR(T1501="",I1501&lt;T1501),"",IFERROR(AF1501/-(R1501/IF(G1501="",I1501,G1501)-1),""))</f>
        <v/>
      </c>
      <c r="AH1501" s="94" t="n"/>
      <c r="AI1501" s="94" t="n"/>
      <c r="AJ1501" s="94" t="n"/>
      <c r="AK1501" s="94" t="n"/>
      <c r="AL1501" s="84" t="n"/>
    </row>
    <row r="1502">
      <c r="A1502" s="64" t="n"/>
      <c r="B1502" s="65" t="n"/>
      <c r="C1502" s="66" t="n"/>
      <c r="D1502" s="67" t="n"/>
      <c r="E1502" s="68" t="n"/>
      <c r="F1502" s="47">
        <f>IF(A1502="","",IF(MIN(H1502,MAX(J1502:K1502))=0,"",MIN(H1502,MAX(J1502:K1502))))</f>
        <v/>
      </c>
      <c r="G1502" s="74" t="n"/>
      <c r="H1502" s="49">
        <f>IF(M1502="","",IFERROR(ROUND(AVERAGE(T1502+M1502*{7,8,9,10,11})/1.21,4),""))</f>
        <v/>
      </c>
      <c r="I1502" s="76" t="n"/>
      <c r="J1502" s="77" t="n"/>
      <c r="K1502" s="74" t="n"/>
      <c r="L1502" s="78" t="n"/>
      <c r="M1502" s="77" t="n"/>
      <c r="N1502" s="53">
        <f>IF(M1502="","",IFERROR(M1502/I1502,""))</f>
        <v/>
      </c>
      <c r="O1502" s="50">
        <f>IF(A1502="","",IFERROR((IF(G1502="",I1502,G1502)-T1502)/M1502,""))</f>
        <v/>
      </c>
      <c r="P1502" s="50">
        <f>IFERROR((I1502/T1502-1)/N1502,"")</f>
        <v/>
      </c>
      <c r="Q1502" s="46">
        <f>IF(OR(T1502="",I1502&lt;T1502),"",IFERROR(R1502/IF(G1502="",I1502,G1502)-1,""))</f>
        <v/>
      </c>
      <c r="R1502" s="48">
        <f>IF($M1502="","",MAX(IF($G1502="",$I1502,$G1502)*(1/1.1),IF($G1502="",$I1502,$G1502)+(R$2*$M1502)))</f>
        <v/>
      </c>
      <c r="S1502" s="49">
        <f>IF($M1502="","",MAX(IF($G1502="",$I1502,$G1502)*(1/1.1),IF($G1502="",$I1502,$G1502)+(S$2*$M1502)))</f>
        <v/>
      </c>
      <c r="T1502" s="82" t="n"/>
      <c r="U1502" s="47">
        <f>IF(OR($M1502="",$T1502=""),"",$T1502+(U$2*$M1502))</f>
        <v/>
      </c>
      <c r="V1502" s="48">
        <f>IF(OR($M1502="",$T1502=""),"",$T1502+(V$2*$M1502))</f>
        <v/>
      </c>
      <c r="W1502" s="48">
        <f>IF(OR($M1502="",$T1502=""),"",$T1502+(W$2*$M1502))</f>
        <v/>
      </c>
      <c r="X1502" s="49">
        <f>IF(OR($M1502="",$T1502=""),"",$T1502+(X$2*$M1502))</f>
        <v/>
      </c>
      <c r="Y1502" s="47">
        <f>IF(OR($M1502="",$T1502=""),"",$T1502+(Y$2*$M1502))</f>
        <v/>
      </c>
      <c r="Z1502" s="49">
        <f>IF(OR($M1502="",$T1502=""),"",$T1502+(Z$2*$M1502))</f>
        <v/>
      </c>
      <c r="AA1502" s="51">
        <f>IF(OR($M1502="",$T1502=""),"",$T1502+(AA$2*$M1502))</f>
        <v/>
      </c>
      <c r="AB1502" s="48">
        <f>IF(OR($M1502="",$T1502=""),"",$T1502+(AB$2*$M1502))</f>
        <v/>
      </c>
      <c r="AC1502" s="48">
        <f>IF(OR($M1502="",$T1502=""),"",$T1502+(AC$2*$M1502))</f>
        <v/>
      </c>
      <c r="AD1502" s="48">
        <f>IF(OR($M1502="",$T1502=""),"",$T1502+(AD$2*$M1502))</f>
        <v/>
      </c>
      <c r="AE1502" s="49">
        <f>IF(OR($M1502="",$T1502=""),"",$T1502+(AE$2*$M1502))</f>
        <v/>
      </c>
      <c r="AF1502" s="52">
        <f>IF(OR(T1502="",I1502&lt;T1502),"",IFERROR(AVERAGE(T1502+M1502*{7,8,9,10,11})/IF(G1502="",I1502,G1502)-1,""))</f>
        <v/>
      </c>
      <c r="AG1502" s="55">
        <f>IF(OR(T1502="",I1502&lt;T1502),"",IFERROR(AF1502/-(R1502/IF(G1502="",I1502,G1502)-1),""))</f>
        <v/>
      </c>
      <c r="AH1502" s="94" t="n"/>
      <c r="AI1502" s="94" t="n"/>
      <c r="AJ1502" s="94" t="n"/>
      <c r="AK1502" s="94" t="n"/>
      <c r="AL1502" s="84" t="n"/>
    </row>
    <row r="1503">
      <c r="A1503" s="64" t="n"/>
      <c r="B1503" s="65" t="n"/>
      <c r="C1503" s="66" t="n"/>
      <c r="D1503" s="67" t="n"/>
      <c r="E1503" s="68" t="n"/>
      <c r="F1503" s="47">
        <f>IF(A1503="","",IF(MIN(H1503,MAX(J1503:K1503))=0,"",MIN(H1503,MAX(J1503:K1503))))</f>
        <v/>
      </c>
      <c r="G1503" s="74" t="n"/>
      <c r="H1503" s="49">
        <f>IF(M1503="","",IFERROR(ROUND(AVERAGE(T1503+M1503*{7,8,9,10,11})/1.21,4),""))</f>
        <v/>
      </c>
      <c r="I1503" s="76" t="n"/>
      <c r="J1503" s="77" t="n"/>
      <c r="K1503" s="74" t="n"/>
      <c r="L1503" s="78" t="n"/>
      <c r="M1503" s="77" t="n"/>
      <c r="N1503" s="53">
        <f>IF(M1503="","",IFERROR(M1503/I1503,""))</f>
        <v/>
      </c>
      <c r="O1503" s="50">
        <f>IF(A1503="","",IFERROR((IF(G1503="",I1503,G1503)-T1503)/M1503,""))</f>
        <v/>
      </c>
      <c r="P1503" s="50">
        <f>IFERROR((I1503/T1503-1)/N1503,"")</f>
        <v/>
      </c>
      <c r="Q1503" s="46">
        <f>IF(OR(T1503="",I1503&lt;T1503),"",IFERROR(R1503/IF(G1503="",I1503,G1503)-1,""))</f>
        <v/>
      </c>
      <c r="R1503" s="48">
        <f>IF($M1503="","",MAX(IF($G1503="",$I1503,$G1503)*(1/1.1),IF($G1503="",$I1503,$G1503)+(R$2*$M1503)))</f>
        <v/>
      </c>
      <c r="S1503" s="49">
        <f>IF($M1503="","",MAX(IF($G1503="",$I1503,$G1503)*(1/1.1),IF($G1503="",$I1503,$G1503)+(S$2*$M1503)))</f>
        <v/>
      </c>
      <c r="T1503" s="82" t="n"/>
      <c r="U1503" s="47">
        <f>IF(OR($M1503="",$T1503=""),"",$T1503+(U$2*$M1503))</f>
        <v/>
      </c>
      <c r="V1503" s="48">
        <f>IF(OR($M1503="",$T1503=""),"",$T1503+(V$2*$M1503))</f>
        <v/>
      </c>
      <c r="W1503" s="48">
        <f>IF(OR($M1503="",$T1503=""),"",$T1503+(W$2*$M1503))</f>
        <v/>
      </c>
      <c r="X1503" s="49">
        <f>IF(OR($M1503="",$T1503=""),"",$T1503+(X$2*$M1503))</f>
        <v/>
      </c>
      <c r="Y1503" s="47">
        <f>IF(OR($M1503="",$T1503=""),"",$T1503+(Y$2*$M1503))</f>
        <v/>
      </c>
      <c r="Z1503" s="49">
        <f>IF(OR($M1503="",$T1503=""),"",$T1503+(Z$2*$M1503))</f>
        <v/>
      </c>
      <c r="AA1503" s="51">
        <f>IF(OR($M1503="",$T1503=""),"",$T1503+(AA$2*$M1503))</f>
        <v/>
      </c>
      <c r="AB1503" s="48">
        <f>IF(OR($M1503="",$T1503=""),"",$T1503+(AB$2*$M1503))</f>
        <v/>
      </c>
      <c r="AC1503" s="48">
        <f>IF(OR($M1503="",$T1503=""),"",$T1503+(AC$2*$M1503))</f>
        <v/>
      </c>
      <c r="AD1503" s="48">
        <f>IF(OR($M1503="",$T1503=""),"",$T1503+(AD$2*$M1503))</f>
        <v/>
      </c>
      <c r="AE1503" s="49">
        <f>IF(OR($M1503="",$T1503=""),"",$T1503+(AE$2*$M1503))</f>
        <v/>
      </c>
      <c r="AF1503" s="52">
        <f>IF(OR(T1503="",I1503&lt;T1503),"",IFERROR(AVERAGE(T1503+M1503*{7,8,9,10,11})/IF(G1503="",I1503,G1503)-1,""))</f>
        <v/>
      </c>
      <c r="AG1503" s="55">
        <f>IF(OR(T1503="",I1503&lt;T1503),"",IFERROR(AF1503/-(R1503/IF(G1503="",I1503,G1503)-1),""))</f>
        <v/>
      </c>
      <c r="AH1503" s="94" t="n"/>
      <c r="AI1503" s="94" t="n"/>
      <c r="AJ1503" s="94" t="n"/>
      <c r="AK1503" s="94" t="n"/>
      <c r="AL1503" s="84" t="n"/>
    </row>
    <row r="1504">
      <c r="A1504" s="64" t="n"/>
      <c r="B1504" s="65" t="n"/>
      <c r="C1504" s="66" t="n"/>
      <c r="D1504" s="67" t="n"/>
      <c r="E1504" s="68" t="n"/>
      <c r="F1504" s="47">
        <f>IF(A1504="","",IF(MIN(H1504,MAX(J1504:K1504))=0,"",MIN(H1504,MAX(J1504:K1504))))</f>
        <v/>
      </c>
      <c r="G1504" s="74" t="n"/>
      <c r="H1504" s="49">
        <f>IF(M1504="","",IFERROR(ROUND(AVERAGE(T1504+M1504*{7,8,9,10,11})/1.21,4),""))</f>
        <v/>
      </c>
      <c r="I1504" s="76" t="n"/>
      <c r="J1504" s="77" t="n"/>
      <c r="K1504" s="74" t="n"/>
      <c r="L1504" s="78" t="n"/>
      <c r="M1504" s="77" t="n"/>
      <c r="N1504" s="53">
        <f>IF(M1504="","",IFERROR(M1504/I1504,""))</f>
        <v/>
      </c>
      <c r="O1504" s="50">
        <f>IF(A1504="","",IFERROR((IF(G1504="",I1504,G1504)-T1504)/M1504,""))</f>
        <v/>
      </c>
      <c r="P1504" s="50">
        <f>IFERROR((I1504/T1504-1)/N1504,"")</f>
        <v/>
      </c>
      <c r="Q1504" s="46">
        <f>IF(OR(T1504="",I1504&lt;T1504),"",IFERROR(R1504/IF(G1504="",I1504,G1504)-1,""))</f>
        <v/>
      </c>
      <c r="R1504" s="48">
        <f>IF($M1504="","",MAX(IF($G1504="",$I1504,$G1504)*(1/1.1),IF($G1504="",$I1504,$G1504)+(R$2*$M1504)))</f>
        <v/>
      </c>
      <c r="S1504" s="49">
        <f>IF($M1504="","",MAX(IF($G1504="",$I1504,$G1504)*(1/1.1),IF($G1504="",$I1504,$G1504)+(S$2*$M1504)))</f>
        <v/>
      </c>
      <c r="T1504" s="82" t="n"/>
      <c r="U1504" s="47">
        <f>IF(OR($M1504="",$T1504=""),"",$T1504+(U$2*$M1504))</f>
        <v/>
      </c>
      <c r="V1504" s="48">
        <f>IF(OR($M1504="",$T1504=""),"",$T1504+(V$2*$M1504))</f>
        <v/>
      </c>
      <c r="W1504" s="48">
        <f>IF(OR($M1504="",$T1504=""),"",$T1504+(W$2*$M1504))</f>
        <v/>
      </c>
      <c r="X1504" s="49">
        <f>IF(OR($M1504="",$T1504=""),"",$T1504+(X$2*$M1504))</f>
        <v/>
      </c>
      <c r="Y1504" s="47">
        <f>IF(OR($M1504="",$T1504=""),"",$T1504+(Y$2*$M1504))</f>
        <v/>
      </c>
      <c r="Z1504" s="49">
        <f>IF(OR($M1504="",$T1504=""),"",$T1504+(Z$2*$M1504))</f>
        <v/>
      </c>
      <c r="AA1504" s="51">
        <f>IF(OR($M1504="",$T1504=""),"",$T1504+(AA$2*$M1504))</f>
        <v/>
      </c>
      <c r="AB1504" s="48">
        <f>IF(OR($M1504="",$T1504=""),"",$T1504+(AB$2*$M1504))</f>
        <v/>
      </c>
      <c r="AC1504" s="48">
        <f>IF(OR($M1504="",$T1504=""),"",$T1504+(AC$2*$M1504))</f>
        <v/>
      </c>
      <c r="AD1504" s="48">
        <f>IF(OR($M1504="",$T1504=""),"",$T1504+(AD$2*$M1504))</f>
        <v/>
      </c>
      <c r="AE1504" s="49">
        <f>IF(OR($M1504="",$T1504=""),"",$T1504+(AE$2*$M1504))</f>
        <v/>
      </c>
      <c r="AF1504" s="52">
        <f>IF(OR(T1504="",I1504&lt;T1504),"",IFERROR(AVERAGE(T1504+M1504*{7,8,9,10,11})/IF(G1504="",I1504,G1504)-1,""))</f>
        <v/>
      </c>
      <c r="AG1504" s="55">
        <f>IF(OR(T1504="",I1504&lt;T1504),"",IFERROR(AF1504/-(R1504/IF(G1504="",I1504,G1504)-1),""))</f>
        <v/>
      </c>
      <c r="AH1504" s="94" t="n"/>
      <c r="AI1504" s="94" t="n"/>
      <c r="AJ1504" s="94" t="n"/>
      <c r="AK1504" s="94" t="n"/>
      <c r="AL1504" s="84" t="n"/>
    </row>
    <row r="1505">
      <c r="A1505" s="64" t="n"/>
      <c r="B1505" s="65" t="n"/>
      <c r="C1505" s="66" t="n"/>
      <c r="D1505" s="67" t="n"/>
      <c r="E1505" s="68" t="n"/>
      <c r="F1505" s="47">
        <f>IF(A1505="","",IF(MIN(H1505,MAX(J1505:K1505))=0,"",MIN(H1505,MAX(J1505:K1505))))</f>
        <v/>
      </c>
      <c r="G1505" s="74" t="n"/>
      <c r="H1505" s="49">
        <f>IF(M1505="","",IFERROR(ROUND(AVERAGE(T1505+M1505*{7,8,9,10,11})/1.21,4),""))</f>
        <v/>
      </c>
      <c r="I1505" s="76" t="n"/>
      <c r="J1505" s="77" t="n"/>
      <c r="K1505" s="74" t="n"/>
      <c r="L1505" s="78" t="n"/>
      <c r="M1505" s="77" t="n"/>
      <c r="N1505" s="53">
        <f>IF(M1505="","",IFERROR(M1505/I1505,""))</f>
        <v/>
      </c>
      <c r="O1505" s="50">
        <f>IF(A1505="","",IFERROR((IF(G1505="",I1505,G1505)-T1505)/M1505,""))</f>
        <v/>
      </c>
      <c r="P1505" s="50">
        <f>IFERROR((I1505/T1505-1)/N1505,"")</f>
        <v/>
      </c>
      <c r="Q1505" s="46">
        <f>IF(OR(T1505="",I1505&lt;T1505),"",IFERROR(R1505/IF(G1505="",I1505,G1505)-1,""))</f>
        <v/>
      </c>
      <c r="R1505" s="48">
        <f>IF($M1505="","",MAX(IF($G1505="",$I1505,$G1505)*(1/1.1),IF($G1505="",$I1505,$G1505)+(R$2*$M1505)))</f>
        <v/>
      </c>
      <c r="S1505" s="49">
        <f>IF($M1505="","",MAX(IF($G1505="",$I1505,$G1505)*(1/1.1),IF($G1505="",$I1505,$G1505)+(S$2*$M1505)))</f>
        <v/>
      </c>
      <c r="T1505" s="82" t="n"/>
      <c r="U1505" s="47">
        <f>IF(OR($M1505="",$T1505=""),"",$T1505+(U$2*$M1505))</f>
        <v/>
      </c>
      <c r="V1505" s="48">
        <f>IF(OR($M1505="",$T1505=""),"",$T1505+(V$2*$M1505))</f>
        <v/>
      </c>
      <c r="W1505" s="48">
        <f>IF(OR($M1505="",$T1505=""),"",$T1505+(W$2*$M1505))</f>
        <v/>
      </c>
      <c r="X1505" s="49">
        <f>IF(OR($M1505="",$T1505=""),"",$T1505+(X$2*$M1505))</f>
        <v/>
      </c>
      <c r="Y1505" s="47">
        <f>IF(OR($M1505="",$T1505=""),"",$T1505+(Y$2*$M1505))</f>
        <v/>
      </c>
      <c r="Z1505" s="49">
        <f>IF(OR($M1505="",$T1505=""),"",$T1505+(Z$2*$M1505))</f>
        <v/>
      </c>
      <c r="AA1505" s="51">
        <f>IF(OR($M1505="",$T1505=""),"",$T1505+(AA$2*$M1505))</f>
        <v/>
      </c>
      <c r="AB1505" s="48">
        <f>IF(OR($M1505="",$T1505=""),"",$T1505+(AB$2*$M1505))</f>
        <v/>
      </c>
      <c r="AC1505" s="48">
        <f>IF(OR($M1505="",$T1505=""),"",$T1505+(AC$2*$M1505))</f>
        <v/>
      </c>
      <c r="AD1505" s="48">
        <f>IF(OR($M1505="",$T1505=""),"",$T1505+(AD$2*$M1505))</f>
        <v/>
      </c>
      <c r="AE1505" s="49">
        <f>IF(OR($M1505="",$T1505=""),"",$T1505+(AE$2*$M1505))</f>
        <v/>
      </c>
      <c r="AF1505" s="52">
        <f>IF(OR(T1505="",I1505&lt;T1505),"",IFERROR(AVERAGE(T1505+M1505*{7,8,9,10,11})/IF(G1505="",I1505,G1505)-1,""))</f>
        <v/>
      </c>
      <c r="AG1505" s="55">
        <f>IF(OR(T1505="",I1505&lt;T1505),"",IFERROR(AF1505/-(R1505/IF(G1505="",I1505,G1505)-1),""))</f>
        <v/>
      </c>
      <c r="AH1505" s="94" t="n"/>
      <c r="AI1505" s="94" t="n"/>
      <c r="AJ1505" s="94" t="n"/>
      <c r="AK1505" s="94" t="n"/>
      <c r="AL1505" s="84" t="n"/>
    </row>
    <row r="1506">
      <c r="A1506" s="64" t="n"/>
      <c r="B1506" s="65" t="n"/>
      <c r="C1506" s="66" t="n"/>
      <c r="D1506" s="67" t="n"/>
      <c r="E1506" s="68" t="n"/>
      <c r="F1506" s="47">
        <f>IF(A1506="","",IF(MIN(H1506,MAX(J1506:K1506))=0,"",MIN(H1506,MAX(J1506:K1506))))</f>
        <v/>
      </c>
      <c r="G1506" s="74" t="n"/>
      <c r="H1506" s="49">
        <f>IF(M1506="","",IFERROR(ROUND(AVERAGE(T1506+M1506*{7,8,9,10,11})/1.21,4),""))</f>
        <v/>
      </c>
      <c r="I1506" s="76" t="n"/>
      <c r="J1506" s="77" t="n"/>
      <c r="K1506" s="74" t="n"/>
      <c r="L1506" s="78" t="n"/>
      <c r="M1506" s="77" t="n"/>
      <c r="N1506" s="53">
        <f>IF(M1506="","",IFERROR(M1506/I1506,""))</f>
        <v/>
      </c>
      <c r="O1506" s="50">
        <f>IF(A1506="","",IFERROR((IF(G1506="",I1506,G1506)-T1506)/M1506,""))</f>
        <v/>
      </c>
      <c r="P1506" s="50">
        <f>IFERROR((I1506/T1506-1)/N1506,"")</f>
        <v/>
      </c>
      <c r="Q1506" s="46">
        <f>IF(OR(T1506="",I1506&lt;T1506),"",IFERROR(R1506/IF(G1506="",I1506,G1506)-1,""))</f>
        <v/>
      </c>
      <c r="R1506" s="48">
        <f>IF($M1506="","",MAX(IF($G1506="",$I1506,$G1506)*(1/1.1),IF($G1506="",$I1506,$G1506)+(R$2*$M1506)))</f>
        <v/>
      </c>
      <c r="S1506" s="49">
        <f>IF($M1506="","",MAX(IF($G1506="",$I1506,$G1506)*(1/1.1),IF($G1506="",$I1506,$G1506)+(S$2*$M1506)))</f>
        <v/>
      </c>
      <c r="T1506" s="82" t="n"/>
      <c r="U1506" s="47">
        <f>IF(OR($M1506="",$T1506=""),"",$T1506+(U$2*$M1506))</f>
        <v/>
      </c>
      <c r="V1506" s="48">
        <f>IF(OR($M1506="",$T1506=""),"",$T1506+(V$2*$M1506))</f>
        <v/>
      </c>
      <c r="W1506" s="48">
        <f>IF(OR($M1506="",$T1506=""),"",$T1506+(W$2*$M1506))</f>
        <v/>
      </c>
      <c r="X1506" s="49">
        <f>IF(OR($M1506="",$T1506=""),"",$T1506+(X$2*$M1506))</f>
        <v/>
      </c>
      <c r="Y1506" s="47">
        <f>IF(OR($M1506="",$T1506=""),"",$T1506+(Y$2*$M1506))</f>
        <v/>
      </c>
      <c r="Z1506" s="49">
        <f>IF(OR($M1506="",$T1506=""),"",$T1506+(Z$2*$M1506))</f>
        <v/>
      </c>
      <c r="AA1506" s="51">
        <f>IF(OR($M1506="",$T1506=""),"",$T1506+(AA$2*$M1506))</f>
        <v/>
      </c>
      <c r="AB1506" s="48">
        <f>IF(OR($M1506="",$T1506=""),"",$T1506+(AB$2*$M1506))</f>
        <v/>
      </c>
      <c r="AC1506" s="48">
        <f>IF(OR($M1506="",$T1506=""),"",$T1506+(AC$2*$M1506))</f>
        <v/>
      </c>
      <c r="AD1506" s="48">
        <f>IF(OR($M1506="",$T1506=""),"",$T1506+(AD$2*$M1506))</f>
        <v/>
      </c>
      <c r="AE1506" s="49">
        <f>IF(OR($M1506="",$T1506=""),"",$T1506+(AE$2*$M1506))</f>
        <v/>
      </c>
      <c r="AF1506" s="52">
        <f>IF(OR(T1506="",I1506&lt;T1506),"",IFERROR(AVERAGE(T1506+M1506*{7,8,9,10,11})/IF(G1506="",I1506,G1506)-1,""))</f>
        <v/>
      </c>
      <c r="AG1506" s="55">
        <f>IF(OR(T1506="",I1506&lt;T1506),"",IFERROR(AF1506/-(R1506/IF(G1506="",I1506,G1506)-1),""))</f>
        <v/>
      </c>
      <c r="AH1506" s="94" t="n"/>
      <c r="AI1506" s="94" t="n"/>
      <c r="AJ1506" s="94" t="n"/>
      <c r="AK1506" s="94" t="n"/>
      <c r="AL1506" s="84" t="n"/>
    </row>
    <row r="1507">
      <c r="A1507" s="64" t="n"/>
      <c r="B1507" s="65" t="n"/>
      <c r="C1507" s="66" t="n"/>
      <c r="D1507" s="67" t="n"/>
      <c r="E1507" s="68" t="n"/>
      <c r="F1507" s="47">
        <f>IF(A1507="","",IF(MIN(H1507,MAX(J1507:K1507))=0,"",MIN(H1507,MAX(J1507:K1507))))</f>
        <v/>
      </c>
      <c r="G1507" s="74" t="n"/>
      <c r="H1507" s="49">
        <f>IF(M1507="","",IFERROR(ROUND(AVERAGE(T1507+M1507*{7,8,9,10,11})/1.21,4),""))</f>
        <v/>
      </c>
      <c r="I1507" s="76" t="n"/>
      <c r="J1507" s="77" t="n"/>
      <c r="K1507" s="74" t="n"/>
      <c r="L1507" s="78" t="n"/>
      <c r="M1507" s="77" t="n"/>
      <c r="N1507" s="53">
        <f>IF(M1507="","",IFERROR(M1507/I1507,""))</f>
        <v/>
      </c>
      <c r="O1507" s="50">
        <f>IF(A1507="","",IFERROR((IF(G1507="",I1507,G1507)-T1507)/M1507,""))</f>
        <v/>
      </c>
      <c r="P1507" s="50">
        <f>IFERROR((I1507/T1507-1)/N1507,"")</f>
        <v/>
      </c>
      <c r="Q1507" s="46">
        <f>IF(OR(T1507="",I1507&lt;T1507),"",IFERROR(R1507/IF(G1507="",I1507,G1507)-1,""))</f>
        <v/>
      </c>
      <c r="R1507" s="48">
        <f>IF($M1507="","",MAX(IF($G1507="",$I1507,$G1507)*(1/1.1),IF($G1507="",$I1507,$G1507)+(R$2*$M1507)))</f>
        <v/>
      </c>
      <c r="S1507" s="49">
        <f>IF($M1507="","",MAX(IF($G1507="",$I1507,$G1507)*(1/1.1),IF($G1507="",$I1507,$G1507)+(S$2*$M1507)))</f>
        <v/>
      </c>
      <c r="T1507" s="82" t="n"/>
      <c r="U1507" s="47">
        <f>IF(OR($M1507="",$T1507=""),"",$T1507+(U$2*$M1507))</f>
        <v/>
      </c>
      <c r="V1507" s="48">
        <f>IF(OR($M1507="",$T1507=""),"",$T1507+(V$2*$M1507))</f>
        <v/>
      </c>
      <c r="W1507" s="48">
        <f>IF(OR($M1507="",$T1507=""),"",$T1507+(W$2*$M1507))</f>
        <v/>
      </c>
      <c r="X1507" s="49">
        <f>IF(OR($M1507="",$T1507=""),"",$T1507+(X$2*$M1507))</f>
        <v/>
      </c>
      <c r="Y1507" s="47">
        <f>IF(OR($M1507="",$T1507=""),"",$T1507+(Y$2*$M1507))</f>
        <v/>
      </c>
      <c r="Z1507" s="49">
        <f>IF(OR($M1507="",$T1507=""),"",$T1507+(Z$2*$M1507))</f>
        <v/>
      </c>
      <c r="AA1507" s="51">
        <f>IF(OR($M1507="",$T1507=""),"",$T1507+(AA$2*$M1507))</f>
        <v/>
      </c>
      <c r="AB1507" s="48">
        <f>IF(OR($M1507="",$T1507=""),"",$T1507+(AB$2*$M1507))</f>
        <v/>
      </c>
      <c r="AC1507" s="48">
        <f>IF(OR($M1507="",$T1507=""),"",$T1507+(AC$2*$M1507))</f>
        <v/>
      </c>
      <c r="AD1507" s="48">
        <f>IF(OR($M1507="",$T1507=""),"",$T1507+(AD$2*$M1507))</f>
        <v/>
      </c>
      <c r="AE1507" s="49">
        <f>IF(OR($M1507="",$T1507=""),"",$T1507+(AE$2*$M1507))</f>
        <v/>
      </c>
      <c r="AF1507" s="52">
        <f>IF(OR(T1507="",I1507&lt;T1507),"",IFERROR(AVERAGE(T1507+M1507*{7,8,9,10,11})/IF(G1507="",I1507,G1507)-1,""))</f>
        <v/>
      </c>
      <c r="AG1507" s="55">
        <f>IF(OR(T1507="",I1507&lt;T1507),"",IFERROR(AF1507/-(R1507/IF(G1507="",I1507,G1507)-1),""))</f>
        <v/>
      </c>
      <c r="AH1507" s="94" t="n"/>
      <c r="AI1507" s="94" t="n"/>
      <c r="AJ1507" s="94" t="n"/>
      <c r="AK1507" s="94" t="n"/>
      <c r="AL1507" s="84" t="n"/>
    </row>
    <row r="1508">
      <c r="A1508" s="64" t="n"/>
      <c r="B1508" s="65" t="n"/>
      <c r="C1508" s="66" t="n"/>
      <c r="D1508" s="67" t="n"/>
      <c r="E1508" s="68" t="n"/>
      <c r="F1508" s="47">
        <f>IF(A1508="","",IF(MIN(H1508,MAX(J1508:K1508))=0,"",MIN(H1508,MAX(J1508:K1508))))</f>
        <v/>
      </c>
      <c r="G1508" s="74" t="n"/>
      <c r="H1508" s="49">
        <f>IF(M1508="","",IFERROR(ROUND(AVERAGE(T1508+M1508*{7,8,9,10,11})/1.21,4),""))</f>
        <v/>
      </c>
      <c r="I1508" s="76" t="n"/>
      <c r="J1508" s="77" t="n"/>
      <c r="K1508" s="74" t="n"/>
      <c r="L1508" s="78" t="n"/>
      <c r="M1508" s="77" t="n"/>
      <c r="N1508" s="53">
        <f>IF(M1508="","",IFERROR(M1508/I1508,""))</f>
        <v/>
      </c>
      <c r="O1508" s="50">
        <f>IF(A1508="","",IFERROR((IF(G1508="",I1508,G1508)-T1508)/M1508,""))</f>
        <v/>
      </c>
      <c r="P1508" s="50">
        <f>IFERROR((I1508/T1508-1)/N1508,"")</f>
        <v/>
      </c>
      <c r="Q1508" s="46">
        <f>IF(OR(T1508="",I1508&lt;T1508),"",IFERROR(R1508/IF(G1508="",I1508,G1508)-1,""))</f>
        <v/>
      </c>
      <c r="R1508" s="48">
        <f>IF($M1508="","",MAX(IF($G1508="",$I1508,$G1508)*(1/1.1),IF($G1508="",$I1508,$G1508)+(R$2*$M1508)))</f>
        <v/>
      </c>
      <c r="S1508" s="49">
        <f>IF($M1508="","",MAX(IF($G1508="",$I1508,$G1508)*(1/1.1),IF($G1508="",$I1508,$G1508)+(S$2*$M1508)))</f>
        <v/>
      </c>
      <c r="T1508" s="82" t="n"/>
      <c r="U1508" s="47">
        <f>IF(OR($M1508="",$T1508=""),"",$T1508+(U$2*$M1508))</f>
        <v/>
      </c>
      <c r="V1508" s="48">
        <f>IF(OR($M1508="",$T1508=""),"",$T1508+(V$2*$M1508))</f>
        <v/>
      </c>
      <c r="W1508" s="48">
        <f>IF(OR($M1508="",$T1508=""),"",$T1508+(W$2*$M1508))</f>
        <v/>
      </c>
      <c r="X1508" s="49">
        <f>IF(OR($M1508="",$T1508=""),"",$T1508+(X$2*$M1508))</f>
        <v/>
      </c>
      <c r="Y1508" s="47">
        <f>IF(OR($M1508="",$T1508=""),"",$T1508+(Y$2*$M1508))</f>
        <v/>
      </c>
      <c r="Z1508" s="49">
        <f>IF(OR($M1508="",$T1508=""),"",$T1508+(Z$2*$M1508))</f>
        <v/>
      </c>
      <c r="AA1508" s="51">
        <f>IF(OR($M1508="",$T1508=""),"",$T1508+(AA$2*$M1508))</f>
        <v/>
      </c>
      <c r="AB1508" s="48">
        <f>IF(OR($M1508="",$T1508=""),"",$T1508+(AB$2*$M1508))</f>
        <v/>
      </c>
      <c r="AC1508" s="48">
        <f>IF(OR($M1508="",$T1508=""),"",$T1508+(AC$2*$M1508))</f>
        <v/>
      </c>
      <c r="AD1508" s="48">
        <f>IF(OR($M1508="",$T1508=""),"",$T1508+(AD$2*$M1508))</f>
        <v/>
      </c>
      <c r="AE1508" s="49">
        <f>IF(OR($M1508="",$T1508=""),"",$T1508+(AE$2*$M1508))</f>
        <v/>
      </c>
      <c r="AF1508" s="52">
        <f>IF(OR(T1508="",I1508&lt;T1508),"",IFERROR(AVERAGE(T1508+M1508*{7,8,9,10,11})/IF(G1508="",I1508,G1508)-1,""))</f>
        <v/>
      </c>
      <c r="AG1508" s="55">
        <f>IF(OR(T1508="",I1508&lt;T1508),"",IFERROR(AF1508/-(R1508/IF(G1508="",I1508,G1508)-1),""))</f>
        <v/>
      </c>
      <c r="AH1508" s="94" t="n"/>
      <c r="AI1508" s="94" t="n"/>
      <c r="AJ1508" s="94" t="n"/>
      <c r="AK1508" s="94" t="n"/>
      <c r="AL1508" s="84" t="n"/>
    </row>
    <row r="1509">
      <c r="A1509" s="64" t="n"/>
      <c r="B1509" s="65" t="n"/>
      <c r="C1509" s="66" t="n"/>
      <c r="D1509" s="67" t="n"/>
      <c r="E1509" s="68" t="n"/>
      <c r="F1509" s="47">
        <f>IF(A1509="","",IF(MIN(H1509,MAX(J1509:K1509))=0,"",MIN(H1509,MAX(J1509:K1509))))</f>
        <v/>
      </c>
      <c r="G1509" s="74" t="n"/>
      <c r="H1509" s="49">
        <f>IF(M1509="","",IFERROR(ROUND(AVERAGE(T1509+M1509*{7,8,9,10,11})/1.21,4),""))</f>
        <v/>
      </c>
      <c r="I1509" s="76" t="n"/>
      <c r="J1509" s="77" t="n"/>
      <c r="K1509" s="74" t="n"/>
      <c r="L1509" s="78" t="n"/>
      <c r="M1509" s="77" t="n"/>
      <c r="N1509" s="53">
        <f>IF(M1509="","",IFERROR(M1509/I1509,""))</f>
        <v/>
      </c>
      <c r="O1509" s="50">
        <f>IF(A1509="","",IFERROR((IF(G1509="",I1509,G1509)-T1509)/M1509,""))</f>
        <v/>
      </c>
      <c r="P1509" s="50">
        <f>IFERROR((I1509/T1509-1)/N1509,"")</f>
        <v/>
      </c>
      <c r="Q1509" s="46">
        <f>IF(OR(T1509="",I1509&lt;T1509),"",IFERROR(R1509/IF(G1509="",I1509,G1509)-1,""))</f>
        <v/>
      </c>
      <c r="R1509" s="48">
        <f>IF($M1509="","",MAX(IF($G1509="",$I1509,$G1509)*(1/1.1),IF($G1509="",$I1509,$G1509)+(R$2*$M1509)))</f>
        <v/>
      </c>
      <c r="S1509" s="49">
        <f>IF($M1509="","",MAX(IF($G1509="",$I1509,$G1509)*(1/1.1),IF($G1509="",$I1509,$G1509)+(S$2*$M1509)))</f>
        <v/>
      </c>
      <c r="T1509" s="82" t="n"/>
      <c r="U1509" s="47">
        <f>IF(OR($M1509="",$T1509=""),"",$T1509+(U$2*$M1509))</f>
        <v/>
      </c>
      <c r="V1509" s="48">
        <f>IF(OR($M1509="",$T1509=""),"",$T1509+(V$2*$M1509))</f>
        <v/>
      </c>
      <c r="W1509" s="48">
        <f>IF(OR($M1509="",$T1509=""),"",$T1509+(W$2*$M1509))</f>
        <v/>
      </c>
      <c r="X1509" s="49">
        <f>IF(OR($M1509="",$T1509=""),"",$T1509+(X$2*$M1509))</f>
        <v/>
      </c>
      <c r="Y1509" s="47">
        <f>IF(OR($M1509="",$T1509=""),"",$T1509+(Y$2*$M1509))</f>
        <v/>
      </c>
      <c r="Z1509" s="49">
        <f>IF(OR($M1509="",$T1509=""),"",$T1509+(Z$2*$M1509))</f>
        <v/>
      </c>
      <c r="AA1509" s="51">
        <f>IF(OR($M1509="",$T1509=""),"",$T1509+(AA$2*$M1509))</f>
        <v/>
      </c>
      <c r="AB1509" s="48">
        <f>IF(OR($M1509="",$T1509=""),"",$T1509+(AB$2*$M1509))</f>
        <v/>
      </c>
      <c r="AC1509" s="48">
        <f>IF(OR($M1509="",$T1509=""),"",$T1509+(AC$2*$M1509))</f>
        <v/>
      </c>
      <c r="AD1509" s="48">
        <f>IF(OR($M1509="",$T1509=""),"",$T1509+(AD$2*$M1509))</f>
        <v/>
      </c>
      <c r="AE1509" s="49">
        <f>IF(OR($M1509="",$T1509=""),"",$T1509+(AE$2*$M1509))</f>
        <v/>
      </c>
      <c r="AF1509" s="52">
        <f>IF(OR(T1509="",I1509&lt;T1509),"",IFERROR(AVERAGE(T1509+M1509*{7,8,9,10,11})/IF(G1509="",I1509,G1509)-1,""))</f>
        <v/>
      </c>
      <c r="AG1509" s="55">
        <f>IF(OR(T1509="",I1509&lt;T1509),"",IFERROR(AF1509/-(R1509/IF(G1509="",I1509,G1509)-1),""))</f>
        <v/>
      </c>
      <c r="AH1509" s="94" t="n"/>
      <c r="AI1509" s="94" t="n"/>
      <c r="AJ1509" s="94" t="n"/>
      <c r="AK1509" s="94" t="n"/>
      <c r="AL1509" s="84" t="n"/>
    </row>
    <row r="1510">
      <c r="A1510" s="64" t="n"/>
      <c r="B1510" s="65" t="n"/>
      <c r="C1510" s="66" t="n"/>
      <c r="D1510" s="67" t="n"/>
      <c r="E1510" s="68" t="n"/>
      <c r="F1510" s="47">
        <f>IF(A1510="","",IF(MIN(H1510,MAX(J1510:K1510))=0,"",MIN(H1510,MAX(J1510:K1510))))</f>
        <v/>
      </c>
      <c r="G1510" s="74" t="n"/>
      <c r="H1510" s="49">
        <f>IF(M1510="","",IFERROR(ROUND(AVERAGE(T1510+M1510*{7,8,9,10,11})/1.21,4),""))</f>
        <v/>
      </c>
      <c r="I1510" s="76" t="n"/>
      <c r="J1510" s="77" t="n"/>
      <c r="K1510" s="74" t="n"/>
      <c r="L1510" s="78" t="n"/>
      <c r="M1510" s="77" t="n"/>
      <c r="N1510" s="53">
        <f>IF(M1510="","",IFERROR(M1510/I1510,""))</f>
        <v/>
      </c>
      <c r="O1510" s="50">
        <f>IF(A1510="","",IFERROR((IF(G1510="",I1510,G1510)-T1510)/M1510,""))</f>
        <v/>
      </c>
      <c r="P1510" s="50">
        <f>IFERROR((I1510/T1510-1)/N1510,"")</f>
        <v/>
      </c>
      <c r="Q1510" s="46">
        <f>IF(OR(T1510="",I1510&lt;T1510),"",IFERROR(R1510/IF(G1510="",I1510,G1510)-1,""))</f>
        <v/>
      </c>
      <c r="R1510" s="48">
        <f>IF($M1510="","",MAX(IF($G1510="",$I1510,$G1510)*(1/1.1),IF($G1510="",$I1510,$G1510)+(R$2*$M1510)))</f>
        <v/>
      </c>
      <c r="S1510" s="49">
        <f>IF($M1510="","",MAX(IF($G1510="",$I1510,$G1510)*(1/1.1),IF($G1510="",$I1510,$G1510)+(S$2*$M1510)))</f>
        <v/>
      </c>
      <c r="T1510" s="82" t="n"/>
      <c r="U1510" s="47">
        <f>IF(OR($M1510="",$T1510=""),"",$T1510+(U$2*$M1510))</f>
        <v/>
      </c>
      <c r="V1510" s="48">
        <f>IF(OR($M1510="",$T1510=""),"",$T1510+(V$2*$M1510))</f>
        <v/>
      </c>
      <c r="W1510" s="48">
        <f>IF(OR($M1510="",$T1510=""),"",$T1510+(W$2*$M1510))</f>
        <v/>
      </c>
      <c r="X1510" s="49">
        <f>IF(OR($M1510="",$T1510=""),"",$T1510+(X$2*$M1510))</f>
        <v/>
      </c>
      <c r="Y1510" s="47">
        <f>IF(OR($M1510="",$T1510=""),"",$T1510+(Y$2*$M1510))</f>
        <v/>
      </c>
      <c r="Z1510" s="49">
        <f>IF(OR($M1510="",$T1510=""),"",$T1510+(Z$2*$M1510))</f>
        <v/>
      </c>
      <c r="AA1510" s="51">
        <f>IF(OR($M1510="",$T1510=""),"",$T1510+(AA$2*$M1510))</f>
        <v/>
      </c>
      <c r="AB1510" s="48">
        <f>IF(OR($M1510="",$T1510=""),"",$T1510+(AB$2*$M1510))</f>
        <v/>
      </c>
      <c r="AC1510" s="48">
        <f>IF(OR($M1510="",$T1510=""),"",$T1510+(AC$2*$M1510))</f>
        <v/>
      </c>
      <c r="AD1510" s="48">
        <f>IF(OR($M1510="",$T1510=""),"",$T1510+(AD$2*$M1510))</f>
        <v/>
      </c>
      <c r="AE1510" s="49">
        <f>IF(OR($M1510="",$T1510=""),"",$T1510+(AE$2*$M1510))</f>
        <v/>
      </c>
      <c r="AF1510" s="52">
        <f>IF(OR(T1510="",I1510&lt;T1510),"",IFERROR(AVERAGE(T1510+M1510*{7,8,9,10,11})/IF(G1510="",I1510,G1510)-1,""))</f>
        <v/>
      </c>
      <c r="AG1510" s="55">
        <f>IF(OR(T1510="",I1510&lt;T1510),"",IFERROR(AF1510/-(R1510/IF(G1510="",I1510,G1510)-1),""))</f>
        <v/>
      </c>
      <c r="AH1510" s="94" t="n"/>
      <c r="AI1510" s="94" t="n"/>
      <c r="AJ1510" s="94" t="n"/>
      <c r="AK1510" s="94" t="n"/>
      <c r="AL1510" s="84" t="n"/>
    </row>
    <row r="1511">
      <c r="A1511" s="64" t="n"/>
      <c r="B1511" s="65" t="n"/>
      <c r="C1511" s="66" t="n"/>
      <c r="D1511" s="67" t="n"/>
      <c r="E1511" s="68" t="n"/>
      <c r="F1511" s="47">
        <f>IF(A1511="","",IF(MIN(H1511,MAX(J1511:K1511))=0,"",MIN(H1511,MAX(J1511:K1511))))</f>
        <v/>
      </c>
      <c r="G1511" s="74" t="n"/>
      <c r="H1511" s="49">
        <f>IF(M1511="","",IFERROR(ROUND(AVERAGE(T1511+M1511*{7,8,9,10,11})/1.21,4),""))</f>
        <v/>
      </c>
      <c r="I1511" s="76" t="n"/>
      <c r="J1511" s="77" t="n"/>
      <c r="K1511" s="74" t="n"/>
      <c r="L1511" s="78" t="n"/>
      <c r="M1511" s="77" t="n"/>
      <c r="N1511" s="53">
        <f>IF(M1511="","",IFERROR(M1511/I1511,""))</f>
        <v/>
      </c>
      <c r="O1511" s="50">
        <f>IF(A1511="","",IFERROR((IF(G1511="",I1511,G1511)-T1511)/M1511,""))</f>
        <v/>
      </c>
      <c r="P1511" s="50">
        <f>IFERROR((I1511/T1511-1)/N1511,"")</f>
        <v/>
      </c>
      <c r="Q1511" s="46">
        <f>IF(OR(T1511="",I1511&lt;T1511),"",IFERROR(R1511/IF(G1511="",I1511,G1511)-1,""))</f>
        <v/>
      </c>
      <c r="R1511" s="48">
        <f>IF($M1511="","",MAX(IF($G1511="",$I1511,$G1511)*(1/1.1),IF($G1511="",$I1511,$G1511)+(R$2*$M1511)))</f>
        <v/>
      </c>
      <c r="S1511" s="49">
        <f>IF($M1511="","",MAX(IF($G1511="",$I1511,$G1511)*(1/1.1),IF($G1511="",$I1511,$G1511)+(S$2*$M1511)))</f>
        <v/>
      </c>
      <c r="T1511" s="82" t="n"/>
      <c r="U1511" s="47">
        <f>IF(OR($M1511="",$T1511=""),"",$T1511+(U$2*$M1511))</f>
        <v/>
      </c>
      <c r="V1511" s="48">
        <f>IF(OR($M1511="",$T1511=""),"",$T1511+(V$2*$M1511))</f>
        <v/>
      </c>
      <c r="W1511" s="48">
        <f>IF(OR($M1511="",$T1511=""),"",$T1511+(W$2*$M1511))</f>
        <v/>
      </c>
      <c r="X1511" s="49">
        <f>IF(OR($M1511="",$T1511=""),"",$T1511+(X$2*$M1511))</f>
        <v/>
      </c>
      <c r="Y1511" s="47">
        <f>IF(OR($M1511="",$T1511=""),"",$T1511+(Y$2*$M1511))</f>
        <v/>
      </c>
      <c r="Z1511" s="49">
        <f>IF(OR($M1511="",$T1511=""),"",$T1511+(Z$2*$M1511))</f>
        <v/>
      </c>
      <c r="AA1511" s="51">
        <f>IF(OR($M1511="",$T1511=""),"",$T1511+(AA$2*$M1511))</f>
        <v/>
      </c>
      <c r="AB1511" s="48">
        <f>IF(OR($M1511="",$T1511=""),"",$T1511+(AB$2*$M1511))</f>
        <v/>
      </c>
      <c r="AC1511" s="48">
        <f>IF(OR($M1511="",$T1511=""),"",$T1511+(AC$2*$M1511))</f>
        <v/>
      </c>
      <c r="AD1511" s="48">
        <f>IF(OR($M1511="",$T1511=""),"",$T1511+(AD$2*$M1511))</f>
        <v/>
      </c>
      <c r="AE1511" s="49">
        <f>IF(OR($M1511="",$T1511=""),"",$T1511+(AE$2*$M1511))</f>
        <v/>
      </c>
      <c r="AF1511" s="52">
        <f>IF(OR(T1511="",I1511&lt;T1511),"",IFERROR(AVERAGE(T1511+M1511*{7,8,9,10,11})/IF(G1511="",I1511,G1511)-1,""))</f>
        <v/>
      </c>
      <c r="AG1511" s="55">
        <f>IF(OR(T1511="",I1511&lt;T1511),"",IFERROR(AF1511/-(R1511/IF(G1511="",I1511,G1511)-1),""))</f>
        <v/>
      </c>
      <c r="AH1511" s="94" t="n"/>
      <c r="AI1511" s="94" t="n"/>
      <c r="AJ1511" s="94" t="n"/>
      <c r="AK1511" s="94" t="n"/>
      <c r="AL1511" s="84" t="n"/>
    </row>
    <row r="1512">
      <c r="A1512" s="64" t="n"/>
      <c r="B1512" s="65" t="n"/>
      <c r="C1512" s="66" t="n"/>
      <c r="D1512" s="67" t="n"/>
      <c r="E1512" s="68" t="n"/>
      <c r="F1512" s="47">
        <f>IF(A1512="","",IF(MIN(H1512,MAX(J1512:K1512))=0,"",MIN(H1512,MAX(J1512:K1512))))</f>
        <v/>
      </c>
      <c r="G1512" s="74" t="n"/>
      <c r="H1512" s="49">
        <f>IF(M1512="","",IFERROR(ROUND(AVERAGE(T1512+M1512*{7,8,9,10,11})/1.21,4),""))</f>
        <v/>
      </c>
      <c r="I1512" s="76" t="n"/>
      <c r="J1512" s="77" t="n"/>
      <c r="K1512" s="74" t="n"/>
      <c r="L1512" s="78" t="n"/>
      <c r="M1512" s="77" t="n"/>
      <c r="N1512" s="53">
        <f>IF(M1512="","",IFERROR(M1512/I1512,""))</f>
        <v/>
      </c>
      <c r="O1512" s="50">
        <f>IF(A1512="","",IFERROR((IF(G1512="",I1512,G1512)-T1512)/M1512,""))</f>
        <v/>
      </c>
      <c r="P1512" s="50">
        <f>IFERROR((I1512/T1512-1)/N1512,"")</f>
        <v/>
      </c>
      <c r="Q1512" s="46">
        <f>IF(OR(T1512="",I1512&lt;T1512),"",IFERROR(R1512/IF(G1512="",I1512,G1512)-1,""))</f>
        <v/>
      </c>
      <c r="R1512" s="48">
        <f>IF($M1512="","",MAX(IF($G1512="",$I1512,$G1512)*(1/1.1),IF($G1512="",$I1512,$G1512)+(R$2*$M1512)))</f>
        <v/>
      </c>
      <c r="S1512" s="49">
        <f>IF($M1512="","",MAX(IF($G1512="",$I1512,$G1512)*(1/1.1),IF($G1512="",$I1512,$G1512)+(S$2*$M1512)))</f>
        <v/>
      </c>
      <c r="T1512" s="82" t="n"/>
      <c r="U1512" s="47">
        <f>IF(OR($M1512="",$T1512=""),"",$T1512+(U$2*$M1512))</f>
        <v/>
      </c>
      <c r="V1512" s="48">
        <f>IF(OR($M1512="",$T1512=""),"",$T1512+(V$2*$M1512))</f>
        <v/>
      </c>
      <c r="W1512" s="48">
        <f>IF(OR($M1512="",$T1512=""),"",$T1512+(W$2*$M1512))</f>
        <v/>
      </c>
      <c r="X1512" s="49">
        <f>IF(OR($M1512="",$T1512=""),"",$T1512+(X$2*$M1512))</f>
        <v/>
      </c>
      <c r="Y1512" s="47">
        <f>IF(OR($M1512="",$T1512=""),"",$T1512+(Y$2*$M1512))</f>
        <v/>
      </c>
      <c r="Z1512" s="49">
        <f>IF(OR($M1512="",$T1512=""),"",$T1512+(Z$2*$M1512))</f>
        <v/>
      </c>
      <c r="AA1512" s="51">
        <f>IF(OR($M1512="",$T1512=""),"",$T1512+(AA$2*$M1512))</f>
        <v/>
      </c>
      <c r="AB1512" s="48">
        <f>IF(OR($M1512="",$T1512=""),"",$T1512+(AB$2*$M1512))</f>
        <v/>
      </c>
      <c r="AC1512" s="48">
        <f>IF(OR($M1512="",$T1512=""),"",$T1512+(AC$2*$M1512))</f>
        <v/>
      </c>
      <c r="AD1512" s="48">
        <f>IF(OR($M1512="",$T1512=""),"",$T1512+(AD$2*$M1512))</f>
        <v/>
      </c>
      <c r="AE1512" s="49">
        <f>IF(OR($M1512="",$T1512=""),"",$T1512+(AE$2*$M1512))</f>
        <v/>
      </c>
      <c r="AF1512" s="52">
        <f>IF(OR(T1512="",I1512&lt;T1512),"",IFERROR(AVERAGE(T1512+M1512*{7,8,9,10,11})/IF(G1512="",I1512,G1512)-1,""))</f>
        <v/>
      </c>
      <c r="AG1512" s="55">
        <f>IF(OR(T1512="",I1512&lt;T1512),"",IFERROR(AF1512/-(R1512/IF(G1512="",I1512,G1512)-1),""))</f>
        <v/>
      </c>
      <c r="AH1512" s="94" t="n"/>
      <c r="AI1512" s="94" t="n"/>
      <c r="AJ1512" s="94" t="n"/>
      <c r="AK1512" s="94" t="n"/>
      <c r="AL1512" s="84" t="n"/>
    </row>
    <row r="1513">
      <c r="A1513" s="64" t="n"/>
      <c r="B1513" s="65" t="n"/>
      <c r="C1513" s="66" t="n"/>
      <c r="D1513" s="67" t="n"/>
      <c r="E1513" s="68" t="n"/>
      <c r="F1513" s="47">
        <f>IF(A1513="","",IF(MIN(H1513,MAX(J1513:K1513))=0,"",MIN(H1513,MAX(J1513:K1513))))</f>
        <v/>
      </c>
      <c r="G1513" s="74" t="n"/>
      <c r="H1513" s="49">
        <f>IF(M1513="","",IFERROR(ROUND(AVERAGE(T1513+M1513*{7,8,9,10,11})/1.21,4),""))</f>
        <v/>
      </c>
      <c r="I1513" s="76" t="n"/>
      <c r="J1513" s="77" t="n"/>
      <c r="K1513" s="74" t="n"/>
      <c r="L1513" s="78" t="n"/>
      <c r="M1513" s="77" t="n"/>
      <c r="N1513" s="53">
        <f>IF(M1513="","",IFERROR(M1513/I1513,""))</f>
        <v/>
      </c>
      <c r="O1513" s="50">
        <f>IF(A1513="","",IFERROR((IF(G1513="",I1513,G1513)-T1513)/M1513,""))</f>
        <v/>
      </c>
      <c r="P1513" s="50">
        <f>IFERROR((I1513/T1513-1)/N1513,"")</f>
        <v/>
      </c>
      <c r="Q1513" s="46">
        <f>IF(OR(T1513="",I1513&lt;T1513),"",IFERROR(R1513/IF(G1513="",I1513,G1513)-1,""))</f>
        <v/>
      </c>
      <c r="R1513" s="48">
        <f>IF($M1513="","",MAX(IF($G1513="",$I1513,$G1513)*(1/1.1),IF($G1513="",$I1513,$G1513)+(R$2*$M1513)))</f>
        <v/>
      </c>
      <c r="S1513" s="49">
        <f>IF($M1513="","",MAX(IF($G1513="",$I1513,$G1513)*(1/1.1),IF($G1513="",$I1513,$G1513)+(S$2*$M1513)))</f>
        <v/>
      </c>
      <c r="T1513" s="82" t="n"/>
      <c r="U1513" s="47">
        <f>IF(OR($M1513="",$T1513=""),"",$T1513+(U$2*$M1513))</f>
        <v/>
      </c>
      <c r="V1513" s="48">
        <f>IF(OR($M1513="",$T1513=""),"",$T1513+(V$2*$M1513))</f>
        <v/>
      </c>
      <c r="W1513" s="48">
        <f>IF(OR($M1513="",$T1513=""),"",$T1513+(W$2*$M1513))</f>
        <v/>
      </c>
      <c r="X1513" s="49">
        <f>IF(OR($M1513="",$T1513=""),"",$T1513+(X$2*$M1513))</f>
        <v/>
      </c>
      <c r="Y1513" s="47">
        <f>IF(OR($M1513="",$T1513=""),"",$T1513+(Y$2*$M1513))</f>
        <v/>
      </c>
      <c r="Z1513" s="49">
        <f>IF(OR($M1513="",$T1513=""),"",$T1513+(Z$2*$M1513))</f>
        <v/>
      </c>
      <c r="AA1513" s="51">
        <f>IF(OR($M1513="",$T1513=""),"",$T1513+(AA$2*$M1513))</f>
        <v/>
      </c>
      <c r="AB1513" s="48">
        <f>IF(OR($M1513="",$T1513=""),"",$T1513+(AB$2*$M1513))</f>
        <v/>
      </c>
      <c r="AC1513" s="48">
        <f>IF(OR($M1513="",$T1513=""),"",$T1513+(AC$2*$M1513))</f>
        <v/>
      </c>
      <c r="AD1513" s="48">
        <f>IF(OR($M1513="",$T1513=""),"",$T1513+(AD$2*$M1513))</f>
        <v/>
      </c>
      <c r="AE1513" s="49">
        <f>IF(OR($M1513="",$T1513=""),"",$T1513+(AE$2*$M1513))</f>
        <v/>
      </c>
      <c r="AF1513" s="52">
        <f>IF(OR(T1513="",I1513&lt;T1513),"",IFERROR(AVERAGE(T1513+M1513*{7,8,9,10,11})/IF(G1513="",I1513,G1513)-1,""))</f>
        <v/>
      </c>
      <c r="AG1513" s="55">
        <f>IF(OR(T1513="",I1513&lt;T1513),"",IFERROR(AF1513/-(R1513/IF(G1513="",I1513,G1513)-1),""))</f>
        <v/>
      </c>
      <c r="AH1513" s="94" t="n"/>
      <c r="AI1513" s="94" t="n"/>
      <c r="AJ1513" s="94" t="n"/>
      <c r="AK1513" s="94" t="n"/>
      <c r="AL1513" s="84" t="n"/>
    </row>
    <row r="1514">
      <c r="A1514" s="64" t="n"/>
      <c r="B1514" s="65" t="n"/>
      <c r="C1514" s="66" t="n"/>
      <c r="D1514" s="67" t="n"/>
      <c r="E1514" s="68" t="n"/>
      <c r="F1514" s="47">
        <f>IF(A1514="","",IF(MIN(H1514,MAX(J1514:K1514))=0,"",MIN(H1514,MAX(J1514:K1514))))</f>
        <v/>
      </c>
      <c r="G1514" s="74" t="n"/>
      <c r="H1514" s="49">
        <f>IF(M1514="","",IFERROR(ROUND(AVERAGE(T1514+M1514*{7,8,9,10,11})/1.21,4),""))</f>
        <v/>
      </c>
      <c r="I1514" s="76" t="n"/>
      <c r="J1514" s="77" t="n"/>
      <c r="K1514" s="74" t="n"/>
      <c r="L1514" s="78" t="n"/>
      <c r="M1514" s="77" t="n"/>
      <c r="N1514" s="53">
        <f>IF(M1514="","",IFERROR(M1514/I1514,""))</f>
        <v/>
      </c>
      <c r="O1514" s="50">
        <f>IF(A1514="","",IFERROR((IF(G1514="",I1514,G1514)-T1514)/M1514,""))</f>
        <v/>
      </c>
      <c r="P1514" s="50">
        <f>IFERROR((I1514/T1514-1)/N1514,"")</f>
        <v/>
      </c>
      <c r="Q1514" s="46">
        <f>IF(OR(T1514="",I1514&lt;T1514),"",IFERROR(R1514/IF(G1514="",I1514,G1514)-1,""))</f>
        <v/>
      </c>
      <c r="R1514" s="48">
        <f>IF($M1514="","",MAX(IF($G1514="",$I1514,$G1514)*(1/1.1),IF($G1514="",$I1514,$G1514)+(R$2*$M1514)))</f>
        <v/>
      </c>
      <c r="S1514" s="49">
        <f>IF($M1514="","",MAX(IF($G1514="",$I1514,$G1514)*(1/1.1),IF($G1514="",$I1514,$G1514)+(S$2*$M1514)))</f>
        <v/>
      </c>
      <c r="T1514" s="82" t="n"/>
      <c r="U1514" s="47">
        <f>IF(OR($M1514="",$T1514=""),"",$T1514+(U$2*$M1514))</f>
        <v/>
      </c>
      <c r="V1514" s="48">
        <f>IF(OR($M1514="",$T1514=""),"",$T1514+(V$2*$M1514))</f>
        <v/>
      </c>
      <c r="W1514" s="48">
        <f>IF(OR($M1514="",$T1514=""),"",$T1514+(W$2*$M1514))</f>
        <v/>
      </c>
      <c r="X1514" s="49">
        <f>IF(OR($M1514="",$T1514=""),"",$T1514+(X$2*$M1514))</f>
        <v/>
      </c>
      <c r="Y1514" s="47">
        <f>IF(OR($M1514="",$T1514=""),"",$T1514+(Y$2*$M1514))</f>
        <v/>
      </c>
      <c r="Z1514" s="49">
        <f>IF(OR($M1514="",$T1514=""),"",$T1514+(Z$2*$M1514))</f>
        <v/>
      </c>
      <c r="AA1514" s="51">
        <f>IF(OR($M1514="",$T1514=""),"",$T1514+(AA$2*$M1514))</f>
        <v/>
      </c>
      <c r="AB1514" s="48">
        <f>IF(OR($M1514="",$T1514=""),"",$T1514+(AB$2*$M1514))</f>
        <v/>
      </c>
      <c r="AC1514" s="48">
        <f>IF(OR($M1514="",$T1514=""),"",$T1514+(AC$2*$M1514))</f>
        <v/>
      </c>
      <c r="AD1514" s="48">
        <f>IF(OR($M1514="",$T1514=""),"",$T1514+(AD$2*$M1514))</f>
        <v/>
      </c>
      <c r="AE1514" s="49">
        <f>IF(OR($M1514="",$T1514=""),"",$T1514+(AE$2*$M1514))</f>
        <v/>
      </c>
      <c r="AF1514" s="52">
        <f>IF(OR(T1514="",I1514&lt;T1514),"",IFERROR(AVERAGE(T1514+M1514*{7,8,9,10,11})/IF(G1514="",I1514,G1514)-1,""))</f>
        <v/>
      </c>
      <c r="AG1514" s="55">
        <f>IF(OR(T1514="",I1514&lt;T1514),"",IFERROR(AF1514/-(R1514/IF(G1514="",I1514,G1514)-1),""))</f>
        <v/>
      </c>
      <c r="AH1514" s="94" t="n"/>
      <c r="AI1514" s="94" t="n"/>
      <c r="AJ1514" s="94" t="n"/>
      <c r="AK1514" s="94" t="n"/>
      <c r="AL1514" s="84" t="n"/>
    </row>
    <row r="1515">
      <c r="A1515" s="64" t="n"/>
      <c r="B1515" s="65" t="n"/>
      <c r="C1515" s="66" t="n"/>
      <c r="D1515" s="67" t="n"/>
      <c r="E1515" s="68" t="n"/>
      <c r="F1515" s="47">
        <f>IF(A1515="","",IF(MIN(H1515,MAX(J1515:K1515))=0,"",MIN(H1515,MAX(J1515:K1515))))</f>
        <v/>
      </c>
      <c r="G1515" s="74" t="n"/>
      <c r="H1515" s="49">
        <f>IF(M1515="","",IFERROR(ROUND(AVERAGE(T1515+M1515*{7,8,9,10,11})/1.21,4),""))</f>
        <v/>
      </c>
      <c r="I1515" s="76" t="n"/>
      <c r="J1515" s="77" t="n"/>
      <c r="K1515" s="74" t="n"/>
      <c r="L1515" s="78" t="n"/>
      <c r="M1515" s="77" t="n"/>
      <c r="N1515" s="53">
        <f>IF(M1515="","",IFERROR(M1515/I1515,""))</f>
        <v/>
      </c>
      <c r="O1515" s="50">
        <f>IF(A1515="","",IFERROR((IF(G1515="",I1515,G1515)-T1515)/M1515,""))</f>
        <v/>
      </c>
      <c r="P1515" s="50">
        <f>IFERROR((I1515/T1515-1)/N1515,"")</f>
        <v/>
      </c>
      <c r="Q1515" s="46">
        <f>IF(OR(T1515="",I1515&lt;T1515),"",IFERROR(R1515/IF(G1515="",I1515,G1515)-1,""))</f>
        <v/>
      </c>
      <c r="R1515" s="48">
        <f>IF($M1515="","",MAX(IF($G1515="",$I1515,$G1515)*(1/1.1),IF($G1515="",$I1515,$G1515)+(R$2*$M1515)))</f>
        <v/>
      </c>
      <c r="S1515" s="49">
        <f>IF($M1515="","",MAX(IF($G1515="",$I1515,$G1515)*(1/1.1),IF($G1515="",$I1515,$G1515)+(S$2*$M1515)))</f>
        <v/>
      </c>
      <c r="T1515" s="82" t="n"/>
      <c r="U1515" s="47">
        <f>IF(OR($M1515="",$T1515=""),"",$T1515+(U$2*$M1515))</f>
        <v/>
      </c>
      <c r="V1515" s="48">
        <f>IF(OR($M1515="",$T1515=""),"",$T1515+(V$2*$M1515))</f>
        <v/>
      </c>
      <c r="W1515" s="48">
        <f>IF(OR($M1515="",$T1515=""),"",$T1515+(W$2*$M1515))</f>
        <v/>
      </c>
      <c r="X1515" s="49">
        <f>IF(OR($M1515="",$T1515=""),"",$T1515+(X$2*$M1515))</f>
        <v/>
      </c>
      <c r="Y1515" s="47">
        <f>IF(OR($M1515="",$T1515=""),"",$T1515+(Y$2*$M1515))</f>
        <v/>
      </c>
      <c r="Z1515" s="49">
        <f>IF(OR($M1515="",$T1515=""),"",$T1515+(Z$2*$M1515))</f>
        <v/>
      </c>
      <c r="AA1515" s="51">
        <f>IF(OR($M1515="",$T1515=""),"",$T1515+(AA$2*$M1515))</f>
        <v/>
      </c>
      <c r="AB1515" s="48">
        <f>IF(OR($M1515="",$T1515=""),"",$T1515+(AB$2*$M1515))</f>
        <v/>
      </c>
      <c r="AC1515" s="48">
        <f>IF(OR($M1515="",$T1515=""),"",$T1515+(AC$2*$M1515))</f>
        <v/>
      </c>
      <c r="AD1515" s="48">
        <f>IF(OR($M1515="",$T1515=""),"",$T1515+(AD$2*$M1515))</f>
        <v/>
      </c>
      <c r="AE1515" s="49">
        <f>IF(OR($M1515="",$T1515=""),"",$T1515+(AE$2*$M1515))</f>
        <v/>
      </c>
      <c r="AF1515" s="52">
        <f>IF(OR(T1515="",I1515&lt;T1515),"",IFERROR(AVERAGE(T1515+M1515*{7,8,9,10,11})/IF(G1515="",I1515,G1515)-1,""))</f>
        <v/>
      </c>
      <c r="AG1515" s="55">
        <f>IF(OR(T1515="",I1515&lt;T1515),"",IFERROR(AF1515/-(R1515/IF(G1515="",I1515,G1515)-1),""))</f>
        <v/>
      </c>
      <c r="AH1515" s="94" t="n"/>
      <c r="AI1515" s="94" t="n"/>
      <c r="AJ1515" s="94" t="n"/>
      <c r="AK1515" s="94" t="n"/>
      <c r="AL1515" s="84" t="n"/>
    </row>
    <row r="1516">
      <c r="A1516" s="64" t="n"/>
      <c r="B1516" s="65" t="n"/>
      <c r="C1516" s="66" t="n"/>
      <c r="D1516" s="67" t="n"/>
      <c r="E1516" s="68" t="n"/>
      <c r="F1516" s="47">
        <f>IF(A1516="","",IF(MIN(H1516,MAX(J1516:K1516))=0,"",MIN(H1516,MAX(J1516:K1516))))</f>
        <v/>
      </c>
      <c r="G1516" s="74" t="n"/>
      <c r="H1516" s="49">
        <f>IF(M1516="","",IFERROR(ROUND(AVERAGE(T1516+M1516*{7,8,9,10,11})/1.21,4),""))</f>
        <v/>
      </c>
      <c r="I1516" s="76" t="n"/>
      <c r="J1516" s="77" t="n"/>
      <c r="K1516" s="74" t="n"/>
      <c r="L1516" s="78" t="n"/>
      <c r="M1516" s="77" t="n"/>
      <c r="N1516" s="53">
        <f>IF(M1516="","",IFERROR(M1516/I1516,""))</f>
        <v/>
      </c>
      <c r="O1516" s="50">
        <f>IF(A1516="","",IFERROR((IF(G1516="",I1516,G1516)-T1516)/M1516,""))</f>
        <v/>
      </c>
      <c r="P1516" s="50">
        <f>IFERROR((I1516/T1516-1)/N1516,"")</f>
        <v/>
      </c>
      <c r="Q1516" s="46">
        <f>IF(OR(T1516="",I1516&lt;T1516),"",IFERROR(R1516/IF(G1516="",I1516,G1516)-1,""))</f>
        <v/>
      </c>
      <c r="R1516" s="48">
        <f>IF($M1516="","",MAX(IF($G1516="",$I1516,$G1516)*(1/1.1),IF($G1516="",$I1516,$G1516)+(R$2*$M1516)))</f>
        <v/>
      </c>
      <c r="S1516" s="49">
        <f>IF($M1516="","",MAX(IF($G1516="",$I1516,$G1516)*(1/1.1),IF($G1516="",$I1516,$G1516)+(S$2*$M1516)))</f>
        <v/>
      </c>
      <c r="T1516" s="82" t="n"/>
      <c r="U1516" s="47">
        <f>IF(OR($M1516="",$T1516=""),"",$T1516+(U$2*$M1516))</f>
        <v/>
      </c>
      <c r="V1516" s="48">
        <f>IF(OR($M1516="",$T1516=""),"",$T1516+(V$2*$M1516))</f>
        <v/>
      </c>
      <c r="W1516" s="48">
        <f>IF(OR($M1516="",$T1516=""),"",$T1516+(W$2*$M1516))</f>
        <v/>
      </c>
      <c r="X1516" s="49">
        <f>IF(OR($M1516="",$T1516=""),"",$T1516+(X$2*$M1516))</f>
        <v/>
      </c>
      <c r="Y1516" s="47">
        <f>IF(OR($M1516="",$T1516=""),"",$T1516+(Y$2*$M1516))</f>
        <v/>
      </c>
      <c r="Z1516" s="49">
        <f>IF(OR($M1516="",$T1516=""),"",$T1516+(Z$2*$M1516))</f>
        <v/>
      </c>
      <c r="AA1516" s="51">
        <f>IF(OR($M1516="",$T1516=""),"",$T1516+(AA$2*$M1516))</f>
        <v/>
      </c>
      <c r="AB1516" s="48">
        <f>IF(OR($M1516="",$T1516=""),"",$T1516+(AB$2*$M1516))</f>
        <v/>
      </c>
      <c r="AC1516" s="48">
        <f>IF(OR($M1516="",$T1516=""),"",$T1516+(AC$2*$M1516))</f>
        <v/>
      </c>
      <c r="AD1516" s="48">
        <f>IF(OR($M1516="",$T1516=""),"",$T1516+(AD$2*$M1516))</f>
        <v/>
      </c>
      <c r="AE1516" s="49">
        <f>IF(OR($M1516="",$T1516=""),"",$T1516+(AE$2*$M1516))</f>
        <v/>
      </c>
      <c r="AF1516" s="52">
        <f>IF(OR(T1516="",I1516&lt;T1516),"",IFERROR(AVERAGE(T1516+M1516*{7,8,9,10,11})/IF(G1516="",I1516,G1516)-1,""))</f>
        <v/>
      </c>
      <c r="AG1516" s="55">
        <f>IF(OR(T1516="",I1516&lt;T1516),"",IFERROR(AF1516/-(R1516/IF(G1516="",I1516,G1516)-1),""))</f>
        <v/>
      </c>
      <c r="AH1516" s="94" t="n"/>
      <c r="AI1516" s="94" t="n"/>
      <c r="AJ1516" s="94" t="n"/>
      <c r="AK1516" s="94" t="n"/>
      <c r="AL1516" s="84" t="n"/>
    </row>
    <row r="1517">
      <c r="A1517" s="64" t="n"/>
      <c r="B1517" s="65" t="n"/>
      <c r="C1517" s="66" t="n"/>
      <c r="D1517" s="67" t="n"/>
      <c r="E1517" s="68" t="n"/>
      <c r="F1517" s="47">
        <f>IF(A1517="","",IF(MIN(H1517,MAX(J1517:K1517))=0,"",MIN(H1517,MAX(J1517:K1517))))</f>
        <v/>
      </c>
      <c r="G1517" s="74" t="n"/>
      <c r="H1517" s="49">
        <f>IF(M1517="","",IFERROR(ROUND(AVERAGE(T1517+M1517*{7,8,9,10,11})/1.21,4),""))</f>
        <v/>
      </c>
      <c r="I1517" s="76" t="n"/>
      <c r="J1517" s="77" t="n"/>
      <c r="K1517" s="74" t="n"/>
      <c r="L1517" s="78" t="n"/>
      <c r="M1517" s="77" t="n"/>
      <c r="N1517" s="53">
        <f>IF(M1517="","",IFERROR(M1517/I1517,""))</f>
        <v/>
      </c>
      <c r="O1517" s="50">
        <f>IF(A1517="","",IFERROR((IF(G1517="",I1517,G1517)-T1517)/M1517,""))</f>
        <v/>
      </c>
      <c r="P1517" s="50">
        <f>IFERROR((I1517/T1517-1)/N1517,"")</f>
        <v/>
      </c>
      <c r="Q1517" s="46">
        <f>IF(OR(T1517="",I1517&lt;T1517),"",IFERROR(R1517/IF(G1517="",I1517,G1517)-1,""))</f>
        <v/>
      </c>
      <c r="R1517" s="48">
        <f>IF($M1517="","",MAX(IF($G1517="",$I1517,$G1517)*(1/1.1),IF($G1517="",$I1517,$G1517)+(R$2*$M1517)))</f>
        <v/>
      </c>
      <c r="S1517" s="49">
        <f>IF($M1517="","",MAX(IF($G1517="",$I1517,$G1517)*(1/1.1),IF($G1517="",$I1517,$G1517)+(S$2*$M1517)))</f>
        <v/>
      </c>
      <c r="T1517" s="82" t="n"/>
      <c r="U1517" s="47">
        <f>IF(OR($M1517="",$T1517=""),"",$T1517+(U$2*$M1517))</f>
        <v/>
      </c>
      <c r="V1517" s="48">
        <f>IF(OR($M1517="",$T1517=""),"",$T1517+(V$2*$M1517))</f>
        <v/>
      </c>
      <c r="W1517" s="48">
        <f>IF(OR($M1517="",$T1517=""),"",$T1517+(W$2*$M1517))</f>
        <v/>
      </c>
      <c r="X1517" s="49">
        <f>IF(OR($M1517="",$T1517=""),"",$T1517+(X$2*$M1517))</f>
        <v/>
      </c>
      <c r="Y1517" s="47">
        <f>IF(OR($M1517="",$T1517=""),"",$T1517+(Y$2*$M1517))</f>
        <v/>
      </c>
      <c r="Z1517" s="49">
        <f>IF(OR($M1517="",$T1517=""),"",$T1517+(Z$2*$M1517))</f>
        <v/>
      </c>
      <c r="AA1517" s="51">
        <f>IF(OR($M1517="",$T1517=""),"",$T1517+(AA$2*$M1517))</f>
        <v/>
      </c>
      <c r="AB1517" s="48">
        <f>IF(OR($M1517="",$T1517=""),"",$T1517+(AB$2*$M1517))</f>
        <v/>
      </c>
      <c r="AC1517" s="48">
        <f>IF(OR($M1517="",$T1517=""),"",$T1517+(AC$2*$M1517))</f>
        <v/>
      </c>
      <c r="AD1517" s="48">
        <f>IF(OR($M1517="",$T1517=""),"",$T1517+(AD$2*$M1517))</f>
        <v/>
      </c>
      <c r="AE1517" s="49">
        <f>IF(OR($M1517="",$T1517=""),"",$T1517+(AE$2*$M1517))</f>
        <v/>
      </c>
      <c r="AF1517" s="52">
        <f>IF(OR(T1517="",I1517&lt;T1517),"",IFERROR(AVERAGE(T1517+M1517*{7,8,9,10,11})/IF(G1517="",I1517,G1517)-1,""))</f>
        <v/>
      </c>
      <c r="AG1517" s="55">
        <f>IF(OR(T1517="",I1517&lt;T1517),"",IFERROR(AF1517/-(R1517/IF(G1517="",I1517,G1517)-1),""))</f>
        <v/>
      </c>
      <c r="AH1517" s="94" t="n"/>
      <c r="AI1517" s="94" t="n"/>
      <c r="AJ1517" s="94" t="n"/>
      <c r="AK1517" s="94" t="n"/>
      <c r="AL1517" s="84" t="n"/>
    </row>
    <row r="1518">
      <c r="A1518" s="64" t="n"/>
      <c r="B1518" s="65" t="n"/>
      <c r="C1518" s="66" t="n"/>
      <c r="D1518" s="67" t="n"/>
      <c r="E1518" s="68" t="n"/>
      <c r="F1518" s="47">
        <f>IF(A1518="","",IF(MIN(H1518,MAX(J1518:K1518))=0,"",MIN(H1518,MAX(J1518:K1518))))</f>
        <v/>
      </c>
      <c r="G1518" s="74" t="n"/>
      <c r="H1518" s="49">
        <f>IF(M1518="","",IFERROR(ROUND(AVERAGE(T1518+M1518*{7,8,9,10,11})/1.21,4),""))</f>
        <v/>
      </c>
      <c r="I1518" s="76" t="n"/>
      <c r="J1518" s="77" t="n"/>
      <c r="K1518" s="74" t="n"/>
      <c r="L1518" s="78" t="n"/>
      <c r="M1518" s="77" t="n"/>
      <c r="N1518" s="53">
        <f>IF(M1518="","",IFERROR(M1518/I1518,""))</f>
        <v/>
      </c>
      <c r="O1518" s="50">
        <f>IF(A1518="","",IFERROR((IF(G1518="",I1518,G1518)-T1518)/M1518,""))</f>
        <v/>
      </c>
      <c r="P1518" s="50">
        <f>IFERROR((I1518/T1518-1)/N1518,"")</f>
        <v/>
      </c>
      <c r="Q1518" s="46">
        <f>IF(OR(T1518="",I1518&lt;T1518),"",IFERROR(R1518/IF(G1518="",I1518,G1518)-1,""))</f>
        <v/>
      </c>
      <c r="R1518" s="48">
        <f>IF($M1518="","",MAX(IF($G1518="",$I1518,$G1518)*(1/1.1),IF($G1518="",$I1518,$G1518)+(R$2*$M1518)))</f>
        <v/>
      </c>
      <c r="S1518" s="49">
        <f>IF($M1518="","",MAX(IF($G1518="",$I1518,$G1518)*(1/1.1),IF($G1518="",$I1518,$G1518)+(S$2*$M1518)))</f>
        <v/>
      </c>
      <c r="T1518" s="82" t="n"/>
      <c r="U1518" s="47">
        <f>IF(OR($M1518="",$T1518=""),"",$T1518+(U$2*$M1518))</f>
        <v/>
      </c>
      <c r="V1518" s="48">
        <f>IF(OR($M1518="",$T1518=""),"",$T1518+(V$2*$M1518))</f>
        <v/>
      </c>
      <c r="W1518" s="48">
        <f>IF(OR($M1518="",$T1518=""),"",$T1518+(W$2*$M1518))</f>
        <v/>
      </c>
      <c r="X1518" s="49">
        <f>IF(OR($M1518="",$T1518=""),"",$T1518+(X$2*$M1518))</f>
        <v/>
      </c>
      <c r="Y1518" s="47">
        <f>IF(OR($M1518="",$T1518=""),"",$T1518+(Y$2*$M1518))</f>
        <v/>
      </c>
      <c r="Z1518" s="49">
        <f>IF(OR($M1518="",$T1518=""),"",$T1518+(Z$2*$M1518))</f>
        <v/>
      </c>
      <c r="AA1518" s="51">
        <f>IF(OR($M1518="",$T1518=""),"",$T1518+(AA$2*$M1518))</f>
        <v/>
      </c>
      <c r="AB1518" s="48">
        <f>IF(OR($M1518="",$T1518=""),"",$T1518+(AB$2*$M1518))</f>
        <v/>
      </c>
      <c r="AC1518" s="48">
        <f>IF(OR($M1518="",$T1518=""),"",$T1518+(AC$2*$M1518))</f>
        <v/>
      </c>
      <c r="AD1518" s="48">
        <f>IF(OR($M1518="",$T1518=""),"",$T1518+(AD$2*$M1518))</f>
        <v/>
      </c>
      <c r="AE1518" s="49">
        <f>IF(OR($M1518="",$T1518=""),"",$T1518+(AE$2*$M1518))</f>
        <v/>
      </c>
      <c r="AF1518" s="52">
        <f>IF(OR(T1518="",I1518&lt;T1518),"",IFERROR(AVERAGE(T1518+M1518*{7,8,9,10,11})/IF(G1518="",I1518,G1518)-1,""))</f>
        <v/>
      </c>
      <c r="AG1518" s="55">
        <f>IF(OR(T1518="",I1518&lt;T1518),"",IFERROR(AF1518/-(R1518/IF(G1518="",I1518,G1518)-1),""))</f>
        <v/>
      </c>
      <c r="AH1518" s="94" t="n"/>
      <c r="AI1518" s="94" t="n"/>
      <c r="AJ1518" s="94" t="n"/>
      <c r="AK1518" s="94" t="n"/>
      <c r="AL1518" s="84" t="n"/>
    </row>
    <row r="1519">
      <c r="A1519" s="64" t="n"/>
      <c r="B1519" s="65" t="n"/>
      <c r="C1519" s="66" t="n"/>
      <c r="D1519" s="67" t="n"/>
      <c r="E1519" s="68" t="n"/>
      <c r="F1519" s="47">
        <f>IF(A1519="","",IF(MIN(H1519,MAX(J1519:K1519))=0,"",MIN(H1519,MAX(J1519:K1519))))</f>
        <v/>
      </c>
      <c r="G1519" s="74" t="n"/>
      <c r="H1519" s="49">
        <f>IF(M1519="","",IFERROR(ROUND(AVERAGE(T1519+M1519*{7,8,9,10,11})/1.21,4),""))</f>
        <v/>
      </c>
      <c r="I1519" s="76" t="n"/>
      <c r="J1519" s="77" t="n"/>
      <c r="K1519" s="74" t="n"/>
      <c r="L1519" s="78" t="n"/>
      <c r="M1519" s="77" t="n"/>
      <c r="N1519" s="53">
        <f>IF(M1519="","",IFERROR(M1519/I1519,""))</f>
        <v/>
      </c>
      <c r="O1519" s="50">
        <f>IF(A1519="","",IFERROR((IF(G1519="",I1519,G1519)-T1519)/M1519,""))</f>
        <v/>
      </c>
      <c r="P1519" s="50">
        <f>IFERROR((I1519/T1519-1)/N1519,"")</f>
        <v/>
      </c>
      <c r="Q1519" s="46">
        <f>IF(OR(T1519="",I1519&lt;T1519),"",IFERROR(R1519/IF(G1519="",I1519,G1519)-1,""))</f>
        <v/>
      </c>
      <c r="R1519" s="48">
        <f>IF($M1519="","",MAX(IF($G1519="",$I1519,$G1519)*(1/1.1),IF($G1519="",$I1519,$G1519)+(R$2*$M1519)))</f>
        <v/>
      </c>
      <c r="S1519" s="49">
        <f>IF($M1519="","",MAX(IF($G1519="",$I1519,$G1519)*(1/1.1),IF($G1519="",$I1519,$G1519)+(S$2*$M1519)))</f>
        <v/>
      </c>
      <c r="T1519" s="82" t="n"/>
      <c r="U1519" s="47">
        <f>IF(OR($M1519="",$T1519=""),"",$T1519+(U$2*$M1519))</f>
        <v/>
      </c>
      <c r="V1519" s="48">
        <f>IF(OR($M1519="",$T1519=""),"",$T1519+(V$2*$M1519))</f>
        <v/>
      </c>
      <c r="W1519" s="48">
        <f>IF(OR($M1519="",$T1519=""),"",$T1519+(W$2*$M1519))</f>
        <v/>
      </c>
      <c r="X1519" s="49">
        <f>IF(OR($M1519="",$T1519=""),"",$T1519+(X$2*$M1519))</f>
        <v/>
      </c>
      <c r="Y1519" s="47">
        <f>IF(OR($M1519="",$T1519=""),"",$T1519+(Y$2*$M1519))</f>
        <v/>
      </c>
      <c r="Z1519" s="49">
        <f>IF(OR($M1519="",$T1519=""),"",$T1519+(Z$2*$M1519))</f>
        <v/>
      </c>
      <c r="AA1519" s="51">
        <f>IF(OR($M1519="",$T1519=""),"",$T1519+(AA$2*$M1519))</f>
        <v/>
      </c>
      <c r="AB1519" s="48">
        <f>IF(OR($M1519="",$T1519=""),"",$T1519+(AB$2*$M1519))</f>
        <v/>
      </c>
      <c r="AC1519" s="48">
        <f>IF(OR($M1519="",$T1519=""),"",$T1519+(AC$2*$M1519))</f>
        <v/>
      </c>
      <c r="AD1519" s="48">
        <f>IF(OR($M1519="",$T1519=""),"",$T1519+(AD$2*$M1519))</f>
        <v/>
      </c>
      <c r="AE1519" s="49">
        <f>IF(OR($M1519="",$T1519=""),"",$T1519+(AE$2*$M1519))</f>
        <v/>
      </c>
      <c r="AF1519" s="52">
        <f>IF(OR(T1519="",I1519&lt;T1519),"",IFERROR(AVERAGE(T1519+M1519*{7,8,9,10,11})/IF(G1519="",I1519,G1519)-1,""))</f>
        <v/>
      </c>
      <c r="AG1519" s="55">
        <f>IF(OR(T1519="",I1519&lt;T1519),"",IFERROR(AF1519/-(R1519/IF(G1519="",I1519,G1519)-1),""))</f>
        <v/>
      </c>
      <c r="AH1519" s="94" t="n"/>
      <c r="AI1519" s="94" t="n"/>
      <c r="AJ1519" s="94" t="n"/>
      <c r="AK1519" s="94" t="n"/>
      <c r="AL1519" s="84" t="n"/>
    </row>
    <row r="1520">
      <c r="A1520" s="64" t="n"/>
      <c r="B1520" s="65" t="n"/>
      <c r="C1520" s="66" t="n"/>
      <c r="D1520" s="67" t="n"/>
      <c r="E1520" s="68" t="n"/>
      <c r="F1520" s="47">
        <f>IF(A1520="","",IF(MIN(H1520,MAX(J1520:K1520))=0,"",MIN(H1520,MAX(J1520:K1520))))</f>
        <v/>
      </c>
      <c r="G1520" s="74" t="n"/>
      <c r="H1520" s="49">
        <f>IF(M1520="","",IFERROR(ROUND(AVERAGE(T1520+M1520*{7,8,9,10,11})/1.21,4),""))</f>
        <v/>
      </c>
      <c r="I1520" s="76" t="n"/>
      <c r="J1520" s="77" t="n"/>
      <c r="K1520" s="74" t="n"/>
      <c r="L1520" s="78" t="n"/>
      <c r="M1520" s="77" t="n"/>
      <c r="N1520" s="53">
        <f>IF(M1520="","",IFERROR(M1520/I1520,""))</f>
        <v/>
      </c>
      <c r="O1520" s="50">
        <f>IF(A1520="","",IFERROR((IF(G1520="",I1520,G1520)-T1520)/M1520,""))</f>
        <v/>
      </c>
      <c r="P1520" s="50">
        <f>IFERROR((I1520/T1520-1)/N1520,"")</f>
        <v/>
      </c>
      <c r="Q1520" s="46">
        <f>IF(OR(T1520="",I1520&lt;T1520),"",IFERROR(R1520/IF(G1520="",I1520,G1520)-1,""))</f>
        <v/>
      </c>
      <c r="R1520" s="48">
        <f>IF($M1520="","",MAX(IF($G1520="",$I1520,$G1520)*(1/1.1),IF($G1520="",$I1520,$G1520)+(R$2*$M1520)))</f>
        <v/>
      </c>
      <c r="S1520" s="49">
        <f>IF($M1520="","",MAX(IF($G1520="",$I1520,$G1520)*(1/1.1),IF($G1520="",$I1520,$G1520)+(S$2*$M1520)))</f>
        <v/>
      </c>
      <c r="T1520" s="82" t="n"/>
      <c r="U1520" s="47">
        <f>IF(OR($M1520="",$T1520=""),"",$T1520+(U$2*$M1520))</f>
        <v/>
      </c>
      <c r="V1520" s="48">
        <f>IF(OR($M1520="",$T1520=""),"",$T1520+(V$2*$M1520))</f>
        <v/>
      </c>
      <c r="W1520" s="48">
        <f>IF(OR($M1520="",$T1520=""),"",$T1520+(W$2*$M1520))</f>
        <v/>
      </c>
      <c r="X1520" s="49">
        <f>IF(OR($M1520="",$T1520=""),"",$T1520+(X$2*$M1520))</f>
        <v/>
      </c>
      <c r="Y1520" s="47">
        <f>IF(OR($M1520="",$T1520=""),"",$T1520+(Y$2*$M1520))</f>
        <v/>
      </c>
      <c r="Z1520" s="49">
        <f>IF(OR($M1520="",$T1520=""),"",$T1520+(Z$2*$M1520))</f>
        <v/>
      </c>
      <c r="AA1520" s="51">
        <f>IF(OR($M1520="",$T1520=""),"",$T1520+(AA$2*$M1520))</f>
        <v/>
      </c>
      <c r="AB1520" s="48">
        <f>IF(OR($M1520="",$T1520=""),"",$T1520+(AB$2*$M1520))</f>
        <v/>
      </c>
      <c r="AC1520" s="48">
        <f>IF(OR($M1520="",$T1520=""),"",$T1520+(AC$2*$M1520))</f>
        <v/>
      </c>
      <c r="AD1520" s="48">
        <f>IF(OR($M1520="",$T1520=""),"",$T1520+(AD$2*$M1520))</f>
        <v/>
      </c>
      <c r="AE1520" s="49">
        <f>IF(OR($M1520="",$T1520=""),"",$T1520+(AE$2*$M1520))</f>
        <v/>
      </c>
      <c r="AF1520" s="52">
        <f>IF(OR(T1520="",I1520&lt;T1520),"",IFERROR(AVERAGE(T1520+M1520*{7,8,9,10,11})/IF(G1520="",I1520,G1520)-1,""))</f>
        <v/>
      </c>
      <c r="AG1520" s="55">
        <f>IF(OR(T1520="",I1520&lt;T1520),"",IFERROR(AF1520/-(R1520/IF(G1520="",I1520,G1520)-1),""))</f>
        <v/>
      </c>
      <c r="AH1520" s="94" t="n"/>
      <c r="AI1520" s="94" t="n"/>
      <c r="AJ1520" s="94" t="n"/>
      <c r="AK1520" s="94" t="n"/>
      <c r="AL1520" s="84" t="n"/>
    </row>
    <row r="1521">
      <c r="A1521" s="64" t="n"/>
      <c r="B1521" s="65" t="n"/>
      <c r="C1521" s="66" t="n"/>
      <c r="D1521" s="67" t="n"/>
      <c r="E1521" s="68" t="n"/>
      <c r="F1521" s="47">
        <f>IF(A1521="","",IF(MIN(H1521,MAX(J1521:K1521))=0,"",MIN(H1521,MAX(J1521:K1521))))</f>
        <v/>
      </c>
      <c r="G1521" s="74" t="n"/>
      <c r="H1521" s="49">
        <f>IF(M1521="","",IFERROR(ROUND(AVERAGE(T1521+M1521*{7,8,9,10,11})/1.21,4),""))</f>
        <v/>
      </c>
      <c r="I1521" s="76" t="n"/>
      <c r="J1521" s="77" t="n"/>
      <c r="K1521" s="74" t="n"/>
      <c r="L1521" s="78" t="n"/>
      <c r="M1521" s="77" t="n"/>
      <c r="N1521" s="53">
        <f>IF(M1521="","",IFERROR(M1521/I1521,""))</f>
        <v/>
      </c>
      <c r="O1521" s="50">
        <f>IF(A1521="","",IFERROR((IF(G1521="",I1521,G1521)-T1521)/M1521,""))</f>
        <v/>
      </c>
      <c r="P1521" s="50">
        <f>IFERROR((I1521/T1521-1)/N1521,"")</f>
        <v/>
      </c>
      <c r="Q1521" s="46">
        <f>IF(OR(T1521="",I1521&lt;T1521),"",IFERROR(R1521/IF(G1521="",I1521,G1521)-1,""))</f>
        <v/>
      </c>
      <c r="R1521" s="48">
        <f>IF($M1521="","",MAX(IF($G1521="",$I1521,$G1521)*(1/1.1),IF($G1521="",$I1521,$G1521)+(R$2*$M1521)))</f>
        <v/>
      </c>
      <c r="S1521" s="49">
        <f>IF($M1521="","",MAX(IF($G1521="",$I1521,$G1521)*(1/1.1),IF($G1521="",$I1521,$G1521)+(S$2*$M1521)))</f>
        <v/>
      </c>
      <c r="T1521" s="82" t="n"/>
      <c r="U1521" s="47">
        <f>IF(OR($M1521="",$T1521=""),"",$T1521+(U$2*$M1521))</f>
        <v/>
      </c>
      <c r="V1521" s="48">
        <f>IF(OR($M1521="",$T1521=""),"",$T1521+(V$2*$M1521))</f>
        <v/>
      </c>
      <c r="W1521" s="48">
        <f>IF(OR($M1521="",$T1521=""),"",$T1521+(W$2*$M1521))</f>
        <v/>
      </c>
      <c r="X1521" s="49">
        <f>IF(OR($M1521="",$T1521=""),"",$T1521+(X$2*$M1521))</f>
        <v/>
      </c>
      <c r="Y1521" s="47">
        <f>IF(OR($M1521="",$T1521=""),"",$T1521+(Y$2*$M1521))</f>
        <v/>
      </c>
      <c r="Z1521" s="49">
        <f>IF(OR($M1521="",$T1521=""),"",$T1521+(Z$2*$M1521))</f>
        <v/>
      </c>
      <c r="AA1521" s="51">
        <f>IF(OR($M1521="",$T1521=""),"",$T1521+(AA$2*$M1521))</f>
        <v/>
      </c>
      <c r="AB1521" s="48">
        <f>IF(OR($M1521="",$T1521=""),"",$T1521+(AB$2*$M1521))</f>
        <v/>
      </c>
      <c r="AC1521" s="48">
        <f>IF(OR($M1521="",$T1521=""),"",$T1521+(AC$2*$M1521))</f>
        <v/>
      </c>
      <c r="AD1521" s="48">
        <f>IF(OR($M1521="",$T1521=""),"",$T1521+(AD$2*$M1521))</f>
        <v/>
      </c>
      <c r="AE1521" s="49">
        <f>IF(OR($M1521="",$T1521=""),"",$T1521+(AE$2*$M1521))</f>
        <v/>
      </c>
      <c r="AF1521" s="52">
        <f>IF(OR(T1521="",I1521&lt;T1521),"",IFERROR(AVERAGE(T1521+M1521*{7,8,9,10,11})/IF(G1521="",I1521,G1521)-1,""))</f>
        <v/>
      </c>
      <c r="AG1521" s="55">
        <f>IF(OR(T1521="",I1521&lt;T1521),"",IFERROR(AF1521/-(R1521/IF(G1521="",I1521,G1521)-1),""))</f>
        <v/>
      </c>
      <c r="AH1521" s="94" t="n"/>
      <c r="AI1521" s="94" t="n"/>
      <c r="AJ1521" s="94" t="n"/>
      <c r="AK1521" s="94" t="n"/>
      <c r="AL1521" s="84" t="n"/>
    </row>
    <row r="1522">
      <c r="A1522" s="64" t="n"/>
      <c r="B1522" s="65" t="n"/>
      <c r="C1522" s="66" t="n"/>
      <c r="D1522" s="67" t="n"/>
      <c r="E1522" s="68" t="n"/>
      <c r="F1522" s="47">
        <f>IF(A1522="","",IF(MIN(H1522,MAX(J1522:K1522))=0,"",MIN(H1522,MAX(J1522:K1522))))</f>
        <v/>
      </c>
      <c r="G1522" s="74" t="n"/>
      <c r="H1522" s="49">
        <f>IF(M1522="","",IFERROR(ROUND(AVERAGE(T1522+M1522*{7,8,9,10,11})/1.21,4),""))</f>
        <v/>
      </c>
      <c r="I1522" s="76" t="n"/>
      <c r="J1522" s="77" t="n"/>
      <c r="K1522" s="74" t="n"/>
      <c r="L1522" s="78" t="n"/>
      <c r="M1522" s="77" t="n"/>
      <c r="N1522" s="53">
        <f>IF(M1522="","",IFERROR(M1522/I1522,""))</f>
        <v/>
      </c>
      <c r="O1522" s="50">
        <f>IF(A1522="","",IFERROR((IF(G1522="",I1522,G1522)-T1522)/M1522,""))</f>
        <v/>
      </c>
      <c r="P1522" s="50">
        <f>IFERROR((I1522/T1522-1)/N1522,"")</f>
        <v/>
      </c>
      <c r="Q1522" s="46">
        <f>IF(OR(T1522="",I1522&lt;T1522),"",IFERROR(R1522/IF(G1522="",I1522,G1522)-1,""))</f>
        <v/>
      </c>
      <c r="R1522" s="48">
        <f>IF($M1522="","",MAX(IF($G1522="",$I1522,$G1522)*(1/1.1),IF($G1522="",$I1522,$G1522)+(R$2*$M1522)))</f>
        <v/>
      </c>
      <c r="S1522" s="49">
        <f>IF($M1522="","",MAX(IF($G1522="",$I1522,$G1522)*(1/1.1),IF($G1522="",$I1522,$G1522)+(S$2*$M1522)))</f>
        <v/>
      </c>
      <c r="T1522" s="82" t="n"/>
      <c r="U1522" s="47">
        <f>IF(OR($M1522="",$T1522=""),"",$T1522+(U$2*$M1522))</f>
        <v/>
      </c>
      <c r="V1522" s="48">
        <f>IF(OR($M1522="",$T1522=""),"",$T1522+(V$2*$M1522))</f>
        <v/>
      </c>
      <c r="W1522" s="48">
        <f>IF(OR($M1522="",$T1522=""),"",$T1522+(W$2*$M1522))</f>
        <v/>
      </c>
      <c r="X1522" s="49">
        <f>IF(OR($M1522="",$T1522=""),"",$T1522+(X$2*$M1522))</f>
        <v/>
      </c>
      <c r="Y1522" s="47">
        <f>IF(OR($M1522="",$T1522=""),"",$T1522+(Y$2*$M1522))</f>
        <v/>
      </c>
      <c r="Z1522" s="49">
        <f>IF(OR($M1522="",$T1522=""),"",$T1522+(Z$2*$M1522))</f>
        <v/>
      </c>
      <c r="AA1522" s="51">
        <f>IF(OR($M1522="",$T1522=""),"",$T1522+(AA$2*$M1522))</f>
        <v/>
      </c>
      <c r="AB1522" s="48">
        <f>IF(OR($M1522="",$T1522=""),"",$T1522+(AB$2*$M1522))</f>
        <v/>
      </c>
      <c r="AC1522" s="48">
        <f>IF(OR($M1522="",$T1522=""),"",$T1522+(AC$2*$M1522))</f>
        <v/>
      </c>
      <c r="AD1522" s="48">
        <f>IF(OR($M1522="",$T1522=""),"",$T1522+(AD$2*$M1522))</f>
        <v/>
      </c>
      <c r="AE1522" s="49">
        <f>IF(OR($M1522="",$T1522=""),"",$T1522+(AE$2*$M1522))</f>
        <v/>
      </c>
      <c r="AF1522" s="52">
        <f>IF(OR(T1522="",I1522&lt;T1522),"",IFERROR(AVERAGE(T1522+M1522*{7,8,9,10,11})/IF(G1522="",I1522,G1522)-1,""))</f>
        <v/>
      </c>
      <c r="AG1522" s="55">
        <f>IF(OR(T1522="",I1522&lt;T1522),"",IFERROR(AF1522/-(R1522/IF(G1522="",I1522,G1522)-1),""))</f>
        <v/>
      </c>
      <c r="AH1522" s="94" t="n"/>
      <c r="AI1522" s="94" t="n"/>
      <c r="AJ1522" s="94" t="n"/>
      <c r="AK1522" s="94" t="n"/>
      <c r="AL1522" s="84" t="n"/>
    </row>
    <row r="1523">
      <c r="A1523" s="64" t="n"/>
      <c r="B1523" s="65" t="n"/>
      <c r="C1523" s="66" t="n"/>
      <c r="D1523" s="67" t="n"/>
      <c r="E1523" s="68" t="n"/>
      <c r="F1523" s="47">
        <f>IF(A1523="","",IF(MIN(H1523,MAX(J1523:K1523))=0,"",MIN(H1523,MAX(J1523:K1523))))</f>
        <v/>
      </c>
      <c r="G1523" s="74" t="n"/>
      <c r="H1523" s="49">
        <f>IF(M1523="","",IFERROR(ROUND(AVERAGE(T1523+M1523*{7,8,9,10,11})/1.21,4),""))</f>
        <v/>
      </c>
      <c r="I1523" s="76" t="n"/>
      <c r="J1523" s="77" t="n"/>
      <c r="K1523" s="74" t="n"/>
      <c r="L1523" s="78" t="n"/>
      <c r="M1523" s="77" t="n"/>
      <c r="N1523" s="53">
        <f>IF(M1523="","",IFERROR(M1523/I1523,""))</f>
        <v/>
      </c>
      <c r="O1523" s="50">
        <f>IF(A1523="","",IFERROR((IF(G1523="",I1523,G1523)-T1523)/M1523,""))</f>
        <v/>
      </c>
      <c r="P1523" s="50">
        <f>IFERROR((I1523/T1523-1)/N1523,"")</f>
        <v/>
      </c>
      <c r="Q1523" s="46">
        <f>IF(OR(T1523="",I1523&lt;T1523),"",IFERROR(R1523/IF(G1523="",I1523,G1523)-1,""))</f>
        <v/>
      </c>
      <c r="R1523" s="48">
        <f>IF($M1523="","",MAX(IF($G1523="",$I1523,$G1523)*(1/1.1),IF($G1523="",$I1523,$G1523)+(R$2*$M1523)))</f>
        <v/>
      </c>
      <c r="S1523" s="49">
        <f>IF($M1523="","",MAX(IF($G1523="",$I1523,$G1523)*(1/1.1),IF($G1523="",$I1523,$G1523)+(S$2*$M1523)))</f>
        <v/>
      </c>
      <c r="T1523" s="82" t="n"/>
      <c r="U1523" s="47">
        <f>IF(OR($M1523="",$T1523=""),"",$T1523+(U$2*$M1523))</f>
        <v/>
      </c>
      <c r="V1523" s="48">
        <f>IF(OR($M1523="",$T1523=""),"",$T1523+(V$2*$M1523))</f>
        <v/>
      </c>
      <c r="W1523" s="48">
        <f>IF(OR($M1523="",$T1523=""),"",$T1523+(W$2*$M1523))</f>
        <v/>
      </c>
      <c r="X1523" s="49">
        <f>IF(OR($M1523="",$T1523=""),"",$T1523+(X$2*$M1523))</f>
        <v/>
      </c>
      <c r="Y1523" s="47">
        <f>IF(OR($M1523="",$T1523=""),"",$T1523+(Y$2*$M1523))</f>
        <v/>
      </c>
      <c r="Z1523" s="49">
        <f>IF(OR($M1523="",$T1523=""),"",$T1523+(Z$2*$M1523))</f>
        <v/>
      </c>
      <c r="AA1523" s="51">
        <f>IF(OR($M1523="",$T1523=""),"",$T1523+(AA$2*$M1523))</f>
        <v/>
      </c>
      <c r="AB1523" s="48">
        <f>IF(OR($M1523="",$T1523=""),"",$T1523+(AB$2*$M1523))</f>
        <v/>
      </c>
      <c r="AC1523" s="48">
        <f>IF(OR($M1523="",$T1523=""),"",$T1523+(AC$2*$M1523))</f>
        <v/>
      </c>
      <c r="AD1523" s="48">
        <f>IF(OR($M1523="",$T1523=""),"",$T1523+(AD$2*$M1523))</f>
        <v/>
      </c>
      <c r="AE1523" s="49">
        <f>IF(OR($M1523="",$T1523=""),"",$T1523+(AE$2*$M1523))</f>
        <v/>
      </c>
      <c r="AF1523" s="52">
        <f>IF(OR(T1523="",I1523&lt;T1523),"",IFERROR(AVERAGE(T1523+M1523*{7,8,9,10,11})/IF(G1523="",I1523,G1523)-1,""))</f>
        <v/>
      </c>
      <c r="AG1523" s="55">
        <f>IF(OR(T1523="",I1523&lt;T1523),"",IFERROR(AF1523/-(R1523/IF(G1523="",I1523,G1523)-1),""))</f>
        <v/>
      </c>
      <c r="AH1523" s="94" t="n"/>
      <c r="AI1523" s="94" t="n"/>
      <c r="AJ1523" s="94" t="n"/>
      <c r="AK1523" s="94" t="n"/>
      <c r="AL1523" s="84" t="n"/>
    </row>
    <row r="1524">
      <c r="A1524" s="64" t="n"/>
      <c r="B1524" s="65" t="n"/>
      <c r="C1524" s="66" t="n"/>
      <c r="D1524" s="67" t="n"/>
      <c r="E1524" s="68" t="n"/>
      <c r="F1524" s="47">
        <f>IF(A1524="","",IF(MIN(H1524,MAX(J1524:K1524))=0,"",MIN(H1524,MAX(J1524:K1524))))</f>
        <v/>
      </c>
      <c r="G1524" s="74" t="n"/>
      <c r="H1524" s="49">
        <f>IF(M1524="","",IFERROR(ROUND(AVERAGE(T1524+M1524*{7,8,9,10,11})/1.21,4),""))</f>
        <v/>
      </c>
      <c r="I1524" s="76" t="n"/>
      <c r="J1524" s="77" t="n"/>
      <c r="K1524" s="74" t="n"/>
      <c r="L1524" s="78" t="n"/>
      <c r="M1524" s="77" t="n"/>
      <c r="N1524" s="53">
        <f>IF(M1524="","",IFERROR(M1524/I1524,""))</f>
        <v/>
      </c>
      <c r="O1524" s="50">
        <f>IF(A1524="","",IFERROR((IF(G1524="",I1524,G1524)-T1524)/M1524,""))</f>
        <v/>
      </c>
      <c r="P1524" s="50">
        <f>IFERROR((I1524/T1524-1)/N1524,"")</f>
        <v/>
      </c>
      <c r="Q1524" s="46">
        <f>IF(OR(T1524="",I1524&lt;T1524),"",IFERROR(R1524/IF(G1524="",I1524,G1524)-1,""))</f>
        <v/>
      </c>
      <c r="R1524" s="48">
        <f>IF($M1524="","",MAX(IF($G1524="",$I1524,$G1524)*(1/1.1),IF($G1524="",$I1524,$G1524)+(R$2*$M1524)))</f>
        <v/>
      </c>
      <c r="S1524" s="49">
        <f>IF($M1524="","",MAX(IF($G1524="",$I1524,$G1524)*(1/1.1),IF($G1524="",$I1524,$G1524)+(S$2*$M1524)))</f>
        <v/>
      </c>
      <c r="T1524" s="82" t="n"/>
      <c r="U1524" s="47">
        <f>IF(OR($M1524="",$T1524=""),"",$T1524+(U$2*$M1524))</f>
        <v/>
      </c>
      <c r="V1524" s="48">
        <f>IF(OR($M1524="",$T1524=""),"",$T1524+(V$2*$M1524))</f>
        <v/>
      </c>
      <c r="W1524" s="48">
        <f>IF(OR($M1524="",$T1524=""),"",$T1524+(W$2*$M1524))</f>
        <v/>
      </c>
      <c r="X1524" s="49">
        <f>IF(OR($M1524="",$T1524=""),"",$T1524+(X$2*$M1524))</f>
        <v/>
      </c>
      <c r="Y1524" s="47">
        <f>IF(OR($M1524="",$T1524=""),"",$T1524+(Y$2*$M1524))</f>
        <v/>
      </c>
      <c r="Z1524" s="49">
        <f>IF(OR($M1524="",$T1524=""),"",$T1524+(Z$2*$M1524))</f>
        <v/>
      </c>
      <c r="AA1524" s="51">
        <f>IF(OR($M1524="",$T1524=""),"",$T1524+(AA$2*$M1524))</f>
        <v/>
      </c>
      <c r="AB1524" s="48">
        <f>IF(OR($M1524="",$T1524=""),"",$T1524+(AB$2*$M1524))</f>
        <v/>
      </c>
      <c r="AC1524" s="48">
        <f>IF(OR($M1524="",$T1524=""),"",$T1524+(AC$2*$M1524))</f>
        <v/>
      </c>
      <c r="AD1524" s="48">
        <f>IF(OR($M1524="",$T1524=""),"",$T1524+(AD$2*$M1524))</f>
        <v/>
      </c>
      <c r="AE1524" s="49">
        <f>IF(OR($M1524="",$T1524=""),"",$T1524+(AE$2*$M1524))</f>
        <v/>
      </c>
      <c r="AF1524" s="52">
        <f>IF(OR(T1524="",I1524&lt;T1524),"",IFERROR(AVERAGE(T1524+M1524*{7,8,9,10,11})/IF(G1524="",I1524,G1524)-1,""))</f>
        <v/>
      </c>
      <c r="AG1524" s="55">
        <f>IF(OR(T1524="",I1524&lt;T1524),"",IFERROR(AF1524/-(R1524/IF(G1524="",I1524,G1524)-1),""))</f>
        <v/>
      </c>
      <c r="AH1524" s="94" t="n"/>
      <c r="AI1524" s="94" t="n"/>
      <c r="AJ1524" s="94" t="n"/>
      <c r="AK1524" s="94" t="n"/>
      <c r="AL1524" s="84" t="n"/>
    </row>
    <row r="1525">
      <c r="A1525" s="64" t="n"/>
      <c r="B1525" s="65" t="n"/>
      <c r="C1525" s="66" t="n"/>
      <c r="D1525" s="67" t="n"/>
      <c r="E1525" s="68" t="n"/>
      <c r="F1525" s="47">
        <f>IF(A1525="","",IF(MIN(H1525,MAX(J1525:K1525))=0,"",MIN(H1525,MAX(J1525:K1525))))</f>
        <v/>
      </c>
      <c r="G1525" s="74" t="n"/>
      <c r="H1525" s="49">
        <f>IF(M1525="","",IFERROR(ROUND(AVERAGE(T1525+M1525*{7,8,9,10,11})/1.21,4),""))</f>
        <v/>
      </c>
      <c r="I1525" s="76" t="n"/>
      <c r="J1525" s="77" t="n"/>
      <c r="K1525" s="74" t="n"/>
      <c r="L1525" s="78" t="n"/>
      <c r="M1525" s="77" t="n"/>
      <c r="N1525" s="53">
        <f>IF(M1525="","",IFERROR(M1525/I1525,""))</f>
        <v/>
      </c>
      <c r="O1525" s="50">
        <f>IF(A1525="","",IFERROR((IF(G1525="",I1525,G1525)-T1525)/M1525,""))</f>
        <v/>
      </c>
      <c r="P1525" s="50">
        <f>IFERROR((I1525/T1525-1)/N1525,"")</f>
        <v/>
      </c>
      <c r="Q1525" s="46">
        <f>IF(OR(T1525="",I1525&lt;T1525),"",IFERROR(R1525/IF(G1525="",I1525,G1525)-1,""))</f>
        <v/>
      </c>
      <c r="R1525" s="48">
        <f>IF($M1525="","",MAX(IF($G1525="",$I1525,$G1525)*(1/1.1),IF($G1525="",$I1525,$G1525)+(R$2*$M1525)))</f>
        <v/>
      </c>
      <c r="S1525" s="49">
        <f>IF($M1525="","",MAX(IF($G1525="",$I1525,$G1525)*(1/1.1),IF($G1525="",$I1525,$G1525)+(S$2*$M1525)))</f>
        <v/>
      </c>
      <c r="T1525" s="82" t="n"/>
      <c r="U1525" s="47">
        <f>IF(OR($M1525="",$T1525=""),"",$T1525+(U$2*$M1525))</f>
        <v/>
      </c>
      <c r="V1525" s="48">
        <f>IF(OR($M1525="",$T1525=""),"",$T1525+(V$2*$M1525))</f>
        <v/>
      </c>
      <c r="W1525" s="48">
        <f>IF(OR($M1525="",$T1525=""),"",$T1525+(W$2*$M1525))</f>
        <v/>
      </c>
      <c r="X1525" s="49">
        <f>IF(OR($M1525="",$T1525=""),"",$T1525+(X$2*$M1525))</f>
        <v/>
      </c>
      <c r="Y1525" s="47">
        <f>IF(OR($M1525="",$T1525=""),"",$T1525+(Y$2*$M1525))</f>
        <v/>
      </c>
      <c r="Z1525" s="49">
        <f>IF(OR($M1525="",$T1525=""),"",$T1525+(Z$2*$M1525))</f>
        <v/>
      </c>
      <c r="AA1525" s="51">
        <f>IF(OR($M1525="",$T1525=""),"",$T1525+(AA$2*$M1525))</f>
        <v/>
      </c>
      <c r="AB1525" s="48">
        <f>IF(OR($M1525="",$T1525=""),"",$T1525+(AB$2*$M1525))</f>
        <v/>
      </c>
      <c r="AC1525" s="48">
        <f>IF(OR($M1525="",$T1525=""),"",$T1525+(AC$2*$M1525))</f>
        <v/>
      </c>
      <c r="AD1525" s="48">
        <f>IF(OR($M1525="",$T1525=""),"",$T1525+(AD$2*$M1525))</f>
        <v/>
      </c>
      <c r="AE1525" s="49">
        <f>IF(OR($M1525="",$T1525=""),"",$T1525+(AE$2*$M1525))</f>
        <v/>
      </c>
      <c r="AF1525" s="52">
        <f>IF(OR(T1525="",I1525&lt;T1525),"",IFERROR(AVERAGE(T1525+M1525*{7,8,9,10,11})/IF(G1525="",I1525,G1525)-1,""))</f>
        <v/>
      </c>
      <c r="AG1525" s="55">
        <f>IF(OR(T1525="",I1525&lt;T1525),"",IFERROR(AF1525/-(R1525/IF(G1525="",I1525,G1525)-1),""))</f>
        <v/>
      </c>
      <c r="AH1525" s="94" t="n"/>
      <c r="AI1525" s="94" t="n"/>
      <c r="AJ1525" s="94" t="n"/>
      <c r="AK1525" s="94" t="n"/>
      <c r="AL1525" s="84" t="n"/>
    </row>
    <row r="1526">
      <c r="A1526" s="64" t="n"/>
      <c r="B1526" s="65" t="n"/>
      <c r="C1526" s="66" t="n"/>
      <c r="D1526" s="67" t="n"/>
      <c r="E1526" s="68" t="n"/>
      <c r="F1526" s="47">
        <f>IF(A1526="","",IF(MIN(H1526,MAX(J1526:K1526))=0,"",MIN(H1526,MAX(J1526:K1526))))</f>
        <v/>
      </c>
      <c r="G1526" s="74" t="n"/>
      <c r="H1526" s="49">
        <f>IF(M1526="","",IFERROR(ROUND(AVERAGE(T1526+M1526*{7,8,9,10,11})/1.21,4),""))</f>
        <v/>
      </c>
      <c r="I1526" s="76" t="n"/>
      <c r="J1526" s="77" t="n"/>
      <c r="K1526" s="74" t="n"/>
      <c r="L1526" s="78" t="n"/>
      <c r="M1526" s="77" t="n"/>
      <c r="N1526" s="53">
        <f>IF(M1526="","",IFERROR(M1526/I1526,""))</f>
        <v/>
      </c>
      <c r="O1526" s="50">
        <f>IF(A1526="","",IFERROR((IF(G1526="",I1526,G1526)-T1526)/M1526,""))</f>
        <v/>
      </c>
      <c r="P1526" s="50">
        <f>IFERROR((I1526/T1526-1)/N1526,"")</f>
        <v/>
      </c>
      <c r="Q1526" s="46">
        <f>IF(OR(T1526="",I1526&lt;T1526),"",IFERROR(R1526/IF(G1526="",I1526,G1526)-1,""))</f>
        <v/>
      </c>
      <c r="R1526" s="48">
        <f>IF($M1526="","",MAX(IF($G1526="",$I1526,$G1526)*(1/1.1),IF($G1526="",$I1526,$G1526)+(R$2*$M1526)))</f>
        <v/>
      </c>
      <c r="S1526" s="49">
        <f>IF($M1526="","",MAX(IF($G1526="",$I1526,$G1526)*(1/1.1),IF($G1526="",$I1526,$G1526)+(S$2*$M1526)))</f>
        <v/>
      </c>
      <c r="T1526" s="82" t="n"/>
      <c r="U1526" s="47">
        <f>IF(OR($M1526="",$T1526=""),"",$T1526+(U$2*$M1526))</f>
        <v/>
      </c>
      <c r="V1526" s="48">
        <f>IF(OR($M1526="",$T1526=""),"",$T1526+(V$2*$M1526))</f>
        <v/>
      </c>
      <c r="W1526" s="48">
        <f>IF(OR($M1526="",$T1526=""),"",$T1526+(W$2*$M1526))</f>
        <v/>
      </c>
      <c r="X1526" s="49">
        <f>IF(OR($M1526="",$T1526=""),"",$T1526+(X$2*$M1526))</f>
        <v/>
      </c>
      <c r="Y1526" s="47">
        <f>IF(OR($M1526="",$T1526=""),"",$T1526+(Y$2*$M1526))</f>
        <v/>
      </c>
      <c r="Z1526" s="49">
        <f>IF(OR($M1526="",$T1526=""),"",$T1526+(Z$2*$M1526))</f>
        <v/>
      </c>
      <c r="AA1526" s="51">
        <f>IF(OR($M1526="",$T1526=""),"",$T1526+(AA$2*$M1526))</f>
        <v/>
      </c>
      <c r="AB1526" s="48">
        <f>IF(OR($M1526="",$T1526=""),"",$T1526+(AB$2*$M1526))</f>
        <v/>
      </c>
      <c r="AC1526" s="48">
        <f>IF(OR($M1526="",$T1526=""),"",$T1526+(AC$2*$M1526))</f>
        <v/>
      </c>
      <c r="AD1526" s="48">
        <f>IF(OR($M1526="",$T1526=""),"",$T1526+(AD$2*$M1526))</f>
        <v/>
      </c>
      <c r="AE1526" s="49">
        <f>IF(OR($M1526="",$T1526=""),"",$T1526+(AE$2*$M1526))</f>
        <v/>
      </c>
      <c r="AF1526" s="52">
        <f>IF(OR(T1526="",I1526&lt;T1526),"",IFERROR(AVERAGE(T1526+M1526*{7,8,9,10,11})/IF(G1526="",I1526,G1526)-1,""))</f>
        <v/>
      </c>
      <c r="AG1526" s="55">
        <f>IF(OR(T1526="",I1526&lt;T1526),"",IFERROR(AF1526/-(R1526/IF(G1526="",I1526,G1526)-1),""))</f>
        <v/>
      </c>
      <c r="AH1526" s="94" t="n"/>
      <c r="AI1526" s="94" t="n"/>
      <c r="AJ1526" s="94" t="n"/>
      <c r="AK1526" s="94" t="n"/>
      <c r="AL1526" s="84" t="n"/>
    </row>
    <row r="1527">
      <c r="A1527" s="64" t="n"/>
      <c r="B1527" s="65" t="n"/>
      <c r="C1527" s="66" t="n"/>
      <c r="D1527" s="67" t="n"/>
      <c r="E1527" s="68" t="n"/>
      <c r="F1527" s="47">
        <f>IF(A1527="","",IF(MIN(H1527,MAX(J1527:K1527))=0,"",MIN(H1527,MAX(J1527:K1527))))</f>
        <v/>
      </c>
      <c r="G1527" s="74" t="n"/>
      <c r="H1527" s="49">
        <f>IF(M1527="","",IFERROR(ROUND(AVERAGE(T1527+M1527*{7,8,9,10,11})/1.21,4),""))</f>
        <v/>
      </c>
      <c r="I1527" s="76" t="n"/>
      <c r="J1527" s="77" t="n"/>
      <c r="K1527" s="74" t="n"/>
      <c r="L1527" s="78" t="n"/>
      <c r="M1527" s="77" t="n"/>
      <c r="N1527" s="53">
        <f>IF(M1527="","",IFERROR(M1527/I1527,""))</f>
        <v/>
      </c>
      <c r="O1527" s="50">
        <f>IF(A1527="","",IFERROR((IF(G1527="",I1527,G1527)-T1527)/M1527,""))</f>
        <v/>
      </c>
      <c r="P1527" s="50">
        <f>IFERROR((I1527/T1527-1)/N1527,"")</f>
        <v/>
      </c>
      <c r="Q1527" s="46">
        <f>IF(OR(T1527="",I1527&lt;T1527),"",IFERROR(R1527/IF(G1527="",I1527,G1527)-1,""))</f>
        <v/>
      </c>
      <c r="R1527" s="48">
        <f>IF($M1527="","",MAX(IF($G1527="",$I1527,$G1527)*(1/1.1),IF($G1527="",$I1527,$G1527)+(R$2*$M1527)))</f>
        <v/>
      </c>
      <c r="S1527" s="49">
        <f>IF($M1527="","",MAX(IF($G1527="",$I1527,$G1527)*(1/1.1),IF($G1527="",$I1527,$G1527)+(S$2*$M1527)))</f>
        <v/>
      </c>
      <c r="T1527" s="82" t="n"/>
      <c r="U1527" s="47">
        <f>IF(OR($M1527="",$T1527=""),"",$T1527+(U$2*$M1527))</f>
        <v/>
      </c>
      <c r="V1527" s="48">
        <f>IF(OR($M1527="",$T1527=""),"",$T1527+(V$2*$M1527))</f>
        <v/>
      </c>
      <c r="W1527" s="48">
        <f>IF(OR($M1527="",$T1527=""),"",$T1527+(W$2*$M1527))</f>
        <v/>
      </c>
      <c r="X1527" s="49">
        <f>IF(OR($M1527="",$T1527=""),"",$T1527+(X$2*$M1527))</f>
        <v/>
      </c>
      <c r="Y1527" s="47">
        <f>IF(OR($M1527="",$T1527=""),"",$T1527+(Y$2*$M1527))</f>
        <v/>
      </c>
      <c r="Z1527" s="49">
        <f>IF(OR($M1527="",$T1527=""),"",$T1527+(Z$2*$M1527))</f>
        <v/>
      </c>
      <c r="AA1527" s="51">
        <f>IF(OR($M1527="",$T1527=""),"",$T1527+(AA$2*$M1527))</f>
        <v/>
      </c>
      <c r="AB1527" s="48">
        <f>IF(OR($M1527="",$T1527=""),"",$T1527+(AB$2*$M1527))</f>
        <v/>
      </c>
      <c r="AC1527" s="48">
        <f>IF(OR($M1527="",$T1527=""),"",$T1527+(AC$2*$M1527))</f>
        <v/>
      </c>
      <c r="AD1527" s="48">
        <f>IF(OR($M1527="",$T1527=""),"",$T1527+(AD$2*$M1527))</f>
        <v/>
      </c>
      <c r="AE1527" s="49">
        <f>IF(OR($M1527="",$T1527=""),"",$T1527+(AE$2*$M1527))</f>
        <v/>
      </c>
      <c r="AF1527" s="52">
        <f>IF(OR(T1527="",I1527&lt;T1527),"",IFERROR(AVERAGE(T1527+M1527*{7,8,9,10,11})/IF(G1527="",I1527,G1527)-1,""))</f>
        <v/>
      </c>
      <c r="AG1527" s="55">
        <f>IF(OR(T1527="",I1527&lt;T1527),"",IFERROR(AF1527/-(R1527/IF(G1527="",I1527,G1527)-1),""))</f>
        <v/>
      </c>
      <c r="AH1527" s="94" t="n"/>
      <c r="AI1527" s="94" t="n"/>
      <c r="AJ1527" s="94" t="n"/>
      <c r="AK1527" s="94" t="n"/>
      <c r="AL1527" s="84" t="n"/>
    </row>
    <row r="1528">
      <c r="A1528" s="64" t="n"/>
      <c r="B1528" s="65" t="n"/>
      <c r="C1528" s="66" t="n"/>
      <c r="D1528" s="67" t="n"/>
      <c r="E1528" s="68" t="n"/>
      <c r="F1528" s="47">
        <f>IF(A1528="","",IF(MIN(H1528,MAX(J1528:K1528))=0,"",MIN(H1528,MAX(J1528:K1528))))</f>
        <v/>
      </c>
      <c r="G1528" s="74" t="n"/>
      <c r="H1528" s="49">
        <f>IF(M1528="","",IFERROR(ROUND(AVERAGE(T1528+M1528*{7,8,9,10,11})/1.21,4),""))</f>
        <v/>
      </c>
      <c r="I1528" s="76" t="n"/>
      <c r="J1528" s="77" t="n"/>
      <c r="K1528" s="74" t="n"/>
      <c r="L1528" s="78" t="n"/>
      <c r="M1528" s="77" t="n"/>
      <c r="N1528" s="53">
        <f>IF(M1528="","",IFERROR(M1528/I1528,""))</f>
        <v/>
      </c>
      <c r="O1528" s="50">
        <f>IF(A1528="","",IFERROR((IF(G1528="",I1528,G1528)-T1528)/M1528,""))</f>
        <v/>
      </c>
      <c r="P1528" s="50">
        <f>IFERROR((I1528/T1528-1)/N1528,"")</f>
        <v/>
      </c>
      <c r="Q1528" s="46">
        <f>IF(OR(T1528="",I1528&lt;T1528),"",IFERROR(R1528/IF(G1528="",I1528,G1528)-1,""))</f>
        <v/>
      </c>
      <c r="R1528" s="48">
        <f>IF($M1528="","",MAX(IF($G1528="",$I1528,$G1528)*(1/1.1),IF($G1528="",$I1528,$G1528)+(R$2*$M1528)))</f>
        <v/>
      </c>
      <c r="S1528" s="49">
        <f>IF($M1528="","",MAX(IF($G1528="",$I1528,$G1528)*(1/1.1),IF($G1528="",$I1528,$G1528)+(S$2*$M1528)))</f>
        <v/>
      </c>
      <c r="T1528" s="82" t="n"/>
      <c r="U1528" s="47">
        <f>IF(OR($M1528="",$T1528=""),"",$T1528+(U$2*$M1528))</f>
        <v/>
      </c>
      <c r="V1528" s="48">
        <f>IF(OR($M1528="",$T1528=""),"",$T1528+(V$2*$M1528))</f>
        <v/>
      </c>
      <c r="W1528" s="48">
        <f>IF(OR($M1528="",$T1528=""),"",$T1528+(W$2*$M1528))</f>
        <v/>
      </c>
      <c r="X1528" s="49">
        <f>IF(OR($M1528="",$T1528=""),"",$T1528+(X$2*$M1528))</f>
        <v/>
      </c>
      <c r="Y1528" s="47">
        <f>IF(OR($M1528="",$T1528=""),"",$T1528+(Y$2*$M1528))</f>
        <v/>
      </c>
      <c r="Z1528" s="49">
        <f>IF(OR($M1528="",$T1528=""),"",$T1528+(Z$2*$M1528))</f>
        <v/>
      </c>
      <c r="AA1528" s="51">
        <f>IF(OR($M1528="",$T1528=""),"",$T1528+(AA$2*$M1528))</f>
        <v/>
      </c>
      <c r="AB1528" s="48">
        <f>IF(OR($M1528="",$T1528=""),"",$T1528+(AB$2*$M1528))</f>
        <v/>
      </c>
      <c r="AC1528" s="48">
        <f>IF(OR($M1528="",$T1528=""),"",$T1528+(AC$2*$M1528))</f>
        <v/>
      </c>
      <c r="AD1528" s="48">
        <f>IF(OR($M1528="",$T1528=""),"",$T1528+(AD$2*$M1528))</f>
        <v/>
      </c>
      <c r="AE1528" s="49">
        <f>IF(OR($M1528="",$T1528=""),"",$T1528+(AE$2*$M1528))</f>
        <v/>
      </c>
      <c r="AF1528" s="52">
        <f>IF(OR(T1528="",I1528&lt;T1528),"",IFERROR(AVERAGE(T1528+M1528*{7,8,9,10,11})/IF(G1528="",I1528,G1528)-1,""))</f>
        <v/>
      </c>
      <c r="AG1528" s="55">
        <f>IF(OR(T1528="",I1528&lt;T1528),"",IFERROR(AF1528/-(R1528/IF(G1528="",I1528,G1528)-1),""))</f>
        <v/>
      </c>
      <c r="AH1528" s="94" t="n"/>
      <c r="AI1528" s="94" t="n"/>
      <c r="AJ1528" s="94" t="n"/>
      <c r="AK1528" s="94" t="n"/>
      <c r="AL1528" s="84" t="n"/>
    </row>
    <row r="1529">
      <c r="A1529" s="64" t="n"/>
      <c r="B1529" s="65" t="n"/>
      <c r="C1529" s="66" t="n"/>
      <c r="D1529" s="67" t="n"/>
      <c r="E1529" s="68" t="n"/>
      <c r="F1529" s="47">
        <f>IF(A1529="","",IF(MIN(H1529,MAX(J1529:K1529))=0,"",MIN(H1529,MAX(J1529:K1529))))</f>
        <v/>
      </c>
      <c r="G1529" s="74" t="n"/>
      <c r="H1529" s="49">
        <f>IF(M1529="","",IFERROR(ROUND(AVERAGE(T1529+M1529*{7,8,9,10,11})/1.21,4),""))</f>
        <v/>
      </c>
      <c r="I1529" s="76" t="n"/>
      <c r="J1529" s="77" t="n"/>
      <c r="K1529" s="74" t="n"/>
      <c r="L1529" s="78" t="n"/>
      <c r="M1529" s="77" t="n"/>
      <c r="N1529" s="53">
        <f>IF(M1529="","",IFERROR(M1529/I1529,""))</f>
        <v/>
      </c>
      <c r="O1529" s="50">
        <f>IF(A1529="","",IFERROR((IF(G1529="",I1529,G1529)-T1529)/M1529,""))</f>
        <v/>
      </c>
      <c r="P1529" s="50">
        <f>IFERROR((I1529/T1529-1)/N1529,"")</f>
        <v/>
      </c>
      <c r="Q1529" s="46">
        <f>IF(OR(T1529="",I1529&lt;T1529),"",IFERROR(R1529/IF(G1529="",I1529,G1529)-1,""))</f>
        <v/>
      </c>
      <c r="R1529" s="48">
        <f>IF($M1529="","",MAX(IF($G1529="",$I1529,$G1529)*(1/1.1),IF($G1529="",$I1529,$G1529)+(R$2*$M1529)))</f>
        <v/>
      </c>
      <c r="S1529" s="49">
        <f>IF($M1529="","",MAX(IF($G1529="",$I1529,$G1529)*(1/1.1),IF($G1529="",$I1529,$G1529)+(S$2*$M1529)))</f>
        <v/>
      </c>
      <c r="T1529" s="82" t="n"/>
      <c r="U1529" s="47">
        <f>IF(OR($M1529="",$T1529=""),"",$T1529+(U$2*$M1529))</f>
        <v/>
      </c>
      <c r="V1529" s="48">
        <f>IF(OR($M1529="",$T1529=""),"",$T1529+(V$2*$M1529))</f>
        <v/>
      </c>
      <c r="W1529" s="48">
        <f>IF(OR($M1529="",$T1529=""),"",$T1529+(W$2*$M1529))</f>
        <v/>
      </c>
      <c r="X1529" s="49">
        <f>IF(OR($M1529="",$T1529=""),"",$T1529+(X$2*$M1529))</f>
        <v/>
      </c>
      <c r="Y1529" s="47">
        <f>IF(OR($M1529="",$T1529=""),"",$T1529+(Y$2*$M1529))</f>
        <v/>
      </c>
      <c r="Z1529" s="49">
        <f>IF(OR($M1529="",$T1529=""),"",$T1529+(Z$2*$M1529))</f>
        <v/>
      </c>
      <c r="AA1529" s="51">
        <f>IF(OR($M1529="",$T1529=""),"",$T1529+(AA$2*$M1529))</f>
        <v/>
      </c>
      <c r="AB1529" s="48">
        <f>IF(OR($M1529="",$T1529=""),"",$T1529+(AB$2*$M1529))</f>
        <v/>
      </c>
      <c r="AC1529" s="48">
        <f>IF(OR($M1529="",$T1529=""),"",$T1529+(AC$2*$M1529))</f>
        <v/>
      </c>
      <c r="AD1529" s="48">
        <f>IF(OR($M1529="",$T1529=""),"",$T1529+(AD$2*$M1529))</f>
        <v/>
      </c>
      <c r="AE1529" s="49">
        <f>IF(OR($M1529="",$T1529=""),"",$T1529+(AE$2*$M1529))</f>
        <v/>
      </c>
      <c r="AF1529" s="52">
        <f>IF(OR(T1529="",I1529&lt;T1529),"",IFERROR(AVERAGE(T1529+M1529*{7,8,9,10,11})/IF(G1529="",I1529,G1529)-1,""))</f>
        <v/>
      </c>
      <c r="AG1529" s="55">
        <f>IF(OR(T1529="",I1529&lt;T1529),"",IFERROR(AF1529/-(R1529/IF(G1529="",I1529,G1529)-1),""))</f>
        <v/>
      </c>
      <c r="AH1529" s="94" t="n"/>
      <c r="AI1529" s="94" t="n"/>
      <c r="AJ1529" s="94" t="n"/>
      <c r="AK1529" s="94" t="n"/>
      <c r="AL1529" s="84" t="n"/>
    </row>
    <row r="1530">
      <c r="A1530" s="64" t="n"/>
      <c r="B1530" s="65" t="n"/>
      <c r="C1530" s="66" t="n"/>
      <c r="D1530" s="67" t="n"/>
      <c r="E1530" s="68" t="n"/>
      <c r="F1530" s="47">
        <f>IF(A1530="","",IF(MIN(H1530,MAX(J1530:K1530))=0,"",MIN(H1530,MAX(J1530:K1530))))</f>
        <v/>
      </c>
      <c r="G1530" s="74" t="n"/>
      <c r="H1530" s="49">
        <f>IF(M1530="","",IFERROR(ROUND(AVERAGE(T1530+M1530*{7,8,9,10,11})/1.21,4),""))</f>
        <v/>
      </c>
      <c r="I1530" s="76" t="n"/>
      <c r="J1530" s="77" t="n"/>
      <c r="K1530" s="74" t="n"/>
      <c r="L1530" s="78" t="n"/>
      <c r="M1530" s="77" t="n"/>
      <c r="N1530" s="53">
        <f>IF(M1530="","",IFERROR(M1530/I1530,""))</f>
        <v/>
      </c>
      <c r="O1530" s="50">
        <f>IF(A1530="","",IFERROR((IF(G1530="",I1530,G1530)-T1530)/M1530,""))</f>
        <v/>
      </c>
      <c r="P1530" s="50">
        <f>IFERROR((I1530/T1530-1)/N1530,"")</f>
        <v/>
      </c>
      <c r="Q1530" s="46">
        <f>IF(OR(T1530="",I1530&lt;T1530),"",IFERROR(R1530/IF(G1530="",I1530,G1530)-1,""))</f>
        <v/>
      </c>
      <c r="R1530" s="48">
        <f>IF($M1530="","",MAX(IF($G1530="",$I1530,$G1530)*(1/1.1),IF($G1530="",$I1530,$G1530)+(R$2*$M1530)))</f>
        <v/>
      </c>
      <c r="S1530" s="49">
        <f>IF($M1530="","",MAX(IF($G1530="",$I1530,$G1530)*(1/1.1),IF($G1530="",$I1530,$G1530)+(S$2*$M1530)))</f>
        <v/>
      </c>
      <c r="T1530" s="82" t="n"/>
      <c r="U1530" s="47">
        <f>IF(OR($M1530="",$T1530=""),"",$T1530+(U$2*$M1530))</f>
        <v/>
      </c>
      <c r="V1530" s="48">
        <f>IF(OR($M1530="",$T1530=""),"",$T1530+(V$2*$M1530))</f>
        <v/>
      </c>
      <c r="W1530" s="48">
        <f>IF(OR($M1530="",$T1530=""),"",$T1530+(W$2*$M1530))</f>
        <v/>
      </c>
      <c r="X1530" s="49">
        <f>IF(OR($M1530="",$T1530=""),"",$T1530+(X$2*$M1530))</f>
        <v/>
      </c>
      <c r="Y1530" s="47">
        <f>IF(OR($M1530="",$T1530=""),"",$T1530+(Y$2*$M1530))</f>
        <v/>
      </c>
      <c r="Z1530" s="49">
        <f>IF(OR($M1530="",$T1530=""),"",$T1530+(Z$2*$M1530))</f>
        <v/>
      </c>
      <c r="AA1530" s="51">
        <f>IF(OR($M1530="",$T1530=""),"",$T1530+(AA$2*$M1530))</f>
        <v/>
      </c>
      <c r="AB1530" s="48">
        <f>IF(OR($M1530="",$T1530=""),"",$T1530+(AB$2*$M1530))</f>
        <v/>
      </c>
      <c r="AC1530" s="48">
        <f>IF(OR($M1530="",$T1530=""),"",$T1530+(AC$2*$M1530))</f>
        <v/>
      </c>
      <c r="AD1530" s="48">
        <f>IF(OR($M1530="",$T1530=""),"",$T1530+(AD$2*$M1530))</f>
        <v/>
      </c>
      <c r="AE1530" s="49">
        <f>IF(OR($M1530="",$T1530=""),"",$T1530+(AE$2*$M1530))</f>
        <v/>
      </c>
      <c r="AF1530" s="52">
        <f>IF(OR(T1530="",I1530&lt;T1530),"",IFERROR(AVERAGE(T1530+M1530*{7,8,9,10,11})/IF(G1530="",I1530,G1530)-1,""))</f>
        <v/>
      </c>
      <c r="AG1530" s="55">
        <f>IF(OR(T1530="",I1530&lt;T1530),"",IFERROR(AF1530/-(R1530/IF(G1530="",I1530,G1530)-1),""))</f>
        <v/>
      </c>
      <c r="AH1530" s="94" t="n"/>
      <c r="AI1530" s="94" t="n"/>
      <c r="AJ1530" s="94" t="n"/>
      <c r="AK1530" s="94" t="n"/>
      <c r="AL1530" s="84" t="n"/>
    </row>
    <row r="1531">
      <c r="A1531" s="64" t="n"/>
      <c r="B1531" s="65" t="n"/>
      <c r="C1531" s="66" t="n"/>
      <c r="D1531" s="67" t="n"/>
      <c r="E1531" s="68" t="n"/>
      <c r="F1531" s="47">
        <f>IF(A1531="","",IF(MIN(H1531,MAX(J1531:K1531))=0,"",MIN(H1531,MAX(J1531:K1531))))</f>
        <v/>
      </c>
      <c r="G1531" s="74" t="n"/>
      <c r="H1531" s="49">
        <f>IF(M1531="","",IFERROR(ROUND(AVERAGE(T1531+M1531*{7,8,9,10,11})/1.21,4),""))</f>
        <v/>
      </c>
      <c r="I1531" s="76" t="n"/>
      <c r="J1531" s="77" t="n"/>
      <c r="K1531" s="74" t="n"/>
      <c r="L1531" s="78" t="n"/>
      <c r="M1531" s="77" t="n"/>
      <c r="N1531" s="53">
        <f>IF(M1531="","",IFERROR(M1531/I1531,""))</f>
        <v/>
      </c>
      <c r="O1531" s="50">
        <f>IF(A1531="","",IFERROR((IF(G1531="",I1531,G1531)-T1531)/M1531,""))</f>
        <v/>
      </c>
      <c r="P1531" s="50">
        <f>IFERROR((I1531/T1531-1)/N1531,"")</f>
        <v/>
      </c>
      <c r="Q1531" s="46">
        <f>IF(OR(T1531="",I1531&lt;T1531),"",IFERROR(R1531/IF(G1531="",I1531,G1531)-1,""))</f>
        <v/>
      </c>
      <c r="R1531" s="48">
        <f>IF($M1531="","",MAX(IF($G1531="",$I1531,$G1531)*(1/1.1),IF($G1531="",$I1531,$G1531)+(R$2*$M1531)))</f>
        <v/>
      </c>
      <c r="S1531" s="49">
        <f>IF($M1531="","",MAX(IF($G1531="",$I1531,$G1531)*(1/1.1),IF($G1531="",$I1531,$G1531)+(S$2*$M1531)))</f>
        <v/>
      </c>
      <c r="T1531" s="82" t="n"/>
      <c r="U1531" s="47">
        <f>IF(OR($M1531="",$T1531=""),"",$T1531+(U$2*$M1531))</f>
        <v/>
      </c>
      <c r="V1531" s="48">
        <f>IF(OR($M1531="",$T1531=""),"",$T1531+(V$2*$M1531))</f>
        <v/>
      </c>
      <c r="W1531" s="48">
        <f>IF(OR($M1531="",$T1531=""),"",$T1531+(W$2*$M1531))</f>
        <v/>
      </c>
      <c r="X1531" s="49">
        <f>IF(OR($M1531="",$T1531=""),"",$T1531+(X$2*$M1531))</f>
        <v/>
      </c>
      <c r="Y1531" s="47">
        <f>IF(OR($M1531="",$T1531=""),"",$T1531+(Y$2*$M1531))</f>
        <v/>
      </c>
      <c r="Z1531" s="49">
        <f>IF(OR($M1531="",$T1531=""),"",$T1531+(Z$2*$M1531))</f>
        <v/>
      </c>
      <c r="AA1531" s="51">
        <f>IF(OR($M1531="",$T1531=""),"",$T1531+(AA$2*$M1531))</f>
        <v/>
      </c>
      <c r="AB1531" s="48">
        <f>IF(OR($M1531="",$T1531=""),"",$T1531+(AB$2*$M1531))</f>
        <v/>
      </c>
      <c r="AC1531" s="48">
        <f>IF(OR($M1531="",$T1531=""),"",$T1531+(AC$2*$M1531))</f>
        <v/>
      </c>
      <c r="AD1531" s="48">
        <f>IF(OR($M1531="",$T1531=""),"",$T1531+(AD$2*$M1531))</f>
        <v/>
      </c>
      <c r="AE1531" s="49">
        <f>IF(OR($M1531="",$T1531=""),"",$T1531+(AE$2*$M1531))</f>
        <v/>
      </c>
      <c r="AF1531" s="52">
        <f>IF(OR(T1531="",I1531&lt;T1531),"",IFERROR(AVERAGE(T1531+M1531*{7,8,9,10,11})/IF(G1531="",I1531,G1531)-1,""))</f>
        <v/>
      </c>
      <c r="AG1531" s="55">
        <f>IF(OR(T1531="",I1531&lt;T1531),"",IFERROR(AF1531/-(R1531/IF(G1531="",I1531,G1531)-1),""))</f>
        <v/>
      </c>
      <c r="AH1531" s="94" t="n"/>
      <c r="AI1531" s="94" t="n"/>
      <c r="AJ1531" s="94" t="n"/>
      <c r="AK1531" s="94" t="n"/>
      <c r="AL1531" s="84" t="n"/>
    </row>
    <row r="1532">
      <c r="A1532" s="64" t="n"/>
      <c r="B1532" s="65" t="n"/>
      <c r="C1532" s="66" t="n"/>
      <c r="D1532" s="67" t="n"/>
      <c r="E1532" s="68" t="n"/>
      <c r="F1532" s="47">
        <f>IF(A1532="","",IF(MIN(H1532,MAX(J1532:K1532))=0,"",MIN(H1532,MAX(J1532:K1532))))</f>
        <v/>
      </c>
      <c r="G1532" s="74" t="n"/>
      <c r="H1532" s="49">
        <f>IF(M1532="","",IFERROR(ROUND(AVERAGE(T1532+M1532*{7,8,9,10,11})/1.21,4),""))</f>
        <v/>
      </c>
      <c r="I1532" s="76" t="n"/>
      <c r="J1532" s="77" t="n"/>
      <c r="K1532" s="74" t="n"/>
      <c r="L1532" s="78" t="n"/>
      <c r="M1532" s="77" t="n"/>
      <c r="N1532" s="53">
        <f>IF(M1532="","",IFERROR(M1532/I1532,""))</f>
        <v/>
      </c>
      <c r="O1532" s="50">
        <f>IF(A1532="","",IFERROR((IF(G1532="",I1532,G1532)-T1532)/M1532,""))</f>
        <v/>
      </c>
      <c r="P1532" s="50">
        <f>IFERROR((I1532/T1532-1)/N1532,"")</f>
        <v/>
      </c>
      <c r="Q1532" s="46">
        <f>IF(OR(T1532="",I1532&lt;T1532),"",IFERROR(R1532/IF(G1532="",I1532,G1532)-1,""))</f>
        <v/>
      </c>
      <c r="R1532" s="48">
        <f>IF($M1532="","",MAX(IF($G1532="",$I1532,$G1532)*(1/1.1),IF($G1532="",$I1532,$G1532)+(R$2*$M1532)))</f>
        <v/>
      </c>
      <c r="S1532" s="49">
        <f>IF($M1532="","",MAX(IF($G1532="",$I1532,$G1532)*(1/1.1),IF($G1532="",$I1532,$G1532)+(S$2*$M1532)))</f>
        <v/>
      </c>
      <c r="T1532" s="82" t="n"/>
      <c r="U1532" s="47">
        <f>IF(OR($M1532="",$T1532=""),"",$T1532+(U$2*$M1532))</f>
        <v/>
      </c>
      <c r="V1532" s="48">
        <f>IF(OR($M1532="",$T1532=""),"",$T1532+(V$2*$M1532))</f>
        <v/>
      </c>
      <c r="W1532" s="48">
        <f>IF(OR($M1532="",$T1532=""),"",$T1532+(W$2*$M1532))</f>
        <v/>
      </c>
      <c r="X1532" s="49">
        <f>IF(OR($M1532="",$T1532=""),"",$T1532+(X$2*$M1532))</f>
        <v/>
      </c>
      <c r="Y1532" s="47">
        <f>IF(OR($M1532="",$T1532=""),"",$T1532+(Y$2*$M1532))</f>
        <v/>
      </c>
      <c r="Z1532" s="49">
        <f>IF(OR($M1532="",$T1532=""),"",$T1532+(Z$2*$M1532))</f>
        <v/>
      </c>
      <c r="AA1532" s="51">
        <f>IF(OR($M1532="",$T1532=""),"",$T1532+(AA$2*$M1532))</f>
        <v/>
      </c>
      <c r="AB1532" s="48">
        <f>IF(OR($M1532="",$T1532=""),"",$T1532+(AB$2*$M1532))</f>
        <v/>
      </c>
      <c r="AC1532" s="48">
        <f>IF(OR($M1532="",$T1532=""),"",$T1532+(AC$2*$M1532))</f>
        <v/>
      </c>
      <c r="AD1532" s="48">
        <f>IF(OR($M1532="",$T1532=""),"",$T1532+(AD$2*$M1532))</f>
        <v/>
      </c>
      <c r="AE1532" s="49">
        <f>IF(OR($M1532="",$T1532=""),"",$T1532+(AE$2*$M1532))</f>
        <v/>
      </c>
      <c r="AF1532" s="52">
        <f>IF(OR(T1532="",I1532&lt;T1532),"",IFERROR(AVERAGE(T1532+M1532*{7,8,9,10,11})/IF(G1532="",I1532,G1532)-1,""))</f>
        <v/>
      </c>
      <c r="AG1532" s="55">
        <f>IF(OR(T1532="",I1532&lt;T1532),"",IFERROR(AF1532/-(R1532/IF(G1532="",I1532,G1532)-1),""))</f>
        <v/>
      </c>
      <c r="AH1532" s="94" t="n"/>
      <c r="AI1532" s="94" t="n"/>
      <c r="AJ1532" s="94" t="n"/>
      <c r="AK1532" s="94" t="n"/>
      <c r="AL1532" s="84" t="n"/>
    </row>
    <row r="1533">
      <c r="A1533" s="64" t="n"/>
      <c r="B1533" s="65" t="n"/>
      <c r="C1533" s="66" t="n"/>
      <c r="D1533" s="67" t="n"/>
      <c r="E1533" s="68" t="n"/>
      <c r="F1533" s="47">
        <f>IF(A1533="","",IF(MIN(H1533,MAX(J1533:K1533))=0,"",MIN(H1533,MAX(J1533:K1533))))</f>
        <v/>
      </c>
      <c r="G1533" s="74" t="n"/>
      <c r="H1533" s="49">
        <f>IF(M1533="","",IFERROR(ROUND(AVERAGE(T1533+M1533*{7,8,9,10,11})/1.21,4),""))</f>
        <v/>
      </c>
      <c r="I1533" s="76" t="n"/>
      <c r="J1533" s="77" t="n"/>
      <c r="K1533" s="74" t="n"/>
      <c r="L1533" s="78" t="n"/>
      <c r="M1533" s="77" t="n"/>
      <c r="N1533" s="53">
        <f>IF(M1533="","",IFERROR(M1533/I1533,""))</f>
        <v/>
      </c>
      <c r="O1533" s="50">
        <f>IF(A1533="","",IFERROR((IF(G1533="",I1533,G1533)-T1533)/M1533,""))</f>
        <v/>
      </c>
      <c r="P1533" s="50">
        <f>IFERROR((I1533/T1533-1)/N1533,"")</f>
        <v/>
      </c>
      <c r="Q1533" s="46">
        <f>IF(OR(T1533="",I1533&lt;T1533),"",IFERROR(R1533/IF(G1533="",I1533,G1533)-1,""))</f>
        <v/>
      </c>
      <c r="R1533" s="48">
        <f>IF($M1533="","",MAX(IF($G1533="",$I1533,$G1533)*(1/1.1),IF($G1533="",$I1533,$G1533)+(R$2*$M1533)))</f>
        <v/>
      </c>
      <c r="S1533" s="49">
        <f>IF($M1533="","",MAX(IF($G1533="",$I1533,$G1533)*(1/1.1),IF($G1533="",$I1533,$G1533)+(S$2*$M1533)))</f>
        <v/>
      </c>
      <c r="T1533" s="82" t="n"/>
      <c r="U1533" s="47">
        <f>IF(OR($M1533="",$T1533=""),"",$T1533+(U$2*$M1533))</f>
        <v/>
      </c>
      <c r="V1533" s="48">
        <f>IF(OR($M1533="",$T1533=""),"",$T1533+(V$2*$M1533))</f>
        <v/>
      </c>
      <c r="W1533" s="48">
        <f>IF(OR($M1533="",$T1533=""),"",$T1533+(W$2*$M1533))</f>
        <v/>
      </c>
      <c r="X1533" s="49">
        <f>IF(OR($M1533="",$T1533=""),"",$T1533+(X$2*$M1533))</f>
        <v/>
      </c>
      <c r="Y1533" s="47">
        <f>IF(OR($M1533="",$T1533=""),"",$T1533+(Y$2*$M1533))</f>
        <v/>
      </c>
      <c r="Z1533" s="49">
        <f>IF(OR($M1533="",$T1533=""),"",$T1533+(Z$2*$M1533))</f>
        <v/>
      </c>
      <c r="AA1533" s="51">
        <f>IF(OR($M1533="",$T1533=""),"",$T1533+(AA$2*$M1533))</f>
        <v/>
      </c>
      <c r="AB1533" s="48">
        <f>IF(OR($M1533="",$T1533=""),"",$T1533+(AB$2*$M1533))</f>
        <v/>
      </c>
      <c r="AC1533" s="48">
        <f>IF(OR($M1533="",$T1533=""),"",$T1533+(AC$2*$M1533))</f>
        <v/>
      </c>
      <c r="AD1533" s="48">
        <f>IF(OR($M1533="",$T1533=""),"",$T1533+(AD$2*$M1533))</f>
        <v/>
      </c>
      <c r="AE1533" s="49">
        <f>IF(OR($M1533="",$T1533=""),"",$T1533+(AE$2*$M1533))</f>
        <v/>
      </c>
      <c r="AF1533" s="52">
        <f>IF(OR(T1533="",I1533&lt;T1533),"",IFERROR(AVERAGE(T1533+M1533*{7,8,9,10,11})/IF(G1533="",I1533,G1533)-1,""))</f>
        <v/>
      </c>
      <c r="AG1533" s="55">
        <f>IF(OR(T1533="",I1533&lt;T1533),"",IFERROR(AF1533/-(R1533/IF(G1533="",I1533,G1533)-1),""))</f>
        <v/>
      </c>
      <c r="AH1533" s="94" t="n"/>
      <c r="AI1533" s="94" t="n"/>
      <c r="AJ1533" s="94" t="n"/>
      <c r="AK1533" s="94" t="n"/>
      <c r="AL1533" s="84" t="n"/>
    </row>
    <row r="1534">
      <c r="A1534" s="64" t="n"/>
      <c r="B1534" s="65" t="n"/>
      <c r="C1534" s="66" t="n"/>
      <c r="D1534" s="67" t="n"/>
      <c r="E1534" s="68" t="n"/>
      <c r="F1534" s="47">
        <f>IF(A1534="","",IF(MIN(H1534,MAX(J1534:K1534))=0,"",MIN(H1534,MAX(J1534:K1534))))</f>
        <v/>
      </c>
      <c r="G1534" s="74" t="n"/>
      <c r="H1534" s="49">
        <f>IF(M1534="","",IFERROR(ROUND(AVERAGE(T1534+M1534*{7,8,9,10,11})/1.21,4),""))</f>
        <v/>
      </c>
      <c r="I1534" s="76" t="n"/>
      <c r="J1534" s="77" t="n"/>
      <c r="K1534" s="74" t="n"/>
      <c r="L1534" s="78" t="n"/>
      <c r="M1534" s="77" t="n"/>
      <c r="N1534" s="53">
        <f>IF(M1534="","",IFERROR(M1534/I1534,""))</f>
        <v/>
      </c>
      <c r="O1534" s="50">
        <f>IF(A1534="","",IFERROR((IF(G1534="",I1534,G1534)-T1534)/M1534,""))</f>
        <v/>
      </c>
      <c r="P1534" s="50">
        <f>IFERROR((I1534/T1534-1)/N1534,"")</f>
        <v/>
      </c>
      <c r="Q1534" s="46">
        <f>IF(OR(T1534="",I1534&lt;T1534),"",IFERROR(R1534/IF(G1534="",I1534,G1534)-1,""))</f>
        <v/>
      </c>
      <c r="R1534" s="48">
        <f>IF($M1534="","",MAX(IF($G1534="",$I1534,$G1534)*(1/1.1),IF($G1534="",$I1534,$G1534)+(R$2*$M1534)))</f>
        <v/>
      </c>
      <c r="S1534" s="49">
        <f>IF($M1534="","",MAX(IF($G1534="",$I1534,$G1534)*(1/1.1),IF($G1534="",$I1534,$G1534)+(S$2*$M1534)))</f>
        <v/>
      </c>
      <c r="T1534" s="82" t="n"/>
      <c r="U1534" s="47">
        <f>IF(OR($M1534="",$T1534=""),"",$T1534+(U$2*$M1534))</f>
        <v/>
      </c>
      <c r="V1534" s="48">
        <f>IF(OR($M1534="",$T1534=""),"",$T1534+(V$2*$M1534))</f>
        <v/>
      </c>
      <c r="W1534" s="48">
        <f>IF(OR($M1534="",$T1534=""),"",$T1534+(W$2*$M1534))</f>
        <v/>
      </c>
      <c r="X1534" s="49">
        <f>IF(OR($M1534="",$T1534=""),"",$T1534+(X$2*$M1534))</f>
        <v/>
      </c>
      <c r="Y1534" s="47">
        <f>IF(OR($M1534="",$T1534=""),"",$T1534+(Y$2*$M1534))</f>
        <v/>
      </c>
      <c r="Z1534" s="49">
        <f>IF(OR($M1534="",$T1534=""),"",$T1534+(Z$2*$M1534))</f>
        <v/>
      </c>
      <c r="AA1534" s="51">
        <f>IF(OR($M1534="",$T1534=""),"",$T1534+(AA$2*$M1534))</f>
        <v/>
      </c>
      <c r="AB1534" s="48">
        <f>IF(OR($M1534="",$T1534=""),"",$T1534+(AB$2*$M1534))</f>
        <v/>
      </c>
      <c r="AC1534" s="48">
        <f>IF(OR($M1534="",$T1534=""),"",$T1534+(AC$2*$M1534))</f>
        <v/>
      </c>
      <c r="AD1534" s="48">
        <f>IF(OR($M1534="",$T1534=""),"",$T1534+(AD$2*$M1534))</f>
        <v/>
      </c>
      <c r="AE1534" s="49">
        <f>IF(OR($M1534="",$T1534=""),"",$T1534+(AE$2*$M1534))</f>
        <v/>
      </c>
      <c r="AF1534" s="52">
        <f>IF(OR(T1534="",I1534&lt;T1534),"",IFERROR(AVERAGE(T1534+M1534*{7,8,9,10,11})/IF(G1534="",I1534,G1534)-1,""))</f>
        <v/>
      </c>
      <c r="AG1534" s="55">
        <f>IF(OR(T1534="",I1534&lt;T1534),"",IFERROR(AF1534/-(R1534/IF(G1534="",I1534,G1534)-1),""))</f>
        <v/>
      </c>
      <c r="AH1534" s="94" t="n"/>
      <c r="AI1534" s="94" t="n"/>
      <c r="AJ1534" s="94" t="n"/>
      <c r="AK1534" s="94" t="n"/>
      <c r="AL1534" s="84" t="n"/>
    </row>
    <row r="1535">
      <c r="A1535" s="64" t="n"/>
      <c r="B1535" s="65" t="n"/>
      <c r="C1535" s="66" t="n"/>
      <c r="D1535" s="67" t="n"/>
      <c r="E1535" s="68" t="n"/>
      <c r="F1535" s="47">
        <f>IF(A1535="","",IF(MIN(H1535,MAX(J1535:K1535))=0,"",MIN(H1535,MAX(J1535:K1535))))</f>
        <v/>
      </c>
      <c r="G1535" s="74" t="n"/>
      <c r="H1535" s="49">
        <f>IF(M1535="","",IFERROR(ROUND(AVERAGE(T1535+M1535*{7,8,9,10,11})/1.21,4),""))</f>
        <v/>
      </c>
      <c r="I1535" s="76" t="n"/>
      <c r="J1535" s="77" t="n"/>
      <c r="K1535" s="74" t="n"/>
      <c r="L1535" s="78" t="n"/>
      <c r="M1535" s="77" t="n"/>
      <c r="N1535" s="53">
        <f>IF(M1535="","",IFERROR(M1535/I1535,""))</f>
        <v/>
      </c>
      <c r="O1535" s="50">
        <f>IF(A1535="","",IFERROR((IF(G1535="",I1535,G1535)-T1535)/M1535,""))</f>
        <v/>
      </c>
      <c r="P1535" s="50">
        <f>IFERROR((I1535/T1535-1)/N1535,"")</f>
        <v/>
      </c>
      <c r="Q1535" s="46">
        <f>IF(OR(T1535="",I1535&lt;T1535),"",IFERROR(R1535/IF(G1535="",I1535,G1535)-1,""))</f>
        <v/>
      </c>
      <c r="R1535" s="48">
        <f>IF($M1535="","",MAX(IF($G1535="",$I1535,$G1535)*(1/1.1),IF($G1535="",$I1535,$G1535)+(R$2*$M1535)))</f>
        <v/>
      </c>
      <c r="S1535" s="49">
        <f>IF($M1535="","",MAX(IF($G1535="",$I1535,$G1535)*(1/1.1),IF($G1535="",$I1535,$G1535)+(S$2*$M1535)))</f>
        <v/>
      </c>
      <c r="T1535" s="82" t="n"/>
      <c r="U1535" s="47">
        <f>IF(OR($M1535="",$T1535=""),"",$T1535+(U$2*$M1535))</f>
        <v/>
      </c>
      <c r="V1535" s="48">
        <f>IF(OR($M1535="",$T1535=""),"",$T1535+(V$2*$M1535))</f>
        <v/>
      </c>
      <c r="W1535" s="48">
        <f>IF(OR($M1535="",$T1535=""),"",$T1535+(W$2*$M1535))</f>
        <v/>
      </c>
      <c r="X1535" s="49">
        <f>IF(OR($M1535="",$T1535=""),"",$T1535+(X$2*$M1535))</f>
        <v/>
      </c>
      <c r="Y1535" s="47">
        <f>IF(OR($M1535="",$T1535=""),"",$T1535+(Y$2*$M1535))</f>
        <v/>
      </c>
      <c r="Z1535" s="49">
        <f>IF(OR($M1535="",$T1535=""),"",$T1535+(Z$2*$M1535))</f>
        <v/>
      </c>
      <c r="AA1535" s="51">
        <f>IF(OR($M1535="",$T1535=""),"",$T1535+(AA$2*$M1535))</f>
        <v/>
      </c>
      <c r="AB1535" s="48">
        <f>IF(OR($M1535="",$T1535=""),"",$T1535+(AB$2*$M1535))</f>
        <v/>
      </c>
      <c r="AC1535" s="48">
        <f>IF(OR($M1535="",$T1535=""),"",$T1535+(AC$2*$M1535))</f>
        <v/>
      </c>
      <c r="AD1535" s="48">
        <f>IF(OR($M1535="",$T1535=""),"",$T1535+(AD$2*$M1535))</f>
        <v/>
      </c>
      <c r="AE1535" s="49">
        <f>IF(OR($M1535="",$T1535=""),"",$T1535+(AE$2*$M1535))</f>
        <v/>
      </c>
      <c r="AF1535" s="52">
        <f>IF(OR(T1535="",I1535&lt;T1535),"",IFERROR(AVERAGE(T1535+M1535*{7,8,9,10,11})/IF(G1535="",I1535,G1535)-1,""))</f>
        <v/>
      </c>
      <c r="AG1535" s="55">
        <f>IF(OR(T1535="",I1535&lt;T1535),"",IFERROR(AF1535/-(R1535/IF(G1535="",I1535,G1535)-1),""))</f>
        <v/>
      </c>
      <c r="AH1535" s="94" t="n"/>
      <c r="AI1535" s="94" t="n"/>
      <c r="AJ1535" s="94" t="n"/>
      <c r="AK1535" s="94" t="n"/>
      <c r="AL1535" s="84" t="n"/>
    </row>
    <row r="1536">
      <c r="A1536" s="64" t="n"/>
      <c r="B1536" s="65" t="n"/>
      <c r="C1536" s="66" t="n"/>
      <c r="D1536" s="67" t="n"/>
      <c r="E1536" s="68" t="n"/>
      <c r="F1536" s="47">
        <f>IF(A1536="","",IF(MIN(H1536,MAX(J1536:K1536))=0,"",MIN(H1536,MAX(J1536:K1536))))</f>
        <v/>
      </c>
      <c r="G1536" s="74" t="n"/>
      <c r="H1536" s="49">
        <f>IF(M1536="","",IFERROR(ROUND(AVERAGE(T1536+M1536*{7,8,9,10,11})/1.21,4),""))</f>
        <v/>
      </c>
      <c r="I1536" s="76" t="n"/>
      <c r="J1536" s="77" t="n"/>
      <c r="K1536" s="74" t="n"/>
      <c r="L1536" s="78" t="n"/>
      <c r="M1536" s="77" t="n"/>
      <c r="N1536" s="53">
        <f>IF(M1536="","",IFERROR(M1536/I1536,""))</f>
        <v/>
      </c>
      <c r="O1536" s="50">
        <f>IF(A1536="","",IFERROR((IF(G1536="",I1536,G1536)-T1536)/M1536,""))</f>
        <v/>
      </c>
      <c r="P1536" s="50">
        <f>IFERROR((I1536/T1536-1)/N1536,"")</f>
        <v/>
      </c>
      <c r="Q1536" s="46">
        <f>IF(OR(T1536="",I1536&lt;T1536),"",IFERROR(R1536/IF(G1536="",I1536,G1536)-1,""))</f>
        <v/>
      </c>
      <c r="R1536" s="48">
        <f>IF($M1536="","",MAX(IF($G1536="",$I1536,$G1536)*(1/1.1),IF($G1536="",$I1536,$G1536)+(R$2*$M1536)))</f>
        <v/>
      </c>
      <c r="S1536" s="49">
        <f>IF($M1536="","",MAX(IF($G1536="",$I1536,$G1536)*(1/1.1),IF($G1536="",$I1536,$G1536)+(S$2*$M1536)))</f>
        <v/>
      </c>
      <c r="T1536" s="82" t="n"/>
      <c r="U1536" s="47">
        <f>IF(OR($M1536="",$T1536=""),"",$T1536+(U$2*$M1536))</f>
        <v/>
      </c>
      <c r="V1536" s="48">
        <f>IF(OR($M1536="",$T1536=""),"",$T1536+(V$2*$M1536))</f>
        <v/>
      </c>
      <c r="W1536" s="48">
        <f>IF(OR($M1536="",$T1536=""),"",$T1536+(W$2*$M1536))</f>
        <v/>
      </c>
      <c r="X1536" s="49">
        <f>IF(OR($M1536="",$T1536=""),"",$T1536+(X$2*$M1536))</f>
        <v/>
      </c>
      <c r="Y1536" s="47">
        <f>IF(OR($M1536="",$T1536=""),"",$T1536+(Y$2*$M1536))</f>
        <v/>
      </c>
      <c r="Z1536" s="49">
        <f>IF(OR($M1536="",$T1536=""),"",$T1536+(Z$2*$M1536))</f>
        <v/>
      </c>
      <c r="AA1536" s="51">
        <f>IF(OR($M1536="",$T1536=""),"",$T1536+(AA$2*$M1536))</f>
        <v/>
      </c>
      <c r="AB1536" s="48">
        <f>IF(OR($M1536="",$T1536=""),"",$T1536+(AB$2*$M1536))</f>
        <v/>
      </c>
      <c r="AC1536" s="48">
        <f>IF(OR($M1536="",$T1536=""),"",$T1536+(AC$2*$M1536))</f>
        <v/>
      </c>
      <c r="AD1536" s="48">
        <f>IF(OR($M1536="",$T1536=""),"",$T1536+(AD$2*$M1536))</f>
        <v/>
      </c>
      <c r="AE1536" s="49">
        <f>IF(OR($M1536="",$T1536=""),"",$T1536+(AE$2*$M1536))</f>
        <v/>
      </c>
      <c r="AF1536" s="52">
        <f>IF(OR(T1536="",I1536&lt;T1536),"",IFERROR(AVERAGE(T1536+M1536*{7,8,9,10,11})/IF(G1536="",I1536,G1536)-1,""))</f>
        <v/>
      </c>
      <c r="AG1536" s="55">
        <f>IF(OR(T1536="",I1536&lt;T1536),"",IFERROR(AF1536/-(R1536/IF(G1536="",I1536,G1536)-1),""))</f>
        <v/>
      </c>
      <c r="AH1536" s="94" t="n"/>
      <c r="AI1536" s="94" t="n"/>
      <c r="AJ1536" s="94" t="n"/>
      <c r="AK1536" s="94" t="n"/>
      <c r="AL1536" s="84" t="n"/>
    </row>
    <row r="1537">
      <c r="A1537" s="64" t="n"/>
      <c r="B1537" s="65" t="n"/>
      <c r="C1537" s="66" t="n"/>
      <c r="D1537" s="67" t="n"/>
      <c r="E1537" s="68" t="n"/>
      <c r="F1537" s="47">
        <f>IF(A1537="","",IF(MIN(H1537,MAX(J1537:K1537))=0,"",MIN(H1537,MAX(J1537:K1537))))</f>
        <v/>
      </c>
      <c r="G1537" s="74" t="n"/>
      <c r="H1537" s="49">
        <f>IF(M1537="","",IFERROR(ROUND(AVERAGE(T1537+M1537*{7,8,9,10,11})/1.21,4),""))</f>
        <v/>
      </c>
      <c r="I1537" s="76" t="n"/>
      <c r="J1537" s="77" t="n"/>
      <c r="K1537" s="74" t="n"/>
      <c r="L1537" s="78" t="n"/>
      <c r="M1537" s="77" t="n"/>
      <c r="N1537" s="53">
        <f>IF(M1537="","",IFERROR(M1537/I1537,""))</f>
        <v/>
      </c>
      <c r="O1537" s="50">
        <f>IF(A1537="","",IFERROR((IF(G1537="",I1537,G1537)-T1537)/M1537,""))</f>
        <v/>
      </c>
      <c r="P1537" s="50">
        <f>IFERROR((I1537/T1537-1)/N1537,"")</f>
        <v/>
      </c>
      <c r="Q1537" s="46">
        <f>IF(OR(T1537="",I1537&lt;T1537),"",IFERROR(R1537/IF(G1537="",I1537,G1537)-1,""))</f>
        <v/>
      </c>
      <c r="R1537" s="48">
        <f>IF($M1537="","",MAX(IF($G1537="",$I1537,$G1537)*(1/1.1),IF($G1537="",$I1537,$G1537)+(R$2*$M1537)))</f>
        <v/>
      </c>
      <c r="S1537" s="49">
        <f>IF($M1537="","",MAX(IF($G1537="",$I1537,$G1537)*(1/1.1),IF($G1537="",$I1537,$G1537)+(S$2*$M1537)))</f>
        <v/>
      </c>
      <c r="T1537" s="82" t="n"/>
      <c r="U1537" s="47">
        <f>IF(OR($M1537="",$T1537=""),"",$T1537+(U$2*$M1537))</f>
        <v/>
      </c>
      <c r="V1537" s="48">
        <f>IF(OR($M1537="",$T1537=""),"",$T1537+(V$2*$M1537))</f>
        <v/>
      </c>
      <c r="W1537" s="48">
        <f>IF(OR($M1537="",$T1537=""),"",$T1537+(W$2*$M1537))</f>
        <v/>
      </c>
      <c r="X1537" s="49">
        <f>IF(OR($M1537="",$T1537=""),"",$T1537+(X$2*$M1537))</f>
        <v/>
      </c>
      <c r="Y1537" s="47">
        <f>IF(OR($M1537="",$T1537=""),"",$T1537+(Y$2*$M1537))</f>
        <v/>
      </c>
      <c r="Z1537" s="49">
        <f>IF(OR($M1537="",$T1537=""),"",$T1537+(Z$2*$M1537))</f>
        <v/>
      </c>
      <c r="AA1537" s="51">
        <f>IF(OR($M1537="",$T1537=""),"",$T1537+(AA$2*$M1537))</f>
        <v/>
      </c>
      <c r="AB1537" s="48">
        <f>IF(OR($M1537="",$T1537=""),"",$T1537+(AB$2*$M1537))</f>
        <v/>
      </c>
      <c r="AC1537" s="48">
        <f>IF(OR($M1537="",$T1537=""),"",$T1537+(AC$2*$M1537))</f>
        <v/>
      </c>
      <c r="AD1537" s="48">
        <f>IF(OR($M1537="",$T1537=""),"",$T1537+(AD$2*$M1537))</f>
        <v/>
      </c>
      <c r="AE1537" s="49">
        <f>IF(OR($M1537="",$T1537=""),"",$T1537+(AE$2*$M1537))</f>
        <v/>
      </c>
      <c r="AF1537" s="52">
        <f>IF(OR(T1537="",I1537&lt;T1537),"",IFERROR(AVERAGE(T1537+M1537*{7,8,9,10,11})/IF(G1537="",I1537,G1537)-1,""))</f>
        <v/>
      </c>
      <c r="AG1537" s="55">
        <f>IF(OR(T1537="",I1537&lt;T1537),"",IFERROR(AF1537/-(R1537/IF(G1537="",I1537,G1537)-1),""))</f>
        <v/>
      </c>
      <c r="AH1537" s="94" t="n"/>
      <c r="AI1537" s="94" t="n"/>
      <c r="AJ1537" s="94" t="n"/>
      <c r="AK1537" s="94" t="n"/>
      <c r="AL1537" s="84" t="n"/>
    </row>
    <row r="1538">
      <c r="A1538" s="64" t="n"/>
      <c r="B1538" s="65" t="n"/>
      <c r="C1538" s="66" t="n"/>
      <c r="D1538" s="67" t="n"/>
      <c r="E1538" s="68" t="n"/>
      <c r="F1538" s="47">
        <f>IF(A1538="","",IF(MIN(H1538,MAX(J1538:K1538))=0,"",MIN(H1538,MAX(J1538:K1538))))</f>
        <v/>
      </c>
      <c r="G1538" s="74" t="n"/>
      <c r="H1538" s="49">
        <f>IF(M1538="","",IFERROR(ROUND(AVERAGE(T1538+M1538*{7,8,9,10,11})/1.21,4),""))</f>
        <v/>
      </c>
      <c r="I1538" s="76" t="n"/>
      <c r="J1538" s="77" t="n"/>
      <c r="K1538" s="74" t="n"/>
      <c r="L1538" s="78" t="n"/>
      <c r="M1538" s="77" t="n"/>
      <c r="N1538" s="53">
        <f>IF(M1538="","",IFERROR(M1538/I1538,""))</f>
        <v/>
      </c>
      <c r="O1538" s="50">
        <f>IF(A1538="","",IFERROR((IF(G1538="",I1538,G1538)-T1538)/M1538,""))</f>
        <v/>
      </c>
      <c r="P1538" s="50">
        <f>IFERROR((I1538/T1538-1)/N1538,"")</f>
        <v/>
      </c>
      <c r="Q1538" s="46">
        <f>IF(OR(T1538="",I1538&lt;T1538),"",IFERROR(R1538/IF(G1538="",I1538,G1538)-1,""))</f>
        <v/>
      </c>
      <c r="R1538" s="48">
        <f>IF($M1538="","",MAX(IF($G1538="",$I1538,$G1538)*(1/1.1),IF($G1538="",$I1538,$G1538)+(R$2*$M1538)))</f>
        <v/>
      </c>
      <c r="S1538" s="49">
        <f>IF($M1538="","",MAX(IF($G1538="",$I1538,$G1538)*(1/1.1),IF($G1538="",$I1538,$G1538)+(S$2*$M1538)))</f>
        <v/>
      </c>
      <c r="T1538" s="82" t="n"/>
      <c r="U1538" s="47">
        <f>IF(OR($M1538="",$T1538=""),"",$T1538+(U$2*$M1538))</f>
        <v/>
      </c>
      <c r="V1538" s="48">
        <f>IF(OR($M1538="",$T1538=""),"",$T1538+(V$2*$M1538))</f>
        <v/>
      </c>
      <c r="W1538" s="48">
        <f>IF(OR($M1538="",$T1538=""),"",$T1538+(W$2*$M1538))</f>
        <v/>
      </c>
      <c r="X1538" s="49">
        <f>IF(OR($M1538="",$T1538=""),"",$T1538+(X$2*$M1538))</f>
        <v/>
      </c>
      <c r="Y1538" s="47">
        <f>IF(OR($M1538="",$T1538=""),"",$T1538+(Y$2*$M1538))</f>
        <v/>
      </c>
      <c r="Z1538" s="49">
        <f>IF(OR($M1538="",$T1538=""),"",$T1538+(Z$2*$M1538))</f>
        <v/>
      </c>
      <c r="AA1538" s="51">
        <f>IF(OR($M1538="",$T1538=""),"",$T1538+(AA$2*$M1538))</f>
        <v/>
      </c>
      <c r="AB1538" s="48">
        <f>IF(OR($M1538="",$T1538=""),"",$T1538+(AB$2*$M1538))</f>
        <v/>
      </c>
      <c r="AC1538" s="48">
        <f>IF(OR($M1538="",$T1538=""),"",$T1538+(AC$2*$M1538))</f>
        <v/>
      </c>
      <c r="AD1538" s="48">
        <f>IF(OR($M1538="",$T1538=""),"",$T1538+(AD$2*$M1538))</f>
        <v/>
      </c>
      <c r="AE1538" s="49">
        <f>IF(OR($M1538="",$T1538=""),"",$T1538+(AE$2*$M1538))</f>
        <v/>
      </c>
      <c r="AF1538" s="52">
        <f>IF(OR(T1538="",I1538&lt;T1538),"",IFERROR(AVERAGE(T1538+M1538*{7,8,9,10,11})/IF(G1538="",I1538,G1538)-1,""))</f>
        <v/>
      </c>
      <c r="AG1538" s="55">
        <f>IF(OR(T1538="",I1538&lt;T1538),"",IFERROR(AF1538/-(R1538/IF(G1538="",I1538,G1538)-1),""))</f>
        <v/>
      </c>
      <c r="AH1538" s="94" t="n"/>
      <c r="AI1538" s="94" t="n"/>
      <c r="AJ1538" s="94" t="n"/>
      <c r="AK1538" s="94" t="n"/>
      <c r="AL1538" s="84" t="n"/>
    </row>
    <row r="1539">
      <c r="A1539" s="64" t="n"/>
      <c r="B1539" s="65" t="n"/>
      <c r="C1539" s="66" t="n"/>
      <c r="D1539" s="67" t="n"/>
      <c r="E1539" s="68" t="n"/>
      <c r="F1539" s="47">
        <f>IF(A1539="","",IF(MIN(H1539,MAX(J1539:K1539))=0,"",MIN(H1539,MAX(J1539:K1539))))</f>
        <v/>
      </c>
      <c r="G1539" s="74" t="n"/>
      <c r="H1539" s="49">
        <f>IF(M1539="","",IFERROR(ROUND(AVERAGE(T1539+M1539*{7,8,9,10,11})/1.21,4),""))</f>
        <v/>
      </c>
      <c r="I1539" s="76" t="n"/>
      <c r="J1539" s="77" t="n"/>
      <c r="K1539" s="74" t="n"/>
      <c r="L1539" s="78" t="n"/>
      <c r="M1539" s="77" t="n"/>
      <c r="N1539" s="53">
        <f>IF(M1539="","",IFERROR(M1539/I1539,""))</f>
        <v/>
      </c>
      <c r="O1539" s="50">
        <f>IF(A1539="","",IFERROR((IF(G1539="",I1539,G1539)-T1539)/M1539,""))</f>
        <v/>
      </c>
      <c r="P1539" s="50">
        <f>IFERROR((I1539/T1539-1)/N1539,"")</f>
        <v/>
      </c>
      <c r="Q1539" s="46">
        <f>IF(OR(T1539="",I1539&lt;T1539),"",IFERROR(R1539/IF(G1539="",I1539,G1539)-1,""))</f>
        <v/>
      </c>
      <c r="R1539" s="48">
        <f>IF($M1539="","",MAX(IF($G1539="",$I1539,$G1539)*(1/1.1),IF($G1539="",$I1539,$G1539)+(R$2*$M1539)))</f>
        <v/>
      </c>
      <c r="S1539" s="49">
        <f>IF($M1539="","",MAX(IF($G1539="",$I1539,$G1539)*(1/1.1),IF($G1539="",$I1539,$G1539)+(S$2*$M1539)))</f>
        <v/>
      </c>
      <c r="T1539" s="82" t="n"/>
      <c r="U1539" s="47">
        <f>IF(OR($M1539="",$T1539=""),"",$T1539+(U$2*$M1539))</f>
        <v/>
      </c>
      <c r="V1539" s="48">
        <f>IF(OR($M1539="",$T1539=""),"",$T1539+(V$2*$M1539))</f>
        <v/>
      </c>
      <c r="W1539" s="48">
        <f>IF(OR($M1539="",$T1539=""),"",$T1539+(W$2*$M1539))</f>
        <v/>
      </c>
      <c r="X1539" s="49">
        <f>IF(OR($M1539="",$T1539=""),"",$T1539+(X$2*$M1539))</f>
        <v/>
      </c>
      <c r="Y1539" s="47">
        <f>IF(OR($M1539="",$T1539=""),"",$T1539+(Y$2*$M1539))</f>
        <v/>
      </c>
      <c r="Z1539" s="49">
        <f>IF(OR($M1539="",$T1539=""),"",$T1539+(Z$2*$M1539))</f>
        <v/>
      </c>
      <c r="AA1539" s="51">
        <f>IF(OR($M1539="",$T1539=""),"",$T1539+(AA$2*$M1539))</f>
        <v/>
      </c>
      <c r="AB1539" s="48">
        <f>IF(OR($M1539="",$T1539=""),"",$T1539+(AB$2*$M1539))</f>
        <v/>
      </c>
      <c r="AC1539" s="48">
        <f>IF(OR($M1539="",$T1539=""),"",$T1539+(AC$2*$M1539))</f>
        <v/>
      </c>
      <c r="AD1539" s="48">
        <f>IF(OR($M1539="",$T1539=""),"",$T1539+(AD$2*$M1539))</f>
        <v/>
      </c>
      <c r="AE1539" s="49">
        <f>IF(OR($M1539="",$T1539=""),"",$T1539+(AE$2*$M1539))</f>
        <v/>
      </c>
      <c r="AF1539" s="52">
        <f>IF(OR(T1539="",I1539&lt;T1539),"",IFERROR(AVERAGE(T1539+M1539*{7,8,9,10,11})/IF(G1539="",I1539,G1539)-1,""))</f>
        <v/>
      </c>
      <c r="AG1539" s="55">
        <f>IF(OR(T1539="",I1539&lt;T1539),"",IFERROR(AF1539/-(R1539/IF(G1539="",I1539,G1539)-1),""))</f>
        <v/>
      </c>
      <c r="AH1539" s="94" t="n"/>
      <c r="AI1539" s="94" t="n"/>
      <c r="AJ1539" s="94" t="n"/>
      <c r="AK1539" s="94" t="n"/>
      <c r="AL1539" s="84" t="n"/>
    </row>
    <row r="1540">
      <c r="A1540" s="64" t="n"/>
      <c r="B1540" s="65" t="n"/>
      <c r="C1540" s="66" t="n"/>
      <c r="D1540" s="67" t="n"/>
      <c r="E1540" s="68" t="n"/>
      <c r="F1540" s="47">
        <f>IF(A1540="","",IF(MIN(H1540,MAX(J1540:K1540))=0,"",MIN(H1540,MAX(J1540:K1540))))</f>
        <v/>
      </c>
      <c r="G1540" s="74" t="n"/>
      <c r="H1540" s="49">
        <f>IF(M1540="","",IFERROR(ROUND(AVERAGE(T1540+M1540*{7,8,9,10,11})/1.21,4),""))</f>
        <v/>
      </c>
      <c r="I1540" s="76" t="n"/>
      <c r="J1540" s="77" t="n"/>
      <c r="K1540" s="74" t="n"/>
      <c r="L1540" s="78" t="n"/>
      <c r="M1540" s="77" t="n"/>
      <c r="N1540" s="53">
        <f>IF(M1540="","",IFERROR(M1540/I1540,""))</f>
        <v/>
      </c>
      <c r="O1540" s="50">
        <f>IF(A1540="","",IFERROR((IF(G1540="",I1540,G1540)-T1540)/M1540,""))</f>
        <v/>
      </c>
      <c r="P1540" s="50">
        <f>IFERROR((I1540/T1540-1)/N1540,"")</f>
        <v/>
      </c>
      <c r="Q1540" s="46">
        <f>IF(OR(T1540="",I1540&lt;T1540),"",IFERROR(R1540/IF(G1540="",I1540,G1540)-1,""))</f>
        <v/>
      </c>
      <c r="R1540" s="48">
        <f>IF($M1540="","",MAX(IF($G1540="",$I1540,$G1540)*(1/1.1),IF($G1540="",$I1540,$G1540)+(R$2*$M1540)))</f>
        <v/>
      </c>
      <c r="S1540" s="49">
        <f>IF($M1540="","",MAX(IF($G1540="",$I1540,$G1540)*(1/1.1),IF($G1540="",$I1540,$G1540)+(S$2*$M1540)))</f>
        <v/>
      </c>
      <c r="T1540" s="82" t="n"/>
      <c r="U1540" s="47">
        <f>IF(OR($M1540="",$T1540=""),"",$T1540+(U$2*$M1540))</f>
        <v/>
      </c>
      <c r="V1540" s="48">
        <f>IF(OR($M1540="",$T1540=""),"",$T1540+(V$2*$M1540))</f>
        <v/>
      </c>
      <c r="W1540" s="48">
        <f>IF(OR($M1540="",$T1540=""),"",$T1540+(W$2*$M1540))</f>
        <v/>
      </c>
      <c r="X1540" s="49">
        <f>IF(OR($M1540="",$T1540=""),"",$T1540+(X$2*$M1540))</f>
        <v/>
      </c>
      <c r="Y1540" s="47">
        <f>IF(OR($M1540="",$T1540=""),"",$T1540+(Y$2*$M1540))</f>
        <v/>
      </c>
      <c r="Z1540" s="49">
        <f>IF(OR($M1540="",$T1540=""),"",$T1540+(Z$2*$M1540))</f>
        <v/>
      </c>
      <c r="AA1540" s="51">
        <f>IF(OR($M1540="",$T1540=""),"",$T1540+(AA$2*$M1540))</f>
        <v/>
      </c>
      <c r="AB1540" s="48">
        <f>IF(OR($M1540="",$T1540=""),"",$T1540+(AB$2*$M1540))</f>
        <v/>
      </c>
      <c r="AC1540" s="48">
        <f>IF(OR($M1540="",$T1540=""),"",$T1540+(AC$2*$M1540))</f>
        <v/>
      </c>
      <c r="AD1540" s="48">
        <f>IF(OR($M1540="",$T1540=""),"",$T1540+(AD$2*$M1540))</f>
        <v/>
      </c>
      <c r="AE1540" s="49">
        <f>IF(OR($M1540="",$T1540=""),"",$T1540+(AE$2*$M1540))</f>
        <v/>
      </c>
      <c r="AF1540" s="52">
        <f>IF(OR(T1540="",I1540&lt;T1540),"",IFERROR(AVERAGE(T1540+M1540*{7,8,9,10,11})/IF(G1540="",I1540,G1540)-1,""))</f>
        <v/>
      </c>
      <c r="AG1540" s="55">
        <f>IF(OR(T1540="",I1540&lt;T1540),"",IFERROR(AF1540/-(R1540/IF(G1540="",I1540,G1540)-1),""))</f>
        <v/>
      </c>
      <c r="AH1540" s="94" t="n"/>
      <c r="AI1540" s="94" t="n"/>
      <c r="AJ1540" s="94" t="n"/>
      <c r="AK1540" s="94" t="n"/>
      <c r="AL1540" s="84" t="n"/>
    </row>
    <row r="1541">
      <c r="A1541" s="64" t="n"/>
      <c r="B1541" s="65" t="n"/>
      <c r="C1541" s="66" t="n"/>
      <c r="D1541" s="67" t="n"/>
      <c r="E1541" s="68" t="n"/>
      <c r="F1541" s="47">
        <f>IF(A1541="","",IF(MIN(H1541,MAX(J1541:K1541))=0,"",MIN(H1541,MAX(J1541:K1541))))</f>
        <v/>
      </c>
      <c r="G1541" s="74" t="n"/>
      <c r="H1541" s="49">
        <f>IF(M1541="","",IFERROR(ROUND(AVERAGE(T1541+M1541*{7,8,9,10,11})/1.21,4),""))</f>
        <v/>
      </c>
      <c r="I1541" s="76" t="n"/>
      <c r="J1541" s="77" t="n"/>
      <c r="K1541" s="74" t="n"/>
      <c r="L1541" s="78" t="n"/>
      <c r="M1541" s="77" t="n"/>
      <c r="N1541" s="53">
        <f>IF(M1541="","",IFERROR(M1541/I1541,""))</f>
        <v/>
      </c>
      <c r="O1541" s="50">
        <f>IF(A1541="","",IFERROR((IF(G1541="",I1541,G1541)-T1541)/M1541,""))</f>
        <v/>
      </c>
      <c r="P1541" s="50">
        <f>IFERROR((I1541/T1541-1)/N1541,"")</f>
        <v/>
      </c>
      <c r="Q1541" s="46">
        <f>IF(OR(T1541="",I1541&lt;T1541),"",IFERROR(R1541/IF(G1541="",I1541,G1541)-1,""))</f>
        <v/>
      </c>
      <c r="R1541" s="48">
        <f>IF($M1541="","",MAX(IF($G1541="",$I1541,$G1541)*(1/1.1),IF($G1541="",$I1541,$G1541)+(R$2*$M1541)))</f>
        <v/>
      </c>
      <c r="S1541" s="49">
        <f>IF($M1541="","",MAX(IF($G1541="",$I1541,$G1541)*(1/1.1),IF($G1541="",$I1541,$G1541)+(S$2*$M1541)))</f>
        <v/>
      </c>
      <c r="T1541" s="82" t="n"/>
      <c r="U1541" s="47">
        <f>IF(OR($M1541="",$T1541=""),"",$T1541+(U$2*$M1541))</f>
        <v/>
      </c>
      <c r="V1541" s="48">
        <f>IF(OR($M1541="",$T1541=""),"",$T1541+(V$2*$M1541))</f>
        <v/>
      </c>
      <c r="W1541" s="48">
        <f>IF(OR($M1541="",$T1541=""),"",$T1541+(W$2*$M1541))</f>
        <v/>
      </c>
      <c r="X1541" s="49">
        <f>IF(OR($M1541="",$T1541=""),"",$T1541+(X$2*$M1541))</f>
        <v/>
      </c>
      <c r="Y1541" s="47">
        <f>IF(OR($M1541="",$T1541=""),"",$T1541+(Y$2*$M1541))</f>
        <v/>
      </c>
      <c r="Z1541" s="49">
        <f>IF(OR($M1541="",$T1541=""),"",$T1541+(Z$2*$M1541))</f>
        <v/>
      </c>
      <c r="AA1541" s="51">
        <f>IF(OR($M1541="",$T1541=""),"",$T1541+(AA$2*$M1541))</f>
        <v/>
      </c>
      <c r="AB1541" s="48">
        <f>IF(OR($M1541="",$T1541=""),"",$T1541+(AB$2*$M1541))</f>
        <v/>
      </c>
      <c r="AC1541" s="48">
        <f>IF(OR($M1541="",$T1541=""),"",$T1541+(AC$2*$M1541))</f>
        <v/>
      </c>
      <c r="AD1541" s="48">
        <f>IF(OR($M1541="",$T1541=""),"",$T1541+(AD$2*$M1541))</f>
        <v/>
      </c>
      <c r="AE1541" s="49">
        <f>IF(OR($M1541="",$T1541=""),"",$T1541+(AE$2*$M1541))</f>
        <v/>
      </c>
      <c r="AF1541" s="52">
        <f>IF(OR(T1541="",I1541&lt;T1541),"",IFERROR(AVERAGE(T1541+M1541*{7,8,9,10,11})/IF(G1541="",I1541,G1541)-1,""))</f>
        <v/>
      </c>
      <c r="AG1541" s="55">
        <f>IF(OR(T1541="",I1541&lt;T1541),"",IFERROR(AF1541/-(R1541/IF(G1541="",I1541,G1541)-1),""))</f>
        <v/>
      </c>
      <c r="AH1541" s="94" t="n"/>
      <c r="AI1541" s="94" t="n"/>
      <c r="AJ1541" s="94" t="n"/>
      <c r="AK1541" s="94" t="n"/>
      <c r="AL1541" s="84" t="n"/>
    </row>
    <row r="1542">
      <c r="A1542" s="64" t="n"/>
      <c r="B1542" s="65" t="n"/>
      <c r="C1542" s="66" t="n"/>
      <c r="D1542" s="67" t="n"/>
      <c r="E1542" s="68" t="n"/>
      <c r="F1542" s="47">
        <f>IF(A1542="","",IF(MIN(H1542,MAX(J1542:K1542))=0,"",MIN(H1542,MAX(J1542:K1542))))</f>
        <v/>
      </c>
      <c r="G1542" s="74" t="n"/>
      <c r="H1542" s="49">
        <f>IF(M1542="","",IFERROR(ROUND(AVERAGE(T1542+M1542*{7,8,9,10,11})/1.21,4),""))</f>
        <v/>
      </c>
      <c r="I1542" s="76" t="n"/>
      <c r="J1542" s="77" t="n"/>
      <c r="K1542" s="74" t="n"/>
      <c r="L1542" s="78" t="n"/>
      <c r="M1542" s="77" t="n"/>
      <c r="N1542" s="53">
        <f>IF(M1542="","",IFERROR(M1542/I1542,""))</f>
        <v/>
      </c>
      <c r="O1542" s="50">
        <f>IF(A1542="","",IFERROR((IF(G1542="",I1542,G1542)-T1542)/M1542,""))</f>
        <v/>
      </c>
      <c r="P1542" s="50">
        <f>IFERROR((I1542/T1542-1)/N1542,"")</f>
        <v/>
      </c>
      <c r="Q1542" s="46">
        <f>IF(OR(T1542="",I1542&lt;T1542),"",IFERROR(R1542/IF(G1542="",I1542,G1542)-1,""))</f>
        <v/>
      </c>
      <c r="R1542" s="48">
        <f>IF($M1542="","",MAX(IF($G1542="",$I1542,$G1542)*(1/1.1),IF($G1542="",$I1542,$G1542)+(R$2*$M1542)))</f>
        <v/>
      </c>
      <c r="S1542" s="49">
        <f>IF($M1542="","",MAX(IF($G1542="",$I1542,$G1542)*(1/1.1),IF($G1542="",$I1542,$G1542)+(S$2*$M1542)))</f>
        <v/>
      </c>
      <c r="T1542" s="82" t="n"/>
      <c r="U1542" s="47">
        <f>IF(OR($M1542="",$T1542=""),"",$T1542+(U$2*$M1542))</f>
        <v/>
      </c>
      <c r="V1542" s="48">
        <f>IF(OR($M1542="",$T1542=""),"",$T1542+(V$2*$M1542))</f>
        <v/>
      </c>
      <c r="W1542" s="48">
        <f>IF(OR($M1542="",$T1542=""),"",$T1542+(W$2*$M1542))</f>
        <v/>
      </c>
      <c r="X1542" s="49">
        <f>IF(OR($M1542="",$T1542=""),"",$T1542+(X$2*$M1542))</f>
        <v/>
      </c>
      <c r="Y1542" s="47">
        <f>IF(OR($M1542="",$T1542=""),"",$T1542+(Y$2*$M1542))</f>
        <v/>
      </c>
      <c r="Z1542" s="49">
        <f>IF(OR($M1542="",$T1542=""),"",$T1542+(Z$2*$M1542))</f>
        <v/>
      </c>
      <c r="AA1542" s="51">
        <f>IF(OR($M1542="",$T1542=""),"",$T1542+(AA$2*$M1542))</f>
        <v/>
      </c>
      <c r="AB1542" s="48">
        <f>IF(OR($M1542="",$T1542=""),"",$T1542+(AB$2*$M1542))</f>
        <v/>
      </c>
      <c r="AC1542" s="48">
        <f>IF(OR($M1542="",$T1542=""),"",$T1542+(AC$2*$M1542))</f>
        <v/>
      </c>
      <c r="AD1542" s="48">
        <f>IF(OR($M1542="",$T1542=""),"",$T1542+(AD$2*$M1542))</f>
        <v/>
      </c>
      <c r="AE1542" s="49">
        <f>IF(OR($M1542="",$T1542=""),"",$T1542+(AE$2*$M1542))</f>
        <v/>
      </c>
      <c r="AF1542" s="52">
        <f>IF(OR(T1542="",I1542&lt;T1542),"",IFERROR(AVERAGE(T1542+M1542*{7,8,9,10,11})/IF(G1542="",I1542,G1542)-1,""))</f>
        <v/>
      </c>
      <c r="AG1542" s="55">
        <f>IF(OR(T1542="",I1542&lt;T1542),"",IFERROR(AF1542/-(R1542/IF(G1542="",I1542,G1542)-1),""))</f>
        <v/>
      </c>
      <c r="AH1542" s="94" t="n"/>
      <c r="AI1542" s="94" t="n"/>
      <c r="AJ1542" s="94" t="n"/>
      <c r="AK1542" s="94" t="n"/>
      <c r="AL1542" s="84" t="n"/>
    </row>
    <row r="1543">
      <c r="A1543" s="64" t="n"/>
      <c r="B1543" s="65" t="n"/>
      <c r="C1543" s="66" t="n"/>
      <c r="D1543" s="67" t="n"/>
      <c r="E1543" s="68" t="n"/>
      <c r="F1543" s="47">
        <f>IF(A1543="","",IF(MIN(H1543,MAX(J1543:K1543))=0,"",MIN(H1543,MAX(J1543:K1543))))</f>
        <v/>
      </c>
      <c r="G1543" s="74" t="n"/>
      <c r="H1543" s="49">
        <f>IF(M1543="","",IFERROR(ROUND(AVERAGE(T1543+M1543*{7,8,9,10,11})/1.21,4),""))</f>
        <v/>
      </c>
      <c r="I1543" s="76" t="n"/>
      <c r="J1543" s="77" t="n"/>
      <c r="K1543" s="74" t="n"/>
      <c r="L1543" s="78" t="n"/>
      <c r="M1543" s="77" t="n"/>
      <c r="N1543" s="53">
        <f>IF(M1543="","",IFERROR(M1543/I1543,""))</f>
        <v/>
      </c>
      <c r="O1543" s="50">
        <f>IF(A1543="","",IFERROR((IF(G1543="",I1543,G1543)-T1543)/M1543,""))</f>
        <v/>
      </c>
      <c r="P1543" s="50">
        <f>IFERROR((I1543/T1543-1)/N1543,"")</f>
        <v/>
      </c>
      <c r="Q1543" s="46">
        <f>IF(OR(T1543="",I1543&lt;T1543),"",IFERROR(R1543/IF(G1543="",I1543,G1543)-1,""))</f>
        <v/>
      </c>
      <c r="R1543" s="48">
        <f>IF($M1543="","",MAX(IF($G1543="",$I1543,$G1543)*(1/1.1),IF($G1543="",$I1543,$G1543)+(R$2*$M1543)))</f>
        <v/>
      </c>
      <c r="S1543" s="49">
        <f>IF($M1543="","",MAX(IF($G1543="",$I1543,$G1543)*(1/1.1),IF($G1543="",$I1543,$G1543)+(S$2*$M1543)))</f>
        <v/>
      </c>
      <c r="T1543" s="82" t="n"/>
      <c r="U1543" s="47">
        <f>IF(OR($M1543="",$T1543=""),"",$T1543+(U$2*$M1543))</f>
        <v/>
      </c>
      <c r="V1543" s="48">
        <f>IF(OR($M1543="",$T1543=""),"",$T1543+(V$2*$M1543))</f>
        <v/>
      </c>
      <c r="W1543" s="48">
        <f>IF(OR($M1543="",$T1543=""),"",$T1543+(W$2*$M1543))</f>
        <v/>
      </c>
      <c r="X1543" s="49">
        <f>IF(OR($M1543="",$T1543=""),"",$T1543+(X$2*$M1543))</f>
        <v/>
      </c>
      <c r="Y1543" s="47">
        <f>IF(OR($M1543="",$T1543=""),"",$T1543+(Y$2*$M1543))</f>
        <v/>
      </c>
      <c r="Z1543" s="49">
        <f>IF(OR($M1543="",$T1543=""),"",$T1543+(Z$2*$M1543))</f>
        <v/>
      </c>
      <c r="AA1543" s="51">
        <f>IF(OR($M1543="",$T1543=""),"",$T1543+(AA$2*$M1543))</f>
        <v/>
      </c>
      <c r="AB1543" s="48">
        <f>IF(OR($M1543="",$T1543=""),"",$T1543+(AB$2*$M1543))</f>
        <v/>
      </c>
      <c r="AC1543" s="48">
        <f>IF(OR($M1543="",$T1543=""),"",$T1543+(AC$2*$M1543))</f>
        <v/>
      </c>
      <c r="AD1543" s="48">
        <f>IF(OR($M1543="",$T1543=""),"",$T1543+(AD$2*$M1543))</f>
        <v/>
      </c>
      <c r="AE1543" s="49">
        <f>IF(OR($M1543="",$T1543=""),"",$T1543+(AE$2*$M1543))</f>
        <v/>
      </c>
      <c r="AF1543" s="52">
        <f>IF(OR(T1543="",I1543&lt;T1543),"",IFERROR(AVERAGE(T1543+M1543*{7,8,9,10,11})/IF(G1543="",I1543,G1543)-1,""))</f>
        <v/>
      </c>
      <c r="AG1543" s="55">
        <f>IF(OR(T1543="",I1543&lt;T1543),"",IFERROR(AF1543/-(R1543/IF(G1543="",I1543,G1543)-1),""))</f>
        <v/>
      </c>
      <c r="AH1543" s="94" t="n"/>
      <c r="AI1543" s="94" t="n"/>
      <c r="AJ1543" s="94" t="n"/>
      <c r="AK1543" s="94" t="n"/>
      <c r="AL1543" s="84" t="n"/>
    </row>
    <row r="1544">
      <c r="A1544" s="64" t="n"/>
      <c r="B1544" s="65" t="n"/>
      <c r="C1544" s="66" t="n"/>
      <c r="D1544" s="67" t="n"/>
      <c r="E1544" s="68" t="n"/>
      <c r="F1544" s="47">
        <f>IF(A1544="","",IF(MIN(H1544,MAX(J1544:K1544))=0,"",MIN(H1544,MAX(J1544:K1544))))</f>
        <v/>
      </c>
      <c r="G1544" s="74" t="n"/>
      <c r="H1544" s="49">
        <f>IF(M1544="","",IFERROR(ROUND(AVERAGE(T1544+M1544*{7,8,9,10,11})/1.21,4),""))</f>
        <v/>
      </c>
      <c r="I1544" s="76" t="n"/>
      <c r="J1544" s="77" t="n"/>
      <c r="K1544" s="74" t="n"/>
      <c r="L1544" s="78" t="n"/>
      <c r="M1544" s="77" t="n"/>
      <c r="N1544" s="53">
        <f>IF(M1544="","",IFERROR(M1544/I1544,""))</f>
        <v/>
      </c>
      <c r="O1544" s="50">
        <f>IF(A1544="","",IFERROR((IF(G1544="",I1544,G1544)-T1544)/M1544,""))</f>
        <v/>
      </c>
      <c r="P1544" s="50">
        <f>IFERROR((I1544/T1544-1)/N1544,"")</f>
        <v/>
      </c>
      <c r="Q1544" s="46">
        <f>IF(OR(T1544="",I1544&lt;T1544),"",IFERROR(R1544/IF(G1544="",I1544,G1544)-1,""))</f>
        <v/>
      </c>
      <c r="R1544" s="48">
        <f>IF($M1544="","",MAX(IF($G1544="",$I1544,$G1544)*(1/1.1),IF($G1544="",$I1544,$G1544)+(R$2*$M1544)))</f>
        <v/>
      </c>
      <c r="S1544" s="49">
        <f>IF($M1544="","",MAX(IF($G1544="",$I1544,$G1544)*(1/1.1),IF($G1544="",$I1544,$G1544)+(S$2*$M1544)))</f>
        <v/>
      </c>
      <c r="T1544" s="82" t="n"/>
      <c r="U1544" s="47">
        <f>IF(OR($M1544="",$T1544=""),"",$T1544+(U$2*$M1544))</f>
        <v/>
      </c>
      <c r="V1544" s="48">
        <f>IF(OR($M1544="",$T1544=""),"",$T1544+(V$2*$M1544))</f>
        <v/>
      </c>
      <c r="W1544" s="48">
        <f>IF(OR($M1544="",$T1544=""),"",$T1544+(W$2*$M1544))</f>
        <v/>
      </c>
      <c r="X1544" s="49">
        <f>IF(OR($M1544="",$T1544=""),"",$T1544+(X$2*$M1544))</f>
        <v/>
      </c>
      <c r="Y1544" s="47">
        <f>IF(OR($M1544="",$T1544=""),"",$T1544+(Y$2*$M1544))</f>
        <v/>
      </c>
      <c r="Z1544" s="49">
        <f>IF(OR($M1544="",$T1544=""),"",$T1544+(Z$2*$M1544))</f>
        <v/>
      </c>
      <c r="AA1544" s="51">
        <f>IF(OR($M1544="",$T1544=""),"",$T1544+(AA$2*$M1544))</f>
        <v/>
      </c>
      <c r="AB1544" s="48">
        <f>IF(OR($M1544="",$T1544=""),"",$T1544+(AB$2*$M1544))</f>
        <v/>
      </c>
      <c r="AC1544" s="48">
        <f>IF(OR($M1544="",$T1544=""),"",$T1544+(AC$2*$M1544))</f>
        <v/>
      </c>
      <c r="AD1544" s="48">
        <f>IF(OR($M1544="",$T1544=""),"",$T1544+(AD$2*$M1544))</f>
        <v/>
      </c>
      <c r="AE1544" s="49">
        <f>IF(OR($M1544="",$T1544=""),"",$T1544+(AE$2*$M1544))</f>
        <v/>
      </c>
      <c r="AF1544" s="52">
        <f>IF(OR(T1544="",I1544&lt;T1544),"",IFERROR(AVERAGE(T1544+M1544*{7,8,9,10,11})/IF(G1544="",I1544,G1544)-1,""))</f>
        <v/>
      </c>
      <c r="AG1544" s="55">
        <f>IF(OR(T1544="",I1544&lt;T1544),"",IFERROR(AF1544/-(R1544/IF(G1544="",I1544,G1544)-1),""))</f>
        <v/>
      </c>
      <c r="AH1544" s="94" t="n"/>
      <c r="AI1544" s="94" t="n"/>
      <c r="AJ1544" s="94" t="n"/>
      <c r="AK1544" s="94" t="n"/>
      <c r="AL1544" s="84" t="n"/>
    </row>
    <row r="1545">
      <c r="A1545" s="64" t="n"/>
      <c r="B1545" s="65" t="n"/>
      <c r="C1545" s="66" t="n"/>
      <c r="D1545" s="67" t="n"/>
      <c r="E1545" s="68" t="n"/>
      <c r="F1545" s="47">
        <f>IF(A1545="","",IF(MIN(H1545,MAX(J1545:K1545))=0,"",MIN(H1545,MAX(J1545:K1545))))</f>
        <v/>
      </c>
      <c r="G1545" s="74" t="n"/>
      <c r="H1545" s="49">
        <f>IF(M1545="","",IFERROR(ROUND(AVERAGE(T1545+M1545*{7,8,9,10,11})/1.21,4),""))</f>
        <v/>
      </c>
      <c r="I1545" s="76" t="n"/>
      <c r="J1545" s="77" t="n"/>
      <c r="K1545" s="74" t="n"/>
      <c r="L1545" s="78" t="n"/>
      <c r="M1545" s="77" t="n"/>
      <c r="N1545" s="53">
        <f>IF(M1545="","",IFERROR(M1545/I1545,""))</f>
        <v/>
      </c>
      <c r="O1545" s="50">
        <f>IF(A1545="","",IFERROR((IF(G1545="",I1545,G1545)-T1545)/M1545,""))</f>
        <v/>
      </c>
      <c r="P1545" s="50">
        <f>IFERROR((I1545/T1545-1)/N1545,"")</f>
        <v/>
      </c>
      <c r="Q1545" s="46">
        <f>IF(OR(T1545="",I1545&lt;T1545),"",IFERROR(R1545/IF(G1545="",I1545,G1545)-1,""))</f>
        <v/>
      </c>
      <c r="R1545" s="48">
        <f>IF($M1545="","",MAX(IF($G1545="",$I1545,$G1545)*(1/1.1),IF($G1545="",$I1545,$G1545)+(R$2*$M1545)))</f>
        <v/>
      </c>
      <c r="S1545" s="49">
        <f>IF($M1545="","",MAX(IF($G1545="",$I1545,$G1545)*(1/1.1),IF($G1545="",$I1545,$G1545)+(S$2*$M1545)))</f>
        <v/>
      </c>
      <c r="T1545" s="82" t="n"/>
      <c r="U1545" s="47">
        <f>IF(OR($M1545="",$T1545=""),"",$T1545+(U$2*$M1545))</f>
        <v/>
      </c>
      <c r="V1545" s="48">
        <f>IF(OR($M1545="",$T1545=""),"",$T1545+(V$2*$M1545))</f>
        <v/>
      </c>
      <c r="W1545" s="48">
        <f>IF(OR($M1545="",$T1545=""),"",$T1545+(W$2*$M1545))</f>
        <v/>
      </c>
      <c r="X1545" s="49">
        <f>IF(OR($M1545="",$T1545=""),"",$T1545+(X$2*$M1545))</f>
        <v/>
      </c>
      <c r="Y1545" s="47">
        <f>IF(OR($M1545="",$T1545=""),"",$T1545+(Y$2*$M1545))</f>
        <v/>
      </c>
      <c r="Z1545" s="49">
        <f>IF(OR($M1545="",$T1545=""),"",$T1545+(Z$2*$M1545))</f>
        <v/>
      </c>
      <c r="AA1545" s="51">
        <f>IF(OR($M1545="",$T1545=""),"",$T1545+(AA$2*$M1545))</f>
        <v/>
      </c>
      <c r="AB1545" s="48">
        <f>IF(OR($M1545="",$T1545=""),"",$T1545+(AB$2*$M1545))</f>
        <v/>
      </c>
      <c r="AC1545" s="48">
        <f>IF(OR($M1545="",$T1545=""),"",$T1545+(AC$2*$M1545))</f>
        <v/>
      </c>
      <c r="AD1545" s="48">
        <f>IF(OR($M1545="",$T1545=""),"",$T1545+(AD$2*$M1545))</f>
        <v/>
      </c>
      <c r="AE1545" s="49">
        <f>IF(OR($M1545="",$T1545=""),"",$T1545+(AE$2*$M1545))</f>
        <v/>
      </c>
      <c r="AF1545" s="52">
        <f>IF(OR(T1545="",I1545&lt;T1545),"",IFERROR(AVERAGE(T1545+M1545*{7,8,9,10,11})/IF(G1545="",I1545,G1545)-1,""))</f>
        <v/>
      </c>
      <c r="AG1545" s="55">
        <f>IF(OR(T1545="",I1545&lt;T1545),"",IFERROR(AF1545/-(R1545/IF(G1545="",I1545,G1545)-1),""))</f>
        <v/>
      </c>
      <c r="AH1545" s="94" t="n"/>
      <c r="AI1545" s="94" t="n"/>
      <c r="AJ1545" s="94" t="n"/>
      <c r="AK1545" s="94" t="n"/>
      <c r="AL1545" s="84" t="n"/>
    </row>
    <row r="1546">
      <c r="A1546" s="64" t="n"/>
      <c r="B1546" s="65" t="n"/>
      <c r="C1546" s="66" t="n"/>
      <c r="D1546" s="67" t="n"/>
      <c r="E1546" s="68" t="n"/>
      <c r="F1546" s="47">
        <f>IF(A1546="","",IF(MIN(H1546,MAX(J1546:K1546))=0,"",MIN(H1546,MAX(J1546:K1546))))</f>
        <v/>
      </c>
      <c r="G1546" s="74" t="n"/>
      <c r="H1546" s="49">
        <f>IF(M1546="","",IFERROR(ROUND(AVERAGE(T1546+M1546*{7,8,9,10,11})/1.21,4),""))</f>
        <v/>
      </c>
      <c r="I1546" s="76" t="n"/>
      <c r="J1546" s="77" t="n"/>
      <c r="K1546" s="74" t="n"/>
      <c r="L1546" s="78" t="n"/>
      <c r="M1546" s="77" t="n"/>
      <c r="N1546" s="53">
        <f>IF(M1546="","",IFERROR(M1546/I1546,""))</f>
        <v/>
      </c>
      <c r="O1546" s="50">
        <f>IF(A1546="","",IFERROR((IF(G1546="",I1546,G1546)-T1546)/M1546,""))</f>
        <v/>
      </c>
      <c r="P1546" s="50">
        <f>IFERROR((I1546/T1546-1)/N1546,"")</f>
        <v/>
      </c>
      <c r="Q1546" s="46">
        <f>IF(OR(T1546="",I1546&lt;T1546),"",IFERROR(R1546/IF(G1546="",I1546,G1546)-1,""))</f>
        <v/>
      </c>
      <c r="R1546" s="48">
        <f>IF($M1546="","",MAX(IF($G1546="",$I1546,$G1546)*(1/1.1),IF($G1546="",$I1546,$G1546)+(R$2*$M1546)))</f>
        <v/>
      </c>
      <c r="S1546" s="49">
        <f>IF($M1546="","",MAX(IF($G1546="",$I1546,$G1546)*(1/1.1),IF($G1546="",$I1546,$G1546)+(S$2*$M1546)))</f>
        <v/>
      </c>
      <c r="T1546" s="82" t="n"/>
      <c r="U1546" s="47">
        <f>IF(OR($M1546="",$T1546=""),"",$T1546+(U$2*$M1546))</f>
        <v/>
      </c>
      <c r="V1546" s="48">
        <f>IF(OR($M1546="",$T1546=""),"",$T1546+(V$2*$M1546))</f>
        <v/>
      </c>
      <c r="W1546" s="48">
        <f>IF(OR($M1546="",$T1546=""),"",$T1546+(W$2*$M1546))</f>
        <v/>
      </c>
      <c r="X1546" s="49">
        <f>IF(OR($M1546="",$T1546=""),"",$T1546+(X$2*$M1546))</f>
        <v/>
      </c>
      <c r="Y1546" s="47">
        <f>IF(OR($M1546="",$T1546=""),"",$T1546+(Y$2*$M1546))</f>
        <v/>
      </c>
      <c r="Z1546" s="49">
        <f>IF(OR($M1546="",$T1546=""),"",$T1546+(Z$2*$M1546))</f>
        <v/>
      </c>
      <c r="AA1546" s="51">
        <f>IF(OR($M1546="",$T1546=""),"",$T1546+(AA$2*$M1546))</f>
        <v/>
      </c>
      <c r="AB1546" s="48">
        <f>IF(OR($M1546="",$T1546=""),"",$T1546+(AB$2*$M1546))</f>
        <v/>
      </c>
      <c r="AC1546" s="48">
        <f>IF(OR($M1546="",$T1546=""),"",$T1546+(AC$2*$M1546))</f>
        <v/>
      </c>
      <c r="AD1546" s="48">
        <f>IF(OR($M1546="",$T1546=""),"",$T1546+(AD$2*$M1546))</f>
        <v/>
      </c>
      <c r="AE1546" s="49">
        <f>IF(OR($M1546="",$T1546=""),"",$T1546+(AE$2*$M1546))</f>
        <v/>
      </c>
      <c r="AF1546" s="52">
        <f>IF(OR(T1546="",I1546&lt;T1546),"",IFERROR(AVERAGE(T1546+M1546*{7,8,9,10,11})/IF(G1546="",I1546,G1546)-1,""))</f>
        <v/>
      </c>
      <c r="AG1546" s="55">
        <f>IF(OR(T1546="",I1546&lt;T1546),"",IFERROR(AF1546/-(R1546/IF(G1546="",I1546,G1546)-1),""))</f>
        <v/>
      </c>
      <c r="AH1546" s="94" t="n"/>
      <c r="AI1546" s="94" t="n"/>
      <c r="AJ1546" s="94" t="n"/>
      <c r="AK1546" s="94" t="n"/>
      <c r="AL1546" s="84" t="n"/>
    </row>
    <row r="1547">
      <c r="A1547" s="64" t="n"/>
      <c r="B1547" s="65" t="n"/>
      <c r="C1547" s="66" t="n"/>
      <c r="D1547" s="67" t="n"/>
      <c r="E1547" s="68" t="n"/>
      <c r="F1547" s="47">
        <f>IF(A1547="","",IF(MIN(H1547,MAX(J1547:K1547))=0,"",MIN(H1547,MAX(J1547:K1547))))</f>
        <v/>
      </c>
      <c r="G1547" s="74" t="n"/>
      <c r="H1547" s="49">
        <f>IF(M1547="","",IFERROR(ROUND(AVERAGE(T1547+M1547*{7,8,9,10,11})/1.21,4),""))</f>
        <v/>
      </c>
      <c r="I1547" s="76" t="n"/>
      <c r="J1547" s="77" t="n"/>
      <c r="K1547" s="74" t="n"/>
      <c r="L1547" s="78" t="n"/>
      <c r="M1547" s="77" t="n"/>
      <c r="N1547" s="53">
        <f>IF(M1547="","",IFERROR(M1547/I1547,""))</f>
        <v/>
      </c>
      <c r="O1547" s="50">
        <f>IF(A1547="","",IFERROR((IF(G1547="",I1547,G1547)-T1547)/M1547,""))</f>
        <v/>
      </c>
      <c r="P1547" s="50">
        <f>IFERROR((I1547/T1547-1)/N1547,"")</f>
        <v/>
      </c>
      <c r="Q1547" s="46">
        <f>IF(OR(T1547="",I1547&lt;T1547),"",IFERROR(R1547/IF(G1547="",I1547,G1547)-1,""))</f>
        <v/>
      </c>
      <c r="R1547" s="48">
        <f>IF($M1547="","",MAX(IF($G1547="",$I1547,$G1547)*(1/1.1),IF($G1547="",$I1547,$G1547)+(R$2*$M1547)))</f>
        <v/>
      </c>
      <c r="S1547" s="49">
        <f>IF($M1547="","",MAX(IF($G1547="",$I1547,$G1547)*(1/1.1),IF($G1547="",$I1547,$G1547)+(S$2*$M1547)))</f>
        <v/>
      </c>
      <c r="T1547" s="82" t="n"/>
      <c r="U1547" s="47">
        <f>IF(OR($M1547="",$T1547=""),"",$T1547+(U$2*$M1547))</f>
        <v/>
      </c>
      <c r="V1547" s="48">
        <f>IF(OR($M1547="",$T1547=""),"",$T1547+(V$2*$M1547))</f>
        <v/>
      </c>
      <c r="W1547" s="48">
        <f>IF(OR($M1547="",$T1547=""),"",$T1547+(W$2*$M1547))</f>
        <v/>
      </c>
      <c r="X1547" s="49">
        <f>IF(OR($M1547="",$T1547=""),"",$T1547+(X$2*$M1547))</f>
        <v/>
      </c>
      <c r="Y1547" s="47">
        <f>IF(OR($M1547="",$T1547=""),"",$T1547+(Y$2*$M1547))</f>
        <v/>
      </c>
      <c r="Z1547" s="49">
        <f>IF(OR($M1547="",$T1547=""),"",$T1547+(Z$2*$M1547))</f>
        <v/>
      </c>
      <c r="AA1547" s="51">
        <f>IF(OR($M1547="",$T1547=""),"",$T1547+(AA$2*$M1547))</f>
        <v/>
      </c>
      <c r="AB1547" s="48">
        <f>IF(OR($M1547="",$T1547=""),"",$T1547+(AB$2*$M1547))</f>
        <v/>
      </c>
      <c r="AC1547" s="48">
        <f>IF(OR($M1547="",$T1547=""),"",$T1547+(AC$2*$M1547))</f>
        <v/>
      </c>
      <c r="AD1547" s="48">
        <f>IF(OR($M1547="",$T1547=""),"",$T1547+(AD$2*$M1547))</f>
        <v/>
      </c>
      <c r="AE1547" s="49">
        <f>IF(OR($M1547="",$T1547=""),"",$T1547+(AE$2*$M1547))</f>
        <v/>
      </c>
      <c r="AF1547" s="52">
        <f>IF(OR(T1547="",I1547&lt;T1547),"",IFERROR(AVERAGE(T1547+M1547*{7,8,9,10,11})/IF(G1547="",I1547,G1547)-1,""))</f>
        <v/>
      </c>
      <c r="AG1547" s="55">
        <f>IF(OR(T1547="",I1547&lt;T1547),"",IFERROR(AF1547/-(R1547/IF(G1547="",I1547,G1547)-1),""))</f>
        <v/>
      </c>
      <c r="AH1547" s="94" t="n"/>
      <c r="AI1547" s="94" t="n"/>
      <c r="AJ1547" s="94" t="n"/>
      <c r="AK1547" s="94" t="n"/>
      <c r="AL1547" s="84" t="n"/>
    </row>
    <row r="1548">
      <c r="A1548" s="64" t="n"/>
      <c r="B1548" s="65" t="n"/>
      <c r="C1548" s="66" t="n"/>
      <c r="D1548" s="67" t="n"/>
      <c r="E1548" s="68" t="n"/>
      <c r="F1548" s="47">
        <f>IF(A1548="","",IF(MIN(H1548,MAX(J1548:K1548))=0,"",MIN(H1548,MAX(J1548:K1548))))</f>
        <v/>
      </c>
      <c r="G1548" s="74" t="n"/>
      <c r="H1548" s="49">
        <f>IF(M1548="","",IFERROR(ROUND(AVERAGE(T1548+M1548*{7,8,9,10,11})/1.21,4),""))</f>
        <v/>
      </c>
      <c r="I1548" s="76" t="n"/>
      <c r="J1548" s="77" t="n"/>
      <c r="K1548" s="74" t="n"/>
      <c r="L1548" s="78" t="n"/>
      <c r="M1548" s="77" t="n"/>
      <c r="N1548" s="53">
        <f>IF(M1548="","",IFERROR(M1548/I1548,""))</f>
        <v/>
      </c>
      <c r="O1548" s="50">
        <f>IF(A1548="","",IFERROR((IF(G1548="",I1548,G1548)-T1548)/M1548,""))</f>
        <v/>
      </c>
      <c r="P1548" s="50">
        <f>IFERROR((I1548/T1548-1)/N1548,"")</f>
        <v/>
      </c>
      <c r="Q1548" s="46">
        <f>IF(OR(T1548="",I1548&lt;T1548),"",IFERROR(R1548/IF(G1548="",I1548,G1548)-1,""))</f>
        <v/>
      </c>
      <c r="R1548" s="48">
        <f>IF($M1548="","",MAX(IF($G1548="",$I1548,$G1548)*(1/1.1),IF($G1548="",$I1548,$G1548)+(R$2*$M1548)))</f>
        <v/>
      </c>
      <c r="S1548" s="49">
        <f>IF($M1548="","",MAX(IF($G1548="",$I1548,$G1548)*(1/1.1),IF($G1548="",$I1548,$G1548)+(S$2*$M1548)))</f>
        <v/>
      </c>
      <c r="T1548" s="82" t="n"/>
      <c r="U1548" s="47">
        <f>IF(OR($M1548="",$T1548=""),"",$T1548+(U$2*$M1548))</f>
        <v/>
      </c>
      <c r="V1548" s="48">
        <f>IF(OR($M1548="",$T1548=""),"",$T1548+(V$2*$M1548))</f>
        <v/>
      </c>
      <c r="W1548" s="48">
        <f>IF(OR($M1548="",$T1548=""),"",$T1548+(W$2*$M1548))</f>
        <v/>
      </c>
      <c r="X1548" s="49">
        <f>IF(OR($M1548="",$T1548=""),"",$T1548+(X$2*$M1548))</f>
        <v/>
      </c>
      <c r="Y1548" s="47">
        <f>IF(OR($M1548="",$T1548=""),"",$T1548+(Y$2*$M1548))</f>
        <v/>
      </c>
      <c r="Z1548" s="49">
        <f>IF(OR($M1548="",$T1548=""),"",$T1548+(Z$2*$M1548))</f>
        <v/>
      </c>
      <c r="AA1548" s="51">
        <f>IF(OR($M1548="",$T1548=""),"",$T1548+(AA$2*$M1548))</f>
        <v/>
      </c>
      <c r="AB1548" s="48">
        <f>IF(OR($M1548="",$T1548=""),"",$T1548+(AB$2*$M1548))</f>
        <v/>
      </c>
      <c r="AC1548" s="48">
        <f>IF(OR($M1548="",$T1548=""),"",$T1548+(AC$2*$M1548))</f>
        <v/>
      </c>
      <c r="AD1548" s="48">
        <f>IF(OR($M1548="",$T1548=""),"",$T1548+(AD$2*$M1548))</f>
        <v/>
      </c>
      <c r="AE1548" s="49">
        <f>IF(OR($M1548="",$T1548=""),"",$T1548+(AE$2*$M1548))</f>
        <v/>
      </c>
      <c r="AF1548" s="52">
        <f>IF(OR(T1548="",I1548&lt;T1548),"",IFERROR(AVERAGE(T1548+M1548*{7,8,9,10,11})/IF(G1548="",I1548,G1548)-1,""))</f>
        <v/>
      </c>
      <c r="AG1548" s="55">
        <f>IF(OR(T1548="",I1548&lt;T1548),"",IFERROR(AF1548/-(R1548/IF(G1548="",I1548,G1548)-1),""))</f>
        <v/>
      </c>
      <c r="AH1548" s="94" t="n"/>
      <c r="AI1548" s="94" t="n"/>
      <c r="AJ1548" s="94" t="n"/>
      <c r="AK1548" s="94" t="n"/>
      <c r="AL1548" s="84" t="n"/>
    </row>
    <row r="1549">
      <c r="A1549" s="64" t="n"/>
      <c r="B1549" s="65" t="n"/>
      <c r="C1549" s="66" t="n"/>
      <c r="D1549" s="67" t="n"/>
      <c r="E1549" s="68" t="n"/>
      <c r="F1549" s="47">
        <f>IF(A1549="","",IF(MIN(H1549,MAX(J1549:K1549))=0,"",MIN(H1549,MAX(J1549:K1549))))</f>
        <v/>
      </c>
      <c r="G1549" s="74" t="n"/>
      <c r="H1549" s="49">
        <f>IF(M1549="","",IFERROR(ROUND(AVERAGE(T1549+M1549*{7,8,9,10,11})/1.21,4),""))</f>
        <v/>
      </c>
      <c r="I1549" s="76" t="n"/>
      <c r="J1549" s="77" t="n"/>
      <c r="K1549" s="74" t="n"/>
      <c r="L1549" s="78" t="n"/>
      <c r="M1549" s="77" t="n"/>
      <c r="N1549" s="53">
        <f>IF(M1549="","",IFERROR(M1549/I1549,""))</f>
        <v/>
      </c>
      <c r="O1549" s="50">
        <f>IF(A1549="","",IFERROR((IF(G1549="",I1549,G1549)-T1549)/M1549,""))</f>
        <v/>
      </c>
      <c r="P1549" s="50">
        <f>IFERROR((I1549/T1549-1)/N1549,"")</f>
        <v/>
      </c>
      <c r="Q1549" s="46">
        <f>IF(OR(T1549="",I1549&lt;T1549),"",IFERROR(R1549/IF(G1549="",I1549,G1549)-1,""))</f>
        <v/>
      </c>
      <c r="R1549" s="48">
        <f>IF($M1549="","",MAX(IF($G1549="",$I1549,$G1549)*(1/1.1),IF($G1549="",$I1549,$G1549)+(R$2*$M1549)))</f>
        <v/>
      </c>
      <c r="S1549" s="49">
        <f>IF($M1549="","",MAX(IF($G1549="",$I1549,$G1549)*(1/1.1),IF($G1549="",$I1549,$G1549)+(S$2*$M1549)))</f>
        <v/>
      </c>
      <c r="T1549" s="82" t="n"/>
      <c r="U1549" s="47">
        <f>IF(OR($M1549="",$T1549=""),"",$T1549+(U$2*$M1549))</f>
        <v/>
      </c>
      <c r="V1549" s="48">
        <f>IF(OR($M1549="",$T1549=""),"",$T1549+(V$2*$M1549))</f>
        <v/>
      </c>
      <c r="W1549" s="48">
        <f>IF(OR($M1549="",$T1549=""),"",$T1549+(W$2*$M1549))</f>
        <v/>
      </c>
      <c r="X1549" s="49">
        <f>IF(OR($M1549="",$T1549=""),"",$T1549+(X$2*$M1549))</f>
        <v/>
      </c>
      <c r="Y1549" s="47">
        <f>IF(OR($M1549="",$T1549=""),"",$T1549+(Y$2*$M1549))</f>
        <v/>
      </c>
      <c r="Z1549" s="49">
        <f>IF(OR($M1549="",$T1549=""),"",$T1549+(Z$2*$M1549))</f>
        <v/>
      </c>
      <c r="AA1549" s="51">
        <f>IF(OR($M1549="",$T1549=""),"",$T1549+(AA$2*$M1549))</f>
        <v/>
      </c>
      <c r="AB1549" s="48">
        <f>IF(OR($M1549="",$T1549=""),"",$T1549+(AB$2*$M1549))</f>
        <v/>
      </c>
      <c r="AC1549" s="48">
        <f>IF(OR($M1549="",$T1549=""),"",$T1549+(AC$2*$M1549))</f>
        <v/>
      </c>
      <c r="AD1549" s="48">
        <f>IF(OR($M1549="",$T1549=""),"",$T1549+(AD$2*$M1549))</f>
        <v/>
      </c>
      <c r="AE1549" s="49">
        <f>IF(OR($M1549="",$T1549=""),"",$T1549+(AE$2*$M1549))</f>
        <v/>
      </c>
      <c r="AF1549" s="52">
        <f>IF(OR(T1549="",I1549&lt;T1549),"",IFERROR(AVERAGE(T1549+M1549*{7,8,9,10,11})/IF(G1549="",I1549,G1549)-1,""))</f>
        <v/>
      </c>
      <c r="AG1549" s="55">
        <f>IF(OR(T1549="",I1549&lt;T1549),"",IFERROR(AF1549/-(R1549/IF(G1549="",I1549,G1549)-1),""))</f>
        <v/>
      </c>
      <c r="AH1549" s="94" t="n"/>
      <c r="AI1549" s="94" t="n"/>
      <c r="AJ1549" s="94" t="n"/>
      <c r="AK1549" s="94" t="n"/>
      <c r="AL1549" s="84" t="n"/>
    </row>
    <row r="1550">
      <c r="A1550" s="64" t="n"/>
      <c r="B1550" s="65" t="n"/>
      <c r="C1550" s="66" t="n"/>
      <c r="D1550" s="67" t="n"/>
      <c r="E1550" s="68" t="n"/>
      <c r="F1550" s="47">
        <f>IF(A1550="","",IF(MIN(H1550,MAX(J1550:K1550))=0,"",MIN(H1550,MAX(J1550:K1550))))</f>
        <v/>
      </c>
      <c r="G1550" s="74" t="n"/>
      <c r="H1550" s="49">
        <f>IF(M1550="","",IFERROR(ROUND(AVERAGE(T1550+M1550*{7,8,9,10,11})/1.21,4),""))</f>
        <v/>
      </c>
      <c r="I1550" s="76" t="n"/>
      <c r="J1550" s="77" t="n"/>
      <c r="K1550" s="74" t="n"/>
      <c r="L1550" s="78" t="n"/>
      <c r="M1550" s="77" t="n"/>
      <c r="N1550" s="53">
        <f>IF(M1550="","",IFERROR(M1550/I1550,""))</f>
        <v/>
      </c>
      <c r="O1550" s="50">
        <f>IF(A1550="","",IFERROR((IF(G1550="",I1550,G1550)-T1550)/M1550,""))</f>
        <v/>
      </c>
      <c r="P1550" s="50">
        <f>IFERROR((I1550/T1550-1)/N1550,"")</f>
        <v/>
      </c>
      <c r="Q1550" s="46">
        <f>IF(OR(T1550="",I1550&lt;T1550),"",IFERROR(R1550/IF(G1550="",I1550,G1550)-1,""))</f>
        <v/>
      </c>
      <c r="R1550" s="48">
        <f>IF($M1550="","",MAX(IF($G1550="",$I1550,$G1550)*(1/1.1),IF($G1550="",$I1550,$G1550)+(R$2*$M1550)))</f>
        <v/>
      </c>
      <c r="S1550" s="49">
        <f>IF($M1550="","",MAX(IF($G1550="",$I1550,$G1550)*(1/1.1),IF($G1550="",$I1550,$G1550)+(S$2*$M1550)))</f>
        <v/>
      </c>
      <c r="T1550" s="82" t="n"/>
      <c r="U1550" s="47">
        <f>IF(OR($M1550="",$T1550=""),"",$T1550+(U$2*$M1550))</f>
        <v/>
      </c>
      <c r="V1550" s="48">
        <f>IF(OR($M1550="",$T1550=""),"",$T1550+(V$2*$M1550))</f>
        <v/>
      </c>
      <c r="W1550" s="48">
        <f>IF(OR($M1550="",$T1550=""),"",$T1550+(W$2*$M1550))</f>
        <v/>
      </c>
      <c r="X1550" s="49">
        <f>IF(OR($M1550="",$T1550=""),"",$T1550+(X$2*$M1550))</f>
        <v/>
      </c>
      <c r="Y1550" s="47">
        <f>IF(OR($M1550="",$T1550=""),"",$T1550+(Y$2*$M1550))</f>
        <v/>
      </c>
      <c r="Z1550" s="49">
        <f>IF(OR($M1550="",$T1550=""),"",$T1550+(Z$2*$M1550))</f>
        <v/>
      </c>
      <c r="AA1550" s="51">
        <f>IF(OR($M1550="",$T1550=""),"",$T1550+(AA$2*$M1550))</f>
        <v/>
      </c>
      <c r="AB1550" s="48">
        <f>IF(OR($M1550="",$T1550=""),"",$T1550+(AB$2*$M1550))</f>
        <v/>
      </c>
      <c r="AC1550" s="48">
        <f>IF(OR($M1550="",$T1550=""),"",$T1550+(AC$2*$M1550))</f>
        <v/>
      </c>
      <c r="AD1550" s="48">
        <f>IF(OR($M1550="",$T1550=""),"",$T1550+(AD$2*$M1550))</f>
        <v/>
      </c>
      <c r="AE1550" s="49">
        <f>IF(OR($M1550="",$T1550=""),"",$T1550+(AE$2*$M1550))</f>
        <v/>
      </c>
      <c r="AF1550" s="52">
        <f>IF(OR(T1550="",I1550&lt;T1550),"",IFERROR(AVERAGE(T1550+M1550*{7,8,9,10,11})/IF(G1550="",I1550,G1550)-1,""))</f>
        <v/>
      </c>
      <c r="AG1550" s="55">
        <f>IF(OR(T1550="",I1550&lt;T1550),"",IFERROR(AF1550/-(R1550/IF(G1550="",I1550,G1550)-1),""))</f>
        <v/>
      </c>
      <c r="AH1550" s="94" t="n"/>
      <c r="AI1550" s="94" t="n"/>
      <c r="AJ1550" s="94" t="n"/>
      <c r="AK1550" s="94" t="n"/>
      <c r="AL1550" s="84" t="n"/>
    </row>
    <row r="1551">
      <c r="A1551" s="64" t="n"/>
      <c r="B1551" s="65" t="n"/>
      <c r="C1551" s="66" t="n"/>
      <c r="D1551" s="67" t="n"/>
      <c r="E1551" s="68" t="n"/>
      <c r="F1551" s="47">
        <f>IF(A1551="","",IF(MIN(H1551,MAX(J1551:K1551))=0,"",MIN(H1551,MAX(J1551:K1551))))</f>
        <v/>
      </c>
      <c r="G1551" s="74" t="n"/>
      <c r="H1551" s="49">
        <f>IF(M1551="","",IFERROR(ROUND(AVERAGE(T1551+M1551*{7,8,9,10,11})/1.21,4),""))</f>
        <v/>
      </c>
      <c r="I1551" s="76" t="n"/>
      <c r="J1551" s="77" t="n"/>
      <c r="K1551" s="74" t="n"/>
      <c r="L1551" s="78" t="n"/>
      <c r="M1551" s="77" t="n"/>
      <c r="N1551" s="53">
        <f>IF(M1551="","",IFERROR(M1551/I1551,""))</f>
        <v/>
      </c>
      <c r="O1551" s="50">
        <f>IF(A1551="","",IFERROR((IF(G1551="",I1551,G1551)-T1551)/M1551,""))</f>
        <v/>
      </c>
      <c r="P1551" s="50">
        <f>IFERROR((I1551/T1551-1)/N1551,"")</f>
        <v/>
      </c>
      <c r="Q1551" s="46">
        <f>IF(OR(T1551="",I1551&lt;T1551),"",IFERROR(R1551/IF(G1551="",I1551,G1551)-1,""))</f>
        <v/>
      </c>
      <c r="R1551" s="48">
        <f>IF($M1551="","",MAX(IF($G1551="",$I1551,$G1551)*(1/1.1),IF($G1551="",$I1551,$G1551)+(R$2*$M1551)))</f>
        <v/>
      </c>
      <c r="S1551" s="49">
        <f>IF($M1551="","",MAX(IF($G1551="",$I1551,$G1551)*(1/1.1),IF($G1551="",$I1551,$G1551)+(S$2*$M1551)))</f>
        <v/>
      </c>
      <c r="T1551" s="82" t="n"/>
      <c r="U1551" s="47">
        <f>IF(OR($M1551="",$T1551=""),"",$T1551+(U$2*$M1551))</f>
        <v/>
      </c>
      <c r="V1551" s="48">
        <f>IF(OR($M1551="",$T1551=""),"",$T1551+(V$2*$M1551))</f>
        <v/>
      </c>
      <c r="W1551" s="48">
        <f>IF(OR($M1551="",$T1551=""),"",$T1551+(W$2*$M1551))</f>
        <v/>
      </c>
      <c r="X1551" s="49">
        <f>IF(OR($M1551="",$T1551=""),"",$T1551+(X$2*$M1551))</f>
        <v/>
      </c>
      <c r="Y1551" s="47">
        <f>IF(OR($M1551="",$T1551=""),"",$T1551+(Y$2*$M1551))</f>
        <v/>
      </c>
      <c r="Z1551" s="49">
        <f>IF(OR($M1551="",$T1551=""),"",$T1551+(Z$2*$M1551))</f>
        <v/>
      </c>
      <c r="AA1551" s="51">
        <f>IF(OR($M1551="",$T1551=""),"",$T1551+(AA$2*$M1551))</f>
        <v/>
      </c>
      <c r="AB1551" s="48">
        <f>IF(OR($M1551="",$T1551=""),"",$T1551+(AB$2*$M1551))</f>
        <v/>
      </c>
      <c r="AC1551" s="48">
        <f>IF(OR($M1551="",$T1551=""),"",$T1551+(AC$2*$M1551))</f>
        <v/>
      </c>
      <c r="AD1551" s="48">
        <f>IF(OR($M1551="",$T1551=""),"",$T1551+(AD$2*$M1551))</f>
        <v/>
      </c>
      <c r="AE1551" s="49">
        <f>IF(OR($M1551="",$T1551=""),"",$T1551+(AE$2*$M1551))</f>
        <v/>
      </c>
      <c r="AF1551" s="52">
        <f>IF(OR(T1551="",I1551&lt;T1551),"",IFERROR(AVERAGE(T1551+M1551*{7,8,9,10,11})/IF(G1551="",I1551,G1551)-1,""))</f>
        <v/>
      </c>
      <c r="AG1551" s="55">
        <f>IF(OR(T1551="",I1551&lt;T1551),"",IFERROR(AF1551/-(R1551/IF(G1551="",I1551,G1551)-1),""))</f>
        <v/>
      </c>
      <c r="AH1551" s="94" t="n"/>
      <c r="AI1551" s="94" t="n"/>
      <c r="AJ1551" s="94" t="n"/>
      <c r="AK1551" s="94" t="n"/>
      <c r="AL1551" s="84" t="n"/>
    </row>
    <row r="1552">
      <c r="A1552" s="64" t="n"/>
      <c r="B1552" s="65" t="n"/>
      <c r="C1552" s="66" t="n"/>
      <c r="D1552" s="67" t="n"/>
      <c r="E1552" s="68" t="n"/>
      <c r="F1552" s="47">
        <f>IF(A1552="","",IF(MIN(H1552,MAX(J1552:K1552))=0,"",MIN(H1552,MAX(J1552:K1552))))</f>
        <v/>
      </c>
      <c r="G1552" s="74" t="n"/>
      <c r="H1552" s="49">
        <f>IF(M1552="","",IFERROR(ROUND(AVERAGE(T1552+M1552*{7,8,9,10,11})/1.21,4),""))</f>
        <v/>
      </c>
      <c r="I1552" s="76" t="n"/>
      <c r="J1552" s="77" t="n"/>
      <c r="K1552" s="74" t="n"/>
      <c r="L1552" s="78" t="n"/>
      <c r="M1552" s="77" t="n"/>
      <c r="N1552" s="53">
        <f>IF(M1552="","",IFERROR(M1552/I1552,""))</f>
        <v/>
      </c>
      <c r="O1552" s="50">
        <f>IF(A1552="","",IFERROR((IF(G1552="",I1552,G1552)-T1552)/M1552,""))</f>
        <v/>
      </c>
      <c r="P1552" s="50">
        <f>IFERROR((I1552/T1552-1)/N1552,"")</f>
        <v/>
      </c>
      <c r="Q1552" s="46">
        <f>IF(OR(T1552="",I1552&lt;T1552),"",IFERROR(R1552/IF(G1552="",I1552,G1552)-1,""))</f>
        <v/>
      </c>
      <c r="R1552" s="48">
        <f>IF($M1552="","",MAX(IF($G1552="",$I1552,$G1552)*(1/1.1),IF($G1552="",$I1552,$G1552)+(R$2*$M1552)))</f>
        <v/>
      </c>
      <c r="S1552" s="49">
        <f>IF($M1552="","",MAX(IF($G1552="",$I1552,$G1552)*(1/1.1),IF($G1552="",$I1552,$G1552)+(S$2*$M1552)))</f>
        <v/>
      </c>
      <c r="T1552" s="82" t="n"/>
      <c r="U1552" s="47">
        <f>IF(OR($M1552="",$T1552=""),"",$T1552+(U$2*$M1552))</f>
        <v/>
      </c>
      <c r="V1552" s="48">
        <f>IF(OR($M1552="",$T1552=""),"",$T1552+(V$2*$M1552))</f>
        <v/>
      </c>
      <c r="W1552" s="48">
        <f>IF(OR($M1552="",$T1552=""),"",$T1552+(W$2*$M1552))</f>
        <v/>
      </c>
      <c r="X1552" s="49">
        <f>IF(OR($M1552="",$T1552=""),"",$T1552+(X$2*$M1552))</f>
        <v/>
      </c>
      <c r="Y1552" s="47">
        <f>IF(OR($M1552="",$T1552=""),"",$T1552+(Y$2*$M1552))</f>
        <v/>
      </c>
      <c r="Z1552" s="49">
        <f>IF(OR($M1552="",$T1552=""),"",$T1552+(Z$2*$M1552))</f>
        <v/>
      </c>
      <c r="AA1552" s="51">
        <f>IF(OR($M1552="",$T1552=""),"",$T1552+(AA$2*$M1552))</f>
        <v/>
      </c>
      <c r="AB1552" s="48">
        <f>IF(OR($M1552="",$T1552=""),"",$T1552+(AB$2*$M1552))</f>
        <v/>
      </c>
      <c r="AC1552" s="48">
        <f>IF(OR($M1552="",$T1552=""),"",$T1552+(AC$2*$M1552))</f>
        <v/>
      </c>
      <c r="AD1552" s="48">
        <f>IF(OR($M1552="",$T1552=""),"",$T1552+(AD$2*$M1552))</f>
        <v/>
      </c>
      <c r="AE1552" s="49">
        <f>IF(OR($M1552="",$T1552=""),"",$T1552+(AE$2*$M1552))</f>
        <v/>
      </c>
      <c r="AF1552" s="52">
        <f>IF(OR(T1552="",I1552&lt;T1552),"",IFERROR(AVERAGE(T1552+M1552*{7,8,9,10,11})/IF(G1552="",I1552,G1552)-1,""))</f>
        <v/>
      </c>
      <c r="AG1552" s="55">
        <f>IF(OR(T1552="",I1552&lt;T1552),"",IFERROR(AF1552/-(R1552/IF(G1552="",I1552,G1552)-1),""))</f>
        <v/>
      </c>
      <c r="AH1552" s="94" t="n"/>
      <c r="AI1552" s="94" t="n"/>
      <c r="AJ1552" s="94" t="n"/>
      <c r="AK1552" s="94" t="n"/>
      <c r="AL1552" s="84" t="n"/>
    </row>
    <row r="1553">
      <c r="A1553" s="64" t="n"/>
      <c r="B1553" s="65" t="n"/>
      <c r="C1553" s="66" t="n"/>
      <c r="D1553" s="67" t="n"/>
      <c r="E1553" s="68" t="n"/>
      <c r="F1553" s="47">
        <f>IF(A1553="","",IF(MIN(H1553,MAX(J1553:K1553))=0,"",MIN(H1553,MAX(J1553:K1553))))</f>
        <v/>
      </c>
      <c r="G1553" s="74" t="n"/>
      <c r="H1553" s="49">
        <f>IF(M1553="","",IFERROR(ROUND(AVERAGE(T1553+M1553*{7,8,9,10,11})/1.21,4),""))</f>
        <v/>
      </c>
      <c r="I1553" s="76" t="n"/>
      <c r="J1553" s="77" t="n"/>
      <c r="K1553" s="74" t="n"/>
      <c r="L1553" s="78" t="n"/>
      <c r="M1553" s="77" t="n"/>
      <c r="N1553" s="53">
        <f>IF(M1553="","",IFERROR(M1553/I1553,""))</f>
        <v/>
      </c>
      <c r="O1553" s="50">
        <f>IF(A1553="","",IFERROR((IF(G1553="",I1553,G1553)-T1553)/M1553,""))</f>
        <v/>
      </c>
      <c r="P1553" s="50">
        <f>IFERROR((I1553/T1553-1)/N1553,"")</f>
        <v/>
      </c>
      <c r="Q1553" s="46">
        <f>IF(OR(T1553="",I1553&lt;T1553),"",IFERROR(R1553/IF(G1553="",I1553,G1553)-1,""))</f>
        <v/>
      </c>
      <c r="R1553" s="48">
        <f>IF($M1553="","",MAX(IF($G1553="",$I1553,$G1553)*(1/1.1),IF($G1553="",$I1553,$G1553)+(R$2*$M1553)))</f>
        <v/>
      </c>
      <c r="S1553" s="49">
        <f>IF($M1553="","",MAX(IF($G1553="",$I1553,$G1553)*(1/1.1),IF($G1553="",$I1553,$G1553)+(S$2*$M1553)))</f>
        <v/>
      </c>
      <c r="T1553" s="82" t="n"/>
      <c r="U1553" s="47">
        <f>IF(OR($M1553="",$T1553=""),"",$T1553+(U$2*$M1553))</f>
        <v/>
      </c>
      <c r="V1553" s="48">
        <f>IF(OR($M1553="",$T1553=""),"",$T1553+(V$2*$M1553))</f>
        <v/>
      </c>
      <c r="W1553" s="48">
        <f>IF(OR($M1553="",$T1553=""),"",$T1553+(W$2*$M1553))</f>
        <v/>
      </c>
      <c r="X1553" s="49">
        <f>IF(OR($M1553="",$T1553=""),"",$T1553+(X$2*$M1553))</f>
        <v/>
      </c>
      <c r="Y1553" s="47">
        <f>IF(OR($M1553="",$T1553=""),"",$T1553+(Y$2*$M1553))</f>
        <v/>
      </c>
      <c r="Z1553" s="49">
        <f>IF(OR($M1553="",$T1553=""),"",$T1553+(Z$2*$M1553))</f>
        <v/>
      </c>
      <c r="AA1553" s="51">
        <f>IF(OR($M1553="",$T1553=""),"",$T1553+(AA$2*$M1553))</f>
        <v/>
      </c>
      <c r="AB1553" s="48">
        <f>IF(OR($M1553="",$T1553=""),"",$T1553+(AB$2*$M1553))</f>
        <v/>
      </c>
      <c r="AC1553" s="48">
        <f>IF(OR($M1553="",$T1553=""),"",$T1553+(AC$2*$M1553))</f>
        <v/>
      </c>
      <c r="AD1553" s="48">
        <f>IF(OR($M1553="",$T1553=""),"",$T1553+(AD$2*$M1553))</f>
        <v/>
      </c>
      <c r="AE1553" s="49">
        <f>IF(OR($M1553="",$T1553=""),"",$T1553+(AE$2*$M1553))</f>
        <v/>
      </c>
      <c r="AF1553" s="52">
        <f>IF(OR(T1553="",I1553&lt;T1553),"",IFERROR(AVERAGE(T1553+M1553*{7,8,9,10,11})/IF(G1553="",I1553,G1553)-1,""))</f>
        <v/>
      </c>
      <c r="AG1553" s="55">
        <f>IF(OR(T1553="",I1553&lt;T1553),"",IFERROR(AF1553/-(R1553/IF(G1553="",I1553,G1553)-1),""))</f>
        <v/>
      </c>
      <c r="AH1553" s="94" t="n"/>
      <c r="AI1553" s="94" t="n"/>
      <c r="AJ1553" s="94" t="n"/>
      <c r="AK1553" s="94" t="n"/>
      <c r="AL1553" s="84" t="n"/>
    </row>
    <row r="1554">
      <c r="A1554" s="64" t="n"/>
      <c r="B1554" s="65" t="n"/>
      <c r="C1554" s="66" t="n"/>
      <c r="D1554" s="67" t="n"/>
      <c r="E1554" s="68" t="n"/>
      <c r="F1554" s="47">
        <f>IF(A1554="","",IF(MIN(H1554,MAX(J1554:K1554))=0,"",MIN(H1554,MAX(J1554:K1554))))</f>
        <v/>
      </c>
      <c r="G1554" s="74" t="n"/>
      <c r="H1554" s="49">
        <f>IF(M1554="","",IFERROR(ROUND(AVERAGE(T1554+M1554*{7,8,9,10,11})/1.21,4),""))</f>
        <v/>
      </c>
      <c r="I1554" s="76" t="n"/>
      <c r="J1554" s="77" t="n"/>
      <c r="K1554" s="74" t="n"/>
      <c r="L1554" s="78" t="n"/>
      <c r="M1554" s="77" t="n"/>
      <c r="N1554" s="53">
        <f>IF(M1554="","",IFERROR(M1554/I1554,""))</f>
        <v/>
      </c>
      <c r="O1554" s="50">
        <f>IF(A1554="","",IFERROR((IF(G1554="",I1554,G1554)-T1554)/M1554,""))</f>
        <v/>
      </c>
      <c r="P1554" s="50">
        <f>IFERROR((I1554/T1554-1)/N1554,"")</f>
        <v/>
      </c>
      <c r="Q1554" s="46">
        <f>IF(OR(T1554="",I1554&lt;T1554),"",IFERROR(R1554/IF(G1554="",I1554,G1554)-1,""))</f>
        <v/>
      </c>
      <c r="R1554" s="48">
        <f>IF($M1554="","",MAX(IF($G1554="",$I1554,$G1554)*(1/1.1),IF($G1554="",$I1554,$G1554)+(R$2*$M1554)))</f>
        <v/>
      </c>
      <c r="S1554" s="49">
        <f>IF($M1554="","",MAX(IF($G1554="",$I1554,$G1554)*(1/1.1),IF($G1554="",$I1554,$G1554)+(S$2*$M1554)))</f>
        <v/>
      </c>
      <c r="T1554" s="82" t="n"/>
      <c r="U1554" s="47">
        <f>IF(OR($M1554="",$T1554=""),"",$T1554+(U$2*$M1554))</f>
        <v/>
      </c>
      <c r="V1554" s="48">
        <f>IF(OR($M1554="",$T1554=""),"",$T1554+(V$2*$M1554))</f>
        <v/>
      </c>
      <c r="W1554" s="48">
        <f>IF(OR($M1554="",$T1554=""),"",$T1554+(W$2*$M1554))</f>
        <v/>
      </c>
      <c r="X1554" s="49">
        <f>IF(OR($M1554="",$T1554=""),"",$T1554+(X$2*$M1554))</f>
        <v/>
      </c>
      <c r="Y1554" s="47">
        <f>IF(OR($M1554="",$T1554=""),"",$T1554+(Y$2*$M1554))</f>
        <v/>
      </c>
      <c r="Z1554" s="49">
        <f>IF(OR($M1554="",$T1554=""),"",$T1554+(Z$2*$M1554))</f>
        <v/>
      </c>
      <c r="AA1554" s="51">
        <f>IF(OR($M1554="",$T1554=""),"",$T1554+(AA$2*$M1554))</f>
        <v/>
      </c>
      <c r="AB1554" s="48">
        <f>IF(OR($M1554="",$T1554=""),"",$T1554+(AB$2*$M1554))</f>
        <v/>
      </c>
      <c r="AC1554" s="48">
        <f>IF(OR($M1554="",$T1554=""),"",$T1554+(AC$2*$M1554))</f>
        <v/>
      </c>
      <c r="AD1554" s="48">
        <f>IF(OR($M1554="",$T1554=""),"",$T1554+(AD$2*$M1554))</f>
        <v/>
      </c>
      <c r="AE1554" s="49">
        <f>IF(OR($M1554="",$T1554=""),"",$T1554+(AE$2*$M1554))</f>
        <v/>
      </c>
      <c r="AF1554" s="52">
        <f>IF(OR(T1554="",I1554&lt;T1554),"",IFERROR(AVERAGE(T1554+M1554*{7,8,9,10,11})/IF(G1554="",I1554,G1554)-1,""))</f>
        <v/>
      </c>
      <c r="AG1554" s="55">
        <f>IF(OR(T1554="",I1554&lt;T1554),"",IFERROR(AF1554/-(R1554/IF(G1554="",I1554,G1554)-1),""))</f>
        <v/>
      </c>
      <c r="AH1554" s="94" t="n"/>
      <c r="AI1554" s="94" t="n"/>
      <c r="AJ1554" s="94" t="n"/>
      <c r="AK1554" s="94" t="n"/>
      <c r="AL1554" s="84" t="n"/>
    </row>
    <row r="1555">
      <c r="A1555" s="64" t="n"/>
      <c r="B1555" s="65" t="n"/>
      <c r="C1555" s="66" t="n"/>
      <c r="D1555" s="67" t="n"/>
      <c r="E1555" s="68" t="n"/>
      <c r="F1555" s="47">
        <f>IF(A1555="","",IF(MIN(H1555,MAX(J1555:K1555))=0,"",MIN(H1555,MAX(J1555:K1555))))</f>
        <v/>
      </c>
      <c r="G1555" s="74" t="n"/>
      <c r="H1555" s="49">
        <f>IF(M1555="","",IFERROR(ROUND(AVERAGE(T1555+M1555*{7,8,9,10,11})/1.21,4),""))</f>
        <v/>
      </c>
      <c r="I1555" s="76" t="n"/>
      <c r="J1555" s="77" t="n"/>
      <c r="K1555" s="74" t="n"/>
      <c r="L1555" s="78" t="n"/>
      <c r="M1555" s="77" t="n"/>
      <c r="N1555" s="53">
        <f>IF(M1555="","",IFERROR(M1555/I1555,""))</f>
        <v/>
      </c>
      <c r="O1555" s="50">
        <f>IF(A1555="","",IFERROR((IF(G1555="",I1555,G1555)-T1555)/M1555,""))</f>
        <v/>
      </c>
      <c r="P1555" s="50">
        <f>IFERROR((I1555/T1555-1)/N1555,"")</f>
        <v/>
      </c>
      <c r="Q1555" s="46">
        <f>IF(OR(T1555="",I1555&lt;T1555),"",IFERROR(R1555/IF(G1555="",I1555,G1555)-1,""))</f>
        <v/>
      </c>
      <c r="R1555" s="48">
        <f>IF($M1555="","",MAX(IF($G1555="",$I1555,$G1555)*(1/1.1),IF($G1555="",$I1555,$G1555)+(R$2*$M1555)))</f>
        <v/>
      </c>
      <c r="S1555" s="49">
        <f>IF($M1555="","",MAX(IF($G1555="",$I1555,$G1555)*(1/1.1),IF($G1555="",$I1555,$G1555)+(S$2*$M1555)))</f>
        <v/>
      </c>
      <c r="T1555" s="82" t="n"/>
      <c r="U1555" s="47">
        <f>IF(OR($M1555="",$T1555=""),"",$T1555+(U$2*$M1555))</f>
        <v/>
      </c>
      <c r="V1555" s="48">
        <f>IF(OR($M1555="",$T1555=""),"",$T1555+(V$2*$M1555))</f>
        <v/>
      </c>
      <c r="W1555" s="48">
        <f>IF(OR($M1555="",$T1555=""),"",$T1555+(W$2*$M1555))</f>
        <v/>
      </c>
      <c r="X1555" s="49">
        <f>IF(OR($M1555="",$T1555=""),"",$T1555+(X$2*$M1555))</f>
        <v/>
      </c>
      <c r="Y1555" s="47">
        <f>IF(OR($M1555="",$T1555=""),"",$T1555+(Y$2*$M1555))</f>
        <v/>
      </c>
      <c r="Z1555" s="49">
        <f>IF(OR($M1555="",$T1555=""),"",$T1555+(Z$2*$M1555))</f>
        <v/>
      </c>
      <c r="AA1555" s="51">
        <f>IF(OR($M1555="",$T1555=""),"",$T1555+(AA$2*$M1555))</f>
        <v/>
      </c>
      <c r="AB1555" s="48">
        <f>IF(OR($M1555="",$T1555=""),"",$T1555+(AB$2*$M1555))</f>
        <v/>
      </c>
      <c r="AC1555" s="48">
        <f>IF(OR($M1555="",$T1555=""),"",$T1555+(AC$2*$M1555))</f>
        <v/>
      </c>
      <c r="AD1555" s="48">
        <f>IF(OR($M1555="",$T1555=""),"",$T1555+(AD$2*$M1555))</f>
        <v/>
      </c>
      <c r="AE1555" s="49">
        <f>IF(OR($M1555="",$T1555=""),"",$T1555+(AE$2*$M1555))</f>
        <v/>
      </c>
      <c r="AF1555" s="52">
        <f>IF(OR(T1555="",I1555&lt;T1555),"",IFERROR(AVERAGE(T1555+M1555*{7,8,9,10,11})/IF(G1555="",I1555,G1555)-1,""))</f>
        <v/>
      </c>
      <c r="AG1555" s="55">
        <f>IF(OR(T1555="",I1555&lt;T1555),"",IFERROR(AF1555/-(R1555/IF(G1555="",I1555,G1555)-1),""))</f>
        <v/>
      </c>
      <c r="AH1555" s="94" t="n"/>
      <c r="AI1555" s="94" t="n"/>
      <c r="AJ1555" s="94" t="n"/>
      <c r="AK1555" s="94" t="n"/>
      <c r="AL1555" s="84" t="n"/>
    </row>
    <row r="1556">
      <c r="A1556" s="64" t="n"/>
      <c r="B1556" s="65" t="n"/>
      <c r="C1556" s="66" t="n"/>
      <c r="D1556" s="67" t="n"/>
      <c r="E1556" s="68" t="n"/>
      <c r="F1556" s="47">
        <f>IF(A1556="","",IF(MIN(H1556,MAX(J1556:K1556))=0,"",MIN(H1556,MAX(J1556:K1556))))</f>
        <v/>
      </c>
      <c r="G1556" s="74" t="n"/>
      <c r="H1556" s="49">
        <f>IF(M1556="","",IFERROR(ROUND(AVERAGE(T1556+M1556*{7,8,9,10,11})/1.21,4),""))</f>
        <v/>
      </c>
      <c r="I1556" s="76" t="n"/>
      <c r="J1556" s="77" t="n"/>
      <c r="K1556" s="74" t="n"/>
      <c r="L1556" s="78" t="n"/>
      <c r="M1556" s="77" t="n"/>
      <c r="N1556" s="53">
        <f>IF(M1556="","",IFERROR(M1556/I1556,""))</f>
        <v/>
      </c>
      <c r="O1556" s="50">
        <f>IF(A1556="","",IFERROR((IF(G1556="",I1556,G1556)-T1556)/M1556,""))</f>
        <v/>
      </c>
      <c r="P1556" s="50">
        <f>IFERROR((I1556/T1556-1)/N1556,"")</f>
        <v/>
      </c>
      <c r="Q1556" s="46">
        <f>IF(OR(T1556="",I1556&lt;T1556),"",IFERROR(R1556/IF(G1556="",I1556,G1556)-1,""))</f>
        <v/>
      </c>
      <c r="R1556" s="48">
        <f>IF($M1556="","",MAX(IF($G1556="",$I1556,$G1556)*(1/1.1),IF($G1556="",$I1556,$G1556)+(R$2*$M1556)))</f>
        <v/>
      </c>
      <c r="S1556" s="49">
        <f>IF($M1556="","",MAX(IF($G1556="",$I1556,$G1556)*(1/1.1),IF($G1556="",$I1556,$G1556)+(S$2*$M1556)))</f>
        <v/>
      </c>
      <c r="T1556" s="82" t="n"/>
      <c r="U1556" s="47">
        <f>IF(OR($M1556="",$T1556=""),"",$T1556+(U$2*$M1556))</f>
        <v/>
      </c>
      <c r="V1556" s="48">
        <f>IF(OR($M1556="",$T1556=""),"",$T1556+(V$2*$M1556))</f>
        <v/>
      </c>
      <c r="W1556" s="48">
        <f>IF(OR($M1556="",$T1556=""),"",$T1556+(W$2*$M1556))</f>
        <v/>
      </c>
      <c r="X1556" s="49">
        <f>IF(OR($M1556="",$T1556=""),"",$T1556+(X$2*$M1556))</f>
        <v/>
      </c>
      <c r="Y1556" s="47">
        <f>IF(OR($M1556="",$T1556=""),"",$T1556+(Y$2*$M1556))</f>
        <v/>
      </c>
      <c r="Z1556" s="49">
        <f>IF(OR($M1556="",$T1556=""),"",$T1556+(Z$2*$M1556))</f>
        <v/>
      </c>
      <c r="AA1556" s="51">
        <f>IF(OR($M1556="",$T1556=""),"",$T1556+(AA$2*$M1556))</f>
        <v/>
      </c>
      <c r="AB1556" s="48">
        <f>IF(OR($M1556="",$T1556=""),"",$T1556+(AB$2*$M1556))</f>
        <v/>
      </c>
      <c r="AC1556" s="48">
        <f>IF(OR($M1556="",$T1556=""),"",$T1556+(AC$2*$M1556))</f>
        <v/>
      </c>
      <c r="AD1556" s="48">
        <f>IF(OR($M1556="",$T1556=""),"",$T1556+(AD$2*$M1556))</f>
        <v/>
      </c>
      <c r="AE1556" s="49">
        <f>IF(OR($M1556="",$T1556=""),"",$T1556+(AE$2*$M1556))</f>
        <v/>
      </c>
      <c r="AF1556" s="52">
        <f>IF(OR(T1556="",I1556&lt;T1556),"",IFERROR(AVERAGE(T1556+M1556*{7,8,9,10,11})/IF(G1556="",I1556,G1556)-1,""))</f>
        <v/>
      </c>
      <c r="AG1556" s="55">
        <f>IF(OR(T1556="",I1556&lt;T1556),"",IFERROR(AF1556/-(R1556/IF(G1556="",I1556,G1556)-1),""))</f>
        <v/>
      </c>
      <c r="AH1556" s="94" t="n"/>
      <c r="AI1556" s="94" t="n"/>
      <c r="AJ1556" s="94" t="n"/>
      <c r="AK1556" s="94" t="n"/>
      <c r="AL1556" s="84" t="n"/>
    </row>
    <row r="1557">
      <c r="A1557" s="64" t="n"/>
      <c r="B1557" s="65" t="n"/>
      <c r="C1557" s="66" t="n"/>
      <c r="D1557" s="67" t="n"/>
      <c r="E1557" s="68" t="n"/>
      <c r="F1557" s="47">
        <f>IF(A1557="","",IF(MIN(H1557,MAX(J1557:K1557))=0,"",MIN(H1557,MAX(J1557:K1557))))</f>
        <v/>
      </c>
      <c r="G1557" s="74" t="n"/>
      <c r="H1557" s="49">
        <f>IF(M1557="","",IFERROR(ROUND(AVERAGE(T1557+M1557*{7,8,9,10,11})/1.21,4),""))</f>
        <v/>
      </c>
      <c r="I1557" s="76" t="n"/>
      <c r="J1557" s="77" t="n"/>
      <c r="K1557" s="74" t="n"/>
      <c r="L1557" s="78" t="n"/>
      <c r="M1557" s="77" t="n"/>
      <c r="N1557" s="53">
        <f>IF(M1557="","",IFERROR(M1557/I1557,""))</f>
        <v/>
      </c>
      <c r="O1557" s="50">
        <f>IF(A1557="","",IFERROR((IF(G1557="",I1557,G1557)-T1557)/M1557,""))</f>
        <v/>
      </c>
      <c r="P1557" s="50">
        <f>IFERROR((I1557/T1557-1)/N1557,"")</f>
        <v/>
      </c>
      <c r="Q1557" s="46">
        <f>IF(OR(T1557="",I1557&lt;T1557),"",IFERROR(R1557/IF(G1557="",I1557,G1557)-1,""))</f>
        <v/>
      </c>
      <c r="R1557" s="48">
        <f>IF($M1557="","",MAX(IF($G1557="",$I1557,$G1557)*(1/1.1),IF($G1557="",$I1557,$G1557)+(R$2*$M1557)))</f>
        <v/>
      </c>
      <c r="S1557" s="49">
        <f>IF($M1557="","",MAX(IF($G1557="",$I1557,$G1557)*(1/1.1),IF($G1557="",$I1557,$G1557)+(S$2*$M1557)))</f>
        <v/>
      </c>
      <c r="T1557" s="82" t="n"/>
      <c r="U1557" s="47">
        <f>IF(OR($M1557="",$T1557=""),"",$T1557+(U$2*$M1557))</f>
        <v/>
      </c>
      <c r="V1557" s="48">
        <f>IF(OR($M1557="",$T1557=""),"",$T1557+(V$2*$M1557))</f>
        <v/>
      </c>
      <c r="W1557" s="48">
        <f>IF(OR($M1557="",$T1557=""),"",$T1557+(W$2*$M1557))</f>
        <v/>
      </c>
      <c r="X1557" s="49">
        <f>IF(OR($M1557="",$T1557=""),"",$T1557+(X$2*$M1557))</f>
        <v/>
      </c>
      <c r="Y1557" s="47">
        <f>IF(OR($M1557="",$T1557=""),"",$T1557+(Y$2*$M1557))</f>
        <v/>
      </c>
      <c r="Z1557" s="49">
        <f>IF(OR($M1557="",$T1557=""),"",$T1557+(Z$2*$M1557))</f>
        <v/>
      </c>
      <c r="AA1557" s="51">
        <f>IF(OR($M1557="",$T1557=""),"",$T1557+(AA$2*$M1557))</f>
        <v/>
      </c>
      <c r="AB1557" s="48">
        <f>IF(OR($M1557="",$T1557=""),"",$T1557+(AB$2*$M1557))</f>
        <v/>
      </c>
      <c r="AC1557" s="48">
        <f>IF(OR($M1557="",$T1557=""),"",$T1557+(AC$2*$M1557))</f>
        <v/>
      </c>
      <c r="AD1557" s="48">
        <f>IF(OR($M1557="",$T1557=""),"",$T1557+(AD$2*$M1557))</f>
        <v/>
      </c>
      <c r="AE1557" s="49">
        <f>IF(OR($M1557="",$T1557=""),"",$T1557+(AE$2*$M1557))</f>
        <v/>
      </c>
      <c r="AF1557" s="52">
        <f>IF(OR(T1557="",I1557&lt;T1557),"",IFERROR(AVERAGE(T1557+M1557*{7,8,9,10,11})/IF(G1557="",I1557,G1557)-1,""))</f>
        <v/>
      </c>
      <c r="AG1557" s="55">
        <f>IF(OR(T1557="",I1557&lt;T1557),"",IFERROR(AF1557/-(R1557/IF(G1557="",I1557,G1557)-1),""))</f>
        <v/>
      </c>
      <c r="AH1557" s="94" t="n"/>
      <c r="AI1557" s="94" t="n"/>
      <c r="AJ1557" s="94" t="n"/>
      <c r="AK1557" s="94" t="n"/>
      <c r="AL1557" s="84" t="n"/>
    </row>
    <row r="1558">
      <c r="A1558" s="64" t="n"/>
      <c r="B1558" s="65" t="n"/>
      <c r="C1558" s="66" t="n"/>
      <c r="D1558" s="67" t="n"/>
      <c r="E1558" s="68" t="n"/>
      <c r="F1558" s="47">
        <f>IF(A1558="","",IF(MIN(H1558,MAX(J1558:K1558))=0,"",MIN(H1558,MAX(J1558:K1558))))</f>
        <v/>
      </c>
      <c r="G1558" s="74" t="n"/>
      <c r="H1558" s="49">
        <f>IF(M1558="","",IFERROR(ROUND(AVERAGE(T1558+M1558*{7,8,9,10,11})/1.21,4),""))</f>
        <v/>
      </c>
      <c r="I1558" s="76" t="n"/>
      <c r="J1558" s="77" t="n"/>
      <c r="K1558" s="74" t="n"/>
      <c r="L1558" s="78" t="n"/>
      <c r="M1558" s="77" t="n"/>
      <c r="N1558" s="53">
        <f>IF(M1558="","",IFERROR(M1558/I1558,""))</f>
        <v/>
      </c>
      <c r="O1558" s="50">
        <f>IF(A1558="","",IFERROR((IF(G1558="",I1558,G1558)-T1558)/M1558,""))</f>
        <v/>
      </c>
      <c r="P1558" s="50">
        <f>IFERROR((I1558/T1558-1)/N1558,"")</f>
        <v/>
      </c>
      <c r="Q1558" s="46">
        <f>IF(OR(T1558="",I1558&lt;T1558),"",IFERROR(R1558/IF(G1558="",I1558,G1558)-1,""))</f>
        <v/>
      </c>
      <c r="R1558" s="48">
        <f>IF($M1558="","",MAX(IF($G1558="",$I1558,$G1558)*(1/1.1),IF($G1558="",$I1558,$G1558)+(R$2*$M1558)))</f>
        <v/>
      </c>
      <c r="S1558" s="49">
        <f>IF($M1558="","",MAX(IF($G1558="",$I1558,$G1558)*(1/1.1),IF($G1558="",$I1558,$G1558)+(S$2*$M1558)))</f>
        <v/>
      </c>
      <c r="T1558" s="82" t="n"/>
      <c r="U1558" s="47">
        <f>IF(OR($M1558="",$T1558=""),"",$T1558+(U$2*$M1558))</f>
        <v/>
      </c>
      <c r="V1558" s="48">
        <f>IF(OR($M1558="",$T1558=""),"",$T1558+(V$2*$M1558))</f>
        <v/>
      </c>
      <c r="W1558" s="48">
        <f>IF(OR($M1558="",$T1558=""),"",$T1558+(W$2*$M1558))</f>
        <v/>
      </c>
      <c r="X1558" s="49">
        <f>IF(OR($M1558="",$T1558=""),"",$T1558+(X$2*$M1558))</f>
        <v/>
      </c>
      <c r="Y1558" s="47">
        <f>IF(OR($M1558="",$T1558=""),"",$T1558+(Y$2*$M1558))</f>
        <v/>
      </c>
      <c r="Z1558" s="49">
        <f>IF(OR($M1558="",$T1558=""),"",$T1558+(Z$2*$M1558))</f>
        <v/>
      </c>
      <c r="AA1558" s="51">
        <f>IF(OR($M1558="",$T1558=""),"",$T1558+(AA$2*$M1558))</f>
        <v/>
      </c>
      <c r="AB1558" s="48">
        <f>IF(OR($M1558="",$T1558=""),"",$T1558+(AB$2*$M1558))</f>
        <v/>
      </c>
      <c r="AC1558" s="48">
        <f>IF(OR($M1558="",$T1558=""),"",$T1558+(AC$2*$M1558))</f>
        <v/>
      </c>
      <c r="AD1558" s="48">
        <f>IF(OR($M1558="",$T1558=""),"",$T1558+(AD$2*$M1558))</f>
        <v/>
      </c>
      <c r="AE1558" s="49">
        <f>IF(OR($M1558="",$T1558=""),"",$T1558+(AE$2*$M1558))</f>
        <v/>
      </c>
      <c r="AF1558" s="52">
        <f>IF(OR(T1558="",I1558&lt;T1558),"",IFERROR(AVERAGE(T1558+M1558*{7,8,9,10,11})/IF(G1558="",I1558,G1558)-1,""))</f>
        <v/>
      </c>
      <c r="AG1558" s="55">
        <f>IF(OR(T1558="",I1558&lt;T1558),"",IFERROR(AF1558/-(R1558/IF(G1558="",I1558,G1558)-1),""))</f>
        <v/>
      </c>
      <c r="AH1558" s="94" t="n"/>
      <c r="AI1558" s="94" t="n"/>
      <c r="AJ1558" s="94" t="n"/>
      <c r="AK1558" s="94" t="n"/>
      <c r="AL1558" s="84" t="n"/>
    </row>
    <row r="1559">
      <c r="A1559" s="64" t="n"/>
      <c r="B1559" s="65" t="n"/>
      <c r="C1559" s="66" t="n"/>
      <c r="D1559" s="67" t="n"/>
      <c r="E1559" s="68" t="n"/>
      <c r="F1559" s="47">
        <f>IF(A1559="","",IF(MIN(H1559,MAX(J1559:K1559))=0,"",MIN(H1559,MAX(J1559:K1559))))</f>
        <v/>
      </c>
      <c r="G1559" s="74" t="n"/>
      <c r="H1559" s="49">
        <f>IF(M1559="","",IFERROR(ROUND(AVERAGE(T1559+M1559*{7,8,9,10,11})/1.21,4),""))</f>
        <v/>
      </c>
      <c r="I1559" s="76" t="n"/>
      <c r="J1559" s="77" t="n"/>
      <c r="K1559" s="74" t="n"/>
      <c r="L1559" s="78" t="n"/>
      <c r="M1559" s="77" t="n"/>
      <c r="N1559" s="53">
        <f>IF(M1559="","",IFERROR(M1559/I1559,""))</f>
        <v/>
      </c>
      <c r="O1559" s="50">
        <f>IF(A1559="","",IFERROR((IF(G1559="",I1559,G1559)-T1559)/M1559,""))</f>
        <v/>
      </c>
      <c r="P1559" s="50">
        <f>IFERROR((I1559/T1559-1)/N1559,"")</f>
        <v/>
      </c>
      <c r="Q1559" s="46">
        <f>IF(OR(T1559="",I1559&lt;T1559),"",IFERROR(R1559/IF(G1559="",I1559,G1559)-1,""))</f>
        <v/>
      </c>
      <c r="R1559" s="48">
        <f>IF($M1559="","",MAX(IF($G1559="",$I1559,$G1559)*(1/1.1),IF($G1559="",$I1559,$G1559)+(R$2*$M1559)))</f>
        <v/>
      </c>
      <c r="S1559" s="49">
        <f>IF($M1559="","",MAX(IF($G1559="",$I1559,$G1559)*(1/1.1),IF($G1559="",$I1559,$G1559)+(S$2*$M1559)))</f>
        <v/>
      </c>
      <c r="T1559" s="82" t="n"/>
      <c r="U1559" s="47">
        <f>IF(OR($M1559="",$T1559=""),"",$T1559+(U$2*$M1559))</f>
        <v/>
      </c>
      <c r="V1559" s="48">
        <f>IF(OR($M1559="",$T1559=""),"",$T1559+(V$2*$M1559))</f>
        <v/>
      </c>
      <c r="W1559" s="48">
        <f>IF(OR($M1559="",$T1559=""),"",$T1559+(W$2*$M1559))</f>
        <v/>
      </c>
      <c r="X1559" s="49">
        <f>IF(OR($M1559="",$T1559=""),"",$T1559+(X$2*$M1559))</f>
        <v/>
      </c>
      <c r="Y1559" s="47">
        <f>IF(OR($M1559="",$T1559=""),"",$T1559+(Y$2*$M1559))</f>
        <v/>
      </c>
      <c r="Z1559" s="49">
        <f>IF(OR($M1559="",$T1559=""),"",$T1559+(Z$2*$M1559))</f>
        <v/>
      </c>
      <c r="AA1559" s="51">
        <f>IF(OR($M1559="",$T1559=""),"",$T1559+(AA$2*$M1559))</f>
        <v/>
      </c>
      <c r="AB1559" s="48">
        <f>IF(OR($M1559="",$T1559=""),"",$T1559+(AB$2*$M1559))</f>
        <v/>
      </c>
      <c r="AC1559" s="48">
        <f>IF(OR($M1559="",$T1559=""),"",$T1559+(AC$2*$M1559))</f>
        <v/>
      </c>
      <c r="AD1559" s="48">
        <f>IF(OR($M1559="",$T1559=""),"",$T1559+(AD$2*$M1559))</f>
        <v/>
      </c>
      <c r="AE1559" s="49">
        <f>IF(OR($M1559="",$T1559=""),"",$T1559+(AE$2*$M1559))</f>
        <v/>
      </c>
      <c r="AF1559" s="52">
        <f>IF(OR(T1559="",I1559&lt;T1559),"",IFERROR(AVERAGE(T1559+M1559*{7,8,9,10,11})/IF(G1559="",I1559,G1559)-1,""))</f>
        <v/>
      </c>
      <c r="AG1559" s="55">
        <f>IF(OR(T1559="",I1559&lt;T1559),"",IFERROR(AF1559/-(R1559/IF(G1559="",I1559,G1559)-1),""))</f>
        <v/>
      </c>
      <c r="AH1559" s="94" t="n"/>
      <c r="AI1559" s="94" t="n"/>
      <c r="AJ1559" s="94" t="n"/>
      <c r="AK1559" s="94" t="n"/>
      <c r="AL1559" s="84" t="n"/>
    </row>
    <row r="1560">
      <c r="A1560" s="64" t="n"/>
      <c r="B1560" s="65" t="n"/>
      <c r="C1560" s="66" t="n"/>
      <c r="D1560" s="67" t="n"/>
      <c r="E1560" s="68" t="n"/>
      <c r="F1560" s="47">
        <f>IF(A1560="","",IF(MIN(H1560,MAX(J1560:K1560))=0,"",MIN(H1560,MAX(J1560:K1560))))</f>
        <v/>
      </c>
      <c r="G1560" s="74" t="n"/>
      <c r="H1560" s="49">
        <f>IF(M1560="","",IFERROR(ROUND(AVERAGE(T1560+M1560*{7,8,9,10,11})/1.21,4),""))</f>
        <v/>
      </c>
      <c r="I1560" s="76" t="n"/>
      <c r="J1560" s="77" t="n"/>
      <c r="K1560" s="74" t="n"/>
      <c r="L1560" s="78" t="n"/>
      <c r="M1560" s="77" t="n"/>
      <c r="N1560" s="53">
        <f>IF(M1560="","",IFERROR(M1560/I1560,""))</f>
        <v/>
      </c>
      <c r="O1560" s="50">
        <f>IF(A1560="","",IFERROR((IF(G1560="",I1560,G1560)-T1560)/M1560,""))</f>
        <v/>
      </c>
      <c r="P1560" s="50">
        <f>IFERROR((I1560/T1560-1)/N1560,"")</f>
        <v/>
      </c>
      <c r="Q1560" s="46">
        <f>IF(OR(T1560="",I1560&lt;T1560),"",IFERROR(R1560/IF(G1560="",I1560,G1560)-1,""))</f>
        <v/>
      </c>
      <c r="R1560" s="48">
        <f>IF($M1560="","",MAX(IF($G1560="",$I1560,$G1560)*(1/1.1),IF($G1560="",$I1560,$G1560)+(R$2*$M1560)))</f>
        <v/>
      </c>
      <c r="S1560" s="49">
        <f>IF($M1560="","",MAX(IF($G1560="",$I1560,$G1560)*(1/1.1),IF($G1560="",$I1560,$G1560)+(S$2*$M1560)))</f>
        <v/>
      </c>
      <c r="T1560" s="82" t="n"/>
      <c r="U1560" s="47">
        <f>IF(OR($M1560="",$T1560=""),"",$T1560+(U$2*$M1560))</f>
        <v/>
      </c>
      <c r="V1560" s="48">
        <f>IF(OR($M1560="",$T1560=""),"",$T1560+(V$2*$M1560))</f>
        <v/>
      </c>
      <c r="W1560" s="48">
        <f>IF(OR($M1560="",$T1560=""),"",$T1560+(W$2*$M1560))</f>
        <v/>
      </c>
      <c r="X1560" s="49">
        <f>IF(OR($M1560="",$T1560=""),"",$T1560+(X$2*$M1560))</f>
        <v/>
      </c>
      <c r="Y1560" s="47">
        <f>IF(OR($M1560="",$T1560=""),"",$T1560+(Y$2*$M1560))</f>
        <v/>
      </c>
      <c r="Z1560" s="49">
        <f>IF(OR($M1560="",$T1560=""),"",$T1560+(Z$2*$M1560))</f>
        <v/>
      </c>
      <c r="AA1560" s="51">
        <f>IF(OR($M1560="",$T1560=""),"",$T1560+(AA$2*$M1560))</f>
        <v/>
      </c>
      <c r="AB1560" s="48">
        <f>IF(OR($M1560="",$T1560=""),"",$T1560+(AB$2*$M1560))</f>
        <v/>
      </c>
      <c r="AC1560" s="48">
        <f>IF(OR($M1560="",$T1560=""),"",$T1560+(AC$2*$M1560))</f>
        <v/>
      </c>
      <c r="AD1560" s="48">
        <f>IF(OR($M1560="",$T1560=""),"",$T1560+(AD$2*$M1560))</f>
        <v/>
      </c>
      <c r="AE1560" s="49">
        <f>IF(OR($M1560="",$T1560=""),"",$T1560+(AE$2*$M1560))</f>
        <v/>
      </c>
      <c r="AF1560" s="52">
        <f>IF(OR(T1560="",I1560&lt;T1560),"",IFERROR(AVERAGE(T1560+M1560*{7,8,9,10,11})/IF(G1560="",I1560,G1560)-1,""))</f>
        <v/>
      </c>
      <c r="AG1560" s="55">
        <f>IF(OR(T1560="",I1560&lt;T1560),"",IFERROR(AF1560/-(R1560/IF(G1560="",I1560,G1560)-1),""))</f>
        <v/>
      </c>
      <c r="AH1560" s="94" t="n"/>
      <c r="AI1560" s="94" t="n"/>
      <c r="AJ1560" s="94" t="n"/>
      <c r="AK1560" s="94" t="n"/>
      <c r="AL1560" s="84" t="n"/>
    </row>
    <row r="1561">
      <c r="A1561" s="64" t="n"/>
      <c r="B1561" s="65" t="n"/>
      <c r="C1561" s="66" t="n"/>
      <c r="D1561" s="67" t="n"/>
      <c r="E1561" s="68" t="n"/>
      <c r="F1561" s="47">
        <f>IF(A1561="","",IF(MIN(H1561,MAX(J1561:K1561))=0,"",MIN(H1561,MAX(J1561:K1561))))</f>
        <v/>
      </c>
      <c r="G1561" s="74" t="n"/>
      <c r="H1561" s="49">
        <f>IF(M1561="","",IFERROR(ROUND(AVERAGE(T1561+M1561*{7,8,9,10,11})/1.21,4),""))</f>
        <v/>
      </c>
      <c r="I1561" s="76" t="n"/>
      <c r="J1561" s="77" t="n"/>
      <c r="K1561" s="74" t="n"/>
      <c r="L1561" s="78" t="n"/>
      <c r="M1561" s="77" t="n"/>
      <c r="N1561" s="53">
        <f>IF(M1561="","",IFERROR(M1561/I1561,""))</f>
        <v/>
      </c>
      <c r="O1561" s="50">
        <f>IF(A1561="","",IFERROR((IF(G1561="",I1561,G1561)-T1561)/M1561,""))</f>
        <v/>
      </c>
      <c r="P1561" s="50">
        <f>IFERROR((I1561/T1561-1)/N1561,"")</f>
        <v/>
      </c>
      <c r="Q1561" s="46">
        <f>IF(OR(T1561="",I1561&lt;T1561),"",IFERROR(R1561/IF(G1561="",I1561,G1561)-1,""))</f>
        <v/>
      </c>
      <c r="R1561" s="48">
        <f>IF($M1561="","",MAX(IF($G1561="",$I1561,$G1561)*(1/1.1),IF($G1561="",$I1561,$G1561)+(R$2*$M1561)))</f>
        <v/>
      </c>
      <c r="S1561" s="49">
        <f>IF($M1561="","",MAX(IF($G1561="",$I1561,$G1561)*(1/1.1),IF($G1561="",$I1561,$G1561)+(S$2*$M1561)))</f>
        <v/>
      </c>
      <c r="T1561" s="82" t="n"/>
      <c r="U1561" s="47">
        <f>IF(OR($M1561="",$T1561=""),"",$T1561+(U$2*$M1561))</f>
        <v/>
      </c>
      <c r="V1561" s="48">
        <f>IF(OR($M1561="",$T1561=""),"",$T1561+(V$2*$M1561))</f>
        <v/>
      </c>
      <c r="W1561" s="48">
        <f>IF(OR($M1561="",$T1561=""),"",$T1561+(W$2*$M1561))</f>
        <v/>
      </c>
      <c r="X1561" s="49">
        <f>IF(OR($M1561="",$T1561=""),"",$T1561+(X$2*$M1561))</f>
        <v/>
      </c>
      <c r="Y1561" s="47">
        <f>IF(OR($M1561="",$T1561=""),"",$T1561+(Y$2*$M1561))</f>
        <v/>
      </c>
      <c r="Z1561" s="49">
        <f>IF(OR($M1561="",$T1561=""),"",$T1561+(Z$2*$M1561))</f>
        <v/>
      </c>
      <c r="AA1561" s="51">
        <f>IF(OR($M1561="",$T1561=""),"",$T1561+(AA$2*$M1561))</f>
        <v/>
      </c>
      <c r="AB1561" s="48">
        <f>IF(OR($M1561="",$T1561=""),"",$T1561+(AB$2*$M1561))</f>
        <v/>
      </c>
      <c r="AC1561" s="48">
        <f>IF(OR($M1561="",$T1561=""),"",$T1561+(AC$2*$M1561))</f>
        <v/>
      </c>
      <c r="AD1561" s="48">
        <f>IF(OR($M1561="",$T1561=""),"",$T1561+(AD$2*$M1561))</f>
        <v/>
      </c>
      <c r="AE1561" s="49">
        <f>IF(OR($M1561="",$T1561=""),"",$T1561+(AE$2*$M1561))</f>
        <v/>
      </c>
      <c r="AF1561" s="52">
        <f>IF(OR(T1561="",I1561&lt;T1561),"",IFERROR(AVERAGE(T1561+M1561*{7,8,9,10,11})/IF(G1561="",I1561,G1561)-1,""))</f>
        <v/>
      </c>
      <c r="AG1561" s="55">
        <f>IF(OR(T1561="",I1561&lt;T1561),"",IFERROR(AF1561/-(R1561/IF(G1561="",I1561,G1561)-1),""))</f>
        <v/>
      </c>
      <c r="AH1561" s="94" t="n"/>
      <c r="AI1561" s="94" t="n"/>
      <c r="AJ1561" s="94" t="n"/>
      <c r="AK1561" s="94" t="n"/>
      <c r="AL1561" s="84" t="n"/>
    </row>
    <row r="1562">
      <c r="A1562" s="64" t="n"/>
      <c r="B1562" s="65" t="n"/>
      <c r="C1562" s="66" t="n"/>
      <c r="D1562" s="67" t="n"/>
      <c r="E1562" s="68" t="n"/>
      <c r="F1562" s="47">
        <f>IF(A1562="","",IF(MIN(H1562,MAX(J1562:K1562))=0,"",MIN(H1562,MAX(J1562:K1562))))</f>
        <v/>
      </c>
      <c r="G1562" s="74" t="n"/>
      <c r="H1562" s="49">
        <f>IF(M1562="","",IFERROR(ROUND(AVERAGE(T1562+M1562*{7,8,9,10,11})/1.21,4),""))</f>
        <v/>
      </c>
      <c r="I1562" s="76" t="n"/>
      <c r="J1562" s="77" t="n"/>
      <c r="K1562" s="74" t="n"/>
      <c r="L1562" s="78" t="n"/>
      <c r="M1562" s="77" t="n"/>
      <c r="N1562" s="53">
        <f>IF(M1562="","",IFERROR(M1562/I1562,""))</f>
        <v/>
      </c>
      <c r="O1562" s="50">
        <f>IF(A1562="","",IFERROR((IF(G1562="",I1562,G1562)-T1562)/M1562,""))</f>
        <v/>
      </c>
      <c r="P1562" s="50">
        <f>IFERROR((I1562/T1562-1)/N1562,"")</f>
        <v/>
      </c>
      <c r="Q1562" s="46">
        <f>IF(OR(T1562="",I1562&lt;T1562),"",IFERROR(R1562/IF(G1562="",I1562,G1562)-1,""))</f>
        <v/>
      </c>
      <c r="R1562" s="48">
        <f>IF($M1562="","",MAX(IF($G1562="",$I1562,$G1562)*(1/1.1),IF($G1562="",$I1562,$G1562)+(R$2*$M1562)))</f>
        <v/>
      </c>
      <c r="S1562" s="49">
        <f>IF($M1562="","",MAX(IF($G1562="",$I1562,$G1562)*(1/1.1),IF($G1562="",$I1562,$G1562)+(S$2*$M1562)))</f>
        <v/>
      </c>
      <c r="T1562" s="82" t="n"/>
      <c r="U1562" s="47">
        <f>IF(OR($M1562="",$T1562=""),"",$T1562+(U$2*$M1562))</f>
        <v/>
      </c>
      <c r="V1562" s="48">
        <f>IF(OR($M1562="",$T1562=""),"",$T1562+(V$2*$M1562))</f>
        <v/>
      </c>
      <c r="W1562" s="48">
        <f>IF(OR($M1562="",$T1562=""),"",$T1562+(W$2*$M1562))</f>
        <v/>
      </c>
      <c r="X1562" s="49">
        <f>IF(OR($M1562="",$T1562=""),"",$T1562+(X$2*$M1562))</f>
        <v/>
      </c>
      <c r="Y1562" s="47">
        <f>IF(OR($M1562="",$T1562=""),"",$T1562+(Y$2*$M1562))</f>
        <v/>
      </c>
      <c r="Z1562" s="49">
        <f>IF(OR($M1562="",$T1562=""),"",$T1562+(Z$2*$M1562))</f>
        <v/>
      </c>
      <c r="AA1562" s="51">
        <f>IF(OR($M1562="",$T1562=""),"",$T1562+(AA$2*$M1562))</f>
        <v/>
      </c>
      <c r="AB1562" s="48">
        <f>IF(OR($M1562="",$T1562=""),"",$T1562+(AB$2*$M1562))</f>
        <v/>
      </c>
      <c r="AC1562" s="48">
        <f>IF(OR($M1562="",$T1562=""),"",$T1562+(AC$2*$M1562))</f>
        <v/>
      </c>
      <c r="AD1562" s="48">
        <f>IF(OR($M1562="",$T1562=""),"",$T1562+(AD$2*$M1562))</f>
        <v/>
      </c>
      <c r="AE1562" s="49">
        <f>IF(OR($M1562="",$T1562=""),"",$T1562+(AE$2*$M1562))</f>
        <v/>
      </c>
      <c r="AF1562" s="52">
        <f>IF(OR(T1562="",I1562&lt;T1562),"",IFERROR(AVERAGE(T1562+M1562*{7,8,9,10,11})/IF(G1562="",I1562,G1562)-1,""))</f>
        <v/>
      </c>
      <c r="AG1562" s="55">
        <f>IF(OR(T1562="",I1562&lt;T1562),"",IFERROR(AF1562/-(R1562/IF(G1562="",I1562,G1562)-1),""))</f>
        <v/>
      </c>
      <c r="AH1562" s="94" t="n"/>
      <c r="AI1562" s="94" t="n"/>
      <c r="AJ1562" s="94" t="n"/>
      <c r="AK1562" s="94" t="n"/>
      <c r="AL1562" s="84" t="n"/>
    </row>
    <row r="1563">
      <c r="A1563" s="64" t="n"/>
      <c r="B1563" s="65" t="n"/>
      <c r="C1563" s="66" t="n"/>
      <c r="D1563" s="67" t="n"/>
      <c r="E1563" s="68" t="n"/>
      <c r="F1563" s="47">
        <f>IF(A1563="","",IF(MIN(H1563,MAX(J1563:K1563))=0,"",MIN(H1563,MAX(J1563:K1563))))</f>
        <v/>
      </c>
      <c r="G1563" s="74" t="n"/>
      <c r="H1563" s="49">
        <f>IF(M1563="","",IFERROR(ROUND(AVERAGE(T1563+M1563*{7,8,9,10,11})/1.21,4),""))</f>
        <v/>
      </c>
      <c r="I1563" s="76" t="n"/>
      <c r="J1563" s="77" t="n"/>
      <c r="K1563" s="74" t="n"/>
      <c r="L1563" s="78" t="n"/>
      <c r="M1563" s="77" t="n"/>
      <c r="N1563" s="53">
        <f>IF(M1563="","",IFERROR(M1563/I1563,""))</f>
        <v/>
      </c>
      <c r="O1563" s="50">
        <f>IF(A1563="","",IFERROR((IF(G1563="",I1563,G1563)-T1563)/M1563,""))</f>
        <v/>
      </c>
      <c r="P1563" s="50">
        <f>IFERROR((I1563/T1563-1)/N1563,"")</f>
        <v/>
      </c>
      <c r="Q1563" s="46">
        <f>IF(OR(T1563="",I1563&lt;T1563),"",IFERROR(R1563/IF(G1563="",I1563,G1563)-1,""))</f>
        <v/>
      </c>
      <c r="R1563" s="48">
        <f>IF($M1563="","",MAX(IF($G1563="",$I1563,$G1563)*(1/1.1),IF($G1563="",$I1563,$G1563)+(R$2*$M1563)))</f>
        <v/>
      </c>
      <c r="S1563" s="49">
        <f>IF($M1563="","",MAX(IF($G1563="",$I1563,$G1563)*(1/1.1),IF($G1563="",$I1563,$G1563)+(S$2*$M1563)))</f>
        <v/>
      </c>
      <c r="T1563" s="82" t="n"/>
      <c r="U1563" s="47">
        <f>IF(OR($M1563="",$T1563=""),"",$T1563+(U$2*$M1563))</f>
        <v/>
      </c>
      <c r="V1563" s="48">
        <f>IF(OR($M1563="",$T1563=""),"",$T1563+(V$2*$M1563))</f>
        <v/>
      </c>
      <c r="W1563" s="48">
        <f>IF(OR($M1563="",$T1563=""),"",$T1563+(W$2*$M1563))</f>
        <v/>
      </c>
      <c r="X1563" s="49">
        <f>IF(OR($M1563="",$T1563=""),"",$T1563+(X$2*$M1563))</f>
        <v/>
      </c>
      <c r="Y1563" s="47">
        <f>IF(OR($M1563="",$T1563=""),"",$T1563+(Y$2*$M1563))</f>
        <v/>
      </c>
      <c r="Z1563" s="49">
        <f>IF(OR($M1563="",$T1563=""),"",$T1563+(Z$2*$M1563))</f>
        <v/>
      </c>
      <c r="AA1563" s="51">
        <f>IF(OR($M1563="",$T1563=""),"",$T1563+(AA$2*$M1563))</f>
        <v/>
      </c>
      <c r="AB1563" s="48">
        <f>IF(OR($M1563="",$T1563=""),"",$T1563+(AB$2*$M1563))</f>
        <v/>
      </c>
      <c r="AC1563" s="48">
        <f>IF(OR($M1563="",$T1563=""),"",$T1563+(AC$2*$M1563))</f>
        <v/>
      </c>
      <c r="AD1563" s="48">
        <f>IF(OR($M1563="",$T1563=""),"",$T1563+(AD$2*$M1563))</f>
        <v/>
      </c>
      <c r="AE1563" s="49">
        <f>IF(OR($M1563="",$T1563=""),"",$T1563+(AE$2*$M1563))</f>
        <v/>
      </c>
      <c r="AF1563" s="52">
        <f>IF(OR(T1563="",I1563&lt;T1563),"",IFERROR(AVERAGE(T1563+M1563*{7,8,9,10,11})/IF(G1563="",I1563,G1563)-1,""))</f>
        <v/>
      </c>
      <c r="AG1563" s="55">
        <f>IF(OR(T1563="",I1563&lt;T1563),"",IFERROR(AF1563/-(R1563/IF(G1563="",I1563,G1563)-1),""))</f>
        <v/>
      </c>
      <c r="AH1563" s="94" t="n"/>
      <c r="AI1563" s="94" t="n"/>
      <c r="AJ1563" s="94" t="n"/>
      <c r="AK1563" s="94" t="n"/>
      <c r="AL1563" s="84" t="n"/>
    </row>
    <row r="1564">
      <c r="A1564" s="64" t="n"/>
      <c r="B1564" s="65" t="n"/>
      <c r="C1564" s="66" t="n"/>
      <c r="D1564" s="67" t="n"/>
      <c r="E1564" s="68" t="n"/>
      <c r="F1564" s="47">
        <f>IF(A1564="","",IF(MIN(H1564,MAX(J1564:K1564))=0,"",MIN(H1564,MAX(J1564:K1564))))</f>
        <v/>
      </c>
      <c r="G1564" s="74" t="n"/>
      <c r="H1564" s="49">
        <f>IF(M1564="","",IFERROR(ROUND(AVERAGE(T1564+M1564*{7,8,9,10,11})/1.21,4),""))</f>
        <v/>
      </c>
      <c r="I1564" s="76" t="n"/>
      <c r="J1564" s="77" t="n"/>
      <c r="K1564" s="74" t="n"/>
      <c r="L1564" s="78" t="n"/>
      <c r="M1564" s="77" t="n"/>
      <c r="N1564" s="53">
        <f>IF(M1564="","",IFERROR(M1564/I1564,""))</f>
        <v/>
      </c>
      <c r="O1564" s="50">
        <f>IF(A1564="","",IFERROR((IF(G1564="",I1564,G1564)-T1564)/M1564,""))</f>
        <v/>
      </c>
      <c r="P1564" s="50">
        <f>IFERROR((I1564/T1564-1)/N1564,"")</f>
        <v/>
      </c>
      <c r="Q1564" s="46">
        <f>IF(OR(T1564="",I1564&lt;T1564),"",IFERROR(R1564/IF(G1564="",I1564,G1564)-1,""))</f>
        <v/>
      </c>
      <c r="R1564" s="48">
        <f>IF($M1564="","",MAX(IF($G1564="",$I1564,$G1564)*(1/1.1),IF($G1564="",$I1564,$G1564)+(R$2*$M1564)))</f>
        <v/>
      </c>
      <c r="S1564" s="49">
        <f>IF($M1564="","",MAX(IF($G1564="",$I1564,$G1564)*(1/1.1),IF($G1564="",$I1564,$G1564)+(S$2*$M1564)))</f>
        <v/>
      </c>
      <c r="T1564" s="82" t="n"/>
      <c r="U1564" s="47">
        <f>IF(OR($M1564="",$T1564=""),"",$T1564+(U$2*$M1564))</f>
        <v/>
      </c>
      <c r="V1564" s="48">
        <f>IF(OR($M1564="",$T1564=""),"",$T1564+(V$2*$M1564))</f>
        <v/>
      </c>
      <c r="W1564" s="48">
        <f>IF(OR($M1564="",$T1564=""),"",$T1564+(W$2*$M1564))</f>
        <v/>
      </c>
      <c r="X1564" s="49">
        <f>IF(OR($M1564="",$T1564=""),"",$T1564+(X$2*$M1564))</f>
        <v/>
      </c>
      <c r="Y1564" s="47">
        <f>IF(OR($M1564="",$T1564=""),"",$T1564+(Y$2*$M1564))</f>
        <v/>
      </c>
      <c r="Z1564" s="49">
        <f>IF(OR($M1564="",$T1564=""),"",$T1564+(Z$2*$M1564))</f>
        <v/>
      </c>
      <c r="AA1564" s="51">
        <f>IF(OR($M1564="",$T1564=""),"",$T1564+(AA$2*$M1564))</f>
        <v/>
      </c>
      <c r="AB1564" s="48">
        <f>IF(OR($M1564="",$T1564=""),"",$T1564+(AB$2*$M1564))</f>
        <v/>
      </c>
      <c r="AC1564" s="48">
        <f>IF(OR($M1564="",$T1564=""),"",$T1564+(AC$2*$M1564))</f>
        <v/>
      </c>
      <c r="AD1564" s="48">
        <f>IF(OR($M1564="",$T1564=""),"",$T1564+(AD$2*$M1564))</f>
        <v/>
      </c>
      <c r="AE1564" s="49">
        <f>IF(OR($M1564="",$T1564=""),"",$T1564+(AE$2*$M1564))</f>
        <v/>
      </c>
      <c r="AF1564" s="52">
        <f>IF(OR(T1564="",I1564&lt;T1564),"",IFERROR(AVERAGE(T1564+M1564*{7,8,9,10,11})/IF(G1564="",I1564,G1564)-1,""))</f>
        <v/>
      </c>
      <c r="AG1564" s="55">
        <f>IF(OR(T1564="",I1564&lt;T1564),"",IFERROR(AF1564/-(R1564/IF(G1564="",I1564,G1564)-1),""))</f>
        <v/>
      </c>
      <c r="AH1564" s="94" t="n"/>
      <c r="AI1564" s="94" t="n"/>
      <c r="AJ1564" s="94" t="n"/>
      <c r="AK1564" s="94" t="n"/>
      <c r="AL1564" s="84" t="n"/>
    </row>
    <row r="1565">
      <c r="A1565" s="64" t="n"/>
      <c r="B1565" s="65" t="n"/>
      <c r="C1565" s="66" t="n"/>
      <c r="D1565" s="67" t="n"/>
      <c r="E1565" s="68" t="n"/>
      <c r="F1565" s="47">
        <f>IF(A1565="","",IF(MIN(H1565,MAX(J1565:K1565))=0,"",MIN(H1565,MAX(J1565:K1565))))</f>
        <v/>
      </c>
      <c r="G1565" s="74" t="n"/>
      <c r="H1565" s="49">
        <f>IF(M1565="","",IFERROR(ROUND(AVERAGE(T1565+M1565*{7,8,9,10,11})/1.21,4),""))</f>
        <v/>
      </c>
      <c r="I1565" s="76" t="n"/>
      <c r="J1565" s="77" t="n"/>
      <c r="K1565" s="74" t="n"/>
      <c r="L1565" s="78" t="n"/>
      <c r="M1565" s="77" t="n"/>
      <c r="N1565" s="53">
        <f>IF(M1565="","",IFERROR(M1565/I1565,""))</f>
        <v/>
      </c>
      <c r="O1565" s="50">
        <f>IF(A1565="","",IFERROR((IF(G1565="",I1565,G1565)-T1565)/M1565,""))</f>
        <v/>
      </c>
      <c r="P1565" s="50">
        <f>IFERROR((I1565/T1565-1)/N1565,"")</f>
        <v/>
      </c>
      <c r="Q1565" s="46">
        <f>IF(OR(T1565="",I1565&lt;T1565),"",IFERROR(R1565/IF(G1565="",I1565,G1565)-1,""))</f>
        <v/>
      </c>
      <c r="R1565" s="48">
        <f>IF($M1565="","",MAX(IF($G1565="",$I1565,$G1565)*(1/1.1),IF($G1565="",$I1565,$G1565)+(R$2*$M1565)))</f>
        <v/>
      </c>
      <c r="S1565" s="49">
        <f>IF($M1565="","",MAX(IF($G1565="",$I1565,$G1565)*(1/1.1),IF($G1565="",$I1565,$G1565)+(S$2*$M1565)))</f>
        <v/>
      </c>
      <c r="T1565" s="82" t="n"/>
      <c r="U1565" s="47">
        <f>IF(OR($M1565="",$T1565=""),"",$T1565+(U$2*$M1565))</f>
        <v/>
      </c>
      <c r="V1565" s="48">
        <f>IF(OR($M1565="",$T1565=""),"",$T1565+(V$2*$M1565))</f>
        <v/>
      </c>
      <c r="W1565" s="48">
        <f>IF(OR($M1565="",$T1565=""),"",$T1565+(W$2*$M1565))</f>
        <v/>
      </c>
      <c r="X1565" s="49">
        <f>IF(OR($M1565="",$T1565=""),"",$T1565+(X$2*$M1565))</f>
        <v/>
      </c>
      <c r="Y1565" s="47">
        <f>IF(OR($M1565="",$T1565=""),"",$T1565+(Y$2*$M1565))</f>
        <v/>
      </c>
      <c r="Z1565" s="49">
        <f>IF(OR($M1565="",$T1565=""),"",$T1565+(Z$2*$M1565))</f>
        <v/>
      </c>
      <c r="AA1565" s="51">
        <f>IF(OR($M1565="",$T1565=""),"",$T1565+(AA$2*$M1565))</f>
        <v/>
      </c>
      <c r="AB1565" s="48">
        <f>IF(OR($M1565="",$T1565=""),"",$T1565+(AB$2*$M1565))</f>
        <v/>
      </c>
      <c r="AC1565" s="48">
        <f>IF(OR($M1565="",$T1565=""),"",$T1565+(AC$2*$M1565))</f>
        <v/>
      </c>
      <c r="AD1565" s="48">
        <f>IF(OR($M1565="",$T1565=""),"",$T1565+(AD$2*$M1565))</f>
        <v/>
      </c>
      <c r="AE1565" s="49">
        <f>IF(OR($M1565="",$T1565=""),"",$T1565+(AE$2*$M1565))</f>
        <v/>
      </c>
      <c r="AF1565" s="52">
        <f>IF(OR(T1565="",I1565&lt;T1565),"",IFERROR(AVERAGE(T1565+M1565*{7,8,9,10,11})/IF(G1565="",I1565,G1565)-1,""))</f>
        <v/>
      </c>
      <c r="AG1565" s="55">
        <f>IF(OR(T1565="",I1565&lt;T1565),"",IFERROR(AF1565/-(R1565/IF(G1565="",I1565,G1565)-1),""))</f>
        <v/>
      </c>
      <c r="AH1565" s="94" t="n"/>
      <c r="AI1565" s="94" t="n"/>
      <c r="AJ1565" s="94" t="n"/>
      <c r="AK1565" s="94" t="n"/>
      <c r="AL1565" s="84" t="n"/>
    </row>
    <row r="1566">
      <c r="A1566" s="64" t="n"/>
      <c r="B1566" s="65" t="n"/>
      <c r="C1566" s="66" t="n"/>
      <c r="D1566" s="67" t="n"/>
      <c r="E1566" s="68" t="n"/>
      <c r="F1566" s="47">
        <f>IF(A1566="","",IF(MIN(H1566,MAX(J1566:K1566))=0,"",MIN(H1566,MAX(J1566:K1566))))</f>
        <v/>
      </c>
      <c r="G1566" s="74" t="n"/>
      <c r="H1566" s="49">
        <f>IF(M1566="","",IFERROR(ROUND(AVERAGE(T1566+M1566*{7,8,9,10,11})/1.21,4),""))</f>
        <v/>
      </c>
      <c r="I1566" s="76" t="n"/>
      <c r="J1566" s="77" t="n"/>
      <c r="K1566" s="74" t="n"/>
      <c r="L1566" s="78" t="n"/>
      <c r="M1566" s="77" t="n"/>
      <c r="N1566" s="53">
        <f>IF(M1566="","",IFERROR(M1566/I1566,""))</f>
        <v/>
      </c>
      <c r="O1566" s="50">
        <f>IF(A1566="","",IFERROR((IF(G1566="",I1566,G1566)-T1566)/M1566,""))</f>
        <v/>
      </c>
      <c r="P1566" s="50">
        <f>IFERROR((I1566/T1566-1)/N1566,"")</f>
        <v/>
      </c>
      <c r="Q1566" s="46">
        <f>IF(OR(T1566="",I1566&lt;T1566),"",IFERROR(R1566/IF(G1566="",I1566,G1566)-1,""))</f>
        <v/>
      </c>
      <c r="R1566" s="48">
        <f>IF($M1566="","",MAX(IF($G1566="",$I1566,$G1566)*(1/1.1),IF($G1566="",$I1566,$G1566)+(R$2*$M1566)))</f>
        <v/>
      </c>
      <c r="S1566" s="49">
        <f>IF($M1566="","",MAX(IF($G1566="",$I1566,$G1566)*(1/1.1),IF($G1566="",$I1566,$G1566)+(S$2*$M1566)))</f>
        <v/>
      </c>
      <c r="T1566" s="82" t="n"/>
      <c r="U1566" s="47">
        <f>IF(OR($M1566="",$T1566=""),"",$T1566+(U$2*$M1566))</f>
        <v/>
      </c>
      <c r="V1566" s="48">
        <f>IF(OR($M1566="",$T1566=""),"",$T1566+(V$2*$M1566))</f>
        <v/>
      </c>
      <c r="W1566" s="48">
        <f>IF(OR($M1566="",$T1566=""),"",$T1566+(W$2*$M1566))</f>
        <v/>
      </c>
      <c r="X1566" s="49">
        <f>IF(OR($M1566="",$T1566=""),"",$T1566+(X$2*$M1566))</f>
        <v/>
      </c>
      <c r="Y1566" s="47">
        <f>IF(OR($M1566="",$T1566=""),"",$T1566+(Y$2*$M1566))</f>
        <v/>
      </c>
      <c r="Z1566" s="49">
        <f>IF(OR($M1566="",$T1566=""),"",$T1566+(Z$2*$M1566))</f>
        <v/>
      </c>
      <c r="AA1566" s="51">
        <f>IF(OR($M1566="",$T1566=""),"",$T1566+(AA$2*$M1566))</f>
        <v/>
      </c>
      <c r="AB1566" s="48">
        <f>IF(OR($M1566="",$T1566=""),"",$T1566+(AB$2*$M1566))</f>
        <v/>
      </c>
      <c r="AC1566" s="48">
        <f>IF(OR($M1566="",$T1566=""),"",$T1566+(AC$2*$M1566))</f>
        <v/>
      </c>
      <c r="AD1566" s="48">
        <f>IF(OR($M1566="",$T1566=""),"",$T1566+(AD$2*$M1566))</f>
        <v/>
      </c>
      <c r="AE1566" s="49">
        <f>IF(OR($M1566="",$T1566=""),"",$T1566+(AE$2*$M1566))</f>
        <v/>
      </c>
      <c r="AF1566" s="52">
        <f>IF(OR(T1566="",I1566&lt;T1566),"",IFERROR(AVERAGE(T1566+M1566*{7,8,9,10,11})/IF(G1566="",I1566,G1566)-1,""))</f>
        <v/>
      </c>
      <c r="AG1566" s="55">
        <f>IF(OR(T1566="",I1566&lt;T1566),"",IFERROR(AF1566/-(R1566/IF(G1566="",I1566,G1566)-1),""))</f>
        <v/>
      </c>
      <c r="AH1566" s="94" t="n"/>
      <c r="AI1566" s="94" t="n"/>
      <c r="AJ1566" s="94" t="n"/>
      <c r="AK1566" s="94" t="n"/>
      <c r="AL1566" s="84" t="n"/>
    </row>
    <row r="1567">
      <c r="A1567" s="64" t="n"/>
      <c r="B1567" s="65" t="n"/>
      <c r="C1567" s="66" t="n"/>
      <c r="D1567" s="67" t="n"/>
      <c r="E1567" s="68" t="n"/>
      <c r="F1567" s="47">
        <f>IF(A1567="","",IF(MIN(H1567,MAX(J1567:K1567))=0,"",MIN(H1567,MAX(J1567:K1567))))</f>
        <v/>
      </c>
      <c r="G1567" s="74" t="n"/>
      <c r="H1567" s="49">
        <f>IF(M1567="","",IFERROR(ROUND(AVERAGE(T1567+M1567*{7,8,9,10,11})/1.21,4),""))</f>
        <v/>
      </c>
      <c r="I1567" s="76" t="n"/>
      <c r="J1567" s="77" t="n"/>
      <c r="K1567" s="74" t="n"/>
      <c r="L1567" s="78" t="n"/>
      <c r="M1567" s="77" t="n"/>
      <c r="N1567" s="53">
        <f>IF(M1567="","",IFERROR(M1567/I1567,""))</f>
        <v/>
      </c>
      <c r="O1567" s="50">
        <f>IF(A1567="","",IFERROR((IF(G1567="",I1567,G1567)-T1567)/M1567,""))</f>
        <v/>
      </c>
      <c r="P1567" s="50">
        <f>IFERROR((I1567/T1567-1)/N1567,"")</f>
        <v/>
      </c>
      <c r="Q1567" s="46">
        <f>IF(OR(T1567="",I1567&lt;T1567),"",IFERROR(R1567/IF(G1567="",I1567,G1567)-1,""))</f>
        <v/>
      </c>
      <c r="R1567" s="48">
        <f>IF($M1567="","",MAX(IF($G1567="",$I1567,$G1567)*(1/1.1),IF($G1567="",$I1567,$G1567)+(R$2*$M1567)))</f>
        <v/>
      </c>
      <c r="S1567" s="49">
        <f>IF($M1567="","",MAX(IF($G1567="",$I1567,$G1567)*(1/1.1),IF($G1567="",$I1567,$G1567)+(S$2*$M1567)))</f>
        <v/>
      </c>
      <c r="T1567" s="82" t="n"/>
      <c r="U1567" s="47">
        <f>IF(OR($M1567="",$T1567=""),"",$T1567+(U$2*$M1567))</f>
        <v/>
      </c>
      <c r="V1567" s="48">
        <f>IF(OR($M1567="",$T1567=""),"",$T1567+(V$2*$M1567))</f>
        <v/>
      </c>
      <c r="W1567" s="48">
        <f>IF(OR($M1567="",$T1567=""),"",$T1567+(W$2*$M1567))</f>
        <v/>
      </c>
      <c r="X1567" s="49">
        <f>IF(OR($M1567="",$T1567=""),"",$T1567+(X$2*$M1567))</f>
        <v/>
      </c>
      <c r="Y1567" s="47">
        <f>IF(OR($M1567="",$T1567=""),"",$T1567+(Y$2*$M1567))</f>
        <v/>
      </c>
      <c r="Z1567" s="49">
        <f>IF(OR($M1567="",$T1567=""),"",$T1567+(Z$2*$M1567))</f>
        <v/>
      </c>
      <c r="AA1567" s="51">
        <f>IF(OR($M1567="",$T1567=""),"",$T1567+(AA$2*$M1567))</f>
        <v/>
      </c>
      <c r="AB1567" s="48">
        <f>IF(OR($M1567="",$T1567=""),"",$T1567+(AB$2*$M1567))</f>
        <v/>
      </c>
      <c r="AC1567" s="48">
        <f>IF(OR($M1567="",$T1567=""),"",$T1567+(AC$2*$M1567))</f>
        <v/>
      </c>
      <c r="AD1567" s="48">
        <f>IF(OR($M1567="",$T1567=""),"",$T1567+(AD$2*$M1567))</f>
        <v/>
      </c>
      <c r="AE1567" s="49">
        <f>IF(OR($M1567="",$T1567=""),"",$T1567+(AE$2*$M1567))</f>
        <v/>
      </c>
      <c r="AF1567" s="52">
        <f>IF(OR(T1567="",I1567&lt;T1567),"",IFERROR(AVERAGE(T1567+M1567*{7,8,9,10,11})/IF(G1567="",I1567,G1567)-1,""))</f>
        <v/>
      </c>
      <c r="AG1567" s="55">
        <f>IF(OR(T1567="",I1567&lt;T1567),"",IFERROR(AF1567/-(R1567/IF(G1567="",I1567,G1567)-1),""))</f>
        <v/>
      </c>
      <c r="AH1567" s="94" t="n"/>
      <c r="AI1567" s="94" t="n"/>
      <c r="AJ1567" s="94" t="n"/>
      <c r="AK1567" s="94" t="n"/>
      <c r="AL1567" s="84" t="n"/>
    </row>
    <row r="1568">
      <c r="A1568" s="64" t="n"/>
      <c r="B1568" s="65" t="n"/>
      <c r="C1568" s="66" t="n"/>
      <c r="D1568" s="67" t="n"/>
      <c r="E1568" s="68" t="n"/>
      <c r="F1568" s="47">
        <f>IF(A1568="","",IF(MIN(H1568,MAX(J1568:K1568))=0,"",MIN(H1568,MAX(J1568:K1568))))</f>
        <v/>
      </c>
      <c r="G1568" s="74" t="n"/>
      <c r="H1568" s="49">
        <f>IF(M1568="","",IFERROR(ROUND(AVERAGE(T1568+M1568*{7,8,9,10,11})/1.21,4),""))</f>
        <v/>
      </c>
      <c r="I1568" s="76" t="n"/>
      <c r="J1568" s="77" t="n"/>
      <c r="K1568" s="74" t="n"/>
      <c r="L1568" s="78" t="n"/>
      <c r="M1568" s="77" t="n"/>
      <c r="N1568" s="53">
        <f>IF(M1568="","",IFERROR(M1568/I1568,""))</f>
        <v/>
      </c>
      <c r="O1568" s="50">
        <f>IF(A1568="","",IFERROR((IF(G1568="",I1568,G1568)-T1568)/M1568,""))</f>
        <v/>
      </c>
      <c r="P1568" s="50">
        <f>IFERROR((I1568/T1568-1)/N1568,"")</f>
        <v/>
      </c>
      <c r="Q1568" s="46">
        <f>IF(OR(T1568="",I1568&lt;T1568),"",IFERROR(R1568/IF(G1568="",I1568,G1568)-1,""))</f>
        <v/>
      </c>
      <c r="R1568" s="48">
        <f>IF($M1568="","",MAX(IF($G1568="",$I1568,$G1568)*(1/1.1),IF($G1568="",$I1568,$G1568)+(R$2*$M1568)))</f>
        <v/>
      </c>
      <c r="S1568" s="49">
        <f>IF($M1568="","",MAX(IF($G1568="",$I1568,$G1568)*(1/1.1),IF($G1568="",$I1568,$G1568)+(S$2*$M1568)))</f>
        <v/>
      </c>
      <c r="T1568" s="82" t="n"/>
      <c r="U1568" s="47">
        <f>IF(OR($M1568="",$T1568=""),"",$T1568+(U$2*$M1568))</f>
        <v/>
      </c>
      <c r="V1568" s="48">
        <f>IF(OR($M1568="",$T1568=""),"",$T1568+(V$2*$M1568))</f>
        <v/>
      </c>
      <c r="W1568" s="48">
        <f>IF(OR($M1568="",$T1568=""),"",$T1568+(W$2*$M1568))</f>
        <v/>
      </c>
      <c r="X1568" s="49">
        <f>IF(OR($M1568="",$T1568=""),"",$T1568+(X$2*$M1568))</f>
        <v/>
      </c>
      <c r="Y1568" s="47">
        <f>IF(OR($M1568="",$T1568=""),"",$T1568+(Y$2*$M1568))</f>
        <v/>
      </c>
      <c r="Z1568" s="49">
        <f>IF(OR($M1568="",$T1568=""),"",$T1568+(Z$2*$M1568))</f>
        <v/>
      </c>
      <c r="AA1568" s="51">
        <f>IF(OR($M1568="",$T1568=""),"",$T1568+(AA$2*$M1568))</f>
        <v/>
      </c>
      <c r="AB1568" s="48">
        <f>IF(OR($M1568="",$T1568=""),"",$T1568+(AB$2*$M1568))</f>
        <v/>
      </c>
      <c r="AC1568" s="48">
        <f>IF(OR($M1568="",$T1568=""),"",$T1568+(AC$2*$M1568))</f>
        <v/>
      </c>
      <c r="AD1568" s="48">
        <f>IF(OR($M1568="",$T1568=""),"",$T1568+(AD$2*$M1568))</f>
        <v/>
      </c>
      <c r="AE1568" s="49">
        <f>IF(OR($M1568="",$T1568=""),"",$T1568+(AE$2*$M1568))</f>
        <v/>
      </c>
      <c r="AF1568" s="52">
        <f>IF(OR(T1568="",I1568&lt;T1568),"",IFERROR(AVERAGE(T1568+M1568*{7,8,9,10,11})/IF(G1568="",I1568,G1568)-1,""))</f>
        <v/>
      </c>
      <c r="AG1568" s="55">
        <f>IF(OR(T1568="",I1568&lt;T1568),"",IFERROR(AF1568/-(R1568/IF(G1568="",I1568,G1568)-1),""))</f>
        <v/>
      </c>
      <c r="AH1568" s="94" t="n"/>
      <c r="AI1568" s="94" t="n"/>
      <c r="AJ1568" s="94" t="n"/>
      <c r="AK1568" s="94" t="n"/>
      <c r="AL1568" s="84" t="n"/>
    </row>
    <row r="1569">
      <c r="A1569" s="64" t="n"/>
      <c r="B1569" s="65" t="n"/>
      <c r="C1569" s="66" t="n"/>
      <c r="D1569" s="67" t="n"/>
      <c r="E1569" s="68" t="n"/>
      <c r="F1569" s="47">
        <f>IF(A1569="","",IF(MIN(H1569,MAX(J1569:K1569))=0,"",MIN(H1569,MAX(J1569:K1569))))</f>
        <v/>
      </c>
      <c r="G1569" s="74" t="n"/>
      <c r="H1569" s="49">
        <f>IF(M1569="","",IFERROR(ROUND(AVERAGE(T1569+M1569*{7,8,9,10,11})/1.21,4),""))</f>
        <v/>
      </c>
      <c r="I1569" s="76" t="n"/>
      <c r="J1569" s="77" t="n"/>
      <c r="K1569" s="74" t="n"/>
      <c r="L1569" s="78" t="n"/>
      <c r="M1569" s="77" t="n"/>
      <c r="N1569" s="53">
        <f>IF(M1569="","",IFERROR(M1569/I1569,""))</f>
        <v/>
      </c>
      <c r="O1569" s="50">
        <f>IF(A1569="","",IFERROR((IF(G1569="",I1569,G1569)-T1569)/M1569,""))</f>
        <v/>
      </c>
      <c r="P1569" s="50">
        <f>IFERROR((I1569/T1569-1)/N1569,"")</f>
        <v/>
      </c>
      <c r="Q1569" s="46">
        <f>IF(OR(T1569="",I1569&lt;T1569),"",IFERROR(R1569/IF(G1569="",I1569,G1569)-1,""))</f>
        <v/>
      </c>
      <c r="R1569" s="48">
        <f>IF($M1569="","",MAX(IF($G1569="",$I1569,$G1569)*(1/1.1),IF($G1569="",$I1569,$G1569)+(R$2*$M1569)))</f>
        <v/>
      </c>
      <c r="S1569" s="49">
        <f>IF($M1569="","",MAX(IF($G1569="",$I1569,$G1569)*(1/1.1),IF($G1569="",$I1569,$G1569)+(S$2*$M1569)))</f>
        <v/>
      </c>
      <c r="T1569" s="82" t="n"/>
      <c r="U1569" s="47">
        <f>IF(OR($M1569="",$T1569=""),"",$T1569+(U$2*$M1569))</f>
        <v/>
      </c>
      <c r="V1569" s="48">
        <f>IF(OR($M1569="",$T1569=""),"",$T1569+(V$2*$M1569))</f>
        <v/>
      </c>
      <c r="W1569" s="48">
        <f>IF(OR($M1569="",$T1569=""),"",$T1569+(W$2*$M1569))</f>
        <v/>
      </c>
      <c r="X1569" s="49">
        <f>IF(OR($M1569="",$T1569=""),"",$T1569+(X$2*$M1569))</f>
        <v/>
      </c>
      <c r="Y1569" s="47">
        <f>IF(OR($M1569="",$T1569=""),"",$T1569+(Y$2*$M1569))</f>
        <v/>
      </c>
      <c r="Z1569" s="49">
        <f>IF(OR($M1569="",$T1569=""),"",$T1569+(Z$2*$M1569))</f>
        <v/>
      </c>
      <c r="AA1569" s="51">
        <f>IF(OR($M1569="",$T1569=""),"",$T1569+(AA$2*$M1569))</f>
        <v/>
      </c>
      <c r="AB1569" s="48">
        <f>IF(OR($M1569="",$T1569=""),"",$T1569+(AB$2*$M1569))</f>
        <v/>
      </c>
      <c r="AC1569" s="48">
        <f>IF(OR($M1569="",$T1569=""),"",$T1569+(AC$2*$M1569))</f>
        <v/>
      </c>
      <c r="AD1569" s="48">
        <f>IF(OR($M1569="",$T1569=""),"",$T1569+(AD$2*$M1569))</f>
        <v/>
      </c>
      <c r="AE1569" s="49">
        <f>IF(OR($M1569="",$T1569=""),"",$T1569+(AE$2*$M1569))</f>
        <v/>
      </c>
      <c r="AF1569" s="52">
        <f>IF(OR(T1569="",I1569&lt;T1569),"",IFERROR(AVERAGE(T1569+M1569*{7,8,9,10,11})/IF(G1569="",I1569,G1569)-1,""))</f>
        <v/>
      </c>
      <c r="AG1569" s="55">
        <f>IF(OR(T1569="",I1569&lt;T1569),"",IFERROR(AF1569/-(R1569/IF(G1569="",I1569,G1569)-1),""))</f>
        <v/>
      </c>
      <c r="AH1569" s="94" t="n"/>
      <c r="AI1569" s="94" t="n"/>
      <c r="AJ1569" s="94" t="n"/>
      <c r="AK1569" s="94" t="n"/>
      <c r="AL1569" s="84" t="n"/>
    </row>
    <row r="1570">
      <c r="A1570" s="64" t="n"/>
      <c r="B1570" s="65" t="n"/>
      <c r="C1570" s="66" t="n"/>
      <c r="D1570" s="67" t="n"/>
      <c r="E1570" s="68" t="n"/>
      <c r="F1570" s="47">
        <f>IF(A1570="","",IF(MIN(H1570,MAX(J1570:K1570))=0,"",MIN(H1570,MAX(J1570:K1570))))</f>
        <v/>
      </c>
      <c r="G1570" s="74" t="n"/>
      <c r="H1570" s="49">
        <f>IF(M1570="","",IFERROR(ROUND(AVERAGE(T1570+M1570*{7,8,9,10,11})/1.21,4),""))</f>
        <v/>
      </c>
      <c r="I1570" s="76" t="n"/>
      <c r="J1570" s="77" t="n"/>
      <c r="K1570" s="74" t="n"/>
      <c r="L1570" s="78" t="n"/>
      <c r="M1570" s="77" t="n"/>
      <c r="N1570" s="53">
        <f>IF(M1570="","",IFERROR(M1570/I1570,""))</f>
        <v/>
      </c>
      <c r="O1570" s="50">
        <f>IF(A1570="","",IFERROR((IF(G1570="",I1570,G1570)-T1570)/M1570,""))</f>
        <v/>
      </c>
      <c r="P1570" s="50">
        <f>IFERROR((I1570/T1570-1)/N1570,"")</f>
        <v/>
      </c>
      <c r="Q1570" s="46">
        <f>IF(OR(T1570="",I1570&lt;T1570),"",IFERROR(R1570/IF(G1570="",I1570,G1570)-1,""))</f>
        <v/>
      </c>
      <c r="R1570" s="48">
        <f>IF($M1570="","",MAX(IF($G1570="",$I1570,$G1570)*(1/1.1),IF($G1570="",$I1570,$G1570)+(R$2*$M1570)))</f>
        <v/>
      </c>
      <c r="S1570" s="49">
        <f>IF($M1570="","",MAX(IF($G1570="",$I1570,$G1570)*(1/1.1),IF($G1570="",$I1570,$G1570)+(S$2*$M1570)))</f>
        <v/>
      </c>
      <c r="T1570" s="82" t="n"/>
      <c r="U1570" s="47">
        <f>IF(OR($M1570="",$T1570=""),"",$T1570+(U$2*$M1570))</f>
        <v/>
      </c>
      <c r="V1570" s="48">
        <f>IF(OR($M1570="",$T1570=""),"",$T1570+(V$2*$M1570))</f>
        <v/>
      </c>
      <c r="W1570" s="48">
        <f>IF(OR($M1570="",$T1570=""),"",$T1570+(W$2*$M1570))</f>
        <v/>
      </c>
      <c r="X1570" s="49">
        <f>IF(OR($M1570="",$T1570=""),"",$T1570+(X$2*$M1570))</f>
        <v/>
      </c>
      <c r="Y1570" s="47">
        <f>IF(OR($M1570="",$T1570=""),"",$T1570+(Y$2*$M1570))</f>
        <v/>
      </c>
      <c r="Z1570" s="49">
        <f>IF(OR($M1570="",$T1570=""),"",$T1570+(Z$2*$M1570))</f>
        <v/>
      </c>
      <c r="AA1570" s="51">
        <f>IF(OR($M1570="",$T1570=""),"",$T1570+(AA$2*$M1570))</f>
        <v/>
      </c>
      <c r="AB1570" s="48">
        <f>IF(OR($M1570="",$T1570=""),"",$T1570+(AB$2*$M1570))</f>
        <v/>
      </c>
      <c r="AC1570" s="48">
        <f>IF(OR($M1570="",$T1570=""),"",$T1570+(AC$2*$M1570))</f>
        <v/>
      </c>
      <c r="AD1570" s="48">
        <f>IF(OR($M1570="",$T1570=""),"",$T1570+(AD$2*$M1570))</f>
        <v/>
      </c>
      <c r="AE1570" s="49">
        <f>IF(OR($M1570="",$T1570=""),"",$T1570+(AE$2*$M1570))</f>
        <v/>
      </c>
      <c r="AF1570" s="52">
        <f>IF(OR(T1570="",I1570&lt;T1570),"",IFERROR(AVERAGE(T1570+M1570*{7,8,9,10,11})/IF(G1570="",I1570,G1570)-1,""))</f>
        <v/>
      </c>
      <c r="AG1570" s="55">
        <f>IF(OR(T1570="",I1570&lt;T1570),"",IFERROR(AF1570/-(R1570/IF(G1570="",I1570,G1570)-1),""))</f>
        <v/>
      </c>
      <c r="AH1570" s="94" t="n"/>
      <c r="AI1570" s="94" t="n"/>
      <c r="AJ1570" s="94" t="n"/>
      <c r="AK1570" s="94" t="n"/>
      <c r="AL1570" s="84" t="n"/>
    </row>
    <row r="1571">
      <c r="A1571" s="64" t="n"/>
      <c r="B1571" s="65" t="n"/>
      <c r="C1571" s="66" t="n"/>
      <c r="D1571" s="67" t="n"/>
      <c r="E1571" s="68" t="n"/>
      <c r="F1571" s="47">
        <f>IF(A1571="","",IF(MIN(H1571,MAX(J1571:K1571))=0,"",MIN(H1571,MAX(J1571:K1571))))</f>
        <v/>
      </c>
      <c r="G1571" s="74" t="n"/>
      <c r="H1571" s="49">
        <f>IF(M1571="","",IFERROR(ROUND(AVERAGE(T1571+M1571*{7,8,9,10,11})/1.21,4),""))</f>
        <v/>
      </c>
      <c r="I1571" s="76" t="n"/>
      <c r="J1571" s="77" t="n"/>
      <c r="K1571" s="74" t="n"/>
      <c r="L1571" s="78" t="n"/>
      <c r="M1571" s="77" t="n"/>
      <c r="N1571" s="53">
        <f>IF(M1571="","",IFERROR(M1571/I1571,""))</f>
        <v/>
      </c>
      <c r="O1571" s="50">
        <f>IF(A1571="","",IFERROR((IF(G1571="",I1571,G1571)-T1571)/M1571,""))</f>
        <v/>
      </c>
      <c r="P1571" s="50">
        <f>IFERROR((I1571/T1571-1)/N1571,"")</f>
        <v/>
      </c>
      <c r="Q1571" s="46">
        <f>IF(OR(T1571="",I1571&lt;T1571),"",IFERROR(R1571/IF(G1571="",I1571,G1571)-1,""))</f>
        <v/>
      </c>
      <c r="R1571" s="48">
        <f>IF($M1571="","",MAX(IF($G1571="",$I1571,$G1571)*(1/1.1),IF($G1571="",$I1571,$G1571)+(R$2*$M1571)))</f>
        <v/>
      </c>
      <c r="S1571" s="49">
        <f>IF($M1571="","",MAX(IF($G1571="",$I1571,$G1571)*(1/1.1),IF($G1571="",$I1571,$G1571)+(S$2*$M1571)))</f>
        <v/>
      </c>
      <c r="T1571" s="82" t="n"/>
      <c r="U1571" s="47">
        <f>IF(OR($M1571="",$T1571=""),"",$T1571+(U$2*$M1571))</f>
        <v/>
      </c>
      <c r="V1571" s="48">
        <f>IF(OR($M1571="",$T1571=""),"",$T1571+(V$2*$M1571))</f>
        <v/>
      </c>
      <c r="W1571" s="48">
        <f>IF(OR($M1571="",$T1571=""),"",$T1571+(W$2*$M1571))</f>
        <v/>
      </c>
      <c r="X1571" s="49">
        <f>IF(OR($M1571="",$T1571=""),"",$T1571+(X$2*$M1571))</f>
        <v/>
      </c>
      <c r="Y1571" s="47">
        <f>IF(OR($M1571="",$T1571=""),"",$T1571+(Y$2*$M1571))</f>
        <v/>
      </c>
      <c r="Z1571" s="49">
        <f>IF(OR($M1571="",$T1571=""),"",$T1571+(Z$2*$M1571))</f>
        <v/>
      </c>
      <c r="AA1571" s="51">
        <f>IF(OR($M1571="",$T1571=""),"",$T1571+(AA$2*$M1571))</f>
        <v/>
      </c>
      <c r="AB1571" s="48">
        <f>IF(OR($M1571="",$T1571=""),"",$T1571+(AB$2*$M1571))</f>
        <v/>
      </c>
      <c r="AC1571" s="48">
        <f>IF(OR($M1571="",$T1571=""),"",$T1571+(AC$2*$M1571))</f>
        <v/>
      </c>
      <c r="AD1571" s="48">
        <f>IF(OR($M1571="",$T1571=""),"",$T1571+(AD$2*$M1571))</f>
        <v/>
      </c>
      <c r="AE1571" s="49">
        <f>IF(OR($M1571="",$T1571=""),"",$T1571+(AE$2*$M1571))</f>
        <v/>
      </c>
      <c r="AF1571" s="52">
        <f>IF(OR(T1571="",I1571&lt;T1571),"",IFERROR(AVERAGE(T1571+M1571*{7,8,9,10,11})/IF(G1571="",I1571,G1571)-1,""))</f>
        <v/>
      </c>
      <c r="AG1571" s="55">
        <f>IF(OR(T1571="",I1571&lt;T1571),"",IFERROR(AF1571/-(R1571/IF(G1571="",I1571,G1571)-1),""))</f>
        <v/>
      </c>
      <c r="AH1571" s="94" t="n"/>
      <c r="AI1571" s="94" t="n"/>
      <c r="AJ1571" s="94" t="n"/>
      <c r="AK1571" s="94" t="n"/>
      <c r="AL1571" s="84" t="n"/>
    </row>
    <row r="1572">
      <c r="A1572" s="64" t="n"/>
      <c r="B1572" s="65" t="n"/>
      <c r="C1572" s="66" t="n"/>
      <c r="D1572" s="67" t="n"/>
      <c r="E1572" s="68" t="n"/>
      <c r="F1572" s="47">
        <f>IF(A1572="","",IF(MIN(H1572,MAX(J1572:K1572))=0,"",MIN(H1572,MAX(J1572:K1572))))</f>
        <v/>
      </c>
      <c r="G1572" s="74" t="n"/>
      <c r="H1572" s="49">
        <f>IF(M1572="","",IFERROR(ROUND(AVERAGE(T1572+M1572*{7,8,9,10,11})/1.21,4),""))</f>
        <v/>
      </c>
      <c r="I1572" s="76" t="n"/>
      <c r="J1572" s="77" t="n"/>
      <c r="K1572" s="74" t="n"/>
      <c r="L1572" s="78" t="n"/>
      <c r="M1572" s="77" t="n"/>
      <c r="N1572" s="53">
        <f>IF(M1572="","",IFERROR(M1572/I1572,""))</f>
        <v/>
      </c>
      <c r="O1572" s="50">
        <f>IF(A1572="","",IFERROR((IF(G1572="",I1572,G1572)-T1572)/M1572,""))</f>
        <v/>
      </c>
      <c r="P1572" s="50">
        <f>IFERROR((I1572/T1572-1)/N1572,"")</f>
        <v/>
      </c>
      <c r="Q1572" s="46">
        <f>IF(OR(T1572="",I1572&lt;T1572),"",IFERROR(R1572/IF(G1572="",I1572,G1572)-1,""))</f>
        <v/>
      </c>
      <c r="R1572" s="48">
        <f>IF($M1572="","",MAX(IF($G1572="",$I1572,$G1572)*(1/1.1),IF($G1572="",$I1572,$G1572)+(R$2*$M1572)))</f>
        <v/>
      </c>
      <c r="S1572" s="49">
        <f>IF($M1572="","",MAX(IF($G1572="",$I1572,$G1572)*(1/1.1),IF($G1572="",$I1572,$G1572)+(S$2*$M1572)))</f>
        <v/>
      </c>
      <c r="T1572" s="82" t="n"/>
      <c r="U1572" s="47">
        <f>IF(OR($M1572="",$T1572=""),"",$T1572+(U$2*$M1572))</f>
        <v/>
      </c>
      <c r="V1572" s="48">
        <f>IF(OR($M1572="",$T1572=""),"",$T1572+(V$2*$M1572))</f>
        <v/>
      </c>
      <c r="W1572" s="48">
        <f>IF(OR($M1572="",$T1572=""),"",$T1572+(W$2*$M1572))</f>
        <v/>
      </c>
      <c r="X1572" s="49">
        <f>IF(OR($M1572="",$T1572=""),"",$T1572+(X$2*$M1572))</f>
        <v/>
      </c>
      <c r="Y1572" s="47">
        <f>IF(OR($M1572="",$T1572=""),"",$T1572+(Y$2*$M1572))</f>
        <v/>
      </c>
      <c r="Z1572" s="49">
        <f>IF(OR($M1572="",$T1572=""),"",$T1572+(Z$2*$M1572))</f>
        <v/>
      </c>
      <c r="AA1572" s="51">
        <f>IF(OR($M1572="",$T1572=""),"",$T1572+(AA$2*$M1572))</f>
        <v/>
      </c>
      <c r="AB1572" s="48">
        <f>IF(OR($M1572="",$T1572=""),"",$T1572+(AB$2*$M1572))</f>
        <v/>
      </c>
      <c r="AC1572" s="48">
        <f>IF(OR($M1572="",$T1572=""),"",$T1572+(AC$2*$M1572))</f>
        <v/>
      </c>
      <c r="AD1572" s="48">
        <f>IF(OR($M1572="",$T1572=""),"",$T1572+(AD$2*$M1572))</f>
        <v/>
      </c>
      <c r="AE1572" s="49">
        <f>IF(OR($M1572="",$T1572=""),"",$T1572+(AE$2*$M1572))</f>
        <v/>
      </c>
      <c r="AF1572" s="52">
        <f>IF(OR(T1572="",I1572&lt;T1572),"",IFERROR(AVERAGE(T1572+M1572*{7,8,9,10,11})/IF(G1572="",I1572,G1572)-1,""))</f>
        <v/>
      </c>
      <c r="AG1572" s="55">
        <f>IF(OR(T1572="",I1572&lt;T1572),"",IFERROR(AF1572/-(R1572/IF(G1572="",I1572,G1572)-1),""))</f>
        <v/>
      </c>
      <c r="AH1572" s="94" t="n"/>
      <c r="AI1572" s="94" t="n"/>
      <c r="AJ1572" s="94" t="n"/>
      <c r="AK1572" s="94" t="n"/>
      <c r="AL1572" s="84" t="n"/>
    </row>
    <row r="1573">
      <c r="A1573" s="64" t="n"/>
      <c r="B1573" s="65" t="n"/>
      <c r="C1573" s="66" t="n"/>
      <c r="D1573" s="67" t="n"/>
      <c r="E1573" s="68" t="n"/>
      <c r="F1573" s="47">
        <f>IF(A1573="","",IF(MIN(H1573,MAX(J1573:K1573))=0,"",MIN(H1573,MAX(J1573:K1573))))</f>
        <v/>
      </c>
      <c r="G1573" s="74" t="n"/>
      <c r="H1573" s="49">
        <f>IF(M1573="","",IFERROR(ROUND(AVERAGE(T1573+M1573*{7,8,9,10,11})/1.21,4),""))</f>
        <v/>
      </c>
      <c r="I1573" s="76" t="n"/>
      <c r="J1573" s="77" t="n"/>
      <c r="K1573" s="74" t="n"/>
      <c r="L1573" s="78" t="n"/>
      <c r="M1573" s="77" t="n"/>
      <c r="N1573" s="53">
        <f>IF(M1573="","",IFERROR(M1573/I1573,""))</f>
        <v/>
      </c>
      <c r="O1573" s="50">
        <f>IF(A1573="","",IFERROR((IF(G1573="",I1573,G1573)-T1573)/M1573,""))</f>
        <v/>
      </c>
      <c r="P1573" s="50">
        <f>IFERROR((I1573/T1573-1)/N1573,"")</f>
        <v/>
      </c>
      <c r="Q1573" s="46">
        <f>IF(OR(T1573="",I1573&lt;T1573),"",IFERROR(R1573/IF(G1573="",I1573,G1573)-1,""))</f>
        <v/>
      </c>
      <c r="R1573" s="48">
        <f>IF($M1573="","",MAX(IF($G1573="",$I1573,$G1573)*(1/1.1),IF($G1573="",$I1573,$G1573)+(R$2*$M1573)))</f>
        <v/>
      </c>
      <c r="S1573" s="49">
        <f>IF($M1573="","",MAX(IF($G1573="",$I1573,$G1573)*(1/1.1),IF($G1573="",$I1573,$G1573)+(S$2*$M1573)))</f>
        <v/>
      </c>
      <c r="T1573" s="82" t="n"/>
      <c r="U1573" s="47">
        <f>IF(OR($M1573="",$T1573=""),"",$T1573+(U$2*$M1573))</f>
        <v/>
      </c>
      <c r="V1573" s="48">
        <f>IF(OR($M1573="",$T1573=""),"",$T1573+(V$2*$M1573))</f>
        <v/>
      </c>
      <c r="W1573" s="48">
        <f>IF(OR($M1573="",$T1573=""),"",$T1573+(W$2*$M1573))</f>
        <v/>
      </c>
      <c r="X1573" s="49">
        <f>IF(OR($M1573="",$T1573=""),"",$T1573+(X$2*$M1573))</f>
        <v/>
      </c>
      <c r="Y1573" s="47">
        <f>IF(OR($M1573="",$T1573=""),"",$T1573+(Y$2*$M1573))</f>
        <v/>
      </c>
      <c r="Z1573" s="49">
        <f>IF(OR($M1573="",$T1573=""),"",$T1573+(Z$2*$M1573))</f>
        <v/>
      </c>
      <c r="AA1573" s="51">
        <f>IF(OR($M1573="",$T1573=""),"",$T1573+(AA$2*$M1573))</f>
        <v/>
      </c>
      <c r="AB1573" s="48">
        <f>IF(OR($M1573="",$T1573=""),"",$T1573+(AB$2*$M1573))</f>
        <v/>
      </c>
      <c r="AC1573" s="48">
        <f>IF(OR($M1573="",$T1573=""),"",$T1573+(AC$2*$M1573))</f>
        <v/>
      </c>
      <c r="AD1573" s="48">
        <f>IF(OR($M1573="",$T1573=""),"",$T1573+(AD$2*$M1573))</f>
        <v/>
      </c>
      <c r="AE1573" s="49">
        <f>IF(OR($M1573="",$T1573=""),"",$T1573+(AE$2*$M1573))</f>
        <v/>
      </c>
      <c r="AF1573" s="52">
        <f>IF(OR(T1573="",I1573&lt;T1573),"",IFERROR(AVERAGE(T1573+M1573*{7,8,9,10,11})/IF(G1573="",I1573,G1573)-1,""))</f>
        <v/>
      </c>
      <c r="AG1573" s="55">
        <f>IF(OR(T1573="",I1573&lt;T1573),"",IFERROR(AF1573/-(R1573/IF(G1573="",I1573,G1573)-1),""))</f>
        <v/>
      </c>
      <c r="AH1573" s="94" t="n"/>
      <c r="AI1573" s="94" t="n"/>
      <c r="AJ1573" s="94" t="n"/>
      <c r="AK1573" s="94" t="n"/>
      <c r="AL1573" s="84" t="n"/>
    </row>
    <row r="1574">
      <c r="A1574" s="64" t="n"/>
      <c r="B1574" s="65" t="n"/>
      <c r="C1574" s="66" t="n"/>
      <c r="D1574" s="67" t="n"/>
      <c r="E1574" s="68" t="n"/>
      <c r="F1574" s="47">
        <f>IF(A1574="","",IF(MIN(H1574,MAX(J1574:K1574))=0,"",MIN(H1574,MAX(J1574:K1574))))</f>
        <v/>
      </c>
      <c r="G1574" s="74" t="n"/>
      <c r="H1574" s="49">
        <f>IF(M1574="","",IFERROR(ROUND(AVERAGE(T1574+M1574*{7,8,9,10,11})/1.21,4),""))</f>
        <v/>
      </c>
      <c r="I1574" s="76" t="n"/>
      <c r="J1574" s="77" t="n"/>
      <c r="K1574" s="74" t="n"/>
      <c r="L1574" s="78" t="n"/>
      <c r="M1574" s="77" t="n"/>
      <c r="N1574" s="53">
        <f>IF(M1574="","",IFERROR(M1574/I1574,""))</f>
        <v/>
      </c>
      <c r="O1574" s="50">
        <f>IF(A1574="","",IFERROR((IF(G1574="",I1574,G1574)-T1574)/M1574,""))</f>
        <v/>
      </c>
      <c r="P1574" s="50">
        <f>IFERROR((I1574/T1574-1)/N1574,"")</f>
        <v/>
      </c>
      <c r="Q1574" s="46">
        <f>IF(OR(T1574="",I1574&lt;T1574),"",IFERROR(R1574/IF(G1574="",I1574,G1574)-1,""))</f>
        <v/>
      </c>
      <c r="R1574" s="48">
        <f>IF($M1574="","",MAX(IF($G1574="",$I1574,$G1574)*(1/1.1),IF($G1574="",$I1574,$G1574)+(R$2*$M1574)))</f>
        <v/>
      </c>
      <c r="S1574" s="49">
        <f>IF($M1574="","",MAX(IF($G1574="",$I1574,$G1574)*(1/1.1),IF($G1574="",$I1574,$G1574)+(S$2*$M1574)))</f>
        <v/>
      </c>
      <c r="T1574" s="82" t="n"/>
      <c r="U1574" s="47">
        <f>IF(OR($M1574="",$T1574=""),"",$T1574+(U$2*$M1574))</f>
        <v/>
      </c>
      <c r="V1574" s="48">
        <f>IF(OR($M1574="",$T1574=""),"",$T1574+(V$2*$M1574))</f>
        <v/>
      </c>
      <c r="W1574" s="48">
        <f>IF(OR($M1574="",$T1574=""),"",$T1574+(W$2*$M1574))</f>
        <v/>
      </c>
      <c r="X1574" s="49">
        <f>IF(OR($M1574="",$T1574=""),"",$T1574+(X$2*$M1574))</f>
        <v/>
      </c>
      <c r="Y1574" s="47">
        <f>IF(OR($M1574="",$T1574=""),"",$T1574+(Y$2*$M1574))</f>
        <v/>
      </c>
      <c r="Z1574" s="49">
        <f>IF(OR($M1574="",$T1574=""),"",$T1574+(Z$2*$M1574))</f>
        <v/>
      </c>
      <c r="AA1574" s="51">
        <f>IF(OR($M1574="",$T1574=""),"",$T1574+(AA$2*$M1574))</f>
        <v/>
      </c>
      <c r="AB1574" s="48">
        <f>IF(OR($M1574="",$T1574=""),"",$T1574+(AB$2*$M1574))</f>
        <v/>
      </c>
      <c r="AC1574" s="48">
        <f>IF(OR($M1574="",$T1574=""),"",$T1574+(AC$2*$M1574))</f>
        <v/>
      </c>
      <c r="AD1574" s="48">
        <f>IF(OR($M1574="",$T1574=""),"",$T1574+(AD$2*$M1574))</f>
        <v/>
      </c>
      <c r="AE1574" s="49">
        <f>IF(OR($M1574="",$T1574=""),"",$T1574+(AE$2*$M1574))</f>
        <v/>
      </c>
      <c r="AF1574" s="52">
        <f>IF(OR(T1574="",I1574&lt;T1574),"",IFERROR(AVERAGE(T1574+M1574*{7,8,9,10,11})/IF(G1574="",I1574,G1574)-1,""))</f>
        <v/>
      </c>
      <c r="AG1574" s="55">
        <f>IF(OR(T1574="",I1574&lt;T1574),"",IFERROR(AF1574/-(R1574/IF(G1574="",I1574,G1574)-1),""))</f>
        <v/>
      </c>
      <c r="AH1574" s="94" t="n"/>
      <c r="AI1574" s="94" t="n"/>
      <c r="AJ1574" s="94" t="n"/>
      <c r="AK1574" s="94" t="n"/>
      <c r="AL1574" s="84" t="n"/>
    </row>
    <row r="1575">
      <c r="A1575" s="64" t="n"/>
      <c r="B1575" s="65" t="n"/>
      <c r="C1575" s="66" t="n"/>
      <c r="D1575" s="67" t="n"/>
      <c r="E1575" s="68" t="n"/>
      <c r="F1575" s="47">
        <f>IF(A1575="","",IF(MIN(H1575,MAX(J1575:K1575))=0,"",MIN(H1575,MAX(J1575:K1575))))</f>
        <v/>
      </c>
      <c r="G1575" s="74" t="n"/>
      <c r="H1575" s="49">
        <f>IF(M1575="","",IFERROR(ROUND(AVERAGE(T1575+M1575*{7,8,9,10,11})/1.21,4),""))</f>
        <v/>
      </c>
      <c r="I1575" s="76" t="n"/>
      <c r="J1575" s="77" t="n"/>
      <c r="K1575" s="74" t="n"/>
      <c r="L1575" s="78" t="n"/>
      <c r="M1575" s="77" t="n"/>
      <c r="N1575" s="53">
        <f>IF(M1575="","",IFERROR(M1575/I1575,""))</f>
        <v/>
      </c>
      <c r="O1575" s="50">
        <f>IF(A1575="","",IFERROR((IF(G1575="",I1575,G1575)-T1575)/M1575,""))</f>
        <v/>
      </c>
      <c r="P1575" s="50">
        <f>IFERROR((I1575/T1575-1)/N1575,"")</f>
        <v/>
      </c>
      <c r="Q1575" s="46">
        <f>IF(OR(T1575="",I1575&lt;T1575),"",IFERROR(R1575/IF(G1575="",I1575,G1575)-1,""))</f>
        <v/>
      </c>
      <c r="R1575" s="48">
        <f>IF($M1575="","",MAX(IF($G1575="",$I1575,$G1575)*(1/1.1),IF($G1575="",$I1575,$G1575)+(R$2*$M1575)))</f>
        <v/>
      </c>
      <c r="S1575" s="49">
        <f>IF($M1575="","",MAX(IF($G1575="",$I1575,$G1575)*(1/1.1),IF($G1575="",$I1575,$G1575)+(S$2*$M1575)))</f>
        <v/>
      </c>
      <c r="T1575" s="82" t="n"/>
      <c r="U1575" s="47">
        <f>IF(OR($M1575="",$T1575=""),"",$T1575+(U$2*$M1575))</f>
        <v/>
      </c>
      <c r="V1575" s="48">
        <f>IF(OR($M1575="",$T1575=""),"",$T1575+(V$2*$M1575))</f>
        <v/>
      </c>
      <c r="W1575" s="48">
        <f>IF(OR($M1575="",$T1575=""),"",$T1575+(W$2*$M1575))</f>
        <v/>
      </c>
      <c r="X1575" s="49">
        <f>IF(OR($M1575="",$T1575=""),"",$T1575+(X$2*$M1575))</f>
        <v/>
      </c>
      <c r="Y1575" s="47">
        <f>IF(OR($M1575="",$T1575=""),"",$T1575+(Y$2*$M1575))</f>
        <v/>
      </c>
      <c r="Z1575" s="49">
        <f>IF(OR($M1575="",$T1575=""),"",$T1575+(Z$2*$M1575))</f>
        <v/>
      </c>
      <c r="AA1575" s="51">
        <f>IF(OR($M1575="",$T1575=""),"",$T1575+(AA$2*$M1575))</f>
        <v/>
      </c>
      <c r="AB1575" s="48">
        <f>IF(OR($M1575="",$T1575=""),"",$T1575+(AB$2*$M1575))</f>
        <v/>
      </c>
      <c r="AC1575" s="48">
        <f>IF(OR($M1575="",$T1575=""),"",$T1575+(AC$2*$M1575))</f>
        <v/>
      </c>
      <c r="AD1575" s="48">
        <f>IF(OR($M1575="",$T1575=""),"",$T1575+(AD$2*$M1575))</f>
        <v/>
      </c>
      <c r="AE1575" s="49">
        <f>IF(OR($M1575="",$T1575=""),"",$T1575+(AE$2*$M1575))</f>
        <v/>
      </c>
      <c r="AF1575" s="52">
        <f>IF(OR(T1575="",I1575&lt;T1575),"",IFERROR(AVERAGE(T1575+M1575*{7,8,9,10,11})/IF(G1575="",I1575,G1575)-1,""))</f>
        <v/>
      </c>
      <c r="AG1575" s="55">
        <f>IF(OR(T1575="",I1575&lt;T1575),"",IFERROR(AF1575/-(R1575/IF(G1575="",I1575,G1575)-1),""))</f>
        <v/>
      </c>
      <c r="AH1575" s="94" t="n"/>
      <c r="AI1575" s="94" t="n"/>
      <c r="AJ1575" s="94" t="n"/>
      <c r="AK1575" s="94" t="n"/>
      <c r="AL1575" s="84" t="n"/>
    </row>
    <row r="1576">
      <c r="A1576" s="64" t="n"/>
      <c r="B1576" s="65" t="n"/>
      <c r="C1576" s="66" t="n"/>
      <c r="D1576" s="67" t="n"/>
      <c r="E1576" s="68" t="n"/>
      <c r="F1576" s="47">
        <f>IF(A1576="","",IF(MIN(H1576,MAX(J1576:K1576))=0,"",MIN(H1576,MAX(J1576:K1576))))</f>
        <v/>
      </c>
      <c r="G1576" s="74" t="n"/>
      <c r="H1576" s="49">
        <f>IF(M1576="","",IFERROR(ROUND(AVERAGE(T1576+M1576*{7,8,9,10,11})/1.21,4),""))</f>
        <v/>
      </c>
      <c r="I1576" s="76" t="n"/>
      <c r="J1576" s="77" t="n"/>
      <c r="K1576" s="74" t="n"/>
      <c r="L1576" s="78" t="n"/>
      <c r="M1576" s="77" t="n"/>
      <c r="N1576" s="53">
        <f>IF(M1576="","",IFERROR(M1576/I1576,""))</f>
        <v/>
      </c>
      <c r="O1576" s="50">
        <f>IF(A1576="","",IFERROR((IF(G1576="",I1576,G1576)-T1576)/M1576,""))</f>
        <v/>
      </c>
      <c r="P1576" s="50">
        <f>IFERROR((I1576/T1576-1)/N1576,"")</f>
        <v/>
      </c>
      <c r="Q1576" s="46">
        <f>IF(OR(T1576="",I1576&lt;T1576),"",IFERROR(R1576/IF(G1576="",I1576,G1576)-1,""))</f>
        <v/>
      </c>
      <c r="R1576" s="48">
        <f>IF($M1576="","",MAX(IF($G1576="",$I1576,$G1576)*(1/1.1),IF($G1576="",$I1576,$G1576)+(R$2*$M1576)))</f>
        <v/>
      </c>
      <c r="S1576" s="49">
        <f>IF($M1576="","",MAX(IF($G1576="",$I1576,$G1576)*(1/1.1),IF($G1576="",$I1576,$G1576)+(S$2*$M1576)))</f>
        <v/>
      </c>
      <c r="T1576" s="82" t="n"/>
      <c r="U1576" s="47">
        <f>IF(OR($M1576="",$T1576=""),"",$T1576+(U$2*$M1576))</f>
        <v/>
      </c>
      <c r="V1576" s="48">
        <f>IF(OR($M1576="",$T1576=""),"",$T1576+(V$2*$M1576))</f>
        <v/>
      </c>
      <c r="W1576" s="48">
        <f>IF(OR($M1576="",$T1576=""),"",$T1576+(W$2*$M1576))</f>
        <v/>
      </c>
      <c r="X1576" s="49">
        <f>IF(OR($M1576="",$T1576=""),"",$T1576+(X$2*$M1576))</f>
        <v/>
      </c>
      <c r="Y1576" s="47">
        <f>IF(OR($M1576="",$T1576=""),"",$T1576+(Y$2*$M1576))</f>
        <v/>
      </c>
      <c r="Z1576" s="49">
        <f>IF(OR($M1576="",$T1576=""),"",$T1576+(Z$2*$M1576))</f>
        <v/>
      </c>
      <c r="AA1576" s="51">
        <f>IF(OR($M1576="",$T1576=""),"",$T1576+(AA$2*$M1576))</f>
        <v/>
      </c>
      <c r="AB1576" s="48">
        <f>IF(OR($M1576="",$T1576=""),"",$T1576+(AB$2*$M1576))</f>
        <v/>
      </c>
      <c r="AC1576" s="48">
        <f>IF(OR($M1576="",$T1576=""),"",$T1576+(AC$2*$M1576))</f>
        <v/>
      </c>
      <c r="AD1576" s="48">
        <f>IF(OR($M1576="",$T1576=""),"",$T1576+(AD$2*$M1576))</f>
        <v/>
      </c>
      <c r="AE1576" s="49">
        <f>IF(OR($M1576="",$T1576=""),"",$T1576+(AE$2*$M1576))</f>
        <v/>
      </c>
      <c r="AF1576" s="52">
        <f>IF(OR(T1576="",I1576&lt;T1576),"",IFERROR(AVERAGE(T1576+M1576*{7,8,9,10,11})/IF(G1576="",I1576,G1576)-1,""))</f>
        <v/>
      </c>
      <c r="AG1576" s="55">
        <f>IF(OR(T1576="",I1576&lt;T1576),"",IFERROR(AF1576/-(R1576/IF(G1576="",I1576,G1576)-1),""))</f>
        <v/>
      </c>
      <c r="AH1576" s="94" t="n"/>
      <c r="AI1576" s="94" t="n"/>
      <c r="AJ1576" s="94" t="n"/>
      <c r="AK1576" s="94" t="n"/>
      <c r="AL1576" s="84" t="n"/>
    </row>
    <row r="1577">
      <c r="A1577" s="64" t="n"/>
      <c r="B1577" s="65" t="n"/>
      <c r="C1577" s="66" t="n"/>
      <c r="D1577" s="67" t="n"/>
      <c r="E1577" s="68" t="n"/>
      <c r="F1577" s="47">
        <f>IF(A1577="","",IF(MIN(H1577,MAX(J1577:K1577))=0,"",MIN(H1577,MAX(J1577:K1577))))</f>
        <v/>
      </c>
      <c r="G1577" s="74" t="n"/>
      <c r="H1577" s="49">
        <f>IF(M1577="","",IFERROR(ROUND(AVERAGE(T1577+M1577*{7,8,9,10,11})/1.21,4),""))</f>
        <v/>
      </c>
      <c r="I1577" s="76" t="n"/>
      <c r="J1577" s="77" t="n"/>
      <c r="K1577" s="74" t="n"/>
      <c r="L1577" s="78" t="n"/>
      <c r="M1577" s="77" t="n"/>
      <c r="N1577" s="53">
        <f>IF(M1577="","",IFERROR(M1577/I1577,""))</f>
        <v/>
      </c>
      <c r="O1577" s="50">
        <f>IF(A1577="","",IFERROR((IF(G1577="",I1577,G1577)-T1577)/M1577,""))</f>
        <v/>
      </c>
      <c r="P1577" s="50">
        <f>IFERROR((I1577/T1577-1)/N1577,"")</f>
        <v/>
      </c>
      <c r="Q1577" s="46">
        <f>IF(OR(T1577="",I1577&lt;T1577),"",IFERROR(R1577/IF(G1577="",I1577,G1577)-1,""))</f>
        <v/>
      </c>
      <c r="R1577" s="48">
        <f>IF($M1577="","",MAX(IF($G1577="",$I1577,$G1577)*(1/1.1),IF($G1577="",$I1577,$G1577)+(R$2*$M1577)))</f>
        <v/>
      </c>
      <c r="S1577" s="49">
        <f>IF($M1577="","",MAX(IF($G1577="",$I1577,$G1577)*(1/1.1),IF($G1577="",$I1577,$G1577)+(S$2*$M1577)))</f>
        <v/>
      </c>
      <c r="T1577" s="82" t="n"/>
      <c r="U1577" s="47">
        <f>IF(OR($M1577="",$T1577=""),"",$T1577+(U$2*$M1577))</f>
        <v/>
      </c>
      <c r="V1577" s="48">
        <f>IF(OR($M1577="",$T1577=""),"",$T1577+(V$2*$M1577))</f>
        <v/>
      </c>
      <c r="W1577" s="48">
        <f>IF(OR($M1577="",$T1577=""),"",$T1577+(W$2*$M1577))</f>
        <v/>
      </c>
      <c r="X1577" s="49">
        <f>IF(OR($M1577="",$T1577=""),"",$T1577+(X$2*$M1577))</f>
        <v/>
      </c>
      <c r="Y1577" s="47">
        <f>IF(OR($M1577="",$T1577=""),"",$T1577+(Y$2*$M1577))</f>
        <v/>
      </c>
      <c r="Z1577" s="49">
        <f>IF(OR($M1577="",$T1577=""),"",$T1577+(Z$2*$M1577))</f>
        <v/>
      </c>
      <c r="AA1577" s="51">
        <f>IF(OR($M1577="",$T1577=""),"",$T1577+(AA$2*$M1577))</f>
        <v/>
      </c>
      <c r="AB1577" s="48">
        <f>IF(OR($M1577="",$T1577=""),"",$T1577+(AB$2*$M1577))</f>
        <v/>
      </c>
      <c r="AC1577" s="48">
        <f>IF(OR($M1577="",$T1577=""),"",$T1577+(AC$2*$M1577))</f>
        <v/>
      </c>
      <c r="AD1577" s="48">
        <f>IF(OR($M1577="",$T1577=""),"",$T1577+(AD$2*$M1577))</f>
        <v/>
      </c>
      <c r="AE1577" s="49">
        <f>IF(OR($M1577="",$T1577=""),"",$T1577+(AE$2*$M1577))</f>
        <v/>
      </c>
      <c r="AF1577" s="52">
        <f>IF(OR(T1577="",I1577&lt;T1577),"",IFERROR(AVERAGE(T1577+M1577*{7,8,9,10,11})/IF(G1577="",I1577,G1577)-1,""))</f>
        <v/>
      </c>
      <c r="AG1577" s="55">
        <f>IF(OR(T1577="",I1577&lt;T1577),"",IFERROR(AF1577/-(R1577/IF(G1577="",I1577,G1577)-1),""))</f>
        <v/>
      </c>
      <c r="AH1577" s="94" t="n"/>
      <c r="AI1577" s="94" t="n"/>
      <c r="AJ1577" s="94" t="n"/>
      <c r="AK1577" s="94" t="n"/>
      <c r="AL1577" s="84" t="n"/>
    </row>
    <row r="1578">
      <c r="A1578" s="64" t="n"/>
      <c r="B1578" s="65" t="n"/>
      <c r="C1578" s="66" t="n"/>
      <c r="D1578" s="67" t="n"/>
      <c r="E1578" s="68" t="n"/>
      <c r="F1578" s="47">
        <f>IF(A1578="","",IF(MIN(H1578,MAX(J1578:K1578))=0,"",MIN(H1578,MAX(J1578:K1578))))</f>
        <v/>
      </c>
      <c r="G1578" s="74" t="n"/>
      <c r="H1578" s="49">
        <f>IF(M1578="","",IFERROR(ROUND(AVERAGE(T1578+M1578*{7,8,9,10,11})/1.21,4),""))</f>
        <v/>
      </c>
      <c r="I1578" s="76" t="n"/>
      <c r="J1578" s="77" t="n"/>
      <c r="K1578" s="74" t="n"/>
      <c r="L1578" s="78" t="n"/>
      <c r="M1578" s="77" t="n"/>
      <c r="N1578" s="53">
        <f>IF(M1578="","",IFERROR(M1578/I1578,""))</f>
        <v/>
      </c>
      <c r="O1578" s="50">
        <f>IF(A1578="","",IFERROR((IF(G1578="",I1578,G1578)-T1578)/M1578,""))</f>
        <v/>
      </c>
      <c r="P1578" s="50">
        <f>IFERROR((I1578/T1578-1)/N1578,"")</f>
        <v/>
      </c>
      <c r="Q1578" s="46">
        <f>IF(OR(T1578="",I1578&lt;T1578),"",IFERROR(R1578/IF(G1578="",I1578,G1578)-1,""))</f>
        <v/>
      </c>
      <c r="R1578" s="48">
        <f>IF($M1578="","",MAX(IF($G1578="",$I1578,$G1578)*(1/1.1),IF($G1578="",$I1578,$G1578)+(R$2*$M1578)))</f>
        <v/>
      </c>
      <c r="S1578" s="49">
        <f>IF($M1578="","",MAX(IF($G1578="",$I1578,$G1578)*(1/1.1),IF($G1578="",$I1578,$G1578)+(S$2*$M1578)))</f>
        <v/>
      </c>
      <c r="T1578" s="82" t="n"/>
      <c r="U1578" s="47">
        <f>IF(OR($M1578="",$T1578=""),"",$T1578+(U$2*$M1578))</f>
        <v/>
      </c>
      <c r="V1578" s="48">
        <f>IF(OR($M1578="",$T1578=""),"",$T1578+(V$2*$M1578))</f>
        <v/>
      </c>
      <c r="W1578" s="48">
        <f>IF(OR($M1578="",$T1578=""),"",$T1578+(W$2*$M1578))</f>
        <v/>
      </c>
      <c r="X1578" s="49">
        <f>IF(OR($M1578="",$T1578=""),"",$T1578+(X$2*$M1578))</f>
        <v/>
      </c>
      <c r="Y1578" s="47">
        <f>IF(OR($M1578="",$T1578=""),"",$T1578+(Y$2*$M1578))</f>
        <v/>
      </c>
      <c r="Z1578" s="49">
        <f>IF(OR($M1578="",$T1578=""),"",$T1578+(Z$2*$M1578))</f>
        <v/>
      </c>
      <c r="AA1578" s="51">
        <f>IF(OR($M1578="",$T1578=""),"",$T1578+(AA$2*$M1578))</f>
        <v/>
      </c>
      <c r="AB1578" s="48">
        <f>IF(OR($M1578="",$T1578=""),"",$T1578+(AB$2*$M1578))</f>
        <v/>
      </c>
      <c r="AC1578" s="48">
        <f>IF(OR($M1578="",$T1578=""),"",$T1578+(AC$2*$M1578))</f>
        <v/>
      </c>
      <c r="AD1578" s="48">
        <f>IF(OR($M1578="",$T1578=""),"",$T1578+(AD$2*$M1578))</f>
        <v/>
      </c>
      <c r="AE1578" s="49">
        <f>IF(OR($M1578="",$T1578=""),"",$T1578+(AE$2*$M1578))</f>
        <v/>
      </c>
      <c r="AF1578" s="52">
        <f>IF(OR(T1578="",I1578&lt;T1578),"",IFERROR(AVERAGE(T1578+M1578*{7,8,9,10,11})/IF(G1578="",I1578,G1578)-1,""))</f>
        <v/>
      </c>
      <c r="AG1578" s="55">
        <f>IF(OR(T1578="",I1578&lt;T1578),"",IFERROR(AF1578/-(R1578/IF(G1578="",I1578,G1578)-1),""))</f>
        <v/>
      </c>
      <c r="AH1578" s="94" t="n"/>
      <c r="AI1578" s="94" t="n"/>
      <c r="AJ1578" s="94" t="n"/>
      <c r="AK1578" s="94" t="n"/>
      <c r="AL1578" s="84" t="n"/>
    </row>
    <row r="1579">
      <c r="A1579" s="64" t="n"/>
      <c r="B1579" s="65" t="n"/>
      <c r="C1579" s="66" t="n"/>
      <c r="D1579" s="67" t="n"/>
      <c r="E1579" s="68" t="n"/>
      <c r="F1579" s="47">
        <f>IF(A1579="","",IF(MIN(H1579,MAX(J1579:K1579))=0,"",MIN(H1579,MAX(J1579:K1579))))</f>
        <v/>
      </c>
      <c r="G1579" s="74" t="n"/>
      <c r="H1579" s="49">
        <f>IF(M1579="","",IFERROR(ROUND(AVERAGE(T1579+M1579*{7,8,9,10,11})/1.21,4),""))</f>
        <v/>
      </c>
      <c r="I1579" s="76" t="n"/>
      <c r="J1579" s="77" t="n"/>
      <c r="K1579" s="74" t="n"/>
      <c r="L1579" s="78" t="n"/>
      <c r="M1579" s="77" t="n"/>
      <c r="N1579" s="53">
        <f>IF(M1579="","",IFERROR(M1579/I1579,""))</f>
        <v/>
      </c>
      <c r="O1579" s="50">
        <f>IF(A1579="","",IFERROR((IF(G1579="",I1579,G1579)-T1579)/M1579,""))</f>
        <v/>
      </c>
      <c r="P1579" s="50">
        <f>IFERROR((I1579/T1579-1)/N1579,"")</f>
        <v/>
      </c>
      <c r="Q1579" s="46">
        <f>IF(OR(T1579="",I1579&lt;T1579),"",IFERROR(R1579/IF(G1579="",I1579,G1579)-1,""))</f>
        <v/>
      </c>
      <c r="R1579" s="48">
        <f>IF($M1579="","",MAX(IF($G1579="",$I1579,$G1579)*(1/1.1),IF($G1579="",$I1579,$G1579)+(R$2*$M1579)))</f>
        <v/>
      </c>
      <c r="S1579" s="49">
        <f>IF($M1579="","",MAX(IF($G1579="",$I1579,$G1579)*(1/1.1),IF($G1579="",$I1579,$G1579)+(S$2*$M1579)))</f>
        <v/>
      </c>
      <c r="T1579" s="82" t="n"/>
      <c r="U1579" s="47">
        <f>IF(OR($M1579="",$T1579=""),"",$T1579+(U$2*$M1579))</f>
        <v/>
      </c>
      <c r="V1579" s="48">
        <f>IF(OR($M1579="",$T1579=""),"",$T1579+(V$2*$M1579))</f>
        <v/>
      </c>
      <c r="W1579" s="48">
        <f>IF(OR($M1579="",$T1579=""),"",$T1579+(W$2*$M1579))</f>
        <v/>
      </c>
      <c r="X1579" s="49">
        <f>IF(OR($M1579="",$T1579=""),"",$T1579+(X$2*$M1579))</f>
        <v/>
      </c>
      <c r="Y1579" s="47">
        <f>IF(OR($M1579="",$T1579=""),"",$T1579+(Y$2*$M1579))</f>
        <v/>
      </c>
      <c r="Z1579" s="49">
        <f>IF(OR($M1579="",$T1579=""),"",$T1579+(Z$2*$M1579))</f>
        <v/>
      </c>
      <c r="AA1579" s="51">
        <f>IF(OR($M1579="",$T1579=""),"",$T1579+(AA$2*$M1579))</f>
        <v/>
      </c>
      <c r="AB1579" s="48">
        <f>IF(OR($M1579="",$T1579=""),"",$T1579+(AB$2*$M1579))</f>
        <v/>
      </c>
      <c r="AC1579" s="48">
        <f>IF(OR($M1579="",$T1579=""),"",$T1579+(AC$2*$M1579))</f>
        <v/>
      </c>
      <c r="AD1579" s="48">
        <f>IF(OR($M1579="",$T1579=""),"",$T1579+(AD$2*$M1579))</f>
        <v/>
      </c>
      <c r="AE1579" s="49">
        <f>IF(OR($M1579="",$T1579=""),"",$T1579+(AE$2*$M1579))</f>
        <v/>
      </c>
      <c r="AF1579" s="52">
        <f>IF(OR(T1579="",I1579&lt;T1579),"",IFERROR(AVERAGE(T1579+M1579*{7,8,9,10,11})/IF(G1579="",I1579,G1579)-1,""))</f>
        <v/>
      </c>
      <c r="AG1579" s="55">
        <f>IF(OR(T1579="",I1579&lt;T1579),"",IFERROR(AF1579/-(R1579/IF(G1579="",I1579,G1579)-1),""))</f>
        <v/>
      </c>
      <c r="AH1579" s="94" t="n"/>
      <c r="AI1579" s="94" t="n"/>
      <c r="AJ1579" s="94" t="n"/>
      <c r="AK1579" s="94" t="n"/>
      <c r="AL1579" s="84" t="n"/>
    </row>
    <row r="1580">
      <c r="A1580" s="64" t="n"/>
      <c r="B1580" s="65" t="n"/>
      <c r="C1580" s="66" t="n"/>
      <c r="D1580" s="67" t="n"/>
      <c r="E1580" s="68" t="n"/>
      <c r="F1580" s="47">
        <f>IF(A1580="","",IF(MIN(H1580,MAX(J1580:K1580))=0,"",MIN(H1580,MAX(J1580:K1580))))</f>
        <v/>
      </c>
      <c r="G1580" s="74" t="n"/>
      <c r="H1580" s="49">
        <f>IF(M1580="","",IFERROR(ROUND(AVERAGE(T1580+M1580*{7,8,9,10,11})/1.21,4),""))</f>
        <v/>
      </c>
      <c r="I1580" s="76" t="n"/>
      <c r="J1580" s="77" t="n"/>
      <c r="K1580" s="74" t="n"/>
      <c r="L1580" s="78" t="n"/>
      <c r="M1580" s="77" t="n"/>
      <c r="N1580" s="53">
        <f>IF(M1580="","",IFERROR(M1580/I1580,""))</f>
        <v/>
      </c>
      <c r="O1580" s="50">
        <f>IF(A1580="","",IFERROR((IF(G1580="",I1580,G1580)-T1580)/M1580,""))</f>
        <v/>
      </c>
      <c r="P1580" s="50">
        <f>IFERROR((I1580/T1580-1)/N1580,"")</f>
        <v/>
      </c>
      <c r="Q1580" s="46">
        <f>IF(OR(T1580="",I1580&lt;T1580),"",IFERROR(R1580/IF(G1580="",I1580,G1580)-1,""))</f>
        <v/>
      </c>
      <c r="R1580" s="48">
        <f>IF($M1580="","",MAX(IF($G1580="",$I1580,$G1580)*(1/1.1),IF($G1580="",$I1580,$G1580)+(R$2*$M1580)))</f>
        <v/>
      </c>
      <c r="S1580" s="49">
        <f>IF($M1580="","",MAX(IF($G1580="",$I1580,$G1580)*(1/1.1),IF($G1580="",$I1580,$G1580)+(S$2*$M1580)))</f>
        <v/>
      </c>
      <c r="T1580" s="82" t="n"/>
      <c r="U1580" s="47">
        <f>IF(OR($M1580="",$T1580=""),"",$T1580+(U$2*$M1580))</f>
        <v/>
      </c>
      <c r="V1580" s="48">
        <f>IF(OR($M1580="",$T1580=""),"",$T1580+(V$2*$M1580))</f>
        <v/>
      </c>
      <c r="W1580" s="48">
        <f>IF(OR($M1580="",$T1580=""),"",$T1580+(W$2*$M1580))</f>
        <v/>
      </c>
      <c r="X1580" s="49">
        <f>IF(OR($M1580="",$T1580=""),"",$T1580+(X$2*$M1580))</f>
        <v/>
      </c>
      <c r="Y1580" s="47">
        <f>IF(OR($M1580="",$T1580=""),"",$T1580+(Y$2*$M1580))</f>
        <v/>
      </c>
      <c r="Z1580" s="49">
        <f>IF(OR($M1580="",$T1580=""),"",$T1580+(Z$2*$M1580))</f>
        <v/>
      </c>
      <c r="AA1580" s="51">
        <f>IF(OR($M1580="",$T1580=""),"",$T1580+(AA$2*$M1580))</f>
        <v/>
      </c>
      <c r="AB1580" s="48">
        <f>IF(OR($M1580="",$T1580=""),"",$T1580+(AB$2*$M1580))</f>
        <v/>
      </c>
      <c r="AC1580" s="48">
        <f>IF(OR($M1580="",$T1580=""),"",$T1580+(AC$2*$M1580))</f>
        <v/>
      </c>
      <c r="AD1580" s="48">
        <f>IF(OR($M1580="",$T1580=""),"",$T1580+(AD$2*$M1580))</f>
        <v/>
      </c>
      <c r="AE1580" s="49">
        <f>IF(OR($M1580="",$T1580=""),"",$T1580+(AE$2*$M1580))</f>
        <v/>
      </c>
      <c r="AF1580" s="52">
        <f>IF(OR(T1580="",I1580&lt;T1580),"",IFERROR(AVERAGE(T1580+M1580*{7,8,9,10,11})/IF(G1580="",I1580,G1580)-1,""))</f>
        <v/>
      </c>
      <c r="AG1580" s="55">
        <f>IF(OR(T1580="",I1580&lt;T1580),"",IFERROR(AF1580/-(R1580/IF(G1580="",I1580,G1580)-1),""))</f>
        <v/>
      </c>
      <c r="AH1580" s="94" t="n"/>
      <c r="AI1580" s="94" t="n"/>
      <c r="AJ1580" s="94" t="n"/>
      <c r="AK1580" s="94" t="n"/>
      <c r="AL1580" s="84" t="n"/>
    </row>
    <row r="1581">
      <c r="A1581" s="64" t="n"/>
      <c r="B1581" s="65" t="n"/>
      <c r="C1581" s="66" t="n"/>
      <c r="D1581" s="67" t="n"/>
      <c r="E1581" s="68" t="n"/>
      <c r="F1581" s="47">
        <f>IF(A1581="","",IF(MIN(H1581,MAX(J1581:K1581))=0,"",MIN(H1581,MAX(J1581:K1581))))</f>
        <v/>
      </c>
      <c r="G1581" s="74" t="n"/>
      <c r="H1581" s="49">
        <f>IF(M1581="","",IFERROR(ROUND(AVERAGE(T1581+M1581*{7,8,9,10,11})/1.21,4),""))</f>
        <v/>
      </c>
      <c r="I1581" s="76" t="n"/>
      <c r="J1581" s="77" t="n"/>
      <c r="K1581" s="74" t="n"/>
      <c r="L1581" s="78" t="n"/>
      <c r="M1581" s="77" t="n"/>
      <c r="N1581" s="53">
        <f>IF(M1581="","",IFERROR(M1581/I1581,""))</f>
        <v/>
      </c>
      <c r="O1581" s="50">
        <f>IF(A1581="","",IFERROR((IF(G1581="",I1581,G1581)-T1581)/M1581,""))</f>
        <v/>
      </c>
      <c r="P1581" s="50">
        <f>IFERROR((I1581/T1581-1)/N1581,"")</f>
        <v/>
      </c>
      <c r="Q1581" s="46">
        <f>IF(OR(T1581="",I1581&lt;T1581),"",IFERROR(R1581/IF(G1581="",I1581,G1581)-1,""))</f>
        <v/>
      </c>
      <c r="R1581" s="48">
        <f>IF($M1581="","",MAX(IF($G1581="",$I1581,$G1581)*(1/1.1),IF($G1581="",$I1581,$G1581)+(R$2*$M1581)))</f>
        <v/>
      </c>
      <c r="S1581" s="49">
        <f>IF($M1581="","",MAX(IF($G1581="",$I1581,$G1581)*(1/1.1),IF($G1581="",$I1581,$G1581)+(S$2*$M1581)))</f>
        <v/>
      </c>
      <c r="T1581" s="82" t="n"/>
      <c r="U1581" s="47">
        <f>IF(OR($M1581="",$T1581=""),"",$T1581+(U$2*$M1581))</f>
        <v/>
      </c>
      <c r="V1581" s="48">
        <f>IF(OR($M1581="",$T1581=""),"",$T1581+(V$2*$M1581))</f>
        <v/>
      </c>
      <c r="W1581" s="48">
        <f>IF(OR($M1581="",$T1581=""),"",$T1581+(W$2*$M1581))</f>
        <v/>
      </c>
      <c r="X1581" s="49">
        <f>IF(OR($M1581="",$T1581=""),"",$T1581+(X$2*$M1581))</f>
        <v/>
      </c>
      <c r="Y1581" s="47">
        <f>IF(OR($M1581="",$T1581=""),"",$T1581+(Y$2*$M1581))</f>
        <v/>
      </c>
      <c r="Z1581" s="49">
        <f>IF(OR($M1581="",$T1581=""),"",$T1581+(Z$2*$M1581))</f>
        <v/>
      </c>
      <c r="AA1581" s="51">
        <f>IF(OR($M1581="",$T1581=""),"",$T1581+(AA$2*$M1581))</f>
        <v/>
      </c>
      <c r="AB1581" s="48">
        <f>IF(OR($M1581="",$T1581=""),"",$T1581+(AB$2*$M1581))</f>
        <v/>
      </c>
      <c r="AC1581" s="48">
        <f>IF(OR($M1581="",$T1581=""),"",$T1581+(AC$2*$M1581))</f>
        <v/>
      </c>
      <c r="AD1581" s="48">
        <f>IF(OR($M1581="",$T1581=""),"",$T1581+(AD$2*$M1581))</f>
        <v/>
      </c>
      <c r="AE1581" s="49">
        <f>IF(OR($M1581="",$T1581=""),"",$T1581+(AE$2*$M1581))</f>
        <v/>
      </c>
      <c r="AF1581" s="52">
        <f>IF(OR(T1581="",I1581&lt;T1581),"",IFERROR(AVERAGE(T1581+M1581*{7,8,9,10,11})/IF(G1581="",I1581,G1581)-1,""))</f>
        <v/>
      </c>
      <c r="AG1581" s="55">
        <f>IF(OR(T1581="",I1581&lt;T1581),"",IFERROR(AF1581/-(R1581/IF(G1581="",I1581,G1581)-1),""))</f>
        <v/>
      </c>
      <c r="AH1581" s="94" t="n"/>
      <c r="AI1581" s="94" t="n"/>
      <c r="AJ1581" s="94" t="n"/>
      <c r="AK1581" s="94" t="n"/>
      <c r="AL1581" s="84" t="n"/>
    </row>
    <row r="1582">
      <c r="A1582" s="64" t="n"/>
      <c r="B1582" s="65" t="n"/>
      <c r="C1582" s="66" t="n"/>
      <c r="D1582" s="67" t="n"/>
      <c r="E1582" s="68" t="n"/>
      <c r="F1582" s="47">
        <f>IF(A1582="","",IF(MIN(H1582,MAX(J1582:K1582))=0,"",MIN(H1582,MAX(J1582:K1582))))</f>
        <v/>
      </c>
      <c r="G1582" s="74" t="n"/>
      <c r="H1582" s="49">
        <f>IF(M1582="","",IFERROR(ROUND(AVERAGE(T1582+M1582*{7,8,9,10,11})/1.21,4),""))</f>
        <v/>
      </c>
      <c r="I1582" s="76" t="n"/>
      <c r="J1582" s="77" t="n"/>
      <c r="K1582" s="74" t="n"/>
      <c r="L1582" s="78" t="n"/>
      <c r="M1582" s="77" t="n"/>
      <c r="N1582" s="53">
        <f>IF(M1582="","",IFERROR(M1582/I1582,""))</f>
        <v/>
      </c>
      <c r="O1582" s="50">
        <f>IF(A1582="","",IFERROR((IF(G1582="",I1582,G1582)-T1582)/M1582,""))</f>
        <v/>
      </c>
      <c r="P1582" s="50">
        <f>IFERROR((I1582/T1582-1)/N1582,"")</f>
        <v/>
      </c>
      <c r="Q1582" s="46">
        <f>IF(OR(T1582="",I1582&lt;T1582),"",IFERROR(R1582/IF(G1582="",I1582,G1582)-1,""))</f>
        <v/>
      </c>
      <c r="R1582" s="48">
        <f>IF($M1582="","",MAX(IF($G1582="",$I1582,$G1582)*(1/1.1),IF($G1582="",$I1582,$G1582)+(R$2*$M1582)))</f>
        <v/>
      </c>
      <c r="S1582" s="49">
        <f>IF($M1582="","",MAX(IF($G1582="",$I1582,$G1582)*(1/1.1),IF($G1582="",$I1582,$G1582)+(S$2*$M1582)))</f>
        <v/>
      </c>
      <c r="T1582" s="82" t="n"/>
      <c r="U1582" s="47">
        <f>IF(OR($M1582="",$T1582=""),"",$T1582+(U$2*$M1582))</f>
        <v/>
      </c>
      <c r="V1582" s="48">
        <f>IF(OR($M1582="",$T1582=""),"",$T1582+(V$2*$M1582))</f>
        <v/>
      </c>
      <c r="W1582" s="48">
        <f>IF(OR($M1582="",$T1582=""),"",$T1582+(W$2*$M1582))</f>
        <v/>
      </c>
      <c r="X1582" s="49">
        <f>IF(OR($M1582="",$T1582=""),"",$T1582+(X$2*$M1582))</f>
        <v/>
      </c>
      <c r="Y1582" s="47">
        <f>IF(OR($M1582="",$T1582=""),"",$T1582+(Y$2*$M1582))</f>
        <v/>
      </c>
      <c r="Z1582" s="49">
        <f>IF(OR($M1582="",$T1582=""),"",$T1582+(Z$2*$M1582))</f>
        <v/>
      </c>
      <c r="AA1582" s="51">
        <f>IF(OR($M1582="",$T1582=""),"",$T1582+(AA$2*$M1582))</f>
        <v/>
      </c>
      <c r="AB1582" s="48">
        <f>IF(OR($M1582="",$T1582=""),"",$T1582+(AB$2*$M1582))</f>
        <v/>
      </c>
      <c r="AC1582" s="48">
        <f>IF(OR($M1582="",$T1582=""),"",$T1582+(AC$2*$M1582))</f>
        <v/>
      </c>
      <c r="AD1582" s="48">
        <f>IF(OR($M1582="",$T1582=""),"",$T1582+(AD$2*$M1582))</f>
        <v/>
      </c>
      <c r="AE1582" s="49">
        <f>IF(OR($M1582="",$T1582=""),"",$T1582+(AE$2*$M1582))</f>
        <v/>
      </c>
      <c r="AF1582" s="52">
        <f>IF(OR(T1582="",I1582&lt;T1582),"",IFERROR(AVERAGE(T1582+M1582*{7,8,9,10,11})/IF(G1582="",I1582,G1582)-1,""))</f>
        <v/>
      </c>
      <c r="AG1582" s="55">
        <f>IF(OR(T1582="",I1582&lt;T1582),"",IFERROR(AF1582/-(R1582/IF(G1582="",I1582,G1582)-1),""))</f>
        <v/>
      </c>
      <c r="AH1582" s="94" t="n"/>
      <c r="AI1582" s="94" t="n"/>
      <c r="AJ1582" s="94" t="n"/>
      <c r="AK1582" s="94" t="n"/>
      <c r="AL1582" s="84" t="n"/>
    </row>
    <row r="1583">
      <c r="A1583" s="64" t="n"/>
      <c r="B1583" s="65" t="n"/>
      <c r="C1583" s="66" t="n"/>
      <c r="D1583" s="67" t="n"/>
      <c r="E1583" s="68" t="n"/>
      <c r="F1583" s="47">
        <f>IF(A1583="","",IF(MIN(H1583,MAX(J1583:K1583))=0,"",MIN(H1583,MAX(J1583:K1583))))</f>
        <v/>
      </c>
      <c r="G1583" s="74" t="n"/>
      <c r="H1583" s="49">
        <f>IF(M1583="","",IFERROR(ROUND(AVERAGE(T1583+M1583*{7,8,9,10,11})/1.21,4),""))</f>
        <v/>
      </c>
      <c r="I1583" s="76" t="n"/>
      <c r="J1583" s="77" t="n"/>
      <c r="K1583" s="74" t="n"/>
      <c r="L1583" s="78" t="n"/>
      <c r="M1583" s="77" t="n"/>
      <c r="N1583" s="53">
        <f>IF(M1583="","",IFERROR(M1583/I1583,""))</f>
        <v/>
      </c>
      <c r="O1583" s="50">
        <f>IF(A1583="","",IFERROR((IF(G1583="",I1583,G1583)-T1583)/M1583,""))</f>
        <v/>
      </c>
      <c r="P1583" s="50">
        <f>IFERROR((I1583/T1583-1)/N1583,"")</f>
        <v/>
      </c>
      <c r="Q1583" s="46">
        <f>IF(OR(T1583="",I1583&lt;T1583),"",IFERROR(R1583/IF(G1583="",I1583,G1583)-1,""))</f>
        <v/>
      </c>
      <c r="R1583" s="48">
        <f>IF($M1583="","",MAX(IF($G1583="",$I1583,$G1583)*(1/1.1),IF($G1583="",$I1583,$G1583)+(R$2*$M1583)))</f>
        <v/>
      </c>
      <c r="S1583" s="49">
        <f>IF($M1583="","",MAX(IF($G1583="",$I1583,$G1583)*(1/1.1),IF($G1583="",$I1583,$G1583)+(S$2*$M1583)))</f>
        <v/>
      </c>
      <c r="T1583" s="82" t="n"/>
      <c r="U1583" s="47">
        <f>IF(OR($M1583="",$T1583=""),"",$T1583+(U$2*$M1583))</f>
        <v/>
      </c>
      <c r="V1583" s="48">
        <f>IF(OR($M1583="",$T1583=""),"",$T1583+(V$2*$M1583))</f>
        <v/>
      </c>
      <c r="W1583" s="48">
        <f>IF(OR($M1583="",$T1583=""),"",$T1583+(W$2*$M1583))</f>
        <v/>
      </c>
      <c r="X1583" s="49">
        <f>IF(OR($M1583="",$T1583=""),"",$T1583+(X$2*$M1583))</f>
        <v/>
      </c>
      <c r="Y1583" s="47">
        <f>IF(OR($M1583="",$T1583=""),"",$T1583+(Y$2*$M1583))</f>
        <v/>
      </c>
      <c r="Z1583" s="49">
        <f>IF(OR($M1583="",$T1583=""),"",$T1583+(Z$2*$M1583))</f>
        <v/>
      </c>
      <c r="AA1583" s="51">
        <f>IF(OR($M1583="",$T1583=""),"",$T1583+(AA$2*$M1583))</f>
        <v/>
      </c>
      <c r="AB1583" s="48">
        <f>IF(OR($M1583="",$T1583=""),"",$T1583+(AB$2*$M1583))</f>
        <v/>
      </c>
      <c r="AC1583" s="48">
        <f>IF(OR($M1583="",$T1583=""),"",$T1583+(AC$2*$M1583))</f>
        <v/>
      </c>
      <c r="AD1583" s="48">
        <f>IF(OR($M1583="",$T1583=""),"",$T1583+(AD$2*$M1583))</f>
        <v/>
      </c>
      <c r="AE1583" s="49">
        <f>IF(OR($M1583="",$T1583=""),"",$T1583+(AE$2*$M1583))</f>
        <v/>
      </c>
      <c r="AF1583" s="52">
        <f>IF(OR(T1583="",I1583&lt;T1583),"",IFERROR(AVERAGE(T1583+M1583*{7,8,9,10,11})/IF(G1583="",I1583,G1583)-1,""))</f>
        <v/>
      </c>
      <c r="AG1583" s="55">
        <f>IF(OR(T1583="",I1583&lt;T1583),"",IFERROR(AF1583/-(R1583/IF(G1583="",I1583,G1583)-1),""))</f>
        <v/>
      </c>
      <c r="AH1583" s="94" t="n"/>
      <c r="AI1583" s="94" t="n"/>
      <c r="AJ1583" s="94" t="n"/>
      <c r="AK1583" s="94" t="n"/>
      <c r="AL1583" s="84" t="n"/>
    </row>
    <row r="1584">
      <c r="A1584" s="64" t="n"/>
      <c r="B1584" s="65" t="n"/>
      <c r="C1584" s="66" t="n"/>
      <c r="D1584" s="67" t="n"/>
      <c r="E1584" s="68" t="n"/>
      <c r="F1584" s="47">
        <f>IF(A1584="","",IF(MIN(H1584,MAX(J1584:K1584))=0,"",MIN(H1584,MAX(J1584:K1584))))</f>
        <v/>
      </c>
      <c r="G1584" s="74" t="n"/>
      <c r="H1584" s="49">
        <f>IF(M1584="","",IFERROR(ROUND(AVERAGE(T1584+M1584*{7,8,9,10,11})/1.21,4),""))</f>
        <v/>
      </c>
      <c r="I1584" s="76" t="n"/>
      <c r="J1584" s="77" t="n"/>
      <c r="K1584" s="74" t="n"/>
      <c r="L1584" s="78" t="n"/>
      <c r="M1584" s="77" t="n"/>
      <c r="N1584" s="53">
        <f>IF(M1584="","",IFERROR(M1584/I1584,""))</f>
        <v/>
      </c>
      <c r="O1584" s="50">
        <f>IF(A1584="","",IFERROR((IF(G1584="",I1584,G1584)-T1584)/M1584,""))</f>
        <v/>
      </c>
      <c r="P1584" s="50">
        <f>IFERROR((I1584/T1584-1)/N1584,"")</f>
        <v/>
      </c>
      <c r="Q1584" s="46">
        <f>IF(OR(T1584="",I1584&lt;T1584),"",IFERROR(R1584/IF(G1584="",I1584,G1584)-1,""))</f>
        <v/>
      </c>
      <c r="R1584" s="48">
        <f>IF($M1584="","",MAX(IF($G1584="",$I1584,$G1584)*(1/1.1),IF($G1584="",$I1584,$G1584)+(R$2*$M1584)))</f>
        <v/>
      </c>
      <c r="S1584" s="49">
        <f>IF($M1584="","",MAX(IF($G1584="",$I1584,$G1584)*(1/1.1),IF($G1584="",$I1584,$G1584)+(S$2*$M1584)))</f>
        <v/>
      </c>
      <c r="T1584" s="82" t="n"/>
      <c r="U1584" s="47">
        <f>IF(OR($M1584="",$T1584=""),"",$T1584+(U$2*$M1584))</f>
        <v/>
      </c>
      <c r="V1584" s="48">
        <f>IF(OR($M1584="",$T1584=""),"",$T1584+(V$2*$M1584))</f>
        <v/>
      </c>
      <c r="W1584" s="48">
        <f>IF(OR($M1584="",$T1584=""),"",$T1584+(W$2*$M1584))</f>
        <v/>
      </c>
      <c r="X1584" s="49">
        <f>IF(OR($M1584="",$T1584=""),"",$T1584+(X$2*$M1584))</f>
        <v/>
      </c>
      <c r="Y1584" s="47">
        <f>IF(OR($M1584="",$T1584=""),"",$T1584+(Y$2*$M1584))</f>
        <v/>
      </c>
      <c r="Z1584" s="49">
        <f>IF(OR($M1584="",$T1584=""),"",$T1584+(Z$2*$M1584))</f>
        <v/>
      </c>
      <c r="AA1584" s="51">
        <f>IF(OR($M1584="",$T1584=""),"",$T1584+(AA$2*$M1584))</f>
        <v/>
      </c>
      <c r="AB1584" s="48">
        <f>IF(OR($M1584="",$T1584=""),"",$T1584+(AB$2*$M1584))</f>
        <v/>
      </c>
      <c r="AC1584" s="48">
        <f>IF(OR($M1584="",$T1584=""),"",$T1584+(AC$2*$M1584))</f>
        <v/>
      </c>
      <c r="AD1584" s="48">
        <f>IF(OR($M1584="",$T1584=""),"",$T1584+(AD$2*$M1584))</f>
        <v/>
      </c>
      <c r="AE1584" s="49">
        <f>IF(OR($M1584="",$T1584=""),"",$T1584+(AE$2*$M1584))</f>
        <v/>
      </c>
      <c r="AF1584" s="52">
        <f>IF(OR(T1584="",I1584&lt;T1584),"",IFERROR(AVERAGE(T1584+M1584*{7,8,9,10,11})/IF(G1584="",I1584,G1584)-1,""))</f>
        <v/>
      </c>
      <c r="AG1584" s="55">
        <f>IF(OR(T1584="",I1584&lt;T1584),"",IFERROR(AF1584/-(R1584/IF(G1584="",I1584,G1584)-1),""))</f>
        <v/>
      </c>
      <c r="AH1584" s="94" t="n"/>
      <c r="AI1584" s="94" t="n"/>
      <c r="AJ1584" s="94" t="n"/>
      <c r="AK1584" s="94" t="n"/>
      <c r="AL1584" s="84" t="n"/>
    </row>
    <row r="1585">
      <c r="A1585" s="64" t="n"/>
      <c r="B1585" s="65" t="n"/>
      <c r="C1585" s="66" t="n"/>
      <c r="D1585" s="67" t="n"/>
      <c r="E1585" s="68" t="n"/>
      <c r="F1585" s="47">
        <f>IF(A1585="","",IF(MIN(H1585,MAX(J1585:K1585))=0,"",MIN(H1585,MAX(J1585:K1585))))</f>
        <v/>
      </c>
      <c r="G1585" s="74" t="n"/>
      <c r="H1585" s="49">
        <f>IF(M1585="","",IFERROR(ROUND(AVERAGE(T1585+M1585*{7,8,9,10,11})/1.21,4),""))</f>
        <v/>
      </c>
      <c r="I1585" s="76" t="n"/>
      <c r="J1585" s="77" t="n"/>
      <c r="K1585" s="74" t="n"/>
      <c r="L1585" s="78" t="n"/>
      <c r="M1585" s="77" t="n"/>
      <c r="N1585" s="53">
        <f>IF(M1585="","",IFERROR(M1585/I1585,""))</f>
        <v/>
      </c>
      <c r="O1585" s="50">
        <f>IF(A1585="","",IFERROR((IF(G1585="",I1585,G1585)-T1585)/M1585,""))</f>
        <v/>
      </c>
      <c r="P1585" s="50">
        <f>IFERROR((I1585/T1585-1)/N1585,"")</f>
        <v/>
      </c>
      <c r="Q1585" s="46">
        <f>IF(OR(T1585="",I1585&lt;T1585),"",IFERROR(R1585/IF(G1585="",I1585,G1585)-1,""))</f>
        <v/>
      </c>
      <c r="R1585" s="48">
        <f>IF($M1585="","",MAX(IF($G1585="",$I1585,$G1585)*(1/1.1),IF($G1585="",$I1585,$G1585)+(R$2*$M1585)))</f>
        <v/>
      </c>
      <c r="S1585" s="49">
        <f>IF($M1585="","",MAX(IF($G1585="",$I1585,$G1585)*(1/1.1),IF($G1585="",$I1585,$G1585)+(S$2*$M1585)))</f>
        <v/>
      </c>
      <c r="T1585" s="82" t="n"/>
      <c r="U1585" s="47">
        <f>IF(OR($M1585="",$T1585=""),"",$T1585+(U$2*$M1585))</f>
        <v/>
      </c>
      <c r="V1585" s="48">
        <f>IF(OR($M1585="",$T1585=""),"",$T1585+(V$2*$M1585))</f>
        <v/>
      </c>
      <c r="W1585" s="48">
        <f>IF(OR($M1585="",$T1585=""),"",$T1585+(W$2*$M1585))</f>
        <v/>
      </c>
      <c r="X1585" s="49">
        <f>IF(OR($M1585="",$T1585=""),"",$T1585+(X$2*$M1585))</f>
        <v/>
      </c>
      <c r="Y1585" s="47">
        <f>IF(OR($M1585="",$T1585=""),"",$T1585+(Y$2*$M1585))</f>
        <v/>
      </c>
      <c r="Z1585" s="49">
        <f>IF(OR($M1585="",$T1585=""),"",$T1585+(Z$2*$M1585))</f>
        <v/>
      </c>
      <c r="AA1585" s="51">
        <f>IF(OR($M1585="",$T1585=""),"",$T1585+(AA$2*$M1585))</f>
        <v/>
      </c>
      <c r="AB1585" s="48">
        <f>IF(OR($M1585="",$T1585=""),"",$T1585+(AB$2*$M1585))</f>
        <v/>
      </c>
      <c r="AC1585" s="48">
        <f>IF(OR($M1585="",$T1585=""),"",$T1585+(AC$2*$M1585))</f>
        <v/>
      </c>
      <c r="AD1585" s="48">
        <f>IF(OR($M1585="",$T1585=""),"",$T1585+(AD$2*$M1585))</f>
        <v/>
      </c>
      <c r="AE1585" s="49">
        <f>IF(OR($M1585="",$T1585=""),"",$T1585+(AE$2*$M1585))</f>
        <v/>
      </c>
      <c r="AF1585" s="52">
        <f>IF(OR(T1585="",I1585&lt;T1585),"",IFERROR(AVERAGE(T1585+M1585*{7,8,9,10,11})/IF(G1585="",I1585,G1585)-1,""))</f>
        <v/>
      </c>
      <c r="AG1585" s="55">
        <f>IF(OR(T1585="",I1585&lt;T1585),"",IFERROR(AF1585/-(R1585/IF(G1585="",I1585,G1585)-1),""))</f>
        <v/>
      </c>
      <c r="AH1585" s="94" t="n"/>
      <c r="AI1585" s="94" t="n"/>
      <c r="AJ1585" s="94" t="n"/>
      <c r="AK1585" s="94" t="n"/>
      <c r="AL1585" s="84" t="n"/>
    </row>
    <row r="1586">
      <c r="A1586" s="64" t="n"/>
      <c r="B1586" s="65" t="n"/>
      <c r="C1586" s="66" t="n"/>
      <c r="D1586" s="67" t="n"/>
      <c r="E1586" s="68" t="n"/>
      <c r="F1586" s="47">
        <f>IF(A1586="","",IF(MIN(H1586,MAX(J1586:K1586))=0,"",MIN(H1586,MAX(J1586:K1586))))</f>
        <v/>
      </c>
      <c r="G1586" s="74" t="n"/>
      <c r="H1586" s="49">
        <f>IF(M1586="","",IFERROR(ROUND(AVERAGE(T1586+M1586*{7,8,9,10,11})/1.21,4),""))</f>
        <v/>
      </c>
      <c r="I1586" s="76" t="n"/>
      <c r="J1586" s="77" t="n"/>
      <c r="K1586" s="74" t="n"/>
      <c r="L1586" s="78" t="n"/>
      <c r="M1586" s="77" t="n"/>
      <c r="N1586" s="53">
        <f>IF(M1586="","",IFERROR(M1586/I1586,""))</f>
        <v/>
      </c>
      <c r="O1586" s="50">
        <f>IF(A1586="","",IFERROR((IF(G1586="",I1586,G1586)-T1586)/M1586,""))</f>
        <v/>
      </c>
      <c r="P1586" s="50">
        <f>IFERROR((I1586/T1586-1)/N1586,"")</f>
        <v/>
      </c>
      <c r="Q1586" s="46">
        <f>IF(OR(T1586="",I1586&lt;T1586),"",IFERROR(R1586/IF(G1586="",I1586,G1586)-1,""))</f>
        <v/>
      </c>
      <c r="R1586" s="48">
        <f>IF($M1586="","",MAX(IF($G1586="",$I1586,$G1586)*(1/1.1),IF($G1586="",$I1586,$G1586)+(R$2*$M1586)))</f>
        <v/>
      </c>
      <c r="S1586" s="49">
        <f>IF($M1586="","",MAX(IF($G1586="",$I1586,$G1586)*(1/1.1),IF($G1586="",$I1586,$G1586)+(S$2*$M1586)))</f>
        <v/>
      </c>
      <c r="T1586" s="82" t="n"/>
      <c r="U1586" s="47">
        <f>IF(OR($M1586="",$T1586=""),"",$T1586+(U$2*$M1586))</f>
        <v/>
      </c>
      <c r="V1586" s="48">
        <f>IF(OR($M1586="",$T1586=""),"",$T1586+(V$2*$M1586))</f>
        <v/>
      </c>
      <c r="W1586" s="48">
        <f>IF(OR($M1586="",$T1586=""),"",$T1586+(W$2*$M1586))</f>
        <v/>
      </c>
      <c r="X1586" s="49">
        <f>IF(OR($M1586="",$T1586=""),"",$T1586+(X$2*$M1586))</f>
        <v/>
      </c>
      <c r="Y1586" s="47">
        <f>IF(OR($M1586="",$T1586=""),"",$T1586+(Y$2*$M1586))</f>
        <v/>
      </c>
      <c r="Z1586" s="49">
        <f>IF(OR($M1586="",$T1586=""),"",$T1586+(Z$2*$M1586))</f>
        <v/>
      </c>
      <c r="AA1586" s="51">
        <f>IF(OR($M1586="",$T1586=""),"",$T1586+(AA$2*$M1586))</f>
        <v/>
      </c>
      <c r="AB1586" s="48">
        <f>IF(OR($M1586="",$T1586=""),"",$T1586+(AB$2*$M1586))</f>
        <v/>
      </c>
      <c r="AC1586" s="48">
        <f>IF(OR($M1586="",$T1586=""),"",$T1586+(AC$2*$M1586))</f>
        <v/>
      </c>
      <c r="AD1586" s="48">
        <f>IF(OR($M1586="",$T1586=""),"",$T1586+(AD$2*$M1586))</f>
        <v/>
      </c>
      <c r="AE1586" s="49">
        <f>IF(OR($M1586="",$T1586=""),"",$T1586+(AE$2*$M1586))</f>
        <v/>
      </c>
      <c r="AF1586" s="52">
        <f>IF(OR(T1586="",I1586&lt;T1586),"",IFERROR(AVERAGE(T1586+M1586*{7,8,9,10,11})/IF(G1586="",I1586,G1586)-1,""))</f>
        <v/>
      </c>
      <c r="AG1586" s="55">
        <f>IF(OR(T1586="",I1586&lt;T1586),"",IFERROR(AF1586/-(R1586/IF(G1586="",I1586,G1586)-1),""))</f>
        <v/>
      </c>
      <c r="AH1586" s="94" t="n"/>
      <c r="AI1586" s="94" t="n"/>
      <c r="AJ1586" s="94" t="n"/>
      <c r="AK1586" s="94" t="n"/>
      <c r="AL1586" s="84" t="n"/>
    </row>
    <row r="1587">
      <c r="A1587" s="64" t="n"/>
      <c r="B1587" s="65" t="n"/>
      <c r="C1587" s="66" t="n"/>
      <c r="D1587" s="67" t="n"/>
      <c r="E1587" s="68" t="n"/>
      <c r="F1587" s="47">
        <f>IF(A1587="","",IF(MIN(H1587,MAX(J1587:K1587))=0,"",MIN(H1587,MAX(J1587:K1587))))</f>
        <v/>
      </c>
      <c r="G1587" s="74" t="n"/>
      <c r="H1587" s="49">
        <f>IF(M1587="","",IFERROR(ROUND(AVERAGE(T1587+M1587*{7,8,9,10,11})/1.21,4),""))</f>
        <v/>
      </c>
      <c r="I1587" s="76" t="n"/>
      <c r="J1587" s="77" t="n"/>
      <c r="K1587" s="74" t="n"/>
      <c r="L1587" s="78" t="n"/>
      <c r="M1587" s="77" t="n"/>
      <c r="N1587" s="53">
        <f>IF(M1587="","",IFERROR(M1587/I1587,""))</f>
        <v/>
      </c>
      <c r="O1587" s="50">
        <f>IF(A1587="","",IFERROR((IF(G1587="",I1587,G1587)-T1587)/M1587,""))</f>
        <v/>
      </c>
      <c r="P1587" s="50">
        <f>IFERROR((I1587/T1587-1)/N1587,"")</f>
        <v/>
      </c>
      <c r="Q1587" s="46">
        <f>IF(OR(T1587="",I1587&lt;T1587),"",IFERROR(R1587/IF(G1587="",I1587,G1587)-1,""))</f>
        <v/>
      </c>
      <c r="R1587" s="48">
        <f>IF($M1587="","",MAX(IF($G1587="",$I1587,$G1587)*(1/1.1),IF($G1587="",$I1587,$G1587)+(R$2*$M1587)))</f>
        <v/>
      </c>
      <c r="S1587" s="49">
        <f>IF($M1587="","",MAX(IF($G1587="",$I1587,$G1587)*(1/1.1),IF($G1587="",$I1587,$G1587)+(S$2*$M1587)))</f>
        <v/>
      </c>
      <c r="T1587" s="82" t="n"/>
      <c r="U1587" s="47">
        <f>IF(OR($M1587="",$T1587=""),"",$T1587+(U$2*$M1587))</f>
        <v/>
      </c>
      <c r="V1587" s="48">
        <f>IF(OR($M1587="",$T1587=""),"",$T1587+(V$2*$M1587))</f>
        <v/>
      </c>
      <c r="W1587" s="48">
        <f>IF(OR($M1587="",$T1587=""),"",$T1587+(W$2*$M1587))</f>
        <v/>
      </c>
      <c r="X1587" s="49">
        <f>IF(OR($M1587="",$T1587=""),"",$T1587+(X$2*$M1587))</f>
        <v/>
      </c>
      <c r="Y1587" s="47">
        <f>IF(OR($M1587="",$T1587=""),"",$T1587+(Y$2*$M1587))</f>
        <v/>
      </c>
      <c r="Z1587" s="49">
        <f>IF(OR($M1587="",$T1587=""),"",$T1587+(Z$2*$M1587))</f>
        <v/>
      </c>
      <c r="AA1587" s="51">
        <f>IF(OR($M1587="",$T1587=""),"",$T1587+(AA$2*$M1587))</f>
        <v/>
      </c>
      <c r="AB1587" s="48">
        <f>IF(OR($M1587="",$T1587=""),"",$T1587+(AB$2*$M1587))</f>
        <v/>
      </c>
      <c r="AC1587" s="48">
        <f>IF(OR($M1587="",$T1587=""),"",$T1587+(AC$2*$M1587))</f>
        <v/>
      </c>
      <c r="AD1587" s="48">
        <f>IF(OR($M1587="",$T1587=""),"",$T1587+(AD$2*$M1587))</f>
        <v/>
      </c>
      <c r="AE1587" s="49">
        <f>IF(OR($M1587="",$T1587=""),"",$T1587+(AE$2*$M1587))</f>
        <v/>
      </c>
      <c r="AF1587" s="52">
        <f>IF(OR(T1587="",I1587&lt;T1587),"",IFERROR(AVERAGE(T1587+M1587*{7,8,9,10,11})/IF(G1587="",I1587,G1587)-1,""))</f>
        <v/>
      </c>
      <c r="AG1587" s="55">
        <f>IF(OR(T1587="",I1587&lt;T1587),"",IFERROR(AF1587/-(R1587/IF(G1587="",I1587,G1587)-1),""))</f>
        <v/>
      </c>
      <c r="AH1587" s="94" t="n"/>
      <c r="AI1587" s="94" t="n"/>
      <c r="AJ1587" s="94" t="n"/>
      <c r="AK1587" s="94" t="n"/>
      <c r="AL1587" s="84" t="n"/>
    </row>
    <row r="1588">
      <c r="A1588" s="64" t="n"/>
      <c r="B1588" s="65" t="n"/>
      <c r="C1588" s="66" t="n"/>
      <c r="D1588" s="67" t="n"/>
      <c r="E1588" s="68" t="n"/>
      <c r="F1588" s="47">
        <f>IF(A1588="","",IF(MIN(H1588,MAX(J1588:K1588))=0,"",MIN(H1588,MAX(J1588:K1588))))</f>
        <v/>
      </c>
      <c r="G1588" s="74" t="n"/>
      <c r="H1588" s="49">
        <f>IF(M1588="","",IFERROR(ROUND(AVERAGE(T1588+M1588*{7,8,9,10,11})/1.21,4),""))</f>
        <v/>
      </c>
      <c r="I1588" s="76" t="n"/>
      <c r="J1588" s="77" t="n"/>
      <c r="K1588" s="74" t="n"/>
      <c r="L1588" s="78" t="n"/>
      <c r="M1588" s="77" t="n"/>
      <c r="N1588" s="53">
        <f>IF(M1588="","",IFERROR(M1588/I1588,""))</f>
        <v/>
      </c>
      <c r="O1588" s="50">
        <f>IF(A1588="","",IFERROR((IF(G1588="",I1588,G1588)-T1588)/M1588,""))</f>
        <v/>
      </c>
      <c r="P1588" s="50">
        <f>IFERROR((I1588/T1588-1)/N1588,"")</f>
        <v/>
      </c>
      <c r="Q1588" s="46">
        <f>IF(OR(T1588="",I1588&lt;T1588),"",IFERROR(R1588/IF(G1588="",I1588,G1588)-1,""))</f>
        <v/>
      </c>
      <c r="R1588" s="48">
        <f>IF($M1588="","",MAX(IF($G1588="",$I1588,$G1588)*(1/1.1),IF($G1588="",$I1588,$G1588)+(R$2*$M1588)))</f>
        <v/>
      </c>
      <c r="S1588" s="49">
        <f>IF($M1588="","",MAX(IF($G1588="",$I1588,$G1588)*(1/1.1),IF($G1588="",$I1588,$G1588)+(S$2*$M1588)))</f>
        <v/>
      </c>
      <c r="T1588" s="82" t="n"/>
      <c r="U1588" s="47">
        <f>IF(OR($M1588="",$T1588=""),"",$T1588+(U$2*$M1588))</f>
        <v/>
      </c>
      <c r="V1588" s="48">
        <f>IF(OR($M1588="",$T1588=""),"",$T1588+(V$2*$M1588))</f>
        <v/>
      </c>
      <c r="W1588" s="48">
        <f>IF(OR($M1588="",$T1588=""),"",$T1588+(W$2*$M1588))</f>
        <v/>
      </c>
      <c r="X1588" s="49">
        <f>IF(OR($M1588="",$T1588=""),"",$T1588+(X$2*$M1588))</f>
        <v/>
      </c>
      <c r="Y1588" s="47">
        <f>IF(OR($M1588="",$T1588=""),"",$T1588+(Y$2*$M1588))</f>
        <v/>
      </c>
      <c r="Z1588" s="49">
        <f>IF(OR($M1588="",$T1588=""),"",$T1588+(Z$2*$M1588))</f>
        <v/>
      </c>
      <c r="AA1588" s="51">
        <f>IF(OR($M1588="",$T1588=""),"",$T1588+(AA$2*$M1588))</f>
        <v/>
      </c>
      <c r="AB1588" s="48">
        <f>IF(OR($M1588="",$T1588=""),"",$T1588+(AB$2*$M1588))</f>
        <v/>
      </c>
      <c r="AC1588" s="48">
        <f>IF(OR($M1588="",$T1588=""),"",$T1588+(AC$2*$M1588))</f>
        <v/>
      </c>
      <c r="AD1588" s="48">
        <f>IF(OR($M1588="",$T1588=""),"",$T1588+(AD$2*$M1588))</f>
        <v/>
      </c>
      <c r="AE1588" s="49">
        <f>IF(OR($M1588="",$T1588=""),"",$T1588+(AE$2*$M1588))</f>
        <v/>
      </c>
      <c r="AF1588" s="52">
        <f>IF(OR(T1588="",I1588&lt;T1588),"",IFERROR(AVERAGE(T1588+M1588*{7,8,9,10,11})/IF(G1588="",I1588,G1588)-1,""))</f>
        <v/>
      </c>
      <c r="AG1588" s="55">
        <f>IF(OR(T1588="",I1588&lt;T1588),"",IFERROR(AF1588/-(R1588/IF(G1588="",I1588,G1588)-1),""))</f>
        <v/>
      </c>
      <c r="AH1588" s="94" t="n"/>
      <c r="AI1588" s="94" t="n"/>
      <c r="AJ1588" s="94" t="n"/>
      <c r="AK1588" s="94" t="n"/>
      <c r="AL1588" s="84" t="n"/>
    </row>
    <row r="1589">
      <c r="A1589" s="64" t="n"/>
      <c r="B1589" s="65" t="n"/>
      <c r="C1589" s="66" t="n"/>
      <c r="D1589" s="67" t="n"/>
      <c r="E1589" s="68" t="n"/>
      <c r="F1589" s="47">
        <f>IF(A1589="","",IF(MIN(H1589,MAX(J1589:K1589))=0,"",MIN(H1589,MAX(J1589:K1589))))</f>
        <v/>
      </c>
      <c r="G1589" s="74" t="n"/>
      <c r="H1589" s="49">
        <f>IF(M1589="","",IFERROR(ROUND(AVERAGE(T1589+M1589*{7,8,9,10,11})/1.21,4),""))</f>
        <v/>
      </c>
      <c r="I1589" s="76" t="n"/>
      <c r="J1589" s="77" t="n"/>
      <c r="K1589" s="74" t="n"/>
      <c r="L1589" s="78" t="n"/>
      <c r="M1589" s="77" t="n"/>
      <c r="N1589" s="53">
        <f>IF(M1589="","",IFERROR(M1589/I1589,""))</f>
        <v/>
      </c>
      <c r="O1589" s="50">
        <f>IF(A1589="","",IFERROR((IF(G1589="",I1589,G1589)-T1589)/M1589,""))</f>
        <v/>
      </c>
      <c r="P1589" s="50">
        <f>IFERROR((I1589/T1589-1)/N1589,"")</f>
        <v/>
      </c>
      <c r="Q1589" s="46">
        <f>IF(OR(T1589="",I1589&lt;T1589),"",IFERROR(R1589/IF(G1589="",I1589,G1589)-1,""))</f>
        <v/>
      </c>
      <c r="R1589" s="48">
        <f>IF($M1589="","",MAX(IF($G1589="",$I1589,$G1589)*(1/1.1),IF($G1589="",$I1589,$G1589)+(R$2*$M1589)))</f>
        <v/>
      </c>
      <c r="S1589" s="49">
        <f>IF($M1589="","",MAX(IF($G1589="",$I1589,$G1589)*(1/1.1),IF($G1589="",$I1589,$G1589)+(S$2*$M1589)))</f>
        <v/>
      </c>
      <c r="T1589" s="82" t="n"/>
      <c r="U1589" s="47">
        <f>IF(OR($M1589="",$T1589=""),"",$T1589+(U$2*$M1589))</f>
        <v/>
      </c>
      <c r="V1589" s="48">
        <f>IF(OR($M1589="",$T1589=""),"",$T1589+(V$2*$M1589))</f>
        <v/>
      </c>
      <c r="W1589" s="48">
        <f>IF(OR($M1589="",$T1589=""),"",$T1589+(W$2*$M1589))</f>
        <v/>
      </c>
      <c r="X1589" s="49">
        <f>IF(OR($M1589="",$T1589=""),"",$T1589+(X$2*$M1589))</f>
        <v/>
      </c>
      <c r="Y1589" s="47">
        <f>IF(OR($M1589="",$T1589=""),"",$T1589+(Y$2*$M1589))</f>
        <v/>
      </c>
      <c r="Z1589" s="49">
        <f>IF(OR($M1589="",$T1589=""),"",$T1589+(Z$2*$M1589))</f>
        <v/>
      </c>
      <c r="AA1589" s="51">
        <f>IF(OR($M1589="",$T1589=""),"",$T1589+(AA$2*$M1589))</f>
        <v/>
      </c>
      <c r="AB1589" s="48">
        <f>IF(OR($M1589="",$T1589=""),"",$T1589+(AB$2*$M1589))</f>
        <v/>
      </c>
      <c r="AC1589" s="48">
        <f>IF(OR($M1589="",$T1589=""),"",$T1589+(AC$2*$M1589))</f>
        <v/>
      </c>
      <c r="AD1589" s="48">
        <f>IF(OR($M1589="",$T1589=""),"",$T1589+(AD$2*$M1589))</f>
        <v/>
      </c>
      <c r="AE1589" s="49">
        <f>IF(OR($M1589="",$T1589=""),"",$T1589+(AE$2*$M1589))</f>
        <v/>
      </c>
      <c r="AF1589" s="52">
        <f>IF(OR(T1589="",I1589&lt;T1589),"",IFERROR(AVERAGE(T1589+M1589*{7,8,9,10,11})/IF(G1589="",I1589,G1589)-1,""))</f>
        <v/>
      </c>
      <c r="AG1589" s="55">
        <f>IF(OR(T1589="",I1589&lt;T1589),"",IFERROR(AF1589/-(R1589/IF(G1589="",I1589,G1589)-1),""))</f>
        <v/>
      </c>
      <c r="AH1589" s="94" t="n"/>
      <c r="AI1589" s="94" t="n"/>
      <c r="AJ1589" s="94" t="n"/>
      <c r="AK1589" s="94" t="n"/>
      <c r="AL1589" s="84" t="n"/>
    </row>
    <row r="1590">
      <c r="A1590" s="64" t="n"/>
      <c r="B1590" s="65" t="n"/>
      <c r="C1590" s="66" t="n"/>
      <c r="D1590" s="67" t="n"/>
      <c r="E1590" s="68" t="n"/>
      <c r="F1590" s="47">
        <f>IF(A1590="","",IF(MIN(H1590,MAX(J1590:K1590))=0,"",MIN(H1590,MAX(J1590:K1590))))</f>
        <v/>
      </c>
      <c r="G1590" s="74" t="n"/>
      <c r="H1590" s="49">
        <f>IF(M1590="","",IFERROR(ROUND(AVERAGE(T1590+M1590*{7,8,9,10,11})/1.21,4),""))</f>
        <v/>
      </c>
      <c r="I1590" s="76" t="n"/>
      <c r="J1590" s="77" t="n"/>
      <c r="K1590" s="74" t="n"/>
      <c r="L1590" s="78" t="n"/>
      <c r="M1590" s="77" t="n"/>
      <c r="N1590" s="53">
        <f>IF(M1590="","",IFERROR(M1590/I1590,""))</f>
        <v/>
      </c>
      <c r="O1590" s="50">
        <f>IF(A1590="","",IFERROR((IF(G1590="",I1590,G1590)-T1590)/M1590,""))</f>
        <v/>
      </c>
      <c r="P1590" s="50">
        <f>IFERROR((I1590/T1590-1)/N1590,"")</f>
        <v/>
      </c>
      <c r="Q1590" s="46">
        <f>IF(OR(T1590="",I1590&lt;T1590),"",IFERROR(R1590/IF(G1590="",I1590,G1590)-1,""))</f>
        <v/>
      </c>
      <c r="R1590" s="48">
        <f>IF($M1590="","",MAX(IF($G1590="",$I1590,$G1590)*(1/1.1),IF($G1590="",$I1590,$G1590)+(R$2*$M1590)))</f>
        <v/>
      </c>
      <c r="S1590" s="49">
        <f>IF($M1590="","",MAX(IF($G1590="",$I1590,$G1590)*(1/1.1),IF($G1590="",$I1590,$G1590)+(S$2*$M1590)))</f>
        <v/>
      </c>
      <c r="T1590" s="82" t="n"/>
      <c r="U1590" s="47">
        <f>IF(OR($M1590="",$T1590=""),"",$T1590+(U$2*$M1590))</f>
        <v/>
      </c>
      <c r="V1590" s="48">
        <f>IF(OR($M1590="",$T1590=""),"",$T1590+(V$2*$M1590))</f>
        <v/>
      </c>
      <c r="W1590" s="48">
        <f>IF(OR($M1590="",$T1590=""),"",$T1590+(W$2*$M1590))</f>
        <v/>
      </c>
      <c r="X1590" s="49">
        <f>IF(OR($M1590="",$T1590=""),"",$T1590+(X$2*$M1590))</f>
        <v/>
      </c>
      <c r="Y1590" s="47">
        <f>IF(OR($M1590="",$T1590=""),"",$T1590+(Y$2*$M1590))</f>
        <v/>
      </c>
      <c r="Z1590" s="49">
        <f>IF(OR($M1590="",$T1590=""),"",$T1590+(Z$2*$M1590))</f>
        <v/>
      </c>
      <c r="AA1590" s="51">
        <f>IF(OR($M1590="",$T1590=""),"",$T1590+(AA$2*$M1590))</f>
        <v/>
      </c>
      <c r="AB1590" s="48">
        <f>IF(OR($M1590="",$T1590=""),"",$T1590+(AB$2*$M1590))</f>
        <v/>
      </c>
      <c r="AC1590" s="48">
        <f>IF(OR($M1590="",$T1590=""),"",$T1590+(AC$2*$M1590))</f>
        <v/>
      </c>
      <c r="AD1590" s="48">
        <f>IF(OR($M1590="",$T1590=""),"",$T1590+(AD$2*$M1590))</f>
        <v/>
      </c>
      <c r="AE1590" s="49">
        <f>IF(OR($M1590="",$T1590=""),"",$T1590+(AE$2*$M1590))</f>
        <v/>
      </c>
      <c r="AF1590" s="52">
        <f>IF(OR(T1590="",I1590&lt;T1590),"",IFERROR(AVERAGE(T1590+M1590*{7,8,9,10,11})/IF(G1590="",I1590,G1590)-1,""))</f>
        <v/>
      </c>
      <c r="AG1590" s="55">
        <f>IF(OR(T1590="",I1590&lt;T1590),"",IFERROR(AF1590/-(R1590/IF(G1590="",I1590,G1590)-1),""))</f>
        <v/>
      </c>
      <c r="AH1590" s="94" t="n"/>
      <c r="AI1590" s="94" t="n"/>
      <c r="AJ1590" s="94" t="n"/>
      <c r="AK1590" s="94" t="n"/>
      <c r="AL1590" s="84" t="n"/>
    </row>
    <row r="1591">
      <c r="A1591" s="64" t="n"/>
      <c r="B1591" s="65" t="n"/>
      <c r="C1591" s="66" t="n"/>
      <c r="D1591" s="67" t="n"/>
      <c r="E1591" s="68" t="n"/>
      <c r="F1591" s="47">
        <f>IF(A1591="","",IF(MIN(H1591,MAX(J1591:K1591))=0,"",MIN(H1591,MAX(J1591:K1591))))</f>
        <v/>
      </c>
      <c r="G1591" s="74" t="n"/>
      <c r="H1591" s="49">
        <f>IF(M1591="","",IFERROR(ROUND(AVERAGE(T1591+M1591*{7,8,9,10,11})/1.21,4),""))</f>
        <v/>
      </c>
      <c r="I1591" s="76" t="n"/>
      <c r="J1591" s="77" t="n"/>
      <c r="K1591" s="74" t="n"/>
      <c r="L1591" s="78" t="n"/>
      <c r="M1591" s="77" t="n"/>
      <c r="N1591" s="53">
        <f>IF(M1591="","",IFERROR(M1591/I1591,""))</f>
        <v/>
      </c>
      <c r="O1591" s="50">
        <f>IF(A1591="","",IFERROR((IF(G1591="",I1591,G1591)-T1591)/M1591,""))</f>
        <v/>
      </c>
      <c r="P1591" s="50">
        <f>IFERROR((I1591/T1591-1)/N1591,"")</f>
        <v/>
      </c>
      <c r="Q1591" s="46">
        <f>IF(OR(T1591="",I1591&lt;T1591),"",IFERROR(R1591/IF(G1591="",I1591,G1591)-1,""))</f>
        <v/>
      </c>
      <c r="R1591" s="48">
        <f>IF($M1591="","",MAX(IF($G1591="",$I1591,$G1591)*(1/1.1),IF($G1591="",$I1591,$G1591)+(R$2*$M1591)))</f>
        <v/>
      </c>
      <c r="S1591" s="49">
        <f>IF($M1591="","",MAX(IF($G1591="",$I1591,$G1591)*(1/1.1),IF($G1591="",$I1591,$G1591)+(S$2*$M1591)))</f>
        <v/>
      </c>
      <c r="T1591" s="82" t="n"/>
      <c r="U1591" s="47">
        <f>IF(OR($M1591="",$T1591=""),"",$T1591+(U$2*$M1591))</f>
        <v/>
      </c>
      <c r="V1591" s="48">
        <f>IF(OR($M1591="",$T1591=""),"",$T1591+(V$2*$M1591))</f>
        <v/>
      </c>
      <c r="W1591" s="48">
        <f>IF(OR($M1591="",$T1591=""),"",$T1591+(W$2*$M1591))</f>
        <v/>
      </c>
      <c r="X1591" s="49">
        <f>IF(OR($M1591="",$T1591=""),"",$T1591+(X$2*$M1591))</f>
        <v/>
      </c>
      <c r="Y1591" s="47">
        <f>IF(OR($M1591="",$T1591=""),"",$T1591+(Y$2*$M1591))</f>
        <v/>
      </c>
      <c r="Z1591" s="49">
        <f>IF(OR($M1591="",$T1591=""),"",$T1591+(Z$2*$M1591))</f>
        <v/>
      </c>
      <c r="AA1591" s="51">
        <f>IF(OR($M1591="",$T1591=""),"",$T1591+(AA$2*$M1591))</f>
        <v/>
      </c>
      <c r="AB1591" s="48">
        <f>IF(OR($M1591="",$T1591=""),"",$T1591+(AB$2*$M1591))</f>
        <v/>
      </c>
      <c r="AC1591" s="48">
        <f>IF(OR($M1591="",$T1591=""),"",$T1591+(AC$2*$M1591))</f>
        <v/>
      </c>
      <c r="AD1591" s="48">
        <f>IF(OR($M1591="",$T1591=""),"",$T1591+(AD$2*$M1591))</f>
        <v/>
      </c>
      <c r="AE1591" s="49">
        <f>IF(OR($M1591="",$T1591=""),"",$T1591+(AE$2*$M1591))</f>
        <v/>
      </c>
      <c r="AF1591" s="52">
        <f>IF(OR(T1591="",I1591&lt;T1591),"",IFERROR(AVERAGE(T1591+M1591*{7,8,9,10,11})/IF(G1591="",I1591,G1591)-1,""))</f>
        <v/>
      </c>
      <c r="AG1591" s="55">
        <f>IF(OR(T1591="",I1591&lt;T1591),"",IFERROR(AF1591/-(R1591/IF(G1591="",I1591,G1591)-1),""))</f>
        <v/>
      </c>
      <c r="AH1591" s="94" t="n"/>
      <c r="AI1591" s="94" t="n"/>
      <c r="AJ1591" s="94" t="n"/>
      <c r="AK1591" s="94" t="n"/>
      <c r="AL1591" s="84" t="n"/>
    </row>
    <row r="1592">
      <c r="A1592" s="64" t="n"/>
      <c r="B1592" s="65" t="n"/>
      <c r="C1592" s="66" t="n"/>
      <c r="D1592" s="67" t="n"/>
      <c r="E1592" s="68" t="n"/>
      <c r="F1592" s="47">
        <f>IF(A1592="","",IF(MIN(H1592,MAX(J1592:K1592))=0,"",MIN(H1592,MAX(J1592:K1592))))</f>
        <v/>
      </c>
      <c r="G1592" s="74" t="n"/>
      <c r="H1592" s="49">
        <f>IF(M1592="","",IFERROR(ROUND(AVERAGE(T1592+M1592*{7,8,9,10,11})/1.21,4),""))</f>
        <v/>
      </c>
      <c r="I1592" s="76" t="n"/>
      <c r="J1592" s="77" t="n"/>
      <c r="K1592" s="74" t="n"/>
      <c r="L1592" s="78" t="n"/>
      <c r="M1592" s="77" t="n"/>
      <c r="N1592" s="53">
        <f>IF(M1592="","",IFERROR(M1592/I1592,""))</f>
        <v/>
      </c>
      <c r="O1592" s="50">
        <f>IF(A1592="","",IFERROR((IF(G1592="",I1592,G1592)-T1592)/M1592,""))</f>
        <v/>
      </c>
      <c r="P1592" s="50">
        <f>IFERROR((I1592/T1592-1)/N1592,"")</f>
        <v/>
      </c>
      <c r="Q1592" s="46">
        <f>IF(OR(T1592="",I1592&lt;T1592),"",IFERROR(R1592/IF(G1592="",I1592,G1592)-1,""))</f>
        <v/>
      </c>
      <c r="R1592" s="48">
        <f>IF($M1592="","",MAX(IF($G1592="",$I1592,$G1592)*(1/1.1),IF($G1592="",$I1592,$G1592)+(R$2*$M1592)))</f>
        <v/>
      </c>
      <c r="S1592" s="49">
        <f>IF($M1592="","",MAX(IF($G1592="",$I1592,$G1592)*(1/1.1),IF($G1592="",$I1592,$G1592)+(S$2*$M1592)))</f>
        <v/>
      </c>
      <c r="T1592" s="82" t="n"/>
      <c r="U1592" s="47">
        <f>IF(OR($M1592="",$T1592=""),"",$T1592+(U$2*$M1592))</f>
        <v/>
      </c>
      <c r="V1592" s="48">
        <f>IF(OR($M1592="",$T1592=""),"",$T1592+(V$2*$M1592))</f>
        <v/>
      </c>
      <c r="W1592" s="48">
        <f>IF(OR($M1592="",$T1592=""),"",$T1592+(W$2*$M1592))</f>
        <v/>
      </c>
      <c r="X1592" s="49">
        <f>IF(OR($M1592="",$T1592=""),"",$T1592+(X$2*$M1592))</f>
        <v/>
      </c>
      <c r="Y1592" s="47">
        <f>IF(OR($M1592="",$T1592=""),"",$T1592+(Y$2*$M1592))</f>
        <v/>
      </c>
      <c r="Z1592" s="49">
        <f>IF(OR($M1592="",$T1592=""),"",$T1592+(Z$2*$M1592))</f>
        <v/>
      </c>
      <c r="AA1592" s="51">
        <f>IF(OR($M1592="",$T1592=""),"",$T1592+(AA$2*$M1592))</f>
        <v/>
      </c>
      <c r="AB1592" s="48">
        <f>IF(OR($M1592="",$T1592=""),"",$T1592+(AB$2*$M1592))</f>
        <v/>
      </c>
      <c r="AC1592" s="48">
        <f>IF(OR($M1592="",$T1592=""),"",$T1592+(AC$2*$M1592))</f>
        <v/>
      </c>
      <c r="AD1592" s="48">
        <f>IF(OR($M1592="",$T1592=""),"",$T1592+(AD$2*$M1592))</f>
        <v/>
      </c>
      <c r="AE1592" s="49">
        <f>IF(OR($M1592="",$T1592=""),"",$T1592+(AE$2*$M1592))</f>
        <v/>
      </c>
      <c r="AF1592" s="52">
        <f>IF(OR(T1592="",I1592&lt;T1592),"",IFERROR(AVERAGE(T1592+M1592*{7,8,9,10,11})/IF(G1592="",I1592,G1592)-1,""))</f>
        <v/>
      </c>
      <c r="AG1592" s="55">
        <f>IF(OR(T1592="",I1592&lt;T1592),"",IFERROR(AF1592/-(R1592/IF(G1592="",I1592,G1592)-1),""))</f>
        <v/>
      </c>
      <c r="AH1592" s="94" t="n"/>
      <c r="AI1592" s="94" t="n"/>
      <c r="AJ1592" s="94" t="n"/>
      <c r="AK1592" s="94" t="n"/>
      <c r="AL1592" s="84" t="n"/>
    </row>
    <row r="1593">
      <c r="A1593" s="64" t="n"/>
      <c r="B1593" s="65" t="n"/>
      <c r="C1593" s="66" t="n"/>
      <c r="D1593" s="67" t="n"/>
      <c r="E1593" s="68" t="n"/>
      <c r="F1593" s="47">
        <f>IF(A1593="","",IF(MIN(H1593,MAX(J1593:K1593))=0,"",MIN(H1593,MAX(J1593:K1593))))</f>
        <v/>
      </c>
      <c r="G1593" s="74" t="n"/>
      <c r="H1593" s="49">
        <f>IF(M1593="","",IFERROR(ROUND(AVERAGE(T1593+M1593*{7,8,9,10,11})/1.21,4),""))</f>
        <v/>
      </c>
      <c r="I1593" s="76" t="n"/>
      <c r="J1593" s="77" t="n"/>
      <c r="K1593" s="74" t="n"/>
      <c r="L1593" s="78" t="n"/>
      <c r="M1593" s="77" t="n"/>
      <c r="N1593" s="53">
        <f>IF(M1593="","",IFERROR(M1593/I1593,""))</f>
        <v/>
      </c>
      <c r="O1593" s="50">
        <f>IF(A1593="","",IFERROR((IF(G1593="",I1593,G1593)-T1593)/M1593,""))</f>
        <v/>
      </c>
      <c r="P1593" s="50">
        <f>IFERROR((I1593/T1593-1)/N1593,"")</f>
        <v/>
      </c>
      <c r="Q1593" s="46">
        <f>IF(OR(T1593="",I1593&lt;T1593),"",IFERROR(R1593/IF(G1593="",I1593,G1593)-1,""))</f>
        <v/>
      </c>
      <c r="R1593" s="48">
        <f>IF($M1593="","",MAX(IF($G1593="",$I1593,$G1593)*(1/1.1),IF($G1593="",$I1593,$G1593)+(R$2*$M1593)))</f>
        <v/>
      </c>
      <c r="S1593" s="49">
        <f>IF($M1593="","",MAX(IF($G1593="",$I1593,$G1593)*(1/1.1),IF($G1593="",$I1593,$G1593)+(S$2*$M1593)))</f>
        <v/>
      </c>
      <c r="T1593" s="82" t="n"/>
      <c r="U1593" s="47">
        <f>IF(OR($M1593="",$T1593=""),"",$T1593+(U$2*$M1593))</f>
        <v/>
      </c>
      <c r="V1593" s="48">
        <f>IF(OR($M1593="",$T1593=""),"",$T1593+(V$2*$M1593))</f>
        <v/>
      </c>
      <c r="W1593" s="48">
        <f>IF(OR($M1593="",$T1593=""),"",$T1593+(W$2*$M1593))</f>
        <v/>
      </c>
      <c r="X1593" s="49">
        <f>IF(OR($M1593="",$T1593=""),"",$T1593+(X$2*$M1593))</f>
        <v/>
      </c>
      <c r="Y1593" s="47">
        <f>IF(OR($M1593="",$T1593=""),"",$T1593+(Y$2*$M1593))</f>
        <v/>
      </c>
      <c r="Z1593" s="49">
        <f>IF(OR($M1593="",$T1593=""),"",$T1593+(Z$2*$M1593))</f>
        <v/>
      </c>
      <c r="AA1593" s="51">
        <f>IF(OR($M1593="",$T1593=""),"",$T1593+(AA$2*$M1593))</f>
        <v/>
      </c>
      <c r="AB1593" s="48">
        <f>IF(OR($M1593="",$T1593=""),"",$T1593+(AB$2*$M1593))</f>
        <v/>
      </c>
      <c r="AC1593" s="48">
        <f>IF(OR($M1593="",$T1593=""),"",$T1593+(AC$2*$M1593))</f>
        <v/>
      </c>
      <c r="AD1593" s="48">
        <f>IF(OR($M1593="",$T1593=""),"",$T1593+(AD$2*$M1593))</f>
        <v/>
      </c>
      <c r="AE1593" s="49">
        <f>IF(OR($M1593="",$T1593=""),"",$T1593+(AE$2*$M1593))</f>
        <v/>
      </c>
      <c r="AF1593" s="52">
        <f>IF(OR(T1593="",I1593&lt;T1593),"",IFERROR(AVERAGE(T1593+M1593*{7,8,9,10,11})/IF(G1593="",I1593,G1593)-1,""))</f>
        <v/>
      </c>
      <c r="AG1593" s="55">
        <f>IF(OR(T1593="",I1593&lt;T1593),"",IFERROR(AF1593/-(R1593/IF(G1593="",I1593,G1593)-1),""))</f>
        <v/>
      </c>
      <c r="AH1593" s="94" t="n"/>
      <c r="AI1593" s="94" t="n"/>
      <c r="AJ1593" s="94" t="n"/>
      <c r="AK1593" s="94" t="n"/>
      <c r="AL1593" s="84" t="n"/>
    </row>
    <row r="1594">
      <c r="A1594" s="64" t="n"/>
      <c r="B1594" s="65" t="n"/>
      <c r="C1594" s="66" t="n"/>
      <c r="D1594" s="67" t="n"/>
      <c r="E1594" s="68" t="n"/>
      <c r="F1594" s="47">
        <f>IF(A1594="","",IF(MIN(H1594,MAX(J1594:K1594))=0,"",MIN(H1594,MAX(J1594:K1594))))</f>
        <v/>
      </c>
      <c r="G1594" s="74" t="n"/>
      <c r="H1594" s="49">
        <f>IF(M1594="","",IFERROR(ROUND(AVERAGE(T1594+M1594*{7,8,9,10,11})/1.21,4),""))</f>
        <v/>
      </c>
      <c r="I1594" s="76" t="n"/>
      <c r="J1594" s="77" t="n"/>
      <c r="K1594" s="74" t="n"/>
      <c r="L1594" s="78" t="n"/>
      <c r="M1594" s="77" t="n"/>
      <c r="N1594" s="53">
        <f>IF(M1594="","",IFERROR(M1594/I1594,""))</f>
        <v/>
      </c>
      <c r="O1594" s="50">
        <f>IF(A1594="","",IFERROR((IF(G1594="",I1594,G1594)-T1594)/M1594,""))</f>
        <v/>
      </c>
      <c r="P1594" s="50">
        <f>IFERROR((I1594/T1594-1)/N1594,"")</f>
        <v/>
      </c>
      <c r="Q1594" s="46">
        <f>IF(OR(T1594="",I1594&lt;T1594),"",IFERROR(R1594/IF(G1594="",I1594,G1594)-1,""))</f>
        <v/>
      </c>
      <c r="R1594" s="48">
        <f>IF($M1594="","",MAX(IF($G1594="",$I1594,$G1594)*(1/1.1),IF($G1594="",$I1594,$G1594)+(R$2*$M1594)))</f>
        <v/>
      </c>
      <c r="S1594" s="49">
        <f>IF($M1594="","",MAX(IF($G1594="",$I1594,$G1594)*(1/1.1),IF($G1594="",$I1594,$G1594)+(S$2*$M1594)))</f>
        <v/>
      </c>
      <c r="T1594" s="82" t="n"/>
      <c r="U1594" s="47">
        <f>IF(OR($M1594="",$T1594=""),"",$T1594+(U$2*$M1594))</f>
        <v/>
      </c>
      <c r="V1594" s="48">
        <f>IF(OR($M1594="",$T1594=""),"",$T1594+(V$2*$M1594))</f>
        <v/>
      </c>
      <c r="W1594" s="48">
        <f>IF(OR($M1594="",$T1594=""),"",$T1594+(W$2*$M1594))</f>
        <v/>
      </c>
      <c r="X1594" s="49">
        <f>IF(OR($M1594="",$T1594=""),"",$T1594+(X$2*$M1594))</f>
        <v/>
      </c>
      <c r="Y1594" s="47">
        <f>IF(OR($M1594="",$T1594=""),"",$T1594+(Y$2*$M1594))</f>
        <v/>
      </c>
      <c r="Z1594" s="49">
        <f>IF(OR($M1594="",$T1594=""),"",$T1594+(Z$2*$M1594))</f>
        <v/>
      </c>
      <c r="AA1594" s="51">
        <f>IF(OR($M1594="",$T1594=""),"",$T1594+(AA$2*$M1594))</f>
        <v/>
      </c>
      <c r="AB1594" s="48">
        <f>IF(OR($M1594="",$T1594=""),"",$T1594+(AB$2*$M1594))</f>
        <v/>
      </c>
      <c r="AC1594" s="48">
        <f>IF(OR($M1594="",$T1594=""),"",$T1594+(AC$2*$M1594))</f>
        <v/>
      </c>
      <c r="AD1594" s="48">
        <f>IF(OR($M1594="",$T1594=""),"",$T1594+(AD$2*$M1594))</f>
        <v/>
      </c>
      <c r="AE1594" s="49">
        <f>IF(OR($M1594="",$T1594=""),"",$T1594+(AE$2*$M1594))</f>
        <v/>
      </c>
      <c r="AF1594" s="52">
        <f>IF(OR(T1594="",I1594&lt;T1594),"",IFERROR(AVERAGE(T1594+M1594*{7,8,9,10,11})/IF(G1594="",I1594,G1594)-1,""))</f>
        <v/>
      </c>
      <c r="AG1594" s="55">
        <f>IF(OR(T1594="",I1594&lt;T1594),"",IFERROR(AF1594/-(R1594/IF(G1594="",I1594,G1594)-1),""))</f>
        <v/>
      </c>
      <c r="AH1594" s="94" t="n"/>
      <c r="AI1594" s="94" t="n"/>
      <c r="AJ1594" s="94" t="n"/>
      <c r="AK1594" s="94" t="n"/>
      <c r="AL1594" s="84" t="n"/>
    </row>
    <row r="1595">
      <c r="A1595" s="64" t="n"/>
      <c r="B1595" s="65" t="n"/>
      <c r="C1595" s="66" t="n"/>
      <c r="D1595" s="67" t="n"/>
      <c r="E1595" s="68" t="n"/>
      <c r="F1595" s="47">
        <f>IF(A1595="","",IF(MIN(H1595,MAX(J1595:K1595))=0,"",MIN(H1595,MAX(J1595:K1595))))</f>
        <v/>
      </c>
      <c r="G1595" s="74" t="n"/>
      <c r="H1595" s="49">
        <f>IF(M1595="","",IFERROR(ROUND(AVERAGE(T1595+M1595*{7,8,9,10,11})/1.21,4),""))</f>
        <v/>
      </c>
      <c r="I1595" s="76" t="n"/>
      <c r="J1595" s="77" t="n"/>
      <c r="K1595" s="74" t="n"/>
      <c r="L1595" s="78" t="n"/>
      <c r="M1595" s="77" t="n"/>
      <c r="N1595" s="53">
        <f>IF(M1595="","",IFERROR(M1595/I1595,""))</f>
        <v/>
      </c>
      <c r="O1595" s="50">
        <f>IF(A1595="","",IFERROR((IF(G1595="",I1595,G1595)-T1595)/M1595,""))</f>
        <v/>
      </c>
      <c r="P1595" s="50">
        <f>IFERROR((I1595/T1595-1)/N1595,"")</f>
        <v/>
      </c>
      <c r="Q1595" s="46">
        <f>IF(OR(T1595="",I1595&lt;T1595),"",IFERROR(R1595/IF(G1595="",I1595,G1595)-1,""))</f>
        <v/>
      </c>
      <c r="R1595" s="48">
        <f>IF($M1595="","",MAX(IF($G1595="",$I1595,$G1595)*(1/1.1),IF($G1595="",$I1595,$G1595)+(R$2*$M1595)))</f>
        <v/>
      </c>
      <c r="S1595" s="49">
        <f>IF($M1595="","",MAX(IF($G1595="",$I1595,$G1595)*(1/1.1),IF($G1595="",$I1595,$G1595)+(S$2*$M1595)))</f>
        <v/>
      </c>
      <c r="T1595" s="82" t="n"/>
      <c r="U1595" s="47">
        <f>IF(OR($M1595="",$T1595=""),"",$T1595+(U$2*$M1595))</f>
        <v/>
      </c>
      <c r="V1595" s="48">
        <f>IF(OR($M1595="",$T1595=""),"",$T1595+(V$2*$M1595))</f>
        <v/>
      </c>
      <c r="W1595" s="48">
        <f>IF(OR($M1595="",$T1595=""),"",$T1595+(W$2*$M1595))</f>
        <v/>
      </c>
      <c r="X1595" s="49">
        <f>IF(OR($M1595="",$T1595=""),"",$T1595+(X$2*$M1595))</f>
        <v/>
      </c>
      <c r="Y1595" s="47">
        <f>IF(OR($M1595="",$T1595=""),"",$T1595+(Y$2*$M1595))</f>
        <v/>
      </c>
      <c r="Z1595" s="49">
        <f>IF(OR($M1595="",$T1595=""),"",$T1595+(Z$2*$M1595))</f>
        <v/>
      </c>
      <c r="AA1595" s="51">
        <f>IF(OR($M1595="",$T1595=""),"",$T1595+(AA$2*$M1595))</f>
        <v/>
      </c>
      <c r="AB1595" s="48">
        <f>IF(OR($M1595="",$T1595=""),"",$T1595+(AB$2*$M1595))</f>
        <v/>
      </c>
      <c r="AC1595" s="48">
        <f>IF(OR($M1595="",$T1595=""),"",$T1595+(AC$2*$M1595))</f>
        <v/>
      </c>
      <c r="AD1595" s="48">
        <f>IF(OR($M1595="",$T1595=""),"",$T1595+(AD$2*$M1595))</f>
        <v/>
      </c>
      <c r="AE1595" s="49">
        <f>IF(OR($M1595="",$T1595=""),"",$T1595+(AE$2*$M1595))</f>
        <v/>
      </c>
      <c r="AF1595" s="52">
        <f>IF(OR(T1595="",I1595&lt;T1595),"",IFERROR(AVERAGE(T1595+M1595*{7,8,9,10,11})/IF(G1595="",I1595,G1595)-1,""))</f>
        <v/>
      </c>
      <c r="AG1595" s="55">
        <f>IF(OR(T1595="",I1595&lt;T1595),"",IFERROR(AF1595/-(R1595/IF(G1595="",I1595,G1595)-1),""))</f>
        <v/>
      </c>
      <c r="AH1595" s="94" t="n"/>
      <c r="AI1595" s="94" t="n"/>
      <c r="AJ1595" s="94" t="n"/>
      <c r="AK1595" s="94" t="n"/>
      <c r="AL1595" s="84" t="n"/>
    </row>
    <row r="1596">
      <c r="A1596" s="64" t="n"/>
      <c r="B1596" s="65" t="n"/>
      <c r="C1596" s="66" t="n"/>
      <c r="D1596" s="67" t="n"/>
      <c r="E1596" s="68" t="n"/>
      <c r="F1596" s="47">
        <f>IF(A1596="","",IF(MIN(H1596,MAX(J1596:K1596))=0,"",MIN(H1596,MAX(J1596:K1596))))</f>
        <v/>
      </c>
      <c r="G1596" s="74" t="n"/>
      <c r="H1596" s="49">
        <f>IF(M1596="","",IFERROR(ROUND(AVERAGE(T1596+M1596*{7,8,9,10,11})/1.21,4),""))</f>
        <v/>
      </c>
      <c r="I1596" s="76" t="n"/>
      <c r="J1596" s="77" t="n"/>
      <c r="K1596" s="74" t="n"/>
      <c r="L1596" s="78" t="n"/>
      <c r="M1596" s="77" t="n"/>
      <c r="N1596" s="53">
        <f>IF(M1596="","",IFERROR(M1596/I1596,""))</f>
        <v/>
      </c>
      <c r="O1596" s="50">
        <f>IF(A1596="","",IFERROR((IF(G1596="",I1596,G1596)-T1596)/M1596,""))</f>
        <v/>
      </c>
      <c r="P1596" s="50">
        <f>IFERROR((I1596/T1596-1)/N1596,"")</f>
        <v/>
      </c>
      <c r="Q1596" s="46">
        <f>IF(OR(T1596="",I1596&lt;T1596),"",IFERROR(R1596/IF(G1596="",I1596,G1596)-1,""))</f>
        <v/>
      </c>
      <c r="R1596" s="48">
        <f>IF($M1596="","",MAX(IF($G1596="",$I1596,$G1596)*(1/1.1),IF($G1596="",$I1596,$G1596)+(R$2*$M1596)))</f>
        <v/>
      </c>
      <c r="S1596" s="49">
        <f>IF($M1596="","",MAX(IF($G1596="",$I1596,$G1596)*(1/1.1),IF($G1596="",$I1596,$G1596)+(S$2*$M1596)))</f>
        <v/>
      </c>
      <c r="T1596" s="82" t="n"/>
      <c r="U1596" s="47">
        <f>IF(OR($M1596="",$T1596=""),"",$T1596+(U$2*$M1596))</f>
        <v/>
      </c>
      <c r="V1596" s="48">
        <f>IF(OR($M1596="",$T1596=""),"",$T1596+(V$2*$M1596))</f>
        <v/>
      </c>
      <c r="W1596" s="48">
        <f>IF(OR($M1596="",$T1596=""),"",$T1596+(W$2*$M1596))</f>
        <v/>
      </c>
      <c r="X1596" s="49">
        <f>IF(OR($M1596="",$T1596=""),"",$T1596+(X$2*$M1596))</f>
        <v/>
      </c>
      <c r="Y1596" s="47">
        <f>IF(OR($M1596="",$T1596=""),"",$T1596+(Y$2*$M1596))</f>
        <v/>
      </c>
      <c r="Z1596" s="49">
        <f>IF(OR($M1596="",$T1596=""),"",$T1596+(Z$2*$M1596))</f>
        <v/>
      </c>
      <c r="AA1596" s="51">
        <f>IF(OR($M1596="",$T1596=""),"",$T1596+(AA$2*$M1596))</f>
        <v/>
      </c>
      <c r="AB1596" s="48">
        <f>IF(OR($M1596="",$T1596=""),"",$T1596+(AB$2*$M1596))</f>
        <v/>
      </c>
      <c r="AC1596" s="48">
        <f>IF(OR($M1596="",$T1596=""),"",$T1596+(AC$2*$M1596))</f>
        <v/>
      </c>
      <c r="AD1596" s="48">
        <f>IF(OR($M1596="",$T1596=""),"",$T1596+(AD$2*$M1596))</f>
        <v/>
      </c>
      <c r="AE1596" s="49">
        <f>IF(OR($M1596="",$T1596=""),"",$T1596+(AE$2*$M1596))</f>
        <v/>
      </c>
      <c r="AF1596" s="52">
        <f>IF(OR(T1596="",I1596&lt;T1596),"",IFERROR(AVERAGE(T1596+M1596*{7,8,9,10,11})/IF(G1596="",I1596,G1596)-1,""))</f>
        <v/>
      </c>
      <c r="AG1596" s="55">
        <f>IF(OR(T1596="",I1596&lt;T1596),"",IFERROR(AF1596/-(R1596/IF(G1596="",I1596,G1596)-1),""))</f>
        <v/>
      </c>
      <c r="AH1596" s="94" t="n"/>
      <c r="AI1596" s="94" t="n"/>
      <c r="AJ1596" s="94" t="n"/>
      <c r="AK1596" s="94" t="n"/>
      <c r="AL1596" s="84" t="n"/>
    </row>
    <row r="1597">
      <c r="A1597" s="64" t="n"/>
      <c r="B1597" s="65" t="n"/>
      <c r="C1597" s="66" t="n"/>
      <c r="D1597" s="67" t="n"/>
      <c r="E1597" s="68" t="n"/>
      <c r="F1597" s="47">
        <f>IF(A1597="","",IF(MIN(H1597,MAX(J1597:K1597))=0,"",MIN(H1597,MAX(J1597:K1597))))</f>
        <v/>
      </c>
      <c r="G1597" s="74" t="n"/>
      <c r="H1597" s="49">
        <f>IF(M1597="","",IFERROR(ROUND(AVERAGE(T1597+M1597*{7,8,9,10,11})/1.21,4),""))</f>
        <v/>
      </c>
      <c r="I1597" s="76" t="n"/>
      <c r="J1597" s="77" t="n"/>
      <c r="K1597" s="74" t="n"/>
      <c r="L1597" s="78" t="n"/>
      <c r="M1597" s="77" t="n"/>
      <c r="N1597" s="53">
        <f>IF(M1597="","",IFERROR(M1597/I1597,""))</f>
        <v/>
      </c>
      <c r="O1597" s="50">
        <f>IF(A1597="","",IFERROR((IF(G1597="",I1597,G1597)-T1597)/M1597,""))</f>
        <v/>
      </c>
      <c r="P1597" s="50">
        <f>IFERROR((I1597/T1597-1)/N1597,"")</f>
        <v/>
      </c>
      <c r="Q1597" s="46">
        <f>IF(OR(T1597="",I1597&lt;T1597),"",IFERROR(R1597/IF(G1597="",I1597,G1597)-1,""))</f>
        <v/>
      </c>
      <c r="R1597" s="48">
        <f>IF($M1597="","",MAX(IF($G1597="",$I1597,$G1597)*(1/1.1),IF($G1597="",$I1597,$G1597)+(R$2*$M1597)))</f>
        <v/>
      </c>
      <c r="S1597" s="49">
        <f>IF($M1597="","",MAX(IF($G1597="",$I1597,$G1597)*(1/1.1),IF($G1597="",$I1597,$G1597)+(S$2*$M1597)))</f>
        <v/>
      </c>
      <c r="T1597" s="82" t="n"/>
      <c r="U1597" s="47">
        <f>IF(OR($M1597="",$T1597=""),"",$T1597+(U$2*$M1597))</f>
        <v/>
      </c>
      <c r="V1597" s="48">
        <f>IF(OR($M1597="",$T1597=""),"",$T1597+(V$2*$M1597))</f>
        <v/>
      </c>
      <c r="W1597" s="48">
        <f>IF(OR($M1597="",$T1597=""),"",$T1597+(W$2*$M1597))</f>
        <v/>
      </c>
      <c r="X1597" s="49">
        <f>IF(OR($M1597="",$T1597=""),"",$T1597+(X$2*$M1597))</f>
        <v/>
      </c>
      <c r="Y1597" s="47">
        <f>IF(OR($M1597="",$T1597=""),"",$T1597+(Y$2*$M1597))</f>
        <v/>
      </c>
      <c r="Z1597" s="49">
        <f>IF(OR($M1597="",$T1597=""),"",$T1597+(Z$2*$M1597))</f>
        <v/>
      </c>
      <c r="AA1597" s="51">
        <f>IF(OR($M1597="",$T1597=""),"",$T1597+(AA$2*$M1597))</f>
        <v/>
      </c>
      <c r="AB1597" s="48">
        <f>IF(OR($M1597="",$T1597=""),"",$T1597+(AB$2*$M1597))</f>
        <v/>
      </c>
      <c r="AC1597" s="48">
        <f>IF(OR($M1597="",$T1597=""),"",$T1597+(AC$2*$M1597))</f>
        <v/>
      </c>
      <c r="AD1597" s="48">
        <f>IF(OR($M1597="",$T1597=""),"",$T1597+(AD$2*$M1597))</f>
        <v/>
      </c>
      <c r="AE1597" s="49">
        <f>IF(OR($M1597="",$T1597=""),"",$T1597+(AE$2*$M1597))</f>
        <v/>
      </c>
      <c r="AF1597" s="52">
        <f>IF(OR(T1597="",I1597&lt;T1597),"",IFERROR(AVERAGE(T1597+M1597*{7,8,9,10,11})/IF(G1597="",I1597,G1597)-1,""))</f>
        <v/>
      </c>
      <c r="AG1597" s="55">
        <f>IF(OR(T1597="",I1597&lt;T1597),"",IFERROR(AF1597/-(R1597/IF(G1597="",I1597,G1597)-1),""))</f>
        <v/>
      </c>
      <c r="AH1597" s="94" t="n"/>
      <c r="AI1597" s="94" t="n"/>
      <c r="AJ1597" s="94" t="n"/>
      <c r="AK1597" s="94" t="n"/>
      <c r="AL1597" s="84" t="n"/>
    </row>
    <row r="1598">
      <c r="A1598" s="64" t="n"/>
      <c r="B1598" s="65" t="n"/>
      <c r="C1598" s="66" t="n"/>
      <c r="D1598" s="67" t="n"/>
      <c r="E1598" s="68" t="n"/>
      <c r="F1598" s="47">
        <f>IF(A1598="","",IF(MIN(H1598,MAX(J1598:K1598))=0,"",MIN(H1598,MAX(J1598:K1598))))</f>
        <v/>
      </c>
      <c r="G1598" s="74" t="n"/>
      <c r="H1598" s="49">
        <f>IF(M1598="","",IFERROR(ROUND(AVERAGE(T1598+M1598*{7,8,9,10,11})/1.21,4),""))</f>
        <v/>
      </c>
      <c r="I1598" s="76" t="n"/>
      <c r="J1598" s="77" t="n"/>
      <c r="K1598" s="74" t="n"/>
      <c r="L1598" s="78" t="n"/>
      <c r="M1598" s="77" t="n"/>
      <c r="N1598" s="53">
        <f>IF(M1598="","",IFERROR(M1598/I1598,""))</f>
        <v/>
      </c>
      <c r="O1598" s="50">
        <f>IF(A1598="","",IFERROR((IF(G1598="",I1598,G1598)-T1598)/M1598,""))</f>
        <v/>
      </c>
      <c r="P1598" s="50">
        <f>IFERROR((I1598/T1598-1)/N1598,"")</f>
        <v/>
      </c>
      <c r="Q1598" s="46">
        <f>IF(OR(T1598="",I1598&lt;T1598),"",IFERROR(R1598/IF(G1598="",I1598,G1598)-1,""))</f>
        <v/>
      </c>
      <c r="R1598" s="48">
        <f>IF($M1598="","",MAX(IF($G1598="",$I1598,$G1598)*(1/1.1),IF($G1598="",$I1598,$G1598)+(R$2*$M1598)))</f>
        <v/>
      </c>
      <c r="S1598" s="49">
        <f>IF($M1598="","",MAX(IF($G1598="",$I1598,$G1598)*(1/1.1),IF($G1598="",$I1598,$G1598)+(S$2*$M1598)))</f>
        <v/>
      </c>
      <c r="T1598" s="82" t="n"/>
      <c r="U1598" s="47">
        <f>IF(OR($M1598="",$T1598=""),"",$T1598+(U$2*$M1598))</f>
        <v/>
      </c>
      <c r="V1598" s="48">
        <f>IF(OR($M1598="",$T1598=""),"",$T1598+(V$2*$M1598))</f>
        <v/>
      </c>
      <c r="W1598" s="48">
        <f>IF(OR($M1598="",$T1598=""),"",$T1598+(W$2*$M1598))</f>
        <v/>
      </c>
      <c r="X1598" s="49">
        <f>IF(OR($M1598="",$T1598=""),"",$T1598+(X$2*$M1598))</f>
        <v/>
      </c>
      <c r="Y1598" s="47">
        <f>IF(OR($M1598="",$T1598=""),"",$T1598+(Y$2*$M1598))</f>
        <v/>
      </c>
      <c r="Z1598" s="49">
        <f>IF(OR($M1598="",$T1598=""),"",$T1598+(Z$2*$M1598))</f>
        <v/>
      </c>
      <c r="AA1598" s="51">
        <f>IF(OR($M1598="",$T1598=""),"",$T1598+(AA$2*$M1598))</f>
        <v/>
      </c>
      <c r="AB1598" s="48">
        <f>IF(OR($M1598="",$T1598=""),"",$T1598+(AB$2*$M1598))</f>
        <v/>
      </c>
      <c r="AC1598" s="48">
        <f>IF(OR($M1598="",$T1598=""),"",$T1598+(AC$2*$M1598))</f>
        <v/>
      </c>
      <c r="AD1598" s="48">
        <f>IF(OR($M1598="",$T1598=""),"",$T1598+(AD$2*$M1598))</f>
        <v/>
      </c>
      <c r="AE1598" s="49">
        <f>IF(OR($M1598="",$T1598=""),"",$T1598+(AE$2*$M1598))</f>
        <v/>
      </c>
      <c r="AF1598" s="52">
        <f>IF(OR(T1598="",I1598&lt;T1598),"",IFERROR(AVERAGE(T1598+M1598*{7,8,9,10,11})/IF(G1598="",I1598,G1598)-1,""))</f>
        <v/>
      </c>
      <c r="AG1598" s="55">
        <f>IF(OR(T1598="",I1598&lt;T1598),"",IFERROR(AF1598/-(R1598/IF(G1598="",I1598,G1598)-1),""))</f>
        <v/>
      </c>
      <c r="AH1598" s="94" t="n"/>
      <c r="AI1598" s="94" t="n"/>
      <c r="AJ1598" s="94" t="n"/>
      <c r="AK1598" s="94" t="n"/>
      <c r="AL1598" s="84" t="n"/>
    </row>
    <row r="1599">
      <c r="A1599" s="64" t="n"/>
      <c r="B1599" s="65" t="n"/>
      <c r="C1599" s="66" t="n"/>
      <c r="D1599" s="67" t="n"/>
      <c r="E1599" s="68" t="n"/>
      <c r="F1599" s="47">
        <f>IF(A1599="","",IF(MIN(H1599,MAX(J1599:K1599))=0,"",MIN(H1599,MAX(J1599:K1599))))</f>
        <v/>
      </c>
      <c r="G1599" s="74" t="n"/>
      <c r="H1599" s="49">
        <f>IF(M1599="","",IFERROR(ROUND(AVERAGE(T1599+M1599*{7,8,9,10,11})/1.21,4),""))</f>
        <v/>
      </c>
      <c r="I1599" s="76" t="n"/>
      <c r="J1599" s="77" t="n"/>
      <c r="K1599" s="74" t="n"/>
      <c r="L1599" s="78" t="n"/>
      <c r="M1599" s="77" t="n"/>
      <c r="N1599" s="53">
        <f>IF(M1599="","",IFERROR(M1599/I1599,""))</f>
        <v/>
      </c>
      <c r="O1599" s="50">
        <f>IF(A1599="","",IFERROR((IF(G1599="",I1599,G1599)-T1599)/M1599,""))</f>
        <v/>
      </c>
      <c r="P1599" s="50">
        <f>IFERROR((I1599/T1599-1)/N1599,"")</f>
        <v/>
      </c>
      <c r="Q1599" s="46">
        <f>IF(OR(T1599="",I1599&lt;T1599),"",IFERROR(R1599/IF(G1599="",I1599,G1599)-1,""))</f>
        <v/>
      </c>
      <c r="R1599" s="48">
        <f>IF($M1599="","",MAX(IF($G1599="",$I1599,$G1599)*(1/1.1),IF($G1599="",$I1599,$G1599)+(R$2*$M1599)))</f>
        <v/>
      </c>
      <c r="S1599" s="49">
        <f>IF($M1599="","",MAX(IF($G1599="",$I1599,$G1599)*(1/1.1),IF($G1599="",$I1599,$G1599)+(S$2*$M1599)))</f>
        <v/>
      </c>
      <c r="T1599" s="82" t="n"/>
      <c r="U1599" s="47">
        <f>IF(OR($M1599="",$T1599=""),"",$T1599+(U$2*$M1599))</f>
        <v/>
      </c>
      <c r="V1599" s="48">
        <f>IF(OR($M1599="",$T1599=""),"",$T1599+(V$2*$M1599))</f>
        <v/>
      </c>
      <c r="W1599" s="48">
        <f>IF(OR($M1599="",$T1599=""),"",$T1599+(W$2*$M1599))</f>
        <v/>
      </c>
      <c r="X1599" s="49">
        <f>IF(OR($M1599="",$T1599=""),"",$T1599+(X$2*$M1599))</f>
        <v/>
      </c>
      <c r="Y1599" s="47">
        <f>IF(OR($M1599="",$T1599=""),"",$T1599+(Y$2*$M1599))</f>
        <v/>
      </c>
      <c r="Z1599" s="49">
        <f>IF(OR($M1599="",$T1599=""),"",$T1599+(Z$2*$M1599))</f>
        <v/>
      </c>
      <c r="AA1599" s="51">
        <f>IF(OR($M1599="",$T1599=""),"",$T1599+(AA$2*$M1599))</f>
        <v/>
      </c>
      <c r="AB1599" s="48">
        <f>IF(OR($M1599="",$T1599=""),"",$T1599+(AB$2*$M1599))</f>
        <v/>
      </c>
      <c r="AC1599" s="48">
        <f>IF(OR($M1599="",$T1599=""),"",$T1599+(AC$2*$M1599))</f>
        <v/>
      </c>
      <c r="AD1599" s="48">
        <f>IF(OR($M1599="",$T1599=""),"",$T1599+(AD$2*$M1599))</f>
        <v/>
      </c>
      <c r="AE1599" s="49">
        <f>IF(OR($M1599="",$T1599=""),"",$T1599+(AE$2*$M1599))</f>
        <v/>
      </c>
      <c r="AF1599" s="52">
        <f>IF(OR(T1599="",I1599&lt;T1599),"",IFERROR(AVERAGE(T1599+M1599*{7,8,9,10,11})/IF(G1599="",I1599,G1599)-1,""))</f>
        <v/>
      </c>
      <c r="AG1599" s="55">
        <f>IF(OR(T1599="",I1599&lt;T1599),"",IFERROR(AF1599/-(R1599/IF(G1599="",I1599,G1599)-1),""))</f>
        <v/>
      </c>
      <c r="AH1599" s="94" t="n"/>
      <c r="AI1599" s="94" t="n"/>
      <c r="AJ1599" s="94" t="n"/>
      <c r="AK1599" s="94" t="n"/>
      <c r="AL1599" s="84" t="n"/>
    </row>
    <row r="1600">
      <c r="A1600" s="64" t="n"/>
      <c r="B1600" s="65" t="n"/>
      <c r="C1600" s="66" t="n"/>
      <c r="D1600" s="67" t="n"/>
      <c r="E1600" s="68" t="n"/>
      <c r="F1600" s="47">
        <f>IF(A1600="","",IF(MIN(H1600,MAX(J1600:K1600))=0,"",MIN(H1600,MAX(J1600:K1600))))</f>
        <v/>
      </c>
      <c r="G1600" s="74" t="n"/>
      <c r="H1600" s="49">
        <f>IF(M1600="","",IFERROR(ROUND(AVERAGE(T1600+M1600*{7,8,9,10,11})/1.21,4),""))</f>
        <v/>
      </c>
      <c r="I1600" s="76" t="n"/>
      <c r="J1600" s="77" t="n"/>
      <c r="K1600" s="74" t="n"/>
      <c r="L1600" s="78" t="n"/>
      <c r="M1600" s="77" t="n"/>
      <c r="N1600" s="53">
        <f>IF(M1600="","",IFERROR(M1600/I1600,""))</f>
        <v/>
      </c>
      <c r="O1600" s="50">
        <f>IF(A1600="","",IFERROR((IF(G1600="",I1600,G1600)-T1600)/M1600,""))</f>
        <v/>
      </c>
      <c r="P1600" s="50">
        <f>IFERROR((I1600/T1600-1)/N1600,"")</f>
        <v/>
      </c>
      <c r="Q1600" s="46">
        <f>IF(OR(T1600="",I1600&lt;T1600),"",IFERROR(R1600/IF(G1600="",I1600,G1600)-1,""))</f>
        <v/>
      </c>
      <c r="R1600" s="48">
        <f>IF($M1600="","",MAX(IF($G1600="",$I1600,$G1600)*(1/1.1),IF($G1600="",$I1600,$G1600)+(R$2*$M1600)))</f>
        <v/>
      </c>
      <c r="S1600" s="49">
        <f>IF($M1600="","",MAX(IF($G1600="",$I1600,$G1600)*(1/1.1),IF($G1600="",$I1600,$G1600)+(S$2*$M1600)))</f>
        <v/>
      </c>
      <c r="T1600" s="82" t="n"/>
      <c r="U1600" s="47">
        <f>IF(OR($M1600="",$T1600=""),"",$T1600+(U$2*$M1600))</f>
        <v/>
      </c>
      <c r="V1600" s="48">
        <f>IF(OR($M1600="",$T1600=""),"",$T1600+(V$2*$M1600))</f>
        <v/>
      </c>
      <c r="W1600" s="48">
        <f>IF(OR($M1600="",$T1600=""),"",$T1600+(W$2*$M1600))</f>
        <v/>
      </c>
      <c r="X1600" s="49">
        <f>IF(OR($M1600="",$T1600=""),"",$T1600+(X$2*$M1600))</f>
        <v/>
      </c>
      <c r="Y1600" s="47">
        <f>IF(OR($M1600="",$T1600=""),"",$T1600+(Y$2*$M1600))</f>
        <v/>
      </c>
      <c r="Z1600" s="49">
        <f>IF(OR($M1600="",$T1600=""),"",$T1600+(Z$2*$M1600))</f>
        <v/>
      </c>
      <c r="AA1600" s="51">
        <f>IF(OR($M1600="",$T1600=""),"",$T1600+(AA$2*$M1600))</f>
        <v/>
      </c>
      <c r="AB1600" s="48">
        <f>IF(OR($M1600="",$T1600=""),"",$T1600+(AB$2*$M1600))</f>
        <v/>
      </c>
      <c r="AC1600" s="48">
        <f>IF(OR($M1600="",$T1600=""),"",$T1600+(AC$2*$M1600))</f>
        <v/>
      </c>
      <c r="AD1600" s="48">
        <f>IF(OR($M1600="",$T1600=""),"",$T1600+(AD$2*$M1600))</f>
        <v/>
      </c>
      <c r="AE1600" s="49">
        <f>IF(OR($M1600="",$T1600=""),"",$T1600+(AE$2*$M1600))</f>
        <v/>
      </c>
      <c r="AF1600" s="52">
        <f>IF(OR(T1600="",I1600&lt;T1600),"",IFERROR(AVERAGE(T1600+M1600*{7,8,9,10,11})/IF(G1600="",I1600,G1600)-1,""))</f>
        <v/>
      </c>
      <c r="AG1600" s="55">
        <f>IF(OR(T1600="",I1600&lt;T1600),"",IFERROR(AF1600/-(R1600/IF(G1600="",I1600,G1600)-1),""))</f>
        <v/>
      </c>
      <c r="AH1600" s="94" t="n"/>
      <c r="AI1600" s="94" t="n"/>
      <c r="AJ1600" s="94" t="n"/>
      <c r="AK1600" s="94" t="n"/>
      <c r="AL1600" s="84" t="n"/>
    </row>
    <row r="1601">
      <c r="A1601" s="64" t="n"/>
      <c r="B1601" s="65" t="n"/>
      <c r="C1601" s="66" t="n"/>
      <c r="D1601" s="67" t="n"/>
      <c r="E1601" s="68" t="n"/>
      <c r="F1601" s="47">
        <f>IF(A1601="","",IF(MIN(H1601,MAX(J1601:K1601))=0,"",MIN(H1601,MAX(J1601:K1601))))</f>
        <v/>
      </c>
      <c r="G1601" s="74" t="n"/>
      <c r="H1601" s="49">
        <f>IF(M1601="","",IFERROR(ROUND(AVERAGE(T1601+M1601*{7,8,9,10,11})/1.21,4),""))</f>
        <v/>
      </c>
      <c r="I1601" s="76" t="n"/>
      <c r="J1601" s="77" t="n"/>
      <c r="K1601" s="74" t="n"/>
      <c r="L1601" s="78" t="n"/>
      <c r="M1601" s="77" t="n"/>
      <c r="N1601" s="53">
        <f>IF(M1601="","",IFERROR(M1601/I1601,""))</f>
        <v/>
      </c>
      <c r="O1601" s="50">
        <f>IF(A1601="","",IFERROR((IF(G1601="",I1601,G1601)-T1601)/M1601,""))</f>
        <v/>
      </c>
      <c r="P1601" s="50">
        <f>IFERROR((I1601/T1601-1)/N1601,"")</f>
        <v/>
      </c>
      <c r="Q1601" s="46">
        <f>IF(OR(T1601="",I1601&lt;T1601),"",IFERROR(R1601/IF(G1601="",I1601,G1601)-1,""))</f>
        <v/>
      </c>
      <c r="R1601" s="48">
        <f>IF($M1601="","",MAX(IF($G1601="",$I1601,$G1601)*(1/1.1),IF($G1601="",$I1601,$G1601)+(R$2*$M1601)))</f>
        <v/>
      </c>
      <c r="S1601" s="49">
        <f>IF($M1601="","",MAX(IF($G1601="",$I1601,$G1601)*(1/1.1),IF($G1601="",$I1601,$G1601)+(S$2*$M1601)))</f>
        <v/>
      </c>
      <c r="T1601" s="82" t="n"/>
      <c r="U1601" s="47">
        <f>IF(OR($M1601="",$T1601=""),"",$T1601+(U$2*$M1601))</f>
        <v/>
      </c>
      <c r="V1601" s="48">
        <f>IF(OR($M1601="",$T1601=""),"",$T1601+(V$2*$M1601))</f>
        <v/>
      </c>
      <c r="W1601" s="48">
        <f>IF(OR($M1601="",$T1601=""),"",$T1601+(W$2*$M1601))</f>
        <v/>
      </c>
      <c r="X1601" s="49">
        <f>IF(OR($M1601="",$T1601=""),"",$T1601+(X$2*$M1601))</f>
        <v/>
      </c>
      <c r="Y1601" s="47">
        <f>IF(OR($M1601="",$T1601=""),"",$T1601+(Y$2*$M1601))</f>
        <v/>
      </c>
      <c r="Z1601" s="49">
        <f>IF(OR($M1601="",$T1601=""),"",$T1601+(Z$2*$M1601))</f>
        <v/>
      </c>
      <c r="AA1601" s="51">
        <f>IF(OR($M1601="",$T1601=""),"",$T1601+(AA$2*$M1601))</f>
        <v/>
      </c>
      <c r="AB1601" s="48">
        <f>IF(OR($M1601="",$T1601=""),"",$T1601+(AB$2*$M1601))</f>
        <v/>
      </c>
      <c r="AC1601" s="48">
        <f>IF(OR($M1601="",$T1601=""),"",$T1601+(AC$2*$M1601))</f>
        <v/>
      </c>
      <c r="AD1601" s="48">
        <f>IF(OR($M1601="",$T1601=""),"",$T1601+(AD$2*$M1601))</f>
        <v/>
      </c>
      <c r="AE1601" s="49">
        <f>IF(OR($M1601="",$T1601=""),"",$T1601+(AE$2*$M1601))</f>
        <v/>
      </c>
      <c r="AF1601" s="52">
        <f>IF(OR(T1601="",I1601&lt;T1601),"",IFERROR(AVERAGE(T1601+M1601*{7,8,9,10,11})/IF(G1601="",I1601,G1601)-1,""))</f>
        <v/>
      </c>
      <c r="AG1601" s="55">
        <f>IF(OR(T1601="",I1601&lt;T1601),"",IFERROR(AF1601/-(R1601/IF(G1601="",I1601,G1601)-1),""))</f>
        <v/>
      </c>
      <c r="AH1601" s="94" t="n"/>
      <c r="AI1601" s="94" t="n"/>
      <c r="AJ1601" s="94" t="n"/>
      <c r="AK1601" s="94" t="n"/>
      <c r="AL1601" s="84" t="n"/>
    </row>
    <row r="1602">
      <c r="A1602" s="64" t="n"/>
      <c r="B1602" s="65" t="n"/>
      <c r="C1602" s="66" t="n"/>
      <c r="D1602" s="67" t="n"/>
      <c r="E1602" s="68" t="n"/>
      <c r="F1602" s="47">
        <f>IF(A1602="","",IF(MIN(H1602,MAX(J1602:K1602))=0,"",MIN(H1602,MAX(J1602:K1602))))</f>
        <v/>
      </c>
      <c r="G1602" s="74" t="n"/>
      <c r="H1602" s="49">
        <f>IF(M1602="","",IFERROR(ROUND(AVERAGE(T1602+M1602*{7,8,9,10,11})/1.21,4),""))</f>
        <v/>
      </c>
      <c r="I1602" s="76" t="n"/>
      <c r="J1602" s="77" t="n"/>
      <c r="K1602" s="74" t="n"/>
      <c r="L1602" s="78" t="n"/>
      <c r="M1602" s="77" t="n"/>
      <c r="N1602" s="53">
        <f>IF(M1602="","",IFERROR(M1602/I1602,""))</f>
        <v/>
      </c>
      <c r="O1602" s="50">
        <f>IF(A1602="","",IFERROR((IF(G1602="",I1602,G1602)-T1602)/M1602,""))</f>
        <v/>
      </c>
      <c r="P1602" s="50">
        <f>IFERROR((I1602/T1602-1)/N1602,"")</f>
        <v/>
      </c>
      <c r="Q1602" s="46">
        <f>IF(OR(T1602="",I1602&lt;T1602),"",IFERROR(R1602/IF(G1602="",I1602,G1602)-1,""))</f>
        <v/>
      </c>
      <c r="R1602" s="48">
        <f>IF($M1602="","",MAX(IF($G1602="",$I1602,$G1602)*(1/1.1),IF($G1602="",$I1602,$G1602)+(R$2*$M1602)))</f>
        <v/>
      </c>
      <c r="S1602" s="49">
        <f>IF($M1602="","",MAX(IF($G1602="",$I1602,$G1602)*(1/1.1),IF($G1602="",$I1602,$G1602)+(S$2*$M1602)))</f>
        <v/>
      </c>
      <c r="T1602" s="82" t="n"/>
      <c r="U1602" s="47">
        <f>IF(OR($M1602="",$T1602=""),"",$T1602+(U$2*$M1602))</f>
        <v/>
      </c>
      <c r="V1602" s="48">
        <f>IF(OR($M1602="",$T1602=""),"",$T1602+(V$2*$M1602))</f>
        <v/>
      </c>
      <c r="W1602" s="48">
        <f>IF(OR($M1602="",$T1602=""),"",$T1602+(W$2*$M1602))</f>
        <v/>
      </c>
      <c r="X1602" s="49">
        <f>IF(OR($M1602="",$T1602=""),"",$T1602+(X$2*$M1602))</f>
        <v/>
      </c>
      <c r="Y1602" s="47">
        <f>IF(OR($M1602="",$T1602=""),"",$T1602+(Y$2*$M1602))</f>
        <v/>
      </c>
      <c r="Z1602" s="49">
        <f>IF(OR($M1602="",$T1602=""),"",$T1602+(Z$2*$M1602))</f>
        <v/>
      </c>
      <c r="AA1602" s="51">
        <f>IF(OR($M1602="",$T1602=""),"",$T1602+(AA$2*$M1602))</f>
        <v/>
      </c>
      <c r="AB1602" s="48">
        <f>IF(OR($M1602="",$T1602=""),"",$T1602+(AB$2*$M1602))</f>
        <v/>
      </c>
      <c r="AC1602" s="48">
        <f>IF(OR($M1602="",$T1602=""),"",$T1602+(AC$2*$M1602))</f>
        <v/>
      </c>
      <c r="AD1602" s="48">
        <f>IF(OR($M1602="",$T1602=""),"",$T1602+(AD$2*$M1602))</f>
        <v/>
      </c>
      <c r="AE1602" s="49">
        <f>IF(OR($M1602="",$T1602=""),"",$T1602+(AE$2*$M1602))</f>
        <v/>
      </c>
      <c r="AF1602" s="52">
        <f>IF(OR(T1602="",I1602&lt;T1602),"",IFERROR(AVERAGE(T1602+M1602*{7,8,9,10,11})/IF(G1602="",I1602,G1602)-1,""))</f>
        <v/>
      </c>
      <c r="AG1602" s="55">
        <f>IF(OR(T1602="",I1602&lt;T1602),"",IFERROR(AF1602/-(R1602/IF(G1602="",I1602,G1602)-1),""))</f>
        <v/>
      </c>
      <c r="AH1602" s="94" t="n"/>
      <c r="AI1602" s="94" t="n"/>
      <c r="AJ1602" s="94" t="n"/>
      <c r="AK1602" s="94" t="n"/>
      <c r="AL1602" s="84" t="n"/>
    </row>
    <row r="1603">
      <c r="A1603" s="64" t="n"/>
      <c r="B1603" s="65" t="n"/>
      <c r="C1603" s="66" t="n"/>
      <c r="D1603" s="67" t="n"/>
      <c r="E1603" s="68" t="n"/>
      <c r="F1603" s="47">
        <f>IF(A1603="","",IF(MIN(H1603,MAX(J1603:K1603))=0,"",MIN(H1603,MAX(J1603:K1603))))</f>
        <v/>
      </c>
      <c r="G1603" s="74" t="n"/>
      <c r="H1603" s="49">
        <f>IF(M1603="","",IFERROR(ROUND(AVERAGE(T1603+M1603*{7,8,9,10,11})/1.21,4),""))</f>
        <v/>
      </c>
      <c r="I1603" s="76" t="n"/>
      <c r="J1603" s="77" t="n"/>
      <c r="K1603" s="74" t="n"/>
      <c r="L1603" s="78" t="n"/>
      <c r="M1603" s="77" t="n"/>
      <c r="N1603" s="53">
        <f>IF(M1603="","",IFERROR(M1603/I1603,""))</f>
        <v/>
      </c>
      <c r="O1603" s="50">
        <f>IF(A1603="","",IFERROR((IF(G1603="",I1603,G1603)-T1603)/M1603,""))</f>
        <v/>
      </c>
      <c r="P1603" s="50">
        <f>IFERROR((I1603/T1603-1)/N1603,"")</f>
        <v/>
      </c>
      <c r="Q1603" s="46">
        <f>IF(OR(T1603="",I1603&lt;T1603),"",IFERROR(R1603/IF(G1603="",I1603,G1603)-1,""))</f>
        <v/>
      </c>
      <c r="R1603" s="48">
        <f>IF($M1603="","",MAX(IF($G1603="",$I1603,$G1603)*(1/1.1),IF($G1603="",$I1603,$G1603)+(R$2*$M1603)))</f>
        <v/>
      </c>
      <c r="S1603" s="49">
        <f>IF($M1603="","",MAX(IF($G1603="",$I1603,$G1603)*(1/1.1),IF($G1603="",$I1603,$G1603)+(S$2*$M1603)))</f>
        <v/>
      </c>
      <c r="T1603" s="82" t="n"/>
      <c r="U1603" s="47">
        <f>IF(OR($M1603="",$T1603=""),"",$T1603+(U$2*$M1603))</f>
        <v/>
      </c>
      <c r="V1603" s="48">
        <f>IF(OR($M1603="",$T1603=""),"",$T1603+(V$2*$M1603))</f>
        <v/>
      </c>
      <c r="W1603" s="48">
        <f>IF(OR($M1603="",$T1603=""),"",$T1603+(W$2*$M1603))</f>
        <v/>
      </c>
      <c r="X1603" s="49">
        <f>IF(OR($M1603="",$T1603=""),"",$T1603+(X$2*$M1603))</f>
        <v/>
      </c>
      <c r="Y1603" s="47">
        <f>IF(OR($M1603="",$T1603=""),"",$T1603+(Y$2*$M1603))</f>
        <v/>
      </c>
      <c r="Z1603" s="49">
        <f>IF(OR($M1603="",$T1603=""),"",$T1603+(Z$2*$M1603))</f>
        <v/>
      </c>
      <c r="AA1603" s="51">
        <f>IF(OR($M1603="",$T1603=""),"",$T1603+(AA$2*$M1603))</f>
        <v/>
      </c>
      <c r="AB1603" s="48">
        <f>IF(OR($M1603="",$T1603=""),"",$T1603+(AB$2*$M1603))</f>
        <v/>
      </c>
      <c r="AC1603" s="48">
        <f>IF(OR($M1603="",$T1603=""),"",$T1603+(AC$2*$M1603))</f>
        <v/>
      </c>
      <c r="AD1603" s="48">
        <f>IF(OR($M1603="",$T1603=""),"",$T1603+(AD$2*$M1603))</f>
        <v/>
      </c>
      <c r="AE1603" s="49">
        <f>IF(OR($M1603="",$T1603=""),"",$T1603+(AE$2*$M1603))</f>
        <v/>
      </c>
      <c r="AF1603" s="52">
        <f>IF(OR(T1603="",I1603&lt;T1603),"",IFERROR(AVERAGE(T1603+M1603*{7,8,9,10,11})/IF(G1603="",I1603,G1603)-1,""))</f>
        <v/>
      </c>
      <c r="AG1603" s="55">
        <f>IF(OR(T1603="",I1603&lt;T1603),"",IFERROR(AF1603/-(R1603/IF(G1603="",I1603,G1603)-1),""))</f>
        <v/>
      </c>
      <c r="AH1603" s="94" t="n"/>
      <c r="AI1603" s="94" t="n"/>
      <c r="AJ1603" s="94" t="n"/>
      <c r="AK1603" s="94" t="n"/>
      <c r="AL1603" s="84" t="n"/>
    </row>
    <row r="1604">
      <c r="A1604" s="64" t="n"/>
      <c r="B1604" s="65" t="n"/>
      <c r="C1604" s="66" t="n"/>
      <c r="D1604" s="67" t="n"/>
      <c r="E1604" s="68" t="n"/>
      <c r="F1604" s="47">
        <f>IF(A1604="","",IF(MIN(H1604,MAX(J1604:K1604))=0,"",MIN(H1604,MAX(J1604:K1604))))</f>
        <v/>
      </c>
      <c r="G1604" s="74" t="n"/>
      <c r="H1604" s="49">
        <f>IF(M1604="","",IFERROR(ROUND(AVERAGE(T1604+M1604*{7,8,9,10,11})/1.21,4),""))</f>
        <v/>
      </c>
      <c r="I1604" s="76" t="n"/>
      <c r="J1604" s="77" t="n"/>
      <c r="K1604" s="74" t="n"/>
      <c r="L1604" s="78" t="n"/>
      <c r="M1604" s="77" t="n"/>
      <c r="N1604" s="53">
        <f>IF(M1604="","",IFERROR(M1604/I1604,""))</f>
        <v/>
      </c>
      <c r="O1604" s="50">
        <f>IF(A1604="","",IFERROR((IF(G1604="",I1604,G1604)-T1604)/M1604,""))</f>
        <v/>
      </c>
      <c r="P1604" s="50">
        <f>IFERROR((I1604/T1604-1)/N1604,"")</f>
        <v/>
      </c>
      <c r="Q1604" s="46">
        <f>IF(OR(T1604="",I1604&lt;T1604),"",IFERROR(R1604/IF(G1604="",I1604,G1604)-1,""))</f>
        <v/>
      </c>
      <c r="R1604" s="48">
        <f>IF($M1604="","",MAX(IF($G1604="",$I1604,$G1604)*(1/1.1),IF($G1604="",$I1604,$G1604)+(R$2*$M1604)))</f>
        <v/>
      </c>
      <c r="S1604" s="49">
        <f>IF($M1604="","",MAX(IF($G1604="",$I1604,$G1604)*(1/1.1),IF($G1604="",$I1604,$G1604)+(S$2*$M1604)))</f>
        <v/>
      </c>
      <c r="T1604" s="82" t="n"/>
      <c r="U1604" s="47">
        <f>IF(OR($M1604="",$T1604=""),"",$T1604+(U$2*$M1604))</f>
        <v/>
      </c>
      <c r="V1604" s="48">
        <f>IF(OR($M1604="",$T1604=""),"",$T1604+(V$2*$M1604))</f>
        <v/>
      </c>
      <c r="W1604" s="48">
        <f>IF(OR($M1604="",$T1604=""),"",$T1604+(W$2*$M1604))</f>
        <v/>
      </c>
      <c r="X1604" s="49">
        <f>IF(OR($M1604="",$T1604=""),"",$T1604+(X$2*$M1604))</f>
        <v/>
      </c>
      <c r="Y1604" s="47">
        <f>IF(OR($M1604="",$T1604=""),"",$T1604+(Y$2*$M1604))</f>
        <v/>
      </c>
      <c r="Z1604" s="49">
        <f>IF(OR($M1604="",$T1604=""),"",$T1604+(Z$2*$M1604))</f>
        <v/>
      </c>
      <c r="AA1604" s="51">
        <f>IF(OR($M1604="",$T1604=""),"",$T1604+(AA$2*$M1604))</f>
        <v/>
      </c>
      <c r="AB1604" s="48">
        <f>IF(OR($M1604="",$T1604=""),"",$T1604+(AB$2*$M1604))</f>
        <v/>
      </c>
      <c r="AC1604" s="48">
        <f>IF(OR($M1604="",$T1604=""),"",$T1604+(AC$2*$M1604))</f>
        <v/>
      </c>
      <c r="AD1604" s="48">
        <f>IF(OR($M1604="",$T1604=""),"",$T1604+(AD$2*$M1604))</f>
        <v/>
      </c>
      <c r="AE1604" s="49">
        <f>IF(OR($M1604="",$T1604=""),"",$T1604+(AE$2*$M1604))</f>
        <v/>
      </c>
      <c r="AF1604" s="52">
        <f>IF(OR(T1604="",I1604&lt;T1604),"",IFERROR(AVERAGE(T1604+M1604*{7,8,9,10,11})/IF(G1604="",I1604,G1604)-1,""))</f>
        <v/>
      </c>
      <c r="AG1604" s="55">
        <f>IF(OR(T1604="",I1604&lt;T1604),"",IFERROR(AF1604/-(R1604/IF(G1604="",I1604,G1604)-1),""))</f>
        <v/>
      </c>
      <c r="AH1604" s="94" t="n"/>
      <c r="AI1604" s="94" t="n"/>
      <c r="AJ1604" s="94" t="n"/>
      <c r="AK1604" s="94" t="n"/>
      <c r="AL1604" s="84" t="n"/>
    </row>
    <row r="1605">
      <c r="A1605" s="64" t="n"/>
      <c r="B1605" s="65" t="n"/>
      <c r="C1605" s="66" t="n"/>
      <c r="D1605" s="67" t="n"/>
      <c r="E1605" s="68" t="n"/>
      <c r="F1605" s="47">
        <f>IF(A1605="","",IF(MIN(H1605,MAX(J1605:K1605))=0,"",MIN(H1605,MAX(J1605:K1605))))</f>
        <v/>
      </c>
      <c r="G1605" s="74" t="n"/>
      <c r="H1605" s="49">
        <f>IF(M1605="","",IFERROR(ROUND(AVERAGE(T1605+M1605*{7,8,9,10,11})/1.21,4),""))</f>
        <v/>
      </c>
      <c r="I1605" s="76" t="n"/>
      <c r="J1605" s="77" t="n"/>
      <c r="K1605" s="74" t="n"/>
      <c r="L1605" s="78" t="n"/>
      <c r="M1605" s="77" t="n"/>
      <c r="N1605" s="53">
        <f>IF(M1605="","",IFERROR(M1605/I1605,""))</f>
        <v/>
      </c>
      <c r="O1605" s="50">
        <f>IF(A1605="","",IFERROR((IF(G1605="",I1605,G1605)-T1605)/M1605,""))</f>
        <v/>
      </c>
      <c r="P1605" s="50">
        <f>IFERROR((I1605/T1605-1)/N1605,"")</f>
        <v/>
      </c>
      <c r="Q1605" s="46">
        <f>IF(OR(T1605="",I1605&lt;T1605),"",IFERROR(R1605/IF(G1605="",I1605,G1605)-1,""))</f>
        <v/>
      </c>
      <c r="R1605" s="48">
        <f>IF($M1605="","",MAX(IF($G1605="",$I1605,$G1605)*(1/1.1),IF($G1605="",$I1605,$G1605)+(R$2*$M1605)))</f>
        <v/>
      </c>
      <c r="S1605" s="49">
        <f>IF($M1605="","",MAX(IF($G1605="",$I1605,$G1605)*(1/1.1),IF($G1605="",$I1605,$G1605)+(S$2*$M1605)))</f>
        <v/>
      </c>
      <c r="T1605" s="82" t="n"/>
      <c r="U1605" s="47">
        <f>IF(OR($M1605="",$T1605=""),"",$T1605+(U$2*$M1605))</f>
        <v/>
      </c>
      <c r="V1605" s="48">
        <f>IF(OR($M1605="",$T1605=""),"",$T1605+(V$2*$M1605))</f>
        <v/>
      </c>
      <c r="W1605" s="48">
        <f>IF(OR($M1605="",$T1605=""),"",$T1605+(W$2*$M1605))</f>
        <v/>
      </c>
      <c r="X1605" s="49">
        <f>IF(OR($M1605="",$T1605=""),"",$T1605+(X$2*$M1605))</f>
        <v/>
      </c>
      <c r="Y1605" s="47">
        <f>IF(OR($M1605="",$T1605=""),"",$T1605+(Y$2*$M1605))</f>
        <v/>
      </c>
      <c r="Z1605" s="49">
        <f>IF(OR($M1605="",$T1605=""),"",$T1605+(Z$2*$M1605))</f>
        <v/>
      </c>
      <c r="AA1605" s="51">
        <f>IF(OR($M1605="",$T1605=""),"",$T1605+(AA$2*$M1605))</f>
        <v/>
      </c>
      <c r="AB1605" s="48">
        <f>IF(OR($M1605="",$T1605=""),"",$T1605+(AB$2*$M1605))</f>
        <v/>
      </c>
      <c r="AC1605" s="48">
        <f>IF(OR($M1605="",$T1605=""),"",$T1605+(AC$2*$M1605))</f>
        <v/>
      </c>
      <c r="AD1605" s="48">
        <f>IF(OR($M1605="",$T1605=""),"",$T1605+(AD$2*$M1605))</f>
        <v/>
      </c>
      <c r="AE1605" s="49">
        <f>IF(OR($M1605="",$T1605=""),"",$T1605+(AE$2*$M1605))</f>
        <v/>
      </c>
      <c r="AF1605" s="52">
        <f>IF(OR(T1605="",I1605&lt;T1605),"",IFERROR(AVERAGE(T1605+M1605*{7,8,9,10,11})/IF(G1605="",I1605,G1605)-1,""))</f>
        <v/>
      </c>
      <c r="AG1605" s="55">
        <f>IF(OR(T1605="",I1605&lt;T1605),"",IFERROR(AF1605/-(R1605/IF(G1605="",I1605,G1605)-1),""))</f>
        <v/>
      </c>
      <c r="AH1605" s="94" t="n"/>
      <c r="AI1605" s="94" t="n"/>
      <c r="AJ1605" s="94" t="n"/>
      <c r="AK1605" s="94" t="n"/>
      <c r="AL1605" s="84" t="n"/>
    </row>
    <row r="1606">
      <c r="A1606" s="64" t="n"/>
      <c r="B1606" s="65" t="n"/>
      <c r="C1606" s="66" t="n"/>
      <c r="D1606" s="67" t="n"/>
      <c r="E1606" s="68" t="n"/>
      <c r="F1606" s="47">
        <f>IF(A1606="","",IF(MIN(H1606,MAX(J1606:K1606))=0,"",MIN(H1606,MAX(J1606:K1606))))</f>
        <v/>
      </c>
      <c r="G1606" s="74" t="n"/>
      <c r="H1606" s="49">
        <f>IF(M1606="","",IFERROR(ROUND(AVERAGE(T1606+M1606*{7,8,9,10,11})/1.21,4),""))</f>
        <v/>
      </c>
      <c r="I1606" s="76" t="n"/>
      <c r="J1606" s="77" t="n"/>
      <c r="K1606" s="74" t="n"/>
      <c r="L1606" s="78" t="n"/>
      <c r="M1606" s="77" t="n"/>
      <c r="N1606" s="53">
        <f>IF(M1606="","",IFERROR(M1606/I1606,""))</f>
        <v/>
      </c>
      <c r="O1606" s="50">
        <f>IF(A1606="","",IFERROR((IF(G1606="",I1606,G1606)-T1606)/M1606,""))</f>
        <v/>
      </c>
      <c r="P1606" s="50">
        <f>IFERROR((I1606/T1606-1)/N1606,"")</f>
        <v/>
      </c>
      <c r="Q1606" s="46">
        <f>IF(OR(T1606="",I1606&lt;T1606),"",IFERROR(R1606/IF(G1606="",I1606,G1606)-1,""))</f>
        <v/>
      </c>
      <c r="R1606" s="48">
        <f>IF($M1606="","",MAX(IF($G1606="",$I1606,$G1606)*(1/1.1),IF($G1606="",$I1606,$G1606)+(R$2*$M1606)))</f>
        <v/>
      </c>
      <c r="S1606" s="49">
        <f>IF($M1606="","",MAX(IF($G1606="",$I1606,$G1606)*(1/1.1),IF($G1606="",$I1606,$G1606)+(S$2*$M1606)))</f>
        <v/>
      </c>
      <c r="T1606" s="82" t="n"/>
      <c r="U1606" s="47">
        <f>IF(OR($M1606="",$T1606=""),"",$T1606+(U$2*$M1606))</f>
        <v/>
      </c>
      <c r="V1606" s="48">
        <f>IF(OR($M1606="",$T1606=""),"",$T1606+(V$2*$M1606))</f>
        <v/>
      </c>
      <c r="W1606" s="48">
        <f>IF(OR($M1606="",$T1606=""),"",$T1606+(W$2*$M1606))</f>
        <v/>
      </c>
      <c r="X1606" s="49">
        <f>IF(OR($M1606="",$T1606=""),"",$T1606+(X$2*$M1606))</f>
        <v/>
      </c>
      <c r="Y1606" s="47">
        <f>IF(OR($M1606="",$T1606=""),"",$T1606+(Y$2*$M1606))</f>
        <v/>
      </c>
      <c r="Z1606" s="49">
        <f>IF(OR($M1606="",$T1606=""),"",$T1606+(Z$2*$M1606))</f>
        <v/>
      </c>
      <c r="AA1606" s="51">
        <f>IF(OR($M1606="",$T1606=""),"",$T1606+(AA$2*$M1606))</f>
        <v/>
      </c>
      <c r="AB1606" s="48">
        <f>IF(OR($M1606="",$T1606=""),"",$T1606+(AB$2*$M1606))</f>
        <v/>
      </c>
      <c r="AC1606" s="48">
        <f>IF(OR($M1606="",$T1606=""),"",$T1606+(AC$2*$M1606))</f>
        <v/>
      </c>
      <c r="AD1606" s="48">
        <f>IF(OR($M1606="",$T1606=""),"",$T1606+(AD$2*$M1606))</f>
        <v/>
      </c>
      <c r="AE1606" s="49">
        <f>IF(OR($M1606="",$T1606=""),"",$T1606+(AE$2*$M1606))</f>
        <v/>
      </c>
      <c r="AF1606" s="52">
        <f>IF(OR(T1606="",I1606&lt;T1606),"",IFERROR(AVERAGE(T1606+M1606*{7,8,9,10,11})/IF(G1606="",I1606,G1606)-1,""))</f>
        <v/>
      </c>
      <c r="AG1606" s="55">
        <f>IF(OR(T1606="",I1606&lt;T1606),"",IFERROR(AF1606/-(R1606/IF(G1606="",I1606,G1606)-1),""))</f>
        <v/>
      </c>
      <c r="AH1606" s="94" t="n"/>
      <c r="AI1606" s="94" t="n"/>
      <c r="AJ1606" s="94" t="n"/>
      <c r="AK1606" s="94" t="n"/>
      <c r="AL1606" s="84" t="n"/>
    </row>
    <row r="1607">
      <c r="A1607" s="64" t="n"/>
      <c r="B1607" s="65" t="n"/>
      <c r="C1607" s="66" t="n"/>
      <c r="D1607" s="67" t="n"/>
      <c r="E1607" s="68" t="n"/>
      <c r="F1607" s="47">
        <f>IF(A1607="","",IF(MIN(H1607,MAX(J1607:K1607))=0,"",MIN(H1607,MAX(J1607:K1607))))</f>
        <v/>
      </c>
      <c r="G1607" s="74" t="n"/>
      <c r="H1607" s="49">
        <f>IF(M1607="","",IFERROR(ROUND(AVERAGE(T1607+M1607*{7,8,9,10,11})/1.21,4),""))</f>
        <v/>
      </c>
      <c r="I1607" s="76" t="n"/>
      <c r="J1607" s="77" t="n"/>
      <c r="K1607" s="74" t="n"/>
      <c r="L1607" s="78" t="n"/>
      <c r="M1607" s="77" t="n"/>
      <c r="N1607" s="53">
        <f>IF(M1607="","",IFERROR(M1607/I1607,""))</f>
        <v/>
      </c>
      <c r="O1607" s="50">
        <f>IF(A1607="","",IFERROR((IF(G1607="",I1607,G1607)-T1607)/M1607,""))</f>
        <v/>
      </c>
      <c r="P1607" s="50">
        <f>IFERROR((I1607/T1607-1)/N1607,"")</f>
        <v/>
      </c>
      <c r="Q1607" s="46">
        <f>IF(OR(T1607="",I1607&lt;T1607),"",IFERROR(R1607/IF(G1607="",I1607,G1607)-1,""))</f>
        <v/>
      </c>
      <c r="R1607" s="48">
        <f>IF($M1607="","",MAX(IF($G1607="",$I1607,$G1607)*(1/1.1),IF($G1607="",$I1607,$G1607)+(R$2*$M1607)))</f>
        <v/>
      </c>
      <c r="S1607" s="49">
        <f>IF($M1607="","",MAX(IF($G1607="",$I1607,$G1607)*(1/1.1),IF($G1607="",$I1607,$G1607)+(S$2*$M1607)))</f>
        <v/>
      </c>
      <c r="T1607" s="82" t="n"/>
      <c r="U1607" s="47">
        <f>IF(OR($M1607="",$T1607=""),"",$T1607+(U$2*$M1607))</f>
        <v/>
      </c>
      <c r="V1607" s="48">
        <f>IF(OR($M1607="",$T1607=""),"",$T1607+(V$2*$M1607))</f>
        <v/>
      </c>
      <c r="W1607" s="48">
        <f>IF(OR($M1607="",$T1607=""),"",$T1607+(W$2*$M1607))</f>
        <v/>
      </c>
      <c r="X1607" s="49">
        <f>IF(OR($M1607="",$T1607=""),"",$T1607+(X$2*$M1607))</f>
        <v/>
      </c>
      <c r="Y1607" s="47">
        <f>IF(OR($M1607="",$T1607=""),"",$T1607+(Y$2*$M1607))</f>
        <v/>
      </c>
      <c r="Z1607" s="49">
        <f>IF(OR($M1607="",$T1607=""),"",$T1607+(Z$2*$M1607))</f>
        <v/>
      </c>
      <c r="AA1607" s="51">
        <f>IF(OR($M1607="",$T1607=""),"",$T1607+(AA$2*$M1607))</f>
        <v/>
      </c>
      <c r="AB1607" s="48">
        <f>IF(OR($M1607="",$T1607=""),"",$T1607+(AB$2*$M1607))</f>
        <v/>
      </c>
      <c r="AC1607" s="48">
        <f>IF(OR($M1607="",$T1607=""),"",$T1607+(AC$2*$M1607))</f>
        <v/>
      </c>
      <c r="AD1607" s="48">
        <f>IF(OR($M1607="",$T1607=""),"",$T1607+(AD$2*$M1607))</f>
        <v/>
      </c>
      <c r="AE1607" s="49">
        <f>IF(OR($M1607="",$T1607=""),"",$T1607+(AE$2*$M1607))</f>
        <v/>
      </c>
      <c r="AF1607" s="52">
        <f>IF(OR(T1607="",I1607&lt;T1607),"",IFERROR(AVERAGE(T1607+M1607*{7,8,9,10,11})/IF(G1607="",I1607,G1607)-1,""))</f>
        <v/>
      </c>
      <c r="AG1607" s="55">
        <f>IF(OR(T1607="",I1607&lt;T1607),"",IFERROR(AF1607/-(R1607/IF(G1607="",I1607,G1607)-1),""))</f>
        <v/>
      </c>
      <c r="AH1607" s="94" t="n"/>
      <c r="AI1607" s="94" t="n"/>
      <c r="AJ1607" s="94" t="n"/>
      <c r="AK1607" s="94" t="n"/>
      <c r="AL1607" s="84" t="n"/>
    </row>
    <row r="1608">
      <c r="A1608" s="64" t="n"/>
      <c r="B1608" s="65" t="n"/>
      <c r="C1608" s="66" t="n"/>
      <c r="D1608" s="67" t="n"/>
      <c r="E1608" s="68" t="n"/>
      <c r="F1608" s="47">
        <f>IF(A1608="","",IF(MIN(H1608,MAX(J1608:K1608))=0,"",MIN(H1608,MAX(J1608:K1608))))</f>
        <v/>
      </c>
      <c r="G1608" s="74" t="n"/>
      <c r="H1608" s="49">
        <f>IF(M1608="","",IFERROR(ROUND(AVERAGE(T1608+M1608*{7,8,9,10,11})/1.21,4),""))</f>
        <v/>
      </c>
      <c r="I1608" s="76" t="n"/>
      <c r="J1608" s="77" t="n"/>
      <c r="K1608" s="74" t="n"/>
      <c r="L1608" s="78" t="n"/>
      <c r="M1608" s="77" t="n"/>
      <c r="N1608" s="53">
        <f>IF(M1608="","",IFERROR(M1608/I1608,""))</f>
        <v/>
      </c>
      <c r="O1608" s="50">
        <f>IF(A1608="","",IFERROR((IF(G1608="",I1608,G1608)-T1608)/M1608,""))</f>
        <v/>
      </c>
      <c r="P1608" s="50">
        <f>IFERROR((I1608/T1608-1)/N1608,"")</f>
        <v/>
      </c>
      <c r="Q1608" s="46">
        <f>IF(OR(T1608="",I1608&lt;T1608),"",IFERROR(R1608/IF(G1608="",I1608,G1608)-1,""))</f>
        <v/>
      </c>
      <c r="R1608" s="48">
        <f>IF($M1608="","",MAX(IF($G1608="",$I1608,$G1608)*(1/1.1),IF($G1608="",$I1608,$G1608)+(R$2*$M1608)))</f>
        <v/>
      </c>
      <c r="S1608" s="49">
        <f>IF($M1608="","",MAX(IF($G1608="",$I1608,$G1608)*(1/1.1),IF($G1608="",$I1608,$G1608)+(S$2*$M1608)))</f>
        <v/>
      </c>
      <c r="T1608" s="82" t="n"/>
      <c r="U1608" s="47">
        <f>IF(OR($M1608="",$T1608=""),"",$T1608+(U$2*$M1608))</f>
        <v/>
      </c>
      <c r="V1608" s="48">
        <f>IF(OR($M1608="",$T1608=""),"",$T1608+(V$2*$M1608))</f>
        <v/>
      </c>
      <c r="W1608" s="48">
        <f>IF(OR($M1608="",$T1608=""),"",$T1608+(W$2*$M1608))</f>
        <v/>
      </c>
      <c r="X1608" s="49">
        <f>IF(OR($M1608="",$T1608=""),"",$T1608+(X$2*$M1608))</f>
        <v/>
      </c>
      <c r="Y1608" s="47">
        <f>IF(OR($M1608="",$T1608=""),"",$T1608+(Y$2*$M1608))</f>
        <v/>
      </c>
      <c r="Z1608" s="49">
        <f>IF(OR($M1608="",$T1608=""),"",$T1608+(Z$2*$M1608))</f>
        <v/>
      </c>
      <c r="AA1608" s="51">
        <f>IF(OR($M1608="",$T1608=""),"",$T1608+(AA$2*$M1608))</f>
        <v/>
      </c>
      <c r="AB1608" s="48">
        <f>IF(OR($M1608="",$T1608=""),"",$T1608+(AB$2*$M1608))</f>
        <v/>
      </c>
      <c r="AC1608" s="48">
        <f>IF(OR($M1608="",$T1608=""),"",$T1608+(AC$2*$M1608))</f>
        <v/>
      </c>
      <c r="AD1608" s="48">
        <f>IF(OR($M1608="",$T1608=""),"",$T1608+(AD$2*$M1608))</f>
        <v/>
      </c>
      <c r="AE1608" s="49">
        <f>IF(OR($M1608="",$T1608=""),"",$T1608+(AE$2*$M1608))</f>
        <v/>
      </c>
      <c r="AF1608" s="52">
        <f>IF(OR(T1608="",I1608&lt;T1608),"",IFERROR(AVERAGE(T1608+M1608*{7,8,9,10,11})/IF(G1608="",I1608,G1608)-1,""))</f>
        <v/>
      </c>
      <c r="AG1608" s="55">
        <f>IF(OR(T1608="",I1608&lt;T1608),"",IFERROR(AF1608/-(R1608/IF(G1608="",I1608,G1608)-1),""))</f>
        <v/>
      </c>
      <c r="AH1608" s="94" t="n"/>
      <c r="AI1608" s="94" t="n"/>
      <c r="AJ1608" s="94" t="n"/>
      <c r="AK1608" s="94" t="n"/>
      <c r="AL1608" s="84" t="n"/>
    </row>
    <row r="1609">
      <c r="A1609" s="64" t="n"/>
      <c r="B1609" s="65" t="n"/>
      <c r="C1609" s="66" t="n"/>
      <c r="D1609" s="67" t="n"/>
      <c r="E1609" s="68" t="n"/>
      <c r="F1609" s="47">
        <f>IF(A1609="","",IF(MIN(H1609,MAX(J1609:K1609))=0,"",MIN(H1609,MAX(J1609:K1609))))</f>
        <v/>
      </c>
      <c r="G1609" s="74" t="n"/>
      <c r="H1609" s="49">
        <f>IF(M1609="","",IFERROR(ROUND(AVERAGE(T1609+M1609*{7,8,9,10,11})/1.21,4),""))</f>
        <v/>
      </c>
      <c r="I1609" s="76" t="n"/>
      <c r="J1609" s="77" t="n"/>
      <c r="K1609" s="74" t="n"/>
      <c r="L1609" s="78" t="n"/>
      <c r="M1609" s="77" t="n"/>
      <c r="N1609" s="53">
        <f>IF(M1609="","",IFERROR(M1609/I1609,""))</f>
        <v/>
      </c>
      <c r="O1609" s="50">
        <f>IF(A1609="","",IFERROR((IF(G1609="",I1609,G1609)-T1609)/M1609,""))</f>
        <v/>
      </c>
      <c r="P1609" s="50">
        <f>IFERROR((I1609/T1609-1)/N1609,"")</f>
        <v/>
      </c>
      <c r="Q1609" s="46">
        <f>IF(OR(T1609="",I1609&lt;T1609),"",IFERROR(R1609/IF(G1609="",I1609,G1609)-1,""))</f>
        <v/>
      </c>
      <c r="R1609" s="48">
        <f>IF($M1609="","",MAX(IF($G1609="",$I1609,$G1609)*(1/1.1),IF($G1609="",$I1609,$G1609)+(R$2*$M1609)))</f>
        <v/>
      </c>
      <c r="S1609" s="49">
        <f>IF($M1609="","",MAX(IF($G1609="",$I1609,$G1609)*(1/1.1),IF($G1609="",$I1609,$G1609)+(S$2*$M1609)))</f>
        <v/>
      </c>
      <c r="T1609" s="82" t="n"/>
      <c r="U1609" s="47">
        <f>IF(OR($M1609="",$T1609=""),"",$T1609+(U$2*$M1609))</f>
        <v/>
      </c>
      <c r="V1609" s="48">
        <f>IF(OR($M1609="",$T1609=""),"",$T1609+(V$2*$M1609))</f>
        <v/>
      </c>
      <c r="W1609" s="48">
        <f>IF(OR($M1609="",$T1609=""),"",$T1609+(W$2*$M1609))</f>
        <v/>
      </c>
      <c r="X1609" s="49">
        <f>IF(OR($M1609="",$T1609=""),"",$T1609+(X$2*$M1609))</f>
        <v/>
      </c>
      <c r="Y1609" s="47">
        <f>IF(OR($M1609="",$T1609=""),"",$T1609+(Y$2*$M1609))</f>
        <v/>
      </c>
      <c r="Z1609" s="49">
        <f>IF(OR($M1609="",$T1609=""),"",$T1609+(Z$2*$M1609))</f>
        <v/>
      </c>
      <c r="AA1609" s="51">
        <f>IF(OR($M1609="",$T1609=""),"",$T1609+(AA$2*$M1609))</f>
        <v/>
      </c>
      <c r="AB1609" s="48">
        <f>IF(OR($M1609="",$T1609=""),"",$T1609+(AB$2*$M1609))</f>
        <v/>
      </c>
      <c r="AC1609" s="48">
        <f>IF(OR($M1609="",$T1609=""),"",$T1609+(AC$2*$M1609))</f>
        <v/>
      </c>
      <c r="AD1609" s="48">
        <f>IF(OR($M1609="",$T1609=""),"",$T1609+(AD$2*$M1609))</f>
        <v/>
      </c>
      <c r="AE1609" s="49">
        <f>IF(OR($M1609="",$T1609=""),"",$T1609+(AE$2*$M1609))</f>
        <v/>
      </c>
      <c r="AF1609" s="52">
        <f>IF(OR(T1609="",I1609&lt;T1609),"",IFERROR(AVERAGE(T1609+M1609*{7,8,9,10,11})/IF(G1609="",I1609,G1609)-1,""))</f>
        <v/>
      </c>
      <c r="AG1609" s="55">
        <f>IF(OR(T1609="",I1609&lt;T1609),"",IFERROR(AF1609/-(R1609/IF(G1609="",I1609,G1609)-1),""))</f>
        <v/>
      </c>
      <c r="AH1609" s="94" t="n"/>
      <c r="AI1609" s="94" t="n"/>
      <c r="AJ1609" s="94" t="n"/>
      <c r="AK1609" s="94" t="n"/>
      <c r="AL1609" s="84" t="n"/>
    </row>
    <row r="1610">
      <c r="A1610" s="64" t="n"/>
      <c r="B1610" s="65" t="n"/>
      <c r="C1610" s="66" t="n"/>
      <c r="D1610" s="67" t="n"/>
      <c r="E1610" s="68" t="n"/>
      <c r="F1610" s="47">
        <f>IF(A1610="","",IF(MIN(H1610,MAX(J1610:K1610))=0,"",MIN(H1610,MAX(J1610:K1610))))</f>
        <v/>
      </c>
      <c r="G1610" s="74" t="n"/>
      <c r="H1610" s="49">
        <f>IF(M1610="","",IFERROR(ROUND(AVERAGE(T1610+M1610*{7,8,9,10,11})/1.21,4),""))</f>
        <v/>
      </c>
      <c r="I1610" s="76" t="n"/>
      <c r="J1610" s="77" t="n"/>
      <c r="K1610" s="74" t="n"/>
      <c r="L1610" s="78" t="n"/>
      <c r="M1610" s="77" t="n"/>
      <c r="N1610" s="53">
        <f>IF(M1610="","",IFERROR(M1610/I1610,""))</f>
        <v/>
      </c>
      <c r="O1610" s="50">
        <f>IF(A1610="","",IFERROR((IF(G1610="",I1610,G1610)-T1610)/M1610,""))</f>
        <v/>
      </c>
      <c r="P1610" s="50">
        <f>IFERROR((I1610/T1610-1)/N1610,"")</f>
        <v/>
      </c>
      <c r="Q1610" s="46">
        <f>IF(OR(T1610="",I1610&lt;T1610),"",IFERROR(R1610/IF(G1610="",I1610,G1610)-1,""))</f>
        <v/>
      </c>
      <c r="R1610" s="48">
        <f>IF($M1610="","",MAX(IF($G1610="",$I1610,$G1610)*(1/1.1),IF($G1610="",$I1610,$G1610)+(R$2*$M1610)))</f>
        <v/>
      </c>
      <c r="S1610" s="49">
        <f>IF($M1610="","",MAX(IF($G1610="",$I1610,$G1610)*(1/1.1),IF($G1610="",$I1610,$G1610)+(S$2*$M1610)))</f>
        <v/>
      </c>
      <c r="T1610" s="82" t="n"/>
      <c r="U1610" s="47">
        <f>IF(OR($M1610="",$T1610=""),"",$T1610+(U$2*$M1610))</f>
        <v/>
      </c>
      <c r="V1610" s="48">
        <f>IF(OR($M1610="",$T1610=""),"",$T1610+(V$2*$M1610))</f>
        <v/>
      </c>
      <c r="W1610" s="48">
        <f>IF(OR($M1610="",$T1610=""),"",$T1610+(W$2*$M1610))</f>
        <v/>
      </c>
      <c r="X1610" s="49">
        <f>IF(OR($M1610="",$T1610=""),"",$T1610+(X$2*$M1610))</f>
        <v/>
      </c>
      <c r="Y1610" s="47">
        <f>IF(OR($M1610="",$T1610=""),"",$T1610+(Y$2*$M1610))</f>
        <v/>
      </c>
      <c r="Z1610" s="49">
        <f>IF(OR($M1610="",$T1610=""),"",$T1610+(Z$2*$M1610))</f>
        <v/>
      </c>
      <c r="AA1610" s="51">
        <f>IF(OR($M1610="",$T1610=""),"",$T1610+(AA$2*$M1610))</f>
        <v/>
      </c>
      <c r="AB1610" s="48">
        <f>IF(OR($M1610="",$T1610=""),"",$T1610+(AB$2*$M1610))</f>
        <v/>
      </c>
      <c r="AC1610" s="48">
        <f>IF(OR($M1610="",$T1610=""),"",$T1610+(AC$2*$M1610))</f>
        <v/>
      </c>
      <c r="AD1610" s="48">
        <f>IF(OR($M1610="",$T1610=""),"",$T1610+(AD$2*$M1610))</f>
        <v/>
      </c>
      <c r="AE1610" s="49">
        <f>IF(OR($M1610="",$T1610=""),"",$T1610+(AE$2*$M1610))</f>
        <v/>
      </c>
      <c r="AF1610" s="52">
        <f>IF(OR(T1610="",I1610&lt;T1610),"",IFERROR(AVERAGE(T1610+M1610*{7,8,9,10,11})/IF(G1610="",I1610,G1610)-1,""))</f>
        <v/>
      </c>
      <c r="AG1610" s="55">
        <f>IF(OR(T1610="",I1610&lt;T1610),"",IFERROR(AF1610/-(R1610/IF(G1610="",I1610,G1610)-1),""))</f>
        <v/>
      </c>
      <c r="AH1610" s="94" t="n"/>
      <c r="AI1610" s="94" t="n"/>
      <c r="AJ1610" s="94" t="n"/>
      <c r="AK1610" s="94" t="n"/>
      <c r="AL1610" s="84" t="n"/>
    </row>
    <row r="1611">
      <c r="A1611" s="64" t="n"/>
      <c r="B1611" s="65" t="n"/>
      <c r="C1611" s="66" t="n"/>
      <c r="D1611" s="67" t="n"/>
      <c r="E1611" s="68" t="n"/>
      <c r="F1611" s="47">
        <f>IF(A1611="","",IF(MIN(H1611,MAX(J1611:K1611))=0,"",MIN(H1611,MAX(J1611:K1611))))</f>
        <v/>
      </c>
      <c r="G1611" s="74" t="n"/>
      <c r="H1611" s="49">
        <f>IF(M1611="","",IFERROR(ROUND(AVERAGE(T1611+M1611*{7,8,9,10,11})/1.21,4),""))</f>
        <v/>
      </c>
      <c r="I1611" s="76" t="n"/>
      <c r="J1611" s="77" t="n"/>
      <c r="K1611" s="74" t="n"/>
      <c r="L1611" s="78" t="n"/>
      <c r="M1611" s="77" t="n"/>
      <c r="N1611" s="53">
        <f>IF(M1611="","",IFERROR(M1611/I1611,""))</f>
        <v/>
      </c>
      <c r="O1611" s="50">
        <f>IF(A1611="","",IFERROR((IF(G1611="",I1611,G1611)-T1611)/M1611,""))</f>
        <v/>
      </c>
      <c r="P1611" s="50">
        <f>IFERROR((I1611/T1611-1)/N1611,"")</f>
        <v/>
      </c>
      <c r="Q1611" s="46">
        <f>IF(OR(T1611="",I1611&lt;T1611),"",IFERROR(R1611/IF(G1611="",I1611,G1611)-1,""))</f>
        <v/>
      </c>
      <c r="R1611" s="48">
        <f>IF($M1611="","",MAX(IF($G1611="",$I1611,$G1611)*(1/1.1),IF($G1611="",$I1611,$G1611)+(R$2*$M1611)))</f>
        <v/>
      </c>
      <c r="S1611" s="49">
        <f>IF($M1611="","",MAX(IF($G1611="",$I1611,$G1611)*(1/1.1),IF($G1611="",$I1611,$G1611)+(S$2*$M1611)))</f>
        <v/>
      </c>
      <c r="T1611" s="82" t="n"/>
      <c r="U1611" s="47">
        <f>IF(OR($M1611="",$T1611=""),"",$T1611+(U$2*$M1611))</f>
        <v/>
      </c>
      <c r="V1611" s="48">
        <f>IF(OR($M1611="",$T1611=""),"",$T1611+(V$2*$M1611))</f>
        <v/>
      </c>
      <c r="W1611" s="48">
        <f>IF(OR($M1611="",$T1611=""),"",$T1611+(W$2*$M1611))</f>
        <v/>
      </c>
      <c r="X1611" s="49">
        <f>IF(OR($M1611="",$T1611=""),"",$T1611+(X$2*$M1611))</f>
        <v/>
      </c>
      <c r="Y1611" s="47">
        <f>IF(OR($M1611="",$T1611=""),"",$T1611+(Y$2*$M1611))</f>
        <v/>
      </c>
      <c r="Z1611" s="49">
        <f>IF(OR($M1611="",$T1611=""),"",$T1611+(Z$2*$M1611))</f>
        <v/>
      </c>
      <c r="AA1611" s="51">
        <f>IF(OR($M1611="",$T1611=""),"",$T1611+(AA$2*$M1611))</f>
        <v/>
      </c>
      <c r="AB1611" s="48">
        <f>IF(OR($M1611="",$T1611=""),"",$T1611+(AB$2*$M1611))</f>
        <v/>
      </c>
      <c r="AC1611" s="48">
        <f>IF(OR($M1611="",$T1611=""),"",$T1611+(AC$2*$M1611))</f>
        <v/>
      </c>
      <c r="AD1611" s="48">
        <f>IF(OR($M1611="",$T1611=""),"",$T1611+(AD$2*$M1611))</f>
        <v/>
      </c>
      <c r="AE1611" s="49">
        <f>IF(OR($M1611="",$T1611=""),"",$T1611+(AE$2*$M1611))</f>
        <v/>
      </c>
      <c r="AF1611" s="52">
        <f>IF(OR(T1611="",I1611&lt;T1611),"",IFERROR(AVERAGE(T1611+M1611*{7,8,9,10,11})/IF(G1611="",I1611,G1611)-1,""))</f>
        <v/>
      </c>
      <c r="AG1611" s="55">
        <f>IF(OR(T1611="",I1611&lt;T1611),"",IFERROR(AF1611/-(R1611/IF(G1611="",I1611,G1611)-1),""))</f>
        <v/>
      </c>
      <c r="AH1611" s="94" t="n"/>
      <c r="AI1611" s="94" t="n"/>
      <c r="AJ1611" s="94" t="n"/>
      <c r="AK1611" s="94" t="n"/>
      <c r="AL1611" s="84" t="n"/>
    </row>
    <row r="1612">
      <c r="A1612" s="64" t="n"/>
      <c r="B1612" s="65" t="n"/>
      <c r="C1612" s="66" t="n"/>
      <c r="D1612" s="67" t="n"/>
      <c r="E1612" s="68" t="n"/>
      <c r="F1612" s="47">
        <f>IF(A1612="","",IF(MIN(H1612,MAX(J1612:K1612))=0,"",MIN(H1612,MAX(J1612:K1612))))</f>
        <v/>
      </c>
      <c r="G1612" s="74" t="n"/>
      <c r="H1612" s="49">
        <f>IF(M1612="","",IFERROR(ROUND(AVERAGE(T1612+M1612*{7,8,9,10,11})/1.21,4),""))</f>
        <v/>
      </c>
      <c r="I1612" s="76" t="n"/>
      <c r="J1612" s="77" t="n"/>
      <c r="K1612" s="74" t="n"/>
      <c r="L1612" s="78" t="n"/>
      <c r="M1612" s="77" t="n"/>
      <c r="N1612" s="53">
        <f>IF(M1612="","",IFERROR(M1612/I1612,""))</f>
        <v/>
      </c>
      <c r="O1612" s="50">
        <f>IF(A1612="","",IFERROR((IF(G1612="",I1612,G1612)-T1612)/M1612,""))</f>
        <v/>
      </c>
      <c r="P1612" s="50">
        <f>IFERROR((I1612/T1612-1)/N1612,"")</f>
        <v/>
      </c>
      <c r="Q1612" s="46">
        <f>IF(OR(T1612="",I1612&lt;T1612),"",IFERROR(R1612/IF(G1612="",I1612,G1612)-1,""))</f>
        <v/>
      </c>
      <c r="R1612" s="48">
        <f>IF($M1612="","",MAX(IF($G1612="",$I1612,$G1612)*(1/1.1),IF($G1612="",$I1612,$G1612)+(R$2*$M1612)))</f>
        <v/>
      </c>
      <c r="S1612" s="49">
        <f>IF($M1612="","",MAX(IF($G1612="",$I1612,$G1612)*(1/1.1),IF($G1612="",$I1612,$G1612)+(S$2*$M1612)))</f>
        <v/>
      </c>
      <c r="T1612" s="82" t="n"/>
      <c r="U1612" s="47">
        <f>IF(OR($M1612="",$T1612=""),"",$T1612+(U$2*$M1612))</f>
        <v/>
      </c>
      <c r="V1612" s="48">
        <f>IF(OR($M1612="",$T1612=""),"",$T1612+(V$2*$M1612))</f>
        <v/>
      </c>
      <c r="W1612" s="48">
        <f>IF(OR($M1612="",$T1612=""),"",$T1612+(W$2*$M1612))</f>
        <v/>
      </c>
      <c r="X1612" s="49">
        <f>IF(OR($M1612="",$T1612=""),"",$T1612+(X$2*$M1612))</f>
        <v/>
      </c>
      <c r="Y1612" s="47">
        <f>IF(OR($M1612="",$T1612=""),"",$T1612+(Y$2*$M1612))</f>
        <v/>
      </c>
      <c r="Z1612" s="49">
        <f>IF(OR($M1612="",$T1612=""),"",$T1612+(Z$2*$M1612))</f>
        <v/>
      </c>
      <c r="AA1612" s="51">
        <f>IF(OR($M1612="",$T1612=""),"",$T1612+(AA$2*$M1612))</f>
        <v/>
      </c>
      <c r="AB1612" s="48">
        <f>IF(OR($M1612="",$T1612=""),"",$T1612+(AB$2*$M1612))</f>
        <v/>
      </c>
      <c r="AC1612" s="48">
        <f>IF(OR($M1612="",$T1612=""),"",$T1612+(AC$2*$M1612))</f>
        <v/>
      </c>
      <c r="AD1612" s="48">
        <f>IF(OR($M1612="",$T1612=""),"",$T1612+(AD$2*$M1612))</f>
        <v/>
      </c>
      <c r="AE1612" s="49">
        <f>IF(OR($M1612="",$T1612=""),"",$T1612+(AE$2*$M1612))</f>
        <v/>
      </c>
      <c r="AF1612" s="52">
        <f>IF(OR(T1612="",I1612&lt;T1612),"",IFERROR(AVERAGE(T1612+M1612*{7,8,9,10,11})/IF(G1612="",I1612,G1612)-1,""))</f>
        <v/>
      </c>
      <c r="AG1612" s="55">
        <f>IF(OR(T1612="",I1612&lt;T1612),"",IFERROR(AF1612/-(R1612/IF(G1612="",I1612,G1612)-1),""))</f>
        <v/>
      </c>
      <c r="AH1612" s="94" t="n"/>
      <c r="AI1612" s="94" t="n"/>
      <c r="AJ1612" s="94" t="n"/>
      <c r="AK1612" s="94" t="n"/>
      <c r="AL1612" s="84" t="n"/>
    </row>
    <row r="1613">
      <c r="A1613" s="64" t="n"/>
      <c r="B1613" s="65" t="n"/>
      <c r="C1613" s="66" t="n"/>
      <c r="D1613" s="67" t="n"/>
      <c r="E1613" s="68" t="n"/>
      <c r="F1613" s="47">
        <f>IF(A1613="","",IF(MIN(H1613,MAX(J1613:K1613))=0,"",MIN(H1613,MAX(J1613:K1613))))</f>
        <v/>
      </c>
      <c r="G1613" s="74" t="n"/>
      <c r="H1613" s="49">
        <f>IF(M1613="","",IFERROR(ROUND(AVERAGE(T1613+M1613*{7,8,9,10,11})/1.21,4),""))</f>
        <v/>
      </c>
      <c r="I1613" s="76" t="n"/>
      <c r="J1613" s="77" t="n"/>
      <c r="K1613" s="74" t="n"/>
      <c r="L1613" s="78" t="n"/>
      <c r="M1613" s="77" t="n"/>
      <c r="N1613" s="53">
        <f>IF(M1613="","",IFERROR(M1613/I1613,""))</f>
        <v/>
      </c>
      <c r="O1613" s="50">
        <f>IF(A1613="","",IFERROR((IF(G1613="",I1613,G1613)-T1613)/M1613,""))</f>
        <v/>
      </c>
      <c r="P1613" s="50">
        <f>IFERROR((I1613/T1613-1)/N1613,"")</f>
        <v/>
      </c>
      <c r="Q1613" s="46">
        <f>IF(OR(T1613="",I1613&lt;T1613),"",IFERROR(R1613/IF(G1613="",I1613,G1613)-1,""))</f>
        <v/>
      </c>
      <c r="R1613" s="48">
        <f>IF($M1613="","",MAX(IF($G1613="",$I1613,$G1613)*(1/1.1),IF($G1613="",$I1613,$G1613)+(R$2*$M1613)))</f>
        <v/>
      </c>
      <c r="S1613" s="49">
        <f>IF($M1613="","",MAX(IF($G1613="",$I1613,$G1613)*(1/1.1),IF($G1613="",$I1613,$G1613)+(S$2*$M1613)))</f>
        <v/>
      </c>
      <c r="T1613" s="82" t="n"/>
      <c r="U1613" s="47">
        <f>IF(OR($M1613="",$T1613=""),"",$T1613+(U$2*$M1613))</f>
        <v/>
      </c>
      <c r="V1613" s="48">
        <f>IF(OR($M1613="",$T1613=""),"",$T1613+(V$2*$M1613))</f>
        <v/>
      </c>
      <c r="W1613" s="48">
        <f>IF(OR($M1613="",$T1613=""),"",$T1613+(W$2*$M1613))</f>
        <v/>
      </c>
      <c r="X1613" s="49">
        <f>IF(OR($M1613="",$T1613=""),"",$T1613+(X$2*$M1613))</f>
        <v/>
      </c>
      <c r="Y1613" s="47">
        <f>IF(OR($M1613="",$T1613=""),"",$T1613+(Y$2*$M1613))</f>
        <v/>
      </c>
      <c r="Z1613" s="49">
        <f>IF(OR($M1613="",$T1613=""),"",$T1613+(Z$2*$M1613))</f>
        <v/>
      </c>
      <c r="AA1613" s="51">
        <f>IF(OR($M1613="",$T1613=""),"",$T1613+(AA$2*$M1613))</f>
        <v/>
      </c>
      <c r="AB1613" s="48">
        <f>IF(OR($M1613="",$T1613=""),"",$T1613+(AB$2*$M1613))</f>
        <v/>
      </c>
      <c r="AC1613" s="48">
        <f>IF(OR($M1613="",$T1613=""),"",$T1613+(AC$2*$M1613))</f>
        <v/>
      </c>
      <c r="AD1613" s="48">
        <f>IF(OR($M1613="",$T1613=""),"",$T1613+(AD$2*$M1613))</f>
        <v/>
      </c>
      <c r="AE1613" s="49">
        <f>IF(OR($M1613="",$T1613=""),"",$T1613+(AE$2*$M1613))</f>
        <v/>
      </c>
      <c r="AF1613" s="52">
        <f>IF(OR(T1613="",I1613&lt;T1613),"",IFERROR(AVERAGE(T1613+M1613*{7,8,9,10,11})/IF(G1613="",I1613,G1613)-1,""))</f>
        <v/>
      </c>
      <c r="AG1613" s="55">
        <f>IF(OR(T1613="",I1613&lt;T1613),"",IFERROR(AF1613/-(R1613/IF(G1613="",I1613,G1613)-1),""))</f>
        <v/>
      </c>
      <c r="AH1613" s="94" t="n"/>
      <c r="AI1613" s="94" t="n"/>
      <c r="AJ1613" s="94" t="n"/>
      <c r="AK1613" s="94" t="n"/>
      <c r="AL1613" s="84" t="n"/>
    </row>
    <row r="1614">
      <c r="A1614" s="64" t="n"/>
      <c r="B1614" s="65" t="n"/>
      <c r="C1614" s="66" t="n"/>
      <c r="D1614" s="67" t="n"/>
      <c r="E1614" s="68" t="n"/>
      <c r="F1614" s="47">
        <f>IF(A1614="","",IF(MIN(H1614,MAX(J1614:K1614))=0,"",MIN(H1614,MAX(J1614:K1614))))</f>
        <v/>
      </c>
      <c r="G1614" s="74" t="n"/>
      <c r="H1614" s="49">
        <f>IF(M1614="","",IFERROR(ROUND(AVERAGE(T1614+M1614*{7,8,9,10,11})/1.21,4),""))</f>
        <v/>
      </c>
      <c r="I1614" s="76" t="n"/>
      <c r="J1614" s="77" t="n"/>
      <c r="K1614" s="74" t="n"/>
      <c r="L1614" s="78" t="n"/>
      <c r="M1614" s="77" t="n"/>
      <c r="N1614" s="53">
        <f>IF(M1614="","",IFERROR(M1614/I1614,""))</f>
        <v/>
      </c>
      <c r="O1614" s="50">
        <f>IF(A1614="","",IFERROR((IF(G1614="",I1614,G1614)-T1614)/M1614,""))</f>
        <v/>
      </c>
      <c r="P1614" s="50">
        <f>IFERROR((I1614/T1614-1)/N1614,"")</f>
        <v/>
      </c>
      <c r="Q1614" s="46">
        <f>IF(OR(T1614="",I1614&lt;T1614),"",IFERROR(R1614/IF(G1614="",I1614,G1614)-1,""))</f>
        <v/>
      </c>
      <c r="R1614" s="48">
        <f>IF($M1614="","",MAX(IF($G1614="",$I1614,$G1614)*(1/1.1),IF($G1614="",$I1614,$G1614)+(R$2*$M1614)))</f>
        <v/>
      </c>
      <c r="S1614" s="49">
        <f>IF($M1614="","",MAX(IF($G1614="",$I1614,$G1614)*(1/1.1),IF($G1614="",$I1614,$G1614)+(S$2*$M1614)))</f>
        <v/>
      </c>
      <c r="T1614" s="82" t="n"/>
      <c r="U1614" s="47">
        <f>IF(OR($M1614="",$T1614=""),"",$T1614+(U$2*$M1614))</f>
        <v/>
      </c>
      <c r="V1614" s="48">
        <f>IF(OR($M1614="",$T1614=""),"",$T1614+(V$2*$M1614))</f>
        <v/>
      </c>
      <c r="W1614" s="48">
        <f>IF(OR($M1614="",$T1614=""),"",$T1614+(W$2*$M1614))</f>
        <v/>
      </c>
      <c r="X1614" s="49">
        <f>IF(OR($M1614="",$T1614=""),"",$T1614+(X$2*$M1614))</f>
        <v/>
      </c>
      <c r="Y1614" s="47">
        <f>IF(OR($M1614="",$T1614=""),"",$T1614+(Y$2*$M1614))</f>
        <v/>
      </c>
      <c r="Z1614" s="49">
        <f>IF(OR($M1614="",$T1614=""),"",$T1614+(Z$2*$M1614))</f>
        <v/>
      </c>
      <c r="AA1614" s="51">
        <f>IF(OR($M1614="",$T1614=""),"",$T1614+(AA$2*$M1614))</f>
        <v/>
      </c>
      <c r="AB1614" s="48">
        <f>IF(OR($M1614="",$T1614=""),"",$T1614+(AB$2*$M1614))</f>
        <v/>
      </c>
      <c r="AC1614" s="48">
        <f>IF(OR($M1614="",$T1614=""),"",$T1614+(AC$2*$M1614))</f>
        <v/>
      </c>
      <c r="AD1614" s="48">
        <f>IF(OR($M1614="",$T1614=""),"",$T1614+(AD$2*$M1614))</f>
        <v/>
      </c>
      <c r="AE1614" s="49">
        <f>IF(OR($M1614="",$T1614=""),"",$T1614+(AE$2*$M1614))</f>
        <v/>
      </c>
      <c r="AF1614" s="52">
        <f>IF(OR(T1614="",I1614&lt;T1614),"",IFERROR(AVERAGE(T1614+M1614*{7,8,9,10,11})/IF(G1614="",I1614,G1614)-1,""))</f>
        <v/>
      </c>
      <c r="AG1614" s="55">
        <f>IF(OR(T1614="",I1614&lt;T1614),"",IFERROR(AF1614/-(R1614/IF(G1614="",I1614,G1614)-1),""))</f>
        <v/>
      </c>
      <c r="AH1614" s="94" t="n"/>
      <c r="AI1614" s="94" t="n"/>
      <c r="AJ1614" s="94" t="n"/>
      <c r="AK1614" s="94" t="n"/>
      <c r="AL1614" s="84" t="n"/>
    </row>
    <row r="1615">
      <c r="A1615" s="64" t="n"/>
      <c r="B1615" s="65" t="n"/>
      <c r="C1615" s="66" t="n"/>
      <c r="D1615" s="67" t="n"/>
      <c r="E1615" s="68" t="n"/>
      <c r="F1615" s="47">
        <f>IF(A1615="","",IF(MIN(H1615,MAX(J1615:K1615))=0,"",MIN(H1615,MAX(J1615:K1615))))</f>
        <v/>
      </c>
      <c r="G1615" s="74" t="n"/>
      <c r="H1615" s="49">
        <f>IF(M1615="","",IFERROR(ROUND(AVERAGE(T1615+M1615*{7,8,9,10,11})/1.21,4),""))</f>
        <v/>
      </c>
      <c r="I1615" s="76" t="n"/>
      <c r="J1615" s="77" t="n"/>
      <c r="K1615" s="74" t="n"/>
      <c r="L1615" s="78" t="n"/>
      <c r="M1615" s="77" t="n"/>
      <c r="N1615" s="53">
        <f>IF(M1615="","",IFERROR(M1615/I1615,""))</f>
        <v/>
      </c>
      <c r="O1615" s="50">
        <f>IF(A1615="","",IFERROR((IF(G1615="",I1615,G1615)-T1615)/M1615,""))</f>
        <v/>
      </c>
      <c r="P1615" s="50">
        <f>IFERROR((I1615/T1615-1)/N1615,"")</f>
        <v/>
      </c>
      <c r="Q1615" s="46">
        <f>IF(OR(T1615="",I1615&lt;T1615),"",IFERROR(R1615/IF(G1615="",I1615,G1615)-1,""))</f>
        <v/>
      </c>
      <c r="R1615" s="48">
        <f>IF($M1615="","",MAX(IF($G1615="",$I1615,$G1615)*(1/1.1),IF($G1615="",$I1615,$G1615)+(R$2*$M1615)))</f>
        <v/>
      </c>
      <c r="S1615" s="49">
        <f>IF($M1615="","",MAX(IF($G1615="",$I1615,$G1615)*(1/1.1),IF($G1615="",$I1615,$G1615)+(S$2*$M1615)))</f>
        <v/>
      </c>
      <c r="T1615" s="82" t="n"/>
      <c r="U1615" s="47">
        <f>IF(OR($M1615="",$T1615=""),"",$T1615+(U$2*$M1615))</f>
        <v/>
      </c>
      <c r="V1615" s="48">
        <f>IF(OR($M1615="",$T1615=""),"",$T1615+(V$2*$M1615))</f>
        <v/>
      </c>
      <c r="W1615" s="48">
        <f>IF(OR($M1615="",$T1615=""),"",$T1615+(W$2*$M1615))</f>
        <v/>
      </c>
      <c r="X1615" s="49">
        <f>IF(OR($M1615="",$T1615=""),"",$T1615+(X$2*$M1615))</f>
        <v/>
      </c>
      <c r="Y1615" s="47">
        <f>IF(OR($M1615="",$T1615=""),"",$T1615+(Y$2*$M1615))</f>
        <v/>
      </c>
      <c r="Z1615" s="49">
        <f>IF(OR($M1615="",$T1615=""),"",$T1615+(Z$2*$M1615))</f>
        <v/>
      </c>
      <c r="AA1615" s="51">
        <f>IF(OR($M1615="",$T1615=""),"",$T1615+(AA$2*$M1615))</f>
        <v/>
      </c>
      <c r="AB1615" s="48">
        <f>IF(OR($M1615="",$T1615=""),"",$T1615+(AB$2*$M1615))</f>
        <v/>
      </c>
      <c r="AC1615" s="48">
        <f>IF(OR($M1615="",$T1615=""),"",$T1615+(AC$2*$M1615))</f>
        <v/>
      </c>
      <c r="AD1615" s="48">
        <f>IF(OR($M1615="",$T1615=""),"",$T1615+(AD$2*$M1615))</f>
        <v/>
      </c>
      <c r="AE1615" s="49">
        <f>IF(OR($M1615="",$T1615=""),"",$T1615+(AE$2*$M1615))</f>
        <v/>
      </c>
      <c r="AF1615" s="52">
        <f>IF(OR(T1615="",I1615&lt;T1615),"",IFERROR(AVERAGE(T1615+M1615*{7,8,9,10,11})/IF(G1615="",I1615,G1615)-1,""))</f>
        <v/>
      </c>
      <c r="AG1615" s="55">
        <f>IF(OR(T1615="",I1615&lt;T1615),"",IFERROR(AF1615/-(R1615/IF(G1615="",I1615,G1615)-1),""))</f>
        <v/>
      </c>
      <c r="AH1615" s="94" t="n"/>
      <c r="AI1615" s="94" t="n"/>
      <c r="AJ1615" s="94" t="n"/>
      <c r="AK1615" s="94" t="n"/>
      <c r="AL1615" s="84" t="n"/>
    </row>
    <row r="1616">
      <c r="A1616" s="64" t="n"/>
      <c r="B1616" s="65" t="n"/>
      <c r="C1616" s="66" t="n"/>
      <c r="D1616" s="67" t="n"/>
      <c r="E1616" s="68" t="n"/>
      <c r="F1616" s="47">
        <f>IF(A1616="","",IF(MIN(H1616,MAX(J1616:K1616))=0,"",MIN(H1616,MAX(J1616:K1616))))</f>
        <v/>
      </c>
      <c r="G1616" s="74" t="n"/>
      <c r="H1616" s="49">
        <f>IF(M1616="","",IFERROR(ROUND(AVERAGE(T1616+M1616*{7,8,9,10,11})/1.21,4),""))</f>
        <v/>
      </c>
      <c r="I1616" s="76" t="n"/>
      <c r="J1616" s="77" t="n"/>
      <c r="K1616" s="74" t="n"/>
      <c r="L1616" s="78" t="n"/>
      <c r="M1616" s="77" t="n"/>
      <c r="N1616" s="53">
        <f>IF(M1616="","",IFERROR(M1616/I1616,""))</f>
        <v/>
      </c>
      <c r="O1616" s="50">
        <f>IF(A1616="","",IFERROR((IF(G1616="",I1616,G1616)-T1616)/M1616,""))</f>
        <v/>
      </c>
      <c r="P1616" s="50">
        <f>IFERROR((I1616/T1616-1)/N1616,"")</f>
        <v/>
      </c>
      <c r="Q1616" s="46">
        <f>IF(OR(T1616="",I1616&lt;T1616),"",IFERROR(R1616/IF(G1616="",I1616,G1616)-1,""))</f>
        <v/>
      </c>
      <c r="R1616" s="48">
        <f>IF($M1616="","",MAX(IF($G1616="",$I1616,$G1616)*(1/1.1),IF($G1616="",$I1616,$G1616)+(R$2*$M1616)))</f>
        <v/>
      </c>
      <c r="S1616" s="49">
        <f>IF($M1616="","",MAX(IF($G1616="",$I1616,$G1616)*(1/1.1),IF($G1616="",$I1616,$G1616)+(S$2*$M1616)))</f>
        <v/>
      </c>
      <c r="T1616" s="82" t="n"/>
      <c r="U1616" s="47">
        <f>IF(OR($M1616="",$T1616=""),"",$T1616+(U$2*$M1616))</f>
        <v/>
      </c>
      <c r="V1616" s="48">
        <f>IF(OR($M1616="",$T1616=""),"",$T1616+(V$2*$M1616))</f>
        <v/>
      </c>
      <c r="W1616" s="48">
        <f>IF(OR($M1616="",$T1616=""),"",$T1616+(W$2*$M1616))</f>
        <v/>
      </c>
      <c r="X1616" s="49">
        <f>IF(OR($M1616="",$T1616=""),"",$T1616+(X$2*$M1616))</f>
        <v/>
      </c>
      <c r="Y1616" s="47">
        <f>IF(OR($M1616="",$T1616=""),"",$T1616+(Y$2*$M1616))</f>
        <v/>
      </c>
      <c r="Z1616" s="49">
        <f>IF(OR($M1616="",$T1616=""),"",$T1616+(Z$2*$M1616))</f>
        <v/>
      </c>
      <c r="AA1616" s="51">
        <f>IF(OR($M1616="",$T1616=""),"",$T1616+(AA$2*$M1616))</f>
        <v/>
      </c>
      <c r="AB1616" s="48">
        <f>IF(OR($M1616="",$T1616=""),"",$T1616+(AB$2*$M1616))</f>
        <v/>
      </c>
      <c r="AC1616" s="48">
        <f>IF(OR($M1616="",$T1616=""),"",$T1616+(AC$2*$M1616))</f>
        <v/>
      </c>
      <c r="AD1616" s="48">
        <f>IF(OR($M1616="",$T1616=""),"",$T1616+(AD$2*$M1616))</f>
        <v/>
      </c>
      <c r="AE1616" s="49">
        <f>IF(OR($M1616="",$T1616=""),"",$T1616+(AE$2*$M1616))</f>
        <v/>
      </c>
      <c r="AF1616" s="52">
        <f>IF(OR(T1616="",I1616&lt;T1616),"",IFERROR(AVERAGE(T1616+M1616*{7,8,9,10,11})/IF(G1616="",I1616,G1616)-1,""))</f>
        <v/>
      </c>
      <c r="AG1616" s="55">
        <f>IF(OR(T1616="",I1616&lt;T1616),"",IFERROR(AF1616/-(R1616/IF(G1616="",I1616,G1616)-1),""))</f>
        <v/>
      </c>
      <c r="AH1616" s="94" t="n"/>
      <c r="AI1616" s="94" t="n"/>
      <c r="AJ1616" s="94" t="n"/>
      <c r="AK1616" s="94" t="n"/>
      <c r="AL1616" s="84" t="n"/>
    </row>
    <row r="1617">
      <c r="A1617" s="64" t="n"/>
      <c r="B1617" s="65" t="n"/>
      <c r="C1617" s="66" t="n"/>
      <c r="D1617" s="67" t="n"/>
      <c r="E1617" s="68" t="n"/>
      <c r="F1617" s="47">
        <f>IF(A1617="","",IF(MIN(H1617,MAX(J1617:K1617))=0,"",MIN(H1617,MAX(J1617:K1617))))</f>
        <v/>
      </c>
      <c r="G1617" s="74" t="n"/>
      <c r="H1617" s="49">
        <f>IF(M1617="","",IFERROR(ROUND(AVERAGE(T1617+M1617*{7,8,9,10,11})/1.21,4),""))</f>
        <v/>
      </c>
      <c r="I1617" s="76" t="n"/>
      <c r="J1617" s="77" t="n"/>
      <c r="K1617" s="74" t="n"/>
      <c r="L1617" s="78" t="n"/>
      <c r="M1617" s="77" t="n"/>
      <c r="N1617" s="53">
        <f>IF(M1617="","",IFERROR(M1617/I1617,""))</f>
        <v/>
      </c>
      <c r="O1617" s="50">
        <f>IF(A1617="","",IFERROR((IF(G1617="",I1617,G1617)-T1617)/M1617,""))</f>
        <v/>
      </c>
      <c r="P1617" s="50">
        <f>IFERROR((I1617/T1617-1)/N1617,"")</f>
        <v/>
      </c>
      <c r="Q1617" s="46">
        <f>IF(OR(T1617="",I1617&lt;T1617),"",IFERROR(R1617/IF(G1617="",I1617,G1617)-1,""))</f>
        <v/>
      </c>
      <c r="R1617" s="48">
        <f>IF($M1617="","",MAX(IF($G1617="",$I1617,$G1617)*(1/1.1),IF($G1617="",$I1617,$G1617)+(R$2*$M1617)))</f>
        <v/>
      </c>
      <c r="S1617" s="49">
        <f>IF($M1617="","",MAX(IF($G1617="",$I1617,$G1617)*(1/1.1),IF($G1617="",$I1617,$G1617)+(S$2*$M1617)))</f>
        <v/>
      </c>
      <c r="T1617" s="82" t="n"/>
      <c r="U1617" s="47">
        <f>IF(OR($M1617="",$T1617=""),"",$T1617+(U$2*$M1617))</f>
        <v/>
      </c>
      <c r="V1617" s="48">
        <f>IF(OR($M1617="",$T1617=""),"",$T1617+(V$2*$M1617))</f>
        <v/>
      </c>
      <c r="W1617" s="48">
        <f>IF(OR($M1617="",$T1617=""),"",$T1617+(W$2*$M1617))</f>
        <v/>
      </c>
      <c r="X1617" s="49">
        <f>IF(OR($M1617="",$T1617=""),"",$T1617+(X$2*$M1617))</f>
        <v/>
      </c>
      <c r="Y1617" s="47">
        <f>IF(OR($M1617="",$T1617=""),"",$T1617+(Y$2*$M1617))</f>
        <v/>
      </c>
      <c r="Z1617" s="49">
        <f>IF(OR($M1617="",$T1617=""),"",$T1617+(Z$2*$M1617))</f>
        <v/>
      </c>
      <c r="AA1617" s="51">
        <f>IF(OR($M1617="",$T1617=""),"",$T1617+(AA$2*$M1617))</f>
        <v/>
      </c>
      <c r="AB1617" s="48">
        <f>IF(OR($M1617="",$T1617=""),"",$T1617+(AB$2*$M1617))</f>
        <v/>
      </c>
      <c r="AC1617" s="48">
        <f>IF(OR($M1617="",$T1617=""),"",$T1617+(AC$2*$M1617))</f>
        <v/>
      </c>
      <c r="AD1617" s="48">
        <f>IF(OR($M1617="",$T1617=""),"",$T1617+(AD$2*$M1617))</f>
        <v/>
      </c>
      <c r="AE1617" s="49">
        <f>IF(OR($M1617="",$T1617=""),"",$T1617+(AE$2*$M1617))</f>
        <v/>
      </c>
      <c r="AF1617" s="52">
        <f>IF(OR(T1617="",I1617&lt;T1617),"",IFERROR(AVERAGE(T1617+M1617*{7,8,9,10,11})/IF(G1617="",I1617,G1617)-1,""))</f>
        <v/>
      </c>
      <c r="AG1617" s="55">
        <f>IF(OR(T1617="",I1617&lt;T1617),"",IFERROR(AF1617/-(R1617/IF(G1617="",I1617,G1617)-1),""))</f>
        <v/>
      </c>
      <c r="AH1617" s="94" t="n"/>
      <c r="AI1617" s="94" t="n"/>
      <c r="AJ1617" s="94" t="n"/>
      <c r="AK1617" s="94" t="n"/>
      <c r="AL1617" s="84" t="n"/>
    </row>
    <row r="1618">
      <c r="A1618" s="64" t="n"/>
      <c r="B1618" s="65" t="n"/>
      <c r="C1618" s="66" t="n"/>
      <c r="D1618" s="67" t="n"/>
      <c r="E1618" s="68" t="n"/>
      <c r="F1618" s="47">
        <f>IF(A1618="","",IF(MIN(H1618,MAX(J1618:K1618))=0,"",MIN(H1618,MAX(J1618:K1618))))</f>
        <v/>
      </c>
      <c r="G1618" s="74" t="n"/>
      <c r="H1618" s="49">
        <f>IF(M1618="","",IFERROR(ROUND(AVERAGE(T1618+M1618*{7,8,9,10,11})/1.21,4),""))</f>
        <v/>
      </c>
      <c r="I1618" s="76" t="n"/>
      <c r="J1618" s="77" t="n"/>
      <c r="K1618" s="74" t="n"/>
      <c r="L1618" s="78" t="n"/>
      <c r="M1618" s="77" t="n"/>
      <c r="N1618" s="53">
        <f>IF(M1618="","",IFERROR(M1618/I1618,""))</f>
        <v/>
      </c>
      <c r="O1618" s="50">
        <f>IF(A1618="","",IFERROR((IF(G1618="",I1618,G1618)-T1618)/M1618,""))</f>
        <v/>
      </c>
      <c r="P1618" s="50">
        <f>IFERROR((I1618/T1618-1)/N1618,"")</f>
        <v/>
      </c>
      <c r="Q1618" s="46">
        <f>IF(OR(T1618="",I1618&lt;T1618),"",IFERROR(R1618/IF(G1618="",I1618,G1618)-1,""))</f>
        <v/>
      </c>
      <c r="R1618" s="48">
        <f>IF($M1618="","",MAX(IF($G1618="",$I1618,$G1618)*(1/1.1),IF($G1618="",$I1618,$G1618)+(R$2*$M1618)))</f>
        <v/>
      </c>
      <c r="S1618" s="49">
        <f>IF($M1618="","",MAX(IF($G1618="",$I1618,$G1618)*(1/1.1),IF($G1618="",$I1618,$G1618)+(S$2*$M1618)))</f>
        <v/>
      </c>
      <c r="T1618" s="82" t="n"/>
      <c r="U1618" s="47">
        <f>IF(OR($M1618="",$T1618=""),"",$T1618+(U$2*$M1618))</f>
        <v/>
      </c>
      <c r="V1618" s="48">
        <f>IF(OR($M1618="",$T1618=""),"",$T1618+(V$2*$M1618))</f>
        <v/>
      </c>
      <c r="W1618" s="48">
        <f>IF(OR($M1618="",$T1618=""),"",$T1618+(W$2*$M1618))</f>
        <v/>
      </c>
      <c r="X1618" s="49">
        <f>IF(OR($M1618="",$T1618=""),"",$T1618+(X$2*$M1618))</f>
        <v/>
      </c>
      <c r="Y1618" s="47">
        <f>IF(OR($M1618="",$T1618=""),"",$T1618+(Y$2*$M1618))</f>
        <v/>
      </c>
      <c r="Z1618" s="49">
        <f>IF(OR($M1618="",$T1618=""),"",$T1618+(Z$2*$M1618))</f>
        <v/>
      </c>
      <c r="AA1618" s="51">
        <f>IF(OR($M1618="",$T1618=""),"",$T1618+(AA$2*$M1618))</f>
        <v/>
      </c>
      <c r="AB1618" s="48">
        <f>IF(OR($M1618="",$T1618=""),"",$T1618+(AB$2*$M1618))</f>
        <v/>
      </c>
      <c r="AC1618" s="48">
        <f>IF(OR($M1618="",$T1618=""),"",$T1618+(AC$2*$M1618))</f>
        <v/>
      </c>
      <c r="AD1618" s="48">
        <f>IF(OR($M1618="",$T1618=""),"",$T1618+(AD$2*$M1618))</f>
        <v/>
      </c>
      <c r="AE1618" s="49">
        <f>IF(OR($M1618="",$T1618=""),"",$T1618+(AE$2*$M1618))</f>
        <v/>
      </c>
      <c r="AF1618" s="52">
        <f>IF(OR(T1618="",I1618&lt;T1618),"",IFERROR(AVERAGE(T1618+M1618*{7,8,9,10,11})/IF(G1618="",I1618,G1618)-1,""))</f>
        <v/>
      </c>
      <c r="AG1618" s="55">
        <f>IF(OR(T1618="",I1618&lt;T1618),"",IFERROR(AF1618/-(R1618/IF(G1618="",I1618,G1618)-1),""))</f>
        <v/>
      </c>
      <c r="AH1618" s="94" t="n"/>
      <c r="AI1618" s="94" t="n"/>
      <c r="AJ1618" s="94" t="n"/>
      <c r="AK1618" s="94" t="n"/>
      <c r="AL1618" s="84" t="n"/>
    </row>
    <row r="1619">
      <c r="A1619" s="64" t="n"/>
      <c r="B1619" s="65" t="n"/>
      <c r="C1619" s="66" t="n"/>
      <c r="D1619" s="67" t="n"/>
      <c r="E1619" s="68" t="n"/>
      <c r="F1619" s="47">
        <f>IF(A1619="","",IF(MIN(H1619,MAX(J1619:K1619))=0,"",MIN(H1619,MAX(J1619:K1619))))</f>
        <v/>
      </c>
      <c r="G1619" s="74" t="n"/>
      <c r="H1619" s="49">
        <f>IF(M1619="","",IFERROR(ROUND(AVERAGE(T1619+M1619*{7,8,9,10,11})/1.21,4),""))</f>
        <v/>
      </c>
      <c r="I1619" s="76" t="n"/>
      <c r="J1619" s="77" t="n"/>
      <c r="K1619" s="74" t="n"/>
      <c r="L1619" s="78" t="n"/>
      <c r="M1619" s="77" t="n"/>
      <c r="N1619" s="53">
        <f>IF(M1619="","",IFERROR(M1619/I1619,""))</f>
        <v/>
      </c>
      <c r="O1619" s="50">
        <f>IF(A1619="","",IFERROR((IF(G1619="",I1619,G1619)-T1619)/M1619,""))</f>
        <v/>
      </c>
      <c r="P1619" s="50">
        <f>IFERROR((I1619/T1619-1)/N1619,"")</f>
        <v/>
      </c>
      <c r="Q1619" s="46">
        <f>IF(OR(T1619="",I1619&lt;T1619),"",IFERROR(R1619/IF(G1619="",I1619,G1619)-1,""))</f>
        <v/>
      </c>
      <c r="R1619" s="48">
        <f>IF($M1619="","",MAX(IF($G1619="",$I1619,$G1619)*(1/1.1),IF($G1619="",$I1619,$G1619)+(R$2*$M1619)))</f>
        <v/>
      </c>
      <c r="S1619" s="49">
        <f>IF($M1619="","",MAX(IF($G1619="",$I1619,$G1619)*(1/1.1),IF($G1619="",$I1619,$G1619)+(S$2*$M1619)))</f>
        <v/>
      </c>
      <c r="T1619" s="82" t="n"/>
      <c r="U1619" s="47">
        <f>IF(OR($M1619="",$T1619=""),"",$T1619+(U$2*$M1619))</f>
        <v/>
      </c>
      <c r="V1619" s="48">
        <f>IF(OR($M1619="",$T1619=""),"",$T1619+(V$2*$M1619))</f>
        <v/>
      </c>
      <c r="W1619" s="48">
        <f>IF(OR($M1619="",$T1619=""),"",$T1619+(W$2*$M1619))</f>
        <v/>
      </c>
      <c r="X1619" s="49">
        <f>IF(OR($M1619="",$T1619=""),"",$T1619+(X$2*$M1619))</f>
        <v/>
      </c>
      <c r="Y1619" s="47">
        <f>IF(OR($M1619="",$T1619=""),"",$T1619+(Y$2*$M1619))</f>
        <v/>
      </c>
      <c r="Z1619" s="49">
        <f>IF(OR($M1619="",$T1619=""),"",$T1619+(Z$2*$M1619))</f>
        <v/>
      </c>
      <c r="AA1619" s="51">
        <f>IF(OR($M1619="",$T1619=""),"",$T1619+(AA$2*$M1619))</f>
        <v/>
      </c>
      <c r="AB1619" s="48">
        <f>IF(OR($M1619="",$T1619=""),"",$T1619+(AB$2*$M1619))</f>
        <v/>
      </c>
      <c r="AC1619" s="48">
        <f>IF(OR($M1619="",$T1619=""),"",$T1619+(AC$2*$M1619))</f>
        <v/>
      </c>
      <c r="AD1619" s="48">
        <f>IF(OR($M1619="",$T1619=""),"",$T1619+(AD$2*$M1619))</f>
        <v/>
      </c>
      <c r="AE1619" s="49">
        <f>IF(OR($M1619="",$T1619=""),"",$T1619+(AE$2*$M1619))</f>
        <v/>
      </c>
      <c r="AF1619" s="52">
        <f>IF(OR(T1619="",I1619&lt;T1619),"",IFERROR(AVERAGE(T1619+M1619*{7,8,9,10,11})/IF(G1619="",I1619,G1619)-1,""))</f>
        <v/>
      </c>
      <c r="AG1619" s="55">
        <f>IF(OR(T1619="",I1619&lt;T1619),"",IFERROR(AF1619/-(R1619/IF(G1619="",I1619,G1619)-1),""))</f>
        <v/>
      </c>
      <c r="AH1619" s="94" t="n"/>
      <c r="AI1619" s="94" t="n"/>
      <c r="AJ1619" s="94" t="n"/>
      <c r="AK1619" s="94" t="n"/>
      <c r="AL1619" s="84" t="n"/>
    </row>
    <row r="1620">
      <c r="A1620" s="64" t="n"/>
      <c r="B1620" s="65" t="n"/>
      <c r="C1620" s="66" t="n"/>
      <c r="D1620" s="67" t="n"/>
      <c r="E1620" s="68" t="n"/>
      <c r="F1620" s="47">
        <f>IF(A1620="","",IF(MIN(H1620,MAX(J1620:K1620))=0,"",MIN(H1620,MAX(J1620:K1620))))</f>
        <v/>
      </c>
      <c r="G1620" s="74" t="n"/>
      <c r="H1620" s="49">
        <f>IF(M1620="","",IFERROR(ROUND(AVERAGE(T1620+M1620*{7,8,9,10,11})/1.21,4),""))</f>
        <v/>
      </c>
      <c r="I1620" s="76" t="n"/>
      <c r="J1620" s="77" t="n"/>
      <c r="K1620" s="74" t="n"/>
      <c r="L1620" s="78" t="n"/>
      <c r="M1620" s="77" t="n"/>
      <c r="N1620" s="53">
        <f>IF(M1620="","",IFERROR(M1620/I1620,""))</f>
        <v/>
      </c>
      <c r="O1620" s="50">
        <f>IF(A1620="","",IFERROR((IF(G1620="",I1620,G1620)-T1620)/M1620,""))</f>
        <v/>
      </c>
      <c r="P1620" s="50">
        <f>IFERROR((I1620/T1620-1)/N1620,"")</f>
        <v/>
      </c>
      <c r="Q1620" s="46">
        <f>IF(OR(T1620="",I1620&lt;T1620),"",IFERROR(R1620/IF(G1620="",I1620,G1620)-1,""))</f>
        <v/>
      </c>
      <c r="R1620" s="48">
        <f>IF($M1620="","",MAX(IF($G1620="",$I1620,$G1620)*(1/1.1),IF($G1620="",$I1620,$G1620)+(R$2*$M1620)))</f>
        <v/>
      </c>
      <c r="S1620" s="49">
        <f>IF($M1620="","",MAX(IF($G1620="",$I1620,$G1620)*(1/1.1),IF($G1620="",$I1620,$G1620)+(S$2*$M1620)))</f>
        <v/>
      </c>
      <c r="T1620" s="82" t="n"/>
      <c r="U1620" s="47">
        <f>IF(OR($M1620="",$T1620=""),"",$T1620+(U$2*$M1620))</f>
        <v/>
      </c>
      <c r="V1620" s="48">
        <f>IF(OR($M1620="",$T1620=""),"",$T1620+(V$2*$M1620))</f>
        <v/>
      </c>
      <c r="W1620" s="48">
        <f>IF(OR($M1620="",$T1620=""),"",$T1620+(W$2*$M1620))</f>
        <v/>
      </c>
      <c r="X1620" s="49">
        <f>IF(OR($M1620="",$T1620=""),"",$T1620+(X$2*$M1620))</f>
        <v/>
      </c>
      <c r="Y1620" s="47">
        <f>IF(OR($M1620="",$T1620=""),"",$T1620+(Y$2*$M1620))</f>
        <v/>
      </c>
      <c r="Z1620" s="49">
        <f>IF(OR($M1620="",$T1620=""),"",$T1620+(Z$2*$M1620))</f>
        <v/>
      </c>
      <c r="AA1620" s="51">
        <f>IF(OR($M1620="",$T1620=""),"",$T1620+(AA$2*$M1620))</f>
        <v/>
      </c>
      <c r="AB1620" s="48">
        <f>IF(OR($M1620="",$T1620=""),"",$T1620+(AB$2*$M1620))</f>
        <v/>
      </c>
      <c r="AC1620" s="48">
        <f>IF(OR($M1620="",$T1620=""),"",$T1620+(AC$2*$M1620))</f>
        <v/>
      </c>
      <c r="AD1620" s="48">
        <f>IF(OR($M1620="",$T1620=""),"",$T1620+(AD$2*$M1620))</f>
        <v/>
      </c>
      <c r="AE1620" s="49">
        <f>IF(OR($M1620="",$T1620=""),"",$T1620+(AE$2*$M1620))</f>
        <v/>
      </c>
      <c r="AF1620" s="52">
        <f>IF(OR(T1620="",I1620&lt;T1620),"",IFERROR(AVERAGE(T1620+M1620*{7,8,9,10,11})/IF(G1620="",I1620,G1620)-1,""))</f>
        <v/>
      </c>
      <c r="AG1620" s="55">
        <f>IF(OR(T1620="",I1620&lt;T1620),"",IFERROR(AF1620/-(R1620/IF(G1620="",I1620,G1620)-1),""))</f>
        <v/>
      </c>
      <c r="AH1620" s="94" t="n"/>
      <c r="AI1620" s="94" t="n"/>
      <c r="AJ1620" s="94" t="n"/>
      <c r="AK1620" s="94" t="n"/>
      <c r="AL1620" s="84" t="n"/>
    </row>
    <row r="1621">
      <c r="A1621" s="64" t="n"/>
      <c r="B1621" s="65" t="n"/>
      <c r="C1621" s="66" t="n"/>
      <c r="D1621" s="67" t="n"/>
      <c r="E1621" s="68" t="n"/>
      <c r="F1621" s="47">
        <f>IF(A1621="","",IF(MIN(H1621,MAX(J1621:K1621))=0,"",MIN(H1621,MAX(J1621:K1621))))</f>
        <v/>
      </c>
      <c r="G1621" s="74" t="n"/>
      <c r="H1621" s="49">
        <f>IF(M1621="","",IFERROR(ROUND(AVERAGE(T1621+M1621*{7,8,9,10,11})/1.21,4),""))</f>
        <v/>
      </c>
      <c r="I1621" s="76" t="n"/>
      <c r="J1621" s="77" t="n"/>
      <c r="K1621" s="74" t="n"/>
      <c r="L1621" s="78" t="n"/>
      <c r="M1621" s="77" t="n"/>
      <c r="N1621" s="53">
        <f>IF(M1621="","",IFERROR(M1621/I1621,""))</f>
        <v/>
      </c>
      <c r="O1621" s="50">
        <f>IF(A1621="","",IFERROR((IF(G1621="",I1621,G1621)-T1621)/M1621,""))</f>
        <v/>
      </c>
      <c r="P1621" s="50">
        <f>IFERROR((I1621/T1621-1)/N1621,"")</f>
        <v/>
      </c>
      <c r="Q1621" s="46">
        <f>IF(OR(T1621="",I1621&lt;T1621),"",IFERROR(R1621/IF(G1621="",I1621,G1621)-1,""))</f>
        <v/>
      </c>
      <c r="R1621" s="48">
        <f>IF($M1621="","",MAX(IF($G1621="",$I1621,$G1621)*(1/1.1),IF($G1621="",$I1621,$G1621)+(R$2*$M1621)))</f>
        <v/>
      </c>
      <c r="S1621" s="49">
        <f>IF($M1621="","",MAX(IF($G1621="",$I1621,$G1621)*(1/1.1),IF($G1621="",$I1621,$G1621)+(S$2*$M1621)))</f>
        <v/>
      </c>
      <c r="T1621" s="82" t="n"/>
      <c r="U1621" s="47">
        <f>IF(OR($M1621="",$T1621=""),"",$T1621+(U$2*$M1621))</f>
        <v/>
      </c>
      <c r="V1621" s="48">
        <f>IF(OR($M1621="",$T1621=""),"",$T1621+(V$2*$M1621))</f>
        <v/>
      </c>
      <c r="W1621" s="48">
        <f>IF(OR($M1621="",$T1621=""),"",$T1621+(W$2*$M1621))</f>
        <v/>
      </c>
      <c r="X1621" s="49">
        <f>IF(OR($M1621="",$T1621=""),"",$T1621+(X$2*$M1621))</f>
        <v/>
      </c>
      <c r="Y1621" s="47">
        <f>IF(OR($M1621="",$T1621=""),"",$T1621+(Y$2*$M1621))</f>
        <v/>
      </c>
      <c r="Z1621" s="49">
        <f>IF(OR($M1621="",$T1621=""),"",$T1621+(Z$2*$M1621))</f>
        <v/>
      </c>
      <c r="AA1621" s="51">
        <f>IF(OR($M1621="",$T1621=""),"",$T1621+(AA$2*$M1621))</f>
        <v/>
      </c>
      <c r="AB1621" s="48">
        <f>IF(OR($M1621="",$T1621=""),"",$T1621+(AB$2*$M1621))</f>
        <v/>
      </c>
      <c r="AC1621" s="48">
        <f>IF(OR($M1621="",$T1621=""),"",$T1621+(AC$2*$M1621))</f>
        <v/>
      </c>
      <c r="AD1621" s="48">
        <f>IF(OR($M1621="",$T1621=""),"",$T1621+(AD$2*$M1621))</f>
        <v/>
      </c>
      <c r="AE1621" s="49">
        <f>IF(OR($M1621="",$T1621=""),"",$T1621+(AE$2*$M1621))</f>
        <v/>
      </c>
      <c r="AF1621" s="52">
        <f>IF(OR(T1621="",I1621&lt;T1621),"",IFERROR(AVERAGE(T1621+M1621*{7,8,9,10,11})/IF(G1621="",I1621,G1621)-1,""))</f>
        <v/>
      </c>
      <c r="AG1621" s="55">
        <f>IF(OR(T1621="",I1621&lt;T1621),"",IFERROR(AF1621/-(R1621/IF(G1621="",I1621,G1621)-1),""))</f>
        <v/>
      </c>
      <c r="AH1621" s="94" t="n"/>
      <c r="AI1621" s="94" t="n"/>
      <c r="AJ1621" s="94" t="n"/>
      <c r="AK1621" s="94" t="n"/>
      <c r="AL1621" s="84" t="n"/>
    </row>
    <row r="1622">
      <c r="A1622" s="64" t="n"/>
      <c r="B1622" s="65" t="n"/>
      <c r="C1622" s="66" t="n"/>
      <c r="D1622" s="67" t="n"/>
      <c r="E1622" s="68" t="n"/>
      <c r="F1622" s="47">
        <f>IF(A1622="","",IF(MIN(H1622,MAX(J1622:K1622))=0,"",MIN(H1622,MAX(J1622:K1622))))</f>
        <v/>
      </c>
      <c r="G1622" s="74" t="n"/>
      <c r="H1622" s="49">
        <f>IF(M1622="","",IFERROR(ROUND(AVERAGE(T1622+M1622*{7,8,9,10,11})/1.21,4),""))</f>
        <v/>
      </c>
      <c r="I1622" s="76" t="n"/>
      <c r="J1622" s="77" t="n"/>
      <c r="K1622" s="74" t="n"/>
      <c r="L1622" s="78" t="n"/>
      <c r="M1622" s="77" t="n"/>
      <c r="N1622" s="53">
        <f>IF(M1622="","",IFERROR(M1622/I1622,""))</f>
        <v/>
      </c>
      <c r="O1622" s="50">
        <f>IF(A1622="","",IFERROR((IF(G1622="",I1622,G1622)-T1622)/M1622,""))</f>
        <v/>
      </c>
      <c r="P1622" s="50">
        <f>IFERROR((I1622/T1622-1)/N1622,"")</f>
        <v/>
      </c>
      <c r="Q1622" s="46">
        <f>IF(OR(T1622="",I1622&lt;T1622),"",IFERROR(R1622/IF(G1622="",I1622,G1622)-1,""))</f>
        <v/>
      </c>
      <c r="R1622" s="48">
        <f>IF($M1622="","",MAX(IF($G1622="",$I1622,$G1622)*(1/1.1),IF($G1622="",$I1622,$G1622)+(R$2*$M1622)))</f>
        <v/>
      </c>
      <c r="S1622" s="49">
        <f>IF($M1622="","",MAX(IF($G1622="",$I1622,$G1622)*(1/1.1),IF($G1622="",$I1622,$G1622)+(S$2*$M1622)))</f>
        <v/>
      </c>
      <c r="T1622" s="82" t="n"/>
      <c r="U1622" s="47">
        <f>IF(OR($M1622="",$T1622=""),"",$T1622+(U$2*$M1622))</f>
        <v/>
      </c>
      <c r="V1622" s="48">
        <f>IF(OR($M1622="",$T1622=""),"",$T1622+(V$2*$M1622))</f>
        <v/>
      </c>
      <c r="W1622" s="48">
        <f>IF(OR($M1622="",$T1622=""),"",$T1622+(W$2*$M1622))</f>
        <v/>
      </c>
      <c r="X1622" s="49">
        <f>IF(OR($M1622="",$T1622=""),"",$T1622+(X$2*$M1622))</f>
        <v/>
      </c>
      <c r="Y1622" s="47">
        <f>IF(OR($M1622="",$T1622=""),"",$T1622+(Y$2*$M1622))</f>
        <v/>
      </c>
      <c r="Z1622" s="49">
        <f>IF(OR($M1622="",$T1622=""),"",$T1622+(Z$2*$M1622))</f>
        <v/>
      </c>
      <c r="AA1622" s="51">
        <f>IF(OR($M1622="",$T1622=""),"",$T1622+(AA$2*$M1622))</f>
        <v/>
      </c>
      <c r="AB1622" s="48">
        <f>IF(OR($M1622="",$T1622=""),"",$T1622+(AB$2*$M1622))</f>
        <v/>
      </c>
      <c r="AC1622" s="48">
        <f>IF(OR($M1622="",$T1622=""),"",$T1622+(AC$2*$M1622))</f>
        <v/>
      </c>
      <c r="AD1622" s="48">
        <f>IF(OR($M1622="",$T1622=""),"",$T1622+(AD$2*$M1622))</f>
        <v/>
      </c>
      <c r="AE1622" s="49">
        <f>IF(OR($M1622="",$T1622=""),"",$T1622+(AE$2*$M1622))</f>
        <v/>
      </c>
      <c r="AF1622" s="52">
        <f>IF(OR(T1622="",I1622&lt;T1622),"",IFERROR(AVERAGE(T1622+M1622*{7,8,9,10,11})/IF(G1622="",I1622,G1622)-1,""))</f>
        <v/>
      </c>
      <c r="AG1622" s="55">
        <f>IF(OR(T1622="",I1622&lt;T1622),"",IFERROR(AF1622/-(R1622/IF(G1622="",I1622,G1622)-1),""))</f>
        <v/>
      </c>
      <c r="AH1622" s="94" t="n"/>
      <c r="AI1622" s="94" t="n"/>
      <c r="AJ1622" s="94" t="n"/>
      <c r="AK1622" s="94" t="n"/>
      <c r="AL1622" s="84" t="n"/>
    </row>
    <row r="1623">
      <c r="A1623" s="64" t="n"/>
      <c r="B1623" s="65" t="n"/>
      <c r="C1623" s="66" t="n"/>
      <c r="D1623" s="67" t="n"/>
      <c r="E1623" s="68" t="n"/>
      <c r="F1623" s="47">
        <f>IF(A1623="","",IF(MIN(H1623,MAX(J1623:K1623))=0,"",MIN(H1623,MAX(J1623:K1623))))</f>
        <v/>
      </c>
      <c r="G1623" s="74" t="n"/>
      <c r="H1623" s="49">
        <f>IF(M1623="","",IFERROR(ROUND(AVERAGE(T1623+M1623*{7,8,9,10,11})/1.21,4),""))</f>
        <v/>
      </c>
      <c r="I1623" s="76" t="n"/>
      <c r="J1623" s="77" t="n"/>
      <c r="K1623" s="74" t="n"/>
      <c r="L1623" s="78" t="n"/>
      <c r="M1623" s="77" t="n"/>
      <c r="N1623" s="53">
        <f>IF(M1623="","",IFERROR(M1623/I1623,""))</f>
        <v/>
      </c>
      <c r="O1623" s="50">
        <f>IF(A1623="","",IFERROR((IF(G1623="",I1623,G1623)-T1623)/M1623,""))</f>
        <v/>
      </c>
      <c r="P1623" s="50">
        <f>IFERROR((I1623/T1623-1)/N1623,"")</f>
        <v/>
      </c>
      <c r="Q1623" s="46">
        <f>IF(OR(T1623="",I1623&lt;T1623),"",IFERROR(R1623/IF(G1623="",I1623,G1623)-1,""))</f>
        <v/>
      </c>
      <c r="R1623" s="48">
        <f>IF($M1623="","",MAX(IF($G1623="",$I1623,$G1623)*(1/1.1),IF($G1623="",$I1623,$G1623)+(R$2*$M1623)))</f>
        <v/>
      </c>
      <c r="S1623" s="49">
        <f>IF($M1623="","",MAX(IF($G1623="",$I1623,$G1623)*(1/1.1),IF($G1623="",$I1623,$G1623)+(S$2*$M1623)))</f>
        <v/>
      </c>
      <c r="T1623" s="82" t="n"/>
      <c r="U1623" s="47">
        <f>IF(OR($M1623="",$T1623=""),"",$T1623+(U$2*$M1623))</f>
        <v/>
      </c>
      <c r="V1623" s="48">
        <f>IF(OR($M1623="",$T1623=""),"",$T1623+(V$2*$M1623))</f>
        <v/>
      </c>
      <c r="W1623" s="48">
        <f>IF(OR($M1623="",$T1623=""),"",$T1623+(W$2*$M1623))</f>
        <v/>
      </c>
      <c r="X1623" s="49">
        <f>IF(OR($M1623="",$T1623=""),"",$T1623+(X$2*$M1623))</f>
        <v/>
      </c>
      <c r="Y1623" s="47">
        <f>IF(OR($M1623="",$T1623=""),"",$T1623+(Y$2*$M1623))</f>
        <v/>
      </c>
      <c r="Z1623" s="49">
        <f>IF(OR($M1623="",$T1623=""),"",$T1623+(Z$2*$M1623))</f>
        <v/>
      </c>
      <c r="AA1623" s="51">
        <f>IF(OR($M1623="",$T1623=""),"",$T1623+(AA$2*$M1623))</f>
        <v/>
      </c>
      <c r="AB1623" s="48">
        <f>IF(OR($M1623="",$T1623=""),"",$T1623+(AB$2*$M1623))</f>
        <v/>
      </c>
      <c r="AC1623" s="48">
        <f>IF(OR($M1623="",$T1623=""),"",$T1623+(AC$2*$M1623))</f>
        <v/>
      </c>
      <c r="AD1623" s="48">
        <f>IF(OR($M1623="",$T1623=""),"",$T1623+(AD$2*$M1623))</f>
        <v/>
      </c>
      <c r="AE1623" s="49">
        <f>IF(OR($M1623="",$T1623=""),"",$T1623+(AE$2*$M1623))</f>
        <v/>
      </c>
      <c r="AF1623" s="52">
        <f>IF(OR(T1623="",I1623&lt;T1623),"",IFERROR(AVERAGE(T1623+M1623*{7,8,9,10,11})/IF(G1623="",I1623,G1623)-1,""))</f>
        <v/>
      </c>
      <c r="AG1623" s="55">
        <f>IF(OR(T1623="",I1623&lt;T1623),"",IFERROR(AF1623/-(R1623/IF(G1623="",I1623,G1623)-1),""))</f>
        <v/>
      </c>
      <c r="AH1623" s="94" t="n"/>
      <c r="AI1623" s="94" t="n"/>
      <c r="AJ1623" s="94" t="n"/>
      <c r="AK1623" s="94" t="n"/>
      <c r="AL1623" s="84" t="n"/>
    </row>
    <row r="1624">
      <c r="A1624" s="64" t="n"/>
      <c r="B1624" s="65" t="n"/>
      <c r="C1624" s="66" t="n"/>
      <c r="D1624" s="67" t="n"/>
      <c r="E1624" s="68" t="n"/>
      <c r="F1624" s="47">
        <f>IF(A1624="","",IF(MIN(H1624,MAX(J1624:K1624))=0,"",MIN(H1624,MAX(J1624:K1624))))</f>
        <v/>
      </c>
      <c r="G1624" s="74" t="n"/>
      <c r="H1624" s="49">
        <f>IF(M1624="","",IFERROR(ROUND(AVERAGE(T1624+M1624*{7,8,9,10,11})/1.21,4),""))</f>
        <v/>
      </c>
      <c r="I1624" s="76" t="n"/>
      <c r="J1624" s="77" t="n"/>
      <c r="K1624" s="74" t="n"/>
      <c r="L1624" s="78" t="n"/>
      <c r="M1624" s="77" t="n"/>
      <c r="N1624" s="53">
        <f>IF(M1624="","",IFERROR(M1624/I1624,""))</f>
        <v/>
      </c>
      <c r="O1624" s="50">
        <f>IF(A1624="","",IFERROR((IF(G1624="",I1624,G1624)-T1624)/M1624,""))</f>
        <v/>
      </c>
      <c r="P1624" s="50">
        <f>IFERROR((I1624/T1624-1)/N1624,"")</f>
        <v/>
      </c>
      <c r="Q1624" s="46">
        <f>IF(OR(T1624="",I1624&lt;T1624),"",IFERROR(R1624/IF(G1624="",I1624,G1624)-1,""))</f>
        <v/>
      </c>
      <c r="R1624" s="48">
        <f>IF($M1624="","",MAX(IF($G1624="",$I1624,$G1624)*(1/1.1),IF($G1624="",$I1624,$G1624)+(R$2*$M1624)))</f>
        <v/>
      </c>
      <c r="S1624" s="49">
        <f>IF($M1624="","",MAX(IF($G1624="",$I1624,$G1624)*(1/1.1),IF($G1624="",$I1624,$G1624)+(S$2*$M1624)))</f>
        <v/>
      </c>
      <c r="T1624" s="82" t="n"/>
      <c r="U1624" s="47">
        <f>IF(OR($M1624="",$T1624=""),"",$T1624+(U$2*$M1624))</f>
        <v/>
      </c>
      <c r="V1624" s="48">
        <f>IF(OR($M1624="",$T1624=""),"",$T1624+(V$2*$M1624))</f>
        <v/>
      </c>
      <c r="W1624" s="48">
        <f>IF(OR($M1624="",$T1624=""),"",$T1624+(W$2*$M1624))</f>
        <v/>
      </c>
      <c r="X1624" s="49">
        <f>IF(OR($M1624="",$T1624=""),"",$T1624+(X$2*$M1624))</f>
        <v/>
      </c>
      <c r="Y1624" s="47">
        <f>IF(OR($M1624="",$T1624=""),"",$T1624+(Y$2*$M1624))</f>
        <v/>
      </c>
      <c r="Z1624" s="49">
        <f>IF(OR($M1624="",$T1624=""),"",$T1624+(Z$2*$M1624))</f>
        <v/>
      </c>
      <c r="AA1624" s="51">
        <f>IF(OR($M1624="",$T1624=""),"",$T1624+(AA$2*$M1624))</f>
        <v/>
      </c>
      <c r="AB1624" s="48">
        <f>IF(OR($M1624="",$T1624=""),"",$T1624+(AB$2*$M1624))</f>
        <v/>
      </c>
      <c r="AC1624" s="48">
        <f>IF(OR($M1624="",$T1624=""),"",$T1624+(AC$2*$M1624))</f>
        <v/>
      </c>
      <c r="AD1624" s="48">
        <f>IF(OR($M1624="",$T1624=""),"",$T1624+(AD$2*$M1624))</f>
        <v/>
      </c>
      <c r="AE1624" s="49">
        <f>IF(OR($M1624="",$T1624=""),"",$T1624+(AE$2*$M1624))</f>
        <v/>
      </c>
      <c r="AF1624" s="52">
        <f>IF(OR(T1624="",I1624&lt;T1624),"",IFERROR(AVERAGE(T1624+M1624*{7,8,9,10,11})/IF(G1624="",I1624,G1624)-1,""))</f>
        <v/>
      </c>
      <c r="AG1624" s="55">
        <f>IF(OR(T1624="",I1624&lt;T1624),"",IFERROR(AF1624/-(R1624/IF(G1624="",I1624,G1624)-1),""))</f>
        <v/>
      </c>
      <c r="AH1624" s="94" t="n"/>
      <c r="AI1624" s="94" t="n"/>
      <c r="AJ1624" s="94" t="n"/>
      <c r="AK1624" s="94" t="n"/>
      <c r="AL1624" s="84" t="n"/>
    </row>
    <row r="1625">
      <c r="A1625" s="64" t="n"/>
      <c r="B1625" s="65" t="n"/>
      <c r="C1625" s="66" t="n"/>
      <c r="D1625" s="67" t="n"/>
      <c r="E1625" s="68" t="n"/>
      <c r="F1625" s="47">
        <f>IF(A1625="","",IF(MIN(H1625,MAX(J1625:K1625))=0,"",MIN(H1625,MAX(J1625:K1625))))</f>
        <v/>
      </c>
      <c r="G1625" s="74" t="n"/>
      <c r="H1625" s="49">
        <f>IF(M1625="","",IFERROR(ROUND(AVERAGE(T1625+M1625*{7,8,9,10,11})/1.21,4),""))</f>
        <v/>
      </c>
      <c r="I1625" s="76" t="n"/>
      <c r="J1625" s="77" t="n"/>
      <c r="K1625" s="74" t="n"/>
      <c r="L1625" s="78" t="n"/>
      <c r="M1625" s="77" t="n"/>
      <c r="N1625" s="53">
        <f>IF(M1625="","",IFERROR(M1625/I1625,""))</f>
        <v/>
      </c>
      <c r="O1625" s="50">
        <f>IF(A1625="","",IFERROR((IF(G1625="",I1625,G1625)-T1625)/M1625,""))</f>
        <v/>
      </c>
      <c r="P1625" s="50">
        <f>IFERROR((I1625/T1625-1)/N1625,"")</f>
        <v/>
      </c>
      <c r="Q1625" s="46">
        <f>IF(OR(T1625="",I1625&lt;T1625),"",IFERROR(R1625/IF(G1625="",I1625,G1625)-1,""))</f>
        <v/>
      </c>
      <c r="R1625" s="48">
        <f>IF($M1625="","",MAX(IF($G1625="",$I1625,$G1625)*(1/1.1),IF($G1625="",$I1625,$G1625)+(R$2*$M1625)))</f>
        <v/>
      </c>
      <c r="S1625" s="49">
        <f>IF($M1625="","",MAX(IF($G1625="",$I1625,$G1625)*(1/1.1),IF($G1625="",$I1625,$G1625)+(S$2*$M1625)))</f>
        <v/>
      </c>
      <c r="T1625" s="82" t="n"/>
      <c r="U1625" s="47">
        <f>IF(OR($M1625="",$T1625=""),"",$T1625+(U$2*$M1625))</f>
        <v/>
      </c>
      <c r="V1625" s="48">
        <f>IF(OR($M1625="",$T1625=""),"",$T1625+(V$2*$M1625))</f>
        <v/>
      </c>
      <c r="W1625" s="48">
        <f>IF(OR($M1625="",$T1625=""),"",$T1625+(W$2*$M1625))</f>
        <v/>
      </c>
      <c r="X1625" s="49">
        <f>IF(OR($M1625="",$T1625=""),"",$T1625+(X$2*$M1625))</f>
        <v/>
      </c>
      <c r="Y1625" s="47">
        <f>IF(OR($M1625="",$T1625=""),"",$T1625+(Y$2*$M1625))</f>
        <v/>
      </c>
      <c r="Z1625" s="49">
        <f>IF(OR($M1625="",$T1625=""),"",$T1625+(Z$2*$M1625))</f>
        <v/>
      </c>
      <c r="AA1625" s="51">
        <f>IF(OR($M1625="",$T1625=""),"",$T1625+(AA$2*$M1625))</f>
        <v/>
      </c>
      <c r="AB1625" s="48">
        <f>IF(OR($M1625="",$T1625=""),"",$T1625+(AB$2*$M1625))</f>
        <v/>
      </c>
      <c r="AC1625" s="48">
        <f>IF(OR($M1625="",$T1625=""),"",$T1625+(AC$2*$M1625))</f>
        <v/>
      </c>
      <c r="AD1625" s="48">
        <f>IF(OR($M1625="",$T1625=""),"",$T1625+(AD$2*$M1625))</f>
        <v/>
      </c>
      <c r="AE1625" s="49">
        <f>IF(OR($M1625="",$T1625=""),"",$T1625+(AE$2*$M1625))</f>
        <v/>
      </c>
      <c r="AF1625" s="52">
        <f>IF(OR(T1625="",I1625&lt;T1625),"",IFERROR(AVERAGE(T1625+M1625*{7,8,9,10,11})/IF(G1625="",I1625,G1625)-1,""))</f>
        <v/>
      </c>
      <c r="AG1625" s="55">
        <f>IF(OR(T1625="",I1625&lt;T1625),"",IFERROR(AF1625/-(R1625/IF(G1625="",I1625,G1625)-1),""))</f>
        <v/>
      </c>
      <c r="AH1625" s="94" t="n"/>
      <c r="AI1625" s="94" t="n"/>
      <c r="AJ1625" s="94" t="n"/>
      <c r="AK1625" s="94" t="n"/>
      <c r="AL1625" s="84" t="n"/>
    </row>
    <row r="1626">
      <c r="A1626" s="64" t="n"/>
      <c r="B1626" s="65" t="n"/>
      <c r="C1626" s="66" t="n"/>
      <c r="D1626" s="67" t="n"/>
      <c r="E1626" s="68" t="n"/>
      <c r="F1626" s="47">
        <f>IF(A1626="","",IF(MIN(H1626,MAX(J1626:K1626))=0,"",MIN(H1626,MAX(J1626:K1626))))</f>
        <v/>
      </c>
      <c r="G1626" s="74" t="n"/>
      <c r="H1626" s="49">
        <f>IF(M1626="","",IFERROR(ROUND(AVERAGE(T1626+M1626*{7,8,9,10,11})/1.21,4),""))</f>
        <v/>
      </c>
      <c r="I1626" s="76" t="n"/>
      <c r="J1626" s="77" t="n"/>
      <c r="K1626" s="74" t="n"/>
      <c r="L1626" s="78" t="n"/>
      <c r="M1626" s="77" t="n"/>
      <c r="N1626" s="53">
        <f>IF(M1626="","",IFERROR(M1626/I1626,""))</f>
        <v/>
      </c>
      <c r="O1626" s="50">
        <f>IF(A1626="","",IFERROR((IF(G1626="",I1626,G1626)-T1626)/M1626,""))</f>
        <v/>
      </c>
      <c r="P1626" s="50">
        <f>IFERROR((I1626/T1626-1)/N1626,"")</f>
        <v/>
      </c>
      <c r="Q1626" s="46">
        <f>IF(OR(T1626="",I1626&lt;T1626),"",IFERROR(R1626/IF(G1626="",I1626,G1626)-1,""))</f>
        <v/>
      </c>
      <c r="R1626" s="48">
        <f>IF($M1626="","",MAX(IF($G1626="",$I1626,$G1626)*(1/1.1),IF($G1626="",$I1626,$G1626)+(R$2*$M1626)))</f>
        <v/>
      </c>
      <c r="S1626" s="49">
        <f>IF($M1626="","",MAX(IF($G1626="",$I1626,$G1626)*(1/1.1),IF($G1626="",$I1626,$G1626)+(S$2*$M1626)))</f>
        <v/>
      </c>
      <c r="T1626" s="82" t="n"/>
      <c r="U1626" s="47">
        <f>IF(OR($M1626="",$T1626=""),"",$T1626+(U$2*$M1626))</f>
        <v/>
      </c>
      <c r="V1626" s="48">
        <f>IF(OR($M1626="",$T1626=""),"",$T1626+(V$2*$M1626))</f>
        <v/>
      </c>
      <c r="W1626" s="48">
        <f>IF(OR($M1626="",$T1626=""),"",$T1626+(W$2*$M1626))</f>
        <v/>
      </c>
      <c r="X1626" s="49">
        <f>IF(OR($M1626="",$T1626=""),"",$T1626+(X$2*$M1626))</f>
        <v/>
      </c>
      <c r="Y1626" s="47">
        <f>IF(OR($M1626="",$T1626=""),"",$T1626+(Y$2*$M1626))</f>
        <v/>
      </c>
      <c r="Z1626" s="49">
        <f>IF(OR($M1626="",$T1626=""),"",$T1626+(Z$2*$M1626))</f>
        <v/>
      </c>
      <c r="AA1626" s="51">
        <f>IF(OR($M1626="",$T1626=""),"",$T1626+(AA$2*$M1626))</f>
        <v/>
      </c>
      <c r="AB1626" s="48">
        <f>IF(OR($M1626="",$T1626=""),"",$T1626+(AB$2*$M1626))</f>
        <v/>
      </c>
      <c r="AC1626" s="48">
        <f>IF(OR($M1626="",$T1626=""),"",$T1626+(AC$2*$M1626))</f>
        <v/>
      </c>
      <c r="AD1626" s="48">
        <f>IF(OR($M1626="",$T1626=""),"",$T1626+(AD$2*$M1626))</f>
        <v/>
      </c>
      <c r="AE1626" s="49">
        <f>IF(OR($M1626="",$T1626=""),"",$T1626+(AE$2*$M1626))</f>
        <v/>
      </c>
      <c r="AF1626" s="52">
        <f>IF(OR(T1626="",I1626&lt;T1626),"",IFERROR(AVERAGE(T1626+M1626*{7,8,9,10,11})/IF(G1626="",I1626,G1626)-1,""))</f>
        <v/>
      </c>
      <c r="AG1626" s="55">
        <f>IF(OR(T1626="",I1626&lt;T1626),"",IFERROR(AF1626/-(R1626/IF(G1626="",I1626,G1626)-1),""))</f>
        <v/>
      </c>
      <c r="AH1626" s="94" t="n"/>
      <c r="AI1626" s="94" t="n"/>
      <c r="AJ1626" s="94" t="n"/>
      <c r="AK1626" s="94" t="n"/>
      <c r="AL1626" s="84" t="n"/>
    </row>
    <row r="1627">
      <c r="A1627" s="64" t="n"/>
      <c r="B1627" s="65" t="n"/>
      <c r="C1627" s="66" t="n"/>
      <c r="D1627" s="67" t="n"/>
      <c r="E1627" s="68" t="n"/>
      <c r="F1627" s="47">
        <f>IF(A1627="","",IF(MIN(H1627,MAX(J1627:K1627))=0,"",MIN(H1627,MAX(J1627:K1627))))</f>
        <v/>
      </c>
      <c r="G1627" s="74" t="n"/>
      <c r="H1627" s="49">
        <f>IF(M1627="","",IFERROR(ROUND(AVERAGE(T1627+M1627*{7,8,9,10,11})/1.21,4),""))</f>
        <v/>
      </c>
      <c r="I1627" s="76" t="n"/>
      <c r="J1627" s="77" t="n"/>
      <c r="K1627" s="74" t="n"/>
      <c r="L1627" s="78" t="n"/>
      <c r="M1627" s="77" t="n"/>
      <c r="N1627" s="53">
        <f>IF(M1627="","",IFERROR(M1627/I1627,""))</f>
        <v/>
      </c>
      <c r="O1627" s="50">
        <f>IF(A1627="","",IFERROR((IF(G1627="",I1627,G1627)-T1627)/M1627,""))</f>
        <v/>
      </c>
      <c r="P1627" s="50">
        <f>IFERROR((I1627/T1627-1)/N1627,"")</f>
        <v/>
      </c>
      <c r="Q1627" s="46">
        <f>IF(OR(T1627="",I1627&lt;T1627),"",IFERROR(R1627/IF(G1627="",I1627,G1627)-1,""))</f>
        <v/>
      </c>
      <c r="R1627" s="48">
        <f>IF($M1627="","",MAX(IF($G1627="",$I1627,$G1627)*(1/1.1),IF($G1627="",$I1627,$G1627)+(R$2*$M1627)))</f>
        <v/>
      </c>
      <c r="S1627" s="49">
        <f>IF($M1627="","",MAX(IF($G1627="",$I1627,$G1627)*(1/1.1),IF($G1627="",$I1627,$G1627)+(S$2*$M1627)))</f>
        <v/>
      </c>
      <c r="T1627" s="82" t="n"/>
      <c r="U1627" s="47">
        <f>IF(OR($M1627="",$T1627=""),"",$T1627+(U$2*$M1627))</f>
        <v/>
      </c>
      <c r="V1627" s="48">
        <f>IF(OR($M1627="",$T1627=""),"",$T1627+(V$2*$M1627))</f>
        <v/>
      </c>
      <c r="W1627" s="48">
        <f>IF(OR($M1627="",$T1627=""),"",$T1627+(W$2*$M1627))</f>
        <v/>
      </c>
      <c r="X1627" s="49">
        <f>IF(OR($M1627="",$T1627=""),"",$T1627+(X$2*$M1627))</f>
        <v/>
      </c>
      <c r="Y1627" s="47">
        <f>IF(OR($M1627="",$T1627=""),"",$T1627+(Y$2*$M1627))</f>
        <v/>
      </c>
      <c r="Z1627" s="49">
        <f>IF(OR($M1627="",$T1627=""),"",$T1627+(Z$2*$M1627))</f>
        <v/>
      </c>
      <c r="AA1627" s="51">
        <f>IF(OR($M1627="",$T1627=""),"",$T1627+(AA$2*$M1627))</f>
        <v/>
      </c>
      <c r="AB1627" s="48">
        <f>IF(OR($M1627="",$T1627=""),"",$T1627+(AB$2*$M1627))</f>
        <v/>
      </c>
      <c r="AC1627" s="48">
        <f>IF(OR($M1627="",$T1627=""),"",$T1627+(AC$2*$M1627))</f>
        <v/>
      </c>
      <c r="AD1627" s="48">
        <f>IF(OR($M1627="",$T1627=""),"",$T1627+(AD$2*$M1627))</f>
        <v/>
      </c>
      <c r="AE1627" s="49">
        <f>IF(OR($M1627="",$T1627=""),"",$T1627+(AE$2*$M1627))</f>
        <v/>
      </c>
      <c r="AF1627" s="52">
        <f>IF(OR(T1627="",I1627&lt;T1627),"",IFERROR(AVERAGE(T1627+M1627*{7,8,9,10,11})/IF(G1627="",I1627,G1627)-1,""))</f>
        <v/>
      </c>
      <c r="AG1627" s="55">
        <f>IF(OR(T1627="",I1627&lt;T1627),"",IFERROR(AF1627/-(R1627/IF(G1627="",I1627,G1627)-1),""))</f>
        <v/>
      </c>
      <c r="AH1627" s="94" t="n"/>
      <c r="AI1627" s="94" t="n"/>
      <c r="AJ1627" s="94" t="n"/>
      <c r="AK1627" s="94" t="n"/>
      <c r="AL1627" s="84" t="n"/>
    </row>
    <row r="1628">
      <c r="A1628" s="64" t="n"/>
      <c r="B1628" s="65" t="n"/>
      <c r="C1628" s="66" t="n"/>
      <c r="D1628" s="67" t="n"/>
      <c r="E1628" s="68" t="n"/>
      <c r="F1628" s="47">
        <f>IF(A1628="","",IF(MIN(H1628,MAX(J1628:K1628))=0,"",MIN(H1628,MAX(J1628:K1628))))</f>
        <v/>
      </c>
      <c r="G1628" s="74" t="n"/>
      <c r="H1628" s="49">
        <f>IF(M1628="","",IFERROR(ROUND(AVERAGE(T1628+M1628*{7,8,9,10,11})/1.21,4),""))</f>
        <v/>
      </c>
      <c r="I1628" s="76" t="n"/>
      <c r="J1628" s="77" t="n"/>
      <c r="K1628" s="74" t="n"/>
      <c r="L1628" s="78" t="n"/>
      <c r="M1628" s="77" t="n"/>
      <c r="N1628" s="53">
        <f>IF(M1628="","",IFERROR(M1628/I1628,""))</f>
        <v/>
      </c>
      <c r="O1628" s="50">
        <f>IF(A1628="","",IFERROR((IF(G1628="",I1628,G1628)-T1628)/M1628,""))</f>
        <v/>
      </c>
      <c r="P1628" s="50">
        <f>IFERROR((I1628/T1628-1)/N1628,"")</f>
        <v/>
      </c>
      <c r="Q1628" s="46">
        <f>IF(OR(T1628="",I1628&lt;T1628),"",IFERROR(R1628/IF(G1628="",I1628,G1628)-1,""))</f>
        <v/>
      </c>
      <c r="R1628" s="48">
        <f>IF($M1628="","",MAX(IF($G1628="",$I1628,$G1628)*(1/1.1),IF($G1628="",$I1628,$G1628)+(R$2*$M1628)))</f>
        <v/>
      </c>
      <c r="S1628" s="49">
        <f>IF($M1628="","",MAX(IF($G1628="",$I1628,$G1628)*(1/1.1),IF($G1628="",$I1628,$G1628)+(S$2*$M1628)))</f>
        <v/>
      </c>
      <c r="T1628" s="82" t="n"/>
      <c r="U1628" s="47">
        <f>IF(OR($M1628="",$T1628=""),"",$T1628+(U$2*$M1628))</f>
        <v/>
      </c>
      <c r="V1628" s="48">
        <f>IF(OR($M1628="",$T1628=""),"",$T1628+(V$2*$M1628))</f>
        <v/>
      </c>
      <c r="W1628" s="48">
        <f>IF(OR($M1628="",$T1628=""),"",$T1628+(W$2*$M1628))</f>
        <v/>
      </c>
      <c r="X1628" s="49">
        <f>IF(OR($M1628="",$T1628=""),"",$T1628+(X$2*$M1628))</f>
        <v/>
      </c>
      <c r="Y1628" s="47">
        <f>IF(OR($M1628="",$T1628=""),"",$T1628+(Y$2*$M1628))</f>
        <v/>
      </c>
      <c r="Z1628" s="49">
        <f>IF(OR($M1628="",$T1628=""),"",$T1628+(Z$2*$M1628))</f>
        <v/>
      </c>
      <c r="AA1628" s="51">
        <f>IF(OR($M1628="",$T1628=""),"",$T1628+(AA$2*$M1628))</f>
        <v/>
      </c>
      <c r="AB1628" s="48">
        <f>IF(OR($M1628="",$T1628=""),"",$T1628+(AB$2*$M1628))</f>
        <v/>
      </c>
      <c r="AC1628" s="48">
        <f>IF(OR($M1628="",$T1628=""),"",$T1628+(AC$2*$M1628))</f>
        <v/>
      </c>
      <c r="AD1628" s="48">
        <f>IF(OR($M1628="",$T1628=""),"",$T1628+(AD$2*$M1628))</f>
        <v/>
      </c>
      <c r="AE1628" s="49">
        <f>IF(OR($M1628="",$T1628=""),"",$T1628+(AE$2*$M1628))</f>
        <v/>
      </c>
      <c r="AF1628" s="52">
        <f>IF(OR(T1628="",I1628&lt;T1628),"",IFERROR(AVERAGE(T1628+M1628*{7,8,9,10,11})/IF(G1628="",I1628,G1628)-1,""))</f>
        <v/>
      </c>
      <c r="AG1628" s="55">
        <f>IF(OR(T1628="",I1628&lt;T1628),"",IFERROR(AF1628/-(R1628/IF(G1628="",I1628,G1628)-1),""))</f>
        <v/>
      </c>
      <c r="AH1628" s="94" t="n"/>
      <c r="AI1628" s="94" t="n"/>
      <c r="AJ1628" s="94" t="n"/>
      <c r="AK1628" s="94" t="n"/>
      <c r="AL1628" s="84" t="n"/>
    </row>
    <row r="1629">
      <c r="A1629" s="64" t="n"/>
      <c r="B1629" s="65" t="n"/>
      <c r="C1629" s="66" t="n"/>
      <c r="D1629" s="67" t="n"/>
      <c r="E1629" s="68" t="n"/>
      <c r="F1629" s="47">
        <f>IF(A1629="","",IF(MIN(H1629,MAX(J1629:K1629))=0,"",MIN(H1629,MAX(J1629:K1629))))</f>
        <v/>
      </c>
      <c r="G1629" s="74" t="n"/>
      <c r="H1629" s="49">
        <f>IF(M1629="","",IFERROR(ROUND(AVERAGE(T1629+M1629*{7,8,9,10,11})/1.21,4),""))</f>
        <v/>
      </c>
      <c r="I1629" s="76" t="n"/>
      <c r="J1629" s="77" t="n"/>
      <c r="K1629" s="74" t="n"/>
      <c r="L1629" s="78" t="n"/>
      <c r="M1629" s="77" t="n"/>
      <c r="N1629" s="53">
        <f>IF(M1629="","",IFERROR(M1629/I1629,""))</f>
        <v/>
      </c>
      <c r="O1629" s="50">
        <f>IF(A1629="","",IFERROR((IF(G1629="",I1629,G1629)-T1629)/M1629,""))</f>
        <v/>
      </c>
      <c r="P1629" s="50">
        <f>IFERROR((I1629/T1629-1)/N1629,"")</f>
        <v/>
      </c>
      <c r="Q1629" s="46">
        <f>IF(OR(T1629="",I1629&lt;T1629),"",IFERROR(R1629/IF(G1629="",I1629,G1629)-1,""))</f>
        <v/>
      </c>
      <c r="R1629" s="48">
        <f>IF($M1629="","",MAX(IF($G1629="",$I1629,$G1629)*(1/1.1),IF($G1629="",$I1629,$G1629)+(R$2*$M1629)))</f>
        <v/>
      </c>
      <c r="S1629" s="49">
        <f>IF($M1629="","",MAX(IF($G1629="",$I1629,$G1629)*(1/1.1),IF($G1629="",$I1629,$G1629)+(S$2*$M1629)))</f>
        <v/>
      </c>
      <c r="T1629" s="82" t="n"/>
      <c r="U1629" s="47">
        <f>IF(OR($M1629="",$T1629=""),"",$T1629+(U$2*$M1629))</f>
        <v/>
      </c>
      <c r="V1629" s="48">
        <f>IF(OR($M1629="",$T1629=""),"",$T1629+(V$2*$M1629))</f>
        <v/>
      </c>
      <c r="W1629" s="48">
        <f>IF(OR($M1629="",$T1629=""),"",$T1629+(W$2*$M1629))</f>
        <v/>
      </c>
      <c r="X1629" s="49">
        <f>IF(OR($M1629="",$T1629=""),"",$T1629+(X$2*$M1629))</f>
        <v/>
      </c>
      <c r="Y1629" s="47">
        <f>IF(OR($M1629="",$T1629=""),"",$T1629+(Y$2*$M1629))</f>
        <v/>
      </c>
      <c r="Z1629" s="49">
        <f>IF(OR($M1629="",$T1629=""),"",$T1629+(Z$2*$M1629))</f>
        <v/>
      </c>
      <c r="AA1629" s="51">
        <f>IF(OR($M1629="",$T1629=""),"",$T1629+(AA$2*$M1629))</f>
        <v/>
      </c>
      <c r="AB1629" s="48">
        <f>IF(OR($M1629="",$T1629=""),"",$T1629+(AB$2*$M1629))</f>
        <v/>
      </c>
      <c r="AC1629" s="48">
        <f>IF(OR($M1629="",$T1629=""),"",$T1629+(AC$2*$M1629))</f>
        <v/>
      </c>
      <c r="AD1629" s="48">
        <f>IF(OR($M1629="",$T1629=""),"",$T1629+(AD$2*$M1629))</f>
        <v/>
      </c>
      <c r="AE1629" s="49">
        <f>IF(OR($M1629="",$T1629=""),"",$T1629+(AE$2*$M1629))</f>
        <v/>
      </c>
      <c r="AF1629" s="52">
        <f>IF(OR(T1629="",I1629&lt;T1629),"",IFERROR(AVERAGE(T1629+M1629*{7,8,9,10,11})/IF(G1629="",I1629,G1629)-1,""))</f>
        <v/>
      </c>
      <c r="AG1629" s="55">
        <f>IF(OR(T1629="",I1629&lt;T1629),"",IFERROR(AF1629/-(R1629/IF(G1629="",I1629,G1629)-1),""))</f>
        <v/>
      </c>
      <c r="AH1629" s="94" t="n"/>
      <c r="AI1629" s="94" t="n"/>
      <c r="AJ1629" s="94" t="n"/>
      <c r="AK1629" s="94" t="n"/>
      <c r="AL1629" s="84" t="n"/>
    </row>
    <row r="1630">
      <c r="A1630" s="64" t="n"/>
      <c r="B1630" s="65" t="n"/>
      <c r="C1630" s="66" t="n"/>
      <c r="D1630" s="67" t="n"/>
      <c r="E1630" s="68" t="n"/>
      <c r="F1630" s="47">
        <f>IF(A1630="","",IF(MIN(H1630,MAX(J1630:K1630))=0,"",MIN(H1630,MAX(J1630:K1630))))</f>
        <v/>
      </c>
      <c r="G1630" s="74" t="n"/>
      <c r="H1630" s="49">
        <f>IF(M1630="","",IFERROR(ROUND(AVERAGE(T1630+M1630*{7,8,9,10,11})/1.21,4),""))</f>
        <v/>
      </c>
      <c r="I1630" s="76" t="n"/>
      <c r="J1630" s="77" t="n"/>
      <c r="K1630" s="74" t="n"/>
      <c r="L1630" s="78" t="n"/>
      <c r="M1630" s="77" t="n"/>
      <c r="N1630" s="53">
        <f>IF(M1630="","",IFERROR(M1630/I1630,""))</f>
        <v/>
      </c>
      <c r="O1630" s="50">
        <f>IF(A1630="","",IFERROR((IF(G1630="",I1630,G1630)-T1630)/M1630,""))</f>
        <v/>
      </c>
      <c r="P1630" s="50">
        <f>IFERROR((I1630/T1630-1)/N1630,"")</f>
        <v/>
      </c>
      <c r="Q1630" s="46">
        <f>IF(OR(T1630="",I1630&lt;T1630),"",IFERROR(R1630/IF(G1630="",I1630,G1630)-1,""))</f>
        <v/>
      </c>
      <c r="R1630" s="48">
        <f>IF($M1630="","",MAX(IF($G1630="",$I1630,$G1630)*(1/1.1),IF($G1630="",$I1630,$G1630)+(R$2*$M1630)))</f>
        <v/>
      </c>
      <c r="S1630" s="49">
        <f>IF($M1630="","",MAX(IF($G1630="",$I1630,$G1630)*(1/1.1),IF($G1630="",$I1630,$G1630)+(S$2*$M1630)))</f>
        <v/>
      </c>
      <c r="T1630" s="82" t="n"/>
      <c r="U1630" s="47">
        <f>IF(OR($M1630="",$T1630=""),"",$T1630+(U$2*$M1630))</f>
        <v/>
      </c>
      <c r="V1630" s="48">
        <f>IF(OR($M1630="",$T1630=""),"",$T1630+(V$2*$M1630))</f>
        <v/>
      </c>
      <c r="W1630" s="48">
        <f>IF(OR($M1630="",$T1630=""),"",$T1630+(W$2*$M1630))</f>
        <v/>
      </c>
      <c r="X1630" s="49">
        <f>IF(OR($M1630="",$T1630=""),"",$T1630+(X$2*$M1630))</f>
        <v/>
      </c>
      <c r="Y1630" s="47">
        <f>IF(OR($M1630="",$T1630=""),"",$T1630+(Y$2*$M1630))</f>
        <v/>
      </c>
      <c r="Z1630" s="49">
        <f>IF(OR($M1630="",$T1630=""),"",$T1630+(Z$2*$M1630))</f>
        <v/>
      </c>
      <c r="AA1630" s="51">
        <f>IF(OR($M1630="",$T1630=""),"",$T1630+(AA$2*$M1630))</f>
        <v/>
      </c>
      <c r="AB1630" s="48">
        <f>IF(OR($M1630="",$T1630=""),"",$T1630+(AB$2*$M1630))</f>
        <v/>
      </c>
      <c r="AC1630" s="48">
        <f>IF(OR($M1630="",$T1630=""),"",$T1630+(AC$2*$M1630))</f>
        <v/>
      </c>
      <c r="AD1630" s="48">
        <f>IF(OR($M1630="",$T1630=""),"",$T1630+(AD$2*$M1630))</f>
        <v/>
      </c>
      <c r="AE1630" s="49">
        <f>IF(OR($M1630="",$T1630=""),"",$T1630+(AE$2*$M1630))</f>
        <v/>
      </c>
      <c r="AF1630" s="52">
        <f>IF(OR(T1630="",I1630&lt;T1630),"",IFERROR(AVERAGE(T1630+M1630*{7,8,9,10,11})/IF(G1630="",I1630,G1630)-1,""))</f>
        <v/>
      </c>
      <c r="AG1630" s="55">
        <f>IF(OR(T1630="",I1630&lt;T1630),"",IFERROR(AF1630/-(R1630/IF(G1630="",I1630,G1630)-1),""))</f>
        <v/>
      </c>
      <c r="AH1630" s="94" t="n"/>
      <c r="AI1630" s="94" t="n"/>
      <c r="AJ1630" s="94" t="n"/>
      <c r="AK1630" s="94" t="n"/>
      <c r="AL1630" s="84" t="n"/>
    </row>
    <row r="1631">
      <c r="A1631" s="64" t="n"/>
      <c r="B1631" s="65" t="n"/>
      <c r="C1631" s="66" t="n"/>
      <c r="D1631" s="67" t="n"/>
      <c r="E1631" s="68" t="n"/>
      <c r="F1631" s="47">
        <f>IF(A1631="","",IF(MIN(H1631,MAX(J1631:K1631))=0,"",MIN(H1631,MAX(J1631:K1631))))</f>
        <v/>
      </c>
      <c r="G1631" s="74" t="n"/>
      <c r="H1631" s="49">
        <f>IF(M1631="","",IFERROR(ROUND(AVERAGE(T1631+M1631*{7,8,9,10,11})/1.21,4),""))</f>
        <v/>
      </c>
      <c r="I1631" s="76" t="n"/>
      <c r="J1631" s="77" t="n"/>
      <c r="K1631" s="74" t="n"/>
      <c r="L1631" s="78" t="n"/>
      <c r="M1631" s="77" t="n"/>
      <c r="N1631" s="53">
        <f>IF(M1631="","",IFERROR(M1631/I1631,""))</f>
        <v/>
      </c>
      <c r="O1631" s="50">
        <f>IF(A1631="","",IFERROR((IF(G1631="",I1631,G1631)-T1631)/M1631,""))</f>
        <v/>
      </c>
      <c r="P1631" s="50">
        <f>IFERROR((I1631/T1631-1)/N1631,"")</f>
        <v/>
      </c>
      <c r="Q1631" s="46">
        <f>IF(OR(T1631="",I1631&lt;T1631),"",IFERROR(R1631/IF(G1631="",I1631,G1631)-1,""))</f>
        <v/>
      </c>
      <c r="R1631" s="48">
        <f>IF($M1631="","",MAX(IF($G1631="",$I1631,$G1631)*(1/1.1),IF($G1631="",$I1631,$G1631)+(R$2*$M1631)))</f>
        <v/>
      </c>
      <c r="S1631" s="49">
        <f>IF($M1631="","",MAX(IF($G1631="",$I1631,$G1631)*(1/1.1),IF($G1631="",$I1631,$G1631)+(S$2*$M1631)))</f>
        <v/>
      </c>
      <c r="T1631" s="82" t="n"/>
      <c r="U1631" s="47">
        <f>IF(OR($M1631="",$T1631=""),"",$T1631+(U$2*$M1631))</f>
        <v/>
      </c>
      <c r="V1631" s="48">
        <f>IF(OR($M1631="",$T1631=""),"",$T1631+(V$2*$M1631))</f>
        <v/>
      </c>
      <c r="W1631" s="48">
        <f>IF(OR($M1631="",$T1631=""),"",$T1631+(W$2*$M1631))</f>
        <v/>
      </c>
      <c r="X1631" s="49">
        <f>IF(OR($M1631="",$T1631=""),"",$T1631+(X$2*$M1631))</f>
        <v/>
      </c>
      <c r="Y1631" s="47">
        <f>IF(OR($M1631="",$T1631=""),"",$T1631+(Y$2*$M1631))</f>
        <v/>
      </c>
      <c r="Z1631" s="49">
        <f>IF(OR($M1631="",$T1631=""),"",$T1631+(Z$2*$M1631))</f>
        <v/>
      </c>
      <c r="AA1631" s="51">
        <f>IF(OR($M1631="",$T1631=""),"",$T1631+(AA$2*$M1631))</f>
        <v/>
      </c>
      <c r="AB1631" s="48">
        <f>IF(OR($M1631="",$T1631=""),"",$T1631+(AB$2*$M1631))</f>
        <v/>
      </c>
      <c r="AC1631" s="48">
        <f>IF(OR($M1631="",$T1631=""),"",$T1631+(AC$2*$M1631))</f>
        <v/>
      </c>
      <c r="AD1631" s="48">
        <f>IF(OR($M1631="",$T1631=""),"",$T1631+(AD$2*$M1631))</f>
        <v/>
      </c>
      <c r="AE1631" s="49">
        <f>IF(OR($M1631="",$T1631=""),"",$T1631+(AE$2*$M1631))</f>
        <v/>
      </c>
      <c r="AF1631" s="52">
        <f>IF(OR(T1631="",I1631&lt;T1631),"",IFERROR(AVERAGE(T1631+M1631*{7,8,9,10,11})/IF(G1631="",I1631,G1631)-1,""))</f>
        <v/>
      </c>
      <c r="AG1631" s="55">
        <f>IF(OR(T1631="",I1631&lt;T1631),"",IFERROR(AF1631/-(R1631/IF(G1631="",I1631,G1631)-1),""))</f>
        <v/>
      </c>
      <c r="AH1631" s="94" t="n"/>
      <c r="AI1631" s="94" t="n"/>
      <c r="AJ1631" s="94" t="n"/>
      <c r="AK1631" s="94" t="n"/>
      <c r="AL1631" s="84" t="n"/>
    </row>
    <row r="1632">
      <c r="A1632" s="64" t="n"/>
      <c r="B1632" s="65" t="n"/>
      <c r="C1632" s="66" t="n"/>
      <c r="D1632" s="67" t="n"/>
      <c r="E1632" s="68" t="n"/>
      <c r="F1632" s="47">
        <f>IF(A1632="","",IF(MIN(H1632,MAX(J1632:K1632))=0,"",MIN(H1632,MAX(J1632:K1632))))</f>
        <v/>
      </c>
      <c r="G1632" s="74" t="n"/>
      <c r="H1632" s="49">
        <f>IF(M1632="","",IFERROR(ROUND(AVERAGE(T1632+M1632*{7,8,9,10,11})/1.21,4),""))</f>
        <v/>
      </c>
      <c r="I1632" s="76" t="n"/>
      <c r="J1632" s="77" t="n"/>
      <c r="K1632" s="74" t="n"/>
      <c r="L1632" s="78" t="n"/>
      <c r="M1632" s="77" t="n"/>
      <c r="N1632" s="53">
        <f>IF(M1632="","",IFERROR(M1632/I1632,""))</f>
        <v/>
      </c>
      <c r="O1632" s="50">
        <f>IF(A1632="","",IFERROR((IF(G1632="",I1632,G1632)-T1632)/M1632,""))</f>
        <v/>
      </c>
      <c r="P1632" s="50">
        <f>IFERROR((I1632/T1632-1)/N1632,"")</f>
        <v/>
      </c>
      <c r="Q1632" s="46">
        <f>IF(OR(T1632="",I1632&lt;T1632),"",IFERROR(R1632/IF(G1632="",I1632,G1632)-1,""))</f>
        <v/>
      </c>
      <c r="R1632" s="48">
        <f>IF($M1632="","",MAX(IF($G1632="",$I1632,$G1632)*(1/1.1),IF($G1632="",$I1632,$G1632)+(R$2*$M1632)))</f>
        <v/>
      </c>
      <c r="S1632" s="49">
        <f>IF($M1632="","",MAX(IF($G1632="",$I1632,$G1632)*(1/1.1),IF($G1632="",$I1632,$G1632)+(S$2*$M1632)))</f>
        <v/>
      </c>
      <c r="T1632" s="82" t="n"/>
      <c r="U1632" s="47">
        <f>IF(OR($M1632="",$T1632=""),"",$T1632+(U$2*$M1632))</f>
        <v/>
      </c>
      <c r="V1632" s="48">
        <f>IF(OR($M1632="",$T1632=""),"",$T1632+(V$2*$M1632))</f>
        <v/>
      </c>
      <c r="W1632" s="48">
        <f>IF(OR($M1632="",$T1632=""),"",$T1632+(W$2*$M1632))</f>
        <v/>
      </c>
      <c r="X1632" s="49">
        <f>IF(OR($M1632="",$T1632=""),"",$T1632+(X$2*$M1632))</f>
        <v/>
      </c>
      <c r="Y1632" s="47">
        <f>IF(OR($M1632="",$T1632=""),"",$T1632+(Y$2*$M1632))</f>
        <v/>
      </c>
      <c r="Z1632" s="49">
        <f>IF(OR($M1632="",$T1632=""),"",$T1632+(Z$2*$M1632))</f>
        <v/>
      </c>
      <c r="AA1632" s="51">
        <f>IF(OR($M1632="",$T1632=""),"",$T1632+(AA$2*$M1632))</f>
        <v/>
      </c>
      <c r="AB1632" s="48">
        <f>IF(OR($M1632="",$T1632=""),"",$T1632+(AB$2*$M1632))</f>
        <v/>
      </c>
      <c r="AC1632" s="48">
        <f>IF(OR($M1632="",$T1632=""),"",$T1632+(AC$2*$M1632))</f>
        <v/>
      </c>
      <c r="AD1632" s="48">
        <f>IF(OR($M1632="",$T1632=""),"",$T1632+(AD$2*$M1632))</f>
        <v/>
      </c>
      <c r="AE1632" s="49">
        <f>IF(OR($M1632="",$T1632=""),"",$T1632+(AE$2*$M1632))</f>
        <v/>
      </c>
      <c r="AF1632" s="52">
        <f>IF(OR(T1632="",I1632&lt;T1632),"",IFERROR(AVERAGE(T1632+M1632*{7,8,9,10,11})/IF(G1632="",I1632,G1632)-1,""))</f>
        <v/>
      </c>
      <c r="AG1632" s="55">
        <f>IF(OR(T1632="",I1632&lt;T1632),"",IFERROR(AF1632/-(R1632/IF(G1632="",I1632,G1632)-1),""))</f>
        <v/>
      </c>
      <c r="AH1632" s="94" t="n"/>
      <c r="AI1632" s="94" t="n"/>
      <c r="AJ1632" s="94" t="n"/>
      <c r="AK1632" s="94" t="n"/>
      <c r="AL1632" s="84" t="n"/>
    </row>
    <row r="1633">
      <c r="A1633" s="64" t="n"/>
      <c r="B1633" s="65" t="n"/>
      <c r="C1633" s="66" t="n"/>
      <c r="D1633" s="67" t="n"/>
      <c r="E1633" s="68" t="n"/>
      <c r="F1633" s="47">
        <f>IF(A1633="","",IF(MIN(H1633,MAX(J1633:K1633))=0,"",MIN(H1633,MAX(J1633:K1633))))</f>
        <v/>
      </c>
      <c r="G1633" s="74" t="n"/>
      <c r="H1633" s="49">
        <f>IF(M1633="","",IFERROR(ROUND(AVERAGE(T1633+M1633*{7,8,9,10,11})/1.21,4),""))</f>
        <v/>
      </c>
      <c r="I1633" s="76" t="n"/>
      <c r="J1633" s="77" t="n"/>
      <c r="K1633" s="74" t="n"/>
      <c r="L1633" s="78" t="n"/>
      <c r="M1633" s="77" t="n"/>
      <c r="N1633" s="53">
        <f>IF(M1633="","",IFERROR(M1633/I1633,""))</f>
        <v/>
      </c>
      <c r="O1633" s="50">
        <f>IF(A1633="","",IFERROR((IF(G1633="",I1633,G1633)-T1633)/M1633,""))</f>
        <v/>
      </c>
      <c r="P1633" s="50">
        <f>IFERROR((I1633/T1633-1)/N1633,"")</f>
        <v/>
      </c>
      <c r="Q1633" s="46">
        <f>IF(OR(T1633="",I1633&lt;T1633),"",IFERROR(R1633/IF(G1633="",I1633,G1633)-1,""))</f>
        <v/>
      </c>
      <c r="R1633" s="48">
        <f>IF($M1633="","",MAX(IF($G1633="",$I1633,$G1633)*(1/1.1),IF($G1633="",$I1633,$G1633)+(R$2*$M1633)))</f>
        <v/>
      </c>
      <c r="S1633" s="49">
        <f>IF($M1633="","",MAX(IF($G1633="",$I1633,$G1633)*(1/1.1),IF($G1633="",$I1633,$G1633)+(S$2*$M1633)))</f>
        <v/>
      </c>
      <c r="T1633" s="82" t="n"/>
      <c r="U1633" s="47">
        <f>IF(OR($M1633="",$T1633=""),"",$T1633+(U$2*$M1633))</f>
        <v/>
      </c>
      <c r="V1633" s="48">
        <f>IF(OR($M1633="",$T1633=""),"",$T1633+(V$2*$M1633))</f>
        <v/>
      </c>
      <c r="W1633" s="48">
        <f>IF(OR($M1633="",$T1633=""),"",$T1633+(W$2*$M1633))</f>
        <v/>
      </c>
      <c r="X1633" s="49">
        <f>IF(OR($M1633="",$T1633=""),"",$T1633+(X$2*$M1633))</f>
        <v/>
      </c>
      <c r="Y1633" s="47">
        <f>IF(OR($M1633="",$T1633=""),"",$T1633+(Y$2*$M1633))</f>
        <v/>
      </c>
      <c r="Z1633" s="49">
        <f>IF(OR($M1633="",$T1633=""),"",$T1633+(Z$2*$M1633))</f>
        <v/>
      </c>
      <c r="AA1633" s="51">
        <f>IF(OR($M1633="",$T1633=""),"",$T1633+(AA$2*$M1633))</f>
        <v/>
      </c>
      <c r="AB1633" s="48">
        <f>IF(OR($M1633="",$T1633=""),"",$T1633+(AB$2*$M1633))</f>
        <v/>
      </c>
      <c r="AC1633" s="48">
        <f>IF(OR($M1633="",$T1633=""),"",$T1633+(AC$2*$M1633))</f>
        <v/>
      </c>
      <c r="AD1633" s="48">
        <f>IF(OR($M1633="",$T1633=""),"",$T1633+(AD$2*$M1633))</f>
        <v/>
      </c>
      <c r="AE1633" s="49">
        <f>IF(OR($M1633="",$T1633=""),"",$T1633+(AE$2*$M1633))</f>
        <v/>
      </c>
      <c r="AF1633" s="52">
        <f>IF(OR(T1633="",I1633&lt;T1633),"",IFERROR(AVERAGE(T1633+M1633*{7,8,9,10,11})/IF(G1633="",I1633,G1633)-1,""))</f>
        <v/>
      </c>
      <c r="AG1633" s="55">
        <f>IF(OR(T1633="",I1633&lt;T1633),"",IFERROR(AF1633/-(R1633/IF(G1633="",I1633,G1633)-1),""))</f>
        <v/>
      </c>
      <c r="AH1633" s="94" t="n"/>
      <c r="AI1633" s="94" t="n"/>
      <c r="AJ1633" s="94" t="n"/>
      <c r="AK1633" s="94" t="n"/>
      <c r="AL1633" s="84" t="n"/>
    </row>
    <row r="1634">
      <c r="A1634" s="64" t="n"/>
      <c r="B1634" s="65" t="n"/>
      <c r="C1634" s="66" t="n"/>
      <c r="D1634" s="67" t="n"/>
      <c r="E1634" s="68" t="n"/>
      <c r="F1634" s="47">
        <f>IF(A1634="","",IF(MIN(H1634,MAX(J1634:K1634))=0,"",MIN(H1634,MAX(J1634:K1634))))</f>
        <v/>
      </c>
      <c r="G1634" s="74" t="n"/>
      <c r="H1634" s="49">
        <f>IF(M1634="","",IFERROR(ROUND(AVERAGE(T1634+M1634*{7,8,9,10,11})/1.21,4),""))</f>
        <v/>
      </c>
      <c r="I1634" s="76" t="n"/>
      <c r="J1634" s="77" t="n"/>
      <c r="K1634" s="74" t="n"/>
      <c r="L1634" s="78" t="n"/>
      <c r="M1634" s="77" t="n"/>
      <c r="N1634" s="53">
        <f>IF(M1634="","",IFERROR(M1634/I1634,""))</f>
        <v/>
      </c>
      <c r="O1634" s="50">
        <f>IF(A1634="","",IFERROR((IF(G1634="",I1634,G1634)-T1634)/M1634,""))</f>
        <v/>
      </c>
      <c r="P1634" s="50">
        <f>IFERROR((I1634/T1634-1)/N1634,"")</f>
        <v/>
      </c>
      <c r="Q1634" s="46">
        <f>IF(OR(T1634="",I1634&lt;T1634),"",IFERROR(R1634/IF(G1634="",I1634,G1634)-1,""))</f>
        <v/>
      </c>
      <c r="R1634" s="48">
        <f>IF($M1634="","",MAX(IF($G1634="",$I1634,$G1634)*(1/1.1),IF($G1634="",$I1634,$G1634)+(R$2*$M1634)))</f>
        <v/>
      </c>
      <c r="S1634" s="49">
        <f>IF($M1634="","",MAX(IF($G1634="",$I1634,$G1634)*(1/1.1),IF($G1634="",$I1634,$G1634)+(S$2*$M1634)))</f>
        <v/>
      </c>
      <c r="T1634" s="82" t="n"/>
      <c r="U1634" s="47">
        <f>IF(OR($M1634="",$T1634=""),"",$T1634+(U$2*$M1634))</f>
        <v/>
      </c>
      <c r="V1634" s="48">
        <f>IF(OR($M1634="",$T1634=""),"",$T1634+(V$2*$M1634))</f>
        <v/>
      </c>
      <c r="W1634" s="48">
        <f>IF(OR($M1634="",$T1634=""),"",$T1634+(W$2*$M1634))</f>
        <v/>
      </c>
      <c r="X1634" s="49">
        <f>IF(OR($M1634="",$T1634=""),"",$T1634+(X$2*$M1634))</f>
        <v/>
      </c>
      <c r="Y1634" s="47">
        <f>IF(OR($M1634="",$T1634=""),"",$T1634+(Y$2*$M1634))</f>
        <v/>
      </c>
      <c r="Z1634" s="49">
        <f>IF(OR($M1634="",$T1634=""),"",$T1634+(Z$2*$M1634))</f>
        <v/>
      </c>
      <c r="AA1634" s="51">
        <f>IF(OR($M1634="",$T1634=""),"",$T1634+(AA$2*$M1634))</f>
        <v/>
      </c>
      <c r="AB1634" s="48">
        <f>IF(OR($M1634="",$T1634=""),"",$T1634+(AB$2*$M1634))</f>
        <v/>
      </c>
      <c r="AC1634" s="48">
        <f>IF(OR($M1634="",$T1634=""),"",$T1634+(AC$2*$M1634))</f>
        <v/>
      </c>
      <c r="AD1634" s="48">
        <f>IF(OR($M1634="",$T1634=""),"",$T1634+(AD$2*$M1634))</f>
        <v/>
      </c>
      <c r="AE1634" s="49">
        <f>IF(OR($M1634="",$T1634=""),"",$T1634+(AE$2*$M1634))</f>
        <v/>
      </c>
      <c r="AF1634" s="52">
        <f>IF(OR(T1634="",I1634&lt;T1634),"",IFERROR(AVERAGE(T1634+M1634*{7,8,9,10,11})/IF(G1634="",I1634,G1634)-1,""))</f>
        <v/>
      </c>
      <c r="AG1634" s="55">
        <f>IF(OR(T1634="",I1634&lt;T1634),"",IFERROR(AF1634/-(R1634/IF(G1634="",I1634,G1634)-1),""))</f>
        <v/>
      </c>
      <c r="AH1634" s="94" t="n"/>
      <c r="AI1634" s="94" t="n"/>
      <c r="AJ1634" s="94" t="n"/>
      <c r="AK1634" s="94" t="n"/>
      <c r="AL1634" s="84" t="n"/>
    </row>
    <row r="1635">
      <c r="A1635" s="64" t="n"/>
      <c r="B1635" s="65" t="n"/>
      <c r="C1635" s="66" t="n"/>
      <c r="D1635" s="67" t="n"/>
      <c r="E1635" s="68" t="n"/>
      <c r="F1635" s="47">
        <f>IF(A1635="","",IF(MIN(H1635,MAX(J1635:K1635))=0,"",MIN(H1635,MAX(J1635:K1635))))</f>
        <v/>
      </c>
      <c r="G1635" s="74" t="n"/>
      <c r="H1635" s="49">
        <f>IF(M1635="","",IFERROR(ROUND(AVERAGE(T1635+M1635*{7,8,9,10,11})/1.21,4),""))</f>
        <v/>
      </c>
      <c r="I1635" s="76" t="n"/>
      <c r="J1635" s="77" t="n"/>
      <c r="K1635" s="74" t="n"/>
      <c r="L1635" s="78" t="n"/>
      <c r="M1635" s="77" t="n"/>
      <c r="N1635" s="53">
        <f>IF(M1635="","",IFERROR(M1635/I1635,""))</f>
        <v/>
      </c>
      <c r="O1635" s="50">
        <f>IF(A1635="","",IFERROR((IF(G1635="",I1635,G1635)-T1635)/M1635,""))</f>
        <v/>
      </c>
      <c r="P1635" s="50">
        <f>IFERROR((I1635/T1635-1)/N1635,"")</f>
        <v/>
      </c>
      <c r="Q1635" s="46">
        <f>IF(OR(T1635="",I1635&lt;T1635),"",IFERROR(R1635/IF(G1635="",I1635,G1635)-1,""))</f>
        <v/>
      </c>
      <c r="R1635" s="48">
        <f>IF($M1635="","",MAX(IF($G1635="",$I1635,$G1635)*(1/1.1),IF($G1635="",$I1635,$G1635)+(R$2*$M1635)))</f>
        <v/>
      </c>
      <c r="S1635" s="49">
        <f>IF($M1635="","",MAX(IF($G1635="",$I1635,$G1635)*(1/1.1),IF($G1635="",$I1635,$G1635)+(S$2*$M1635)))</f>
        <v/>
      </c>
      <c r="T1635" s="82" t="n"/>
      <c r="U1635" s="47">
        <f>IF(OR($M1635="",$T1635=""),"",$T1635+(U$2*$M1635))</f>
        <v/>
      </c>
      <c r="V1635" s="48">
        <f>IF(OR($M1635="",$T1635=""),"",$T1635+(V$2*$M1635))</f>
        <v/>
      </c>
      <c r="W1635" s="48">
        <f>IF(OR($M1635="",$T1635=""),"",$T1635+(W$2*$M1635))</f>
        <v/>
      </c>
      <c r="X1635" s="49">
        <f>IF(OR($M1635="",$T1635=""),"",$T1635+(X$2*$M1635))</f>
        <v/>
      </c>
      <c r="Y1635" s="47">
        <f>IF(OR($M1635="",$T1635=""),"",$T1635+(Y$2*$M1635))</f>
        <v/>
      </c>
      <c r="Z1635" s="49">
        <f>IF(OR($M1635="",$T1635=""),"",$T1635+(Z$2*$M1635))</f>
        <v/>
      </c>
      <c r="AA1635" s="51">
        <f>IF(OR($M1635="",$T1635=""),"",$T1635+(AA$2*$M1635))</f>
        <v/>
      </c>
      <c r="AB1635" s="48">
        <f>IF(OR($M1635="",$T1635=""),"",$T1635+(AB$2*$M1635))</f>
        <v/>
      </c>
      <c r="AC1635" s="48">
        <f>IF(OR($M1635="",$T1635=""),"",$T1635+(AC$2*$M1635))</f>
        <v/>
      </c>
      <c r="AD1635" s="48">
        <f>IF(OR($M1635="",$T1635=""),"",$T1635+(AD$2*$M1635))</f>
        <v/>
      </c>
      <c r="AE1635" s="49">
        <f>IF(OR($M1635="",$T1635=""),"",$T1635+(AE$2*$M1635))</f>
        <v/>
      </c>
      <c r="AF1635" s="52">
        <f>IF(OR(T1635="",I1635&lt;T1635),"",IFERROR(AVERAGE(T1635+M1635*{7,8,9,10,11})/IF(G1635="",I1635,G1635)-1,""))</f>
        <v/>
      </c>
      <c r="AG1635" s="55">
        <f>IF(OR(T1635="",I1635&lt;T1635),"",IFERROR(AF1635/-(R1635/IF(G1635="",I1635,G1635)-1),""))</f>
        <v/>
      </c>
      <c r="AH1635" s="94" t="n"/>
      <c r="AI1635" s="94" t="n"/>
      <c r="AJ1635" s="94" t="n"/>
      <c r="AK1635" s="94" t="n"/>
      <c r="AL1635" s="84" t="n"/>
    </row>
    <row r="1636">
      <c r="A1636" s="64" t="n"/>
      <c r="B1636" s="65" t="n"/>
      <c r="C1636" s="66" t="n"/>
      <c r="D1636" s="67" t="n"/>
      <c r="E1636" s="68" t="n"/>
      <c r="F1636" s="47">
        <f>IF(A1636="","",IF(MIN(H1636,MAX(J1636:K1636))=0,"",MIN(H1636,MAX(J1636:K1636))))</f>
        <v/>
      </c>
      <c r="G1636" s="74" t="n"/>
      <c r="H1636" s="49">
        <f>IF(M1636="","",IFERROR(ROUND(AVERAGE(T1636+M1636*{7,8,9,10,11})/1.21,4),""))</f>
        <v/>
      </c>
      <c r="I1636" s="76" t="n"/>
      <c r="J1636" s="77" t="n"/>
      <c r="K1636" s="74" t="n"/>
      <c r="L1636" s="78" t="n"/>
      <c r="M1636" s="77" t="n"/>
      <c r="N1636" s="53">
        <f>IF(M1636="","",IFERROR(M1636/I1636,""))</f>
        <v/>
      </c>
      <c r="O1636" s="50">
        <f>IF(A1636="","",IFERROR((IF(G1636="",I1636,G1636)-T1636)/M1636,""))</f>
        <v/>
      </c>
      <c r="P1636" s="50">
        <f>IFERROR((I1636/T1636-1)/N1636,"")</f>
        <v/>
      </c>
      <c r="Q1636" s="46">
        <f>IF(OR(T1636="",I1636&lt;T1636),"",IFERROR(R1636/IF(G1636="",I1636,G1636)-1,""))</f>
        <v/>
      </c>
      <c r="R1636" s="48">
        <f>IF($M1636="","",MAX(IF($G1636="",$I1636,$G1636)*(1/1.1),IF($G1636="",$I1636,$G1636)+(R$2*$M1636)))</f>
        <v/>
      </c>
      <c r="S1636" s="49">
        <f>IF($M1636="","",MAX(IF($G1636="",$I1636,$G1636)*(1/1.1),IF($G1636="",$I1636,$G1636)+(S$2*$M1636)))</f>
        <v/>
      </c>
      <c r="T1636" s="82" t="n"/>
      <c r="U1636" s="47">
        <f>IF(OR($M1636="",$T1636=""),"",$T1636+(U$2*$M1636))</f>
        <v/>
      </c>
      <c r="V1636" s="48">
        <f>IF(OR($M1636="",$T1636=""),"",$T1636+(V$2*$M1636))</f>
        <v/>
      </c>
      <c r="W1636" s="48">
        <f>IF(OR($M1636="",$T1636=""),"",$T1636+(W$2*$M1636))</f>
        <v/>
      </c>
      <c r="X1636" s="49">
        <f>IF(OR($M1636="",$T1636=""),"",$T1636+(X$2*$M1636))</f>
        <v/>
      </c>
      <c r="Y1636" s="47">
        <f>IF(OR($M1636="",$T1636=""),"",$T1636+(Y$2*$M1636))</f>
        <v/>
      </c>
      <c r="Z1636" s="49">
        <f>IF(OR($M1636="",$T1636=""),"",$T1636+(Z$2*$M1636))</f>
        <v/>
      </c>
      <c r="AA1636" s="51">
        <f>IF(OR($M1636="",$T1636=""),"",$T1636+(AA$2*$M1636))</f>
        <v/>
      </c>
      <c r="AB1636" s="48">
        <f>IF(OR($M1636="",$T1636=""),"",$T1636+(AB$2*$M1636))</f>
        <v/>
      </c>
      <c r="AC1636" s="48">
        <f>IF(OR($M1636="",$T1636=""),"",$T1636+(AC$2*$M1636))</f>
        <v/>
      </c>
      <c r="AD1636" s="48">
        <f>IF(OR($M1636="",$T1636=""),"",$T1636+(AD$2*$M1636))</f>
        <v/>
      </c>
      <c r="AE1636" s="49">
        <f>IF(OR($M1636="",$T1636=""),"",$T1636+(AE$2*$M1636))</f>
        <v/>
      </c>
      <c r="AF1636" s="52">
        <f>IF(OR(T1636="",I1636&lt;T1636),"",IFERROR(AVERAGE(T1636+M1636*{7,8,9,10,11})/IF(G1636="",I1636,G1636)-1,""))</f>
        <v/>
      </c>
      <c r="AG1636" s="55">
        <f>IF(OR(T1636="",I1636&lt;T1636),"",IFERROR(AF1636/-(R1636/IF(G1636="",I1636,G1636)-1),""))</f>
        <v/>
      </c>
      <c r="AH1636" s="94" t="n"/>
      <c r="AI1636" s="94" t="n"/>
      <c r="AJ1636" s="94" t="n"/>
      <c r="AK1636" s="94" t="n"/>
      <c r="AL1636" s="84" t="n"/>
    </row>
    <row r="1637">
      <c r="A1637" s="64" t="n"/>
      <c r="B1637" s="65" t="n"/>
      <c r="C1637" s="66" t="n"/>
      <c r="D1637" s="67" t="n"/>
      <c r="E1637" s="68" t="n"/>
      <c r="F1637" s="47">
        <f>IF(A1637="","",IF(MIN(H1637,MAX(J1637:K1637))=0,"",MIN(H1637,MAX(J1637:K1637))))</f>
        <v/>
      </c>
      <c r="G1637" s="74" t="n"/>
      <c r="H1637" s="49">
        <f>IF(M1637="","",IFERROR(ROUND(AVERAGE(T1637+M1637*{7,8,9,10,11})/1.21,4),""))</f>
        <v/>
      </c>
      <c r="I1637" s="76" t="n"/>
      <c r="J1637" s="77" t="n"/>
      <c r="K1637" s="74" t="n"/>
      <c r="L1637" s="78" t="n"/>
      <c r="M1637" s="77" t="n"/>
      <c r="N1637" s="53">
        <f>IF(M1637="","",IFERROR(M1637/I1637,""))</f>
        <v/>
      </c>
      <c r="O1637" s="50">
        <f>IF(A1637="","",IFERROR((IF(G1637="",I1637,G1637)-T1637)/M1637,""))</f>
        <v/>
      </c>
      <c r="P1637" s="50">
        <f>IFERROR((I1637/T1637-1)/N1637,"")</f>
        <v/>
      </c>
      <c r="Q1637" s="46">
        <f>IF(OR(T1637="",I1637&lt;T1637),"",IFERROR(R1637/IF(G1637="",I1637,G1637)-1,""))</f>
        <v/>
      </c>
      <c r="R1637" s="48">
        <f>IF($M1637="","",MAX(IF($G1637="",$I1637,$G1637)*(1/1.1),IF($G1637="",$I1637,$G1637)+(R$2*$M1637)))</f>
        <v/>
      </c>
      <c r="S1637" s="49">
        <f>IF($M1637="","",MAX(IF($G1637="",$I1637,$G1637)*(1/1.1),IF($G1637="",$I1637,$G1637)+(S$2*$M1637)))</f>
        <v/>
      </c>
      <c r="T1637" s="82" t="n"/>
      <c r="U1637" s="47">
        <f>IF(OR($M1637="",$T1637=""),"",$T1637+(U$2*$M1637))</f>
        <v/>
      </c>
      <c r="V1637" s="48">
        <f>IF(OR($M1637="",$T1637=""),"",$T1637+(V$2*$M1637))</f>
        <v/>
      </c>
      <c r="W1637" s="48">
        <f>IF(OR($M1637="",$T1637=""),"",$T1637+(W$2*$M1637))</f>
        <v/>
      </c>
      <c r="X1637" s="49">
        <f>IF(OR($M1637="",$T1637=""),"",$T1637+(X$2*$M1637))</f>
        <v/>
      </c>
      <c r="Y1637" s="47">
        <f>IF(OR($M1637="",$T1637=""),"",$T1637+(Y$2*$M1637))</f>
        <v/>
      </c>
      <c r="Z1637" s="49">
        <f>IF(OR($M1637="",$T1637=""),"",$T1637+(Z$2*$M1637))</f>
        <v/>
      </c>
      <c r="AA1637" s="51">
        <f>IF(OR($M1637="",$T1637=""),"",$T1637+(AA$2*$M1637))</f>
        <v/>
      </c>
      <c r="AB1637" s="48">
        <f>IF(OR($M1637="",$T1637=""),"",$T1637+(AB$2*$M1637))</f>
        <v/>
      </c>
      <c r="AC1637" s="48">
        <f>IF(OR($M1637="",$T1637=""),"",$T1637+(AC$2*$M1637))</f>
        <v/>
      </c>
      <c r="AD1637" s="48">
        <f>IF(OR($M1637="",$T1637=""),"",$T1637+(AD$2*$M1637))</f>
        <v/>
      </c>
      <c r="AE1637" s="49">
        <f>IF(OR($M1637="",$T1637=""),"",$T1637+(AE$2*$M1637))</f>
        <v/>
      </c>
      <c r="AF1637" s="52">
        <f>IF(OR(T1637="",I1637&lt;T1637),"",IFERROR(AVERAGE(T1637+M1637*{7,8,9,10,11})/IF(G1637="",I1637,G1637)-1,""))</f>
        <v/>
      </c>
      <c r="AG1637" s="55">
        <f>IF(OR(T1637="",I1637&lt;T1637),"",IFERROR(AF1637/-(R1637/IF(G1637="",I1637,G1637)-1),""))</f>
        <v/>
      </c>
      <c r="AH1637" s="94" t="n"/>
      <c r="AI1637" s="94" t="n"/>
      <c r="AJ1637" s="94" t="n"/>
      <c r="AK1637" s="94" t="n"/>
      <c r="AL1637" s="84" t="n"/>
    </row>
    <row r="1638">
      <c r="A1638" s="64" t="n"/>
      <c r="B1638" s="65" t="n"/>
      <c r="C1638" s="66" t="n"/>
      <c r="D1638" s="67" t="n"/>
      <c r="E1638" s="68" t="n"/>
      <c r="F1638" s="47">
        <f>IF(A1638="","",IF(MIN(H1638,MAX(J1638:K1638))=0,"",MIN(H1638,MAX(J1638:K1638))))</f>
        <v/>
      </c>
      <c r="G1638" s="74" t="n"/>
      <c r="H1638" s="49">
        <f>IF(M1638="","",IFERROR(ROUND(AVERAGE(T1638+M1638*{7,8,9,10,11})/1.21,4),""))</f>
        <v/>
      </c>
      <c r="I1638" s="76" t="n"/>
      <c r="J1638" s="77" t="n"/>
      <c r="K1638" s="74" t="n"/>
      <c r="L1638" s="78" t="n"/>
      <c r="M1638" s="77" t="n"/>
      <c r="N1638" s="53">
        <f>IF(M1638="","",IFERROR(M1638/I1638,""))</f>
        <v/>
      </c>
      <c r="O1638" s="50">
        <f>IF(A1638="","",IFERROR((IF(G1638="",I1638,G1638)-T1638)/M1638,""))</f>
        <v/>
      </c>
      <c r="P1638" s="50">
        <f>IFERROR((I1638/T1638-1)/N1638,"")</f>
        <v/>
      </c>
      <c r="Q1638" s="46">
        <f>IF(OR(T1638="",I1638&lt;T1638),"",IFERROR(R1638/IF(G1638="",I1638,G1638)-1,""))</f>
        <v/>
      </c>
      <c r="R1638" s="48">
        <f>IF($M1638="","",MAX(IF($G1638="",$I1638,$G1638)*(1/1.1),IF($G1638="",$I1638,$G1638)+(R$2*$M1638)))</f>
        <v/>
      </c>
      <c r="S1638" s="49">
        <f>IF($M1638="","",MAX(IF($G1638="",$I1638,$G1638)*(1/1.1),IF($G1638="",$I1638,$G1638)+(S$2*$M1638)))</f>
        <v/>
      </c>
      <c r="T1638" s="82" t="n"/>
      <c r="U1638" s="47">
        <f>IF(OR($M1638="",$T1638=""),"",$T1638+(U$2*$M1638))</f>
        <v/>
      </c>
      <c r="V1638" s="48">
        <f>IF(OR($M1638="",$T1638=""),"",$T1638+(V$2*$M1638))</f>
        <v/>
      </c>
      <c r="W1638" s="48">
        <f>IF(OR($M1638="",$T1638=""),"",$T1638+(W$2*$M1638))</f>
        <v/>
      </c>
      <c r="X1638" s="49">
        <f>IF(OR($M1638="",$T1638=""),"",$T1638+(X$2*$M1638))</f>
        <v/>
      </c>
      <c r="Y1638" s="47">
        <f>IF(OR($M1638="",$T1638=""),"",$T1638+(Y$2*$M1638))</f>
        <v/>
      </c>
      <c r="Z1638" s="49">
        <f>IF(OR($M1638="",$T1638=""),"",$T1638+(Z$2*$M1638))</f>
        <v/>
      </c>
      <c r="AA1638" s="51">
        <f>IF(OR($M1638="",$T1638=""),"",$T1638+(AA$2*$M1638))</f>
        <v/>
      </c>
      <c r="AB1638" s="48">
        <f>IF(OR($M1638="",$T1638=""),"",$T1638+(AB$2*$M1638))</f>
        <v/>
      </c>
      <c r="AC1638" s="48">
        <f>IF(OR($M1638="",$T1638=""),"",$T1638+(AC$2*$M1638))</f>
        <v/>
      </c>
      <c r="AD1638" s="48">
        <f>IF(OR($M1638="",$T1638=""),"",$T1638+(AD$2*$M1638))</f>
        <v/>
      </c>
      <c r="AE1638" s="49">
        <f>IF(OR($M1638="",$T1638=""),"",$T1638+(AE$2*$M1638))</f>
        <v/>
      </c>
      <c r="AF1638" s="52">
        <f>IF(OR(T1638="",I1638&lt;T1638),"",IFERROR(AVERAGE(T1638+M1638*{7,8,9,10,11})/IF(G1638="",I1638,G1638)-1,""))</f>
        <v/>
      </c>
      <c r="AG1638" s="55">
        <f>IF(OR(T1638="",I1638&lt;T1638),"",IFERROR(AF1638/-(R1638/IF(G1638="",I1638,G1638)-1),""))</f>
        <v/>
      </c>
      <c r="AH1638" s="94" t="n"/>
      <c r="AI1638" s="94" t="n"/>
      <c r="AJ1638" s="94" t="n"/>
      <c r="AK1638" s="94" t="n"/>
      <c r="AL1638" s="84" t="n"/>
    </row>
    <row r="1639">
      <c r="A1639" s="64" t="n"/>
      <c r="B1639" s="65" t="n"/>
      <c r="C1639" s="66" t="n"/>
      <c r="D1639" s="67" t="n"/>
      <c r="E1639" s="68" t="n"/>
      <c r="F1639" s="47">
        <f>IF(A1639="","",IF(MIN(H1639,MAX(J1639:K1639))=0,"",MIN(H1639,MAX(J1639:K1639))))</f>
        <v/>
      </c>
      <c r="G1639" s="74" t="n"/>
      <c r="H1639" s="49">
        <f>IF(M1639="","",IFERROR(ROUND(AVERAGE(T1639+M1639*{7,8,9,10,11})/1.21,4),""))</f>
        <v/>
      </c>
      <c r="I1639" s="76" t="n"/>
      <c r="J1639" s="77" t="n"/>
      <c r="K1639" s="74" t="n"/>
      <c r="L1639" s="78" t="n"/>
      <c r="M1639" s="77" t="n"/>
      <c r="N1639" s="53">
        <f>IF(M1639="","",IFERROR(M1639/I1639,""))</f>
        <v/>
      </c>
      <c r="O1639" s="50">
        <f>IF(A1639="","",IFERROR((IF(G1639="",I1639,G1639)-T1639)/M1639,""))</f>
        <v/>
      </c>
      <c r="P1639" s="50">
        <f>IFERROR((I1639/T1639-1)/N1639,"")</f>
        <v/>
      </c>
      <c r="Q1639" s="46">
        <f>IF(OR(T1639="",I1639&lt;T1639),"",IFERROR(R1639/IF(G1639="",I1639,G1639)-1,""))</f>
        <v/>
      </c>
      <c r="R1639" s="48">
        <f>IF($M1639="","",MAX(IF($G1639="",$I1639,$G1639)*(1/1.1),IF($G1639="",$I1639,$G1639)+(R$2*$M1639)))</f>
        <v/>
      </c>
      <c r="S1639" s="49">
        <f>IF($M1639="","",MAX(IF($G1639="",$I1639,$G1639)*(1/1.1),IF($G1639="",$I1639,$G1639)+(S$2*$M1639)))</f>
        <v/>
      </c>
      <c r="T1639" s="82" t="n"/>
      <c r="U1639" s="47">
        <f>IF(OR($M1639="",$T1639=""),"",$T1639+(U$2*$M1639))</f>
        <v/>
      </c>
      <c r="V1639" s="48">
        <f>IF(OR($M1639="",$T1639=""),"",$T1639+(V$2*$M1639))</f>
        <v/>
      </c>
      <c r="W1639" s="48">
        <f>IF(OR($M1639="",$T1639=""),"",$T1639+(W$2*$M1639))</f>
        <v/>
      </c>
      <c r="X1639" s="49">
        <f>IF(OR($M1639="",$T1639=""),"",$T1639+(X$2*$M1639))</f>
        <v/>
      </c>
      <c r="Y1639" s="47">
        <f>IF(OR($M1639="",$T1639=""),"",$T1639+(Y$2*$M1639))</f>
        <v/>
      </c>
      <c r="Z1639" s="49">
        <f>IF(OR($M1639="",$T1639=""),"",$T1639+(Z$2*$M1639))</f>
        <v/>
      </c>
      <c r="AA1639" s="51">
        <f>IF(OR($M1639="",$T1639=""),"",$T1639+(AA$2*$M1639))</f>
        <v/>
      </c>
      <c r="AB1639" s="48">
        <f>IF(OR($M1639="",$T1639=""),"",$T1639+(AB$2*$M1639))</f>
        <v/>
      </c>
      <c r="AC1639" s="48">
        <f>IF(OR($M1639="",$T1639=""),"",$T1639+(AC$2*$M1639))</f>
        <v/>
      </c>
      <c r="AD1639" s="48">
        <f>IF(OR($M1639="",$T1639=""),"",$T1639+(AD$2*$M1639))</f>
        <v/>
      </c>
      <c r="AE1639" s="49">
        <f>IF(OR($M1639="",$T1639=""),"",$T1639+(AE$2*$M1639))</f>
        <v/>
      </c>
      <c r="AF1639" s="52">
        <f>IF(OR(T1639="",I1639&lt;T1639),"",IFERROR(AVERAGE(T1639+M1639*{7,8,9,10,11})/IF(G1639="",I1639,G1639)-1,""))</f>
        <v/>
      </c>
      <c r="AG1639" s="55">
        <f>IF(OR(T1639="",I1639&lt;T1639),"",IFERROR(AF1639/-(R1639/IF(G1639="",I1639,G1639)-1),""))</f>
        <v/>
      </c>
      <c r="AH1639" s="94" t="n"/>
      <c r="AI1639" s="94" t="n"/>
      <c r="AJ1639" s="94" t="n"/>
      <c r="AK1639" s="94" t="n"/>
      <c r="AL1639" s="84" t="n"/>
    </row>
    <row r="1640">
      <c r="A1640" s="64" t="n"/>
      <c r="B1640" s="65" t="n"/>
      <c r="C1640" s="66" t="n"/>
      <c r="D1640" s="67" t="n"/>
      <c r="E1640" s="68" t="n"/>
      <c r="F1640" s="47">
        <f>IF(A1640="","",IF(MIN(H1640,MAX(J1640:K1640))=0,"",MIN(H1640,MAX(J1640:K1640))))</f>
        <v/>
      </c>
      <c r="G1640" s="74" t="n"/>
      <c r="H1640" s="49">
        <f>IF(M1640="","",IFERROR(ROUND(AVERAGE(T1640+M1640*{7,8,9,10,11})/1.21,4),""))</f>
        <v/>
      </c>
      <c r="I1640" s="76" t="n"/>
      <c r="J1640" s="77" t="n"/>
      <c r="K1640" s="74" t="n"/>
      <c r="L1640" s="78" t="n"/>
      <c r="M1640" s="77" t="n"/>
      <c r="N1640" s="53">
        <f>IF(M1640="","",IFERROR(M1640/I1640,""))</f>
        <v/>
      </c>
      <c r="O1640" s="50">
        <f>IF(A1640="","",IFERROR((IF(G1640="",I1640,G1640)-T1640)/M1640,""))</f>
        <v/>
      </c>
      <c r="P1640" s="50">
        <f>IFERROR((I1640/T1640-1)/N1640,"")</f>
        <v/>
      </c>
      <c r="Q1640" s="46">
        <f>IF(OR(T1640="",I1640&lt;T1640),"",IFERROR(R1640/IF(G1640="",I1640,G1640)-1,""))</f>
        <v/>
      </c>
      <c r="R1640" s="48">
        <f>IF($M1640="","",MAX(IF($G1640="",$I1640,$G1640)*(1/1.1),IF($G1640="",$I1640,$G1640)+(R$2*$M1640)))</f>
        <v/>
      </c>
      <c r="S1640" s="49">
        <f>IF($M1640="","",MAX(IF($G1640="",$I1640,$G1640)*(1/1.1),IF($G1640="",$I1640,$G1640)+(S$2*$M1640)))</f>
        <v/>
      </c>
      <c r="T1640" s="82" t="n"/>
      <c r="U1640" s="47">
        <f>IF(OR($M1640="",$T1640=""),"",$T1640+(U$2*$M1640))</f>
        <v/>
      </c>
      <c r="V1640" s="48">
        <f>IF(OR($M1640="",$T1640=""),"",$T1640+(V$2*$M1640))</f>
        <v/>
      </c>
      <c r="W1640" s="48">
        <f>IF(OR($M1640="",$T1640=""),"",$T1640+(W$2*$M1640))</f>
        <v/>
      </c>
      <c r="X1640" s="49">
        <f>IF(OR($M1640="",$T1640=""),"",$T1640+(X$2*$M1640))</f>
        <v/>
      </c>
      <c r="Y1640" s="47">
        <f>IF(OR($M1640="",$T1640=""),"",$T1640+(Y$2*$M1640))</f>
        <v/>
      </c>
      <c r="Z1640" s="49">
        <f>IF(OR($M1640="",$T1640=""),"",$T1640+(Z$2*$M1640))</f>
        <v/>
      </c>
      <c r="AA1640" s="51">
        <f>IF(OR($M1640="",$T1640=""),"",$T1640+(AA$2*$M1640))</f>
        <v/>
      </c>
      <c r="AB1640" s="48">
        <f>IF(OR($M1640="",$T1640=""),"",$T1640+(AB$2*$M1640))</f>
        <v/>
      </c>
      <c r="AC1640" s="48">
        <f>IF(OR($M1640="",$T1640=""),"",$T1640+(AC$2*$M1640))</f>
        <v/>
      </c>
      <c r="AD1640" s="48">
        <f>IF(OR($M1640="",$T1640=""),"",$T1640+(AD$2*$M1640))</f>
        <v/>
      </c>
      <c r="AE1640" s="49">
        <f>IF(OR($M1640="",$T1640=""),"",$T1640+(AE$2*$M1640))</f>
        <v/>
      </c>
      <c r="AF1640" s="52">
        <f>IF(OR(T1640="",I1640&lt;T1640),"",IFERROR(AVERAGE(T1640+M1640*{7,8,9,10,11})/IF(G1640="",I1640,G1640)-1,""))</f>
        <v/>
      </c>
      <c r="AG1640" s="55">
        <f>IF(OR(T1640="",I1640&lt;T1640),"",IFERROR(AF1640/-(R1640/IF(G1640="",I1640,G1640)-1),""))</f>
        <v/>
      </c>
      <c r="AH1640" s="94" t="n"/>
      <c r="AI1640" s="94" t="n"/>
      <c r="AJ1640" s="94" t="n"/>
      <c r="AK1640" s="94" t="n"/>
      <c r="AL1640" s="84" t="n"/>
    </row>
    <row r="1641">
      <c r="A1641" s="64" t="n"/>
      <c r="B1641" s="65" t="n"/>
      <c r="C1641" s="66" t="n"/>
      <c r="D1641" s="67" t="n"/>
      <c r="E1641" s="68" t="n"/>
      <c r="F1641" s="47">
        <f>IF(A1641="","",IF(MIN(H1641,MAX(J1641:K1641))=0,"",MIN(H1641,MAX(J1641:K1641))))</f>
        <v/>
      </c>
      <c r="G1641" s="74" t="n"/>
      <c r="H1641" s="49">
        <f>IF(M1641="","",IFERROR(ROUND(AVERAGE(T1641+M1641*{7,8,9,10,11})/1.21,4),""))</f>
        <v/>
      </c>
      <c r="I1641" s="76" t="n"/>
      <c r="J1641" s="77" t="n"/>
      <c r="K1641" s="74" t="n"/>
      <c r="L1641" s="78" t="n"/>
      <c r="M1641" s="77" t="n"/>
      <c r="N1641" s="53">
        <f>IF(M1641="","",IFERROR(M1641/I1641,""))</f>
        <v/>
      </c>
      <c r="O1641" s="50">
        <f>IF(A1641="","",IFERROR((IF(G1641="",I1641,G1641)-T1641)/M1641,""))</f>
        <v/>
      </c>
      <c r="P1641" s="50">
        <f>IFERROR((I1641/T1641-1)/N1641,"")</f>
        <v/>
      </c>
      <c r="Q1641" s="46">
        <f>IF(OR(T1641="",I1641&lt;T1641),"",IFERROR(R1641/IF(G1641="",I1641,G1641)-1,""))</f>
        <v/>
      </c>
      <c r="R1641" s="48">
        <f>IF($M1641="","",MAX(IF($G1641="",$I1641,$G1641)*(1/1.1),IF($G1641="",$I1641,$G1641)+(R$2*$M1641)))</f>
        <v/>
      </c>
      <c r="S1641" s="49">
        <f>IF($M1641="","",MAX(IF($G1641="",$I1641,$G1641)*(1/1.1),IF($G1641="",$I1641,$G1641)+(S$2*$M1641)))</f>
        <v/>
      </c>
      <c r="T1641" s="82" t="n"/>
      <c r="U1641" s="47">
        <f>IF(OR($M1641="",$T1641=""),"",$T1641+(U$2*$M1641))</f>
        <v/>
      </c>
      <c r="V1641" s="48">
        <f>IF(OR($M1641="",$T1641=""),"",$T1641+(V$2*$M1641))</f>
        <v/>
      </c>
      <c r="W1641" s="48">
        <f>IF(OR($M1641="",$T1641=""),"",$T1641+(W$2*$M1641))</f>
        <v/>
      </c>
      <c r="X1641" s="49">
        <f>IF(OR($M1641="",$T1641=""),"",$T1641+(X$2*$M1641))</f>
        <v/>
      </c>
      <c r="Y1641" s="47">
        <f>IF(OR($M1641="",$T1641=""),"",$T1641+(Y$2*$M1641))</f>
        <v/>
      </c>
      <c r="Z1641" s="49">
        <f>IF(OR($M1641="",$T1641=""),"",$T1641+(Z$2*$M1641))</f>
        <v/>
      </c>
      <c r="AA1641" s="51">
        <f>IF(OR($M1641="",$T1641=""),"",$T1641+(AA$2*$M1641))</f>
        <v/>
      </c>
      <c r="AB1641" s="48">
        <f>IF(OR($M1641="",$T1641=""),"",$T1641+(AB$2*$M1641))</f>
        <v/>
      </c>
      <c r="AC1641" s="48">
        <f>IF(OR($M1641="",$T1641=""),"",$T1641+(AC$2*$M1641))</f>
        <v/>
      </c>
      <c r="AD1641" s="48">
        <f>IF(OR($M1641="",$T1641=""),"",$T1641+(AD$2*$M1641))</f>
        <v/>
      </c>
      <c r="AE1641" s="49">
        <f>IF(OR($M1641="",$T1641=""),"",$T1641+(AE$2*$M1641))</f>
        <v/>
      </c>
      <c r="AF1641" s="52">
        <f>IF(OR(T1641="",I1641&lt;T1641),"",IFERROR(AVERAGE(T1641+M1641*{7,8,9,10,11})/IF(G1641="",I1641,G1641)-1,""))</f>
        <v/>
      </c>
      <c r="AG1641" s="55">
        <f>IF(OR(T1641="",I1641&lt;T1641),"",IFERROR(AF1641/-(R1641/IF(G1641="",I1641,G1641)-1),""))</f>
        <v/>
      </c>
      <c r="AH1641" s="94" t="n"/>
      <c r="AI1641" s="94" t="n"/>
      <c r="AJ1641" s="94" t="n"/>
      <c r="AK1641" s="94" t="n"/>
      <c r="AL1641" s="84" t="n"/>
    </row>
    <row r="1642">
      <c r="A1642" s="64" t="n"/>
      <c r="B1642" s="65" t="n"/>
      <c r="C1642" s="66" t="n"/>
      <c r="D1642" s="67" t="n"/>
      <c r="E1642" s="68" t="n"/>
      <c r="F1642" s="47">
        <f>IF(A1642="","",IF(MIN(H1642,MAX(J1642:K1642))=0,"",MIN(H1642,MAX(J1642:K1642))))</f>
        <v/>
      </c>
      <c r="G1642" s="74" t="n"/>
      <c r="H1642" s="49">
        <f>IF(M1642="","",IFERROR(ROUND(AVERAGE(T1642+M1642*{7,8,9,10,11})/1.21,4),""))</f>
        <v/>
      </c>
      <c r="I1642" s="76" t="n"/>
      <c r="J1642" s="77" t="n"/>
      <c r="K1642" s="74" t="n"/>
      <c r="L1642" s="78" t="n"/>
      <c r="M1642" s="77" t="n"/>
      <c r="N1642" s="53">
        <f>IF(M1642="","",IFERROR(M1642/I1642,""))</f>
        <v/>
      </c>
      <c r="O1642" s="50">
        <f>IF(A1642="","",IFERROR((IF(G1642="",I1642,G1642)-T1642)/M1642,""))</f>
        <v/>
      </c>
      <c r="P1642" s="50">
        <f>IFERROR((I1642/T1642-1)/N1642,"")</f>
        <v/>
      </c>
      <c r="Q1642" s="46">
        <f>IF(OR(T1642="",I1642&lt;T1642),"",IFERROR(R1642/IF(G1642="",I1642,G1642)-1,""))</f>
        <v/>
      </c>
      <c r="R1642" s="48">
        <f>IF($M1642="","",MAX(IF($G1642="",$I1642,$G1642)*(1/1.1),IF($G1642="",$I1642,$G1642)+(R$2*$M1642)))</f>
        <v/>
      </c>
      <c r="S1642" s="49">
        <f>IF($M1642="","",MAX(IF($G1642="",$I1642,$G1642)*(1/1.1),IF($G1642="",$I1642,$G1642)+(S$2*$M1642)))</f>
        <v/>
      </c>
      <c r="T1642" s="82" t="n"/>
      <c r="U1642" s="47">
        <f>IF(OR($M1642="",$T1642=""),"",$T1642+(U$2*$M1642))</f>
        <v/>
      </c>
      <c r="V1642" s="48">
        <f>IF(OR($M1642="",$T1642=""),"",$T1642+(V$2*$M1642))</f>
        <v/>
      </c>
      <c r="W1642" s="48">
        <f>IF(OR($M1642="",$T1642=""),"",$T1642+(W$2*$M1642))</f>
        <v/>
      </c>
      <c r="X1642" s="49">
        <f>IF(OR($M1642="",$T1642=""),"",$T1642+(X$2*$M1642))</f>
        <v/>
      </c>
      <c r="Y1642" s="47">
        <f>IF(OR($M1642="",$T1642=""),"",$T1642+(Y$2*$M1642))</f>
        <v/>
      </c>
      <c r="Z1642" s="49">
        <f>IF(OR($M1642="",$T1642=""),"",$T1642+(Z$2*$M1642))</f>
        <v/>
      </c>
      <c r="AA1642" s="51">
        <f>IF(OR($M1642="",$T1642=""),"",$T1642+(AA$2*$M1642))</f>
        <v/>
      </c>
      <c r="AB1642" s="48">
        <f>IF(OR($M1642="",$T1642=""),"",$T1642+(AB$2*$M1642))</f>
        <v/>
      </c>
      <c r="AC1642" s="48">
        <f>IF(OR($M1642="",$T1642=""),"",$T1642+(AC$2*$M1642))</f>
        <v/>
      </c>
      <c r="AD1642" s="48">
        <f>IF(OR($M1642="",$T1642=""),"",$T1642+(AD$2*$M1642))</f>
        <v/>
      </c>
      <c r="AE1642" s="49">
        <f>IF(OR($M1642="",$T1642=""),"",$T1642+(AE$2*$M1642))</f>
        <v/>
      </c>
      <c r="AF1642" s="52">
        <f>IF(OR(T1642="",I1642&lt;T1642),"",IFERROR(AVERAGE(T1642+M1642*{7,8,9,10,11})/IF(G1642="",I1642,G1642)-1,""))</f>
        <v/>
      </c>
      <c r="AG1642" s="55">
        <f>IF(OR(T1642="",I1642&lt;T1642),"",IFERROR(AF1642/-(R1642/IF(G1642="",I1642,G1642)-1),""))</f>
        <v/>
      </c>
      <c r="AH1642" s="94" t="n"/>
      <c r="AI1642" s="94" t="n"/>
      <c r="AJ1642" s="94" t="n"/>
      <c r="AK1642" s="94" t="n"/>
      <c r="AL1642" s="84" t="n"/>
    </row>
    <row r="1643">
      <c r="A1643" s="64" t="n"/>
      <c r="B1643" s="65" t="n"/>
      <c r="C1643" s="66" t="n"/>
      <c r="D1643" s="67" t="n"/>
      <c r="E1643" s="68" t="n"/>
      <c r="F1643" s="47">
        <f>IF(A1643="","",IF(MIN(H1643,MAX(J1643:K1643))=0,"",MIN(H1643,MAX(J1643:K1643))))</f>
        <v/>
      </c>
      <c r="G1643" s="74" t="n"/>
      <c r="H1643" s="49">
        <f>IF(M1643="","",IFERROR(ROUND(AVERAGE(T1643+M1643*{7,8,9,10,11})/1.21,4),""))</f>
        <v/>
      </c>
      <c r="I1643" s="76" t="n"/>
      <c r="J1643" s="77" t="n"/>
      <c r="K1643" s="74" t="n"/>
      <c r="L1643" s="78" t="n"/>
      <c r="M1643" s="77" t="n"/>
      <c r="N1643" s="53">
        <f>IF(M1643="","",IFERROR(M1643/I1643,""))</f>
        <v/>
      </c>
      <c r="O1643" s="50">
        <f>IF(A1643="","",IFERROR((IF(G1643="",I1643,G1643)-T1643)/M1643,""))</f>
        <v/>
      </c>
      <c r="P1643" s="50">
        <f>IFERROR((I1643/T1643-1)/N1643,"")</f>
        <v/>
      </c>
      <c r="Q1643" s="46">
        <f>IF(OR(T1643="",I1643&lt;T1643),"",IFERROR(R1643/IF(G1643="",I1643,G1643)-1,""))</f>
        <v/>
      </c>
      <c r="R1643" s="48">
        <f>IF($M1643="","",MAX(IF($G1643="",$I1643,$G1643)*(1/1.1),IF($G1643="",$I1643,$G1643)+(R$2*$M1643)))</f>
        <v/>
      </c>
      <c r="S1643" s="49">
        <f>IF($M1643="","",MAX(IF($G1643="",$I1643,$G1643)*(1/1.1),IF($G1643="",$I1643,$G1643)+(S$2*$M1643)))</f>
        <v/>
      </c>
      <c r="T1643" s="82" t="n"/>
      <c r="U1643" s="47">
        <f>IF(OR($M1643="",$T1643=""),"",$T1643+(U$2*$M1643))</f>
        <v/>
      </c>
      <c r="V1643" s="48">
        <f>IF(OR($M1643="",$T1643=""),"",$T1643+(V$2*$M1643))</f>
        <v/>
      </c>
      <c r="W1643" s="48">
        <f>IF(OR($M1643="",$T1643=""),"",$T1643+(W$2*$M1643))</f>
        <v/>
      </c>
      <c r="X1643" s="49">
        <f>IF(OR($M1643="",$T1643=""),"",$T1643+(X$2*$M1643))</f>
        <v/>
      </c>
      <c r="Y1643" s="47">
        <f>IF(OR($M1643="",$T1643=""),"",$T1643+(Y$2*$M1643))</f>
        <v/>
      </c>
      <c r="Z1643" s="49">
        <f>IF(OR($M1643="",$T1643=""),"",$T1643+(Z$2*$M1643))</f>
        <v/>
      </c>
      <c r="AA1643" s="51">
        <f>IF(OR($M1643="",$T1643=""),"",$T1643+(AA$2*$M1643))</f>
        <v/>
      </c>
      <c r="AB1643" s="48">
        <f>IF(OR($M1643="",$T1643=""),"",$T1643+(AB$2*$M1643))</f>
        <v/>
      </c>
      <c r="AC1643" s="48">
        <f>IF(OR($M1643="",$T1643=""),"",$T1643+(AC$2*$M1643))</f>
        <v/>
      </c>
      <c r="AD1643" s="48">
        <f>IF(OR($M1643="",$T1643=""),"",$T1643+(AD$2*$M1643))</f>
        <v/>
      </c>
      <c r="AE1643" s="49">
        <f>IF(OR($M1643="",$T1643=""),"",$T1643+(AE$2*$M1643))</f>
        <v/>
      </c>
      <c r="AF1643" s="52">
        <f>IF(OR(T1643="",I1643&lt;T1643),"",IFERROR(AVERAGE(T1643+M1643*{7,8,9,10,11})/IF(G1643="",I1643,G1643)-1,""))</f>
        <v/>
      </c>
      <c r="AG1643" s="55">
        <f>IF(OR(T1643="",I1643&lt;T1643),"",IFERROR(AF1643/-(R1643/IF(G1643="",I1643,G1643)-1),""))</f>
        <v/>
      </c>
      <c r="AH1643" s="94" t="n"/>
      <c r="AI1643" s="94" t="n"/>
      <c r="AJ1643" s="94" t="n"/>
      <c r="AK1643" s="94" t="n"/>
      <c r="AL1643" s="84" t="n"/>
    </row>
    <row r="1644">
      <c r="A1644" s="64" t="n"/>
      <c r="B1644" s="65" t="n"/>
      <c r="C1644" s="66" t="n"/>
      <c r="D1644" s="67" t="n"/>
      <c r="E1644" s="68" t="n"/>
      <c r="F1644" s="47">
        <f>IF(A1644="","",IF(MIN(H1644,MAX(J1644:K1644))=0,"",MIN(H1644,MAX(J1644:K1644))))</f>
        <v/>
      </c>
      <c r="G1644" s="74" t="n"/>
      <c r="H1644" s="49">
        <f>IF(M1644="","",IFERROR(ROUND(AVERAGE(T1644+M1644*{7,8,9,10,11})/1.21,4),""))</f>
        <v/>
      </c>
      <c r="I1644" s="76" t="n"/>
      <c r="J1644" s="77" t="n"/>
      <c r="K1644" s="74" t="n"/>
      <c r="L1644" s="78" t="n"/>
      <c r="M1644" s="77" t="n"/>
      <c r="N1644" s="53">
        <f>IF(M1644="","",IFERROR(M1644/I1644,""))</f>
        <v/>
      </c>
      <c r="O1644" s="50">
        <f>IF(A1644="","",IFERROR((IF(G1644="",I1644,G1644)-T1644)/M1644,""))</f>
        <v/>
      </c>
      <c r="P1644" s="50">
        <f>IFERROR((I1644/T1644-1)/N1644,"")</f>
        <v/>
      </c>
      <c r="Q1644" s="46">
        <f>IF(OR(T1644="",I1644&lt;T1644),"",IFERROR(R1644/IF(G1644="",I1644,G1644)-1,""))</f>
        <v/>
      </c>
      <c r="R1644" s="48">
        <f>IF($M1644="","",MAX(IF($G1644="",$I1644,$G1644)*(1/1.1),IF($G1644="",$I1644,$G1644)+(R$2*$M1644)))</f>
        <v/>
      </c>
      <c r="S1644" s="49">
        <f>IF($M1644="","",MAX(IF($G1644="",$I1644,$G1644)*(1/1.1),IF($G1644="",$I1644,$G1644)+(S$2*$M1644)))</f>
        <v/>
      </c>
      <c r="T1644" s="82" t="n"/>
      <c r="U1644" s="47">
        <f>IF(OR($M1644="",$T1644=""),"",$T1644+(U$2*$M1644))</f>
        <v/>
      </c>
      <c r="V1644" s="48">
        <f>IF(OR($M1644="",$T1644=""),"",$T1644+(V$2*$M1644))</f>
        <v/>
      </c>
      <c r="W1644" s="48">
        <f>IF(OR($M1644="",$T1644=""),"",$T1644+(W$2*$M1644))</f>
        <v/>
      </c>
      <c r="X1644" s="49">
        <f>IF(OR($M1644="",$T1644=""),"",$T1644+(X$2*$M1644))</f>
        <v/>
      </c>
      <c r="Y1644" s="47">
        <f>IF(OR($M1644="",$T1644=""),"",$T1644+(Y$2*$M1644))</f>
        <v/>
      </c>
      <c r="Z1644" s="49">
        <f>IF(OR($M1644="",$T1644=""),"",$T1644+(Z$2*$M1644))</f>
        <v/>
      </c>
      <c r="AA1644" s="51">
        <f>IF(OR($M1644="",$T1644=""),"",$T1644+(AA$2*$M1644))</f>
        <v/>
      </c>
      <c r="AB1644" s="48">
        <f>IF(OR($M1644="",$T1644=""),"",$T1644+(AB$2*$M1644))</f>
        <v/>
      </c>
      <c r="AC1644" s="48">
        <f>IF(OR($M1644="",$T1644=""),"",$T1644+(AC$2*$M1644))</f>
        <v/>
      </c>
      <c r="AD1644" s="48">
        <f>IF(OR($M1644="",$T1644=""),"",$T1644+(AD$2*$M1644))</f>
        <v/>
      </c>
      <c r="AE1644" s="49">
        <f>IF(OR($M1644="",$T1644=""),"",$T1644+(AE$2*$M1644))</f>
        <v/>
      </c>
      <c r="AF1644" s="52">
        <f>IF(OR(T1644="",I1644&lt;T1644),"",IFERROR(AVERAGE(T1644+M1644*{7,8,9,10,11})/IF(G1644="",I1644,G1644)-1,""))</f>
        <v/>
      </c>
      <c r="AG1644" s="55">
        <f>IF(OR(T1644="",I1644&lt;T1644),"",IFERROR(AF1644/-(R1644/IF(G1644="",I1644,G1644)-1),""))</f>
        <v/>
      </c>
      <c r="AH1644" s="94" t="n"/>
      <c r="AI1644" s="94" t="n"/>
      <c r="AJ1644" s="94" t="n"/>
      <c r="AK1644" s="94" t="n"/>
      <c r="AL1644" s="84" t="n"/>
    </row>
    <row r="1645">
      <c r="A1645" s="64" t="n"/>
      <c r="B1645" s="65" t="n"/>
      <c r="C1645" s="66" t="n"/>
      <c r="D1645" s="67" t="n"/>
      <c r="E1645" s="68" t="n"/>
      <c r="F1645" s="47">
        <f>IF(A1645="","",IF(MIN(H1645,MAX(J1645:K1645))=0,"",MIN(H1645,MAX(J1645:K1645))))</f>
        <v/>
      </c>
      <c r="G1645" s="74" t="n"/>
      <c r="H1645" s="49">
        <f>IF(M1645="","",IFERROR(ROUND(AVERAGE(T1645+M1645*{7,8,9,10,11})/1.21,4),""))</f>
        <v/>
      </c>
      <c r="I1645" s="76" t="n"/>
      <c r="J1645" s="77" t="n"/>
      <c r="K1645" s="74" t="n"/>
      <c r="L1645" s="78" t="n"/>
      <c r="M1645" s="77" t="n"/>
      <c r="N1645" s="53">
        <f>IF(M1645="","",IFERROR(M1645/I1645,""))</f>
        <v/>
      </c>
      <c r="O1645" s="50">
        <f>IF(A1645="","",IFERROR((IF(G1645="",I1645,G1645)-T1645)/M1645,""))</f>
        <v/>
      </c>
      <c r="P1645" s="50">
        <f>IFERROR((I1645/T1645-1)/N1645,"")</f>
        <v/>
      </c>
      <c r="Q1645" s="46">
        <f>IF(OR(T1645="",I1645&lt;T1645),"",IFERROR(R1645/IF(G1645="",I1645,G1645)-1,""))</f>
        <v/>
      </c>
      <c r="R1645" s="48">
        <f>IF($M1645="","",MAX(IF($G1645="",$I1645,$G1645)*(1/1.1),IF($G1645="",$I1645,$G1645)+(R$2*$M1645)))</f>
        <v/>
      </c>
      <c r="S1645" s="49">
        <f>IF($M1645="","",MAX(IF($G1645="",$I1645,$G1645)*(1/1.1),IF($G1645="",$I1645,$G1645)+(S$2*$M1645)))</f>
        <v/>
      </c>
      <c r="T1645" s="82" t="n"/>
      <c r="U1645" s="47">
        <f>IF(OR($M1645="",$T1645=""),"",$T1645+(U$2*$M1645))</f>
        <v/>
      </c>
      <c r="V1645" s="48">
        <f>IF(OR($M1645="",$T1645=""),"",$T1645+(V$2*$M1645))</f>
        <v/>
      </c>
      <c r="W1645" s="48">
        <f>IF(OR($M1645="",$T1645=""),"",$T1645+(W$2*$M1645))</f>
        <v/>
      </c>
      <c r="X1645" s="49">
        <f>IF(OR($M1645="",$T1645=""),"",$T1645+(X$2*$M1645))</f>
        <v/>
      </c>
      <c r="Y1645" s="47">
        <f>IF(OR($M1645="",$T1645=""),"",$T1645+(Y$2*$M1645))</f>
        <v/>
      </c>
      <c r="Z1645" s="49">
        <f>IF(OR($M1645="",$T1645=""),"",$T1645+(Z$2*$M1645))</f>
        <v/>
      </c>
      <c r="AA1645" s="51">
        <f>IF(OR($M1645="",$T1645=""),"",$T1645+(AA$2*$M1645))</f>
        <v/>
      </c>
      <c r="AB1645" s="48">
        <f>IF(OR($M1645="",$T1645=""),"",$T1645+(AB$2*$M1645))</f>
        <v/>
      </c>
      <c r="AC1645" s="48">
        <f>IF(OR($M1645="",$T1645=""),"",$T1645+(AC$2*$M1645))</f>
        <v/>
      </c>
      <c r="AD1645" s="48">
        <f>IF(OR($M1645="",$T1645=""),"",$T1645+(AD$2*$M1645))</f>
        <v/>
      </c>
      <c r="AE1645" s="49">
        <f>IF(OR($M1645="",$T1645=""),"",$T1645+(AE$2*$M1645))</f>
        <v/>
      </c>
      <c r="AF1645" s="52">
        <f>IF(OR(T1645="",I1645&lt;T1645),"",IFERROR(AVERAGE(T1645+M1645*{7,8,9,10,11})/IF(G1645="",I1645,G1645)-1,""))</f>
        <v/>
      </c>
      <c r="AG1645" s="55">
        <f>IF(OR(T1645="",I1645&lt;T1645),"",IFERROR(AF1645/-(R1645/IF(G1645="",I1645,G1645)-1),""))</f>
        <v/>
      </c>
      <c r="AH1645" s="94" t="n"/>
      <c r="AI1645" s="94" t="n"/>
      <c r="AJ1645" s="94" t="n"/>
      <c r="AK1645" s="94" t="n"/>
      <c r="AL1645" s="84" t="n"/>
    </row>
    <row r="1646">
      <c r="A1646" s="64" t="n"/>
      <c r="B1646" s="65" t="n"/>
      <c r="C1646" s="66" t="n"/>
      <c r="D1646" s="67" t="n"/>
      <c r="E1646" s="68" t="n"/>
      <c r="F1646" s="47">
        <f>IF(A1646="","",IF(MIN(H1646,MAX(J1646:K1646))=0,"",MIN(H1646,MAX(J1646:K1646))))</f>
        <v/>
      </c>
      <c r="G1646" s="74" t="n"/>
      <c r="H1646" s="49">
        <f>IF(M1646="","",IFERROR(ROUND(AVERAGE(T1646+M1646*{7,8,9,10,11})/1.21,4),""))</f>
        <v/>
      </c>
      <c r="I1646" s="76" t="n"/>
      <c r="J1646" s="77" t="n"/>
      <c r="K1646" s="74" t="n"/>
      <c r="L1646" s="78" t="n"/>
      <c r="M1646" s="77" t="n"/>
      <c r="N1646" s="53">
        <f>IF(M1646="","",IFERROR(M1646/I1646,""))</f>
        <v/>
      </c>
      <c r="O1646" s="50">
        <f>IF(A1646="","",IFERROR((IF(G1646="",I1646,G1646)-T1646)/M1646,""))</f>
        <v/>
      </c>
      <c r="P1646" s="50">
        <f>IFERROR((I1646/T1646-1)/N1646,"")</f>
        <v/>
      </c>
      <c r="Q1646" s="46">
        <f>IF(OR(T1646="",I1646&lt;T1646),"",IFERROR(R1646/IF(G1646="",I1646,G1646)-1,""))</f>
        <v/>
      </c>
      <c r="R1646" s="48">
        <f>IF($M1646="","",MAX(IF($G1646="",$I1646,$G1646)*(1/1.1),IF($G1646="",$I1646,$G1646)+(R$2*$M1646)))</f>
        <v/>
      </c>
      <c r="S1646" s="49">
        <f>IF($M1646="","",MAX(IF($G1646="",$I1646,$G1646)*(1/1.1),IF($G1646="",$I1646,$G1646)+(S$2*$M1646)))</f>
        <v/>
      </c>
      <c r="T1646" s="82" t="n"/>
      <c r="U1646" s="47">
        <f>IF(OR($M1646="",$T1646=""),"",$T1646+(U$2*$M1646))</f>
        <v/>
      </c>
      <c r="V1646" s="48">
        <f>IF(OR($M1646="",$T1646=""),"",$T1646+(V$2*$M1646))</f>
        <v/>
      </c>
      <c r="W1646" s="48">
        <f>IF(OR($M1646="",$T1646=""),"",$T1646+(W$2*$M1646))</f>
        <v/>
      </c>
      <c r="X1646" s="49">
        <f>IF(OR($M1646="",$T1646=""),"",$T1646+(X$2*$M1646))</f>
        <v/>
      </c>
      <c r="Y1646" s="47">
        <f>IF(OR($M1646="",$T1646=""),"",$T1646+(Y$2*$M1646))</f>
        <v/>
      </c>
      <c r="Z1646" s="49">
        <f>IF(OR($M1646="",$T1646=""),"",$T1646+(Z$2*$M1646))</f>
        <v/>
      </c>
      <c r="AA1646" s="51">
        <f>IF(OR($M1646="",$T1646=""),"",$T1646+(AA$2*$M1646))</f>
        <v/>
      </c>
      <c r="AB1646" s="48">
        <f>IF(OR($M1646="",$T1646=""),"",$T1646+(AB$2*$M1646))</f>
        <v/>
      </c>
      <c r="AC1646" s="48">
        <f>IF(OR($M1646="",$T1646=""),"",$T1646+(AC$2*$M1646))</f>
        <v/>
      </c>
      <c r="AD1646" s="48">
        <f>IF(OR($M1646="",$T1646=""),"",$T1646+(AD$2*$M1646))</f>
        <v/>
      </c>
      <c r="AE1646" s="49">
        <f>IF(OR($M1646="",$T1646=""),"",$T1646+(AE$2*$M1646))</f>
        <v/>
      </c>
      <c r="AF1646" s="52">
        <f>IF(OR(T1646="",I1646&lt;T1646),"",IFERROR(AVERAGE(T1646+M1646*{7,8,9,10,11})/IF(G1646="",I1646,G1646)-1,""))</f>
        <v/>
      </c>
      <c r="AG1646" s="55">
        <f>IF(OR(T1646="",I1646&lt;T1646),"",IFERROR(AF1646/-(R1646/IF(G1646="",I1646,G1646)-1),""))</f>
        <v/>
      </c>
      <c r="AH1646" s="94" t="n"/>
      <c r="AI1646" s="94" t="n"/>
      <c r="AJ1646" s="94" t="n"/>
      <c r="AK1646" s="94" t="n"/>
      <c r="AL1646" s="84" t="n"/>
    </row>
    <row r="1647">
      <c r="A1647" s="64" t="n"/>
      <c r="B1647" s="65" t="n"/>
      <c r="C1647" s="66" t="n"/>
      <c r="D1647" s="67" t="n"/>
      <c r="E1647" s="68" t="n"/>
      <c r="F1647" s="47">
        <f>IF(A1647="","",IF(MIN(H1647,MAX(J1647:K1647))=0,"",MIN(H1647,MAX(J1647:K1647))))</f>
        <v/>
      </c>
      <c r="G1647" s="74" t="n"/>
      <c r="H1647" s="49">
        <f>IF(M1647="","",IFERROR(ROUND(AVERAGE(T1647+M1647*{7,8,9,10,11})/1.21,4),""))</f>
        <v/>
      </c>
      <c r="I1647" s="76" t="n"/>
      <c r="J1647" s="77" t="n"/>
      <c r="K1647" s="74" t="n"/>
      <c r="L1647" s="78" t="n"/>
      <c r="M1647" s="77" t="n"/>
      <c r="N1647" s="53">
        <f>IF(M1647="","",IFERROR(M1647/I1647,""))</f>
        <v/>
      </c>
      <c r="O1647" s="50">
        <f>IF(A1647="","",IFERROR((IF(G1647="",I1647,G1647)-T1647)/M1647,""))</f>
        <v/>
      </c>
      <c r="P1647" s="50">
        <f>IFERROR((I1647/T1647-1)/N1647,"")</f>
        <v/>
      </c>
      <c r="Q1647" s="46">
        <f>IF(OR(T1647="",I1647&lt;T1647),"",IFERROR(R1647/IF(G1647="",I1647,G1647)-1,""))</f>
        <v/>
      </c>
      <c r="R1647" s="48">
        <f>IF($M1647="","",MAX(IF($G1647="",$I1647,$G1647)*(1/1.1),IF($G1647="",$I1647,$G1647)+(R$2*$M1647)))</f>
        <v/>
      </c>
      <c r="S1647" s="49">
        <f>IF($M1647="","",MAX(IF($G1647="",$I1647,$G1647)*(1/1.1),IF($G1647="",$I1647,$G1647)+(S$2*$M1647)))</f>
        <v/>
      </c>
      <c r="T1647" s="82" t="n"/>
      <c r="U1647" s="47">
        <f>IF(OR($M1647="",$T1647=""),"",$T1647+(U$2*$M1647))</f>
        <v/>
      </c>
      <c r="V1647" s="48">
        <f>IF(OR($M1647="",$T1647=""),"",$T1647+(V$2*$M1647))</f>
        <v/>
      </c>
      <c r="W1647" s="48">
        <f>IF(OR($M1647="",$T1647=""),"",$T1647+(W$2*$M1647))</f>
        <v/>
      </c>
      <c r="X1647" s="49">
        <f>IF(OR($M1647="",$T1647=""),"",$T1647+(X$2*$M1647))</f>
        <v/>
      </c>
      <c r="Y1647" s="47">
        <f>IF(OR($M1647="",$T1647=""),"",$T1647+(Y$2*$M1647))</f>
        <v/>
      </c>
      <c r="Z1647" s="49">
        <f>IF(OR($M1647="",$T1647=""),"",$T1647+(Z$2*$M1647))</f>
        <v/>
      </c>
      <c r="AA1647" s="51">
        <f>IF(OR($M1647="",$T1647=""),"",$T1647+(AA$2*$M1647))</f>
        <v/>
      </c>
      <c r="AB1647" s="48">
        <f>IF(OR($M1647="",$T1647=""),"",$T1647+(AB$2*$M1647))</f>
        <v/>
      </c>
      <c r="AC1647" s="48">
        <f>IF(OR($M1647="",$T1647=""),"",$T1647+(AC$2*$M1647))</f>
        <v/>
      </c>
      <c r="AD1647" s="48">
        <f>IF(OR($M1647="",$T1647=""),"",$T1647+(AD$2*$M1647))</f>
        <v/>
      </c>
      <c r="AE1647" s="49">
        <f>IF(OR($M1647="",$T1647=""),"",$T1647+(AE$2*$M1647))</f>
        <v/>
      </c>
      <c r="AF1647" s="52">
        <f>IF(OR(T1647="",I1647&lt;T1647),"",IFERROR(AVERAGE(T1647+M1647*{7,8,9,10,11})/IF(G1647="",I1647,G1647)-1,""))</f>
        <v/>
      </c>
      <c r="AG1647" s="55">
        <f>IF(OR(T1647="",I1647&lt;T1647),"",IFERROR(AF1647/-(R1647/IF(G1647="",I1647,G1647)-1),""))</f>
        <v/>
      </c>
      <c r="AH1647" s="94" t="n"/>
      <c r="AI1647" s="94" t="n"/>
      <c r="AJ1647" s="94" t="n"/>
      <c r="AK1647" s="94" t="n"/>
      <c r="AL1647" s="84" t="n"/>
    </row>
    <row r="1648">
      <c r="A1648" s="64" t="n"/>
      <c r="B1648" s="65" t="n"/>
      <c r="C1648" s="66" t="n"/>
      <c r="D1648" s="67" t="n"/>
      <c r="E1648" s="68" t="n"/>
      <c r="F1648" s="47">
        <f>IF(A1648="","",IF(MIN(H1648,MAX(J1648:K1648))=0,"",MIN(H1648,MAX(J1648:K1648))))</f>
        <v/>
      </c>
      <c r="G1648" s="74" t="n"/>
      <c r="H1648" s="49">
        <f>IF(M1648="","",IFERROR(ROUND(AVERAGE(T1648+M1648*{7,8,9,10,11})/1.21,4),""))</f>
        <v/>
      </c>
      <c r="I1648" s="76" t="n"/>
      <c r="J1648" s="77" t="n"/>
      <c r="K1648" s="74" t="n"/>
      <c r="L1648" s="78" t="n"/>
      <c r="M1648" s="77" t="n"/>
      <c r="N1648" s="53">
        <f>IF(M1648="","",IFERROR(M1648/I1648,""))</f>
        <v/>
      </c>
      <c r="O1648" s="50">
        <f>IF(A1648="","",IFERROR((IF(G1648="",I1648,G1648)-T1648)/M1648,""))</f>
        <v/>
      </c>
      <c r="P1648" s="50">
        <f>IFERROR((I1648/T1648-1)/N1648,"")</f>
        <v/>
      </c>
      <c r="Q1648" s="46">
        <f>IF(OR(T1648="",I1648&lt;T1648),"",IFERROR(R1648/IF(G1648="",I1648,G1648)-1,""))</f>
        <v/>
      </c>
      <c r="R1648" s="48">
        <f>IF($M1648="","",MAX(IF($G1648="",$I1648,$G1648)*(1/1.1),IF($G1648="",$I1648,$G1648)+(R$2*$M1648)))</f>
        <v/>
      </c>
      <c r="S1648" s="49">
        <f>IF($M1648="","",MAX(IF($G1648="",$I1648,$G1648)*(1/1.1),IF($G1648="",$I1648,$G1648)+(S$2*$M1648)))</f>
        <v/>
      </c>
      <c r="T1648" s="82" t="n"/>
      <c r="U1648" s="47">
        <f>IF(OR($M1648="",$T1648=""),"",$T1648+(U$2*$M1648))</f>
        <v/>
      </c>
      <c r="V1648" s="48">
        <f>IF(OR($M1648="",$T1648=""),"",$T1648+(V$2*$M1648))</f>
        <v/>
      </c>
      <c r="W1648" s="48">
        <f>IF(OR($M1648="",$T1648=""),"",$T1648+(W$2*$M1648))</f>
        <v/>
      </c>
      <c r="X1648" s="49">
        <f>IF(OR($M1648="",$T1648=""),"",$T1648+(X$2*$M1648))</f>
        <v/>
      </c>
      <c r="Y1648" s="47">
        <f>IF(OR($M1648="",$T1648=""),"",$T1648+(Y$2*$M1648))</f>
        <v/>
      </c>
      <c r="Z1648" s="49">
        <f>IF(OR($M1648="",$T1648=""),"",$T1648+(Z$2*$M1648))</f>
        <v/>
      </c>
      <c r="AA1648" s="51">
        <f>IF(OR($M1648="",$T1648=""),"",$T1648+(AA$2*$M1648))</f>
        <v/>
      </c>
      <c r="AB1648" s="48">
        <f>IF(OR($M1648="",$T1648=""),"",$T1648+(AB$2*$M1648))</f>
        <v/>
      </c>
      <c r="AC1648" s="48">
        <f>IF(OR($M1648="",$T1648=""),"",$T1648+(AC$2*$M1648))</f>
        <v/>
      </c>
      <c r="AD1648" s="48">
        <f>IF(OR($M1648="",$T1648=""),"",$T1648+(AD$2*$M1648))</f>
        <v/>
      </c>
      <c r="AE1648" s="49">
        <f>IF(OR($M1648="",$T1648=""),"",$T1648+(AE$2*$M1648))</f>
        <v/>
      </c>
      <c r="AF1648" s="52">
        <f>IF(OR(T1648="",I1648&lt;T1648),"",IFERROR(AVERAGE(T1648+M1648*{7,8,9,10,11})/IF(G1648="",I1648,G1648)-1,""))</f>
        <v/>
      </c>
      <c r="AG1648" s="55">
        <f>IF(OR(T1648="",I1648&lt;T1648),"",IFERROR(AF1648/-(R1648/IF(G1648="",I1648,G1648)-1),""))</f>
        <v/>
      </c>
      <c r="AH1648" s="94" t="n"/>
      <c r="AI1648" s="94" t="n"/>
      <c r="AJ1648" s="94" t="n"/>
      <c r="AK1648" s="94" t="n"/>
      <c r="AL1648" s="84" t="n"/>
    </row>
    <row r="1649">
      <c r="A1649" s="64" t="n"/>
      <c r="B1649" s="65" t="n"/>
      <c r="C1649" s="66" t="n"/>
      <c r="D1649" s="67" t="n"/>
      <c r="E1649" s="68" t="n"/>
      <c r="F1649" s="47">
        <f>IF(A1649="","",IF(MIN(H1649,MAX(J1649:K1649))=0,"",MIN(H1649,MAX(J1649:K1649))))</f>
        <v/>
      </c>
      <c r="G1649" s="74" t="n"/>
      <c r="H1649" s="49">
        <f>IF(M1649="","",IFERROR(ROUND(AVERAGE(T1649+M1649*{7,8,9,10,11})/1.21,4),""))</f>
        <v/>
      </c>
      <c r="I1649" s="76" t="n"/>
      <c r="J1649" s="77" t="n"/>
      <c r="K1649" s="74" t="n"/>
      <c r="L1649" s="78" t="n"/>
      <c r="M1649" s="77" t="n"/>
      <c r="N1649" s="53">
        <f>IF(M1649="","",IFERROR(M1649/I1649,""))</f>
        <v/>
      </c>
      <c r="O1649" s="50">
        <f>IF(A1649="","",IFERROR((IF(G1649="",I1649,G1649)-T1649)/M1649,""))</f>
        <v/>
      </c>
      <c r="P1649" s="50">
        <f>IFERROR((I1649/T1649-1)/N1649,"")</f>
        <v/>
      </c>
      <c r="Q1649" s="46">
        <f>IF(OR(T1649="",I1649&lt;T1649),"",IFERROR(R1649/IF(G1649="",I1649,G1649)-1,""))</f>
        <v/>
      </c>
      <c r="R1649" s="48">
        <f>IF($M1649="","",MAX(IF($G1649="",$I1649,$G1649)*(1/1.1),IF($G1649="",$I1649,$G1649)+(R$2*$M1649)))</f>
        <v/>
      </c>
      <c r="S1649" s="49">
        <f>IF($M1649="","",MAX(IF($G1649="",$I1649,$G1649)*(1/1.1),IF($G1649="",$I1649,$G1649)+(S$2*$M1649)))</f>
        <v/>
      </c>
      <c r="T1649" s="82" t="n"/>
      <c r="U1649" s="47">
        <f>IF(OR($M1649="",$T1649=""),"",$T1649+(U$2*$M1649))</f>
        <v/>
      </c>
      <c r="V1649" s="48">
        <f>IF(OR($M1649="",$T1649=""),"",$T1649+(V$2*$M1649))</f>
        <v/>
      </c>
      <c r="W1649" s="48">
        <f>IF(OR($M1649="",$T1649=""),"",$T1649+(W$2*$M1649))</f>
        <v/>
      </c>
      <c r="X1649" s="49">
        <f>IF(OR($M1649="",$T1649=""),"",$T1649+(X$2*$M1649))</f>
        <v/>
      </c>
      <c r="Y1649" s="47">
        <f>IF(OR($M1649="",$T1649=""),"",$T1649+(Y$2*$M1649))</f>
        <v/>
      </c>
      <c r="Z1649" s="49">
        <f>IF(OR($M1649="",$T1649=""),"",$T1649+(Z$2*$M1649))</f>
        <v/>
      </c>
      <c r="AA1649" s="51">
        <f>IF(OR($M1649="",$T1649=""),"",$T1649+(AA$2*$M1649))</f>
        <v/>
      </c>
      <c r="AB1649" s="48">
        <f>IF(OR($M1649="",$T1649=""),"",$T1649+(AB$2*$M1649))</f>
        <v/>
      </c>
      <c r="AC1649" s="48">
        <f>IF(OR($M1649="",$T1649=""),"",$T1649+(AC$2*$M1649))</f>
        <v/>
      </c>
      <c r="AD1649" s="48">
        <f>IF(OR($M1649="",$T1649=""),"",$T1649+(AD$2*$M1649))</f>
        <v/>
      </c>
      <c r="AE1649" s="49">
        <f>IF(OR($M1649="",$T1649=""),"",$T1649+(AE$2*$M1649))</f>
        <v/>
      </c>
      <c r="AF1649" s="52">
        <f>IF(OR(T1649="",I1649&lt;T1649),"",IFERROR(AVERAGE(T1649+M1649*{7,8,9,10,11})/IF(G1649="",I1649,G1649)-1,""))</f>
        <v/>
      </c>
      <c r="AG1649" s="55">
        <f>IF(OR(T1649="",I1649&lt;T1649),"",IFERROR(AF1649/-(R1649/IF(G1649="",I1649,G1649)-1),""))</f>
        <v/>
      </c>
      <c r="AH1649" s="94" t="n"/>
      <c r="AI1649" s="94" t="n"/>
      <c r="AJ1649" s="94" t="n"/>
      <c r="AK1649" s="94" t="n"/>
      <c r="AL1649" s="84" t="n"/>
    </row>
    <row r="1650">
      <c r="A1650" s="64" t="n"/>
      <c r="B1650" s="65" t="n"/>
      <c r="C1650" s="66" t="n"/>
      <c r="D1650" s="67" t="n"/>
      <c r="E1650" s="68" t="n"/>
      <c r="F1650" s="47">
        <f>IF(A1650="","",IF(MIN(H1650,MAX(J1650:K1650))=0,"",MIN(H1650,MAX(J1650:K1650))))</f>
        <v/>
      </c>
      <c r="G1650" s="74" t="n"/>
      <c r="H1650" s="49">
        <f>IF(M1650="","",IFERROR(ROUND(AVERAGE(T1650+M1650*{7,8,9,10,11})/1.21,4),""))</f>
        <v/>
      </c>
      <c r="I1650" s="76" t="n"/>
      <c r="J1650" s="77" t="n"/>
      <c r="K1650" s="74" t="n"/>
      <c r="L1650" s="78" t="n"/>
      <c r="M1650" s="77" t="n"/>
      <c r="N1650" s="53">
        <f>IF(M1650="","",IFERROR(M1650/I1650,""))</f>
        <v/>
      </c>
      <c r="O1650" s="50">
        <f>IF(A1650="","",IFERROR((IF(G1650="",I1650,G1650)-T1650)/M1650,""))</f>
        <v/>
      </c>
      <c r="P1650" s="50">
        <f>IFERROR((I1650/T1650-1)/N1650,"")</f>
        <v/>
      </c>
      <c r="Q1650" s="46">
        <f>IF(OR(T1650="",I1650&lt;T1650),"",IFERROR(R1650/IF(G1650="",I1650,G1650)-1,""))</f>
        <v/>
      </c>
      <c r="R1650" s="48">
        <f>IF($M1650="","",MAX(IF($G1650="",$I1650,$G1650)*(1/1.1),IF($G1650="",$I1650,$G1650)+(R$2*$M1650)))</f>
        <v/>
      </c>
      <c r="S1650" s="49">
        <f>IF($M1650="","",MAX(IF($G1650="",$I1650,$G1650)*(1/1.1),IF($G1650="",$I1650,$G1650)+(S$2*$M1650)))</f>
        <v/>
      </c>
      <c r="T1650" s="82" t="n"/>
      <c r="U1650" s="47">
        <f>IF(OR($M1650="",$T1650=""),"",$T1650+(U$2*$M1650))</f>
        <v/>
      </c>
      <c r="V1650" s="48">
        <f>IF(OR($M1650="",$T1650=""),"",$T1650+(V$2*$M1650))</f>
        <v/>
      </c>
      <c r="W1650" s="48">
        <f>IF(OR($M1650="",$T1650=""),"",$T1650+(W$2*$M1650))</f>
        <v/>
      </c>
      <c r="X1650" s="49">
        <f>IF(OR($M1650="",$T1650=""),"",$T1650+(X$2*$M1650))</f>
        <v/>
      </c>
      <c r="Y1650" s="47">
        <f>IF(OR($M1650="",$T1650=""),"",$T1650+(Y$2*$M1650))</f>
        <v/>
      </c>
      <c r="Z1650" s="49">
        <f>IF(OR($M1650="",$T1650=""),"",$T1650+(Z$2*$M1650))</f>
        <v/>
      </c>
      <c r="AA1650" s="51">
        <f>IF(OR($M1650="",$T1650=""),"",$T1650+(AA$2*$M1650))</f>
        <v/>
      </c>
      <c r="AB1650" s="48">
        <f>IF(OR($M1650="",$T1650=""),"",$T1650+(AB$2*$M1650))</f>
        <v/>
      </c>
      <c r="AC1650" s="48">
        <f>IF(OR($M1650="",$T1650=""),"",$T1650+(AC$2*$M1650))</f>
        <v/>
      </c>
      <c r="AD1650" s="48">
        <f>IF(OR($M1650="",$T1650=""),"",$T1650+(AD$2*$M1650))</f>
        <v/>
      </c>
      <c r="AE1650" s="49">
        <f>IF(OR($M1650="",$T1650=""),"",$T1650+(AE$2*$M1650))</f>
        <v/>
      </c>
      <c r="AF1650" s="52">
        <f>IF(OR(T1650="",I1650&lt;T1650),"",IFERROR(AVERAGE(T1650+M1650*{7,8,9,10,11})/IF(G1650="",I1650,G1650)-1,""))</f>
        <v/>
      </c>
      <c r="AG1650" s="55">
        <f>IF(OR(T1650="",I1650&lt;T1650),"",IFERROR(AF1650/-(R1650/IF(G1650="",I1650,G1650)-1),""))</f>
        <v/>
      </c>
      <c r="AH1650" s="94" t="n"/>
      <c r="AI1650" s="94" t="n"/>
      <c r="AJ1650" s="94" t="n"/>
      <c r="AK1650" s="94" t="n"/>
      <c r="AL1650" s="84" t="n"/>
    </row>
    <row r="1651">
      <c r="A1651" s="64" t="n"/>
      <c r="B1651" s="65" t="n"/>
      <c r="C1651" s="66" t="n"/>
      <c r="D1651" s="67" t="n"/>
      <c r="E1651" s="68" t="n"/>
      <c r="F1651" s="47">
        <f>IF(A1651="","",IF(MIN(H1651,MAX(J1651:K1651))=0,"",MIN(H1651,MAX(J1651:K1651))))</f>
        <v/>
      </c>
      <c r="G1651" s="74" t="n"/>
      <c r="H1651" s="49">
        <f>IF(M1651="","",IFERROR(ROUND(AVERAGE(T1651+M1651*{7,8,9,10,11})/1.21,4),""))</f>
        <v/>
      </c>
      <c r="I1651" s="76" t="n"/>
      <c r="J1651" s="77" t="n"/>
      <c r="K1651" s="74" t="n"/>
      <c r="L1651" s="78" t="n"/>
      <c r="M1651" s="77" t="n"/>
      <c r="N1651" s="53">
        <f>IF(M1651="","",IFERROR(M1651/I1651,""))</f>
        <v/>
      </c>
      <c r="O1651" s="50">
        <f>IF(A1651="","",IFERROR((IF(G1651="",I1651,G1651)-T1651)/M1651,""))</f>
        <v/>
      </c>
      <c r="P1651" s="50">
        <f>IFERROR((I1651/T1651-1)/N1651,"")</f>
        <v/>
      </c>
      <c r="Q1651" s="46">
        <f>IF(OR(T1651="",I1651&lt;T1651),"",IFERROR(R1651/IF(G1651="",I1651,G1651)-1,""))</f>
        <v/>
      </c>
      <c r="R1651" s="48">
        <f>IF($M1651="","",MAX(IF($G1651="",$I1651,$G1651)*(1/1.1),IF($G1651="",$I1651,$G1651)+(R$2*$M1651)))</f>
        <v/>
      </c>
      <c r="S1651" s="49">
        <f>IF($M1651="","",MAX(IF($G1651="",$I1651,$G1651)*(1/1.1),IF($G1651="",$I1651,$G1651)+(S$2*$M1651)))</f>
        <v/>
      </c>
      <c r="T1651" s="82" t="n"/>
      <c r="U1651" s="47">
        <f>IF(OR($M1651="",$T1651=""),"",$T1651+(U$2*$M1651))</f>
        <v/>
      </c>
      <c r="V1651" s="48">
        <f>IF(OR($M1651="",$T1651=""),"",$T1651+(V$2*$M1651))</f>
        <v/>
      </c>
      <c r="W1651" s="48">
        <f>IF(OR($M1651="",$T1651=""),"",$T1651+(W$2*$M1651))</f>
        <v/>
      </c>
      <c r="X1651" s="49">
        <f>IF(OR($M1651="",$T1651=""),"",$T1651+(X$2*$M1651))</f>
        <v/>
      </c>
      <c r="Y1651" s="47">
        <f>IF(OR($M1651="",$T1651=""),"",$T1651+(Y$2*$M1651))</f>
        <v/>
      </c>
      <c r="Z1651" s="49">
        <f>IF(OR($M1651="",$T1651=""),"",$T1651+(Z$2*$M1651))</f>
        <v/>
      </c>
      <c r="AA1651" s="51">
        <f>IF(OR($M1651="",$T1651=""),"",$T1651+(AA$2*$M1651))</f>
        <v/>
      </c>
      <c r="AB1651" s="48">
        <f>IF(OR($M1651="",$T1651=""),"",$T1651+(AB$2*$M1651))</f>
        <v/>
      </c>
      <c r="AC1651" s="48">
        <f>IF(OR($M1651="",$T1651=""),"",$T1651+(AC$2*$M1651))</f>
        <v/>
      </c>
      <c r="AD1651" s="48">
        <f>IF(OR($M1651="",$T1651=""),"",$T1651+(AD$2*$M1651))</f>
        <v/>
      </c>
      <c r="AE1651" s="49">
        <f>IF(OR($M1651="",$T1651=""),"",$T1651+(AE$2*$M1651))</f>
        <v/>
      </c>
      <c r="AF1651" s="52">
        <f>IF(OR(T1651="",I1651&lt;T1651),"",IFERROR(AVERAGE(T1651+M1651*{7,8,9,10,11})/IF(G1651="",I1651,G1651)-1,""))</f>
        <v/>
      </c>
      <c r="AG1651" s="55">
        <f>IF(OR(T1651="",I1651&lt;T1651),"",IFERROR(AF1651/-(R1651/IF(G1651="",I1651,G1651)-1),""))</f>
        <v/>
      </c>
      <c r="AH1651" s="94" t="n"/>
      <c r="AI1651" s="94" t="n"/>
      <c r="AJ1651" s="94" t="n"/>
      <c r="AK1651" s="94" t="n"/>
      <c r="AL1651" s="84" t="n"/>
    </row>
    <row r="1652">
      <c r="A1652" s="64" t="n"/>
      <c r="B1652" s="65" t="n"/>
      <c r="C1652" s="66" t="n"/>
      <c r="D1652" s="67" t="n"/>
      <c r="E1652" s="68" t="n"/>
      <c r="F1652" s="47">
        <f>IF(A1652="","",IF(MIN(H1652,MAX(J1652:K1652))=0,"",MIN(H1652,MAX(J1652:K1652))))</f>
        <v/>
      </c>
      <c r="G1652" s="74" t="n"/>
      <c r="H1652" s="49">
        <f>IF(M1652="","",IFERROR(ROUND(AVERAGE(T1652+M1652*{7,8,9,10,11})/1.21,4),""))</f>
        <v/>
      </c>
      <c r="I1652" s="76" t="n"/>
      <c r="J1652" s="77" t="n"/>
      <c r="K1652" s="74" t="n"/>
      <c r="L1652" s="78" t="n"/>
      <c r="M1652" s="77" t="n"/>
      <c r="N1652" s="53">
        <f>IF(M1652="","",IFERROR(M1652/I1652,""))</f>
        <v/>
      </c>
      <c r="O1652" s="50">
        <f>IF(A1652="","",IFERROR((IF(G1652="",I1652,G1652)-T1652)/M1652,""))</f>
        <v/>
      </c>
      <c r="P1652" s="50">
        <f>IFERROR((I1652/T1652-1)/N1652,"")</f>
        <v/>
      </c>
      <c r="Q1652" s="46">
        <f>IF(OR(T1652="",I1652&lt;T1652),"",IFERROR(R1652/IF(G1652="",I1652,G1652)-1,""))</f>
        <v/>
      </c>
      <c r="R1652" s="48">
        <f>IF($M1652="","",MAX(IF($G1652="",$I1652,$G1652)*(1/1.1),IF($G1652="",$I1652,$G1652)+(R$2*$M1652)))</f>
        <v/>
      </c>
      <c r="S1652" s="49">
        <f>IF($M1652="","",MAX(IF($G1652="",$I1652,$G1652)*(1/1.1),IF($G1652="",$I1652,$G1652)+(S$2*$M1652)))</f>
        <v/>
      </c>
      <c r="T1652" s="82" t="n"/>
      <c r="U1652" s="47">
        <f>IF(OR($M1652="",$T1652=""),"",$T1652+(U$2*$M1652))</f>
        <v/>
      </c>
      <c r="V1652" s="48">
        <f>IF(OR($M1652="",$T1652=""),"",$T1652+(V$2*$M1652))</f>
        <v/>
      </c>
      <c r="W1652" s="48">
        <f>IF(OR($M1652="",$T1652=""),"",$T1652+(W$2*$M1652))</f>
        <v/>
      </c>
      <c r="X1652" s="49">
        <f>IF(OR($M1652="",$T1652=""),"",$T1652+(X$2*$M1652))</f>
        <v/>
      </c>
      <c r="Y1652" s="47">
        <f>IF(OR($M1652="",$T1652=""),"",$T1652+(Y$2*$M1652))</f>
        <v/>
      </c>
      <c r="Z1652" s="49">
        <f>IF(OR($M1652="",$T1652=""),"",$T1652+(Z$2*$M1652))</f>
        <v/>
      </c>
      <c r="AA1652" s="51">
        <f>IF(OR($M1652="",$T1652=""),"",$T1652+(AA$2*$M1652))</f>
        <v/>
      </c>
      <c r="AB1652" s="48">
        <f>IF(OR($M1652="",$T1652=""),"",$T1652+(AB$2*$M1652))</f>
        <v/>
      </c>
      <c r="AC1652" s="48">
        <f>IF(OR($M1652="",$T1652=""),"",$T1652+(AC$2*$M1652))</f>
        <v/>
      </c>
      <c r="AD1652" s="48">
        <f>IF(OR($M1652="",$T1652=""),"",$T1652+(AD$2*$M1652))</f>
        <v/>
      </c>
      <c r="AE1652" s="49">
        <f>IF(OR($M1652="",$T1652=""),"",$T1652+(AE$2*$M1652))</f>
        <v/>
      </c>
      <c r="AF1652" s="52">
        <f>IF(OR(T1652="",I1652&lt;T1652),"",IFERROR(AVERAGE(T1652+M1652*{7,8,9,10,11})/IF(G1652="",I1652,G1652)-1,""))</f>
        <v/>
      </c>
      <c r="AG1652" s="55">
        <f>IF(OR(T1652="",I1652&lt;T1652),"",IFERROR(AF1652/-(R1652/IF(G1652="",I1652,G1652)-1),""))</f>
        <v/>
      </c>
      <c r="AH1652" s="94" t="n"/>
      <c r="AI1652" s="94" t="n"/>
      <c r="AJ1652" s="94" t="n"/>
      <c r="AK1652" s="94" t="n"/>
      <c r="AL1652" s="84" t="n"/>
    </row>
    <row r="1653">
      <c r="A1653" s="64" t="n"/>
      <c r="B1653" s="65" t="n"/>
      <c r="C1653" s="66" t="n"/>
      <c r="D1653" s="67" t="n"/>
      <c r="E1653" s="68" t="n"/>
      <c r="F1653" s="47">
        <f>IF(A1653="","",IF(MIN(H1653,MAX(J1653:K1653))=0,"",MIN(H1653,MAX(J1653:K1653))))</f>
        <v/>
      </c>
      <c r="G1653" s="74" t="n"/>
      <c r="H1653" s="49">
        <f>IF(M1653="","",IFERROR(ROUND(AVERAGE(T1653+M1653*{7,8,9,10,11})/1.21,4),""))</f>
        <v/>
      </c>
      <c r="I1653" s="76" t="n"/>
      <c r="J1653" s="77" t="n"/>
      <c r="K1653" s="74" t="n"/>
      <c r="L1653" s="78" t="n"/>
      <c r="M1653" s="77" t="n"/>
      <c r="N1653" s="53">
        <f>IF(M1653="","",IFERROR(M1653/I1653,""))</f>
        <v/>
      </c>
      <c r="O1653" s="50">
        <f>IF(A1653="","",IFERROR((IF(G1653="",I1653,G1653)-T1653)/M1653,""))</f>
        <v/>
      </c>
      <c r="P1653" s="50">
        <f>IFERROR((I1653/T1653-1)/N1653,"")</f>
        <v/>
      </c>
      <c r="Q1653" s="46">
        <f>IF(OR(T1653="",I1653&lt;T1653),"",IFERROR(R1653/IF(G1653="",I1653,G1653)-1,""))</f>
        <v/>
      </c>
      <c r="R1653" s="48">
        <f>IF($M1653="","",MAX(IF($G1653="",$I1653,$G1653)*(1/1.1),IF($G1653="",$I1653,$G1653)+(R$2*$M1653)))</f>
        <v/>
      </c>
      <c r="S1653" s="49">
        <f>IF($M1653="","",MAX(IF($G1653="",$I1653,$G1653)*(1/1.1),IF($G1653="",$I1653,$G1653)+(S$2*$M1653)))</f>
        <v/>
      </c>
      <c r="T1653" s="82" t="n"/>
      <c r="U1653" s="47">
        <f>IF(OR($M1653="",$T1653=""),"",$T1653+(U$2*$M1653))</f>
        <v/>
      </c>
      <c r="V1653" s="48">
        <f>IF(OR($M1653="",$T1653=""),"",$T1653+(V$2*$M1653))</f>
        <v/>
      </c>
      <c r="W1653" s="48">
        <f>IF(OR($M1653="",$T1653=""),"",$T1653+(W$2*$M1653))</f>
        <v/>
      </c>
      <c r="X1653" s="49">
        <f>IF(OR($M1653="",$T1653=""),"",$T1653+(X$2*$M1653))</f>
        <v/>
      </c>
      <c r="Y1653" s="47">
        <f>IF(OR($M1653="",$T1653=""),"",$T1653+(Y$2*$M1653))</f>
        <v/>
      </c>
      <c r="Z1653" s="49">
        <f>IF(OR($M1653="",$T1653=""),"",$T1653+(Z$2*$M1653))</f>
        <v/>
      </c>
      <c r="AA1653" s="51">
        <f>IF(OR($M1653="",$T1653=""),"",$T1653+(AA$2*$M1653))</f>
        <v/>
      </c>
      <c r="AB1653" s="48">
        <f>IF(OR($M1653="",$T1653=""),"",$T1653+(AB$2*$M1653))</f>
        <v/>
      </c>
      <c r="AC1653" s="48">
        <f>IF(OR($M1653="",$T1653=""),"",$T1653+(AC$2*$M1653))</f>
        <v/>
      </c>
      <c r="AD1653" s="48">
        <f>IF(OR($M1653="",$T1653=""),"",$T1653+(AD$2*$M1653))</f>
        <v/>
      </c>
      <c r="AE1653" s="49">
        <f>IF(OR($M1653="",$T1653=""),"",$T1653+(AE$2*$M1653))</f>
        <v/>
      </c>
      <c r="AF1653" s="52">
        <f>IF(OR(T1653="",I1653&lt;T1653),"",IFERROR(AVERAGE(T1653+M1653*{7,8,9,10,11})/IF(G1653="",I1653,G1653)-1,""))</f>
        <v/>
      </c>
      <c r="AG1653" s="55">
        <f>IF(OR(T1653="",I1653&lt;T1653),"",IFERROR(AF1653/-(R1653/IF(G1653="",I1653,G1653)-1),""))</f>
        <v/>
      </c>
      <c r="AH1653" s="94" t="n"/>
      <c r="AI1653" s="94" t="n"/>
      <c r="AJ1653" s="94" t="n"/>
      <c r="AK1653" s="94" t="n"/>
      <c r="AL1653" s="84" t="n"/>
    </row>
    <row r="1654">
      <c r="A1654" s="64" t="n"/>
      <c r="B1654" s="65" t="n"/>
      <c r="C1654" s="66" t="n"/>
      <c r="D1654" s="67" t="n"/>
      <c r="E1654" s="68" t="n"/>
      <c r="F1654" s="47">
        <f>IF(A1654="","",IF(MIN(H1654,MAX(J1654:K1654))=0,"",MIN(H1654,MAX(J1654:K1654))))</f>
        <v/>
      </c>
      <c r="G1654" s="74" t="n"/>
      <c r="H1654" s="49">
        <f>IF(M1654="","",IFERROR(ROUND(AVERAGE(T1654+M1654*{7,8,9,10,11})/1.21,4),""))</f>
        <v/>
      </c>
      <c r="I1654" s="76" t="n"/>
      <c r="J1654" s="77" t="n"/>
      <c r="K1654" s="74" t="n"/>
      <c r="L1654" s="78" t="n"/>
      <c r="M1654" s="77" t="n"/>
      <c r="N1654" s="53">
        <f>IF(M1654="","",IFERROR(M1654/I1654,""))</f>
        <v/>
      </c>
      <c r="O1654" s="50">
        <f>IF(A1654="","",IFERROR((IF(G1654="",I1654,G1654)-T1654)/M1654,""))</f>
        <v/>
      </c>
      <c r="P1654" s="50">
        <f>IFERROR((I1654/T1654-1)/N1654,"")</f>
        <v/>
      </c>
      <c r="Q1654" s="46">
        <f>IF(OR(T1654="",I1654&lt;T1654),"",IFERROR(R1654/IF(G1654="",I1654,G1654)-1,""))</f>
        <v/>
      </c>
      <c r="R1654" s="48">
        <f>IF($M1654="","",MAX(IF($G1654="",$I1654,$G1654)*(1/1.1),IF($G1654="",$I1654,$G1654)+(R$2*$M1654)))</f>
        <v/>
      </c>
      <c r="S1654" s="49">
        <f>IF($M1654="","",MAX(IF($G1654="",$I1654,$G1654)*(1/1.1),IF($G1654="",$I1654,$G1654)+(S$2*$M1654)))</f>
        <v/>
      </c>
      <c r="T1654" s="82" t="n"/>
      <c r="U1654" s="47">
        <f>IF(OR($M1654="",$T1654=""),"",$T1654+(U$2*$M1654))</f>
        <v/>
      </c>
      <c r="V1654" s="48">
        <f>IF(OR($M1654="",$T1654=""),"",$T1654+(V$2*$M1654))</f>
        <v/>
      </c>
      <c r="W1654" s="48">
        <f>IF(OR($M1654="",$T1654=""),"",$T1654+(W$2*$M1654))</f>
        <v/>
      </c>
      <c r="X1654" s="49">
        <f>IF(OR($M1654="",$T1654=""),"",$T1654+(X$2*$M1654))</f>
        <v/>
      </c>
      <c r="Y1654" s="47">
        <f>IF(OR($M1654="",$T1654=""),"",$T1654+(Y$2*$M1654))</f>
        <v/>
      </c>
      <c r="Z1654" s="49">
        <f>IF(OR($M1654="",$T1654=""),"",$T1654+(Z$2*$M1654))</f>
        <v/>
      </c>
      <c r="AA1654" s="51">
        <f>IF(OR($M1654="",$T1654=""),"",$T1654+(AA$2*$M1654))</f>
        <v/>
      </c>
      <c r="AB1654" s="48">
        <f>IF(OR($M1654="",$T1654=""),"",$T1654+(AB$2*$M1654))</f>
        <v/>
      </c>
      <c r="AC1654" s="48">
        <f>IF(OR($M1654="",$T1654=""),"",$T1654+(AC$2*$M1654))</f>
        <v/>
      </c>
      <c r="AD1654" s="48">
        <f>IF(OR($M1654="",$T1654=""),"",$T1654+(AD$2*$M1654))</f>
        <v/>
      </c>
      <c r="AE1654" s="49">
        <f>IF(OR($M1654="",$T1654=""),"",$T1654+(AE$2*$M1654))</f>
        <v/>
      </c>
      <c r="AF1654" s="52">
        <f>IF(OR(T1654="",I1654&lt;T1654),"",IFERROR(AVERAGE(T1654+M1654*{7,8,9,10,11})/IF(G1654="",I1654,G1654)-1,""))</f>
        <v/>
      </c>
      <c r="AG1654" s="55">
        <f>IF(OR(T1654="",I1654&lt;T1654),"",IFERROR(AF1654/-(R1654/IF(G1654="",I1654,G1654)-1),""))</f>
        <v/>
      </c>
      <c r="AH1654" s="94" t="n"/>
      <c r="AI1654" s="94" t="n"/>
      <c r="AJ1654" s="94" t="n"/>
      <c r="AK1654" s="94" t="n"/>
      <c r="AL1654" s="84" t="n"/>
    </row>
    <row r="1655">
      <c r="A1655" s="64" t="n"/>
      <c r="B1655" s="65" t="n"/>
      <c r="C1655" s="66" t="n"/>
      <c r="D1655" s="67" t="n"/>
      <c r="E1655" s="68" t="n"/>
      <c r="F1655" s="47">
        <f>IF(A1655="","",IF(MIN(H1655,MAX(J1655:K1655))=0,"",MIN(H1655,MAX(J1655:K1655))))</f>
        <v/>
      </c>
      <c r="G1655" s="74" t="n"/>
      <c r="H1655" s="49">
        <f>IF(M1655="","",IFERROR(ROUND(AVERAGE(T1655+M1655*{7,8,9,10,11})/1.21,4),""))</f>
        <v/>
      </c>
      <c r="I1655" s="76" t="n"/>
      <c r="J1655" s="77" t="n"/>
      <c r="K1655" s="74" t="n"/>
      <c r="L1655" s="78" t="n"/>
      <c r="M1655" s="77" t="n"/>
      <c r="N1655" s="53">
        <f>IF(M1655="","",IFERROR(M1655/I1655,""))</f>
        <v/>
      </c>
      <c r="O1655" s="50">
        <f>IF(A1655="","",IFERROR((IF(G1655="",I1655,G1655)-T1655)/M1655,""))</f>
        <v/>
      </c>
      <c r="P1655" s="50">
        <f>IFERROR((I1655/T1655-1)/N1655,"")</f>
        <v/>
      </c>
      <c r="Q1655" s="46">
        <f>IF(OR(T1655="",I1655&lt;T1655),"",IFERROR(R1655/IF(G1655="",I1655,G1655)-1,""))</f>
        <v/>
      </c>
      <c r="R1655" s="48">
        <f>IF($M1655="","",MAX(IF($G1655="",$I1655,$G1655)*(1/1.1),IF($G1655="",$I1655,$G1655)+(R$2*$M1655)))</f>
        <v/>
      </c>
      <c r="S1655" s="49">
        <f>IF($M1655="","",MAX(IF($G1655="",$I1655,$G1655)*(1/1.1),IF($G1655="",$I1655,$G1655)+(S$2*$M1655)))</f>
        <v/>
      </c>
      <c r="T1655" s="82" t="n"/>
      <c r="U1655" s="47">
        <f>IF(OR($M1655="",$T1655=""),"",$T1655+(U$2*$M1655))</f>
        <v/>
      </c>
      <c r="V1655" s="48">
        <f>IF(OR($M1655="",$T1655=""),"",$T1655+(V$2*$M1655))</f>
        <v/>
      </c>
      <c r="W1655" s="48">
        <f>IF(OR($M1655="",$T1655=""),"",$T1655+(W$2*$M1655))</f>
        <v/>
      </c>
      <c r="X1655" s="49">
        <f>IF(OR($M1655="",$T1655=""),"",$T1655+(X$2*$M1655))</f>
        <v/>
      </c>
      <c r="Y1655" s="47">
        <f>IF(OR($M1655="",$T1655=""),"",$T1655+(Y$2*$M1655))</f>
        <v/>
      </c>
      <c r="Z1655" s="49">
        <f>IF(OR($M1655="",$T1655=""),"",$T1655+(Z$2*$M1655))</f>
        <v/>
      </c>
      <c r="AA1655" s="51">
        <f>IF(OR($M1655="",$T1655=""),"",$T1655+(AA$2*$M1655))</f>
        <v/>
      </c>
      <c r="AB1655" s="48">
        <f>IF(OR($M1655="",$T1655=""),"",$T1655+(AB$2*$M1655))</f>
        <v/>
      </c>
      <c r="AC1655" s="48">
        <f>IF(OR($M1655="",$T1655=""),"",$T1655+(AC$2*$M1655))</f>
        <v/>
      </c>
      <c r="AD1655" s="48">
        <f>IF(OR($M1655="",$T1655=""),"",$T1655+(AD$2*$M1655))</f>
        <v/>
      </c>
      <c r="AE1655" s="49">
        <f>IF(OR($M1655="",$T1655=""),"",$T1655+(AE$2*$M1655))</f>
        <v/>
      </c>
      <c r="AF1655" s="52">
        <f>IF(OR(T1655="",I1655&lt;T1655),"",IFERROR(AVERAGE(T1655+M1655*{7,8,9,10,11})/IF(G1655="",I1655,G1655)-1,""))</f>
        <v/>
      </c>
      <c r="AG1655" s="55">
        <f>IF(OR(T1655="",I1655&lt;T1655),"",IFERROR(AF1655/-(R1655/IF(G1655="",I1655,G1655)-1),""))</f>
        <v/>
      </c>
      <c r="AH1655" s="94" t="n"/>
      <c r="AI1655" s="94" t="n"/>
      <c r="AJ1655" s="94" t="n"/>
      <c r="AK1655" s="94" t="n"/>
      <c r="AL1655" s="84" t="n"/>
    </row>
    <row r="1656">
      <c r="A1656" s="64" t="n"/>
      <c r="B1656" s="65" t="n"/>
      <c r="C1656" s="66" t="n"/>
      <c r="D1656" s="67" t="n"/>
      <c r="E1656" s="68" t="n"/>
      <c r="F1656" s="47">
        <f>IF(A1656="","",IF(MIN(H1656,MAX(J1656:K1656))=0,"",MIN(H1656,MAX(J1656:K1656))))</f>
        <v/>
      </c>
      <c r="G1656" s="74" t="n"/>
      <c r="H1656" s="49">
        <f>IF(M1656="","",IFERROR(ROUND(AVERAGE(T1656+M1656*{7,8,9,10,11})/1.21,4),""))</f>
        <v/>
      </c>
      <c r="I1656" s="76" t="n"/>
      <c r="J1656" s="77" t="n"/>
      <c r="K1656" s="74" t="n"/>
      <c r="L1656" s="78" t="n"/>
      <c r="M1656" s="77" t="n"/>
      <c r="N1656" s="53">
        <f>IF(M1656="","",IFERROR(M1656/I1656,""))</f>
        <v/>
      </c>
      <c r="O1656" s="50">
        <f>IF(A1656="","",IFERROR((IF(G1656="",I1656,G1656)-T1656)/M1656,""))</f>
        <v/>
      </c>
      <c r="P1656" s="50">
        <f>IFERROR((I1656/T1656-1)/N1656,"")</f>
        <v/>
      </c>
      <c r="Q1656" s="46">
        <f>IF(OR(T1656="",I1656&lt;T1656),"",IFERROR(R1656/IF(G1656="",I1656,G1656)-1,""))</f>
        <v/>
      </c>
      <c r="R1656" s="48">
        <f>IF($M1656="","",MAX(IF($G1656="",$I1656,$G1656)*(1/1.1),IF($G1656="",$I1656,$G1656)+(R$2*$M1656)))</f>
        <v/>
      </c>
      <c r="S1656" s="49">
        <f>IF($M1656="","",MAX(IF($G1656="",$I1656,$G1656)*(1/1.1),IF($G1656="",$I1656,$G1656)+(S$2*$M1656)))</f>
        <v/>
      </c>
      <c r="T1656" s="82" t="n"/>
      <c r="U1656" s="47">
        <f>IF(OR($M1656="",$T1656=""),"",$T1656+(U$2*$M1656))</f>
        <v/>
      </c>
      <c r="V1656" s="48">
        <f>IF(OR($M1656="",$T1656=""),"",$T1656+(V$2*$M1656))</f>
        <v/>
      </c>
      <c r="W1656" s="48">
        <f>IF(OR($M1656="",$T1656=""),"",$T1656+(W$2*$M1656))</f>
        <v/>
      </c>
      <c r="X1656" s="49">
        <f>IF(OR($M1656="",$T1656=""),"",$T1656+(X$2*$M1656))</f>
        <v/>
      </c>
      <c r="Y1656" s="47">
        <f>IF(OR($M1656="",$T1656=""),"",$T1656+(Y$2*$M1656))</f>
        <v/>
      </c>
      <c r="Z1656" s="49">
        <f>IF(OR($M1656="",$T1656=""),"",$T1656+(Z$2*$M1656))</f>
        <v/>
      </c>
      <c r="AA1656" s="51">
        <f>IF(OR($M1656="",$T1656=""),"",$T1656+(AA$2*$M1656))</f>
        <v/>
      </c>
      <c r="AB1656" s="48">
        <f>IF(OR($M1656="",$T1656=""),"",$T1656+(AB$2*$M1656))</f>
        <v/>
      </c>
      <c r="AC1656" s="48">
        <f>IF(OR($M1656="",$T1656=""),"",$T1656+(AC$2*$M1656))</f>
        <v/>
      </c>
      <c r="AD1656" s="48">
        <f>IF(OR($M1656="",$T1656=""),"",$T1656+(AD$2*$M1656))</f>
        <v/>
      </c>
      <c r="AE1656" s="49">
        <f>IF(OR($M1656="",$T1656=""),"",$T1656+(AE$2*$M1656))</f>
        <v/>
      </c>
      <c r="AF1656" s="52">
        <f>IF(OR(T1656="",I1656&lt;T1656),"",IFERROR(AVERAGE(T1656+M1656*{7,8,9,10,11})/IF(G1656="",I1656,G1656)-1,""))</f>
        <v/>
      </c>
      <c r="AG1656" s="55">
        <f>IF(OR(T1656="",I1656&lt;T1656),"",IFERROR(AF1656/-(R1656/IF(G1656="",I1656,G1656)-1),""))</f>
        <v/>
      </c>
      <c r="AH1656" s="94" t="n"/>
      <c r="AI1656" s="94" t="n"/>
      <c r="AJ1656" s="94" t="n"/>
      <c r="AK1656" s="94" t="n"/>
      <c r="AL1656" s="84" t="n"/>
    </row>
    <row r="1657">
      <c r="A1657" s="64" t="n"/>
      <c r="B1657" s="65" t="n"/>
      <c r="C1657" s="66" t="n"/>
      <c r="D1657" s="67" t="n"/>
      <c r="E1657" s="68" t="n"/>
      <c r="F1657" s="47">
        <f>IF(A1657="","",IF(MIN(H1657,MAX(J1657:K1657))=0,"",MIN(H1657,MAX(J1657:K1657))))</f>
        <v/>
      </c>
      <c r="G1657" s="74" t="n"/>
      <c r="H1657" s="49">
        <f>IF(M1657="","",IFERROR(ROUND(AVERAGE(T1657+M1657*{7,8,9,10,11})/1.21,4),""))</f>
        <v/>
      </c>
      <c r="I1657" s="76" t="n"/>
      <c r="J1657" s="77" t="n"/>
      <c r="K1657" s="74" t="n"/>
      <c r="L1657" s="78" t="n"/>
      <c r="M1657" s="77" t="n"/>
      <c r="N1657" s="53">
        <f>IF(M1657="","",IFERROR(M1657/I1657,""))</f>
        <v/>
      </c>
      <c r="O1657" s="50">
        <f>IF(A1657="","",IFERROR((IF(G1657="",I1657,G1657)-T1657)/M1657,""))</f>
        <v/>
      </c>
      <c r="P1657" s="50">
        <f>IFERROR((I1657/T1657-1)/N1657,"")</f>
        <v/>
      </c>
      <c r="Q1657" s="46">
        <f>IF(OR(T1657="",I1657&lt;T1657),"",IFERROR(R1657/IF(G1657="",I1657,G1657)-1,""))</f>
        <v/>
      </c>
      <c r="R1657" s="48">
        <f>IF($M1657="","",MAX(IF($G1657="",$I1657,$G1657)*(1/1.1),IF($G1657="",$I1657,$G1657)+(R$2*$M1657)))</f>
        <v/>
      </c>
      <c r="S1657" s="49">
        <f>IF($M1657="","",MAX(IF($G1657="",$I1657,$G1657)*(1/1.1),IF($G1657="",$I1657,$G1657)+(S$2*$M1657)))</f>
        <v/>
      </c>
      <c r="T1657" s="82" t="n"/>
      <c r="U1657" s="47">
        <f>IF(OR($M1657="",$T1657=""),"",$T1657+(U$2*$M1657))</f>
        <v/>
      </c>
      <c r="V1657" s="48">
        <f>IF(OR($M1657="",$T1657=""),"",$T1657+(V$2*$M1657))</f>
        <v/>
      </c>
      <c r="W1657" s="48">
        <f>IF(OR($M1657="",$T1657=""),"",$T1657+(W$2*$M1657))</f>
        <v/>
      </c>
      <c r="X1657" s="49">
        <f>IF(OR($M1657="",$T1657=""),"",$T1657+(X$2*$M1657))</f>
        <v/>
      </c>
      <c r="Y1657" s="47">
        <f>IF(OR($M1657="",$T1657=""),"",$T1657+(Y$2*$M1657))</f>
        <v/>
      </c>
      <c r="Z1657" s="49">
        <f>IF(OR($M1657="",$T1657=""),"",$T1657+(Z$2*$M1657))</f>
        <v/>
      </c>
      <c r="AA1657" s="51">
        <f>IF(OR($M1657="",$T1657=""),"",$T1657+(AA$2*$M1657))</f>
        <v/>
      </c>
      <c r="AB1657" s="48">
        <f>IF(OR($M1657="",$T1657=""),"",$T1657+(AB$2*$M1657))</f>
        <v/>
      </c>
      <c r="AC1657" s="48">
        <f>IF(OR($M1657="",$T1657=""),"",$T1657+(AC$2*$M1657))</f>
        <v/>
      </c>
      <c r="AD1657" s="48">
        <f>IF(OR($M1657="",$T1657=""),"",$T1657+(AD$2*$M1657))</f>
        <v/>
      </c>
      <c r="AE1657" s="49">
        <f>IF(OR($M1657="",$T1657=""),"",$T1657+(AE$2*$M1657))</f>
        <v/>
      </c>
      <c r="AF1657" s="52">
        <f>IF(OR(T1657="",I1657&lt;T1657),"",IFERROR(AVERAGE(T1657+M1657*{7,8,9,10,11})/IF(G1657="",I1657,G1657)-1,""))</f>
        <v/>
      </c>
      <c r="AG1657" s="55">
        <f>IF(OR(T1657="",I1657&lt;T1657),"",IFERROR(AF1657/-(R1657/IF(G1657="",I1657,G1657)-1),""))</f>
        <v/>
      </c>
      <c r="AH1657" s="94" t="n"/>
      <c r="AI1657" s="94" t="n"/>
      <c r="AJ1657" s="94" t="n"/>
      <c r="AK1657" s="94" t="n"/>
      <c r="AL1657" s="84" t="n"/>
    </row>
    <row r="1658">
      <c r="A1658" s="64" t="n"/>
      <c r="B1658" s="65" t="n"/>
      <c r="C1658" s="66" t="n"/>
      <c r="D1658" s="67" t="n"/>
      <c r="E1658" s="68" t="n"/>
      <c r="F1658" s="47">
        <f>IF(A1658="","",IF(MIN(H1658,MAX(J1658:K1658))=0,"",MIN(H1658,MAX(J1658:K1658))))</f>
        <v/>
      </c>
      <c r="G1658" s="74" t="n"/>
      <c r="H1658" s="49">
        <f>IF(M1658="","",IFERROR(ROUND(AVERAGE(T1658+M1658*{7,8,9,10,11})/1.21,4),""))</f>
        <v/>
      </c>
      <c r="I1658" s="76" t="n"/>
      <c r="J1658" s="77" t="n"/>
      <c r="K1658" s="74" t="n"/>
      <c r="L1658" s="78" t="n"/>
      <c r="M1658" s="77" t="n"/>
      <c r="N1658" s="53">
        <f>IF(M1658="","",IFERROR(M1658/I1658,""))</f>
        <v/>
      </c>
      <c r="O1658" s="50">
        <f>IF(A1658="","",IFERROR((IF(G1658="",I1658,G1658)-T1658)/M1658,""))</f>
        <v/>
      </c>
      <c r="P1658" s="50">
        <f>IFERROR((I1658/T1658-1)/N1658,"")</f>
        <v/>
      </c>
      <c r="Q1658" s="46">
        <f>IF(OR(T1658="",I1658&lt;T1658),"",IFERROR(R1658/IF(G1658="",I1658,G1658)-1,""))</f>
        <v/>
      </c>
      <c r="R1658" s="48">
        <f>IF($M1658="","",MAX(IF($G1658="",$I1658,$G1658)*(1/1.1),IF($G1658="",$I1658,$G1658)+(R$2*$M1658)))</f>
        <v/>
      </c>
      <c r="S1658" s="49">
        <f>IF($M1658="","",MAX(IF($G1658="",$I1658,$G1658)*(1/1.1),IF($G1658="",$I1658,$G1658)+(S$2*$M1658)))</f>
        <v/>
      </c>
      <c r="T1658" s="82" t="n"/>
      <c r="U1658" s="47">
        <f>IF(OR($M1658="",$T1658=""),"",$T1658+(U$2*$M1658))</f>
        <v/>
      </c>
      <c r="V1658" s="48">
        <f>IF(OR($M1658="",$T1658=""),"",$T1658+(V$2*$M1658))</f>
        <v/>
      </c>
      <c r="W1658" s="48">
        <f>IF(OR($M1658="",$T1658=""),"",$T1658+(W$2*$M1658))</f>
        <v/>
      </c>
      <c r="X1658" s="49">
        <f>IF(OR($M1658="",$T1658=""),"",$T1658+(X$2*$M1658))</f>
        <v/>
      </c>
      <c r="Y1658" s="47">
        <f>IF(OR($M1658="",$T1658=""),"",$T1658+(Y$2*$M1658))</f>
        <v/>
      </c>
      <c r="Z1658" s="49">
        <f>IF(OR($M1658="",$T1658=""),"",$T1658+(Z$2*$M1658))</f>
        <v/>
      </c>
      <c r="AA1658" s="51">
        <f>IF(OR($M1658="",$T1658=""),"",$T1658+(AA$2*$M1658))</f>
        <v/>
      </c>
      <c r="AB1658" s="48">
        <f>IF(OR($M1658="",$T1658=""),"",$T1658+(AB$2*$M1658))</f>
        <v/>
      </c>
      <c r="AC1658" s="48">
        <f>IF(OR($M1658="",$T1658=""),"",$T1658+(AC$2*$M1658))</f>
        <v/>
      </c>
      <c r="AD1658" s="48">
        <f>IF(OR($M1658="",$T1658=""),"",$T1658+(AD$2*$M1658))</f>
        <v/>
      </c>
      <c r="AE1658" s="49">
        <f>IF(OR($M1658="",$T1658=""),"",$T1658+(AE$2*$M1658))</f>
        <v/>
      </c>
      <c r="AF1658" s="52">
        <f>IF(OR(T1658="",I1658&lt;T1658),"",IFERROR(AVERAGE(T1658+M1658*{7,8,9,10,11})/IF(G1658="",I1658,G1658)-1,""))</f>
        <v/>
      </c>
      <c r="AG1658" s="55">
        <f>IF(OR(T1658="",I1658&lt;T1658),"",IFERROR(AF1658/-(R1658/IF(G1658="",I1658,G1658)-1),""))</f>
        <v/>
      </c>
      <c r="AH1658" s="94" t="n"/>
      <c r="AI1658" s="94" t="n"/>
      <c r="AJ1658" s="94" t="n"/>
      <c r="AK1658" s="94" t="n"/>
      <c r="AL1658" s="84" t="n"/>
    </row>
    <row r="1659">
      <c r="A1659" s="64" t="n"/>
      <c r="B1659" s="65" t="n"/>
      <c r="C1659" s="66" t="n"/>
      <c r="D1659" s="67" t="n"/>
      <c r="E1659" s="68" t="n"/>
      <c r="F1659" s="47">
        <f>IF(A1659="","",IF(MIN(H1659,MAX(J1659:K1659))=0,"",MIN(H1659,MAX(J1659:K1659))))</f>
        <v/>
      </c>
      <c r="G1659" s="74" t="n"/>
      <c r="H1659" s="49">
        <f>IF(M1659="","",IFERROR(ROUND(AVERAGE(T1659+M1659*{7,8,9,10,11})/1.21,4),""))</f>
        <v/>
      </c>
      <c r="I1659" s="76" t="n"/>
      <c r="J1659" s="77" t="n"/>
      <c r="K1659" s="74" t="n"/>
      <c r="L1659" s="78" t="n"/>
      <c r="M1659" s="77" t="n"/>
      <c r="N1659" s="53">
        <f>IF(M1659="","",IFERROR(M1659/I1659,""))</f>
        <v/>
      </c>
      <c r="O1659" s="50">
        <f>IF(A1659="","",IFERROR((IF(G1659="",I1659,G1659)-T1659)/M1659,""))</f>
        <v/>
      </c>
      <c r="P1659" s="50">
        <f>IFERROR((I1659/T1659-1)/N1659,"")</f>
        <v/>
      </c>
      <c r="Q1659" s="46">
        <f>IF(OR(T1659="",I1659&lt;T1659),"",IFERROR(R1659/IF(G1659="",I1659,G1659)-1,""))</f>
        <v/>
      </c>
      <c r="R1659" s="48">
        <f>IF($M1659="","",MAX(IF($G1659="",$I1659,$G1659)*(1/1.1),IF($G1659="",$I1659,$G1659)+(R$2*$M1659)))</f>
        <v/>
      </c>
      <c r="S1659" s="49">
        <f>IF($M1659="","",MAX(IF($G1659="",$I1659,$G1659)*(1/1.1),IF($G1659="",$I1659,$G1659)+(S$2*$M1659)))</f>
        <v/>
      </c>
      <c r="T1659" s="82" t="n"/>
      <c r="U1659" s="47">
        <f>IF(OR($M1659="",$T1659=""),"",$T1659+(U$2*$M1659))</f>
        <v/>
      </c>
      <c r="V1659" s="48">
        <f>IF(OR($M1659="",$T1659=""),"",$T1659+(V$2*$M1659))</f>
        <v/>
      </c>
      <c r="W1659" s="48">
        <f>IF(OR($M1659="",$T1659=""),"",$T1659+(W$2*$M1659))</f>
        <v/>
      </c>
      <c r="X1659" s="49">
        <f>IF(OR($M1659="",$T1659=""),"",$T1659+(X$2*$M1659))</f>
        <v/>
      </c>
      <c r="Y1659" s="47">
        <f>IF(OR($M1659="",$T1659=""),"",$T1659+(Y$2*$M1659))</f>
        <v/>
      </c>
      <c r="Z1659" s="49">
        <f>IF(OR($M1659="",$T1659=""),"",$T1659+(Z$2*$M1659))</f>
        <v/>
      </c>
      <c r="AA1659" s="51">
        <f>IF(OR($M1659="",$T1659=""),"",$T1659+(AA$2*$M1659))</f>
        <v/>
      </c>
      <c r="AB1659" s="48">
        <f>IF(OR($M1659="",$T1659=""),"",$T1659+(AB$2*$M1659))</f>
        <v/>
      </c>
      <c r="AC1659" s="48">
        <f>IF(OR($M1659="",$T1659=""),"",$T1659+(AC$2*$M1659))</f>
        <v/>
      </c>
      <c r="AD1659" s="48">
        <f>IF(OR($M1659="",$T1659=""),"",$T1659+(AD$2*$M1659))</f>
        <v/>
      </c>
      <c r="AE1659" s="49">
        <f>IF(OR($M1659="",$T1659=""),"",$T1659+(AE$2*$M1659))</f>
        <v/>
      </c>
      <c r="AF1659" s="52">
        <f>IF(OR(T1659="",I1659&lt;T1659),"",IFERROR(AVERAGE(T1659+M1659*{7,8,9,10,11})/IF(G1659="",I1659,G1659)-1,""))</f>
        <v/>
      </c>
      <c r="AG1659" s="55">
        <f>IF(OR(T1659="",I1659&lt;T1659),"",IFERROR(AF1659/-(R1659/IF(G1659="",I1659,G1659)-1),""))</f>
        <v/>
      </c>
      <c r="AH1659" s="94" t="n"/>
      <c r="AI1659" s="94" t="n"/>
      <c r="AJ1659" s="94" t="n"/>
      <c r="AK1659" s="94" t="n"/>
      <c r="AL1659" s="84" t="n"/>
    </row>
    <row r="1660">
      <c r="A1660" s="64" t="n"/>
      <c r="B1660" s="65" t="n"/>
      <c r="C1660" s="66" t="n"/>
      <c r="D1660" s="67" t="n"/>
      <c r="E1660" s="68" t="n"/>
      <c r="F1660" s="47">
        <f>IF(A1660="","",IF(MIN(H1660,MAX(J1660:K1660))=0,"",MIN(H1660,MAX(J1660:K1660))))</f>
        <v/>
      </c>
      <c r="G1660" s="74" t="n"/>
      <c r="H1660" s="49">
        <f>IF(M1660="","",IFERROR(ROUND(AVERAGE(T1660+M1660*{7,8,9,10,11})/1.21,4),""))</f>
        <v/>
      </c>
      <c r="I1660" s="76" t="n"/>
      <c r="J1660" s="77" t="n"/>
      <c r="K1660" s="74" t="n"/>
      <c r="L1660" s="78" t="n"/>
      <c r="M1660" s="77" t="n"/>
      <c r="N1660" s="53">
        <f>IF(M1660="","",IFERROR(M1660/I1660,""))</f>
        <v/>
      </c>
      <c r="O1660" s="50">
        <f>IF(A1660="","",IFERROR((IF(G1660="",I1660,G1660)-T1660)/M1660,""))</f>
        <v/>
      </c>
      <c r="P1660" s="50">
        <f>IFERROR((I1660/T1660-1)/N1660,"")</f>
        <v/>
      </c>
      <c r="Q1660" s="46">
        <f>IF(OR(T1660="",I1660&lt;T1660),"",IFERROR(R1660/IF(G1660="",I1660,G1660)-1,""))</f>
        <v/>
      </c>
      <c r="R1660" s="48">
        <f>IF($M1660="","",MAX(IF($G1660="",$I1660,$G1660)*(1/1.1),IF($G1660="",$I1660,$G1660)+(R$2*$M1660)))</f>
        <v/>
      </c>
      <c r="S1660" s="49">
        <f>IF($M1660="","",MAX(IF($G1660="",$I1660,$G1660)*(1/1.1),IF($G1660="",$I1660,$G1660)+(S$2*$M1660)))</f>
        <v/>
      </c>
      <c r="T1660" s="82" t="n"/>
      <c r="U1660" s="47">
        <f>IF(OR($M1660="",$T1660=""),"",$T1660+(U$2*$M1660))</f>
        <v/>
      </c>
      <c r="V1660" s="48">
        <f>IF(OR($M1660="",$T1660=""),"",$T1660+(V$2*$M1660))</f>
        <v/>
      </c>
      <c r="W1660" s="48">
        <f>IF(OR($M1660="",$T1660=""),"",$T1660+(W$2*$M1660))</f>
        <v/>
      </c>
      <c r="X1660" s="49">
        <f>IF(OR($M1660="",$T1660=""),"",$T1660+(X$2*$M1660))</f>
        <v/>
      </c>
      <c r="Y1660" s="47">
        <f>IF(OR($M1660="",$T1660=""),"",$T1660+(Y$2*$M1660))</f>
        <v/>
      </c>
      <c r="Z1660" s="49">
        <f>IF(OR($M1660="",$T1660=""),"",$T1660+(Z$2*$M1660))</f>
        <v/>
      </c>
      <c r="AA1660" s="51">
        <f>IF(OR($M1660="",$T1660=""),"",$T1660+(AA$2*$M1660))</f>
        <v/>
      </c>
      <c r="AB1660" s="48">
        <f>IF(OR($M1660="",$T1660=""),"",$T1660+(AB$2*$M1660))</f>
        <v/>
      </c>
      <c r="AC1660" s="48">
        <f>IF(OR($M1660="",$T1660=""),"",$T1660+(AC$2*$M1660))</f>
        <v/>
      </c>
      <c r="AD1660" s="48">
        <f>IF(OR($M1660="",$T1660=""),"",$T1660+(AD$2*$M1660))</f>
        <v/>
      </c>
      <c r="AE1660" s="49">
        <f>IF(OR($M1660="",$T1660=""),"",$T1660+(AE$2*$M1660))</f>
        <v/>
      </c>
      <c r="AF1660" s="52">
        <f>IF(OR(T1660="",I1660&lt;T1660),"",IFERROR(AVERAGE(T1660+M1660*{7,8,9,10,11})/IF(G1660="",I1660,G1660)-1,""))</f>
        <v/>
      </c>
      <c r="AG1660" s="55">
        <f>IF(OR(T1660="",I1660&lt;T1660),"",IFERROR(AF1660/-(R1660/IF(G1660="",I1660,G1660)-1),""))</f>
        <v/>
      </c>
      <c r="AH1660" s="94" t="n"/>
      <c r="AI1660" s="94" t="n"/>
      <c r="AJ1660" s="94" t="n"/>
      <c r="AK1660" s="94" t="n"/>
      <c r="AL1660" s="84" t="n"/>
    </row>
    <row r="1661">
      <c r="A1661" s="64" t="n"/>
      <c r="B1661" s="65" t="n"/>
      <c r="C1661" s="66" t="n"/>
      <c r="D1661" s="67" t="n"/>
      <c r="E1661" s="68" t="n"/>
      <c r="F1661" s="47">
        <f>IF(A1661="","",IF(MIN(H1661,MAX(J1661:K1661))=0,"",MIN(H1661,MAX(J1661:K1661))))</f>
        <v/>
      </c>
      <c r="G1661" s="74" t="n"/>
      <c r="H1661" s="49">
        <f>IF(M1661="","",IFERROR(ROUND(AVERAGE(T1661+M1661*{7,8,9,10,11})/1.21,4),""))</f>
        <v/>
      </c>
      <c r="I1661" s="76" t="n"/>
      <c r="J1661" s="77" t="n"/>
      <c r="K1661" s="74" t="n"/>
      <c r="L1661" s="78" t="n"/>
      <c r="M1661" s="77" t="n"/>
      <c r="N1661" s="53">
        <f>IF(M1661="","",IFERROR(M1661/I1661,""))</f>
        <v/>
      </c>
      <c r="O1661" s="50">
        <f>IF(A1661="","",IFERROR((IF(G1661="",I1661,G1661)-T1661)/M1661,""))</f>
        <v/>
      </c>
      <c r="P1661" s="50">
        <f>IFERROR((I1661/T1661-1)/N1661,"")</f>
        <v/>
      </c>
      <c r="Q1661" s="46">
        <f>IF(OR(T1661="",I1661&lt;T1661),"",IFERROR(R1661/IF(G1661="",I1661,G1661)-1,""))</f>
        <v/>
      </c>
      <c r="R1661" s="48">
        <f>IF($M1661="","",MAX(IF($G1661="",$I1661,$G1661)*(1/1.1),IF($G1661="",$I1661,$G1661)+(R$2*$M1661)))</f>
        <v/>
      </c>
      <c r="S1661" s="49">
        <f>IF($M1661="","",MAX(IF($G1661="",$I1661,$G1661)*(1/1.1),IF($G1661="",$I1661,$G1661)+(S$2*$M1661)))</f>
        <v/>
      </c>
      <c r="T1661" s="82" t="n"/>
      <c r="U1661" s="47">
        <f>IF(OR($M1661="",$T1661=""),"",$T1661+(U$2*$M1661))</f>
        <v/>
      </c>
      <c r="V1661" s="48">
        <f>IF(OR($M1661="",$T1661=""),"",$T1661+(V$2*$M1661))</f>
        <v/>
      </c>
      <c r="W1661" s="48">
        <f>IF(OR($M1661="",$T1661=""),"",$T1661+(W$2*$M1661))</f>
        <v/>
      </c>
      <c r="X1661" s="49">
        <f>IF(OR($M1661="",$T1661=""),"",$T1661+(X$2*$M1661))</f>
        <v/>
      </c>
      <c r="Y1661" s="47">
        <f>IF(OR($M1661="",$T1661=""),"",$T1661+(Y$2*$M1661))</f>
        <v/>
      </c>
      <c r="Z1661" s="49">
        <f>IF(OR($M1661="",$T1661=""),"",$T1661+(Z$2*$M1661))</f>
        <v/>
      </c>
      <c r="AA1661" s="51">
        <f>IF(OR($M1661="",$T1661=""),"",$T1661+(AA$2*$M1661))</f>
        <v/>
      </c>
      <c r="AB1661" s="48">
        <f>IF(OR($M1661="",$T1661=""),"",$T1661+(AB$2*$M1661))</f>
        <v/>
      </c>
      <c r="AC1661" s="48">
        <f>IF(OR($M1661="",$T1661=""),"",$T1661+(AC$2*$M1661))</f>
        <v/>
      </c>
      <c r="AD1661" s="48">
        <f>IF(OR($M1661="",$T1661=""),"",$T1661+(AD$2*$M1661))</f>
        <v/>
      </c>
      <c r="AE1661" s="49">
        <f>IF(OR($M1661="",$T1661=""),"",$T1661+(AE$2*$M1661))</f>
        <v/>
      </c>
      <c r="AF1661" s="52">
        <f>IF(OR(T1661="",I1661&lt;T1661),"",IFERROR(AVERAGE(T1661+M1661*{7,8,9,10,11})/IF(G1661="",I1661,G1661)-1,""))</f>
        <v/>
      </c>
      <c r="AG1661" s="55">
        <f>IF(OR(T1661="",I1661&lt;T1661),"",IFERROR(AF1661/-(R1661/IF(G1661="",I1661,G1661)-1),""))</f>
        <v/>
      </c>
      <c r="AH1661" s="94" t="n"/>
      <c r="AI1661" s="94" t="n"/>
      <c r="AJ1661" s="94" t="n"/>
      <c r="AK1661" s="94" t="n"/>
      <c r="AL1661" s="84" t="n"/>
    </row>
    <row r="1662">
      <c r="A1662" s="64" t="n"/>
      <c r="B1662" s="65" t="n"/>
      <c r="C1662" s="66" t="n"/>
      <c r="D1662" s="67" t="n"/>
      <c r="E1662" s="68" t="n"/>
      <c r="F1662" s="47">
        <f>IF(A1662="","",IF(MIN(H1662,MAX(J1662:K1662))=0,"",MIN(H1662,MAX(J1662:K1662))))</f>
        <v/>
      </c>
      <c r="G1662" s="74" t="n"/>
      <c r="H1662" s="49">
        <f>IF(M1662="","",IFERROR(ROUND(AVERAGE(T1662+M1662*{7,8,9,10,11})/1.21,4),""))</f>
        <v/>
      </c>
      <c r="I1662" s="76" t="n"/>
      <c r="J1662" s="77" t="n"/>
      <c r="K1662" s="74" t="n"/>
      <c r="L1662" s="78" t="n"/>
      <c r="M1662" s="77" t="n"/>
      <c r="N1662" s="53">
        <f>IF(M1662="","",IFERROR(M1662/I1662,""))</f>
        <v/>
      </c>
      <c r="O1662" s="50">
        <f>IF(A1662="","",IFERROR((IF(G1662="",I1662,G1662)-T1662)/M1662,""))</f>
        <v/>
      </c>
      <c r="P1662" s="50">
        <f>IFERROR((I1662/T1662-1)/N1662,"")</f>
        <v/>
      </c>
      <c r="Q1662" s="46">
        <f>IF(OR(T1662="",I1662&lt;T1662),"",IFERROR(R1662/IF(G1662="",I1662,G1662)-1,""))</f>
        <v/>
      </c>
      <c r="R1662" s="48">
        <f>IF($M1662="","",MAX(IF($G1662="",$I1662,$G1662)*(1/1.1),IF($G1662="",$I1662,$G1662)+(R$2*$M1662)))</f>
        <v/>
      </c>
      <c r="S1662" s="49">
        <f>IF($M1662="","",MAX(IF($G1662="",$I1662,$G1662)*(1/1.1),IF($G1662="",$I1662,$G1662)+(S$2*$M1662)))</f>
        <v/>
      </c>
      <c r="T1662" s="82" t="n"/>
      <c r="U1662" s="47">
        <f>IF(OR($M1662="",$T1662=""),"",$T1662+(U$2*$M1662))</f>
        <v/>
      </c>
      <c r="V1662" s="48">
        <f>IF(OR($M1662="",$T1662=""),"",$T1662+(V$2*$M1662))</f>
        <v/>
      </c>
      <c r="W1662" s="48">
        <f>IF(OR($M1662="",$T1662=""),"",$T1662+(W$2*$M1662))</f>
        <v/>
      </c>
      <c r="X1662" s="49">
        <f>IF(OR($M1662="",$T1662=""),"",$T1662+(X$2*$M1662))</f>
        <v/>
      </c>
      <c r="Y1662" s="47">
        <f>IF(OR($M1662="",$T1662=""),"",$T1662+(Y$2*$M1662))</f>
        <v/>
      </c>
      <c r="Z1662" s="49">
        <f>IF(OR($M1662="",$T1662=""),"",$T1662+(Z$2*$M1662))</f>
        <v/>
      </c>
      <c r="AA1662" s="51">
        <f>IF(OR($M1662="",$T1662=""),"",$T1662+(AA$2*$M1662))</f>
        <v/>
      </c>
      <c r="AB1662" s="48">
        <f>IF(OR($M1662="",$T1662=""),"",$T1662+(AB$2*$M1662))</f>
        <v/>
      </c>
      <c r="AC1662" s="48">
        <f>IF(OR($M1662="",$T1662=""),"",$T1662+(AC$2*$M1662))</f>
        <v/>
      </c>
      <c r="AD1662" s="48">
        <f>IF(OR($M1662="",$T1662=""),"",$T1662+(AD$2*$M1662))</f>
        <v/>
      </c>
      <c r="AE1662" s="49">
        <f>IF(OR($M1662="",$T1662=""),"",$T1662+(AE$2*$M1662))</f>
        <v/>
      </c>
      <c r="AF1662" s="52">
        <f>IF(OR(T1662="",I1662&lt;T1662),"",IFERROR(AVERAGE(T1662+M1662*{7,8,9,10,11})/IF(G1662="",I1662,G1662)-1,""))</f>
        <v/>
      </c>
      <c r="AG1662" s="55">
        <f>IF(OR(T1662="",I1662&lt;T1662),"",IFERROR(AF1662/-(R1662/IF(G1662="",I1662,G1662)-1),""))</f>
        <v/>
      </c>
      <c r="AH1662" s="94" t="n"/>
      <c r="AI1662" s="94" t="n"/>
      <c r="AJ1662" s="94" t="n"/>
      <c r="AK1662" s="94" t="n"/>
      <c r="AL1662" s="84" t="n"/>
    </row>
    <row r="1663">
      <c r="A1663" s="64" t="n"/>
      <c r="B1663" s="65" t="n"/>
      <c r="C1663" s="66" t="n"/>
      <c r="D1663" s="67" t="n"/>
      <c r="E1663" s="68" t="n"/>
      <c r="F1663" s="47">
        <f>IF(A1663="","",IF(MIN(H1663,MAX(J1663:K1663))=0,"",MIN(H1663,MAX(J1663:K1663))))</f>
        <v/>
      </c>
      <c r="G1663" s="74" t="n"/>
      <c r="H1663" s="49">
        <f>IF(M1663="","",IFERROR(ROUND(AVERAGE(T1663+M1663*{7,8,9,10,11})/1.21,4),""))</f>
        <v/>
      </c>
      <c r="I1663" s="76" t="n"/>
      <c r="J1663" s="77" t="n"/>
      <c r="K1663" s="74" t="n"/>
      <c r="L1663" s="78" t="n"/>
      <c r="M1663" s="77" t="n"/>
      <c r="N1663" s="53">
        <f>IF(M1663="","",IFERROR(M1663/I1663,""))</f>
        <v/>
      </c>
      <c r="O1663" s="50">
        <f>IF(A1663="","",IFERROR((IF(G1663="",I1663,G1663)-T1663)/M1663,""))</f>
        <v/>
      </c>
      <c r="P1663" s="50">
        <f>IFERROR((I1663/T1663-1)/N1663,"")</f>
        <v/>
      </c>
      <c r="Q1663" s="46">
        <f>IF(OR(T1663="",I1663&lt;T1663),"",IFERROR(R1663/IF(G1663="",I1663,G1663)-1,""))</f>
        <v/>
      </c>
      <c r="R1663" s="48">
        <f>IF($M1663="","",MAX(IF($G1663="",$I1663,$G1663)*(1/1.1),IF($G1663="",$I1663,$G1663)+(R$2*$M1663)))</f>
        <v/>
      </c>
      <c r="S1663" s="49">
        <f>IF($M1663="","",MAX(IF($G1663="",$I1663,$G1663)*(1/1.1),IF($G1663="",$I1663,$G1663)+(S$2*$M1663)))</f>
        <v/>
      </c>
      <c r="T1663" s="82" t="n"/>
      <c r="U1663" s="47">
        <f>IF(OR($M1663="",$T1663=""),"",$T1663+(U$2*$M1663))</f>
        <v/>
      </c>
      <c r="V1663" s="48">
        <f>IF(OR($M1663="",$T1663=""),"",$T1663+(V$2*$M1663))</f>
        <v/>
      </c>
      <c r="W1663" s="48">
        <f>IF(OR($M1663="",$T1663=""),"",$T1663+(W$2*$M1663))</f>
        <v/>
      </c>
      <c r="X1663" s="49">
        <f>IF(OR($M1663="",$T1663=""),"",$T1663+(X$2*$M1663))</f>
        <v/>
      </c>
      <c r="Y1663" s="47">
        <f>IF(OR($M1663="",$T1663=""),"",$T1663+(Y$2*$M1663))</f>
        <v/>
      </c>
      <c r="Z1663" s="49">
        <f>IF(OR($M1663="",$T1663=""),"",$T1663+(Z$2*$M1663))</f>
        <v/>
      </c>
      <c r="AA1663" s="51">
        <f>IF(OR($M1663="",$T1663=""),"",$T1663+(AA$2*$M1663))</f>
        <v/>
      </c>
      <c r="AB1663" s="48">
        <f>IF(OR($M1663="",$T1663=""),"",$T1663+(AB$2*$M1663))</f>
        <v/>
      </c>
      <c r="AC1663" s="48">
        <f>IF(OR($M1663="",$T1663=""),"",$T1663+(AC$2*$M1663))</f>
        <v/>
      </c>
      <c r="AD1663" s="48">
        <f>IF(OR($M1663="",$T1663=""),"",$T1663+(AD$2*$M1663))</f>
        <v/>
      </c>
      <c r="AE1663" s="49">
        <f>IF(OR($M1663="",$T1663=""),"",$T1663+(AE$2*$M1663))</f>
        <v/>
      </c>
      <c r="AF1663" s="52">
        <f>IF(OR(T1663="",I1663&lt;T1663),"",IFERROR(AVERAGE(T1663+M1663*{7,8,9,10,11})/IF(G1663="",I1663,G1663)-1,""))</f>
        <v/>
      </c>
      <c r="AG1663" s="55">
        <f>IF(OR(T1663="",I1663&lt;T1663),"",IFERROR(AF1663/-(R1663/IF(G1663="",I1663,G1663)-1),""))</f>
        <v/>
      </c>
      <c r="AH1663" s="94" t="n"/>
      <c r="AI1663" s="94" t="n"/>
      <c r="AJ1663" s="94" t="n"/>
      <c r="AK1663" s="94" t="n"/>
      <c r="AL1663" s="84" t="n"/>
    </row>
    <row r="1664">
      <c r="A1664" s="64" t="n"/>
      <c r="B1664" s="65" t="n"/>
      <c r="C1664" s="66" t="n"/>
      <c r="D1664" s="67" t="n"/>
      <c r="E1664" s="68" t="n"/>
      <c r="F1664" s="47">
        <f>IF(A1664="","",IF(MIN(H1664,MAX(J1664:K1664))=0,"",MIN(H1664,MAX(J1664:K1664))))</f>
        <v/>
      </c>
      <c r="G1664" s="74" t="n"/>
      <c r="H1664" s="49">
        <f>IF(M1664="","",IFERROR(ROUND(AVERAGE(T1664+M1664*{7,8,9,10,11})/1.21,4),""))</f>
        <v/>
      </c>
      <c r="I1664" s="76" t="n"/>
      <c r="J1664" s="77" t="n"/>
      <c r="K1664" s="74" t="n"/>
      <c r="L1664" s="78" t="n"/>
      <c r="M1664" s="77" t="n"/>
      <c r="N1664" s="53">
        <f>IF(M1664="","",IFERROR(M1664/I1664,""))</f>
        <v/>
      </c>
      <c r="O1664" s="50">
        <f>IF(A1664="","",IFERROR((IF(G1664="",I1664,G1664)-T1664)/M1664,""))</f>
        <v/>
      </c>
      <c r="P1664" s="50">
        <f>IFERROR((I1664/T1664-1)/N1664,"")</f>
        <v/>
      </c>
      <c r="Q1664" s="46">
        <f>IF(OR(T1664="",I1664&lt;T1664),"",IFERROR(R1664/IF(G1664="",I1664,G1664)-1,""))</f>
        <v/>
      </c>
      <c r="R1664" s="48">
        <f>IF($M1664="","",MAX(IF($G1664="",$I1664,$G1664)*(1/1.1),IF($G1664="",$I1664,$G1664)+(R$2*$M1664)))</f>
        <v/>
      </c>
      <c r="S1664" s="49">
        <f>IF($M1664="","",MAX(IF($G1664="",$I1664,$G1664)*(1/1.1),IF($G1664="",$I1664,$G1664)+(S$2*$M1664)))</f>
        <v/>
      </c>
      <c r="T1664" s="82" t="n"/>
      <c r="U1664" s="47">
        <f>IF(OR($M1664="",$T1664=""),"",$T1664+(U$2*$M1664))</f>
        <v/>
      </c>
      <c r="V1664" s="48">
        <f>IF(OR($M1664="",$T1664=""),"",$T1664+(V$2*$M1664))</f>
        <v/>
      </c>
      <c r="W1664" s="48">
        <f>IF(OR($M1664="",$T1664=""),"",$T1664+(W$2*$M1664))</f>
        <v/>
      </c>
      <c r="X1664" s="49">
        <f>IF(OR($M1664="",$T1664=""),"",$T1664+(X$2*$M1664))</f>
        <v/>
      </c>
      <c r="Y1664" s="47">
        <f>IF(OR($M1664="",$T1664=""),"",$T1664+(Y$2*$M1664))</f>
        <v/>
      </c>
      <c r="Z1664" s="49">
        <f>IF(OR($M1664="",$T1664=""),"",$T1664+(Z$2*$M1664))</f>
        <v/>
      </c>
      <c r="AA1664" s="51">
        <f>IF(OR($M1664="",$T1664=""),"",$T1664+(AA$2*$M1664))</f>
        <v/>
      </c>
      <c r="AB1664" s="48">
        <f>IF(OR($M1664="",$T1664=""),"",$T1664+(AB$2*$M1664))</f>
        <v/>
      </c>
      <c r="AC1664" s="48">
        <f>IF(OR($M1664="",$T1664=""),"",$T1664+(AC$2*$M1664))</f>
        <v/>
      </c>
      <c r="AD1664" s="48">
        <f>IF(OR($M1664="",$T1664=""),"",$T1664+(AD$2*$M1664))</f>
        <v/>
      </c>
      <c r="AE1664" s="49">
        <f>IF(OR($M1664="",$T1664=""),"",$T1664+(AE$2*$M1664))</f>
        <v/>
      </c>
      <c r="AF1664" s="52">
        <f>IF(OR(T1664="",I1664&lt;T1664),"",IFERROR(AVERAGE(T1664+M1664*{7,8,9,10,11})/IF(G1664="",I1664,G1664)-1,""))</f>
        <v/>
      </c>
      <c r="AG1664" s="55">
        <f>IF(OR(T1664="",I1664&lt;T1664),"",IFERROR(AF1664/-(R1664/IF(G1664="",I1664,G1664)-1),""))</f>
        <v/>
      </c>
      <c r="AH1664" s="94" t="n"/>
      <c r="AI1664" s="94" t="n"/>
      <c r="AJ1664" s="94" t="n"/>
      <c r="AK1664" s="94" t="n"/>
      <c r="AL1664" s="84" t="n"/>
    </row>
    <row r="1665">
      <c r="A1665" s="64" t="n"/>
      <c r="B1665" s="65" t="n"/>
      <c r="C1665" s="66" t="n"/>
      <c r="D1665" s="67" t="n"/>
      <c r="E1665" s="68" t="n"/>
      <c r="F1665" s="47">
        <f>IF(A1665="","",IF(MIN(H1665,MAX(J1665:K1665))=0,"",MIN(H1665,MAX(J1665:K1665))))</f>
        <v/>
      </c>
      <c r="G1665" s="74" t="n"/>
      <c r="H1665" s="49">
        <f>IF(M1665="","",IFERROR(ROUND(AVERAGE(T1665+M1665*{7,8,9,10,11})/1.21,4),""))</f>
        <v/>
      </c>
      <c r="I1665" s="76" t="n"/>
      <c r="J1665" s="77" t="n"/>
      <c r="K1665" s="74" t="n"/>
      <c r="L1665" s="78" t="n"/>
      <c r="M1665" s="77" t="n"/>
      <c r="N1665" s="53">
        <f>IF(M1665="","",IFERROR(M1665/I1665,""))</f>
        <v/>
      </c>
      <c r="O1665" s="50">
        <f>IF(A1665="","",IFERROR((IF(G1665="",I1665,G1665)-T1665)/M1665,""))</f>
        <v/>
      </c>
      <c r="P1665" s="50">
        <f>IFERROR((I1665/T1665-1)/N1665,"")</f>
        <v/>
      </c>
      <c r="Q1665" s="46">
        <f>IF(OR(T1665="",I1665&lt;T1665),"",IFERROR(R1665/IF(G1665="",I1665,G1665)-1,""))</f>
        <v/>
      </c>
      <c r="R1665" s="48">
        <f>IF($M1665="","",MAX(IF($G1665="",$I1665,$G1665)*(1/1.1),IF($G1665="",$I1665,$G1665)+(R$2*$M1665)))</f>
        <v/>
      </c>
      <c r="S1665" s="49">
        <f>IF($M1665="","",MAX(IF($G1665="",$I1665,$G1665)*(1/1.1),IF($G1665="",$I1665,$G1665)+(S$2*$M1665)))</f>
        <v/>
      </c>
      <c r="T1665" s="82" t="n"/>
      <c r="U1665" s="47">
        <f>IF(OR($M1665="",$T1665=""),"",$T1665+(U$2*$M1665))</f>
        <v/>
      </c>
      <c r="V1665" s="48">
        <f>IF(OR($M1665="",$T1665=""),"",$T1665+(V$2*$M1665))</f>
        <v/>
      </c>
      <c r="W1665" s="48">
        <f>IF(OR($M1665="",$T1665=""),"",$T1665+(W$2*$M1665))</f>
        <v/>
      </c>
      <c r="X1665" s="49">
        <f>IF(OR($M1665="",$T1665=""),"",$T1665+(X$2*$M1665))</f>
        <v/>
      </c>
      <c r="Y1665" s="47">
        <f>IF(OR($M1665="",$T1665=""),"",$T1665+(Y$2*$M1665))</f>
        <v/>
      </c>
      <c r="Z1665" s="49">
        <f>IF(OR($M1665="",$T1665=""),"",$T1665+(Z$2*$M1665))</f>
        <v/>
      </c>
      <c r="AA1665" s="51">
        <f>IF(OR($M1665="",$T1665=""),"",$T1665+(AA$2*$M1665))</f>
        <v/>
      </c>
      <c r="AB1665" s="48">
        <f>IF(OR($M1665="",$T1665=""),"",$T1665+(AB$2*$M1665))</f>
        <v/>
      </c>
      <c r="AC1665" s="48">
        <f>IF(OR($M1665="",$T1665=""),"",$T1665+(AC$2*$M1665))</f>
        <v/>
      </c>
      <c r="AD1665" s="48">
        <f>IF(OR($M1665="",$T1665=""),"",$T1665+(AD$2*$M1665))</f>
        <v/>
      </c>
      <c r="AE1665" s="49">
        <f>IF(OR($M1665="",$T1665=""),"",$T1665+(AE$2*$M1665))</f>
        <v/>
      </c>
      <c r="AF1665" s="52">
        <f>IF(OR(T1665="",I1665&lt;T1665),"",IFERROR(AVERAGE(T1665+M1665*{7,8,9,10,11})/IF(G1665="",I1665,G1665)-1,""))</f>
        <v/>
      </c>
      <c r="AG1665" s="55">
        <f>IF(OR(T1665="",I1665&lt;T1665),"",IFERROR(AF1665/-(R1665/IF(G1665="",I1665,G1665)-1),""))</f>
        <v/>
      </c>
      <c r="AH1665" s="94" t="n"/>
      <c r="AI1665" s="94" t="n"/>
      <c r="AJ1665" s="94" t="n"/>
      <c r="AK1665" s="94" t="n"/>
      <c r="AL1665" s="84" t="n"/>
    </row>
    <row r="1666">
      <c r="A1666" s="64" t="n"/>
      <c r="B1666" s="65" t="n"/>
      <c r="C1666" s="66" t="n"/>
      <c r="D1666" s="67" t="n"/>
      <c r="E1666" s="68" t="n"/>
      <c r="F1666" s="47">
        <f>IF(A1666="","",IF(MIN(H1666,MAX(J1666:K1666))=0,"",MIN(H1666,MAX(J1666:K1666))))</f>
        <v/>
      </c>
      <c r="G1666" s="74" t="n"/>
      <c r="H1666" s="49">
        <f>IF(M1666="","",IFERROR(ROUND(AVERAGE(T1666+M1666*{7,8,9,10,11})/1.21,4),""))</f>
        <v/>
      </c>
      <c r="I1666" s="76" t="n"/>
      <c r="J1666" s="77" t="n"/>
      <c r="K1666" s="74" t="n"/>
      <c r="L1666" s="78" t="n"/>
      <c r="M1666" s="77" t="n"/>
      <c r="N1666" s="53">
        <f>IF(M1666="","",IFERROR(M1666/I1666,""))</f>
        <v/>
      </c>
      <c r="O1666" s="50">
        <f>IF(A1666="","",IFERROR((IF(G1666="",I1666,G1666)-T1666)/M1666,""))</f>
        <v/>
      </c>
      <c r="P1666" s="50">
        <f>IFERROR((I1666/T1666-1)/N1666,"")</f>
        <v/>
      </c>
      <c r="Q1666" s="46">
        <f>IF(OR(T1666="",I1666&lt;T1666),"",IFERROR(R1666/IF(G1666="",I1666,G1666)-1,""))</f>
        <v/>
      </c>
      <c r="R1666" s="48">
        <f>IF($M1666="","",MAX(IF($G1666="",$I1666,$G1666)*(1/1.1),IF($G1666="",$I1666,$G1666)+(R$2*$M1666)))</f>
        <v/>
      </c>
      <c r="S1666" s="49">
        <f>IF($M1666="","",MAX(IF($G1666="",$I1666,$G1666)*(1/1.1),IF($G1666="",$I1666,$G1666)+(S$2*$M1666)))</f>
        <v/>
      </c>
      <c r="T1666" s="82" t="n"/>
      <c r="U1666" s="47">
        <f>IF(OR($M1666="",$T1666=""),"",$T1666+(U$2*$M1666))</f>
        <v/>
      </c>
      <c r="V1666" s="48">
        <f>IF(OR($M1666="",$T1666=""),"",$T1666+(V$2*$M1666))</f>
        <v/>
      </c>
      <c r="W1666" s="48">
        <f>IF(OR($M1666="",$T1666=""),"",$T1666+(W$2*$M1666))</f>
        <v/>
      </c>
      <c r="X1666" s="49">
        <f>IF(OR($M1666="",$T1666=""),"",$T1666+(X$2*$M1666))</f>
        <v/>
      </c>
      <c r="Y1666" s="47">
        <f>IF(OR($M1666="",$T1666=""),"",$T1666+(Y$2*$M1666))</f>
        <v/>
      </c>
      <c r="Z1666" s="49">
        <f>IF(OR($M1666="",$T1666=""),"",$T1666+(Z$2*$M1666))</f>
        <v/>
      </c>
      <c r="AA1666" s="51">
        <f>IF(OR($M1666="",$T1666=""),"",$T1666+(AA$2*$M1666))</f>
        <v/>
      </c>
      <c r="AB1666" s="48">
        <f>IF(OR($M1666="",$T1666=""),"",$T1666+(AB$2*$M1666))</f>
        <v/>
      </c>
      <c r="AC1666" s="48">
        <f>IF(OR($M1666="",$T1666=""),"",$T1666+(AC$2*$M1666))</f>
        <v/>
      </c>
      <c r="AD1666" s="48">
        <f>IF(OR($M1666="",$T1666=""),"",$T1666+(AD$2*$M1666))</f>
        <v/>
      </c>
      <c r="AE1666" s="49">
        <f>IF(OR($M1666="",$T1666=""),"",$T1666+(AE$2*$M1666))</f>
        <v/>
      </c>
      <c r="AF1666" s="52">
        <f>IF(OR(T1666="",I1666&lt;T1666),"",IFERROR(AVERAGE(T1666+M1666*{7,8,9,10,11})/IF(G1666="",I1666,G1666)-1,""))</f>
        <v/>
      </c>
      <c r="AG1666" s="55">
        <f>IF(OR(T1666="",I1666&lt;T1666),"",IFERROR(AF1666/-(R1666/IF(G1666="",I1666,G1666)-1),""))</f>
        <v/>
      </c>
      <c r="AH1666" s="94" t="n"/>
      <c r="AI1666" s="94" t="n"/>
      <c r="AJ1666" s="94" t="n"/>
      <c r="AK1666" s="94" t="n"/>
      <c r="AL1666" s="84" t="n"/>
    </row>
    <row r="1667">
      <c r="A1667" s="64" t="n"/>
      <c r="B1667" s="65" t="n"/>
      <c r="C1667" s="66" t="n"/>
      <c r="D1667" s="67" t="n"/>
      <c r="E1667" s="68" t="n"/>
      <c r="F1667" s="47">
        <f>IF(A1667="","",IF(MIN(H1667,MAX(J1667:K1667))=0,"",MIN(H1667,MAX(J1667:K1667))))</f>
        <v/>
      </c>
      <c r="G1667" s="74" t="n"/>
      <c r="H1667" s="49">
        <f>IF(M1667="","",IFERROR(ROUND(AVERAGE(T1667+M1667*{7,8,9,10,11})/1.21,4),""))</f>
        <v/>
      </c>
      <c r="I1667" s="76" t="n"/>
      <c r="J1667" s="77" t="n"/>
      <c r="K1667" s="74" t="n"/>
      <c r="L1667" s="78" t="n"/>
      <c r="M1667" s="77" t="n"/>
      <c r="N1667" s="53">
        <f>IF(M1667="","",IFERROR(M1667/I1667,""))</f>
        <v/>
      </c>
      <c r="O1667" s="50">
        <f>IF(A1667="","",IFERROR((IF(G1667="",I1667,G1667)-T1667)/M1667,""))</f>
        <v/>
      </c>
      <c r="P1667" s="50">
        <f>IFERROR((I1667/T1667-1)/N1667,"")</f>
        <v/>
      </c>
      <c r="Q1667" s="46">
        <f>IF(OR(T1667="",I1667&lt;T1667),"",IFERROR(R1667/IF(G1667="",I1667,G1667)-1,""))</f>
        <v/>
      </c>
      <c r="R1667" s="48">
        <f>IF($M1667="","",MAX(IF($G1667="",$I1667,$G1667)*(1/1.1),IF($G1667="",$I1667,$G1667)+(R$2*$M1667)))</f>
        <v/>
      </c>
      <c r="S1667" s="49">
        <f>IF($M1667="","",MAX(IF($G1667="",$I1667,$G1667)*(1/1.1),IF($G1667="",$I1667,$G1667)+(S$2*$M1667)))</f>
        <v/>
      </c>
      <c r="T1667" s="82" t="n"/>
      <c r="U1667" s="47">
        <f>IF(OR($M1667="",$T1667=""),"",$T1667+(U$2*$M1667))</f>
        <v/>
      </c>
      <c r="V1667" s="48">
        <f>IF(OR($M1667="",$T1667=""),"",$T1667+(V$2*$M1667))</f>
        <v/>
      </c>
      <c r="W1667" s="48">
        <f>IF(OR($M1667="",$T1667=""),"",$T1667+(W$2*$M1667))</f>
        <v/>
      </c>
      <c r="X1667" s="49">
        <f>IF(OR($M1667="",$T1667=""),"",$T1667+(X$2*$M1667))</f>
        <v/>
      </c>
      <c r="Y1667" s="47">
        <f>IF(OR($M1667="",$T1667=""),"",$T1667+(Y$2*$M1667))</f>
        <v/>
      </c>
      <c r="Z1667" s="49">
        <f>IF(OR($M1667="",$T1667=""),"",$T1667+(Z$2*$M1667))</f>
        <v/>
      </c>
      <c r="AA1667" s="51">
        <f>IF(OR($M1667="",$T1667=""),"",$T1667+(AA$2*$M1667))</f>
        <v/>
      </c>
      <c r="AB1667" s="48">
        <f>IF(OR($M1667="",$T1667=""),"",$T1667+(AB$2*$M1667))</f>
        <v/>
      </c>
      <c r="AC1667" s="48">
        <f>IF(OR($M1667="",$T1667=""),"",$T1667+(AC$2*$M1667))</f>
        <v/>
      </c>
      <c r="AD1667" s="48">
        <f>IF(OR($M1667="",$T1667=""),"",$T1667+(AD$2*$M1667))</f>
        <v/>
      </c>
      <c r="AE1667" s="49">
        <f>IF(OR($M1667="",$T1667=""),"",$T1667+(AE$2*$M1667))</f>
        <v/>
      </c>
      <c r="AF1667" s="52">
        <f>IF(OR(T1667="",I1667&lt;T1667),"",IFERROR(AVERAGE(T1667+M1667*{7,8,9,10,11})/IF(G1667="",I1667,G1667)-1,""))</f>
        <v/>
      </c>
      <c r="AG1667" s="55">
        <f>IF(OR(T1667="",I1667&lt;T1667),"",IFERROR(AF1667/-(R1667/IF(G1667="",I1667,G1667)-1),""))</f>
        <v/>
      </c>
      <c r="AH1667" s="94" t="n"/>
      <c r="AI1667" s="94" t="n"/>
      <c r="AJ1667" s="94" t="n"/>
      <c r="AK1667" s="94" t="n"/>
      <c r="AL1667" s="84" t="n"/>
    </row>
    <row r="1668">
      <c r="A1668" s="64" t="n"/>
      <c r="B1668" s="65" t="n"/>
      <c r="C1668" s="66" t="n"/>
      <c r="D1668" s="67" t="n"/>
      <c r="E1668" s="68" t="n"/>
      <c r="F1668" s="47">
        <f>IF(A1668="","",IF(MIN(H1668,MAX(J1668:K1668))=0,"",MIN(H1668,MAX(J1668:K1668))))</f>
        <v/>
      </c>
      <c r="G1668" s="74" t="n"/>
      <c r="H1668" s="49">
        <f>IF(M1668="","",IFERROR(ROUND(AVERAGE(T1668+M1668*{7,8,9,10,11})/1.21,4),""))</f>
        <v/>
      </c>
      <c r="I1668" s="76" t="n"/>
      <c r="J1668" s="77" t="n"/>
      <c r="K1668" s="74" t="n"/>
      <c r="L1668" s="78" t="n"/>
      <c r="M1668" s="77" t="n"/>
      <c r="N1668" s="53">
        <f>IF(M1668="","",IFERROR(M1668/I1668,""))</f>
        <v/>
      </c>
      <c r="O1668" s="50">
        <f>IF(A1668="","",IFERROR((IF(G1668="",I1668,G1668)-T1668)/M1668,""))</f>
        <v/>
      </c>
      <c r="P1668" s="50">
        <f>IFERROR((I1668/T1668-1)/N1668,"")</f>
        <v/>
      </c>
      <c r="Q1668" s="46">
        <f>IF(OR(T1668="",I1668&lt;T1668),"",IFERROR(R1668/IF(G1668="",I1668,G1668)-1,""))</f>
        <v/>
      </c>
      <c r="R1668" s="48">
        <f>IF($M1668="","",MAX(IF($G1668="",$I1668,$G1668)*(1/1.1),IF($G1668="",$I1668,$G1668)+(R$2*$M1668)))</f>
        <v/>
      </c>
      <c r="S1668" s="49">
        <f>IF($M1668="","",MAX(IF($G1668="",$I1668,$G1668)*(1/1.1),IF($G1668="",$I1668,$G1668)+(S$2*$M1668)))</f>
        <v/>
      </c>
      <c r="T1668" s="82" t="n"/>
      <c r="U1668" s="47">
        <f>IF(OR($M1668="",$T1668=""),"",$T1668+(U$2*$M1668))</f>
        <v/>
      </c>
      <c r="V1668" s="48">
        <f>IF(OR($M1668="",$T1668=""),"",$T1668+(V$2*$M1668))</f>
        <v/>
      </c>
      <c r="W1668" s="48">
        <f>IF(OR($M1668="",$T1668=""),"",$T1668+(W$2*$M1668))</f>
        <v/>
      </c>
      <c r="X1668" s="49">
        <f>IF(OR($M1668="",$T1668=""),"",$T1668+(X$2*$M1668))</f>
        <v/>
      </c>
      <c r="Y1668" s="47">
        <f>IF(OR($M1668="",$T1668=""),"",$T1668+(Y$2*$M1668))</f>
        <v/>
      </c>
      <c r="Z1668" s="49">
        <f>IF(OR($M1668="",$T1668=""),"",$T1668+(Z$2*$M1668))</f>
        <v/>
      </c>
      <c r="AA1668" s="51">
        <f>IF(OR($M1668="",$T1668=""),"",$T1668+(AA$2*$M1668))</f>
        <v/>
      </c>
      <c r="AB1668" s="48">
        <f>IF(OR($M1668="",$T1668=""),"",$T1668+(AB$2*$M1668))</f>
        <v/>
      </c>
      <c r="AC1668" s="48">
        <f>IF(OR($M1668="",$T1668=""),"",$T1668+(AC$2*$M1668))</f>
        <v/>
      </c>
      <c r="AD1668" s="48">
        <f>IF(OR($M1668="",$T1668=""),"",$T1668+(AD$2*$M1668))</f>
        <v/>
      </c>
      <c r="AE1668" s="49">
        <f>IF(OR($M1668="",$T1668=""),"",$T1668+(AE$2*$M1668))</f>
        <v/>
      </c>
      <c r="AF1668" s="52">
        <f>IF(OR(T1668="",I1668&lt;T1668),"",IFERROR(AVERAGE(T1668+M1668*{7,8,9,10,11})/IF(G1668="",I1668,G1668)-1,""))</f>
        <v/>
      </c>
      <c r="AG1668" s="55">
        <f>IF(OR(T1668="",I1668&lt;T1668),"",IFERROR(AF1668/-(R1668/IF(G1668="",I1668,G1668)-1),""))</f>
        <v/>
      </c>
      <c r="AH1668" s="94" t="n"/>
      <c r="AI1668" s="94" t="n"/>
      <c r="AJ1668" s="94" t="n"/>
      <c r="AK1668" s="94" t="n"/>
      <c r="AL1668" s="84" t="n"/>
    </row>
    <row r="1669">
      <c r="A1669" s="64" t="n"/>
      <c r="B1669" s="65" t="n"/>
      <c r="C1669" s="66" t="n"/>
      <c r="D1669" s="67" t="n"/>
      <c r="E1669" s="68" t="n"/>
      <c r="F1669" s="47">
        <f>IF(A1669="","",IF(MIN(H1669,MAX(J1669:K1669))=0,"",MIN(H1669,MAX(J1669:K1669))))</f>
        <v/>
      </c>
      <c r="G1669" s="74" t="n"/>
      <c r="H1669" s="49">
        <f>IF(M1669="","",IFERROR(ROUND(AVERAGE(T1669+M1669*{7,8,9,10,11})/1.21,4),""))</f>
        <v/>
      </c>
      <c r="I1669" s="76" t="n"/>
      <c r="J1669" s="77" t="n"/>
      <c r="K1669" s="74" t="n"/>
      <c r="L1669" s="78" t="n"/>
      <c r="M1669" s="77" t="n"/>
      <c r="N1669" s="53">
        <f>IF(M1669="","",IFERROR(M1669/I1669,""))</f>
        <v/>
      </c>
      <c r="O1669" s="50">
        <f>IF(A1669="","",IFERROR((IF(G1669="",I1669,G1669)-T1669)/M1669,""))</f>
        <v/>
      </c>
      <c r="P1669" s="50">
        <f>IFERROR((I1669/T1669-1)/N1669,"")</f>
        <v/>
      </c>
      <c r="Q1669" s="46">
        <f>IF(OR(T1669="",I1669&lt;T1669),"",IFERROR(R1669/IF(G1669="",I1669,G1669)-1,""))</f>
        <v/>
      </c>
      <c r="R1669" s="48">
        <f>IF($M1669="","",MAX(IF($G1669="",$I1669,$G1669)*(1/1.1),IF($G1669="",$I1669,$G1669)+(R$2*$M1669)))</f>
        <v/>
      </c>
      <c r="S1669" s="49">
        <f>IF($M1669="","",MAX(IF($G1669="",$I1669,$G1669)*(1/1.1),IF($G1669="",$I1669,$G1669)+(S$2*$M1669)))</f>
        <v/>
      </c>
      <c r="T1669" s="82" t="n"/>
      <c r="U1669" s="47">
        <f>IF(OR($M1669="",$T1669=""),"",$T1669+(U$2*$M1669))</f>
        <v/>
      </c>
      <c r="V1669" s="48">
        <f>IF(OR($M1669="",$T1669=""),"",$T1669+(V$2*$M1669))</f>
        <v/>
      </c>
      <c r="W1669" s="48">
        <f>IF(OR($M1669="",$T1669=""),"",$T1669+(W$2*$M1669))</f>
        <v/>
      </c>
      <c r="X1669" s="49">
        <f>IF(OR($M1669="",$T1669=""),"",$T1669+(X$2*$M1669))</f>
        <v/>
      </c>
      <c r="Y1669" s="47">
        <f>IF(OR($M1669="",$T1669=""),"",$T1669+(Y$2*$M1669))</f>
        <v/>
      </c>
      <c r="Z1669" s="49">
        <f>IF(OR($M1669="",$T1669=""),"",$T1669+(Z$2*$M1669))</f>
        <v/>
      </c>
      <c r="AA1669" s="51">
        <f>IF(OR($M1669="",$T1669=""),"",$T1669+(AA$2*$M1669))</f>
        <v/>
      </c>
      <c r="AB1669" s="48">
        <f>IF(OR($M1669="",$T1669=""),"",$T1669+(AB$2*$M1669))</f>
        <v/>
      </c>
      <c r="AC1669" s="48">
        <f>IF(OR($M1669="",$T1669=""),"",$T1669+(AC$2*$M1669))</f>
        <v/>
      </c>
      <c r="AD1669" s="48">
        <f>IF(OR($M1669="",$T1669=""),"",$T1669+(AD$2*$M1669))</f>
        <v/>
      </c>
      <c r="AE1669" s="49">
        <f>IF(OR($M1669="",$T1669=""),"",$T1669+(AE$2*$M1669))</f>
        <v/>
      </c>
      <c r="AF1669" s="52">
        <f>IF(OR(T1669="",I1669&lt;T1669),"",IFERROR(AVERAGE(T1669+M1669*{7,8,9,10,11})/IF(G1669="",I1669,G1669)-1,""))</f>
        <v/>
      </c>
      <c r="AG1669" s="55">
        <f>IF(OR(T1669="",I1669&lt;T1669),"",IFERROR(AF1669/-(R1669/IF(G1669="",I1669,G1669)-1),""))</f>
        <v/>
      </c>
      <c r="AH1669" s="94" t="n"/>
      <c r="AI1669" s="94" t="n"/>
      <c r="AJ1669" s="94" t="n"/>
      <c r="AK1669" s="94" t="n"/>
      <c r="AL1669" s="84" t="n"/>
    </row>
    <row r="1670">
      <c r="A1670" s="64" t="n"/>
      <c r="B1670" s="65" t="n"/>
      <c r="C1670" s="66" t="n"/>
      <c r="D1670" s="67" t="n"/>
      <c r="E1670" s="68" t="n"/>
      <c r="F1670" s="47">
        <f>IF(A1670="","",IF(MIN(H1670,MAX(J1670:K1670))=0,"",MIN(H1670,MAX(J1670:K1670))))</f>
        <v/>
      </c>
      <c r="G1670" s="74" t="n"/>
      <c r="H1670" s="49">
        <f>IF(M1670="","",IFERROR(ROUND(AVERAGE(T1670+M1670*{7,8,9,10,11})/1.21,4),""))</f>
        <v/>
      </c>
      <c r="I1670" s="76" t="n"/>
      <c r="J1670" s="77" t="n"/>
      <c r="K1670" s="74" t="n"/>
      <c r="L1670" s="78" t="n"/>
      <c r="M1670" s="77" t="n"/>
      <c r="N1670" s="53">
        <f>IF(M1670="","",IFERROR(M1670/I1670,""))</f>
        <v/>
      </c>
      <c r="O1670" s="50">
        <f>IF(A1670="","",IFERROR((IF(G1670="",I1670,G1670)-T1670)/M1670,""))</f>
        <v/>
      </c>
      <c r="P1670" s="50">
        <f>IFERROR((I1670/T1670-1)/N1670,"")</f>
        <v/>
      </c>
      <c r="Q1670" s="46">
        <f>IF(OR(T1670="",I1670&lt;T1670),"",IFERROR(R1670/IF(G1670="",I1670,G1670)-1,""))</f>
        <v/>
      </c>
      <c r="R1670" s="48">
        <f>IF($M1670="","",MAX(IF($G1670="",$I1670,$G1670)*(1/1.1),IF($G1670="",$I1670,$G1670)+(R$2*$M1670)))</f>
        <v/>
      </c>
      <c r="S1670" s="49">
        <f>IF($M1670="","",MAX(IF($G1670="",$I1670,$G1670)*(1/1.1),IF($G1670="",$I1670,$G1670)+(S$2*$M1670)))</f>
        <v/>
      </c>
      <c r="T1670" s="82" t="n"/>
      <c r="U1670" s="47">
        <f>IF(OR($M1670="",$T1670=""),"",$T1670+(U$2*$M1670))</f>
        <v/>
      </c>
      <c r="V1670" s="48">
        <f>IF(OR($M1670="",$T1670=""),"",$T1670+(V$2*$M1670))</f>
        <v/>
      </c>
      <c r="W1670" s="48">
        <f>IF(OR($M1670="",$T1670=""),"",$T1670+(W$2*$M1670))</f>
        <v/>
      </c>
      <c r="X1670" s="49">
        <f>IF(OR($M1670="",$T1670=""),"",$T1670+(X$2*$M1670))</f>
        <v/>
      </c>
      <c r="Y1670" s="47">
        <f>IF(OR($M1670="",$T1670=""),"",$T1670+(Y$2*$M1670))</f>
        <v/>
      </c>
      <c r="Z1670" s="49">
        <f>IF(OR($M1670="",$T1670=""),"",$T1670+(Z$2*$M1670))</f>
        <v/>
      </c>
      <c r="AA1670" s="51">
        <f>IF(OR($M1670="",$T1670=""),"",$T1670+(AA$2*$M1670))</f>
        <v/>
      </c>
      <c r="AB1670" s="48">
        <f>IF(OR($M1670="",$T1670=""),"",$T1670+(AB$2*$M1670))</f>
        <v/>
      </c>
      <c r="AC1670" s="48">
        <f>IF(OR($M1670="",$T1670=""),"",$T1670+(AC$2*$M1670))</f>
        <v/>
      </c>
      <c r="AD1670" s="48">
        <f>IF(OR($M1670="",$T1670=""),"",$T1670+(AD$2*$M1670))</f>
        <v/>
      </c>
      <c r="AE1670" s="49">
        <f>IF(OR($M1670="",$T1670=""),"",$T1670+(AE$2*$M1670))</f>
        <v/>
      </c>
      <c r="AF1670" s="52">
        <f>IF(OR(T1670="",I1670&lt;T1670),"",IFERROR(AVERAGE(T1670+M1670*{7,8,9,10,11})/IF(G1670="",I1670,G1670)-1,""))</f>
        <v/>
      </c>
      <c r="AG1670" s="55">
        <f>IF(OR(T1670="",I1670&lt;T1670),"",IFERROR(AF1670/-(R1670/IF(G1670="",I1670,G1670)-1),""))</f>
        <v/>
      </c>
      <c r="AH1670" s="94" t="n"/>
      <c r="AI1670" s="94" t="n"/>
      <c r="AJ1670" s="94" t="n"/>
      <c r="AK1670" s="94" t="n"/>
      <c r="AL1670" s="84" t="n"/>
    </row>
    <row r="1671">
      <c r="A1671" s="64" t="n"/>
      <c r="B1671" s="65" t="n"/>
      <c r="C1671" s="66" t="n"/>
      <c r="D1671" s="67" t="n"/>
      <c r="E1671" s="68" t="n"/>
      <c r="F1671" s="47">
        <f>IF(A1671="","",IF(MIN(H1671,MAX(J1671:K1671))=0,"",MIN(H1671,MAX(J1671:K1671))))</f>
        <v/>
      </c>
      <c r="G1671" s="74" t="n"/>
      <c r="H1671" s="49">
        <f>IF(M1671="","",IFERROR(ROUND(AVERAGE(T1671+M1671*{7,8,9,10,11})/1.21,4),""))</f>
        <v/>
      </c>
      <c r="I1671" s="76" t="n"/>
      <c r="J1671" s="77" t="n"/>
      <c r="K1671" s="74" t="n"/>
      <c r="L1671" s="78" t="n"/>
      <c r="M1671" s="77" t="n"/>
      <c r="N1671" s="53">
        <f>IF(M1671="","",IFERROR(M1671/I1671,""))</f>
        <v/>
      </c>
      <c r="O1671" s="50">
        <f>IF(A1671="","",IFERROR((IF(G1671="",I1671,G1671)-T1671)/M1671,""))</f>
        <v/>
      </c>
      <c r="P1671" s="50">
        <f>IFERROR((I1671/T1671-1)/N1671,"")</f>
        <v/>
      </c>
      <c r="Q1671" s="46">
        <f>IF(OR(T1671="",I1671&lt;T1671),"",IFERROR(R1671/IF(G1671="",I1671,G1671)-1,""))</f>
        <v/>
      </c>
      <c r="R1671" s="48">
        <f>IF($M1671="","",MAX(IF($G1671="",$I1671,$G1671)*(1/1.1),IF($G1671="",$I1671,$G1671)+(R$2*$M1671)))</f>
        <v/>
      </c>
      <c r="S1671" s="49">
        <f>IF($M1671="","",MAX(IF($G1671="",$I1671,$G1671)*(1/1.1),IF($G1671="",$I1671,$G1671)+(S$2*$M1671)))</f>
        <v/>
      </c>
      <c r="T1671" s="82" t="n"/>
      <c r="U1671" s="47">
        <f>IF(OR($M1671="",$T1671=""),"",$T1671+(U$2*$M1671))</f>
        <v/>
      </c>
      <c r="V1671" s="48">
        <f>IF(OR($M1671="",$T1671=""),"",$T1671+(V$2*$M1671))</f>
        <v/>
      </c>
      <c r="W1671" s="48">
        <f>IF(OR($M1671="",$T1671=""),"",$T1671+(W$2*$M1671))</f>
        <v/>
      </c>
      <c r="X1671" s="49">
        <f>IF(OR($M1671="",$T1671=""),"",$T1671+(X$2*$M1671))</f>
        <v/>
      </c>
      <c r="Y1671" s="47">
        <f>IF(OR($M1671="",$T1671=""),"",$T1671+(Y$2*$M1671))</f>
        <v/>
      </c>
      <c r="Z1671" s="49">
        <f>IF(OR($M1671="",$T1671=""),"",$T1671+(Z$2*$M1671))</f>
        <v/>
      </c>
      <c r="AA1671" s="51">
        <f>IF(OR($M1671="",$T1671=""),"",$T1671+(AA$2*$M1671))</f>
        <v/>
      </c>
      <c r="AB1671" s="48">
        <f>IF(OR($M1671="",$T1671=""),"",$T1671+(AB$2*$M1671))</f>
        <v/>
      </c>
      <c r="AC1671" s="48">
        <f>IF(OR($M1671="",$T1671=""),"",$T1671+(AC$2*$M1671))</f>
        <v/>
      </c>
      <c r="AD1671" s="48">
        <f>IF(OR($M1671="",$T1671=""),"",$T1671+(AD$2*$M1671))</f>
        <v/>
      </c>
      <c r="AE1671" s="49">
        <f>IF(OR($M1671="",$T1671=""),"",$T1671+(AE$2*$M1671))</f>
        <v/>
      </c>
      <c r="AF1671" s="52">
        <f>IF(OR(T1671="",I1671&lt;T1671),"",IFERROR(AVERAGE(T1671+M1671*{7,8,9,10,11})/IF(G1671="",I1671,G1671)-1,""))</f>
        <v/>
      </c>
      <c r="AG1671" s="55">
        <f>IF(OR(T1671="",I1671&lt;T1671),"",IFERROR(AF1671/-(R1671/IF(G1671="",I1671,G1671)-1),""))</f>
        <v/>
      </c>
      <c r="AH1671" s="94" t="n"/>
      <c r="AI1671" s="94" t="n"/>
      <c r="AJ1671" s="94" t="n"/>
      <c r="AK1671" s="94" t="n"/>
      <c r="AL1671" s="84" t="n"/>
    </row>
    <row r="1672">
      <c r="A1672" s="64" t="n"/>
      <c r="B1672" s="65" t="n"/>
      <c r="C1672" s="66" t="n"/>
      <c r="D1672" s="67" t="n"/>
      <c r="E1672" s="68" t="n"/>
      <c r="F1672" s="47">
        <f>IF(A1672="","",IF(MIN(H1672,MAX(J1672:K1672))=0,"",MIN(H1672,MAX(J1672:K1672))))</f>
        <v/>
      </c>
      <c r="G1672" s="74" t="n"/>
      <c r="H1672" s="49">
        <f>IF(M1672="","",IFERROR(ROUND(AVERAGE(T1672+M1672*{7,8,9,10,11})/1.21,4),""))</f>
        <v/>
      </c>
      <c r="I1672" s="76" t="n"/>
      <c r="J1672" s="77" t="n"/>
      <c r="K1672" s="74" t="n"/>
      <c r="L1672" s="78" t="n"/>
      <c r="M1672" s="77" t="n"/>
      <c r="N1672" s="53">
        <f>IF(M1672="","",IFERROR(M1672/I1672,""))</f>
        <v/>
      </c>
      <c r="O1672" s="50">
        <f>IF(A1672="","",IFERROR((IF(G1672="",I1672,G1672)-T1672)/M1672,""))</f>
        <v/>
      </c>
      <c r="P1672" s="50">
        <f>IFERROR((I1672/T1672-1)/N1672,"")</f>
        <v/>
      </c>
      <c r="Q1672" s="46">
        <f>IF(OR(T1672="",I1672&lt;T1672),"",IFERROR(R1672/IF(G1672="",I1672,G1672)-1,""))</f>
        <v/>
      </c>
      <c r="R1672" s="48">
        <f>IF($M1672="","",MAX(IF($G1672="",$I1672,$G1672)*(1/1.1),IF($G1672="",$I1672,$G1672)+(R$2*$M1672)))</f>
        <v/>
      </c>
      <c r="S1672" s="49">
        <f>IF($M1672="","",MAX(IF($G1672="",$I1672,$G1672)*(1/1.1),IF($G1672="",$I1672,$G1672)+(S$2*$M1672)))</f>
        <v/>
      </c>
      <c r="T1672" s="82" t="n"/>
      <c r="U1672" s="47">
        <f>IF(OR($M1672="",$T1672=""),"",$T1672+(U$2*$M1672))</f>
        <v/>
      </c>
      <c r="V1672" s="48">
        <f>IF(OR($M1672="",$T1672=""),"",$T1672+(V$2*$M1672))</f>
        <v/>
      </c>
      <c r="W1672" s="48">
        <f>IF(OR($M1672="",$T1672=""),"",$T1672+(W$2*$M1672))</f>
        <v/>
      </c>
      <c r="X1672" s="49">
        <f>IF(OR($M1672="",$T1672=""),"",$T1672+(X$2*$M1672))</f>
        <v/>
      </c>
      <c r="Y1672" s="47">
        <f>IF(OR($M1672="",$T1672=""),"",$T1672+(Y$2*$M1672))</f>
        <v/>
      </c>
      <c r="Z1672" s="49">
        <f>IF(OR($M1672="",$T1672=""),"",$T1672+(Z$2*$M1672))</f>
        <v/>
      </c>
      <c r="AA1672" s="51">
        <f>IF(OR($M1672="",$T1672=""),"",$T1672+(AA$2*$M1672))</f>
        <v/>
      </c>
      <c r="AB1672" s="48">
        <f>IF(OR($M1672="",$T1672=""),"",$T1672+(AB$2*$M1672))</f>
        <v/>
      </c>
      <c r="AC1672" s="48">
        <f>IF(OR($M1672="",$T1672=""),"",$T1672+(AC$2*$M1672))</f>
        <v/>
      </c>
      <c r="AD1672" s="48">
        <f>IF(OR($M1672="",$T1672=""),"",$T1672+(AD$2*$M1672))</f>
        <v/>
      </c>
      <c r="AE1672" s="49">
        <f>IF(OR($M1672="",$T1672=""),"",$T1672+(AE$2*$M1672))</f>
        <v/>
      </c>
      <c r="AF1672" s="52">
        <f>IF(OR(T1672="",I1672&lt;T1672),"",IFERROR(AVERAGE(T1672+M1672*{7,8,9,10,11})/IF(G1672="",I1672,G1672)-1,""))</f>
        <v/>
      </c>
      <c r="AG1672" s="55">
        <f>IF(OR(T1672="",I1672&lt;T1672),"",IFERROR(AF1672/-(R1672/IF(G1672="",I1672,G1672)-1),""))</f>
        <v/>
      </c>
      <c r="AH1672" s="94" t="n"/>
      <c r="AI1672" s="94" t="n"/>
      <c r="AJ1672" s="94" t="n"/>
      <c r="AK1672" s="94" t="n"/>
      <c r="AL1672" s="84" t="n"/>
    </row>
    <row r="1673">
      <c r="A1673" s="64" t="n"/>
      <c r="B1673" s="65" t="n"/>
      <c r="C1673" s="66" t="n"/>
      <c r="D1673" s="67" t="n"/>
      <c r="E1673" s="68" t="n"/>
      <c r="F1673" s="47">
        <f>IF(A1673="","",IF(MIN(H1673,MAX(J1673:K1673))=0,"",MIN(H1673,MAX(J1673:K1673))))</f>
        <v/>
      </c>
      <c r="G1673" s="74" t="n"/>
      <c r="H1673" s="49">
        <f>IF(M1673="","",IFERROR(ROUND(AVERAGE(T1673+M1673*{7,8,9,10,11})/1.21,4),""))</f>
        <v/>
      </c>
      <c r="I1673" s="76" t="n"/>
      <c r="J1673" s="77" t="n"/>
      <c r="K1673" s="74" t="n"/>
      <c r="L1673" s="78" t="n"/>
      <c r="M1673" s="77" t="n"/>
      <c r="N1673" s="53">
        <f>IF(M1673="","",IFERROR(M1673/I1673,""))</f>
        <v/>
      </c>
      <c r="O1673" s="50">
        <f>IF(A1673="","",IFERROR((IF(G1673="",I1673,G1673)-T1673)/M1673,""))</f>
        <v/>
      </c>
      <c r="P1673" s="50">
        <f>IFERROR((I1673/T1673-1)/N1673,"")</f>
        <v/>
      </c>
      <c r="Q1673" s="46">
        <f>IF(OR(T1673="",I1673&lt;T1673),"",IFERROR(R1673/IF(G1673="",I1673,G1673)-1,""))</f>
        <v/>
      </c>
      <c r="R1673" s="48">
        <f>IF($M1673="","",MAX(IF($G1673="",$I1673,$G1673)*(1/1.1),IF($G1673="",$I1673,$G1673)+(R$2*$M1673)))</f>
        <v/>
      </c>
      <c r="S1673" s="49">
        <f>IF($M1673="","",MAX(IF($G1673="",$I1673,$G1673)*(1/1.1),IF($G1673="",$I1673,$G1673)+(S$2*$M1673)))</f>
        <v/>
      </c>
      <c r="T1673" s="82" t="n"/>
      <c r="U1673" s="47">
        <f>IF(OR($M1673="",$T1673=""),"",$T1673+(U$2*$M1673))</f>
        <v/>
      </c>
      <c r="V1673" s="48">
        <f>IF(OR($M1673="",$T1673=""),"",$T1673+(V$2*$M1673))</f>
        <v/>
      </c>
      <c r="W1673" s="48">
        <f>IF(OR($M1673="",$T1673=""),"",$T1673+(W$2*$M1673))</f>
        <v/>
      </c>
      <c r="X1673" s="49">
        <f>IF(OR($M1673="",$T1673=""),"",$T1673+(X$2*$M1673))</f>
        <v/>
      </c>
      <c r="Y1673" s="47">
        <f>IF(OR($M1673="",$T1673=""),"",$T1673+(Y$2*$M1673))</f>
        <v/>
      </c>
      <c r="Z1673" s="49">
        <f>IF(OR($M1673="",$T1673=""),"",$T1673+(Z$2*$M1673))</f>
        <v/>
      </c>
      <c r="AA1673" s="51">
        <f>IF(OR($M1673="",$T1673=""),"",$T1673+(AA$2*$M1673))</f>
        <v/>
      </c>
      <c r="AB1673" s="48">
        <f>IF(OR($M1673="",$T1673=""),"",$T1673+(AB$2*$M1673))</f>
        <v/>
      </c>
      <c r="AC1673" s="48">
        <f>IF(OR($M1673="",$T1673=""),"",$T1673+(AC$2*$M1673))</f>
        <v/>
      </c>
      <c r="AD1673" s="48">
        <f>IF(OR($M1673="",$T1673=""),"",$T1673+(AD$2*$M1673))</f>
        <v/>
      </c>
      <c r="AE1673" s="49">
        <f>IF(OR($M1673="",$T1673=""),"",$T1673+(AE$2*$M1673))</f>
        <v/>
      </c>
      <c r="AF1673" s="52">
        <f>IF(OR(T1673="",I1673&lt;T1673),"",IFERROR(AVERAGE(T1673+M1673*{7,8,9,10,11})/IF(G1673="",I1673,G1673)-1,""))</f>
        <v/>
      </c>
      <c r="AG1673" s="55">
        <f>IF(OR(T1673="",I1673&lt;T1673),"",IFERROR(AF1673/-(R1673/IF(G1673="",I1673,G1673)-1),""))</f>
        <v/>
      </c>
      <c r="AH1673" s="94" t="n"/>
      <c r="AI1673" s="94" t="n"/>
      <c r="AJ1673" s="94" t="n"/>
      <c r="AK1673" s="94" t="n"/>
      <c r="AL1673" s="84" t="n"/>
    </row>
    <row r="1674">
      <c r="A1674" s="64" t="n"/>
      <c r="B1674" s="65" t="n"/>
      <c r="C1674" s="66" t="n"/>
      <c r="D1674" s="67" t="n"/>
      <c r="E1674" s="68" t="n"/>
      <c r="F1674" s="47">
        <f>IF(A1674="","",IF(MIN(H1674,MAX(J1674:K1674))=0,"",MIN(H1674,MAX(J1674:K1674))))</f>
        <v/>
      </c>
      <c r="G1674" s="74" t="n"/>
      <c r="H1674" s="49">
        <f>IF(M1674="","",IFERROR(ROUND(AVERAGE(T1674+M1674*{7,8,9,10,11})/1.21,4),""))</f>
        <v/>
      </c>
      <c r="I1674" s="76" t="n"/>
      <c r="J1674" s="77" t="n"/>
      <c r="K1674" s="74" t="n"/>
      <c r="L1674" s="78" t="n"/>
      <c r="M1674" s="77" t="n"/>
      <c r="N1674" s="53">
        <f>IF(M1674="","",IFERROR(M1674/I1674,""))</f>
        <v/>
      </c>
      <c r="O1674" s="50">
        <f>IF(A1674="","",IFERROR((IF(G1674="",I1674,G1674)-T1674)/M1674,""))</f>
        <v/>
      </c>
      <c r="P1674" s="50">
        <f>IFERROR((I1674/T1674-1)/N1674,"")</f>
        <v/>
      </c>
      <c r="Q1674" s="46">
        <f>IF(OR(T1674="",I1674&lt;T1674),"",IFERROR(R1674/IF(G1674="",I1674,G1674)-1,""))</f>
        <v/>
      </c>
      <c r="R1674" s="48">
        <f>IF($M1674="","",MAX(IF($G1674="",$I1674,$G1674)*(1/1.1),IF($G1674="",$I1674,$G1674)+(R$2*$M1674)))</f>
        <v/>
      </c>
      <c r="S1674" s="49">
        <f>IF($M1674="","",MAX(IF($G1674="",$I1674,$G1674)*(1/1.1),IF($G1674="",$I1674,$G1674)+(S$2*$M1674)))</f>
        <v/>
      </c>
      <c r="T1674" s="82" t="n"/>
      <c r="U1674" s="47">
        <f>IF(OR($M1674="",$T1674=""),"",$T1674+(U$2*$M1674))</f>
        <v/>
      </c>
      <c r="V1674" s="48">
        <f>IF(OR($M1674="",$T1674=""),"",$T1674+(V$2*$M1674))</f>
        <v/>
      </c>
      <c r="W1674" s="48">
        <f>IF(OR($M1674="",$T1674=""),"",$T1674+(W$2*$M1674))</f>
        <v/>
      </c>
      <c r="X1674" s="49">
        <f>IF(OR($M1674="",$T1674=""),"",$T1674+(X$2*$M1674))</f>
        <v/>
      </c>
      <c r="Y1674" s="47">
        <f>IF(OR($M1674="",$T1674=""),"",$T1674+(Y$2*$M1674))</f>
        <v/>
      </c>
      <c r="Z1674" s="49">
        <f>IF(OR($M1674="",$T1674=""),"",$T1674+(Z$2*$M1674))</f>
        <v/>
      </c>
      <c r="AA1674" s="51">
        <f>IF(OR($M1674="",$T1674=""),"",$T1674+(AA$2*$M1674))</f>
        <v/>
      </c>
      <c r="AB1674" s="48">
        <f>IF(OR($M1674="",$T1674=""),"",$T1674+(AB$2*$M1674))</f>
        <v/>
      </c>
      <c r="AC1674" s="48">
        <f>IF(OR($M1674="",$T1674=""),"",$T1674+(AC$2*$M1674))</f>
        <v/>
      </c>
      <c r="AD1674" s="48">
        <f>IF(OR($M1674="",$T1674=""),"",$T1674+(AD$2*$M1674))</f>
        <v/>
      </c>
      <c r="AE1674" s="49">
        <f>IF(OR($M1674="",$T1674=""),"",$T1674+(AE$2*$M1674))</f>
        <v/>
      </c>
      <c r="AF1674" s="52">
        <f>IF(OR(T1674="",I1674&lt;T1674),"",IFERROR(AVERAGE(T1674+M1674*{7,8,9,10,11})/IF(G1674="",I1674,G1674)-1,""))</f>
        <v/>
      </c>
      <c r="AG1674" s="55">
        <f>IF(OR(T1674="",I1674&lt;T1674),"",IFERROR(AF1674/-(R1674/IF(G1674="",I1674,G1674)-1),""))</f>
        <v/>
      </c>
      <c r="AH1674" s="94" t="n"/>
      <c r="AI1674" s="94" t="n"/>
      <c r="AJ1674" s="94" t="n"/>
      <c r="AK1674" s="94" t="n"/>
      <c r="AL1674" s="84" t="n"/>
    </row>
    <row r="1675">
      <c r="A1675" s="64" t="n"/>
      <c r="B1675" s="65" t="n"/>
      <c r="C1675" s="66" t="n"/>
      <c r="D1675" s="67" t="n"/>
      <c r="E1675" s="68" t="n"/>
      <c r="F1675" s="47">
        <f>IF(A1675="","",IF(MIN(H1675,MAX(J1675:K1675))=0,"",MIN(H1675,MAX(J1675:K1675))))</f>
        <v/>
      </c>
      <c r="G1675" s="74" t="n"/>
      <c r="H1675" s="49">
        <f>IF(M1675="","",IFERROR(ROUND(AVERAGE(T1675+M1675*{7,8,9,10,11})/1.21,4),""))</f>
        <v/>
      </c>
      <c r="I1675" s="76" t="n"/>
      <c r="J1675" s="77" t="n"/>
      <c r="K1675" s="74" t="n"/>
      <c r="L1675" s="78" t="n"/>
      <c r="M1675" s="77" t="n"/>
      <c r="N1675" s="53">
        <f>IF(M1675="","",IFERROR(M1675/I1675,""))</f>
        <v/>
      </c>
      <c r="O1675" s="50">
        <f>IF(A1675="","",IFERROR((IF(G1675="",I1675,G1675)-T1675)/M1675,""))</f>
        <v/>
      </c>
      <c r="P1675" s="50">
        <f>IFERROR((I1675/T1675-1)/N1675,"")</f>
        <v/>
      </c>
      <c r="Q1675" s="46">
        <f>IF(OR(T1675="",I1675&lt;T1675),"",IFERROR(R1675/IF(G1675="",I1675,G1675)-1,""))</f>
        <v/>
      </c>
      <c r="R1675" s="48">
        <f>IF($M1675="","",MAX(IF($G1675="",$I1675,$G1675)*(1/1.1),IF($G1675="",$I1675,$G1675)+(R$2*$M1675)))</f>
        <v/>
      </c>
      <c r="S1675" s="49">
        <f>IF($M1675="","",MAX(IF($G1675="",$I1675,$G1675)*(1/1.1),IF($G1675="",$I1675,$G1675)+(S$2*$M1675)))</f>
        <v/>
      </c>
      <c r="T1675" s="82" t="n"/>
      <c r="U1675" s="47">
        <f>IF(OR($M1675="",$T1675=""),"",$T1675+(U$2*$M1675))</f>
        <v/>
      </c>
      <c r="V1675" s="48">
        <f>IF(OR($M1675="",$T1675=""),"",$T1675+(V$2*$M1675))</f>
        <v/>
      </c>
      <c r="W1675" s="48">
        <f>IF(OR($M1675="",$T1675=""),"",$T1675+(W$2*$M1675))</f>
        <v/>
      </c>
      <c r="X1675" s="49">
        <f>IF(OR($M1675="",$T1675=""),"",$T1675+(X$2*$M1675))</f>
        <v/>
      </c>
      <c r="Y1675" s="47">
        <f>IF(OR($M1675="",$T1675=""),"",$T1675+(Y$2*$M1675))</f>
        <v/>
      </c>
      <c r="Z1675" s="49">
        <f>IF(OR($M1675="",$T1675=""),"",$T1675+(Z$2*$M1675))</f>
        <v/>
      </c>
      <c r="AA1675" s="51">
        <f>IF(OR($M1675="",$T1675=""),"",$T1675+(AA$2*$M1675))</f>
        <v/>
      </c>
      <c r="AB1675" s="48">
        <f>IF(OR($M1675="",$T1675=""),"",$T1675+(AB$2*$M1675))</f>
        <v/>
      </c>
      <c r="AC1675" s="48">
        <f>IF(OR($M1675="",$T1675=""),"",$T1675+(AC$2*$M1675))</f>
        <v/>
      </c>
      <c r="AD1675" s="48">
        <f>IF(OR($M1675="",$T1675=""),"",$T1675+(AD$2*$M1675))</f>
        <v/>
      </c>
      <c r="AE1675" s="49">
        <f>IF(OR($M1675="",$T1675=""),"",$T1675+(AE$2*$M1675))</f>
        <v/>
      </c>
      <c r="AF1675" s="52">
        <f>IF(OR(T1675="",I1675&lt;T1675),"",IFERROR(AVERAGE(T1675+M1675*{7,8,9,10,11})/IF(G1675="",I1675,G1675)-1,""))</f>
        <v/>
      </c>
      <c r="AG1675" s="55">
        <f>IF(OR(T1675="",I1675&lt;T1675),"",IFERROR(AF1675/-(R1675/IF(G1675="",I1675,G1675)-1),""))</f>
        <v/>
      </c>
      <c r="AH1675" s="94" t="n"/>
      <c r="AI1675" s="94" t="n"/>
      <c r="AJ1675" s="94" t="n"/>
      <c r="AK1675" s="94" t="n"/>
      <c r="AL1675" s="84" t="n"/>
    </row>
    <row r="1676">
      <c r="A1676" s="64" t="n"/>
      <c r="B1676" s="65" t="n"/>
      <c r="C1676" s="66" t="n"/>
      <c r="D1676" s="67" t="n"/>
      <c r="E1676" s="68" t="n"/>
      <c r="F1676" s="47">
        <f>IF(A1676="","",IF(MIN(H1676,MAX(J1676:K1676))=0,"",MIN(H1676,MAX(J1676:K1676))))</f>
        <v/>
      </c>
      <c r="G1676" s="74" t="n"/>
      <c r="H1676" s="49">
        <f>IF(M1676="","",IFERROR(ROUND(AVERAGE(T1676+M1676*{7,8,9,10,11})/1.21,4),""))</f>
        <v/>
      </c>
      <c r="I1676" s="76" t="n"/>
      <c r="J1676" s="77" t="n"/>
      <c r="K1676" s="74" t="n"/>
      <c r="L1676" s="78" t="n"/>
      <c r="M1676" s="77" t="n"/>
      <c r="N1676" s="53">
        <f>IF(M1676="","",IFERROR(M1676/I1676,""))</f>
        <v/>
      </c>
      <c r="O1676" s="50">
        <f>IF(A1676="","",IFERROR((IF(G1676="",I1676,G1676)-T1676)/M1676,""))</f>
        <v/>
      </c>
      <c r="P1676" s="50">
        <f>IFERROR((I1676/T1676-1)/N1676,"")</f>
        <v/>
      </c>
      <c r="Q1676" s="46">
        <f>IF(OR(T1676="",I1676&lt;T1676),"",IFERROR(R1676/IF(G1676="",I1676,G1676)-1,""))</f>
        <v/>
      </c>
      <c r="R1676" s="48">
        <f>IF($M1676="","",MAX(IF($G1676="",$I1676,$G1676)*(1/1.1),IF($G1676="",$I1676,$G1676)+(R$2*$M1676)))</f>
        <v/>
      </c>
      <c r="S1676" s="49">
        <f>IF($M1676="","",MAX(IF($G1676="",$I1676,$G1676)*(1/1.1),IF($G1676="",$I1676,$G1676)+(S$2*$M1676)))</f>
        <v/>
      </c>
      <c r="T1676" s="82" t="n"/>
      <c r="U1676" s="47">
        <f>IF(OR($M1676="",$T1676=""),"",$T1676+(U$2*$M1676))</f>
        <v/>
      </c>
      <c r="V1676" s="48">
        <f>IF(OR($M1676="",$T1676=""),"",$T1676+(V$2*$M1676))</f>
        <v/>
      </c>
      <c r="W1676" s="48">
        <f>IF(OR($M1676="",$T1676=""),"",$T1676+(W$2*$M1676))</f>
        <v/>
      </c>
      <c r="X1676" s="49">
        <f>IF(OR($M1676="",$T1676=""),"",$T1676+(X$2*$M1676))</f>
        <v/>
      </c>
      <c r="Y1676" s="47">
        <f>IF(OR($M1676="",$T1676=""),"",$T1676+(Y$2*$M1676))</f>
        <v/>
      </c>
      <c r="Z1676" s="49">
        <f>IF(OR($M1676="",$T1676=""),"",$T1676+(Z$2*$M1676))</f>
        <v/>
      </c>
      <c r="AA1676" s="51">
        <f>IF(OR($M1676="",$T1676=""),"",$T1676+(AA$2*$M1676))</f>
        <v/>
      </c>
      <c r="AB1676" s="48">
        <f>IF(OR($M1676="",$T1676=""),"",$T1676+(AB$2*$M1676))</f>
        <v/>
      </c>
      <c r="AC1676" s="48">
        <f>IF(OR($M1676="",$T1676=""),"",$T1676+(AC$2*$M1676))</f>
        <v/>
      </c>
      <c r="AD1676" s="48">
        <f>IF(OR($M1676="",$T1676=""),"",$T1676+(AD$2*$M1676))</f>
        <v/>
      </c>
      <c r="AE1676" s="49">
        <f>IF(OR($M1676="",$T1676=""),"",$T1676+(AE$2*$M1676))</f>
        <v/>
      </c>
      <c r="AF1676" s="52">
        <f>IF(OR(T1676="",I1676&lt;T1676),"",IFERROR(AVERAGE(T1676+M1676*{7,8,9,10,11})/IF(G1676="",I1676,G1676)-1,""))</f>
        <v/>
      </c>
      <c r="AG1676" s="55">
        <f>IF(OR(T1676="",I1676&lt;T1676),"",IFERROR(AF1676/-(R1676/IF(G1676="",I1676,G1676)-1),""))</f>
        <v/>
      </c>
      <c r="AH1676" s="94" t="n"/>
      <c r="AI1676" s="94" t="n"/>
      <c r="AJ1676" s="94" t="n"/>
      <c r="AK1676" s="94" t="n"/>
      <c r="AL1676" s="84" t="n"/>
    </row>
    <row r="1677">
      <c r="A1677" s="64" t="n"/>
      <c r="B1677" s="65" t="n"/>
      <c r="C1677" s="66" t="n"/>
      <c r="D1677" s="67" t="n"/>
      <c r="E1677" s="68" t="n"/>
      <c r="F1677" s="47">
        <f>IF(A1677="","",IF(MIN(H1677,MAX(J1677:K1677))=0,"",MIN(H1677,MAX(J1677:K1677))))</f>
        <v/>
      </c>
      <c r="G1677" s="74" t="n"/>
      <c r="H1677" s="49">
        <f>IF(M1677="","",IFERROR(ROUND(AVERAGE(T1677+M1677*{7,8,9,10,11})/1.21,4),""))</f>
        <v/>
      </c>
      <c r="I1677" s="76" t="n"/>
      <c r="J1677" s="77" t="n"/>
      <c r="K1677" s="74" t="n"/>
      <c r="L1677" s="78" t="n"/>
      <c r="M1677" s="77" t="n"/>
      <c r="N1677" s="53">
        <f>IF(M1677="","",IFERROR(M1677/I1677,""))</f>
        <v/>
      </c>
      <c r="O1677" s="50">
        <f>IF(A1677="","",IFERROR((IF(G1677="",I1677,G1677)-T1677)/M1677,""))</f>
        <v/>
      </c>
      <c r="P1677" s="50">
        <f>IFERROR((I1677/T1677-1)/N1677,"")</f>
        <v/>
      </c>
      <c r="Q1677" s="46">
        <f>IF(OR(T1677="",I1677&lt;T1677),"",IFERROR(R1677/IF(G1677="",I1677,G1677)-1,""))</f>
        <v/>
      </c>
      <c r="R1677" s="48">
        <f>IF($M1677="","",MAX(IF($G1677="",$I1677,$G1677)*(1/1.1),IF($G1677="",$I1677,$G1677)+(R$2*$M1677)))</f>
        <v/>
      </c>
      <c r="S1677" s="49">
        <f>IF($M1677="","",MAX(IF($G1677="",$I1677,$G1677)*(1/1.1),IF($G1677="",$I1677,$G1677)+(S$2*$M1677)))</f>
        <v/>
      </c>
      <c r="T1677" s="82" t="n"/>
      <c r="U1677" s="47">
        <f>IF(OR($M1677="",$T1677=""),"",$T1677+(U$2*$M1677))</f>
        <v/>
      </c>
      <c r="V1677" s="48">
        <f>IF(OR($M1677="",$T1677=""),"",$T1677+(V$2*$M1677))</f>
        <v/>
      </c>
      <c r="W1677" s="48">
        <f>IF(OR($M1677="",$T1677=""),"",$T1677+(W$2*$M1677))</f>
        <v/>
      </c>
      <c r="X1677" s="49">
        <f>IF(OR($M1677="",$T1677=""),"",$T1677+(X$2*$M1677))</f>
        <v/>
      </c>
      <c r="Y1677" s="47">
        <f>IF(OR($M1677="",$T1677=""),"",$T1677+(Y$2*$M1677))</f>
        <v/>
      </c>
      <c r="Z1677" s="49">
        <f>IF(OR($M1677="",$T1677=""),"",$T1677+(Z$2*$M1677))</f>
        <v/>
      </c>
      <c r="AA1677" s="51">
        <f>IF(OR($M1677="",$T1677=""),"",$T1677+(AA$2*$M1677))</f>
        <v/>
      </c>
      <c r="AB1677" s="48">
        <f>IF(OR($M1677="",$T1677=""),"",$T1677+(AB$2*$M1677))</f>
        <v/>
      </c>
      <c r="AC1677" s="48">
        <f>IF(OR($M1677="",$T1677=""),"",$T1677+(AC$2*$M1677))</f>
        <v/>
      </c>
      <c r="AD1677" s="48">
        <f>IF(OR($M1677="",$T1677=""),"",$T1677+(AD$2*$M1677))</f>
        <v/>
      </c>
      <c r="AE1677" s="49">
        <f>IF(OR($M1677="",$T1677=""),"",$T1677+(AE$2*$M1677))</f>
        <v/>
      </c>
      <c r="AF1677" s="52">
        <f>IF(OR(T1677="",I1677&lt;T1677),"",IFERROR(AVERAGE(T1677+M1677*{7,8,9,10,11})/IF(G1677="",I1677,G1677)-1,""))</f>
        <v/>
      </c>
      <c r="AG1677" s="55">
        <f>IF(OR(T1677="",I1677&lt;T1677),"",IFERROR(AF1677/-(R1677/IF(G1677="",I1677,G1677)-1),""))</f>
        <v/>
      </c>
      <c r="AH1677" s="94" t="n"/>
      <c r="AI1677" s="94" t="n"/>
      <c r="AJ1677" s="94" t="n"/>
      <c r="AK1677" s="94" t="n"/>
      <c r="AL1677" s="84" t="n"/>
    </row>
    <row r="1678">
      <c r="A1678" s="64" t="n"/>
      <c r="B1678" s="65" t="n"/>
      <c r="C1678" s="66" t="n"/>
      <c r="D1678" s="67" t="n"/>
      <c r="E1678" s="68" t="n"/>
      <c r="F1678" s="47">
        <f>IF(A1678="","",IF(MIN(H1678,MAX(J1678:K1678))=0,"",MIN(H1678,MAX(J1678:K1678))))</f>
        <v/>
      </c>
      <c r="G1678" s="74" t="n"/>
      <c r="H1678" s="49">
        <f>IF(M1678="","",IFERROR(ROUND(AVERAGE(T1678+M1678*{7,8,9,10,11})/1.21,4),""))</f>
        <v/>
      </c>
      <c r="I1678" s="76" t="n"/>
      <c r="J1678" s="77" t="n"/>
      <c r="K1678" s="74" t="n"/>
      <c r="L1678" s="78" t="n"/>
      <c r="M1678" s="77" t="n"/>
      <c r="N1678" s="53">
        <f>IF(M1678="","",IFERROR(M1678/I1678,""))</f>
        <v/>
      </c>
      <c r="O1678" s="50">
        <f>IF(A1678="","",IFERROR((IF(G1678="",I1678,G1678)-T1678)/M1678,""))</f>
        <v/>
      </c>
      <c r="P1678" s="50">
        <f>IFERROR((I1678/T1678-1)/N1678,"")</f>
        <v/>
      </c>
      <c r="Q1678" s="46">
        <f>IF(OR(T1678="",I1678&lt;T1678),"",IFERROR(R1678/IF(G1678="",I1678,G1678)-1,""))</f>
        <v/>
      </c>
      <c r="R1678" s="48">
        <f>IF($M1678="","",MAX(IF($G1678="",$I1678,$G1678)*(1/1.1),IF($G1678="",$I1678,$G1678)+(R$2*$M1678)))</f>
        <v/>
      </c>
      <c r="S1678" s="49">
        <f>IF($M1678="","",MAX(IF($G1678="",$I1678,$G1678)*(1/1.1),IF($G1678="",$I1678,$G1678)+(S$2*$M1678)))</f>
        <v/>
      </c>
      <c r="T1678" s="82" t="n"/>
      <c r="U1678" s="47">
        <f>IF(OR($M1678="",$T1678=""),"",$T1678+(U$2*$M1678))</f>
        <v/>
      </c>
      <c r="V1678" s="48">
        <f>IF(OR($M1678="",$T1678=""),"",$T1678+(V$2*$M1678))</f>
        <v/>
      </c>
      <c r="W1678" s="48">
        <f>IF(OR($M1678="",$T1678=""),"",$T1678+(W$2*$M1678))</f>
        <v/>
      </c>
      <c r="X1678" s="49">
        <f>IF(OR($M1678="",$T1678=""),"",$T1678+(X$2*$M1678))</f>
        <v/>
      </c>
      <c r="Y1678" s="47">
        <f>IF(OR($M1678="",$T1678=""),"",$T1678+(Y$2*$M1678))</f>
        <v/>
      </c>
      <c r="Z1678" s="49">
        <f>IF(OR($M1678="",$T1678=""),"",$T1678+(Z$2*$M1678))</f>
        <v/>
      </c>
      <c r="AA1678" s="51">
        <f>IF(OR($M1678="",$T1678=""),"",$T1678+(AA$2*$M1678))</f>
        <v/>
      </c>
      <c r="AB1678" s="48">
        <f>IF(OR($M1678="",$T1678=""),"",$T1678+(AB$2*$M1678))</f>
        <v/>
      </c>
      <c r="AC1678" s="48">
        <f>IF(OR($M1678="",$T1678=""),"",$T1678+(AC$2*$M1678))</f>
        <v/>
      </c>
      <c r="AD1678" s="48">
        <f>IF(OR($M1678="",$T1678=""),"",$T1678+(AD$2*$M1678))</f>
        <v/>
      </c>
      <c r="AE1678" s="49">
        <f>IF(OR($M1678="",$T1678=""),"",$T1678+(AE$2*$M1678))</f>
        <v/>
      </c>
      <c r="AF1678" s="52">
        <f>IF(OR(T1678="",I1678&lt;T1678),"",IFERROR(AVERAGE(T1678+M1678*{7,8,9,10,11})/IF(G1678="",I1678,G1678)-1,""))</f>
        <v/>
      </c>
      <c r="AG1678" s="55">
        <f>IF(OR(T1678="",I1678&lt;T1678),"",IFERROR(AF1678/-(R1678/IF(G1678="",I1678,G1678)-1),""))</f>
        <v/>
      </c>
      <c r="AH1678" s="94" t="n"/>
      <c r="AI1678" s="94" t="n"/>
      <c r="AJ1678" s="94" t="n"/>
      <c r="AK1678" s="94" t="n"/>
      <c r="AL1678" s="84" t="n"/>
    </row>
    <row r="1679">
      <c r="A1679" s="64" t="n"/>
      <c r="B1679" s="65" t="n"/>
      <c r="C1679" s="66" t="n"/>
      <c r="D1679" s="67" t="n"/>
      <c r="E1679" s="68" t="n"/>
      <c r="F1679" s="47">
        <f>IF(A1679="","",IF(MIN(H1679,MAX(J1679:K1679))=0,"",MIN(H1679,MAX(J1679:K1679))))</f>
        <v/>
      </c>
      <c r="G1679" s="74" t="n"/>
      <c r="H1679" s="49">
        <f>IF(M1679="","",IFERROR(ROUND(AVERAGE(T1679+M1679*{7,8,9,10,11})/1.21,4),""))</f>
        <v/>
      </c>
      <c r="I1679" s="76" t="n"/>
      <c r="J1679" s="77" t="n"/>
      <c r="K1679" s="74" t="n"/>
      <c r="L1679" s="78" t="n"/>
      <c r="M1679" s="77" t="n"/>
      <c r="N1679" s="53">
        <f>IF(M1679="","",IFERROR(M1679/I1679,""))</f>
        <v/>
      </c>
      <c r="O1679" s="50">
        <f>IF(A1679="","",IFERROR((IF(G1679="",I1679,G1679)-T1679)/M1679,""))</f>
        <v/>
      </c>
      <c r="P1679" s="50">
        <f>IFERROR((I1679/T1679-1)/N1679,"")</f>
        <v/>
      </c>
      <c r="Q1679" s="46">
        <f>IF(OR(T1679="",I1679&lt;T1679),"",IFERROR(R1679/IF(G1679="",I1679,G1679)-1,""))</f>
        <v/>
      </c>
      <c r="R1679" s="48">
        <f>IF($M1679="","",MAX(IF($G1679="",$I1679,$G1679)*(1/1.1),IF($G1679="",$I1679,$G1679)+(R$2*$M1679)))</f>
        <v/>
      </c>
      <c r="S1679" s="49">
        <f>IF($M1679="","",MAX(IF($G1679="",$I1679,$G1679)*(1/1.1),IF($G1679="",$I1679,$G1679)+(S$2*$M1679)))</f>
        <v/>
      </c>
      <c r="T1679" s="82" t="n"/>
      <c r="U1679" s="47">
        <f>IF(OR($M1679="",$T1679=""),"",$T1679+(U$2*$M1679))</f>
        <v/>
      </c>
      <c r="V1679" s="48">
        <f>IF(OR($M1679="",$T1679=""),"",$T1679+(V$2*$M1679))</f>
        <v/>
      </c>
      <c r="W1679" s="48">
        <f>IF(OR($M1679="",$T1679=""),"",$T1679+(W$2*$M1679))</f>
        <v/>
      </c>
      <c r="X1679" s="49">
        <f>IF(OR($M1679="",$T1679=""),"",$T1679+(X$2*$M1679))</f>
        <v/>
      </c>
      <c r="Y1679" s="47">
        <f>IF(OR($M1679="",$T1679=""),"",$T1679+(Y$2*$M1679))</f>
        <v/>
      </c>
      <c r="Z1679" s="49">
        <f>IF(OR($M1679="",$T1679=""),"",$T1679+(Z$2*$M1679))</f>
        <v/>
      </c>
      <c r="AA1679" s="51">
        <f>IF(OR($M1679="",$T1679=""),"",$T1679+(AA$2*$M1679))</f>
        <v/>
      </c>
      <c r="AB1679" s="48">
        <f>IF(OR($M1679="",$T1679=""),"",$T1679+(AB$2*$M1679))</f>
        <v/>
      </c>
      <c r="AC1679" s="48">
        <f>IF(OR($M1679="",$T1679=""),"",$T1679+(AC$2*$M1679))</f>
        <v/>
      </c>
      <c r="AD1679" s="48">
        <f>IF(OR($M1679="",$T1679=""),"",$T1679+(AD$2*$M1679))</f>
        <v/>
      </c>
      <c r="AE1679" s="49">
        <f>IF(OR($M1679="",$T1679=""),"",$T1679+(AE$2*$M1679))</f>
        <v/>
      </c>
      <c r="AF1679" s="52">
        <f>IF(OR(T1679="",I1679&lt;T1679),"",IFERROR(AVERAGE(T1679+M1679*{7,8,9,10,11})/IF(G1679="",I1679,G1679)-1,""))</f>
        <v/>
      </c>
      <c r="AG1679" s="55">
        <f>IF(OR(T1679="",I1679&lt;T1679),"",IFERROR(AF1679/-(R1679/IF(G1679="",I1679,G1679)-1),""))</f>
        <v/>
      </c>
      <c r="AH1679" s="94" t="n"/>
      <c r="AI1679" s="94" t="n"/>
      <c r="AJ1679" s="94" t="n"/>
      <c r="AK1679" s="94" t="n"/>
      <c r="AL1679" s="84" t="n"/>
    </row>
    <row r="1680">
      <c r="A1680" s="64" t="n"/>
      <c r="B1680" s="65" t="n"/>
      <c r="C1680" s="66" t="n"/>
      <c r="D1680" s="67" t="n"/>
      <c r="E1680" s="68" t="n"/>
      <c r="F1680" s="47">
        <f>IF(A1680="","",IF(MIN(H1680,MAX(J1680:K1680))=0,"",MIN(H1680,MAX(J1680:K1680))))</f>
        <v/>
      </c>
      <c r="G1680" s="74" t="n"/>
      <c r="H1680" s="49">
        <f>IF(M1680="","",IFERROR(ROUND(AVERAGE(T1680+M1680*{7,8,9,10,11})/1.21,4),""))</f>
        <v/>
      </c>
      <c r="I1680" s="76" t="n"/>
      <c r="J1680" s="77" t="n"/>
      <c r="K1680" s="74" t="n"/>
      <c r="L1680" s="78" t="n"/>
      <c r="M1680" s="77" t="n"/>
      <c r="N1680" s="53">
        <f>IF(M1680="","",IFERROR(M1680/I1680,""))</f>
        <v/>
      </c>
      <c r="O1680" s="50">
        <f>IF(A1680="","",IFERROR((IF(G1680="",I1680,G1680)-T1680)/M1680,""))</f>
        <v/>
      </c>
      <c r="P1680" s="50">
        <f>IFERROR((I1680/T1680-1)/N1680,"")</f>
        <v/>
      </c>
      <c r="Q1680" s="46">
        <f>IF(OR(T1680="",I1680&lt;T1680),"",IFERROR(R1680/IF(G1680="",I1680,G1680)-1,""))</f>
        <v/>
      </c>
      <c r="R1680" s="48">
        <f>IF($M1680="","",MAX(IF($G1680="",$I1680,$G1680)*(1/1.1),IF($G1680="",$I1680,$G1680)+(R$2*$M1680)))</f>
        <v/>
      </c>
      <c r="S1680" s="49">
        <f>IF($M1680="","",MAX(IF($G1680="",$I1680,$G1680)*(1/1.1),IF($G1680="",$I1680,$G1680)+(S$2*$M1680)))</f>
        <v/>
      </c>
      <c r="T1680" s="82" t="n"/>
      <c r="U1680" s="47">
        <f>IF(OR($M1680="",$T1680=""),"",$T1680+(U$2*$M1680))</f>
        <v/>
      </c>
      <c r="V1680" s="48">
        <f>IF(OR($M1680="",$T1680=""),"",$T1680+(V$2*$M1680))</f>
        <v/>
      </c>
      <c r="W1680" s="48">
        <f>IF(OR($M1680="",$T1680=""),"",$T1680+(W$2*$M1680))</f>
        <v/>
      </c>
      <c r="X1680" s="49">
        <f>IF(OR($M1680="",$T1680=""),"",$T1680+(X$2*$M1680))</f>
        <v/>
      </c>
      <c r="Y1680" s="47">
        <f>IF(OR($M1680="",$T1680=""),"",$T1680+(Y$2*$M1680))</f>
        <v/>
      </c>
      <c r="Z1680" s="49">
        <f>IF(OR($M1680="",$T1680=""),"",$T1680+(Z$2*$M1680))</f>
        <v/>
      </c>
      <c r="AA1680" s="51">
        <f>IF(OR($M1680="",$T1680=""),"",$T1680+(AA$2*$M1680))</f>
        <v/>
      </c>
      <c r="AB1680" s="48">
        <f>IF(OR($M1680="",$T1680=""),"",$T1680+(AB$2*$M1680))</f>
        <v/>
      </c>
      <c r="AC1680" s="48">
        <f>IF(OR($M1680="",$T1680=""),"",$T1680+(AC$2*$M1680))</f>
        <v/>
      </c>
      <c r="AD1680" s="48">
        <f>IF(OR($M1680="",$T1680=""),"",$T1680+(AD$2*$M1680))</f>
        <v/>
      </c>
      <c r="AE1680" s="49">
        <f>IF(OR($M1680="",$T1680=""),"",$T1680+(AE$2*$M1680))</f>
        <v/>
      </c>
      <c r="AF1680" s="52">
        <f>IF(OR(T1680="",I1680&lt;T1680),"",IFERROR(AVERAGE(T1680+M1680*{7,8,9,10,11})/IF(G1680="",I1680,G1680)-1,""))</f>
        <v/>
      </c>
      <c r="AG1680" s="55">
        <f>IF(OR(T1680="",I1680&lt;T1680),"",IFERROR(AF1680/-(R1680/IF(G1680="",I1680,G1680)-1),""))</f>
        <v/>
      </c>
      <c r="AH1680" s="94" t="n"/>
      <c r="AI1680" s="94" t="n"/>
      <c r="AJ1680" s="94" t="n"/>
      <c r="AK1680" s="94" t="n"/>
      <c r="AL1680" s="84" t="n"/>
    </row>
    <row r="1681">
      <c r="A1681" s="64" t="n"/>
      <c r="B1681" s="65" t="n"/>
      <c r="C1681" s="66" t="n"/>
      <c r="D1681" s="67" t="n"/>
      <c r="E1681" s="68" t="n"/>
      <c r="F1681" s="47">
        <f>IF(A1681="","",IF(MIN(H1681,MAX(J1681:K1681))=0,"",MIN(H1681,MAX(J1681:K1681))))</f>
        <v/>
      </c>
      <c r="G1681" s="74" t="n"/>
      <c r="H1681" s="49">
        <f>IF(M1681="","",IFERROR(ROUND(AVERAGE(T1681+M1681*{7,8,9,10,11})/1.21,4),""))</f>
        <v/>
      </c>
      <c r="I1681" s="76" t="n"/>
      <c r="J1681" s="77" t="n"/>
      <c r="K1681" s="74" t="n"/>
      <c r="L1681" s="78" t="n"/>
      <c r="M1681" s="77" t="n"/>
      <c r="N1681" s="53">
        <f>IF(M1681="","",IFERROR(M1681/I1681,""))</f>
        <v/>
      </c>
      <c r="O1681" s="50">
        <f>IF(A1681="","",IFERROR((IF(G1681="",I1681,G1681)-T1681)/M1681,""))</f>
        <v/>
      </c>
      <c r="P1681" s="50">
        <f>IFERROR((I1681/T1681-1)/N1681,"")</f>
        <v/>
      </c>
      <c r="Q1681" s="46">
        <f>IF(OR(T1681="",I1681&lt;T1681),"",IFERROR(R1681/IF(G1681="",I1681,G1681)-1,""))</f>
        <v/>
      </c>
      <c r="R1681" s="48">
        <f>IF($M1681="","",MAX(IF($G1681="",$I1681,$G1681)*(1/1.1),IF($G1681="",$I1681,$G1681)+(R$2*$M1681)))</f>
        <v/>
      </c>
      <c r="S1681" s="49">
        <f>IF($M1681="","",MAX(IF($G1681="",$I1681,$G1681)*(1/1.1),IF($G1681="",$I1681,$G1681)+(S$2*$M1681)))</f>
        <v/>
      </c>
      <c r="T1681" s="82" t="n"/>
      <c r="U1681" s="47">
        <f>IF(OR($M1681="",$T1681=""),"",$T1681+(U$2*$M1681))</f>
        <v/>
      </c>
      <c r="V1681" s="48">
        <f>IF(OR($M1681="",$T1681=""),"",$T1681+(V$2*$M1681))</f>
        <v/>
      </c>
      <c r="W1681" s="48">
        <f>IF(OR($M1681="",$T1681=""),"",$T1681+(W$2*$M1681))</f>
        <v/>
      </c>
      <c r="X1681" s="49">
        <f>IF(OR($M1681="",$T1681=""),"",$T1681+(X$2*$M1681))</f>
        <v/>
      </c>
      <c r="Y1681" s="47">
        <f>IF(OR($M1681="",$T1681=""),"",$T1681+(Y$2*$M1681))</f>
        <v/>
      </c>
      <c r="Z1681" s="49">
        <f>IF(OR($M1681="",$T1681=""),"",$T1681+(Z$2*$M1681))</f>
        <v/>
      </c>
      <c r="AA1681" s="51">
        <f>IF(OR($M1681="",$T1681=""),"",$T1681+(AA$2*$M1681))</f>
        <v/>
      </c>
      <c r="AB1681" s="48">
        <f>IF(OR($M1681="",$T1681=""),"",$T1681+(AB$2*$M1681))</f>
        <v/>
      </c>
      <c r="AC1681" s="48">
        <f>IF(OR($M1681="",$T1681=""),"",$T1681+(AC$2*$M1681))</f>
        <v/>
      </c>
      <c r="AD1681" s="48">
        <f>IF(OR($M1681="",$T1681=""),"",$T1681+(AD$2*$M1681))</f>
        <v/>
      </c>
      <c r="AE1681" s="49">
        <f>IF(OR($M1681="",$T1681=""),"",$T1681+(AE$2*$M1681))</f>
        <v/>
      </c>
      <c r="AF1681" s="52">
        <f>IF(OR(T1681="",I1681&lt;T1681),"",IFERROR(AVERAGE(T1681+M1681*{7,8,9,10,11})/IF(G1681="",I1681,G1681)-1,""))</f>
        <v/>
      </c>
      <c r="AG1681" s="55">
        <f>IF(OR(T1681="",I1681&lt;T1681),"",IFERROR(AF1681/-(R1681/IF(G1681="",I1681,G1681)-1),""))</f>
        <v/>
      </c>
      <c r="AH1681" s="94" t="n"/>
      <c r="AI1681" s="94" t="n"/>
      <c r="AJ1681" s="94" t="n"/>
      <c r="AK1681" s="94" t="n"/>
      <c r="AL1681" s="84" t="n"/>
    </row>
    <row r="1682">
      <c r="A1682" s="64" t="n"/>
      <c r="B1682" s="65" t="n"/>
      <c r="C1682" s="66" t="n"/>
      <c r="D1682" s="67" t="n"/>
      <c r="E1682" s="68" t="n"/>
      <c r="F1682" s="47">
        <f>IF(A1682="","",IF(MIN(H1682,MAX(J1682:K1682))=0,"",MIN(H1682,MAX(J1682:K1682))))</f>
        <v/>
      </c>
      <c r="G1682" s="74" t="n"/>
      <c r="H1682" s="49">
        <f>IF(M1682="","",IFERROR(ROUND(AVERAGE(T1682+M1682*{7,8,9,10,11})/1.21,4),""))</f>
        <v/>
      </c>
      <c r="I1682" s="76" t="n"/>
      <c r="J1682" s="77" t="n"/>
      <c r="K1682" s="74" t="n"/>
      <c r="L1682" s="78" t="n"/>
      <c r="M1682" s="77" t="n"/>
      <c r="N1682" s="53">
        <f>IF(M1682="","",IFERROR(M1682/I1682,""))</f>
        <v/>
      </c>
      <c r="O1682" s="50">
        <f>IF(A1682="","",IFERROR((IF(G1682="",I1682,G1682)-T1682)/M1682,""))</f>
        <v/>
      </c>
      <c r="P1682" s="50">
        <f>IFERROR((I1682/T1682-1)/N1682,"")</f>
        <v/>
      </c>
      <c r="Q1682" s="46">
        <f>IF(OR(T1682="",I1682&lt;T1682),"",IFERROR(R1682/IF(G1682="",I1682,G1682)-1,""))</f>
        <v/>
      </c>
      <c r="R1682" s="48">
        <f>IF($M1682="","",MAX(IF($G1682="",$I1682,$G1682)*(1/1.1),IF($G1682="",$I1682,$G1682)+(R$2*$M1682)))</f>
        <v/>
      </c>
      <c r="S1682" s="49">
        <f>IF($M1682="","",MAX(IF($G1682="",$I1682,$G1682)*(1/1.1),IF($G1682="",$I1682,$G1682)+(S$2*$M1682)))</f>
        <v/>
      </c>
      <c r="T1682" s="82" t="n"/>
      <c r="U1682" s="47">
        <f>IF(OR($M1682="",$T1682=""),"",$T1682+(U$2*$M1682))</f>
        <v/>
      </c>
      <c r="V1682" s="48">
        <f>IF(OR($M1682="",$T1682=""),"",$T1682+(V$2*$M1682))</f>
        <v/>
      </c>
      <c r="W1682" s="48">
        <f>IF(OR($M1682="",$T1682=""),"",$T1682+(W$2*$M1682))</f>
        <v/>
      </c>
      <c r="X1682" s="49">
        <f>IF(OR($M1682="",$T1682=""),"",$T1682+(X$2*$M1682))</f>
        <v/>
      </c>
      <c r="Y1682" s="47">
        <f>IF(OR($M1682="",$T1682=""),"",$T1682+(Y$2*$M1682))</f>
        <v/>
      </c>
      <c r="Z1682" s="49">
        <f>IF(OR($M1682="",$T1682=""),"",$T1682+(Z$2*$M1682))</f>
        <v/>
      </c>
      <c r="AA1682" s="51">
        <f>IF(OR($M1682="",$T1682=""),"",$T1682+(AA$2*$M1682))</f>
        <v/>
      </c>
      <c r="AB1682" s="48">
        <f>IF(OR($M1682="",$T1682=""),"",$T1682+(AB$2*$M1682))</f>
        <v/>
      </c>
      <c r="AC1682" s="48">
        <f>IF(OR($M1682="",$T1682=""),"",$T1682+(AC$2*$M1682))</f>
        <v/>
      </c>
      <c r="AD1682" s="48">
        <f>IF(OR($M1682="",$T1682=""),"",$T1682+(AD$2*$M1682))</f>
        <v/>
      </c>
      <c r="AE1682" s="49">
        <f>IF(OR($M1682="",$T1682=""),"",$T1682+(AE$2*$M1682))</f>
        <v/>
      </c>
      <c r="AF1682" s="52">
        <f>IF(OR(T1682="",I1682&lt;T1682),"",IFERROR(AVERAGE(T1682+M1682*{7,8,9,10,11})/IF(G1682="",I1682,G1682)-1,""))</f>
        <v/>
      </c>
      <c r="AG1682" s="55">
        <f>IF(OR(T1682="",I1682&lt;T1682),"",IFERROR(AF1682/-(R1682/IF(G1682="",I1682,G1682)-1),""))</f>
        <v/>
      </c>
      <c r="AH1682" s="94" t="n"/>
      <c r="AI1682" s="94" t="n"/>
      <c r="AJ1682" s="94" t="n"/>
      <c r="AK1682" s="94" t="n"/>
      <c r="AL1682" s="84" t="n"/>
    </row>
    <row r="1683">
      <c r="A1683" s="64" t="n"/>
      <c r="B1683" s="65" t="n"/>
      <c r="C1683" s="66" t="n"/>
      <c r="D1683" s="67" t="n"/>
      <c r="E1683" s="68" t="n"/>
      <c r="F1683" s="47">
        <f>IF(A1683="","",IF(MIN(H1683,MAX(J1683:K1683))=0,"",MIN(H1683,MAX(J1683:K1683))))</f>
        <v/>
      </c>
      <c r="G1683" s="74" t="n"/>
      <c r="H1683" s="49">
        <f>IF(M1683="","",IFERROR(ROUND(AVERAGE(T1683+M1683*{7,8,9,10,11})/1.21,4),""))</f>
        <v/>
      </c>
      <c r="I1683" s="76" t="n"/>
      <c r="J1683" s="77" t="n"/>
      <c r="K1683" s="74" t="n"/>
      <c r="L1683" s="78" t="n"/>
      <c r="M1683" s="77" t="n"/>
      <c r="N1683" s="53">
        <f>IF(M1683="","",IFERROR(M1683/I1683,""))</f>
        <v/>
      </c>
      <c r="O1683" s="50">
        <f>IF(A1683="","",IFERROR((IF(G1683="",I1683,G1683)-T1683)/M1683,""))</f>
        <v/>
      </c>
      <c r="P1683" s="50">
        <f>IFERROR((I1683/T1683-1)/N1683,"")</f>
        <v/>
      </c>
      <c r="Q1683" s="46">
        <f>IF(OR(T1683="",I1683&lt;T1683),"",IFERROR(R1683/IF(G1683="",I1683,G1683)-1,""))</f>
        <v/>
      </c>
      <c r="R1683" s="48">
        <f>IF($M1683="","",MAX(IF($G1683="",$I1683,$G1683)*(1/1.1),IF($G1683="",$I1683,$G1683)+(R$2*$M1683)))</f>
        <v/>
      </c>
      <c r="S1683" s="49">
        <f>IF($M1683="","",MAX(IF($G1683="",$I1683,$G1683)*(1/1.1),IF($G1683="",$I1683,$G1683)+(S$2*$M1683)))</f>
        <v/>
      </c>
      <c r="T1683" s="82" t="n"/>
      <c r="U1683" s="47">
        <f>IF(OR($M1683="",$T1683=""),"",$T1683+(U$2*$M1683))</f>
        <v/>
      </c>
      <c r="V1683" s="48">
        <f>IF(OR($M1683="",$T1683=""),"",$T1683+(V$2*$M1683))</f>
        <v/>
      </c>
      <c r="W1683" s="48">
        <f>IF(OR($M1683="",$T1683=""),"",$T1683+(W$2*$M1683))</f>
        <v/>
      </c>
      <c r="X1683" s="49">
        <f>IF(OR($M1683="",$T1683=""),"",$T1683+(X$2*$M1683))</f>
        <v/>
      </c>
      <c r="Y1683" s="47">
        <f>IF(OR($M1683="",$T1683=""),"",$T1683+(Y$2*$M1683))</f>
        <v/>
      </c>
      <c r="Z1683" s="49">
        <f>IF(OR($M1683="",$T1683=""),"",$T1683+(Z$2*$M1683))</f>
        <v/>
      </c>
      <c r="AA1683" s="51">
        <f>IF(OR($M1683="",$T1683=""),"",$T1683+(AA$2*$M1683))</f>
        <v/>
      </c>
      <c r="AB1683" s="48">
        <f>IF(OR($M1683="",$T1683=""),"",$T1683+(AB$2*$M1683))</f>
        <v/>
      </c>
      <c r="AC1683" s="48">
        <f>IF(OR($M1683="",$T1683=""),"",$T1683+(AC$2*$M1683))</f>
        <v/>
      </c>
      <c r="AD1683" s="48">
        <f>IF(OR($M1683="",$T1683=""),"",$T1683+(AD$2*$M1683))</f>
        <v/>
      </c>
      <c r="AE1683" s="49">
        <f>IF(OR($M1683="",$T1683=""),"",$T1683+(AE$2*$M1683))</f>
        <v/>
      </c>
      <c r="AF1683" s="52">
        <f>IF(OR(T1683="",I1683&lt;T1683),"",IFERROR(AVERAGE(T1683+M1683*{7,8,9,10,11})/IF(G1683="",I1683,G1683)-1,""))</f>
        <v/>
      </c>
      <c r="AG1683" s="55">
        <f>IF(OR(T1683="",I1683&lt;T1683),"",IFERROR(AF1683/-(R1683/IF(G1683="",I1683,G1683)-1),""))</f>
        <v/>
      </c>
      <c r="AH1683" s="94" t="n"/>
      <c r="AI1683" s="94" t="n"/>
      <c r="AJ1683" s="94" t="n"/>
      <c r="AK1683" s="94" t="n"/>
      <c r="AL1683" s="84" t="n"/>
    </row>
    <row r="1684">
      <c r="A1684" s="64" t="n"/>
      <c r="B1684" s="65" t="n"/>
      <c r="C1684" s="66" t="n"/>
      <c r="D1684" s="67" t="n"/>
      <c r="E1684" s="68" t="n"/>
      <c r="F1684" s="47">
        <f>IF(A1684="","",IF(MIN(H1684,MAX(J1684:K1684))=0,"",MIN(H1684,MAX(J1684:K1684))))</f>
        <v/>
      </c>
      <c r="G1684" s="74" t="n"/>
      <c r="H1684" s="49">
        <f>IF(M1684="","",IFERROR(ROUND(AVERAGE(T1684+M1684*{7,8,9,10,11})/1.21,4),""))</f>
        <v/>
      </c>
      <c r="I1684" s="76" t="n"/>
      <c r="J1684" s="77" t="n"/>
      <c r="K1684" s="74" t="n"/>
      <c r="L1684" s="78" t="n"/>
      <c r="M1684" s="77" t="n"/>
      <c r="N1684" s="53">
        <f>IF(M1684="","",IFERROR(M1684/I1684,""))</f>
        <v/>
      </c>
      <c r="O1684" s="50">
        <f>IF(A1684="","",IFERROR((IF(G1684="",I1684,G1684)-T1684)/M1684,""))</f>
        <v/>
      </c>
      <c r="P1684" s="50">
        <f>IFERROR((I1684/T1684-1)/N1684,"")</f>
        <v/>
      </c>
      <c r="Q1684" s="46">
        <f>IF(OR(T1684="",I1684&lt;T1684),"",IFERROR(R1684/IF(G1684="",I1684,G1684)-1,""))</f>
        <v/>
      </c>
      <c r="R1684" s="48">
        <f>IF($M1684="","",MAX(IF($G1684="",$I1684,$G1684)*(1/1.1),IF($G1684="",$I1684,$G1684)+(R$2*$M1684)))</f>
        <v/>
      </c>
      <c r="S1684" s="49">
        <f>IF($M1684="","",MAX(IF($G1684="",$I1684,$G1684)*(1/1.1),IF($G1684="",$I1684,$G1684)+(S$2*$M1684)))</f>
        <v/>
      </c>
      <c r="T1684" s="82" t="n"/>
      <c r="U1684" s="47">
        <f>IF(OR($M1684="",$T1684=""),"",$T1684+(U$2*$M1684))</f>
        <v/>
      </c>
      <c r="V1684" s="48">
        <f>IF(OR($M1684="",$T1684=""),"",$T1684+(V$2*$M1684))</f>
        <v/>
      </c>
      <c r="W1684" s="48">
        <f>IF(OR($M1684="",$T1684=""),"",$T1684+(W$2*$M1684))</f>
        <v/>
      </c>
      <c r="X1684" s="49">
        <f>IF(OR($M1684="",$T1684=""),"",$T1684+(X$2*$M1684))</f>
        <v/>
      </c>
      <c r="Y1684" s="47">
        <f>IF(OR($M1684="",$T1684=""),"",$T1684+(Y$2*$M1684))</f>
        <v/>
      </c>
      <c r="Z1684" s="49">
        <f>IF(OR($M1684="",$T1684=""),"",$T1684+(Z$2*$M1684))</f>
        <v/>
      </c>
      <c r="AA1684" s="51">
        <f>IF(OR($M1684="",$T1684=""),"",$T1684+(AA$2*$M1684))</f>
        <v/>
      </c>
      <c r="AB1684" s="48">
        <f>IF(OR($M1684="",$T1684=""),"",$T1684+(AB$2*$M1684))</f>
        <v/>
      </c>
      <c r="AC1684" s="48">
        <f>IF(OR($M1684="",$T1684=""),"",$T1684+(AC$2*$M1684))</f>
        <v/>
      </c>
      <c r="AD1684" s="48">
        <f>IF(OR($M1684="",$T1684=""),"",$T1684+(AD$2*$M1684))</f>
        <v/>
      </c>
      <c r="AE1684" s="49">
        <f>IF(OR($M1684="",$T1684=""),"",$T1684+(AE$2*$M1684))</f>
        <v/>
      </c>
      <c r="AF1684" s="52">
        <f>IF(OR(T1684="",I1684&lt;T1684),"",IFERROR(AVERAGE(T1684+M1684*{7,8,9,10,11})/IF(G1684="",I1684,G1684)-1,""))</f>
        <v/>
      </c>
      <c r="AG1684" s="55">
        <f>IF(OR(T1684="",I1684&lt;T1684),"",IFERROR(AF1684/-(R1684/IF(G1684="",I1684,G1684)-1),""))</f>
        <v/>
      </c>
      <c r="AH1684" s="94" t="n"/>
      <c r="AI1684" s="94" t="n"/>
      <c r="AJ1684" s="94" t="n"/>
      <c r="AK1684" s="94" t="n"/>
      <c r="AL1684" s="84" t="n"/>
    </row>
    <row r="1685">
      <c r="A1685" s="64" t="n"/>
      <c r="B1685" s="65" t="n"/>
      <c r="C1685" s="66" t="n"/>
      <c r="D1685" s="67" t="n"/>
      <c r="E1685" s="68" t="n"/>
      <c r="F1685" s="47">
        <f>IF(A1685="","",IF(MIN(H1685,MAX(J1685:K1685))=0,"",MIN(H1685,MAX(J1685:K1685))))</f>
        <v/>
      </c>
      <c r="G1685" s="74" t="n"/>
      <c r="H1685" s="49">
        <f>IF(M1685="","",IFERROR(ROUND(AVERAGE(T1685+M1685*{7,8,9,10,11})/1.21,4),""))</f>
        <v/>
      </c>
      <c r="I1685" s="76" t="n"/>
      <c r="J1685" s="77" t="n"/>
      <c r="K1685" s="74" t="n"/>
      <c r="L1685" s="78" t="n"/>
      <c r="M1685" s="77" t="n"/>
      <c r="N1685" s="53">
        <f>IF(M1685="","",IFERROR(M1685/I1685,""))</f>
        <v/>
      </c>
      <c r="O1685" s="50">
        <f>IF(A1685="","",IFERROR((IF(G1685="",I1685,G1685)-T1685)/M1685,""))</f>
        <v/>
      </c>
      <c r="P1685" s="50">
        <f>IFERROR((I1685/T1685-1)/N1685,"")</f>
        <v/>
      </c>
      <c r="Q1685" s="46">
        <f>IF(OR(T1685="",I1685&lt;T1685),"",IFERROR(R1685/IF(G1685="",I1685,G1685)-1,""))</f>
        <v/>
      </c>
      <c r="R1685" s="48">
        <f>IF($M1685="","",MAX(IF($G1685="",$I1685,$G1685)*(1/1.1),IF($G1685="",$I1685,$G1685)+(R$2*$M1685)))</f>
        <v/>
      </c>
      <c r="S1685" s="49">
        <f>IF($M1685="","",MAX(IF($G1685="",$I1685,$G1685)*(1/1.1),IF($G1685="",$I1685,$G1685)+(S$2*$M1685)))</f>
        <v/>
      </c>
      <c r="T1685" s="82" t="n"/>
      <c r="U1685" s="47">
        <f>IF(OR($M1685="",$T1685=""),"",$T1685+(U$2*$M1685))</f>
        <v/>
      </c>
      <c r="V1685" s="48">
        <f>IF(OR($M1685="",$T1685=""),"",$T1685+(V$2*$M1685))</f>
        <v/>
      </c>
      <c r="W1685" s="48">
        <f>IF(OR($M1685="",$T1685=""),"",$T1685+(W$2*$M1685))</f>
        <v/>
      </c>
      <c r="X1685" s="49">
        <f>IF(OR($M1685="",$T1685=""),"",$T1685+(X$2*$M1685))</f>
        <v/>
      </c>
      <c r="Y1685" s="47">
        <f>IF(OR($M1685="",$T1685=""),"",$T1685+(Y$2*$M1685))</f>
        <v/>
      </c>
      <c r="Z1685" s="49">
        <f>IF(OR($M1685="",$T1685=""),"",$T1685+(Z$2*$M1685))</f>
        <v/>
      </c>
      <c r="AA1685" s="51">
        <f>IF(OR($M1685="",$T1685=""),"",$T1685+(AA$2*$M1685))</f>
        <v/>
      </c>
      <c r="AB1685" s="48">
        <f>IF(OR($M1685="",$T1685=""),"",$T1685+(AB$2*$M1685))</f>
        <v/>
      </c>
      <c r="AC1685" s="48">
        <f>IF(OR($M1685="",$T1685=""),"",$T1685+(AC$2*$M1685))</f>
        <v/>
      </c>
      <c r="AD1685" s="48">
        <f>IF(OR($M1685="",$T1685=""),"",$T1685+(AD$2*$M1685))</f>
        <v/>
      </c>
      <c r="AE1685" s="49">
        <f>IF(OR($M1685="",$T1685=""),"",$T1685+(AE$2*$M1685))</f>
        <v/>
      </c>
      <c r="AF1685" s="52">
        <f>IF(OR(T1685="",I1685&lt;T1685),"",IFERROR(AVERAGE(T1685+M1685*{7,8,9,10,11})/IF(G1685="",I1685,G1685)-1,""))</f>
        <v/>
      </c>
      <c r="AG1685" s="55">
        <f>IF(OR(T1685="",I1685&lt;T1685),"",IFERROR(AF1685/-(R1685/IF(G1685="",I1685,G1685)-1),""))</f>
        <v/>
      </c>
      <c r="AH1685" s="94" t="n"/>
      <c r="AI1685" s="94" t="n"/>
      <c r="AJ1685" s="94" t="n"/>
      <c r="AK1685" s="94" t="n"/>
      <c r="AL1685" s="84" t="n"/>
    </row>
    <row r="1686">
      <c r="A1686" s="64" t="n"/>
      <c r="B1686" s="65" t="n"/>
      <c r="C1686" s="66" t="n"/>
      <c r="D1686" s="67" t="n"/>
      <c r="E1686" s="68" t="n"/>
      <c r="F1686" s="47">
        <f>IF(A1686="","",IF(MIN(H1686,MAX(J1686:K1686))=0,"",MIN(H1686,MAX(J1686:K1686))))</f>
        <v/>
      </c>
      <c r="G1686" s="74" t="n"/>
      <c r="H1686" s="49">
        <f>IF(M1686="","",IFERROR(ROUND(AVERAGE(T1686+M1686*{7,8,9,10,11})/1.21,4),""))</f>
        <v/>
      </c>
      <c r="I1686" s="76" t="n"/>
      <c r="J1686" s="77" t="n"/>
      <c r="K1686" s="74" t="n"/>
      <c r="L1686" s="78" t="n"/>
      <c r="M1686" s="77" t="n"/>
      <c r="N1686" s="53">
        <f>IF(M1686="","",IFERROR(M1686/I1686,""))</f>
        <v/>
      </c>
      <c r="O1686" s="50">
        <f>IF(A1686="","",IFERROR((IF(G1686="",I1686,G1686)-T1686)/M1686,""))</f>
        <v/>
      </c>
      <c r="P1686" s="50">
        <f>IFERROR((I1686/T1686-1)/N1686,"")</f>
        <v/>
      </c>
      <c r="Q1686" s="46">
        <f>IF(OR(T1686="",I1686&lt;T1686),"",IFERROR(R1686/IF(G1686="",I1686,G1686)-1,""))</f>
        <v/>
      </c>
      <c r="R1686" s="48">
        <f>IF($M1686="","",MAX(IF($G1686="",$I1686,$G1686)*(1/1.1),IF($G1686="",$I1686,$G1686)+(R$2*$M1686)))</f>
        <v/>
      </c>
      <c r="S1686" s="49">
        <f>IF($M1686="","",MAX(IF($G1686="",$I1686,$G1686)*(1/1.1),IF($G1686="",$I1686,$G1686)+(S$2*$M1686)))</f>
        <v/>
      </c>
      <c r="T1686" s="82" t="n"/>
      <c r="U1686" s="47">
        <f>IF(OR($M1686="",$T1686=""),"",$T1686+(U$2*$M1686))</f>
        <v/>
      </c>
      <c r="V1686" s="48">
        <f>IF(OR($M1686="",$T1686=""),"",$T1686+(V$2*$M1686))</f>
        <v/>
      </c>
      <c r="W1686" s="48">
        <f>IF(OR($M1686="",$T1686=""),"",$T1686+(W$2*$M1686))</f>
        <v/>
      </c>
      <c r="X1686" s="49">
        <f>IF(OR($M1686="",$T1686=""),"",$T1686+(X$2*$M1686))</f>
        <v/>
      </c>
      <c r="Y1686" s="47">
        <f>IF(OR($M1686="",$T1686=""),"",$T1686+(Y$2*$M1686))</f>
        <v/>
      </c>
      <c r="Z1686" s="49">
        <f>IF(OR($M1686="",$T1686=""),"",$T1686+(Z$2*$M1686))</f>
        <v/>
      </c>
      <c r="AA1686" s="51">
        <f>IF(OR($M1686="",$T1686=""),"",$T1686+(AA$2*$M1686))</f>
        <v/>
      </c>
      <c r="AB1686" s="48">
        <f>IF(OR($M1686="",$T1686=""),"",$T1686+(AB$2*$M1686))</f>
        <v/>
      </c>
      <c r="AC1686" s="48">
        <f>IF(OR($M1686="",$T1686=""),"",$T1686+(AC$2*$M1686))</f>
        <v/>
      </c>
      <c r="AD1686" s="48">
        <f>IF(OR($M1686="",$T1686=""),"",$T1686+(AD$2*$M1686))</f>
        <v/>
      </c>
      <c r="AE1686" s="49">
        <f>IF(OR($M1686="",$T1686=""),"",$T1686+(AE$2*$M1686))</f>
        <v/>
      </c>
      <c r="AF1686" s="52">
        <f>IF(OR(T1686="",I1686&lt;T1686),"",IFERROR(AVERAGE(T1686+M1686*{7,8,9,10,11})/IF(G1686="",I1686,G1686)-1,""))</f>
        <v/>
      </c>
      <c r="AG1686" s="55">
        <f>IF(OR(T1686="",I1686&lt;T1686),"",IFERROR(AF1686/-(R1686/IF(G1686="",I1686,G1686)-1),""))</f>
        <v/>
      </c>
      <c r="AH1686" s="94" t="n"/>
      <c r="AI1686" s="94" t="n"/>
      <c r="AJ1686" s="94" t="n"/>
      <c r="AK1686" s="94" t="n"/>
      <c r="AL1686" s="84" t="n"/>
    </row>
    <row r="1687">
      <c r="A1687" s="64" t="n"/>
      <c r="B1687" s="65" t="n"/>
      <c r="C1687" s="66" t="n"/>
      <c r="D1687" s="67" t="n"/>
      <c r="E1687" s="68" t="n"/>
      <c r="F1687" s="47">
        <f>IF(A1687="","",IF(MIN(H1687,MAX(J1687:K1687))=0,"",MIN(H1687,MAX(J1687:K1687))))</f>
        <v/>
      </c>
      <c r="G1687" s="74" t="n"/>
      <c r="H1687" s="49">
        <f>IF(M1687="","",IFERROR(ROUND(AVERAGE(T1687+M1687*{7,8,9,10,11})/1.21,4),""))</f>
        <v/>
      </c>
      <c r="I1687" s="76" t="n"/>
      <c r="J1687" s="77" t="n"/>
      <c r="K1687" s="74" t="n"/>
      <c r="L1687" s="78" t="n"/>
      <c r="M1687" s="77" t="n"/>
      <c r="N1687" s="53">
        <f>IF(M1687="","",IFERROR(M1687/I1687,""))</f>
        <v/>
      </c>
      <c r="O1687" s="50">
        <f>IF(A1687="","",IFERROR((IF(G1687="",I1687,G1687)-T1687)/M1687,""))</f>
        <v/>
      </c>
      <c r="P1687" s="50">
        <f>IFERROR((I1687/T1687-1)/N1687,"")</f>
        <v/>
      </c>
      <c r="Q1687" s="46">
        <f>IF(OR(T1687="",I1687&lt;T1687),"",IFERROR(R1687/IF(G1687="",I1687,G1687)-1,""))</f>
        <v/>
      </c>
      <c r="R1687" s="48">
        <f>IF($M1687="","",MAX(IF($G1687="",$I1687,$G1687)*(1/1.1),IF($G1687="",$I1687,$G1687)+(R$2*$M1687)))</f>
        <v/>
      </c>
      <c r="S1687" s="49">
        <f>IF($M1687="","",MAX(IF($G1687="",$I1687,$G1687)*(1/1.1),IF($G1687="",$I1687,$G1687)+(S$2*$M1687)))</f>
        <v/>
      </c>
      <c r="T1687" s="82" t="n"/>
      <c r="U1687" s="47">
        <f>IF(OR($M1687="",$T1687=""),"",$T1687+(U$2*$M1687))</f>
        <v/>
      </c>
      <c r="V1687" s="48">
        <f>IF(OR($M1687="",$T1687=""),"",$T1687+(V$2*$M1687))</f>
        <v/>
      </c>
      <c r="W1687" s="48">
        <f>IF(OR($M1687="",$T1687=""),"",$T1687+(W$2*$M1687))</f>
        <v/>
      </c>
      <c r="X1687" s="49">
        <f>IF(OR($M1687="",$T1687=""),"",$T1687+(X$2*$M1687))</f>
        <v/>
      </c>
      <c r="Y1687" s="47">
        <f>IF(OR($M1687="",$T1687=""),"",$T1687+(Y$2*$M1687))</f>
        <v/>
      </c>
      <c r="Z1687" s="49">
        <f>IF(OR($M1687="",$T1687=""),"",$T1687+(Z$2*$M1687))</f>
        <v/>
      </c>
      <c r="AA1687" s="51">
        <f>IF(OR($M1687="",$T1687=""),"",$T1687+(AA$2*$M1687))</f>
        <v/>
      </c>
      <c r="AB1687" s="48">
        <f>IF(OR($M1687="",$T1687=""),"",$T1687+(AB$2*$M1687))</f>
        <v/>
      </c>
      <c r="AC1687" s="48">
        <f>IF(OR($M1687="",$T1687=""),"",$T1687+(AC$2*$M1687))</f>
        <v/>
      </c>
      <c r="AD1687" s="48">
        <f>IF(OR($M1687="",$T1687=""),"",$T1687+(AD$2*$M1687))</f>
        <v/>
      </c>
      <c r="AE1687" s="49">
        <f>IF(OR($M1687="",$T1687=""),"",$T1687+(AE$2*$M1687))</f>
        <v/>
      </c>
      <c r="AF1687" s="52">
        <f>IF(OR(T1687="",I1687&lt;T1687),"",IFERROR(AVERAGE(T1687+M1687*{7,8,9,10,11})/IF(G1687="",I1687,G1687)-1,""))</f>
        <v/>
      </c>
      <c r="AG1687" s="55">
        <f>IF(OR(T1687="",I1687&lt;T1687),"",IFERROR(AF1687/-(R1687/IF(G1687="",I1687,G1687)-1),""))</f>
        <v/>
      </c>
      <c r="AH1687" s="94" t="n"/>
      <c r="AI1687" s="94" t="n"/>
      <c r="AJ1687" s="94" t="n"/>
      <c r="AK1687" s="94" t="n"/>
      <c r="AL1687" s="84" t="n"/>
    </row>
    <row r="1688">
      <c r="A1688" s="64" t="n"/>
      <c r="B1688" s="65" t="n"/>
      <c r="C1688" s="66" t="n"/>
      <c r="D1688" s="67" t="n"/>
      <c r="E1688" s="68" t="n"/>
      <c r="F1688" s="47">
        <f>IF(A1688="","",IF(MIN(H1688,MAX(J1688:K1688))=0,"",MIN(H1688,MAX(J1688:K1688))))</f>
        <v/>
      </c>
      <c r="G1688" s="74" t="n"/>
      <c r="H1688" s="49">
        <f>IF(M1688="","",IFERROR(ROUND(AVERAGE(T1688+M1688*{7,8,9,10,11})/1.21,4),""))</f>
        <v/>
      </c>
      <c r="I1688" s="76" t="n"/>
      <c r="J1688" s="77" t="n"/>
      <c r="K1688" s="74" t="n"/>
      <c r="L1688" s="78" t="n"/>
      <c r="M1688" s="77" t="n"/>
      <c r="N1688" s="53">
        <f>IF(M1688="","",IFERROR(M1688/I1688,""))</f>
        <v/>
      </c>
      <c r="O1688" s="50">
        <f>IF(A1688="","",IFERROR((IF(G1688="",I1688,G1688)-T1688)/M1688,""))</f>
        <v/>
      </c>
      <c r="P1688" s="50">
        <f>IFERROR((I1688/T1688-1)/N1688,"")</f>
        <v/>
      </c>
      <c r="Q1688" s="46">
        <f>IF(OR(T1688="",I1688&lt;T1688),"",IFERROR(R1688/IF(G1688="",I1688,G1688)-1,""))</f>
        <v/>
      </c>
      <c r="R1688" s="48">
        <f>IF($M1688="","",MAX(IF($G1688="",$I1688,$G1688)*(1/1.1),IF($G1688="",$I1688,$G1688)+(R$2*$M1688)))</f>
        <v/>
      </c>
      <c r="S1688" s="49">
        <f>IF($M1688="","",MAX(IF($G1688="",$I1688,$G1688)*(1/1.1),IF($G1688="",$I1688,$G1688)+(S$2*$M1688)))</f>
        <v/>
      </c>
      <c r="T1688" s="82" t="n"/>
      <c r="U1688" s="47">
        <f>IF(OR($M1688="",$T1688=""),"",$T1688+(U$2*$M1688))</f>
        <v/>
      </c>
      <c r="V1688" s="48">
        <f>IF(OR($M1688="",$T1688=""),"",$T1688+(V$2*$M1688))</f>
        <v/>
      </c>
      <c r="W1688" s="48">
        <f>IF(OR($M1688="",$T1688=""),"",$T1688+(W$2*$M1688))</f>
        <v/>
      </c>
      <c r="X1688" s="49">
        <f>IF(OR($M1688="",$T1688=""),"",$T1688+(X$2*$M1688))</f>
        <v/>
      </c>
      <c r="Y1688" s="47">
        <f>IF(OR($M1688="",$T1688=""),"",$T1688+(Y$2*$M1688))</f>
        <v/>
      </c>
      <c r="Z1688" s="49">
        <f>IF(OR($M1688="",$T1688=""),"",$T1688+(Z$2*$M1688))</f>
        <v/>
      </c>
      <c r="AA1688" s="51">
        <f>IF(OR($M1688="",$T1688=""),"",$T1688+(AA$2*$M1688))</f>
        <v/>
      </c>
      <c r="AB1688" s="48">
        <f>IF(OR($M1688="",$T1688=""),"",$T1688+(AB$2*$M1688))</f>
        <v/>
      </c>
      <c r="AC1688" s="48">
        <f>IF(OR($M1688="",$T1688=""),"",$T1688+(AC$2*$M1688))</f>
        <v/>
      </c>
      <c r="AD1688" s="48">
        <f>IF(OR($M1688="",$T1688=""),"",$T1688+(AD$2*$M1688))</f>
        <v/>
      </c>
      <c r="AE1688" s="49">
        <f>IF(OR($M1688="",$T1688=""),"",$T1688+(AE$2*$M1688))</f>
        <v/>
      </c>
      <c r="AF1688" s="52">
        <f>IF(OR(T1688="",I1688&lt;T1688),"",IFERROR(AVERAGE(T1688+M1688*{7,8,9,10,11})/IF(G1688="",I1688,G1688)-1,""))</f>
        <v/>
      </c>
      <c r="AG1688" s="55">
        <f>IF(OR(T1688="",I1688&lt;T1688),"",IFERROR(AF1688/-(R1688/IF(G1688="",I1688,G1688)-1),""))</f>
        <v/>
      </c>
      <c r="AH1688" s="94" t="n"/>
      <c r="AI1688" s="94" t="n"/>
      <c r="AJ1688" s="94" t="n"/>
      <c r="AK1688" s="94" t="n"/>
      <c r="AL1688" s="84" t="n"/>
    </row>
    <row r="1689">
      <c r="A1689" s="64" t="n"/>
      <c r="B1689" s="65" t="n"/>
      <c r="C1689" s="66" t="n"/>
      <c r="D1689" s="67" t="n"/>
      <c r="E1689" s="68" t="n"/>
      <c r="F1689" s="47">
        <f>IF(A1689="","",IF(MIN(H1689,MAX(J1689:K1689))=0,"",MIN(H1689,MAX(J1689:K1689))))</f>
        <v/>
      </c>
      <c r="G1689" s="74" t="n"/>
      <c r="H1689" s="49">
        <f>IF(M1689="","",IFERROR(ROUND(AVERAGE(T1689+M1689*{7,8,9,10,11})/1.21,4),""))</f>
        <v/>
      </c>
      <c r="I1689" s="76" t="n"/>
      <c r="J1689" s="77" t="n"/>
      <c r="K1689" s="74" t="n"/>
      <c r="L1689" s="78" t="n"/>
      <c r="M1689" s="77" t="n"/>
      <c r="N1689" s="53">
        <f>IF(M1689="","",IFERROR(M1689/I1689,""))</f>
        <v/>
      </c>
      <c r="O1689" s="50">
        <f>IF(A1689="","",IFERROR((IF(G1689="",I1689,G1689)-T1689)/M1689,""))</f>
        <v/>
      </c>
      <c r="P1689" s="50">
        <f>IFERROR((I1689/T1689-1)/N1689,"")</f>
        <v/>
      </c>
      <c r="Q1689" s="46">
        <f>IF(OR(T1689="",I1689&lt;T1689),"",IFERROR(R1689/IF(G1689="",I1689,G1689)-1,""))</f>
        <v/>
      </c>
      <c r="R1689" s="48">
        <f>IF($M1689="","",MAX(IF($G1689="",$I1689,$G1689)*(1/1.1),IF($G1689="",$I1689,$G1689)+(R$2*$M1689)))</f>
        <v/>
      </c>
      <c r="S1689" s="49">
        <f>IF($M1689="","",MAX(IF($G1689="",$I1689,$G1689)*(1/1.1),IF($G1689="",$I1689,$G1689)+(S$2*$M1689)))</f>
        <v/>
      </c>
      <c r="T1689" s="82" t="n"/>
      <c r="U1689" s="47">
        <f>IF(OR($M1689="",$T1689=""),"",$T1689+(U$2*$M1689))</f>
        <v/>
      </c>
      <c r="V1689" s="48">
        <f>IF(OR($M1689="",$T1689=""),"",$T1689+(V$2*$M1689))</f>
        <v/>
      </c>
      <c r="W1689" s="48">
        <f>IF(OR($M1689="",$T1689=""),"",$T1689+(W$2*$M1689))</f>
        <v/>
      </c>
      <c r="X1689" s="49">
        <f>IF(OR($M1689="",$T1689=""),"",$T1689+(X$2*$M1689))</f>
        <v/>
      </c>
      <c r="Y1689" s="47">
        <f>IF(OR($M1689="",$T1689=""),"",$T1689+(Y$2*$M1689))</f>
        <v/>
      </c>
      <c r="Z1689" s="49">
        <f>IF(OR($M1689="",$T1689=""),"",$T1689+(Z$2*$M1689))</f>
        <v/>
      </c>
      <c r="AA1689" s="51">
        <f>IF(OR($M1689="",$T1689=""),"",$T1689+(AA$2*$M1689))</f>
        <v/>
      </c>
      <c r="AB1689" s="48">
        <f>IF(OR($M1689="",$T1689=""),"",$T1689+(AB$2*$M1689))</f>
        <v/>
      </c>
      <c r="AC1689" s="48">
        <f>IF(OR($M1689="",$T1689=""),"",$T1689+(AC$2*$M1689))</f>
        <v/>
      </c>
      <c r="AD1689" s="48">
        <f>IF(OR($M1689="",$T1689=""),"",$T1689+(AD$2*$M1689))</f>
        <v/>
      </c>
      <c r="AE1689" s="49">
        <f>IF(OR($M1689="",$T1689=""),"",$T1689+(AE$2*$M1689))</f>
        <v/>
      </c>
      <c r="AF1689" s="52">
        <f>IF(OR(T1689="",I1689&lt;T1689),"",IFERROR(AVERAGE(T1689+M1689*{7,8,9,10,11})/IF(G1689="",I1689,G1689)-1,""))</f>
        <v/>
      </c>
      <c r="AG1689" s="55">
        <f>IF(OR(T1689="",I1689&lt;T1689),"",IFERROR(AF1689/-(R1689/IF(G1689="",I1689,G1689)-1),""))</f>
        <v/>
      </c>
      <c r="AH1689" s="94" t="n"/>
      <c r="AI1689" s="94" t="n"/>
      <c r="AJ1689" s="94" t="n"/>
      <c r="AK1689" s="94" t="n"/>
      <c r="AL1689" s="84" t="n"/>
    </row>
    <row r="1690">
      <c r="A1690" s="64" t="n"/>
      <c r="B1690" s="65" t="n"/>
      <c r="C1690" s="66" t="n"/>
      <c r="D1690" s="67" t="n"/>
      <c r="E1690" s="68" t="n"/>
      <c r="F1690" s="47">
        <f>IF(A1690="","",IF(MIN(H1690,MAX(J1690:K1690))=0,"",MIN(H1690,MAX(J1690:K1690))))</f>
        <v/>
      </c>
      <c r="G1690" s="74" t="n"/>
      <c r="H1690" s="49">
        <f>IF(M1690="","",IFERROR(ROUND(AVERAGE(T1690+M1690*{7,8,9,10,11})/1.21,4),""))</f>
        <v/>
      </c>
      <c r="I1690" s="76" t="n"/>
      <c r="J1690" s="77" t="n"/>
      <c r="K1690" s="74" t="n"/>
      <c r="L1690" s="78" t="n"/>
      <c r="M1690" s="77" t="n"/>
      <c r="N1690" s="53">
        <f>IF(M1690="","",IFERROR(M1690/I1690,""))</f>
        <v/>
      </c>
      <c r="O1690" s="50">
        <f>IF(A1690="","",IFERROR((IF(G1690="",I1690,G1690)-T1690)/M1690,""))</f>
        <v/>
      </c>
      <c r="P1690" s="50">
        <f>IFERROR((I1690/T1690-1)/N1690,"")</f>
        <v/>
      </c>
      <c r="Q1690" s="46">
        <f>IF(OR(T1690="",I1690&lt;T1690),"",IFERROR(R1690/IF(G1690="",I1690,G1690)-1,""))</f>
        <v/>
      </c>
      <c r="R1690" s="48">
        <f>IF($M1690="","",MAX(IF($G1690="",$I1690,$G1690)*(1/1.1),IF($G1690="",$I1690,$G1690)+(R$2*$M1690)))</f>
        <v/>
      </c>
      <c r="S1690" s="49">
        <f>IF($M1690="","",MAX(IF($G1690="",$I1690,$G1690)*(1/1.1),IF($G1690="",$I1690,$G1690)+(S$2*$M1690)))</f>
        <v/>
      </c>
      <c r="T1690" s="82" t="n"/>
      <c r="U1690" s="47">
        <f>IF(OR($M1690="",$T1690=""),"",$T1690+(U$2*$M1690))</f>
        <v/>
      </c>
      <c r="V1690" s="48">
        <f>IF(OR($M1690="",$T1690=""),"",$T1690+(V$2*$M1690))</f>
        <v/>
      </c>
      <c r="W1690" s="48">
        <f>IF(OR($M1690="",$T1690=""),"",$T1690+(W$2*$M1690))</f>
        <v/>
      </c>
      <c r="X1690" s="49">
        <f>IF(OR($M1690="",$T1690=""),"",$T1690+(X$2*$M1690))</f>
        <v/>
      </c>
      <c r="Y1690" s="47">
        <f>IF(OR($M1690="",$T1690=""),"",$T1690+(Y$2*$M1690))</f>
        <v/>
      </c>
      <c r="Z1690" s="49">
        <f>IF(OR($M1690="",$T1690=""),"",$T1690+(Z$2*$M1690))</f>
        <v/>
      </c>
      <c r="AA1690" s="51">
        <f>IF(OR($M1690="",$T1690=""),"",$T1690+(AA$2*$M1690))</f>
        <v/>
      </c>
      <c r="AB1690" s="48">
        <f>IF(OR($M1690="",$T1690=""),"",$T1690+(AB$2*$M1690))</f>
        <v/>
      </c>
      <c r="AC1690" s="48">
        <f>IF(OR($M1690="",$T1690=""),"",$T1690+(AC$2*$M1690))</f>
        <v/>
      </c>
      <c r="AD1690" s="48">
        <f>IF(OR($M1690="",$T1690=""),"",$T1690+(AD$2*$M1690))</f>
        <v/>
      </c>
      <c r="AE1690" s="49">
        <f>IF(OR($M1690="",$T1690=""),"",$T1690+(AE$2*$M1690))</f>
        <v/>
      </c>
      <c r="AF1690" s="52">
        <f>IF(OR(T1690="",I1690&lt;T1690),"",IFERROR(AVERAGE(T1690+M1690*{7,8,9,10,11})/IF(G1690="",I1690,G1690)-1,""))</f>
        <v/>
      </c>
      <c r="AG1690" s="55">
        <f>IF(OR(T1690="",I1690&lt;T1690),"",IFERROR(AF1690/-(R1690/IF(G1690="",I1690,G1690)-1),""))</f>
        <v/>
      </c>
      <c r="AH1690" s="94" t="n"/>
      <c r="AI1690" s="94" t="n"/>
      <c r="AJ1690" s="94" t="n"/>
      <c r="AK1690" s="94" t="n"/>
      <c r="AL1690" s="84" t="n"/>
    </row>
    <row r="1691">
      <c r="A1691" s="64" t="n"/>
      <c r="B1691" s="65" t="n"/>
      <c r="C1691" s="66" t="n"/>
      <c r="D1691" s="67" t="n"/>
      <c r="E1691" s="68" t="n"/>
      <c r="F1691" s="47">
        <f>IF(A1691="","",IF(MIN(H1691,MAX(J1691:K1691))=0,"",MIN(H1691,MAX(J1691:K1691))))</f>
        <v/>
      </c>
      <c r="G1691" s="74" t="n"/>
      <c r="H1691" s="49">
        <f>IF(M1691="","",IFERROR(ROUND(AVERAGE(T1691+M1691*{7,8,9,10,11})/1.21,4),""))</f>
        <v/>
      </c>
      <c r="I1691" s="76" t="n"/>
      <c r="J1691" s="77" t="n"/>
      <c r="K1691" s="74" t="n"/>
      <c r="L1691" s="78" t="n"/>
      <c r="M1691" s="77" t="n"/>
      <c r="N1691" s="53">
        <f>IF(M1691="","",IFERROR(M1691/I1691,""))</f>
        <v/>
      </c>
      <c r="O1691" s="50">
        <f>IF(A1691="","",IFERROR((IF(G1691="",I1691,G1691)-T1691)/M1691,""))</f>
        <v/>
      </c>
      <c r="P1691" s="50">
        <f>IFERROR((I1691/T1691-1)/N1691,"")</f>
        <v/>
      </c>
      <c r="Q1691" s="46">
        <f>IF(OR(T1691="",I1691&lt;T1691),"",IFERROR(R1691/IF(G1691="",I1691,G1691)-1,""))</f>
        <v/>
      </c>
      <c r="R1691" s="48">
        <f>IF($M1691="","",MAX(IF($G1691="",$I1691,$G1691)*(1/1.1),IF($G1691="",$I1691,$G1691)+(R$2*$M1691)))</f>
        <v/>
      </c>
      <c r="S1691" s="49">
        <f>IF($M1691="","",MAX(IF($G1691="",$I1691,$G1691)*(1/1.1),IF($G1691="",$I1691,$G1691)+(S$2*$M1691)))</f>
        <v/>
      </c>
      <c r="T1691" s="82" t="n"/>
      <c r="U1691" s="47">
        <f>IF(OR($M1691="",$T1691=""),"",$T1691+(U$2*$M1691))</f>
        <v/>
      </c>
      <c r="V1691" s="48">
        <f>IF(OR($M1691="",$T1691=""),"",$T1691+(V$2*$M1691))</f>
        <v/>
      </c>
      <c r="W1691" s="48">
        <f>IF(OR($M1691="",$T1691=""),"",$T1691+(W$2*$M1691))</f>
        <v/>
      </c>
      <c r="X1691" s="49">
        <f>IF(OR($M1691="",$T1691=""),"",$T1691+(X$2*$M1691))</f>
        <v/>
      </c>
      <c r="Y1691" s="47">
        <f>IF(OR($M1691="",$T1691=""),"",$T1691+(Y$2*$M1691))</f>
        <v/>
      </c>
      <c r="Z1691" s="49">
        <f>IF(OR($M1691="",$T1691=""),"",$T1691+(Z$2*$M1691))</f>
        <v/>
      </c>
      <c r="AA1691" s="51">
        <f>IF(OR($M1691="",$T1691=""),"",$T1691+(AA$2*$M1691))</f>
        <v/>
      </c>
      <c r="AB1691" s="48">
        <f>IF(OR($M1691="",$T1691=""),"",$T1691+(AB$2*$M1691))</f>
        <v/>
      </c>
      <c r="AC1691" s="48">
        <f>IF(OR($M1691="",$T1691=""),"",$T1691+(AC$2*$M1691))</f>
        <v/>
      </c>
      <c r="AD1691" s="48">
        <f>IF(OR($M1691="",$T1691=""),"",$T1691+(AD$2*$M1691))</f>
        <v/>
      </c>
      <c r="AE1691" s="49">
        <f>IF(OR($M1691="",$T1691=""),"",$T1691+(AE$2*$M1691))</f>
        <v/>
      </c>
      <c r="AF1691" s="52">
        <f>IF(OR(T1691="",I1691&lt;T1691),"",IFERROR(AVERAGE(T1691+M1691*{7,8,9,10,11})/IF(G1691="",I1691,G1691)-1,""))</f>
        <v/>
      </c>
      <c r="AG1691" s="55">
        <f>IF(OR(T1691="",I1691&lt;T1691),"",IFERROR(AF1691/-(R1691/IF(G1691="",I1691,G1691)-1),""))</f>
        <v/>
      </c>
      <c r="AH1691" s="94" t="n"/>
      <c r="AI1691" s="94" t="n"/>
      <c r="AJ1691" s="94" t="n"/>
      <c r="AK1691" s="94" t="n"/>
      <c r="AL1691" s="84" t="n"/>
    </row>
    <row r="1692">
      <c r="A1692" s="64" t="n"/>
      <c r="B1692" s="65" t="n"/>
      <c r="C1692" s="66" t="n"/>
      <c r="D1692" s="67" t="n"/>
      <c r="E1692" s="68" t="n"/>
      <c r="F1692" s="47">
        <f>IF(A1692="","",IF(MIN(H1692,MAX(J1692:K1692))=0,"",MIN(H1692,MAX(J1692:K1692))))</f>
        <v/>
      </c>
      <c r="G1692" s="74" t="n"/>
      <c r="H1692" s="49">
        <f>IF(M1692="","",IFERROR(ROUND(AVERAGE(T1692+M1692*{7,8,9,10,11})/1.21,4),""))</f>
        <v/>
      </c>
      <c r="I1692" s="76" t="n"/>
      <c r="J1692" s="77" t="n"/>
      <c r="K1692" s="74" t="n"/>
      <c r="L1692" s="78" t="n"/>
      <c r="M1692" s="77" t="n"/>
      <c r="N1692" s="53">
        <f>IF(M1692="","",IFERROR(M1692/I1692,""))</f>
        <v/>
      </c>
      <c r="O1692" s="50">
        <f>IF(A1692="","",IFERROR((IF(G1692="",I1692,G1692)-T1692)/M1692,""))</f>
        <v/>
      </c>
      <c r="P1692" s="50">
        <f>IFERROR((I1692/T1692-1)/N1692,"")</f>
        <v/>
      </c>
      <c r="Q1692" s="46">
        <f>IF(OR(T1692="",I1692&lt;T1692),"",IFERROR(R1692/IF(G1692="",I1692,G1692)-1,""))</f>
        <v/>
      </c>
      <c r="R1692" s="48">
        <f>IF($M1692="","",MAX(IF($G1692="",$I1692,$G1692)*(1/1.1),IF($G1692="",$I1692,$G1692)+(R$2*$M1692)))</f>
        <v/>
      </c>
      <c r="S1692" s="49">
        <f>IF($M1692="","",MAX(IF($G1692="",$I1692,$G1692)*(1/1.1),IF($G1692="",$I1692,$G1692)+(S$2*$M1692)))</f>
        <v/>
      </c>
      <c r="T1692" s="82" t="n"/>
      <c r="U1692" s="47">
        <f>IF(OR($M1692="",$T1692=""),"",$T1692+(U$2*$M1692))</f>
        <v/>
      </c>
      <c r="V1692" s="48">
        <f>IF(OR($M1692="",$T1692=""),"",$T1692+(V$2*$M1692))</f>
        <v/>
      </c>
      <c r="W1692" s="48">
        <f>IF(OR($M1692="",$T1692=""),"",$T1692+(W$2*$M1692))</f>
        <v/>
      </c>
      <c r="X1692" s="49">
        <f>IF(OR($M1692="",$T1692=""),"",$T1692+(X$2*$M1692))</f>
        <v/>
      </c>
      <c r="Y1692" s="47">
        <f>IF(OR($M1692="",$T1692=""),"",$T1692+(Y$2*$M1692))</f>
        <v/>
      </c>
      <c r="Z1692" s="49">
        <f>IF(OR($M1692="",$T1692=""),"",$T1692+(Z$2*$M1692))</f>
        <v/>
      </c>
      <c r="AA1692" s="51">
        <f>IF(OR($M1692="",$T1692=""),"",$T1692+(AA$2*$M1692))</f>
        <v/>
      </c>
      <c r="AB1692" s="48">
        <f>IF(OR($M1692="",$T1692=""),"",$T1692+(AB$2*$M1692))</f>
        <v/>
      </c>
      <c r="AC1692" s="48">
        <f>IF(OR($M1692="",$T1692=""),"",$T1692+(AC$2*$M1692))</f>
        <v/>
      </c>
      <c r="AD1692" s="48">
        <f>IF(OR($M1692="",$T1692=""),"",$T1692+(AD$2*$M1692))</f>
        <v/>
      </c>
      <c r="AE1692" s="49">
        <f>IF(OR($M1692="",$T1692=""),"",$T1692+(AE$2*$M1692))</f>
        <v/>
      </c>
      <c r="AF1692" s="52">
        <f>IF(OR(T1692="",I1692&lt;T1692),"",IFERROR(AVERAGE(T1692+M1692*{7,8,9,10,11})/IF(G1692="",I1692,G1692)-1,""))</f>
        <v/>
      </c>
      <c r="AG1692" s="55">
        <f>IF(OR(T1692="",I1692&lt;T1692),"",IFERROR(AF1692/-(R1692/IF(G1692="",I1692,G1692)-1),""))</f>
        <v/>
      </c>
      <c r="AH1692" s="94" t="n"/>
      <c r="AI1692" s="94" t="n"/>
      <c r="AJ1692" s="94" t="n"/>
      <c r="AK1692" s="94" t="n"/>
      <c r="AL1692" s="84" t="n"/>
    </row>
    <row r="1693">
      <c r="A1693" s="64" t="n"/>
      <c r="B1693" s="65" t="n"/>
      <c r="C1693" s="66" t="n"/>
      <c r="D1693" s="67" t="n"/>
      <c r="E1693" s="68" t="n"/>
      <c r="F1693" s="47">
        <f>IF(A1693="","",IF(MIN(H1693,MAX(J1693:K1693))=0,"",MIN(H1693,MAX(J1693:K1693))))</f>
        <v/>
      </c>
      <c r="G1693" s="74" t="n"/>
      <c r="H1693" s="49">
        <f>IF(M1693="","",IFERROR(ROUND(AVERAGE(T1693+M1693*{7,8,9,10,11})/1.21,4),""))</f>
        <v/>
      </c>
      <c r="I1693" s="76" t="n"/>
      <c r="J1693" s="77" t="n"/>
      <c r="K1693" s="74" t="n"/>
      <c r="L1693" s="78" t="n"/>
      <c r="M1693" s="77" t="n"/>
      <c r="N1693" s="53">
        <f>IF(M1693="","",IFERROR(M1693/I1693,""))</f>
        <v/>
      </c>
      <c r="O1693" s="50">
        <f>IF(A1693="","",IFERROR((IF(G1693="",I1693,G1693)-T1693)/M1693,""))</f>
        <v/>
      </c>
      <c r="P1693" s="50">
        <f>IFERROR((I1693/T1693-1)/N1693,"")</f>
        <v/>
      </c>
      <c r="Q1693" s="46">
        <f>IF(OR(T1693="",I1693&lt;T1693),"",IFERROR(R1693/IF(G1693="",I1693,G1693)-1,""))</f>
        <v/>
      </c>
      <c r="R1693" s="48">
        <f>IF($M1693="","",MAX(IF($G1693="",$I1693,$G1693)*(1/1.1),IF($G1693="",$I1693,$G1693)+(R$2*$M1693)))</f>
        <v/>
      </c>
      <c r="S1693" s="49">
        <f>IF($M1693="","",MAX(IF($G1693="",$I1693,$G1693)*(1/1.1),IF($G1693="",$I1693,$G1693)+(S$2*$M1693)))</f>
        <v/>
      </c>
      <c r="T1693" s="82" t="n"/>
      <c r="U1693" s="47">
        <f>IF(OR($M1693="",$T1693=""),"",$T1693+(U$2*$M1693))</f>
        <v/>
      </c>
      <c r="V1693" s="48">
        <f>IF(OR($M1693="",$T1693=""),"",$T1693+(V$2*$M1693))</f>
        <v/>
      </c>
      <c r="W1693" s="48">
        <f>IF(OR($M1693="",$T1693=""),"",$T1693+(W$2*$M1693))</f>
        <v/>
      </c>
      <c r="X1693" s="49">
        <f>IF(OR($M1693="",$T1693=""),"",$T1693+(X$2*$M1693))</f>
        <v/>
      </c>
      <c r="Y1693" s="47">
        <f>IF(OR($M1693="",$T1693=""),"",$T1693+(Y$2*$M1693))</f>
        <v/>
      </c>
      <c r="Z1693" s="49">
        <f>IF(OR($M1693="",$T1693=""),"",$T1693+(Z$2*$M1693))</f>
        <v/>
      </c>
      <c r="AA1693" s="51">
        <f>IF(OR($M1693="",$T1693=""),"",$T1693+(AA$2*$M1693))</f>
        <v/>
      </c>
      <c r="AB1693" s="48">
        <f>IF(OR($M1693="",$T1693=""),"",$T1693+(AB$2*$M1693))</f>
        <v/>
      </c>
      <c r="AC1693" s="48">
        <f>IF(OR($M1693="",$T1693=""),"",$T1693+(AC$2*$M1693))</f>
        <v/>
      </c>
      <c r="AD1693" s="48">
        <f>IF(OR($M1693="",$T1693=""),"",$T1693+(AD$2*$M1693))</f>
        <v/>
      </c>
      <c r="AE1693" s="49">
        <f>IF(OR($M1693="",$T1693=""),"",$T1693+(AE$2*$M1693))</f>
        <v/>
      </c>
      <c r="AF1693" s="52">
        <f>IF(OR(T1693="",I1693&lt;T1693),"",IFERROR(AVERAGE(T1693+M1693*{7,8,9,10,11})/IF(G1693="",I1693,G1693)-1,""))</f>
        <v/>
      </c>
      <c r="AG1693" s="55">
        <f>IF(OR(T1693="",I1693&lt;T1693),"",IFERROR(AF1693/-(R1693/IF(G1693="",I1693,G1693)-1),""))</f>
        <v/>
      </c>
      <c r="AH1693" s="94" t="n"/>
      <c r="AI1693" s="94" t="n"/>
      <c r="AJ1693" s="94" t="n"/>
      <c r="AK1693" s="94" t="n"/>
      <c r="AL1693" s="84" t="n"/>
    </row>
    <row r="1694">
      <c r="A1694" s="64" t="n"/>
      <c r="B1694" s="65" t="n"/>
      <c r="C1694" s="66" t="n"/>
      <c r="D1694" s="67" t="n"/>
      <c r="E1694" s="68" t="n"/>
      <c r="F1694" s="47">
        <f>IF(A1694="","",IF(MIN(H1694,MAX(J1694:K1694))=0,"",MIN(H1694,MAX(J1694:K1694))))</f>
        <v/>
      </c>
      <c r="G1694" s="74" t="n"/>
      <c r="H1694" s="49">
        <f>IF(M1694="","",IFERROR(ROUND(AVERAGE(T1694+M1694*{7,8,9,10,11})/1.21,4),""))</f>
        <v/>
      </c>
      <c r="I1694" s="76" t="n"/>
      <c r="J1694" s="77" t="n"/>
      <c r="K1694" s="74" t="n"/>
      <c r="L1694" s="78" t="n"/>
      <c r="M1694" s="77" t="n"/>
      <c r="N1694" s="53">
        <f>IF(M1694="","",IFERROR(M1694/I1694,""))</f>
        <v/>
      </c>
      <c r="O1694" s="50">
        <f>IF(A1694="","",IFERROR((IF(G1694="",I1694,G1694)-T1694)/M1694,""))</f>
        <v/>
      </c>
      <c r="P1694" s="50">
        <f>IFERROR((I1694/T1694-1)/N1694,"")</f>
        <v/>
      </c>
      <c r="Q1694" s="46">
        <f>IF(OR(T1694="",I1694&lt;T1694),"",IFERROR(R1694/IF(G1694="",I1694,G1694)-1,""))</f>
        <v/>
      </c>
      <c r="R1694" s="48">
        <f>IF($M1694="","",MAX(IF($G1694="",$I1694,$G1694)*(1/1.1),IF($G1694="",$I1694,$G1694)+(R$2*$M1694)))</f>
        <v/>
      </c>
      <c r="S1694" s="49">
        <f>IF($M1694="","",MAX(IF($G1694="",$I1694,$G1694)*(1/1.1),IF($G1694="",$I1694,$G1694)+(S$2*$M1694)))</f>
        <v/>
      </c>
      <c r="T1694" s="82" t="n"/>
      <c r="U1694" s="47">
        <f>IF(OR($M1694="",$T1694=""),"",$T1694+(U$2*$M1694))</f>
        <v/>
      </c>
      <c r="V1694" s="48">
        <f>IF(OR($M1694="",$T1694=""),"",$T1694+(V$2*$M1694))</f>
        <v/>
      </c>
      <c r="W1694" s="48">
        <f>IF(OR($M1694="",$T1694=""),"",$T1694+(W$2*$M1694))</f>
        <v/>
      </c>
      <c r="X1694" s="49">
        <f>IF(OR($M1694="",$T1694=""),"",$T1694+(X$2*$M1694))</f>
        <v/>
      </c>
      <c r="Y1694" s="47">
        <f>IF(OR($M1694="",$T1694=""),"",$T1694+(Y$2*$M1694))</f>
        <v/>
      </c>
      <c r="Z1694" s="49">
        <f>IF(OR($M1694="",$T1694=""),"",$T1694+(Z$2*$M1694))</f>
        <v/>
      </c>
      <c r="AA1694" s="51">
        <f>IF(OR($M1694="",$T1694=""),"",$T1694+(AA$2*$M1694))</f>
        <v/>
      </c>
      <c r="AB1694" s="48">
        <f>IF(OR($M1694="",$T1694=""),"",$T1694+(AB$2*$M1694))</f>
        <v/>
      </c>
      <c r="AC1694" s="48">
        <f>IF(OR($M1694="",$T1694=""),"",$T1694+(AC$2*$M1694))</f>
        <v/>
      </c>
      <c r="AD1694" s="48">
        <f>IF(OR($M1694="",$T1694=""),"",$T1694+(AD$2*$M1694))</f>
        <v/>
      </c>
      <c r="AE1694" s="49">
        <f>IF(OR($M1694="",$T1694=""),"",$T1694+(AE$2*$M1694))</f>
        <v/>
      </c>
      <c r="AF1694" s="52">
        <f>IF(OR(T1694="",I1694&lt;T1694),"",IFERROR(AVERAGE(T1694+M1694*{7,8,9,10,11})/IF(G1694="",I1694,G1694)-1,""))</f>
        <v/>
      </c>
      <c r="AG1694" s="55">
        <f>IF(OR(T1694="",I1694&lt;T1694),"",IFERROR(AF1694/-(R1694/IF(G1694="",I1694,G1694)-1),""))</f>
        <v/>
      </c>
      <c r="AH1694" s="94" t="n"/>
      <c r="AI1694" s="94" t="n"/>
      <c r="AJ1694" s="94" t="n"/>
      <c r="AK1694" s="94" t="n"/>
      <c r="AL1694" s="84" t="n"/>
    </row>
    <row r="1695">
      <c r="A1695" s="64" t="n"/>
      <c r="B1695" s="65" t="n"/>
      <c r="C1695" s="66" t="n"/>
      <c r="D1695" s="67" t="n"/>
      <c r="E1695" s="68" t="n"/>
      <c r="F1695" s="47">
        <f>IF(A1695="","",IF(MIN(H1695,MAX(J1695:K1695))=0,"",MIN(H1695,MAX(J1695:K1695))))</f>
        <v/>
      </c>
      <c r="G1695" s="74" t="n"/>
      <c r="H1695" s="49">
        <f>IF(M1695="","",IFERROR(ROUND(AVERAGE(T1695+M1695*{7,8,9,10,11})/1.21,4),""))</f>
        <v/>
      </c>
      <c r="I1695" s="76" t="n"/>
      <c r="J1695" s="77" t="n"/>
      <c r="K1695" s="74" t="n"/>
      <c r="L1695" s="78" t="n"/>
      <c r="M1695" s="77" t="n"/>
      <c r="N1695" s="53">
        <f>IF(M1695="","",IFERROR(M1695/I1695,""))</f>
        <v/>
      </c>
      <c r="O1695" s="50">
        <f>IF(A1695="","",IFERROR((IF(G1695="",I1695,G1695)-T1695)/M1695,""))</f>
        <v/>
      </c>
      <c r="P1695" s="50">
        <f>IFERROR((I1695/T1695-1)/N1695,"")</f>
        <v/>
      </c>
      <c r="Q1695" s="46">
        <f>IF(OR(T1695="",I1695&lt;T1695),"",IFERROR(R1695/IF(G1695="",I1695,G1695)-1,""))</f>
        <v/>
      </c>
      <c r="R1695" s="48">
        <f>IF($M1695="","",MAX(IF($G1695="",$I1695,$G1695)*(1/1.1),IF($G1695="",$I1695,$G1695)+(R$2*$M1695)))</f>
        <v/>
      </c>
      <c r="S1695" s="49">
        <f>IF($M1695="","",MAX(IF($G1695="",$I1695,$G1695)*(1/1.1),IF($G1695="",$I1695,$G1695)+(S$2*$M1695)))</f>
        <v/>
      </c>
      <c r="T1695" s="82" t="n"/>
      <c r="U1695" s="47">
        <f>IF(OR($M1695="",$T1695=""),"",$T1695+(U$2*$M1695))</f>
        <v/>
      </c>
      <c r="V1695" s="48">
        <f>IF(OR($M1695="",$T1695=""),"",$T1695+(V$2*$M1695))</f>
        <v/>
      </c>
      <c r="W1695" s="48">
        <f>IF(OR($M1695="",$T1695=""),"",$T1695+(W$2*$M1695))</f>
        <v/>
      </c>
      <c r="X1695" s="49">
        <f>IF(OR($M1695="",$T1695=""),"",$T1695+(X$2*$M1695))</f>
        <v/>
      </c>
      <c r="Y1695" s="47">
        <f>IF(OR($M1695="",$T1695=""),"",$T1695+(Y$2*$M1695))</f>
        <v/>
      </c>
      <c r="Z1695" s="49">
        <f>IF(OR($M1695="",$T1695=""),"",$T1695+(Z$2*$M1695))</f>
        <v/>
      </c>
      <c r="AA1695" s="51">
        <f>IF(OR($M1695="",$T1695=""),"",$T1695+(AA$2*$M1695))</f>
        <v/>
      </c>
      <c r="AB1695" s="48">
        <f>IF(OR($M1695="",$T1695=""),"",$T1695+(AB$2*$M1695))</f>
        <v/>
      </c>
      <c r="AC1695" s="48">
        <f>IF(OR($M1695="",$T1695=""),"",$T1695+(AC$2*$M1695))</f>
        <v/>
      </c>
      <c r="AD1695" s="48">
        <f>IF(OR($M1695="",$T1695=""),"",$T1695+(AD$2*$M1695))</f>
        <v/>
      </c>
      <c r="AE1695" s="49">
        <f>IF(OR($M1695="",$T1695=""),"",$T1695+(AE$2*$M1695))</f>
        <v/>
      </c>
      <c r="AF1695" s="52">
        <f>IF(OR(T1695="",I1695&lt;T1695),"",IFERROR(AVERAGE(T1695+M1695*{7,8,9,10,11})/IF(G1695="",I1695,G1695)-1,""))</f>
        <v/>
      </c>
      <c r="AG1695" s="55">
        <f>IF(OR(T1695="",I1695&lt;T1695),"",IFERROR(AF1695/-(R1695/IF(G1695="",I1695,G1695)-1),""))</f>
        <v/>
      </c>
      <c r="AH1695" s="94" t="n"/>
      <c r="AI1695" s="94" t="n"/>
      <c r="AJ1695" s="94" t="n"/>
      <c r="AK1695" s="94" t="n"/>
      <c r="AL1695" s="84" t="n"/>
    </row>
    <row r="1696">
      <c r="A1696" s="64" t="n"/>
      <c r="B1696" s="65" t="n"/>
      <c r="C1696" s="66" t="n"/>
      <c r="D1696" s="67" t="n"/>
      <c r="E1696" s="68" t="n"/>
      <c r="F1696" s="47">
        <f>IF(A1696="","",IF(MIN(H1696,MAX(J1696:K1696))=0,"",MIN(H1696,MAX(J1696:K1696))))</f>
        <v/>
      </c>
      <c r="G1696" s="74" t="n"/>
      <c r="H1696" s="49">
        <f>IF(M1696="","",IFERROR(ROUND(AVERAGE(T1696+M1696*{7,8,9,10,11})/1.21,4),""))</f>
        <v/>
      </c>
      <c r="I1696" s="76" t="n"/>
      <c r="J1696" s="77" t="n"/>
      <c r="K1696" s="74" t="n"/>
      <c r="L1696" s="78" t="n"/>
      <c r="M1696" s="77" t="n"/>
      <c r="N1696" s="53">
        <f>IF(M1696="","",IFERROR(M1696/I1696,""))</f>
        <v/>
      </c>
      <c r="O1696" s="50">
        <f>IF(A1696="","",IFERROR((IF(G1696="",I1696,G1696)-T1696)/M1696,""))</f>
        <v/>
      </c>
      <c r="P1696" s="50">
        <f>IFERROR((I1696/T1696-1)/N1696,"")</f>
        <v/>
      </c>
      <c r="Q1696" s="46">
        <f>IF(OR(T1696="",I1696&lt;T1696),"",IFERROR(R1696/IF(G1696="",I1696,G1696)-1,""))</f>
        <v/>
      </c>
      <c r="R1696" s="48">
        <f>IF($M1696="","",MAX(IF($G1696="",$I1696,$G1696)*(1/1.1),IF($G1696="",$I1696,$G1696)+(R$2*$M1696)))</f>
        <v/>
      </c>
      <c r="S1696" s="49">
        <f>IF($M1696="","",MAX(IF($G1696="",$I1696,$G1696)*(1/1.1),IF($G1696="",$I1696,$G1696)+(S$2*$M1696)))</f>
        <v/>
      </c>
      <c r="T1696" s="82" t="n"/>
      <c r="U1696" s="47">
        <f>IF(OR($M1696="",$T1696=""),"",$T1696+(U$2*$M1696))</f>
        <v/>
      </c>
      <c r="V1696" s="48">
        <f>IF(OR($M1696="",$T1696=""),"",$T1696+(V$2*$M1696))</f>
        <v/>
      </c>
      <c r="W1696" s="48">
        <f>IF(OR($M1696="",$T1696=""),"",$T1696+(W$2*$M1696))</f>
        <v/>
      </c>
      <c r="X1696" s="49">
        <f>IF(OR($M1696="",$T1696=""),"",$T1696+(X$2*$M1696))</f>
        <v/>
      </c>
      <c r="Y1696" s="47">
        <f>IF(OR($M1696="",$T1696=""),"",$T1696+(Y$2*$M1696))</f>
        <v/>
      </c>
      <c r="Z1696" s="49">
        <f>IF(OR($M1696="",$T1696=""),"",$T1696+(Z$2*$M1696))</f>
        <v/>
      </c>
      <c r="AA1696" s="51">
        <f>IF(OR($M1696="",$T1696=""),"",$T1696+(AA$2*$M1696))</f>
        <v/>
      </c>
      <c r="AB1696" s="48">
        <f>IF(OR($M1696="",$T1696=""),"",$T1696+(AB$2*$M1696))</f>
        <v/>
      </c>
      <c r="AC1696" s="48">
        <f>IF(OR($M1696="",$T1696=""),"",$T1696+(AC$2*$M1696))</f>
        <v/>
      </c>
      <c r="AD1696" s="48">
        <f>IF(OR($M1696="",$T1696=""),"",$T1696+(AD$2*$M1696))</f>
        <v/>
      </c>
      <c r="AE1696" s="49">
        <f>IF(OR($M1696="",$T1696=""),"",$T1696+(AE$2*$M1696))</f>
        <v/>
      </c>
      <c r="AF1696" s="52">
        <f>IF(OR(T1696="",I1696&lt;T1696),"",IFERROR(AVERAGE(T1696+M1696*{7,8,9,10,11})/IF(G1696="",I1696,G1696)-1,""))</f>
        <v/>
      </c>
      <c r="AG1696" s="55">
        <f>IF(OR(T1696="",I1696&lt;T1696),"",IFERROR(AF1696/-(R1696/IF(G1696="",I1696,G1696)-1),""))</f>
        <v/>
      </c>
      <c r="AH1696" s="94" t="n"/>
      <c r="AI1696" s="94" t="n"/>
      <c r="AJ1696" s="94" t="n"/>
      <c r="AK1696" s="94" t="n"/>
      <c r="AL1696" s="84" t="n"/>
    </row>
    <row r="1697">
      <c r="A1697" s="64" t="n"/>
      <c r="B1697" s="65" t="n"/>
      <c r="C1697" s="66" t="n"/>
      <c r="D1697" s="67" t="n"/>
      <c r="E1697" s="68" t="n"/>
      <c r="F1697" s="47">
        <f>IF(A1697="","",IF(MIN(H1697,MAX(J1697:K1697))=0,"",MIN(H1697,MAX(J1697:K1697))))</f>
        <v/>
      </c>
      <c r="G1697" s="74" t="n"/>
      <c r="H1697" s="49">
        <f>IF(M1697="","",IFERROR(ROUND(AVERAGE(T1697+M1697*{7,8,9,10,11})/1.21,4),""))</f>
        <v/>
      </c>
      <c r="I1697" s="76" t="n"/>
      <c r="J1697" s="77" t="n"/>
      <c r="K1697" s="74" t="n"/>
      <c r="L1697" s="78" t="n"/>
      <c r="M1697" s="77" t="n"/>
      <c r="N1697" s="53">
        <f>IF(M1697="","",IFERROR(M1697/I1697,""))</f>
        <v/>
      </c>
      <c r="O1697" s="50">
        <f>IF(A1697="","",IFERROR((IF(G1697="",I1697,G1697)-T1697)/M1697,""))</f>
        <v/>
      </c>
      <c r="P1697" s="50">
        <f>IFERROR((I1697/T1697-1)/N1697,"")</f>
        <v/>
      </c>
      <c r="Q1697" s="46">
        <f>IF(OR(T1697="",I1697&lt;T1697),"",IFERROR(R1697/IF(G1697="",I1697,G1697)-1,""))</f>
        <v/>
      </c>
      <c r="R1697" s="48">
        <f>IF($M1697="","",MAX(IF($G1697="",$I1697,$G1697)*(1/1.1),IF($G1697="",$I1697,$G1697)+(R$2*$M1697)))</f>
        <v/>
      </c>
      <c r="S1697" s="49">
        <f>IF($M1697="","",MAX(IF($G1697="",$I1697,$G1697)*(1/1.1),IF($G1697="",$I1697,$G1697)+(S$2*$M1697)))</f>
        <v/>
      </c>
      <c r="T1697" s="82" t="n"/>
      <c r="U1697" s="47">
        <f>IF(OR($M1697="",$T1697=""),"",$T1697+(U$2*$M1697))</f>
        <v/>
      </c>
      <c r="V1697" s="48">
        <f>IF(OR($M1697="",$T1697=""),"",$T1697+(V$2*$M1697))</f>
        <v/>
      </c>
      <c r="W1697" s="48">
        <f>IF(OR($M1697="",$T1697=""),"",$T1697+(W$2*$M1697))</f>
        <v/>
      </c>
      <c r="X1697" s="49">
        <f>IF(OR($M1697="",$T1697=""),"",$T1697+(X$2*$M1697))</f>
        <v/>
      </c>
      <c r="Y1697" s="47">
        <f>IF(OR($M1697="",$T1697=""),"",$T1697+(Y$2*$M1697))</f>
        <v/>
      </c>
      <c r="Z1697" s="49">
        <f>IF(OR($M1697="",$T1697=""),"",$T1697+(Z$2*$M1697))</f>
        <v/>
      </c>
      <c r="AA1697" s="51">
        <f>IF(OR($M1697="",$T1697=""),"",$T1697+(AA$2*$M1697))</f>
        <v/>
      </c>
      <c r="AB1697" s="48">
        <f>IF(OR($M1697="",$T1697=""),"",$T1697+(AB$2*$M1697))</f>
        <v/>
      </c>
      <c r="AC1697" s="48">
        <f>IF(OR($M1697="",$T1697=""),"",$T1697+(AC$2*$M1697))</f>
        <v/>
      </c>
      <c r="AD1697" s="48">
        <f>IF(OR($M1697="",$T1697=""),"",$T1697+(AD$2*$M1697))</f>
        <v/>
      </c>
      <c r="AE1697" s="49">
        <f>IF(OR($M1697="",$T1697=""),"",$T1697+(AE$2*$M1697))</f>
        <v/>
      </c>
      <c r="AF1697" s="52">
        <f>IF(OR(T1697="",I1697&lt;T1697),"",IFERROR(AVERAGE(T1697+M1697*{7,8,9,10,11})/IF(G1697="",I1697,G1697)-1,""))</f>
        <v/>
      </c>
      <c r="AG1697" s="55">
        <f>IF(OR(T1697="",I1697&lt;T1697),"",IFERROR(AF1697/-(R1697/IF(G1697="",I1697,G1697)-1),""))</f>
        <v/>
      </c>
      <c r="AH1697" s="94" t="n"/>
      <c r="AI1697" s="94" t="n"/>
      <c r="AJ1697" s="94" t="n"/>
      <c r="AK1697" s="94" t="n"/>
      <c r="AL1697" s="84" t="n"/>
    </row>
    <row r="1698">
      <c r="A1698" s="64" t="n"/>
      <c r="B1698" s="65" t="n"/>
      <c r="C1698" s="66" t="n"/>
      <c r="D1698" s="67" t="n"/>
      <c r="E1698" s="68" t="n"/>
      <c r="F1698" s="47">
        <f>IF(A1698="","",IF(MIN(H1698,MAX(J1698:K1698))=0,"",MIN(H1698,MAX(J1698:K1698))))</f>
        <v/>
      </c>
      <c r="G1698" s="74" t="n"/>
      <c r="H1698" s="49">
        <f>IF(M1698="","",IFERROR(ROUND(AVERAGE(T1698+M1698*{7,8,9,10,11})/1.21,4),""))</f>
        <v/>
      </c>
      <c r="I1698" s="76" t="n"/>
      <c r="J1698" s="77" t="n"/>
      <c r="K1698" s="74" t="n"/>
      <c r="L1698" s="78" t="n"/>
      <c r="M1698" s="77" t="n"/>
      <c r="N1698" s="53">
        <f>IF(M1698="","",IFERROR(M1698/I1698,""))</f>
        <v/>
      </c>
      <c r="O1698" s="50">
        <f>IF(A1698="","",IFERROR((IF(G1698="",I1698,G1698)-T1698)/M1698,""))</f>
        <v/>
      </c>
      <c r="P1698" s="50">
        <f>IFERROR((I1698/T1698-1)/N1698,"")</f>
        <v/>
      </c>
      <c r="Q1698" s="46">
        <f>IF(OR(T1698="",I1698&lt;T1698),"",IFERROR(R1698/IF(G1698="",I1698,G1698)-1,""))</f>
        <v/>
      </c>
      <c r="R1698" s="48">
        <f>IF($M1698="","",MAX(IF($G1698="",$I1698,$G1698)*(1/1.1),IF($G1698="",$I1698,$G1698)+(R$2*$M1698)))</f>
        <v/>
      </c>
      <c r="S1698" s="49">
        <f>IF($M1698="","",MAX(IF($G1698="",$I1698,$G1698)*(1/1.1),IF($G1698="",$I1698,$G1698)+(S$2*$M1698)))</f>
        <v/>
      </c>
      <c r="T1698" s="82" t="n"/>
      <c r="U1698" s="47">
        <f>IF(OR($M1698="",$T1698=""),"",$T1698+(U$2*$M1698))</f>
        <v/>
      </c>
      <c r="V1698" s="48">
        <f>IF(OR($M1698="",$T1698=""),"",$T1698+(V$2*$M1698))</f>
        <v/>
      </c>
      <c r="W1698" s="48">
        <f>IF(OR($M1698="",$T1698=""),"",$T1698+(W$2*$M1698))</f>
        <v/>
      </c>
      <c r="X1698" s="49">
        <f>IF(OR($M1698="",$T1698=""),"",$T1698+(X$2*$M1698))</f>
        <v/>
      </c>
      <c r="Y1698" s="47">
        <f>IF(OR($M1698="",$T1698=""),"",$T1698+(Y$2*$M1698))</f>
        <v/>
      </c>
      <c r="Z1698" s="49">
        <f>IF(OR($M1698="",$T1698=""),"",$T1698+(Z$2*$M1698))</f>
        <v/>
      </c>
      <c r="AA1698" s="51">
        <f>IF(OR($M1698="",$T1698=""),"",$T1698+(AA$2*$M1698))</f>
        <v/>
      </c>
      <c r="AB1698" s="48">
        <f>IF(OR($M1698="",$T1698=""),"",$T1698+(AB$2*$M1698))</f>
        <v/>
      </c>
      <c r="AC1698" s="48">
        <f>IF(OR($M1698="",$T1698=""),"",$T1698+(AC$2*$M1698))</f>
        <v/>
      </c>
      <c r="AD1698" s="48">
        <f>IF(OR($M1698="",$T1698=""),"",$T1698+(AD$2*$M1698))</f>
        <v/>
      </c>
      <c r="AE1698" s="49">
        <f>IF(OR($M1698="",$T1698=""),"",$T1698+(AE$2*$M1698))</f>
        <v/>
      </c>
      <c r="AF1698" s="52">
        <f>IF(OR(T1698="",I1698&lt;T1698),"",IFERROR(AVERAGE(T1698+M1698*{7,8,9,10,11})/IF(G1698="",I1698,G1698)-1,""))</f>
        <v/>
      </c>
      <c r="AG1698" s="55">
        <f>IF(OR(T1698="",I1698&lt;T1698),"",IFERROR(AF1698/-(R1698/IF(G1698="",I1698,G1698)-1),""))</f>
        <v/>
      </c>
      <c r="AH1698" s="94" t="n"/>
      <c r="AI1698" s="94" t="n"/>
      <c r="AJ1698" s="94" t="n"/>
      <c r="AK1698" s="94" t="n"/>
      <c r="AL1698" s="84" t="n"/>
    </row>
    <row r="1699">
      <c r="A1699" s="64" t="n"/>
      <c r="B1699" s="65" t="n"/>
      <c r="C1699" s="66" t="n"/>
      <c r="D1699" s="67" t="n"/>
      <c r="E1699" s="68" t="n"/>
      <c r="F1699" s="47">
        <f>IF(A1699="","",IF(MIN(H1699,MAX(J1699:K1699))=0,"",MIN(H1699,MAX(J1699:K1699))))</f>
        <v/>
      </c>
      <c r="G1699" s="74" t="n"/>
      <c r="H1699" s="49">
        <f>IF(M1699="","",IFERROR(ROUND(AVERAGE(T1699+M1699*{7,8,9,10,11})/1.21,4),""))</f>
        <v/>
      </c>
      <c r="I1699" s="76" t="n"/>
      <c r="J1699" s="77" t="n"/>
      <c r="K1699" s="74" t="n"/>
      <c r="L1699" s="78" t="n"/>
      <c r="M1699" s="77" t="n"/>
      <c r="N1699" s="53">
        <f>IF(M1699="","",IFERROR(M1699/I1699,""))</f>
        <v/>
      </c>
      <c r="O1699" s="50">
        <f>IF(A1699="","",IFERROR((IF(G1699="",I1699,G1699)-T1699)/M1699,""))</f>
        <v/>
      </c>
      <c r="P1699" s="50">
        <f>IFERROR((I1699/T1699-1)/N1699,"")</f>
        <v/>
      </c>
      <c r="Q1699" s="46">
        <f>IF(OR(T1699="",I1699&lt;T1699),"",IFERROR(R1699/IF(G1699="",I1699,G1699)-1,""))</f>
        <v/>
      </c>
      <c r="R1699" s="48">
        <f>IF($M1699="","",MAX(IF($G1699="",$I1699,$G1699)*(1/1.1),IF($G1699="",$I1699,$G1699)+(R$2*$M1699)))</f>
        <v/>
      </c>
      <c r="S1699" s="49">
        <f>IF($M1699="","",MAX(IF($G1699="",$I1699,$G1699)*(1/1.1),IF($G1699="",$I1699,$G1699)+(S$2*$M1699)))</f>
        <v/>
      </c>
      <c r="T1699" s="82" t="n"/>
      <c r="U1699" s="47">
        <f>IF(OR($M1699="",$T1699=""),"",$T1699+(U$2*$M1699))</f>
        <v/>
      </c>
      <c r="V1699" s="48">
        <f>IF(OR($M1699="",$T1699=""),"",$T1699+(V$2*$M1699))</f>
        <v/>
      </c>
      <c r="W1699" s="48">
        <f>IF(OR($M1699="",$T1699=""),"",$T1699+(W$2*$M1699))</f>
        <v/>
      </c>
      <c r="X1699" s="49">
        <f>IF(OR($M1699="",$T1699=""),"",$T1699+(X$2*$M1699))</f>
        <v/>
      </c>
      <c r="Y1699" s="47">
        <f>IF(OR($M1699="",$T1699=""),"",$T1699+(Y$2*$M1699))</f>
        <v/>
      </c>
      <c r="Z1699" s="49">
        <f>IF(OR($M1699="",$T1699=""),"",$T1699+(Z$2*$M1699))</f>
        <v/>
      </c>
      <c r="AA1699" s="51">
        <f>IF(OR($M1699="",$T1699=""),"",$T1699+(AA$2*$M1699))</f>
        <v/>
      </c>
      <c r="AB1699" s="48">
        <f>IF(OR($M1699="",$T1699=""),"",$T1699+(AB$2*$M1699))</f>
        <v/>
      </c>
      <c r="AC1699" s="48">
        <f>IF(OR($M1699="",$T1699=""),"",$T1699+(AC$2*$M1699))</f>
        <v/>
      </c>
      <c r="AD1699" s="48">
        <f>IF(OR($M1699="",$T1699=""),"",$T1699+(AD$2*$M1699))</f>
        <v/>
      </c>
      <c r="AE1699" s="49">
        <f>IF(OR($M1699="",$T1699=""),"",$T1699+(AE$2*$M1699))</f>
        <v/>
      </c>
      <c r="AF1699" s="52">
        <f>IF(OR(T1699="",I1699&lt;T1699),"",IFERROR(AVERAGE(T1699+M1699*{7,8,9,10,11})/IF(G1699="",I1699,G1699)-1,""))</f>
        <v/>
      </c>
      <c r="AG1699" s="55">
        <f>IF(OR(T1699="",I1699&lt;T1699),"",IFERROR(AF1699/-(R1699/IF(G1699="",I1699,G1699)-1),""))</f>
        <v/>
      </c>
      <c r="AH1699" s="94" t="n"/>
      <c r="AI1699" s="94" t="n"/>
      <c r="AJ1699" s="94" t="n"/>
      <c r="AK1699" s="94" t="n"/>
      <c r="AL1699" s="84" t="n"/>
    </row>
    <row r="1700">
      <c r="A1700" s="64" t="n"/>
      <c r="B1700" s="65" t="n"/>
      <c r="C1700" s="66" t="n"/>
      <c r="D1700" s="67" t="n"/>
      <c r="E1700" s="68" t="n"/>
      <c r="F1700" s="47">
        <f>IF(A1700="","",IF(MIN(H1700,MAX(J1700:K1700))=0,"",MIN(H1700,MAX(J1700:K1700))))</f>
        <v/>
      </c>
      <c r="G1700" s="74" t="n"/>
      <c r="H1700" s="49">
        <f>IF(M1700="","",IFERROR(ROUND(AVERAGE(T1700+M1700*{7,8,9,10,11})/1.21,4),""))</f>
        <v/>
      </c>
      <c r="I1700" s="76" t="n"/>
      <c r="J1700" s="77" t="n"/>
      <c r="K1700" s="74" t="n"/>
      <c r="L1700" s="78" t="n"/>
      <c r="M1700" s="77" t="n"/>
      <c r="N1700" s="53">
        <f>IF(M1700="","",IFERROR(M1700/I1700,""))</f>
        <v/>
      </c>
      <c r="O1700" s="50">
        <f>IF(A1700="","",IFERROR((IF(G1700="",I1700,G1700)-T1700)/M1700,""))</f>
        <v/>
      </c>
      <c r="P1700" s="50">
        <f>IFERROR((I1700/T1700-1)/N1700,"")</f>
        <v/>
      </c>
      <c r="Q1700" s="46">
        <f>IF(OR(T1700="",I1700&lt;T1700),"",IFERROR(R1700/IF(G1700="",I1700,G1700)-1,""))</f>
        <v/>
      </c>
      <c r="R1700" s="48">
        <f>IF($M1700="","",MAX(IF($G1700="",$I1700,$G1700)*(1/1.1),IF($G1700="",$I1700,$G1700)+(R$2*$M1700)))</f>
        <v/>
      </c>
      <c r="S1700" s="49">
        <f>IF($M1700="","",MAX(IF($G1700="",$I1700,$G1700)*(1/1.1),IF($G1700="",$I1700,$G1700)+(S$2*$M1700)))</f>
        <v/>
      </c>
      <c r="T1700" s="82" t="n"/>
      <c r="U1700" s="47">
        <f>IF(OR($M1700="",$T1700=""),"",$T1700+(U$2*$M1700))</f>
        <v/>
      </c>
      <c r="V1700" s="48">
        <f>IF(OR($M1700="",$T1700=""),"",$T1700+(V$2*$M1700))</f>
        <v/>
      </c>
      <c r="W1700" s="48">
        <f>IF(OR($M1700="",$T1700=""),"",$T1700+(W$2*$M1700))</f>
        <v/>
      </c>
      <c r="X1700" s="49">
        <f>IF(OR($M1700="",$T1700=""),"",$T1700+(X$2*$M1700))</f>
        <v/>
      </c>
      <c r="Y1700" s="47">
        <f>IF(OR($M1700="",$T1700=""),"",$T1700+(Y$2*$M1700))</f>
        <v/>
      </c>
      <c r="Z1700" s="49">
        <f>IF(OR($M1700="",$T1700=""),"",$T1700+(Z$2*$M1700))</f>
        <v/>
      </c>
      <c r="AA1700" s="51">
        <f>IF(OR($M1700="",$T1700=""),"",$T1700+(AA$2*$M1700))</f>
        <v/>
      </c>
      <c r="AB1700" s="48">
        <f>IF(OR($M1700="",$T1700=""),"",$T1700+(AB$2*$M1700))</f>
        <v/>
      </c>
      <c r="AC1700" s="48">
        <f>IF(OR($M1700="",$T1700=""),"",$T1700+(AC$2*$M1700))</f>
        <v/>
      </c>
      <c r="AD1700" s="48">
        <f>IF(OR($M1700="",$T1700=""),"",$T1700+(AD$2*$M1700))</f>
        <v/>
      </c>
      <c r="AE1700" s="49">
        <f>IF(OR($M1700="",$T1700=""),"",$T1700+(AE$2*$M1700))</f>
        <v/>
      </c>
      <c r="AF1700" s="52">
        <f>IF(OR(T1700="",I1700&lt;T1700),"",IFERROR(AVERAGE(T1700+M1700*{7,8,9,10,11})/IF(G1700="",I1700,G1700)-1,""))</f>
        <v/>
      </c>
      <c r="AG1700" s="55">
        <f>IF(OR(T1700="",I1700&lt;T1700),"",IFERROR(AF1700/-(R1700/IF(G1700="",I1700,G1700)-1),""))</f>
        <v/>
      </c>
      <c r="AH1700" s="94" t="n"/>
      <c r="AI1700" s="94" t="n"/>
      <c r="AJ1700" s="94" t="n"/>
      <c r="AK1700" s="94" t="n"/>
      <c r="AL1700" s="84" t="n"/>
    </row>
    <row r="1701">
      <c r="A1701" s="64" t="n"/>
      <c r="B1701" s="65" t="n"/>
      <c r="C1701" s="66" t="n"/>
      <c r="D1701" s="67" t="n"/>
      <c r="E1701" s="68" t="n"/>
      <c r="F1701" s="47">
        <f>IF(A1701="","",IF(MIN(H1701,MAX(J1701:K1701))=0,"",MIN(H1701,MAX(J1701:K1701))))</f>
        <v/>
      </c>
      <c r="G1701" s="74" t="n"/>
      <c r="H1701" s="49">
        <f>IF(M1701="","",IFERROR(ROUND(AVERAGE(T1701+M1701*{7,8,9,10,11})/1.21,4),""))</f>
        <v/>
      </c>
      <c r="I1701" s="76" t="n"/>
      <c r="J1701" s="77" t="n"/>
      <c r="K1701" s="74" t="n"/>
      <c r="L1701" s="78" t="n"/>
      <c r="M1701" s="77" t="n"/>
      <c r="N1701" s="53">
        <f>IF(M1701="","",IFERROR(M1701/I1701,""))</f>
        <v/>
      </c>
      <c r="O1701" s="50">
        <f>IF(A1701="","",IFERROR((IF(G1701="",I1701,G1701)-T1701)/M1701,""))</f>
        <v/>
      </c>
      <c r="P1701" s="50">
        <f>IFERROR((I1701/T1701-1)/N1701,"")</f>
        <v/>
      </c>
      <c r="Q1701" s="46">
        <f>IF(OR(T1701="",I1701&lt;T1701),"",IFERROR(R1701/IF(G1701="",I1701,G1701)-1,""))</f>
        <v/>
      </c>
      <c r="R1701" s="48">
        <f>IF($M1701="","",MAX(IF($G1701="",$I1701,$G1701)*(1/1.1),IF($G1701="",$I1701,$G1701)+(R$2*$M1701)))</f>
        <v/>
      </c>
      <c r="S1701" s="49">
        <f>IF($M1701="","",MAX(IF($G1701="",$I1701,$G1701)*(1/1.1),IF($G1701="",$I1701,$G1701)+(S$2*$M1701)))</f>
        <v/>
      </c>
      <c r="T1701" s="82" t="n"/>
      <c r="U1701" s="47">
        <f>IF(OR($M1701="",$T1701=""),"",$T1701+(U$2*$M1701))</f>
        <v/>
      </c>
      <c r="V1701" s="48">
        <f>IF(OR($M1701="",$T1701=""),"",$T1701+(V$2*$M1701))</f>
        <v/>
      </c>
      <c r="W1701" s="48">
        <f>IF(OR($M1701="",$T1701=""),"",$T1701+(W$2*$M1701))</f>
        <v/>
      </c>
      <c r="X1701" s="49">
        <f>IF(OR($M1701="",$T1701=""),"",$T1701+(X$2*$M1701))</f>
        <v/>
      </c>
      <c r="Y1701" s="47">
        <f>IF(OR($M1701="",$T1701=""),"",$T1701+(Y$2*$M1701))</f>
        <v/>
      </c>
      <c r="Z1701" s="49">
        <f>IF(OR($M1701="",$T1701=""),"",$T1701+(Z$2*$M1701))</f>
        <v/>
      </c>
      <c r="AA1701" s="51">
        <f>IF(OR($M1701="",$T1701=""),"",$T1701+(AA$2*$M1701))</f>
        <v/>
      </c>
      <c r="AB1701" s="48">
        <f>IF(OR($M1701="",$T1701=""),"",$T1701+(AB$2*$M1701))</f>
        <v/>
      </c>
      <c r="AC1701" s="48">
        <f>IF(OR($M1701="",$T1701=""),"",$T1701+(AC$2*$M1701))</f>
        <v/>
      </c>
      <c r="AD1701" s="48">
        <f>IF(OR($M1701="",$T1701=""),"",$T1701+(AD$2*$M1701))</f>
        <v/>
      </c>
      <c r="AE1701" s="49">
        <f>IF(OR($M1701="",$T1701=""),"",$T1701+(AE$2*$M1701))</f>
        <v/>
      </c>
      <c r="AF1701" s="52">
        <f>IF(OR(T1701="",I1701&lt;T1701),"",IFERROR(AVERAGE(T1701+M1701*{7,8,9,10,11})/IF(G1701="",I1701,G1701)-1,""))</f>
        <v/>
      </c>
      <c r="AG1701" s="55">
        <f>IF(OR(T1701="",I1701&lt;T1701),"",IFERROR(AF1701/-(R1701/IF(G1701="",I1701,G1701)-1),""))</f>
        <v/>
      </c>
      <c r="AH1701" s="94" t="n"/>
      <c r="AI1701" s="94" t="n"/>
      <c r="AJ1701" s="94" t="n"/>
      <c r="AK1701" s="94" t="n"/>
      <c r="AL1701" s="84" t="n"/>
    </row>
    <row r="1702">
      <c r="A1702" s="64" t="n"/>
      <c r="B1702" s="65" t="n"/>
      <c r="C1702" s="66" t="n"/>
      <c r="D1702" s="67" t="n"/>
      <c r="E1702" s="68" t="n"/>
      <c r="F1702" s="47">
        <f>IF(A1702="","",IF(MIN(H1702,MAX(J1702:K1702))=0,"",MIN(H1702,MAX(J1702:K1702))))</f>
        <v/>
      </c>
      <c r="G1702" s="74" t="n"/>
      <c r="H1702" s="49">
        <f>IF(M1702="","",IFERROR(ROUND(AVERAGE(T1702+M1702*{7,8,9,10,11})/1.21,4),""))</f>
        <v/>
      </c>
      <c r="I1702" s="76" t="n"/>
      <c r="J1702" s="77" t="n"/>
      <c r="K1702" s="74" t="n"/>
      <c r="L1702" s="78" t="n"/>
      <c r="M1702" s="77" t="n"/>
      <c r="N1702" s="53">
        <f>IF(M1702="","",IFERROR(M1702/I1702,""))</f>
        <v/>
      </c>
      <c r="O1702" s="50">
        <f>IF(A1702="","",IFERROR((IF(G1702="",I1702,G1702)-T1702)/M1702,""))</f>
        <v/>
      </c>
      <c r="P1702" s="50">
        <f>IFERROR((I1702/T1702-1)/N1702,"")</f>
        <v/>
      </c>
      <c r="Q1702" s="46">
        <f>IF(OR(T1702="",I1702&lt;T1702),"",IFERROR(R1702/IF(G1702="",I1702,G1702)-1,""))</f>
        <v/>
      </c>
      <c r="R1702" s="48">
        <f>IF($M1702="","",MAX(IF($G1702="",$I1702,$G1702)*(1/1.1),IF($G1702="",$I1702,$G1702)+(R$2*$M1702)))</f>
        <v/>
      </c>
      <c r="S1702" s="49">
        <f>IF($M1702="","",MAX(IF($G1702="",$I1702,$G1702)*(1/1.1),IF($G1702="",$I1702,$G1702)+(S$2*$M1702)))</f>
        <v/>
      </c>
      <c r="T1702" s="82" t="n"/>
      <c r="U1702" s="47">
        <f>IF(OR($M1702="",$T1702=""),"",$T1702+(U$2*$M1702))</f>
        <v/>
      </c>
      <c r="V1702" s="48">
        <f>IF(OR($M1702="",$T1702=""),"",$T1702+(V$2*$M1702))</f>
        <v/>
      </c>
      <c r="W1702" s="48">
        <f>IF(OR($M1702="",$T1702=""),"",$T1702+(W$2*$M1702))</f>
        <v/>
      </c>
      <c r="X1702" s="49">
        <f>IF(OR($M1702="",$T1702=""),"",$T1702+(X$2*$M1702))</f>
        <v/>
      </c>
      <c r="Y1702" s="47">
        <f>IF(OR($M1702="",$T1702=""),"",$T1702+(Y$2*$M1702))</f>
        <v/>
      </c>
      <c r="Z1702" s="49">
        <f>IF(OR($M1702="",$T1702=""),"",$T1702+(Z$2*$M1702))</f>
        <v/>
      </c>
      <c r="AA1702" s="51">
        <f>IF(OR($M1702="",$T1702=""),"",$T1702+(AA$2*$M1702))</f>
        <v/>
      </c>
      <c r="AB1702" s="48">
        <f>IF(OR($M1702="",$T1702=""),"",$T1702+(AB$2*$M1702))</f>
        <v/>
      </c>
      <c r="AC1702" s="48">
        <f>IF(OR($M1702="",$T1702=""),"",$T1702+(AC$2*$M1702))</f>
        <v/>
      </c>
      <c r="AD1702" s="48">
        <f>IF(OR($M1702="",$T1702=""),"",$T1702+(AD$2*$M1702))</f>
        <v/>
      </c>
      <c r="AE1702" s="49">
        <f>IF(OR($M1702="",$T1702=""),"",$T1702+(AE$2*$M1702))</f>
        <v/>
      </c>
      <c r="AF1702" s="52">
        <f>IF(OR(T1702="",I1702&lt;T1702),"",IFERROR(AVERAGE(T1702+M1702*{7,8,9,10,11})/IF(G1702="",I1702,G1702)-1,""))</f>
        <v/>
      </c>
      <c r="AG1702" s="55">
        <f>IF(OR(T1702="",I1702&lt;T1702),"",IFERROR(AF1702/-(R1702/IF(G1702="",I1702,G1702)-1),""))</f>
        <v/>
      </c>
      <c r="AH1702" s="94" t="n"/>
      <c r="AI1702" s="94" t="n"/>
      <c r="AJ1702" s="94" t="n"/>
      <c r="AK1702" s="94" t="n"/>
      <c r="AL1702" s="84" t="n"/>
    </row>
    <row r="1703">
      <c r="A1703" s="64" t="n"/>
      <c r="B1703" s="65" t="n"/>
      <c r="C1703" s="66" t="n"/>
      <c r="D1703" s="67" t="n"/>
      <c r="E1703" s="68" t="n"/>
      <c r="F1703" s="47">
        <f>IF(A1703="","",IF(MIN(H1703,MAX(J1703:K1703))=0,"",MIN(H1703,MAX(J1703:K1703))))</f>
        <v/>
      </c>
      <c r="G1703" s="74" t="n"/>
      <c r="H1703" s="49">
        <f>IF(M1703="","",IFERROR(ROUND(AVERAGE(T1703+M1703*{7,8,9,10,11})/1.21,4),""))</f>
        <v/>
      </c>
      <c r="I1703" s="76" t="n"/>
      <c r="J1703" s="77" t="n"/>
      <c r="K1703" s="74" t="n"/>
      <c r="L1703" s="78" t="n"/>
      <c r="M1703" s="77" t="n"/>
      <c r="N1703" s="53">
        <f>IF(M1703="","",IFERROR(M1703/I1703,""))</f>
        <v/>
      </c>
      <c r="O1703" s="50">
        <f>IF(A1703="","",IFERROR((IF(G1703="",I1703,G1703)-T1703)/M1703,""))</f>
        <v/>
      </c>
      <c r="P1703" s="50">
        <f>IFERROR((I1703/T1703-1)/N1703,"")</f>
        <v/>
      </c>
      <c r="Q1703" s="46">
        <f>IF(OR(T1703="",I1703&lt;T1703),"",IFERROR(R1703/IF(G1703="",I1703,G1703)-1,""))</f>
        <v/>
      </c>
      <c r="R1703" s="48">
        <f>IF($M1703="","",MAX(IF($G1703="",$I1703,$G1703)*(1/1.1),IF($G1703="",$I1703,$G1703)+(R$2*$M1703)))</f>
        <v/>
      </c>
      <c r="S1703" s="49">
        <f>IF($M1703="","",MAX(IF($G1703="",$I1703,$G1703)*(1/1.1),IF($G1703="",$I1703,$G1703)+(S$2*$M1703)))</f>
        <v/>
      </c>
      <c r="T1703" s="82" t="n"/>
      <c r="U1703" s="47">
        <f>IF(OR($M1703="",$T1703=""),"",$T1703+(U$2*$M1703))</f>
        <v/>
      </c>
      <c r="V1703" s="48">
        <f>IF(OR($M1703="",$T1703=""),"",$T1703+(V$2*$M1703))</f>
        <v/>
      </c>
      <c r="W1703" s="48">
        <f>IF(OR($M1703="",$T1703=""),"",$T1703+(W$2*$M1703))</f>
        <v/>
      </c>
      <c r="X1703" s="49">
        <f>IF(OR($M1703="",$T1703=""),"",$T1703+(X$2*$M1703))</f>
        <v/>
      </c>
      <c r="Y1703" s="47">
        <f>IF(OR($M1703="",$T1703=""),"",$T1703+(Y$2*$M1703))</f>
        <v/>
      </c>
      <c r="Z1703" s="49">
        <f>IF(OR($M1703="",$T1703=""),"",$T1703+(Z$2*$M1703))</f>
        <v/>
      </c>
      <c r="AA1703" s="51">
        <f>IF(OR($M1703="",$T1703=""),"",$T1703+(AA$2*$M1703))</f>
        <v/>
      </c>
      <c r="AB1703" s="48">
        <f>IF(OR($M1703="",$T1703=""),"",$T1703+(AB$2*$M1703))</f>
        <v/>
      </c>
      <c r="AC1703" s="48">
        <f>IF(OR($M1703="",$T1703=""),"",$T1703+(AC$2*$M1703))</f>
        <v/>
      </c>
      <c r="AD1703" s="48">
        <f>IF(OR($M1703="",$T1703=""),"",$T1703+(AD$2*$M1703))</f>
        <v/>
      </c>
      <c r="AE1703" s="49">
        <f>IF(OR($M1703="",$T1703=""),"",$T1703+(AE$2*$M1703))</f>
        <v/>
      </c>
      <c r="AF1703" s="52">
        <f>IF(OR(T1703="",I1703&lt;T1703),"",IFERROR(AVERAGE(T1703+M1703*{7,8,9,10,11})/IF(G1703="",I1703,G1703)-1,""))</f>
        <v/>
      </c>
      <c r="AG1703" s="55">
        <f>IF(OR(T1703="",I1703&lt;T1703),"",IFERROR(AF1703/-(R1703/IF(G1703="",I1703,G1703)-1),""))</f>
        <v/>
      </c>
      <c r="AH1703" s="94" t="n"/>
      <c r="AI1703" s="94" t="n"/>
      <c r="AJ1703" s="94" t="n"/>
      <c r="AK1703" s="94" t="n"/>
      <c r="AL1703" s="84" t="n"/>
    </row>
    <row r="1704">
      <c r="A1704" s="64" t="n"/>
      <c r="B1704" s="65" t="n"/>
      <c r="C1704" s="66" t="n"/>
      <c r="D1704" s="67" t="n"/>
      <c r="E1704" s="68" t="n"/>
      <c r="F1704" s="47">
        <f>IF(A1704="","",IF(MIN(H1704,MAX(J1704:K1704))=0,"",MIN(H1704,MAX(J1704:K1704))))</f>
        <v/>
      </c>
      <c r="G1704" s="74" t="n"/>
      <c r="H1704" s="49">
        <f>IF(M1704="","",IFERROR(ROUND(AVERAGE(T1704+M1704*{7,8,9,10,11})/1.21,4),""))</f>
        <v/>
      </c>
      <c r="I1704" s="76" t="n"/>
      <c r="J1704" s="77" t="n"/>
      <c r="K1704" s="74" t="n"/>
      <c r="L1704" s="78" t="n"/>
      <c r="M1704" s="77" t="n"/>
      <c r="N1704" s="53">
        <f>IF(M1704="","",IFERROR(M1704/I1704,""))</f>
        <v/>
      </c>
      <c r="O1704" s="50">
        <f>IF(A1704="","",IFERROR((IF(G1704="",I1704,G1704)-T1704)/M1704,""))</f>
        <v/>
      </c>
      <c r="P1704" s="50">
        <f>IFERROR((I1704/T1704-1)/N1704,"")</f>
        <v/>
      </c>
      <c r="Q1704" s="46">
        <f>IF(OR(T1704="",I1704&lt;T1704),"",IFERROR(R1704/IF(G1704="",I1704,G1704)-1,""))</f>
        <v/>
      </c>
      <c r="R1704" s="48">
        <f>IF($M1704="","",MAX(IF($G1704="",$I1704,$G1704)*(1/1.1),IF($G1704="",$I1704,$G1704)+(R$2*$M1704)))</f>
        <v/>
      </c>
      <c r="S1704" s="49">
        <f>IF($M1704="","",MAX(IF($G1704="",$I1704,$G1704)*(1/1.1),IF($G1704="",$I1704,$G1704)+(S$2*$M1704)))</f>
        <v/>
      </c>
      <c r="T1704" s="82" t="n"/>
      <c r="U1704" s="47">
        <f>IF(OR($M1704="",$T1704=""),"",$T1704+(U$2*$M1704))</f>
        <v/>
      </c>
      <c r="V1704" s="48">
        <f>IF(OR($M1704="",$T1704=""),"",$T1704+(V$2*$M1704))</f>
        <v/>
      </c>
      <c r="W1704" s="48">
        <f>IF(OR($M1704="",$T1704=""),"",$T1704+(W$2*$M1704))</f>
        <v/>
      </c>
      <c r="X1704" s="49">
        <f>IF(OR($M1704="",$T1704=""),"",$T1704+(X$2*$M1704))</f>
        <v/>
      </c>
      <c r="Y1704" s="47">
        <f>IF(OR($M1704="",$T1704=""),"",$T1704+(Y$2*$M1704))</f>
        <v/>
      </c>
      <c r="Z1704" s="49">
        <f>IF(OR($M1704="",$T1704=""),"",$T1704+(Z$2*$M1704))</f>
        <v/>
      </c>
      <c r="AA1704" s="51">
        <f>IF(OR($M1704="",$T1704=""),"",$T1704+(AA$2*$M1704))</f>
        <v/>
      </c>
      <c r="AB1704" s="48">
        <f>IF(OR($M1704="",$T1704=""),"",$T1704+(AB$2*$M1704))</f>
        <v/>
      </c>
      <c r="AC1704" s="48">
        <f>IF(OR($M1704="",$T1704=""),"",$T1704+(AC$2*$M1704))</f>
        <v/>
      </c>
      <c r="AD1704" s="48">
        <f>IF(OR($M1704="",$T1704=""),"",$T1704+(AD$2*$M1704))</f>
        <v/>
      </c>
      <c r="AE1704" s="49">
        <f>IF(OR($M1704="",$T1704=""),"",$T1704+(AE$2*$M1704))</f>
        <v/>
      </c>
      <c r="AF1704" s="52">
        <f>IF(OR(T1704="",I1704&lt;T1704),"",IFERROR(AVERAGE(T1704+M1704*{7,8,9,10,11})/IF(G1704="",I1704,G1704)-1,""))</f>
        <v/>
      </c>
      <c r="AG1704" s="55">
        <f>IF(OR(T1704="",I1704&lt;T1704),"",IFERROR(AF1704/-(R1704/IF(G1704="",I1704,G1704)-1),""))</f>
        <v/>
      </c>
      <c r="AH1704" s="94" t="n"/>
      <c r="AI1704" s="94" t="n"/>
      <c r="AJ1704" s="94" t="n"/>
      <c r="AK1704" s="94" t="n"/>
      <c r="AL1704" s="84" t="n"/>
    </row>
    <row r="1705">
      <c r="A1705" s="64" t="n"/>
      <c r="B1705" s="65" t="n"/>
      <c r="C1705" s="66" t="n"/>
      <c r="D1705" s="67" t="n"/>
      <c r="E1705" s="68" t="n"/>
      <c r="F1705" s="47">
        <f>IF(A1705="","",IF(MIN(H1705,MAX(J1705:K1705))=0,"",MIN(H1705,MAX(J1705:K1705))))</f>
        <v/>
      </c>
      <c r="G1705" s="74" t="n"/>
      <c r="H1705" s="49">
        <f>IF(M1705="","",IFERROR(ROUND(AVERAGE(T1705+M1705*{7,8,9,10,11})/1.21,4),""))</f>
        <v/>
      </c>
      <c r="I1705" s="76" t="n"/>
      <c r="J1705" s="77" t="n"/>
      <c r="K1705" s="74" t="n"/>
      <c r="L1705" s="78" t="n"/>
      <c r="M1705" s="77" t="n"/>
      <c r="N1705" s="53">
        <f>IF(M1705="","",IFERROR(M1705/I1705,""))</f>
        <v/>
      </c>
      <c r="O1705" s="50">
        <f>IF(A1705="","",IFERROR((IF(G1705="",I1705,G1705)-T1705)/M1705,""))</f>
        <v/>
      </c>
      <c r="P1705" s="50">
        <f>IFERROR((I1705/T1705-1)/N1705,"")</f>
        <v/>
      </c>
      <c r="Q1705" s="46">
        <f>IF(OR(T1705="",I1705&lt;T1705),"",IFERROR(R1705/IF(G1705="",I1705,G1705)-1,""))</f>
        <v/>
      </c>
      <c r="R1705" s="48">
        <f>IF($M1705="","",MAX(IF($G1705="",$I1705,$G1705)*(1/1.1),IF($G1705="",$I1705,$G1705)+(R$2*$M1705)))</f>
        <v/>
      </c>
      <c r="S1705" s="49">
        <f>IF($M1705="","",MAX(IF($G1705="",$I1705,$G1705)*(1/1.1),IF($G1705="",$I1705,$G1705)+(S$2*$M1705)))</f>
        <v/>
      </c>
      <c r="T1705" s="82" t="n"/>
      <c r="U1705" s="47">
        <f>IF(OR($M1705="",$T1705=""),"",$T1705+(U$2*$M1705))</f>
        <v/>
      </c>
      <c r="V1705" s="48">
        <f>IF(OR($M1705="",$T1705=""),"",$T1705+(V$2*$M1705))</f>
        <v/>
      </c>
      <c r="W1705" s="48">
        <f>IF(OR($M1705="",$T1705=""),"",$T1705+(W$2*$M1705))</f>
        <v/>
      </c>
      <c r="X1705" s="49">
        <f>IF(OR($M1705="",$T1705=""),"",$T1705+(X$2*$M1705))</f>
        <v/>
      </c>
      <c r="Y1705" s="47">
        <f>IF(OR($M1705="",$T1705=""),"",$T1705+(Y$2*$M1705))</f>
        <v/>
      </c>
      <c r="Z1705" s="49">
        <f>IF(OR($M1705="",$T1705=""),"",$T1705+(Z$2*$M1705))</f>
        <v/>
      </c>
      <c r="AA1705" s="51">
        <f>IF(OR($M1705="",$T1705=""),"",$T1705+(AA$2*$M1705))</f>
        <v/>
      </c>
      <c r="AB1705" s="48">
        <f>IF(OR($M1705="",$T1705=""),"",$T1705+(AB$2*$M1705))</f>
        <v/>
      </c>
      <c r="AC1705" s="48">
        <f>IF(OR($M1705="",$T1705=""),"",$T1705+(AC$2*$M1705))</f>
        <v/>
      </c>
      <c r="AD1705" s="48">
        <f>IF(OR($M1705="",$T1705=""),"",$T1705+(AD$2*$M1705))</f>
        <v/>
      </c>
      <c r="AE1705" s="49">
        <f>IF(OR($M1705="",$T1705=""),"",$T1705+(AE$2*$M1705))</f>
        <v/>
      </c>
      <c r="AF1705" s="52">
        <f>IF(OR(T1705="",I1705&lt;T1705),"",IFERROR(AVERAGE(T1705+M1705*{7,8,9,10,11})/IF(G1705="",I1705,G1705)-1,""))</f>
        <v/>
      </c>
      <c r="AG1705" s="55">
        <f>IF(OR(T1705="",I1705&lt;T1705),"",IFERROR(AF1705/-(R1705/IF(G1705="",I1705,G1705)-1),""))</f>
        <v/>
      </c>
      <c r="AH1705" s="94" t="n"/>
      <c r="AI1705" s="94" t="n"/>
      <c r="AJ1705" s="94" t="n"/>
      <c r="AK1705" s="94" t="n"/>
      <c r="AL1705" s="84" t="n"/>
    </row>
    <row r="1706">
      <c r="A1706" s="64" t="n"/>
      <c r="B1706" s="65" t="n"/>
      <c r="C1706" s="66" t="n"/>
      <c r="D1706" s="67" t="n"/>
      <c r="E1706" s="68" t="n"/>
      <c r="F1706" s="47">
        <f>IF(A1706="","",IF(MIN(H1706,MAX(J1706:K1706))=0,"",MIN(H1706,MAX(J1706:K1706))))</f>
        <v/>
      </c>
      <c r="G1706" s="74" t="n"/>
      <c r="H1706" s="49">
        <f>IF(M1706="","",IFERROR(ROUND(AVERAGE(T1706+M1706*{7,8,9,10,11})/1.21,4),""))</f>
        <v/>
      </c>
      <c r="I1706" s="76" t="n"/>
      <c r="J1706" s="77" t="n"/>
      <c r="K1706" s="74" t="n"/>
      <c r="L1706" s="78" t="n"/>
      <c r="M1706" s="77" t="n"/>
      <c r="N1706" s="53">
        <f>IF(M1706="","",IFERROR(M1706/I1706,""))</f>
        <v/>
      </c>
      <c r="O1706" s="50">
        <f>IF(A1706="","",IFERROR((IF(G1706="",I1706,G1706)-T1706)/M1706,""))</f>
        <v/>
      </c>
      <c r="P1706" s="50">
        <f>IFERROR((I1706/T1706-1)/N1706,"")</f>
        <v/>
      </c>
      <c r="Q1706" s="46">
        <f>IF(OR(T1706="",I1706&lt;T1706),"",IFERROR(R1706/IF(G1706="",I1706,G1706)-1,""))</f>
        <v/>
      </c>
      <c r="R1706" s="48">
        <f>IF($M1706="","",MAX(IF($G1706="",$I1706,$G1706)*(1/1.1),IF($G1706="",$I1706,$G1706)+(R$2*$M1706)))</f>
        <v/>
      </c>
      <c r="S1706" s="49">
        <f>IF($M1706="","",MAX(IF($G1706="",$I1706,$G1706)*(1/1.1),IF($G1706="",$I1706,$G1706)+(S$2*$M1706)))</f>
        <v/>
      </c>
      <c r="T1706" s="82" t="n"/>
      <c r="U1706" s="47">
        <f>IF(OR($M1706="",$T1706=""),"",$T1706+(U$2*$M1706))</f>
        <v/>
      </c>
      <c r="V1706" s="48">
        <f>IF(OR($M1706="",$T1706=""),"",$T1706+(V$2*$M1706))</f>
        <v/>
      </c>
      <c r="W1706" s="48">
        <f>IF(OR($M1706="",$T1706=""),"",$T1706+(W$2*$M1706))</f>
        <v/>
      </c>
      <c r="X1706" s="49">
        <f>IF(OR($M1706="",$T1706=""),"",$T1706+(X$2*$M1706))</f>
        <v/>
      </c>
      <c r="Y1706" s="47">
        <f>IF(OR($M1706="",$T1706=""),"",$T1706+(Y$2*$M1706))</f>
        <v/>
      </c>
      <c r="Z1706" s="49">
        <f>IF(OR($M1706="",$T1706=""),"",$T1706+(Z$2*$M1706))</f>
        <v/>
      </c>
      <c r="AA1706" s="51">
        <f>IF(OR($M1706="",$T1706=""),"",$T1706+(AA$2*$M1706))</f>
        <v/>
      </c>
      <c r="AB1706" s="48">
        <f>IF(OR($M1706="",$T1706=""),"",$T1706+(AB$2*$M1706))</f>
        <v/>
      </c>
      <c r="AC1706" s="48">
        <f>IF(OR($M1706="",$T1706=""),"",$T1706+(AC$2*$M1706))</f>
        <v/>
      </c>
      <c r="AD1706" s="48">
        <f>IF(OR($M1706="",$T1706=""),"",$T1706+(AD$2*$M1706))</f>
        <v/>
      </c>
      <c r="AE1706" s="49">
        <f>IF(OR($M1706="",$T1706=""),"",$T1706+(AE$2*$M1706))</f>
        <v/>
      </c>
      <c r="AF1706" s="52">
        <f>IF(OR(T1706="",I1706&lt;T1706),"",IFERROR(AVERAGE(T1706+M1706*{7,8,9,10,11})/IF(G1706="",I1706,G1706)-1,""))</f>
        <v/>
      </c>
      <c r="AG1706" s="55">
        <f>IF(OR(T1706="",I1706&lt;T1706),"",IFERROR(AF1706/-(R1706/IF(G1706="",I1706,G1706)-1),""))</f>
        <v/>
      </c>
      <c r="AH1706" s="94" t="n"/>
      <c r="AI1706" s="94" t="n"/>
      <c r="AJ1706" s="94" t="n"/>
      <c r="AK1706" s="94" t="n"/>
      <c r="AL1706" s="84" t="n"/>
    </row>
    <row r="1707">
      <c r="A1707" s="64" t="n"/>
      <c r="B1707" s="65" t="n"/>
      <c r="C1707" s="66" t="n"/>
      <c r="D1707" s="67" t="n"/>
      <c r="E1707" s="68" t="n"/>
      <c r="F1707" s="47">
        <f>IF(A1707="","",IF(MIN(H1707,MAX(J1707:K1707))=0,"",MIN(H1707,MAX(J1707:K1707))))</f>
        <v/>
      </c>
      <c r="G1707" s="74" t="n"/>
      <c r="H1707" s="49">
        <f>IF(M1707="","",IFERROR(ROUND(AVERAGE(T1707+M1707*{7,8,9,10,11})/1.21,4),""))</f>
        <v/>
      </c>
      <c r="I1707" s="76" t="n"/>
      <c r="J1707" s="77" t="n"/>
      <c r="K1707" s="74" t="n"/>
      <c r="L1707" s="78" t="n"/>
      <c r="M1707" s="77" t="n"/>
      <c r="N1707" s="53">
        <f>IF(M1707="","",IFERROR(M1707/I1707,""))</f>
        <v/>
      </c>
      <c r="O1707" s="50">
        <f>IF(A1707="","",IFERROR((IF(G1707="",I1707,G1707)-T1707)/M1707,""))</f>
        <v/>
      </c>
      <c r="P1707" s="50">
        <f>IFERROR((I1707/T1707-1)/N1707,"")</f>
        <v/>
      </c>
      <c r="Q1707" s="46">
        <f>IF(OR(T1707="",I1707&lt;T1707),"",IFERROR(R1707/IF(G1707="",I1707,G1707)-1,""))</f>
        <v/>
      </c>
      <c r="R1707" s="48">
        <f>IF($M1707="","",MAX(IF($G1707="",$I1707,$G1707)*(1/1.1),IF($G1707="",$I1707,$G1707)+(R$2*$M1707)))</f>
        <v/>
      </c>
      <c r="S1707" s="49">
        <f>IF($M1707="","",MAX(IF($G1707="",$I1707,$G1707)*(1/1.1),IF($G1707="",$I1707,$G1707)+(S$2*$M1707)))</f>
        <v/>
      </c>
      <c r="T1707" s="82" t="n"/>
      <c r="U1707" s="47">
        <f>IF(OR($M1707="",$T1707=""),"",$T1707+(U$2*$M1707))</f>
        <v/>
      </c>
      <c r="V1707" s="48">
        <f>IF(OR($M1707="",$T1707=""),"",$T1707+(V$2*$M1707))</f>
        <v/>
      </c>
      <c r="W1707" s="48">
        <f>IF(OR($M1707="",$T1707=""),"",$T1707+(W$2*$M1707))</f>
        <v/>
      </c>
      <c r="X1707" s="49">
        <f>IF(OR($M1707="",$T1707=""),"",$T1707+(X$2*$M1707))</f>
        <v/>
      </c>
      <c r="Y1707" s="47">
        <f>IF(OR($M1707="",$T1707=""),"",$T1707+(Y$2*$M1707))</f>
        <v/>
      </c>
      <c r="Z1707" s="49">
        <f>IF(OR($M1707="",$T1707=""),"",$T1707+(Z$2*$M1707))</f>
        <v/>
      </c>
      <c r="AA1707" s="51">
        <f>IF(OR($M1707="",$T1707=""),"",$T1707+(AA$2*$M1707))</f>
        <v/>
      </c>
      <c r="AB1707" s="48">
        <f>IF(OR($M1707="",$T1707=""),"",$T1707+(AB$2*$M1707))</f>
        <v/>
      </c>
      <c r="AC1707" s="48">
        <f>IF(OR($M1707="",$T1707=""),"",$T1707+(AC$2*$M1707))</f>
        <v/>
      </c>
      <c r="AD1707" s="48">
        <f>IF(OR($M1707="",$T1707=""),"",$T1707+(AD$2*$M1707))</f>
        <v/>
      </c>
      <c r="AE1707" s="49">
        <f>IF(OR($M1707="",$T1707=""),"",$T1707+(AE$2*$M1707))</f>
        <v/>
      </c>
      <c r="AF1707" s="52">
        <f>IF(OR(T1707="",I1707&lt;T1707),"",IFERROR(AVERAGE(T1707+M1707*{7,8,9,10,11})/IF(G1707="",I1707,G1707)-1,""))</f>
        <v/>
      </c>
      <c r="AG1707" s="55">
        <f>IF(OR(T1707="",I1707&lt;T1707),"",IFERROR(AF1707/-(R1707/IF(G1707="",I1707,G1707)-1),""))</f>
        <v/>
      </c>
      <c r="AH1707" s="94" t="n"/>
      <c r="AI1707" s="94" t="n"/>
      <c r="AJ1707" s="94" t="n"/>
      <c r="AK1707" s="94" t="n"/>
      <c r="AL1707" s="84" t="n"/>
    </row>
    <row r="1708">
      <c r="A1708" s="64" t="n"/>
      <c r="B1708" s="65" t="n"/>
      <c r="C1708" s="66" t="n"/>
      <c r="D1708" s="67" t="n"/>
      <c r="E1708" s="68" t="n"/>
      <c r="F1708" s="47">
        <f>IF(A1708="","",IF(MIN(H1708,MAX(J1708:K1708))=0,"",MIN(H1708,MAX(J1708:K1708))))</f>
        <v/>
      </c>
      <c r="G1708" s="74" t="n"/>
      <c r="H1708" s="49">
        <f>IF(M1708="","",IFERROR(ROUND(AVERAGE(T1708+M1708*{7,8,9,10,11})/1.21,4),""))</f>
        <v/>
      </c>
      <c r="I1708" s="76" t="n"/>
      <c r="J1708" s="77" t="n"/>
      <c r="K1708" s="74" t="n"/>
      <c r="L1708" s="78" t="n"/>
      <c r="M1708" s="77" t="n"/>
      <c r="N1708" s="53">
        <f>IF(M1708="","",IFERROR(M1708/I1708,""))</f>
        <v/>
      </c>
      <c r="O1708" s="50">
        <f>IF(A1708="","",IFERROR((IF(G1708="",I1708,G1708)-T1708)/M1708,""))</f>
        <v/>
      </c>
      <c r="P1708" s="50">
        <f>IFERROR((I1708/T1708-1)/N1708,"")</f>
        <v/>
      </c>
      <c r="Q1708" s="46">
        <f>IF(OR(T1708="",I1708&lt;T1708),"",IFERROR(R1708/IF(G1708="",I1708,G1708)-1,""))</f>
        <v/>
      </c>
      <c r="R1708" s="48">
        <f>IF($M1708="","",MAX(IF($G1708="",$I1708,$G1708)*(1/1.1),IF($G1708="",$I1708,$G1708)+(R$2*$M1708)))</f>
        <v/>
      </c>
      <c r="S1708" s="49">
        <f>IF($M1708="","",MAX(IF($G1708="",$I1708,$G1708)*(1/1.1),IF($G1708="",$I1708,$G1708)+(S$2*$M1708)))</f>
        <v/>
      </c>
      <c r="T1708" s="82" t="n"/>
      <c r="U1708" s="47">
        <f>IF(OR($M1708="",$T1708=""),"",$T1708+(U$2*$M1708))</f>
        <v/>
      </c>
      <c r="V1708" s="48">
        <f>IF(OR($M1708="",$T1708=""),"",$T1708+(V$2*$M1708))</f>
        <v/>
      </c>
      <c r="W1708" s="48">
        <f>IF(OR($M1708="",$T1708=""),"",$T1708+(W$2*$M1708))</f>
        <v/>
      </c>
      <c r="X1708" s="49">
        <f>IF(OR($M1708="",$T1708=""),"",$T1708+(X$2*$M1708))</f>
        <v/>
      </c>
      <c r="Y1708" s="47">
        <f>IF(OR($M1708="",$T1708=""),"",$T1708+(Y$2*$M1708))</f>
        <v/>
      </c>
      <c r="Z1708" s="49">
        <f>IF(OR($M1708="",$T1708=""),"",$T1708+(Z$2*$M1708))</f>
        <v/>
      </c>
      <c r="AA1708" s="51">
        <f>IF(OR($M1708="",$T1708=""),"",$T1708+(AA$2*$M1708))</f>
        <v/>
      </c>
      <c r="AB1708" s="48">
        <f>IF(OR($M1708="",$T1708=""),"",$T1708+(AB$2*$M1708))</f>
        <v/>
      </c>
      <c r="AC1708" s="48">
        <f>IF(OR($M1708="",$T1708=""),"",$T1708+(AC$2*$M1708))</f>
        <v/>
      </c>
      <c r="AD1708" s="48">
        <f>IF(OR($M1708="",$T1708=""),"",$T1708+(AD$2*$M1708))</f>
        <v/>
      </c>
      <c r="AE1708" s="49">
        <f>IF(OR($M1708="",$T1708=""),"",$T1708+(AE$2*$M1708))</f>
        <v/>
      </c>
      <c r="AF1708" s="52">
        <f>IF(OR(T1708="",I1708&lt;T1708),"",IFERROR(AVERAGE(T1708+M1708*{7,8,9,10,11})/IF(G1708="",I1708,G1708)-1,""))</f>
        <v/>
      </c>
      <c r="AG1708" s="55">
        <f>IF(OR(T1708="",I1708&lt;T1708),"",IFERROR(AF1708/-(R1708/IF(G1708="",I1708,G1708)-1),""))</f>
        <v/>
      </c>
      <c r="AH1708" s="94" t="n"/>
      <c r="AI1708" s="94" t="n"/>
      <c r="AJ1708" s="94" t="n"/>
      <c r="AK1708" s="94" t="n"/>
      <c r="AL1708" s="84" t="n"/>
    </row>
    <row r="1709">
      <c r="A1709" s="64" t="n"/>
      <c r="B1709" s="65" t="n"/>
      <c r="C1709" s="66" t="n"/>
      <c r="D1709" s="67" t="n"/>
      <c r="E1709" s="68" t="n"/>
      <c r="F1709" s="47">
        <f>IF(A1709="","",IF(MIN(H1709,MAX(J1709:K1709))=0,"",MIN(H1709,MAX(J1709:K1709))))</f>
        <v/>
      </c>
      <c r="G1709" s="74" t="n"/>
      <c r="H1709" s="49">
        <f>IF(M1709="","",IFERROR(ROUND(AVERAGE(T1709+M1709*{7,8,9,10,11})/1.21,4),""))</f>
        <v/>
      </c>
      <c r="I1709" s="76" t="n"/>
      <c r="J1709" s="77" t="n"/>
      <c r="K1709" s="74" t="n"/>
      <c r="L1709" s="78" t="n"/>
      <c r="M1709" s="77" t="n"/>
      <c r="N1709" s="53">
        <f>IF(M1709="","",IFERROR(M1709/I1709,""))</f>
        <v/>
      </c>
      <c r="O1709" s="50">
        <f>IF(A1709="","",IFERROR((IF(G1709="",I1709,G1709)-T1709)/M1709,""))</f>
        <v/>
      </c>
      <c r="P1709" s="50">
        <f>IFERROR((I1709/T1709-1)/N1709,"")</f>
        <v/>
      </c>
      <c r="Q1709" s="46">
        <f>IF(OR(T1709="",I1709&lt;T1709),"",IFERROR(R1709/IF(G1709="",I1709,G1709)-1,""))</f>
        <v/>
      </c>
      <c r="R1709" s="48">
        <f>IF($M1709="","",MAX(IF($G1709="",$I1709,$G1709)*(1/1.1),IF($G1709="",$I1709,$G1709)+(R$2*$M1709)))</f>
        <v/>
      </c>
      <c r="S1709" s="49">
        <f>IF($M1709="","",MAX(IF($G1709="",$I1709,$G1709)*(1/1.1),IF($G1709="",$I1709,$G1709)+(S$2*$M1709)))</f>
        <v/>
      </c>
      <c r="T1709" s="82" t="n"/>
      <c r="U1709" s="47">
        <f>IF(OR($M1709="",$T1709=""),"",$T1709+(U$2*$M1709))</f>
        <v/>
      </c>
      <c r="V1709" s="48">
        <f>IF(OR($M1709="",$T1709=""),"",$T1709+(V$2*$M1709))</f>
        <v/>
      </c>
      <c r="W1709" s="48">
        <f>IF(OR($M1709="",$T1709=""),"",$T1709+(W$2*$M1709))</f>
        <v/>
      </c>
      <c r="X1709" s="49">
        <f>IF(OR($M1709="",$T1709=""),"",$T1709+(X$2*$M1709))</f>
        <v/>
      </c>
      <c r="Y1709" s="47">
        <f>IF(OR($M1709="",$T1709=""),"",$T1709+(Y$2*$M1709))</f>
        <v/>
      </c>
      <c r="Z1709" s="49">
        <f>IF(OR($M1709="",$T1709=""),"",$T1709+(Z$2*$M1709))</f>
        <v/>
      </c>
      <c r="AA1709" s="51">
        <f>IF(OR($M1709="",$T1709=""),"",$T1709+(AA$2*$M1709))</f>
        <v/>
      </c>
      <c r="AB1709" s="48">
        <f>IF(OR($M1709="",$T1709=""),"",$T1709+(AB$2*$M1709))</f>
        <v/>
      </c>
      <c r="AC1709" s="48">
        <f>IF(OR($M1709="",$T1709=""),"",$T1709+(AC$2*$M1709))</f>
        <v/>
      </c>
      <c r="AD1709" s="48">
        <f>IF(OR($M1709="",$T1709=""),"",$T1709+(AD$2*$M1709))</f>
        <v/>
      </c>
      <c r="AE1709" s="49">
        <f>IF(OR($M1709="",$T1709=""),"",$T1709+(AE$2*$M1709))</f>
        <v/>
      </c>
      <c r="AF1709" s="52">
        <f>IF(OR(T1709="",I1709&lt;T1709),"",IFERROR(AVERAGE(T1709+M1709*{7,8,9,10,11})/IF(G1709="",I1709,G1709)-1,""))</f>
        <v/>
      </c>
      <c r="AG1709" s="55">
        <f>IF(OR(T1709="",I1709&lt;T1709),"",IFERROR(AF1709/-(R1709/IF(G1709="",I1709,G1709)-1),""))</f>
        <v/>
      </c>
      <c r="AH1709" s="94" t="n"/>
      <c r="AI1709" s="94" t="n"/>
      <c r="AJ1709" s="94" t="n"/>
      <c r="AK1709" s="94" t="n"/>
      <c r="AL1709" s="84" t="n"/>
    </row>
    <row r="1710">
      <c r="A1710" s="64" t="n"/>
      <c r="B1710" s="65" t="n"/>
      <c r="C1710" s="66" t="n"/>
      <c r="D1710" s="67" t="n"/>
      <c r="E1710" s="68" t="n"/>
      <c r="F1710" s="47">
        <f>IF(A1710="","",IF(MIN(H1710,MAX(J1710:K1710))=0,"",MIN(H1710,MAX(J1710:K1710))))</f>
        <v/>
      </c>
      <c r="G1710" s="74" t="n"/>
      <c r="H1710" s="49">
        <f>IF(M1710="","",IFERROR(ROUND(AVERAGE(T1710+M1710*{7,8,9,10,11})/1.21,4),""))</f>
        <v/>
      </c>
      <c r="I1710" s="76" t="n"/>
      <c r="J1710" s="77" t="n"/>
      <c r="K1710" s="74" t="n"/>
      <c r="L1710" s="78" t="n"/>
      <c r="M1710" s="77" t="n"/>
      <c r="N1710" s="53">
        <f>IF(M1710="","",IFERROR(M1710/I1710,""))</f>
        <v/>
      </c>
      <c r="O1710" s="50">
        <f>IF(A1710="","",IFERROR((IF(G1710="",I1710,G1710)-T1710)/M1710,""))</f>
        <v/>
      </c>
      <c r="P1710" s="50">
        <f>IFERROR((I1710/T1710-1)/N1710,"")</f>
        <v/>
      </c>
      <c r="Q1710" s="46">
        <f>IF(OR(T1710="",I1710&lt;T1710),"",IFERROR(R1710/IF(G1710="",I1710,G1710)-1,""))</f>
        <v/>
      </c>
      <c r="R1710" s="48">
        <f>IF($M1710="","",MAX(IF($G1710="",$I1710,$G1710)*(1/1.1),IF($G1710="",$I1710,$G1710)+(R$2*$M1710)))</f>
        <v/>
      </c>
      <c r="S1710" s="49">
        <f>IF($M1710="","",MAX(IF($G1710="",$I1710,$G1710)*(1/1.1),IF($G1710="",$I1710,$G1710)+(S$2*$M1710)))</f>
        <v/>
      </c>
      <c r="T1710" s="82" t="n"/>
      <c r="U1710" s="47">
        <f>IF(OR($M1710="",$T1710=""),"",$T1710+(U$2*$M1710))</f>
        <v/>
      </c>
      <c r="V1710" s="48">
        <f>IF(OR($M1710="",$T1710=""),"",$T1710+(V$2*$M1710))</f>
        <v/>
      </c>
      <c r="W1710" s="48">
        <f>IF(OR($M1710="",$T1710=""),"",$T1710+(W$2*$M1710))</f>
        <v/>
      </c>
      <c r="X1710" s="49">
        <f>IF(OR($M1710="",$T1710=""),"",$T1710+(X$2*$M1710))</f>
        <v/>
      </c>
      <c r="Y1710" s="47">
        <f>IF(OR($M1710="",$T1710=""),"",$T1710+(Y$2*$M1710))</f>
        <v/>
      </c>
      <c r="Z1710" s="49">
        <f>IF(OR($M1710="",$T1710=""),"",$T1710+(Z$2*$M1710))</f>
        <v/>
      </c>
      <c r="AA1710" s="51">
        <f>IF(OR($M1710="",$T1710=""),"",$T1710+(AA$2*$M1710))</f>
        <v/>
      </c>
      <c r="AB1710" s="48">
        <f>IF(OR($M1710="",$T1710=""),"",$T1710+(AB$2*$M1710))</f>
        <v/>
      </c>
      <c r="AC1710" s="48">
        <f>IF(OR($M1710="",$T1710=""),"",$T1710+(AC$2*$M1710))</f>
        <v/>
      </c>
      <c r="AD1710" s="48">
        <f>IF(OR($M1710="",$T1710=""),"",$T1710+(AD$2*$M1710))</f>
        <v/>
      </c>
      <c r="AE1710" s="49">
        <f>IF(OR($M1710="",$T1710=""),"",$T1710+(AE$2*$M1710))</f>
        <v/>
      </c>
      <c r="AF1710" s="52">
        <f>IF(OR(T1710="",I1710&lt;T1710),"",IFERROR(AVERAGE(T1710+M1710*{7,8,9,10,11})/IF(G1710="",I1710,G1710)-1,""))</f>
        <v/>
      </c>
      <c r="AG1710" s="55">
        <f>IF(OR(T1710="",I1710&lt;T1710),"",IFERROR(AF1710/-(R1710/IF(G1710="",I1710,G1710)-1),""))</f>
        <v/>
      </c>
      <c r="AH1710" s="94" t="n"/>
      <c r="AI1710" s="94" t="n"/>
      <c r="AJ1710" s="94" t="n"/>
      <c r="AK1710" s="94" t="n"/>
      <c r="AL1710" s="84" t="n"/>
    </row>
    <row r="1711">
      <c r="A1711" s="64" t="n"/>
      <c r="B1711" s="65" t="n"/>
      <c r="C1711" s="66" t="n"/>
      <c r="D1711" s="67" t="n"/>
      <c r="E1711" s="68" t="n"/>
      <c r="F1711" s="47">
        <f>IF(A1711="","",IF(MIN(H1711,MAX(J1711:K1711))=0,"",MIN(H1711,MAX(J1711:K1711))))</f>
        <v/>
      </c>
      <c r="G1711" s="74" t="n"/>
      <c r="H1711" s="49">
        <f>IF(M1711="","",IFERROR(ROUND(AVERAGE(T1711+M1711*{7,8,9,10,11})/1.21,4),""))</f>
        <v/>
      </c>
      <c r="I1711" s="76" t="n"/>
      <c r="J1711" s="77" t="n"/>
      <c r="K1711" s="74" t="n"/>
      <c r="L1711" s="78" t="n"/>
      <c r="M1711" s="77" t="n"/>
      <c r="N1711" s="53">
        <f>IF(M1711="","",IFERROR(M1711/I1711,""))</f>
        <v/>
      </c>
      <c r="O1711" s="50">
        <f>IF(A1711="","",IFERROR((IF(G1711="",I1711,G1711)-T1711)/M1711,""))</f>
        <v/>
      </c>
      <c r="P1711" s="50">
        <f>IFERROR((I1711/T1711-1)/N1711,"")</f>
        <v/>
      </c>
      <c r="Q1711" s="46">
        <f>IF(OR(T1711="",I1711&lt;T1711),"",IFERROR(R1711/IF(G1711="",I1711,G1711)-1,""))</f>
        <v/>
      </c>
      <c r="R1711" s="48">
        <f>IF($M1711="","",MAX(IF($G1711="",$I1711,$G1711)*(1/1.1),IF($G1711="",$I1711,$G1711)+(R$2*$M1711)))</f>
        <v/>
      </c>
      <c r="S1711" s="49">
        <f>IF($M1711="","",MAX(IF($G1711="",$I1711,$G1711)*(1/1.1),IF($G1711="",$I1711,$G1711)+(S$2*$M1711)))</f>
        <v/>
      </c>
      <c r="T1711" s="82" t="n"/>
      <c r="U1711" s="47">
        <f>IF(OR($M1711="",$T1711=""),"",$T1711+(U$2*$M1711))</f>
        <v/>
      </c>
      <c r="V1711" s="48">
        <f>IF(OR($M1711="",$T1711=""),"",$T1711+(V$2*$M1711))</f>
        <v/>
      </c>
      <c r="W1711" s="48">
        <f>IF(OR($M1711="",$T1711=""),"",$T1711+(W$2*$M1711))</f>
        <v/>
      </c>
      <c r="X1711" s="49">
        <f>IF(OR($M1711="",$T1711=""),"",$T1711+(X$2*$M1711))</f>
        <v/>
      </c>
      <c r="Y1711" s="47">
        <f>IF(OR($M1711="",$T1711=""),"",$T1711+(Y$2*$M1711))</f>
        <v/>
      </c>
      <c r="Z1711" s="49">
        <f>IF(OR($M1711="",$T1711=""),"",$T1711+(Z$2*$M1711))</f>
        <v/>
      </c>
      <c r="AA1711" s="51">
        <f>IF(OR($M1711="",$T1711=""),"",$T1711+(AA$2*$M1711))</f>
        <v/>
      </c>
      <c r="AB1711" s="48">
        <f>IF(OR($M1711="",$T1711=""),"",$T1711+(AB$2*$M1711))</f>
        <v/>
      </c>
      <c r="AC1711" s="48">
        <f>IF(OR($M1711="",$T1711=""),"",$T1711+(AC$2*$M1711))</f>
        <v/>
      </c>
      <c r="AD1711" s="48">
        <f>IF(OR($M1711="",$T1711=""),"",$T1711+(AD$2*$M1711))</f>
        <v/>
      </c>
      <c r="AE1711" s="49">
        <f>IF(OR($M1711="",$T1711=""),"",$T1711+(AE$2*$M1711))</f>
        <v/>
      </c>
      <c r="AF1711" s="52">
        <f>IF(OR(T1711="",I1711&lt;T1711),"",IFERROR(AVERAGE(T1711+M1711*{7,8,9,10,11})/IF(G1711="",I1711,G1711)-1,""))</f>
        <v/>
      </c>
      <c r="AG1711" s="55">
        <f>IF(OR(T1711="",I1711&lt;T1711),"",IFERROR(AF1711/-(R1711/IF(G1711="",I1711,G1711)-1),""))</f>
        <v/>
      </c>
      <c r="AH1711" s="94" t="n"/>
      <c r="AI1711" s="94" t="n"/>
      <c r="AJ1711" s="94" t="n"/>
      <c r="AK1711" s="94" t="n"/>
      <c r="AL1711" s="84" t="n"/>
    </row>
    <row r="1712">
      <c r="A1712" s="64" t="n"/>
      <c r="B1712" s="65" t="n"/>
      <c r="C1712" s="66" t="n"/>
      <c r="D1712" s="67" t="n"/>
      <c r="E1712" s="68" t="n"/>
      <c r="F1712" s="47">
        <f>IF(A1712="","",IF(MIN(H1712,MAX(J1712:K1712))=0,"",MIN(H1712,MAX(J1712:K1712))))</f>
        <v/>
      </c>
      <c r="G1712" s="74" t="n"/>
      <c r="H1712" s="49">
        <f>IF(M1712="","",IFERROR(ROUND(AVERAGE(T1712+M1712*{7,8,9,10,11})/1.21,4),""))</f>
        <v/>
      </c>
      <c r="I1712" s="76" t="n"/>
      <c r="J1712" s="77" t="n"/>
      <c r="K1712" s="74" t="n"/>
      <c r="L1712" s="78" t="n"/>
      <c r="M1712" s="77" t="n"/>
      <c r="N1712" s="53">
        <f>IF(M1712="","",IFERROR(M1712/I1712,""))</f>
        <v/>
      </c>
      <c r="O1712" s="50">
        <f>IF(A1712="","",IFERROR((IF(G1712="",I1712,G1712)-T1712)/M1712,""))</f>
        <v/>
      </c>
      <c r="P1712" s="50">
        <f>IFERROR((I1712/T1712-1)/N1712,"")</f>
        <v/>
      </c>
      <c r="Q1712" s="46">
        <f>IF(OR(T1712="",I1712&lt;T1712),"",IFERROR(R1712/IF(G1712="",I1712,G1712)-1,""))</f>
        <v/>
      </c>
      <c r="R1712" s="48">
        <f>IF($M1712="","",MAX(IF($G1712="",$I1712,$G1712)*(1/1.1),IF($G1712="",$I1712,$G1712)+(R$2*$M1712)))</f>
        <v/>
      </c>
      <c r="S1712" s="49">
        <f>IF($M1712="","",MAX(IF($G1712="",$I1712,$G1712)*(1/1.1),IF($G1712="",$I1712,$G1712)+(S$2*$M1712)))</f>
        <v/>
      </c>
      <c r="T1712" s="82" t="n"/>
      <c r="U1712" s="47">
        <f>IF(OR($M1712="",$T1712=""),"",$T1712+(U$2*$M1712))</f>
        <v/>
      </c>
      <c r="V1712" s="48">
        <f>IF(OR($M1712="",$T1712=""),"",$T1712+(V$2*$M1712))</f>
        <v/>
      </c>
      <c r="W1712" s="48">
        <f>IF(OR($M1712="",$T1712=""),"",$T1712+(W$2*$M1712))</f>
        <v/>
      </c>
      <c r="X1712" s="49">
        <f>IF(OR($M1712="",$T1712=""),"",$T1712+(X$2*$M1712))</f>
        <v/>
      </c>
      <c r="Y1712" s="47">
        <f>IF(OR($M1712="",$T1712=""),"",$T1712+(Y$2*$M1712))</f>
        <v/>
      </c>
      <c r="Z1712" s="49">
        <f>IF(OR($M1712="",$T1712=""),"",$T1712+(Z$2*$M1712))</f>
        <v/>
      </c>
      <c r="AA1712" s="51">
        <f>IF(OR($M1712="",$T1712=""),"",$T1712+(AA$2*$M1712))</f>
        <v/>
      </c>
      <c r="AB1712" s="48">
        <f>IF(OR($M1712="",$T1712=""),"",$T1712+(AB$2*$M1712))</f>
        <v/>
      </c>
      <c r="AC1712" s="48">
        <f>IF(OR($M1712="",$T1712=""),"",$T1712+(AC$2*$M1712))</f>
        <v/>
      </c>
      <c r="AD1712" s="48">
        <f>IF(OR($M1712="",$T1712=""),"",$T1712+(AD$2*$M1712))</f>
        <v/>
      </c>
      <c r="AE1712" s="49">
        <f>IF(OR($M1712="",$T1712=""),"",$T1712+(AE$2*$M1712))</f>
        <v/>
      </c>
      <c r="AF1712" s="52">
        <f>IF(OR(T1712="",I1712&lt;T1712),"",IFERROR(AVERAGE(T1712+M1712*{7,8,9,10,11})/IF(G1712="",I1712,G1712)-1,""))</f>
        <v/>
      </c>
      <c r="AG1712" s="55">
        <f>IF(OR(T1712="",I1712&lt;T1712),"",IFERROR(AF1712/-(R1712/IF(G1712="",I1712,G1712)-1),""))</f>
        <v/>
      </c>
      <c r="AH1712" s="94" t="n"/>
      <c r="AI1712" s="94" t="n"/>
      <c r="AJ1712" s="94" t="n"/>
      <c r="AK1712" s="94" t="n"/>
      <c r="AL1712" s="84" t="n"/>
    </row>
    <row r="1713">
      <c r="A1713" s="64" t="n"/>
      <c r="B1713" s="65" t="n"/>
      <c r="C1713" s="66" t="n"/>
      <c r="D1713" s="67" t="n"/>
      <c r="E1713" s="68" t="n"/>
      <c r="F1713" s="47">
        <f>IF(A1713="","",IF(MIN(H1713,MAX(J1713:K1713))=0,"",MIN(H1713,MAX(J1713:K1713))))</f>
        <v/>
      </c>
      <c r="G1713" s="74" t="n"/>
      <c r="H1713" s="49">
        <f>IF(M1713="","",IFERROR(ROUND(AVERAGE(T1713+M1713*{7,8,9,10,11})/1.21,4),""))</f>
        <v/>
      </c>
      <c r="I1713" s="76" t="n"/>
      <c r="J1713" s="77" t="n"/>
      <c r="K1713" s="74" t="n"/>
      <c r="L1713" s="78" t="n"/>
      <c r="M1713" s="77" t="n"/>
      <c r="N1713" s="53">
        <f>IF(M1713="","",IFERROR(M1713/I1713,""))</f>
        <v/>
      </c>
      <c r="O1713" s="50">
        <f>IF(A1713="","",IFERROR((IF(G1713="",I1713,G1713)-T1713)/M1713,""))</f>
        <v/>
      </c>
      <c r="P1713" s="50">
        <f>IFERROR((I1713/T1713-1)/N1713,"")</f>
        <v/>
      </c>
      <c r="Q1713" s="46">
        <f>IF(OR(T1713="",I1713&lt;T1713),"",IFERROR(R1713/IF(G1713="",I1713,G1713)-1,""))</f>
        <v/>
      </c>
      <c r="R1713" s="48">
        <f>IF($M1713="","",MAX(IF($G1713="",$I1713,$G1713)*(1/1.1),IF($G1713="",$I1713,$G1713)+(R$2*$M1713)))</f>
        <v/>
      </c>
      <c r="S1713" s="49">
        <f>IF($M1713="","",MAX(IF($G1713="",$I1713,$G1713)*(1/1.1),IF($G1713="",$I1713,$G1713)+(S$2*$M1713)))</f>
        <v/>
      </c>
      <c r="T1713" s="82" t="n"/>
      <c r="U1713" s="47">
        <f>IF(OR($M1713="",$T1713=""),"",$T1713+(U$2*$M1713))</f>
        <v/>
      </c>
      <c r="V1713" s="48">
        <f>IF(OR($M1713="",$T1713=""),"",$T1713+(V$2*$M1713))</f>
        <v/>
      </c>
      <c r="W1713" s="48">
        <f>IF(OR($M1713="",$T1713=""),"",$T1713+(W$2*$M1713))</f>
        <v/>
      </c>
      <c r="X1713" s="49">
        <f>IF(OR($M1713="",$T1713=""),"",$T1713+(X$2*$M1713))</f>
        <v/>
      </c>
      <c r="Y1713" s="47">
        <f>IF(OR($M1713="",$T1713=""),"",$T1713+(Y$2*$M1713))</f>
        <v/>
      </c>
      <c r="Z1713" s="49">
        <f>IF(OR($M1713="",$T1713=""),"",$T1713+(Z$2*$M1713))</f>
        <v/>
      </c>
      <c r="AA1713" s="51">
        <f>IF(OR($M1713="",$T1713=""),"",$T1713+(AA$2*$M1713))</f>
        <v/>
      </c>
      <c r="AB1713" s="48">
        <f>IF(OR($M1713="",$T1713=""),"",$T1713+(AB$2*$M1713))</f>
        <v/>
      </c>
      <c r="AC1713" s="48">
        <f>IF(OR($M1713="",$T1713=""),"",$T1713+(AC$2*$M1713))</f>
        <v/>
      </c>
      <c r="AD1713" s="48">
        <f>IF(OR($M1713="",$T1713=""),"",$T1713+(AD$2*$M1713))</f>
        <v/>
      </c>
      <c r="AE1713" s="49">
        <f>IF(OR($M1713="",$T1713=""),"",$T1713+(AE$2*$M1713))</f>
        <v/>
      </c>
      <c r="AF1713" s="52">
        <f>IF(OR(T1713="",I1713&lt;T1713),"",IFERROR(AVERAGE(T1713+M1713*{7,8,9,10,11})/IF(G1713="",I1713,G1713)-1,""))</f>
        <v/>
      </c>
      <c r="AG1713" s="55">
        <f>IF(OR(T1713="",I1713&lt;T1713),"",IFERROR(AF1713/-(R1713/IF(G1713="",I1713,G1713)-1),""))</f>
        <v/>
      </c>
      <c r="AH1713" s="94" t="n"/>
      <c r="AI1713" s="94" t="n"/>
      <c r="AJ1713" s="94" t="n"/>
      <c r="AK1713" s="94" t="n"/>
      <c r="AL1713" s="84" t="n"/>
    </row>
    <row r="1714">
      <c r="A1714" s="64" t="n"/>
      <c r="B1714" s="65" t="n"/>
      <c r="C1714" s="66" t="n"/>
      <c r="D1714" s="67" t="n"/>
      <c r="E1714" s="68" t="n"/>
      <c r="F1714" s="47">
        <f>IF(A1714="","",IF(MIN(H1714,MAX(J1714:K1714))=0,"",MIN(H1714,MAX(J1714:K1714))))</f>
        <v/>
      </c>
      <c r="G1714" s="74" t="n"/>
      <c r="H1714" s="49">
        <f>IF(M1714="","",IFERROR(ROUND(AVERAGE(T1714+M1714*{7,8,9,10,11})/1.21,4),""))</f>
        <v/>
      </c>
      <c r="I1714" s="76" t="n"/>
      <c r="J1714" s="77" t="n"/>
      <c r="K1714" s="74" t="n"/>
      <c r="L1714" s="78" t="n"/>
      <c r="M1714" s="77" t="n"/>
      <c r="N1714" s="53">
        <f>IF(M1714="","",IFERROR(M1714/I1714,""))</f>
        <v/>
      </c>
      <c r="O1714" s="50">
        <f>IF(A1714="","",IFERROR((IF(G1714="",I1714,G1714)-T1714)/M1714,""))</f>
        <v/>
      </c>
      <c r="P1714" s="50">
        <f>IFERROR((I1714/T1714-1)/N1714,"")</f>
        <v/>
      </c>
      <c r="Q1714" s="46">
        <f>IF(OR(T1714="",I1714&lt;T1714),"",IFERROR(R1714/IF(G1714="",I1714,G1714)-1,""))</f>
        <v/>
      </c>
      <c r="R1714" s="48">
        <f>IF($M1714="","",MAX(IF($G1714="",$I1714,$G1714)*(1/1.1),IF($G1714="",$I1714,$G1714)+(R$2*$M1714)))</f>
        <v/>
      </c>
      <c r="S1714" s="49">
        <f>IF($M1714="","",MAX(IF($G1714="",$I1714,$G1714)*(1/1.1),IF($G1714="",$I1714,$G1714)+(S$2*$M1714)))</f>
        <v/>
      </c>
      <c r="T1714" s="82" t="n"/>
      <c r="U1714" s="47">
        <f>IF(OR($M1714="",$T1714=""),"",$T1714+(U$2*$M1714))</f>
        <v/>
      </c>
      <c r="V1714" s="48">
        <f>IF(OR($M1714="",$T1714=""),"",$T1714+(V$2*$M1714))</f>
        <v/>
      </c>
      <c r="W1714" s="48">
        <f>IF(OR($M1714="",$T1714=""),"",$T1714+(W$2*$M1714))</f>
        <v/>
      </c>
      <c r="X1714" s="49">
        <f>IF(OR($M1714="",$T1714=""),"",$T1714+(X$2*$M1714))</f>
        <v/>
      </c>
      <c r="Y1714" s="47">
        <f>IF(OR($M1714="",$T1714=""),"",$T1714+(Y$2*$M1714))</f>
        <v/>
      </c>
      <c r="Z1714" s="49">
        <f>IF(OR($M1714="",$T1714=""),"",$T1714+(Z$2*$M1714))</f>
        <v/>
      </c>
      <c r="AA1714" s="51">
        <f>IF(OR($M1714="",$T1714=""),"",$T1714+(AA$2*$M1714))</f>
        <v/>
      </c>
      <c r="AB1714" s="48">
        <f>IF(OR($M1714="",$T1714=""),"",$T1714+(AB$2*$M1714))</f>
        <v/>
      </c>
      <c r="AC1714" s="48">
        <f>IF(OR($M1714="",$T1714=""),"",$T1714+(AC$2*$M1714))</f>
        <v/>
      </c>
      <c r="AD1714" s="48">
        <f>IF(OR($M1714="",$T1714=""),"",$T1714+(AD$2*$M1714))</f>
        <v/>
      </c>
      <c r="AE1714" s="49">
        <f>IF(OR($M1714="",$T1714=""),"",$T1714+(AE$2*$M1714))</f>
        <v/>
      </c>
      <c r="AF1714" s="52">
        <f>IF(OR(T1714="",I1714&lt;T1714),"",IFERROR(AVERAGE(T1714+M1714*{7,8,9,10,11})/IF(G1714="",I1714,G1714)-1,""))</f>
        <v/>
      </c>
      <c r="AG1714" s="55">
        <f>IF(OR(T1714="",I1714&lt;T1714),"",IFERROR(AF1714/-(R1714/IF(G1714="",I1714,G1714)-1),""))</f>
        <v/>
      </c>
      <c r="AH1714" s="94" t="n"/>
      <c r="AI1714" s="94" t="n"/>
      <c r="AJ1714" s="94" t="n"/>
      <c r="AK1714" s="94" t="n"/>
      <c r="AL1714" s="84" t="n"/>
    </row>
    <row r="1715">
      <c r="A1715" s="64" t="n"/>
      <c r="B1715" s="65" t="n"/>
      <c r="C1715" s="66" t="n"/>
      <c r="D1715" s="67" t="n"/>
      <c r="E1715" s="68" t="n"/>
      <c r="F1715" s="47">
        <f>IF(A1715="","",IF(MIN(H1715,MAX(J1715:K1715))=0,"",MIN(H1715,MAX(J1715:K1715))))</f>
        <v/>
      </c>
      <c r="G1715" s="74" t="n"/>
      <c r="H1715" s="49">
        <f>IF(M1715="","",IFERROR(ROUND(AVERAGE(T1715+M1715*{7,8,9,10,11})/1.21,4),""))</f>
        <v/>
      </c>
      <c r="I1715" s="76" t="n"/>
      <c r="J1715" s="77" t="n"/>
      <c r="K1715" s="74" t="n"/>
      <c r="L1715" s="78" t="n"/>
      <c r="M1715" s="77" t="n"/>
      <c r="N1715" s="53">
        <f>IF(M1715="","",IFERROR(M1715/I1715,""))</f>
        <v/>
      </c>
      <c r="O1715" s="50">
        <f>IF(A1715="","",IFERROR((IF(G1715="",I1715,G1715)-T1715)/M1715,""))</f>
        <v/>
      </c>
      <c r="P1715" s="50">
        <f>IFERROR((I1715/T1715-1)/N1715,"")</f>
        <v/>
      </c>
      <c r="Q1715" s="46">
        <f>IF(OR(T1715="",I1715&lt;T1715),"",IFERROR(R1715/IF(G1715="",I1715,G1715)-1,""))</f>
        <v/>
      </c>
      <c r="R1715" s="48">
        <f>IF($M1715="","",MAX(IF($G1715="",$I1715,$G1715)*(1/1.1),IF($G1715="",$I1715,$G1715)+(R$2*$M1715)))</f>
        <v/>
      </c>
      <c r="S1715" s="49">
        <f>IF($M1715="","",MAX(IF($G1715="",$I1715,$G1715)*(1/1.1),IF($G1715="",$I1715,$G1715)+(S$2*$M1715)))</f>
        <v/>
      </c>
      <c r="T1715" s="82" t="n"/>
      <c r="U1715" s="47">
        <f>IF(OR($M1715="",$T1715=""),"",$T1715+(U$2*$M1715))</f>
        <v/>
      </c>
      <c r="V1715" s="48">
        <f>IF(OR($M1715="",$T1715=""),"",$T1715+(V$2*$M1715))</f>
        <v/>
      </c>
      <c r="W1715" s="48">
        <f>IF(OR($M1715="",$T1715=""),"",$T1715+(W$2*$M1715))</f>
        <v/>
      </c>
      <c r="X1715" s="49">
        <f>IF(OR($M1715="",$T1715=""),"",$T1715+(X$2*$M1715))</f>
        <v/>
      </c>
      <c r="Y1715" s="47">
        <f>IF(OR($M1715="",$T1715=""),"",$T1715+(Y$2*$M1715))</f>
        <v/>
      </c>
      <c r="Z1715" s="49">
        <f>IF(OR($M1715="",$T1715=""),"",$T1715+(Z$2*$M1715))</f>
        <v/>
      </c>
      <c r="AA1715" s="51">
        <f>IF(OR($M1715="",$T1715=""),"",$T1715+(AA$2*$M1715))</f>
        <v/>
      </c>
      <c r="AB1715" s="48">
        <f>IF(OR($M1715="",$T1715=""),"",$T1715+(AB$2*$M1715))</f>
        <v/>
      </c>
      <c r="AC1715" s="48">
        <f>IF(OR($M1715="",$T1715=""),"",$T1715+(AC$2*$M1715))</f>
        <v/>
      </c>
      <c r="AD1715" s="48">
        <f>IF(OR($M1715="",$T1715=""),"",$T1715+(AD$2*$M1715))</f>
        <v/>
      </c>
      <c r="AE1715" s="49">
        <f>IF(OR($M1715="",$T1715=""),"",$T1715+(AE$2*$M1715))</f>
        <v/>
      </c>
      <c r="AF1715" s="52">
        <f>IF(OR(T1715="",I1715&lt;T1715),"",IFERROR(AVERAGE(T1715+M1715*{7,8,9,10,11})/IF(G1715="",I1715,G1715)-1,""))</f>
        <v/>
      </c>
      <c r="AG1715" s="55">
        <f>IF(OR(T1715="",I1715&lt;T1715),"",IFERROR(AF1715/-(R1715/IF(G1715="",I1715,G1715)-1),""))</f>
        <v/>
      </c>
      <c r="AH1715" s="94" t="n"/>
      <c r="AI1715" s="94" t="n"/>
      <c r="AJ1715" s="94" t="n"/>
      <c r="AK1715" s="94" t="n"/>
      <c r="AL1715" s="84" t="n"/>
    </row>
    <row r="1716">
      <c r="A1716" s="64" t="n"/>
      <c r="B1716" s="65" t="n"/>
      <c r="C1716" s="66" t="n"/>
      <c r="D1716" s="67" t="n"/>
      <c r="E1716" s="68" t="n"/>
      <c r="F1716" s="47">
        <f>IF(A1716="","",IF(MIN(H1716,MAX(J1716:K1716))=0,"",MIN(H1716,MAX(J1716:K1716))))</f>
        <v/>
      </c>
      <c r="G1716" s="74" t="n"/>
      <c r="H1716" s="49">
        <f>IF(M1716="","",IFERROR(ROUND(AVERAGE(T1716+M1716*{7,8,9,10,11})/1.21,4),""))</f>
        <v/>
      </c>
      <c r="I1716" s="76" t="n"/>
      <c r="J1716" s="77" t="n"/>
      <c r="K1716" s="74" t="n"/>
      <c r="L1716" s="78" t="n"/>
      <c r="M1716" s="77" t="n"/>
      <c r="N1716" s="53">
        <f>IF(M1716="","",IFERROR(M1716/I1716,""))</f>
        <v/>
      </c>
      <c r="O1716" s="50">
        <f>IF(A1716="","",IFERROR((IF(G1716="",I1716,G1716)-T1716)/M1716,""))</f>
        <v/>
      </c>
      <c r="P1716" s="50">
        <f>IFERROR((I1716/T1716-1)/N1716,"")</f>
        <v/>
      </c>
      <c r="Q1716" s="46">
        <f>IF(OR(T1716="",I1716&lt;T1716),"",IFERROR(R1716/IF(G1716="",I1716,G1716)-1,""))</f>
        <v/>
      </c>
      <c r="R1716" s="48">
        <f>IF($M1716="","",MAX(IF($G1716="",$I1716,$G1716)*(1/1.1),IF($G1716="",$I1716,$G1716)+(R$2*$M1716)))</f>
        <v/>
      </c>
      <c r="S1716" s="49">
        <f>IF($M1716="","",MAX(IF($G1716="",$I1716,$G1716)*(1/1.1),IF($G1716="",$I1716,$G1716)+(S$2*$M1716)))</f>
        <v/>
      </c>
      <c r="T1716" s="82" t="n"/>
      <c r="U1716" s="47">
        <f>IF(OR($M1716="",$T1716=""),"",$T1716+(U$2*$M1716))</f>
        <v/>
      </c>
      <c r="V1716" s="48">
        <f>IF(OR($M1716="",$T1716=""),"",$T1716+(V$2*$M1716))</f>
        <v/>
      </c>
      <c r="W1716" s="48">
        <f>IF(OR($M1716="",$T1716=""),"",$T1716+(W$2*$M1716))</f>
        <v/>
      </c>
      <c r="X1716" s="49">
        <f>IF(OR($M1716="",$T1716=""),"",$T1716+(X$2*$M1716))</f>
        <v/>
      </c>
      <c r="Y1716" s="47">
        <f>IF(OR($M1716="",$T1716=""),"",$T1716+(Y$2*$M1716))</f>
        <v/>
      </c>
      <c r="Z1716" s="49">
        <f>IF(OR($M1716="",$T1716=""),"",$T1716+(Z$2*$M1716))</f>
        <v/>
      </c>
      <c r="AA1716" s="51">
        <f>IF(OR($M1716="",$T1716=""),"",$T1716+(AA$2*$M1716))</f>
        <v/>
      </c>
      <c r="AB1716" s="48">
        <f>IF(OR($M1716="",$T1716=""),"",$T1716+(AB$2*$M1716))</f>
        <v/>
      </c>
      <c r="AC1716" s="48">
        <f>IF(OR($M1716="",$T1716=""),"",$T1716+(AC$2*$M1716))</f>
        <v/>
      </c>
      <c r="AD1716" s="48">
        <f>IF(OR($M1716="",$T1716=""),"",$T1716+(AD$2*$M1716))</f>
        <v/>
      </c>
      <c r="AE1716" s="49">
        <f>IF(OR($M1716="",$T1716=""),"",$T1716+(AE$2*$M1716))</f>
        <v/>
      </c>
      <c r="AF1716" s="52">
        <f>IF(OR(T1716="",I1716&lt;T1716),"",IFERROR(AVERAGE(T1716+M1716*{7,8,9,10,11})/IF(G1716="",I1716,G1716)-1,""))</f>
        <v/>
      </c>
      <c r="AG1716" s="55">
        <f>IF(OR(T1716="",I1716&lt;T1716),"",IFERROR(AF1716/-(R1716/IF(G1716="",I1716,G1716)-1),""))</f>
        <v/>
      </c>
      <c r="AH1716" s="94" t="n"/>
      <c r="AI1716" s="94" t="n"/>
      <c r="AJ1716" s="94" t="n"/>
      <c r="AK1716" s="94" t="n"/>
      <c r="AL1716" s="84" t="n"/>
    </row>
    <row r="1717">
      <c r="A1717" s="64" t="n"/>
      <c r="B1717" s="65" t="n"/>
      <c r="C1717" s="66" t="n"/>
      <c r="D1717" s="67" t="n"/>
      <c r="E1717" s="68" t="n"/>
      <c r="F1717" s="47">
        <f>IF(A1717="","",IF(MIN(H1717,MAX(J1717:K1717))=0,"",MIN(H1717,MAX(J1717:K1717))))</f>
        <v/>
      </c>
      <c r="G1717" s="74" t="n"/>
      <c r="H1717" s="49">
        <f>IF(M1717="","",IFERROR(ROUND(AVERAGE(T1717+M1717*{7,8,9,10,11})/1.21,4),""))</f>
        <v/>
      </c>
      <c r="I1717" s="76" t="n"/>
      <c r="J1717" s="77" t="n"/>
      <c r="K1717" s="74" t="n"/>
      <c r="L1717" s="78" t="n"/>
      <c r="M1717" s="77" t="n"/>
      <c r="N1717" s="53">
        <f>IF(M1717="","",IFERROR(M1717/I1717,""))</f>
        <v/>
      </c>
      <c r="O1717" s="50">
        <f>IF(A1717="","",IFERROR((IF(G1717="",I1717,G1717)-T1717)/M1717,""))</f>
        <v/>
      </c>
      <c r="P1717" s="50">
        <f>IFERROR((I1717/T1717-1)/N1717,"")</f>
        <v/>
      </c>
      <c r="Q1717" s="46">
        <f>IF(OR(T1717="",I1717&lt;T1717),"",IFERROR(R1717/IF(G1717="",I1717,G1717)-1,""))</f>
        <v/>
      </c>
      <c r="R1717" s="48">
        <f>IF($M1717="","",MAX(IF($G1717="",$I1717,$G1717)*(1/1.1),IF($G1717="",$I1717,$G1717)+(R$2*$M1717)))</f>
        <v/>
      </c>
      <c r="S1717" s="49">
        <f>IF($M1717="","",MAX(IF($G1717="",$I1717,$G1717)*(1/1.1),IF($G1717="",$I1717,$G1717)+(S$2*$M1717)))</f>
        <v/>
      </c>
      <c r="T1717" s="82" t="n"/>
      <c r="U1717" s="47">
        <f>IF(OR($M1717="",$T1717=""),"",$T1717+(U$2*$M1717))</f>
        <v/>
      </c>
      <c r="V1717" s="48">
        <f>IF(OR($M1717="",$T1717=""),"",$T1717+(V$2*$M1717))</f>
        <v/>
      </c>
      <c r="W1717" s="48">
        <f>IF(OR($M1717="",$T1717=""),"",$T1717+(W$2*$M1717))</f>
        <v/>
      </c>
      <c r="X1717" s="49">
        <f>IF(OR($M1717="",$T1717=""),"",$T1717+(X$2*$M1717))</f>
        <v/>
      </c>
      <c r="Y1717" s="47">
        <f>IF(OR($M1717="",$T1717=""),"",$T1717+(Y$2*$M1717))</f>
        <v/>
      </c>
      <c r="Z1717" s="49">
        <f>IF(OR($M1717="",$T1717=""),"",$T1717+(Z$2*$M1717))</f>
        <v/>
      </c>
      <c r="AA1717" s="51">
        <f>IF(OR($M1717="",$T1717=""),"",$T1717+(AA$2*$M1717))</f>
        <v/>
      </c>
      <c r="AB1717" s="48">
        <f>IF(OR($M1717="",$T1717=""),"",$T1717+(AB$2*$M1717))</f>
        <v/>
      </c>
      <c r="AC1717" s="48">
        <f>IF(OR($M1717="",$T1717=""),"",$T1717+(AC$2*$M1717))</f>
        <v/>
      </c>
      <c r="AD1717" s="48">
        <f>IF(OR($M1717="",$T1717=""),"",$T1717+(AD$2*$M1717))</f>
        <v/>
      </c>
      <c r="AE1717" s="49">
        <f>IF(OR($M1717="",$T1717=""),"",$T1717+(AE$2*$M1717))</f>
        <v/>
      </c>
      <c r="AF1717" s="52">
        <f>IF(OR(T1717="",I1717&lt;T1717),"",IFERROR(AVERAGE(T1717+M1717*{7,8,9,10,11})/IF(G1717="",I1717,G1717)-1,""))</f>
        <v/>
      </c>
      <c r="AG1717" s="55">
        <f>IF(OR(T1717="",I1717&lt;T1717),"",IFERROR(AF1717/-(R1717/IF(G1717="",I1717,G1717)-1),""))</f>
        <v/>
      </c>
      <c r="AH1717" s="94" t="n"/>
      <c r="AI1717" s="94" t="n"/>
      <c r="AJ1717" s="94" t="n"/>
      <c r="AK1717" s="94" t="n"/>
      <c r="AL1717" s="84" t="n"/>
    </row>
    <row r="1718">
      <c r="A1718" s="64" t="n"/>
      <c r="B1718" s="65" t="n"/>
      <c r="C1718" s="66" t="n"/>
      <c r="D1718" s="67" t="n"/>
      <c r="E1718" s="68" t="n"/>
      <c r="F1718" s="47">
        <f>IF(A1718="","",IF(MIN(H1718,MAX(J1718:K1718))=0,"",MIN(H1718,MAX(J1718:K1718))))</f>
        <v/>
      </c>
      <c r="G1718" s="74" t="n"/>
      <c r="H1718" s="49">
        <f>IF(M1718="","",IFERROR(ROUND(AVERAGE(T1718+M1718*{7,8,9,10,11})/1.21,4),""))</f>
        <v/>
      </c>
      <c r="I1718" s="76" t="n"/>
      <c r="J1718" s="77" t="n"/>
      <c r="K1718" s="74" t="n"/>
      <c r="L1718" s="78" t="n"/>
      <c r="M1718" s="77" t="n"/>
      <c r="N1718" s="53">
        <f>IF(M1718="","",IFERROR(M1718/I1718,""))</f>
        <v/>
      </c>
      <c r="O1718" s="50">
        <f>IF(A1718="","",IFERROR((IF(G1718="",I1718,G1718)-T1718)/M1718,""))</f>
        <v/>
      </c>
      <c r="P1718" s="50">
        <f>IFERROR((I1718/T1718-1)/N1718,"")</f>
        <v/>
      </c>
      <c r="Q1718" s="46">
        <f>IF(OR(T1718="",I1718&lt;T1718),"",IFERROR(R1718/IF(G1718="",I1718,G1718)-1,""))</f>
        <v/>
      </c>
      <c r="R1718" s="48">
        <f>IF($M1718="","",MAX(IF($G1718="",$I1718,$G1718)*(1/1.1),IF($G1718="",$I1718,$G1718)+(R$2*$M1718)))</f>
        <v/>
      </c>
      <c r="S1718" s="49">
        <f>IF($M1718="","",MAX(IF($G1718="",$I1718,$G1718)*(1/1.1),IF($G1718="",$I1718,$G1718)+(S$2*$M1718)))</f>
        <v/>
      </c>
      <c r="T1718" s="82" t="n"/>
      <c r="U1718" s="47">
        <f>IF(OR($M1718="",$T1718=""),"",$T1718+(U$2*$M1718))</f>
        <v/>
      </c>
      <c r="V1718" s="48">
        <f>IF(OR($M1718="",$T1718=""),"",$T1718+(V$2*$M1718))</f>
        <v/>
      </c>
      <c r="W1718" s="48">
        <f>IF(OR($M1718="",$T1718=""),"",$T1718+(W$2*$M1718))</f>
        <v/>
      </c>
      <c r="X1718" s="49">
        <f>IF(OR($M1718="",$T1718=""),"",$T1718+(X$2*$M1718))</f>
        <v/>
      </c>
      <c r="Y1718" s="47">
        <f>IF(OR($M1718="",$T1718=""),"",$T1718+(Y$2*$M1718))</f>
        <v/>
      </c>
      <c r="Z1718" s="49">
        <f>IF(OR($M1718="",$T1718=""),"",$T1718+(Z$2*$M1718))</f>
        <v/>
      </c>
      <c r="AA1718" s="51">
        <f>IF(OR($M1718="",$T1718=""),"",$T1718+(AA$2*$M1718))</f>
        <v/>
      </c>
      <c r="AB1718" s="48">
        <f>IF(OR($M1718="",$T1718=""),"",$T1718+(AB$2*$M1718))</f>
        <v/>
      </c>
      <c r="AC1718" s="48">
        <f>IF(OR($M1718="",$T1718=""),"",$T1718+(AC$2*$M1718))</f>
        <v/>
      </c>
      <c r="AD1718" s="48">
        <f>IF(OR($M1718="",$T1718=""),"",$T1718+(AD$2*$M1718))</f>
        <v/>
      </c>
      <c r="AE1718" s="49">
        <f>IF(OR($M1718="",$T1718=""),"",$T1718+(AE$2*$M1718))</f>
        <v/>
      </c>
      <c r="AF1718" s="52">
        <f>IF(OR(T1718="",I1718&lt;T1718),"",IFERROR(AVERAGE(T1718+M1718*{7,8,9,10,11})/IF(G1718="",I1718,G1718)-1,""))</f>
        <v/>
      </c>
      <c r="AG1718" s="55">
        <f>IF(OR(T1718="",I1718&lt;T1718),"",IFERROR(AF1718/-(R1718/IF(G1718="",I1718,G1718)-1),""))</f>
        <v/>
      </c>
      <c r="AH1718" s="94" t="n"/>
      <c r="AI1718" s="94" t="n"/>
      <c r="AJ1718" s="94" t="n"/>
      <c r="AK1718" s="94" t="n"/>
      <c r="AL1718" s="84" t="n"/>
    </row>
    <row r="1719">
      <c r="A1719" s="64" t="n"/>
      <c r="B1719" s="65" t="n"/>
      <c r="C1719" s="66" t="n"/>
      <c r="D1719" s="67" t="n"/>
      <c r="E1719" s="68" t="n"/>
      <c r="F1719" s="47">
        <f>IF(A1719="","",IF(MIN(H1719,MAX(J1719:K1719))=0,"",MIN(H1719,MAX(J1719:K1719))))</f>
        <v/>
      </c>
      <c r="G1719" s="74" t="n"/>
      <c r="H1719" s="49">
        <f>IF(M1719="","",IFERROR(ROUND(AVERAGE(T1719+M1719*{7,8,9,10,11})/1.21,4),""))</f>
        <v/>
      </c>
      <c r="I1719" s="76" t="n"/>
      <c r="J1719" s="77" t="n"/>
      <c r="K1719" s="74" t="n"/>
      <c r="L1719" s="78" t="n"/>
      <c r="M1719" s="77" t="n"/>
      <c r="N1719" s="53">
        <f>IF(M1719="","",IFERROR(M1719/I1719,""))</f>
        <v/>
      </c>
      <c r="O1719" s="50">
        <f>IF(A1719="","",IFERROR((IF(G1719="",I1719,G1719)-T1719)/M1719,""))</f>
        <v/>
      </c>
      <c r="P1719" s="50">
        <f>IFERROR((I1719/T1719-1)/N1719,"")</f>
        <v/>
      </c>
      <c r="Q1719" s="46">
        <f>IF(OR(T1719="",I1719&lt;T1719),"",IFERROR(R1719/IF(G1719="",I1719,G1719)-1,""))</f>
        <v/>
      </c>
      <c r="R1719" s="48">
        <f>IF($M1719="","",MAX(IF($G1719="",$I1719,$G1719)*(1/1.1),IF($G1719="",$I1719,$G1719)+(R$2*$M1719)))</f>
        <v/>
      </c>
      <c r="S1719" s="49">
        <f>IF($M1719="","",MAX(IF($G1719="",$I1719,$G1719)*(1/1.1),IF($G1719="",$I1719,$G1719)+(S$2*$M1719)))</f>
        <v/>
      </c>
      <c r="T1719" s="82" t="n"/>
      <c r="U1719" s="47">
        <f>IF(OR($M1719="",$T1719=""),"",$T1719+(U$2*$M1719))</f>
        <v/>
      </c>
      <c r="V1719" s="48">
        <f>IF(OR($M1719="",$T1719=""),"",$T1719+(V$2*$M1719))</f>
        <v/>
      </c>
      <c r="W1719" s="48">
        <f>IF(OR($M1719="",$T1719=""),"",$T1719+(W$2*$M1719))</f>
        <v/>
      </c>
      <c r="X1719" s="49">
        <f>IF(OR($M1719="",$T1719=""),"",$T1719+(X$2*$M1719))</f>
        <v/>
      </c>
      <c r="Y1719" s="47">
        <f>IF(OR($M1719="",$T1719=""),"",$T1719+(Y$2*$M1719))</f>
        <v/>
      </c>
      <c r="Z1719" s="49">
        <f>IF(OR($M1719="",$T1719=""),"",$T1719+(Z$2*$M1719))</f>
        <v/>
      </c>
      <c r="AA1719" s="51">
        <f>IF(OR($M1719="",$T1719=""),"",$T1719+(AA$2*$M1719))</f>
        <v/>
      </c>
      <c r="AB1719" s="48">
        <f>IF(OR($M1719="",$T1719=""),"",$T1719+(AB$2*$M1719))</f>
        <v/>
      </c>
      <c r="AC1719" s="48">
        <f>IF(OR($M1719="",$T1719=""),"",$T1719+(AC$2*$M1719))</f>
        <v/>
      </c>
      <c r="AD1719" s="48">
        <f>IF(OR($M1719="",$T1719=""),"",$T1719+(AD$2*$M1719))</f>
        <v/>
      </c>
      <c r="AE1719" s="49">
        <f>IF(OR($M1719="",$T1719=""),"",$T1719+(AE$2*$M1719))</f>
        <v/>
      </c>
      <c r="AF1719" s="52">
        <f>IF(OR(T1719="",I1719&lt;T1719),"",IFERROR(AVERAGE(T1719+M1719*{7,8,9,10,11})/IF(G1719="",I1719,G1719)-1,""))</f>
        <v/>
      </c>
      <c r="AG1719" s="55">
        <f>IF(OR(T1719="",I1719&lt;T1719),"",IFERROR(AF1719/-(R1719/IF(G1719="",I1719,G1719)-1),""))</f>
        <v/>
      </c>
      <c r="AH1719" s="94" t="n"/>
      <c r="AI1719" s="94" t="n"/>
      <c r="AJ1719" s="94" t="n"/>
      <c r="AK1719" s="94" t="n"/>
      <c r="AL1719" s="84" t="n"/>
    </row>
    <row r="1720">
      <c r="A1720" s="64" t="n"/>
      <c r="B1720" s="65" t="n"/>
      <c r="C1720" s="66" t="n"/>
      <c r="D1720" s="67" t="n"/>
      <c r="E1720" s="68" t="n"/>
      <c r="F1720" s="47">
        <f>IF(A1720="","",IF(MIN(H1720,MAX(J1720:K1720))=0,"",MIN(H1720,MAX(J1720:K1720))))</f>
        <v/>
      </c>
      <c r="G1720" s="74" t="n"/>
      <c r="H1720" s="49">
        <f>IF(M1720="","",IFERROR(ROUND(AVERAGE(T1720+M1720*{7,8,9,10,11})/1.21,4),""))</f>
        <v/>
      </c>
      <c r="I1720" s="76" t="n"/>
      <c r="J1720" s="77" t="n"/>
      <c r="K1720" s="74" t="n"/>
      <c r="L1720" s="78" t="n"/>
      <c r="M1720" s="77" t="n"/>
      <c r="N1720" s="53">
        <f>IF(M1720="","",IFERROR(M1720/I1720,""))</f>
        <v/>
      </c>
      <c r="O1720" s="50">
        <f>IF(A1720="","",IFERROR((IF(G1720="",I1720,G1720)-T1720)/M1720,""))</f>
        <v/>
      </c>
      <c r="P1720" s="50">
        <f>IFERROR((I1720/T1720-1)/N1720,"")</f>
        <v/>
      </c>
      <c r="Q1720" s="46">
        <f>IF(OR(T1720="",I1720&lt;T1720),"",IFERROR(R1720/IF(G1720="",I1720,G1720)-1,""))</f>
        <v/>
      </c>
      <c r="R1720" s="48">
        <f>IF($M1720="","",MAX(IF($G1720="",$I1720,$G1720)*(1/1.1),IF($G1720="",$I1720,$G1720)+(R$2*$M1720)))</f>
        <v/>
      </c>
      <c r="S1720" s="49">
        <f>IF($M1720="","",MAX(IF($G1720="",$I1720,$G1720)*(1/1.1),IF($G1720="",$I1720,$G1720)+(S$2*$M1720)))</f>
        <v/>
      </c>
      <c r="T1720" s="82" t="n"/>
      <c r="U1720" s="47">
        <f>IF(OR($M1720="",$T1720=""),"",$T1720+(U$2*$M1720))</f>
        <v/>
      </c>
      <c r="V1720" s="48">
        <f>IF(OR($M1720="",$T1720=""),"",$T1720+(V$2*$M1720))</f>
        <v/>
      </c>
      <c r="W1720" s="48">
        <f>IF(OR($M1720="",$T1720=""),"",$T1720+(W$2*$M1720))</f>
        <v/>
      </c>
      <c r="X1720" s="49">
        <f>IF(OR($M1720="",$T1720=""),"",$T1720+(X$2*$M1720))</f>
        <v/>
      </c>
      <c r="Y1720" s="47">
        <f>IF(OR($M1720="",$T1720=""),"",$T1720+(Y$2*$M1720))</f>
        <v/>
      </c>
      <c r="Z1720" s="49">
        <f>IF(OR($M1720="",$T1720=""),"",$T1720+(Z$2*$M1720))</f>
        <v/>
      </c>
      <c r="AA1720" s="51">
        <f>IF(OR($M1720="",$T1720=""),"",$T1720+(AA$2*$M1720))</f>
        <v/>
      </c>
      <c r="AB1720" s="48">
        <f>IF(OR($M1720="",$T1720=""),"",$T1720+(AB$2*$M1720))</f>
        <v/>
      </c>
      <c r="AC1720" s="48">
        <f>IF(OR($M1720="",$T1720=""),"",$T1720+(AC$2*$M1720))</f>
        <v/>
      </c>
      <c r="AD1720" s="48">
        <f>IF(OR($M1720="",$T1720=""),"",$T1720+(AD$2*$M1720))</f>
        <v/>
      </c>
      <c r="AE1720" s="49">
        <f>IF(OR($M1720="",$T1720=""),"",$T1720+(AE$2*$M1720))</f>
        <v/>
      </c>
      <c r="AF1720" s="52">
        <f>IF(OR(T1720="",I1720&lt;T1720),"",IFERROR(AVERAGE(T1720+M1720*{7,8,9,10,11})/IF(G1720="",I1720,G1720)-1,""))</f>
        <v/>
      </c>
      <c r="AG1720" s="55">
        <f>IF(OR(T1720="",I1720&lt;T1720),"",IFERROR(AF1720/-(R1720/IF(G1720="",I1720,G1720)-1),""))</f>
        <v/>
      </c>
      <c r="AH1720" s="94" t="n"/>
      <c r="AI1720" s="94" t="n"/>
      <c r="AJ1720" s="94" t="n"/>
      <c r="AK1720" s="94" t="n"/>
      <c r="AL1720" s="84" t="n"/>
    </row>
    <row r="1721">
      <c r="A1721" s="64" t="n"/>
      <c r="B1721" s="65" t="n"/>
      <c r="C1721" s="66" t="n"/>
      <c r="D1721" s="67" t="n"/>
      <c r="E1721" s="68" t="n"/>
      <c r="F1721" s="47">
        <f>IF(A1721="","",IF(MIN(H1721,MAX(J1721:K1721))=0,"",MIN(H1721,MAX(J1721:K1721))))</f>
        <v/>
      </c>
      <c r="G1721" s="74" t="n"/>
      <c r="H1721" s="49">
        <f>IF(M1721="","",IFERROR(ROUND(AVERAGE(T1721+M1721*{7,8,9,10,11})/1.21,4),""))</f>
        <v/>
      </c>
      <c r="I1721" s="76" t="n"/>
      <c r="J1721" s="77" t="n"/>
      <c r="K1721" s="74" t="n"/>
      <c r="L1721" s="78" t="n"/>
      <c r="M1721" s="77" t="n"/>
      <c r="N1721" s="53">
        <f>IF(M1721="","",IFERROR(M1721/I1721,""))</f>
        <v/>
      </c>
      <c r="O1721" s="50">
        <f>IF(A1721="","",IFERROR((IF(G1721="",I1721,G1721)-T1721)/M1721,""))</f>
        <v/>
      </c>
      <c r="P1721" s="50">
        <f>IFERROR((I1721/T1721-1)/N1721,"")</f>
        <v/>
      </c>
      <c r="Q1721" s="46">
        <f>IF(OR(T1721="",I1721&lt;T1721),"",IFERROR(R1721/IF(G1721="",I1721,G1721)-1,""))</f>
        <v/>
      </c>
      <c r="R1721" s="48">
        <f>IF($M1721="","",MAX(IF($G1721="",$I1721,$G1721)*(1/1.1),IF($G1721="",$I1721,$G1721)+(R$2*$M1721)))</f>
        <v/>
      </c>
      <c r="S1721" s="49">
        <f>IF($M1721="","",MAX(IF($G1721="",$I1721,$G1721)*(1/1.1),IF($G1721="",$I1721,$G1721)+(S$2*$M1721)))</f>
        <v/>
      </c>
      <c r="T1721" s="82" t="n"/>
      <c r="U1721" s="47">
        <f>IF(OR($M1721="",$T1721=""),"",$T1721+(U$2*$M1721))</f>
        <v/>
      </c>
      <c r="V1721" s="48">
        <f>IF(OR($M1721="",$T1721=""),"",$T1721+(V$2*$M1721))</f>
        <v/>
      </c>
      <c r="W1721" s="48">
        <f>IF(OR($M1721="",$T1721=""),"",$T1721+(W$2*$M1721))</f>
        <v/>
      </c>
      <c r="X1721" s="49">
        <f>IF(OR($M1721="",$T1721=""),"",$T1721+(X$2*$M1721))</f>
        <v/>
      </c>
      <c r="Y1721" s="47">
        <f>IF(OR($M1721="",$T1721=""),"",$T1721+(Y$2*$M1721))</f>
        <v/>
      </c>
      <c r="Z1721" s="49">
        <f>IF(OR($M1721="",$T1721=""),"",$T1721+(Z$2*$M1721))</f>
        <v/>
      </c>
      <c r="AA1721" s="51">
        <f>IF(OR($M1721="",$T1721=""),"",$T1721+(AA$2*$M1721))</f>
        <v/>
      </c>
      <c r="AB1721" s="48">
        <f>IF(OR($M1721="",$T1721=""),"",$T1721+(AB$2*$M1721))</f>
        <v/>
      </c>
      <c r="AC1721" s="48">
        <f>IF(OR($M1721="",$T1721=""),"",$T1721+(AC$2*$M1721))</f>
        <v/>
      </c>
      <c r="AD1721" s="48">
        <f>IF(OR($M1721="",$T1721=""),"",$T1721+(AD$2*$M1721))</f>
        <v/>
      </c>
      <c r="AE1721" s="49">
        <f>IF(OR($M1721="",$T1721=""),"",$T1721+(AE$2*$M1721))</f>
        <v/>
      </c>
      <c r="AF1721" s="52">
        <f>IF(OR(T1721="",I1721&lt;T1721),"",IFERROR(AVERAGE(T1721+M1721*{7,8,9,10,11})/IF(G1721="",I1721,G1721)-1,""))</f>
        <v/>
      </c>
      <c r="AG1721" s="55">
        <f>IF(OR(T1721="",I1721&lt;T1721),"",IFERROR(AF1721/-(R1721/IF(G1721="",I1721,G1721)-1),""))</f>
        <v/>
      </c>
      <c r="AH1721" s="94" t="n"/>
      <c r="AI1721" s="94" t="n"/>
      <c r="AJ1721" s="94" t="n"/>
      <c r="AK1721" s="94" t="n"/>
      <c r="AL1721" s="84" t="n"/>
    </row>
    <row r="1722">
      <c r="A1722" s="64" t="n"/>
      <c r="B1722" s="65" t="n"/>
      <c r="C1722" s="66" t="n"/>
      <c r="D1722" s="67" t="n"/>
      <c r="E1722" s="68" t="n"/>
      <c r="F1722" s="47">
        <f>IF(A1722="","",IF(MIN(H1722,MAX(J1722:K1722))=0,"",MIN(H1722,MAX(J1722:K1722))))</f>
        <v/>
      </c>
      <c r="G1722" s="74" t="n"/>
      <c r="H1722" s="49">
        <f>IF(M1722="","",IFERROR(ROUND(AVERAGE(T1722+M1722*{7,8,9,10,11})/1.21,4),""))</f>
        <v/>
      </c>
      <c r="I1722" s="76" t="n"/>
      <c r="J1722" s="77" t="n"/>
      <c r="K1722" s="74" t="n"/>
      <c r="L1722" s="78" t="n"/>
      <c r="M1722" s="77" t="n"/>
      <c r="N1722" s="53">
        <f>IF(M1722="","",IFERROR(M1722/I1722,""))</f>
        <v/>
      </c>
      <c r="O1722" s="50">
        <f>IF(A1722="","",IFERROR((IF(G1722="",I1722,G1722)-T1722)/M1722,""))</f>
        <v/>
      </c>
      <c r="P1722" s="50">
        <f>IFERROR((I1722/T1722-1)/N1722,"")</f>
        <v/>
      </c>
      <c r="Q1722" s="46">
        <f>IF(OR(T1722="",I1722&lt;T1722),"",IFERROR(R1722/IF(G1722="",I1722,G1722)-1,""))</f>
        <v/>
      </c>
      <c r="R1722" s="48">
        <f>IF($M1722="","",MAX(IF($G1722="",$I1722,$G1722)*(1/1.1),IF($G1722="",$I1722,$G1722)+(R$2*$M1722)))</f>
        <v/>
      </c>
      <c r="S1722" s="49">
        <f>IF($M1722="","",MAX(IF($G1722="",$I1722,$G1722)*(1/1.1),IF($G1722="",$I1722,$G1722)+(S$2*$M1722)))</f>
        <v/>
      </c>
      <c r="T1722" s="82" t="n"/>
      <c r="U1722" s="47">
        <f>IF(OR($M1722="",$T1722=""),"",$T1722+(U$2*$M1722))</f>
        <v/>
      </c>
      <c r="V1722" s="48">
        <f>IF(OR($M1722="",$T1722=""),"",$T1722+(V$2*$M1722))</f>
        <v/>
      </c>
      <c r="W1722" s="48">
        <f>IF(OR($M1722="",$T1722=""),"",$T1722+(W$2*$M1722))</f>
        <v/>
      </c>
      <c r="X1722" s="49">
        <f>IF(OR($M1722="",$T1722=""),"",$T1722+(X$2*$M1722))</f>
        <v/>
      </c>
      <c r="Y1722" s="47">
        <f>IF(OR($M1722="",$T1722=""),"",$T1722+(Y$2*$M1722))</f>
        <v/>
      </c>
      <c r="Z1722" s="49">
        <f>IF(OR($M1722="",$T1722=""),"",$T1722+(Z$2*$M1722))</f>
        <v/>
      </c>
      <c r="AA1722" s="51">
        <f>IF(OR($M1722="",$T1722=""),"",$T1722+(AA$2*$M1722))</f>
        <v/>
      </c>
      <c r="AB1722" s="48">
        <f>IF(OR($M1722="",$T1722=""),"",$T1722+(AB$2*$M1722))</f>
        <v/>
      </c>
      <c r="AC1722" s="48">
        <f>IF(OR($M1722="",$T1722=""),"",$T1722+(AC$2*$M1722))</f>
        <v/>
      </c>
      <c r="AD1722" s="48">
        <f>IF(OR($M1722="",$T1722=""),"",$T1722+(AD$2*$M1722))</f>
        <v/>
      </c>
      <c r="AE1722" s="49">
        <f>IF(OR($M1722="",$T1722=""),"",$T1722+(AE$2*$M1722))</f>
        <v/>
      </c>
      <c r="AF1722" s="52">
        <f>IF(OR(T1722="",I1722&lt;T1722),"",IFERROR(AVERAGE(T1722+M1722*{7,8,9,10,11})/IF(G1722="",I1722,G1722)-1,""))</f>
        <v/>
      </c>
      <c r="AG1722" s="55">
        <f>IF(OR(T1722="",I1722&lt;T1722),"",IFERROR(AF1722/-(R1722/IF(G1722="",I1722,G1722)-1),""))</f>
        <v/>
      </c>
      <c r="AH1722" s="94" t="n"/>
      <c r="AI1722" s="94" t="n"/>
      <c r="AJ1722" s="94" t="n"/>
      <c r="AK1722" s="94" t="n"/>
      <c r="AL1722" s="84" t="n"/>
    </row>
    <row r="1723">
      <c r="A1723" s="64" t="n"/>
      <c r="B1723" s="65" t="n"/>
      <c r="C1723" s="66" t="n"/>
      <c r="D1723" s="67" t="n"/>
      <c r="E1723" s="68" t="n"/>
      <c r="F1723" s="47">
        <f>IF(A1723="","",IF(MIN(H1723,MAX(J1723:K1723))=0,"",MIN(H1723,MAX(J1723:K1723))))</f>
        <v/>
      </c>
      <c r="G1723" s="74" t="n"/>
      <c r="H1723" s="49">
        <f>IF(M1723="","",IFERROR(ROUND(AVERAGE(T1723+M1723*{7,8,9,10,11})/1.21,4),""))</f>
        <v/>
      </c>
      <c r="I1723" s="76" t="n"/>
      <c r="J1723" s="77" t="n"/>
      <c r="K1723" s="74" t="n"/>
      <c r="L1723" s="78" t="n"/>
      <c r="M1723" s="77" t="n"/>
      <c r="N1723" s="53">
        <f>IF(M1723="","",IFERROR(M1723/I1723,""))</f>
        <v/>
      </c>
      <c r="O1723" s="50">
        <f>IF(A1723="","",IFERROR((IF(G1723="",I1723,G1723)-T1723)/M1723,""))</f>
        <v/>
      </c>
      <c r="P1723" s="50">
        <f>IFERROR((I1723/T1723-1)/N1723,"")</f>
        <v/>
      </c>
      <c r="Q1723" s="46">
        <f>IF(OR(T1723="",I1723&lt;T1723),"",IFERROR(R1723/IF(G1723="",I1723,G1723)-1,""))</f>
        <v/>
      </c>
      <c r="R1723" s="48">
        <f>IF($M1723="","",MAX(IF($G1723="",$I1723,$G1723)*(1/1.1),IF($G1723="",$I1723,$G1723)+(R$2*$M1723)))</f>
        <v/>
      </c>
      <c r="S1723" s="49">
        <f>IF($M1723="","",MAX(IF($G1723="",$I1723,$G1723)*(1/1.1),IF($G1723="",$I1723,$G1723)+(S$2*$M1723)))</f>
        <v/>
      </c>
      <c r="T1723" s="82" t="n"/>
      <c r="U1723" s="47">
        <f>IF(OR($M1723="",$T1723=""),"",$T1723+(U$2*$M1723))</f>
        <v/>
      </c>
      <c r="V1723" s="48">
        <f>IF(OR($M1723="",$T1723=""),"",$T1723+(V$2*$M1723))</f>
        <v/>
      </c>
      <c r="W1723" s="48">
        <f>IF(OR($M1723="",$T1723=""),"",$T1723+(W$2*$M1723))</f>
        <v/>
      </c>
      <c r="X1723" s="49">
        <f>IF(OR($M1723="",$T1723=""),"",$T1723+(X$2*$M1723))</f>
        <v/>
      </c>
      <c r="Y1723" s="47">
        <f>IF(OR($M1723="",$T1723=""),"",$T1723+(Y$2*$M1723))</f>
        <v/>
      </c>
      <c r="Z1723" s="49">
        <f>IF(OR($M1723="",$T1723=""),"",$T1723+(Z$2*$M1723))</f>
        <v/>
      </c>
      <c r="AA1723" s="51">
        <f>IF(OR($M1723="",$T1723=""),"",$T1723+(AA$2*$M1723))</f>
        <v/>
      </c>
      <c r="AB1723" s="48">
        <f>IF(OR($M1723="",$T1723=""),"",$T1723+(AB$2*$M1723))</f>
        <v/>
      </c>
      <c r="AC1723" s="48">
        <f>IF(OR($M1723="",$T1723=""),"",$T1723+(AC$2*$M1723))</f>
        <v/>
      </c>
      <c r="AD1723" s="48">
        <f>IF(OR($M1723="",$T1723=""),"",$T1723+(AD$2*$M1723))</f>
        <v/>
      </c>
      <c r="AE1723" s="49">
        <f>IF(OR($M1723="",$T1723=""),"",$T1723+(AE$2*$M1723))</f>
        <v/>
      </c>
      <c r="AF1723" s="52">
        <f>IF(OR(T1723="",I1723&lt;T1723),"",IFERROR(AVERAGE(T1723+M1723*{7,8,9,10,11})/IF(G1723="",I1723,G1723)-1,""))</f>
        <v/>
      </c>
      <c r="AG1723" s="55">
        <f>IF(OR(T1723="",I1723&lt;T1723),"",IFERROR(AF1723/-(R1723/IF(G1723="",I1723,G1723)-1),""))</f>
        <v/>
      </c>
      <c r="AH1723" s="94" t="n"/>
      <c r="AI1723" s="94" t="n"/>
      <c r="AJ1723" s="94" t="n"/>
      <c r="AK1723" s="94" t="n"/>
      <c r="AL1723" s="84" t="n"/>
    </row>
    <row r="1724">
      <c r="A1724" s="64" t="n"/>
      <c r="B1724" s="65" t="n"/>
      <c r="C1724" s="66" t="n"/>
      <c r="D1724" s="67" t="n"/>
      <c r="E1724" s="68" t="n"/>
      <c r="F1724" s="47">
        <f>IF(A1724="","",IF(MIN(H1724,MAX(J1724:K1724))=0,"",MIN(H1724,MAX(J1724:K1724))))</f>
        <v/>
      </c>
      <c r="G1724" s="74" t="n"/>
      <c r="H1724" s="49">
        <f>IF(M1724="","",IFERROR(ROUND(AVERAGE(T1724+M1724*{7,8,9,10,11})/1.21,4),""))</f>
        <v/>
      </c>
      <c r="I1724" s="76" t="n"/>
      <c r="J1724" s="77" t="n"/>
      <c r="K1724" s="74" t="n"/>
      <c r="L1724" s="78" t="n"/>
      <c r="M1724" s="77" t="n"/>
      <c r="N1724" s="53">
        <f>IF(M1724="","",IFERROR(M1724/I1724,""))</f>
        <v/>
      </c>
      <c r="O1724" s="50">
        <f>IF(A1724="","",IFERROR((IF(G1724="",I1724,G1724)-T1724)/M1724,""))</f>
        <v/>
      </c>
      <c r="P1724" s="50">
        <f>IFERROR((I1724/T1724-1)/N1724,"")</f>
        <v/>
      </c>
      <c r="Q1724" s="46">
        <f>IF(OR(T1724="",I1724&lt;T1724),"",IFERROR(R1724/IF(G1724="",I1724,G1724)-1,""))</f>
        <v/>
      </c>
      <c r="R1724" s="48">
        <f>IF($M1724="","",MAX(IF($G1724="",$I1724,$G1724)*(1/1.1),IF($G1724="",$I1724,$G1724)+(R$2*$M1724)))</f>
        <v/>
      </c>
      <c r="S1724" s="49">
        <f>IF($M1724="","",MAX(IF($G1724="",$I1724,$G1724)*(1/1.1),IF($G1724="",$I1724,$G1724)+(S$2*$M1724)))</f>
        <v/>
      </c>
      <c r="T1724" s="82" t="n"/>
      <c r="U1724" s="47">
        <f>IF(OR($M1724="",$T1724=""),"",$T1724+(U$2*$M1724))</f>
        <v/>
      </c>
      <c r="V1724" s="48">
        <f>IF(OR($M1724="",$T1724=""),"",$T1724+(V$2*$M1724))</f>
        <v/>
      </c>
      <c r="W1724" s="48">
        <f>IF(OR($M1724="",$T1724=""),"",$T1724+(W$2*$M1724))</f>
        <v/>
      </c>
      <c r="X1724" s="49">
        <f>IF(OR($M1724="",$T1724=""),"",$T1724+(X$2*$M1724))</f>
        <v/>
      </c>
      <c r="Y1724" s="47">
        <f>IF(OR($M1724="",$T1724=""),"",$T1724+(Y$2*$M1724))</f>
        <v/>
      </c>
      <c r="Z1724" s="49">
        <f>IF(OR($M1724="",$T1724=""),"",$T1724+(Z$2*$M1724))</f>
        <v/>
      </c>
      <c r="AA1724" s="51">
        <f>IF(OR($M1724="",$T1724=""),"",$T1724+(AA$2*$M1724))</f>
        <v/>
      </c>
      <c r="AB1724" s="48">
        <f>IF(OR($M1724="",$T1724=""),"",$T1724+(AB$2*$M1724))</f>
        <v/>
      </c>
      <c r="AC1724" s="48">
        <f>IF(OR($M1724="",$T1724=""),"",$T1724+(AC$2*$M1724))</f>
        <v/>
      </c>
      <c r="AD1724" s="48">
        <f>IF(OR($M1724="",$T1724=""),"",$T1724+(AD$2*$M1724))</f>
        <v/>
      </c>
      <c r="AE1724" s="49">
        <f>IF(OR($M1724="",$T1724=""),"",$T1724+(AE$2*$M1724))</f>
        <v/>
      </c>
      <c r="AF1724" s="52">
        <f>IF(OR(T1724="",I1724&lt;T1724),"",IFERROR(AVERAGE(T1724+M1724*{7,8,9,10,11})/IF(G1724="",I1724,G1724)-1,""))</f>
        <v/>
      </c>
      <c r="AG1724" s="55">
        <f>IF(OR(T1724="",I1724&lt;T1724),"",IFERROR(AF1724/-(R1724/IF(G1724="",I1724,G1724)-1),""))</f>
        <v/>
      </c>
      <c r="AH1724" s="94" t="n"/>
      <c r="AI1724" s="94" t="n"/>
      <c r="AJ1724" s="94" t="n"/>
      <c r="AK1724" s="94" t="n"/>
      <c r="AL1724" s="84" t="n"/>
    </row>
    <row r="1725">
      <c r="A1725" s="64" t="n"/>
      <c r="B1725" s="65" t="n"/>
      <c r="C1725" s="66" t="n"/>
      <c r="D1725" s="67" t="n"/>
      <c r="E1725" s="68" t="n"/>
      <c r="F1725" s="47">
        <f>IF(A1725="","",IF(MIN(H1725,MAX(J1725:K1725))=0,"",MIN(H1725,MAX(J1725:K1725))))</f>
        <v/>
      </c>
      <c r="G1725" s="74" t="n"/>
      <c r="H1725" s="49">
        <f>IF(M1725="","",IFERROR(ROUND(AVERAGE(T1725+M1725*{7,8,9,10,11})/1.21,4),""))</f>
        <v/>
      </c>
      <c r="I1725" s="76" t="n"/>
      <c r="J1725" s="77" t="n"/>
      <c r="K1725" s="74" t="n"/>
      <c r="L1725" s="78" t="n"/>
      <c r="M1725" s="77" t="n"/>
      <c r="N1725" s="53">
        <f>IF(M1725="","",IFERROR(M1725/I1725,""))</f>
        <v/>
      </c>
      <c r="O1725" s="50">
        <f>IF(A1725="","",IFERROR((IF(G1725="",I1725,G1725)-T1725)/M1725,""))</f>
        <v/>
      </c>
      <c r="P1725" s="50">
        <f>IFERROR((I1725/T1725-1)/N1725,"")</f>
        <v/>
      </c>
      <c r="Q1725" s="46">
        <f>IF(OR(T1725="",I1725&lt;T1725),"",IFERROR(R1725/IF(G1725="",I1725,G1725)-1,""))</f>
        <v/>
      </c>
      <c r="R1725" s="48">
        <f>IF($M1725="","",MAX(IF($G1725="",$I1725,$G1725)*(1/1.1),IF($G1725="",$I1725,$G1725)+(R$2*$M1725)))</f>
        <v/>
      </c>
      <c r="S1725" s="49">
        <f>IF($M1725="","",MAX(IF($G1725="",$I1725,$G1725)*(1/1.1),IF($G1725="",$I1725,$G1725)+(S$2*$M1725)))</f>
        <v/>
      </c>
      <c r="T1725" s="82" t="n"/>
      <c r="U1725" s="47">
        <f>IF(OR($M1725="",$T1725=""),"",$T1725+(U$2*$M1725))</f>
        <v/>
      </c>
      <c r="V1725" s="48">
        <f>IF(OR($M1725="",$T1725=""),"",$T1725+(V$2*$M1725))</f>
        <v/>
      </c>
      <c r="W1725" s="48">
        <f>IF(OR($M1725="",$T1725=""),"",$T1725+(W$2*$M1725))</f>
        <v/>
      </c>
      <c r="X1725" s="49">
        <f>IF(OR($M1725="",$T1725=""),"",$T1725+(X$2*$M1725))</f>
        <v/>
      </c>
      <c r="Y1725" s="47">
        <f>IF(OR($M1725="",$T1725=""),"",$T1725+(Y$2*$M1725))</f>
        <v/>
      </c>
      <c r="Z1725" s="49">
        <f>IF(OR($M1725="",$T1725=""),"",$T1725+(Z$2*$M1725))</f>
        <v/>
      </c>
      <c r="AA1725" s="51">
        <f>IF(OR($M1725="",$T1725=""),"",$T1725+(AA$2*$M1725))</f>
        <v/>
      </c>
      <c r="AB1725" s="48">
        <f>IF(OR($M1725="",$T1725=""),"",$T1725+(AB$2*$M1725))</f>
        <v/>
      </c>
      <c r="AC1725" s="48">
        <f>IF(OR($M1725="",$T1725=""),"",$T1725+(AC$2*$M1725))</f>
        <v/>
      </c>
      <c r="AD1725" s="48">
        <f>IF(OR($M1725="",$T1725=""),"",$T1725+(AD$2*$M1725))</f>
        <v/>
      </c>
      <c r="AE1725" s="49">
        <f>IF(OR($M1725="",$T1725=""),"",$T1725+(AE$2*$M1725))</f>
        <v/>
      </c>
      <c r="AF1725" s="52">
        <f>IF(OR(T1725="",I1725&lt;T1725),"",IFERROR(AVERAGE(T1725+M1725*{7,8,9,10,11})/IF(G1725="",I1725,G1725)-1,""))</f>
        <v/>
      </c>
      <c r="AG1725" s="55">
        <f>IF(OR(T1725="",I1725&lt;T1725),"",IFERROR(AF1725/-(R1725/IF(G1725="",I1725,G1725)-1),""))</f>
        <v/>
      </c>
      <c r="AH1725" s="94" t="n"/>
      <c r="AI1725" s="94" t="n"/>
      <c r="AJ1725" s="94" t="n"/>
      <c r="AK1725" s="94" t="n"/>
      <c r="AL1725" s="84" t="n"/>
    </row>
    <row r="1726">
      <c r="A1726" s="64" t="n"/>
      <c r="B1726" s="65" t="n"/>
      <c r="C1726" s="66" t="n"/>
      <c r="D1726" s="67" t="n"/>
      <c r="E1726" s="68" t="n"/>
      <c r="F1726" s="47">
        <f>IF(A1726="","",IF(MIN(H1726,MAX(J1726:K1726))=0,"",MIN(H1726,MAX(J1726:K1726))))</f>
        <v/>
      </c>
      <c r="G1726" s="74" t="n"/>
      <c r="H1726" s="49">
        <f>IF(M1726="","",IFERROR(ROUND(AVERAGE(T1726+M1726*{7,8,9,10,11})/1.21,4),""))</f>
        <v/>
      </c>
      <c r="I1726" s="76" t="n"/>
      <c r="J1726" s="77" t="n"/>
      <c r="K1726" s="74" t="n"/>
      <c r="L1726" s="78" t="n"/>
      <c r="M1726" s="77" t="n"/>
      <c r="N1726" s="53">
        <f>IF(M1726="","",IFERROR(M1726/I1726,""))</f>
        <v/>
      </c>
      <c r="O1726" s="50">
        <f>IF(A1726="","",IFERROR((IF(G1726="",I1726,G1726)-T1726)/M1726,""))</f>
        <v/>
      </c>
      <c r="P1726" s="50">
        <f>IFERROR((I1726/T1726-1)/N1726,"")</f>
        <v/>
      </c>
      <c r="Q1726" s="46">
        <f>IF(OR(T1726="",I1726&lt;T1726),"",IFERROR(R1726/IF(G1726="",I1726,G1726)-1,""))</f>
        <v/>
      </c>
      <c r="R1726" s="48">
        <f>IF($M1726="","",MAX(IF($G1726="",$I1726,$G1726)*(1/1.1),IF($G1726="",$I1726,$G1726)+(R$2*$M1726)))</f>
        <v/>
      </c>
      <c r="S1726" s="49">
        <f>IF($M1726="","",MAX(IF($G1726="",$I1726,$G1726)*(1/1.1),IF($G1726="",$I1726,$G1726)+(S$2*$M1726)))</f>
        <v/>
      </c>
      <c r="T1726" s="82" t="n"/>
      <c r="U1726" s="47">
        <f>IF(OR($M1726="",$T1726=""),"",$T1726+(U$2*$M1726))</f>
        <v/>
      </c>
      <c r="V1726" s="48">
        <f>IF(OR($M1726="",$T1726=""),"",$T1726+(V$2*$M1726))</f>
        <v/>
      </c>
      <c r="W1726" s="48">
        <f>IF(OR($M1726="",$T1726=""),"",$T1726+(W$2*$M1726))</f>
        <v/>
      </c>
      <c r="X1726" s="49">
        <f>IF(OR($M1726="",$T1726=""),"",$T1726+(X$2*$M1726))</f>
        <v/>
      </c>
      <c r="Y1726" s="47">
        <f>IF(OR($M1726="",$T1726=""),"",$T1726+(Y$2*$M1726))</f>
        <v/>
      </c>
      <c r="Z1726" s="49">
        <f>IF(OR($M1726="",$T1726=""),"",$T1726+(Z$2*$M1726))</f>
        <v/>
      </c>
      <c r="AA1726" s="51">
        <f>IF(OR($M1726="",$T1726=""),"",$T1726+(AA$2*$M1726))</f>
        <v/>
      </c>
      <c r="AB1726" s="48">
        <f>IF(OR($M1726="",$T1726=""),"",$T1726+(AB$2*$M1726))</f>
        <v/>
      </c>
      <c r="AC1726" s="48">
        <f>IF(OR($M1726="",$T1726=""),"",$T1726+(AC$2*$M1726))</f>
        <v/>
      </c>
      <c r="AD1726" s="48">
        <f>IF(OR($M1726="",$T1726=""),"",$T1726+(AD$2*$M1726))</f>
        <v/>
      </c>
      <c r="AE1726" s="49">
        <f>IF(OR($M1726="",$T1726=""),"",$T1726+(AE$2*$M1726))</f>
        <v/>
      </c>
      <c r="AF1726" s="52">
        <f>IF(OR(T1726="",I1726&lt;T1726),"",IFERROR(AVERAGE(T1726+M1726*{7,8,9,10,11})/IF(G1726="",I1726,G1726)-1,""))</f>
        <v/>
      </c>
      <c r="AG1726" s="55">
        <f>IF(OR(T1726="",I1726&lt;T1726),"",IFERROR(AF1726/-(R1726/IF(G1726="",I1726,G1726)-1),""))</f>
        <v/>
      </c>
      <c r="AH1726" s="94" t="n"/>
      <c r="AI1726" s="94" t="n"/>
      <c r="AJ1726" s="94" t="n"/>
      <c r="AK1726" s="94" t="n"/>
      <c r="AL1726" s="84" t="n"/>
    </row>
    <row r="1727">
      <c r="A1727" s="64" t="n"/>
      <c r="B1727" s="65" t="n"/>
      <c r="C1727" s="66" t="n"/>
      <c r="D1727" s="67" t="n"/>
      <c r="E1727" s="68" t="n"/>
      <c r="F1727" s="47">
        <f>IF(A1727="","",IF(MIN(H1727,MAX(J1727:K1727))=0,"",MIN(H1727,MAX(J1727:K1727))))</f>
        <v/>
      </c>
      <c r="G1727" s="74" t="n"/>
      <c r="H1727" s="49">
        <f>IF(M1727="","",IFERROR(ROUND(AVERAGE(T1727+M1727*{7,8,9,10,11})/1.21,4),""))</f>
        <v/>
      </c>
      <c r="I1727" s="76" t="n"/>
      <c r="J1727" s="77" t="n"/>
      <c r="K1727" s="74" t="n"/>
      <c r="L1727" s="78" t="n"/>
      <c r="M1727" s="77" t="n"/>
      <c r="N1727" s="53">
        <f>IF(M1727="","",IFERROR(M1727/I1727,""))</f>
        <v/>
      </c>
      <c r="O1727" s="50">
        <f>IF(A1727="","",IFERROR((IF(G1727="",I1727,G1727)-T1727)/M1727,""))</f>
        <v/>
      </c>
      <c r="P1727" s="50">
        <f>IFERROR((I1727/T1727-1)/N1727,"")</f>
        <v/>
      </c>
      <c r="Q1727" s="46">
        <f>IF(OR(T1727="",I1727&lt;T1727),"",IFERROR(R1727/IF(G1727="",I1727,G1727)-1,""))</f>
        <v/>
      </c>
      <c r="R1727" s="48">
        <f>IF($M1727="","",MAX(IF($G1727="",$I1727,$G1727)*(1/1.1),IF($G1727="",$I1727,$G1727)+(R$2*$M1727)))</f>
        <v/>
      </c>
      <c r="S1727" s="49">
        <f>IF($M1727="","",MAX(IF($G1727="",$I1727,$G1727)*(1/1.1),IF($G1727="",$I1727,$G1727)+(S$2*$M1727)))</f>
        <v/>
      </c>
      <c r="T1727" s="82" t="n"/>
      <c r="U1727" s="47">
        <f>IF(OR($M1727="",$T1727=""),"",$T1727+(U$2*$M1727))</f>
        <v/>
      </c>
      <c r="V1727" s="48">
        <f>IF(OR($M1727="",$T1727=""),"",$T1727+(V$2*$M1727))</f>
        <v/>
      </c>
      <c r="W1727" s="48">
        <f>IF(OR($M1727="",$T1727=""),"",$T1727+(W$2*$M1727))</f>
        <v/>
      </c>
      <c r="X1727" s="49">
        <f>IF(OR($M1727="",$T1727=""),"",$T1727+(X$2*$M1727))</f>
        <v/>
      </c>
      <c r="Y1727" s="47">
        <f>IF(OR($M1727="",$T1727=""),"",$T1727+(Y$2*$M1727))</f>
        <v/>
      </c>
      <c r="Z1727" s="49">
        <f>IF(OR($M1727="",$T1727=""),"",$T1727+(Z$2*$M1727))</f>
        <v/>
      </c>
      <c r="AA1727" s="51">
        <f>IF(OR($M1727="",$T1727=""),"",$T1727+(AA$2*$M1727))</f>
        <v/>
      </c>
      <c r="AB1727" s="48">
        <f>IF(OR($M1727="",$T1727=""),"",$T1727+(AB$2*$M1727))</f>
        <v/>
      </c>
      <c r="AC1727" s="48">
        <f>IF(OR($M1727="",$T1727=""),"",$T1727+(AC$2*$M1727))</f>
        <v/>
      </c>
      <c r="AD1727" s="48">
        <f>IF(OR($M1727="",$T1727=""),"",$T1727+(AD$2*$M1727))</f>
        <v/>
      </c>
      <c r="AE1727" s="49">
        <f>IF(OR($M1727="",$T1727=""),"",$T1727+(AE$2*$M1727))</f>
        <v/>
      </c>
      <c r="AF1727" s="52">
        <f>IF(OR(T1727="",I1727&lt;T1727),"",IFERROR(AVERAGE(T1727+M1727*{7,8,9,10,11})/IF(G1727="",I1727,G1727)-1,""))</f>
        <v/>
      </c>
      <c r="AG1727" s="55">
        <f>IF(OR(T1727="",I1727&lt;T1727),"",IFERROR(AF1727/-(R1727/IF(G1727="",I1727,G1727)-1),""))</f>
        <v/>
      </c>
      <c r="AH1727" s="94" t="n"/>
      <c r="AI1727" s="94" t="n"/>
      <c r="AJ1727" s="94" t="n"/>
      <c r="AK1727" s="94" t="n"/>
      <c r="AL1727" s="84" t="n"/>
    </row>
    <row r="1728">
      <c r="A1728" s="64" t="n"/>
      <c r="B1728" s="65" t="n"/>
      <c r="C1728" s="66" t="n"/>
      <c r="D1728" s="67" t="n"/>
      <c r="E1728" s="68" t="n"/>
      <c r="F1728" s="47">
        <f>IF(A1728="","",IF(MIN(H1728,MAX(J1728:K1728))=0,"",MIN(H1728,MAX(J1728:K1728))))</f>
        <v/>
      </c>
      <c r="G1728" s="74" t="n"/>
      <c r="H1728" s="49">
        <f>IF(M1728="","",IFERROR(ROUND(AVERAGE(T1728+M1728*{7,8,9,10,11})/1.21,4),""))</f>
        <v/>
      </c>
      <c r="I1728" s="76" t="n"/>
      <c r="J1728" s="77" t="n"/>
      <c r="K1728" s="74" t="n"/>
      <c r="L1728" s="78" t="n"/>
      <c r="M1728" s="77" t="n"/>
      <c r="N1728" s="53">
        <f>IF(M1728="","",IFERROR(M1728/I1728,""))</f>
        <v/>
      </c>
      <c r="O1728" s="50">
        <f>IF(A1728="","",IFERROR((IF(G1728="",I1728,G1728)-T1728)/M1728,""))</f>
        <v/>
      </c>
      <c r="P1728" s="50">
        <f>IFERROR((I1728/T1728-1)/N1728,"")</f>
        <v/>
      </c>
      <c r="Q1728" s="46">
        <f>IF(OR(T1728="",I1728&lt;T1728),"",IFERROR(R1728/IF(G1728="",I1728,G1728)-1,""))</f>
        <v/>
      </c>
      <c r="R1728" s="48">
        <f>IF($M1728="","",MAX(IF($G1728="",$I1728,$G1728)*(1/1.1),IF($G1728="",$I1728,$G1728)+(R$2*$M1728)))</f>
        <v/>
      </c>
      <c r="S1728" s="49">
        <f>IF($M1728="","",MAX(IF($G1728="",$I1728,$G1728)*(1/1.1),IF($G1728="",$I1728,$G1728)+(S$2*$M1728)))</f>
        <v/>
      </c>
      <c r="T1728" s="82" t="n"/>
      <c r="U1728" s="47">
        <f>IF(OR($M1728="",$T1728=""),"",$T1728+(U$2*$M1728))</f>
        <v/>
      </c>
      <c r="V1728" s="48">
        <f>IF(OR($M1728="",$T1728=""),"",$T1728+(V$2*$M1728))</f>
        <v/>
      </c>
      <c r="W1728" s="48">
        <f>IF(OR($M1728="",$T1728=""),"",$T1728+(W$2*$M1728))</f>
        <v/>
      </c>
      <c r="X1728" s="49">
        <f>IF(OR($M1728="",$T1728=""),"",$T1728+(X$2*$M1728))</f>
        <v/>
      </c>
      <c r="Y1728" s="47">
        <f>IF(OR($M1728="",$T1728=""),"",$T1728+(Y$2*$M1728))</f>
        <v/>
      </c>
      <c r="Z1728" s="49">
        <f>IF(OR($M1728="",$T1728=""),"",$T1728+(Z$2*$M1728))</f>
        <v/>
      </c>
      <c r="AA1728" s="51">
        <f>IF(OR($M1728="",$T1728=""),"",$T1728+(AA$2*$M1728))</f>
        <v/>
      </c>
      <c r="AB1728" s="48">
        <f>IF(OR($M1728="",$T1728=""),"",$T1728+(AB$2*$M1728))</f>
        <v/>
      </c>
      <c r="AC1728" s="48">
        <f>IF(OR($M1728="",$T1728=""),"",$T1728+(AC$2*$M1728))</f>
        <v/>
      </c>
      <c r="AD1728" s="48">
        <f>IF(OR($M1728="",$T1728=""),"",$T1728+(AD$2*$M1728))</f>
        <v/>
      </c>
      <c r="AE1728" s="49">
        <f>IF(OR($M1728="",$T1728=""),"",$T1728+(AE$2*$M1728))</f>
        <v/>
      </c>
      <c r="AF1728" s="52">
        <f>IF(OR(T1728="",I1728&lt;T1728),"",IFERROR(AVERAGE(T1728+M1728*{7,8,9,10,11})/IF(G1728="",I1728,G1728)-1,""))</f>
        <v/>
      </c>
      <c r="AG1728" s="55">
        <f>IF(OR(T1728="",I1728&lt;T1728),"",IFERROR(AF1728/-(R1728/IF(G1728="",I1728,G1728)-1),""))</f>
        <v/>
      </c>
      <c r="AH1728" s="94" t="n"/>
      <c r="AI1728" s="94" t="n"/>
      <c r="AJ1728" s="94" t="n"/>
      <c r="AK1728" s="94" t="n"/>
      <c r="AL1728" s="84" t="n"/>
    </row>
    <row r="1729">
      <c r="A1729" s="64" t="n"/>
      <c r="B1729" s="65" t="n"/>
      <c r="C1729" s="66" t="n"/>
      <c r="D1729" s="67" t="n"/>
      <c r="E1729" s="68" t="n"/>
      <c r="F1729" s="47">
        <f>IF(A1729="","",IF(MIN(H1729,MAX(J1729:K1729))=0,"",MIN(H1729,MAX(J1729:K1729))))</f>
        <v/>
      </c>
      <c r="G1729" s="74" t="n"/>
      <c r="H1729" s="49">
        <f>IF(M1729="","",IFERROR(ROUND(AVERAGE(T1729+M1729*{7,8,9,10,11})/1.21,4),""))</f>
        <v/>
      </c>
      <c r="I1729" s="76" t="n"/>
      <c r="J1729" s="77" t="n"/>
      <c r="K1729" s="74" t="n"/>
      <c r="L1729" s="78" t="n"/>
      <c r="M1729" s="77" t="n"/>
      <c r="N1729" s="53">
        <f>IF(M1729="","",IFERROR(M1729/I1729,""))</f>
        <v/>
      </c>
      <c r="O1729" s="50">
        <f>IF(A1729="","",IFERROR((IF(G1729="",I1729,G1729)-T1729)/M1729,""))</f>
        <v/>
      </c>
      <c r="P1729" s="50">
        <f>IFERROR((I1729/T1729-1)/N1729,"")</f>
        <v/>
      </c>
      <c r="Q1729" s="46">
        <f>IF(OR(T1729="",I1729&lt;T1729),"",IFERROR(R1729/IF(G1729="",I1729,G1729)-1,""))</f>
        <v/>
      </c>
      <c r="R1729" s="48">
        <f>IF($M1729="","",MAX(IF($G1729="",$I1729,$G1729)*(1/1.1),IF($G1729="",$I1729,$G1729)+(R$2*$M1729)))</f>
        <v/>
      </c>
      <c r="S1729" s="49">
        <f>IF($M1729="","",MAX(IF($G1729="",$I1729,$G1729)*(1/1.1),IF($G1729="",$I1729,$G1729)+(S$2*$M1729)))</f>
        <v/>
      </c>
      <c r="T1729" s="82" t="n"/>
      <c r="U1729" s="47">
        <f>IF(OR($M1729="",$T1729=""),"",$T1729+(U$2*$M1729))</f>
        <v/>
      </c>
      <c r="V1729" s="48">
        <f>IF(OR($M1729="",$T1729=""),"",$T1729+(V$2*$M1729))</f>
        <v/>
      </c>
      <c r="W1729" s="48">
        <f>IF(OR($M1729="",$T1729=""),"",$T1729+(W$2*$M1729))</f>
        <v/>
      </c>
      <c r="X1729" s="49">
        <f>IF(OR($M1729="",$T1729=""),"",$T1729+(X$2*$M1729))</f>
        <v/>
      </c>
      <c r="Y1729" s="47">
        <f>IF(OR($M1729="",$T1729=""),"",$T1729+(Y$2*$M1729))</f>
        <v/>
      </c>
      <c r="Z1729" s="49">
        <f>IF(OR($M1729="",$T1729=""),"",$T1729+(Z$2*$M1729))</f>
        <v/>
      </c>
      <c r="AA1729" s="51">
        <f>IF(OR($M1729="",$T1729=""),"",$T1729+(AA$2*$M1729))</f>
        <v/>
      </c>
      <c r="AB1729" s="48">
        <f>IF(OR($M1729="",$T1729=""),"",$T1729+(AB$2*$M1729))</f>
        <v/>
      </c>
      <c r="AC1729" s="48">
        <f>IF(OR($M1729="",$T1729=""),"",$T1729+(AC$2*$M1729))</f>
        <v/>
      </c>
      <c r="AD1729" s="48">
        <f>IF(OR($M1729="",$T1729=""),"",$T1729+(AD$2*$M1729))</f>
        <v/>
      </c>
      <c r="AE1729" s="49">
        <f>IF(OR($M1729="",$T1729=""),"",$T1729+(AE$2*$M1729))</f>
        <v/>
      </c>
      <c r="AF1729" s="52">
        <f>IF(OR(T1729="",I1729&lt;T1729),"",IFERROR(AVERAGE(T1729+M1729*{7,8,9,10,11})/IF(G1729="",I1729,G1729)-1,""))</f>
        <v/>
      </c>
      <c r="AG1729" s="55">
        <f>IF(OR(T1729="",I1729&lt;T1729),"",IFERROR(AF1729/-(R1729/IF(G1729="",I1729,G1729)-1),""))</f>
        <v/>
      </c>
      <c r="AH1729" s="94" t="n"/>
      <c r="AI1729" s="94" t="n"/>
      <c r="AJ1729" s="94" t="n"/>
      <c r="AK1729" s="94" t="n"/>
      <c r="AL1729" s="84" t="n"/>
    </row>
    <row r="1730">
      <c r="A1730" s="64" t="n"/>
      <c r="B1730" s="65" t="n"/>
      <c r="C1730" s="66" t="n"/>
      <c r="D1730" s="67" t="n"/>
      <c r="E1730" s="68" t="n"/>
      <c r="F1730" s="47">
        <f>IF(A1730="","",IF(MIN(H1730,MAX(J1730:K1730))=0,"",MIN(H1730,MAX(J1730:K1730))))</f>
        <v/>
      </c>
      <c r="G1730" s="74" t="n"/>
      <c r="H1730" s="49">
        <f>IF(M1730="","",IFERROR(ROUND(AVERAGE(T1730+M1730*{7,8,9,10,11})/1.21,4),""))</f>
        <v/>
      </c>
      <c r="I1730" s="76" t="n"/>
      <c r="J1730" s="77" t="n"/>
      <c r="K1730" s="74" t="n"/>
      <c r="L1730" s="78" t="n"/>
      <c r="M1730" s="77" t="n"/>
      <c r="N1730" s="53">
        <f>IF(M1730="","",IFERROR(M1730/I1730,""))</f>
        <v/>
      </c>
      <c r="O1730" s="50">
        <f>IF(A1730="","",IFERROR((IF(G1730="",I1730,G1730)-T1730)/M1730,""))</f>
        <v/>
      </c>
      <c r="P1730" s="50">
        <f>IFERROR((I1730/T1730-1)/N1730,"")</f>
        <v/>
      </c>
      <c r="Q1730" s="46">
        <f>IF(OR(T1730="",I1730&lt;T1730),"",IFERROR(R1730/IF(G1730="",I1730,G1730)-1,""))</f>
        <v/>
      </c>
      <c r="R1730" s="48">
        <f>IF($M1730="","",MAX(IF($G1730="",$I1730,$G1730)*(1/1.1),IF($G1730="",$I1730,$G1730)+(R$2*$M1730)))</f>
        <v/>
      </c>
      <c r="S1730" s="49">
        <f>IF($M1730="","",MAX(IF($G1730="",$I1730,$G1730)*(1/1.1),IF($G1730="",$I1730,$G1730)+(S$2*$M1730)))</f>
        <v/>
      </c>
      <c r="T1730" s="82" t="n"/>
      <c r="U1730" s="47">
        <f>IF(OR($M1730="",$T1730=""),"",$T1730+(U$2*$M1730))</f>
        <v/>
      </c>
      <c r="V1730" s="48">
        <f>IF(OR($M1730="",$T1730=""),"",$T1730+(V$2*$M1730))</f>
        <v/>
      </c>
      <c r="W1730" s="48">
        <f>IF(OR($M1730="",$T1730=""),"",$T1730+(W$2*$M1730))</f>
        <v/>
      </c>
      <c r="X1730" s="49">
        <f>IF(OR($M1730="",$T1730=""),"",$T1730+(X$2*$M1730))</f>
        <v/>
      </c>
      <c r="Y1730" s="47">
        <f>IF(OR($M1730="",$T1730=""),"",$T1730+(Y$2*$M1730))</f>
        <v/>
      </c>
      <c r="Z1730" s="49">
        <f>IF(OR($M1730="",$T1730=""),"",$T1730+(Z$2*$M1730))</f>
        <v/>
      </c>
      <c r="AA1730" s="51">
        <f>IF(OR($M1730="",$T1730=""),"",$T1730+(AA$2*$M1730))</f>
        <v/>
      </c>
      <c r="AB1730" s="48">
        <f>IF(OR($M1730="",$T1730=""),"",$T1730+(AB$2*$M1730))</f>
        <v/>
      </c>
      <c r="AC1730" s="48">
        <f>IF(OR($M1730="",$T1730=""),"",$T1730+(AC$2*$M1730))</f>
        <v/>
      </c>
      <c r="AD1730" s="48">
        <f>IF(OR($M1730="",$T1730=""),"",$T1730+(AD$2*$M1730))</f>
        <v/>
      </c>
      <c r="AE1730" s="49">
        <f>IF(OR($M1730="",$T1730=""),"",$T1730+(AE$2*$M1730))</f>
        <v/>
      </c>
      <c r="AF1730" s="52">
        <f>IF(OR(T1730="",I1730&lt;T1730),"",IFERROR(AVERAGE(T1730+M1730*{7,8,9,10,11})/IF(G1730="",I1730,G1730)-1,""))</f>
        <v/>
      </c>
      <c r="AG1730" s="55">
        <f>IF(OR(T1730="",I1730&lt;T1730),"",IFERROR(AF1730/-(R1730/IF(G1730="",I1730,G1730)-1),""))</f>
        <v/>
      </c>
      <c r="AH1730" s="94" t="n"/>
      <c r="AI1730" s="94" t="n"/>
      <c r="AJ1730" s="94" t="n"/>
      <c r="AK1730" s="94" t="n"/>
      <c r="AL1730" s="84" t="n"/>
    </row>
    <row r="1731">
      <c r="A1731" s="64" t="n"/>
      <c r="B1731" s="65" t="n"/>
      <c r="C1731" s="66" t="n"/>
      <c r="D1731" s="67" t="n"/>
      <c r="E1731" s="68" t="n"/>
      <c r="F1731" s="47">
        <f>IF(A1731="","",IF(MIN(H1731,MAX(J1731:K1731))=0,"",MIN(H1731,MAX(J1731:K1731))))</f>
        <v/>
      </c>
      <c r="G1731" s="74" t="n"/>
      <c r="H1731" s="49">
        <f>IF(M1731="","",IFERROR(ROUND(AVERAGE(T1731+M1731*{7,8,9,10,11})/1.21,4),""))</f>
        <v/>
      </c>
      <c r="I1731" s="76" t="n"/>
      <c r="J1731" s="77" t="n"/>
      <c r="K1731" s="74" t="n"/>
      <c r="L1731" s="78" t="n"/>
      <c r="M1731" s="77" t="n"/>
      <c r="N1731" s="53">
        <f>IF(M1731="","",IFERROR(M1731/I1731,""))</f>
        <v/>
      </c>
      <c r="O1731" s="50">
        <f>IF(A1731="","",IFERROR((IF(G1731="",I1731,G1731)-T1731)/M1731,""))</f>
        <v/>
      </c>
      <c r="P1731" s="50">
        <f>IFERROR((I1731/T1731-1)/N1731,"")</f>
        <v/>
      </c>
      <c r="Q1731" s="46">
        <f>IF(OR(T1731="",I1731&lt;T1731),"",IFERROR(R1731/IF(G1731="",I1731,G1731)-1,""))</f>
        <v/>
      </c>
      <c r="R1731" s="48">
        <f>IF($M1731="","",MAX(IF($G1731="",$I1731,$G1731)*(1/1.1),IF($G1731="",$I1731,$G1731)+(R$2*$M1731)))</f>
        <v/>
      </c>
      <c r="S1731" s="49">
        <f>IF($M1731="","",MAX(IF($G1731="",$I1731,$G1731)*(1/1.1),IF($G1731="",$I1731,$G1731)+(S$2*$M1731)))</f>
        <v/>
      </c>
      <c r="T1731" s="82" t="n"/>
      <c r="U1731" s="47">
        <f>IF(OR($M1731="",$T1731=""),"",$T1731+(U$2*$M1731))</f>
        <v/>
      </c>
      <c r="V1731" s="48">
        <f>IF(OR($M1731="",$T1731=""),"",$T1731+(V$2*$M1731))</f>
        <v/>
      </c>
      <c r="W1731" s="48">
        <f>IF(OR($M1731="",$T1731=""),"",$T1731+(W$2*$M1731))</f>
        <v/>
      </c>
      <c r="X1731" s="49">
        <f>IF(OR($M1731="",$T1731=""),"",$T1731+(X$2*$M1731))</f>
        <v/>
      </c>
      <c r="Y1731" s="47">
        <f>IF(OR($M1731="",$T1731=""),"",$T1731+(Y$2*$M1731))</f>
        <v/>
      </c>
      <c r="Z1731" s="49">
        <f>IF(OR($M1731="",$T1731=""),"",$T1731+(Z$2*$M1731))</f>
        <v/>
      </c>
      <c r="AA1731" s="51">
        <f>IF(OR($M1731="",$T1731=""),"",$T1731+(AA$2*$M1731))</f>
        <v/>
      </c>
      <c r="AB1731" s="48">
        <f>IF(OR($M1731="",$T1731=""),"",$T1731+(AB$2*$M1731))</f>
        <v/>
      </c>
      <c r="AC1731" s="48">
        <f>IF(OR($M1731="",$T1731=""),"",$T1731+(AC$2*$M1731))</f>
        <v/>
      </c>
      <c r="AD1731" s="48">
        <f>IF(OR($M1731="",$T1731=""),"",$T1731+(AD$2*$M1731))</f>
        <v/>
      </c>
      <c r="AE1731" s="49">
        <f>IF(OR($M1731="",$T1731=""),"",$T1731+(AE$2*$M1731))</f>
        <v/>
      </c>
      <c r="AF1731" s="52">
        <f>IF(OR(T1731="",I1731&lt;T1731),"",IFERROR(AVERAGE(T1731+M1731*{7,8,9,10,11})/IF(G1731="",I1731,G1731)-1,""))</f>
        <v/>
      </c>
      <c r="AG1731" s="55">
        <f>IF(OR(T1731="",I1731&lt;T1731),"",IFERROR(AF1731/-(R1731/IF(G1731="",I1731,G1731)-1),""))</f>
        <v/>
      </c>
      <c r="AH1731" s="94" t="n"/>
      <c r="AI1731" s="94" t="n"/>
      <c r="AJ1731" s="94" t="n"/>
      <c r="AK1731" s="94" t="n"/>
      <c r="AL1731" s="84" t="n"/>
    </row>
    <row r="1732">
      <c r="A1732" s="64" t="n"/>
      <c r="B1732" s="65" t="n"/>
      <c r="C1732" s="66" t="n"/>
      <c r="D1732" s="67" t="n"/>
      <c r="E1732" s="68" t="n"/>
      <c r="F1732" s="47">
        <f>IF(A1732="","",IF(MIN(H1732,MAX(J1732:K1732))=0,"",MIN(H1732,MAX(J1732:K1732))))</f>
        <v/>
      </c>
      <c r="G1732" s="74" t="n"/>
      <c r="H1732" s="49">
        <f>IF(M1732="","",IFERROR(ROUND(AVERAGE(T1732+M1732*{7,8,9,10,11})/1.21,4),""))</f>
        <v/>
      </c>
      <c r="I1732" s="76" t="n"/>
      <c r="J1732" s="77" t="n"/>
      <c r="K1732" s="74" t="n"/>
      <c r="L1732" s="78" t="n"/>
      <c r="M1732" s="77" t="n"/>
      <c r="N1732" s="53">
        <f>IF(M1732="","",IFERROR(M1732/I1732,""))</f>
        <v/>
      </c>
      <c r="O1732" s="50">
        <f>IF(A1732="","",IFERROR((IF(G1732="",I1732,G1732)-T1732)/M1732,""))</f>
        <v/>
      </c>
      <c r="P1732" s="50">
        <f>IFERROR((I1732/T1732-1)/N1732,"")</f>
        <v/>
      </c>
      <c r="Q1732" s="46">
        <f>IF(OR(T1732="",I1732&lt;T1732),"",IFERROR(R1732/IF(G1732="",I1732,G1732)-1,""))</f>
        <v/>
      </c>
      <c r="R1732" s="48">
        <f>IF($M1732="","",MAX(IF($G1732="",$I1732,$G1732)*(1/1.1),IF($G1732="",$I1732,$G1732)+(R$2*$M1732)))</f>
        <v/>
      </c>
      <c r="S1732" s="49">
        <f>IF($M1732="","",MAX(IF($G1732="",$I1732,$G1732)*(1/1.1),IF($G1732="",$I1732,$G1732)+(S$2*$M1732)))</f>
        <v/>
      </c>
      <c r="T1732" s="82" t="n"/>
      <c r="U1732" s="47">
        <f>IF(OR($M1732="",$T1732=""),"",$T1732+(U$2*$M1732))</f>
        <v/>
      </c>
      <c r="V1732" s="48">
        <f>IF(OR($M1732="",$T1732=""),"",$T1732+(V$2*$M1732))</f>
        <v/>
      </c>
      <c r="W1732" s="48">
        <f>IF(OR($M1732="",$T1732=""),"",$T1732+(W$2*$M1732))</f>
        <v/>
      </c>
      <c r="X1732" s="49">
        <f>IF(OR($M1732="",$T1732=""),"",$T1732+(X$2*$M1732))</f>
        <v/>
      </c>
      <c r="Y1732" s="47">
        <f>IF(OR($M1732="",$T1732=""),"",$T1732+(Y$2*$M1732))</f>
        <v/>
      </c>
      <c r="Z1732" s="49">
        <f>IF(OR($M1732="",$T1732=""),"",$T1732+(Z$2*$M1732))</f>
        <v/>
      </c>
      <c r="AA1732" s="51">
        <f>IF(OR($M1732="",$T1732=""),"",$T1732+(AA$2*$M1732))</f>
        <v/>
      </c>
      <c r="AB1732" s="48">
        <f>IF(OR($M1732="",$T1732=""),"",$T1732+(AB$2*$M1732))</f>
        <v/>
      </c>
      <c r="AC1732" s="48">
        <f>IF(OR($M1732="",$T1732=""),"",$T1732+(AC$2*$M1732))</f>
        <v/>
      </c>
      <c r="AD1732" s="48">
        <f>IF(OR($M1732="",$T1732=""),"",$T1732+(AD$2*$M1732))</f>
        <v/>
      </c>
      <c r="AE1732" s="49">
        <f>IF(OR($M1732="",$T1732=""),"",$T1732+(AE$2*$M1732))</f>
        <v/>
      </c>
      <c r="AF1732" s="52">
        <f>IF(OR(T1732="",I1732&lt;T1732),"",IFERROR(AVERAGE(T1732+M1732*{7,8,9,10,11})/IF(G1732="",I1732,G1732)-1,""))</f>
        <v/>
      </c>
      <c r="AG1732" s="55">
        <f>IF(OR(T1732="",I1732&lt;T1732),"",IFERROR(AF1732/-(R1732/IF(G1732="",I1732,G1732)-1),""))</f>
        <v/>
      </c>
      <c r="AH1732" s="94" t="n"/>
      <c r="AI1732" s="94" t="n"/>
      <c r="AJ1732" s="94" t="n"/>
      <c r="AK1732" s="94" t="n"/>
      <c r="AL1732" s="84" t="n"/>
    </row>
    <row r="1733">
      <c r="A1733" s="64" t="n"/>
      <c r="B1733" s="65" t="n"/>
      <c r="C1733" s="66" t="n"/>
      <c r="D1733" s="67" t="n"/>
      <c r="E1733" s="68" t="n"/>
      <c r="F1733" s="47">
        <f>IF(A1733="","",IF(MIN(H1733,MAX(J1733:K1733))=0,"",MIN(H1733,MAX(J1733:K1733))))</f>
        <v/>
      </c>
      <c r="G1733" s="74" t="n"/>
      <c r="H1733" s="49">
        <f>IF(M1733="","",IFERROR(ROUND(AVERAGE(T1733+M1733*{7,8,9,10,11})/1.21,4),""))</f>
        <v/>
      </c>
      <c r="I1733" s="76" t="n"/>
      <c r="J1733" s="77" t="n"/>
      <c r="K1733" s="74" t="n"/>
      <c r="L1733" s="78" t="n"/>
      <c r="M1733" s="77" t="n"/>
      <c r="N1733" s="53">
        <f>IF(M1733="","",IFERROR(M1733/I1733,""))</f>
        <v/>
      </c>
      <c r="O1733" s="50">
        <f>IF(A1733="","",IFERROR((IF(G1733="",I1733,G1733)-T1733)/M1733,""))</f>
        <v/>
      </c>
      <c r="P1733" s="50">
        <f>IFERROR((I1733/T1733-1)/N1733,"")</f>
        <v/>
      </c>
      <c r="Q1733" s="46">
        <f>IF(OR(T1733="",I1733&lt;T1733),"",IFERROR(R1733/IF(G1733="",I1733,G1733)-1,""))</f>
        <v/>
      </c>
      <c r="R1733" s="48">
        <f>IF($M1733="","",MAX(IF($G1733="",$I1733,$G1733)*(1/1.1),IF($G1733="",$I1733,$G1733)+(R$2*$M1733)))</f>
        <v/>
      </c>
      <c r="S1733" s="49">
        <f>IF($M1733="","",MAX(IF($G1733="",$I1733,$G1733)*(1/1.1),IF($G1733="",$I1733,$G1733)+(S$2*$M1733)))</f>
        <v/>
      </c>
      <c r="T1733" s="82" t="n"/>
      <c r="U1733" s="47">
        <f>IF(OR($M1733="",$T1733=""),"",$T1733+(U$2*$M1733))</f>
        <v/>
      </c>
      <c r="V1733" s="48">
        <f>IF(OR($M1733="",$T1733=""),"",$T1733+(V$2*$M1733))</f>
        <v/>
      </c>
      <c r="W1733" s="48">
        <f>IF(OR($M1733="",$T1733=""),"",$T1733+(W$2*$M1733))</f>
        <v/>
      </c>
      <c r="X1733" s="49">
        <f>IF(OR($M1733="",$T1733=""),"",$T1733+(X$2*$M1733))</f>
        <v/>
      </c>
      <c r="Y1733" s="47">
        <f>IF(OR($M1733="",$T1733=""),"",$T1733+(Y$2*$M1733))</f>
        <v/>
      </c>
      <c r="Z1733" s="49">
        <f>IF(OR($M1733="",$T1733=""),"",$T1733+(Z$2*$M1733))</f>
        <v/>
      </c>
      <c r="AA1733" s="51">
        <f>IF(OR($M1733="",$T1733=""),"",$T1733+(AA$2*$M1733))</f>
        <v/>
      </c>
      <c r="AB1733" s="48">
        <f>IF(OR($M1733="",$T1733=""),"",$T1733+(AB$2*$M1733))</f>
        <v/>
      </c>
      <c r="AC1733" s="48">
        <f>IF(OR($M1733="",$T1733=""),"",$T1733+(AC$2*$M1733))</f>
        <v/>
      </c>
      <c r="AD1733" s="48">
        <f>IF(OR($M1733="",$T1733=""),"",$T1733+(AD$2*$M1733))</f>
        <v/>
      </c>
      <c r="AE1733" s="49">
        <f>IF(OR($M1733="",$T1733=""),"",$T1733+(AE$2*$M1733))</f>
        <v/>
      </c>
      <c r="AF1733" s="52">
        <f>IF(OR(T1733="",I1733&lt;T1733),"",IFERROR(AVERAGE(T1733+M1733*{7,8,9,10,11})/IF(G1733="",I1733,G1733)-1,""))</f>
        <v/>
      </c>
      <c r="AG1733" s="55">
        <f>IF(OR(T1733="",I1733&lt;T1733),"",IFERROR(AF1733/-(R1733/IF(G1733="",I1733,G1733)-1),""))</f>
        <v/>
      </c>
      <c r="AH1733" s="94" t="n"/>
      <c r="AI1733" s="94" t="n"/>
      <c r="AJ1733" s="94" t="n"/>
      <c r="AK1733" s="94" t="n"/>
      <c r="AL1733" s="84" t="n"/>
    </row>
    <row r="1734">
      <c r="A1734" s="64" t="n"/>
      <c r="B1734" s="65" t="n"/>
      <c r="C1734" s="66" t="n"/>
      <c r="D1734" s="67" t="n"/>
      <c r="E1734" s="68" t="n"/>
      <c r="F1734" s="47">
        <f>IF(A1734="","",IF(MIN(H1734,MAX(J1734:K1734))=0,"",MIN(H1734,MAX(J1734:K1734))))</f>
        <v/>
      </c>
      <c r="G1734" s="74" t="n"/>
      <c r="H1734" s="49">
        <f>IF(M1734="","",IFERROR(ROUND(AVERAGE(T1734+M1734*{7,8,9,10,11})/1.21,4),""))</f>
        <v/>
      </c>
      <c r="I1734" s="76" t="n"/>
      <c r="J1734" s="77" t="n"/>
      <c r="K1734" s="74" t="n"/>
      <c r="L1734" s="78" t="n"/>
      <c r="M1734" s="77" t="n"/>
      <c r="N1734" s="53">
        <f>IF(M1734="","",IFERROR(M1734/I1734,""))</f>
        <v/>
      </c>
      <c r="O1734" s="50">
        <f>IF(A1734="","",IFERROR((IF(G1734="",I1734,G1734)-T1734)/M1734,""))</f>
        <v/>
      </c>
      <c r="P1734" s="50">
        <f>IFERROR((I1734/T1734-1)/N1734,"")</f>
        <v/>
      </c>
      <c r="Q1734" s="46">
        <f>IF(OR(T1734="",I1734&lt;T1734),"",IFERROR(R1734/IF(G1734="",I1734,G1734)-1,""))</f>
        <v/>
      </c>
      <c r="R1734" s="48">
        <f>IF($M1734="","",MAX(IF($G1734="",$I1734,$G1734)*(1/1.1),IF($G1734="",$I1734,$G1734)+(R$2*$M1734)))</f>
        <v/>
      </c>
      <c r="S1734" s="49">
        <f>IF($M1734="","",MAX(IF($G1734="",$I1734,$G1734)*(1/1.1),IF($G1734="",$I1734,$G1734)+(S$2*$M1734)))</f>
        <v/>
      </c>
      <c r="T1734" s="82" t="n"/>
      <c r="U1734" s="47">
        <f>IF(OR($M1734="",$T1734=""),"",$T1734+(U$2*$M1734))</f>
        <v/>
      </c>
      <c r="V1734" s="48">
        <f>IF(OR($M1734="",$T1734=""),"",$T1734+(V$2*$M1734))</f>
        <v/>
      </c>
      <c r="W1734" s="48">
        <f>IF(OR($M1734="",$T1734=""),"",$T1734+(W$2*$M1734))</f>
        <v/>
      </c>
      <c r="X1734" s="49">
        <f>IF(OR($M1734="",$T1734=""),"",$T1734+(X$2*$M1734))</f>
        <v/>
      </c>
      <c r="Y1734" s="47">
        <f>IF(OR($M1734="",$T1734=""),"",$T1734+(Y$2*$M1734))</f>
        <v/>
      </c>
      <c r="Z1734" s="49">
        <f>IF(OR($M1734="",$T1734=""),"",$T1734+(Z$2*$M1734))</f>
        <v/>
      </c>
      <c r="AA1734" s="51">
        <f>IF(OR($M1734="",$T1734=""),"",$T1734+(AA$2*$M1734))</f>
        <v/>
      </c>
      <c r="AB1734" s="48">
        <f>IF(OR($M1734="",$T1734=""),"",$T1734+(AB$2*$M1734))</f>
        <v/>
      </c>
      <c r="AC1734" s="48">
        <f>IF(OR($M1734="",$T1734=""),"",$T1734+(AC$2*$M1734))</f>
        <v/>
      </c>
      <c r="AD1734" s="48">
        <f>IF(OR($M1734="",$T1734=""),"",$T1734+(AD$2*$M1734))</f>
        <v/>
      </c>
      <c r="AE1734" s="49">
        <f>IF(OR($M1734="",$T1734=""),"",$T1734+(AE$2*$M1734))</f>
        <v/>
      </c>
      <c r="AF1734" s="52">
        <f>IF(OR(T1734="",I1734&lt;T1734),"",IFERROR(AVERAGE(T1734+M1734*{7,8,9,10,11})/IF(G1734="",I1734,G1734)-1,""))</f>
        <v/>
      </c>
      <c r="AG1734" s="55">
        <f>IF(OR(T1734="",I1734&lt;T1734),"",IFERROR(AF1734/-(R1734/IF(G1734="",I1734,G1734)-1),""))</f>
        <v/>
      </c>
      <c r="AH1734" s="94" t="n"/>
      <c r="AI1734" s="94" t="n"/>
      <c r="AJ1734" s="94" t="n"/>
      <c r="AK1734" s="94" t="n"/>
      <c r="AL1734" s="84" t="n"/>
    </row>
    <row r="1735">
      <c r="A1735" s="64" t="n"/>
      <c r="B1735" s="65" t="n"/>
      <c r="C1735" s="66" t="n"/>
      <c r="D1735" s="67" t="n"/>
      <c r="E1735" s="68" t="n"/>
      <c r="F1735" s="47">
        <f>IF(A1735="","",IF(MIN(H1735,MAX(J1735:K1735))=0,"",MIN(H1735,MAX(J1735:K1735))))</f>
        <v/>
      </c>
      <c r="G1735" s="74" t="n"/>
      <c r="H1735" s="49">
        <f>IF(M1735="","",IFERROR(ROUND(AVERAGE(T1735+M1735*{7,8,9,10,11})/1.21,4),""))</f>
        <v/>
      </c>
      <c r="I1735" s="76" t="n"/>
      <c r="J1735" s="77" t="n"/>
      <c r="K1735" s="74" t="n"/>
      <c r="L1735" s="78" t="n"/>
      <c r="M1735" s="77" t="n"/>
      <c r="N1735" s="53">
        <f>IF(M1735="","",IFERROR(M1735/I1735,""))</f>
        <v/>
      </c>
      <c r="O1735" s="50">
        <f>IF(A1735="","",IFERROR((IF(G1735="",I1735,G1735)-T1735)/M1735,""))</f>
        <v/>
      </c>
      <c r="P1735" s="50">
        <f>IFERROR((I1735/T1735-1)/N1735,"")</f>
        <v/>
      </c>
      <c r="Q1735" s="46">
        <f>IF(OR(T1735="",I1735&lt;T1735),"",IFERROR(R1735/IF(G1735="",I1735,G1735)-1,""))</f>
        <v/>
      </c>
      <c r="R1735" s="48">
        <f>IF($M1735="","",MAX(IF($G1735="",$I1735,$G1735)*(1/1.1),IF($G1735="",$I1735,$G1735)+(R$2*$M1735)))</f>
        <v/>
      </c>
      <c r="S1735" s="49">
        <f>IF($M1735="","",MAX(IF($G1735="",$I1735,$G1735)*(1/1.1),IF($G1735="",$I1735,$G1735)+(S$2*$M1735)))</f>
        <v/>
      </c>
      <c r="T1735" s="82" t="n"/>
      <c r="U1735" s="47">
        <f>IF(OR($M1735="",$T1735=""),"",$T1735+(U$2*$M1735))</f>
        <v/>
      </c>
      <c r="V1735" s="48">
        <f>IF(OR($M1735="",$T1735=""),"",$T1735+(V$2*$M1735))</f>
        <v/>
      </c>
      <c r="W1735" s="48">
        <f>IF(OR($M1735="",$T1735=""),"",$T1735+(W$2*$M1735))</f>
        <v/>
      </c>
      <c r="X1735" s="49">
        <f>IF(OR($M1735="",$T1735=""),"",$T1735+(X$2*$M1735))</f>
        <v/>
      </c>
      <c r="Y1735" s="47">
        <f>IF(OR($M1735="",$T1735=""),"",$T1735+(Y$2*$M1735))</f>
        <v/>
      </c>
      <c r="Z1735" s="49">
        <f>IF(OR($M1735="",$T1735=""),"",$T1735+(Z$2*$M1735))</f>
        <v/>
      </c>
      <c r="AA1735" s="51">
        <f>IF(OR($M1735="",$T1735=""),"",$T1735+(AA$2*$M1735))</f>
        <v/>
      </c>
      <c r="AB1735" s="48">
        <f>IF(OR($M1735="",$T1735=""),"",$T1735+(AB$2*$M1735))</f>
        <v/>
      </c>
      <c r="AC1735" s="48">
        <f>IF(OR($M1735="",$T1735=""),"",$T1735+(AC$2*$M1735))</f>
        <v/>
      </c>
      <c r="AD1735" s="48">
        <f>IF(OR($M1735="",$T1735=""),"",$T1735+(AD$2*$M1735))</f>
        <v/>
      </c>
      <c r="AE1735" s="49">
        <f>IF(OR($M1735="",$T1735=""),"",$T1735+(AE$2*$M1735))</f>
        <v/>
      </c>
      <c r="AF1735" s="52">
        <f>IF(OR(T1735="",I1735&lt;T1735),"",IFERROR(AVERAGE(T1735+M1735*{7,8,9,10,11})/IF(G1735="",I1735,G1735)-1,""))</f>
        <v/>
      </c>
      <c r="AG1735" s="55">
        <f>IF(OR(T1735="",I1735&lt;T1735),"",IFERROR(AF1735/-(R1735/IF(G1735="",I1735,G1735)-1),""))</f>
        <v/>
      </c>
      <c r="AH1735" s="94" t="n"/>
      <c r="AI1735" s="94" t="n"/>
      <c r="AJ1735" s="94" t="n"/>
      <c r="AK1735" s="94" t="n"/>
      <c r="AL1735" s="84" t="n"/>
    </row>
    <row r="1736">
      <c r="A1736" s="64" t="n"/>
      <c r="B1736" s="65" t="n"/>
      <c r="C1736" s="66" t="n"/>
      <c r="D1736" s="67" t="n"/>
      <c r="E1736" s="68" t="n"/>
      <c r="F1736" s="47">
        <f>IF(A1736="","",IF(MIN(H1736,MAX(J1736:K1736))=0,"",MIN(H1736,MAX(J1736:K1736))))</f>
        <v/>
      </c>
      <c r="G1736" s="74" t="n"/>
      <c r="H1736" s="49">
        <f>IF(M1736="","",IFERROR(ROUND(AVERAGE(T1736+M1736*{7,8,9,10,11})/1.21,4),""))</f>
        <v/>
      </c>
      <c r="I1736" s="76" t="n"/>
      <c r="J1736" s="77" t="n"/>
      <c r="K1736" s="74" t="n"/>
      <c r="L1736" s="78" t="n"/>
      <c r="M1736" s="77" t="n"/>
      <c r="N1736" s="53">
        <f>IF(M1736="","",IFERROR(M1736/I1736,""))</f>
        <v/>
      </c>
      <c r="O1736" s="50">
        <f>IF(A1736="","",IFERROR((IF(G1736="",I1736,G1736)-T1736)/M1736,""))</f>
        <v/>
      </c>
      <c r="P1736" s="50">
        <f>IFERROR((I1736/T1736-1)/N1736,"")</f>
        <v/>
      </c>
      <c r="Q1736" s="46">
        <f>IF(OR(T1736="",I1736&lt;T1736),"",IFERROR(R1736/IF(G1736="",I1736,G1736)-1,""))</f>
        <v/>
      </c>
      <c r="R1736" s="48">
        <f>IF($M1736="","",MAX(IF($G1736="",$I1736,$G1736)*(1/1.1),IF($G1736="",$I1736,$G1736)+(R$2*$M1736)))</f>
        <v/>
      </c>
      <c r="S1736" s="49">
        <f>IF($M1736="","",MAX(IF($G1736="",$I1736,$G1736)*(1/1.1),IF($G1736="",$I1736,$G1736)+(S$2*$M1736)))</f>
        <v/>
      </c>
      <c r="T1736" s="82" t="n"/>
      <c r="U1736" s="47">
        <f>IF(OR($M1736="",$T1736=""),"",$T1736+(U$2*$M1736))</f>
        <v/>
      </c>
      <c r="V1736" s="48">
        <f>IF(OR($M1736="",$T1736=""),"",$T1736+(V$2*$M1736))</f>
        <v/>
      </c>
      <c r="W1736" s="48">
        <f>IF(OR($M1736="",$T1736=""),"",$T1736+(W$2*$M1736))</f>
        <v/>
      </c>
      <c r="X1736" s="49">
        <f>IF(OR($M1736="",$T1736=""),"",$T1736+(X$2*$M1736))</f>
        <v/>
      </c>
      <c r="Y1736" s="47">
        <f>IF(OR($M1736="",$T1736=""),"",$T1736+(Y$2*$M1736))</f>
        <v/>
      </c>
      <c r="Z1736" s="49">
        <f>IF(OR($M1736="",$T1736=""),"",$T1736+(Z$2*$M1736))</f>
        <v/>
      </c>
      <c r="AA1736" s="51">
        <f>IF(OR($M1736="",$T1736=""),"",$T1736+(AA$2*$M1736))</f>
        <v/>
      </c>
      <c r="AB1736" s="48">
        <f>IF(OR($M1736="",$T1736=""),"",$T1736+(AB$2*$M1736))</f>
        <v/>
      </c>
      <c r="AC1736" s="48">
        <f>IF(OR($M1736="",$T1736=""),"",$T1736+(AC$2*$M1736))</f>
        <v/>
      </c>
      <c r="AD1736" s="48">
        <f>IF(OR($M1736="",$T1736=""),"",$T1736+(AD$2*$M1736))</f>
        <v/>
      </c>
      <c r="AE1736" s="49">
        <f>IF(OR($M1736="",$T1736=""),"",$T1736+(AE$2*$M1736))</f>
        <v/>
      </c>
      <c r="AF1736" s="52">
        <f>IF(OR(T1736="",I1736&lt;T1736),"",IFERROR(AVERAGE(T1736+M1736*{7,8,9,10,11})/IF(G1736="",I1736,G1736)-1,""))</f>
        <v/>
      </c>
      <c r="AG1736" s="55">
        <f>IF(OR(T1736="",I1736&lt;T1736),"",IFERROR(AF1736/-(R1736/IF(G1736="",I1736,G1736)-1),""))</f>
        <v/>
      </c>
      <c r="AH1736" s="94" t="n"/>
      <c r="AI1736" s="94" t="n"/>
      <c r="AJ1736" s="94" t="n"/>
      <c r="AK1736" s="94" t="n"/>
      <c r="AL1736" s="84" t="n"/>
    </row>
    <row r="1737">
      <c r="A1737" s="64" t="n"/>
      <c r="B1737" s="65" t="n"/>
      <c r="C1737" s="66" t="n"/>
      <c r="D1737" s="67" t="n"/>
      <c r="E1737" s="68" t="n"/>
      <c r="F1737" s="47">
        <f>IF(A1737="","",IF(MIN(H1737,MAX(J1737:K1737))=0,"",MIN(H1737,MAX(J1737:K1737))))</f>
        <v/>
      </c>
      <c r="G1737" s="74" t="n"/>
      <c r="H1737" s="49">
        <f>IF(M1737="","",IFERROR(ROUND(AVERAGE(T1737+M1737*{7,8,9,10,11})/1.21,4),""))</f>
        <v/>
      </c>
      <c r="I1737" s="76" t="n"/>
      <c r="J1737" s="77" t="n"/>
      <c r="K1737" s="74" t="n"/>
      <c r="L1737" s="78" t="n"/>
      <c r="M1737" s="77" t="n"/>
      <c r="N1737" s="53">
        <f>IF(M1737="","",IFERROR(M1737/I1737,""))</f>
        <v/>
      </c>
      <c r="O1737" s="50">
        <f>IF(A1737="","",IFERROR((IF(G1737="",I1737,G1737)-T1737)/M1737,""))</f>
        <v/>
      </c>
      <c r="P1737" s="50">
        <f>IFERROR((I1737/T1737-1)/N1737,"")</f>
        <v/>
      </c>
      <c r="Q1737" s="46">
        <f>IF(OR(T1737="",I1737&lt;T1737),"",IFERROR(R1737/IF(G1737="",I1737,G1737)-1,""))</f>
        <v/>
      </c>
      <c r="R1737" s="48">
        <f>IF($M1737="","",MAX(IF($G1737="",$I1737,$G1737)*(1/1.1),IF($G1737="",$I1737,$G1737)+(R$2*$M1737)))</f>
        <v/>
      </c>
      <c r="S1737" s="49">
        <f>IF($M1737="","",MAX(IF($G1737="",$I1737,$G1737)*(1/1.1),IF($G1737="",$I1737,$G1737)+(S$2*$M1737)))</f>
        <v/>
      </c>
      <c r="T1737" s="82" t="n"/>
      <c r="U1737" s="47">
        <f>IF(OR($M1737="",$T1737=""),"",$T1737+(U$2*$M1737))</f>
        <v/>
      </c>
      <c r="V1737" s="48">
        <f>IF(OR($M1737="",$T1737=""),"",$T1737+(V$2*$M1737))</f>
        <v/>
      </c>
      <c r="W1737" s="48">
        <f>IF(OR($M1737="",$T1737=""),"",$T1737+(W$2*$M1737))</f>
        <v/>
      </c>
      <c r="X1737" s="49">
        <f>IF(OR($M1737="",$T1737=""),"",$T1737+(X$2*$M1737))</f>
        <v/>
      </c>
      <c r="Y1737" s="47">
        <f>IF(OR($M1737="",$T1737=""),"",$T1737+(Y$2*$M1737))</f>
        <v/>
      </c>
      <c r="Z1737" s="49">
        <f>IF(OR($M1737="",$T1737=""),"",$T1737+(Z$2*$M1737))</f>
        <v/>
      </c>
      <c r="AA1737" s="51">
        <f>IF(OR($M1737="",$T1737=""),"",$T1737+(AA$2*$M1737))</f>
        <v/>
      </c>
      <c r="AB1737" s="48">
        <f>IF(OR($M1737="",$T1737=""),"",$T1737+(AB$2*$M1737))</f>
        <v/>
      </c>
      <c r="AC1737" s="48">
        <f>IF(OR($M1737="",$T1737=""),"",$T1737+(AC$2*$M1737))</f>
        <v/>
      </c>
      <c r="AD1737" s="48">
        <f>IF(OR($M1737="",$T1737=""),"",$T1737+(AD$2*$M1737))</f>
        <v/>
      </c>
      <c r="AE1737" s="49">
        <f>IF(OR($M1737="",$T1737=""),"",$T1737+(AE$2*$M1737))</f>
        <v/>
      </c>
      <c r="AF1737" s="52">
        <f>IF(OR(T1737="",I1737&lt;T1737),"",IFERROR(AVERAGE(T1737+M1737*{7,8,9,10,11})/IF(G1737="",I1737,G1737)-1,""))</f>
        <v/>
      </c>
      <c r="AG1737" s="55">
        <f>IF(OR(T1737="",I1737&lt;T1737),"",IFERROR(AF1737/-(R1737/IF(G1737="",I1737,G1737)-1),""))</f>
        <v/>
      </c>
      <c r="AH1737" s="94" t="n"/>
      <c r="AI1737" s="94" t="n"/>
      <c r="AJ1737" s="94" t="n"/>
      <c r="AK1737" s="94" t="n"/>
      <c r="AL1737" s="84" t="n"/>
    </row>
    <row r="1738">
      <c r="A1738" s="64" t="n"/>
      <c r="B1738" s="65" t="n"/>
      <c r="C1738" s="66" t="n"/>
      <c r="D1738" s="67" t="n"/>
      <c r="E1738" s="68" t="n"/>
      <c r="F1738" s="47">
        <f>IF(A1738="","",IF(MIN(H1738,MAX(J1738:K1738))=0,"",MIN(H1738,MAX(J1738:K1738))))</f>
        <v/>
      </c>
      <c r="G1738" s="74" t="n"/>
      <c r="H1738" s="49">
        <f>IF(M1738="","",IFERROR(ROUND(AVERAGE(T1738+M1738*{7,8,9,10,11})/1.21,4),""))</f>
        <v/>
      </c>
      <c r="I1738" s="76" t="n"/>
      <c r="J1738" s="77" t="n"/>
      <c r="K1738" s="74" t="n"/>
      <c r="L1738" s="78" t="n"/>
      <c r="M1738" s="77" t="n"/>
      <c r="N1738" s="53">
        <f>IF(M1738="","",IFERROR(M1738/I1738,""))</f>
        <v/>
      </c>
      <c r="O1738" s="50">
        <f>IF(A1738="","",IFERROR((IF(G1738="",I1738,G1738)-T1738)/M1738,""))</f>
        <v/>
      </c>
      <c r="P1738" s="50">
        <f>IFERROR((I1738/T1738-1)/N1738,"")</f>
        <v/>
      </c>
      <c r="Q1738" s="46">
        <f>IF(OR(T1738="",I1738&lt;T1738),"",IFERROR(R1738/IF(G1738="",I1738,G1738)-1,""))</f>
        <v/>
      </c>
      <c r="R1738" s="48">
        <f>IF($M1738="","",MAX(IF($G1738="",$I1738,$G1738)*(1/1.1),IF($G1738="",$I1738,$G1738)+(R$2*$M1738)))</f>
        <v/>
      </c>
      <c r="S1738" s="49">
        <f>IF($M1738="","",MAX(IF($G1738="",$I1738,$G1738)*(1/1.1),IF($G1738="",$I1738,$G1738)+(S$2*$M1738)))</f>
        <v/>
      </c>
      <c r="T1738" s="82" t="n"/>
      <c r="U1738" s="47">
        <f>IF(OR($M1738="",$T1738=""),"",$T1738+(U$2*$M1738))</f>
        <v/>
      </c>
      <c r="V1738" s="48">
        <f>IF(OR($M1738="",$T1738=""),"",$T1738+(V$2*$M1738))</f>
        <v/>
      </c>
      <c r="W1738" s="48">
        <f>IF(OR($M1738="",$T1738=""),"",$T1738+(W$2*$M1738))</f>
        <v/>
      </c>
      <c r="X1738" s="49">
        <f>IF(OR($M1738="",$T1738=""),"",$T1738+(X$2*$M1738))</f>
        <v/>
      </c>
      <c r="Y1738" s="47">
        <f>IF(OR($M1738="",$T1738=""),"",$T1738+(Y$2*$M1738))</f>
        <v/>
      </c>
      <c r="Z1738" s="49">
        <f>IF(OR($M1738="",$T1738=""),"",$T1738+(Z$2*$M1738))</f>
        <v/>
      </c>
      <c r="AA1738" s="51">
        <f>IF(OR($M1738="",$T1738=""),"",$T1738+(AA$2*$M1738))</f>
        <v/>
      </c>
      <c r="AB1738" s="48">
        <f>IF(OR($M1738="",$T1738=""),"",$T1738+(AB$2*$M1738))</f>
        <v/>
      </c>
      <c r="AC1738" s="48">
        <f>IF(OR($M1738="",$T1738=""),"",$T1738+(AC$2*$M1738))</f>
        <v/>
      </c>
      <c r="AD1738" s="48">
        <f>IF(OR($M1738="",$T1738=""),"",$T1738+(AD$2*$M1738))</f>
        <v/>
      </c>
      <c r="AE1738" s="49">
        <f>IF(OR($M1738="",$T1738=""),"",$T1738+(AE$2*$M1738))</f>
        <v/>
      </c>
      <c r="AF1738" s="52">
        <f>IF(OR(T1738="",I1738&lt;T1738),"",IFERROR(AVERAGE(T1738+M1738*{7,8,9,10,11})/IF(G1738="",I1738,G1738)-1,""))</f>
        <v/>
      </c>
      <c r="AG1738" s="55">
        <f>IF(OR(T1738="",I1738&lt;T1738),"",IFERROR(AF1738/-(R1738/IF(G1738="",I1738,G1738)-1),""))</f>
        <v/>
      </c>
      <c r="AH1738" s="94" t="n"/>
      <c r="AI1738" s="94" t="n"/>
      <c r="AJ1738" s="94" t="n"/>
      <c r="AK1738" s="94" t="n"/>
      <c r="AL1738" s="84" t="n"/>
    </row>
    <row r="1739">
      <c r="A1739" s="64" t="n"/>
      <c r="B1739" s="65" t="n"/>
      <c r="C1739" s="66" t="n"/>
      <c r="D1739" s="67" t="n"/>
      <c r="E1739" s="68" t="n"/>
      <c r="F1739" s="47">
        <f>IF(A1739="","",IF(MIN(H1739,MAX(J1739:K1739))=0,"",MIN(H1739,MAX(J1739:K1739))))</f>
        <v/>
      </c>
      <c r="G1739" s="74" t="n"/>
      <c r="H1739" s="49">
        <f>IF(M1739="","",IFERROR(ROUND(AVERAGE(T1739+M1739*{7,8,9,10,11})/1.21,4),""))</f>
        <v/>
      </c>
      <c r="I1739" s="76" t="n"/>
      <c r="J1739" s="77" t="n"/>
      <c r="K1739" s="74" t="n"/>
      <c r="L1739" s="78" t="n"/>
      <c r="M1739" s="77" t="n"/>
      <c r="N1739" s="53">
        <f>IF(M1739="","",IFERROR(M1739/I1739,""))</f>
        <v/>
      </c>
      <c r="O1739" s="50">
        <f>IF(A1739="","",IFERROR((IF(G1739="",I1739,G1739)-T1739)/M1739,""))</f>
        <v/>
      </c>
      <c r="P1739" s="50">
        <f>IFERROR((I1739/T1739-1)/N1739,"")</f>
        <v/>
      </c>
      <c r="Q1739" s="46">
        <f>IF(OR(T1739="",I1739&lt;T1739),"",IFERROR(R1739/IF(G1739="",I1739,G1739)-1,""))</f>
        <v/>
      </c>
      <c r="R1739" s="48">
        <f>IF($M1739="","",MAX(IF($G1739="",$I1739,$G1739)*(1/1.1),IF($G1739="",$I1739,$G1739)+(R$2*$M1739)))</f>
        <v/>
      </c>
      <c r="S1739" s="49">
        <f>IF($M1739="","",MAX(IF($G1739="",$I1739,$G1739)*(1/1.1),IF($G1739="",$I1739,$G1739)+(S$2*$M1739)))</f>
        <v/>
      </c>
      <c r="T1739" s="82" t="n"/>
      <c r="U1739" s="47">
        <f>IF(OR($M1739="",$T1739=""),"",$T1739+(U$2*$M1739))</f>
        <v/>
      </c>
      <c r="V1739" s="48">
        <f>IF(OR($M1739="",$T1739=""),"",$T1739+(V$2*$M1739))</f>
        <v/>
      </c>
      <c r="W1739" s="48">
        <f>IF(OR($M1739="",$T1739=""),"",$T1739+(W$2*$M1739))</f>
        <v/>
      </c>
      <c r="X1739" s="49">
        <f>IF(OR($M1739="",$T1739=""),"",$T1739+(X$2*$M1739))</f>
        <v/>
      </c>
      <c r="Y1739" s="47">
        <f>IF(OR($M1739="",$T1739=""),"",$T1739+(Y$2*$M1739))</f>
        <v/>
      </c>
      <c r="Z1739" s="49">
        <f>IF(OR($M1739="",$T1739=""),"",$T1739+(Z$2*$M1739))</f>
        <v/>
      </c>
      <c r="AA1739" s="51">
        <f>IF(OR($M1739="",$T1739=""),"",$T1739+(AA$2*$M1739))</f>
        <v/>
      </c>
      <c r="AB1739" s="48">
        <f>IF(OR($M1739="",$T1739=""),"",$T1739+(AB$2*$M1739))</f>
        <v/>
      </c>
      <c r="AC1739" s="48">
        <f>IF(OR($M1739="",$T1739=""),"",$T1739+(AC$2*$M1739))</f>
        <v/>
      </c>
      <c r="AD1739" s="48">
        <f>IF(OR($M1739="",$T1739=""),"",$T1739+(AD$2*$M1739))</f>
        <v/>
      </c>
      <c r="AE1739" s="49">
        <f>IF(OR($M1739="",$T1739=""),"",$T1739+(AE$2*$M1739))</f>
        <v/>
      </c>
      <c r="AF1739" s="52">
        <f>IF(OR(T1739="",I1739&lt;T1739),"",IFERROR(AVERAGE(T1739+M1739*{7,8,9,10,11})/IF(G1739="",I1739,G1739)-1,""))</f>
        <v/>
      </c>
      <c r="AG1739" s="55">
        <f>IF(OR(T1739="",I1739&lt;T1739),"",IFERROR(AF1739/-(R1739/IF(G1739="",I1739,G1739)-1),""))</f>
        <v/>
      </c>
      <c r="AH1739" s="94" t="n"/>
      <c r="AI1739" s="94" t="n"/>
      <c r="AJ1739" s="94" t="n"/>
      <c r="AK1739" s="94" t="n"/>
      <c r="AL1739" s="84" t="n"/>
    </row>
    <row r="1740">
      <c r="A1740" s="64" t="n"/>
      <c r="B1740" s="65" t="n"/>
      <c r="C1740" s="66" t="n"/>
      <c r="D1740" s="67" t="n"/>
      <c r="E1740" s="68" t="n"/>
      <c r="F1740" s="47">
        <f>IF(A1740="","",IF(MIN(H1740,MAX(J1740:K1740))=0,"",MIN(H1740,MAX(J1740:K1740))))</f>
        <v/>
      </c>
      <c r="G1740" s="74" t="n"/>
      <c r="H1740" s="49">
        <f>IF(M1740="","",IFERROR(ROUND(AVERAGE(T1740+M1740*{7,8,9,10,11})/1.21,4),""))</f>
        <v/>
      </c>
      <c r="I1740" s="76" t="n"/>
      <c r="J1740" s="77" t="n"/>
      <c r="K1740" s="74" t="n"/>
      <c r="L1740" s="78" t="n"/>
      <c r="M1740" s="77" t="n"/>
      <c r="N1740" s="53">
        <f>IF(M1740="","",IFERROR(M1740/I1740,""))</f>
        <v/>
      </c>
      <c r="O1740" s="50">
        <f>IF(A1740="","",IFERROR((IF(G1740="",I1740,G1740)-T1740)/M1740,""))</f>
        <v/>
      </c>
      <c r="P1740" s="50">
        <f>IFERROR((I1740/T1740-1)/N1740,"")</f>
        <v/>
      </c>
      <c r="Q1740" s="46">
        <f>IF(OR(T1740="",I1740&lt;T1740),"",IFERROR(R1740/IF(G1740="",I1740,G1740)-1,""))</f>
        <v/>
      </c>
      <c r="R1740" s="48">
        <f>IF($M1740="","",MAX(IF($G1740="",$I1740,$G1740)*(1/1.1),IF($G1740="",$I1740,$G1740)+(R$2*$M1740)))</f>
        <v/>
      </c>
      <c r="S1740" s="49">
        <f>IF($M1740="","",MAX(IF($G1740="",$I1740,$G1740)*(1/1.1),IF($G1740="",$I1740,$G1740)+(S$2*$M1740)))</f>
        <v/>
      </c>
      <c r="T1740" s="82" t="n"/>
      <c r="U1740" s="47">
        <f>IF(OR($M1740="",$T1740=""),"",$T1740+(U$2*$M1740))</f>
        <v/>
      </c>
      <c r="V1740" s="48">
        <f>IF(OR($M1740="",$T1740=""),"",$T1740+(V$2*$M1740))</f>
        <v/>
      </c>
      <c r="W1740" s="48">
        <f>IF(OR($M1740="",$T1740=""),"",$T1740+(W$2*$M1740))</f>
        <v/>
      </c>
      <c r="X1740" s="49">
        <f>IF(OR($M1740="",$T1740=""),"",$T1740+(X$2*$M1740))</f>
        <v/>
      </c>
      <c r="Y1740" s="47">
        <f>IF(OR($M1740="",$T1740=""),"",$T1740+(Y$2*$M1740))</f>
        <v/>
      </c>
      <c r="Z1740" s="49">
        <f>IF(OR($M1740="",$T1740=""),"",$T1740+(Z$2*$M1740))</f>
        <v/>
      </c>
      <c r="AA1740" s="51">
        <f>IF(OR($M1740="",$T1740=""),"",$T1740+(AA$2*$M1740))</f>
        <v/>
      </c>
      <c r="AB1740" s="48">
        <f>IF(OR($M1740="",$T1740=""),"",$T1740+(AB$2*$M1740))</f>
        <v/>
      </c>
      <c r="AC1740" s="48">
        <f>IF(OR($M1740="",$T1740=""),"",$T1740+(AC$2*$M1740))</f>
        <v/>
      </c>
      <c r="AD1740" s="48">
        <f>IF(OR($M1740="",$T1740=""),"",$T1740+(AD$2*$M1740))</f>
        <v/>
      </c>
      <c r="AE1740" s="49">
        <f>IF(OR($M1740="",$T1740=""),"",$T1740+(AE$2*$M1740))</f>
        <v/>
      </c>
      <c r="AF1740" s="52">
        <f>IF(OR(T1740="",I1740&lt;T1740),"",IFERROR(AVERAGE(T1740+M1740*{7,8,9,10,11})/IF(G1740="",I1740,G1740)-1,""))</f>
        <v/>
      </c>
      <c r="AG1740" s="55">
        <f>IF(OR(T1740="",I1740&lt;T1740),"",IFERROR(AF1740/-(R1740/IF(G1740="",I1740,G1740)-1),""))</f>
        <v/>
      </c>
      <c r="AH1740" s="94" t="n"/>
      <c r="AI1740" s="94" t="n"/>
      <c r="AJ1740" s="94" t="n"/>
      <c r="AK1740" s="94" t="n"/>
      <c r="AL1740" s="84" t="n"/>
    </row>
    <row r="1741">
      <c r="A1741" s="64" t="n"/>
      <c r="B1741" s="65" t="n"/>
      <c r="C1741" s="66" t="n"/>
      <c r="D1741" s="67" t="n"/>
      <c r="E1741" s="68" t="n"/>
      <c r="F1741" s="47">
        <f>IF(A1741="","",IF(MIN(H1741,MAX(J1741:K1741))=0,"",MIN(H1741,MAX(J1741:K1741))))</f>
        <v/>
      </c>
      <c r="G1741" s="74" t="n"/>
      <c r="H1741" s="49">
        <f>IF(M1741="","",IFERROR(ROUND(AVERAGE(T1741+M1741*{7,8,9,10,11})/1.21,4),""))</f>
        <v/>
      </c>
      <c r="I1741" s="76" t="n"/>
      <c r="J1741" s="77" t="n"/>
      <c r="K1741" s="74" t="n"/>
      <c r="L1741" s="78" t="n"/>
      <c r="M1741" s="77" t="n"/>
      <c r="N1741" s="53">
        <f>IF(M1741="","",IFERROR(M1741/I1741,""))</f>
        <v/>
      </c>
      <c r="O1741" s="50">
        <f>IF(A1741="","",IFERROR((IF(G1741="",I1741,G1741)-T1741)/M1741,""))</f>
        <v/>
      </c>
      <c r="P1741" s="50">
        <f>IFERROR((I1741/T1741-1)/N1741,"")</f>
        <v/>
      </c>
      <c r="Q1741" s="46">
        <f>IF(OR(T1741="",I1741&lt;T1741),"",IFERROR(R1741/IF(G1741="",I1741,G1741)-1,""))</f>
        <v/>
      </c>
      <c r="R1741" s="48">
        <f>IF($M1741="","",MAX(IF($G1741="",$I1741,$G1741)*(1/1.1),IF($G1741="",$I1741,$G1741)+(R$2*$M1741)))</f>
        <v/>
      </c>
      <c r="S1741" s="49">
        <f>IF($M1741="","",MAX(IF($G1741="",$I1741,$G1741)*(1/1.1),IF($G1741="",$I1741,$G1741)+(S$2*$M1741)))</f>
        <v/>
      </c>
      <c r="T1741" s="82" t="n"/>
      <c r="U1741" s="47">
        <f>IF(OR($M1741="",$T1741=""),"",$T1741+(U$2*$M1741))</f>
        <v/>
      </c>
      <c r="V1741" s="48">
        <f>IF(OR($M1741="",$T1741=""),"",$T1741+(V$2*$M1741))</f>
        <v/>
      </c>
      <c r="W1741" s="48">
        <f>IF(OR($M1741="",$T1741=""),"",$T1741+(W$2*$M1741))</f>
        <v/>
      </c>
      <c r="X1741" s="49">
        <f>IF(OR($M1741="",$T1741=""),"",$T1741+(X$2*$M1741))</f>
        <v/>
      </c>
      <c r="Y1741" s="47">
        <f>IF(OR($M1741="",$T1741=""),"",$T1741+(Y$2*$M1741))</f>
        <v/>
      </c>
      <c r="Z1741" s="49">
        <f>IF(OR($M1741="",$T1741=""),"",$T1741+(Z$2*$M1741))</f>
        <v/>
      </c>
      <c r="AA1741" s="51">
        <f>IF(OR($M1741="",$T1741=""),"",$T1741+(AA$2*$M1741))</f>
        <v/>
      </c>
      <c r="AB1741" s="48">
        <f>IF(OR($M1741="",$T1741=""),"",$T1741+(AB$2*$M1741))</f>
        <v/>
      </c>
      <c r="AC1741" s="48">
        <f>IF(OR($M1741="",$T1741=""),"",$T1741+(AC$2*$M1741))</f>
        <v/>
      </c>
      <c r="AD1741" s="48">
        <f>IF(OR($M1741="",$T1741=""),"",$T1741+(AD$2*$M1741))</f>
        <v/>
      </c>
      <c r="AE1741" s="49">
        <f>IF(OR($M1741="",$T1741=""),"",$T1741+(AE$2*$M1741))</f>
        <v/>
      </c>
      <c r="AF1741" s="52">
        <f>IF(OR(T1741="",I1741&lt;T1741),"",IFERROR(AVERAGE(T1741+M1741*{7,8,9,10,11})/IF(G1741="",I1741,G1741)-1,""))</f>
        <v/>
      </c>
      <c r="AG1741" s="55">
        <f>IF(OR(T1741="",I1741&lt;T1741),"",IFERROR(AF1741/-(R1741/IF(G1741="",I1741,G1741)-1),""))</f>
        <v/>
      </c>
      <c r="AH1741" s="94" t="n"/>
      <c r="AI1741" s="94" t="n"/>
      <c r="AJ1741" s="94" t="n"/>
      <c r="AK1741" s="94" t="n"/>
      <c r="AL1741" s="84" t="n"/>
    </row>
    <row r="1742">
      <c r="A1742" s="64" t="n"/>
      <c r="B1742" s="65" t="n"/>
      <c r="C1742" s="66" t="n"/>
      <c r="D1742" s="67" t="n"/>
      <c r="E1742" s="68" t="n"/>
      <c r="F1742" s="47">
        <f>IF(A1742="","",IF(MIN(H1742,MAX(J1742:K1742))=0,"",MIN(H1742,MAX(J1742:K1742))))</f>
        <v/>
      </c>
      <c r="G1742" s="74" t="n"/>
      <c r="H1742" s="49">
        <f>IF(M1742="","",IFERROR(ROUND(AVERAGE(T1742+M1742*{7,8,9,10,11})/1.21,4),""))</f>
        <v/>
      </c>
      <c r="I1742" s="76" t="n"/>
      <c r="J1742" s="77" t="n"/>
      <c r="K1742" s="74" t="n"/>
      <c r="L1742" s="78" t="n"/>
      <c r="M1742" s="77" t="n"/>
      <c r="N1742" s="53">
        <f>IF(M1742="","",IFERROR(M1742/I1742,""))</f>
        <v/>
      </c>
      <c r="O1742" s="50">
        <f>IF(A1742="","",IFERROR((IF(G1742="",I1742,G1742)-T1742)/M1742,""))</f>
        <v/>
      </c>
      <c r="P1742" s="50">
        <f>IFERROR((I1742/T1742-1)/N1742,"")</f>
        <v/>
      </c>
      <c r="Q1742" s="46">
        <f>IF(OR(T1742="",I1742&lt;T1742),"",IFERROR(R1742/IF(G1742="",I1742,G1742)-1,""))</f>
        <v/>
      </c>
      <c r="R1742" s="48">
        <f>IF($M1742="","",MAX(IF($G1742="",$I1742,$G1742)*(1/1.1),IF($G1742="",$I1742,$G1742)+(R$2*$M1742)))</f>
        <v/>
      </c>
      <c r="S1742" s="49">
        <f>IF($M1742="","",MAX(IF($G1742="",$I1742,$G1742)*(1/1.1),IF($G1742="",$I1742,$G1742)+(S$2*$M1742)))</f>
        <v/>
      </c>
      <c r="T1742" s="82" t="n"/>
      <c r="U1742" s="47">
        <f>IF(OR($M1742="",$T1742=""),"",$T1742+(U$2*$M1742))</f>
        <v/>
      </c>
      <c r="V1742" s="48">
        <f>IF(OR($M1742="",$T1742=""),"",$T1742+(V$2*$M1742))</f>
        <v/>
      </c>
      <c r="W1742" s="48">
        <f>IF(OR($M1742="",$T1742=""),"",$T1742+(W$2*$M1742))</f>
        <v/>
      </c>
      <c r="X1742" s="49">
        <f>IF(OR($M1742="",$T1742=""),"",$T1742+(X$2*$M1742))</f>
        <v/>
      </c>
      <c r="Y1742" s="47">
        <f>IF(OR($M1742="",$T1742=""),"",$T1742+(Y$2*$M1742))</f>
        <v/>
      </c>
      <c r="Z1742" s="49">
        <f>IF(OR($M1742="",$T1742=""),"",$T1742+(Z$2*$M1742))</f>
        <v/>
      </c>
      <c r="AA1742" s="51">
        <f>IF(OR($M1742="",$T1742=""),"",$T1742+(AA$2*$M1742))</f>
        <v/>
      </c>
      <c r="AB1742" s="48">
        <f>IF(OR($M1742="",$T1742=""),"",$T1742+(AB$2*$M1742))</f>
        <v/>
      </c>
      <c r="AC1742" s="48">
        <f>IF(OR($M1742="",$T1742=""),"",$T1742+(AC$2*$M1742))</f>
        <v/>
      </c>
      <c r="AD1742" s="48">
        <f>IF(OR($M1742="",$T1742=""),"",$T1742+(AD$2*$M1742))</f>
        <v/>
      </c>
      <c r="AE1742" s="49">
        <f>IF(OR($M1742="",$T1742=""),"",$T1742+(AE$2*$M1742))</f>
        <v/>
      </c>
      <c r="AF1742" s="52">
        <f>IF(OR(T1742="",I1742&lt;T1742),"",IFERROR(AVERAGE(T1742+M1742*{7,8,9,10,11})/IF(G1742="",I1742,G1742)-1,""))</f>
        <v/>
      </c>
      <c r="AG1742" s="55">
        <f>IF(OR(T1742="",I1742&lt;T1742),"",IFERROR(AF1742/-(R1742/IF(G1742="",I1742,G1742)-1),""))</f>
        <v/>
      </c>
      <c r="AH1742" s="94" t="n"/>
      <c r="AI1742" s="94" t="n"/>
      <c r="AJ1742" s="94" t="n"/>
      <c r="AK1742" s="94" t="n"/>
      <c r="AL1742" s="84" t="n"/>
    </row>
    <row r="1743">
      <c r="A1743" s="64" t="n"/>
      <c r="B1743" s="65" t="n"/>
      <c r="C1743" s="66" t="n"/>
      <c r="D1743" s="67" t="n"/>
      <c r="E1743" s="68" t="n"/>
      <c r="F1743" s="47">
        <f>IF(A1743="","",IF(MIN(H1743,MAX(J1743:K1743))=0,"",MIN(H1743,MAX(J1743:K1743))))</f>
        <v/>
      </c>
      <c r="G1743" s="74" t="n"/>
      <c r="H1743" s="49">
        <f>IF(M1743="","",IFERROR(ROUND(AVERAGE(T1743+M1743*{7,8,9,10,11})/1.21,4),""))</f>
        <v/>
      </c>
      <c r="I1743" s="76" t="n"/>
      <c r="J1743" s="77" t="n"/>
      <c r="K1743" s="74" t="n"/>
      <c r="L1743" s="78" t="n"/>
      <c r="M1743" s="77" t="n"/>
      <c r="N1743" s="53">
        <f>IF(M1743="","",IFERROR(M1743/I1743,""))</f>
        <v/>
      </c>
      <c r="O1743" s="50">
        <f>IF(A1743="","",IFERROR((IF(G1743="",I1743,G1743)-T1743)/M1743,""))</f>
        <v/>
      </c>
      <c r="P1743" s="50">
        <f>IFERROR((I1743/T1743-1)/N1743,"")</f>
        <v/>
      </c>
      <c r="Q1743" s="46">
        <f>IF(OR(T1743="",I1743&lt;T1743),"",IFERROR(R1743/IF(G1743="",I1743,G1743)-1,""))</f>
        <v/>
      </c>
      <c r="R1743" s="48">
        <f>IF($M1743="","",MAX(IF($G1743="",$I1743,$G1743)*(1/1.1),IF($G1743="",$I1743,$G1743)+(R$2*$M1743)))</f>
        <v/>
      </c>
      <c r="S1743" s="49">
        <f>IF($M1743="","",MAX(IF($G1743="",$I1743,$G1743)*(1/1.1),IF($G1743="",$I1743,$G1743)+(S$2*$M1743)))</f>
        <v/>
      </c>
      <c r="T1743" s="82" t="n"/>
      <c r="U1743" s="47">
        <f>IF(OR($M1743="",$T1743=""),"",$T1743+(U$2*$M1743))</f>
        <v/>
      </c>
      <c r="V1743" s="48">
        <f>IF(OR($M1743="",$T1743=""),"",$T1743+(V$2*$M1743))</f>
        <v/>
      </c>
      <c r="W1743" s="48">
        <f>IF(OR($M1743="",$T1743=""),"",$T1743+(W$2*$M1743))</f>
        <v/>
      </c>
      <c r="X1743" s="49">
        <f>IF(OR($M1743="",$T1743=""),"",$T1743+(X$2*$M1743))</f>
        <v/>
      </c>
      <c r="Y1743" s="47">
        <f>IF(OR($M1743="",$T1743=""),"",$T1743+(Y$2*$M1743))</f>
        <v/>
      </c>
      <c r="Z1743" s="49">
        <f>IF(OR($M1743="",$T1743=""),"",$T1743+(Z$2*$M1743))</f>
        <v/>
      </c>
      <c r="AA1743" s="51">
        <f>IF(OR($M1743="",$T1743=""),"",$T1743+(AA$2*$M1743))</f>
        <v/>
      </c>
      <c r="AB1743" s="48">
        <f>IF(OR($M1743="",$T1743=""),"",$T1743+(AB$2*$M1743))</f>
        <v/>
      </c>
      <c r="AC1743" s="48">
        <f>IF(OR($M1743="",$T1743=""),"",$T1743+(AC$2*$M1743))</f>
        <v/>
      </c>
      <c r="AD1743" s="48">
        <f>IF(OR($M1743="",$T1743=""),"",$T1743+(AD$2*$M1743))</f>
        <v/>
      </c>
      <c r="AE1743" s="49">
        <f>IF(OR($M1743="",$T1743=""),"",$T1743+(AE$2*$M1743))</f>
        <v/>
      </c>
      <c r="AF1743" s="52">
        <f>IF(OR(T1743="",I1743&lt;T1743),"",IFERROR(AVERAGE(T1743+M1743*{7,8,9,10,11})/IF(G1743="",I1743,G1743)-1,""))</f>
        <v/>
      </c>
      <c r="AG1743" s="55">
        <f>IF(OR(T1743="",I1743&lt;T1743),"",IFERROR(AF1743/-(R1743/IF(G1743="",I1743,G1743)-1),""))</f>
        <v/>
      </c>
      <c r="AH1743" s="94" t="n"/>
      <c r="AI1743" s="94" t="n"/>
      <c r="AJ1743" s="94" t="n"/>
      <c r="AK1743" s="94" t="n"/>
      <c r="AL1743" s="84" t="n"/>
    </row>
    <row r="1744">
      <c r="A1744" s="64" t="n"/>
      <c r="B1744" s="65" t="n"/>
      <c r="C1744" s="66" t="n"/>
      <c r="D1744" s="67" t="n"/>
      <c r="E1744" s="68" t="n"/>
      <c r="F1744" s="47">
        <f>IF(A1744="","",IF(MIN(H1744,MAX(J1744:K1744))=0,"",MIN(H1744,MAX(J1744:K1744))))</f>
        <v/>
      </c>
      <c r="G1744" s="74" t="n"/>
      <c r="H1744" s="49">
        <f>IF(M1744="","",IFERROR(ROUND(AVERAGE(T1744+M1744*{7,8,9,10,11})/1.21,4),""))</f>
        <v/>
      </c>
      <c r="I1744" s="76" t="n"/>
      <c r="J1744" s="77" t="n"/>
      <c r="K1744" s="74" t="n"/>
      <c r="L1744" s="78" t="n"/>
      <c r="M1744" s="77" t="n"/>
      <c r="N1744" s="53">
        <f>IF(M1744="","",IFERROR(M1744/I1744,""))</f>
        <v/>
      </c>
      <c r="O1744" s="50">
        <f>IF(A1744="","",IFERROR((IF(G1744="",I1744,G1744)-T1744)/M1744,""))</f>
        <v/>
      </c>
      <c r="P1744" s="50">
        <f>IFERROR((I1744/T1744-1)/N1744,"")</f>
        <v/>
      </c>
      <c r="Q1744" s="46">
        <f>IF(OR(T1744="",I1744&lt;T1744),"",IFERROR(R1744/IF(G1744="",I1744,G1744)-1,""))</f>
        <v/>
      </c>
      <c r="R1744" s="48">
        <f>IF($M1744="","",MAX(IF($G1744="",$I1744,$G1744)*(1/1.1),IF($G1744="",$I1744,$G1744)+(R$2*$M1744)))</f>
        <v/>
      </c>
      <c r="S1744" s="49">
        <f>IF($M1744="","",MAX(IF($G1744="",$I1744,$G1744)*(1/1.1),IF($G1744="",$I1744,$G1744)+(S$2*$M1744)))</f>
        <v/>
      </c>
      <c r="T1744" s="82" t="n"/>
      <c r="U1744" s="47">
        <f>IF(OR($M1744="",$T1744=""),"",$T1744+(U$2*$M1744))</f>
        <v/>
      </c>
      <c r="V1744" s="48">
        <f>IF(OR($M1744="",$T1744=""),"",$T1744+(V$2*$M1744))</f>
        <v/>
      </c>
      <c r="W1744" s="48">
        <f>IF(OR($M1744="",$T1744=""),"",$T1744+(W$2*$M1744))</f>
        <v/>
      </c>
      <c r="X1744" s="49">
        <f>IF(OR($M1744="",$T1744=""),"",$T1744+(X$2*$M1744))</f>
        <v/>
      </c>
      <c r="Y1744" s="47">
        <f>IF(OR($M1744="",$T1744=""),"",$T1744+(Y$2*$M1744))</f>
        <v/>
      </c>
      <c r="Z1744" s="49">
        <f>IF(OR($M1744="",$T1744=""),"",$T1744+(Z$2*$M1744))</f>
        <v/>
      </c>
      <c r="AA1744" s="51">
        <f>IF(OR($M1744="",$T1744=""),"",$T1744+(AA$2*$M1744))</f>
        <v/>
      </c>
      <c r="AB1744" s="48">
        <f>IF(OR($M1744="",$T1744=""),"",$T1744+(AB$2*$M1744))</f>
        <v/>
      </c>
      <c r="AC1744" s="48">
        <f>IF(OR($M1744="",$T1744=""),"",$T1744+(AC$2*$M1744))</f>
        <v/>
      </c>
      <c r="AD1744" s="48">
        <f>IF(OR($M1744="",$T1744=""),"",$T1744+(AD$2*$M1744))</f>
        <v/>
      </c>
      <c r="AE1744" s="49">
        <f>IF(OR($M1744="",$T1744=""),"",$T1744+(AE$2*$M1744))</f>
        <v/>
      </c>
      <c r="AF1744" s="52">
        <f>IF(OR(T1744="",I1744&lt;T1744),"",IFERROR(AVERAGE(T1744+M1744*{7,8,9,10,11})/IF(G1744="",I1744,G1744)-1,""))</f>
        <v/>
      </c>
      <c r="AG1744" s="55">
        <f>IF(OR(T1744="",I1744&lt;T1744),"",IFERROR(AF1744/-(R1744/IF(G1744="",I1744,G1744)-1),""))</f>
        <v/>
      </c>
      <c r="AH1744" s="94" t="n"/>
      <c r="AI1744" s="94" t="n"/>
      <c r="AJ1744" s="94" t="n"/>
      <c r="AK1744" s="94" t="n"/>
      <c r="AL1744" s="84" t="n"/>
    </row>
    <row r="1745">
      <c r="A1745" s="64" t="n"/>
      <c r="B1745" s="65" t="n"/>
      <c r="C1745" s="66" t="n"/>
      <c r="D1745" s="67" t="n"/>
      <c r="E1745" s="68" t="n"/>
      <c r="F1745" s="47">
        <f>IF(A1745="","",IF(MIN(H1745,MAX(J1745:K1745))=0,"",MIN(H1745,MAX(J1745:K1745))))</f>
        <v/>
      </c>
      <c r="G1745" s="74" t="n"/>
      <c r="H1745" s="49">
        <f>IF(M1745="","",IFERROR(ROUND(AVERAGE(T1745+M1745*{7,8,9,10,11})/1.21,4),""))</f>
        <v/>
      </c>
      <c r="I1745" s="76" t="n"/>
      <c r="J1745" s="77" t="n"/>
      <c r="K1745" s="74" t="n"/>
      <c r="L1745" s="78" t="n"/>
      <c r="M1745" s="77" t="n"/>
      <c r="N1745" s="53">
        <f>IF(M1745="","",IFERROR(M1745/I1745,""))</f>
        <v/>
      </c>
      <c r="O1745" s="50">
        <f>IF(A1745="","",IFERROR((IF(G1745="",I1745,G1745)-T1745)/M1745,""))</f>
        <v/>
      </c>
      <c r="P1745" s="50">
        <f>IFERROR((I1745/T1745-1)/N1745,"")</f>
        <v/>
      </c>
      <c r="Q1745" s="46">
        <f>IF(OR(T1745="",I1745&lt;T1745),"",IFERROR(R1745/IF(G1745="",I1745,G1745)-1,""))</f>
        <v/>
      </c>
      <c r="R1745" s="48">
        <f>IF($M1745="","",MAX(IF($G1745="",$I1745,$G1745)*(1/1.1),IF($G1745="",$I1745,$G1745)+(R$2*$M1745)))</f>
        <v/>
      </c>
      <c r="S1745" s="49">
        <f>IF($M1745="","",MAX(IF($G1745="",$I1745,$G1745)*(1/1.1),IF($G1745="",$I1745,$G1745)+(S$2*$M1745)))</f>
        <v/>
      </c>
      <c r="T1745" s="82" t="n"/>
      <c r="U1745" s="47">
        <f>IF(OR($M1745="",$T1745=""),"",$T1745+(U$2*$M1745))</f>
        <v/>
      </c>
      <c r="V1745" s="48">
        <f>IF(OR($M1745="",$T1745=""),"",$T1745+(V$2*$M1745))</f>
        <v/>
      </c>
      <c r="W1745" s="48">
        <f>IF(OR($M1745="",$T1745=""),"",$T1745+(W$2*$M1745))</f>
        <v/>
      </c>
      <c r="X1745" s="49">
        <f>IF(OR($M1745="",$T1745=""),"",$T1745+(X$2*$M1745))</f>
        <v/>
      </c>
      <c r="Y1745" s="47">
        <f>IF(OR($M1745="",$T1745=""),"",$T1745+(Y$2*$M1745))</f>
        <v/>
      </c>
      <c r="Z1745" s="49">
        <f>IF(OR($M1745="",$T1745=""),"",$T1745+(Z$2*$M1745))</f>
        <v/>
      </c>
      <c r="AA1745" s="51">
        <f>IF(OR($M1745="",$T1745=""),"",$T1745+(AA$2*$M1745))</f>
        <v/>
      </c>
      <c r="AB1745" s="48">
        <f>IF(OR($M1745="",$T1745=""),"",$T1745+(AB$2*$M1745))</f>
        <v/>
      </c>
      <c r="AC1745" s="48">
        <f>IF(OR($M1745="",$T1745=""),"",$T1745+(AC$2*$M1745))</f>
        <v/>
      </c>
      <c r="AD1745" s="48">
        <f>IF(OR($M1745="",$T1745=""),"",$T1745+(AD$2*$M1745))</f>
        <v/>
      </c>
      <c r="AE1745" s="49">
        <f>IF(OR($M1745="",$T1745=""),"",$T1745+(AE$2*$M1745))</f>
        <v/>
      </c>
      <c r="AF1745" s="52">
        <f>IF(OR(T1745="",I1745&lt;T1745),"",IFERROR(AVERAGE(T1745+M1745*{7,8,9,10,11})/IF(G1745="",I1745,G1745)-1,""))</f>
        <v/>
      </c>
      <c r="AG1745" s="55">
        <f>IF(OR(T1745="",I1745&lt;T1745),"",IFERROR(AF1745/-(R1745/IF(G1745="",I1745,G1745)-1),""))</f>
        <v/>
      </c>
      <c r="AH1745" s="94" t="n"/>
      <c r="AI1745" s="94" t="n"/>
      <c r="AJ1745" s="94" t="n"/>
      <c r="AK1745" s="94" t="n"/>
      <c r="AL1745" s="84" t="n"/>
    </row>
    <row r="1746">
      <c r="A1746" s="64" t="n"/>
      <c r="B1746" s="65" t="n"/>
      <c r="C1746" s="66" t="n"/>
      <c r="D1746" s="67" t="n"/>
      <c r="E1746" s="68" t="n"/>
      <c r="F1746" s="47">
        <f>IF(A1746="","",IF(MIN(H1746,MAX(J1746:K1746))=0,"",MIN(H1746,MAX(J1746:K1746))))</f>
        <v/>
      </c>
      <c r="G1746" s="74" t="n"/>
      <c r="H1746" s="49">
        <f>IF(M1746="","",IFERROR(ROUND(AVERAGE(T1746+M1746*{7,8,9,10,11})/1.21,4),""))</f>
        <v/>
      </c>
      <c r="I1746" s="76" t="n"/>
      <c r="J1746" s="77" t="n"/>
      <c r="K1746" s="74" t="n"/>
      <c r="L1746" s="78" t="n"/>
      <c r="M1746" s="77" t="n"/>
      <c r="N1746" s="53">
        <f>IF(M1746="","",IFERROR(M1746/I1746,""))</f>
        <v/>
      </c>
      <c r="O1746" s="50">
        <f>IF(A1746="","",IFERROR((IF(G1746="",I1746,G1746)-T1746)/M1746,""))</f>
        <v/>
      </c>
      <c r="P1746" s="50">
        <f>IFERROR((I1746/T1746-1)/N1746,"")</f>
        <v/>
      </c>
      <c r="Q1746" s="46">
        <f>IF(OR(T1746="",I1746&lt;T1746),"",IFERROR(R1746/IF(G1746="",I1746,G1746)-1,""))</f>
        <v/>
      </c>
      <c r="R1746" s="48">
        <f>IF($M1746="","",MAX(IF($G1746="",$I1746,$G1746)*(1/1.1),IF($G1746="",$I1746,$G1746)+(R$2*$M1746)))</f>
        <v/>
      </c>
      <c r="S1746" s="49">
        <f>IF($M1746="","",MAX(IF($G1746="",$I1746,$G1746)*(1/1.1),IF($G1746="",$I1746,$G1746)+(S$2*$M1746)))</f>
        <v/>
      </c>
      <c r="T1746" s="82" t="n"/>
      <c r="U1746" s="47">
        <f>IF(OR($M1746="",$T1746=""),"",$T1746+(U$2*$M1746))</f>
        <v/>
      </c>
      <c r="V1746" s="48">
        <f>IF(OR($M1746="",$T1746=""),"",$T1746+(V$2*$M1746))</f>
        <v/>
      </c>
      <c r="W1746" s="48">
        <f>IF(OR($M1746="",$T1746=""),"",$T1746+(W$2*$M1746))</f>
        <v/>
      </c>
      <c r="X1746" s="49">
        <f>IF(OR($M1746="",$T1746=""),"",$T1746+(X$2*$M1746))</f>
        <v/>
      </c>
      <c r="Y1746" s="47">
        <f>IF(OR($M1746="",$T1746=""),"",$T1746+(Y$2*$M1746))</f>
        <v/>
      </c>
      <c r="Z1746" s="49">
        <f>IF(OR($M1746="",$T1746=""),"",$T1746+(Z$2*$M1746))</f>
        <v/>
      </c>
      <c r="AA1746" s="51">
        <f>IF(OR($M1746="",$T1746=""),"",$T1746+(AA$2*$M1746))</f>
        <v/>
      </c>
      <c r="AB1746" s="48">
        <f>IF(OR($M1746="",$T1746=""),"",$T1746+(AB$2*$M1746))</f>
        <v/>
      </c>
      <c r="AC1746" s="48">
        <f>IF(OR($M1746="",$T1746=""),"",$T1746+(AC$2*$M1746))</f>
        <v/>
      </c>
      <c r="AD1746" s="48">
        <f>IF(OR($M1746="",$T1746=""),"",$T1746+(AD$2*$M1746))</f>
        <v/>
      </c>
      <c r="AE1746" s="49">
        <f>IF(OR($M1746="",$T1746=""),"",$T1746+(AE$2*$M1746))</f>
        <v/>
      </c>
      <c r="AF1746" s="52">
        <f>IF(OR(T1746="",I1746&lt;T1746),"",IFERROR(AVERAGE(T1746+M1746*{7,8,9,10,11})/IF(G1746="",I1746,G1746)-1,""))</f>
        <v/>
      </c>
      <c r="AG1746" s="55">
        <f>IF(OR(T1746="",I1746&lt;T1746),"",IFERROR(AF1746/-(R1746/IF(G1746="",I1746,G1746)-1),""))</f>
        <v/>
      </c>
      <c r="AH1746" s="94" t="n"/>
      <c r="AI1746" s="94" t="n"/>
      <c r="AJ1746" s="94" t="n"/>
      <c r="AK1746" s="94" t="n"/>
      <c r="AL1746" s="84" t="n"/>
    </row>
    <row r="1747">
      <c r="A1747" s="64" t="n"/>
      <c r="B1747" s="65" t="n"/>
      <c r="C1747" s="66" t="n"/>
      <c r="D1747" s="67" t="n"/>
      <c r="E1747" s="68" t="n"/>
      <c r="F1747" s="47">
        <f>IF(A1747="","",IF(MIN(H1747,MAX(J1747:K1747))=0,"",MIN(H1747,MAX(J1747:K1747))))</f>
        <v/>
      </c>
      <c r="G1747" s="74" t="n"/>
      <c r="H1747" s="49">
        <f>IF(M1747="","",IFERROR(ROUND(AVERAGE(T1747+M1747*{7,8,9,10,11})/1.21,4),""))</f>
        <v/>
      </c>
      <c r="I1747" s="76" t="n"/>
      <c r="J1747" s="77" t="n"/>
      <c r="K1747" s="74" t="n"/>
      <c r="L1747" s="78" t="n"/>
      <c r="M1747" s="77" t="n"/>
      <c r="N1747" s="53">
        <f>IF(M1747="","",IFERROR(M1747/I1747,""))</f>
        <v/>
      </c>
      <c r="O1747" s="50">
        <f>IF(A1747="","",IFERROR((IF(G1747="",I1747,G1747)-T1747)/M1747,""))</f>
        <v/>
      </c>
      <c r="P1747" s="50">
        <f>IFERROR((I1747/T1747-1)/N1747,"")</f>
        <v/>
      </c>
      <c r="Q1747" s="46">
        <f>IF(OR(T1747="",I1747&lt;T1747),"",IFERROR(R1747/IF(G1747="",I1747,G1747)-1,""))</f>
        <v/>
      </c>
      <c r="R1747" s="48">
        <f>IF($M1747="","",MAX(IF($G1747="",$I1747,$G1747)*(1/1.1),IF($G1747="",$I1747,$G1747)+(R$2*$M1747)))</f>
        <v/>
      </c>
      <c r="S1747" s="49">
        <f>IF($M1747="","",MAX(IF($G1747="",$I1747,$G1747)*(1/1.1),IF($G1747="",$I1747,$G1747)+(S$2*$M1747)))</f>
        <v/>
      </c>
      <c r="T1747" s="82" t="n"/>
      <c r="U1747" s="47">
        <f>IF(OR($M1747="",$T1747=""),"",$T1747+(U$2*$M1747))</f>
        <v/>
      </c>
      <c r="V1747" s="48">
        <f>IF(OR($M1747="",$T1747=""),"",$T1747+(V$2*$M1747))</f>
        <v/>
      </c>
      <c r="W1747" s="48">
        <f>IF(OR($M1747="",$T1747=""),"",$T1747+(W$2*$M1747))</f>
        <v/>
      </c>
      <c r="X1747" s="49">
        <f>IF(OR($M1747="",$T1747=""),"",$T1747+(X$2*$M1747))</f>
        <v/>
      </c>
      <c r="Y1747" s="47">
        <f>IF(OR($M1747="",$T1747=""),"",$T1747+(Y$2*$M1747))</f>
        <v/>
      </c>
      <c r="Z1747" s="49">
        <f>IF(OR($M1747="",$T1747=""),"",$T1747+(Z$2*$M1747))</f>
        <v/>
      </c>
      <c r="AA1747" s="51">
        <f>IF(OR($M1747="",$T1747=""),"",$T1747+(AA$2*$M1747))</f>
        <v/>
      </c>
      <c r="AB1747" s="48">
        <f>IF(OR($M1747="",$T1747=""),"",$T1747+(AB$2*$M1747))</f>
        <v/>
      </c>
      <c r="AC1747" s="48">
        <f>IF(OR($M1747="",$T1747=""),"",$T1747+(AC$2*$M1747))</f>
        <v/>
      </c>
      <c r="AD1747" s="48">
        <f>IF(OR($M1747="",$T1747=""),"",$T1747+(AD$2*$M1747))</f>
        <v/>
      </c>
      <c r="AE1747" s="49">
        <f>IF(OR($M1747="",$T1747=""),"",$T1747+(AE$2*$M1747))</f>
        <v/>
      </c>
      <c r="AF1747" s="52">
        <f>IF(OR(T1747="",I1747&lt;T1747),"",IFERROR(AVERAGE(T1747+M1747*{7,8,9,10,11})/IF(G1747="",I1747,G1747)-1,""))</f>
        <v/>
      </c>
      <c r="AG1747" s="55">
        <f>IF(OR(T1747="",I1747&lt;T1747),"",IFERROR(AF1747/-(R1747/IF(G1747="",I1747,G1747)-1),""))</f>
        <v/>
      </c>
      <c r="AH1747" s="94" t="n"/>
      <c r="AI1747" s="94" t="n"/>
      <c r="AJ1747" s="94" t="n"/>
      <c r="AK1747" s="94" t="n"/>
      <c r="AL1747" s="84" t="n"/>
    </row>
    <row r="1748">
      <c r="A1748" s="64" t="n"/>
      <c r="B1748" s="65" t="n"/>
      <c r="C1748" s="66" t="n"/>
      <c r="D1748" s="67" t="n"/>
      <c r="E1748" s="68" t="n"/>
      <c r="F1748" s="47">
        <f>IF(A1748="","",IF(MIN(H1748,MAX(J1748:K1748))=0,"",MIN(H1748,MAX(J1748:K1748))))</f>
        <v/>
      </c>
      <c r="G1748" s="74" t="n"/>
      <c r="H1748" s="49">
        <f>IF(M1748="","",IFERROR(ROUND(AVERAGE(T1748+M1748*{7,8,9,10,11})/1.21,4),""))</f>
        <v/>
      </c>
      <c r="I1748" s="76" t="n"/>
      <c r="J1748" s="77" t="n"/>
      <c r="K1748" s="74" t="n"/>
      <c r="L1748" s="78" t="n"/>
      <c r="M1748" s="77" t="n"/>
      <c r="N1748" s="53">
        <f>IF(M1748="","",IFERROR(M1748/I1748,""))</f>
        <v/>
      </c>
      <c r="O1748" s="50">
        <f>IF(A1748="","",IFERROR((IF(G1748="",I1748,G1748)-T1748)/M1748,""))</f>
        <v/>
      </c>
      <c r="P1748" s="50">
        <f>IFERROR((I1748/T1748-1)/N1748,"")</f>
        <v/>
      </c>
      <c r="Q1748" s="46">
        <f>IF(OR(T1748="",I1748&lt;T1748),"",IFERROR(R1748/IF(G1748="",I1748,G1748)-1,""))</f>
        <v/>
      </c>
      <c r="R1748" s="48">
        <f>IF($M1748="","",MAX(IF($G1748="",$I1748,$G1748)*(1/1.1),IF($G1748="",$I1748,$G1748)+(R$2*$M1748)))</f>
        <v/>
      </c>
      <c r="S1748" s="49">
        <f>IF($M1748="","",MAX(IF($G1748="",$I1748,$G1748)*(1/1.1),IF($G1748="",$I1748,$G1748)+(S$2*$M1748)))</f>
        <v/>
      </c>
      <c r="T1748" s="82" t="n"/>
      <c r="U1748" s="47">
        <f>IF(OR($M1748="",$T1748=""),"",$T1748+(U$2*$M1748))</f>
        <v/>
      </c>
      <c r="V1748" s="48">
        <f>IF(OR($M1748="",$T1748=""),"",$T1748+(V$2*$M1748))</f>
        <v/>
      </c>
      <c r="W1748" s="48">
        <f>IF(OR($M1748="",$T1748=""),"",$T1748+(W$2*$M1748))</f>
        <v/>
      </c>
      <c r="X1748" s="49">
        <f>IF(OR($M1748="",$T1748=""),"",$T1748+(X$2*$M1748))</f>
        <v/>
      </c>
      <c r="Y1748" s="47">
        <f>IF(OR($M1748="",$T1748=""),"",$T1748+(Y$2*$M1748))</f>
        <v/>
      </c>
      <c r="Z1748" s="49">
        <f>IF(OR($M1748="",$T1748=""),"",$T1748+(Z$2*$M1748))</f>
        <v/>
      </c>
      <c r="AA1748" s="51">
        <f>IF(OR($M1748="",$T1748=""),"",$T1748+(AA$2*$M1748))</f>
        <v/>
      </c>
      <c r="AB1748" s="48">
        <f>IF(OR($M1748="",$T1748=""),"",$T1748+(AB$2*$M1748))</f>
        <v/>
      </c>
      <c r="AC1748" s="48">
        <f>IF(OR($M1748="",$T1748=""),"",$T1748+(AC$2*$M1748))</f>
        <v/>
      </c>
      <c r="AD1748" s="48">
        <f>IF(OR($M1748="",$T1748=""),"",$T1748+(AD$2*$M1748))</f>
        <v/>
      </c>
      <c r="AE1748" s="49">
        <f>IF(OR($M1748="",$T1748=""),"",$T1748+(AE$2*$M1748))</f>
        <v/>
      </c>
      <c r="AF1748" s="52">
        <f>IF(OR(T1748="",I1748&lt;T1748),"",IFERROR(AVERAGE(T1748+M1748*{7,8,9,10,11})/IF(G1748="",I1748,G1748)-1,""))</f>
        <v/>
      </c>
      <c r="AG1748" s="55">
        <f>IF(OR(T1748="",I1748&lt;T1748),"",IFERROR(AF1748/-(R1748/IF(G1748="",I1748,G1748)-1),""))</f>
        <v/>
      </c>
      <c r="AH1748" s="94" t="n"/>
      <c r="AI1748" s="94" t="n"/>
      <c r="AJ1748" s="94" t="n"/>
      <c r="AK1748" s="94" t="n"/>
      <c r="AL1748" s="84" t="n"/>
    </row>
    <row r="1749">
      <c r="A1749" s="64" t="n"/>
      <c r="B1749" s="65" t="n"/>
      <c r="C1749" s="66" t="n"/>
      <c r="D1749" s="67" t="n"/>
      <c r="E1749" s="68" t="n"/>
      <c r="F1749" s="47">
        <f>IF(A1749="","",IF(MIN(H1749,MAX(J1749:K1749))=0,"",MIN(H1749,MAX(J1749:K1749))))</f>
        <v/>
      </c>
      <c r="G1749" s="74" t="n"/>
      <c r="H1749" s="49">
        <f>IF(M1749="","",IFERROR(ROUND(AVERAGE(T1749+M1749*{7,8,9,10,11})/1.21,4),""))</f>
        <v/>
      </c>
      <c r="I1749" s="76" t="n"/>
      <c r="J1749" s="77" t="n"/>
      <c r="K1749" s="74" t="n"/>
      <c r="L1749" s="78" t="n"/>
      <c r="M1749" s="77" t="n"/>
      <c r="N1749" s="53">
        <f>IF(M1749="","",IFERROR(M1749/I1749,""))</f>
        <v/>
      </c>
      <c r="O1749" s="50">
        <f>IF(A1749="","",IFERROR((IF(G1749="",I1749,G1749)-T1749)/M1749,""))</f>
        <v/>
      </c>
      <c r="P1749" s="50">
        <f>IFERROR((I1749/T1749-1)/N1749,"")</f>
        <v/>
      </c>
      <c r="Q1749" s="46">
        <f>IF(OR(T1749="",I1749&lt;T1749),"",IFERROR(R1749/IF(G1749="",I1749,G1749)-1,""))</f>
        <v/>
      </c>
      <c r="R1749" s="48">
        <f>IF($M1749="","",MAX(IF($G1749="",$I1749,$G1749)*(1/1.1),IF($G1749="",$I1749,$G1749)+(R$2*$M1749)))</f>
        <v/>
      </c>
      <c r="S1749" s="49">
        <f>IF($M1749="","",MAX(IF($G1749="",$I1749,$G1749)*(1/1.1),IF($G1749="",$I1749,$G1749)+(S$2*$M1749)))</f>
        <v/>
      </c>
      <c r="T1749" s="82" t="n"/>
      <c r="U1749" s="47">
        <f>IF(OR($M1749="",$T1749=""),"",$T1749+(U$2*$M1749))</f>
        <v/>
      </c>
      <c r="V1749" s="48">
        <f>IF(OR($M1749="",$T1749=""),"",$T1749+(V$2*$M1749))</f>
        <v/>
      </c>
      <c r="W1749" s="48">
        <f>IF(OR($M1749="",$T1749=""),"",$T1749+(W$2*$M1749))</f>
        <v/>
      </c>
      <c r="X1749" s="49">
        <f>IF(OR($M1749="",$T1749=""),"",$T1749+(X$2*$M1749))</f>
        <v/>
      </c>
      <c r="Y1749" s="47">
        <f>IF(OR($M1749="",$T1749=""),"",$T1749+(Y$2*$M1749))</f>
        <v/>
      </c>
      <c r="Z1749" s="49">
        <f>IF(OR($M1749="",$T1749=""),"",$T1749+(Z$2*$M1749))</f>
        <v/>
      </c>
      <c r="AA1749" s="51">
        <f>IF(OR($M1749="",$T1749=""),"",$T1749+(AA$2*$M1749))</f>
        <v/>
      </c>
      <c r="AB1749" s="48">
        <f>IF(OR($M1749="",$T1749=""),"",$T1749+(AB$2*$M1749))</f>
        <v/>
      </c>
      <c r="AC1749" s="48">
        <f>IF(OR($M1749="",$T1749=""),"",$T1749+(AC$2*$M1749))</f>
        <v/>
      </c>
      <c r="AD1749" s="48">
        <f>IF(OR($M1749="",$T1749=""),"",$T1749+(AD$2*$M1749))</f>
        <v/>
      </c>
      <c r="AE1749" s="49">
        <f>IF(OR($M1749="",$T1749=""),"",$T1749+(AE$2*$M1749))</f>
        <v/>
      </c>
      <c r="AF1749" s="52">
        <f>IF(OR(T1749="",I1749&lt;T1749),"",IFERROR(AVERAGE(T1749+M1749*{7,8,9,10,11})/IF(G1749="",I1749,G1749)-1,""))</f>
        <v/>
      </c>
      <c r="AG1749" s="55">
        <f>IF(OR(T1749="",I1749&lt;T1749),"",IFERROR(AF1749/-(R1749/IF(G1749="",I1749,G1749)-1),""))</f>
        <v/>
      </c>
      <c r="AH1749" s="94" t="n"/>
      <c r="AI1749" s="94" t="n"/>
      <c r="AJ1749" s="94" t="n"/>
      <c r="AK1749" s="94" t="n"/>
      <c r="AL1749" s="84" t="n"/>
    </row>
    <row r="1750">
      <c r="A1750" s="64" t="n"/>
      <c r="B1750" s="65" t="n"/>
      <c r="C1750" s="66" t="n"/>
      <c r="D1750" s="67" t="n"/>
      <c r="E1750" s="68" t="n"/>
      <c r="F1750" s="47">
        <f>IF(A1750="","",IF(MIN(H1750,MAX(J1750:K1750))=0,"",MIN(H1750,MAX(J1750:K1750))))</f>
        <v/>
      </c>
      <c r="G1750" s="74" t="n"/>
      <c r="H1750" s="49">
        <f>IF(M1750="","",IFERROR(ROUND(AVERAGE(T1750+M1750*{7,8,9,10,11})/1.21,4),""))</f>
        <v/>
      </c>
      <c r="I1750" s="76" t="n"/>
      <c r="J1750" s="77" t="n"/>
      <c r="K1750" s="74" t="n"/>
      <c r="L1750" s="78" t="n"/>
      <c r="M1750" s="77" t="n"/>
      <c r="N1750" s="53">
        <f>IF(M1750="","",IFERROR(M1750/I1750,""))</f>
        <v/>
      </c>
      <c r="O1750" s="50">
        <f>IF(A1750="","",IFERROR((IF(G1750="",I1750,G1750)-T1750)/M1750,""))</f>
        <v/>
      </c>
      <c r="P1750" s="50">
        <f>IFERROR((I1750/T1750-1)/N1750,"")</f>
        <v/>
      </c>
      <c r="Q1750" s="46">
        <f>IF(OR(T1750="",I1750&lt;T1750),"",IFERROR(R1750/IF(G1750="",I1750,G1750)-1,""))</f>
        <v/>
      </c>
      <c r="R1750" s="48">
        <f>IF($M1750="","",MAX(IF($G1750="",$I1750,$G1750)*(1/1.1),IF($G1750="",$I1750,$G1750)+(R$2*$M1750)))</f>
        <v/>
      </c>
      <c r="S1750" s="49">
        <f>IF($M1750="","",MAX(IF($G1750="",$I1750,$G1750)*(1/1.1),IF($G1750="",$I1750,$G1750)+(S$2*$M1750)))</f>
        <v/>
      </c>
      <c r="T1750" s="82" t="n"/>
      <c r="U1750" s="47">
        <f>IF(OR($M1750="",$T1750=""),"",$T1750+(U$2*$M1750))</f>
        <v/>
      </c>
      <c r="V1750" s="48">
        <f>IF(OR($M1750="",$T1750=""),"",$T1750+(V$2*$M1750))</f>
        <v/>
      </c>
      <c r="W1750" s="48">
        <f>IF(OR($M1750="",$T1750=""),"",$T1750+(W$2*$M1750))</f>
        <v/>
      </c>
      <c r="X1750" s="49">
        <f>IF(OR($M1750="",$T1750=""),"",$T1750+(X$2*$M1750))</f>
        <v/>
      </c>
      <c r="Y1750" s="47">
        <f>IF(OR($M1750="",$T1750=""),"",$T1750+(Y$2*$M1750))</f>
        <v/>
      </c>
      <c r="Z1750" s="49">
        <f>IF(OR($M1750="",$T1750=""),"",$T1750+(Z$2*$M1750))</f>
        <v/>
      </c>
      <c r="AA1750" s="51">
        <f>IF(OR($M1750="",$T1750=""),"",$T1750+(AA$2*$M1750))</f>
        <v/>
      </c>
      <c r="AB1750" s="48">
        <f>IF(OR($M1750="",$T1750=""),"",$T1750+(AB$2*$M1750))</f>
        <v/>
      </c>
      <c r="AC1750" s="48">
        <f>IF(OR($M1750="",$T1750=""),"",$T1750+(AC$2*$M1750))</f>
        <v/>
      </c>
      <c r="AD1750" s="48">
        <f>IF(OR($M1750="",$T1750=""),"",$T1750+(AD$2*$M1750))</f>
        <v/>
      </c>
      <c r="AE1750" s="49">
        <f>IF(OR($M1750="",$T1750=""),"",$T1750+(AE$2*$M1750))</f>
        <v/>
      </c>
      <c r="AF1750" s="52">
        <f>IF(OR(T1750="",I1750&lt;T1750),"",IFERROR(AVERAGE(T1750+M1750*{7,8,9,10,11})/IF(G1750="",I1750,G1750)-1,""))</f>
        <v/>
      </c>
      <c r="AG1750" s="55">
        <f>IF(OR(T1750="",I1750&lt;T1750),"",IFERROR(AF1750/-(R1750/IF(G1750="",I1750,G1750)-1),""))</f>
        <v/>
      </c>
      <c r="AH1750" s="94" t="n"/>
      <c r="AI1750" s="94" t="n"/>
      <c r="AJ1750" s="94" t="n"/>
      <c r="AK1750" s="94" t="n"/>
      <c r="AL1750" s="84" t="n"/>
    </row>
    <row r="1751">
      <c r="A1751" s="64" t="n"/>
      <c r="B1751" s="65" t="n"/>
      <c r="C1751" s="66" t="n"/>
      <c r="D1751" s="67" t="n"/>
      <c r="E1751" s="68" t="n"/>
      <c r="F1751" s="47">
        <f>IF(A1751="","",IF(MIN(H1751,MAX(J1751:K1751))=0,"",MIN(H1751,MAX(J1751:K1751))))</f>
        <v/>
      </c>
      <c r="G1751" s="74" t="n"/>
      <c r="H1751" s="49">
        <f>IF(M1751="","",IFERROR(ROUND(AVERAGE(T1751+M1751*{7,8,9,10,11})/1.21,4),""))</f>
        <v/>
      </c>
      <c r="I1751" s="76" t="n"/>
      <c r="J1751" s="77" t="n"/>
      <c r="K1751" s="74" t="n"/>
      <c r="L1751" s="78" t="n"/>
      <c r="M1751" s="77" t="n"/>
      <c r="N1751" s="53">
        <f>IF(M1751="","",IFERROR(M1751/I1751,""))</f>
        <v/>
      </c>
      <c r="O1751" s="50">
        <f>IF(A1751="","",IFERROR((IF(G1751="",I1751,G1751)-T1751)/M1751,""))</f>
        <v/>
      </c>
      <c r="P1751" s="50">
        <f>IFERROR((I1751/T1751-1)/N1751,"")</f>
        <v/>
      </c>
      <c r="Q1751" s="46">
        <f>IF(OR(T1751="",I1751&lt;T1751),"",IFERROR(R1751/IF(G1751="",I1751,G1751)-1,""))</f>
        <v/>
      </c>
      <c r="R1751" s="48">
        <f>IF($M1751="","",MAX(IF($G1751="",$I1751,$G1751)*(1/1.1),IF($G1751="",$I1751,$G1751)+(R$2*$M1751)))</f>
        <v/>
      </c>
      <c r="S1751" s="49">
        <f>IF($M1751="","",MAX(IF($G1751="",$I1751,$G1751)*(1/1.1),IF($G1751="",$I1751,$G1751)+(S$2*$M1751)))</f>
        <v/>
      </c>
      <c r="T1751" s="82" t="n"/>
      <c r="U1751" s="47">
        <f>IF(OR($M1751="",$T1751=""),"",$T1751+(U$2*$M1751))</f>
        <v/>
      </c>
      <c r="V1751" s="48">
        <f>IF(OR($M1751="",$T1751=""),"",$T1751+(V$2*$M1751))</f>
        <v/>
      </c>
      <c r="W1751" s="48">
        <f>IF(OR($M1751="",$T1751=""),"",$T1751+(W$2*$M1751))</f>
        <v/>
      </c>
      <c r="X1751" s="49">
        <f>IF(OR($M1751="",$T1751=""),"",$T1751+(X$2*$M1751))</f>
        <v/>
      </c>
      <c r="Y1751" s="47">
        <f>IF(OR($M1751="",$T1751=""),"",$T1751+(Y$2*$M1751))</f>
        <v/>
      </c>
      <c r="Z1751" s="49">
        <f>IF(OR($M1751="",$T1751=""),"",$T1751+(Z$2*$M1751))</f>
        <v/>
      </c>
      <c r="AA1751" s="51">
        <f>IF(OR($M1751="",$T1751=""),"",$T1751+(AA$2*$M1751))</f>
        <v/>
      </c>
      <c r="AB1751" s="48">
        <f>IF(OR($M1751="",$T1751=""),"",$T1751+(AB$2*$M1751))</f>
        <v/>
      </c>
      <c r="AC1751" s="48">
        <f>IF(OR($M1751="",$T1751=""),"",$T1751+(AC$2*$M1751))</f>
        <v/>
      </c>
      <c r="AD1751" s="48">
        <f>IF(OR($M1751="",$T1751=""),"",$T1751+(AD$2*$M1751))</f>
        <v/>
      </c>
      <c r="AE1751" s="49">
        <f>IF(OR($M1751="",$T1751=""),"",$T1751+(AE$2*$M1751))</f>
        <v/>
      </c>
      <c r="AF1751" s="52">
        <f>IF(OR(T1751="",I1751&lt;T1751),"",IFERROR(AVERAGE(T1751+M1751*{7,8,9,10,11})/IF(G1751="",I1751,G1751)-1,""))</f>
        <v/>
      </c>
      <c r="AG1751" s="55">
        <f>IF(OR(T1751="",I1751&lt;T1751),"",IFERROR(AF1751/-(R1751/IF(G1751="",I1751,G1751)-1),""))</f>
        <v/>
      </c>
      <c r="AH1751" s="94" t="n"/>
      <c r="AI1751" s="94" t="n"/>
      <c r="AJ1751" s="94" t="n"/>
      <c r="AK1751" s="94" t="n"/>
      <c r="AL1751" s="84" t="n"/>
    </row>
    <row r="1752">
      <c r="A1752" s="64" t="n"/>
      <c r="B1752" s="65" t="n"/>
      <c r="C1752" s="66" t="n"/>
      <c r="D1752" s="67" t="n"/>
      <c r="E1752" s="68" t="n"/>
      <c r="F1752" s="47">
        <f>IF(A1752="","",IF(MIN(H1752,MAX(J1752:K1752))=0,"",MIN(H1752,MAX(J1752:K1752))))</f>
        <v/>
      </c>
      <c r="G1752" s="74" t="n"/>
      <c r="H1752" s="49">
        <f>IF(M1752="","",IFERROR(ROUND(AVERAGE(T1752+M1752*{7,8,9,10,11})/1.21,4),""))</f>
        <v/>
      </c>
      <c r="I1752" s="76" t="n"/>
      <c r="J1752" s="77" t="n"/>
      <c r="K1752" s="74" t="n"/>
      <c r="L1752" s="78" t="n"/>
      <c r="M1752" s="77" t="n"/>
      <c r="N1752" s="53">
        <f>IF(M1752="","",IFERROR(M1752/I1752,""))</f>
        <v/>
      </c>
      <c r="O1752" s="50">
        <f>IF(A1752="","",IFERROR((IF(G1752="",I1752,G1752)-T1752)/M1752,""))</f>
        <v/>
      </c>
      <c r="P1752" s="50">
        <f>IFERROR((I1752/T1752-1)/N1752,"")</f>
        <v/>
      </c>
      <c r="Q1752" s="46">
        <f>IF(OR(T1752="",I1752&lt;T1752),"",IFERROR(R1752/IF(G1752="",I1752,G1752)-1,""))</f>
        <v/>
      </c>
      <c r="R1752" s="48">
        <f>IF($M1752="","",MAX(IF($G1752="",$I1752,$G1752)*(1/1.1),IF($G1752="",$I1752,$G1752)+(R$2*$M1752)))</f>
        <v/>
      </c>
      <c r="S1752" s="49">
        <f>IF($M1752="","",MAX(IF($G1752="",$I1752,$G1752)*(1/1.1),IF($G1752="",$I1752,$G1752)+(S$2*$M1752)))</f>
        <v/>
      </c>
      <c r="T1752" s="82" t="n"/>
      <c r="U1752" s="47">
        <f>IF(OR($M1752="",$T1752=""),"",$T1752+(U$2*$M1752))</f>
        <v/>
      </c>
      <c r="V1752" s="48">
        <f>IF(OR($M1752="",$T1752=""),"",$T1752+(V$2*$M1752))</f>
        <v/>
      </c>
      <c r="W1752" s="48">
        <f>IF(OR($M1752="",$T1752=""),"",$T1752+(W$2*$M1752))</f>
        <v/>
      </c>
      <c r="X1752" s="49">
        <f>IF(OR($M1752="",$T1752=""),"",$T1752+(X$2*$M1752))</f>
        <v/>
      </c>
      <c r="Y1752" s="47">
        <f>IF(OR($M1752="",$T1752=""),"",$T1752+(Y$2*$M1752))</f>
        <v/>
      </c>
      <c r="Z1752" s="49">
        <f>IF(OR($M1752="",$T1752=""),"",$T1752+(Z$2*$M1752))</f>
        <v/>
      </c>
      <c r="AA1752" s="51">
        <f>IF(OR($M1752="",$T1752=""),"",$T1752+(AA$2*$M1752))</f>
        <v/>
      </c>
      <c r="AB1752" s="48">
        <f>IF(OR($M1752="",$T1752=""),"",$T1752+(AB$2*$M1752))</f>
        <v/>
      </c>
      <c r="AC1752" s="48">
        <f>IF(OR($M1752="",$T1752=""),"",$T1752+(AC$2*$M1752))</f>
        <v/>
      </c>
      <c r="AD1752" s="48">
        <f>IF(OR($M1752="",$T1752=""),"",$T1752+(AD$2*$M1752))</f>
        <v/>
      </c>
      <c r="AE1752" s="49">
        <f>IF(OR($M1752="",$T1752=""),"",$T1752+(AE$2*$M1752))</f>
        <v/>
      </c>
      <c r="AF1752" s="52">
        <f>IF(OR(T1752="",I1752&lt;T1752),"",IFERROR(AVERAGE(T1752+M1752*{7,8,9,10,11})/IF(G1752="",I1752,G1752)-1,""))</f>
        <v/>
      </c>
      <c r="AG1752" s="55">
        <f>IF(OR(T1752="",I1752&lt;T1752),"",IFERROR(AF1752/-(R1752/IF(G1752="",I1752,G1752)-1),""))</f>
        <v/>
      </c>
      <c r="AH1752" s="94" t="n"/>
      <c r="AI1752" s="94" t="n"/>
      <c r="AJ1752" s="94" t="n"/>
      <c r="AK1752" s="94" t="n"/>
      <c r="AL1752" s="84" t="n"/>
    </row>
    <row r="1753">
      <c r="A1753" s="64" t="n"/>
      <c r="B1753" s="65" t="n"/>
      <c r="C1753" s="66" t="n"/>
      <c r="D1753" s="67" t="n"/>
      <c r="E1753" s="68" t="n"/>
      <c r="F1753" s="47">
        <f>IF(A1753="","",IF(MIN(H1753,MAX(J1753:K1753))=0,"",MIN(H1753,MAX(J1753:K1753))))</f>
        <v/>
      </c>
      <c r="G1753" s="74" t="n"/>
      <c r="H1753" s="49">
        <f>IF(M1753="","",IFERROR(ROUND(AVERAGE(T1753+M1753*{7,8,9,10,11})/1.21,4),""))</f>
        <v/>
      </c>
      <c r="I1753" s="76" t="n"/>
      <c r="J1753" s="77" t="n"/>
      <c r="K1753" s="74" t="n"/>
      <c r="L1753" s="78" t="n"/>
      <c r="M1753" s="77" t="n"/>
      <c r="N1753" s="53">
        <f>IF(M1753="","",IFERROR(M1753/I1753,""))</f>
        <v/>
      </c>
      <c r="O1753" s="50">
        <f>IF(A1753="","",IFERROR((IF(G1753="",I1753,G1753)-T1753)/M1753,""))</f>
        <v/>
      </c>
      <c r="P1753" s="50">
        <f>IFERROR((I1753/T1753-1)/N1753,"")</f>
        <v/>
      </c>
      <c r="Q1753" s="46">
        <f>IF(OR(T1753="",I1753&lt;T1753),"",IFERROR(R1753/IF(G1753="",I1753,G1753)-1,""))</f>
        <v/>
      </c>
      <c r="R1753" s="48">
        <f>IF($M1753="","",MAX(IF($G1753="",$I1753,$G1753)*(1/1.1),IF($G1753="",$I1753,$G1753)+(R$2*$M1753)))</f>
        <v/>
      </c>
      <c r="S1753" s="49">
        <f>IF($M1753="","",MAX(IF($G1753="",$I1753,$G1753)*(1/1.1),IF($G1753="",$I1753,$G1753)+(S$2*$M1753)))</f>
        <v/>
      </c>
      <c r="T1753" s="82" t="n"/>
      <c r="U1753" s="47">
        <f>IF(OR($M1753="",$T1753=""),"",$T1753+(U$2*$M1753))</f>
        <v/>
      </c>
      <c r="V1753" s="48">
        <f>IF(OR($M1753="",$T1753=""),"",$T1753+(V$2*$M1753))</f>
        <v/>
      </c>
      <c r="W1753" s="48">
        <f>IF(OR($M1753="",$T1753=""),"",$T1753+(W$2*$M1753))</f>
        <v/>
      </c>
      <c r="X1753" s="49">
        <f>IF(OR($M1753="",$T1753=""),"",$T1753+(X$2*$M1753))</f>
        <v/>
      </c>
      <c r="Y1753" s="47">
        <f>IF(OR($M1753="",$T1753=""),"",$T1753+(Y$2*$M1753))</f>
        <v/>
      </c>
      <c r="Z1753" s="49">
        <f>IF(OR($M1753="",$T1753=""),"",$T1753+(Z$2*$M1753))</f>
        <v/>
      </c>
      <c r="AA1753" s="51">
        <f>IF(OR($M1753="",$T1753=""),"",$T1753+(AA$2*$M1753))</f>
        <v/>
      </c>
      <c r="AB1753" s="48">
        <f>IF(OR($M1753="",$T1753=""),"",$T1753+(AB$2*$M1753))</f>
        <v/>
      </c>
      <c r="AC1753" s="48">
        <f>IF(OR($M1753="",$T1753=""),"",$T1753+(AC$2*$M1753))</f>
        <v/>
      </c>
      <c r="AD1753" s="48">
        <f>IF(OR($M1753="",$T1753=""),"",$T1753+(AD$2*$M1753))</f>
        <v/>
      </c>
      <c r="AE1753" s="49">
        <f>IF(OR($M1753="",$T1753=""),"",$T1753+(AE$2*$M1753))</f>
        <v/>
      </c>
      <c r="AF1753" s="52">
        <f>IF(OR(T1753="",I1753&lt;T1753),"",IFERROR(AVERAGE(T1753+M1753*{7,8,9,10,11})/IF(G1753="",I1753,G1753)-1,""))</f>
        <v/>
      </c>
      <c r="AG1753" s="55">
        <f>IF(OR(T1753="",I1753&lt;T1753),"",IFERROR(AF1753/-(R1753/IF(G1753="",I1753,G1753)-1),""))</f>
        <v/>
      </c>
      <c r="AH1753" s="94" t="n"/>
      <c r="AI1753" s="94" t="n"/>
      <c r="AJ1753" s="94" t="n"/>
      <c r="AK1753" s="94" t="n"/>
      <c r="AL1753" s="84" t="n"/>
    </row>
    <row r="1754">
      <c r="A1754" s="64" t="n"/>
      <c r="B1754" s="65" t="n"/>
      <c r="C1754" s="66" t="n"/>
      <c r="D1754" s="67" t="n"/>
      <c r="E1754" s="68" t="n"/>
      <c r="F1754" s="47">
        <f>IF(A1754="","",IF(MIN(H1754,MAX(J1754:K1754))=0,"",MIN(H1754,MAX(J1754:K1754))))</f>
        <v/>
      </c>
      <c r="G1754" s="74" t="n"/>
      <c r="H1754" s="49">
        <f>IF(M1754="","",IFERROR(ROUND(AVERAGE(T1754+M1754*{7,8,9,10,11})/1.21,4),""))</f>
        <v/>
      </c>
      <c r="I1754" s="76" t="n"/>
      <c r="J1754" s="77" t="n"/>
      <c r="K1754" s="74" t="n"/>
      <c r="L1754" s="78" t="n"/>
      <c r="M1754" s="77" t="n"/>
      <c r="N1754" s="53">
        <f>IF(M1754="","",IFERROR(M1754/I1754,""))</f>
        <v/>
      </c>
      <c r="O1754" s="50">
        <f>IF(A1754="","",IFERROR((IF(G1754="",I1754,G1754)-T1754)/M1754,""))</f>
        <v/>
      </c>
      <c r="P1754" s="50">
        <f>IFERROR((I1754/T1754-1)/N1754,"")</f>
        <v/>
      </c>
      <c r="Q1754" s="46">
        <f>IF(OR(T1754="",I1754&lt;T1754),"",IFERROR(R1754/IF(G1754="",I1754,G1754)-1,""))</f>
        <v/>
      </c>
      <c r="R1754" s="48">
        <f>IF($M1754="","",MAX(IF($G1754="",$I1754,$G1754)*(1/1.1),IF($G1754="",$I1754,$G1754)+(R$2*$M1754)))</f>
        <v/>
      </c>
      <c r="S1754" s="49">
        <f>IF($M1754="","",MAX(IF($G1754="",$I1754,$G1754)*(1/1.1),IF($G1754="",$I1754,$G1754)+(S$2*$M1754)))</f>
        <v/>
      </c>
      <c r="T1754" s="82" t="n"/>
      <c r="U1754" s="47">
        <f>IF(OR($M1754="",$T1754=""),"",$T1754+(U$2*$M1754))</f>
        <v/>
      </c>
      <c r="V1754" s="48">
        <f>IF(OR($M1754="",$T1754=""),"",$T1754+(V$2*$M1754))</f>
        <v/>
      </c>
      <c r="W1754" s="48">
        <f>IF(OR($M1754="",$T1754=""),"",$T1754+(W$2*$M1754))</f>
        <v/>
      </c>
      <c r="X1754" s="49">
        <f>IF(OR($M1754="",$T1754=""),"",$T1754+(X$2*$M1754))</f>
        <v/>
      </c>
      <c r="Y1754" s="47">
        <f>IF(OR($M1754="",$T1754=""),"",$T1754+(Y$2*$M1754))</f>
        <v/>
      </c>
      <c r="Z1754" s="49">
        <f>IF(OR($M1754="",$T1754=""),"",$T1754+(Z$2*$M1754))</f>
        <v/>
      </c>
      <c r="AA1754" s="51">
        <f>IF(OR($M1754="",$T1754=""),"",$T1754+(AA$2*$M1754))</f>
        <v/>
      </c>
      <c r="AB1754" s="48">
        <f>IF(OR($M1754="",$T1754=""),"",$T1754+(AB$2*$M1754))</f>
        <v/>
      </c>
      <c r="AC1754" s="48">
        <f>IF(OR($M1754="",$T1754=""),"",$T1754+(AC$2*$M1754))</f>
        <v/>
      </c>
      <c r="AD1754" s="48">
        <f>IF(OR($M1754="",$T1754=""),"",$T1754+(AD$2*$M1754))</f>
        <v/>
      </c>
      <c r="AE1754" s="49">
        <f>IF(OR($M1754="",$T1754=""),"",$T1754+(AE$2*$M1754))</f>
        <v/>
      </c>
      <c r="AF1754" s="52">
        <f>IF(OR(T1754="",I1754&lt;T1754),"",IFERROR(AVERAGE(T1754+M1754*{7,8,9,10,11})/IF(G1754="",I1754,G1754)-1,""))</f>
        <v/>
      </c>
      <c r="AG1754" s="55">
        <f>IF(OR(T1754="",I1754&lt;T1754),"",IFERROR(AF1754/-(R1754/IF(G1754="",I1754,G1754)-1),""))</f>
        <v/>
      </c>
      <c r="AH1754" s="94" t="n"/>
      <c r="AI1754" s="94" t="n"/>
      <c r="AJ1754" s="94" t="n"/>
      <c r="AK1754" s="94" t="n"/>
      <c r="AL1754" s="84" t="n"/>
    </row>
    <row r="1755">
      <c r="A1755" s="64" t="n"/>
      <c r="B1755" s="65" t="n"/>
      <c r="C1755" s="66" t="n"/>
      <c r="D1755" s="67" t="n"/>
      <c r="E1755" s="68" t="n"/>
      <c r="F1755" s="47">
        <f>IF(A1755="","",IF(MIN(H1755,MAX(J1755:K1755))=0,"",MIN(H1755,MAX(J1755:K1755))))</f>
        <v/>
      </c>
      <c r="G1755" s="74" t="n"/>
      <c r="H1755" s="49">
        <f>IF(M1755="","",IFERROR(ROUND(AVERAGE(T1755+M1755*{7,8,9,10,11})/1.21,4),""))</f>
        <v/>
      </c>
      <c r="I1755" s="76" t="n"/>
      <c r="J1755" s="77" t="n"/>
      <c r="K1755" s="74" t="n"/>
      <c r="L1755" s="78" t="n"/>
      <c r="M1755" s="77" t="n"/>
      <c r="N1755" s="53">
        <f>IF(M1755="","",IFERROR(M1755/I1755,""))</f>
        <v/>
      </c>
      <c r="O1755" s="50">
        <f>IF(A1755="","",IFERROR((IF(G1755="",I1755,G1755)-T1755)/M1755,""))</f>
        <v/>
      </c>
      <c r="P1755" s="50">
        <f>IFERROR((I1755/T1755-1)/N1755,"")</f>
        <v/>
      </c>
      <c r="Q1755" s="46">
        <f>IF(OR(T1755="",I1755&lt;T1755),"",IFERROR(R1755/IF(G1755="",I1755,G1755)-1,""))</f>
        <v/>
      </c>
      <c r="R1755" s="48">
        <f>IF($M1755="","",MAX(IF($G1755="",$I1755,$G1755)*(1/1.1),IF($G1755="",$I1755,$G1755)+(R$2*$M1755)))</f>
        <v/>
      </c>
      <c r="S1755" s="49">
        <f>IF($M1755="","",MAX(IF($G1755="",$I1755,$G1755)*(1/1.1),IF($G1755="",$I1755,$G1755)+(S$2*$M1755)))</f>
        <v/>
      </c>
      <c r="T1755" s="82" t="n"/>
      <c r="U1755" s="47">
        <f>IF(OR($M1755="",$T1755=""),"",$T1755+(U$2*$M1755))</f>
        <v/>
      </c>
      <c r="V1755" s="48">
        <f>IF(OR($M1755="",$T1755=""),"",$T1755+(V$2*$M1755))</f>
        <v/>
      </c>
      <c r="W1755" s="48">
        <f>IF(OR($M1755="",$T1755=""),"",$T1755+(W$2*$M1755))</f>
        <v/>
      </c>
      <c r="X1755" s="49">
        <f>IF(OR($M1755="",$T1755=""),"",$T1755+(X$2*$M1755))</f>
        <v/>
      </c>
      <c r="Y1755" s="47">
        <f>IF(OR($M1755="",$T1755=""),"",$T1755+(Y$2*$M1755))</f>
        <v/>
      </c>
      <c r="Z1755" s="49">
        <f>IF(OR($M1755="",$T1755=""),"",$T1755+(Z$2*$M1755))</f>
        <v/>
      </c>
      <c r="AA1755" s="51">
        <f>IF(OR($M1755="",$T1755=""),"",$T1755+(AA$2*$M1755))</f>
        <v/>
      </c>
      <c r="AB1755" s="48">
        <f>IF(OR($M1755="",$T1755=""),"",$T1755+(AB$2*$M1755))</f>
        <v/>
      </c>
      <c r="AC1755" s="48">
        <f>IF(OR($M1755="",$T1755=""),"",$T1755+(AC$2*$M1755))</f>
        <v/>
      </c>
      <c r="AD1755" s="48">
        <f>IF(OR($M1755="",$T1755=""),"",$T1755+(AD$2*$M1755))</f>
        <v/>
      </c>
      <c r="AE1755" s="49">
        <f>IF(OR($M1755="",$T1755=""),"",$T1755+(AE$2*$M1755))</f>
        <v/>
      </c>
      <c r="AF1755" s="52">
        <f>IF(OR(T1755="",I1755&lt;T1755),"",IFERROR(AVERAGE(T1755+M1755*{7,8,9,10,11})/IF(G1755="",I1755,G1755)-1,""))</f>
        <v/>
      </c>
      <c r="AG1755" s="55">
        <f>IF(OR(T1755="",I1755&lt;T1755),"",IFERROR(AF1755/-(R1755/IF(G1755="",I1755,G1755)-1),""))</f>
        <v/>
      </c>
      <c r="AH1755" s="94" t="n"/>
      <c r="AI1755" s="94" t="n"/>
      <c r="AJ1755" s="94" t="n"/>
      <c r="AK1755" s="94" t="n"/>
      <c r="AL1755" s="84" t="n"/>
    </row>
    <row r="1756">
      <c r="A1756" s="64" t="n"/>
      <c r="B1756" s="65" t="n"/>
      <c r="C1756" s="66" t="n"/>
      <c r="D1756" s="67" t="n"/>
      <c r="E1756" s="68" t="n"/>
      <c r="F1756" s="47">
        <f>IF(A1756="","",IF(MIN(H1756,MAX(J1756:K1756))=0,"",MIN(H1756,MAX(J1756:K1756))))</f>
        <v/>
      </c>
      <c r="G1756" s="74" t="n"/>
      <c r="H1756" s="49">
        <f>IF(M1756="","",IFERROR(ROUND(AVERAGE(T1756+M1756*{7,8,9,10,11})/1.21,4),""))</f>
        <v/>
      </c>
      <c r="I1756" s="76" t="n"/>
      <c r="J1756" s="77" t="n"/>
      <c r="K1756" s="74" t="n"/>
      <c r="L1756" s="78" t="n"/>
      <c r="M1756" s="77" t="n"/>
      <c r="N1756" s="53">
        <f>IF(M1756="","",IFERROR(M1756/I1756,""))</f>
        <v/>
      </c>
      <c r="O1756" s="50">
        <f>IF(A1756="","",IFERROR((IF(G1756="",I1756,G1756)-T1756)/M1756,""))</f>
        <v/>
      </c>
      <c r="P1756" s="50">
        <f>IFERROR((I1756/T1756-1)/N1756,"")</f>
        <v/>
      </c>
      <c r="Q1756" s="46">
        <f>IF(OR(T1756="",I1756&lt;T1756),"",IFERROR(R1756/IF(G1756="",I1756,G1756)-1,""))</f>
        <v/>
      </c>
      <c r="R1756" s="48">
        <f>IF($M1756="","",MAX(IF($G1756="",$I1756,$G1756)*(1/1.1),IF($G1756="",$I1756,$G1756)+(R$2*$M1756)))</f>
        <v/>
      </c>
      <c r="S1756" s="49">
        <f>IF($M1756="","",MAX(IF($G1756="",$I1756,$G1756)*(1/1.1),IF($G1756="",$I1756,$G1756)+(S$2*$M1756)))</f>
        <v/>
      </c>
      <c r="T1756" s="82" t="n"/>
      <c r="U1756" s="47">
        <f>IF(OR($M1756="",$T1756=""),"",$T1756+(U$2*$M1756))</f>
        <v/>
      </c>
      <c r="V1756" s="48">
        <f>IF(OR($M1756="",$T1756=""),"",$T1756+(V$2*$M1756))</f>
        <v/>
      </c>
      <c r="W1756" s="48">
        <f>IF(OR($M1756="",$T1756=""),"",$T1756+(W$2*$M1756))</f>
        <v/>
      </c>
      <c r="X1756" s="49">
        <f>IF(OR($M1756="",$T1756=""),"",$T1756+(X$2*$M1756))</f>
        <v/>
      </c>
      <c r="Y1756" s="47">
        <f>IF(OR($M1756="",$T1756=""),"",$T1756+(Y$2*$M1756))</f>
        <v/>
      </c>
      <c r="Z1756" s="49">
        <f>IF(OR($M1756="",$T1756=""),"",$T1756+(Z$2*$M1756))</f>
        <v/>
      </c>
      <c r="AA1756" s="51">
        <f>IF(OR($M1756="",$T1756=""),"",$T1756+(AA$2*$M1756))</f>
        <v/>
      </c>
      <c r="AB1756" s="48">
        <f>IF(OR($M1756="",$T1756=""),"",$T1756+(AB$2*$M1756))</f>
        <v/>
      </c>
      <c r="AC1756" s="48">
        <f>IF(OR($M1756="",$T1756=""),"",$T1756+(AC$2*$M1756))</f>
        <v/>
      </c>
      <c r="AD1756" s="48">
        <f>IF(OR($M1756="",$T1756=""),"",$T1756+(AD$2*$M1756))</f>
        <v/>
      </c>
      <c r="AE1756" s="49">
        <f>IF(OR($M1756="",$T1756=""),"",$T1756+(AE$2*$M1756))</f>
        <v/>
      </c>
      <c r="AF1756" s="52">
        <f>IF(OR(T1756="",I1756&lt;T1756),"",IFERROR(AVERAGE(T1756+M1756*{7,8,9,10,11})/IF(G1756="",I1756,G1756)-1,""))</f>
        <v/>
      </c>
      <c r="AG1756" s="55">
        <f>IF(OR(T1756="",I1756&lt;T1756),"",IFERROR(AF1756/-(R1756/IF(G1756="",I1756,G1756)-1),""))</f>
        <v/>
      </c>
      <c r="AH1756" s="94" t="n"/>
      <c r="AI1756" s="94" t="n"/>
      <c r="AJ1756" s="94" t="n"/>
      <c r="AK1756" s="94" t="n"/>
      <c r="AL1756" s="84" t="n"/>
    </row>
    <row r="1757">
      <c r="A1757" s="64" t="n"/>
      <c r="B1757" s="65" t="n"/>
      <c r="C1757" s="66" t="n"/>
      <c r="D1757" s="67" t="n"/>
      <c r="E1757" s="68" t="n"/>
      <c r="F1757" s="47">
        <f>IF(A1757="","",IF(MIN(H1757,MAX(J1757:K1757))=0,"",MIN(H1757,MAX(J1757:K1757))))</f>
        <v/>
      </c>
      <c r="G1757" s="74" t="n"/>
      <c r="H1757" s="49">
        <f>IF(M1757="","",IFERROR(ROUND(AVERAGE(T1757+M1757*{7,8,9,10,11})/1.21,4),""))</f>
        <v/>
      </c>
      <c r="I1757" s="76" t="n"/>
      <c r="J1757" s="77" t="n"/>
      <c r="K1757" s="74" t="n"/>
      <c r="L1757" s="78" t="n"/>
      <c r="M1757" s="77" t="n"/>
      <c r="N1757" s="53">
        <f>IF(M1757="","",IFERROR(M1757/I1757,""))</f>
        <v/>
      </c>
      <c r="O1757" s="50">
        <f>IF(A1757="","",IFERROR((IF(G1757="",I1757,G1757)-T1757)/M1757,""))</f>
        <v/>
      </c>
      <c r="P1757" s="50">
        <f>IFERROR((I1757/T1757-1)/N1757,"")</f>
        <v/>
      </c>
      <c r="Q1757" s="46">
        <f>IF(OR(T1757="",I1757&lt;T1757),"",IFERROR(R1757/IF(G1757="",I1757,G1757)-1,""))</f>
        <v/>
      </c>
      <c r="R1757" s="48">
        <f>IF($M1757="","",MAX(IF($G1757="",$I1757,$G1757)*(1/1.1),IF($G1757="",$I1757,$G1757)+(R$2*$M1757)))</f>
        <v/>
      </c>
      <c r="S1757" s="49">
        <f>IF($M1757="","",MAX(IF($G1757="",$I1757,$G1757)*(1/1.1),IF($G1757="",$I1757,$G1757)+(S$2*$M1757)))</f>
        <v/>
      </c>
      <c r="T1757" s="82" t="n"/>
      <c r="U1757" s="47">
        <f>IF(OR($M1757="",$T1757=""),"",$T1757+(U$2*$M1757))</f>
        <v/>
      </c>
      <c r="V1757" s="48">
        <f>IF(OR($M1757="",$T1757=""),"",$T1757+(V$2*$M1757))</f>
        <v/>
      </c>
      <c r="W1757" s="48">
        <f>IF(OR($M1757="",$T1757=""),"",$T1757+(W$2*$M1757))</f>
        <v/>
      </c>
      <c r="X1757" s="49">
        <f>IF(OR($M1757="",$T1757=""),"",$T1757+(X$2*$M1757))</f>
        <v/>
      </c>
      <c r="Y1757" s="47">
        <f>IF(OR($M1757="",$T1757=""),"",$T1757+(Y$2*$M1757))</f>
        <v/>
      </c>
      <c r="Z1757" s="49">
        <f>IF(OR($M1757="",$T1757=""),"",$T1757+(Z$2*$M1757))</f>
        <v/>
      </c>
      <c r="AA1757" s="51">
        <f>IF(OR($M1757="",$T1757=""),"",$T1757+(AA$2*$M1757))</f>
        <v/>
      </c>
      <c r="AB1757" s="48">
        <f>IF(OR($M1757="",$T1757=""),"",$T1757+(AB$2*$M1757))</f>
        <v/>
      </c>
      <c r="AC1757" s="48">
        <f>IF(OR($M1757="",$T1757=""),"",$T1757+(AC$2*$M1757))</f>
        <v/>
      </c>
      <c r="AD1757" s="48">
        <f>IF(OR($M1757="",$T1757=""),"",$T1757+(AD$2*$M1757))</f>
        <v/>
      </c>
      <c r="AE1757" s="49">
        <f>IF(OR($M1757="",$T1757=""),"",$T1757+(AE$2*$M1757))</f>
        <v/>
      </c>
      <c r="AF1757" s="52">
        <f>IF(OR(T1757="",I1757&lt;T1757),"",IFERROR(AVERAGE(T1757+M1757*{7,8,9,10,11})/IF(G1757="",I1757,G1757)-1,""))</f>
        <v/>
      </c>
      <c r="AG1757" s="55">
        <f>IF(OR(T1757="",I1757&lt;T1757),"",IFERROR(AF1757/-(R1757/IF(G1757="",I1757,G1757)-1),""))</f>
        <v/>
      </c>
      <c r="AH1757" s="94" t="n"/>
      <c r="AI1757" s="94" t="n"/>
      <c r="AJ1757" s="94" t="n"/>
      <c r="AK1757" s="94" t="n"/>
      <c r="AL1757" s="84" t="n"/>
    </row>
    <row r="1758">
      <c r="A1758" s="64" t="n"/>
      <c r="B1758" s="65" t="n"/>
      <c r="C1758" s="66" t="n"/>
      <c r="D1758" s="67" t="n"/>
      <c r="E1758" s="68" t="n"/>
      <c r="F1758" s="47">
        <f>IF(A1758="","",IF(MIN(H1758,MAX(J1758:K1758))=0,"",MIN(H1758,MAX(J1758:K1758))))</f>
        <v/>
      </c>
      <c r="G1758" s="74" t="n"/>
      <c r="H1758" s="49">
        <f>IF(M1758="","",IFERROR(ROUND(AVERAGE(T1758+M1758*{7,8,9,10,11})/1.21,4),""))</f>
        <v/>
      </c>
      <c r="I1758" s="76" t="n"/>
      <c r="J1758" s="77" t="n"/>
      <c r="K1758" s="74" t="n"/>
      <c r="L1758" s="78" t="n"/>
      <c r="M1758" s="77" t="n"/>
      <c r="N1758" s="53">
        <f>IF(M1758="","",IFERROR(M1758/I1758,""))</f>
        <v/>
      </c>
      <c r="O1758" s="50">
        <f>IF(A1758="","",IFERROR((IF(G1758="",I1758,G1758)-T1758)/M1758,""))</f>
        <v/>
      </c>
      <c r="P1758" s="50">
        <f>IFERROR((I1758/T1758-1)/N1758,"")</f>
        <v/>
      </c>
      <c r="Q1758" s="46">
        <f>IF(OR(T1758="",I1758&lt;T1758),"",IFERROR(R1758/IF(G1758="",I1758,G1758)-1,""))</f>
        <v/>
      </c>
      <c r="R1758" s="48">
        <f>IF($M1758="","",MAX(IF($G1758="",$I1758,$G1758)*(1/1.1),IF($G1758="",$I1758,$G1758)+(R$2*$M1758)))</f>
        <v/>
      </c>
      <c r="S1758" s="49">
        <f>IF($M1758="","",MAX(IF($G1758="",$I1758,$G1758)*(1/1.1),IF($G1758="",$I1758,$G1758)+(S$2*$M1758)))</f>
        <v/>
      </c>
      <c r="T1758" s="82" t="n"/>
      <c r="U1758" s="47">
        <f>IF(OR($M1758="",$T1758=""),"",$T1758+(U$2*$M1758))</f>
        <v/>
      </c>
      <c r="V1758" s="48">
        <f>IF(OR($M1758="",$T1758=""),"",$T1758+(V$2*$M1758))</f>
        <v/>
      </c>
      <c r="W1758" s="48">
        <f>IF(OR($M1758="",$T1758=""),"",$T1758+(W$2*$M1758))</f>
        <v/>
      </c>
      <c r="X1758" s="49">
        <f>IF(OR($M1758="",$T1758=""),"",$T1758+(X$2*$M1758))</f>
        <v/>
      </c>
      <c r="Y1758" s="47">
        <f>IF(OR($M1758="",$T1758=""),"",$T1758+(Y$2*$M1758))</f>
        <v/>
      </c>
      <c r="Z1758" s="49">
        <f>IF(OR($M1758="",$T1758=""),"",$T1758+(Z$2*$M1758))</f>
        <v/>
      </c>
      <c r="AA1758" s="51">
        <f>IF(OR($M1758="",$T1758=""),"",$T1758+(AA$2*$M1758))</f>
        <v/>
      </c>
      <c r="AB1758" s="48">
        <f>IF(OR($M1758="",$T1758=""),"",$T1758+(AB$2*$M1758))</f>
        <v/>
      </c>
      <c r="AC1758" s="48">
        <f>IF(OR($M1758="",$T1758=""),"",$T1758+(AC$2*$M1758))</f>
        <v/>
      </c>
      <c r="AD1758" s="48">
        <f>IF(OR($M1758="",$T1758=""),"",$T1758+(AD$2*$M1758))</f>
        <v/>
      </c>
      <c r="AE1758" s="49">
        <f>IF(OR($M1758="",$T1758=""),"",$T1758+(AE$2*$M1758))</f>
        <v/>
      </c>
      <c r="AF1758" s="52">
        <f>IF(OR(T1758="",I1758&lt;T1758),"",IFERROR(AVERAGE(T1758+M1758*{7,8,9,10,11})/IF(G1758="",I1758,G1758)-1,""))</f>
        <v/>
      </c>
      <c r="AG1758" s="55">
        <f>IF(OR(T1758="",I1758&lt;T1758),"",IFERROR(AF1758/-(R1758/IF(G1758="",I1758,G1758)-1),""))</f>
        <v/>
      </c>
      <c r="AH1758" s="94" t="n"/>
      <c r="AI1758" s="94" t="n"/>
      <c r="AJ1758" s="94" t="n"/>
      <c r="AK1758" s="94" t="n"/>
      <c r="AL1758" s="84" t="n"/>
    </row>
    <row r="1759">
      <c r="A1759" s="64" t="n"/>
      <c r="B1759" s="65" t="n"/>
      <c r="C1759" s="66" t="n"/>
      <c r="D1759" s="67" t="n"/>
      <c r="E1759" s="68" t="n"/>
      <c r="F1759" s="47">
        <f>IF(A1759="","",IF(MIN(H1759,MAX(J1759:K1759))=0,"",MIN(H1759,MAX(J1759:K1759))))</f>
        <v/>
      </c>
      <c r="G1759" s="74" t="n"/>
      <c r="H1759" s="49">
        <f>IF(M1759="","",IFERROR(ROUND(AVERAGE(T1759+M1759*{7,8,9,10,11})/1.21,4),""))</f>
        <v/>
      </c>
      <c r="I1759" s="76" t="n"/>
      <c r="J1759" s="77" t="n"/>
      <c r="K1759" s="74" t="n"/>
      <c r="L1759" s="78" t="n"/>
      <c r="M1759" s="77" t="n"/>
      <c r="N1759" s="53">
        <f>IF(M1759="","",IFERROR(M1759/I1759,""))</f>
        <v/>
      </c>
      <c r="O1759" s="50">
        <f>IF(A1759="","",IFERROR((IF(G1759="",I1759,G1759)-T1759)/M1759,""))</f>
        <v/>
      </c>
      <c r="P1759" s="50">
        <f>IFERROR((I1759/T1759-1)/N1759,"")</f>
        <v/>
      </c>
      <c r="Q1759" s="46">
        <f>IF(OR(T1759="",I1759&lt;T1759),"",IFERROR(R1759/IF(G1759="",I1759,G1759)-1,""))</f>
        <v/>
      </c>
      <c r="R1759" s="48">
        <f>IF($M1759="","",MAX(IF($G1759="",$I1759,$G1759)*(1/1.1),IF($G1759="",$I1759,$G1759)+(R$2*$M1759)))</f>
        <v/>
      </c>
      <c r="S1759" s="49">
        <f>IF($M1759="","",MAX(IF($G1759="",$I1759,$G1759)*(1/1.1),IF($G1759="",$I1759,$G1759)+(S$2*$M1759)))</f>
        <v/>
      </c>
      <c r="T1759" s="82" t="n"/>
      <c r="U1759" s="47">
        <f>IF(OR($M1759="",$T1759=""),"",$T1759+(U$2*$M1759))</f>
        <v/>
      </c>
      <c r="V1759" s="48">
        <f>IF(OR($M1759="",$T1759=""),"",$T1759+(V$2*$M1759))</f>
        <v/>
      </c>
      <c r="W1759" s="48">
        <f>IF(OR($M1759="",$T1759=""),"",$T1759+(W$2*$M1759))</f>
        <v/>
      </c>
      <c r="X1759" s="49">
        <f>IF(OR($M1759="",$T1759=""),"",$T1759+(X$2*$M1759))</f>
        <v/>
      </c>
      <c r="Y1759" s="47">
        <f>IF(OR($M1759="",$T1759=""),"",$T1759+(Y$2*$M1759))</f>
        <v/>
      </c>
      <c r="Z1759" s="49">
        <f>IF(OR($M1759="",$T1759=""),"",$T1759+(Z$2*$M1759))</f>
        <v/>
      </c>
      <c r="AA1759" s="51">
        <f>IF(OR($M1759="",$T1759=""),"",$T1759+(AA$2*$M1759))</f>
        <v/>
      </c>
      <c r="AB1759" s="48">
        <f>IF(OR($M1759="",$T1759=""),"",$T1759+(AB$2*$M1759))</f>
        <v/>
      </c>
      <c r="AC1759" s="48">
        <f>IF(OR($M1759="",$T1759=""),"",$T1759+(AC$2*$M1759))</f>
        <v/>
      </c>
      <c r="AD1759" s="48">
        <f>IF(OR($M1759="",$T1759=""),"",$T1759+(AD$2*$M1759))</f>
        <v/>
      </c>
      <c r="AE1759" s="49">
        <f>IF(OR($M1759="",$T1759=""),"",$T1759+(AE$2*$M1759))</f>
        <v/>
      </c>
      <c r="AF1759" s="52">
        <f>IF(OR(T1759="",I1759&lt;T1759),"",IFERROR(AVERAGE(T1759+M1759*{7,8,9,10,11})/IF(G1759="",I1759,G1759)-1,""))</f>
        <v/>
      </c>
      <c r="AG1759" s="55">
        <f>IF(OR(T1759="",I1759&lt;T1759),"",IFERROR(AF1759/-(R1759/IF(G1759="",I1759,G1759)-1),""))</f>
        <v/>
      </c>
      <c r="AH1759" s="94" t="n"/>
      <c r="AI1759" s="94" t="n"/>
      <c r="AJ1759" s="94" t="n"/>
      <c r="AK1759" s="94" t="n"/>
      <c r="AL1759" s="84" t="n"/>
    </row>
    <row r="1760">
      <c r="A1760" s="64" t="n"/>
      <c r="B1760" s="65" t="n"/>
      <c r="C1760" s="66" t="n"/>
      <c r="D1760" s="67" t="n"/>
      <c r="E1760" s="68" t="n"/>
      <c r="F1760" s="47">
        <f>IF(A1760="","",IF(MIN(H1760,MAX(J1760:K1760))=0,"",MIN(H1760,MAX(J1760:K1760))))</f>
        <v/>
      </c>
      <c r="G1760" s="74" t="n"/>
      <c r="H1760" s="49">
        <f>IF(M1760="","",IFERROR(ROUND(AVERAGE(T1760+M1760*{7,8,9,10,11})/1.21,4),""))</f>
        <v/>
      </c>
      <c r="I1760" s="76" t="n"/>
      <c r="J1760" s="77" t="n"/>
      <c r="K1760" s="74" t="n"/>
      <c r="L1760" s="78" t="n"/>
      <c r="M1760" s="77" t="n"/>
      <c r="N1760" s="53">
        <f>IF(M1760="","",IFERROR(M1760/I1760,""))</f>
        <v/>
      </c>
      <c r="O1760" s="50">
        <f>IF(A1760="","",IFERROR((IF(G1760="",I1760,G1760)-T1760)/M1760,""))</f>
        <v/>
      </c>
      <c r="P1760" s="50">
        <f>IFERROR((I1760/T1760-1)/N1760,"")</f>
        <v/>
      </c>
      <c r="Q1760" s="46">
        <f>IF(OR(T1760="",I1760&lt;T1760),"",IFERROR(R1760/IF(G1760="",I1760,G1760)-1,""))</f>
        <v/>
      </c>
      <c r="R1760" s="48">
        <f>IF($M1760="","",MAX(IF($G1760="",$I1760,$G1760)*(1/1.1),IF($G1760="",$I1760,$G1760)+(R$2*$M1760)))</f>
        <v/>
      </c>
      <c r="S1760" s="49">
        <f>IF($M1760="","",MAX(IF($G1760="",$I1760,$G1760)*(1/1.1),IF($G1760="",$I1760,$G1760)+(S$2*$M1760)))</f>
        <v/>
      </c>
      <c r="T1760" s="82" t="n"/>
      <c r="U1760" s="47">
        <f>IF(OR($M1760="",$T1760=""),"",$T1760+(U$2*$M1760))</f>
        <v/>
      </c>
      <c r="V1760" s="48">
        <f>IF(OR($M1760="",$T1760=""),"",$T1760+(V$2*$M1760))</f>
        <v/>
      </c>
      <c r="W1760" s="48">
        <f>IF(OR($M1760="",$T1760=""),"",$T1760+(W$2*$M1760))</f>
        <v/>
      </c>
      <c r="X1760" s="49">
        <f>IF(OR($M1760="",$T1760=""),"",$T1760+(X$2*$M1760))</f>
        <v/>
      </c>
      <c r="Y1760" s="47">
        <f>IF(OR($M1760="",$T1760=""),"",$T1760+(Y$2*$M1760))</f>
        <v/>
      </c>
      <c r="Z1760" s="49">
        <f>IF(OR($M1760="",$T1760=""),"",$T1760+(Z$2*$M1760))</f>
        <v/>
      </c>
      <c r="AA1760" s="51">
        <f>IF(OR($M1760="",$T1760=""),"",$T1760+(AA$2*$M1760))</f>
        <v/>
      </c>
      <c r="AB1760" s="48">
        <f>IF(OR($M1760="",$T1760=""),"",$T1760+(AB$2*$M1760))</f>
        <v/>
      </c>
      <c r="AC1760" s="48">
        <f>IF(OR($M1760="",$T1760=""),"",$T1760+(AC$2*$M1760))</f>
        <v/>
      </c>
      <c r="AD1760" s="48">
        <f>IF(OR($M1760="",$T1760=""),"",$T1760+(AD$2*$M1760))</f>
        <v/>
      </c>
      <c r="AE1760" s="49">
        <f>IF(OR($M1760="",$T1760=""),"",$T1760+(AE$2*$M1760))</f>
        <v/>
      </c>
      <c r="AF1760" s="52">
        <f>IF(OR(T1760="",I1760&lt;T1760),"",IFERROR(AVERAGE(T1760+M1760*{7,8,9,10,11})/IF(G1760="",I1760,G1760)-1,""))</f>
        <v/>
      </c>
      <c r="AG1760" s="55">
        <f>IF(OR(T1760="",I1760&lt;T1760),"",IFERROR(AF1760/-(R1760/IF(G1760="",I1760,G1760)-1),""))</f>
        <v/>
      </c>
      <c r="AH1760" s="94" t="n"/>
      <c r="AI1760" s="94" t="n"/>
      <c r="AJ1760" s="94" t="n"/>
      <c r="AK1760" s="94" t="n"/>
      <c r="AL1760" s="84" t="n"/>
    </row>
    <row r="1761">
      <c r="A1761" s="64" t="n"/>
      <c r="B1761" s="65" t="n"/>
      <c r="C1761" s="66" t="n"/>
      <c r="D1761" s="67" t="n"/>
      <c r="E1761" s="68" t="n"/>
      <c r="F1761" s="47">
        <f>IF(A1761="","",IF(MIN(H1761,MAX(J1761:K1761))=0,"",MIN(H1761,MAX(J1761:K1761))))</f>
        <v/>
      </c>
      <c r="G1761" s="74" t="n"/>
      <c r="H1761" s="49">
        <f>IF(M1761="","",IFERROR(ROUND(AVERAGE(T1761+M1761*{7,8,9,10,11})/1.21,4),""))</f>
        <v/>
      </c>
      <c r="I1761" s="76" t="n"/>
      <c r="J1761" s="77" t="n"/>
      <c r="K1761" s="74" t="n"/>
      <c r="L1761" s="78" t="n"/>
      <c r="M1761" s="77" t="n"/>
      <c r="N1761" s="53">
        <f>IF(M1761="","",IFERROR(M1761/I1761,""))</f>
        <v/>
      </c>
      <c r="O1761" s="50">
        <f>IF(A1761="","",IFERROR((IF(G1761="",I1761,G1761)-T1761)/M1761,""))</f>
        <v/>
      </c>
      <c r="P1761" s="50">
        <f>IFERROR((I1761/T1761-1)/N1761,"")</f>
        <v/>
      </c>
      <c r="Q1761" s="46">
        <f>IF(OR(T1761="",I1761&lt;T1761),"",IFERROR(R1761/IF(G1761="",I1761,G1761)-1,""))</f>
        <v/>
      </c>
      <c r="R1761" s="48">
        <f>IF($M1761="","",MAX(IF($G1761="",$I1761,$G1761)*(1/1.1),IF($G1761="",$I1761,$G1761)+(R$2*$M1761)))</f>
        <v/>
      </c>
      <c r="S1761" s="49">
        <f>IF($M1761="","",MAX(IF($G1761="",$I1761,$G1761)*(1/1.1),IF($G1761="",$I1761,$G1761)+(S$2*$M1761)))</f>
        <v/>
      </c>
      <c r="T1761" s="82" t="n"/>
      <c r="U1761" s="47">
        <f>IF(OR($M1761="",$T1761=""),"",$T1761+(U$2*$M1761))</f>
        <v/>
      </c>
      <c r="V1761" s="48">
        <f>IF(OR($M1761="",$T1761=""),"",$T1761+(V$2*$M1761))</f>
        <v/>
      </c>
      <c r="W1761" s="48">
        <f>IF(OR($M1761="",$T1761=""),"",$T1761+(W$2*$M1761))</f>
        <v/>
      </c>
      <c r="X1761" s="49">
        <f>IF(OR($M1761="",$T1761=""),"",$T1761+(X$2*$M1761))</f>
        <v/>
      </c>
      <c r="Y1761" s="47">
        <f>IF(OR($M1761="",$T1761=""),"",$T1761+(Y$2*$M1761))</f>
        <v/>
      </c>
      <c r="Z1761" s="49">
        <f>IF(OR($M1761="",$T1761=""),"",$T1761+(Z$2*$M1761))</f>
        <v/>
      </c>
      <c r="AA1761" s="51">
        <f>IF(OR($M1761="",$T1761=""),"",$T1761+(AA$2*$M1761))</f>
        <v/>
      </c>
      <c r="AB1761" s="48">
        <f>IF(OR($M1761="",$T1761=""),"",$T1761+(AB$2*$M1761))</f>
        <v/>
      </c>
      <c r="AC1761" s="48">
        <f>IF(OR($M1761="",$T1761=""),"",$T1761+(AC$2*$M1761))</f>
        <v/>
      </c>
      <c r="AD1761" s="48">
        <f>IF(OR($M1761="",$T1761=""),"",$T1761+(AD$2*$M1761))</f>
        <v/>
      </c>
      <c r="AE1761" s="49">
        <f>IF(OR($M1761="",$T1761=""),"",$T1761+(AE$2*$M1761))</f>
        <v/>
      </c>
      <c r="AF1761" s="52">
        <f>IF(OR(T1761="",I1761&lt;T1761),"",IFERROR(AVERAGE(T1761+M1761*{7,8,9,10,11})/IF(G1761="",I1761,G1761)-1,""))</f>
        <v/>
      </c>
      <c r="AG1761" s="55">
        <f>IF(OR(T1761="",I1761&lt;T1761),"",IFERROR(AF1761/-(R1761/IF(G1761="",I1761,G1761)-1),""))</f>
        <v/>
      </c>
      <c r="AH1761" s="94" t="n"/>
      <c r="AI1761" s="94" t="n"/>
      <c r="AJ1761" s="94" t="n"/>
      <c r="AK1761" s="94" t="n"/>
      <c r="AL1761" s="84" t="n"/>
    </row>
    <row r="1762">
      <c r="A1762" s="64" t="n"/>
      <c r="B1762" s="65" t="n"/>
      <c r="C1762" s="66" t="n"/>
      <c r="D1762" s="67" t="n"/>
      <c r="E1762" s="68" t="n"/>
      <c r="F1762" s="47">
        <f>IF(A1762="","",IF(MIN(H1762,MAX(J1762:K1762))=0,"",MIN(H1762,MAX(J1762:K1762))))</f>
        <v/>
      </c>
      <c r="G1762" s="74" t="n"/>
      <c r="H1762" s="49">
        <f>IF(M1762="","",IFERROR(ROUND(AVERAGE(T1762+M1762*{7,8,9,10,11})/1.21,4),""))</f>
        <v/>
      </c>
      <c r="I1762" s="76" t="n"/>
      <c r="J1762" s="77" t="n"/>
      <c r="K1762" s="74" t="n"/>
      <c r="L1762" s="78" t="n"/>
      <c r="M1762" s="77" t="n"/>
      <c r="N1762" s="53">
        <f>IF(M1762="","",IFERROR(M1762/I1762,""))</f>
        <v/>
      </c>
      <c r="O1762" s="50">
        <f>IF(A1762="","",IFERROR((IF(G1762="",I1762,G1762)-T1762)/M1762,""))</f>
        <v/>
      </c>
      <c r="P1762" s="50">
        <f>IFERROR((I1762/T1762-1)/N1762,"")</f>
        <v/>
      </c>
      <c r="Q1762" s="46">
        <f>IF(OR(T1762="",I1762&lt;T1762),"",IFERROR(R1762/IF(G1762="",I1762,G1762)-1,""))</f>
        <v/>
      </c>
      <c r="R1762" s="48">
        <f>IF($M1762="","",MAX(IF($G1762="",$I1762,$G1762)*(1/1.1),IF($G1762="",$I1762,$G1762)+(R$2*$M1762)))</f>
        <v/>
      </c>
      <c r="S1762" s="49">
        <f>IF($M1762="","",MAX(IF($G1762="",$I1762,$G1762)*(1/1.1),IF($G1762="",$I1762,$G1762)+(S$2*$M1762)))</f>
        <v/>
      </c>
      <c r="T1762" s="82" t="n"/>
      <c r="U1762" s="47">
        <f>IF(OR($M1762="",$T1762=""),"",$T1762+(U$2*$M1762))</f>
        <v/>
      </c>
      <c r="V1762" s="48">
        <f>IF(OR($M1762="",$T1762=""),"",$T1762+(V$2*$M1762))</f>
        <v/>
      </c>
      <c r="W1762" s="48">
        <f>IF(OR($M1762="",$T1762=""),"",$T1762+(W$2*$M1762))</f>
        <v/>
      </c>
      <c r="X1762" s="49">
        <f>IF(OR($M1762="",$T1762=""),"",$T1762+(X$2*$M1762))</f>
        <v/>
      </c>
      <c r="Y1762" s="47">
        <f>IF(OR($M1762="",$T1762=""),"",$T1762+(Y$2*$M1762))</f>
        <v/>
      </c>
      <c r="Z1762" s="49">
        <f>IF(OR($M1762="",$T1762=""),"",$T1762+(Z$2*$M1762))</f>
        <v/>
      </c>
      <c r="AA1762" s="51">
        <f>IF(OR($M1762="",$T1762=""),"",$T1762+(AA$2*$M1762))</f>
        <v/>
      </c>
      <c r="AB1762" s="48">
        <f>IF(OR($M1762="",$T1762=""),"",$T1762+(AB$2*$M1762))</f>
        <v/>
      </c>
      <c r="AC1762" s="48">
        <f>IF(OR($M1762="",$T1762=""),"",$T1762+(AC$2*$M1762))</f>
        <v/>
      </c>
      <c r="AD1762" s="48">
        <f>IF(OR($M1762="",$T1762=""),"",$T1762+(AD$2*$M1762))</f>
        <v/>
      </c>
      <c r="AE1762" s="49">
        <f>IF(OR($M1762="",$T1762=""),"",$T1762+(AE$2*$M1762))</f>
        <v/>
      </c>
      <c r="AF1762" s="52">
        <f>IF(OR(T1762="",I1762&lt;T1762),"",IFERROR(AVERAGE(T1762+M1762*{7,8,9,10,11})/IF(G1762="",I1762,G1762)-1,""))</f>
        <v/>
      </c>
      <c r="AG1762" s="55">
        <f>IF(OR(T1762="",I1762&lt;T1762),"",IFERROR(AF1762/-(R1762/IF(G1762="",I1762,G1762)-1),""))</f>
        <v/>
      </c>
      <c r="AH1762" s="94" t="n"/>
      <c r="AI1762" s="94" t="n"/>
      <c r="AJ1762" s="94" t="n"/>
      <c r="AK1762" s="94" t="n"/>
      <c r="AL1762" s="84" t="n"/>
    </row>
    <row r="1763">
      <c r="A1763" s="64" t="n"/>
      <c r="B1763" s="65" t="n"/>
      <c r="C1763" s="66" t="n"/>
      <c r="D1763" s="67" t="n"/>
      <c r="E1763" s="68" t="n"/>
      <c r="F1763" s="47">
        <f>IF(A1763="","",IF(MIN(H1763,MAX(J1763:K1763))=0,"",MIN(H1763,MAX(J1763:K1763))))</f>
        <v/>
      </c>
      <c r="G1763" s="74" t="n"/>
      <c r="H1763" s="49">
        <f>IF(M1763="","",IFERROR(ROUND(AVERAGE(T1763+M1763*{7,8,9,10,11})/1.21,4),""))</f>
        <v/>
      </c>
      <c r="I1763" s="76" t="n"/>
      <c r="J1763" s="77" t="n"/>
      <c r="K1763" s="74" t="n"/>
      <c r="L1763" s="78" t="n"/>
      <c r="M1763" s="77" t="n"/>
      <c r="N1763" s="53">
        <f>IF(M1763="","",IFERROR(M1763/I1763,""))</f>
        <v/>
      </c>
      <c r="O1763" s="50">
        <f>IF(A1763="","",IFERROR((IF(G1763="",I1763,G1763)-T1763)/M1763,""))</f>
        <v/>
      </c>
      <c r="P1763" s="50">
        <f>IFERROR((I1763/T1763-1)/N1763,"")</f>
        <v/>
      </c>
      <c r="Q1763" s="46">
        <f>IF(OR(T1763="",I1763&lt;T1763),"",IFERROR(R1763/IF(G1763="",I1763,G1763)-1,""))</f>
        <v/>
      </c>
      <c r="R1763" s="48">
        <f>IF($M1763="","",MAX(IF($G1763="",$I1763,$G1763)*(1/1.1),IF($G1763="",$I1763,$G1763)+(R$2*$M1763)))</f>
        <v/>
      </c>
      <c r="S1763" s="49">
        <f>IF($M1763="","",MAX(IF($G1763="",$I1763,$G1763)*(1/1.1),IF($G1763="",$I1763,$G1763)+(S$2*$M1763)))</f>
        <v/>
      </c>
      <c r="T1763" s="82" t="n"/>
      <c r="U1763" s="47">
        <f>IF(OR($M1763="",$T1763=""),"",$T1763+(U$2*$M1763))</f>
        <v/>
      </c>
      <c r="V1763" s="48">
        <f>IF(OR($M1763="",$T1763=""),"",$T1763+(V$2*$M1763))</f>
        <v/>
      </c>
      <c r="W1763" s="48">
        <f>IF(OR($M1763="",$T1763=""),"",$T1763+(W$2*$M1763))</f>
        <v/>
      </c>
      <c r="X1763" s="49">
        <f>IF(OR($M1763="",$T1763=""),"",$T1763+(X$2*$M1763))</f>
        <v/>
      </c>
      <c r="Y1763" s="47">
        <f>IF(OR($M1763="",$T1763=""),"",$T1763+(Y$2*$M1763))</f>
        <v/>
      </c>
      <c r="Z1763" s="49">
        <f>IF(OR($M1763="",$T1763=""),"",$T1763+(Z$2*$M1763))</f>
        <v/>
      </c>
      <c r="AA1763" s="51">
        <f>IF(OR($M1763="",$T1763=""),"",$T1763+(AA$2*$M1763))</f>
        <v/>
      </c>
      <c r="AB1763" s="48">
        <f>IF(OR($M1763="",$T1763=""),"",$T1763+(AB$2*$M1763))</f>
        <v/>
      </c>
      <c r="AC1763" s="48">
        <f>IF(OR($M1763="",$T1763=""),"",$T1763+(AC$2*$M1763))</f>
        <v/>
      </c>
      <c r="AD1763" s="48">
        <f>IF(OR($M1763="",$T1763=""),"",$T1763+(AD$2*$M1763))</f>
        <v/>
      </c>
      <c r="AE1763" s="49">
        <f>IF(OR($M1763="",$T1763=""),"",$T1763+(AE$2*$M1763))</f>
        <v/>
      </c>
      <c r="AF1763" s="52">
        <f>IF(OR(T1763="",I1763&lt;T1763),"",IFERROR(AVERAGE(T1763+M1763*{7,8,9,10,11})/IF(G1763="",I1763,G1763)-1,""))</f>
        <v/>
      </c>
      <c r="AG1763" s="55">
        <f>IF(OR(T1763="",I1763&lt;T1763),"",IFERROR(AF1763/-(R1763/IF(G1763="",I1763,G1763)-1),""))</f>
        <v/>
      </c>
      <c r="AH1763" s="94" t="n"/>
      <c r="AI1763" s="94" t="n"/>
      <c r="AJ1763" s="94" t="n"/>
      <c r="AK1763" s="94" t="n"/>
      <c r="AL1763" s="84" t="n"/>
    </row>
    <row r="1764">
      <c r="A1764" s="64" t="n"/>
      <c r="B1764" s="65" t="n"/>
      <c r="C1764" s="66" t="n"/>
      <c r="D1764" s="67" t="n"/>
      <c r="E1764" s="68" t="n"/>
      <c r="F1764" s="47">
        <f>IF(A1764="","",IF(MIN(H1764,MAX(J1764:K1764))=0,"",MIN(H1764,MAX(J1764:K1764))))</f>
        <v/>
      </c>
      <c r="G1764" s="74" t="n"/>
      <c r="H1764" s="49">
        <f>IF(M1764="","",IFERROR(ROUND(AVERAGE(T1764+M1764*{7,8,9,10,11})/1.21,4),""))</f>
        <v/>
      </c>
      <c r="I1764" s="76" t="n"/>
      <c r="J1764" s="77" t="n"/>
      <c r="K1764" s="74" t="n"/>
      <c r="L1764" s="78" t="n"/>
      <c r="M1764" s="77" t="n"/>
      <c r="N1764" s="53">
        <f>IF(M1764="","",IFERROR(M1764/I1764,""))</f>
        <v/>
      </c>
      <c r="O1764" s="50">
        <f>IF(A1764="","",IFERROR((IF(G1764="",I1764,G1764)-T1764)/M1764,""))</f>
        <v/>
      </c>
      <c r="P1764" s="50">
        <f>IFERROR((I1764/T1764-1)/N1764,"")</f>
        <v/>
      </c>
      <c r="Q1764" s="46">
        <f>IF(OR(T1764="",I1764&lt;T1764),"",IFERROR(R1764/IF(G1764="",I1764,G1764)-1,""))</f>
        <v/>
      </c>
      <c r="R1764" s="48">
        <f>IF($M1764="","",MAX(IF($G1764="",$I1764,$G1764)*(1/1.1),IF($G1764="",$I1764,$G1764)+(R$2*$M1764)))</f>
        <v/>
      </c>
      <c r="S1764" s="49">
        <f>IF($M1764="","",MAX(IF($G1764="",$I1764,$G1764)*(1/1.1),IF($G1764="",$I1764,$G1764)+(S$2*$M1764)))</f>
        <v/>
      </c>
      <c r="T1764" s="82" t="n"/>
      <c r="U1764" s="47">
        <f>IF(OR($M1764="",$T1764=""),"",$T1764+(U$2*$M1764))</f>
        <v/>
      </c>
      <c r="V1764" s="48">
        <f>IF(OR($M1764="",$T1764=""),"",$T1764+(V$2*$M1764))</f>
        <v/>
      </c>
      <c r="W1764" s="48">
        <f>IF(OR($M1764="",$T1764=""),"",$T1764+(W$2*$M1764))</f>
        <v/>
      </c>
      <c r="X1764" s="49">
        <f>IF(OR($M1764="",$T1764=""),"",$T1764+(X$2*$M1764))</f>
        <v/>
      </c>
      <c r="Y1764" s="47">
        <f>IF(OR($M1764="",$T1764=""),"",$T1764+(Y$2*$M1764))</f>
        <v/>
      </c>
      <c r="Z1764" s="49">
        <f>IF(OR($M1764="",$T1764=""),"",$T1764+(Z$2*$M1764))</f>
        <v/>
      </c>
      <c r="AA1764" s="51">
        <f>IF(OR($M1764="",$T1764=""),"",$T1764+(AA$2*$M1764))</f>
        <v/>
      </c>
      <c r="AB1764" s="48">
        <f>IF(OR($M1764="",$T1764=""),"",$T1764+(AB$2*$M1764))</f>
        <v/>
      </c>
      <c r="AC1764" s="48">
        <f>IF(OR($M1764="",$T1764=""),"",$T1764+(AC$2*$M1764))</f>
        <v/>
      </c>
      <c r="AD1764" s="48">
        <f>IF(OR($M1764="",$T1764=""),"",$T1764+(AD$2*$M1764))</f>
        <v/>
      </c>
      <c r="AE1764" s="49">
        <f>IF(OR($M1764="",$T1764=""),"",$T1764+(AE$2*$M1764))</f>
        <v/>
      </c>
      <c r="AF1764" s="52">
        <f>IF(OR(T1764="",I1764&lt;T1764),"",IFERROR(AVERAGE(T1764+M1764*{7,8,9,10,11})/IF(G1764="",I1764,G1764)-1,""))</f>
        <v/>
      </c>
      <c r="AG1764" s="55">
        <f>IF(OR(T1764="",I1764&lt;T1764),"",IFERROR(AF1764/-(R1764/IF(G1764="",I1764,G1764)-1),""))</f>
        <v/>
      </c>
      <c r="AH1764" s="94" t="n"/>
      <c r="AI1764" s="94" t="n"/>
      <c r="AJ1764" s="94" t="n"/>
      <c r="AK1764" s="94" t="n"/>
      <c r="AL1764" s="84" t="n"/>
    </row>
    <row r="1765">
      <c r="A1765" s="64" t="n"/>
      <c r="B1765" s="65" t="n"/>
      <c r="C1765" s="66" t="n"/>
      <c r="D1765" s="67" t="n"/>
      <c r="E1765" s="68" t="n"/>
      <c r="F1765" s="47">
        <f>IF(A1765="","",IF(MIN(H1765,MAX(J1765:K1765))=0,"",MIN(H1765,MAX(J1765:K1765))))</f>
        <v/>
      </c>
      <c r="G1765" s="74" t="n"/>
      <c r="H1765" s="49">
        <f>IF(M1765="","",IFERROR(ROUND(AVERAGE(T1765+M1765*{7,8,9,10,11})/1.21,4),""))</f>
        <v/>
      </c>
      <c r="I1765" s="76" t="n"/>
      <c r="J1765" s="77" t="n"/>
      <c r="K1765" s="74" t="n"/>
      <c r="L1765" s="78" t="n"/>
      <c r="M1765" s="77" t="n"/>
      <c r="N1765" s="53">
        <f>IF(M1765="","",IFERROR(M1765/I1765,""))</f>
        <v/>
      </c>
      <c r="O1765" s="50">
        <f>IF(A1765="","",IFERROR((IF(G1765="",I1765,G1765)-T1765)/M1765,""))</f>
        <v/>
      </c>
      <c r="P1765" s="50">
        <f>IFERROR((I1765/T1765-1)/N1765,"")</f>
        <v/>
      </c>
      <c r="Q1765" s="46">
        <f>IF(OR(T1765="",I1765&lt;T1765),"",IFERROR(R1765/IF(G1765="",I1765,G1765)-1,""))</f>
        <v/>
      </c>
      <c r="R1765" s="48">
        <f>IF($M1765="","",MAX(IF($G1765="",$I1765,$G1765)*(1/1.1),IF($G1765="",$I1765,$G1765)+(R$2*$M1765)))</f>
        <v/>
      </c>
      <c r="S1765" s="49">
        <f>IF($M1765="","",MAX(IF($G1765="",$I1765,$G1765)*(1/1.1),IF($G1765="",$I1765,$G1765)+(S$2*$M1765)))</f>
        <v/>
      </c>
      <c r="T1765" s="82" t="n"/>
      <c r="U1765" s="47">
        <f>IF(OR($M1765="",$T1765=""),"",$T1765+(U$2*$M1765))</f>
        <v/>
      </c>
      <c r="V1765" s="48">
        <f>IF(OR($M1765="",$T1765=""),"",$T1765+(V$2*$M1765))</f>
        <v/>
      </c>
      <c r="W1765" s="48">
        <f>IF(OR($M1765="",$T1765=""),"",$T1765+(W$2*$M1765))</f>
        <v/>
      </c>
      <c r="X1765" s="49">
        <f>IF(OR($M1765="",$T1765=""),"",$T1765+(X$2*$M1765))</f>
        <v/>
      </c>
      <c r="Y1765" s="47">
        <f>IF(OR($M1765="",$T1765=""),"",$T1765+(Y$2*$M1765))</f>
        <v/>
      </c>
      <c r="Z1765" s="49">
        <f>IF(OR($M1765="",$T1765=""),"",$T1765+(Z$2*$M1765))</f>
        <v/>
      </c>
      <c r="AA1765" s="51">
        <f>IF(OR($M1765="",$T1765=""),"",$T1765+(AA$2*$M1765))</f>
        <v/>
      </c>
      <c r="AB1765" s="48">
        <f>IF(OR($M1765="",$T1765=""),"",$T1765+(AB$2*$M1765))</f>
        <v/>
      </c>
      <c r="AC1765" s="48">
        <f>IF(OR($M1765="",$T1765=""),"",$T1765+(AC$2*$M1765))</f>
        <v/>
      </c>
      <c r="AD1765" s="48">
        <f>IF(OR($M1765="",$T1765=""),"",$T1765+(AD$2*$M1765))</f>
        <v/>
      </c>
      <c r="AE1765" s="49">
        <f>IF(OR($M1765="",$T1765=""),"",$T1765+(AE$2*$M1765))</f>
        <v/>
      </c>
      <c r="AF1765" s="52">
        <f>IF(OR(T1765="",I1765&lt;T1765),"",IFERROR(AVERAGE(T1765+M1765*{7,8,9,10,11})/IF(G1765="",I1765,G1765)-1,""))</f>
        <v/>
      </c>
      <c r="AG1765" s="55">
        <f>IF(OR(T1765="",I1765&lt;T1765),"",IFERROR(AF1765/-(R1765/IF(G1765="",I1765,G1765)-1),""))</f>
        <v/>
      </c>
      <c r="AH1765" s="94" t="n"/>
      <c r="AI1765" s="94" t="n"/>
      <c r="AJ1765" s="94" t="n"/>
      <c r="AK1765" s="94" t="n"/>
      <c r="AL1765" s="84" t="n"/>
    </row>
    <row r="1766">
      <c r="A1766" s="64" t="n"/>
      <c r="B1766" s="65" t="n"/>
      <c r="C1766" s="66" t="n"/>
      <c r="D1766" s="67" t="n"/>
      <c r="E1766" s="68" t="n"/>
      <c r="F1766" s="47">
        <f>IF(A1766="","",IF(MIN(H1766,MAX(J1766:K1766))=0,"",MIN(H1766,MAX(J1766:K1766))))</f>
        <v/>
      </c>
      <c r="G1766" s="74" t="n"/>
      <c r="H1766" s="49">
        <f>IF(M1766="","",IFERROR(ROUND(AVERAGE(T1766+M1766*{7,8,9,10,11})/1.21,4),""))</f>
        <v/>
      </c>
      <c r="I1766" s="76" t="n"/>
      <c r="J1766" s="77" t="n"/>
      <c r="K1766" s="74" t="n"/>
      <c r="L1766" s="78" t="n"/>
      <c r="M1766" s="77" t="n"/>
      <c r="N1766" s="53">
        <f>IF(M1766="","",IFERROR(M1766/I1766,""))</f>
        <v/>
      </c>
      <c r="O1766" s="50">
        <f>IF(A1766="","",IFERROR((IF(G1766="",I1766,G1766)-T1766)/M1766,""))</f>
        <v/>
      </c>
      <c r="P1766" s="50">
        <f>IFERROR((I1766/T1766-1)/N1766,"")</f>
        <v/>
      </c>
      <c r="Q1766" s="46">
        <f>IF(OR(T1766="",I1766&lt;T1766),"",IFERROR(R1766/IF(G1766="",I1766,G1766)-1,""))</f>
        <v/>
      </c>
      <c r="R1766" s="48">
        <f>IF($M1766="","",MAX(IF($G1766="",$I1766,$G1766)*(1/1.1),IF($G1766="",$I1766,$G1766)+(R$2*$M1766)))</f>
        <v/>
      </c>
      <c r="S1766" s="49">
        <f>IF($M1766="","",MAX(IF($G1766="",$I1766,$G1766)*(1/1.1),IF($G1766="",$I1766,$G1766)+(S$2*$M1766)))</f>
        <v/>
      </c>
      <c r="T1766" s="82" t="n"/>
      <c r="U1766" s="47">
        <f>IF(OR($M1766="",$T1766=""),"",$T1766+(U$2*$M1766))</f>
        <v/>
      </c>
      <c r="V1766" s="48">
        <f>IF(OR($M1766="",$T1766=""),"",$T1766+(V$2*$M1766))</f>
        <v/>
      </c>
      <c r="W1766" s="48">
        <f>IF(OR($M1766="",$T1766=""),"",$T1766+(W$2*$M1766))</f>
        <v/>
      </c>
      <c r="X1766" s="49">
        <f>IF(OR($M1766="",$T1766=""),"",$T1766+(X$2*$M1766))</f>
        <v/>
      </c>
      <c r="Y1766" s="47">
        <f>IF(OR($M1766="",$T1766=""),"",$T1766+(Y$2*$M1766))</f>
        <v/>
      </c>
      <c r="Z1766" s="49">
        <f>IF(OR($M1766="",$T1766=""),"",$T1766+(Z$2*$M1766))</f>
        <v/>
      </c>
      <c r="AA1766" s="51">
        <f>IF(OR($M1766="",$T1766=""),"",$T1766+(AA$2*$M1766))</f>
        <v/>
      </c>
      <c r="AB1766" s="48">
        <f>IF(OR($M1766="",$T1766=""),"",$T1766+(AB$2*$M1766))</f>
        <v/>
      </c>
      <c r="AC1766" s="48">
        <f>IF(OR($M1766="",$T1766=""),"",$T1766+(AC$2*$M1766))</f>
        <v/>
      </c>
      <c r="AD1766" s="48">
        <f>IF(OR($M1766="",$T1766=""),"",$T1766+(AD$2*$M1766))</f>
        <v/>
      </c>
      <c r="AE1766" s="49">
        <f>IF(OR($M1766="",$T1766=""),"",$T1766+(AE$2*$M1766))</f>
        <v/>
      </c>
      <c r="AF1766" s="52">
        <f>IF(OR(T1766="",I1766&lt;T1766),"",IFERROR(AVERAGE(T1766+M1766*{7,8,9,10,11})/IF(G1766="",I1766,G1766)-1,""))</f>
        <v/>
      </c>
      <c r="AG1766" s="55">
        <f>IF(OR(T1766="",I1766&lt;T1766),"",IFERROR(AF1766/-(R1766/IF(G1766="",I1766,G1766)-1),""))</f>
        <v/>
      </c>
      <c r="AH1766" s="94" t="n"/>
      <c r="AI1766" s="94" t="n"/>
      <c r="AJ1766" s="94" t="n"/>
      <c r="AK1766" s="94" t="n"/>
      <c r="AL1766" s="84" t="n"/>
    </row>
    <row r="1767">
      <c r="A1767" s="64" t="n"/>
      <c r="B1767" s="65" t="n"/>
      <c r="C1767" s="66" t="n"/>
      <c r="D1767" s="67" t="n"/>
      <c r="E1767" s="68" t="n"/>
      <c r="F1767" s="47">
        <f>IF(A1767="","",IF(MIN(H1767,MAX(J1767:K1767))=0,"",MIN(H1767,MAX(J1767:K1767))))</f>
        <v/>
      </c>
      <c r="G1767" s="74" t="n"/>
      <c r="H1767" s="49">
        <f>IF(M1767="","",IFERROR(ROUND(AVERAGE(T1767+M1767*{7,8,9,10,11})/1.21,4),""))</f>
        <v/>
      </c>
      <c r="I1767" s="76" t="n"/>
      <c r="J1767" s="77" t="n"/>
      <c r="K1767" s="74" t="n"/>
      <c r="L1767" s="78" t="n"/>
      <c r="M1767" s="77" t="n"/>
      <c r="N1767" s="53">
        <f>IF(M1767="","",IFERROR(M1767/I1767,""))</f>
        <v/>
      </c>
      <c r="O1767" s="50">
        <f>IF(A1767="","",IFERROR((IF(G1767="",I1767,G1767)-T1767)/M1767,""))</f>
        <v/>
      </c>
      <c r="P1767" s="50">
        <f>IFERROR((I1767/T1767-1)/N1767,"")</f>
        <v/>
      </c>
      <c r="Q1767" s="46">
        <f>IF(OR(T1767="",I1767&lt;T1767),"",IFERROR(R1767/IF(G1767="",I1767,G1767)-1,""))</f>
        <v/>
      </c>
      <c r="R1767" s="48">
        <f>IF($M1767="","",MAX(IF($G1767="",$I1767,$G1767)*(1/1.1),IF($G1767="",$I1767,$G1767)+(R$2*$M1767)))</f>
        <v/>
      </c>
      <c r="S1767" s="49">
        <f>IF($M1767="","",MAX(IF($G1767="",$I1767,$G1767)*(1/1.1),IF($G1767="",$I1767,$G1767)+(S$2*$M1767)))</f>
        <v/>
      </c>
      <c r="T1767" s="82" t="n"/>
      <c r="U1767" s="47">
        <f>IF(OR($M1767="",$T1767=""),"",$T1767+(U$2*$M1767))</f>
        <v/>
      </c>
      <c r="V1767" s="48">
        <f>IF(OR($M1767="",$T1767=""),"",$T1767+(V$2*$M1767))</f>
        <v/>
      </c>
      <c r="W1767" s="48">
        <f>IF(OR($M1767="",$T1767=""),"",$T1767+(W$2*$M1767))</f>
        <v/>
      </c>
      <c r="X1767" s="49">
        <f>IF(OR($M1767="",$T1767=""),"",$T1767+(X$2*$M1767))</f>
        <v/>
      </c>
      <c r="Y1767" s="47">
        <f>IF(OR($M1767="",$T1767=""),"",$T1767+(Y$2*$M1767))</f>
        <v/>
      </c>
      <c r="Z1767" s="49">
        <f>IF(OR($M1767="",$T1767=""),"",$T1767+(Z$2*$M1767))</f>
        <v/>
      </c>
      <c r="AA1767" s="51">
        <f>IF(OR($M1767="",$T1767=""),"",$T1767+(AA$2*$M1767))</f>
        <v/>
      </c>
      <c r="AB1767" s="48">
        <f>IF(OR($M1767="",$T1767=""),"",$T1767+(AB$2*$M1767))</f>
        <v/>
      </c>
      <c r="AC1767" s="48">
        <f>IF(OR($M1767="",$T1767=""),"",$T1767+(AC$2*$M1767))</f>
        <v/>
      </c>
      <c r="AD1767" s="48">
        <f>IF(OR($M1767="",$T1767=""),"",$T1767+(AD$2*$M1767))</f>
        <v/>
      </c>
      <c r="AE1767" s="49">
        <f>IF(OR($M1767="",$T1767=""),"",$T1767+(AE$2*$M1767))</f>
        <v/>
      </c>
      <c r="AF1767" s="52">
        <f>IF(OR(T1767="",I1767&lt;T1767),"",IFERROR(AVERAGE(T1767+M1767*{7,8,9,10,11})/IF(G1767="",I1767,G1767)-1,""))</f>
        <v/>
      </c>
      <c r="AG1767" s="55">
        <f>IF(OR(T1767="",I1767&lt;T1767),"",IFERROR(AF1767/-(R1767/IF(G1767="",I1767,G1767)-1),""))</f>
        <v/>
      </c>
      <c r="AH1767" s="94" t="n"/>
      <c r="AI1767" s="94" t="n"/>
      <c r="AJ1767" s="94" t="n"/>
      <c r="AK1767" s="94" t="n"/>
      <c r="AL1767" s="84" t="n"/>
    </row>
    <row r="1768">
      <c r="A1768" s="64" t="n"/>
      <c r="B1768" s="65" t="n"/>
      <c r="C1768" s="66" t="n"/>
      <c r="D1768" s="67" t="n"/>
      <c r="E1768" s="68" t="n"/>
      <c r="F1768" s="47">
        <f>IF(A1768="","",IF(MIN(H1768,MAX(J1768:K1768))=0,"",MIN(H1768,MAX(J1768:K1768))))</f>
        <v/>
      </c>
      <c r="G1768" s="74" t="n"/>
      <c r="H1768" s="49">
        <f>IF(M1768="","",IFERROR(ROUND(AVERAGE(T1768+M1768*{7,8,9,10,11})/1.21,4),""))</f>
        <v/>
      </c>
      <c r="I1768" s="76" t="n"/>
      <c r="J1768" s="77" t="n"/>
      <c r="K1768" s="74" t="n"/>
      <c r="L1768" s="78" t="n"/>
      <c r="M1768" s="77" t="n"/>
      <c r="N1768" s="53">
        <f>IF(M1768="","",IFERROR(M1768/I1768,""))</f>
        <v/>
      </c>
      <c r="O1768" s="50">
        <f>IF(A1768="","",IFERROR((IF(G1768="",I1768,G1768)-T1768)/M1768,""))</f>
        <v/>
      </c>
      <c r="P1768" s="50">
        <f>IFERROR((I1768/T1768-1)/N1768,"")</f>
        <v/>
      </c>
      <c r="Q1768" s="46">
        <f>IF(OR(T1768="",I1768&lt;T1768),"",IFERROR(R1768/IF(G1768="",I1768,G1768)-1,""))</f>
        <v/>
      </c>
      <c r="R1768" s="48">
        <f>IF($M1768="","",MAX(IF($G1768="",$I1768,$G1768)*(1/1.1),IF($G1768="",$I1768,$G1768)+(R$2*$M1768)))</f>
        <v/>
      </c>
      <c r="S1768" s="49">
        <f>IF($M1768="","",MAX(IF($G1768="",$I1768,$G1768)*(1/1.1),IF($G1768="",$I1768,$G1768)+(S$2*$M1768)))</f>
        <v/>
      </c>
      <c r="T1768" s="82" t="n"/>
      <c r="U1768" s="47">
        <f>IF(OR($M1768="",$T1768=""),"",$T1768+(U$2*$M1768))</f>
        <v/>
      </c>
      <c r="V1768" s="48">
        <f>IF(OR($M1768="",$T1768=""),"",$T1768+(V$2*$M1768))</f>
        <v/>
      </c>
      <c r="W1768" s="48">
        <f>IF(OR($M1768="",$T1768=""),"",$T1768+(W$2*$M1768))</f>
        <v/>
      </c>
      <c r="X1768" s="49">
        <f>IF(OR($M1768="",$T1768=""),"",$T1768+(X$2*$M1768))</f>
        <v/>
      </c>
      <c r="Y1768" s="47">
        <f>IF(OR($M1768="",$T1768=""),"",$T1768+(Y$2*$M1768))</f>
        <v/>
      </c>
      <c r="Z1768" s="49">
        <f>IF(OR($M1768="",$T1768=""),"",$T1768+(Z$2*$M1768))</f>
        <v/>
      </c>
      <c r="AA1768" s="51">
        <f>IF(OR($M1768="",$T1768=""),"",$T1768+(AA$2*$M1768))</f>
        <v/>
      </c>
      <c r="AB1768" s="48">
        <f>IF(OR($M1768="",$T1768=""),"",$T1768+(AB$2*$M1768))</f>
        <v/>
      </c>
      <c r="AC1768" s="48">
        <f>IF(OR($M1768="",$T1768=""),"",$T1768+(AC$2*$M1768))</f>
        <v/>
      </c>
      <c r="AD1768" s="48">
        <f>IF(OR($M1768="",$T1768=""),"",$T1768+(AD$2*$M1768))</f>
        <v/>
      </c>
      <c r="AE1768" s="49">
        <f>IF(OR($M1768="",$T1768=""),"",$T1768+(AE$2*$M1768))</f>
        <v/>
      </c>
      <c r="AF1768" s="52">
        <f>IF(OR(T1768="",I1768&lt;T1768),"",IFERROR(AVERAGE(T1768+M1768*{7,8,9,10,11})/IF(G1768="",I1768,G1768)-1,""))</f>
        <v/>
      </c>
      <c r="AG1768" s="55">
        <f>IF(OR(T1768="",I1768&lt;T1768),"",IFERROR(AF1768/-(R1768/IF(G1768="",I1768,G1768)-1),""))</f>
        <v/>
      </c>
      <c r="AH1768" s="94" t="n"/>
      <c r="AI1768" s="94" t="n"/>
      <c r="AJ1768" s="94" t="n"/>
      <c r="AK1768" s="94" t="n"/>
      <c r="AL1768" s="84" t="n"/>
    </row>
    <row r="1769">
      <c r="A1769" s="64" t="n"/>
      <c r="B1769" s="65" t="n"/>
      <c r="C1769" s="66" t="n"/>
      <c r="D1769" s="67" t="n"/>
      <c r="E1769" s="68" t="n"/>
      <c r="F1769" s="47">
        <f>IF(A1769="","",IF(MIN(H1769,MAX(J1769:K1769))=0,"",MIN(H1769,MAX(J1769:K1769))))</f>
        <v/>
      </c>
      <c r="G1769" s="74" t="n"/>
      <c r="H1769" s="49">
        <f>IF(M1769="","",IFERROR(ROUND(AVERAGE(T1769+M1769*{7,8,9,10,11})/1.21,4),""))</f>
        <v/>
      </c>
      <c r="I1769" s="76" t="n"/>
      <c r="J1769" s="77" t="n"/>
      <c r="K1769" s="74" t="n"/>
      <c r="L1769" s="78" t="n"/>
      <c r="M1769" s="77" t="n"/>
      <c r="N1769" s="53">
        <f>IF(M1769="","",IFERROR(M1769/I1769,""))</f>
        <v/>
      </c>
      <c r="O1769" s="50">
        <f>IF(A1769="","",IFERROR((IF(G1769="",I1769,G1769)-T1769)/M1769,""))</f>
        <v/>
      </c>
      <c r="P1769" s="50">
        <f>IFERROR((I1769/T1769-1)/N1769,"")</f>
        <v/>
      </c>
      <c r="Q1769" s="46">
        <f>IF(OR(T1769="",I1769&lt;T1769),"",IFERROR(R1769/IF(G1769="",I1769,G1769)-1,""))</f>
        <v/>
      </c>
      <c r="R1769" s="48">
        <f>IF($M1769="","",MAX(IF($G1769="",$I1769,$G1769)*(1/1.1),IF($G1769="",$I1769,$G1769)+(R$2*$M1769)))</f>
        <v/>
      </c>
      <c r="S1769" s="49">
        <f>IF($M1769="","",MAX(IF($G1769="",$I1769,$G1769)*(1/1.1),IF($G1769="",$I1769,$G1769)+(S$2*$M1769)))</f>
        <v/>
      </c>
      <c r="T1769" s="82" t="n"/>
      <c r="U1769" s="47">
        <f>IF(OR($M1769="",$T1769=""),"",$T1769+(U$2*$M1769))</f>
        <v/>
      </c>
      <c r="V1769" s="48">
        <f>IF(OR($M1769="",$T1769=""),"",$T1769+(V$2*$M1769))</f>
        <v/>
      </c>
      <c r="W1769" s="48">
        <f>IF(OR($M1769="",$T1769=""),"",$T1769+(W$2*$M1769))</f>
        <v/>
      </c>
      <c r="X1769" s="49">
        <f>IF(OR($M1769="",$T1769=""),"",$T1769+(X$2*$M1769))</f>
        <v/>
      </c>
      <c r="Y1769" s="47">
        <f>IF(OR($M1769="",$T1769=""),"",$T1769+(Y$2*$M1769))</f>
        <v/>
      </c>
      <c r="Z1769" s="49">
        <f>IF(OR($M1769="",$T1769=""),"",$T1769+(Z$2*$M1769))</f>
        <v/>
      </c>
      <c r="AA1769" s="51">
        <f>IF(OR($M1769="",$T1769=""),"",$T1769+(AA$2*$M1769))</f>
        <v/>
      </c>
      <c r="AB1769" s="48">
        <f>IF(OR($M1769="",$T1769=""),"",$T1769+(AB$2*$M1769))</f>
        <v/>
      </c>
      <c r="AC1769" s="48">
        <f>IF(OR($M1769="",$T1769=""),"",$T1769+(AC$2*$M1769))</f>
        <v/>
      </c>
      <c r="AD1769" s="48">
        <f>IF(OR($M1769="",$T1769=""),"",$T1769+(AD$2*$M1769))</f>
        <v/>
      </c>
      <c r="AE1769" s="49">
        <f>IF(OR($M1769="",$T1769=""),"",$T1769+(AE$2*$M1769))</f>
        <v/>
      </c>
      <c r="AF1769" s="52">
        <f>IF(OR(T1769="",I1769&lt;T1769),"",IFERROR(AVERAGE(T1769+M1769*{7,8,9,10,11})/IF(G1769="",I1769,G1769)-1,""))</f>
        <v/>
      </c>
      <c r="AG1769" s="55">
        <f>IF(OR(T1769="",I1769&lt;T1769),"",IFERROR(AF1769/-(R1769/IF(G1769="",I1769,G1769)-1),""))</f>
        <v/>
      </c>
      <c r="AH1769" s="94" t="n"/>
      <c r="AI1769" s="94" t="n"/>
      <c r="AJ1769" s="94" t="n"/>
      <c r="AK1769" s="94" t="n"/>
      <c r="AL1769" s="84" t="n"/>
    </row>
    <row r="1770">
      <c r="A1770" s="64" t="n"/>
      <c r="B1770" s="65" t="n"/>
      <c r="C1770" s="66" t="n"/>
      <c r="D1770" s="67" t="n"/>
      <c r="E1770" s="68" t="n"/>
      <c r="F1770" s="47">
        <f>IF(A1770="","",IF(MIN(H1770,MAX(J1770:K1770))=0,"",MIN(H1770,MAX(J1770:K1770))))</f>
        <v/>
      </c>
      <c r="G1770" s="74" t="n"/>
      <c r="H1770" s="49">
        <f>IF(M1770="","",IFERROR(ROUND(AVERAGE(T1770+M1770*{7,8,9,10,11})/1.21,4),""))</f>
        <v/>
      </c>
      <c r="I1770" s="76" t="n"/>
      <c r="J1770" s="77" t="n"/>
      <c r="K1770" s="74" t="n"/>
      <c r="L1770" s="78" t="n"/>
      <c r="M1770" s="77" t="n"/>
      <c r="N1770" s="53">
        <f>IF(M1770="","",IFERROR(M1770/I1770,""))</f>
        <v/>
      </c>
      <c r="O1770" s="50">
        <f>IF(A1770="","",IFERROR((IF(G1770="",I1770,G1770)-T1770)/M1770,""))</f>
        <v/>
      </c>
      <c r="P1770" s="50">
        <f>IFERROR((I1770/T1770-1)/N1770,"")</f>
        <v/>
      </c>
      <c r="Q1770" s="46">
        <f>IF(OR(T1770="",I1770&lt;T1770),"",IFERROR(R1770/IF(G1770="",I1770,G1770)-1,""))</f>
        <v/>
      </c>
      <c r="R1770" s="48">
        <f>IF($M1770="","",MAX(IF($G1770="",$I1770,$G1770)*(1/1.1),IF($G1770="",$I1770,$G1770)+(R$2*$M1770)))</f>
        <v/>
      </c>
      <c r="S1770" s="49">
        <f>IF($M1770="","",MAX(IF($G1770="",$I1770,$G1770)*(1/1.1),IF($G1770="",$I1770,$G1770)+(S$2*$M1770)))</f>
        <v/>
      </c>
      <c r="T1770" s="82" t="n"/>
      <c r="U1770" s="47">
        <f>IF(OR($M1770="",$T1770=""),"",$T1770+(U$2*$M1770))</f>
        <v/>
      </c>
      <c r="V1770" s="48">
        <f>IF(OR($M1770="",$T1770=""),"",$T1770+(V$2*$M1770))</f>
        <v/>
      </c>
      <c r="W1770" s="48">
        <f>IF(OR($M1770="",$T1770=""),"",$T1770+(W$2*$M1770))</f>
        <v/>
      </c>
      <c r="X1770" s="49">
        <f>IF(OR($M1770="",$T1770=""),"",$T1770+(X$2*$M1770))</f>
        <v/>
      </c>
      <c r="Y1770" s="47">
        <f>IF(OR($M1770="",$T1770=""),"",$T1770+(Y$2*$M1770))</f>
        <v/>
      </c>
      <c r="Z1770" s="49">
        <f>IF(OR($M1770="",$T1770=""),"",$T1770+(Z$2*$M1770))</f>
        <v/>
      </c>
      <c r="AA1770" s="51">
        <f>IF(OR($M1770="",$T1770=""),"",$T1770+(AA$2*$M1770))</f>
        <v/>
      </c>
      <c r="AB1770" s="48">
        <f>IF(OR($M1770="",$T1770=""),"",$T1770+(AB$2*$M1770))</f>
        <v/>
      </c>
      <c r="AC1770" s="48">
        <f>IF(OR($M1770="",$T1770=""),"",$T1770+(AC$2*$M1770))</f>
        <v/>
      </c>
      <c r="AD1770" s="48">
        <f>IF(OR($M1770="",$T1770=""),"",$T1770+(AD$2*$M1770))</f>
        <v/>
      </c>
      <c r="AE1770" s="49">
        <f>IF(OR($M1770="",$T1770=""),"",$T1770+(AE$2*$M1770))</f>
        <v/>
      </c>
      <c r="AF1770" s="52">
        <f>IF(OR(T1770="",I1770&lt;T1770),"",IFERROR(AVERAGE(T1770+M1770*{7,8,9,10,11})/IF(G1770="",I1770,G1770)-1,""))</f>
        <v/>
      </c>
      <c r="AG1770" s="55">
        <f>IF(OR(T1770="",I1770&lt;T1770),"",IFERROR(AF1770/-(R1770/IF(G1770="",I1770,G1770)-1),""))</f>
        <v/>
      </c>
      <c r="AH1770" s="94" t="n"/>
      <c r="AI1770" s="94" t="n"/>
      <c r="AJ1770" s="94" t="n"/>
      <c r="AK1770" s="94" t="n"/>
      <c r="AL1770" s="84" t="n"/>
    </row>
    <row r="1771">
      <c r="A1771" s="64" t="n"/>
      <c r="B1771" s="65" t="n"/>
      <c r="C1771" s="66" t="n"/>
      <c r="D1771" s="67" t="n"/>
      <c r="E1771" s="68" t="n"/>
      <c r="F1771" s="47">
        <f>IF(A1771="","",IF(MIN(H1771,MAX(J1771:K1771))=0,"",MIN(H1771,MAX(J1771:K1771))))</f>
        <v/>
      </c>
      <c r="G1771" s="74" t="n"/>
      <c r="H1771" s="49">
        <f>IF(M1771="","",IFERROR(ROUND(AVERAGE(T1771+M1771*{7,8,9,10,11})/1.21,4),""))</f>
        <v/>
      </c>
      <c r="I1771" s="76" t="n"/>
      <c r="J1771" s="77" t="n"/>
      <c r="K1771" s="74" t="n"/>
      <c r="L1771" s="78" t="n"/>
      <c r="M1771" s="77" t="n"/>
      <c r="N1771" s="53">
        <f>IF(M1771="","",IFERROR(M1771/I1771,""))</f>
        <v/>
      </c>
      <c r="O1771" s="50">
        <f>IF(A1771="","",IFERROR((IF(G1771="",I1771,G1771)-T1771)/M1771,""))</f>
        <v/>
      </c>
      <c r="P1771" s="50">
        <f>IFERROR((I1771/T1771-1)/N1771,"")</f>
        <v/>
      </c>
      <c r="Q1771" s="46">
        <f>IF(OR(T1771="",I1771&lt;T1771),"",IFERROR(R1771/IF(G1771="",I1771,G1771)-1,""))</f>
        <v/>
      </c>
      <c r="R1771" s="48">
        <f>IF($M1771="","",MAX(IF($G1771="",$I1771,$G1771)*(1/1.1),IF($G1771="",$I1771,$G1771)+(R$2*$M1771)))</f>
        <v/>
      </c>
      <c r="S1771" s="49">
        <f>IF($M1771="","",MAX(IF($G1771="",$I1771,$G1771)*(1/1.1),IF($G1771="",$I1771,$G1771)+(S$2*$M1771)))</f>
        <v/>
      </c>
      <c r="T1771" s="82" t="n"/>
      <c r="U1771" s="47">
        <f>IF(OR($M1771="",$T1771=""),"",$T1771+(U$2*$M1771))</f>
        <v/>
      </c>
      <c r="V1771" s="48">
        <f>IF(OR($M1771="",$T1771=""),"",$T1771+(V$2*$M1771))</f>
        <v/>
      </c>
      <c r="W1771" s="48">
        <f>IF(OR($M1771="",$T1771=""),"",$T1771+(W$2*$M1771))</f>
        <v/>
      </c>
      <c r="X1771" s="49">
        <f>IF(OR($M1771="",$T1771=""),"",$T1771+(X$2*$M1771))</f>
        <v/>
      </c>
      <c r="Y1771" s="47">
        <f>IF(OR($M1771="",$T1771=""),"",$T1771+(Y$2*$M1771))</f>
        <v/>
      </c>
      <c r="Z1771" s="49">
        <f>IF(OR($M1771="",$T1771=""),"",$T1771+(Z$2*$M1771))</f>
        <v/>
      </c>
      <c r="AA1771" s="51">
        <f>IF(OR($M1771="",$T1771=""),"",$T1771+(AA$2*$M1771))</f>
        <v/>
      </c>
      <c r="AB1771" s="48">
        <f>IF(OR($M1771="",$T1771=""),"",$T1771+(AB$2*$M1771))</f>
        <v/>
      </c>
      <c r="AC1771" s="48">
        <f>IF(OR($M1771="",$T1771=""),"",$T1771+(AC$2*$M1771))</f>
        <v/>
      </c>
      <c r="AD1771" s="48">
        <f>IF(OR($M1771="",$T1771=""),"",$T1771+(AD$2*$M1771))</f>
        <v/>
      </c>
      <c r="AE1771" s="49">
        <f>IF(OR($M1771="",$T1771=""),"",$T1771+(AE$2*$M1771))</f>
        <v/>
      </c>
      <c r="AF1771" s="52">
        <f>IF(OR(T1771="",I1771&lt;T1771),"",IFERROR(AVERAGE(T1771+M1771*{7,8,9,10,11})/IF(G1771="",I1771,G1771)-1,""))</f>
        <v/>
      </c>
      <c r="AG1771" s="55">
        <f>IF(OR(T1771="",I1771&lt;T1771),"",IFERROR(AF1771/-(R1771/IF(G1771="",I1771,G1771)-1),""))</f>
        <v/>
      </c>
      <c r="AH1771" s="94" t="n"/>
      <c r="AI1771" s="94" t="n"/>
      <c r="AJ1771" s="94" t="n"/>
      <c r="AK1771" s="94" t="n"/>
      <c r="AL1771" s="84" t="n"/>
    </row>
    <row r="1772">
      <c r="A1772" s="64" t="n"/>
      <c r="B1772" s="65" t="n"/>
      <c r="C1772" s="66" t="n"/>
      <c r="D1772" s="67" t="n"/>
      <c r="E1772" s="68" t="n"/>
      <c r="F1772" s="47">
        <f>IF(A1772="","",IF(MIN(H1772,MAX(J1772:K1772))=0,"",MIN(H1772,MAX(J1772:K1772))))</f>
        <v/>
      </c>
      <c r="G1772" s="74" t="n"/>
      <c r="H1772" s="49">
        <f>IF(M1772="","",IFERROR(ROUND(AVERAGE(T1772+M1772*{7,8,9,10,11})/1.21,4),""))</f>
        <v/>
      </c>
      <c r="I1772" s="76" t="n"/>
      <c r="J1772" s="77" t="n"/>
      <c r="K1772" s="74" t="n"/>
      <c r="L1772" s="78" t="n"/>
      <c r="M1772" s="77" t="n"/>
      <c r="N1772" s="53">
        <f>IF(M1772="","",IFERROR(M1772/I1772,""))</f>
        <v/>
      </c>
      <c r="O1772" s="50">
        <f>IF(A1772="","",IFERROR((IF(G1772="",I1772,G1772)-T1772)/M1772,""))</f>
        <v/>
      </c>
      <c r="P1772" s="50">
        <f>IFERROR((I1772/T1772-1)/N1772,"")</f>
        <v/>
      </c>
      <c r="Q1772" s="46">
        <f>IF(OR(T1772="",I1772&lt;T1772),"",IFERROR(R1772/IF(G1772="",I1772,G1772)-1,""))</f>
        <v/>
      </c>
      <c r="R1772" s="48">
        <f>IF($M1772="","",MAX(IF($G1772="",$I1772,$G1772)*(1/1.1),IF($G1772="",$I1772,$G1772)+(R$2*$M1772)))</f>
        <v/>
      </c>
      <c r="S1772" s="49">
        <f>IF($M1772="","",MAX(IF($G1772="",$I1772,$G1772)*(1/1.1),IF($G1772="",$I1772,$G1772)+(S$2*$M1772)))</f>
        <v/>
      </c>
      <c r="T1772" s="82" t="n"/>
      <c r="U1772" s="47">
        <f>IF(OR($M1772="",$T1772=""),"",$T1772+(U$2*$M1772))</f>
        <v/>
      </c>
      <c r="V1772" s="48">
        <f>IF(OR($M1772="",$T1772=""),"",$T1772+(V$2*$M1772))</f>
        <v/>
      </c>
      <c r="W1772" s="48">
        <f>IF(OR($M1772="",$T1772=""),"",$T1772+(W$2*$M1772))</f>
        <v/>
      </c>
      <c r="X1772" s="49">
        <f>IF(OR($M1772="",$T1772=""),"",$T1772+(X$2*$M1772))</f>
        <v/>
      </c>
      <c r="Y1772" s="47">
        <f>IF(OR($M1772="",$T1772=""),"",$T1772+(Y$2*$M1772))</f>
        <v/>
      </c>
      <c r="Z1772" s="49">
        <f>IF(OR($M1772="",$T1772=""),"",$T1772+(Z$2*$M1772))</f>
        <v/>
      </c>
      <c r="AA1772" s="51">
        <f>IF(OR($M1772="",$T1772=""),"",$T1772+(AA$2*$M1772))</f>
        <v/>
      </c>
      <c r="AB1772" s="48">
        <f>IF(OR($M1772="",$T1772=""),"",$T1772+(AB$2*$M1772))</f>
        <v/>
      </c>
      <c r="AC1772" s="48">
        <f>IF(OR($M1772="",$T1772=""),"",$T1772+(AC$2*$M1772))</f>
        <v/>
      </c>
      <c r="AD1772" s="48">
        <f>IF(OR($M1772="",$T1772=""),"",$T1772+(AD$2*$M1772))</f>
        <v/>
      </c>
      <c r="AE1772" s="49">
        <f>IF(OR($M1772="",$T1772=""),"",$T1772+(AE$2*$M1772))</f>
        <v/>
      </c>
      <c r="AF1772" s="52">
        <f>IF(OR(T1772="",I1772&lt;T1772),"",IFERROR(AVERAGE(T1772+M1772*{7,8,9,10,11})/IF(G1772="",I1772,G1772)-1,""))</f>
        <v/>
      </c>
      <c r="AG1772" s="55">
        <f>IF(OR(T1772="",I1772&lt;T1772),"",IFERROR(AF1772/-(R1772/IF(G1772="",I1772,G1772)-1),""))</f>
        <v/>
      </c>
      <c r="AH1772" s="94" t="n"/>
      <c r="AI1772" s="94" t="n"/>
      <c r="AJ1772" s="94" t="n"/>
      <c r="AK1772" s="94" t="n"/>
      <c r="AL1772" s="84" t="n"/>
    </row>
    <row r="1773">
      <c r="A1773" s="64" t="n"/>
      <c r="B1773" s="65" t="n"/>
      <c r="C1773" s="66" t="n"/>
      <c r="D1773" s="67" t="n"/>
      <c r="E1773" s="68" t="n"/>
      <c r="F1773" s="47">
        <f>IF(A1773="","",IF(MIN(H1773,MAX(J1773:K1773))=0,"",MIN(H1773,MAX(J1773:K1773))))</f>
        <v/>
      </c>
      <c r="G1773" s="74" t="n"/>
      <c r="H1773" s="49">
        <f>IF(M1773="","",IFERROR(ROUND(AVERAGE(T1773+M1773*{7,8,9,10,11})/1.21,4),""))</f>
        <v/>
      </c>
      <c r="I1773" s="76" t="n"/>
      <c r="J1773" s="77" t="n"/>
      <c r="K1773" s="74" t="n"/>
      <c r="L1773" s="78" t="n"/>
      <c r="M1773" s="77" t="n"/>
      <c r="N1773" s="53">
        <f>IF(M1773="","",IFERROR(M1773/I1773,""))</f>
        <v/>
      </c>
      <c r="O1773" s="50">
        <f>IF(A1773="","",IFERROR((IF(G1773="",I1773,G1773)-T1773)/M1773,""))</f>
        <v/>
      </c>
      <c r="P1773" s="50">
        <f>IFERROR((I1773/T1773-1)/N1773,"")</f>
        <v/>
      </c>
      <c r="Q1773" s="46">
        <f>IF(OR(T1773="",I1773&lt;T1773),"",IFERROR(R1773/IF(G1773="",I1773,G1773)-1,""))</f>
        <v/>
      </c>
      <c r="R1773" s="48">
        <f>IF($M1773="","",MAX(IF($G1773="",$I1773,$G1773)*(1/1.1),IF($G1773="",$I1773,$G1773)+(R$2*$M1773)))</f>
        <v/>
      </c>
      <c r="S1773" s="49">
        <f>IF($M1773="","",MAX(IF($G1773="",$I1773,$G1773)*(1/1.1),IF($G1773="",$I1773,$G1773)+(S$2*$M1773)))</f>
        <v/>
      </c>
      <c r="T1773" s="82" t="n"/>
      <c r="U1773" s="47">
        <f>IF(OR($M1773="",$T1773=""),"",$T1773+(U$2*$M1773))</f>
        <v/>
      </c>
      <c r="V1773" s="48">
        <f>IF(OR($M1773="",$T1773=""),"",$T1773+(V$2*$M1773))</f>
        <v/>
      </c>
      <c r="W1773" s="48">
        <f>IF(OR($M1773="",$T1773=""),"",$T1773+(W$2*$M1773))</f>
        <v/>
      </c>
      <c r="X1773" s="49">
        <f>IF(OR($M1773="",$T1773=""),"",$T1773+(X$2*$M1773))</f>
        <v/>
      </c>
      <c r="Y1773" s="47">
        <f>IF(OR($M1773="",$T1773=""),"",$T1773+(Y$2*$M1773))</f>
        <v/>
      </c>
      <c r="Z1773" s="49">
        <f>IF(OR($M1773="",$T1773=""),"",$T1773+(Z$2*$M1773))</f>
        <v/>
      </c>
      <c r="AA1773" s="51">
        <f>IF(OR($M1773="",$T1773=""),"",$T1773+(AA$2*$M1773))</f>
        <v/>
      </c>
      <c r="AB1773" s="48">
        <f>IF(OR($M1773="",$T1773=""),"",$T1773+(AB$2*$M1773))</f>
        <v/>
      </c>
      <c r="AC1773" s="48">
        <f>IF(OR($M1773="",$T1773=""),"",$T1773+(AC$2*$M1773))</f>
        <v/>
      </c>
      <c r="AD1773" s="48">
        <f>IF(OR($M1773="",$T1773=""),"",$T1773+(AD$2*$M1773))</f>
        <v/>
      </c>
      <c r="AE1773" s="49">
        <f>IF(OR($M1773="",$T1773=""),"",$T1773+(AE$2*$M1773))</f>
        <v/>
      </c>
      <c r="AF1773" s="52">
        <f>IF(OR(T1773="",I1773&lt;T1773),"",IFERROR(AVERAGE(T1773+M1773*{7,8,9,10,11})/IF(G1773="",I1773,G1773)-1,""))</f>
        <v/>
      </c>
      <c r="AG1773" s="55">
        <f>IF(OR(T1773="",I1773&lt;T1773),"",IFERROR(AF1773/-(R1773/IF(G1773="",I1773,G1773)-1),""))</f>
        <v/>
      </c>
      <c r="AH1773" s="94" t="n"/>
      <c r="AI1773" s="94" t="n"/>
      <c r="AJ1773" s="94" t="n"/>
      <c r="AK1773" s="94" t="n"/>
      <c r="AL1773" s="84" t="n"/>
    </row>
    <row r="1774">
      <c r="A1774" s="64" t="n"/>
      <c r="B1774" s="65" t="n"/>
      <c r="C1774" s="66" t="n"/>
      <c r="D1774" s="67" t="n"/>
      <c r="E1774" s="68" t="n"/>
      <c r="F1774" s="47">
        <f>IF(A1774="","",IF(MIN(H1774,MAX(J1774:K1774))=0,"",MIN(H1774,MAX(J1774:K1774))))</f>
        <v/>
      </c>
      <c r="G1774" s="74" t="n"/>
      <c r="H1774" s="49">
        <f>IF(M1774="","",IFERROR(ROUND(AVERAGE(T1774+M1774*{7,8,9,10,11})/1.21,4),""))</f>
        <v/>
      </c>
      <c r="I1774" s="76" t="n"/>
      <c r="J1774" s="77" t="n"/>
      <c r="K1774" s="74" t="n"/>
      <c r="L1774" s="78" t="n"/>
      <c r="M1774" s="77" t="n"/>
      <c r="N1774" s="53">
        <f>IF(M1774="","",IFERROR(M1774/I1774,""))</f>
        <v/>
      </c>
      <c r="O1774" s="50">
        <f>IF(A1774="","",IFERROR((IF(G1774="",I1774,G1774)-T1774)/M1774,""))</f>
        <v/>
      </c>
      <c r="P1774" s="50">
        <f>IFERROR((I1774/T1774-1)/N1774,"")</f>
        <v/>
      </c>
      <c r="Q1774" s="46">
        <f>IF(OR(T1774="",I1774&lt;T1774),"",IFERROR(R1774/IF(G1774="",I1774,G1774)-1,""))</f>
        <v/>
      </c>
      <c r="R1774" s="48">
        <f>IF($M1774="","",MAX(IF($G1774="",$I1774,$G1774)*(1/1.1),IF($G1774="",$I1774,$G1774)+(R$2*$M1774)))</f>
        <v/>
      </c>
      <c r="S1774" s="49">
        <f>IF($M1774="","",MAX(IF($G1774="",$I1774,$G1774)*(1/1.1),IF($G1774="",$I1774,$G1774)+(S$2*$M1774)))</f>
        <v/>
      </c>
      <c r="T1774" s="82" t="n"/>
      <c r="U1774" s="47">
        <f>IF(OR($M1774="",$T1774=""),"",$T1774+(U$2*$M1774))</f>
        <v/>
      </c>
      <c r="V1774" s="48">
        <f>IF(OR($M1774="",$T1774=""),"",$T1774+(V$2*$M1774))</f>
        <v/>
      </c>
      <c r="W1774" s="48">
        <f>IF(OR($M1774="",$T1774=""),"",$T1774+(W$2*$M1774))</f>
        <v/>
      </c>
      <c r="X1774" s="49">
        <f>IF(OR($M1774="",$T1774=""),"",$T1774+(X$2*$M1774))</f>
        <v/>
      </c>
      <c r="Y1774" s="47">
        <f>IF(OR($M1774="",$T1774=""),"",$T1774+(Y$2*$M1774))</f>
        <v/>
      </c>
      <c r="Z1774" s="49">
        <f>IF(OR($M1774="",$T1774=""),"",$T1774+(Z$2*$M1774))</f>
        <v/>
      </c>
      <c r="AA1774" s="51">
        <f>IF(OR($M1774="",$T1774=""),"",$T1774+(AA$2*$M1774))</f>
        <v/>
      </c>
      <c r="AB1774" s="48">
        <f>IF(OR($M1774="",$T1774=""),"",$T1774+(AB$2*$M1774))</f>
        <v/>
      </c>
      <c r="AC1774" s="48">
        <f>IF(OR($M1774="",$T1774=""),"",$T1774+(AC$2*$M1774))</f>
        <v/>
      </c>
      <c r="AD1774" s="48">
        <f>IF(OR($M1774="",$T1774=""),"",$T1774+(AD$2*$M1774))</f>
        <v/>
      </c>
      <c r="AE1774" s="49">
        <f>IF(OR($M1774="",$T1774=""),"",$T1774+(AE$2*$M1774))</f>
        <v/>
      </c>
      <c r="AF1774" s="52">
        <f>IF(OR(T1774="",I1774&lt;T1774),"",IFERROR(AVERAGE(T1774+M1774*{7,8,9,10,11})/IF(G1774="",I1774,G1774)-1,""))</f>
        <v/>
      </c>
      <c r="AG1774" s="55">
        <f>IF(OR(T1774="",I1774&lt;T1774),"",IFERROR(AF1774/-(R1774/IF(G1774="",I1774,G1774)-1),""))</f>
        <v/>
      </c>
      <c r="AH1774" s="94" t="n"/>
      <c r="AI1774" s="94" t="n"/>
      <c r="AJ1774" s="94" t="n"/>
      <c r="AK1774" s="94" t="n"/>
      <c r="AL1774" s="84" t="n"/>
    </row>
    <row r="1775">
      <c r="A1775" s="64" t="n"/>
      <c r="B1775" s="65" t="n"/>
      <c r="C1775" s="66" t="n"/>
      <c r="D1775" s="67" t="n"/>
      <c r="E1775" s="68" t="n"/>
      <c r="F1775" s="47">
        <f>IF(A1775="","",IF(MIN(H1775,MAX(J1775:K1775))=0,"",MIN(H1775,MAX(J1775:K1775))))</f>
        <v/>
      </c>
      <c r="G1775" s="74" t="n"/>
      <c r="H1775" s="49">
        <f>IF(M1775="","",IFERROR(ROUND(AVERAGE(T1775+M1775*{7,8,9,10,11})/1.21,4),""))</f>
        <v/>
      </c>
      <c r="I1775" s="76" t="n"/>
      <c r="J1775" s="77" t="n"/>
      <c r="K1775" s="74" t="n"/>
      <c r="L1775" s="78" t="n"/>
      <c r="M1775" s="77" t="n"/>
      <c r="N1775" s="53">
        <f>IF(M1775="","",IFERROR(M1775/I1775,""))</f>
        <v/>
      </c>
      <c r="O1775" s="50">
        <f>IF(A1775="","",IFERROR((IF(G1775="",I1775,G1775)-T1775)/M1775,""))</f>
        <v/>
      </c>
      <c r="P1775" s="50">
        <f>IFERROR((I1775/T1775-1)/N1775,"")</f>
        <v/>
      </c>
      <c r="Q1775" s="46">
        <f>IF(OR(T1775="",I1775&lt;T1775),"",IFERROR(R1775/IF(G1775="",I1775,G1775)-1,""))</f>
        <v/>
      </c>
      <c r="R1775" s="48">
        <f>IF($M1775="","",MAX(IF($G1775="",$I1775,$G1775)*(1/1.1),IF($G1775="",$I1775,$G1775)+(R$2*$M1775)))</f>
        <v/>
      </c>
      <c r="S1775" s="49">
        <f>IF($M1775="","",MAX(IF($G1775="",$I1775,$G1775)*(1/1.1),IF($G1775="",$I1775,$G1775)+(S$2*$M1775)))</f>
        <v/>
      </c>
      <c r="T1775" s="82" t="n"/>
      <c r="U1775" s="47">
        <f>IF(OR($M1775="",$T1775=""),"",$T1775+(U$2*$M1775))</f>
        <v/>
      </c>
      <c r="V1775" s="48">
        <f>IF(OR($M1775="",$T1775=""),"",$T1775+(V$2*$M1775))</f>
        <v/>
      </c>
      <c r="W1775" s="48">
        <f>IF(OR($M1775="",$T1775=""),"",$T1775+(W$2*$M1775))</f>
        <v/>
      </c>
      <c r="X1775" s="49">
        <f>IF(OR($M1775="",$T1775=""),"",$T1775+(X$2*$M1775))</f>
        <v/>
      </c>
      <c r="Y1775" s="47">
        <f>IF(OR($M1775="",$T1775=""),"",$T1775+(Y$2*$M1775))</f>
        <v/>
      </c>
      <c r="Z1775" s="49">
        <f>IF(OR($M1775="",$T1775=""),"",$T1775+(Z$2*$M1775))</f>
        <v/>
      </c>
      <c r="AA1775" s="51">
        <f>IF(OR($M1775="",$T1775=""),"",$T1775+(AA$2*$M1775))</f>
        <v/>
      </c>
      <c r="AB1775" s="48">
        <f>IF(OR($M1775="",$T1775=""),"",$T1775+(AB$2*$M1775))</f>
        <v/>
      </c>
      <c r="AC1775" s="48">
        <f>IF(OR($M1775="",$T1775=""),"",$T1775+(AC$2*$M1775))</f>
        <v/>
      </c>
      <c r="AD1775" s="48">
        <f>IF(OR($M1775="",$T1775=""),"",$T1775+(AD$2*$M1775))</f>
        <v/>
      </c>
      <c r="AE1775" s="49">
        <f>IF(OR($M1775="",$T1775=""),"",$T1775+(AE$2*$M1775))</f>
        <v/>
      </c>
      <c r="AF1775" s="52">
        <f>IF(OR(T1775="",I1775&lt;T1775),"",IFERROR(AVERAGE(T1775+M1775*{7,8,9,10,11})/IF(G1775="",I1775,G1775)-1,""))</f>
        <v/>
      </c>
      <c r="AG1775" s="55">
        <f>IF(OR(T1775="",I1775&lt;T1775),"",IFERROR(AF1775/-(R1775/IF(G1775="",I1775,G1775)-1),""))</f>
        <v/>
      </c>
      <c r="AH1775" s="94" t="n"/>
      <c r="AI1775" s="94" t="n"/>
      <c r="AJ1775" s="94" t="n"/>
      <c r="AK1775" s="94" t="n"/>
      <c r="AL1775" s="84" t="n"/>
    </row>
    <row r="1776">
      <c r="A1776" s="64" t="n"/>
      <c r="B1776" s="65" t="n"/>
      <c r="C1776" s="66" t="n"/>
      <c r="D1776" s="67" t="n"/>
      <c r="E1776" s="68" t="n"/>
      <c r="F1776" s="47">
        <f>IF(A1776="","",IF(MIN(H1776,MAX(J1776:K1776))=0,"",MIN(H1776,MAX(J1776:K1776))))</f>
        <v/>
      </c>
      <c r="G1776" s="74" t="n"/>
      <c r="H1776" s="49">
        <f>IF(M1776="","",IFERROR(ROUND(AVERAGE(T1776+M1776*{7,8,9,10,11})/1.21,4),""))</f>
        <v/>
      </c>
      <c r="I1776" s="76" t="n"/>
      <c r="J1776" s="77" t="n"/>
      <c r="K1776" s="74" t="n"/>
      <c r="L1776" s="78" t="n"/>
      <c r="M1776" s="77" t="n"/>
      <c r="N1776" s="53">
        <f>IF(M1776="","",IFERROR(M1776/I1776,""))</f>
        <v/>
      </c>
      <c r="O1776" s="50">
        <f>IF(A1776="","",IFERROR((IF(G1776="",I1776,G1776)-T1776)/M1776,""))</f>
        <v/>
      </c>
      <c r="P1776" s="50">
        <f>IFERROR((I1776/T1776-1)/N1776,"")</f>
        <v/>
      </c>
      <c r="Q1776" s="46">
        <f>IF(OR(T1776="",I1776&lt;T1776),"",IFERROR(R1776/IF(G1776="",I1776,G1776)-1,""))</f>
        <v/>
      </c>
      <c r="R1776" s="48">
        <f>IF($M1776="","",MAX(IF($G1776="",$I1776,$G1776)*(1/1.1),IF($G1776="",$I1776,$G1776)+(R$2*$M1776)))</f>
        <v/>
      </c>
      <c r="S1776" s="49">
        <f>IF($M1776="","",MAX(IF($G1776="",$I1776,$G1776)*(1/1.1),IF($G1776="",$I1776,$G1776)+(S$2*$M1776)))</f>
        <v/>
      </c>
      <c r="T1776" s="82" t="n"/>
      <c r="U1776" s="47">
        <f>IF(OR($M1776="",$T1776=""),"",$T1776+(U$2*$M1776))</f>
        <v/>
      </c>
      <c r="V1776" s="48">
        <f>IF(OR($M1776="",$T1776=""),"",$T1776+(V$2*$M1776))</f>
        <v/>
      </c>
      <c r="W1776" s="48">
        <f>IF(OR($M1776="",$T1776=""),"",$T1776+(W$2*$M1776))</f>
        <v/>
      </c>
      <c r="X1776" s="49">
        <f>IF(OR($M1776="",$T1776=""),"",$T1776+(X$2*$M1776))</f>
        <v/>
      </c>
      <c r="Y1776" s="47">
        <f>IF(OR($M1776="",$T1776=""),"",$T1776+(Y$2*$M1776))</f>
        <v/>
      </c>
      <c r="Z1776" s="49">
        <f>IF(OR($M1776="",$T1776=""),"",$T1776+(Z$2*$M1776))</f>
        <v/>
      </c>
      <c r="AA1776" s="51">
        <f>IF(OR($M1776="",$T1776=""),"",$T1776+(AA$2*$M1776))</f>
        <v/>
      </c>
      <c r="AB1776" s="48">
        <f>IF(OR($M1776="",$T1776=""),"",$T1776+(AB$2*$M1776))</f>
        <v/>
      </c>
      <c r="AC1776" s="48">
        <f>IF(OR($M1776="",$T1776=""),"",$T1776+(AC$2*$M1776))</f>
        <v/>
      </c>
      <c r="AD1776" s="48">
        <f>IF(OR($M1776="",$T1776=""),"",$T1776+(AD$2*$M1776))</f>
        <v/>
      </c>
      <c r="AE1776" s="49">
        <f>IF(OR($M1776="",$T1776=""),"",$T1776+(AE$2*$M1776))</f>
        <v/>
      </c>
      <c r="AF1776" s="52">
        <f>IF(OR(T1776="",I1776&lt;T1776),"",IFERROR(AVERAGE(T1776+M1776*{7,8,9,10,11})/IF(G1776="",I1776,G1776)-1,""))</f>
        <v/>
      </c>
      <c r="AG1776" s="55">
        <f>IF(OR(T1776="",I1776&lt;T1776),"",IFERROR(AF1776/-(R1776/IF(G1776="",I1776,G1776)-1),""))</f>
        <v/>
      </c>
      <c r="AH1776" s="94" t="n"/>
      <c r="AI1776" s="94" t="n"/>
      <c r="AJ1776" s="94" t="n"/>
      <c r="AK1776" s="94" t="n"/>
      <c r="AL1776" s="84" t="n"/>
    </row>
    <row r="1777">
      <c r="A1777" s="64" t="n"/>
      <c r="B1777" s="65" t="n"/>
      <c r="C1777" s="66" t="n"/>
      <c r="D1777" s="67" t="n"/>
      <c r="E1777" s="68" t="n"/>
      <c r="F1777" s="47">
        <f>IF(A1777="","",IF(MIN(H1777,MAX(J1777:K1777))=0,"",MIN(H1777,MAX(J1777:K1777))))</f>
        <v/>
      </c>
      <c r="G1777" s="74" t="n"/>
      <c r="H1777" s="49">
        <f>IF(M1777="","",IFERROR(ROUND(AVERAGE(T1777+M1777*{7,8,9,10,11})/1.21,4),""))</f>
        <v/>
      </c>
      <c r="I1777" s="76" t="n"/>
      <c r="J1777" s="77" t="n"/>
      <c r="K1777" s="74" t="n"/>
      <c r="L1777" s="78" t="n"/>
      <c r="M1777" s="77" t="n"/>
      <c r="N1777" s="53">
        <f>IF(M1777="","",IFERROR(M1777/I1777,""))</f>
        <v/>
      </c>
      <c r="O1777" s="50">
        <f>IF(A1777="","",IFERROR((IF(G1777="",I1777,G1777)-T1777)/M1777,""))</f>
        <v/>
      </c>
      <c r="P1777" s="50">
        <f>IFERROR((I1777/T1777-1)/N1777,"")</f>
        <v/>
      </c>
      <c r="Q1777" s="46">
        <f>IF(OR(T1777="",I1777&lt;T1777),"",IFERROR(R1777/IF(G1777="",I1777,G1777)-1,""))</f>
        <v/>
      </c>
      <c r="R1777" s="48">
        <f>IF($M1777="","",MAX(IF($G1777="",$I1777,$G1777)*(1/1.1),IF($G1777="",$I1777,$G1777)+(R$2*$M1777)))</f>
        <v/>
      </c>
      <c r="S1777" s="49">
        <f>IF($M1777="","",MAX(IF($G1777="",$I1777,$G1777)*(1/1.1),IF($G1777="",$I1777,$G1777)+(S$2*$M1777)))</f>
        <v/>
      </c>
      <c r="T1777" s="82" t="n"/>
      <c r="U1777" s="47">
        <f>IF(OR($M1777="",$T1777=""),"",$T1777+(U$2*$M1777))</f>
        <v/>
      </c>
      <c r="V1777" s="48">
        <f>IF(OR($M1777="",$T1777=""),"",$T1777+(V$2*$M1777))</f>
        <v/>
      </c>
      <c r="W1777" s="48">
        <f>IF(OR($M1777="",$T1777=""),"",$T1777+(W$2*$M1777))</f>
        <v/>
      </c>
      <c r="X1777" s="49">
        <f>IF(OR($M1777="",$T1777=""),"",$T1777+(X$2*$M1777))</f>
        <v/>
      </c>
      <c r="Y1777" s="47">
        <f>IF(OR($M1777="",$T1777=""),"",$T1777+(Y$2*$M1777))</f>
        <v/>
      </c>
      <c r="Z1777" s="49">
        <f>IF(OR($M1777="",$T1777=""),"",$T1777+(Z$2*$M1777))</f>
        <v/>
      </c>
      <c r="AA1777" s="51">
        <f>IF(OR($M1777="",$T1777=""),"",$T1777+(AA$2*$M1777))</f>
        <v/>
      </c>
      <c r="AB1777" s="48">
        <f>IF(OR($M1777="",$T1777=""),"",$T1777+(AB$2*$M1777))</f>
        <v/>
      </c>
      <c r="AC1777" s="48">
        <f>IF(OR($M1777="",$T1777=""),"",$T1777+(AC$2*$M1777))</f>
        <v/>
      </c>
      <c r="AD1777" s="48">
        <f>IF(OR($M1777="",$T1777=""),"",$T1777+(AD$2*$M1777))</f>
        <v/>
      </c>
      <c r="AE1777" s="49">
        <f>IF(OR($M1777="",$T1777=""),"",$T1777+(AE$2*$M1777))</f>
        <v/>
      </c>
      <c r="AF1777" s="52">
        <f>IF(OR(T1777="",I1777&lt;T1777),"",IFERROR(AVERAGE(T1777+M1777*{7,8,9,10,11})/IF(G1777="",I1777,G1777)-1,""))</f>
        <v/>
      </c>
      <c r="AG1777" s="55">
        <f>IF(OR(T1777="",I1777&lt;T1777),"",IFERROR(AF1777/-(R1777/IF(G1777="",I1777,G1777)-1),""))</f>
        <v/>
      </c>
      <c r="AH1777" s="94" t="n"/>
      <c r="AI1777" s="94" t="n"/>
      <c r="AJ1777" s="94" t="n"/>
      <c r="AK1777" s="94" t="n"/>
      <c r="AL1777" s="84" t="n"/>
    </row>
    <row r="1778">
      <c r="A1778" s="64" t="n"/>
      <c r="B1778" s="65" t="n"/>
      <c r="C1778" s="66" t="n"/>
      <c r="D1778" s="67" t="n"/>
      <c r="E1778" s="68" t="n"/>
      <c r="F1778" s="47">
        <f>IF(A1778="","",IF(MIN(H1778,MAX(J1778:K1778))=0,"",MIN(H1778,MAX(J1778:K1778))))</f>
        <v/>
      </c>
      <c r="G1778" s="74" t="n"/>
      <c r="H1778" s="49">
        <f>IF(M1778="","",IFERROR(ROUND(AVERAGE(T1778+M1778*{7,8,9,10,11})/1.21,4),""))</f>
        <v/>
      </c>
      <c r="I1778" s="76" t="n"/>
      <c r="J1778" s="77" t="n"/>
      <c r="K1778" s="74" t="n"/>
      <c r="L1778" s="78" t="n"/>
      <c r="M1778" s="77" t="n"/>
      <c r="N1778" s="53">
        <f>IF(M1778="","",IFERROR(M1778/I1778,""))</f>
        <v/>
      </c>
      <c r="O1778" s="50">
        <f>IF(A1778="","",IFERROR((IF(G1778="",I1778,G1778)-T1778)/M1778,""))</f>
        <v/>
      </c>
      <c r="P1778" s="50">
        <f>IFERROR((I1778/T1778-1)/N1778,"")</f>
        <v/>
      </c>
      <c r="Q1778" s="46">
        <f>IF(OR(T1778="",I1778&lt;T1778),"",IFERROR(R1778/IF(G1778="",I1778,G1778)-1,""))</f>
        <v/>
      </c>
      <c r="R1778" s="48">
        <f>IF($M1778="","",MAX(IF($G1778="",$I1778,$G1778)*(1/1.1),IF($G1778="",$I1778,$G1778)+(R$2*$M1778)))</f>
        <v/>
      </c>
      <c r="S1778" s="49">
        <f>IF($M1778="","",MAX(IF($G1778="",$I1778,$G1778)*(1/1.1),IF($G1778="",$I1778,$G1778)+(S$2*$M1778)))</f>
        <v/>
      </c>
      <c r="T1778" s="82" t="n"/>
      <c r="U1778" s="47">
        <f>IF(OR($M1778="",$T1778=""),"",$T1778+(U$2*$M1778))</f>
        <v/>
      </c>
      <c r="V1778" s="48">
        <f>IF(OR($M1778="",$T1778=""),"",$T1778+(V$2*$M1778))</f>
        <v/>
      </c>
      <c r="W1778" s="48">
        <f>IF(OR($M1778="",$T1778=""),"",$T1778+(W$2*$M1778))</f>
        <v/>
      </c>
      <c r="X1778" s="49">
        <f>IF(OR($M1778="",$T1778=""),"",$T1778+(X$2*$M1778))</f>
        <v/>
      </c>
      <c r="Y1778" s="47">
        <f>IF(OR($M1778="",$T1778=""),"",$T1778+(Y$2*$M1778))</f>
        <v/>
      </c>
      <c r="Z1778" s="49">
        <f>IF(OR($M1778="",$T1778=""),"",$T1778+(Z$2*$M1778))</f>
        <v/>
      </c>
      <c r="AA1778" s="51">
        <f>IF(OR($M1778="",$T1778=""),"",$T1778+(AA$2*$M1778))</f>
        <v/>
      </c>
      <c r="AB1778" s="48">
        <f>IF(OR($M1778="",$T1778=""),"",$T1778+(AB$2*$M1778))</f>
        <v/>
      </c>
      <c r="AC1778" s="48">
        <f>IF(OR($M1778="",$T1778=""),"",$T1778+(AC$2*$M1778))</f>
        <v/>
      </c>
      <c r="AD1778" s="48">
        <f>IF(OR($M1778="",$T1778=""),"",$T1778+(AD$2*$M1778))</f>
        <v/>
      </c>
      <c r="AE1778" s="49">
        <f>IF(OR($M1778="",$T1778=""),"",$T1778+(AE$2*$M1778))</f>
        <v/>
      </c>
      <c r="AF1778" s="52">
        <f>IF(OR(T1778="",I1778&lt;T1778),"",IFERROR(AVERAGE(T1778+M1778*{7,8,9,10,11})/IF(G1778="",I1778,G1778)-1,""))</f>
        <v/>
      </c>
      <c r="AG1778" s="55">
        <f>IF(OR(T1778="",I1778&lt;T1778),"",IFERROR(AF1778/-(R1778/IF(G1778="",I1778,G1778)-1),""))</f>
        <v/>
      </c>
      <c r="AH1778" s="94" t="n"/>
      <c r="AI1778" s="94" t="n"/>
      <c r="AJ1778" s="94" t="n"/>
      <c r="AK1778" s="94" t="n"/>
      <c r="AL1778" s="84" t="n"/>
    </row>
    <row r="1779">
      <c r="A1779" s="64" t="n"/>
      <c r="B1779" s="65" t="n"/>
      <c r="C1779" s="66" t="n"/>
      <c r="D1779" s="67" t="n"/>
      <c r="E1779" s="68" t="n"/>
      <c r="F1779" s="47">
        <f>IF(A1779="","",IF(MIN(H1779,MAX(J1779:K1779))=0,"",MIN(H1779,MAX(J1779:K1779))))</f>
        <v/>
      </c>
      <c r="G1779" s="74" t="n"/>
      <c r="H1779" s="49">
        <f>IF(M1779="","",IFERROR(ROUND(AVERAGE(T1779+M1779*{7,8,9,10,11})/1.21,4),""))</f>
        <v/>
      </c>
      <c r="I1779" s="76" t="n"/>
      <c r="J1779" s="77" t="n"/>
      <c r="K1779" s="74" t="n"/>
      <c r="L1779" s="78" t="n"/>
      <c r="M1779" s="77" t="n"/>
      <c r="N1779" s="53">
        <f>IF(M1779="","",IFERROR(M1779/I1779,""))</f>
        <v/>
      </c>
      <c r="O1779" s="50">
        <f>IF(A1779="","",IFERROR((IF(G1779="",I1779,G1779)-T1779)/M1779,""))</f>
        <v/>
      </c>
      <c r="P1779" s="50">
        <f>IFERROR((I1779/T1779-1)/N1779,"")</f>
        <v/>
      </c>
      <c r="Q1779" s="46">
        <f>IF(OR(T1779="",I1779&lt;T1779),"",IFERROR(R1779/IF(G1779="",I1779,G1779)-1,""))</f>
        <v/>
      </c>
      <c r="R1779" s="48">
        <f>IF($M1779="","",MAX(IF($G1779="",$I1779,$G1779)*(1/1.1),IF($G1779="",$I1779,$G1779)+(R$2*$M1779)))</f>
        <v/>
      </c>
      <c r="S1779" s="49">
        <f>IF($M1779="","",MAX(IF($G1779="",$I1779,$G1779)*(1/1.1),IF($G1779="",$I1779,$G1779)+(S$2*$M1779)))</f>
        <v/>
      </c>
      <c r="T1779" s="82" t="n"/>
      <c r="U1779" s="47">
        <f>IF(OR($M1779="",$T1779=""),"",$T1779+(U$2*$M1779))</f>
        <v/>
      </c>
      <c r="V1779" s="48">
        <f>IF(OR($M1779="",$T1779=""),"",$T1779+(V$2*$M1779))</f>
        <v/>
      </c>
      <c r="W1779" s="48">
        <f>IF(OR($M1779="",$T1779=""),"",$T1779+(W$2*$M1779))</f>
        <v/>
      </c>
      <c r="X1779" s="49">
        <f>IF(OR($M1779="",$T1779=""),"",$T1779+(X$2*$M1779))</f>
        <v/>
      </c>
      <c r="Y1779" s="47">
        <f>IF(OR($M1779="",$T1779=""),"",$T1779+(Y$2*$M1779))</f>
        <v/>
      </c>
      <c r="Z1779" s="49">
        <f>IF(OR($M1779="",$T1779=""),"",$T1779+(Z$2*$M1779))</f>
        <v/>
      </c>
      <c r="AA1779" s="51">
        <f>IF(OR($M1779="",$T1779=""),"",$T1779+(AA$2*$M1779))</f>
        <v/>
      </c>
      <c r="AB1779" s="48">
        <f>IF(OR($M1779="",$T1779=""),"",$T1779+(AB$2*$M1779))</f>
        <v/>
      </c>
      <c r="AC1779" s="48">
        <f>IF(OR($M1779="",$T1779=""),"",$T1779+(AC$2*$M1779))</f>
        <v/>
      </c>
      <c r="AD1779" s="48">
        <f>IF(OR($M1779="",$T1779=""),"",$T1779+(AD$2*$M1779))</f>
        <v/>
      </c>
      <c r="AE1779" s="49">
        <f>IF(OR($M1779="",$T1779=""),"",$T1779+(AE$2*$M1779))</f>
        <v/>
      </c>
      <c r="AF1779" s="52">
        <f>IF(OR(T1779="",I1779&lt;T1779),"",IFERROR(AVERAGE(T1779+M1779*{7,8,9,10,11})/IF(G1779="",I1779,G1779)-1,""))</f>
        <v/>
      </c>
      <c r="AG1779" s="55">
        <f>IF(OR(T1779="",I1779&lt;T1779),"",IFERROR(AF1779/-(R1779/IF(G1779="",I1779,G1779)-1),""))</f>
        <v/>
      </c>
      <c r="AH1779" s="94" t="n"/>
      <c r="AI1779" s="94" t="n"/>
      <c r="AJ1779" s="94" t="n"/>
      <c r="AK1779" s="94" t="n"/>
      <c r="AL1779" s="84" t="n"/>
    </row>
    <row r="1780">
      <c r="A1780" s="64" t="n"/>
      <c r="B1780" s="65" t="n"/>
      <c r="C1780" s="66" t="n"/>
      <c r="D1780" s="67" t="n"/>
      <c r="E1780" s="68" t="n"/>
      <c r="F1780" s="47">
        <f>IF(A1780="","",IF(MIN(H1780,MAX(J1780:K1780))=0,"",MIN(H1780,MAX(J1780:K1780))))</f>
        <v/>
      </c>
      <c r="G1780" s="74" t="n"/>
      <c r="H1780" s="49">
        <f>IF(M1780="","",IFERROR(ROUND(AVERAGE(T1780+M1780*{7,8,9,10,11})/1.21,4),""))</f>
        <v/>
      </c>
      <c r="I1780" s="76" t="n"/>
      <c r="J1780" s="77" t="n"/>
      <c r="K1780" s="74" t="n"/>
      <c r="L1780" s="78" t="n"/>
      <c r="M1780" s="77" t="n"/>
      <c r="N1780" s="53">
        <f>IF(M1780="","",IFERROR(M1780/I1780,""))</f>
        <v/>
      </c>
      <c r="O1780" s="50">
        <f>IF(A1780="","",IFERROR((IF(G1780="",I1780,G1780)-T1780)/M1780,""))</f>
        <v/>
      </c>
      <c r="P1780" s="50">
        <f>IFERROR((I1780/T1780-1)/N1780,"")</f>
        <v/>
      </c>
      <c r="Q1780" s="46">
        <f>IF(OR(T1780="",I1780&lt;T1780),"",IFERROR(R1780/IF(G1780="",I1780,G1780)-1,""))</f>
        <v/>
      </c>
      <c r="R1780" s="48">
        <f>IF($M1780="","",MAX(IF($G1780="",$I1780,$G1780)*(1/1.1),IF($G1780="",$I1780,$G1780)+(R$2*$M1780)))</f>
        <v/>
      </c>
      <c r="S1780" s="49">
        <f>IF($M1780="","",MAX(IF($G1780="",$I1780,$G1780)*(1/1.1),IF($G1780="",$I1780,$G1780)+(S$2*$M1780)))</f>
        <v/>
      </c>
      <c r="T1780" s="82" t="n"/>
      <c r="U1780" s="47">
        <f>IF(OR($M1780="",$T1780=""),"",$T1780+(U$2*$M1780))</f>
        <v/>
      </c>
      <c r="V1780" s="48">
        <f>IF(OR($M1780="",$T1780=""),"",$T1780+(V$2*$M1780))</f>
        <v/>
      </c>
      <c r="W1780" s="48">
        <f>IF(OR($M1780="",$T1780=""),"",$T1780+(W$2*$M1780))</f>
        <v/>
      </c>
      <c r="X1780" s="49">
        <f>IF(OR($M1780="",$T1780=""),"",$T1780+(X$2*$M1780))</f>
        <v/>
      </c>
      <c r="Y1780" s="47">
        <f>IF(OR($M1780="",$T1780=""),"",$T1780+(Y$2*$M1780))</f>
        <v/>
      </c>
      <c r="Z1780" s="49">
        <f>IF(OR($M1780="",$T1780=""),"",$T1780+(Z$2*$M1780))</f>
        <v/>
      </c>
      <c r="AA1780" s="51">
        <f>IF(OR($M1780="",$T1780=""),"",$T1780+(AA$2*$M1780))</f>
        <v/>
      </c>
      <c r="AB1780" s="48">
        <f>IF(OR($M1780="",$T1780=""),"",$T1780+(AB$2*$M1780))</f>
        <v/>
      </c>
      <c r="AC1780" s="48">
        <f>IF(OR($M1780="",$T1780=""),"",$T1780+(AC$2*$M1780))</f>
        <v/>
      </c>
      <c r="AD1780" s="48">
        <f>IF(OR($M1780="",$T1780=""),"",$T1780+(AD$2*$M1780))</f>
        <v/>
      </c>
      <c r="AE1780" s="49">
        <f>IF(OR($M1780="",$T1780=""),"",$T1780+(AE$2*$M1780))</f>
        <v/>
      </c>
      <c r="AF1780" s="52">
        <f>IF(OR(T1780="",I1780&lt;T1780),"",IFERROR(AVERAGE(T1780+M1780*{7,8,9,10,11})/IF(G1780="",I1780,G1780)-1,""))</f>
        <v/>
      </c>
      <c r="AG1780" s="55">
        <f>IF(OR(T1780="",I1780&lt;T1780),"",IFERROR(AF1780/-(R1780/IF(G1780="",I1780,G1780)-1),""))</f>
        <v/>
      </c>
      <c r="AH1780" s="94" t="n"/>
      <c r="AI1780" s="94" t="n"/>
      <c r="AJ1780" s="94" t="n"/>
      <c r="AK1780" s="94" t="n"/>
      <c r="AL1780" s="84" t="n"/>
    </row>
    <row r="1781">
      <c r="A1781" s="64" t="n"/>
      <c r="B1781" s="65" t="n"/>
      <c r="C1781" s="66" t="n"/>
      <c r="D1781" s="67" t="n"/>
      <c r="E1781" s="68" t="n"/>
      <c r="F1781" s="47">
        <f>IF(A1781="","",IF(MIN(H1781,MAX(J1781:K1781))=0,"",MIN(H1781,MAX(J1781:K1781))))</f>
        <v/>
      </c>
      <c r="G1781" s="74" t="n"/>
      <c r="H1781" s="49">
        <f>IF(M1781="","",IFERROR(ROUND(AVERAGE(T1781+M1781*{7,8,9,10,11})/1.21,4),""))</f>
        <v/>
      </c>
      <c r="I1781" s="76" t="n"/>
      <c r="J1781" s="77" t="n"/>
      <c r="K1781" s="74" t="n"/>
      <c r="L1781" s="78" t="n"/>
      <c r="M1781" s="77" t="n"/>
      <c r="N1781" s="53">
        <f>IF(M1781="","",IFERROR(M1781/I1781,""))</f>
        <v/>
      </c>
      <c r="O1781" s="50">
        <f>IF(A1781="","",IFERROR((IF(G1781="",I1781,G1781)-T1781)/M1781,""))</f>
        <v/>
      </c>
      <c r="P1781" s="50">
        <f>IFERROR((I1781/T1781-1)/N1781,"")</f>
        <v/>
      </c>
      <c r="Q1781" s="46">
        <f>IF(OR(T1781="",I1781&lt;T1781),"",IFERROR(R1781/IF(G1781="",I1781,G1781)-1,""))</f>
        <v/>
      </c>
      <c r="R1781" s="48">
        <f>IF($M1781="","",MAX(IF($G1781="",$I1781,$G1781)*(1/1.1),IF($G1781="",$I1781,$G1781)+(R$2*$M1781)))</f>
        <v/>
      </c>
      <c r="S1781" s="49">
        <f>IF($M1781="","",MAX(IF($G1781="",$I1781,$G1781)*(1/1.1),IF($G1781="",$I1781,$G1781)+(S$2*$M1781)))</f>
        <v/>
      </c>
      <c r="T1781" s="82" t="n"/>
      <c r="U1781" s="47">
        <f>IF(OR($M1781="",$T1781=""),"",$T1781+(U$2*$M1781))</f>
        <v/>
      </c>
      <c r="V1781" s="48">
        <f>IF(OR($M1781="",$T1781=""),"",$T1781+(V$2*$M1781))</f>
        <v/>
      </c>
      <c r="W1781" s="48">
        <f>IF(OR($M1781="",$T1781=""),"",$T1781+(W$2*$M1781))</f>
        <v/>
      </c>
      <c r="X1781" s="49">
        <f>IF(OR($M1781="",$T1781=""),"",$T1781+(X$2*$M1781))</f>
        <v/>
      </c>
      <c r="Y1781" s="47">
        <f>IF(OR($M1781="",$T1781=""),"",$T1781+(Y$2*$M1781))</f>
        <v/>
      </c>
      <c r="Z1781" s="49">
        <f>IF(OR($M1781="",$T1781=""),"",$T1781+(Z$2*$M1781))</f>
        <v/>
      </c>
      <c r="AA1781" s="51">
        <f>IF(OR($M1781="",$T1781=""),"",$T1781+(AA$2*$M1781))</f>
        <v/>
      </c>
      <c r="AB1781" s="48">
        <f>IF(OR($M1781="",$T1781=""),"",$T1781+(AB$2*$M1781))</f>
        <v/>
      </c>
      <c r="AC1781" s="48">
        <f>IF(OR($M1781="",$T1781=""),"",$T1781+(AC$2*$M1781))</f>
        <v/>
      </c>
      <c r="AD1781" s="48">
        <f>IF(OR($M1781="",$T1781=""),"",$T1781+(AD$2*$M1781))</f>
        <v/>
      </c>
      <c r="AE1781" s="49">
        <f>IF(OR($M1781="",$T1781=""),"",$T1781+(AE$2*$M1781))</f>
        <v/>
      </c>
      <c r="AF1781" s="52">
        <f>IF(OR(T1781="",I1781&lt;T1781),"",IFERROR(AVERAGE(T1781+M1781*{7,8,9,10,11})/IF(G1781="",I1781,G1781)-1,""))</f>
        <v/>
      </c>
      <c r="AG1781" s="55">
        <f>IF(OR(T1781="",I1781&lt;T1781),"",IFERROR(AF1781/-(R1781/IF(G1781="",I1781,G1781)-1),""))</f>
        <v/>
      </c>
      <c r="AH1781" s="94" t="n"/>
      <c r="AI1781" s="94" t="n"/>
      <c r="AJ1781" s="94" t="n"/>
      <c r="AK1781" s="94" t="n"/>
      <c r="AL1781" s="84" t="n"/>
    </row>
    <row r="1782">
      <c r="A1782" s="64" t="n"/>
      <c r="B1782" s="65" t="n"/>
      <c r="C1782" s="66" t="n"/>
      <c r="D1782" s="67" t="n"/>
      <c r="E1782" s="68" t="n"/>
      <c r="F1782" s="47">
        <f>IF(A1782="","",IF(MIN(H1782,MAX(J1782:K1782))=0,"",MIN(H1782,MAX(J1782:K1782))))</f>
        <v/>
      </c>
      <c r="G1782" s="74" t="n"/>
      <c r="H1782" s="49">
        <f>IF(M1782="","",IFERROR(ROUND(AVERAGE(T1782+M1782*{7,8,9,10,11})/1.21,4),""))</f>
        <v/>
      </c>
      <c r="I1782" s="76" t="n"/>
      <c r="J1782" s="77" t="n"/>
      <c r="K1782" s="74" t="n"/>
      <c r="L1782" s="78" t="n"/>
      <c r="M1782" s="77" t="n"/>
      <c r="N1782" s="53">
        <f>IF(M1782="","",IFERROR(M1782/I1782,""))</f>
        <v/>
      </c>
      <c r="O1782" s="50">
        <f>IF(A1782="","",IFERROR((IF(G1782="",I1782,G1782)-T1782)/M1782,""))</f>
        <v/>
      </c>
      <c r="P1782" s="50">
        <f>IFERROR((I1782/T1782-1)/N1782,"")</f>
        <v/>
      </c>
      <c r="Q1782" s="46">
        <f>IF(OR(T1782="",I1782&lt;T1782),"",IFERROR(R1782/IF(G1782="",I1782,G1782)-1,""))</f>
        <v/>
      </c>
      <c r="R1782" s="48">
        <f>IF($M1782="","",MAX(IF($G1782="",$I1782,$G1782)*(1/1.1),IF($G1782="",$I1782,$G1782)+(R$2*$M1782)))</f>
        <v/>
      </c>
      <c r="S1782" s="49">
        <f>IF($M1782="","",MAX(IF($G1782="",$I1782,$G1782)*(1/1.1),IF($G1782="",$I1782,$G1782)+(S$2*$M1782)))</f>
        <v/>
      </c>
      <c r="T1782" s="82" t="n"/>
      <c r="U1782" s="47">
        <f>IF(OR($M1782="",$T1782=""),"",$T1782+(U$2*$M1782))</f>
        <v/>
      </c>
      <c r="V1782" s="48">
        <f>IF(OR($M1782="",$T1782=""),"",$T1782+(V$2*$M1782))</f>
        <v/>
      </c>
      <c r="W1782" s="48">
        <f>IF(OR($M1782="",$T1782=""),"",$T1782+(W$2*$M1782))</f>
        <v/>
      </c>
      <c r="X1782" s="49">
        <f>IF(OR($M1782="",$T1782=""),"",$T1782+(X$2*$M1782))</f>
        <v/>
      </c>
      <c r="Y1782" s="47">
        <f>IF(OR($M1782="",$T1782=""),"",$T1782+(Y$2*$M1782))</f>
        <v/>
      </c>
      <c r="Z1782" s="49">
        <f>IF(OR($M1782="",$T1782=""),"",$T1782+(Z$2*$M1782))</f>
        <v/>
      </c>
      <c r="AA1782" s="51">
        <f>IF(OR($M1782="",$T1782=""),"",$T1782+(AA$2*$M1782))</f>
        <v/>
      </c>
      <c r="AB1782" s="48">
        <f>IF(OR($M1782="",$T1782=""),"",$T1782+(AB$2*$M1782))</f>
        <v/>
      </c>
      <c r="AC1782" s="48">
        <f>IF(OR($M1782="",$T1782=""),"",$T1782+(AC$2*$M1782))</f>
        <v/>
      </c>
      <c r="AD1782" s="48">
        <f>IF(OR($M1782="",$T1782=""),"",$T1782+(AD$2*$M1782))</f>
        <v/>
      </c>
      <c r="AE1782" s="49">
        <f>IF(OR($M1782="",$T1782=""),"",$T1782+(AE$2*$M1782))</f>
        <v/>
      </c>
      <c r="AF1782" s="52">
        <f>IF(OR(T1782="",I1782&lt;T1782),"",IFERROR(AVERAGE(T1782+M1782*{7,8,9,10,11})/IF(G1782="",I1782,G1782)-1,""))</f>
        <v/>
      </c>
      <c r="AG1782" s="55">
        <f>IF(OR(T1782="",I1782&lt;T1782),"",IFERROR(AF1782/-(R1782/IF(G1782="",I1782,G1782)-1),""))</f>
        <v/>
      </c>
      <c r="AH1782" s="94" t="n"/>
      <c r="AI1782" s="94" t="n"/>
      <c r="AJ1782" s="94" t="n"/>
      <c r="AK1782" s="94" t="n"/>
      <c r="AL1782" s="84" t="n"/>
    </row>
    <row r="1783">
      <c r="A1783" s="64" t="n"/>
      <c r="B1783" s="65" t="n"/>
      <c r="C1783" s="66" t="n"/>
      <c r="D1783" s="67" t="n"/>
      <c r="E1783" s="68" t="n"/>
      <c r="F1783" s="47">
        <f>IF(A1783="","",IF(MIN(H1783,MAX(J1783:K1783))=0,"",MIN(H1783,MAX(J1783:K1783))))</f>
        <v/>
      </c>
      <c r="G1783" s="74" t="n"/>
      <c r="H1783" s="49">
        <f>IF(M1783="","",IFERROR(ROUND(AVERAGE(T1783+M1783*{7,8,9,10,11})/1.21,4),""))</f>
        <v/>
      </c>
      <c r="I1783" s="76" t="n"/>
      <c r="J1783" s="77" t="n"/>
      <c r="K1783" s="74" t="n"/>
      <c r="L1783" s="78" t="n"/>
      <c r="M1783" s="77" t="n"/>
      <c r="N1783" s="53">
        <f>IF(M1783="","",IFERROR(M1783/I1783,""))</f>
        <v/>
      </c>
      <c r="O1783" s="50">
        <f>IF(A1783="","",IFERROR((IF(G1783="",I1783,G1783)-T1783)/M1783,""))</f>
        <v/>
      </c>
      <c r="P1783" s="50">
        <f>IFERROR((I1783/T1783-1)/N1783,"")</f>
        <v/>
      </c>
      <c r="Q1783" s="46">
        <f>IF(OR(T1783="",I1783&lt;T1783),"",IFERROR(R1783/IF(G1783="",I1783,G1783)-1,""))</f>
        <v/>
      </c>
      <c r="R1783" s="48">
        <f>IF($M1783="","",MAX(IF($G1783="",$I1783,$G1783)*(1/1.1),IF($G1783="",$I1783,$G1783)+(R$2*$M1783)))</f>
        <v/>
      </c>
      <c r="S1783" s="49">
        <f>IF($M1783="","",MAX(IF($G1783="",$I1783,$G1783)*(1/1.1),IF($G1783="",$I1783,$G1783)+(S$2*$M1783)))</f>
        <v/>
      </c>
      <c r="T1783" s="82" t="n"/>
      <c r="U1783" s="47">
        <f>IF(OR($M1783="",$T1783=""),"",$T1783+(U$2*$M1783))</f>
        <v/>
      </c>
      <c r="V1783" s="48">
        <f>IF(OR($M1783="",$T1783=""),"",$T1783+(V$2*$M1783))</f>
        <v/>
      </c>
      <c r="W1783" s="48">
        <f>IF(OR($M1783="",$T1783=""),"",$T1783+(W$2*$M1783))</f>
        <v/>
      </c>
      <c r="X1783" s="49">
        <f>IF(OR($M1783="",$T1783=""),"",$T1783+(X$2*$M1783))</f>
        <v/>
      </c>
      <c r="Y1783" s="47">
        <f>IF(OR($M1783="",$T1783=""),"",$T1783+(Y$2*$M1783))</f>
        <v/>
      </c>
      <c r="Z1783" s="49">
        <f>IF(OR($M1783="",$T1783=""),"",$T1783+(Z$2*$M1783))</f>
        <v/>
      </c>
      <c r="AA1783" s="51">
        <f>IF(OR($M1783="",$T1783=""),"",$T1783+(AA$2*$M1783))</f>
        <v/>
      </c>
      <c r="AB1783" s="48">
        <f>IF(OR($M1783="",$T1783=""),"",$T1783+(AB$2*$M1783))</f>
        <v/>
      </c>
      <c r="AC1783" s="48">
        <f>IF(OR($M1783="",$T1783=""),"",$T1783+(AC$2*$M1783))</f>
        <v/>
      </c>
      <c r="AD1783" s="48">
        <f>IF(OR($M1783="",$T1783=""),"",$T1783+(AD$2*$M1783))</f>
        <v/>
      </c>
      <c r="AE1783" s="49">
        <f>IF(OR($M1783="",$T1783=""),"",$T1783+(AE$2*$M1783))</f>
        <v/>
      </c>
      <c r="AF1783" s="52">
        <f>IF(OR(T1783="",I1783&lt;T1783),"",IFERROR(AVERAGE(T1783+M1783*{7,8,9,10,11})/IF(G1783="",I1783,G1783)-1,""))</f>
        <v/>
      </c>
      <c r="AG1783" s="55">
        <f>IF(OR(T1783="",I1783&lt;T1783),"",IFERROR(AF1783/-(R1783/IF(G1783="",I1783,G1783)-1),""))</f>
        <v/>
      </c>
      <c r="AH1783" s="94" t="n"/>
      <c r="AI1783" s="94" t="n"/>
      <c r="AJ1783" s="94" t="n"/>
      <c r="AK1783" s="94" t="n"/>
      <c r="AL1783" s="84" t="n"/>
    </row>
    <row r="1784">
      <c r="A1784" s="64" t="n"/>
      <c r="B1784" s="65" t="n"/>
      <c r="C1784" s="66" t="n"/>
      <c r="D1784" s="67" t="n"/>
      <c r="E1784" s="68" t="n"/>
      <c r="F1784" s="47">
        <f>IF(A1784="","",IF(MIN(H1784,MAX(J1784:K1784))=0,"",MIN(H1784,MAX(J1784:K1784))))</f>
        <v/>
      </c>
      <c r="G1784" s="74" t="n"/>
      <c r="H1784" s="49">
        <f>IF(M1784="","",IFERROR(ROUND(AVERAGE(T1784+M1784*{7,8,9,10,11})/1.21,4),""))</f>
        <v/>
      </c>
      <c r="I1784" s="76" t="n"/>
      <c r="J1784" s="77" t="n"/>
      <c r="K1784" s="74" t="n"/>
      <c r="L1784" s="78" t="n"/>
      <c r="M1784" s="77" t="n"/>
      <c r="N1784" s="53">
        <f>IF(M1784="","",IFERROR(M1784/I1784,""))</f>
        <v/>
      </c>
      <c r="O1784" s="50">
        <f>IF(A1784="","",IFERROR((IF(G1784="",I1784,G1784)-T1784)/M1784,""))</f>
        <v/>
      </c>
      <c r="P1784" s="50">
        <f>IFERROR((I1784/T1784-1)/N1784,"")</f>
        <v/>
      </c>
      <c r="Q1784" s="46">
        <f>IF(OR(T1784="",I1784&lt;T1784),"",IFERROR(R1784/IF(G1784="",I1784,G1784)-1,""))</f>
        <v/>
      </c>
      <c r="R1784" s="48">
        <f>IF($M1784="","",MAX(IF($G1784="",$I1784,$G1784)*(1/1.1),IF($G1784="",$I1784,$G1784)+(R$2*$M1784)))</f>
        <v/>
      </c>
      <c r="S1784" s="49">
        <f>IF($M1784="","",MAX(IF($G1784="",$I1784,$G1784)*(1/1.1),IF($G1784="",$I1784,$G1784)+(S$2*$M1784)))</f>
        <v/>
      </c>
      <c r="T1784" s="82" t="n"/>
      <c r="U1784" s="47">
        <f>IF(OR($M1784="",$T1784=""),"",$T1784+(U$2*$M1784))</f>
        <v/>
      </c>
      <c r="V1784" s="48">
        <f>IF(OR($M1784="",$T1784=""),"",$T1784+(V$2*$M1784))</f>
        <v/>
      </c>
      <c r="W1784" s="48">
        <f>IF(OR($M1784="",$T1784=""),"",$T1784+(W$2*$M1784))</f>
        <v/>
      </c>
      <c r="X1784" s="49">
        <f>IF(OR($M1784="",$T1784=""),"",$T1784+(X$2*$M1784))</f>
        <v/>
      </c>
      <c r="Y1784" s="47">
        <f>IF(OR($M1784="",$T1784=""),"",$T1784+(Y$2*$M1784))</f>
        <v/>
      </c>
      <c r="Z1784" s="49">
        <f>IF(OR($M1784="",$T1784=""),"",$T1784+(Z$2*$M1784))</f>
        <v/>
      </c>
      <c r="AA1784" s="51">
        <f>IF(OR($M1784="",$T1784=""),"",$T1784+(AA$2*$M1784))</f>
        <v/>
      </c>
      <c r="AB1784" s="48">
        <f>IF(OR($M1784="",$T1784=""),"",$T1784+(AB$2*$M1784))</f>
        <v/>
      </c>
      <c r="AC1784" s="48">
        <f>IF(OR($M1784="",$T1784=""),"",$T1784+(AC$2*$M1784))</f>
        <v/>
      </c>
      <c r="AD1784" s="48">
        <f>IF(OR($M1784="",$T1784=""),"",$T1784+(AD$2*$M1784))</f>
        <v/>
      </c>
      <c r="AE1784" s="49">
        <f>IF(OR($M1784="",$T1784=""),"",$T1784+(AE$2*$M1784))</f>
        <v/>
      </c>
      <c r="AF1784" s="52">
        <f>IF(OR(T1784="",I1784&lt;T1784),"",IFERROR(AVERAGE(T1784+M1784*{7,8,9,10,11})/IF(G1784="",I1784,G1784)-1,""))</f>
        <v/>
      </c>
      <c r="AG1784" s="55">
        <f>IF(OR(T1784="",I1784&lt;T1784),"",IFERROR(AF1784/-(R1784/IF(G1784="",I1784,G1784)-1),""))</f>
        <v/>
      </c>
      <c r="AH1784" s="94" t="n"/>
      <c r="AI1784" s="94" t="n"/>
      <c r="AJ1784" s="94" t="n"/>
      <c r="AK1784" s="94" t="n"/>
      <c r="AL1784" s="84" t="n"/>
    </row>
    <row r="1785">
      <c r="A1785" s="64" t="n"/>
      <c r="B1785" s="65" t="n"/>
      <c r="C1785" s="66" t="n"/>
      <c r="D1785" s="67" t="n"/>
      <c r="E1785" s="68" t="n"/>
      <c r="F1785" s="47">
        <f>IF(A1785="","",IF(MIN(H1785,MAX(J1785:K1785))=0,"",MIN(H1785,MAX(J1785:K1785))))</f>
        <v/>
      </c>
      <c r="G1785" s="74" t="n"/>
      <c r="H1785" s="49">
        <f>IF(M1785="","",IFERROR(ROUND(AVERAGE(T1785+M1785*{7,8,9,10,11})/1.21,4),""))</f>
        <v/>
      </c>
      <c r="I1785" s="76" t="n"/>
      <c r="J1785" s="77" t="n"/>
      <c r="K1785" s="74" t="n"/>
      <c r="L1785" s="78" t="n"/>
      <c r="M1785" s="77" t="n"/>
      <c r="N1785" s="53">
        <f>IF(M1785="","",IFERROR(M1785/I1785,""))</f>
        <v/>
      </c>
      <c r="O1785" s="50">
        <f>IF(A1785="","",IFERROR((IF(G1785="",I1785,G1785)-T1785)/M1785,""))</f>
        <v/>
      </c>
      <c r="P1785" s="50">
        <f>IFERROR((I1785/T1785-1)/N1785,"")</f>
        <v/>
      </c>
      <c r="Q1785" s="46">
        <f>IF(OR(T1785="",I1785&lt;T1785),"",IFERROR(R1785/IF(G1785="",I1785,G1785)-1,""))</f>
        <v/>
      </c>
      <c r="R1785" s="48">
        <f>IF($M1785="","",MAX(IF($G1785="",$I1785,$G1785)*(1/1.1),IF($G1785="",$I1785,$G1785)+(R$2*$M1785)))</f>
        <v/>
      </c>
      <c r="S1785" s="49">
        <f>IF($M1785="","",MAX(IF($G1785="",$I1785,$G1785)*(1/1.1),IF($G1785="",$I1785,$G1785)+(S$2*$M1785)))</f>
        <v/>
      </c>
      <c r="T1785" s="82" t="n"/>
      <c r="U1785" s="47">
        <f>IF(OR($M1785="",$T1785=""),"",$T1785+(U$2*$M1785))</f>
        <v/>
      </c>
      <c r="V1785" s="48">
        <f>IF(OR($M1785="",$T1785=""),"",$T1785+(V$2*$M1785))</f>
        <v/>
      </c>
      <c r="W1785" s="48">
        <f>IF(OR($M1785="",$T1785=""),"",$T1785+(W$2*$M1785))</f>
        <v/>
      </c>
      <c r="X1785" s="49">
        <f>IF(OR($M1785="",$T1785=""),"",$T1785+(X$2*$M1785))</f>
        <v/>
      </c>
      <c r="Y1785" s="47">
        <f>IF(OR($M1785="",$T1785=""),"",$T1785+(Y$2*$M1785))</f>
        <v/>
      </c>
      <c r="Z1785" s="49">
        <f>IF(OR($M1785="",$T1785=""),"",$T1785+(Z$2*$M1785))</f>
        <v/>
      </c>
      <c r="AA1785" s="51">
        <f>IF(OR($M1785="",$T1785=""),"",$T1785+(AA$2*$M1785))</f>
        <v/>
      </c>
      <c r="AB1785" s="48">
        <f>IF(OR($M1785="",$T1785=""),"",$T1785+(AB$2*$M1785))</f>
        <v/>
      </c>
      <c r="AC1785" s="48">
        <f>IF(OR($M1785="",$T1785=""),"",$T1785+(AC$2*$M1785))</f>
        <v/>
      </c>
      <c r="AD1785" s="48">
        <f>IF(OR($M1785="",$T1785=""),"",$T1785+(AD$2*$M1785))</f>
        <v/>
      </c>
      <c r="AE1785" s="49">
        <f>IF(OR($M1785="",$T1785=""),"",$T1785+(AE$2*$M1785))</f>
        <v/>
      </c>
      <c r="AF1785" s="52">
        <f>IF(OR(T1785="",I1785&lt;T1785),"",IFERROR(AVERAGE(T1785+M1785*{7,8,9,10,11})/IF(G1785="",I1785,G1785)-1,""))</f>
        <v/>
      </c>
      <c r="AG1785" s="55">
        <f>IF(OR(T1785="",I1785&lt;T1785),"",IFERROR(AF1785/-(R1785/IF(G1785="",I1785,G1785)-1),""))</f>
        <v/>
      </c>
      <c r="AH1785" s="94" t="n"/>
      <c r="AI1785" s="94" t="n"/>
      <c r="AJ1785" s="94" t="n"/>
      <c r="AK1785" s="94" t="n"/>
      <c r="AL1785" s="84" t="n"/>
    </row>
    <row r="1786">
      <c r="A1786" s="64" t="n"/>
      <c r="B1786" s="65" t="n"/>
      <c r="C1786" s="66" t="n"/>
      <c r="D1786" s="67" t="n"/>
      <c r="E1786" s="68" t="n"/>
      <c r="F1786" s="47">
        <f>IF(A1786="","",IF(MIN(H1786,MAX(J1786:K1786))=0,"",MIN(H1786,MAX(J1786:K1786))))</f>
        <v/>
      </c>
      <c r="G1786" s="74" t="n"/>
      <c r="H1786" s="49">
        <f>IF(M1786="","",IFERROR(ROUND(AVERAGE(T1786+M1786*{7,8,9,10,11})/1.21,4),""))</f>
        <v/>
      </c>
      <c r="I1786" s="76" t="n"/>
      <c r="J1786" s="77" t="n"/>
      <c r="K1786" s="74" t="n"/>
      <c r="L1786" s="78" t="n"/>
      <c r="M1786" s="77" t="n"/>
      <c r="N1786" s="53">
        <f>IF(M1786="","",IFERROR(M1786/I1786,""))</f>
        <v/>
      </c>
      <c r="O1786" s="50">
        <f>IF(A1786="","",IFERROR((IF(G1786="",I1786,G1786)-T1786)/M1786,""))</f>
        <v/>
      </c>
      <c r="P1786" s="50">
        <f>IFERROR((I1786/T1786-1)/N1786,"")</f>
        <v/>
      </c>
      <c r="Q1786" s="46">
        <f>IF(OR(T1786="",I1786&lt;T1786),"",IFERROR(R1786/IF(G1786="",I1786,G1786)-1,""))</f>
        <v/>
      </c>
      <c r="R1786" s="48">
        <f>IF($M1786="","",MAX(IF($G1786="",$I1786,$G1786)*(1/1.1),IF($G1786="",$I1786,$G1786)+(R$2*$M1786)))</f>
        <v/>
      </c>
      <c r="S1786" s="49">
        <f>IF($M1786="","",MAX(IF($G1786="",$I1786,$G1786)*(1/1.1),IF($G1786="",$I1786,$G1786)+(S$2*$M1786)))</f>
        <v/>
      </c>
      <c r="T1786" s="82" t="n"/>
      <c r="U1786" s="47">
        <f>IF(OR($M1786="",$T1786=""),"",$T1786+(U$2*$M1786))</f>
        <v/>
      </c>
      <c r="V1786" s="48">
        <f>IF(OR($M1786="",$T1786=""),"",$T1786+(V$2*$M1786))</f>
        <v/>
      </c>
      <c r="W1786" s="48">
        <f>IF(OR($M1786="",$T1786=""),"",$T1786+(W$2*$M1786))</f>
        <v/>
      </c>
      <c r="X1786" s="49">
        <f>IF(OR($M1786="",$T1786=""),"",$T1786+(X$2*$M1786))</f>
        <v/>
      </c>
      <c r="Y1786" s="47">
        <f>IF(OR($M1786="",$T1786=""),"",$T1786+(Y$2*$M1786))</f>
        <v/>
      </c>
      <c r="Z1786" s="49">
        <f>IF(OR($M1786="",$T1786=""),"",$T1786+(Z$2*$M1786))</f>
        <v/>
      </c>
      <c r="AA1786" s="51">
        <f>IF(OR($M1786="",$T1786=""),"",$T1786+(AA$2*$M1786))</f>
        <v/>
      </c>
      <c r="AB1786" s="48">
        <f>IF(OR($M1786="",$T1786=""),"",$T1786+(AB$2*$M1786))</f>
        <v/>
      </c>
      <c r="AC1786" s="48">
        <f>IF(OR($M1786="",$T1786=""),"",$T1786+(AC$2*$M1786))</f>
        <v/>
      </c>
      <c r="AD1786" s="48">
        <f>IF(OR($M1786="",$T1786=""),"",$T1786+(AD$2*$M1786))</f>
        <v/>
      </c>
      <c r="AE1786" s="49">
        <f>IF(OR($M1786="",$T1786=""),"",$T1786+(AE$2*$M1786))</f>
        <v/>
      </c>
      <c r="AF1786" s="52">
        <f>IF(OR(T1786="",I1786&lt;T1786),"",IFERROR(AVERAGE(T1786+M1786*{7,8,9,10,11})/IF(G1786="",I1786,G1786)-1,""))</f>
        <v/>
      </c>
      <c r="AG1786" s="55">
        <f>IF(OR(T1786="",I1786&lt;T1786),"",IFERROR(AF1786/-(R1786/IF(G1786="",I1786,G1786)-1),""))</f>
        <v/>
      </c>
      <c r="AH1786" s="94" t="n"/>
      <c r="AI1786" s="94" t="n"/>
      <c r="AJ1786" s="94" t="n"/>
      <c r="AK1786" s="94" t="n"/>
      <c r="AL1786" s="84" t="n"/>
    </row>
    <row r="1787">
      <c r="A1787" s="64" t="n"/>
      <c r="B1787" s="65" t="n"/>
      <c r="C1787" s="66" t="n"/>
      <c r="D1787" s="67" t="n"/>
      <c r="E1787" s="68" t="n"/>
      <c r="F1787" s="47">
        <f>IF(A1787="","",IF(MIN(H1787,MAX(J1787:K1787))=0,"",MIN(H1787,MAX(J1787:K1787))))</f>
        <v/>
      </c>
      <c r="G1787" s="74" t="n"/>
      <c r="H1787" s="49">
        <f>IF(M1787="","",IFERROR(ROUND(AVERAGE(T1787+M1787*{7,8,9,10,11})/1.21,4),""))</f>
        <v/>
      </c>
      <c r="I1787" s="76" t="n"/>
      <c r="J1787" s="77" t="n"/>
      <c r="K1787" s="74" t="n"/>
      <c r="L1787" s="78" t="n"/>
      <c r="M1787" s="77" t="n"/>
      <c r="N1787" s="53">
        <f>IF(M1787="","",IFERROR(M1787/I1787,""))</f>
        <v/>
      </c>
      <c r="O1787" s="50">
        <f>IF(A1787="","",IFERROR((IF(G1787="",I1787,G1787)-T1787)/M1787,""))</f>
        <v/>
      </c>
      <c r="P1787" s="50">
        <f>IFERROR((I1787/T1787-1)/N1787,"")</f>
        <v/>
      </c>
      <c r="Q1787" s="46">
        <f>IF(OR(T1787="",I1787&lt;T1787),"",IFERROR(R1787/IF(G1787="",I1787,G1787)-1,""))</f>
        <v/>
      </c>
      <c r="R1787" s="48">
        <f>IF($M1787="","",MAX(IF($G1787="",$I1787,$G1787)*(1/1.1),IF($G1787="",$I1787,$G1787)+(R$2*$M1787)))</f>
        <v/>
      </c>
      <c r="S1787" s="49">
        <f>IF($M1787="","",MAX(IF($G1787="",$I1787,$G1787)*(1/1.1),IF($G1787="",$I1787,$G1787)+(S$2*$M1787)))</f>
        <v/>
      </c>
      <c r="T1787" s="82" t="n"/>
      <c r="U1787" s="47">
        <f>IF(OR($M1787="",$T1787=""),"",$T1787+(U$2*$M1787))</f>
        <v/>
      </c>
      <c r="V1787" s="48">
        <f>IF(OR($M1787="",$T1787=""),"",$T1787+(V$2*$M1787))</f>
        <v/>
      </c>
      <c r="W1787" s="48">
        <f>IF(OR($M1787="",$T1787=""),"",$T1787+(W$2*$M1787))</f>
        <v/>
      </c>
      <c r="X1787" s="49">
        <f>IF(OR($M1787="",$T1787=""),"",$T1787+(X$2*$M1787))</f>
        <v/>
      </c>
      <c r="Y1787" s="47">
        <f>IF(OR($M1787="",$T1787=""),"",$T1787+(Y$2*$M1787))</f>
        <v/>
      </c>
      <c r="Z1787" s="49">
        <f>IF(OR($M1787="",$T1787=""),"",$T1787+(Z$2*$M1787))</f>
        <v/>
      </c>
      <c r="AA1787" s="51">
        <f>IF(OR($M1787="",$T1787=""),"",$T1787+(AA$2*$M1787))</f>
        <v/>
      </c>
      <c r="AB1787" s="48">
        <f>IF(OR($M1787="",$T1787=""),"",$T1787+(AB$2*$M1787))</f>
        <v/>
      </c>
      <c r="AC1787" s="48">
        <f>IF(OR($M1787="",$T1787=""),"",$T1787+(AC$2*$M1787))</f>
        <v/>
      </c>
      <c r="AD1787" s="48">
        <f>IF(OR($M1787="",$T1787=""),"",$T1787+(AD$2*$M1787))</f>
        <v/>
      </c>
      <c r="AE1787" s="49">
        <f>IF(OR($M1787="",$T1787=""),"",$T1787+(AE$2*$M1787))</f>
        <v/>
      </c>
      <c r="AF1787" s="52">
        <f>IF(OR(T1787="",I1787&lt;T1787),"",IFERROR(AVERAGE(T1787+M1787*{7,8,9,10,11})/IF(G1787="",I1787,G1787)-1,""))</f>
        <v/>
      </c>
      <c r="AG1787" s="55">
        <f>IF(OR(T1787="",I1787&lt;T1787),"",IFERROR(AF1787/-(R1787/IF(G1787="",I1787,G1787)-1),""))</f>
        <v/>
      </c>
      <c r="AH1787" s="94" t="n"/>
      <c r="AI1787" s="94" t="n"/>
      <c r="AJ1787" s="94" t="n"/>
      <c r="AK1787" s="94" t="n"/>
      <c r="AL1787" s="84" t="n"/>
    </row>
    <row r="1788">
      <c r="A1788" s="64" t="n"/>
      <c r="B1788" s="65" t="n"/>
      <c r="C1788" s="66" t="n"/>
      <c r="D1788" s="67" t="n"/>
      <c r="E1788" s="68" t="n"/>
      <c r="F1788" s="47">
        <f>IF(A1788="","",IF(MIN(H1788,MAX(J1788:K1788))=0,"",MIN(H1788,MAX(J1788:K1788))))</f>
        <v/>
      </c>
      <c r="G1788" s="74" t="n"/>
      <c r="H1788" s="49">
        <f>IF(M1788="","",IFERROR(ROUND(AVERAGE(T1788+M1788*{7,8,9,10,11})/1.21,4),""))</f>
        <v/>
      </c>
      <c r="I1788" s="76" t="n"/>
      <c r="J1788" s="77" t="n"/>
      <c r="K1788" s="74" t="n"/>
      <c r="L1788" s="78" t="n"/>
      <c r="M1788" s="77" t="n"/>
      <c r="N1788" s="53">
        <f>IF(M1788="","",IFERROR(M1788/I1788,""))</f>
        <v/>
      </c>
      <c r="O1788" s="50">
        <f>IF(A1788="","",IFERROR((IF(G1788="",I1788,G1788)-T1788)/M1788,""))</f>
        <v/>
      </c>
      <c r="P1788" s="50">
        <f>IFERROR((I1788/T1788-1)/N1788,"")</f>
        <v/>
      </c>
      <c r="Q1788" s="46">
        <f>IF(OR(T1788="",I1788&lt;T1788),"",IFERROR(R1788/IF(G1788="",I1788,G1788)-1,""))</f>
        <v/>
      </c>
      <c r="R1788" s="48">
        <f>IF($M1788="","",MAX(IF($G1788="",$I1788,$G1788)*(1/1.1),IF($G1788="",$I1788,$G1788)+(R$2*$M1788)))</f>
        <v/>
      </c>
      <c r="S1788" s="49">
        <f>IF($M1788="","",MAX(IF($G1788="",$I1788,$G1788)*(1/1.1),IF($G1788="",$I1788,$G1788)+(S$2*$M1788)))</f>
        <v/>
      </c>
      <c r="T1788" s="82" t="n"/>
      <c r="U1788" s="47">
        <f>IF(OR($M1788="",$T1788=""),"",$T1788+(U$2*$M1788))</f>
        <v/>
      </c>
      <c r="V1788" s="48">
        <f>IF(OR($M1788="",$T1788=""),"",$T1788+(V$2*$M1788))</f>
        <v/>
      </c>
      <c r="W1788" s="48">
        <f>IF(OR($M1788="",$T1788=""),"",$T1788+(W$2*$M1788))</f>
        <v/>
      </c>
      <c r="X1788" s="49">
        <f>IF(OR($M1788="",$T1788=""),"",$T1788+(X$2*$M1788))</f>
        <v/>
      </c>
      <c r="Y1788" s="47">
        <f>IF(OR($M1788="",$T1788=""),"",$T1788+(Y$2*$M1788))</f>
        <v/>
      </c>
      <c r="Z1788" s="49">
        <f>IF(OR($M1788="",$T1788=""),"",$T1788+(Z$2*$M1788))</f>
        <v/>
      </c>
      <c r="AA1788" s="51">
        <f>IF(OR($M1788="",$T1788=""),"",$T1788+(AA$2*$M1788))</f>
        <v/>
      </c>
      <c r="AB1788" s="48">
        <f>IF(OR($M1788="",$T1788=""),"",$T1788+(AB$2*$M1788))</f>
        <v/>
      </c>
      <c r="AC1788" s="48">
        <f>IF(OR($M1788="",$T1788=""),"",$T1788+(AC$2*$M1788))</f>
        <v/>
      </c>
      <c r="AD1788" s="48">
        <f>IF(OR($M1788="",$T1788=""),"",$T1788+(AD$2*$M1788))</f>
        <v/>
      </c>
      <c r="AE1788" s="49">
        <f>IF(OR($M1788="",$T1788=""),"",$T1788+(AE$2*$M1788))</f>
        <v/>
      </c>
      <c r="AF1788" s="52">
        <f>IF(OR(T1788="",I1788&lt;T1788),"",IFERROR(AVERAGE(T1788+M1788*{7,8,9,10,11})/IF(G1788="",I1788,G1788)-1,""))</f>
        <v/>
      </c>
      <c r="AG1788" s="55">
        <f>IF(OR(T1788="",I1788&lt;T1788),"",IFERROR(AF1788/-(R1788/IF(G1788="",I1788,G1788)-1),""))</f>
        <v/>
      </c>
      <c r="AH1788" s="94" t="n"/>
      <c r="AI1788" s="94" t="n"/>
      <c r="AJ1788" s="94" t="n"/>
      <c r="AK1788" s="94" t="n"/>
      <c r="AL1788" s="84" t="n"/>
    </row>
    <row r="1789">
      <c r="A1789" s="64" t="n"/>
      <c r="B1789" s="65" t="n"/>
      <c r="C1789" s="66" t="n"/>
      <c r="D1789" s="67" t="n"/>
      <c r="E1789" s="68" t="n"/>
      <c r="F1789" s="47">
        <f>IF(A1789="","",IF(MIN(H1789,MAX(J1789:K1789))=0,"",MIN(H1789,MAX(J1789:K1789))))</f>
        <v/>
      </c>
      <c r="G1789" s="74" t="n"/>
      <c r="H1789" s="49">
        <f>IF(M1789="","",IFERROR(ROUND(AVERAGE(T1789+M1789*{7,8,9,10,11})/1.21,4),""))</f>
        <v/>
      </c>
      <c r="I1789" s="76" t="n"/>
      <c r="J1789" s="77" t="n"/>
      <c r="K1789" s="74" t="n"/>
      <c r="L1789" s="78" t="n"/>
      <c r="M1789" s="77" t="n"/>
      <c r="N1789" s="53">
        <f>IF(M1789="","",IFERROR(M1789/I1789,""))</f>
        <v/>
      </c>
      <c r="O1789" s="50">
        <f>IF(A1789="","",IFERROR((IF(G1789="",I1789,G1789)-T1789)/M1789,""))</f>
        <v/>
      </c>
      <c r="P1789" s="50">
        <f>IFERROR((I1789/T1789-1)/N1789,"")</f>
        <v/>
      </c>
      <c r="Q1789" s="46">
        <f>IF(OR(T1789="",I1789&lt;T1789),"",IFERROR(R1789/IF(G1789="",I1789,G1789)-1,""))</f>
        <v/>
      </c>
      <c r="R1789" s="48">
        <f>IF($M1789="","",MAX(IF($G1789="",$I1789,$G1789)*(1/1.1),IF($G1789="",$I1789,$G1789)+(R$2*$M1789)))</f>
        <v/>
      </c>
      <c r="S1789" s="49">
        <f>IF($M1789="","",MAX(IF($G1789="",$I1789,$G1789)*(1/1.1),IF($G1789="",$I1789,$G1789)+(S$2*$M1789)))</f>
        <v/>
      </c>
      <c r="T1789" s="82" t="n"/>
      <c r="U1789" s="47">
        <f>IF(OR($M1789="",$T1789=""),"",$T1789+(U$2*$M1789))</f>
        <v/>
      </c>
      <c r="V1789" s="48">
        <f>IF(OR($M1789="",$T1789=""),"",$T1789+(V$2*$M1789))</f>
        <v/>
      </c>
      <c r="W1789" s="48">
        <f>IF(OR($M1789="",$T1789=""),"",$T1789+(W$2*$M1789))</f>
        <v/>
      </c>
      <c r="X1789" s="49">
        <f>IF(OR($M1789="",$T1789=""),"",$T1789+(X$2*$M1789))</f>
        <v/>
      </c>
      <c r="Y1789" s="47">
        <f>IF(OR($M1789="",$T1789=""),"",$T1789+(Y$2*$M1789))</f>
        <v/>
      </c>
      <c r="Z1789" s="49">
        <f>IF(OR($M1789="",$T1789=""),"",$T1789+(Z$2*$M1789))</f>
        <v/>
      </c>
      <c r="AA1789" s="51">
        <f>IF(OR($M1789="",$T1789=""),"",$T1789+(AA$2*$M1789))</f>
        <v/>
      </c>
      <c r="AB1789" s="48">
        <f>IF(OR($M1789="",$T1789=""),"",$T1789+(AB$2*$M1789))</f>
        <v/>
      </c>
      <c r="AC1789" s="48">
        <f>IF(OR($M1789="",$T1789=""),"",$T1789+(AC$2*$M1789))</f>
        <v/>
      </c>
      <c r="AD1789" s="48">
        <f>IF(OR($M1789="",$T1789=""),"",$T1789+(AD$2*$M1789))</f>
        <v/>
      </c>
      <c r="AE1789" s="49">
        <f>IF(OR($M1789="",$T1789=""),"",$T1789+(AE$2*$M1789))</f>
        <v/>
      </c>
      <c r="AF1789" s="52">
        <f>IF(OR(T1789="",I1789&lt;T1789),"",IFERROR(AVERAGE(T1789+M1789*{7,8,9,10,11})/IF(G1789="",I1789,G1789)-1,""))</f>
        <v/>
      </c>
      <c r="AG1789" s="55">
        <f>IF(OR(T1789="",I1789&lt;T1789),"",IFERROR(AF1789/-(R1789/IF(G1789="",I1789,G1789)-1),""))</f>
        <v/>
      </c>
      <c r="AH1789" s="94" t="n"/>
      <c r="AI1789" s="94" t="n"/>
      <c r="AJ1789" s="94" t="n"/>
      <c r="AK1789" s="94" t="n"/>
      <c r="AL1789" s="84" t="n"/>
    </row>
    <row r="1790">
      <c r="A1790" s="64" t="n"/>
      <c r="B1790" s="65" t="n"/>
      <c r="C1790" s="66" t="n"/>
      <c r="D1790" s="67" t="n"/>
      <c r="E1790" s="68" t="n"/>
      <c r="F1790" s="47">
        <f>IF(A1790="","",IF(MIN(H1790,MAX(J1790:K1790))=0,"",MIN(H1790,MAX(J1790:K1790))))</f>
        <v/>
      </c>
      <c r="G1790" s="74" t="n"/>
      <c r="H1790" s="49">
        <f>IF(M1790="","",IFERROR(ROUND(AVERAGE(T1790+M1790*{7,8,9,10,11})/1.21,4),""))</f>
        <v/>
      </c>
      <c r="I1790" s="76" t="n"/>
      <c r="J1790" s="77" t="n"/>
      <c r="K1790" s="74" t="n"/>
      <c r="L1790" s="78" t="n"/>
      <c r="M1790" s="77" t="n"/>
      <c r="N1790" s="53">
        <f>IF(M1790="","",IFERROR(M1790/I1790,""))</f>
        <v/>
      </c>
      <c r="O1790" s="50">
        <f>IF(A1790="","",IFERROR((IF(G1790="",I1790,G1790)-T1790)/M1790,""))</f>
        <v/>
      </c>
      <c r="P1790" s="50">
        <f>IFERROR((I1790/T1790-1)/N1790,"")</f>
        <v/>
      </c>
      <c r="Q1790" s="46">
        <f>IF(OR(T1790="",I1790&lt;T1790),"",IFERROR(R1790/IF(G1790="",I1790,G1790)-1,""))</f>
        <v/>
      </c>
      <c r="R1790" s="48">
        <f>IF($M1790="","",MAX(IF($G1790="",$I1790,$G1790)*(1/1.1),IF($G1790="",$I1790,$G1790)+(R$2*$M1790)))</f>
        <v/>
      </c>
      <c r="S1790" s="49">
        <f>IF($M1790="","",MAX(IF($G1790="",$I1790,$G1790)*(1/1.1),IF($G1790="",$I1790,$G1790)+(S$2*$M1790)))</f>
        <v/>
      </c>
      <c r="T1790" s="82" t="n"/>
      <c r="U1790" s="47">
        <f>IF(OR($M1790="",$T1790=""),"",$T1790+(U$2*$M1790))</f>
        <v/>
      </c>
      <c r="V1790" s="48">
        <f>IF(OR($M1790="",$T1790=""),"",$T1790+(V$2*$M1790))</f>
        <v/>
      </c>
      <c r="W1790" s="48">
        <f>IF(OR($M1790="",$T1790=""),"",$T1790+(W$2*$M1790))</f>
        <v/>
      </c>
      <c r="X1790" s="49">
        <f>IF(OR($M1790="",$T1790=""),"",$T1790+(X$2*$M1790))</f>
        <v/>
      </c>
      <c r="Y1790" s="47">
        <f>IF(OR($M1790="",$T1790=""),"",$T1790+(Y$2*$M1790))</f>
        <v/>
      </c>
      <c r="Z1790" s="49">
        <f>IF(OR($M1790="",$T1790=""),"",$T1790+(Z$2*$M1790))</f>
        <v/>
      </c>
      <c r="AA1790" s="51">
        <f>IF(OR($M1790="",$T1790=""),"",$T1790+(AA$2*$M1790))</f>
        <v/>
      </c>
      <c r="AB1790" s="48">
        <f>IF(OR($M1790="",$T1790=""),"",$T1790+(AB$2*$M1790))</f>
        <v/>
      </c>
      <c r="AC1790" s="48">
        <f>IF(OR($M1790="",$T1790=""),"",$T1790+(AC$2*$M1790))</f>
        <v/>
      </c>
      <c r="AD1790" s="48">
        <f>IF(OR($M1790="",$T1790=""),"",$T1790+(AD$2*$M1790))</f>
        <v/>
      </c>
      <c r="AE1790" s="49">
        <f>IF(OR($M1790="",$T1790=""),"",$T1790+(AE$2*$M1790))</f>
        <v/>
      </c>
      <c r="AF1790" s="52">
        <f>IF(OR(T1790="",I1790&lt;T1790),"",IFERROR(AVERAGE(T1790+M1790*{7,8,9,10,11})/IF(G1790="",I1790,G1790)-1,""))</f>
        <v/>
      </c>
      <c r="AG1790" s="55">
        <f>IF(OR(T1790="",I1790&lt;T1790),"",IFERROR(AF1790/-(R1790/IF(G1790="",I1790,G1790)-1),""))</f>
        <v/>
      </c>
      <c r="AH1790" s="94" t="n"/>
      <c r="AI1790" s="94" t="n"/>
      <c r="AJ1790" s="94" t="n"/>
      <c r="AK1790" s="94" t="n"/>
      <c r="AL1790" s="84" t="n"/>
    </row>
    <row r="1791">
      <c r="A1791" s="64" t="n"/>
      <c r="B1791" s="65" t="n"/>
      <c r="C1791" s="66" t="n"/>
      <c r="D1791" s="67" t="n"/>
      <c r="E1791" s="68" t="n"/>
      <c r="F1791" s="47">
        <f>IF(A1791="","",IF(MIN(H1791,MAX(J1791:K1791))=0,"",MIN(H1791,MAX(J1791:K1791))))</f>
        <v/>
      </c>
      <c r="G1791" s="74" t="n"/>
      <c r="H1791" s="49">
        <f>IF(M1791="","",IFERROR(ROUND(AVERAGE(T1791+M1791*{7,8,9,10,11})/1.21,4),""))</f>
        <v/>
      </c>
      <c r="I1791" s="76" t="n"/>
      <c r="J1791" s="77" t="n"/>
      <c r="K1791" s="74" t="n"/>
      <c r="L1791" s="78" t="n"/>
      <c r="M1791" s="77" t="n"/>
      <c r="N1791" s="53">
        <f>IF(M1791="","",IFERROR(M1791/I1791,""))</f>
        <v/>
      </c>
      <c r="O1791" s="50">
        <f>IF(A1791="","",IFERROR((IF(G1791="",I1791,G1791)-T1791)/M1791,""))</f>
        <v/>
      </c>
      <c r="P1791" s="50">
        <f>IFERROR((I1791/T1791-1)/N1791,"")</f>
        <v/>
      </c>
      <c r="Q1791" s="46">
        <f>IF(OR(T1791="",I1791&lt;T1791),"",IFERROR(R1791/IF(G1791="",I1791,G1791)-1,""))</f>
        <v/>
      </c>
      <c r="R1791" s="48">
        <f>IF($M1791="","",MAX(IF($G1791="",$I1791,$G1791)*(1/1.1),IF($G1791="",$I1791,$G1791)+(R$2*$M1791)))</f>
        <v/>
      </c>
      <c r="S1791" s="49">
        <f>IF($M1791="","",MAX(IF($G1791="",$I1791,$G1791)*(1/1.1),IF($G1791="",$I1791,$G1791)+(S$2*$M1791)))</f>
        <v/>
      </c>
      <c r="T1791" s="82" t="n"/>
      <c r="U1791" s="47">
        <f>IF(OR($M1791="",$T1791=""),"",$T1791+(U$2*$M1791))</f>
        <v/>
      </c>
      <c r="V1791" s="48">
        <f>IF(OR($M1791="",$T1791=""),"",$T1791+(V$2*$M1791))</f>
        <v/>
      </c>
      <c r="W1791" s="48">
        <f>IF(OR($M1791="",$T1791=""),"",$T1791+(W$2*$M1791))</f>
        <v/>
      </c>
      <c r="X1791" s="49">
        <f>IF(OR($M1791="",$T1791=""),"",$T1791+(X$2*$M1791))</f>
        <v/>
      </c>
      <c r="Y1791" s="47">
        <f>IF(OR($M1791="",$T1791=""),"",$T1791+(Y$2*$M1791))</f>
        <v/>
      </c>
      <c r="Z1791" s="49">
        <f>IF(OR($M1791="",$T1791=""),"",$T1791+(Z$2*$M1791))</f>
        <v/>
      </c>
      <c r="AA1791" s="51">
        <f>IF(OR($M1791="",$T1791=""),"",$T1791+(AA$2*$M1791))</f>
        <v/>
      </c>
      <c r="AB1791" s="48">
        <f>IF(OR($M1791="",$T1791=""),"",$T1791+(AB$2*$M1791))</f>
        <v/>
      </c>
      <c r="AC1791" s="48">
        <f>IF(OR($M1791="",$T1791=""),"",$T1791+(AC$2*$M1791))</f>
        <v/>
      </c>
      <c r="AD1791" s="48">
        <f>IF(OR($M1791="",$T1791=""),"",$T1791+(AD$2*$M1791))</f>
        <v/>
      </c>
      <c r="AE1791" s="49">
        <f>IF(OR($M1791="",$T1791=""),"",$T1791+(AE$2*$M1791))</f>
        <v/>
      </c>
      <c r="AF1791" s="52">
        <f>IF(OR(T1791="",I1791&lt;T1791),"",IFERROR(AVERAGE(T1791+M1791*{7,8,9,10,11})/IF(G1791="",I1791,G1791)-1,""))</f>
        <v/>
      </c>
      <c r="AG1791" s="55">
        <f>IF(OR(T1791="",I1791&lt;T1791),"",IFERROR(AF1791/-(R1791/IF(G1791="",I1791,G1791)-1),""))</f>
        <v/>
      </c>
      <c r="AH1791" s="94" t="n"/>
      <c r="AI1791" s="94" t="n"/>
      <c r="AJ1791" s="94" t="n"/>
      <c r="AK1791" s="94" t="n"/>
      <c r="AL1791" s="84" t="n"/>
    </row>
    <row r="1792">
      <c r="A1792" s="64" t="n"/>
      <c r="B1792" s="65" t="n"/>
      <c r="C1792" s="66" t="n"/>
      <c r="D1792" s="67" t="n"/>
      <c r="E1792" s="68" t="n"/>
      <c r="F1792" s="47">
        <f>IF(A1792="","",IF(MIN(H1792,MAX(J1792:K1792))=0,"",MIN(H1792,MAX(J1792:K1792))))</f>
        <v/>
      </c>
      <c r="G1792" s="74" t="n"/>
      <c r="H1792" s="49">
        <f>IF(M1792="","",IFERROR(ROUND(AVERAGE(T1792+M1792*{7,8,9,10,11})/1.21,4),""))</f>
        <v/>
      </c>
      <c r="I1792" s="76" t="n"/>
      <c r="J1792" s="77" t="n"/>
      <c r="K1792" s="74" t="n"/>
      <c r="L1792" s="78" t="n"/>
      <c r="M1792" s="77" t="n"/>
      <c r="N1792" s="53">
        <f>IF(M1792="","",IFERROR(M1792/I1792,""))</f>
        <v/>
      </c>
      <c r="O1792" s="50">
        <f>IF(A1792="","",IFERROR((IF(G1792="",I1792,G1792)-T1792)/M1792,""))</f>
        <v/>
      </c>
      <c r="P1792" s="50">
        <f>IFERROR((I1792/T1792-1)/N1792,"")</f>
        <v/>
      </c>
      <c r="Q1792" s="46">
        <f>IF(OR(T1792="",I1792&lt;T1792),"",IFERROR(R1792/IF(G1792="",I1792,G1792)-1,""))</f>
        <v/>
      </c>
      <c r="R1792" s="48">
        <f>IF($M1792="","",MAX(IF($G1792="",$I1792,$G1792)*(1/1.1),IF($G1792="",$I1792,$G1792)+(R$2*$M1792)))</f>
        <v/>
      </c>
      <c r="S1792" s="49">
        <f>IF($M1792="","",MAX(IF($G1792="",$I1792,$G1792)*(1/1.1),IF($G1792="",$I1792,$G1792)+(S$2*$M1792)))</f>
        <v/>
      </c>
      <c r="T1792" s="82" t="n"/>
      <c r="U1792" s="47">
        <f>IF(OR($M1792="",$T1792=""),"",$T1792+(U$2*$M1792))</f>
        <v/>
      </c>
      <c r="V1792" s="48">
        <f>IF(OR($M1792="",$T1792=""),"",$T1792+(V$2*$M1792))</f>
        <v/>
      </c>
      <c r="W1792" s="48">
        <f>IF(OR($M1792="",$T1792=""),"",$T1792+(W$2*$M1792))</f>
        <v/>
      </c>
      <c r="X1792" s="49">
        <f>IF(OR($M1792="",$T1792=""),"",$T1792+(X$2*$M1792))</f>
        <v/>
      </c>
      <c r="Y1792" s="47">
        <f>IF(OR($M1792="",$T1792=""),"",$T1792+(Y$2*$M1792))</f>
        <v/>
      </c>
      <c r="Z1792" s="49">
        <f>IF(OR($M1792="",$T1792=""),"",$T1792+(Z$2*$M1792))</f>
        <v/>
      </c>
      <c r="AA1792" s="51">
        <f>IF(OR($M1792="",$T1792=""),"",$T1792+(AA$2*$M1792))</f>
        <v/>
      </c>
      <c r="AB1792" s="48">
        <f>IF(OR($M1792="",$T1792=""),"",$T1792+(AB$2*$M1792))</f>
        <v/>
      </c>
      <c r="AC1792" s="48">
        <f>IF(OR($M1792="",$T1792=""),"",$T1792+(AC$2*$M1792))</f>
        <v/>
      </c>
      <c r="AD1792" s="48">
        <f>IF(OR($M1792="",$T1792=""),"",$T1792+(AD$2*$M1792))</f>
        <v/>
      </c>
      <c r="AE1792" s="49">
        <f>IF(OR($M1792="",$T1792=""),"",$T1792+(AE$2*$M1792))</f>
        <v/>
      </c>
      <c r="AF1792" s="52">
        <f>IF(OR(T1792="",I1792&lt;T1792),"",IFERROR(AVERAGE(T1792+M1792*{7,8,9,10,11})/IF(G1792="",I1792,G1792)-1,""))</f>
        <v/>
      </c>
      <c r="AG1792" s="55">
        <f>IF(OR(T1792="",I1792&lt;T1792),"",IFERROR(AF1792/-(R1792/IF(G1792="",I1792,G1792)-1),""))</f>
        <v/>
      </c>
      <c r="AH1792" s="94" t="n"/>
      <c r="AI1792" s="94" t="n"/>
      <c r="AJ1792" s="94" t="n"/>
      <c r="AK1792" s="94" t="n"/>
      <c r="AL1792" s="84" t="n"/>
    </row>
    <row r="1793">
      <c r="A1793" s="64" t="n"/>
      <c r="B1793" s="65" t="n"/>
      <c r="C1793" s="66" t="n"/>
      <c r="D1793" s="67" t="n"/>
      <c r="E1793" s="68" t="n"/>
      <c r="F1793" s="47">
        <f>IF(A1793="","",IF(MIN(H1793,MAX(J1793:K1793))=0,"",MIN(H1793,MAX(J1793:K1793))))</f>
        <v/>
      </c>
      <c r="G1793" s="74" t="n"/>
      <c r="H1793" s="49">
        <f>IF(M1793="","",IFERROR(ROUND(AVERAGE(T1793+M1793*{7,8,9,10,11})/1.21,4),""))</f>
        <v/>
      </c>
      <c r="I1793" s="76" t="n"/>
      <c r="J1793" s="77" t="n"/>
      <c r="K1793" s="74" t="n"/>
      <c r="L1793" s="78" t="n"/>
      <c r="M1793" s="77" t="n"/>
      <c r="N1793" s="53">
        <f>IF(M1793="","",IFERROR(M1793/I1793,""))</f>
        <v/>
      </c>
      <c r="O1793" s="50">
        <f>IF(A1793="","",IFERROR((IF(G1793="",I1793,G1793)-T1793)/M1793,""))</f>
        <v/>
      </c>
      <c r="P1793" s="50">
        <f>IFERROR((I1793/T1793-1)/N1793,"")</f>
        <v/>
      </c>
      <c r="Q1793" s="46">
        <f>IF(OR(T1793="",I1793&lt;T1793),"",IFERROR(R1793/IF(G1793="",I1793,G1793)-1,""))</f>
        <v/>
      </c>
      <c r="R1793" s="48">
        <f>IF($M1793="","",MAX(IF($G1793="",$I1793,$G1793)*(1/1.1),IF($G1793="",$I1793,$G1793)+(R$2*$M1793)))</f>
        <v/>
      </c>
      <c r="S1793" s="49">
        <f>IF($M1793="","",MAX(IF($G1793="",$I1793,$G1793)*(1/1.1),IF($G1793="",$I1793,$G1793)+(S$2*$M1793)))</f>
        <v/>
      </c>
      <c r="T1793" s="82" t="n"/>
      <c r="U1793" s="47">
        <f>IF(OR($M1793="",$T1793=""),"",$T1793+(U$2*$M1793))</f>
        <v/>
      </c>
      <c r="V1793" s="48">
        <f>IF(OR($M1793="",$T1793=""),"",$T1793+(V$2*$M1793))</f>
        <v/>
      </c>
      <c r="W1793" s="48">
        <f>IF(OR($M1793="",$T1793=""),"",$T1793+(W$2*$M1793))</f>
        <v/>
      </c>
      <c r="X1793" s="49">
        <f>IF(OR($M1793="",$T1793=""),"",$T1793+(X$2*$M1793))</f>
        <v/>
      </c>
      <c r="Y1793" s="47">
        <f>IF(OR($M1793="",$T1793=""),"",$T1793+(Y$2*$M1793))</f>
        <v/>
      </c>
      <c r="Z1793" s="49">
        <f>IF(OR($M1793="",$T1793=""),"",$T1793+(Z$2*$M1793))</f>
        <v/>
      </c>
      <c r="AA1793" s="51">
        <f>IF(OR($M1793="",$T1793=""),"",$T1793+(AA$2*$M1793))</f>
        <v/>
      </c>
      <c r="AB1793" s="48">
        <f>IF(OR($M1793="",$T1793=""),"",$T1793+(AB$2*$M1793))</f>
        <v/>
      </c>
      <c r="AC1793" s="48">
        <f>IF(OR($M1793="",$T1793=""),"",$T1793+(AC$2*$M1793))</f>
        <v/>
      </c>
      <c r="AD1793" s="48">
        <f>IF(OR($M1793="",$T1793=""),"",$T1793+(AD$2*$M1793))</f>
        <v/>
      </c>
      <c r="AE1793" s="49">
        <f>IF(OR($M1793="",$T1793=""),"",$T1793+(AE$2*$M1793))</f>
        <v/>
      </c>
      <c r="AF1793" s="52">
        <f>IF(OR(T1793="",I1793&lt;T1793),"",IFERROR(AVERAGE(T1793+M1793*{7,8,9,10,11})/IF(G1793="",I1793,G1793)-1,""))</f>
        <v/>
      </c>
      <c r="AG1793" s="55">
        <f>IF(OR(T1793="",I1793&lt;T1793),"",IFERROR(AF1793/-(R1793/IF(G1793="",I1793,G1793)-1),""))</f>
        <v/>
      </c>
      <c r="AH1793" s="94" t="n"/>
      <c r="AI1793" s="94" t="n"/>
      <c r="AJ1793" s="94" t="n"/>
      <c r="AK1793" s="94" t="n"/>
      <c r="AL1793" s="84" t="n"/>
    </row>
    <row r="1794">
      <c r="A1794" s="64" t="n"/>
      <c r="B1794" s="65" t="n"/>
      <c r="C1794" s="66" t="n"/>
      <c r="D1794" s="67" t="n"/>
      <c r="E1794" s="68" t="n"/>
      <c r="F1794" s="47">
        <f>IF(A1794="","",IF(MIN(H1794,MAX(J1794:K1794))=0,"",MIN(H1794,MAX(J1794:K1794))))</f>
        <v/>
      </c>
      <c r="G1794" s="74" t="n"/>
      <c r="H1794" s="49">
        <f>IF(M1794="","",IFERROR(ROUND(AVERAGE(T1794+M1794*{7,8,9,10,11})/1.21,4),""))</f>
        <v/>
      </c>
      <c r="I1794" s="76" t="n"/>
      <c r="J1794" s="77" t="n"/>
      <c r="K1794" s="74" t="n"/>
      <c r="L1794" s="78" t="n"/>
      <c r="M1794" s="77" t="n"/>
      <c r="N1794" s="53">
        <f>IF(M1794="","",IFERROR(M1794/I1794,""))</f>
        <v/>
      </c>
      <c r="O1794" s="50">
        <f>IF(A1794="","",IFERROR((IF(G1794="",I1794,G1794)-T1794)/M1794,""))</f>
        <v/>
      </c>
      <c r="P1794" s="50">
        <f>IFERROR((I1794/T1794-1)/N1794,"")</f>
        <v/>
      </c>
      <c r="Q1794" s="46">
        <f>IF(OR(T1794="",I1794&lt;T1794),"",IFERROR(R1794/IF(G1794="",I1794,G1794)-1,""))</f>
        <v/>
      </c>
      <c r="R1794" s="48">
        <f>IF($M1794="","",MAX(IF($G1794="",$I1794,$G1794)*(1/1.1),IF($G1794="",$I1794,$G1794)+(R$2*$M1794)))</f>
        <v/>
      </c>
      <c r="S1794" s="49">
        <f>IF($M1794="","",MAX(IF($G1794="",$I1794,$G1794)*(1/1.1),IF($G1794="",$I1794,$G1794)+(S$2*$M1794)))</f>
        <v/>
      </c>
      <c r="T1794" s="82" t="n"/>
      <c r="U1794" s="47">
        <f>IF(OR($M1794="",$T1794=""),"",$T1794+(U$2*$M1794))</f>
        <v/>
      </c>
      <c r="V1794" s="48">
        <f>IF(OR($M1794="",$T1794=""),"",$T1794+(V$2*$M1794))</f>
        <v/>
      </c>
      <c r="W1794" s="48">
        <f>IF(OR($M1794="",$T1794=""),"",$T1794+(W$2*$M1794))</f>
        <v/>
      </c>
      <c r="X1794" s="49">
        <f>IF(OR($M1794="",$T1794=""),"",$T1794+(X$2*$M1794))</f>
        <v/>
      </c>
      <c r="Y1794" s="47">
        <f>IF(OR($M1794="",$T1794=""),"",$T1794+(Y$2*$M1794))</f>
        <v/>
      </c>
      <c r="Z1794" s="49">
        <f>IF(OR($M1794="",$T1794=""),"",$T1794+(Z$2*$M1794))</f>
        <v/>
      </c>
      <c r="AA1794" s="51">
        <f>IF(OR($M1794="",$T1794=""),"",$T1794+(AA$2*$M1794))</f>
        <v/>
      </c>
      <c r="AB1794" s="48">
        <f>IF(OR($M1794="",$T1794=""),"",$T1794+(AB$2*$M1794))</f>
        <v/>
      </c>
      <c r="AC1794" s="48">
        <f>IF(OR($M1794="",$T1794=""),"",$T1794+(AC$2*$M1794))</f>
        <v/>
      </c>
      <c r="AD1794" s="48">
        <f>IF(OR($M1794="",$T1794=""),"",$T1794+(AD$2*$M1794))</f>
        <v/>
      </c>
      <c r="AE1794" s="49">
        <f>IF(OR($M1794="",$T1794=""),"",$T1794+(AE$2*$M1794))</f>
        <v/>
      </c>
      <c r="AF1794" s="52">
        <f>IF(OR(T1794="",I1794&lt;T1794),"",IFERROR(AVERAGE(T1794+M1794*{7,8,9,10,11})/IF(G1794="",I1794,G1794)-1,""))</f>
        <v/>
      </c>
      <c r="AG1794" s="55">
        <f>IF(OR(T1794="",I1794&lt;T1794),"",IFERROR(AF1794/-(R1794/IF(G1794="",I1794,G1794)-1),""))</f>
        <v/>
      </c>
      <c r="AH1794" s="94" t="n"/>
      <c r="AI1794" s="94" t="n"/>
      <c r="AJ1794" s="94" t="n"/>
      <c r="AK1794" s="94" t="n"/>
      <c r="AL1794" s="84" t="n"/>
    </row>
    <row r="1795">
      <c r="A1795" s="64" t="n"/>
      <c r="B1795" s="65" t="n"/>
      <c r="C1795" s="66" t="n"/>
      <c r="D1795" s="67" t="n"/>
      <c r="E1795" s="68" t="n"/>
      <c r="F1795" s="47">
        <f>IF(A1795="","",IF(MIN(H1795,MAX(J1795:K1795))=0,"",MIN(H1795,MAX(J1795:K1795))))</f>
        <v/>
      </c>
      <c r="G1795" s="74" t="n"/>
      <c r="H1795" s="49">
        <f>IF(M1795="","",IFERROR(ROUND(AVERAGE(T1795+M1795*{7,8,9,10,11})/1.21,4),""))</f>
        <v/>
      </c>
      <c r="I1795" s="76" t="n"/>
      <c r="J1795" s="77" t="n"/>
      <c r="K1795" s="74" t="n"/>
      <c r="L1795" s="78" t="n"/>
      <c r="M1795" s="77" t="n"/>
      <c r="N1795" s="53">
        <f>IF(M1795="","",IFERROR(M1795/I1795,""))</f>
        <v/>
      </c>
      <c r="O1795" s="50">
        <f>IF(A1795="","",IFERROR((IF(G1795="",I1795,G1795)-T1795)/M1795,""))</f>
        <v/>
      </c>
      <c r="P1795" s="50">
        <f>IFERROR((I1795/T1795-1)/N1795,"")</f>
        <v/>
      </c>
      <c r="Q1795" s="46">
        <f>IF(OR(T1795="",I1795&lt;T1795),"",IFERROR(R1795/IF(G1795="",I1795,G1795)-1,""))</f>
        <v/>
      </c>
      <c r="R1795" s="48">
        <f>IF($M1795="","",MAX(IF($G1795="",$I1795,$G1795)*(1/1.1),IF($G1795="",$I1795,$G1795)+(R$2*$M1795)))</f>
        <v/>
      </c>
      <c r="S1795" s="49">
        <f>IF($M1795="","",MAX(IF($G1795="",$I1795,$G1795)*(1/1.1),IF($G1795="",$I1795,$G1795)+(S$2*$M1795)))</f>
        <v/>
      </c>
      <c r="T1795" s="82" t="n"/>
      <c r="U1795" s="47">
        <f>IF(OR($M1795="",$T1795=""),"",$T1795+(U$2*$M1795))</f>
        <v/>
      </c>
      <c r="V1795" s="48">
        <f>IF(OR($M1795="",$T1795=""),"",$T1795+(V$2*$M1795))</f>
        <v/>
      </c>
      <c r="W1795" s="48">
        <f>IF(OR($M1795="",$T1795=""),"",$T1795+(W$2*$M1795))</f>
        <v/>
      </c>
      <c r="X1795" s="49">
        <f>IF(OR($M1795="",$T1795=""),"",$T1795+(X$2*$M1795))</f>
        <v/>
      </c>
      <c r="Y1795" s="47">
        <f>IF(OR($M1795="",$T1795=""),"",$T1795+(Y$2*$M1795))</f>
        <v/>
      </c>
      <c r="Z1795" s="49">
        <f>IF(OR($M1795="",$T1795=""),"",$T1795+(Z$2*$M1795))</f>
        <v/>
      </c>
      <c r="AA1795" s="51">
        <f>IF(OR($M1795="",$T1795=""),"",$T1795+(AA$2*$M1795))</f>
        <v/>
      </c>
      <c r="AB1795" s="48">
        <f>IF(OR($M1795="",$T1795=""),"",$T1795+(AB$2*$M1795))</f>
        <v/>
      </c>
      <c r="AC1795" s="48">
        <f>IF(OR($M1795="",$T1795=""),"",$T1795+(AC$2*$M1795))</f>
        <v/>
      </c>
      <c r="AD1795" s="48">
        <f>IF(OR($M1795="",$T1795=""),"",$T1795+(AD$2*$M1795))</f>
        <v/>
      </c>
      <c r="AE1795" s="49">
        <f>IF(OR($M1795="",$T1795=""),"",$T1795+(AE$2*$M1795))</f>
        <v/>
      </c>
      <c r="AF1795" s="52">
        <f>IF(OR(T1795="",I1795&lt;T1795),"",IFERROR(AVERAGE(T1795+M1795*{7,8,9,10,11})/IF(G1795="",I1795,G1795)-1,""))</f>
        <v/>
      </c>
      <c r="AG1795" s="55">
        <f>IF(OR(T1795="",I1795&lt;T1795),"",IFERROR(AF1795/-(R1795/IF(G1795="",I1795,G1795)-1),""))</f>
        <v/>
      </c>
      <c r="AH1795" s="94" t="n"/>
      <c r="AI1795" s="94" t="n"/>
      <c r="AJ1795" s="94" t="n"/>
      <c r="AK1795" s="94" t="n"/>
      <c r="AL1795" s="84" t="n"/>
    </row>
    <row r="1796">
      <c r="A1796" s="64" t="n"/>
      <c r="B1796" s="65" t="n"/>
      <c r="C1796" s="66" t="n"/>
      <c r="D1796" s="67" t="n"/>
      <c r="E1796" s="68" t="n"/>
      <c r="F1796" s="47">
        <f>IF(A1796="","",IF(MIN(H1796,MAX(J1796:K1796))=0,"",MIN(H1796,MAX(J1796:K1796))))</f>
        <v/>
      </c>
      <c r="G1796" s="74" t="n"/>
      <c r="H1796" s="49">
        <f>IF(M1796="","",IFERROR(ROUND(AVERAGE(T1796+M1796*{7,8,9,10,11})/1.21,4),""))</f>
        <v/>
      </c>
      <c r="I1796" s="76" t="n"/>
      <c r="J1796" s="77" t="n"/>
      <c r="K1796" s="74" t="n"/>
      <c r="L1796" s="78" t="n"/>
      <c r="M1796" s="77" t="n"/>
      <c r="N1796" s="53">
        <f>IF(M1796="","",IFERROR(M1796/I1796,""))</f>
        <v/>
      </c>
      <c r="O1796" s="50">
        <f>IF(A1796="","",IFERROR((IF(G1796="",I1796,G1796)-T1796)/M1796,""))</f>
        <v/>
      </c>
      <c r="P1796" s="50">
        <f>IFERROR((I1796/T1796-1)/N1796,"")</f>
        <v/>
      </c>
      <c r="Q1796" s="46">
        <f>IF(OR(T1796="",I1796&lt;T1796),"",IFERROR(R1796/IF(G1796="",I1796,G1796)-1,""))</f>
        <v/>
      </c>
      <c r="R1796" s="48">
        <f>IF($M1796="","",MAX(IF($G1796="",$I1796,$G1796)*(1/1.1),IF($G1796="",$I1796,$G1796)+(R$2*$M1796)))</f>
        <v/>
      </c>
      <c r="S1796" s="49">
        <f>IF($M1796="","",MAX(IF($G1796="",$I1796,$G1796)*(1/1.1),IF($G1796="",$I1796,$G1796)+(S$2*$M1796)))</f>
        <v/>
      </c>
      <c r="T1796" s="82" t="n"/>
      <c r="U1796" s="47">
        <f>IF(OR($M1796="",$T1796=""),"",$T1796+(U$2*$M1796))</f>
        <v/>
      </c>
      <c r="V1796" s="48">
        <f>IF(OR($M1796="",$T1796=""),"",$T1796+(V$2*$M1796))</f>
        <v/>
      </c>
      <c r="W1796" s="48">
        <f>IF(OR($M1796="",$T1796=""),"",$T1796+(W$2*$M1796))</f>
        <v/>
      </c>
      <c r="X1796" s="49">
        <f>IF(OR($M1796="",$T1796=""),"",$T1796+(X$2*$M1796))</f>
        <v/>
      </c>
      <c r="Y1796" s="47">
        <f>IF(OR($M1796="",$T1796=""),"",$T1796+(Y$2*$M1796))</f>
        <v/>
      </c>
      <c r="Z1796" s="49">
        <f>IF(OR($M1796="",$T1796=""),"",$T1796+(Z$2*$M1796))</f>
        <v/>
      </c>
      <c r="AA1796" s="51">
        <f>IF(OR($M1796="",$T1796=""),"",$T1796+(AA$2*$M1796))</f>
        <v/>
      </c>
      <c r="AB1796" s="48">
        <f>IF(OR($M1796="",$T1796=""),"",$T1796+(AB$2*$M1796))</f>
        <v/>
      </c>
      <c r="AC1796" s="48">
        <f>IF(OR($M1796="",$T1796=""),"",$T1796+(AC$2*$M1796))</f>
        <v/>
      </c>
      <c r="AD1796" s="48">
        <f>IF(OR($M1796="",$T1796=""),"",$T1796+(AD$2*$M1796))</f>
        <v/>
      </c>
      <c r="AE1796" s="49">
        <f>IF(OR($M1796="",$T1796=""),"",$T1796+(AE$2*$M1796))</f>
        <v/>
      </c>
      <c r="AF1796" s="52">
        <f>IF(OR(T1796="",I1796&lt;T1796),"",IFERROR(AVERAGE(T1796+M1796*{7,8,9,10,11})/IF(G1796="",I1796,G1796)-1,""))</f>
        <v/>
      </c>
      <c r="AG1796" s="55">
        <f>IF(OR(T1796="",I1796&lt;T1796),"",IFERROR(AF1796/-(R1796/IF(G1796="",I1796,G1796)-1),""))</f>
        <v/>
      </c>
      <c r="AH1796" s="94" t="n"/>
      <c r="AI1796" s="94" t="n"/>
      <c r="AJ1796" s="94" t="n"/>
      <c r="AK1796" s="94" t="n"/>
      <c r="AL1796" s="84" t="n"/>
    </row>
    <row r="1797">
      <c r="A1797" s="64" t="n"/>
      <c r="B1797" s="65" t="n"/>
      <c r="C1797" s="66" t="n"/>
      <c r="D1797" s="67" t="n"/>
      <c r="E1797" s="68" t="n"/>
      <c r="F1797" s="47">
        <f>IF(A1797="","",IF(MIN(H1797,MAX(J1797:K1797))=0,"",MIN(H1797,MAX(J1797:K1797))))</f>
        <v/>
      </c>
      <c r="G1797" s="74" t="n"/>
      <c r="H1797" s="49">
        <f>IF(M1797="","",IFERROR(ROUND(AVERAGE(T1797+M1797*{7,8,9,10,11})/1.21,4),""))</f>
        <v/>
      </c>
      <c r="I1797" s="76" t="n"/>
      <c r="J1797" s="77" t="n"/>
      <c r="K1797" s="74" t="n"/>
      <c r="L1797" s="78" t="n"/>
      <c r="M1797" s="77" t="n"/>
      <c r="N1797" s="53">
        <f>IF(M1797="","",IFERROR(M1797/I1797,""))</f>
        <v/>
      </c>
      <c r="O1797" s="50">
        <f>IF(A1797="","",IFERROR((IF(G1797="",I1797,G1797)-T1797)/M1797,""))</f>
        <v/>
      </c>
      <c r="P1797" s="50">
        <f>IFERROR((I1797/T1797-1)/N1797,"")</f>
        <v/>
      </c>
      <c r="Q1797" s="46">
        <f>IF(OR(T1797="",I1797&lt;T1797),"",IFERROR(R1797/IF(G1797="",I1797,G1797)-1,""))</f>
        <v/>
      </c>
      <c r="R1797" s="48">
        <f>IF($M1797="","",MAX(IF($G1797="",$I1797,$G1797)*(1/1.1),IF($G1797="",$I1797,$G1797)+(R$2*$M1797)))</f>
        <v/>
      </c>
      <c r="S1797" s="49">
        <f>IF($M1797="","",MAX(IF($G1797="",$I1797,$G1797)*(1/1.1),IF($G1797="",$I1797,$G1797)+(S$2*$M1797)))</f>
        <v/>
      </c>
      <c r="T1797" s="82" t="n"/>
      <c r="U1797" s="47">
        <f>IF(OR($M1797="",$T1797=""),"",$T1797+(U$2*$M1797))</f>
        <v/>
      </c>
      <c r="V1797" s="48">
        <f>IF(OR($M1797="",$T1797=""),"",$T1797+(V$2*$M1797))</f>
        <v/>
      </c>
      <c r="W1797" s="48">
        <f>IF(OR($M1797="",$T1797=""),"",$T1797+(W$2*$M1797))</f>
        <v/>
      </c>
      <c r="X1797" s="49">
        <f>IF(OR($M1797="",$T1797=""),"",$T1797+(X$2*$M1797))</f>
        <v/>
      </c>
      <c r="Y1797" s="47">
        <f>IF(OR($M1797="",$T1797=""),"",$T1797+(Y$2*$M1797))</f>
        <v/>
      </c>
      <c r="Z1797" s="49">
        <f>IF(OR($M1797="",$T1797=""),"",$T1797+(Z$2*$M1797))</f>
        <v/>
      </c>
      <c r="AA1797" s="51">
        <f>IF(OR($M1797="",$T1797=""),"",$T1797+(AA$2*$M1797))</f>
        <v/>
      </c>
      <c r="AB1797" s="48">
        <f>IF(OR($M1797="",$T1797=""),"",$T1797+(AB$2*$M1797))</f>
        <v/>
      </c>
      <c r="AC1797" s="48">
        <f>IF(OR($M1797="",$T1797=""),"",$T1797+(AC$2*$M1797))</f>
        <v/>
      </c>
      <c r="AD1797" s="48">
        <f>IF(OR($M1797="",$T1797=""),"",$T1797+(AD$2*$M1797))</f>
        <v/>
      </c>
      <c r="AE1797" s="49">
        <f>IF(OR($M1797="",$T1797=""),"",$T1797+(AE$2*$M1797))</f>
        <v/>
      </c>
      <c r="AF1797" s="52">
        <f>IF(OR(T1797="",I1797&lt;T1797),"",IFERROR(AVERAGE(T1797+M1797*{7,8,9,10,11})/IF(G1797="",I1797,G1797)-1,""))</f>
        <v/>
      </c>
      <c r="AG1797" s="55">
        <f>IF(OR(T1797="",I1797&lt;T1797),"",IFERROR(AF1797/-(R1797/IF(G1797="",I1797,G1797)-1),""))</f>
        <v/>
      </c>
      <c r="AH1797" s="94" t="n"/>
      <c r="AI1797" s="94" t="n"/>
      <c r="AJ1797" s="94" t="n"/>
      <c r="AK1797" s="94" t="n"/>
      <c r="AL1797" s="84" t="n"/>
    </row>
    <row r="1798">
      <c r="A1798" s="64" t="n"/>
      <c r="B1798" s="65" t="n"/>
      <c r="C1798" s="66" t="n"/>
      <c r="D1798" s="67" t="n"/>
      <c r="E1798" s="68" t="n"/>
      <c r="F1798" s="47">
        <f>IF(A1798="","",IF(MIN(H1798,MAX(J1798:K1798))=0,"",MIN(H1798,MAX(J1798:K1798))))</f>
        <v/>
      </c>
      <c r="G1798" s="74" t="n"/>
      <c r="H1798" s="49">
        <f>IF(M1798="","",IFERROR(ROUND(AVERAGE(T1798+M1798*{7,8,9,10,11})/1.21,4),""))</f>
        <v/>
      </c>
      <c r="I1798" s="76" t="n"/>
      <c r="J1798" s="77" t="n"/>
      <c r="K1798" s="74" t="n"/>
      <c r="L1798" s="78" t="n"/>
      <c r="M1798" s="77" t="n"/>
      <c r="N1798" s="53">
        <f>IF(M1798="","",IFERROR(M1798/I1798,""))</f>
        <v/>
      </c>
      <c r="O1798" s="50">
        <f>IF(A1798="","",IFERROR((IF(G1798="",I1798,G1798)-T1798)/M1798,""))</f>
        <v/>
      </c>
      <c r="P1798" s="50">
        <f>IFERROR((I1798/T1798-1)/N1798,"")</f>
        <v/>
      </c>
      <c r="Q1798" s="46">
        <f>IF(OR(T1798="",I1798&lt;T1798),"",IFERROR(R1798/IF(G1798="",I1798,G1798)-1,""))</f>
        <v/>
      </c>
      <c r="R1798" s="48">
        <f>IF($M1798="","",MAX(IF($G1798="",$I1798,$G1798)*(1/1.1),IF($G1798="",$I1798,$G1798)+(R$2*$M1798)))</f>
        <v/>
      </c>
      <c r="S1798" s="49">
        <f>IF($M1798="","",MAX(IF($G1798="",$I1798,$G1798)*(1/1.1),IF($G1798="",$I1798,$G1798)+(S$2*$M1798)))</f>
        <v/>
      </c>
      <c r="T1798" s="82" t="n"/>
      <c r="U1798" s="47">
        <f>IF(OR($M1798="",$T1798=""),"",$T1798+(U$2*$M1798))</f>
        <v/>
      </c>
      <c r="V1798" s="48">
        <f>IF(OR($M1798="",$T1798=""),"",$T1798+(V$2*$M1798))</f>
        <v/>
      </c>
      <c r="W1798" s="48">
        <f>IF(OR($M1798="",$T1798=""),"",$T1798+(W$2*$M1798))</f>
        <v/>
      </c>
      <c r="X1798" s="49">
        <f>IF(OR($M1798="",$T1798=""),"",$T1798+(X$2*$M1798))</f>
        <v/>
      </c>
      <c r="Y1798" s="47">
        <f>IF(OR($M1798="",$T1798=""),"",$T1798+(Y$2*$M1798))</f>
        <v/>
      </c>
      <c r="Z1798" s="49">
        <f>IF(OR($M1798="",$T1798=""),"",$T1798+(Z$2*$M1798))</f>
        <v/>
      </c>
      <c r="AA1798" s="51">
        <f>IF(OR($M1798="",$T1798=""),"",$T1798+(AA$2*$M1798))</f>
        <v/>
      </c>
      <c r="AB1798" s="48">
        <f>IF(OR($M1798="",$T1798=""),"",$T1798+(AB$2*$M1798))</f>
        <v/>
      </c>
      <c r="AC1798" s="48">
        <f>IF(OR($M1798="",$T1798=""),"",$T1798+(AC$2*$M1798))</f>
        <v/>
      </c>
      <c r="AD1798" s="48">
        <f>IF(OR($M1798="",$T1798=""),"",$T1798+(AD$2*$M1798))</f>
        <v/>
      </c>
      <c r="AE1798" s="49">
        <f>IF(OR($M1798="",$T1798=""),"",$T1798+(AE$2*$M1798))</f>
        <v/>
      </c>
      <c r="AF1798" s="52">
        <f>IF(OR(T1798="",I1798&lt;T1798),"",IFERROR(AVERAGE(T1798+M1798*{7,8,9,10,11})/IF(G1798="",I1798,G1798)-1,""))</f>
        <v/>
      </c>
      <c r="AG1798" s="55">
        <f>IF(OR(T1798="",I1798&lt;T1798),"",IFERROR(AF1798/-(R1798/IF(G1798="",I1798,G1798)-1),""))</f>
        <v/>
      </c>
      <c r="AH1798" s="94" t="n"/>
      <c r="AI1798" s="94" t="n"/>
      <c r="AJ1798" s="94" t="n"/>
      <c r="AK1798" s="94" t="n"/>
      <c r="AL1798" s="84" t="n"/>
    </row>
    <row r="1799">
      <c r="A1799" s="64" t="n"/>
      <c r="B1799" s="65" t="n"/>
      <c r="C1799" s="66" t="n"/>
      <c r="D1799" s="67" t="n"/>
      <c r="E1799" s="68" t="n"/>
      <c r="F1799" s="47">
        <f>IF(A1799="","",IF(MIN(H1799,MAX(J1799:K1799))=0,"",MIN(H1799,MAX(J1799:K1799))))</f>
        <v/>
      </c>
      <c r="G1799" s="74" t="n"/>
      <c r="H1799" s="49">
        <f>IF(M1799="","",IFERROR(ROUND(AVERAGE(T1799+M1799*{7,8,9,10,11})/1.21,4),""))</f>
        <v/>
      </c>
      <c r="I1799" s="76" t="n"/>
      <c r="J1799" s="77" t="n"/>
      <c r="K1799" s="74" t="n"/>
      <c r="L1799" s="78" t="n"/>
      <c r="M1799" s="77" t="n"/>
      <c r="N1799" s="53">
        <f>IF(M1799="","",IFERROR(M1799/I1799,""))</f>
        <v/>
      </c>
      <c r="O1799" s="50">
        <f>IF(A1799="","",IFERROR((IF(G1799="",I1799,G1799)-T1799)/M1799,""))</f>
        <v/>
      </c>
      <c r="P1799" s="50">
        <f>IFERROR((I1799/T1799-1)/N1799,"")</f>
        <v/>
      </c>
      <c r="Q1799" s="46">
        <f>IF(OR(T1799="",I1799&lt;T1799),"",IFERROR(R1799/IF(G1799="",I1799,G1799)-1,""))</f>
        <v/>
      </c>
      <c r="R1799" s="48">
        <f>IF($M1799="","",MAX(IF($G1799="",$I1799,$G1799)*(1/1.1),IF($G1799="",$I1799,$G1799)+(R$2*$M1799)))</f>
        <v/>
      </c>
      <c r="S1799" s="49">
        <f>IF($M1799="","",MAX(IF($G1799="",$I1799,$G1799)*(1/1.1),IF($G1799="",$I1799,$G1799)+(S$2*$M1799)))</f>
        <v/>
      </c>
      <c r="T1799" s="82" t="n"/>
      <c r="U1799" s="47">
        <f>IF(OR($M1799="",$T1799=""),"",$T1799+(U$2*$M1799))</f>
        <v/>
      </c>
      <c r="V1799" s="48">
        <f>IF(OR($M1799="",$T1799=""),"",$T1799+(V$2*$M1799))</f>
        <v/>
      </c>
      <c r="W1799" s="48">
        <f>IF(OR($M1799="",$T1799=""),"",$T1799+(W$2*$M1799))</f>
        <v/>
      </c>
      <c r="X1799" s="49">
        <f>IF(OR($M1799="",$T1799=""),"",$T1799+(X$2*$M1799))</f>
        <v/>
      </c>
      <c r="Y1799" s="47">
        <f>IF(OR($M1799="",$T1799=""),"",$T1799+(Y$2*$M1799))</f>
        <v/>
      </c>
      <c r="Z1799" s="49">
        <f>IF(OR($M1799="",$T1799=""),"",$T1799+(Z$2*$M1799))</f>
        <v/>
      </c>
      <c r="AA1799" s="51">
        <f>IF(OR($M1799="",$T1799=""),"",$T1799+(AA$2*$M1799))</f>
        <v/>
      </c>
      <c r="AB1799" s="48">
        <f>IF(OR($M1799="",$T1799=""),"",$T1799+(AB$2*$M1799))</f>
        <v/>
      </c>
      <c r="AC1799" s="48">
        <f>IF(OR($M1799="",$T1799=""),"",$T1799+(AC$2*$M1799))</f>
        <v/>
      </c>
      <c r="AD1799" s="48">
        <f>IF(OR($M1799="",$T1799=""),"",$T1799+(AD$2*$M1799))</f>
        <v/>
      </c>
      <c r="AE1799" s="49">
        <f>IF(OR($M1799="",$T1799=""),"",$T1799+(AE$2*$M1799))</f>
        <v/>
      </c>
      <c r="AF1799" s="52">
        <f>IF(OR(T1799="",I1799&lt;T1799),"",IFERROR(AVERAGE(T1799+M1799*{7,8,9,10,11})/IF(G1799="",I1799,G1799)-1,""))</f>
        <v/>
      </c>
      <c r="AG1799" s="55">
        <f>IF(OR(T1799="",I1799&lt;T1799),"",IFERROR(AF1799/-(R1799/IF(G1799="",I1799,G1799)-1),""))</f>
        <v/>
      </c>
      <c r="AH1799" s="94" t="n"/>
      <c r="AI1799" s="94" t="n"/>
      <c r="AJ1799" s="94" t="n"/>
      <c r="AK1799" s="94" t="n"/>
      <c r="AL1799" s="84" t="n"/>
    </row>
    <row r="1800">
      <c r="A1800" s="64" t="n"/>
      <c r="B1800" s="65" t="n"/>
      <c r="C1800" s="66" t="n"/>
      <c r="D1800" s="67" t="n"/>
      <c r="E1800" s="68" t="n"/>
      <c r="F1800" s="47">
        <f>IF(A1800="","",IF(MIN(H1800,MAX(J1800:K1800))=0,"",MIN(H1800,MAX(J1800:K1800))))</f>
        <v/>
      </c>
      <c r="G1800" s="74" t="n"/>
      <c r="H1800" s="49">
        <f>IF(M1800="","",IFERROR(ROUND(AVERAGE(T1800+M1800*{7,8,9,10,11})/1.21,4),""))</f>
        <v/>
      </c>
      <c r="I1800" s="76" t="n"/>
      <c r="J1800" s="77" t="n"/>
      <c r="K1800" s="74" t="n"/>
      <c r="L1800" s="78" t="n"/>
      <c r="M1800" s="77" t="n"/>
      <c r="N1800" s="53">
        <f>IF(M1800="","",IFERROR(M1800/I1800,""))</f>
        <v/>
      </c>
      <c r="O1800" s="50">
        <f>IF(A1800="","",IFERROR((IF(G1800="",I1800,G1800)-T1800)/M1800,""))</f>
        <v/>
      </c>
      <c r="P1800" s="50">
        <f>IFERROR((I1800/T1800-1)/N1800,"")</f>
        <v/>
      </c>
      <c r="Q1800" s="46">
        <f>IF(OR(T1800="",I1800&lt;T1800),"",IFERROR(R1800/IF(G1800="",I1800,G1800)-1,""))</f>
        <v/>
      </c>
      <c r="R1800" s="48">
        <f>IF($M1800="","",MAX(IF($G1800="",$I1800,$G1800)*(1/1.1),IF($G1800="",$I1800,$G1800)+(R$2*$M1800)))</f>
        <v/>
      </c>
      <c r="S1800" s="49">
        <f>IF($M1800="","",MAX(IF($G1800="",$I1800,$G1800)*(1/1.1),IF($G1800="",$I1800,$G1800)+(S$2*$M1800)))</f>
        <v/>
      </c>
      <c r="T1800" s="82" t="n"/>
      <c r="U1800" s="47">
        <f>IF(OR($M1800="",$T1800=""),"",$T1800+(U$2*$M1800))</f>
        <v/>
      </c>
      <c r="V1800" s="48">
        <f>IF(OR($M1800="",$T1800=""),"",$T1800+(V$2*$M1800))</f>
        <v/>
      </c>
      <c r="W1800" s="48">
        <f>IF(OR($M1800="",$T1800=""),"",$T1800+(W$2*$M1800))</f>
        <v/>
      </c>
      <c r="X1800" s="49">
        <f>IF(OR($M1800="",$T1800=""),"",$T1800+(X$2*$M1800))</f>
        <v/>
      </c>
      <c r="Y1800" s="47">
        <f>IF(OR($M1800="",$T1800=""),"",$T1800+(Y$2*$M1800))</f>
        <v/>
      </c>
      <c r="Z1800" s="49">
        <f>IF(OR($M1800="",$T1800=""),"",$T1800+(Z$2*$M1800))</f>
        <v/>
      </c>
      <c r="AA1800" s="51">
        <f>IF(OR($M1800="",$T1800=""),"",$T1800+(AA$2*$M1800))</f>
        <v/>
      </c>
      <c r="AB1800" s="48">
        <f>IF(OR($M1800="",$T1800=""),"",$T1800+(AB$2*$M1800))</f>
        <v/>
      </c>
      <c r="AC1800" s="48">
        <f>IF(OR($M1800="",$T1800=""),"",$T1800+(AC$2*$M1800))</f>
        <v/>
      </c>
      <c r="AD1800" s="48">
        <f>IF(OR($M1800="",$T1800=""),"",$T1800+(AD$2*$M1800))</f>
        <v/>
      </c>
      <c r="AE1800" s="49">
        <f>IF(OR($M1800="",$T1800=""),"",$T1800+(AE$2*$M1800))</f>
        <v/>
      </c>
      <c r="AF1800" s="52">
        <f>IF(OR(T1800="",I1800&lt;T1800),"",IFERROR(AVERAGE(T1800+M1800*{7,8,9,10,11})/IF(G1800="",I1800,G1800)-1,""))</f>
        <v/>
      </c>
      <c r="AG1800" s="55">
        <f>IF(OR(T1800="",I1800&lt;T1800),"",IFERROR(AF1800/-(R1800/IF(G1800="",I1800,G1800)-1),""))</f>
        <v/>
      </c>
      <c r="AH1800" s="94" t="n"/>
      <c r="AI1800" s="94" t="n"/>
      <c r="AJ1800" s="94" t="n"/>
      <c r="AK1800" s="94" t="n"/>
      <c r="AL1800" s="84" t="n"/>
    </row>
    <row r="1801">
      <c r="A1801" s="64" t="n"/>
      <c r="B1801" s="65" t="n"/>
      <c r="C1801" s="66" t="n"/>
      <c r="D1801" s="67" t="n"/>
      <c r="E1801" s="68" t="n"/>
      <c r="F1801" s="47">
        <f>IF(A1801="","",IF(MIN(H1801,MAX(J1801:K1801))=0,"",MIN(H1801,MAX(J1801:K1801))))</f>
        <v/>
      </c>
      <c r="G1801" s="74" t="n"/>
      <c r="H1801" s="49">
        <f>IF(M1801="","",IFERROR(ROUND(AVERAGE(T1801+M1801*{7,8,9,10,11})/1.21,4),""))</f>
        <v/>
      </c>
      <c r="I1801" s="76" t="n"/>
      <c r="J1801" s="77" t="n"/>
      <c r="K1801" s="74" t="n"/>
      <c r="L1801" s="78" t="n"/>
      <c r="M1801" s="77" t="n"/>
      <c r="N1801" s="53">
        <f>IF(M1801="","",IFERROR(M1801/I1801,""))</f>
        <v/>
      </c>
      <c r="O1801" s="50">
        <f>IF(A1801="","",IFERROR((IF(G1801="",I1801,G1801)-T1801)/M1801,""))</f>
        <v/>
      </c>
      <c r="P1801" s="50">
        <f>IFERROR((I1801/T1801-1)/N1801,"")</f>
        <v/>
      </c>
      <c r="Q1801" s="46">
        <f>IF(OR(T1801="",I1801&lt;T1801),"",IFERROR(R1801/IF(G1801="",I1801,G1801)-1,""))</f>
        <v/>
      </c>
      <c r="R1801" s="48">
        <f>IF($M1801="","",MAX(IF($G1801="",$I1801,$G1801)*(1/1.1),IF($G1801="",$I1801,$G1801)+(R$2*$M1801)))</f>
        <v/>
      </c>
      <c r="S1801" s="49">
        <f>IF($M1801="","",MAX(IF($G1801="",$I1801,$G1801)*(1/1.1),IF($G1801="",$I1801,$G1801)+(S$2*$M1801)))</f>
        <v/>
      </c>
      <c r="T1801" s="82" t="n"/>
      <c r="U1801" s="47">
        <f>IF(OR($M1801="",$T1801=""),"",$T1801+(U$2*$M1801))</f>
        <v/>
      </c>
      <c r="V1801" s="48">
        <f>IF(OR($M1801="",$T1801=""),"",$T1801+(V$2*$M1801))</f>
        <v/>
      </c>
      <c r="W1801" s="48">
        <f>IF(OR($M1801="",$T1801=""),"",$T1801+(W$2*$M1801))</f>
        <v/>
      </c>
      <c r="X1801" s="49">
        <f>IF(OR($M1801="",$T1801=""),"",$T1801+(X$2*$M1801))</f>
        <v/>
      </c>
      <c r="Y1801" s="47">
        <f>IF(OR($M1801="",$T1801=""),"",$T1801+(Y$2*$M1801))</f>
        <v/>
      </c>
      <c r="Z1801" s="49">
        <f>IF(OR($M1801="",$T1801=""),"",$T1801+(Z$2*$M1801))</f>
        <v/>
      </c>
      <c r="AA1801" s="51">
        <f>IF(OR($M1801="",$T1801=""),"",$T1801+(AA$2*$M1801))</f>
        <v/>
      </c>
      <c r="AB1801" s="48">
        <f>IF(OR($M1801="",$T1801=""),"",$T1801+(AB$2*$M1801))</f>
        <v/>
      </c>
      <c r="AC1801" s="48">
        <f>IF(OR($M1801="",$T1801=""),"",$T1801+(AC$2*$M1801))</f>
        <v/>
      </c>
      <c r="AD1801" s="48">
        <f>IF(OR($M1801="",$T1801=""),"",$T1801+(AD$2*$M1801))</f>
        <v/>
      </c>
      <c r="AE1801" s="49">
        <f>IF(OR($M1801="",$T1801=""),"",$T1801+(AE$2*$M1801))</f>
        <v/>
      </c>
      <c r="AF1801" s="52">
        <f>IF(OR(T1801="",I1801&lt;T1801),"",IFERROR(AVERAGE(T1801+M1801*{7,8,9,10,11})/IF(G1801="",I1801,G1801)-1,""))</f>
        <v/>
      </c>
      <c r="AG1801" s="55">
        <f>IF(OR(T1801="",I1801&lt;T1801),"",IFERROR(AF1801/-(R1801/IF(G1801="",I1801,G1801)-1),""))</f>
        <v/>
      </c>
      <c r="AH1801" s="94" t="n"/>
      <c r="AI1801" s="94" t="n"/>
      <c r="AJ1801" s="94" t="n"/>
      <c r="AK1801" s="94" t="n"/>
      <c r="AL1801" s="84" t="n"/>
    </row>
    <row r="1802">
      <c r="A1802" s="64" t="n"/>
      <c r="B1802" s="65" t="n"/>
      <c r="C1802" s="66" t="n"/>
      <c r="D1802" s="67" t="n"/>
      <c r="E1802" s="68" t="n"/>
      <c r="F1802" s="47">
        <f>IF(A1802="","",IF(MIN(H1802,MAX(J1802:K1802))=0,"",MIN(H1802,MAX(J1802:K1802))))</f>
        <v/>
      </c>
      <c r="G1802" s="74" t="n"/>
      <c r="H1802" s="49">
        <f>IF(M1802="","",IFERROR(ROUND(AVERAGE(T1802+M1802*{7,8,9,10,11})/1.21,4),""))</f>
        <v/>
      </c>
      <c r="I1802" s="76" t="n"/>
      <c r="J1802" s="77" t="n"/>
      <c r="K1802" s="74" t="n"/>
      <c r="L1802" s="78" t="n"/>
      <c r="M1802" s="77" t="n"/>
      <c r="N1802" s="53">
        <f>IF(M1802="","",IFERROR(M1802/I1802,""))</f>
        <v/>
      </c>
      <c r="O1802" s="50">
        <f>IF(A1802="","",IFERROR((IF(G1802="",I1802,G1802)-T1802)/M1802,""))</f>
        <v/>
      </c>
      <c r="P1802" s="50">
        <f>IFERROR((I1802/T1802-1)/N1802,"")</f>
        <v/>
      </c>
      <c r="Q1802" s="46">
        <f>IF(OR(T1802="",I1802&lt;T1802),"",IFERROR(R1802/IF(G1802="",I1802,G1802)-1,""))</f>
        <v/>
      </c>
      <c r="R1802" s="48">
        <f>IF($M1802="","",MAX(IF($G1802="",$I1802,$G1802)*(1/1.1),IF($G1802="",$I1802,$G1802)+(R$2*$M1802)))</f>
        <v/>
      </c>
      <c r="S1802" s="49">
        <f>IF($M1802="","",MAX(IF($G1802="",$I1802,$G1802)*(1/1.1),IF($G1802="",$I1802,$G1802)+(S$2*$M1802)))</f>
        <v/>
      </c>
      <c r="T1802" s="82" t="n"/>
      <c r="U1802" s="47">
        <f>IF(OR($M1802="",$T1802=""),"",$T1802+(U$2*$M1802))</f>
        <v/>
      </c>
      <c r="V1802" s="48">
        <f>IF(OR($M1802="",$T1802=""),"",$T1802+(V$2*$M1802))</f>
        <v/>
      </c>
      <c r="W1802" s="48">
        <f>IF(OR($M1802="",$T1802=""),"",$T1802+(W$2*$M1802))</f>
        <v/>
      </c>
      <c r="X1802" s="49">
        <f>IF(OR($M1802="",$T1802=""),"",$T1802+(X$2*$M1802))</f>
        <v/>
      </c>
      <c r="Y1802" s="47">
        <f>IF(OR($M1802="",$T1802=""),"",$T1802+(Y$2*$M1802))</f>
        <v/>
      </c>
      <c r="Z1802" s="49">
        <f>IF(OR($M1802="",$T1802=""),"",$T1802+(Z$2*$M1802))</f>
        <v/>
      </c>
      <c r="AA1802" s="51">
        <f>IF(OR($M1802="",$T1802=""),"",$T1802+(AA$2*$M1802))</f>
        <v/>
      </c>
      <c r="AB1802" s="48">
        <f>IF(OR($M1802="",$T1802=""),"",$T1802+(AB$2*$M1802))</f>
        <v/>
      </c>
      <c r="AC1802" s="48">
        <f>IF(OR($M1802="",$T1802=""),"",$T1802+(AC$2*$M1802))</f>
        <v/>
      </c>
      <c r="AD1802" s="48">
        <f>IF(OR($M1802="",$T1802=""),"",$T1802+(AD$2*$M1802))</f>
        <v/>
      </c>
      <c r="AE1802" s="49">
        <f>IF(OR($M1802="",$T1802=""),"",$T1802+(AE$2*$M1802))</f>
        <v/>
      </c>
      <c r="AF1802" s="52">
        <f>IF(OR(T1802="",I1802&lt;T1802),"",IFERROR(AVERAGE(T1802+M1802*{7,8,9,10,11})/IF(G1802="",I1802,G1802)-1,""))</f>
        <v/>
      </c>
      <c r="AG1802" s="55">
        <f>IF(OR(T1802="",I1802&lt;T1802),"",IFERROR(AF1802/-(R1802/IF(G1802="",I1802,G1802)-1),""))</f>
        <v/>
      </c>
      <c r="AH1802" s="94" t="n"/>
      <c r="AI1802" s="94" t="n"/>
      <c r="AJ1802" s="94" t="n"/>
      <c r="AK1802" s="94" t="n"/>
      <c r="AL1802" s="84" t="n"/>
    </row>
    <row r="1803">
      <c r="A1803" s="64" t="n"/>
      <c r="B1803" s="65" t="n"/>
      <c r="C1803" s="66" t="n"/>
      <c r="D1803" s="67" t="n"/>
      <c r="E1803" s="68" t="n"/>
      <c r="F1803" s="47">
        <f>IF(A1803="","",IF(MIN(H1803,MAX(J1803:K1803))=0,"",MIN(H1803,MAX(J1803:K1803))))</f>
        <v/>
      </c>
      <c r="G1803" s="74" t="n"/>
      <c r="H1803" s="49">
        <f>IF(M1803="","",IFERROR(ROUND(AVERAGE(T1803+M1803*{7,8,9,10,11})/1.21,4),""))</f>
        <v/>
      </c>
      <c r="I1803" s="76" t="n"/>
      <c r="J1803" s="77" t="n"/>
      <c r="K1803" s="74" t="n"/>
      <c r="L1803" s="78" t="n"/>
      <c r="M1803" s="77" t="n"/>
      <c r="N1803" s="53">
        <f>IF(M1803="","",IFERROR(M1803/I1803,""))</f>
        <v/>
      </c>
      <c r="O1803" s="50">
        <f>IF(A1803="","",IFERROR((IF(G1803="",I1803,G1803)-T1803)/M1803,""))</f>
        <v/>
      </c>
      <c r="P1803" s="50">
        <f>IFERROR((I1803/T1803-1)/N1803,"")</f>
        <v/>
      </c>
      <c r="Q1803" s="46">
        <f>IF(OR(T1803="",I1803&lt;T1803),"",IFERROR(R1803/IF(G1803="",I1803,G1803)-1,""))</f>
        <v/>
      </c>
      <c r="R1803" s="48">
        <f>IF($M1803="","",MAX(IF($G1803="",$I1803,$G1803)*(1/1.1),IF($G1803="",$I1803,$G1803)+(R$2*$M1803)))</f>
        <v/>
      </c>
      <c r="S1803" s="49">
        <f>IF($M1803="","",MAX(IF($G1803="",$I1803,$G1803)*(1/1.1),IF($G1803="",$I1803,$G1803)+(S$2*$M1803)))</f>
        <v/>
      </c>
      <c r="T1803" s="82" t="n"/>
      <c r="U1803" s="47">
        <f>IF(OR($M1803="",$T1803=""),"",$T1803+(U$2*$M1803))</f>
        <v/>
      </c>
      <c r="V1803" s="48">
        <f>IF(OR($M1803="",$T1803=""),"",$T1803+(V$2*$M1803))</f>
        <v/>
      </c>
      <c r="W1803" s="48">
        <f>IF(OR($M1803="",$T1803=""),"",$T1803+(W$2*$M1803))</f>
        <v/>
      </c>
      <c r="X1803" s="49">
        <f>IF(OR($M1803="",$T1803=""),"",$T1803+(X$2*$M1803))</f>
        <v/>
      </c>
      <c r="Y1803" s="47">
        <f>IF(OR($M1803="",$T1803=""),"",$T1803+(Y$2*$M1803))</f>
        <v/>
      </c>
      <c r="Z1803" s="49">
        <f>IF(OR($M1803="",$T1803=""),"",$T1803+(Z$2*$M1803))</f>
        <v/>
      </c>
      <c r="AA1803" s="51">
        <f>IF(OR($M1803="",$T1803=""),"",$T1803+(AA$2*$M1803))</f>
        <v/>
      </c>
      <c r="AB1803" s="48">
        <f>IF(OR($M1803="",$T1803=""),"",$T1803+(AB$2*$M1803))</f>
        <v/>
      </c>
      <c r="AC1803" s="48">
        <f>IF(OR($M1803="",$T1803=""),"",$T1803+(AC$2*$M1803))</f>
        <v/>
      </c>
      <c r="AD1803" s="48">
        <f>IF(OR($M1803="",$T1803=""),"",$T1803+(AD$2*$M1803))</f>
        <v/>
      </c>
      <c r="AE1803" s="49">
        <f>IF(OR($M1803="",$T1803=""),"",$T1803+(AE$2*$M1803))</f>
        <v/>
      </c>
      <c r="AF1803" s="52">
        <f>IF(OR(T1803="",I1803&lt;T1803),"",IFERROR(AVERAGE(T1803+M1803*{7,8,9,10,11})/IF(G1803="",I1803,G1803)-1,""))</f>
        <v/>
      </c>
      <c r="AG1803" s="55">
        <f>IF(OR(T1803="",I1803&lt;T1803),"",IFERROR(AF1803/-(R1803/IF(G1803="",I1803,G1803)-1),""))</f>
        <v/>
      </c>
      <c r="AH1803" s="94" t="n"/>
      <c r="AI1803" s="94" t="n"/>
      <c r="AJ1803" s="94" t="n"/>
      <c r="AK1803" s="94" t="n"/>
      <c r="AL1803" s="84" t="n"/>
    </row>
    <row r="1804">
      <c r="A1804" s="64" t="n"/>
      <c r="B1804" s="65" t="n"/>
      <c r="C1804" s="66" t="n"/>
      <c r="D1804" s="67" t="n"/>
      <c r="E1804" s="68" t="n"/>
      <c r="F1804" s="47">
        <f>IF(A1804="","",IF(MIN(H1804,MAX(J1804:K1804))=0,"",MIN(H1804,MAX(J1804:K1804))))</f>
        <v/>
      </c>
      <c r="G1804" s="74" t="n"/>
      <c r="H1804" s="49">
        <f>IF(M1804="","",IFERROR(ROUND(AVERAGE(T1804+M1804*{7,8,9,10,11})/1.21,4),""))</f>
        <v/>
      </c>
      <c r="I1804" s="76" t="n"/>
      <c r="J1804" s="77" t="n"/>
      <c r="K1804" s="74" t="n"/>
      <c r="L1804" s="78" t="n"/>
      <c r="M1804" s="77" t="n"/>
      <c r="N1804" s="53">
        <f>IF(M1804="","",IFERROR(M1804/I1804,""))</f>
        <v/>
      </c>
      <c r="O1804" s="50">
        <f>IF(A1804="","",IFERROR((IF(G1804="",I1804,G1804)-T1804)/M1804,""))</f>
        <v/>
      </c>
      <c r="P1804" s="50">
        <f>IFERROR((I1804/T1804-1)/N1804,"")</f>
        <v/>
      </c>
      <c r="Q1804" s="46">
        <f>IF(OR(T1804="",I1804&lt;T1804),"",IFERROR(R1804/IF(G1804="",I1804,G1804)-1,""))</f>
        <v/>
      </c>
      <c r="R1804" s="48">
        <f>IF($M1804="","",MAX(IF($G1804="",$I1804,$G1804)*(1/1.1),IF($G1804="",$I1804,$G1804)+(R$2*$M1804)))</f>
        <v/>
      </c>
      <c r="S1804" s="49">
        <f>IF($M1804="","",MAX(IF($G1804="",$I1804,$G1804)*(1/1.1),IF($G1804="",$I1804,$G1804)+(S$2*$M1804)))</f>
        <v/>
      </c>
      <c r="T1804" s="82" t="n"/>
      <c r="U1804" s="47">
        <f>IF(OR($M1804="",$T1804=""),"",$T1804+(U$2*$M1804))</f>
        <v/>
      </c>
      <c r="V1804" s="48">
        <f>IF(OR($M1804="",$T1804=""),"",$T1804+(V$2*$M1804))</f>
        <v/>
      </c>
      <c r="W1804" s="48">
        <f>IF(OR($M1804="",$T1804=""),"",$T1804+(W$2*$M1804))</f>
        <v/>
      </c>
      <c r="X1804" s="49">
        <f>IF(OR($M1804="",$T1804=""),"",$T1804+(X$2*$M1804))</f>
        <v/>
      </c>
      <c r="Y1804" s="47">
        <f>IF(OR($M1804="",$T1804=""),"",$T1804+(Y$2*$M1804))</f>
        <v/>
      </c>
      <c r="Z1804" s="49">
        <f>IF(OR($M1804="",$T1804=""),"",$T1804+(Z$2*$M1804))</f>
        <v/>
      </c>
      <c r="AA1804" s="51">
        <f>IF(OR($M1804="",$T1804=""),"",$T1804+(AA$2*$M1804))</f>
        <v/>
      </c>
      <c r="AB1804" s="48">
        <f>IF(OR($M1804="",$T1804=""),"",$T1804+(AB$2*$M1804))</f>
        <v/>
      </c>
      <c r="AC1804" s="48">
        <f>IF(OR($M1804="",$T1804=""),"",$T1804+(AC$2*$M1804))</f>
        <v/>
      </c>
      <c r="AD1804" s="48">
        <f>IF(OR($M1804="",$T1804=""),"",$T1804+(AD$2*$M1804))</f>
        <v/>
      </c>
      <c r="AE1804" s="49">
        <f>IF(OR($M1804="",$T1804=""),"",$T1804+(AE$2*$M1804))</f>
        <v/>
      </c>
      <c r="AF1804" s="52">
        <f>IF(OR(T1804="",I1804&lt;T1804),"",IFERROR(AVERAGE(T1804+M1804*{7,8,9,10,11})/IF(G1804="",I1804,G1804)-1,""))</f>
        <v/>
      </c>
      <c r="AG1804" s="55">
        <f>IF(OR(T1804="",I1804&lt;T1804),"",IFERROR(AF1804/-(R1804/IF(G1804="",I1804,G1804)-1),""))</f>
        <v/>
      </c>
      <c r="AH1804" s="94" t="n"/>
      <c r="AI1804" s="94" t="n"/>
      <c r="AJ1804" s="94" t="n"/>
      <c r="AK1804" s="94" t="n"/>
      <c r="AL1804" s="84" t="n"/>
    </row>
    <row r="1805">
      <c r="A1805" s="64" t="n"/>
      <c r="B1805" s="65" t="n"/>
      <c r="C1805" s="66" t="n"/>
      <c r="D1805" s="67" t="n"/>
      <c r="E1805" s="68" t="n"/>
      <c r="F1805" s="47">
        <f>IF(A1805="","",IF(MIN(H1805,MAX(J1805:K1805))=0,"",MIN(H1805,MAX(J1805:K1805))))</f>
        <v/>
      </c>
      <c r="G1805" s="74" t="n"/>
      <c r="H1805" s="49">
        <f>IF(M1805="","",IFERROR(ROUND(AVERAGE(T1805+M1805*{7,8,9,10,11})/1.21,4),""))</f>
        <v/>
      </c>
      <c r="I1805" s="76" t="n"/>
      <c r="J1805" s="77" t="n"/>
      <c r="K1805" s="74" t="n"/>
      <c r="L1805" s="78" t="n"/>
      <c r="M1805" s="77" t="n"/>
      <c r="N1805" s="53">
        <f>IF(M1805="","",IFERROR(M1805/I1805,""))</f>
        <v/>
      </c>
      <c r="O1805" s="50">
        <f>IF(A1805="","",IFERROR((IF(G1805="",I1805,G1805)-T1805)/M1805,""))</f>
        <v/>
      </c>
      <c r="P1805" s="50">
        <f>IFERROR((I1805/T1805-1)/N1805,"")</f>
        <v/>
      </c>
      <c r="Q1805" s="46">
        <f>IF(OR(T1805="",I1805&lt;T1805),"",IFERROR(R1805/IF(G1805="",I1805,G1805)-1,""))</f>
        <v/>
      </c>
      <c r="R1805" s="48">
        <f>IF($M1805="","",MAX(IF($G1805="",$I1805,$G1805)*(1/1.1),IF($G1805="",$I1805,$G1805)+(R$2*$M1805)))</f>
        <v/>
      </c>
      <c r="S1805" s="49">
        <f>IF($M1805="","",MAX(IF($G1805="",$I1805,$G1805)*(1/1.1),IF($G1805="",$I1805,$G1805)+(S$2*$M1805)))</f>
        <v/>
      </c>
      <c r="T1805" s="82" t="n"/>
      <c r="U1805" s="47">
        <f>IF(OR($M1805="",$T1805=""),"",$T1805+(U$2*$M1805))</f>
        <v/>
      </c>
      <c r="V1805" s="48">
        <f>IF(OR($M1805="",$T1805=""),"",$T1805+(V$2*$M1805))</f>
        <v/>
      </c>
      <c r="W1805" s="48">
        <f>IF(OR($M1805="",$T1805=""),"",$T1805+(W$2*$M1805))</f>
        <v/>
      </c>
      <c r="X1805" s="49">
        <f>IF(OR($M1805="",$T1805=""),"",$T1805+(X$2*$M1805))</f>
        <v/>
      </c>
      <c r="Y1805" s="47">
        <f>IF(OR($M1805="",$T1805=""),"",$T1805+(Y$2*$M1805))</f>
        <v/>
      </c>
      <c r="Z1805" s="49">
        <f>IF(OR($M1805="",$T1805=""),"",$T1805+(Z$2*$M1805))</f>
        <v/>
      </c>
      <c r="AA1805" s="51">
        <f>IF(OR($M1805="",$T1805=""),"",$T1805+(AA$2*$M1805))</f>
        <v/>
      </c>
      <c r="AB1805" s="48">
        <f>IF(OR($M1805="",$T1805=""),"",$T1805+(AB$2*$M1805))</f>
        <v/>
      </c>
      <c r="AC1805" s="48">
        <f>IF(OR($M1805="",$T1805=""),"",$T1805+(AC$2*$M1805))</f>
        <v/>
      </c>
      <c r="AD1805" s="48">
        <f>IF(OR($M1805="",$T1805=""),"",$T1805+(AD$2*$M1805))</f>
        <v/>
      </c>
      <c r="AE1805" s="49">
        <f>IF(OR($M1805="",$T1805=""),"",$T1805+(AE$2*$M1805))</f>
        <v/>
      </c>
      <c r="AF1805" s="52">
        <f>IF(OR(T1805="",I1805&lt;T1805),"",IFERROR(AVERAGE(T1805+M1805*{7,8,9,10,11})/IF(G1805="",I1805,G1805)-1,""))</f>
        <v/>
      </c>
      <c r="AG1805" s="55">
        <f>IF(OR(T1805="",I1805&lt;T1805),"",IFERROR(AF1805/-(R1805/IF(G1805="",I1805,G1805)-1),""))</f>
        <v/>
      </c>
      <c r="AH1805" s="94" t="n"/>
      <c r="AI1805" s="94" t="n"/>
      <c r="AJ1805" s="94" t="n"/>
      <c r="AK1805" s="94" t="n"/>
      <c r="AL1805" s="84" t="n"/>
    </row>
    <row r="1806">
      <c r="A1806" s="64" t="n"/>
      <c r="B1806" s="65" t="n"/>
      <c r="C1806" s="66" t="n"/>
      <c r="D1806" s="67" t="n"/>
      <c r="E1806" s="68" t="n"/>
      <c r="F1806" s="47">
        <f>IF(A1806="","",IF(MIN(H1806,MAX(J1806:K1806))=0,"",MIN(H1806,MAX(J1806:K1806))))</f>
        <v/>
      </c>
      <c r="G1806" s="74" t="n"/>
      <c r="H1806" s="49">
        <f>IF(M1806="","",IFERROR(ROUND(AVERAGE(T1806+M1806*{7,8,9,10,11})/1.21,4),""))</f>
        <v/>
      </c>
      <c r="I1806" s="76" t="n"/>
      <c r="J1806" s="77" t="n"/>
      <c r="K1806" s="74" t="n"/>
      <c r="L1806" s="78" t="n"/>
      <c r="M1806" s="77" t="n"/>
      <c r="N1806" s="53">
        <f>IF(M1806="","",IFERROR(M1806/I1806,""))</f>
        <v/>
      </c>
      <c r="O1806" s="50">
        <f>IF(A1806="","",IFERROR((IF(G1806="",I1806,G1806)-T1806)/M1806,""))</f>
        <v/>
      </c>
      <c r="P1806" s="50">
        <f>IFERROR((I1806/T1806-1)/N1806,"")</f>
        <v/>
      </c>
      <c r="Q1806" s="46">
        <f>IF(OR(T1806="",I1806&lt;T1806),"",IFERROR(R1806/IF(G1806="",I1806,G1806)-1,""))</f>
        <v/>
      </c>
      <c r="R1806" s="48">
        <f>IF($M1806="","",MAX(IF($G1806="",$I1806,$G1806)*(1/1.1),IF($G1806="",$I1806,$G1806)+(R$2*$M1806)))</f>
        <v/>
      </c>
      <c r="S1806" s="49">
        <f>IF($M1806="","",MAX(IF($G1806="",$I1806,$G1806)*(1/1.1),IF($G1806="",$I1806,$G1806)+(S$2*$M1806)))</f>
        <v/>
      </c>
      <c r="T1806" s="82" t="n"/>
      <c r="U1806" s="47">
        <f>IF(OR($M1806="",$T1806=""),"",$T1806+(U$2*$M1806))</f>
        <v/>
      </c>
      <c r="V1806" s="48">
        <f>IF(OR($M1806="",$T1806=""),"",$T1806+(V$2*$M1806))</f>
        <v/>
      </c>
      <c r="W1806" s="48">
        <f>IF(OR($M1806="",$T1806=""),"",$T1806+(W$2*$M1806))</f>
        <v/>
      </c>
      <c r="X1806" s="49">
        <f>IF(OR($M1806="",$T1806=""),"",$T1806+(X$2*$M1806))</f>
        <v/>
      </c>
      <c r="Y1806" s="47">
        <f>IF(OR($M1806="",$T1806=""),"",$T1806+(Y$2*$M1806))</f>
        <v/>
      </c>
      <c r="Z1806" s="49">
        <f>IF(OR($M1806="",$T1806=""),"",$T1806+(Z$2*$M1806))</f>
        <v/>
      </c>
      <c r="AA1806" s="51">
        <f>IF(OR($M1806="",$T1806=""),"",$T1806+(AA$2*$M1806))</f>
        <v/>
      </c>
      <c r="AB1806" s="48">
        <f>IF(OR($M1806="",$T1806=""),"",$T1806+(AB$2*$M1806))</f>
        <v/>
      </c>
      <c r="AC1806" s="48">
        <f>IF(OR($M1806="",$T1806=""),"",$T1806+(AC$2*$M1806))</f>
        <v/>
      </c>
      <c r="AD1806" s="48">
        <f>IF(OR($M1806="",$T1806=""),"",$T1806+(AD$2*$M1806))</f>
        <v/>
      </c>
      <c r="AE1806" s="49">
        <f>IF(OR($M1806="",$T1806=""),"",$T1806+(AE$2*$M1806))</f>
        <v/>
      </c>
      <c r="AF1806" s="52">
        <f>IF(OR(T1806="",I1806&lt;T1806),"",IFERROR(AVERAGE(T1806+M1806*{7,8,9,10,11})/IF(G1806="",I1806,G1806)-1,""))</f>
        <v/>
      </c>
      <c r="AG1806" s="55">
        <f>IF(OR(T1806="",I1806&lt;T1806),"",IFERROR(AF1806/-(R1806/IF(G1806="",I1806,G1806)-1),""))</f>
        <v/>
      </c>
      <c r="AH1806" s="94" t="n"/>
      <c r="AI1806" s="94" t="n"/>
      <c r="AJ1806" s="94" t="n"/>
      <c r="AK1806" s="94" t="n"/>
      <c r="AL1806" s="84" t="n"/>
    </row>
    <row r="1807">
      <c r="A1807" s="64" t="n"/>
      <c r="B1807" s="65" t="n"/>
      <c r="C1807" s="66" t="n"/>
      <c r="D1807" s="67" t="n"/>
      <c r="E1807" s="68" t="n"/>
      <c r="F1807" s="47">
        <f>IF(A1807="","",IF(MIN(H1807,MAX(J1807:K1807))=0,"",MIN(H1807,MAX(J1807:K1807))))</f>
        <v/>
      </c>
      <c r="G1807" s="74" t="n"/>
      <c r="H1807" s="49">
        <f>IF(M1807="","",IFERROR(ROUND(AVERAGE(T1807+M1807*{7,8,9,10,11})/1.21,4),""))</f>
        <v/>
      </c>
      <c r="I1807" s="76" t="n"/>
      <c r="J1807" s="77" t="n"/>
      <c r="K1807" s="74" t="n"/>
      <c r="L1807" s="78" t="n"/>
      <c r="M1807" s="77" t="n"/>
      <c r="N1807" s="53">
        <f>IF(M1807="","",IFERROR(M1807/I1807,""))</f>
        <v/>
      </c>
      <c r="O1807" s="50">
        <f>IF(A1807="","",IFERROR((IF(G1807="",I1807,G1807)-T1807)/M1807,""))</f>
        <v/>
      </c>
      <c r="P1807" s="50">
        <f>IFERROR((I1807/T1807-1)/N1807,"")</f>
        <v/>
      </c>
      <c r="Q1807" s="46">
        <f>IF(OR(T1807="",I1807&lt;T1807),"",IFERROR(R1807/IF(G1807="",I1807,G1807)-1,""))</f>
        <v/>
      </c>
      <c r="R1807" s="48">
        <f>IF($M1807="","",MAX(IF($G1807="",$I1807,$G1807)*(1/1.1),IF($G1807="",$I1807,$G1807)+(R$2*$M1807)))</f>
        <v/>
      </c>
      <c r="S1807" s="49">
        <f>IF($M1807="","",MAX(IF($G1807="",$I1807,$G1807)*(1/1.1),IF($G1807="",$I1807,$G1807)+(S$2*$M1807)))</f>
        <v/>
      </c>
      <c r="T1807" s="82" t="n"/>
      <c r="U1807" s="47">
        <f>IF(OR($M1807="",$T1807=""),"",$T1807+(U$2*$M1807))</f>
        <v/>
      </c>
      <c r="V1807" s="48">
        <f>IF(OR($M1807="",$T1807=""),"",$T1807+(V$2*$M1807))</f>
        <v/>
      </c>
      <c r="W1807" s="48">
        <f>IF(OR($M1807="",$T1807=""),"",$T1807+(W$2*$M1807))</f>
        <v/>
      </c>
      <c r="X1807" s="49">
        <f>IF(OR($M1807="",$T1807=""),"",$T1807+(X$2*$M1807))</f>
        <v/>
      </c>
      <c r="Y1807" s="47">
        <f>IF(OR($M1807="",$T1807=""),"",$T1807+(Y$2*$M1807))</f>
        <v/>
      </c>
      <c r="Z1807" s="49">
        <f>IF(OR($M1807="",$T1807=""),"",$T1807+(Z$2*$M1807))</f>
        <v/>
      </c>
      <c r="AA1807" s="51">
        <f>IF(OR($M1807="",$T1807=""),"",$T1807+(AA$2*$M1807))</f>
        <v/>
      </c>
      <c r="AB1807" s="48">
        <f>IF(OR($M1807="",$T1807=""),"",$T1807+(AB$2*$M1807))</f>
        <v/>
      </c>
      <c r="AC1807" s="48">
        <f>IF(OR($M1807="",$T1807=""),"",$T1807+(AC$2*$M1807))</f>
        <v/>
      </c>
      <c r="AD1807" s="48">
        <f>IF(OR($M1807="",$T1807=""),"",$T1807+(AD$2*$M1807))</f>
        <v/>
      </c>
      <c r="AE1807" s="49">
        <f>IF(OR($M1807="",$T1807=""),"",$T1807+(AE$2*$M1807))</f>
        <v/>
      </c>
      <c r="AF1807" s="52">
        <f>IF(OR(T1807="",I1807&lt;T1807),"",IFERROR(AVERAGE(T1807+M1807*{7,8,9,10,11})/IF(G1807="",I1807,G1807)-1,""))</f>
        <v/>
      </c>
      <c r="AG1807" s="55">
        <f>IF(OR(T1807="",I1807&lt;T1807),"",IFERROR(AF1807/-(R1807/IF(G1807="",I1807,G1807)-1),""))</f>
        <v/>
      </c>
      <c r="AH1807" s="94" t="n"/>
      <c r="AI1807" s="94" t="n"/>
      <c r="AJ1807" s="94" t="n"/>
      <c r="AK1807" s="94" t="n"/>
      <c r="AL1807" s="84" t="n"/>
    </row>
    <row r="1808">
      <c r="A1808" s="64" t="n"/>
      <c r="B1808" s="65" t="n"/>
      <c r="C1808" s="66" t="n"/>
      <c r="D1808" s="67" t="n"/>
      <c r="E1808" s="68" t="n"/>
      <c r="F1808" s="47">
        <f>IF(A1808="","",IF(MIN(H1808,MAX(J1808:K1808))=0,"",MIN(H1808,MAX(J1808:K1808))))</f>
        <v/>
      </c>
      <c r="G1808" s="74" t="n"/>
      <c r="H1808" s="49">
        <f>IF(M1808="","",IFERROR(ROUND(AVERAGE(T1808+M1808*{7,8,9,10,11})/1.21,4),""))</f>
        <v/>
      </c>
      <c r="I1808" s="76" t="n"/>
      <c r="J1808" s="77" t="n"/>
      <c r="K1808" s="74" t="n"/>
      <c r="L1808" s="78" t="n"/>
      <c r="M1808" s="77" t="n"/>
      <c r="N1808" s="53">
        <f>IF(M1808="","",IFERROR(M1808/I1808,""))</f>
        <v/>
      </c>
      <c r="O1808" s="50">
        <f>IF(A1808="","",IFERROR((IF(G1808="",I1808,G1808)-T1808)/M1808,""))</f>
        <v/>
      </c>
      <c r="P1808" s="50">
        <f>IFERROR((I1808/T1808-1)/N1808,"")</f>
        <v/>
      </c>
      <c r="Q1808" s="46">
        <f>IF(OR(T1808="",I1808&lt;T1808),"",IFERROR(R1808/IF(G1808="",I1808,G1808)-1,""))</f>
        <v/>
      </c>
      <c r="R1808" s="48">
        <f>IF($M1808="","",MAX(IF($G1808="",$I1808,$G1808)*(1/1.1),IF($G1808="",$I1808,$G1808)+(R$2*$M1808)))</f>
        <v/>
      </c>
      <c r="S1808" s="49">
        <f>IF($M1808="","",MAX(IF($G1808="",$I1808,$G1808)*(1/1.1),IF($G1808="",$I1808,$G1808)+(S$2*$M1808)))</f>
        <v/>
      </c>
      <c r="T1808" s="82" t="n"/>
      <c r="U1808" s="47">
        <f>IF(OR($M1808="",$T1808=""),"",$T1808+(U$2*$M1808))</f>
        <v/>
      </c>
      <c r="V1808" s="48">
        <f>IF(OR($M1808="",$T1808=""),"",$T1808+(V$2*$M1808))</f>
        <v/>
      </c>
      <c r="W1808" s="48">
        <f>IF(OR($M1808="",$T1808=""),"",$T1808+(W$2*$M1808))</f>
        <v/>
      </c>
      <c r="X1808" s="49">
        <f>IF(OR($M1808="",$T1808=""),"",$T1808+(X$2*$M1808))</f>
        <v/>
      </c>
      <c r="Y1808" s="47">
        <f>IF(OR($M1808="",$T1808=""),"",$T1808+(Y$2*$M1808))</f>
        <v/>
      </c>
      <c r="Z1808" s="49">
        <f>IF(OR($M1808="",$T1808=""),"",$T1808+(Z$2*$M1808))</f>
        <v/>
      </c>
      <c r="AA1808" s="51">
        <f>IF(OR($M1808="",$T1808=""),"",$T1808+(AA$2*$M1808))</f>
        <v/>
      </c>
      <c r="AB1808" s="48">
        <f>IF(OR($M1808="",$T1808=""),"",$T1808+(AB$2*$M1808))</f>
        <v/>
      </c>
      <c r="AC1808" s="48">
        <f>IF(OR($M1808="",$T1808=""),"",$T1808+(AC$2*$M1808))</f>
        <v/>
      </c>
      <c r="AD1808" s="48">
        <f>IF(OR($M1808="",$T1808=""),"",$T1808+(AD$2*$M1808))</f>
        <v/>
      </c>
      <c r="AE1808" s="49">
        <f>IF(OR($M1808="",$T1808=""),"",$T1808+(AE$2*$M1808))</f>
        <v/>
      </c>
      <c r="AF1808" s="52">
        <f>IF(OR(T1808="",I1808&lt;T1808),"",IFERROR(AVERAGE(T1808+M1808*{7,8,9,10,11})/IF(G1808="",I1808,G1808)-1,""))</f>
        <v/>
      </c>
      <c r="AG1808" s="55">
        <f>IF(OR(T1808="",I1808&lt;T1808),"",IFERROR(AF1808/-(R1808/IF(G1808="",I1808,G1808)-1),""))</f>
        <v/>
      </c>
      <c r="AH1808" s="94" t="n"/>
      <c r="AI1808" s="94" t="n"/>
      <c r="AJ1808" s="94" t="n"/>
      <c r="AK1808" s="94" t="n"/>
      <c r="AL1808" s="84" t="n"/>
    </row>
    <row r="1809">
      <c r="A1809" s="64" t="n"/>
      <c r="B1809" s="65" t="n"/>
      <c r="C1809" s="66" t="n"/>
      <c r="D1809" s="67" t="n"/>
      <c r="E1809" s="68" t="n"/>
      <c r="F1809" s="47">
        <f>IF(A1809="","",IF(MIN(H1809,MAX(J1809:K1809))=0,"",MIN(H1809,MAX(J1809:K1809))))</f>
        <v/>
      </c>
      <c r="G1809" s="74" t="n"/>
      <c r="H1809" s="49">
        <f>IF(M1809="","",IFERROR(ROUND(AVERAGE(T1809+M1809*{7,8,9,10,11})/1.21,4),""))</f>
        <v/>
      </c>
      <c r="I1809" s="76" t="n"/>
      <c r="J1809" s="77" t="n"/>
      <c r="K1809" s="74" t="n"/>
      <c r="L1809" s="78" t="n"/>
      <c r="M1809" s="77" t="n"/>
      <c r="N1809" s="53">
        <f>IF(M1809="","",IFERROR(M1809/I1809,""))</f>
        <v/>
      </c>
      <c r="O1809" s="50">
        <f>IF(A1809="","",IFERROR((IF(G1809="",I1809,G1809)-T1809)/M1809,""))</f>
        <v/>
      </c>
      <c r="P1809" s="50">
        <f>IFERROR((I1809/T1809-1)/N1809,"")</f>
        <v/>
      </c>
      <c r="Q1809" s="46">
        <f>IF(OR(T1809="",I1809&lt;T1809),"",IFERROR(R1809/IF(G1809="",I1809,G1809)-1,""))</f>
        <v/>
      </c>
      <c r="R1809" s="48">
        <f>IF($M1809="","",MAX(IF($G1809="",$I1809,$G1809)*(1/1.1),IF($G1809="",$I1809,$G1809)+(R$2*$M1809)))</f>
        <v/>
      </c>
      <c r="S1809" s="49">
        <f>IF($M1809="","",MAX(IF($G1809="",$I1809,$G1809)*(1/1.1),IF($G1809="",$I1809,$G1809)+(S$2*$M1809)))</f>
        <v/>
      </c>
      <c r="T1809" s="82" t="n"/>
      <c r="U1809" s="47">
        <f>IF(OR($M1809="",$T1809=""),"",$T1809+(U$2*$M1809))</f>
        <v/>
      </c>
      <c r="V1809" s="48">
        <f>IF(OR($M1809="",$T1809=""),"",$T1809+(V$2*$M1809))</f>
        <v/>
      </c>
      <c r="W1809" s="48">
        <f>IF(OR($M1809="",$T1809=""),"",$T1809+(W$2*$M1809))</f>
        <v/>
      </c>
      <c r="X1809" s="49">
        <f>IF(OR($M1809="",$T1809=""),"",$T1809+(X$2*$M1809))</f>
        <v/>
      </c>
      <c r="Y1809" s="47">
        <f>IF(OR($M1809="",$T1809=""),"",$T1809+(Y$2*$M1809))</f>
        <v/>
      </c>
      <c r="Z1809" s="49">
        <f>IF(OR($M1809="",$T1809=""),"",$T1809+(Z$2*$M1809))</f>
        <v/>
      </c>
      <c r="AA1809" s="51">
        <f>IF(OR($M1809="",$T1809=""),"",$T1809+(AA$2*$M1809))</f>
        <v/>
      </c>
      <c r="AB1809" s="48">
        <f>IF(OR($M1809="",$T1809=""),"",$T1809+(AB$2*$M1809))</f>
        <v/>
      </c>
      <c r="AC1809" s="48">
        <f>IF(OR($M1809="",$T1809=""),"",$T1809+(AC$2*$M1809))</f>
        <v/>
      </c>
      <c r="AD1809" s="48">
        <f>IF(OR($M1809="",$T1809=""),"",$T1809+(AD$2*$M1809))</f>
        <v/>
      </c>
      <c r="AE1809" s="49">
        <f>IF(OR($M1809="",$T1809=""),"",$T1809+(AE$2*$M1809))</f>
        <v/>
      </c>
      <c r="AF1809" s="52">
        <f>IF(OR(T1809="",I1809&lt;T1809),"",IFERROR(AVERAGE(T1809+M1809*{7,8,9,10,11})/IF(G1809="",I1809,G1809)-1,""))</f>
        <v/>
      </c>
      <c r="AG1809" s="55">
        <f>IF(OR(T1809="",I1809&lt;T1809),"",IFERROR(AF1809/-(R1809/IF(G1809="",I1809,G1809)-1),""))</f>
        <v/>
      </c>
      <c r="AH1809" s="94" t="n"/>
      <c r="AI1809" s="94" t="n"/>
      <c r="AJ1809" s="94" t="n"/>
      <c r="AK1809" s="94" t="n"/>
      <c r="AL1809" s="84" t="n"/>
    </row>
    <row r="1810">
      <c r="A1810" s="64" t="n"/>
      <c r="B1810" s="65" t="n"/>
      <c r="C1810" s="66" t="n"/>
      <c r="D1810" s="67" t="n"/>
      <c r="E1810" s="68" t="n"/>
      <c r="F1810" s="47">
        <f>IF(A1810="","",IF(MIN(H1810,MAX(J1810:K1810))=0,"",MIN(H1810,MAX(J1810:K1810))))</f>
        <v/>
      </c>
      <c r="G1810" s="74" t="n"/>
      <c r="H1810" s="49">
        <f>IF(M1810="","",IFERROR(ROUND(AVERAGE(T1810+M1810*{7,8,9,10,11})/1.21,4),""))</f>
        <v/>
      </c>
      <c r="I1810" s="76" t="n"/>
      <c r="J1810" s="77" t="n"/>
      <c r="K1810" s="74" t="n"/>
      <c r="L1810" s="78" t="n"/>
      <c r="M1810" s="77" t="n"/>
      <c r="N1810" s="53">
        <f>IF(M1810="","",IFERROR(M1810/I1810,""))</f>
        <v/>
      </c>
      <c r="O1810" s="50">
        <f>IF(A1810="","",IFERROR((IF(G1810="",I1810,G1810)-T1810)/M1810,""))</f>
        <v/>
      </c>
      <c r="P1810" s="50">
        <f>IFERROR((I1810/T1810-1)/N1810,"")</f>
        <v/>
      </c>
      <c r="Q1810" s="46">
        <f>IF(OR(T1810="",I1810&lt;T1810),"",IFERROR(R1810/IF(G1810="",I1810,G1810)-1,""))</f>
        <v/>
      </c>
      <c r="R1810" s="48">
        <f>IF($M1810="","",MAX(IF($G1810="",$I1810,$G1810)*(1/1.1),IF($G1810="",$I1810,$G1810)+(R$2*$M1810)))</f>
        <v/>
      </c>
      <c r="S1810" s="49">
        <f>IF($M1810="","",MAX(IF($G1810="",$I1810,$G1810)*(1/1.1),IF($G1810="",$I1810,$G1810)+(S$2*$M1810)))</f>
        <v/>
      </c>
      <c r="T1810" s="82" t="n"/>
      <c r="U1810" s="47">
        <f>IF(OR($M1810="",$T1810=""),"",$T1810+(U$2*$M1810))</f>
        <v/>
      </c>
      <c r="V1810" s="48">
        <f>IF(OR($M1810="",$T1810=""),"",$T1810+(V$2*$M1810))</f>
        <v/>
      </c>
      <c r="W1810" s="48">
        <f>IF(OR($M1810="",$T1810=""),"",$T1810+(W$2*$M1810))</f>
        <v/>
      </c>
      <c r="X1810" s="49">
        <f>IF(OR($M1810="",$T1810=""),"",$T1810+(X$2*$M1810))</f>
        <v/>
      </c>
      <c r="Y1810" s="47">
        <f>IF(OR($M1810="",$T1810=""),"",$T1810+(Y$2*$M1810))</f>
        <v/>
      </c>
      <c r="Z1810" s="49">
        <f>IF(OR($M1810="",$T1810=""),"",$T1810+(Z$2*$M1810))</f>
        <v/>
      </c>
      <c r="AA1810" s="51">
        <f>IF(OR($M1810="",$T1810=""),"",$T1810+(AA$2*$M1810))</f>
        <v/>
      </c>
      <c r="AB1810" s="48">
        <f>IF(OR($M1810="",$T1810=""),"",$T1810+(AB$2*$M1810))</f>
        <v/>
      </c>
      <c r="AC1810" s="48">
        <f>IF(OR($M1810="",$T1810=""),"",$T1810+(AC$2*$M1810))</f>
        <v/>
      </c>
      <c r="AD1810" s="48">
        <f>IF(OR($M1810="",$T1810=""),"",$T1810+(AD$2*$M1810))</f>
        <v/>
      </c>
      <c r="AE1810" s="49">
        <f>IF(OR($M1810="",$T1810=""),"",$T1810+(AE$2*$M1810))</f>
        <v/>
      </c>
      <c r="AF1810" s="52">
        <f>IF(OR(T1810="",I1810&lt;T1810),"",IFERROR(AVERAGE(T1810+M1810*{7,8,9,10,11})/IF(G1810="",I1810,G1810)-1,""))</f>
        <v/>
      </c>
      <c r="AG1810" s="55">
        <f>IF(OR(T1810="",I1810&lt;T1810),"",IFERROR(AF1810/-(R1810/IF(G1810="",I1810,G1810)-1),""))</f>
        <v/>
      </c>
      <c r="AH1810" s="94" t="n"/>
      <c r="AI1810" s="94" t="n"/>
      <c r="AJ1810" s="94" t="n"/>
      <c r="AK1810" s="94" t="n"/>
      <c r="AL1810" s="84" t="n"/>
    </row>
    <row r="1811">
      <c r="A1811" s="64" t="n"/>
      <c r="B1811" s="65" t="n"/>
      <c r="C1811" s="66" t="n"/>
      <c r="D1811" s="67" t="n"/>
      <c r="E1811" s="68" t="n"/>
      <c r="F1811" s="47">
        <f>IF(A1811="","",IF(MIN(H1811,MAX(J1811:K1811))=0,"",MIN(H1811,MAX(J1811:K1811))))</f>
        <v/>
      </c>
      <c r="G1811" s="74" t="n"/>
      <c r="H1811" s="49">
        <f>IF(M1811="","",IFERROR(ROUND(AVERAGE(T1811+M1811*{7,8,9,10,11})/1.21,4),""))</f>
        <v/>
      </c>
      <c r="I1811" s="76" t="n"/>
      <c r="J1811" s="77" t="n"/>
      <c r="K1811" s="74" t="n"/>
      <c r="L1811" s="78" t="n"/>
      <c r="M1811" s="77" t="n"/>
      <c r="N1811" s="53">
        <f>IF(M1811="","",IFERROR(M1811/I1811,""))</f>
        <v/>
      </c>
      <c r="O1811" s="50">
        <f>IF(A1811="","",IFERROR((IF(G1811="",I1811,G1811)-T1811)/M1811,""))</f>
        <v/>
      </c>
      <c r="P1811" s="50">
        <f>IFERROR((I1811/T1811-1)/N1811,"")</f>
        <v/>
      </c>
      <c r="Q1811" s="46">
        <f>IF(OR(T1811="",I1811&lt;T1811),"",IFERROR(R1811/IF(G1811="",I1811,G1811)-1,""))</f>
        <v/>
      </c>
      <c r="R1811" s="48">
        <f>IF($M1811="","",MAX(IF($G1811="",$I1811,$G1811)*(1/1.1),IF($G1811="",$I1811,$G1811)+(R$2*$M1811)))</f>
        <v/>
      </c>
      <c r="S1811" s="49">
        <f>IF($M1811="","",MAX(IF($G1811="",$I1811,$G1811)*(1/1.1),IF($G1811="",$I1811,$G1811)+(S$2*$M1811)))</f>
        <v/>
      </c>
      <c r="T1811" s="82" t="n"/>
      <c r="U1811" s="47">
        <f>IF(OR($M1811="",$T1811=""),"",$T1811+(U$2*$M1811))</f>
        <v/>
      </c>
      <c r="V1811" s="48">
        <f>IF(OR($M1811="",$T1811=""),"",$T1811+(V$2*$M1811))</f>
        <v/>
      </c>
      <c r="W1811" s="48">
        <f>IF(OR($M1811="",$T1811=""),"",$T1811+(W$2*$M1811))</f>
        <v/>
      </c>
      <c r="X1811" s="49">
        <f>IF(OR($M1811="",$T1811=""),"",$T1811+(X$2*$M1811))</f>
        <v/>
      </c>
      <c r="Y1811" s="47">
        <f>IF(OR($M1811="",$T1811=""),"",$T1811+(Y$2*$M1811))</f>
        <v/>
      </c>
      <c r="Z1811" s="49">
        <f>IF(OR($M1811="",$T1811=""),"",$T1811+(Z$2*$M1811))</f>
        <v/>
      </c>
      <c r="AA1811" s="51">
        <f>IF(OR($M1811="",$T1811=""),"",$T1811+(AA$2*$M1811))</f>
        <v/>
      </c>
      <c r="AB1811" s="48">
        <f>IF(OR($M1811="",$T1811=""),"",$T1811+(AB$2*$M1811))</f>
        <v/>
      </c>
      <c r="AC1811" s="48">
        <f>IF(OR($M1811="",$T1811=""),"",$T1811+(AC$2*$M1811))</f>
        <v/>
      </c>
      <c r="AD1811" s="48">
        <f>IF(OR($M1811="",$T1811=""),"",$T1811+(AD$2*$M1811))</f>
        <v/>
      </c>
      <c r="AE1811" s="49">
        <f>IF(OR($M1811="",$T1811=""),"",$T1811+(AE$2*$M1811))</f>
        <v/>
      </c>
      <c r="AF1811" s="52">
        <f>IF(OR(T1811="",I1811&lt;T1811),"",IFERROR(AVERAGE(T1811+M1811*{7,8,9,10,11})/IF(G1811="",I1811,G1811)-1,""))</f>
        <v/>
      </c>
      <c r="AG1811" s="55">
        <f>IF(OR(T1811="",I1811&lt;T1811),"",IFERROR(AF1811/-(R1811/IF(G1811="",I1811,G1811)-1),""))</f>
        <v/>
      </c>
      <c r="AH1811" s="94" t="n"/>
      <c r="AI1811" s="94" t="n"/>
      <c r="AJ1811" s="94" t="n"/>
      <c r="AK1811" s="94" t="n"/>
      <c r="AL1811" s="84" t="n"/>
    </row>
    <row r="1812">
      <c r="A1812" s="64" t="n"/>
      <c r="B1812" s="65" t="n"/>
      <c r="C1812" s="66" t="n"/>
      <c r="D1812" s="67" t="n"/>
      <c r="E1812" s="68" t="n"/>
      <c r="F1812" s="47">
        <f>IF(A1812="","",IF(MIN(H1812,MAX(J1812:K1812))=0,"",MIN(H1812,MAX(J1812:K1812))))</f>
        <v/>
      </c>
      <c r="G1812" s="74" t="n"/>
      <c r="H1812" s="49">
        <f>IF(M1812="","",IFERROR(ROUND(AVERAGE(T1812+M1812*{7,8,9,10,11})/1.21,4),""))</f>
        <v/>
      </c>
      <c r="I1812" s="76" t="n"/>
      <c r="J1812" s="77" t="n"/>
      <c r="K1812" s="74" t="n"/>
      <c r="L1812" s="78" t="n"/>
      <c r="M1812" s="77" t="n"/>
      <c r="N1812" s="53">
        <f>IF(M1812="","",IFERROR(M1812/I1812,""))</f>
        <v/>
      </c>
      <c r="O1812" s="50">
        <f>IF(A1812="","",IFERROR((IF(G1812="",I1812,G1812)-T1812)/M1812,""))</f>
        <v/>
      </c>
      <c r="P1812" s="50">
        <f>IFERROR((I1812/T1812-1)/N1812,"")</f>
        <v/>
      </c>
      <c r="Q1812" s="46">
        <f>IF(OR(T1812="",I1812&lt;T1812),"",IFERROR(R1812/IF(G1812="",I1812,G1812)-1,""))</f>
        <v/>
      </c>
      <c r="R1812" s="48">
        <f>IF($M1812="","",MAX(IF($G1812="",$I1812,$G1812)*(1/1.1),IF($G1812="",$I1812,$G1812)+(R$2*$M1812)))</f>
        <v/>
      </c>
      <c r="S1812" s="49">
        <f>IF($M1812="","",MAX(IF($G1812="",$I1812,$G1812)*(1/1.1),IF($G1812="",$I1812,$G1812)+(S$2*$M1812)))</f>
        <v/>
      </c>
      <c r="T1812" s="82" t="n"/>
      <c r="U1812" s="47">
        <f>IF(OR($M1812="",$T1812=""),"",$T1812+(U$2*$M1812))</f>
        <v/>
      </c>
      <c r="V1812" s="48">
        <f>IF(OR($M1812="",$T1812=""),"",$T1812+(V$2*$M1812))</f>
        <v/>
      </c>
      <c r="W1812" s="48">
        <f>IF(OR($M1812="",$T1812=""),"",$T1812+(W$2*$M1812))</f>
        <v/>
      </c>
      <c r="X1812" s="49">
        <f>IF(OR($M1812="",$T1812=""),"",$T1812+(X$2*$M1812))</f>
        <v/>
      </c>
      <c r="Y1812" s="47">
        <f>IF(OR($M1812="",$T1812=""),"",$T1812+(Y$2*$M1812))</f>
        <v/>
      </c>
      <c r="Z1812" s="49">
        <f>IF(OR($M1812="",$T1812=""),"",$T1812+(Z$2*$M1812))</f>
        <v/>
      </c>
      <c r="AA1812" s="51">
        <f>IF(OR($M1812="",$T1812=""),"",$T1812+(AA$2*$M1812))</f>
        <v/>
      </c>
      <c r="AB1812" s="48">
        <f>IF(OR($M1812="",$T1812=""),"",$T1812+(AB$2*$M1812))</f>
        <v/>
      </c>
      <c r="AC1812" s="48">
        <f>IF(OR($M1812="",$T1812=""),"",$T1812+(AC$2*$M1812))</f>
        <v/>
      </c>
      <c r="AD1812" s="48">
        <f>IF(OR($M1812="",$T1812=""),"",$T1812+(AD$2*$M1812))</f>
        <v/>
      </c>
      <c r="AE1812" s="49">
        <f>IF(OR($M1812="",$T1812=""),"",$T1812+(AE$2*$M1812))</f>
        <v/>
      </c>
      <c r="AF1812" s="52">
        <f>IF(OR(T1812="",I1812&lt;T1812),"",IFERROR(AVERAGE(T1812+M1812*{7,8,9,10,11})/IF(G1812="",I1812,G1812)-1,""))</f>
        <v/>
      </c>
      <c r="AG1812" s="55">
        <f>IF(OR(T1812="",I1812&lt;T1812),"",IFERROR(AF1812/-(R1812/IF(G1812="",I1812,G1812)-1),""))</f>
        <v/>
      </c>
      <c r="AH1812" s="94" t="n"/>
      <c r="AI1812" s="94" t="n"/>
      <c r="AJ1812" s="94" t="n"/>
      <c r="AK1812" s="94" t="n"/>
      <c r="AL1812" s="84" t="n"/>
    </row>
    <row r="1813">
      <c r="A1813" s="64" t="n"/>
      <c r="B1813" s="65" t="n"/>
      <c r="C1813" s="66" t="n"/>
      <c r="D1813" s="67" t="n"/>
      <c r="E1813" s="68" t="n"/>
      <c r="F1813" s="47">
        <f>IF(A1813="","",IF(MIN(H1813,MAX(J1813:K1813))=0,"",MIN(H1813,MAX(J1813:K1813))))</f>
        <v/>
      </c>
      <c r="G1813" s="74" t="n"/>
      <c r="H1813" s="49">
        <f>IF(M1813="","",IFERROR(ROUND(AVERAGE(T1813+M1813*{7,8,9,10,11})/1.21,4),""))</f>
        <v/>
      </c>
      <c r="I1813" s="76" t="n"/>
      <c r="J1813" s="77" t="n"/>
      <c r="K1813" s="74" t="n"/>
      <c r="L1813" s="78" t="n"/>
      <c r="M1813" s="77" t="n"/>
      <c r="N1813" s="53">
        <f>IF(M1813="","",IFERROR(M1813/I1813,""))</f>
        <v/>
      </c>
      <c r="O1813" s="50">
        <f>IF(A1813="","",IFERROR((IF(G1813="",I1813,G1813)-T1813)/M1813,""))</f>
        <v/>
      </c>
      <c r="P1813" s="50">
        <f>IFERROR((I1813/T1813-1)/N1813,"")</f>
        <v/>
      </c>
      <c r="Q1813" s="46">
        <f>IF(OR(T1813="",I1813&lt;T1813),"",IFERROR(R1813/IF(G1813="",I1813,G1813)-1,""))</f>
        <v/>
      </c>
      <c r="R1813" s="48">
        <f>IF($M1813="","",MAX(IF($G1813="",$I1813,$G1813)*(1/1.1),IF($G1813="",$I1813,$G1813)+(R$2*$M1813)))</f>
        <v/>
      </c>
      <c r="S1813" s="49">
        <f>IF($M1813="","",MAX(IF($G1813="",$I1813,$G1813)*(1/1.1),IF($G1813="",$I1813,$G1813)+(S$2*$M1813)))</f>
        <v/>
      </c>
      <c r="T1813" s="82" t="n"/>
      <c r="U1813" s="47">
        <f>IF(OR($M1813="",$T1813=""),"",$T1813+(U$2*$M1813))</f>
        <v/>
      </c>
      <c r="V1813" s="48">
        <f>IF(OR($M1813="",$T1813=""),"",$T1813+(V$2*$M1813))</f>
        <v/>
      </c>
      <c r="W1813" s="48">
        <f>IF(OR($M1813="",$T1813=""),"",$T1813+(W$2*$M1813))</f>
        <v/>
      </c>
      <c r="X1813" s="49">
        <f>IF(OR($M1813="",$T1813=""),"",$T1813+(X$2*$M1813))</f>
        <v/>
      </c>
      <c r="Y1813" s="47">
        <f>IF(OR($M1813="",$T1813=""),"",$T1813+(Y$2*$M1813))</f>
        <v/>
      </c>
      <c r="Z1813" s="49">
        <f>IF(OR($M1813="",$T1813=""),"",$T1813+(Z$2*$M1813))</f>
        <v/>
      </c>
      <c r="AA1813" s="51">
        <f>IF(OR($M1813="",$T1813=""),"",$T1813+(AA$2*$M1813))</f>
        <v/>
      </c>
      <c r="AB1813" s="48">
        <f>IF(OR($M1813="",$T1813=""),"",$T1813+(AB$2*$M1813))</f>
        <v/>
      </c>
      <c r="AC1813" s="48">
        <f>IF(OR($M1813="",$T1813=""),"",$T1813+(AC$2*$M1813))</f>
        <v/>
      </c>
      <c r="AD1813" s="48">
        <f>IF(OR($M1813="",$T1813=""),"",$T1813+(AD$2*$M1813))</f>
        <v/>
      </c>
      <c r="AE1813" s="49">
        <f>IF(OR($M1813="",$T1813=""),"",$T1813+(AE$2*$M1813))</f>
        <v/>
      </c>
      <c r="AF1813" s="52">
        <f>IF(OR(T1813="",I1813&lt;T1813),"",IFERROR(AVERAGE(T1813+M1813*{7,8,9,10,11})/IF(G1813="",I1813,G1813)-1,""))</f>
        <v/>
      </c>
      <c r="AG1813" s="55">
        <f>IF(OR(T1813="",I1813&lt;T1813),"",IFERROR(AF1813/-(R1813/IF(G1813="",I1813,G1813)-1),""))</f>
        <v/>
      </c>
      <c r="AH1813" s="94" t="n"/>
      <c r="AI1813" s="94" t="n"/>
      <c r="AJ1813" s="94" t="n"/>
      <c r="AK1813" s="94" t="n"/>
      <c r="AL1813" s="84" t="n"/>
    </row>
    <row r="1814">
      <c r="A1814" s="64" t="n"/>
      <c r="B1814" s="65" t="n"/>
      <c r="C1814" s="66" t="n"/>
      <c r="D1814" s="67" t="n"/>
      <c r="E1814" s="68" t="n"/>
      <c r="F1814" s="47">
        <f>IF(A1814="","",IF(MIN(H1814,MAX(J1814:K1814))=0,"",MIN(H1814,MAX(J1814:K1814))))</f>
        <v/>
      </c>
      <c r="G1814" s="74" t="n"/>
      <c r="H1814" s="49">
        <f>IF(M1814="","",IFERROR(ROUND(AVERAGE(T1814+M1814*{7,8,9,10,11})/1.21,4),""))</f>
        <v/>
      </c>
      <c r="I1814" s="76" t="n"/>
      <c r="J1814" s="77" t="n"/>
      <c r="K1814" s="74" t="n"/>
      <c r="L1814" s="78" t="n"/>
      <c r="M1814" s="77" t="n"/>
      <c r="N1814" s="53">
        <f>IF(M1814="","",IFERROR(M1814/I1814,""))</f>
        <v/>
      </c>
      <c r="O1814" s="50">
        <f>IF(A1814="","",IFERROR((IF(G1814="",I1814,G1814)-T1814)/M1814,""))</f>
        <v/>
      </c>
      <c r="P1814" s="50">
        <f>IFERROR((I1814/T1814-1)/N1814,"")</f>
        <v/>
      </c>
      <c r="Q1814" s="46">
        <f>IF(OR(T1814="",I1814&lt;T1814),"",IFERROR(R1814/IF(G1814="",I1814,G1814)-1,""))</f>
        <v/>
      </c>
      <c r="R1814" s="48">
        <f>IF($M1814="","",MAX(IF($G1814="",$I1814,$G1814)*(1/1.1),IF($G1814="",$I1814,$G1814)+(R$2*$M1814)))</f>
        <v/>
      </c>
      <c r="S1814" s="49">
        <f>IF($M1814="","",MAX(IF($G1814="",$I1814,$G1814)*(1/1.1),IF($G1814="",$I1814,$G1814)+(S$2*$M1814)))</f>
        <v/>
      </c>
      <c r="T1814" s="82" t="n"/>
      <c r="U1814" s="47">
        <f>IF(OR($M1814="",$T1814=""),"",$T1814+(U$2*$M1814))</f>
        <v/>
      </c>
      <c r="V1814" s="48">
        <f>IF(OR($M1814="",$T1814=""),"",$T1814+(V$2*$M1814))</f>
        <v/>
      </c>
      <c r="W1814" s="48">
        <f>IF(OR($M1814="",$T1814=""),"",$T1814+(W$2*$M1814))</f>
        <v/>
      </c>
      <c r="X1814" s="49">
        <f>IF(OR($M1814="",$T1814=""),"",$T1814+(X$2*$M1814))</f>
        <v/>
      </c>
      <c r="Y1814" s="47">
        <f>IF(OR($M1814="",$T1814=""),"",$T1814+(Y$2*$M1814))</f>
        <v/>
      </c>
      <c r="Z1814" s="49">
        <f>IF(OR($M1814="",$T1814=""),"",$T1814+(Z$2*$M1814))</f>
        <v/>
      </c>
      <c r="AA1814" s="51">
        <f>IF(OR($M1814="",$T1814=""),"",$T1814+(AA$2*$M1814))</f>
        <v/>
      </c>
      <c r="AB1814" s="48">
        <f>IF(OR($M1814="",$T1814=""),"",$T1814+(AB$2*$M1814))</f>
        <v/>
      </c>
      <c r="AC1814" s="48">
        <f>IF(OR($M1814="",$T1814=""),"",$T1814+(AC$2*$M1814))</f>
        <v/>
      </c>
      <c r="AD1814" s="48">
        <f>IF(OR($M1814="",$T1814=""),"",$T1814+(AD$2*$M1814))</f>
        <v/>
      </c>
      <c r="AE1814" s="49">
        <f>IF(OR($M1814="",$T1814=""),"",$T1814+(AE$2*$M1814))</f>
        <v/>
      </c>
      <c r="AF1814" s="52">
        <f>IF(OR(T1814="",I1814&lt;T1814),"",IFERROR(AVERAGE(T1814+M1814*{7,8,9,10,11})/IF(G1814="",I1814,G1814)-1,""))</f>
        <v/>
      </c>
      <c r="AG1814" s="55">
        <f>IF(OR(T1814="",I1814&lt;T1814),"",IFERROR(AF1814/-(R1814/IF(G1814="",I1814,G1814)-1),""))</f>
        <v/>
      </c>
      <c r="AH1814" s="94" t="n"/>
      <c r="AI1814" s="94" t="n"/>
      <c r="AJ1814" s="94" t="n"/>
      <c r="AK1814" s="94" t="n"/>
      <c r="AL1814" s="84" t="n"/>
    </row>
    <row r="1815">
      <c r="A1815" s="64" t="n"/>
      <c r="B1815" s="65" t="n"/>
      <c r="C1815" s="66" t="n"/>
      <c r="D1815" s="67" t="n"/>
      <c r="E1815" s="68" t="n"/>
      <c r="F1815" s="47">
        <f>IF(A1815="","",IF(MIN(H1815,MAX(J1815:K1815))=0,"",MIN(H1815,MAX(J1815:K1815))))</f>
        <v/>
      </c>
      <c r="G1815" s="74" t="n"/>
      <c r="H1815" s="49">
        <f>IF(M1815="","",IFERROR(ROUND(AVERAGE(T1815+M1815*{7,8,9,10,11})/1.21,4),""))</f>
        <v/>
      </c>
      <c r="I1815" s="76" t="n"/>
      <c r="J1815" s="77" t="n"/>
      <c r="K1815" s="74" t="n"/>
      <c r="L1815" s="78" t="n"/>
      <c r="M1815" s="77" t="n"/>
      <c r="N1815" s="53">
        <f>IF(M1815="","",IFERROR(M1815/I1815,""))</f>
        <v/>
      </c>
      <c r="O1815" s="50">
        <f>IF(A1815="","",IFERROR((IF(G1815="",I1815,G1815)-T1815)/M1815,""))</f>
        <v/>
      </c>
      <c r="P1815" s="50">
        <f>IFERROR((I1815/T1815-1)/N1815,"")</f>
        <v/>
      </c>
      <c r="Q1815" s="46">
        <f>IF(OR(T1815="",I1815&lt;T1815),"",IFERROR(R1815/IF(G1815="",I1815,G1815)-1,""))</f>
        <v/>
      </c>
      <c r="R1815" s="48">
        <f>IF($M1815="","",MAX(IF($G1815="",$I1815,$G1815)*(1/1.1),IF($G1815="",$I1815,$G1815)+(R$2*$M1815)))</f>
        <v/>
      </c>
      <c r="S1815" s="49">
        <f>IF($M1815="","",MAX(IF($G1815="",$I1815,$G1815)*(1/1.1),IF($G1815="",$I1815,$G1815)+(S$2*$M1815)))</f>
        <v/>
      </c>
      <c r="T1815" s="82" t="n"/>
      <c r="U1815" s="47">
        <f>IF(OR($M1815="",$T1815=""),"",$T1815+(U$2*$M1815))</f>
        <v/>
      </c>
      <c r="V1815" s="48">
        <f>IF(OR($M1815="",$T1815=""),"",$T1815+(V$2*$M1815))</f>
        <v/>
      </c>
      <c r="W1815" s="48">
        <f>IF(OR($M1815="",$T1815=""),"",$T1815+(W$2*$M1815))</f>
        <v/>
      </c>
      <c r="X1815" s="49">
        <f>IF(OR($M1815="",$T1815=""),"",$T1815+(X$2*$M1815))</f>
        <v/>
      </c>
      <c r="Y1815" s="47">
        <f>IF(OR($M1815="",$T1815=""),"",$T1815+(Y$2*$M1815))</f>
        <v/>
      </c>
      <c r="Z1815" s="49">
        <f>IF(OR($M1815="",$T1815=""),"",$T1815+(Z$2*$M1815))</f>
        <v/>
      </c>
      <c r="AA1815" s="51">
        <f>IF(OR($M1815="",$T1815=""),"",$T1815+(AA$2*$M1815))</f>
        <v/>
      </c>
      <c r="AB1815" s="48">
        <f>IF(OR($M1815="",$T1815=""),"",$T1815+(AB$2*$M1815))</f>
        <v/>
      </c>
      <c r="AC1815" s="48">
        <f>IF(OR($M1815="",$T1815=""),"",$T1815+(AC$2*$M1815))</f>
        <v/>
      </c>
      <c r="AD1815" s="48">
        <f>IF(OR($M1815="",$T1815=""),"",$T1815+(AD$2*$M1815))</f>
        <v/>
      </c>
      <c r="AE1815" s="49">
        <f>IF(OR($M1815="",$T1815=""),"",$T1815+(AE$2*$M1815))</f>
        <v/>
      </c>
      <c r="AF1815" s="52">
        <f>IF(OR(T1815="",I1815&lt;T1815),"",IFERROR(AVERAGE(T1815+M1815*{7,8,9,10,11})/IF(G1815="",I1815,G1815)-1,""))</f>
        <v/>
      </c>
      <c r="AG1815" s="55">
        <f>IF(OR(T1815="",I1815&lt;T1815),"",IFERROR(AF1815/-(R1815/IF(G1815="",I1815,G1815)-1),""))</f>
        <v/>
      </c>
      <c r="AH1815" s="94" t="n"/>
      <c r="AI1815" s="94" t="n"/>
      <c r="AJ1815" s="94" t="n"/>
      <c r="AK1815" s="94" t="n"/>
      <c r="AL1815" s="84" t="n"/>
    </row>
    <row r="1816">
      <c r="A1816" s="64" t="n"/>
      <c r="B1816" s="65" t="n"/>
      <c r="C1816" s="66" t="n"/>
      <c r="D1816" s="67" t="n"/>
      <c r="E1816" s="68" t="n"/>
      <c r="F1816" s="47">
        <f>IF(A1816="","",IF(MIN(H1816,MAX(J1816:K1816))=0,"",MIN(H1816,MAX(J1816:K1816))))</f>
        <v/>
      </c>
      <c r="G1816" s="74" t="n"/>
      <c r="H1816" s="49">
        <f>IF(M1816="","",IFERROR(ROUND(AVERAGE(T1816+M1816*{7,8,9,10,11})/1.21,4),""))</f>
        <v/>
      </c>
      <c r="I1816" s="76" t="n"/>
      <c r="J1816" s="77" t="n"/>
      <c r="K1816" s="74" t="n"/>
      <c r="L1816" s="78" t="n"/>
      <c r="M1816" s="77" t="n"/>
      <c r="N1816" s="53">
        <f>IF(M1816="","",IFERROR(M1816/I1816,""))</f>
        <v/>
      </c>
      <c r="O1816" s="50">
        <f>IF(A1816="","",IFERROR((IF(G1816="",I1816,G1816)-T1816)/M1816,""))</f>
        <v/>
      </c>
      <c r="P1816" s="50">
        <f>IFERROR((I1816/T1816-1)/N1816,"")</f>
        <v/>
      </c>
      <c r="Q1816" s="46">
        <f>IF(OR(T1816="",I1816&lt;T1816),"",IFERROR(R1816/IF(G1816="",I1816,G1816)-1,""))</f>
        <v/>
      </c>
      <c r="R1816" s="48">
        <f>IF($M1816="","",MAX(IF($G1816="",$I1816,$G1816)*(1/1.1),IF($G1816="",$I1816,$G1816)+(R$2*$M1816)))</f>
        <v/>
      </c>
      <c r="S1816" s="49">
        <f>IF($M1816="","",MAX(IF($G1816="",$I1816,$G1816)*(1/1.1),IF($G1816="",$I1816,$G1816)+(S$2*$M1816)))</f>
        <v/>
      </c>
      <c r="T1816" s="82" t="n"/>
      <c r="U1816" s="47">
        <f>IF(OR($M1816="",$T1816=""),"",$T1816+(U$2*$M1816))</f>
        <v/>
      </c>
      <c r="V1816" s="48">
        <f>IF(OR($M1816="",$T1816=""),"",$T1816+(V$2*$M1816))</f>
        <v/>
      </c>
      <c r="W1816" s="48">
        <f>IF(OR($M1816="",$T1816=""),"",$T1816+(W$2*$M1816))</f>
        <v/>
      </c>
      <c r="X1816" s="49">
        <f>IF(OR($M1816="",$T1816=""),"",$T1816+(X$2*$M1816))</f>
        <v/>
      </c>
      <c r="Y1816" s="47">
        <f>IF(OR($M1816="",$T1816=""),"",$T1816+(Y$2*$M1816))</f>
        <v/>
      </c>
      <c r="Z1816" s="49">
        <f>IF(OR($M1816="",$T1816=""),"",$T1816+(Z$2*$M1816))</f>
        <v/>
      </c>
      <c r="AA1816" s="51">
        <f>IF(OR($M1816="",$T1816=""),"",$T1816+(AA$2*$M1816))</f>
        <v/>
      </c>
      <c r="AB1816" s="48">
        <f>IF(OR($M1816="",$T1816=""),"",$T1816+(AB$2*$M1816))</f>
        <v/>
      </c>
      <c r="AC1816" s="48">
        <f>IF(OR($M1816="",$T1816=""),"",$T1816+(AC$2*$M1816))</f>
        <v/>
      </c>
      <c r="AD1816" s="48">
        <f>IF(OR($M1816="",$T1816=""),"",$T1816+(AD$2*$M1816))</f>
        <v/>
      </c>
      <c r="AE1816" s="49">
        <f>IF(OR($M1816="",$T1816=""),"",$T1816+(AE$2*$M1816))</f>
        <v/>
      </c>
      <c r="AF1816" s="52">
        <f>IF(OR(T1816="",I1816&lt;T1816),"",IFERROR(AVERAGE(T1816+M1816*{7,8,9,10,11})/IF(G1816="",I1816,G1816)-1,""))</f>
        <v/>
      </c>
      <c r="AG1816" s="55">
        <f>IF(OR(T1816="",I1816&lt;T1816),"",IFERROR(AF1816/-(R1816/IF(G1816="",I1816,G1816)-1),""))</f>
        <v/>
      </c>
      <c r="AH1816" s="94" t="n"/>
      <c r="AI1816" s="94" t="n"/>
      <c r="AJ1816" s="94" t="n"/>
      <c r="AK1816" s="94" t="n"/>
      <c r="AL1816" s="84" t="n"/>
    </row>
    <row r="1817">
      <c r="A1817" s="64" t="n"/>
      <c r="B1817" s="65" t="n"/>
      <c r="C1817" s="66" t="n"/>
      <c r="D1817" s="67" t="n"/>
      <c r="E1817" s="68" t="n"/>
      <c r="F1817" s="47">
        <f>IF(A1817="","",IF(MIN(H1817,MAX(J1817:K1817))=0,"",MIN(H1817,MAX(J1817:K1817))))</f>
        <v/>
      </c>
      <c r="G1817" s="74" t="n"/>
      <c r="H1817" s="49">
        <f>IF(M1817="","",IFERROR(ROUND(AVERAGE(T1817+M1817*{7,8,9,10,11})/1.21,4),""))</f>
        <v/>
      </c>
      <c r="I1817" s="76" t="n"/>
      <c r="J1817" s="77" t="n"/>
      <c r="K1817" s="74" t="n"/>
      <c r="L1817" s="78" t="n"/>
      <c r="M1817" s="77" t="n"/>
      <c r="N1817" s="53">
        <f>IF(M1817="","",IFERROR(M1817/I1817,""))</f>
        <v/>
      </c>
      <c r="O1817" s="50">
        <f>IF(A1817="","",IFERROR((IF(G1817="",I1817,G1817)-T1817)/M1817,""))</f>
        <v/>
      </c>
      <c r="P1817" s="50">
        <f>IFERROR((I1817/T1817-1)/N1817,"")</f>
        <v/>
      </c>
      <c r="Q1817" s="46">
        <f>IF(OR(T1817="",I1817&lt;T1817),"",IFERROR(R1817/IF(G1817="",I1817,G1817)-1,""))</f>
        <v/>
      </c>
      <c r="R1817" s="48">
        <f>IF($M1817="","",MAX(IF($G1817="",$I1817,$G1817)*(1/1.1),IF($G1817="",$I1817,$G1817)+(R$2*$M1817)))</f>
        <v/>
      </c>
      <c r="S1817" s="49">
        <f>IF($M1817="","",MAX(IF($G1817="",$I1817,$G1817)*(1/1.1),IF($G1817="",$I1817,$G1817)+(S$2*$M1817)))</f>
        <v/>
      </c>
      <c r="T1817" s="82" t="n"/>
      <c r="U1817" s="47">
        <f>IF(OR($M1817="",$T1817=""),"",$T1817+(U$2*$M1817))</f>
        <v/>
      </c>
      <c r="V1817" s="48">
        <f>IF(OR($M1817="",$T1817=""),"",$T1817+(V$2*$M1817))</f>
        <v/>
      </c>
      <c r="W1817" s="48">
        <f>IF(OR($M1817="",$T1817=""),"",$T1817+(W$2*$M1817))</f>
        <v/>
      </c>
      <c r="X1817" s="49">
        <f>IF(OR($M1817="",$T1817=""),"",$T1817+(X$2*$M1817))</f>
        <v/>
      </c>
      <c r="Y1817" s="47">
        <f>IF(OR($M1817="",$T1817=""),"",$T1817+(Y$2*$M1817))</f>
        <v/>
      </c>
      <c r="Z1817" s="49">
        <f>IF(OR($M1817="",$T1817=""),"",$T1817+(Z$2*$M1817))</f>
        <v/>
      </c>
      <c r="AA1817" s="51">
        <f>IF(OR($M1817="",$T1817=""),"",$T1817+(AA$2*$M1817))</f>
        <v/>
      </c>
      <c r="AB1817" s="48">
        <f>IF(OR($M1817="",$T1817=""),"",$T1817+(AB$2*$M1817))</f>
        <v/>
      </c>
      <c r="AC1817" s="48">
        <f>IF(OR($M1817="",$T1817=""),"",$T1817+(AC$2*$M1817))</f>
        <v/>
      </c>
      <c r="AD1817" s="48">
        <f>IF(OR($M1817="",$T1817=""),"",$T1817+(AD$2*$M1817))</f>
        <v/>
      </c>
      <c r="AE1817" s="49">
        <f>IF(OR($M1817="",$T1817=""),"",$T1817+(AE$2*$M1817))</f>
        <v/>
      </c>
      <c r="AF1817" s="52">
        <f>IF(OR(T1817="",I1817&lt;T1817),"",IFERROR(AVERAGE(T1817+M1817*{7,8,9,10,11})/IF(G1817="",I1817,G1817)-1,""))</f>
        <v/>
      </c>
      <c r="AG1817" s="55">
        <f>IF(OR(T1817="",I1817&lt;T1817),"",IFERROR(AF1817/-(R1817/IF(G1817="",I1817,G1817)-1),""))</f>
        <v/>
      </c>
      <c r="AH1817" s="94" t="n"/>
      <c r="AI1817" s="94" t="n"/>
      <c r="AJ1817" s="94" t="n"/>
      <c r="AK1817" s="94" t="n"/>
      <c r="AL1817" s="84" t="n"/>
    </row>
    <row r="1818">
      <c r="A1818" s="64" t="n"/>
      <c r="B1818" s="65" t="n"/>
      <c r="C1818" s="66" t="n"/>
      <c r="D1818" s="67" t="n"/>
      <c r="E1818" s="68" t="n"/>
      <c r="F1818" s="47">
        <f>IF(A1818="","",IF(MIN(H1818,MAX(J1818:K1818))=0,"",MIN(H1818,MAX(J1818:K1818))))</f>
        <v/>
      </c>
      <c r="G1818" s="74" t="n"/>
      <c r="H1818" s="49">
        <f>IF(M1818="","",IFERROR(ROUND(AVERAGE(T1818+M1818*{7,8,9,10,11})/1.21,4),""))</f>
        <v/>
      </c>
      <c r="I1818" s="76" t="n"/>
      <c r="J1818" s="77" t="n"/>
      <c r="K1818" s="74" t="n"/>
      <c r="L1818" s="78" t="n"/>
      <c r="M1818" s="77" t="n"/>
      <c r="N1818" s="53">
        <f>IF(M1818="","",IFERROR(M1818/I1818,""))</f>
        <v/>
      </c>
      <c r="O1818" s="50">
        <f>IF(A1818="","",IFERROR((IF(G1818="",I1818,G1818)-T1818)/M1818,""))</f>
        <v/>
      </c>
      <c r="P1818" s="50">
        <f>IFERROR((I1818/T1818-1)/N1818,"")</f>
        <v/>
      </c>
      <c r="Q1818" s="46">
        <f>IF(OR(T1818="",I1818&lt;T1818),"",IFERROR(R1818/IF(G1818="",I1818,G1818)-1,""))</f>
        <v/>
      </c>
      <c r="R1818" s="48">
        <f>IF($M1818="","",MAX(IF($G1818="",$I1818,$G1818)*(1/1.1),IF($G1818="",$I1818,$G1818)+(R$2*$M1818)))</f>
        <v/>
      </c>
      <c r="S1818" s="49">
        <f>IF($M1818="","",MAX(IF($G1818="",$I1818,$G1818)*(1/1.1),IF($G1818="",$I1818,$G1818)+(S$2*$M1818)))</f>
        <v/>
      </c>
      <c r="T1818" s="82" t="n"/>
      <c r="U1818" s="47">
        <f>IF(OR($M1818="",$T1818=""),"",$T1818+(U$2*$M1818))</f>
        <v/>
      </c>
      <c r="V1818" s="48">
        <f>IF(OR($M1818="",$T1818=""),"",$T1818+(V$2*$M1818))</f>
        <v/>
      </c>
      <c r="W1818" s="48">
        <f>IF(OR($M1818="",$T1818=""),"",$T1818+(W$2*$M1818))</f>
        <v/>
      </c>
      <c r="X1818" s="49">
        <f>IF(OR($M1818="",$T1818=""),"",$T1818+(X$2*$M1818))</f>
        <v/>
      </c>
      <c r="Y1818" s="47">
        <f>IF(OR($M1818="",$T1818=""),"",$T1818+(Y$2*$M1818))</f>
        <v/>
      </c>
      <c r="Z1818" s="49">
        <f>IF(OR($M1818="",$T1818=""),"",$T1818+(Z$2*$M1818))</f>
        <v/>
      </c>
      <c r="AA1818" s="51">
        <f>IF(OR($M1818="",$T1818=""),"",$T1818+(AA$2*$M1818))</f>
        <v/>
      </c>
      <c r="AB1818" s="48">
        <f>IF(OR($M1818="",$T1818=""),"",$T1818+(AB$2*$M1818))</f>
        <v/>
      </c>
      <c r="AC1818" s="48">
        <f>IF(OR($M1818="",$T1818=""),"",$T1818+(AC$2*$M1818))</f>
        <v/>
      </c>
      <c r="AD1818" s="48">
        <f>IF(OR($M1818="",$T1818=""),"",$T1818+(AD$2*$M1818))</f>
        <v/>
      </c>
      <c r="AE1818" s="49">
        <f>IF(OR($M1818="",$T1818=""),"",$T1818+(AE$2*$M1818))</f>
        <v/>
      </c>
      <c r="AF1818" s="52">
        <f>IF(OR(T1818="",I1818&lt;T1818),"",IFERROR(AVERAGE(T1818+M1818*{7,8,9,10,11})/IF(G1818="",I1818,G1818)-1,""))</f>
        <v/>
      </c>
      <c r="AG1818" s="55">
        <f>IF(OR(T1818="",I1818&lt;T1818),"",IFERROR(AF1818/-(R1818/IF(G1818="",I1818,G1818)-1),""))</f>
        <v/>
      </c>
      <c r="AH1818" s="94" t="n"/>
      <c r="AI1818" s="94" t="n"/>
      <c r="AJ1818" s="94" t="n"/>
      <c r="AK1818" s="94" t="n"/>
      <c r="AL1818" s="84" t="n"/>
    </row>
    <row r="1819">
      <c r="A1819" s="64" t="n"/>
      <c r="B1819" s="65" t="n"/>
      <c r="C1819" s="66" t="n"/>
      <c r="D1819" s="67" t="n"/>
      <c r="E1819" s="68" t="n"/>
      <c r="F1819" s="47">
        <f>IF(A1819="","",IF(MIN(H1819,MAX(J1819:K1819))=0,"",MIN(H1819,MAX(J1819:K1819))))</f>
        <v/>
      </c>
      <c r="G1819" s="74" t="n"/>
      <c r="H1819" s="49">
        <f>IF(M1819="","",IFERROR(ROUND(AVERAGE(T1819+M1819*{7,8,9,10,11})/1.21,4),""))</f>
        <v/>
      </c>
      <c r="I1819" s="76" t="n"/>
      <c r="J1819" s="77" t="n"/>
      <c r="K1819" s="74" t="n"/>
      <c r="L1819" s="78" t="n"/>
      <c r="M1819" s="77" t="n"/>
      <c r="N1819" s="53">
        <f>IF(M1819="","",IFERROR(M1819/I1819,""))</f>
        <v/>
      </c>
      <c r="O1819" s="50">
        <f>IF(A1819="","",IFERROR((IF(G1819="",I1819,G1819)-T1819)/M1819,""))</f>
        <v/>
      </c>
      <c r="P1819" s="50">
        <f>IFERROR((I1819/T1819-1)/N1819,"")</f>
        <v/>
      </c>
      <c r="Q1819" s="46">
        <f>IF(OR(T1819="",I1819&lt;T1819),"",IFERROR(R1819/IF(G1819="",I1819,G1819)-1,""))</f>
        <v/>
      </c>
      <c r="R1819" s="48">
        <f>IF($M1819="","",MAX(IF($G1819="",$I1819,$G1819)*(1/1.1),IF($G1819="",$I1819,$G1819)+(R$2*$M1819)))</f>
        <v/>
      </c>
      <c r="S1819" s="49">
        <f>IF($M1819="","",MAX(IF($G1819="",$I1819,$G1819)*(1/1.1),IF($G1819="",$I1819,$G1819)+(S$2*$M1819)))</f>
        <v/>
      </c>
      <c r="T1819" s="82" t="n"/>
      <c r="U1819" s="47">
        <f>IF(OR($M1819="",$T1819=""),"",$T1819+(U$2*$M1819))</f>
        <v/>
      </c>
      <c r="V1819" s="48">
        <f>IF(OR($M1819="",$T1819=""),"",$T1819+(V$2*$M1819))</f>
        <v/>
      </c>
      <c r="W1819" s="48">
        <f>IF(OR($M1819="",$T1819=""),"",$T1819+(W$2*$M1819))</f>
        <v/>
      </c>
      <c r="X1819" s="49">
        <f>IF(OR($M1819="",$T1819=""),"",$T1819+(X$2*$M1819))</f>
        <v/>
      </c>
      <c r="Y1819" s="47">
        <f>IF(OR($M1819="",$T1819=""),"",$T1819+(Y$2*$M1819))</f>
        <v/>
      </c>
      <c r="Z1819" s="49">
        <f>IF(OR($M1819="",$T1819=""),"",$T1819+(Z$2*$M1819))</f>
        <v/>
      </c>
      <c r="AA1819" s="51">
        <f>IF(OR($M1819="",$T1819=""),"",$T1819+(AA$2*$M1819))</f>
        <v/>
      </c>
      <c r="AB1819" s="48">
        <f>IF(OR($M1819="",$T1819=""),"",$T1819+(AB$2*$M1819))</f>
        <v/>
      </c>
      <c r="AC1819" s="48">
        <f>IF(OR($M1819="",$T1819=""),"",$T1819+(AC$2*$M1819))</f>
        <v/>
      </c>
      <c r="AD1819" s="48">
        <f>IF(OR($M1819="",$T1819=""),"",$T1819+(AD$2*$M1819))</f>
        <v/>
      </c>
      <c r="AE1819" s="49">
        <f>IF(OR($M1819="",$T1819=""),"",$T1819+(AE$2*$M1819))</f>
        <v/>
      </c>
      <c r="AF1819" s="52">
        <f>IF(OR(T1819="",I1819&lt;T1819),"",IFERROR(AVERAGE(T1819+M1819*{7,8,9,10,11})/IF(G1819="",I1819,G1819)-1,""))</f>
        <v/>
      </c>
      <c r="AG1819" s="55">
        <f>IF(OR(T1819="",I1819&lt;T1819),"",IFERROR(AF1819/-(R1819/IF(G1819="",I1819,G1819)-1),""))</f>
        <v/>
      </c>
      <c r="AH1819" s="94" t="n"/>
      <c r="AI1819" s="94" t="n"/>
      <c r="AJ1819" s="94" t="n"/>
      <c r="AK1819" s="94" t="n"/>
      <c r="AL1819" s="84" t="n"/>
    </row>
    <row r="1820">
      <c r="A1820" s="64" t="n"/>
      <c r="B1820" s="65" t="n"/>
      <c r="C1820" s="66" t="n"/>
      <c r="D1820" s="67" t="n"/>
      <c r="E1820" s="68" t="n"/>
      <c r="F1820" s="47">
        <f>IF(A1820="","",IF(MIN(H1820,MAX(J1820:K1820))=0,"",MIN(H1820,MAX(J1820:K1820))))</f>
        <v/>
      </c>
      <c r="G1820" s="74" t="n"/>
      <c r="H1820" s="49">
        <f>IF(M1820="","",IFERROR(ROUND(AVERAGE(T1820+M1820*{7,8,9,10,11})/1.21,4),""))</f>
        <v/>
      </c>
      <c r="I1820" s="76" t="n"/>
      <c r="J1820" s="77" t="n"/>
      <c r="K1820" s="74" t="n"/>
      <c r="L1820" s="78" t="n"/>
      <c r="M1820" s="77" t="n"/>
      <c r="N1820" s="53">
        <f>IF(M1820="","",IFERROR(M1820/I1820,""))</f>
        <v/>
      </c>
      <c r="O1820" s="50">
        <f>IF(A1820="","",IFERROR((IF(G1820="",I1820,G1820)-T1820)/M1820,""))</f>
        <v/>
      </c>
      <c r="P1820" s="50">
        <f>IFERROR((I1820/T1820-1)/N1820,"")</f>
        <v/>
      </c>
      <c r="Q1820" s="46">
        <f>IF(OR(T1820="",I1820&lt;T1820),"",IFERROR(R1820/IF(G1820="",I1820,G1820)-1,""))</f>
        <v/>
      </c>
      <c r="R1820" s="48">
        <f>IF($M1820="","",MAX(IF($G1820="",$I1820,$G1820)*(1/1.1),IF($G1820="",$I1820,$G1820)+(R$2*$M1820)))</f>
        <v/>
      </c>
      <c r="S1820" s="49">
        <f>IF($M1820="","",MAX(IF($G1820="",$I1820,$G1820)*(1/1.1),IF($G1820="",$I1820,$G1820)+(S$2*$M1820)))</f>
        <v/>
      </c>
      <c r="T1820" s="82" t="n"/>
      <c r="U1820" s="47">
        <f>IF(OR($M1820="",$T1820=""),"",$T1820+(U$2*$M1820))</f>
        <v/>
      </c>
      <c r="V1820" s="48">
        <f>IF(OR($M1820="",$T1820=""),"",$T1820+(V$2*$M1820))</f>
        <v/>
      </c>
      <c r="W1820" s="48">
        <f>IF(OR($M1820="",$T1820=""),"",$T1820+(W$2*$M1820))</f>
        <v/>
      </c>
      <c r="X1820" s="49">
        <f>IF(OR($M1820="",$T1820=""),"",$T1820+(X$2*$M1820))</f>
        <v/>
      </c>
      <c r="Y1820" s="47">
        <f>IF(OR($M1820="",$T1820=""),"",$T1820+(Y$2*$M1820))</f>
        <v/>
      </c>
      <c r="Z1820" s="49">
        <f>IF(OR($M1820="",$T1820=""),"",$T1820+(Z$2*$M1820))</f>
        <v/>
      </c>
      <c r="AA1820" s="51">
        <f>IF(OR($M1820="",$T1820=""),"",$T1820+(AA$2*$M1820))</f>
        <v/>
      </c>
      <c r="AB1820" s="48">
        <f>IF(OR($M1820="",$T1820=""),"",$T1820+(AB$2*$M1820))</f>
        <v/>
      </c>
      <c r="AC1820" s="48">
        <f>IF(OR($M1820="",$T1820=""),"",$T1820+(AC$2*$M1820))</f>
        <v/>
      </c>
      <c r="AD1820" s="48">
        <f>IF(OR($M1820="",$T1820=""),"",$T1820+(AD$2*$M1820))</f>
        <v/>
      </c>
      <c r="AE1820" s="49">
        <f>IF(OR($M1820="",$T1820=""),"",$T1820+(AE$2*$M1820))</f>
        <v/>
      </c>
      <c r="AF1820" s="52">
        <f>IF(OR(T1820="",I1820&lt;T1820),"",IFERROR(AVERAGE(T1820+M1820*{7,8,9,10,11})/IF(G1820="",I1820,G1820)-1,""))</f>
        <v/>
      </c>
      <c r="AG1820" s="55">
        <f>IF(OR(T1820="",I1820&lt;T1820),"",IFERROR(AF1820/-(R1820/IF(G1820="",I1820,G1820)-1),""))</f>
        <v/>
      </c>
      <c r="AH1820" s="94" t="n"/>
      <c r="AI1820" s="94" t="n"/>
      <c r="AJ1820" s="94" t="n"/>
      <c r="AK1820" s="94" t="n"/>
      <c r="AL1820" s="84" t="n"/>
    </row>
    <row r="1821">
      <c r="A1821" s="64" t="n"/>
      <c r="B1821" s="65" t="n"/>
      <c r="C1821" s="66" t="n"/>
      <c r="D1821" s="67" t="n"/>
      <c r="E1821" s="68" t="n"/>
      <c r="F1821" s="47">
        <f>IF(A1821="","",IF(MIN(H1821,MAX(J1821:K1821))=0,"",MIN(H1821,MAX(J1821:K1821))))</f>
        <v/>
      </c>
      <c r="G1821" s="74" t="n"/>
      <c r="H1821" s="49">
        <f>IF(M1821="","",IFERROR(ROUND(AVERAGE(T1821+M1821*{7,8,9,10,11})/1.21,4),""))</f>
        <v/>
      </c>
      <c r="I1821" s="76" t="n"/>
      <c r="J1821" s="77" t="n"/>
      <c r="K1821" s="74" t="n"/>
      <c r="L1821" s="78" t="n"/>
      <c r="M1821" s="77" t="n"/>
      <c r="N1821" s="53">
        <f>IF(M1821="","",IFERROR(M1821/I1821,""))</f>
        <v/>
      </c>
      <c r="O1821" s="50">
        <f>IF(A1821="","",IFERROR((IF(G1821="",I1821,G1821)-T1821)/M1821,""))</f>
        <v/>
      </c>
      <c r="P1821" s="50">
        <f>IFERROR((I1821/T1821-1)/N1821,"")</f>
        <v/>
      </c>
      <c r="Q1821" s="46">
        <f>IF(OR(T1821="",I1821&lt;T1821),"",IFERROR(R1821/IF(G1821="",I1821,G1821)-1,""))</f>
        <v/>
      </c>
      <c r="R1821" s="48">
        <f>IF($M1821="","",MAX(IF($G1821="",$I1821,$G1821)*(1/1.1),IF($G1821="",$I1821,$G1821)+(R$2*$M1821)))</f>
        <v/>
      </c>
      <c r="S1821" s="49">
        <f>IF($M1821="","",MAX(IF($G1821="",$I1821,$G1821)*(1/1.1),IF($G1821="",$I1821,$G1821)+(S$2*$M1821)))</f>
        <v/>
      </c>
      <c r="T1821" s="82" t="n"/>
      <c r="U1821" s="47">
        <f>IF(OR($M1821="",$T1821=""),"",$T1821+(U$2*$M1821))</f>
        <v/>
      </c>
      <c r="V1821" s="48">
        <f>IF(OR($M1821="",$T1821=""),"",$T1821+(V$2*$M1821))</f>
        <v/>
      </c>
      <c r="W1821" s="48">
        <f>IF(OR($M1821="",$T1821=""),"",$T1821+(W$2*$M1821))</f>
        <v/>
      </c>
      <c r="X1821" s="49">
        <f>IF(OR($M1821="",$T1821=""),"",$T1821+(X$2*$M1821))</f>
        <v/>
      </c>
      <c r="Y1821" s="47">
        <f>IF(OR($M1821="",$T1821=""),"",$T1821+(Y$2*$M1821))</f>
        <v/>
      </c>
      <c r="Z1821" s="49">
        <f>IF(OR($M1821="",$T1821=""),"",$T1821+(Z$2*$M1821))</f>
        <v/>
      </c>
      <c r="AA1821" s="51">
        <f>IF(OR($M1821="",$T1821=""),"",$T1821+(AA$2*$M1821))</f>
        <v/>
      </c>
      <c r="AB1821" s="48">
        <f>IF(OR($M1821="",$T1821=""),"",$T1821+(AB$2*$M1821))</f>
        <v/>
      </c>
      <c r="AC1821" s="48">
        <f>IF(OR($M1821="",$T1821=""),"",$T1821+(AC$2*$M1821))</f>
        <v/>
      </c>
      <c r="AD1821" s="48">
        <f>IF(OR($M1821="",$T1821=""),"",$T1821+(AD$2*$M1821))</f>
        <v/>
      </c>
      <c r="AE1821" s="49">
        <f>IF(OR($M1821="",$T1821=""),"",$T1821+(AE$2*$M1821))</f>
        <v/>
      </c>
      <c r="AF1821" s="52">
        <f>IF(OR(T1821="",I1821&lt;T1821),"",IFERROR(AVERAGE(T1821+M1821*{7,8,9,10,11})/IF(G1821="",I1821,G1821)-1,""))</f>
        <v/>
      </c>
      <c r="AG1821" s="55">
        <f>IF(OR(T1821="",I1821&lt;T1821),"",IFERROR(AF1821/-(R1821/IF(G1821="",I1821,G1821)-1),""))</f>
        <v/>
      </c>
      <c r="AH1821" s="94" t="n"/>
      <c r="AI1821" s="94" t="n"/>
      <c r="AJ1821" s="94" t="n"/>
      <c r="AK1821" s="94" t="n"/>
      <c r="AL1821" s="84" t="n"/>
    </row>
    <row r="1822">
      <c r="A1822" s="64" t="n"/>
      <c r="B1822" s="65" t="n"/>
      <c r="C1822" s="66" t="n"/>
      <c r="D1822" s="67" t="n"/>
      <c r="E1822" s="68" t="n"/>
      <c r="F1822" s="47">
        <f>IF(A1822="","",IF(MIN(H1822,MAX(J1822:K1822))=0,"",MIN(H1822,MAX(J1822:K1822))))</f>
        <v/>
      </c>
      <c r="G1822" s="74" t="n"/>
      <c r="H1822" s="49">
        <f>IF(M1822="","",IFERROR(ROUND(AVERAGE(T1822+M1822*{7,8,9,10,11})/1.21,4),""))</f>
        <v/>
      </c>
      <c r="I1822" s="76" t="n"/>
      <c r="J1822" s="77" t="n"/>
      <c r="K1822" s="74" t="n"/>
      <c r="L1822" s="78" t="n"/>
      <c r="M1822" s="77" t="n"/>
      <c r="N1822" s="53">
        <f>IF(M1822="","",IFERROR(M1822/I1822,""))</f>
        <v/>
      </c>
      <c r="O1822" s="50">
        <f>IF(A1822="","",IFERROR((IF(G1822="",I1822,G1822)-T1822)/M1822,""))</f>
        <v/>
      </c>
      <c r="P1822" s="50">
        <f>IFERROR((I1822/T1822-1)/N1822,"")</f>
        <v/>
      </c>
      <c r="Q1822" s="46">
        <f>IF(OR(T1822="",I1822&lt;T1822),"",IFERROR(R1822/IF(G1822="",I1822,G1822)-1,""))</f>
        <v/>
      </c>
      <c r="R1822" s="48">
        <f>IF($M1822="","",MAX(IF($G1822="",$I1822,$G1822)*(1/1.1),IF($G1822="",$I1822,$G1822)+(R$2*$M1822)))</f>
        <v/>
      </c>
      <c r="S1822" s="49">
        <f>IF($M1822="","",MAX(IF($G1822="",$I1822,$G1822)*(1/1.1),IF($G1822="",$I1822,$G1822)+(S$2*$M1822)))</f>
        <v/>
      </c>
      <c r="T1822" s="82" t="n"/>
      <c r="U1822" s="47">
        <f>IF(OR($M1822="",$T1822=""),"",$T1822+(U$2*$M1822))</f>
        <v/>
      </c>
      <c r="V1822" s="48">
        <f>IF(OR($M1822="",$T1822=""),"",$T1822+(V$2*$M1822))</f>
        <v/>
      </c>
      <c r="W1822" s="48">
        <f>IF(OR($M1822="",$T1822=""),"",$T1822+(W$2*$M1822))</f>
        <v/>
      </c>
      <c r="X1822" s="49">
        <f>IF(OR($M1822="",$T1822=""),"",$T1822+(X$2*$M1822))</f>
        <v/>
      </c>
      <c r="Y1822" s="47">
        <f>IF(OR($M1822="",$T1822=""),"",$T1822+(Y$2*$M1822))</f>
        <v/>
      </c>
      <c r="Z1822" s="49">
        <f>IF(OR($M1822="",$T1822=""),"",$T1822+(Z$2*$M1822))</f>
        <v/>
      </c>
      <c r="AA1822" s="51">
        <f>IF(OR($M1822="",$T1822=""),"",$T1822+(AA$2*$M1822))</f>
        <v/>
      </c>
      <c r="AB1822" s="48">
        <f>IF(OR($M1822="",$T1822=""),"",$T1822+(AB$2*$M1822))</f>
        <v/>
      </c>
      <c r="AC1822" s="48">
        <f>IF(OR($M1822="",$T1822=""),"",$T1822+(AC$2*$M1822))</f>
        <v/>
      </c>
      <c r="AD1822" s="48">
        <f>IF(OR($M1822="",$T1822=""),"",$T1822+(AD$2*$M1822))</f>
        <v/>
      </c>
      <c r="AE1822" s="49">
        <f>IF(OR($M1822="",$T1822=""),"",$T1822+(AE$2*$M1822))</f>
        <v/>
      </c>
      <c r="AF1822" s="52">
        <f>IF(OR(T1822="",I1822&lt;T1822),"",IFERROR(AVERAGE(T1822+M1822*{7,8,9,10,11})/IF(G1822="",I1822,G1822)-1,""))</f>
        <v/>
      </c>
      <c r="AG1822" s="55">
        <f>IF(OR(T1822="",I1822&lt;T1822),"",IFERROR(AF1822/-(R1822/IF(G1822="",I1822,G1822)-1),""))</f>
        <v/>
      </c>
      <c r="AH1822" s="94" t="n"/>
      <c r="AI1822" s="94" t="n"/>
      <c r="AJ1822" s="94" t="n"/>
      <c r="AK1822" s="94" t="n"/>
      <c r="AL1822" s="84" t="n"/>
    </row>
    <row r="1823">
      <c r="A1823" s="64" t="n"/>
      <c r="B1823" s="65" t="n"/>
      <c r="C1823" s="66" t="n"/>
      <c r="D1823" s="67" t="n"/>
      <c r="E1823" s="68" t="n"/>
      <c r="F1823" s="47">
        <f>IF(A1823="","",IF(MIN(H1823,MAX(J1823:K1823))=0,"",MIN(H1823,MAX(J1823:K1823))))</f>
        <v/>
      </c>
      <c r="G1823" s="74" t="n"/>
      <c r="H1823" s="49">
        <f>IF(M1823="","",IFERROR(ROUND(AVERAGE(T1823+M1823*{7,8,9,10,11})/1.21,4),""))</f>
        <v/>
      </c>
      <c r="I1823" s="76" t="n"/>
      <c r="J1823" s="77" t="n"/>
      <c r="K1823" s="74" t="n"/>
      <c r="L1823" s="78" t="n"/>
      <c r="M1823" s="77" t="n"/>
      <c r="N1823" s="53">
        <f>IF(M1823="","",IFERROR(M1823/I1823,""))</f>
        <v/>
      </c>
      <c r="O1823" s="50">
        <f>IF(A1823="","",IFERROR((IF(G1823="",I1823,G1823)-T1823)/M1823,""))</f>
        <v/>
      </c>
      <c r="P1823" s="50">
        <f>IFERROR((I1823/T1823-1)/N1823,"")</f>
        <v/>
      </c>
      <c r="Q1823" s="46">
        <f>IF(OR(T1823="",I1823&lt;T1823),"",IFERROR(R1823/IF(G1823="",I1823,G1823)-1,""))</f>
        <v/>
      </c>
      <c r="R1823" s="48">
        <f>IF($M1823="","",MAX(IF($G1823="",$I1823,$G1823)*(1/1.1),IF($G1823="",$I1823,$G1823)+(R$2*$M1823)))</f>
        <v/>
      </c>
      <c r="S1823" s="49">
        <f>IF($M1823="","",MAX(IF($G1823="",$I1823,$G1823)*(1/1.1),IF($G1823="",$I1823,$G1823)+(S$2*$M1823)))</f>
        <v/>
      </c>
      <c r="T1823" s="82" t="n"/>
      <c r="U1823" s="47">
        <f>IF(OR($M1823="",$T1823=""),"",$T1823+(U$2*$M1823))</f>
        <v/>
      </c>
      <c r="V1823" s="48">
        <f>IF(OR($M1823="",$T1823=""),"",$T1823+(V$2*$M1823))</f>
        <v/>
      </c>
      <c r="W1823" s="48">
        <f>IF(OR($M1823="",$T1823=""),"",$T1823+(W$2*$M1823))</f>
        <v/>
      </c>
      <c r="X1823" s="49">
        <f>IF(OR($M1823="",$T1823=""),"",$T1823+(X$2*$M1823))</f>
        <v/>
      </c>
      <c r="Y1823" s="47">
        <f>IF(OR($M1823="",$T1823=""),"",$T1823+(Y$2*$M1823))</f>
        <v/>
      </c>
      <c r="Z1823" s="49">
        <f>IF(OR($M1823="",$T1823=""),"",$T1823+(Z$2*$M1823))</f>
        <v/>
      </c>
      <c r="AA1823" s="51">
        <f>IF(OR($M1823="",$T1823=""),"",$T1823+(AA$2*$M1823))</f>
        <v/>
      </c>
      <c r="AB1823" s="48">
        <f>IF(OR($M1823="",$T1823=""),"",$T1823+(AB$2*$M1823))</f>
        <v/>
      </c>
      <c r="AC1823" s="48">
        <f>IF(OR($M1823="",$T1823=""),"",$T1823+(AC$2*$M1823))</f>
        <v/>
      </c>
      <c r="AD1823" s="48">
        <f>IF(OR($M1823="",$T1823=""),"",$T1823+(AD$2*$M1823))</f>
        <v/>
      </c>
      <c r="AE1823" s="49">
        <f>IF(OR($M1823="",$T1823=""),"",$T1823+(AE$2*$M1823))</f>
        <v/>
      </c>
      <c r="AF1823" s="52">
        <f>IF(OR(T1823="",I1823&lt;T1823),"",IFERROR(AVERAGE(T1823+M1823*{7,8,9,10,11})/IF(G1823="",I1823,G1823)-1,""))</f>
        <v/>
      </c>
      <c r="AG1823" s="55">
        <f>IF(OR(T1823="",I1823&lt;T1823),"",IFERROR(AF1823/-(R1823/IF(G1823="",I1823,G1823)-1),""))</f>
        <v/>
      </c>
      <c r="AH1823" s="94" t="n"/>
      <c r="AI1823" s="94" t="n"/>
      <c r="AJ1823" s="94" t="n"/>
      <c r="AK1823" s="94" t="n"/>
      <c r="AL1823" s="84" t="n"/>
    </row>
    <row r="1824">
      <c r="A1824" s="64" t="n"/>
      <c r="B1824" s="65" t="n"/>
      <c r="C1824" s="66" t="n"/>
      <c r="D1824" s="67" t="n"/>
      <c r="E1824" s="68" t="n"/>
      <c r="F1824" s="47">
        <f>IF(A1824="","",IF(MIN(H1824,MAX(J1824:K1824))=0,"",MIN(H1824,MAX(J1824:K1824))))</f>
        <v/>
      </c>
      <c r="G1824" s="74" t="n"/>
      <c r="H1824" s="49">
        <f>IF(M1824="","",IFERROR(ROUND(AVERAGE(T1824+M1824*{7,8,9,10,11})/1.21,4),""))</f>
        <v/>
      </c>
      <c r="I1824" s="76" t="n"/>
      <c r="J1824" s="77" t="n"/>
      <c r="K1824" s="74" t="n"/>
      <c r="L1824" s="78" t="n"/>
      <c r="M1824" s="77" t="n"/>
      <c r="N1824" s="53">
        <f>IF(M1824="","",IFERROR(M1824/I1824,""))</f>
        <v/>
      </c>
      <c r="O1824" s="50">
        <f>IF(A1824="","",IFERROR((IF(G1824="",I1824,G1824)-T1824)/M1824,""))</f>
        <v/>
      </c>
      <c r="P1824" s="50">
        <f>IFERROR((I1824/T1824-1)/N1824,"")</f>
        <v/>
      </c>
      <c r="Q1824" s="46">
        <f>IF(OR(T1824="",I1824&lt;T1824),"",IFERROR(R1824/IF(G1824="",I1824,G1824)-1,""))</f>
        <v/>
      </c>
      <c r="R1824" s="48">
        <f>IF($M1824="","",MAX(IF($G1824="",$I1824,$G1824)*(1/1.1),IF($G1824="",$I1824,$G1824)+(R$2*$M1824)))</f>
        <v/>
      </c>
      <c r="S1824" s="49">
        <f>IF($M1824="","",MAX(IF($G1824="",$I1824,$G1824)*(1/1.1),IF($G1824="",$I1824,$G1824)+(S$2*$M1824)))</f>
        <v/>
      </c>
      <c r="T1824" s="82" t="n"/>
      <c r="U1824" s="47">
        <f>IF(OR($M1824="",$T1824=""),"",$T1824+(U$2*$M1824))</f>
        <v/>
      </c>
      <c r="V1824" s="48">
        <f>IF(OR($M1824="",$T1824=""),"",$T1824+(V$2*$M1824))</f>
        <v/>
      </c>
      <c r="W1824" s="48">
        <f>IF(OR($M1824="",$T1824=""),"",$T1824+(W$2*$M1824))</f>
        <v/>
      </c>
      <c r="X1824" s="49">
        <f>IF(OR($M1824="",$T1824=""),"",$T1824+(X$2*$M1824))</f>
        <v/>
      </c>
      <c r="Y1824" s="47">
        <f>IF(OR($M1824="",$T1824=""),"",$T1824+(Y$2*$M1824))</f>
        <v/>
      </c>
      <c r="Z1824" s="49">
        <f>IF(OR($M1824="",$T1824=""),"",$T1824+(Z$2*$M1824))</f>
        <v/>
      </c>
      <c r="AA1824" s="51">
        <f>IF(OR($M1824="",$T1824=""),"",$T1824+(AA$2*$M1824))</f>
        <v/>
      </c>
      <c r="AB1824" s="48">
        <f>IF(OR($M1824="",$T1824=""),"",$T1824+(AB$2*$M1824))</f>
        <v/>
      </c>
      <c r="AC1824" s="48">
        <f>IF(OR($M1824="",$T1824=""),"",$T1824+(AC$2*$M1824))</f>
        <v/>
      </c>
      <c r="AD1824" s="48">
        <f>IF(OR($M1824="",$T1824=""),"",$T1824+(AD$2*$M1824))</f>
        <v/>
      </c>
      <c r="AE1824" s="49">
        <f>IF(OR($M1824="",$T1824=""),"",$T1824+(AE$2*$M1824))</f>
        <v/>
      </c>
      <c r="AF1824" s="52">
        <f>IF(OR(T1824="",I1824&lt;T1824),"",IFERROR(AVERAGE(T1824+M1824*{7,8,9,10,11})/IF(G1824="",I1824,G1824)-1,""))</f>
        <v/>
      </c>
      <c r="AG1824" s="55">
        <f>IF(OR(T1824="",I1824&lt;T1824),"",IFERROR(AF1824/-(R1824/IF(G1824="",I1824,G1824)-1),""))</f>
        <v/>
      </c>
      <c r="AH1824" s="94" t="n"/>
      <c r="AI1824" s="94" t="n"/>
      <c r="AJ1824" s="94" t="n"/>
      <c r="AK1824" s="94" t="n"/>
      <c r="AL1824" s="84" t="n"/>
    </row>
    <row r="1825">
      <c r="A1825" s="64" t="n"/>
      <c r="B1825" s="65" t="n"/>
      <c r="C1825" s="66" t="n"/>
      <c r="D1825" s="67" t="n"/>
      <c r="E1825" s="68" t="n"/>
      <c r="F1825" s="47">
        <f>IF(A1825="","",IF(MIN(H1825,MAX(J1825:K1825))=0,"",MIN(H1825,MAX(J1825:K1825))))</f>
        <v/>
      </c>
      <c r="G1825" s="74" t="n"/>
      <c r="H1825" s="49">
        <f>IF(M1825="","",IFERROR(ROUND(AVERAGE(T1825+M1825*{7,8,9,10,11})/1.21,4),""))</f>
        <v/>
      </c>
      <c r="I1825" s="76" t="n"/>
      <c r="J1825" s="77" t="n"/>
      <c r="K1825" s="74" t="n"/>
      <c r="L1825" s="78" t="n"/>
      <c r="M1825" s="77" t="n"/>
      <c r="N1825" s="53">
        <f>IF(M1825="","",IFERROR(M1825/I1825,""))</f>
        <v/>
      </c>
      <c r="O1825" s="50">
        <f>IF(A1825="","",IFERROR((IF(G1825="",I1825,G1825)-T1825)/M1825,""))</f>
        <v/>
      </c>
      <c r="P1825" s="50">
        <f>IFERROR((I1825/T1825-1)/N1825,"")</f>
        <v/>
      </c>
      <c r="Q1825" s="46">
        <f>IF(OR(T1825="",I1825&lt;T1825),"",IFERROR(R1825/IF(G1825="",I1825,G1825)-1,""))</f>
        <v/>
      </c>
      <c r="R1825" s="48">
        <f>IF($M1825="","",MAX(IF($G1825="",$I1825,$G1825)*(1/1.1),IF($G1825="",$I1825,$G1825)+(R$2*$M1825)))</f>
        <v/>
      </c>
      <c r="S1825" s="49">
        <f>IF($M1825="","",MAX(IF($G1825="",$I1825,$G1825)*(1/1.1),IF($G1825="",$I1825,$G1825)+(S$2*$M1825)))</f>
        <v/>
      </c>
      <c r="T1825" s="82" t="n"/>
      <c r="U1825" s="47">
        <f>IF(OR($M1825="",$T1825=""),"",$T1825+(U$2*$M1825))</f>
        <v/>
      </c>
      <c r="V1825" s="48">
        <f>IF(OR($M1825="",$T1825=""),"",$T1825+(V$2*$M1825))</f>
        <v/>
      </c>
      <c r="W1825" s="48">
        <f>IF(OR($M1825="",$T1825=""),"",$T1825+(W$2*$M1825))</f>
        <v/>
      </c>
      <c r="X1825" s="49">
        <f>IF(OR($M1825="",$T1825=""),"",$T1825+(X$2*$M1825))</f>
        <v/>
      </c>
      <c r="Y1825" s="47">
        <f>IF(OR($M1825="",$T1825=""),"",$T1825+(Y$2*$M1825))</f>
        <v/>
      </c>
      <c r="Z1825" s="49">
        <f>IF(OR($M1825="",$T1825=""),"",$T1825+(Z$2*$M1825))</f>
        <v/>
      </c>
      <c r="AA1825" s="51">
        <f>IF(OR($M1825="",$T1825=""),"",$T1825+(AA$2*$M1825))</f>
        <v/>
      </c>
      <c r="AB1825" s="48">
        <f>IF(OR($M1825="",$T1825=""),"",$T1825+(AB$2*$M1825))</f>
        <v/>
      </c>
      <c r="AC1825" s="48">
        <f>IF(OR($M1825="",$T1825=""),"",$T1825+(AC$2*$M1825))</f>
        <v/>
      </c>
      <c r="AD1825" s="48">
        <f>IF(OR($M1825="",$T1825=""),"",$T1825+(AD$2*$M1825))</f>
        <v/>
      </c>
      <c r="AE1825" s="49">
        <f>IF(OR($M1825="",$T1825=""),"",$T1825+(AE$2*$M1825))</f>
        <v/>
      </c>
      <c r="AF1825" s="52">
        <f>IF(OR(T1825="",I1825&lt;T1825),"",IFERROR(AVERAGE(T1825+M1825*{7,8,9,10,11})/IF(G1825="",I1825,G1825)-1,""))</f>
        <v/>
      </c>
      <c r="AG1825" s="55">
        <f>IF(OR(T1825="",I1825&lt;T1825),"",IFERROR(AF1825/-(R1825/IF(G1825="",I1825,G1825)-1),""))</f>
        <v/>
      </c>
      <c r="AH1825" s="94" t="n"/>
      <c r="AI1825" s="94" t="n"/>
      <c r="AJ1825" s="94" t="n"/>
      <c r="AK1825" s="94" t="n"/>
      <c r="AL1825" s="84" t="n"/>
    </row>
    <row r="1826">
      <c r="A1826" s="64" t="n"/>
      <c r="B1826" s="65" t="n"/>
      <c r="C1826" s="66" t="n"/>
      <c r="D1826" s="67" t="n"/>
      <c r="E1826" s="68" t="n"/>
      <c r="F1826" s="47">
        <f>IF(A1826="","",IF(MIN(H1826,MAX(J1826:K1826))=0,"",MIN(H1826,MAX(J1826:K1826))))</f>
        <v/>
      </c>
      <c r="G1826" s="74" t="n"/>
      <c r="H1826" s="49">
        <f>IF(M1826="","",IFERROR(ROUND(AVERAGE(T1826+M1826*{7,8,9,10,11})/1.21,4),""))</f>
        <v/>
      </c>
      <c r="I1826" s="76" t="n"/>
      <c r="J1826" s="77" t="n"/>
      <c r="K1826" s="74" t="n"/>
      <c r="L1826" s="78" t="n"/>
      <c r="M1826" s="77" t="n"/>
      <c r="N1826" s="53">
        <f>IF(M1826="","",IFERROR(M1826/I1826,""))</f>
        <v/>
      </c>
      <c r="O1826" s="50">
        <f>IF(A1826="","",IFERROR((IF(G1826="",I1826,G1826)-T1826)/M1826,""))</f>
        <v/>
      </c>
      <c r="P1826" s="50">
        <f>IFERROR((I1826/T1826-1)/N1826,"")</f>
        <v/>
      </c>
      <c r="Q1826" s="46">
        <f>IF(OR(T1826="",I1826&lt;T1826),"",IFERROR(R1826/IF(G1826="",I1826,G1826)-1,""))</f>
        <v/>
      </c>
      <c r="R1826" s="48">
        <f>IF($M1826="","",MAX(IF($G1826="",$I1826,$G1826)*(1/1.1),IF($G1826="",$I1826,$G1826)+(R$2*$M1826)))</f>
        <v/>
      </c>
      <c r="S1826" s="49">
        <f>IF($M1826="","",MAX(IF($G1826="",$I1826,$G1826)*(1/1.1),IF($G1826="",$I1826,$G1826)+(S$2*$M1826)))</f>
        <v/>
      </c>
      <c r="T1826" s="82" t="n"/>
      <c r="U1826" s="47">
        <f>IF(OR($M1826="",$T1826=""),"",$T1826+(U$2*$M1826))</f>
        <v/>
      </c>
      <c r="V1826" s="48">
        <f>IF(OR($M1826="",$T1826=""),"",$T1826+(V$2*$M1826))</f>
        <v/>
      </c>
      <c r="W1826" s="48">
        <f>IF(OR($M1826="",$T1826=""),"",$T1826+(W$2*$M1826))</f>
        <v/>
      </c>
      <c r="X1826" s="49">
        <f>IF(OR($M1826="",$T1826=""),"",$T1826+(X$2*$M1826))</f>
        <v/>
      </c>
      <c r="Y1826" s="47">
        <f>IF(OR($M1826="",$T1826=""),"",$T1826+(Y$2*$M1826))</f>
        <v/>
      </c>
      <c r="Z1826" s="49">
        <f>IF(OR($M1826="",$T1826=""),"",$T1826+(Z$2*$M1826))</f>
        <v/>
      </c>
      <c r="AA1826" s="51">
        <f>IF(OR($M1826="",$T1826=""),"",$T1826+(AA$2*$M1826))</f>
        <v/>
      </c>
      <c r="AB1826" s="48">
        <f>IF(OR($M1826="",$T1826=""),"",$T1826+(AB$2*$M1826))</f>
        <v/>
      </c>
      <c r="AC1826" s="48">
        <f>IF(OR($M1826="",$T1826=""),"",$T1826+(AC$2*$M1826))</f>
        <v/>
      </c>
      <c r="AD1826" s="48">
        <f>IF(OR($M1826="",$T1826=""),"",$T1826+(AD$2*$M1826))</f>
        <v/>
      </c>
      <c r="AE1826" s="49">
        <f>IF(OR($M1826="",$T1826=""),"",$T1826+(AE$2*$M1826))</f>
        <v/>
      </c>
      <c r="AF1826" s="52">
        <f>IF(OR(T1826="",I1826&lt;T1826),"",IFERROR(AVERAGE(T1826+M1826*{7,8,9,10,11})/IF(G1826="",I1826,G1826)-1,""))</f>
        <v/>
      </c>
      <c r="AG1826" s="55">
        <f>IF(OR(T1826="",I1826&lt;T1826),"",IFERROR(AF1826/-(R1826/IF(G1826="",I1826,G1826)-1),""))</f>
        <v/>
      </c>
      <c r="AH1826" s="94" t="n"/>
      <c r="AI1826" s="94" t="n"/>
      <c r="AJ1826" s="94" t="n"/>
      <c r="AK1826" s="94" t="n"/>
      <c r="AL1826" s="84" t="n"/>
    </row>
    <row r="1827">
      <c r="A1827" s="64" t="n"/>
      <c r="B1827" s="65" t="n"/>
      <c r="C1827" s="66" t="n"/>
      <c r="D1827" s="67" t="n"/>
      <c r="E1827" s="68" t="n"/>
      <c r="F1827" s="47">
        <f>IF(A1827="","",IF(MIN(H1827,MAX(J1827:K1827))=0,"",MIN(H1827,MAX(J1827:K1827))))</f>
        <v/>
      </c>
      <c r="G1827" s="74" t="n"/>
      <c r="H1827" s="49">
        <f>IF(M1827="","",IFERROR(ROUND(AVERAGE(T1827+M1827*{7,8,9,10,11})/1.21,4),""))</f>
        <v/>
      </c>
      <c r="I1827" s="76" t="n"/>
      <c r="J1827" s="77" t="n"/>
      <c r="K1827" s="74" t="n"/>
      <c r="L1827" s="78" t="n"/>
      <c r="M1827" s="77" t="n"/>
      <c r="N1827" s="53">
        <f>IF(M1827="","",IFERROR(M1827/I1827,""))</f>
        <v/>
      </c>
      <c r="O1827" s="50">
        <f>IF(A1827="","",IFERROR((IF(G1827="",I1827,G1827)-T1827)/M1827,""))</f>
        <v/>
      </c>
      <c r="P1827" s="50">
        <f>IFERROR((I1827/T1827-1)/N1827,"")</f>
        <v/>
      </c>
      <c r="Q1827" s="46">
        <f>IF(OR(T1827="",I1827&lt;T1827),"",IFERROR(R1827/IF(G1827="",I1827,G1827)-1,""))</f>
        <v/>
      </c>
      <c r="R1827" s="48">
        <f>IF($M1827="","",MAX(IF($G1827="",$I1827,$G1827)*(1/1.1),IF($G1827="",$I1827,$G1827)+(R$2*$M1827)))</f>
        <v/>
      </c>
      <c r="S1827" s="49">
        <f>IF($M1827="","",MAX(IF($G1827="",$I1827,$G1827)*(1/1.1),IF($G1827="",$I1827,$G1827)+(S$2*$M1827)))</f>
        <v/>
      </c>
      <c r="T1827" s="82" t="n"/>
      <c r="U1827" s="47">
        <f>IF(OR($M1827="",$T1827=""),"",$T1827+(U$2*$M1827))</f>
        <v/>
      </c>
      <c r="V1827" s="48">
        <f>IF(OR($M1827="",$T1827=""),"",$T1827+(V$2*$M1827))</f>
        <v/>
      </c>
      <c r="W1827" s="48">
        <f>IF(OR($M1827="",$T1827=""),"",$T1827+(W$2*$M1827))</f>
        <v/>
      </c>
      <c r="X1827" s="49">
        <f>IF(OR($M1827="",$T1827=""),"",$T1827+(X$2*$M1827))</f>
        <v/>
      </c>
      <c r="Y1827" s="47">
        <f>IF(OR($M1827="",$T1827=""),"",$T1827+(Y$2*$M1827))</f>
        <v/>
      </c>
      <c r="Z1827" s="49">
        <f>IF(OR($M1827="",$T1827=""),"",$T1827+(Z$2*$M1827))</f>
        <v/>
      </c>
      <c r="AA1827" s="51">
        <f>IF(OR($M1827="",$T1827=""),"",$T1827+(AA$2*$M1827))</f>
        <v/>
      </c>
      <c r="AB1827" s="48">
        <f>IF(OR($M1827="",$T1827=""),"",$T1827+(AB$2*$M1827))</f>
        <v/>
      </c>
      <c r="AC1827" s="48">
        <f>IF(OR($M1827="",$T1827=""),"",$T1827+(AC$2*$M1827))</f>
        <v/>
      </c>
      <c r="AD1827" s="48">
        <f>IF(OR($M1827="",$T1827=""),"",$T1827+(AD$2*$M1827))</f>
        <v/>
      </c>
      <c r="AE1827" s="49">
        <f>IF(OR($M1827="",$T1827=""),"",$T1827+(AE$2*$M1827))</f>
        <v/>
      </c>
      <c r="AF1827" s="52">
        <f>IF(OR(T1827="",I1827&lt;T1827),"",IFERROR(AVERAGE(T1827+M1827*{7,8,9,10,11})/IF(G1827="",I1827,G1827)-1,""))</f>
        <v/>
      </c>
      <c r="AG1827" s="55">
        <f>IF(OR(T1827="",I1827&lt;T1827),"",IFERROR(AF1827/-(R1827/IF(G1827="",I1827,G1827)-1),""))</f>
        <v/>
      </c>
      <c r="AH1827" s="94" t="n"/>
      <c r="AI1827" s="94" t="n"/>
      <c r="AJ1827" s="94" t="n"/>
      <c r="AK1827" s="94" t="n"/>
      <c r="AL1827" s="84" t="n"/>
    </row>
    <row r="1828">
      <c r="A1828" s="64" t="n"/>
      <c r="B1828" s="65" t="n"/>
      <c r="C1828" s="66" t="n"/>
      <c r="D1828" s="67" t="n"/>
      <c r="E1828" s="68" t="n"/>
      <c r="F1828" s="47">
        <f>IF(A1828="","",IF(MIN(H1828,MAX(J1828:K1828))=0,"",MIN(H1828,MAX(J1828:K1828))))</f>
        <v/>
      </c>
      <c r="G1828" s="74" t="n"/>
      <c r="H1828" s="49">
        <f>IF(M1828="","",IFERROR(ROUND(AVERAGE(T1828+M1828*{7,8,9,10,11})/1.21,4),""))</f>
        <v/>
      </c>
      <c r="I1828" s="76" t="n"/>
      <c r="J1828" s="77" t="n"/>
      <c r="K1828" s="74" t="n"/>
      <c r="L1828" s="78" t="n"/>
      <c r="M1828" s="77" t="n"/>
      <c r="N1828" s="53">
        <f>IF(M1828="","",IFERROR(M1828/I1828,""))</f>
        <v/>
      </c>
      <c r="O1828" s="50">
        <f>IF(A1828="","",IFERROR((IF(G1828="",I1828,G1828)-T1828)/M1828,""))</f>
        <v/>
      </c>
      <c r="P1828" s="50">
        <f>IFERROR((I1828/T1828-1)/N1828,"")</f>
        <v/>
      </c>
      <c r="Q1828" s="46">
        <f>IF(OR(T1828="",I1828&lt;T1828),"",IFERROR(R1828/IF(G1828="",I1828,G1828)-1,""))</f>
        <v/>
      </c>
      <c r="R1828" s="48">
        <f>IF($M1828="","",MAX(IF($G1828="",$I1828,$G1828)*(1/1.1),IF($G1828="",$I1828,$G1828)+(R$2*$M1828)))</f>
        <v/>
      </c>
      <c r="S1828" s="49">
        <f>IF($M1828="","",MAX(IF($G1828="",$I1828,$G1828)*(1/1.1),IF($G1828="",$I1828,$G1828)+(S$2*$M1828)))</f>
        <v/>
      </c>
      <c r="T1828" s="82" t="n"/>
      <c r="U1828" s="47">
        <f>IF(OR($M1828="",$T1828=""),"",$T1828+(U$2*$M1828))</f>
        <v/>
      </c>
      <c r="V1828" s="48">
        <f>IF(OR($M1828="",$T1828=""),"",$T1828+(V$2*$M1828))</f>
        <v/>
      </c>
      <c r="W1828" s="48">
        <f>IF(OR($M1828="",$T1828=""),"",$T1828+(W$2*$M1828))</f>
        <v/>
      </c>
      <c r="X1828" s="49">
        <f>IF(OR($M1828="",$T1828=""),"",$T1828+(X$2*$M1828))</f>
        <v/>
      </c>
      <c r="Y1828" s="47">
        <f>IF(OR($M1828="",$T1828=""),"",$T1828+(Y$2*$M1828))</f>
        <v/>
      </c>
      <c r="Z1828" s="49">
        <f>IF(OR($M1828="",$T1828=""),"",$T1828+(Z$2*$M1828))</f>
        <v/>
      </c>
      <c r="AA1828" s="51">
        <f>IF(OR($M1828="",$T1828=""),"",$T1828+(AA$2*$M1828))</f>
        <v/>
      </c>
      <c r="AB1828" s="48">
        <f>IF(OR($M1828="",$T1828=""),"",$T1828+(AB$2*$M1828))</f>
        <v/>
      </c>
      <c r="AC1828" s="48">
        <f>IF(OR($M1828="",$T1828=""),"",$T1828+(AC$2*$M1828))</f>
        <v/>
      </c>
      <c r="AD1828" s="48">
        <f>IF(OR($M1828="",$T1828=""),"",$T1828+(AD$2*$M1828))</f>
        <v/>
      </c>
      <c r="AE1828" s="49">
        <f>IF(OR($M1828="",$T1828=""),"",$T1828+(AE$2*$M1828))</f>
        <v/>
      </c>
      <c r="AF1828" s="52">
        <f>IF(OR(T1828="",I1828&lt;T1828),"",IFERROR(AVERAGE(T1828+M1828*{7,8,9,10,11})/IF(G1828="",I1828,G1828)-1,""))</f>
        <v/>
      </c>
      <c r="AG1828" s="55">
        <f>IF(OR(T1828="",I1828&lt;T1828),"",IFERROR(AF1828/-(R1828/IF(G1828="",I1828,G1828)-1),""))</f>
        <v/>
      </c>
      <c r="AH1828" s="94" t="n"/>
      <c r="AI1828" s="94" t="n"/>
      <c r="AJ1828" s="94" t="n"/>
      <c r="AK1828" s="94" t="n"/>
      <c r="AL1828" s="84" t="n"/>
    </row>
    <row r="1829">
      <c r="A1829" s="64" t="n"/>
      <c r="B1829" s="65" t="n"/>
      <c r="C1829" s="66" t="n"/>
      <c r="D1829" s="67" t="n"/>
      <c r="E1829" s="68" t="n"/>
      <c r="F1829" s="47">
        <f>IF(A1829="","",IF(MIN(H1829,MAX(J1829:K1829))=0,"",MIN(H1829,MAX(J1829:K1829))))</f>
        <v/>
      </c>
      <c r="G1829" s="74" t="n"/>
      <c r="H1829" s="49">
        <f>IF(M1829="","",IFERROR(ROUND(AVERAGE(T1829+M1829*{7,8,9,10,11})/1.21,4),""))</f>
        <v/>
      </c>
      <c r="I1829" s="76" t="n"/>
      <c r="J1829" s="77" t="n"/>
      <c r="K1829" s="74" t="n"/>
      <c r="L1829" s="78" t="n"/>
      <c r="M1829" s="77" t="n"/>
      <c r="N1829" s="53">
        <f>IF(M1829="","",IFERROR(M1829/I1829,""))</f>
        <v/>
      </c>
      <c r="O1829" s="50">
        <f>IF(A1829="","",IFERROR((IF(G1829="",I1829,G1829)-T1829)/M1829,""))</f>
        <v/>
      </c>
      <c r="P1829" s="50">
        <f>IFERROR((I1829/T1829-1)/N1829,"")</f>
        <v/>
      </c>
      <c r="Q1829" s="46">
        <f>IF(OR(T1829="",I1829&lt;T1829),"",IFERROR(R1829/IF(G1829="",I1829,G1829)-1,""))</f>
        <v/>
      </c>
      <c r="R1829" s="48">
        <f>IF($M1829="","",MAX(IF($G1829="",$I1829,$G1829)*(1/1.1),IF($G1829="",$I1829,$G1829)+(R$2*$M1829)))</f>
        <v/>
      </c>
      <c r="S1829" s="49">
        <f>IF($M1829="","",MAX(IF($G1829="",$I1829,$G1829)*(1/1.1),IF($G1829="",$I1829,$G1829)+(S$2*$M1829)))</f>
        <v/>
      </c>
      <c r="T1829" s="82" t="n"/>
      <c r="U1829" s="47">
        <f>IF(OR($M1829="",$T1829=""),"",$T1829+(U$2*$M1829))</f>
        <v/>
      </c>
      <c r="V1829" s="48">
        <f>IF(OR($M1829="",$T1829=""),"",$T1829+(V$2*$M1829))</f>
        <v/>
      </c>
      <c r="W1829" s="48">
        <f>IF(OR($M1829="",$T1829=""),"",$T1829+(W$2*$M1829))</f>
        <v/>
      </c>
      <c r="X1829" s="49">
        <f>IF(OR($M1829="",$T1829=""),"",$T1829+(X$2*$M1829))</f>
        <v/>
      </c>
      <c r="Y1829" s="47">
        <f>IF(OR($M1829="",$T1829=""),"",$T1829+(Y$2*$M1829))</f>
        <v/>
      </c>
      <c r="Z1829" s="49">
        <f>IF(OR($M1829="",$T1829=""),"",$T1829+(Z$2*$M1829))</f>
        <v/>
      </c>
      <c r="AA1829" s="51">
        <f>IF(OR($M1829="",$T1829=""),"",$T1829+(AA$2*$M1829))</f>
        <v/>
      </c>
      <c r="AB1829" s="48">
        <f>IF(OR($M1829="",$T1829=""),"",$T1829+(AB$2*$M1829))</f>
        <v/>
      </c>
      <c r="AC1829" s="48">
        <f>IF(OR($M1829="",$T1829=""),"",$T1829+(AC$2*$M1829))</f>
        <v/>
      </c>
      <c r="AD1829" s="48">
        <f>IF(OR($M1829="",$T1829=""),"",$T1829+(AD$2*$M1829))</f>
        <v/>
      </c>
      <c r="AE1829" s="49">
        <f>IF(OR($M1829="",$T1829=""),"",$T1829+(AE$2*$M1829))</f>
        <v/>
      </c>
      <c r="AF1829" s="52">
        <f>IF(OR(T1829="",I1829&lt;T1829),"",IFERROR(AVERAGE(T1829+M1829*{7,8,9,10,11})/IF(G1829="",I1829,G1829)-1,""))</f>
        <v/>
      </c>
      <c r="AG1829" s="55">
        <f>IF(OR(T1829="",I1829&lt;T1829),"",IFERROR(AF1829/-(R1829/IF(G1829="",I1829,G1829)-1),""))</f>
        <v/>
      </c>
      <c r="AH1829" s="94" t="n"/>
      <c r="AI1829" s="94" t="n"/>
      <c r="AJ1829" s="94" t="n"/>
      <c r="AK1829" s="94" t="n"/>
      <c r="AL1829" s="84" t="n"/>
    </row>
    <row r="1830">
      <c r="A1830" s="64" t="n"/>
      <c r="B1830" s="65" t="n"/>
      <c r="C1830" s="66" t="n"/>
      <c r="D1830" s="67" t="n"/>
      <c r="E1830" s="68" t="n"/>
      <c r="F1830" s="47">
        <f>IF(A1830="","",IF(MIN(H1830,MAX(J1830:K1830))=0,"",MIN(H1830,MAX(J1830:K1830))))</f>
        <v/>
      </c>
      <c r="G1830" s="74" t="n"/>
      <c r="H1830" s="49">
        <f>IF(M1830="","",IFERROR(ROUND(AVERAGE(T1830+M1830*{7,8,9,10,11})/1.21,4),""))</f>
        <v/>
      </c>
      <c r="I1830" s="76" t="n"/>
      <c r="J1830" s="77" t="n"/>
      <c r="K1830" s="74" t="n"/>
      <c r="L1830" s="78" t="n"/>
      <c r="M1830" s="77" t="n"/>
      <c r="N1830" s="53">
        <f>IF(M1830="","",IFERROR(M1830/I1830,""))</f>
        <v/>
      </c>
      <c r="O1830" s="50">
        <f>IF(A1830="","",IFERROR((IF(G1830="",I1830,G1830)-T1830)/M1830,""))</f>
        <v/>
      </c>
      <c r="P1830" s="50">
        <f>IFERROR((I1830/T1830-1)/N1830,"")</f>
        <v/>
      </c>
      <c r="Q1830" s="46">
        <f>IF(OR(T1830="",I1830&lt;T1830),"",IFERROR(R1830/IF(G1830="",I1830,G1830)-1,""))</f>
        <v/>
      </c>
      <c r="R1830" s="48">
        <f>IF($M1830="","",MAX(IF($G1830="",$I1830,$G1830)*(1/1.1),IF($G1830="",$I1830,$G1830)+(R$2*$M1830)))</f>
        <v/>
      </c>
      <c r="S1830" s="49">
        <f>IF($M1830="","",MAX(IF($G1830="",$I1830,$G1830)*(1/1.1),IF($G1830="",$I1830,$G1830)+(S$2*$M1830)))</f>
        <v/>
      </c>
      <c r="T1830" s="82" t="n"/>
      <c r="U1830" s="47">
        <f>IF(OR($M1830="",$T1830=""),"",$T1830+(U$2*$M1830))</f>
        <v/>
      </c>
      <c r="V1830" s="48">
        <f>IF(OR($M1830="",$T1830=""),"",$T1830+(V$2*$M1830))</f>
        <v/>
      </c>
      <c r="W1830" s="48">
        <f>IF(OR($M1830="",$T1830=""),"",$T1830+(W$2*$M1830))</f>
        <v/>
      </c>
      <c r="X1830" s="49">
        <f>IF(OR($M1830="",$T1830=""),"",$T1830+(X$2*$M1830))</f>
        <v/>
      </c>
      <c r="Y1830" s="47">
        <f>IF(OR($M1830="",$T1830=""),"",$T1830+(Y$2*$M1830))</f>
        <v/>
      </c>
      <c r="Z1830" s="49">
        <f>IF(OR($M1830="",$T1830=""),"",$T1830+(Z$2*$M1830))</f>
        <v/>
      </c>
      <c r="AA1830" s="51">
        <f>IF(OR($M1830="",$T1830=""),"",$T1830+(AA$2*$M1830))</f>
        <v/>
      </c>
      <c r="AB1830" s="48">
        <f>IF(OR($M1830="",$T1830=""),"",$T1830+(AB$2*$M1830))</f>
        <v/>
      </c>
      <c r="AC1830" s="48">
        <f>IF(OR($M1830="",$T1830=""),"",$T1830+(AC$2*$M1830))</f>
        <v/>
      </c>
      <c r="AD1830" s="48">
        <f>IF(OR($M1830="",$T1830=""),"",$T1830+(AD$2*$M1830))</f>
        <v/>
      </c>
      <c r="AE1830" s="49">
        <f>IF(OR($M1830="",$T1830=""),"",$T1830+(AE$2*$M1830))</f>
        <v/>
      </c>
      <c r="AF1830" s="52">
        <f>IF(OR(T1830="",I1830&lt;T1830),"",IFERROR(AVERAGE(T1830+M1830*{7,8,9,10,11})/IF(G1830="",I1830,G1830)-1,""))</f>
        <v/>
      </c>
      <c r="AG1830" s="55">
        <f>IF(OR(T1830="",I1830&lt;T1830),"",IFERROR(AF1830/-(R1830/IF(G1830="",I1830,G1830)-1),""))</f>
        <v/>
      </c>
      <c r="AH1830" s="94" t="n"/>
      <c r="AI1830" s="94" t="n"/>
      <c r="AJ1830" s="94" t="n"/>
      <c r="AK1830" s="94" t="n"/>
      <c r="AL1830" s="84" t="n"/>
    </row>
    <row r="1831">
      <c r="A1831" s="64" t="n"/>
      <c r="B1831" s="65" t="n"/>
      <c r="C1831" s="66" t="n"/>
      <c r="D1831" s="67" t="n"/>
      <c r="E1831" s="68" t="n"/>
      <c r="F1831" s="47">
        <f>IF(A1831="","",IF(MIN(H1831,MAX(J1831:K1831))=0,"",MIN(H1831,MAX(J1831:K1831))))</f>
        <v/>
      </c>
      <c r="G1831" s="74" t="n"/>
      <c r="H1831" s="49">
        <f>IF(M1831="","",IFERROR(ROUND(AVERAGE(T1831+M1831*{7,8,9,10,11})/1.21,4),""))</f>
        <v/>
      </c>
      <c r="I1831" s="76" t="n"/>
      <c r="J1831" s="77" t="n"/>
      <c r="K1831" s="74" t="n"/>
      <c r="L1831" s="78" t="n"/>
      <c r="M1831" s="77" t="n"/>
      <c r="N1831" s="53">
        <f>IF(M1831="","",IFERROR(M1831/I1831,""))</f>
        <v/>
      </c>
      <c r="O1831" s="50">
        <f>IF(A1831="","",IFERROR((IF(G1831="",I1831,G1831)-T1831)/M1831,""))</f>
        <v/>
      </c>
      <c r="P1831" s="50">
        <f>IFERROR((I1831/T1831-1)/N1831,"")</f>
        <v/>
      </c>
      <c r="Q1831" s="46">
        <f>IF(OR(T1831="",I1831&lt;T1831),"",IFERROR(R1831/IF(G1831="",I1831,G1831)-1,""))</f>
        <v/>
      </c>
      <c r="R1831" s="48">
        <f>IF($M1831="","",MAX(IF($G1831="",$I1831,$G1831)*(1/1.1),IF($G1831="",$I1831,$G1831)+(R$2*$M1831)))</f>
        <v/>
      </c>
      <c r="S1831" s="49">
        <f>IF($M1831="","",MAX(IF($G1831="",$I1831,$G1831)*(1/1.1),IF($G1831="",$I1831,$G1831)+(S$2*$M1831)))</f>
        <v/>
      </c>
      <c r="T1831" s="82" t="n"/>
      <c r="U1831" s="47">
        <f>IF(OR($M1831="",$T1831=""),"",$T1831+(U$2*$M1831))</f>
        <v/>
      </c>
      <c r="V1831" s="48">
        <f>IF(OR($M1831="",$T1831=""),"",$T1831+(V$2*$M1831))</f>
        <v/>
      </c>
      <c r="W1831" s="48">
        <f>IF(OR($M1831="",$T1831=""),"",$T1831+(W$2*$M1831))</f>
        <v/>
      </c>
      <c r="X1831" s="49">
        <f>IF(OR($M1831="",$T1831=""),"",$T1831+(X$2*$M1831))</f>
        <v/>
      </c>
      <c r="Y1831" s="47">
        <f>IF(OR($M1831="",$T1831=""),"",$T1831+(Y$2*$M1831))</f>
        <v/>
      </c>
      <c r="Z1831" s="49">
        <f>IF(OR($M1831="",$T1831=""),"",$T1831+(Z$2*$M1831))</f>
        <v/>
      </c>
      <c r="AA1831" s="51">
        <f>IF(OR($M1831="",$T1831=""),"",$T1831+(AA$2*$M1831))</f>
        <v/>
      </c>
      <c r="AB1831" s="48">
        <f>IF(OR($M1831="",$T1831=""),"",$T1831+(AB$2*$M1831))</f>
        <v/>
      </c>
      <c r="AC1831" s="48">
        <f>IF(OR($M1831="",$T1831=""),"",$T1831+(AC$2*$M1831))</f>
        <v/>
      </c>
      <c r="AD1831" s="48">
        <f>IF(OR($M1831="",$T1831=""),"",$T1831+(AD$2*$M1831))</f>
        <v/>
      </c>
      <c r="AE1831" s="49">
        <f>IF(OR($M1831="",$T1831=""),"",$T1831+(AE$2*$M1831))</f>
        <v/>
      </c>
      <c r="AF1831" s="52">
        <f>IF(OR(T1831="",I1831&lt;T1831),"",IFERROR(AVERAGE(T1831+M1831*{7,8,9,10,11})/IF(G1831="",I1831,G1831)-1,""))</f>
        <v/>
      </c>
      <c r="AG1831" s="55">
        <f>IF(OR(T1831="",I1831&lt;T1831),"",IFERROR(AF1831/-(R1831/IF(G1831="",I1831,G1831)-1),""))</f>
        <v/>
      </c>
      <c r="AH1831" s="94" t="n"/>
      <c r="AI1831" s="94" t="n"/>
      <c r="AJ1831" s="94" t="n"/>
      <c r="AK1831" s="94" t="n"/>
      <c r="AL1831" s="84" t="n"/>
    </row>
    <row r="1832">
      <c r="A1832" s="64" t="n"/>
      <c r="B1832" s="65" t="n"/>
      <c r="C1832" s="66" t="n"/>
      <c r="D1832" s="67" t="n"/>
      <c r="E1832" s="68" t="n"/>
      <c r="F1832" s="47">
        <f>IF(A1832="","",IF(MIN(H1832,MAX(J1832:K1832))=0,"",MIN(H1832,MAX(J1832:K1832))))</f>
        <v/>
      </c>
      <c r="G1832" s="74" t="n"/>
      <c r="H1832" s="49">
        <f>IF(M1832="","",IFERROR(ROUND(AVERAGE(T1832+M1832*{7,8,9,10,11})/1.21,4),""))</f>
        <v/>
      </c>
      <c r="I1832" s="76" t="n"/>
      <c r="J1832" s="77" t="n"/>
      <c r="K1832" s="74" t="n"/>
      <c r="L1832" s="78" t="n"/>
      <c r="M1832" s="77" t="n"/>
      <c r="N1832" s="53">
        <f>IF(M1832="","",IFERROR(M1832/I1832,""))</f>
        <v/>
      </c>
      <c r="O1832" s="50">
        <f>IF(A1832="","",IFERROR((IF(G1832="",I1832,G1832)-T1832)/M1832,""))</f>
        <v/>
      </c>
      <c r="P1832" s="50">
        <f>IFERROR((I1832/T1832-1)/N1832,"")</f>
        <v/>
      </c>
      <c r="Q1832" s="46">
        <f>IF(OR(T1832="",I1832&lt;T1832),"",IFERROR(R1832/IF(G1832="",I1832,G1832)-1,""))</f>
        <v/>
      </c>
      <c r="R1832" s="48">
        <f>IF($M1832="","",MAX(IF($G1832="",$I1832,$G1832)*(1/1.1),IF($G1832="",$I1832,$G1832)+(R$2*$M1832)))</f>
        <v/>
      </c>
      <c r="S1832" s="49">
        <f>IF($M1832="","",MAX(IF($G1832="",$I1832,$G1832)*(1/1.1),IF($G1832="",$I1832,$G1832)+(S$2*$M1832)))</f>
        <v/>
      </c>
      <c r="T1832" s="82" t="n"/>
      <c r="U1832" s="47">
        <f>IF(OR($M1832="",$T1832=""),"",$T1832+(U$2*$M1832))</f>
        <v/>
      </c>
      <c r="V1832" s="48">
        <f>IF(OR($M1832="",$T1832=""),"",$T1832+(V$2*$M1832))</f>
        <v/>
      </c>
      <c r="W1832" s="48">
        <f>IF(OR($M1832="",$T1832=""),"",$T1832+(W$2*$M1832))</f>
        <v/>
      </c>
      <c r="X1832" s="49">
        <f>IF(OR($M1832="",$T1832=""),"",$T1832+(X$2*$M1832))</f>
        <v/>
      </c>
      <c r="Y1832" s="47">
        <f>IF(OR($M1832="",$T1832=""),"",$T1832+(Y$2*$M1832))</f>
        <v/>
      </c>
      <c r="Z1832" s="49">
        <f>IF(OR($M1832="",$T1832=""),"",$T1832+(Z$2*$M1832))</f>
        <v/>
      </c>
      <c r="AA1832" s="51">
        <f>IF(OR($M1832="",$T1832=""),"",$T1832+(AA$2*$M1832))</f>
        <v/>
      </c>
      <c r="AB1832" s="48">
        <f>IF(OR($M1832="",$T1832=""),"",$T1832+(AB$2*$M1832))</f>
        <v/>
      </c>
      <c r="AC1832" s="48">
        <f>IF(OR($M1832="",$T1832=""),"",$T1832+(AC$2*$M1832))</f>
        <v/>
      </c>
      <c r="AD1832" s="48">
        <f>IF(OR($M1832="",$T1832=""),"",$T1832+(AD$2*$M1832))</f>
        <v/>
      </c>
      <c r="AE1832" s="49">
        <f>IF(OR($M1832="",$T1832=""),"",$T1832+(AE$2*$M1832))</f>
        <v/>
      </c>
      <c r="AF1832" s="52">
        <f>IF(OR(T1832="",I1832&lt;T1832),"",IFERROR(AVERAGE(T1832+M1832*{7,8,9,10,11})/IF(G1832="",I1832,G1832)-1,""))</f>
        <v/>
      </c>
      <c r="AG1832" s="55">
        <f>IF(OR(T1832="",I1832&lt;T1832),"",IFERROR(AF1832/-(R1832/IF(G1832="",I1832,G1832)-1),""))</f>
        <v/>
      </c>
      <c r="AH1832" s="94" t="n"/>
      <c r="AI1832" s="94" t="n"/>
      <c r="AJ1832" s="94" t="n"/>
      <c r="AK1832" s="94" t="n"/>
      <c r="AL1832" s="84" t="n"/>
    </row>
    <row r="1833">
      <c r="A1833" s="64" t="n"/>
      <c r="B1833" s="65" t="n"/>
      <c r="C1833" s="66" t="n"/>
      <c r="D1833" s="67" t="n"/>
      <c r="E1833" s="68" t="n"/>
      <c r="F1833" s="47">
        <f>IF(A1833="","",IF(MIN(H1833,MAX(J1833:K1833))=0,"",MIN(H1833,MAX(J1833:K1833))))</f>
        <v/>
      </c>
      <c r="G1833" s="74" t="n"/>
      <c r="H1833" s="49">
        <f>IF(M1833="","",IFERROR(ROUND(AVERAGE(T1833+M1833*{7,8,9,10,11})/1.21,4),""))</f>
        <v/>
      </c>
      <c r="I1833" s="76" t="n"/>
      <c r="J1833" s="77" t="n"/>
      <c r="K1833" s="74" t="n"/>
      <c r="L1833" s="78" t="n"/>
      <c r="M1833" s="77" t="n"/>
      <c r="N1833" s="53">
        <f>IF(M1833="","",IFERROR(M1833/I1833,""))</f>
        <v/>
      </c>
      <c r="O1833" s="50">
        <f>IF(A1833="","",IFERROR((IF(G1833="",I1833,G1833)-T1833)/M1833,""))</f>
        <v/>
      </c>
      <c r="P1833" s="50">
        <f>IFERROR((I1833/T1833-1)/N1833,"")</f>
        <v/>
      </c>
      <c r="Q1833" s="46">
        <f>IF(OR(T1833="",I1833&lt;T1833),"",IFERROR(R1833/IF(G1833="",I1833,G1833)-1,""))</f>
        <v/>
      </c>
      <c r="R1833" s="48">
        <f>IF($M1833="","",MAX(IF($G1833="",$I1833,$G1833)*(1/1.1),IF($G1833="",$I1833,$G1833)+(R$2*$M1833)))</f>
        <v/>
      </c>
      <c r="S1833" s="49">
        <f>IF($M1833="","",MAX(IF($G1833="",$I1833,$G1833)*(1/1.1),IF($G1833="",$I1833,$G1833)+(S$2*$M1833)))</f>
        <v/>
      </c>
      <c r="T1833" s="82" t="n"/>
      <c r="U1833" s="47">
        <f>IF(OR($M1833="",$T1833=""),"",$T1833+(U$2*$M1833))</f>
        <v/>
      </c>
      <c r="V1833" s="48">
        <f>IF(OR($M1833="",$T1833=""),"",$T1833+(V$2*$M1833))</f>
        <v/>
      </c>
      <c r="W1833" s="48">
        <f>IF(OR($M1833="",$T1833=""),"",$T1833+(W$2*$M1833))</f>
        <v/>
      </c>
      <c r="X1833" s="49">
        <f>IF(OR($M1833="",$T1833=""),"",$T1833+(X$2*$M1833))</f>
        <v/>
      </c>
      <c r="Y1833" s="47">
        <f>IF(OR($M1833="",$T1833=""),"",$T1833+(Y$2*$M1833))</f>
        <v/>
      </c>
      <c r="Z1833" s="49">
        <f>IF(OR($M1833="",$T1833=""),"",$T1833+(Z$2*$M1833))</f>
        <v/>
      </c>
      <c r="AA1833" s="51">
        <f>IF(OR($M1833="",$T1833=""),"",$T1833+(AA$2*$M1833))</f>
        <v/>
      </c>
      <c r="AB1833" s="48">
        <f>IF(OR($M1833="",$T1833=""),"",$T1833+(AB$2*$M1833))</f>
        <v/>
      </c>
      <c r="AC1833" s="48">
        <f>IF(OR($M1833="",$T1833=""),"",$T1833+(AC$2*$M1833))</f>
        <v/>
      </c>
      <c r="AD1833" s="48">
        <f>IF(OR($M1833="",$T1833=""),"",$T1833+(AD$2*$M1833))</f>
        <v/>
      </c>
      <c r="AE1833" s="49">
        <f>IF(OR($M1833="",$T1833=""),"",$T1833+(AE$2*$M1833))</f>
        <v/>
      </c>
      <c r="AF1833" s="52">
        <f>IF(OR(T1833="",I1833&lt;T1833),"",IFERROR(AVERAGE(T1833+M1833*{7,8,9,10,11})/IF(G1833="",I1833,G1833)-1,""))</f>
        <v/>
      </c>
      <c r="AG1833" s="55">
        <f>IF(OR(T1833="",I1833&lt;T1833),"",IFERROR(AF1833/-(R1833/IF(G1833="",I1833,G1833)-1),""))</f>
        <v/>
      </c>
      <c r="AH1833" s="94" t="n"/>
      <c r="AI1833" s="94" t="n"/>
      <c r="AJ1833" s="94" t="n"/>
      <c r="AK1833" s="94" t="n"/>
      <c r="AL1833" s="84" t="n"/>
    </row>
    <row r="1834">
      <c r="A1834" s="64" t="n"/>
      <c r="B1834" s="65" t="n"/>
      <c r="C1834" s="66" t="n"/>
      <c r="D1834" s="67" t="n"/>
      <c r="E1834" s="68" t="n"/>
      <c r="F1834" s="47">
        <f>IF(A1834="","",IF(MIN(H1834,MAX(J1834:K1834))=0,"",MIN(H1834,MAX(J1834:K1834))))</f>
        <v/>
      </c>
      <c r="G1834" s="74" t="n"/>
      <c r="H1834" s="49">
        <f>IF(M1834="","",IFERROR(ROUND(AVERAGE(T1834+M1834*{7,8,9,10,11})/1.21,4),""))</f>
        <v/>
      </c>
      <c r="I1834" s="76" t="n"/>
      <c r="J1834" s="77" t="n"/>
      <c r="K1834" s="74" t="n"/>
      <c r="L1834" s="78" t="n"/>
      <c r="M1834" s="77" t="n"/>
      <c r="N1834" s="53">
        <f>IF(M1834="","",IFERROR(M1834/I1834,""))</f>
        <v/>
      </c>
      <c r="O1834" s="50">
        <f>IF(A1834="","",IFERROR((IF(G1834="",I1834,G1834)-T1834)/M1834,""))</f>
        <v/>
      </c>
      <c r="P1834" s="50">
        <f>IFERROR((I1834/T1834-1)/N1834,"")</f>
        <v/>
      </c>
      <c r="Q1834" s="46">
        <f>IF(OR(T1834="",I1834&lt;T1834),"",IFERROR(R1834/IF(G1834="",I1834,G1834)-1,""))</f>
        <v/>
      </c>
      <c r="R1834" s="48">
        <f>IF($M1834="","",MAX(IF($G1834="",$I1834,$G1834)*(1/1.1),IF($G1834="",$I1834,$G1834)+(R$2*$M1834)))</f>
        <v/>
      </c>
      <c r="S1834" s="49">
        <f>IF($M1834="","",MAX(IF($G1834="",$I1834,$G1834)*(1/1.1),IF($G1834="",$I1834,$G1834)+(S$2*$M1834)))</f>
        <v/>
      </c>
      <c r="T1834" s="82" t="n"/>
      <c r="U1834" s="47">
        <f>IF(OR($M1834="",$T1834=""),"",$T1834+(U$2*$M1834))</f>
        <v/>
      </c>
      <c r="V1834" s="48">
        <f>IF(OR($M1834="",$T1834=""),"",$T1834+(V$2*$M1834))</f>
        <v/>
      </c>
      <c r="W1834" s="48">
        <f>IF(OR($M1834="",$T1834=""),"",$T1834+(W$2*$M1834))</f>
        <v/>
      </c>
      <c r="X1834" s="49">
        <f>IF(OR($M1834="",$T1834=""),"",$T1834+(X$2*$M1834))</f>
        <v/>
      </c>
      <c r="Y1834" s="47">
        <f>IF(OR($M1834="",$T1834=""),"",$T1834+(Y$2*$M1834))</f>
        <v/>
      </c>
      <c r="Z1834" s="49">
        <f>IF(OR($M1834="",$T1834=""),"",$T1834+(Z$2*$M1834))</f>
        <v/>
      </c>
      <c r="AA1834" s="51">
        <f>IF(OR($M1834="",$T1834=""),"",$T1834+(AA$2*$M1834))</f>
        <v/>
      </c>
      <c r="AB1834" s="48">
        <f>IF(OR($M1834="",$T1834=""),"",$T1834+(AB$2*$M1834))</f>
        <v/>
      </c>
      <c r="AC1834" s="48">
        <f>IF(OR($M1834="",$T1834=""),"",$T1834+(AC$2*$M1834))</f>
        <v/>
      </c>
      <c r="AD1834" s="48">
        <f>IF(OR($M1834="",$T1834=""),"",$T1834+(AD$2*$M1834))</f>
        <v/>
      </c>
      <c r="AE1834" s="49">
        <f>IF(OR($M1834="",$T1834=""),"",$T1834+(AE$2*$M1834))</f>
        <v/>
      </c>
      <c r="AF1834" s="52">
        <f>IF(OR(T1834="",I1834&lt;T1834),"",IFERROR(AVERAGE(T1834+M1834*{7,8,9,10,11})/IF(G1834="",I1834,G1834)-1,""))</f>
        <v/>
      </c>
      <c r="AG1834" s="55">
        <f>IF(OR(T1834="",I1834&lt;T1834),"",IFERROR(AF1834/-(R1834/IF(G1834="",I1834,G1834)-1),""))</f>
        <v/>
      </c>
      <c r="AH1834" s="94" t="n"/>
      <c r="AI1834" s="94" t="n"/>
      <c r="AJ1834" s="94" t="n"/>
      <c r="AK1834" s="94" t="n"/>
      <c r="AL1834" s="84" t="n"/>
    </row>
    <row r="1835">
      <c r="A1835" s="64" t="n"/>
      <c r="B1835" s="65" t="n"/>
      <c r="C1835" s="66" t="n"/>
      <c r="D1835" s="67" t="n"/>
      <c r="E1835" s="68" t="n"/>
      <c r="F1835" s="47">
        <f>IF(A1835="","",IF(MIN(H1835,MAX(J1835:K1835))=0,"",MIN(H1835,MAX(J1835:K1835))))</f>
        <v/>
      </c>
      <c r="G1835" s="74" t="n"/>
      <c r="H1835" s="49">
        <f>IF(M1835="","",IFERROR(ROUND(AVERAGE(T1835+M1835*{7,8,9,10,11})/1.21,4),""))</f>
        <v/>
      </c>
      <c r="I1835" s="76" t="n"/>
      <c r="J1835" s="77" t="n"/>
      <c r="K1835" s="74" t="n"/>
      <c r="L1835" s="78" t="n"/>
      <c r="M1835" s="77" t="n"/>
      <c r="N1835" s="53">
        <f>IF(M1835="","",IFERROR(M1835/I1835,""))</f>
        <v/>
      </c>
      <c r="O1835" s="50">
        <f>IF(A1835="","",IFERROR((IF(G1835="",I1835,G1835)-T1835)/M1835,""))</f>
        <v/>
      </c>
      <c r="P1835" s="50">
        <f>IFERROR((I1835/T1835-1)/N1835,"")</f>
        <v/>
      </c>
      <c r="Q1835" s="46">
        <f>IF(OR(T1835="",I1835&lt;T1835),"",IFERROR(R1835/IF(G1835="",I1835,G1835)-1,""))</f>
        <v/>
      </c>
      <c r="R1835" s="48">
        <f>IF($M1835="","",MAX(IF($G1835="",$I1835,$G1835)*(1/1.1),IF($G1835="",$I1835,$G1835)+(R$2*$M1835)))</f>
        <v/>
      </c>
      <c r="S1835" s="49">
        <f>IF($M1835="","",MAX(IF($G1835="",$I1835,$G1835)*(1/1.1),IF($G1835="",$I1835,$G1835)+(S$2*$M1835)))</f>
        <v/>
      </c>
      <c r="T1835" s="82" t="n"/>
      <c r="U1835" s="47">
        <f>IF(OR($M1835="",$T1835=""),"",$T1835+(U$2*$M1835))</f>
        <v/>
      </c>
      <c r="V1835" s="48">
        <f>IF(OR($M1835="",$T1835=""),"",$T1835+(V$2*$M1835))</f>
        <v/>
      </c>
      <c r="W1835" s="48">
        <f>IF(OR($M1835="",$T1835=""),"",$T1835+(W$2*$M1835))</f>
        <v/>
      </c>
      <c r="X1835" s="49">
        <f>IF(OR($M1835="",$T1835=""),"",$T1835+(X$2*$M1835))</f>
        <v/>
      </c>
      <c r="Y1835" s="47">
        <f>IF(OR($M1835="",$T1835=""),"",$T1835+(Y$2*$M1835))</f>
        <v/>
      </c>
      <c r="Z1835" s="49">
        <f>IF(OR($M1835="",$T1835=""),"",$T1835+(Z$2*$M1835))</f>
        <v/>
      </c>
      <c r="AA1835" s="51">
        <f>IF(OR($M1835="",$T1835=""),"",$T1835+(AA$2*$M1835))</f>
        <v/>
      </c>
      <c r="AB1835" s="48">
        <f>IF(OR($M1835="",$T1835=""),"",$T1835+(AB$2*$M1835))</f>
        <v/>
      </c>
      <c r="AC1835" s="48">
        <f>IF(OR($M1835="",$T1835=""),"",$T1835+(AC$2*$M1835))</f>
        <v/>
      </c>
      <c r="AD1835" s="48">
        <f>IF(OR($M1835="",$T1835=""),"",$T1835+(AD$2*$M1835))</f>
        <v/>
      </c>
      <c r="AE1835" s="49">
        <f>IF(OR($M1835="",$T1835=""),"",$T1835+(AE$2*$M1835))</f>
        <v/>
      </c>
      <c r="AF1835" s="52">
        <f>IF(OR(T1835="",I1835&lt;T1835),"",IFERROR(AVERAGE(T1835+M1835*{7,8,9,10,11})/IF(G1835="",I1835,G1835)-1,""))</f>
        <v/>
      </c>
      <c r="AG1835" s="55">
        <f>IF(OR(T1835="",I1835&lt;T1835),"",IFERROR(AF1835/-(R1835/IF(G1835="",I1835,G1835)-1),""))</f>
        <v/>
      </c>
      <c r="AH1835" s="94" t="n"/>
      <c r="AI1835" s="94" t="n"/>
      <c r="AJ1835" s="94" t="n"/>
      <c r="AK1835" s="94" t="n"/>
      <c r="AL1835" s="84" t="n"/>
    </row>
    <row r="1836">
      <c r="A1836" s="64" t="n"/>
      <c r="B1836" s="65" t="n"/>
      <c r="C1836" s="66" t="n"/>
      <c r="D1836" s="67" t="n"/>
      <c r="E1836" s="68" t="n"/>
      <c r="F1836" s="47">
        <f>IF(A1836="","",IF(MIN(H1836,MAX(J1836:K1836))=0,"",MIN(H1836,MAX(J1836:K1836))))</f>
        <v/>
      </c>
      <c r="G1836" s="74" t="n"/>
      <c r="H1836" s="49">
        <f>IF(M1836="","",IFERROR(ROUND(AVERAGE(T1836+M1836*{7,8,9,10,11})/1.21,4),""))</f>
        <v/>
      </c>
      <c r="I1836" s="76" t="n"/>
      <c r="J1836" s="77" t="n"/>
      <c r="K1836" s="74" t="n"/>
      <c r="L1836" s="78" t="n"/>
      <c r="M1836" s="77" t="n"/>
      <c r="N1836" s="53">
        <f>IF(M1836="","",IFERROR(M1836/I1836,""))</f>
        <v/>
      </c>
      <c r="O1836" s="50">
        <f>IF(A1836="","",IFERROR((IF(G1836="",I1836,G1836)-T1836)/M1836,""))</f>
        <v/>
      </c>
      <c r="P1836" s="50">
        <f>IFERROR((I1836/T1836-1)/N1836,"")</f>
        <v/>
      </c>
      <c r="Q1836" s="46">
        <f>IF(OR(T1836="",I1836&lt;T1836),"",IFERROR(R1836/IF(G1836="",I1836,G1836)-1,""))</f>
        <v/>
      </c>
      <c r="R1836" s="48">
        <f>IF($M1836="","",MAX(IF($G1836="",$I1836,$G1836)*(1/1.1),IF($G1836="",$I1836,$G1836)+(R$2*$M1836)))</f>
        <v/>
      </c>
      <c r="S1836" s="49">
        <f>IF($M1836="","",MAX(IF($G1836="",$I1836,$G1836)*(1/1.1),IF($G1836="",$I1836,$G1836)+(S$2*$M1836)))</f>
        <v/>
      </c>
      <c r="T1836" s="82" t="n"/>
      <c r="U1836" s="47">
        <f>IF(OR($M1836="",$T1836=""),"",$T1836+(U$2*$M1836))</f>
        <v/>
      </c>
      <c r="V1836" s="48">
        <f>IF(OR($M1836="",$T1836=""),"",$T1836+(V$2*$M1836))</f>
        <v/>
      </c>
      <c r="W1836" s="48">
        <f>IF(OR($M1836="",$T1836=""),"",$T1836+(W$2*$M1836))</f>
        <v/>
      </c>
      <c r="X1836" s="49">
        <f>IF(OR($M1836="",$T1836=""),"",$T1836+(X$2*$M1836))</f>
        <v/>
      </c>
      <c r="Y1836" s="47">
        <f>IF(OR($M1836="",$T1836=""),"",$T1836+(Y$2*$M1836))</f>
        <v/>
      </c>
      <c r="Z1836" s="49">
        <f>IF(OR($M1836="",$T1836=""),"",$T1836+(Z$2*$M1836))</f>
        <v/>
      </c>
      <c r="AA1836" s="51">
        <f>IF(OR($M1836="",$T1836=""),"",$T1836+(AA$2*$M1836))</f>
        <v/>
      </c>
      <c r="AB1836" s="48">
        <f>IF(OR($M1836="",$T1836=""),"",$T1836+(AB$2*$M1836))</f>
        <v/>
      </c>
      <c r="AC1836" s="48">
        <f>IF(OR($M1836="",$T1836=""),"",$T1836+(AC$2*$M1836))</f>
        <v/>
      </c>
      <c r="AD1836" s="48">
        <f>IF(OR($M1836="",$T1836=""),"",$T1836+(AD$2*$M1836))</f>
        <v/>
      </c>
      <c r="AE1836" s="49">
        <f>IF(OR($M1836="",$T1836=""),"",$T1836+(AE$2*$M1836))</f>
        <v/>
      </c>
      <c r="AF1836" s="52">
        <f>IF(OR(T1836="",I1836&lt;T1836),"",IFERROR(AVERAGE(T1836+M1836*{7,8,9,10,11})/IF(G1836="",I1836,G1836)-1,""))</f>
        <v/>
      </c>
      <c r="AG1836" s="55">
        <f>IF(OR(T1836="",I1836&lt;T1836),"",IFERROR(AF1836/-(R1836/IF(G1836="",I1836,G1836)-1),""))</f>
        <v/>
      </c>
      <c r="AH1836" s="94" t="n"/>
      <c r="AI1836" s="94" t="n"/>
      <c r="AJ1836" s="94" t="n"/>
      <c r="AK1836" s="94" t="n"/>
      <c r="AL1836" s="84" t="n"/>
    </row>
    <row r="1837">
      <c r="A1837" s="64" t="n"/>
      <c r="B1837" s="65" t="n"/>
      <c r="C1837" s="66" t="n"/>
      <c r="D1837" s="67" t="n"/>
      <c r="E1837" s="68" t="n"/>
      <c r="F1837" s="47">
        <f>IF(A1837="","",IF(MIN(H1837,MAX(J1837:K1837))=0,"",MIN(H1837,MAX(J1837:K1837))))</f>
        <v/>
      </c>
      <c r="G1837" s="74" t="n"/>
      <c r="H1837" s="49">
        <f>IF(M1837="","",IFERROR(ROUND(AVERAGE(T1837+M1837*{7,8,9,10,11})/1.21,4),""))</f>
        <v/>
      </c>
      <c r="I1837" s="76" t="n"/>
      <c r="J1837" s="77" t="n"/>
      <c r="K1837" s="74" t="n"/>
      <c r="L1837" s="78" t="n"/>
      <c r="M1837" s="77" t="n"/>
      <c r="N1837" s="53">
        <f>IF(M1837="","",IFERROR(M1837/I1837,""))</f>
        <v/>
      </c>
      <c r="O1837" s="50">
        <f>IF(A1837="","",IFERROR((IF(G1837="",I1837,G1837)-T1837)/M1837,""))</f>
        <v/>
      </c>
      <c r="P1837" s="50">
        <f>IFERROR((I1837/T1837-1)/N1837,"")</f>
        <v/>
      </c>
      <c r="Q1837" s="46">
        <f>IF(OR(T1837="",I1837&lt;T1837),"",IFERROR(R1837/IF(G1837="",I1837,G1837)-1,""))</f>
        <v/>
      </c>
      <c r="R1837" s="48">
        <f>IF($M1837="","",MAX(IF($G1837="",$I1837,$G1837)*(1/1.1),IF($G1837="",$I1837,$G1837)+(R$2*$M1837)))</f>
        <v/>
      </c>
      <c r="S1837" s="49">
        <f>IF($M1837="","",MAX(IF($G1837="",$I1837,$G1837)*(1/1.1),IF($G1837="",$I1837,$G1837)+(S$2*$M1837)))</f>
        <v/>
      </c>
      <c r="T1837" s="82" t="n"/>
      <c r="U1837" s="47">
        <f>IF(OR($M1837="",$T1837=""),"",$T1837+(U$2*$M1837))</f>
        <v/>
      </c>
      <c r="V1837" s="48">
        <f>IF(OR($M1837="",$T1837=""),"",$T1837+(V$2*$M1837))</f>
        <v/>
      </c>
      <c r="W1837" s="48">
        <f>IF(OR($M1837="",$T1837=""),"",$T1837+(W$2*$M1837))</f>
        <v/>
      </c>
      <c r="X1837" s="49">
        <f>IF(OR($M1837="",$T1837=""),"",$T1837+(X$2*$M1837))</f>
        <v/>
      </c>
      <c r="Y1837" s="47">
        <f>IF(OR($M1837="",$T1837=""),"",$T1837+(Y$2*$M1837))</f>
        <v/>
      </c>
      <c r="Z1837" s="49">
        <f>IF(OR($M1837="",$T1837=""),"",$T1837+(Z$2*$M1837))</f>
        <v/>
      </c>
      <c r="AA1837" s="51">
        <f>IF(OR($M1837="",$T1837=""),"",$T1837+(AA$2*$M1837))</f>
        <v/>
      </c>
      <c r="AB1837" s="48">
        <f>IF(OR($M1837="",$T1837=""),"",$T1837+(AB$2*$M1837))</f>
        <v/>
      </c>
      <c r="AC1837" s="48">
        <f>IF(OR($M1837="",$T1837=""),"",$T1837+(AC$2*$M1837))</f>
        <v/>
      </c>
      <c r="AD1837" s="48">
        <f>IF(OR($M1837="",$T1837=""),"",$T1837+(AD$2*$M1837))</f>
        <v/>
      </c>
      <c r="AE1837" s="49">
        <f>IF(OR($M1837="",$T1837=""),"",$T1837+(AE$2*$M1837))</f>
        <v/>
      </c>
      <c r="AF1837" s="52">
        <f>IF(OR(T1837="",I1837&lt;T1837),"",IFERROR(AVERAGE(T1837+M1837*{7,8,9,10,11})/IF(G1837="",I1837,G1837)-1,""))</f>
        <v/>
      </c>
      <c r="AG1837" s="55">
        <f>IF(OR(T1837="",I1837&lt;T1837),"",IFERROR(AF1837/-(R1837/IF(G1837="",I1837,G1837)-1),""))</f>
        <v/>
      </c>
      <c r="AH1837" s="94" t="n"/>
      <c r="AI1837" s="94" t="n"/>
      <c r="AJ1837" s="94" t="n"/>
      <c r="AK1837" s="94" t="n"/>
      <c r="AL1837" s="84" t="n"/>
    </row>
    <row r="1838">
      <c r="A1838" s="64" t="n"/>
      <c r="B1838" s="65" t="n"/>
      <c r="C1838" s="66" t="n"/>
      <c r="D1838" s="67" t="n"/>
      <c r="E1838" s="68" t="n"/>
      <c r="F1838" s="47">
        <f>IF(A1838="","",IF(MIN(H1838,MAX(J1838:K1838))=0,"",MIN(H1838,MAX(J1838:K1838))))</f>
        <v/>
      </c>
      <c r="G1838" s="74" t="n"/>
      <c r="H1838" s="49">
        <f>IF(M1838="","",IFERROR(ROUND(AVERAGE(T1838+M1838*{7,8,9,10,11})/1.21,4),""))</f>
        <v/>
      </c>
      <c r="I1838" s="76" t="n"/>
      <c r="J1838" s="77" t="n"/>
      <c r="K1838" s="74" t="n"/>
      <c r="L1838" s="78" t="n"/>
      <c r="M1838" s="77" t="n"/>
      <c r="N1838" s="53">
        <f>IF(M1838="","",IFERROR(M1838/I1838,""))</f>
        <v/>
      </c>
      <c r="O1838" s="50">
        <f>IF(A1838="","",IFERROR((IF(G1838="",I1838,G1838)-T1838)/M1838,""))</f>
        <v/>
      </c>
      <c r="P1838" s="50">
        <f>IFERROR((I1838/T1838-1)/N1838,"")</f>
        <v/>
      </c>
      <c r="Q1838" s="46">
        <f>IF(OR(T1838="",I1838&lt;T1838),"",IFERROR(R1838/IF(G1838="",I1838,G1838)-1,""))</f>
        <v/>
      </c>
      <c r="R1838" s="48">
        <f>IF($M1838="","",MAX(IF($G1838="",$I1838,$G1838)*(1/1.1),IF($G1838="",$I1838,$G1838)+(R$2*$M1838)))</f>
        <v/>
      </c>
      <c r="S1838" s="49">
        <f>IF($M1838="","",MAX(IF($G1838="",$I1838,$G1838)*(1/1.1),IF($G1838="",$I1838,$G1838)+(S$2*$M1838)))</f>
        <v/>
      </c>
      <c r="T1838" s="82" t="n"/>
      <c r="U1838" s="47">
        <f>IF(OR($M1838="",$T1838=""),"",$T1838+(U$2*$M1838))</f>
        <v/>
      </c>
      <c r="V1838" s="48">
        <f>IF(OR($M1838="",$T1838=""),"",$T1838+(V$2*$M1838))</f>
        <v/>
      </c>
      <c r="W1838" s="48">
        <f>IF(OR($M1838="",$T1838=""),"",$T1838+(W$2*$M1838))</f>
        <v/>
      </c>
      <c r="X1838" s="49">
        <f>IF(OR($M1838="",$T1838=""),"",$T1838+(X$2*$M1838))</f>
        <v/>
      </c>
      <c r="Y1838" s="47">
        <f>IF(OR($M1838="",$T1838=""),"",$T1838+(Y$2*$M1838))</f>
        <v/>
      </c>
      <c r="Z1838" s="49">
        <f>IF(OR($M1838="",$T1838=""),"",$T1838+(Z$2*$M1838))</f>
        <v/>
      </c>
      <c r="AA1838" s="51">
        <f>IF(OR($M1838="",$T1838=""),"",$T1838+(AA$2*$M1838))</f>
        <v/>
      </c>
      <c r="AB1838" s="48">
        <f>IF(OR($M1838="",$T1838=""),"",$T1838+(AB$2*$M1838))</f>
        <v/>
      </c>
      <c r="AC1838" s="48">
        <f>IF(OR($M1838="",$T1838=""),"",$T1838+(AC$2*$M1838))</f>
        <v/>
      </c>
      <c r="AD1838" s="48">
        <f>IF(OR($M1838="",$T1838=""),"",$T1838+(AD$2*$M1838))</f>
        <v/>
      </c>
      <c r="AE1838" s="49">
        <f>IF(OR($M1838="",$T1838=""),"",$T1838+(AE$2*$M1838))</f>
        <v/>
      </c>
      <c r="AF1838" s="52">
        <f>IF(OR(T1838="",I1838&lt;T1838),"",IFERROR(AVERAGE(T1838+M1838*{7,8,9,10,11})/IF(G1838="",I1838,G1838)-1,""))</f>
        <v/>
      </c>
      <c r="AG1838" s="55">
        <f>IF(OR(T1838="",I1838&lt;T1838),"",IFERROR(AF1838/-(R1838/IF(G1838="",I1838,G1838)-1),""))</f>
        <v/>
      </c>
      <c r="AH1838" s="94" t="n"/>
      <c r="AI1838" s="94" t="n"/>
      <c r="AJ1838" s="94" t="n"/>
      <c r="AK1838" s="94" t="n"/>
      <c r="AL1838" s="84" t="n"/>
    </row>
    <row r="1839">
      <c r="A1839" s="64" t="n"/>
      <c r="B1839" s="65" t="n"/>
      <c r="C1839" s="66" t="n"/>
      <c r="D1839" s="67" t="n"/>
      <c r="E1839" s="68" t="n"/>
      <c r="F1839" s="47">
        <f>IF(A1839="","",IF(MIN(H1839,MAX(J1839:K1839))=0,"",MIN(H1839,MAX(J1839:K1839))))</f>
        <v/>
      </c>
      <c r="G1839" s="74" t="n"/>
      <c r="H1839" s="49">
        <f>IF(M1839="","",IFERROR(ROUND(AVERAGE(T1839+M1839*{7,8,9,10,11})/1.21,4),""))</f>
        <v/>
      </c>
      <c r="I1839" s="76" t="n"/>
      <c r="J1839" s="77" t="n"/>
      <c r="K1839" s="74" t="n"/>
      <c r="L1839" s="78" t="n"/>
      <c r="M1839" s="77" t="n"/>
      <c r="N1839" s="53">
        <f>IF(M1839="","",IFERROR(M1839/I1839,""))</f>
        <v/>
      </c>
      <c r="O1839" s="50">
        <f>IF(A1839="","",IFERROR((IF(G1839="",I1839,G1839)-T1839)/M1839,""))</f>
        <v/>
      </c>
      <c r="P1839" s="50">
        <f>IFERROR((I1839/T1839-1)/N1839,"")</f>
        <v/>
      </c>
      <c r="Q1839" s="46">
        <f>IF(OR(T1839="",I1839&lt;T1839),"",IFERROR(R1839/IF(G1839="",I1839,G1839)-1,""))</f>
        <v/>
      </c>
      <c r="R1839" s="48">
        <f>IF($M1839="","",MAX(IF($G1839="",$I1839,$G1839)*(1/1.1),IF($G1839="",$I1839,$G1839)+(R$2*$M1839)))</f>
        <v/>
      </c>
      <c r="S1839" s="49">
        <f>IF($M1839="","",MAX(IF($G1839="",$I1839,$G1839)*(1/1.1),IF($G1839="",$I1839,$G1839)+(S$2*$M1839)))</f>
        <v/>
      </c>
      <c r="T1839" s="82" t="n"/>
      <c r="U1839" s="47">
        <f>IF(OR($M1839="",$T1839=""),"",$T1839+(U$2*$M1839))</f>
        <v/>
      </c>
      <c r="V1839" s="48">
        <f>IF(OR($M1839="",$T1839=""),"",$T1839+(V$2*$M1839))</f>
        <v/>
      </c>
      <c r="W1839" s="48">
        <f>IF(OR($M1839="",$T1839=""),"",$T1839+(W$2*$M1839))</f>
        <v/>
      </c>
      <c r="X1839" s="49">
        <f>IF(OR($M1839="",$T1839=""),"",$T1839+(X$2*$M1839))</f>
        <v/>
      </c>
      <c r="Y1839" s="47">
        <f>IF(OR($M1839="",$T1839=""),"",$T1839+(Y$2*$M1839))</f>
        <v/>
      </c>
      <c r="Z1839" s="49">
        <f>IF(OR($M1839="",$T1839=""),"",$T1839+(Z$2*$M1839))</f>
        <v/>
      </c>
      <c r="AA1839" s="51">
        <f>IF(OR($M1839="",$T1839=""),"",$T1839+(AA$2*$M1839))</f>
        <v/>
      </c>
      <c r="AB1839" s="48">
        <f>IF(OR($M1839="",$T1839=""),"",$T1839+(AB$2*$M1839))</f>
        <v/>
      </c>
      <c r="AC1839" s="48">
        <f>IF(OR($M1839="",$T1839=""),"",$T1839+(AC$2*$M1839))</f>
        <v/>
      </c>
      <c r="AD1839" s="48">
        <f>IF(OR($M1839="",$T1839=""),"",$T1839+(AD$2*$M1839))</f>
        <v/>
      </c>
      <c r="AE1839" s="49">
        <f>IF(OR($M1839="",$T1839=""),"",$T1839+(AE$2*$M1839))</f>
        <v/>
      </c>
      <c r="AF1839" s="52">
        <f>IF(OR(T1839="",I1839&lt;T1839),"",IFERROR(AVERAGE(T1839+M1839*{7,8,9,10,11})/IF(G1839="",I1839,G1839)-1,""))</f>
        <v/>
      </c>
      <c r="AG1839" s="55">
        <f>IF(OR(T1839="",I1839&lt;T1839),"",IFERROR(AF1839/-(R1839/IF(G1839="",I1839,G1839)-1),""))</f>
        <v/>
      </c>
      <c r="AH1839" s="94" t="n"/>
      <c r="AI1839" s="94" t="n"/>
      <c r="AJ1839" s="94" t="n"/>
      <c r="AK1839" s="94" t="n"/>
      <c r="AL1839" s="84" t="n"/>
    </row>
    <row r="1840">
      <c r="A1840" s="64" t="n"/>
      <c r="B1840" s="65" t="n"/>
      <c r="C1840" s="66" t="n"/>
      <c r="D1840" s="67" t="n"/>
      <c r="E1840" s="68" t="n"/>
      <c r="F1840" s="47">
        <f>IF(A1840="","",IF(MIN(H1840,MAX(J1840:K1840))=0,"",MIN(H1840,MAX(J1840:K1840))))</f>
        <v/>
      </c>
      <c r="G1840" s="74" t="n"/>
      <c r="H1840" s="49">
        <f>IF(M1840="","",IFERROR(ROUND(AVERAGE(T1840+M1840*{7,8,9,10,11})/1.21,4),""))</f>
        <v/>
      </c>
      <c r="I1840" s="76" t="n"/>
      <c r="J1840" s="77" t="n"/>
      <c r="K1840" s="74" t="n"/>
      <c r="L1840" s="78" t="n"/>
      <c r="M1840" s="77" t="n"/>
      <c r="N1840" s="53">
        <f>IF(M1840="","",IFERROR(M1840/I1840,""))</f>
        <v/>
      </c>
      <c r="O1840" s="50">
        <f>IF(A1840="","",IFERROR((IF(G1840="",I1840,G1840)-T1840)/M1840,""))</f>
        <v/>
      </c>
      <c r="P1840" s="50">
        <f>IFERROR((I1840/T1840-1)/N1840,"")</f>
        <v/>
      </c>
      <c r="Q1840" s="46">
        <f>IF(OR(T1840="",I1840&lt;T1840),"",IFERROR(R1840/IF(G1840="",I1840,G1840)-1,""))</f>
        <v/>
      </c>
      <c r="R1840" s="48">
        <f>IF($M1840="","",MAX(IF($G1840="",$I1840,$G1840)*(1/1.1),IF($G1840="",$I1840,$G1840)+(R$2*$M1840)))</f>
        <v/>
      </c>
      <c r="S1840" s="49">
        <f>IF($M1840="","",MAX(IF($G1840="",$I1840,$G1840)*(1/1.1),IF($G1840="",$I1840,$G1840)+(S$2*$M1840)))</f>
        <v/>
      </c>
      <c r="T1840" s="82" t="n"/>
      <c r="U1840" s="47">
        <f>IF(OR($M1840="",$T1840=""),"",$T1840+(U$2*$M1840))</f>
        <v/>
      </c>
      <c r="V1840" s="48">
        <f>IF(OR($M1840="",$T1840=""),"",$T1840+(V$2*$M1840))</f>
        <v/>
      </c>
      <c r="W1840" s="48">
        <f>IF(OR($M1840="",$T1840=""),"",$T1840+(W$2*$M1840))</f>
        <v/>
      </c>
      <c r="X1840" s="49">
        <f>IF(OR($M1840="",$T1840=""),"",$T1840+(X$2*$M1840))</f>
        <v/>
      </c>
      <c r="Y1840" s="47">
        <f>IF(OR($M1840="",$T1840=""),"",$T1840+(Y$2*$M1840))</f>
        <v/>
      </c>
      <c r="Z1840" s="49">
        <f>IF(OR($M1840="",$T1840=""),"",$T1840+(Z$2*$M1840))</f>
        <v/>
      </c>
      <c r="AA1840" s="51">
        <f>IF(OR($M1840="",$T1840=""),"",$T1840+(AA$2*$M1840))</f>
        <v/>
      </c>
      <c r="AB1840" s="48">
        <f>IF(OR($M1840="",$T1840=""),"",$T1840+(AB$2*$M1840))</f>
        <v/>
      </c>
      <c r="AC1840" s="48">
        <f>IF(OR($M1840="",$T1840=""),"",$T1840+(AC$2*$M1840))</f>
        <v/>
      </c>
      <c r="AD1840" s="48">
        <f>IF(OR($M1840="",$T1840=""),"",$T1840+(AD$2*$M1840))</f>
        <v/>
      </c>
      <c r="AE1840" s="49">
        <f>IF(OR($M1840="",$T1840=""),"",$T1840+(AE$2*$M1840))</f>
        <v/>
      </c>
      <c r="AF1840" s="52">
        <f>IF(OR(T1840="",I1840&lt;T1840),"",IFERROR(AVERAGE(T1840+M1840*{7,8,9,10,11})/IF(G1840="",I1840,G1840)-1,""))</f>
        <v/>
      </c>
      <c r="AG1840" s="55">
        <f>IF(OR(T1840="",I1840&lt;T1840),"",IFERROR(AF1840/-(R1840/IF(G1840="",I1840,G1840)-1),""))</f>
        <v/>
      </c>
      <c r="AH1840" s="94" t="n"/>
      <c r="AI1840" s="94" t="n"/>
      <c r="AJ1840" s="94" t="n"/>
      <c r="AK1840" s="94" t="n"/>
      <c r="AL1840" s="84" t="n"/>
    </row>
    <row r="1841">
      <c r="A1841" s="64" t="n"/>
      <c r="B1841" s="65" t="n"/>
      <c r="C1841" s="66" t="n"/>
      <c r="D1841" s="67" t="n"/>
      <c r="E1841" s="68" t="n"/>
      <c r="F1841" s="47">
        <f>IF(A1841="","",IF(MIN(H1841,MAX(J1841:K1841))=0,"",MIN(H1841,MAX(J1841:K1841))))</f>
        <v/>
      </c>
      <c r="G1841" s="74" t="n"/>
      <c r="H1841" s="49">
        <f>IF(M1841="","",IFERROR(ROUND(AVERAGE(T1841+M1841*{7,8,9,10,11})/1.21,4),""))</f>
        <v/>
      </c>
      <c r="I1841" s="76" t="n"/>
      <c r="J1841" s="77" t="n"/>
      <c r="K1841" s="74" t="n"/>
      <c r="L1841" s="78" t="n"/>
      <c r="M1841" s="77" t="n"/>
      <c r="N1841" s="53">
        <f>IF(M1841="","",IFERROR(M1841/I1841,""))</f>
        <v/>
      </c>
      <c r="O1841" s="50">
        <f>IF(A1841="","",IFERROR((IF(G1841="",I1841,G1841)-T1841)/M1841,""))</f>
        <v/>
      </c>
      <c r="P1841" s="50">
        <f>IFERROR((I1841/T1841-1)/N1841,"")</f>
        <v/>
      </c>
      <c r="Q1841" s="46">
        <f>IF(OR(T1841="",I1841&lt;T1841),"",IFERROR(R1841/IF(G1841="",I1841,G1841)-1,""))</f>
        <v/>
      </c>
      <c r="R1841" s="48">
        <f>IF($M1841="","",MAX(IF($G1841="",$I1841,$G1841)*(1/1.1),IF($G1841="",$I1841,$G1841)+(R$2*$M1841)))</f>
        <v/>
      </c>
      <c r="S1841" s="49">
        <f>IF($M1841="","",MAX(IF($G1841="",$I1841,$G1841)*(1/1.1),IF($G1841="",$I1841,$G1841)+(S$2*$M1841)))</f>
        <v/>
      </c>
      <c r="T1841" s="82" t="n"/>
      <c r="U1841" s="47">
        <f>IF(OR($M1841="",$T1841=""),"",$T1841+(U$2*$M1841))</f>
        <v/>
      </c>
      <c r="V1841" s="48">
        <f>IF(OR($M1841="",$T1841=""),"",$T1841+(V$2*$M1841))</f>
        <v/>
      </c>
      <c r="W1841" s="48">
        <f>IF(OR($M1841="",$T1841=""),"",$T1841+(W$2*$M1841))</f>
        <v/>
      </c>
      <c r="X1841" s="49">
        <f>IF(OR($M1841="",$T1841=""),"",$T1841+(X$2*$M1841))</f>
        <v/>
      </c>
      <c r="Y1841" s="47">
        <f>IF(OR($M1841="",$T1841=""),"",$T1841+(Y$2*$M1841))</f>
        <v/>
      </c>
      <c r="Z1841" s="49">
        <f>IF(OR($M1841="",$T1841=""),"",$T1841+(Z$2*$M1841))</f>
        <v/>
      </c>
      <c r="AA1841" s="51">
        <f>IF(OR($M1841="",$T1841=""),"",$T1841+(AA$2*$M1841))</f>
        <v/>
      </c>
      <c r="AB1841" s="48">
        <f>IF(OR($M1841="",$T1841=""),"",$T1841+(AB$2*$M1841))</f>
        <v/>
      </c>
      <c r="AC1841" s="48">
        <f>IF(OR($M1841="",$T1841=""),"",$T1841+(AC$2*$M1841))</f>
        <v/>
      </c>
      <c r="AD1841" s="48">
        <f>IF(OR($M1841="",$T1841=""),"",$T1841+(AD$2*$M1841))</f>
        <v/>
      </c>
      <c r="AE1841" s="49">
        <f>IF(OR($M1841="",$T1841=""),"",$T1841+(AE$2*$M1841))</f>
        <v/>
      </c>
      <c r="AF1841" s="52">
        <f>IF(OR(T1841="",I1841&lt;T1841),"",IFERROR(AVERAGE(T1841+M1841*{7,8,9,10,11})/IF(G1841="",I1841,G1841)-1,""))</f>
        <v/>
      </c>
      <c r="AG1841" s="55">
        <f>IF(OR(T1841="",I1841&lt;T1841),"",IFERROR(AF1841/-(R1841/IF(G1841="",I1841,G1841)-1),""))</f>
        <v/>
      </c>
      <c r="AH1841" s="94" t="n"/>
      <c r="AI1841" s="94" t="n"/>
      <c r="AJ1841" s="94" t="n"/>
      <c r="AK1841" s="94" t="n"/>
      <c r="AL1841" s="84" t="n"/>
    </row>
    <row r="1842">
      <c r="A1842" s="64" t="n"/>
      <c r="B1842" s="65" t="n"/>
      <c r="C1842" s="66" t="n"/>
      <c r="D1842" s="67" t="n"/>
      <c r="E1842" s="68" t="n"/>
      <c r="F1842" s="47">
        <f>IF(A1842="","",IF(MIN(H1842,MAX(J1842:K1842))=0,"",MIN(H1842,MAX(J1842:K1842))))</f>
        <v/>
      </c>
      <c r="G1842" s="74" t="n"/>
      <c r="H1842" s="49">
        <f>IF(M1842="","",IFERROR(ROUND(AVERAGE(T1842+M1842*{7,8,9,10,11})/1.21,4),""))</f>
        <v/>
      </c>
      <c r="I1842" s="76" t="n"/>
      <c r="J1842" s="77" t="n"/>
      <c r="K1842" s="74" t="n"/>
      <c r="L1842" s="78" t="n"/>
      <c r="M1842" s="77" t="n"/>
      <c r="N1842" s="53">
        <f>IF(M1842="","",IFERROR(M1842/I1842,""))</f>
        <v/>
      </c>
      <c r="O1842" s="50">
        <f>IF(A1842="","",IFERROR((IF(G1842="",I1842,G1842)-T1842)/M1842,""))</f>
        <v/>
      </c>
      <c r="P1842" s="50">
        <f>IFERROR((I1842/T1842-1)/N1842,"")</f>
        <v/>
      </c>
      <c r="Q1842" s="46">
        <f>IF(OR(T1842="",I1842&lt;T1842),"",IFERROR(R1842/IF(G1842="",I1842,G1842)-1,""))</f>
        <v/>
      </c>
      <c r="R1842" s="48">
        <f>IF($M1842="","",MAX(IF($G1842="",$I1842,$G1842)*(1/1.1),IF($G1842="",$I1842,$G1842)+(R$2*$M1842)))</f>
        <v/>
      </c>
      <c r="S1842" s="49">
        <f>IF($M1842="","",MAX(IF($G1842="",$I1842,$G1842)*(1/1.1),IF($G1842="",$I1842,$G1842)+(S$2*$M1842)))</f>
        <v/>
      </c>
      <c r="T1842" s="82" t="n"/>
      <c r="U1842" s="47">
        <f>IF(OR($M1842="",$T1842=""),"",$T1842+(U$2*$M1842))</f>
        <v/>
      </c>
      <c r="V1842" s="48">
        <f>IF(OR($M1842="",$T1842=""),"",$T1842+(V$2*$M1842))</f>
        <v/>
      </c>
      <c r="W1842" s="48">
        <f>IF(OR($M1842="",$T1842=""),"",$T1842+(W$2*$M1842))</f>
        <v/>
      </c>
      <c r="X1842" s="49">
        <f>IF(OR($M1842="",$T1842=""),"",$T1842+(X$2*$M1842))</f>
        <v/>
      </c>
      <c r="Y1842" s="47">
        <f>IF(OR($M1842="",$T1842=""),"",$T1842+(Y$2*$M1842))</f>
        <v/>
      </c>
      <c r="Z1842" s="49">
        <f>IF(OR($M1842="",$T1842=""),"",$T1842+(Z$2*$M1842))</f>
        <v/>
      </c>
      <c r="AA1842" s="51">
        <f>IF(OR($M1842="",$T1842=""),"",$T1842+(AA$2*$M1842))</f>
        <v/>
      </c>
      <c r="AB1842" s="48">
        <f>IF(OR($M1842="",$T1842=""),"",$T1842+(AB$2*$M1842))</f>
        <v/>
      </c>
      <c r="AC1842" s="48">
        <f>IF(OR($M1842="",$T1842=""),"",$T1842+(AC$2*$M1842))</f>
        <v/>
      </c>
      <c r="AD1842" s="48">
        <f>IF(OR($M1842="",$T1842=""),"",$T1842+(AD$2*$M1842))</f>
        <v/>
      </c>
      <c r="AE1842" s="49">
        <f>IF(OR($M1842="",$T1842=""),"",$T1842+(AE$2*$M1842))</f>
        <v/>
      </c>
      <c r="AF1842" s="52">
        <f>IF(OR(T1842="",I1842&lt;T1842),"",IFERROR(AVERAGE(T1842+M1842*{7,8,9,10,11})/IF(G1842="",I1842,G1842)-1,""))</f>
        <v/>
      </c>
      <c r="AG1842" s="55">
        <f>IF(OR(T1842="",I1842&lt;T1842),"",IFERROR(AF1842/-(R1842/IF(G1842="",I1842,G1842)-1),""))</f>
        <v/>
      </c>
      <c r="AH1842" s="94" t="n"/>
      <c r="AI1842" s="94" t="n"/>
      <c r="AJ1842" s="94" t="n"/>
      <c r="AK1842" s="94" t="n"/>
      <c r="AL1842" s="84" t="n"/>
    </row>
    <row r="1843">
      <c r="A1843" s="64" t="n"/>
      <c r="B1843" s="65" t="n"/>
      <c r="C1843" s="66" t="n"/>
      <c r="D1843" s="67" t="n"/>
      <c r="E1843" s="68" t="n"/>
      <c r="F1843" s="47">
        <f>IF(A1843="","",IF(MIN(H1843,MAX(J1843:K1843))=0,"",MIN(H1843,MAX(J1843:K1843))))</f>
        <v/>
      </c>
      <c r="G1843" s="74" t="n"/>
      <c r="H1843" s="49">
        <f>IF(M1843="","",IFERROR(ROUND(AVERAGE(T1843+M1843*{7,8,9,10,11})/1.21,4),""))</f>
        <v/>
      </c>
      <c r="I1843" s="76" t="n"/>
      <c r="J1843" s="77" t="n"/>
      <c r="K1843" s="74" t="n"/>
      <c r="L1843" s="78" t="n"/>
      <c r="M1843" s="77" t="n"/>
      <c r="N1843" s="53">
        <f>IF(M1843="","",IFERROR(M1843/I1843,""))</f>
        <v/>
      </c>
      <c r="O1843" s="50">
        <f>IF(A1843="","",IFERROR((IF(G1843="",I1843,G1843)-T1843)/M1843,""))</f>
        <v/>
      </c>
      <c r="P1843" s="50">
        <f>IFERROR((I1843/T1843-1)/N1843,"")</f>
        <v/>
      </c>
      <c r="Q1843" s="46">
        <f>IF(OR(T1843="",I1843&lt;T1843),"",IFERROR(R1843/IF(G1843="",I1843,G1843)-1,""))</f>
        <v/>
      </c>
      <c r="R1843" s="48">
        <f>IF($M1843="","",MAX(IF($G1843="",$I1843,$G1843)*(1/1.1),IF($G1843="",$I1843,$G1843)+(R$2*$M1843)))</f>
        <v/>
      </c>
      <c r="S1843" s="49">
        <f>IF($M1843="","",MAX(IF($G1843="",$I1843,$G1843)*(1/1.1),IF($G1843="",$I1843,$G1843)+(S$2*$M1843)))</f>
        <v/>
      </c>
      <c r="T1843" s="82" t="n"/>
      <c r="U1843" s="47">
        <f>IF(OR($M1843="",$T1843=""),"",$T1843+(U$2*$M1843))</f>
        <v/>
      </c>
      <c r="V1843" s="48">
        <f>IF(OR($M1843="",$T1843=""),"",$T1843+(V$2*$M1843))</f>
        <v/>
      </c>
      <c r="W1843" s="48">
        <f>IF(OR($M1843="",$T1843=""),"",$T1843+(W$2*$M1843))</f>
        <v/>
      </c>
      <c r="X1843" s="49">
        <f>IF(OR($M1843="",$T1843=""),"",$T1843+(X$2*$M1843))</f>
        <v/>
      </c>
      <c r="Y1843" s="47">
        <f>IF(OR($M1843="",$T1843=""),"",$T1843+(Y$2*$M1843))</f>
        <v/>
      </c>
      <c r="Z1843" s="49">
        <f>IF(OR($M1843="",$T1843=""),"",$T1843+(Z$2*$M1843))</f>
        <v/>
      </c>
      <c r="AA1843" s="51">
        <f>IF(OR($M1843="",$T1843=""),"",$T1843+(AA$2*$M1843))</f>
        <v/>
      </c>
      <c r="AB1843" s="48">
        <f>IF(OR($M1843="",$T1843=""),"",$T1843+(AB$2*$M1843))</f>
        <v/>
      </c>
      <c r="AC1843" s="48">
        <f>IF(OR($M1843="",$T1843=""),"",$T1843+(AC$2*$M1843))</f>
        <v/>
      </c>
      <c r="AD1843" s="48">
        <f>IF(OR($M1843="",$T1843=""),"",$T1843+(AD$2*$M1843))</f>
        <v/>
      </c>
      <c r="AE1843" s="49">
        <f>IF(OR($M1843="",$T1843=""),"",$T1843+(AE$2*$M1843))</f>
        <v/>
      </c>
      <c r="AF1843" s="52">
        <f>IF(OR(T1843="",I1843&lt;T1843),"",IFERROR(AVERAGE(T1843+M1843*{7,8,9,10,11})/IF(G1843="",I1843,G1843)-1,""))</f>
        <v/>
      </c>
      <c r="AG1843" s="55">
        <f>IF(OR(T1843="",I1843&lt;T1843),"",IFERROR(AF1843/-(R1843/IF(G1843="",I1843,G1843)-1),""))</f>
        <v/>
      </c>
      <c r="AH1843" s="94" t="n"/>
      <c r="AI1843" s="94" t="n"/>
      <c r="AJ1843" s="94" t="n"/>
      <c r="AK1843" s="94" t="n"/>
      <c r="AL1843" s="84" t="n"/>
    </row>
    <row r="1844">
      <c r="A1844" s="64" t="n"/>
      <c r="B1844" s="65" t="n"/>
      <c r="C1844" s="66" t="n"/>
      <c r="D1844" s="67" t="n"/>
      <c r="E1844" s="68" t="n"/>
      <c r="F1844" s="47">
        <f>IF(A1844="","",IF(MIN(H1844,MAX(J1844:K1844))=0,"",MIN(H1844,MAX(J1844:K1844))))</f>
        <v/>
      </c>
      <c r="G1844" s="74" t="n"/>
      <c r="H1844" s="49">
        <f>IF(M1844="","",IFERROR(ROUND(AVERAGE(T1844+M1844*{7,8,9,10,11})/1.21,4),""))</f>
        <v/>
      </c>
      <c r="I1844" s="76" t="n"/>
      <c r="J1844" s="77" t="n"/>
      <c r="K1844" s="74" t="n"/>
      <c r="L1844" s="78" t="n"/>
      <c r="M1844" s="77" t="n"/>
      <c r="N1844" s="53">
        <f>IF(M1844="","",IFERROR(M1844/I1844,""))</f>
        <v/>
      </c>
      <c r="O1844" s="50">
        <f>IF(A1844="","",IFERROR((IF(G1844="",I1844,G1844)-T1844)/M1844,""))</f>
        <v/>
      </c>
      <c r="P1844" s="50">
        <f>IFERROR((I1844/T1844-1)/N1844,"")</f>
        <v/>
      </c>
      <c r="Q1844" s="46">
        <f>IF(OR(T1844="",I1844&lt;T1844),"",IFERROR(R1844/IF(G1844="",I1844,G1844)-1,""))</f>
        <v/>
      </c>
      <c r="R1844" s="48">
        <f>IF($M1844="","",MAX(IF($G1844="",$I1844,$G1844)*(1/1.1),IF($G1844="",$I1844,$G1844)+(R$2*$M1844)))</f>
        <v/>
      </c>
      <c r="S1844" s="49">
        <f>IF($M1844="","",MAX(IF($G1844="",$I1844,$G1844)*(1/1.1),IF($G1844="",$I1844,$G1844)+(S$2*$M1844)))</f>
        <v/>
      </c>
      <c r="T1844" s="82" t="n"/>
      <c r="U1844" s="47">
        <f>IF(OR($M1844="",$T1844=""),"",$T1844+(U$2*$M1844))</f>
        <v/>
      </c>
      <c r="V1844" s="48">
        <f>IF(OR($M1844="",$T1844=""),"",$T1844+(V$2*$M1844))</f>
        <v/>
      </c>
      <c r="W1844" s="48">
        <f>IF(OR($M1844="",$T1844=""),"",$T1844+(W$2*$M1844))</f>
        <v/>
      </c>
      <c r="X1844" s="49">
        <f>IF(OR($M1844="",$T1844=""),"",$T1844+(X$2*$M1844))</f>
        <v/>
      </c>
      <c r="Y1844" s="47">
        <f>IF(OR($M1844="",$T1844=""),"",$T1844+(Y$2*$M1844))</f>
        <v/>
      </c>
      <c r="Z1844" s="49">
        <f>IF(OR($M1844="",$T1844=""),"",$T1844+(Z$2*$M1844))</f>
        <v/>
      </c>
      <c r="AA1844" s="51">
        <f>IF(OR($M1844="",$T1844=""),"",$T1844+(AA$2*$M1844))</f>
        <v/>
      </c>
      <c r="AB1844" s="48">
        <f>IF(OR($M1844="",$T1844=""),"",$T1844+(AB$2*$M1844))</f>
        <v/>
      </c>
      <c r="AC1844" s="48">
        <f>IF(OR($M1844="",$T1844=""),"",$T1844+(AC$2*$M1844))</f>
        <v/>
      </c>
      <c r="AD1844" s="48">
        <f>IF(OR($M1844="",$T1844=""),"",$T1844+(AD$2*$M1844))</f>
        <v/>
      </c>
      <c r="AE1844" s="49">
        <f>IF(OR($M1844="",$T1844=""),"",$T1844+(AE$2*$M1844))</f>
        <v/>
      </c>
      <c r="AF1844" s="52">
        <f>IF(OR(T1844="",I1844&lt;T1844),"",IFERROR(AVERAGE(T1844+M1844*{7,8,9,10,11})/IF(G1844="",I1844,G1844)-1,""))</f>
        <v/>
      </c>
      <c r="AG1844" s="55">
        <f>IF(OR(T1844="",I1844&lt;T1844),"",IFERROR(AF1844/-(R1844/IF(G1844="",I1844,G1844)-1),""))</f>
        <v/>
      </c>
      <c r="AH1844" s="94" t="n"/>
      <c r="AI1844" s="94" t="n"/>
      <c r="AJ1844" s="94" t="n"/>
      <c r="AK1844" s="94" t="n"/>
      <c r="AL1844" s="84" t="n"/>
    </row>
    <row r="1845">
      <c r="A1845" s="64" t="n"/>
      <c r="B1845" s="65" t="n"/>
      <c r="C1845" s="66" t="n"/>
      <c r="D1845" s="67" t="n"/>
      <c r="E1845" s="68" t="n"/>
      <c r="F1845" s="47">
        <f>IF(A1845="","",IF(MIN(H1845,MAX(J1845:K1845))=0,"",MIN(H1845,MAX(J1845:K1845))))</f>
        <v/>
      </c>
      <c r="G1845" s="74" t="n"/>
      <c r="H1845" s="49">
        <f>IF(M1845="","",IFERROR(ROUND(AVERAGE(T1845+M1845*{7,8,9,10,11})/1.21,4),""))</f>
        <v/>
      </c>
      <c r="I1845" s="76" t="n"/>
      <c r="J1845" s="77" t="n"/>
      <c r="K1845" s="74" t="n"/>
      <c r="L1845" s="78" t="n"/>
      <c r="M1845" s="77" t="n"/>
      <c r="N1845" s="53">
        <f>IF(M1845="","",IFERROR(M1845/I1845,""))</f>
        <v/>
      </c>
      <c r="O1845" s="50">
        <f>IF(A1845="","",IFERROR((IF(G1845="",I1845,G1845)-T1845)/M1845,""))</f>
        <v/>
      </c>
      <c r="P1845" s="50">
        <f>IFERROR((I1845/T1845-1)/N1845,"")</f>
        <v/>
      </c>
      <c r="Q1845" s="46">
        <f>IF(OR(T1845="",I1845&lt;T1845),"",IFERROR(R1845/IF(G1845="",I1845,G1845)-1,""))</f>
        <v/>
      </c>
      <c r="R1845" s="48">
        <f>IF($M1845="","",MAX(IF($G1845="",$I1845,$G1845)*(1/1.1),IF($G1845="",$I1845,$G1845)+(R$2*$M1845)))</f>
        <v/>
      </c>
      <c r="S1845" s="49">
        <f>IF($M1845="","",MAX(IF($G1845="",$I1845,$G1845)*(1/1.1),IF($G1845="",$I1845,$G1845)+(S$2*$M1845)))</f>
        <v/>
      </c>
      <c r="T1845" s="82" t="n"/>
      <c r="U1845" s="47">
        <f>IF(OR($M1845="",$T1845=""),"",$T1845+(U$2*$M1845))</f>
        <v/>
      </c>
      <c r="V1845" s="48">
        <f>IF(OR($M1845="",$T1845=""),"",$T1845+(V$2*$M1845))</f>
        <v/>
      </c>
      <c r="W1845" s="48">
        <f>IF(OR($M1845="",$T1845=""),"",$T1845+(W$2*$M1845))</f>
        <v/>
      </c>
      <c r="X1845" s="49">
        <f>IF(OR($M1845="",$T1845=""),"",$T1845+(X$2*$M1845))</f>
        <v/>
      </c>
      <c r="Y1845" s="47">
        <f>IF(OR($M1845="",$T1845=""),"",$T1845+(Y$2*$M1845))</f>
        <v/>
      </c>
      <c r="Z1845" s="49">
        <f>IF(OR($M1845="",$T1845=""),"",$T1845+(Z$2*$M1845))</f>
        <v/>
      </c>
      <c r="AA1845" s="51">
        <f>IF(OR($M1845="",$T1845=""),"",$T1845+(AA$2*$M1845))</f>
        <v/>
      </c>
      <c r="AB1845" s="48">
        <f>IF(OR($M1845="",$T1845=""),"",$T1845+(AB$2*$M1845))</f>
        <v/>
      </c>
      <c r="AC1845" s="48">
        <f>IF(OR($M1845="",$T1845=""),"",$T1845+(AC$2*$M1845))</f>
        <v/>
      </c>
      <c r="AD1845" s="48">
        <f>IF(OR($M1845="",$T1845=""),"",$T1845+(AD$2*$M1845))</f>
        <v/>
      </c>
      <c r="AE1845" s="49">
        <f>IF(OR($M1845="",$T1845=""),"",$T1845+(AE$2*$M1845))</f>
        <v/>
      </c>
      <c r="AF1845" s="52">
        <f>IF(OR(T1845="",I1845&lt;T1845),"",IFERROR(AVERAGE(T1845+M1845*{7,8,9,10,11})/IF(G1845="",I1845,G1845)-1,""))</f>
        <v/>
      </c>
      <c r="AG1845" s="55">
        <f>IF(OR(T1845="",I1845&lt;T1845),"",IFERROR(AF1845/-(R1845/IF(G1845="",I1845,G1845)-1),""))</f>
        <v/>
      </c>
      <c r="AH1845" s="94" t="n"/>
      <c r="AI1845" s="94" t="n"/>
      <c r="AJ1845" s="94" t="n"/>
      <c r="AK1845" s="94" t="n"/>
      <c r="AL1845" s="84" t="n"/>
    </row>
    <row r="1846">
      <c r="A1846" s="64" t="n"/>
      <c r="B1846" s="65" t="n"/>
      <c r="C1846" s="66" t="n"/>
      <c r="D1846" s="67" t="n"/>
      <c r="E1846" s="68" t="n"/>
      <c r="F1846" s="47">
        <f>IF(A1846="","",IF(MIN(H1846,MAX(J1846:K1846))=0,"",MIN(H1846,MAX(J1846:K1846))))</f>
        <v/>
      </c>
      <c r="G1846" s="74" t="n"/>
      <c r="H1846" s="49">
        <f>IF(M1846="","",IFERROR(ROUND(AVERAGE(T1846+M1846*{7,8,9,10,11})/1.21,4),""))</f>
        <v/>
      </c>
      <c r="I1846" s="76" t="n"/>
      <c r="J1846" s="77" t="n"/>
      <c r="K1846" s="74" t="n"/>
      <c r="L1846" s="78" t="n"/>
      <c r="M1846" s="77" t="n"/>
      <c r="N1846" s="53">
        <f>IF(M1846="","",IFERROR(M1846/I1846,""))</f>
        <v/>
      </c>
      <c r="O1846" s="50">
        <f>IF(A1846="","",IFERROR((IF(G1846="",I1846,G1846)-T1846)/M1846,""))</f>
        <v/>
      </c>
      <c r="P1846" s="50">
        <f>IFERROR((I1846/T1846-1)/N1846,"")</f>
        <v/>
      </c>
      <c r="Q1846" s="46">
        <f>IF(OR(T1846="",I1846&lt;T1846),"",IFERROR(R1846/IF(G1846="",I1846,G1846)-1,""))</f>
        <v/>
      </c>
      <c r="R1846" s="48">
        <f>IF($M1846="","",MAX(IF($G1846="",$I1846,$G1846)*(1/1.1),IF($G1846="",$I1846,$G1846)+(R$2*$M1846)))</f>
        <v/>
      </c>
      <c r="S1846" s="49">
        <f>IF($M1846="","",MAX(IF($G1846="",$I1846,$G1846)*(1/1.1),IF($G1846="",$I1846,$G1846)+(S$2*$M1846)))</f>
        <v/>
      </c>
      <c r="T1846" s="82" t="n"/>
      <c r="U1846" s="47">
        <f>IF(OR($M1846="",$T1846=""),"",$T1846+(U$2*$M1846))</f>
        <v/>
      </c>
      <c r="V1846" s="48">
        <f>IF(OR($M1846="",$T1846=""),"",$T1846+(V$2*$M1846))</f>
        <v/>
      </c>
      <c r="W1846" s="48">
        <f>IF(OR($M1846="",$T1846=""),"",$T1846+(W$2*$M1846))</f>
        <v/>
      </c>
      <c r="X1846" s="49">
        <f>IF(OR($M1846="",$T1846=""),"",$T1846+(X$2*$M1846))</f>
        <v/>
      </c>
      <c r="Y1846" s="47">
        <f>IF(OR($M1846="",$T1846=""),"",$T1846+(Y$2*$M1846))</f>
        <v/>
      </c>
      <c r="Z1846" s="49">
        <f>IF(OR($M1846="",$T1846=""),"",$T1846+(Z$2*$M1846))</f>
        <v/>
      </c>
      <c r="AA1846" s="51">
        <f>IF(OR($M1846="",$T1846=""),"",$T1846+(AA$2*$M1846))</f>
        <v/>
      </c>
      <c r="AB1846" s="48">
        <f>IF(OR($M1846="",$T1846=""),"",$T1846+(AB$2*$M1846))</f>
        <v/>
      </c>
      <c r="AC1846" s="48">
        <f>IF(OR($M1846="",$T1846=""),"",$T1846+(AC$2*$M1846))</f>
        <v/>
      </c>
      <c r="AD1846" s="48">
        <f>IF(OR($M1846="",$T1846=""),"",$T1846+(AD$2*$M1846))</f>
        <v/>
      </c>
      <c r="AE1846" s="49">
        <f>IF(OR($M1846="",$T1846=""),"",$T1846+(AE$2*$M1846))</f>
        <v/>
      </c>
      <c r="AF1846" s="52">
        <f>IF(OR(T1846="",I1846&lt;T1846),"",IFERROR(AVERAGE(T1846+M1846*{7,8,9,10,11})/IF(G1846="",I1846,G1846)-1,""))</f>
        <v/>
      </c>
      <c r="AG1846" s="55">
        <f>IF(OR(T1846="",I1846&lt;T1846),"",IFERROR(AF1846/-(R1846/IF(G1846="",I1846,G1846)-1),""))</f>
        <v/>
      </c>
      <c r="AH1846" s="94" t="n"/>
      <c r="AI1846" s="94" t="n"/>
      <c r="AJ1846" s="94" t="n"/>
      <c r="AK1846" s="94" t="n"/>
      <c r="AL1846" s="84" t="n"/>
    </row>
    <row r="1847">
      <c r="A1847" s="64" t="n"/>
      <c r="B1847" s="65" t="n"/>
      <c r="C1847" s="66" t="n"/>
      <c r="D1847" s="67" t="n"/>
      <c r="E1847" s="68" t="n"/>
      <c r="F1847" s="47">
        <f>IF(A1847="","",IF(MIN(H1847,MAX(J1847:K1847))=0,"",MIN(H1847,MAX(J1847:K1847))))</f>
        <v/>
      </c>
      <c r="G1847" s="74" t="n"/>
      <c r="H1847" s="49">
        <f>IF(M1847="","",IFERROR(ROUND(AVERAGE(T1847+M1847*{7,8,9,10,11})/1.21,4),""))</f>
        <v/>
      </c>
      <c r="I1847" s="76" t="n"/>
      <c r="J1847" s="77" t="n"/>
      <c r="K1847" s="74" t="n"/>
      <c r="L1847" s="78" t="n"/>
      <c r="M1847" s="77" t="n"/>
      <c r="N1847" s="53">
        <f>IF(M1847="","",IFERROR(M1847/I1847,""))</f>
        <v/>
      </c>
      <c r="O1847" s="50">
        <f>IF(A1847="","",IFERROR((IF(G1847="",I1847,G1847)-T1847)/M1847,""))</f>
        <v/>
      </c>
      <c r="P1847" s="50">
        <f>IFERROR((I1847/T1847-1)/N1847,"")</f>
        <v/>
      </c>
      <c r="Q1847" s="46">
        <f>IF(OR(T1847="",I1847&lt;T1847),"",IFERROR(R1847/IF(G1847="",I1847,G1847)-1,""))</f>
        <v/>
      </c>
      <c r="R1847" s="48">
        <f>IF($M1847="","",MAX(IF($G1847="",$I1847,$G1847)*(1/1.1),IF($G1847="",$I1847,$G1847)+(R$2*$M1847)))</f>
        <v/>
      </c>
      <c r="S1847" s="49">
        <f>IF($M1847="","",MAX(IF($G1847="",$I1847,$G1847)*(1/1.1),IF($G1847="",$I1847,$G1847)+(S$2*$M1847)))</f>
        <v/>
      </c>
      <c r="T1847" s="82" t="n"/>
      <c r="U1847" s="47">
        <f>IF(OR($M1847="",$T1847=""),"",$T1847+(U$2*$M1847))</f>
        <v/>
      </c>
      <c r="V1847" s="48">
        <f>IF(OR($M1847="",$T1847=""),"",$T1847+(V$2*$M1847))</f>
        <v/>
      </c>
      <c r="W1847" s="48">
        <f>IF(OR($M1847="",$T1847=""),"",$T1847+(W$2*$M1847))</f>
        <v/>
      </c>
      <c r="X1847" s="49">
        <f>IF(OR($M1847="",$T1847=""),"",$T1847+(X$2*$M1847))</f>
        <v/>
      </c>
      <c r="Y1847" s="47">
        <f>IF(OR($M1847="",$T1847=""),"",$T1847+(Y$2*$M1847))</f>
        <v/>
      </c>
      <c r="Z1847" s="49">
        <f>IF(OR($M1847="",$T1847=""),"",$T1847+(Z$2*$M1847))</f>
        <v/>
      </c>
      <c r="AA1847" s="51">
        <f>IF(OR($M1847="",$T1847=""),"",$T1847+(AA$2*$M1847))</f>
        <v/>
      </c>
      <c r="AB1847" s="48">
        <f>IF(OR($M1847="",$T1847=""),"",$T1847+(AB$2*$M1847))</f>
        <v/>
      </c>
      <c r="AC1847" s="48">
        <f>IF(OR($M1847="",$T1847=""),"",$T1847+(AC$2*$M1847))</f>
        <v/>
      </c>
      <c r="AD1847" s="48">
        <f>IF(OR($M1847="",$T1847=""),"",$T1847+(AD$2*$M1847))</f>
        <v/>
      </c>
      <c r="AE1847" s="49">
        <f>IF(OR($M1847="",$T1847=""),"",$T1847+(AE$2*$M1847))</f>
        <v/>
      </c>
      <c r="AF1847" s="52">
        <f>IF(OR(T1847="",I1847&lt;T1847),"",IFERROR(AVERAGE(T1847+M1847*{7,8,9,10,11})/IF(G1847="",I1847,G1847)-1,""))</f>
        <v/>
      </c>
      <c r="AG1847" s="55">
        <f>IF(OR(T1847="",I1847&lt;T1847),"",IFERROR(AF1847/-(R1847/IF(G1847="",I1847,G1847)-1),""))</f>
        <v/>
      </c>
      <c r="AH1847" s="94" t="n"/>
      <c r="AI1847" s="94" t="n"/>
      <c r="AJ1847" s="94" t="n"/>
      <c r="AK1847" s="94" t="n"/>
      <c r="AL1847" s="84" t="n"/>
    </row>
    <row r="1848">
      <c r="A1848" s="64" t="n"/>
      <c r="B1848" s="65" t="n"/>
      <c r="C1848" s="66" t="n"/>
      <c r="D1848" s="67" t="n"/>
      <c r="E1848" s="68" t="n"/>
      <c r="F1848" s="47">
        <f>IF(A1848="","",IF(MIN(H1848,MAX(J1848:K1848))=0,"",MIN(H1848,MAX(J1848:K1848))))</f>
        <v/>
      </c>
      <c r="G1848" s="74" t="n"/>
      <c r="H1848" s="49">
        <f>IF(M1848="","",IFERROR(ROUND(AVERAGE(T1848+M1848*{7,8,9,10,11})/1.21,4),""))</f>
        <v/>
      </c>
      <c r="I1848" s="76" t="n"/>
      <c r="J1848" s="77" t="n"/>
      <c r="K1848" s="74" t="n"/>
      <c r="L1848" s="78" t="n"/>
      <c r="M1848" s="77" t="n"/>
      <c r="N1848" s="53">
        <f>IF(M1848="","",IFERROR(M1848/I1848,""))</f>
        <v/>
      </c>
      <c r="O1848" s="50">
        <f>IF(A1848="","",IFERROR((IF(G1848="",I1848,G1848)-T1848)/M1848,""))</f>
        <v/>
      </c>
      <c r="P1848" s="50">
        <f>IFERROR((I1848/T1848-1)/N1848,"")</f>
        <v/>
      </c>
      <c r="Q1848" s="46">
        <f>IF(OR(T1848="",I1848&lt;T1848),"",IFERROR(R1848/IF(G1848="",I1848,G1848)-1,""))</f>
        <v/>
      </c>
      <c r="R1848" s="48">
        <f>IF($M1848="","",MAX(IF($G1848="",$I1848,$G1848)*(1/1.1),IF($G1848="",$I1848,$G1848)+(R$2*$M1848)))</f>
        <v/>
      </c>
      <c r="S1848" s="49">
        <f>IF($M1848="","",MAX(IF($G1848="",$I1848,$G1848)*(1/1.1),IF($G1848="",$I1848,$G1848)+(S$2*$M1848)))</f>
        <v/>
      </c>
      <c r="T1848" s="82" t="n"/>
      <c r="U1848" s="47">
        <f>IF(OR($M1848="",$T1848=""),"",$T1848+(U$2*$M1848))</f>
        <v/>
      </c>
      <c r="V1848" s="48">
        <f>IF(OR($M1848="",$T1848=""),"",$T1848+(V$2*$M1848))</f>
        <v/>
      </c>
      <c r="W1848" s="48">
        <f>IF(OR($M1848="",$T1848=""),"",$T1848+(W$2*$M1848))</f>
        <v/>
      </c>
      <c r="X1848" s="49">
        <f>IF(OR($M1848="",$T1848=""),"",$T1848+(X$2*$M1848))</f>
        <v/>
      </c>
      <c r="Y1848" s="47">
        <f>IF(OR($M1848="",$T1848=""),"",$T1848+(Y$2*$M1848))</f>
        <v/>
      </c>
      <c r="Z1848" s="49">
        <f>IF(OR($M1848="",$T1848=""),"",$T1848+(Z$2*$M1848))</f>
        <v/>
      </c>
      <c r="AA1848" s="51">
        <f>IF(OR($M1848="",$T1848=""),"",$T1848+(AA$2*$M1848))</f>
        <v/>
      </c>
      <c r="AB1848" s="48">
        <f>IF(OR($M1848="",$T1848=""),"",$T1848+(AB$2*$M1848))</f>
        <v/>
      </c>
      <c r="AC1848" s="48">
        <f>IF(OR($M1848="",$T1848=""),"",$T1848+(AC$2*$M1848))</f>
        <v/>
      </c>
      <c r="AD1848" s="48">
        <f>IF(OR($M1848="",$T1848=""),"",$T1848+(AD$2*$M1848))</f>
        <v/>
      </c>
      <c r="AE1848" s="49">
        <f>IF(OR($M1848="",$T1848=""),"",$T1848+(AE$2*$M1848))</f>
        <v/>
      </c>
      <c r="AF1848" s="52">
        <f>IF(OR(T1848="",I1848&lt;T1848),"",IFERROR(AVERAGE(T1848+M1848*{7,8,9,10,11})/IF(G1848="",I1848,G1848)-1,""))</f>
        <v/>
      </c>
      <c r="AG1848" s="55">
        <f>IF(OR(T1848="",I1848&lt;T1848),"",IFERROR(AF1848/-(R1848/IF(G1848="",I1848,G1848)-1),""))</f>
        <v/>
      </c>
      <c r="AH1848" s="94" t="n"/>
      <c r="AI1848" s="94" t="n"/>
      <c r="AJ1848" s="94" t="n"/>
      <c r="AK1848" s="94" t="n"/>
      <c r="AL1848" s="84" t="n"/>
    </row>
    <row r="1849">
      <c r="A1849" s="64" t="n"/>
      <c r="B1849" s="65" t="n"/>
      <c r="C1849" s="66" t="n"/>
      <c r="D1849" s="67" t="n"/>
      <c r="E1849" s="68" t="n"/>
      <c r="F1849" s="47">
        <f>IF(A1849="","",IF(MIN(H1849,MAX(J1849:K1849))=0,"",MIN(H1849,MAX(J1849:K1849))))</f>
        <v/>
      </c>
      <c r="G1849" s="74" t="n"/>
      <c r="H1849" s="49">
        <f>IF(M1849="","",IFERROR(ROUND(AVERAGE(T1849+M1849*{7,8,9,10,11})/1.21,4),""))</f>
        <v/>
      </c>
      <c r="I1849" s="76" t="n"/>
      <c r="J1849" s="77" t="n"/>
      <c r="K1849" s="74" t="n"/>
      <c r="L1849" s="78" t="n"/>
      <c r="M1849" s="77" t="n"/>
      <c r="N1849" s="53">
        <f>IF(M1849="","",IFERROR(M1849/I1849,""))</f>
        <v/>
      </c>
      <c r="O1849" s="50">
        <f>IF(A1849="","",IFERROR((IF(G1849="",I1849,G1849)-T1849)/M1849,""))</f>
        <v/>
      </c>
      <c r="P1849" s="50">
        <f>IFERROR((I1849/T1849-1)/N1849,"")</f>
        <v/>
      </c>
      <c r="Q1849" s="46">
        <f>IF(OR(T1849="",I1849&lt;T1849),"",IFERROR(R1849/IF(G1849="",I1849,G1849)-1,""))</f>
        <v/>
      </c>
      <c r="R1849" s="48">
        <f>IF($M1849="","",MAX(IF($G1849="",$I1849,$G1849)*(1/1.1),IF($G1849="",$I1849,$G1849)+(R$2*$M1849)))</f>
        <v/>
      </c>
      <c r="S1849" s="49">
        <f>IF($M1849="","",MAX(IF($G1849="",$I1849,$G1849)*(1/1.1),IF($G1849="",$I1849,$G1849)+(S$2*$M1849)))</f>
        <v/>
      </c>
      <c r="T1849" s="82" t="n"/>
      <c r="U1849" s="47">
        <f>IF(OR($M1849="",$T1849=""),"",$T1849+(U$2*$M1849))</f>
        <v/>
      </c>
      <c r="V1849" s="48">
        <f>IF(OR($M1849="",$T1849=""),"",$T1849+(V$2*$M1849))</f>
        <v/>
      </c>
      <c r="W1849" s="48">
        <f>IF(OR($M1849="",$T1849=""),"",$T1849+(W$2*$M1849))</f>
        <v/>
      </c>
      <c r="X1849" s="49">
        <f>IF(OR($M1849="",$T1849=""),"",$T1849+(X$2*$M1849))</f>
        <v/>
      </c>
      <c r="Y1849" s="47">
        <f>IF(OR($M1849="",$T1849=""),"",$T1849+(Y$2*$M1849))</f>
        <v/>
      </c>
      <c r="Z1849" s="49">
        <f>IF(OR($M1849="",$T1849=""),"",$T1849+(Z$2*$M1849))</f>
        <v/>
      </c>
      <c r="AA1849" s="51">
        <f>IF(OR($M1849="",$T1849=""),"",$T1849+(AA$2*$M1849))</f>
        <v/>
      </c>
      <c r="AB1849" s="48">
        <f>IF(OR($M1849="",$T1849=""),"",$T1849+(AB$2*$M1849))</f>
        <v/>
      </c>
      <c r="AC1849" s="48">
        <f>IF(OR($M1849="",$T1849=""),"",$T1849+(AC$2*$M1849))</f>
        <v/>
      </c>
      <c r="AD1849" s="48">
        <f>IF(OR($M1849="",$T1849=""),"",$T1849+(AD$2*$M1849))</f>
        <v/>
      </c>
      <c r="AE1849" s="49">
        <f>IF(OR($M1849="",$T1849=""),"",$T1849+(AE$2*$M1849))</f>
        <v/>
      </c>
      <c r="AF1849" s="52">
        <f>IF(OR(T1849="",I1849&lt;T1849),"",IFERROR(AVERAGE(T1849+M1849*{7,8,9,10,11})/IF(G1849="",I1849,G1849)-1,""))</f>
        <v/>
      </c>
      <c r="AG1849" s="55">
        <f>IF(OR(T1849="",I1849&lt;T1849),"",IFERROR(AF1849/-(R1849/IF(G1849="",I1849,G1849)-1),""))</f>
        <v/>
      </c>
      <c r="AH1849" s="94" t="n"/>
      <c r="AI1849" s="94" t="n"/>
      <c r="AJ1849" s="94" t="n"/>
      <c r="AK1849" s="94" t="n"/>
      <c r="AL1849" s="84" t="n"/>
    </row>
    <row r="1850">
      <c r="A1850" s="64" t="n"/>
      <c r="B1850" s="65" t="n"/>
      <c r="C1850" s="66" t="n"/>
      <c r="D1850" s="67" t="n"/>
      <c r="E1850" s="68" t="n"/>
      <c r="F1850" s="47">
        <f>IF(A1850="","",IF(MIN(H1850,MAX(J1850:K1850))=0,"",MIN(H1850,MAX(J1850:K1850))))</f>
        <v/>
      </c>
      <c r="G1850" s="74" t="n"/>
      <c r="H1850" s="49">
        <f>IF(M1850="","",IFERROR(ROUND(AVERAGE(T1850+M1850*{7,8,9,10,11})/1.21,4),""))</f>
        <v/>
      </c>
      <c r="I1850" s="76" t="n"/>
      <c r="J1850" s="77" t="n"/>
      <c r="K1850" s="74" t="n"/>
      <c r="L1850" s="78" t="n"/>
      <c r="M1850" s="77" t="n"/>
      <c r="N1850" s="53">
        <f>IF(M1850="","",IFERROR(M1850/I1850,""))</f>
        <v/>
      </c>
      <c r="O1850" s="50">
        <f>IF(A1850="","",IFERROR((IF(G1850="",I1850,G1850)-T1850)/M1850,""))</f>
        <v/>
      </c>
      <c r="P1850" s="50">
        <f>IFERROR((I1850/T1850-1)/N1850,"")</f>
        <v/>
      </c>
      <c r="Q1850" s="46">
        <f>IF(OR(T1850="",I1850&lt;T1850),"",IFERROR(R1850/IF(G1850="",I1850,G1850)-1,""))</f>
        <v/>
      </c>
      <c r="R1850" s="48">
        <f>IF($M1850="","",MAX(IF($G1850="",$I1850,$G1850)*(1/1.1),IF($G1850="",$I1850,$G1850)+(R$2*$M1850)))</f>
        <v/>
      </c>
      <c r="S1850" s="49">
        <f>IF($M1850="","",MAX(IF($G1850="",$I1850,$G1850)*(1/1.1),IF($G1850="",$I1850,$G1850)+(S$2*$M1850)))</f>
        <v/>
      </c>
      <c r="T1850" s="82" t="n"/>
      <c r="U1850" s="47">
        <f>IF(OR($M1850="",$T1850=""),"",$T1850+(U$2*$M1850))</f>
        <v/>
      </c>
      <c r="V1850" s="48">
        <f>IF(OR($M1850="",$T1850=""),"",$T1850+(V$2*$M1850))</f>
        <v/>
      </c>
      <c r="W1850" s="48">
        <f>IF(OR($M1850="",$T1850=""),"",$T1850+(W$2*$M1850))</f>
        <v/>
      </c>
      <c r="X1850" s="49">
        <f>IF(OR($M1850="",$T1850=""),"",$T1850+(X$2*$M1850))</f>
        <v/>
      </c>
      <c r="Y1850" s="47">
        <f>IF(OR($M1850="",$T1850=""),"",$T1850+(Y$2*$M1850))</f>
        <v/>
      </c>
      <c r="Z1850" s="49">
        <f>IF(OR($M1850="",$T1850=""),"",$T1850+(Z$2*$M1850))</f>
        <v/>
      </c>
      <c r="AA1850" s="51">
        <f>IF(OR($M1850="",$T1850=""),"",$T1850+(AA$2*$M1850))</f>
        <v/>
      </c>
      <c r="AB1850" s="48">
        <f>IF(OR($M1850="",$T1850=""),"",$T1850+(AB$2*$M1850))</f>
        <v/>
      </c>
      <c r="AC1850" s="48">
        <f>IF(OR($M1850="",$T1850=""),"",$T1850+(AC$2*$M1850))</f>
        <v/>
      </c>
      <c r="AD1850" s="48">
        <f>IF(OR($M1850="",$T1850=""),"",$T1850+(AD$2*$M1850))</f>
        <v/>
      </c>
      <c r="AE1850" s="49">
        <f>IF(OR($M1850="",$T1850=""),"",$T1850+(AE$2*$M1850))</f>
        <v/>
      </c>
      <c r="AF1850" s="52">
        <f>IF(OR(T1850="",I1850&lt;T1850),"",IFERROR(AVERAGE(T1850+M1850*{7,8,9,10,11})/IF(G1850="",I1850,G1850)-1,""))</f>
        <v/>
      </c>
      <c r="AG1850" s="55">
        <f>IF(OR(T1850="",I1850&lt;T1850),"",IFERROR(AF1850/-(R1850/IF(G1850="",I1850,G1850)-1),""))</f>
        <v/>
      </c>
      <c r="AH1850" s="94" t="n"/>
      <c r="AI1850" s="94" t="n"/>
      <c r="AJ1850" s="94" t="n"/>
      <c r="AK1850" s="94" t="n"/>
      <c r="AL1850" s="84" t="n"/>
    </row>
    <row r="1851">
      <c r="A1851" s="64" t="n"/>
      <c r="B1851" s="65" t="n"/>
      <c r="C1851" s="66" t="n"/>
      <c r="D1851" s="67" t="n"/>
      <c r="E1851" s="68" t="n"/>
      <c r="F1851" s="47">
        <f>IF(A1851="","",IF(MIN(H1851,MAX(J1851:K1851))=0,"",MIN(H1851,MAX(J1851:K1851))))</f>
        <v/>
      </c>
      <c r="G1851" s="74" t="n"/>
      <c r="H1851" s="49">
        <f>IF(M1851="","",IFERROR(ROUND(AVERAGE(T1851+M1851*{7,8,9,10,11})/1.21,4),""))</f>
        <v/>
      </c>
      <c r="I1851" s="76" t="n"/>
      <c r="J1851" s="77" t="n"/>
      <c r="K1851" s="74" t="n"/>
      <c r="L1851" s="78" t="n"/>
      <c r="M1851" s="77" t="n"/>
      <c r="N1851" s="53">
        <f>IF(M1851="","",IFERROR(M1851/I1851,""))</f>
        <v/>
      </c>
      <c r="O1851" s="50">
        <f>IF(A1851="","",IFERROR((IF(G1851="",I1851,G1851)-T1851)/M1851,""))</f>
        <v/>
      </c>
      <c r="P1851" s="50">
        <f>IFERROR((I1851/T1851-1)/N1851,"")</f>
        <v/>
      </c>
      <c r="Q1851" s="46">
        <f>IF(OR(T1851="",I1851&lt;T1851),"",IFERROR(R1851/IF(G1851="",I1851,G1851)-1,""))</f>
        <v/>
      </c>
      <c r="R1851" s="48">
        <f>IF($M1851="","",MAX(IF($G1851="",$I1851,$G1851)*(1/1.1),IF($G1851="",$I1851,$G1851)+(R$2*$M1851)))</f>
        <v/>
      </c>
      <c r="S1851" s="49">
        <f>IF($M1851="","",MAX(IF($G1851="",$I1851,$G1851)*(1/1.1),IF($G1851="",$I1851,$G1851)+(S$2*$M1851)))</f>
        <v/>
      </c>
      <c r="T1851" s="82" t="n"/>
      <c r="U1851" s="47">
        <f>IF(OR($M1851="",$T1851=""),"",$T1851+(U$2*$M1851))</f>
        <v/>
      </c>
      <c r="V1851" s="48">
        <f>IF(OR($M1851="",$T1851=""),"",$T1851+(V$2*$M1851))</f>
        <v/>
      </c>
      <c r="W1851" s="48">
        <f>IF(OR($M1851="",$T1851=""),"",$T1851+(W$2*$M1851))</f>
        <v/>
      </c>
      <c r="X1851" s="49">
        <f>IF(OR($M1851="",$T1851=""),"",$T1851+(X$2*$M1851))</f>
        <v/>
      </c>
      <c r="Y1851" s="47">
        <f>IF(OR($M1851="",$T1851=""),"",$T1851+(Y$2*$M1851))</f>
        <v/>
      </c>
      <c r="Z1851" s="49">
        <f>IF(OR($M1851="",$T1851=""),"",$T1851+(Z$2*$M1851))</f>
        <v/>
      </c>
      <c r="AA1851" s="51">
        <f>IF(OR($M1851="",$T1851=""),"",$T1851+(AA$2*$M1851))</f>
        <v/>
      </c>
      <c r="AB1851" s="48">
        <f>IF(OR($M1851="",$T1851=""),"",$T1851+(AB$2*$M1851))</f>
        <v/>
      </c>
      <c r="AC1851" s="48">
        <f>IF(OR($M1851="",$T1851=""),"",$T1851+(AC$2*$M1851))</f>
        <v/>
      </c>
      <c r="AD1851" s="48">
        <f>IF(OR($M1851="",$T1851=""),"",$T1851+(AD$2*$M1851))</f>
        <v/>
      </c>
      <c r="AE1851" s="49">
        <f>IF(OR($M1851="",$T1851=""),"",$T1851+(AE$2*$M1851))</f>
        <v/>
      </c>
      <c r="AF1851" s="52">
        <f>IF(OR(T1851="",I1851&lt;T1851),"",IFERROR(AVERAGE(T1851+M1851*{7,8,9,10,11})/IF(G1851="",I1851,G1851)-1,""))</f>
        <v/>
      </c>
      <c r="AG1851" s="55">
        <f>IF(OR(T1851="",I1851&lt;T1851),"",IFERROR(AF1851/-(R1851/IF(G1851="",I1851,G1851)-1),""))</f>
        <v/>
      </c>
      <c r="AH1851" s="94" t="n"/>
      <c r="AI1851" s="94" t="n"/>
      <c r="AJ1851" s="94" t="n"/>
      <c r="AK1851" s="94" t="n"/>
      <c r="AL1851" s="84" t="n"/>
    </row>
    <row r="1852">
      <c r="A1852" s="64" t="n"/>
      <c r="B1852" s="65" t="n"/>
      <c r="C1852" s="66" t="n"/>
      <c r="D1852" s="67" t="n"/>
      <c r="E1852" s="68" t="n"/>
      <c r="F1852" s="47">
        <f>IF(A1852="","",IF(MIN(H1852,MAX(J1852:K1852))=0,"",MIN(H1852,MAX(J1852:K1852))))</f>
        <v/>
      </c>
      <c r="G1852" s="74" t="n"/>
      <c r="H1852" s="49">
        <f>IF(M1852="","",IFERROR(ROUND(AVERAGE(T1852+M1852*{7,8,9,10,11})/1.21,4),""))</f>
        <v/>
      </c>
      <c r="I1852" s="76" t="n"/>
      <c r="J1852" s="77" t="n"/>
      <c r="K1852" s="74" t="n"/>
      <c r="L1852" s="78" t="n"/>
      <c r="M1852" s="77" t="n"/>
      <c r="N1852" s="53">
        <f>IF(M1852="","",IFERROR(M1852/I1852,""))</f>
        <v/>
      </c>
      <c r="O1852" s="50">
        <f>IF(A1852="","",IFERROR((IF(G1852="",I1852,G1852)-T1852)/M1852,""))</f>
        <v/>
      </c>
      <c r="P1852" s="50">
        <f>IFERROR((I1852/T1852-1)/N1852,"")</f>
        <v/>
      </c>
      <c r="Q1852" s="46">
        <f>IF(OR(T1852="",I1852&lt;T1852),"",IFERROR(R1852/IF(G1852="",I1852,G1852)-1,""))</f>
        <v/>
      </c>
      <c r="R1852" s="48">
        <f>IF($M1852="","",MAX(IF($G1852="",$I1852,$G1852)*(1/1.1),IF($G1852="",$I1852,$G1852)+(R$2*$M1852)))</f>
        <v/>
      </c>
      <c r="S1852" s="49">
        <f>IF($M1852="","",MAX(IF($G1852="",$I1852,$G1852)*(1/1.1),IF($G1852="",$I1852,$G1852)+(S$2*$M1852)))</f>
        <v/>
      </c>
      <c r="T1852" s="82" t="n"/>
      <c r="U1852" s="47">
        <f>IF(OR($M1852="",$T1852=""),"",$T1852+(U$2*$M1852))</f>
        <v/>
      </c>
      <c r="V1852" s="48">
        <f>IF(OR($M1852="",$T1852=""),"",$T1852+(V$2*$M1852))</f>
        <v/>
      </c>
      <c r="W1852" s="48">
        <f>IF(OR($M1852="",$T1852=""),"",$T1852+(W$2*$M1852))</f>
        <v/>
      </c>
      <c r="X1852" s="49">
        <f>IF(OR($M1852="",$T1852=""),"",$T1852+(X$2*$M1852))</f>
        <v/>
      </c>
      <c r="Y1852" s="47">
        <f>IF(OR($M1852="",$T1852=""),"",$T1852+(Y$2*$M1852))</f>
        <v/>
      </c>
      <c r="Z1852" s="49">
        <f>IF(OR($M1852="",$T1852=""),"",$T1852+(Z$2*$M1852))</f>
        <v/>
      </c>
      <c r="AA1852" s="51">
        <f>IF(OR($M1852="",$T1852=""),"",$T1852+(AA$2*$M1852))</f>
        <v/>
      </c>
      <c r="AB1852" s="48">
        <f>IF(OR($M1852="",$T1852=""),"",$T1852+(AB$2*$M1852))</f>
        <v/>
      </c>
      <c r="AC1852" s="48">
        <f>IF(OR($M1852="",$T1852=""),"",$T1852+(AC$2*$M1852))</f>
        <v/>
      </c>
      <c r="AD1852" s="48">
        <f>IF(OR($M1852="",$T1852=""),"",$T1852+(AD$2*$M1852))</f>
        <v/>
      </c>
      <c r="AE1852" s="49">
        <f>IF(OR($M1852="",$T1852=""),"",$T1852+(AE$2*$M1852))</f>
        <v/>
      </c>
      <c r="AF1852" s="52">
        <f>IF(OR(T1852="",I1852&lt;T1852),"",IFERROR(AVERAGE(T1852+M1852*{7,8,9,10,11})/IF(G1852="",I1852,G1852)-1,""))</f>
        <v/>
      </c>
      <c r="AG1852" s="55">
        <f>IF(OR(T1852="",I1852&lt;T1852),"",IFERROR(AF1852/-(R1852/IF(G1852="",I1852,G1852)-1),""))</f>
        <v/>
      </c>
      <c r="AH1852" s="94" t="n"/>
      <c r="AI1852" s="94" t="n"/>
      <c r="AJ1852" s="94" t="n"/>
      <c r="AK1852" s="94" t="n"/>
      <c r="AL1852" s="84" t="n"/>
    </row>
    <row r="1853">
      <c r="A1853" s="64" t="n"/>
      <c r="B1853" s="65" t="n"/>
      <c r="C1853" s="66" t="n"/>
      <c r="D1853" s="67" t="n"/>
      <c r="E1853" s="68" t="n"/>
      <c r="F1853" s="47">
        <f>IF(A1853="","",IF(MIN(H1853,MAX(J1853:K1853))=0,"",MIN(H1853,MAX(J1853:K1853))))</f>
        <v/>
      </c>
      <c r="G1853" s="74" t="n"/>
      <c r="H1853" s="49">
        <f>IF(M1853="","",IFERROR(ROUND(AVERAGE(T1853+M1853*{7,8,9,10,11})/1.21,4),""))</f>
        <v/>
      </c>
      <c r="I1853" s="76" t="n"/>
      <c r="J1853" s="77" t="n"/>
      <c r="K1853" s="74" t="n"/>
      <c r="L1853" s="78" t="n"/>
      <c r="M1853" s="77" t="n"/>
      <c r="N1853" s="53">
        <f>IF(M1853="","",IFERROR(M1853/I1853,""))</f>
        <v/>
      </c>
      <c r="O1853" s="50">
        <f>IF(A1853="","",IFERROR((IF(G1853="",I1853,G1853)-T1853)/M1853,""))</f>
        <v/>
      </c>
      <c r="P1853" s="50">
        <f>IFERROR((I1853/T1853-1)/N1853,"")</f>
        <v/>
      </c>
      <c r="Q1853" s="46">
        <f>IF(OR(T1853="",I1853&lt;T1853),"",IFERROR(R1853/IF(G1853="",I1853,G1853)-1,""))</f>
        <v/>
      </c>
      <c r="R1853" s="48">
        <f>IF($M1853="","",MAX(IF($G1853="",$I1853,$G1853)*(1/1.1),IF($G1853="",$I1853,$G1853)+(R$2*$M1853)))</f>
        <v/>
      </c>
      <c r="S1853" s="49">
        <f>IF($M1853="","",MAX(IF($G1853="",$I1853,$G1853)*(1/1.1),IF($G1853="",$I1853,$G1853)+(S$2*$M1853)))</f>
        <v/>
      </c>
      <c r="T1853" s="82" t="n"/>
      <c r="U1853" s="47">
        <f>IF(OR($M1853="",$T1853=""),"",$T1853+(U$2*$M1853))</f>
        <v/>
      </c>
      <c r="V1853" s="48">
        <f>IF(OR($M1853="",$T1853=""),"",$T1853+(V$2*$M1853))</f>
        <v/>
      </c>
      <c r="W1853" s="48">
        <f>IF(OR($M1853="",$T1853=""),"",$T1853+(W$2*$M1853))</f>
        <v/>
      </c>
      <c r="X1853" s="49">
        <f>IF(OR($M1853="",$T1853=""),"",$T1853+(X$2*$M1853))</f>
        <v/>
      </c>
      <c r="Y1853" s="47">
        <f>IF(OR($M1853="",$T1853=""),"",$T1853+(Y$2*$M1853))</f>
        <v/>
      </c>
      <c r="Z1853" s="49">
        <f>IF(OR($M1853="",$T1853=""),"",$T1853+(Z$2*$M1853))</f>
        <v/>
      </c>
      <c r="AA1853" s="51">
        <f>IF(OR($M1853="",$T1853=""),"",$T1853+(AA$2*$M1853))</f>
        <v/>
      </c>
      <c r="AB1853" s="48">
        <f>IF(OR($M1853="",$T1853=""),"",$T1853+(AB$2*$M1853))</f>
        <v/>
      </c>
      <c r="AC1853" s="48">
        <f>IF(OR($M1853="",$T1853=""),"",$T1853+(AC$2*$M1853))</f>
        <v/>
      </c>
      <c r="AD1853" s="48">
        <f>IF(OR($M1853="",$T1853=""),"",$T1853+(AD$2*$M1853))</f>
        <v/>
      </c>
      <c r="AE1853" s="49">
        <f>IF(OR($M1853="",$T1853=""),"",$T1853+(AE$2*$M1853))</f>
        <v/>
      </c>
      <c r="AF1853" s="52">
        <f>IF(OR(T1853="",I1853&lt;T1853),"",IFERROR(AVERAGE(T1853+M1853*{7,8,9,10,11})/IF(G1853="",I1853,G1853)-1,""))</f>
        <v/>
      </c>
      <c r="AG1853" s="55">
        <f>IF(OR(T1853="",I1853&lt;T1853),"",IFERROR(AF1853/-(R1853/IF(G1853="",I1853,G1853)-1),""))</f>
        <v/>
      </c>
      <c r="AH1853" s="94" t="n"/>
      <c r="AI1853" s="94" t="n"/>
      <c r="AJ1853" s="94" t="n"/>
      <c r="AK1853" s="94" t="n"/>
      <c r="AL1853" s="84" t="n"/>
    </row>
    <row r="1854">
      <c r="A1854" s="64" t="n"/>
      <c r="B1854" s="65" t="n"/>
      <c r="C1854" s="66" t="n"/>
      <c r="D1854" s="67" t="n"/>
      <c r="E1854" s="68" t="n"/>
      <c r="F1854" s="47">
        <f>IF(A1854="","",IF(MIN(H1854,MAX(J1854:K1854))=0,"",MIN(H1854,MAX(J1854:K1854))))</f>
        <v/>
      </c>
      <c r="G1854" s="74" t="n"/>
      <c r="H1854" s="49">
        <f>IF(M1854="","",IFERROR(ROUND(AVERAGE(T1854+M1854*{7,8,9,10,11})/1.21,4),""))</f>
        <v/>
      </c>
      <c r="I1854" s="76" t="n"/>
      <c r="J1854" s="77" t="n"/>
      <c r="K1854" s="74" t="n"/>
      <c r="L1854" s="78" t="n"/>
      <c r="M1854" s="77" t="n"/>
      <c r="N1854" s="53">
        <f>IF(M1854="","",IFERROR(M1854/I1854,""))</f>
        <v/>
      </c>
      <c r="O1854" s="50">
        <f>IF(A1854="","",IFERROR((IF(G1854="",I1854,G1854)-T1854)/M1854,""))</f>
        <v/>
      </c>
      <c r="P1854" s="50">
        <f>IFERROR((I1854/T1854-1)/N1854,"")</f>
        <v/>
      </c>
      <c r="Q1854" s="46">
        <f>IF(OR(T1854="",I1854&lt;T1854),"",IFERROR(R1854/IF(G1854="",I1854,G1854)-1,""))</f>
        <v/>
      </c>
      <c r="R1854" s="48">
        <f>IF($M1854="","",MAX(IF($G1854="",$I1854,$G1854)*(1/1.1),IF($G1854="",$I1854,$G1854)+(R$2*$M1854)))</f>
        <v/>
      </c>
      <c r="S1854" s="49">
        <f>IF($M1854="","",MAX(IF($G1854="",$I1854,$G1854)*(1/1.1),IF($G1854="",$I1854,$G1854)+(S$2*$M1854)))</f>
        <v/>
      </c>
      <c r="T1854" s="82" t="n"/>
      <c r="U1854" s="47">
        <f>IF(OR($M1854="",$T1854=""),"",$T1854+(U$2*$M1854))</f>
        <v/>
      </c>
      <c r="V1854" s="48">
        <f>IF(OR($M1854="",$T1854=""),"",$T1854+(V$2*$M1854))</f>
        <v/>
      </c>
      <c r="W1854" s="48">
        <f>IF(OR($M1854="",$T1854=""),"",$T1854+(W$2*$M1854))</f>
        <v/>
      </c>
      <c r="X1854" s="49">
        <f>IF(OR($M1854="",$T1854=""),"",$T1854+(X$2*$M1854))</f>
        <v/>
      </c>
      <c r="Y1854" s="47">
        <f>IF(OR($M1854="",$T1854=""),"",$T1854+(Y$2*$M1854))</f>
        <v/>
      </c>
      <c r="Z1854" s="49">
        <f>IF(OR($M1854="",$T1854=""),"",$T1854+(Z$2*$M1854))</f>
        <v/>
      </c>
      <c r="AA1854" s="51">
        <f>IF(OR($M1854="",$T1854=""),"",$T1854+(AA$2*$M1854))</f>
        <v/>
      </c>
      <c r="AB1854" s="48">
        <f>IF(OR($M1854="",$T1854=""),"",$T1854+(AB$2*$M1854))</f>
        <v/>
      </c>
      <c r="AC1854" s="48">
        <f>IF(OR($M1854="",$T1854=""),"",$T1854+(AC$2*$M1854))</f>
        <v/>
      </c>
      <c r="AD1854" s="48">
        <f>IF(OR($M1854="",$T1854=""),"",$T1854+(AD$2*$M1854))</f>
        <v/>
      </c>
      <c r="AE1854" s="49">
        <f>IF(OR($M1854="",$T1854=""),"",$T1854+(AE$2*$M1854))</f>
        <v/>
      </c>
      <c r="AF1854" s="52">
        <f>IF(OR(T1854="",I1854&lt;T1854),"",IFERROR(AVERAGE(T1854+M1854*{7,8,9,10,11})/IF(G1854="",I1854,G1854)-1,""))</f>
        <v/>
      </c>
      <c r="AG1854" s="55">
        <f>IF(OR(T1854="",I1854&lt;T1854),"",IFERROR(AF1854/-(R1854/IF(G1854="",I1854,G1854)-1),""))</f>
        <v/>
      </c>
      <c r="AH1854" s="94" t="n"/>
      <c r="AI1854" s="94" t="n"/>
      <c r="AJ1854" s="94" t="n"/>
      <c r="AK1854" s="94" t="n"/>
      <c r="AL1854" s="84" t="n"/>
    </row>
    <row r="1855">
      <c r="A1855" s="64" t="n"/>
      <c r="B1855" s="65" t="n"/>
      <c r="C1855" s="66" t="n"/>
      <c r="D1855" s="67" t="n"/>
      <c r="E1855" s="68" t="n"/>
      <c r="F1855" s="47">
        <f>IF(A1855="","",IF(MIN(H1855,MAX(J1855:K1855))=0,"",MIN(H1855,MAX(J1855:K1855))))</f>
        <v/>
      </c>
      <c r="G1855" s="74" t="n"/>
      <c r="H1855" s="49">
        <f>IF(M1855="","",IFERROR(ROUND(AVERAGE(T1855+M1855*{7,8,9,10,11})/1.21,4),""))</f>
        <v/>
      </c>
      <c r="I1855" s="76" t="n"/>
      <c r="J1855" s="77" t="n"/>
      <c r="K1855" s="74" t="n"/>
      <c r="L1855" s="78" t="n"/>
      <c r="M1855" s="77" t="n"/>
      <c r="N1855" s="53">
        <f>IF(M1855="","",IFERROR(M1855/I1855,""))</f>
        <v/>
      </c>
      <c r="O1855" s="50">
        <f>IF(A1855="","",IFERROR((IF(G1855="",I1855,G1855)-T1855)/M1855,""))</f>
        <v/>
      </c>
      <c r="P1855" s="50">
        <f>IFERROR((I1855/T1855-1)/N1855,"")</f>
        <v/>
      </c>
      <c r="Q1855" s="46">
        <f>IF(OR(T1855="",I1855&lt;T1855),"",IFERROR(R1855/IF(G1855="",I1855,G1855)-1,""))</f>
        <v/>
      </c>
      <c r="R1855" s="48">
        <f>IF($M1855="","",MAX(IF($G1855="",$I1855,$G1855)*(1/1.1),IF($G1855="",$I1855,$G1855)+(R$2*$M1855)))</f>
        <v/>
      </c>
      <c r="S1855" s="49">
        <f>IF($M1855="","",MAX(IF($G1855="",$I1855,$G1855)*(1/1.1),IF($G1855="",$I1855,$G1855)+(S$2*$M1855)))</f>
        <v/>
      </c>
      <c r="T1855" s="82" t="n"/>
      <c r="U1855" s="47">
        <f>IF(OR($M1855="",$T1855=""),"",$T1855+(U$2*$M1855))</f>
        <v/>
      </c>
      <c r="V1855" s="48">
        <f>IF(OR($M1855="",$T1855=""),"",$T1855+(V$2*$M1855))</f>
        <v/>
      </c>
      <c r="W1855" s="48">
        <f>IF(OR($M1855="",$T1855=""),"",$T1855+(W$2*$M1855))</f>
        <v/>
      </c>
      <c r="X1855" s="49">
        <f>IF(OR($M1855="",$T1855=""),"",$T1855+(X$2*$M1855))</f>
        <v/>
      </c>
      <c r="Y1855" s="47">
        <f>IF(OR($M1855="",$T1855=""),"",$T1855+(Y$2*$M1855))</f>
        <v/>
      </c>
      <c r="Z1855" s="49">
        <f>IF(OR($M1855="",$T1855=""),"",$T1855+(Z$2*$M1855))</f>
        <v/>
      </c>
      <c r="AA1855" s="51">
        <f>IF(OR($M1855="",$T1855=""),"",$T1855+(AA$2*$M1855))</f>
        <v/>
      </c>
      <c r="AB1855" s="48">
        <f>IF(OR($M1855="",$T1855=""),"",$T1855+(AB$2*$M1855))</f>
        <v/>
      </c>
      <c r="AC1855" s="48">
        <f>IF(OR($M1855="",$T1855=""),"",$T1855+(AC$2*$M1855))</f>
        <v/>
      </c>
      <c r="AD1855" s="48">
        <f>IF(OR($M1855="",$T1855=""),"",$T1855+(AD$2*$M1855))</f>
        <v/>
      </c>
      <c r="AE1855" s="49">
        <f>IF(OR($M1855="",$T1855=""),"",$T1855+(AE$2*$M1855))</f>
        <v/>
      </c>
      <c r="AF1855" s="52">
        <f>IF(OR(T1855="",I1855&lt;T1855),"",IFERROR(AVERAGE(T1855+M1855*{7,8,9,10,11})/IF(G1855="",I1855,G1855)-1,""))</f>
        <v/>
      </c>
      <c r="AG1855" s="55">
        <f>IF(OR(T1855="",I1855&lt;T1855),"",IFERROR(AF1855/-(R1855/IF(G1855="",I1855,G1855)-1),""))</f>
        <v/>
      </c>
      <c r="AH1855" s="94" t="n"/>
      <c r="AI1855" s="94" t="n"/>
      <c r="AJ1855" s="94" t="n"/>
      <c r="AK1855" s="94" t="n"/>
      <c r="AL1855" s="84" t="n"/>
    </row>
    <row r="1856">
      <c r="A1856" s="64" t="n"/>
      <c r="B1856" s="65" t="n"/>
      <c r="C1856" s="66" t="n"/>
      <c r="D1856" s="67" t="n"/>
      <c r="E1856" s="68" t="n"/>
      <c r="F1856" s="47">
        <f>IF(A1856="","",IF(MIN(H1856,MAX(J1856:K1856))=0,"",MIN(H1856,MAX(J1856:K1856))))</f>
        <v/>
      </c>
      <c r="G1856" s="74" t="n"/>
      <c r="H1856" s="49">
        <f>IF(M1856="","",IFERROR(ROUND(AVERAGE(T1856+M1856*{7,8,9,10,11})/1.21,4),""))</f>
        <v/>
      </c>
      <c r="I1856" s="76" t="n"/>
      <c r="J1856" s="77" t="n"/>
      <c r="K1856" s="74" t="n"/>
      <c r="L1856" s="78" t="n"/>
      <c r="M1856" s="77" t="n"/>
      <c r="N1856" s="53">
        <f>IF(M1856="","",IFERROR(M1856/I1856,""))</f>
        <v/>
      </c>
      <c r="O1856" s="50">
        <f>IF(A1856="","",IFERROR((IF(G1856="",I1856,G1856)-T1856)/M1856,""))</f>
        <v/>
      </c>
      <c r="P1856" s="50">
        <f>IFERROR((I1856/T1856-1)/N1856,"")</f>
        <v/>
      </c>
      <c r="Q1856" s="46">
        <f>IF(OR(T1856="",I1856&lt;T1856),"",IFERROR(R1856/IF(G1856="",I1856,G1856)-1,""))</f>
        <v/>
      </c>
      <c r="R1856" s="48">
        <f>IF($M1856="","",MAX(IF($G1856="",$I1856,$G1856)*(1/1.1),IF($G1856="",$I1856,$G1856)+(R$2*$M1856)))</f>
        <v/>
      </c>
      <c r="S1856" s="49">
        <f>IF($M1856="","",MAX(IF($G1856="",$I1856,$G1856)*(1/1.1),IF($G1856="",$I1856,$G1856)+(S$2*$M1856)))</f>
        <v/>
      </c>
      <c r="T1856" s="82" t="n"/>
      <c r="U1856" s="47">
        <f>IF(OR($M1856="",$T1856=""),"",$T1856+(U$2*$M1856))</f>
        <v/>
      </c>
      <c r="V1856" s="48">
        <f>IF(OR($M1856="",$T1856=""),"",$T1856+(V$2*$M1856))</f>
        <v/>
      </c>
      <c r="W1856" s="48">
        <f>IF(OR($M1856="",$T1856=""),"",$T1856+(W$2*$M1856))</f>
        <v/>
      </c>
      <c r="X1856" s="49">
        <f>IF(OR($M1856="",$T1856=""),"",$T1856+(X$2*$M1856))</f>
        <v/>
      </c>
      <c r="Y1856" s="47">
        <f>IF(OR($M1856="",$T1856=""),"",$T1856+(Y$2*$M1856))</f>
        <v/>
      </c>
      <c r="Z1856" s="49">
        <f>IF(OR($M1856="",$T1856=""),"",$T1856+(Z$2*$M1856))</f>
        <v/>
      </c>
      <c r="AA1856" s="51">
        <f>IF(OR($M1856="",$T1856=""),"",$T1856+(AA$2*$M1856))</f>
        <v/>
      </c>
      <c r="AB1856" s="48">
        <f>IF(OR($M1856="",$T1856=""),"",$T1856+(AB$2*$M1856))</f>
        <v/>
      </c>
      <c r="AC1856" s="48">
        <f>IF(OR($M1856="",$T1856=""),"",$T1856+(AC$2*$M1856))</f>
        <v/>
      </c>
      <c r="AD1856" s="48">
        <f>IF(OR($M1856="",$T1856=""),"",$T1856+(AD$2*$M1856))</f>
        <v/>
      </c>
      <c r="AE1856" s="49">
        <f>IF(OR($M1856="",$T1856=""),"",$T1856+(AE$2*$M1856))</f>
        <v/>
      </c>
      <c r="AF1856" s="52">
        <f>IF(OR(T1856="",I1856&lt;T1856),"",IFERROR(AVERAGE(T1856+M1856*{7,8,9,10,11})/IF(G1856="",I1856,G1856)-1,""))</f>
        <v/>
      </c>
      <c r="AG1856" s="55">
        <f>IF(OR(T1856="",I1856&lt;T1856),"",IFERROR(AF1856/-(R1856/IF(G1856="",I1856,G1856)-1),""))</f>
        <v/>
      </c>
      <c r="AH1856" s="94" t="n"/>
      <c r="AI1856" s="94" t="n"/>
      <c r="AJ1856" s="94" t="n"/>
      <c r="AK1856" s="94" t="n"/>
      <c r="AL1856" s="84" t="n"/>
    </row>
    <row r="1857">
      <c r="A1857" s="64" t="n"/>
      <c r="B1857" s="65" t="n"/>
      <c r="C1857" s="66" t="n"/>
      <c r="D1857" s="67" t="n"/>
      <c r="E1857" s="68" t="n"/>
      <c r="F1857" s="47">
        <f>IF(A1857="","",IF(MIN(H1857,MAX(J1857:K1857))=0,"",MIN(H1857,MAX(J1857:K1857))))</f>
        <v/>
      </c>
      <c r="G1857" s="74" t="n"/>
      <c r="H1857" s="49">
        <f>IF(M1857="","",IFERROR(ROUND(AVERAGE(T1857+M1857*{7,8,9,10,11})/1.21,4),""))</f>
        <v/>
      </c>
      <c r="I1857" s="76" t="n"/>
      <c r="J1857" s="77" t="n"/>
      <c r="K1857" s="74" t="n"/>
      <c r="L1857" s="78" t="n"/>
      <c r="M1857" s="77" t="n"/>
      <c r="N1857" s="53">
        <f>IF(M1857="","",IFERROR(M1857/I1857,""))</f>
        <v/>
      </c>
      <c r="O1857" s="50">
        <f>IF(A1857="","",IFERROR((IF(G1857="",I1857,G1857)-T1857)/M1857,""))</f>
        <v/>
      </c>
      <c r="P1857" s="50">
        <f>IFERROR((I1857/T1857-1)/N1857,"")</f>
        <v/>
      </c>
      <c r="Q1857" s="46">
        <f>IF(OR(T1857="",I1857&lt;T1857),"",IFERROR(R1857/IF(G1857="",I1857,G1857)-1,""))</f>
        <v/>
      </c>
      <c r="R1857" s="48">
        <f>IF($M1857="","",MAX(IF($G1857="",$I1857,$G1857)*(1/1.1),IF($G1857="",$I1857,$G1857)+(R$2*$M1857)))</f>
        <v/>
      </c>
      <c r="S1857" s="49">
        <f>IF($M1857="","",MAX(IF($G1857="",$I1857,$G1857)*(1/1.1),IF($G1857="",$I1857,$G1857)+(S$2*$M1857)))</f>
        <v/>
      </c>
      <c r="T1857" s="82" t="n"/>
      <c r="U1857" s="47">
        <f>IF(OR($M1857="",$T1857=""),"",$T1857+(U$2*$M1857))</f>
        <v/>
      </c>
      <c r="V1857" s="48">
        <f>IF(OR($M1857="",$T1857=""),"",$T1857+(V$2*$M1857))</f>
        <v/>
      </c>
      <c r="W1857" s="48">
        <f>IF(OR($M1857="",$T1857=""),"",$T1857+(W$2*$M1857))</f>
        <v/>
      </c>
      <c r="X1857" s="49">
        <f>IF(OR($M1857="",$T1857=""),"",$T1857+(X$2*$M1857))</f>
        <v/>
      </c>
      <c r="Y1857" s="47">
        <f>IF(OR($M1857="",$T1857=""),"",$T1857+(Y$2*$M1857))</f>
        <v/>
      </c>
      <c r="Z1857" s="49">
        <f>IF(OR($M1857="",$T1857=""),"",$T1857+(Z$2*$M1857))</f>
        <v/>
      </c>
      <c r="AA1857" s="51">
        <f>IF(OR($M1857="",$T1857=""),"",$T1857+(AA$2*$M1857))</f>
        <v/>
      </c>
      <c r="AB1857" s="48">
        <f>IF(OR($M1857="",$T1857=""),"",$T1857+(AB$2*$M1857))</f>
        <v/>
      </c>
      <c r="AC1857" s="48">
        <f>IF(OR($M1857="",$T1857=""),"",$T1857+(AC$2*$M1857))</f>
        <v/>
      </c>
      <c r="AD1857" s="48">
        <f>IF(OR($M1857="",$T1857=""),"",$T1857+(AD$2*$M1857))</f>
        <v/>
      </c>
      <c r="AE1857" s="49">
        <f>IF(OR($M1857="",$T1857=""),"",$T1857+(AE$2*$M1857))</f>
        <v/>
      </c>
      <c r="AF1857" s="52">
        <f>IF(OR(T1857="",I1857&lt;T1857),"",IFERROR(AVERAGE(T1857+M1857*{7,8,9,10,11})/IF(G1857="",I1857,G1857)-1,""))</f>
        <v/>
      </c>
      <c r="AG1857" s="55">
        <f>IF(OR(T1857="",I1857&lt;T1857),"",IFERROR(AF1857/-(R1857/IF(G1857="",I1857,G1857)-1),""))</f>
        <v/>
      </c>
      <c r="AH1857" s="94" t="n"/>
      <c r="AI1857" s="94" t="n"/>
      <c r="AJ1857" s="94" t="n"/>
      <c r="AK1857" s="94" t="n"/>
      <c r="AL1857" s="84" t="n"/>
    </row>
    <row r="1858">
      <c r="A1858" s="64" t="n"/>
      <c r="B1858" s="65" t="n"/>
      <c r="C1858" s="66" t="n"/>
      <c r="D1858" s="67" t="n"/>
      <c r="E1858" s="68" t="n"/>
      <c r="F1858" s="47">
        <f>IF(A1858="","",IF(MIN(H1858,MAX(J1858:K1858))=0,"",MIN(H1858,MAX(J1858:K1858))))</f>
        <v/>
      </c>
      <c r="G1858" s="74" t="n"/>
      <c r="H1858" s="49">
        <f>IF(M1858="","",IFERROR(ROUND(AVERAGE(T1858+M1858*{7,8,9,10,11})/1.21,4),""))</f>
        <v/>
      </c>
      <c r="I1858" s="76" t="n"/>
      <c r="J1858" s="77" t="n"/>
      <c r="K1858" s="74" t="n"/>
      <c r="L1858" s="78" t="n"/>
      <c r="M1858" s="77" t="n"/>
      <c r="N1858" s="53">
        <f>IF(M1858="","",IFERROR(M1858/I1858,""))</f>
        <v/>
      </c>
      <c r="O1858" s="50">
        <f>IF(A1858="","",IFERROR((IF(G1858="",I1858,G1858)-T1858)/M1858,""))</f>
        <v/>
      </c>
      <c r="P1858" s="50">
        <f>IFERROR((I1858/T1858-1)/N1858,"")</f>
        <v/>
      </c>
      <c r="Q1858" s="46">
        <f>IF(OR(T1858="",I1858&lt;T1858),"",IFERROR(R1858/IF(G1858="",I1858,G1858)-1,""))</f>
        <v/>
      </c>
      <c r="R1858" s="48">
        <f>IF($M1858="","",MAX(IF($G1858="",$I1858,$G1858)*(1/1.1),IF($G1858="",$I1858,$G1858)+(R$2*$M1858)))</f>
        <v/>
      </c>
      <c r="S1858" s="49">
        <f>IF($M1858="","",MAX(IF($G1858="",$I1858,$G1858)*(1/1.1),IF($G1858="",$I1858,$G1858)+(S$2*$M1858)))</f>
        <v/>
      </c>
      <c r="T1858" s="82" t="n"/>
      <c r="U1858" s="47">
        <f>IF(OR($M1858="",$T1858=""),"",$T1858+(U$2*$M1858))</f>
        <v/>
      </c>
      <c r="V1858" s="48">
        <f>IF(OR($M1858="",$T1858=""),"",$T1858+(V$2*$M1858))</f>
        <v/>
      </c>
      <c r="W1858" s="48">
        <f>IF(OR($M1858="",$T1858=""),"",$T1858+(W$2*$M1858))</f>
        <v/>
      </c>
      <c r="X1858" s="49">
        <f>IF(OR($M1858="",$T1858=""),"",$T1858+(X$2*$M1858))</f>
        <v/>
      </c>
      <c r="Y1858" s="47">
        <f>IF(OR($M1858="",$T1858=""),"",$T1858+(Y$2*$M1858))</f>
        <v/>
      </c>
      <c r="Z1858" s="49">
        <f>IF(OR($M1858="",$T1858=""),"",$T1858+(Z$2*$M1858))</f>
        <v/>
      </c>
      <c r="AA1858" s="51">
        <f>IF(OR($M1858="",$T1858=""),"",$T1858+(AA$2*$M1858))</f>
        <v/>
      </c>
      <c r="AB1858" s="48">
        <f>IF(OR($M1858="",$T1858=""),"",$T1858+(AB$2*$M1858))</f>
        <v/>
      </c>
      <c r="AC1858" s="48">
        <f>IF(OR($M1858="",$T1858=""),"",$T1858+(AC$2*$M1858))</f>
        <v/>
      </c>
      <c r="AD1858" s="48">
        <f>IF(OR($M1858="",$T1858=""),"",$T1858+(AD$2*$M1858))</f>
        <v/>
      </c>
      <c r="AE1858" s="49">
        <f>IF(OR($M1858="",$T1858=""),"",$T1858+(AE$2*$M1858))</f>
        <v/>
      </c>
      <c r="AF1858" s="52">
        <f>IF(OR(T1858="",I1858&lt;T1858),"",IFERROR(AVERAGE(T1858+M1858*{7,8,9,10,11})/IF(G1858="",I1858,G1858)-1,""))</f>
        <v/>
      </c>
      <c r="AG1858" s="55">
        <f>IF(OR(T1858="",I1858&lt;T1858),"",IFERROR(AF1858/-(R1858/IF(G1858="",I1858,G1858)-1),""))</f>
        <v/>
      </c>
      <c r="AH1858" s="94" t="n"/>
      <c r="AI1858" s="94" t="n"/>
      <c r="AJ1858" s="94" t="n"/>
      <c r="AK1858" s="94" t="n"/>
      <c r="AL1858" s="84" t="n"/>
    </row>
    <row r="1859">
      <c r="A1859" s="64" t="n"/>
      <c r="B1859" s="65" t="n"/>
      <c r="C1859" s="66" t="n"/>
      <c r="D1859" s="67" t="n"/>
      <c r="E1859" s="68" t="n"/>
      <c r="F1859" s="47">
        <f>IF(A1859="","",IF(MIN(H1859,MAX(J1859:K1859))=0,"",MIN(H1859,MAX(J1859:K1859))))</f>
        <v/>
      </c>
      <c r="G1859" s="74" t="n"/>
      <c r="H1859" s="49">
        <f>IF(M1859="","",IFERROR(ROUND(AVERAGE(T1859+M1859*{7,8,9,10,11})/1.21,4),""))</f>
        <v/>
      </c>
      <c r="I1859" s="76" t="n"/>
      <c r="J1859" s="77" t="n"/>
      <c r="K1859" s="74" t="n"/>
      <c r="L1859" s="78" t="n"/>
      <c r="M1859" s="77" t="n"/>
      <c r="N1859" s="53">
        <f>IF(M1859="","",IFERROR(M1859/I1859,""))</f>
        <v/>
      </c>
      <c r="O1859" s="50">
        <f>IF(A1859="","",IFERROR((IF(G1859="",I1859,G1859)-T1859)/M1859,""))</f>
        <v/>
      </c>
      <c r="P1859" s="50">
        <f>IFERROR((I1859/T1859-1)/N1859,"")</f>
        <v/>
      </c>
      <c r="Q1859" s="46">
        <f>IF(OR(T1859="",I1859&lt;T1859),"",IFERROR(R1859/IF(G1859="",I1859,G1859)-1,""))</f>
        <v/>
      </c>
      <c r="R1859" s="48">
        <f>IF($M1859="","",MAX(IF($G1859="",$I1859,$G1859)*(1/1.1),IF($G1859="",$I1859,$G1859)+(R$2*$M1859)))</f>
        <v/>
      </c>
      <c r="S1859" s="49">
        <f>IF($M1859="","",MAX(IF($G1859="",$I1859,$G1859)*(1/1.1),IF($G1859="",$I1859,$G1859)+(S$2*$M1859)))</f>
        <v/>
      </c>
      <c r="T1859" s="82" t="n"/>
      <c r="U1859" s="47">
        <f>IF(OR($M1859="",$T1859=""),"",$T1859+(U$2*$M1859))</f>
        <v/>
      </c>
      <c r="V1859" s="48">
        <f>IF(OR($M1859="",$T1859=""),"",$T1859+(V$2*$M1859))</f>
        <v/>
      </c>
      <c r="W1859" s="48">
        <f>IF(OR($M1859="",$T1859=""),"",$T1859+(W$2*$M1859))</f>
        <v/>
      </c>
      <c r="X1859" s="49">
        <f>IF(OR($M1859="",$T1859=""),"",$T1859+(X$2*$M1859))</f>
        <v/>
      </c>
      <c r="Y1859" s="47">
        <f>IF(OR($M1859="",$T1859=""),"",$T1859+(Y$2*$M1859))</f>
        <v/>
      </c>
      <c r="Z1859" s="49">
        <f>IF(OR($M1859="",$T1859=""),"",$T1859+(Z$2*$M1859))</f>
        <v/>
      </c>
      <c r="AA1859" s="51">
        <f>IF(OR($M1859="",$T1859=""),"",$T1859+(AA$2*$M1859))</f>
        <v/>
      </c>
      <c r="AB1859" s="48">
        <f>IF(OR($M1859="",$T1859=""),"",$T1859+(AB$2*$M1859))</f>
        <v/>
      </c>
      <c r="AC1859" s="48">
        <f>IF(OR($M1859="",$T1859=""),"",$T1859+(AC$2*$M1859))</f>
        <v/>
      </c>
      <c r="AD1859" s="48">
        <f>IF(OR($M1859="",$T1859=""),"",$T1859+(AD$2*$M1859))</f>
        <v/>
      </c>
      <c r="AE1859" s="49">
        <f>IF(OR($M1859="",$T1859=""),"",$T1859+(AE$2*$M1859))</f>
        <v/>
      </c>
      <c r="AF1859" s="52">
        <f>IF(OR(T1859="",I1859&lt;T1859),"",IFERROR(AVERAGE(T1859+M1859*{7,8,9,10,11})/IF(G1859="",I1859,G1859)-1,""))</f>
        <v/>
      </c>
      <c r="AG1859" s="55">
        <f>IF(OR(T1859="",I1859&lt;T1859),"",IFERROR(AF1859/-(R1859/IF(G1859="",I1859,G1859)-1),""))</f>
        <v/>
      </c>
      <c r="AH1859" s="94" t="n"/>
      <c r="AI1859" s="94" t="n"/>
      <c r="AJ1859" s="94" t="n"/>
      <c r="AK1859" s="94" t="n"/>
      <c r="AL1859" s="84" t="n"/>
    </row>
    <row r="1860">
      <c r="A1860" s="64" t="n"/>
      <c r="B1860" s="65" t="n"/>
      <c r="C1860" s="66" t="n"/>
      <c r="D1860" s="67" t="n"/>
      <c r="E1860" s="68" t="n"/>
      <c r="F1860" s="47">
        <f>IF(A1860="","",IF(MIN(H1860,MAX(J1860:K1860))=0,"",MIN(H1860,MAX(J1860:K1860))))</f>
        <v/>
      </c>
      <c r="G1860" s="74" t="n"/>
      <c r="H1860" s="49">
        <f>IF(M1860="","",IFERROR(ROUND(AVERAGE(T1860+M1860*{7,8,9,10,11})/1.21,4),""))</f>
        <v/>
      </c>
      <c r="I1860" s="76" t="n"/>
      <c r="J1860" s="77" t="n"/>
      <c r="K1860" s="74" t="n"/>
      <c r="L1860" s="78" t="n"/>
      <c r="M1860" s="77" t="n"/>
      <c r="N1860" s="53">
        <f>IF(M1860="","",IFERROR(M1860/I1860,""))</f>
        <v/>
      </c>
      <c r="O1860" s="50">
        <f>IF(A1860="","",IFERROR((IF(G1860="",I1860,G1860)-T1860)/M1860,""))</f>
        <v/>
      </c>
      <c r="P1860" s="50">
        <f>IFERROR((I1860/T1860-1)/N1860,"")</f>
        <v/>
      </c>
      <c r="Q1860" s="46">
        <f>IF(OR(T1860="",I1860&lt;T1860),"",IFERROR(R1860/IF(G1860="",I1860,G1860)-1,""))</f>
        <v/>
      </c>
      <c r="R1860" s="48">
        <f>IF($M1860="","",MAX(IF($G1860="",$I1860,$G1860)*(1/1.1),IF($G1860="",$I1860,$G1860)+(R$2*$M1860)))</f>
        <v/>
      </c>
      <c r="S1860" s="49">
        <f>IF($M1860="","",MAX(IF($G1860="",$I1860,$G1860)*(1/1.1),IF($G1860="",$I1860,$G1860)+(S$2*$M1860)))</f>
        <v/>
      </c>
      <c r="T1860" s="82" t="n"/>
      <c r="U1860" s="47">
        <f>IF(OR($M1860="",$T1860=""),"",$T1860+(U$2*$M1860))</f>
        <v/>
      </c>
      <c r="V1860" s="48">
        <f>IF(OR($M1860="",$T1860=""),"",$T1860+(V$2*$M1860))</f>
        <v/>
      </c>
      <c r="W1860" s="48">
        <f>IF(OR($M1860="",$T1860=""),"",$T1860+(W$2*$M1860))</f>
        <v/>
      </c>
      <c r="X1860" s="49">
        <f>IF(OR($M1860="",$T1860=""),"",$T1860+(X$2*$M1860))</f>
        <v/>
      </c>
      <c r="Y1860" s="47">
        <f>IF(OR($M1860="",$T1860=""),"",$T1860+(Y$2*$M1860))</f>
        <v/>
      </c>
      <c r="Z1860" s="49">
        <f>IF(OR($M1860="",$T1860=""),"",$T1860+(Z$2*$M1860))</f>
        <v/>
      </c>
      <c r="AA1860" s="51">
        <f>IF(OR($M1860="",$T1860=""),"",$T1860+(AA$2*$M1860))</f>
        <v/>
      </c>
      <c r="AB1860" s="48">
        <f>IF(OR($M1860="",$T1860=""),"",$T1860+(AB$2*$M1860))</f>
        <v/>
      </c>
      <c r="AC1860" s="48">
        <f>IF(OR($M1860="",$T1860=""),"",$T1860+(AC$2*$M1860))</f>
        <v/>
      </c>
      <c r="AD1860" s="48">
        <f>IF(OR($M1860="",$T1860=""),"",$T1860+(AD$2*$M1860))</f>
        <v/>
      </c>
      <c r="AE1860" s="49">
        <f>IF(OR($M1860="",$T1860=""),"",$T1860+(AE$2*$M1860))</f>
        <v/>
      </c>
      <c r="AF1860" s="52">
        <f>IF(OR(T1860="",I1860&lt;T1860),"",IFERROR(AVERAGE(T1860+M1860*{7,8,9,10,11})/IF(G1860="",I1860,G1860)-1,""))</f>
        <v/>
      </c>
      <c r="AG1860" s="55">
        <f>IF(OR(T1860="",I1860&lt;T1860),"",IFERROR(AF1860/-(R1860/IF(G1860="",I1860,G1860)-1),""))</f>
        <v/>
      </c>
      <c r="AH1860" s="94" t="n"/>
      <c r="AI1860" s="94" t="n"/>
      <c r="AJ1860" s="94" t="n"/>
      <c r="AK1860" s="94" t="n"/>
      <c r="AL1860" s="84" t="n"/>
    </row>
    <row r="1861">
      <c r="A1861" s="64" t="n"/>
      <c r="B1861" s="65" t="n"/>
      <c r="C1861" s="66" t="n"/>
      <c r="D1861" s="67" t="n"/>
      <c r="E1861" s="68" t="n"/>
      <c r="F1861" s="47">
        <f>IF(A1861="","",IF(MIN(H1861,MAX(J1861:K1861))=0,"",MIN(H1861,MAX(J1861:K1861))))</f>
        <v/>
      </c>
      <c r="G1861" s="74" t="n"/>
      <c r="H1861" s="49">
        <f>IF(M1861="","",IFERROR(ROUND(AVERAGE(T1861+M1861*{7,8,9,10,11})/1.21,4),""))</f>
        <v/>
      </c>
      <c r="I1861" s="76" t="n"/>
      <c r="J1861" s="77" t="n"/>
      <c r="K1861" s="74" t="n"/>
      <c r="L1861" s="78" t="n"/>
      <c r="M1861" s="77" t="n"/>
      <c r="N1861" s="53">
        <f>IF(M1861="","",IFERROR(M1861/I1861,""))</f>
        <v/>
      </c>
      <c r="O1861" s="50">
        <f>IF(A1861="","",IFERROR((IF(G1861="",I1861,G1861)-T1861)/M1861,""))</f>
        <v/>
      </c>
      <c r="P1861" s="50">
        <f>IFERROR((I1861/T1861-1)/N1861,"")</f>
        <v/>
      </c>
      <c r="Q1861" s="46">
        <f>IF(OR(T1861="",I1861&lt;T1861),"",IFERROR(R1861/IF(G1861="",I1861,G1861)-1,""))</f>
        <v/>
      </c>
      <c r="R1861" s="48">
        <f>IF($M1861="","",MAX(IF($G1861="",$I1861,$G1861)*(1/1.1),IF($G1861="",$I1861,$G1861)+(R$2*$M1861)))</f>
        <v/>
      </c>
      <c r="S1861" s="49">
        <f>IF($M1861="","",MAX(IF($G1861="",$I1861,$G1861)*(1/1.1),IF($G1861="",$I1861,$G1861)+(S$2*$M1861)))</f>
        <v/>
      </c>
      <c r="T1861" s="82" t="n"/>
      <c r="U1861" s="47">
        <f>IF(OR($M1861="",$T1861=""),"",$T1861+(U$2*$M1861))</f>
        <v/>
      </c>
      <c r="V1861" s="48">
        <f>IF(OR($M1861="",$T1861=""),"",$T1861+(V$2*$M1861))</f>
        <v/>
      </c>
      <c r="W1861" s="48">
        <f>IF(OR($M1861="",$T1861=""),"",$T1861+(W$2*$M1861))</f>
        <v/>
      </c>
      <c r="X1861" s="49">
        <f>IF(OR($M1861="",$T1861=""),"",$T1861+(X$2*$M1861))</f>
        <v/>
      </c>
      <c r="Y1861" s="47">
        <f>IF(OR($M1861="",$T1861=""),"",$T1861+(Y$2*$M1861))</f>
        <v/>
      </c>
      <c r="Z1861" s="49">
        <f>IF(OR($M1861="",$T1861=""),"",$T1861+(Z$2*$M1861))</f>
        <v/>
      </c>
      <c r="AA1861" s="51">
        <f>IF(OR($M1861="",$T1861=""),"",$T1861+(AA$2*$M1861))</f>
        <v/>
      </c>
      <c r="AB1861" s="48">
        <f>IF(OR($M1861="",$T1861=""),"",$T1861+(AB$2*$M1861))</f>
        <v/>
      </c>
      <c r="AC1861" s="48">
        <f>IF(OR($M1861="",$T1861=""),"",$T1861+(AC$2*$M1861))</f>
        <v/>
      </c>
      <c r="AD1861" s="48">
        <f>IF(OR($M1861="",$T1861=""),"",$T1861+(AD$2*$M1861))</f>
        <v/>
      </c>
      <c r="AE1861" s="49">
        <f>IF(OR($M1861="",$T1861=""),"",$T1861+(AE$2*$M1861))</f>
        <v/>
      </c>
      <c r="AF1861" s="52">
        <f>IF(OR(T1861="",I1861&lt;T1861),"",IFERROR(AVERAGE(T1861+M1861*{7,8,9,10,11})/IF(G1861="",I1861,G1861)-1,""))</f>
        <v/>
      </c>
      <c r="AG1861" s="55">
        <f>IF(OR(T1861="",I1861&lt;T1861),"",IFERROR(AF1861/-(R1861/IF(G1861="",I1861,G1861)-1),""))</f>
        <v/>
      </c>
      <c r="AH1861" s="94" t="n"/>
      <c r="AI1861" s="94" t="n"/>
      <c r="AJ1861" s="94" t="n"/>
      <c r="AK1861" s="94" t="n"/>
      <c r="AL1861" s="84" t="n"/>
    </row>
    <row r="1862">
      <c r="A1862" s="64" t="n"/>
      <c r="B1862" s="65" t="n"/>
      <c r="C1862" s="66" t="n"/>
      <c r="D1862" s="67" t="n"/>
      <c r="E1862" s="68" t="n"/>
      <c r="F1862" s="47">
        <f>IF(A1862="","",IF(MIN(H1862,MAX(J1862:K1862))=0,"",MIN(H1862,MAX(J1862:K1862))))</f>
        <v/>
      </c>
      <c r="G1862" s="74" t="n"/>
      <c r="H1862" s="49">
        <f>IF(M1862="","",IFERROR(ROUND(AVERAGE(T1862+M1862*{7,8,9,10,11})/1.21,4),""))</f>
        <v/>
      </c>
      <c r="I1862" s="76" t="n"/>
      <c r="J1862" s="77" t="n"/>
      <c r="K1862" s="74" t="n"/>
      <c r="L1862" s="78" t="n"/>
      <c r="M1862" s="77" t="n"/>
      <c r="N1862" s="53">
        <f>IF(M1862="","",IFERROR(M1862/I1862,""))</f>
        <v/>
      </c>
      <c r="O1862" s="50">
        <f>IF(A1862="","",IFERROR((IF(G1862="",I1862,G1862)-T1862)/M1862,""))</f>
        <v/>
      </c>
      <c r="P1862" s="50">
        <f>IFERROR((I1862/T1862-1)/N1862,"")</f>
        <v/>
      </c>
      <c r="Q1862" s="46">
        <f>IF(OR(T1862="",I1862&lt;T1862),"",IFERROR(R1862/IF(G1862="",I1862,G1862)-1,""))</f>
        <v/>
      </c>
      <c r="R1862" s="48">
        <f>IF($M1862="","",MAX(IF($G1862="",$I1862,$G1862)*(1/1.1),IF($G1862="",$I1862,$G1862)+(R$2*$M1862)))</f>
        <v/>
      </c>
      <c r="S1862" s="49">
        <f>IF($M1862="","",MAX(IF($G1862="",$I1862,$G1862)*(1/1.1),IF($G1862="",$I1862,$G1862)+(S$2*$M1862)))</f>
        <v/>
      </c>
      <c r="T1862" s="82" t="n"/>
      <c r="U1862" s="47">
        <f>IF(OR($M1862="",$T1862=""),"",$T1862+(U$2*$M1862))</f>
        <v/>
      </c>
      <c r="V1862" s="48">
        <f>IF(OR($M1862="",$T1862=""),"",$T1862+(V$2*$M1862))</f>
        <v/>
      </c>
      <c r="W1862" s="48">
        <f>IF(OR($M1862="",$T1862=""),"",$T1862+(W$2*$M1862))</f>
        <v/>
      </c>
      <c r="X1862" s="49">
        <f>IF(OR($M1862="",$T1862=""),"",$T1862+(X$2*$M1862))</f>
        <v/>
      </c>
      <c r="Y1862" s="47">
        <f>IF(OR($M1862="",$T1862=""),"",$T1862+(Y$2*$M1862))</f>
        <v/>
      </c>
      <c r="Z1862" s="49">
        <f>IF(OR($M1862="",$T1862=""),"",$T1862+(Z$2*$M1862))</f>
        <v/>
      </c>
      <c r="AA1862" s="51">
        <f>IF(OR($M1862="",$T1862=""),"",$T1862+(AA$2*$M1862))</f>
        <v/>
      </c>
      <c r="AB1862" s="48">
        <f>IF(OR($M1862="",$T1862=""),"",$T1862+(AB$2*$M1862))</f>
        <v/>
      </c>
      <c r="AC1862" s="48">
        <f>IF(OR($M1862="",$T1862=""),"",$T1862+(AC$2*$M1862))</f>
        <v/>
      </c>
      <c r="AD1862" s="48">
        <f>IF(OR($M1862="",$T1862=""),"",$T1862+(AD$2*$M1862))</f>
        <v/>
      </c>
      <c r="AE1862" s="49">
        <f>IF(OR($M1862="",$T1862=""),"",$T1862+(AE$2*$M1862))</f>
        <v/>
      </c>
      <c r="AF1862" s="52">
        <f>IF(OR(T1862="",I1862&lt;T1862),"",IFERROR(AVERAGE(T1862+M1862*{7,8,9,10,11})/IF(G1862="",I1862,G1862)-1,""))</f>
        <v/>
      </c>
      <c r="AG1862" s="55">
        <f>IF(OR(T1862="",I1862&lt;T1862),"",IFERROR(AF1862/-(R1862/IF(G1862="",I1862,G1862)-1),""))</f>
        <v/>
      </c>
      <c r="AH1862" s="94" t="n"/>
      <c r="AI1862" s="94" t="n"/>
      <c r="AJ1862" s="94" t="n"/>
      <c r="AK1862" s="94" t="n"/>
      <c r="AL1862" s="84" t="n"/>
    </row>
    <row r="1863">
      <c r="A1863" s="64" t="n"/>
      <c r="B1863" s="65" t="n"/>
      <c r="C1863" s="66" t="n"/>
      <c r="D1863" s="67" t="n"/>
      <c r="E1863" s="68" t="n"/>
      <c r="F1863" s="47">
        <f>IF(A1863="","",IF(MIN(H1863,MAX(J1863:K1863))=0,"",MIN(H1863,MAX(J1863:K1863))))</f>
        <v/>
      </c>
      <c r="G1863" s="74" t="n"/>
      <c r="H1863" s="49">
        <f>IF(M1863="","",IFERROR(ROUND(AVERAGE(T1863+M1863*{7,8,9,10,11})/1.21,4),""))</f>
        <v/>
      </c>
      <c r="I1863" s="76" t="n"/>
      <c r="J1863" s="77" t="n"/>
      <c r="K1863" s="74" t="n"/>
      <c r="L1863" s="78" t="n"/>
      <c r="M1863" s="77" t="n"/>
      <c r="N1863" s="53">
        <f>IF(M1863="","",IFERROR(M1863/I1863,""))</f>
        <v/>
      </c>
      <c r="O1863" s="50">
        <f>IF(A1863="","",IFERROR((IF(G1863="",I1863,G1863)-T1863)/M1863,""))</f>
        <v/>
      </c>
      <c r="P1863" s="50">
        <f>IFERROR((I1863/T1863-1)/N1863,"")</f>
        <v/>
      </c>
      <c r="Q1863" s="46">
        <f>IF(OR(T1863="",I1863&lt;T1863),"",IFERROR(R1863/IF(G1863="",I1863,G1863)-1,""))</f>
        <v/>
      </c>
      <c r="R1863" s="48">
        <f>IF($M1863="","",MAX(IF($G1863="",$I1863,$G1863)*(1/1.1),IF($G1863="",$I1863,$G1863)+(R$2*$M1863)))</f>
        <v/>
      </c>
      <c r="S1863" s="49">
        <f>IF($M1863="","",MAX(IF($G1863="",$I1863,$G1863)*(1/1.1),IF($G1863="",$I1863,$G1863)+(S$2*$M1863)))</f>
        <v/>
      </c>
      <c r="T1863" s="82" t="n"/>
      <c r="U1863" s="47">
        <f>IF(OR($M1863="",$T1863=""),"",$T1863+(U$2*$M1863))</f>
        <v/>
      </c>
      <c r="V1863" s="48">
        <f>IF(OR($M1863="",$T1863=""),"",$T1863+(V$2*$M1863))</f>
        <v/>
      </c>
      <c r="W1863" s="48">
        <f>IF(OR($M1863="",$T1863=""),"",$T1863+(W$2*$M1863))</f>
        <v/>
      </c>
      <c r="X1863" s="49">
        <f>IF(OR($M1863="",$T1863=""),"",$T1863+(X$2*$M1863))</f>
        <v/>
      </c>
      <c r="Y1863" s="47">
        <f>IF(OR($M1863="",$T1863=""),"",$T1863+(Y$2*$M1863))</f>
        <v/>
      </c>
      <c r="Z1863" s="49">
        <f>IF(OR($M1863="",$T1863=""),"",$T1863+(Z$2*$M1863))</f>
        <v/>
      </c>
      <c r="AA1863" s="51">
        <f>IF(OR($M1863="",$T1863=""),"",$T1863+(AA$2*$M1863))</f>
        <v/>
      </c>
      <c r="AB1863" s="48">
        <f>IF(OR($M1863="",$T1863=""),"",$T1863+(AB$2*$M1863))</f>
        <v/>
      </c>
      <c r="AC1863" s="48">
        <f>IF(OR($M1863="",$T1863=""),"",$T1863+(AC$2*$M1863))</f>
        <v/>
      </c>
      <c r="AD1863" s="48">
        <f>IF(OR($M1863="",$T1863=""),"",$T1863+(AD$2*$M1863))</f>
        <v/>
      </c>
      <c r="AE1863" s="49">
        <f>IF(OR($M1863="",$T1863=""),"",$T1863+(AE$2*$M1863))</f>
        <v/>
      </c>
      <c r="AF1863" s="52">
        <f>IF(OR(T1863="",I1863&lt;T1863),"",IFERROR(AVERAGE(T1863+M1863*{7,8,9,10,11})/IF(G1863="",I1863,G1863)-1,""))</f>
        <v/>
      </c>
      <c r="AG1863" s="55">
        <f>IF(OR(T1863="",I1863&lt;T1863),"",IFERROR(AF1863/-(R1863/IF(G1863="",I1863,G1863)-1),""))</f>
        <v/>
      </c>
      <c r="AH1863" s="94" t="n"/>
      <c r="AI1863" s="94" t="n"/>
      <c r="AJ1863" s="94" t="n"/>
      <c r="AK1863" s="94" t="n"/>
      <c r="AL1863" s="84" t="n"/>
    </row>
    <row r="1864">
      <c r="A1864" s="64" t="n"/>
      <c r="B1864" s="65" t="n"/>
      <c r="C1864" s="66" t="n"/>
      <c r="D1864" s="67" t="n"/>
      <c r="E1864" s="68" t="n"/>
      <c r="F1864" s="47">
        <f>IF(A1864="","",IF(MIN(H1864,MAX(J1864:K1864))=0,"",MIN(H1864,MAX(J1864:K1864))))</f>
        <v/>
      </c>
      <c r="G1864" s="74" t="n"/>
      <c r="H1864" s="49">
        <f>IF(M1864="","",IFERROR(ROUND(AVERAGE(T1864+M1864*{7,8,9,10,11})/1.21,4),""))</f>
        <v/>
      </c>
      <c r="I1864" s="76" t="n"/>
      <c r="J1864" s="77" t="n"/>
      <c r="K1864" s="74" t="n"/>
      <c r="L1864" s="78" t="n"/>
      <c r="M1864" s="77" t="n"/>
      <c r="N1864" s="53">
        <f>IF(M1864="","",IFERROR(M1864/I1864,""))</f>
        <v/>
      </c>
      <c r="O1864" s="50">
        <f>IF(A1864="","",IFERROR((IF(G1864="",I1864,G1864)-T1864)/M1864,""))</f>
        <v/>
      </c>
      <c r="P1864" s="50">
        <f>IFERROR((I1864/T1864-1)/N1864,"")</f>
        <v/>
      </c>
      <c r="Q1864" s="46">
        <f>IF(OR(T1864="",I1864&lt;T1864),"",IFERROR(R1864/IF(G1864="",I1864,G1864)-1,""))</f>
        <v/>
      </c>
      <c r="R1864" s="48">
        <f>IF($M1864="","",MAX(IF($G1864="",$I1864,$G1864)*(1/1.1),IF($G1864="",$I1864,$G1864)+(R$2*$M1864)))</f>
        <v/>
      </c>
      <c r="S1864" s="49">
        <f>IF($M1864="","",MAX(IF($G1864="",$I1864,$G1864)*(1/1.1),IF($G1864="",$I1864,$G1864)+(S$2*$M1864)))</f>
        <v/>
      </c>
      <c r="T1864" s="82" t="n"/>
      <c r="U1864" s="47">
        <f>IF(OR($M1864="",$T1864=""),"",$T1864+(U$2*$M1864))</f>
        <v/>
      </c>
      <c r="V1864" s="48">
        <f>IF(OR($M1864="",$T1864=""),"",$T1864+(V$2*$M1864))</f>
        <v/>
      </c>
      <c r="W1864" s="48">
        <f>IF(OR($M1864="",$T1864=""),"",$T1864+(W$2*$M1864))</f>
        <v/>
      </c>
      <c r="X1864" s="49">
        <f>IF(OR($M1864="",$T1864=""),"",$T1864+(X$2*$M1864))</f>
        <v/>
      </c>
      <c r="Y1864" s="47">
        <f>IF(OR($M1864="",$T1864=""),"",$T1864+(Y$2*$M1864))</f>
        <v/>
      </c>
      <c r="Z1864" s="49">
        <f>IF(OR($M1864="",$T1864=""),"",$T1864+(Z$2*$M1864))</f>
        <v/>
      </c>
      <c r="AA1864" s="51">
        <f>IF(OR($M1864="",$T1864=""),"",$T1864+(AA$2*$M1864))</f>
        <v/>
      </c>
      <c r="AB1864" s="48">
        <f>IF(OR($M1864="",$T1864=""),"",$T1864+(AB$2*$M1864))</f>
        <v/>
      </c>
      <c r="AC1864" s="48">
        <f>IF(OR($M1864="",$T1864=""),"",$T1864+(AC$2*$M1864))</f>
        <v/>
      </c>
      <c r="AD1864" s="48">
        <f>IF(OR($M1864="",$T1864=""),"",$T1864+(AD$2*$M1864))</f>
        <v/>
      </c>
      <c r="AE1864" s="49">
        <f>IF(OR($M1864="",$T1864=""),"",$T1864+(AE$2*$M1864))</f>
        <v/>
      </c>
      <c r="AF1864" s="52">
        <f>IF(OR(T1864="",I1864&lt;T1864),"",IFERROR(AVERAGE(T1864+M1864*{7,8,9,10,11})/IF(G1864="",I1864,G1864)-1,""))</f>
        <v/>
      </c>
      <c r="AG1864" s="55">
        <f>IF(OR(T1864="",I1864&lt;T1864),"",IFERROR(AF1864/-(R1864/IF(G1864="",I1864,G1864)-1),""))</f>
        <v/>
      </c>
      <c r="AH1864" s="94" t="n"/>
      <c r="AI1864" s="94" t="n"/>
      <c r="AJ1864" s="94" t="n"/>
      <c r="AK1864" s="94" t="n"/>
      <c r="AL1864" s="84" t="n"/>
    </row>
    <row r="1865">
      <c r="A1865" s="64" t="n"/>
      <c r="B1865" s="65" t="n"/>
      <c r="C1865" s="66" t="n"/>
      <c r="D1865" s="67" t="n"/>
      <c r="E1865" s="68" t="n"/>
      <c r="F1865" s="47">
        <f>IF(A1865="","",IF(MIN(H1865,MAX(J1865:K1865))=0,"",MIN(H1865,MAX(J1865:K1865))))</f>
        <v/>
      </c>
      <c r="G1865" s="74" t="n"/>
      <c r="H1865" s="49">
        <f>IF(M1865="","",IFERROR(ROUND(AVERAGE(T1865+M1865*{7,8,9,10,11})/1.21,4),""))</f>
        <v/>
      </c>
      <c r="I1865" s="76" t="n"/>
      <c r="J1865" s="77" t="n"/>
      <c r="K1865" s="74" t="n"/>
      <c r="L1865" s="78" t="n"/>
      <c r="M1865" s="77" t="n"/>
      <c r="N1865" s="53">
        <f>IF(M1865="","",IFERROR(M1865/I1865,""))</f>
        <v/>
      </c>
      <c r="O1865" s="50">
        <f>IF(A1865="","",IFERROR((IF(G1865="",I1865,G1865)-T1865)/M1865,""))</f>
        <v/>
      </c>
      <c r="P1865" s="50">
        <f>IFERROR((I1865/T1865-1)/N1865,"")</f>
        <v/>
      </c>
      <c r="Q1865" s="46">
        <f>IF(OR(T1865="",I1865&lt;T1865),"",IFERROR(R1865/IF(G1865="",I1865,G1865)-1,""))</f>
        <v/>
      </c>
      <c r="R1865" s="48">
        <f>IF($M1865="","",MAX(IF($G1865="",$I1865,$G1865)*(1/1.1),IF($G1865="",$I1865,$G1865)+(R$2*$M1865)))</f>
        <v/>
      </c>
      <c r="S1865" s="49">
        <f>IF($M1865="","",MAX(IF($G1865="",$I1865,$G1865)*(1/1.1),IF($G1865="",$I1865,$G1865)+(S$2*$M1865)))</f>
        <v/>
      </c>
      <c r="T1865" s="82" t="n"/>
      <c r="U1865" s="47">
        <f>IF(OR($M1865="",$T1865=""),"",$T1865+(U$2*$M1865))</f>
        <v/>
      </c>
      <c r="V1865" s="48">
        <f>IF(OR($M1865="",$T1865=""),"",$T1865+(V$2*$M1865))</f>
        <v/>
      </c>
      <c r="W1865" s="48">
        <f>IF(OR($M1865="",$T1865=""),"",$T1865+(W$2*$M1865))</f>
        <v/>
      </c>
      <c r="X1865" s="49">
        <f>IF(OR($M1865="",$T1865=""),"",$T1865+(X$2*$M1865))</f>
        <v/>
      </c>
      <c r="Y1865" s="47">
        <f>IF(OR($M1865="",$T1865=""),"",$T1865+(Y$2*$M1865))</f>
        <v/>
      </c>
      <c r="Z1865" s="49">
        <f>IF(OR($M1865="",$T1865=""),"",$T1865+(Z$2*$M1865))</f>
        <v/>
      </c>
      <c r="AA1865" s="51">
        <f>IF(OR($M1865="",$T1865=""),"",$T1865+(AA$2*$M1865))</f>
        <v/>
      </c>
      <c r="AB1865" s="48">
        <f>IF(OR($M1865="",$T1865=""),"",$T1865+(AB$2*$M1865))</f>
        <v/>
      </c>
      <c r="AC1865" s="48">
        <f>IF(OR($M1865="",$T1865=""),"",$T1865+(AC$2*$M1865))</f>
        <v/>
      </c>
      <c r="AD1865" s="48">
        <f>IF(OR($M1865="",$T1865=""),"",$T1865+(AD$2*$M1865))</f>
        <v/>
      </c>
      <c r="AE1865" s="49">
        <f>IF(OR($M1865="",$T1865=""),"",$T1865+(AE$2*$M1865))</f>
        <v/>
      </c>
      <c r="AF1865" s="52">
        <f>IF(OR(T1865="",I1865&lt;T1865),"",IFERROR(AVERAGE(T1865+M1865*{7,8,9,10,11})/IF(G1865="",I1865,G1865)-1,""))</f>
        <v/>
      </c>
      <c r="AG1865" s="55">
        <f>IF(OR(T1865="",I1865&lt;T1865),"",IFERROR(AF1865/-(R1865/IF(G1865="",I1865,G1865)-1),""))</f>
        <v/>
      </c>
      <c r="AH1865" s="94" t="n"/>
      <c r="AI1865" s="94" t="n"/>
      <c r="AJ1865" s="94" t="n"/>
      <c r="AK1865" s="94" t="n"/>
      <c r="AL1865" s="84" t="n"/>
    </row>
    <row r="1866">
      <c r="A1866" s="64" t="n"/>
      <c r="B1866" s="65" t="n"/>
      <c r="C1866" s="66" t="n"/>
      <c r="D1866" s="67" t="n"/>
      <c r="E1866" s="68" t="n"/>
      <c r="F1866" s="47">
        <f>IF(A1866="","",IF(MIN(H1866,MAX(J1866:K1866))=0,"",MIN(H1866,MAX(J1866:K1866))))</f>
        <v/>
      </c>
      <c r="G1866" s="74" t="n"/>
      <c r="H1866" s="49">
        <f>IF(M1866="","",IFERROR(ROUND(AVERAGE(T1866+M1866*{7,8,9,10,11})/1.21,4),""))</f>
        <v/>
      </c>
      <c r="I1866" s="76" t="n"/>
      <c r="J1866" s="77" t="n"/>
      <c r="K1866" s="74" t="n"/>
      <c r="L1866" s="78" t="n"/>
      <c r="M1866" s="77" t="n"/>
      <c r="N1866" s="53">
        <f>IF(M1866="","",IFERROR(M1866/I1866,""))</f>
        <v/>
      </c>
      <c r="O1866" s="50">
        <f>IF(A1866="","",IFERROR((IF(G1866="",I1866,G1866)-T1866)/M1866,""))</f>
        <v/>
      </c>
      <c r="P1866" s="50">
        <f>IFERROR((I1866/T1866-1)/N1866,"")</f>
        <v/>
      </c>
      <c r="Q1866" s="46">
        <f>IF(OR(T1866="",I1866&lt;T1866),"",IFERROR(R1866/IF(G1866="",I1866,G1866)-1,""))</f>
        <v/>
      </c>
      <c r="R1866" s="48">
        <f>IF($M1866="","",MAX(IF($G1866="",$I1866,$G1866)*(1/1.1),IF($G1866="",$I1866,$G1866)+(R$2*$M1866)))</f>
        <v/>
      </c>
      <c r="S1866" s="49">
        <f>IF($M1866="","",MAX(IF($G1866="",$I1866,$G1866)*(1/1.1),IF($G1866="",$I1866,$G1866)+(S$2*$M1866)))</f>
        <v/>
      </c>
      <c r="T1866" s="82" t="n"/>
      <c r="U1866" s="47">
        <f>IF(OR($M1866="",$T1866=""),"",$T1866+(U$2*$M1866))</f>
        <v/>
      </c>
      <c r="V1866" s="48">
        <f>IF(OR($M1866="",$T1866=""),"",$T1866+(V$2*$M1866))</f>
        <v/>
      </c>
      <c r="W1866" s="48">
        <f>IF(OR($M1866="",$T1866=""),"",$T1866+(W$2*$M1866))</f>
        <v/>
      </c>
      <c r="X1866" s="49">
        <f>IF(OR($M1866="",$T1866=""),"",$T1866+(X$2*$M1866))</f>
        <v/>
      </c>
      <c r="Y1866" s="47">
        <f>IF(OR($M1866="",$T1866=""),"",$T1866+(Y$2*$M1866))</f>
        <v/>
      </c>
      <c r="Z1866" s="49">
        <f>IF(OR($M1866="",$T1866=""),"",$T1866+(Z$2*$M1866))</f>
        <v/>
      </c>
      <c r="AA1866" s="51">
        <f>IF(OR($M1866="",$T1866=""),"",$T1866+(AA$2*$M1866))</f>
        <v/>
      </c>
      <c r="AB1866" s="48">
        <f>IF(OR($M1866="",$T1866=""),"",$T1866+(AB$2*$M1866))</f>
        <v/>
      </c>
      <c r="AC1866" s="48">
        <f>IF(OR($M1866="",$T1866=""),"",$T1866+(AC$2*$M1866))</f>
        <v/>
      </c>
      <c r="AD1866" s="48">
        <f>IF(OR($M1866="",$T1866=""),"",$T1866+(AD$2*$M1866))</f>
        <v/>
      </c>
      <c r="AE1866" s="49">
        <f>IF(OR($M1866="",$T1866=""),"",$T1866+(AE$2*$M1866))</f>
        <v/>
      </c>
      <c r="AF1866" s="52">
        <f>IF(OR(T1866="",I1866&lt;T1866),"",IFERROR(AVERAGE(T1866+M1866*{7,8,9,10,11})/IF(G1866="",I1866,G1866)-1,""))</f>
        <v/>
      </c>
      <c r="AG1866" s="55">
        <f>IF(OR(T1866="",I1866&lt;T1866),"",IFERROR(AF1866/-(R1866/IF(G1866="",I1866,G1866)-1),""))</f>
        <v/>
      </c>
      <c r="AH1866" s="94" t="n"/>
      <c r="AI1866" s="94" t="n"/>
      <c r="AJ1866" s="94" t="n"/>
      <c r="AK1866" s="94" t="n"/>
      <c r="AL1866" s="84" t="n"/>
    </row>
    <row r="1867">
      <c r="A1867" s="64" t="n"/>
      <c r="B1867" s="65" t="n"/>
      <c r="C1867" s="66" t="n"/>
      <c r="D1867" s="67" t="n"/>
      <c r="E1867" s="68" t="n"/>
      <c r="F1867" s="47">
        <f>IF(A1867="","",IF(MIN(H1867,MAX(J1867:K1867))=0,"",MIN(H1867,MAX(J1867:K1867))))</f>
        <v/>
      </c>
      <c r="G1867" s="74" t="n"/>
      <c r="H1867" s="49">
        <f>IF(M1867="","",IFERROR(ROUND(AVERAGE(T1867+M1867*{7,8,9,10,11})/1.21,4),""))</f>
        <v/>
      </c>
      <c r="I1867" s="76" t="n"/>
      <c r="J1867" s="77" t="n"/>
      <c r="K1867" s="74" t="n"/>
      <c r="L1867" s="78" t="n"/>
      <c r="M1867" s="77" t="n"/>
      <c r="N1867" s="53">
        <f>IF(M1867="","",IFERROR(M1867/I1867,""))</f>
        <v/>
      </c>
      <c r="O1867" s="50">
        <f>IF(A1867="","",IFERROR((IF(G1867="",I1867,G1867)-T1867)/M1867,""))</f>
        <v/>
      </c>
      <c r="P1867" s="50">
        <f>IFERROR((I1867/T1867-1)/N1867,"")</f>
        <v/>
      </c>
      <c r="Q1867" s="46">
        <f>IF(OR(T1867="",I1867&lt;T1867),"",IFERROR(R1867/IF(G1867="",I1867,G1867)-1,""))</f>
        <v/>
      </c>
      <c r="R1867" s="48">
        <f>IF($M1867="","",MAX(IF($G1867="",$I1867,$G1867)*(1/1.1),IF($G1867="",$I1867,$G1867)+(R$2*$M1867)))</f>
        <v/>
      </c>
      <c r="S1867" s="49">
        <f>IF($M1867="","",MAX(IF($G1867="",$I1867,$G1867)*(1/1.1),IF($G1867="",$I1867,$G1867)+(S$2*$M1867)))</f>
        <v/>
      </c>
      <c r="T1867" s="82" t="n"/>
      <c r="U1867" s="47">
        <f>IF(OR($M1867="",$T1867=""),"",$T1867+(U$2*$M1867))</f>
        <v/>
      </c>
      <c r="V1867" s="48">
        <f>IF(OR($M1867="",$T1867=""),"",$T1867+(V$2*$M1867))</f>
        <v/>
      </c>
      <c r="W1867" s="48">
        <f>IF(OR($M1867="",$T1867=""),"",$T1867+(W$2*$M1867))</f>
        <v/>
      </c>
      <c r="X1867" s="49">
        <f>IF(OR($M1867="",$T1867=""),"",$T1867+(X$2*$M1867))</f>
        <v/>
      </c>
      <c r="Y1867" s="47">
        <f>IF(OR($M1867="",$T1867=""),"",$T1867+(Y$2*$M1867))</f>
        <v/>
      </c>
      <c r="Z1867" s="49">
        <f>IF(OR($M1867="",$T1867=""),"",$T1867+(Z$2*$M1867))</f>
        <v/>
      </c>
      <c r="AA1867" s="51">
        <f>IF(OR($M1867="",$T1867=""),"",$T1867+(AA$2*$M1867))</f>
        <v/>
      </c>
      <c r="AB1867" s="48">
        <f>IF(OR($M1867="",$T1867=""),"",$T1867+(AB$2*$M1867))</f>
        <v/>
      </c>
      <c r="AC1867" s="48">
        <f>IF(OR($M1867="",$T1867=""),"",$T1867+(AC$2*$M1867))</f>
        <v/>
      </c>
      <c r="AD1867" s="48">
        <f>IF(OR($M1867="",$T1867=""),"",$T1867+(AD$2*$M1867))</f>
        <v/>
      </c>
      <c r="AE1867" s="49">
        <f>IF(OR($M1867="",$T1867=""),"",$T1867+(AE$2*$M1867))</f>
        <v/>
      </c>
      <c r="AF1867" s="52">
        <f>IF(OR(T1867="",I1867&lt;T1867),"",IFERROR(AVERAGE(T1867+M1867*{7,8,9,10,11})/IF(G1867="",I1867,G1867)-1,""))</f>
        <v/>
      </c>
      <c r="AG1867" s="55">
        <f>IF(OR(T1867="",I1867&lt;T1867),"",IFERROR(AF1867/-(R1867/IF(G1867="",I1867,G1867)-1),""))</f>
        <v/>
      </c>
      <c r="AH1867" s="94" t="n"/>
      <c r="AI1867" s="94" t="n"/>
      <c r="AJ1867" s="94" t="n"/>
      <c r="AK1867" s="94" t="n"/>
      <c r="AL1867" s="84" t="n"/>
    </row>
    <row r="1868">
      <c r="A1868" s="64" t="n"/>
      <c r="B1868" s="65" t="n"/>
      <c r="C1868" s="66" t="n"/>
      <c r="D1868" s="67" t="n"/>
      <c r="E1868" s="68" t="n"/>
      <c r="F1868" s="47">
        <f>IF(A1868="","",IF(MIN(H1868,MAX(J1868:K1868))=0,"",MIN(H1868,MAX(J1868:K1868))))</f>
        <v/>
      </c>
      <c r="G1868" s="74" t="n"/>
      <c r="H1868" s="49">
        <f>IF(M1868="","",IFERROR(ROUND(AVERAGE(T1868+M1868*{7,8,9,10,11})/1.21,4),""))</f>
        <v/>
      </c>
      <c r="I1868" s="76" t="n"/>
      <c r="J1868" s="77" t="n"/>
      <c r="K1868" s="74" t="n"/>
      <c r="L1868" s="78" t="n"/>
      <c r="M1868" s="77" t="n"/>
      <c r="N1868" s="53">
        <f>IF(M1868="","",IFERROR(M1868/I1868,""))</f>
        <v/>
      </c>
      <c r="O1868" s="50">
        <f>IF(A1868="","",IFERROR((IF(G1868="",I1868,G1868)-T1868)/M1868,""))</f>
        <v/>
      </c>
      <c r="P1868" s="50">
        <f>IFERROR((I1868/T1868-1)/N1868,"")</f>
        <v/>
      </c>
      <c r="Q1868" s="46">
        <f>IF(OR(T1868="",I1868&lt;T1868),"",IFERROR(R1868/IF(G1868="",I1868,G1868)-1,""))</f>
        <v/>
      </c>
      <c r="R1868" s="48">
        <f>IF($M1868="","",MAX(IF($G1868="",$I1868,$G1868)*(1/1.1),IF($G1868="",$I1868,$G1868)+(R$2*$M1868)))</f>
        <v/>
      </c>
      <c r="S1868" s="49">
        <f>IF($M1868="","",MAX(IF($G1868="",$I1868,$G1868)*(1/1.1),IF($G1868="",$I1868,$G1868)+(S$2*$M1868)))</f>
        <v/>
      </c>
      <c r="T1868" s="82" t="n"/>
      <c r="U1868" s="47">
        <f>IF(OR($M1868="",$T1868=""),"",$T1868+(U$2*$M1868))</f>
        <v/>
      </c>
      <c r="V1868" s="48">
        <f>IF(OR($M1868="",$T1868=""),"",$T1868+(V$2*$M1868))</f>
        <v/>
      </c>
      <c r="W1868" s="48">
        <f>IF(OR($M1868="",$T1868=""),"",$T1868+(W$2*$M1868))</f>
        <v/>
      </c>
      <c r="X1868" s="49">
        <f>IF(OR($M1868="",$T1868=""),"",$T1868+(X$2*$M1868))</f>
        <v/>
      </c>
      <c r="Y1868" s="47">
        <f>IF(OR($M1868="",$T1868=""),"",$T1868+(Y$2*$M1868))</f>
        <v/>
      </c>
      <c r="Z1868" s="49">
        <f>IF(OR($M1868="",$T1868=""),"",$T1868+(Z$2*$M1868))</f>
        <v/>
      </c>
      <c r="AA1868" s="51">
        <f>IF(OR($M1868="",$T1868=""),"",$T1868+(AA$2*$M1868))</f>
        <v/>
      </c>
      <c r="AB1868" s="48">
        <f>IF(OR($M1868="",$T1868=""),"",$T1868+(AB$2*$M1868))</f>
        <v/>
      </c>
      <c r="AC1868" s="48">
        <f>IF(OR($M1868="",$T1868=""),"",$T1868+(AC$2*$M1868))</f>
        <v/>
      </c>
      <c r="AD1868" s="48">
        <f>IF(OR($M1868="",$T1868=""),"",$T1868+(AD$2*$M1868))</f>
        <v/>
      </c>
      <c r="AE1868" s="49">
        <f>IF(OR($M1868="",$T1868=""),"",$T1868+(AE$2*$M1868))</f>
        <v/>
      </c>
      <c r="AF1868" s="52">
        <f>IF(OR(T1868="",I1868&lt;T1868),"",IFERROR(AVERAGE(T1868+M1868*{7,8,9,10,11})/IF(G1868="",I1868,G1868)-1,""))</f>
        <v/>
      </c>
      <c r="AG1868" s="55">
        <f>IF(OR(T1868="",I1868&lt;T1868),"",IFERROR(AF1868/-(R1868/IF(G1868="",I1868,G1868)-1),""))</f>
        <v/>
      </c>
      <c r="AH1868" s="94" t="n"/>
      <c r="AI1868" s="94" t="n"/>
      <c r="AJ1868" s="94" t="n"/>
      <c r="AK1868" s="94" t="n"/>
      <c r="AL1868" s="84" t="n"/>
    </row>
    <row r="1869">
      <c r="A1869" s="64" t="n"/>
      <c r="B1869" s="65" t="n"/>
      <c r="C1869" s="66" t="n"/>
      <c r="D1869" s="67" t="n"/>
      <c r="E1869" s="68" t="n"/>
      <c r="F1869" s="47">
        <f>IF(A1869="","",IF(MIN(H1869,MAX(J1869:K1869))=0,"",MIN(H1869,MAX(J1869:K1869))))</f>
        <v/>
      </c>
      <c r="G1869" s="74" t="n"/>
      <c r="H1869" s="49">
        <f>IF(M1869="","",IFERROR(ROUND(AVERAGE(T1869+M1869*{7,8,9,10,11})/1.21,4),""))</f>
        <v/>
      </c>
      <c r="I1869" s="76" t="n"/>
      <c r="J1869" s="77" t="n"/>
      <c r="K1869" s="74" t="n"/>
      <c r="L1869" s="78" t="n"/>
      <c r="M1869" s="77" t="n"/>
      <c r="N1869" s="53">
        <f>IF(M1869="","",IFERROR(M1869/I1869,""))</f>
        <v/>
      </c>
      <c r="O1869" s="50">
        <f>IF(A1869="","",IFERROR((IF(G1869="",I1869,G1869)-T1869)/M1869,""))</f>
        <v/>
      </c>
      <c r="P1869" s="50">
        <f>IFERROR((I1869/T1869-1)/N1869,"")</f>
        <v/>
      </c>
      <c r="Q1869" s="46">
        <f>IF(OR(T1869="",I1869&lt;T1869),"",IFERROR(R1869/IF(G1869="",I1869,G1869)-1,""))</f>
        <v/>
      </c>
      <c r="R1869" s="48">
        <f>IF($M1869="","",MAX(IF($G1869="",$I1869,$G1869)*(1/1.1),IF($G1869="",$I1869,$G1869)+(R$2*$M1869)))</f>
        <v/>
      </c>
      <c r="S1869" s="49">
        <f>IF($M1869="","",MAX(IF($G1869="",$I1869,$G1869)*(1/1.1),IF($G1869="",$I1869,$G1869)+(S$2*$M1869)))</f>
        <v/>
      </c>
      <c r="T1869" s="82" t="n"/>
      <c r="U1869" s="47">
        <f>IF(OR($M1869="",$T1869=""),"",$T1869+(U$2*$M1869))</f>
        <v/>
      </c>
      <c r="V1869" s="48">
        <f>IF(OR($M1869="",$T1869=""),"",$T1869+(V$2*$M1869))</f>
        <v/>
      </c>
      <c r="W1869" s="48">
        <f>IF(OR($M1869="",$T1869=""),"",$T1869+(W$2*$M1869))</f>
        <v/>
      </c>
      <c r="X1869" s="49">
        <f>IF(OR($M1869="",$T1869=""),"",$T1869+(X$2*$M1869))</f>
        <v/>
      </c>
      <c r="Y1869" s="47">
        <f>IF(OR($M1869="",$T1869=""),"",$T1869+(Y$2*$M1869))</f>
        <v/>
      </c>
      <c r="Z1869" s="49">
        <f>IF(OR($M1869="",$T1869=""),"",$T1869+(Z$2*$M1869))</f>
        <v/>
      </c>
      <c r="AA1869" s="51">
        <f>IF(OR($M1869="",$T1869=""),"",$T1869+(AA$2*$M1869))</f>
        <v/>
      </c>
      <c r="AB1869" s="48">
        <f>IF(OR($M1869="",$T1869=""),"",$T1869+(AB$2*$M1869))</f>
        <v/>
      </c>
      <c r="AC1869" s="48">
        <f>IF(OR($M1869="",$T1869=""),"",$T1869+(AC$2*$M1869))</f>
        <v/>
      </c>
      <c r="AD1869" s="48">
        <f>IF(OR($M1869="",$T1869=""),"",$T1869+(AD$2*$M1869))</f>
        <v/>
      </c>
      <c r="AE1869" s="49">
        <f>IF(OR($M1869="",$T1869=""),"",$T1869+(AE$2*$M1869))</f>
        <v/>
      </c>
      <c r="AF1869" s="52">
        <f>IF(OR(T1869="",I1869&lt;T1869),"",IFERROR(AVERAGE(T1869+M1869*{7,8,9,10,11})/IF(G1869="",I1869,G1869)-1,""))</f>
        <v/>
      </c>
      <c r="AG1869" s="55">
        <f>IF(OR(T1869="",I1869&lt;T1869),"",IFERROR(AF1869/-(R1869/IF(G1869="",I1869,G1869)-1),""))</f>
        <v/>
      </c>
      <c r="AH1869" s="94" t="n"/>
      <c r="AI1869" s="94" t="n"/>
      <c r="AJ1869" s="94" t="n"/>
      <c r="AK1869" s="94" t="n"/>
      <c r="AL1869" s="84" t="n"/>
    </row>
    <row r="1870">
      <c r="A1870" s="64" t="n"/>
      <c r="B1870" s="65" t="n"/>
      <c r="C1870" s="66" t="n"/>
      <c r="D1870" s="67" t="n"/>
      <c r="E1870" s="68" t="n"/>
      <c r="F1870" s="47">
        <f>IF(A1870="","",IF(MIN(H1870,MAX(J1870:K1870))=0,"",MIN(H1870,MAX(J1870:K1870))))</f>
        <v/>
      </c>
      <c r="G1870" s="74" t="n"/>
      <c r="H1870" s="49">
        <f>IF(M1870="","",IFERROR(ROUND(AVERAGE(T1870+M1870*{7,8,9,10,11})/1.21,4),""))</f>
        <v/>
      </c>
      <c r="I1870" s="76" t="n"/>
      <c r="J1870" s="77" t="n"/>
      <c r="K1870" s="74" t="n"/>
      <c r="L1870" s="78" t="n"/>
      <c r="M1870" s="77" t="n"/>
      <c r="N1870" s="53">
        <f>IF(M1870="","",IFERROR(M1870/I1870,""))</f>
        <v/>
      </c>
      <c r="O1870" s="50">
        <f>IF(A1870="","",IFERROR((IF(G1870="",I1870,G1870)-T1870)/M1870,""))</f>
        <v/>
      </c>
      <c r="P1870" s="50">
        <f>IFERROR((I1870/T1870-1)/N1870,"")</f>
        <v/>
      </c>
      <c r="Q1870" s="46">
        <f>IF(OR(T1870="",I1870&lt;T1870),"",IFERROR(R1870/IF(G1870="",I1870,G1870)-1,""))</f>
        <v/>
      </c>
      <c r="R1870" s="48">
        <f>IF($M1870="","",MAX(IF($G1870="",$I1870,$G1870)*(1/1.1),IF($G1870="",$I1870,$G1870)+(R$2*$M1870)))</f>
        <v/>
      </c>
      <c r="S1870" s="49">
        <f>IF($M1870="","",MAX(IF($G1870="",$I1870,$G1870)*(1/1.1),IF($G1870="",$I1870,$G1870)+(S$2*$M1870)))</f>
        <v/>
      </c>
      <c r="T1870" s="82" t="n"/>
      <c r="U1870" s="47">
        <f>IF(OR($M1870="",$T1870=""),"",$T1870+(U$2*$M1870))</f>
        <v/>
      </c>
      <c r="V1870" s="48">
        <f>IF(OR($M1870="",$T1870=""),"",$T1870+(V$2*$M1870))</f>
        <v/>
      </c>
      <c r="W1870" s="48">
        <f>IF(OR($M1870="",$T1870=""),"",$T1870+(W$2*$M1870))</f>
        <v/>
      </c>
      <c r="X1870" s="49">
        <f>IF(OR($M1870="",$T1870=""),"",$T1870+(X$2*$M1870))</f>
        <v/>
      </c>
      <c r="Y1870" s="47">
        <f>IF(OR($M1870="",$T1870=""),"",$T1870+(Y$2*$M1870))</f>
        <v/>
      </c>
      <c r="Z1870" s="49">
        <f>IF(OR($M1870="",$T1870=""),"",$T1870+(Z$2*$M1870))</f>
        <v/>
      </c>
      <c r="AA1870" s="51">
        <f>IF(OR($M1870="",$T1870=""),"",$T1870+(AA$2*$M1870))</f>
        <v/>
      </c>
      <c r="AB1870" s="48">
        <f>IF(OR($M1870="",$T1870=""),"",$T1870+(AB$2*$M1870))</f>
        <v/>
      </c>
      <c r="AC1870" s="48">
        <f>IF(OR($M1870="",$T1870=""),"",$T1870+(AC$2*$M1870))</f>
        <v/>
      </c>
      <c r="AD1870" s="48">
        <f>IF(OR($M1870="",$T1870=""),"",$T1870+(AD$2*$M1870))</f>
        <v/>
      </c>
      <c r="AE1870" s="49">
        <f>IF(OR($M1870="",$T1870=""),"",$T1870+(AE$2*$M1870))</f>
        <v/>
      </c>
      <c r="AF1870" s="52">
        <f>IF(OR(T1870="",I1870&lt;T1870),"",IFERROR(AVERAGE(T1870+M1870*{7,8,9,10,11})/IF(G1870="",I1870,G1870)-1,""))</f>
        <v/>
      </c>
      <c r="AG1870" s="55">
        <f>IF(OR(T1870="",I1870&lt;T1870),"",IFERROR(AF1870/-(R1870/IF(G1870="",I1870,G1870)-1),""))</f>
        <v/>
      </c>
      <c r="AH1870" s="94" t="n"/>
      <c r="AI1870" s="94" t="n"/>
      <c r="AJ1870" s="94" t="n"/>
      <c r="AK1870" s="94" t="n"/>
      <c r="AL1870" s="84" t="n"/>
    </row>
    <row r="1871">
      <c r="A1871" s="64" t="n"/>
      <c r="B1871" s="65" t="n"/>
      <c r="C1871" s="66" t="n"/>
      <c r="D1871" s="67" t="n"/>
      <c r="E1871" s="68" t="n"/>
      <c r="F1871" s="47">
        <f>IF(A1871="","",IF(MIN(H1871,MAX(J1871:K1871))=0,"",MIN(H1871,MAX(J1871:K1871))))</f>
        <v/>
      </c>
      <c r="G1871" s="74" t="n"/>
      <c r="H1871" s="49">
        <f>IF(M1871="","",IFERROR(ROUND(AVERAGE(T1871+M1871*{7,8,9,10,11})/1.21,4),""))</f>
        <v/>
      </c>
      <c r="I1871" s="76" t="n"/>
      <c r="J1871" s="77" t="n"/>
      <c r="K1871" s="74" t="n"/>
      <c r="L1871" s="78" t="n"/>
      <c r="M1871" s="77" t="n"/>
      <c r="N1871" s="53">
        <f>IF(M1871="","",IFERROR(M1871/I1871,""))</f>
        <v/>
      </c>
      <c r="O1871" s="50">
        <f>IF(A1871="","",IFERROR((IF(G1871="",I1871,G1871)-T1871)/M1871,""))</f>
        <v/>
      </c>
      <c r="P1871" s="50">
        <f>IFERROR((I1871/T1871-1)/N1871,"")</f>
        <v/>
      </c>
      <c r="Q1871" s="46">
        <f>IF(OR(T1871="",I1871&lt;T1871),"",IFERROR(R1871/IF(G1871="",I1871,G1871)-1,""))</f>
        <v/>
      </c>
      <c r="R1871" s="48">
        <f>IF($M1871="","",MAX(IF($G1871="",$I1871,$G1871)*(1/1.1),IF($G1871="",$I1871,$G1871)+(R$2*$M1871)))</f>
        <v/>
      </c>
      <c r="S1871" s="49">
        <f>IF($M1871="","",MAX(IF($G1871="",$I1871,$G1871)*(1/1.1),IF($G1871="",$I1871,$G1871)+(S$2*$M1871)))</f>
        <v/>
      </c>
      <c r="T1871" s="82" t="n"/>
      <c r="U1871" s="47">
        <f>IF(OR($M1871="",$T1871=""),"",$T1871+(U$2*$M1871))</f>
        <v/>
      </c>
      <c r="V1871" s="48">
        <f>IF(OR($M1871="",$T1871=""),"",$T1871+(V$2*$M1871))</f>
        <v/>
      </c>
      <c r="W1871" s="48">
        <f>IF(OR($M1871="",$T1871=""),"",$T1871+(W$2*$M1871))</f>
        <v/>
      </c>
      <c r="X1871" s="49">
        <f>IF(OR($M1871="",$T1871=""),"",$T1871+(X$2*$M1871))</f>
        <v/>
      </c>
      <c r="Y1871" s="47">
        <f>IF(OR($M1871="",$T1871=""),"",$T1871+(Y$2*$M1871))</f>
        <v/>
      </c>
      <c r="Z1871" s="49">
        <f>IF(OR($M1871="",$T1871=""),"",$T1871+(Z$2*$M1871))</f>
        <v/>
      </c>
      <c r="AA1871" s="51">
        <f>IF(OR($M1871="",$T1871=""),"",$T1871+(AA$2*$M1871))</f>
        <v/>
      </c>
      <c r="AB1871" s="48">
        <f>IF(OR($M1871="",$T1871=""),"",$T1871+(AB$2*$M1871))</f>
        <v/>
      </c>
      <c r="AC1871" s="48">
        <f>IF(OR($M1871="",$T1871=""),"",$T1871+(AC$2*$M1871))</f>
        <v/>
      </c>
      <c r="AD1871" s="48">
        <f>IF(OR($M1871="",$T1871=""),"",$T1871+(AD$2*$M1871))</f>
        <v/>
      </c>
      <c r="AE1871" s="49">
        <f>IF(OR($M1871="",$T1871=""),"",$T1871+(AE$2*$M1871))</f>
        <v/>
      </c>
      <c r="AF1871" s="52">
        <f>IF(OR(T1871="",I1871&lt;T1871),"",IFERROR(AVERAGE(T1871+M1871*{7,8,9,10,11})/IF(G1871="",I1871,G1871)-1,""))</f>
        <v/>
      </c>
      <c r="AG1871" s="55">
        <f>IF(OR(T1871="",I1871&lt;T1871),"",IFERROR(AF1871/-(R1871/IF(G1871="",I1871,G1871)-1),""))</f>
        <v/>
      </c>
      <c r="AH1871" s="94" t="n"/>
      <c r="AI1871" s="94" t="n"/>
      <c r="AJ1871" s="94" t="n"/>
      <c r="AK1871" s="94" t="n"/>
      <c r="AL1871" s="84" t="n"/>
    </row>
    <row r="1872">
      <c r="A1872" s="64" t="n"/>
      <c r="B1872" s="65" t="n"/>
      <c r="C1872" s="66" t="n"/>
      <c r="D1872" s="67" t="n"/>
      <c r="E1872" s="68" t="n"/>
      <c r="F1872" s="47">
        <f>IF(A1872="","",IF(MIN(H1872,MAX(J1872:K1872))=0,"",MIN(H1872,MAX(J1872:K1872))))</f>
        <v/>
      </c>
      <c r="G1872" s="74" t="n"/>
      <c r="H1872" s="49">
        <f>IF(M1872="","",IFERROR(ROUND(AVERAGE(T1872+M1872*{7,8,9,10,11})/1.21,4),""))</f>
        <v/>
      </c>
      <c r="I1872" s="76" t="n"/>
      <c r="J1872" s="77" t="n"/>
      <c r="K1872" s="74" t="n"/>
      <c r="L1872" s="78" t="n"/>
      <c r="M1872" s="77" t="n"/>
      <c r="N1872" s="53">
        <f>IF(M1872="","",IFERROR(M1872/I1872,""))</f>
        <v/>
      </c>
      <c r="O1872" s="50">
        <f>IF(A1872="","",IFERROR((IF(G1872="",I1872,G1872)-T1872)/M1872,""))</f>
        <v/>
      </c>
      <c r="P1872" s="50">
        <f>IFERROR((I1872/T1872-1)/N1872,"")</f>
        <v/>
      </c>
      <c r="Q1872" s="46">
        <f>IF(OR(T1872="",I1872&lt;T1872),"",IFERROR(R1872/IF(G1872="",I1872,G1872)-1,""))</f>
        <v/>
      </c>
      <c r="R1872" s="48">
        <f>IF($M1872="","",MAX(IF($G1872="",$I1872,$G1872)*(1/1.1),IF($G1872="",$I1872,$G1872)+(R$2*$M1872)))</f>
        <v/>
      </c>
      <c r="S1872" s="49">
        <f>IF($M1872="","",MAX(IF($G1872="",$I1872,$G1872)*(1/1.1),IF($G1872="",$I1872,$G1872)+(S$2*$M1872)))</f>
        <v/>
      </c>
      <c r="T1872" s="82" t="n"/>
      <c r="U1872" s="47">
        <f>IF(OR($M1872="",$T1872=""),"",$T1872+(U$2*$M1872))</f>
        <v/>
      </c>
      <c r="V1872" s="48">
        <f>IF(OR($M1872="",$T1872=""),"",$T1872+(V$2*$M1872))</f>
        <v/>
      </c>
      <c r="W1872" s="48">
        <f>IF(OR($M1872="",$T1872=""),"",$T1872+(W$2*$M1872))</f>
        <v/>
      </c>
      <c r="X1872" s="49">
        <f>IF(OR($M1872="",$T1872=""),"",$T1872+(X$2*$M1872))</f>
        <v/>
      </c>
      <c r="Y1872" s="47">
        <f>IF(OR($M1872="",$T1872=""),"",$T1872+(Y$2*$M1872))</f>
        <v/>
      </c>
      <c r="Z1872" s="49">
        <f>IF(OR($M1872="",$T1872=""),"",$T1872+(Z$2*$M1872))</f>
        <v/>
      </c>
      <c r="AA1872" s="51">
        <f>IF(OR($M1872="",$T1872=""),"",$T1872+(AA$2*$M1872))</f>
        <v/>
      </c>
      <c r="AB1872" s="48">
        <f>IF(OR($M1872="",$T1872=""),"",$T1872+(AB$2*$M1872))</f>
        <v/>
      </c>
      <c r="AC1872" s="48">
        <f>IF(OR($M1872="",$T1872=""),"",$T1872+(AC$2*$M1872))</f>
        <v/>
      </c>
      <c r="AD1872" s="48">
        <f>IF(OR($M1872="",$T1872=""),"",$T1872+(AD$2*$M1872))</f>
        <v/>
      </c>
      <c r="AE1872" s="49">
        <f>IF(OR($M1872="",$T1872=""),"",$T1872+(AE$2*$M1872))</f>
        <v/>
      </c>
      <c r="AF1872" s="52">
        <f>IF(OR(T1872="",I1872&lt;T1872),"",IFERROR(AVERAGE(T1872+M1872*{7,8,9,10,11})/IF(G1872="",I1872,G1872)-1,""))</f>
        <v/>
      </c>
      <c r="AG1872" s="55">
        <f>IF(OR(T1872="",I1872&lt;T1872),"",IFERROR(AF1872/-(R1872/IF(G1872="",I1872,G1872)-1),""))</f>
        <v/>
      </c>
      <c r="AH1872" s="94" t="n"/>
      <c r="AI1872" s="94" t="n"/>
      <c r="AJ1872" s="94" t="n"/>
      <c r="AK1872" s="94" t="n"/>
      <c r="AL1872" s="84" t="n"/>
    </row>
    <row r="1873">
      <c r="A1873" s="64" t="n"/>
      <c r="B1873" s="65" t="n"/>
      <c r="C1873" s="66" t="n"/>
      <c r="D1873" s="67" t="n"/>
      <c r="E1873" s="68" t="n"/>
      <c r="F1873" s="47">
        <f>IF(A1873="","",IF(MIN(H1873,MAX(J1873:K1873))=0,"",MIN(H1873,MAX(J1873:K1873))))</f>
        <v/>
      </c>
      <c r="G1873" s="74" t="n"/>
      <c r="H1873" s="49">
        <f>IF(M1873="","",IFERROR(ROUND(AVERAGE(T1873+M1873*{7,8,9,10,11})/1.21,4),""))</f>
        <v/>
      </c>
      <c r="I1873" s="76" t="n"/>
      <c r="J1873" s="77" t="n"/>
      <c r="K1873" s="74" t="n"/>
      <c r="L1873" s="78" t="n"/>
      <c r="M1873" s="77" t="n"/>
      <c r="N1873" s="53">
        <f>IF(M1873="","",IFERROR(M1873/I1873,""))</f>
        <v/>
      </c>
      <c r="O1873" s="50">
        <f>IF(A1873="","",IFERROR((IF(G1873="",I1873,G1873)-T1873)/M1873,""))</f>
        <v/>
      </c>
      <c r="P1873" s="50">
        <f>IFERROR((I1873/T1873-1)/N1873,"")</f>
        <v/>
      </c>
      <c r="Q1873" s="46">
        <f>IF(OR(T1873="",I1873&lt;T1873),"",IFERROR(R1873/IF(G1873="",I1873,G1873)-1,""))</f>
        <v/>
      </c>
      <c r="R1873" s="48">
        <f>IF($M1873="","",MAX(IF($G1873="",$I1873,$G1873)*(1/1.1),IF($G1873="",$I1873,$G1873)+(R$2*$M1873)))</f>
        <v/>
      </c>
      <c r="S1873" s="49">
        <f>IF($M1873="","",MAX(IF($G1873="",$I1873,$G1873)*(1/1.1),IF($G1873="",$I1873,$G1873)+(S$2*$M1873)))</f>
        <v/>
      </c>
      <c r="T1873" s="82" t="n"/>
      <c r="U1873" s="47">
        <f>IF(OR($M1873="",$T1873=""),"",$T1873+(U$2*$M1873))</f>
        <v/>
      </c>
      <c r="V1873" s="48">
        <f>IF(OR($M1873="",$T1873=""),"",$T1873+(V$2*$M1873))</f>
        <v/>
      </c>
      <c r="W1873" s="48">
        <f>IF(OR($M1873="",$T1873=""),"",$T1873+(W$2*$M1873))</f>
        <v/>
      </c>
      <c r="X1873" s="49">
        <f>IF(OR($M1873="",$T1873=""),"",$T1873+(X$2*$M1873))</f>
        <v/>
      </c>
      <c r="Y1873" s="47">
        <f>IF(OR($M1873="",$T1873=""),"",$T1873+(Y$2*$M1873))</f>
        <v/>
      </c>
      <c r="Z1873" s="49">
        <f>IF(OR($M1873="",$T1873=""),"",$T1873+(Z$2*$M1873))</f>
        <v/>
      </c>
      <c r="AA1873" s="51">
        <f>IF(OR($M1873="",$T1873=""),"",$T1873+(AA$2*$M1873))</f>
        <v/>
      </c>
      <c r="AB1873" s="48">
        <f>IF(OR($M1873="",$T1873=""),"",$T1873+(AB$2*$M1873))</f>
        <v/>
      </c>
      <c r="AC1873" s="48">
        <f>IF(OR($M1873="",$T1873=""),"",$T1873+(AC$2*$M1873))</f>
        <v/>
      </c>
      <c r="AD1873" s="48">
        <f>IF(OR($M1873="",$T1873=""),"",$T1873+(AD$2*$M1873))</f>
        <v/>
      </c>
      <c r="AE1873" s="49">
        <f>IF(OR($M1873="",$T1873=""),"",$T1873+(AE$2*$M1873))</f>
        <v/>
      </c>
      <c r="AF1873" s="52">
        <f>IF(OR(T1873="",I1873&lt;T1873),"",IFERROR(AVERAGE(T1873+M1873*{7,8,9,10,11})/IF(G1873="",I1873,G1873)-1,""))</f>
        <v/>
      </c>
      <c r="AG1873" s="55">
        <f>IF(OR(T1873="",I1873&lt;T1873),"",IFERROR(AF1873/-(R1873/IF(G1873="",I1873,G1873)-1),""))</f>
        <v/>
      </c>
      <c r="AH1873" s="94" t="n"/>
      <c r="AI1873" s="94" t="n"/>
      <c r="AJ1873" s="94" t="n"/>
      <c r="AK1873" s="94" t="n"/>
      <c r="AL1873" s="84" t="n"/>
    </row>
    <row r="1874">
      <c r="A1874" s="64" t="n"/>
      <c r="B1874" s="65" t="n"/>
      <c r="C1874" s="66" t="n"/>
      <c r="D1874" s="67" t="n"/>
      <c r="E1874" s="68" t="n"/>
      <c r="F1874" s="47">
        <f>IF(A1874="","",IF(MIN(H1874,MAX(J1874:K1874))=0,"",MIN(H1874,MAX(J1874:K1874))))</f>
        <v/>
      </c>
      <c r="G1874" s="74" t="n"/>
      <c r="H1874" s="49">
        <f>IF(M1874="","",IFERROR(ROUND(AVERAGE(T1874+M1874*{7,8,9,10,11})/1.21,4),""))</f>
        <v/>
      </c>
      <c r="I1874" s="76" t="n"/>
      <c r="J1874" s="77" t="n"/>
      <c r="K1874" s="74" t="n"/>
      <c r="L1874" s="78" t="n"/>
      <c r="M1874" s="77" t="n"/>
      <c r="N1874" s="53">
        <f>IF(M1874="","",IFERROR(M1874/I1874,""))</f>
        <v/>
      </c>
      <c r="O1874" s="50">
        <f>IF(A1874="","",IFERROR((IF(G1874="",I1874,G1874)-T1874)/M1874,""))</f>
        <v/>
      </c>
      <c r="P1874" s="50">
        <f>IFERROR((I1874/T1874-1)/N1874,"")</f>
        <v/>
      </c>
      <c r="Q1874" s="46">
        <f>IF(OR(T1874="",I1874&lt;T1874),"",IFERROR(R1874/IF(G1874="",I1874,G1874)-1,""))</f>
        <v/>
      </c>
      <c r="R1874" s="48">
        <f>IF($M1874="","",MAX(IF($G1874="",$I1874,$G1874)*(1/1.1),IF($G1874="",$I1874,$G1874)+(R$2*$M1874)))</f>
        <v/>
      </c>
      <c r="S1874" s="49">
        <f>IF($M1874="","",MAX(IF($G1874="",$I1874,$G1874)*(1/1.1),IF($G1874="",$I1874,$G1874)+(S$2*$M1874)))</f>
        <v/>
      </c>
      <c r="T1874" s="82" t="n"/>
      <c r="U1874" s="47">
        <f>IF(OR($M1874="",$T1874=""),"",$T1874+(U$2*$M1874))</f>
        <v/>
      </c>
      <c r="V1874" s="48">
        <f>IF(OR($M1874="",$T1874=""),"",$T1874+(V$2*$M1874))</f>
        <v/>
      </c>
      <c r="W1874" s="48">
        <f>IF(OR($M1874="",$T1874=""),"",$T1874+(W$2*$M1874))</f>
        <v/>
      </c>
      <c r="X1874" s="49">
        <f>IF(OR($M1874="",$T1874=""),"",$T1874+(X$2*$M1874))</f>
        <v/>
      </c>
      <c r="Y1874" s="47">
        <f>IF(OR($M1874="",$T1874=""),"",$T1874+(Y$2*$M1874))</f>
        <v/>
      </c>
      <c r="Z1874" s="49">
        <f>IF(OR($M1874="",$T1874=""),"",$T1874+(Z$2*$M1874))</f>
        <v/>
      </c>
      <c r="AA1874" s="51">
        <f>IF(OR($M1874="",$T1874=""),"",$T1874+(AA$2*$M1874))</f>
        <v/>
      </c>
      <c r="AB1874" s="48">
        <f>IF(OR($M1874="",$T1874=""),"",$T1874+(AB$2*$M1874))</f>
        <v/>
      </c>
      <c r="AC1874" s="48">
        <f>IF(OR($M1874="",$T1874=""),"",$T1874+(AC$2*$M1874))</f>
        <v/>
      </c>
      <c r="AD1874" s="48">
        <f>IF(OR($M1874="",$T1874=""),"",$T1874+(AD$2*$M1874))</f>
        <v/>
      </c>
      <c r="AE1874" s="49">
        <f>IF(OR($M1874="",$T1874=""),"",$T1874+(AE$2*$M1874))</f>
        <v/>
      </c>
      <c r="AF1874" s="52">
        <f>IF(OR(T1874="",I1874&lt;T1874),"",IFERROR(AVERAGE(T1874+M1874*{7,8,9,10,11})/IF(G1874="",I1874,G1874)-1,""))</f>
        <v/>
      </c>
      <c r="AG1874" s="55">
        <f>IF(OR(T1874="",I1874&lt;T1874),"",IFERROR(AF1874/-(R1874/IF(G1874="",I1874,G1874)-1),""))</f>
        <v/>
      </c>
      <c r="AH1874" s="94" t="n"/>
      <c r="AI1874" s="94" t="n"/>
      <c r="AJ1874" s="94" t="n"/>
      <c r="AK1874" s="94" t="n"/>
      <c r="AL1874" s="84" t="n"/>
    </row>
    <row r="1875">
      <c r="A1875" s="64" t="n"/>
      <c r="B1875" s="65" t="n"/>
      <c r="C1875" s="66" t="n"/>
      <c r="D1875" s="67" t="n"/>
      <c r="E1875" s="68" t="n"/>
      <c r="F1875" s="47">
        <f>IF(A1875="","",IF(MIN(H1875,MAX(J1875:K1875))=0,"",MIN(H1875,MAX(J1875:K1875))))</f>
        <v/>
      </c>
      <c r="G1875" s="74" t="n"/>
      <c r="H1875" s="49">
        <f>IF(M1875="","",IFERROR(ROUND(AVERAGE(T1875+M1875*{7,8,9,10,11})/1.21,4),""))</f>
        <v/>
      </c>
      <c r="I1875" s="76" t="n"/>
      <c r="J1875" s="77" t="n"/>
      <c r="K1875" s="74" t="n"/>
      <c r="L1875" s="78" t="n"/>
      <c r="M1875" s="77" t="n"/>
      <c r="N1875" s="53">
        <f>IF(M1875="","",IFERROR(M1875/I1875,""))</f>
        <v/>
      </c>
      <c r="O1875" s="50">
        <f>IF(A1875="","",IFERROR((IF(G1875="",I1875,G1875)-T1875)/M1875,""))</f>
        <v/>
      </c>
      <c r="P1875" s="50">
        <f>IFERROR((I1875/T1875-1)/N1875,"")</f>
        <v/>
      </c>
      <c r="Q1875" s="46">
        <f>IF(OR(T1875="",I1875&lt;T1875),"",IFERROR(R1875/IF(G1875="",I1875,G1875)-1,""))</f>
        <v/>
      </c>
      <c r="R1875" s="48">
        <f>IF($M1875="","",MAX(IF($G1875="",$I1875,$G1875)*(1/1.1),IF($G1875="",$I1875,$G1875)+(R$2*$M1875)))</f>
        <v/>
      </c>
      <c r="S1875" s="49">
        <f>IF($M1875="","",MAX(IF($G1875="",$I1875,$G1875)*(1/1.1),IF($G1875="",$I1875,$G1875)+(S$2*$M1875)))</f>
        <v/>
      </c>
      <c r="T1875" s="82" t="n"/>
      <c r="U1875" s="47">
        <f>IF(OR($M1875="",$T1875=""),"",$T1875+(U$2*$M1875))</f>
        <v/>
      </c>
      <c r="V1875" s="48">
        <f>IF(OR($M1875="",$T1875=""),"",$T1875+(V$2*$M1875))</f>
        <v/>
      </c>
      <c r="W1875" s="48">
        <f>IF(OR($M1875="",$T1875=""),"",$T1875+(W$2*$M1875))</f>
        <v/>
      </c>
      <c r="X1875" s="49">
        <f>IF(OR($M1875="",$T1875=""),"",$T1875+(X$2*$M1875))</f>
        <v/>
      </c>
      <c r="Y1875" s="47">
        <f>IF(OR($M1875="",$T1875=""),"",$T1875+(Y$2*$M1875))</f>
        <v/>
      </c>
      <c r="Z1875" s="49">
        <f>IF(OR($M1875="",$T1875=""),"",$T1875+(Z$2*$M1875))</f>
        <v/>
      </c>
      <c r="AA1875" s="51">
        <f>IF(OR($M1875="",$T1875=""),"",$T1875+(AA$2*$M1875))</f>
        <v/>
      </c>
      <c r="AB1875" s="48">
        <f>IF(OR($M1875="",$T1875=""),"",$T1875+(AB$2*$M1875))</f>
        <v/>
      </c>
      <c r="AC1875" s="48">
        <f>IF(OR($M1875="",$T1875=""),"",$T1875+(AC$2*$M1875))</f>
        <v/>
      </c>
      <c r="AD1875" s="48">
        <f>IF(OR($M1875="",$T1875=""),"",$T1875+(AD$2*$M1875))</f>
        <v/>
      </c>
      <c r="AE1875" s="49">
        <f>IF(OR($M1875="",$T1875=""),"",$T1875+(AE$2*$M1875))</f>
        <v/>
      </c>
      <c r="AF1875" s="52">
        <f>IF(OR(T1875="",I1875&lt;T1875),"",IFERROR(AVERAGE(T1875+M1875*{7,8,9,10,11})/IF(G1875="",I1875,G1875)-1,""))</f>
        <v/>
      </c>
      <c r="AG1875" s="55">
        <f>IF(OR(T1875="",I1875&lt;T1875),"",IFERROR(AF1875/-(R1875/IF(G1875="",I1875,G1875)-1),""))</f>
        <v/>
      </c>
      <c r="AH1875" s="94" t="n"/>
      <c r="AI1875" s="94" t="n"/>
      <c r="AJ1875" s="94" t="n"/>
      <c r="AK1875" s="94" t="n"/>
      <c r="AL1875" s="84" t="n"/>
    </row>
    <row r="1876">
      <c r="A1876" s="64" t="n"/>
      <c r="B1876" s="65" t="n"/>
      <c r="C1876" s="66" t="n"/>
      <c r="D1876" s="67" t="n"/>
      <c r="E1876" s="68" t="n"/>
      <c r="F1876" s="47">
        <f>IF(A1876="","",IF(MIN(H1876,MAX(J1876:K1876))=0,"",MIN(H1876,MAX(J1876:K1876))))</f>
        <v/>
      </c>
      <c r="G1876" s="74" t="n"/>
      <c r="H1876" s="49">
        <f>IF(M1876="","",IFERROR(ROUND(AVERAGE(T1876+M1876*{7,8,9,10,11})/1.21,4),""))</f>
        <v/>
      </c>
      <c r="I1876" s="76" t="n"/>
      <c r="J1876" s="77" t="n"/>
      <c r="K1876" s="74" t="n"/>
      <c r="L1876" s="78" t="n"/>
      <c r="M1876" s="77" t="n"/>
      <c r="N1876" s="53">
        <f>IF(M1876="","",IFERROR(M1876/I1876,""))</f>
        <v/>
      </c>
      <c r="O1876" s="50">
        <f>IF(A1876="","",IFERROR((IF(G1876="",I1876,G1876)-T1876)/M1876,""))</f>
        <v/>
      </c>
      <c r="P1876" s="50">
        <f>IFERROR((I1876/T1876-1)/N1876,"")</f>
        <v/>
      </c>
      <c r="Q1876" s="46">
        <f>IF(OR(T1876="",I1876&lt;T1876),"",IFERROR(R1876/IF(G1876="",I1876,G1876)-1,""))</f>
        <v/>
      </c>
      <c r="R1876" s="48">
        <f>IF($M1876="","",MAX(IF($G1876="",$I1876,$G1876)*(1/1.1),IF($G1876="",$I1876,$G1876)+(R$2*$M1876)))</f>
        <v/>
      </c>
      <c r="S1876" s="49">
        <f>IF($M1876="","",MAX(IF($G1876="",$I1876,$G1876)*(1/1.1),IF($G1876="",$I1876,$G1876)+(S$2*$M1876)))</f>
        <v/>
      </c>
      <c r="T1876" s="82" t="n"/>
      <c r="U1876" s="47">
        <f>IF(OR($M1876="",$T1876=""),"",$T1876+(U$2*$M1876))</f>
        <v/>
      </c>
      <c r="V1876" s="48">
        <f>IF(OR($M1876="",$T1876=""),"",$T1876+(V$2*$M1876))</f>
        <v/>
      </c>
      <c r="W1876" s="48">
        <f>IF(OR($M1876="",$T1876=""),"",$T1876+(W$2*$M1876))</f>
        <v/>
      </c>
      <c r="X1876" s="49">
        <f>IF(OR($M1876="",$T1876=""),"",$T1876+(X$2*$M1876))</f>
        <v/>
      </c>
      <c r="Y1876" s="47">
        <f>IF(OR($M1876="",$T1876=""),"",$T1876+(Y$2*$M1876))</f>
        <v/>
      </c>
      <c r="Z1876" s="49">
        <f>IF(OR($M1876="",$T1876=""),"",$T1876+(Z$2*$M1876))</f>
        <v/>
      </c>
      <c r="AA1876" s="51">
        <f>IF(OR($M1876="",$T1876=""),"",$T1876+(AA$2*$M1876))</f>
        <v/>
      </c>
      <c r="AB1876" s="48">
        <f>IF(OR($M1876="",$T1876=""),"",$T1876+(AB$2*$M1876))</f>
        <v/>
      </c>
      <c r="AC1876" s="48">
        <f>IF(OR($M1876="",$T1876=""),"",$T1876+(AC$2*$M1876))</f>
        <v/>
      </c>
      <c r="AD1876" s="48">
        <f>IF(OR($M1876="",$T1876=""),"",$T1876+(AD$2*$M1876))</f>
        <v/>
      </c>
      <c r="AE1876" s="49">
        <f>IF(OR($M1876="",$T1876=""),"",$T1876+(AE$2*$M1876))</f>
        <v/>
      </c>
      <c r="AF1876" s="52">
        <f>IF(OR(T1876="",I1876&lt;T1876),"",IFERROR(AVERAGE(T1876+M1876*{7,8,9,10,11})/IF(G1876="",I1876,G1876)-1,""))</f>
        <v/>
      </c>
      <c r="AG1876" s="55">
        <f>IF(OR(T1876="",I1876&lt;T1876),"",IFERROR(AF1876/-(R1876/IF(G1876="",I1876,G1876)-1),""))</f>
        <v/>
      </c>
      <c r="AH1876" s="94" t="n"/>
      <c r="AI1876" s="94" t="n"/>
      <c r="AJ1876" s="94" t="n"/>
      <c r="AK1876" s="94" t="n"/>
      <c r="AL1876" s="84" t="n"/>
    </row>
    <row r="1877">
      <c r="A1877" s="64" t="n"/>
      <c r="B1877" s="65" t="n"/>
      <c r="C1877" s="66" t="n"/>
      <c r="D1877" s="67" t="n"/>
      <c r="E1877" s="68" t="n"/>
      <c r="F1877" s="47">
        <f>IF(A1877="","",IF(MIN(H1877,MAX(J1877:K1877))=0,"",MIN(H1877,MAX(J1877:K1877))))</f>
        <v/>
      </c>
      <c r="G1877" s="74" t="n"/>
      <c r="H1877" s="49">
        <f>IF(M1877="","",IFERROR(ROUND(AVERAGE(T1877+M1877*{7,8,9,10,11})/1.21,4),""))</f>
        <v/>
      </c>
      <c r="I1877" s="76" t="n"/>
      <c r="J1877" s="77" t="n"/>
      <c r="K1877" s="74" t="n"/>
      <c r="L1877" s="78" t="n"/>
      <c r="M1877" s="77" t="n"/>
      <c r="N1877" s="53">
        <f>IF(M1877="","",IFERROR(M1877/I1877,""))</f>
        <v/>
      </c>
      <c r="O1877" s="50">
        <f>IF(A1877="","",IFERROR((IF(G1877="",I1877,G1877)-T1877)/M1877,""))</f>
        <v/>
      </c>
      <c r="P1877" s="50">
        <f>IFERROR((I1877/T1877-1)/N1877,"")</f>
        <v/>
      </c>
      <c r="Q1877" s="46">
        <f>IF(OR(T1877="",I1877&lt;T1877),"",IFERROR(R1877/IF(G1877="",I1877,G1877)-1,""))</f>
        <v/>
      </c>
      <c r="R1877" s="48">
        <f>IF($M1877="","",MAX(IF($G1877="",$I1877,$G1877)*(1/1.1),IF($G1877="",$I1877,$G1877)+(R$2*$M1877)))</f>
        <v/>
      </c>
      <c r="S1877" s="49">
        <f>IF($M1877="","",MAX(IF($G1877="",$I1877,$G1877)*(1/1.1),IF($G1877="",$I1877,$G1877)+(S$2*$M1877)))</f>
        <v/>
      </c>
      <c r="T1877" s="82" t="n"/>
      <c r="U1877" s="47">
        <f>IF(OR($M1877="",$T1877=""),"",$T1877+(U$2*$M1877))</f>
        <v/>
      </c>
      <c r="V1877" s="48">
        <f>IF(OR($M1877="",$T1877=""),"",$T1877+(V$2*$M1877))</f>
        <v/>
      </c>
      <c r="W1877" s="48">
        <f>IF(OR($M1877="",$T1877=""),"",$T1877+(W$2*$M1877))</f>
        <v/>
      </c>
      <c r="X1877" s="49">
        <f>IF(OR($M1877="",$T1877=""),"",$T1877+(X$2*$M1877))</f>
        <v/>
      </c>
      <c r="Y1877" s="47">
        <f>IF(OR($M1877="",$T1877=""),"",$T1877+(Y$2*$M1877))</f>
        <v/>
      </c>
      <c r="Z1877" s="49">
        <f>IF(OR($M1877="",$T1877=""),"",$T1877+(Z$2*$M1877))</f>
        <v/>
      </c>
      <c r="AA1877" s="51">
        <f>IF(OR($M1877="",$T1877=""),"",$T1877+(AA$2*$M1877))</f>
        <v/>
      </c>
      <c r="AB1877" s="48">
        <f>IF(OR($M1877="",$T1877=""),"",$T1877+(AB$2*$M1877))</f>
        <v/>
      </c>
      <c r="AC1877" s="48">
        <f>IF(OR($M1877="",$T1877=""),"",$T1877+(AC$2*$M1877))</f>
        <v/>
      </c>
      <c r="AD1877" s="48">
        <f>IF(OR($M1877="",$T1877=""),"",$T1877+(AD$2*$M1877))</f>
        <v/>
      </c>
      <c r="AE1877" s="49">
        <f>IF(OR($M1877="",$T1877=""),"",$T1877+(AE$2*$M1877))</f>
        <v/>
      </c>
      <c r="AF1877" s="52">
        <f>IF(OR(T1877="",I1877&lt;T1877),"",IFERROR(AVERAGE(T1877+M1877*{7,8,9,10,11})/IF(G1877="",I1877,G1877)-1,""))</f>
        <v/>
      </c>
      <c r="AG1877" s="55">
        <f>IF(OR(T1877="",I1877&lt;T1877),"",IFERROR(AF1877/-(R1877/IF(G1877="",I1877,G1877)-1),""))</f>
        <v/>
      </c>
      <c r="AH1877" s="94" t="n"/>
      <c r="AI1877" s="94" t="n"/>
      <c r="AJ1877" s="94" t="n"/>
      <c r="AK1877" s="94" t="n"/>
      <c r="AL1877" s="84" t="n"/>
    </row>
    <row r="1878">
      <c r="A1878" s="64" t="n"/>
      <c r="B1878" s="65" t="n"/>
      <c r="C1878" s="66" t="n"/>
      <c r="D1878" s="67" t="n"/>
      <c r="E1878" s="68" t="n"/>
      <c r="F1878" s="47">
        <f>IF(A1878="","",IF(MIN(H1878,MAX(J1878:K1878))=0,"",MIN(H1878,MAX(J1878:K1878))))</f>
        <v/>
      </c>
      <c r="G1878" s="74" t="n"/>
      <c r="H1878" s="49">
        <f>IF(M1878="","",IFERROR(ROUND(AVERAGE(T1878+M1878*{7,8,9,10,11})/1.21,4),""))</f>
        <v/>
      </c>
      <c r="I1878" s="76" t="n"/>
      <c r="J1878" s="77" t="n"/>
      <c r="K1878" s="74" t="n"/>
      <c r="L1878" s="78" t="n"/>
      <c r="M1878" s="77" t="n"/>
      <c r="N1878" s="53">
        <f>IF(M1878="","",IFERROR(M1878/I1878,""))</f>
        <v/>
      </c>
      <c r="O1878" s="50">
        <f>IF(A1878="","",IFERROR((IF(G1878="",I1878,G1878)-T1878)/M1878,""))</f>
        <v/>
      </c>
      <c r="P1878" s="50">
        <f>IFERROR((I1878/T1878-1)/N1878,"")</f>
        <v/>
      </c>
      <c r="Q1878" s="46">
        <f>IF(OR(T1878="",I1878&lt;T1878),"",IFERROR(R1878/IF(G1878="",I1878,G1878)-1,""))</f>
        <v/>
      </c>
      <c r="R1878" s="48">
        <f>IF($M1878="","",MAX(IF($G1878="",$I1878,$G1878)*(1/1.1),IF($G1878="",$I1878,$G1878)+(R$2*$M1878)))</f>
        <v/>
      </c>
      <c r="S1878" s="49">
        <f>IF($M1878="","",MAX(IF($G1878="",$I1878,$G1878)*(1/1.1),IF($G1878="",$I1878,$G1878)+(S$2*$M1878)))</f>
        <v/>
      </c>
      <c r="T1878" s="82" t="n"/>
      <c r="U1878" s="47">
        <f>IF(OR($M1878="",$T1878=""),"",$T1878+(U$2*$M1878))</f>
        <v/>
      </c>
      <c r="V1878" s="48">
        <f>IF(OR($M1878="",$T1878=""),"",$T1878+(V$2*$M1878))</f>
        <v/>
      </c>
      <c r="W1878" s="48">
        <f>IF(OR($M1878="",$T1878=""),"",$T1878+(W$2*$M1878))</f>
        <v/>
      </c>
      <c r="X1878" s="49">
        <f>IF(OR($M1878="",$T1878=""),"",$T1878+(X$2*$M1878))</f>
        <v/>
      </c>
      <c r="Y1878" s="47">
        <f>IF(OR($M1878="",$T1878=""),"",$T1878+(Y$2*$M1878))</f>
        <v/>
      </c>
      <c r="Z1878" s="49">
        <f>IF(OR($M1878="",$T1878=""),"",$T1878+(Z$2*$M1878))</f>
        <v/>
      </c>
      <c r="AA1878" s="51">
        <f>IF(OR($M1878="",$T1878=""),"",$T1878+(AA$2*$M1878))</f>
        <v/>
      </c>
      <c r="AB1878" s="48">
        <f>IF(OR($M1878="",$T1878=""),"",$T1878+(AB$2*$M1878))</f>
        <v/>
      </c>
      <c r="AC1878" s="48">
        <f>IF(OR($M1878="",$T1878=""),"",$T1878+(AC$2*$M1878))</f>
        <v/>
      </c>
      <c r="AD1878" s="48">
        <f>IF(OR($M1878="",$T1878=""),"",$T1878+(AD$2*$M1878))</f>
        <v/>
      </c>
      <c r="AE1878" s="49">
        <f>IF(OR($M1878="",$T1878=""),"",$T1878+(AE$2*$M1878))</f>
        <v/>
      </c>
      <c r="AF1878" s="52">
        <f>IF(OR(T1878="",I1878&lt;T1878),"",IFERROR(AVERAGE(T1878+M1878*{7,8,9,10,11})/IF(G1878="",I1878,G1878)-1,""))</f>
        <v/>
      </c>
      <c r="AG1878" s="55">
        <f>IF(OR(T1878="",I1878&lt;T1878),"",IFERROR(AF1878/-(R1878/IF(G1878="",I1878,G1878)-1),""))</f>
        <v/>
      </c>
      <c r="AH1878" s="94" t="n"/>
      <c r="AI1878" s="94" t="n"/>
      <c r="AJ1878" s="94" t="n"/>
      <c r="AK1878" s="94" t="n"/>
      <c r="AL1878" s="84" t="n"/>
    </row>
    <row r="1879">
      <c r="A1879" s="64" t="n"/>
      <c r="B1879" s="65" t="n"/>
      <c r="C1879" s="66" t="n"/>
      <c r="D1879" s="67" t="n"/>
      <c r="E1879" s="68" t="n"/>
      <c r="F1879" s="47">
        <f>IF(A1879="","",IF(MIN(H1879,MAX(J1879:K1879))=0,"",MIN(H1879,MAX(J1879:K1879))))</f>
        <v/>
      </c>
      <c r="G1879" s="74" t="n"/>
      <c r="H1879" s="49">
        <f>IF(M1879="","",IFERROR(ROUND(AVERAGE(T1879+M1879*{7,8,9,10,11})/1.21,4),""))</f>
        <v/>
      </c>
      <c r="I1879" s="76" t="n"/>
      <c r="J1879" s="77" t="n"/>
      <c r="K1879" s="74" t="n"/>
      <c r="L1879" s="78" t="n"/>
      <c r="M1879" s="77" t="n"/>
      <c r="N1879" s="53">
        <f>IF(M1879="","",IFERROR(M1879/I1879,""))</f>
        <v/>
      </c>
      <c r="O1879" s="50">
        <f>IF(A1879="","",IFERROR((IF(G1879="",I1879,G1879)-T1879)/M1879,""))</f>
        <v/>
      </c>
      <c r="P1879" s="50">
        <f>IFERROR((I1879/T1879-1)/N1879,"")</f>
        <v/>
      </c>
      <c r="Q1879" s="46">
        <f>IF(OR(T1879="",I1879&lt;T1879),"",IFERROR(R1879/IF(G1879="",I1879,G1879)-1,""))</f>
        <v/>
      </c>
      <c r="R1879" s="48">
        <f>IF($M1879="","",MAX(IF($G1879="",$I1879,$G1879)*(1/1.1),IF($G1879="",$I1879,$G1879)+(R$2*$M1879)))</f>
        <v/>
      </c>
      <c r="S1879" s="49">
        <f>IF($M1879="","",MAX(IF($G1879="",$I1879,$G1879)*(1/1.1),IF($G1879="",$I1879,$G1879)+(S$2*$M1879)))</f>
        <v/>
      </c>
      <c r="T1879" s="82" t="n"/>
      <c r="U1879" s="47">
        <f>IF(OR($M1879="",$T1879=""),"",$T1879+(U$2*$M1879))</f>
        <v/>
      </c>
      <c r="V1879" s="48">
        <f>IF(OR($M1879="",$T1879=""),"",$T1879+(V$2*$M1879))</f>
        <v/>
      </c>
      <c r="W1879" s="48">
        <f>IF(OR($M1879="",$T1879=""),"",$T1879+(W$2*$M1879))</f>
        <v/>
      </c>
      <c r="X1879" s="49">
        <f>IF(OR($M1879="",$T1879=""),"",$T1879+(X$2*$M1879))</f>
        <v/>
      </c>
      <c r="Y1879" s="47">
        <f>IF(OR($M1879="",$T1879=""),"",$T1879+(Y$2*$M1879))</f>
        <v/>
      </c>
      <c r="Z1879" s="49">
        <f>IF(OR($M1879="",$T1879=""),"",$T1879+(Z$2*$M1879))</f>
        <v/>
      </c>
      <c r="AA1879" s="51">
        <f>IF(OR($M1879="",$T1879=""),"",$T1879+(AA$2*$M1879))</f>
        <v/>
      </c>
      <c r="AB1879" s="48">
        <f>IF(OR($M1879="",$T1879=""),"",$T1879+(AB$2*$M1879))</f>
        <v/>
      </c>
      <c r="AC1879" s="48">
        <f>IF(OR($M1879="",$T1879=""),"",$T1879+(AC$2*$M1879))</f>
        <v/>
      </c>
      <c r="AD1879" s="48">
        <f>IF(OR($M1879="",$T1879=""),"",$T1879+(AD$2*$M1879))</f>
        <v/>
      </c>
      <c r="AE1879" s="49">
        <f>IF(OR($M1879="",$T1879=""),"",$T1879+(AE$2*$M1879))</f>
        <v/>
      </c>
      <c r="AF1879" s="52">
        <f>IF(OR(T1879="",I1879&lt;T1879),"",IFERROR(AVERAGE(T1879+M1879*{7,8,9,10,11})/IF(G1879="",I1879,G1879)-1,""))</f>
        <v/>
      </c>
      <c r="AG1879" s="55">
        <f>IF(OR(T1879="",I1879&lt;T1879),"",IFERROR(AF1879/-(R1879/IF(G1879="",I1879,G1879)-1),""))</f>
        <v/>
      </c>
      <c r="AH1879" s="94" t="n"/>
      <c r="AI1879" s="94" t="n"/>
      <c r="AJ1879" s="94" t="n"/>
      <c r="AK1879" s="94" t="n"/>
      <c r="AL1879" s="84" t="n"/>
    </row>
    <row r="1880">
      <c r="A1880" s="64" t="n"/>
      <c r="B1880" s="65" t="n"/>
      <c r="C1880" s="66" t="n"/>
      <c r="D1880" s="67" t="n"/>
      <c r="E1880" s="68" t="n"/>
      <c r="F1880" s="47">
        <f>IF(A1880="","",IF(MIN(H1880,MAX(J1880:K1880))=0,"",MIN(H1880,MAX(J1880:K1880))))</f>
        <v/>
      </c>
      <c r="G1880" s="74" t="n"/>
      <c r="H1880" s="49">
        <f>IF(M1880="","",IFERROR(ROUND(AVERAGE(T1880+M1880*{7,8,9,10,11})/1.21,4),""))</f>
        <v/>
      </c>
      <c r="I1880" s="76" t="n"/>
      <c r="J1880" s="77" t="n"/>
      <c r="K1880" s="74" t="n"/>
      <c r="L1880" s="78" t="n"/>
      <c r="M1880" s="77" t="n"/>
      <c r="N1880" s="53">
        <f>IF(M1880="","",IFERROR(M1880/I1880,""))</f>
        <v/>
      </c>
      <c r="O1880" s="50">
        <f>IF(A1880="","",IFERROR((IF(G1880="",I1880,G1880)-T1880)/M1880,""))</f>
        <v/>
      </c>
      <c r="P1880" s="50">
        <f>IFERROR((I1880/T1880-1)/N1880,"")</f>
        <v/>
      </c>
      <c r="Q1880" s="46">
        <f>IF(OR(T1880="",I1880&lt;T1880),"",IFERROR(R1880/IF(G1880="",I1880,G1880)-1,""))</f>
        <v/>
      </c>
      <c r="R1880" s="48">
        <f>IF($M1880="","",MAX(IF($G1880="",$I1880,$G1880)*(1/1.1),IF($G1880="",$I1880,$G1880)+(R$2*$M1880)))</f>
        <v/>
      </c>
      <c r="S1880" s="49">
        <f>IF($M1880="","",MAX(IF($G1880="",$I1880,$G1880)*(1/1.1),IF($G1880="",$I1880,$G1880)+(S$2*$M1880)))</f>
        <v/>
      </c>
      <c r="T1880" s="82" t="n"/>
      <c r="U1880" s="47">
        <f>IF(OR($M1880="",$T1880=""),"",$T1880+(U$2*$M1880))</f>
        <v/>
      </c>
      <c r="V1880" s="48">
        <f>IF(OR($M1880="",$T1880=""),"",$T1880+(V$2*$M1880))</f>
        <v/>
      </c>
      <c r="W1880" s="48">
        <f>IF(OR($M1880="",$T1880=""),"",$T1880+(W$2*$M1880))</f>
        <v/>
      </c>
      <c r="X1880" s="49">
        <f>IF(OR($M1880="",$T1880=""),"",$T1880+(X$2*$M1880))</f>
        <v/>
      </c>
      <c r="Y1880" s="47">
        <f>IF(OR($M1880="",$T1880=""),"",$T1880+(Y$2*$M1880))</f>
        <v/>
      </c>
      <c r="Z1880" s="49">
        <f>IF(OR($M1880="",$T1880=""),"",$T1880+(Z$2*$M1880))</f>
        <v/>
      </c>
      <c r="AA1880" s="51">
        <f>IF(OR($M1880="",$T1880=""),"",$T1880+(AA$2*$M1880))</f>
        <v/>
      </c>
      <c r="AB1880" s="48">
        <f>IF(OR($M1880="",$T1880=""),"",$T1880+(AB$2*$M1880))</f>
        <v/>
      </c>
      <c r="AC1880" s="48">
        <f>IF(OR($M1880="",$T1880=""),"",$T1880+(AC$2*$M1880))</f>
        <v/>
      </c>
      <c r="AD1880" s="48">
        <f>IF(OR($M1880="",$T1880=""),"",$T1880+(AD$2*$M1880))</f>
        <v/>
      </c>
      <c r="AE1880" s="49">
        <f>IF(OR($M1880="",$T1880=""),"",$T1880+(AE$2*$M1880))</f>
        <v/>
      </c>
      <c r="AF1880" s="52">
        <f>IF(OR(T1880="",I1880&lt;T1880),"",IFERROR(AVERAGE(T1880+M1880*{7,8,9,10,11})/IF(G1880="",I1880,G1880)-1,""))</f>
        <v/>
      </c>
      <c r="AG1880" s="55">
        <f>IF(OR(T1880="",I1880&lt;T1880),"",IFERROR(AF1880/-(R1880/IF(G1880="",I1880,G1880)-1),""))</f>
        <v/>
      </c>
      <c r="AH1880" s="94" t="n"/>
      <c r="AI1880" s="94" t="n"/>
      <c r="AJ1880" s="94" t="n"/>
      <c r="AK1880" s="94" t="n"/>
      <c r="AL1880" s="84" t="n"/>
    </row>
    <row r="1881">
      <c r="A1881" s="64" t="n"/>
      <c r="B1881" s="65" t="n"/>
      <c r="C1881" s="66" t="n"/>
      <c r="D1881" s="67" t="n"/>
      <c r="E1881" s="68" t="n"/>
      <c r="F1881" s="47">
        <f>IF(A1881="","",IF(MIN(H1881,MAX(J1881:K1881))=0,"",MIN(H1881,MAX(J1881:K1881))))</f>
        <v/>
      </c>
      <c r="G1881" s="74" t="n"/>
      <c r="H1881" s="49">
        <f>IF(M1881="","",IFERROR(ROUND(AVERAGE(T1881+M1881*{7,8,9,10,11})/1.21,4),""))</f>
        <v/>
      </c>
      <c r="I1881" s="76" t="n"/>
      <c r="J1881" s="77" t="n"/>
      <c r="K1881" s="74" t="n"/>
      <c r="L1881" s="78" t="n"/>
      <c r="M1881" s="77" t="n"/>
      <c r="N1881" s="53">
        <f>IF(M1881="","",IFERROR(M1881/I1881,""))</f>
        <v/>
      </c>
      <c r="O1881" s="50">
        <f>IF(A1881="","",IFERROR((IF(G1881="",I1881,G1881)-T1881)/M1881,""))</f>
        <v/>
      </c>
      <c r="P1881" s="50">
        <f>IFERROR((I1881/T1881-1)/N1881,"")</f>
        <v/>
      </c>
      <c r="Q1881" s="46">
        <f>IF(OR(T1881="",I1881&lt;T1881),"",IFERROR(R1881/IF(G1881="",I1881,G1881)-1,""))</f>
        <v/>
      </c>
      <c r="R1881" s="48">
        <f>IF($M1881="","",MAX(IF($G1881="",$I1881,$G1881)*(1/1.1),IF($G1881="",$I1881,$G1881)+(R$2*$M1881)))</f>
        <v/>
      </c>
      <c r="S1881" s="49">
        <f>IF($M1881="","",MAX(IF($G1881="",$I1881,$G1881)*(1/1.1),IF($G1881="",$I1881,$G1881)+(S$2*$M1881)))</f>
        <v/>
      </c>
      <c r="T1881" s="82" t="n"/>
      <c r="U1881" s="47">
        <f>IF(OR($M1881="",$T1881=""),"",$T1881+(U$2*$M1881))</f>
        <v/>
      </c>
      <c r="V1881" s="48">
        <f>IF(OR($M1881="",$T1881=""),"",$T1881+(V$2*$M1881))</f>
        <v/>
      </c>
      <c r="W1881" s="48">
        <f>IF(OR($M1881="",$T1881=""),"",$T1881+(W$2*$M1881))</f>
        <v/>
      </c>
      <c r="X1881" s="49">
        <f>IF(OR($M1881="",$T1881=""),"",$T1881+(X$2*$M1881))</f>
        <v/>
      </c>
      <c r="Y1881" s="47">
        <f>IF(OR($M1881="",$T1881=""),"",$T1881+(Y$2*$M1881))</f>
        <v/>
      </c>
      <c r="Z1881" s="49">
        <f>IF(OR($M1881="",$T1881=""),"",$T1881+(Z$2*$M1881))</f>
        <v/>
      </c>
      <c r="AA1881" s="51">
        <f>IF(OR($M1881="",$T1881=""),"",$T1881+(AA$2*$M1881))</f>
        <v/>
      </c>
      <c r="AB1881" s="48">
        <f>IF(OR($M1881="",$T1881=""),"",$T1881+(AB$2*$M1881))</f>
        <v/>
      </c>
      <c r="AC1881" s="48">
        <f>IF(OR($M1881="",$T1881=""),"",$T1881+(AC$2*$M1881))</f>
        <v/>
      </c>
      <c r="AD1881" s="48">
        <f>IF(OR($M1881="",$T1881=""),"",$T1881+(AD$2*$M1881))</f>
        <v/>
      </c>
      <c r="AE1881" s="49">
        <f>IF(OR($M1881="",$T1881=""),"",$T1881+(AE$2*$M1881))</f>
        <v/>
      </c>
      <c r="AF1881" s="52">
        <f>IF(OR(T1881="",I1881&lt;T1881),"",IFERROR(AVERAGE(T1881+M1881*{7,8,9,10,11})/IF(G1881="",I1881,G1881)-1,""))</f>
        <v/>
      </c>
      <c r="AG1881" s="55">
        <f>IF(OR(T1881="",I1881&lt;T1881),"",IFERROR(AF1881/-(R1881/IF(G1881="",I1881,G1881)-1),""))</f>
        <v/>
      </c>
      <c r="AH1881" s="94" t="n"/>
      <c r="AI1881" s="94" t="n"/>
      <c r="AJ1881" s="94" t="n"/>
      <c r="AK1881" s="94" t="n"/>
      <c r="AL1881" s="84" t="n"/>
    </row>
    <row r="1882">
      <c r="A1882" s="64" t="n"/>
      <c r="B1882" s="65" t="n"/>
      <c r="C1882" s="66" t="n"/>
      <c r="D1882" s="67" t="n"/>
      <c r="E1882" s="68" t="n"/>
      <c r="F1882" s="47">
        <f>IF(A1882="","",IF(MIN(H1882,MAX(J1882:K1882))=0,"",MIN(H1882,MAX(J1882:K1882))))</f>
        <v/>
      </c>
      <c r="G1882" s="74" t="n"/>
      <c r="H1882" s="49">
        <f>IF(M1882="","",IFERROR(ROUND(AVERAGE(T1882+M1882*{7,8,9,10,11})/1.21,4),""))</f>
        <v/>
      </c>
      <c r="I1882" s="76" t="n"/>
      <c r="J1882" s="77" t="n"/>
      <c r="K1882" s="74" t="n"/>
      <c r="L1882" s="78" t="n"/>
      <c r="M1882" s="77" t="n"/>
      <c r="N1882" s="53">
        <f>IF(M1882="","",IFERROR(M1882/I1882,""))</f>
        <v/>
      </c>
      <c r="O1882" s="50">
        <f>IF(A1882="","",IFERROR((IF(G1882="",I1882,G1882)-T1882)/M1882,""))</f>
        <v/>
      </c>
      <c r="P1882" s="50">
        <f>IFERROR((I1882/T1882-1)/N1882,"")</f>
        <v/>
      </c>
      <c r="Q1882" s="46">
        <f>IF(OR(T1882="",I1882&lt;T1882),"",IFERROR(R1882/IF(G1882="",I1882,G1882)-1,""))</f>
        <v/>
      </c>
      <c r="R1882" s="48">
        <f>IF($M1882="","",MAX(IF($G1882="",$I1882,$G1882)*(1/1.1),IF($G1882="",$I1882,$G1882)+(R$2*$M1882)))</f>
        <v/>
      </c>
      <c r="S1882" s="49">
        <f>IF($M1882="","",MAX(IF($G1882="",$I1882,$G1882)*(1/1.1),IF($G1882="",$I1882,$G1882)+(S$2*$M1882)))</f>
        <v/>
      </c>
      <c r="T1882" s="82" t="n"/>
      <c r="U1882" s="47">
        <f>IF(OR($M1882="",$T1882=""),"",$T1882+(U$2*$M1882))</f>
        <v/>
      </c>
      <c r="V1882" s="48">
        <f>IF(OR($M1882="",$T1882=""),"",$T1882+(V$2*$M1882))</f>
        <v/>
      </c>
      <c r="W1882" s="48">
        <f>IF(OR($M1882="",$T1882=""),"",$T1882+(W$2*$M1882))</f>
        <v/>
      </c>
      <c r="X1882" s="49">
        <f>IF(OR($M1882="",$T1882=""),"",$T1882+(X$2*$M1882))</f>
        <v/>
      </c>
      <c r="Y1882" s="47">
        <f>IF(OR($M1882="",$T1882=""),"",$T1882+(Y$2*$M1882))</f>
        <v/>
      </c>
      <c r="Z1882" s="49">
        <f>IF(OR($M1882="",$T1882=""),"",$T1882+(Z$2*$M1882))</f>
        <v/>
      </c>
      <c r="AA1882" s="51">
        <f>IF(OR($M1882="",$T1882=""),"",$T1882+(AA$2*$M1882))</f>
        <v/>
      </c>
      <c r="AB1882" s="48">
        <f>IF(OR($M1882="",$T1882=""),"",$T1882+(AB$2*$M1882))</f>
        <v/>
      </c>
      <c r="AC1882" s="48">
        <f>IF(OR($M1882="",$T1882=""),"",$T1882+(AC$2*$M1882))</f>
        <v/>
      </c>
      <c r="AD1882" s="48">
        <f>IF(OR($M1882="",$T1882=""),"",$T1882+(AD$2*$M1882))</f>
        <v/>
      </c>
      <c r="AE1882" s="49">
        <f>IF(OR($M1882="",$T1882=""),"",$T1882+(AE$2*$M1882))</f>
        <v/>
      </c>
      <c r="AF1882" s="52">
        <f>IF(OR(T1882="",I1882&lt;T1882),"",IFERROR(AVERAGE(T1882+M1882*{7,8,9,10,11})/IF(G1882="",I1882,G1882)-1,""))</f>
        <v/>
      </c>
      <c r="AG1882" s="55">
        <f>IF(OR(T1882="",I1882&lt;T1882),"",IFERROR(AF1882/-(R1882/IF(G1882="",I1882,G1882)-1),""))</f>
        <v/>
      </c>
      <c r="AH1882" s="94" t="n"/>
      <c r="AI1882" s="94" t="n"/>
      <c r="AJ1882" s="94" t="n"/>
      <c r="AK1882" s="94" t="n"/>
      <c r="AL1882" s="84" t="n"/>
    </row>
    <row r="1883">
      <c r="A1883" s="64" t="n"/>
      <c r="B1883" s="65" t="n"/>
      <c r="C1883" s="66" t="n"/>
      <c r="D1883" s="67" t="n"/>
      <c r="E1883" s="68" t="n"/>
      <c r="F1883" s="47">
        <f>IF(A1883="","",IF(MIN(H1883,MAX(J1883:K1883))=0,"",MIN(H1883,MAX(J1883:K1883))))</f>
        <v/>
      </c>
      <c r="G1883" s="74" t="n"/>
      <c r="H1883" s="49">
        <f>IF(M1883="","",IFERROR(ROUND(AVERAGE(T1883+M1883*{7,8,9,10,11})/1.21,4),""))</f>
        <v/>
      </c>
      <c r="I1883" s="76" t="n"/>
      <c r="J1883" s="77" t="n"/>
      <c r="K1883" s="74" t="n"/>
      <c r="L1883" s="78" t="n"/>
      <c r="M1883" s="77" t="n"/>
      <c r="N1883" s="53">
        <f>IF(M1883="","",IFERROR(M1883/I1883,""))</f>
        <v/>
      </c>
      <c r="O1883" s="50">
        <f>IF(A1883="","",IFERROR((IF(G1883="",I1883,G1883)-T1883)/M1883,""))</f>
        <v/>
      </c>
      <c r="P1883" s="50">
        <f>IFERROR((I1883/T1883-1)/N1883,"")</f>
        <v/>
      </c>
      <c r="Q1883" s="46">
        <f>IF(OR(T1883="",I1883&lt;T1883),"",IFERROR(R1883/IF(G1883="",I1883,G1883)-1,""))</f>
        <v/>
      </c>
      <c r="R1883" s="48">
        <f>IF($M1883="","",MAX(IF($G1883="",$I1883,$G1883)*(1/1.1),IF($G1883="",$I1883,$G1883)+(R$2*$M1883)))</f>
        <v/>
      </c>
      <c r="S1883" s="49">
        <f>IF($M1883="","",MAX(IF($G1883="",$I1883,$G1883)*(1/1.1),IF($G1883="",$I1883,$G1883)+(S$2*$M1883)))</f>
        <v/>
      </c>
      <c r="T1883" s="82" t="n"/>
      <c r="U1883" s="47">
        <f>IF(OR($M1883="",$T1883=""),"",$T1883+(U$2*$M1883))</f>
        <v/>
      </c>
      <c r="V1883" s="48">
        <f>IF(OR($M1883="",$T1883=""),"",$T1883+(V$2*$M1883))</f>
        <v/>
      </c>
      <c r="W1883" s="48">
        <f>IF(OR($M1883="",$T1883=""),"",$T1883+(W$2*$M1883))</f>
        <v/>
      </c>
      <c r="X1883" s="49">
        <f>IF(OR($M1883="",$T1883=""),"",$T1883+(X$2*$M1883))</f>
        <v/>
      </c>
      <c r="Y1883" s="47">
        <f>IF(OR($M1883="",$T1883=""),"",$T1883+(Y$2*$M1883))</f>
        <v/>
      </c>
      <c r="Z1883" s="49">
        <f>IF(OR($M1883="",$T1883=""),"",$T1883+(Z$2*$M1883))</f>
        <v/>
      </c>
      <c r="AA1883" s="51">
        <f>IF(OR($M1883="",$T1883=""),"",$T1883+(AA$2*$M1883))</f>
        <v/>
      </c>
      <c r="AB1883" s="48">
        <f>IF(OR($M1883="",$T1883=""),"",$T1883+(AB$2*$M1883))</f>
        <v/>
      </c>
      <c r="AC1883" s="48">
        <f>IF(OR($M1883="",$T1883=""),"",$T1883+(AC$2*$M1883))</f>
        <v/>
      </c>
      <c r="AD1883" s="48">
        <f>IF(OR($M1883="",$T1883=""),"",$T1883+(AD$2*$M1883))</f>
        <v/>
      </c>
      <c r="AE1883" s="49">
        <f>IF(OR($M1883="",$T1883=""),"",$T1883+(AE$2*$M1883))</f>
        <v/>
      </c>
      <c r="AF1883" s="52">
        <f>IF(OR(T1883="",I1883&lt;T1883),"",IFERROR(AVERAGE(T1883+M1883*{7,8,9,10,11})/IF(G1883="",I1883,G1883)-1,""))</f>
        <v/>
      </c>
      <c r="AG1883" s="55">
        <f>IF(OR(T1883="",I1883&lt;T1883),"",IFERROR(AF1883/-(R1883/IF(G1883="",I1883,G1883)-1),""))</f>
        <v/>
      </c>
      <c r="AH1883" s="94" t="n"/>
      <c r="AI1883" s="94" t="n"/>
      <c r="AJ1883" s="94" t="n"/>
      <c r="AK1883" s="94" t="n"/>
      <c r="AL1883" s="84" t="n"/>
    </row>
    <row r="1884">
      <c r="A1884" s="64" t="n"/>
      <c r="B1884" s="65" t="n"/>
      <c r="C1884" s="66" t="n"/>
      <c r="D1884" s="67" t="n"/>
      <c r="E1884" s="68" t="n"/>
      <c r="F1884" s="47">
        <f>IF(A1884="","",IF(MIN(H1884,MAX(J1884:K1884))=0,"",MIN(H1884,MAX(J1884:K1884))))</f>
        <v/>
      </c>
      <c r="G1884" s="74" t="n"/>
      <c r="H1884" s="49">
        <f>IF(M1884="","",IFERROR(ROUND(AVERAGE(T1884+M1884*{7,8,9,10,11})/1.21,4),""))</f>
        <v/>
      </c>
      <c r="I1884" s="76" t="n"/>
      <c r="J1884" s="77" t="n"/>
      <c r="K1884" s="74" t="n"/>
      <c r="L1884" s="78" t="n"/>
      <c r="M1884" s="77" t="n"/>
      <c r="N1884" s="53">
        <f>IF(M1884="","",IFERROR(M1884/I1884,""))</f>
        <v/>
      </c>
      <c r="O1884" s="50">
        <f>IF(A1884="","",IFERROR((IF(G1884="",I1884,G1884)-T1884)/M1884,""))</f>
        <v/>
      </c>
      <c r="P1884" s="50">
        <f>IFERROR((I1884/T1884-1)/N1884,"")</f>
        <v/>
      </c>
      <c r="Q1884" s="46">
        <f>IF(OR(T1884="",I1884&lt;T1884),"",IFERROR(R1884/IF(G1884="",I1884,G1884)-1,""))</f>
        <v/>
      </c>
      <c r="R1884" s="48">
        <f>IF($M1884="","",MAX(IF($G1884="",$I1884,$G1884)*(1/1.1),IF($G1884="",$I1884,$G1884)+(R$2*$M1884)))</f>
        <v/>
      </c>
      <c r="S1884" s="49">
        <f>IF($M1884="","",MAX(IF($G1884="",$I1884,$G1884)*(1/1.1),IF($G1884="",$I1884,$G1884)+(S$2*$M1884)))</f>
        <v/>
      </c>
      <c r="T1884" s="82" t="n"/>
      <c r="U1884" s="47">
        <f>IF(OR($M1884="",$T1884=""),"",$T1884+(U$2*$M1884))</f>
        <v/>
      </c>
      <c r="V1884" s="48">
        <f>IF(OR($M1884="",$T1884=""),"",$T1884+(V$2*$M1884))</f>
        <v/>
      </c>
      <c r="W1884" s="48">
        <f>IF(OR($M1884="",$T1884=""),"",$T1884+(W$2*$M1884))</f>
        <v/>
      </c>
      <c r="X1884" s="49">
        <f>IF(OR($M1884="",$T1884=""),"",$T1884+(X$2*$M1884))</f>
        <v/>
      </c>
      <c r="Y1884" s="47">
        <f>IF(OR($M1884="",$T1884=""),"",$T1884+(Y$2*$M1884))</f>
        <v/>
      </c>
      <c r="Z1884" s="49">
        <f>IF(OR($M1884="",$T1884=""),"",$T1884+(Z$2*$M1884))</f>
        <v/>
      </c>
      <c r="AA1884" s="51">
        <f>IF(OR($M1884="",$T1884=""),"",$T1884+(AA$2*$M1884))</f>
        <v/>
      </c>
      <c r="AB1884" s="48">
        <f>IF(OR($M1884="",$T1884=""),"",$T1884+(AB$2*$M1884))</f>
        <v/>
      </c>
      <c r="AC1884" s="48">
        <f>IF(OR($M1884="",$T1884=""),"",$T1884+(AC$2*$M1884))</f>
        <v/>
      </c>
      <c r="AD1884" s="48">
        <f>IF(OR($M1884="",$T1884=""),"",$T1884+(AD$2*$M1884))</f>
        <v/>
      </c>
      <c r="AE1884" s="49">
        <f>IF(OR($M1884="",$T1884=""),"",$T1884+(AE$2*$M1884))</f>
        <v/>
      </c>
      <c r="AF1884" s="52">
        <f>IF(OR(T1884="",I1884&lt;T1884),"",IFERROR(AVERAGE(T1884+M1884*{7,8,9,10,11})/IF(G1884="",I1884,G1884)-1,""))</f>
        <v/>
      </c>
      <c r="AG1884" s="55">
        <f>IF(OR(T1884="",I1884&lt;T1884),"",IFERROR(AF1884/-(R1884/IF(G1884="",I1884,G1884)-1),""))</f>
        <v/>
      </c>
      <c r="AH1884" s="94" t="n"/>
      <c r="AI1884" s="94" t="n"/>
      <c r="AJ1884" s="94" t="n"/>
      <c r="AK1884" s="94" t="n"/>
      <c r="AL1884" s="84" t="n"/>
    </row>
    <row r="1885">
      <c r="A1885" s="64" t="n"/>
      <c r="B1885" s="65" t="n"/>
      <c r="C1885" s="66" t="n"/>
      <c r="D1885" s="67" t="n"/>
      <c r="E1885" s="68" t="n"/>
      <c r="F1885" s="47">
        <f>IF(A1885="","",IF(MIN(H1885,MAX(J1885:K1885))=0,"",MIN(H1885,MAX(J1885:K1885))))</f>
        <v/>
      </c>
      <c r="G1885" s="74" t="n"/>
      <c r="H1885" s="49">
        <f>IF(M1885="","",IFERROR(ROUND(AVERAGE(T1885+M1885*{7,8,9,10,11})/1.21,4),""))</f>
        <v/>
      </c>
      <c r="I1885" s="76" t="n"/>
      <c r="J1885" s="77" t="n"/>
      <c r="K1885" s="74" t="n"/>
      <c r="L1885" s="78" t="n"/>
      <c r="M1885" s="77" t="n"/>
      <c r="N1885" s="53">
        <f>IF(M1885="","",IFERROR(M1885/I1885,""))</f>
        <v/>
      </c>
      <c r="O1885" s="50">
        <f>IF(A1885="","",IFERROR((IF(G1885="",I1885,G1885)-T1885)/M1885,""))</f>
        <v/>
      </c>
      <c r="P1885" s="50">
        <f>IFERROR((I1885/T1885-1)/N1885,"")</f>
        <v/>
      </c>
      <c r="Q1885" s="46">
        <f>IF(OR(T1885="",I1885&lt;T1885),"",IFERROR(R1885/IF(G1885="",I1885,G1885)-1,""))</f>
        <v/>
      </c>
      <c r="R1885" s="48">
        <f>IF($M1885="","",MAX(IF($G1885="",$I1885,$G1885)*(1/1.1),IF($G1885="",$I1885,$G1885)+(R$2*$M1885)))</f>
        <v/>
      </c>
      <c r="S1885" s="49">
        <f>IF($M1885="","",MAX(IF($G1885="",$I1885,$G1885)*(1/1.1),IF($G1885="",$I1885,$G1885)+(S$2*$M1885)))</f>
        <v/>
      </c>
      <c r="T1885" s="82" t="n"/>
      <c r="U1885" s="47">
        <f>IF(OR($M1885="",$T1885=""),"",$T1885+(U$2*$M1885))</f>
        <v/>
      </c>
      <c r="V1885" s="48">
        <f>IF(OR($M1885="",$T1885=""),"",$T1885+(V$2*$M1885))</f>
        <v/>
      </c>
      <c r="W1885" s="48">
        <f>IF(OR($M1885="",$T1885=""),"",$T1885+(W$2*$M1885))</f>
        <v/>
      </c>
      <c r="X1885" s="49">
        <f>IF(OR($M1885="",$T1885=""),"",$T1885+(X$2*$M1885))</f>
        <v/>
      </c>
      <c r="Y1885" s="47">
        <f>IF(OR($M1885="",$T1885=""),"",$T1885+(Y$2*$M1885))</f>
        <v/>
      </c>
      <c r="Z1885" s="49">
        <f>IF(OR($M1885="",$T1885=""),"",$T1885+(Z$2*$M1885))</f>
        <v/>
      </c>
      <c r="AA1885" s="51">
        <f>IF(OR($M1885="",$T1885=""),"",$T1885+(AA$2*$M1885))</f>
        <v/>
      </c>
      <c r="AB1885" s="48">
        <f>IF(OR($M1885="",$T1885=""),"",$T1885+(AB$2*$M1885))</f>
        <v/>
      </c>
      <c r="AC1885" s="48">
        <f>IF(OR($M1885="",$T1885=""),"",$T1885+(AC$2*$M1885))</f>
        <v/>
      </c>
      <c r="AD1885" s="48">
        <f>IF(OR($M1885="",$T1885=""),"",$T1885+(AD$2*$M1885))</f>
        <v/>
      </c>
      <c r="AE1885" s="49">
        <f>IF(OR($M1885="",$T1885=""),"",$T1885+(AE$2*$M1885))</f>
        <v/>
      </c>
      <c r="AF1885" s="52">
        <f>IF(OR(T1885="",I1885&lt;T1885),"",IFERROR(AVERAGE(T1885+M1885*{7,8,9,10,11})/IF(G1885="",I1885,G1885)-1,""))</f>
        <v/>
      </c>
      <c r="AG1885" s="55">
        <f>IF(OR(T1885="",I1885&lt;T1885),"",IFERROR(AF1885/-(R1885/IF(G1885="",I1885,G1885)-1),""))</f>
        <v/>
      </c>
      <c r="AH1885" s="94" t="n"/>
      <c r="AI1885" s="94" t="n"/>
      <c r="AJ1885" s="94" t="n"/>
      <c r="AK1885" s="94" t="n"/>
      <c r="AL1885" s="84" t="n"/>
    </row>
    <row r="1886">
      <c r="A1886" s="64" t="n"/>
      <c r="B1886" s="65" t="n"/>
      <c r="C1886" s="66" t="n"/>
      <c r="D1886" s="67" t="n"/>
      <c r="E1886" s="68" t="n"/>
      <c r="F1886" s="47">
        <f>IF(A1886="","",IF(MIN(H1886,MAX(J1886:K1886))=0,"",MIN(H1886,MAX(J1886:K1886))))</f>
        <v/>
      </c>
      <c r="G1886" s="74" t="n"/>
      <c r="H1886" s="49">
        <f>IF(M1886="","",IFERROR(ROUND(AVERAGE(T1886+M1886*{7,8,9,10,11})/1.21,4),""))</f>
        <v/>
      </c>
      <c r="I1886" s="76" t="n"/>
      <c r="J1886" s="77" t="n"/>
      <c r="K1886" s="74" t="n"/>
      <c r="L1886" s="78" t="n"/>
      <c r="M1886" s="77" t="n"/>
      <c r="N1886" s="53">
        <f>IF(M1886="","",IFERROR(M1886/I1886,""))</f>
        <v/>
      </c>
      <c r="O1886" s="50">
        <f>IF(A1886="","",IFERROR((IF(G1886="",I1886,G1886)-T1886)/M1886,""))</f>
        <v/>
      </c>
      <c r="P1886" s="50">
        <f>IFERROR((I1886/T1886-1)/N1886,"")</f>
        <v/>
      </c>
      <c r="Q1886" s="46">
        <f>IF(OR(T1886="",I1886&lt;T1886),"",IFERROR(R1886/IF(G1886="",I1886,G1886)-1,""))</f>
        <v/>
      </c>
      <c r="R1886" s="48">
        <f>IF($M1886="","",MAX(IF($G1886="",$I1886,$G1886)*(1/1.1),IF($G1886="",$I1886,$G1886)+(R$2*$M1886)))</f>
        <v/>
      </c>
      <c r="S1886" s="49">
        <f>IF($M1886="","",MAX(IF($G1886="",$I1886,$G1886)*(1/1.1),IF($G1886="",$I1886,$G1886)+(S$2*$M1886)))</f>
        <v/>
      </c>
      <c r="T1886" s="82" t="n"/>
      <c r="U1886" s="47">
        <f>IF(OR($M1886="",$T1886=""),"",$T1886+(U$2*$M1886))</f>
        <v/>
      </c>
      <c r="V1886" s="48">
        <f>IF(OR($M1886="",$T1886=""),"",$T1886+(V$2*$M1886))</f>
        <v/>
      </c>
      <c r="W1886" s="48">
        <f>IF(OR($M1886="",$T1886=""),"",$T1886+(W$2*$M1886))</f>
        <v/>
      </c>
      <c r="X1886" s="49">
        <f>IF(OR($M1886="",$T1886=""),"",$T1886+(X$2*$M1886))</f>
        <v/>
      </c>
      <c r="Y1886" s="47">
        <f>IF(OR($M1886="",$T1886=""),"",$T1886+(Y$2*$M1886))</f>
        <v/>
      </c>
      <c r="Z1886" s="49">
        <f>IF(OR($M1886="",$T1886=""),"",$T1886+(Z$2*$M1886))</f>
        <v/>
      </c>
      <c r="AA1886" s="51">
        <f>IF(OR($M1886="",$T1886=""),"",$T1886+(AA$2*$M1886))</f>
        <v/>
      </c>
      <c r="AB1886" s="48">
        <f>IF(OR($M1886="",$T1886=""),"",$T1886+(AB$2*$M1886))</f>
        <v/>
      </c>
      <c r="AC1886" s="48">
        <f>IF(OR($M1886="",$T1886=""),"",$T1886+(AC$2*$M1886))</f>
        <v/>
      </c>
      <c r="AD1886" s="48">
        <f>IF(OR($M1886="",$T1886=""),"",$T1886+(AD$2*$M1886))</f>
        <v/>
      </c>
      <c r="AE1886" s="49">
        <f>IF(OR($M1886="",$T1886=""),"",$T1886+(AE$2*$M1886))</f>
        <v/>
      </c>
      <c r="AF1886" s="52">
        <f>IF(OR(T1886="",I1886&lt;T1886),"",IFERROR(AVERAGE(T1886+M1886*{7,8,9,10,11})/IF(G1886="",I1886,G1886)-1,""))</f>
        <v/>
      </c>
      <c r="AG1886" s="55">
        <f>IF(OR(T1886="",I1886&lt;T1886),"",IFERROR(AF1886/-(R1886/IF(G1886="",I1886,G1886)-1),""))</f>
        <v/>
      </c>
      <c r="AH1886" s="94" t="n"/>
      <c r="AI1886" s="94" t="n"/>
      <c r="AJ1886" s="94" t="n"/>
      <c r="AK1886" s="94" t="n"/>
      <c r="AL1886" s="84" t="n"/>
    </row>
    <row r="1887">
      <c r="A1887" s="64" t="n"/>
      <c r="B1887" s="65" t="n"/>
      <c r="C1887" s="66" t="n"/>
      <c r="D1887" s="67" t="n"/>
      <c r="E1887" s="68" t="n"/>
      <c r="F1887" s="47">
        <f>IF(A1887="","",IF(MIN(H1887,MAX(J1887:K1887))=0,"",MIN(H1887,MAX(J1887:K1887))))</f>
        <v/>
      </c>
      <c r="G1887" s="74" t="n"/>
      <c r="H1887" s="49">
        <f>IF(M1887="","",IFERROR(ROUND(AVERAGE(T1887+M1887*{7,8,9,10,11})/1.21,4),""))</f>
        <v/>
      </c>
      <c r="I1887" s="76" t="n"/>
      <c r="J1887" s="77" t="n"/>
      <c r="K1887" s="74" t="n"/>
      <c r="L1887" s="78" t="n"/>
      <c r="M1887" s="77" t="n"/>
      <c r="N1887" s="53">
        <f>IF(M1887="","",IFERROR(M1887/I1887,""))</f>
        <v/>
      </c>
      <c r="O1887" s="50">
        <f>IF(A1887="","",IFERROR((IF(G1887="",I1887,G1887)-T1887)/M1887,""))</f>
        <v/>
      </c>
      <c r="P1887" s="50">
        <f>IFERROR((I1887/T1887-1)/N1887,"")</f>
        <v/>
      </c>
      <c r="Q1887" s="46">
        <f>IF(OR(T1887="",I1887&lt;T1887),"",IFERROR(R1887/IF(G1887="",I1887,G1887)-1,""))</f>
        <v/>
      </c>
      <c r="R1887" s="48">
        <f>IF($M1887="","",MAX(IF($G1887="",$I1887,$G1887)*(1/1.1),IF($G1887="",$I1887,$G1887)+(R$2*$M1887)))</f>
        <v/>
      </c>
      <c r="S1887" s="49">
        <f>IF($M1887="","",MAX(IF($G1887="",$I1887,$G1887)*(1/1.1),IF($G1887="",$I1887,$G1887)+(S$2*$M1887)))</f>
        <v/>
      </c>
      <c r="T1887" s="82" t="n"/>
      <c r="U1887" s="47">
        <f>IF(OR($M1887="",$T1887=""),"",$T1887+(U$2*$M1887))</f>
        <v/>
      </c>
      <c r="V1887" s="48">
        <f>IF(OR($M1887="",$T1887=""),"",$T1887+(V$2*$M1887))</f>
        <v/>
      </c>
      <c r="W1887" s="48">
        <f>IF(OR($M1887="",$T1887=""),"",$T1887+(W$2*$M1887))</f>
        <v/>
      </c>
      <c r="X1887" s="49">
        <f>IF(OR($M1887="",$T1887=""),"",$T1887+(X$2*$M1887))</f>
        <v/>
      </c>
      <c r="Y1887" s="47">
        <f>IF(OR($M1887="",$T1887=""),"",$T1887+(Y$2*$M1887))</f>
        <v/>
      </c>
      <c r="Z1887" s="49">
        <f>IF(OR($M1887="",$T1887=""),"",$T1887+(Z$2*$M1887))</f>
        <v/>
      </c>
      <c r="AA1887" s="51">
        <f>IF(OR($M1887="",$T1887=""),"",$T1887+(AA$2*$M1887))</f>
        <v/>
      </c>
      <c r="AB1887" s="48">
        <f>IF(OR($M1887="",$T1887=""),"",$T1887+(AB$2*$M1887))</f>
        <v/>
      </c>
      <c r="AC1887" s="48">
        <f>IF(OR($M1887="",$T1887=""),"",$T1887+(AC$2*$M1887))</f>
        <v/>
      </c>
      <c r="AD1887" s="48">
        <f>IF(OR($M1887="",$T1887=""),"",$T1887+(AD$2*$M1887))</f>
        <v/>
      </c>
      <c r="AE1887" s="49">
        <f>IF(OR($M1887="",$T1887=""),"",$T1887+(AE$2*$M1887))</f>
        <v/>
      </c>
      <c r="AF1887" s="52">
        <f>IF(OR(T1887="",I1887&lt;T1887),"",IFERROR(AVERAGE(T1887+M1887*{7,8,9,10,11})/IF(G1887="",I1887,G1887)-1,""))</f>
        <v/>
      </c>
      <c r="AG1887" s="55">
        <f>IF(OR(T1887="",I1887&lt;T1887),"",IFERROR(AF1887/-(R1887/IF(G1887="",I1887,G1887)-1),""))</f>
        <v/>
      </c>
      <c r="AH1887" s="94" t="n"/>
      <c r="AI1887" s="94" t="n"/>
      <c r="AJ1887" s="94" t="n"/>
      <c r="AK1887" s="94" t="n"/>
      <c r="AL1887" s="84" t="n"/>
    </row>
    <row r="1888">
      <c r="A1888" s="64" t="n"/>
      <c r="B1888" s="65" t="n"/>
      <c r="C1888" s="66" t="n"/>
      <c r="D1888" s="67" t="n"/>
      <c r="E1888" s="68" t="n"/>
      <c r="F1888" s="47">
        <f>IF(A1888="","",IF(MIN(H1888,MAX(J1888:K1888))=0,"",MIN(H1888,MAX(J1888:K1888))))</f>
        <v/>
      </c>
      <c r="G1888" s="74" t="n"/>
      <c r="H1888" s="49">
        <f>IF(M1888="","",IFERROR(ROUND(AVERAGE(T1888+M1888*{7,8,9,10,11})/1.21,4),""))</f>
        <v/>
      </c>
      <c r="I1888" s="76" t="n"/>
      <c r="J1888" s="77" t="n"/>
      <c r="K1888" s="74" t="n"/>
      <c r="L1888" s="78" t="n"/>
      <c r="M1888" s="77" t="n"/>
      <c r="N1888" s="53">
        <f>IF(M1888="","",IFERROR(M1888/I1888,""))</f>
        <v/>
      </c>
      <c r="O1888" s="50">
        <f>IF(A1888="","",IFERROR((IF(G1888="",I1888,G1888)-T1888)/M1888,""))</f>
        <v/>
      </c>
      <c r="P1888" s="50">
        <f>IFERROR((I1888/T1888-1)/N1888,"")</f>
        <v/>
      </c>
      <c r="Q1888" s="46">
        <f>IF(OR(T1888="",I1888&lt;T1888),"",IFERROR(R1888/IF(G1888="",I1888,G1888)-1,""))</f>
        <v/>
      </c>
      <c r="R1888" s="48">
        <f>IF($M1888="","",MAX(IF($G1888="",$I1888,$G1888)*(1/1.1),IF($G1888="",$I1888,$G1888)+(R$2*$M1888)))</f>
        <v/>
      </c>
      <c r="S1888" s="49">
        <f>IF($M1888="","",MAX(IF($G1888="",$I1888,$G1888)*(1/1.1),IF($G1888="",$I1888,$G1888)+(S$2*$M1888)))</f>
        <v/>
      </c>
      <c r="T1888" s="82" t="n"/>
      <c r="U1888" s="47">
        <f>IF(OR($M1888="",$T1888=""),"",$T1888+(U$2*$M1888))</f>
        <v/>
      </c>
      <c r="V1888" s="48">
        <f>IF(OR($M1888="",$T1888=""),"",$T1888+(V$2*$M1888))</f>
        <v/>
      </c>
      <c r="W1888" s="48">
        <f>IF(OR($M1888="",$T1888=""),"",$T1888+(W$2*$M1888))</f>
        <v/>
      </c>
      <c r="X1888" s="49">
        <f>IF(OR($M1888="",$T1888=""),"",$T1888+(X$2*$M1888))</f>
        <v/>
      </c>
      <c r="Y1888" s="47">
        <f>IF(OR($M1888="",$T1888=""),"",$T1888+(Y$2*$M1888))</f>
        <v/>
      </c>
      <c r="Z1888" s="49">
        <f>IF(OR($M1888="",$T1888=""),"",$T1888+(Z$2*$M1888))</f>
        <v/>
      </c>
      <c r="AA1888" s="51">
        <f>IF(OR($M1888="",$T1888=""),"",$T1888+(AA$2*$M1888))</f>
        <v/>
      </c>
      <c r="AB1888" s="48">
        <f>IF(OR($M1888="",$T1888=""),"",$T1888+(AB$2*$M1888))</f>
        <v/>
      </c>
      <c r="AC1888" s="48">
        <f>IF(OR($M1888="",$T1888=""),"",$T1888+(AC$2*$M1888))</f>
        <v/>
      </c>
      <c r="AD1888" s="48">
        <f>IF(OR($M1888="",$T1888=""),"",$T1888+(AD$2*$M1888))</f>
        <v/>
      </c>
      <c r="AE1888" s="49">
        <f>IF(OR($M1888="",$T1888=""),"",$T1888+(AE$2*$M1888))</f>
        <v/>
      </c>
      <c r="AF1888" s="52">
        <f>IF(OR(T1888="",I1888&lt;T1888),"",IFERROR(AVERAGE(T1888+M1888*{7,8,9,10,11})/IF(G1888="",I1888,G1888)-1,""))</f>
        <v/>
      </c>
      <c r="AG1888" s="55">
        <f>IF(OR(T1888="",I1888&lt;T1888),"",IFERROR(AF1888/-(R1888/IF(G1888="",I1888,G1888)-1),""))</f>
        <v/>
      </c>
      <c r="AH1888" s="94" t="n"/>
      <c r="AI1888" s="94" t="n"/>
      <c r="AJ1888" s="94" t="n"/>
      <c r="AK1888" s="94" t="n"/>
      <c r="AL1888" s="84" t="n"/>
    </row>
    <row r="1889">
      <c r="A1889" s="64" t="n"/>
      <c r="B1889" s="65" t="n"/>
      <c r="C1889" s="66" t="n"/>
      <c r="D1889" s="67" t="n"/>
      <c r="E1889" s="68" t="n"/>
      <c r="F1889" s="47">
        <f>IF(A1889="","",IF(MIN(H1889,MAX(J1889:K1889))=0,"",MIN(H1889,MAX(J1889:K1889))))</f>
        <v/>
      </c>
      <c r="G1889" s="74" t="n"/>
      <c r="H1889" s="49">
        <f>IF(M1889="","",IFERROR(ROUND(AVERAGE(T1889+M1889*{7,8,9,10,11})/1.21,4),""))</f>
        <v/>
      </c>
      <c r="I1889" s="76" t="n"/>
      <c r="J1889" s="77" t="n"/>
      <c r="K1889" s="74" t="n"/>
      <c r="L1889" s="78" t="n"/>
      <c r="M1889" s="77" t="n"/>
      <c r="N1889" s="53">
        <f>IF(M1889="","",IFERROR(M1889/I1889,""))</f>
        <v/>
      </c>
      <c r="O1889" s="50">
        <f>IF(A1889="","",IFERROR((IF(G1889="",I1889,G1889)-T1889)/M1889,""))</f>
        <v/>
      </c>
      <c r="P1889" s="50">
        <f>IFERROR((I1889/T1889-1)/N1889,"")</f>
        <v/>
      </c>
      <c r="Q1889" s="46">
        <f>IF(OR(T1889="",I1889&lt;T1889),"",IFERROR(R1889/IF(G1889="",I1889,G1889)-1,""))</f>
        <v/>
      </c>
      <c r="R1889" s="48">
        <f>IF($M1889="","",MAX(IF($G1889="",$I1889,$G1889)*(1/1.1),IF($G1889="",$I1889,$G1889)+(R$2*$M1889)))</f>
        <v/>
      </c>
      <c r="S1889" s="49">
        <f>IF($M1889="","",MAX(IF($G1889="",$I1889,$G1889)*(1/1.1),IF($G1889="",$I1889,$G1889)+(S$2*$M1889)))</f>
        <v/>
      </c>
      <c r="T1889" s="82" t="n"/>
      <c r="U1889" s="47">
        <f>IF(OR($M1889="",$T1889=""),"",$T1889+(U$2*$M1889))</f>
        <v/>
      </c>
      <c r="V1889" s="48">
        <f>IF(OR($M1889="",$T1889=""),"",$T1889+(V$2*$M1889))</f>
        <v/>
      </c>
      <c r="W1889" s="48">
        <f>IF(OR($M1889="",$T1889=""),"",$T1889+(W$2*$M1889))</f>
        <v/>
      </c>
      <c r="X1889" s="49">
        <f>IF(OR($M1889="",$T1889=""),"",$T1889+(X$2*$M1889))</f>
        <v/>
      </c>
      <c r="Y1889" s="47">
        <f>IF(OR($M1889="",$T1889=""),"",$T1889+(Y$2*$M1889))</f>
        <v/>
      </c>
      <c r="Z1889" s="49">
        <f>IF(OR($M1889="",$T1889=""),"",$T1889+(Z$2*$M1889))</f>
        <v/>
      </c>
      <c r="AA1889" s="51">
        <f>IF(OR($M1889="",$T1889=""),"",$T1889+(AA$2*$M1889))</f>
        <v/>
      </c>
      <c r="AB1889" s="48">
        <f>IF(OR($M1889="",$T1889=""),"",$T1889+(AB$2*$M1889))</f>
        <v/>
      </c>
      <c r="AC1889" s="48">
        <f>IF(OR($M1889="",$T1889=""),"",$T1889+(AC$2*$M1889))</f>
        <v/>
      </c>
      <c r="AD1889" s="48">
        <f>IF(OR($M1889="",$T1889=""),"",$T1889+(AD$2*$M1889))</f>
        <v/>
      </c>
      <c r="AE1889" s="49">
        <f>IF(OR($M1889="",$T1889=""),"",$T1889+(AE$2*$M1889))</f>
        <v/>
      </c>
      <c r="AF1889" s="52">
        <f>IF(OR(T1889="",I1889&lt;T1889),"",IFERROR(AVERAGE(T1889+M1889*{7,8,9,10,11})/IF(G1889="",I1889,G1889)-1,""))</f>
        <v/>
      </c>
      <c r="AG1889" s="55">
        <f>IF(OR(T1889="",I1889&lt;T1889),"",IFERROR(AF1889/-(R1889/IF(G1889="",I1889,G1889)-1),""))</f>
        <v/>
      </c>
      <c r="AH1889" s="94" t="n"/>
      <c r="AI1889" s="94" t="n"/>
      <c r="AJ1889" s="94" t="n"/>
      <c r="AK1889" s="94" t="n"/>
      <c r="AL1889" s="84" t="n"/>
    </row>
    <row r="1890">
      <c r="A1890" s="64" t="n"/>
      <c r="B1890" s="65" t="n"/>
      <c r="C1890" s="66" t="n"/>
      <c r="D1890" s="67" t="n"/>
      <c r="E1890" s="68" t="n"/>
      <c r="F1890" s="47">
        <f>IF(A1890="","",IF(MIN(H1890,MAX(J1890:K1890))=0,"",MIN(H1890,MAX(J1890:K1890))))</f>
        <v/>
      </c>
      <c r="G1890" s="74" t="n"/>
      <c r="H1890" s="49">
        <f>IF(M1890="","",IFERROR(ROUND(AVERAGE(T1890+M1890*{7,8,9,10,11})/1.21,4),""))</f>
        <v/>
      </c>
      <c r="I1890" s="76" t="n"/>
      <c r="J1890" s="77" t="n"/>
      <c r="K1890" s="74" t="n"/>
      <c r="L1890" s="78" t="n"/>
      <c r="M1890" s="77" t="n"/>
      <c r="N1890" s="53">
        <f>IF(M1890="","",IFERROR(M1890/I1890,""))</f>
        <v/>
      </c>
      <c r="O1890" s="50">
        <f>IF(A1890="","",IFERROR((IF(G1890="",I1890,G1890)-T1890)/M1890,""))</f>
        <v/>
      </c>
      <c r="P1890" s="50">
        <f>IFERROR((I1890/T1890-1)/N1890,"")</f>
        <v/>
      </c>
      <c r="Q1890" s="46">
        <f>IF(OR(T1890="",I1890&lt;T1890),"",IFERROR(R1890/IF(G1890="",I1890,G1890)-1,""))</f>
        <v/>
      </c>
      <c r="R1890" s="48">
        <f>IF($M1890="","",MAX(IF($G1890="",$I1890,$G1890)*(1/1.1),IF($G1890="",$I1890,$G1890)+(R$2*$M1890)))</f>
        <v/>
      </c>
      <c r="S1890" s="49">
        <f>IF($M1890="","",MAX(IF($G1890="",$I1890,$G1890)*(1/1.1),IF($G1890="",$I1890,$G1890)+(S$2*$M1890)))</f>
        <v/>
      </c>
      <c r="T1890" s="82" t="n"/>
      <c r="U1890" s="47">
        <f>IF(OR($M1890="",$T1890=""),"",$T1890+(U$2*$M1890))</f>
        <v/>
      </c>
      <c r="V1890" s="48">
        <f>IF(OR($M1890="",$T1890=""),"",$T1890+(V$2*$M1890))</f>
        <v/>
      </c>
      <c r="W1890" s="48">
        <f>IF(OR($M1890="",$T1890=""),"",$T1890+(W$2*$M1890))</f>
        <v/>
      </c>
      <c r="X1890" s="49">
        <f>IF(OR($M1890="",$T1890=""),"",$T1890+(X$2*$M1890))</f>
        <v/>
      </c>
      <c r="Y1890" s="47">
        <f>IF(OR($M1890="",$T1890=""),"",$T1890+(Y$2*$M1890))</f>
        <v/>
      </c>
      <c r="Z1890" s="49">
        <f>IF(OR($M1890="",$T1890=""),"",$T1890+(Z$2*$M1890))</f>
        <v/>
      </c>
      <c r="AA1890" s="51">
        <f>IF(OR($M1890="",$T1890=""),"",$T1890+(AA$2*$M1890))</f>
        <v/>
      </c>
      <c r="AB1890" s="48">
        <f>IF(OR($M1890="",$T1890=""),"",$T1890+(AB$2*$M1890))</f>
        <v/>
      </c>
      <c r="AC1890" s="48">
        <f>IF(OR($M1890="",$T1890=""),"",$T1890+(AC$2*$M1890))</f>
        <v/>
      </c>
      <c r="AD1890" s="48">
        <f>IF(OR($M1890="",$T1890=""),"",$T1890+(AD$2*$M1890))</f>
        <v/>
      </c>
      <c r="AE1890" s="49">
        <f>IF(OR($M1890="",$T1890=""),"",$T1890+(AE$2*$M1890))</f>
        <v/>
      </c>
      <c r="AF1890" s="52">
        <f>IF(OR(T1890="",I1890&lt;T1890),"",IFERROR(AVERAGE(T1890+M1890*{7,8,9,10,11})/IF(G1890="",I1890,G1890)-1,""))</f>
        <v/>
      </c>
      <c r="AG1890" s="55">
        <f>IF(OR(T1890="",I1890&lt;T1890),"",IFERROR(AF1890/-(R1890/IF(G1890="",I1890,G1890)-1),""))</f>
        <v/>
      </c>
      <c r="AH1890" s="94" t="n"/>
      <c r="AI1890" s="94" t="n"/>
      <c r="AJ1890" s="94" t="n"/>
      <c r="AK1890" s="94" t="n"/>
      <c r="AL1890" s="84" t="n"/>
    </row>
    <row r="1891">
      <c r="A1891" s="64" t="n"/>
      <c r="B1891" s="65" t="n"/>
      <c r="C1891" s="66" t="n"/>
      <c r="D1891" s="67" t="n"/>
      <c r="E1891" s="68" t="n"/>
      <c r="F1891" s="47">
        <f>IF(A1891="","",IF(MIN(H1891,MAX(J1891:K1891))=0,"",MIN(H1891,MAX(J1891:K1891))))</f>
        <v/>
      </c>
      <c r="G1891" s="74" t="n"/>
      <c r="H1891" s="49">
        <f>IF(M1891="","",IFERROR(ROUND(AVERAGE(T1891+M1891*{7,8,9,10,11})/1.21,4),""))</f>
        <v/>
      </c>
      <c r="I1891" s="76" t="n"/>
      <c r="J1891" s="77" t="n"/>
      <c r="K1891" s="74" t="n"/>
      <c r="L1891" s="78" t="n"/>
      <c r="M1891" s="77" t="n"/>
      <c r="N1891" s="53">
        <f>IF(M1891="","",IFERROR(M1891/I1891,""))</f>
        <v/>
      </c>
      <c r="O1891" s="50">
        <f>IF(A1891="","",IFERROR((IF(G1891="",I1891,G1891)-T1891)/M1891,""))</f>
        <v/>
      </c>
      <c r="P1891" s="50">
        <f>IFERROR((I1891/T1891-1)/N1891,"")</f>
        <v/>
      </c>
      <c r="Q1891" s="46">
        <f>IF(OR(T1891="",I1891&lt;T1891),"",IFERROR(R1891/IF(G1891="",I1891,G1891)-1,""))</f>
        <v/>
      </c>
      <c r="R1891" s="48">
        <f>IF($M1891="","",MAX(IF($G1891="",$I1891,$G1891)*(1/1.1),IF($G1891="",$I1891,$G1891)+(R$2*$M1891)))</f>
        <v/>
      </c>
      <c r="S1891" s="49">
        <f>IF($M1891="","",MAX(IF($G1891="",$I1891,$G1891)*(1/1.1),IF($G1891="",$I1891,$G1891)+(S$2*$M1891)))</f>
        <v/>
      </c>
      <c r="T1891" s="82" t="n"/>
      <c r="U1891" s="47">
        <f>IF(OR($M1891="",$T1891=""),"",$T1891+(U$2*$M1891))</f>
        <v/>
      </c>
      <c r="V1891" s="48">
        <f>IF(OR($M1891="",$T1891=""),"",$T1891+(V$2*$M1891))</f>
        <v/>
      </c>
      <c r="W1891" s="48">
        <f>IF(OR($M1891="",$T1891=""),"",$T1891+(W$2*$M1891))</f>
        <v/>
      </c>
      <c r="X1891" s="49">
        <f>IF(OR($M1891="",$T1891=""),"",$T1891+(X$2*$M1891))</f>
        <v/>
      </c>
      <c r="Y1891" s="47">
        <f>IF(OR($M1891="",$T1891=""),"",$T1891+(Y$2*$M1891))</f>
        <v/>
      </c>
      <c r="Z1891" s="49">
        <f>IF(OR($M1891="",$T1891=""),"",$T1891+(Z$2*$M1891))</f>
        <v/>
      </c>
      <c r="AA1891" s="51">
        <f>IF(OR($M1891="",$T1891=""),"",$T1891+(AA$2*$M1891))</f>
        <v/>
      </c>
      <c r="AB1891" s="48">
        <f>IF(OR($M1891="",$T1891=""),"",$T1891+(AB$2*$M1891))</f>
        <v/>
      </c>
      <c r="AC1891" s="48">
        <f>IF(OR($M1891="",$T1891=""),"",$T1891+(AC$2*$M1891))</f>
        <v/>
      </c>
      <c r="AD1891" s="48">
        <f>IF(OR($M1891="",$T1891=""),"",$T1891+(AD$2*$M1891))</f>
        <v/>
      </c>
      <c r="AE1891" s="49">
        <f>IF(OR($M1891="",$T1891=""),"",$T1891+(AE$2*$M1891))</f>
        <v/>
      </c>
      <c r="AF1891" s="52">
        <f>IF(OR(T1891="",I1891&lt;T1891),"",IFERROR(AVERAGE(T1891+M1891*{7,8,9,10,11})/IF(G1891="",I1891,G1891)-1,""))</f>
        <v/>
      </c>
      <c r="AG1891" s="55">
        <f>IF(OR(T1891="",I1891&lt;T1891),"",IFERROR(AF1891/-(R1891/IF(G1891="",I1891,G1891)-1),""))</f>
        <v/>
      </c>
      <c r="AH1891" s="94" t="n"/>
      <c r="AI1891" s="94" t="n"/>
      <c r="AJ1891" s="94" t="n"/>
      <c r="AK1891" s="94" t="n"/>
      <c r="AL1891" s="84" t="n"/>
    </row>
    <row r="1892">
      <c r="A1892" s="64" t="n"/>
      <c r="B1892" s="65" t="n"/>
      <c r="C1892" s="66" t="n"/>
      <c r="D1892" s="67" t="n"/>
      <c r="E1892" s="68" t="n"/>
      <c r="F1892" s="47">
        <f>IF(A1892="","",IF(MIN(H1892,MAX(J1892:K1892))=0,"",MIN(H1892,MAX(J1892:K1892))))</f>
        <v/>
      </c>
      <c r="G1892" s="74" t="n"/>
      <c r="H1892" s="49">
        <f>IF(M1892="","",IFERROR(ROUND(AVERAGE(T1892+M1892*{7,8,9,10,11})/1.21,4),""))</f>
        <v/>
      </c>
      <c r="I1892" s="76" t="n"/>
      <c r="J1892" s="77" t="n"/>
      <c r="K1892" s="74" t="n"/>
      <c r="L1892" s="78" t="n"/>
      <c r="M1892" s="77" t="n"/>
      <c r="N1892" s="53">
        <f>IF(M1892="","",IFERROR(M1892/I1892,""))</f>
        <v/>
      </c>
      <c r="O1892" s="50">
        <f>IF(A1892="","",IFERROR((IF(G1892="",I1892,G1892)-T1892)/M1892,""))</f>
        <v/>
      </c>
      <c r="P1892" s="50">
        <f>IFERROR((I1892/T1892-1)/N1892,"")</f>
        <v/>
      </c>
      <c r="Q1892" s="46">
        <f>IF(OR(T1892="",I1892&lt;T1892),"",IFERROR(R1892/IF(G1892="",I1892,G1892)-1,""))</f>
        <v/>
      </c>
      <c r="R1892" s="48">
        <f>IF($M1892="","",MAX(IF($G1892="",$I1892,$G1892)*(1/1.1),IF($G1892="",$I1892,$G1892)+(R$2*$M1892)))</f>
        <v/>
      </c>
      <c r="S1892" s="49">
        <f>IF($M1892="","",MAX(IF($G1892="",$I1892,$G1892)*(1/1.1),IF($G1892="",$I1892,$G1892)+(S$2*$M1892)))</f>
        <v/>
      </c>
      <c r="T1892" s="82" t="n"/>
      <c r="U1892" s="47">
        <f>IF(OR($M1892="",$T1892=""),"",$T1892+(U$2*$M1892))</f>
        <v/>
      </c>
      <c r="V1892" s="48">
        <f>IF(OR($M1892="",$T1892=""),"",$T1892+(V$2*$M1892))</f>
        <v/>
      </c>
      <c r="W1892" s="48">
        <f>IF(OR($M1892="",$T1892=""),"",$T1892+(W$2*$M1892))</f>
        <v/>
      </c>
      <c r="X1892" s="49">
        <f>IF(OR($M1892="",$T1892=""),"",$T1892+(X$2*$M1892))</f>
        <v/>
      </c>
      <c r="Y1892" s="47">
        <f>IF(OR($M1892="",$T1892=""),"",$T1892+(Y$2*$M1892))</f>
        <v/>
      </c>
      <c r="Z1892" s="49">
        <f>IF(OR($M1892="",$T1892=""),"",$T1892+(Z$2*$M1892))</f>
        <v/>
      </c>
      <c r="AA1892" s="51">
        <f>IF(OR($M1892="",$T1892=""),"",$T1892+(AA$2*$M1892))</f>
        <v/>
      </c>
      <c r="AB1892" s="48">
        <f>IF(OR($M1892="",$T1892=""),"",$T1892+(AB$2*$M1892))</f>
        <v/>
      </c>
      <c r="AC1892" s="48">
        <f>IF(OR($M1892="",$T1892=""),"",$T1892+(AC$2*$M1892))</f>
        <v/>
      </c>
      <c r="AD1892" s="48">
        <f>IF(OR($M1892="",$T1892=""),"",$T1892+(AD$2*$M1892))</f>
        <v/>
      </c>
      <c r="AE1892" s="49">
        <f>IF(OR($M1892="",$T1892=""),"",$T1892+(AE$2*$M1892))</f>
        <v/>
      </c>
      <c r="AF1892" s="52">
        <f>IF(OR(T1892="",I1892&lt;T1892),"",IFERROR(AVERAGE(T1892+M1892*{7,8,9,10,11})/IF(G1892="",I1892,G1892)-1,""))</f>
        <v/>
      </c>
      <c r="AG1892" s="55">
        <f>IF(OR(T1892="",I1892&lt;T1892),"",IFERROR(AF1892/-(R1892/IF(G1892="",I1892,G1892)-1),""))</f>
        <v/>
      </c>
      <c r="AH1892" s="94" t="n"/>
      <c r="AI1892" s="94" t="n"/>
      <c r="AJ1892" s="94" t="n"/>
      <c r="AK1892" s="94" t="n"/>
      <c r="AL1892" s="84" t="n"/>
    </row>
    <row r="1893">
      <c r="A1893" s="64" t="n"/>
      <c r="B1893" s="65" t="n"/>
      <c r="C1893" s="66" t="n"/>
      <c r="D1893" s="67" t="n"/>
      <c r="E1893" s="68" t="n"/>
      <c r="F1893" s="47">
        <f>IF(A1893="","",IF(MIN(H1893,MAX(J1893:K1893))=0,"",MIN(H1893,MAX(J1893:K1893))))</f>
        <v/>
      </c>
      <c r="G1893" s="74" t="n"/>
      <c r="H1893" s="49">
        <f>IF(M1893="","",IFERROR(ROUND(AVERAGE(T1893+M1893*{7,8,9,10,11})/1.21,4),""))</f>
        <v/>
      </c>
      <c r="I1893" s="76" t="n"/>
      <c r="J1893" s="77" t="n"/>
      <c r="K1893" s="74" t="n"/>
      <c r="L1893" s="78" t="n"/>
      <c r="M1893" s="77" t="n"/>
      <c r="N1893" s="53">
        <f>IF(M1893="","",IFERROR(M1893/I1893,""))</f>
        <v/>
      </c>
      <c r="O1893" s="50">
        <f>IF(A1893="","",IFERROR((IF(G1893="",I1893,G1893)-T1893)/M1893,""))</f>
        <v/>
      </c>
      <c r="P1893" s="50">
        <f>IFERROR((I1893/T1893-1)/N1893,"")</f>
        <v/>
      </c>
      <c r="Q1893" s="46">
        <f>IF(OR(T1893="",I1893&lt;T1893),"",IFERROR(R1893/IF(G1893="",I1893,G1893)-1,""))</f>
        <v/>
      </c>
      <c r="R1893" s="48">
        <f>IF($M1893="","",MAX(IF($G1893="",$I1893,$G1893)*(1/1.1),IF($G1893="",$I1893,$G1893)+(R$2*$M1893)))</f>
        <v/>
      </c>
      <c r="S1893" s="49">
        <f>IF($M1893="","",MAX(IF($G1893="",$I1893,$G1893)*(1/1.1),IF($G1893="",$I1893,$G1893)+(S$2*$M1893)))</f>
        <v/>
      </c>
      <c r="T1893" s="82" t="n"/>
      <c r="U1893" s="47">
        <f>IF(OR($M1893="",$T1893=""),"",$T1893+(U$2*$M1893))</f>
        <v/>
      </c>
      <c r="V1893" s="48">
        <f>IF(OR($M1893="",$T1893=""),"",$T1893+(V$2*$M1893))</f>
        <v/>
      </c>
      <c r="W1893" s="48">
        <f>IF(OR($M1893="",$T1893=""),"",$T1893+(W$2*$M1893))</f>
        <v/>
      </c>
      <c r="X1893" s="49">
        <f>IF(OR($M1893="",$T1893=""),"",$T1893+(X$2*$M1893))</f>
        <v/>
      </c>
      <c r="Y1893" s="47">
        <f>IF(OR($M1893="",$T1893=""),"",$T1893+(Y$2*$M1893))</f>
        <v/>
      </c>
      <c r="Z1893" s="49">
        <f>IF(OR($M1893="",$T1893=""),"",$T1893+(Z$2*$M1893))</f>
        <v/>
      </c>
      <c r="AA1893" s="51">
        <f>IF(OR($M1893="",$T1893=""),"",$T1893+(AA$2*$M1893))</f>
        <v/>
      </c>
      <c r="AB1893" s="48">
        <f>IF(OR($M1893="",$T1893=""),"",$T1893+(AB$2*$M1893))</f>
        <v/>
      </c>
      <c r="AC1893" s="48">
        <f>IF(OR($M1893="",$T1893=""),"",$T1893+(AC$2*$M1893))</f>
        <v/>
      </c>
      <c r="AD1893" s="48">
        <f>IF(OR($M1893="",$T1893=""),"",$T1893+(AD$2*$M1893))</f>
        <v/>
      </c>
      <c r="AE1893" s="49">
        <f>IF(OR($M1893="",$T1893=""),"",$T1893+(AE$2*$M1893))</f>
        <v/>
      </c>
      <c r="AF1893" s="52">
        <f>IF(OR(T1893="",I1893&lt;T1893),"",IFERROR(AVERAGE(T1893+M1893*{7,8,9,10,11})/IF(G1893="",I1893,G1893)-1,""))</f>
        <v/>
      </c>
      <c r="AG1893" s="55">
        <f>IF(OR(T1893="",I1893&lt;T1893),"",IFERROR(AF1893/-(R1893/IF(G1893="",I1893,G1893)-1),""))</f>
        <v/>
      </c>
      <c r="AH1893" s="94" t="n"/>
      <c r="AI1893" s="94" t="n"/>
      <c r="AJ1893" s="94" t="n"/>
      <c r="AK1893" s="94" t="n"/>
      <c r="AL1893" s="84" t="n"/>
    </row>
    <row r="1894">
      <c r="A1894" s="64" t="n"/>
      <c r="B1894" s="65" t="n"/>
      <c r="C1894" s="66" t="n"/>
      <c r="D1894" s="67" t="n"/>
      <c r="E1894" s="68" t="n"/>
      <c r="F1894" s="47">
        <f>IF(A1894="","",IF(MIN(H1894,MAX(J1894:K1894))=0,"",MIN(H1894,MAX(J1894:K1894))))</f>
        <v/>
      </c>
      <c r="G1894" s="74" t="n"/>
      <c r="H1894" s="49">
        <f>IF(M1894="","",IFERROR(ROUND(AVERAGE(T1894+M1894*{7,8,9,10,11})/1.21,4),""))</f>
        <v/>
      </c>
      <c r="I1894" s="76" t="n"/>
      <c r="J1894" s="77" t="n"/>
      <c r="K1894" s="74" t="n"/>
      <c r="L1894" s="78" t="n"/>
      <c r="M1894" s="77" t="n"/>
      <c r="N1894" s="53">
        <f>IF(M1894="","",IFERROR(M1894/I1894,""))</f>
        <v/>
      </c>
      <c r="O1894" s="50">
        <f>IF(A1894="","",IFERROR((IF(G1894="",I1894,G1894)-T1894)/M1894,""))</f>
        <v/>
      </c>
      <c r="P1894" s="50">
        <f>IFERROR((I1894/T1894-1)/N1894,"")</f>
        <v/>
      </c>
      <c r="Q1894" s="46">
        <f>IF(OR(T1894="",I1894&lt;T1894),"",IFERROR(R1894/IF(G1894="",I1894,G1894)-1,""))</f>
        <v/>
      </c>
      <c r="R1894" s="48">
        <f>IF($M1894="","",MAX(IF($G1894="",$I1894,$G1894)*(1/1.1),IF($G1894="",$I1894,$G1894)+(R$2*$M1894)))</f>
        <v/>
      </c>
      <c r="S1894" s="49">
        <f>IF($M1894="","",MAX(IF($G1894="",$I1894,$G1894)*(1/1.1),IF($G1894="",$I1894,$G1894)+(S$2*$M1894)))</f>
        <v/>
      </c>
      <c r="T1894" s="82" t="n"/>
      <c r="U1894" s="47">
        <f>IF(OR($M1894="",$T1894=""),"",$T1894+(U$2*$M1894))</f>
        <v/>
      </c>
      <c r="V1894" s="48">
        <f>IF(OR($M1894="",$T1894=""),"",$T1894+(V$2*$M1894))</f>
        <v/>
      </c>
      <c r="W1894" s="48">
        <f>IF(OR($M1894="",$T1894=""),"",$T1894+(W$2*$M1894))</f>
        <v/>
      </c>
      <c r="X1894" s="49">
        <f>IF(OR($M1894="",$T1894=""),"",$T1894+(X$2*$M1894))</f>
        <v/>
      </c>
      <c r="Y1894" s="47">
        <f>IF(OR($M1894="",$T1894=""),"",$T1894+(Y$2*$M1894))</f>
        <v/>
      </c>
      <c r="Z1894" s="49">
        <f>IF(OR($M1894="",$T1894=""),"",$T1894+(Z$2*$M1894))</f>
        <v/>
      </c>
      <c r="AA1894" s="51">
        <f>IF(OR($M1894="",$T1894=""),"",$T1894+(AA$2*$M1894))</f>
        <v/>
      </c>
      <c r="AB1894" s="48">
        <f>IF(OR($M1894="",$T1894=""),"",$T1894+(AB$2*$M1894))</f>
        <v/>
      </c>
      <c r="AC1894" s="48">
        <f>IF(OR($M1894="",$T1894=""),"",$T1894+(AC$2*$M1894))</f>
        <v/>
      </c>
      <c r="AD1894" s="48">
        <f>IF(OR($M1894="",$T1894=""),"",$T1894+(AD$2*$M1894))</f>
        <v/>
      </c>
      <c r="AE1894" s="49">
        <f>IF(OR($M1894="",$T1894=""),"",$T1894+(AE$2*$M1894))</f>
        <v/>
      </c>
      <c r="AF1894" s="52">
        <f>IF(OR(T1894="",I1894&lt;T1894),"",IFERROR(AVERAGE(T1894+M1894*{7,8,9,10,11})/IF(G1894="",I1894,G1894)-1,""))</f>
        <v/>
      </c>
      <c r="AG1894" s="55">
        <f>IF(OR(T1894="",I1894&lt;T1894),"",IFERROR(AF1894/-(R1894/IF(G1894="",I1894,G1894)-1),""))</f>
        <v/>
      </c>
      <c r="AH1894" s="94" t="n"/>
      <c r="AI1894" s="94" t="n"/>
      <c r="AJ1894" s="94" t="n"/>
      <c r="AK1894" s="94" t="n"/>
      <c r="AL1894" s="84" t="n"/>
    </row>
    <row r="1895">
      <c r="A1895" s="64" t="n"/>
      <c r="B1895" s="65" t="n"/>
      <c r="C1895" s="66" t="n"/>
      <c r="D1895" s="67" t="n"/>
      <c r="E1895" s="68" t="n"/>
      <c r="F1895" s="47">
        <f>IF(A1895="","",IF(MIN(H1895,MAX(J1895:K1895))=0,"",MIN(H1895,MAX(J1895:K1895))))</f>
        <v/>
      </c>
      <c r="G1895" s="74" t="n"/>
      <c r="H1895" s="49">
        <f>IF(M1895="","",IFERROR(ROUND(AVERAGE(T1895+M1895*{7,8,9,10,11})/1.21,4),""))</f>
        <v/>
      </c>
      <c r="I1895" s="76" t="n"/>
      <c r="J1895" s="77" t="n"/>
      <c r="K1895" s="74" t="n"/>
      <c r="L1895" s="78" t="n"/>
      <c r="M1895" s="77" t="n"/>
      <c r="N1895" s="53">
        <f>IF(M1895="","",IFERROR(M1895/I1895,""))</f>
        <v/>
      </c>
      <c r="O1895" s="50">
        <f>IF(A1895="","",IFERROR((IF(G1895="",I1895,G1895)-T1895)/M1895,""))</f>
        <v/>
      </c>
      <c r="P1895" s="50">
        <f>IFERROR((I1895/T1895-1)/N1895,"")</f>
        <v/>
      </c>
      <c r="Q1895" s="46">
        <f>IF(OR(T1895="",I1895&lt;T1895),"",IFERROR(R1895/IF(G1895="",I1895,G1895)-1,""))</f>
        <v/>
      </c>
      <c r="R1895" s="48">
        <f>IF($M1895="","",MAX(IF($G1895="",$I1895,$G1895)*(1/1.1),IF($G1895="",$I1895,$G1895)+(R$2*$M1895)))</f>
        <v/>
      </c>
      <c r="S1895" s="49">
        <f>IF($M1895="","",MAX(IF($G1895="",$I1895,$G1895)*(1/1.1),IF($G1895="",$I1895,$G1895)+(S$2*$M1895)))</f>
        <v/>
      </c>
      <c r="T1895" s="82" t="n"/>
      <c r="U1895" s="47">
        <f>IF(OR($M1895="",$T1895=""),"",$T1895+(U$2*$M1895))</f>
        <v/>
      </c>
      <c r="V1895" s="48">
        <f>IF(OR($M1895="",$T1895=""),"",$T1895+(V$2*$M1895))</f>
        <v/>
      </c>
      <c r="W1895" s="48">
        <f>IF(OR($M1895="",$T1895=""),"",$T1895+(W$2*$M1895))</f>
        <v/>
      </c>
      <c r="X1895" s="49">
        <f>IF(OR($M1895="",$T1895=""),"",$T1895+(X$2*$M1895))</f>
        <v/>
      </c>
      <c r="Y1895" s="47">
        <f>IF(OR($M1895="",$T1895=""),"",$T1895+(Y$2*$M1895))</f>
        <v/>
      </c>
      <c r="Z1895" s="49">
        <f>IF(OR($M1895="",$T1895=""),"",$T1895+(Z$2*$M1895))</f>
        <v/>
      </c>
      <c r="AA1895" s="51">
        <f>IF(OR($M1895="",$T1895=""),"",$T1895+(AA$2*$M1895))</f>
        <v/>
      </c>
      <c r="AB1895" s="48">
        <f>IF(OR($M1895="",$T1895=""),"",$T1895+(AB$2*$M1895))</f>
        <v/>
      </c>
      <c r="AC1895" s="48">
        <f>IF(OR($M1895="",$T1895=""),"",$T1895+(AC$2*$M1895))</f>
        <v/>
      </c>
      <c r="AD1895" s="48">
        <f>IF(OR($M1895="",$T1895=""),"",$T1895+(AD$2*$M1895))</f>
        <v/>
      </c>
      <c r="AE1895" s="49">
        <f>IF(OR($M1895="",$T1895=""),"",$T1895+(AE$2*$M1895))</f>
        <v/>
      </c>
      <c r="AF1895" s="52">
        <f>IF(OR(T1895="",I1895&lt;T1895),"",IFERROR(AVERAGE(T1895+M1895*{7,8,9,10,11})/IF(G1895="",I1895,G1895)-1,""))</f>
        <v/>
      </c>
      <c r="AG1895" s="55">
        <f>IF(OR(T1895="",I1895&lt;T1895),"",IFERROR(AF1895/-(R1895/IF(G1895="",I1895,G1895)-1),""))</f>
        <v/>
      </c>
      <c r="AH1895" s="94" t="n"/>
      <c r="AI1895" s="94" t="n"/>
      <c r="AJ1895" s="94" t="n"/>
      <c r="AK1895" s="94" t="n"/>
      <c r="AL1895" s="84" t="n"/>
    </row>
    <row r="1896">
      <c r="A1896" s="64" t="n"/>
      <c r="B1896" s="65" t="n"/>
      <c r="C1896" s="66" t="n"/>
      <c r="D1896" s="67" t="n"/>
      <c r="E1896" s="68" t="n"/>
      <c r="F1896" s="47">
        <f>IF(A1896="","",IF(MIN(H1896,MAX(J1896:K1896))=0,"",MIN(H1896,MAX(J1896:K1896))))</f>
        <v/>
      </c>
      <c r="G1896" s="74" t="n"/>
      <c r="H1896" s="49">
        <f>IF(M1896="","",IFERROR(ROUND(AVERAGE(T1896+M1896*{7,8,9,10,11})/1.21,4),""))</f>
        <v/>
      </c>
      <c r="I1896" s="76" t="n"/>
      <c r="J1896" s="77" t="n"/>
      <c r="K1896" s="74" t="n"/>
      <c r="L1896" s="78" t="n"/>
      <c r="M1896" s="77" t="n"/>
      <c r="N1896" s="53">
        <f>IF(M1896="","",IFERROR(M1896/I1896,""))</f>
        <v/>
      </c>
      <c r="O1896" s="50">
        <f>IF(A1896="","",IFERROR((IF(G1896="",I1896,G1896)-T1896)/M1896,""))</f>
        <v/>
      </c>
      <c r="P1896" s="50">
        <f>IFERROR((I1896/T1896-1)/N1896,"")</f>
        <v/>
      </c>
      <c r="Q1896" s="46">
        <f>IF(OR(T1896="",I1896&lt;T1896),"",IFERROR(R1896/IF(G1896="",I1896,G1896)-1,""))</f>
        <v/>
      </c>
      <c r="R1896" s="48">
        <f>IF($M1896="","",MAX(IF($G1896="",$I1896,$G1896)*(1/1.1),IF($G1896="",$I1896,$G1896)+(R$2*$M1896)))</f>
        <v/>
      </c>
      <c r="S1896" s="49">
        <f>IF($M1896="","",MAX(IF($G1896="",$I1896,$G1896)*(1/1.1),IF($G1896="",$I1896,$G1896)+(S$2*$M1896)))</f>
        <v/>
      </c>
      <c r="T1896" s="82" t="n"/>
      <c r="U1896" s="47">
        <f>IF(OR($M1896="",$T1896=""),"",$T1896+(U$2*$M1896))</f>
        <v/>
      </c>
      <c r="V1896" s="48">
        <f>IF(OR($M1896="",$T1896=""),"",$T1896+(V$2*$M1896))</f>
        <v/>
      </c>
      <c r="W1896" s="48">
        <f>IF(OR($M1896="",$T1896=""),"",$T1896+(W$2*$M1896))</f>
        <v/>
      </c>
      <c r="X1896" s="49">
        <f>IF(OR($M1896="",$T1896=""),"",$T1896+(X$2*$M1896))</f>
        <v/>
      </c>
      <c r="Y1896" s="47">
        <f>IF(OR($M1896="",$T1896=""),"",$T1896+(Y$2*$M1896))</f>
        <v/>
      </c>
      <c r="Z1896" s="49">
        <f>IF(OR($M1896="",$T1896=""),"",$T1896+(Z$2*$M1896))</f>
        <v/>
      </c>
      <c r="AA1896" s="51">
        <f>IF(OR($M1896="",$T1896=""),"",$T1896+(AA$2*$M1896))</f>
        <v/>
      </c>
      <c r="AB1896" s="48">
        <f>IF(OR($M1896="",$T1896=""),"",$T1896+(AB$2*$M1896))</f>
        <v/>
      </c>
      <c r="AC1896" s="48">
        <f>IF(OR($M1896="",$T1896=""),"",$T1896+(AC$2*$M1896))</f>
        <v/>
      </c>
      <c r="AD1896" s="48">
        <f>IF(OR($M1896="",$T1896=""),"",$T1896+(AD$2*$M1896))</f>
        <v/>
      </c>
      <c r="AE1896" s="49">
        <f>IF(OR($M1896="",$T1896=""),"",$T1896+(AE$2*$M1896))</f>
        <v/>
      </c>
      <c r="AF1896" s="52">
        <f>IF(OR(T1896="",I1896&lt;T1896),"",IFERROR(AVERAGE(T1896+M1896*{7,8,9,10,11})/IF(G1896="",I1896,G1896)-1,""))</f>
        <v/>
      </c>
      <c r="AG1896" s="55">
        <f>IF(OR(T1896="",I1896&lt;T1896),"",IFERROR(AF1896/-(R1896/IF(G1896="",I1896,G1896)-1),""))</f>
        <v/>
      </c>
      <c r="AH1896" s="94" t="n"/>
      <c r="AI1896" s="94" t="n"/>
      <c r="AJ1896" s="94" t="n"/>
      <c r="AK1896" s="94" t="n"/>
      <c r="AL1896" s="84" t="n"/>
    </row>
    <row r="1897">
      <c r="A1897" s="64" t="n"/>
      <c r="B1897" s="65" t="n"/>
      <c r="C1897" s="66" t="n"/>
      <c r="D1897" s="67" t="n"/>
      <c r="E1897" s="68" t="n"/>
      <c r="F1897" s="47">
        <f>IF(A1897="","",IF(MIN(H1897,MAX(J1897:K1897))=0,"",MIN(H1897,MAX(J1897:K1897))))</f>
        <v/>
      </c>
      <c r="G1897" s="74" t="n"/>
      <c r="H1897" s="49">
        <f>IF(M1897="","",IFERROR(ROUND(AVERAGE(T1897+M1897*{7,8,9,10,11})/1.21,4),""))</f>
        <v/>
      </c>
      <c r="I1897" s="76" t="n"/>
      <c r="J1897" s="77" t="n"/>
      <c r="K1897" s="74" t="n"/>
      <c r="L1897" s="78" t="n"/>
      <c r="M1897" s="77" t="n"/>
      <c r="N1897" s="53">
        <f>IF(M1897="","",IFERROR(M1897/I1897,""))</f>
        <v/>
      </c>
      <c r="O1897" s="50">
        <f>IF(A1897="","",IFERROR((IF(G1897="",I1897,G1897)-T1897)/M1897,""))</f>
        <v/>
      </c>
      <c r="P1897" s="50">
        <f>IFERROR((I1897/T1897-1)/N1897,"")</f>
        <v/>
      </c>
      <c r="Q1897" s="46">
        <f>IF(OR(T1897="",I1897&lt;T1897),"",IFERROR(R1897/IF(G1897="",I1897,G1897)-1,""))</f>
        <v/>
      </c>
      <c r="R1897" s="48">
        <f>IF($M1897="","",MAX(IF($G1897="",$I1897,$G1897)*(1/1.1),IF($G1897="",$I1897,$G1897)+(R$2*$M1897)))</f>
        <v/>
      </c>
      <c r="S1897" s="49">
        <f>IF($M1897="","",MAX(IF($G1897="",$I1897,$G1897)*(1/1.1),IF($G1897="",$I1897,$G1897)+(S$2*$M1897)))</f>
        <v/>
      </c>
      <c r="T1897" s="82" t="n"/>
      <c r="U1897" s="47">
        <f>IF(OR($M1897="",$T1897=""),"",$T1897+(U$2*$M1897))</f>
        <v/>
      </c>
      <c r="V1897" s="48">
        <f>IF(OR($M1897="",$T1897=""),"",$T1897+(V$2*$M1897))</f>
        <v/>
      </c>
      <c r="W1897" s="48">
        <f>IF(OR($M1897="",$T1897=""),"",$T1897+(W$2*$M1897))</f>
        <v/>
      </c>
      <c r="X1897" s="49">
        <f>IF(OR($M1897="",$T1897=""),"",$T1897+(X$2*$M1897))</f>
        <v/>
      </c>
      <c r="Y1897" s="47">
        <f>IF(OR($M1897="",$T1897=""),"",$T1897+(Y$2*$M1897))</f>
        <v/>
      </c>
      <c r="Z1897" s="49">
        <f>IF(OR($M1897="",$T1897=""),"",$T1897+(Z$2*$M1897))</f>
        <v/>
      </c>
      <c r="AA1897" s="51">
        <f>IF(OR($M1897="",$T1897=""),"",$T1897+(AA$2*$M1897))</f>
        <v/>
      </c>
      <c r="AB1897" s="48">
        <f>IF(OR($M1897="",$T1897=""),"",$T1897+(AB$2*$M1897))</f>
        <v/>
      </c>
      <c r="AC1897" s="48">
        <f>IF(OR($M1897="",$T1897=""),"",$T1897+(AC$2*$M1897))</f>
        <v/>
      </c>
      <c r="AD1897" s="48">
        <f>IF(OR($M1897="",$T1897=""),"",$T1897+(AD$2*$M1897))</f>
        <v/>
      </c>
      <c r="AE1897" s="49">
        <f>IF(OR($M1897="",$T1897=""),"",$T1897+(AE$2*$M1897))</f>
        <v/>
      </c>
      <c r="AF1897" s="52">
        <f>IF(OR(T1897="",I1897&lt;T1897),"",IFERROR(AVERAGE(T1897+M1897*{7,8,9,10,11})/IF(G1897="",I1897,G1897)-1,""))</f>
        <v/>
      </c>
      <c r="AG1897" s="55">
        <f>IF(OR(T1897="",I1897&lt;T1897),"",IFERROR(AF1897/-(R1897/IF(G1897="",I1897,G1897)-1),""))</f>
        <v/>
      </c>
      <c r="AH1897" s="94" t="n"/>
      <c r="AI1897" s="94" t="n"/>
      <c r="AJ1897" s="94" t="n"/>
      <c r="AK1897" s="94" t="n"/>
      <c r="AL1897" s="84" t="n"/>
    </row>
    <row r="1898">
      <c r="A1898" s="64" t="n"/>
      <c r="B1898" s="65" t="n"/>
      <c r="C1898" s="66" t="n"/>
      <c r="D1898" s="67" t="n"/>
      <c r="E1898" s="68" t="n"/>
      <c r="F1898" s="47">
        <f>IF(A1898="","",IF(MIN(H1898,MAX(J1898:K1898))=0,"",MIN(H1898,MAX(J1898:K1898))))</f>
        <v/>
      </c>
      <c r="G1898" s="74" t="n"/>
      <c r="H1898" s="49">
        <f>IF(M1898="","",IFERROR(ROUND(AVERAGE(T1898+M1898*{7,8,9,10,11})/1.21,4),""))</f>
        <v/>
      </c>
      <c r="I1898" s="76" t="n"/>
      <c r="J1898" s="77" t="n"/>
      <c r="K1898" s="74" t="n"/>
      <c r="L1898" s="78" t="n"/>
      <c r="M1898" s="77" t="n"/>
      <c r="N1898" s="53">
        <f>IF(M1898="","",IFERROR(M1898/I1898,""))</f>
        <v/>
      </c>
      <c r="O1898" s="50">
        <f>IF(A1898="","",IFERROR((IF(G1898="",I1898,G1898)-T1898)/M1898,""))</f>
        <v/>
      </c>
      <c r="P1898" s="50">
        <f>IFERROR((I1898/T1898-1)/N1898,"")</f>
        <v/>
      </c>
      <c r="Q1898" s="46">
        <f>IF(OR(T1898="",I1898&lt;T1898),"",IFERROR(R1898/IF(G1898="",I1898,G1898)-1,""))</f>
        <v/>
      </c>
      <c r="R1898" s="48">
        <f>IF($M1898="","",MAX(IF($G1898="",$I1898,$G1898)*(1/1.1),IF($G1898="",$I1898,$G1898)+(R$2*$M1898)))</f>
        <v/>
      </c>
      <c r="S1898" s="49">
        <f>IF($M1898="","",MAX(IF($G1898="",$I1898,$G1898)*(1/1.1),IF($G1898="",$I1898,$G1898)+(S$2*$M1898)))</f>
        <v/>
      </c>
      <c r="T1898" s="82" t="n"/>
      <c r="U1898" s="47">
        <f>IF(OR($M1898="",$T1898=""),"",$T1898+(U$2*$M1898))</f>
        <v/>
      </c>
      <c r="V1898" s="48">
        <f>IF(OR($M1898="",$T1898=""),"",$T1898+(V$2*$M1898))</f>
        <v/>
      </c>
      <c r="W1898" s="48">
        <f>IF(OR($M1898="",$T1898=""),"",$T1898+(W$2*$M1898))</f>
        <v/>
      </c>
      <c r="X1898" s="49">
        <f>IF(OR($M1898="",$T1898=""),"",$T1898+(X$2*$M1898))</f>
        <v/>
      </c>
      <c r="Y1898" s="47">
        <f>IF(OR($M1898="",$T1898=""),"",$T1898+(Y$2*$M1898))</f>
        <v/>
      </c>
      <c r="Z1898" s="49">
        <f>IF(OR($M1898="",$T1898=""),"",$T1898+(Z$2*$M1898))</f>
        <v/>
      </c>
      <c r="AA1898" s="51">
        <f>IF(OR($M1898="",$T1898=""),"",$T1898+(AA$2*$M1898))</f>
        <v/>
      </c>
      <c r="AB1898" s="48">
        <f>IF(OR($M1898="",$T1898=""),"",$T1898+(AB$2*$M1898))</f>
        <v/>
      </c>
      <c r="AC1898" s="48">
        <f>IF(OR($M1898="",$T1898=""),"",$T1898+(AC$2*$M1898))</f>
        <v/>
      </c>
      <c r="AD1898" s="48">
        <f>IF(OR($M1898="",$T1898=""),"",$T1898+(AD$2*$M1898))</f>
        <v/>
      </c>
      <c r="AE1898" s="49">
        <f>IF(OR($M1898="",$T1898=""),"",$T1898+(AE$2*$M1898))</f>
        <v/>
      </c>
      <c r="AF1898" s="52">
        <f>IF(OR(T1898="",I1898&lt;T1898),"",IFERROR(AVERAGE(T1898+M1898*{7,8,9,10,11})/IF(G1898="",I1898,G1898)-1,""))</f>
        <v/>
      </c>
      <c r="AG1898" s="55">
        <f>IF(OR(T1898="",I1898&lt;T1898),"",IFERROR(AF1898/-(R1898/IF(G1898="",I1898,G1898)-1),""))</f>
        <v/>
      </c>
      <c r="AH1898" s="94" t="n"/>
      <c r="AI1898" s="94" t="n"/>
      <c r="AJ1898" s="94" t="n"/>
      <c r="AK1898" s="94" t="n"/>
      <c r="AL1898" s="84" t="n"/>
    </row>
    <row r="1899">
      <c r="A1899" s="64" t="n"/>
      <c r="B1899" s="65" t="n"/>
      <c r="C1899" s="66" t="n"/>
      <c r="D1899" s="67" t="n"/>
      <c r="E1899" s="68" t="n"/>
      <c r="F1899" s="47">
        <f>IF(A1899="","",IF(MIN(H1899,MAX(J1899:K1899))=0,"",MIN(H1899,MAX(J1899:K1899))))</f>
        <v/>
      </c>
      <c r="G1899" s="74" t="n"/>
      <c r="H1899" s="49">
        <f>IF(M1899="","",IFERROR(ROUND(AVERAGE(T1899+M1899*{7,8,9,10,11})/1.21,4),""))</f>
        <v/>
      </c>
      <c r="I1899" s="76" t="n"/>
      <c r="J1899" s="77" t="n"/>
      <c r="K1899" s="74" t="n"/>
      <c r="L1899" s="78" t="n"/>
      <c r="M1899" s="77" t="n"/>
      <c r="N1899" s="53">
        <f>IF(M1899="","",IFERROR(M1899/I1899,""))</f>
        <v/>
      </c>
      <c r="O1899" s="50">
        <f>IF(A1899="","",IFERROR((IF(G1899="",I1899,G1899)-T1899)/M1899,""))</f>
        <v/>
      </c>
      <c r="P1899" s="50">
        <f>IFERROR((I1899/T1899-1)/N1899,"")</f>
        <v/>
      </c>
      <c r="Q1899" s="46">
        <f>IF(OR(T1899="",I1899&lt;T1899),"",IFERROR(R1899/IF(G1899="",I1899,G1899)-1,""))</f>
        <v/>
      </c>
      <c r="R1899" s="48">
        <f>IF($M1899="","",MAX(IF($G1899="",$I1899,$G1899)*(1/1.1),IF($G1899="",$I1899,$G1899)+(R$2*$M1899)))</f>
        <v/>
      </c>
      <c r="S1899" s="49">
        <f>IF($M1899="","",MAX(IF($G1899="",$I1899,$G1899)*(1/1.1),IF($G1899="",$I1899,$G1899)+(S$2*$M1899)))</f>
        <v/>
      </c>
      <c r="T1899" s="82" t="n"/>
      <c r="U1899" s="47">
        <f>IF(OR($M1899="",$T1899=""),"",$T1899+(U$2*$M1899))</f>
        <v/>
      </c>
      <c r="V1899" s="48">
        <f>IF(OR($M1899="",$T1899=""),"",$T1899+(V$2*$M1899))</f>
        <v/>
      </c>
      <c r="W1899" s="48">
        <f>IF(OR($M1899="",$T1899=""),"",$T1899+(W$2*$M1899))</f>
        <v/>
      </c>
      <c r="X1899" s="49">
        <f>IF(OR($M1899="",$T1899=""),"",$T1899+(X$2*$M1899))</f>
        <v/>
      </c>
      <c r="Y1899" s="47">
        <f>IF(OR($M1899="",$T1899=""),"",$T1899+(Y$2*$M1899))</f>
        <v/>
      </c>
      <c r="Z1899" s="49">
        <f>IF(OR($M1899="",$T1899=""),"",$T1899+(Z$2*$M1899))</f>
        <v/>
      </c>
      <c r="AA1899" s="51">
        <f>IF(OR($M1899="",$T1899=""),"",$T1899+(AA$2*$M1899))</f>
        <v/>
      </c>
      <c r="AB1899" s="48">
        <f>IF(OR($M1899="",$T1899=""),"",$T1899+(AB$2*$M1899))</f>
        <v/>
      </c>
      <c r="AC1899" s="48">
        <f>IF(OR($M1899="",$T1899=""),"",$T1899+(AC$2*$M1899))</f>
        <v/>
      </c>
      <c r="AD1899" s="48">
        <f>IF(OR($M1899="",$T1899=""),"",$T1899+(AD$2*$M1899))</f>
        <v/>
      </c>
      <c r="AE1899" s="49">
        <f>IF(OR($M1899="",$T1899=""),"",$T1899+(AE$2*$M1899))</f>
        <v/>
      </c>
      <c r="AF1899" s="52">
        <f>IF(OR(T1899="",I1899&lt;T1899),"",IFERROR(AVERAGE(T1899+M1899*{7,8,9,10,11})/IF(G1899="",I1899,G1899)-1,""))</f>
        <v/>
      </c>
      <c r="AG1899" s="55">
        <f>IF(OR(T1899="",I1899&lt;T1899),"",IFERROR(AF1899/-(R1899/IF(G1899="",I1899,G1899)-1),""))</f>
        <v/>
      </c>
      <c r="AH1899" s="94" t="n"/>
      <c r="AI1899" s="94" t="n"/>
      <c r="AJ1899" s="94" t="n"/>
      <c r="AK1899" s="94" t="n"/>
      <c r="AL1899" s="84" t="n"/>
    </row>
    <row r="1900">
      <c r="A1900" s="64" t="n"/>
      <c r="B1900" s="65" t="n"/>
      <c r="C1900" s="66" t="n"/>
      <c r="D1900" s="67" t="n"/>
      <c r="E1900" s="68" t="n"/>
      <c r="F1900" s="47">
        <f>IF(A1900="","",IF(MIN(H1900,MAX(J1900:K1900))=0,"",MIN(H1900,MAX(J1900:K1900))))</f>
        <v/>
      </c>
      <c r="G1900" s="74" t="n"/>
      <c r="H1900" s="49">
        <f>IF(M1900="","",IFERROR(ROUND(AVERAGE(T1900+M1900*{7,8,9,10,11})/1.21,4),""))</f>
        <v/>
      </c>
      <c r="I1900" s="76" t="n"/>
      <c r="J1900" s="77" t="n"/>
      <c r="K1900" s="74" t="n"/>
      <c r="L1900" s="78" t="n"/>
      <c r="M1900" s="77" t="n"/>
      <c r="N1900" s="53">
        <f>IF(M1900="","",IFERROR(M1900/I1900,""))</f>
        <v/>
      </c>
      <c r="O1900" s="50">
        <f>IF(A1900="","",IFERROR((IF(G1900="",I1900,G1900)-T1900)/M1900,""))</f>
        <v/>
      </c>
      <c r="P1900" s="50">
        <f>IFERROR((I1900/T1900-1)/N1900,"")</f>
        <v/>
      </c>
      <c r="Q1900" s="46">
        <f>IF(OR(T1900="",I1900&lt;T1900),"",IFERROR(R1900/IF(G1900="",I1900,G1900)-1,""))</f>
        <v/>
      </c>
      <c r="R1900" s="48">
        <f>IF($M1900="","",MAX(IF($G1900="",$I1900,$G1900)*(1/1.1),IF($G1900="",$I1900,$G1900)+(R$2*$M1900)))</f>
        <v/>
      </c>
      <c r="S1900" s="49">
        <f>IF($M1900="","",MAX(IF($G1900="",$I1900,$G1900)*(1/1.1),IF($G1900="",$I1900,$G1900)+(S$2*$M1900)))</f>
        <v/>
      </c>
      <c r="T1900" s="82" t="n"/>
      <c r="U1900" s="47">
        <f>IF(OR($M1900="",$T1900=""),"",$T1900+(U$2*$M1900))</f>
        <v/>
      </c>
      <c r="V1900" s="48">
        <f>IF(OR($M1900="",$T1900=""),"",$T1900+(V$2*$M1900))</f>
        <v/>
      </c>
      <c r="W1900" s="48">
        <f>IF(OR($M1900="",$T1900=""),"",$T1900+(W$2*$M1900))</f>
        <v/>
      </c>
      <c r="X1900" s="49">
        <f>IF(OR($M1900="",$T1900=""),"",$T1900+(X$2*$M1900))</f>
        <v/>
      </c>
      <c r="Y1900" s="47">
        <f>IF(OR($M1900="",$T1900=""),"",$T1900+(Y$2*$M1900))</f>
        <v/>
      </c>
      <c r="Z1900" s="49">
        <f>IF(OR($M1900="",$T1900=""),"",$T1900+(Z$2*$M1900))</f>
        <v/>
      </c>
      <c r="AA1900" s="51">
        <f>IF(OR($M1900="",$T1900=""),"",$T1900+(AA$2*$M1900))</f>
        <v/>
      </c>
      <c r="AB1900" s="48">
        <f>IF(OR($M1900="",$T1900=""),"",$T1900+(AB$2*$M1900))</f>
        <v/>
      </c>
      <c r="AC1900" s="48">
        <f>IF(OR($M1900="",$T1900=""),"",$T1900+(AC$2*$M1900))</f>
        <v/>
      </c>
      <c r="AD1900" s="48">
        <f>IF(OR($M1900="",$T1900=""),"",$T1900+(AD$2*$M1900))</f>
        <v/>
      </c>
      <c r="AE1900" s="49">
        <f>IF(OR($M1900="",$T1900=""),"",$T1900+(AE$2*$M1900))</f>
        <v/>
      </c>
      <c r="AF1900" s="52">
        <f>IF(OR(T1900="",I1900&lt;T1900),"",IFERROR(AVERAGE(T1900+M1900*{7,8,9,10,11})/IF(G1900="",I1900,G1900)-1,""))</f>
        <v/>
      </c>
      <c r="AG1900" s="55">
        <f>IF(OR(T1900="",I1900&lt;T1900),"",IFERROR(AF1900/-(R1900/IF(G1900="",I1900,G1900)-1),""))</f>
        <v/>
      </c>
      <c r="AH1900" s="94" t="n"/>
      <c r="AI1900" s="94" t="n"/>
      <c r="AJ1900" s="94" t="n"/>
      <c r="AK1900" s="94" t="n"/>
      <c r="AL1900" s="84" t="n"/>
    </row>
    <row r="1901">
      <c r="A1901" s="64" t="n"/>
      <c r="B1901" s="65" t="n"/>
      <c r="C1901" s="66" t="n"/>
      <c r="D1901" s="67" t="n"/>
      <c r="E1901" s="68" t="n"/>
      <c r="F1901" s="47">
        <f>IF(A1901="","",IF(MIN(H1901,MAX(J1901:K1901))=0,"",MIN(H1901,MAX(J1901:K1901))))</f>
        <v/>
      </c>
      <c r="G1901" s="74" t="n"/>
      <c r="H1901" s="49">
        <f>IF(M1901="","",IFERROR(ROUND(AVERAGE(T1901+M1901*{7,8,9,10,11})/1.21,4),""))</f>
        <v/>
      </c>
      <c r="I1901" s="76" t="n"/>
      <c r="J1901" s="77" t="n"/>
      <c r="K1901" s="74" t="n"/>
      <c r="L1901" s="78" t="n"/>
      <c r="M1901" s="77" t="n"/>
      <c r="N1901" s="53">
        <f>IF(M1901="","",IFERROR(M1901/I1901,""))</f>
        <v/>
      </c>
      <c r="O1901" s="50">
        <f>IF(A1901="","",IFERROR((IF(G1901="",I1901,G1901)-T1901)/M1901,""))</f>
        <v/>
      </c>
      <c r="P1901" s="50">
        <f>IFERROR((I1901/T1901-1)/N1901,"")</f>
        <v/>
      </c>
      <c r="Q1901" s="46">
        <f>IF(OR(T1901="",I1901&lt;T1901),"",IFERROR(R1901/IF(G1901="",I1901,G1901)-1,""))</f>
        <v/>
      </c>
      <c r="R1901" s="48">
        <f>IF($M1901="","",MAX(IF($G1901="",$I1901,$G1901)*(1/1.1),IF($G1901="",$I1901,$G1901)+(R$2*$M1901)))</f>
        <v/>
      </c>
      <c r="S1901" s="49">
        <f>IF($M1901="","",MAX(IF($G1901="",$I1901,$G1901)*(1/1.1),IF($G1901="",$I1901,$G1901)+(S$2*$M1901)))</f>
        <v/>
      </c>
      <c r="T1901" s="82" t="n"/>
      <c r="U1901" s="47">
        <f>IF(OR($M1901="",$T1901=""),"",$T1901+(U$2*$M1901))</f>
        <v/>
      </c>
      <c r="V1901" s="48">
        <f>IF(OR($M1901="",$T1901=""),"",$T1901+(V$2*$M1901))</f>
        <v/>
      </c>
      <c r="W1901" s="48">
        <f>IF(OR($M1901="",$T1901=""),"",$T1901+(W$2*$M1901))</f>
        <v/>
      </c>
      <c r="X1901" s="49">
        <f>IF(OR($M1901="",$T1901=""),"",$T1901+(X$2*$M1901))</f>
        <v/>
      </c>
      <c r="Y1901" s="47">
        <f>IF(OR($M1901="",$T1901=""),"",$T1901+(Y$2*$M1901))</f>
        <v/>
      </c>
      <c r="Z1901" s="49">
        <f>IF(OR($M1901="",$T1901=""),"",$T1901+(Z$2*$M1901))</f>
        <v/>
      </c>
      <c r="AA1901" s="51">
        <f>IF(OR($M1901="",$T1901=""),"",$T1901+(AA$2*$M1901))</f>
        <v/>
      </c>
      <c r="AB1901" s="48">
        <f>IF(OR($M1901="",$T1901=""),"",$T1901+(AB$2*$M1901))</f>
        <v/>
      </c>
      <c r="AC1901" s="48">
        <f>IF(OR($M1901="",$T1901=""),"",$T1901+(AC$2*$M1901))</f>
        <v/>
      </c>
      <c r="AD1901" s="48">
        <f>IF(OR($M1901="",$T1901=""),"",$T1901+(AD$2*$M1901))</f>
        <v/>
      </c>
      <c r="AE1901" s="49">
        <f>IF(OR($M1901="",$T1901=""),"",$T1901+(AE$2*$M1901))</f>
        <v/>
      </c>
      <c r="AF1901" s="52">
        <f>IF(OR(T1901="",I1901&lt;T1901),"",IFERROR(AVERAGE(T1901+M1901*{7,8,9,10,11})/IF(G1901="",I1901,G1901)-1,""))</f>
        <v/>
      </c>
      <c r="AG1901" s="55">
        <f>IF(OR(T1901="",I1901&lt;T1901),"",IFERROR(AF1901/-(R1901/IF(G1901="",I1901,G1901)-1),""))</f>
        <v/>
      </c>
      <c r="AH1901" s="94" t="n"/>
      <c r="AI1901" s="94" t="n"/>
      <c r="AJ1901" s="94" t="n"/>
      <c r="AK1901" s="94" t="n"/>
      <c r="AL1901" s="84" t="n"/>
    </row>
    <row r="1902">
      <c r="A1902" s="64" t="n"/>
      <c r="B1902" s="65" t="n"/>
      <c r="C1902" s="66" t="n"/>
      <c r="D1902" s="67" t="n"/>
      <c r="E1902" s="68" t="n"/>
      <c r="F1902" s="47">
        <f>IF(A1902="","",IF(MIN(H1902,MAX(J1902:K1902))=0,"",MIN(H1902,MAX(J1902:K1902))))</f>
        <v/>
      </c>
      <c r="G1902" s="74" t="n"/>
      <c r="H1902" s="49">
        <f>IF(M1902="","",IFERROR(ROUND(AVERAGE(T1902+M1902*{7,8,9,10,11})/1.21,4),""))</f>
        <v/>
      </c>
      <c r="I1902" s="76" t="n"/>
      <c r="J1902" s="77" t="n"/>
      <c r="K1902" s="74" t="n"/>
      <c r="L1902" s="78" t="n"/>
      <c r="M1902" s="77" t="n"/>
      <c r="N1902" s="53">
        <f>IF(M1902="","",IFERROR(M1902/I1902,""))</f>
        <v/>
      </c>
      <c r="O1902" s="50">
        <f>IF(A1902="","",IFERROR((IF(G1902="",I1902,G1902)-T1902)/M1902,""))</f>
        <v/>
      </c>
      <c r="P1902" s="50">
        <f>IFERROR((I1902/T1902-1)/N1902,"")</f>
        <v/>
      </c>
      <c r="Q1902" s="46">
        <f>IF(OR(T1902="",I1902&lt;T1902),"",IFERROR(R1902/IF(G1902="",I1902,G1902)-1,""))</f>
        <v/>
      </c>
      <c r="R1902" s="48">
        <f>IF($M1902="","",MAX(IF($G1902="",$I1902,$G1902)*(1/1.1),IF($G1902="",$I1902,$G1902)+(R$2*$M1902)))</f>
        <v/>
      </c>
      <c r="S1902" s="49">
        <f>IF($M1902="","",MAX(IF($G1902="",$I1902,$G1902)*(1/1.1),IF($G1902="",$I1902,$G1902)+(S$2*$M1902)))</f>
        <v/>
      </c>
      <c r="T1902" s="82" t="n"/>
      <c r="U1902" s="47">
        <f>IF(OR($M1902="",$T1902=""),"",$T1902+(U$2*$M1902))</f>
        <v/>
      </c>
      <c r="V1902" s="48">
        <f>IF(OR($M1902="",$T1902=""),"",$T1902+(V$2*$M1902))</f>
        <v/>
      </c>
      <c r="W1902" s="48">
        <f>IF(OR($M1902="",$T1902=""),"",$T1902+(W$2*$M1902))</f>
        <v/>
      </c>
      <c r="X1902" s="49">
        <f>IF(OR($M1902="",$T1902=""),"",$T1902+(X$2*$M1902))</f>
        <v/>
      </c>
      <c r="Y1902" s="47">
        <f>IF(OR($M1902="",$T1902=""),"",$T1902+(Y$2*$M1902))</f>
        <v/>
      </c>
      <c r="Z1902" s="49">
        <f>IF(OR($M1902="",$T1902=""),"",$T1902+(Z$2*$M1902))</f>
        <v/>
      </c>
      <c r="AA1902" s="51">
        <f>IF(OR($M1902="",$T1902=""),"",$T1902+(AA$2*$M1902))</f>
        <v/>
      </c>
      <c r="AB1902" s="48">
        <f>IF(OR($M1902="",$T1902=""),"",$T1902+(AB$2*$M1902))</f>
        <v/>
      </c>
      <c r="AC1902" s="48">
        <f>IF(OR($M1902="",$T1902=""),"",$T1902+(AC$2*$M1902))</f>
        <v/>
      </c>
      <c r="AD1902" s="48">
        <f>IF(OR($M1902="",$T1902=""),"",$T1902+(AD$2*$M1902))</f>
        <v/>
      </c>
      <c r="AE1902" s="49">
        <f>IF(OR($M1902="",$T1902=""),"",$T1902+(AE$2*$M1902))</f>
        <v/>
      </c>
      <c r="AF1902" s="52">
        <f>IF(OR(T1902="",I1902&lt;T1902),"",IFERROR(AVERAGE(T1902+M1902*{7,8,9,10,11})/IF(G1902="",I1902,G1902)-1,""))</f>
        <v/>
      </c>
      <c r="AG1902" s="55">
        <f>IF(OR(T1902="",I1902&lt;T1902),"",IFERROR(AF1902/-(R1902/IF(G1902="",I1902,G1902)-1),""))</f>
        <v/>
      </c>
      <c r="AH1902" s="94" t="n"/>
      <c r="AI1902" s="94" t="n"/>
      <c r="AJ1902" s="94" t="n"/>
      <c r="AK1902" s="94" t="n"/>
      <c r="AL1902" s="84" t="n"/>
    </row>
    <row r="1903">
      <c r="A1903" s="64" t="n"/>
      <c r="B1903" s="65" t="n"/>
      <c r="C1903" s="66" t="n"/>
      <c r="D1903" s="67" t="n"/>
      <c r="E1903" s="68" t="n"/>
      <c r="F1903" s="47">
        <f>IF(A1903="","",IF(MIN(H1903,MAX(J1903:K1903))=0,"",MIN(H1903,MAX(J1903:K1903))))</f>
        <v/>
      </c>
      <c r="G1903" s="74" t="n"/>
      <c r="H1903" s="49">
        <f>IF(M1903="","",IFERROR(ROUND(AVERAGE(T1903+M1903*{7,8,9,10,11})/1.21,4),""))</f>
        <v/>
      </c>
      <c r="I1903" s="76" t="n"/>
      <c r="J1903" s="77" t="n"/>
      <c r="K1903" s="74" t="n"/>
      <c r="L1903" s="78" t="n"/>
      <c r="M1903" s="77" t="n"/>
      <c r="N1903" s="53">
        <f>IF(M1903="","",IFERROR(M1903/I1903,""))</f>
        <v/>
      </c>
      <c r="O1903" s="50">
        <f>IF(A1903="","",IFERROR((IF(G1903="",I1903,G1903)-T1903)/M1903,""))</f>
        <v/>
      </c>
      <c r="P1903" s="50">
        <f>IFERROR((I1903/T1903-1)/N1903,"")</f>
        <v/>
      </c>
      <c r="Q1903" s="46">
        <f>IF(OR(T1903="",I1903&lt;T1903),"",IFERROR(R1903/IF(G1903="",I1903,G1903)-1,""))</f>
        <v/>
      </c>
      <c r="R1903" s="48">
        <f>IF($M1903="","",MAX(IF($G1903="",$I1903,$G1903)*(1/1.1),IF($G1903="",$I1903,$G1903)+(R$2*$M1903)))</f>
        <v/>
      </c>
      <c r="S1903" s="49">
        <f>IF($M1903="","",MAX(IF($G1903="",$I1903,$G1903)*(1/1.1),IF($G1903="",$I1903,$G1903)+(S$2*$M1903)))</f>
        <v/>
      </c>
      <c r="T1903" s="82" t="n"/>
      <c r="U1903" s="47">
        <f>IF(OR($M1903="",$T1903=""),"",$T1903+(U$2*$M1903))</f>
        <v/>
      </c>
      <c r="V1903" s="48">
        <f>IF(OR($M1903="",$T1903=""),"",$T1903+(V$2*$M1903))</f>
        <v/>
      </c>
      <c r="W1903" s="48">
        <f>IF(OR($M1903="",$T1903=""),"",$T1903+(W$2*$M1903))</f>
        <v/>
      </c>
      <c r="X1903" s="49">
        <f>IF(OR($M1903="",$T1903=""),"",$T1903+(X$2*$M1903))</f>
        <v/>
      </c>
      <c r="Y1903" s="47">
        <f>IF(OR($M1903="",$T1903=""),"",$T1903+(Y$2*$M1903))</f>
        <v/>
      </c>
      <c r="Z1903" s="49">
        <f>IF(OR($M1903="",$T1903=""),"",$T1903+(Z$2*$M1903))</f>
        <v/>
      </c>
      <c r="AA1903" s="51">
        <f>IF(OR($M1903="",$T1903=""),"",$T1903+(AA$2*$M1903))</f>
        <v/>
      </c>
      <c r="AB1903" s="48">
        <f>IF(OR($M1903="",$T1903=""),"",$T1903+(AB$2*$M1903))</f>
        <v/>
      </c>
      <c r="AC1903" s="48">
        <f>IF(OR($M1903="",$T1903=""),"",$T1903+(AC$2*$M1903))</f>
        <v/>
      </c>
      <c r="AD1903" s="48">
        <f>IF(OR($M1903="",$T1903=""),"",$T1903+(AD$2*$M1903))</f>
        <v/>
      </c>
      <c r="AE1903" s="49">
        <f>IF(OR($M1903="",$T1903=""),"",$T1903+(AE$2*$M1903))</f>
        <v/>
      </c>
      <c r="AF1903" s="52">
        <f>IF(OR(T1903="",I1903&lt;T1903),"",IFERROR(AVERAGE(T1903+M1903*{7,8,9,10,11})/IF(G1903="",I1903,G1903)-1,""))</f>
        <v/>
      </c>
      <c r="AG1903" s="55">
        <f>IF(OR(T1903="",I1903&lt;T1903),"",IFERROR(AF1903/-(R1903/IF(G1903="",I1903,G1903)-1),""))</f>
        <v/>
      </c>
      <c r="AH1903" s="94" t="n"/>
      <c r="AI1903" s="94" t="n"/>
      <c r="AJ1903" s="94" t="n"/>
      <c r="AK1903" s="94" t="n"/>
      <c r="AL1903" s="84" t="n"/>
    </row>
    <row r="1904">
      <c r="A1904" s="64" t="n"/>
      <c r="B1904" s="65" t="n"/>
      <c r="C1904" s="66" t="n"/>
      <c r="D1904" s="67" t="n"/>
      <c r="E1904" s="68" t="n"/>
      <c r="F1904" s="47">
        <f>IF(A1904="","",IF(MIN(H1904,MAX(J1904:K1904))=0,"",MIN(H1904,MAX(J1904:K1904))))</f>
        <v/>
      </c>
      <c r="G1904" s="74" t="n"/>
      <c r="H1904" s="49">
        <f>IF(M1904="","",IFERROR(ROUND(AVERAGE(T1904+M1904*{7,8,9,10,11})/1.21,4),""))</f>
        <v/>
      </c>
      <c r="I1904" s="76" t="n"/>
      <c r="J1904" s="77" t="n"/>
      <c r="K1904" s="74" t="n"/>
      <c r="L1904" s="78" t="n"/>
      <c r="M1904" s="77" t="n"/>
      <c r="N1904" s="53">
        <f>IF(M1904="","",IFERROR(M1904/I1904,""))</f>
        <v/>
      </c>
      <c r="O1904" s="50">
        <f>IF(A1904="","",IFERROR((IF(G1904="",I1904,G1904)-T1904)/M1904,""))</f>
        <v/>
      </c>
      <c r="P1904" s="50">
        <f>IFERROR((I1904/T1904-1)/N1904,"")</f>
        <v/>
      </c>
      <c r="Q1904" s="46">
        <f>IF(OR(T1904="",I1904&lt;T1904),"",IFERROR(R1904/IF(G1904="",I1904,G1904)-1,""))</f>
        <v/>
      </c>
      <c r="R1904" s="48">
        <f>IF($M1904="","",MAX(IF($G1904="",$I1904,$G1904)*(1/1.1),IF($G1904="",$I1904,$G1904)+(R$2*$M1904)))</f>
        <v/>
      </c>
      <c r="S1904" s="49">
        <f>IF($M1904="","",MAX(IF($G1904="",$I1904,$G1904)*(1/1.1),IF($G1904="",$I1904,$G1904)+(S$2*$M1904)))</f>
        <v/>
      </c>
      <c r="T1904" s="82" t="n"/>
      <c r="U1904" s="47">
        <f>IF(OR($M1904="",$T1904=""),"",$T1904+(U$2*$M1904))</f>
        <v/>
      </c>
      <c r="V1904" s="48">
        <f>IF(OR($M1904="",$T1904=""),"",$T1904+(V$2*$M1904))</f>
        <v/>
      </c>
      <c r="W1904" s="48">
        <f>IF(OR($M1904="",$T1904=""),"",$T1904+(W$2*$M1904))</f>
        <v/>
      </c>
      <c r="X1904" s="49">
        <f>IF(OR($M1904="",$T1904=""),"",$T1904+(X$2*$M1904))</f>
        <v/>
      </c>
      <c r="Y1904" s="47">
        <f>IF(OR($M1904="",$T1904=""),"",$T1904+(Y$2*$M1904))</f>
        <v/>
      </c>
      <c r="Z1904" s="49">
        <f>IF(OR($M1904="",$T1904=""),"",$T1904+(Z$2*$M1904))</f>
        <v/>
      </c>
      <c r="AA1904" s="51">
        <f>IF(OR($M1904="",$T1904=""),"",$T1904+(AA$2*$M1904))</f>
        <v/>
      </c>
      <c r="AB1904" s="48">
        <f>IF(OR($M1904="",$T1904=""),"",$T1904+(AB$2*$M1904))</f>
        <v/>
      </c>
      <c r="AC1904" s="48">
        <f>IF(OR($M1904="",$T1904=""),"",$T1904+(AC$2*$M1904))</f>
        <v/>
      </c>
      <c r="AD1904" s="48">
        <f>IF(OR($M1904="",$T1904=""),"",$T1904+(AD$2*$M1904))</f>
        <v/>
      </c>
      <c r="AE1904" s="49">
        <f>IF(OR($M1904="",$T1904=""),"",$T1904+(AE$2*$M1904))</f>
        <v/>
      </c>
      <c r="AF1904" s="52">
        <f>IF(OR(T1904="",I1904&lt;T1904),"",IFERROR(AVERAGE(T1904+M1904*{7,8,9,10,11})/IF(G1904="",I1904,G1904)-1,""))</f>
        <v/>
      </c>
      <c r="AG1904" s="55">
        <f>IF(OR(T1904="",I1904&lt;T1904),"",IFERROR(AF1904/-(R1904/IF(G1904="",I1904,G1904)-1),""))</f>
        <v/>
      </c>
      <c r="AH1904" s="94" t="n"/>
      <c r="AI1904" s="94" t="n"/>
      <c r="AJ1904" s="94" t="n"/>
      <c r="AK1904" s="94" t="n"/>
      <c r="AL1904" s="84" t="n"/>
    </row>
    <row r="1905">
      <c r="A1905" s="64" t="n"/>
      <c r="B1905" s="65" t="n"/>
      <c r="C1905" s="66" t="n"/>
      <c r="D1905" s="67" t="n"/>
      <c r="E1905" s="68" t="n"/>
      <c r="F1905" s="47">
        <f>IF(A1905="","",IF(MIN(H1905,MAX(J1905:K1905))=0,"",MIN(H1905,MAX(J1905:K1905))))</f>
        <v/>
      </c>
      <c r="G1905" s="74" t="n"/>
      <c r="H1905" s="49">
        <f>IF(M1905="","",IFERROR(ROUND(AVERAGE(T1905+M1905*{7,8,9,10,11})/1.21,4),""))</f>
        <v/>
      </c>
      <c r="I1905" s="76" t="n"/>
      <c r="J1905" s="77" t="n"/>
      <c r="K1905" s="74" t="n"/>
      <c r="L1905" s="78" t="n"/>
      <c r="M1905" s="77" t="n"/>
      <c r="N1905" s="53">
        <f>IF(M1905="","",IFERROR(M1905/I1905,""))</f>
        <v/>
      </c>
      <c r="O1905" s="50">
        <f>IF(A1905="","",IFERROR((IF(G1905="",I1905,G1905)-T1905)/M1905,""))</f>
        <v/>
      </c>
      <c r="P1905" s="50">
        <f>IFERROR((I1905/T1905-1)/N1905,"")</f>
        <v/>
      </c>
      <c r="Q1905" s="46">
        <f>IF(OR(T1905="",I1905&lt;T1905),"",IFERROR(R1905/IF(G1905="",I1905,G1905)-1,""))</f>
        <v/>
      </c>
      <c r="R1905" s="48">
        <f>IF($M1905="","",MAX(IF($G1905="",$I1905,$G1905)*(1/1.1),IF($G1905="",$I1905,$G1905)+(R$2*$M1905)))</f>
        <v/>
      </c>
      <c r="S1905" s="49">
        <f>IF($M1905="","",MAX(IF($G1905="",$I1905,$G1905)*(1/1.1),IF($G1905="",$I1905,$G1905)+(S$2*$M1905)))</f>
        <v/>
      </c>
      <c r="T1905" s="82" t="n"/>
      <c r="U1905" s="47">
        <f>IF(OR($M1905="",$T1905=""),"",$T1905+(U$2*$M1905))</f>
        <v/>
      </c>
      <c r="V1905" s="48">
        <f>IF(OR($M1905="",$T1905=""),"",$T1905+(V$2*$M1905))</f>
        <v/>
      </c>
      <c r="W1905" s="48">
        <f>IF(OR($M1905="",$T1905=""),"",$T1905+(W$2*$M1905))</f>
        <v/>
      </c>
      <c r="X1905" s="49">
        <f>IF(OR($M1905="",$T1905=""),"",$T1905+(X$2*$M1905))</f>
        <v/>
      </c>
      <c r="Y1905" s="47">
        <f>IF(OR($M1905="",$T1905=""),"",$T1905+(Y$2*$M1905))</f>
        <v/>
      </c>
      <c r="Z1905" s="49">
        <f>IF(OR($M1905="",$T1905=""),"",$T1905+(Z$2*$M1905))</f>
        <v/>
      </c>
      <c r="AA1905" s="51">
        <f>IF(OR($M1905="",$T1905=""),"",$T1905+(AA$2*$M1905))</f>
        <v/>
      </c>
      <c r="AB1905" s="48">
        <f>IF(OR($M1905="",$T1905=""),"",$T1905+(AB$2*$M1905))</f>
        <v/>
      </c>
      <c r="AC1905" s="48">
        <f>IF(OR($M1905="",$T1905=""),"",$T1905+(AC$2*$M1905))</f>
        <v/>
      </c>
      <c r="AD1905" s="48">
        <f>IF(OR($M1905="",$T1905=""),"",$T1905+(AD$2*$M1905))</f>
        <v/>
      </c>
      <c r="AE1905" s="49">
        <f>IF(OR($M1905="",$T1905=""),"",$T1905+(AE$2*$M1905))</f>
        <v/>
      </c>
      <c r="AF1905" s="52">
        <f>IF(OR(T1905="",I1905&lt;T1905),"",IFERROR(AVERAGE(T1905+M1905*{7,8,9,10,11})/IF(G1905="",I1905,G1905)-1,""))</f>
        <v/>
      </c>
      <c r="AG1905" s="55">
        <f>IF(OR(T1905="",I1905&lt;T1905),"",IFERROR(AF1905/-(R1905/IF(G1905="",I1905,G1905)-1),""))</f>
        <v/>
      </c>
      <c r="AH1905" s="94" t="n"/>
      <c r="AI1905" s="94" t="n"/>
      <c r="AJ1905" s="94" t="n"/>
      <c r="AK1905" s="94" t="n"/>
      <c r="AL1905" s="84" t="n"/>
    </row>
    <row r="1906">
      <c r="A1906" s="64" t="n"/>
      <c r="B1906" s="65" t="n"/>
      <c r="C1906" s="66" t="n"/>
      <c r="D1906" s="67" t="n"/>
      <c r="E1906" s="68" t="n"/>
      <c r="F1906" s="47">
        <f>IF(A1906="","",IF(MIN(H1906,MAX(J1906:K1906))=0,"",MIN(H1906,MAX(J1906:K1906))))</f>
        <v/>
      </c>
      <c r="G1906" s="74" t="n"/>
      <c r="H1906" s="49">
        <f>IF(M1906="","",IFERROR(ROUND(AVERAGE(T1906+M1906*{7,8,9,10,11})/1.21,4),""))</f>
        <v/>
      </c>
      <c r="I1906" s="76" t="n"/>
      <c r="J1906" s="77" t="n"/>
      <c r="K1906" s="74" t="n"/>
      <c r="L1906" s="78" t="n"/>
      <c r="M1906" s="77" t="n"/>
      <c r="N1906" s="53">
        <f>IF(M1906="","",IFERROR(M1906/I1906,""))</f>
        <v/>
      </c>
      <c r="O1906" s="50">
        <f>IF(A1906="","",IFERROR((IF(G1906="",I1906,G1906)-T1906)/M1906,""))</f>
        <v/>
      </c>
      <c r="P1906" s="50">
        <f>IFERROR((I1906/T1906-1)/N1906,"")</f>
        <v/>
      </c>
      <c r="Q1906" s="46">
        <f>IF(OR(T1906="",I1906&lt;T1906),"",IFERROR(R1906/IF(G1906="",I1906,G1906)-1,""))</f>
        <v/>
      </c>
      <c r="R1906" s="48">
        <f>IF($M1906="","",MAX(IF($G1906="",$I1906,$G1906)*(1/1.1),IF($G1906="",$I1906,$G1906)+(R$2*$M1906)))</f>
        <v/>
      </c>
      <c r="S1906" s="49">
        <f>IF($M1906="","",MAX(IF($G1906="",$I1906,$G1906)*(1/1.1),IF($G1906="",$I1906,$G1906)+(S$2*$M1906)))</f>
        <v/>
      </c>
      <c r="T1906" s="82" t="n"/>
      <c r="U1906" s="47">
        <f>IF(OR($M1906="",$T1906=""),"",$T1906+(U$2*$M1906))</f>
        <v/>
      </c>
      <c r="V1906" s="48">
        <f>IF(OR($M1906="",$T1906=""),"",$T1906+(V$2*$M1906))</f>
        <v/>
      </c>
      <c r="W1906" s="48">
        <f>IF(OR($M1906="",$T1906=""),"",$T1906+(W$2*$M1906))</f>
        <v/>
      </c>
      <c r="X1906" s="49">
        <f>IF(OR($M1906="",$T1906=""),"",$T1906+(X$2*$M1906))</f>
        <v/>
      </c>
      <c r="Y1906" s="47">
        <f>IF(OR($M1906="",$T1906=""),"",$T1906+(Y$2*$M1906))</f>
        <v/>
      </c>
      <c r="Z1906" s="49">
        <f>IF(OR($M1906="",$T1906=""),"",$T1906+(Z$2*$M1906))</f>
        <v/>
      </c>
      <c r="AA1906" s="51">
        <f>IF(OR($M1906="",$T1906=""),"",$T1906+(AA$2*$M1906))</f>
        <v/>
      </c>
      <c r="AB1906" s="48">
        <f>IF(OR($M1906="",$T1906=""),"",$T1906+(AB$2*$M1906))</f>
        <v/>
      </c>
      <c r="AC1906" s="48">
        <f>IF(OR($M1906="",$T1906=""),"",$T1906+(AC$2*$M1906))</f>
        <v/>
      </c>
      <c r="AD1906" s="48">
        <f>IF(OR($M1906="",$T1906=""),"",$T1906+(AD$2*$M1906))</f>
        <v/>
      </c>
      <c r="AE1906" s="49">
        <f>IF(OR($M1906="",$T1906=""),"",$T1906+(AE$2*$M1906))</f>
        <v/>
      </c>
      <c r="AF1906" s="52">
        <f>IF(OR(T1906="",I1906&lt;T1906),"",IFERROR(AVERAGE(T1906+M1906*{7,8,9,10,11})/IF(G1906="",I1906,G1906)-1,""))</f>
        <v/>
      </c>
      <c r="AG1906" s="55">
        <f>IF(OR(T1906="",I1906&lt;T1906),"",IFERROR(AF1906/-(R1906/IF(G1906="",I1906,G1906)-1),""))</f>
        <v/>
      </c>
      <c r="AH1906" s="94" t="n"/>
      <c r="AI1906" s="94" t="n"/>
      <c r="AJ1906" s="94" t="n"/>
      <c r="AK1906" s="94" t="n"/>
      <c r="AL1906" s="84" t="n"/>
    </row>
    <row r="1907">
      <c r="A1907" s="64" t="n"/>
      <c r="B1907" s="65" t="n"/>
      <c r="C1907" s="66" t="n"/>
      <c r="D1907" s="67" t="n"/>
      <c r="E1907" s="68" t="n"/>
      <c r="F1907" s="47">
        <f>IF(A1907="","",IF(MIN(H1907,MAX(J1907:K1907))=0,"",MIN(H1907,MAX(J1907:K1907))))</f>
        <v/>
      </c>
      <c r="G1907" s="74" t="n"/>
      <c r="H1907" s="49">
        <f>IF(M1907="","",IFERROR(ROUND(AVERAGE(T1907+M1907*{7,8,9,10,11})/1.21,4),""))</f>
        <v/>
      </c>
      <c r="I1907" s="76" t="n"/>
      <c r="J1907" s="77" t="n"/>
      <c r="K1907" s="74" t="n"/>
      <c r="L1907" s="78" t="n"/>
      <c r="M1907" s="77" t="n"/>
      <c r="N1907" s="53">
        <f>IF(M1907="","",IFERROR(M1907/I1907,""))</f>
        <v/>
      </c>
      <c r="O1907" s="50">
        <f>IF(A1907="","",IFERROR((IF(G1907="",I1907,G1907)-T1907)/M1907,""))</f>
        <v/>
      </c>
      <c r="P1907" s="50">
        <f>IFERROR((I1907/T1907-1)/N1907,"")</f>
        <v/>
      </c>
      <c r="Q1907" s="46">
        <f>IF(OR(T1907="",I1907&lt;T1907),"",IFERROR(R1907/IF(G1907="",I1907,G1907)-1,""))</f>
        <v/>
      </c>
      <c r="R1907" s="48">
        <f>IF($M1907="","",MAX(IF($G1907="",$I1907,$G1907)*(1/1.1),IF($G1907="",$I1907,$G1907)+(R$2*$M1907)))</f>
        <v/>
      </c>
      <c r="S1907" s="49">
        <f>IF($M1907="","",MAX(IF($G1907="",$I1907,$G1907)*(1/1.1),IF($G1907="",$I1907,$G1907)+(S$2*$M1907)))</f>
        <v/>
      </c>
      <c r="T1907" s="82" t="n"/>
      <c r="U1907" s="47">
        <f>IF(OR($M1907="",$T1907=""),"",$T1907+(U$2*$M1907))</f>
        <v/>
      </c>
      <c r="V1907" s="48">
        <f>IF(OR($M1907="",$T1907=""),"",$T1907+(V$2*$M1907))</f>
        <v/>
      </c>
      <c r="W1907" s="48">
        <f>IF(OR($M1907="",$T1907=""),"",$T1907+(W$2*$M1907))</f>
        <v/>
      </c>
      <c r="X1907" s="49">
        <f>IF(OR($M1907="",$T1907=""),"",$T1907+(X$2*$M1907))</f>
        <v/>
      </c>
      <c r="Y1907" s="47">
        <f>IF(OR($M1907="",$T1907=""),"",$T1907+(Y$2*$M1907))</f>
        <v/>
      </c>
      <c r="Z1907" s="49">
        <f>IF(OR($M1907="",$T1907=""),"",$T1907+(Z$2*$M1907))</f>
        <v/>
      </c>
      <c r="AA1907" s="51">
        <f>IF(OR($M1907="",$T1907=""),"",$T1907+(AA$2*$M1907))</f>
        <v/>
      </c>
      <c r="AB1907" s="48">
        <f>IF(OR($M1907="",$T1907=""),"",$T1907+(AB$2*$M1907))</f>
        <v/>
      </c>
      <c r="AC1907" s="48">
        <f>IF(OR($M1907="",$T1907=""),"",$T1907+(AC$2*$M1907))</f>
        <v/>
      </c>
      <c r="AD1907" s="48">
        <f>IF(OR($M1907="",$T1907=""),"",$T1907+(AD$2*$M1907))</f>
        <v/>
      </c>
      <c r="AE1907" s="49">
        <f>IF(OR($M1907="",$T1907=""),"",$T1907+(AE$2*$M1907))</f>
        <v/>
      </c>
      <c r="AF1907" s="52">
        <f>IF(OR(T1907="",I1907&lt;T1907),"",IFERROR(AVERAGE(T1907+M1907*{7,8,9,10,11})/IF(G1907="",I1907,G1907)-1,""))</f>
        <v/>
      </c>
      <c r="AG1907" s="55">
        <f>IF(OR(T1907="",I1907&lt;T1907),"",IFERROR(AF1907/-(R1907/IF(G1907="",I1907,G1907)-1),""))</f>
        <v/>
      </c>
      <c r="AH1907" s="94" t="n"/>
      <c r="AI1907" s="94" t="n"/>
      <c r="AJ1907" s="94" t="n"/>
      <c r="AK1907" s="94" t="n"/>
      <c r="AL1907" s="84" t="n"/>
    </row>
    <row r="1908">
      <c r="A1908" s="64" t="n"/>
      <c r="B1908" s="65" t="n"/>
      <c r="C1908" s="66" t="n"/>
      <c r="D1908" s="67" t="n"/>
      <c r="E1908" s="68" t="n"/>
      <c r="F1908" s="47">
        <f>IF(A1908="","",IF(MIN(H1908,MAX(J1908:K1908))=0,"",MIN(H1908,MAX(J1908:K1908))))</f>
        <v/>
      </c>
      <c r="G1908" s="74" t="n"/>
      <c r="H1908" s="49">
        <f>IF(M1908="","",IFERROR(ROUND(AVERAGE(T1908+M1908*{7,8,9,10,11})/1.21,4),""))</f>
        <v/>
      </c>
      <c r="I1908" s="76" t="n"/>
      <c r="J1908" s="77" t="n"/>
      <c r="K1908" s="74" t="n"/>
      <c r="L1908" s="78" t="n"/>
      <c r="M1908" s="77" t="n"/>
      <c r="N1908" s="53">
        <f>IF(M1908="","",IFERROR(M1908/I1908,""))</f>
        <v/>
      </c>
      <c r="O1908" s="50">
        <f>IF(A1908="","",IFERROR((IF(G1908="",I1908,G1908)-T1908)/M1908,""))</f>
        <v/>
      </c>
      <c r="P1908" s="50">
        <f>IFERROR((I1908/T1908-1)/N1908,"")</f>
        <v/>
      </c>
      <c r="Q1908" s="46">
        <f>IF(OR(T1908="",I1908&lt;T1908),"",IFERROR(R1908/IF(G1908="",I1908,G1908)-1,""))</f>
        <v/>
      </c>
      <c r="R1908" s="48">
        <f>IF($M1908="","",MAX(IF($G1908="",$I1908,$G1908)*(1/1.1),IF($G1908="",$I1908,$G1908)+(R$2*$M1908)))</f>
        <v/>
      </c>
      <c r="S1908" s="49">
        <f>IF($M1908="","",MAX(IF($G1908="",$I1908,$G1908)*(1/1.1),IF($G1908="",$I1908,$G1908)+(S$2*$M1908)))</f>
        <v/>
      </c>
      <c r="T1908" s="82" t="n"/>
      <c r="U1908" s="47">
        <f>IF(OR($M1908="",$T1908=""),"",$T1908+(U$2*$M1908))</f>
        <v/>
      </c>
      <c r="V1908" s="48">
        <f>IF(OR($M1908="",$T1908=""),"",$T1908+(V$2*$M1908))</f>
        <v/>
      </c>
      <c r="W1908" s="48">
        <f>IF(OR($M1908="",$T1908=""),"",$T1908+(W$2*$M1908))</f>
        <v/>
      </c>
      <c r="X1908" s="49">
        <f>IF(OR($M1908="",$T1908=""),"",$T1908+(X$2*$M1908))</f>
        <v/>
      </c>
      <c r="Y1908" s="47">
        <f>IF(OR($M1908="",$T1908=""),"",$T1908+(Y$2*$M1908))</f>
        <v/>
      </c>
      <c r="Z1908" s="49">
        <f>IF(OR($M1908="",$T1908=""),"",$T1908+(Z$2*$M1908))</f>
        <v/>
      </c>
      <c r="AA1908" s="51">
        <f>IF(OR($M1908="",$T1908=""),"",$T1908+(AA$2*$M1908))</f>
        <v/>
      </c>
      <c r="AB1908" s="48">
        <f>IF(OR($M1908="",$T1908=""),"",$T1908+(AB$2*$M1908))</f>
        <v/>
      </c>
      <c r="AC1908" s="48">
        <f>IF(OR($M1908="",$T1908=""),"",$T1908+(AC$2*$M1908))</f>
        <v/>
      </c>
      <c r="AD1908" s="48">
        <f>IF(OR($M1908="",$T1908=""),"",$T1908+(AD$2*$M1908))</f>
        <v/>
      </c>
      <c r="AE1908" s="49">
        <f>IF(OR($M1908="",$T1908=""),"",$T1908+(AE$2*$M1908))</f>
        <v/>
      </c>
      <c r="AF1908" s="52">
        <f>IF(OR(T1908="",I1908&lt;T1908),"",IFERROR(AVERAGE(T1908+M1908*{7,8,9,10,11})/IF(G1908="",I1908,G1908)-1,""))</f>
        <v/>
      </c>
      <c r="AG1908" s="55">
        <f>IF(OR(T1908="",I1908&lt;T1908),"",IFERROR(AF1908/-(R1908/IF(G1908="",I1908,G1908)-1),""))</f>
        <v/>
      </c>
      <c r="AH1908" s="94" t="n"/>
      <c r="AI1908" s="94" t="n"/>
      <c r="AJ1908" s="94" t="n"/>
      <c r="AK1908" s="94" t="n"/>
      <c r="AL1908" s="84" t="n"/>
    </row>
    <row r="1909">
      <c r="A1909" s="64" t="n"/>
      <c r="B1909" s="65" t="n"/>
      <c r="C1909" s="66" t="n"/>
      <c r="D1909" s="67" t="n"/>
      <c r="E1909" s="68" t="n"/>
      <c r="F1909" s="47">
        <f>IF(A1909="","",IF(MIN(H1909,MAX(J1909:K1909))=0,"",MIN(H1909,MAX(J1909:K1909))))</f>
        <v/>
      </c>
      <c r="G1909" s="74" t="n"/>
      <c r="H1909" s="49">
        <f>IF(M1909="","",IFERROR(ROUND(AVERAGE(T1909+M1909*{7,8,9,10,11})/1.21,4),""))</f>
        <v/>
      </c>
      <c r="I1909" s="76" t="n"/>
      <c r="J1909" s="77" t="n"/>
      <c r="K1909" s="74" t="n"/>
      <c r="L1909" s="78" t="n"/>
      <c r="M1909" s="77" t="n"/>
      <c r="N1909" s="53">
        <f>IF(M1909="","",IFERROR(M1909/I1909,""))</f>
        <v/>
      </c>
      <c r="O1909" s="50">
        <f>IF(A1909="","",IFERROR((IF(G1909="",I1909,G1909)-T1909)/M1909,""))</f>
        <v/>
      </c>
      <c r="P1909" s="50">
        <f>IFERROR((I1909/T1909-1)/N1909,"")</f>
        <v/>
      </c>
      <c r="Q1909" s="46">
        <f>IF(OR(T1909="",I1909&lt;T1909),"",IFERROR(R1909/IF(G1909="",I1909,G1909)-1,""))</f>
        <v/>
      </c>
      <c r="R1909" s="48">
        <f>IF($M1909="","",MAX(IF($G1909="",$I1909,$G1909)*(1/1.1),IF($G1909="",$I1909,$G1909)+(R$2*$M1909)))</f>
        <v/>
      </c>
      <c r="S1909" s="49">
        <f>IF($M1909="","",MAX(IF($G1909="",$I1909,$G1909)*(1/1.1),IF($G1909="",$I1909,$G1909)+(S$2*$M1909)))</f>
        <v/>
      </c>
      <c r="T1909" s="82" t="n"/>
      <c r="U1909" s="47">
        <f>IF(OR($M1909="",$T1909=""),"",$T1909+(U$2*$M1909))</f>
        <v/>
      </c>
      <c r="V1909" s="48">
        <f>IF(OR($M1909="",$T1909=""),"",$T1909+(V$2*$M1909))</f>
        <v/>
      </c>
      <c r="W1909" s="48">
        <f>IF(OR($M1909="",$T1909=""),"",$T1909+(W$2*$M1909))</f>
        <v/>
      </c>
      <c r="X1909" s="49">
        <f>IF(OR($M1909="",$T1909=""),"",$T1909+(X$2*$M1909))</f>
        <v/>
      </c>
      <c r="Y1909" s="47">
        <f>IF(OR($M1909="",$T1909=""),"",$T1909+(Y$2*$M1909))</f>
        <v/>
      </c>
      <c r="Z1909" s="49">
        <f>IF(OR($M1909="",$T1909=""),"",$T1909+(Z$2*$M1909))</f>
        <v/>
      </c>
      <c r="AA1909" s="51">
        <f>IF(OR($M1909="",$T1909=""),"",$T1909+(AA$2*$M1909))</f>
        <v/>
      </c>
      <c r="AB1909" s="48">
        <f>IF(OR($M1909="",$T1909=""),"",$T1909+(AB$2*$M1909))</f>
        <v/>
      </c>
      <c r="AC1909" s="48">
        <f>IF(OR($M1909="",$T1909=""),"",$T1909+(AC$2*$M1909))</f>
        <v/>
      </c>
      <c r="AD1909" s="48">
        <f>IF(OR($M1909="",$T1909=""),"",$T1909+(AD$2*$M1909))</f>
        <v/>
      </c>
      <c r="AE1909" s="49">
        <f>IF(OR($M1909="",$T1909=""),"",$T1909+(AE$2*$M1909))</f>
        <v/>
      </c>
      <c r="AF1909" s="52">
        <f>IF(OR(T1909="",I1909&lt;T1909),"",IFERROR(AVERAGE(T1909+M1909*{7,8,9,10,11})/IF(G1909="",I1909,G1909)-1,""))</f>
        <v/>
      </c>
      <c r="AG1909" s="55">
        <f>IF(OR(T1909="",I1909&lt;T1909),"",IFERROR(AF1909/-(R1909/IF(G1909="",I1909,G1909)-1),""))</f>
        <v/>
      </c>
      <c r="AH1909" s="94" t="n"/>
      <c r="AI1909" s="94" t="n"/>
      <c r="AJ1909" s="94" t="n"/>
      <c r="AK1909" s="94" t="n"/>
      <c r="AL1909" s="84" t="n"/>
    </row>
    <row r="1910">
      <c r="A1910" s="64" t="n"/>
      <c r="B1910" s="65" t="n"/>
      <c r="C1910" s="66" t="n"/>
      <c r="D1910" s="67" t="n"/>
      <c r="E1910" s="68" t="n"/>
      <c r="F1910" s="47">
        <f>IF(A1910="","",IF(MIN(H1910,MAX(J1910:K1910))=0,"",MIN(H1910,MAX(J1910:K1910))))</f>
        <v/>
      </c>
      <c r="G1910" s="74" t="n"/>
      <c r="H1910" s="49">
        <f>IF(M1910="","",IFERROR(ROUND(AVERAGE(T1910+M1910*{7,8,9,10,11})/1.21,4),""))</f>
        <v/>
      </c>
      <c r="I1910" s="76" t="n"/>
      <c r="J1910" s="77" t="n"/>
      <c r="K1910" s="74" t="n"/>
      <c r="L1910" s="78" t="n"/>
      <c r="M1910" s="77" t="n"/>
      <c r="N1910" s="53">
        <f>IF(M1910="","",IFERROR(M1910/I1910,""))</f>
        <v/>
      </c>
      <c r="O1910" s="50">
        <f>IF(A1910="","",IFERROR((IF(G1910="",I1910,G1910)-T1910)/M1910,""))</f>
        <v/>
      </c>
      <c r="P1910" s="50">
        <f>IFERROR((I1910/T1910-1)/N1910,"")</f>
        <v/>
      </c>
      <c r="Q1910" s="46">
        <f>IF(OR(T1910="",I1910&lt;T1910),"",IFERROR(R1910/IF(G1910="",I1910,G1910)-1,""))</f>
        <v/>
      </c>
      <c r="R1910" s="48">
        <f>IF($M1910="","",MAX(IF($G1910="",$I1910,$G1910)*(1/1.1),IF($G1910="",$I1910,$G1910)+(R$2*$M1910)))</f>
        <v/>
      </c>
      <c r="S1910" s="49">
        <f>IF($M1910="","",MAX(IF($G1910="",$I1910,$G1910)*(1/1.1),IF($G1910="",$I1910,$G1910)+(S$2*$M1910)))</f>
        <v/>
      </c>
      <c r="T1910" s="82" t="n"/>
      <c r="U1910" s="47">
        <f>IF(OR($M1910="",$T1910=""),"",$T1910+(U$2*$M1910))</f>
        <v/>
      </c>
      <c r="V1910" s="48">
        <f>IF(OR($M1910="",$T1910=""),"",$T1910+(V$2*$M1910))</f>
        <v/>
      </c>
      <c r="W1910" s="48">
        <f>IF(OR($M1910="",$T1910=""),"",$T1910+(W$2*$M1910))</f>
        <v/>
      </c>
      <c r="X1910" s="49">
        <f>IF(OR($M1910="",$T1910=""),"",$T1910+(X$2*$M1910))</f>
        <v/>
      </c>
      <c r="Y1910" s="47">
        <f>IF(OR($M1910="",$T1910=""),"",$T1910+(Y$2*$M1910))</f>
        <v/>
      </c>
      <c r="Z1910" s="49">
        <f>IF(OR($M1910="",$T1910=""),"",$T1910+(Z$2*$M1910))</f>
        <v/>
      </c>
      <c r="AA1910" s="51">
        <f>IF(OR($M1910="",$T1910=""),"",$T1910+(AA$2*$M1910))</f>
        <v/>
      </c>
      <c r="AB1910" s="48">
        <f>IF(OR($M1910="",$T1910=""),"",$T1910+(AB$2*$M1910))</f>
        <v/>
      </c>
      <c r="AC1910" s="48">
        <f>IF(OR($M1910="",$T1910=""),"",$T1910+(AC$2*$M1910))</f>
        <v/>
      </c>
      <c r="AD1910" s="48">
        <f>IF(OR($M1910="",$T1910=""),"",$T1910+(AD$2*$M1910))</f>
        <v/>
      </c>
      <c r="AE1910" s="49">
        <f>IF(OR($M1910="",$T1910=""),"",$T1910+(AE$2*$M1910))</f>
        <v/>
      </c>
      <c r="AF1910" s="52">
        <f>IF(OR(T1910="",I1910&lt;T1910),"",IFERROR(AVERAGE(T1910+M1910*{7,8,9,10,11})/IF(G1910="",I1910,G1910)-1,""))</f>
        <v/>
      </c>
      <c r="AG1910" s="55">
        <f>IF(OR(T1910="",I1910&lt;T1910),"",IFERROR(AF1910/-(R1910/IF(G1910="",I1910,G1910)-1),""))</f>
        <v/>
      </c>
      <c r="AH1910" s="94" t="n"/>
      <c r="AI1910" s="94" t="n"/>
      <c r="AJ1910" s="94" t="n"/>
      <c r="AK1910" s="94" t="n"/>
      <c r="AL1910" s="84" t="n"/>
    </row>
    <row r="1911">
      <c r="A1911" s="64" t="n"/>
      <c r="B1911" s="65" t="n"/>
      <c r="C1911" s="66" t="n"/>
      <c r="D1911" s="67" t="n"/>
      <c r="E1911" s="68" t="n"/>
      <c r="F1911" s="47">
        <f>IF(A1911="","",IF(MIN(H1911,MAX(J1911:K1911))=0,"",MIN(H1911,MAX(J1911:K1911))))</f>
        <v/>
      </c>
      <c r="G1911" s="74" t="n"/>
      <c r="H1911" s="49">
        <f>IF(M1911="","",IFERROR(ROUND(AVERAGE(T1911+M1911*{7,8,9,10,11})/1.21,4),""))</f>
        <v/>
      </c>
      <c r="I1911" s="76" t="n"/>
      <c r="J1911" s="77" t="n"/>
      <c r="K1911" s="74" t="n"/>
      <c r="L1911" s="78" t="n"/>
      <c r="M1911" s="77" t="n"/>
      <c r="N1911" s="53">
        <f>IF(M1911="","",IFERROR(M1911/I1911,""))</f>
        <v/>
      </c>
      <c r="O1911" s="50">
        <f>IF(A1911="","",IFERROR((IF(G1911="",I1911,G1911)-T1911)/M1911,""))</f>
        <v/>
      </c>
      <c r="P1911" s="50">
        <f>IFERROR((I1911/T1911-1)/N1911,"")</f>
        <v/>
      </c>
      <c r="Q1911" s="46">
        <f>IF(OR(T1911="",I1911&lt;T1911),"",IFERROR(R1911/IF(G1911="",I1911,G1911)-1,""))</f>
        <v/>
      </c>
      <c r="R1911" s="48">
        <f>IF($M1911="","",MAX(IF($G1911="",$I1911,$G1911)*(1/1.1),IF($G1911="",$I1911,$G1911)+(R$2*$M1911)))</f>
        <v/>
      </c>
      <c r="S1911" s="49">
        <f>IF($M1911="","",MAX(IF($G1911="",$I1911,$G1911)*(1/1.1),IF($G1911="",$I1911,$G1911)+(S$2*$M1911)))</f>
        <v/>
      </c>
      <c r="T1911" s="82" t="n"/>
      <c r="U1911" s="47">
        <f>IF(OR($M1911="",$T1911=""),"",$T1911+(U$2*$M1911))</f>
        <v/>
      </c>
      <c r="V1911" s="48">
        <f>IF(OR($M1911="",$T1911=""),"",$T1911+(V$2*$M1911))</f>
        <v/>
      </c>
      <c r="W1911" s="48">
        <f>IF(OR($M1911="",$T1911=""),"",$T1911+(W$2*$M1911))</f>
        <v/>
      </c>
      <c r="X1911" s="49">
        <f>IF(OR($M1911="",$T1911=""),"",$T1911+(X$2*$M1911))</f>
        <v/>
      </c>
      <c r="Y1911" s="47">
        <f>IF(OR($M1911="",$T1911=""),"",$T1911+(Y$2*$M1911))</f>
        <v/>
      </c>
      <c r="Z1911" s="49">
        <f>IF(OR($M1911="",$T1911=""),"",$T1911+(Z$2*$M1911))</f>
        <v/>
      </c>
      <c r="AA1911" s="51">
        <f>IF(OR($M1911="",$T1911=""),"",$T1911+(AA$2*$M1911))</f>
        <v/>
      </c>
      <c r="AB1911" s="48">
        <f>IF(OR($M1911="",$T1911=""),"",$T1911+(AB$2*$M1911))</f>
        <v/>
      </c>
      <c r="AC1911" s="48">
        <f>IF(OR($M1911="",$T1911=""),"",$T1911+(AC$2*$M1911))</f>
        <v/>
      </c>
      <c r="AD1911" s="48">
        <f>IF(OR($M1911="",$T1911=""),"",$T1911+(AD$2*$M1911))</f>
        <v/>
      </c>
      <c r="AE1911" s="49">
        <f>IF(OR($M1911="",$T1911=""),"",$T1911+(AE$2*$M1911))</f>
        <v/>
      </c>
      <c r="AF1911" s="52">
        <f>IF(OR(T1911="",I1911&lt;T1911),"",IFERROR(AVERAGE(T1911+M1911*{7,8,9,10,11})/IF(G1911="",I1911,G1911)-1,""))</f>
        <v/>
      </c>
      <c r="AG1911" s="55">
        <f>IF(OR(T1911="",I1911&lt;T1911),"",IFERROR(AF1911/-(R1911/IF(G1911="",I1911,G1911)-1),""))</f>
        <v/>
      </c>
      <c r="AH1911" s="94" t="n"/>
      <c r="AI1911" s="94" t="n"/>
      <c r="AJ1911" s="94" t="n"/>
      <c r="AK1911" s="94" t="n"/>
      <c r="AL1911" s="84" t="n"/>
    </row>
    <row r="1912">
      <c r="A1912" s="64" t="n"/>
      <c r="B1912" s="65" t="n"/>
      <c r="C1912" s="66" t="n"/>
      <c r="D1912" s="67" t="n"/>
      <c r="E1912" s="68" t="n"/>
      <c r="F1912" s="47">
        <f>IF(A1912="","",IF(MIN(H1912,MAX(J1912:K1912))=0,"",MIN(H1912,MAX(J1912:K1912))))</f>
        <v/>
      </c>
      <c r="G1912" s="74" t="n"/>
      <c r="H1912" s="49">
        <f>IF(M1912="","",IFERROR(ROUND(AVERAGE(T1912+M1912*{7,8,9,10,11})/1.21,4),""))</f>
        <v/>
      </c>
      <c r="I1912" s="76" t="n"/>
      <c r="J1912" s="77" t="n"/>
      <c r="K1912" s="74" t="n"/>
      <c r="L1912" s="78" t="n"/>
      <c r="M1912" s="77" t="n"/>
      <c r="N1912" s="53">
        <f>IF(M1912="","",IFERROR(M1912/I1912,""))</f>
        <v/>
      </c>
      <c r="O1912" s="50">
        <f>IF(A1912="","",IFERROR((IF(G1912="",I1912,G1912)-T1912)/M1912,""))</f>
        <v/>
      </c>
      <c r="P1912" s="50">
        <f>IFERROR((I1912/T1912-1)/N1912,"")</f>
        <v/>
      </c>
      <c r="Q1912" s="46">
        <f>IF(OR(T1912="",I1912&lt;T1912),"",IFERROR(R1912/IF(G1912="",I1912,G1912)-1,""))</f>
        <v/>
      </c>
      <c r="R1912" s="48">
        <f>IF($M1912="","",MAX(IF($G1912="",$I1912,$G1912)*(1/1.1),IF($G1912="",$I1912,$G1912)+(R$2*$M1912)))</f>
        <v/>
      </c>
      <c r="S1912" s="49">
        <f>IF($M1912="","",MAX(IF($G1912="",$I1912,$G1912)*(1/1.1),IF($G1912="",$I1912,$G1912)+(S$2*$M1912)))</f>
        <v/>
      </c>
      <c r="T1912" s="82" t="n"/>
      <c r="U1912" s="47">
        <f>IF(OR($M1912="",$T1912=""),"",$T1912+(U$2*$M1912))</f>
        <v/>
      </c>
      <c r="V1912" s="48">
        <f>IF(OR($M1912="",$T1912=""),"",$T1912+(V$2*$M1912))</f>
        <v/>
      </c>
      <c r="W1912" s="48">
        <f>IF(OR($M1912="",$T1912=""),"",$T1912+(W$2*$M1912))</f>
        <v/>
      </c>
      <c r="X1912" s="49">
        <f>IF(OR($M1912="",$T1912=""),"",$T1912+(X$2*$M1912))</f>
        <v/>
      </c>
      <c r="Y1912" s="47">
        <f>IF(OR($M1912="",$T1912=""),"",$T1912+(Y$2*$M1912))</f>
        <v/>
      </c>
      <c r="Z1912" s="49">
        <f>IF(OR($M1912="",$T1912=""),"",$T1912+(Z$2*$M1912))</f>
        <v/>
      </c>
      <c r="AA1912" s="51">
        <f>IF(OR($M1912="",$T1912=""),"",$T1912+(AA$2*$M1912))</f>
        <v/>
      </c>
      <c r="AB1912" s="48">
        <f>IF(OR($M1912="",$T1912=""),"",$T1912+(AB$2*$M1912))</f>
        <v/>
      </c>
      <c r="AC1912" s="48">
        <f>IF(OR($M1912="",$T1912=""),"",$T1912+(AC$2*$M1912))</f>
        <v/>
      </c>
      <c r="AD1912" s="48">
        <f>IF(OR($M1912="",$T1912=""),"",$T1912+(AD$2*$M1912))</f>
        <v/>
      </c>
      <c r="AE1912" s="49">
        <f>IF(OR($M1912="",$T1912=""),"",$T1912+(AE$2*$M1912))</f>
        <v/>
      </c>
      <c r="AF1912" s="52">
        <f>IF(OR(T1912="",I1912&lt;T1912),"",IFERROR(AVERAGE(T1912+M1912*{7,8,9,10,11})/IF(G1912="",I1912,G1912)-1,""))</f>
        <v/>
      </c>
      <c r="AG1912" s="55">
        <f>IF(OR(T1912="",I1912&lt;T1912),"",IFERROR(AF1912/-(R1912/IF(G1912="",I1912,G1912)-1),""))</f>
        <v/>
      </c>
      <c r="AH1912" s="94" t="n"/>
      <c r="AI1912" s="94" t="n"/>
      <c r="AJ1912" s="94" t="n"/>
      <c r="AK1912" s="94" t="n"/>
      <c r="AL1912" s="84" t="n"/>
    </row>
    <row r="1913">
      <c r="A1913" s="64" t="n"/>
      <c r="B1913" s="65" t="n"/>
      <c r="C1913" s="66" t="n"/>
      <c r="D1913" s="67" t="n"/>
      <c r="E1913" s="68" t="n"/>
      <c r="F1913" s="47">
        <f>IF(A1913="","",IF(MIN(H1913,MAX(J1913:K1913))=0,"",MIN(H1913,MAX(J1913:K1913))))</f>
        <v/>
      </c>
      <c r="G1913" s="74" t="n"/>
      <c r="H1913" s="49">
        <f>IF(M1913="","",IFERROR(ROUND(AVERAGE(T1913+M1913*{7,8,9,10,11})/1.21,4),""))</f>
        <v/>
      </c>
      <c r="I1913" s="76" t="n"/>
      <c r="J1913" s="77" t="n"/>
      <c r="K1913" s="74" t="n"/>
      <c r="L1913" s="78" t="n"/>
      <c r="M1913" s="77" t="n"/>
      <c r="N1913" s="53">
        <f>IF(M1913="","",IFERROR(M1913/I1913,""))</f>
        <v/>
      </c>
      <c r="O1913" s="50">
        <f>IF(A1913="","",IFERROR((IF(G1913="",I1913,G1913)-T1913)/M1913,""))</f>
        <v/>
      </c>
      <c r="P1913" s="50">
        <f>IFERROR((I1913/T1913-1)/N1913,"")</f>
        <v/>
      </c>
      <c r="Q1913" s="46">
        <f>IF(OR(T1913="",I1913&lt;T1913),"",IFERROR(R1913/IF(G1913="",I1913,G1913)-1,""))</f>
        <v/>
      </c>
      <c r="R1913" s="48">
        <f>IF($M1913="","",MAX(IF($G1913="",$I1913,$G1913)*(1/1.1),IF($G1913="",$I1913,$G1913)+(R$2*$M1913)))</f>
        <v/>
      </c>
      <c r="S1913" s="49">
        <f>IF($M1913="","",MAX(IF($G1913="",$I1913,$G1913)*(1/1.1),IF($G1913="",$I1913,$G1913)+(S$2*$M1913)))</f>
        <v/>
      </c>
      <c r="T1913" s="82" t="n"/>
      <c r="U1913" s="47">
        <f>IF(OR($M1913="",$T1913=""),"",$T1913+(U$2*$M1913))</f>
        <v/>
      </c>
      <c r="V1913" s="48">
        <f>IF(OR($M1913="",$T1913=""),"",$T1913+(V$2*$M1913))</f>
        <v/>
      </c>
      <c r="W1913" s="48">
        <f>IF(OR($M1913="",$T1913=""),"",$T1913+(W$2*$M1913))</f>
        <v/>
      </c>
      <c r="X1913" s="49">
        <f>IF(OR($M1913="",$T1913=""),"",$T1913+(X$2*$M1913))</f>
        <v/>
      </c>
      <c r="Y1913" s="47">
        <f>IF(OR($M1913="",$T1913=""),"",$T1913+(Y$2*$M1913))</f>
        <v/>
      </c>
      <c r="Z1913" s="49">
        <f>IF(OR($M1913="",$T1913=""),"",$T1913+(Z$2*$M1913))</f>
        <v/>
      </c>
      <c r="AA1913" s="51">
        <f>IF(OR($M1913="",$T1913=""),"",$T1913+(AA$2*$M1913))</f>
        <v/>
      </c>
      <c r="AB1913" s="48">
        <f>IF(OR($M1913="",$T1913=""),"",$T1913+(AB$2*$M1913))</f>
        <v/>
      </c>
      <c r="AC1913" s="48">
        <f>IF(OR($M1913="",$T1913=""),"",$T1913+(AC$2*$M1913))</f>
        <v/>
      </c>
      <c r="AD1913" s="48">
        <f>IF(OR($M1913="",$T1913=""),"",$T1913+(AD$2*$M1913))</f>
        <v/>
      </c>
      <c r="AE1913" s="49">
        <f>IF(OR($M1913="",$T1913=""),"",$T1913+(AE$2*$M1913))</f>
        <v/>
      </c>
      <c r="AF1913" s="52">
        <f>IF(OR(T1913="",I1913&lt;T1913),"",IFERROR(AVERAGE(T1913+M1913*{7,8,9,10,11})/IF(G1913="",I1913,G1913)-1,""))</f>
        <v/>
      </c>
      <c r="AG1913" s="55">
        <f>IF(OR(T1913="",I1913&lt;T1913),"",IFERROR(AF1913/-(R1913/IF(G1913="",I1913,G1913)-1),""))</f>
        <v/>
      </c>
      <c r="AH1913" s="94" t="n"/>
      <c r="AI1913" s="94" t="n"/>
      <c r="AJ1913" s="94" t="n"/>
      <c r="AK1913" s="94" t="n"/>
      <c r="AL1913" s="84" t="n"/>
    </row>
    <row r="1914">
      <c r="A1914" s="64" t="n"/>
      <c r="B1914" s="65" t="n"/>
      <c r="C1914" s="66" t="n"/>
      <c r="D1914" s="67" t="n"/>
      <c r="E1914" s="68" t="n"/>
      <c r="F1914" s="47">
        <f>IF(A1914="","",IF(MIN(H1914,MAX(J1914:K1914))=0,"",MIN(H1914,MAX(J1914:K1914))))</f>
        <v/>
      </c>
      <c r="G1914" s="74" t="n"/>
      <c r="H1914" s="49">
        <f>IF(M1914="","",IFERROR(ROUND(AVERAGE(T1914+M1914*{7,8,9,10,11})/1.21,4),""))</f>
        <v/>
      </c>
      <c r="I1914" s="76" t="n"/>
      <c r="J1914" s="77" t="n"/>
      <c r="K1914" s="74" t="n"/>
      <c r="L1914" s="78" t="n"/>
      <c r="M1914" s="77" t="n"/>
      <c r="N1914" s="53">
        <f>IF(M1914="","",IFERROR(M1914/I1914,""))</f>
        <v/>
      </c>
      <c r="O1914" s="50">
        <f>IF(A1914="","",IFERROR((IF(G1914="",I1914,G1914)-T1914)/M1914,""))</f>
        <v/>
      </c>
      <c r="P1914" s="50">
        <f>IFERROR((I1914/T1914-1)/N1914,"")</f>
        <v/>
      </c>
      <c r="Q1914" s="46">
        <f>IF(OR(T1914="",I1914&lt;T1914),"",IFERROR(R1914/IF(G1914="",I1914,G1914)-1,""))</f>
        <v/>
      </c>
      <c r="R1914" s="48">
        <f>IF($M1914="","",MAX(IF($G1914="",$I1914,$G1914)*(1/1.1),IF($G1914="",$I1914,$G1914)+(R$2*$M1914)))</f>
        <v/>
      </c>
      <c r="S1914" s="49">
        <f>IF($M1914="","",MAX(IF($G1914="",$I1914,$G1914)*(1/1.1),IF($G1914="",$I1914,$G1914)+(S$2*$M1914)))</f>
        <v/>
      </c>
      <c r="T1914" s="82" t="n"/>
      <c r="U1914" s="47">
        <f>IF(OR($M1914="",$T1914=""),"",$T1914+(U$2*$M1914))</f>
        <v/>
      </c>
      <c r="V1914" s="48">
        <f>IF(OR($M1914="",$T1914=""),"",$T1914+(V$2*$M1914))</f>
        <v/>
      </c>
      <c r="W1914" s="48">
        <f>IF(OR($M1914="",$T1914=""),"",$T1914+(W$2*$M1914))</f>
        <v/>
      </c>
      <c r="X1914" s="49">
        <f>IF(OR($M1914="",$T1914=""),"",$T1914+(X$2*$M1914))</f>
        <v/>
      </c>
      <c r="Y1914" s="47">
        <f>IF(OR($M1914="",$T1914=""),"",$T1914+(Y$2*$M1914))</f>
        <v/>
      </c>
      <c r="Z1914" s="49">
        <f>IF(OR($M1914="",$T1914=""),"",$T1914+(Z$2*$M1914))</f>
        <v/>
      </c>
      <c r="AA1914" s="51">
        <f>IF(OR($M1914="",$T1914=""),"",$T1914+(AA$2*$M1914))</f>
        <v/>
      </c>
      <c r="AB1914" s="48">
        <f>IF(OR($M1914="",$T1914=""),"",$T1914+(AB$2*$M1914))</f>
        <v/>
      </c>
      <c r="AC1914" s="48">
        <f>IF(OR($M1914="",$T1914=""),"",$T1914+(AC$2*$M1914))</f>
        <v/>
      </c>
      <c r="AD1914" s="48">
        <f>IF(OR($M1914="",$T1914=""),"",$T1914+(AD$2*$M1914))</f>
        <v/>
      </c>
      <c r="AE1914" s="49">
        <f>IF(OR($M1914="",$T1914=""),"",$T1914+(AE$2*$M1914))</f>
        <v/>
      </c>
      <c r="AF1914" s="52">
        <f>IF(OR(T1914="",I1914&lt;T1914),"",IFERROR(AVERAGE(T1914+M1914*{7,8,9,10,11})/IF(G1914="",I1914,G1914)-1,""))</f>
        <v/>
      </c>
      <c r="AG1914" s="55">
        <f>IF(OR(T1914="",I1914&lt;T1914),"",IFERROR(AF1914/-(R1914/IF(G1914="",I1914,G1914)-1),""))</f>
        <v/>
      </c>
      <c r="AH1914" s="94" t="n"/>
      <c r="AI1914" s="94" t="n"/>
      <c r="AJ1914" s="94" t="n"/>
      <c r="AK1914" s="94" t="n"/>
      <c r="AL1914" s="84" t="n"/>
    </row>
    <row r="1915">
      <c r="A1915" s="64" t="n"/>
      <c r="B1915" s="65" t="n"/>
      <c r="C1915" s="66" t="n"/>
      <c r="D1915" s="67" t="n"/>
      <c r="E1915" s="68" t="n"/>
      <c r="F1915" s="47">
        <f>IF(A1915="","",IF(MIN(H1915,MAX(J1915:K1915))=0,"",MIN(H1915,MAX(J1915:K1915))))</f>
        <v/>
      </c>
      <c r="G1915" s="74" t="n"/>
      <c r="H1915" s="49">
        <f>IF(M1915="","",IFERROR(ROUND(AVERAGE(T1915+M1915*{7,8,9,10,11})/1.21,4),""))</f>
        <v/>
      </c>
      <c r="I1915" s="76" t="n"/>
      <c r="J1915" s="77" t="n"/>
      <c r="K1915" s="74" t="n"/>
      <c r="L1915" s="78" t="n"/>
      <c r="M1915" s="77" t="n"/>
      <c r="N1915" s="53">
        <f>IF(M1915="","",IFERROR(M1915/I1915,""))</f>
        <v/>
      </c>
      <c r="O1915" s="50">
        <f>IF(A1915="","",IFERROR((IF(G1915="",I1915,G1915)-T1915)/M1915,""))</f>
        <v/>
      </c>
      <c r="P1915" s="50">
        <f>IFERROR((I1915/T1915-1)/N1915,"")</f>
        <v/>
      </c>
      <c r="Q1915" s="46">
        <f>IF(OR(T1915="",I1915&lt;T1915),"",IFERROR(R1915/IF(G1915="",I1915,G1915)-1,""))</f>
        <v/>
      </c>
      <c r="R1915" s="48">
        <f>IF($M1915="","",MAX(IF($G1915="",$I1915,$G1915)*(1/1.1),IF($G1915="",$I1915,$G1915)+(R$2*$M1915)))</f>
        <v/>
      </c>
      <c r="S1915" s="49">
        <f>IF($M1915="","",MAX(IF($G1915="",$I1915,$G1915)*(1/1.1),IF($G1915="",$I1915,$G1915)+(S$2*$M1915)))</f>
        <v/>
      </c>
      <c r="T1915" s="82" t="n"/>
      <c r="U1915" s="47">
        <f>IF(OR($M1915="",$T1915=""),"",$T1915+(U$2*$M1915))</f>
        <v/>
      </c>
      <c r="V1915" s="48">
        <f>IF(OR($M1915="",$T1915=""),"",$T1915+(V$2*$M1915))</f>
        <v/>
      </c>
      <c r="W1915" s="48">
        <f>IF(OR($M1915="",$T1915=""),"",$T1915+(W$2*$M1915))</f>
        <v/>
      </c>
      <c r="X1915" s="49">
        <f>IF(OR($M1915="",$T1915=""),"",$T1915+(X$2*$M1915))</f>
        <v/>
      </c>
      <c r="Y1915" s="47">
        <f>IF(OR($M1915="",$T1915=""),"",$T1915+(Y$2*$M1915))</f>
        <v/>
      </c>
      <c r="Z1915" s="49">
        <f>IF(OR($M1915="",$T1915=""),"",$T1915+(Z$2*$M1915))</f>
        <v/>
      </c>
      <c r="AA1915" s="51">
        <f>IF(OR($M1915="",$T1915=""),"",$T1915+(AA$2*$M1915))</f>
        <v/>
      </c>
      <c r="AB1915" s="48">
        <f>IF(OR($M1915="",$T1915=""),"",$T1915+(AB$2*$M1915))</f>
        <v/>
      </c>
      <c r="AC1915" s="48">
        <f>IF(OR($M1915="",$T1915=""),"",$T1915+(AC$2*$M1915))</f>
        <v/>
      </c>
      <c r="AD1915" s="48">
        <f>IF(OR($M1915="",$T1915=""),"",$T1915+(AD$2*$M1915))</f>
        <v/>
      </c>
      <c r="AE1915" s="49">
        <f>IF(OR($M1915="",$T1915=""),"",$T1915+(AE$2*$M1915))</f>
        <v/>
      </c>
      <c r="AF1915" s="52">
        <f>IF(OR(T1915="",I1915&lt;T1915),"",IFERROR(AVERAGE(T1915+M1915*{7,8,9,10,11})/IF(G1915="",I1915,G1915)-1,""))</f>
        <v/>
      </c>
      <c r="AG1915" s="55">
        <f>IF(OR(T1915="",I1915&lt;T1915),"",IFERROR(AF1915/-(R1915/IF(G1915="",I1915,G1915)-1),""))</f>
        <v/>
      </c>
      <c r="AH1915" s="94" t="n"/>
      <c r="AI1915" s="94" t="n"/>
      <c r="AJ1915" s="94" t="n"/>
      <c r="AK1915" s="94" t="n"/>
      <c r="AL1915" s="84" t="n"/>
    </row>
    <row r="1916">
      <c r="A1916" s="64" t="n"/>
      <c r="B1916" s="65" t="n"/>
      <c r="C1916" s="66" t="n"/>
      <c r="D1916" s="67" t="n"/>
      <c r="E1916" s="68" t="n"/>
      <c r="F1916" s="47">
        <f>IF(A1916="","",IF(MIN(H1916,MAX(J1916:K1916))=0,"",MIN(H1916,MAX(J1916:K1916))))</f>
        <v/>
      </c>
      <c r="G1916" s="74" t="n"/>
      <c r="H1916" s="49">
        <f>IF(M1916="","",IFERROR(ROUND(AVERAGE(T1916+M1916*{7,8,9,10,11})/1.21,4),""))</f>
        <v/>
      </c>
      <c r="I1916" s="76" t="n"/>
      <c r="J1916" s="77" t="n"/>
      <c r="K1916" s="74" t="n"/>
      <c r="L1916" s="78" t="n"/>
      <c r="M1916" s="77" t="n"/>
      <c r="N1916" s="53">
        <f>IF(M1916="","",IFERROR(M1916/I1916,""))</f>
        <v/>
      </c>
      <c r="O1916" s="50">
        <f>IF(A1916="","",IFERROR((IF(G1916="",I1916,G1916)-T1916)/M1916,""))</f>
        <v/>
      </c>
      <c r="P1916" s="50">
        <f>IFERROR((I1916/T1916-1)/N1916,"")</f>
        <v/>
      </c>
      <c r="Q1916" s="46">
        <f>IF(OR(T1916="",I1916&lt;T1916),"",IFERROR(R1916/IF(G1916="",I1916,G1916)-1,""))</f>
        <v/>
      </c>
      <c r="R1916" s="48">
        <f>IF($M1916="","",MAX(IF($G1916="",$I1916,$G1916)*(1/1.1),IF($G1916="",$I1916,$G1916)+(R$2*$M1916)))</f>
        <v/>
      </c>
      <c r="S1916" s="49">
        <f>IF($M1916="","",MAX(IF($G1916="",$I1916,$G1916)*(1/1.1),IF($G1916="",$I1916,$G1916)+(S$2*$M1916)))</f>
        <v/>
      </c>
      <c r="T1916" s="82" t="n"/>
      <c r="U1916" s="47">
        <f>IF(OR($M1916="",$T1916=""),"",$T1916+(U$2*$M1916))</f>
        <v/>
      </c>
      <c r="V1916" s="48">
        <f>IF(OR($M1916="",$T1916=""),"",$T1916+(V$2*$M1916))</f>
        <v/>
      </c>
      <c r="W1916" s="48">
        <f>IF(OR($M1916="",$T1916=""),"",$T1916+(W$2*$M1916))</f>
        <v/>
      </c>
      <c r="X1916" s="49">
        <f>IF(OR($M1916="",$T1916=""),"",$T1916+(X$2*$M1916))</f>
        <v/>
      </c>
      <c r="Y1916" s="47">
        <f>IF(OR($M1916="",$T1916=""),"",$T1916+(Y$2*$M1916))</f>
        <v/>
      </c>
      <c r="Z1916" s="49">
        <f>IF(OR($M1916="",$T1916=""),"",$T1916+(Z$2*$M1916))</f>
        <v/>
      </c>
      <c r="AA1916" s="51">
        <f>IF(OR($M1916="",$T1916=""),"",$T1916+(AA$2*$M1916))</f>
        <v/>
      </c>
      <c r="AB1916" s="48">
        <f>IF(OR($M1916="",$T1916=""),"",$T1916+(AB$2*$M1916))</f>
        <v/>
      </c>
      <c r="AC1916" s="48">
        <f>IF(OR($M1916="",$T1916=""),"",$T1916+(AC$2*$M1916))</f>
        <v/>
      </c>
      <c r="AD1916" s="48">
        <f>IF(OR($M1916="",$T1916=""),"",$T1916+(AD$2*$M1916))</f>
        <v/>
      </c>
      <c r="AE1916" s="49">
        <f>IF(OR($M1916="",$T1916=""),"",$T1916+(AE$2*$M1916))</f>
        <v/>
      </c>
      <c r="AF1916" s="52">
        <f>IF(OR(T1916="",I1916&lt;T1916),"",IFERROR(AVERAGE(T1916+M1916*{7,8,9,10,11})/IF(G1916="",I1916,G1916)-1,""))</f>
        <v/>
      </c>
      <c r="AG1916" s="55">
        <f>IF(OR(T1916="",I1916&lt;T1916),"",IFERROR(AF1916/-(R1916/IF(G1916="",I1916,G1916)-1),""))</f>
        <v/>
      </c>
      <c r="AH1916" s="94" t="n"/>
      <c r="AI1916" s="94" t="n"/>
      <c r="AJ1916" s="94" t="n"/>
      <c r="AK1916" s="94" t="n"/>
      <c r="AL1916" s="84" t="n"/>
    </row>
    <row r="1917">
      <c r="A1917" s="64" t="n"/>
      <c r="B1917" s="65" t="n"/>
      <c r="C1917" s="66" t="n"/>
      <c r="D1917" s="67" t="n"/>
      <c r="E1917" s="68" t="n"/>
      <c r="F1917" s="47">
        <f>IF(A1917="","",IF(MIN(H1917,MAX(J1917:K1917))=0,"",MIN(H1917,MAX(J1917:K1917))))</f>
        <v/>
      </c>
      <c r="G1917" s="74" t="n"/>
      <c r="H1917" s="49">
        <f>IF(M1917="","",IFERROR(ROUND(AVERAGE(T1917+M1917*{7,8,9,10,11})/1.21,4),""))</f>
        <v/>
      </c>
      <c r="I1917" s="76" t="n"/>
      <c r="J1917" s="77" t="n"/>
      <c r="K1917" s="74" t="n"/>
      <c r="L1917" s="78" t="n"/>
      <c r="M1917" s="77" t="n"/>
      <c r="N1917" s="53">
        <f>IF(M1917="","",IFERROR(M1917/I1917,""))</f>
        <v/>
      </c>
      <c r="O1917" s="50">
        <f>IF(A1917="","",IFERROR((IF(G1917="",I1917,G1917)-T1917)/M1917,""))</f>
        <v/>
      </c>
      <c r="P1917" s="50">
        <f>IFERROR((I1917/T1917-1)/N1917,"")</f>
        <v/>
      </c>
      <c r="Q1917" s="46">
        <f>IF(OR(T1917="",I1917&lt;T1917),"",IFERROR(R1917/IF(G1917="",I1917,G1917)-1,""))</f>
        <v/>
      </c>
      <c r="R1917" s="48">
        <f>IF($M1917="","",MAX(IF($G1917="",$I1917,$G1917)*(1/1.1),IF($G1917="",$I1917,$G1917)+(R$2*$M1917)))</f>
        <v/>
      </c>
      <c r="S1917" s="49">
        <f>IF($M1917="","",MAX(IF($G1917="",$I1917,$G1917)*(1/1.1),IF($G1917="",$I1917,$G1917)+(S$2*$M1917)))</f>
        <v/>
      </c>
      <c r="T1917" s="82" t="n"/>
      <c r="U1917" s="47">
        <f>IF(OR($M1917="",$T1917=""),"",$T1917+(U$2*$M1917))</f>
        <v/>
      </c>
      <c r="V1917" s="48">
        <f>IF(OR($M1917="",$T1917=""),"",$T1917+(V$2*$M1917))</f>
        <v/>
      </c>
      <c r="W1917" s="48">
        <f>IF(OR($M1917="",$T1917=""),"",$T1917+(W$2*$M1917))</f>
        <v/>
      </c>
      <c r="X1917" s="49">
        <f>IF(OR($M1917="",$T1917=""),"",$T1917+(X$2*$M1917))</f>
        <v/>
      </c>
      <c r="Y1917" s="47">
        <f>IF(OR($M1917="",$T1917=""),"",$T1917+(Y$2*$M1917))</f>
        <v/>
      </c>
      <c r="Z1917" s="49">
        <f>IF(OR($M1917="",$T1917=""),"",$T1917+(Z$2*$M1917))</f>
        <v/>
      </c>
      <c r="AA1917" s="51">
        <f>IF(OR($M1917="",$T1917=""),"",$T1917+(AA$2*$M1917))</f>
        <v/>
      </c>
      <c r="AB1917" s="48">
        <f>IF(OR($M1917="",$T1917=""),"",$T1917+(AB$2*$M1917))</f>
        <v/>
      </c>
      <c r="AC1917" s="48">
        <f>IF(OR($M1917="",$T1917=""),"",$T1917+(AC$2*$M1917))</f>
        <v/>
      </c>
      <c r="AD1917" s="48">
        <f>IF(OR($M1917="",$T1917=""),"",$T1917+(AD$2*$M1917))</f>
        <v/>
      </c>
      <c r="AE1917" s="49">
        <f>IF(OR($M1917="",$T1917=""),"",$T1917+(AE$2*$M1917))</f>
        <v/>
      </c>
      <c r="AF1917" s="52">
        <f>IF(OR(T1917="",I1917&lt;T1917),"",IFERROR(AVERAGE(T1917+M1917*{7,8,9,10,11})/IF(G1917="",I1917,G1917)-1,""))</f>
        <v/>
      </c>
      <c r="AG1917" s="55">
        <f>IF(OR(T1917="",I1917&lt;T1917),"",IFERROR(AF1917/-(R1917/IF(G1917="",I1917,G1917)-1),""))</f>
        <v/>
      </c>
      <c r="AH1917" s="94" t="n"/>
      <c r="AI1917" s="94" t="n"/>
      <c r="AJ1917" s="94" t="n"/>
      <c r="AK1917" s="94" t="n"/>
      <c r="AL1917" s="84" t="n"/>
    </row>
    <row r="1918">
      <c r="A1918" s="64" t="n"/>
      <c r="B1918" s="65" t="n"/>
      <c r="C1918" s="66" t="n"/>
      <c r="D1918" s="67" t="n"/>
      <c r="E1918" s="68" t="n"/>
      <c r="F1918" s="47">
        <f>IF(A1918="","",IF(MIN(H1918,MAX(J1918:K1918))=0,"",MIN(H1918,MAX(J1918:K1918))))</f>
        <v/>
      </c>
      <c r="G1918" s="74" t="n"/>
      <c r="H1918" s="49">
        <f>IF(M1918="","",IFERROR(ROUND(AVERAGE(T1918+M1918*{7,8,9,10,11})/1.21,4),""))</f>
        <v/>
      </c>
      <c r="I1918" s="76" t="n"/>
      <c r="J1918" s="77" t="n"/>
      <c r="K1918" s="74" t="n"/>
      <c r="L1918" s="78" t="n"/>
      <c r="M1918" s="77" t="n"/>
      <c r="N1918" s="53">
        <f>IF(M1918="","",IFERROR(M1918/I1918,""))</f>
        <v/>
      </c>
      <c r="O1918" s="50">
        <f>IF(A1918="","",IFERROR((IF(G1918="",I1918,G1918)-T1918)/M1918,""))</f>
        <v/>
      </c>
      <c r="P1918" s="50">
        <f>IFERROR((I1918/T1918-1)/N1918,"")</f>
        <v/>
      </c>
      <c r="Q1918" s="46">
        <f>IF(OR(T1918="",I1918&lt;T1918),"",IFERROR(R1918/IF(G1918="",I1918,G1918)-1,""))</f>
        <v/>
      </c>
      <c r="R1918" s="48">
        <f>IF($M1918="","",MAX(IF($G1918="",$I1918,$G1918)*(1/1.1),IF($G1918="",$I1918,$G1918)+(R$2*$M1918)))</f>
        <v/>
      </c>
      <c r="S1918" s="49">
        <f>IF($M1918="","",MAX(IF($G1918="",$I1918,$G1918)*(1/1.1),IF($G1918="",$I1918,$G1918)+(S$2*$M1918)))</f>
        <v/>
      </c>
      <c r="T1918" s="82" t="n"/>
      <c r="U1918" s="47">
        <f>IF(OR($M1918="",$T1918=""),"",$T1918+(U$2*$M1918))</f>
        <v/>
      </c>
      <c r="V1918" s="48">
        <f>IF(OR($M1918="",$T1918=""),"",$T1918+(V$2*$M1918))</f>
        <v/>
      </c>
      <c r="W1918" s="48">
        <f>IF(OR($M1918="",$T1918=""),"",$T1918+(W$2*$M1918))</f>
        <v/>
      </c>
      <c r="X1918" s="49">
        <f>IF(OR($M1918="",$T1918=""),"",$T1918+(X$2*$M1918))</f>
        <v/>
      </c>
      <c r="Y1918" s="47">
        <f>IF(OR($M1918="",$T1918=""),"",$T1918+(Y$2*$M1918))</f>
        <v/>
      </c>
      <c r="Z1918" s="49">
        <f>IF(OR($M1918="",$T1918=""),"",$T1918+(Z$2*$M1918))</f>
        <v/>
      </c>
      <c r="AA1918" s="51">
        <f>IF(OR($M1918="",$T1918=""),"",$T1918+(AA$2*$M1918))</f>
        <v/>
      </c>
      <c r="AB1918" s="48">
        <f>IF(OR($M1918="",$T1918=""),"",$T1918+(AB$2*$M1918))</f>
        <v/>
      </c>
      <c r="AC1918" s="48">
        <f>IF(OR($M1918="",$T1918=""),"",$T1918+(AC$2*$M1918))</f>
        <v/>
      </c>
      <c r="AD1918" s="48">
        <f>IF(OR($M1918="",$T1918=""),"",$T1918+(AD$2*$M1918))</f>
        <v/>
      </c>
      <c r="AE1918" s="49">
        <f>IF(OR($M1918="",$T1918=""),"",$T1918+(AE$2*$M1918))</f>
        <v/>
      </c>
      <c r="AF1918" s="52">
        <f>IF(OR(T1918="",I1918&lt;T1918),"",IFERROR(AVERAGE(T1918+M1918*{7,8,9,10,11})/IF(G1918="",I1918,G1918)-1,""))</f>
        <v/>
      </c>
      <c r="AG1918" s="55">
        <f>IF(OR(T1918="",I1918&lt;T1918),"",IFERROR(AF1918/-(R1918/IF(G1918="",I1918,G1918)-1),""))</f>
        <v/>
      </c>
      <c r="AH1918" s="94" t="n"/>
      <c r="AI1918" s="94" t="n"/>
      <c r="AJ1918" s="94" t="n"/>
      <c r="AK1918" s="94" t="n"/>
      <c r="AL1918" s="84" t="n"/>
    </row>
    <row r="1919">
      <c r="A1919" s="64" t="n"/>
      <c r="B1919" s="65" t="n"/>
      <c r="C1919" s="66" t="n"/>
      <c r="D1919" s="67" t="n"/>
      <c r="E1919" s="68" t="n"/>
      <c r="F1919" s="47">
        <f>IF(A1919="","",IF(MIN(H1919,MAX(J1919:K1919))=0,"",MIN(H1919,MAX(J1919:K1919))))</f>
        <v/>
      </c>
      <c r="G1919" s="74" t="n"/>
      <c r="H1919" s="49">
        <f>IF(M1919="","",IFERROR(ROUND(AVERAGE(T1919+M1919*{7,8,9,10,11})/1.21,4),""))</f>
        <v/>
      </c>
      <c r="I1919" s="76" t="n"/>
      <c r="J1919" s="77" t="n"/>
      <c r="K1919" s="74" t="n"/>
      <c r="L1919" s="78" t="n"/>
      <c r="M1919" s="77" t="n"/>
      <c r="N1919" s="53">
        <f>IF(M1919="","",IFERROR(M1919/I1919,""))</f>
        <v/>
      </c>
      <c r="O1919" s="50">
        <f>IF(A1919="","",IFERROR((IF(G1919="",I1919,G1919)-T1919)/M1919,""))</f>
        <v/>
      </c>
      <c r="P1919" s="50">
        <f>IFERROR((I1919/T1919-1)/N1919,"")</f>
        <v/>
      </c>
      <c r="Q1919" s="46">
        <f>IF(OR(T1919="",I1919&lt;T1919),"",IFERROR(R1919/IF(G1919="",I1919,G1919)-1,""))</f>
        <v/>
      </c>
      <c r="R1919" s="48">
        <f>IF($M1919="","",MAX(IF($G1919="",$I1919,$G1919)*(1/1.1),IF($G1919="",$I1919,$G1919)+(R$2*$M1919)))</f>
        <v/>
      </c>
      <c r="S1919" s="49">
        <f>IF($M1919="","",MAX(IF($G1919="",$I1919,$G1919)*(1/1.1),IF($G1919="",$I1919,$G1919)+(S$2*$M1919)))</f>
        <v/>
      </c>
      <c r="T1919" s="82" t="n"/>
      <c r="U1919" s="47">
        <f>IF(OR($M1919="",$T1919=""),"",$T1919+(U$2*$M1919))</f>
        <v/>
      </c>
      <c r="V1919" s="48">
        <f>IF(OR($M1919="",$T1919=""),"",$T1919+(V$2*$M1919))</f>
        <v/>
      </c>
      <c r="W1919" s="48">
        <f>IF(OR($M1919="",$T1919=""),"",$T1919+(W$2*$M1919))</f>
        <v/>
      </c>
      <c r="X1919" s="49">
        <f>IF(OR($M1919="",$T1919=""),"",$T1919+(X$2*$M1919))</f>
        <v/>
      </c>
      <c r="Y1919" s="47">
        <f>IF(OR($M1919="",$T1919=""),"",$T1919+(Y$2*$M1919))</f>
        <v/>
      </c>
      <c r="Z1919" s="49">
        <f>IF(OR($M1919="",$T1919=""),"",$T1919+(Z$2*$M1919))</f>
        <v/>
      </c>
      <c r="AA1919" s="51">
        <f>IF(OR($M1919="",$T1919=""),"",$T1919+(AA$2*$M1919))</f>
        <v/>
      </c>
      <c r="AB1919" s="48">
        <f>IF(OR($M1919="",$T1919=""),"",$T1919+(AB$2*$M1919))</f>
        <v/>
      </c>
      <c r="AC1919" s="48">
        <f>IF(OR($M1919="",$T1919=""),"",$T1919+(AC$2*$M1919))</f>
        <v/>
      </c>
      <c r="AD1919" s="48">
        <f>IF(OR($M1919="",$T1919=""),"",$T1919+(AD$2*$M1919))</f>
        <v/>
      </c>
      <c r="AE1919" s="49">
        <f>IF(OR($M1919="",$T1919=""),"",$T1919+(AE$2*$M1919))</f>
        <v/>
      </c>
      <c r="AF1919" s="52">
        <f>IF(OR(T1919="",I1919&lt;T1919),"",IFERROR(AVERAGE(T1919+M1919*{7,8,9,10,11})/IF(G1919="",I1919,G1919)-1,""))</f>
        <v/>
      </c>
      <c r="AG1919" s="55">
        <f>IF(OR(T1919="",I1919&lt;T1919),"",IFERROR(AF1919/-(R1919/IF(G1919="",I1919,G1919)-1),""))</f>
        <v/>
      </c>
      <c r="AH1919" s="94" t="n"/>
      <c r="AI1919" s="94" t="n"/>
      <c r="AJ1919" s="94" t="n"/>
      <c r="AK1919" s="94" t="n"/>
      <c r="AL1919" s="84" t="n"/>
    </row>
    <row r="1920">
      <c r="A1920" s="64" t="n"/>
      <c r="B1920" s="65" t="n"/>
      <c r="C1920" s="66" t="n"/>
      <c r="D1920" s="67" t="n"/>
      <c r="E1920" s="68" t="n"/>
      <c r="F1920" s="47">
        <f>IF(A1920="","",IF(MIN(H1920,MAX(J1920:K1920))=0,"",MIN(H1920,MAX(J1920:K1920))))</f>
        <v/>
      </c>
      <c r="G1920" s="74" t="n"/>
      <c r="H1920" s="49">
        <f>IF(M1920="","",IFERROR(ROUND(AVERAGE(T1920+M1920*{7,8,9,10,11})/1.21,4),""))</f>
        <v/>
      </c>
      <c r="I1920" s="76" t="n"/>
      <c r="J1920" s="77" t="n"/>
      <c r="K1920" s="74" t="n"/>
      <c r="L1920" s="78" t="n"/>
      <c r="M1920" s="77" t="n"/>
      <c r="N1920" s="53">
        <f>IF(M1920="","",IFERROR(M1920/I1920,""))</f>
        <v/>
      </c>
      <c r="O1920" s="50">
        <f>IF(A1920="","",IFERROR((IF(G1920="",I1920,G1920)-T1920)/M1920,""))</f>
        <v/>
      </c>
      <c r="P1920" s="50">
        <f>IFERROR((I1920/T1920-1)/N1920,"")</f>
        <v/>
      </c>
      <c r="Q1920" s="46">
        <f>IF(OR(T1920="",I1920&lt;T1920),"",IFERROR(R1920/IF(G1920="",I1920,G1920)-1,""))</f>
        <v/>
      </c>
      <c r="R1920" s="48">
        <f>IF($M1920="","",MAX(IF($G1920="",$I1920,$G1920)*(1/1.1),IF($G1920="",$I1920,$G1920)+(R$2*$M1920)))</f>
        <v/>
      </c>
      <c r="S1920" s="49">
        <f>IF($M1920="","",MAX(IF($G1920="",$I1920,$G1920)*(1/1.1),IF($G1920="",$I1920,$G1920)+(S$2*$M1920)))</f>
        <v/>
      </c>
      <c r="T1920" s="82" t="n"/>
      <c r="U1920" s="47">
        <f>IF(OR($M1920="",$T1920=""),"",$T1920+(U$2*$M1920))</f>
        <v/>
      </c>
      <c r="V1920" s="48">
        <f>IF(OR($M1920="",$T1920=""),"",$T1920+(V$2*$M1920))</f>
        <v/>
      </c>
      <c r="W1920" s="48">
        <f>IF(OR($M1920="",$T1920=""),"",$T1920+(W$2*$M1920))</f>
        <v/>
      </c>
      <c r="X1920" s="49">
        <f>IF(OR($M1920="",$T1920=""),"",$T1920+(X$2*$M1920))</f>
        <v/>
      </c>
      <c r="Y1920" s="47">
        <f>IF(OR($M1920="",$T1920=""),"",$T1920+(Y$2*$M1920))</f>
        <v/>
      </c>
      <c r="Z1920" s="49">
        <f>IF(OR($M1920="",$T1920=""),"",$T1920+(Z$2*$M1920))</f>
        <v/>
      </c>
      <c r="AA1920" s="51">
        <f>IF(OR($M1920="",$T1920=""),"",$T1920+(AA$2*$M1920))</f>
        <v/>
      </c>
      <c r="AB1920" s="48">
        <f>IF(OR($M1920="",$T1920=""),"",$T1920+(AB$2*$M1920))</f>
        <v/>
      </c>
      <c r="AC1920" s="48">
        <f>IF(OR($M1920="",$T1920=""),"",$T1920+(AC$2*$M1920))</f>
        <v/>
      </c>
      <c r="AD1920" s="48">
        <f>IF(OR($M1920="",$T1920=""),"",$T1920+(AD$2*$M1920))</f>
        <v/>
      </c>
      <c r="AE1920" s="49">
        <f>IF(OR($M1920="",$T1920=""),"",$T1920+(AE$2*$M1920))</f>
        <v/>
      </c>
      <c r="AF1920" s="52">
        <f>IF(OR(T1920="",I1920&lt;T1920),"",IFERROR(AVERAGE(T1920+M1920*{7,8,9,10,11})/IF(G1920="",I1920,G1920)-1,""))</f>
        <v/>
      </c>
      <c r="AG1920" s="55">
        <f>IF(OR(T1920="",I1920&lt;T1920),"",IFERROR(AF1920/-(R1920/IF(G1920="",I1920,G1920)-1),""))</f>
        <v/>
      </c>
      <c r="AH1920" s="94" t="n"/>
      <c r="AI1920" s="94" t="n"/>
      <c r="AJ1920" s="94" t="n"/>
      <c r="AK1920" s="94" t="n"/>
      <c r="AL1920" s="84" t="n"/>
    </row>
    <row r="1921">
      <c r="A1921" s="64" t="n"/>
      <c r="B1921" s="65" t="n"/>
      <c r="C1921" s="66" t="n"/>
      <c r="D1921" s="67" t="n"/>
      <c r="E1921" s="68" t="n"/>
      <c r="F1921" s="47">
        <f>IF(A1921="","",IF(MIN(H1921,MAX(J1921:K1921))=0,"",MIN(H1921,MAX(J1921:K1921))))</f>
        <v/>
      </c>
      <c r="G1921" s="74" t="n"/>
      <c r="H1921" s="49">
        <f>IF(M1921="","",IFERROR(ROUND(AVERAGE(T1921+M1921*{7,8,9,10,11})/1.21,4),""))</f>
        <v/>
      </c>
      <c r="I1921" s="76" t="n"/>
      <c r="J1921" s="77" t="n"/>
      <c r="K1921" s="74" t="n"/>
      <c r="L1921" s="78" t="n"/>
      <c r="M1921" s="77" t="n"/>
      <c r="N1921" s="53">
        <f>IF(M1921="","",IFERROR(M1921/I1921,""))</f>
        <v/>
      </c>
      <c r="O1921" s="50">
        <f>IF(A1921="","",IFERROR((IF(G1921="",I1921,G1921)-T1921)/M1921,""))</f>
        <v/>
      </c>
      <c r="P1921" s="50">
        <f>IFERROR((I1921/T1921-1)/N1921,"")</f>
        <v/>
      </c>
      <c r="Q1921" s="46">
        <f>IF(OR(T1921="",I1921&lt;T1921),"",IFERROR(R1921/IF(G1921="",I1921,G1921)-1,""))</f>
        <v/>
      </c>
      <c r="R1921" s="48">
        <f>IF($M1921="","",MAX(IF($G1921="",$I1921,$G1921)*(1/1.1),IF($G1921="",$I1921,$G1921)+(R$2*$M1921)))</f>
        <v/>
      </c>
      <c r="S1921" s="49">
        <f>IF($M1921="","",MAX(IF($G1921="",$I1921,$G1921)*(1/1.1),IF($G1921="",$I1921,$G1921)+(S$2*$M1921)))</f>
        <v/>
      </c>
      <c r="T1921" s="82" t="n"/>
      <c r="U1921" s="47">
        <f>IF(OR($M1921="",$T1921=""),"",$T1921+(U$2*$M1921))</f>
        <v/>
      </c>
      <c r="V1921" s="48">
        <f>IF(OR($M1921="",$T1921=""),"",$T1921+(V$2*$M1921))</f>
        <v/>
      </c>
      <c r="W1921" s="48">
        <f>IF(OR($M1921="",$T1921=""),"",$T1921+(W$2*$M1921))</f>
        <v/>
      </c>
      <c r="X1921" s="49">
        <f>IF(OR($M1921="",$T1921=""),"",$T1921+(X$2*$M1921))</f>
        <v/>
      </c>
      <c r="Y1921" s="47">
        <f>IF(OR($M1921="",$T1921=""),"",$T1921+(Y$2*$M1921))</f>
        <v/>
      </c>
      <c r="Z1921" s="49">
        <f>IF(OR($M1921="",$T1921=""),"",$T1921+(Z$2*$M1921))</f>
        <v/>
      </c>
      <c r="AA1921" s="51">
        <f>IF(OR($M1921="",$T1921=""),"",$T1921+(AA$2*$M1921))</f>
        <v/>
      </c>
      <c r="AB1921" s="48">
        <f>IF(OR($M1921="",$T1921=""),"",$T1921+(AB$2*$M1921))</f>
        <v/>
      </c>
      <c r="AC1921" s="48">
        <f>IF(OR($M1921="",$T1921=""),"",$T1921+(AC$2*$M1921))</f>
        <v/>
      </c>
      <c r="AD1921" s="48">
        <f>IF(OR($M1921="",$T1921=""),"",$T1921+(AD$2*$M1921))</f>
        <v/>
      </c>
      <c r="AE1921" s="49">
        <f>IF(OR($M1921="",$T1921=""),"",$T1921+(AE$2*$M1921))</f>
        <v/>
      </c>
      <c r="AF1921" s="52">
        <f>IF(OR(T1921="",I1921&lt;T1921),"",IFERROR(AVERAGE(T1921+M1921*{7,8,9,10,11})/IF(G1921="",I1921,G1921)-1,""))</f>
        <v/>
      </c>
      <c r="AG1921" s="55">
        <f>IF(OR(T1921="",I1921&lt;T1921),"",IFERROR(AF1921/-(R1921/IF(G1921="",I1921,G1921)-1),""))</f>
        <v/>
      </c>
      <c r="AH1921" s="94" t="n"/>
      <c r="AI1921" s="94" t="n"/>
      <c r="AJ1921" s="94" t="n"/>
      <c r="AK1921" s="94" t="n"/>
      <c r="AL1921" s="84" t="n"/>
    </row>
    <row r="1922">
      <c r="A1922" s="64" t="n"/>
      <c r="B1922" s="65" t="n"/>
      <c r="C1922" s="66" t="n"/>
      <c r="D1922" s="67" t="n"/>
      <c r="E1922" s="68" t="n"/>
      <c r="F1922" s="47">
        <f>IF(A1922="","",IF(MIN(H1922,MAX(J1922:K1922))=0,"",MIN(H1922,MAX(J1922:K1922))))</f>
        <v/>
      </c>
      <c r="G1922" s="74" t="n"/>
      <c r="H1922" s="49">
        <f>IF(M1922="","",IFERROR(ROUND(AVERAGE(T1922+M1922*{7,8,9,10,11})/1.21,4),""))</f>
        <v/>
      </c>
      <c r="I1922" s="76" t="n"/>
      <c r="J1922" s="77" t="n"/>
      <c r="K1922" s="74" t="n"/>
      <c r="L1922" s="78" t="n"/>
      <c r="M1922" s="77" t="n"/>
      <c r="N1922" s="53">
        <f>IF(M1922="","",IFERROR(M1922/I1922,""))</f>
        <v/>
      </c>
      <c r="O1922" s="50">
        <f>IF(A1922="","",IFERROR((IF(G1922="",I1922,G1922)-T1922)/M1922,""))</f>
        <v/>
      </c>
      <c r="P1922" s="50">
        <f>IFERROR((I1922/T1922-1)/N1922,"")</f>
        <v/>
      </c>
      <c r="Q1922" s="46">
        <f>IF(OR(T1922="",I1922&lt;T1922),"",IFERROR(R1922/IF(G1922="",I1922,G1922)-1,""))</f>
        <v/>
      </c>
      <c r="R1922" s="48">
        <f>IF($M1922="","",MAX(IF($G1922="",$I1922,$G1922)*(1/1.1),IF($G1922="",$I1922,$G1922)+(R$2*$M1922)))</f>
        <v/>
      </c>
      <c r="S1922" s="49">
        <f>IF($M1922="","",MAX(IF($G1922="",$I1922,$G1922)*(1/1.1),IF($G1922="",$I1922,$G1922)+(S$2*$M1922)))</f>
        <v/>
      </c>
      <c r="T1922" s="82" t="n"/>
      <c r="U1922" s="47">
        <f>IF(OR($M1922="",$T1922=""),"",$T1922+(U$2*$M1922))</f>
        <v/>
      </c>
      <c r="V1922" s="48">
        <f>IF(OR($M1922="",$T1922=""),"",$T1922+(V$2*$M1922))</f>
        <v/>
      </c>
      <c r="W1922" s="48">
        <f>IF(OR($M1922="",$T1922=""),"",$T1922+(W$2*$M1922))</f>
        <v/>
      </c>
      <c r="X1922" s="49">
        <f>IF(OR($M1922="",$T1922=""),"",$T1922+(X$2*$M1922))</f>
        <v/>
      </c>
      <c r="Y1922" s="47">
        <f>IF(OR($M1922="",$T1922=""),"",$T1922+(Y$2*$M1922))</f>
        <v/>
      </c>
      <c r="Z1922" s="49">
        <f>IF(OR($M1922="",$T1922=""),"",$T1922+(Z$2*$M1922))</f>
        <v/>
      </c>
      <c r="AA1922" s="51">
        <f>IF(OR($M1922="",$T1922=""),"",$T1922+(AA$2*$M1922))</f>
        <v/>
      </c>
      <c r="AB1922" s="48">
        <f>IF(OR($M1922="",$T1922=""),"",$T1922+(AB$2*$M1922))</f>
        <v/>
      </c>
      <c r="AC1922" s="48">
        <f>IF(OR($M1922="",$T1922=""),"",$T1922+(AC$2*$M1922))</f>
        <v/>
      </c>
      <c r="AD1922" s="48">
        <f>IF(OR($M1922="",$T1922=""),"",$T1922+(AD$2*$M1922))</f>
        <v/>
      </c>
      <c r="AE1922" s="49">
        <f>IF(OR($M1922="",$T1922=""),"",$T1922+(AE$2*$M1922))</f>
        <v/>
      </c>
      <c r="AF1922" s="52">
        <f>IF(OR(T1922="",I1922&lt;T1922),"",IFERROR(AVERAGE(T1922+M1922*{7,8,9,10,11})/IF(G1922="",I1922,G1922)-1,""))</f>
        <v/>
      </c>
      <c r="AG1922" s="55">
        <f>IF(OR(T1922="",I1922&lt;T1922),"",IFERROR(AF1922/-(R1922/IF(G1922="",I1922,G1922)-1),""))</f>
        <v/>
      </c>
      <c r="AH1922" s="94" t="n"/>
      <c r="AI1922" s="94" t="n"/>
      <c r="AJ1922" s="94" t="n"/>
      <c r="AK1922" s="94" t="n"/>
      <c r="AL1922" s="84" t="n"/>
    </row>
    <row r="1923">
      <c r="A1923" s="64" t="n"/>
      <c r="B1923" s="65" t="n"/>
      <c r="C1923" s="66" t="n"/>
      <c r="D1923" s="67" t="n"/>
      <c r="E1923" s="68" t="n"/>
      <c r="F1923" s="47">
        <f>IF(A1923="","",IF(MIN(H1923,MAX(J1923:K1923))=0,"",MIN(H1923,MAX(J1923:K1923))))</f>
        <v/>
      </c>
      <c r="G1923" s="74" t="n"/>
      <c r="H1923" s="49">
        <f>IF(M1923="","",IFERROR(ROUND(AVERAGE(T1923+M1923*{7,8,9,10,11})/1.21,4),""))</f>
        <v/>
      </c>
      <c r="I1923" s="76" t="n"/>
      <c r="J1923" s="77" t="n"/>
      <c r="K1923" s="74" t="n"/>
      <c r="L1923" s="78" t="n"/>
      <c r="M1923" s="77" t="n"/>
      <c r="N1923" s="53">
        <f>IF(M1923="","",IFERROR(M1923/I1923,""))</f>
        <v/>
      </c>
      <c r="O1923" s="50">
        <f>IF(A1923="","",IFERROR((IF(G1923="",I1923,G1923)-T1923)/M1923,""))</f>
        <v/>
      </c>
      <c r="P1923" s="50">
        <f>IFERROR((I1923/T1923-1)/N1923,"")</f>
        <v/>
      </c>
      <c r="Q1923" s="46">
        <f>IF(OR(T1923="",I1923&lt;T1923),"",IFERROR(R1923/IF(G1923="",I1923,G1923)-1,""))</f>
        <v/>
      </c>
      <c r="R1923" s="48">
        <f>IF($M1923="","",MAX(IF($G1923="",$I1923,$G1923)*(1/1.1),IF($G1923="",$I1923,$G1923)+(R$2*$M1923)))</f>
        <v/>
      </c>
      <c r="S1923" s="49">
        <f>IF($M1923="","",MAX(IF($G1923="",$I1923,$G1923)*(1/1.1),IF($G1923="",$I1923,$G1923)+(S$2*$M1923)))</f>
        <v/>
      </c>
      <c r="T1923" s="82" t="n"/>
      <c r="U1923" s="47">
        <f>IF(OR($M1923="",$T1923=""),"",$T1923+(U$2*$M1923))</f>
        <v/>
      </c>
      <c r="V1923" s="48">
        <f>IF(OR($M1923="",$T1923=""),"",$T1923+(V$2*$M1923))</f>
        <v/>
      </c>
      <c r="W1923" s="48">
        <f>IF(OR($M1923="",$T1923=""),"",$T1923+(W$2*$M1923))</f>
        <v/>
      </c>
      <c r="X1923" s="49">
        <f>IF(OR($M1923="",$T1923=""),"",$T1923+(X$2*$M1923))</f>
        <v/>
      </c>
      <c r="Y1923" s="47">
        <f>IF(OR($M1923="",$T1923=""),"",$T1923+(Y$2*$M1923))</f>
        <v/>
      </c>
      <c r="Z1923" s="49">
        <f>IF(OR($M1923="",$T1923=""),"",$T1923+(Z$2*$M1923))</f>
        <v/>
      </c>
      <c r="AA1923" s="51">
        <f>IF(OR($M1923="",$T1923=""),"",$T1923+(AA$2*$M1923))</f>
        <v/>
      </c>
      <c r="AB1923" s="48">
        <f>IF(OR($M1923="",$T1923=""),"",$T1923+(AB$2*$M1923))</f>
        <v/>
      </c>
      <c r="AC1923" s="48">
        <f>IF(OR($M1923="",$T1923=""),"",$T1923+(AC$2*$M1923))</f>
        <v/>
      </c>
      <c r="AD1923" s="48">
        <f>IF(OR($M1923="",$T1923=""),"",$T1923+(AD$2*$M1923))</f>
        <v/>
      </c>
      <c r="AE1923" s="49">
        <f>IF(OR($M1923="",$T1923=""),"",$T1923+(AE$2*$M1923))</f>
        <v/>
      </c>
      <c r="AF1923" s="52">
        <f>IF(OR(T1923="",I1923&lt;T1923),"",IFERROR(AVERAGE(T1923+M1923*{7,8,9,10,11})/IF(G1923="",I1923,G1923)-1,""))</f>
        <v/>
      </c>
      <c r="AG1923" s="55">
        <f>IF(OR(T1923="",I1923&lt;T1923),"",IFERROR(AF1923/-(R1923/IF(G1923="",I1923,G1923)-1),""))</f>
        <v/>
      </c>
      <c r="AH1923" s="94" t="n"/>
      <c r="AI1923" s="94" t="n"/>
      <c r="AJ1923" s="94" t="n"/>
      <c r="AK1923" s="94" t="n"/>
      <c r="AL1923" s="84" t="n"/>
    </row>
    <row r="1924">
      <c r="A1924" s="64" t="n"/>
      <c r="B1924" s="65" t="n"/>
      <c r="C1924" s="66" t="n"/>
      <c r="D1924" s="67" t="n"/>
      <c r="E1924" s="68" t="n"/>
      <c r="F1924" s="47">
        <f>IF(A1924="","",IF(MIN(H1924,MAX(J1924:K1924))=0,"",MIN(H1924,MAX(J1924:K1924))))</f>
        <v/>
      </c>
      <c r="G1924" s="74" t="n"/>
      <c r="H1924" s="49">
        <f>IF(M1924="","",IFERROR(ROUND(AVERAGE(T1924+M1924*{7,8,9,10,11})/1.21,4),""))</f>
        <v/>
      </c>
      <c r="I1924" s="76" t="n"/>
      <c r="J1924" s="77" t="n"/>
      <c r="K1924" s="74" t="n"/>
      <c r="L1924" s="78" t="n"/>
      <c r="M1924" s="77" t="n"/>
      <c r="N1924" s="53">
        <f>IF(M1924="","",IFERROR(M1924/I1924,""))</f>
        <v/>
      </c>
      <c r="O1924" s="50">
        <f>IF(A1924="","",IFERROR((IF(G1924="",I1924,G1924)-T1924)/M1924,""))</f>
        <v/>
      </c>
      <c r="P1924" s="50">
        <f>IFERROR((I1924/T1924-1)/N1924,"")</f>
        <v/>
      </c>
      <c r="Q1924" s="46">
        <f>IF(OR(T1924="",I1924&lt;T1924),"",IFERROR(R1924/IF(G1924="",I1924,G1924)-1,""))</f>
        <v/>
      </c>
      <c r="R1924" s="48">
        <f>IF($M1924="","",MAX(IF($G1924="",$I1924,$G1924)*(1/1.1),IF($G1924="",$I1924,$G1924)+(R$2*$M1924)))</f>
        <v/>
      </c>
      <c r="S1924" s="49">
        <f>IF($M1924="","",MAX(IF($G1924="",$I1924,$G1924)*(1/1.1),IF($G1924="",$I1924,$G1924)+(S$2*$M1924)))</f>
        <v/>
      </c>
      <c r="T1924" s="82" t="n"/>
      <c r="U1924" s="47">
        <f>IF(OR($M1924="",$T1924=""),"",$T1924+(U$2*$M1924))</f>
        <v/>
      </c>
      <c r="V1924" s="48">
        <f>IF(OR($M1924="",$T1924=""),"",$T1924+(V$2*$M1924))</f>
        <v/>
      </c>
      <c r="W1924" s="48">
        <f>IF(OR($M1924="",$T1924=""),"",$T1924+(W$2*$M1924))</f>
        <v/>
      </c>
      <c r="X1924" s="49">
        <f>IF(OR($M1924="",$T1924=""),"",$T1924+(X$2*$M1924))</f>
        <v/>
      </c>
      <c r="Y1924" s="47">
        <f>IF(OR($M1924="",$T1924=""),"",$T1924+(Y$2*$M1924))</f>
        <v/>
      </c>
      <c r="Z1924" s="49">
        <f>IF(OR($M1924="",$T1924=""),"",$T1924+(Z$2*$M1924))</f>
        <v/>
      </c>
      <c r="AA1924" s="51">
        <f>IF(OR($M1924="",$T1924=""),"",$T1924+(AA$2*$M1924))</f>
        <v/>
      </c>
      <c r="AB1924" s="48">
        <f>IF(OR($M1924="",$T1924=""),"",$T1924+(AB$2*$M1924))</f>
        <v/>
      </c>
      <c r="AC1924" s="48">
        <f>IF(OR($M1924="",$T1924=""),"",$T1924+(AC$2*$M1924))</f>
        <v/>
      </c>
      <c r="AD1924" s="48">
        <f>IF(OR($M1924="",$T1924=""),"",$T1924+(AD$2*$M1924))</f>
        <v/>
      </c>
      <c r="AE1924" s="49">
        <f>IF(OR($M1924="",$T1924=""),"",$T1924+(AE$2*$M1924))</f>
        <v/>
      </c>
      <c r="AF1924" s="52">
        <f>IF(OR(T1924="",I1924&lt;T1924),"",IFERROR(AVERAGE(T1924+M1924*{7,8,9,10,11})/IF(G1924="",I1924,G1924)-1,""))</f>
        <v/>
      </c>
      <c r="AG1924" s="55">
        <f>IF(OR(T1924="",I1924&lt;T1924),"",IFERROR(AF1924/-(R1924/IF(G1924="",I1924,G1924)-1),""))</f>
        <v/>
      </c>
      <c r="AH1924" s="94" t="n"/>
      <c r="AI1924" s="94" t="n"/>
      <c r="AJ1924" s="94" t="n"/>
      <c r="AK1924" s="94" t="n"/>
      <c r="AL1924" s="84" t="n"/>
    </row>
    <row r="1925">
      <c r="A1925" s="64" t="n"/>
      <c r="B1925" s="65" t="n"/>
      <c r="C1925" s="66" t="n"/>
      <c r="D1925" s="67" t="n"/>
      <c r="E1925" s="68" t="n"/>
      <c r="F1925" s="47">
        <f>IF(A1925="","",IF(MIN(H1925,MAX(J1925:K1925))=0,"",MIN(H1925,MAX(J1925:K1925))))</f>
        <v/>
      </c>
      <c r="G1925" s="74" t="n"/>
      <c r="H1925" s="49">
        <f>IF(M1925="","",IFERROR(ROUND(AVERAGE(T1925+M1925*{7,8,9,10,11})/1.21,4),""))</f>
        <v/>
      </c>
      <c r="I1925" s="76" t="n"/>
      <c r="J1925" s="77" t="n"/>
      <c r="K1925" s="74" t="n"/>
      <c r="L1925" s="78" t="n"/>
      <c r="M1925" s="77" t="n"/>
      <c r="N1925" s="53">
        <f>IF(M1925="","",IFERROR(M1925/I1925,""))</f>
        <v/>
      </c>
      <c r="O1925" s="50">
        <f>IF(A1925="","",IFERROR((IF(G1925="",I1925,G1925)-T1925)/M1925,""))</f>
        <v/>
      </c>
      <c r="P1925" s="50">
        <f>IFERROR((I1925/T1925-1)/N1925,"")</f>
        <v/>
      </c>
      <c r="Q1925" s="46">
        <f>IF(OR(T1925="",I1925&lt;T1925),"",IFERROR(R1925/IF(G1925="",I1925,G1925)-1,""))</f>
        <v/>
      </c>
      <c r="R1925" s="48">
        <f>IF($M1925="","",MAX(IF($G1925="",$I1925,$G1925)*(1/1.1),IF($G1925="",$I1925,$G1925)+(R$2*$M1925)))</f>
        <v/>
      </c>
      <c r="S1925" s="49">
        <f>IF($M1925="","",MAX(IF($G1925="",$I1925,$G1925)*(1/1.1),IF($G1925="",$I1925,$G1925)+(S$2*$M1925)))</f>
        <v/>
      </c>
      <c r="T1925" s="82" t="n"/>
      <c r="U1925" s="47">
        <f>IF(OR($M1925="",$T1925=""),"",$T1925+(U$2*$M1925))</f>
        <v/>
      </c>
      <c r="V1925" s="48">
        <f>IF(OR($M1925="",$T1925=""),"",$T1925+(V$2*$M1925))</f>
        <v/>
      </c>
      <c r="W1925" s="48">
        <f>IF(OR($M1925="",$T1925=""),"",$T1925+(W$2*$M1925))</f>
        <v/>
      </c>
      <c r="X1925" s="49">
        <f>IF(OR($M1925="",$T1925=""),"",$T1925+(X$2*$M1925))</f>
        <v/>
      </c>
      <c r="Y1925" s="47">
        <f>IF(OR($M1925="",$T1925=""),"",$T1925+(Y$2*$M1925))</f>
        <v/>
      </c>
      <c r="Z1925" s="49">
        <f>IF(OR($M1925="",$T1925=""),"",$T1925+(Z$2*$M1925))</f>
        <v/>
      </c>
      <c r="AA1925" s="51">
        <f>IF(OR($M1925="",$T1925=""),"",$T1925+(AA$2*$M1925))</f>
        <v/>
      </c>
      <c r="AB1925" s="48">
        <f>IF(OR($M1925="",$T1925=""),"",$T1925+(AB$2*$M1925))</f>
        <v/>
      </c>
      <c r="AC1925" s="48">
        <f>IF(OR($M1925="",$T1925=""),"",$T1925+(AC$2*$M1925))</f>
        <v/>
      </c>
      <c r="AD1925" s="48">
        <f>IF(OR($M1925="",$T1925=""),"",$T1925+(AD$2*$M1925))</f>
        <v/>
      </c>
      <c r="AE1925" s="49">
        <f>IF(OR($M1925="",$T1925=""),"",$T1925+(AE$2*$M1925))</f>
        <v/>
      </c>
      <c r="AF1925" s="52">
        <f>IF(OR(T1925="",I1925&lt;T1925),"",IFERROR(AVERAGE(T1925+M1925*{7,8,9,10,11})/IF(G1925="",I1925,G1925)-1,""))</f>
        <v/>
      </c>
      <c r="AG1925" s="55">
        <f>IF(OR(T1925="",I1925&lt;T1925),"",IFERROR(AF1925/-(R1925/IF(G1925="",I1925,G1925)-1),""))</f>
        <v/>
      </c>
      <c r="AH1925" s="94" t="n"/>
      <c r="AI1925" s="94" t="n"/>
      <c r="AJ1925" s="94" t="n"/>
      <c r="AK1925" s="94" t="n"/>
      <c r="AL1925" s="84" t="n"/>
    </row>
    <row r="1926">
      <c r="A1926" s="64" t="n"/>
      <c r="B1926" s="65" t="n"/>
      <c r="C1926" s="66" t="n"/>
      <c r="D1926" s="67" t="n"/>
      <c r="E1926" s="68" t="n"/>
      <c r="F1926" s="47">
        <f>IF(A1926="","",IF(MIN(H1926,MAX(J1926:K1926))=0,"",MIN(H1926,MAX(J1926:K1926))))</f>
        <v/>
      </c>
      <c r="G1926" s="74" t="n"/>
      <c r="H1926" s="49">
        <f>IF(M1926="","",IFERROR(ROUND(AVERAGE(T1926+M1926*{7,8,9,10,11})/1.21,4),""))</f>
        <v/>
      </c>
      <c r="I1926" s="76" t="n"/>
      <c r="J1926" s="77" t="n"/>
      <c r="K1926" s="74" t="n"/>
      <c r="L1926" s="78" t="n"/>
      <c r="M1926" s="77" t="n"/>
      <c r="N1926" s="53">
        <f>IF(M1926="","",IFERROR(M1926/I1926,""))</f>
        <v/>
      </c>
      <c r="O1926" s="50">
        <f>IF(A1926="","",IFERROR((IF(G1926="",I1926,G1926)-T1926)/M1926,""))</f>
        <v/>
      </c>
      <c r="P1926" s="50">
        <f>IFERROR((I1926/T1926-1)/N1926,"")</f>
        <v/>
      </c>
      <c r="Q1926" s="46">
        <f>IF(OR(T1926="",I1926&lt;T1926),"",IFERROR(R1926/IF(G1926="",I1926,G1926)-1,""))</f>
        <v/>
      </c>
      <c r="R1926" s="48">
        <f>IF($M1926="","",MAX(IF($G1926="",$I1926,$G1926)*(1/1.1),IF($G1926="",$I1926,$G1926)+(R$2*$M1926)))</f>
        <v/>
      </c>
      <c r="S1926" s="49">
        <f>IF($M1926="","",MAX(IF($G1926="",$I1926,$G1926)*(1/1.1),IF($G1926="",$I1926,$G1926)+(S$2*$M1926)))</f>
        <v/>
      </c>
      <c r="T1926" s="82" t="n"/>
      <c r="U1926" s="47">
        <f>IF(OR($M1926="",$T1926=""),"",$T1926+(U$2*$M1926))</f>
        <v/>
      </c>
      <c r="V1926" s="48">
        <f>IF(OR($M1926="",$T1926=""),"",$T1926+(V$2*$M1926))</f>
        <v/>
      </c>
      <c r="W1926" s="48">
        <f>IF(OR($M1926="",$T1926=""),"",$T1926+(W$2*$M1926))</f>
        <v/>
      </c>
      <c r="X1926" s="49">
        <f>IF(OR($M1926="",$T1926=""),"",$T1926+(X$2*$M1926))</f>
        <v/>
      </c>
      <c r="Y1926" s="47">
        <f>IF(OR($M1926="",$T1926=""),"",$T1926+(Y$2*$M1926))</f>
        <v/>
      </c>
      <c r="Z1926" s="49">
        <f>IF(OR($M1926="",$T1926=""),"",$T1926+(Z$2*$M1926))</f>
        <v/>
      </c>
      <c r="AA1926" s="51">
        <f>IF(OR($M1926="",$T1926=""),"",$T1926+(AA$2*$M1926))</f>
        <v/>
      </c>
      <c r="AB1926" s="48">
        <f>IF(OR($M1926="",$T1926=""),"",$T1926+(AB$2*$M1926))</f>
        <v/>
      </c>
      <c r="AC1926" s="48">
        <f>IF(OR($M1926="",$T1926=""),"",$T1926+(AC$2*$M1926))</f>
        <v/>
      </c>
      <c r="AD1926" s="48">
        <f>IF(OR($M1926="",$T1926=""),"",$T1926+(AD$2*$M1926))</f>
        <v/>
      </c>
      <c r="AE1926" s="49">
        <f>IF(OR($M1926="",$T1926=""),"",$T1926+(AE$2*$M1926))</f>
        <v/>
      </c>
      <c r="AF1926" s="52">
        <f>IF(OR(T1926="",I1926&lt;T1926),"",IFERROR(AVERAGE(T1926+M1926*{7,8,9,10,11})/IF(G1926="",I1926,G1926)-1,""))</f>
        <v/>
      </c>
      <c r="AG1926" s="55">
        <f>IF(OR(T1926="",I1926&lt;T1926),"",IFERROR(AF1926/-(R1926/IF(G1926="",I1926,G1926)-1),""))</f>
        <v/>
      </c>
      <c r="AH1926" s="94" t="n"/>
      <c r="AI1926" s="94" t="n"/>
      <c r="AJ1926" s="94" t="n"/>
      <c r="AK1926" s="94" t="n"/>
      <c r="AL1926" s="84" t="n"/>
    </row>
    <row r="1927">
      <c r="A1927" s="64" t="n"/>
      <c r="B1927" s="65" t="n"/>
      <c r="C1927" s="66" t="n"/>
      <c r="D1927" s="67" t="n"/>
      <c r="E1927" s="68" t="n"/>
      <c r="F1927" s="47">
        <f>IF(A1927="","",IF(MIN(H1927,MAX(J1927:K1927))=0,"",MIN(H1927,MAX(J1927:K1927))))</f>
        <v/>
      </c>
      <c r="G1927" s="74" t="n"/>
      <c r="H1927" s="49">
        <f>IF(M1927="","",IFERROR(ROUND(AVERAGE(T1927+M1927*{7,8,9,10,11})/1.21,4),""))</f>
        <v/>
      </c>
      <c r="I1927" s="76" t="n"/>
      <c r="J1927" s="77" t="n"/>
      <c r="K1927" s="74" t="n"/>
      <c r="L1927" s="78" t="n"/>
      <c r="M1927" s="77" t="n"/>
      <c r="N1927" s="53">
        <f>IF(M1927="","",IFERROR(M1927/I1927,""))</f>
        <v/>
      </c>
      <c r="O1927" s="50">
        <f>IF(A1927="","",IFERROR((IF(G1927="",I1927,G1927)-T1927)/M1927,""))</f>
        <v/>
      </c>
      <c r="P1927" s="50">
        <f>IFERROR((I1927/T1927-1)/N1927,"")</f>
        <v/>
      </c>
      <c r="Q1927" s="46">
        <f>IF(OR(T1927="",I1927&lt;T1927),"",IFERROR(R1927/IF(G1927="",I1927,G1927)-1,""))</f>
        <v/>
      </c>
      <c r="R1927" s="48">
        <f>IF($M1927="","",MAX(IF($G1927="",$I1927,$G1927)*(1/1.1),IF($G1927="",$I1927,$G1927)+(R$2*$M1927)))</f>
        <v/>
      </c>
      <c r="S1927" s="49">
        <f>IF($M1927="","",MAX(IF($G1927="",$I1927,$G1927)*(1/1.1),IF($G1927="",$I1927,$G1927)+(S$2*$M1927)))</f>
        <v/>
      </c>
      <c r="T1927" s="82" t="n"/>
      <c r="U1927" s="47">
        <f>IF(OR($M1927="",$T1927=""),"",$T1927+(U$2*$M1927))</f>
        <v/>
      </c>
      <c r="V1927" s="48">
        <f>IF(OR($M1927="",$T1927=""),"",$T1927+(V$2*$M1927))</f>
        <v/>
      </c>
      <c r="W1927" s="48">
        <f>IF(OR($M1927="",$T1927=""),"",$T1927+(W$2*$M1927))</f>
        <v/>
      </c>
      <c r="X1927" s="49">
        <f>IF(OR($M1927="",$T1927=""),"",$T1927+(X$2*$M1927))</f>
        <v/>
      </c>
      <c r="Y1927" s="47">
        <f>IF(OR($M1927="",$T1927=""),"",$T1927+(Y$2*$M1927))</f>
        <v/>
      </c>
      <c r="Z1927" s="49">
        <f>IF(OR($M1927="",$T1927=""),"",$T1927+(Z$2*$M1927))</f>
        <v/>
      </c>
      <c r="AA1927" s="51">
        <f>IF(OR($M1927="",$T1927=""),"",$T1927+(AA$2*$M1927))</f>
        <v/>
      </c>
      <c r="AB1927" s="48">
        <f>IF(OR($M1927="",$T1927=""),"",$T1927+(AB$2*$M1927))</f>
        <v/>
      </c>
      <c r="AC1927" s="48">
        <f>IF(OR($M1927="",$T1927=""),"",$T1927+(AC$2*$M1927))</f>
        <v/>
      </c>
      <c r="AD1927" s="48">
        <f>IF(OR($M1927="",$T1927=""),"",$T1927+(AD$2*$M1927))</f>
        <v/>
      </c>
      <c r="AE1927" s="49">
        <f>IF(OR($M1927="",$T1927=""),"",$T1927+(AE$2*$M1927))</f>
        <v/>
      </c>
      <c r="AF1927" s="52">
        <f>IF(OR(T1927="",I1927&lt;T1927),"",IFERROR(AVERAGE(T1927+M1927*{7,8,9,10,11})/IF(G1927="",I1927,G1927)-1,""))</f>
        <v/>
      </c>
      <c r="AG1927" s="55">
        <f>IF(OR(T1927="",I1927&lt;T1927),"",IFERROR(AF1927/-(R1927/IF(G1927="",I1927,G1927)-1),""))</f>
        <v/>
      </c>
      <c r="AH1927" s="94" t="n"/>
      <c r="AI1927" s="94" t="n"/>
      <c r="AJ1927" s="94" t="n"/>
      <c r="AK1927" s="94" t="n"/>
      <c r="AL1927" s="84" t="n"/>
    </row>
    <row r="1928">
      <c r="A1928" s="64" t="n"/>
      <c r="B1928" s="65" t="n"/>
      <c r="C1928" s="66" t="n"/>
      <c r="D1928" s="67" t="n"/>
      <c r="E1928" s="68" t="n"/>
      <c r="F1928" s="47">
        <f>IF(A1928="","",IF(MIN(H1928,MAX(J1928:K1928))=0,"",MIN(H1928,MAX(J1928:K1928))))</f>
        <v/>
      </c>
      <c r="G1928" s="74" t="n"/>
      <c r="H1928" s="49">
        <f>IF(M1928="","",IFERROR(ROUND(AVERAGE(T1928+M1928*{7,8,9,10,11})/1.21,4),""))</f>
        <v/>
      </c>
      <c r="I1928" s="76" t="n"/>
      <c r="J1928" s="77" t="n"/>
      <c r="K1928" s="74" t="n"/>
      <c r="L1928" s="78" t="n"/>
      <c r="M1928" s="77" t="n"/>
      <c r="N1928" s="53">
        <f>IF(M1928="","",IFERROR(M1928/I1928,""))</f>
        <v/>
      </c>
      <c r="O1928" s="50">
        <f>IF(A1928="","",IFERROR((IF(G1928="",I1928,G1928)-T1928)/M1928,""))</f>
        <v/>
      </c>
      <c r="P1928" s="50">
        <f>IFERROR((I1928/T1928-1)/N1928,"")</f>
        <v/>
      </c>
      <c r="Q1928" s="46">
        <f>IF(OR(T1928="",I1928&lt;T1928),"",IFERROR(R1928/IF(G1928="",I1928,G1928)-1,""))</f>
        <v/>
      </c>
      <c r="R1928" s="48">
        <f>IF($M1928="","",MAX(IF($G1928="",$I1928,$G1928)*(1/1.1),IF($G1928="",$I1928,$G1928)+(R$2*$M1928)))</f>
        <v/>
      </c>
      <c r="S1928" s="49">
        <f>IF($M1928="","",MAX(IF($G1928="",$I1928,$G1928)*(1/1.1),IF($G1928="",$I1928,$G1928)+(S$2*$M1928)))</f>
        <v/>
      </c>
      <c r="T1928" s="82" t="n"/>
      <c r="U1928" s="47">
        <f>IF(OR($M1928="",$T1928=""),"",$T1928+(U$2*$M1928))</f>
        <v/>
      </c>
      <c r="V1928" s="48">
        <f>IF(OR($M1928="",$T1928=""),"",$T1928+(V$2*$M1928))</f>
        <v/>
      </c>
      <c r="W1928" s="48">
        <f>IF(OR($M1928="",$T1928=""),"",$T1928+(W$2*$M1928))</f>
        <v/>
      </c>
      <c r="X1928" s="49">
        <f>IF(OR($M1928="",$T1928=""),"",$T1928+(X$2*$M1928))</f>
        <v/>
      </c>
      <c r="Y1928" s="47">
        <f>IF(OR($M1928="",$T1928=""),"",$T1928+(Y$2*$M1928))</f>
        <v/>
      </c>
      <c r="Z1928" s="49">
        <f>IF(OR($M1928="",$T1928=""),"",$T1928+(Z$2*$M1928))</f>
        <v/>
      </c>
      <c r="AA1928" s="51">
        <f>IF(OR($M1928="",$T1928=""),"",$T1928+(AA$2*$M1928))</f>
        <v/>
      </c>
      <c r="AB1928" s="48">
        <f>IF(OR($M1928="",$T1928=""),"",$T1928+(AB$2*$M1928))</f>
        <v/>
      </c>
      <c r="AC1928" s="48">
        <f>IF(OR($M1928="",$T1928=""),"",$T1928+(AC$2*$M1928))</f>
        <v/>
      </c>
      <c r="AD1928" s="48">
        <f>IF(OR($M1928="",$T1928=""),"",$T1928+(AD$2*$M1928))</f>
        <v/>
      </c>
      <c r="AE1928" s="49">
        <f>IF(OR($M1928="",$T1928=""),"",$T1928+(AE$2*$M1928))</f>
        <v/>
      </c>
      <c r="AF1928" s="52">
        <f>IF(OR(T1928="",I1928&lt;T1928),"",IFERROR(AVERAGE(T1928+M1928*{7,8,9,10,11})/IF(G1928="",I1928,G1928)-1,""))</f>
        <v/>
      </c>
      <c r="AG1928" s="55">
        <f>IF(OR(T1928="",I1928&lt;T1928),"",IFERROR(AF1928/-(R1928/IF(G1928="",I1928,G1928)-1),""))</f>
        <v/>
      </c>
      <c r="AH1928" s="94" t="n"/>
      <c r="AI1928" s="94" t="n"/>
      <c r="AJ1928" s="94" t="n"/>
      <c r="AK1928" s="94" t="n"/>
      <c r="AL1928" s="84" t="n"/>
    </row>
    <row r="1929">
      <c r="A1929" s="64" t="n"/>
      <c r="B1929" s="65" t="n"/>
      <c r="C1929" s="66" t="n"/>
      <c r="D1929" s="67" t="n"/>
      <c r="E1929" s="68" t="n"/>
      <c r="F1929" s="47">
        <f>IF(A1929="","",IF(MIN(H1929,MAX(J1929:K1929))=0,"",MIN(H1929,MAX(J1929:K1929))))</f>
        <v/>
      </c>
      <c r="G1929" s="74" t="n"/>
      <c r="H1929" s="49">
        <f>IF(M1929="","",IFERROR(ROUND(AVERAGE(T1929+M1929*{7,8,9,10,11})/1.21,4),""))</f>
        <v/>
      </c>
      <c r="I1929" s="76" t="n"/>
      <c r="J1929" s="77" t="n"/>
      <c r="K1929" s="74" t="n"/>
      <c r="L1929" s="78" t="n"/>
      <c r="M1929" s="77" t="n"/>
      <c r="N1929" s="53">
        <f>IF(M1929="","",IFERROR(M1929/I1929,""))</f>
        <v/>
      </c>
      <c r="O1929" s="50">
        <f>IF(A1929="","",IFERROR((IF(G1929="",I1929,G1929)-T1929)/M1929,""))</f>
        <v/>
      </c>
      <c r="P1929" s="50">
        <f>IFERROR((I1929/T1929-1)/N1929,"")</f>
        <v/>
      </c>
      <c r="Q1929" s="46">
        <f>IF(OR(T1929="",I1929&lt;T1929),"",IFERROR(R1929/IF(G1929="",I1929,G1929)-1,""))</f>
        <v/>
      </c>
      <c r="R1929" s="48">
        <f>IF($M1929="","",MAX(IF($G1929="",$I1929,$G1929)*(1/1.1),IF($G1929="",$I1929,$G1929)+(R$2*$M1929)))</f>
        <v/>
      </c>
      <c r="S1929" s="49">
        <f>IF($M1929="","",MAX(IF($G1929="",$I1929,$G1929)*(1/1.1),IF($G1929="",$I1929,$G1929)+(S$2*$M1929)))</f>
        <v/>
      </c>
      <c r="T1929" s="82" t="n"/>
      <c r="U1929" s="47">
        <f>IF(OR($M1929="",$T1929=""),"",$T1929+(U$2*$M1929))</f>
        <v/>
      </c>
      <c r="V1929" s="48">
        <f>IF(OR($M1929="",$T1929=""),"",$T1929+(V$2*$M1929))</f>
        <v/>
      </c>
      <c r="W1929" s="48">
        <f>IF(OR($M1929="",$T1929=""),"",$T1929+(W$2*$M1929))</f>
        <v/>
      </c>
      <c r="X1929" s="49">
        <f>IF(OR($M1929="",$T1929=""),"",$T1929+(X$2*$M1929))</f>
        <v/>
      </c>
      <c r="Y1929" s="47">
        <f>IF(OR($M1929="",$T1929=""),"",$T1929+(Y$2*$M1929))</f>
        <v/>
      </c>
      <c r="Z1929" s="49">
        <f>IF(OR($M1929="",$T1929=""),"",$T1929+(Z$2*$M1929))</f>
        <v/>
      </c>
      <c r="AA1929" s="51">
        <f>IF(OR($M1929="",$T1929=""),"",$T1929+(AA$2*$M1929))</f>
        <v/>
      </c>
      <c r="AB1929" s="48">
        <f>IF(OR($M1929="",$T1929=""),"",$T1929+(AB$2*$M1929))</f>
        <v/>
      </c>
      <c r="AC1929" s="48">
        <f>IF(OR($M1929="",$T1929=""),"",$T1929+(AC$2*$M1929))</f>
        <v/>
      </c>
      <c r="AD1929" s="48">
        <f>IF(OR($M1929="",$T1929=""),"",$T1929+(AD$2*$M1929))</f>
        <v/>
      </c>
      <c r="AE1929" s="49">
        <f>IF(OR($M1929="",$T1929=""),"",$T1929+(AE$2*$M1929))</f>
        <v/>
      </c>
      <c r="AF1929" s="52">
        <f>IF(OR(T1929="",I1929&lt;T1929),"",IFERROR(AVERAGE(T1929+M1929*{7,8,9,10,11})/IF(G1929="",I1929,G1929)-1,""))</f>
        <v/>
      </c>
      <c r="AG1929" s="55">
        <f>IF(OR(T1929="",I1929&lt;T1929),"",IFERROR(AF1929/-(R1929/IF(G1929="",I1929,G1929)-1),""))</f>
        <v/>
      </c>
      <c r="AH1929" s="94" t="n"/>
      <c r="AI1929" s="94" t="n"/>
      <c r="AJ1929" s="94" t="n"/>
      <c r="AK1929" s="94" t="n"/>
      <c r="AL1929" s="84" t="n"/>
    </row>
    <row r="1930">
      <c r="A1930" s="64" t="n"/>
      <c r="B1930" s="65" t="n"/>
      <c r="C1930" s="66" t="n"/>
      <c r="D1930" s="67" t="n"/>
      <c r="E1930" s="68" t="n"/>
      <c r="F1930" s="47">
        <f>IF(A1930="","",IF(MIN(H1930,MAX(J1930:K1930))=0,"",MIN(H1930,MAX(J1930:K1930))))</f>
        <v/>
      </c>
      <c r="G1930" s="74" t="n"/>
      <c r="H1930" s="49">
        <f>IF(M1930="","",IFERROR(ROUND(AVERAGE(T1930+M1930*{7,8,9,10,11})/1.21,4),""))</f>
        <v/>
      </c>
      <c r="I1930" s="76" t="n"/>
      <c r="J1930" s="77" t="n"/>
      <c r="K1930" s="74" t="n"/>
      <c r="L1930" s="78" t="n"/>
      <c r="M1930" s="77" t="n"/>
      <c r="N1930" s="53">
        <f>IF(M1930="","",IFERROR(M1930/I1930,""))</f>
        <v/>
      </c>
      <c r="O1930" s="50">
        <f>IF(A1930="","",IFERROR((IF(G1930="",I1930,G1930)-T1930)/M1930,""))</f>
        <v/>
      </c>
      <c r="P1930" s="50">
        <f>IFERROR((I1930/T1930-1)/N1930,"")</f>
        <v/>
      </c>
      <c r="Q1930" s="46">
        <f>IF(OR(T1930="",I1930&lt;T1930),"",IFERROR(R1930/IF(G1930="",I1930,G1930)-1,""))</f>
        <v/>
      </c>
      <c r="R1930" s="48">
        <f>IF($M1930="","",MAX(IF($G1930="",$I1930,$G1930)*(1/1.1),IF($G1930="",$I1930,$G1930)+(R$2*$M1930)))</f>
        <v/>
      </c>
      <c r="S1930" s="49">
        <f>IF($M1930="","",MAX(IF($G1930="",$I1930,$G1930)*(1/1.1),IF($G1930="",$I1930,$G1930)+(S$2*$M1930)))</f>
        <v/>
      </c>
      <c r="T1930" s="82" t="n"/>
      <c r="U1930" s="47">
        <f>IF(OR($M1930="",$T1930=""),"",$T1930+(U$2*$M1930))</f>
        <v/>
      </c>
      <c r="V1930" s="48">
        <f>IF(OR($M1930="",$T1930=""),"",$T1930+(V$2*$M1930))</f>
        <v/>
      </c>
      <c r="W1930" s="48">
        <f>IF(OR($M1930="",$T1930=""),"",$T1930+(W$2*$M1930))</f>
        <v/>
      </c>
      <c r="X1930" s="49">
        <f>IF(OR($M1930="",$T1930=""),"",$T1930+(X$2*$M1930))</f>
        <v/>
      </c>
      <c r="Y1930" s="47">
        <f>IF(OR($M1930="",$T1930=""),"",$T1930+(Y$2*$M1930))</f>
        <v/>
      </c>
      <c r="Z1930" s="49">
        <f>IF(OR($M1930="",$T1930=""),"",$T1930+(Z$2*$M1930))</f>
        <v/>
      </c>
      <c r="AA1930" s="51">
        <f>IF(OR($M1930="",$T1930=""),"",$T1930+(AA$2*$M1930))</f>
        <v/>
      </c>
      <c r="AB1930" s="48">
        <f>IF(OR($M1930="",$T1930=""),"",$T1930+(AB$2*$M1930))</f>
        <v/>
      </c>
      <c r="AC1930" s="48">
        <f>IF(OR($M1930="",$T1930=""),"",$T1930+(AC$2*$M1930))</f>
        <v/>
      </c>
      <c r="AD1930" s="48">
        <f>IF(OR($M1930="",$T1930=""),"",$T1930+(AD$2*$M1930))</f>
        <v/>
      </c>
      <c r="AE1930" s="49">
        <f>IF(OR($M1930="",$T1930=""),"",$T1930+(AE$2*$M1930))</f>
        <v/>
      </c>
      <c r="AF1930" s="52">
        <f>IF(OR(T1930="",I1930&lt;T1930),"",IFERROR(AVERAGE(T1930+M1930*{7,8,9,10,11})/IF(G1930="",I1930,G1930)-1,""))</f>
        <v/>
      </c>
      <c r="AG1930" s="55">
        <f>IF(OR(T1930="",I1930&lt;T1930),"",IFERROR(AF1930/-(R1930/IF(G1930="",I1930,G1930)-1),""))</f>
        <v/>
      </c>
      <c r="AH1930" s="94" t="n"/>
      <c r="AI1930" s="94" t="n"/>
      <c r="AJ1930" s="94" t="n"/>
      <c r="AK1930" s="94" t="n"/>
      <c r="AL1930" s="84" t="n"/>
    </row>
    <row r="1931">
      <c r="A1931" s="64" t="n"/>
      <c r="B1931" s="65" t="n"/>
      <c r="C1931" s="66" t="n"/>
      <c r="D1931" s="67" t="n"/>
      <c r="E1931" s="68" t="n"/>
      <c r="F1931" s="47">
        <f>IF(A1931="","",IF(MIN(H1931,MAX(J1931:K1931))=0,"",MIN(H1931,MAX(J1931:K1931))))</f>
        <v/>
      </c>
      <c r="G1931" s="74" t="n"/>
      <c r="H1931" s="49">
        <f>IF(M1931="","",IFERROR(ROUND(AVERAGE(T1931+M1931*{7,8,9,10,11})/1.21,4),""))</f>
        <v/>
      </c>
      <c r="I1931" s="76" t="n"/>
      <c r="J1931" s="77" t="n"/>
      <c r="K1931" s="74" t="n"/>
      <c r="L1931" s="78" t="n"/>
      <c r="M1931" s="77" t="n"/>
      <c r="N1931" s="53">
        <f>IF(M1931="","",IFERROR(M1931/I1931,""))</f>
        <v/>
      </c>
      <c r="O1931" s="50">
        <f>IF(A1931="","",IFERROR((IF(G1931="",I1931,G1931)-T1931)/M1931,""))</f>
        <v/>
      </c>
      <c r="P1931" s="50">
        <f>IFERROR((I1931/T1931-1)/N1931,"")</f>
        <v/>
      </c>
      <c r="Q1931" s="46">
        <f>IF(OR(T1931="",I1931&lt;T1931),"",IFERROR(R1931/IF(G1931="",I1931,G1931)-1,""))</f>
        <v/>
      </c>
      <c r="R1931" s="48">
        <f>IF($M1931="","",MAX(IF($G1931="",$I1931,$G1931)*(1/1.1),IF($G1931="",$I1931,$G1931)+(R$2*$M1931)))</f>
        <v/>
      </c>
      <c r="S1931" s="49">
        <f>IF($M1931="","",MAX(IF($G1931="",$I1931,$G1931)*(1/1.1),IF($G1931="",$I1931,$G1931)+(S$2*$M1931)))</f>
        <v/>
      </c>
      <c r="T1931" s="82" t="n"/>
      <c r="U1931" s="47">
        <f>IF(OR($M1931="",$T1931=""),"",$T1931+(U$2*$M1931))</f>
        <v/>
      </c>
      <c r="V1931" s="48">
        <f>IF(OR($M1931="",$T1931=""),"",$T1931+(V$2*$M1931))</f>
        <v/>
      </c>
      <c r="W1931" s="48">
        <f>IF(OR($M1931="",$T1931=""),"",$T1931+(W$2*$M1931))</f>
        <v/>
      </c>
      <c r="X1931" s="49">
        <f>IF(OR($M1931="",$T1931=""),"",$T1931+(X$2*$M1931))</f>
        <v/>
      </c>
      <c r="Y1931" s="47">
        <f>IF(OR($M1931="",$T1931=""),"",$T1931+(Y$2*$M1931))</f>
        <v/>
      </c>
      <c r="Z1931" s="49">
        <f>IF(OR($M1931="",$T1931=""),"",$T1931+(Z$2*$M1931))</f>
        <v/>
      </c>
      <c r="AA1931" s="51">
        <f>IF(OR($M1931="",$T1931=""),"",$T1931+(AA$2*$M1931))</f>
        <v/>
      </c>
      <c r="AB1931" s="48">
        <f>IF(OR($M1931="",$T1931=""),"",$T1931+(AB$2*$M1931))</f>
        <v/>
      </c>
      <c r="AC1931" s="48">
        <f>IF(OR($M1931="",$T1931=""),"",$T1931+(AC$2*$M1931))</f>
        <v/>
      </c>
      <c r="AD1931" s="48">
        <f>IF(OR($M1931="",$T1931=""),"",$T1931+(AD$2*$M1931))</f>
        <v/>
      </c>
      <c r="AE1931" s="49">
        <f>IF(OR($M1931="",$T1931=""),"",$T1931+(AE$2*$M1931))</f>
        <v/>
      </c>
      <c r="AF1931" s="52">
        <f>IF(OR(T1931="",I1931&lt;T1931),"",IFERROR(AVERAGE(T1931+M1931*{7,8,9,10,11})/IF(G1931="",I1931,G1931)-1,""))</f>
        <v/>
      </c>
      <c r="AG1931" s="55">
        <f>IF(OR(T1931="",I1931&lt;T1931),"",IFERROR(AF1931/-(R1931/IF(G1931="",I1931,G1931)-1),""))</f>
        <v/>
      </c>
      <c r="AH1931" s="94" t="n"/>
      <c r="AI1931" s="94" t="n"/>
      <c r="AJ1931" s="94" t="n"/>
      <c r="AK1931" s="94" t="n"/>
      <c r="AL1931" s="84" t="n"/>
    </row>
    <row r="1932">
      <c r="A1932" s="64" t="n"/>
      <c r="B1932" s="65" t="n"/>
      <c r="C1932" s="66" t="n"/>
      <c r="D1932" s="67" t="n"/>
      <c r="E1932" s="68" t="n"/>
      <c r="F1932" s="47">
        <f>IF(A1932="","",IF(MIN(H1932,MAX(J1932:K1932))=0,"",MIN(H1932,MAX(J1932:K1932))))</f>
        <v/>
      </c>
      <c r="G1932" s="74" t="n"/>
      <c r="H1932" s="49">
        <f>IF(M1932="","",IFERROR(ROUND(AVERAGE(T1932+M1932*{7,8,9,10,11})/1.21,4),""))</f>
        <v/>
      </c>
      <c r="I1932" s="76" t="n"/>
      <c r="J1932" s="77" t="n"/>
      <c r="K1932" s="74" t="n"/>
      <c r="L1932" s="78" t="n"/>
      <c r="M1932" s="77" t="n"/>
      <c r="N1932" s="53">
        <f>IF(M1932="","",IFERROR(M1932/I1932,""))</f>
        <v/>
      </c>
      <c r="O1932" s="50">
        <f>IF(A1932="","",IFERROR((IF(G1932="",I1932,G1932)-T1932)/M1932,""))</f>
        <v/>
      </c>
      <c r="P1932" s="50">
        <f>IFERROR((I1932/T1932-1)/N1932,"")</f>
        <v/>
      </c>
      <c r="Q1932" s="46">
        <f>IF(OR(T1932="",I1932&lt;T1932),"",IFERROR(R1932/IF(G1932="",I1932,G1932)-1,""))</f>
        <v/>
      </c>
      <c r="R1932" s="48">
        <f>IF($M1932="","",MAX(IF($G1932="",$I1932,$G1932)*(1/1.1),IF($G1932="",$I1932,$G1932)+(R$2*$M1932)))</f>
        <v/>
      </c>
      <c r="S1932" s="49">
        <f>IF($M1932="","",MAX(IF($G1932="",$I1932,$G1932)*(1/1.1),IF($G1932="",$I1932,$G1932)+(S$2*$M1932)))</f>
        <v/>
      </c>
      <c r="T1932" s="82" t="n"/>
      <c r="U1932" s="47">
        <f>IF(OR($M1932="",$T1932=""),"",$T1932+(U$2*$M1932))</f>
        <v/>
      </c>
      <c r="V1932" s="48">
        <f>IF(OR($M1932="",$T1932=""),"",$T1932+(V$2*$M1932))</f>
        <v/>
      </c>
      <c r="W1932" s="48">
        <f>IF(OR($M1932="",$T1932=""),"",$T1932+(W$2*$M1932))</f>
        <v/>
      </c>
      <c r="X1932" s="49">
        <f>IF(OR($M1932="",$T1932=""),"",$T1932+(X$2*$M1932))</f>
        <v/>
      </c>
      <c r="Y1932" s="47">
        <f>IF(OR($M1932="",$T1932=""),"",$T1932+(Y$2*$M1932))</f>
        <v/>
      </c>
      <c r="Z1932" s="49">
        <f>IF(OR($M1932="",$T1932=""),"",$T1932+(Z$2*$M1932))</f>
        <v/>
      </c>
      <c r="AA1932" s="51">
        <f>IF(OR($M1932="",$T1932=""),"",$T1932+(AA$2*$M1932))</f>
        <v/>
      </c>
      <c r="AB1932" s="48">
        <f>IF(OR($M1932="",$T1932=""),"",$T1932+(AB$2*$M1932))</f>
        <v/>
      </c>
      <c r="AC1932" s="48">
        <f>IF(OR($M1932="",$T1932=""),"",$T1932+(AC$2*$M1932))</f>
        <v/>
      </c>
      <c r="AD1932" s="48">
        <f>IF(OR($M1932="",$T1932=""),"",$T1932+(AD$2*$M1932))</f>
        <v/>
      </c>
      <c r="AE1932" s="49">
        <f>IF(OR($M1932="",$T1932=""),"",$T1932+(AE$2*$M1932))</f>
        <v/>
      </c>
      <c r="AF1932" s="52">
        <f>IF(OR(T1932="",I1932&lt;T1932),"",IFERROR(AVERAGE(T1932+M1932*{7,8,9,10,11})/IF(G1932="",I1932,G1932)-1,""))</f>
        <v/>
      </c>
      <c r="AG1932" s="55">
        <f>IF(OR(T1932="",I1932&lt;T1932),"",IFERROR(AF1932/-(R1932/IF(G1932="",I1932,G1932)-1),""))</f>
        <v/>
      </c>
      <c r="AH1932" s="94" t="n"/>
      <c r="AI1932" s="94" t="n"/>
      <c r="AJ1932" s="94" t="n"/>
      <c r="AK1932" s="94" t="n"/>
      <c r="AL1932" s="84" t="n"/>
    </row>
    <row r="1933">
      <c r="A1933" s="64" t="n"/>
      <c r="B1933" s="65" t="n"/>
      <c r="C1933" s="66" t="n"/>
      <c r="D1933" s="67" t="n"/>
      <c r="E1933" s="68" t="n"/>
      <c r="F1933" s="47">
        <f>IF(A1933="","",IF(MIN(H1933,MAX(J1933:K1933))=0,"",MIN(H1933,MAX(J1933:K1933))))</f>
        <v/>
      </c>
      <c r="G1933" s="74" t="n"/>
      <c r="H1933" s="49">
        <f>IF(M1933="","",IFERROR(ROUND(AVERAGE(T1933+M1933*{7,8,9,10,11})/1.21,4),""))</f>
        <v/>
      </c>
      <c r="I1933" s="76" t="n"/>
      <c r="J1933" s="77" t="n"/>
      <c r="K1933" s="74" t="n"/>
      <c r="L1933" s="78" t="n"/>
      <c r="M1933" s="77" t="n"/>
      <c r="N1933" s="53">
        <f>IF(M1933="","",IFERROR(M1933/I1933,""))</f>
        <v/>
      </c>
      <c r="O1933" s="50">
        <f>IF(A1933="","",IFERROR((IF(G1933="",I1933,G1933)-T1933)/M1933,""))</f>
        <v/>
      </c>
      <c r="P1933" s="50">
        <f>IFERROR((I1933/T1933-1)/N1933,"")</f>
        <v/>
      </c>
      <c r="Q1933" s="46">
        <f>IF(OR(T1933="",I1933&lt;T1933),"",IFERROR(R1933/IF(G1933="",I1933,G1933)-1,""))</f>
        <v/>
      </c>
      <c r="R1933" s="48">
        <f>IF($M1933="","",MAX(IF($G1933="",$I1933,$G1933)*(1/1.1),IF($G1933="",$I1933,$G1933)+(R$2*$M1933)))</f>
        <v/>
      </c>
      <c r="S1933" s="49">
        <f>IF($M1933="","",MAX(IF($G1933="",$I1933,$G1933)*(1/1.1),IF($G1933="",$I1933,$G1933)+(S$2*$M1933)))</f>
        <v/>
      </c>
      <c r="T1933" s="82" t="n"/>
      <c r="U1933" s="47">
        <f>IF(OR($M1933="",$T1933=""),"",$T1933+(U$2*$M1933))</f>
        <v/>
      </c>
      <c r="V1933" s="48">
        <f>IF(OR($M1933="",$T1933=""),"",$T1933+(V$2*$M1933))</f>
        <v/>
      </c>
      <c r="W1933" s="48">
        <f>IF(OR($M1933="",$T1933=""),"",$T1933+(W$2*$M1933))</f>
        <v/>
      </c>
      <c r="X1933" s="49">
        <f>IF(OR($M1933="",$T1933=""),"",$T1933+(X$2*$M1933))</f>
        <v/>
      </c>
      <c r="Y1933" s="47">
        <f>IF(OR($M1933="",$T1933=""),"",$T1933+(Y$2*$M1933))</f>
        <v/>
      </c>
      <c r="Z1933" s="49">
        <f>IF(OR($M1933="",$T1933=""),"",$T1933+(Z$2*$M1933))</f>
        <v/>
      </c>
      <c r="AA1933" s="51">
        <f>IF(OR($M1933="",$T1933=""),"",$T1933+(AA$2*$M1933))</f>
        <v/>
      </c>
      <c r="AB1933" s="48">
        <f>IF(OR($M1933="",$T1933=""),"",$T1933+(AB$2*$M1933))</f>
        <v/>
      </c>
      <c r="AC1933" s="48">
        <f>IF(OR($M1933="",$T1933=""),"",$T1933+(AC$2*$M1933))</f>
        <v/>
      </c>
      <c r="AD1933" s="48">
        <f>IF(OR($M1933="",$T1933=""),"",$T1933+(AD$2*$M1933))</f>
        <v/>
      </c>
      <c r="AE1933" s="49">
        <f>IF(OR($M1933="",$T1933=""),"",$T1933+(AE$2*$M1933))</f>
        <v/>
      </c>
      <c r="AF1933" s="52">
        <f>IF(OR(T1933="",I1933&lt;T1933),"",IFERROR(AVERAGE(T1933+M1933*{7,8,9,10,11})/IF(G1933="",I1933,G1933)-1,""))</f>
        <v/>
      </c>
      <c r="AG1933" s="55">
        <f>IF(OR(T1933="",I1933&lt;T1933),"",IFERROR(AF1933/-(R1933/IF(G1933="",I1933,G1933)-1),""))</f>
        <v/>
      </c>
      <c r="AH1933" s="94" t="n"/>
      <c r="AI1933" s="94" t="n"/>
      <c r="AJ1933" s="94" t="n"/>
      <c r="AK1933" s="94" t="n"/>
      <c r="AL1933" s="84" t="n"/>
    </row>
    <row r="1934">
      <c r="A1934" s="64" t="n"/>
      <c r="B1934" s="65" t="n"/>
      <c r="C1934" s="66" t="n"/>
      <c r="D1934" s="67" t="n"/>
      <c r="E1934" s="68" t="n"/>
      <c r="F1934" s="47">
        <f>IF(A1934="","",IF(MIN(H1934,MAX(J1934:K1934))=0,"",MIN(H1934,MAX(J1934:K1934))))</f>
        <v/>
      </c>
      <c r="G1934" s="74" t="n"/>
      <c r="H1934" s="49">
        <f>IF(M1934="","",IFERROR(ROUND(AVERAGE(T1934+M1934*{7,8,9,10,11})/1.21,4),""))</f>
        <v/>
      </c>
      <c r="I1934" s="76" t="n"/>
      <c r="J1934" s="77" t="n"/>
      <c r="K1934" s="74" t="n"/>
      <c r="L1934" s="78" t="n"/>
      <c r="M1934" s="77" t="n"/>
      <c r="N1934" s="53">
        <f>IF(M1934="","",IFERROR(M1934/I1934,""))</f>
        <v/>
      </c>
      <c r="O1934" s="50">
        <f>IF(A1934="","",IFERROR((IF(G1934="",I1934,G1934)-T1934)/M1934,""))</f>
        <v/>
      </c>
      <c r="P1934" s="50">
        <f>IFERROR((I1934/T1934-1)/N1934,"")</f>
        <v/>
      </c>
      <c r="Q1934" s="46">
        <f>IF(OR(T1934="",I1934&lt;T1934),"",IFERROR(R1934/IF(G1934="",I1934,G1934)-1,""))</f>
        <v/>
      </c>
      <c r="R1934" s="48">
        <f>IF($M1934="","",MAX(IF($G1934="",$I1934,$G1934)*(1/1.1),IF($G1934="",$I1934,$G1934)+(R$2*$M1934)))</f>
        <v/>
      </c>
      <c r="S1934" s="49">
        <f>IF($M1934="","",MAX(IF($G1934="",$I1934,$G1934)*(1/1.1),IF($G1934="",$I1934,$G1934)+(S$2*$M1934)))</f>
        <v/>
      </c>
      <c r="T1934" s="82" t="n"/>
      <c r="U1934" s="47">
        <f>IF(OR($M1934="",$T1934=""),"",$T1934+(U$2*$M1934))</f>
        <v/>
      </c>
      <c r="V1934" s="48">
        <f>IF(OR($M1934="",$T1934=""),"",$T1934+(V$2*$M1934))</f>
        <v/>
      </c>
      <c r="W1934" s="48">
        <f>IF(OR($M1934="",$T1934=""),"",$T1934+(W$2*$M1934))</f>
        <v/>
      </c>
      <c r="X1934" s="49">
        <f>IF(OR($M1934="",$T1934=""),"",$T1934+(X$2*$M1934))</f>
        <v/>
      </c>
      <c r="Y1934" s="47">
        <f>IF(OR($M1934="",$T1934=""),"",$T1934+(Y$2*$M1934))</f>
        <v/>
      </c>
      <c r="Z1934" s="49">
        <f>IF(OR($M1934="",$T1934=""),"",$T1934+(Z$2*$M1934))</f>
        <v/>
      </c>
      <c r="AA1934" s="51">
        <f>IF(OR($M1934="",$T1934=""),"",$T1934+(AA$2*$M1934))</f>
        <v/>
      </c>
      <c r="AB1934" s="48">
        <f>IF(OR($M1934="",$T1934=""),"",$T1934+(AB$2*$M1934))</f>
        <v/>
      </c>
      <c r="AC1934" s="48">
        <f>IF(OR($M1934="",$T1934=""),"",$T1934+(AC$2*$M1934))</f>
        <v/>
      </c>
      <c r="AD1934" s="48">
        <f>IF(OR($M1934="",$T1934=""),"",$T1934+(AD$2*$M1934))</f>
        <v/>
      </c>
      <c r="AE1934" s="49">
        <f>IF(OR($M1934="",$T1934=""),"",$T1934+(AE$2*$M1934))</f>
        <v/>
      </c>
      <c r="AF1934" s="52">
        <f>IF(OR(T1934="",I1934&lt;T1934),"",IFERROR(AVERAGE(T1934+M1934*{7,8,9,10,11})/IF(G1934="",I1934,G1934)-1,""))</f>
        <v/>
      </c>
      <c r="AG1934" s="55">
        <f>IF(OR(T1934="",I1934&lt;T1934),"",IFERROR(AF1934/-(R1934/IF(G1934="",I1934,G1934)-1),""))</f>
        <v/>
      </c>
      <c r="AH1934" s="94" t="n"/>
      <c r="AI1934" s="94" t="n"/>
      <c r="AJ1934" s="94" t="n"/>
      <c r="AK1934" s="94" t="n"/>
      <c r="AL1934" s="84" t="n"/>
    </row>
    <row r="1935">
      <c r="A1935" s="64" t="n"/>
      <c r="B1935" s="65" t="n"/>
      <c r="C1935" s="66" t="n"/>
      <c r="D1935" s="67" t="n"/>
      <c r="E1935" s="68" t="n"/>
      <c r="F1935" s="47">
        <f>IF(A1935="","",IF(MIN(H1935,MAX(J1935:K1935))=0,"",MIN(H1935,MAX(J1935:K1935))))</f>
        <v/>
      </c>
      <c r="G1935" s="74" t="n"/>
      <c r="H1935" s="49">
        <f>IF(M1935="","",IFERROR(ROUND(AVERAGE(T1935+M1935*{7,8,9,10,11})/1.21,4),""))</f>
        <v/>
      </c>
      <c r="I1935" s="76" t="n"/>
      <c r="J1935" s="77" t="n"/>
      <c r="K1935" s="74" t="n"/>
      <c r="L1935" s="78" t="n"/>
      <c r="M1935" s="77" t="n"/>
      <c r="N1935" s="53">
        <f>IF(M1935="","",IFERROR(M1935/I1935,""))</f>
        <v/>
      </c>
      <c r="O1935" s="50">
        <f>IF(A1935="","",IFERROR((IF(G1935="",I1935,G1935)-T1935)/M1935,""))</f>
        <v/>
      </c>
      <c r="P1935" s="50">
        <f>IFERROR((I1935/T1935-1)/N1935,"")</f>
        <v/>
      </c>
      <c r="Q1935" s="46">
        <f>IF(OR(T1935="",I1935&lt;T1935),"",IFERROR(R1935/IF(G1935="",I1935,G1935)-1,""))</f>
        <v/>
      </c>
      <c r="R1935" s="48">
        <f>IF($M1935="","",MAX(IF($G1935="",$I1935,$G1935)*(1/1.1),IF($G1935="",$I1935,$G1935)+(R$2*$M1935)))</f>
        <v/>
      </c>
      <c r="S1935" s="49">
        <f>IF($M1935="","",MAX(IF($G1935="",$I1935,$G1935)*(1/1.1),IF($G1935="",$I1935,$G1935)+(S$2*$M1935)))</f>
        <v/>
      </c>
      <c r="T1935" s="82" t="n"/>
      <c r="U1935" s="47">
        <f>IF(OR($M1935="",$T1935=""),"",$T1935+(U$2*$M1935))</f>
        <v/>
      </c>
      <c r="V1935" s="48">
        <f>IF(OR($M1935="",$T1935=""),"",$T1935+(V$2*$M1935))</f>
        <v/>
      </c>
      <c r="W1935" s="48">
        <f>IF(OR($M1935="",$T1935=""),"",$T1935+(W$2*$M1935))</f>
        <v/>
      </c>
      <c r="X1935" s="49">
        <f>IF(OR($M1935="",$T1935=""),"",$T1935+(X$2*$M1935))</f>
        <v/>
      </c>
      <c r="Y1935" s="47">
        <f>IF(OR($M1935="",$T1935=""),"",$T1935+(Y$2*$M1935))</f>
        <v/>
      </c>
      <c r="Z1935" s="49">
        <f>IF(OR($M1935="",$T1935=""),"",$T1935+(Z$2*$M1935))</f>
        <v/>
      </c>
      <c r="AA1935" s="51">
        <f>IF(OR($M1935="",$T1935=""),"",$T1935+(AA$2*$M1935))</f>
        <v/>
      </c>
      <c r="AB1935" s="48">
        <f>IF(OR($M1935="",$T1935=""),"",$T1935+(AB$2*$M1935))</f>
        <v/>
      </c>
      <c r="AC1935" s="48">
        <f>IF(OR($M1935="",$T1935=""),"",$T1935+(AC$2*$M1935))</f>
        <v/>
      </c>
      <c r="AD1935" s="48">
        <f>IF(OR($M1935="",$T1935=""),"",$T1935+(AD$2*$M1935))</f>
        <v/>
      </c>
      <c r="AE1935" s="49">
        <f>IF(OR($M1935="",$T1935=""),"",$T1935+(AE$2*$M1935))</f>
        <v/>
      </c>
      <c r="AF1935" s="52">
        <f>IF(OR(T1935="",I1935&lt;T1935),"",IFERROR(AVERAGE(T1935+M1935*{7,8,9,10,11})/IF(G1935="",I1935,G1935)-1,""))</f>
        <v/>
      </c>
      <c r="AG1935" s="55">
        <f>IF(OR(T1935="",I1935&lt;T1935),"",IFERROR(AF1935/-(R1935/IF(G1935="",I1935,G1935)-1),""))</f>
        <v/>
      </c>
      <c r="AH1935" s="94" t="n"/>
      <c r="AI1935" s="94" t="n"/>
      <c r="AJ1935" s="94" t="n"/>
      <c r="AK1935" s="94" t="n"/>
      <c r="AL1935" s="84" t="n"/>
    </row>
    <row r="1936">
      <c r="A1936" s="64" t="n"/>
      <c r="B1936" s="65" t="n"/>
      <c r="C1936" s="66" t="n"/>
      <c r="D1936" s="67" t="n"/>
      <c r="E1936" s="68" t="n"/>
      <c r="F1936" s="47">
        <f>IF(A1936="","",IF(MIN(H1936,MAX(J1936:K1936))=0,"",MIN(H1936,MAX(J1936:K1936))))</f>
        <v/>
      </c>
      <c r="G1936" s="74" t="n"/>
      <c r="H1936" s="49">
        <f>IF(M1936="","",IFERROR(ROUND(AVERAGE(T1936+M1936*{7,8,9,10,11})/1.21,4),""))</f>
        <v/>
      </c>
      <c r="I1936" s="76" t="n"/>
      <c r="J1936" s="77" t="n"/>
      <c r="K1936" s="74" t="n"/>
      <c r="L1936" s="78" t="n"/>
      <c r="M1936" s="77" t="n"/>
      <c r="N1936" s="53">
        <f>IF(M1936="","",IFERROR(M1936/I1936,""))</f>
        <v/>
      </c>
      <c r="O1936" s="50">
        <f>IF(A1936="","",IFERROR((IF(G1936="",I1936,G1936)-T1936)/M1936,""))</f>
        <v/>
      </c>
      <c r="P1936" s="50">
        <f>IFERROR((I1936/T1936-1)/N1936,"")</f>
        <v/>
      </c>
      <c r="Q1936" s="46">
        <f>IF(OR(T1936="",I1936&lt;T1936),"",IFERROR(R1936/IF(G1936="",I1936,G1936)-1,""))</f>
        <v/>
      </c>
      <c r="R1936" s="48">
        <f>IF($M1936="","",MAX(IF($G1936="",$I1936,$G1936)*(1/1.1),IF($G1936="",$I1936,$G1936)+(R$2*$M1936)))</f>
        <v/>
      </c>
      <c r="S1936" s="49">
        <f>IF($M1936="","",MAX(IF($G1936="",$I1936,$G1936)*(1/1.1),IF($G1936="",$I1936,$G1936)+(S$2*$M1936)))</f>
        <v/>
      </c>
      <c r="T1936" s="82" t="n"/>
      <c r="U1936" s="47">
        <f>IF(OR($M1936="",$T1936=""),"",$T1936+(U$2*$M1936))</f>
        <v/>
      </c>
      <c r="V1936" s="48">
        <f>IF(OR($M1936="",$T1936=""),"",$T1936+(V$2*$M1936))</f>
        <v/>
      </c>
      <c r="W1936" s="48">
        <f>IF(OR($M1936="",$T1936=""),"",$T1936+(W$2*$M1936))</f>
        <v/>
      </c>
      <c r="X1936" s="49">
        <f>IF(OR($M1936="",$T1936=""),"",$T1936+(X$2*$M1936))</f>
        <v/>
      </c>
      <c r="Y1936" s="47">
        <f>IF(OR($M1936="",$T1936=""),"",$T1936+(Y$2*$M1936))</f>
        <v/>
      </c>
      <c r="Z1936" s="49">
        <f>IF(OR($M1936="",$T1936=""),"",$T1936+(Z$2*$M1936))</f>
        <v/>
      </c>
      <c r="AA1936" s="51">
        <f>IF(OR($M1936="",$T1936=""),"",$T1936+(AA$2*$M1936))</f>
        <v/>
      </c>
      <c r="AB1936" s="48">
        <f>IF(OR($M1936="",$T1936=""),"",$T1936+(AB$2*$M1936))</f>
        <v/>
      </c>
      <c r="AC1936" s="48">
        <f>IF(OR($M1936="",$T1936=""),"",$T1936+(AC$2*$M1936))</f>
        <v/>
      </c>
      <c r="AD1936" s="48">
        <f>IF(OR($M1936="",$T1936=""),"",$T1936+(AD$2*$M1936))</f>
        <v/>
      </c>
      <c r="AE1936" s="49">
        <f>IF(OR($M1936="",$T1936=""),"",$T1936+(AE$2*$M1936))</f>
        <v/>
      </c>
      <c r="AF1936" s="52">
        <f>IF(OR(T1936="",I1936&lt;T1936),"",IFERROR(AVERAGE(T1936+M1936*{7,8,9,10,11})/IF(G1936="",I1936,G1936)-1,""))</f>
        <v/>
      </c>
      <c r="AG1936" s="55">
        <f>IF(OR(T1936="",I1936&lt;T1936),"",IFERROR(AF1936/-(R1936/IF(G1936="",I1936,G1936)-1),""))</f>
        <v/>
      </c>
      <c r="AH1936" s="94" t="n"/>
      <c r="AI1936" s="94" t="n"/>
      <c r="AJ1936" s="94" t="n"/>
      <c r="AK1936" s="94" t="n"/>
      <c r="AL1936" s="84" t="n"/>
    </row>
    <row r="1937">
      <c r="A1937" s="64" t="n"/>
      <c r="B1937" s="65" t="n"/>
      <c r="C1937" s="66" t="n"/>
      <c r="D1937" s="67" t="n"/>
      <c r="E1937" s="68" t="n"/>
      <c r="F1937" s="47">
        <f>IF(A1937="","",IF(MIN(H1937,MAX(J1937:K1937))=0,"",MIN(H1937,MAX(J1937:K1937))))</f>
        <v/>
      </c>
      <c r="G1937" s="74" t="n"/>
      <c r="H1937" s="49">
        <f>IF(M1937="","",IFERROR(ROUND(AVERAGE(T1937+M1937*{7,8,9,10,11})/1.21,4),""))</f>
        <v/>
      </c>
      <c r="I1937" s="76" t="n"/>
      <c r="J1937" s="77" t="n"/>
      <c r="K1937" s="74" t="n"/>
      <c r="L1937" s="78" t="n"/>
      <c r="M1937" s="77" t="n"/>
      <c r="N1937" s="53">
        <f>IF(M1937="","",IFERROR(M1937/I1937,""))</f>
        <v/>
      </c>
      <c r="O1937" s="50">
        <f>IF(A1937="","",IFERROR((IF(G1937="",I1937,G1937)-T1937)/M1937,""))</f>
        <v/>
      </c>
      <c r="P1937" s="50">
        <f>IFERROR((I1937/T1937-1)/N1937,"")</f>
        <v/>
      </c>
      <c r="Q1937" s="46">
        <f>IF(OR(T1937="",I1937&lt;T1937),"",IFERROR(R1937/IF(G1937="",I1937,G1937)-1,""))</f>
        <v/>
      </c>
      <c r="R1937" s="48">
        <f>IF($M1937="","",MAX(IF($G1937="",$I1937,$G1937)*(1/1.1),IF($G1937="",$I1937,$G1937)+(R$2*$M1937)))</f>
        <v/>
      </c>
      <c r="S1937" s="49">
        <f>IF($M1937="","",MAX(IF($G1937="",$I1937,$G1937)*(1/1.1),IF($G1937="",$I1937,$G1937)+(S$2*$M1937)))</f>
        <v/>
      </c>
      <c r="T1937" s="82" t="n"/>
      <c r="U1937" s="47">
        <f>IF(OR($M1937="",$T1937=""),"",$T1937+(U$2*$M1937))</f>
        <v/>
      </c>
      <c r="V1937" s="48">
        <f>IF(OR($M1937="",$T1937=""),"",$T1937+(V$2*$M1937))</f>
        <v/>
      </c>
      <c r="W1937" s="48">
        <f>IF(OR($M1937="",$T1937=""),"",$T1937+(W$2*$M1937))</f>
        <v/>
      </c>
      <c r="X1937" s="49">
        <f>IF(OR($M1937="",$T1937=""),"",$T1937+(X$2*$M1937))</f>
        <v/>
      </c>
      <c r="Y1937" s="47">
        <f>IF(OR($M1937="",$T1937=""),"",$T1937+(Y$2*$M1937))</f>
        <v/>
      </c>
      <c r="Z1937" s="49">
        <f>IF(OR($M1937="",$T1937=""),"",$T1937+(Z$2*$M1937))</f>
        <v/>
      </c>
      <c r="AA1937" s="51">
        <f>IF(OR($M1937="",$T1937=""),"",$T1937+(AA$2*$M1937))</f>
        <v/>
      </c>
      <c r="AB1937" s="48">
        <f>IF(OR($M1937="",$T1937=""),"",$T1937+(AB$2*$M1937))</f>
        <v/>
      </c>
      <c r="AC1937" s="48">
        <f>IF(OR($M1937="",$T1937=""),"",$T1937+(AC$2*$M1937))</f>
        <v/>
      </c>
      <c r="AD1937" s="48">
        <f>IF(OR($M1937="",$T1937=""),"",$T1937+(AD$2*$M1937))</f>
        <v/>
      </c>
      <c r="AE1937" s="49">
        <f>IF(OR($M1937="",$T1937=""),"",$T1937+(AE$2*$M1937))</f>
        <v/>
      </c>
      <c r="AF1937" s="52">
        <f>IF(OR(T1937="",I1937&lt;T1937),"",IFERROR(AVERAGE(T1937+M1937*{7,8,9,10,11})/IF(G1937="",I1937,G1937)-1,""))</f>
        <v/>
      </c>
      <c r="AG1937" s="55">
        <f>IF(OR(T1937="",I1937&lt;T1937),"",IFERROR(AF1937/-(R1937/IF(G1937="",I1937,G1937)-1),""))</f>
        <v/>
      </c>
      <c r="AH1937" s="94" t="n"/>
      <c r="AI1937" s="94" t="n"/>
      <c r="AJ1937" s="94" t="n"/>
      <c r="AK1937" s="94" t="n"/>
      <c r="AL1937" s="84" t="n"/>
    </row>
    <row r="1938">
      <c r="A1938" s="64" t="n"/>
      <c r="B1938" s="65" t="n"/>
      <c r="C1938" s="66" t="n"/>
      <c r="D1938" s="67" t="n"/>
      <c r="E1938" s="68" t="n"/>
      <c r="F1938" s="47">
        <f>IF(A1938="","",IF(MIN(H1938,MAX(J1938:K1938))=0,"",MIN(H1938,MAX(J1938:K1938))))</f>
        <v/>
      </c>
      <c r="G1938" s="74" t="n"/>
      <c r="H1938" s="49">
        <f>IF(M1938="","",IFERROR(ROUND(AVERAGE(T1938+M1938*{7,8,9,10,11})/1.21,4),""))</f>
        <v/>
      </c>
      <c r="I1938" s="76" t="n"/>
      <c r="J1938" s="77" t="n"/>
      <c r="K1938" s="74" t="n"/>
      <c r="L1938" s="78" t="n"/>
      <c r="M1938" s="77" t="n"/>
      <c r="N1938" s="53">
        <f>IF(M1938="","",IFERROR(M1938/I1938,""))</f>
        <v/>
      </c>
      <c r="O1938" s="50">
        <f>IF(A1938="","",IFERROR((IF(G1938="",I1938,G1938)-T1938)/M1938,""))</f>
        <v/>
      </c>
      <c r="P1938" s="50">
        <f>IFERROR((I1938/T1938-1)/N1938,"")</f>
        <v/>
      </c>
      <c r="Q1938" s="46">
        <f>IF(OR(T1938="",I1938&lt;T1938),"",IFERROR(R1938/IF(G1938="",I1938,G1938)-1,""))</f>
        <v/>
      </c>
      <c r="R1938" s="48">
        <f>IF($M1938="","",MAX(IF($G1938="",$I1938,$G1938)*(1/1.1),IF($G1938="",$I1938,$G1938)+(R$2*$M1938)))</f>
        <v/>
      </c>
      <c r="S1938" s="49">
        <f>IF($M1938="","",MAX(IF($G1938="",$I1938,$G1938)*(1/1.1),IF($G1938="",$I1938,$G1938)+(S$2*$M1938)))</f>
        <v/>
      </c>
      <c r="T1938" s="82" t="n"/>
      <c r="U1938" s="47">
        <f>IF(OR($M1938="",$T1938=""),"",$T1938+(U$2*$M1938))</f>
        <v/>
      </c>
      <c r="V1938" s="48">
        <f>IF(OR($M1938="",$T1938=""),"",$T1938+(V$2*$M1938))</f>
        <v/>
      </c>
      <c r="W1938" s="48">
        <f>IF(OR($M1938="",$T1938=""),"",$T1938+(W$2*$M1938))</f>
        <v/>
      </c>
      <c r="X1938" s="49">
        <f>IF(OR($M1938="",$T1938=""),"",$T1938+(X$2*$M1938))</f>
        <v/>
      </c>
      <c r="Y1938" s="47">
        <f>IF(OR($M1938="",$T1938=""),"",$T1938+(Y$2*$M1938))</f>
        <v/>
      </c>
      <c r="Z1938" s="49">
        <f>IF(OR($M1938="",$T1938=""),"",$T1938+(Z$2*$M1938))</f>
        <v/>
      </c>
      <c r="AA1938" s="51">
        <f>IF(OR($M1938="",$T1938=""),"",$T1938+(AA$2*$M1938))</f>
        <v/>
      </c>
      <c r="AB1938" s="48">
        <f>IF(OR($M1938="",$T1938=""),"",$T1938+(AB$2*$M1938))</f>
        <v/>
      </c>
      <c r="AC1938" s="48">
        <f>IF(OR($M1938="",$T1938=""),"",$T1938+(AC$2*$M1938))</f>
        <v/>
      </c>
      <c r="AD1938" s="48">
        <f>IF(OR($M1938="",$T1938=""),"",$T1938+(AD$2*$M1938))</f>
        <v/>
      </c>
      <c r="AE1938" s="49">
        <f>IF(OR($M1938="",$T1938=""),"",$T1938+(AE$2*$M1938))</f>
        <v/>
      </c>
      <c r="AF1938" s="52">
        <f>IF(OR(T1938="",I1938&lt;T1938),"",IFERROR(AVERAGE(T1938+M1938*{7,8,9,10,11})/IF(G1938="",I1938,G1938)-1,""))</f>
        <v/>
      </c>
      <c r="AG1938" s="55">
        <f>IF(OR(T1938="",I1938&lt;T1938),"",IFERROR(AF1938/-(R1938/IF(G1938="",I1938,G1938)-1),""))</f>
        <v/>
      </c>
      <c r="AH1938" s="94" t="n"/>
      <c r="AI1938" s="94" t="n"/>
      <c r="AJ1938" s="94" t="n"/>
      <c r="AK1938" s="94" t="n"/>
      <c r="AL1938" s="84" t="n"/>
    </row>
    <row r="1939">
      <c r="A1939" s="64" t="n"/>
      <c r="B1939" s="65" t="n"/>
      <c r="C1939" s="66" t="n"/>
      <c r="D1939" s="67" t="n"/>
      <c r="E1939" s="68" t="n"/>
      <c r="F1939" s="47">
        <f>IF(A1939="","",IF(MIN(H1939,MAX(J1939:K1939))=0,"",MIN(H1939,MAX(J1939:K1939))))</f>
        <v/>
      </c>
      <c r="G1939" s="74" t="n"/>
      <c r="H1939" s="49">
        <f>IF(M1939="","",IFERROR(ROUND(AVERAGE(T1939+M1939*{7,8,9,10,11})/1.21,4),""))</f>
        <v/>
      </c>
      <c r="I1939" s="76" t="n"/>
      <c r="J1939" s="77" t="n"/>
      <c r="K1939" s="74" t="n"/>
      <c r="L1939" s="78" t="n"/>
      <c r="M1939" s="77" t="n"/>
      <c r="N1939" s="53">
        <f>IF(M1939="","",IFERROR(M1939/I1939,""))</f>
        <v/>
      </c>
      <c r="O1939" s="50">
        <f>IF(A1939="","",IFERROR((IF(G1939="",I1939,G1939)-T1939)/M1939,""))</f>
        <v/>
      </c>
      <c r="P1939" s="50">
        <f>IFERROR((I1939/T1939-1)/N1939,"")</f>
        <v/>
      </c>
      <c r="Q1939" s="46">
        <f>IF(OR(T1939="",I1939&lt;T1939),"",IFERROR(R1939/IF(G1939="",I1939,G1939)-1,""))</f>
        <v/>
      </c>
      <c r="R1939" s="48">
        <f>IF($M1939="","",MAX(IF($G1939="",$I1939,$G1939)*(1/1.1),IF($G1939="",$I1939,$G1939)+(R$2*$M1939)))</f>
        <v/>
      </c>
      <c r="S1939" s="49">
        <f>IF($M1939="","",MAX(IF($G1939="",$I1939,$G1939)*(1/1.1),IF($G1939="",$I1939,$G1939)+(S$2*$M1939)))</f>
        <v/>
      </c>
      <c r="T1939" s="82" t="n"/>
      <c r="U1939" s="47">
        <f>IF(OR($M1939="",$T1939=""),"",$T1939+(U$2*$M1939))</f>
        <v/>
      </c>
      <c r="V1939" s="48">
        <f>IF(OR($M1939="",$T1939=""),"",$T1939+(V$2*$M1939))</f>
        <v/>
      </c>
      <c r="W1939" s="48">
        <f>IF(OR($M1939="",$T1939=""),"",$T1939+(W$2*$M1939))</f>
        <v/>
      </c>
      <c r="X1939" s="49">
        <f>IF(OR($M1939="",$T1939=""),"",$T1939+(X$2*$M1939))</f>
        <v/>
      </c>
      <c r="Y1939" s="47">
        <f>IF(OR($M1939="",$T1939=""),"",$T1939+(Y$2*$M1939))</f>
        <v/>
      </c>
      <c r="Z1939" s="49">
        <f>IF(OR($M1939="",$T1939=""),"",$T1939+(Z$2*$M1939))</f>
        <v/>
      </c>
      <c r="AA1939" s="51">
        <f>IF(OR($M1939="",$T1939=""),"",$T1939+(AA$2*$M1939))</f>
        <v/>
      </c>
      <c r="AB1939" s="48">
        <f>IF(OR($M1939="",$T1939=""),"",$T1939+(AB$2*$M1939))</f>
        <v/>
      </c>
      <c r="AC1939" s="48">
        <f>IF(OR($M1939="",$T1939=""),"",$T1939+(AC$2*$M1939))</f>
        <v/>
      </c>
      <c r="AD1939" s="48">
        <f>IF(OR($M1939="",$T1939=""),"",$T1939+(AD$2*$M1939))</f>
        <v/>
      </c>
      <c r="AE1939" s="49">
        <f>IF(OR($M1939="",$T1939=""),"",$T1939+(AE$2*$M1939))</f>
        <v/>
      </c>
      <c r="AF1939" s="52">
        <f>IF(OR(T1939="",I1939&lt;T1939),"",IFERROR(AVERAGE(T1939+M1939*{7,8,9,10,11})/IF(G1939="",I1939,G1939)-1,""))</f>
        <v/>
      </c>
      <c r="AG1939" s="55">
        <f>IF(OR(T1939="",I1939&lt;T1939),"",IFERROR(AF1939/-(R1939/IF(G1939="",I1939,G1939)-1),""))</f>
        <v/>
      </c>
      <c r="AH1939" s="94" t="n"/>
      <c r="AI1939" s="94" t="n"/>
      <c r="AJ1939" s="94" t="n"/>
      <c r="AK1939" s="94" t="n"/>
      <c r="AL1939" s="84" t="n"/>
    </row>
    <row r="1940">
      <c r="A1940" s="64" t="n"/>
      <c r="B1940" s="65" t="n"/>
      <c r="C1940" s="66" t="n"/>
      <c r="D1940" s="67" t="n"/>
      <c r="E1940" s="68" t="n"/>
      <c r="F1940" s="47">
        <f>IF(A1940="","",IF(MIN(H1940,MAX(J1940:K1940))=0,"",MIN(H1940,MAX(J1940:K1940))))</f>
        <v/>
      </c>
      <c r="G1940" s="74" t="n"/>
      <c r="H1940" s="49">
        <f>IF(M1940="","",IFERROR(ROUND(AVERAGE(T1940+M1940*{7,8,9,10,11})/1.21,4),""))</f>
        <v/>
      </c>
      <c r="I1940" s="76" t="n"/>
      <c r="J1940" s="77" t="n"/>
      <c r="K1940" s="74" t="n"/>
      <c r="L1940" s="78" t="n"/>
      <c r="M1940" s="77" t="n"/>
      <c r="N1940" s="53">
        <f>IF(M1940="","",IFERROR(M1940/I1940,""))</f>
        <v/>
      </c>
      <c r="O1940" s="50">
        <f>IF(A1940="","",IFERROR((IF(G1940="",I1940,G1940)-T1940)/M1940,""))</f>
        <v/>
      </c>
      <c r="P1940" s="50">
        <f>IFERROR((I1940/T1940-1)/N1940,"")</f>
        <v/>
      </c>
      <c r="Q1940" s="46">
        <f>IF(OR(T1940="",I1940&lt;T1940),"",IFERROR(R1940/IF(G1940="",I1940,G1940)-1,""))</f>
        <v/>
      </c>
      <c r="R1940" s="48">
        <f>IF($M1940="","",MAX(IF($G1940="",$I1940,$G1940)*(1/1.1),IF($G1940="",$I1940,$G1940)+(R$2*$M1940)))</f>
        <v/>
      </c>
      <c r="S1940" s="49">
        <f>IF($M1940="","",MAX(IF($G1940="",$I1940,$G1940)*(1/1.1),IF($G1940="",$I1940,$G1940)+(S$2*$M1940)))</f>
        <v/>
      </c>
      <c r="T1940" s="82" t="n"/>
      <c r="U1940" s="47">
        <f>IF(OR($M1940="",$T1940=""),"",$T1940+(U$2*$M1940))</f>
        <v/>
      </c>
      <c r="V1940" s="48">
        <f>IF(OR($M1940="",$T1940=""),"",$T1940+(V$2*$M1940))</f>
        <v/>
      </c>
      <c r="W1940" s="48">
        <f>IF(OR($M1940="",$T1940=""),"",$T1940+(W$2*$M1940))</f>
        <v/>
      </c>
      <c r="X1940" s="49">
        <f>IF(OR($M1940="",$T1940=""),"",$T1940+(X$2*$M1940))</f>
        <v/>
      </c>
      <c r="Y1940" s="47">
        <f>IF(OR($M1940="",$T1940=""),"",$T1940+(Y$2*$M1940))</f>
        <v/>
      </c>
      <c r="Z1940" s="49">
        <f>IF(OR($M1940="",$T1940=""),"",$T1940+(Z$2*$M1940))</f>
        <v/>
      </c>
      <c r="AA1940" s="51">
        <f>IF(OR($M1940="",$T1940=""),"",$T1940+(AA$2*$M1940))</f>
        <v/>
      </c>
      <c r="AB1940" s="48">
        <f>IF(OR($M1940="",$T1940=""),"",$T1940+(AB$2*$M1940))</f>
        <v/>
      </c>
      <c r="AC1940" s="48">
        <f>IF(OR($M1940="",$T1940=""),"",$T1940+(AC$2*$M1940))</f>
        <v/>
      </c>
      <c r="AD1940" s="48">
        <f>IF(OR($M1940="",$T1940=""),"",$T1940+(AD$2*$M1940))</f>
        <v/>
      </c>
      <c r="AE1940" s="49">
        <f>IF(OR($M1940="",$T1940=""),"",$T1940+(AE$2*$M1940))</f>
        <v/>
      </c>
      <c r="AF1940" s="52">
        <f>IF(OR(T1940="",I1940&lt;T1940),"",IFERROR(AVERAGE(T1940+M1940*{7,8,9,10,11})/IF(G1940="",I1940,G1940)-1,""))</f>
        <v/>
      </c>
      <c r="AG1940" s="55">
        <f>IF(OR(T1940="",I1940&lt;T1940),"",IFERROR(AF1940/-(R1940/IF(G1940="",I1940,G1940)-1),""))</f>
        <v/>
      </c>
      <c r="AH1940" s="94" t="n"/>
      <c r="AI1940" s="94" t="n"/>
      <c r="AJ1940" s="94" t="n"/>
      <c r="AK1940" s="94" t="n"/>
      <c r="AL1940" s="84" t="n"/>
    </row>
    <row r="1941">
      <c r="A1941" s="64" t="n"/>
      <c r="B1941" s="65" t="n"/>
      <c r="C1941" s="66" t="n"/>
      <c r="D1941" s="67" t="n"/>
      <c r="E1941" s="68" t="n"/>
      <c r="F1941" s="47">
        <f>IF(A1941="","",IF(MIN(H1941,MAX(J1941:K1941))=0,"",MIN(H1941,MAX(J1941:K1941))))</f>
        <v/>
      </c>
      <c r="G1941" s="74" t="n"/>
      <c r="H1941" s="49">
        <f>IF(M1941="","",IFERROR(ROUND(AVERAGE(T1941+M1941*{7,8,9,10,11})/1.21,4),""))</f>
        <v/>
      </c>
      <c r="I1941" s="76" t="n"/>
      <c r="J1941" s="77" t="n"/>
      <c r="K1941" s="74" t="n"/>
      <c r="L1941" s="78" t="n"/>
      <c r="M1941" s="77" t="n"/>
      <c r="N1941" s="53">
        <f>IF(M1941="","",IFERROR(M1941/I1941,""))</f>
        <v/>
      </c>
      <c r="O1941" s="50">
        <f>IF(A1941="","",IFERROR((IF(G1941="",I1941,G1941)-T1941)/M1941,""))</f>
        <v/>
      </c>
      <c r="P1941" s="50">
        <f>IFERROR((I1941/T1941-1)/N1941,"")</f>
        <v/>
      </c>
      <c r="Q1941" s="46">
        <f>IF(OR(T1941="",I1941&lt;T1941),"",IFERROR(R1941/IF(G1941="",I1941,G1941)-1,""))</f>
        <v/>
      </c>
      <c r="R1941" s="48">
        <f>IF($M1941="","",MAX(IF($G1941="",$I1941,$G1941)*(1/1.1),IF($G1941="",$I1941,$G1941)+(R$2*$M1941)))</f>
        <v/>
      </c>
      <c r="S1941" s="49">
        <f>IF($M1941="","",MAX(IF($G1941="",$I1941,$G1941)*(1/1.1),IF($G1941="",$I1941,$G1941)+(S$2*$M1941)))</f>
        <v/>
      </c>
      <c r="T1941" s="82" t="n"/>
      <c r="U1941" s="47">
        <f>IF(OR($M1941="",$T1941=""),"",$T1941+(U$2*$M1941))</f>
        <v/>
      </c>
      <c r="V1941" s="48">
        <f>IF(OR($M1941="",$T1941=""),"",$T1941+(V$2*$M1941))</f>
        <v/>
      </c>
      <c r="W1941" s="48">
        <f>IF(OR($M1941="",$T1941=""),"",$T1941+(W$2*$M1941))</f>
        <v/>
      </c>
      <c r="X1941" s="49">
        <f>IF(OR($M1941="",$T1941=""),"",$T1941+(X$2*$M1941))</f>
        <v/>
      </c>
      <c r="Y1941" s="47">
        <f>IF(OR($M1941="",$T1941=""),"",$T1941+(Y$2*$M1941))</f>
        <v/>
      </c>
      <c r="Z1941" s="49">
        <f>IF(OR($M1941="",$T1941=""),"",$T1941+(Z$2*$M1941))</f>
        <v/>
      </c>
      <c r="AA1941" s="51">
        <f>IF(OR($M1941="",$T1941=""),"",$T1941+(AA$2*$M1941))</f>
        <v/>
      </c>
      <c r="AB1941" s="48">
        <f>IF(OR($M1941="",$T1941=""),"",$T1941+(AB$2*$M1941))</f>
        <v/>
      </c>
      <c r="AC1941" s="48">
        <f>IF(OR($M1941="",$T1941=""),"",$T1941+(AC$2*$M1941))</f>
        <v/>
      </c>
      <c r="AD1941" s="48">
        <f>IF(OR($M1941="",$T1941=""),"",$T1941+(AD$2*$M1941))</f>
        <v/>
      </c>
      <c r="AE1941" s="49">
        <f>IF(OR($M1941="",$T1941=""),"",$T1941+(AE$2*$M1941))</f>
        <v/>
      </c>
      <c r="AF1941" s="52">
        <f>IF(OR(T1941="",I1941&lt;T1941),"",IFERROR(AVERAGE(T1941+M1941*{7,8,9,10,11})/IF(G1941="",I1941,G1941)-1,""))</f>
        <v/>
      </c>
      <c r="AG1941" s="55">
        <f>IF(OR(T1941="",I1941&lt;T1941),"",IFERROR(AF1941/-(R1941/IF(G1941="",I1941,G1941)-1),""))</f>
        <v/>
      </c>
      <c r="AH1941" s="94" t="n"/>
      <c r="AI1941" s="94" t="n"/>
      <c r="AJ1941" s="94" t="n"/>
      <c r="AK1941" s="94" t="n"/>
      <c r="AL1941" s="84" t="n"/>
    </row>
    <row r="1942">
      <c r="A1942" s="64" t="n"/>
      <c r="B1942" s="65" t="n"/>
      <c r="C1942" s="66" t="n"/>
      <c r="D1942" s="67" t="n"/>
      <c r="E1942" s="68" t="n"/>
      <c r="F1942" s="47">
        <f>IF(A1942="","",IF(MIN(H1942,MAX(J1942:K1942))=0,"",MIN(H1942,MAX(J1942:K1942))))</f>
        <v/>
      </c>
      <c r="G1942" s="74" t="n"/>
      <c r="H1942" s="49">
        <f>IF(M1942="","",IFERROR(ROUND(AVERAGE(T1942+M1942*{7,8,9,10,11})/1.21,4),""))</f>
        <v/>
      </c>
      <c r="I1942" s="76" t="n"/>
      <c r="J1942" s="77" t="n"/>
      <c r="K1942" s="74" t="n"/>
      <c r="L1942" s="78" t="n"/>
      <c r="M1942" s="77" t="n"/>
      <c r="N1942" s="53">
        <f>IF(M1942="","",IFERROR(M1942/I1942,""))</f>
        <v/>
      </c>
      <c r="O1942" s="50">
        <f>IF(A1942="","",IFERROR((IF(G1942="",I1942,G1942)-T1942)/M1942,""))</f>
        <v/>
      </c>
      <c r="P1942" s="50">
        <f>IFERROR((I1942/T1942-1)/N1942,"")</f>
        <v/>
      </c>
      <c r="Q1942" s="46">
        <f>IF(OR(T1942="",I1942&lt;T1942),"",IFERROR(R1942/IF(G1942="",I1942,G1942)-1,""))</f>
        <v/>
      </c>
      <c r="R1942" s="48">
        <f>IF($M1942="","",MAX(IF($G1942="",$I1942,$G1942)*(1/1.1),IF($G1942="",$I1942,$G1942)+(R$2*$M1942)))</f>
        <v/>
      </c>
      <c r="S1942" s="49">
        <f>IF($M1942="","",MAX(IF($G1942="",$I1942,$G1942)*(1/1.1),IF($G1942="",$I1942,$G1942)+(S$2*$M1942)))</f>
        <v/>
      </c>
      <c r="T1942" s="82" t="n"/>
      <c r="U1942" s="47">
        <f>IF(OR($M1942="",$T1942=""),"",$T1942+(U$2*$M1942))</f>
        <v/>
      </c>
      <c r="V1942" s="48">
        <f>IF(OR($M1942="",$T1942=""),"",$T1942+(V$2*$M1942))</f>
        <v/>
      </c>
      <c r="W1942" s="48">
        <f>IF(OR($M1942="",$T1942=""),"",$T1942+(W$2*$M1942))</f>
        <v/>
      </c>
      <c r="X1942" s="49">
        <f>IF(OR($M1942="",$T1942=""),"",$T1942+(X$2*$M1942))</f>
        <v/>
      </c>
      <c r="Y1942" s="47">
        <f>IF(OR($M1942="",$T1942=""),"",$T1942+(Y$2*$M1942))</f>
        <v/>
      </c>
      <c r="Z1942" s="49">
        <f>IF(OR($M1942="",$T1942=""),"",$T1942+(Z$2*$M1942))</f>
        <v/>
      </c>
      <c r="AA1942" s="51">
        <f>IF(OR($M1942="",$T1942=""),"",$T1942+(AA$2*$M1942))</f>
        <v/>
      </c>
      <c r="AB1942" s="48">
        <f>IF(OR($M1942="",$T1942=""),"",$T1942+(AB$2*$M1942))</f>
        <v/>
      </c>
      <c r="AC1942" s="48">
        <f>IF(OR($M1942="",$T1942=""),"",$T1942+(AC$2*$M1942))</f>
        <v/>
      </c>
      <c r="AD1942" s="48">
        <f>IF(OR($M1942="",$T1942=""),"",$T1942+(AD$2*$M1942))</f>
        <v/>
      </c>
      <c r="AE1942" s="49">
        <f>IF(OR($M1942="",$T1942=""),"",$T1942+(AE$2*$M1942))</f>
        <v/>
      </c>
      <c r="AF1942" s="52">
        <f>IF(OR(T1942="",I1942&lt;T1942),"",IFERROR(AVERAGE(T1942+M1942*{7,8,9,10,11})/IF(G1942="",I1942,G1942)-1,""))</f>
        <v/>
      </c>
      <c r="AG1942" s="55">
        <f>IF(OR(T1942="",I1942&lt;T1942),"",IFERROR(AF1942/-(R1942/IF(G1942="",I1942,G1942)-1),""))</f>
        <v/>
      </c>
      <c r="AH1942" s="94" t="n"/>
      <c r="AI1942" s="94" t="n"/>
      <c r="AJ1942" s="94" t="n"/>
      <c r="AK1942" s="94" t="n"/>
      <c r="AL1942" s="84" t="n"/>
    </row>
    <row r="1943">
      <c r="A1943" s="64" t="n"/>
      <c r="B1943" s="65" t="n"/>
      <c r="C1943" s="66" t="n"/>
      <c r="D1943" s="67" t="n"/>
      <c r="E1943" s="68" t="n"/>
      <c r="F1943" s="47">
        <f>IF(A1943="","",IF(MIN(H1943,MAX(J1943:K1943))=0,"",MIN(H1943,MAX(J1943:K1943))))</f>
        <v/>
      </c>
      <c r="G1943" s="74" t="n"/>
      <c r="H1943" s="49">
        <f>IF(M1943="","",IFERROR(ROUND(AVERAGE(T1943+M1943*{7,8,9,10,11})/1.21,4),""))</f>
        <v/>
      </c>
      <c r="I1943" s="76" t="n"/>
      <c r="J1943" s="77" t="n"/>
      <c r="K1943" s="74" t="n"/>
      <c r="L1943" s="78" t="n"/>
      <c r="M1943" s="77" t="n"/>
      <c r="N1943" s="53">
        <f>IF(M1943="","",IFERROR(M1943/I1943,""))</f>
        <v/>
      </c>
      <c r="O1943" s="50">
        <f>IF(A1943="","",IFERROR((IF(G1943="",I1943,G1943)-T1943)/M1943,""))</f>
        <v/>
      </c>
      <c r="P1943" s="50">
        <f>IFERROR((I1943/T1943-1)/N1943,"")</f>
        <v/>
      </c>
      <c r="Q1943" s="46">
        <f>IF(OR(T1943="",I1943&lt;T1943),"",IFERROR(R1943/IF(G1943="",I1943,G1943)-1,""))</f>
        <v/>
      </c>
      <c r="R1943" s="48">
        <f>IF($M1943="","",MAX(IF($G1943="",$I1943,$G1943)*(1/1.1),IF($G1943="",$I1943,$G1943)+(R$2*$M1943)))</f>
        <v/>
      </c>
      <c r="S1943" s="49">
        <f>IF($M1943="","",MAX(IF($G1943="",$I1943,$G1943)*(1/1.1),IF($G1943="",$I1943,$G1943)+(S$2*$M1943)))</f>
        <v/>
      </c>
      <c r="T1943" s="82" t="n"/>
      <c r="U1943" s="47">
        <f>IF(OR($M1943="",$T1943=""),"",$T1943+(U$2*$M1943))</f>
        <v/>
      </c>
      <c r="V1943" s="48">
        <f>IF(OR($M1943="",$T1943=""),"",$T1943+(V$2*$M1943))</f>
        <v/>
      </c>
      <c r="W1943" s="48">
        <f>IF(OR($M1943="",$T1943=""),"",$T1943+(W$2*$M1943))</f>
        <v/>
      </c>
      <c r="X1943" s="49">
        <f>IF(OR($M1943="",$T1943=""),"",$T1943+(X$2*$M1943))</f>
        <v/>
      </c>
      <c r="Y1943" s="47">
        <f>IF(OR($M1943="",$T1943=""),"",$T1943+(Y$2*$M1943))</f>
        <v/>
      </c>
      <c r="Z1943" s="49">
        <f>IF(OR($M1943="",$T1943=""),"",$T1943+(Z$2*$M1943))</f>
        <v/>
      </c>
      <c r="AA1943" s="51">
        <f>IF(OR($M1943="",$T1943=""),"",$T1943+(AA$2*$M1943))</f>
        <v/>
      </c>
      <c r="AB1943" s="48">
        <f>IF(OR($M1943="",$T1943=""),"",$T1943+(AB$2*$M1943))</f>
        <v/>
      </c>
      <c r="AC1943" s="48">
        <f>IF(OR($M1943="",$T1943=""),"",$T1943+(AC$2*$M1943))</f>
        <v/>
      </c>
      <c r="AD1943" s="48">
        <f>IF(OR($M1943="",$T1943=""),"",$T1943+(AD$2*$M1943))</f>
        <v/>
      </c>
      <c r="AE1943" s="49">
        <f>IF(OR($M1943="",$T1943=""),"",$T1943+(AE$2*$M1943))</f>
        <v/>
      </c>
      <c r="AF1943" s="52">
        <f>IF(OR(T1943="",I1943&lt;T1943),"",IFERROR(AVERAGE(T1943+M1943*{7,8,9,10,11})/IF(G1943="",I1943,G1943)-1,""))</f>
        <v/>
      </c>
      <c r="AG1943" s="55">
        <f>IF(OR(T1943="",I1943&lt;T1943),"",IFERROR(AF1943/-(R1943/IF(G1943="",I1943,G1943)-1),""))</f>
        <v/>
      </c>
      <c r="AH1943" s="94" t="n"/>
      <c r="AI1943" s="94" t="n"/>
      <c r="AJ1943" s="94" t="n"/>
      <c r="AK1943" s="94" t="n"/>
      <c r="AL1943" s="84" t="n"/>
    </row>
    <row r="1944">
      <c r="A1944" s="64" t="n"/>
      <c r="B1944" s="65" t="n"/>
      <c r="C1944" s="66" t="n"/>
      <c r="D1944" s="67" t="n"/>
      <c r="E1944" s="68" t="n"/>
      <c r="F1944" s="47">
        <f>IF(A1944="","",IF(MIN(H1944,MAX(J1944:K1944))=0,"",MIN(H1944,MAX(J1944:K1944))))</f>
        <v/>
      </c>
      <c r="G1944" s="74" t="n"/>
      <c r="H1944" s="49">
        <f>IF(M1944="","",IFERROR(ROUND(AVERAGE(T1944+M1944*{7,8,9,10,11})/1.21,4),""))</f>
        <v/>
      </c>
      <c r="I1944" s="76" t="n"/>
      <c r="J1944" s="77" t="n"/>
      <c r="K1944" s="74" t="n"/>
      <c r="L1944" s="78" t="n"/>
      <c r="M1944" s="77" t="n"/>
      <c r="N1944" s="53">
        <f>IF(M1944="","",IFERROR(M1944/I1944,""))</f>
        <v/>
      </c>
      <c r="O1944" s="50">
        <f>IF(A1944="","",IFERROR((IF(G1944="",I1944,G1944)-T1944)/M1944,""))</f>
        <v/>
      </c>
      <c r="P1944" s="50">
        <f>IFERROR((I1944/T1944-1)/N1944,"")</f>
        <v/>
      </c>
      <c r="Q1944" s="46">
        <f>IF(OR(T1944="",I1944&lt;T1944),"",IFERROR(R1944/IF(G1944="",I1944,G1944)-1,""))</f>
        <v/>
      </c>
      <c r="R1944" s="48">
        <f>IF($M1944="","",MAX(IF($G1944="",$I1944,$G1944)*(1/1.1),IF($G1944="",$I1944,$G1944)+(R$2*$M1944)))</f>
        <v/>
      </c>
      <c r="S1944" s="49">
        <f>IF($M1944="","",MAX(IF($G1944="",$I1944,$G1944)*(1/1.1),IF($G1944="",$I1944,$G1944)+(S$2*$M1944)))</f>
        <v/>
      </c>
      <c r="T1944" s="82" t="n"/>
      <c r="U1944" s="47">
        <f>IF(OR($M1944="",$T1944=""),"",$T1944+(U$2*$M1944))</f>
        <v/>
      </c>
      <c r="V1944" s="48">
        <f>IF(OR($M1944="",$T1944=""),"",$T1944+(V$2*$M1944))</f>
        <v/>
      </c>
      <c r="W1944" s="48">
        <f>IF(OR($M1944="",$T1944=""),"",$T1944+(W$2*$M1944))</f>
        <v/>
      </c>
      <c r="X1944" s="49">
        <f>IF(OR($M1944="",$T1944=""),"",$T1944+(X$2*$M1944))</f>
        <v/>
      </c>
      <c r="Y1944" s="47">
        <f>IF(OR($M1944="",$T1944=""),"",$T1944+(Y$2*$M1944))</f>
        <v/>
      </c>
      <c r="Z1944" s="49">
        <f>IF(OR($M1944="",$T1944=""),"",$T1944+(Z$2*$M1944))</f>
        <v/>
      </c>
      <c r="AA1944" s="51">
        <f>IF(OR($M1944="",$T1944=""),"",$T1944+(AA$2*$M1944))</f>
        <v/>
      </c>
      <c r="AB1944" s="48">
        <f>IF(OR($M1944="",$T1944=""),"",$T1944+(AB$2*$M1944))</f>
        <v/>
      </c>
      <c r="AC1944" s="48">
        <f>IF(OR($M1944="",$T1944=""),"",$T1944+(AC$2*$M1944))</f>
        <v/>
      </c>
      <c r="AD1944" s="48">
        <f>IF(OR($M1944="",$T1944=""),"",$T1944+(AD$2*$M1944))</f>
        <v/>
      </c>
      <c r="AE1944" s="49">
        <f>IF(OR($M1944="",$T1944=""),"",$T1944+(AE$2*$M1944))</f>
        <v/>
      </c>
      <c r="AF1944" s="52">
        <f>IF(OR(T1944="",I1944&lt;T1944),"",IFERROR(AVERAGE(T1944+M1944*{7,8,9,10,11})/IF(G1944="",I1944,G1944)-1,""))</f>
        <v/>
      </c>
      <c r="AG1944" s="55">
        <f>IF(OR(T1944="",I1944&lt;T1944),"",IFERROR(AF1944/-(R1944/IF(G1944="",I1944,G1944)-1),""))</f>
        <v/>
      </c>
      <c r="AH1944" s="94" t="n"/>
      <c r="AI1944" s="94" t="n"/>
      <c r="AJ1944" s="94" t="n"/>
      <c r="AK1944" s="94" t="n"/>
      <c r="AL1944" s="84" t="n"/>
    </row>
    <row r="1945">
      <c r="A1945" s="64" t="n"/>
      <c r="B1945" s="65" t="n"/>
      <c r="C1945" s="66" t="n"/>
      <c r="D1945" s="67" t="n"/>
      <c r="E1945" s="68" t="n"/>
      <c r="F1945" s="47">
        <f>IF(A1945="","",IF(MIN(H1945,MAX(J1945:K1945))=0,"",MIN(H1945,MAX(J1945:K1945))))</f>
        <v/>
      </c>
      <c r="G1945" s="74" t="n"/>
      <c r="H1945" s="49">
        <f>IF(M1945="","",IFERROR(ROUND(AVERAGE(T1945+M1945*{7,8,9,10,11})/1.21,4),""))</f>
        <v/>
      </c>
      <c r="I1945" s="76" t="n"/>
      <c r="J1945" s="77" t="n"/>
      <c r="K1945" s="74" t="n"/>
      <c r="L1945" s="78" t="n"/>
      <c r="M1945" s="77" t="n"/>
      <c r="N1945" s="53">
        <f>IF(M1945="","",IFERROR(M1945/I1945,""))</f>
        <v/>
      </c>
      <c r="O1945" s="50">
        <f>IF(A1945="","",IFERROR((IF(G1945="",I1945,G1945)-T1945)/M1945,""))</f>
        <v/>
      </c>
      <c r="P1945" s="50">
        <f>IFERROR((I1945/T1945-1)/N1945,"")</f>
        <v/>
      </c>
      <c r="Q1945" s="46">
        <f>IF(OR(T1945="",I1945&lt;T1945),"",IFERROR(R1945/IF(G1945="",I1945,G1945)-1,""))</f>
        <v/>
      </c>
      <c r="R1945" s="48">
        <f>IF($M1945="","",MAX(IF($G1945="",$I1945,$G1945)*(1/1.1),IF($G1945="",$I1945,$G1945)+(R$2*$M1945)))</f>
        <v/>
      </c>
      <c r="S1945" s="49">
        <f>IF($M1945="","",MAX(IF($G1945="",$I1945,$G1945)*(1/1.1),IF($G1945="",$I1945,$G1945)+(S$2*$M1945)))</f>
        <v/>
      </c>
      <c r="T1945" s="82" t="n"/>
      <c r="U1945" s="47">
        <f>IF(OR($M1945="",$T1945=""),"",$T1945+(U$2*$M1945))</f>
        <v/>
      </c>
      <c r="V1945" s="48">
        <f>IF(OR($M1945="",$T1945=""),"",$T1945+(V$2*$M1945))</f>
        <v/>
      </c>
      <c r="W1945" s="48">
        <f>IF(OR($M1945="",$T1945=""),"",$T1945+(W$2*$M1945))</f>
        <v/>
      </c>
      <c r="X1945" s="49">
        <f>IF(OR($M1945="",$T1945=""),"",$T1945+(X$2*$M1945))</f>
        <v/>
      </c>
      <c r="Y1945" s="47">
        <f>IF(OR($M1945="",$T1945=""),"",$T1945+(Y$2*$M1945))</f>
        <v/>
      </c>
      <c r="Z1945" s="49">
        <f>IF(OR($M1945="",$T1945=""),"",$T1945+(Z$2*$M1945))</f>
        <v/>
      </c>
      <c r="AA1945" s="51">
        <f>IF(OR($M1945="",$T1945=""),"",$T1945+(AA$2*$M1945))</f>
        <v/>
      </c>
      <c r="AB1945" s="48">
        <f>IF(OR($M1945="",$T1945=""),"",$T1945+(AB$2*$M1945))</f>
        <v/>
      </c>
      <c r="AC1945" s="48">
        <f>IF(OR($M1945="",$T1945=""),"",$T1945+(AC$2*$M1945))</f>
        <v/>
      </c>
      <c r="AD1945" s="48">
        <f>IF(OR($M1945="",$T1945=""),"",$T1945+(AD$2*$M1945))</f>
        <v/>
      </c>
      <c r="AE1945" s="49">
        <f>IF(OR($M1945="",$T1945=""),"",$T1945+(AE$2*$M1945))</f>
        <v/>
      </c>
      <c r="AF1945" s="52">
        <f>IF(OR(T1945="",I1945&lt;T1945),"",IFERROR(AVERAGE(T1945+M1945*{7,8,9,10,11})/IF(G1945="",I1945,G1945)-1,""))</f>
        <v/>
      </c>
      <c r="AG1945" s="55">
        <f>IF(OR(T1945="",I1945&lt;T1945),"",IFERROR(AF1945/-(R1945/IF(G1945="",I1945,G1945)-1),""))</f>
        <v/>
      </c>
      <c r="AH1945" s="94" t="n"/>
      <c r="AI1945" s="94" t="n"/>
      <c r="AJ1945" s="94" t="n"/>
      <c r="AK1945" s="94" t="n"/>
      <c r="AL1945" s="84" t="n"/>
    </row>
    <row r="1946">
      <c r="A1946" s="64" t="n"/>
      <c r="B1946" s="65" t="n"/>
      <c r="C1946" s="66" t="n"/>
      <c r="D1946" s="67" t="n"/>
      <c r="E1946" s="68" t="n"/>
      <c r="F1946" s="47">
        <f>IF(A1946="","",IF(MIN(H1946,MAX(J1946:K1946))=0,"",MIN(H1946,MAX(J1946:K1946))))</f>
        <v/>
      </c>
      <c r="G1946" s="74" t="n"/>
      <c r="H1946" s="49">
        <f>IF(M1946="","",IFERROR(ROUND(AVERAGE(T1946+M1946*{7,8,9,10,11})/1.21,4),""))</f>
        <v/>
      </c>
      <c r="I1946" s="76" t="n"/>
      <c r="J1946" s="77" t="n"/>
      <c r="K1946" s="74" t="n"/>
      <c r="L1946" s="78" t="n"/>
      <c r="M1946" s="77" t="n"/>
      <c r="N1946" s="53">
        <f>IF(M1946="","",IFERROR(M1946/I1946,""))</f>
        <v/>
      </c>
      <c r="O1946" s="50">
        <f>IF(A1946="","",IFERROR((IF(G1946="",I1946,G1946)-T1946)/M1946,""))</f>
        <v/>
      </c>
      <c r="P1946" s="50">
        <f>IFERROR((I1946/T1946-1)/N1946,"")</f>
        <v/>
      </c>
      <c r="Q1946" s="46">
        <f>IF(OR(T1946="",I1946&lt;T1946),"",IFERROR(R1946/IF(G1946="",I1946,G1946)-1,""))</f>
        <v/>
      </c>
      <c r="R1946" s="48">
        <f>IF($M1946="","",MAX(IF($G1946="",$I1946,$G1946)*(1/1.1),IF($G1946="",$I1946,$G1946)+(R$2*$M1946)))</f>
        <v/>
      </c>
      <c r="S1946" s="49">
        <f>IF($M1946="","",MAX(IF($G1946="",$I1946,$G1946)*(1/1.1),IF($G1946="",$I1946,$G1946)+(S$2*$M1946)))</f>
        <v/>
      </c>
      <c r="T1946" s="82" t="n"/>
      <c r="U1946" s="47">
        <f>IF(OR($M1946="",$T1946=""),"",$T1946+(U$2*$M1946))</f>
        <v/>
      </c>
      <c r="V1946" s="48">
        <f>IF(OR($M1946="",$T1946=""),"",$T1946+(V$2*$M1946))</f>
        <v/>
      </c>
      <c r="W1946" s="48">
        <f>IF(OR($M1946="",$T1946=""),"",$T1946+(W$2*$M1946))</f>
        <v/>
      </c>
      <c r="X1946" s="49">
        <f>IF(OR($M1946="",$T1946=""),"",$T1946+(X$2*$M1946))</f>
        <v/>
      </c>
      <c r="Y1946" s="47">
        <f>IF(OR($M1946="",$T1946=""),"",$T1946+(Y$2*$M1946))</f>
        <v/>
      </c>
      <c r="Z1946" s="49">
        <f>IF(OR($M1946="",$T1946=""),"",$T1946+(Z$2*$M1946))</f>
        <v/>
      </c>
      <c r="AA1946" s="51">
        <f>IF(OR($M1946="",$T1946=""),"",$T1946+(AA$2*$M1946))</f>
        <v/>
      </c>
      <c r="AB1946" s="48">
        <f>IF(OR($M1946="",$T1946=""),"",$T1946+(AB$2*$M1946))</f>
        <v/>
      </c>
      <c r="AC1946" s="48">
        <f>IF(OR($M1946="",$T1946=""),"",$T1946+(AC$2*$M1946))</f>
        <v/>
      </c>
      <c r="AD1946" s="48">
        <f>IF(OR($M1946="",$T1946=""),"",$T1946+(AD$2*$M1946))</f>
        <v/>
      </c>
      <c r="AE1946" s="49">
        <f>IF(OR($M1946="",$T1946=""),"",$T1946+(AE$2*$M1946))</f>
        <v/>
      </c>
      <c r="AF1946" s="52">
        <f>IF(OR(T1946="",I1946&lt;T1946),"",IFERROR(AVERAGE(T1946+M1946*{7,8,9,10,11})/IF(G1946="",I1946,G1946)-1,""))</f>
        <v/>
      </c>
      <c r="AG1946" s="55">
        <f>IF(OR(T1946="",I1946&lt;T1946),"",IFERROR(AF1946/-(R1946/IF(G1946="",I1946,G1946)-1),""))</f>
        <v/>
      </c>
      <c r="AH1946" s="94" t="n"/>
      <c r="AI1946" s="94" t="n"/>
      <c r="AJ1946" s="94" t="n"/>
      <c r="AK1946" s="94" t="n"/>
      <c r="AL1946" s="84" t="n"/>
    </row>
    <row r="1947">
      <c r="A1947" s="64" t="n"/>
      <c r="B1947" s="65" t="n"/>
      <c r="C1947" s="66" t="n"/>
      <c r="D1947" s="67" t="n"/>
      <c r="E1947" s="68" t="n"/>
      <c r="F1947" s="47">
        <f>IF(A1947="","",IF(MIN(H1947,MAX(J1947:K1947))=0,"",MIN(H1947,MAX(J1947:K1947))))</f>
        <v/>
      </c>
      <c r="G1947" s="74" t="n"/>
      <c r="H1947" s="49">
        <f>IF(M1947="","",IFERROR(ROUND(AVERAGE(T1947+M1947*{7,8,9,10,11})/1.21,4),""))</f>
        <v/>
      </c>
      <c r="I1947" s="76" t="n"/>
      <c r="J1947" s="77" t="n"/>
      <c r="K1947" s="74" t="n"/>
      <c r="L1947" s="78" t="n"/>
      <c r="M1947" s="77" t="n"/>
      <c r="N1947" s="53">
        <f>IF(M1947="","",IFERROR(M1947/I1947,""))</f>
        <v/>
      </c>
      <c r="O1947" s="50">
        <f>IF(A1947="","",IFERROR((IF(G1947="",I1947,G1947)-T1947)/M1947,""))</f>
        <v/>
      </c>
      <c r="P1947" s="50">
        <f>IFERROR((I1947/T1947-1)/N1947,"")</f>
        <v/>
      </c>
      <c r="Q1947" s="46">
        <f>IF(OR(T1947="",I1947&lt;T1947),"",IFERROR(R1947/IF(G1947="",I1947,G1947)-1,""))</f>
        <v/>
      </c>
      <c r="R1947" s="48">
        <f>IF($M1947="","",MAX(IF($G1947="",$I1947,$G1947)*(1/1.1),IF($G1947="",$I1947,$G1947)+(R$2*$M1947)))</f>
        <v/>
      </c>
      <c r="S1947" s="49">
        <f>IF($M1947="","",MAX(IF($G1947="",$I1947,$G1947)*(1/1.1),IF($G1947="",$I1947,$G1947)+(S$2*$M1947)))</f>
        <v/>
      </c>
      <c r="T1947" s="82" t="n"/>
      <c r="U1947" s="47">
        <f>IF(OR($M1947="",$T1947=""),"",$T1947+(U$2*$M1947))</f>
        <v/>
      </c>
      <c r="V1947" s="48">
        <f>IF(OR($M1947="",$T1947=""),"",$T1947+(V$2*$M1947))</f>
        <v/>
      </c>
      <c r="W1947" s="48">
        <f>IF(OR($M1947="",$T1947=""),"",$T1947+(W$2*$M1947))</f>
        <v/>
      </c>
      <c r="X1947" s="49">
        <f>IF(OR($M1947="",$T1947=""),"",$T1947+(X$2*$M1947))</f>
        <v/>
      </c>
      <c r="Y1947" s="47">
        <f>IF(OR($M1947="",$T1947=""),"",$T1947+(Y$2*$M1947))</f>
        <v/>
      </c>
      <c r="Z1947" s="49">
        <f>IF(OR($M1947="",$T1947=""),"",$T1947+(Z$2*$M1947))</f>
        <v/>
      </c>
      <c r="AA1947" s="51">
        <f>IF(OR($M1947="",$T1947=""),"",$T1947+(AA$2*$M1947))</f>
        <v/>
      </c>
      <c r="AB1947" s="48">
        <f>IF(OR($M1947="",$T1947=""),"",$T1947+(AB$2*$M1947))</f>
        <v/>
      </c>
      <c r="AC1947" s="48">
        <f>IF(OR($M1947="",$T1947=""),"",$T1947+(AC$2*$M1947))</f>
        <v/>
      </c>
      <c r="AD1947" s="48">
        <f>IF(OR($M1947="",$T1947=""),"",$T1947+(AD$2*$M1947))</f>
        <v/>
      </c>
      <c r="AE1947" s="49">
        <f>IF(OR($M1947="",$T1947=""),"",$T1947+(AE$2*$M1947))</f>
        <v/>
      </c>
      <c r="AF1947" s="52">
        <f>IF(OR(T1947="",I1947&lt;T1947),"",IFERROR(AVERAGE(T1947+M1947*{7,8,9,10,11})/IF(G1947="",I1947,G1947)-1,""))</f>
        <v/>
      </c>
      <c r="AG1947" s="55">
        <f>IF(OR(T1947="",I1947&lt;T1947),"",IFERROR(AF1947/-(R1947/IF(G1947="",I1947,G1947)-1),""))</f>
        <v/>
      </c>
      <c r="AH1947" s="94" t="n"/>
      <c r="AI1947" s="94" t="n"/>
      <c r="AJ1947" s="94" t="n"/>
      <c r="AK1947" s="94" t="n"/>
      <c r="AL1947" s="84" t="n"/>
    </row>
    <row r="1948">
      <c r="A1948" s="64" t="n"/>
      <c r="B1948" s="65" t="n"/>
      <c r="C1948" s="66" t="n"/>
      <c r="D1948" s="67" t="n"/>
      <c r="E1948" s="68" t="n"/>
      <c r="F1948" s="47">
        <f>IF(A1948="","",IF(MIN(H1948,MAX(J1948:K1948))=0,"",MIN(H1948,MAX(J1948:K1948))))</f>
        <v/>
      </c>
      <c r="G1948" s="74" t="n"/>
      <c r="H1948" s="49">
        <f>IF(M1948="","",IFERROR(ROUND(AVERAGE(T1948+M1948*{7,8,9,10,11})/1.21,4),""))</f>
        <v/>
      </c>
      <c r="I1948" s="76" t="n"/>
      <c r="J1948" s="77" t="n"/>
      <c r="K1948" s="74" t="n"/>
      <c r="L1948" s="78" t="n"/>
      <c r="M1948" s="77" t="n"/>
      <c r="N1948" s="53">
        <f>IF(M1948="","",IFERROR(M1948/I1948,""))</f>
        <v/>
      </c>
      <c r="O1948" s="50">
        <f>IF(A1948="","",IFERROR((IF(G1948="",I1948,G1948)-T1948)/M1948,""))</f>
        <v/>
      </c>
      <c r="P1948" s="50">
        <f>IFERROR((I1948/T1948-1)/N1948,"")</f>
        <v/>
      </c>
      <c r="Q1948" s="46">
        <f>IF(OR(T1948="",I1948&lt;T1948),"",IFERROR(R1948/IF(G1948="",I1948,G1948)-1,""))</f>
        <v/>
      </c>
      <c r="R1948" s="48">
        <f>IF($M1948="","",MAX(IF($G1948="",$I1948,$G1948)*(1/1.1),IF($G1948="",$I1948,$G1948)+(R$2*$M1948)))</f>
        <v/>
      </c>
      <c r="S1948" s="49">
        <f>IF($M1948="","",MAX(IF($G1948="",$I1948,$G1948)*(1/1.1),IF($G1948="",$I1948,$G1948)+(S$2*$M1948)))</f>
        <v/>
      </c>
      <c r="T1948" s="82" t="n"/>
      <c r="U1948" s="47">
        <f>IF(OR($M1948="",$T1948=""),"",$T1948+(U$2*$M1948))</f>
        <v/>
      </c>
      <c r="V1948" s="48">
        <f>IF(OR($M1948="",$T1948=""),"",$T1948+(V$2*$M1948))</f>
        <v/>
      </c>
      <c r="W1948" s="48">
        <f>IF(OR($M1948="",$T1948=""),"",$T1948+(W$2*$M1948))</f>
        <v/>
      </c>
      <c r="X1948" s="49">
        <f>IF(OR($M1948="",$T1948=""),"",$T1948+(X$2*$M1948))</f>
        <v/>
      </c>
      <c r="Y1948" s="47">
        <f>IF(OR($M1948="",$T1948=""),"",$T1948+(Y$2*$M1948))</f>
        <v/>
      </c>
      <c r="Z1948" s="49">
        <f>IF(OR($M1948="",$T1948=""),"",$T1948+(Z$2*$M1948))</f>
        <v/>
      </c>
      <c r="AA1948" s="51">
        <f>IF(OR($M1948="",$T1948=""),"",$T1948+(AA$2*$M1948))</f>
        <v/>
      </c>
      <c r="AB1948" s="48">
        <f>IF(OR($M1948="",$T1948=""),"",$T1948+(AB$2*$M1948))</f>
        <v/>
      </c>
      <c r="AC1948" s="48">
        <f>IF(OR($M1948="",$T1948=""),"",$T1948+(AC$2*$M1948))</f>
        <v/>
      </c>
      <c r="AD1948" s="48">
        <f>IF(OR($M1948="",$T1948=""),"",$T1948+(AD$2*$M1948))</f>
        <v/>
      </c>
      <c r="AE1948" s="49">
        <f>IF(OR($M1948="",$T1948=""),"",$T1948+(AE$2*$M1948))</f>
        <v/>
      </c>
      <c r="AF1948" s="52">
        <f>IF(OR(T1948="",I1948&lt;T1948),"",IFERROR(AVERAGE(T1948+M1948*{7,8,9,10,11})/IF(G1948="",I1948,G1948)-1,""))</f>
        <v/>
      </c>
      <c r="AG1948" s="55">
        <f>IF(OR(T1948="",I1948&lt;T1948),"",IFERROR(AF1948/-(R1948/IF(G1948="",I1948,G1948)-1),""))</f>
        <v/>
      </c>
      <c r="AH1948" s="94" t="n"/>
      <c r="AI1948" s="94" t="n"/>
      <c r="AJ1948" s="94" t="n"/>
      <c r="AK1948" s="94" t="n"/>
      <c r="AL1948" s="84" t="n"/>
    </row>
    <row r="1949">
      <c r="A1949" s="64" t="n"/>
      <c r="B1949" s="65" t="n"/>
      <c r="C1949" s="66" t="n"/>
      <c r="D1949" s="67" t="n"/>
      <c r="E1949" s="68" t="n"/>
      <c r="F1949" s="47">
        <f>IF(A1949="","",IF(MIN(H1949,MAX(J1949:K1949))=0,"",MIN(H1949,MAX(J1949:K1949))))</f>
        <v/>
      </c>
      <c r="G1949" s="74" t="n"/>
      <c r="H1949" s="49">
        <f>IF(M1949="","",IFERROR(ROUND(AVERAGE(T1949+M1949*{7,8,9,10,11})/1.21,4),""))</f>
        <v/>
      </c>
      <c r="I1949" s="76" t="n"/>
      <c r="J1949" s="77" t="n"/>
      <c r="K1949" s="74" t="n"/>
      <c r="L1949" s="78" t="n"/>
      <c r="M1949" s="77" t="n"/>
      <c r="N1949" s="53">
        <f>IF(M1949="","",IFERROR(M1949/I1949,""))</f>
        <v/>
      </c>
      <c r="O1949" s="50">
        <f>IF(A1949="","",IFERROR((IF(G1949="",I1949,G1949)-T1949)/M1949,""))</f>
        <v/>
      </c>
      <c r="P1949" s="50">
        <f>IFERROR((I1949/T1949-1)/N1949,"")</f>
        <v/>
      </c>
      <c r="Q1949" s="46">
        <f>IF(OR(T1949="",I1949&lt;T1949),"",IFERROR(R1949/IF(G1949="",I1949,G1949)-1,""))</f>
        <v/>
      </c>
      <c r="R1949" s="48">
        <f>IF($M1949="","",MAX(IF($G1949="",$I1949,$G1949)*(1/1.1),IF($G1949="",$I1949,$G1949)+(R$2*$M1949)))</f>
        <v/>
      </c>
      <c r="S1949" s="49">
        <f>IF($M1949="","",MAX(IF($G1949="",$I1949,$G1949)*(1/1.1),IF($G1949="",$I1949,$G1949)+(S$2*$M1949)))</f>
        <v/>
      </c>
      <c r="T1949" s="82" t="n"/>
      <c r="U1949" s="47">
        <f>IF(OR($M1949="",$T1949=""),"",$T1949+(U$2*$M1949))</f>
        <v/>
      </c>
      <c r="V1949" s="48">
        <f>IF(OR($M1949="",$T1949=""),"",$T1949+(V$2*$M1949))</f>
        <v/>
      </c>
      <c r="W1949" s="48">
        <f>IF(OR($M1949="",$T1949=""),"",$T1949+(W$2*$M1949))</f>
        <v/>
      </c>
      <c r="X1949" s="49">
        <f>IF(OR($M1949="",$T1949=""),"",$T1949+(X$2*$M1949))</f>
        <v/>
      </c>
      <c r="Y1949" s="47">
        <f>IF(OR($M1949="",$T1949=""),"",$T1949+(Y$2*$M1949))</f>
        <v/>
      </c>
      <c r="Z1949" s="49">
        <f>IF(OR($M1949="",$T1949=""),"",$T1949+(Z$2*$M1949))</f>
        <v/>
      </c>
      <c r="AA1949" s="51">
        <f>IF(OR($M1949="",$T1949=""),"",$T1949+(AA$2*$M1949))</f>
        <v/>
      </c>
      <c r="AB1949" s="48">
        <f>IF(OR($M1949="",$T1949=""),"",$T1949+(AB$2*$M1949))</f>
        <v/>
      </c>
      <c r="AC1949" s="48">
        <f>IF(OR($M1949="",$T1949=""),"",$T1949+(AC$2*$M1949))</f>
        <v/>
      </c>
      <c r="AD1949" s="48">
        <f>IF(OR($M1949="",$T1949=""),"",$T1949+(AD$2*$M1949))</f>
        <v/>
      </c>
      <c r="AE1949" s="49">
        <f>IF(OR($M1949="",$T1949=""),"",$T1949+(AE$2*$M1949))</f>
        <v/>
      </c>
      <c r="AF1949" s="52">
        <f>IF(OR(T1949="",I1949&lt;T1949),"",IFERROR(AVERAGE(T1949+M1949*{7,8,9,10,11})/IF(G1949="",I1949,G1949)-1,""))</f>
        <v/>
      </c>
      <c r="AG1949" s="55">
        <f>IF(OR(T1949="",I1949&lt;T1949),"",IFERROR(AF1949/-(R1949/IF(G1949="",I1949,G1949)-1),""))</f>
        <v/>
      </c>
      <c r="AH1949" s="94" t="n"/>
      <c r="AI1949" s="94" t="n"/>
      <c r="AJ1949" s="94" t="n"/>
      <c r="AK1949" s="94" t="n"/>
      <c r="AL1949" s="84" t="n"/>
    </row>
    <row r="1950">
      <c r="A1950" s="64" t="n"/>
      <c r="B1950" s="65" t="n"/>
      <c r="C1950" s="66" t="n"/>
      <c r="D1950" s="67" t="n"/>
      <c r="E1950" s="68" t="n"/>
      <c r="F1950" s="47">
        <f>IF(A1950="","",IF(MIN(H1950,MAX(J1950:K1950))=0,"",MIN(H1950,MAX(J1950:K1950))))</f>
        <v/>
      </c>
      <c r="G1950" s="74" t="n"/>
      <c r="H1950" s="49">
        <f>IF(M1950="","",IFERROR(ROUND(AVERAGE(T1950+M1950*{7,8,9,10,11})/1.21,4),""))</f>
        <v/>
      </c>
      <c r="I1950" s="76" t="n"/>
      <c r="J1950" s="77" t="n"/>
      <c r="K1950" s="74" t="n"/>
      <c r="L1950" s="78" t="n"/>
      <c r="M1950" s="77" t="n"/>
      <c r="N1950" s="53">
        <f>IF(M1950="","",IFERROR(M1950/I1950,""))</f>
        <v/>
      </c>
      <c r="O1950" s="50">
        <f>IF(A1950="","",IFERROR((IF(G1950="",I1950,G1950)-T1950)/M1950,""))</f>
        <v/>
      </c>
      <c r="P1950" s="50">
        <f>IFERROR((I1950/T1950-1)/N1950,"")</f>
        <v/>
      </c>
      <c r="Q1950" s="46">
        <f>IF(OR(T1950="",I1950&lt;T1950),"",IFERROR(R1950/IF(G1950="",I1950,G1950)-1,""))</f>
        <v/>
      </c>
      <c r="R1950" s="48">
        <f>IF($M1950="","",MAX(IF($G1950="",$I1950,$G1950)*(1/1.1),IF($G1950="",$I1950,$G1950)+(R$2*$M1950)))</f>
        <v/>
      </c>
      <c r="S1950" s="49">
        <f>IF($M1950="","",MAX(IF($G1950="",$I1950,$G1950)*(1/1.1),IF($G1950="",$I1950,$G1950)+(S$2*$M1950)))</f>
        <v/>
      </c>
      <c r="T1950" s="82" t="n"/>
      <c r="U1950" s="47">
        <f>IF(OR($M1950="",$T1950=""),"",$T1950+(U$2*$M1950))</f>
        <v/>
      </c>
      <c r="V1950" s="48">
        <f>IF(OR($M1950="",$T1950=""),"",$T1950+(V$2*$M1950))</f>
        <v/>
      </c>
      <c r="W1950" s="48">
        <f>IF(OR($M1950="",$T1950=""),"",$T1950+(W$2*$M1950))</f>
        <v/>
      </c>
      <c r="X1950" s="49">
        <f>IF(OR($M1950="",$T1950=""),"",$T1950+(X$2*$M1950))</f>
        <v/>
      </c>
      <c r="Y1950" s="47">
        <f>IF(OR($M1950="",$T1950=""),"",$T1950+(Y$2*$M1950))</f>
        <v/>
      </c>
      <c r="Z1950" s="49">
        <f>IF(OR($M1950="",$T1950=""),"",$T1950+(Z$2*$M1950))</f>
        <v/>
      </c>
      <c r="AA1950" s="51">
        <f>IF(OR($M1950="",$T1950=""),"",$T1950+(AA$2*$M1950))</f>
        <v/>
      </c>
      <c r="AB1950" s="48">
        <f>IF(OR($M1950="",$T1950=""),"",$T1950+(AB$2*$M1950))</f>
        <v/>
      </c>
      <c r="AC1950" s="48">
        <f>IF(OR($M1950="",$T1950=""),"",$T1950+(AC$2*$M1950))</f>
        <v/>
      </c>
      <c r="AD1950" s="48">
        <f>IF(OR($M1950="",$T1950=""),"",$T1950+(AD$2*$M1950))</f>
        <v/>
      </c>
      <c r="AE1950" s="49">
        <f>IF(OR($M1950="",$T1950=""),"",$T1950+(AE$2*$M1950))</f>
        <v/>
      </c>
      <c r="AF1950" s="52">
        <f>IF(OR(T1950="",I1950&lt;T1950),"",IFERROR(AVERAGE(T1950+M1950*{7,8,9,10,11})/IF(G1950="",I1950,G1950)-1,""))</f>
        <v/>
      </c>
      <c r="AG1950" s="55">
        <f>IF(OR(T1950="",I1950&lt;T1950),"",IFERROR(AF1950/-(R1950/IF(G1950="",I1950,G1950)-1),""))</f>
        <v/>
      </c>
      <c r="AH1950" s="94" t="n"/>
      <c r="AI1950" s="94" t="n"/>
      <c r="AJ1950" s="94" t="n"/>
      <c r="AK1950" s="94" t="n"/>
      <c r="AL1950" s="84" t="n"/>
    </row>
    <row r="1951">
      <c r="A1951" s="64" t="n"/>
      <c r="B1951" s="65" t="n"/>
      <c r="C1951" s="66" t="n"/>
      <c r="D1951" s="67" t="n"/>
      <c r="E1951" s="68" t="n"/>
      <c r="F1951" s="47">
        <f>IF(A1951="","",IF(MIN(H1951,MAX(J1951:K1951))=0,"",MIN(H1951,MAX(J1951:K1951))))</f>
        <v/>
      </c>
      <c r="G1951" s="74" t="n"/>
      <c r="H1951" s="49">
        <f>IF(M1951="","",IFERROR(ROUND(AVERAGE(T1951+M1951*{7,8,9,10,11})/1.21,4),""))</f>
        <v/>
      </c>
      <c r="I1951" s="76" t="n"/>
      <c r="J1951" s="77" t="n"/>
      <c r="K1951" s="74" t="n"/>
      <c r="L1951" s="78" t="n"/>
      <c r="M1951" s="77" t="n"/>
      <c r="N1951" s="53">
        <f>IF(M1951="","",IFERROR(M1951/I1951,""))</f>
        <v/>
      </c>
      <c r="O1951" s="50">
        <f>IF(A1951="","",IFERROR((IF(G1951="",I1951,G1951)-T1951)/M1951,""))</f>
        <v/>
      </c>
      <c r="P1951" s="50">
        <f>IFERROR((I1951/T1951-1)/N1951,"")</f>
        <v/>
      </c>
      <c r="Q1951" s="46">
        <f>IF(OR(T1951="",I1951&lt;T1951),"",IFERROR(R1951/IF(G1951="",I1951,G1951)-1,""))</f>
        <v/>
      </c>
      <c r="R1951" s="48">
        <f>IF($M1951="","",MAX(IF($G1951="",$I1951,$G1951)*(1/1.1),IF($G1951="",$I1951,$G1951)+(R$2*$M1951)))</f>
        <v/>
      </c>
      <c r="S1951" s="49">
        <f>IF($M1951="","",MAX(IF($G1951="",$I1951,$G1951)*(1/1.1),IF($G1951="",$I1951,$G1951)+(S$2*$M1951)))</f>
        <v/>
      </c>
      <c r="T1951" s="82" t="n"/>
      <c r="U1951" s="47">
        <f>IF(OR($M1951="",$T1951=""),"",$T1951+(U$2*$M1951))</f>
        <v/>
      </c>
      <c r="V1951" s="48">
        <f>IF(OR($M1951="",$T1951=""),"",$T1951+(V$2*$M1951))</f>
        <v/>
      </c>
      <c r="W1951" s="48">
        <f>IF(OR($M1951="",$T1951=""),"",$T1951+(W$2*$M1951))</f>
        <v/>
      </c>
      <c r="X1951" s="49">
        <f>IF(OR($M1951="",$T1951=""),"",$T1951+(X$2*$M1951))</f>
        <v/>
      </c>
      <c r="Y1951" s="47">
        <f>IF(OR($M1951="",$T1951=""),"",$T1951+(Y$2*$M1951))</f>
        <v/>
      </c>
      <c r="Z1951" s="49">
        <f>IF(OR($M1951="",$T1951=""),"",$T1951+(Z$2*$M1951))</f>
        <v/>
      </c>
      <c r="AA1951" s="51">
        <f>IF(OR($M1951="",$T1951=""),"",$T1951+(AA$2*$M1951))</f>
        <v/>
      </c>
      <c r="AB1951" s="48">
        <f>IF(OR($M1951="",$T1951=""),"",$T1951+(AB$2*$M1951))</f>
        <v/>
      </c>
      <c r="AC1951" s="48">
        <f>IF(OR($M1951="",$T1951=""),"",$T1951+(AC$2*$M1951))</f>
        <v/>
      </c>
      <c r="AD1951" s="48">
        <f>IF(OR($M1951="",$T1951=""),"",$T1951+(AD$2*$M1951))</f>
        <v/>
      </c>
      <c r="AE1951" s="49">
        <f>IF(OR($M1951="",$T1951=""),"",$T1951+(AE$2*$M1951))</f>
        <v/>
      </c>
      <c r="AF1951" s="52">
        <f>IF(OR(T1951="",I1951&lt;T1951),"",IFERROR(AVERAGE(T1951+M1951*{7,8,9,10,11})/IF(G1951="",I1951,G1951)-1,""))</f>
        <v/>
      </c>
      <c r="AG1951" s="55">
        <f>IF(OR(T1951="",I1951&lt;T1951),"",IFERROR(AF1951/-(R1951/IF(G1951="",I1951,G1951)-1),""))</f>
        <v/>
      </c>
      <c r="AH1951" s="94" t="n"/>
      <c r="AI1951" s="94" t="n"/>
      <c r="AJ1951" s="94" t="n"/>
      <c r="AK1951" s="94" t="n"/>
      <c r="AL1951" s="84" t="n"/>
    </row>
    <row r="1952">
      <c r="A1952" s="64" t="n"/>
      <c r="B1952" s="65" t="n"/>
      <c r="C1952" s="66" t="n"/>
      <c r="D1952" s="67" t="n"/>
      <c r="E1952" s="68" t="n"/>
      <c r="F1952" s="47">
        <f>IF(A1952="","",IF(MIN(H1952,MAX(J1952:K1952))=0,"",MIN(H1952,MAX(J1952:K1952))))</f>
        <v/>
      </c>
      <c r="G1952" s="74" t="n"/>
      <c r="H1952" s="49">
        <f>IF(M1952="","",IFERROR(ROUND(AVERAGE(T1952+M1952*{7,8,9,10,11})/1.21,4),""))</f>
        <v/>
      </c>
      <c r="I1952" s="76" t="n"/>
      <c r="J1952" s="77" t="n"/>
      <c r="K1952" s="74" t="n"/>
      <c r="L1952" s="78" t="n"/>
      <c r="M1952" s="77" t="n"/>
      <c r="N1952" s="53">
        <f>IF(M1952="","",IFERROR(M1952/I1952,""))</f>
        <v/>
      </c>
      <c r="O1952" s="50">
        <f>IF(A1952="","",IFERROR((IF(G1952="",I1952,G1952)-T1952)/M1952,""))</f>
        <v/>
      </c>
      <c r="P1952" s="50">
        <f>IFERROR((I1952/T1952-1)/N1952,"")</f>
        <v/>
      </c>
      <c r="Q1952" s="46">
        <f>IF(OR(T1952="",I1952&lt;T1952),"",IFERROR(R1952/IF(G1952="",I1952,G1952)-1,""))</f>
        <v/>
      </c>
      <c r="R1952" s="48">
        <f>IF($M1952="","",MAX(IF($G1952="",$I1952,$G1952)*(1/1.1),IF($G1952="",$I1952,$G1952)+(R$2*$M1952)))</f>
        <v/>
      </c>
      <c r="S1952" s="49">
        <f>IF($M1952="","",MAX(IF($G1952="",$I1952,$G1952)*(1/1.1),IF($G1952="",$I1952,$G1952)+(S$2*$M1952)))</f>
        <v/>
      </c>
      <c r="T1952" s="82" t="n"/>
      <c r="U1952" s="47">
        <f>IF(OR($M1952="",$T1952=""),"",$T1952+(U$2*$M1952))</f>
        <v/>
      </c>
      <c r="V1952" s="48">
        <f>IF(OR($M1952="",$T1952=""),"",$T1952+(V$2*$M1952))</f>
        <v/>
      </c>
      <c r="W1952" s="48">
        <f>IF(OR($M1952="",$T1952=""),"",$T1952+(W$2*$M1952))</f>
        <v/>
      </c>
      <c r="X1952" s="49">
        <f>IF(OR($M1952="",$T1952=""),"",$T1952+(X$2*$M1952))</f>
        <v/>
      </c>
      <c r="Y1952" s="47">
        <f>IF(OR($M1952="",$T1952=""),"",$T1952+(Y$2*$M1952))</f>
        <v/>
      </c>
      <c r="Z1952" s="49">
        <f>IF(OR($M1952="",$T1952=""),"",$T1952+(Z$2*$M1952))</f>
        <v/>
      </c>
      <c r="AA1952" s="51">
        <f>IF(OR($M1952="",$T1952=""),"",$T1952+(AA$2*$M1952))</f>
        <v/>
      </c>
      <c r="AB1952" s="48">
        <f>IF(OR($M1952="",$T1952=""),"",$T1952+(AB$2*$M1952))</f>
        <v/>
      </c>
      <c r="AC1952" s="48">
        <f>IF(OR($M1952="",$T1952=""),"",$T1952+(AC$2*$M1952))</f>
        <v/>
      </c>
      <c r="AD1952" s="48">
        <f>IF(OR($M1952="",$T1952=""),"",$T1952+(AD$2*$M1952))</f>
        <v/>
      </c>
      <c r="AE1952" s="49">
        <f>IF(OR($M1952="",$T1952=""),"",$T1952+(AE$2*$M1952))</f>
        <v/>
      </c>
      <c r="AF1952" s="52">
        <f>IF(OR(T1952="",I1952&lt;T1952),"",IFERROR(AVERAGE(T1952+M1952*{7,8,9,10,11})/IF(G1952="",I1952,G1952)-1,""))</f>
        <v/>
      </c>
      <c r="AG1952" s="55">
        <f>IF(OR(T1952="",I1952&lt;T1952),"",IFERROR(AF1952/-(R1952/IF(G1952="",I1952,G1952)-1),""))</f>
        <v/>
      </c>
      <c r="AH1952" s="94" t="n"/>
      <c r="AI1952" s="94" t="n"/>
      <c r="AJ1952" s="94" t="n"/>
      <c r="AK1952" s="94" t="n"/>
      <c r="AL1952" s="84" t="n"/>
    </row>
    <row r="1953">
      <c r="A1953" s="64" t="n"/>
      <c r="B1953" s="65" t="n"/>
      <c r="C1953" s="66" t="n"/>
      <c r="D1953" s="67" t="n"/>
      <c r="E1953" s="68" t="n"/>
      <c r="F1953" s="47">
        <f>IF(A1953="","",IF(MIN(H1953,MAX(J1953:K1953))=0,"",MIN(H1953,MAX(J1953:K1953))))</f>
        <v/>
      </c>
      <c r="G1953" s="74" t="n"/>
      <c r="H1953" s="49">
        <f>IF(M1953="","",IFERROR(ROUND(AVERAGE(T1953+M1953*{7,8,9,10,11})/1.21,4),""))</f>
        <v/>
      </c>
      <c r="I1953" s="76" t="n"/>
      <c r="J1953" s="77" t="n"/>
      <c r="K1953" s="74" t="n"/>
      <c r="L1953" s="78" t="n"/>
      <c r="M1953" s="77" t="n"/>
      <c r="N1953" s="53">
        <f>IF(M1953="","",IFERROR(M1953/I1953,""))</f>
        <v/>
      </c>
      <c r="O1953" s="50">
        <f>IF(A1953="","",IFERROR((IF(G1953="",I1953,G1953)-T1953)/M1953,""))</f>
        <v/>
      </c>
      <c r="P1953" s="50">
        <f>IFERROR((I1953/T1953-1)/N1953,"")</f>
        <v/>
      </c>
      <c r="Q1953" s="46">
        <f>IF(OR(T1953="",I1953&lt;T1953),"",IFERROR(R1953/IF(G1953="",I1953,G1953)-1,""))</f>
        <v/>
      </c>
      <c r="R1953" s="48">
        <f>IF($M1953="","",MAX(IF($G1953="",$I1953,$G1953)*(1/1.1),IF($G1953="",$I1953,$G1953)+(R$2*$M1953)))</f>
        <v/>
      </c>
      <c r="S1953" s="49">
        <f>IF($M1953="","",MAX(IF($G1953="",$I1953,$G1953)*(1/1.1),IF($G1953="",$I1953,$G1953)+(S$2*$M1953)))</f>
        <v/>
      </c>
      <c r="T1953" s="82" t="n"/>
      <c r="U1953" s="47">
        <f>IF(OR($M1953="",$T1953=""),"",$T1953+(U$2*$M1953))</f>
        <v/>
      </c>
      <c r="V1953" s="48">
        <f>IF(OR($M1953="",$T1953=""),"",$T1953+(V$2*$M1953))</f>
        <v/>
      </c>
      <c r="W1953" s="48">
        <f>IF(OR($M1953="",$T1953=""),"",$T1953+(W$2*$M1953))</f>
        <v/>
      </c>
      <c r="X1953" s="49">
        <f>IF(OR($M1953="",$T1953=""),"",$T1953+(X$2*$M1953))</f>
        <v/>
      </c>
      <c r="Y1953" s="47">
        <f>IF(OR($M1953="",$T1953=""),"",$T1953+(Y$2*$M1953))</f>
        <v/>
      </c>
      <c r="Z1953" s="49">
        <f>IF(OR($M1953="",$T1953=""),"",$T1953+(Z$2*$M1953))</f>
        <v/>
      </c>
      <c r="AA1953" s="51">
        <f>IF(OR($M1953="",$T1953=""),"",$T1953+(AA$2*$M1953))</f>
        <v/>
      </c>
      <c r="AB1953" s="48">
        <f>IF(OR($M1953="",$T1953=""),"",$T1953+(AB$2*$M1953))</f>
        <v/>
      </c>
      <c r="AC1953" s="48">
        <f>IF(OR($M1953="",$T1953=""),"",$T1953+(AC$2*$M1953))</f>
        <v/>
      </c>
      <c r="AD1953" s="48">
        <f>IF(OR($M1953="",$T1953=""),"",$T1953+(AD$2*$M1953))</f>
        <v/>
      </c>
      <c r="AE1953" s="49">
        <f>IF(OR($M1953="",$T1953=""),"",$T1953+(AE$2*$M1953))</f>
        <v/>
      </c>
      <c r="AF1953" s="52">
        <f>IF(OR(T1953="",I1953&lt;T1953),"",IFERROR(AVERAGE(T1953+M1953*{7,8,9,10,11})/IF(G1953="",I1953,G1953)-1,""))</f>
        <v/>
      </c>
      <c r="AG1953" s="55">
        <f>IF(OR(T1953="",I1953&lt;T1953),"",IFERROR(AF1953/-(R1953/IF(G1953="",I1953,G1953)-1),""))</f>
        <v/>
      </c>
      <c r="AH1953" s="94" t="n"/>
      <c r="AI1953" s="94" t="n"/>
      <c r="AJ1953" s="94" t="n"/>
      <c r="AK1953" s="94" t="n"/>
      <c r="AL1953" s="84" t="n"/>
    </row>
    <row r="1954">
      <c r="A1954" s="64" t="n"/>
      <c r="B1954" s="65" t="n"/>
      <c r="C1954" s="66" t="n"/>
      <c r="D1954" s="67" t="n"/>
      <c r="E1954" s="68" t="n"/>
      <c r="F1954" s="47">
        <f>IF(A1954="","",IF(MIN(H1954,MAX(J1954:K1954))=0,"",MIN(H1954,MAX(J1954:K1954))))</f>
        <v/>
      </c>
      <c r="G1954" s="74" t="n"/>
      <c r="H1954" s="49">
        <f>IF(M1954="","",IFERROR(ROUND(AVERAGE(T1954+M1954*{7,8,9,10,11})/1.21,4),""))</f>
        <v/>
      </c>
      <c r="I1954" s="76" t="n"/>
      <c r="J1954" s="77" t="n"/>
      <c r="K1954" s="74" t="n"/>
      <c r="L1954" s="78" t="n"/>
      <c r="M1954" s="77" t="n"/>
      <c r="N1954" s="53">
        <f>IF(M1954="","",IFERROR(M1954/I1954,""))</f>
        <v/>
      </c>
      <c r="O1954" s="50">
        <f>IF(A1954="","",IFERROR((IF(G1954="",I1954,G1954)-T1954)/M1954,""))</f>
        <v/>
      </c>
      <c r="P1954" s="50">
        <f>IFERROR((I1954/T1954-1)/N1954,"")</f>
        <v/>
      </c>
      <c r="Q1954" s="46">
        <f>IF(OR(T1954="",I1954&lt;T1954),"",IFERROR(R1954/IF(G1954="",I1954,G1954)-1,""))</f>
        <v/>
      </c>
      <c r="R1954" s="48">
        <f>IF($M1954="","",MAX(IF($G1954="",$I1954,$G1954)*(1/1.1),IF($G1954="",$I1954,$G1954)+(R$2*$M1954)))</f>
        <v/>
      </c>
      <c r="S1954" s="49">
        <f>IF($M1954="","",MAX(IF($G1954="",$I1954,$G1954)*(1/1.1),IF($G1954="",$I1954,$G1954)+(S$2*$M1954)))</f>
        <v/>
      </c>
      <c r="T1954" s="82" t="n"/>
      <c r="U1954" s="47">
        <f>IF(OR($M1954="",$T1954=""),"",$T1954+(U$2*$M1954))</f>
        <v/>
      </c>
      <c r="V1954" s="48">
        <f>IF(OR($M1954="",$T1954=""),"",$T1954+(V$2*$M1954))</f>
        <v/>
      </c>
      <c r="W1954" s="48">
        <f>IF(OR($M1954="",$T1954=""),"",$T1954+(W$2*$M1954))</f>
        <v/>
      </c>
      <c r="X1954" s="49">
        <f>IF(OR($M1954="",$T1954=""),"",$T1954+(X$2*$M1954))</f>
        <v/>
      </c>
      <c r="Y1954" s="47">
        <f>IF(OR($M1954="",$T1954=""),"",$T1954+(Y$2*$M1954))</f>
        <v/>
      </c>
      <c r="Z1954" s="49">
        <f>IF(OR($M1954="",$T1954=""),"",$T1954+(Z$2*$M1954))</f>
        <v/>
      </c>
      <c r="AA1954" s="51">
        <f>IF(OR($M1954="",$T1954=""),"",$T1954+(AA$2*$M1954))</f>
        <v/>
      </c>
      <c r="AB1954" s="48">
        <f>IF(OR($M1954="",$T1954=""),"",$T1954+(AB$2*$M1954))</f>
        <v/>
      </c>
      <c r="AC1954" s="48">
        <f>IF(OR($M1954="",$T1954=""),"",$T1954+(AC$2*$M1954))</f>
        <v/>
      </c>
      <c r="AD1954" s="48">
        <f>IF(OR($M1954="",$T1954=""),"",$T1954+(AD$2*$M1954))</f>
        <v/>
      </c>
      <c r="AE1954" s="49">
        <f>IF(OR($M1954="",$T1954=""),"",$T1954+(AE$2*$M1954))</f>
        <v/>
      </c>
      <c r="AF1954" s="52">
        <f>IF(OR(T1954="",I1954&lt;T1954),"",IFERROR(AVERAGE(T1954+M1954*{7,8,9,10,11})/IF(G1954="",I1954,G1954)-1,""))</f>
        <v/>
      </c>
      <c r="AG1954" s="55">
        <f>IF(OR(T1954="",I1954&lt;T1954),"",IFERROR(AF1954/-(R1954/IF(G1954="",I1954,G1954)-1),""))</f>
        <v/>
      </c>
      <c r="AH1954" s="94" t="n"/>
      <c r="AI1954" s="94" t="n"/>
      <c r="AJ1954" s="94" t="n"/>
      <c r="AK1954" s="94" t="n"/>
      <c r="AL1954" s="84" t="n"/>
    </row>
    <row r="1955">
      <c r="A1955" s="64" t="n"/>
      <c r="B1955" s="65" t="n"/>
      <c r="C1955" s="66" t="n"/>
      <c r="D1955" s="67" t="n"/>
      <c r="E1955" s="68" t="n"/>
      <c r="F1955" s="47">
        <f>IF(A1955="","",IF(MIN(H1955,MAX(J1955:K1955))=0,"",MIN(H1955,MAX(J1955:K1955))))</f>
        <v/>
      </c>
      <c r="G1955" s="74" t="n"/>
      <c r="H1955" s="49">
        <f>IF(M1955="","",IFERROR(ROUND(AVERAGE(T1955+M1955*{7,8,9,10,11})/1.21,4),""))</f>
        <v/>
      </c>
      <c r="I1955" s="76" t="n"/>
      <c r="J1955" s="77" t="n"/>
      <c r="K1955" s="74" t="n"/>
      <c r="L1955" s="78" t="n"/>
      <c r="M1955" s="77" t="n"/>
      <c r="N1955" s="53">
        <f>IF(M1955="","",IFERROR(M1955/I1955,""))</f>
        <v/>
      </c>
      <c r="O1955" s="50">
        <f>IF(A1955="","",IFERROR((IF(G1955="",I1955,G1955)-T1955)/M1955,""))</f>
        <v/>
      </c>
      <c r="P1955" s="50">
        <f>IFERROR((I1955/T1955-1)/N1955,"")</f>
        <v/>
      </c>
      <c r="Q1955" s="46">
        <f>IF(OR(T1955="",I1955&lt;T1955),"",IFERROR(R1955/IF(G1955="",I1955,G1955)-1,""))</f>
        <v/>
      </c>
      <c r="R1955" s="48">
        <f>IF($M1955="","",MAX(IF($G1955="",$I1955,$G1955)*(1/1.1),IF($G1955="",$I1955,$G1955)+(R$2*$M1955)))</f>
        <v/>
      </c>
      <c r="S1955" s="49">
        <f>IF($M1955="","",MAX(IF($G1955="",$I1955,$G1955)*(1/1.1),IF($G1955="",$I1955,$G1955)+(S$2*$M1955)))</f>
        <v/>
      </c>
      <c r="T1955" s="82" t="n"/>
      <c r="U1955" s="47">
        <f>IF(OR($M1955="",$T1955=""),"",$T1955+(U$2*$M1955))</f>
        <v/>
      </c>
      <c r="V1955" s="48">
        <f>IF(OR($M1955="",$T1955=""),"",$T1955+(V$2*$M1955))</f>
        <v/>
      </c>
      <c r="W1955" s="48">
        <f>IF(OR($M1955="",$T1955=""),"",$T1955+(W$2*$M1955))</f>
        <v/>
      </c>
      <c r="X1955" s="49">
        <f>IF(OR($M1955="",$T1955=""),"",$T1955+(X$2*$M1955))</f>
        <v/>
      </c>
      <c r="Y1955" s="47">
        <f>IF(OR($M1955="",$T1955=""),"",$T1955+(Y$2*$M1955))</f>
        <v/>
      </c>
      <c r="Z1955" s="49">
        <f>IF(OR($M1955="",$T1955=""),"",$T1955+(Z$2*$M1955))</f>
        <v/>
      </c>
      <c r="AA1955" s="51">
        <f>IF(OR($M1955="",$T1955=""),"",$T1955+(AA$2*$M1955))</f>
        <v/>
      </c>
      <c r="AB1955" s="48">
        <f>IF(OR($M1955="",$T1955=""),"",$T1955+(AB$2*$M1955))</f>
        <v/>
      </c>
      <c r="AC1955" s="48">
        <f>IF(OR($M1955="",$T1955=""),"",$T1955+(AC$2*$M1955))</f>
        <v/>
      </c>
      <c r="AD1955" s="48">
        <f>IF(OR($M1955="",$T1955=""),"",$T1955+(AD$2*$M1955))</f>
        <v/>
      </c>
      <c r="AE1955" s="49">
        <f>IF(OR($M1955="",$T1955=""),"",$T1955+(AE$2*$M1955))</f>
        <v/>
      </c>
      <c r="AF1955" s="52">
        <f>IF(OR(T1955="",I1955&lt;T1955),"",IFERROR(AVERAGE(T1955+M1955*{7,8,9,10,11})/IF(G1955="",I1955,G1955)-1,""))</f>
        <v/>
      </c>
      <c r="AG1955" s="55">
        <f>IF(OR(T1955="",I1955&lt;T1955),"",IFERROR(AF1955/-(R1955/IF(G1955="",I1955,G1955)-1),""))</f>
        <v/>
      </c>
      <c r="AH1955" s="94" t="n"/>
      <c r="AI1955" s="94" t="n"/>
      <c r="AJ1955" s="94" t="n"/>
      <c r="AK1955" s="94" t="n"/>
      <c r="AL1955" s="84" t="n"/>
    </row>
    <row r="1956">
      <c r="A1956" s="64" t="n"/>
      <c r="B1956" s="65" t="n"/>
      <c r="C1956" s="66" t="n"/>
      <c r="D1956" s="67" t="n"/>
      <c r="E1956" s="68" t="n"/>
      <c r="F1956" s="47">
        <f>IF(A1956="","",IF(MIN(H1956,MAX(J1956:K1956))=0,"",MIN(H1956,MAX(J1956:K1956))))</f>
        <v/>
      </c>
      <c r="G1956" s="74" t="n"/>
      <c r="H1956" s="49">
        <f>IF(M1956="","",IFERROR(ROUND(AVERAGE(T1956+M1956*{7,8,9,10,11})/1.21,4),""))</f>
        <v/>
      </c>
      <c r="I1956" s="76" t="n"/>
      <c r="J1956" s="77" t="n"/>
      <c r="K1956" s="74" t="n"/>
      <c r="L1956" s="78" t="n"/>
      <c r="M1956" s="77" t="n"/>
      <c r="N1956" s="53">
        <f>IF(M1956="","",IFERROR(M1956/I1956,""))</f>
        <v/>
      </c>
      <c r="O1956" s="50">
        <f>IF(A1956="","",IFERROR((IF(G1956="",I1956,G1956)-T1956)/M1956,""))</f>
        <v/>
      </c>
      <c r="P1956" s="50">
        <f>IFERROR((I1956/T1956-1)/N1956,"")</f>
        <v/>
      </c>
      <c r="Q1956" s="46">
        <f>IF(OR(T1956="",I1956&lt;T1956),"",IFERROR(R1956/IF(G1956="",I1956,G1956)-1,""))</f>
        <v/>
      </c>
      <c r="R1956" s="48">
        <f>IF($M1956="","",MAX(IF($G1956="",$I1956,$G1956)*(1/1.1),IF($G1956="",$I1956,$G1956)+(R$2*$M1956)))</f>
        <v/>
      </c>
      <c r="S1956" s="49">
        <f>IF($M1956="","",MAX(IF($G1956="",$I1956,$G1956)*(1/1.1),IF($G1956="",$I1956,$G1956)+(S$2*$M1956)))</f>
        <v/>
      </c>
      <c r="T1956" s="82" t="n"/>
      <c r="U1956" s="47">
        <f>IF(OR($M1956="",$T1956=""),"",$T1956+(U$2*$M1956))</f>
        <v/>
      </c>
      <c r="V1956" s="48">
        <f>IF(OR($M1956="",$T1956=""),"",$T1956+(V$2*$M1956))</f>
        <v/>
      </c>
      <c r="W1956" s="48">
        <f>IF(OR($M1956="",$T1956=""),"",$T1956+(W$2*$M1956))</f>
        <v/>
      </c>
      <c r="X1956" s="49">
        <f>IF(OR($M1956="",$T1956=""),"",$T1956+(X$2*$M1956))</f>
        <v/>
      </c>
      <c r="Y1956" s="47">
        <f>IF(OR($M1956="",$T1956=""),"",$T1956+(Y$2*$M1956))</f>
        <v/>
      </c>
      <c r="Z1956" s="49">
        <f>IF(OR($M1956="",$T1956=""),"",$T1956+(Z$2*$M1956))</f>
        <v/>
      </c>
      <c r="AA1956" s="51">
        <f>IF(OR($M1956="",$T1956=""),"",$T1956+(AA$2*$M1956))</f>
        <v/>
      </c>
      <c r="AB1956" s="48">
        <f>IF(OR($M1956="",$T1956=""),"",$T1956+(AB$2*$M1956))</f>
        <v/>
      </c>
      <c r="AC1956" s="48">
        <f>IF(OR($M1956="",$T1956=""),"",$T1956+(AC$2*$M1956))</f>
        <v/>
      </c>
      <c r="AD1956" s="48">
        <f>IF(OR($M1956="",$T1956=""),"",$T1956+(AD$2*$M1956))</f>
        <v/>
      </c>
      <c r="AE1956" s="49">
        <f>IF(OR($M1956="",$T1956=""),"",$T1956+(AE$2*$M1956))</f>
        <v/>
      </c>
      <c r="AF1956" s="52">
        <f>IF(OR(T1956="",I1956&lt;T1956),"",IFERROR(AVERAGE(T1956+M1956*{7,8,9,10,11})/IF(G1956="",I1956,G1956)-1,""))</f>
        <v/>
      </c>
      <c r="AG1956" s="55">
        <f>IF(OR(T1956="",I1956&lt;T1956),"",IFERROR(AF1956/-(R1956/IF(G1956="",I1956,G1956)-1),""))</f>
        <v/>
      </c>
      <c r="AH1956" s="94" t="n"/>
      <c r="AI1956" s="94" t="n"/>
      <c r="AJ1956" s="94" t="n"/>
      <c r="AK1956" s="94" t="n"/>
      <c r="AL1956" s="84" t="n"/>
    </row>
    <row r="1957">
      <c r="A1957" s="64" t="n"/>
      <c r="B1957" s="65" t="n"/>
      <c r="C1957" s="66" t="n"/>
      <c r="D1957" s="67" t="n"/>
      <c r="E1957" s="68" t="n"/>
      <c r="F1957" s="47">
        <f>IF(A1957="","",IF(MIN(H1957,MAX(J1957:K1957))=0,"",MIN(H1957,MAX(J1957:K1957))))</f>
        <v/>
      </c>
      <c r="G1957" s="74" t="n"/>
      <c r="H1957" s="49">
        <f>IF(M1957="","",IFERROR(ROUND(AVERAGE(T1957+M1957*{7,8,9,10,11})/1.21,4),""))</f>
        <v/>
      </c>
      <c r="I1957" s="76" t="n"/>
      <c r="J1957" s="77" t="n"/>
      <c r="K1957" s="74" t="n"/>
      <c r="L1957" s="78" t="n"/>
      <c r="M1957" s="77" t="n"/>
      <c r="N1957" s="53">
        <f>IF(M1957="","",IFERROR(M1957/I1957,""))</f>
        <v/>
      </c>
      <c r="O1957" s="50">
        <f>IF(A1957="","",IFERROR((IF(G1957="",I1957,G1957)-T1957)/M1957,""))</f>
        <v/>
      </c>
      <c r="P1957" s="50">
        <f>IFERROR((I1957/T1957-1)/N1957,"")</f>
        <v/>
      </c>
      <c r="Q1957" s="46">
        <f>IF(OR(T1957="",I1957&lt;T1957),"",IFERROR(R1957/IF(G1957="",I1957,G1957)-1,""))</f>
        <v/>
      </c>
      <c r="R1957" s="48">
        <f>IF($M1957="","",MAX(IF($G1957="",$I1957,$G1957)*(1/1.1),IF($G1957="",$I1957,$G1957)+(R$2*$M1957)))</f>
        <v/>
      </c>
      <c r="S1957" s="49">
        <f>IF($M1957="","",MAX(IF($G1957="",$I1957,$G1957)*(1/1.1),IF($G1957="",$I1957,$G1957)+(S$2*$M1957)))</f>
        <v/>
      </c>
      <c r="T1957" s="82" t="n"/>
      <c r="U1957" s="47">
        <f>IF(OR($M1957="",$T1957=""),"",$T1957+(U$2*$M1957))</f>
        <v/>
      </c>
      <c r="V1957" s="48">
        <f>IF(OR($M1957="",$T1957=""),"",$T1957+(V$2*$M1957))</f>
        <v/>
      </c>
      <c r="W1957" s="48">
        <f>IF(OR($M1957="",$T1957=""),"",$T1957+(W$2*$M1957))</f>
        <v/>
      </c>
      <c r="X1957" s="49">
        <f>IF(OR($M1957="",$T1957=""),"",$T1957+(X$2*$M1957))</f>
        <v/>
      </c>
      <c r="Y1957" s="47">
        <f>IF(OR($M1957="",$T1957=""),"",$T1957+(Y$2*$M1957))</f>
        <v/>
      </c>
      <c r="Z1957" s="49">
        <f>IF(OR($M1957="",$T1957=""),"",$T1957+(Z$2*$M1957))</f>
        <v/>
      </c>
      <c r="AA1957" s="51">
        <f>IF(OR($M1957="",$T1957=""),"",$T1957+(AA$2*$M1957))</f>
        <v/>
      </c>
      <c r="AB1957" s="48">
        <f>IF(OR($M1957="",$T1957=""),"",$T1957+(AB$2*$M1957))</f>
        <v/>
      </c>
      <c r="AC1957" s="48">
        <f>IF(OR($M1957="",$T1957=""),"",$T1957+(AC$2*$M1957))</f>
        <v/>
      </c>
      <c r="AD1957" s="48">
        <f>IF(OR($M1957="",$T1957=""),"",$T1957+(AD$2*$M1957))</f>
        <v/>
      </c>
      <c r="AE1957" s="49">
        <f>IF(OR($M1957="",$T1957=""),"",$T1957+(AE$2*$M1957))</f>
        <v/>
      </c>
      <c r="AF1957" s="52">
        <f>IF(OR(T1957="",I1957&lt;T1957),"",IFERROR(AVERAGE(T1957+M1957*{7,8,9,10,11})/IF(G1957="",I1957,G1957)-1,""))</f>
        <v/>
      </c>
      <c r="AG1957" s="55">
        <f>IF(OR(T1957="",I1957&lt;T1957),"",IFERROR(AF1957/-(R1957/IF(G1957="",I1957,G1957)-1),""))</f>
        <v/>
      </c>
      <c r="AH1957" s="94" t="n"/>
      <c r="AI1957" s="94" t="n"/>
      <c r="AJ1957" s="94" t="n"/>
      <c r="AK1957" s="94" t="n"/>
      <c r="AL1957" s="84" t="n"/>
    </row>
    <row r="1958">
      <c r="A1958" s="64" t="n"/>
      <c r="B1958" s="65" t="n"/>
      <c r="C1958" s="66" t="n"/>
      <c r="D1958" s="67" t="n"/>
      <c r="E1958" s="68" t="n"/>
      <c r="F1958" s="47">
        <f>IF(A1958="","",IF(MIN(H1958,MAX(J1958:K1958))=0,"",MIN(H1958,MAX(J1958:K1958))))</f>
        <v/>
      </c>
      <c r="G1958" s="74" t="n"/>
      <c r="H1958" s="49">
        <f>IF(M1958="","",IFERROR(ROUND(AVERAGE(T1958+M1958*{7,8,9,10,11})/1.21,4),""))</f>
        <v/>
      </c>
      <c r="I1958" s="76" t="n"/>
      <c r="J1958" s="77" t="n"/>
      <c r="K1958" s="74" t="n"/>
      <c r="L1958" s="78" t="n"/>
      <c r="M1958" s="77" t="n"/>
      <c r="N1958" s="53">
        <f>IF(M1958="","",IFERROR(M1958/I1958,""))</f>
        <v/>
      </c>
      <c r="O1958" s="50">
        <f>IF(A1958="","",IFERROR((IF(G1958="",I1958,G1958)-T1958)/M1958,""))</f>
        <v/>
      </c>
      <c r="P1958" s="50">
        <f>IFERROR((I1958/T1958-1)/N1958,"")</f>
        <v/>
      </c>
      <c r="Q1958" s="46">
        <f>IF(OR(T1958="",I1958&lt;T1958),"",IFERROR(R1958/IF(G1958="",I1958,G1958)-1,""))</f>
        <v/>
      </c>
      <c r="R1958" s="48">
        <f>IF($M1958="","",MAX(IF($G1958="",$I1958,$G1958)*(1/1.1),IF($G1958="",$I1958,$G1958)+(R$2*$M1958)))</f>
        <v/>
      </c>
      <c r="S1958" s="49">
        <f>IF($M1958="","",MAX(IF($G1958="",$I1958,$G1958)*(1/1.1),IF($G1958="",$I1958,$G1958)+(S$2*$M1958)))</f>
        <v/>
      </c>
      <c r="T1958" s="82" t="n"/>
      <c r="U1958" s="47">
        <f>IF(OR($M1958="",$T1958=""),"",$T1958+(U$2*$M1958))</f>
        <v/>
      </c>
      <c r="V1958" s="48">
        <f>IF(OR($M1958="",$T1958=""),"",$T1958+(V$2*$M1958))</f>
        <v/>
      </c>
      <c r="W1958" s="48">
        <f>IF(OR($M1958="",$T1958=""),"",$T1958+(W$2*$M1958))</f>
        <v/>
      </c>
      <c r="X1958" s="49">
        <f>IF(OR($M1958="",$T1958=""),"",$T1958+(X$2*$M1958))</f>
        <v/>
      </c>
      <c r="Y1958" s="47">
        <f>IF(OR($M1958="",$T1958=""),"",$T1958+(Y$2*$M1958))</f>
        <v/>
      </c>
      <c r="Z1958" s="49">
        <f>IF(OR($M1958="",$T1958=""),"",$T1958+(Z$2*$M1958))</f>
        <v/>
      </c>
      <c r="AA1958" s="51">
        <f>IF(OR($M1958="",$T1958=""),"",$T1958+(AA$2*$M1958))</f>
        <v/>
      </c>
      <c r="AB1958" s="48">
        <f>IF(OR($M1958="",$T1958=""),"",$T1958+(AB$2*$M1958))</f>
        <v/>
      </c>
      <c r="AC1958" s="48">
        <f>IF(OR($M1958="",$T1958=""),"",$T1958+(AC$2*$M1958))</f>
        <v/>
      </c>
      <c r="AD1958" s="48">
        <f>IF(OR($M1958="",$T1958=""),"",$T1958+(AD$2*$M1958))</f>
        <v/>
      </c>
      <c r="AE1958" s="49">
        <f>IF(OR($M1958="",$T1958=""),"",$T1958+(AE$2*$M1958))</f>
        <v/>
      </c>
      <c r="AF1958" s="52">
        <f>IF(OR(T1958="",I1958&lt;T1958),"",IFERROR(AVERAGE(T1958+M1958*{7,8,9,10,11})/IF(G1958="",I1958,G1958)-1,""))</f>
        <v/>
      </c>
      <c r="AG1958" s="55">
        <f>IF(OR(T1958="",I1958&lt;T1958),"",IFERROR(AF1958/-(R1958/IF(G1958="",I1958,G1958)-1),""))</f>
        <v/>
      </c>
      <c r="AH1958" s="94" t="n"/>
      <c r="AI1958" s="94" t="n"/>
      <c r="AJ1958" s="94" t="n"/>
      <c r="AK1958" s="94" t="n"/>
      <c r="AL1958" s="84" t="n"/>
    </row>
    <row r="1959">
      <c r="A1959" s="64" t="n"/>
      <c r="B1959" s="65" t="n"/>
      <c r="C1959" s="66" t="n"/>
      <c r="D1959" s="67" t="n"/>
      <c r="E1959" s="68" t="n"/>
      <c r="F1959" s="47">
        <f>IF(A1959="","",IF(MIN(H1959,MAX(J1959:K1959))=0,"",MIN(H1959,MAX(J1959:K1959))))</f>
        <v/>
      </c>
      <c r="G1959" s="74" t="n"/>
      <c r="H1959" s="49">
        <f>IF(M1959="","",IFERROR(ROUND(AVERAGE(T1959+M1959*{7,8,9,10,11})/1.21,4),""))</f>
        <v/>
      </c>
      <c r="I1959" s="76" t="n"/>
      <c r="J1959" s="77" t="n"/>
      <c r="K1959" s="74" t="n"/>
      <c r="L1959" s="78" t="n"/>
      <c r="M1959" s="77" t="n"/>
      <c r="N1959" s="53">
        <f>IF(M1959="","",IFERROR(M1959/I1959,""))</f>
        <v/>
      </c>
      <c r="O1959" s="50">
        <f>IF(A1959="","",IFERROR((IF(G1959="",I1959,G1959)-T1959)/M1959,""))</f>
        <v/>
      </c>
      <c r="P1959" s="50">
        <f>IFERROR((I1959/T1959-1)/N1959,"")</f>
        <v/>
      </c>
      <c r="Q1959" s="46">
        <f>IF(OR(T1959="",I1959&lt;T1959),"",IFERROR(R1959/IF(G1959="",I1959,G1959)-1,""))</f>
        <v/>
      </c>
      <c r="R1959" s="48">
        <f>IF($M1959="","",MAX(IF($G1959="",$I1959,$G1959)*(1/1.1),IF($G1959="",$I1959,$G1959)+(R$2*$M1959)))</f>
        <v/>
      </c>
      <c r="S1959" s="49">
        <f>IF($M1959="","",MAX(IF($G1959="",$I1959,$G1959)*(1/1.1),IF($G1959="",$I1959,$G1959)+(S$2*$M1959)))</f>
        <v/>
      </c>
      <c r="T1959" s="82" t="n"/>
      <c r="U1959" s="47">
        <f>IF(OR($M1959="",$T1959=""),"",$T1959+(U$2*$M1959))</f>
        <v/>
      </c>
      <c r="V1959" s="48">
        <f>IF(OR($M1959="",$T1959=""),"",$T1959+(V$2*$M1959))</f>
        <v/>
      </c>
      <c r="W1959" s="48">
        <f>IF(OR($M1959="",$T1959=""),"",$T1959+(W$2*$M1959))</f>
        <v/>
      </c>
      <c r="X1959" s="49">
        <f>IF(OR($M1959="",$T1959=""),"",$T1959+(X$2*$M1959))</f>
        <v/>
      </c>
      <c r="Y1959" s="47">
        <f>IF(OR($M1959="",$T1959=""),"",$T1959+(Y$2*$M1959))</f>
        <v/>
      </c>
      <c r="Z1959" s="49">
        <f>IF(OR($M1959="",$T1959=""),"",$T1959+(Z$2*$M1959))</f>
        <v/>
      </c>
      <c r="AA1959" s="51">
        <f>IF(OR($M1959="",$T1959=""),"",$T1959+(AA$2*$M1959))</f>
        <v/>
      </c>
      <c r="AB1959" s="48">
        <f>IF(OR($M1959="",$T1959=""),"",$T1959+(AB$2*$M1959))</f>
        <v/>
      </c>
      <c r="AC1959" s="48">
        <f>IF(OR($M1959="",$T1959=""),"",$T1959+(AC$2*$M1959))</f>
        <v/>
      </c>
      <c r="AD1959" s="48">
        <f>IF(OR($M1959="",$T1959=""),"",$T1959+(AD$2*$M1959))</f>
        <v/>
      </c>
      <c r="AE1959" s="49">
        <f>IF(OR($M1959="",$T1959=""),"",$T1959+(AE$2*$M1959))</f>
        <v/>
      </c>
      <c r="AF1959" s="52">
        <f>IF(OR(T1959="",I1959&lt;T1959),"",IFERROR(AVERAGE(T1959+M1959*{7,8,9,10,11})/IF(G1959="",I1959,G1959)-1,""))</f>
        <v/>
      </c>
      <c r="AG1959" s="55">
        <f>IF(OR(T1959="",I1959&lt;T1959),"",IFERROR(AF1959/-(R1959/IF(G1959="",I1959,G1959)-1),""))</f>
        <v/>
      </c>
      <c r="AH1959" s="94" t="n"/>
      <c r="AI1959" s="94" t="n"/>
      <c r="AJ1959" s="94" t="n"/>
      <c r="AK1959" s="94" t="n"/>
      <c r="AL1959" s="84" t="n"/>
    </row>
    <row r="1960">
      <c r="A1960" s="64" t="n"/>
      <c r="B1960" s="65" t="n"/>
      <c r="C1960" s="66" t="n"/>
      <c r="D1960" s="67" t="n"/>
      <c r="E1960" s="68" t="n"/>
      <c r="F1960" s="47">
        <f>IF(A1960="","",IF(MIN(H1960,MAX(J1960:K1960))=0,"",MIN(H1960,MAX(J1960:K1960))))</f>
        <v/>
      </c>
      <c r="G1960" s="74" t="n"/>
      <c r="H1960" s="49">
        <f>IF(M1960="","",IFERROR(ROUND(AVERAGE(T1960+M1960*{7,8,9,10,11})/1.21,4),""))</f>
        <v/>
      </c>
      <c r="I1960" s="76" t="n"/>
      <c r="J1960" s="77" t="n"/>
      <c r="K1960" s="74" t="n"/>
      <c r="L1960" s="78" t="n"/>
      <c r="M1960" s="77" t="n"/>
      <c r="N1960" s="53">
        <f>IF(M1960="","",IFERROR(M1960/I1960,""))</f>
        <v/>
      </c>
      <c r="O1960" s="50">
        <f>IF(A1960="","",IFERROR((IF(G1960="",I1960,G1960)-T1960)/M1960,""))</f>
        <v/>
      </c>
      <c r="P1960" s="50">
        <f>IFERROR((I1960/T1960-1)/N1960,"")</f>
        <v/>
      </c>
      <c r="Q1960" s="46">
        <f>IF(OR(T1960="",I1960&lt;T1960),"",IFERROR(R1960/IF(G1960="",I1960,G1960)-1,""))</f>
        <v/>
      </c>
      <c r="R1960" s="48">
        <f>IF($M1960="","",MAX(IF($G1960="",$I1960,$G1960)*(1/1.1),IF($G1960="",$I1960,$G1960)+(R$2*$M1960)))</f>
        <v/>
      </c>
      <c r="S1960" s="49">
        <f>IF($M1960="","",MAX(IF($G1960="",$I1960,$G1960)*(1/1.1),IF($G1960="",$I1960,$G1960)+(S$2*$M1960)))</f>
        <v/>
      </c>
      <c r="T1960" s="82" t="n"/>
      <c r="U1960" s="47">
        <f>IF(OR($M1960="",$T1960=""),"",$T1960+(U$2*$M1960))</f>
        <v/>
      </c>
      <c r="V1960" s="48">
        <f>IF(OR($M1960="",$T1960=""),"",$T1960+(V$2*$M1960))</f>
        <v/>
      </c>
      <c r="W1960" s="48">
        <f>IF(OR($M1960="",$T1960=""),"",$T1960+(W$2*$M1960))</f>
        <v/>
      </c>
      <c r="X1960" s="49">
        <f>IF(OR($M1960="",$T1960=""),"",$T1960+(X$2*$M1960))</f>
        <v/>
      </c>
      <c r="Y1960" s="47">
        <f>IF(OR($M1960="",$T1960=""),"",$T1960+(Y$2*$M1960))</f>
        <v/>
      </c>
      <c r="Z1960" s="49">
        <f>IF(OR($M1960="",$T1960=""),"",$T1960+(Z$2*$M1960))</f>
        <v/>
      </c>
      <c r="AA1960" s="51">
        <f>IF(OR($M1960="",$T1960=""),"",$T1960+(AA$2*$M1960))</f>
        <v/>
      </c>
      <c r="AB1960" s="48">
        <f>IF(OR($M1960="",$T1960=""),"",$T1960+(AB$2*$M1960))</f>
        <v/>
      </c>
      <c r="AC1960" s="48">
        <f>IF(OR($M1960="",$T1960=""),"",$T1960+(AC$2*$M1960))</f>
        <v/>
      </c>
      <c r="AD1960" s="48">
        <f>IF(OR($M1960="",$T1960=""),"",$T1960+(AD$2*$M1960))</f>
        <v/>
      </c>
      <c r="AE1960" s="49">
        <f>IF(OR($M1960="",$T1960=""),"",$T1960+(AE$2*$M1960))</f>
        <v/>
      </c>
      <c r="AF1960" s="52">
        <f>IF(OR(T1960="",I1960&lt;T1960),"",IFERROR(AVERAGE(T1960+M1960*{7,8,9,10,11})/IF(G1960="",I1960,G1960)-1,""))</f>
        <v/>
      </c>
      <c r="AG1960" s="55">
        <f>IF(OR(T1960="",I1960&lt;T1960),"",IFERROR(AF1960/-(R1960/IF(G1960="",I1960,G1960)-1),""))</f>
        <v/>
      </c>
      <c r="AH1960" s="94" t="n"/>
      <c r="AI1960" s="94" t="n"/>
      <c r="AJ1960" s="94" t="n"/>
      <c r="AK1960" s="94" t="n"/>
      <c r="AL1960" s="84" t="n"/>
    </row>
    <row r="1961">
      <c r="A1961" s="64" t="n"/>
      <c r="B1961" s="65" t="n"/>
      <c r="C1961" s="66" t="n"/>
      <c r="D1961" s="67" t="n"/>
      <c r="E1961" s="68" t="n"/>
      <c r="F1961" s="47">
        <f>IF(A1961="","",IF(MIN(H1961,MAX(J1961:K1961))=0,"",MIN(H1961,MAX(J1961:K1961))))</f>
        <v/>
      </c>
      <c r="G1961" s="74" t="n"/>
      <c r="H1961" s="49">
        <f>IF(M1961="","",IFERROR(ROUND(AVERAGE(T1961+M1961*{7,8,9,10,11})/1.21,4),""))</f>
        <v/>
      </c>
      <c r="I1961" s="76" t="n"/>
      <c r="J1961" s="77" t="n"/>
      <c r="K1961" s="74" t="n"/>
      <c r="L1961" s="78" t="n"/>
      <c r="M1961" s="77" t="n"/>
      <c r="N1961" s="53">
        <f>IF(M1961="","",IFERROR(M1961/I1961,""))</f>
        <v/>
      </c>
      <c r="O1961" s="50">
        <f>IF(A1961="","",IFERROR((IF(G1961="",I1961,G1961)-T1961)/M1961,""))</f>
        <v/>
      </c>
      <c r="P1961" s="50">
        <f>IFERROR((I1961/T1961-1)/N1961,"")</f>
        <v/>
      </c>
      <c r="Q1961" s="46">
        <f>IF(OR(T1961="",I1961&lt;T1961),"",IFERROR(R1961/IF(G1961="",I1961,G1961)-1,""))</f>
        <v/>
      </c>
      <c r="R1961" s="48">
        <f>IF($M1961="","",MAX(IF($G1961="",$I1961,$G1961)*(1/1.1),IF($G1961="",$I1961,$G1961)+(R$2*$M1961)))</f>
        <v/>
      </c>
      <c r="S1961" s="49">
        <f>IF($M1961="","",MAX(IF($G1961="",$I1961,$G1961)*(1/1.1),IF($G1961="",$I1961,$G1961)+(S$2*$M1961)))</f>
        <v/>
      </c>
      <c r="T1961" s="82" t="n"/>
      <c r="U1961" s="47">
        <f>IF(OR($M1961="",$T1961=""),"",$T1961+(U$2*$M1961))</f>
        <v/>
      </c>
      <c r="V1961" s="48">
        <f>IF(OR($M1961="",$T1961=""),"",$T1961+(V$2*$M1961))</f>
        <v/>
      </c>
      <c r="W1961" s="48">
        <f>IF(OR($M1961="",$T1961=""),"",$T1961+(W$2*$M1961))</f>
        <v/>
      </c>
      <c r="X1961" s="49">
        <f>IF(OR($M1961="",$T1961=""),"",$T1961+(X$2*$M1961))</f>
        <v/>
      </c>
      <c r="Y1961" s="47">
        <f>IF(OR($M1961="",$T1961=""),"",$T1961+(Y$2*$M1961))</f>
        <v/>
      </c>
      <c r="Z1961" s="49">
        <f>IF(OR($M1961="",$T1961=""),"",$T1961+(Z$2*$M1961))</f>
        <v/>
      </c>
      <c r="AA1961" s="51">
        <f>IF(OR($M1961="",$T1961=""),"",$T1961+(AA$2*$M1961))</f>
        <v/>
      </c>
      <c r="AB1961" s="48">
        <f>IF(OR($M1961="",$T1961=""),"",$T1961+(AB$2*$M1961))</f>
        <v/>
      </c>
      <c r="AC1961" s="48">
        <f>IF(OR($M1961="",$T1961=""),"",$T1961+(AC$2*$M1961))</f>
        <v/>
      </c>
      <c r="AD1961" s="48">
        <f>IF(OR($M1961="",$T1961=""),"",$T1961+(AD$2*$M1961))</f>
        <v/>
      </c>
      <c r="AE1961" s="49">
        <f>IF(OR($M1961="",$T1961=""),"",$T1961+(AE$2*$M1961))</f>
        <v/>
      </c>
      <c r="AF1961" s="52">
        <f>IF(OR(T1961="",I1961&lt;T1961),"",IFERROR(AVERAGE(T1961+M1961*{7,8,9,10,11})/IF(G1961="",I1961,G1961)-1,""))</f>
        <v/>
      </c>
      <c r="AG1961" s="55">
        <f>IF(OR(T1961="",I1961&lt;T1961),"",IFERROR(AF1961/-(R1961/IF(G1961="",I1961,G1961)-1),""))</f>
        <v/>
      </c>
      <c r="AH1961" s="94" t="n"/>
      <c r="AI1961" s="94" t="n"/>
      <c r="AJ1961" s="94" t="n"/>
      <c r="AK1961" s="94" t="n"/>
      <c r="AL1961" s="84" t="n"/>
    </row>
    <row r="1962">
      <c r="A1962" s="64" t="n"/>
      <c r="B1962" s="65" t="n"/>
      <c r="C1962" s="66" t="n"/>
      <c r="D1962" s="67" t="n"/>
      <c r="E1962" s="68" t="n"/>
      <c r="F1962" s="47">
        <f>IF(A1962="","",IF(MIN(H1962,MAX(J1962:K1962))=0,"",MIN(H1962,MAX(J1962:K1962))))</f>
        <v/>
      </c>
      <c r="G1962" s="74" t="n"/>
      <c r="H1962" s="49">
        <f>IF(M1962="","",IFERROR(ROUND(AVERAGE(T1962+M1962*{7,8,9,10,11})/1.21,4),""))</f>
        <v/>
      </c>
      <c r="I1962" s="76" t="n"/>
      <c r="J1962" s="77" t="n"/>
      <c r="K1962" s="74" t="n"/>
      <c r="L1962" s="78" t="n"/>
      <c r="M1962" s="77" t="n"/>
      <c r="N1962" s="53">
        <f>IF(M1962="","",IFERROR(M1962/I1962,""))</f>
        <v/>
      </c>
      <c r="O1962" s="50">
        <f>IF(A1962="","",IFERROR((IF(G1962="",I1962,G1962)-T1962)/M1962,""))</f>
        <v/>
      </c>
      <c r="P1962" s="50">
        <f>IFERROR((I1962/T1962-1)/N1962,"")</f>
        <v/>
      </c>
      <c r="Q1962" s="46">
        <f>IF(OR(T1962="",I1962&lt;T1962),"",IFERROR(R1962/IF(G1962="",I1962,G1962)-1,""))</f>
        <v/>
      </c>
      <c r="R1962" s="48">
        <f>IF($M1962="","",MAX(IF($G1962="",$I1962,$G1962)*(1/1.1),IF($G1962="",$I1962,$G1962)+(R$2*$M1962)))</f>
        <v/>
      </c>
      <c r="S1962" s="49">
        <f>IF($M1962="","",MAX(IF($G1962="",$I1962,$G1962)*(1/1.1),IF($G1962="",$I1962,$G1962)+(S$2*$M1962)))</f>
        <v/>
      </c>
      <c r="T1962" s="82" t="n"/>
      <c r="U1962" s="47">
        <f>IF(OR($M1962="",$T1962=""),"",$T1962+(U$2*$M1962))</f>
        <v/>
      </c>
      <c r="V1962" s="48">
        <f>IF(OR($M1962="",$T1962=""),"",$T1962+(V$2*$M1962))</f>
        <v/>
      </c>
      <c r="W1962" s="48">
        <f>IF(OR($M1962="",$T1962=""),"",$T1962+(W$2*$M1962))</f>
        <v/>
      </c>
      <c r="X1962" s="49">
        <f>IF(OR($M1962="",$T1962=""),"",$T1962+(X$2*$M1962))</f>
        <v/>
      </c>
      <c r="Y1962" s="47">
        <f>IF(OR($M1962="",$T1962=""),"",$T1962+(Y$2*$M1962))</f>
        <v/>
      </c>
      <c r="Z1962" s="49">
        <f>IF(OR($M1962="",$T1962=""),"",$T1962+(Z$2*$M1962))</f>
        <v/>
      </c>
      <c r="AA1962" s="51">
        <f>IF(OR($M1962="",$T1962=""),"",$T1962+(AA$2*$M1962))</f>
        <v/>
      </c>
      <c r="AB1962" s="48">
        <f>IF(OR($M1962="",$T1962=""),"",$T1962+(AB$2*$M1962))</f>
        <v/>
      </c>
      <c r="AC1962" s="48">
        <f>IF(OR($M1962="",$T1962=""),"",$T1962+(AC$2*$M1962))</f>
        <v/>
      </c>
      <c r="AD1962" s="48">
        <f>IF(OR($M1962="",$T1962=""),"",$T1962+(AD$2*$M1962))</f>
        <v/>
      </c>
      <c r="AE1962" s="49">
        <f>IF(OR($M1962="",$T1962=""),"",$T1962+(AE$2*$M1962))</f>
        <v/>
      </c>
      <c r="AF1962" s="52">
        <f>IF(OR(T1962="",I1962&lt;T1962),"",IFERROR(AVERAGE(T1962+M1962*{7,8,9,10,11})/IF(G1962="",I1962,G1962)-1,""))</f>
        <v/>
      </c>
      <c r="AG1962" s="55">
        <f>IF(OR(T1962="",I1962&lt;T1962),"",IFERROR(AF1962/-(R1962/IF(G1962="",I1962,G1962)-1),""))</f>
        <v/>
      </c>
      <c r="AH1962" s="94" t="n"/>
      <c r="AI1962" s="94" t="n"/>
      <c r="AJ1962" s="94" t="n"/>
      <c r="AK1962" s="94" t="n"/>
      <c r="AL1962" s="84" t="n"/>
    </row>
    <row r="1963">
      <c r="A1963" s="64" t="n"/>
      <c r="B1963" s="65" t="n"/>
      <c r="C1963" s="66" t="n"/>
      <c r="D1963" s="67" t="n"/>
      <c r="E1963" s="68" t="n"/>
      <c r="F1963" s="47">
        <f>IF(A1963="","",IF(MIN(H1963,MAX(J1963:K1963))=0,"",MIN(H1963,MAX(J1963:K1963))))</f>
        <v/>
      </c>
      <c r="G1963" s="74" t="n"/>
      <c r="H1963" s="49">
        <f>IF(M1963="","",IFERROR(ROUND(AVERAGE(T1963+M1963*{7,8,9,10,11})/1.21,4),""))</f>
        <v/>
      </c>
      <c r="I1963" s="76" t="n"/>
      <c r="J1963" s="77" t="n"/>
      <c r="K1963" s="74" t="n"/>
      <c r="L1963" s="78" t="n"/>
      <c r="M1963" s="77" t="n"/>
      <c r="N1963" s="53">
        <f>IF(M1963="","",IFERROR(M1963/I1963,""))</f>
        <v/>
      </c>
      <c r="O1963" s="50">
        <f>IF(A1963="","",IFERROR((IF(G1963="",I1963,G1963)-T1963)/M1963,""))</f>
        <v/>
      </c>
      <c r="P1963" s="50">
        <f>IFERROR((I1963/T1963-1)/N1963,"")</f>
        <v/>
      </c>
      <c r="Q1963" s="46">
        <f>IF(OR(T1963="",I1963&lt;T1963),"",IFERROR(R1963/IF(G1963="",I1963,G1963)-1,""))</f>
        <v/>
      </c>
      <c r="R1963" s="48">
        <f>IF($M1963="","",MAX(IF($G1963="",$I1963,$G1963)*(1/1.1),IF($G1963="",$I1963,$G1963)+(R$2*$M1963)))</f>
        <v/>
      </c>
      <c r="S1963" s="49">
        <f>IF($M1963="","",MAX(IF($G1963="",$I1963,$G1963)*(1/1.1),IF($G1963="",$I1963,$G1963)+(S$2*$M1963)))</f>
        <v/>
      </c>
      <c r="T1963" s="82" t="n"/>
      <c r="U1963" s="47">
        <f>IF(OR($M1963="",$T1963=""),"",$T1963+(U$2*$M1963))</f>
        <v/>
      </c>
      <c r="V1963" s="48">
        <f>IF(OR($M1963="",$T1963=""),"",$T1963+(V$2*$M1963))</f>
        <v/>
      </c>
      <c r="W1963" s="48">
        <f>IF(OR($M1963="",$T1963=""),"",$T1963+(W$2*$M1963))</f>
        <v/>
      </c>
      <c r="X1963" s="49">
        <f>IF(OR($M1963="",$T1963=""),"",$T1963+(X$2*$M1963))</f>
        <v/>
      </c>
      <c r="Y1963" s="47">
        <f>IF(OR($M1963="",$T1963=""),"",$T1963+(Y$2*$M1963))</f>
        <v/>
      </c>
      <c r="Z1963" s="49">
        <f>IF(OR($M1963="",$T1963=""),"",$T1963+(Z$2*$M1963))</f>
        <v/>
      </c>
      <c r="AA1963" s="51">
        <f>IF(OR($M1963="",$T1963=""),"",$T1963+(AA$2*$M1963))</f>
        <v/>
      </c>
      <c r="AB1963" s="48">
        <f>IF(OR($M1963="",$T1963=""),"",$T1963+(AB$2*$M1963))</f>
        <v/>
      </c>
      <c r="AC1963" s="48">
        <f>IF(OR($M1963="",$T1963=""),"",$T1963+(AC$2*$M1963))</f>
        <v/>
      </c>
      <c r="AD1963" s="48">
        <f>IF(OR($M1963="",$T1963=""),"",$T1963+(AD$2*$M1963))</f>
        <v/>
      </c>
      <c r="AE1963" s="49">
        <f>IF(OR($M1963="",$T1963=""),"",$T1963+(AE$2*$M1963))</f>
        <v/>
      </c>
      <c r="AF1963" s="52">
        <f>IF(OR(T1963="",I1963&lt;T1963),"",IFERROR(AVERAGE(T1963+M1963*{7,8,9,10,11})/IF(G1963="",I1963,G1963)-1,""))</f>
        <v/>
      </c>
      <c r="AG1963" s="55">
        <f>IF(OR(T1963="",I1963&lt;T1963),"",IFERROR(AF1963/-(R1963/IF(G1963="",I1963,G1963)-1),""))</f>
        <v/>
      </c>
      <c r="AH1963" s="94" t="n"/>
      <c r="AI1963" s="94" t="n"/>
      <c r="AJ1963" s="94" t="n"/>
      <c r="AK1963" s="94" t="n"/>
      <c r="AL1963" s="84" t="n"/>
    </row>
    <row r="1964">
      <c r="A1964" s="64" t="n"/>
      <c r="B1964" s="65" t="n"/>
      <c r="C1964" s="66" t="n"/>
      <c r="D1964" s="67" t="n"/>
      <c r="E1964" s="68" t="n"/>
      <c r="F1964" s="47">
        <f>IF(A1964="","",IF(MIN(H1964,MAX(J1964:K1964))=0,"",MIN(H1964,MAX(J1964:K1964))))</f>
        <v/>
      </c>
      <c r="G1964" s="74" t="n"/>
      <c r="H1964" s="49">
        <f>IF(M1964="","",IFERROR(ROUND(AVERAGE(T1964+M1964*{7,8,9,10,11})/1.21,4),""))</f>
        <v/>
      </c>
      <c r="I1964" s="76" t="n"/>
      <c r="J1964" s="77" t="n"/>
      <c r="K1964" s="74" t="n"/>
      <c r="L1964" s="78" t="n"/>
      <c r="M1964" s="77" t="n"/>
      <c r="N1964" s="53">
        <f>IF(M1964="","",IFERROR(M1964/I1964,""))</f>
        <v/>
      </c>
      <c r="O1964" s="50">
        <f>IF(A1964="","",IFERROR((IF(G1964="",I1964,G1964)-T1964)/M1964,""))</f>
        <v/>
      </c>
      <c r="P1964" s="50">
        <f>IFERROR((I1964/T1964-1)/N1964,"")</f>
        <v/>
      </c>
      <c r="Q1964" s="46">
        <f>IF(OR(T1964="",I1964&lt;T1964),"",IFERROR(R1964/IF(G1964="",I1964,G1964)-1,""))</f>
        <v/>
      </c>
      <c r="R1964" s="48">
        <f>IF($M1964="","",MAX(IF($G1964="",$I1964,$G1964)*(1/1.1),IF($G1964="",$I1964,$G1964)+(R$2*$M1964)))</f>
        <v/>
      </c>
      <c r="S1964" s="49">
        <f>IF($M1964="","",MAX(IF($G1964="",$I1964,$G1964)*(1/1.1),IF($G1964="",$I1964,$G1964)+(S$2*$M1964)))</f>
        <v/>
      </c>
      <c r="T1964" s="82" t="n"/>
      <c r="U1964" s="47">
        <f>IF(OR($M1964="",$T1964=""),"",$T1964+(U$2*$M1964))</f>
        <v/>
      </c>
      <c r="V1964" s="48">
        <f>IF(OR($M1964="",$T1964=""),"",$T1964+(V$2*$M1964))</f>
        <v/>
      </c>
      <c r="W1964" s="48">
        <f>IF(OR($M1964="",$T1964=""),"",$T1964+(W$2*$M1964))</f>
        <v/>
      </c>
      <c r="X1964" s="49">
        <f>IF(OR($M1964="",$T1964=""),"",$T1964+(X$2*$M1964))</f>
        <v/>
      </c>
      <c r="Y1964" s="47">
        <f>IF(OR($M1964="",$T1964=""),"",$T1964+(Y$2*$M1964))</f>
        <v/>
      </c>
      <c r="Z1964" s="49">
        <f>IF(OR($M1964="",$T1964=""),"",$T1964+(Z$2*$M1964))</f>
        <v/>
      </c>
      <c r="AA1964" s="51">
        <f>IF(OR($M1964="",$T1964=""),"",$T1964+(AA$2*$M1964))</f>
        <v/>
      </c>
      <c r="AB1964" s="48">
        <f>IF(OR($M1964="",$T1964=""),"",$T1964+(AB$2*$M1964))</f>
        <v/>
      </c>
      <c r="AC1964" s="48">
        <f>IF(OR($M1964="",$T1964=""),"",$T1964+(AC$2*$M1964))</f>
        <v/>
      </c>
      <c r="AD1964" s="48">
        <f>IF(OR($M1964="",$T1964=""),"",$T1964+(AD$2*$M1964))</f>
        <v/>
      </c>
      <c r="AE1964" s="49">
        <f>IF(OR($M1964="",$T1964=""),"",$T1964+(AE$2*$M1964))</f>
        <v/>
      </c>
      <c r="AF1964" s="52">
        <f>IF(OR(T1964="",I1964&lt;T1964),"",IFERROR(AVERAGE(T1964+M1964*{7,8,9,10,11})/IF(G1964="",I1964,G1964)-1,""))</f>
        <v/>
      </c>
      <c r="AG1964" s="55">
        <f>IF(OR(T1964="",I1964&lt;T1964),"",IFERROR(AF1964/-(R1964/IF(G1964="",I1964,G1964)-1),""))</f>
        <v/>
      </c>
      <c r="AH1964" s="94" t="n"/>
      <c r="AI1964" s="94" t="n"/>
      <c r="AJ1964" s="94" t="n"/>
      <c r="AK1964" s="94" t="n"/>
      <c r="AL1964" s="84" t="n"/>
    </row>
    <row r="1965">
      <c r="A1965" s="64" t="n"/>
      <c r="B1965" s="65" t="n"/>
      <c r="C1965" s="66" t="n"/>
      <c r="D1965" s="67" t="n"/>
      <c r="E1965" s="68" t="n"/>
      <c r="F1965" s="47">
        <f>IF(A1965="","",IF(MIN(H1965,MAX(J1965:K1965))=0,"",MIN(H1965,MAX(J1965:K1965))))</f>
        <v/>
      </c>
      <c r="G1965" s="74" t="n"/>
      <c r="H1965" s="49">
        <f>IF(M1965="","",IFERROR(ROUND(AVERAGE(T1965+M1965*{7,8,9,10,11})/1.21,4),""))</f>
        <v/>
      </c>
      <c r="I1965" s="76" t="n"/>
      <c r="J1965" s="77" t="n"/>
      <c r="K1965" s="74" t="n"/>
      <c r="L1965" s="78" t="n"/>
      <c r="M1965" s="77" t="n"/>
      <c r="N1965" s="53">
        <f>IF(M1965="","",IFERROR(M1965/I1965,""))</f>
        <v/>
      </c>
      <c r="O1965" s="50">
        <f>IF(A1965="","",IFERROR((IF(G1965="",I1965,G1965)-T1965)/M1965,""))</f>
        <v/>
      </c>
      <c r="P1965" s="50">
        <f>IFERROR((I1965/T1965-1)/N1965,"")</f>
        <v/>
      </c>
      <c r="Q1965" s="46">
        <f>IF(OR(T1965="",I1965&lt;T1965),"",IFERROR(R1965/IF(G1965="",I1965,G1965)-1,""))</f>
        <v/>
      </c>
      <c r="R1965" s="48">
        <f>IF($M1965="","",MAX(IF($G1965="",$I1965,$G1965)*(1/1.1),IF($G1965="",$I1965,$G1965)+(R$2*$M1965)))</f>
        <v/>
      </c>
      <c r="S1965" s="49">
        <f>IF($M1965="","",MAX(IF($G1965="",$I1965,$G1965)*(1/1.1),IF($G1965="",$I1965,$G1965)+(S$2*$M1965)))</f>
        <v/>
      </c>
      <c r="T1965" s="82" t="n"/>
      <c r="U1965" s="47">
        <f>IF(OR($M1965="",$T1965=""),"",$T1965+(U$2*$M1965))</f>
        <v/>
      </c>
      <c r="V1965" s="48">
        <f>IF(OR($M1965="",$T1965=""),"",$T1965+(V$2*$M1965))</f>
        <v/>
      </c>
      <c r="W1965" s="48">
        <f>IF(OR($M1965="",$T1965=""),"",$T1965+(W$2*$M1965))</f>
        <v/>
      </c>
      <c r="X1965" s="49">
        <f>IF(OR($M1965="",$T1965=""),"",$T1965+(X$2*$M1965))</f>
        <v/>
      </c>
      <c r="Y1965" s="47">
        <f>IF(OR($M1965="",$T1965=""),"",$T1965+(Y$2*$M1965))</f>
        <v/>
      </c>
      <c r="Z1965" s="49">
        <f>IF(OR($M1965="",$T1965=""),"",$T1965+(Z$2*$M1965))</f>
        <v/>
      </c>
      <c r="AA1965" s="51">
        <f>IF(OR($M1965="",$T1965=""),"",$T1965+(AA$2*$M1965))</f>
        <v/>
      </c>
      <c r="AB1965" s="48">
        <f>IF(OR($M1965="",$T1965=""),"",$T1965+(AB$2*$M1965))</f>
        <v/>
      </c>
      <c r="AC1965" s="48">
        <f>IF(OR($M1965="",$T1965=""),"",$T1965+(AC$2*$M1965))</f>
        <v/>
      </c>
      <c r="AD1965" s="48">
        <f>IF(OR($M1965="",$T1965=""),"",$T1965+(AD$2*$M1965))</f>
        <v/>
      </c>
      <c r="AE1965" s="49">
        <f>IF(OR($M1965="",$T1965=""),"",$T1965+(AE$2*$M1965))</f>
        <v/>
      </c>
      <c r="AF1965" s="52">
        <f>IF(OR(T1965="",I1965&lt;T1965),"",IFERROR(AVERAGE(T1965+M1965*{7,8,9,10,11})/IF(G1965="",I1965,G1965)-1,""))</f>
        <v/>
      </c>
      <c r="AG1965" s="55">
        <f>IF(OR(T1965="",I1965&lt;T1965),"",IFERROR(AF1965/-(R1965/IF(G1965="",I1965,G1965)-1),""))</f>
        <v/>
      </c>
      <c r="AH1965" s="94" t="n"/>
      <c r="AI1965" s="94" t="n"/>
      <c r="AJ1965" s="94" t="n"/>
      <c r="AK1965" s="94" t="n"/>
      <c r="AL1965" s="84" t="n"/>
    </row>
    <row r="1966">
      <c r="A1966" s="64" t="n"/>
      <c r="B1966" s="65" t="n"/>
      <c r="C1966" s="66" t="n"/>
      <c r="D1966" s="67" t="n"/>
      <c r="E1966" s="68" t="n"/>
      <c r="F1966" s="47">
        <f>IF(A1966="","",IF(MIN(H1966,MAX(J1966:K1966))=0,"",MIN(H1966,MAX(J1966:K1966))))</f>
        <v/>
      </c>
      <c r="G1966" s="74" t="n"/>
      <c r="H1966" s="49">
        <f>IF(M1966="","",IFERROR(ROUND(AVERAGE(T1966+M1966*{7,8,9,10,11})/1.21,4),""))</f>
        <v/>
      </c>
      <c r="I1966" s="76" t="n"/>
      <c r="J1966" s="77" t="n"/>
      <c r="K1966" s="74" t="n"/>
      <c r="L1966" s="78" t="n"/>
      <c r="M1966" s="77" t="n"/>
      <c r="N1966" s="53">
        <f>IF(M1966="","",IFERROR(M1966/I1966,""))</f>
        <v/>
      </c>
      <c r="O1966" s="50">
        <f>IF(A1966="","",IFERROR((IF(G1966="",I1966,G1966)-T1966)/M1966,""))</f>
        <v/>
      </c>
      <c r="P1966" s="50">
        <f>IFERROR((I1966/T1966-1)/N1966,"")</f>
        <v/>
      </c>
      <c r="Q1966" s="46">
        <f>IF(OR(T1966="",I1966&lt;T1966),"",IFERROR(R1966/IF(G1966="",I1966,G1966)-1,""))</f>
        <v/>
      </c>
      <c r="R1966" s="48">
        <f>IF($M1966="","",MAX(IF($G1966="",$I1966,$G1966)*(1/1.1),IF($G1966="",$I1966,$G1966)+(R$2*$M1966)))</f>
        <v/>
      </c>
      <c r="S1966" s="49">
        <f>IF($M1966="","",MAX(IF($G1966="",$I1966,$G1966)*(1/1.1),IF($G1966="",$I1966,$G1966)+(S$2*$M1966)))</f>
        <v/>
      </c>
      <c r="T1966" s="82" t="n"/>
      <c r="U1966" s="47">
        <f>IF(OR($M1966="",$T1966=""),"",$T1966+(U$2*$M1966))</f>
        <v/>
      </c>
      <c r="V1966" s="48">
        <f>IF(OR($M1966="",$T1966=""),"",$T1966+(V$2*$M1966))</f>
        <v/>
      </c>
      <c r="W1966" s="48">
        <f>IF(OR($M1966="",$T1966=""),"",$T1966+(W$2*$M1966))</f>
        <v/>
      </c>
      <c r="X1966" s="49">
        <f>IF(OR($M1966="",$T1966=""),"",$T1966+(X$2*$M1966))</f>
        <v/>
      </c>
      <c r="Y1966" s="47">
        <f>IF(OR($M1966="",$T1966=""),"",$T1966+(Y$2*$M1966))</f>
        <v/>
      </c>
      <c r="Z1966" s="49">
        <f>IF(OR($M1966="",$T1966=""),"",$T1966+(Z$2*$M1966))</f>
        <v/>
      </c>
      <c r="AA1966" s="51">
        <f>IF(OR($M1966="",$T1966=""),"",$T1966+(AA$2*$M1966))</f>
        <v/>
      </c>
      <c r="AB1966" s="48">
        <f>IF(OR($M1966="",$T1966=""),"",$T1966+(AB$2*$M1966))</f>
        <v/>
      </c>
      <c r="AC1966" s="48">
        <f>IF(OR($M1966="",$T1966=""),"",$T1966+(AC$2*$M1966))</f>
        <v/>
      </c>
      <c r="AD1966" s="48">
        <f>IF(OR($M1966="",$T1966=""),"",$T1966+(AD$2*$M1966))</f>
        <v/>
      </c>
      <c r="AE1966" s="49">
        <f>IF(OR($M1966="",$T1966=""),"",$T1966+(AE$2*$M1966))</f>
        <v/>
      </c>
      <c r="AF1966" s="52">
        <f>IF(OR(T1966="",I1966&lt;T1966),"",IFERROR(AVERAGE(T1966+M1966*{7,8,9,10,11})/IF(G1966="",I1966,G1966)-1,""))</f>
        <v/>
      </c>
      <c r="AG1966" s="55">
        <f>IF(OR(T1966="",I1966&lt;T1966),"",IFERROR(AF1966/-(R1966/IF(G1966="",I1966,G1966)-1),""))</f>
        <v/>
      </c>
      <c r="AH1966" s="94" t="n"/>
      <c r="AI1966" s="94" t="n"/>
      <c r="AJ1966" s="94" t="n"/>
      <c r="AK1966" s="94" t="n"/>
      <c r="AL1966" s="84" t="n"/>
    </row>
    <row r="1967">
      <c r="A1967" s="64" t="n"/>
      <c r="B1967" s="65" t="n"/>
      <c r="C1967" s="66" t="n"/>
      <c r="D1967" s="67" t="n"/>
      <c r="E1967" s="68" t="n"/>
      <c r="F1967" s="47">
        <f>IF(A1967="","",IF(MIN(H1967,MAX(J1967:K1967))=0,"",MIN(H1967,MAX(J1967:K1967))))</f>
        <v/>
      </c>
      <c r="G1967" s="74" t="n"/>
      <c r="H1967" s="49">
        <f>IF(M1967="","",IFERROR(ROUND(AVERAGE(T1967+M1967*{7,8,9,10,11})/1.21,4),""))</f>
        <v/>
      </c>
      <c r="I1967" s="76" t="n"/>
      <c r="J1967" s="77" t="n"/>
      <c r="K1967" s="74" t="n"/>
      <c r="L1967" s="78" t="n"/>
      <c r="M1967" s="77" t="n"/>
      <c r="N1967" s="53">
        <f>IF(M1967="","",IFERROR(M1967/I1967,""))</f>
        <v/>
      </c>
      <c r="O1967" s="50">
        <f>IF(A1967="","",IFERROR((IF(G1967="",I1967,G1967)-T1967)/M1967,""))</f>
        <v/>
      </c>
      <c r="P1967" s="50">
        <f>IFERROR((I1967/T1967-1)/N1967,"")</f>
        <v/>
      </c>
      <c r="Q1967" s="46">
        <f>IF(OR(T1967="",I1967&lt;T1967),"",IFERROR(R1967/IF(G1967="",I1967,G1967)-1,""))</f>
        <v/>
      </c>
      <c r="R1967" s="48">
        <f>IF($M1967="","",MAX(IF($G1967="",$I1967,$G1967)*(1/1.1),IF($G1967="",$I1967,$G1967)+(R$2*$M1967)))</f>
        <v/>
      </c>
      <c r="S1967" s="49">
        <f>IF($M1967="","",MAX(IF($G1967="",$I1967,$G1967)*(1/1.1),IF($G1967="",$I1967,$G1967)+(S$2*$M1967)))</f>
        <v/>
      </c>
      <c r="T1967" s="82" t="n"/>
      <c r="U1967" s="47">
        <f>IF(OR($M1967="",$T1967=""),"",$T1967+(U$2*$M1967))</f>
        <v/>
      </c>
      <c r="V1967" s="48">
        <f>IF(OR($M1967="",$T1967=""),"",$T1967+(V$2*$M1967))</f>
        <v/>
      </c>
      <c r="W1967" s="48">
        <f>IF(OR($M1967="",$T1967=""),"",$T1967+(W$2*$M1967))</f>
        <v/>
      </c>
      <c r="X1967" s="49">
        <f>IF(OR($M1967="",$T1967=""),"",$T1967+(X$2*$M1967))</f>
        <v/>
      </c>
      <c r="Y1967" s="47">
        <f>IF(OR($M1967="",$T1967=""),"",$T1967+(Y$2*$M1967))</f>
        <v/>
      </c>
      <c r="Z1967" s="49">
        <f>IF(OR($M1967="",$T1967=""),"",$T1967+(Z$2*$M1967))</f>
        <v/>
      </c>
      <c r="AA1967" s="51">
        <f>IF(OR($M1967="",$T1967=""),"",$T1967+(AA$2*$M1967))</f>
        <v/>
      </c>
      <c r="AB1967" s="48">
        <f>IF(OR($M1967="",$T1967=""),"",$T1967+(AB$2*$M1967))</f>
        <v/>
      </c>
      <c r="AC1967" s="48">
        <f>IF(OR($M1967="",$T1967=""),"",$T1967+(AC$2*$M1967))</f>
        <v/>
      </c>
      <c r="AD1967" s="48">
        <f>IF(OR($M1967="",$T1967=""),"",$T1967+(AD$2*$M1967))</f>
        <v/>
      </c>
      <c r="AE1967" s="49">
        <f>IF(OR($M1967="",$T1967=""),"",$T1967+(AE$2*$M1967))</f>
        <v/>
      </c>
      <c r="AF1967" s="52">
        <f>IF(OR(T1967="",I1967&lt;T1967),"",IFERROR(AVERAGE(T1967+M1967*{7,8,9,10,11})/IF(G1967="",I1967,G1967)-1,""))</f>
        <v/>
      </c>
      <c r="AG1967" s="55">
        <f>IF(OR(T1967="",I1967&lt;T1967),"",IFERROR(AF1967/-(R1967/IF(G1967="",I1967,G1967)-1),""))</f>
        <v/>
      </c>
      <c r="AH1967" s="94" t="n"/>
      <c r="AI1967" s="94" t="n"/>
      <c r="AJ1967" s="94" t="n"/>
      <c r="AK1967" s="94" t="n"/>
      <c r="AL1967" s="84" t="n"/>
    </row>
    <row r="1968">
      <c r="A1968" s="64" t="n"/>
      <c r="B1968" s="65" t="n"/>
      <c r="C1968" s="66" t="n"/>
      <c r="D1968" s="67" t="n"/>
      <c r="E1968" s="68" t="n"/>
      <c r="F1968" s="47">
        <f>IF(A1968="","",IF(MIN(H1968,MAX(J1968:K1968))=0,"",MIN(H1968,MAX(J1968:K1968))))</f>
        <v/>
      </c>
      <c r="G1968" s="74" t="n"/>
      <c r="H1968" s="49">
        <f>IF(M1968="","",IFERROR(ROUND(AVERAGE(T1968+M1968*{7,8,9,10,11})/1.21,4),""))</f>
        <v/>
      </c>
      <c r="I1968" s="76" t="n"/>
      <c r="J1968" s="77" t="n"/>
      <c r="K1968" s="74" t="n"/>
      <c r="L1968" s="78" t="n"/>
      <c r="M1968" s="77" t="n"/>
      <c r="N1968" s="53">
        <f>IF(M1968="","",IFERROR(M1968/I1968,""))</f>
        <v/>
      </c>
      <c r="O1968" s="50">
        <f>IF(A1968="","",IFERROR((IF(G1968="",I1968,G1968)-T1968)/M1968,""))</f>
        <v/>
      </c>
      <c r="P1968" s="50">
        <f>IFERROR((I1968/T1968-1)/N1968,"")</f>
        <v/>
      </c>
      <c r="Q1968" s="46">
        <f>IF(OR(T1968="",I1968&lt;T1968),"",IFERROR(R1968/IF(G1968="",I1968,G1968)-1,""))</f>
        <v/>
      </c>
      <c r="R1968" s="48">
        <f>IF($M1968="","",MAX(IF($G1968="",$I1968,$G1968)*(1/1.1),IF($G1968="",$I1968,$G1968)+(R$2*$M1968)))</f>
        <v/>
      </c>
      <c r="S1968" s="49">
        <f>IF($M1968="","",MAX(IF($G1968="",$I1968,$G1968)*(1/1.1),IF($G1968="",$I1968,$G1968)+(S$2*$M1968)))</f>
        <v/>
      </c>
      <c r="T1968" s="82" t="n"/>
      <c r="U1968" s="47">
        <f>IF(OR($M1968="",$T1968=""),"",$T1968+(U$2*$M1968))</f>
        <v/>
      </c>
      <c r="V1968" s="48">
        <f>IF(OR($M1968="",$T1968=""),"",$T1968+(V$2*$M1968))</f>
        <v/>
      </c>
      <c r="W1968" s="48">
        <f>IF(OR($M1968="",$T1968=""),"",$T1968+(W$2*$M1968))</f>
        <v/>
      </c>
      <c r="X1968" s="49">
        <f>IF(OR($M1968="",$T1968=""),"",$T1968+(X$2*$M1968))</f>
        <v/>
      </c>
      <c r="Y1968" s="47">
        <f>IF(OR($M1968="",$T1968=""),"",$T1968+(Y$2*$M1968))</f>
        <v/>
      </c>
      <c r="Z1968" s="49">
        <f>IF(OR($M1968="",$T1968=""),"",$T1968+(Z$2*$M1968))</f>
        <v/>
      </c>
      <c r="AA1968" s="51">
        <f>IF(OR($M1968="",$T1968=""),"",$T1968+(AA$2*$M1968))</f>
        <v/>
      </c>
      <c r="AB1968" s="48">
        <f>IF(OR($M1968="",$T1968=""),"",$T1968+(AB$2*$M1968))</f>
        <v/>
      </c>
      <c r="AC1968" s="48">
        <f>IF(OR($M1968="",$T1968=""),"",$T1968+(AC$2*$M1968))</f>
        <v/>
      </c>
      <c r="AD1968" s="48">
        <f>IF(OR($M1968="",$T1968=""),"",$T1968+(AD$2*$M1968))</f>
        <v/>
      </c>
      <c r="AE1968" s="49">
        <f>IF(OR($M1968="",$T1968=""),"",$T1968+(AE$2*$M1968))</f>
        <v/>
      </c>
      <c r="AF1968" s="52">
        <f>IF(OR(T1968="",I1968&lt;T1968),"",IFERROR(AVERAGE(T1968+M1968*{7,8,9,10,11})/IF(G1968="",I1968,G1968)-1,""))</f>
        <v/>
      </c>
      <c r="AG1968" s="55">
        <f>IF(OR(T1968="",I1968&lt;T1968),"",IFERROR(AF1968/-(R1968/IF(G1968="",I1968,G1968)-1),""))</f>
        <v/>
      </c>
      <c r="AH1968" s="94" t="n"/>
      <c r="AI1968" s="94" t="n"/>
      <c r="AJ1968" s="94" t="n"/>
      <c r="AK1968" s="94" t="n"/>
      <c r="AL1968" s="84" t="n"/>
    </row>
    <row r="1969">
      <c r="A1969" s="64" t="n"/>
      <c r="B1969" s="65" t="n"/>
      <c r="C1969" s="66" t="n"/>
      <c r="D1969" s="67" t="n"/>
      <c r="E1969" s="68" t="n"/>
      <c r="F1969" s="47">
        <f>IF(A1969="","",IF(MIN(H1969,MAX(J1969:K1969))=0,"",MIN(H1969,MAX(J1969:K1969))))</f>
        <v/>
      </c>
      <c r="G1969" s="74" t="n"/>
      <c r="H1969" s="49">
        <f>IF(M1969="","",IFERROR(ROUND(AVERAGE(T1969+M1969*{7,8,9,10,11})/1.21,4),""))</f>
        <v/>
      </c>
      <c r="I1969" s="76" t="n"/>
      <c r="J1969" s="77" t="n"/>
      <c r="K1969" s="74" t="n"/>
      <c r="L1969" s="78" t="n"/>
      <c r="M1969" s="77" t="n"/>
      <c r="N1969" s="53">
        <f>IF(M1969="","",IFERROR(M1969/I1969,""))</f>
        <v/>
      </c>
      <c r="O1969" s="50">
        <f>IF(A1969="","",IFERROR((IF(G1969="",I1969,G1969)-T1969)/M1969,""))</f>
        <v/>
      </c>
      <c r="P1969" s="50">
        <f>IFERROR((I1969/T1969-1)/N1969,"")</f>
        <v/>
      </c>
      <c r="Q1969" s="46">
        <f>IF(OR(T1969="",I1969&lt;T1969),"",IFERROR(R1969/IF(G1969="",I1969,G1969)-1,""))</f>
        <v/>
      </c>
      <c r="R1969" s="48">
        <f>IF($M1969="","",MAX(IF($G1969="",$I1969,$G1969)*(1/1.1),IF($G1969="",$I1969,$G1969)+(R$2*$M1969)))</f>
        <v/>
      </c>
      <c r="S1969" s="49">
        <f>IF($M1969="","",MAX(IF($G1969="",$I1969,$G1969)*(1/1.1),IF($G1969="",$I1969,$G1969)+(S$2*$M1969)))</f>
        <v/>
      </c>
      <c r="T1969" s="82" t="n"/>
      <c r="U1969" s="47">
        <f>IF(OR($M1969="",$T1969=""),"",$T1969+(U$2*$M1969))</f>
        <v/>
      </c>
      <c r="V1969" s="48">
        <f>IF(OR($M1969="",$T1969=""),"",$T1969+(V$2*$M1969))</f>
        <v/>
      </c>
      <c r="W1969" s="48">
        <f>IF(OR($M1969="",$T1969=""),"",$T1969+(W$2*$M1969))</f>
        <v/>
      </c>
      <c r="X1969" s="49">
        <f>IF(OR($M1969="",$T1969=""),"",$T1969+(X$2*$M1969))</f>
        <v/>
      </c>
      <c r="Y1969" s="47">
        <f>IF(OR($M1969="",$T1969=""),"",$T1969+(Y$2*$M1969))</f>
        <v/>
      </c>
      <c r="Z1969" s="49">
        <f>IF(OR($M1969="",$T1969=""),"",$T1969+(Z$2*$M1969))</f>
        <v/>
      </c>
      <c r="AA1969" s="51">
        <f>IF(OR($M1969="",$T1969=""),"",$T1969+(AA$2*$M1969))</f>
        <v/>
      </c>
      <c r="AB1969" s="48">
        <f>IF(OR($M1969="",$T1969=""),"",$T1969+(AB$2*$M1969))</f>
        <v/>
      </c>
      <c r="AC1969" s="48">
        <f>IF(OR($M1969="",$T1969=""),"",$T1969+(AC$2*$M1969))</f>
        <v/>
      </c>
      <c r="AD1969" s="48">
        <f>IF(OR($M1969="",$T1969=""),"",$T1969+(AD$2*$M1969))</f>
        <v/>
      </c>
      <c r="AE1969" s="49">
        <f>IF(OR($M1969="",$T1969=""),"",$T1969+(AE$2*$M1969))</f>
        <v/>
      </c>
      <c r="AF1969" s="52">
        <f>IF(OR(T1969="",I1969&lt;T1969),"",IFERROR(AVERAGE(T1969+M1969*{7,8,9,10,11})/IF(G1969="",I1969,G1969)-1,""))</f>
        <v/>
      </c>
      <c r="AG1969" s="55">
        <f>IF(OR(T1969="",I1969&lt;T1969),"",IFERROR(AF1969/-(R1969/IF(G1969="",I1969,G1969)-1),""))</f>
        <v/>
      </c>
      <c r="AH1969" s="94" t="n"/>
      <c r="AI1969" s="94" t="n"/>
      <c r="AJ1969" s="94" t="n"/>
      <c r="AK1969" s="94" t="n"/>
      <c r="AL1969" s="84" t="n"/>
    </row>
    <row r="1970">
      <c r="A1970" s="64" t="n"/>
      <c r="B1970" s="65" t="n"/>
      <c r="C1970" s="66" t="n"/>
      <c r="D1970" s="67" t="n"/>
      <c r="E1970" s="68" t="n"/>
      <c r="F1970" s="47">
        <f>IF(A1970="","",IF(MIN(H1970,MAX(J1970:K1970))=0,"",MIN(H1970,MAX(J1970:K1970))))</f>
        <v/>
      </c>
      <c r="G1970" s="74" t="n"/>
      <c r="H1970" s="49">
        <f>IF(M1970="","",IFERROR(ROUND(AVERAGE(T1970+M1970*{7,8,9,10,11})/1.21,4),""))</f>
        <v/>
      </c>
      <c r="I1970" s="76" t="n"/>
      <c r="J1970" s="77" t="n"/>
      <c r="K1970" s="74" t="n"/>
      <c r="L1970" s="78" t="n"/>
      <c r="M1970" s="77" t="n"/>
      <c r="N1970" s="53">
        <f>IF(M1970="","",IFERROR(M1970/I1970,""))</f>
        <v/>
      </c>
      <c r="O1970" s="50">
        <f>IF(A1970="","",IFERROR((IF(G1970="",I1970,G1970)-T1970)/M1970,""))</f>
        <v/>
      </c>
      <c r="P1970" s="50">
        <f>IFERROR((I1970/T1970-1)/N1970,"")</f>
        <v/>
      </c>
      <c r="Q1970" s="46">
        <f>IF(OR(T1970="",I1970&lt;T1970),"",IFERROR(R1970/IF(G1970="",I1970,G1970)-1,""))</f>
        <v/>
      </c>
      <c r="R1970" s="48">
        <f>IF($M1970="","",MAX(IF($G1970="",$I1970,$G1970)*(1/1.1),IF($G1970="",$I1970,$G1970)+(R$2*$M1970)))</f>
        <v/>
      </c>
      <c r="S1970" s="49">
        <f>IF($M1970="","",MAX(IF($G1970="",$I1970,$G1970)*(1/1.1),IF($G1970="",$I1970,$G1970)+(S$2*$M1970)))</f>
        <v/>
      </c>
      <c r="T1970" s="82" t="n"/>
      <c r="U1970" s="47">
        <f>IF(OR($M1970="",$T1970=""),"",$T1970+(U$2*$M1970))</f>
        <v/>
      </c>
      <c r="V1970" s="48">
        <f>IF(OR($M1970="",$T1970=""),"",$T1970+(V$2*$M1970))</f>
        <v/>
      </c>
      <c r="W1970" s="48">
        <f>IF(OR($M1970="",$T1970=""),"",$T1970+(W$2*$M1970))</f>
        <v/>
      </c>
      <c r="X1970" s="49">
        <f>IF(OR($M1970="",$T1970=""),"",$T1970+(X$2*$M1970))</f>
        <v/>
      </c>
      <c r="Y1970" s="47">
        <f>IF(OR($M1970="",$T1970=""),"",$T1970+(Y$2*$M1970))</f>
        <v/>
      </c>
      <c r="Z1970" s="49">
        <f>IF(OR($M1970="",$T1970=""),"",$T1970+(Z$2*$M1970))</f>
        <v/>
      </c>
      <c r="AA1970" s="51">
        <f>IF(OR($M1970="",$T1970=""),"",$T1970+(AA$2*$M1970))</f>
        <v/>
      </c>
      <c r="AB1970" s="48">
        <f>IF(OR($M1970="",$T1970=""),"",$T1970+(AB$2*$M1970))</f>
        <v/>
      </c>
      <c r="AC1970" s="48">
        <f>IF(OR($M1970="",$T1970=""),"",$T1970+(AC$2*$M1970))</f>
        <v/>
      </c>
      <c r="AD1970" s="48">
        <f>IF(OR($M1970="",$T1970=""),"",$T1970+(AD$2*$M1970))</f>
        <v/>
      </c>
      <c r="AE1970" s="49">
        <f>IF(OR($M1970="",$T1970=""),"",$T1970+(AE$2*$M1970))</f>
        <v/>
      </c>
      <c r="AF1970" s="52">
        <f>IF(OR(T1970="",I1970&lt;T1970),"",IFERROR(AVERAGE(T1970+M1970*{7,8,9,10,11})/IF(G1970="",I1970,G1970)-1,""))</f>
        <v/>
      </c>
      <c r="AG1970" s="55">
        <f>IF(OR(T1970="",I1970&lt;T1970),"",IFERROR(AF1970/-(R1970/IF(G1970="",I1970,G1970)-1),""))</f>
        <v/>
      </c>
      <c r="AH1970" s="94" t="n"/>
      <c r="AI1970" s="94" t="n"/>
      <c r="AJ1970" s="94" t="n"/>
      <c r="AK1970" s="94" t="n"/>
      <c r="AL1970" s="84" t="n"/>
    </row>
    <row r="1971">
      <c r="A1971" s="64" t="n"/>
      <c r="B1971" s="65" t="n"/>
      <c r="C1971" s="66" t="n"/>
      <c r="D1971" s="67" t="n"/>
      <c r="E1971" s="68" t="n"/>
      <c r="F1971" s="47">
        <f>IF(A1971="","",IF(MIN(H1971,MAX(J1971:K1971))=0,"",MIN(H1971,MAX(J1971:K1971))))</f>
        <v/>
      </c>
      <c r="G1971" s="74" t="n"/>
      <c r="H1971" s="49">
        <f>IF(M1971="","",IFERROR(ROUND(AVERAGE(T1971+M1971*{7,8,9,10,11})/1.21,4),""))</f>
        <v/>
      </c>
      <c r="I1971" s="76" t="n"/>
      <c r="J1971" s="77" t="n"/>
      <c r="K1971" s="74" t="n"/>
      <c r="L1971" s="78" t="n"/>
      <c r="M1971" s="77" t="n"/>
      <c r="N1971" s="53">
        <f>IF(M1971="","",IFERROR(M1971/I1971,""))</f>
        <v/>
      </c>
      <c r="O1971" s="50">
        <f>IF(A1971="","",IFERROR((IF(G1971="",I1971,G1971)-T1971)/M1971,""))</f>
        <v/>
      </c>
      <c r="P1971" s="50">
        <f>IFERROR((I1971/T1971-1)/N1971,"")</f>
        <v/>
      </c>
      <c r="Q1971" s="46">
        <f>IF(OR(T1971="",I1971&lt;T1971),"",IFERROR(R1971/IF(G1971="",I1971,G1971)-1,""))</f>
        <v/>
      </c>
      <c r="R1971" s="48">
        <f>IF($M1971="","",MAX(IF($G1971="",$I1971,$G1971)*(1/1.1),IF($G1971="",$I1971,$G1971)+(R$2*$M1971)))</f>
        <v/>
      </c>
      <c r="S1971" s="49">
        <f>IF($M1971="","",MAX(IF($G1971="",$I1971,$G1971)*(1/1.1),IF($G1971="",$I1971,$G1971)+(S$2*$M1971)))</f>
        <v/>
      </c>
      <c r="T1971" s="82" t="n"/>
      <c r="U1971" s="47">
        <f>IF(OR($M1971="",$T1971=""),"",$T1971+(U$2*$M1971))</f>
        <v/>
      </c>
      <c r="V1971" s="48">
        <f>IF(OR($M1971="",$T1971=""),"",$T1971+(V$2*$M1971))</f>
        <v/>
      </c>
      <c r="W1971" s="48">
        <f>IF(OR($M1971="",$T1971=""),"",$T1971+(W$2*$M1971))</f>
        <v/>
      </c>
      <c r="X1971" s="49">
        <f>IF(OR($M1971="",$T1971=""),"",$T1971+(X$2*$M1971))</f>
        <v/>
      </c>
      <c r="Y1971" s="47">
        <f>IF(OR($M1971="",$T1971=""),"",$T1971+(Y$2*$M1971))</f>
        <v/>
      </c>
      <c r="Z1971" s="49">
        <f>IF(OR($M1971="",$T1971=""),"",$T1971+(Z$2*$M1971))</f>
        <v/>
      </c>
      <c r="AA1971" s="51">
        <f>IF(OR($M1971="",$T1971=""),"",$T1971+(AA$2*$M1971))</f>
        <v/>
      </c>
      <c r="AB1971" s="48">
        <f>IF(OR($M1971="",$T1971=""),"",$T1971+(AB$2*$M1971))</f>
        <v/>
      </c>
      <c r="AC1971" s="48">
        <f>IF(OR($M1971="",$T1971=""),"",$T1971+(AC$2*$M1971))</f>
        <v/>
      </c>
      <c r="AD1971" s="48">
        <f>IF(OR($M1971="",$T1971=""),"",$T1971+(AD$2*$M1971))</f>
        <v/>
      </c>
      <c r="AE1971" s="49">
        <f>IF(OR($M1971="",$T1971=""),"",$T1971+(AE$2*$M1971))</f>
        <v/>
      </c>
      <c r="AF1971" s="52">
        <f>IF(OR(T1971="",I1971&lt;T1971),"",IFERROR(AVERAGE(T1971+M1971*{7,8,9,10,11})/IF(G1971="",I1971,G1971)-1,""))</f>
        <v/>
      </c>
      <c r="AG1971" s="55">
        <f>IF(OR(T1971="",I1971&lt;T1971),"",IFERROR(AF1971/-(R1971/IF(G1971="",I1971,G1971)-1),""))</f>
        <v/>
      </c>
      <c r="AH1971" s="94" t="n"/>
      <c r="AI1971" s="94" t="n"/>
      <c r="AJ1971" s="94" t="n"/>
      <c r="AK1971" s="94" t="n"/>
      <c r="AL1971" s="84" t="n"/>
    </row>
    <row r="1972">
      <c r="A1972" s="64" t="n"/>
      <c r="B1972" s="65" t="n"/>
      <c r="C1972" s="66" t="n"/>
      <c r="D1972" s="67" t="n"/>
      <c r="E1972" s="68" t="n"/>
      <c r="F1972" s="47">
        <f>IF(A1972="","",IF(MIN(H1972,MAX(J1972:K1972))=0,"",MIN(H1972,MAX(J1972:K1972))))</f>
        <v/>
      </c>
      <c r="G1972" s="74" t="n"/>
      <c r="H1972" s="49">
        <f>IF(M1972="","",IFERROR(ROUND(AVERAGE(T1972+M1972*{7,8,9,10,11})/1.21,4),""))</f>
        <v/>
      </c>
      <c r="I1972" s="76" t="n"/>
      <c r="J1972" s="77" t="n"/>
      <c r="K1972" s="74" t="n"/>
      <c r="L1972" s="78" t="n"/>
      <c r="M1972" s="77" t="n"/>
      <c r="N1972" s="53">
        <f>IF(M1972="","",IFERROR(M1972/I1972,""))</f>
        <v/>
      </c>
      <c r="O1972" s="50">
        <f>IF(A1972="","",IFERROR((IF(G1972="",I1972,G1972)-T1972)/M1972,""))</f>
        <v/>
      </c>
      <c r="P1972" s="50">
        <f>IFERROR((I1972/T1972-1)/N1972,"")</f>
        <v/>
      </c>
      <c r="Q1972" s="46">
        <f>IF(OR(T1972="",I1972&lt;T1972),"",IFERROR(R1972/IF(G1972="",I1972,G1972)-1,""))</f>
        <v/>
      </c>
      <c r="R1972" s="48">
        <f>IF($M1972="","",MAX(IF($G1972="",$I1972,$G1972)*(1/1.1),IF($G1972="",$I1972,$G1972)+(R$2*$M1972)))</f>
        <v/>
      </c>
      <c r="S1972" s="49">
        <f>IF($M1972="","",MAX(IF($G1972="",$I1972,$G1972)*(1/1.1),IF($G1972="",$I1972,$G1972)+(S$2*$M1972)))</f>
        <v/>
      </c>
      <c r="T1972" s="82" t="n"/>
      <c r="U1972" s="47">
        <f>IF(OR($M1972="",$T1972=""),"",$T1972+(U$2*$M1972))</f>
        <v/>
      </c>
      <c r="V1972" s="48">
        <f>IF(OR($M1972="",$T1972=""),"",$T1972+(V$2*$M1972))</f>
        <v/>
      </c>
      <c r="W1972" s="48">
        <f>IF(OR($M1972="",$T1972=""),"",$T1972+(W$2*$M1972))</f>
        <v/>
      </c>
      <c r="X1972" s="49">
        <f>IF(OR($M1972="",$T1972=""),"",$T1972+(X$2*$M1972))</f>
        <v/>
      </c>
      <c r="Y1972" s="47">
        <f>IF(OR($M1972="",$T1972=""),"",$T1972+(Y$2*$M1972))</f>
        <v/>
      </c>
      <c r="Z1972" s="49">
        <f>IF(OR($M1972="",$T1972=""),"",$T1972+(Z$2*$M1972))</f>
        <v/>
      </c>
      <c r="AA1972" s="51">
        <f>IF(OR($M1972="",$T1972=""),"",$T1972+(AA$2*$M1972))</f>
        <v/>
      </c>
      <c r="AB1972" s="48">
        <f>IF(OR($M1972="",$T1972=""),"",$T1972+(AB$2*$M1972))</f>
        <v/>
      </c>
      <c r="AC1972" s="48">
        <f>IF(OR($M1972="",$T1972=""),"",$T1972+(AC$2*$M1972))</f>
        <v/>
      </c>
      <c r="AD1972" s="48">
        <f>IF(OR($M1972="",$T1972=""),"",$T1972+(AD$2*$M1972))</f>
        <v/>
      </c>
      <c r="AE1972" s="49">
        <f>IF(OR($M1972="",$T1972=""),"",$T1972+(AE$2*$M1972))</f>
        <v/>
      </c>
      <c r="AF1972" s="52">
        <f>IF(OR(T1972="",I1972&lt;T1972),"",IFERROR(AVERAGE(T1972+M1972*{7,8,9,10,11})/IF(G1972="",I1972,G1972)-1,""))</f>
        <v/>
      </c>
      <c r="AG1972" s="55">
        <f>IF(OR(T1972="",I1972&lt;T1972),"",IFERROR(AF1972/-(R1972/IF(G1972="",I1972,G1972)-1),""))</f>
        <v/>
      </c>
      <c r="AH1972" s="94" t="n"/>
      <c r="AI1972" s="94" t="n"/>
      <c r="AJ1972" s="94" t="n"/>
      <c r="AK1972" s="94" t="n"/>
      <c r="AL1972" s="84" t="n"/>
    </row>
    <row r="1973">
      <c r="A1973" s="64" t="n"/>
      <c r="B1973" s="65" t="n"/>
      <c r="C1973" s="66" t="n"/>
      <c r="D1973" s="67" t="n"/>
      <c r="E1973" s="68" t="n"/>
      <c r="F1973" s="47">
        <f>IF(A1973="","",IF(MIN(H1973,MAX(J1973:K1973))=0,"",MIN(H1973,MAX(J1973:K1973))))</f>
        <v/>
      </c>
      <c r="G1973" s="74" t="n"/>
      <c r="H1973" s="49">
        <f>IF(M1973="","",IFERROR(ROUND(AVERAGE(T1973+M1973*{7,8,9,10,11})/1.21,4),""))</f>
        <v/>
      </c>
      <c r="I1973" s="76" t="n"/>
      <c r="J1973" s="77" t="n"/>
      <c r="K1973" s="74" t="n"/>
      <c r="L1973" s="78" t="n"/>
      <c r="M1973" s="77" t="n"/>
      <c r="N1973" s="53">
        <f>IF(M1973="","",IFERROR(M1973/I1973,""))</f>
        <v/>
      </c>
      <c r="O1973" s="50">
        <f>IF(A1973="","",IFERROR((IF(G1973="",I1973,G1973)-T1973)/M1973,""))</f>
        <v/>
      </c>
      <c r="P1973" s="50">
        <f>IFERROR((I1973/T1973-1)/N1973,"")</f>
        <v/>
      </c>
      <c r="Q1973" s="46">
        <f>IF(OR(T1973="",I1973&lt;T1973),"",IFERROR(R1973/IF(G1973="",I1973,G1973)-1,""))</f>
        <v/>
      </c>
      <c r="R1973" s="48">
        <f>IF($M1973="","",MAX(IF($G1973="",$I1973,$G1973)*(1/1.1),IF($G1973="",$I1973,$G1973)+(R$2*$M1973)))</f>
        <v/>
      </c>
      <c r="S1973" s="49">
        <f>IF($M1973="","",MAX(IF($G1973="",$I1973,$G1973)*(1/1.1),IF($G1973="",$I1973,$G1973)+(S$2*$M1973)))</f>
        <v/>
      </c>
      <c r="T1973" s="82" t="n"/>
      <c r="U1973" s="47">
        <f>IF(OR($M1973="",$T1973=""),"",$T1973+(U$2*$M1973))</f>
        <v/>
      </c>
      <c r="V1973" s="48">
        <f>IF(OR($M1973="",$T1973=""),"",$T1973+(V$2*$M1973))</f>
        <v/>
      </c>
      <c r="W1973" s="48">
        <f>IF(OR($M1973="",$T1973=""),"",$T1973+(W$2*$M1973))</f>
        <v/>
      </c>
      <c r="X1973" s="49">
        <f>IF(OR($M1973="",$T1973=""),"",$T1973+(X$2*$M1973))</f>
        <v/>
      </c>
      <c r="Y1973" s="47">
        <f>IF(OR($M1973="",$T1973=""),"",$T1973+(Y$2*$M1973))</f>
        <v/>
      </c>
      <c r="Z1973" s="49">
        <f>IF(OR($M1973="",$T1973=""),"",$T1973+(Z$2*$M1973))</f>
        <v/>
      </c>
      <c r="AA1973" s="51">
        <f>IF(OR($M1973="",$T1973=""),"",$T1973+(AA$2*$M1973))</f>
        <v/>
      </c>
      <c r="AB1973" s="48">
        <f>IF(OR($M1973="",$T1973=""),"",$T1973+(AB$2*$M1973))</f>
        <v/>
      </c>
      <c r="AC1973" s="48">
        <f>IF(OR($M1973="",$T1973=""),"",$T1973+(AC$2*$M1973))</f>
        <v/>
      </c>
      <c r="AD1973" s="48">
        <f>IF(OR($M1973="",$T1973=""),"",$T1973+(AD$2*$M1973))</f>
        <v/>
      </c>
      <c r="AE1973" s="49">
        <f>IF(OR($M1973="",$T1973=""),"",$T1973+(AE$2*$M1973))</f>
        <v/>
      </c>
      <c r="AF1973" s="52">
        <f>IF(OR(T1973="",I1973&lt;T1973),"",IFERROR(AVERAGE(T1973+M1973*{7,8,9,10,11})/IF(G1973="",I1973,G1973)-1,""))</f>
        <v/>
      </c>
      <c r="AG1973" s="55">
        <f>IF(OR(T1973="",I1973&lt;T1973),"",IFERROR(AF1973/-(R1973/IF(G1973="",I1973,G1973)-1),""))</f>
        <v/>
      </c>
      <c r="AH1973" s="94" t="n"/>
      <c r="AI1973" s="94" t="n"/>
      <c r="AJ1973" s="94" t="n"/>
      <c r="AK1973" s="94" t="n"/>
      <c r="AL1973" s="84" t="n"/>
    </row>
    <row r="1974">
      <c r="A1974" s="64" t="n"/>
      <c r="B1974" s="65" t="n"/>
      <c r="C1974" s="66" t="n"/>
      <c r="D1974" s="67" t="n"/>
      <c r="E1974" s="68" t="n"/>
      <c r="F1974" s="47">
        <f>IF(A1974="","",IF(MIN(H1974,MAX(J1974:K1974))=0,"",MIN(H1974,MAX(J1974:K1974))))</f>
        <v/>
      </c>
      <c r="G1974" s="74" t="n"/>
      <c r="H1974" s="49">
        <f>IF(M1974="","",IFERROR(ROUND(AVERAGE(T1974+M1974*{7,8,9,10,11})/1.21,4),""))</f>
        <v/>
      </c>
      <c r="I1974" s="76" t="n"/>
      <c r="J1974" s="77" t="n"/>
      <c r="K1974" s="74" t="n"/>
      <c r="L1974" s="78" t="n"/>
      <c r="M1974" s="77" t="n"/>
      <c r="N1974" s="53">
        <f>IF(M1974="","",IFERROR(M1974/I1974,""))</f>
        <v/>
      </c>
      <c r="O1974" s="50">
        <f>IF(A1974="","",IFERROR((IF(G1974="",I1974,G1974)-T1974)/M1974,""))</f>
        <v/>
      </c>
      <c r="P1974" s="50">
        <f>IFERROR((I1974/T1974-1)/N1974,"")</f>
        <v/>
      </c>
      <c r="Q1974" s="46">
        <f>IF(OR(T1974="",I1974&lt;T1974),"",IFERROR(R1974/IF(G1974="",I1974,G1974)-1,""))</f>
        <v/>
      </c>
      <c r="R1974" s="48">
        <f>IF($M1974="","",MAX(IF($G1974="",$I1974,$G1974)*(1/1.1),IF($G1974="",$I1974,$G1974)+(R$2*$M1974)))</f>
        <v/>
      </c>
      <c r="S1974" s="49">
        <f>IF($M1974="","",MAX(IF($G1974="",$I1974,$G1974)*(1/1.1),IF($G1974="",$I1974,$G1974)+(S$2*$M1974)))</f>
        <v/>
      </c>
      <c r="T1974" s="82" t="n"/>
      <c r="U1974" s="47">
        <f>IF(OR($M1974="",$T1974=""),"",$T1974+(U$2*$M1974))</f>
        <v/>
      </c>
      <c r="V1974" s="48">
        <f>IF(OR($M1974="",$T1974=""),"",$T1974+(V$2*$M1974))</f>
        <v/>
      </c>
      <c r="W1974" s="48">
        <f>IF(OR($M1974="",$T1974=""),"",$T1974+(W$2*$M1974))</f>
        <v/>
      </c>
      <c r="X1974" s="49">
        <f>IF(OR($M1974="",$T1974=""),"",$T1974+(X$2*$M1974))</f>
        <v/>
      </c>
      <c r="Y1974" s="47">
        <f>IF(OR($M1974="",$T1974=""),"",$T1974+(Y$2*$M1974))</f>
        <v/>
      </c>
      <c r="Z1974" s="49">
        <f>IF(OR($M1974="",$T1974=""),"",$T1974+(Z$2*$M1974))</f>
        <v/>
      </c>
      <c r="AA1974" s="51">
        <f>IF(OR($M1974="",$T1974=""),"",$T1974+(AA$2*$M1974))</f>
        <v/>
      </c>
      <c r="AB1974" s="48">
        <f>IF(OR($M1974="",$T1974=""),"",$T1974+(AB$2*$M1974))</f>
        <v/>
      </c>
      <c r="AC1974" s="48">
        <f>IF(OR($M1974="",$T1974=""),"",$T1974+(AC$2*$M1974))</f>
        <v/>
      </c>
      <c r="AD1974" s="48">
        <f>IF(OR($M1974="",$T1974=""),"",$T1974+(AD$2*$M1974))</f>
        <v/>
      </c>
      <c r="AE1974" s="49">
        <f>IF(OR($M1974="",$T1974=""),"",$T1974+(AE$2*$M1974))</f>
        <v/>
      </c>
      <c r="AF1974" s="52">
        <f>IF(OR(T1974="",I1974&lt;T1974),"",IFERROR(AVERAGE(T1974+M1974*{7,8,9,10,11})/IF(G1974="",I1974,G1974)-1,""))</f>
        <v/>
      </c>
      <c r="AG1974" s="55">
        <f>IF(OR(T1974="",I1974&lt;T1974),"",IFERROR(AF1974/-(R1974/IF(G1974="",I1974,G1974)-1),""))</f>
        <v/>
      </c>
      <c r="AH1974" s="94" t="n"/>
      <c r="AI1974" s="94" t="n"/>
      <c r="AJ1974" s="94" t="n"/>
      <c r="AK1974" s="94" t="n"/>
      <c r="AL1974" s="84" t="n"/>
    </row>
    <row r="1975">
      <c r="A1975" s="64" t="n"/>
      <c r="B1975" s="65" t="n"/>
      <c r="C1975" s="66" t="n"/>
      <c r="D1975" s="67" t="n"/>
      <c r="E1975" s="68" t="n"/>
      <c r="F1975" s="47">
        <f>IF(A1975="","",IF(MIN(H1975,MAX(J1975:K1975))=0,"",MIN(H1975,MAX(J1975:K1975))))</f>
        <v/>
      </c>
      <c r="G1975" s="74" t="n"/>
      <c r="H1975" s="49">
        <f>IF(M1975="","",IFERROR(ROUND(AVERAGE(T1975+M1975*{7,8,9,10,11})/1.21,4),""))</f>
        <v/>
      </c>
      <c r="I1975" s="76" t="n"/>
      <c r="J1975" s="77" t="n"/>
      <c r="K1975" s="74" t="n"/>
      <c r="L1975" s="78" t="n"/>
      <c r="M1975" s="77" t="n"/>
      <c r="N1975" s="53">
        <f>IF(M1975="","",IFERROR(M1975/I1975,""))</f>
        <v/>
      </c>
      <c r="O1975" s="50">
        <f>IF(A1975="","",IFERROR((IF(G1975="",I1975,G1975)-T1975)/M1975,""))</f>
        <v/>
      </c>
      <c r="P1975" s="50">
        <f>IFERROR((I1975/T1975-1)/N1975,"")</f>
        <v/>
      </c>
      <c r="Q1975" s="46">
        <f>IF(OR(T1975="",I1975&lt;T1975),"",IFERROR(R1975/IF(G1975="",I1975,G1975)-1,""))</f>
        <v/>
      </c>
      <c r="R1975" s="48">
        <f>IF($M1975="","",MAX(IF($G1975="",$I1975,$G1975)*(1/1.1),IF($G1975="",$I1975,$G1975)+(R$2*$M1975)))</f>
        <v/>
      </c>
      <c r="S1975" s="49">
        <f>IF($M1975="","",MAX(IF($G1975="",$I1975,$G1975)*(1/1.1),IF($G1975="",$I1975,$G1975)+(S$2*$M1975)))</f>
        <v/>
      </c>
      <c r="T1975" s="82" t="n"/>
      <c r="U1975" s="47">
        <f>IF(OR($M1975="",$T1975=""),"",$T1975+(U$2*$M1975))</f>
        <v/>
      </c>
      <c r="V1975" s="48">
        <f>IF(OR($M1975="",$T1975=""),"",$T1975+(V$2*$M1975))</f>
        <v/>
      </c>
      <c r="W1975" s="48">
        <f>IF(OR($M1975="",$T1975=""),"",$T1975+(W$2*$M1975))</f>
        <v/>
      </c>
      <c r="X1975" s="49">
        <f>IF(OR($M1975="",$T1975=""),"",$T1975+(X$2*$M1975))</f>
        <v/>
      </c>
      <c r="Y1975" s="47">
        <f>IF(OR($M1975="",$T1975=""),"",$T1975+(Y$2*$M1975))</f>
        <v/>
      </c>
      <c r="Z1975" s="49">
        <f>IF(OR($M1975="",$T1975=""),"",$T1975+(Z$2*$M1975))</f>
        <v/>
      </c>
      <c r="AA1975" s="51">
        <f>IF(OR($M1975="",$T1975=""),"",$T1975+(AA$2*$M1975))</f>
        <v/>
      </c>
      <c r="AB1975" s="48">
        <f>IF(OR($M1975="",$T1975=""),"",$T1975+(AB$2*$M1975))</f>
        <v/>
      </c>
      <c r="AC1975" s="48">
        <f>IF(OR($M1975="",$T1975=""),"",$T1975+(AC$2*$M1975))</f>
        <v/>
      </c>
      <c r="AD1975" s="48">
        <f>IF(OR($M1975="",$T1975=""),"",$T1975+(AD$2*$M1975))</f>
        <v/>
      </c>
      <c r="AE1975" s="49">
        <f>IF(OR($M1975="",$T1975=""),"",$T1975+(AE$2*$M1975))</f>
        <v/>
      </c>
      <c r="AF1975" s="52">
        <f>IF(OR(T1975="",I1975&lt;T1975),"",IFERROR(AVERAGE(T1975+M1975*{7,8,9,10,11})/IF(G1975="",I1975,G1975)-1,""))</f>
        <v/>
      </c>
      <c r="AG1975" s="55">
        <f>IF(OR(T1975="",I1975&lt;T1975),"",IFERROR(AF1975/-(R1975/IF(G1975="",I1975,G1975)-1),""))</f>
        <v/>
      </c>
      <c r="AH1975" s="94" t="n"/>
      <c r="AI1975" s="94" t="n"/>
      <c r="AJ1975" s="94" t="n"/>
      <c r="AK1975" s="94" t="n"/>
      <c r="AL1975" s="84" t="n"/>
    </row>
    <row r="1976">
      <c r="A1976" s="64" t="n"/>
      <c r="B1976" s="65" t="n"/>
      <c r="C1976" s="66" t="n"/>
      <c r="D1976" s="67" t="n"/>
      <c r="E1976" s="68" t="n"/>
      <c r="F1976" s="47">
        <f>IF(A1976="","",IF(MIN(H1976,MAX(J1976:K1976))=0,"",MIN(H1976,MAX(J1976:K1976))))</f>
        <v/>
      </c>
      <c r="G1976" s="74" t="n"/>
      <c r="H1976" s="49">
        <f>IF(M1976="","",IFERROR(ROUND(AVERAGE(T1976+M1976*{7,8,9,10,11})/1.21,4),""))</f>
        <v/>
      </c>
      <c r="I1976" s="76" t="n"/>
      <c r="J1976" s="77" t="n"/>
      <c r="K1976" s="74" t="n"/>
      <c r="L1976" s="78" t="n"/>
      <c r="M1976" s="77" t="n"/>
      <c r="N1976" s="53">
        <f>IF(M1976="","",IFERROR(M1976/I1976,""))</f>
        <v/>
      </c>
      <c r="O1976" s="50">
        <f>IF(A1976="","",IFERROR((IF(G1976="",I1976,G1976)-T1976)/M1976,""))</f>
        <v/>
      </c>
      <c r="P1976" s="50">
        <f>IFERROR((I1976/T1976-1)/N1976,"")</f>
        <v/>
      </c>
      <c r="Q1976" s="46">
        <f>IF(OR(T1976="",I1976&lt;T1976),"",IFERROR(R1976/IF(G1976="",I1976,G1976)-1,""))</f>
        <v/>
      </c>
      <c r="R1976" s="48">
        <f>IF($M1976="","",MAX(IF($G1976="",$I1976,$G1976)*(1/1.1),IF($G1976="",$I1976,$G1976)+(R$2*$M1976)))</f>
        <v/>
      </c>
      <c r="S1976" s="49">
        <f>IF($M1976="","",MAX(IF($G1976="",$I1976,$G1976)*(1/1.1),IF($G1976="",$I1976,$G1976)+(S$2*$M1976)))</f>
        <v/>
      </c>
      <c r="T1976" s="82" t="n"/>
      <c r="U1976" s="47">
        <f>IF(OR($M1976="",$T1976=""),"",$T1976+(U$2*$M1976))</f>
        <v/>
      </c>
      <c r="V1976" s="48">
        <f>IF(OR($M1976="",$T1976=""),"",$T1976+(V$2*$M1976))</f>
        <v/>
      </c>
      <c r="W1976" s="48">
        <f>IF(OR($M1976="",$T1976=""),"",$T1976+(W$2*$M1976))</f>
        <v/>
      </c>
      <c r="X1976" s="49">
        <f>IF(OR($M1976="",$T1976=""),"",$T1976+(X$2*$M1976))</f>
        <v/>
      </c>
      <c r="Y1976" s="47">
        <f>IF(OR($M1976="",$T1976=""),"",$T1976+(Y$2*$M1976))</f>
        <v/>
      </c>
      <c r="Z1976" s="49">
        <f>IF(OR($M1976="",$T1976=""),"",$T1976+(Z$2*$M1976))</f>
        <v/>
      </c>
      <c r="AA1976" s="51">
        <f>IF(OR($M1976="",$T1976=""),"",$T1976+(AA$2*$M1976))</f>
        <v/>
      </c>
      <c r="AB1976" s="48">
        <f>IF(OR($M1976="",$T1976=""),"",$T1976+(AB$2*$M1976))</f>
        <v/>
      </c>
      <c r="AC1976" s="48">
        <f>IF(OR($M1976="",$T1976=""),"",$T1976+(AC$2*$M1976))</f>
        <v/>
      </c>
      <c r="AD1976" s="48">
        <f>IF(OR($M1976="",$T1976=""),"",$T1976+(AD$2*$M1976))</f>
        <v/>
      </c>
      <c r="AE1976" s="49">
        <f>IF(OR($M1976="",$T1976=""),"",$T1976+(AE$2*$M1976))</f>
        <v/>
      </c>
      <c r="AF1976" s="52">
        <f>IF(OR(T1976="",I1976&lt;T1976),"",IFERROR(AVERAGE(T1976+M1976*{7,8,9,10,11})/IF(G1976="",I1976,G1976)-1,""))</f>
        <v/>
      </c>
      <c r="AG1976" s="55">
        <f>IF(OR(T1976="",I1976&lt;T1976),"",IFERROR(AF1976/-(R1976/IF(G1976="",I1976,G1976)-1),""))</f>
        <v/>
      </c>
      <c r="AH1976" s="94" t="n"/>
      <c r="AI1976" s="94" t="n"/>
      <c r="AJ1976" s="94" t="n"/>
      <c r="AK1976" s="94" t="n"/>
      <c r="AL1976" s="84" t="n"/>
    </row>
    <row r="1977">
      <c r="A1977" s="64" t="n"/>
      <c r="B1977" s="65" t="n"/>
      <c r="C1977" s="66" t="n"/>
      <c r="D1977" s="67" t="n"/>
      <c r="E1977" s="68" t="n"/>
      <c r="F1977" s="47">
        <f>IF(A1977="","",IF(MIN(H1977,MAX(J1977:K1977))=0,"",MIN(H1977,MAX(J1977:K1977))))</f>
        <v/>
      </c>
      <c r="G1977" s="74" t="n"/>
      <c r="H1977" s="49">
        <f>IF(M1977="","",IFERROR(ROUND(AVERAGE(T1977+M1977*{7,8,9,10,11})/1.21,4),""))</f>
        <v/>
      </c>
      <c r="I1977" s="76" t="n"/>
      <c r="J1977" s="77" t="n"/>
      <c r="K1977" s="74" t="n"/>
      <c r="L1977" s="78" t="n"/>
      <c r="M1977" s="77" t="n"/>
      <c r="N1977" s="53">
        <f>IF(M1977="","",IFERROR(M1977/I1977,""))</f>
        <v/>
      </c>
      <c r="O1977" s="50">
        <f>IF(A1977="","",IFERROR((IF(G1977="",I1977,G1977)-T1977)/M1977,""))</f>
        <v/>
      </c>
      <c r="P1977" s="50">
        <f>IFERROR((I1977/T1977-1)/N1977,"")</f>
        <v/>
      </c>
      <c r="Q1977" s="46">
        <f>IF(OR(T1977="",I1977&lt;T1977),"",IFERROR(R1977/IF(G1977="",I1977,G1977)-1,""))</f>
        <v/>
      </c>
      <c r="R1977" s="48">
        <f>IF($M1977="","",MAX(IF($G1977="",$I1977,$G1977)*(1/1.1),IF($G1977="",$I1977,$G1977)+(R$2*$M1977)))</f>
        <v/>
      </c>
      <c r="S1977" s="49">
        <f>IF($M1977="","",MAX(IF($G1977="",$I1977,$G1977)*(1/1.1),IF($G1977="",$I1977,$G1977)+(S$2*$M1977)))</f>
        <v/>
      </c>
      <c r="T1977" s="82" t="n"/>
      <c r="U1977" s="47">
        <f>IF(OR($M1977="",$T1977=""),"",$T1977+(U$2*$M1977))</f>
        <v/>
      </c>
      <c r="V1977" s="48">
        <f>IF(OR($M1977="",$T1977=""),"",$T1977+(V$2*$M1977))</f>
        <v/>
      </c>
      <c r="W1977" s="48">
        <f>IF(OR($M1977="",$T1977=""),"",$T1977+(W$2*$M1977))</f>
        <v/>
      </c>
      <c r="X1977" s="49">
        <f>IF(OR($M1977="",$T1977=""),"",$T1977+(X$2*$M1977))</f>
        <v/>
      </c>
      <c r="Y1977" s="47">
        <f>IF(OR($M1977="",$T1977=""),"",$T1977+(Y$2*$M1977))</f>
        <v/>
      </c>
      <c r="Z1977" s="49">
        <f>IF(OR($M1977="",$T1977=""),"",$T1977+(Z$2*$M1977))</f>
        <v/>
      </c>
      <c r="AA1977" s="51">
        <f>IF(OR($M1977="",$T1977=""),"",$T1977+(AA$2*$M1977))</f>
        <v/>
      </c>
      <c r="AB1977" s="48">
        <f>IF(OR($M1977="",$T1977=""),"",$T1977+(AB$2*$M1977))</f>
        <v/>
      </c>
      <c r="AC1977" s="48">
        <f>IF(OR($M1977="",$T1977=""),"",$T1977+(AC$2*$M1977))</f>
        <v/>
      </c>
      <c r="AD1977" s="48">
        <f>IF(OR($M1977="",$T1977=""),"",$T1977+(AD$2*$M1977))</f>
        <v/>
      </c>
      <c r="AE1977" s="49">
        <f>IF(OR($M1977="",$T1977=""),"",$T1977+(AE$2*$M1977))</f>
        <v/>
      </c>
      <c r="AF1977" s="52">
        <f>IF(OR(T1977="",I1977&lt;T1977),"",IFERROR(AVERAGE(T1977+M1977*{7,8,9,10,11})/IF(G1977="",I1977,G1977)-1,""))</f>
        <v/>
      </c>
      <c r="AG1977" s="55">
        <f>IF(OR(T1977="",I1977&lt;T1977),"",IFERROR(AF1977/-(R1977/IF(G1977="",I1977,G1977)-1),""))</f>
        <v/>
      </c>
      <c r="AH1977" s="94" t="n"/>
      <c r="AI1977" s="94" t="n"/>
      <c r="AJ1977" s="94" t="n"/>
      <c r="AK1977" s="94" t="n"/>
      <c r="AL1977" s="84" t="n"/>
    </row>
    <row r="1978">
      <c r="A1978" s="64" t="n"/>
      <c r="B1978" s="65" t="n"/>
      <c r="C1978" s="66" t="n"/>
      <c r="D1978" s="67" t="n"/>
      <c r="E1978" s="68" t="n"/>
      <c r="F1978" s="47">
        <f>IF(A1978="","",IF(MIN(H1978,MAX(J1978:K1978))=0,"",MIN(H1978,MAX(J1978:K1978))))</f>
        <v/>
      </c>
      <c r="G1978" s="74" t="n"/>
      <c r="H1978" s="49">
        <f>IF(M1978="","",IFERROR(ROUND(AVERAGE(T1978+M1978*{7,8,9,10,11})/1.21,4),""))</f>
        <v/>
      </c>
      <c r="I1978" s="76" t="n"/>
      <c r="J1978" s="77" t="n"/>
      <c r="K1978" s="74" t="n"/>
      <c r="L1978" s="78" t="n"/>
      <c r="M1978" s="77" t="n"/>
      <c r="N1978" s="53">
        <f>IF(M1978="","",IFERROR(M1978/I1978,""))</f>
        <v/>
      </c>
      <c r="O1978" s="50">
        <f>IF(A1978="","",IFERROR((IF(G1978="",I1978,G1978)-T1978)/M1978,""))</f>
        <v/>
      </c>
      <c r="P1978" s="50">
        <f>IFERROR((I1978/T1978-1)/N1978,"")</f>
        <v/>
      </c>
      <c r="Q1978" s="46">
        <f>IF(OR(T1978="",I1978&lt;T1978),"",IFERROR(R1978/IF(G1978="",I1978,G1978)-1,""))</f>
        <v/>
      </c>
      <c r="R1978" s="48">
        <f>IF($M1978="","",MAX(IF($G1978="",$I1978,$G1978)*(1/1.1),IF($G1978="",$I1978,$G1978)+(R$2*$M1978)))</f>
        <v/>
      </c>
      <c r="S1978" s="49">
        <f>IF($M1978="","",MAX(IF($G1978="",$I1978,$G1978)*(1/1.1),IF($G1978="",$I1978,$G1978)+(S$2*$M1978)))</f>
        <v/>
      </c>
      <c r="T1978" s="82" t="n"/>
      <c r="U1978" s="47">
        <f>IF(OR($M1978="",$T1978=""),"",$T1978+(U$2*$M1978))</f>
        <v/>
      </c>
      <c r="V1978" s="48">
        <f>IF(OR($M1978="",$T1978=""),"",$T1978+(V$2*$M1978))</f>
        <v/>
      </c>
      <c r="W1978" s="48">
        <f>IF(OR($M1978="",$T1978=""),"",$T1978+(W$2*$M1978))</f>
        <v/>
      </c>
      <c r="X1978" s="49">
        <f>IF(OR($M1978="",$T1978=""),"",$T1978+(X$2*$M1978))</f>
        <v/>
      </c>
      <c r="Y1978" s="47">
        <f>IF(OR($M1978="",$T1978=""),"",$T1978+(Y$2*$M1978))</f>
        <v/>
      </c>
      <c r="Z1978" s="49">
        <f>IF(OR($M1978="",$T1978=""),"",$T1978+(Z$2*$M1978))</f>
        <v/>
      </c>
      <c r="AA1978" s="51">
        <f>IF(OR($M1978="",$T1978=""),"",$T1978+(AA$2*$M1978))</f>
        <v/>
      </c>
      <c r="AB1978" s="48">
        <f>IF(OR($M1978="",$T1978=""),"",$T1978+(AB$2*$M1978))</f>
        <v/>
      </c>
      <c r="AC1978" s="48">
        <f>IF(OR($M1978="",$T1978=""),"",$T1978+(AC$2*$M1978))</f>
        <v/>
      </c>
      <c r="AD1978" s="48">
        <f>IF(OR($M1978="",$T1978=""),"",$T1978+(AD$2*$M1978))</f>
        <v/>
      </c>
      <c r="AE1978" s="49">
        <f>IF(OR($M1978="",$T1978=""),"",$T1978+(AE$2*$M1978))</f>
        <v/>
      </c>
      <c r="AF1978" s="52">
        <f>IF(OR(T1978="",I1978&lt;T1978),"",IFERROR(AVERAGE(T1978+M1978*{7,8,9,10,11})/IF(G1978="",I1978,G1978)-1,""))</f>
        <v/>
      </c>
      <c r="AG1978" s="55">
        <f>IF(OR(T1978="",I1978&lt;T1978),"",IFERROR(AF1978/-(R1978/IF(G1978="",I1978,G1978)-1),""))</f>
        <v/>
      </c>
      <c r="AH1978" s="94" t="n"/>
      <c r="AI1978" s="94" t="n"/>
      <c r="AJ1978" s="94" t="n"/>
      <c r="AK1978" s="94" t="n"/>
      <c r="AL1978" s="84" t="n"/>
    </row>
    <row r="1979">
      <c r="A1979" s="64" t="n"/>
      <c r="B1979" s="65" t="n"/>
      <c r="C1979" s="66" t="n"/>
      <c r="D1979" s="67" t="n"/>
      <c r="E1979" s="68" t="n"/>
      <c r="F1979" s="47">
        <f>IF(A1979="","",IF(MIN(H1979,MAX(J1979:K1979))=0,"",MIN(H1979,MAX(J1979:K1979))))</f>
        <v/>
      </c>
      <c r="G1979" s="74" t="n"/>
      <c r="H1979" s="49">
        <f>IF(M1979="","",IFERROR(ROUND(AVERAGE(T1979+M1979*{7,8,9,10,11})/1.21,4),""))</f>
        <v/>
      </c>
      <c r="I1979" s="76" t="n"/>
      <c r="J1979" s="77" t="n"/>
      <c r="K1979" s="74" t="n"/>
      <c r="L1979" s="78" t="n"/>
      <c r="M1979" s="77" t="n"/>
      <c r="N1979" s="53">
        <f>IF(M1979="","",IFERROR(M1979/I1979,""))</f>
        <v/>
      </c>
      <c r="O1979" s="50">
        <f>IF(A1979="","",IFERROR((IF(G1979="",I1979,G1979)-T1979)/M1979,""))</f>
        <v/>
      </c>
      <c r="P1979" s="50">
        <f>IFERROR((I1979/T1979-1)/N1979,"")</f>
        <v/>
      </c>
      <c r="Q1979" s="46">
        <f>IF(OR(T1979="",I1979&lt;T1979),"",IFERROR(R1979/IF(G1979="",I1979,G1979)-1,""))</f>
        <v/>
      </c>
      <c r="R1979" s="48">
        <f>IF($M1979="","",MAX(IF($G1979="",$I1979,$G1979)*(1/1.1),IF($G1979="",$I1979,$G1979)+(R$2*$M1979)))</f>
        <v/>
      </c>
      <c r="S1979" s="49">
        <f>IF($M1979="","",MAX(IF($G1979="",$I1979,$G1979)*(1/1.1),IF($G1979="",$I1979,$G1979)+(S$2*$M1979)))</f>
        <v/>
      </c>
      <c r="T1979" s="82" t="n"/>
      <c r="U1979" s="47">
        <f>IF(OR($M1979="",$T1979=""),"",$T1979+(U$2*$M1979))</f>
        <v/>
      </c>
      <c r="V1979" s="48">
        <f>IF(OR($M1979="",$T1979=""),"",$T1979+(V$2*$M1979))</f>
        <v/>
      </c>
      <c r="W1979" s="48">
        <f>IF(OR($M1979="",$T1979=""),"",$T1979+(W$2*$M1979))</f>
        <v/>
      </c>
      <c r="X1979" s="49">
        <f>IF(OR($M1979="",$T1979=""),"",$T1979+(X$2*$M1979))</f>
        <v/>
      </c>
      <c r="Y1979" s="47">
        <f>IF(OR($M1979="",$T1979=""),"",$T1979+(Y$2*$M1979))</f>
        <v/>
      </c>
      <c r="Z1979" s="49">
        <f>IF(OR($M1979="",$T1979=""),"",$T1979+(Z$2*$M1979))</f>
        <v/>
      </c>
      <c r="AA1979" s="51">
        <f>IF(OR($M1979="",$T1979=""),"",$T1979+(AA$2*$M1979))</f>
        <v/>
      </c>
      <c r="AB1979" s="48">
        <f>IF(OR($M1979="",$T1979=""),"",$T1979+(AB$2*$M1979))</f>
        <v/>
      </c>
      <c r="AC1979" s="48">
        <f>IF(OR($M1979="",$T1979=""),"",$T1979+(AC$2*$M1979))</f>
        <v/>
      </c>
      <c r="AD1979" s="48">
        <f>IF(OR($M1979="",$T1979=""),"",$T1979+(AD$2*$M1979))</f>
        <v/>
      </c>
      <c r="AE1979" s="49">
        <f>IF(OR($M1979="",$T1979=""),"",$T1979+(AE$2*$M1979))</f>
        <v/>
      </c>
      <c r="AF1979" s="52">
        <f>IF(OR(T1979="",I1979&lt;T1979),"",IFERROR(AVERAGE(T1979+M1979*{7,8,9,10,11})/IF(G1979="",I1979,G1979)-1,""))</f>
        <v/>
      </c>
      <c r="AG1979" s="55">
        <f>IF(OR(T1979="",I1979&lt;T1979),"",IFERROR(AF1979/-(R1979/IF(G1979="",I1979,G1979)-1),""))</f>
        <v/>
      </c>
      <c r="AH1979" s="94" t="n"/>
      <c r="AI1979" s="94" t="n"/>
      <c r="AJ1979" s="94" t="n"/>
      <c r="AK1979" s="94" t="n"/>
      <c r="AL1979" s="84" t="n"/>
    </row>
    <row r="1980">
      <c r="A1980" s="64" t="n"/>
      <c r="B1980" s="65" t="n"/>
      <c r="C1980" s="66" t="n"/>
      <c r="D1980" s="67" t="n"/>
      <c r="E1980" s="68" t="n"/>
      <c r="F1980" s="47">
        <f>IF(A1980="","",IF(MIN(H1980,MAX(J1980:K1980))=0,"",MIN(H1980,MAX(J1980:K1980))))</f>
        <v/>
      </c>
      <c r="G1980" s="74" t="n"/>
      <c r="H1980" s="49">
        <f>IF(M1980="","",IFERROR(ROUND(AVERAGE(T1980+M1980*{7,8,9,10,11})/1.21,4),""))</f>
        <v/>
      </c>
      <c r="I1980" s="76" t="n"/>
      <c r="J1980" s="77" t="n"/>
      <c r="K1980" s="74" t="n"/>
      <c r="L1980" s="78" t="n"/>
      <c r="M1980" s="77" t="n"/>
      <c r="N1980" s="53">
        <f>IF(M1980="","",IFERROR(M1980/I1980,""))</f>
        <v/>
      </c>
      <c r="O1980" s="50">
        <f>IF(A1980="","",IFERROR((IF(G1980="",I1980,G1980)-T1980)/M1980,""))</f>
        <v/>
      </c>
      <c r="P1980" s="50">
        <f>IFERROR((I1980/T1980-1)/N1980,"")</f>
        <v/>
      </c>
      <c r="Q1980" s="46">
        <f>IF(OR(T1980="",I1980&lt;T1980),"",IFERROR(R1980/IF(G1980="",I1980,G1980)-1,""))</f>
        <v/>
      </c>
      <c r="R1980" s="48">
        <f>IF($M1980="","",MAX(IF($G1980="",$I1980,$G1980)*(1/1.1),IF($G1980="",$I1980,$G1980)+(R$2*$M1980)))</f>
        <v/>
      </c>
      <c r="S1980" s="49">
        <f>IF($M1980="","",MAX(IF($G1980="",$I1980,$G1980)*(1/1.1),IF($G1980="",$I1980,$G1980)+(S$2*$M1980)))</f>
        <v/>
      </c>
      <c r="T1980" s="82" t="n"/>
      <c r="U1980" s="47">
        <f>IF(OR($M1980="",$T1980=""),"",$T1980+(U$2*$M1980))</f>
        <v/>
      </c>
      <c r="V1980" s="48">
        <f>IF(OR($M1980="",$T1980=""),"",$T1980+(V$2*$M1980))</f>
        <v/>
      </c>
      <c r="W1980" s="48">
        <f>IF(OR($M1980="",$T1980=""),"",$T1980+(W$2*$M1980))</f>
        <v/>
      </c>
      <c r="X1980" s="49">
        <f>IF(OR($M1980="",$T1980=""),"",$T1980+(X$2*$M1980))</f>
        <v/>
      </c>
      <c r="Y1980" s="47">
        <f>IF(OR($M1980="",$T1980=""),"",$T1980+(Y$2*$M1980))</f>
        <v/>
      </c>
      <c r="Z1980" s="49">
        <f>IF(OR($M1980="",$T1980=""),"",$T1980+(Z$2*$M1980))</f>
        <v/>
      </c>
      <c r="AA1980" s="51">
        <f>IF(OR($M1980="",$T1980=""),"",$T1980+(AA$2*$M1980))</f>
        <v/>
      </c>
      <c r="AB1980" s="48">
        <f>IF(OR($M1980="",$T1980=""),"",$T1980+(AB$2*$M1980))</f>
        <v/>
      </c>
      <c r="AC1980" s="48">
        <f>IF(OR($M1980="",$T1980=""),"",$T1980+(AC$2*$M1980))</f>
        <v/>
      </c>
      <c r="AD1980" s="48">
        <f>IF(OR($M1980="",$T1980=""),"",$T1980+(AD$2*$M1980))</f>
        <v/>
      </c>
      <c r="AE1980" s="49">
        <f>IF(OR($M1980="",$T1980=""),"",$T1980+(AE$2*$M1980))</f>
        <v/>
      </c>
      <c r="AF1980" s="52">
        <f>IF(OR(T1980="",I1980&lt;T1980),"",IFERROR(AVERAGE(T1980+M1980*{7,8,9,10,11})/IF(G1980="",I1980,G1980)-1,""))</f>
        <v/>
      </c>
      <c r="AG1980" s="55">
        <f>IF(OR(T1980="",I1980&lt;T1980),"",IFERROR(AF1980/-(R1980/IF(G1980="",I1980,G1980)-1),""))</f>
        <v/>
      </c>
      <c r="AH1980" s="94" t="n"/>
      <c r="AI1980" s="94" t="n"/>
      <c r="AJ1980" s="94" t="n"/>
      <c r="AK1980" s="94" t="n"/>
      <c r="AL1980" s="84" t="n"/>
    </row>
    <row r="1981">
      <c r="A1981" s="64" t="n"/>
      <c r="B1981" s="65" t="n"/>
      <c r="C1981" s="66" t="n"/>
      <c r="D1981" s="67" t="n"/>
      <c r="E1981" s="68" t="n"/>
      <c r="F1981" s="47">
        <f>IF(A1981="","",IF(MIN(H1981,MAX(J1981:K1981))=0,"",MIN(H1981,MAX(J1981:K1981))))</f>
        <v/>
      </c>
      <c r="G1981" s="74" t="n"/>
      <c r="H1981" s="49">
        <f>IF(M1981="","",IFERROR(ROUND(AVERAGE(T1981+M1981*{7,8,9,10,11})/1.21,4),""))</f>
        <v/>
      </c>
      <c r="I1981" s="76" t="n"/>
      <c r="J1981" s="77" t="n"/>
      <c r="K1981" s="74" t="n"/>
      <c r="L1981" s="78" t="n"/>
      <c r="M1981" s="77" t="n"/>
      <c r="N1981" s="53">
        <f>IF(M1981="","",IFERROR(M1981/I1981,""))</f>
        <v/>
      </c>
      <c r="O1981" s="50">
        <f>IF(A1981="","",IFERROR((IF(G1981="",I1981,G1981)-T1981)/M1981,""))</f>
        <v/>
      </c>
      <c r="P1981" s="50">
        <f>IFERROR((I1981/T1981-1)/N1981,"")</f>
        <v/>
      </c>
      <c r="Q1981" s="46">
        <f>IF(OR(T1981="",I1981&lt;T1981),"",IFERROR(R1981/IF(G1981="",I1981,G1981)-1,""))</f>
        <v/>
      </c>
      <c r="R1981" s="48">
        <f>IF($M1981="","",MAX(IF($G1981="",$I1981,$G1981)*(1/1.1),IF($G1981="",$I1981,$G1981)+(R$2*$M1981)))</f>
        <v/>
      </c>
      <c r="S1981" s="49">
        <f>IF($M1981="","",MAX(IF($G1981="",$I1981,$G1981)*(1/1.1),IF($G1981="",$I1981,$G1981)+(S$2*$M1981)))</f>
        <v/>
      </c>
      <c r="T1981" s="82" t="n"/>
      <c r="U1981" s="47">
        <f>IF(OR($M1981="",$T1981=""),"",$T1981+(U$2*$M1981))</f>
        <v/>
      </c>
      <c r="V1981" s="48">
        <f>IF(OR($M1981="",$T1981=""),"",$T1981+(V$2*$M1981))</f>
        <v/>
      </c>
      <c r="W1981" s="48">
        <f>IF(OR($M1981="",$T1981=""),"",$T1981+(W$2*$M1981))</f>
        <v/>
      </c>
      <c r="X1981" s="49">
        <f>IF(OR($M1981="",$T1981=""),"",$T1981+(X$2*$M1981))</f>
        <v/>
      </c>
      <c r="Y1981" s="47">
        <f>IF(OR($M1981="",$T1981=""),"",$T1981+(Y$2*$M1981))</f>
        <v/>
      </c>
      <c r="Z1981" s="49">
        <f>IF(OR($M1981="",$T1981=""),"",$T1981+(Z$2*$M1981))</f>
        <v/>
      </c>
      <c r="AA1981" s="51">
        <f>IF(OR($M1981="",$T1981=""),"",$T1981+(AA$2*$M1981))</f>
        <v/>
      </c>
      <c r="AB1981" s="48">
        <f>IF(OR($M1981="",$T1981=""),"",$T1981+(AB$2*$M1981))</f>
        <v/>
      </c>
      <c r="AC1981" s="48">
        <f>IF(OR($M1981="",$T1981=""),"",$T1981+(AC$2*$M1981))</f>
        <v/>
      </c>
      <c r="AD1981" s="48">
        <f>IF(OR($M1981="",$T1981=""),"",$T1981+(AD$2*$M1981))</f>
        <v/>
      </c>
      <c r="AE1981" s="49">
        <f>IF(OR($M1981="",$T1981=""),"",$T1981+(AE$2*$M1981))</f>
        <v/>
      </c>
      <c r="AF1981" s="52">
        <f>IF(OR(T1981="",I1981&lt;T1981),"",IFERROR(AVERAGE(T1981+M1981*{7,8,9,10,11})/IF(G1981="",I1981,G1981)-1,""))</f>
        <v/>
      </c>
      <c r="AG1981" s="55">
        <f>IF(OR(T1981="",I1981&lt;T1981),"",IFERROR(AF1981/-(R1981/IF(G1981="",I1981,G1981)-1),""))</f>
        <v/>
      </c>
      <c r="AH1981" s="94" t="n"/>
      <c r="AI1981" s="94" t="n"/>
      <c r="AJ1981" s="94" t="n"/>
      <c r="AK1981" s="94" t="n"/>
      <c r="AL1981" s="84" t="n"/>
    </row>
    <row r="1982">
      <c r="A1982" s="64" t="n"/>
      <c r="B1982" s="65" t="n"/>
      <c r="C1982" s="66" t="n"/>
      <c r="D1982" s="67" t="n"/>
      <c r="E1982" s="68" t="n"/>
      <c r="F1982" s="47">
        <f>IF(A1982="","",IF(MIN(H1982,MAX(J1982:K1982))=0,"",MIN(H1982,MAX(J1982:K1982))))</f>
        <v/>
      </c>
      <c r="G1982" s="74" t="n"/>
      <c r="H1982" s="49">
        <f>IF(M1982="","",IFERROR(ROUND(AVERAGE(T1982+M1982*{7,8,9,10,11})/1.21,4),""))</f>
        <v/>
      </c>
      <c r="I1982" s="76" t="n"/>
      <c r="J1982" s="77" t="n"/>
      <c r="K1982" s="74" t="n"/>
      <c r="L1982" s="78" t="n"/>
      <c r="M1982" s="77" t="n"/>
      <c r="N1982" s="53">
        <f>IF(M1982="","",IFERROR(M1982/I1982,""))</f>
        <v/>
      </c>
      <c r="O1982" s="50">
        <f>IF(A1982="","",IFERROR((IF(G1982="",I1982,G1982)-T1982)/M1982,""))</f>
        <v/>
      </c>
      <c r="P1982" s="50">
        <f>IFERROR((I1982/T1982-1)/N1982,"")</f>
        <v/>
      </c>
      <c r="Q1982" s="46">
        <f>IF(OR(T1982="",I1982&lt;T1982),"",IFERROR(R1982/IF(G1982="",I1982,G1982)-1,""))</f>
        <v/>
      </c>
      <c r="R1982" s="48">
        <f>IF($M1982="","",MAX(IF($G1982="",$I1982,$G1982)*(1/1.1),IF($G1982="",$I1982,$G1982)+(R$2*$M1982)))</f>
        <v/>
      </c>
      <c r="S1982" s="49">
        <f>IF($M1982="","",MAX(IF($G1982="",$I1982,$G1982)*(1/1.1),IF($G1982="",$I1982,$G1982)+(S$2*$M1982)))</f>
        <v/>
      </c>
      <c r="T1982" s="82" t="n"/>
      <c r="U1982" s="47">
        <f>IF(OR($M1982="",$T1982=""),"",$T1982+(U$2*$M1982))</f>
        <v/>
      </c>
      <c r="V1982" s="48">
        <f>IF(OR($M1982="",$T1982=""),"",$T1982+(V$2*$M1982))</f>
        <v/>
      </c>
      <c r="W1982" s="48">
        <f>IF(OR($M1982="",$T1982=""),"",$T1982+(W$2*$M1982))</f>
        <v/>
      </c>
      <c r="X1982" s="49">
        <f>IF(OR($M1982="",$T1982=""),"",$T1982+(X$2*$M1982))</f>
        <v/>
      </c>
      <c r="Y1982" s="47">
        <f>IF(OR($M1982="",$T1982=""),"",$T1982+(Y$2*$M1982))</f>
        <v/>
      </c>
      <c r="Z1982" s="49">
        <f>IF(OR($M1982="",$T1982=""),"",$T1982+(Z$2*$M1982))</f>
        <v/>
      </c>
      <c r="AA1982" s="51">
        <f>IF(OR($M1982="",$T1982=""),"",$T1982+(AA$2*$M1982))</f>
        <v/>
      </c>
      <c r="AB1982" s="48">
        <f>IF(OR($M1982="",$T1982=""),"",$T1982+(AB$2*$M1982))</f>
        <v/>
      </c>
      <c r="AC1982" s="48">
        <f>IF(OR($M1982="",$T1982=""),"",$T1982+(AC$2*$M1982))</f>
        <v/>
      </c>
      <c r="AD1982" s="48">
        <f>IF(OR($M1982="",$T1982=""),"",$T1982+(AD$2*$M1982))</f>
        <v/>
      </c>
      <c r="AE1982" s="49">
        <f>IF(OR($M1982="",$T1982=""),"",$T1982+(AE$2*$M1982))</f>
        <v/>
      </c>
      <c r="AF1982" s="52">
        <f>IF(OR(T1982="",I1982&lt;T1982),"",IFERROR(AVERAGE(T1982+M1982*{7,8,9,10,11})/IF(G1982="",I1982,G1982)-1,""))</f>
        <v/>
      </c>
      <c r="AG1982" s="55">
        <f>IF(OR(T1982="",I1982&lt;T1982),"",IFERROR(AF1982/-(R1982/IF(G1982="",I1982,G1982)-1),""))</f>
        <v/>
      </c>
      <c r="AH1982" s="94" t="n"/>
      <c r="AI1982" s="94" t="n"/>
      <c r="AJ1982" s="94" t="n"/>
      <c r="AK1982" s="94" t="n"/>
      <c r="AL1982" s="84" t="n"/>
    </row>
    <row r="1983">
      <c r="A1983" s="64" t="n"/>
      <c r="B1983" s="65" t="n"/>
      <c r="C1983" s="66" t="n"/>
      <c r="D1983" s="67" t="n"/>
      <c r="E1983" s="68" t="n"/>
      <c r="F1983" s="47">
        <f>IF(A1983="","",IF(MIN(H1983,MAX(J1983:K1983))=0,"",MIN(H1983,MAX(J1983:K1983))))</f>
        <v/>
      </c>
      <c r="G1983" s="74" t="n"/>
      <c r="H1983" s="49">
        <f>IF(M1983="","",IFERROR(ROUND(AVERAGE(T1983+M1983*{7,8,9,10,11})/1.21,4),""))</f>
        <v/>
      </c>
      <c r="I1983" s="76" t="n"/>
      <c r="J1983" s="77" t="n"/>
      <c r="K1983" s="74" t="n"/>
      <c r="L1983" s="78" t="n"/>
      <c r="M1983" s="77" t="n"/>
      <c r="N1983" s="53">
        <f>IF(M1983="","",IFERROR(M1983/I1983,""))</f>
        <v/>
      </c>
      <c r="O1983" s="50">
        <f>IF(A1983="","",IFERROR((IF(G1983="",I1983,G1983)-T1983)/M1983,""))</f>
        <v/>
      </c>
      <c r="P1983" s="50">
        <f>IFERROR((I1983/T1983-1)/N1983,"")</f>
        <v/>
      </c>
      <c r="Q1983" s="46">
        <f>IF(OR(T1983="",I1983&lt;T1983),"",IFERROR(R1983/IF(G1983="",I1983,G1983)-1,""))</f>
        <v/>
      </c>
      <c r="R1983" s="48">
        <f>IF($M1983="","",MAX(IF($G1983="",$I1983,$G1983)*(1/1.1),IF($G1983="",$I1983,$G1983)+(R$2*$M1983)))</f>
        <v/>
      </c>
      <c r="S1983" s="49">
        <f>IF($M1983="","",MAX(IF($G1983="",$I1983,$G1983)*(1/1.1),IF($G1983="",$I1983,$G1983)+(S$2*$M1983)))</f>
        <v/>
      </c>
      <c r="T1983" s="82" t="n"/>
      <c r="U1983" s="47">
        <f>IF(OR($M1983="",$T1983=""),"",$T1983+(U$2*$M1983))</f>
        <v/>
      </c>
      <c r="V1983" s="48">
        <f>IF(OR($M1983="",$T1983=""),"",$T1983+(V$2*$M1983))</f>
        <v/>
      </c>
      <c r="W1983" s="48">
        <f>IF(OR($M1983="",$T1983=""),"",$T1983+(W$2*$M1983))</f>
        <v/>
      </c>
      <c r="X1983" s="49">
        <f>IF(OR($M1983="",$T1983=""),"",$T1983+(X$2*$M1983))</f>
        <v/>
      </c>
      <c r="Y1983" s="47">
        <f>IF(OR($M1983="",$T1983=""),"",$T1983+(Y$2*$M1983))</f>
        <v/>
      </c>
      <c r="Z1983" s="49">
        <f>IF(OR($M1983="",$T1983=""),"",$T1983+(Z$2*$M1983))</f>
        <v/>
      </c>
      <c r="AA1983" s="51">
        <f>IF(OR($M1983="",$T1983=""),"",$T1983+(AA$2*$M1983))</f>
        <v/>
      </c>
      <c r="AB1983" s="48">
        <f>IF(OR($M1983="",$T1983=""),"",$T1983+(AB$2*$M1983))</f>
        <v/>
      </c>
      <c r="AC1983" s="48">
        <f>IF(OR($M1983="",$T1983=""),"",$T1983+(AC$2*$M1983))</f>
        <v/>
      </c>
      <c r="AD1983" s="48">
        <f>IF(OR($M1983="",$T1983=""),"",$T1983+(AD$2*$M1983))</f>
        <v/>
      </c>
      <c r="AE1983" s="49">
        <f>IF(OR($M1983="",$T1983=""),"",$T1983+(AE$2*$M1983))</f>
        <v/>
      </c>
      <c r="AF1983" s="52">
        <f>IF(OR(T1983="",I1983&lt;T1983),"",IFERROR(AVERAGE(T1983+M1983*{7,8,9,10,11})/IF(G1983="",I1983,G1983)-1,""))</f>
        <v/>
      </c>
      <c r="AG1983" s="55">
        <f>IF(OR(T1983="",I1983&lt;T1983),"",IFERROR(AF1983/-(R1983/IF(G1983="",I1983,G1983)-1),""))</f>
        <v/>
      </c>
      <c r="AH1983" s="94" t="n"/>
      <c r="AI1983" s="94" t="n"/>
      <c r="AJ1983" s="94" t="n"/>
      <c r="AK1983" s="94" t="n"/>
      <c r="AL1983" s="84" t="n"/>
    </row>
    <row r="1984">
      <c r="A1984" s="64" t="n"/>
      <c r="B1984" s="65" t="n"/>
      <c r="C1984" s="66" t="n"/>
      <c r="D1984" s="67" t="n"/>
      <c r="E1984" s="68" t="n"/>
      <c r="F1984" s="47">
        <f>IF(A1984="","",IF(MIN(H1984,MAX(J1984:K1984))=0,"",MIN(H1984,MAX(J1984:K1984))))</f>
        <v/>
      </c>
      <c r="G1984" s="74" t="n"/>
      <c r="H1984" s="49">
        <f>IF(M1984="","",IFERROR(ROUND(AVERAGE(T1984+M1984*{7,8,9,10,11})/1.21,4),""))</f>
        <v/>
      </c>
      <c r="I1984" s="76" t="n"/>
      <c r="J1984" s="77" t="n"/>
      <c r="K1984" s="74" t="n"/>
      <c r="L1984" s="78" t="n"/>
      <c r="M1984" s="77" t="n"/>
      <c r="N1984" s="53">
        <f>IF(M1984="","",IFERROR(M1984/I1984,""))</f>
        <v/>
      </c>
      <c r="O1984" s="50">
        <f>IF(A1984="","",IFERROR((IF(G1984="",I1984,G1984)-T1984)/M1984,""))</f>
        <v/>
      </c>
      <c r="P1984" s="50">
        <f>IFERROR((I1984/T1984-1)/N1984,"")</f>
        <v/>
      </c>
      <c r="Q1984" s="46">
        <f>IF(OR(T1984="",I1984&lt;T1984),"",IFERROR(R1984/IF(G1984="",I1984,G1984)-1,""))</f>
        <v/>
      </c>
      <c r="R1984" s="48">
        <f>IF($M1984="","",MAX(IF($G1984="",$I1984,$G1984)*(1/1.1),IF($G1984="",$I1984,$G1984)+(R$2*$M1984)))</f>
        <v/>
      </c>
      <c r="S1984" s="49">
        <f>IF($M1984="","",MAX(IF($G1984="",$I1984,$G1984)*(1/1.1),IF($G1984="",$I1984,$G1984)+(S$2*$M1984)))</f>
        <v/>
      </c>
      <c r="T1984" s="82" t="n"/>
      <c r="U1984" s="47">
        <f>IF(OR($M1984="",$T1984=""),"",$T1984+(U$2*$M1984))</f>
        <v/>
      </c>
      <c r="V1984" s="48">
        <f>IF(OR($M1984="",$T1984=""),"",$T1984+(V$2*$M1984))</f>
        <v/>
      </c>
      <c r="W1984" s="48">
        <f>IF(OR($M1984="",$T1984=""),"",$T1984+(W$2*$M1984))</f>
        <v/>
      </c>
      <c r="X1984" s="49">
        <f>IF(OR($M1984="",$T1984=""),"",$T1984+(X$2*$M1984))</f>
        <v/>
      </c>
      <c r="Y1984" s="47">
        <f>IF(OR($M1984="",$T1984=""),"",$T1984+(Y$2*$M1984))</f>
        <v/>
      </c>
      <c r="Z1984" s="49">
        <f>IF(OR($M1984="",$T1984=""),"",$T1984+(Z$2*$M1984))</f>
        <v/>
      </c>
      <c r="AA1984" s="51">
        <f>IF(OR($M1984="",$T1984=""),"",$T1984+(AA$2*$M1984))</f>
        <v/>
      </c>
      <c r="AB1984" s="48">
        <f>IF(OR($M1984="",$T1984=""),"",$T1984+(AB$2*$M1984))</f>
        <v/>
      </c>
      <c r="AC1984" s="48">
        <f>IF(OR($M1984="",$T1984=""),"",$T1984+(AC$2*$M1984))</f>
        <v/>
      </c>
      <c r="AD1984" s="48">
        <f>IF(OR($M1984="",$T1984=""),"",$T1984+(AD$2*$M1984))</f>
        <v/>
      </c>
      <c r="AE1984" s="49">
        <f>IF(OR($M1984="",$T1984=""),"",$T1984+(AE$2*$M1984))</f>
        <v/>
      </c>
      <c r="AF1984" s="52">
        <f>IF(OR(T1984="",I1984&lt;T1984),"",IFERROR(AVERAGE(T1984+M1984*{7,8,9,10,11})/IF(G1984="",I1984,G1984)-1,""))</f>
        <v/>
      </c>
      <c r="AG1984" s="55">
        <f>IF(OR(T1984="",I1984&lt;T1984),"",IFERROR(AF1984/-(R1984/IF(G1984="",I1984,G1984)-1),""))</f>
        <v/>
      </c>
      <c r="AH1984" s="94" t="n"/>
      <c r="AI1984" s="94" t="n"/>
      <c r="AJ1984" s="94" t="n"/>
      <c r="AK1984" s="94" t="n"/>
      <c r="AL1984" s="84" t="n"/>
    </row>
    <row r="1985">
      <c r="A1985" s="64" t="n"/>
      <c r="B1985" s="65" t="n"/>
      <c r="C1985" s="66" t="n"/>
      <c r="D1985" s="67" t="n"/>
      <c r="E1985" s="68" t="n"/>
      <c r="F1985" s="47">
        <f>IF(A1985="","",IF(MIN(H1985,MAX(J1985:K1985))=0,"",MIN(H1985,MAX(J1985:K1985))))</f>
        <v/>
      </c>
      <c r="G1985" s="74" t="n"/>
      <c r="H1985" s="49">
        <f>IF(M1985="","",IFERROR(ROUND(AVERAGE(T1985+M1985*{7,8,9,10,11})/1.21,4),""))</f>
        <v/>
      </c>
      <c r="I1985" s="76" t="n"/>
      <c r="J1985" s="77" t="n"/>
      <c r="K1985" s="74" t="n"/>
      <c r="L1985" s="78" t="n"/>
      <c r="M1985" s="77" t="n"/>
      <c r="N1985" s="53">
        <f>IF(M1985="","",IFERROR(M1985/I1985,""))</f>
        <v/>
      </c>
      <c r="O1985" s="50">
        <f>IF(A1985="","",IFERROR((IF(G1985="",I1985,G1985)-T1985)/M1985,""))</f>
        <v/>
      </c>
      <c r="P1985" s="50">
        <f>IFERROR((I1985/T1985-1)/N1985,"")</f>
        <v/>
      </c>
      <c r="Q1985" s="46">
        <f>IF(OR(T1985="",I1985&lt;T1985),"",IFERROR(R1985/IF(G1985="",I1985,G1985)-1,""))</f>
        <v/>
      </c>
      <c r="R1985" s="48">
        <f>IF($M1985="","",MAX(IF($G1985="",$I1985,$G1985)*(1/1.1),IF($G1985="",$I1985,$G1985)+(R$2*$M1985)))</f>
        <v/>
      </c>
      <c r="S1985" s="49">
        <f>IF($M1985="","",MAX(IF($G1985="",$I1985,$G1985)*(1/1.1),IF($G1985="",$I1985,$G1985)+(S$2*$M1985)))</f>
        <v/>
      </c>
      <c r="T1985" s="82" t="n"/>
      <c r="U1985" s="47">
        <f>IF(OR($M1985="",$T1985=""),"",$T1985+(U$2*$M1985))</f>
        <v/>
      </c>
      <c r="V1985" s="48">
        <f>IF(OR($M1985="",$T1985=""),"",$T1985+(V$2*$M1985))</f>
        <v/>
      </c>
      <c r="W1985" s="48">
        <f>IF(OR($M1985="",$T1985=""),"",$T1985+(W$2*$M1985))</f>
        <v/>
      </c>
      <c r="X1985" s="49">
        <f>IF(OR($M1985="",$T1985=""),"",$T1985+(X$2*$M1985))</f>
        <v/>
      </c>
      <c r="Y1985" s="47">
        <f>IF(OR($M1985="",$T1985=""),"",$T1985+(Y$2*$M1985))</f>
        <v/>
      </c>
      <c r="Z1985" s="49">
        <f>IF(OR($M1985="",$T1985=""),"",$T1985+(Z$2*$M1985))</f>
        <v/>
      </c>
      <c r="AA1985" s="51">
        <f>IF(OR($M1985="",$T1985=""),"",$T1985+(AA$2*$M1985))</f>
        <v/>
      </c>
      <c r="AB1985" s="48">
        <f>IF(OR($M1985="",$T1985=""),"",$T1985+(AB$2*$M1985))</f>
        <v/>
      </c>
      <c r="AC1985" s="48">
        <f>IF(OR($M1985="",$T1985=""),"",$T1985+(AC$2*$M1985))</f>
        <v/>
      </c>
      <c r="AD1985" s="48">
        <f>IF(OR($M1985="",$T1985=""),"",$T1985+(AD$2*$M1985))</f>
        <v/>
      </c>
      <c r="AE1985" s="49">
        <f>IF(OR($M1985="",$T1985=""),"",$T1985+(AE$2*$M1985))</f>
        <v/>
      </c>
      <c r="AF1985" s="52">
        <f>IF(OR(T1985="",I1985&lt;T1985),"",IFERROR(AVERAGE(T1985+M1985*{7,8,9,10,11})/IF(G1985="",I1985,G1985)-1,""))</f>
        <v/>
      </c>
      <c r="AG1985" s="55">
        <f>IF(OR(T1985="",I1985&lt;T1985),"",IFERROR(AF1985/-(R1985/IF(G1985="",I1985,G1985)-1),""))</f>
        <v/>
      </c>
      <c r="AH1985" s="94" t="n"/>
      <c r="AI1985" s="94" t="n"/>
      <c r="AJ1985" s="94" t="n"/>
      <c r="AK1985" s="94" t="n"/>
      <c r="AL1985" s="84" t="n"/>
    </row>
    <row r="1986">
      <c r="A1986" s="64" t="n"/>
      <c r="B1986" s="65" t="n"/>
      <c r="C1986" s="66" t="n"/>
      <c r="D1986" s="67" t="n"/>
      <c r="E1986" s="68" t="n"/>
      <c r="F1986" s="47">
        <f>IF(A1986="","",IF(MIN(H1986,MAX(J1986:K1986))=0,"",MIN(H1986,MAX(J1986:K1986))))</f>
        <v/>
      </c>
      <c r="G1986" s="74" t="n"/>
      <c r="H1986" s="49">
        <f>IF(M1986="","",IFERROR(ROUND(AVERAGE(T1986+M1986*{7,8,9,10,11})/1.21,4),""))</f>
        <v/>
      </c>
      <c r="I1986" s="76" t="n"/>
      <c r="J1986" s="77" t="n"/>
      <c r="K1986" s="74" t="n"/>
      <c r="L1986" s="78" t="n"/>
      <c r="M1986" s="77" t="n"/>
      <c r="N1986" s="53">
        <f>IF(M1986="","",IFERROR(M1986/I1986,""))</f>
        <v/>
      </c>
      <c r="O1986" s="50">
        <f>IF(A1986="","",IFERROR((IF(G1986="",I1986,G1986)-T1986)/M1986,""))</f>
        <v/>
      </c>
      <c r="P1986" s="50">
        <f>IFERROR((I1986/T1986-1)/N1986,"")</f>
        <v/>
      </c>
      <c r="Q1986" s="46">
        <f>IF(OR(T1986="",I1986&lt;T1986),"",IFERROR(R1986/IF(G1986="",I1986,G1986)-1,""))</f>
        <v/>
      </c>
      <c r="R1986" s="48">
        <f>IF($M1986="","",MAX(IF($G1986="",$I1986,$G1986)*(1/1.1),IF($G1986="",$I1986,$G1986)+(R$2*$M1986)))</f>
        <v/>
      </c>
      <c r="S1986" s="49">
        <f>IF($M1986="","",MAX(IF($G1986="",$I1986,$G1986)*(1/1.1),IF($G1986="",$I1986,$G1986)+(S$2*$M1986)))</f>
        <v/>
      </c>
      <c r="T1986" s="82" t="n"/>
      <c r="U1986" s="47">
        <f>IF(OR($M1986="",$T1986=""),"",$T1986+(U$2*$M1986))</f>
        <v/>
      </c>
      <c r="V1986" s="48">
        <f>IF(OR($M1986="",$T1986=""),"",$T1986+(V$2*$M1986))</f>
        <v/>
      </c>
      <c r="W1986" s="48">
        <f>IF(OR($M1986="",$T1986=""),"",$T1986+(W$2*$M1986))</f>
        <v/>
      </c>
      <c r="X1986" s="49">
        <f>IF(OR($M1986="",$T1986=""),"",$T1986+(X$2*$M1986))</f>
        <v/>
      </c>
      <c r="Y1986" s="47">
        <f>IF(OR($M1986="",$T1986=""),"",$T1986+(Y$2*$M1986))</f>
        <v/>
      </c>
      <c r="Z1986" s="49">
        <f>IF(OR($M1986="",$T1986=""),"",$T1986+(Z$2*$M1986))</f>
        <v/>
      </c>
      <c r="AA1986" s="51">
        <f>IF(OR($M1986="",$T1986=""),"",$T1986+(AA$2*$M1986))</f>
        <v/>
      </c>
      <c r="AB1986" s="48">
        <f>IF(OR($M1986="",$T1986=""),"",$T1986+(AB$2*$M1986))</f>
        <v/>
      </c>
      <c r="AC1986" s="48">
        <f>IF(OR($M1986="",$T1986=""),"",$T1986+(AC$2*$M1986))</f>
        <v/>
      </c>
      <c r="AD1986" s="48">
        <f>IF(OR($M1986="",$T1986=""),"",$T1986+(AD$2*$M1986))</f>
        <v/>
      </c>
      <c r="AE1986" s="49">
        <f>IF(OR($M1986="",$T1986=""),"",$T1986+(AE$2*$M1986))</f>
        <v/>
      </c>
      <c r="AF1986" s="52">
        <f>IF(OR(T1986="",I1986&lt;T1986),"",IFERROR(AVERAGE(T1986+M1986*{7,8,9,10,11})/IF(G1986="",I1986,G1986)-1,""))</f>
        <v/>
      </c>
      <c r="AG1986" s="55">
        <f>IF(OR(T1986="",I1986&lt;T1986),"",IFERROR(AF1986/-(R1986/IF(G1986="",I1986,G1986)-1),""))</f>
        <v/>
      </c>
      <c r="AH1986" s="94" t="n"/>
      <c r="AI1986" s="94" t="n"/>
      <c r="AJ1986" s="94" t="n"/>
      <c r="AK1986" s="94" t="n"/>
      <c r="AL1986" s="84" t="n"/>
    </row>
    <row r="1987">
      <c r="A1987" s="64" t="n"/>
      <c r="B1987" s="65" t="n"/>
      <c r="C1987" s="66" t="n"/>
      <c r="D1987" s="67" t="n"/>
      <c r="E1987" s="68" t="n"/>
      <c r="F1987" s="47">
        <f>IF(A1987="","",IF(MIN(H1987,MAX(J1987:K1987))=0,"",MIN(H1987,MAX(J1987:K1987))))</f>
        <v/>
      </c>
      <c r="G1987" s="74" t="n"/>
      <c r="H1987" s="49">
        <f>IF(M1987="","",IFERROR(ROUND(AVERAGE(T1987+M1987*{7,8,9,10,11})/1.21,4),""))</f>
        <v/>
      </c>
      <c r="I1987" s="76" t="n"/>
      <c r="J1987" s="77" t="n"/>
      <c r="K1987" s="74" t="n"/>
      <c r="L1987" s="78" t="n"/>
      <c r="M1987" s="77" t="n"/>
      <c r="N1987" s="53">
        <f>IF(M1987="","",IFERROR(M1987/I1987,""))</f>
        <v/>
      </c>
      <c r="O1987" s="50">
        <f>IF(A1987="","",IFERROR((IF(G1987="",I1987,G1987)-T1987)/M1987,""))</f>
        <v/>
      </c>
      <c r="P1987" s="50">
        <f>IFERROR((I1987/T1987-1)/N1987,"")</f>
        <v/>
      </c>
      <c r="Q1987" s="46">
        <f>IF(OR(T1987="",I1987&lt;T1987),"",IFERROR(R1987/IF(G1987="",I1987,G1987)-1,""))</f>
        <v/>
      </c>
      <c r="R1987" s="48">
        <f>IF($M1987="","",MAX(IF($G1987="",$I1987,$G1987)*(1/1.1),IF($G1987="",$I1987,$G1987)+(R$2*$M1987)))</f>
        <v/>
      </c>
      <c r="S1987" s="49">
        <f>IF($M1987="","",MAX(IF($G1987="",$I1987,$G1987)*(1/1.1),IF($G1987="",$I1987,$G1987)+(S$2*$M1987)))</f>
        <v/>
      </c>
      <c r="T1987" s="82" t="n"/>
      <c r="U1987" s="47">
        <f>IF(OR($M1987="",$T1987=""),"",$T1987+(U$2*$M1987))</f>
        <v/>
      </c>
      <c r="V1987" s="48">
        <f>IF(OR($M1987="",$T1987=""),"",$T1987+(V$2*$M1987))</f>
        <v/>
      </c>
      <c r="W1987" s="48">
        <f>IF(OR($M1987="",$T1987=""),"",$T1987+(W$2*$M1987))</f>
        <v/>
      </c>
      <c r="X1987" s="49">
        <f>IF(OR($M1987="",$T1987=""),"",$T1987+(X$2*$M1987))</f>
        <v/>
      </c>
      <c r="Y1987" s="47">
        <f>IF(OR($M1987="",$T1987=""),"",$T1987+(Y$2*$M1987))</f>
        <v/>
      </c>
      <c r="Z1987" s="49">
        <f>IF(OR($M1987="",$T1987=""),"",$T1987+(Z$2*$M1987))</f>
        <v/>
      </c>
      <c r="AA1987" s="51">
        <f>IF(OR($M1987="",$T1987=""),"",$T1987+(AA$2*$M1987))</f>
        <v/>
      </c>
      <c r="AB1987" s="48">
        <f>IF(OR($M1987="",$T1987=""),"",$T1987+(AB$2*$M1987))</f>
        <v/>
      </c>
      <c r="AC1987" s="48">
        <f>IF(OR($M1987="",$T1987=""),"",$T1987+(AC$2*$M1987))</f>
        <v/>
      </c>
      <c r="AD1987" s="48">
        <f>IF(OR($M1987="",$T1987=""),"",$T1987+(AD$2*$M1987))</f>
        <v/>
      </c>
      <c r="AE1987" s="49">
        <f>IF(OR($M1987="",$T1987=""),"",$T1987+(AE$2*$M1987))</f>
        <v/>
      </c>
      <c r="AF1987" s="52">
        <f>IF(OR(T1987="",I1987&lt;T1987),"",IFERROR(AVERAGE(T1987+M1987*{7,8,9,10,11})/IF(G1987="",I1987,G1987)-1,""))</f>
        <v/>
      </c>
      <c r="AG1987" s="55">
        <f>IF(OR(T1987="",I1987&lt;T1987),"",IFERROR(AF1987/-(R1987/IF(G1987="",I1987,G1987)-1),""))</f>
        <v/>
      </c>
      <c r="AH1987" s="94" t="n"/>
      <c r="AI1987" s="94" t="n"/>
      <c r="AJ1987" s="94" t="n"/>
      <c r="AK1987" s="94" t="n"/>
      <c r="AL1987" s="84" t="n"/>
    </row>
    <row r="1988">
      <c r="A1988" s="64" t="n"/>
      <c r="B1988" s="65" t="n"/>
      <c r="C1988" s="66" t="n"/>
      <c r="D1988" s="67" t="n"/>
      <c r="E1988" s="68" t="n"/>
      <c r="F1988" s="47">
        <f>IF(A1988="","",IF(MIN(H1988,MAX(J1988:K1988))=0,"",MIN(H1988,MAX(J1988:K1988))))</f>
        <v/>
      </c>
      <c r="G1988" s="74" t="n"/>
      <c r="H1988" s="49">
        <f>IF(M1988="","",IFERROR(ROUND(AVERAGE(T1988+M1988*{7,8,9,10,11})/1.21,4),""))</f>
        <v/>
      </c>
      <c r="I1988" s="76" t="n"/>
      <c r="J1988" s="77" t="n"/>
      <c r="K1988" s="74" t="n"/>
      <c r="L1988" s="78" t="n"/>
      <c r="M1988" s="77" t="n"/>
      <c r="N1988" s="53">
        <f>IF(M1988="","",IFERROR(M1988/I1988,""))</f>
        <v/>
      </c>
      <c r="O1988" s="50">
        <f>IF(A1988="","",IFERROR((IF(G1988="",I1988,G1988)-T1988)/M1988,""))</f>
        <v/>
      </c>
      <c r="P1988" s="50">
        <f>IFERROR((I1988/T1988-1)/N1988,"")</f>
        <v/>
      </c>
      <c r="Q1988" s="46">
        <f>IF(OR(T1988="",I1988&lt;T1988),"",IFERROR(R1988/IF(G1988="",I1988,G1988)-1,""))</f>
        <v/>
      </c>
      <c r="R1988" s="48">
        <f>IF($M1988="","",MAX(IF($G1988="",$I1988,$G1988)*(1/1.1),IF($G1988="",$I1988,$G1988)+(R$2*$M1988)))</f>
        <v/>
      </c>
      <c r="S1988" s="49">
        <f>IF($M1988="","",MAX(IF($G1988="",$I1988,$G1988)*(1/1.1),IF($G1988="",$I1988,$G1988)+(S$2*$M1988)))</f>
        <v/>
      </c>
      <c r="T1988" s="82" t="n"/>
      <c r="U1988" s="47">
        <f>IF(OR($M1988="",$T1988=""),"",$T1988+(U$2*$M1988))</f>
        <v/>
      </c>
      <c r="V1988" s="48">
        <f>IF(OR($M1988="",$T1988=""),"",$T1988+(V$2*$M1988))</f>
        <v/>
      </c>
      <c r="W1988" s="48">
        <f>IF(OR($M1988="",$T1988=""),"",$T1988+(W$2*$M1988))</f>
        <v/>
      </c>
      <c r="X1988" s="49">
        <f>IF(OR($M1988="",$T1988=""),"",$T1988+(X$2*$M1988))</f>
        <v/>
      </c>
      <c r="Y1988" s="47">
        <f>IF(OR($M1988="",$T1988=""),"",$T1988+(Y$2*$M1988))</f>
        <v/>
      </c>
      <c r="Z1988" s="49">
        <f>IF(OR($M1988="",$T1988=""),"",$T1988+(Z$2*$M1988))</f>
        <v/>
      </c>
      <c r="AA1988" s="51">
        <f>IF(OR($M1988="",$T1988=""),"",$T1988+(AA$2*$M1988))</f>
        <v/>
      </c>
      <c r="AB1988" s="48">
        <f>IF(OR($M1988="",$T1988=""),"",$T1988+(AB$2*$M1988))</f>
        <v/>
      </c>
      <c r="AC1988" s="48">
        <f>IF(OR($M1988="",$T1988=""),"",$T1988+(AC$2*$M1988))</f>
        <v/>
      </c>
      <c r="AD1988" s="48">
        <f>IF(OR($M1988="",$T1988=""),"",$T1988+(AD$2*$M1988))</f>
        <v/>
      </c>
      <c r="AE1988" s="49">
        <f>IF(OR($M1988="",$T1988=""),"",$T1988+(AE$2*$M1988))</f>
        <v/>
      </c>
      <c r="AF1988" s="52">
        <f>IF(OR(T1988="",I1988&lt;T1988),"",IFERROR(AVERAGE(T1988+M1988*{7,8,9,10,11})/IF(G1988="",I1988,G1988)-1,""))</f>
        <v/>
      </c>
      <c r="AG1988" s="55">
        <f>IF(OR(T1988="",I1988&lt;T1988),"",IFERROR(AF1988/-(R1988/IF(G1988="",I1988,G1988)-1),""))</f>
        <v/>
      </c>
      <c r="AH1988" s="94" t="n"/>
      <c r="AI1988" s="94" t="n"/>
      <c r="AJ1988" s="94" t="n"/>
      <c r="AK1988" s="94" t="n"/>
      <c r="AL1988" s="84" t="n"/>
    </row>
    <row r="1989">
      <c r="A1989" s="64" t="n"/>
      <c r="B1989" s="65" t="n"/>
      <c r="C1989" s="66" t="n"/>
      <c r="D1989" s="67" t="n"/>
      <c r="E1989" s="68" t="n"/>
      <c r="F1989" s="47">
        <f>IF(A1989="","",IF(MIN(H1989,MAX(J1989:K1989))=0,"",MIN(H1989,MAX(J1989:K1989))))</f>
        <v/>
      </c>
      <c r="G1989" s="74" t="n"/>
      <c r="H1989" s="49">
        <f>IF(M1989="","",IFERROR(ROUND(AVERAGE(T1989+M1989*{7,8,9,10,11})/1.21,4),""))</f>
        <v/>
      </c>
      <c r="I1989" s="76" t="n"/>
      <c r="J1989" s="77" t="n"/>
      <c r="K1989" s="74" t="n"/>
      <c r="L1989" s="78" t="n"/>
      <c r="M1989" s="77" t="n"/>
      <c r="N1989" s="53">
        <f>IF(M1989="","",IFERROR(M1989/I1989,""))</f>
        <v/>
      </c>
      <c r="O1989" s="50">
        <f>IF(A1989="","",IFERROR((IF(G1989="",I1989,G1989)-T1989)/M1989,""))</f>
        <v/>
      </c>
      <c r="P1989" s="50">
        <f>IFERROR((I1989/T1989-1)/N1989,"")</f>
        <v/>
      </c>
      <c r="Q1989" s="46">
        <f>IF(OR(T1989="",I1989&lt;T1989),"",IFERROR(R1989/IF(G1989="",I1989,G1989)-1,""))</f>
        <v/>
      </c>
      <c r="R1989" s="48">
        <f>IF($M1989="","",MAX(IF($G1989="",$I1989,$G1989)*(1/1.1),IF($G1989="",$I1989,$G1989)+(R$2*$M1989)))</f>
        <v/>
      </c>
      <c r="S1989" s="49">
        <f>IF($M1989="","",MAX(IF($G1989="",$I1989,$G1989)*(1/1.1),IF($G1989="",$I1989,$G1989)+(S$2*$M1989)))</f>
        <v/>
      </c>
      <c r="T1989" s="82" t="n"/>
      <c r="U1989" s="47">
        <f>IF(OR($M1989="",$T1989=""),"",$T1989+(U$2*$M1989))</f>
        <v/>
      </c>
      <c r="V1989" s="48">
        <f>IF(OR($M1989="",$T1989=""),"",$T1989+(V$2*$M1989))</f>
        <v/>
      </c>
      <c r="W1989" s="48">
        <f>IF(OR($M1989="",$T1989=""),"",$T1989+(W$2*$M1989))</f>
        <v/>
      </c>
      <c r="X1989" s="49">
        <f>IF(OR($M1989="",$T1989=""),"",$T1989+(X$2*$M1989))</f>
        <v/>
      </c>
      <c r="Y1989" s="47">
        <f>IF(OR($M1989="",$T1989=""),"",$T1989+(Y$2*$M1989))</f>
        <v/>
      </c>
      <c r="Z1989" s="49">
        <f>IF(OR($M1989="",$T1989=""),"",$T1989+(Z$2*$M1989))</f>
        <v/>
      </c>
      <c r="AA1989" s="51">
        <f>IF(OR($M1989="",$T1989=""),"",$T1989+(AA$2*$M1989))</f>
        <v/>
      </c>
      <c r="AB1989" s="48">
        <f>IF(OR($M1989="",$T1989=""),"",$T1989+(AB$2*$M1989))</f>
        <v/>
      </c>
      <c r="AC1989" s="48">
        <f>IF(OR($M1989="",$T1989=""),"",$T1989+(AC$2*$M1989))</f>
        <v/>
      </c>
      <c r="AD1989" s="48">
        <f>IF(OR($M1989="",$T1989=""),"",$T1989+(AD$2*$M1989))</f>
        <v/>
      </c>
      <c r="AE1989" s="49">
        <f>IF(OR($M1989="",$T1989=""),"",$T1989+(AE$2*$M1989))</f>
        <v/>
      </c>
      <c r="AF1989" s="52">
        <f>IF(OR(T1989="",I1989&lt;T1989),"",IFERROR(AVERAGE(T1989+M1989*{7,8,9,10,11})/IF(G1989="",I1989,G1989)-1,""))</f>
        <v/>
      </c>
      <c r="AG1989" s="55">
        <f>IF(OR(T1989="",I1989&lt;T1989),"",IFERROR(AF1989/-(R1989/IF(G1989="",I1989,G1989)-1),""))</f>
        <v/>
      </c>
      <c r="AH1989" s="94" t="n"/>
      <c r="AI1989" s="94" t="n"/>
      <c r="AJ1989" s="94" t="n"/>
      <c r="AK1989" s="94" t="n"/>
      <c r="AL1989" s="84" t="n"/>
    </row>
    <row r="1990">
      <c r="A1990" s="64" t="n"/>
      <c r="B1990" s="65" t="n"/>
      <c r="C1990" s="66" t="n"/>
      <c r="D1990" s="67" t="n"/>
      <c r="E1990" s="68" t="n"/>
      <c r="F1990" s="47">
        <f>IF(A1990="","",IF(MIN(H1990,MAX(J1990:K1990))=0,"",MIN(H1990,MAX(J1990:K1990))))</f>
        <v/>
      </c>
      <c r="G1990" s="74" t="n"/>
      <c r="H1990" s="49">
        <f>IF(M1990="","",IFERROR(ROUND(AVERAGE(T1990+M1990*{7,8,9,10,11})/1.21,4),""))</f>
        <v/>
      </c>
      <c r="I1990" s="76" t="n"/>
      <c r="J1990" s="77" t="n"/>
      <c r="K1990" s="74" t="n"/>
      <c r="L1990" s="78" t="n"/>
      <c r="M1990" s="77" t="n"/>
      <c r="N1990" s="53">
        <f>IF(M1990="","",IFERROR(M1990/I1990,""))</f>
        <v/>
      </c>
      <c r="O1990" s="50">
        <f>IF(A1990="","",IFERROR((IF(G1990="",I1990,G1990)-T1990)/M1990,""))</f>
        <v/>
      </c>
      <c r="P1990" s="50">
        <f>IFERROR((I1990/T1990-1)/N1990,"")</f>
        <v/>
      </c>
      <c r="Q1990" s="46">
        <f>IF(OR(T1990="",I1990&lt;T1990),"",IFERROR(R1990/IF(G1990="",I1990,G1990)-1,""))</f>
        <v/>
      </c>
      <c r="R1990" s="48">
        <f>IF($M1990="","",MAX(IF($G1990="",$I1990,$G1990)*(1/1.1),IF($G1990="",$I1990,$G1990)+(R$2*$M1990)))</f>
        <v/>
      </c>
      <c r="S1990" s="49">
        <f>IF($M1990="","",MAX(IF($G1990="",$I1990,$G1990)*(1/1.1),IF($G1990="",$I1990,$G1990)+(S$2*$M1990)))</f>
        <v/>
      </c>
      <c r="T1990" s="82" t="n"/>
      <c r="U1990" s="47">
        <f>IF(OR($M1990="",$T1990=""),"",$T1990+(U$2*$M1990))</f>
        <v/>
      </c>
      <c r="V1990" s="48">
        <f>IF(OR($M1990="",$T1990=""),"",$T1990+(V$2*$M1990))</f>
        <v/>
      </c>
      <c r="W1990" s="48">
        <f>IF(OR($M1990="",$T1990=""),"",$T1990+(W$2*$M1990))</f>
        <v/>
      </c>
      <c r="X1990" s="49">
        <f>IF(OR($M1990="",$T1990=""),"",$T1990+(X$2*$M1990))</f>
        <v/>
      </c>
      <c r="Y1990" s="47">
        <f>IF(OR($M1990="",$T1990=""),"",$T1990+(Y$2*$M1990))</f>
        <v/>
      </c>
      <c r="Z1990" s="49">
        <f>IF(OR($M1990="",$T1990=""),"",$T1990+(Z$2*$M1990))</f>
        <v/>
      </c>
      <c r="AA1990" s="51">
        <f>IF(OR($M1990="",$T1990=""),"",$T1990+(AA$2*$M1990))</f>
        <v/>
      </c>
      <c r="AB1990" s="48">
        <f>IF(OR($M1990="",$T1990=""),"",$T1990+(AB$2*$M1990))</f>
        <v/>
      </c>
      <c r="AC1990" s="48">
        <f>IF(OR($M1990="",$T1990=""),"",$T1990+(AC$2*$M1990))</f>
        <v/>
      </c>
      <c r="AD1990" s="48">
        <f>IF(OR($M1990="",$T1990=""),"",$T1990+(AD$2*$M1990))</f>
        <v/>
      </c>
      <c r="AE1990" s="49">
        <f>IF(OR($M1990="",$T1990=""),"",$T1990+(AE$2*$M1990))</f>
        <v/>
      </c>
      <c r="AF1990" s="52">
        <f>IF(OR(T1990="",I1990&lt;T1990),"",IFERROR(AVERAGE(T1990+M1990*{7,8,9,10,11})/IF(G1990="",I1990,G1990)-1,""))</f>
        <v/>
      </c>
      <c r="AG1990" s="55">
        <f>IF(OR(T1990="",I1990&lt;T1990),"",IFERROR(AF1990/-(R1990/IF(G1990="",I1990,G1990)-1),""))</f>
        <v/>
      </c>
      <c r="AH1990" s="94" t="n"/>
      <c r="AI1990" s="94" t="n"/>
      <c r="AJ1990" s="94" t="n"/>
      <c r="AK1990" s="94" t="n"/>
      <c r="AL1990" s="84" t="n"/>
    </row>
    <row r="1991">
      <c r="A1991" s="64" t="n"/>
      <c r="B1991" s="65" t="n"/>
      <c r="C1991" s="66" t="n"/>
      <c r="D1991" s="67" t="n"/>
      <c r="E1991" s="68" t="n"/>
      <c r="F1991" s="47">
        <f>IF(A1991="","",IF(MIN(H1991,MAX(J1991:K1991))=0,"",MIN(H1991,MAX(J1991:K1991))))</f>
        <v/>
      </c>
      <c r="G1991" s="74" t="n"/>
      <c r="H1991" s="49">
        <f>IF(M1991="","",IFERROR(ROUND(AVERAGE(T1991+M1991*{7,8,9,10,11})/1.21,4),""))</f>
        <v/>
      </c>
      <c r="I1991" s="76" t="n"/>
      <c r="J1991" s="77" t="n"/>
      <c r="K1991" s="74" t="n"/>
      <c r="L1991" s="78" t="n"/>
      <c r="M1991" s="77" t="n"/>
      <c r="N1991" s="53">
        <f>IF(M1991="","",IFERROR(M1991/I1991,""))</f>
        <v/>
      </c>
      <c r="O1991" s="50">
        <f>IF(A1991="","",IFERROR((IF(G1991="",I1991,G1991)-T1991)/M1991,""))</f>
        <v/>
      </c>
      <c r="P1991" s="50">
        <f>IFERROR((I1991/T1991-1)/N1991,"")</f>
        <v/>
      </c>
      <c r="Q1991" s="46">
        <f>IF(OR(T1991="",I1991&lt;T1991),"",IFERROR(R1991/IF(G1991="",I1991,G1991)-1,""))</f>
        <v/>
      </c>
      <c r="R1991" s="48">
        <f>IF($M1991="","",MAX(IF($G1991="",$I1991,$G1991)*(1/1.1),IF($G1991="",$I1991,$G1991)+(R$2*$M1991)))</f>
        <v/>
      </c>
      <c r="S1991" s="49">
        <f>IF($M1991="","",MAX(IF($G1991="",$I1991,$G1991)*(1/1.1),IF($G1991="",$I1991,$G1991)+(S$2*$M1991)))</f>
        <v/>
      </c>
      <c r="T1991" s="82" t="n"/>
      <c r="U1991" s="47">
        <f>IF(OR($M1991="",$T1991=""),"",$T1991+(U$2*$M1991))</f>
        <v/>
      </c>
      <c r="V1991" s="48">
        <f>IF(OR($M1991="",$T1991=""),"",$T1991+(V$2*$M1991))</f>
        <v/>
      </c>
      <c r="W1991" s="48">
        <f>IF(OR($M1991="",$T1991=""),"",$T1991+(W$2*$M1991))</f>
        <v/>
      </c>
      <c r="X1991" s="49">
        <f>IF(OR($M1991="",$T1991=""),"",$T1991+(X$2*$M1991))</f>
        <v/>
      </c>
      <c r="Y1991" s="47">
        <f>IF(OR($M1991="",$T1991=""),"",$T1991+(Y$2*$M1991))</f>
        <v/>
      </c>
      <c r="Z1991" s="49">
        <f>IF(OR($M1991="",$T1991=""),"",$T1991+(Z$2*$M1991))</f>
        <v/>
      </c>
      <c r="AA1991" s="51">
        <f>IF(OR($M1991="",$T1991=""),"",$T1991+(AA$2*$M1991))</f>
        <v/>
      </c>
      <c r="AB1991" s="48">
        <f>IF(OR($M1991="",$T1991=""),"",$T1991+(AB$2*$M1991))</f>
        <v/>
      </c>
      <c r="AC1991" s="48">
        <f>IF(OR($M1991="",$T1991=""),"",$T1991+(AC$2*$M1991))</f>
        <v/>
      </c>
      <c r="AD1991" s="48">
        <f>IF(OR($M1991="",$T1991=""),"",$T1991+(AD$2*$M1991))</f>
        <v/>
      </c>
      <c r="AE1991" s="49">
        <f>IF(OR($M1991="",$T1991=""),"",$T1991+(AE$2*$M1991))</f>
        <v/>
      </c>
      <c r="AF1991" s="52">
        <f>IF(OR(T1991="",I1991&lt;T1991),"",IFERROR(AVERAGE(T1991+M1991*{7,8,9,10,11})/IF(G1991="",I1991,G1991)-1,""))</f>
        <v/>
      </c>
      <c r="AG1991" s="55">
        <f>IF(OR(T1991="",I1991&lt;T1991),"",IFERROR(AF1991/-(R1991/IF(G1991="",I1991,G1991)-1),""))</f>
        <v/>
      </c>
      <c r="AH1991" s="94" t="n"/>
      <c r="AI1991" s="94" t="n"/>
      <c r="AJ1991" s="94" t="n"/>
      <c r="AK1991" s="94" t="n"/>
      <c r="AL1991" s="84" t="n"/>
    </row>
    <row r="1992">
      <c r="A1992" s="64" t="n"/>
      <c r="B1992" s="65" t="n"/>
      <c r="C1992" s="66" t="n"/>
      <c r="D1992" s="67" t="n"/>
      <c r="E1992" s="68" t="n"/>
      <c r="F1992" s="47">
        <f>IF(A1992="","",IF(MIN(H1992,MAX(J1992:K1992))=0,"",MIN(H1992,MAX(J1992:K1992))))</f>
        <v/>
      </c>
      <c r="G1992" s="74" t="n"/>
      <c r="H1992" s="49">
        <f>IF(M1992="","",IFERROR(ROUND(AVERAGE(T1992+M1992*{7,8,9,10,11})/1.21,4),""))</f>
        <v/>
      </c>
      <c r="I1992" s="76" t="n"/>
      <c r="J1992" s="77" t="n"/>
      <c r="K1992" s="74" t="n"/>
      <c r="L1992" s="78" t="n"/>
      <c r="M1992" s="77" t="n"/>
      <c r="N1992" s="53">
        <f>IF(M1992="","",IFERROR(M1992/I1992,""))</f>
        <v/>
      </c>
      <c r="O1992" s="50">
        <f>IF(A1992="","",IFERROR((IF(G1992="",I1992,G1992)-T1992)/M1992,""))</f>
        <v/>
      </c>
      <c r="P1992" s="50">
        <f>IFERROR((I1992/T1992-1)/N1992,"")</f>
        <v/>
      </c>
      <c r="Q1992" s="46">
        <f>IF(OR(T1992="",I1992&lt;T1992),"",IFERROR(R1992/IF(G1992="",I1992,G1992)-1,""))</f>
        <v/>
      </c>
      <c r="R1992" s="48">
        <f>IF($M1992="","",MAX(IF($G1992="",$I1992,$G1992)*(1/1.1),IF($G1992="",$I1992,$G1992)+(R$2*$M1992)))</f>
        <v/>
      </c>
      <c r="S1992" s="49">
        <f>IF($M1992="","",MAX(IF($G1992="",$I1992,$G1992)*(1/1.1),IF($G1992="",$I1992,$G1992)+(S$2*$M1992)))</f>
        <v/>
      </c>
      <c r="T1992" s="82" t="n"/>
      <c r="U1992" s="47">
        <f>IF(OR($M1992="",$T1992=""),"",$T1992+(U$2*$M1992))</f>
        <v/>
      </c>
      <c r="V1992" s="48">
        <f>IF(OR($M1992="",$T1992=""),"",$T1992+(V$2*$M1992))</f>
        <v/>
      </c>
      <c r="W1992" s="48">
        <f>IF(OR($M1992="",$T1992=""),"",$T1992+(W$2*$M1992))</f>
        <v/>
      </c>
      <c r="X1992" s="49">
        <f>IF(OR($M1992="",$T1992=""),"",$T1992+(X$2*$M1992))</f>
        <v/>
      </c>
      <c r="Y1992" s="47">
        <f>IF(OR($M1992="",$T1992=""),"",$T1992+(Y$2*$M1992))</f>
        <v/>
      </c>
      <c r="Z1992" s="49">
        <f>IF(OR($M1992="",$T1992=""),"",$T1992+(Z$2*$M1992))</f>
        <v/>
      </c>
      <c r="AA1992" s="51">
        <f>IF(OR($M1992="",$T1992=""),"",$T1992+(AA$2*$M1992))</f>
        <v/>
      </c>
      <c r="AB1992" s="48">
        <f>IF(OR($M1992="",$T1992=""),"",$T1992+(AB$2*$M1992))</f>
        <v/>
      </c>
      <c r="AC1992" s="48">
        <f>IF(OR($M1992="",$T1992=""),"",$T1992+(AC$2*$M1992))</f>
        <v/>
      </c>
      <c r="AD1992" s="48">
        <f>IF(OR($M1992="",$T1992=""),"",$T1992+(AD$2*$M1992))</f>
        <v/>
      </c>
      <c r="AE1992" s="49">
        <f>IF(OR($M1992="",$T1992=""),"",$T1992+(AE$2*$M1992))</f>
        <v/>
      </c>
      <c r="AF1992" s="52">
        <f>IF(OR(T1992="",I1992&lt;T1992),"",IFERROR(AVERAGE(T1992+M1992*{7,8,9,10,11})/IF(G1992="",I1992,G1992)-1,""))</f>
        <v/>
      </c>
      <c r="AG1992" s="55">
        <f>IF(OR(T1992="",I1992&lt;T1992),"",IFERROR(AF1992/-(R1992/IF(G1992="",I1992,G1992)-1),""))</f>
        <v/>
      </c>
      <c r="AH1992" s="94" t="n"/>
      <c r="AI1992" s="94" t="n"/>
      <c r="AJ1992" s="94" t="n"/>
      <c r="AK1992" s="94" t="n"/>
      <c r="AL1992" s="84" t="n"/>
    </row>
    <row r="1993">
      <c r="A1993" s="64" t="n"/>
      <c r="B1993" s="65" t="n"/>
      <c r="C1993" s="66" t="n"/>
      <c r="D1993" s="67" t="n"/>
      <c r="E1993" s="68" t="n"/>
      <c r="F1993" s="47">
        <f>IF(A1993="","",IF(MIN(H1993,MAX(J1993:K1993))=0,"",MIN(H1993,MAX(J1993:K1993))))</f>
        <v/>
      </c>
      <c r="G1993" s="74" t="n"/>
      <c r="H1993" s="49">
        <f>IF(M1993="","",IFERROR(ROUND(AVERAGE(T1993+M1993*{7,8,9,10,11})/1.21,4),""))</f>
        <v/>
      </c>
      <c r="I1993" s="76" t="n"/>
      <c r="J1993" s="77" t="n"/>
      <c r="K1993" s="74" t="n"/>
      <c r="L1993" s="78" t="n"/>
      <c r="M1993" s="77" t="n"/>
      <c r="N1993" s="53">
        <f>IF(M1993="","",IFERROR(M1993/I1993,""))</f>
        <v/>
      </c>
      <c r="O1993" s="50">
        <f>IF(A1993="","",IFERROR((IF(G1993="",I1993,G1993)-T1993)/M1993,""))</f>
        <v/>
      </c>
      <c r="P1993" s="50">
        <f>IFERROR((I1993/T1993-1)/N1993,"")</f>
        <v/>
      </c>
      <c r="Q1993" s="46">
        <f>IF(OR(T1993="",I1993&lt;T1993),"",IFERROR(R1993/IF(G1993="",I1993,G1993)-1,""))</f>
        <v/>
      </c>
      <c r="R1993" s="48">
        <f>IF($M1993="","",MAX(IF($G1993="",$I1993,$G1993)*(1/1.1),IF($G1993="",$I1993,$G1993)+(R$2*$M1993)))</f>
        <v/>
      </c>
      <c r="S1993" s="49">
        <f>IF($M1993="","",MAX(IF($G1993="",$I1993,$G1993)*(1/1.1),IF($G1993="",$I1993,$G1993)+(S$2*$M1993)))</f>
        <v/>
      </c>
      <c r="T1993" s="82" t="n"/>
      <c r="U1993" s="47">
        <f>IF(OR($M1993="",$T1993=""),"",$T1993+(U$2*$M1993))</f>
        <v/>
      </c>
      <c r="V1993" s="48">
        <f>IF(OR($M1993="",$T1993=""),"",$T1993+(V$2*$M1993))</f>
        <v/>
      </c>
      <c r="W1993" s="48">
        <f>IF(OR($M1993="",$T1993=""),"",$T1993+(W$2*$M1993))</f>
        <v/>
      </c>
      <c r="X1993" s="49">
        <f>IF(OR($M1993="",$T1993=""),"",$T1993+(X$2*$M1993))</f>
        <v/>
      </c>
      <c r="Y1993" s="47">
        <f>IF(OR($M1993="",$T1993=""),"",$T1993+(Y$2*$M1993))</f>
        <v/>
      </c>
      <c r="Z1993" s="49">
        <f>IF(OR($M1993="",$T1993=""),"",$T1993+(Z$2*$M1993))</f>
        <v/>
      </c>
      <c r="AA1993" s="51">
        <f>IF(OR($M1993="",$T1993=""),"",$T1993+(AA$2*$M1993))</f>
        <v/>
      </c>
      <c r="AB1993" s="48">
        <f>IF(OR($M1993="",$T1993=""),"",$T1993+(AB$2*$M1993))</f>
        <v/>
      </c>
      <c r="AC1993" s="48">
        <f>IF(OR($M1993="",$T1993=""),"",$T1993+(AC$2*$M1993))</f>
        <v/>
      </c>
      <c r="AD1993" s="48">
        <f>IF(OR($M1993="",$T1993=""),"",$T1993+(AD$2*$M1993))</f>
        <v/>
      </c>
      <c r="AE1993" s="49">
        <f>IF(OR($M1993="",$T1993=""),"",$T1993+(AE$2*$M1993))</f>
        <v/>
      </c>
      <c r="AF1993" s="52">
        <f>IF(OR(T1993="",I1993&lt;T1993),"",IFERROR(AVERAGE(T1993+M1993*{7,8,9,10,11})/IF(G1993="",I1993,G1993)-1,""))</f>
        <v/>
      </c>
      <c r="AG1993" s="55">
        <f>IF(OR(T1993="",I1993&lt;T1993),"",IFERROR(AF1993/-(R1993/IF(G1993="",I1993,G1993)-1),""))</f>
        <v/>
      </c>
      <c r="AH1993" s="94" t="n"/>
      <c r="AI1993" s="94" t="n"/>
      <c r="AJ1993" s="94" t="n"/>
      <c r="AK1993" s="94" t="n"/>
      <c r="AL1993" s="84" t="n"/>
    </row>
    <row r="1994">
      <c r="A1994" s="64" t="n"/>
      <c r="B1994" s="65" t="n"/>
      <c r="C1994" s="66" t="n"/>
      <c r="D1994" s="67" t="n"/>
      <c r="E1994" s="68" t="n"/>
      <c r="F1994" s="47">
        <f>IF(A1994="","",IF(MIN(H1994,MAX(J1994:K1994))=0,"",MIN(H1994,MAX(J1994:K1994))))</f>
        <v/>
      </c>
      <c r="G1994" s="74" t="n"/>
      <c r="H1994" s="49">
        <f>IF(M1994="","",IFERROR(ROUND(AVERAGE(T1994+M1994*{7,8,9,10,11})/1.21,4),""))</f>
        <v/>
      </c>
      <c r="I1994" s="76" t="n"/>
      <c r="J1994" s="77" t="n"/>
      <c r="K1994" s="74" t="n"/>
      <c r="L1994" s="78" t="n"/>
      <c r="M1994" s="77" t="n"/>
      <c r="N1994" s="53">
        <f>IF(M1994="","",IFERROR(M1994/I1994,""))</f>
        <v/>
      </c>
      <c r="O1994" s="50">
        <f>IF(A1994="","",IFERROR((IF(G1994="",I1994,G1994)-T1994)/M1994,""))</f>
        <v/>
      </c>
      <c r="P1994" s="50">
        <f>IFERROR((I1994/T1994-1)/N1994,"")</f>
        <v/>
      </c>
      <c r="Q1994" s="46">
        <f>IF(OR(T1994="",I1994&lt;T1994),"",IFERROR(R1994/IF(G1994="",I1994,G1994)-1,""))</f>
        <v/>
      </c>
      <c r="R1994" s="48">
        <f>IF($M1994="","",MAX(IF($G1994="",$I1994,$G1994)*(1/1.1),IF($G1994="",$I1994,$G1994)+(R$2*$M1994)))</f>
        <v/>
      </c>
      <c r="S1994" s="49">
        <f>IF($M1994="","",MAX(IF($G1994="",$I1994,$G1994)*(1/1.1),IF($G1994="",$I1994,$G1994)+(S$2*$M1994)))</f>
        <v/>
      </c>
      <c r="T1994" s="82" t="n"/>
      <c r="U1994" s="47">
        <f>IF(OR($M1994="",$T1994=""),"",$T1994+(U$2*$M1994))</f>
        <v/>
      </c>
      <c r="V1994" s="48">
        <f>IF(OR($M1994="",$T1994=""),"",$T1994+(V$2*$M1994))</f>
        <v/>
      </c>
      <c r="W1994" s="48">
        <f>IF(OR($M1994="",$T1994=""),"",$T1994+(W$2*$M1994))</f>
        <v/>
      </c>
      <c r="X1994" s="49">
        <f>IF(OR($M1994="",$T1994=""),"",$T1994+(X$2*$M1994))</f>
        <v/>
      </c>
      <c r="Y1994" s="47">
        <f>IF(OR($M1994="",$T1994=""),"",$T1994+(Y$2*$M1994))</f>
        <v/>
      </c>
      <c r="Z1994" s="49">
        <f>IF(OR($M1994="",$T1994=""),"",$T1994+(Z$2*$M1994))</f>
        <v/>
      </c>
      <c r="AA1994" s="51">
        <f>IF(OR($M1994="",$T1994=""),"",$T1994+(AA$2*$M1994))</f>
        <v/>
      </c>
      <c r="AB1994" s="48">
        <f>IF(OR($M1994="",$T1994=""),"",$T1994+(AB$2*$M1994))</f>
        <v/>
      </c>
      <c r="AC1994" s="48">
        <f>IF(OR($M1994="",$T1994=""),"",$T1994+(AC$2*$M1994))</f>
        <v/>
      </c>
      <c r="AD1994" s="48">
        <f>IF(OR($M1994="",$T1994=""),"",$T1994+(AD$2*$M1994))</f>
        <v/>
      </c>
      <c r="AE1994" s="49">
        <f>IF(OR($M1994="",$T1994=""),"",$T1994+(AE$2*$M1994))</f>
        <v/>
      </c>
      <c r="AF1994" s="52">
        <f>IF(OR(T1994="",I1994&lt;T1994),"",IFERROR(AVERAGE(T1994+M1994*{7,8,9,10,11})/IF(G1994="",I1994,G1994)-1,""))</f>
        <v/>
      </c>
      <c r="AG1994" s="55">
        <f>IF(OR(T1994="",I1994&lt;T1994),"",IFERROR(AF1994/-(R1994/IF(G1994="",I1994,G1994)-1),""))</f>
        <v/>
      </c>
      <c r="AH1994" s="94" t="n"/>
      <c r="AI1994" s="94" t="n"/>
      <c r="AJ1994" s="94" t="n"/>
      <c r="AK1994" s="94" t="n"/>
      <c r="AL1994" s="84" t="n"/>
    </row>
    <row r="1995">
      <c r="A1995" s="64" t="n"/>
      <c r="B1995" s="65" t="n"/>
      <c r="C1995" s="66" t="n"/>
      <c r="D1995" s="67" t="n"/>
      <c r="E1995" s="68" t="n"/>
      <c r="F1995" s="47">
        <f>IF(A1995="","",IF(MIN(H1995,MAX(J1995:K1995))=0,"",MIN(H1995,MAX(J1995:K1995))))</f>
        <v/>
      </c>
      <c r="G1995" s="74" t="n"/>
      <c r="H1995" s="49">
        <f>IF(M1995="","",IFERROR(ROUND(AVERAGE(T1995+M1995*{7,8,9,10,11})/1.21,4),""))</f>
        <v/>
      </c>
      <c r="I1995" s="76" t="n"/>
      <c r="J1995" s="77" t="n"/>
      <c r="K1995" s="74" t="n"/>
      <c r="L1995" s="78" t="n"/>
      <c r="M1995" s="77" t="n"/>
      <c r="N1995" s="53">
        <f>IF(M1995="","",IFERROR(M1995/I1995,""))</f>
        <v/>
      </c>
      <c r="O1995" s="50">
        <f>IF(A1995="","",IFERROR((IF(G1995="",I1995,G1995)-T1995)/M1995,""))</f>
        <v/>
      </c>
      <c r="P1995" s="50">
        <f>IFERROR((I1995/T1995-1)/N1995,"")</f>
        <v/>
      </c>
      <c r="Q1995" s="46">
        <f>IF(OR(T1995="",I1995&lt;T1995),"",IFERROR(R1995/IF(G1995="",I1995,G1995)-1,""))</f>
        <v/>
      </c>
      <c r="R1995" s="48">
        <f>IF($M1995="","",MAX(IF($G1995="",$I1995,$G1995)*(1/1.1),IF($G1995="",$I1995,$G1995)+(R$2*$M1995)))</f>
        <v/>
      </c>
      <c r="S1995" s="49">
        <f>IF($M1995="","",MAX(IF($G1995="",$I1995,$G1995)*(1/1.1),IF($G1995="",$I1995,$G1995)+(S$2*$M1995)))</f>
        <v/>
      </c>
      <c r="T1995" s="82" t="n"/>
      <c r="U1995" s="47">
        <f>IF(OR($M1995="",$T1995=""),"",$T1995+(U$2*$M1995))</f>
        <v/>
      </c>
      <c r="V1995" s="48">
        <f>IF(OR($M1995="",$T1995=""),"",$T1995+(V$2*$M1995))</f>
        <v/>
      </c>
      <c r="W1995" s="48">
        <f>IF(OR($M1995="",$T1995=""),"",$T1995+(W$2*$M1995))</f>
        <v/>
      </c>
      <c r="X1995" s="49">
        <f>IF(OR($M1995="",$T1995=""),"",$T1995+(X$2*$M1995))</f>
        <v/>
      </c>
      <c r="Y1995" s="47">
        <f>IF(OR($M1995="",$T1995=""),"",$T1995+(Y$2*$M1995))</f>
        <v/>
      </c>
      <c r="Z1995" s="49">
        <f>IF(OR($M1995="",$T1995=""),"",$T1995+(Z$2*$M1995))</f>
        <v/>
      </c>
      <c r="AA1995" s="51">
        <f>IF(OR($M1995="",$T1995=""),"",$T1995+(AA$2*$M1995))</f>
        <v/>
      </c>
      <c r="AB1995" s="48">
        <f>IF(OR($M1995="",$T1995=""),"",$T1995+(AB$2*$M1995))</f>
        <v/>
      </c>
      <c r="AC1995" s="48">
        <f>IF(OR($M1995="",$T1995=""),"",$T1995+(AC$2*$M1995))</f>
        <v/>
      </c>
      <c r="AD1995" s="48">
        <f>IF(OR($M1995="",$T1995=""),"",$T1995+(AD$2*$M1995))</f>
        <v/>
      </c>
      <c r="AE1995" s="49">
        <f>IF(OR($M1995="",$T1995=""),"",$T1995+(AE$2*$M1995))</f>
        <v/>
      </c>
      <c r="AF1995" s="52">
        <f>IF(OR(T1995="",I1995&lt;T1995),"",IFERROR(AVERAGE(T1995+M1995*{7,8,9,10,11})/IF(G1995="",I1995,G1995)-1,""))</f>
        <v/>
      </c>
      <c r="AG1995" s="55">
        <f>IF(OR(T1995="",I1995&lt;T1995),"",IFERROR(AF1995/-(R1995/IF(G1995="",I1995,G1995)-1),""))</f>
        <v/>
      </c>
      <c r="AH1995" s="94" t="n"/>
      <c r="AI1995" s="94" t="n"/>
      <c r="AJ1995" s="94" t="n"/>
      <c r="AK1995" s="94" t="n"/>
      <c r="AL1995" s="84" t="n"/>
    </row>
    <row r="1996">
      <c r="A1996" s="64" t="n"/>
      <c r="B1996" s="65" t="n"/>
      <c r="C1996" s="66" t="n"/>
      <c r="D1996" s="67" t="n"/>
      <c r="E1996" s="68" t="n"/>
      <c r="F1996" s="47">
        <f>IF(A1996="","",IF(MIN(H1996,MAX(J1996:K1996))=0,"",MIN(H1996,MAX(J1996:K1996))))</f>
        <v/>
      </c>
      <c r="G1996" s="74" t="n"/>
      <c r="H1996" s="49">
        <f>IF(M1996="","",IFERROR(ROUND(AVERAGE(T1996+M1996*{7,8,9,10,11})/1.21,4),""))</f>
        <v/>
      </c>
      <c r="I1996" s="76" t="n"/>
      <c r="J1996" s="77" t="n"/>
      <c r="K1996" s="74" t="n"/>
      <c r="L1996" s="78" t="n"/>
      <c r="M1996" s="77" t="n"/>
      <c r="N1996" s="53">
        <f>IF(M1996="","",IFERROR(M1996/I1996,""))</f>
        <v/>
      </c>
      <c r="O1996" s="50">
        <f>IF(A1996="","",IFERROR((IF(G1996="",I1996,G1996)-T1996)/M1996,""))</f>
        <v/>
      </c>
      <c r="P1996" s="50">
        <f>IFERROR((I1996/T1996-1)/N1996,"")</f>
        <v/>
      </c>
      <c r="Q1996" s="46">
        <f>IF(OR(T1996="",I1996&lt;T1996),"",IFERROR(R1996/IF(G1996="",I1996,G1996)-1,""))</f>
        <v/>
      </c>
      <c r="R1996" s="48">
        <f>IF($M1996="","",MAX(IF($G1996="",$I1996,$G1996)*(1/1.1),IF($G1996="",$I1996,$G1996)+(R$2*$M1996)))</f>
        <v/>
      </c>
      <c r="S1996" s="49">
        <f>IF($M1996="","",MAX(IF($G1996="",$I1996,$G1996)*(1/1.1),IF($G1996="",$I1996,$G1996)+(S$2*$M1996)))</f>
        <v/>
      </c>
      <c r="T1996" s="82" t="n"/>
      <c r="U1996" s="47">
        <f>IF(OR($M1996="",$T1996=""),"",$T1996+(U$2*$M1996))</f>
        <v/>
      </c>
      <c r="V1996" s="48">
        <f>IF(OR($M1996="",$T1996=""),"",$T1996+(V$2*$M1996))</f>
        <v/>
      </c>
      <c r="W1996" s="48">
        <f>IF(OR($M1996="",$T1996=""),"",$T1996+(W$2*$M1996))</f>
        <v/>
      </c>
      <c r="X1996" s="49">
        <f>IF(OR($M1996="",$T1996=""),"",$T1996+(X$2*$M1996))</f>
        <v/>
      </c>
      <c r="Y1996" s="47">
        <f>IF(OR($M1996="",$T1996=""),"",$T1996+(Y$2*$M1996))</f>
        <v/>
      </c>
      <c r="Z1996" s="49">
        <f>IF(OR($M1996="",$T1996=""),"",$T1996+(Z$2*$M1996))</f>
        <v/>
      </c>
      <c r="AA1996" s="51">
        <f>IF(OR($M1996="",$T1996=""),"",$T1996+(AA$2*$M1996))</f>
        <v/>
      </c>
      <c r="AB1996" s="48">
        <f>IF(OR($M1996="",$T1996=""),"",$T1996+(AB$2*$M1996))</f>
        <v/>
      </c>
      <c r="AC1996" s="48">
        <f>IF(OR($M1996="",$T1996=""),"",$T1996+(AC$2*$M1996))</f>
        <v/>
      </c>
      <c r="AD1996" s="48">
        <f>IF(OR($M1996="",$T1996=""),"",$T1996+(AD$2*$M1996))</f>
        <v/>
      </c>
      <c r="AE1996" s="49">
        <f>IF(OR($M1996="",$T1996=""),"",$T1996+(AE$2*$M1996))</f>
        <v/>
      </c>
      <c r="AF1996" s="52">
        <f>IF(OR(T1996="",I1996&lt;T1996),"",IFERROR(AVERAGE(T1996+M1996*{7,8,9,10,11})/IF(G1996="",I1996,G1996)-1,""))</f>
        <v/>
      </c>
      <c r="AG1996" s="55">
        <f>IF(OR(T1996="",I1996&lt;T1996),"",IFERROR(AF1996/-(R1996/IF(G1996="",I1996,G1996)-1),""))</f>
        <v/>
      </c>
      <c r="AH1996" s="94" t="n"/>
      <c r="AI1996" s="94" t="n"/>
      <c r="AJ1996" s="94" t="n"/>
      <c r="AK1996" s="94" t="n"/>
      <c r="AL1996" s="84" t="n"/>
    </row>
    <row r="1997">
      <c r="A1997" s="64" t="n"/>
      <c r="B1997" s="65" t="n"/>
      <c r="C1997" s="66" t="n"/>
      <c r="D1997" s="67" t="n"/>
      <c r="E1997" s="68" t="n"/>
      <c r="F1997" s="47">
        <f>IF(A1997="","",IF(MIN(H1997,MAX(J1997:K1997))=0,"",MIN(H1997,MAX(J1997:K1997))))</f>
        <v/>
      </c>
      <c r="G1997" s="74" t="n"/>
      <c r="H1997" s="49">
        <f>IF(M1997="","",IFERROR(ROUND(AVERAGE(T1997+M1997*{7,8,9,10,11})/1.21,4),""))</f>
        <v/>
      </c>
      <c r="I1997" s="76" t="n"/>
      <c r="J1997" s="77" t="n"/>
      <c r="K1997" s="74" t="n"/>
      <c r="L1997" s="78" t="n"/>
      <c r="M1997" s="77" t="n"/>
      <c r="N1997" s="53">
        <f>IF(M1997="","",IFERROR(M1997/I1997,""))</f>
        <v/>
      </c>
      <c r="O1997" s="50">
        <f>IF(A1997="","",IFERROR((IF(G1997="",I1997,G1997)-T1997)/M1997,""))</f>
        <v/>
      </c>
      <c r="P1997" s="50">
        <f>IFERROR((I1997/T1997-1)/N1997,"")</f>
        <v/>
      </c>
      <c r="Q1997" s="46">
        <f>IF(OR(T1997="",I1997&lt;T1997),"",IFERROR(R1997/IF(G1997="",I1997,G1997)-1,""))</f>
        <v/>
      </c>
      <c r="R1997" s="48">
        <f>IF($M1997="","",MAX(IF($G1997="",$I1997,$G1997)*(1/1.1),IF($G1997="",$I1997,$G1997)+(R$2*$M1997)))</f>
        <v/>
      </c>
      <c r="S1997" s="49">
        <f>IF($M1997="","",MAX(IF($G1997="",$I1997,$G1997)*(1/1.1),IF($G1997="",$I1997,$G1997)+(S$2*$M1997)))</f>
        <v/>
      </c>
      <c r="T1997" s="82" t="n"/>
      <c r="U1997" s="47">
        <f>IF(OR($M1997="",$T1997=""),"",$T1997+(U$2*$M1997))</f>
        <v/>
      </c>
      <c r="V1997" s="48">
        <f>IF(OR($M1997="",$T1997=""),"",$T1997+(V$2*$M1997))</f>
        <v/>
      </c>
      <c r="W1997" s="48">
        <f>IF(OR($M1997="",$T1997=""),"",$T1997+(W$2*$M1997))</f>
        <v/>
      </c>
      <c r="X1997" s="49">
        <f>IF(OR($M1997="",$T1997=""),"",$T1997+(X$2*$M1997))</f>
        <v/>
      </c>
      <c r="Y1997" s="47">
        <f>IF(OR($M1997="",$T1997=""),"",$T1997+(Y$2*$M1997))</f>
        <v/>
      </c>
      <c r="Z1997" s="49">
        <f>IF(OR($M1997="",$T1997=""),"",$T1997+(Z$2*$M1997))</f>
        <v/>
      </c>
      <c r="AA1997" s="51">
        <f>IF(OR($M1997="",$T1997=""),"",$T1997+(AA$2*$M1997))</f>
        <v/>
      </c>
      <c r="AB1997" s="48">
        <f>IF(OR($M1997="",$T1997=""),"",$T1997+(AB$2*$M1997))</f>
        <v/>
      </c>
      <c r="AC1997" s="48">
        <f>IF(OR($M1997="",$T1997=""),"",$T1997+(AC$2*$M1997))</f>
        <v/>
      </c>
      <c r="AD1997" s="48">
        <f>IF(OR($M1997="",$T1997=""),"",$T1997+(AD$2*$M1997))</f>
        <v/>
      </c>
      <c r="AE1997" s="49">
        <f>IF(OR($M1997="",$T1997=""),"",$T1997+(AE$2*$M1997))</f>
        <v/>
      </c>
      <c r="AF1997" s="52">
        <f>IF(OR(T1997="",I1997&lt;T1997),"",IFERROR(AVERAGE(T1997+M1997*{7,8,9,10,11})/IF(G1997="",I1997,G1997)-1,""))</f>
        <v/>
      </c>
      <c r="AG1997" s="55">
        <f>IF(OR(T1997="",I1997&lt;T1997),"",IFERROR(AF1997/-(R1997/IF(G1997="",I1997,G1997)-1),""))</f>
        <v/>
      </c>
      <c r="AH1997" s="94" t="n"/>
      <c r="AI1997" s="94" t="n"/>
      <c r="AJ1997" s="94" t="n"/>
      <c r="AK1997" s="94" t="n"/>
      <c r="AL1997" s="84" t="n"/>
    </row>
    <row r="1998">
      <c r="A1998" s="64" t="n"/>
      <c r="B1998" s="65" t="n"/>
      <c r="C1998" s="66" t="n"/>
      <c r="D1998" s="67" t="n"/>
      <c r="E1998" s="68" t="n"/>
      <c r="F1998" s="47">
        <f>IF(A1998="","",IF(MIN(H1998,MAX(J1998:K1998))=0,"",MIN(H1998,MAX(J1998:K1998))))</f>
        <v/>
      </c>
      <c r="G1998" s="74" t="n"/>
      <c r="H1998" s="49">
        <f>IF(M1998="","",IFERROR(ROUND(AVERAGE(T1998+M1998*{7,8,9,10,11})/1.21,4),""))</f>
        <v/>
      </c>
      <c r="I1998" s="76" t="n"/>
      <c r="J1998" s="77" t="n"/>
      <c r="K1998" s="74" t="n"/>
      <c r="L1998" s="78" t="n"/>
      <c r="M1998" s="77" t="n"/>
      <c r="N1998" s="53">
        <f>IF(M1998="","",IFERROR(M1998/I1998,""))</f>
        <v/>
      </c>
      <c r="O1998" s="50">
        <f>IF(A1998="","",IFERROR((IF(G1998="",I1998,G1998)-T1998)/M1998,""))</f>
        <v/>
      </c>
      <c r="P1998" s="50">
        <f>IFERROR((I1998/T1998-1)/N1998,"")</f>
        <v/>
      </c>
      <c r="Q1998" s="46">
        <f>IF(OR(T1998="",I1998&lt;T1998),"",IFERROR(R1998/IF(G1998="",I1998,G1998)-1,""))</f>
        <v/>
      </c>
      <c r="R1998" s="48">
        <f>IF($M1998="","",MAX(IF($G1998="",$I1998,$G1998)*(1/1.1),IF($G1998="",$I1998,$G1998)+(R$2*$M1998)))</f>
        <v/>
      </c>
      <c r="S1998" s="49">
        <f>IF($M1998="","",MAX(IF($G1998="",$I1998,$G1998)*(1/1.1),IF($G1998="",$I1998,$G1998)+(S$2*$M1998)))</f>
        <v/>
      </c>
      <c r="T1998" s="82" t="n"/>
      <c r="U1998" s="47">
        <f>IF(OR($M1998="",$T1998=""),"",$T1998+(U$2*$M1998))</f>
        <v/>
      </c>
      <c r="V1998" s="48">
        <f>IF(OR($M1998="",$T1998=""),"",$T1998+(V$2*$M1998))</f>
        <v/>
      </c>
      <c r="W1998" s="48">
        <f>IF(OR($M1998="",$T1998=""),"",$T1998+(W$2*$M1998))</f>
        <v/>
      </c>
      <c r="X1998" s="49">
        <f>IF(OR($M1998="",$T1998=""),"",$T1998+(X$2*$M1998))</f>
        <v/>
      </c>
      <c r="Y1998" s="47">
        <f>IF(OR($M1998="",$T1998=""),"",$T1998+(Y$2*$M1998))</f>
        <v/>
      </c>
      <c r="Z1998" s="49">
        <f>IF(OR($M1998="",$T1998=""),"",$T1998+(Z$2*$M1998))</f>
        <v/>
      </c>
      <c r="AA1998" s="51">
        <f>IF(OR($M1998="",$T1998=""),"",$T1998+(AA$2*$M1998))</f>
        <v/>
      </c>
      <c r="AB1998" s="48">
        <f>IF(OR($M1998="",$T1998=""),"",$T1998+(AB$2*$M1998))</f>
        <v/>
      </c>
      <c r="AC1998" s="48">
        <f>IF(OR($M1998="",$T1998=""),"",$T1998+(AC$2*$M1998))</f>
        <v/>
      </c>
      <c r="AD1998" s="48">
        <f>IF(OR($M1998="",$T1998=""),"",$T1998+(AD$2*$M1998))</f>
        <v/>
      </c>
      <c r="AE1998" s="49">
        <f>IF(OR($M1998="",$T1998=""),"",$T1998+(AE$2*$M1998))</f>
        <v/>
      </c>
      <c r="AF1998" s="52">
        <f>IF(OR(T1998="",I1998&lt;T1998),"",IFERROR(AVERAGE(T1998+M1998*{7,8,9,10,11})/IF(G1998="",I1998,G1998)-1,""))</f>
        <v/>
      </c>
      <c r="AG1998" s="55">
        <f>IF(OR(T1998="",I1998&lt;T1998),"",IFERROR(AF1998/-(R1998/IF(G1998="",I1998,G1998)-1),""))</f>
        <v/>
      </c>
      <c r="AH1998" s="94" t="n"/>
      <c r="AI1998" s="94" t="n"/>
      <c r="AJ1998" s="94" t="n"/>
      <c r="AK1998" s="94" t="n"/>
      <c r="AL1998" s="84" t="n"/>
    </row>
    <row r="1999">
      <c r="A1999" s="64" t="n"/>
      <c r="B1999" s="65" t="n"/>
      <c r="C1999" s="66" t="n"/>
      <c r="D1999" s="67" t="n"/>
      <c r="E1999" s="68" t="n"/>
      <c r="F1999" s="47">
        <f>IF(A1999="","",IF(MIN(H1999,MAX(J1999:K1999))=0,"",MIN(H1999,MAX(J1999:K1999))))</f>
        <v/>
      </c>
      <c r="G1999" s="74" t="n"/>
      <c r="H1999" s="49">
        <f>IF(M1999="","",IFERROR(ROUND(AVERAGE(T1999+M1999*{7,8,9,10,11})/1.21,4),""))</f>
        <v/>
      </c>
      <c r="I1999" s="76" t="n"/>
      <c r="J1999" s="77" t="n"/>
      <c r="K1999" s="74" t="n"/>
      <c r="L1999" s="78" t="n"/>
      <c r="M1999" s="77" t="n"/>
      <c r="N1999" s="53">
        <f>IF(M1999="","",IFERROR(M1999/I1999,""))</f>
        <v/>
      </c>
      <c r="O1999" s="50">
        <f>IF(A1999="","",IFERROR((IF(G1999="",I1999,G1999)-T1999)/M1999,""))</f>
        <v/>
      </c>
      <c r="P1999" s="50">
        <f>IFERROR((I1999/T1999-1)/N1999,"")</f>
        <v/>
      </c>
      <c r="Q1999" s="46">
        <f>IF(OR(T1999="",I1999&lt;T1999),"",IFERROR(R1999/IF(G1999="",I1999,G1999)-1,""))</f>
        <v/>
      </c>
      <c r="R1999" s="48">
        <f>IF($M1999="","",MAX(IF($G1999="",$I1999,$G1999)*(1/1.1),IF($G1999="",$I1999,$G1999)+(R$2*$M1999)))</f>
        <v/>
      </c>
      <c r="S1999" s="49">
        <f>IF($M1999="","",MAX(IF($G1999="",$I1999,$G1999)*(1/1.1),IF($G1999="",$I1999,$G1999)+(S$2*$M1999)))</f>
        <v/>
      </c>
      <c r="T1999" s="82" t="n"/>
      <c r="U1999" s="47">
        <f>IF(OR($M1999="",$T1999=""),"",$T1999+(U$2*$M1999))</f>
        <v/>
      </c>
      <c r="V1999" s="48">
        <f>IF(OR($M1999="",$T1999=""),"",$T1999+(V$2*$M1999))</f>
        <v/>
      </c>
      <c r="W1999" s="48">
        <f>IF(OR($M1999="",$T1999=""),"",$T1999+(W$2*$M1999))</f>
        <v/>
      </c>
      <c r="X1999" s="49">
        <f>IF(OR($M1999="",$T1999=""),"",$T1999+(X$2*$M1999))</f>
        <v/>
      </c>
      <c r="Y1999" s="47">
        <f>IF(OR($M1999="",$T1999=""),"",$T1999+(Y$2*$M1999))</f>
        <v/>
      </c>
      <c r="Z1999" s="49">
        <f>IF(OR($M1999="",$T1999=""),"",$T1999+(Z$2*$M1999))</f>
        <v/>
      </c>
      <c r="AA1999" s="51">
        <f>IF(OR($M1999="",$T1999=""),"",$T1999+(AA$2*$M1999))</f>
        <v/>
      </c>
      <c r="AB1999" s="48">
        <f>IF(OR($M1999="",$T1999=""),"",$T1999+(AB$2*$M1999))</f>
        <v/>
      </c>
      <c r="AC1999" s="48">
        <f>IF(OR($M1999="",$T1999=""),"",$T1999+(AC$2*$M1999))</f>
        <v/>
      </c>
      <c r="AD1999" s="48">
        <f>IF(OR($M1999="",$T1999=""),"",$T1999+(AD$2*$M1999))</f>
        <v/>
      </c>
      <c r="AE1999" s="49">
        <f>IF(OR($M1999="",$T1999=""),"",$T1999+(AE$2*$M1999))</f>
        <v/>
      </c>
      <c r="AF1999" s="52">
        <f>IF(OR(T1999="",I1999&lt;T1999),"",IFERROR(AVERAGE(T1999+M1999*{7,8,9,10,11})/IF(G1999="",I1999,G1999)-1,""))</f>
        <v/>
      </c>
      <c r="AG1999" s="55">
        <f>IF(OR(T1999="",I1999&lt;T1999),"",IFERROR(AF1999/-(R1999/IF(G1999="",I1999,G1999)-1),""))</f>
        <v/>
      </c>
      <c r="AH1999" s="94" t="n"/>
      <c r="AI1999" s="94" t="n"/>
      <c r="AJ1999" s="94" t="n"/>
      <c r="AK1999" s="94" t="n"/>
      <c r="AL1999" s="84" t="n"/>
    </row>
    <row r="2000">
      <c r="A2000" s="64" t="n"/>
      <c r="B2000" s="65" t="n"/>
      <c r="C2000" s="66" t="n"/>
      <c r="D2000" s="67" t="n"/>
      <c r="E2000" s="68" t="n"/>
      <c r="F2000" s="47">
        <f>IF(A2000="","",IF(MIN(H2000,MAX(J2000:K2000))=0,"",MIN(H2000,MAX(J2000:K2000))))</f>
        <v/>
      </c>
      <c r="G2000" s="74" t="n"/>
      <c r="H2000" s="49">
        <f>IF(M2000="","",IFERROR(ROUND(AVERAGE(T2000+M2000*{7,8,9,10,11})/1.21,4),""))</f>
        <v/>
      </c>
      <c r="I2000" s="76" t="n"/>
      <c r="J2000" s="77" t="n"/>
      <c r="K2000" s="74" t="n"/>
      <c r="L2000" s="78" t="n"/>
      <c r="M2000" s="77" t="n"/>
      <c r="N2000" s="53">
        <f>IF(M2000="","",IFERROR(M2000/I2000,""))</f>
        <v/>
      </c>
      <c r="O2000" s="50">
        <f>IF(A2000="","",IFERROR((IF(G2000="",I2000,G2000)-T2000)/M2000,""))</f>
        <v/>
      </c>
      <c r="P2000" s="50">
        <f>IFERROR((I2000/T2000-1)/N2000,"")</f>
        <v/>
      </c>
      <c r="Q2000" s="46">
        <f>IF(OR(T2000="",I2000&lt;T2000),"",IFERROR(R2000/IF(G2000="",I2000,G2000)-1,""))</f>
        <v/>
      </c>
      <c r="R2000" s="48">
        <f>IF($M2000="","",MAX(IF($G2000="",$I2000,$G2000)*(1/1.1),IF($G2000="",$I2000,$G2000)+(R$2*$M2000)))</f>
        <v/>
      </c>
      <c r="S2000" s="49">
        <f>IF($M2000="","",MAX(IF($G2000="",$I2000,$G2000)*(1/1.1),IF($G2000="",$I2000,$G2000)+(S$2*$M2000)))</f>
        <v/>
      </c>
      <c r="T2000" s="82" t="n"/>
      <c r="U2000" s="47">
        <f>IF(OR($M2000="",$T2000=""),"",$T2000+(U$2*$M2000))</f>
        <v/>
      </c>
      <c r="V2000" s="48">
        <f>IF(OR($M2000="",$T2000=""),"",$T2000+(V$2*$M2000))</f>
        <v/>
      </c>
      <c r="W2000" s="48">
        <f>IF(OR($M2000="",$T2000=""),"",$T2000+(W$2*$M2000))</f>
        <v/>
      </c>
      <c r="X2000" s="49">
        <f>IF(OR($M2000="",$T2000=""),"",$T2000+(X$2*$M2000))</f>
        <v/>
      </c>
      <c r="Y2000" s="47">
        <f>IF(OR($M2000="",$T2000=""),"",$T2000+(Y$2*$M2000))</f>
        <v/>
      </c>
      <c r="Z2000" s="49">
        <f>IF(OR($M2000="",$T2000=""),"",$T2000+(Z$2*$M2000))</f>
        <v/>
      </c>
      <c r="AA2000" s="51">
        <f>IF(OR($M2000="",$T2000=""),"",$T2000+(AA$2*$M2000))</f>
        <v/>
      </c>
      <c r="AB2000" s="48">
        <f>IF(OR($M2000="",$T2000=""),"",$T2000+(AB$2*$M2000))</f>
        <v/>
      </c>
      <c r="AC2000" s="48">
        <f>IF(OR($M2000="",$T2000=""),"",$T2000+(AC$2*$M2000))</f>
        <v/>
      </c>
      <c r="AD2000" s="48">
        <f>IF(OR($M2000="",$T2000=""),"",$T2000+(AD$2*$M2000))</f>
        <v/>
      </c>
      <c r="AE2000" s="49">
        <f>IF(OR($M2000="",$T2000=""),"",$T2000+(AE$2*$M2000))</f>
        <v/>
      </c>
      <c r="AF2000" s="52">
        <f>IF(OR(T2000="",I2000&lt;T2000),"",IFERROR(AVERAGE(T2000+M2000*{7,8,9,10,11})/IF(G2000="",I2000,G2000)-1,""))</f>
        <v/>
      </c>
      <c r="AG2000" s="55">
        <f>IF(OR(T2000="",I2000&lt;T2000),"",IFERROR(AF2000/-(R2000/IF(G2000="",I2000,G2000)-1),""))</f>
        <v/>
      </c>
      <c r="AH2000" s="94" t="n"/>
      <c r="AI2000" s="94" t="n"/>
      <c r="AJ2000" s="94" t="n"/>
      <c r="AK2000" s="94" t="n"/>
      <c r="AL2000" s="84" t="n"/>
    </row>
    <row r="2001">
      <c r="A2001" s="64" t="n"/>
      <c r="B2001" s="65" t="n"/>
      <c r="C2001" s="66" t="n"/>
      <c r="D2001" s="67" t="n"/>
      <c r="E2001" s="68" t="n"/>
      <c r="F2001" s="47">
        <f>IF(A2001="","",IF(MIN(H2001,MAX(J2001:K2001))=0,"",MIN(H2001,MAX(J2001:K2001))))</f>
        <v/>
      </c>
      <c r="G2001" s="74" t="n"/>
      <c r="H2001" s="49">
        <f>IF(M2001="","",IFERROR(ROUND(AVERAGE(T2001+M2001*{7,8,9,10,11})/1.21,4),""))</f>
        <v/>
      </c>
      <c r="I2001" s="76" t="n"/>
      <c r="J2001" s="77" t="n"/>
      <c r="K2001" s="74" t="n"/>
      <c r="L2001" s="78" t="n"/>
      <c r="M2001" s="77" t="n"/>
      <c r="N2001" s="53">
        <f>IF(M2001="","",IFERROR(M2001/I2001,""))</f>
        <v/>
      </c>
      <c r="O2001" s="50">
        <f>IF(A2001="","",IFERROR((IF(G2001="",I2001,G2001)-T2001)/M2001,""))</f>
        <v/>
      </c>
      <c r="P2001" s="50">
        <f>IFERROR((I2001/T2001-1)/N2001,"")</f>
        <v/>
      </c>
      <c r="Q2001" s="46">
        <f>IF(OR(T2001="",I2001&lt;T2001),"",IFERROR(R2001/IF(G2001="",I2001,G2001)-1,""))</f>
        <v/>
      </c>
      <c r="R2001" s="48">
        <f>IF($M2001="","",MAX(IF($G2001="",$I2001,$G2001)*(1/1.1),IF($G2001="",$I2001,$G2001)+(R$2*$M2001)))</f>
        <v/>
      </c>
      <c r="S2001" s="49">
        <f>IF($M2001="","",MAX(IF($G2001="",$I2001,$G2001)*(1/1.1),IF($G2001="",$I2001,$G2001)+(S$2*$M2001)))</f>
        <v/>
      </c>
      <c r="T2001" s="82" t="n"/>
      <c r="U2001" s="47">
        <f>IF(OR($M2001="",$T2001=""),"",$T2001+(U$2*$M2001))</f>
        <v/>
      </c>
      <c r="V2001" s="48">
        <f>IF(OR($M2001="",$T2001=""),"",$T2001+(V$2*$M2001))</f>
        <v/>
      </c>
      <c r="W2001" s="48">
        <f>IF(OR($M2001="",$T2001=""),"",$T2001+(W$2*$M2001))</f>
        <v/>
      </c>
      <c r="X2001" s="49">
        <f>IF(OR($M2001="",$T2001=""),"",$T2001+(X$2*$M2001))</f>
        <v/>
      </c>
      <c r="Y2001" s="47">
        <f>IF(OR($M2001="",$T2001=""),"",$T2001+(Y$2*$M2001))</f>
        <v/>
      </c>
      <c r="Z2001" s="49">
        <f>IF(OR($M2001="",$T2001=""),"",$T2001+(Z$2*$M2001))</f>
        <v/>
      </c>
      <c r="AA2001" s="51">
        <f>IF(OR($M2001="",$T2001=""),"",$T2001+(AA$2*$M2001))</f>
        <v/>
      </c>
      <c r="AB2001" s="48">
        <f>IF(OR($M2001="",$T2001=""),"",$T2001+(AB$2*$M2001))</f>
        <v/>
      </c>
      <c r="AC2001" s="48">
        <f>IF(OR($M2001="",$T2001=""),"",$T2001+(AC$2*$M2001))</f>
        <v/>
      </c>
      <c r="AD2001" s="48">
        <f>IF(OR($M2001="",$T2001=""),"",$T2001+(AD$2*$M2001))</f>
        <v/>
      </c>
      <c r="AE2001" s="49">
        <f>IF(OR($M2001="",$T2001=""),"",$T2001+(AE$2*$M2001))</f>
        <v/>
      </c>
      <c r="AF2001" s="52">
        <f>IF(OR(T2001="",I2001&lt;T2001),"",IFERROR(AVERAGE(T2001+M2001*{7,8,9,10,11})/IF(G2001="",I2001,G2001)-1,""))</f>
        <v/>
      </c>
      <c r="AG2001" s="55">
        <f>IF(OR(T2001="",I2001&lt;T2001),"",IFERROR(AF2001/-(R2001/IF(G2001="",I2001,G2001)-1),""))</f>
        <v/>
      </c>
      <c r="AH2001" s="94" t="n"/>
      <c r="AI2001" s="94" t="n"/>
      <c r="AJ2001" s="94" t="n"/>
      <c r="AK2001" s="94" t="n"/>
      <c r="AL2001" s="84" t="n"/>
    </row>
    <row r="2002">
      <c r="A2002" s="64" t="n"/>
      <c r="B2002" s="65" t="n"/>
      <c r="C2002" s="66" t="n"/>
      <c r="D2002" s="67" t="n"/>
      <c r="E2002" s="68" t="n"/>
      <c r="F2002" s="47">
        <f>IF(A2002="","",IF(MIN(H2002,MAX(J2002:K2002))=0,"",MIN(H2002,MAX(J2002:K2002))))</f>
        <v/>
      </c>
      <c r="G2002" s="74" t="n"/>
      <c r="H2002" s="49">
        <f>IF(M2002="","",IFERROR(ROUND(AVERAGE(T2002+M2002*{7,8,9,10,11})/1.21,4),""))</f>
        <v/>
      </c>
      <c r="I2002" s="76" t="n"/>
      <c r="J2002" s="77" t="n"/>
      <c r="K2002" s="74" t="n"/>
      <c r="L2002" s="78" t="n"/>
      <c r="M2002" s="77" t="n"/>
      <c r="N2002" s="53">
        <f>IF(M2002="","",IFERROR(M2002/I2002,""))</f>
        <v/>
      </c>
      <c r="O2002" s="50">
        <f>IF(A2002="","",IFERROR((IF(G2002="",I2002,G2002)-T2002)/M2002,""))</f>
        <v/>
      </c>
      <c r="P2002" s="50">
        <f>IFERROR((I2002/T2002-1)/N2002,"")</f>
        <v/>
      </c>
      <c r="Q2002" s="46">
        <f>IF(OR(T2002="",I2002&lt;T2002),"",IFERROR(R2002/IF(G2002="",I2002,G2002)-1,""))</f>
        <v/>
      </c>
      <c r="R2002" s="48">
        <f>IF($M2002="","",MAX(IF($G2002="",$I2002,$G2002)*(1/1.1),IF($G2002="",$I2002,$G2002)+(R$2*$M2002)))</f>
        <v/>
      </c>
      <c r="S2002" s="49">
        <f>IF($M2002="","",MAX(IF($G2002="",$I2002,$G2002)*(1/1.1),IF($G2002="",$I2002,$G2002)+(S$2*$M2002)))</f>
        <v/>
      </c>
      <c r="T2002" s="82" t="n"/>
      <c r="U2002" s="47">
        <f>IF(OR($M2002="",$T2002=""),"",$T2002+(U$2*$M2002))</f>
        <v/>
      </c>
      <c r="V2002" s="48">
        <f>IF(OR($M2002="",$T2002=""),"",$T2002+(V$2*$M2002))</f>
        <v/>
      </c>
      <c r="W2002" s="48">
        <f>IF(OR($M2002="",$T2002=""),"",$T2002+(W$2*$M2002))</f>
        <v/>
      </c>
      <c r="X2002" s="49">
        <f>IF(OR($M2002="",$T2002=""),"",$T2002+(X$2*$M2002))</f>
        <v/>
      </c>
      <c r="Y2002" s="47">
        <f>IF(OR($M2002="",$T2002=""),"",$T2002+(Y$2*$M2002))</f>
        <v/>
      </c>
      <c r="Z2002" s="49">
        <f>IF(OR($M2002="",$T2002=""),"",$T2002+(Z$2*$M2002))</f>
        <v/>
      </c>
      <c r="AA2002" s="51">
        <f>IF(OR($M2002="",$T2002=""),"",$T2002+(AA$2*$M2002))</f>
        <v/>
      </c>
      <c r="AB2002" s="48">
        <f>IF(OR($M2002="",$T2002=""),"",$T2002+(AB$2*$M2002))</f>
        <v/>
      </c>
      <c r="AC2002" s="48">
        <f>IF(OR($M2002="",$T2002=""),"",$T2002+(AC$2*$M2002))</f>
        <v/>
      </c>
      <c r="AD2002" s="48">
        <f>IF(OR($M2002="",$T2002=""),"",$T2002+(AD$2*$M2002))</f>
        <v/>
      </c>
      <c r="AE2002" s="49">
        <f>IF(OR($M2002="",$T2002=""),"",$T2002+(AE$2*$M2002))</f>
        <v/>
      </c>
      <c r="AF2002" s="52">
        <f>IF(OR(T2002="",I2002&lt;T2002),"",IFERROR(AVERAGE(T2002+M2002*{7,8,9,10,11})/IF(G2002="",I2002,G2002)-1,""))</f>
        <v/>
      </c>
      <c r="AG2002" s="55">
        <f>IF(OR(T2002="",I2002&lt;T2002),"",IFERROR(AF2002/-(R2002/IF(G2002="",I2002,G2002)-1),""))</f>
        <v/>
      </c>
      <c r="AH2002" s="94" t="n"/>
      <c r="AI2002" s="94" t="n"/>
      <c r="AJ2002" s="94" t="n"/>
      <c r="AK2002" s="94" t="n"/>
      <c r="AL2002" s="84" t="n"/>
    </row>
    <row r="2003">
      <c r="A2003" s="64" t="n"/>
      <c r="B2003" s="65" t="n"/>
      <c r="C2003" s="66" t="n"/>
      <c r="D2003" s="67" t="n"/>
      <c r="E2003" s="68" t="n"/>
      <c r="F2003" s="47">
        <f>IF(A2003="","",IF(MIN(H2003,MAX(J2003:K2003))=0,"",MIN(H2003,MAX(J2003:K2003))))</f>
        <v/>
      </c>
      <c r="G2003" s="74" t="n"/>
      <c r="H2003" s="49">
        <f>IF(M2003="","",IFERROR(ROUND(AVERAGE(T2003+M2003*{7,8,9,10,11})/1.21,4),""))</f>
        <v/>
      </c>
      <c r="I2003" s="76" t="n"/>
      <c r="J2003" s="77" t="n"/>
      <c r="K2003" s="74" t="n"/>
      <c r="L2003" s="78" t="n"/>
      <c r="M2003" s="77" t="n"/>
      <c r="N2003" s="53">
        <f>IF(M2003="","",IFERROR(M2003/I2003,""))</f>
        <v/>
      </c>
      <c r="O2003" s="50">
        <f>IF(A2003="","",IFERROR((IF(G2003="",I2003,G2003)-T2003)/M2003,""))</f>
        <v/>
      </c>
      <c r="P2003" s="50">
        <f>IFERROR((I2003/T2003-1)/N2003,"")</f>
        <v/>
      </c>
      <c r="Q2003" s="46">
        <f>IF(OR(T2003="",I2003&lt;T2003),"",IFERROR(R2003/IF(G2003="",I2003,G2003)-1,""))</f>
        <v/>
      </c>
      <c r="R2003" s="48">
        <f>IF($M2003="","",MAX(IF($G2003="",$I2003,$G2003)*(1/1.1),IF($G2003="",$I2003,$G2003)+(R$2*$M2003)))</f>
        <v/>
      </c>
      <c r="S2003" s="49">
        <f>IF($M2003="","",MAX(IF($G2003="",$I2003,$G2003)*(1/1.1),IF($G2003="",$I2003,$G2003)+(S$2*$M2003)))</f>
        <v/>
      </c>
      <c r="T2003" s="82" t="n"/>
      <c r="U2003" s="47">
        <f>IF(OR($M2003="",$T2003=""),"",$T2003+(U$2*$M2003))</f>
        <v/>
      </c>
      <c r="V2003" s="48">
        <f>IF(OR($M2003="",$T2003=""),"",$T2003+(V$2*$M2003))</f>
        <v/>
      </c>
      <c r="W2003" s="48">
        <f>IF(OR($M2003="",$T2003=""),"",$T2003+(W$2*$M2003))</f>
        <v/>
      </c>
      <c r="X2003" s="49">
        <f>IF(OR($M2003="",$T2003=""),"",$T2003+(X$2*$M2003))</f>
        <v/>
      </c>
      <c r="Y2003" s="47">
        <f>IF(OR($M2003="",$T2003=""),"",$T2003+(Y$2*$M2003))</f>
        <v/>
      </c>
      <c r="Z2003" s="49">
        <f>IF(OR($M2003="",$T2003=""),"",$T2003+(Z$2*$M2003))</f>
        <v/>
      </c>
      <c r="AA2003" s="51">
        <f>IF(OR($M2003="",$T2003=""),"",$T2003+(AA$2*$M2003))</f>
        <v/>
      </c>
      <c r="AB2003" s="48">
        <f>IF(OR($M2003="",$T2003=""),"",$T2003+(AB$2*$M2003))</f>
        <v/>
      </c>
      <c r="AC2003" s="48">
        <f>IF(OR($M2003="",$T2003=""),"",$T2003+(AC$2*$M2003))</f>
        <v/>
      </c>
      <c r="AD2003" s="48">
        <f>IF(OR($M2003="",$T2003=""),"",$T2003+(AD$2*$M2003))</f>
        <v/>
      </c>
      <c r="AE2003" s="49">
        <f>IF(OR($M2003="",$T2003=""),"",$T2003+(AE$2*$M2003))</f>
        <v/>
      </c>
      <c r="AF2003" s="52">
        <f>IF(OR(T2003="",I2003&lt;T2003),"",IFERROR(AVERAGE(T2003+M2003*{7,8,9,10,11})/IF(G2003="",I2003,G2003)-1,""))</f>
        <v/>
      </c>
      <c r="AG2003" s="55">
        <f>IF(OR(T2003="",I2003&lt;T2003),"",IFERROR(AF2003/-(R2003/IF(G2003="",I2003,G2003)-1),""))</f>
        <v/>
      </c>
      <c r="AH2003" s="94" t="n"/>
      <c r="AI2003" s="94" t="n"/>
      <c r="AJ2003" s="94" t="n"/>
      <c r="AK2003" s="94" t="n"/>
      <c r="AL2003" s="84" t="n"/>
    </row>
    <row r="2004">
      <c r="A2004" s="64" t="n"/>
      <c r="B2004" s="65" t="n"/>
      <c r="C2004" s="66" t="n"/>
      <c r="D2004" s="67" t="n"/>
      <c r="E2004" s="68" t="n"/>
      <c r="F2004" s="47">
        <f>IF(A2004="","",IF(MIN(H2004,MAX(J2004:K2004))=0,"",MIN(H2004,MAX(J2004:K2004))))</f>
        <v/>
      </c>
      <c r="G2004" s="74" t="n"/>
      <c r="H2004" s="49">
        <f>IF(M2004="","",IFERROR(ROUND(AVERAGE(T2004+M2004*{7,8,9,10,11})/1.21,4),""))</f>
        <v/>
      </c>
      <c r="I2004" s="76" t="n"/>
      <c r="J2004" s="77" t="n"/>
      <c r="K2004" s="74" t="n"/>
      <c r="L2004" s="78" t="n"/>
      <c r="M2004" s="77" t="n"/>
      <c r="N2004" s="53">
        <f>IF(M2004="","",IFERROR(M2004/I2004,""))</f>
        <v/>
      </c>
      <c r="O2004" s="50">
        <f>IF(A2004="","",IFERROR((IF(G2004="",I2004,G2004)-T2004)/M2004,""))</f>
        <v/>
      </c>
      <c r="P2004" s="50">
        <f>IFERROR((I2004/T2004-1)/N2004,"")</f>
        <v/>
      </c>
      <c r="Q2004" s="46">
        <f>IF(OR(T2004="",I2004&lt;T2004),"",IFERROR(R2004/IF(G2004="",I2004,G2004)-1,""))</f>
        <v/>
      </c>
      <c r="R2004" s="48">
        <f>IF($M2004="","",MAX(IF($G2004="",$I2004,$G2004)*(1/1.1),IF($G2004="",$I2004,$G2004)+(R$2*$M2004)))</f>
        <v/>
      </c>
      <c r="S2004" s="49">
        <f>IF($M2004="","",MAX(IF($G2004="",$I2004,$G2004)*(1/1.1),IF($G2004="",$I2004,$G2004)+(S$2*$M2004)))</f>
        <v/>
      </c>
      <c r="T2004" s="82" t="n"/>
      <c r="U2004" s="47">
        <f>IF(OR($M2004="",$T2004=""),"",$T2004+(U$2*$M2004))</f>
        <v/>
      </c>
      <c r="V2004" s="48">
        <f>IF(OR($M2004="",$T2004=""),"",$T2004+(V$2*$M2004))</f>
        <v/>
      </c>
      <c r="W2004" s="48">
        <f>IF(OR($M2004="",$T2004=""),"",$T2004+(W$2*$M2004))</f>
        <v/>
      </c>
      <c r="X2004" s="49">
        <f>IF(OR($M2004="",$T2004=""),"",$T2004+(X$2*$M2004))</f>
        <v/>
      </c>
      <c r="Y2004" s="47">
        <f>IF(OR($M2004="",$T2004=""),"",$T2004+(Y$2*$M2004))</f>
        <v/>
      </c>
      <c r="Z2004" s="49">
        <f>IF(OR($M2004="",$T2004=""),"",$T2004+(Z$2*$M2004))</f>
        <v/>
      </c>
      <c r="AA2004" s="51">
        <f>IF(OR($M2004="",$T2004=""),"",$T2004+(AA$2*$M2004))</f>
        <v/>
      </c>
      <c r="AB2004" s="48">
        <f>IF(OR($M2004="",$T2004=""),"",$T2004+(AB$2*$M2004))</f>
        <v/>
      </c>
      <c r="AC2004" s="48">
        <f>IF(OR($M2004="",$T2004=""),"",$T2004+(AC$2*$M2004))</f>
        <v/>
      </c>
      <c r="AD2004" s="48">
        <f>IF(OR($M2004="",$T2004=""),"",$T2004+(AD$2*$M2004))</f>
        <v/>
      </c>
      <c r="AE2004" s="49">
        <f>IF(OR($M2004="",$T2004=""),"",$T2004+(AE$2*$M2004))</f>
        <v/>
      </c>
      <c r="AF2004" s="52">
        <f>IF(OR(T2004="",I2004&lt;T2004),"",IFERROR(AVERAGE(T2004+M2004*{7,8,9,10,11})/IF(G2004="",I2004,G2004)-1,""))</f>
        <v/>
      </c>
      <c r="AG2004" s="55">
        <f>IF(OR(T2004="",I2004&lt;T2004),"",IFERROR(AF2004/-(R2004/IF(G2004="",I2004,G2004)-1),""))</f>
        <v/>
      </c>
      <c r="AH2004" s="94" t="n"/>
      <c r="AI2004" s="94" t="n"/>
      <c r="AJ2004" s="94" t="n"/>
      <c r="AK2004" s="94" t="n"/>
      <c r="AL2004" s="84" t="n"/>
    </row>
    <row r="2005">
      <c r="A2005" s="64" t="n"/>
      <c r="B2005" s="65" t="n"/>
      <c r="C2005" s="66" t="n"/>
      <c r="D2005" s="67" t="n"/>
      <c r="E2005" s="68" t="n"/>
      <c r="F2005" s="47">
        <f>IF(A2005="","",IF(MIN(H2005,MAX(J2005:K2005))=0,"",MIN(H2005,MAX(J2005:K2005))))</f>
        <v/>
      </c>
      <c r="G2005" s="74" t="n"/>
      <c r="H2005" s="49">
        <f>IF(M2005="","",IFERROR(ROUND(AVERAGE(T2005+M2005*{7,8,9,10,11})/1.21,4),""))</f>
        <v/>
      </c>
      <c r="I2005" s="76" t="n"/>
      <c r="J2005" s="77" t="n"/>
      <c r="K2005" s="74" t="n"/>
      <c r="L2005" s="78" t="n"/>
      <c r="M2005" s="77" t="n"/>
      <c r="N2005" s="53">
        <f>IF(M2005="","",IFERROR(M2005/I2005,""))</f>
        <v/>
      </c>
      <c r="O2005" s="50">
        <f>IF(A2005="","",IFERROR((IF(G2005="",I2005,G2005)-T2005)/M2005,""))</f>
        <v/>
      </c>
      <c r="P2005" s="50">
        <f>IFERROR((I2005/T2005-1)/N2005,"")</f>
        <v/>
      </c>
      <c r="Q2005" s="46">
        <f>IF(OR(T2005="",I2005&lt;T2005),"",IFERROR(R2005/IF(G2005="",I2005,G2005)-1,""))</f>
        <v/>
      </c>
      <c r="R2005" s="48">
        <f>IF($M2005="","",MAX(IF($G2005="",$I2005,$G2005)*(1/1.1),IF($G2005="",$I2005,$G2005)+(R$2*$M2005)))</f>
        <v/>
      </c>
      <c r="S2005" s="49">
        <f>IF($M2005="","",MAX(IF($G2005="",$I2005,$G2005)*(1/1.1),IF($G2005="",$I2005,$G2005)+(S$2*$M2005)))</f>
        <v/>
      </c>
      <c r="T2005" s="82" t="n"/>
      <c r="U2005" s="47">
        <f>IF(OR($M2005="",$T2005=""),"",$T2005+(U$2*$M2005))</f>
        <v/>
      </c>
      <c r="V2005" s="48">
        <f>IF(OR($M2005="",$T2005=""),"",$T2005+(V$2*$M2005))</f>
        <v/>
      </c>
      <c r="W2005" s="48">
        <f>IF(OR($M2005="",$T2005=""),"",$T2005+(W$2*$M2005))</f>
        <v/>
      </c>
      <c r="X2005" s="49">
        <f>IF(OR($M2005="",$T2005=""),"",$T2005+(X$2*$M2005))</f>
        <v/>
      </c>
      <c r="Y2005" s="47">
        <f>IF(OR($M2005="",$T2005=""),"",$T2005+(Y$2*$M2005))</f>
        <v/>
      </c>
      <c r="Z2005" s="49">
        <f>IF(OR($M2005="",$T2005=""),"",$T2005+(Z$2*$M2005))</f>
        <v/>
      </c>
      <c r="AA2005" s="51">
        <f>IF(OR($M2005="",$T2005=""),"",$T2005+(AA$2*$M2005))</f>
        <v/>
      </c>
      <c r="AB2005" s="48">
        <f>IF(OR($M2005="",$T2005=""),"",$T2005+(AB$2*$M2005))</f>
        <v/>
      </c>
      <c r="AC2005" s="48">
        <f>IF(OR($M2005="",$T2005=""),"",$T2005+(AC$2*$M2005))</f>
        <v/>
      </c>
      <c r="AD2005" s="48">
        <f>IF(OR($M2005="",$T2005=""),"",$T2005+(AD$2*$M2005))</f>
        <v/>
      </c>
      <c r="AE2005" s="49">
        <f>IF(OR($M2005="",$T2005=""),"",$T2005+(AE$2*$M2005))</f>
        <v/>
      </c>
      <c r="AF2005" s="52">
        <f>IF(OR(T2005="",I2005&lt;T2005),"",IFERROR(AVERAGE(T2005+M2005*{7,8,9,10,11})/IF(G2005="",I2005,G2005)-1,""))</f>
        <v/>
      </c>
      <c r="AG2005" s="55">
        <f>IF(OR(T2005="",I2005&lt;T2005),"",IFERROR(AF2005/-(R2005/IF(G2005="",I2005,G2005)-1),""))</f>
        <v/>
      </c>
      <c r="AH2005" s="94" t="n"/>
      <c r="AI2005" s="94" t="n"/>
      <c r="AJ2005" s="94" t="n"/>
      <c r="AK2005" s="94" t="n"/>
      <c r="AL2005" s="84" t="n"/>
    </row>
    <row r="2006">
      <c r="A2006" s="64" t="n"/>
      <c r="B2006" s="65" t="n"/>
      <c r="C2006" s="66" t="n"/>
      <c r="D2006" s="67" t="n"/>
      <c r="E2006" s="68" t="n"/>
      <c r="F2006" s="47">
        <f>IF(A2006="","",IF(MIN(H2006,MAX(J2006:K2006))=0,"",MIN(H2006,MAX(J2006:K2006))))</f>
        <v/>
      </c>
      <c r="G2006" s="74" t="n"/>
      <c r="H2006" s="49">
        <f>IF(M2006="","",IFERROR(ROUND(AVERAGE(T2006+M2006*{7,8,9,10,11})/1.21,4),""))</f>
        <v/>
      </c>
      <c r="I2006" s="76" t="n"/>
      <c r="J2006" s="77" t="n"/>
      <c r="K2006" s="74" t="n"/>
      <c r="L2006" s="78" t="n"/>
      <c r="M2006" s="77" t="n"/>
      <c r="N2006" s="53">
        <f>IF(M2006="","",IFERROR(M2006/I2006,""))</f>
        <v/>
      </c>
      <c r="O2006" s="50">
        <f>IF(A2006="","",IFERROR((IF(G2006="",I2006,G2006)-T2006)/M2006,""))</f>
        <v/>
      </c>
      <c r="P2006" s="50">
        <f>IFERROR((I2006/T2006-1)/N2006,"")</f>
        <v/>
      </c>
      <c r="Q2006" s="46">
        <f>IF(OR(T2006="",I2006&lt;T2006),"",IFERROR(R2006/IF(G2006="",I2006,G2006)-1,""))</f>
        <v/>
      </c>
      <c r="R2006" s="48">
        <f>IF($M2006="","",MAX(IF($G2006="",$I2006,$G2006)*(1/1.1),IF($G2006="",$I2006,$G2006)+(R$2*$M2006)))</f>
        <v/>
      </c>
      <c r="S2006" s="49">
        <f>IF($M2006="","",MAX(IF($G2006="",$I2006,$G2006)*(1/1.1),IF($G2006="",$I2006,$G2006)+(S$2*$M2006)))</f>
        <v/>
      </c>
      <c r="T2006" s="82" t="n"/>
      <c r="U2006" s="47">
        <f>IF(OR($M2006="",$T2006=""),"",$T2006+(U$2*$M2006))</f>
        <v/>
      </c>
      <c r="V2006" s="48">
        <f>IF(OR($M2006="",$T2006=""),"",$T2006+(V$2*$M2006))</f>
        <v/>
      </c>
      <c r="W2006" s="48">
        <f>IF(OR($M2006="",$T2006=""),"",$T2006+(W$2*$M2006))</f>
        <v/>
      </c>
      <c r="X2006" s="49">
        <f>IF(OR($M2006="",$T2006=""),"",$T2006+(X$2*$M2006))</f>
        <v/>
      </c>
      <c r="Y2006" s="47">
        <f>IF(OR($M2006="",$T2006=""),"",$T2006+(Y$2*$M2006))</f>
        <v/>
      </c>
      <c r="Z2006" s="49">
        <f>IF(OR($M2006="",$T2006=""),"",$T2006+(Z$2*$M2006))</f>
        <v/>
      </c>
      <c r="AA2006" s="51">
        <f>IF(OR($M2006="",$T2006=""),"",$T2006+(AA$2*$M2006))</f>
        <v/>
      </c>
      <c r="AB2006" s="48">
        <f>IF(OR($M2006="",$T2006=""),"",$T2006+(AB$2*$M2006))</f>
        <v/>
      </c>
      <c r="AC2006" s="48">
        <f>IF(OR($M2006="",$T2006=""),"",$T2006+(AC$2*$M2006))</f>
        <v/>
      </c>
      <c r="AD2006" s="48">
        <f>IF(OR($M2006="",$T2006=""),"",$T2006+(AD$2*$M2006))</f>
        <v/>
      </c>
      <c r="AE2006" s="49">
        <f>IF(OR($M2006="",$T2006=""),"",$T2006+(AE$2*$M2006))</f>
        <v/>
      </c>
      <c r="AF2006" s="52">
        <f>IF(OR(T2006="",I2006&lt;T2006),"",IFERROR(AVERAGE(T2006+M2006*{7,8,9,10,11})/IF(G2006="",I2006,G2006)-1,""))</f>
        <v/>
      </c>
      <c r="AG2006" s="55">
        <f>IF(OR(T2006="",I2006&lt;T2006),"",IFERROR(AF2006/-(R2006/IF(G2006="",I2006,G2006)-1),""))</f>
        <v/>
      </c>
      <c r="AH2006" s="94" t="n"/>
      <c r="AI2006" s="94" t="n"/>
      <c r="AJ2006" s="94" t="n"/>
      <c r="AK2006" s="94" t="n"/>
      <c r="AL2006" s="84" t="n"/>
    </row>
    <row r="2007">
      <c r="A2007" s="64" t="n"/>
      <c r="B2007" s="65" t="n"/>
      <c r="C2007" s="66" t="n"/>
      <c r="D2007" s="67" t="n"/>
      <c r="E2007" s="68" t="n"/>
      <c r="F2007" s="47">
        <f>IF(A2007="","",IF(MIN(H2007,MAX(J2007:K2007))=0,"",MIN(H2007,MAX(J2007:K2007))))</f>
        <v/>
      </c>
      <c r="G2007" s="74" t="n"/>
      <c r="H2007" s="49">
        <f>IF(M2007="","",IFERROR(ROUND(AVERAGE(T2007+M2007*{7,8,9,10,11})/1.21,4),""))</f>
        <v/>
      </c>
      <c r="I2007" s="76" t="n"/>
      <c r="J2007" s="77" t="n"/>
      <c r="K2007" s="74" t="n"/>
      <c r="L2007" s="78" t="n"/>
      <c r="M2007" s="77" t="n"/>
      <c r="N2007" s="53">
        <f>IF(M2007="","",IFERROR(M2007/I2007,""))</f>
        <v/>
      </c>
      <c r="O2007" s="50">
        <f>IF(A2007="","",IFERROR((IF(G2007="",I2007,G2007)-T2007)/M2007,""))</f>
        <v/>
      </c>
      <c r="P2007" s="50">
        <f>IFERROR((I2007/T2007-1)/N2007,"")</f>
        <v/>
      </c>
      <c r="Q2007" s="46">
        <f>IF(OR(T2007="",I2007&lt;T2007),"",IFERROR(R2007/IF(G2007="",I2007,G2007)-1,""))</f>
        <v/>
      </c>
      <c r="R2007" s="48">
        <f>IF($M2007="","",MAX(IF($G2007="",$I2007,$G2007)*(1/1.1),IF($G2007="",$I2007,$G2007)+(R$2*$M2007)))</f>
        <v/>
      </c>
      <c r="S2007" s="49">
        <f>IF($M2007="","",MAX(IF($G2007="",$I2007,$G2007)*(1/1.1),IF($G2007="",$I2007,$G2007)+(S$2*$M2007)))</f>
        <v/>
      </c>
      <c r="T2007" s="82" t="n"/>
      <c r="U2007" s="47">
        <f>IF(OR($M2007="",$T2007=""),"",$T2007+(U$2*$M2007))</f>
        <v/>
      </c>
      <c r="V2007" s="48">
        <f>IF(OR($M2007="",$T2007=""),"",$T2007+(V$2*$M2007))</f>
        <v/>
      </c>
      <c r="W2007" s="48">
        <f>IF(OR($M2007="",$T2007=""),"",$T2007+(W$2*$M2007))</f>
        <v/>
      </c>
      <c r="X2007" s="49">
        <f>IF(OR($M2007="",$T2007=""),"",$T2007+(X$2*$M2007))</f>
        <v/>
      </c>
      <c r="Y2007" s="47">
        <f>IF(OR($M2007="",$T2007=""),"",$T2007+(Y$2*$M2007))</f>
        <v/>
      </c>
      <c r="Z2007" s="49">
        <f>IF(OR($M2007="",$T2007=""),"",$T2007+(Z$2*$M2007))</f>
        <v/>
      </c>
      <c r="AA2007" s="51">
        <f>IF(OR($M2007="",$T2007=""),"",$T2007+(AA$2*$M2007))</f>
        <v/>
      </c>
      <c r="AB2007" s="48">
        <f>IF(OR($M2007="",$T2007=""),"",$T2007+(AB$2*$M2007))</f>
        <v/>
      </c>
      <c r="AC2007" s="48">
        <f>IF(OR($M2007="",$T2007=""),"",$T2007+(AC$2*$M2007))</f>
        <v/>
      </c>
      <c r="AD2007" s="48">
        <f>IF(OR($M2007="",$T2007=""),"",$T2007+(AD$2*$M2007))</f>
        <v/>
      </c>
      <c r="AE2007" s="49">
        <f>IF(OR($M2007="",$T2007=""),"",$T2007+(AE$2*$M2007))</f>
        <v/>
      </c>
      <c r="AF2007" s="52">
        <f>IF(OR(T2007="",I2007&lt;T2007),"",IFERROR(AVERAGE(T2007+M2007*{7,8,9,10,11})/IF(G2007="",I2007,G2007)-1,""))</f>
        <v/>
      </c>
      <c r="AG2007" s="55">
        <f>IF(OR(T2007="",I2007&lt;T2007),"",IFERROR(AF2007/-(R2007/IF(G2007="",I2007,G2007)-1),""))</f>
        <v/>
      </c>
      <c r="AH2007" s="94" t="n"/>
      <c r="AI2007" s="94" t="n"/>
      <c r="AJ2007" s="94" t="n"/>
      <c r="AK2007" s="94" t="n"/>
      <c r="AL2007" s="84" t="n"/>
    </row>
    <row r="2008">
      <c r="A2008" s="64" t="n"/>
      <c r="B2008" s="65" t="n"/>
      <c r="C2008" s="66" t="n"/>
      <c r="D2008" s="67" t="n"/>
      <c r="E2008" s="68" t="n"/>
      <c r="F2008" s="47">
        <f>IF(A2008="","",IF(MIN(H2008,MAX(J2008:K2008))=0,"",MIN(H2008,MAX(J2008:K2008))))</f>
        <v/>
      </c>
      <c r="G2008" s="74" t="n"/>
      <c r="H2008" s="49">
        <f>IF(M2008="","",IFERROR(ROUND(AVERAGE(T2008+M2008*{7,8,9,10,11})/1.21,4),""))</f>
        <v/>
      </c>
      <c r="I2008" s="76" t="n"/>
      <c r="J2008" s="77" t="n"/>
      <c r="K2008" s="74" t="n"/>
      <c r="L2008" s="78" t="n"/>
      <c r="M2008" s="77" t="n"/>
      <c r="N2008" s="53">
        <f>IF(M2008="","",IFERROR(M2008/I2008,""))</f>
        <v/>
      </c>
      <c r="O2008" s="50">
        <f>IF(A2008="","",IFERROR((IF(G2008="",I2008,G2008)-T2008)/M2008,""))</f>
        <v/>
      </c>
      <c r="P2008" s="50">
        <f>IFERROR((I2008/T2008-1)/N2008,"")</f>
        <v/>
      </c>
      <c r="Q2008" s="46">
        <f>IF(OR(T2008="",I2008&lt;T2008),"",IFERROR(R2008/IF(G2008="",I2008,G2008)-1,""))</f>
        <v/>
      </c>
      <c r="R2008" s="48">
        <f>IF($M2008="","",MAX(IF($G2008="",$I2008,$G2008)*(1/1.1),IF($G2008="",$I2008,$G2008)+(R$2*$M2008)))</f>
        <v/>
      </c>
      <c r="S2008" s="49">
        <f>IF($M2008="","",MAX(IF($G2008="",$I2008,$G2008)*(1/1.1),IF($G2008="",$I2008,$G2008)+(S$2*$M2008)))</f>
        <v/>
      </c>
      <c r="T2008" s="82" t="n"/>
      <c r="U2008" s="47">
        <f>IF(OR($M2008="",$T2008=""),"",$T2008+(U$2*$M2008))</f>
        <v/>
      </c>
      <c r="V2008" s="48">
        <f>IF(OR($M2008="",$T2008=""),"",$T2008+(V$2*$M2008))</f>
        <v/>
      </c>
      <c r="W2008" s="48">
        <f>IF(OR($M2008="",$T2008=""),"",$T2008+(W$2*$M2008))</f>
        <v/>
      </c>
      <c r="X2008" s="49">
        <f>IF(OR($M2008="",$T2008=""),"",$T2008+(X$2*$M2008))</f>
        <v/>
      </c>
      <c r="Y2008" s="47">
        <f>IF(OR($M2008="",$T2008=""),"",$T2008+(Y$2*$M2008))</f>
        <v/>
      </c>
      <c r="Z2008" s="49">
        <f>IF(OR($M2008="",$T2008=""),"",$T2008+(Z$2*$M2008))</f>
        <v/>
      </c>
      <c r="AA2008" s="51">
        <f>IF(OR($M2008="",$T2008=""),"",$T2008+(AA$2*$M2008))</f>
        <v/>
      </c>
      <c r="AB2008" s="48">
        <f>IF(OR($M2008="",$T2008=""),"",$T2008+(AB$2*$M2008))</f>
        <v/>
      </c>
      <c r="AC2008" s="48">
        <f>IF(OR($M2008="",$T2008=""),"",$T2008+(AC$2*$M2008))</f>
        <v/>
      </c>
      <c r="AD2008" s="48">
        <f>IF(OR($M2008="",$T2008=""),"",$T2008+(AD$2*$M2008))</f>
        <v/>
      </c>
      <c r="AE2008" s="49">
        <f>IF(OR($M2008="",$T2008=""),"",$T2008+(AE$2*$M2008))</f>
        <v/>
      </c>
      <c r="AF2008" s="52">
        <f>IF(OR(T2008="",I2008&lt;T2008),"",IFERROR(AVERAGE(T2008+M2008*{7,8,9,10,11})/IF(G2008="",I2008,G2008)-1,""))</f>
        <v/>
      </c>
      <c r="AG2008" s="55">
        <f>IF(OR(T2008="",I2008&lt;T2008),"",IFERROR(AF2008/-(R2008/IF(G2008="",I2008,G2008)-1),""))</f>
        <v/>
      </c>
      <c r="AH2008" s="94" t="n"/>
      <c r="AI2008" s="94" t="n"/>
      <c r="AJ2008" s="94" t="n"/>
      <c r="AK2008" s="94" t="n"/>
      <c r="AL2008" s="84" t="n"/>
    </row>
    <row r="2009">
      <c r="A2009" s="64" t="n"/>
      <c r="B2009" s="65" t="n"/>
      <c r="C2009" s="66" t="n"/>
      <c r="D2009" s="67" t="n"/>
      <c r="E2009" s="68" t="n"/>
      <c r="F2009" s="47">
        <f>IF(A2009="","",IF(MIN(H2009,MAX(J2009:K2009))=0,"",MIN(H2009,MAX(J2009:K2009))))</f>
        <v/>
      </c>
      <c r="G2009" s="74" t="n"/>
      <c r="H2009" s="49">
        <f>IF(M2009="","",IFERROR(ROUND(AVERAGE(T2009+M2009*{7,8,9,10,11})/1.21,4),""))</f>
        <v/>
      </c>
      <c r="I2009" s="76" t="n"/>
      <c r="J2009" s="77" t="n"/>
      <c r="K2009" s="74" t="n"/>
      <c r="L2009" s="78" t="n"/>
      <c r="M2009" s="77" t="n"/>
      <c r="N2009" s="53">
        <f>IF(M2009="","",IFERROR(M2009/I2009,""))</f>
        <v/>
      </c>
      <c r="O2009" s="50">
        <f>IF(A2009="","",IFERROR((IF(G2009="",I2009,G2009)-T2009)/M2009,""))</f>
        <v/>
      </c>
      <c r="P2009" s="50">
        <f>IFERROR((I2009/T2009-1)/N2009,"")</f>
        <v/>
      </c>
      <c r="Q2009" s="46">
        <f>IF(OR(T2009="",I2009&lt;T2009),"",IFERROR(R2009/IF(G2009="",I2009,G2009)-1,""))</f>
        <v/>
      </c>
      <c r="R2009" s="48">
        <f>IF($M2009="","",MAX(IF($G2009="",$I2009,$G2009)*(1/1.1),IF($G2009="",$I2009,$G2009)+(R$2*$M2009)))</f>
        <v/>
      </c>
      <c r="S2009" s="49">
        <f>IF($M2009="","",MAX(IF($G2009="",$I2009,$G2009)*(1/1.1),IF($G2009="",$I2009,$G2009)+(S$2*$M2009)))</f>
        <v/>
      </c>
      <c r="T2009" s="82" t="n"/>
      <c r="U2009" s="47">
        <f>IF(OR($M2009="",$T2009=""),"",$T2009+(U$2*$M2009))</f>
        <v/>
      </c>
      <c r="V2009" s="48">
        <f>IF(OR($M2009="",$T2009=""),"",$T2009+(V$2*$M2009))</f>
        <v/>
      </c>
      <c r="W2009" s="48">
        <f>IF(OR($M2009="",$T2009=""),"",$T2009+(W$2*$M2009))</f>
        <v/>
      </c>
      <c r="X2009" s="49">
        <f>IF(OR($M2009="",$T2009=""),"",$T2009+(X$2*$M2009))</f>
        <v/>
      </c>
      <c r="Y2009" s="47">
        <f>IF(OR($M2009="",$T2009=""),"",$T2009+(Y$2*$M2009))</f>
        <v/>
      </c>
      <c r="Z2009" s="49">
        <f>IF(OR($M2009="",$T2009=""),"",$T2009+(Z$2*$M2009))</f>
        <v/>
      </c>
      <c r="AA2009" s="51">
        <f>IF(OR($M2009="",$T2009=""),"",$T2009+(AA$2*$M2009))</f>
        <v/>
      </c>
      <c r="AB2009" s="48">
        <f>IF(OR($M2009="",$T2009=""),"",$T2009+(AB$2*$M2009))</f>
        <v/>
      </c>
      <c r="AC2009" s="48">
        <f>IF(OR($M2009="",$T2009=""),"",$T2009+(AC$2*$M2009))</f>
        <v/>
      </c>
      <c r="AD2009" s="48">
        <f>IF(OR($M2009="",$T2009=""),"",$T2009+(AD$2*$M2009))</f>
        <v/>
      </c>
      <c r="AE2009" s="49">
        <f>IF(OR($M2009="",$T2009=""),"",$T2009+(AE$2*$M2009))</f>
        <v/>
      </c>
      <c r="AF2009" s="52">
        <f>IF(OR(T2009="",I2009&lt;T2009),"",IFERROR(AVERAGE(T2009+M2009*{7,8,9,10,11})/IF(G2009="",I2009,G2009)-1,""))</f>
        <v/>
      </c>
      <c r="AG2009" s="55">
        <f>IF(OR(T2009="",I2009&lt;T2009),"",IFERROR(AF2009/-(R2009/IF(G2009="",I2009,G2009)-1),""))</f>
        <v/>
      </c>
      <c r="AH2009" s="94" t="n"/>
      <c r="AI2009" s="94" t="n"/>
      <c r="AJ2009" s="94" t="n"/>
      <c r="AK2009" s="94" t="n"/>
      <c r="AL2009" s="84" t="n"/>
    </row>
    <row r="2010">
      <c r="A2010" s="64" t="n"/>
      <c r="B2010" s="65" t="n"/>
      <c r="C2010" s="66" t="n"/>
      <c r="D2010" s="67" t="n"/>
      <c r="E2010" s="68" t="n"/>
      <c r="F2010" s="47">
        <f>IF(A2010="","",IF(MIN(H2010,MAX(J2010:K2010))=0,"",MIN(H2010,MAX(J2010:K2010))))</f>
        <v/>
      </c>
      <c r="G2010" s="74" t="n"/>
      <c r="H2010" s="49">
        <f>IF(M2010="","",IFERROR(ROUND(AVERAGE(T2010+M2010*{7,8,9,10,11})/1.21,4),""))</f>
        <v/>
      </c>
      <c r="I2010" s="76" t="n"/>
      <c r="J2010" s="77" t="n"/>
      <c r="K2010" s="74" t="n"/>
      <c r="L2010" s="78" t="n"/>
      <c r="M2010" s="77" t="n"/>
      <c r="N2010" s="53">
        <f>IF(M2010="","",IFERROR(M2010/I2010,""))</f>
        <v/>
      </c>
      <c r="O2010" s="50">
        <f>IF(A2010="","",IFERROR((IF(G2010="",I2010,G2010)-T2010)/M2010,""))</f>
        <v/>
      </c>
      <c r="P2010" s="50">
        <f>IFERROR((I2010/T2010-1)/N2010,"")</f>
        <v/>
      </c>
      <c r="Q2010" s="46">
        <f>IF(OR(T2010="",I2010&lt;T2010),"",IFERROR(R2010/IF(G2010="",I2010,G2010)-1,""))</f>
        <v/>
      </c>
      <c r="R2010" s="48">
        <f>IF($M2010="","",MAX(IF($G2010="",$I2010,$G2010)*(1/1.1),IF($G2010="",$I2010,$G2010)+(R$2*$M2010)))</f>
        <v/>
      </c>
      <c r="S2010" s="49">
        <f>IF($M2010="","",MAX(IF($G2010="",$I2010,$G2010)*(1/1.1),IF($G2010="",$I2010,$G2010)+(S$2*$M2010)))</f>
        <v/>
      </c>
      <c r="T2010" s="82" t="n"/>
      <c r="U2010" s="47">
        <f>IF(OR($M2010="",$T2010=""),"",$T2010+(U$2*$M2010))</f>
        <v/>
      </c>
      <c r="V2010" s="48">
        <f>IF(OR($M2010="",$T2010=""),"",$T2010+(V$2*$M2010))</f>
        <v/>
      </c>
      <c r="W2010" s="48">
        <f>IF(OR($M2010="",$T2010=""),"",$T2010+(W$2*$M2010))</f>
        <v/>
      </c>
      <c r="X2010" s="49">
        <f>IF(OR($M2010="",$T2010=""),"",$T2010+(X$2*$M2010))</f>
        <v/>
      </c>
      <c r="Y2010" s="47">
        <f>IF(OR($M2010="",$T2010=""),"",$T2010+(Y$2*$M2010))</f>
        <v/>
      </c>
      <c r="Z2010" s="49">
        <f>IF(OR($M2010="",$T2010=""),"",$T2010+(Z$2*$M2010))</f>
        <v/>
      </c>
      <c r="AA2010" s="51">
        <f>IF(OR($M2010="",$T2010=""),"",$T2010+(AA$2*$M2010))</f>
        <v/>
      </c>
      <c r="AB2010" s="48">
        <f>IF(OR($M2010="",$T2010=""),"",$T2010+(AB$2*$M2010))</f>
        <v/>
      </c>
      <c r="AC2010" s="48">
        <f>IF(OR($M2010="",$T2010=""),"",$T2010+(AC$2*$M2010))</f>
        <v/>
      </c>
      <c r="AD2010" s="48">
        <f>IF(OR($M2010="",$T2010=""),"",$T2010+(AD$2*$M2010))</f>
        <v/>
      </c>
      <c r="AE2010" s="49">
        <f>IF(OR($M2010="",$T2010=""),"",$T2010+(AE$2*$M2010))</f>
        <v/>
      </c>
      <c r="AF2010" s="52">
        <f>IF(OR(T2010="",I2010&lt;T2010),"",IFERROR(AVERAGE(T2010+M2010*{7,8,9,10,11})/IF(G2010="",I2010,G2010)-1,""))</f>
        <v/>
      </c>
      <c r="AG2010" s="55">
        <f>IF(OR(T2010="",I2010&lt;T2010),"",IFERROR(AF2010/-(R2010/IF(G2010="",I2010,G2010)-1),""))</f>
        <v/>
      </c>
      <c r="AH2010" s="94" t="n"/>
      <c r="AI2010" s="94" t="n"/>
      <c r="AJ2010" s="94" t="n"/>
      <c r="AK2010" s="94" t="n"/>
      <c r="AL2010" s="84" t="n"/>
    </row>
    <row r="2011">
      <c r="A2011" s="64" t="n"/>
      <c r="B2011" s="65" t="n"/>
      <c r="C2011" s="66" t="n"/>
      <c r="D2011" s="67" t="n"/>
      <c r="E2011" s="68" t="n"/>
      <c r="F2011" s="47">
        <f>IF(A2011="","",IF(MIN(H2011,MAX(J2011:K2011))=0,"",MIN(H2011,MAX(J2011:K2011))))</f>
        <v/>
      </c>
      <c r="G2011" s="74" t="n"/>
      <c r="H2011" s="49">
        <f>IF(M2011="","",IFERROR(ROUND(AVERAGE(T2011+M2011*{7,8,9,10,11})/1.21,4),""))</f>
        <v/>
      </c>
      <c r="I2011" s="76" t="n"/>
      <c r="J2011" s="77" t="n"/>
      <c r="K2011" s="74" t="n"/>
      <c r="L2011" s="78" t="n"/>
      <c r="M2011" s="77" t="n"/>
      <c r="N2011" s="53">
        <f>IF(M2011="","",IFERROR(M2011/I2011,""))</f>
        <v/>
      </c>
      <c r="O2011" s="50">
        <f>IF(A2011="","",IFERROR((IF(G2011="",I2011,G2011)-T2011)/M2011,""))</f>
        <v/>
      </c>
      <c r="P2011" s="50">
        <f>IFERROR((I2011/T2011-1)/N2011,"")</f>
        <v/>
      </c>
      <c r="Q2011" s="46">
        <f>IF(OR(T2011="",I2011&lt;T2011),"",IFERROR(R2011/IF(G2011="",I2011,G2011)-1,""))</f>
        <v/>
      </c>
      <c r="R2011" s="48">
        <f>IF($M2011="","",MAX(IF($G2011="",$I2011,$G2011)*(1/1.1),IF($G2011="",$I2011,$G2011)+(R$2*$M2011)))</f>
        <v/>
      </c>
      <c r="S2011" s="49">
        <f>IF($M2011="","",MAX(IF($G2011="",$I2011,$G2011)*(1/1.1),IF($G2011="",$I2011,$G2011)+(S$2*$M2011)))</f>
        <v/>
      </c>
      <c r="T2011" s="82" t="n"/>
      <c r="U2011" s="47">
        <f>IF(OR($M2011="",$T2011=""),"",$T2011+(U$2*$M2011))</f>
        <v/>
      </c>
      <c r="V2011" s="48">
        <f>IF(OR($M2011="",$T2011=""),"",$T2011+(V$2*$M2011))</f>
        <v/>
      </c>
      <c r="W2011" s="48">
        <f>IF(OR($M2011="",$T2011=""),"",$T2011+(W$2*$M2011))</f>
        <v/>
      </c>
      <c r="X2011" s="49">
        <f>IF(OR($M2011="",$T2011=""),"",$T2011+(X$2*$M2011))</f>
        <v/>
      </c>
      <c r="Y2011" s="47">
        <f>IF(OR($M2011="",$T2011=""),"",$T2011+(Y$2*$M2011))</f>
        <v/>
      </c>
      <c r="Z2011" s="49">
        <f>IF(OR($M2011="",$T2011=""),"",$T2011+(Z$2*$M2011))</f>
        <v/>
      </c>
      <c r="AA2011" s="51">
        <f>IF(OR($M2011="",$T2011=""),"",$T2011+(AA$2*$M2011))</f>
        <v/>
      </c>
      <c r="AB2011" s="48">
        <f>IF(OR($M2011="",$T2011=""),"",$T2011+(AB$2*$M2011))</f>
        <v/>
      </c>
      <c r="AC2011" s="48">
        <f>IF(OR($M2011="",$T2011=""),"",$T2011+(AC$2*$M2011))</f>
        <v/>
      </c>
      <c r="AD2011" s="48">
        <f>IF(OR($M2011="",$T2011=""),"",$T2011+(AD$2*$M2011))</f>
        <v/>
      </c>
      <c r="AE2011" s="49">
        <f>IF(OR($M2011="",$T2011=""),"",$T2011+(AE$2*$M2011))</f>
        <v/>
      </c>
      <c r="AF2011" s="52">
        <f>IF(OR(T2011="",I2011&lt;T2011),"",IFERROR(AVERAGE(T2011+M2011*{7,8,9,10,11})/IF(G2011="",I2011,G2011)-1,""))</f>
        <v/>
      </c>
      <c r="AG2011" s="55">
        <f>IF(OR(T2011="",I2011&lt;T2011),"",IFERROR(AF2011/-(R2011/IF(G2011="",I2011,G2011)-1),""))</f>
        <v/>
      </c>
      <c r="AH2011" s="94" t="n"/>
      <c r="AI2011" s="94" t="n"/>
      <c r="AJ2011" s="94" t="n"/>
      <c r="AK2011" s="94" t="n"/>
      <c r="AL2011" s="84" t="n"/>
    </row>
    <row r="2012">
      <c r="A2012" s="64" t="n"/>
      <c r="B2012" s="65" t="n"/>
      <c r="C2012" s="66" t="n"/>
      <c r="D2012" s="67" t="n"/>
      <c r="E2012" s="68" t="n"/>
      <c r="F2012" s="47">
        <f>IF(A2012="","",IF(MIN(H2012,MAX(J2012:K2012))=0,"",MIN(H2012,MAX(J2012:K2012))))</f>
        <v/>
      </c>
      <c r="G2012" s="74" t="n"/>
      <c r="H2012" s="49">
        <f>IF(M2012="","",IFERROR(ROUND(AVERAGE(T2012+M2012*{7,8,9,10,11})/1.21,4),""))</f>
        <v/>
      </c>
      <c r="I2012" s="76" t="n"/>
      <c r="J2012" s="77" t="n"/>
      <c r="K2012" s="74" t="n"/>
      <c r="L2012" s="78" t="n"/>
      <c r="M2012" s="77" t="n"/>
      <c r="N2012" s="53">
        <f>IF(M2012="","",IFERROR(M2012/I2012,""))</f>
        <v/>
      </c>
      <c r="O2012" s="50">
        <f>IF(A2012="","",IFERROR((IF(G2012="",I2012,G2012)-T2012)/M2012,""))</f>
        <v/>
      </c>
      <c r="P2012" s="50">
        <f>IFERROR((I2012/T2012-1)/N2012,"")</f>
        <v/>
      </c>
      <c r="Q2012" s="46">
        <f>IF(OR(T2012="",I2012&lt;T2012),"",IFERROR(R2012/IF(G2012="",I2012,G2012)-1,""))</f>
        <v/>
      </c>
      <c r="R2012" s="48">
        <f>IF($M2012="","",MAX(IF($G2012="",$I2012,$G2012)*(1/1.1),IF($G2012="",$I2012,$G2012)+(R$2*$M2012)))</f>
        <v/>
      </c>
      <c r="S2012" s="49">
        <f>IF($M2012="","",MAX(IF($G2012="",$I2012,$G2012)*(1/1.1),IF($G2012="",$I2012,$G2012)+(S$2*$M2012)))</f>
        <v/>
      </c>
      <c r="T2012" s="82" t="n"/>
      <c r="U2012" s="47">
        <f>IF(OR($M2012="",$T2012=""),"",$T2012+(U$2*$M2012))</f>
        <v/>
      </c>
      <c r="V2012" s="48">
        <f>IF(OR($M2012="",$T2012=""),"",$T2012+(V$2*$M2012))</f>
        <v/>
      </c>
      <c r="W2012" s="48">
        <f>IF(OR($M2012="",$T2012=""),"",$T2012+(W$2*$M2012))</f>
        <v/>
      </c>
      <c r="X2012" s="49">
        <f>IF(OR($M2012="",$T2012=""),"",$T2012+(X$2*$M2012))</f>
        <v/>
      </c>
      <c r="Y2012" s="47">
        <f>IF(OR($M2012="",$T2012=""),"",$T2012+(Y$2*$M2012))</f>
        <v/>
      </c>
      <c r="Z2012" s="49">
        <f>IF(OR($M2012="",$T2012=""),"",$T2012+(Z$2*$M2012))</f>
        <v/>
      </c>
      <c r="AA2012" s="51">
        <f>IF(OR($M2012="",$T2012=""),"",$T2012+(AA$2*$M2012))</f>
        <v/>
      </c>
      <c r="AB2012" s="48">
        <f>IF(OR($M2012="",$T2012=""),"",$T2012+(AB$2*$M2012))</f>
        <v/>
      </c>
      <c r="AC2012" s="48">
        <f>IF(OR($M2012="",$T2012=""),"",$T2012+(AC$2*$M2012))</f>
        <v/>
      </c>
      <c r="AD2012" s="48">
        <f>IF(OR($M2012="",$T2012=""),"",$T2012+(AD$2*$M2012))</f>
        <v/>
      </c>
      <c r="AE2012" s="49">
        <f>IF(OR($M2012="",$T2012=""),"",$T2012+(AE$2*$M2012))</f>
        <v/>
      </c>
      <c r="AF2012" s="52">
        <f>IF(OR(T2012="",I2012&lt;T2012),"",IFERROR(AVERAGE(T2012+M2012*{7,8,9,10,11})/IF(G2012="",I2012,G2012)-1,""))</f>
        <v/>
      </c>
      <c r="AG2012" s="55">
        <f>IF(OR(T2012="",I2012&lt;T2012),"",IFERROR(AF2012/-(R2012/IF(G2012="",I2012,G2012)-1),""))</f>
        <v/>
      </c>
      <c r="AH2012" s="94" t="n"/>
      <c r="AI2012" s="94" t="n"/>
      <c r="AJ2012" s="94" t="n"/>
      <c r="AK2012" s="94" t="n"/>
      <c r="AL2012" s="84" t="n"/>
    </row>
    <row r="2013">
      <c r="A2013" s="64" t="n"/>
      <c r="B2013" s="65" t="n"/>
      <c r="C2013" s="66" t="n"/>
      <c r="D2013" s="67" t="n"/>
      <c r="E2013" s="68" t="n"/>
      <c r="F2013" s="47">
        <f>IF(A2013="","",IF(MIN(H2013,MAX(J2013:K2013))=0,"",MIN(H2013,MAX(J2013:K2013))))</f>
        <v/>
      </c>
      <c r="G2013" s="74" t="n"/>
      <c r="H2013" s="49">
        <f>IF(M2013="","",IFERROR(ROUND(AVERAGE(T2013+M2013*{7,8,9,10,11})/1.21,4),""))</f>
        <v/>
      </c>
      <c r="I2013" s="76" t="n"/>
      <c r="J2013" s="77" t="n"/>
      <c r="K2013" s="74" t="n"/>
      <c r="L2013" s="78" t="n"/>
      <c r="M2013" s="77" t="n"/>
      <c r="N2013" s="53">
        <f>IF(M2013="","",IFERROR(M2013/I2013,""))</f>
        <v/>
      </c>
      <c r="O2013" s="50">
        <f>IF(A2013="","",IFERROR((IF(G2013="",I2013,G2013)-T2013)/M2013,""))</f>
        <v/>
      </c>
      <c r="P2013" s="50">
        <f>IFERROR((I2013/T2013-1)/N2013,"")</f>
        <v/>
      </c>
      <c r="Q2013" s="46">
        <f>IF(OR(T2013="",I2013&lt;T2013),"",IFERROR(R2013/IF(G2013="",I2013,G2013)-1,""))</f>
        <v/>
      </c>
      <c r="R2013" s="48">
        <f>IF($M2013="","",MAX(IF($G2013="",$I2013,$G2013)*(1/1.1),IF($G2013="",$I2013,$G2013)+(R$2*$M2013)))</f>
        <v/>
      </c>
      <c r="S2013" s="49">
        <f>IF($M2013="","",MAX(IF($G2013="",$I2013,$G2013)*(1/1.1),IF($G2013="",$I2013,$G2013)+(S$2*$M2013)))</f>
        <v/>
      </c>
      <c r="T2013" s="82" t="n"/>
      <c r="U2013" s="47">
        <f>IF(OR($M2013="",$T2013=""),"",$T2013+(U$2*$M2013))</f>
        <v/>
      </c>
      <c r="V2013" s="48">
        <f>IF(OR($M2013="",$T2013=""),"",$T2013+(V$2*$M2013))</f>
        <v/>
      </c>
      <c r="W2013" s="48">
        <f>IF(OR($M2013="",$T2013=""),"",$T2013+(W$2*$M2013))</f>
        <v/>
      </c>
      <c r="X2013" s="49">
        <f>IF(OR($M2013="",$T2013=""),"",$T2013+(X$2*$M2013))</f>
        <v/>
      </c>
      <c r="Y2013" s="47">
        <f>IF(OR($M2013="",$T2013=""),"",$T2013+(Y$2*$M2013))</f>
        <v/>
      </c>
      <c r="Z2013" s="49">
        <f>IF(OR($M2013="",$T2013=""),"",$T2013+(Z$2*$M2013))</f>
        <v/>
      </c>
      <c r="AA2013" s="51">
        <f>IF(OR($M2013="",$T2013=""),"",$T2013+(AA$2*$M2013))</f>
        <v/>
      </c>
      <c r="AB2013" s="48">
        <f>IF(OR($M2013="",$T2013=""),"",$T2013+(AB$2*$M2013))</f>
        <v/>
      </c>
      <c r="AC2013" s="48">
        <f>IF(OR($M2013="",$T2013=""),"",$T2013+(AC$2*$M2013))</f>
        <v/>
      </c>
      <c r="AD2013" s="48">
        <f>IF(OR($M2013="",$T2013=""),"",$T2013+(AD$2*$M2013))</f>
        <v/>
      </c>
      <c r="AE2013" s="49">
        <f>IF(OR($M2013="",$T2013=""),"",$T2013+(AE$2*$M2013))</f>
        <v/>
      </c>
      <c r="AF2013" s="52">
        <f>IF(OR(T2013="",I2013&lt;T2013),"",IFERROR(AVERAGE(T2013+M2013*{7,8,9,10,11})/IF(G2013="",I2013,G2013)-1,""))</f>
        <v/>
      </c>
      <c r="AG2013" s="55">
        <f>IF(OR(T2013="",I2013&lt;T2013),"",IFERROR(AF2013/-(R2013/IF(G2013="",I2013,G2013)-1),""))</f>
        <v/>
      </c>
      <c r="AH2013" s="94" t="n"/>
      <c r="AI2013" s="94" t="n"/>
      <c r="AJ2013" s="94" t="n"/>
      <c r="AK2013" s="94" t="n"/>
      <c r="AL2013" s="84" t="n"/>
    </row>
    <row r="2014">
      <c r="A2014" s="64" t="n"/>
      <c r="B2014" s="65" t="n"/>
      <c r="C2014" s="66" t="n"/>
      <c r="D2014" s="67" t="n"/>
      <c r="E2014" s="68" t="n"/>
      <c r="F2014" s="47">
        <f>IF(A2014="","",IF(MIN(H2014,MAX(J2014:K2014))=0,"",MIN(H2014,MAX(J2014:K2014))))</f>
        <v/>
      </c>
      <c r="G2014" s="74" t="n"/>
      <c r="H2014" s="49">
        <f>IF(M2014="","",IFERROR(ROUND(AVERAGE(T2014+M2014*{7,8,9,10,11})/1.21,4),""))</f>
        <v/>
      </c>
      <c r="I2014" s="76" t="n"/>
      <c r="J2014" s="77" t="n"/>
      <c r="K2014" s="74" t="n"/>
      <c r="L2014" s="78" t="n"/>
      <c r="M2014" s="77" t="n"/>
      <c r="N2014" s="53">
        <f>IF(M2014="","",IFERROR(M2014/I2014,""))</f>
        <v/>
      </c>
      <c r="O2014" s="50">
        <f>IF(A2014="","",IFERROR((IF(G2014="",I2014,G2014)-T2014)/M2014,""))</f>
        <v/>
      </c>
      <c r="P2014" s="50">
        <f>IFERROR((I2014/T2014-1)/N2014,"")</f>
        <v/>
      </c>
      <c r="Q2014" s="46">
        <f>IF(OR(T2014="",I2014&lt;T2014),"",IFERROR(R2014/IF(G2014="",I2014,G2014)-1,""))</f>
        <v/>
      </c>
      <c r="R2014" s="48">
        <f>IF($M2014="","",MAX(IF($G2014="",$I2014,$G2014)*(1/1.1),IF($G2014="",$I2014,$G2014)+(R$2*$M2014)))</f>
        <v/>
      </c>
      <c r="S2014" s="49">
        <f>IF($M2014="","",MAX(IF($G2014="",$I2014,$G2014)*(1/1.1),IF($G2014="",$I2014,$G2014)+(S$2*$M2014)))</f>
        <v/>
      </c>
      <c r="T2014" s="82" t="n"/>
      <c r="U2014" s="47">
        <f>IF(OR($M2014="",$T2014=""),"",$T2014+(U$2*$M2014))</f>
        <v/>
      </c>
      <c r="V2014" s="48">
        <f>IF(OR($M2014="",$T2014=""),"",$T2014+(V$2*$M2014))</f>
        <v/>
      </c>
      <c r="W2014" s="48">
        <f>IF(OR($M2014="",$T2014=""),"",$T2014+(W$2*$M2014))</f>
        <v/>
      </c>
      <c r="X2014" s="49">
        <f>IF(OR($M2014="",$T2014=""),"",$T2014+(X$2*$M2014))</f>
        <v/>
      </c>
      <c r="Y2014" s="47">
        <f>IF(OR($M2014="",$T2014=""),"",$T2014+(Y$2*$M2014))</f>
        <v/>
      </c>
      <c r="Z2014" s="49">
        <f>IF(OR($M2014="",$T2014=""),"",$T2014+(Z$2*$M2014))</f>
        <v/>
      </c>
      <c r="AA2014" s="51">
        <f>IF(OR($M2014="",$T2014=""),"",$T2014+(AA$2*$M2014))</f>
        <v/>
      </c>
      <c r="AB2014" s="48">
        <f>IF(OR($M2014="",$T2014=""),"",$T2014+(AB$2*$M2014))</f>
        <v/>
      </c>
      <c r="AC2014" s="48">
        <f>IF(OR($M2014="",$T2014=""),"",$T2014+(AC$2*$M2014))</f>
        <v/>
      </c>
      <c r="AD2014" s="48">
        <f>IF(OR($M2014="",$T2014=""),"",$T2014+(AD$2*$M2014))</f>
        <v/>
      </c>
      <c r="AE2014" s="49">
        <f>IF(OR($M2014="",$T2014=""),"",$T2014+(AE$2*$M2014))</f>
        <v/>
      </c>
      <c r="AF2014" s="52">
        <f>IF(OR(T2014="",I2014&lt;T2014),"",IFERROR(AVERAGE(T2014+M2014*{7,8,9,10,11})/IF(G2014="",I2014,G2014)-1,""))</f>
        <v/>
      </c>
      <c r="AG2014" s="55">
        <f>IF(OR(T2014="",I2014&lt;T2014),"",IFERROR(AF2014/-(R2014/IF(G2014="",I2014,G2014)-1),""))</f>
        <v/>
      </c>
      <c r="AH2014" s="94" t="n"/>
      <c r="AI2014" s="94" t="n"/>
      <c r="AJ2014" s="94" t="n"/>
      <c r="AK2014" s="94" t="n"/>
      <c r="AL2014" s="84" t="n"/>
    </row>
    <row r="2015">
      <c r="A2015" s="64" t="n"/>
      <c r="B2015" s="65" t="n"/>
      <c r="C2015" s="66" t="n"/>
      <c r="D2015" s="67" t="n"/>
      <c r="E2015" s="68" t="n"/>
      <c r="F2015" s="47">
        <f>IF(A2015="","",IF(MIN(H2015,MAX(J2015:K2015))=0,"",MIN(H2015,MAX(J2015:K2015))))</f>
        <v/>
      </c>
      <c r="G2015" s="74" t="n"/>
      <c r="H2015" s="49">
        <f>IF(M2015="","",IFERROR(ROUND(AVERAGE(T2015+M2015*{7,8,9,10,11})/1.21,4),""))</f>
        <v/>
      </c>
      <c r="I2015" s="76" t="n"/>
      <c r="J2015" s="77" t="n"/>
      <c r="K2015" s="74" t="n"/>
      <c r="L2015" s="78" t="n"/>
      <c r="M2015" s="77" t="n"/>
      <c r="N2015" s="53">
        <f>IF(M2015="","",IFERROR(M2015/I2015,""))</f>
        <v/>
      </c>
      <c r="O2015" s="50">
        <f>IF(A2015="","",IFERROR((IF(G2015="",I2015,G2015)-T2015)/M2015,""))</f>
        <v/>
      </c>
      <c r="P2015" s="50">
        <f>IFERROR((I2015/T2015-1)/N2015,"")</f>
        <v/>
      </c>
      <c r="Q2015" s="46">
        <f>IF(OR(T2015="",I2015&lt;T2015),"",IFERROR(R2015/IF(G2015="",I2015,G2015)-1,""))</f>
        <v/>
      </c>
      <c r="R2015" s="48">
        <f>IF($M2015="","",MAX(IF($G2015="",$I2015,$G2015)*(1/1.1),IF($G2015="",$I2015,$G2015)+(R$2*$M2015)))</f>
        <v/>
      </c>
      <c r="S2015" s="49">
        <f>IF($M2015="","",MAX(IF($G2015="",$I2015,$G2015)*(1/1.1),IF($G2015="",$I2015,$G2015)+(S$2*$M2015)))</f>
        <v/>
      </c>
      <c r="T2015" s="82" t="n"/>
      <c r="U2015" s="47">
        <f>IF(OR($M2015="",$T2015=""),"",$T2015+(U$2*$M2015))</f>
        <v/>
      </c>
      <c r="V2015" s="48">
        <f>IF(OR($M2015="",$T2015=""),"",$T2015+(V$2*$M2015))</f>
        <v/>
      </c>
      <c r="W2015" s="48">
        <f>IF(OR($M2015="",$T2015=""),"",$T2015+(W$2*$M2015))</f>
        <v/>
      </c>
      <c r="X2015" s="49">
        <f>IF(OR($M2015="",$T2015=""),"",$T2015+(X$2*$M2015))</f>
        <v/>
      </c>
      <c r="Y2015" s="47">
        <f>IF(OR($M2015="",$T2015=""),"",$T2015+(Y$2*$M2015))</f>
        <v/>
      </c>
      <c r="Z2015" s="49">
        <f>IF(OR($M2015="",$T2015=""),"",$T2015+(Z$2*$M2015))</f>
        <v/>
      </c>
      <c r="AA2015" s="51">
        <f>IF(OR($M2015="",$T2015=""),"",$T2015+(AA$2*$M2015))</f>
        <v/>
      </c>
      <c r="AB2015" s="48">
        <f>IF(OR($M2015="",$T2015=""),"",$T2015+(AB$2*$M2015))</f>
        <v/>
      </c>
      <c r="AC2015" s="48">
        <f>IF(OR($M2015="",$T2015=""),"",$T2015+(AC$2*$M2015))</f>
        <v/>
      </c>
      <c r="AD2015" s="48">
        <f>IF(OR($M2015="",$T2015=""),"",$T2015+(AD$2*$M2015))</f>
        <v/>
      </c>
      <c r="AE2015" s="49">
        <f>IF(OR($M2015="",$T2015=""),"",$T2015+(AE$2*$M2015))</f>
        <v/>
      </c>
      <c r="AF2015" s="52">
        <f>IF(OR(T2015="",I2015&lt;T2015),"",IFERROR(AVERAGE(T2015+M2015*{7,8,9,10,11})/IF(G2015="",I2015,G2015)-1,""))</f>
        <v/>
      </c>
      <c r="AG2015" s="55">
        <f>IF(OR(T2015="",I2015&lt;T2015),"",IFERROR(AF2015/-(R2015/IF(G2015="",I2015,G2015)-1),""))</f>
        <v/>
      </c>
      <c r="AH2015" s="94" t="n"/>
      <c r="AI2015" s="94" t="n"/>
      <c r="AJ2015" s="94" t="n"/>
      <c r="AK2015" s="94" t="n"/>
      <c r="AL2015" s="84" t="n"/>
    </row>
    <row r="2016">
      <c r="A2016" s="64" t="n"/>
      <c r="B2016" s="65" t="n"/>
      <c r="C2016" s="66" t="n"/>
      <c r="D2016" s="67" t="n"/>
      <c r="E2016" s="68" t="n"/>
      <c r="F2016" s="47">
        <f>IF(A2016="","",IF(MIN(H2016,MAX(J2016:K2016))=0,"",MIN(H2016,MAX(J2016:K2016))))</f>
        <v/>
      </c>
      <c r="G2016" s="74" t="n"/>
      <c r="H2016" s="49">
        <f>IF(M2016="","",IFERROR(ROUND(AVERAGE(T2016+M2016*{7,8,9,10,11})/1.21,4),""))</f>
        <v/>
      </c>
      <c r="I2016" s="76" t="n"/>
      <c r="J2016" s="77" t="n"/>
      <c r="K2016" s="74" t="n"/>
      <c r="L2016" s="78" t="n"/>
      <c r="M2016" s="77" t="n"/>
      <c r="N2016" s="53">
        <f>IF(M2016="","",IFERROR(M2016/I2016,""))</f>
        <v/>
      </c>
      <c r="O2016" s="50">
        <f>IF(A2016="","",IFERROR((IF(G2016="",I2016,G2016)-T2016)/M2016,""))</f>
        <v/>
      </c>
      <c r="P2016" s="50">
        <f>IFERROR((I2016/T2016-1)/N2016,"")</f>
        <v/>
      </c>
      <c r="Q2016" s="46">
        <f>IF(OR(T2016="",I2016&lt;T2016),"",IFERROR(R2016/IF(G2016="",I2016,G2016)-1,""))</f>
        <v/>
      </c>
      <c r="R2016" s="48">
        <f>IF($M2016="","",MAX(IF($G2016="",$I2016,$G2016)*(1/1.1),IF($G2016="",$I2016,$G2016)+(R$2*$M2016)))</f>
        <v/>
      </c>
      <c r="S2016" s="49">
        <f>IF($M2016="","",MAX(IF($G2016="",$I2016,$G2016)*(1/1.1),IF($G2016="",$I2016,$G2016)+(S$2*$M2016)))</f>
        <v/>
      </c>
      <c r="T2016" s="82" t="n"/>
      <c r="U2016" s="47">
        <f>IF(OR($M2016="",$T2016=""),"",$T2016+(U$2*$M2016))</f>
        <v/>
      </c>
      <c r="V2016" s="48">
        <f>IF(OR($M2016="",$T2016=""),"",$T2016+(V$2*$M2016))</f>
        <v/>
      </c>
      <c r="W2016" s="48">
        <f>IF(OR($M2016="",$T2016=""),"",$T2016+(W$2*$M2016))</f>
        <v/>
      </c>
      <c r="X2016" s="49">
        <f>IF(OR($M2016="",$T2016=""),"",$T2016+(X$2*$M2016))</f>
        <v/>
      </c>
      <c r="Y2016" s="47">
        <f>IF(OR($M2016="",$T2016=""),"",$T2016+(Y$2*$M2016))</f>
        <v/>
      </c>
      <c r="Z2016" s="49">
        <f>IF(OR($M2016="",$T2016=""),"",$T2016+(Z$2*$M2016))</f>
        <v/>
      </c>
      <c r="AA2016" s="51">
        <f>IF(OR($M2016="",$T2016=""),"",$T2016+(AA$2*$M2016))</f>
        <v/>
      </c>
      <c r="AB2016" s="48">
        <f>IF(OR($M2016="",$T2016=""),"",$T2016+(AB$2*$M2016))</f>
        <v/>
      </c>
      <c r="AC2016" s="48">
        <f>IF(OR($M2016="",$T2016=""),"",$T2016+(AC$2*$M2016))</f>
        <v/>
      </c>
      <c r="AD2016" s="48">
        <f>IF(OR($M2016="",$T2016=""),"",$T2016+(AD$2*$M2016))</f>
        <v/>
      </c>
      <c r="AE2016" s="49">
        <f>IF(OR($M2016="",$T2016=""),"",$T2016+(AE$2*$M2016))</f>
        <v/>
      </c>
      <c r="AF2016" s="52">
        <f>IF(OR(T2016="",I2016&lt;T2016),"",IFERROR(AVERAGE(T2016+M2016*{7,8,9,10,11})/IF(G2016="",I2016,G2016)-1,""))</f>
        <v/>
      </c>
      <c r="AG2016" s="55">
        <f>IF(OR(T2016="",I2016&lt;T2016),"",IFERROR(AF2016/-(R2016/IF(G2016="",I2016,G2016)-1),""))</f>
        <v/>
      </c>
      <c r="AH2016" s="94" t="n"/>
      <c r="AI2016" s="94" t="n"/>
      <c r="AJ2016" s="94" t="n"/>
      <c r="AK2016" s="94" t="n"/>
      <c r="AL2016" s="84" t="n"/>
    </row>
    <row r="2017">
      <c r="A2017" s="64" t="n"/>
      <c r="B2017" s="65" t="n"/>
      <c r="C2017" s="66" t="n"/>
      <c r="D2017" s="67" t="n"/>
      <c r="E2017" s="68" t="n"/>
      <c r="F2017" s="47">
        <f>IF(A2017="","",IF(MIN(H2017,MAX(J2017:K2017))=0,"",MIN(H2017,MAX(J2017:K2017))))</f>
        <v/>
      </c>
      <c r="G2017" s="74" t="n"/>
      <c r="H2017" s="49">
        <f>IF(M2017="","",IFERROR(ROUND(AVERAGE(T2017+M2017*{7,8,9,10,11})/1.21,4),""))</f>
        <v/>
      </c>
      <c r="I2017" s="76" t="n"/>
      <c r="J2017" s="77" t="n"/>
      <c r="K2017" s="74" t="n"/>
      <c r="L2017" s="78" t="n"/>
      <c r="M2017" s="77" t="n"/>
      <c r="N2017" s="53">
        <f>IF(M2017="","",IFERROR(M2017/I2017,""))</f>
        <v/>
      </c>
      <c r="O2017" s="50">
        <f>IF(A2017="","",IFERROR((IF(G2017="",I2017,G2017)-T2017)/M2017,""))</f>
        <v/>
      </c>
      <c r="P2017" s="50">
        <f>IFERROR((I2017/T2017-1)/N2017,"")</f>
        <v/>
      </c>
      <c r="Q2017" s="46">
        <f>IF(OR(T2017="",I2017&lt;T2017),"",IFERROR(R2017/IF(G2017="",I2017,G2017)-1,""))</f>
        <v/>
      </c>
      <c r="R2017" s="48">
        <f>IF($M2017="","",MAX(IF($G2017="",$I2017,$G2017)*(1/1.1),IF($G2017="",$I2017,$G2017)+(R$2*$M2017)))</f>
        <v/>
      </c>
      <c r="S2017" s="49">
        <f>IF($M2017="","",MAX(IF($G2017="",$I2017,$G2017)*(1/1.1),IF($G2017="",$I2017,$G2017)+(S$2*$M2017)))</f>
        <v/>
      </c>
      <c r="T2017" s="82" t="n"/>
      <c r="U2017" s="47">
        <f>IF(OR($M2017="",$T2017=""),"",$T2017+(U$2*$M2017))</f>
        <v/>
      </c>
      <c r="V2017" s="48">
        <f>IF(OR($M2017="",$T2017=""),"",$T2017+(V$2*$M2017))</f>
        <v/>
      </c>
      <c r="W2017" s="48">
        <f>IF(OR($M2017="",$T2017=""),"",$T2017+(W$2*$M2017))</f>
        <v/>
      </c>
      <c r="X2017" s="49">
        <f>IF(OR($M2017="",$T2017=""),"",$T2017+(X$2*$M2017))</f>
        <v/>
      </c>
      <c r="Y2017" s="47">
        <f>IF(OR($M2017="",$T2017=""),"",$T2017+(Y$2*$M2017))</f>
        <v/>
      </c>
      <c r="Z2017" s="49">
        <f>IF(OR($M2017="",$T2017=""),"",$T2017+(Z$2*$M2017))</f>
        <v/>
      </c>
      <c r="AA2017" s="51">
        <f>IF(OR($M2017="",$T2017=""),"",$T2017+(AA$2*$M2017))</f>
        <v/>
      </c>
      <c r="AB2017" s="48">
        <f>IF(OR($M2017="",$T2017=""),"",$T2017+(AB$2*$M2017))</f>
        <v/>
      </c>
      <c r="AC2017" s="48">
        <f>IF(OR($M2017="",$T2017=""),"",$T2017+(AC$2*$M2017))</f>
        <v/>
      </c>
      <c r="AD2017" s="48">
        <f>IF(OR($M2017="",$T2017=""),"",$T2017+(AD$2*$M2017))</f>
        <v/>
      </c>
      <c r="AE2017" s="49">
        <f>IF(OR($M2017="",$T2017=""),"",$T2017+(AE$2*$M2017))</f>
        <v/>
      </c>
      <c r="AF2017" s="52">
        <f>IF(OR(T2017="",I2017&lt;T2017),"",IFERROR(AVERAGE(T2017+M2017*{7,8,9,10,11})/IF(G2017="",I2017,G2017)-1,""))</f>
        <v/>
      </c>
      <c r="AG2017" s="55">
        <f>IF(OR(T2017="",I2017&lt;T2017),"",IFERROR(AF2017/-(R2017/IF(G2017="",I2017,G2017)-1),""))</f>
        <v/>
      </c>
      <c r="AH2017" s="94" t="n"/>
      <c r="AI2017" s="94" t="n"/>
      <c r="AJ2017" s="94" t="n"/>
      <c r="AK2017" s="94" t="n"/>
      <c r="AL2017" s="84" t="n"/>
    </row>
    <row r="2018">
      <c r="A2018" s="64" t="n"/>
      <c r="B2018" s="65" t="n"/>
      <c r="C2018" s="66" t="n"/>
      <c r="D2018" s="67" t="n"/>
      <c r="E2018" s="68" t="n"/>
      <c r="F2018" s="47">
        <f>IF(A2018="","",IF(MIN(H2018,MAX(J2018:K2018))=0,"",MIN(H2018,MAX(J2018:K2018))))</f>
        <v/>
      </c>
      <c r="G2018" s="74" t="n"/>
      <c r="H2018" s="49">
        <f>IF(M2018="","",IFERROR(ROUND(AVERAGE(T2018+M2018*{7,8,9,10,11})/1.21,4),""))</f>
        <v/>
      </c>
      <c r="I2018" s="76" t="n"/>
      <c r="J2018" s="77" t="n"/>
      <c r="K2018" s="74" t="n"/>
      <c r="L2018" s="78" t="n"/>
      <c r="M2018" s="77" t="n"/>
      <c r="N2018" s="53">
        <f>IF(M2018="","",IFERROR(M2018/I2018,""))</f>
        <v/>
      </c>
      <c r="O2018" s="50">
        <f>IF(A2018="","",IFERROR((IF(G2018="",I2018,G2018)-T2018)/M2018,""))</f>
        <v/>
      </c>
      <c r="P2018" s="50">
        <f>IFERROR((I2018/T2018-1)/N2018,"")</f>
        <v/>
      </c>
      <c r="Q2018" s="46">
        <f>IF(OR(T2018="",I2018&lt;T2018),"",IFERROR(R2018/IF(G2018="",I2018,G2018)-1,""))</f>
        <v/>
      </c>
      <c r="R2018" s="48">
        <f>IF($M2018="","",MAX(IF($G2018="",$I2018,$G2018)*(1/1.1),IF($G2018="",$I2018,$G2018)+(R$2*$M2018)))</f>
        <v/>
      </c>
      <c r="S2018" s="49">
        <f>IF($M2018="","",MAX(IF($G2018="",$I2018,$G2018)*(1/1.1),IF($G2018="",$I2018,$G2018)+(S$2*$M2018)))</f>
        <v/>
      </c>
      <c r="T2018" s="82" t="n"/>
      <c r="U2018" s="47">
        <f>IF(OR($M2018="",$T2018=""),"",$T2018+(U$2*$M2018))</f>
        <v/>
      </c>
      <c r="V2018" s="48">
        <f>IF(OR($M2018="",$T2018=""),"",$T2018+(V$2*$M2018))</f>
        <v/>
      </c>
      <c r="W2018" s="48">
        <f>IF(OR($M2018="",$T2018=""),"",$T2018+(W$2*$M2018))</f>
        <v/>
      </c>
      <c r="X2018" s="49">
        <f>IF(OR($M2018="",$T2018=""),"",$T2018+(X$2*$M2018))</f>
        <v/>
      </c>
      <c r="Y2018" s="47">
        <f>IF(OR($M2018="",$T2018=""),"",$T2018+(Y$2*$M2018))</f>
        <v/>
      </c>
      <c r="Z2018" s="49">
        <f>IF(OR($M2018="",$T2018=""),"",$T2018+(Z$2*$M2018))</f>
        <v/>
      </c>
      <c r="AA2018" s="51">
        <f>IF(OR($M2018="",$T2018=""),"",$T2018+(AA$2*$M2018))</f>
        <v/>
      </c>
      <c r="AB2018" s="48">
        <f>IF(OR($M2018="",$T2018=""),"",$T2018+(AB$2*$M2018))</f>
        <v/>
      </c>
      <c r="AC2018" s="48">
        <f>IF(OR($M2018="",$T2018=""),"",$T2018+(AC$2*$M2018))</f>
        <v/>
      </c>
      <c r="AD2018" s="48">
        <f>IF(OR($M2018="",$T2018=""),"",$T2018+(AD$2*$M2018))</f>
        <v/>
      </c>
      <c r="AE2018" s="49">
        <f>IF(OR($M2018="",$T2018=""),"",$T2018+(AE$2*$M2018))</f>
        <v/>
      </c>
      <c r="AF2018" s="52">
        <f>IF(OR(T2018="",I2018&lt;T2018),"",IFERROR(AVERAGE(T2018+M2018*{7,8,9,10,11})/IF(G2018="",I2018,G2018)-1,""))</f>
        <v/>
      </c>
      <c r="AG2018" s="55">
        <f>IF(OR(T2018="",I2018&lt;T2018),"",IFERROR(AF2018/-(R2018/IF(G2018="",I2018,G2018)-1),""))</f>
        <v/>
      </c>
      <c r="AH2018" s="94" t="n"/>
      <c r="AI2018" s="94" t="n"/>
      <c r="AJ2018" s="94" t="n"/>
      <c r="AK2018" s="94" t="n"/>
      <c r="AL2018" s="84" t="n"/>
    </row>
    <row r="2019">
      <c r="A2019" s="64" t="n"/>
      <c r="B2019" s="65" t="n"/>
      <c r="C2019" s="66" t="n"/>
      <c r="D2019" s="67" t="n"/>
      <c r="E2019" s="68" t="n"/>
      <c r="F2019" s="47">
        <f>IF(A2019="","",IF(MIN(H2019,MAX(J2019:K2019))=0,"",MIN(H2019,MAX(J2019:K2019))))</f>
        <v/>
      </c>
      <c r="G2019" s="74" t="n"/>
      <c r="H2019" s="49">
        <f>IF(M2019="","",IFERROR(ROUND(AVERAGE(T2019+M2019*{7,8,9,10,11})/1.21,4),""))</f>
        <v/>
      </c>
      <c r="I2019" s="76" t="n"/>
      <c r="J2019" s="77" t="n"/>
      <c r="K2019" s="74" t="n"/>
      <c r="L2019" s="78" t="n"/>
      <c r="M2019" s="77" t="n"/>
      <c r="N2019" s="53">
        <f>IF(M2019="","",IFERROR(M2019/I2019,""))</f>
        <v/>
      </c>
      <c r="O2019" s="50">
        <f>IF(A2019="","",IFERROR((IF(G2019="",I2019,G2019)-T2019)/M2019,""))</f>
        <v/>
      </c>
      <c r="P2019" s="50">
        <f>IFERROR((I2019/T2019-1)/N2019,"")</f>
        <v/>
      </c>
      <c r="Q2019" s="46">
        <f>IF(OR(T2019="",I2019&lt;T2019),"",IFERROR(R2019/IF(G2019="",I2019,G2019)-1,""))</f>
        <v/>
      </c>
      <c r="R2019" s="48">
        <f>IF($M2019="","",MAX(IF($G2019="",$I2019,$G2019)*(1/1.1),IF($G2019="",$I2019,$G2019)+(R$2*$M2019)))</f>
        <v/>
      </c>
      <c r="S2019" s="49">
        <f>IF($M2019="","",MAX(IF($G2019="",$I2019,$G2019)*(1/1.1),IF($G2019="",$I2019,$G2019)+(S$2*$M2019)))</f>
        <v/>
      </c>
      <c r="T2019" s="82" t="n"/>
      <c r="U2019" s="47">
        <f>IF(OR($M2019="",$T2019=""),"",$T2019+(U$2*$M2019))</f>
        <v/>
      </c>
      <c r="V2019" s="48">
        <f>IF(OR($M2019="",$T2019=""),"",$T2019+(V$2*$M2019))</f>
        <v/>
      </c>
      <c r="W2019" s="48">
        <f>IF(OR($M2019="",$T2019=""),"",$T2019+(W$2*$M2019))</f>
        <v/>
      </c>
      <c r="X2019" s="49">
        <f>IF(OR($M2019="",$T2019=""),"",$T2019+(X$2*$M2019))</f>
        <v/>
      </c>
      <c r="Y2019" s="47">
        <f>IF(OR($M2019="",$T2019=""),"",$T2019+(Y$2*$M2019))</f>
        <v/>
      </c>
      <c r="Z2019" s="49">
        <f>IF(OR($M2019="",$T2019=""),"",$T2019+(Z$2*$M2019))</f>
        <v/>
      </c>
      <c r="AA2019" s="51">
        <f>IF(OR($M2019="",$T2019=""),"",$T2019+(AA$2*$M2019))</f>
        <v/>
      </c>
      <c r="AB2019" s="48">
        <f>IF(OR($M2019="",$T2019=""),"",$T2019+(AB$2*$M2019))</f>
        <v/>
      </c>
      <c r="AC2019" s="48">
        <f>IF(OR($M2019="",$T2019=""),"",$T2019+(AC$2*$M2019))</f>
        <v/>
      </c>
      <c r="AD2019" s="48">
        <f>IF(OR($M2019="",$T2019=""),"",$T2019+(AD$2*$M2019))</f>
        <v/>
      </c>
      <c r="AE2019" s="49">
        <f>IF(OR($M2019="",$T2019=""),"",$T2019+(AE$2*$M2019))</f>
        <v/>
      </c>
      <c r="AF2019" s="52">
        <f>IF(OR(T2019="",I2019&lt;T2019),"",IFERROR(AVERAGE(T2019+M2019*{7,8,9,10,11})/IF(G2019="",I2019,G2019)-1,""))</f>
        <v/>
      </c>
      <c r="AG2019" s="55">
        <f>IF(OR(T2019="",I2019&lt;T2019),"",IFERROR(AF2019/-(R2019/IF(G2019="",I2019,G2019)-1),""))</f>
        <v/>
      </c>
      <c r="AH2019" s="94" t="n"/>
      <c r="AI2019" s="94" t="n"/>
      <c r="AJ2019" s="94" t="n"/>
      <c r="AK2019" s="94" t="n"/>
      <c r="AL2019" s="84" t="n"/>
    </row>
    <row r="2020">
      <c r="A2020" s="64" t="n"/>
      <c r="B2020" s="65" t="n"/>
      <c r="C2020" s="66" t="n"/>
      <c r="D2020" s="67" t="n"/>
      <c r="E2020" s="68" t="n"/>
      <c r="F2020" s="47">
        <f>IF(A2020="","",IF(MIN(H2020,MAX(J2020:K2020))=0,"",MIN(H2020,MAX(J2020:K2020))))</f>
        <v/>
      </c>
      <c r="G2020" s="74" t="n"/>
      <c r="H2020" s="49">
        <f>IF(M2020="","",IFERROR(ROUND(AVERAGE(T2020+M2020*{7,8,9,10,11})/1.21,4),""))</f>
        <v/>
      </c>
      <c r="I2020" s="76" t="n"/>
      <c r="J2020" s="77" t="n"/>
      <c r="K2020" s="74" t="n"/>
      <c r="L2020" s="78" t="n"/>
      <c r="M2020" s="77" t="n"/>
      <c r="N2020" s="53">
        <f>IF(M2020="","",IFERROR(M2020/I2020,""))</f>
        <v/>
      </c>
      <c r="O2020" s="50">
        <f>IF(A2020="","",IFERROR((IF(G2020="",I2020,G2020)-T2020)/M2020,""))</f>
        <v/>
      </c>
      <c r="P2020" s="50">
        <f>IFERROR((I2020/T2020-1)/N2020,"")</f>
        <v/>
      </c>
      <c r="Q2020" s="46">
        <f>IF(OR(T2020="",I2020&lt;T2020),"",IFERROR(R2020/IF(G2020="",I2020,G2020)-1,""))</f>
        <v/>
      </c>
      <c r="R2020" s="48">
        <f>IF($M2020="","",MAX(IF($G2020="",$I2020,$G2020)*(1/1.1),IF($G2020="",$I2020,$G2020)+(R$2*$M2020)))</f>
        <v/>
      </c>
      <c r="S2020" s="49">
        <f>IF($M2020="","",MAX(IF($G2020="",$I2020,$G2020)*(1/1.1),IF($G2020="",$I2020,$G2020)+(S$2*$M2020)))</f>
        <v/>
      </c>
      <c r="T2020" s="82" t="n"/>
      <c r="U2020" s="47">
        <f>IF(OR($M2020="",$T2020=""),"",$T2020+(U$2*$M2020))</f>
        <v/>
      </c>
      <c r="V2020" s="48">
        <f>IF(OR($M2020="",$T2020=""),"",$T2020+(V$2*$M2020))</f>
        <v/>
      </c>
      <c r="W2020" s="48">
        <f>IF(OR($M2020="",$T2020=""),"",$T2020+(W$2*$M2020))</f>
        <v/>
      </c>
      <c r="X2020" s="49">
        <f>IF(OR($M2020="",$T2020=""),"",$T2020+(X$2*$M2020))</f>
        <v/>
      </c>
      <c r="Y2020" s="47">
        <f>IF(OR($M2020="",$T2020=""),"",$T2020+(Y$2*$M2020))</f>
        <v/>
      </c>
      <c r="Z2020" s="49">
        <f>IF(OR($M2020="",$T2020=""),"",$T2020+(Z$2*$M2020))</f>
        <v/>
      </c>
      <c r="AA2020" s="51">
        <f>IF(OR($M2020="",$T2020=""),"",$T2020+(AA$2*$M2020))</f>
        <v/>
      </c>
      <c r="AB2020" s="48">
        <f>IF(OR($M2020="",$T2020=""),"",$T2020+(AB$2*$M2020))</f>
        <v/>
      </c>
      <c r="AC2020" s="48">
        <f>IF(OR($M2020="",$T2020=""),"",$T2020+(AC$2*$M2020))</f>
        <v/>
      </c>
      <c r="AD2020" s="48">
        <f>IF(OR($M2020="",$T2020=""),"",$T2020+(AD$2*$M2020))</f>
        <v/>
      </c>
      <c r="AE2020" s="49">
        <f>IF(OR($M2020="",$T2020=""),"",$T2020+(AE$2*$M2020))</f>
        <v/>
      </c>
      <c r="AF2020" s="52">
        <f>IF(OR(T2020="",I2020&lt;T2020),"",IFERROR(AVERAGE(T2020+M2020*{7,8,9,10,11})/IF(G2020="",I2020,G2020)-1,""))</f>
        <v/>
      </c>
      <c r="AG2020" s="55">
        <f>IF(OR(T2020="",I2020&lt;T2020),"",IFERROR(AF2020/-(R2020/IF(G2020="",I2020,G2020)-1),""))</f>
        <v/>
      </c>
      <c r="AH2020" s="94" t="n"/>
      <c r="AI2020" s="94" t="n"/>
      <c r="AJ2020" s="94" t="n"/>
      <c r="AK2020" s="94" t="n"/>
      <c r="AL2020" s="84" t="n"/>
    </row>
    <row r="2021">
      <c r="A2021" s="64" t="n"/>
      <c r="B2021" s="65" t="n"/>
      <c r="C2021" s="66" t="n"/>
      <c r="D2021" s="67" t="n"/>
      <c r="E2021" s="68" t="n"/>
      <c r="F2021" s="47">
        <f>IF(A2021="","",IF(MIN(H2021,MAX(J2021:K2021))=0,"",MIN(H2021,MAX(J2021:K2021))))</f>
        <v/>
      </c>
      <c r="G2021" s="74" t="n"/>
      <c r="H2021" s="49">
        <f>IF(M2021="","",IFERROR(ROUND(AVERAGE(T2021+M2021*{7,8,9,10,11})/1.21,4),""))</f>
        <v/>
      </c>
      <c r="I2021" s="76" t="n"/>
      <c r="J2021" s="77" t="n"/>
      <c r="K2021" s="74" t="n"/>
      <c r="L2021" s="78" t="n"/>
      <c r="M2021" s="77" t="n"/>
      <c r="N2021" s="53">
        <f>IF(M2021="","",IFERROR(M2021/I2021,""))</f>
        <v/>
      </c>
      <c r="O2021" s="50">
        <f>IF(A2021="","",IFERROR((IF(G2021="",I2021,G2021)-T2021)/M2021,""))</f>
        <v/>
      </c>
      <c r="P2021" s="50">
        <f>IFERROR((I2021/T2021-1)/N2021,"")</f>
        <v/>
      </c>
      <c r="Q2021" s="46">
        <f>IF(OR(T2021="",I2021&lt;T2021),"",IFERROR(R2021/IF(G2021="",I2021,G2021)-1,""))</f>
        <v/>
      </c>
      <c r="R2021" s="48">
        <f>IF($M2021="","",MAX(IF($G2021="",$I2021,$G2021)*(1/1.1),IF($G2021="",$I2021,$G2021)+(R$2*$M2021)))</f>
        <v/>
      </c>
      <c r="S2021" s="49">
        <f>IF($M2021="","",MAX(IF($G2021="",$I2021,$G2021)*(1/1.1),IF($G2021="",$I2021,$G2021)+(S$2*$M2021)))</f>
        <v/>
      </c>
      <c r="T2021" s="82" t="n"/>
      <c r="U2021" s="47">
        <f>IF(OR($M2021="",$T2021=""),"",$T2021+(U$2*$M2021))</f>
        <v/>
      </c>
      <c r="V2021" s="48">
        <f>IF(OR($M2021="",$T2021=""),"",$T2021+(V$2*$M2021))</f>
        <v/>
      </c>
      <c r="W2021" s="48">
        <f>IF(OR($M2021="",$T2021=""),"",$T2021+(W$2*$M2021))</f>
        <v/>
      </c>
      <c r="X2021" s="49">
        <f>IF(OR($M2021="",$T2021=""),"",$T2021+(X$2*$M2021))</f>
        <v/>
      </c>
      <c r="Y2021" s="47">
        <f>IF(OR($M2021="",$T2021=""),"",$T2021+(Y$2*$M2021))</f>
        <v/>
      </c>
      <c r="Z2021" s="49">
        <f>IF(OR($M2021="",$T2021=""),"",$T2021+(Z$2*$M2021))</f>
        <v/>
      </c>
      <c r="AA2021" s="51">
        <f>IF(OR($M2021="",$T2021=""),"",$T2021+(AA$2*$M2021))</f>
        <v/>
      </c>
      <c r="AB2021" s="48">
        <f>IF(OR($M2021="",$T2021=""),"",$T2021+(AB$2*$M2021))</f>
        <v/>
      </c>
      <c r="AC2021" s="48">
        <f>IF(OR($M2021="",$T2021=""),"",$T2021+(AC$2*$M2021))</f>
        <v/>
      </c>
      <c r="AD2021" s="48">
        <f>IF(OR($M2021="",$T2021=""),"",$T2021+(AD$2*$M2021))</f>
        <v/>
      </c>
      <c r="AE2021" s="49">
        <f>IF(OR($M2021="",$T2021=""),"",$T2021+(AE$2*$M2021))</f>
        <v/>
      </c>
      <c r="AF2021" s="52">
        <f>IF(OR(T2021="",I2021&lt;T2021),"",IFERROR(AVERAGE(T2021+M2021*{7,8,9,10,11})/IF(G2021="",I2021,G2021)-1,""))</f>
        <v/>
      </c>
      <c r="AG2021" s="55">
        <f>IF(OR(T2021="",I2021&lt;T2021),"",IFERROR(AF2021/-(R2021/IF(G2021="",I2021,G2021)-1),""))</f>
        <v/>
      </c>
      <c r="AH2021" s="94" t="n"/>
      <c r="AI2021" s="94" t="n"/>
      <c r="AJ2021" s="94" t="n"/>
      <c r="AK2021" s="94" t="n"/>
      <c r="AL2021" s="84" t="n"/>
    </row>
    <row r="2022">
      <c r="A2022" s="64" t="n"/>
      <c r="B2022" s="65" t="n"/>
      <c r="C2022" s="66" t="n"/>
      <c r="D2022" s="67" t="n"/>
      <c r="E2022" s="68" t="n"/>
      <c r="F2022" s="47">
        <f>IF(A2022="","",IF(MIN(H2022,MAX(J2022:K2022))=0,"",MIN(H2022,MAX(J2022:K2022))))</f>
        <v/>
      </c>
      <c r="G2022" s="74" t="n"/>
      <c r="H2022" s="49">
        <f>IF(M2022="","",IFERROR(ROUND(AVERAGE(T2022+M2022*{7,8,9,10,11})/1.21,4),""))</f>
        <v/>
      </c>
      <c r="I2022" s="76" t="n"/>
      <c r="J2022" s="77" t="n"/>
      <c r="K2022" s="74" t="n"/>
      <c r="L2022" s="78" t="n"/>
      <c r="M2022" s="77" t="n"/>
      <c r="N2022" s="53">
        <f>IF(M2022="","",IFERROR(M2022/I2022,""))</f>
        <v/>
      </c>
      <c r="O2022" s="50">
        <f>IF(A2022="","",IFERROR((IF(G2022="",I2022,G2022)-T2022)/M2022,""))</f>
        <v/>
      </c>
      <c r="P2022" s="50">
        <f>IFERROR((I2022/T2022-1)/N2022,"")</f>
        <v/>
      </c>
      <c r="Q2022" s="46">
        <f>IF(OR(T2022="",I2022&lt;T2022),"",IFERROR(R2022/IF(G2022="",I2022,G2022)-1,""))</f>
        <v/>
      </c>
      <c r="R2022" s="48">
        <f>IF($M2022="","",MAX(IF($G2022="",$I2022,$G2022)*(1/1.1),IF($G2022="",$I2022,$G2022)+(R$2*$M2022)))</f>
        <v/>
      </c>
      <c r="S2022" s="49">
        <f>IF($M2022="","",MAX(IF($G2022="",$I2022,$G2022)*(1/1.1),IF($G2022="",$I2022,$G2022)+(S$2*$M2022)))</f>
        <v/>
      </c>
      <c r="T2022" s="82" t="n"/>
      <c r="U2022" s="47">
        <f>IF(OR($M2022="",$T2022=""),"",$T2022+(U$2*$M2022))</f>
        <v/>
      </c>
      <c r="V2022" s="48">
        <f>IF(OR($M2022="",$T2022=""),"",$T2022+(V$2*$M2022))</f>
        <v/>
      </c>
      <c r="W2022" s="48">
        <f>IF(OR($M2022="",$T2022=""),"",$T2022+(W$2*$M2022))</f>
        <v/>
      </c>
      <c r="X2022" s="49">
        <f>IF(OR($M2022="",$T2022=""),"",$T2022+(X$2*$M2022))</f>
        <v/>
      </c>
      <c r="Y2022" s="47">
        <f>IF(OR($M2022="",$T2022=""),"",$T2022+(Y$2*$M2022))</f>
        <v/>
      </c>
      <c r="Z2022" s="49">
        <f>IF(OR($M2022="",$T2022=""),"",$T2022+(Z$2*$M2022))</f>
        <v/>
      </c>
      <c r="AA2022" s="51">
        <f>IF(OR($M2022="",$T2022=""),"",$T2022+(AA$2*$M2022))</f>
        <v/>
      </c>
      <c r="AB2022" s="48">
        <f>IF(OR($M2022="",$T2022=""),"",$T2022+(AB$2*$M2022))</f>
        <v/>
      </c>
      <c r="AC2022" s="48">
        <f>IF(OR($M2022="",$T2022=""),"",$T2022+(AC$2*$M2022))</f>
        <v/>
      </c>
      <c r="AD2022" s="48">
        <f>IF(OR($M2022="",$T2022=""),"",$T2022+(AD$2*$M2022))</f>
        <v/>
      </c>
      <c r="AE2022" s="49">
        <f>IF(OR($M2022="",$T2022=""),"",$T2022+(AE$2*$M2022))</f>
        <v/>
      </c>
      <c r="AF2022" s="52">
        <f>IF(OR(T2022="",I2022&lt;T2022),"",IFERROR(AVERAGE(T2022+M2022*{7,8,9,10,11})/IF(G2022="",I2022,G2022)-1,""))</f>
        <v/>
      </c>
      <c r="AG2022" s="55">
        <f>IF(OR(T2022="",I2022&lt;T2022),"",IFERROR(AF2022/-(R2022/IF(G2022="",I2022,G2022)-1),""))</f>
        <v/>
      </c>
      <c r="AH2022" s="94" t="n"/>
      <c r="AI2022" s="94" t="n"/>
      <c r="AJ2022" s="94" t="n"/>
      <c r="AK2022" s="94" t="n"/>
      <c r="AL2022" s="84" t="n"/>
    </row>
    <row r="2023">
      <c r="A2023" s="64" t="n"/>
      <c r="B2023" s="65" t="n"/>
      <c r="C2023" s="66" t="n"/>
      <c r="D2023" s="67" t="n"/>
      <c r="E2023" s="68" t="n"/>
      <c r="F2023" s="47">
        <f>IF(A2023="","",IF(MIN(H2023,MAX(J2023:K2023))=0,"",MIN(H2023,MAX(J2023:K2023))))</f>
        <v/>
      </c>
      <c r="G2023" s="74" t="n"/>
      <c r="H2023" s="49">
        <f>IF(M2023="","",IFERROR(ROUND(AVERAGE(T2023+M2023*{7,8,9,10,11})/1.21,4),""))</f>
        <v/>
      </c>
      <c r="I2023" s="76" t="n"/>
      <c r="J2023" s="77" t="n"/>
      <c r="K2023" s="74" t="n"/>
      <c r="L2023" s="78" t="n"/>
      <c r="M2023" s="77" t="n"/>
      <c r="N2023" s="53">
        <f>IF(M2023="","",IFERROR(M2023/I2023,""))</f>
        <v/>
      </c>
      <c r="O2023" s="50">
        <f>IF(A2023="","",IFERROR((IF(G2023="",I2023,G2023)-T2023)/M2023,""))</f>
        <v/>
      </c>
      <c r="P2023" s="50">
        <f>IFERROR((I2023/T2023-1)/N2023,"")</f>
        <v/>
      </c>
      <c r="Q2023" s="46">
        <f>IF(OR(T2023="",I2023&lt;T2023),"",IFERROR(R2023/IF(G2023="",I2023,G2023)-1,""))</f>
        <v/>
      </c>
      <c r="R2023" s="48">
        <f>IF($M2023="","",MAX(IF($G2023="",$I2023,$G2023)*(1/1.1),IF($G2023="",$I2023,$G2023)+(R$2*$M2023)))</f>
        <v/>
      </c>
      <c r="S2023" s="49">
        <f>IF($M2023="","",MAX(IF($G2023="",$I2023,$G2023)*(1/1.1),IF($G2023="",$I2023,$G2023)+(S$2*$M2023)))</f>
        <v/>
      </c>
      <c r="T2023" s="82" t="n"/>
      <c r="U2023" s="47">
        <f>IF(OR($M2023="",$T2023=""),"",$T2023+(U$2*$M2023))</f>
        <v/>
      </c>
      <c r="V2023" s="48">
        <f>IF(OR($M2023="",$T2023=""),"",$T2023+(V$2*$M2023))</f>
        <v/>
      </c>
      <c r="W2023" s="48">
        <f>IF(OR($M2023="",$T2023=""),"",$T2023+(W$2*$M2023))</f>
        <v/>
      </c>
      <c r="X2023" s="49">
        <f>IF(OR($M2023="",$T2023=""),"",$T2023+(X$2*$M2023))</f>
        <v/>
      </c>
      <c r="Y2023" s="47">
        <f>IF(OR($M2023="",$T2023=""),"",$T2023+(Y$2*$M2023))</f>
        <v/>
      </c>
      <c r="Z2023" s="49">
        <f>IF(OR($M2023="",$T2023=""),"",$T2023+(Z$2*$M2023))</f>
        <v/>
      </c>
      <c r="AA2023" s="51">
        <f>IF(OR($M2023="",$T2023=""),"",$T2023+(AA$2*$M2023))</f>
        <v/>
      </c>
      <c r="AB2023" s="48">
        <f>IF(OR($M2023="",$T2023=""),"",$T2023+(AB$2*$M2023))</f>
        <v/>
      </c>
      <c r="AC2023" s="48">
        <f>IF(OR($M2023="",$T2023=""),"",$T2023+(AC$2*$M2023))</f>
        <v/>
      </c>
      <c r="AD2023" s="48">
        <f>IF(OR($M2023="",$T2023=""),"",$T2023+(AD$2*$M2023))</f>
        <v/>
      </c>
      <c r="AE2023" s="49">
        <f>IF(OR($M2023="",$T2023=""),"",$T2023+(AE$2*$M2023))</f>
        <v/>
      </c>
      <c r="AF2023" s="52">
        <f>IF(OR(T2023="",I2023&lt;T2023),"",IFERROR(AVERAGE(T2023+M2023*{7,8,9,10,11})/IF(G2023="",I2023,G2023)-1,""))</f>
        <v/>
      </c>
      <c r="AG2023" s="55">
        <f>IF(OR(T2023="",I2023&lt;T2023),"",IFERROR(AF2023/-(R2023/IF(G2023="",I2023,G2023)-1),""))</f>
        <v/>
      </c>
      <c r="AH2023" s="94" t="n"/>
      <c r="AI2023" s="94" t="n"/>
      <c r="AJ2023" s="94" t="n"/>
      <c r="AK2023" s="94" t="n"/>
      <c r="AL2023" s="84" t="n"/>
    </row>
    <row r="2024">
      <c r="A2024" s="64" t="n"/>
      <c r="B2024" s="65" t="n"/>
      <c r="C2024" s="66" t="n"/>
      <c r="D2024" s="67" t="n"/>
      <c r="E2024" s="68" t="n"/>
      <c r="F2024" s="47">
        <f>IF(A2024="","",IF(MIN(H2024,MAX(J2024:K2024))=0,"",MIN(H2024,MAX(J2024:K2024))))</f>
        <v/>
      </c>
      <c r="G2024" s="74" t="n"/>
      <c r="H2024" s="49">
        <f>IF(M2024="","",IFERROR(ROUND(AVERAGE(T2024+M2024*{7,8,9,10,11})/1.21,4),""))</f>
        <v/>
      </c>
      <c r="I2024" s="76" t="n"/>
      <c r="J2024" s="77" t="n"/>
      <c r="K2024" s="74" t="n"/>
      <c r="L2024" s="78" t="n"/>
      <c r="M2024" s="77" t="n"/>
      <c r="N2024" s="53">
        <f>IF(M2024="","",IFERROR(M2024/I2024,""))</f>
        <v/>
      </c>
      <c r="O2024" s="50">
        <f>IF(A2024="","",IFERROR((IF(G2024="",I2024,G2024)-T2024)/M2024,""))</f>
        <v/>
      </c>
      <c r="P2024" s="50">
        <f>IFERROR((I2024/T2024-1)/N2024,"")</f>
        <v/>
      </c>
      <c r="Q2024" s="46">
        <f>IF(OR(T2024="",I2024&lt;T2024),"",IFERROR(R2024/IF(G2024="",I2024,G2024)-1,""))</f>
        <v/>
      </c>
      <c r="R2024" s="48">
        <f>IF($M2024="","",MAX(IF($G2024="",$I2024,$G2024)*(1/1.1),IF($G2024="",$I2024,$G2024)+(R$2*$M2024)))</f>
        <v/>
      </c>
      <c r="S2024" s="49">
        <f>IF($M2024="","",MAX(IF($G2024="",$I2024,$G2024)*(1/1.1),IF($G2024="",$I2024,$G2024)+(S$2*$M2024)))</f>
        <v/>
      </c>
      <c r="T2024" s="82" t="n"/>
      <c r="U2024" s="47">
        <f>IF(OR($M2024="",$T2024=""),"",$T2024+(U$2*$M2024))</f>
        <v/>
      </c>
      <c r="V2024" s="48">
        <f>IF(OR($M2024="",$T2024=""),"",$T2024+(V$2*$M2024))</f>
        <v/>
      </c>
      <c r="W2024" s="48">
        <f>IF(OR($M2024="",$T2024=""),"",$T2024+(W$2*$M2024))</f>
        <v/>
      </c>
      <c r="X2024" s="49">
        <f>IF(OR($M2024="",$T2024=""),"",$T2024+(X$2*$M2024))</f>
        <v/>
      </c>
      <c r="Y2024" s="47">
        <f>IF(OR($M2024="",$T2024=""),"",$T2024+(Y$2*$M2024))</f>
        <v/>
      </c>
      <c r="Z2024" s="49">
        <f>IF(OR($M2024="",$T2024=""),"",$T2024+(Z$2*$M2024))</f>
        <v/>
      </c>
      <c r="AA2024" s="51">
        <f>IF(OR($M2024="",$T2024=""),"",$T2024+(AA$2*$M2024))</f>
        <v/>
      </c>
      <c r="AB2024" s="48">
        <f>IF(OR($M2024="",$T2024=""),"",$T2024+(AB$2*$M2024))</f>
        <v/>
      </c>
      <c r="AC2024" s="48">
        <f>IF(OR($M2024="",$T2024=""),"",$T2024+(AC$2*$M2024))</f>
        <v/>
      </c>
      <c r="AD2024" s="48">
        <f>IF(OR($M2024="",$T2024=""),"",$T2024+(AD$2*$M2024))</f>
        <v/>
      </c>
      <c r="AE2024" s="49">
        <f>IF(OR($M2024="",$T2024=""),"",$T2024+(AE$2*$M2024))</f>
        <v/>
      </c>
      <c r="AF2024" s="52">
        <f>IF(OR(T2024="",I2024&lt;T2024),"",IFERROR(AVERAGE(T2024+M2024*{7,8,9,10,11})/IF(G2024="",I2024,G2024)-1,""))</f>
        <v/>
      </c>
      <c r="AG2024" s="55">
        <f>IF(OR(T2024="",I2024&lt;T2024),"",IFERROR(AF2024/-(R2024/IF(G2024="",I2024,G2024)-1),""))</f>
        <v/>
      </c>
      <c r="AH2024" s="94" t="n"/>
      <c r="AI2024" s="94" t="n"/>
      <c r="AJ2024" s="94" t="n"/>
      <c r="AK2024" s="94" t="n"/>
      <c r="AL2024" s="84" t="n"/>
    </row>
    <row r="2025">
      <c r="A2025" s="64" t="n"/>
      <c r="B2025" s="65" t="n"/>
      <c r="C2025" s="66" t="n"/>
      <c r="D2025" s="67" t="n"/>
      <c r="E2025" s="68" t="n"/>
      <c r="F2025" s="47">
        <f>IF(A2025="","",IF(MIN(H2025,MAX(J2025:K2025))=0,"",MIN(H2025,MAX(J2025:K2025))))</f>
        <v/>
      </c>
      <c r="G2025" s="74" t="n"/>
      <c r="H2025" s="49">
        <f>IF(M2025="","",IFERROR(ROUND(AVERAGE(T2025+M2025*{7,8,9,10,11})/1.21,4),""))</f>
        <v/>
      </c>
      <c r="I2025" s="76" t="n"/>
      <c r="J2025" s="77" t="n"/>
      <c r="K2025" s="74" t="n"/>
      <c r="L2025" s="78" t="n"/>
      <c r="M2025" s="77" t="n"/>
      <c r="N2025" s="53">
        <f>IF(M2025="","",IFERROR(M2025/I2025,""))</f>
        <v/>
      </c>
      <c r="O2025" s="50">
        <f>IF(A2025="","",IFERROR((IF(G2025="",I2025,G2025)-T2025)/M2025,""))</f>
        <v/>
      </c>
      <c r="P2025" s="50">
        <f>IFERROR((I2025/T2025-1)/N2025,"")</f>
        <v/>
      </c>
      <c r="Q2025" s="46">
        <f>IF(OR(T2025="",I2025&lt;T2025),"",IFERROR(R2025/IF(G2025="",I2025,G2025)-1,""))</f>
        <v/>
      </c>
      <c r="R2025" s="48">
        <f>IF($M2025="","",MAX(IF($G2025="",$I2025,$G2025)*(1/1.1),IF($G2025="",$I2025,$G2025)+(R$2*$M2025)))</f>
        <v/>
      </c>
      <c r="S2025" s="49">
        <f>IF($M2025="","",MAX(IF($G2025="",$I2025,$G2025)*(1/1.1),IF($G2025="",$I2025,$G2025)+(S$2*$M2025)))</f>
        <v/>
      </c>
      <c r="T2025" s="82" t="n"/>
      <c r="U2025" s="47">
        <f>IF(OR($M2025="",$T2025=""),"",$T2025+(U$2*$M2025))</f>
        <v/>
      </c>
      <c r="V2025" s="48">
        <f>IF(OR($M2025="",$T2025=""),"",$T2025+(V$2*$M2025))</f>
        <v/>
      </c>
      <c r="W2025" s="48">
        <f>IF(OR($M2025="",$T2025=""),"",$T2025+(W$2*$M2025))</f>
        <v/>
      </c>
      <c r="X2025" s="49">
        <f>IF(OR($M2025="",$T2025=""),"",$T2025+(X$2*$M2025))</f>
        <v/>
      </c>
      <c r="Y2025" s="47">
        <f>IF(OR($M2025="",$T2025=""),"",$T2025+(Y$2*$M2025))</f>
        <v/>
      </c>
      <c r="Z2025" s="49">
        <f>IF(OR($M2025="",$T2025=""),"",$T2025+(Z$2*$M2025))</f>
        <v/>
      </c>
      <c r="AA2025" s="51">
        <f>IF(OR($M2025="",$T2025=""),"",$T2025+(AA$2*$M2025))</f>
        <v/>
      </c>
      <c r="AB2025" s="48">
        <f>IF(OR($M2025="",$T2025=""),"",$T2025+(AB$2*$M2025))</f>
        <v/>
      </c>
      <c r="AC2025" s="48">
        <f>IF(OR($M2025="",$T2025=""),"",$T2025+(AC$2*$M2025))</f>
        <v/>
      </c>
      <c r="AD2025" s="48">
        <f>IF(OR($M2025="",$T2025=""),"",$T2025+(AD$2*$M2025))</f>
        <v/>
      </c>
      <c r="AE2025" s="49">
        <f>IF(OR($M2025="",$T2025=""),"",$T2025+(AE$2*$M2025))</f>
        <v/>
      </c>
      <c r="AF2025" s="52">
        <f>IF(OR(T2025="",I2025&lt;T2025),"",IFERROR(AVERAGE(T2025+M2025*{7,8,9,10,11})/IF(G2025="",I2025,G2025)-1,""))</f>
        <v/>
      </c>
      <c r="AG2025" s="55">
        <f>IF(OR(T2025="",I2025&lt;T2025),"",IFERROR(AF2025/-(R2025/IF(G2025="",I2025,G2025)-1),""))</f>
        <v/>
      </c>
      <c r="AH2025" s="94" t="n"/>
      <c r="AI2025" s="94" t="n"/>
      <c r="AJ2025" s="94" t="n"/>
      <c r="AK2025" s="94" t="n"/>
      <c r="AL2025" s="84" t="n"/>
    </row>
    <row r="2026">
      <c r="A2026" s="64" t="n"/>
      <c r="B2026" s="65" t="n"/>
      <c r="C2026" s="66" t="n"/>
      <c r="D2026" s="67" t="n"/>
      <c r="E2026" s="68" t="n"/>
      <c r="F2026" s="47">
        <f>IF(A2026="","",IF(MIN(H2026,MAX(J2026:K2026))=0,"",MIN(H2026,MAX(J2026:K2026))))</f>
        <v/>
      </c>
      <c r="G2026" s="74" t="n"/>
      <c r="H2026" s="49">
        <f>IF(M2026="","",IFERROR(ROUND(AVERAGE(T2026+M2026*{7,8,9,10,11})/1.21,4),""))</f>
        <v/>
      </c>
      <c r="I2026" s="76" t="n"/>
      <c r="J2026" s="77" t="n"/>
      <c r="K2026" s="74" t="n"/>
      <c r="L2026" s="78" t="n"/>
      <c r="M2026" s="77" t="n"/>
      <c r="N2026" s="53">
        <f>IF(M2026="","",IFERROR(M2026/I2026,""))</f>
        <v/>
      </c>
      <c r="O2026" s="50">
        <f>IF(A2026="","",IFERROR((IF(G2026="",I2026,G2026)-T2026)/M2026,""))</f>
        <v/>
      </c>
      <c r="P2026" s="50">
        <f>IFERROR((I2026/T2026-1)/N2026,"")</f>
        <v/>
      </c>
      <c r="Q2026" s="46">
        <f>IF(OR(T2026="",I2026&lt;T2026),"",IFERROR(R2026/IF(G2026="",I2026,G2026)-1,""))</f>
        <v/>
      </c>
      <c r="R2026" s="48">
        <f>IF($M2026="","",MAX(IF($G2026="",$I2026,$G2026)*(1/1.1),IF($G2026="",$I2026,$G2026)+(R$2*$M2026)))</f>
        <v/>
      </c>
      <c r="S2026" s="49">
        <f>IF($M2026="","",MAX(IF($G2026="",$I2026,$G2026)*(1/1.1),IF($G2026="",$I2026,$G2026)+(S$2*$M2026)))</f>
        <v/>
      </c>
      <c r="T2026" s="82" t="n"/>
      <c r="U2026" s="47">
        <f>IF(OR($M2026="",$T2026=""),"",$T2026+(U$2*$M2026))</f>
        <v/>
      </c>
      <c r="V2026" s="48">
        <f>IF(OR($M2026="",$T2026=""),"",$T2026+(V$2*$M2026))</f>
        <v/>
      </c>
      <c r="W2026" s="48">
        <f>IF(OR($M2026="",$T2026=""),"",$T2026+(W$2*$M2026))</f>
        <v/>
      </c>
      <c r="X2026" s="49">
        <f>IF(OR($M2026="",$T2026=""),"",$T2026+(X$2*$M2026))</f>
        <v/>
      </c>
      <c r="Y2026" s="47">
        <f>IF(OR($M2026="",$T2026=""),"",$T2026+(Y$2*$M2026))</f>
        <v/>
      </c>
      <c r="Z2026" s="49">
        <f>IF(OR($M2026="",$T2026=""),"",$T2026+(Z$2*$M2026))</f>
        <v/>
      </c>
      <c r="AA2026" s="51">
        <f>IF(OR($M2026="",$T2026=""),"",$T2026+(AA$2*$M2026))</f>
        <v/>
      </c>
      <c r="AB2026" s="48">
        <f>IF(OR($M2026="",$T2026=""),"",$T2026+(AB$2*$M2026))</f>
        <v/>
      </c>
      <c r="AC2026" s="48">
        <f>IF(OR($M2026="",$T2026=""),"",$T2026+(AC$2*$M2026))</f>
        <v/>
      </c>
      <c r="AD2026" s="48">
        <f>IF(OR($M2026="",$T2026=""),"",$T2026+(AD$2*$M2026))</f>
        <v/>
      </c>
      <c r="AE2026" s="49">
        <f>IF(OR($M2026="",$T2026=""),"",$T2026+(AE$2*$M2026))</f>
        <v/>
      </c>
      <c r="AF2026" s="52">
        <f>IF(OR(T2026="",I2026&lt;T2026),"",IFERROR(AVERAGE(T2026+M2026*{7,8,9,10,11})/IF(G2026="",I2026,G2026)-1,""))</f>
        <v/>
      </c>
      <c r="AG2026" s="55">
        <f>IF(OR(T2026="",I2026&lt;T2026),"",IFERROR(AF2026/-(R2026/IF(G2026="",I2026,G2026)-1),""))</f>
        <v/>
      </c>
      <c r="AH2026" s="94" t="n"/>
      <c r="AI2026" s="94" t="n"/>
      <c r="AJ2026" s="94" t="n"/>
      <c r="AK2026" s="94" t="n"/>
      <c r="AL2026" s="84" t="n"/>
    </row>
    <row r="2027">
      <c r="A2027" s="64" t="n"/>
      <c r="B2027" s="65" t="n"/>
      <c r="C2027" s="66" t="n"/>
      <c r="D2027" s="67" t="n"/>
      <c r="E2027" s="68" t="n"/>
      <c r="F2027" s="47">
        <f>IF(A2027="","",IF(MIN(H2027,MAX(J2027:K2027))=0,"",MIN(H2027,MAX(J2027:K2027))))</f>
        <v/>
      </c>
      <c r="G2027" s="74" t="n"/>
      <c r="H2027" s="49">
        <f>IF(M2027="","",IFERROR(ROUND(AVERAGE(T2027+M2027*{7,8,9,10,11})/1.21,4),""))</f>
        <v/>
      </c>
      <c r="I2027" s="76" t="n"/>
      <c r="J2027" s="77" t="n"/>
      <c r="K2027" s="74" t="n"/>
      <c r="L2027" s="78" t="n"/>
      <c r="M2027" s="77" t="n"/>
      <c r="N2027" s="53">
        <f>IF(M2027="","",IFERROR(M2027/I2027,""))</f>
        <v/>
      </c>
      <c r="O2027" s="50">
        <f>IF(A2027="","",IFERROR((IF(G2027="",I2027,G2027)-T2027)/M2027,""))</f>
        <v/>
      </c>
      <c r="P2027" s="50">
        <f>IFERROR((I2027/T2027-1)/N2027,"")</f>
        <v/>
      </c>
      <c r="Q2027" s="46">
        <f>IF(OR(T2027="",I2027&lt;T2027),"",IFERROR(R2027/IF(G2027="",I2027,G2027)-1,""))</f>
        <v/>
      </c>
      <c r="R2027" s="48">
        <f>IF($M2027="","",MAX(IF($G2027="",$I2027,$G2027)*(1/1.1),IF($G2027="",$I2027,$G2027)+(R$2*$M2027)))</f>
        <v/>
      </c>
      <c r="S2027" s="49">
        <f>IF($M2027="","",MAX(IF($G2027="",$I2027,$G2027)*(1/1.1),IF($G2027="",$I2027,$G2027)+(S$2*$M2027)))</f>
        <v/>
      </c>
      <c r="T2027" s="82" t="n"/>
      <c r="U2027" s="47">
        <f>IF(OR($M2027="",$T2027=""),"",$T2027+(U$2*$M2027))</f>
        <v/>
      </c>
      <c r="V2027" s="48">
        <f>IF(OR($M2027="",$T2027=""),"",$T2027+(V$2*$M2027))</f>
        <v/>
      </c>
      <c r="W2027" s="48">
        <f>IF(OR($M2027="",$T2027=""),"",$T2027+(W$2*$M2027))</f>
        <v/>
      </c>
      <c r="X2027" s="49">
        <f>IF(OR($M2027="",$T2027=""),"",$T2027+(X$2*$M2027))</f>
        <v/>
      </c>
      <c r="Y2027" s="47">
        <f>IF(OR($M2027="",$T2027=""),"",$T2027+(Y$2*$M2027))</f>
        <v/>
      </c>
      <c r="Z2027" s="49">
        <f>IF(OR($M2027="",$T2027=""),"",$T2027+(Z$2*$M2027))</f>
        <v/>
      </c>
      <c r="AA2027" s="51">
        <f>IF(OR($M2027="",$T2027=""),"",$T2027+(AA$2*$M2027))</f>
        <v/>
      </c>
      <c r="AB2027" s="48">
        <f>IF(OR($M2027="",$T2027=""),"",$T2027+(AB$2*$M2027))</f>
        <v/>
      </c>
      <c r="AC2027" s="48">
        <f>IF(OR($M2027="",$T2027=""),"",$T2027+(AC$2*$M2027))</f>
        <v/>
      </c>
      <c r="AD2027" s="48">
        <f>IF(OR($M2027="",$T2027=""),"",$T2027+(AD$2*$M2027))</f>
        <v/>
      </c>
      <c r="AE2027" s="49">
        <f>IF(OR($M2027="",$T2027=""),"",$T2027+(AE$2*$M2027))</f>
        <v/>
      </c>
      <c r="AF2027" s="52">
        <f>IF(OR(T2027="",I2027&lt;T2027),"",IFERROR(AVERAGE(T2027+M2027*{7,8,9,10,11})/IF(G2027="",I2027,G2027)-1,""))</f>
        <v/>
      </c>
      <c r="AG2027" s="55">
        <f>IF(OR(T2027="",I2027&lt;T2027),"",IFERROR(AF2027/-(R2027/IF(G2027="",I2027,G2027)-1),""))</f>
        <v/>
      </c>
      <c r="AH2027" s="94" t="n"/>
      <c r="AI2027" s="94" t="n"/>
      <c r="AJ2027" s="94" t="n"/>
      <c r="AK2027" s="94" t="n"/>
      <c r="AL2027" s="84" t="n"/>
    </row>
    <row r="2028">
      <c r="A2028" s="64" t="n"/>
      <c r="B2028" s="65" t="n"/>
      <c r="C2028" s="66" t="n"/>
      <c r="D2028" s="67" t="n"/>
      <c r="E2028" s="68" t="n"/>
      <c r="F2028" s="47">
        <f>IF(A2028="","",IF(MIN(H2028,MAX(J2028:K2028))=0,"",MIN(H2028,MAX(J2028:K2028))))</f>
        <v/>
      </c>
      <c r="G2028" s="74" t="n"/>
      <c r="H2028" s="49">
        <f>IF(M2028="","",IFERROR(ROUND(AVERAGE(T2028+M2028*{7,8,9,10,11})/1.21,4),""))</f>
        <v/>
      </c>
      <c r="I2028" s="76" t="n"/>
      <c r="J2028" s="77" t="n"/>
      <c r="K2028" s="74" t="n"/>
      <c r="L2028" s="78" t="n"/>
      <c r="M2028" s="77" t="n"/>
      <c r="N2028" s="53">
        <f>IF(M2028="","",IFERROR(M2028/I2028,""))</f>
        <v/>
      </c>
      <c r="O2028" s="50">
        <f>IF(A2028="","",IFERROR((IF(G2028="",I2028,G2028)-T2028)/M2028,""))</f>
        <v/>
      </c>
      <c r="P2028" s="50">
        <f>IFERROR((I2028/T2028-1)/N2028,"")</f>
        <v/>
      </c>
      <c r="Q2028" s="46">
        <f>IF(OR(T2028="",I2028&lt;T2028),"",IFERROR(R2028/IF(G2028="",I2028,G2028)-1,""))</f>
        <v/>
      </c>
      <c r="R2028" s="48">
        <f>IF($M2028="","",MAX(IF($G2028="",$I2028,$G2028)*(1/1.1),IF($G2028="",$I2028,$G2028)+(R$2*$M2028)))</f>
        <v/>
      </c>
      <c r="S2028" s="49">
        <f>IF($M2028="","",MAX(IF($G2028="",$I2028,$G2028)*(1/1.1),IF($G2028="",$I2028,$G2028)+(S$2*$M2028)))</f>
        <v/>
      </c>
      <c r="T2028" s="82" t="n"/>
      <c r="U2028" s="47">
        <f>IF(OR($M2028="",$T2028=""),"",$T2028+(U$2*$M2028))</f>
        <v/>
      </c>
      <c r="V2028" s="48">
        <f>IF(OR($M2028="",$T2028=""),"",$T2028+(V$2*$M2028))</f>
        <v/>
      </c>
      <c r="W2028" s="48">
        <f>IF(OR($M2028="",$T2028=""),"",$T2028+(W$2*$M2028))</f>
        <v/>
      </c>
      <c r="X2028" s="49">
        <f>IF(OR($M2028="",$T2028=""),"",$T2028+(X$2*$M2028))</f>
        <v/>
      </c>
      <c r="Y2028" s="47">
        <f>IF(OR($M2028="",$T2028=""),"",$T2028+(Y$2*$M2028))</f>
        <v/>
      </c>
      <c r="Z2028" s="49">
        <f>IF(OR($M2028="",$T2028=""),"",$T2028+(Z$2*$M2028))</f>
        <v/>
      </c>
      <c r="AA2028" s="51">
        <f>IF(OR($M2028="",$T2028=""),"",$T2028+(AA$2*$M2028))</f>
        <v/>
      </c>
      <c r="AB2028" s="48">
        <f>IF(OR($M2028="",$T2028=""),"",$T2028+(AB$2*$M2028))</f>
        <v/>
      </c>
      <c r="AC2028" s="48">
        <f>IF(OR($M2028="",$T2028=""),"",$T2028+(AC$2*$M2028))</f>
        <v/>
      </c>
      <c r="AD2028" s="48">
        <f>IF(OR($M2028="",$T2028=""),"",$T2028+(AD$2*$M2028))</f>
        <v/>
      </c>
      <c r="AE2028" s="49">
        <f>IF(OR($M2028="",$T2028=""),"",$T2028+(AE$2*$M2028))</f>
        <v/>
      </c>
      <c r="AF2028" s="52">
        <f>IF(OR(T2028="",I2028&lt;T2028),"",IFERROR(AVERAGE(T2028+M2028*{7,8,9,10,11})/IF(G2028="",I2028,G2028)-1,""))</f>
        <v/>
      </c>
      <c r="AG2028" s="55">
        <f>IF(OR(T2028="",I2028&lt;T2028),"",IFERROR(AF2028/-(R2028/IF(G2028="",I2028,G2028)-1),""))</f>
        <v/>
      </c>
      <c r="AH2028" s="94" t="n"/>
      <c r="AI2028" s="94" t="n"/>
      <c r="AJ2028" s="94" t="n"/>
      <c r="AK2028" s="94" t="n"/>
      <c r="AL2028" s="84" t="n"/>
    </row>
    <row r="2029">
      <c r="A2029" s="64" t="n"/>
      <c r="B2029" s="65" t="n"/>
      <c r="C2029" s="66" t="n"/>
      <c r="D2029" s="67" t="n"/>
      <c r="E2029" s="68" t="n"/>
      <c r="F2029" s="47">
        <f>IF(A2029="","",IF(MIN(H2029,MAX(J2029:K2029))=0,"",MIN(H2029,MAX(J2029:K2029))))</f>
        <v/>
      </c>
      <c r="G2029" s="74" t="n"/>
      <c r="H2029" s="49">
        <f>IF(M2029="","",IFERROR(ROUND(AVERAGE(T2029+M2029*{7,8,9,10,11})/1.21,4),""))</f>
        <v/>
      </c>
      <c r="I2029" s="76" t="n"/>
      <c r="J2029" s="77" t="n"/>
      <c r="K2029" s="74" t="n"/>
      <c r="L2029" s="78" t="n"/>
      <c r="M2029" s="77" t="n"/>
      <c r="N2029" s="53">
        <f>IF(M2029="","",IFERROR(M2029/I2029,""))</f>
        <v/>
      </c>
      <c r="O2029" s="50">
        <f>IF(A2029="","",IFERROR((IF(G2029="",I2029,G2029)-T2029)/M2029,""))</f>
        <v/>
      </c>
      <c r="P2029" s="50">
        <f>IFERROR((I2029/T2029-1)/N2029,"")</f>
        <v/>
      </c>
      <c r="Q2029" s="46">
        <f>IF(OR(T2029="",I2029&lt;T2029),"",IFERROR(R2029/IF(G2029="",I2029,G2029)-1,""))</f>
        <v/>
      </c>
      <c r="R2029" s="48">
        <f>IF($M2029="","",MAX(IF($G2029="",$I2029,$G2029)*(1/1.1),IF($G2029="",$I2029,$G2029)+(R$2*$M2029)))</f>
        <v/>
      </c>
      <c r="S2029" s="49">
        <f>IF($M2029="","",MAX(IF($G2029="",$I2029,$G2029)*(1/1.1),IF($G2029="",$I2029,$G2029)+(S$2*$M2029)))</f>
        <v/>
      </c>
      <c r="T2029" s="82" t="n"/>
      <c r="U2029" s="47">
        <f>IF(OR($M2029="",$T2029=""),"",$T2029+(U$2*$M2029))</f>
        <v/>
      </c>
      <c r="V2029" s="48">
        <f>IF(OR($M2029="",$T2029=""),"",$T2029+(V$2*$M2029))</f>
        <v/>
      </c>
      <c r="W2029" s="48">
        <f>IF(OR($M2029="",$T2029=""),"",$T2029+(W$2*$M2029))</f>
        <v/>
      </c>
      <c r="X2029" s="49">
        <f>IF(OR($M2029="",$T2029=""),"",$T2029+(X$2*$M2029))</f>
        <v/>
      </c>
      <c r="Y2029" s="47">
        <f>IF(OR($M2029="",$T2029=""),"",$T2029+(Y$2*$M2029))</f>
        <v/>
      </c>
      <c r="Z2029" s="49">
        <f>IF(OR($M2029="",$T2029=""),"",$T2029+(Z$2*$M2029))</f>
        <v/>
      </c>
      <c r="AA2029" s="51">
        <f>IF(OR($M2029="",$T2029=""),"",$T2029+(AA$2*$M2029))</f>
        <v/>
      </c>
      <c r="AB2029" s="48">
        <f>IF(OR($M2029="",$T2029=""),"",$T2029+(AB$2*$M2029))</f>
        <v/>
      </c>
      <c r="AC2029" s="48">
        <f>IF(OR($M2029="",$T2029=""),"",$T2029+(AC$2*$M2029))</f>
        <v/>
      </c>
      <c r="AD2029" s="48">
        <f>IF(OR($M2029="",$T2029=""),"",$T2029+(AD$2*$M2029))</f>
        <v/>
      </c>
      <c r="AE2029" s="49">
        <f>IF(OR($M2029="",$T2029=""),"",$T2029+(AE$2*$M2029))</f>
        <v/>
      </c>
      <c r="AF2029" s="52">
        <f>IF(OR(T2029="",I2029&lt;T2029),"",IFERROR(AVERAGE(T2029+M2029*{7,8,9,10,11})/IF(G2029="",I2029,G2029)-1,""))</f>
        <v/>
      </c>
      <c r="AG2029" s="55">
        <f>IF(OR(T2029="",I2029&lt;T2029),"",IFERROR(AF2029/-(R2029/IF(G2029="",I2029,G2029)-1),""))</f>
        <v/>
      </c>
      <c r="AH2029" s="94" t="n"/>
      <c r="AI2029" s="94" t="n"/>
      <c r="AJ2029" s="94" t="n"/>
      <c r="AK2029" s="94" t="n"/>
      <c r="AL2029" s="84" t="n"/>
    </row>
    <row r="2030">
      <c r="A2030" s="64" t="n"/>
      <c r="B2030" s="65" t="n"/>
      <c r="C2030" s="66" t="n"/>
      <c r="D2030" s="67" t="n"/>
      <c r="E2030" s="68" t="n"/>
      <c r="F2030" s="47">
        <f>IF(A2030="","",IF(MIN(H2030,MAX(J2030:K2030))=0,"",MIN(H2030,MAX(J2030:K2030))))</f>
        <v/>
      </c>
      <c r="G2030" s="74" t="n"/>
      <c r="H2030" s="49">
        <f>IF(M2030="","",IFERROR(ROUND(AVERAGE(T2030+M2030*{7,8,9,10,11})/1.21,4),""))</f>
        <v/>
      </c>
      <c r="I2030" s="76" t="n"/>
      <c r="J2030" s="77" t="n"/>
      <c r="K2030" s="74" t="n"/>
      <c r="L2030" s="78" t="n"/>
      <c r="M2030" s="77" t="n"/>
      <c r="N2030" s="53">
        <f>IF(M2030="","",IFERROR(M2030/I2030,""))</f>
        <v/>
      </c>
      <c r="O2030" s="50">
        <f>IF(A2030="","",IFERROR((IF(G2030="",I2030,G2030)-T2030)/M2030,""))</f>
        <v/>
      </c>
      <c r="P2030" s="50">
        <f>IFERROR((I2030/T2030-1)/N2030,"")</f>
        <v/>
      </c>
      <c r="Q2030" s="46">
        <f>IF(OR(T2030="",I2030&lt;T2030),"",IFERROR(R2030/IF(G2030="",I2030,G2030)-1,""))</f>
        <v/>
      </c>
      <c r="R2030" s="48">
        <f>IF($M2030="","",MAX(IF($G2030="",$I2030,$G2030)*(1/1.1),IF($G2030="",$I2030,$G2030)+(R$2*$M2030)))</f>
        <v/>
      </c>
      <c r="S2030" s="49">
        <f>IF($M2030="","",MAX(IF($G2030="",$I2030,$G2030)*(1/1.1),IF($G2030="",$I2030,$G2030)+(S$2*$M2030)))</f>
        <v/>
      </c>
      <c r="T2030" s="82" t="n"/>
      <c r="U2030" s="47">
        <f>IF(OR($M2030="",$T2030=""),"",$T2030+(U$2*$M2030))</f>
        <v/>
      </c>
      <c r="V2030" s="48">
        <f>IF(OR($M2030="",$T2030=""),"",$T2030+(V$2*$M2030))</f>
        <v/>
      </c>
      <c r="W2030" s="48">
        <f>IF(OR($M2030="",$T2030=""),"",$T2030+(W$2*$M2030))</f>
        <v/>
      </c>
      <c r="X2030" s="49">
        <f>IF(OR($M2030="",$T2030=""),"",$T2030+(X$2*$M2030))</f>
        <v/>
      </c>
      <c r="Y2030" s="47">
        <f>IF(OR($M2030="",$T2030=""),"",$T2030+(Y$2*$M2030))</f>
        <v/>
      </c>
      <c r="Z2030" s="49">
        <f>IF(OR($M2030="",$T2030=""),"",$T2030+(Z$2*$M2030))</f>
        <v/>
      </c>
      <c r="AA2030" s="51">
        <f>IF(OR($M2030="",$T2030=""),"",$T2030+(AA$2*$M2030))</f>
        <v/>
      </c>
      <c r="AB2030" s="48">
        <f>IF(OR($M2030="",$T2030=""),"",$T2030+(AB$2*$M2030))</f>
        <v/>
      </c>
      <c r="AC2030" s="48">
        <f>IF(OR($M2030="",$T2030=""),"",$T2030+(AC$2*$M2030))</f>
        <v/>
      </c>
      <c r="AD2030" s="48">
        <f>IF(OR($M2030="",$T2030=""),"",$T2030+(AD$2*$M2030))</f>
        <v/>
      </c>
      <c r="AE2030" s="49">
        <f>IF(OR($M2030="",$T2030=""),"",$T2030+(AE$2*$M2030))</f>
        <v/>
      </c>
      <c r="AF2030" s="52">
        <f>IF(OR(T2030="",I2030&lt;T2030),"",IFERROR(AVERAGE(T2030+M2030*{7,8,9,10,11})/IF(G2030="",I2030,G2030)-1,""))</f>
        <v/>
      </c>
      <c r="AG2030" s="55">
        <f>IF(OR(T2030="",I2030&lt;T2030),"",IFERROR(AF2030/-(R2030/IF(G2030="",I2030,G2030)-1),""))</f>
        <v/>
      </c>
      <c r="AH2030" s="94" t="n"/>
      <c r="AI2030" s="94" t="n"/>
      <c r="AJ2030" s="94" t="n"/>
      <c r="AK2030" s="94" t="n"/>
      <c r="AL2030" s="84" t="n"/>
    </row>
    <row r="2031">
      <c r="A2031" s="64" t="n"/>
      <c r="B2031" s="65" t="n"/>
      <c r="C2031" s="66" t="n"/>
      <c r="D2031" s="67" t="n"/>
      <c r="E2031" s="68" t="n"/>
      <c r="F2031" s="47">
        <f>IF(A2031="","",IF(MIN(H2031,MAX(J2031:K2031))=0,"",MIN(H2031,MAX(J2031:K2031))))</f>
        <v/>
      </c>
      <c r="G2031" s="74" t="n"/>
      <c r="H2031" s="49">
        <f>IF(M2031="","",IFERROR(ROUND(AVERAGE(T2031+M2031*{7,8,9,10,11})/1.21,4),""))</f>
        <v/>
      </c>
      <c r="I2031" s="76" t="n"/>
      <c r="J2031" s="77" t="n"/>
      <c r="K2031" s="74" t="n"/>
      <c r="L2031" s="78" t="n"/>
      <c r="M2031" s="77" t="n"/>
      <c r="N2031" s="53">
        <f>IF(M2031="","",IFERROR(M2031/I2031,""))</f>
        <v/>
      </c>
      <c r="O2031" s="50">
        <f>IF(A2031="","",IFERROR((IF(G2031="",I2031,G2031)-T2031)/M2031,""))</f>
        <v/>
      </c>
      <c r="P2031" s="50">
        <f>IFERROR((I2031/T2031-1)/N2031,"")</f>
        <v/>
      </c>
      <c r="Q2031" s="46">
        <f>IF(OR(T2031="",I2031&lt;T2031),"",IFERROR(R2031/IF(G2031="",I2031,G2031)-1,""))</f>
        <v/>
      </c>
      <c r="R2031" s="48">
        <f>IF($M2031="","",MAX(IF($G2031="",$I2031,$G2031)*(1/1.1),IF($G2031="",$I2031,$G2031)+(R$2*$M2031)))</f>
        <v/>
      </c>
      <c r="S2031" s="49">
        <f>IF($M2031="","",MAX(IF($G2031="",$I2031,$G2031)*(1/1.1),IF($G2031="",$I2031,$G2031)+(S$2*$M2031)))</f>
        <v/>
      </c>
      <c r="T2031" s="82" t="n"/>
      <c r="U2031" s="47">
        <f>IF(OR($M2031="",$T2031=""),"",$T2031+(U$2*$M2031))</f>
        <v/>
      </c>
      <c r="V2031" s="48">
        <f>IF(OR($M2031="",$T2031=""),"",$T2031+(V$2*$M2031))</f>
        <v/>
      </c>
      <c r="W2031" s="48">
        <f>IF(OR($M2031="",$T2031=""),"",$T2031+(W$2*$M2031))</f>
        <v/>
      </c>
      <c r="X2031" s="49">
        <f>IF(OR($M2031="",$T2031=""),"",$T2031+(X$2*$M2031))</f>
        <v/>
      </c>
      <c r="Y2031" s="47">
        <f>IF(OR($M2031="",$T2031=""),"",$T2031+(Y$2*$M2031))</f>
        <v/>
      </c>
      <c r="Z2031" s="49">
        <f>IF(OR($M2031="",$T2031=""),"",$T2031+(Z$2*$M2031))</f>
        <v/>
      </c>
      <c r="AA2031" s="51">
        <f>IF(OR($M2031="",$T2031=""),"",$T2031+(AA$2*$M2031))</f>
        <v/>
      </c>
      <c r="AB2031" s="48">
        <f>IF(OR($M2031="",$T2031=""),"",$T2031+(AB$2*$M2031))</f>
        <v/>
      </c>
      <c r="AC2031" s="48">
        <f>IF(OR($M2031="",$T2031=""),"",$T2031+(AC$2*$M2031))</f>
        <v/>
      </c>
      <c r="AD2031" s="48">
        <f>IF(OR($M2031="",$T2031=""),"",$T2031+(AD$2*$M2031))</f>
        <v/>
      </c>
      <c r="AE2031" s="49">
        <f>IF(OR($M2031="",$T2031=""),"",$T2031+(AE$2*$M2031))</f>
        <v/>
      </c>
      <c r="AF2031" s="52">
        <f>IF(OR(T2031="",I2031&lt;T2031),"",IFERROR(AVERAGE(T2031+M2031*{7,8,9,10,11})/IF(G2031="",I2031,G2031)-1,""))</f>
        <v/>
      </c>
      <c r="AG2031" s="55">
        <f>IF(OR(T2031="",I2031&lt;T2031),"",IFERROR(AF2031/-(R2031/IF(G2031="",I2031,G2031)-1),""))</f>
        <v/>
      </c>
      <c r="AH2031" s="94" t="n"/>
      <c r="AI2031" s="94" t="n"/>
      <c r="AJ2031" s="94" t="n"/>
      <c r="AK2031" s="94" t="n"/>
      <c r="AL2031" s="84" t="n"/>
    </row>
    <row r="2032">
      <c r="A2032" s="64" t="n"/>
      <c r="B2032" s="65" t="n"/>
      <c r="C2032" s="66" t="n"/>
      <c r="D2032" s="67" t="n"/>
      <c r="E2032" s="68" t="n"/>
      <c r="F2032" s="47">
        <f>IF(A2032="","",IF(MIN(H2032,MAX(J2032:K2032))=0,"",MIN(H2032,MAX(J2032:K2032))))</f>
        <v/>
      </c>
      <c r="G2032" s="74" t="n"/>
      <c r="H2032" s="49">
        <f>IF(M2032="","",IFERROR(ROUND(AVERAGE(T2032+M2032*{7,8,9,10,11})/1.21,4),""))</f>
        <v/>
      </c>
      <c r="I2032" s="76" t="n"/>
      <c r="J2032" s="77" t="n"/>
      <c r="K2032" s="74" t="n"/>
      <c r="L2032" s="78" t="n"/>
      <c r="M2032" s="77" t="n"/>
      <c r="N2032" s="53">
        <f>IF(M2032="","",IFERROR(M2032/I2032,""))</f>
        <v/>
      </c>
      <c r="O2032" s="50">
        <f>IF(A2032="","",IFERROR((IF(G2032="",I2032,G2032)-T2032)/M2032,""))</f>
        <v/>
      </c>
      <c r="P2032" s="50">
        <f>IFERROR((I2032/T2032-1)/N2032,"")</f>
        <v/>
      </c>
      <c r="Q2032" s="46">
        <f>IF(OR(T2032="",I2032&lt;T2032),"",IFERROR(R2032/IF(G2032="",I2032,G2032)-1,""))</f>
        <v/>
      </c>
      <c r="R2032" s="48">
        <f>IF($M2032="","",MAX(IF($G2032="",$I2032,$G2032)*(1/1.1),IF($G2032="",$I2032,$G2032)+(R$2*$M2032)))</f>
        <v/>
      </c>
      <c r="S2032" s="49">
        <f>IF($M2032="","",MAX(IF($G2032="",$I2032,$G2032)*(1/1.1),IF($G2032="",$I2032,$G2032)+(S$2*$M2032)))</f>
        <v/>
      </c>
      <c r="T2032" s="82" t="n"/>
      <c r="U2032" s="47">
        <f>IF(OR($M2032="",$T2032=""),"",$T2032+(U$2*$M2032))</f>
        <v/>
      </c>
      <c r="V2032" s="48">
        <f>IF(OR($M2032="",$T2032=""),"",$T2032+(V$2*$M2032))</f>
        <v/>
      </c>
      <c r="W2032" s="48">
        <f>IF(OR($M2032="",$T2032=""),"",$T2032+(W$2*$M2032))</f>
        <v/>
      </c>
      <c r="X2032" s="49">
        <f>IF(OR($M2032="",$T2032=""),"",$T2032+(X$2*$M2032))</f>
        <v/>
      </c>
      <c r="Y2032" s="47">
        <f>IF(OR($M2032="",$T2032=""),"",$T2032+(Y$2*$M2032))</f>
        <v/>
      </c>
      <c r="Z2032" s="49">
        <f>IF(OR($M2032="",$T2032=""),"",$T2032+(Z$2*$M2032))</f>
        <v/>
      </c>
      <c r="AA2032" s="51">
        <f>IF(OR($M2032="",$T2032=""),"",$T2032+(AA$2*$M2032))</f>
        <v/>
      </c>
      <c r="AB2032" s="48">
        <f>IF(OR($M2032="",$T2032=""),"",$T2032+(AB$2*$M2032))</f>
        <v/>
      </c>
      <c r="AC2032" s="48">
        <f>IF(OR($M2032="",$T2032=""),"",$T2032+(AC$2*$M2032))</f>
        <v/>
      </c>
      <c r="AD2032" s="48">
        <f>IF(OR($M2032="",$T2032=""),"",$T2032+(AD$2*$M2032))</f>
        <v/>
      </c>
      <c r="AE2032" s="49">
        <f>IF(OR($M2032="",$T2032=""),"",$T2032+(AE$2*$M2032))</f>
        <v/>
      </c>
      <c r="AF2032" s="52">
        <f>IF(OR(T2032="",I2032&lt;T2032),"",IFERROR(AVERAGE(T2032+M2032*{7,8,9,10,11})/IF(G2032="",I2032,G2032)-1,""))</f>
        <v/>
      </c>
      <c r="AG2032" s="55">
        <f>IF(OR(T2032="",I2032&lt;T2032),"",IFERROR(AF2032/-(R2032/IF(G2032="",I2032,G2032)-1),""))</f>
        <v/>
      </c>
      <c r="AH2032" s="94" t="n"/>
      <c r="AI2032" s="94" t="n"/>
      <c r="AJ2032" s="94" t="n"/>
      <c r="AK2032" s="94" t="n"/>
      <c r="AL2032" s="84" t="n"/>
    </row>
    <row r="2033">
      <c r="A2033" s="64" t="n"/>
      <c r="B2033" s="65" t="n"/>
      <c r="C2033" s="66" t="n"/>
      <c r="D2033" s="67" t="n"/>
      <c r="E2033" s="68" t="n"/>
      <c r="F2033" s="47">
        <f>IF(A2033="","",IF(MIN(H2033,MAX(J2033:K2033))=0,"",MIN(H2033,MAX(J2033:K2033))))</f>
        <v/>
      </c>
      <c r="G2033" s="74" t="n"/>
      <c r="H2033" s="49">
        <f>IF(M2033="","",IFERROR(ROUND(AVERAGE(T2033+M2033*{7,8,9,10,11})/1.21,4),""))</f>
        <v/>
      </c>
      <c r="I2033" s="76" t="n"/>
      <c r="J2033" s="77" t="n"/>
      <c r="K2033" s="74" t="n"/>
      <c r="L2033" s="78" t="n"/>
      <c r="M2033" s="77" t="n"/>
      <c r="N2033" s="53">
        <f>IF(M2033="","",IFERROR(M2033/I2033,""))</f>
        <v/>
      </c>
      <c r="O2033" s="50">
        <f>IF(A2033="","",IFERROR((IF(G2033="",I2033,G2033)-T2033)/M2033,""))</f>
        <v/>
      </c>
      <c r="P2033" s="50">
        <f>IFERROR((I2033/T2033-1)/N2033,"")</f>
        <v/>
      </c>
      <c r="Q2033" s="46">
        <f>IF(OR(T2033="",I2033&lt;T2033),"",IFERROR(R2033/IF(G2033="",I2033,G2033)-1,""))</f>
        <v/>
      </c>
      <c r="R2033" s="48">
        <f>IF($M2033="","",MAX(IF($G2033="",$I2033,$G2033)*(1/1.1),IF($G2033="",$I2033,$G2033)+(R$2*$M2033)))</f>
        <v/>
      </c>
      <c r="S2033" s="49">
        <f>IF($M2033="","",MAX(IF($G2033="",$I2033,$G2033)*(1/1.1),IF($G2033="",$I2033,$G2033)+(S$2*$M2033)))</f>
        <v/>
      </c>
      <c r="T2033" s="82" t="n"/>
      <c r="U2033" s="47">
        <f>IF(OR($M2033="",$T2033=""),"",$T2033+(U$2*$M2033))</f>
        <v/>
      </c>
      <c r="V2033" s="48">
        <f>IF(OR($M2033="",$T2033=""),"",$T2033+(V$2*$M2033))</f>
        <v/>
      </c>
      <c r="W2033" s="48">
        <f>IF(OR($M2033="",$T2033=""),"",$T2033+(W$2*$M2033))</f>
        <v/>
      </c>
      <c r="X2033" s="49">
        <f>IF(OR($M2033="",$T2033=""),"",$T2033+(X$2*$M2033))</f>
        <v/>
      </c>
      <c r="Y2033" s="47">
        <f>IF(OR($M2033="",$T2033=""),"",$T2033+(Y$2*$M2033))</f>
        <v/>
      </c>
      <c r="Z2033" s="49">
        <f>IF(OR($M2033="",$T2033=""),"",$T2033+(Z$2*$M2033))</f>
        <v/>
      </c>
      <c r="AA2033" s="51">
        <f>IF(OR($M2033="",$T2033=""),"",$T2033+(AA$2*$M2033))</f>
        <v/>
      </c>
      <c r="AB2033" s="48">
        <f>IF(OR($M2033="",$T2033=""),"",$T2033+(AB$2*$M2033))</f>
        <v/>
      </c>
      <c r="AC2033" s="48">
        <f>IF(OR($M2033="",$T2033=""),"",$T2033+(AC$2*$M2033))</f>
        <v/>
      </c>
      <c r="AD2033" s="48">
        <f>IF(OR($M2033="",$T2033=""),"",$T2033+(AD$2*$M2033))</f>
        <v/>
      </c>
      <c r="AE2033" s="49">
        <f>IF(OR($M2033="",$T2033=""),"",$T2033+(AE$2*$M2033))</f>
        <v/>
      </c>
      <c r="AF2033" s="52">
        <f>IF(OR(T2033="",I2033&lt;T2033),"",IFERROR(AVERAGE(T2033+M2033*{7,8,9,10,11})/IF(G2033="",I2033,G2033)-1,""))</f>
        <v/>
      </c>
      <c r="AG2033" s="55">
        <f>IF(OR(T2033="",I2033&lt;T2033),"",IFERROR(AF2033/-(R2033/IF(G2033="",I2033,G2033)-1),""))</f>
        <v/>
      </c>
      <c r="AH2033" s="94" t="n"/>
      <c r="AI2033" s="94" t="n"/>
      <c r="AJ2033" s="94" t="n"/>
      <c r="AK2033" s="94" t="n"/>
      <c r="AL2033" s="84" t="n"/>
    </row>
    <row r="2034">
      <c r="A2034" s="64" t="n"/>
      <c r="B2034" s="65" t="n"/>
      <c r="C2034" s="66" t="n"/>
      <c r="D2034" s="67" t="n"/>
      <c r="E2034" s="68" t="n"/>
      <c r="F2034" s="47">
        <f>IF(A2034="","",IF(MIN(H2034,MAX(J2034:K2034))=0,"",MIN(H2034,MAX(J2034:K2034))))</f>
        <v/>
      </c>
      <c r="G2034" s="74" t="n"/>
      <c r="H2034" s="49">
        <f>IF(M2034="","",IFERROR(ROUND(AVERAGE(T2034+M2034*{7,8,9,10,11})/1.21,4),""))</f>
        <v/>
      </c>
      <c r="I2034" s="76" t="n"/>
      <c r="J2034" s="77" t="n"/>
      <c r="K2034" s="74" t="n"/>
      <c r="L2034" s="78" t="n"/>
      <c r="M2034" s="77" t="n"/>
      <c r="N2034" s="53">
        <f>IF(M2034="","",IFERROR(M2034/I2034,""))</f>
        <v/>
      </c>
      <c r="O2034" s="50">
        <f>IF(A2034="","",IFERROR((IF(G2034="",I2034,G2034)-T2034)/M2034,""))</f>
        <v/>
      </c>
      <c r="P2034" s="50">
        <f>IFERROR((I2034/T2034-1)/N2034,"")</f>
        <v/>
      </c>
      <c r="Q2034" s="46">
        <f>IF(OR(T2034="",I2034&lt;T2034),"",IFERROR(R2034/IF(G2034="",I2034,G2034)-1,""))</f>
        <v/>
      </c>
      <c r="R2034" s="48">
        <f>IF($M2034="","",MAX(IF($G2034="",$I2034,$G2034)*(1/1.1),IF($G2034="",$I2034,$G2034)+(R$2*$M2034)))</f>
        <v/>
      </c>
      <c r="S2034" s="49">
        <f>IF($M2034="","",MAX(IF($G2034="",$I2034,$G2034)*(1/1.1),IF($G2034="",$I2034,$G2034)+(S$2*$M2034)))</f>
        <v/>
      </c>
      <c r="T2034" s="82" t="n"/>
      <c r="U2034" s="47">
        <f>IF(OR($M2034="",$T2034=""),"",$T2034+(U$2*$M2034))</f>
        <v/>
      </c>
      <c r="V2034" s="48">
        <f>IF(OR($M2034="",$T2034=""),"",$T2034+(V$2*$M2034))</f>
        <v/>
      </c>
      <c r="W2034" s="48">
        <f>IF(OR($M2034="",$T2034=""),"",$T2034+(W$2*$M2034))</f>
        <v/>
      </c>
      <c r="X2034" s="49">
        <f>IF(OR($M2034="",$T2034=""),"",$T2034+(X$2*$M2034))</f>
        <v/>
      </c>
      <c r="Y2034" s="47">
        <f>IF(OR($M2034="",$T2034=""),"",$T2034+(Y$2*$M2034))</f>
        <v/>
      </c>
      <c r="Z2034" s="49">
        <f>IF(OR($M2034="",$T2034=""),"",$T2034+(Z$2*$M2034))</f>
        <v/>
      </c>
      <c r="AA2034" s="51">
        <f>IF(OR($M2034="",$T2034=""),"",$T2034+(AA$2*$M2034))</f>
        <v/>
      </c>
      <c r="AB2034" s="48">
        <f>IF(OR($M2034="",$T2034=""),"",$T2034+(AB$2*$M2034))</f>
        <v/>
      </c>
      <c r="AC2034" s="48">
        <f>IF(OR($M2034="",$T2034=""),"",$T2034+(AC$2*$M2034))</f>
        <v/>
      </c>
      <c r="AD2034" s="48">
        <f>IF(OR($M2034="",$T2034=""),"",$T2034+(AD$2*$M2034))</f>
        <v/>
      </c>
      <c r="AE2034" s="49">
        <f>IF(OR($M2034="",$T2034=""),"",$T2034+(AE$2*$M2034))</f>
        <v/>
      </c>
      <c r="AF2034" s="52">
        <f>IF(OR(T2034="",I2034&lt;T2034),"",IFERROR(AVERAGE(T2034+M2034*{7,8,9,10,11})/IF(G2034="",I2034,G2034)-1,""))</f>
        <v/>
      </c>
      <c r="AG2034" s="55">
        <f>IF(OR(T2034="",I2034&lt;T2034),"",IFERROR(AF2034/-(R2034/IF(G2034="",I2034,G2034)-1),""))</f>
        <v/>
      </c>
      <c r="AH2034" s="94" t="n"/>
      <c r="AI2034" s="94" t="n"/>
      <c r="AJ2034" s="94" t="n"/>
      <c r="AK2034" s="94" t="n"/>
      <c r="AL2034" s="84" t="n"/>
    </row>
    <row r="2035">
      <c r="A2035" s="64" t="n"/>
      <c r="B2035" s="65" t="n"/>
      <c r="C2035" s="66" t="n"/>
      <c r="D2035" s="67" t="n"/>
      <c r="E2035" s="68" t="n"/>
      <c r="F2035" s="47">
        <f>IF(A2035="","",IF(MIN(H2035,MAX(J2035:K2035))=0,"",MIN(H2035,MAX(J2035:K2035))))</f>
        <v/>
      </c>
      <c r="G2035" s="74" t="n"/>
      <c r="H2035" s="49">
        <f>IF(M2035="","",IFERROR(ROUND(AVERAGE(T2035+M2035*{7,8,9,10,11})/1.21,4),""))</f>
        <v/>
      </c>
      <c r="I2035" s="76" t="n"/>
      <c r="J2035" s="77" t="n"/>
      <c r="K2035" s="74" t="n"/>
      <c r="L2035" s="78" t="n"/>
      <c r="M2035" s="77" t="n"/>
      <c r="N2035" s="53">
        <f>IF(M2035="","",IFERROR(M2035/I2035,""))</f>
        <v/>
      </c>
      <c r="O2035" s="50">
        <f>IF(A2035="","",IFERROR((IF(G2035="",I2035,G2035)-T2035)/M2035,""))</f>
        <v/>
      </c>
      <c r="P2035" s="50">
        <f>IFERROR((I2035/T2035-1)/N2035,"")</f>
        <v/>
      </c>
      <c r="Q2035" s="46">
        <f>IF(OR(T2035="",I2035&lt;T2035),"",IFERROR(R2035/IF(G2035="",I2035,G2035)-1,""))</f>
        <v/>
      </c>
      <c r="R2035" s="48">
        <f>IF($M2035="","",MAX(IF($G2035="",$I2035,$G2035)*(1/1.1),IF($G2035="",$I2035,$G2035)+(R$2*$M2035)))</f>
        <v/>
      </c>
      <c r="S2035" s="49">
        <f>IF($M2035="","",MAX(IF($G2035="",$I2035,$G2035)*(1/1.1),IF($G2035="",$I2035,$G2035)+(S$2*$M2035)))</f>
        <v/>
      </c>
      <c r="T2035" s="82" t="n"/>
      <c r="U2035" s="47">
        <f>IF(OR($M2035="",$T2035=""),"",$T2035+(U$2*$M2035))</f>
        <v/>
      </c>
      <c r="V2035" s="48">
        <f>IF(OR($M2035="",$T2035=""),"",$T2035+(V$2*$M2035))</f>
        <v/>
      </c>
      <c r="W2035" s="48">
        <f>IF(OR($M2035="",$T2035=""),"",$T2035+(W$2*$M2035))</f>
        <v/>
      </c>
      <c r="X2035" s="49">
        <f>IF(OR($M2035="",$T2035=""),"",$T2035+(X$2*$M2035))</f>
        <v/>
      </c>
      <c r="Y2035" s="47">
        <f>IF(OR($M2035="",$T2035=""),"",$T2035+(Y$2*$M2035))</f>
        <v/>
      </c>
      <c r="Z2035" s="49">
        <f>IF(OR($M2035="",$T2035=""),"",$T2035+(Z$2*$M2035))</f>
        <v/>
      </c>
      <c r="AA2035" s="51">
        <f>IF(OR($M2035="",$T2035=""),"",$T2035+(AA$2*$M2035))</f>
        <v/>
      </c>
      <c r="AB2035" s="48">
        <f>IF(OR($M2035="",$T2035=""),"",$T2035+(AB$2*$M2035))</f>
        <v/>
      </c>
      <c r="AC2035" s="48">
        <f>IF(OR($M2035="",$T2035=""),"",$T2035+(AC$2*$M2035))</f>
        <v/>
      </c>
      <c r="AD2035" s="48">
        <f>IF(OR($M2035="",$T2035=""),"",$T2035+(AD$2*$M2035))</f>
        <v/>
      </c>
      <c r="AE2035" s="49">
        <f>IF(OR($M2035="",$T2035=""),"",$T2035+(AE$2*$M2035))</f>
        <v/>
      </c>
      <c r="AF2035" s="52">
        <f>IF(OR(T2035="",I2035&lt;T2035),"",IFERROR(AVERAGE(T2035+M2035*{7,8,9,10,11})/IF(G2035="",I2035,G2035)-1,""))</f>
        <v/>
      </c>
      <c r="AG2035" s="55">
        <f>IF(OR(T2035="",I2035&lt;T2035),"",IFERROR(AF2035/-(R2035/IF(G2035="",I2035,G2035)-1),""))</f>
        <v/>
      </c>
      <c r="AH2035" s="94" t="n"/>
      <c r="AI2035" s="94" t="n"/>
      <c r="AJ2035" s="94" t="n"/>
      <c r="AK2035" s="94" t="n"/>
      <c r="AL2035" s="84" t="n"/>
    </row>
    <row r="2036">
      <c r="A2036" s="64" t="n"/>
      <c r="B2036" s="65" t="n"/>
      <c r="C2036" s="66" t="n"/>
      <c r="D2036" s="67" t="n"/>
      <c r="E2036" s="68" t="n"/>
      <c r="F2036" s="47">
        <f>IF(A2036="","",IF(MIN(H2036,MAX(J2036:K2036))=0,"",MIN(H2036,MAX(J2036:K2036))))</f>
        <v/>
      </c>
      <c r="G2036" s="74" t="n"/>
      <c r="H2036" s="49">
        <f>IF(M2036="","",IFERROR(ROUND(AVERAGE(T2036+M2036*{7,8,9,10,11})/1.21,4),""))</f>
        <v/>
      </c>
      <c r="I2036" s="76" t="n"/>
      <c r="J2036" s="77" t="n"/>
      <c r="K2036" s="74" t="n"/>
      <c r="L2036" s="78" t="n"/>
      <c r="M2036" s="77" t="n"/>
      <c r="N2036" s="53">
        <f>IF(M2036="","",IFERROR(M2036/I2036,""))</f>
        <v/>
      </c>
      <c r="O2036" s="50">
        <f>IF(A2036="","",IFERROR((IF(G2036="",I2036,G2036)-T2036)/M2036,""))</f>
        <v/>
      </c>
      <c r="P2036" s="50">
        <f>IFERROR((I2036/T2036-1)/N2036,"")</f>
        <v/>
      </c>
      <c r="Q2036" s="46">
        <f>IF(OR(T2036="",I2036&lt;T2036),"",IFERROR(R2036/IF(G2036="",I2036,G2036)-1,""))</f>
        <v/>
      </c>
      <c r="R2036" s="48">
        <f>IF($M2036="","",MAX(IF($G2036="",$I2036,$G2036)*(1/1.1),IF($G2036="",$I2036,$G2036)+(R$2*$M2036)))</f>
        <v/>
      </c>
      <c r="S2036" s="49">
        <f>IF($M2036="","",MAX(IF($G2036="",$I2036,$G2036)*(1/1.1),IF($G2036="",$I2036,$G2036)+(S$2*$M2036)))</f>
        <v/>
      </c>
      <c r="T2036" s="82" t="n"/>
      <c r="U2036" s="47">
        <f>IF(OR($M2036="",$T2036=""),"",$T2036+(U$2*$M2036))</f>
        <v/>
      </c>
      <c r="V2036" s="48">
        <f>IF(OR($M2036="",$T2036=""),"",$T2036+(V$2*$M2036))</f>
        <v/>
      </c>
      <c r="W2036" s="48">
        <f>IF(OR($M2036="",$T2036=""),"",$T2036+(W$2*$M2036))</f>
        <v/>
      </c>
      <c r="X2036" s="49">
        <f>IF(OR($M2036="",$T2036=""),"",$T2036+(X$2*$M2036))</f>
        <v/>
      </c>
      <c r="Y2036" s="47">
        <f>IF(OR($M2036="",$T2036=""),"",$T2036+(Y$2*$M2036))</f>
        <v/>
      </c>
      <c r="Z2036" s="49">
        <f>IF(OR($M2036="",$T2036=""),"",$T2036+(Z$2*$M2036))</f>
        <v/>
      </c>
      <c r="AA2036" s="51">
        <f>IF(OR($M2036="",$T2036=""),"",$T2036+(AA$2*$M2036))</f>
        <v/>
      </c>
      <c r="AB2036" s="48">
        <f>IF(OR($M2036="",$T2036=""),"",$T2036+(AB$2*$M2036))</f>
        <v/>
      </c>
      <c r="AC2036" s="48">
        <f>IF(OR($M2036="",$T2036=""),"",$T2036+(AC$2*$M2036))</f>
        <v/>
      </c>
      <c r="AD2036" s="48">
        <f>IF(OR($M2036="",$T2036=""),"",$T2036+(AD$2*$M2036))</f>
        <v/>
      </c>
      <c r="AE2036" s="49">
        <f>IF(OR($M2036="",$T2036=""),"",$T2036+(AE$2*$M2036))</f>
        <v/>
      </c>
      <c r="AF2036" s="52">
        <f>IF(OR(T2036="",I2036&lt;T2036),"",IFERROR(AVERAGE(T2036+M2036*{7,8,9,10,11})/IF(G2036="",I2036,G2036)-1,""))</f>
        <v/>
      </c>
      <c r="AG2036" s="55">
        <f>IF(OR(T2036="",I2036&lt;T2036),"",IFERROR(AF2036/-(R2036/IF(G2036="",I2036,G2036)-1),""))</f>
        <v/>
      </c>
      <c r="AH2036" s="94" t="n"/>
      <c r="AI2036" s="94" t="n"/>
      <c r="AJ2036" s="94" t="n"/>
      <c r="AK2036" s="94" t="n"/>
      <c r="AL2036" s="84" t="n"/>
    </row>
    <row r="2037">
      <c r="A2037" s="64" t="n"/>
      <c r="B2037" s="65" t="n"/>
      <c r="C2037" s="66" t="n"/>
      <c r="D2037" s="67" t="n"/>
      <c r="E2037" s="68" t="n"/>
      <c r="F2037" s="47">
        <f>IF(A2037="","",IF(MIN(H2037,MAX(J2037:K2037))=0,"",MIN(H2037,MAX(J2037:K2037))))</f>
        <v/>
      </c>
      <c r="G2037" s="74" t="n"/>
      <c r="H2037" s="49">
        <f>IF(M2037="","",IFERROR(ROUND(AVERAGE(T2037+M2037*{7,8,9,10,11})/1.21,4),""))</f>
        <v/>
      </c>
      <c r="I2037" s="76" t="n"/>
      <c r="J2037" s="77" t="n"/>
      <c r="K2037" s="74" t="n"/>
      <c r="L2037" s="78" t="n"/>
      <c r="M2037" s="77" t="n"/>
      <c r="N2037" s="53">
        <f>IF(M2037="","",IFERROR(M2037/I2037,""))</f>
        <v/>
      </c>
      <c r="O2037" s="50">
        <f>IF(A2037="","",IFERROR((IF(G2037="",I2037,G2037)-T2037)/M2037,""))</f>
        <v/>
      </c>
      <c r="P2037" s="50">
        <f>IFERROR((I2037/T2037-1)/N2037,"")</f>
        <v/>
      </c>
      <c r="Q2037" s="46">
        <f>IF(OR(T2037="",I2037&lt;T2037),"",IFERROR(R2037/IF(G2037="",I2037,G2037)-1,""))</f>
        <v/>
      </c>
      <c r="R2037" s="48">
        <f>IF($M2037="","",MAX(IF($G2037="",$I2037,$G2037)*(1/1.1),IF($G2037="",$I2037,$G2037)+(R$2*$M2037)))</f>
        <v/>
      </c>
      <c r="S2037" s="49">
        <f>IF($M2037="","",MAX(IF($G2037="",$I2037,$G2037)*(1/1.1),IF($G2037="",$I2037,$G2037)+(S$2*$M2037)))</f>
        <v/>
      </c>
      <c r="T2037" s="82" t="n"/>
      <c r="U2037" s="47">
        <f>IF(OR($M2037="",$T2037=""),"",$T2037+(U$2*$M2037))</f>
        <v/>
      </c>
      <c r="V2037" s="48">
        <f>IF(OR($M2037="",$T2037=""),"",$T2037+(V$2*$M2037))</f>
        <v/>
      </c>
      <c r="W2037" s="48">
        <f>IF(OR($M2037="",$T2037=""),"",$T2037+(W$2*$M2037))</f>
        <v/>
      </c>
      <c r="X2037" s="49">
        <f>IF(OR($M2037="",$T2037=""),"",$T2037+(X$2*$M2037))</f>
        <v/>
      </c>
      <c r="Y2037" s="47">
        <f>IF(OR($M2037="",$T2037=""),"",$T2037+(Y$2*$M2037))</f>
        <v/>
      </c>
      <c r="Z2037" s="49">
        <f>IF(OR($M2037="",$T2037=""),"",$T2037+(Z$2*$M2037))</f>
        <v/>
      </c>
      <c r="AA2037" s="51">
        <f>IF(OR($M2037="",$T2037=""),"",$T2037+(AA$2*$M2037))</f>
        <v/>
      </c>
      <c r="AB2037" s="48">
        <f>IF(OR($M2037="",$T2037=""),"",$T2037+(AB$2*$M2037))</f>
        <v/>
      </c>
      <c r="AC2037" s="48">
        <f>IF(OR($M2037="",$T2037=""),"",$T2037+(AC$2*$M2037))</f>
        <v/>
      </c>
      <c r="AD2037" s="48">
        <f>IF(OR($M2037="",$T2037=""),"",$T2037+(AD$2*$M2037))</f>
        <v/>
      </c>
      <c r="AE2037" s="49">
        <f>IF(OR($M2037="",$T2037=""),"",$T2037+(AE$2*$M2037))</f>
        <v/>
      </c>
      <c r="AF2037" s="52">
        <f>IF(OR(T2037="",I2037&lt;T2037),"",IFERROR(AVERAGE(T2037+M2037*{7,8,9,10,11})/IF(G2037="",I2037,G2037)-1,""))</f>
        <v/>
      </c>
      <c r="AG2037" s="55">
        <f>IF(OR(T2037="",I2037&lt;T2037),"",IFERROR(AF2037/-(R2037/IF(G2037="",I2037,G2037)-1),""))</f>
        <v/>
      </c>
      <c r="AH2037" s="94" t="n"/>
      <c r="AI2037" s="94" t="n"/>
      <c r="AJ2037" s="94" t="n"/>
      <c r="AK2037" s="94" t="n"/>
      <c r="AL2037" s="84" t="n"/>
    </row>
    <row r="2038">
      <c r="A2038" s="64" t="n"/>
      <c r="B2038" s="65" t="n"/>
      <c r="C2038" s="66" t="n"/>
      <c r="D2038" s="67" t="n"/>
      <c r="E2038" s="68" t="n"/>
      <c r="F2038" s="47">
        <f>IF(A2038="","",IF(MIN(H2038,MAX(J2038:K2038))=0,"",MIN(H2038,MAX(J2038:K2038))))</f>
        <v/>
      </c>
      <c r="G2038" s="74" t="n"/>
      <c r="H2038" s="49">
        <f>IF(M2038="","",IFERROR(ROUND(AVERAGE(T2038+M2038*{7,8,9,10,11})/1.21,4),""))</f>
        <v/>
      </c>
      <c r="I2038" s="76" t="n"/>
      <c r="J2038" s="77" t="n"/>
      <c r="K2038" s="74" t="n"/>
      <c r="L2038" s="78" t="n"/>
      <c r="M2038" s="77" t="n"/>
      <c r="N2038" s="53">
        <f>IF(M2038="","",IFERROR(M2038/I2038,""))</f>
        <v/>
      </c>
      <c r="O2038" s="50">
        <f>IF(A2038="","",IFERROR((IF(G2038="",I2038,G2038)-T2038)/M2038,""))</f>
        <v/>
      </c>
      <c r="P2038" s="50">
        <f>IFERROR((I2038/T2038-1)/N2038,"")</f>
        <v/>
      </c>
      <c r="Q2038" s="46">
        <f>IF(OR(T2038="",I2038&lt;T2038),"",IFERROR(R2038/IF(G2038="",I2038,G2038)-1,""))</f>
        <v/>
      </c>
      <c r="R2038" s="48">
        <f>IF($M2038="","",MAX(IF($G2038="",$I2038,$G2038)*(1/1.1),IF($G2038="",$I2038,$G2038)+(R$2*$M2038)))</f>
        <v/>
      </c>
      <c r="S2038" s="49">
        <f>IF($M2038="","",MAX(IF($G2038="",$I2038,$G2038)*(1/1.1),IF($G2038="",$I2038,$G2038)+(S$2*$M2038)))</f>
        <v/>
      </c>
      <c r="T2038" s="82" t="n"/>
      <c r="U2038" s="47">
        <f>IF(OR($M2038="",$T2038=""),"",$T2038+(U$2*$M2038))</f>
        <v/>
      </c>
      <c r="V2038" s="48">
        <f>IF(OR($M2038="",$T2038=""),"",$T2038+(V$2*$M2038))</f>
        <v/>
      </c>
      <c r="W2038" s="48">
        <f>IF(OR($M2038="",$T2038=""),"",$T2038+(W$2*$M2038))</f>
        <v/>
      </c>
      <c r="X2038" s="49">
        <f>IF(OR($M2038="",$T2038=""),"",$T2038+(X$2*$M2038))</f>
        <v/>
      </c>
      <c r="Y2038" s="47">
        <f>IF(OR($M2038="",$T2038=""),"",$T2038+(Y$2*$M2038))</f>
        <v/>
      </c>
      <c r="Z2038" s="49">
        <f>IF(OR($M2038="",$T2038=""),"",$T2038+(Z$2*$M2038))</f>
        <v/>
      </c>
      <c r="AA2038" s="51">
        <f>IF(OR($M2038="",$T2038=""),"",$T2038+(AA$2*$M2038))</f>
        <v/>
      </c>
      <c r="AB2038" s="48">
        <f>IF(OR($M2038="",$T2038=""),"",$T2038+(AB$2*$M2038))</f>
        <v/>
      </c>
      <c r="AC2038" s="48">
        <f>IF(OR($M2038="",$T2038=""),"",$T2038+(AC$2*$M2038))</f>
        <v/>
      </c>
      <c r="AD2038" s="48">
        <f>IF(OR($M2038="",$T2038=""),"",$T2038+(AD$2*$M2038))</f>
        <v/>
      </c>
      <c r="AE2038" s="49">
        <f>IF(OR($M2038="",$T2038=""),"",$T2038+(AE$2*$M2038))</f>
        <v/>
      </c>
      <c r="AF2038" s="52">
        <f>IF(OR(T2038="",I2038&lt;T2038),"",IFERROR(AVERAGE(T2038+M2038*{7,8,9,10,11})/IF(G2038="",I2038,G2038)-1,""))</f>
        <v/>
      </c>
      <c r="AG2038" s="55">
        <f>IF(OR(T2038="",I2038&lt;T2038),"",IFERROR(AF2038/-(R2038/IF(G2038="",I2038,G2038)-1),""))</f>
        <v/>
      </c>
      <c r="AH2038" s="94" t="n"/>
      <c r="AI2038" s="94" t="n"/>
      <c r="AJ2038" s="94" t="n"/>
      <c r="AK2038" s="94" t="n"/>
      <c r="AL2038" s="84" t="n"/>
    </row>
    <row r="2039">
      <c r="A2039" s="64" t="n"/>
      <c r="B2039" s="65" t="n"/>
      <c r="C2039" s="66" t="n"/>
      <c r="D2039" s="67" t="n"/>
      <c r="E2039" s="68" t="n"/>
      <c r="F2039" s="47">
        <f>IF(A2039="","",IF(MIN(H2039,MAX(J2039:K2039))=0,"",MIN(H2039,MAX(J2039:K2039))))</f>
        <v/>
      </c>
      <c r="G2039" s="74" t="n"/>
      <c r="H2039" s="49">
        <f>IF(M2039="","",IFERROR(ROUND(AVERAGE(T2039+M2039*{7,8,9,10,11})/1.21,4),""))</f>
        <v/>
      </c>
      <c r="I2039" s="76" t="n"/>
      <c r="J2039" s="77" t="n"/>
      <c r="K2039" s="74" t="n"/>
      <c r="L2039" s="78" t="n"/>
      <c r="M2039" s="77" t="n"/>
      <c r="N2039" s="53">
        <f>IF(M2039="","",IFERROR(M2039/I2039,""))</f>
        <v/>
      </c>
      <c r="O2039" s="50">
        <f>IF(A2039="","",IFERROR((IF(G2039="",I2039,G2039)-T2039)/M2039,""))</f>
        <v/>
      </c>
      <c r="P2039" s="50">
        <f>IFERROR((I2039/T2039-1)/N2039,"")</f>
        <v/>
      </c>
      <c r="Q2039" s="46">
        <f>IF(OR(T2039="",I2039&lt;T2039),"",IFERROR(R2039/IF(G2039="",I2039,G2039)-1,""))</f>
        <v/>
      </c>
      <c r="R2039" s="48">
        <f>IF($M2039="","",MAX(IF($G2039="",$I2039,$G2039)*(1/1.1),IF($G2039="",$I2039,$G2039)+(R$2*$M2039)))</f>
        <v/>
      </c>
      <c r="S2039" s="49">
        <f>IF($M2039="","",MAX(IF($G2039="",$I2039,$G2039)*(1/1.1),IF($G2039="",$I2039,$G2039)+(S$2*$M2039)))</f>
        <v/>
      </c>
      <c r="T2039" s="82" t="n"/>
      <c r="U2039" s="47">
        <f>IF(OR($M2039="",$T2039=""),"",$T2039+(U$2*$M2039))</f>
        <v/>
      </c>
      <c r="V2039" s="48">
        <f>IF(OR($M2039="",$T2039=""),"",$T2039+(V$2*$M2039))</f>
        <v/>
      </c>
      <c r="W2039" s="48">
        <f>IF(OR($M2039="",$T2039=""),"",$T2039+(W$2*$M2039))</f>
        <v/>
      </c>
      <c r="X2039" s="49">
        <f>IF(OR($M2039="",$T2039=""),"",$T2039+(X$2*$M2039))</f>
        <v/>
      </c>
      <c r="Y2039" s="47">
        <f>IF(OR($M2039="",$T2039=""),"",$T2039+(Y$2*$M2039))</f>
        <v/>
      </c>
      <c r="Z2039" s="49">
        <f>IF(OR($M2039="",$T2039=""),"",$T2039+(Z$2*$M2039))</f>
        <v/>
      </c>
      <c r="AA2039" s="51">
        <f>IF(OR($M2039="",$T2039=""),"",$T2039+(AA$2*$M2039))</f>
        <v/>
      </c>
      <c r="AB2039" s="48">
        <f>IF(OR($M2039="",$T2039=""),"",$T2039+(AB$2*$M2039))</f>
        <v/>
      </c>
      <c r="AC2039" s="48">
        <f>IF(OR($M2039="",$T2039=""),"",$T2039+(AC$2*$M2039))</f>
        <v/>
      </c>
      <c r="AD2039" s="48">
        <f>IF(OR($M2039="",$T2039=""),"",$T2039+(AD$2*$M2039))</f>
        <v/>
      </c>
      <c r="AE2039" s="49">
        <f>IF(OR($M2039="",$T2039=""),"",$T2039+(AE$2*$M2039))</f>
        <v/>
      </c>
      <c r="AF2039" s="52">
        <f>IF(OR(T2039="",I2039&lt;T2039),"",IFERROR(AVERAGE(T2039+M2039*{7,8,9,10,11})/IF(G2039="",I2039,G2039)-1,""))</f>
        <v/>
      </c>
      <c r="AG2039" s="55">
        <f>IF(OR(T2039="",I2039&lt;T2039),"",IFERROR(AF2039/-(R2039/IF(G2039="",I2039,G2039)-1),""))</f>
        <v/>
      </c>
      <c r="AH2039" s="94" t="n"/>
      <c r="AI2039" s="94" t="n"/>
      <c r="AJ2039" s="94" t="n"/>
      <c r="AK2039" s="94" t="n"/>
      <c r="AL2039" s="84" t="n"/>
    </row>
    <row r="2040">
      <c r="A2040" s="64" t="n"/>
      <c r="B2040" s="65" t="n"/>
      <c r="C2040" s="66" t="n"/>
      <c r="D2040" s="67" t="n"/>
      <c r="E2040" s="68" t="n"/>
      <c r="F2040" s="47">
        <f>IF(A2040="","",IF(MIN(H2040,MAX(J2040:K2040))=0,"",MIN(H2040,MAX(J2040:K2040))))</f>
        <v/>
      </c>
      <c r="G2040" s="74" t="n"/>
      <c r="H2040" s="49">
        <f>IF(M2040="","",IFERROR(ROUND(AVERAGE(T2040+M2040*{7,8,9,10,11})/1.21,4),""))</f>
        <v/>
      </c>
      <c r="I2040" s="76" t="n"/>
      <c r="J2040" s="77" t="n"/>
      <c r="K2040" s="74" t="n"/>
      <c r="L2040" s="78" t="n"/>
      <c r="M2040" s="77" t="n"/>
      <c r="N2040" s="53">
        <f>IF(M2040="","",IFERROR(M2040/I2040,""))</f>
        <v/>
      </c>
      <c r="O2040" s="50">
        <f>IF(A2040="","",IFERROR((IF(G2040="",I2040,G2040)-T2040)/M2040,""))</f>
        <v/>
      </c>
      <c r="P2040" s="50">
        <f>IFERROR((I2040/T2040-1)/N2040,"")</f>
        <v/>
      </c>
      <c r="Q2040" s="46">
        <f>IF(OR(T2040="",I2040&lt;T2040),"",IFERROR(R2040/IF(G2040="",I2040,G2040)-1,""))</f>
        <v/>
      </c>
      <c r="R2040" s="48">
        <f>IF($M2040="","",MAX(IF($G2040="",$I2040,$G2040)*(1/1.1),IF($G2040="",$I2040,$G2040)+(R$2*$M2040)))</f>
        <v/>
      </c>
      <c r="S2040" s="49">
        <f>IF($M2040="","",MAX(IF($G2040="",$I2040,$G2040)*(1/1.1),IF($G2040="",$I2040,$G2040)+(S$2*$M2040)))</f>
        <v/>
      </c>
      <c r="T2040" s="82" t="n"/>
      <c r="U2040" s="47">
        <f>IF(OR($M2040="",$T2040=""),"",$T2040+(U$2*$M2040))</f>
        <v/>
      </c>
      <c r="V2040" s="48">
        <f>IF(OR($M2040="",$T2040=""),"",$T2040+(V$2*$M2040))</f>
        <v/>
      </c>
      <c r="W2040" s="48">
        <f>IF(OR($M2040="",$T2040=""),"",$T2040+(W$2*$M2040))</f>
        <v/>
      </c>
      <c r="X2040" s="49">
        <f>IF(OR($M2040="",$T2040=""),"",$T2040+(X$2*$M2040))</f>
        <v/>
      </c>
      <c r="Y2040" s="47">
        <f>IF(OR($M2040="",$T2040=""),"",$T2040+(Y$2*$M2040))</f>
        <v/>
      </c>
      <c r="Z2040" s="49">
        <f>IF(OR($M2040="",$T2040=""),"",$T2040+(Z$2*$M2040))</f>
        <v/>
      </c>
      <c r="AA2040" s="51">
        <f>IF(OR($M2040="",$T2040=""),"",$T2040+(AA$2*$M2040))</f>
        <v/>
      </c>
      <c r="AB2040" s="48">
        <f>IF(OR($M2040="",$T2040=""),"",$T2040+(AB$2*$M2040))</f>
        <v/>
      </c>
      <c r="AC2040" s="48">
        <f>IF(OR($M2040="",$T2040=""),"",$T2040+(AC$2*$M2040))</f>
        <v/>
      </c>
      <c r="AD2040" s="48">
        <f>IF(OR($M2040="",$T2040=""),"",$T2040+(AD$2*$M2040))</f>
        <v/>
      </c>
      <c r="AE2040" s="49">
        <f>IF(OR($M2040="",$T2040=""),"",$T2040+(AE$2*$M2040))</f>
        <v/>
      </c>
      <c r="AF2040" s="52">
        <f>IF(OR(T2040="",I2040&lt;T2040),"",IFERROR(AVERAGE(T2040+M2040*{7,8,9,10,11})/IF(G2040="",I2040,G2040)-1,""))</f>
        <v/>
      </c>
      <c r="AG2040" s="55">
        <f>IF(OR(T2040="",I2040&lt;T2040),"",IFERROR(AF2040/-(R2040/IF(G2040="",I2040,G2040)-1),""))</f>
        <v/>
      </c>
      <c r="AH2040" s="94" t="n"/>
      <c r="AI2040" s="94" t="n"/>
      <c r="AJ2040" s="94" t="n"/>
      <c r="AK2040" s="94" t="n"/>
      <c r="AL2040" s="84" t="n"/>
    </row>
    <row r="2041">
      <c r="A2041" s="64" t="n"/>
      <c r="B2041" s="65" t="n"/>
      <c r="C2041" s="66" t="n"/>
      <c r="D2041" s="67" t="n"/>
      <c r="E2041" s="68" t="n"/>
      <c r="F2041" s="47">
        <f>IF(A2041="","",IF(MIN(H2041,MAX(J2041:K2041))=0,"",MIN(H2041,MAX(J2041:K2041))))</f>
        <v/>
      </c>
      <c r="G2041" s="74" t="n"/>
      <c r="H2041" s="49">
        <f>IF(M2041="","",IFERROR(ROUND(AVERAGE(T2041+M2041*{7,8,9,10,11})/1.21,4),""))</f>
        <v/>
      </c>
      <c r="I2041" s="76" t="n"/>
      <c r="J2041" s="77" t="n"/>
      <c r="K2041" s="74" t="n"/>
      <c r="L2041" s="78" t="n"/>
      <c r="M2041" s="77" t="n"/>
      <c r="N2041" s="53">
        <f>IF(M2041="","",IFERROR(M2041/I2041,""))</f>
        <v/>
      </c>
      <c r="O2041" s="50">
        <f>IF(A2041="","",IFERROR((IF(G2041="",I2041,G2041)-T2041)/M2041,""))</f>
        <v/>
      </c>
      <c r="P2041" s="50">
        <f>IFERROR((I2041/T2041-1)/N2041,"")</f>
        <v/>
      </c>
      <c r="Q2041" s="46">
        <f>IF(OR(T2041="",I2041&lt;T2041),"",IFERROR(R2041/IF(G2041="",I2041,G2041)-1,""))</f>
        <v/>
      </c>
      <c r="R2041" s="48">
        <f>IF($M2041="","",MAX(IF($G2041="",$I2041,$G2041)*(1/1.1),IF($G2041="",$I2041,$G2041)+(R$2*$M2041)))</f>
        <v/>
      </c>
      <c r="S2041" s="49">
        <f>IF($M2041="","",MAX(IF($G2041="",$I2041,$G2041)*(1/1.1),IF($G2041="",$I2041,$G2041)+(S$2*$M2041)))</f>
        <v/>
      </c>
      <c r="T2041" s="82" t="n"/>
      <c r="U2041" s="47">
        <f>IF(OR($M2041="",$T2041=""),"",$T2041+(U$2*$M2041))</f>
        <v/>
      </c>
      <c r="V2041" s="48">
        <f>IF(OR($M2041="",$T2041=""),"",$T2041+(V$2*$M2041))</f>
        <v/>
      </c>
      <c r="W2041" s="48">
        <f>IF(OR($M2041="",$T2041=""),"",$T2041+(W$2*$M2041))</f>
        <v/>
      </c>
      <c r="X2041" s="49">
        <f>IF(OR($M2041="",$T2041=""),"",$T2041+(X$2*$M2041))</f>
        <v/>
      </c>
      <c r="Y2041" s="47">
        <f>IF(OR($M2041="",$T2041=""),"",$T2041+(Y$2*$M2041))</f>
        <v/>
      </c>
      <c r="Z2041" s="49">
        <f>IF(OR($M2041="",$T2041=""),"",$T2041+(Z$2*$M2041))</f>
        <v/>
      </c>
      <c r="AA2041" s="51">
        <f>IF(OR($M2041="",$T2041=""),"",$T2041+(AA$2*$M2041))</f>
        <v/>
      </c>
      <c r="AB2041" s="48">
        <f>IF(OR($M2041="",$T2041=""),"",$T2041+(AB$2*$M2041))</f>
        <v/>
      </c>
      <c r="AC2041" s="48">
        <f>IF(OR($M2041="",$T2041=""),"",$T2041+(AC$2*$M2041))</f>
        <v/>
      </c>
      <c r="AD2041" s="48">
        <f>IF(OR($M2041="",$T2041=""),"",$T2041+(AD$2*$M2041))</f>
        <v/>
      </c>
      <c r="AE2041" s="49">
        <f>IF(OR($M2041="",$T2041=""),"",$T2041+(AE$2*$M2041))</f>
        <v/>
      </c>
      <c r="AF2041" s="52">
        <f>IF(OR(T2041="",I2041&lt;T2041),"",IFERROR(AVERAGE(T2041+M2041*{7,8,9,10,11})/IF(G2041="",I2041,G2041)-1,""))</f>
        <v/>
      </c>
      <c r="AG2041" s="55">
        <f>IF(OR(T2041="",I2041&lt;T2041),"",IFERROR(AF2041/-(R2041/IF(G2041="",I2041,G2041)-1),""))</f>
        <v/>
      </c>
      <c r="AH2041" s="94" t="n"/>
      <c r="AI2041" s="94" t="n"/>
      <c r="AJ2041" s="94" t="n"/>
      <c r="AK2041" s="94" t="n"/>
      <c r="AL2041" s="84" t="n"/>
    </row>
    <row r="2042">
      <c r="A2042" s="64" t="n"/>
      <c r="B2042" s="65" t="n"/>
      <c r="C2042" s="66" t="n"/>
      <c r="D2042" s="67" t="n"/>
      <c r="E2042" s="68" t="n"/>
      <c r="F2042" s="47">
        <f>IF(A2042="","",IF(MIN(H2042,MAX(J2042:K2042))=0,"",MIN(H2042,MAX(J2042:K2042))))</f>
        <v/>
      </c>
      <c r="G2042" s="74" t="n"/>
      <c r="H2042" s="49">
        <f>IF(M2042="","",IFERROR(ROUND(AVERAGE(T2042+M2042*{7,8,9,10,11})/1.21,4),""))</f>
        <v/>
      </c>
      <c r="I2042" s="76" t="n"/>
      <c r="J2042" s="77" t="n"/>
      <c r="K2042" s="74" t="n"/>
      <c r="L2042" s="78" t="n"/>
      <c r="M2042" s="77" t="n"/>
      <c r="N2042" s="53">
        <f>IF(M2042="","",IFERROR(M2042/I2042,""))</f>
        <v/>
      </c>
      <c r="O2042" s="50">
        <f>IF(A2042="","",IFERROR((IF(G2042="",I2042,G2042)-T2042)/M2042,""))</f>
        <v/>
      </c>
      <c r="P2042" s="50">
        <f>IFERROR((I2042/T2042-1)/N2042,"")</f>
        <v/>
      </c>
      <c r="Q2042" s="46">
        <f>IF(OR(T2042="",I2042&lt;T2042),"",IFERROR(R2042/IF(G2042="",I2042,G2042)-1,""))</f>
        <v/>
      </c>
      <c r="R2042" s="48">
        <f>IF($M2042="","",MAX(IF($G2042="",$I2042,$G2042)*(1/1.1),IF($G2042="",$I2042,$G2042)+(R$2*$M2042)))</f>
        <v/>
      </c>
      <c r="S2042" s="49">
        <f>IF($M2042="","",MAX(IF($G2042="",$I2042,$G2042)*(1/1.1),IF($G2042="",$I2042,$G2042)+(S$2*$M2042)))</f>
        <v/>
      </c>
      <c r="T2042" s="82" t="n"/>
      <c r="U2042" s="47">
        <f>IF(OR($M2042="",$T2042=""),"",$T2042+(U$2*$M2042))</f>
        <v/>
      </c>
      <c r="V2042" s="48">
        <f>IF(OR($M2042="",$T2042=""),"",$T2042+(V$2*$M2042))</f>
        <v/>
      </c>
      <c r="W2042" s="48">
        <f>IF(OR($M2042="",$T2042=""),"",$T2042+(W$2*$M2042))</f>
        <v/>
      </c>
      <c r="X2042" s="49">
        <f>IF(OR($M2042="",$T2042=""),"",$T2042+(X$2*$M2042))</f>
        <v/>
      </c>
      <c r="Y2042" s="47">
        <f>IF(OR($M2042="",$T2042=""),"",$T2042+(Y$2*$M2042))</f>
        <v/>
      </c>
      <c r="Z2042" s="49">
        <f>IF(OR($M2042="",$T2042=""),"",$T2042+(Z$2*$M2042))</f>
        <v/>
      </c>
      <c r="AA2042" s="51">
        <f>IF(OR($M2042="",$T2042=""),"",$T2042+(AA$2*$M2042))</f>
        <v/>
      </c>
      <c r="AB2042" s="48">
        <f>IF(OR($M2042="",$T2042=""),"",$T2042+(AB$2*$M2042))</f>
        <v/>
      </c>
      <c r="AC2042" s="48">
        <f>IF(OR($M2042="",$T2042=""),"",$T2042+(AC$2*$M2042))</f>
        <v/>
      </c>
      <c r="AD2042" s="48">
        <f>IF(OR($M2042="",$T2042=""),"",$T2042+(AD$2*$M2042))</f>
        <v/>
      </c>
      <c r="AE2042" s="49">
        <f>IF(OR($M2042="",$T2042=""),"",$T2042+(AE$2*$M2042))</f>
        <v/>
      </c>
      <c r="AF2042" s="52">
        <f>IF(OR(T2042="",I2042&lt;T2042),"",IFERROR(AVERAGE(T2042+M2042*{7,8,9,10,11})/IF(G2042="",I2042,G2042)-1,""))</f>
        <v/>
      </c>
      <c r="AG2042" s="55">
        <f>IF(OR(T2042="",I2042&lt;T2042),"",IFERROR(AF2042/-(R2042/IF(G2042="",I2042,G2042)-1),""))</f>
        <v/>
      </c>
      <c r="AH2042" s="94" t="n"/>
      <c r="AI2042" s="94" t="n"/>
      <c r="AJ2042" s="94" t="n"/>
      <c r="AK2042" s="94" t="n"/>
      <c r="AL2042" s="84" t="n"/>
    </row>
    <row r="2043">
      <c r="A2043" s="64" t="n"/>
      <c r="B2043" s="65" t="n"/>
      <c r="C2043" s="66" t="n"/>
      <c r="D2043" s="67" t="n"/>
      <c r="E2043" s="68" t="n"/>
      <c r="F2043" s="47">
        <f>IF(A2043="","",IF(MIN(H2043,MAX(J2043:K2043))=0,"",MIN(H2043,MAX(J2043:K2043))))</f>
        <v/>
      </c>
      <c r="G2043" s="74" t="n"/>
      <c r="H2043" s="49">
        <f>IF(M2043="","",IFERROR(ROUND(AVERAGE(T2043+M2043*{7,8,9,10,11})/1.21,4),""))</f>
        <v/>
      </c>
      <c r="I2043" s="76" t="n"/>
      <c r="J2043" s="77" t="n"/>
      <c r="K2043" s="74" t="n"/>
      <c r="L2043" s="78" t="n"/>
      <c r="M2043" s="77" t="n"/>
      <c r="N2043" s="53">
        <f>IF(M2043="","",IFERROR(M2043/I2043,""))</f>
        <v/>
      </c>
      <c r="O2043" s="50">
        <f>IF(A2043="","",IFERROR((IF(G2043="",I2043,G2043)-T2043)/M2043,""))</f>
        <v/>
      </c>
      <c r="P2043" s="50">
        <f>IFERROR((I2043/T2043-1)/N2043,"")</f>
        <v/>
      </c>
      <c r="Q2043" s="46">
        <f>IF(OR(T2043="",I2043&lt;T2043),"",IFERROR(R2043/IF(G2043="",I2043,G2043)-1,""))</f>
        <v/>
      </c>
      <c r="R2043" s="48">
        <f>IF($M2043="","",MAX(IF($G2043="",$I2043,$G2043)*(1/1.1),IF($G2043="",$I2043,$G2043)+(R$2*$M2043)))</f>
        <v/>
      </c>
      <c r="S2043" s="49">
        <f>IF($M2043="","",MAX(IF($G2043="",$I2043,$G2043)*(1/1.1),IF($G2043="",$I2043,$G2043)+(S$2*$M2043)))</f>
        <v/>
      </c>
      <c r="T2043" s="82" t="n"/>
      <c r="U2043" s="47">
        <f>IF(OR($M2043="",$T2043=""),"",$T2043+(U$2*$M2043))</f>
        <v/>
      </c>
      <c r="V2043" s="48">
        <f>IF(OR($M2043="",$T2043=""),"",$T2043+(V$2*$M2043))</f>
        <v/>
      </c>
      <c r="W2043" s="48">
        <f>IF(OR($M2043="",$T2043=""),"",$T2043+(W$2*$M2043))</f>
        <v/>
      </c>
      <c r="X2043" s="49">
        <f>IF(OR($M2043="",$T2043=""),"",$T2043+(X$2*$M2043))</f>
        <v/>
      </c>
      <c r="Y2043" s="47">
        <f>IF(OR($M2043="",$T2043=""),"",$T2043+(Y$2*$M2043))</f>
        <v/>
      </c>
      <c r="Z2043" s="49">
        <f>IF(OR($M2043="",$T2043=""),"",$T2043+(Z$2*$M2043))</f>
        <v/>
      </c>
      <c r="AA2043" s="51">
        <f>IF(OR($M2043="",$T2043=""),"",$T2043+(AA$2*$M2043))</f>
        <v/>
      </c>
      <c r="AB2043" s="48">
        <f>IF(OR($M2043="",$T2043=""),"",$T2043+(AB$2*$M2043))</f>
        <v/>
      </c>
      <c r="AC2043" s="48">
        <f>IF(OR($M2043="",$T2043=""),"",$T2043+(AC$2*$M2043))</f>
        <v/>
      </c>
      <c r="AD2043" s="48">
        <f>IF(OR($M2043="",$T2043=""),"",$T2043+(AD$2*$M2043))</f>
        <v/>
      </c>
      <c r="AE2043" s="49">
        <f>IF(OR($M2043="",$T2043=""),"",$T2043+(AE$2*$M2043))</f>
        <v/>
      </c>
      <c r="AF2043" s="52">
        <f>IF(OR(T2043="",I2043&lt;T2043),"",IFERROR(AVERAGE(T2043+M2043*{7,8,9,10,11})/IF(G2043="",I2043,G2043)-1,""))</f>
        <v/>
      </c>
      <c r="AG2043" s="55">
        <f>IF(OR(T2043="",I2043&lt;T2043),"",IFERROR(AF2043/-(R2043/IF(G2043="",I2043,G2043)-1),""))</f>
        <v/>
      </c>
      <c r="AH2043" s="94" t="n"/>
      <c r="AI2043" s="94" t="n"/>
      <c r="AJ2043" s="94" t="n"/>
      <c r="AK2043" s="94" t="n"/>
      <c r="AL2043" s="84" t="n"/>
    </row>
    <row r="2044">
      <c r="A2044" s="64" t="n"/>
      <c r="B2044" s="65" t="n"/>
      <c r="C2044" s="66" t="n"/>
      <c r="D2044" s="67" t="n"/>
      <c r="E2044" s="68" t="n"/>
      <c r="F2044" s="47">
        <f>IF(A2044="","",IF(MIN(H2044,MAX(J2044:K2044))=0,"",MIN(H2044,MAX(J2044:K2044))))</f>
        <v/>
      </c>
      <c r="G2044" s="74" t="n"/>
      <c r="H2044" s="49">
        <f>IF(M2044="","",IFERROR(ROUND(AVERAGE(T2044+M2044*{7,8,9,10,11})/1.21,4),""))</f>
        <v/>
      </c>
      <c r="I2044" s="76" t="n"/>
      <c r="J2044" s="77" t="n"/>
      <c r="K2044" s="74" t="n"/>
      <c r="L2044" s="78" t="n"/>
      <c r="M2044" s="77" t="n"/>
      <c r="N2044" s="53">
        <f>IF(M2044="","",IFERROR(M2044/I2044,""))</f>
        <v/>
      </c>
      <c r="O2044" s="50">
        <f>IF(A2044="","",IFERROR((IF(G2044="",I2044,G2044)-T2044)/M2044,""))</f>
        <v/>
      </c>
      <c r="P2044" s="50">
        <f>IFERROR((I2044/T2044-1)/N2044,"")</f>
        <v/>
      </c>
      <c r="Q2044" s="46">
        <f>IF(OR(T2044="",I2044&lt;T2044),"",IFERROR(R2044/IF(G2044="",I2044,G2044)-1,""))</f>
        <v/>
      </c>
      <c r="R2044" s="48">
        <f>IF($M2044="","",MAX(IF($G2044="",$I2044,$G2044)*(1/1.1),IF($G2044="",$I2044,$G2044)+(R$2*$M2044)))</f>
        <v/>
      </c>
      <c r="S2044" s="49">
        <f>IF($M2044="","",MAX(IF($G2044="",$I2044,$G2044)*(1/1.1),IF($G2044="",$I2044,$G2044)+(S$2*$M2044)))</f>
        <v/>
      </c>
      <c r="T2044" s="82" t="n"/>
      <c r="U2044" s="47">
        <f>IF(OR($M2044="",$T2044=""),"",$T2044+(U$2*$M2044))</f>
        <v/>
      </c>
      <c r="V2044" s="48">
        <f>IF(OR($M2044="",$T2044=""),"",$T2044+(V$2*$M2044))</f>
        <v/>
      </c>
      <c r="W2044" s="48">
        <f>IF(OR($M2044="",$T2044=""),"",$T2044+(W$2*$M2044))</f>
        <v/>
      </c>
      <c r="X2044" s="49">
        <f>IF(OR($M2044="",$T2044=""),"",$T2044+(X$2*$M2044))</f>
        <v/>
      </c>
      <c r="Y2044" s="47">
        <f>IF(OR($M2044="",$T2044=""),"",$T2044+(Y$2*$M2044))</f>
        <v/>
      </c>
      <c r="Z2044" s="49">
        <f>IF(OR($M2044="",$T2044=""),"",$T2044+(Z$2*$M2044))</f>
        <v/>
      </c>
      <c r="AA2044" s="51">
        <f>IF(OR($M2044="",$T2044=""),"",$T2044+(AA$2*$M2044))</f>
        <v/>
      </c>
      <c r="AB2044" s="48">
        <f>IF(OR($M2044="",$T2044=""),"",$T2044+(AB$2*$M2044))</f>
        <v/>
      </c>
      <c r="AC2044" s="48">
        <f>IF(OR($M2044="",$T2044=""),"",$T2044+(AC$2*$M2044))</f>
        <v/>
      </c>
      <c r="AD2044" s="48">
        <f>IF(OR($M2044="",$T2044=""),"",$T2044+(AD$2*$M2044))</f>
        <v/>
      </c>
      <c r="AE2044" s="49">
        <f>IF(OR($M2044="",$T2044=""),"",$T2044+(AE$2*$M2044))</f>
        <v/>
      </c>
      <c r="AF2044" s="52">
        <f>IF(OR(T2044="",I2044&lt;T2044),"",IFERROR(AVERAGE(T2044+M2044*{7,8,9,10,11})/IF(G2044="",I2044,G2044)-1,""))</f>
        <v/>
      </c>
      <c r="AG2044" s="55">
        <f>IF(OR(T2044="",I2044&lt;T2044),"",IFERROR(AF2044/-(R2044/IF(G2044="",I2044,G2044)-1),""))</f>
        <v/>
      </c>
      <c r="AH2044" s="94" t="n"/>
      <c r="AI2044" s="94" t="n"/>
      <c r="AJ2044" s="94" t="n"/>
      <c r="AK2044" s="94" t="n"/>
      <c r="AL2044" s="84" t="n"/>
    </row>
    <row r="2045">
      <c r="A2045" s="64" t="n"/>
      <c r="B2045" s="65" t="n"/>
      <c r="C2045" s="66" t="n"/>
      <c r="D2045" s="67" t="n"/>
      <c r="E2045" s="68" t="n"/>
      <c r="F2045" s="47">
        <f>IF(A2045="","",IF(MIN(H2045,MAX(J2045:K2045))=0,"",MIN(H2045,MAX(J2045:K2045))))</f>
        <v/>
      </c>
      <c r="G2045" s="74" t="n"/>
      <c r="H2045" s="49">
        <f>IF(M2045="","",IFERROR(ROUND(AVERAGE(T2045+M2045*{7,8,9,10,11})/1.21,4),""))</f>
        <v/>
      </c>
      <c r="I2045" s="76" t="n"/>
      <c r="J2045" s="77" t="n"/>
      <c r="K2045" s="74" t="n"/>
      <c r="L2045" s="78" t="n"/>
      <c r="M2045" s="77" t="n"/>
      <c r="N2045" s="53">
        <f>IF(M2045="","",IFERROR(M2045/I2045,""))</f>
        <v/>
      </c>
      <c r="O2045" s="50">
        <f>IF(A2045="","",IFERROR((IF(G2045="",I2045,G2045)-T2045)/M2045,""))</f>
        <v/>
      </c>
      <c r="P2045" s="50">
        <f>IFERROR((I2045/T2045-1)/N2045,"")</f>
        <v/>
      </c>
      <c r="Q2045" s="46">
        <f>IF(OR(T2045="",I2045&lt;T2045),"",IFERROR(R2045/IF(G2045="",I2045,G2045)-1,""))</f>
        <v/>
      </c>
      <c r="R2045" s="48">
        <f>IF($M2045="","",MAX(IF($G2045="",$I2045,$G2045)*(1/1.1),IF($G2045="",$I2045,$G2045)+(R$2*$M2045)))</f>
        <v/>
      </c>
      <c r="S2045" s="49">
        <f>IF($M2045="","",MAX(IF($G2045="",$I2045,$G2045)*(1/1.1),IF($G2045="",$I2045,$G2045)+(S$2*$M2045)))</f>
        <v/>
      </c>
      <c r="T2045" s="82" t="n"/>
      <c r="U2045" s="47">
        <f>IF(OR($M2045="",$T2045=""),"",$T2045+(U$2*$M2045))</f>
        <v/>
      </c>
      <c r="V2045" s="48">
        <f>IF(OR($M2045="",$T2045=""),"",$T2045+(V$2*$M2045))</f>
        <v/>
      </c>
      <c r="W2045" s="48">
        <f>IF(OR($M2045="",$T2045=""),"",$T2045+(W$2*$M2045))</f>
        <v/>
      </c>
      <c r="X2045" s="49">
        <f>IF(OR($M2045="",$T2045=""),"",$T2045+(X$2*$M2045))</f>
        <v/>
      </c>
      <c r="Y2045" s="47">
        <f>IF(OR($M2045="",$T2045=""),"",$T2045+(Y$2*$M2045))</f>
        <v/>
      </c>
      <c r="Z2045" s="49">
        <f>IF(OR($M2045="",$T2045=""),"",$T2045+(Z$2*$M2045))</f>
        <v/>
      </c>
      <c r="AA2045" s="51">
        <f>IF(OR($M2045="",$T2045=""),"",$T2045+(AA$2*$M2045))</f>
        <v/>
      </c>
      <c r="AB2045" s="48">
        <f>IF(OR($M2045="",$T2045=""),"",$T2045+(AB$2*$M2045))</f>
        <v/>
      </c>
      <c r="AC2045" s="48">
        <f>IF(OR($M2045="",$T2045=""),"",$T2045+(AC$2*$M2045))</f>
        <v/>
      </c>
      <c r="AD2045" s="48">
        <f>IF(OR($M2045="",$T2045=""),"",$T2045+(AD$2*$M2045))</f>
        <v/>
      </c>
      <c r="AE2045" s="49">
        <f>IF(OR($M2045="",$T2045=""),"",$T2045+(AE$2*$M2045))</f>
        <v/>
      </c>
      <c r="AF2045" s="52">
        <f>IF(OR(T2045="",I2045&lt;T2045),"",IFERROR(AVERAGE(T2045+M2045*{7,8,9,10,11})/IF(G2045="",I2045,G2045)-1,""))</f>
        <v/>
      </c>
      <c r="AG2045" s="55">
        <f>IF(OR(T2045="",I2045&lt;T2045),"",IFERROR(AF2045/-(R2045/IF(G2045="",I2045,G2045)-1),""))</f>
        <v/>
      </c>
      <c r="AH2045" s="94" t="n"/>
      <c r="AI2045" s="94" t="n"/>
      <c r="AJ2045" s="94" t="n"/>
      <c r="AK2045" s="94" t="n"/>
      <c r="AL2045" s="84" t="n"/>
    </row>
    <row r="2046">
      <c r="A2046" s="64" t="n"/>
      <c r="B2046" s="65" t="n"/>
      <c r="C2046" s="66" t="n"/>
      <c r="D2046" s="67" t="n"/>
      <c r="E2046" s="68" t="n"/>
      <c r="F2046" s="47">
        <f>IF(A2046="","",IF(MIN(H2046,MAX(J2046:K2046))=0,"",MIN(H2046,MAX(J2046:K2046))))</f>
        <v/>
      </c>
      <c r="G2046" s="74" t="n"/>
      <c r="H2046" s="49">
        <f>IF(M2046="","",IFERROR(ROUND(AVERAGE(T2046+M2046*{7,8,9,10,11})/1.21,4),""))</f>
        <v/>
      </c>
      <c r="I2046" s="76" t="n"/>
      <c r="J2046" s="77" t="n"/>
      <c r="K2046" s="74" t="n"/>
      <c r="L2046" s="78" t="n"/>
      <c r="M2046" s="77" t="n"/>
      <c r="N2046" s="53">
        <f>IF(M2046="","",IFERROR(M2046/I2046,""))</f>
        <v/>
      </c>
      <c r="O2046" s="50">
        <f>IF(A2046="","",IFERROR((IF(G2046="",I2046,G2046)-T2046)/M2046,""))</f>
        <v/>
      </c>
      <c r="P2046" s="50">
        <f>IFERROR((I2046/T2046-1)/N2046,"")</f>
        <v/>
      </c>
      <c r="Q2046" s="46">
        <f>IF(OR(T2046="",I2046&lt;T2046),"",IFERROR(R2046/IF(G2046="",I2046,G2046)-1,""))</f>
        <v/>
      </c>
      <c r="R2046" s="48">
        <f>IF($M2046="","",MAX(IF($G2046="",$I2046,$G2046)*(1/1.1),IF($G2046="",$I2046,$G2046)+(R$2*$M2046)))</f>
        <v/>
      </c>
      <c r="S2046" s="49">
        <f>IF($M2046="","",MAX(IF($G2046="",$I2046,$G2046)*(1/1.1),IF($G2046="",$I2046,$G2046)+(S$2*$M2046)))</f>
        <v/>
      </c>
      <c r="T2046" s="82" t="n"/>
      <c r="U2046" s="47">
        <f>IF(OR($M2046="",$T2046=""),"",$T2046+(U$2*$M2046))</f>
        <v/>
      </c>
      <c r="V2046" s="48">
        <f>IF(OR($M2046="",$T2046=""),"",$T2046+(V$2*$M2046))</f>
        <v/>
      </c>
      <c r="W2046" s="48">
        <f>IF(OR($M2046="",$T2046=""),"",$T2046+(W$2*$M2046))</f>
        <v/>
      </c>
      <c r="X2046" s="49">
        <f>IF(OR($M2046="",$T2046=""),"",$T2046+(X$2*$M2046))</f>
        <v/>
      </c>
      <c r="Y2046" s="47">
        <f>IF(OR($M2046="",$T2046=""),"",$T2046+(Y$2*$M2046))</f>
        <v/>
      </c>
      <c r="Z2046" s="49">
        <f>IF(OR($M2046="",$T2046=""),"",$T2046+(Z$2*$M2046))</f>
        <v/>
      </c>
      <c r="AA2046" s="51">
        <f>IF(OR($M2046="",$T2046=""),"",$T2046+(AA$2*$M2046))</f>
        <v/>
      </c>
      <c r="AB2046" s="48">
        <f>IF(OR($M2046="",$T2046=""),"",$T2046+(AB$2*$M2046))</f>
        <v/>
      </c>
      <c r="AC2046" s="48">
        <f>IF(OR($M2046="",$T2046=""),"",$T2046+(AC$2*$M2046))</f>
        <v/>
      </c>
      <c r="AD2046" s="48">
        <f>IF(OR($M2046="",$T2046=""),"",$T2046+(AD$2*$M2046))</f>
        <v/>
      </c>
      <c r="AE2046" s="49">
        <f>IF(OR($M2046="",$T2046=""),"",$T2046+(AE$2*$M2046))</f>
        <v/>
      </c>
      <c r="AF2046" s="52">
        <f>IF(OR(T2046="",I2046&lt;T2046),"",IFERROR(AVERAGE(T2046+M2046*{7,8,9,10,11})/IF(G2046="",I2046,G2046)-1,""))</f>
        <v/>
      </c>
      <c r="AG2046" s="55">
        <f>IF(OR(T2046="",I2046&lt;T2046),"",IFERROR(AF2046/-(R2046/IF(G2046="",I2046,G2046)-1),""))</f>
        <v/>
      </c>
      <c r="AH2046" s="94" t="n"/>
      <c r="AI2046" s="94" t="n"/>
      <c r="AJ2046" s="94" t="n"/>
      <c r="AK2046" s="94" t="n"/>
      <c r="AL2046" s="84" t="n"/>
    </row>
    <row r="2047">
      <c r="A2047" s="64" t="n"/>
      <c r="B2047" s="65" t="n"/>
      <c r="C2047" s="66" t="n"/>
      <c r="D2047" s="67" t="n"/>
      <c r="E2047" s="68" t="n"/>
      <c r="F2047" s="47">
        <f>IF(A2047="","",IF(MIN(H2047,MAX(J2047:K2047))=0,"",MIN(H2047,MAX(J2047:K2047))))</f>
        <v/>
      </c>
      <c r="G2047" s="74" t="n"/>
      <c r="H2047" s="49">
        <f>IF(M2047="","",IFERROR(ROUND(AVERAGE(T2047+M2047*{7,8,9,10,11})/1.21,4),""))</f>
        <v/>
      </c>
      <c r="I2047" s="76" t="n"/>
      <c r="J2047" s="77" t="n"/>
      <c r="K2047" s="74" t="n"/>
      <c r="L2047" s="78" t="n"/>
      <c r="M2047" s="77" t="n"/>
      <c r="N2047" s="53">
        <f>IF(M2047="","",IFERROR(M2047/I2047,""))</f>
        <v/>
      </c>
      <c r="O2047" s="50">
        <f>IF(A2047="","",IFERROR((IF(G2047="",I2047,G2047)-T2047)/M2047,""))</f>
        <v/>
      </c>
      <c r="P2047" s="50">
        <f>IFERROR((I2047/T2047-1)/N2047,"")</f>
        <v/>
      </c>
      <c r="Q2047" s="46">
        <f>IF(OR(T2047="",I2047&lt;T2047),"",IFERROR(R2047/IF(G2047="",I2047,G2047)-1,""))</f>
        <v/>
      </c>
      <c r="R2047" s="48">
        <f>IF($M2047="","",MAX(IF($G2047="",$I2047,$G2047)*(1/1.1),IF($G2047="",$I2047,$G2047)+(R$2*$M2047)))</f>
        <v/>
      </c>
      <c r="S2047" s="49">
        <f>IF($M2047="","",MAX(IF($G2047="",$I2047,$G2047)*(1/1.1),IF($G2047="",$I2047,$G2047)+(S$2*$M2047)))</f>
        <v/>
      </c>
      <c r="T2047" s="82" t="n"/>
      <c r="U2047" s="47">
        <f>IF(OR($M2047="",$T2047=""),"",$T2047+(U$2*$M2047))</f>
        <v/>
      </c>
      <c r="V2047" s="48">
        <f>IF(OR($M2047="",$T2047=""),"",$T2047+(V$2*$M2047))</f>
        <v/>
      </c>
      <c r="W2047" s="48">
        <f>IF(OR($M2047="",$T2047=""),"",$T2047+(W$2*$M2047))</f>
        <v/>
      </c>
      <c r="X2047" s="49">
        <f>IF(OR($M2047="",$T2047=""),"",$T2047+(X$2*$M2047))</f>
        <v/>
      </c>
      <c r="Y2047" s="47">
        <f>IF(OR($M2047="",$T2047=""),"",$T2047+(Y$2*$M2047))</f>
        <v/>
      </c>
      <c r="Z2047" s="49">
        <f>IF(OR($M2047="",$T2047=""),"",$T2047+(Z$2*$M2047))</f>
        <v/>
      </c>
      <c r="AA2047" s="51">
        <f>IF(OR($M2047="",$T2047=""),"",$T2047+(AA$2*$M2047))</f>
        <v/>
      </c>
      <c r="AB2047" s="48">
        <f>IF(OR($M2047="",$T2047=""),"",$T2047+(AB$2*$M2047))</f>
        <v/>
      </c>
      <c r="AC2047" s="48">
        <f>IF(OR($M2047="",$T2047=""),"",$T2047+(AC$2*$M2047))</f>
        <v/>
      </c>
      <c r="AD2047" s="48">
        <f>IF(OR($M2047="",$T2047=""),"",$T2047+(AD$2*$M2047))</f>
        <v/>
      </c>
      <c r="AE2047" s="49">
        <f>IF(OR($M2047="",$T2047=""),"",$T2047+(AE$2*$M2047))</f>
        <v/>
      </c>
      <c r="AF2047" s="52">
        <f>IF(OR(T2047="",I2047&lt;T2047),"",IFERROR(AVERAGE(T2047+M2047*{7,8,9,10,11})/IF(G2047="",I2047,G2047)-1,""))</f>
        <v/>
      </c>
      <c r="AG2047" s="55">
        <f>IF(OR(T2047="",I2047&lt;T2047),"",IFERROR(AF2047/-(R2047/IF(G2047="",I2047,G2047)-1),""))</f>
        <v/>
      </c>
      <c r="AH2047" s="94" t="n"/>
      <c r="AI2047" s="94" t="n"/>
      <c r="AJ2047" s="94" t="n"/>
      <c r="AK2047" s="94" t="n"/>
      <c r="AL2047" s="84" t="n"/>
    </row>
    <row r="2048">
      <c r="A2048" s="64" t="n"/>
      <c r="B2048" s="65" t="n"/>
      <c r="C2048" s="66" t="n"/>
      <c r="D2048" s="67" t="n"/>
      <c r="E2048" s="68" t="n"/>
      <c r="F2048" s="47">
        <f>IF(A2048="","",IF(MIN(H2048,MAX(J2048:K2048))=0,"",MIN(H2048,MAX(J2048:K2048))))</f>
        <v/>
      </c>
      <c r="G2048" s="74" t="n"/>
      <c r="H2048" s="49">
        <f>IF(M2048="","",IFERROR(ROUND(AVERAGE(T2048+M2048*{7,8,9,10,11})/1.21,4),""))</f>
        <v/>
      </c>
      <c r="I2048" s="76" t="n"/>
      <c r="J2048" s="77" t="n"/>
      <c r="K2048" s="74" t="n"/>
      <c r="L2048" s="78" t="n"/>
      <c r="M2048" s="77" t="n"/>
      <c r="N2048" s="53">
        <f>IF(M2048="","",IFERROR(M2048/I2048,""))</f>
        <v/>
      </c>
      <c r="O2048" s="50">
        <f>IF(A2048="","",IFERROR((IF(G2048="",I2048,G2048)-T2048)/M2048,""))</f>
        <v/>
      </c>
      <c r="P2048" s="50">
        <f>IFERROR((I2048/T2048-1)/N2048,"")</f>
        <v/>
      </c>
      <c r="Q2048" s="46">
        <f>IF(OR(T2048="",I2048&lt;T2048),"",IFERROR(R2048/IF(G2048="",I2048,G2048)-1,""))</f>
        <v/>
      </c>
      <c r="R2048" s="48">
        <f>IF($M2048="","",MAX(IF($G2048="",$I2048,$G2048)*(1/1.1),IF($G2048="",$I2048,$G2048)+(R$2*$M2048)))</f>
        <v/>
      </c>
      <c r="S2048" s="49">
        <f>IF($M2048="","",MAX(IF($G2048="",$I2048,$G2048)*(1/1.1),IF($G2048="",$I2048,$G2048)+(S$2*$M2048)))</f>
        <v/>
      </c>
      <c r="T2048" s="82" t="n"/>
      <c r="U2048" s="47">
        <f>IF(OR($M2048="",$T2048=""),"",$T2048+(U$2*$M2048))</f>
        <v/>
      </c>
      <c r="V2048" s="48">
        <f>IF(OR($M2048="",$T2048=""),"",$T2048+(V$2*$M2048))</f>
        <v/>
      </c>
      <c r="W2048" s="48">
        <f>IF(OR($M2048="",$T2048=""),"",$T2048+(W$2*$M2048))</f>
        <v/>
      </c>
      <c r="X2048" s="49">
        <f>IF(OR($M2048="",$T2048=""),"",$T2048+(X$2*$M2048))</f>
        <v/>
      </c>
      <c r="Y2048" s="47">
        <f>IF(OR($M2048="",$T2048=""),"",$T2048+(Y$2*$M2048))</f>
        <v/>
      </c>
      <c r="Z2048" s="49">
        <f>IF(OR($M2048="",$T2048=""),"",$T2048+(Z$2*$M2048))</f>
        <v/>
      </c>
      <c r="AA2048" s="51">
        <f>IF(OR($M2048="",$T2048=""),"",$T2048+(AA$2*$M2048))</f>
        <v/>
      </c>
      <c r="AB2048" s="48">
        <f>IF(OR($M2048="",$T2048=""),"",$T2048+(AB$2*$M2048))</f>
        <v/>
      </c>
      <c r="AC2048" s="48">
        <f>IF(OR($M2048="",$T2048=""),"",$T2048+(AC$2*$M2048))</f>
        <v/>
      </c>
      <c r="AD2048" s="48">
        <f>IF(OR($M2048="",$T2048=""),"",$T2048+(AD$2*$M2048))</f>
        <v/>
      </c>
      <c r="AE2048" s="49">
        <f>IF(OR($M2048="",$T2048=""),"",$T2048+(AE$2*$M2048))</f>
        <v/>
      </c>
      <c r="AF2048" s="52">
        <f>IF(OR(T2048="",I2048&lt;T2048),"",IFERROR(AVERAGE(T2048+M2048*{7,8,9,10,11})/IF(G2048="",I2048,G2048)-1,""))</f>
        <v/>
      </c>
      <c r="AG2048" s="55">
        <f>IF(OR(T2048="",I2048&lt;T2048),"",IFERROR(AF2048/-(R2048/IF(G2048="",I2048,G2048)-1),""))</f>
        <v/>
      </c>
      <c r="AH2048" s="94" t="n"/>
      <c r="AI2048" s="94" t="n"/>
      <c r="AJ2048" s="94" t="n"/>
      <c r="AK2048" s="94" t="n"/>
      <c r="AL2048" s="84" t="n"/>
    </row>
    <row r="2049">
      <c r="A2049" s="64" t="n"/>
      <c r="B2049" s="65" t="n"/>
      <c r="C2049" s="66" t="n"/>
      <c r="D2049" s="67" t="n"/>
      <c r="E2049" s="68" t="n"/>
      <c r="F2049" s="47">
        <f>IF(A2049="","",IF(MIN(H2049,MAX(J2049:K2049))=0,"",MIN(H2049,MAX(J2049:K2049))))</f>
        <v/>
      </c>
      <c r="G2049" s="74" t="n"/>
      <c r="H2049" s="49">
        <f>IF(M2049="","",IFERROR(ROUND(AVERAGE(T2049+M2049*{7,8,9,10,11})/1.21,4),""))</f>
        <v/>
      </c>
      <c r="I2049" s="76" t="n"/>
      <c r="J2049" s="77" t="n"/>
      <c r="K2049" s="74" t="n"/>
      <c r="L2049" s="78" t="n"/>
      <c r="M2049" s="77" t="n"/>
      <c r="N2049" s="53">
        <f>IF(M2049="","",IFERROR(M2049/I2049,""))</f>
        <v/>
      </c>
      <c r="O2049" s="50">
        <f>IF(A2049="","",IFERROR((IF(G2049="",I2049,G2049)-T2049)/M2049,""))</f>
        <v/>
      </c>
      <c r="P2049" s="50">
        <f>IFERROR((I2049/T2049-1)/N2049,"")</f>
        <v/>
      </c>
      <c r="Q2049" s="46">
        <f>IF(OR(T2049="",I2049&lt;T2049),"",IFERROR(R2049/IF(G2049="",I2049,G2049)-1,""))</f>
        <v/>
      </c>
      <c r="R2049" s="48">
        <f>IF($M2049="","",MAX(IF($G2049="",$I2049,$G2049)*(1/1.1),IF($G2049="",$I2049,$G2049)+(R$2*$M2049)))</f>
        <v/>
      </c>
      <c r="S2049" s="49">
        <f>IF($M2049="","",MAX(IF($G2049="",$I2049,$G2049)*(1/1.1),IF($G2049="",$I2049,$G2049)+(S$2*$M2049)))</f>
        <v/>
      </c>
      <c r="T2049" s="82" t="n"/>
      <c r="U2049" s="47">
        <f>IF(OR($M2049="",$T2049=""),"",$T2049+(U$2*$M2049))</f>
        <v/>
      </c>
      <c r="V2049" s="48">
        <f>IF(OR($M2049="",$T2049=""),"",$T2049+(V$2*$M2049))</f>
        <v/>
      </c>
      <c r="W2049" s="48">
        <f>IF(OR($M2049="",$T2049=""),"",$T2049+(W$2*$M2049))</f>
        <v/>
      </c>
      <c r="X2049" s="49">
        <f>IF(OR($M2049="",$T2049=""),"",$T2049+(X$2*$M2049))</f>
        <v/>
      </c>
      <c r="Y2049" s="47">
        <f>IF(OR($M2049="",$T2049=""),"",$T2049+(Y$2*$M2049))</f>
        <v/>
      </c>
      <c r="Z2049" s="49">
        <f>IF(OR($M2049="",$T2049=""),"",$T2049+(Z$2*$M2049))</f>
        <v/>
      </c>
      <c r="AA2049" s="51">
        <f>IF(OR($M2049="",$T2049=""),"",$T2049+(AA$2*$M2049))</f>
        <v/>
      </c>
      <c r="AB2049" s="48">
        <f>IF(OR($M2049="",$T2049=""),"",$T2049+(AB$2*$M2049))</f>
        <v/>
      </c>
      <c r="AC2049" s="48">
        <f>IF(OR($M2049="",$T2049=""),"",$T2049+(AC$2*$M2049))</f>
        <v/>
      </c>
      <c r="AD2049" s="48">
        <f>IF(OR($M2049="",$T2049=""),"",$T2049+(AD$2*$M2049))</f>
        <v/>
      </c>
      <c r="AE2049" s="49">
        <f>IF(OR($M2049="",$T2049=""),"",$T2049+(AE$2*$M2049))</f>
        <v/>
      </c>
      <c r="AF2049" s="52">
        <f>IF(OR(T2049="",I2049&lt;T2049),"",IFERROR(AVERAGE(T2049+M2049*{7,8,9,10,11})/IF(G2049="",I2049,G2049)-1,""))</f>
        <v/>
      </c>
      <c r="AG2049" s="55">
        <f>IF(OR(T2049="",I2049&lt;T2049),"",IFERROR(AF2049/-(R2049/IF(G2049="",I2049,G2049)-1),""))</f>
        <v/>
      </c>
      <c r="AH2049" s="94" t="n"/>
      <c r="AI2049" s="94" t="n"/>
      <c r="AJ2049" s="94" t="n"/>
      <c r="AK2049" s="94" t="n"/>
      <c r="AL2049" s="84" t="n"/>
    </row>
    <row r="2050">
      <c r="A2050" s="64" t="n"/>
      <c r="B2050" s="65" t="n"/>
      <c r="C2050" s="66" t="n"/>
      <c r="D2050" s="67" t="n"/>
      <c r="E2050" s="68" t="n"/>
      <c r="F2050" s="47">
        <f>IF(A2050="","",IF(MIN(H2050,MAX(J2050:K2050))=0,"",MIN(H2050,MAX(J2050:K2050))))</f>
        <v/>
      </c>
      <c r="G2050" s="74" t="n"/>
      <c r="H2050" s="49">
        <f>IF(M2050="","",IFERROR(ROUND(AVERAGE(T2050+M2050*{7,8,9,10,11})/1.21,4),""))</f>
        <v/>
      </c>
      <c r="I2050" s="76" t="n"/>
      <c r="J2050" s="77" t="n"/>
      <c r="K2050" s="74" t="n"/>
      <c r="L2050" s="78" t="n"/>
      <c r="M2050" s="77" t="n"/>
      <c r="N2050" s="53">
        <f>IF(M2050="","",IFERROR(M2050/I2050,""))</f>
        <v/>
      </c>
      <c r="O2050" s="50">
        <f>IF(A2050="","",IFERROR((IF(G2050="",I2050,G2050)-T2050)/M2050,""))</f>
        <v/>
      </c>
      <c r="P2050" s="50">
        <f>IFERROR((I2050/T2050-1)/N2050,"")</f>
        <v/>
      </c>
      <c r="Q2050" s="46">
        <f>IF(OR(T2050="",I2050&lt;T2050),"",IFERROR(R2050/IF(G2050="",I2050,G2050)-1,""))</f>
        <v/>
      </c>
      <c r="R2050" s="48">
        <f>IF($M2050="","",MAX(IF($G2050="",$I2050,$G2050)*(1/1.1),IF($G2050="",$I2050,$G2050)+(R$2*$M2050)))</f>
        <v/>
      </c>
      <c r="S2050" s="49">
        <f>IF($M2050="","",MAX(IF($G2050="",$I2050,$G2050)*(1/1.1),IF($G2050="",$I2050,$G2050)+(S$2*$M2050)))</f>
        <v/>
      </c>
      <c r="T2050" s="82" t="n"/>
      <c r="U2050" s="47">
        <f>IF(OR($M2050="",$T2050=""),"",$T2050+(U$2*$M2050))</f>
        <v/>
      </c>
      <c r="V2050" s="48">
        <f>IF(OR($M2050="",$T2050=""),"",$T2050+(V$2*$M2050))</f>
        <v/>
      </c>
      <c r="W2050" s="48">
        <f>IF(OR($M2050="",$T2050=""),"",$T2050+(W$2*$M2050))</f>
        <v/>
      </c>
      <c r="X2050" s="49">
        <f>IF(OR($M2050="",$T2050=""),"",$T2050+(X$2*$M2050))</f>
        <v/>
      </c>
      <c r="Y2050" s="47">
        <f>IF(OR($M2050="",$T2050=""),"",$T2050+(Y$2*$M2050))</f>
        <v/>
      </c>
      <c r="Z2050" s="49">
        <f>IF(OR($M2050="",$T2050=""),"",$T2050+(Z$2*$M2050))</f>
        <v/>
      </c>
      <c r="AA2050" s="51">
        <f>IF(OR($M2050="",$T2050=""),"",$T2050+(AA$2*$M2050))</f>
        <v/>
      </c>
      <c r="AB2050" s="48">
        <f>IF(OR($M2050="",$T2050=""),"",$T2050+(AB$2*$M2050))</f>
        <v/>
      </c>
      <c r="AC2050" s="48">
        <f>IF(OR($M2050="",$T2050=""),"",$T2050+(AC$2*$M2050))</f>
        <v/>
      </c>
      <c r="AD2050" s="48">
        <f>IF(OR($M2050="",$T2050=""),"",$T2050+(AD$2*$M2050))</f>
        <v/>
      </c>
      <c r="AE2050" s="49">
        <f>IF(OR($M2050="",$T2050=""),"",$T2050+(AE$2*$M2050))</f>
        <v/>
      </c>
      <c r="AF2050" s="52">
        <f>IF(OR(T2050="",I2050&lt;T2050),"",IFERROR(AVERAGE(T2050+M2050*{7,8,9,10,11})/IF(G2050="",I2050,G2050)-1,""))</f>
        <v/>
      </c>
      <c r="AG2050" s="55">
        <f>IF(OR(T2050="",I2050&lt;T2050),"",IFERROR(AF2050/-(R2050/IF(G2050="",I2050,G2050)-1),""))</f>
        <v/>
      </c>
      <c r="AH2050" s="94" t="n"/>
      <c r="AI2050" s="94" t="n"/>
      <c r="AJ2050" s="94" t="n"/>
      <c r="AK2050" s="94" t="n"/>
      <c r="AL2050" s="84" t="n"/>
    </row>
    <row r="2051">
      <c r="A2051" s="64" t="n"/>
      <c r="B2051" s="65" t="n"/>
      <c r="C2051" s="66" t="n"/>
      <c r="D2051" s="67" t="n"/>
      <c r="E2051" s="68" t="n"/>
      <c r="F2051" s="47">
        <f>IF(A2051="","",IF(MIN(H2051,MAX(J2051:K2051))=0,"",MIN(H2051,MAX(J2051:K2051))))</f>
        <v/>
      </c>
      <c r="G2051" s="74" t="n"/>
      <c r="H2051" s="49">
        <f>IF(M2051="","",IFERROR(ROUND(AVERAGE(T2051+M2051*{7,8,9,10,11})/1.21,4),""))</f>
        <v/>
      </c>
      <c r="I2051" s="76" t="n"/>
      <c r="J2051" s="77" t="n"/>
      <c r="K2051" s="74" t="n"/>
      <c r="L2051" s="78" t="n"/>
      <c r="M2051" s="77" t="n"/>
      <c r="N2051" s="53">
        <f>IF(M2051="","",IFERROR(M2051/I2051,""))</f>
        <v/>
      </c>
      <c r="O2051" s="50">
        <f>IF(A2051="","",IFERROR((IF(G2051="",I2051,G2051)-T2051)/M2051,""))</f>
        <v/>
      </c>
      <c r="P2051" s="50">
        <f>IFERROR((I2051/T2051-1)/N2051,"")</f>
        <v/>
      </c>
      <c r="Q2051" s="46">
        <f>IF(OR(T2051="",I2051&lt;T2051),"",IFERROR(R2051/IF(G2051="",I2051,G2051)-1,""))</f>
        <v/>
      </c>
      <c r="R2051" s="48">
        <f>IF($M2051="","",MAX(IF($G2051="",$I2051,$G2051)*(1/1.1),IF($G2051="",$I2051,$G2051)+(R$2*$M2051)))</f>
        <v/>
      </c>
      <c r="S2051" s="49">
        <f>IF($M2051="","",MAX(IF($G2051="",$I2051,$G2051)*(1/1.1),IF($G2051="",$I2051,$G2051)+(S$2*$M2051)))</f>
        <v/>
      </c>
      <c r="T2051" s="82" t="n"/>
      <c r="U2051" s="47">
        <f>IF(OR($M2051="",$T2051=""),"",$T2051+(U$2*$M2051))</f>
        <v/>
      </c>
      <c r="V2051" s="48">
        <f>IF(OR($M2051="",$T2051=""),"",$T2051+(V$2*$M2051))</f>
        <v/>
      </c>
      <c r="W2051" s="48">
        <f>IF(OR($M2051="",$T2051=""),"",$T2051+(W$2*$M2051))</f>
        <v/>
      </c>
      <c r="X2051" s="49">
        <f>IF(OR($M2051="",$T2051=""),"",$T2051+(X$2*$M2051))</f>
        <v/>
      </c>
      <c r="Y2051" s="47">
        <f>IF(OR($M2051="",$T2051=""),"",$T2051+(Y$2*$M2051))</f>
        <v/>
      </c>
      <c r="Z2051" s="49">
        <f>IF(OR($M2051="",$T2051=""),"",$T2051+(Z$2*$M2051))</f>
        <v/>
      </c>
      <c r="AA2051" s="51">
        <f>IF(OR($M2051="",$T2051=""),"",$T2051+(AA$2*$M2051))</f>
        <v/>
      </c>
      <c r="AB2051" s="48">
        <f>IF(OR($M2051="",$T2051=""),"",$T2051+(AB$2*$M2051))</f>
        <v/>
      </c>
      <c r="AC2051" s="48">
        <f>IF(OR($M2051="",$T2051=""),"",$T2051+(AC$2*$M2051))</f>
        <v/>
      </c>
      <c r="AD2051" s="48">
        <f>IF(OR($M2051="",$T2051=""),"",$T2051+(AD$2*$M2051))</f>
        <v/>
      </c>
      <c r="AE2051" s="49">
        <f>IF(OR($M2051="",$T2051=""),"",$T2051+(AE$2*$M2051))</f>
        <v/>
      </c>
      <c r="AF2051" s="52">
        <f>IF(OR(T2051="",I2051&lt;T2051),"",IFERROR(AVERAGE(T2051+M2051*{7,8,9,10,11})/IF(G2051="",I2051,G2051)-1,""))</f>
        <v/>
      </c>
      <c r="AG2051" s="55">
        <f>IF(OR(T2051="",I2051&lt;T2051),"",IFERROR(AF2051/-(R2051/IF(G2051="",I2051,G2051)-1),""))</f>
        <v/>
      </c>
      <c r="AH2051" s="94" t="n"/>
      <c r="AI2051" s="94" t="n"/>
      <c r="AJ2051" s="94" t="n"/>
      <c r="AK2051" s="94" t="n"/>
      <c r="AL2051" s="84" t="n"/>
    </row>
    <row r="2052">
      <c r="A2052" s="64" t="n"/>
      <c r="B2052" s="65" t="n"/>
      <c r="C2052" s="66" t="n"/>
      <c r="D2052" s="67" t="n"/>
      <c r="E2052" s="68" t="n"/>
      <c r="F2052" s="47">
        <f>IF(A2052="","",IF(MIN(H2052,MAX(J2052:K2052))=0,"",MIN(H2052,MAX(J2052:K2052))))</f>
        <v/>
      </c>
      <c r="G2052" s="74" t="n"/>
      <c r="H2052" s="49">
        <f>IF(M2052="","",IFERROR(ROUND(AVERAGE(T2052+M2052*{7,8,9,10,11})/1.21,4),""))</f>
        <v/>
      </c>
      <c r="I2052" s="76" t="n"/>
      <c r="J2052" s="77" t="n"/>
      <c r="K2052" s="74" t="n"/>
      <c r="L2052" s="78" t="n"/>
      <c r="M2052" s="77" t="n"/>
      <c r="N2052" s="53">
        <f>IF(M2052="","",IFERROR(M2052/I2052,""))</f>
        <v/>
      </c>
      <c r="O2052" s="50">
        <f>IF(A2052="","",IFERROR((IF(G2052="",I2052,G2052)-T2052)/M2052,""))</f>
        <v/>
      </c>
      <c r="P2052" s="50">
        <f>IFERROR((I2052/T2052-1)/N2052,"")</f>
        <v/>
      </c>
      <c r="Q2052" s="46">
        <f>IF(OR(T2052="",I2052&lt;T2052),"",IFERROR(R2052/IF(G2052="",I2052,G2052)-1,""))</f>
        <v/>
      </c>
      <c r="R2052" s="48">
        <f>IF($M2052="","",MAX(IF($G2052="",$I2052,$G2052)*(1/1.1),IF($G2052="",$I2052,$G2052)+(R$2*$M2052)))</f>
        <v/>
      </c>
      <c r="S2052" s="49">
        <f>IF($M2052="","",MAX(IF($G2052="",$I2052,$G2052)*(1/1.1),IF($G2052="",$I2052,$G2052)+(S$2*$M2052)))</f>
        <v/>
      </c>
      <c r="T2052" s="82" t="n"/>
      <c r="U2052" s="47">
        <f>IF(OR($M2052="",$T2052=""),"",$T2052+(U$2*$M2052))</f>
        <v/>
      </c>
      <c r="V2052" s="48">
        <f>IF(OR($M2052="",$T2052=""),"",$T2052+(V$2*$M2052))</f>
        <v/>
      </c>
      <c r="W2052" s="48">
        <f>IF(OR($M2052="",$T2052=""),"",$T2052+(W$2*$M2052))</f>
        <v/>
      </c>
      <c r="X2052" s="49">
        <f>IF(OR($M2052="",$T2052=""),"",$T2052+(X$2*$M2052))</f>
        <v/>
      </c>
      <c r="Y2052" s="47">
        <f>IF(OR($M2052="",$T2052=""),"",$T2052+(Y$2*$M2052))</f>
        <v/>
      </c>
      <c r="Z2052" s="49">
        <f>IF(OR($M2052="",$T2052=""),"",$T2052+(Z$2*$M2052))</f>
        <v/>
      </c>
      <c r="AA2052" s="51">
        <f>IF(OR($M2052="",$T2052=""),"",$T2052+(AA$2*$M2052))</f>
        <v/>
      </c>
      <c r="AB2052" s="48">
        <f>IF(OR($M2052="",$T2052=""),"",$T2052+(AB$2*$M2052))</f>
        <v/>
      </c>
      <c r="AC2052" s="48">
        <f>IF(OR($M2052="",$T2052=""),"",$T2052+(AC$2*$M2052))</f>
        <v/>
      </c>
      <c r="AD2052" s="48">
        <f>IF(OR($M2052="",$T2052=""),"",$T2052+(AD$2*$M2052))</f>
        <v/>
      </c>
      <c r="AE2052" s="49">
        <f>IF(OR($M2052="",$T2052=""),"",$T2052+(AE$2*$M2052))</f>
        <v/>
      </c>
      <c r="AF2052" s="52">
        <f>IF(OR(T2052="",I2052&lt;T2052),"",IFERROR(AVERAGE(T2052+M2052*{7,8,9,10,11})/IF(G2052="",I2052,G2052)-1,""))</f>
        <v/>
      </c>
      <c r="AG2052" s="55">
        <f>IF(OR(T2052="",I2052&lt;T2052),"",IFERROR(AF2052/-(R2052/IF(G2052="",I2052,G2052)-1),""))</f>
        <v/>
      </c>
      <c r="AH2052" s="94" t="n"/>
      <c r="AI2052" s="94" t="n"/>
      <c r="AJ2052" s="94" t="n"/>
      <c r="AK2052" s="94" t="n"/>
      <c r="AL2052" s="84" t="n"/>
    </row>
    <row r="2053">
      <c r="A2053" s="64" t="n"/>
      <c r="B2053" s="65" t="n"/>
      <c r="C2053" s="66" t="n"/>
      <c r="D2053" s="67" t="n"/>
      <c r="E2053" s="68" t="n"/>
      <c r="F2053" s="47">
        <f>IF(A2053="","",IF(MIN(H2053,MAX(J2053:K2053))=0,"",MIN(H2053,MAX(J2053:K2053))))</f>
        <v/>
      </c>
      <c r="G2053" s="74" t="n"/>
      <c r="H2053" s="49">
        <f>IF(M2053="","",IFERROR(ROUND(AVERAGE(T2053+M2053*{7,8,9,10,11})/1.21,4),""))</f>
        <v/>
      </c>
      <c r="I2053" s="76" t="n"/>
      <c r="J2053" s="77" t="n"/>
      <c r="K2053" s="74" t="n"/>
      <c r="L2053" s="78" t="n"/>
      <c r="M2053" s="77" t="n"/>
      <c r="N2053" s="53">
        <f>IF(M2053="","",IFERROR(M2053/I2053,""))</f>
        <v/>
      </c>
      <c r="O2053" s="50">
        <f>IF(A2053="","",IFERROR((IF(G2053="",I2053,G2053)-T2053)/M2053,""))</f>
        <v/>
      </c>
      <c r="P2053" s="50">
        <f>IFERROR((I2053/T2053-1)/N2053,"")</f>
        <v/>
      </c>
      <c r="Q2053" s="46">
        <f>IF(OR(T2053="",I2053&lt;T2053),"",IFERROR(R2053/IF(G2053="",I2053,G2053)-1,""))</f>
        <v/>
      </c>
      <c r="R2053" s="48">
        <f>IF($M2053="","",MAX(IF($G2053="",$I2053,$G2053)*(1/1.1),IF($G2053="",$I2053,$G2053)+(R$2*$M2053)))</f>
        <v/>
      </c>
      <c r="S2053" s="49">
        <f>IF($M2053="","",MAX(IF($G2053="",$I2053,$G2053)*(1/1.1),IF($G2053="",$I2053,$G2053)+(S$2*$M2053)))</f>
        <v/>
      </c>
      <c r="T2053" s="82" t="n"/>
      <c r="U2053" s="47">
        <f>IF(OR($M2053="",$T2053=""),"",$T2053+(U$2*$M2053))</f>
        <v/>
      </c>
      <c r="V2053" s="48">
        <f>IF(OR($M2053="",$T2053=""),"",$T2053+(V$2*$M2053))</f>
        <v/>
      </c>
      <c r="W2053" s="48">
        <f>IF(OR($M2053="",$T2053=""),"",$T2053+(W$2*$M2053))</f>
        <v/>
      </c>
      <c r="X2053" s="49">
        <f>IF(OR($M2053="",$T2053=""),"",$T2053+(X$2*$M2053))</f>
        <v/>
      </c>
      <c r="Y2053" s="47">
        <f>IF(OR($M2053="",$T2053=""),"",$T2053+(Y$2*$M2053))</f>
        <v/>
      </c>
      <c r="Z2053" s="49">
        <f>IF(OR($M2053="",$T2053=""),"",$T2053+(Z$2*$M2053))</f>
        <v/>
      </c>
      <c r="AA2053" s="51">
        <f>IF(OR($M2053="",$T2053=""),"",$T2053+(AA$2*$M2053))</f>
        <v/>
      </c>
      <c r="AB2053" s="48">
        <f>IF(OR($M2053="",$T2053=""),"",$T2053+(AB$2*$M2053))</f>
        <v/>
      </c>
      <c r="AC2053" s="48">
        <f>IF(OR($M2053="",$T2053=""),"",$T2053+(AC$2*$M2053))</f>
        <v/>
      </c>
      <c r="AD2053" s="48">
        <f>IF(OR($M2053="",$T2053=""),"",$T2053+(AD$2*$M2053))</f>
        <v/>
      </c>
      <c r="AE2053" s="49">
        <f>IF(OR($M2053="",$T2053=""),"",$T2053+(AE$2*$M2053))</f>
        <v/>
      </c>
      <c r="AF2053" s="52">
        <f>IF(OR(T2053="",I2053&lt;T2053),"",IFERROR(AVERAGE(T2053+M2053*{7,8,9,10,11})/IF(G2053="",I2053,G2053)-1,""))</f>
        <v/>
      </c>
      <c r="AG2053" s="55">
        <f>IF(OR(T2053="",I2053&lt;T2053),"",IFERROR(AF2053/-(R2053/IF(G2053="",I2053,G2053)-1),""))</f>
        <v/>
      </c>
      <c r="AH2053" s="94" t="n"/>
      <c r="AI2053" s="94" t="n"/>
      <c r="AJ2053" s="94" t="n"/>
      <c r="AK2053" s="94" t="n"/>
      <c r="AL2053" s="84" t="n"/>
    </row>
    <row r="2054">
      <c r="A2054" s="64" t="n"/>
      <c r="B2054" s="65" t="n"/>
      <c r="C2054" s="66" t="n"/>
      <c r="D2054" s="67" t="n"/>
      <c r="E2054" s="68" t="n"/>
      <c r="F2054" s="47">
        <f>IF(A2054="","",IF(MIN(H2054,MAX(J2054:K2054))=0,"",MIN(H2054,MAX(J2054:K2054))))</f>
        <v/>
      </c>
      <c r="G2054" s="74" t="n"/>
      <c r="H2054" s="49">
        <f>IF(M2054="","",IFERROR(ROUND(AVERAGE(T2054+M2054*{7,8,9,10,11})/1.21,4),""))</f>
        <v/>
      </c>
      <c r="I2054" s="76" t="n"/>
      <c r="J2054" s="77" t="n"/>
      <c r="K2054" s="74" t="n"/>
      <c r="L2054" s="78" t="n"/>
      <c r="M2054" s="77" t="n"/>
      <c r="N2054" s="53">
        <f>IF(M2054="","",IFERROR(M2054/I2054,""))</f>
        <v/>
      </c>
      <c r="O2054" s="50">
        <f>IF(A2054="","",IFERROR((IF(G2054="",I2054,G2054)-T2054)/M2054,""))</f>
        <v/>
      </c>
      <c r="P2054" s="50">
        <f>IFERROR((I2054/T2054-1)/N2054,"")</f>
        <v/>
      </c>
      <c r="Q2054" s="46">
        <f>IF(OR(T2054="",I2054&lt;T2054),"",IFERROR(R2054/IF(G2054="",I2054,G2054)-1,""))</f>
        <v/>
      </c>
      <c r="R2054" s="48">
        <f>IF($M2054="","",MAX(IF($G2054="",$I2054,$G2054)*(1/1.1),IF($G2054="",$I2054,$G2054)+(R$2*$M2054)))</f>
        <v/>
      </c>
      <c r="S2054" s="49">
        <f>IF($M2054="","",MAX(IF($G2054="",$I2054,$G2054)*(1/1.1),IF($G2054="",$I2054,$G2054)+(S$2*$M2054)))</f>
        <v/>
      </c>
      <c r="T2054" s="82" t="n"/>
      <c r="U2054" s="47">
        <f>IF(OR($M2054="",$T2054=""),"",$T2054+(U$2*$M2054))</f>
        <v/>
      </c>
      <c r="V2054" s="48">
        <f>IF(OR($M2054="",$T2054=""),"",$T2054+(V$2*$M2054))</f>
        <v/>
      </c>
      <c r="W2054" s="48">
        <f>IF(OR($M2054="",$T2054=""),"",$T2054+(W$2*$M2054))</f>
        <v/>
      </c>
      <c r="X2054" s="49">
        <f>IF(OR($M2054="",$T2054=""),"",$T2054+(X$2*$M2054))</f>
        <v/>
      </c>
      <c r="Y2054" s="47">
        <f>IF(OR($M2054="",$T2054=""),"",$T2054+(Y$2*$M2054))</f>
        <v/>
      </c>
      <c r="Z2054" s="49">
        <f>IF(OR($M2054="",$T2054=""),"",$T2054+(Z$2*$M2054))</f>
        <v/>
      </c>
      <c r="AA2054" s="51">
        <f>IF(OR($M2054="",$T2054=""),"",$T2054+(AA$2*$M2054))</f>
        <v/>
      </c>
      <c r="AB2054" s="48">
        <f>IF(OR($M2054="",$T2054=""),"",$T2054+(AB$2*$M2054))</f>
        <v/>
      </c>
      <c r="AC2054" s="48">
        <f>IF(OR($M2054="",$T2054=""),"",$T2054+(AC$2*$M2054))</f>
        <v/>
      </c>
      <c r="AD2054" s="48">
        <f>IF(OR($M2054="",$T2054=""),"",$T2054+(AD$2*$M2054))</f>
        <v/>
      </c>
      <c r="AE2054" s="49">
        <f>IF(OR($M2054="",$T2054=""),"",$T2054+(AE$2*$M2054))</f>
        <v/>
      </c>
      <c r="AF2054" s="52">
        <f>IF(OR(T2054="",I2054&lt;T2054),"",IFERROR(AVERAGE(T2054+M2054*{7,8,9,10,11})/IF(G2054="",I2054,G2054)-1,""))</f>
        <v/>
      </c>
      <c r="AG2054" s="55">
        <f>IF(OR(T2054="",I2054&lt;T2054),"",IFERROR(AF2054/-(R2054/IF(G2054="",I2054,G2054)-1),""))</f>
        <v/>
      </c>
      <c r="AH2054" s="94" t="n"/>
      <c r="AI2054" s="94" t="n"/>
      <c r="AJ2054" s="94" t="n"/>
      <c r="AK2054" s="94" t="n"/>
      <c r="AL2054" s="84" t="n"/>
    </row>
    <row r="2055">
      <c r="A2055" s="64" t="n"/>
      <c r="B2055" s="65" t="n"/>
      <c r="C2055" s="66" t="n"/>
      <c r="D2055" s="67" t="n"/>
      <c r="E2055" s="68" t="n"/>
      <c r="F2055" s="47">
        <f>IF(A2055="","",IF(MIN(H2055,MAX(J2055:K2055))=0,"",MIN(H2055,MAX(J2055:K2055))))</f>
        <v/>
      </c>
      <c r="G2055" s="74" t="n"/>
      <c r="H2055" s="49">
        <f>IF(M2055="","",IFERROR(ROUND(AVERAGE(T2055+M2055*{7,8,9,10,11})/1.21,4),""))</f>
        <v/>
      </c>
      <c r="I2055" s="76" t="n"/>
      <c r="J2055" s="77" t="n"/>
      <c r="K2055" s="74" t="n"/>
      <c r="L2055" s="78" t="n"/>
      <c r="M2055" s="77" t="n"/>
      <c r="N2055" s="53">
        <f>IF(M2055="","",IFERROR(M2055/I2055,""))</f>
        <v/>
      </c>
      <c r="O2055" s="50">
        <f>IF(A2055="","",IFERROR((IF(G2055="",I2055,G2055)-T2055)/M2055,""))</f>
        <v/>
      </c>
      <c r="P2055" s="50">
        <f>IFERROR((I2055/T2055-1)/N2055,"")</f>
        <v/>
      </c>
      <c r="Q2055" s="46">
        <f>IF(OR(T2055="",I2055&lt;T2055),"",IFERROR(R2055/IF(G2055="",I2055,G2055)-1,""))</f>
        <v/>
      </c>
      <c r="R2055" s="48">
        <f>IF($M2055="","",MAX(IF($G2055="",$I2055,$G2055)*(1/1.1),IF($G2055="",$I2055,$G2055)+(R$2*$M2055)))</f>
        <v/>
      </c>
      <c r="S2055" s="49">
        <f>IF($M2055="","",MAX(IF($G2055="",$I2055,$G2055)*(1/1.1),IF($G2055="",$I2055,$G2055)+(S$2*$M2055)))</f>
        <v/>
      </c>
      <c r="T2055" s="82" t="n"/>
      <c r="U2055" s="47">
        <f>IF(OR($M2055="",$T2055=""),"",$T2055+(U$2*$M2055))</f>
        <v/>
      </c>
      <c r="V2055" s="48">
        <f>IF(OR($M2055="",$T2055=""),"",$T2055+(V$2*$M2055))</f>
        <v/>
      </c>
      <c r="W2055" s="48">
        <f>IF(OR($M2055="",$T2055=""),"",$T2055+(W$2*$M2055))</f>
        <v/>
      </c>
      <c r="X2055" s="49">
        <f>IF(OR($M2055="",$T2055=""),"",$T2055+(X$2*$M2055))</f>
        <v/>
      </c>
      <c r="Y2055" s="47">
        <f>IF(OR($M2055="",$T2055=""),"",$T2055+(Y$2*$M2055))</f>
        <v/>
      </c>
      <c r="Z2055" s="49">
        <f>IF(OR($M2055="",$T2055=""),"",$T2055+(Z$2*$M2055))</f>
        <v/>
      </c>
      <c r="AA2055" s="51">
        <f>IF(OR($M2055="",$T2055=""),"",$T2055+(AA$2*$M2055))</f>
        <v/>
      </c>
      <c r="AB2055" s="48">
        <f>IF(OR($M2055="",$T2055=""),"",$T2055+(AB$2*$M2055))</f>
        <v/>
      </c>
      <c r="AC2055" s="48">
        <f>IF(OR($M2055="",$T2055=""),"",$T2055+(AC$2*$M2055))</f>
        <v/>
      </c>
      <c r="AD2055" s="48">
        <f>IF(OR($M2055="",$T2055=""),"",$T2055+(AD$2*$M2055))</f>
        <v/>
      </c>
      <c r="AE2055" s="49">
        <f>IF(OR($M2055="",$T2055=""),"",$T2055+(AE$2*$M2055))</f>
        <v/>
      </c>
      <c r="AF2055" s="52">
        <f>IF(OR(T2055="",I2055&lt;T2055),"",IFERROR(AVERAGE(T2055+M2055*{7,8,9,10,11})/IF(G2055="",I2055,G2055)-1,""))</f>
        <v/>
      </c>
      <c r="AG2055" s="55">
        <f>IF(OR(T2055="",I2055&lt;T2055),"",IFERROR(AF2055/-(R2055/IF(G2055="",I2055,G2055)-1),""))</f>
        <v/>
      </c>
      <c r="AH2055" s="94" t="n"/>
      <c r="AI2055" s="94" t="n"/>
      <c r="AJ2055" s="94" t="n"/>
      <c r="AK2055" s="94" t="n"/>
      <c r="AL2055" s="84" t="n"/>
    </row>
    <row r="2056">
      <c r="A2056" s="64" t="n"/>
      <c r="B2056" s="65" t="n"/>
      <c r="C2056" s="66" t="n"/>
      <c r="D2056" s="67" t="n"/>
      <c r="E2056" s="68" t="n"/>
      <c r="F2056" s="47">
        <f>IF(A2056="","",IF(MIN(H2056,MAX(J2056:K2056))=0,"",MIN(H2056,MAX(J2056:K2056))))</f>
        <v/>
      </c>
      <c r="G2056" s="74" t="n"/>
      <c r="H2056" s="49">
        <f>IF(M2056="","",IFERROR(ROUND(AVERAGE(T2056+M2056*{7,8,9,10,11})/1.21,4),""))</f>
        <v/>
      </c>
      <c r="I2056" s="76" t="n"/>
      <c r="J2056" s="77" t="n"/>
      <c r="K2056" s="74" t="n"/>
      <c r="L2056" s="78" t="n"/>
      <c r="M2056" s="77" t="n"/>
      <c r="N2056" s="53">
        <f>IF(M2056="","",IFERROR(M2056/I2056,""))</f>
        <v/>
      </c>
      <c r="O2056" s="50">
        <f>IF(A2056="","",IFERROR((IF(G2056="",I2056,G2056)-T2056)/M2056,""))</f>
        <v/>
      </c>
      <c r="P2056" s="50">
        <f>IFERROR((I2056/T2056-1)/N2056,"")</f>
        <v/>
      </c>
      <c r="Q2056" s="46">
        <f>IF(OR(T2056="",I2056&lt;T2056),"",IFERROR(R2056/IF(G2056="",I2056,G2056)-1,""))</f>
        <v/>
      </c>
      <c r="R2056" s="48">
        <f>IF($M2056="","",MAX(IF($G2056="",$I2056,$G2056)*(1/1.1),IF($G2056="",$I2056,$G2056)+(R$2*$M2056)))</f>
        <v/>
      </c>
      <c r="S2056" s="49">
        <f>IF($M2056="","",MAX(IF($G2056="",$I2056,$G2056)*(1/1.1),IF($G2056="",$I2056,$G2056)+(S$2*$M2056)))</f>
        <v/>
      </c>
      <c r="T2056" s="82" t="n"/>
      <c r="U2056" s="47">
        <f>IF(OR($M2056="",$T2056=""),"",$T2056+(U$2*$M2056))</f>
        <v/>
      </c>
      <c r="V2056" s="48">
        <f>IF(OR($M2056="",$T2056=""),"",$T2056+(V$2*$M2056))</f>
        <v/>
      </c>
      <c r="W2056" s="48">
        <f>IF(OR($M2056="",$T2056=""),"",$T2056+(W$2*$M2056))</f>
        <v/>
      </c>
      <c r="X2056" s="49">
        <f>IF(OR($M2056="",$T2056=""),"",$T2056+(X$2*$M2056))</f>
        <v/>
      </c>
      <c r="Y2056" s="47">
        <f>IF(OR($M2056="",$T2056=""),"",$T2056+(Y$2*$M2056))</f>
        <v/>
      </c>
      <c r="Z2056" s="49">
        <f>IF(OR($M2056="",$T2056=""),"",$T2056+(Z$2*$M2056))</f>
        <v/>
      </c>
      <c r="AA2056" s="51">
        <f>IF(OR($M2056="",$T2056=""),"",$T2056+(AA$2*$M2056))</f>
        <v/>
      </c>
      <c r="AB2056" s="48">
        <f>IF(OR($M2056="",$T2056=""),"",$T2056+(AB$2*$M2056))</f>
        <v/>
      </c>
      <c r="AC2056" s="48">
        <f>IF(OR($M2056="",$T2056=""),"",$T2056+(AC$2*$M2056))</f>
        <v/>
      </c>
      <c r="AD2056" s="48">
        <f>IF(OR($M2056="",$T2056=""),"",$T2056+(AD$2*$M2056))</f>
        <v/>
      </c>
      <c r="AE2056" s="49">
        <f>IF(OR($M2056="",$T2056=""),"",$T2056+(AE$2*$M2056))</f>
        <v/>
      </c>
      <c r="AF2056" s="52">
        <f>IF(OR(T2056="",I2056&lt;T2056),"",IFERROR(AVERAGE(T2056+M2056*{7,8,9,10,11})/IF(G2056="",I2056,G2056)-1,""))</f>
        <v/>
      </c>
      <c r="AG2056" s="55">
        <f>IF(OR(T2056="",I2056&lt;T2056),"",IFERROR(AF2056/-(R2056/IF(G2056="",I2056,G2056)-1),""))</f>
        <v/>
      </c>
      <c r="AH2056" s="94" t="n"/>
      <c r="AI2056" s="94" t="n"/>
      <c r="AJ2056" s="94" t="n"/>
      <c r="AK2056" s="94" t="n"/>
      <c r="AL2056" s="84" t="n"/>
    </row>
    <row r="2057">
      <c r="A2057" s="64" t="n"/>
      <c r="B2057" s="65" t="n"/>
      <c r="C2057" s="66" t="n"/>
      <c r="D2057" s="67" t="n"/>
      <c r="E2057" s="68" t="n"/>
      <c r="F2057" s="47">
        <f>IF(A2057="","",IF(MIN(H2057,MAX(J2057:K2057))=0,"",MIN(H2057,MAX(J2057:K2057))))</f>
        <v/>
      </c>
      <c r="G2057" s="74" t="n"/>
      <c r="H2057" s="49">
        <f>IF(M2057="","",IFERROR(ROUND(AVERAGE(T2057+M2057*{7,8,9,10,11})/1.21,4),""))</f>
        <v/>
      </c>
      <c r="I2057" s="76" t="n"/>
      <c r="J2057" s="77" t="n"/>
      <c r="K2057" s="74" t="n"/>
      <c r="L2057" s="78" t="n"/>
      <c r="M2057" s="77" t="n"/>
      <c r="N2057" s="53">
        <f>IF(M2057="","",IFERROR(M2057/I2057,""))</f>
        <v/>
      </c>
      <c r="O2057" s="50">
        <f>IF(A2057="","",IFERROR((IF(G2057="",I2057,G2057)-T2057)/M2057,""))</f>
        <v/>
      </c>
      <c r="P2057" s="50">
        <f>IFERROR((I2057/T2057-1)/N2057,"")</f>
        <v/>
      </c>
      <c r="Q2057" s="46">
        <f>IF(OR(T2057="",I2057&lt;T2057),"",IFERROR(R2057/IF(G2057="",I2057,G2057)-1,""))</f>
        <v/>
      </c>
      <c r="R2057" s="48">
        <f>IF($M2057="","",MAX(IF($G2057="",$I2057,$G2057)*(1/1.1),IF($G2057="",$I2057,$G2057)+(R$2*$M2057)))</f>
        <v/>
      </c>
      <c r="S2057" s="49">
        <f>IF($M2057="","",MAX(IF($G2057="",$I2057,$G2057)*(1/1.1),IF($G2057="",$I2057,$G2057)+(S$2*$M2057)))</f>
        <v/>
      </c>
      <c r="T2057" s="82" t="n"/>
      <c r="U2057" s="47">
        <f>IF(OR($M2057="",$T2057=""),"",$T2057+(U$2*$M2057))</f>
        <v/>
      </c>
      <c r="V2057" s="48">
        <f>IF(OR($M2057="",$T2057=""),"",$T2057+(V$2*$M2057))</f>
        <v/>
      </c>
      <c r="W2057" s="48">
        <f>IF(OR($M2057="",$T2057=""),"",$T2057+(W$2*$M2057))</f>
        <v/>
      </c>
      <c r="X2057" s="49">
        <f>IF(OR($M2057="",$T2057=""),"",$T2057+(X$2*$M2057))</f>
        <v/>
      </c>
      <c r="Y2057" s="47">
        <f>IF(OR($M2057="",$T2057=""),"",$T2057+(Y$2*$M2057))</f>
        <v/>
      </c>
      <c r="Z2057" s="49">
        <f>IF(OR($M2057="",$T2057=""),"",$T2057+(Z$2*$M2057))</f>
        <v/>
      </c>
      <c r="AA2057" s="51">
        <f>IF(OR($M2057="",$T2057=""),"",$T2057+(AA$2*$M2057))</f>
        <v/>
      </c>
      <c r="AB2057" s="48">
        <f>IF(OR($M2057="",$T2057=""),"",$T2057+(AB$2*$M2057))</f>
        <v/>
      </c>
      <c r="AC2057" s="48">
        <f>IF(OR($M2057="",$T2057=""),"",$T2057+(AC$2*$M2057))</f>
        <v/>
      </c>
      <c r="AD2057" s="48">
        <f>IF(OR($M2057="",$T2057=""),"",$T2057+(AD$2*$M2057))</f>
        <v/>
      </c>
      <c r="AE2057" s="49">
        <f>IF(OR($M2057="",$T2057=""),"",$T2057+(AE$2*$M2057))</f>
        <v/>
      </c>
      <c r="AF2057" s="52">
        <f>IF(OR(T2057="",I2057&lt;T2057),"",IFERROR(AVERAGE(T2057+M2057*{7,8,9,10,11})/IF(G2057="",I2057,G2057)-1,""))</f>
        <v/>
      </c>
      <c r="AG2057" s="55">
        <f>IF(OR(T2057="",I2057&lt;T2057),"",IFERROR(AF2057/-(R2057/IF(G2057="",I2057,G2057)-1),""))</f>
        <v/>
      </c>
      <c r="AH2057" s="94" t="n"/>
      <c r="AI2057" s="94" t="n"/>
      <c r="AJ2057" s="94" t="n"/>
      <c r="AK2057" s="94" t="n"/>
      <c r="AL2057" s="84" t="n"/>
    </row>
    <row r="2058">
      <c r="A2058" s="64" t="n"/>
      <c r="B2058" s="65" t="n"/>
      <c r="C2058" s="66" t="n"/>
      <c r="D2058" s="67" t="n"/>
      <c r="E2058" s="68" t="n"/>
      <c r="F2058" s="47">
        <f>IF(A2058="","",IF(MIN(H2058,MAX(J2058:K2058))=0,"",MIN(H2058,MAX(J2058:K2058))))</f>
        <v/>
      </c>
      <c r="G2058" s="74" t="n"/>
      <c r="H2058" s="49">
        <f>IF(M2058="","",IFERROR(ROUND(AVERAGE(T2058+M2058*{7,8,9,10,11})/1.21,4),""))</f>
        <v/>
      </c>
      <c r="I2058" s="76" t="n"/>
      <c r="J2058" s="77" t="n"/>
      <c r="K2058" s="74" t="n"/>
      <c r="L2058" s="78" t="n"/>
      <c r="M2058" s="77" t="n"/>
      <c r="N2058" s="53">
        <f>IF(M2058="","",IFERROR(M2058/I2058,""))</f>
        <v/>
      </c>
      <c r="O2058" s="50">
        <f>IF(A2058="","",IFERROR((IF(G2058="",I2058,G2058)-T2058)/M2058,""))</f>
        <v/>
      </c>
      <c r="P2058" s="50">
        <f>IFERROR((I2058/T2058-1)/N2058,"")</f>
        <v/>
      </c>
      <c r="Q2058" s="46">
        <f>IF(OR(T2058="",I2058&lt;T2058),"",IFERROR(R2058/IF(G2058="",I2058,G2058)-1,""))</f>
        <v/>
      </c>
      <c r="R2058" s="48">
        <f>IF($M2058="","",MAX(IF($G2058="",$I2058,$G2058)*(1/1.1),IF($G2058="",$I2058,$G2058)+(R$2*$M2058)))</f>
        <v/>
      </c>
      <c r="S2058" s="49">
        <f>IF($M2058="","",MAX(IF($G2058="",$I2058,$G2058)*(1/1.1),IF($G2058="",$I2058,$G2058)+(S$2*$M2058)))</f>
        <v/>
      </c>
      <c r="T2058" s="82" t="n"/>
      <c r="U2058" s="47">
        <f>IF(OR($M2058="",$T2058=""),"",$T2058+(U$2*$M2058))</f>
        <v/>
      </c>
      <c r="V2058" s="48">
        <f>IF(OR($M2058="",$T2058=""),"",$T2058+(V$2*$M2058))</f>
        <v/>
      </c>
      <c r="W2058" s="48">
        <f>IF(OR($M2058="",$T2058=""),"",$T2058+(W$2*$M2058))</f>
        <v/>
      </c>
      <c r="X2058" s="49">
        <f>IF(OR($M2058="",$T2058=""),"",$T2058+(X$2*$M2058))</f>
        <v/>
      </c>
      <c r="Y2058" s="47">
        <f>IF(OR($M2058="",$T2058=""),"",$T2058+(Y$2*$M2058))</f>
        <v/>
      </c>
      <c r="Z2058" s="49">
        <f>IF(OR($M2058="",$T2058=""),"",$T2058+(Z$2*$M2058))</f>
        <v/>
      </c>
      <c r="AA2058" s="51">
        <f>IF(OR($M2058="",$T2058=""),"",$T2058+(AA$2*$M2058))</f>
        <v/>
      </c>
      <c r="AB2058" s="48">
        <f>IF(OR($M2058="",$T2058=""),"",$T2058+(AB$2*$M2058))</f>
        <v/>
      </c>
      <c r="AC2058" s="48">
        <f>IF(OR($M2058="",$T2058=""),"",$T2058+(AC$2*$M2058))</f>
        <v/>
      </c>
      <c r="AD2058" s="48">
        <f>IF(OR($M2058="",$T2058=""),"",$T2058+(AD$2*$M2058))</f>
        <v/>
      </c>
      <c r="AE2058" s="49">
        <f>IF(OR($M2058="",$T2058=""),"",$T2058+(AE$2*$M2058))</f>
        <v/>
      </c>
      <c r="AF2058" s="52">
        <f>IF(OR(T2058="",I2058&lt;T2058),"",IFERROR(AVERAGE(T2058+M2058*{7,8,9,10,11})/IF(G2058="",I2058,G2058)-1,""))</f>
        <v/>
      </c>
      <c r="AG2058" s="55">
        <f>IF(OR(T2058="",I2058&lt;T2058),"",IFERROR(AF2058/-(R2058/IF(G2058="",I2058,G2058)-1),""))</f>
        <v/>
      </c>
      <c r="AH2058" s="94" t="n"/>
      <c r="AI2058" s="94" t="n"/>
      <c r="AJ2058" s="94" t="n"/>
      <c r="AK2058" s="94" t="n"/>
      <c r="AL2058" s="84" t="n"/>
    </row>
    <row r="2059">
      <c r="A2059" s="64" t="n"/>
      <c r="B2059" s="65" t="n"/>
      <c r="C2059" s="66" t="n"/>
      <c r="D2059" s="67" t="n"/>
      <c r="E2059" s="68" t="n"/>
      <c r="F2059" s="47">
        <f>IF(A2059="","",IF(MIN(H2059,MAX(J2059:K2059))=0,"",MIN(H2059,MAX(J2059:K2059))))</f>
        <v/>
      </c>
      <c r="G2059" s="74" t="n"/>
      <c r="H2059" s="49">
        <f>IF(M2059="","",IFERROR(ROUND(AVERAGE(T2059+M2059*{7,8,9,10,11})/1.21,4),""))</f>
        <v/>
      </c>
      <c r="I2059" s="76" t="n"/>
      <c r="J2059" s="77" t="n"/>
      <c r="K2059" s="74" t="n"/>
      <c r="L2059" s="78" t="n"/>
      <c r="M2059" s="77" t="n"/>
      <c r="N2059" s="53">
        <f>IF(M2059="","",IFERROR(M2059/I2059,""))</f>
        <v/>
      </c>
      <c r="O2059" s="50">
        <f>IF(A2059="","",IFERROR((IF(G2059="",I2059,G2059)-T2059)/M2059,""))</f>
        <v/>
      </c>
      <c r="P2059" s="50">
        <f>IFERROR((I2059/T2059-1)/N2059,"")</f>
        <v/>
      </c>
      <c r="Q2059" s="46">
        <f>IF(OR(T2059="",I2059&lt;T2059),"",IFERROR(R2059/IF(G2059="",I2059,G2059)-1,""))</f>
        <v/>
      </c>
      <c r="R2059" s="48">
        <f>IF($M2059="","",MAX(IF($G2059="",$I2059,$G2059)*(1/1.1),IF($G2059="",$I2059,$G2059)+(R$2*$M2059)))</f>
        <v/>
      </c>
      <c r="S2059" s="49">
        <f>IF($M2059="","",MAX(IF($G2059="",$I2059,$G2059)*(1/1.1),IF($G2059="",$I2059,$G2059)+(S$2*$M2059)))</f>
        <v/>
      </c>
      <c r="T2059" s="82" t="n"/>
      <c r="U2059" s="47">
        <f>IF(OR($M2059="",$T2059=""),"",$T2059+(U$2*$M2059))</f>
        <v/>
      </c>
      <c r="V2059" s="48">
        <f>IF(OR($M2059="",$T2059=""),"",$T2059+(V$2*$M2059))</f>
        <v/>
      </c>
      <c r="W2059" s="48">
        <f>IF(OR($M2059="",$T2059=""),"",$T2059+(W$2*$M2059))</f>
        <v/>
      </c>
      <c r="X2059" s="49">
        <f>IF(OR($M2059="",$T2059=""),"",$T2059+(X$2*$M2059))</f>
        <v/>
      </c>
      <c r="Y2059" s="47">
        <f>IF(OR($M2059="",$T2059=""),"",$T2059+(Y$2*$M2059))</f>
        <v/>
      </c>
      <c r="Z2059" s="49">
        <f>IF(OR($M2059="",$T2059=""),"",$T2059+(Z$2*$M2059))</f>
        <v/>
      </c>
      <c r="AA2059" s="51">
        <f>IF(OR($M2059="",$T2059=""),"",$T2059+(AA$2*$M2059))</f>
        <v/>
      </c>
      <c r="AB2059" s="48">
        <f>IF(OR($M2059="",$T2059=""),"",$T2059+(AB$2*$M2059))</f>
        <v/>
      </c>
      <c r="AC2059" s="48">
        <f>IF(OR($M2059="",$T2059=""),"",$T2059+(AC$2*$M2059))</f>
        <v/>
      </c>
      <c r="AD2059" s="48">
        <f>IF(OR($M2059="",$T2059=""),"",$T2059+(AD$2*$M2059))</f>
        <v/>
      </c>
      <c r="AE2059" s="49">
        <f>IF(OR($M2059="",$T2059=""),"",$T2059+(AE$2*$M2059))</f>
        <v/>
      </c>
      <c r="AF2059" s="52">
        <f>IF(OR(T2059="",I2059&lt;T2059),"",IFERROR(AVERAGE(T2059+M2059*{7,8,9,10,11})/IF(G2059="",I2059,G2059)-1,""))</f>
        <v/>
      </c>
      <c r="AG2059" s="55">
        <f>IF(OR(T2059="",I2059&lt;T2059),"",IFERROR(AF2059/-(R2059/IF(G2059="",I2059,G2059)-1),""))</f>
        <v/>
      </c>
      <c r="AH2059" s="94" t="n"/>
      <c r="AI2059" s="94" t="n"/>
      <c r="AJ2059" s="94" t="n"/>
      <c r="AK2059" s="94" t="n"/>
      <c r="AL2059" s="84" t="n"/>
    </row>
    <row r="2060">
      <c r="A2060" s="64" t="n"/>
      <c r="B2060" s="65" t="n"/>
      <c r="C2060" s="66" t="n"/>
      <c r="D2060" s="67" t="n"/>
      <c r="E2060" s="68" t="n"/>
      <c r="F2060" s="47">
        <f>IF(A2060="","",IF(MIN(H2060,MAX(J2060:K2060))=0,"",MIN(H2060,MAX(J2060:K2060))))</f>
        <v/>
      </c>
      <c r="G2060" s="74" t="n"/>
      <c r="H2060" s="49">
        <f>IF(M2060="","",IFERROR(ROUND(AVERAGE(T2060+M2060*{7,8,9,10,11})/1.21,4),""))</f>
        <v/>
      </c>
      <c r="I2060" s="76" t="n"/>
      <c r="J2060" s="77" t="n"/>
      <c r="K2060" s="74" t="n"/>
      <c r="L2060" s="78" t="n"/>
      <c r="M2060" s="77" t="n"/>
      <c r="N2060" s="53">
        <f>IF(M2060="","",IFERROR(M2060/I2060,""))</f>
        <v/>
      </c>
      <c r="O2060" s="50">
        <f>IF(A2060="","",IFERROR((IF(G2060="",I2060,G2060)-T2060)/M2060,""))</f>
        <v/>
      </c>
      <c r="P2060" s="50">
        <f>IFERROR((I2060/T2060-1)/N2060,"")</f>
        <v/>
      </c>
      <c r="Q2060" s="46">
        <f>IF(OR(T2060="",I2060&lt;T2060),"",IFERROR(R2060/IF(G2060="",I2060,G2060)-1,""))</f>
        <v/>
      </c>
      <c r="R2060" s="48">
        <f>IF($M2060="","",MAX(IF($G2060="",$I2060,$G2060)*(1/1.1),IF($G2060="",$I2060,$G2060)+(R$2*$M2060)))</f>
        <v/>
      </c>
      <c r="S2060" s="49">
        <f>IF($M2060="","",MAX(IF($G2060="",$I2060,$G2060)*(1/1.1),IF($G2060="",$I2060,$G2060)+(S$2*$M2060)))</f>
        <v/>
      </c>
      <c r="T2060" s="82" t="n"/>
      <c r="U2060" s="47">
        <f>IF(OR($M2060="",$T2060=""),"",$T2060+(U$2*$M2060))</f>
        <v/>
      </c>
      <c r="V2060" s="48">
        <f>IF(OR($M2060="",$T2060=""),"",$T2060+(V$2*$M2060))</f>
        <v/>
      </c>
      <c r="W2060" s="48">
        <f>IF(OR($M2060="",$T2060=""),"",$T2060+(W$2*$M2060))</f>
        <v/>
      </c>
      <c r="X2060" s="49">
        <f>IF(OR($M2060="",$T2060=""),"",$T2060+(X$2*$M2060))</f>
        <v/>
      </c>
      <c r="Y2060" s="47">
        <f>IF(OR($M2060="",$T2060=""),"",$T2060+(Y$2*$M2060))</f>
        <v/>
      </c>
      <c r="Z2060" s="49">
        <f>IF(OR($M2060="",$T2060=""),"",$T2060+(Z$2*$M2060))</f>
        <v/>
      </c>
      <c r="AA2060" s="51">
        <f>IF(OR($M2060="",$T2060=""),"",$T2060+(AA$2*$M2060))</f>
        <v/>
      </c>
      <c r="AB2060" s="48">
        <f>IF(OR($M2060="",$T2060=""),"",$T2060+(AB$2*$M2060))</f>
        <v/>
      </c>
      <c r="AC2060" s="48">
        <f>IF(OR($M2060="",$T2060=""),"",$T2060+(AC$2*$M2060))</f>
        <v/>
      </c>
      <c r="AD2060" s="48">
        <f>IF(OR($M2060="",$T2060=""),"",$T2060+(AD$2*$M2060))</f>
        <v/>
      </c>
      <c r="AE2060" s="49">
        <f>IF(OR($M2060="",$T2060=""),"",$T2060+(AE$2*$M2060))</f>
        <v/>
      </c>
      <c r="AF2060" s="52">
        <f>IF(OR(T2060="",I2060&lt;T2060),"",IFERROR(AVERAGE(T2060+M2060*{7,8,9,10,11})/IF(G2060="",I2060,G2060)-1,""))</f>
        <v/>
      </c>
      <c r="AG2060" s="55">
        <f>IF(OR(T2060="",I2060&lt;T2060),"",IFERROR(AF2060/-(R2060/IF(G2060="",I2060,G2060)-1),""))</f>
        <v/>
      </c>
      <c r="AH2060" s="94" t="n"/>
      <c r="AI2060" s="94" t="n"/>
      <c r="AJ2060" s="94" t="n"/>
      <c r="AK2060" s="94" t="n"/>
      <c r="AL2060" s="84" t="n"/>
    </row>
    <row r="2061">
      <c r="A2061" s="64" t="n"/>
      <c r="B2061" s="65" t="n"/>
      <c r="C2061" s="66" t="n"/>
      <c r="D2061" s="67" t="n"/>
      <c r="E2061" s="68" t="n"/>
      <c r="F2061" s="47">
        <f>IF(A2061="","",IF(MIN(H2061,MAX(J2061:K2061))=0,"",MIN(H2061,MAX(J2061:K2061))))</f>
        <v/>
      </c>
      <c r="G2061" s="74" t="n"/>
      <c r="H2061" s="49">
        <f>IF(M2061="","",IFERROR(ROUND(AVERAGE(T2061+M2061*{7,8,9,10,11})/1.21,4),""))</f>
        <v/>
      </c>
      <c r="I2061" s="76" t="n"/>
      <c r="J2061" s="77" t="n"/>
      <c r="K2061" s="74" t="n"/>
      <c r="L2061" s="78" t="n"/>
      <c r="M2061" s="77" t="n"/>
      <c r="N2061" s="53">
        <f>IF(M2061="","",IFERROR(M2061/I2061,""))</f>
        <v/>
      </c>
      <c r="O2061" s="50">
        <f>IF(A2061="","",IFERROR((IF(G2061="",I2061,G2061)-T2061)/M2061,""))</f>
        <v/>
      </c>
      <c r="P2061" s="50">
        <f>IFERROR((I2061/T2061-1)/N2061,"")</f>
        <v/>
      </c>
      <c r="Q2061" s="46">
        <f>IF(OR(T2061="",I2061&lt;T2061),"",IFERROR(R2061/IF(G2061="",I2061,G2061)-1,""))</f>
        <v/>
      </c>
      <c r="R2061" s="48">
        <f>IF($M2061="","",MAX(IF($G2061="",$I2061,$G2061)*(1/1.1),IF($G2061="",$I2061,$G2061)+(R$2*$M2061)))</f>
        <v/>
      </c>
      <c r="S2061" s="49">
        <f>IF($M2061="","",MAX(IF($G2061="",$I2061,$G2061)*(1/1.1),IF($G2061="",$I2061,$G2061)+(S$2*$M2061)))</f>
        <v/>
      </c>
      <c r="T2061" s="82" t="n"/>
      <c r="U2061" s="47">
        <f>IF(OR($M2061="",$T2061=""),"",$T2061+(U$2*$M2061))</f>
        <v/>
      </c>
      <c r="V2061" s="48">
        <f>IF(OR($M2061="",$T2061=""),"",$T2061+(V$2*$M2061))</f>
        <v/>
      </c>
      <c r="W2061" s="48">
        <f>IF(OR($M2061="",$T2061=""),"",$T2061+(W$2*$M2061))</f>
        <v/>
      </c>
      <c r="X2061" s="49">
        <f>IF(OR($M2061="",$T2061=""),"",$T2061+(X$2*$M2061))</f>
        <v/>
      </c>
      <c r="Y2061" s="47">
        <f>IF(OR($M2061="",$T2061=""),"",$T2061+(Y$2*$M2061))</f>
        <v/>
      </c>
      <c r="Z2061" s="49">
        <f>IF(OR($M2061="",$T2061=""),"",$T2061+(Z$2*$M2061))</f>
        <v/>
      </c>
      <c r="AA2061" s="51">
        <f>IF(OR($M2061="",$T2061=""),"",$T2061+(AA$2*$M2061))</f>
        <v/>
      </c>
      <c r="AB2061" s="48">
        <f>IF(OR($M2061="",$T2061=""),"",$T2061+(AB$2*$M2061))</f>
        <v/>
      </c>
      <c r="AC2061" s="48">
        <f>IF(OR($M2061="",$T2061=""),"",$T2061+(AC$2*$M2061))</f>
        <v/>
      </c>
      <c r="AD2061" s="48">
        <f>IF(OR($M2061="",$T2061=""),"",$T2061+(AD$2*$M2061))</f>
        <v/>
      </c>
      <c r="AE2061" s="49">
        <f>IF(OR($M2061="",$T2061=""),"",$T2061+(AE$2*$M2061))</f>
        <v/>
      </c>
      <c r="AF2061" s="52">
        <f>IF(OR(T2061="",I2061&lt;T2061),"",IFERROR(AVERAGE(T2061+M2061*{7,8,9,10,11})/IF(G2061="",I2061,G2061)-1,""))</f>
        <v/>
      </c>
      <c r="AG2061" s="55">
        <f>IF(OR(T2061="",I2061&lt;T2061),"",IFERROR(AF2061/-(R2061/IF(G2061="",I2061,G2061)-1),""))</f>
        <v/>
      </c>
      <c r="AH2061" s="94" t="n"/>
      <c r="AI2061" s="94" t="n"/>
      <c r="AJ2061" s="94" t="n"/>
      <c r="AK2061" s="94" t="n"/>
      <c r="AL2061" s="84" t="n"/>
    </row>
    <row r="2062">
      <c r="A2062" s="64" t="n"/>
      <c r="B2062" s="65" t="n"/>
      <c r="C2062" s="66" t="n"/>
      <c r="D2062" s="67" t="n"/>
      <c r="E2062" s="68" t="n"/>
      <c r="F2062" s="47">
        <f>IF(A2062="","",IF(MIN(H2062,MAX(J2062:K2062))=0,"",MIN(H2062,MAX(J2062:K2062))))</f>
        <v/>
      </c>
      <c r="G2062" s="74" t="n"/>
      <c r="H2062" s="49">
        <f>IF(M2062="","",IFERROR(ROUND(AVERAGE(T2062+M2062*{7,8,9,10,11})/1.21,4),""))</f>
        <v/>
      </c>
      <c r="I2062" s="76" t="n"/>
      <c r="J2062" s="77" t="n"/>
      <c r="K2062" s="74" t="n"/>
      <c r="L2062" s="78" t="n"/>
      <c r="M2062" s="77" t="n"/>
      <c r="N2062" s="53">
        <f>IF(M2062="","",IFERROR(M2062/I2062,""))</f>
        <v/>
      </c>
      <c r="O2062" s="50">
        <f>IF(A2062="","",IFERROR((IF(G2062="",I2062,G2062)-T2062)/M2062,""))</f>
        <v/>
      </c>
      <c r="P2062" s="50">
        <f>IFERROR((I2062/T2062-1)/N2062,"")</f>
        <v/>
      </c>
      <c r="Q2062" s="46">
        <f>IF(OR(T2062="",I2062&lt;T2062),"",IFERROR(R2062/IF(G2062="",I2062,G2062)-1,""))</f>
        <v/>
      </c>
      <c r="R2062" s="48">
        <f>IF($M2062="","",MAX(IF($G2062="",$I2062,$G2062)*(1/1.1),IF($G2062="",$I2062,$G2062)+(R$2*$M2062)))</f>
        <v/>
      </c>
      <c r="S2062" s="49">
        <f>IF($M2062="","",MAX(IF($G2062="",$I2062,$G2062)*(1/1.1),IF($G2062="",$I2062,$G2062)+(S$2*$M2062)))</f>
        <v/>
      </c>
      <c r="T2062" s="82" t="n"/>
      <c r="U2062" s="47">
        <f>IF(OR($M2062="",$T2062=""),"",$T2062+(U$2*$M2062))</f>
        <v/>
      </c>
      <c r="V2062" s="48">
        <f>IF(OR($M2062="",$T2062=""),"",$T2062+(V$2*$M2062))</f>
        <v/>
      </c>
      <c r="W2062" s="48">
        <f>IF(OR($M2062="",$T2062=""),"",$T2062+(W$2*$M2062))</f>
        <v/>
      </c>
      <c r="X2062" s="49">
        <f>IF(OR($M2062="",$T2062=""),"",$T2062+(X$2*$M2062))</f>
        <v/>
      </c>
      <c r="Y2062" s="47">
        <f>IF(OR($M2062="",$T2062=""),"",$T2062+(Y$2*$M2062))</f>
        <v/>
      </c>
      <c r="Z2062" s="49">
        <f>IF(OR($M2062="",$T2062=""),"",$T2062+(Z$2*$M2062))</f>
        <v/>
      </c>
      <c r="AA2062" s="51">
        <f>IF(OR($M2062="",$T2062=""),"",$T2062+(AA$2*$M2062))</f>
        <v/>
      </c>
      <c r="AB2062" s="48">
        <f>IF(OR($M2062="",$T2062=""),"",$T2062+(AB$2*$M2062))</f>
        <v/>
      </c>
      <c r="AC2062" s="48">
        <f>IF(OR($M2062="",$T2062=""),"",$T2062+(AC$2*$M2062))</f>
        <v/>
      </c>
      <c r="AD2062" s="48">
        <f>IF(OR($M2062="",$T2062=""),"",$T2062+(AD$2*$M2062))</f>
        <v/>
      </c>
      <c r="AE2062" s="49">
        <f>IF(OR($M2062="",$T2062=""),"",$T2062+(AE$2*$M2062))</f>
        <v/>
      </c>
      <c r="AF2062" s="52">
        <f>IF(OR(T2062="",I2062&lt;T2062),"",IFERROR(AVERAGE(T2062+M2062*{7,8,9,10,11})/IF(G2062="",I2062,G2062)-1,""))</f>
        <v/>
      </c>
      <c r="AG2062" s="55">
        <f>IF(OR(T2062="",I2062&lt;T2062),"",IFERROR(AF2062/-(R2062/IF(G2062="",I2062,G2062)-1),""))</f>
        <v/>
      </c>
      <c r="AH2062" s="94" t="n"/>
      <c r="AI2062" s="94" t="n"/>
      <c r="AJ2062" s="94" t="n"/>
      <c r="AK2062" s="94" t="n"/>
      <c r="AL2062" s="84" t="n"/>
    </row>
    <row r="2063">
      <c r="A2063" s="64" t="n"/>
      <c r="B2063" s="65" t="n"/>
      <c r="C2063" s="66" t="n"/>
      <c r="D2063" s="67" t="n"/>
      <c r="E2063" s="68" t="n"/>
      <c r="F2063" s="47">
        <f>IF(A2063="","",IF(MIN(H2063,MAX(J2063:K2063))=0,"",MIN(H2063,MAX(J2063:K2063))))</f>
        <v/>
      </c>
      <c r="G2063" s="74" t="n"/>
      <c r="H2063" s="49">
        <f>IF(M2063="","",IFERROR(ROUND(AVERAGE(T2063+M2063*{7,8,9,10,11})/1.21,4),""))</f>
        <v/>
      </c>
      <c r="I2063" s="76" t="n"/>
      <c r="J2063" s="77" t="n"/>
      <c r="K2063" s="74" t="n"/>
      <c r="L2063" s="78" t="n"/>
      <c r="M2063" s="77" t="n"/>
      <c r="N2063" s="53">
        <f>IF(M2063="","",IFERROR(M2063/I2063,""))</f>
        <v/>
      </c>
      <c r="O2063" s="50">
        <f>IF(A2063="","",IFERROR((IF(G2063="",I2063,G2063)-T2063)/M2063,""))</f>
        <v/>
      </c>
      <c r="P2063" s="50">
        <f>IFERROR((I2063/T2063-1)/N2063,"")</f>
        <v/>
      </c>
      <c r="Q2063" s="46">
        <f>IF(OR(T2063="",I2063&lt;T2063),"",IFERROR(R2063/IF(G2063="",I2063,G2063)-1,""))</f>
        <v/>
      </c>
      <c r="R2063" s="48">
        <f>IF($M2063="","",MAX(IF($G2063="",$I2063,$G2063)*(1/1.1),IF($G2063="",$I2063,$G2063)+(R$2*$M2063)))</f>
        <v/>
      </c>
      <c r="S2063" s="49">
        <f>IF($M2063="","",MAX(IF($G2063="",$I2063,$G2063)*(1/1.1),IF($G2063="",$I2063,$G2063)+(S$2*$M2063)))</f>
        <v/>
      </c>
      <c r="T2063" s="82" t="n"/>
      <c r="U2063" s="47">
        <f>IF(OR($M2063="",$T2063=""),"",$T2063+(U$2*$M2063))</f>
        <v/>
      </c>
      <c r="V2063" s="48">
        <f>IF(OR($M2063="",$T2063=""),"",$T2063+(V$2*$M2063))</f>
        <v/>
      </c>
      <c r="W2063" s="48">
        <f>IF(OR($M2063="",$T2063=""),"",$T2063+(W$2*$M2063))</f>
        <v/>
      </c>
      <c r="X2063" s="49">
        <f>IF(OR($M2063="",$T2063=""),"",$T2063+(X$2*$M2063))</f>
        <v/>
      </c>
      <c r="Y2063" s="47">
        <f>IF(OR($M2063="",$T2063=""),"",$T2063+(Y$2*$M2063))</f>
        <v/>
      </c>
      <c r="Z2063" s="49">
        <f>IF(OR($M2063="",$T2063=""),"",$T2063+(Z$2*$M2063))</f>
        <v/>
      </c>
      <c r="AA2063" s="51">
        <f>IF(OR($M2063="",$T2063=""),"",$T2063+(AA$2*$M2063))</f>
        <v/>
      </c>
      <c r="AB2063" s="48">
        <f>IF(OR($M2063="",$T2063=""),"",$T2063+(AB$2*$M2063))</f>
        <v/>
      </c>
      <c r="AC2063" s="48">
        <f>IF(OR($M2063="",$T2063=""),"",$T2063+(AC$2*$M2063))</f>
        <v/>
      </c>
      <c r="AD2063" s="48">
        <f>IF(OR($M2063="",$T2063=""),"",$T2063+(AD$2*$M2063))</f>
        <v/>
      </c>
      <c r="AE2063" s="49">
        <f>IF(OR($M2063="",$T2063=""),"",$T2063+(AE$2*$M2063))</f>
        <v/>
      </c>
      <c r="AF2063" s="52">
        <f>IF(OR(T2063="",I2063&lt;T2063),"",IFERROR(AVERAGE(T2063+M2063*{7,8,9,10,11})/IF(G2063="",I2063,G2063)-1,""))</f>
        <v/>
      </c>
      <c r="AG2063" s="55">
        <f>IF(OR(T2063="",I2063&lt;T2063),"",IFERROR(AF2063/-(R2063/IF(G2063="",I2063,G2063)-1),""))</f>
        <v/>
      </c>
      <c r="AH2063" s="94" t="n"/>
      <c r="AI2063" s="94" t="n"/>
      <c r="AJ2063" s="94" t="n"/>
      <c r="AK2063" s="94" t="n"/>
      <c r="AL2063" s="84" t="n"/>
    </row>
    <row r="2064">
      <c r="A2064" s="64" t="n"/>
      <c r="B2064" s="65" t="n"/>
      <c r="C2064" s="66" t="n"/>
      <c r="D2064" s="67" t="n"/>
      <c r="E2064" s="68" t="n"/>
      <c r="F2064" s="47">
        <f>IF(A2064="","",IF(MIN(H2064,MAX(J2064:K2064))=0,"",MIN(H2064,MAX(J2064:K2064))))</f>
        <v/>
      </c>
      <c r="G2064" s="74" t="n"/>
      <c r="H2064" s="49">
        <f>IF(M2064="","",IFERROR(ROUND(AVERAGE(T2064+M2064*{7,8,9,10,11})/1.21,4),""))</f>
        <v/>
      </c>
      <c r="I2064" s="76" t="n"/>
      <c r="J2064" s="77" t="n"/>
      <c r="K2064" s="74" t="n"/>
      <c r="L2064" s="78" t="n"/>
      <c r="M2064" s="77" t="n"/>
      <c r="N2064" s="53">
        <f>IF(M2064="","",IFERROR(M2064/I2064,""))</f>
        <v/>
      </c>
      <c r="O2064" s="50">
        <f>IF(A2064="","",IFERROR((IF(G2064="",I2064,G2064)-T2064)/M2064,""))</f>
        <v/>
      </c>
      <c r="P2064" s="50">
        <f>IFERROR((I2064/T2064-1)/N2064,"")</f>
        <v/>
      </c>
      <c r="Q2064" s="46">
        <f>IF(OR(T2064="",I2064&lt;T2064),"",IFERROR(R2064/IF(G2064="",I2064,G2064)-1,""))</f>
        <v/>
      </c>
      <c r="R2064" s="48">
        <f>IF($M2064="","",MAX(IF($G2064="",$I2064,$G2064)*(1/1.1),IF($G2064="",$I2064,$G2064)+(R$2*$M2064)))</f>
        <v/>
      </c>
      <c r="S2064" s="49">
        <f>IF($M2064="","",MAX(IF($G2064="",$I2064,$G2064)*(1/1.1),IF($G2064="",$I2064,$G2064)+(S$2*$M2064)))</f>
        <v/>
      </c>
      <c r="T2064" s="82" t="n"/>
      <c r="U2064" s="47">
        <f>IF(OR($M2064="",$T2064=""),"",$T2064+(U$2*$M2064))</f>
        <v/>
      </c>
      <c r="V2064" s="48">
        <f>IF(OR($M2064="",$T2064=""),"",$T2064+(V$2*$M2064))</f>
        <v/>
      </c>
      <c r="W2064" s="48">
        <f>IF(OR($M2064="",$T2064=""),"",$T2064+(W$2*$M2064))</f>
        <v/>
      </c>
      <c r="X2064" s="49">
        <f>IF(OR($M2064="",$T2064=""),"",$T2064+(X$2*$M2064))</f>
        <v/>
      </c>
      <c r="Y2064" s="47">
        <f>IF(OR($M2064="",$T2064=""),"",$T2064+(Y$2*$M2064))</f>
        <v/>
      </c>
      <c r="Z2064" s="49">
        <f>IF(OR($M2064="",$T2064=""),"",$T2064+(Z$2*$M2064))</f>
        <v/>
      </c>
      <c r="AA2064" s="51">
        <f>IF(OR($M2064="",$T2064=""),"",$T2064+(AA$2*$M2064))</f>
        <v/>
      </c>
      <c r="AB2064" s="48">
        <f>IF(OR($M2064="",$T2064=""),"",$T2064+(AB$2*$M2064))</f>
        <v/>
      </c>
      <c r="AC2064" s="48">
        <f>IF(OR($M2064="",$T2064=""),"",$T2064+(AC$2*$M2064))</f>
        <v/>
      </c>
      <c r="AD2064" s="48">
        <f>IF(OR($M2064="",$T2064=""),"",$T2064+(AD$2*$M2064))</f>
        <v/>
      </c>
      <c r="AE2064" s="49">
        <f>IF(OR($M2064="",$T2064=""),"",$T2064+(AE$2*$M2064))</f>
        <v/>
      </c>
      <c r="AF2064" s="52">
        <f>IF(OR(T2064="",I2064&lt;T2064),"",IFERROR(AVERAGE(T2064+M2064*{7,8,9,10,11})/IF(G2064="",I2064,G2064)-1,""))</f>
        <v/>
      </c>
      <c r="AG2064" s="55">
        <f>IF(OR(T2064="",I2064&lt;T2064),"",IFERROR(AF2064/-(R2064/IF(G2064="",I2064,G2064)-1),""))</f>
        <v/>
      </c>
      <c r="AH2064" s="94" t="n"/>
      <c r="AI2064" s="94" t="n"/>
      <c r="AJ2064" s="94" t="n"/>
      <c r="AK2064" s="94" t="n"/>
      <c r="AL2064" s="84" t="n"/>
    </row>
    <row r="2065">
      <c r="A2065" s="64" t="n"/>
      <c r="B2065" s="65" t="n"/>
      <c r="C2065" s="66" t="n"/>
      <c r="D2065" s="67" t="n"/>
      <c r="E2065" s="68" t="n"/>
      <c r="F2065" s="47">
        <f>IF(A2065="","",IF(MIN(H2065,MAX(J2065:K2065))=0,"",MIN(H2065,MAX(J2065:K2065))))</f>
        <v/>
      </c>
      <c r="G2065" s="74" t="n"/>
      <c r="H2065" s="49">
        <f>IF(M2065="","",IFERROR(ROUND(AVERAGE(T2065+M2065*{7,8,9,10,11})/1.21,4),""))</f>
        <v/>
      </c>
      <c r="I2065" s="76" t="n"/>
      <c r="J2065" s="77" t="n"/>
      <c r="K2065" s="74" t="n"/>
      <c r="L2065" s="78" t="n"/>
      <c r="M2065" s="77" t="n"/>
      <c r="N2065" s="53">
        <f>IF(M2065="","",IFERROR(M2065/I2065,""))</f>
        <v/>
      </c>
      <c r="O2065" s="50">
        <f>IF(A2065="","",IFERROR((IF(G2065="",I2065,G2065)-T2065)/M2065,""))</f>
        <v/>
      </c>
      <c r="P2065" s="50">
        <f>IFERROR((I2065/T2065-1)/N2065,"")</f>
        <v/>
      </c>
      <c r="Q2065" s="46">
        <f>IF(OR(T2065="",I2065&lt;T2065),"",IFERROR(R2065/IF(G2065="",I2065,G2065)-1,""))</f>
        <v/>
      </c>
      <c r="R2065" s="48">
        <f>IF($M2065="","",MAX(IF($G2065="",$I2065,$G2065)*(1/1.1),IF($G2065="",$I2065,$G2065)+(R$2*$M2065)))</f>
        <v/>
      </c>
      <c r="S2065" s="49">
        <f>IF($M2065="","",MAX(IF($G2065="",$I2065,$G2065)*(1/1.1),IF($G2065="",$I2065,$G2065)+(S$2*$M2065)))</f>
        <v/>
      </c>
      <c r="T2065" s="82" t="n"/>
      <c r="U2065" s="47">
        <f>IF(OR($M2065="",$T2065=""),"",$T2065+(U$2*$M2065))</f>
        <v/>
      </c>
      <c r="V2065" s="48">
        <f>IF(OR($M2065="",$T2065=""),"",$T2065+(V$2*$M2065))</f>
        <v/>
      </c>
      <c r="W2065" s="48">
        <f>IF(OR($M2065="",$T2065=""),"",$T2065+(W$2*$M2065))</f>
        <v/>
      </c>
      <c r="X2065" s="49">
        <f>IF(OR($M2065="",$T2065=""),"",$T2065+(X$2*$M2065))</f>
        <v/>
      </c>
      <c r="Y2065" s="47">
        <f>IF(OR($M2065="",$T2065=""),"",$T2065+(Y$2*$M2065))</f>
        <v/>
      </c>
      <c r="Z2065" s="49">
        <f>IF(OR($M2065="",$T2065=""),"",$T2065+(Z$2*$M2065))</f>
        <v/>
      </c>
      <c r="AA2065" s="51">
        <f>IF(OR($M2065="",$T2065=""),"",$T2065+(AA$2*$M2065))</f>
        <v/>
      </c>
      <c r="AB2065" s="48">
        <f>IF(OR($M2065="",$T2065=""),"",$T2065+(AB$2*$M2065))</f>
        <v/>
      </c>
      <c r="AC2065" s="48">
        <f>IF(OR($M2065="",$T2065=""),"",$T2065+(AC$2*$M2065))</f>
        <v/>
      </c>
      <c r="AD2065" s="48">
        <f>IF(OR($M2065="",$T2065=""),"",$T2065+(AD$2*$M2065))</f>
        <v/>
      </c>
      <c r="AE2065" s="49">
        <f>IF(OR($M2065="",$T2065=""),"",$T2065+(AE$2*$M2065))</f>
        <v/>
      </c>
      <c r="AF2065" s="52">
        <f>IF(OR(T2065="",I2065&lt;T2065),"",IFERROR(AVERAGE(T2065+M2065*{7,8,9,10,11})/IF(G2065="",I2065,G2065)-1,""))</f>
        <v/>
      </c>
      <c r="AG2065" s="55">
        <f>IF(OR(T2065="",I2065&lt;T2065),"",IFERROR(AF2065/-(R2065/IF(G2065="",I2065,G2065)-1),""))</f>
        <v/>
      </c>
      <c r="AH2065" s="94" t="n"/>
      <c r="AI2065" s="94" t="n"/>
      <c r="AJ2065" s="94" t="n"/>
      <c r="AK2065" s="94" t="n"/>
      <c r="AL2065" s="84" t="n"/>
    </row>
    <row r="2066">
      <c r="A2066" s="64" t="n"/>
      <c r="B2066" s="65" t="n"/>
      <c r="C2066" s="66" t="n"/>
      <c r="D2066" s="67" t="n"/>
      <c r="E2066" s="68" t="n"/>
      <c r="F2066" s="47">
        <f>IF(A2066="","",IF(MIN(H2066,MAX(J2066:K2066))=0,"",MIN(H2066,MAX(J2066:K2066))))</f>
        <v/>
      </c>
      <c r="G2066" s="74" t="n"/>
      <c r="H2066" s="49">
        <f>IF(M2066="","",IFERROR(ROUND(AVERAGE(T2066+M2066*{7,8,9,10,11})/1.21,4),""))</f>
        <v/>
      </c>
      <c r="I2066" s="76" t="n"/>
      <c r="J2066" s="77" t="n"/>
      <c r="K2066" s="74" t="n"/>
      <c r="L2066" s="78" t="n"/>
      <c r="M2066" s="77" t="n"/>
      <c r="N2066" s="53">
        <f>IF(M2066="","",IFERROR(M2066/I2066,""))</f>
        <v/>
      </c>
      <c r="O2066" s="50">
        <f>IF(A2066="","",IFERROR((IF(G2066="",I2066,G2066)-T2066)/M2066,""))</f>
        <v/>
      </c>
      <c r="P2066" s="50">
        <f>IFERROR((I2066/T2066-1)/N2066,"")</f>
        <v/>
      </c>
      <c r="Q2066" s="46">
        <f>IF(OR(T2066="",I2066&lt;T2066),"",IFERROR(R2066/IF(G2066="",I2066,G2066)-1,""))</f>
        <v/>
      </c>
      <c r="R2066" s="48">
        <f>IF($M2066="","",MAX(IF($G2066="",$I2066,$G2066)*(1/1.1),IF($G2066="",$I2066,$G2066)+(R$2*$M2066)))</f>
        <v/>
      </c>
      <c r="S2066" s="49">
        <f>IF($M2066="","",MAX(IF($G2066="",$I2066,$G2066)*(1/1.1),IF($G2066="",$I2066,$G2066)+(S$2*$M2066)))</f>
        <v/>
      </c>
      <c r="T2066" s="82" t="n"/>
      <c r="U2066" s="47">
        <f>IF(OR($M2066="",$T2066=""),"",$T2066+(U$2*$M2066))</f>
        <v/>
      </c>
      <c r="V2066" s="48">
        <f>IF(OR($M2066="",$T2066=""),"",$T2066+(V$2*$M2066))</f>
        <v/>
      </c>
      <c r="W2066" s="48">
        <f>IF(OR($M2066="",$T2066=""),"",$T2066+(W$2*$M2066))</f>
        <v/>
      </c>
      <c r="X2066" s="49">
        <f>IF(OR($M2066="",$T2066=""),"",$T2066+(X$2*$M2066))</f>
        <v/>
      </c>
      <c r="Y2066" s="47">
        <f>IF(OR($M2066="",$T2066=""),"",$T2066+(Y$2*$M2066))</f>
        <v/>
      </c>
      <c r="Z2066" s="49">
        <f>IF(OR($M2066="",$T2066=""),"",$T2066+(Z$2*$M2066))</f>
        <v/>
      </c>
      <c r="AA2066" s="51">
        <f>IF(OR($M2066="",$T2066=""),"",$T2066+(AA$2*$M2066))</f>
        <v/>
      </c>
      <c r="AB2066" s="48">
        <f>IF(OR($M2066="",$T2066=""),"",$T2066+(AB$2*$M2066))</f>
        <v/>
      </c>
      <c r="AC2066" s="48">
        <f>IF(OR($M2066="",$T2066=""),"",$T2066+(AC$2*$M2066))</f>
        <v/>
      </c>
      <c r="AD2066" s="48">
        <f>IF(OR($M2066="",$T2066=""),"",$T2066+(AD$2*$M2066))</f>
        <v/>
      </c>
      <c r="AE2066" s="49">
        <f>IF(OR($M2066="",$T2066=""),"",$T2066+(AE$2*$M2066))</f>
        <v/>
      </c>
      <c r="AF2066" s="52">
        <f>IF(OR(T2066="",I2066&lt;T2066),"",IFERROR(AVERAGE(T2066+M2066*{7,8,9,10,11})/IF(G2066="",I2066,G2066)-1,""))</f>
        <v/>
      </c>
      <c r="AG2066" s="55">
        <f>IF(OR(T2066="",I2066&lt;T2066),"",IFERROR(AF2066/-(R2066/IF(G2066="",I2066,G2066)-1),""))</f>
        <v/>
      </c>
      <c r="AH2066" s="94" t="n"/>
      <c r="AI2066" s="94" t="n"/>
      <c r="AJ2066" s="94" t="n"/>
      <c r="AK2066" s="94" t="n"/>
      <c r="AL2066" s="84" t="n"/>
    </row>
    <row r="2067">
      <c r="A2067" s="64" t="n"/>
      <c r="B2067" s="65" t="n"/>
      <c r="C2067" s="66" t="n"/>
      <c r="D2067" s="67" t="n"/>
      <c r="E2067" s="68" t="n"/>
      <c r="F2067" s="47">
        <f>IF(A2067="","",IF(MIN(H2067,MAX(J2067:K2067))=0,"",MIN(H2067,MAX(J2067:K2067))))</f>
        <v/>
      </c>
      <c r="G2067" s="74" t="n"/>
      <c r="H2067" s="49">
        <f>IF(M2067="","",IFERROR(ROUND(AVERAGE(T2067+M2067*{7,8,9,10,11})/1.21,4),""))</f>
        <v/>
      </c>
      <c r="I2067" s="76" t="n"/>
      <c r="J2067" s="77" t="n"/>
      <c r="K2067" s="74" t="n"/>
      <c r="L2067" s="78" t="n"/>
      <c r="M2067" s="77" t="n"/>
      <c r="N2067" s="53">
        <f>IF(M2067="","",IFERROR(M2067/I2067,""))</f>
        <v/>
      </c>
      <c r="O2067" s="50">
        <f>IF(A2067="","",IFERROR((IF(G2067="",I2067,G2067)-T2067)/M2067,""))</f>
        <v/>
      </c>
      <c r="P2067" s="50">
        <f>IFERROR((I2067/T2067-1)/N2067,"")</f>
        <v/>
      </c>
      <c r="Q2067" s="46">
        <f>IF(OR(T2067="",I2067&lt;T2067),"",IFERROR(R2067/IF(G2067="",I2067,G2067)-1,""))</f>
        <v/>
      </c>
      <c r="R2067" s="48">
        <f>IF($M2067="","",MAX(IF($G2067="",$I2067,$G2067)*(1/1.1),IF($G2067="",$I2067,$G2067)+(R$2*$M2067)))</f>
        <v/>
      </c>
      <c r="S2067" s="49">
        <f>IF($M2067="","",MAX(IF($G2067="",$I2067,$G2067)*(1/1.1),IF($G2067="",$I2067,$G2067)+(S$2*$M2067)))</f>
        <v/>
      </c>
      <c r="T2067" s="82" t="n"/>
      <c r="U2067" s="47">
        <f>IF(OR($M2067="",$T2067=""),"",$T2067+(U$2*$M2067))</f>
        <v/>
      </c>
      <c r="V2067" s="48">
        <f>IF(OR($M2067="",$T2067=""),"",$T2067+(V$2*$M2067))</f>
        <v/>
      </c>
      <c r="W2067" s="48">
        <f>IF(OR($M2067="",$T2067=""),"",$T2067+(W$2*$M2067))</f>
        <v/>
      </c>
      <c r="X2067" s="49">
        <f>IF(OR($M2067="",$T2067=""),"",$T2067+(X$2*$M2067))</f>
        <v/>
      </c>
      <c r="Y2067" s="47">
        <f>IF(OR($M2067="",$T2067=""),"",$T2067+(Y$2*$M2067))</f>
        <v/>
      </c>
      <c r="Z2067" s="49">
        <f>IF(OR($M2067="",$T2067=""),"",$T2067+(Z$2*$M2067))</f>
        <v/>
      </c>
      <c r="AA2067" s="51">
        <f>IF(OR($M2067="",$T2067=""),"",$T2067+(AA$2*$M2067))</f>
        <v/>
      </c>
      <c r="AB2067" s="48">
        <f>IF(OR($M2067="",$T2067=""),"",$T2067+(AB$2*$M2067))</f>
        <v/>
      </c>
      <c r="AC2067" s="48">
        <f>IF(OR($M2067="",$T2067=""),"",$T2067+(AC$2*$M2067))</f>
        <v/>
      </c>
      <c r="AD2067" s="48">
        <f>IF(OR($M2067="",$T2067=""),"",$T2067+(AD$2*$M2067))</f>
        <v/>
      </c>
      <c r="AE2067" s="49">
        <f>IF(OR($M2067="",$T2067=""),"",$T2067+(AE$2*$M2067))</f>
        <v/>
      </c>
      <c r="AF2067" s="52">
        <f>IF(OR(T2067="",I2067&lt;T2067),"",IFERROR(AVERAGE(T2067+M2067*{7,8,9,10,11})/IF(G2067="",I2067,G2067)-1,""))</f>
        <v/>
      </c>
      <c r="AG2067" s="55">
        <f>IF(OR(T2067="",I2067&lt;T2067),"",IFERROR(AF2067/-(R2067/IF(G2067="",I2067,G2067)-1),""))</f>
        <v/>
      </c>
      <c r="AH2067" s="94" t="n"/>
      <c r="AI2067" s="94" t="n"/>
      <c r="AJ2067" s="94" t="n"/>
      <c r="AK2067" s="94" t="n"/>
      <c r="AL2067" s="84" t="n"/>
    </row>
    <row r="2068">
      <c r="A2068" s="64" t="n"/>
      <c r="B2068" s="65" t="n"/>
      <c r="C2068" s="66" t="n"/>
      <c r="D2068" s="67" t="n"/>
      <c r="E2068" s="68" t="n"/>
      <c r="F2068" s="47">
        <f>IF(A2068="","",IF(MIN(H2068,MAX(J2068:K2068))=0,"",MIN(H2068,MAX(J2068:K2068))))</f>
        <v/>
      </c>
      <c r="G2068" s="74" t="n"/>
      <c r="H2068" s="49">
        <f>IF(M2068="","",IFERROR(ROUND(AVERAGE(T2068+M2068*{7,8,9,10,11})/1.21,4),""))</f>
        <v/>
      </c>
      <c r="I2068" s="76" t="n"/>
      <c r="J2068" s="77" t="n"/>
      <c r="K2068" s="74" t="n"/>
      <c r="L2068" s="78" t="n"/>
      <c r="M2068" s="77" t="n"/>
      <c r="N2068" s="53">
        <f>IF(M2068="","",IFERROR(M2068/I2068,""))</f>
        <v/>
      </c>
      <c r="O2068" s="50">
        <f>IF(A2068="","",IFERROR((IF(G2068="",I2068,G2068)-T2068)/M2068,""))</f>
        <v/>
      </c>
      <c r="P2068" s="50">
        <f>IFERROR((I2068/T2068-1)/N2068,"")</f>
        <v/>
      </c>
      <c r="Q2068" s="46">
        <f>IF(OR(T2068="",I2068&lt;T2068),"",IFERROR(R2068/IF(G2068="",I2068,G2068)-1,""))</f>
        <v/>
      </c>
      <c r="R2068" s="48">
        <f>IF($M2068="","",MAX(IF($G2068="",$I2068,$G2068)*(1/1.1),IF($G2068="",$I2068,$G2068)+(R$2*$M2068)))</f>
        <v/>
      </c>
      <c r="S2068" s="49">
        <f>IF($M2068="","",MAX(IF($G2068="",$I2068,$G2068)*(1/1.1),IF($G2068="",$I2068,$G2068)+(S$2*$M2068)))</f>
        <v/>
      </c>
      <c r="T2068" s="82" t="n"/>
      <c r="U2068" s="47">
        <f>IF(OR($M2068="",$T2068=""),"",$T2068+(U$2*$M2068))</f>
        <v/>
      </c>
      <c r="V2068" s="48">
        <f>IF(OR($M2068="",$T2068=""),"",$T2068+(V$2*$M2068))</f>
        <v/>
      </c>
      <c r="W2068" s="48">
        <f>IF(OR($M2068="",$T2068=""),"",$T2068+(W$2*$M2068))</f>
        <v/>
      </c>
      <c r="X2068" s="49">
        <f>IF(OR($M2068="",$T2068=""),"",$T2068+(X$2*$M2068))</f>
        <v/>
      </c>
      <c r="Y2068" s="47">
        <f>IF(OR($M2068="",$T2068=""),"",$T2068+(Y$2*$M2068))</f>
        <v/>
      </c>
      <c r="Z2068" s="49">
        <f>IF(OR($M2068="",$T2068=""),"",$T2068+(Z$2*$M2068))</f>
        <v/>
      </c>
      <c r="AA2068" s="51">
        <f>IF(OR($M2068="",$T2068=""),"",$T2068+(AA$2*$M2068))</f>
        <v/>
      </c>
      <c r="AB2068" s="48">
        <f>IF(OR($M2068="",$T2068=""),"",$T2068+(AB$2*$M2068))</f>
        <v/>
      </c>
      <c r="AC2068" s="48">
        <f>IF(OR($M2068="",$T2068=""),"",$T2068+(AC$2*$M2068))</f>
        <v/>
      </c>
      <c r="AD2068" s="48">
        <f>IF(OR($M2068="",$T2068=""),"",$T2068+(AD$2*$M2068))</f>
        <v/>
      </c>
      <c r="AE2068" s="49">
        <f>IF(OR($M2068="",$T2068=""),"",$T2068+(AE$2*$M2068))</f>
        <v/>
      </c>
      <c r="AF2068" s="52">
        <f>IF(OR(T2068="",I2068&lt;T2068),"",IFERROR(AVERAGE(T2068+M2068*{7,8,9,10,11})/IF(G2068="",I2068,G2068)-1,""))</f>
        <v/>
      </c>
      <c r="AG2068" s="55">
        <f>IF(OR(T2068="",I2068&lt;T2068),"",IFERROR(AF2068/-(R2068/IF(G2068="",I2068,G2068)-1),""))</f>
        <v/>
      </c>
      <c r="AH2068" s="94" t="n"/>
      <c r="AI2068" s="94" t="n"/>
      <c r="AJ2068" s="94" t="n"/>
      <c r="AK2068" s="94" t="n"/>
      <c r="AL2068" s="84" t="n"/>
    </row>
    <row r="2069">
      <c r="A2069" s="64" t="n"/>
      <c r="B2069" s="65" t="n"/>
      <c r="C2069" s="66" t="n"/>
      <c r="D2069" s="67" t="n"/>
      <c r="E2069" s="68" t="n"/>
      <c r="F2069" s="47">
        <f>IF(A2069="","",IF(MIN(H2069,MAX(J2069:K2069))=0,"",MIN(H2069,MAX(J2069:K2069))))</f>
        <v/>
      </c>
      <c r="G2069" s="74" t="n"/>
      <c r="H2069" s="49">
        <f>IF(M2069="","",IFERROR(ROUND(AVERAGE(T2069+M2069*{7,8,9,10,11})/1.21,4),""))</f>
        <v/>
      </c>
      <c r="I2069" s="76" t="n"/>
      <c r="J2069" s="77" t="n"/>
      <c r="K2069" s="74" t="n"/>
      <c r="L2069" s="78" t="n"/>
      <c r="M2069" s="77" t="n"/>
      <c r="N2069" s="53">
        <f>IF(M2069="","",IFERROR(M2069/I2069,""))</f>
        <v/>
      </c>
      <c r="O2069" s="50">
        <f>IF(A2069="","",IFERROR((IF(G2069="",I2069,G2069)-T2069)/M2069,""))</f>
        <v/>
      </c>
      <c r="P2069" s="50">
        <f>IFERROR((I2069/T2069-1)/N2069,"")</f>
        <v/>
      </c>
      <c r="Q2069" s="46">
        <f>IF(OR(T2069="",I2069&lt;T2069),"",IFERROR(R2069/IF(G2069="",I2069,G2069)-1,""))</f>
        <v/>
      </c>
      <c r="R2069" s="48">
        <f>IF($M2069="","",MAX(IF($G2069="",$I2069,$G2069)*(1/1.1),IF($G2069="",$I2069,$G2069)+(R$2*$M2069)))</f>
        <v/>
      </c>
      <c r="S2069" s="49">
        <f>IF($M2069="","",MAX(IF($G2069="",$I2069,$G2069)*(1/1.1),IF($G2069="",$I2069,$G2069)+(S$2*$M2069)))</f>
        <v/>
      </c>
      <c r="T2069" s="82" t="n"/>
      <c r="U2069" s="47">
        <f>IF(OR($M2069="",$T2069=""),"",$T2069+(U$2*$M2069))</f>
        <v/>
      </c>
      <c r="V2069" s="48">
        <f>IF(OR($M2069="",$T2069=""),"",$T2069+(V$2*$M2069))</f>
        <v/>
      </c>
      <c r="W2069" s="48">
        <f>IF(OR($M2069="",$T2069=""),"",$T2069+(W$2*$M2069))</f>
        <v/>
      </c>
      <c r="X2069" s="49">
        <f>IF(OR($M2069="",$T2069=""),"",$T2069+(X$2*$M2069))</f>
        <v/>
      </c>
      <c r="Y2069" s="47">
        <f>IF(OR($M2069="",$T2069=""),"",$T2069+(Y$2*$M2069))</f>
        <v/>
      </c>
      <c r="Z2069" s="49">
        <f>IF(OR($M2069="",$T2069=""),"",$T2069+(Z$2*$M2069))</f>
        <v/>
      </c>
      <c r="AA2069" s="51">
        <f>IF(OR($M2069="",$T2069=""),"",$T2069+(AA$2*$M2069))</f>
        <v/>
      </c>
      <c r="AB2069" s="48">
        <f>IF(OR($M2069="",$T2069=""),"",$T2069+(AB$2*$M2069))</f>
        <v/>
      </c>
      <c r="AC2069" s="48">
        <f>IF(OR($M2069="",$T2069=""),"",$T2069+(AC$2*$M2069))</f>
        <v/>
      </c>
      <c r="AD2069" s="48">
        <f>IF(OR($M2069="",$T2069=""),"",$T2069+(AD$2*$M2069))</f>
        <v/>
      </c>
      <c r="AE2069" s="49">
        <f>IF(OR($M2069="",$T2069=""),"",$T2069+(AE$2*$M2069))</f>
        <v/>
      </c>
      <c r="AF2069" s="52">
        <f>IF(OR(T2069="",I2069&lt;T2069),"",IFERROR(AVERAGE(T2069+M2069*{7,8,9,10,11})/IF(G2069="",I2069,G2069)-1,""))</f>
        <v/>
      </c>
      <c r="AG2069" s="55">
        <f>IF(OR(T2069="",I2069&lt;T2069),"",IFERROR(AF2069/-(R2069/IF(G2069="",I2069,G2069)-1),""))</f>
        <v/>
      </c>
      <c r="AH2069" s="94" t="n"/>
      <c r="AI2069" s="94" t="n"/>
      <c r="AJ2069" s="94" t="n"/>
      <c r="AK2069" s="94" t="n"/>
      <c r="AL2069" s="84" t="n"/>
    </row>
    <row r="2070">
      <c r="A2070" s="64" t="n"/>
      <c r="B2070" s="65" t="n"/>
      <c r="C2070" s="66" t="n"/>
      <c r="D2070" s="67" t="n"/>
      <c r="E2070" s="68" t="n"/>
      <c r="F2070" s="47">
        <f>IF(A2070="","",IF(MIN(H2070,MAX(J2070:K2070))=0,"",MIN(H2070,MAX(J2070:K2070))))</f>
        <v/>
      </c>
      <c r="G2070" s="74" t="n"/>
      <c r="H2070" s="49">
        <f>IF(M2070="","",IFERROR(ROUND(AVERAGE(T2070+M2070*{7,8,9,10,11})/1.21,4),""))</f>
        <v/>
      </c>
      <c r="I2070" s="76" t="n"/>
      <c r="J2070" s="77" t="n"/>
      <c r="K2070" s="74" t="n"/>
      <c r="L2070" s="78" t="n"/>
      <c r="M2070" s="77" t="n"/>
      <c r="N2070" s="53">
        <f>IF(M2070="","",IFERROR(M2070/I2070,""))</f>
        <v/>
      </c>
      <c r="O2070" s="50">
        <f>IF(A2070="","",IFERROR((IF(G2070="",I2070,G2070)-T2070)/M2070,""))</f>
        <v/>
      </c>
      <c r="P2070" s="50">
        <f>IFERROR((I2070/T2070-1)/N2070,"")</f>
        <v/>
      </c>
      <c r="Q2070" s="46">
        <f>IF(OR(T2070="",I2070&lt;T2070),"",IFERROR(R2070/IF(G2070="",I2070,G2070)-1,""))</f>
        <v/>
      </c>
      <c r="R2070" s="48">
        <f>IF($M2070="","",MAX(IF($G2070="",$I2070,$G2070)*(1/1.1),IF($G2070="",$I2070,$G2070)+(R$2*$M2070)))</f>
        <v/>
      </c>
      <c r="S2070" s="49">
        <f>IF($M2070="","",MAX(IF($G2070="",$I2070,$G2070)*(1/1.1),IF($G2070="",$I2070,$G2070)+(S$2*$M2070)))</f>
        <v/>
      </c>
      <c r="T2070" s="82" t="n"/>
      <c r="U2070" s="47">
        <f>IF(OR($M2070="",$T2070=""),"",$T2070+(U$2*$M2070))</f>
        <v/>
      </c>
      <c r="V2070" s="48">
        <f>IF(OR($M2070="",$T2070=""),"",$T2070+(V$2*$M2070))</f>
        <v/>
      </c>
      <c r="W2070" s="48">
        <f>IF(OR($M2070="",$T2070=""),"",$T2070+(W$2*$M2070))</f>
        <v/>
      </c>
      <c r="X2070" s="49">
        <f>IF(OR($M2070="",$T2070=""),"",$T2070+(X$2*$M2070))</f>
        <v/>
      </c>
      <c r="Y2070" s="47">
        <f>IF(OR($M2070="",$T2070=""),"",$T2070+(Y$2*$M2070))</f>
        <v/>
      </c>
      <c r="Z2070" s="49">
        <f>IF(OR($M2070="",$T2070=""),"",$T2070+(Z$2*$M2070))</f>
        <v/>
      </c>
      <c r="AA2070" s="51">
        <f>IF(OR($M2070="",$T2070=""),"",$T2070+(AA$2*$M2070))</f>
        <v/>
      </c>
      <c r="AB2070" s="48">
        <f>IF(OR($M2070="",$T2070=""),"",$T2070+(AB$2*$M2070))</f>
        <v/>
      </c>
      <c r="AC2070" s="48">
        <f>IF(OR($M2070="",$T2070=""),"",$T2070+(AC$2*$M2070))</f>
        <v/>
      </c>
      <c r="AD2070" s="48">
        <f>IF(OR($M2070="",$T2070=""),"",$T2070+(AD$2*$M2070))</f>
        <v/>
      </c>
      <c r="AE2070" s="49">
        <f>IF(OR($M2070="",$T2070=""),"",$T2070+(AE$2*$M2070))</f>
        <v/>
      </c>
      <c r="AF2070" s="52">
        <f>IF(OR(T2070="",I2070&lt;T2070),"",IFERROR(AVERAGE(T2070+M2070*{7,8,9,10,11})/IF(G2070="",I2070,G2070)-1,""))</f>
        <v/>
      </c>
      <c r="AG2070" s="55">
        <f>IF(OR(T2070="",I2070&lt;T2070),"",IFERROR(AF2070/-(R2070/IF(G2070="",I2070,G2070)-1),""))</f>
        <v/>
      </c>
      <c r="AH2070" s="94" t="n"/>
      <c r="AI2070" s="94" t="n"/>
      <c r="AJ2070" s="94" t="n"/>
      <c r="AK2070" s="94" t="n"/>
      <c r="AL2070" s="84" t="n"/>
    </row>
    <row r="2071">
      <c r="A2071" s="64" t="n"/>
      <c r="B2071" s="65" t="n"/>
      <c r="C2071" s="66" t="n"/>
      <c r="D2071" s="67" t="n"/>
      <c r="E2071" s="68" t="n"/>
      <c r="F2071" s="47">
        <f>IF(A2071="","",IF(MIN(H2071,MAX(J2071:K2071))=0,"",MIN(H2071,MAX(J2071:K2071))))</f>
        <v/>
      </c>
      <c r="G2071" s="74" t="n"/>
      <c r="H2071" s="49">
        <f>IF(M2071="","",IFERROR(ROUND(AVERAGE(T2071+M2071*{7,8,9,10,11})/1.21,4),""))</f>
        <v/>
      </c>
      <c r="I2071" s="76" t="n"/>
      <c r="J2071" s="77" t="n"/>
      <c r="K2071" s="74" t="n"/>
      <c r="L2071" s="78" t="n"/>
      <c r="M2071" s="77" t="n"/>
      <c r="N2071" s="53">
        <f>IF(M2071="","",IFERROR(M2071/I2071,""))</f>
        <v/>
      </c>
      <c r="O2071" s="50">
        <f>IF(A2071="","",IFERROR((IF(G2071="",I2071,G2071)-T2071)/M2071,""))</f>
        <v/>
      </c>
      <c r="P2071" s="50">
        <f>IFERROR((I2071/T2071-1)/N2071,"")</f>
        <v/>
      </c>
      <c r="Q2071" s="46">
        <f>IF(OR(T2071="",I2071&lt;T2071),"",IFERROR(R2071/IF(G2071="",I2071,G2071)-1,""))</f>
        <v/>
      </c>
      <c r="R2071" s="48">
        <f>IF($M2071="","",MAX(IF($G2071="",$I2071,$G2071)*(1/1.1),IF($G2071="",$I2071,$G2071)+(R$2*$M2071)))</f>
        <v/>
      </c>
      <c r="S2071" s="49">
        <f>IF($M2071="","",MAX(IF($G2071="",$I2071,$G2071)*(1/1.1),IF($G2071="",$I2071,$G2071)+(S$2*$M2071)))</f>
        <v/>
      </c>
      <c r="T2071" s="82" t="n"/>
      <c r="U2071" s="47">
        <f>IF(OR($M2071="",$T2071=""),"",$T2071+(U$2*$M2071))</f>
        <v/>
      </c>
      <c r="V2071" s="48">
        <f>IF(OR($M2071="",$T2071=""),"",$T2071+(V$2*$M2071))</f>
        <v/>
      </c>
      <c r="W2071" s="48">
        <f>IF(OR($M2071="",$T2071=""),"",$T2071+(W$2*$M2071))</f>
        <v/>
      </c>
      <c r="X2071" s="49">
        <f>IF(OR($M2071="",$T2071=""),"",$T2071+(X$2*$M2071))</f>
        <v/>
      </c>
      <c r="Y2071" s="47">
        <f>IF(OR($M2071="",$T2071=""),"",$T2071+(Y$2*$M2071))</f>
        <v/>
      </c>
      <c r="Z2071" s="49">
        <f>IF(OR($M2071="",$T2071=""),"",$T2071+(Z$2*$M2071))</f>
        <v/>
      </c>
      <c r="AA2071" s="51">
        <f>IF(OR($M2071="",$T2071=""),"",$T2071+(AA$2*$M2071))</f>
        <v/>
      </c>
      <c r="AB2071" s="48">
        <f>IF(OR($M2071="",$T2071=""),"",$T2071+(AB$2*$M2071))</f>
        <v/>
      </c>
      <c r="AC2071" s="48">
        <f>IF(OR($M2071="",$T2071=""),"",$T2071+(AC$2*$M2071))</f>
        <v/>
      </c>
      <c r="AD2071" s="48">
        <f>IF(OR($M2071="",$T2071=""),"",$T2071+(AD$2*$M2071))</f>
        <v/>
      </c>
      <c r="AE2071" s="49">
        <f>IF(OR($M2071="",$T2071=""),"",$T2071+(AE$2*$M2071))</f>
        <v/>
      </c>
      <c r="AF2071" s="52">
        <f>IF(OR(T2071="",I2071&lt;T2071),"",IFERROR(AVERAGE(T2071+M2071*{7,8,9,10,11})/IF(G2071="",I2071,G2071)-1,""))</f>
        <v/>
      </c>
      <c r="AG2071" s="55">
        <f>IF(OR(T2071="",I2071&lt;T2071),"",IFERROR(AF2071/-(R2071/IF(G2071="",I2071,G2071)-1),""))</f>
        <v/>
      </c>
      <c r="AH2071" s="94" t="n"/>
      <c r="AI2071" s="94" t="n"/>
      <c r="AJ2071" s="94" t="n"/>
      <c r="AK2071" s="94" t="n"/>
      <c r="AL2071" s="84" t="n"/>
    </row>
    <row r="2072">
      <c r="A2072" s="64" t="n"/>
      <c r="B2072" s="65" t="n"/>
      <c r="C2072" s="66" t="n"/>
      <c r="D2072" s="67" t="n"/>
      <c r="E2072" s="68" t="n"/>
      <c r="F2072" s="47">
        <f>IF(A2072="","",IF(MIN(H2072,MAX(J2072:K2072))=0,"",MIN(H2072,MAX(J2072:K2072))))</f>
        <v/>
      </c>
      <c r="G2072" s="74" t="n"/>
      <c r="H2072" s="49">
        <f>IF(M2072="","",IFERROR(ROUND(AVERAGE(T2072+M2072*{7,8,9,10,11})/1.21,4),""))</f>
        <v/>
      </c>
      <c r="I2072" s="76" t="n"/>
      <c r="J2072" s="77" t="n"/>
      <c r="K2072" s="74" t="n"/>
      <c r="L2072" s="78" t="n"/>
      <c r="M2072" s="77" t="n"/>
      <c r="N2072" s="53">
        <f>IF(M2072="","",IFERROR(M2072/I2072,""))</f>
        <v/>
      </c>
      <c r="O2072" s="50">
        <f>IF(A2072="","",IFERROR((IF(G2072="",I2072,G2072)-T2072)/M2072,""))</f>
        <v/>
      </c>
      <c r="P2072" s="50">
        <f>IFERROR((I2072/T2072-1)/N2072,"")</f>
        <v/>
      </c>
      <c r="Q2072" s="46">
        <f>IF(OR(T2072="",I2072&lt;T2072),"",IFERROR(R2072/IF(G2072="",I2072,G2072)-1,""))</f>
        <v/>
      </c>
      <c r="R2072" s="48">
        <f>IF($M2072="","",MAX(IF($G2072="",$I2072,$G2072)*(1/1.1),IF($G2072="",$I2072,$G2072)+(R$2*$M2072)))</f>
        <v/>
      </c>
      <c r="S2072" s="49">
        <f>IF($M2072="","",MAX(IF($G2072="",$I2072,$G2072)*(1/1.1),IF($G2072="",$I2072,$G2072)+(S$2*$M2072)))</f>
        <v/>
      </c>
      <c r="T2072" s="82" t="n"/>
      <c r="U2072" s="47">
        <f>IF(OR($M2072="",$T2072=""),"",$T2072+(U$2*$M2072))</f>
        <v/>
      </c>
      <c r="V2072" s="48">
        <f>IF(OR($M2072="",$T2072=""),"",$T2072+(V$2*$M2072))</f>
        <v/>
      </c>
      <c r="W2072" s="48">
        <f>IF(OR($M2072="",$T2072=""),"",$T2072+(W$2*$M2072))</f>
        <v/>
      </c>
      <c r="X2072" s="49">
        <f>IF(OR($M2072="",$T2072=""),"",$T2072+(X$2*$M2072))</f>
        <v/>
      </c>
      <c r="Y2072" s="47">
        <f>IF(OR($M2072="",$T2072=""),"",$T2072+(Y$2*$M2072))</f>
        <v/>
      </c>
      <c r="Z2072" s="49">
        <f>IF(OR($M2072="",$T2072=""),"",$T2072+(Z$2*$M2072))</f>
        <v/>
      </c>
      <c r="AA2072" s="51">
        <f>IF(OR($M2072="",$T2072=""),"",$T2072+(AA$2*$M2072))</f>
        <v/>
      </c>
      <c r="AB2072" s="48">
        <f>IF(OR($M2072="",$T2072=""),"",$T2072+(AB$2*$M2072))</f>
        <v/>
      </c>
      <c r="AC2072" s="48">
        <f>IF(OR($M2072="",$T2072=""),"",$T2072+(AC$2*$M2072))</f>
        <v/>
      </c>
      <c r="AD2072" s="48">
        <f>IF(OR($M2072="",$T2072=""),"",$T2072+(AD$2*$M2072))</f>
        <v/>
      </c>
      <c r="AE2072" s="49">
        <f>IF(OR($M2072="",$T2072=""),"",$T2072+(AE$2*$M2072))</f>
        <v/>
      </c>
      <c r="AF2072" s="52">
        <f>IF(OR(T2072="",I2072&lt;T2072),"",IFERROR(AVERAGE(T2072+M2072*{7,8,9,10,11})/IF(G2072="",I2072,G2072)-1,""))</f>
        <v/>
      </c>
      <c r="AG2072" s="55">
        <f>IF(OR(T2072="",I2072&lt;T2072),"",IFERROR(AF2072/-(R2072/IF(G2072="",I2072,G2072)-1),""))</f>
        <v/>
      </c>
      <c r="AH2072" s="94" t="n"/>
      <c r="AI2072" s="94" t="n"/>
      <c r="AJ2072" s="94" t="n"/>
      <c r="AK2072" s="94" t="n"/>
      <c r="AL2072" s="84" t="n"/>
    </row>
    <row r="2073">
      <c r="A2073" s="64" t="n"/>
      <c r="B2073" s="65" t="n"/>
      <c r="C2073" s="66" t="n"/>
      <c r="D2073" s="67" t="n"/>
      <c r="E2073" s="68" t="n"/>
      <c r="F2073" s="47">
        <f>IF(A2073="","",IF(MIN(H2073,MAX(J2073:K2073))=0,"",MIN(H2073,MAX(J2073:K2073))))</f>
        <v/>
      </c>
      <c r="G2073" s="74" t="n"/>
      <c r="H2073" s="49">
        <f>IF(M2073="","",IFERROR(ROUND(AVERAGE(T2073+M2073*{7,8,9,10,11})/1.21,4),""))</f>
        <v/>
      </c>
      <c r="I2073" s="76" t="n"/>
      <c r="J2073" s="77" t="n"/>
      <c r="K2073" s="74" t="n"/>
      <c r="L2073" s="78" t="n"/>
      <c r="M2073" s="77" t="n"/>
      <c r="N2073" s="53">
        <f>IF(M2073="","",IFERROR(M2073/I2073,""))</f>
        <v/>
      </c>
      <c r="O2073" s="50">
        <f>IF(A2073="","",IFERROR((IF(G2073="",I2073,G2073)-T2073)/M2073,""))</f>
        <v/>
      </c>
      <c r="P2073" s="50">
        <f>IFERROR((I2073/T2073-1)/N2073,"")</f>
        <v/>
      </c>
      <c r="Q2073" s="46">
        <f>IF(OR(T2073="",I2073&lt;T2073),"",IFERROR(R2073/IF(G2073="",I2073,G2073)-1,""))</f>
        <v/>
      </c>
      <c r="R2073" s="48">
        <f>IF($M2073="","",MAX(IF($G2073="",$I2073,$G2073)*(1/1.1),IF($G2073="",$I2073,$G2073)+(R$2*$M2073)))</f>
        <v/>
      </c>
      <c r="S2073" s="49">
        <f>IF($M2073="","",MAX(IF($G2073="",$I2073,$G2073)*(1/1.1),IF($G2073="",$I2073,$G2073)+(S$2*$M2073)))</f>
        <v/>
      </c>
      <c r="T2073" s="82" t="n"/>
      <c r="U2073" s="47">
        <f>IF(OR($M2073="",$T2073=""),"",$T2073+(U$2*$M2073))</f>
        <v/>
      </c>
      <c r="V2073" s="48">
        <f>IF(OR($M2073="",$T2073=""),"",$T2073+(V$2*$M2073))</f>
        <v/>
      </c>
      <c r="W2073" s="48">
        <f>IF(OR($M2073="",$T2073=""),"",$T2073+(W$2*$M2073))</f>
        <v/>
      </c>
      <c r="X2073" s="49">
        <f>IF(OR($M2073="",$T2073=""),"",$T2073+(X$2*$M2073))</f>
        <v/>
      </c>
      <c r="Y2073" s="47">
        <f>IF(OR($M2073="",$T2073=""),"",$T2073+(Y$2*$M2073))</f>
        <v/>
      </c>
      <c r="Z2073" s="49">
        <f>IF(OR($M2073="",$T2073=""),"",$T2073+(Z$2*$M2073))</f>
        <v/>
      </c>
      <c r="AA2073" s="51">
        <f>IF(OR($M2073="",$T2073=""),"",$T2073+(AA$2*$M2073))</f>
        <v/>
      </c>
      <c r="AB2073" s="48">
        <f>IF(OR($M2073="",$T2073=""),"",$T2073+(AB$2*$M2073))</f>
        <v/>
      </c>
      <c r="AC2073" s="48">
        <f>IF(OR($M2073="",$T2073=""),"",$T2073+(AC$2*$M2073))</f>
        <v/>
      </c>
      <c r="AD2073" s="48">
        <f>IF(OR($M2073="",$T2073=""),"",$T2073+(AD$2*$M2073))</f>
        <v/>
      </c>
      <c r="AE2073" s="49">
        <f>IF(OR($M2073="",$T2073=""),"",$T2073+(AE$2*$M2073))</f>
        <v/>
      </c>
      <c r="AF2073" s="52">
        <f>IF(OR(T2073="",I2073&lt;T2073),"",IFERROR(AVERAGE(T2073+M2073*{7,8,9,10,11})/IF(G2073="",I2073,G2073)-1,""))</f>
        <v/>
      </c>
      <c r="AG2073" s="55">
        <f>IF(OR(T2073="",I2073&lt;T2073),"",IFERROR(AF2073/-(R2073/IF(G2073="",I2073,G2073)-1),""))</f>
        <v/>
      </c>
      <c r="AH2073" s="94" t="n"/>
      <c r="AI2073" s="94" t="n"/>
      <c r="AJ2073" s="94" t="n"/>
      <c r="AK2073" s="94" t="n"/>
      <c r="AL2073" s="84" t="n"/>
    </row>
    <row r="2074">
      <c r="A2074" s="64" t="n"/>
      <c r="B2074" s="65" t="n"/>
      <c r="C2074" s="66" t="n"/>
      <c r="D2074" s="67" t="n"/>
      <c r="E2074" s="68" t="n"/>
      <c r="F2074" s="47">
        <f>IF(A2074="","",IF(MIN(H2074,MAX(J2074:K2074))=0,"",MIN(H2074,MAX(J2074:K2074))))</f>
        <v/>
      </c>
      <c r="G2074" s="74" t="n"/>
      <c r="H2074" s="49">
        <f>IF(M2074="","",IFERROR(ROUND(AVERAGE(T2074+M2074*{7,8,9,10,11})/1.21,4),""))</f>
        <v/>
      </c>
      <c r="I2074" s="76" t="n"/>
      <c r="J2074" s="77" t="n"/>
      <c r="K2074" s="74" t="n"/>
      <c r="L2074" s="78" t="n"/>
      <c r="M2074" s="77" t="n"/>
      <c r="N2074" s="53">
        <f>IF(M2074="","",IFERROR(M2074/I2074,""))</f>
        <v/>
      </c>
      <c r="O2074" s="50">
        <f>IF(A2074="","",IFERROR((IF(G2074="",I2074,G2074)-T2074)/M2074,""))</f>
        <v/>
      </c>
      <c r="P2074" s="50">
        <f>IFERROR((I2074/T2074-1)/N2074,"")</f>
        <v/>
      </c>
      <c r="Q2074" s="46">
        <f>IF(OR(T2074="",I2074&lt;T2074),"",IFERROR(R2074/IF(G2074="",I2074,G2074)-1,""))</f>
        <v/>
      </c>
      <c r="R2074" s="48">
        <f>IF($M2074="","",MAX(IF($G2074="",$I2074,$G2074)*(1/1.1),IF($G2074="",$I2074,$G2074)+(R$2*$M2074)))</f>
        <v/>
      </c>
      <c r="S2074" s="49">
        <f>IF($M2074="","",MAX(IF($G2074="",$I2074,$G2074)*(1/1.1),IF($G2074="",$I2074,$G2074)+(S$2*$M2074)))</f>
        <v/>
      </c>
      <c r="T2074" s="82" t="n"/>
      <c r="U2074" s="47">
        <f>IF(OR($M2074="",$T2074=""),"",$T2074+(U$2*$M2074))</f>
        <v/>
      </c>
      <c r="V2074" s="48">
        <f>IF(OR($M2074="",$T2074=""),"",$T2074+(V$2*$M2074))</f>
        <v/>
      </c>
      <c r="W2074" s="48">
        <f>IF(OR($M2074="",$T2074=""),"",$T2074+(W$2*$M2074))</f>
        <v/>
      </c>
      <c r="X2074" s="49">
        <f>IF(OR($M2074="",$T2074=""),"",$T2074+(X$2*$M2074))</f>
        <v/>
      </c>
      <c r="Y2074" s="47">
        <f>IF(OR($M2074="",$T2074=""),"",$T2074+(Y$2*$M2074))</f>
        <v/>
      </c>
      <c r="Z2074" s="49">
        <f>IF(OR($M2074="",$T2074=""),"",$T2074+(Z$2*$M2074))</f>
        <v/>
      </c>
      <c r="AA2074" s="51">
        <f>IF(OR($M2074="",$T2074=""),"",$T2074+(AA$2*$M2074))</f>
        <v/>
      </c>
      <c r="AB2074" s="48">
        <f>IF(OR($M2074="",$T2074=""),"",$T2074+(AB$2*$M2074))</f>
        <v/>
      </c>
      <c r="AC2074" s="48">
        <f>IF(OR($M2074="",$T2074=""),"",$T2074+(AC$2*$M2074))</f>
        <v/>
      </c>
      <c r="AD2074" s="48">
        <f>IF(OR($M2074="",$T2074=""),"",$T2074+(AD$2*$M2074))</f>
        <v/>
      </c>
      <c r="AE2074" s="49">
        <f>IF(OR($M2074="",$T2074=""),"",$T2074+(AE$2*$M2074))</f>
        <v/>
      </c>
      <c r="AF2074" s="52">
        <f>IF(OR(T2074="",I2074&lt;T2074),"",IFERROR(AVERAGE(T2074+M2074*{7,8,9,10,11})/IF(G2074="",I2074,G2074)-1,""))</f>
        <v/>
      </c>
      <c r="AG2074" s="55">
        <f>IF(OR(T2074="",I2074&lt;T2074),"",IFERROR(AF2074/-(R2074/IF(G2074="",I2074,G2074)-1),""))</f>
        <v/>
      </c>
      <c r="AH2074" s="94" t="n"/>
      <c r="AI2074" s="94" t="n"/>
      <c r="AJ2074" s="94" t="n"/>
      <c r="AK2074" s="94" t="n"/>
      <c r="AL2074" s="84" t="n"/>
    </row>
    <row r="2075">
      <c r="A2075" s="64" t="n"/>
      <c r="B2075" s="65" t="n"/>
      <c r="C2075" s="66" t="n"/>
      <c r="D2075" s="67" t="n"/>
      <c r="E2075" s="68" t="n"/>
      <c r="F2075" s="47">
        <f>IF(A2075="","",IF(MIN(H2075,MAX(J2075:K2075))=0,"",MIN(H2075,MAX(J2075:K2075))))</f>
        <v/>
      </c>
      <c r="G2075" s="74" t="n"/>
      <c r="H2075" s="49">
        <f>IF(M2075="","",IFERROR(ROUND(AVERAGE(T2075+M2075*{7,8,9,10,11})/1.21,4),""))</f>
        <v/>
      </c>
      <c r="I2075" s="76" t="n"/>
      <c r="J2075" s="77" t="n"/>
      <c r="K2075" s="74" t="n"/>
      <c r="L2075" s="78" t="n"/>
      <c r="M2075" s="77" t="n"/>
      <c r="N2075" s="53">
        <f>IF(M2075="","",IFERROR(M2075/I2075,""))</f>
        <v/>
      </c>
      <c r="O2075" s="50">
        <f>IF(A2075="","",IFERROR((IF(G2075="",I2075,G2075)-T2075)/M2075,""))</f>
        <v/>
      </c>
      <c r="P2075" s="50">
        <f>IFERROR((I2075/T2075-1)/N2075,"")</f>
        <v/>
      </c>
      <c r="Q2075" s="46">
        <f>IF(OR(T2075="",I2075&lt;T2075),"",IFERROR(R2075/IF(G2075="",I2075,G2075)-1,""))</f>
        <v/>
      </c>
      <c r="R2075" s="48">
        <f>IF($M2075="","",MAX(IF($G2075="",$I2075,$G2075)*(1/1.1),IF($G2075="",$I2075,$G2075)+(R$2*$M2075)))</f>
        <v/>
      </c>
      <c r="S2075" s="49">
        <f>IF($M2075="","",MAX(IF($G2075="",$I2075,$G2075)*(1/1.1),IF($G2075="",$I2075,$G2075)+(S$2*$M2075)))</f>
        <v/>
      </c>
      <c r="T2075" s="82" t="n"/>
      <c r="U2075" s="47">
        <f>IF(OR($M2075="",$T2075=""),"",$T2075+(U$2*$M2075))</f>
        <v/>
      </c>
      <c r="V2075" s="48">
        <f>IF(OR($M2075="",$T2075=""),"",$T2075+(V$2*$M2075))</f>
        <v/>
      </c>
      <c r="W2075" s="48">
        <f>IF(OR($M2075="",$T2075=""),"",$T2075+(W$2*$M2075))</f>
        <v/>
      </c>
      <c r="X2075" s="49">
        <f>IF(OR($M2075="",$T2075=""),"",$T2075+(X$2*$M2075))</f>
        <v/>
      </c>
      <c r="Y2075" s="47">
        <f>IF(OR($M2075="",$T2075=""),"",$T2075+(Y$2*$M2075))</f>
        <v/>
      </c>
      <c r="Z2075" s="49">
        <f>IF(OR($M2075="",$T2075=""),"",$T2075+(Z$2*$M2075))</f>
        <v/>
      </c>
      <c r="AA2075" s="51">
        <f>IF(OR($M2075="",$T2075=""),"",$T2075+(AA$2*$M2075))</f>
        <v/>
      </c>
      <c r="AB2075" s="48">
        <f>IF(OR($M2075="",$T2075=""),"",$T2075+(AB$2*$M2075))</f>
        <v/>
      </c>
      <c r="AC2075" s="48">
        <f>IF(OR($M2075="",$T2075=""),"",$T2075+(AC$2*$M2075))</f>
        <v/>
      </c>
      <c r="AD2075" s="48">
        <f>IF(OR($M2075="",$T2075=""),"",$T2075+(AD$2*$M2075))</f>
        <v/>
      </c>
      <c r="AE2075" s="49">
        <f>IF(OR($M2075="",$T2075=""),"",$T2075+(AE$2*$M2075))</f>
        <v/>
      </c>
      <c r="AF2075" s="52">
        <f>IF(OR(T2075="",I2075&lt;T2075),"",IFERROR(AVERAGE(T2075+M2075*{7,8,9,10,11})/IF(G2075="",I2075,G2075)-1,""))</f>
        <v/>
      </c>
      <c r="AG2075" s="55">
        <f>IF(OR(T2075="",I2075&lt;T2075),"",IFERROR(AF2075/-(R2075/IF(G2075="",I2075,G2075)-1),""))</f>
        <v/>
      </c>
      <c r="AH2075" s="94" t="n"/>
      <c r="AI2075" s="94" t="n"/>
      <c r="AJ2075" s="94" t="n"/>
      <c r="AK2075" s="94" t="n"/>
      <c r="AL2075" s="84" t="n"/>
    </row>
    <row r="2076">
      <c r="A2076" s="64" t="n"/>
      <c r="B2076" s="65" t="n"/>
      <c r="C2076" s="66" t="n"/>
      <c r="D2076" s="67" t="n"/>
      <c r="E2076" s="68" t="n"/>
      <c r="F2076" s="47">
        <f>IF(A2076="","",IF(MIN(H2076,MAX(J2076:K2076))=0,"",MIN(H2076,MAX(J2076:K2076))))</f>
        <v/>
      </c>
      <c r="G2076" s="74" t="n"/>
      <c r="H2076" s="49">
        <f>IF(M2076="","",IFERROR(ROUND(AVERAGE(T2076+M2076*{7,8,9,10,11})/1.21,4),""))</f>
        <v/>
      </c>
      <c r="I2076" s="76" t="n"/>
      <c r="J2076" s="77" t="n"/>
      <c r="K2076" s="74" t="n"/>
      <c r="L2076" s="78" t="n"/>
      <c r="M2076" s="77" t="n"/>
      <c r="N2076" s="53">
        <f>IF(M2076="","",IFERROR(M2076/I2076,""))</f>
        <v/>
      </c>
      <c r="O2076" s="50">
        <f>IF(A2076="","",IFERROR((IF(G2076="",I2076,G2076)-T2076)/M2076,""))</f>
        <v/>
      </c>
      <c r="P2076" s="50">
        <f>IFERROR((I2076/T2076-1)/N2076,"")</f>
        <v/>
      </c>
      <c r="Q2076" s="46">
        <f>IF(OR(T2076="",I2076&lt;T2076),"",IFERROR(R2076/IF(G2076="",I2076,G2076)-1,""))</f>
        <v/>
      </c>
      <c r="R2076" s="48">
        <f>IF($M2076="","",MAX(IF($G2076="",$I2076,$G2076)*(1/1.1),IF($G2076="",$I2076,$G2076)+(R$2*$M2076)))</f>
        <v/>
      </c>
      <c r="S2076" s="49">
        <f>IF($M2076="","",MAX(IF($G2076="",$I2076,$G2076)*(1/1.1),IF($G2076="",$I2076,$G2076)+(S$2*$M2076)))</f>
        <v/>
      </c>
      <c r="T2076" s="82" t="n"/>
      <c r="U2076" s="47">
        <f>IF(OR($M2076="",$T2076=""),"",$T2076+(U$2*$M2076))</f>
        <v/>
      </c>
      <c r="V2076" s="48">
        <f>IF(OR($M2076="",$T2076=""),"",$T2076+(V$2*$M2076))</f>
        <v/>
      </c>
      <c r="W2076" s="48">
        <f>IF(OR($M2076="",$T2076=""),"",$T2076+(W$2*$M2076))</f>
        <v/>
      </c>
      <c r="X2076" s="49">
        <f>IF(OR($M2076="",$T2076=""),"",$T2076+(X$2*$M2076))</f>
        <v/>
      </c>
      <c r="Y2076" s="47">
        <f>IF(OR($M2076="",$T2076=""),"",$T2076+(Y$2*$M2076))</f>
        <v/>
      </c>
      <c r="Z2076" s="49">
        <f>IF(OR($M2076="",$T2076=""),"",$T2076+(Z$2*$M2076))</f>
        <v/>
      </c>
      <c r="AA2076" s="51">
        <f>IF(OR($M2076="",$T2076=""),"",$T2076+(AA$2*$M2076))</f>
        <v/>
      </c>
      <c r="AB2076" s="48">
        <f>IF(OR($M2076="",$T2076=""),"",$T2076+(AB$2*$M2076))</f>
        <v/>
      </c>
      <c r="AC2076" s="48">
        <f>IF(OR($M2076="",$T2076=""),"",$T2076+(AC$2*$M2076))</f>
        <v/>
      </c>
      <c r="AD2076" s="48">
        <f>IF(OR($M2076="",$T2076=""),"",$T2076+(AD$2*$M2076))</f>
        <v/>
      </c>
      <c r="AE2076" s="49">
        <f>IF(OR($M2076="",$T2076=""),"",$T2076+(AE$2*$M2076))</f>
        <v/>
      </c>
      <c r="AF2076" s="52">
        <f>IF(OR(T2076="",I2076&lt;T2076),"",IFERROR(AVERAGE(T2076+M2076*{7,8,9,10,11})/IF(G2076="",I2076,G2076)-1,""))</f>
        <v/>
      </c>
      <c r="AG2076" s="55">
        <f>IF(OR(T2076="",I2076&lt;T2076),"",IFERROR(AF2076/-(R2076/IF(G2076="",I2076,G2076)-1),""))</f>
        <v/>
      </c>
      <c r="AH2076" s="94" t="n"/>
      <c r="AI2076" s="94" t="n"/>
      <c r="AJ2076" s="94" t="n"/>
      <c r="AK2076" s="94" t="n"/>
      <c r="AL2076" s="84" t="n"/>
    </row>
    <row r="2077">
      <c r="A2077" s="64" t="n"/>
      <c r="B2077" s="65" t="n"/>
      <c r="C2077" s="66" t="n"/>
      <c r="D2077" s="67" t="n"/>
      <c r="E2077" s="68" t="n"/>
      <c r="F2077" s="47">
        <f>IF(A2077="","",IF(MIN(H2077,MAX(J2077:K2077))=0,"",MIN(H2077,MAX(J2077:K2077))))</f>
        <v/>
      </c>
      <c r="G2077" s="74" t="n"/>
      <c r="H2077" s="49">
        <f>IF(M2077="","",IFERROR(ROUND(AVERAGE(T2077+M2077*{7,8,9,10,11})/1.21,4),""))</f>
        <v/>
      </c>
      <c r="I2077" s="76" t="n"/>
      <c r="J2077" s="77" t="n"/>
      <c r="K2077" s="74" t="n"/>
      <c r="L2077" s="78" t="n"/>
      <c r="M2077" s="77" t="n"/>
      <c r="N2077" s="53">
        <f>IF(M2077="","",IFERROR(M2077/I2077,""))</f>
        <v/>
      </c>
      <c r="O2077" s="50">
        <f>IF(A2077="","",IFERROR((IF(G2077="",I2077,G2077)-T2077)/M2077,""))</f>
        <v/>
      </c>
      <c r="P2077" s="50">
        <f>IFERROR((I2077/T2077-1)/N2077,"")</f>
        <v/>
      </c>
      <c r="Q2077" s="46">
        <f>IF(OR(T2077="",I2077&lt;T2077),"",IFERROR(R2077/IF(G2077="",I2077,G2077)-1,""))</f>
        <v/>
      </c>
      <c r="R2077" s="48">
        <f>IF($M2077="","",MAX(IF($G2077="",$I2077,$G2077)*(1/1.1),IF($G2077="",$I2077,$G2077)+(R$2*$M2077)))</f>
        <v/>
      </c>
      <c r="S2077" s="49">
        <f>IF($M2077="","",MAX(IF($G2077="",$I2077,$G2077)*(1/1.1),IF($G2077="",$I2077,$G2077)+(S$2*$M2077)))</f>
        <v/>
      </c>
      <c r="T2077" s="82" t="n"/>
      <c r="U2077" s="47">
        <f>IF(OR($M2077="",$T2077=""),"",$T2077+(U$2*$M2077))</f>
        <v/>
      </c>
      <c r="V2077" s="48">
        <f>IF(OR($M2077="",$T2077=""),"",$T2077+(V$2*$M2077))</f>
        <v/>
      </c>
      <c r="W2077" s="48">
        <f>IF(OR($M2077="",$T2077=""),"",$T2077+(W$2*$M2077))</f>
        <v/>
      </c>
      <c r="X2077" s="49">
        <f>IF(OR($M2077="",$T2077=""),"",$T2077+(X$2*$M2077))</f>
        <v/>
      </c>
      <c r="Y2077" s="47">
        <f>IF(OR($M2077="",$T2077=""),"",$T2077+(Y$2*$M2077))</f>
        <v/>
      </c>
      <c r="Z2077" s="49">
        <f>IF(OR($M2077="",$T2077=""),"",$T2077+(Z$2*$M2077))</f>
        <v/>
      </c>
      <c r="AA2077" s="51">
        <f>IF(OR($M2077="",$T2077=""),"",$T2077+(AA$2*$M2077))</f>
        <v/>
      </c>
      <c r="AB2077" s="48">
        <f>IF(OR($M2077="",$T2077=""),"",$T2077+(AB$2*$M2077))</f>
        <v/>
      </c>
      <c r="AC2077" s="48">
        <f>IF(OR($M2077="",$T2077=""),"",$T2077+(AC$2*$M2077))</f>
        <v/>
      </c>
      <c r="AD2077" s="48">
        <f>IF(OR($M2077="",$T2077=""),"",$T2077+(AD$2*$M2077))</f>
        <v/>
      </c>
      <c r="AE2077" s="49">
        <f>IF(OR($M2077="",$T2077=""),"",$T2077+(AE$2*$M2077))</f>
        <v/>
      </c>
      <c r="AF2077" s="52">
        <f>IF(OR(T2077="",I2077&lt;T2077),"",IFERROR(AVERAGE(T2077+M2077*{7,8,9,10,11})/IF(G2077="",I2077,G2077)-1,""))</f>
        <v/>
      </c>
      <c r="AG2077" s="55">
        <f>IF(OR(T2077="",I2077&lt;T2077),"",IFERROR(AF2077/-(R2077/IF(G2077="",I2077,G2077)-1),""))</f>
        <v/>
      </c>
      <c r="AH2077" s="94" t="n"/>
      <c r="AI2077" s="94" t="n"/>
      <c r="AJ2077" s="94" t="n"/>
      <c r="AK2077" s="94" t="n"/>
      <c r="AL2077" s="84" t="n"/>
    </row>
    <row r="2078">
      <c r="A2078" s="64" t="n"/>
      <c r="B2078" s="65" t="n"/>
      <c r="C2078" s="66" t="n"/>
      <c r="D2078" s="67" t="n"/>
      <c r="E2078" s="68" t="n"/>
      <c r="F2078" s="47">
        <f>IF(A2078="","",IF(MIN(H2078,MAX(J2078:K2078))=0,"",MIN(H2078,MAX(J2078:K2078))))</f>
        <v/>
      </c>
      <c r="G2078" s="74" t="n"/>
      <c r="H2078" s="49">
        <f>IF(M2078="","",IFERROR(ROUND(AVERAGE(T2078+M2078*{7,8,9,10,11})/1.21,4),""))</f>
        <v/>
      </c>
      <c r="I2078" s="76" t="n"/>
      <c r="J2078" s="77" t="n"/>
      <c r="K2078" s="74" t="n"/>
      <c r="L2078" s="78" t="n"/>
      <c r="M2078" s="77" t="n"/>
      <c r="N2078" s="53">
        <f>IF(M2078="","",IFERROR(M2078/I2078,""))</f>
        <v/>
      </c>
      <c r="O2078" s="50">
        <f>IF(A2078="","",IFERROR((IF(G2078="",I2078,G2078)-T2078)/M2078,""))</f>
        <v/>
      </c>
      <c r="P2078" s="50">
        <f>IFERROR((I2078/T2078-1)/N2078,"")</f>
        <v/>
      </c>
      <c r="Q2078" s="46">
        <f>IF(OR(T2078="",I2078&lt;T2078),"",IFERROR(R2078/IF(G2078="",I2078,G2078)-1,""))</f>
        <v/>
      </c>
      <c r="R2078" s="48">
        <f>IF($M2078="","",MAX(IF($G2078="",$I2078,$G2078)*(1/1.1),IF($G2078="",$I2078,$G2078)+(R$2*$M2078)))</f>
        <v/>
      </c>
      <c r="S2078" s="49">
        <f>IF($M2078="","",MAX(IF($G2078="",$I2078,$G2078)*(1/1.1),IF($G2078="",$I2078,$G2078)+(S$2*$M2078)))</f>
        <v/>
      </c>
      <c r="T2078" s="82" t="n"/>
      <c r="U2078" s="47">
        <f>IF(OR($M2078="",$T2078=""),"",$T2078+(U$2*$M2078))</f>
        <v/>
      </c>
      <c r="V2078" s="48">
        <f>IF(OR($M2078="",$T2078=""),"",$T2078+(V$2*$M2078))</f>
        <v/>
      </c>
      <c r="W2078" s="48">
        <f>IF(OR($M2078="",$T2078=""),"",$T2078+(W$2*$M2078))</f>
        <v/>
      </c>
      <c r="X2078" s="49">
        <f>IF(OR($M2078="",$T2078=""),"",$T2078+(X$2*$M2078))</f>
        <v/>
      </c>
      <c r="Y2078" s="47">
        <f>IF(OR($M2078="",$T2078=""),"",$T2078+(Y$2*$M2078))</f>
        <v/>
      </c>
      <c r="Z2078" s="49">
        <f>IF(OR($M2078="",$T2078=""),"",$T2078+(Z$2*$M2078))</f>
        <v/>
      </c>
      <c r="AA2078" s="51">
        <f>IF(OR($M2078="",$T2078=""),"",$T2078+(AA$2*$M2078))</f>
        <v/>
      </c>
      <c r="AB2078" s="48">
        <f>IF(OR($M2078="",$T2078=""),"",$T2078+(AB$2*$M2078))</f>
        <v/>
      </c>
      <c r="AC2078" s="48">
        <f>IF(OR($M2078="",$T2078=""),"",$T2078+(AC$2*$M2078))</f>
        <v/>
      </c>
      <c r="AD2078" s="48">
        <f>IF(OR($M2078="",$T2078=""),"",$T2078+(AD$2*$M2078))</f>
        <v/>
      </c>
      <c r="AE2078" s="49">
        <f>IF(OR($M2078="",$T2078=""),"",$T2078+(AE$2*$M2078))</f>
        <v/>
      </c>
      <c r="AF2078" s="52">
        <f>IF(OR(T2078="",I2078&lt;T2078),"",IFERROR(AVERAGE(T2078+M2078*{7,8,9,10,11})/IF(G2078="",I2078,G2078)-1,""))</f>
        <v/>
      </c>
      <c r="AG2078" s="55">
        <f>IF(OR(T2078="",I2078&lt;T2078),"",IFERROR(AF2078/-(R2078/IF(G2078="",I2078,G2078)-1),""))</f>
        <v/>
      </c>
      <c r="AH2078" s="94" t="n"/>
      <c r="AI2078" s="94" t="n"/>
      <c r="AJ2078" s="94" t="n"/>
      <c r="AK2078" s="94" t="n"/>
      <c r="AL2078" s="84" t="n"/>
    </row>
    <row r="2079">
      <c r="A2079" s="64" t="n"/>
      <c r="B2079" s="65" t="n"/>
      <c r="C2079" s="66" t="n"/>
      <c r="D2079" s="67" t="n"/>
      <c r="E2079" s="68" t="n"/>
      <c r="F2079" s="47">
        <f>IF(A2079="","",IF(MIN(H2079,MAX(J2079:K2079))=0,"",MIN(H2079,MAX(J2079:K2079))))</f>
        <v/>
      </c>
      <c r="G2079" s="74" t="n"/>
      <c r="H2079" s="49">
        <f>IF(M2079="","",IFERROR(ROUND(AVERAGE(T2079+M2079*{7,8,9,10,11})/1.21,4),""))</f>
        <v/>
      </c>
      <c r="I2079" s="76" t="n"/>
      <c r="J2079" s="77" t="n"/>
      <c r="K2079" s="74" t="n"/>
      <c r="L2079" s="78" t="n"/>
      <c r="M2079" s="77" t="n"/>
      <c r="N2079" s="53">
        <f>IF(M2079="","",IFERROR(M2079/I2079,""))</f>
        <v/>
      </c>
      <c r="O2079" s="50">
        <f>IF(A2079="","",IFERROR((IF(G2079="",I2079,G2079)-T2079)/M2079,""))</f>
        <v/>
      </c>
      <c r="P2079" s="50">
        <f>IFERROR((I2079/T2079-1)/N2079,"")</f>
        <v/>
      </c>
      <c r="Q2079" s="46">
        <f>IF(OR(T2079="",I2079&lt;T2079),"",IFERROR(R2079/IF(G2079="",I2079,G2079)-1,""))</f>
        <v/>
      </c>
      <c r="R2079" s="48">
        <f>IF($M2079="","",MAX(IF($G2079="",$I2079,$G2079)*(1/1.1),IF($G2079="",$I2079,$G2079)+(R$2*$M2079)))</f>
        <v/>
      </c>
      <c r="S2079" s="49">
        <f>IF($M2079="","",MAX(IF($G2079="",$I2079,$G2079)*(1/1.1),IF($G2079="",$I2079,$G2079)+(S$2*$M2079)))</f>
        <v/>
      </c>
      <c r="T2079" s="82" t="n"/>
      <c r="U2079" s="47">
        <f>IF(OR($M2079="",$T2079=""),"",$T2079+(U$2*$M2079))</f>
        <v/>
      </c>
      <c r="V2079" s="48">
        <f>IF(OR($M2079="",$T2079=""),"",$T2079+(V$2*$M2079))</f>
        <v/>
      </c>
      <c r="W2079" s="48">
        <f>IF(OR($M2079="",$T2079=""),"",$T2079+(W$2*$M2079))</f>
        <v/>
      </c>
      <c r="X2079" s="49">
        <f>IF(OR($M2079="",$T2079=""),"",$T2079+(X$2*$M2079))</f>
        <v/>
      </c>
      <c r="Y2079" s="47">
        <f>IF(OR($M2079="",$T2079=""),"",$T2079+(Y$2*$M2079))</f>
        <v/>
      </c>
      <c r="Z2079" s="49">
        <f>IF(OR($M2079="",$T2079=""),"",$T2079+(Z$2*$M2079))</f>
        <v/>
      </c>
      <c r="AA2079" s="51">
        <f>IF(OR($M2079="",$T2079=""),"",$T2079+(AA$2*$M2079))</f>
        <v/>
      </c>
      <c r="AB2079" s="48">
        <f>IF(OR($M2079="",$T2079=""),"",$T2079+(AB$2*$M2079))</f>
        <v/>
      </c>
      <c r="AC2079" s="48">
        <f>IF(OR($M2079="",$T2079=""),"",$T2079+(AC$2*$M2079))</f>
        <v/>
      </c>
      <c r="AD2079" s="48">
        <f>IF(OR($M2079="",$T2079=""),"",$T2079+(AD$2*$M2079))</f>
        <v/>
      </c>
      <c r="AE2079" s="49">
        <f>IF(OR($M2079="",$T2079=""),"",$T2079+(AE$2*$M2079))</f>
        <v/>
      </c>
      <c r="AF2079" s="52">
        <f>IF(OR(T2079="",I2079&lt;T2079),"",IFERROR(AVERAGE(T2079+M2079*{7,8,9,10,11})/IF(G2079="",I2079,G2079)-1,""))</f>
        <v/>
      </c>
      <c r="AG2079" s="55">
        <f>IF(OR(T2079="",I2079&lt;T2079),"",IFERROR(AF2079/-(R2079/IF(G2079="",I2079,G2079)-1),""))</f>
        <v/>
      </c>
      <c r="AH2079" s="94" t="n"/>
      <c r="AI2079" s="94" t="n"/>
      <c r="AJ2079" s="94" t="n"/>
      <c r="AK2079" s="94" t="n"/>
      <c r="AL2079" s="84" t="n"/>
    </row>
    <row r="2080">
      <c r="A2080" s="64" t="n"/>
      <c r="B2080" s="65" t="n"/>
      <c r="C2080" s="66" t="n"/>
      <c r="D2080" s="67" t="n"/>
      <c r="E2080" s="68" t="n"/>
      <c r="F2080" s="47">
        <f>IF(A2080="","",IF(MIN(H2080,MAX(J2080:K2080))=0,"",MIN(H2080,MAX(J2080:K2080))))</f>
        <v/>
      </c>
      <c r="G2080" s="74" t="n"/>
      <c r="H2080" s="49">
        <f>IF(M2080="","",IFERROR(ROUND(AVERAGE(T2080+M2080*{7,8,9,10,11})/1.21,4),""))</f>
        <v/>
      </c>
      <c r="I2080" s="76" t="n"/>
      <c r="J2080" s="77" t="n"/>
      <c r="K2080" s="74" t="n"/>
      <c r="L2080" s="78" t="n"/>
      <c r="M2080" s="77" t="n"/>
      <c r="N2080" s="53">
        <f>IF(M2080="","",IFERROR(M2080/I2080,""))</f>
        <v/>
      </c>
      <c r="O2080" s="50">
        <f>IF(A2080="","",IFERROR((IF(G2080="",I2080,G2080)-T2080)/M2080,""))</f>
        <v/>
      </c>
      <c r="P2080" s="50">
        <f>IFERROR((I2080/T2080-1)/N2080,"")</f>
        <v/>
      </c>
      <c r="Q2080" s="46">
        <f>IF(OR(T2080="",I2080&lt;T2080),"",IFERROR(R2080/IF(G2080="",I2080,G2080)-1,""))</f>
        <v/>
      </c>
      <c r="R2080" s="48">
        <f>IF($M2080="","",MAX(IF($G2080="",$I2080,$G2080)*(1/1.1),IF($G2080="",$I2080,$G2080)+(R$2*$M2080)))</f>
        <v/>
      </c>
      <c r="S2080" s="49">
        <f>IF($M2080="","",MAX(IF($G2080="",$I2080,$G2080)*(1/1.1),IF($G2080="",$I2080,$G2080)+(S$2*$M2080)))</f>
        <v/>
      </c>
      <c r="T2080" s="82" t="n"/>
      <c r="U2080" s="47">
        <f>IF(OR($M2080="",$T2080=""),"",$T2080+(U$2*$M2080))</f>
        <v/>
      </c>
      <c r="V2080" s="48">
        <f>IF(OR($M2080="",$T2080=""),"",$T2080+(V$2*$M2080))</f>
        <v/>
      </c>
      <c r="W2080" s="48">
        <f>IF(OR($M2080="",$T2080=""),"",$T2080+(W$2*$M2080))</f>
        <v/>
      </c>
      <c r="X2080" s="49">
        <f>IF(OR($M2080="",$T2080=""),"",$T2080+(X$2*$M2080))</f>
        <v/>
      </c>
      <c r="Y2080" s="47">
        <f>IF(OR($M2080="",$T2080=""),"",$T2080+(Y$2*$M2080))</f>
        <v/>
      </c>
      <c r="Z2080" s="49">
        <f>IF(OR($M2080="",$T2080=""),"",$T2080+(Z$2*$M2080))</f>
        <v/>
      </c>
      <c r="AA2080" s="51">
        <f>IF(OR($M2080="",$T2080=""),"",$T2080+(AA$2*$M2080))</f>
        <v/>
      </c>
      <c r="AB2080" s="48">
        <f>IF(OR($M2080="",$T2080=""),"",$T2080+(AB$2*$M2080))</f>
        <v/>
      </c>
      <c r="AC2080" s="48">
        <f>IF(OR($M2080="",$T2080=""),"",$T2080+(AC$2*$M2080))</f>
        <v/>
      </c>
      <c r="AD2080" s="48">
        <f>IF(OR($M2080="",$T2080=""),"",$T2080+(AD$2*$M2080))</f>
        <v/>
      </c>
      <c r="AE2080" s="49">
        <f>IF(OR($M2080="",$T2080=""),"",$T2080+(AE$2*$M2080))</f>
        <v/>
      </c>
      <c r="AF2080" s="52">
        <f>IF(OR(T2080="",I2080&lt;T2080),"",IFERROR(AVERAGE(T2080+M2080*{7,8,9,10,11})/IF(G2080="",I2080,G2080)-1,""))</f>
        <v/>
      </c>
      <c r="AG2080" s="55">
        <f>IF(OR(T2080="",I2080&lt;T2080),"",IFERROR(AF2080/-(R2080/IF(G2080="",I2080,G2080)-1),""))</f>
        <v/>
      </c>
      <c r="AH2080" s="94" t="n"/>
      <c r="AI2080" s="94" t="n"/>
      <c r="AJ2080" s="94" t="n"/>
      <c r="AK2080" s="94" t="n"/>
      <c r="AL2080" s="84" t="n"/>
    </row>
    <row r="2081">
      <c r="A2081" s="64" t="n"/>
      <c r="B2081" s="65" t="n"/>
      <c r="C2081" s="66" t="n"/>
      <c r="D2081" s="67" t="n"/>
      <c r="E2081" s="68" t="n"/>
      <c r="F2081" s="47">
        <f>IF(A2081="","",IF(MIN(H2081,MAX(J2081:K2081))=0,"",MIN(H2081,MAX(J2081:K2081))))</f>
        <v/>
      </c>
      <c r="G2081" s="74" t="n"/>
      <c r="H2081" s="49">
        <f>IF(M2081="","",IFERROR(ROUND(AVERAGE(T2081+M2081*{7,8,9,10,11})/1.21,4),""))</f>
        <v/>
      </c>
      <c r="I2081" s="76" t="n"/>
      <c r="J2081" s="77" t="n"/>
      <c r="K2081" s="74" t="n"/>
      <c r="L2081" s="78" t="n"/>
      <c r="M2081" s="77" t="n"/>
      <c r="N2081" s="53">
        <f>IF(M2081="","",IFERROR(M2081/I2081,""))</f>
        <v/>
      </c>
      <c r="O2081" s="50">
        <f>IF(A2081="","",IFERROR((IF(G2081="",I2081,G2081)-T2081)/M2081,""))</f>
        <v/>
      </c>
      <c r="P2081" s="50">
        <f>IFERROR((I2081/T2081-1)/N2081,"")</f>
        <v/>
      </c>
      <c r="Q2081" s="46">
        <f>IF(OR(T2081="",I2081&lt;T2081),"",IFERROR(R2081/IF(G2081="",I2081,G2081)-1,""))</f>
        <v/>
      </c>
      <c r="R2081" s="48">
        <f>IF($M2081="","",MAX(IF($G2081="",$I2081,$G2081)*(1/1.1),IF($G2081="",$I2081,$G2081)+(R$2*$M2081)))</f>
        <v/>
      </c>
      <c r="S2081" s="49">
        <f>IF($M2081="","",MAX(IF($G2081="",$I2081,$G2081)*(1/1.1),IF($G2081="",$I2081,$G2081)+(S$2*$M2081)))</f>
        <v/>
      </c>
      <c r="T2081" s="82" t="n"/>
      <c r="U2081" s="47">
        <f>IF(OR($M2081="",$T2081=""),"",$T2081+(U$2*$M2081))</f>
        <v/>
      </c>
      <c r="V2081" s="48">
        <f>IF(OR($M2081="",$T2081=""),"",$T2081+(V$2*$M2081))</f>
        <v/>
      </c>
      <c r="W2081" s="48">
        <f>IF(OR($M2081="",$T2081=""),"",$T2081+(W$2*$M2081))</f>
        <v/>
      </c>
      <c r="X2081" s="49">
        <f>IF(OR($M2081="",$T2081=""),"",$T2081+(X$2*$M2081))</f>
        <v/>
      </c>
      <c r="Y2081" s="47">
        <f>IF(OR($M2081="",$T2081=""),"",$T2081+(Y$2*$M2081))</f>
        <v/>
      </c>
      <c r="Z2081" s="49">
        <f>IF(OR($M2081="",$T2081=""),"",$T2081+(Z$2*$M2081))</f>
        <v/>
      </c>
      <c r="AA2081" s="51">
        <f>IF(OR($M2081="",$T2081=""),"",$T2081+(AA$2*$M2081))</f>
        <v/>
      </c>
      <c r="AB2081" s="48">
        <f>IF(OR($M2081="",$T2081=""),"",$T2081+(AB$2*$M2081))</f>
        <v/>
      </c>
      <c r="AC2081" s="48">
        <f>IF(OR($M2081="",$T2081=""),"",$T2081+(AC$2*$M2081))</f>
        <v/>
      </c>
      <c r="AD2081" s="48">
        <f>IF(OR($M2081="",$T2081=""),"",$T2081+(AD$2*$M2081))</f>
        <v/>
      </c>
      <c r="AE2081" s="49">
        <f>IF(OR($M2081="",$T2081=""),"",$T2081+(AE$2*$M2081))</f>
        <v/>
      </c>
      <c r="AF2081" s="52">
        <f>IF(OR(T2081="",I2081&lt;T2081),"",IFERROR(AVERAGE(T2081+M2081*{7,8,9,10,11})/IF(G2081="",I2081,G2081)-1,""))</f>
        <v/>
      </c>
      <c r="AG2081" s="55">
        <f>IF(OR(T2081="",I2081&lt;T2081),"",IFERROR(AF2081/-(R2081/IF(G2081="",I2081,G2081)-1),""))</f>
        <v/>
      </c>
      <c r="AH2081" s="94" t="n"/>
      <c r="AI2081" s="94" t="n"/>
      <c r="AJ2081" s="94" t="n"/>
      <c r="AK2081" s="94" t="n"/>
      <c r="AL2081" s="84" t="n"/>
    </row>
    <row r="2082">
      <c r="A2082" s="64" t="n"/>
      <c r="B2082" s="65" t="n"/>
      <c r="C2082" s="66" t="n"/>
      <c r="D2082" s="67" t="n"/>
      <c r="E2082" s="68" t="n"/>
      <c r="F2082" s="47">
        <f>IF(A2082="","",IF(MIN(H2082,MAX(J2082:K2082))=0,"",MIN(H2082,MAX(J2082:K2082))))</f>
        <v/>
      </c>
      <c r="G2082" s="74" t="n"/>
      <c r="H2082" s="49">
        <f>IF(M2082="","",IFERROR(ROUND(AVERAGE(T2082+M2082*{7,8,9,10,11})/1.21,4),""))</f>
        <v/>
      </c>
      <c r="I2082" s="76" t="n"/>
      <c r="J2082" s="77" t="n"/>
      <c r="K2082" s="74" t="n"/>
      <c r="L2082" s="78" t="n"/>
      <c r="M2082" s="77" t="n"/>
      <c r="N2082" s="53">
        <f>IF(M2082="","",IFERROR(M2082/I2082,""))</f>
        <v/>
      </c>
      <c r="O2082" s="50">
        <f>IF(A2082="","",IFERROR((IF(G2082="",I2082,G2082)-T2082)/M2082,""))</f>
        <v/>
      </c>
      <c r="P2082" s="50">
        <f>IFERROR((I2082/T2082-1)/N2082,"")</f>
        <v/>
      </c>
      <c r="Q2082" s="46">
        <f>IF(OR(T2082="",I2082&lt;T2082),"",IFERROR(R2082/IF(G2082="",I2082,G2082)-1,""))</f>
        <v/>
      </c>
      <c r="R2082" s="48">
        <f>IF($M2082="","",MAX(IF($G2082="",$I2082,$G2082)*(1/1.1),IF($G2082="",$I2082,$G2082)+(R$2*$M2082)))</f>
        <v/>
      </c>
      <c r="S2082" s="49">
        <f>IF($M2082="","",MAX(IF($G2082="",$I2082,$G2082)*(1/1.1),IF($G2082="",$I2082,$G2082)+(S$2*$M2082)))</f>
        <v/>
      </c>
      <c r="T2082" s="82" t="n"/>
      <c r="U2082" s="47">
        <f>IF(OR($M2082="",$T2082=""),"",$T2082+(U$2*$M2082))</f>
        <v/>
      </c>
      <c r="V2082" s="48">
        <f>IF(OR($M2082="",$T2082=""),"",$T2082+(V$2*$M2082))</f>
        <v/>
      </c>
      <c r="W2082" s="48">
        <f>IF(OR($M2082="",$T2082=""),"",$T2082+(W$2*$M2082))</f>
        <v/>
      </c>
      <c r="X2082" s="49">
        <f>IF(OR($M2082="",$T2082=""),"",$T2082+(X$2*$M2082))</f>
        <v/>
      </c>
      <c r="Y2082" s="47">
        <f>IF(OR($M2082="",$T2082=""),"",$T2082+(Y$2*$M2082))</f>
        <v/>
      </c>
      <c r="Z2082" s="49">
        <f>IF(OR($M2082="",$T2082=""),"",$T2082+(Z$2*$M2082))</f>
        <v/>
      </c>
      <c r="AA2082" s="51">
        <f>IF(OR($M2082="",$T2082=""),"",$T2082+(AA$2*$M2082))</f>
        <v/>
      </c>
      <c r="AB2082" s="48">
        <f>IF(OR($M2082="",$T2082=""),"",$T2082+(AB$2*$M2082))</f>
        <v/>
      </c>
      <c r="AC2082" s="48">
        <f>IF(OR($M2082="",$T2082=""),"",$T2082+(AC$2*$M2082))</f>
        <v/>
      </c>
      <c r="AD2082" s="48">
        <f>IF(OR($M2082="",$T2082=""),"",$T2082+(AD$2*$M2082))</f>
        <v/>
      </c>
      <c r="AE2082" s="49">
        <f>IF(OR($M2082="",$T2082=""),"",$T2082+(AE$2*$M2082))</f>
        <v/>
      </c>
      <c r="AF2082" s="52">
        <f>IF(OR(T2082="",I2082&lt;T2082),"",IFERROR(AVERAGE(T2082+M2082*{7,8,9,10,11})/IF(G2082="",I2082,G2082)-1,""))</f>
        <v/>
      </c>
      <c r="AG2082" s="55">
        <f>IF(OR(T2082="",I2082&lt;T2082),"",IFERROR(AF2082/-(R2082/IF(G2082="",I2082,G2082)-1),""))</f>
        <v/>
      </c>
      <c r="AH2082" s="94" t="n"/>
      <c r="AI2082" s="94" t="n"/>
      <c r="AJ2082" s="94" t="n"/>
      <c r="AK2082" s="94" t="n"/>
      <c r="AL2082" s="84" t="n"/>
    </row>
    <row r="2083">
      <c r="A2083" s="64" t="n"/>
      <c r="B2083" s="65" t="n"/>
      <c r="C2083" s="66" t="n"/>
      <c r="D2083" s="67" t="n"/>
      <c r="E2083" s="68" t="n"/>
      <c r="F2083" s="47">
        <f>IF(A2083="","",IF(MIN(H2083,MAX(J2083:K2083))=0,"",MIN(H2083,MAX(J2083:K2083))))</f>
        <v/>
      </c>
      <c r="G2083" s="74" t="n"/>
      <c r="H2083" s="49">
        <f>IF(M2083="","",IFERROR(ROUND(AVERAGE(T2083+M2083*{7,8,9,10,11})/1.21,4),""))</f>
        <v/>
      </c>
      <c r="I2083" s="76" t="n"/>
      <c r="J2083" s="77" t="n"/>
      <c r="K2083" s="74" t="n"/>
      <c r="L2083" s="78" t="n"/>
      <c r="M2083" s="77" t="n"/>
      <c r="N2083" s="53">
        <f>IF(M2083="","",IFERROR(M2083/I2083,""))</f>
        <v/>
      </c>
      <c r="O2083" s="50">
        <f>IF(A2083="","",IFERROR((IF(G2083="",I2083,G2083)-T2083)/M2083,""))</f>
        <v/>
      </c>
      <c r="P2083" s="50">
        <f>IFERROR((I2083/T2083-1)/N2083,"")</f>
        <v/>
      </c>
      <c r="Q2083" s="46">
        <f>IF(OR(T2083="",I2083&lt;T2083),"",IFERROR(R2083/IF(G2083="",I2083,G2083)-1,""))</f>
        <v/>
      </c>
      <c r="R2083" s="48">
        <f>IF($M2083="","",MAX(IF($G2083="",$I2083,$G2083)*(1/1.1),IF($G2083="",$I2083,$G2083)+(R$2*$M2083)))</f>
        <v/>
      </c>
      <c r="S2083" s="49">
        <f>IF($M2083="","",MAX(IF($G2083="",$I2083,$G2083)*(1/1.1),IF($G2083="",$I2083,$G2083)+(S$2*$M2083)))</f>
        <v/>
      </c>
      <c r="T2083" s="82" t="n"/>
      <c r="U2083" s="47">
        <f>IF(OR($M2083="",$T2083=""),"",$T2083+(U$2*$M2083))</f>
        <v/>
      </c>
      <c r="V2083" s="48">
        <f>IF(OR($M2083="",$T2083=""),"",$T2083+(V$2*$M2083))</f>
        <v/>
      </c>
      <c r="W2083" s="48">
        <f>IF(OR($M2083="",$T2083=""),"",$T2083+(W$2*$M2083))</f>
        <v/>
      </c>
      <c r="X2083" s="49">
        <f>IF(OR($M2083="",$T2083=""),"",$T2083+(X$2*$M2083))</f>
        <v/>
      </c>
      <c r="Y2083" s="47">
        <f>IF(OR($M2083="",$T2083=""),"",$T2083+(Y$2*$M2083))</f>
        <v/>
      </c>
      <c r="Z2083" s="49">
        <f>IF(OR($M2083="",$T2083=""),"",$T2083+(Z$2*$M2083))</f>
        <v/>
      </c>
      <c r="AA2083" s="51">
        <f>IF(OR($M2083="",$T2083=""),"",$T2083+(AA$2*$M2083))</f>
        <v/>
      </c>
      <c r="AB2083" s="48">
        <f>IF(OR($M2083="",$T2083=""),"",$T2083+(AB$2*$M2083))</f>
        <v/>
      </c>
      <c r="AC2083" s="48">
        <f>IF(OR($M2083="",$T2083=""),"",$T2083+(AC$2*$M2083))</f>
        <v/>
      </c>
      <c r="AD2083" s="48">
        <f>IF(OR($M2083="",$T2083=""),"",$T2083+(AD$2*$M2083))</f>
        <v/>
      </c>
      <c r="AE2083" s="49">
        <f>IF(OR($M2083="",$T2083=""),"",$T2083+(AE$2*$M2083))</f>
        <v/>
      </c>
      <c r="AF2083" s="52">
        <f>IF(OR(T2083="",I2083&lt;T2083),"",IFERROR(AVERAGE(T2083+M2083*{7,8,9,10,11})/IF(G2083="",I2083,G2083)-1,""))</f>
        <v/>
      </c>
      <c r="AG2083" s="55">
        <f>IF(OR(T2083="",I2083&lt;T2083),"",IFERROR(AF2083/-(R2083/IF(G2083="",I2083,G2083)-1),""))</f>
        <v/>
      </c>
      <c r="AH2083" s="94" t="n"/>
      <c r="AI2083" s="94" t="n"/>
      <c r="AJ2083" s="94" t="n"/>
      <c r="AK2083" s="94" t="n"/>
      <c r="AL2083" s="84" t="n"/>
    </row>
    <row r="2084">
      <c r="A2084" s="64" t="n"/>
      <c r="B2084" s="65" t="n"/>
      <c r="C2084" s="66" t="n"/>
      <c r="D2084" s="67" t="n"/>
      <c r="E2084" s="68" t="n"/>
      <c r="F2084" s="47">
        <f>IF(A2084="","",IF(MIN(H2084,MAX(J2084:K2084))=0,"",MIN(H2084,MAX(J2084:K2084))))</f>
        <v/>
      </c>
      <c r="G2084" s="74" t="n"/>
      <c r="H2084" s="49">
        <f>IF(M2084="","",IFERROR(ROUND(AVERAGE(T2084+M2084*{7,8,9,10,11})/1.21,4),""))</f>
        <v/>
      </c>
      <c r="I2084" s="76" t="n"/>
      <c r="J2084" s="77" t="n"/>
      <c r="K2084" s="74" t="n"/>
      <c r="L2084" s="78" t="n"/>
      <c r="M2084" s="77" t="n"/>
      <c r="N2084" s="53">
        <f>IF(M2084="","",IFERROR(M2084/I2084,""))</f>
        <v/>
      </c>
      <c r="O2084" s="50">
        <f>IF(A2084="","",IFERROR((IF(G2084="",I2084,G2084)-T2084)/M2084,""))</f>
        <v/>
      </c>
      <c r="P2084" s="50">
        <f>IFERROR((I2084/T2084-1)/N2084,"")</f>
        <v/>
      </c>
      <c r="Q2084" s="46">
        <f>IF(OR(T2084="",I2084&lt;T2084),"",IFERROR(R2084/IF(G2084="",I2084,G2084)-1,""))</f>
        <v/>
      </c>
      <c r="R2084" s="48">
        <f>IF($M2084="","",MAX(IF($G2084="",$I2084,$G2084)*(1/1.1),IF($G2084="",$I2084,$G2084)+(R$2*$M2084)))</f>
        <v/>
      </c>
      <c r="S2084" s="49">
        <f>IF($M2084="","",MAX(IF($G2084="",$I2084,$G2084)*(1/1.1),IF($G2084="",$I2084,$G2084)+(S$2*$M2084)))</f>
        <v/>
      </c>
      <c r="T2084" s="82" t="n"/>
      <c r="U2084" s="47">
        <f>IF(OR($M2084="",$T2084=""),"",$T2084+(U$2*$M2084))</f>
        <v/>
      </c>
      <c r="V2084" s="48">
        <f>IF(OR($M2084="",$T2084=""),"",$T2084+(V$2*$M2084))</f>
        <v/>
      </c>
      <c r="W2084" s="48">
        <f>IF(OR($M2084="",$T2084=""),"",$T2084+(W$2*$M2084))</f>
        <v/>
      </c>
      <c r="X2084" s="49">
        <f>IF(OR($M2084="",$T2084=""),"",$T2084+(X$2*$M2084))</f>
        <v/>
      </c>
      <c r="Y2084" s="47">
        <f>IF(OR($M2084="",$T2084=""),"",$T2084+(Y$2*$M2084))</f>
        <v/>
      </c>
      <c r="Z2084" s="49">
        <f>IF(OR($M2084="",$T2084=""),"",$T2084+(Z$2*$M2084))</f>
        <v/>
      </c>
      <c r="AA2084" s="51">
        <f>IF(OR($M2084="",$T2084=""),"",$T2084+(AA$2*$M2084))</f>
        <v/>
      </c>
      <c r="AB2084" s="48">
        <f>IF(OR($M2084="",$T2084=""),"",$T2084+(AB$2*$M2084))</f>
        <v/>
      </c>
      <c r="AC2084" s="48">
        <f>IF(OR($M2084="",$T2084=""),"",$T2084+(AC$2*$M2084))</f>
        <v/>
      </c>
      <c r="AD2084" s="48">
        <f>IF(OR($M2084="",$T2084=""),"",$T2084+(AD$2*$M2084))</f>
        <v/>
      </c>
      <c r="AE2084" s="49">
        <f>IF(OR($M2084="",$T2084=""),"",$T2084+(AE$2*$M2084))</f>
        <v/>
      </c>
      <c r="AF2084" s="52">
        <f>IF(OR(T2084="",I2084&lt;T2084),"",IFERROR(AVERAGE(T2084+M2084*{7,8,9,10,11})/IF(G2084="",I2084,G2084)-1,""))</f>
        <v/>
      </c>
      <c r="AG2084" s="55">
        <f>IF(OR(T2084="",I2084&lt;T2084),"",IFERROR(AF2084/-(R2084/IF(G2084="",I2084,G2084)-1),""))</f>
        <v/>
      </c>
      <c r="AH2084" s="94" t="n"/>
      <c r="AI2084" s="94" t="n"/>
      <c r="AJ2084" s="94" t="n"/>
      <c r="AK2084" s="94" t="n"/>
      <c r="AL2084" s="84" t="n"/>
    </row>
    <row r="2085">
      <c r="A2085" s="64" t="n"/>
      <c r="B2085" s="65" t="n"/>
      <c r="C2085" s="66" t="n"/>
      <c r="D2085" s="67" t="n"/>
      <c r="E2085" s="68" t="n"/>
      <c r="F2085" s="47">
        <f>IF(A2085="","",IF(MIN(H2085,MAX(J2085:K2085))=0,"",MIN(H2085,MAX(J2085:K2085))))</f>
        <v/>
      </c>
      <c r="G2085" s="74" t="n"/>
      <c r="H2085" s="49">
        <f>IF(M2085="","",IFERROR(ROUND(AVERAGE(T2085+M2085*{7,8,9,10,11})/1.21,4),""))</f>
        <v/>
      </c>
      <c r="I2085" s="76" t="n"/>
      <c r="J2085" s="77" t="n"/>
      <c r="K2085" s="74" t="n"/>
      <c r="L2085" s="78" t="n"/>
      <c r="M2085" s="77" t="n"/>
      <c r="N2085" s="53">
        <f>IF(M2085="","",IFERROR(M2085/I2085,""))</f>
        <v/>
      </c>
      <c r="O2085" s="50">
        <f>IF(A2085="","",IFERROR((IF(G2085="",I2085,G2085)-T2085)/M2085,""))</f>
        <v/>
      </c>
      <c r="P2085" s="50">
        <f>IFERROR((I2085/T2085-1)/N2085,"")</f>
        <v/>
      </c>
      <c r="Q2085" s="46">
        <f>IF(OR(T2085="",I2085&lt;T2085),"",IFERROR(R2085/IF(G2085="",I2085,G2085)-1,""))</f>
        <v/>
      </c>
      <c r="R2085" s="48">
        <f>IF($M2085="","",MAX(IF($G2085="",$I2085,$G2085)*(1/1.1),IF($G2085="",$I2085,$G2085)+(R$2*$M2085)))</f>
        <v/>
      </c>
      <c r="S2085" s="49">
        <f>IF($M2085="","",MAX(IF($G2085="",$I2085,$G2085)*(1/1.1),IF($G2085="",$I2085,$G2085)+(S$2*$M2085)))</f>
        <v/>
      </c>
      <c r="T2085" s="82" t="n"/>
      <c r="U2085" s="47">
        <f>IF(OR($M2085="",$T2085=""),"",$T2085+(U$2*$M2085))</f>
        <v/>
      </c>
      <c r="V2085" s="48">
        <f>IF(OR($M2085="",$T2085=""),"",$T2085+(V$2*$M2085))</f>
        <v/>
      </c>
      <c r="W2085" s="48">
        <f>IF(OR($M2085="",$T2085=""),"",$T2085+(W$2*$M2085))</f>
        <v/>
      </c>
      <c r="X2085" s="49">
        <f>IF(OR($M2085="",$T2085=""),"",$T2085+(X$2*$M2085))</f>
        <v/>
      </c>
      <c r="Y2085" s="47">
        <f>IF(OR($M2085="",$T2085=""),"",$T2085+(Y$2*$M2085))</f>
        <v/>
      </c>
      <c r="Z2085" s="49">
        <f>IF(OR($M2085="",$T2085=""),"",$T2085+(Z$2*$M2085))</f>
        <v/>
      </c>
      <c r="AA2085" s="51">
        <f>IF(OR($M2085="",$T2085=""),"",$T2085+(AA$2*$M2085))</f>
        <v/>
      </c>
      <c r="AB2085" s="48">
        <f>IF(OR($M2085="",$T2085=""),"",$T2085+(AB$2*$M2085))</f>
        <v/>
      </c>
      <c r="AC2085" s="48">
        <f>IF(OR($M2085="",$T2085=""),"",$T2085+(AC$2*$M2085))</f>
        <v/>
      </c>
      <c r="AD2085" s="48">
        <f>IF(OR($M2085="",$T2085=""),"",$T2085+(AD$2*$M2085))</f>
        <v/>
      </c>
      <c r="AE2085" s="49">
        <f>IF(OR($M2085="",$T2085=""),"",$T2085+(AE$2*$M2085))</f>
        <v/>
      </c>
      <c r="AF2085" s="52">
        <f>IF(OR(T2085="",I2085&lt;T2085),"",IFERROR(AVERAGE(T2085+M2085*{7,8,9,10,11})/IF(G2085="",I2085,G2085)-1,""))</f>
        <v/>
      </c>
      <c r="AG2085" s="55">
        <f>IF(OR(T2085="",I2085&lt;T2085),"",IFERROR(AF2085/-(R2085/IF(G2085="",I2085,G2085)-1),""))</f>
        <v/>
      </c>
      <c r="AH2085" s="94" t="n"/>
      <c r="AI2085" s="94" t="n"/>
      <c r="AJ2085" s="94" t="n"/>
      <c r="AK2085" s="94" t="n"/>
      <c r="AL2085" s="84" t="n"/>
    </row>
    <row r="2086">
      <c r="A2086" s="64" t="n"/>
      <c r="B2086" s="65" t="n"/>
      <c r="C2086" s="66" t="n"/>
      <c r="D2086" s="67" t="n"/>
      <c r="E2086" s="68" t="n"/>
      <c r="F2086" s="47">
        <f>IF(A2086="","",IF(MIN(H2086,MAX(J2086:K2086))=0,"",MIN(H2086,MAX(J2086:K2086))))</f>
        <v/>
      </c>
      <c r="G2086" s="74" t="n"/>
      <c r="H2086" s="49">
        <f>IF(M2086="","",IFERROR(ROUND(AVERAGE(T2086+M2086*{7,8,9,10,11})/1.21,4),""))</f>
        <v/>
      </c>
      <c r="I2086" s="76" t="n"/>
      <c r="J2086" s="77" t="n"/>
      <c r="K2086" s="74" t="n"/>
      <c r="L2086" s="78" t="n"/>
      <c r="M2086" s="77" t="n"/>
      <c r="N2086" s="53">
        <f>IF(M2086="","",IFERROR(M2086/I2086,""))</f>
        <v/>
      </c>
      <c r="O2086" s="50">
        <f>IF(A2086="","",IFERROR((IF(G2086="",I2086,G2086)-T2086)/M2086,""))</f>
        <v/>
      </c>
      <c r="P2086" s="50">
        <f>IFERROR((I2086/T2086-1)/N2086,"")</f>
        <v/>
      </c>
      <c r="Q2086" s="46">
        <f>IF(OR(T2086="",I2086&lt;T2086),"",IFERROR(R2086/IF(G2086="",I2086,G2086)-1,""))</f>
        <v/>
      </c>
      <c r="R2086" s="48">
        <f>IF($M2086="","",MAX(IF($G2086="",$I2086,$G2086)*(1/1.1),IF($G2086="",$I2086,$G2086)+(R$2*$M2086)))</f>
        <v/>
      </c>
      <c r="S2086" s="49">
        <f>IF($M2086="","",MAX(IF($G2086="",$I2086,$G2086)*(1/1.1),IF($G2086="",$I2086,$G2086)+(S$2*$M2086)))</f>
        <v/>
      </c>
      <c r="T2086" s="82" t="n"/>
      <c r="U2086" s="47">
        <f>IF(OR($M2086="",$T2086=""),"",$T2086+(U$2*$M2086))</f>
        <v/>
      </c>
      <c r="V2086" s="48">
        <f>IF(OR($M2086="",$T2086=""),"",$T2086+(V$2*$M2086))</f>
        <v/>
      </c>
      <c r="W2086" s="48">
        <f>IF(OR($M2086="",$T2086=""),"",$T2086+(W$2*$M2086))</f>
        <v/>
      </c>
      <c r="X2086" s="49">
        <f>IF(OR($M2086="",$T2086=""),"",$T2086+(X$2*$M2086))</f>
        <v/>
      </c>
      <c r="Y2086" s="47">
        <f>IF(OR($M2086="",$T2086=""),"",$T2086+(Y$2*$M2086))</f>
        <v/>
      </c>
      <c r="Z2086" s="49">
        <f>IF(OR($M2086="",$T2086=""),"",$T2086+(Z$2*$M2086))</f>
        <v/>
      </c>
      <c r="AA2086" s="51">
        <f>IF(OR($M2086="",$T2086=""),"",$T2086+(AA$2*$M2086))</f>
        <v/>
      </c>
      <c r="AB2086" s="48">
        <f>IF(OR($M2086="",$T2086=""),"",$T2086+(AB$2*$M2086))</f>
        <v/>
      </c>
      <c r="AC2086" s="48">
        <f>IF(OR($M2086="",$T2086=""),"",$T2086+(AC$2*$M2086))</f>
        <v/>
      </c>
      <c r="AD2086" s="48">
        <f>IF(OR($M2086="",$T2086=""),"",$T2086+(AD$2*$M2086))</f>
        <v/>
      </c>
      <c r="AE2086" s="49">
        <f>IF(OR($M2086="",$T2086=""),"",$T2086+(AE$2*$M2086))</f>
        <v/>
      </c>
      <c r="AF2086" s="52">
        <f>IF(OR(T2086="",I2086&lt;T2086),"",IFERROR(AVERAGE(T2086+M2086*{7,8,9,10,11})/IF(G2086="",I2086,G2086)-1,""))</f>
        <v/>
      </c>
      <c r="AG2086" s="55">
        <f>IF(OR(T2086="",I2086&lt;T2086),"",IFERROR(AF2086/-(R2086/IF(G2086="",I2086,G2086)-1),""))</f>
        <v/>
      </c>
      <c r="AH2086" s="94" t="n"/>
      <c r="AI2086" s="94" t="n"/>
      <c r="AJ2086" s="94" t="n"/>
      <c r="AK2086" s="94" t="n"/>
      <c r="AL2086" s="84" t="n"/>
    </row>
    <row r="2087">
      <c r="A2087" s="64" t="n"/>
      <c r="B2087" s="65" t="n"/>
      <c r="C2087" s="66" t="n"/>
      <c r="D2087" s="67" t="n"/>
      <c r="E2087" s="68" t="n"/>
      <c r="F2087" s="47">
        <f>IF(A2087="","",IF(MIN(H2087,MAX(J2087:K2087))=0,"",MIN(H2087,MAX(J2087:K2087))))</f>
        <v/>
      </c>
      <c r="G2087" s="74" t="n"/>
      <c r="H2087" s="49">
        <f>IF(M2087="","",IFERROR(ROUND(AVERAGE(T2087+M2087*{7,8,9,10,11})/1.21,4),""))</f>
        <v/>
      </c>
      <c r="I2087" s="76" t="n"/>
      <c r="J2087" s="77" t="n"/>
      <c r="K2087" s="74" t="n"/>
      <c r="L2087" s="78" t="n"/>
      <c r="M2087" s="77" t="n"/>
      <c r="N2087" s="53">
        <f>IF(M2087="","",IFERROR(M2087/I2087,""))</f>
        <v/>
      </c>
      <c r="O2087" s="50">
        <f>IF(A2087="","",IFERROR((IF(G2087="",I2087,G2087)-T2087)/M2087,""))</f>
        <v/>
      </c>
      <c r="P2087" s="50">
        <f>IFERROR((I2087/T2087-1)/N2087,"")</f>
        <v/>
      </c>
      <c r="Q2087" s="46">
        <f>IF(OR(T2087="",I2087&lt;T2087),"",IFERROR(R2087/IF(G2087="",I2087,G2087)-1,""))</f>
        <v/>
      </c>
      <c r="R2087" s="48">
        <f>IF($M2087="","",MAX(IF($G2087="",$I2087,$G2087)*(1/1.1),IF($G2087="",$I2087,$G2087)+(R$2*$M2087)))</f>
        <v/>
      </c>
      <c r="S2087" s="49">
        <f>IF($M2087="","",MAX(IF($G2087="",$I2087,$G2087)*(1/1.1),IF($G2087="",$I2087,$G2087)+(S$2*$M2087)))</f>
        <v/>
      </c>
      <c r="T2087" s="82" t="n"/>
      <c r="U2087" s="47">
        <f>IF(OR($M2087="",$T2087=""),"",$T2087+(U$2*$M2087))</f>
        <v/>
      </c>
      <c r="V2087" s="48">
        <f>IF(OR($M2087="",$T2087=""),"",$T2087+(V$2*$M2087))</f>
        <v/>
      </c>
      <c r="W2087" s="48">
        <f>IF(OR($M2087="",$T2087=""),"",$T2087+(W$2*$M2087))</f>
        <v/>
      </c>
      <c r="X2087" s="49">
        <f>IF(OR($M2087="",$T2087=""),"",$T2087+(X$2*$M2087))</f>
        <v/>
      </c>
      <c r="Y2087" s="47">
        <f>IF(OR($M2087="",$T2087=""),"",$T2087+(Y$2*$M2087))</f>
        <v/>
      </c>
      <c r="Z2087" s="49">
        <f>IF(OR($M2087="",$T2087=""),"",$T2087+(Z$2*$M2087))</f>
        <v/>
      </c>
      <c r="AA2087" s="51">
        <f>IF(OR($M2087="",$T2087=""),"",$T2087+(AA$2*$M2087))</f>
        <v/>
      </c>
      <c r="AB2087" s="48">
        <f>IF(OR($M2087="",$T2087=""),"",$T2087+(AB$2*$M2087))</f>
        <v/>
      </c>
      <c r="AC2087" s="48">
        <f>IF(OR($M2087="",$T2087=""),"",$T2087+(AC$2*$M2087))</f>
        <v/>
      </c>
      <c r="AD2087" s="48">
        <f>IF(OR($M2087="",$T2087=""),"",$T2087+(AD$2*$M2087))</f>
        <v/>
      </c>
      <c r="AE2087" s="49">
        <f>IF(OR($M2087="",$T2087=""),"",$T2087+(AE$2*$M2087))</f>
        <v/>
      </c>
      <c r="AF2087" s="52">
        <f>IF(OR(T2087="",I2087&lt;T2087),"",IFERROR(AVERAGE(T2087+M2087*{7,8,9,10,11})/IF(G2087="",I2087,G2087)-1,""))</f>
        <v/>
      </c>
      <c r="AG2087" s="55">
        <f>IF(OR(T2087="",I2087&lt;T2087),"",IFERROR(AF2087/-(R2087/IF(G2087="",I2087,G2087)-1),""))</f>
        <v/>
      </c>
      <c r="AH2087" s="94" t="n"/>
      <c r="AI2087" s="94" t="n"/>
      <c r="AJ2087" s="94" t="n"/>
      <c r="AK2087" s="94" t="n"/>
      <c r="AL2087" s="84" t="n"/>
    </row>
    <row r="2088">
      <c r="A2088" s="64" t="n"/>
      <c r="B2088" s="65" t="n"/>
      <c r="C2088" s="66" t="n"/>
      <c r="D2088" s="67" t="n"/>
      <c r="E2088" s="68" t="n"/>
      <c r="F2088" s="47">
        <f>IF(A2088="","",IF(MIN(H2088,MAX(J2088:K2088))=0,"",MIN(H2088,MAX(J2088:K2088))))</f>
        <v/>
      </c>
      <c r="G2088" s="74" t="n"/>
      <c r="H2088" s="49">
        <f>IF(M2088="","",IFERROR(ROUND(AVERAGE(T2088+M2088*{7,8,9,10,11})/1.21,4),""))</f>
        <v/>
      </c>
      <c r="I2088" s="76" t="n"/>
      <c r="J2088" s="77" t="n"/>
      <c r="K2088" s="74" t="n"/>
      <c r="L2088" s="78" t="n"/>
      <c r="M2088" s="77" t="n"/>
      <c r="N2088" s="53">
        <f>IF(M2088="","",IFERROR(M2088/I2088,""))</f>
        <v/>
      </c>
      <c r="O2088" s="50">
        <f>IF(A2088="","",IFERROR((IF(G2088="",I2088,G2088)-T2088)/M2088,""))</f>
        <v/>
      </c>
      <c r="P2088" s="50">
        <f>IFERROR((I2088/T2088-1)/N2088,"")</f>
        <v/>
      </c>
      <c r="Q2088" s="46">
        <f>IF(OR(T2088="",I2088&lt;T2088),"",IFERROR(R2088/IF(G2088="",I2088,G2088)-1,""))</f>
        <v/>
      </c>
      <c r="R2088" s="48">
        <f>IF($M2088="","",MAX(IF($G2088="",$I2088,$G2088)*(1/1.1),IF($G2088="",$I2088,$G2088)+(R$2*$M2088)))</f>
        <v/>
      </c>
      <c r="S2088" s="49">
        <f>IF($M2088="","",MAX(IF($G2088="",$I2088,$G2088)*(1/1.1),IF($G2088="",$I2088,$G2088)+(S$2*$M2088)))</f>
        <v/>
      </c>
      <c r="T2088" s="82" t="n"/>
      <c r="U2088" s="47">
        <f>IF(OR($M2088="",$T2088=""),"",$T2088+(U$2*$M2088))</f>
        <v/>
      </c>
      <c r="V2088" s="48">
        <f>IF(OR($M2088="",$T2088=""),"",$T2088+(V$2*$M2088))</f>
        <v/>
      </c>
      <c r="W2088" s="48">
        <f>IF(OR($M2088="",$T2088=""),"",$T2088+(W$2*$M2088))</f>
        <v/>
      </c>
      <c r="X2088" s="49">
        <f>IF(OR($M2088="",$T2088=""),"",$T2088+(X$2*$M2088))</f>
        <v/>
      </c>
      <c r="Y2088" s="47">
        <f>IF(OR($M2088="",$T2088=""),"",$T2088+(Y$2*$M2088))</f>
        <v/>
      </c>
      <c r="Z2088" s="49">
        <f>IF(OR($M2088="",$T2088=""),"",$T2088+(Z$2*$M2088))</f>
        <v/>
      </c>
      <c r="AA2088" s="51">
        <f>IF(OR($M2088="",$T2088=""),"",$T2088+(AA$2*$M2088))</f>
        <v/>
      </c>
      <c r="AB2088" s="48">
        <f>IF(OR($M2088="",$T2088=""),"",$T2088+(AB$2*$M2088))</f>
        <v/>
      </c>
      <c r="AC2088" s="48">
        <f>IF(OR($M2088="",$T2088=""),"",$T2088+(AC$2*$M2088))</f>
        <v/>
      </c>
      <c r="AD2088" s="48">
        <f>IF(OR($M2088="",$T2088=""),"",$T2088+(AD$2*$M2088))</f>
        <v/>
      </c>
      <c r="AE2088" s="49">
        <f>IF(OR($M2088="",$T2088=""),"",$T2088+(AE$2*$M2088))</f>
        <v/>
      </c>
      <c r="AF2088" s="52">
        <f>IF(OR(T2088="",I2088&lt;T2088),"",IFERROR(AVERAGE(T2088+M2088*{7,8,9,10,11})/IF(G2088="",I2088,G2088)-1,""))</f>
        <v/>
      </c>
      <c r="AG2088" s="55">
        <f>IF(OR(T2088="",I2088&lt;T2088),"",IFERROR(AF2088/-(R2088/IF(G2088="",I2088,G2088)-1),""))</f>
        <v/>
      </c>
      <c r="AH2088" s="94" t="n"/>
      <c r="AI2088" s="94" t="n"/>
      <c r="AJ2088" s="94" t="n"/>
      <c r="AK2088" s="94" t="n"/>
      <c r="AL2088" s="84" t="n"/>
    </row>
    <row r="2089">
      <c r="A2089" s="64" t="n"/>
      <c r="B2089" s="65" t="n"/>
      <c r="C2089" s="66" t="n"/>
      <c r="D2089" s="67" t="n"/>
      <c r="E2089" s="68" t="n"/>
      <c r="F2089" s="47">
        <f>IF(A2089="","",IF(MIN(H2089,MAX(J2089:K2089))=0,"",MIN(H2089,MAX(J2089:K2089))))</f>
        <v/>
      </c>
      <c r="G2089" s="74" t="n"/>
      <c r="H2089" s="49">
        <f>IF(M2089="","",IFERROR(ROUND(AVERAGE(T2089+M2089*{7,8,9,10,11})/1.21,4),""))</f>
        <v/>
      </c>
      <c r="I2089" s="76" t="n"/>
      <c r="J2089" s="77" t="n"/>
      <c r="K2089" s="74" t="n"/>
      <c r="L2089" s="78" t="n"/>
      <c r="M2089" s="77" t="n"/>
      <c r="N2089" s="53">
        <f>IF(M2089="","",IFERROR(M2089/I2089,""))</f>
        <v/>
      </c>
      <c r="O2089" s="50">
        <f>IF(A2089="","",IFERROR((IF(G2089="",I2089,G2089)-T2089)/M2089,""))</f>
        <v/>
      </c>
      <c r="P2089" s="50">
        <f>IFERROR((I2089/T2089-1)/N2089,"")</f>
        <v/>
      </c>
      <c r="Q2089" s="46">
        <f>IF(OR(T2089="",I2089&lt;T2089),"",IFERROR(R2089/IF(G2089="",I2089,G2089)-1,""))</f>
        <v/>
      </c>
      <c r="R2089" s="48">
        <f>IF($M2089="","",MAX(IF($G2089="",$I2089,$G2089)*(1/1.1),IF($G2089="",$I2089,$G2089)+(R$2*$M2089)))</f>
        <v/>
      </c>
      <c r="S2089" s="49">
        <f>IF($M2089="","",MAX(IF($G2089="",$I2089,$G2089)*(1/1.1),IF($G2089="",$I2089,$G2089)+(S$2*$M2089)))</f>
        <v/>
      </c>
      <c r="T2089" s="82" t="n"/>
      <c r="U2089" s="47">
        <f>IF(OR($M2089="",$T2089=""),"",$T2089+(U$2*$M2089))</f>
        <v/>
      </c>
      <c r="V2089" s="48">
        <f>IF(OR($M2089="",$T2089=""),"",$T2089+(V$2*$M2089))</f>
        <v/>
      </c>
      <c r="W2089" s="48">
        <f>IF(OR($M2089="",$T2089=""),"",$T2089+(W$2*$M2089))</f>
        <v/>
      </c>
      <c r="X2089" s="49">
        <f>IF(OR($M2089="",$T2089=""),"",$T2089+(X$2*$M2089))</f>
        <v/>
      </c>
      <c r="Y2089" s="47">
        <f>IF(OR($M2089="",$T2089=""),"",$T2089+(Y$2*$M2089))</f>
        <v/>
      </c>
      <c r="Z2089" s="49">
        <f>IF(OR($M2089="",$T2089=""),"",$T2089+(Z$2*$M2089))</f>
        <v/>
      </c>
      <c r="AA2089" s="51">
        <f>IF(OR($M2089="",$T2089=""),"",$T2089+(AA$2*$M2089))</f>
        <v/>
      </c>
      <c r="AB2089" s="48">
        <f>IF(OR($M2089="",$T2089=""),"",$T2089+(AB$2*$M2089))</f>
        <v/>
      </c>
      <c r="AC2089" s="48">
        <f>IF(OR($M2089="",$T2089=""),"",$T2089+(AC$2*$M2089))</f>
        <v/>
      </c>
      <c r="AD2089" s="48">
        <f>IF(OR($M2089="",$T2089=""),"",$T2089+(AD$2*$M2089))</f>
        <v/>
      </c>
      <c r="AE2089" s="49">
        <f>IF(OR($M2089="",$T2089=""),"",$T2089+(AE$2*$M2089))</f>
        <v/>
      </c>
      <c r="AF2089" s="52">
        <f>IF(OR(T2089="",I2089&lt;T2089),"",IFERROR(AVERAGE(T2089+M2089*{7,8,9,10,11})/IF(G2089="",I2089,G2089)-1,""))</f>
        <v/>
      </c>
      <c r="AG2089" s="55">
        <f>IF(OR(T2089="",I2089&lt;T2089),"",IFERROR(AF2089/-(R2089/IF(G2089="",I2089,G2089)-1),""))</f>
        <v/>
      </c>
      <c r="AH2089" s="94" t="n"/>
      <c r="AI2089" s="94" t="n"/>
      <c r="AJ2089" s="94" t="n"/>
      <c r="AK2089" s="94" t="n"/>
      <c r="AL2089" s="84" t="n"/>
    </row>
    <row r="2090">
      <c r="A2090" s="64" t="n"/>
      <c r="B2090" s="65" t="n"/>
      <c r="C2090" s="66" t="n"/>
      <c r="D2090" s="67" t="n"/>
      <c r="E2090" s="68" t="n"/>
      <c r="F2090" s="47">
        <f>IF(A2090="","",IF(MIN(H2090,MAX(J2090:K2090))=0,"",MIN(H2090,MAX(J2090:K2090))))</f>
        <v/>
      </c>
      <c r="G2090" s="74" t="n"/>
      <c r="H2090" s="49">
        <f>IF(M2090="","",IFERROR(ROUND(AVERAGE(T2090+M2090*{7,8,9,10,11})/1.21,4),""))</f>
        <v/>
      </c>
      <c r="I2090" s="76" t="n"/>
      <c r="J2090" s="77" t="n"/>
      <c r="K2090" s="74" t="n"/>
      <c r="L2090" s="78" t="n"/>
      <c r="M2090" s="77" t="n"/>
      <c r="N2090" s="53">
        <f>IF(M2090="","",IFERROR(M2090/I2090,""))</f>
        <v/>
      </c>
      <c r="O2090" s="50">
        <f>IF(A2090="","",IFERROR((IF(G2090="",I2090,G2090)-T2090)/M2090,""))</f>
        <v/>
      </c>
      <c r="P2090" s="50">
        <f>IFERROR((I2090/T2090-1)/N2090,"")</f>
        <v/>
      </c>
      <c r="Q2090" s="46">
        <f>IF(OR(T2090="",I2090&lt;T2090),"",IFERROR(R2090/IF(G2090="",I2090,G2090)-1,""))</f>
        <v/>
      </c>
      <c r="R2090" s="48">
        <f>IF($M2090="","",MAX(IF($G2090="",$I2090,$G2090)*(1/1.1),IF($G2090="",$I2090,$G2090)+(R$2*$M2090)))</f>
        <v/>
      </c>
      <c r="S2090" s="49">
        <f>IF($M2090="","",MAX(IF($G2090="",$I2090,$G2090)*(1/1.1),IF($G2090="",$I2090,$G2090)+(S$2*$M2090)))</f>
        <v/>
      </c>
      <c r="T2090" s="82" t="n"/>
      <c r="U2090" s="47">
        <f>IF(OR($M2090="",$T2090=""),"",$T2090+(U$2*$M2090))</f>
        <v/>
      </c>
      <c r="V2090" s="48">
        <f>IF(OR($M2090="",$T2090=""),"",$T2090+(V$2*$M2090))</f>
        <v/>
      </c>
      <c r="W2090" s="48">
        <f>IF(OR($M2090="",$T2090=""),"",$T2090+(W$2*$M2090))</f>
        <v/>
      </c>
      <c r="X2090" s="49">
        <f>IF(OR($M2090="",$T2090=""),"",$T2090+(X$2*$M2090))</f>
        <v/>
      </c>
      <c r="Y2090" s="47">
        <f>IF(OR($M2090="",$T2090=""),"",$T2090+(Y$2*$M2090))</f>
        <v/>
      </c>
      <c r="Z2090" s="49">
        <f>IF(OR($M2090="",$T2090=""),"",$T2090+(Z$2*$M2090))</f>
        <v/>
      </c>
      <c r="AA2090" s="51">
        <f>IF(OR($M2090="",$T2090=""),"",$T2090+(AA$2*$M2090))</f>
        <v/>
      </c>
      <c r="AB2090" s="48">
        <f>IF(OR($M2090="",$T2090=""),"",$T2090+(AB$2*$M2090))</f>
        <v/>
      </c>
      <c r="AC2090" s="48">
        <f>IF(OR($M2090="",$T2090=""),"",$T2090+(AC$2*$M2090))</f>
        <v/>
      </c>
      <c r="AD2090" s="48">
        <f>IF(OR($M2090="",$T2090=""),"",$T2090+(AD$2*$M2090))</f>
        <v/>
      </c>
      <c r="AE2090" s="49">
        <f>IF(OR($M2090="",$T2090=""),"",$T2090+(AE$2*$M2090))</f>
        <v/>
      </c>
      <c r="AF2090" s="52">
        <f>IF(OR(T2090="",I2090&lt;T2090),"",IFERROR(AVERAGE(T2090+M2090*{7,8,9,10,11})/IF(G2090="",I2090,G2090)-1,""))</f>
        <v/>
      </c>
      <c r="AG2090" s="55">
        <f>IF(OR(T2090="",I2090&lt;T2090),"",IFERROR(AF2090/-(R2090/IF(G2090="",I2090,G2090)-1),""))</f>
        <v/>
      </c>
      <c r="AH2090" s="94" t="n"/>
      <c r="AI2090" s="94" t="n"/>
      <c r="AJ2090" s="94" t="n"/>
      <c r="AK2090" s="94" t="n"/>
      <c r="AL2090" s="84" t="n"/>
    </row>
    <row r="2091">
      <c r="A2091" s="64" t="n"/>
      <c r="B2091" s="65" t="n"/>
      <c r="C2091" s="66" t="n"/>
      <c r="D2091" s="67" t="n"/>
      <c r="E2091" s="68" t="n"/>
      <c r="F2091" s="47">
        <f>IF(A2091="","",IF(MIN(H2091,MAX(J2091:K2091))=0,"",MIN(H2091,MAX(J2091:K2091))))</f>
        <v/>
      </c>
      <c r="G2091" s="74" t="n"/>
      <c r="H2091" s="49">
        <f>IF(M2091="","",IFERROR(ROUND(AVERAGE(T2091+M2091*{7,8,9,10,11})/1.21,4),""))</f>
        <v/>
      </c>
      <c r="I2091" s="76" t="n"/>
      <c r="J2091" s="77" t="n"/>
      <c r="K2091" s="74" t="n"/>
      <c r="L2091" s="78" t="n"/>
      <c r="M2091" s="77" t="n"/>
      <c r="N2091" s="53">
        <f>IF(M2091="","",IFERROR(M2091/I2091,""))</f>
        <v/>
      </c>
      <c r="O2091" s="50">
        <f>IF(A2091="","",IFERROR((IF(G2091="",I2091,G2091)-T2091)/M2091,""))</f>
        <v/>
      </c>
      <c r="P2091" s="50">
        <f>IFERROR((I2091/T2091-1)/N2091,"")</f>
        <v/>
      </c>
      <c r="Q2091" s="46">
        <f>IF(OR(T2091="",I2091&lt;T2091),"",IFERROR(R2091/IF(G2091="",I2091,G2091)-1,""))</f>
        <v/>
      </c>
      <c r="R2091" s="48">
        <f>IF($M2091="","",MAX(IF($G2091="",$I2091,$G2091)*(1/1.1),IF($G2091="",$I2091,$G2091)+(R$2*$M2091)))</f>
        <v/>
      </c>
      <c r="S2091" s="49">
        <f>IF($M2091="","",MAX(IF($G2091="",$I2091,$G2091)*(1/1.1),IF($G2091="",$I2091,$G2091)+(S$2*$M2091)))</f>
        <v/>
      </c>
      <c r="T2091" s="82" t="n"/>
      <c r="U2091" s="47">
        <f>IF(OR($M2091="",$T2091=""),"",$T2091+(U$2*$M2091))</f>
        <v/>
      </c>
      <c r="V2091" s="48">
        <f>IF(OR($M2091="",$T2091=""),"",$T2091+(V$2*$M2091))</f>
        <v/>
      </c>
      <c r="W2091" s="48">
        <f>IF(OR($M2091="",$T2091=""),"",$T2091+(W$2*$M2091))</f>
        <v/>
      </c>
      <c r="X2091" s="49">
        <f>IF(OR($M2091="",$T2091=""),"",$T2091+(X$2*$M2091))</f>
        <v/>
      </c>
      <c r="Y2091" s="47">
        <f>IF(OR($M2091="",$T2091=""),"",$T2091+(Y$2*$M2091))</f>
        <v/>
      </c>
      <c r="Z2091" s="49">
        <f>IF(OR($M2091="",$T2091=""),"",$T2091+(Z$2*$M2091))</f>
        <v/>
      </c>
      <c r="AA2091" s="51">
        <f>IF(OR($M2091="",$T2091=""),"",$T2091+(AA$2*$M2091))</f>
        <v/>
      </c>
      <c r="AB2091" s="48">
        <f>IF(OR($M2091="",$T2091=""),"",$T2091+(AB$2*$M2091))</f>
        <v/>
      </c>
      <c r="AC2091" s="48">
        <f>IF(OR($M2091="",$T2091=""),"",$T2091+(AC$2*$M2091))</f>
        <v/>
      </c>
      <c r="AD2091" s="48">
        <f>IF(OR($M2091="",$T2091=""),"",$T2091+(AD$2*$M2091))</f>
        <v/>
      </c>
      <c r="AE2091" s="49">
        <f>IF(OR($M2091="",$T2091=""),"",$T2091+(AE$2*$M2091))</f>
        <v/>
      </c>
      <c r="AF2091" s="52">
        <f>IF(OR(T2091="",I2091&lt;T2091),"",IFERROR(AVERAGE(T2091+M2091*{7,8,9,10,11})/IF(G2091="",I2091,G2091)-1,""))</f>
        <v/>
      </c>
      <c r="AG2091" s="55">
        <f>IF(OR(T2091="",I2091&lt;T2091),"",IFERROR(AF2091/-(R2091/IF(G2091="",I2091,G2091)-1),""))</f>
        <v/>
      </c>
      <c r="AH2091" s="94" t="n"/>
      <c r="AI2091" s="94" t="n"/>
      <c r="AJ2091" s="94" t="n"/>
      <c r="AK2091" s="94" t="n"/>
      <c r="AL2091" s="84" t="n"/>
    </row>
    <row r="2092">
      <c r="A2092" s="64" t="n"/>
      <c r="B2092" s="65" t="n"/>
      <c r="C2092" s="66" t="n"/>
      <c r="D2092" s="67" t="n"/>
      <c r="E2092" s="68" t="n"/>
      <c r="F2092" s="47">
        <f>IF(A2092="","",IF(MIN(H2092,MAX(J2092:K2092))=0,"",MIN(H2092,MAX(J2092:K2092))))</f>
        <v/>
      </c>
      <c r="G2092" s="74" t="n"/>
      <c r="H2092" s="49">
        <f>IF(M2092="","",IFERROR(ROUND(AVERAGE(T2092+M2092*{7,8,9,10,11})/1.21,4),""))</f>
        <v/>
      </c>
      <c r="I2092" s="76" t="n"/>
      <c r="J2092" s="77" t="n"/>
      <c r="K2092" s="74" t="n"/>
      <c r="L2092" s="78" t="n"/>
      <c r="M2092" s="77" t="n"/>
      <c r="N2092" s="53">
        <f>IF(M2092="","",IFERROR(M2092/I2092,""))</f>
        <v/>
      </c>
      <c r="O2092" s="50">
        <f>IF(A2092="","",IFERROR((IF(G2092="",I2092,G2092)-T2092)/M2092,""))</f>
        <v/>
      </c>
      <c r="P2092" s="50">
        <f>IFERROR((I2092/T2092-1)/N2092,"")</f>
        <v/>
      </c>
      <c r="Q2092" s="46">
        <f>IF(OR(T2092="",I2092&lt;T2092),"",IFERROR(R2092/IF(G2092="",I2092,G2092)-1,""))</f>
        <v/>
      </c>
      <c r="R2092" s="48">
        <f>IF($M2092="","",MAX(IF($G2092="",$I2092,$G2092)*(1/1.1),IF($G2092="",$I2092,$G2092)+(R$2*$M2092)))</f>
        <v/>
      </c>
      <c r="S2092" s="49">
        <f>IF($M2092="","",MAX(IF($G2092="",$I2092,$G2092)*(1/1.1),IF($G2092="",$I2092,$G2092)+(S$2*$M2092)))</f>
        <v/>
      </c>
      <c r="T2092" s="82" t="n"/>
      <c r="U2092" s="47">
        <f>IF(OR($M2092="",$T2092=""),"",$T2092+(U$2*$M2092))</f>
        <v/>
      </c>
      <c r="V2092" s="48">
        <f>IF(OR($M2092="",$T2092=""),"",$T2092+(V$2*$M2092))</f>
        <v/>
      </c>
      <c r="W2092" s="48">
        <f>IF(OR($M2092="",$T2092=""),"",$T2092+(W$2*$M2092))</f>
        <v/>
      </c>
      <c r="X2092" s="49">
        <f>IF(OR($M2092="",$T2092=""),"",$T2092+(X$2*$M2092))</f>
        <v/>
      </c>
      <c r="Y2092" s="47">
        <f>IF(OR($M2092="",$T2092=""),"",$T2092+(Y$2*$M2092))</f>
        <v/>
      </c>
      <c r="Z2092" s="49">
        <f>IF(OR($M2092="",$T2092=""),"",$T2092+(Z$2*$M2092))</f>
        <v/>
      </c>
      <c r="AA2092" s="51">
        <f>IF(OR($M2092="",$T2092=""),"",$T2092+(AA$2*$M2092))</f>
        <v/>
      </c>
      <c r="AB2092" s="48">
        <f>IF(OR($M2092="",$T2092=""),"",$T2092+(AB$2*$M2092))</f>
        <v/>
      </c>
      <c r="AC2092" s="48">
        <f>IF(OR($M2092="",$T2092=""),"",$T2092+(AC$2*$M2092))</f>
        <v/>
      </c>
      <c r="AD2092" s="48">
        <f>IF(OR($M2092="",$T2092=""),"",$T2092+(AD$2*$M2092))</f>
        <v/>
      </c>
      <c r="AE2092" s="49">
        <f>IF(OR($M2092="",$T2092=""),"",$T2092+(AE$2*$M2092))</f>
        <v/>
      </c>
      <c r="AF2092" s="52">
        <f>IF(OR(T2092="",I2092&lt;T2092),"",IFERROR(AVERAGE(T2092+M2092*{7,8,9,10,11})/IF(G2092="",I2092,G2092)-1,""))</f>
        <v/>
      </c>
      <c r="AG2092" s="55">
        <f>IF(OR(T2092="",I2092&lt;T2092),"",IFERROR(AF2092/-(R2092/IF(G2092="",I2092,G2092)-1),""))</f>
        <v/>
      </c>
      <c r="AH2092" s="94" t="n"/>
      <c r="AI2092" s="94" t="n"/>
      <c r="AJ2092" s="94" t="n"/>
      <c r="AK2092" s="94" t="n"/>
      <c r="AL2092" s="84" t="n"/>
    </row>
    <row r="2093">
      <c r="A2093" s="64" t="n"/>
      <c r="B2093" s="65" t="n"/>
      <c r="C2093" s="66" t="n"/>
      <c r="D2093" s="67" t="n"/>
      <c r="E2093" s="68" t="n"/>
      <c r="F2093" s="47">
        <f>IF(A2093="","",IF(MIN(H2093,MAX(J2093:K2093))=0,"",MIN(H2093,MAX(J2093:K2093))))</f>
        <v/>
      </c>
      <c r="G2093" s="74" t="n"/>
      <c r="H2093" s="49">
        <f>IF(M2093="","",IFERROR(ROUND(AVERAGE(T2093+M2093*{7,8,9,10,11})/1.21,4),""))</f>
        <v/>
      </c>
      <c r="I2093" s="76" t="n"/>
      <c r="J2093" s="77" t="n"/>
      <c r="K2093" s="74" t="n"/>
      <c r="L2093" s="78" t="n"/>
      <c r="M2093" s="77" t="n"/>
      <c r="N2093" s="53">
        <f>IF(M2093="","",IFERROR(M2093/I2093,""))</f>
        <v/>
      </c>
      <c r="O2093" s="50">
        <f>IF(A2093="","",IFERROR((IF(G2093="",I2093,G2093)-T2093)/M2093,""))</f>
        <v/>
      </c>
      <c r="P2093" s="50">
        <f>IFERROR((I2093/T2093-1)/N2093,"")</f>
        <v/>
      </c>
      <c r="Q2093" s="46">
        <f>IF(OR(T2093="",I2093&lt;T2093),"",IFERROR(R2093/IF(G2093="",I2093,G2093)-1,""))</f>
        <v/>
      </c>
      <c r="R2093" s="48">
        <f>IF($M2093="","",MAX(IF($G2093="",$I2093,$G2093)*(1/1.1),IF($G2093="",$I2093,$G2093)+(R$2*$M2093)))</f>
        <v/>
      </c>
      <c r="S2093" s="49">
        <f>IF($M2093="","",MAX(IF($G2093="",$I2093,$G2093)*(1/1.1),IF($G2093="",$I2093,$G2093)+(S$2*$M2093)))</f>
        <v/>
      </c>
      <c r="T2093" s="82" t="n"/>
      <c r="U2093" s="47">
        <f>IF(OR($M2093="",$T2093=""),"",$T2093+(U$2*$M2093))</f>
        <v/>
      </c>
      <c r="V2093" s="48">
        <f>IF(OR($M2093="",$T2093=""),"",$T2093+(V$2*$M2093))</f>
        <v/>
      </c>
      <c r="W2093" s="48">
        <f>IF(OR($M2093="",$T2093=""),"",$T2093+(W$2*$M2093))</f>
        <v/>
      </c>
      <c r="X2093" s="49">
        <f>IF(OR($M2093="",$T2093=""),"",$T2093+(X$2*$M2093))</f>
        <v/>
      </c>
      <c r="Y2093" s="47">
        <f>IF(OR($M2093="",$T2093=""),"",$T2093+(Y$2*$M2093))</f>
        <v/>
      </c>
      <c r="Z2093" s="49">
        <f>IF(OR($M2093="",$T2093=""),"",$T2093+(Z$2*$M2093))</f>
        <v/>
      </c>
      <c r="AA2093" s="51">
        <f>IF(OR($M2093="",$T2093=""),"",$T2093+(AA$2*$M2093))</f>
        <v/>
      </c>
      <c r="AB2093" s="48">
        <f>IF(OR($M2093="",$T2093=""),"",$T2093+(AB$2*$M2093))</f>
        <v/>
      </c>
      <c r="AC2093" s="48">
        <f>IF(OR($M2093="",$T2093=""),"",$T2093+(AC$2*$M2093))</f>
        <v/>
      </c>
      <c r="AD2093" s="48">
        <f>IF(OR($M2093="",$T2093=""),"",$T2093+(AD$2*$M2093))</f>
        <v/>
      </c>
      <c r="AE2093" s="49">
        <f>IF(OR($M2093="",$T2093=""),"",$T2093+(AE$2*$M2093))</f>
        <v/>
      </c>
      <c r="AF2093" s="52">
        <f>IF(OR(T2093="",I2093&lt;T2093),"",IFERROR(AVERAGE(T2093+M2093*{7,8,9,10,11})/IF(G2093="",I2093,G2093)-1,""))</f>
        <v/>
      </c>
      <c r="AG2093" s="55">
        <f>IF(OR(T2093="",I2093&lt;T2093),"",IFERROR(AF2093/-(R2093/IF(G2093="",I2093,G2093)-1),""))</f>
        <v/>
      </c>
      <c r="AH2093" s="94" t="n"/>
      <c r="AI2093" s="94" t="n"/>
      <c r="AJ2093" s="94" t="n"/>
      <c r="AK2093" s="94" t="n"/>
      <c r="AL2093" s="84" t="n"/>
    </row>
    <row r="2094">
      <c r="A2094" s="64" t="n"/>
      <c r="B2094" s="65" t="n"/>
      <c r="C2094" s="66" t="n"/>
      <c r="D2094" s="67" t="n"/>
      <c r="E2094" s="68" t="n"/>
      <c r="F2094" s="47">
        <f>IF(A2094="","",IF(MIN(H2094,MAX(J2094:K2094))=0,"",MIN(H2094,MAX(J2094:K2094))))</f>
        <v/>
      </c>
      <c r="G2094" s="74" t="n"/>
      <c r="H2094" s="49">
        <f>IF(M2094="","",IFERROR(ROUND(AVERAGE(T2094+M2094*{7,8,9,10,11})/1.21,4),""))</f>
        <v/>
      </c>
      <c r="I2094" s="76" t="n"/>
      <c r="J2094" s="77" t="n"/>
      <c r="K2094" s="74" t="n"/>
      <c r="L2094" s="78" t="n"/>
      <c r="M2094" s="77" t="n"/>
      <c r="N2094" s="53">
        <f>IF(M2094="","",IFERROR(M2094/I2094,""))</f>
        <v/>
      </c>
      <c r="O2094" s="50">
        <f>IF(A2094="","",IFERROR((IF(G2094="",I2094,G2094)-T2094)/M2094,""))</f>
        <v/>
      </c>
      <c r="P2094" s="50">
        <f>IFERROR((I2094/T2094-1)/N2094,"")</f>
        <v/>
      </c>
      <c r="Q2094" s="46">
        <f>IF(OR(T2094="",I2094&lt;T2094),"",IFERROR(R2094/IF(G2094="",I2094,G2094)-1,""))</f>
        <v/>
      </c>
      <c r="R2094" s="48">
        <f>IF($M2094="","",MAX(IF($G2094="",$I2094,$G2094)*(1/1.1),IF($G2094="",$I2094,$G2094)+(R$2*$M2094)))</f>
        <v/>
      </c>
      <c r="S2094" s="49">
        <f>IF($M2094="","",MAX(IF($G2094="",$I2094,$G2094)*(1/1.1),IF($G2094="",$I2094,$G2094)+(S$2*$M2094)))</f>
        <v/>
      </c>
      <c r="T2094" s="82" t="n"/>
      <c r="U2094" s="47">
        <f>IF(OR($M2094="",$T2094=""),"",$T2094+(U$2*$M2094))</f>
        <v/>
      </c>
      <c r="V2094" s="48">
        <f>IF(OR($M2094="",$T2094=""),"",$T2094+(V$2*$M2094))</f>
        <v/>
      </c>
      <c r="W2094" s="48">
        <f>IF(OR($M2094="",$T2094=""),"",$T2094+(W$2*$M2094))</f>
        <v/>
      </c>
      <c r="X2094" s="49">
        <f>IF(OR($M2094="",$T2094=""),"",$T2094+(X$2*$M2094))</f>
        <v/>
      </c>
      <c r="Y2094" s="47">
        <f>IF(OR($M2094="",$T2094=""),"",$T2094+(Y$2*$M2094))</f>
        <v/>
      </c>
      <c r="Z2094" s="49">
        <f>IF(OR($M2094="",$T2094=""),"",$T2094+(Z$2*$M2094))</f>
        <v/>
      </c>
      <c r="AA2094" s="51">
        <f>IF(OR($M2094="",$T2094=""),"",$T2094+(AA$2*$M2094))</f>
        <v/>
      </c>
      <c r="AB2094" s="48">
        <f>IF(OR($M2094="",$T2094=""),"",$T2094+(AB$2*$M2094))</f>
        <v/>
      </c>
      <c r="AC2094" s="48">
        <f>IF(OR($M2094="",$T2094=""),"",$T2094+(AC$2*$M2094))</f>
        <v/>
      </c>
      <c r="AD2094" s="48">
        <f>IF(OR($M2094="",$T2094=""),"",$T2094+(AD$2*$M2094))</f>
        <v/>
      </c>
      <c r="AE2094" s="49">
        <f>IF(OR($M2094="",$T2094=""),"",$T2094+(AE$2*$M2094))</f>
        <v/>
      </c>
      <c r="AF2094" s="52">
        <f>IF(OR(T2094="",I2094&lt;T2094),"",IFERROR(AVERAGE(T2094+M2094*{7,8,9,10,11})/IF(G2094="",I2094,G2094)-1,""))</f>
        <v/>
      </c>
      <c r="AG2094" s="55">
        <f>IF(OR(T2094="",I2094&lt;T2094),"",IFERROR(AF2094/-(R2094/IF(G2094="",I2094,G2094)-1),""))</f>
        <v/>
      </c>
      <c r="AH2094" s="94" t="n"/>
      <c r="AI2094" s="94" t="n"/>
      <c r="AJ2094" s="94" t="n"/>
      <c r="AK2094" s="94" t="n"/>
      <c r="AL2094" s="84" t="n"/>
    </row>
    <row r="2095">
      <c r="A2095" s="64" t="n"/>
      <c r="B2095" s="65" t="n"/>
      <c r="C2095" s="66" t="n"/>
      <c r="D2095" s="67" t="n"/>
      <c r="E2095" s="68" t="n"/>
      <c r="F2095" s="47">
        <f>IF(A2095="","",IF(MIN(H2095,MAX(J2095:K2095))=0,"",MIN(H2095,MAX(J2095:K2095))))</f>
        <v/>
      </c>
      <c r="G2095" s="74" t="n"/>
      <c r="H2095" s="49">
        <f>IF(M2095="","",IFERROR(ROUND(AVERAGE(T2095+M2095*{7,8,9,10,11})/1.21,4),""))</f>
        <v/>
      </c>
      <c r="I2095" s="76" t="n"/>
      <c r="J2095" s="77" t="n"/>
      <c r="K2095" s="74" t="n"/>
      <c r="L2095" s="78" t="n"/>
      <c r="M2095" s="77" t="n"/>
      <c r="N2095" s="53">
        <f>IF(M2095="","",IFERROR(M2095/I2095,""))</f>
        <v/>
      </c>
      <c r="O2095" s="50">
        <f>IF(A2095="","",IFERROR((IF(G2095="",I2095,G2095)-T2095)/M2095,""))</f>
        <v/>
      </c>
      <c r="P2095" s="50">
        <f>IFERROR((I2095/T2095-1)/N2095,"")</f>
        <v/>
      </c>
      <c r="Q2095" s="46">
        <f>IF(OR(T2095="",I2095&lt;T2095),"",IFERROR(R2095/IF(G2095="",I2095,G2095)-1,""))</f>
        <v/>
      </c>
      <c r="R2095" s="48">
        <f>IF($M2095="","",MAX(IF($G2095="",$I2095,$G2095)*(1/1.1),IF($G2095="",$I2095,$G2095)+(R$2*$M2095)))</f>
        <v/>
      </c>
      <c r="S2095" s="49">
        <f>IF($M2095="","",MAX(IF($G2095="",$I2095,$G2095)*(1/1.1),IF($G2095="",$I2095,$G2095)+(S$2*$M2095)))</f>
        <v/>
      </c>
      <c r="T2095" s="82" t="n"/>
      <c r="U2095" s="47">
        <f>IF(OR($M2095="",$T2095=""),"",$T2095+(U$2*$M2095))</f>
        <v/>
      </c>
      <c r="V2095" s="48">
        <f>IF(OR($M2095="",$T2095=""),"",$T2095+(V$2*$M2095))</f>
        <v/>
      </c>
      <c r="W2095" s="48">
        <f>IF(OR($M2095="",$T2095=""),"",$T2095+(W$2*$M2095))</f>
        <v/>
      </c>
      <c r="X2095" s="49">
        <f>IF(OR($M2095="",$T2095=""),"",$T2095+(X$2*$M2095))</f>
        <v/>
      </c>
      <c r="Y2095" s="47">
        <f>IF(OR($M2095="",$T2095=""),"",$T2095+(Y$2*$M2095))</f>
        <v/>
      </c>
      <c r="Z2095" s="49">
        <f>IF(OR($M2095="",$T2095=""),"",$T2095+(Z$2*$M2095))</f>
        <v/>
      </c>
      <c r="AA2095" s="51">
        <f>IF(OR($M2095="",$T2095=""),"",$T2095+(AA$2*$M2095))</f>
        <v/>
      </c>
      <c r="AB2095" s="48">
        <f>IF(OR($M2095="",$T2095=""),"",$T2095+(AB$2*$M2095))</f>
        <v/>
      </c>
      <c r="AC2095" s="48">
        <f>IF(OR($M2095="",$T2095=""),"",$T2095+(AC$2*$M2095))</f>
        <v/>
      </c>
      <c r="AD2095" s="48">
        <f>IF(OR($M2095="",$T2095=""),"",$T2095+(AD$2*$M2095))</f>
        <v/>
      </c>
      <c r="AE2095" s="49">
        <f>IF(OR($M2095="",$T2095=""),"",$T2095+(AE$2*$M2095))</f>
        <v/>
      </c>
      <c r="AF2095" s="52">
        <f>IF(OR(T2095="",I2095&lt;T2095),"",IFERROR(AVERAGE(T2095+M2095*{7,8,9,10,11})/IF(G2095="",I2095,G2095)-1,""))</f>
        <v/>
      </c>
      <c r="AG2095" s="55">
        <f>IF(OR(T2095="",I2095&lt;T2095),"",IFERROR(AF2095/-(R2095/IF(G2095="",I2095,G2095)-1),""))</f>
        <v/>
      </c>
      <c r="AH2095" s="94" t="n"/>
      <c r="AI2095" s="94" t="n"/>
      <c r="AJ2095" s="94" t="n"/>
      <c r="AK2095" s="94" t="n"/>
      <c r="AL2095" s="84" t="n"/>
    </row>
    <row r="2096">
      <c r="A2096" s="64" t="n"/>
      <c r="B2096" s="65" t="n"/>
      <c r="C2096" s="66" t="n"/>
      <c r="D2096" s="67" t="n"/>
      <c r="E2096" s="68" t="n"/>
      <c r="F2096" s="47">
        <f>IF(A2096="","",IF(MIN(H2096,MAX(J2096:K2096))=0,"",MIN(H2096,MAX(J2096:K2096))))</f>
        <v/>
      </c>
      <c r="G2096" s="74" t="n"/>
      <c r="H2096" s="49">
        <f>IF(M2096="","",IFERROR(ROUND(AVERAGE(T2096+M2096*{7,8,9,10,11})/1.21,4),""))</f>
        <v/>
      </c>
      <c r="I2096" s="76" t="n"/>
      <c r="J2096" s="77" t="n"/>
      <c r="K2096" s="74" t="n"/>
      <c r="L2096" s="78" t="n"/>
      <c r="M2096" s="77" t="n"/>
      <c r="N2096" s="53">
        <f>IF(M2096="","",IFERROR(M2096/I2096,""))</f>
        <v/>
      </c>
      <c r="O2096" s="50">
        <f>IF(A2096="","",IFERROR((IF(G2096="",I2096,G2096)-T2096)/M2096,""))</f>
        <v/>
      </c>
      <c r="P2096" s="50">
        <f>IFERROR((I2096/T2096-1)/N2096,"")</f>
        <v/>
      </c>
      <c r="Q2096" s="46">
        <f>IF(OR(T2096="",I2096&lt;T2096),"",IFERROR(R2096/IF(G2096="",I2096,G2096)-1,""))</f>
        <v/>
      </c>
      <c r="R2096" s="48">
        <f>IF($M2096="","",MAX(IF($G2096="",$I2096,$G2096)*(1/1.1),IF($G2096="",$I2096,$G2096)+(R$2*$M2096)))</f>
        <v/>
      </c>
      <c r="S2096" s="49">
        <f>IF($M2096="","",MAX(IF($G2096="",$I2096,$G2096)*(1/1.1),IF($G2096="",$I2096,$G2096)+(S$2*$M2096)))</f>
        <v/>
      </c>
      <c r="T2096" s="82" t="n"/>
      <c r="U2096" s="47">
        <f>IF(OR($M2096="",$T2096=""),"",$T2096+(U$2*$M2096))</f>
        <v/>
      </c>
      <c r="V2096" s="48">
        <f>IF(OR($M2096="",$T2096=""),"",$T2096+(V$2*$M2096))</f>
        <v/>
      </c>
      <c r="W2096" s="48">
        <f>IF(OR($M2096="",$T2096=""),"",$T2096+(W$2*$M2096))</f>
        <v/>
      </c>
      <c r="X2096" s="49">
        <f>IF(OR($M2096="",$T2096=""),"",$T2096+(X$2*$M2096))</f>
        <v/>
      </c>
      <c r="Y2096" s="47">
        <f>IF(OR($M2096="",$T2096=""),"",$T2096+(Y$2*$M2096))</f>
        <v/>
      </c>
      <c r="Z2096" s="49">
        <f>IF(OR($M2096="",$T2096=""),"",$T2096+(Z$2*$M2096))</f>
        <v/>
      </c>
      <c r="AA2096" s="51">
        <f>IF(OR($M2096="",$T2096=""),"",$T2096+(AA$2*$M2096))</f>
        <v/>
      </c>
      <c r="AB2096" s="48">
        <f>IF(OR($M2096="",$T2096=""),"",$T2096+(AB$2*$M2096))</f>
        <v/>
      </c>
      <c r="AC2096" s="48">
        <f>IF(OR($M2096="",$T2096=""),"",$T2096+(AC$2*$M2096))</f>
        <v/>
      </c>
      <c r="AD2096" s="48">
        <f>IF(OR($M2096="",$T2096=""),"",$T2096+(AD$2*$M2096))</f>
        <v/>
      </c>
      <c r="AE2096" s="49">
        <f>IF(OR($M2096="",$T2096=""),"",$T2096+(AE$2*$M2096))</f>
        <v/>
      </c>
      <c r="AF2096" s="52">
        <f>IF(OR(T2096="",I2096&lt;T2096),"",IFERROR(AVERAGE(T2096+M2096*{7,8,9,10,11})/IF(G2096="",I2096,G2096)-1,""))</f>
        <v/>
      </c>
      <c r="AG2096" s="55">
        <f>IF(OR(T2096="",I2096&lt;T2096),"",IFERROR(AF2096/-(R2096/IF(G2096="",I2096,G2096)-1),""))</f>
        <v/>
      </c>
      <c r="AH2096" s="94" t="n"/>
      <c r="AI2096" s="94" t="n"/>
      <c r="AJ2096" s="94" t="n"/>
      <c r="AK2096" s="94" t="n"/>
      <c r="AL2096" s="84" t="n"/>
    </row>
    <row r="2097">
      <c r="A2097" s="64" t="n"/>
      <c r="B2097" s="65" t="n"/>
      <c r="C2097" s="66" t="n"/>
      <c r="D2097" s="67" t="n"/>
      <c r="E2097" s="68" t="n"/>
      <c r="F2097" s="47">
        <f>IF(A2097="","",IF(MIN(H2097,MAX(J2097:K2097))=0,"",MIN(H2097,MAX(J2097:K2097))))</f>
        <v/>
      </c>
      <c r="G2097" s="74" t="n"/>
      <c r="H2097" s="49">
        <f>IF(M2097="","",IFERROR(ROUND(AVERAGE(T2097+M2097*{7,8,9,10,11})/1.21,4),""))</f>
        <v/>
      </c>
      <c r="I2097" s="76" t="n"/>
      <c r="J2097" s="77" t="n"/>
      <c r="K2097" s="74" t="n"/>
      <c r="L2097" s="78" t="n"/>
      <c r="M2097" s="77" t="n"/>
      <c r="N2097" s="53">
        <f>IF(M2097="","",IFERROR(M2097/I2097,""))</f>
        <v/>
      </c>
      <c r="O2097" s="50">
        <f>IF(A2097="","",IFERROR((IF(G2097="",I2097,G2097)-T2097)/M2097,""))</f>
        <v/>
      </c>
      <c r="P2097" s="50">
        <f>IFERROR((I2097/T2097-1)/N2097,"")</f>
        <v/>
      </c>
      <c r="Q2097" s="46">
        <f>IF(OR(T2097="",I2097&lt;T2097),"",IFERROR(R2097/IF(G2097="",I2097,G2097)-1,""))</f>
        <v/>
      </c>
      <c r="R2097" s="48">
        <f>IF($M2097="","",MAX(IF($G2097="",$I2097,$G2097)*(1/1.1),IF($G2097="",$I2097,$G2097)+(R$2*$M2097)))</f>
        <v/>
      </c>
      <c r="S2097" s="49">
        <f>IF($M2097="","",MAX(IF($G2097="",$I2097,$G2097)*(1/1.1),IF($G2097="",$I2097,$G2097)+(S$2*$M2097)))</f>
        <v/>
      </c>
      <c r="T2097" s="82" t="n"/>
      <c r="U2097" s="47">
        <f>IF(OR($M2097="",$T2097=""),"",$T2097+(U$2*$M2097))</f>
        <v/>
      </c>
      <c r="V2097" s="48">
        <f>IF(OR($M2097="",$T2097=""),"",$T2097+(V$2*$M2097))</f>
        <v/>
      </c>
      <c r="W2097" s="48">
        <f>IF(OR($M2097="",$T2097=""),"",$T2097+(W$2*$M2097))</f>
        <v/>
      </c>
      <c r="X2097" s="49">
        <f>IF(OR($M2097="",$T2097=""),"",$T2097+(X$2*$M2097))</f>
        <v/>
      </c>
      <c r="Y2097" s="47">
        <f>IF(OR($M2097="",$T2097=""),"",$T2097+(Y$2*$M2097))</f>
        <v/>
      </c>
      <c r="Z2097" s="49">
        <f>IF(OR($M2097="",$T2097=""),"",$T2097+(Z$2*$M2097))</f>
        <v/>
      </c>
      <c r="AA2097" s="51">
        <f>IF(OR($M2097="",$T2097=""),"",$T2097+(AA$2*$M2097))</f>
        <v/>
      </c>
      <c r="AB2097" s="48">
        <f>IF(OR($M2097="",$T2097=""),"",$T2097+(AB$2*$M2097))</f>
        <v/>
      </c>
      <c r="AC2097" s="48">
        <f>IF(OR($M2097="",$T2097=""),"",$T2097+(AC$2*$M2097))</f>
        <v/>
      </c>
      <c r="AD2097" s="48">
        <f>IF(OR($M2097="",$T2097=""),"",$T2097+(AD$2*$M2097))</f>
        <v/>
      </c>
      <c r="AE2097" s="49">
        <f>IF(OR($M2097="",$T2097=""),"",$T2097+(AE$2*$M2097))</f>
        <v/>
      </c>
      <c r="AF2097" s="52">
        <f>IF(OR(T2097="",I2097&lt;T2097),"",IFERROR(AVERAGE(T2097+M2097*{7,8,9,10,11})/IF(G2097="",I2097,G2097)-1,""))</f>
        <v/>
      </c>
      <c r="AG2097" s="55">
        <f>IF(OR(T2097="",I2097&lt;T2097),"",IFERROR(AF2097/-(R2097/IF(G2097="",I2097,G2097)-1),""))</f>
        <v/>
      </c>
      <c r="AH2097" s="94" t="n"/>
      <c r="AI2097" s="94" t="n"/>
      <c r="AJ2097" s="94" t="n"/>
      <c r="AK2097" s="94" t="n"/>
      <c r="AL2097" s="84" t="n"/>
    </row>
    <row r="2098">
      <c r="A2098" s="64" t="n"/>
      <c r="B2098" s="65" t="n"/>
      <c r="C2098" s="66" t="n"/>
      <c r="D2098" s="67" t="n"/>
      <c r="E2098" s="68" t="n"/>
      <c r="F2098" s="47">
        <f>IF(A2098="","",IF(MIN(H2098,MAX(J2098:K2098))=0,"",MIN(H2098,MAX(J2098:K2098))))</f>
        <v/>
      </c>
      <c r="G2098" s="74" t="n"/>
      <c r="H2098" s="49">
        <f>IF(M2098="","",IFERROR(ROUND(AVERAGE(T2098+M2098*{7,8,9,10,11})/1.21,4),""))</f>
        <v/>
      </c>
      <c r="I2098" s="76" t="n"/>
      <c r="J2098" s="77" t="n"/>
      <c r="K2098" s="74" t="n"/>
      <c r="L2098" s="78" t="n"/>
      <c r="M2098" s="77" t="n"/>
      <c r="N2098" s="53">
        <f>IF(M2098="","",IFERROR(M2098/I2098,""))</f>
        <v/>
      </c>
      <c r="O2098" s="50">
        <f>IF(A2098="","",IFERROR((IF(G2098="",I2098,G2098)-T2098)/M2098,""))</f>
        <v/>
      </c>
      <c r="P2098" s="50">
        <f>IFERROR((I2098/T2098-1)/N2098,"")</f>
        <v/>
      </c>
      <c r="Q2098" s="46">
        <f>IF(OR(T2098="",I2098&lt;T2098),"",IFERROR(R2098/IF(G2098="",I2098,G2098)-1,""))</f>
        <v/>
      </c>
      <c r="R2098" s="48">
        <f>IF($M2098="","",MAX(IF($G2098="",$I2098,$G2098)*(1/1.1),IF($G2098="",$I2098,$G2098)+(R$2*$M2098)))</f>
        <v/>
      </c>
      <c r="S2098" s="49">
        <f>IF($M2098="","",MAX(IF($G2098="",$I2098,$G2098)*(1/1.1),IF($G2098="",$I2098,$G2098)+(S$2*$M2098)))</f>
        <v/>
      </c>
      <c r="T2098" s="82" t="n"/>
      <c r="U2098" s="47">
        <f>IF(OR($M2098="",$T2098=""),"",$T2098+(U$2*$M2098))</f>
        <v/>
      </c>
      <c r="V2098" s="48">
        <f>IF(OR($M2098="",$T2098=""),"",$T2098+(V$2*$M2098))</f>
        <v/>
      </c>
      <c r="W2098" s="48">
        <f>IF(OR($M2098="",$T2098=""),"",$T2098+(W$2*$M2098))</f>
        <v/>
      </c>
      <c r="X2098" s="49">
        <f>IF(OR($M2098="",$T2098=""),"",$T2098+(X$2*$M2098))</f>
        <v/>
      </c>
      <c r="Y2098" s="47">
        <f>IF(OR($M2098="",$T2098=""),"",$T2098+(Y$2*$M2098))</f>
        <v/>
      </c>
      <c r="Z2098" s="49">
        <f>IF(OR($M2098="",$T2098=""),"",$T2098+(Z$2*$M2098))</f>
        <v/>
      </c>
      <c r="AA2098" s="51">
        <f>IF(OR($M2098="",$T2098=""),"",$T2098+(AA$2*$M2098))</f>
        <v/>
      </c>
      <c r="AB2098" s="48">
        <f>IF(OR($M2098="",$T2098=""),"",$T2098+(AB$2*$M2098))</f>
        <v/>
      </c>
      <c r="AC2098" s="48">
        <f>IF(OR($M2098="",$T2098=""),"",$T2098+(AC$2*$M2098))</f>
        <v/>
      </c>
      <c r="AD2098" s="48">
        <f>IF(OR($M2098="",$T2098=""),"",$T2098+(AD$2*$M2098))</f>
        <v/>
      </c>
      <c r="AE2098" s="49">
        <f>IF(OR($M2098="",$T2098=""),"",$T2098+(AE$2*$M2098))</f>
        <v/>
      </c>
      <c r="AF2098" s="52">
        <f>IF(OR(T2098="",I2098&lt;T2098),"",IFERROR(AVERAGE(T2098+M2098*{7,8,9,10,11})/IF(G2098="",I2098,G2098)-1,""))</f>
        <v/>
      </c>
      <c r="AG2098" s="55">
        <f>IF(OR(T2098="",I2098&lt;T2098),"",IFERROR(AF2098/-(R2098/IF(G2098="",I2098,G2098)-1),""))</f>
        <v/>
      </c>
      <c r="AH2098" s="94" t="n"/>
      <c r="AI2098" s="94" t="n"/>
      <c r="AJ2098" s="94" t="n"/>
      <c r="AK2098" s="94" t="n"/>
      <c r="AL2098" s="84" t="n"/>
    </row>
    <row r="2099">
      <c r="A2099" s="64" t="n"/>
      <c r="B2099" s="65" t="n"/>
      <c r="C2099" s="66" t="n"/>
      <c r="D2099" s="67" t="n"/>
      <c r="E2099" s="68" t="n"/>
      <c r="F2099" s="47">
        <f>IF(A2099="","",IF(MIN(H2099,MAX(J2099:K2099))=0,"",MIN(H2099,MAX(J2099:K2099))))</f>
        <v/>
      </c>
      <c r="G2099" s="74" t="n"/>
      <c r="H2099" s="49">
        <f>IF(M2099="","",IFERROR(ROUND(AVERAGE(T2099+M2099*{7,8,9,10,11})/1.21,4),""))</f>
        <v/>
      </c>
      <c r="I2099" s="76" t="n"/>
      <c r="J2099" s="77" t="n"/>
      <c r="K2099" s="74" t="n"/>
      <c r="L2099" s="78" t="n"/>
      <c r="M2099" s="77" t="n"/>
      <c r="N2099" s="53">
        <f>IF(M2099="","",IFERROR(M2099/I2099,""))</f>
        <v/>
      </c>
      <c r="O2099" s="50">
        <f>IF(A2099="","",IFERROR((IF(G2099="",I2099,G2099)-T2099)/M2099,""))</f>
        <v/>
      </c>
      <c r="P2099" s="50">
        <f>IFERROR((I2099/T2099-1)/N2099,"")</f>
        <v/>
      </c>
      <c r="Q2099" s="46">
        <f>IF(OR(T2099="",I2099&lt;T2099),"",IFERROR(R2099/IF(G2099="",I2099,G2099)-1,""))</f>
        <v/>
      </c>
      <c r="R2099" s="48">
        <f>IF($M2099="","",MAX(IF($G2099="",$I2099,$G2099)*(1/1.1),IF($G2099="",$I2099,$G2099)+(R$2*$M2099)))</f>
        <v/>
      </c>
      <c r="S2099" s="49">
        <f>IF($M2099="","",MAX(IF($G2099="",$I2099,$G2099)*(1/1.1),IF($G2099="",$I2099,$G2099)+(S$2*$M2099)))</f>
        <v/>
      </c>
      <c r="T2099" s="82" t="n"/>
      <c r="U2099" s="47">
        <f>IF(OR($M2099="",$T2099=""),"",$T2099+(U$2*$M2099))</f>
        <v/>
      </c>
      <c r="V2099" s="48">
        <f>IF(OR($M2099="",$T2099=""),"",$T2099+(V$2*$M2099))</f>
        <v/>
      </c>
      <c r="W2099" s="48">
        <f>IF(OR($M2099="",$T2099=""),"",$T2099+(W$2*$M2099))</f>
        <v/>
      </c>
      <c r="X2099" s="49">
        <f>IF(OR($M2099="",$T2099=""),"",$T2099+(X$2*$M2099))</f>
        <v/>
      </c>
      <c r="Y2099" s="47">
        <f>IF(OR($M2099="",$T2099=""),"",$T2099+(Y$2*$M2099))</f>
        <v/>
      </c>
      <c r="Z2099" s="49">
        <f>IF(OR($M2099="",$T2099=""),"",$T2099+(Z$2*$M2099))</f>
        <v/>
      </c>
      <c r="AA2099" s="51">
        <f>IF(OR($M2099="",$T2099=""),"",$T2099+(AA$2*$M2099))</f>
        <v/>
      </c>
      <c r="AB2099" s="48">
        <f>IF(OR($M2099="",$T2099=""),"",$T2099+(AB$2*$M2099))</f>
        <v/>
      </c>
      <c r="AC2099" s="48">
        <f>IF(OR($M2099="",$T2099=""),"",$T2099+(AC$2*$M2099))</f>
        <v/>
      </c>
      <c r="AD2099" s="48">
        <f>IF(OR($M2099="",$T2099=""),"",$T2099+(AD$2*$M2099))</f>
        <v/>
      </c>
      <c r="AE2099" s="49">
        <f>IF(OR($M2099="",$T2099=""),"",$T2099+(AE$2*$M2099))</f>
        <v/>
      </c>
      <c r="AF2099" s="52">
        <f>IF(OR(T2099="",I2099&lt;T2099),"",IFERROR(AVERAGE(T2099+M2099*{7,8,9,10,11})/IF(G2099="",I2099,G2099)-1,""))</f>
        <v/>
      </c>
      <c r="AG2099" s="55">
        <f>IF(OR(T2099="",I2099&lt;T2099),"",IFERROR(AF2099/-(R2099/IF(G2099="",I2099,G2099)-1),""))</f>
        <v/>
      </c>
      <c r="AH2099" s="94" t="n"/>
      <c r="AI2099" s="94" t="n"/>
      <c r="AJ2099" s="94" t="n"/>
      <c r="AK2099" s="94" t="n"/>
      <c r="AL2099" s="84" t="n"/>
    </row>
    <row r="2100">
      <c r="A2100" s="64" t="n"/>
      <c r="B2100" s="65" t="n"/>
      <c r="C2100" s="66" t="n"/>
      <c r="D2100" s="67" t="n"/>
      <c r="E2100" s="68" t="n"/>
      <c r="F2100" s="47">
        <f>IF(A2100="","",IF(MIN(H2100,MAX(J2100:K2100))=0,"",MIN(H2100,MAX(J2100:K2100))))</f>
        <v/>
      </c>
      <c r="G2100" s="74" t="n"/>
      <c r="H2100" s="49">
        <f>IF(M2100="","",IFERROR(ROUND(AVERAGE(T2100+M2100*{7,8,9,10,11})/1.21,4),""))</f>
        <v/>
      </c>
      <c r="I2100" s="76" t="n"/>
      <c r="J2100" s="77" t="n"/>
      <c r="K2100" s="74" t="n"/>
      <c r="L2100" s="78" t="n"/>
      <c r="M2100" s="77" t="n"/>
      <c r="N2100" s="53">
        <f>IF(M2100="","",IFERROR(M2100/I2100,""))</f>
        <v/>
      </c>
      <c r="O2100" s="50">
        <f>IF(A2100="","",IFERROR((IF(G2100="",I2100,G2100)-T2100)/M2100,""))</f>
        <v/>
      </c>
      <c r="P2100" s="50">
        <f>IFERROR((I2100/T2100-1)/N2100,"")</f>
        <v/>
      </c>
      <c r="Q2100" s="46">
        <f>IF(OR(T2100="",I2100&lt;T2100),"",IFERROR(R2100/IF(G2100="",I2100,G2100)-1,""))</f>
        <v/>
      </c>
      <c r="R2100" s="48">
        <f>IF($M2100="","",MAX(IF($G2100="",$I2100,$G2100)*(1/1.1),IF($G2100="",$I2100,$G2100)+(R$2*$M2100)))</f>
        <v/>
      </c>
      <c r="S2100" s="49">
        <f>IF($M2100="","",MAX(IF($G2100="",$I2100,$G2100)*(1/1.1),IF($G2100="",$I2100,$G2100)+(S$2*$M2100)))</f>
        <v/>
      </c>
      <c r="T2100" s="82" t="n"/>
      <c r="U2100" s="47">
        <f>IF(OR($M2100="",$T2100=""),"",$T2100+(U$2*$M2100))</f>
        <v/>
      </c>
      <c r="V2100" s="48">
        <f>IF(OR($M2100="",$T2100=""),"",$T2100+(V$2*$M2100))</f>
        <v/>
      </c>
      <c r="W2100" s="48">
        <f>IF(OR($M2100="",$T2100=""),"",$T2100+(W$2*$M2100))</f>
        <v/>
      </c>
      <c r="X2100" s="49">
        <f>IF(OR($M2100="",$T2100=""),"",$T2100+(X$2*$M2100))</f>
        <v/>
      </c>
      <c r="Y2100" s="47">
        <f>IF(OR($M2100="",$T2100=""),"",$T2100+(Y$2*$M2100))</f>
        <v/>
      </c>
      <c r="Z2100" s="49">
        <f>IF(OR($M2100="",$T2100=""),"",$T2100+(Z$2*$M2100))</f>
        <v/>
      </c>
      <c r="AA2100" s="51">
        <f>IF(OR($M2100="",$T2100=""),"",$T2100+(AA$2*$M2100))</f>
        <v/>
      </c>
      <c r="AB2100" s="48">
        <f>IF(OR($M2100="",$T2100=""),"",$T2100+(AB$2*$M2100))</f>
        <v/>
      </c>
      <c r="AC2100" s="48">
        <f>IF(OR($M2100="",$T2100=""),"",$T2100+(AC$2*$M2100))</f>
        <v/>
      </c>
      <c r="AD2100" s="48">
        <f>IF(OR($M2100="",$T2100=""),"",$T2100+(AD$2*$M2100))</f>
        <v/>
      </c>
      <c r="AE2100" s="49">
        <f>IF(OR($M2100="",$T2100=""),"",$T2100+(AE$2*$M2100))</f>
        <v/>
      </c>
      <c r="AF2100" s="52">
        <f>IF(OR(T2100="",I2100&lt;T2100),"",IFERROR(AVERAGE(T2100+M2100*{7,8,9,10,11})/IF(G2100="",I2100,G2100)-1,""))</f>
        <v/>
      </c>
      <c r="AG2100" s="55">
        <f>IF(OR(T2100="",I2100&lt;T2100),"",IFERROR(AF2100/-(R2100/IF(G2100="",I2100,G2100)-1),""))</f>
        <v/>
      </c>
      <c r="AH2100" s="94" t="n"/>
      <c r="AI2100" s="94" t="n"/>
      <c r="AJ2100" s="94" t="n"/>
      <c r="AK2100" s="94" t="n"/>
      <c r="AL2100" s="84" t="n"/>
    </row>
    <row r="2101">
      <c r="A2101" s="64" t="n"/>
      <c r="B2101" s="65" t="n"/>
      <c r="C2101" s="66" t="n"/>
      <c r="D2101" s="67" t="n"/>
      <c r="E2101" s="68" t="n"/>
      <c r="F2101" s="47">
        <f>IF(A2101="","",IF(MIN(H2101,MAX(J2101:K2101))=0,"",MIN(H2101,MAX(J2101:K2101))))</f>
        <v/>
      </c>
      <c r="G2101" s="74" t="n"/>
      <c r="H2101" s="49">
        <f>IF(M2101="","",IFERROR(ROUND(AVERAGE(T2101+M2101*{7,8,9,10,11})/1.21,4),""))</f>
        <v/>
      </c>
      <c r="I2101" s="76" t="n"/>
      <c r="J2101" s="77" t="n"/>
      <c r="K2101" s="74" t="n"/>
      <c r="L2101" s="78" t="n"/>
      <c r="M2101" s="77" t="n"/>
      <c r="N2101" s="53">
        <f>IF(M2101="","",IFERROR(M2101/I2101,""))</f>
        <v/>
      </c>
      <c r="O2101" s="50">
        <f>IF(A2101="","",IFERROR((IF(G2101="",I2101,G2101)-T2101)/M2101,""))</f>
        <v/>
      </c>
      <c r="P2101" s="50">
        <f>IFERROR((I2101/T2101-1)/N2101,"")</f>
        <v/>
      </c>
      <c r="Q2101" s="46">
        <f>IF(OR(T2101="",I2101&lt;T2101),"",IFERROR(R2101/IF(G2101="",I2101,G2101)-1,""))</f>
        <v/>
      </c>
      <c r="R2101" s="48">
        <f>IF($M2101="","",MAX(IF($G2101="",$I2101,$G2101)*(1/1.1),IF($G2101="",$I2101,$G2101)+(R$2*$M2101)))</f>
        <v/>
      </c>
      <c r="S2101" s="49">
        <f>IF($M2101="","",MAX(IF($G2101="",$I2101,$G2101)*(1/1.1),IF($G2101="",$I2101,$G2101)+(S$2*$M2101)))</f>
        <v/>
      </c>
      <c r="T2101" s="82" t="n"/>
      <c r="U2101" s="47">
        <f>IF(OR($M2101="",$T2101=""),"",$T2101+(U$2*$M2101))</f>
        <v/>
      </c>
      <c r="V2101" s="48">
        <f>IF(OR($M2101="",$T2101=""),"",$T2101+(V$2*$M2101))</f>
        <v/>
      </c>
      <c r="W2101" s="48">
        <f>IF(OR($M2101="",$T2101=""),"",$T2101+(W$2*$M2101))</f>
        <v/>
      </c>
      <c r="X2101" s="49">
        <f>IF(OR($M2101="",$T2101=""),"",$T2101+(X$2*$M2101))</f>
        <v/>
      </c>
      <c r="Y2101" s="47">
        <f>IF(OR($M2101="",$T2101=""),"",$T2101+(Y$2*$M2101))</f>
        <v/>
      </c>
      <c r="Z2101" s="49">
        <f>IF(OR($M2101="",$T2101=""),"",$T2101+(Z$2*$M2101))</f>
        <v/>
      </c>
      <c r="AA2101" s="51">
        <f>IF(OR($M2101="",$T2101=""),"",$T2101+(AA$2*$M2101))</f>
        <v/>
      </c>
      <c r="AB2101" s="48">
        <f>IF(OR($M2101="",$T2101=""),"",$T2101+(AB$2*$M2101))</f>
        <v/>
      </c>
      <c r="AC2101" s="48">
        <f>IF(OR($M2101="",$T2101=""),"",$T2101+(AC$2*$M2101))</f>
        <v/>
      </c>
      <c r="AD2101" s="48">
        <f>IF(OR($M2101="",$T2101=""),"",$T2101+(AD$2*$M2101))</f>
        <v/>
      </c>
      <c r="AE2101" s="49">
        <f>IF(OR($M2101="",$T2101=""),"",$T2101+(AE$2*$M2101))</f>
        <v/>
      </c>
      <c r="AF2101" s="52">
        <f>IF(OR(T2101="",I2101&lt;T2101),"",IFERROR(AVERAGE(T2101+M2101*{7,8,9,10,11})/IF(G2101="",I2101,G2101)-1,""))</f>
        <v/>
      </c>
      <c r="AG2101" s="55">
        <f>IF(OR(T2101="",I2101&lt;T2101),"",IFERROR(AF2101/-(R2101/IF(G2101="",I2101,G2101)-1),""))</f>
        <v/>
      </c>
      <c r="AH2101" s="94" t="n"/>
      <c r="AI2101" s="94" t="n"/>
      <c r="AJ2101" s="94" t="n"/>
      <c r="AK2101" s="94" t="n"/>
      <c r="AL2101" s="84" t="n"/>
    </row>
    <row r="2102">
      <c r="A2102" s="64" t="n"/>
      <c r="B2102" s="65" t="n"/>
      <c r="C2102" s="66" t="n"/>
      <c r="D2102" s="67" t="n"/>
      <c r="E2102" s="68" t="n"/>
      <c r="F2102" s="47">
        <f>IF(A2102="","",IF(MIN(H2102,MAX(J2102:K2102))=0,"",MIN(H2102,MAX(J2102:K2102))))</f>
        <v/>
      </c>
      <c r="G2102" s="74" t="n"/>
      <c r="H2102" s="49">
        <f>IF(M2102="","",IFERROR(ROUND(AVERAGE(T2102+M2102*{7,8,9,10,11})/1.21,4),""))</f>
        <v/>
      </c>
      <c r="I2102" s="76" t="n"/>
      <c r="J2102" s="77" t="n"/>
      <c r="K2102" s="74" t="n"/>
      <c r="L2102" s="78" t="n"/>
      <c r="M2102" s="77" t="n"/>
      <c r="N2102" s="53">
        <f>IF(M2102="","",IFERROR(M2102/I2102,""))</f>
        <v/>
      </c>
      <c r="O2102" s="50">
        <f>IF(A2102="","",IFERROR((IF(G2102="",I2102,G2102)-T2102)/M2102,""))</f>
        <v/>
      </c>
      <c r="P2102" s="50">
        <f>IFERROR((I2102/T2102-1)/N2102,"")</f>
        <v/>
      </c>
      <c r="Q2102" s="46">
        <f>IF(OR(T2102="",I2102&lt;T2102),"",IFERROR(R2102/IF(G2102="",I2102,G2102)-1,""))</f>
        <v/>
      </c>
      <c r="R2102" s="48">
        <f>IF($M2102="","",MAX(IF($G2102="",$I2102,$G2102)*(1/1.1),IF($G2102="",$I2102,$G2102)+(R$2*$M2102)))</f>
        <v/>
      </c>
      <c r="S2102" s="49">
        <f>IF($M2102="","",MAX(IF($G2102="",$I2102,$G2102)*(1/1.1),IF($G2102="",$I2102,$G2102)+(S$2*$M2102)))</f>
        <v/>
      </c>
      <c r="T2102" s="82" t="n"/>
      <c r="U2102" s="47">
        <f>IF(OR($M2102="",$T2102=""),"",$T2102+(U$2*$M2102))</f>
        <v/>
      </c>
      <c r="V2102" s="48">
        <f>IF(OR($M2102="",$T2102=""),"",$T2102+(V$2*$M2102))</f>
        <v/>
      </c>
      <c r="W2102" s="48">
        <f>IF(OR($M2102="",$T2102=""),"",$T2102+(W$2*$M2102))</f>
        <v/>
      </c>
      <c r="X2102" s="49">
        <f>IF(OR($M2102="",$T2102=""),"",$T2102+(X$2*$M2102))</f>
        <v/>
      </c>
      <c r="Y2102" s="47">
        <f>IF(OR($M2102="",$T2102=""),"",$T2102+(Y$2*$M2102))</f>
        <v/>
      </c>
      <c r="Z2102" s="49">
        <f>IF(OR($M2102="",$T2102=""),"",$T2102+(Z$2*$M2102))</f>
        <v/>
      </c>
      <c r="AA2102" s="51">
        <f>IF(OR($M2102="",$T2102=""),"",$T2102+(AA$2*$M2102))</f>
        <v/>
      </c>
      <c r="AB2102" s="48">
        <f>IF(OR($M2102="",$T2102=""),"",$T2102+(AB$2*$M2102))</f>
        <v/>
      </c>
      <c r="AC2102" s="48">
        <f>IF(OR($M2102="",$T2102=""),"",$T2102+(AC$2*$M2102))</f>
        <v/>
      </c>
      <c r="AD2102" s="48">
        <f>IF(OR($M2102="",$T2102=""),"",$T2102+(AD$2*$M2102))</f>
        <v/>
      </c>
      <c r="AE2102" s="49">
        <f>IF(OR($M2102="",$T2102=""),"",$T2102+(AE$2*$M2102))</f>
        <v/>
      </c>
      <c r="AF2102" s="52">
        <f>IF(OR(T2102="",I2102&lt;T2102),"",IFERROR(AVERAGE(T2102+M2102*{7,8,9,10,11})/IF(G2102="",I2102,G2102)-1,""))</f>
        <v/>
      </c>
      <c r="AG2102" s="55">
        <f>IF(OR(T2102="",I2102&lt;T2102),"",IFERROR(AF2102/-(R2102/IF(G2102="",I2102,G2102)-1),""))</f>
        <v/>
      </c>
      <c r="AH2102" s="94" t="n"/>
      <c r="AI2102" s="94" t="n"/>
      <c r="AJ2102" s="94" t="n"/>
      <c r="AK2102" s="94" t="n"/>
      <c r="AL2102" s="84" t="n"/>
    </row>
    <row r="2103">
      <c r="A2103" s="64" t="n"/>
      <c r="B2103" s="65" t="n"/>
      <c r="C2103" s="66" t="n"/>
      <c r="D2103" s="67" t="n"/>
      <c r="E2103" s="68" t="n"/>
      <c r="F2103" s="47">
        <f>IF(A2103="","",IF(MIN(H2103,MAX(J2103:K2103))=0,"",MIN(H2103,MAX(J2103:K2103))))</f>
        <v/>
      </c>
      <c r="G2103" s="74" t="n"/>
      <c r="H2103" s="49">
        <f>IF(M2103="","",IFERROR(ROUND(AVERAGE(T2103+M2103*{7,8,9,10,11})/1.21,4),""))</f>
        <v/>
      </c>
      <c r="I2103" s="76" t="n"/>
      <c r="J2103" s="77" t="n"/>
      <c r="K2103" s="74" t="n"/>
      <c r="L2103" s="78" t="n"/>
      <c r="M2103" s="77" t="n"/>
      <c r="N2103" s="53">
        <f>IF(M2103="","",IFERROR(M2103/I2103,""))</f>
        <v/>
      </c>
      <c r="O2103" s="50">
        <f>IF(A2103="","",IFERROR((IF(G2103="",I2103,G2103)-T2103)/M2103,""))</f>
        <v/>
      </c>
      <c r="P2103" s="50">
        <f>IFERROR((I2103/T2103-1)/N2103,"")</f>
        <v/>
      </c>
      <c r="Q2103" s="46">
        <f>IF(OR(T2103="",I2103&lt;T2103),"",IFERROR(R2103/IF(G2103="",I2103,G2103)-1,""))</f>
        <v/>
      </c>
      <c r="R2103" s="48">
        <f>IF($M2103="","",MAX(IF($G2103="",$I2103,$G2103)*(1/1.1),IF($G2103="",$I2103,$G2103)+(R$2*$M2103)))</f>
        <v/>
      </c>
      <c r="S2103" s="49">
        <f>IF($M2103="","",MAX(IF($G2103="",$I2103,$G2103)*(1/1.1),IF($G2103="",$I2103,$G2103)+(S$2*$M2103)))</f>
        <v/>
      </c>
      <c r="T2103" s="82" t="n"/>
      <c r="U2103" s="47">
        <f>IF(OR($M2103="",$T2103=""),"",$T2103+(U$2*$M2103))</f>
        <v/>
      </c>
      <c r="V2103" s="48">
        <f>IF(OR($M2103="",$T2103=""),"",$T2103+(V$2*$M2103))</f>
        <v/>
      </c>
      <c r="W2103" s="48">
        <f>IF(OR($M2103="",$T2103=""),"",$T2103+(W$2*$M2103))</f>
        <v/>
      </c>
      <c r="X2103" s="49">
        <f>IF(OR($M2103="",$T2103=""),"",$T2103+(X$2*$M2103))</f>
        <v/>
      </c>
      <c r="Y2103" s="47">
        <f>IF(OR($M2103="",$T2103=""),"",$T2103+(Y$2*$M2103))</f>
        <v/>
      </c>
      <c r="Z2103" s="49">
        <f>IF(OR($M2103="",$T2103=""),"",$T2103+(Z$2*$M2103))</f>
        <v/>
      </c>
      <c r="AA2103" s="51">
        <f>IF(OR($M2103="",$T2103=""),"",$T2103+(AA$2*$M2103))</f>
        <v/>
      </c>
      <c r="AB2103" s="48">
        <f>IF(OR($M2103="",$T2103=""),"",$T2103+(AB$2*$M2103))</f>
        <v/>
      </c>
      <c r="AC2103" s="48">
        <f>IF(OR($M2103="",$T2103=""),"",$T2103+(AC$2*$M2103))</f>
        <v/>
      </c>
      <c r="AD2103" s="48">
        <f>IF(OR($M2103="",$T2103=""),"",$T2103+(AD$2*$M2103))</f>
        <v/>
      </c>
      <c r="AE2103" s="49">
        <f>IF(OR($M2103="",$T2103=""),"",$T2103+(AE$2*$M2103))</f>
        <v/>
      </c>
      <c r="AF2103" s="52">
        <f>IF(OR(T2103="",I2103&lt;T2103),"",IFERROR(AVERAGE(T2103+M2103*{7,8,9,10,11})/IF(G2103="",I2103,G2103)-1,""))</f>
        <v/>
      </c>
      <c r="AG2103" s="55">
        <f>IF(OR(T2103="",I2103&lt;T2103),"",IFERROR(AF2103/-(R2103/IF(G2103="",I2103,G2103)-1),""))</f>
        <v/>
      </c>
      <c r="AH2103" s="94" t="n"/>
      <c r="AI2103" s="94" t="n"/>
      <c r="AJ2103" s="94" t="n"/>
      <c r="AK2103" s="94" t="n"/>
      <c r="AL2103" s="84" t="n"/>
    </row>
    <row r="2104">
      <c r="A2104" s="64" t="n"/>
      <c r="B2104" s="65" t="n"/>
      <c r="C2104" s="66" t="n"/>
      <c r="D2104" s="67" t="n"/>
      <c r="E2104" s="68" t="n"/>
      <c r="F2104" s="47">
        <f>IF(A2104="","",IF(MIN(H2104,MAX(J2104:K2104))=0,"",MIN(H2104,MAX(J2104:K2104))))</f>
        <v/>
      </c>
      <c r="G2104" s="74" t="n"/>
      <c r="H2104" s="49">
        <f>IF(M2104="","",IFERROR(ROUND(AVERAGE(T2104+M2104*{7,8,9,10,11})/1.21,4),""))</f>
        <v/>
      </c>
      <c r="I2104" s="76" t="n"/>
      <c r="J2104" s="77" t="n"/>
      <c r="K2104" s="74" t="n"/>
      <c r="L2104" s="78" t="n"/>
      <c r="M2104" s="77" t="n"/>
      <c r="N2104" s="53">
        <f>IF(M2104="","",IFERROR(M2104/I2104,""))</f>
        <v/>
      </c>
      <c r="O2104" s="50">
        <f>IF(A2104="","",IFERROR((IF(G2104="",I2104,G2104)-T2104)/M2104,""))</f>
        <v/>
      </c>
      <c r="P2104" s="50">
        <f>IFERROR((I2104/T2104-1)/N2104,"")</f>
        <v/>
      </c>
      <c r="Q2104" s="46">
        <f>IF(OR(T2104="",I2104&lt;T2104),"",IFERROR(R2104/IF(G2104="",I2104,G2104)-1,""))</f>
        <v/>
      </c>
      <c r="R2104" s="48">
        <f>IF($M2104="","",MAX(IF($G2104="",$I2104,$G2104)*(1/1.1),IF($G2104="",$I2104,$G2104)+(R$2*$M2104)))</f>
        <v/>
      </c>
      <c r="S2104" s="49">
        <f>IF($M2104="","",MAX(IF($G2104="",$I2104,$G2104)*(1/1.1),IF($G2104="",$I2104,$G2104)+(S$2*$M2104)))</f>
        <v/>
      </c>
      <c r="T2104" s="82" t="n"/>
      <c r="U2104" s="47">
        <f>IF(OR($M2104="",$T2104=""),"",$T2104+(U$2*$M2104))</f>
        <v/>
      </c>
      <c r="V2104" s="48">
        <f>IF(OR($M2104="",$T2104=""),"",$T2104+(V$2*$M2104))</f>
        <v/>
      </c>
      <c r="W2104" s="48">
        <f>IF(OR($M2104="",$T2104=""),"",$T2104+(W$2*$M2104))</f>
        <v/>
      </c>
      <c r="X2104" s="49">
        <f>IF(OR($M2104="",$T2104=""),"",$T2104+(X$2*$M2104))</f>
        <v/>
      </c>
      <c r="Y2104" s="47">
        <f>IF(OR($M2104="",$T2104=""),"",$T2104+(Y$2*$M2104))</f>
        <v/>
      </c>
      <c r="Z2104" s="49">
        <f>IF(OR($M2104="",$T2104=""),"",$T2104+(Z$2*$M2104))</f>
        <v/>
      </c>
      <c r="AA2104" s="51">
        <f>IF(OR($M2104="",$T2104=""),"",$T2104+(AA$2*$M2104))</f>
        <v/>
      </c>
      <c r="AB2104" s="48">
        <f>IF(OR($M2104="",$T2104=""),"",$T2104+(AB$2*$M2104))</f>
        <v/>
      </c>
      <c r="AC2104" s="48">
        <f>IF(OR($M2104="",$T2104=""),"",$T2104+(AC$2*$M2104))</f>
        <v/>
      </c>
      <c r="AD2104" s="48">
        <f>IF(OR($M2104="",$T2104=""),"",$T2104+(AD$2*$M2104))</f>
        <v/>
      </c>
      <c r="AE2104" s="49">
        <f>IF(OR($M2104="",$T2104=""),"",$T2104+(AE$2*$M2104))</f>
        <v/>
      </c>
      <c r="AF2104" s="52">
        <f>IF(OR(T2104="",I2104&lt;T2104),"",IFERROR(AVERAGE(T2104+M2104*{7,8,9,10,11})/IF(G2104="",I2104,G2104)-1,""))</f>
        <v/>
      </c>
      <c r="AG2104" s="55">
        <f>IF(OR(T2104="",I2104&lt;T2104),"",IFERROR(AF2104/-(R2104/IF(G2104="",I2104,G2104)-1),""))</f>
        <v/>
      </c>
      <c r="AH2104" s="94" t="n"/>
      <c r="AI2104" s="94" t="n"/>
      <c r="AJ2104" s="94" t="n"/>
      <c r="AK2104" s="94" t="n"/>
      <c r="AL2104" s="84" t="n"/>
    </row>
    <row r="2105">
      <c r="A2105" s="64" t="n"/>
      <c r="B2105" s="65" t="n"/>
      <c r="C2105" s="66" t="n"/>
      <c r="D2105" s="67" t="n"/>
      <c r="E2105" s="68" t="n"/>
      <c r="F2105" s="47">
        <f>IF(A2105="","",IF(MIN(H2105,MAX(J2105:K2105))=0,"",MIN(H2105,MAX(J2105:K2105))))</f>
        <v/>
      </c>
      <c r="G2105" s="74" t="n"/>
      <c r="H2105" s="49">
        <f>IF(M2105="","",IFERROR(ROUND(AVERAGE(T2105+M2105*{7,8,9,10,11})/1.21,4),""))</f>
        <v/>
      </c>
      <c r="I2105" s="76" t="n"/>
      <c r="J2105" s="77" t="n"/>
      <c r="K2105" s="74" t="n"/>
      <c r="L2105" s="78" t="n"/>
      <c r="M2105" s="77" t="n"/>
      <c r="N2105" s="53">
        <f>IF(M2105="","",IFERROR(M2105/I2105,""))</f>
        <v/>
      </c>
      <c r="O2105" s="50">
        <f>IF(A2105="","",IFERROR((IF(G2105="",I2105,G2105)-T2105)/M2105,""))</f>
        <v/>
      </c>
      <c r="P2105" s="50">
        <f>IFERROR((I2105/T2105-1)/N2105,"")</f>
        <v/>
      </c>
      <c r="Q2105" s="46">
        <f>IF(OR(T2105="",I2105&lt;T2105),"",IFERROR(R2105/IF(G2105="",I2105,G2105)-1,""))</f>
        <v/>
      </c>
      <c r="R2105" s="48">
        <f>IF($M2105="","",MAX(IF($G2105="",$I2105,$G2105)*(1/1.1),IF($G2105="",$I2105,$G2105)+(R$2*$M2105)))</f>
        <v/>
      </c>
      <c r="S2105" s="49">
        <f>IF($M2105="","",MAX(IF($G2105="",$I2105,$G2105)*(1/1.1),IF($G2105="",$I2105,$G2105)+(S$2*$M2105)))</f>
        <v/>
      </c>
      <c r="T2105" s="82" t="n"/>
      <c r="U2105" s="47">
        <f>IF(OR($M2105="",$T2105=""),"",$T2105+(U$2*$M2105))</f>
        <v/>
      </c>
      <c r="V2105" s="48">
        <f>IF(OR($M2105="",$T2105=""),"",$T2105+(V$2*$M2105))</f>
        <v/>
      </c>
      <c r="W2105" s="48">
        <f>IF(OR($M2105="",$T2105=""),"",$T2105+(W$2*$M2105))</f>
        <v/>
      </c>
      <c r="X2105" s="49">
        <f>IF(OR($M2105="",$T2105=""),"",$T2105+(X$2*$M2105))</f>
        <v/>
      </c>
      <c r="Y2105" s="47">
        <f>IF(OR($M2105="",$T2105=""),"",$T2105+(Y$2*$M2105))</f>
        <v/>
      </c>
      <c r="Z2105" s="49">
        <f>IF(OR($M2105="",$T2105=""),"",$T2105+(Z$2*$M2105))</f>
        <v/>
      </c>
      <c r="AA2105" s="51">
        <f>IF(OR($M2105="",$T2105=""),"",$T2105+(AA$2*$M2105))</f>
        <v/>
      </c>
      <c r="AB2105" s="48">
        <f>IF(OR($M2105="",$T2105=""),"",$T2105+(AB$2*$M2105))</f>
        <v/>
      </c>
      <c r="AC2105" s="48">
        <f>IF(OR($M2105="",$T2105=""),"",$T2105+(AC$2*$M2105))</f>
        <v/>
      </c>
      <c r="AD2105" s="48">
        <f>IF(OR($M2105="",$T2105=""),"",$T2105+(AD$2*$M2105))</f>
        <v/>
      </c>
      <c r="AE2105" s="49">
        <f>IF(OR($M2105="",$T2105=""),"",$T2105+(AE$2*$M2105))</f>
        <v/>
      </c>
      <c r="AF2105" s="52">
        <f>IF(OR(T2105="",I2105&lt;T2105),"",IFERROR(AVERAGE(T2105+M2105*{7,8,9,10,11})/IF(G2105="",I2105,G2105)-1,""))</f>
        <v/>
      </c>
      <c r="AG2105" s="55">
        <f>IF(OR(T2105="",I2105&lt;T2105),"",IFERROR(AF2105/-(R2105/IF(G2105="",I2105,G2105)-1),""))</f>
        <v/>
      </c>
      <c r="AH2105" s="94" t="n"/>
      <c r="AI2105" s="94" t="n"/>
      <c r="AJ2105" s="94" t="n"/>
      <c r="AK2105" s="94" t="n"/>
      <c r="AL2105" s="84" t="n"/>
    </row>
    <row r="2106">
      <c r="A2106" s="64" t="n"/>
      <c r="B2106" s="65" t="n"/>
      <c r="C2106" s="66" t="n"/>
      <c r="D2106" s="67" t="n"/>
      <c r="E2106" s="68" t="n"/>
      <c r="F2106" s="47">
        <f>IF(A2106="","",IF(MIN(H2106,MAX(J2106:K2106))=0,"",MIN(H2106,MAX(J2106:K2106))))</f>
        <v/>
      </c>
      <c r="G2106" s="74" t="n"/>
      <c r="H2106" s="49">
        <f>IF(M2106="","",IFERROR(ROUND(AVERAGE(T2106+M2106*{7,8,9,10,11})/1.21,4),""))</f>
        <v/>
      </c>
      <c r="I2106" s="76" t="n"/>
      <c r="J2106" s="77" t="n"/>
      <c r="K2106" s="74" t="n"/>
      <c r="L2106" s="78" t="n"/>
      <c r="M2106" s="77" t="n"/>
      <c r="N2106" s="53">
        <f>IF(M2106="","",IFERROR(M2106/I2106,""))</f>
        <v/>
      </c>
      <c r="O2106" s="50">
        <f>IF(A2106="","",IFERROR((IF(G2106="",I2106,G2106)-T2106)/M2106,""))</f>
        <v/>
      </c>
      <c r="P2106" s="50">
        <f>IFERROR((I2106/T2106-1)/N2106,"")</f>
        <v/>
      </c>
      <c r="Q2106" s="46">
        <f>IF(OR(T2106="",I2106&lt;T2106),"",IFERROR(R2106/IF(G2106="",I2106,G2106)-1,""))</f>
        <v/>
      </c>
      <c r="R2106" s="48">
        <f>IF($M2106="","",MAX(IF($G2106="",$I2106,$G2106)*(1/1.1),IF($G2106="",$I2106,$G2106)+(R$2*$M2106)))</f>
        <v/>
      </c>
      <c r="S2106" s="49">
        <f>IF($M2106="","",MAX(IF($G2106="",$I2106,$G2106)*(1/1.1),IF($G2106="",$I2106,$G2106)+(S$2*$M2106)))</f>
        <v/>
      </c>
      <c r="T2106" s="82" t="n"/>
      <c r="U2106" s="47">
        <f>IF(OR($M2106="",$T2106=""),"",$T2106+(U$2*$M2106))</f>
        <v/>
      </c>
      <c r="V2106" s="48">
        <f>IF(OR($M2106="",$T2106=""),"",$T2106+(V$2*$M2106))</f>
        <v/>
      </c>
      <c r="W2106" s="48">
        <f>IF(OR($M2106="",$T2106=""),"",$T2106+(W$2*$M2106))</f>
        <v/>
      </c>
      <c r="X2106" s="49">
        <f>IF(OR($M2106="",$T2106=""),"",$T2106+(X$2*$M2106))</f>
        <v/>
      </c>
      <c r="Y2106" s="47">
        <f>IF(OR($M2106="",$T2106=""),"",$T2106+(Y$2*$M2106))</f>
        <v/>
      </c>
      <c r="Z2106" s="49">
        <f>IF(OR($M2106="",$T2106=""),"",$T2106+(Z$2*$M2106))</f>
        <v/>
      </c>
      <c r="AA2106" s="51">
        <f>IF(OR($M2106="",$T2106=""),"",$T2106+(AA$2*$M2106))</f>
        <v/>
      </c>
      <c r="AB2106" s="48">
        <f>IF(OR($M2106="",$T2106=""),"",$T2106+(AB$2*$M2106))</f>
        <v/>
      </c>
      <c r="AC2106" s="48">
        <f>IF(OR($M2106="",$T2106=""),"",$T2106+(AC$2*$M2106))</f>
        <v/>
      </c>
      <c r="AD2106" s="48">
        <f>IF(OR($M2106="",$T2106=""),"",$T2106+(AD$2*$M2106))</f>
        <v/>
      </c>
      <c r="AE2106" s="49">
        <f>IF(OR($M2106="",$T2106=""),"",$T2106+(AE$2*$M2106))</f>
        <v/>
      </c>
      <c r="AF2106" s="52">
        <f>IF(OR(T2106="",I2106&lt;T2106),"",IFERROR(AVERAGE(T2106+M2106*{7,8,9,10,11})/IF(G2106="",I2106,G2106)-1,""))</f>
        <v/>
      </c>
      <c r="AG2106" s="55">
        <f>IF(OR(T2106="",I2106&lt;T2106),"",IFERROR(AF2106/-(R2106/IF(G2106="",I2106,G2106)-1),""))</f>
        <v/>
      </c>
      <c r="AH2106" s="94" t="n"/>
      <c r="AI2106" s="94" t="n"/>
      <c r="AJ2106" s="94" t="n"/>
      <c r="AK2106" s="94" t="n"/>
      <c r="AL2106" s="84" t="n"/>
    </row>
    <row r="2107">
      <c r="A2107" s="64" t="n"/>
      <c r="B2107" s="65" t="n"/>
      <c r="C2107" s="66" t="n"/>
      <c r="D2107" s="67" t="n"/>
      <c r="E2107" s="68" t="n"/>
      <c r="F2107" s="47">
        <f>IF(A2107="","",IF(MIN(H2107,MAX(J2107:K2107))=0,"",MIN(H2107,MAX(J2107:K2107))))</f>
        <v/>
      </c>
      <c r="G2107" s="74" t="n"/>
      <c r="H2107" s="49">
        <f>IF(M2107="","",IFERROR(ROUND(AVERAGE(T2107+M2107*{7,8,9,10,11})/1.21,4),""))</f>
        <v/>
      </c>
      <c r="I2107" s="76" t="n"/>
      <c r="J2107" s="77" t="n"/>
      <c r="K2107" s="74" t="n"/>
      <c r="L2107" s="78" t="n"/>
      <c r="M2107" s="77" t="n"/>
      <c r="N2107" s="53">
        <f>IF(M2107="","",IFERROR(M2107/I2107,""))</f>
        <v/>
      </c>
      <c r="O2107" s="50">
        <f>IF(A2107="","",IFERROR((IF(G2107="",I2107,G2107)-T2107)/M2107,""))</f>
        <v/>
      </c>
      <c r="P2107" s="50">
        <f>IFERROR((I2107/T2107-1)/N2107,"")</f>
        <v/>
      </c>
      <c r="Q2107" s="46">
        <f>IF(OR(T2107="",I2107&lt;T2107),"",IFERROR(R2107/IF(G2107="",I2107,G2107)-1,""))</f>
        <v/>
      </c>
      <c r="R2107" s="48">
        <f>IF($M2107="","",MAX(IF($G2107="",$I2107,$G2107)*(1/1.1),IF($G2107="",$I2107,$G2107)+(R$2*$M2107)))</f>
        <v/>
      </c>
      <c r="S2107" s="49">
        <f>IF($M2107="","",MAX(IF($G2107="",$I2107,$G2107)*(1/1.1),IF($G2107="",$I2107,$G2107)+(S$2*$M2107)))</f>
        <v/>
      </c>
      <c r="T2107" s="82" t="n"/>
      <c r="U2107" s="47">
        <f>IF(OR($M2107="",$T2107=""),"",$T2107+(U$2*$M2107))</f>
        <v/>
      </c>
      <c r="V2107" s="48">
        <f>IF(OR($M2107="",$T2107=""),"",$T2107+(V$2*$M2107))</f>
        <v/>
      </c>
      <c r="W2107" s="48">
        <f>IF(OR($M2107="",$T2107=""),"",$T2107+(W$2*$M2107))</f>
        <v/>
      </c>
      <c r="X2107" s="49">
        <f>IF(OR($M2107="",$T2107=""),"",$T2107+(X$2*$M2107))</f>
        <v/>
      </c>
      <c r="Y2107" s="47">
        <f>IF(OR($M2107="",$T2107=""),"",$T2107+(Y$2*$M2107))</f>
        <v/>
      </c>
      <c r="Z2107" s="49">
        <f>IF(OR($M2107="",$T2107=""),"",$T2107+(Z$2*$M2107))</f>
        <v/>
      </c>
      <c r="AA2107" s="51">
        <f>IF(OR($M2107="",$T2107=""),"",$T2107+(AA$2*$M2107))</f>
        <v/>
      </c>
      <c r="AB2107" s="48">
        <f>IF(OR($M2107="",$T2107=""),"",$T2107+(AB$2*$M2107))</f>
        <v/>
      </c>
      <c r="AC2107" s="48">
        <f>IF(OR($M2107="",$T2107=""),"",$T2107+(AC$2*$M2107))</f>
        <v/>
      </c>
      <c r="AD2107" s="48">
        <f>IF(OR($M2107="",$T2107=""),"",$T2107+(AD$2*$M2107))</f>
        <v/>
      </c>
      <c r="AE2107" s="49">
        <f>IF(OR($M2107="",$T2107=""),"",$T2107+(AE$2*$M2107))</f>
        <v/>
      </c>
      <c r="AF2107" s="52">
        <f>IF(OR(T2107="",I2107&lt;T2107),"",IFERROR(AVERAGE(T2107+M2107*{7,8,9,10,11})/IF(G2107="",I2107,G2107)-1,""))</f>
        <v/>
      </c>
      <c r="AG2107" s="55">
        <f>IF(OR(T2107="",I2107&lt;T2107),"",IFERROR(AF2107/-(R2107/IF(G2107="",I2107,G2107)-1),""))</f>
        <v/>
      </c>
      <c r="AH2107" s="94" t="n"/>
      <c r="AI2107" s="94" t="n"/>
      <c r="AJ2107" s="94" t="n"/>
      <c r="AK2107" s="94" t="n"/>
      <c r="AL2107" s="84" t="n"/>
    </row>
    <row r="2108">
      <c r="A2108" s="64" t="n"/>
      <c r="B2108" s="65" t="n"/>
      <c r="C2108" s="66" t="n"/>
      <c r="D2108" s="67" t="n"/>
      <c r="E2108" s="68" t="n"/>
      <c r="F2108" s="47">
        <f>IF(A2108="","",IF(MIN(H2108,MAX(J2108:K2108))=0,"",MIN(H2108,MAX(J2108:K2108))))</f>
        <v/>
      </c>
      <c r="G2108" s="74" t="n"/>
      <c r="H2108" s="49">
        <f>IF(M2108="","",IFERROR(ROUND(AVERAGE(T2108+M2108*{7,8,9,10,11})/1.21,4),""))</f>
        <v/>
      </c>
      <c r="I2108" s="76" t="n"/>
      <c r="J2108" s="77" t="n"/>
      <c r="K2108" s="74" t="n"/>
      <c r="L2108" s="78" t="n"/>
      <c r="M2108" s="77" t="n"/>
      <c r="N2108" s="53">
        <f>IF(M2108="","",IFERROR(M2108/I2108,""))</f>
        <v/>
      </c>
      <c r="O2108" s="50">
        <f>IF(A2108="","",IFERROR((IF(G2108="",I2108,G2108)-T2108)/M2108,""))</f>
        <v/>
      </c>
      <c r="P2108" s="50">
        <f>IFERROR((I2108/T2108-1)/N2108,"")</f>
        <v/>
      </c>
      <c r="Q2108" s="46">
        <f>IF(OR(T2108="",I2108&lt;T2108),"",IFERROR(R2108/IF(G2108="",I2108,G2108)-1,""))</f>
        <v/>
      </c>
      <c r="R2108" s="48">
        <f>IF($M2108="","",MAX(IF($G2108="",$I2108,$G2108)*(1/1.1),IF($G2108="",$I2108,$G2108)+(R$2*$M2108)))</f>
        <v/>
      </c>
      <c r="S2108" s="49">
        <f>IF($M2108="","",MAX(IF($G2108="",$I2108,$G2108)*(1/1.1),IF($G2108="",$I2108,$G2108)+(S$2*$M2108)))</f>
        <v/>
      </c>
      <c r="T2108" s="82" t="n"/>
      <c r="U2108" s="47">
        <f>IF(OR($M2108="",$T2108=""),"",$T2108+(U$2*$M2108))</f>
        <v/>
      </c>
      <c r="V2108" s="48">
        <f>IF(OR($M2108="",$T2108=""),"",$T2108+(V$2*$M2108))</f>
        <v/>
      </c>
      <c r="W2108" s="48">
        <f>IF(OR($M2108="",$T2108=""),"",$T2108+(W$2*$M2108))</f>
        <v/>
      </c>
      <c r="X2108" s="49">
        <f>IF(OR($M2108="",$T2108=""),"",$T2108+(X$2*$M2108))</f>
        <v/>
      </c>
      <c r="Y2108" s="47">
        <f>IF(OR($M2108="",$T2108=""),"",$T2108+(Y$2*$M2108))</f>
        <v/>
      </c>
      <c r="Z2108" s="49">
        <f>IF(OR($M2108="",$T2108=""),"",$T2108+(Z$2*$M2108))</f>
        <v/>
      </c>
      <c r="AA2108" s="51">
        <f>IF(OR($M2108="",$T2108=""),"",$T2108+(AA$2*$M2108))</f>
        <v/>
      </c>
      <c r="AB2108" s="48">
        <f>IF(OR($M2108="",$T2108=""),"",$T2108+(AB$2*$M2108))</f>
        <v/>
      </c>
      <c r="AC2108" s="48">
        <f>IF(OR($M2108="",$T2108=""),"",$T2108+(AC$2*$M2108))</f>
        <v/>
      </c>
      <c r="AD2108" s="48">
        <f>IF(OR($M2108="",$T2108=""),"",$T2108+(AD$2*$M2108))</f>
        <v/>
      </c>
      <c r="AE2108" s="49">
        <f>IF(OR($M2108="",$T2108=""),"",$T2108+(AE$2*$M2108))</f>
        <v/>
      </c>
      <c r="AF2108" s="52">
        <f>IF(OR(T2108="",I2108&lt;T2108),"",IFERROR(AVERAGE(T2108+M2108*{7,8,9,10,11})/IF(G2108="",I2108,G2108)-1,""))</f>
        <v/>
      </c>
      <c r="AG2108" s="55">
        <f>IF(OR(T2108="",I2108&lt;T2108),"",IFERROR(AF2108/-(R2108/IF(G2108="",I2108,G2108)-1),""))</f>
        <v/>
      </c>
      <c r="AH2108" s="94" t="n"/>
      <c r="AI2108" s="94" t="n"/>
      <c r="AJ2108" s="94" t="n"/>
      <c r="AK2108" s="94" t="n"/>
      <c r="AL2108" s="84" t="n"/>
    </row>
    <row r="2109">
      <c r="A2109" s="64" t="n"/>
      <c r="B2109" s="65" t="n"/>
      <c r="C2109" s="66" t="n"/>
      <c r="D2109" s="67" t="n"/>
      <c r="E2109" s="68" t="n"/>
      <c r="F2109" s="47">
        <f>IF(A2109="","",IF(MIN(H2109,MAX(J2109:K2109))=0,"",MIN(H2109,MAX(J2109:K2109))))</f>
        <v/>
      </c>
      <c r="G2109" s="74" t="n"/>
      <c r="H2109" s="49">
        <f>IF(M2109="","",IFERROR(ROUND(AVERAGE(T2109+M2109*{7,8,9,10,11})/1.21,4),""))</f>
        <v/>
      </c>
      <c r="I2109" s="76" t="n"/>
      <c r="J2109" s="77" t="n"/>
      <c r="K2109" s="74" t="n"/>
      <c r="L2109" s="78" t="n"/>
      <c r="M2109" s="77" t="n"/>
      <c r="N2109" s="53">
        <f>IF(M2109="","",IFERROR(M2109/I2109,""))</f>
        <v/>
      </c>
      <c r="O2109" s="50">
        <f>IF(A2109="","",IFERROR((IF(G2109="",I2109,G2109)-T2109)/M2109,""))</f>
        <v/>
      </c>
      <c r="P2109" s="50">
        <f>IFERROR((I2109/T2109-1)/N2109,"")</f>
        <v/>
      </c>
      <c r="Q2109" s="46">
        <f>IF(OR(T2109="",I2109&lt;T2109),"",IFERROR(R2109/IF(G2109="",I2109,G2109)-1,""))</f>
        <v/>
      </c>
      <c r="R2109" s="48">
        <f>IF($M2109="","",MAX(IF($G2109="",$I2109,$G2109)*(1/1.1),IF($G2109="",$I2109,$G2109)+(R$2*$M2109)))</f>
        <v/>
      </c>
      <c r="S2109" s="49">
        <f>IF($M2109="","",MAX(IF($G2109="",$I2109,$G2109)*(1/1.1),IF($G2109="",$I2109,$G2109)+(S$2*$M2109)))</f>
        <v/>
      </c>
      <c r="T2109" s="82" t="n"/>
      <c r="U2109" s="47">
        <f>IF(OR($M2109="",$T2109=""),"",$T2109+(U$2*$M2109))</f>
        <v/>
      </c>
      <c r="V2109" s="48">
        <f>IF(OR($M2109="",$T2109=""),"",$T2109+(V$2*$M2109))</f>
        <v/>
      </c>
      <c r="W2109" s="48">
        <f>IF(OR($M2109="",$T2109=""),"",$T2109+(W$2*$M2109))</f>
        <v/>
      </c>
      <c r="X2109" s="49">
        <f>IF(OR($M2109="",$T2109=""),"",$T2109+(X$2*$M2109))</f>
        <v/>
      </c>
      <c r="Y2109" s="47">
        <f>IF(OR($M2109="",$T2109=""),"",$T2109+(Y$2*$M2109))</f>
        <v/>
      </c>
      <c r="Z2109" s="49">
        <f>IF(OR($M2109="",$T2109=""),"",$T2109+(Z$2*$M2109))</f>
        <v/>
      </c>
      <c r="AA2109" s="51">
        <f>IF(OR($M2109="",$T2109=""),"",$T2109+(AA$2*$M2109))</f>
        <v/>
      </c>
      <c r="AB2109" s="48">
        <f>IF(OR($M2109="",$T2109=""),"",$T2109+(AB$2*$M2109))</f>
        <v/>
      </c>
      <c r="AC2109" s="48">
        <f>IF(OR($M2109="",$T2109=""),"",$T2109+(AC$2*$M2109))</f>
        <v/>
      </c>
      <c r="AD2109" s="48">
        <f>IF(OR($M2109="",$T2109=""),"",$T2109+(AD$2*$M2109))</f>
        <v/>
      </c>
      <c r="AE2109" s="49">
        <f>IF(OR($M2109="",$T2109=""),"",$T2109+(AE$2*$M2109))</f>
        <v/>
      </c>
      <c r="AF2109" s="52">
        <f>IF(OR(T2109="",I2109&lt;T2109),"",IFERROR(AVERAGE(T2109+M2109*{7,8,9,10,11})/IF(G2109="",I2109,G2109)-1,""))</f>
        <v/>
      </c>
      <c r="AG2109" s="55">
        <f>IF(OR(T2109="",I2109&lt;T2109),"",IFERROR(AF2109/-(R2109/IF(G2109="",I2109,G2109)-1),""))</f>
        <v/>
      </c>
      <c r="AH2109" s="94" t="n"/>
      <c r="AI2109" s="94" t="n"/>
      <c r="AJ2109" s="94" t="n"/>
      <c r="AK2109" s="94" t="n"/>
      <c r="AL2109" s="84" t="n"/>
    </row>
    <row r="2110">
      <c r="A2110" s="64" t="n"/>
      <c r="B2110" s="65" t="n"/>
      <c r="C2110" s="66" t="n"/>
      <c r="D2110" s="67" t="n"/>
      <c r="E2110" s="68" t="n"/>
      <c r="F2110" s="47">
        <f>IF(A2110="","",IF(MIN(H2110,MAX(J2110:K2110))=0,"",MIN(H2110,MAX(J2110:K2110))))</f>
        <v/>
      </c>
      <c r="G2110" s="74" t="n"/>
      <c r="H2110" s="49">
        <f>IF(M2110="","",IFERROR(ROUND(AVERAGE(T2110+M2110*{7,8,9,10,11})/1.21,4),""))</f>
        <v/>
      </c>
      <c r="I2110" s="76" t="n"/>
      <c r="J2110" s="77" t="n"/>
      <c r="K2110" s="74" t="n"/>
      <c r="L2110" s="78" t="n"/>
      <c r="M2110" s="77" t="n"/>
      <c r="N2110" s="53">
        <f>IF(M2110="","",IFERROR(M2110/I2110,""))</f>
        <v/>
      </c>
      <c r="O2110" s="50">
        <f>IF(A2110="","",IFERROR((IF(G2110="",I2110,G2110)-T2110)/M2110,""))</f>
        <v/>
      </c>
      <c r="P2110" s="50">
        <f>IFERROR((I2110/T2110-1)/N2110,"")</f>
        <v/>
      </c>
      <c r="Q2110" s="46">
        <f>IF(OR(T2110="",I2110&lt;T2110),"",IFERROR(R2110/IF(G2110="",I2110,G2110)-1,""))</f>
        <v/>
      </c>
      <c r="R2110" s="48">
        <f>IF($M2110="","",MAX(IF($G2110="",$I2110,$G2110)*(1/1.1),IF($G2110="",$I2110,$G2110)+(R$2*$M2110)))</f>
        <v/>
      </c>
      <c r="S2110" s="49">
        <f>IF($M2110="","",MAX(IF($G2110="",$I2110,$G2110)*(1/1.1),IF($G2110="",$I2110,$G2110)+(S$2*$M2110)))</f>
        <v/>
      </c>
      <c r="T2110" s="82" t="n"/>
      <c r="U2110" s="47">
        <f>IF(OR($M2110="",$T2110=""),"",$T2110+(U$2*$M2110))</f>
        <v/>
      </c>
      <c r="V2110" s="48">
        <f>IF(OR($M2110="",$T2110=""),"",$T2110+(V$2*$M2110))</f>
        <v/>
      </c>
      <c r="W2110" s="48">
        <f>IF(OR($M2110="",$T2110=""),"",$T2110+(W$2*$M2110))</f>
        <v/>
      </c>
      <c r="X2110" s="49">
        <f>IF(OR($M2110="",$T2110=""),"",$T2110+(X$2*$M2110))</f>
        <v/>
      </c>
      <c r="Y2110" s="47">
        <f>IF(OR($M2110="",$T2110=""),"",$T2110+(Y$2*$M2110))</f>
        <v/>
      </c>
      <c r="Z2110" s="49">
        <f>IF(OR($M2110="",$T2110=""),"",$T2110+(Z$2*$M2110))</f>
        <v/>
      </c>
      <c r="AA2110" s="51">
        <f>IF(OR($M2110="",$T2110=""),"",$T2110+(AA$2*$M2110))</f>
        <v/>
      </c>
      <c r="AB2110" s="48">
        <f>IF(OR($M2110="",$T2110=""),"",$T2110+(AB$2*$M2110))</f>
        <v/>
      </c>
      <c r="AC2110" s="48">
        <f>IF(OR($M2110="",$T2110=""),"",$T2110+(AC$2*$M2110))</f>
        <v/>
      </c>
      <c r="AD2110" s="48">
        <f>IF(OR($M2110="",$T2110=""),"",$T2110+(AD$2*$M2110))</f>
        <v/>
      </c>
      <c r="AE2110" s="49">
        <f>IF(OR($M2110="",$T2110=""),"",$T2110+(AE$2*$M2110))</f>
        <v/>
      </c>
      <c r="AF2110" s="52">
        <f>IF(OR(T2110="",I2110&lt;T2110),"",IFERROR(AVERAGE(T2110+M2110*{7,8,9,10,11})/IF(G2110="",I2110,G2110)-1,""))</f>
        <v/>
      </c>
      <c r="AG2110" s="55">
        <f>IF(OR(T2110="",I2110&lt;T2110),"",IFERROR(AF2110/-(R2110/IF(G2110="",I2110,G2110)-1),""))</f>
        <v/>
      </c>
      <c r="AH2110" s="94" t="n"/>
      <c r="AI2110" s="94" t="n"/>
      <c r="AJ2110" s="94" t="n"/>
      <c r="AK2110" s="94" t="n"/>
      <c r="AL2110" s="84" t="n"/>
    </row>
    <row r="2111">
      <c r="A2111" s="64" t="n"/>
      <c r="B2111" s="65" t="n"/>
      <c r="C2111" s="66" t="n"/>
      <c r="D2111" s="67" t="n"/>
      <c r="E2111" s="68" t="n"/>
      <c r="F2111" s="47">
        <f>IF(A2111="","",IF(MIN(H2111,MAX(J2111:K2111))=0,"",MIN(H2111,MAX(J2111:K2111))))</f>
        <v/>
      </c>
      <c r="G2111" s="74" t="n"/>
      <c r="H2111" s="49">
        <f>IF(M2111="","",IFERROR(ROUND(AVERAGE(T2111+M2111*{7,8,9,10,11})/1.21,4),""))</f>
        <v/>
      </c>
      <c r="I2111" s="76" t="n"/>
      <c r="J2111" s="77" t="n"/>
      <c r="K2111" s="74" t="n"/>
      <c r="L2111" s="78" t="n"/>
      <c r="M2111" s="77" t="n"/>
      <c r="N2111" s="53">
        <f>IF(M2111="","",IFERROR(M2111/I2111,""))</f>
        <v/>
      </c>
      <c r="O2111" s="50">
        <f>IF(A2111="","",IFERROR((IF(G2111="",I2111,G2111)-T2111)/M2111,""))</f>
        <v/>
      </c>
      <c r="P2111" s="50">
        <f>IFERROR((I2111/T2111-1)/N2111,"")</f>
        <v/>
      </c>
      <c r="Q2111" s="46">
        <f>IF(OR(T2111="",I2111&lt;T2111),"",IFERROR(R2111/IF(G2111="",I2111,G2111)-1,""))</f>
        <v/>
      </c>
      <c r="R2111" s="48">
        <f>IF($M2111="","",MAX(IF($G2111="",$I2111,$G2111)*(1/1.1),IF($G2111="",$I2111,$G2111)+(R$2*$M2111)))</f>
        <v/>
      </c>
      <c r="S2111" s="49">
        <f>IF($M2111="","",MAX(IF($G2111="",$I2111,$G2111)*(1/1.1),IF($G2111="",$I2111,$G2111)+(S$2*$M2111)))</f>
        <v/>
      </c>
      <c r="T2111" s="82" t="n"/>
      <c r="U2111" s="47">
        <f>IF(OR($M2111="",$T2111=""),"",$T2111+(U$2*$M2111))</f>
        <v/>
      </c>
      <c r="V2111" s="48">
        <f>IF(OR($M2111="",$T2111=""),"",$T2111+(V$2*$M2111))</f>
        <v/>
      </c>
      <c r="W2111" s="48">
        <f>IF(OR($M2111="",$T2111=""),"",$T2111+(W$2*$M2111))</f>
        <v/>
      </c>
      <c r="X2111" s="49">
        <f>IF(OR($M2111="",$T2111=""),"",$T2111+(X$2*$M2111))</f>
        <v/>
      </c>
      <c r="Y2111" s="47">
        <f>IF(OR($M2111="",$T2111=""),"",$T2111+(Y$2*$M2111))</f>
        <v/>
      </c>
      <c r="Z2111" s="49">
        <f>IF(OR($M2111="",$T2111=""),"",$T2111+(Z$2*$M2111))</f>
        <v/>
      </c>
      <c r="AA2111" s="51">
        <f>IF(OR($M2111="",$T2111=""),"",$T2111+(AA$2*$M2111))</f>
        <v/>
      </c>
      <c r="AB2111" s="48">
        <f>IF(OR($M2111="",$T2111=""),"",$T2111+(AB$2*$M2111))</f>
        <v/>
      </c>
      <c r="AC2111" s="48">
        <f>IF(OR($M2111="",$T2111=""),"",$T2111+(AC$2*$M2111))</f>
        <v/>
      </c>
      <c r="AD2111" s="48">
        <f>IF(OR($M2111="",$T2111=""),"",$T2111+(AD$2*$M2111))</f>
        <v/>
      </c>
      <c r="AE2111" s="49">
        <f>IF(OR($M2111="",$T2111=""),"",$T2111+(AE$2*$M2111))</f>
        <v/>
      </c>
      <c r="AF2111" s="52">
        <f>IF(OR(T2111="",I2111&lt;T2111),"",IFERROR(AVERAGE(T2111+M2111*{7,8,9,10,11})/IF(G2111="",I2111,G2111)-1,""))</f>
        <v/>
      </c>
      <c r="AG2111" s="55">
        <f>IF(OR(T2111="",I2111&lt;T2111),"",IFERROR(AF2111/-(R2111/IF(G2111="",I2111,G2111)-1),""))</f>
        <v/>
      </c>
      <c r="AH2111" s="94" t="n"/>
      <c r="AI2111" s="94" t="n"/>
      <c r="AJ2111" s="94" t="n"/>
      <c r="AK2111" s="94" t="n"/>
      <c r="AL2111" s="84" t="n"/>
    </row>
    <row r="2112">
      <c r="A2112" s="64" t="n"/>
      <c r="B2112" s="65" t="n"/>
      <c r="C2112" s="66" t="n"/>
      <c r="D2112" s="67" t="n"/>
      <c r="E2112" s="68" t="n"/>
      <c r="F2112" s="47">
        <f>IF(A2112="","",IF(MIN(H2112,MAX(J2112:K2112))=0,"",MIN(H2112,MAX(J2112:K2112))))</f>
        <v/>
      </c>
      <c r="G2112" s="74" t="n"/>
      <c r="H2112" s="49">
        <f>IF(M2112="","",IFERROR(ROUND(AVERAGE(T2112+M2112*{7,8,9,10,11})/1.21,4),""))</f>
        <v/>
      </c>
      <c r="I2112" s="76" t="n"/>
      <c r="J2112" s="77" t="n"/>
      <c r="K2112" s="74" t="n"/>
      <c r="L2112" s="78" t="n"/>
      <c r="M2112" s="77" t="n"/>
      <c r="N2112" s="53">
        <f>IF(M2112="","",IFERROR(M2112/I2112,""))</f>
        <v/>
      </c>
      <c r="O2112" s="50">
        <f>IF(A2112="","",IFERROR((IF(G2112="",I2112,G2112)-T2112)/M2112,""))</f>
        <v/>
      </c>
      <c r="P2112" s="50">
        <f>IFERROR((I2112/T2112-1)/N2112,"")</f>
        <v/>
      </c>
      <c r="Q2112" s="46">
        <f>IF(OR(T2112="",I2112&lt;T2112),"",IFERROR(R2112/IF(G2112="",I2112,G2112)-1,""))</f>
        <v/>
      </c>
      <c r="R2112" s="48">
        <f>IF($M2112="","",MAX(IF($G2112="",$I2112,$G2112)*(1/1.1),IF($G2112="",$I2112,$G2112)+(R$2*$M2112)))</f>
        <v/>
      </c>
      <c r="S2112" s="49">
        <f>IF($M2112="","",MAX(IF($G2112="",$I2112,$G2112)*(1/1.1),IF($G2112="",$I2112,$G2112)+(S$2*$M2112)))</f>
        <v/>
      </c>
      <c r="T2112" s="82" t="n"/>
      <c r="U2112" s="47">
        <f>IF(OR($M2112="",$T2112=""),"",$T2112+(U$2*$M2112))</f>
        <v/>
      </c>
      <c r="V2112" s="48">
        <f>IF(OR($M2112="",$T2112=""),"",$T2112+(V$2*$M2112))</f>
        <v/>
      </c>
      <c r="W2112" s="48">
        <f>IF(OR($M2112="",$T2112=""),"",$T2112+(W$2*$M2112))</f>
        <v/>
      </c>
      <c r="X2112" s="49">
        <f>IF(OR($M2112="",$T2112=""),"",$T2112+(X$2*$M2112))</f>
        <v/>
      </c>
      <c r="Y2112" s="47">
        <f>IF(OR($M2112="",$T2112=""),"",$T2112+(Y$2*$M2112))</f>
        <v/>
      </c>
      <c r="Z2112" s="49">
        <f>IF(OR($M2112="",$T2112=""),"",$T2112+(Z$2*$M2112))</f>
        <v/>
      </c>
      <c r="AA2112" s="51">
        <f>IF(OR($M2112="",$T2112=""),"",$T2112+(AA$2*$M2112))</f>
        <v/>
      </c>
      <c r="AB2112" s="48">
        <f>IF(OR($M2112="",$T2112=""),"",$T2112+(AB$2*$M2112))</f>
        <v/>
      </c>
      <c r="AC2112" s="48">
        <f>IF(OR($M2112="",$T2112=""),"",$T2112+(AC$2*$M2112))</f>
        <v/>
      </c>
      <c r="AD2112" s="48">
        <f>IF(OR($M2112="",$T2112=""),"",$T2112+(AD$2*$M2112))</f>
        <v/>
      </c>
      <c r="AE2112" s="49">
        <f>IF(OR($M2112="",$T2112=""),"",$T2112+(AE$2*$M2112))</f>
        <v/>
      </c>
      <c r="AF2112" s="52">
        <f>IF(OR(T2112="",I2112&lt;T2112),"",IFERROR(AVERAGE(T2112+M2112*{7,8,9,10,11})/IF(G2112="",I2112,G2112)-1,""))</f>
        <v/>
      </c>
      <c r="AG2112" s="55">
        <f>IF(OR(T2112="",I2112&lt;T2112),"",IFERROR(AF2112/-(R2112/IF(G2112="",I2112,G2112)-1),""))</f>
        <v/>
      </c>
      <c r="AH2112" s="94" t="n"/>
      <c r="AI2112" s="94" t="n"/>
      <c r="AJ2112" s="94" t="n"/>
      <c r="AK2112" s="94" t="n"/>
      <c r="AL2112" s="84" t="n"/>
    </row>
    <row r="2113">
      <c r="A2113" s="64" t="n"/>
      <c r="B2113" s="65" t="n"/>
      <c r="C2113" s="66" t="n"/>
      <c r="D2113" s="67" t="n"/>
      <c r="E2113" s="68" t="n"/>
      <c r="F2113" s="47">
        <f>IF(A2113="","",IF(MIN(H2113,MAX(J2113:K2113))=0,"",MIN(H2113,MAX(J2113:K2113))))</f>
        <v/>
      </c>
      <c r="G2113" s="74" t="n"/>
      <c r="H2113" s="49">
        <f>IF(M2113="","",IFERROR(ROUND(AVERAGE(T2113+M2113*{7,8,9,10,11})/1.21,4),""))</f>
        <v/>
      </c>
      <c r="I2113" s="76" t="n"/>
      <c r="J2113" s="77" t="n"/>
      <c r="K2113" s="74" t="n"/>
      <c r="L2113" s="78" t="n"/>
      <c r="M2113" s="77" t="n"/>
      <c r="N2113" s="53">
        <f>IF(M2113="","",IFERROR(M2113/I2113,""))</f>
        <v/>
      </c>
      <c r="O2113" s="50">
        <f>IF(A2113="","",IFERROR((IF(G2113="",I2113,G2113)-T2113)/M2113,""))</f>
        <v/>
      </c>
      <c r="P2113" s="50">
        <f>IFERROR((I2113/T2113-1)/N2113,"")</f>
        <v/>
      </c>
      <c r="Q2113" s="46">
        <f>IF(OR(T2113="",I2113&lt;T2113),"",IFERROR(R2113/IF(G2113="",I2113,G2113)-1,""))</f>
        <v/>
      </c>
      <c r="R2113" s="48">
        <f>IF($M2113="","",MAX(IF($G2113="",$I2113,$G2113)*(1/1.1),IF($G2113="",$I2113,$G2113)+(R$2*$M2113)))</f>
        <v/>
      </c>
      <c r="S2113" s="49">
        <f>IF($M2113="","",MAX(IF($G2113="",$I2113,$G2113)*(1/1.1),IF($G2113="",$I2113,$G2113)+(S$2*$M2113)))</f>
        <v/>
      </c>
      <c r="T2113" s="82" t="n"/>
      <c r="U2113" s="47">
        <f>IF(OR($M2113="",$T2113=""),"",$T2113+(U$2*$M2113))</f>
        <v/>
      </c>
      <c r="V2113" s="48">
        <f>IF(OR($M2113="",$T2113=""),"",$T2113+(V$2*$M2113))</f>
        <v/>
      </c>
      <c r="W2113" s="48">
        <f>IF(OR($M2113="",$T2113=""),"",$T2113+(W$2*$M2113))</f>
        <v/>
      </c>
      <c r="X2113" s="49">
        <f>IF(OR($M2113="",$T2113=""),"",$T2113+(X$2*$M2113))</f>
        <v/>
      </c>
      <c r="Y2113" s="47">
        <f>IF(OR($M2113="",$T2113=""),"",$T2113+(Y$2*$M2113))</f>
        <v/>
      </c>
      <c r="Z2113" s="49">
        <f>IF(OR($M2113="",$T2113=""),"",$T2113+(Z$2*$M2113))</f>
        <v/>
      </c>
      <c r="AA2113" s="51">
        <f>IF(OR($M2113="",$T2113=""),"",$T2113+(AA$2*$M2113))</f>
        <v/>
      </c>
      <c r="AB2113" s="48">
        <f>IF(OR($M2113="",$T2113=""),"",$T2113+(AB$2*$M2113))</f>
        <v/>
      </c>
      <c r="AC2113" s="48">
        <f>IF(OR($M2113="",$T2113=""),"",$T2113+(AC$2*$M2113))</f>
        <v/>
      </c>
      <c r="AD2113" s="48">
        <f>IF(OR($M2113="",$T2113=""),"",$T2113+(AD$2*$M2113))</f>
        <v/>
      </c>
      <c r="AE2113" s="49">
        <f>IF(OR($M2113="",$T2113=""),"",$T2113+(AE$2*$M2113))</f>
        <v/>
      </c>
      <c r="AF2113" s="52">
        <f>IF(OR(T2113="",I2113&lt;T2113),"",IFERROR(AVERAGE(T2113+M2113*{7,8,9,10,11})/IF(G2113="",I2113,G2113)-1,""))</f>
        <v/>
      </c>
      <c r="AG2113" s="55">
        <f>IF(OR(T2113="",I2113&lt;T2113),"",IFERROR(AF2113/-(R2113/IF(G2113="",I2113,G2113)-1),""))</f>
        <v/>
      </c>
      <c r="AH2113" s="94" t="n"/>
      <c r="AI2113" s="94" t="n"/>
      <c r="AJ2113" s="94" t="n"/>
      <c r="AK2113" s="94" t="n"/>
      <c r="AL2113" s="84" t="n"/>
    </row>
    <row r="2114">
      <c r="A2114" s="64" t="n"/>
      <c r="B2114" s="65" t="n"/>
      <c r="C2114" s="66" t="n"/>
      <c r="D2114" s="67" t="n"/>
      <c r="E2114" s="68" t="n"/>
      <c r="F2114" s="47">
        <f>IF(A2114="","",IF(MIN(H2114,MAX(J2114:K2114))=0,"",MIN(H2114,MAX(J2114:K2114))))</f>
        <v/>
      </c>
      <c r="G2114" s="74" t="n"/>
      <c r="H2114" s="49">
        <f>IF(M2114="","",IFERROR(ROUND(AVERAGE(T2114+M2114*{7,8,9,10,11})/1.21,4),""))</f>
        <v/>
      </c>
      <c r="I2114" s="76" t="n"/>
      <c r="J2114" s="77" t="n"/>
      <c r="K2114" s="74" t="n"/>
      <c r="L2114" s="78" t="n"/>
      <c r="M2114" s="77" t="n"/>
      <c r="N2114" s="53">
        <f>IF(M2114="","",IFERROR(M2114/I2114,""))</f>
        <v/>
      </c>
      <c r="O2114" s="50">
        <f>IF(A2114="","",IFERROR((IF(G2114="",I2114,G2114)-T2114)/M2114,""))</f>
        <v/>
      </c>
      <c r="P2114" s="50">
        <f>IFERROR((I2114/T2114-1)/N2114,"")</f>
        <v/>
      </c>
      <c r="Q2114" s="46">
        <f>IF(OR(T2114="",I2114&lt;T2114),"",IFERROR(R2114/IF(G2114="",I2114,G2114)-1,""))</f>
        <v/>
      </c>
      <c r="R2114" s="48">
        <f>IF($M2114="","",MAX(IF($G2114="",$I2114,$G2114)*(1/1.1),IF($G2114="",$I2114,$G2114)+(R$2*$M2114)))</f>
        <v/>
      </c>
      <c r="S2114" s="49">
        <f>IF($M2114="","",MAX(IF($G2114="",$I2114,$G2114)*(1/1.1),IF($G2114="",$I2114,$G2114)+(S$2*$M2114)))</f>
        <v/>
      </c>
      <c r="T2114" s="82" t="n"/>
      <c r="U2114" s="47">
        <f>IF(OR($M2114="",$T2114=""),"",$T2114+(U$2*$M2114))</f>
        <v/>
      </c>
      <c r="V2114" s="48">
        <f>IF(OR($M2114="",$T2114=""),"",$T2114+(V$2*$M2114))</f>
        <v/>
      </c>
      <c r="W2114" s="48">
        <f>IF(OR($M2114="",$T2114=""),"",$T2114+(W$2*$M2114))</f>
        <v/>
      </c>
      <c r="X2114" s="49">
        <f>IF(OR($M2114="",$T2114=""),"",$T2114+(X$2*$M2114))</f>
        <v/>
      </c>
      <c r="Y2114" s="47">
        <f>IF(OR($M2114="",$T2114=""),"",$T2114+(Y$2*$M2114))</f>
        <v/>
      </c>
      <c r="Z2114" s="49">
        <f>IF(OR($M2114="",$T2114=""),"",$T2114+(Z$2*$M2114))</f>
        <v/>
      </c>
      <c r="AA2114" s="51">
        <f>IF(OR($M2114="",$T2114=""),"",$T2114+(AA$2*$M2114))</f>
        <v/>
      </c>
      <c r="AB2114" s="48">
        <f>IF(OR($M2114="",$T2114=""),"",$T2114+(AB$2*$M2114))</f>
        <v/>
      </c>
      <c r="AC2114" s="48">
        <f>IF(OR($M2114="",$T2114=""),"",$T2114+(AC$2*$M2114))</f>
        <v/>
      </c>
      <c r="AD2114" s="48">
        <f>IF(OR($M2114="",$T2114=""),"",$T2114+(AD$2*$M2114))</f>
        <v/>
      </c>
      <c r="AE2114" s="49">
        <f>IF(OR($M2114="",$T2114=""),"",$T2114+(AE$2*$M2114))</f>
        <v/>
      </c>
      <c r="AF2114" s="52">
        <f>IF(OR(T2114="",I2114&lt;T2114),"",IFERROR(AVERAGE(T2114+M2114*{7,8,9,10,11})/IF(G2114="",I2114,G2114)-1,""))</f>
        <v/>
      </c>
      <c r="AG2114" s="55">
        <f>IF(OR(T2114="",I2114&lt;T2114),"",IFERROR(AF2114/-(R2114/IF(G2114="",I2114,G2114)-1),""))</f>
        <v/>
      </c>
      <c r="AH2114" s="94" t="n"/>
      <c r="AI2114" s="94" t="n"/>
      <c r="AJ2114" s="94" t="n"/>
      <c r="AK2114" s="94" t="n"/>
      <c r="AL2114" s="84" t="n"/>
    </row>
    <row r="2115">
      <c r="A2115" s="64" t="n"/>
      <c r="B2115" s="65" t="n"/>
      <c r="C2115" s="66" t="n"/>
      <c r="D2115" s="67" t="n"/>
      <c r="E2115" s="68" t="n"/>
      <c r="F2115" s="47">
        <f>IF(A2115="","",IF(MIN(H2115,MAX(J2115:K2115))=0,"",MIN(H2115,MAX(J2115:K2115))))</f>
        <v/>
      </c>
      <c r="G2115" s="74" t="n"/>
      <c r="H2115" s="49">
        <f>IF(M2115="","",IFERROR(ROUND(AVERAGE(T2115+M2115*{7,8,9,10,11})/1.21,4),""))</f>
        <v/>
      </c>
      <c r="I2115" s="76" t="n"/>
      <c r="J2115" s="77" t="n"/>
      <c r="K2115" s="74" t="n"/>
      <c r="L2115" s="78" t="n"/>
      <c r="M2115" s="77" t="n"/>
      <c r="N2115" s="53">
        <f>IF(M2115="","",IFERROR(M2115/I2115,""))</f>
        <v/>
      </c>
      <c r="O2115" s="50">
        <f>IF(A2115="","",IFERROR((IF(G2115="",I2115,G2115)-T2115)/M2115,""))</f>
        <v/>
      </c>
      <c r="P2115" s="50">
        <f>IFERROR((I2115/T2115-1)/N2115,"")</f>
        <v/>
      </c>
      <c r="Q2115" s="46">
        <f>IF(OR(T2115="",I2115&lt;T2115),"",IFERROR(R2115/IF(G2115="",I2115,G2115)-1,""))</f>
        <v/>
      </c>
      <c r="R2115" s="48">
        <f>IF($M2115="","",MAX(IF($G2115="",$I2115,$G2115)*(1/1.1),IF($G2115="",$I2115,$G2115)+(R$2*$M2115)))</f>
        <v/>
      </c>
      <c r="S2115" s="49">
        <f>IF($M2115="","",MAX(IF($G2115="",$I2115,$G2115)*(1/1.1),IF($G2115="",$I2115,$G2115)+(S$2*$M2115)))</f>
        <v/>
      </c>
      <c r="T2115" s="82" t="n"/>
      <c r="U2115" s="47">
        <f>IF(OR($M2115="",$T2115=""),"",$T2115+(U$2*$M2115))</f>
        <v/>
      </c>
      <c r="V2115" s="48">
        <f>IF(OR($M2115="",$T2115=""),"",$T2115+(V$2*$M2115))</f>
        <v/>
      </c>
      <c r="W2115" s="48">
        <f>IF(OR($M2115="",$T2115=""),"",$T2115+(W$2*$M2115))</f>
        <v/>
      </c>
      <c r="X2115" s="49">
        <f>IF(OR($M2115="",$T2115=""),"",$T2115+(X$2*$M2115))</f>
        <v/>
      </c>
      <c r="Y2115" s="47">
        <f>IF(OR($M2115="",$T2115=""),"",$T2115+(Y$2*$M2115))</f>
        <v/>
      </c>
      <c r="Z2115" s="49">
        <f>IF(OR($M2115="",$T2115=""),"",$T2115+(Z$2*$M2115))</f>
        <v/>
      </c>
      <c r="AA2115" s="51">
        <f>IF(OR($M2115="",$T2115=""),"",$T2115+(AA$2*$M2115))</f>
        <v/>
      </c>
      <c r="AB2115" s="48">
        <f>IF(OR($M2115="",$T2115=""),"",$T2115+(AB$2*$M2115))</f>
        <v/>
      </c>
      <c r="AC2115" s="48">
        <f>IF(OR($M2115="",$T2115=""),"",$T2115+(AC$2*$M2115))</f>
        <v/>
      </c>
      <c r="AD2115" s="48">
        <f>IF(OR($M2115="",$T2115=""),"",$T2115+(AD$2*$M2115))</f>
        <v/>
      </c>
      <c r="AE2115" s="49">
        <f>IF(OR($M2115="",$T2115=""),"",$T2115+(AE$2*$M2115))</f>
        <v/>
      </c>
      <c r="AF2115" s="52">
        <f>IF(OR(T2115="",I2115&lt;T2115),"",IFERROR(AVERAGE(T2115+M2115*{7,8,9,10,11})/IF(G2115="",I2115,G2115)-1,""))</f>
        <v/>
      </c>
      <c r="AG2115" s="55">
        <f>IF(OR(T2115="",I2115&lt;T2115),"",IFERROR(AF2115/-(R2115/IF(G2115="",I2115,G2115)-1),""))</f>
        <v/>
      </c>
      <c r="AH2115" s="94" t="n"/>
      <c r="AI2115" s="94" t="n"/>
      <c r="AJ2115" s="94" t="n"/>
      <c r="AK2115" s="94" t="n"/>
      <c r="AL2115" s="84" t="n"/>
    </row>
    <row r="2116">
      <c r="A2116" s="64" t="n"/>
      <c r="B2116" s="65" t="n"/>
      <c r="C2116" s="66" t="n"/>
      <c r="D2116" s="67" t="n"/>
      <c r="E2116" s="68" t="n"/>
      <c r="F2116" s="47">
        <f>IF(A2116="","",IF(MIN(H2116,MAX(J2116:K2116))=0,"",MIN(H2116,MAX(J2116:K2116))))</f>
        <v/>
      </c>
      <c r="G2116" s="74" t="n"/>
      <c r="H2116" s="49">
        <f>IF(M2116="","",IFERROR(ROUND(AVERAGE(T2116+M2116*{7,8,9,10,11})/1.21,4),""))</f>
        <v/>
      </c>
      <c r="I2116" s="76" t="n"/>
      <c r="J2116" s="77" t="n"/>
      <c r="K2116" s="74" t="n"/>
      <c r="L2116" s="78" t="n"/>
      <c r="M2116" s="77" t="n"/>
      <c r="N2116" s="53">
        <f>IF(M2116="","",IFERROR(M2116/I2116,""))</f>
        <v/>
      </c>
      <c r="O2116" s="50">
        <f>IF(A2116="","",IFERROR((IF(G2116="",I2116,G2116)-T2116)/M2116,""))</f>
        <v/>
      </c>
      <c r="P2116" s="50">
        <f>IFERROR((I2116/T2116-1)/N2116,"")</f>
        <v/>
      </c>
      <c r="Q2116" s="46">
        <f>IF(OR(T2116="",I2116&lt;T2116),"",IFERROR(R2116/IF(G2116="",I2116,G2116)-1,""))</f>
        <v/>
      </c>
      <c r="R2116" s="48">
        <f>IF($M2116="","",MAX(IF($G2116="",$I2116,$G2116)*(1/1.1),IF($G2116="",$I2116,$G2116)+(R$2*$M2116)))</f>
        <v/>
      </c>
      <c r="S2116" s="49">
        <f>IF($M2116="","",MAX(IF($G2116="",$I2116,$G2116)*(1/1.1),IF($G2116="",$I2116,$G2116)+(S$2*$M2116)))</f>
        <v/>
      </c>
      <c r="T2116" s="82" t="n"/>
      <c r="U2116" s="47">
        <f>IF(OR($M2116="",$T2116=""),"",$T2116+(U$2*$M2116))</f>
        <v/>
      </c>
      <c r="V2116" s="48">
        <f>IF(OR($M2116="",$T2116=""),"",$T2116+(V$2*$M2116))</f>
        <v/>
      </c>
      <c r="W2116" s="48">
        <f>IF(OR($M2116="",$T2116=""),"",$T2116+(W$2*$M2116))</f>
        <v/>
      </c>
      <c r="X2116" s="49">
        <f>IF(OR($M2116="",$T2116=""),"",$T2116+(X$2*$M2116))</f>
        <v/>
      </c>
      <c r="Y2116" s="47">
        <f>IF(OR($M2116="",$T2116=""),"",$T2116+(Y$2*$M2116))</f>
        <v/>
      </c>
      <c r="Z2116" s="49">
        <f>IF(OR($M2116="",$T2116=""),"",$T2116+(Z$2*$M2116))</f>
        <v/>
      </c>
      <c r="AA2116" s="51">
        <f>IF(OR($M2116="",$T2116=""),"",$T2116+(AA$2*$M2116))</f>
        <v/>
      </c>
      <c r="AB2116" s="48">
        <f>IF(OR($M2116="",$T2116=""),"",$T2116+(AB$2*$M2116))</f>
        <v/>
      </c>
      <c r="AC2116" s="48">
        <f>IF(OR($M2116="",$T2116=""),"",$T2116+(AC$2*$M2116))</f>
        <v/>
      </c>
      <c r="AD2116" s="48">
        <f>IF(OR($M2116="",$T2116=""),"",$T2116+(AD$2*$M2116))</f>
        <v/>
      </c>
      <c r="AE2116" s="49">
        <f>IF(OR($M2116="",$T2116=""),"",$T2116+(AE$2*$M2116))</f>
        <v/>
      </c>
      <c r="AF2116" s="52">
        <f>IF(OR(T2116="",I2116&lt;T2116),"",IFERROR(AVERAGE(T2116+M2116*{7,8,9,10,11})/IF(G2116="",I2116,G2116)-1,""))</f>
        <v/>
      </c>
      <c r="AG2116" s="55">
        <f>IF(OR(T2116="",I2116&lt;T2116),"",IFERROR(AF2116/-(R2116/IF(G2116="",I2116,G2116)-1),""))</f>
        <v/>
      </c>
      <c r="AH2116" s="94" t="n"/>
      <c r="AI2116" s="94" t="n"/>
      <c r="AJ2116" s="94" t="n"/>
      <c r="AK2116" s="94" t="n"/>
      <c r="AL2116" s="84" t="n"/>
    </row>
    <row r="2117">
      <c r="A2117" s="64" t="n"/>
      <c r="B2117" s="65" t="n"/>
      <c r="C2117" s="66" t="n"/>
      <c r="D2117" s="67" t="n"/>
      <c r="E2117" s="68" t="n"/>
      <c r="F2117" s="47">
        <f>IF(A2117="","",IF(MIN(H2117,MAX(J2117:K2117))=0,"",MIN(H2117,MAX(J2117:K2117))))</f>
        <v/>
      </c>
      <c r="G2117" s="74" t="n"/>
      <c r="H2117" s="49">
        <f>IF(M2117="","",IFERROR(ROUND(AVERAGE(T2117+M2117*{7,8,9,10,11})/1.21,4),""))</f>
        <v/>
      </c>
      <c r="I2117" s="76" t="n"/>
      <c r="J2117" s="77" t="n"/>
      <c r="K2117" s="74" t="n"/>
      <c r="L2117" s="78" t="n"/>
      <c r="M2117" s="77" t="n"/>
      <c r="N2117" s="53">
        <f>IF(M2117="","",IFERROR(M2117/I2117,""))</f>
        <v/>
      </c>
      <c r="O2117" s="50">
        <f>IF(A2117="","",IFERROR((IF(G2117="",I2117,G2117)-T2117)/M2117,""))</f>
        <v/>
      </c>
      <c r="P2117" s="50">
        <f>IFERROR((I2117/T2117-1)/N2117,"")</f>
        <v/>
      </c>
      <c r="Q2117" s="46">
        <f>IF(OR(T2117="",I2117&lt;T2117),"",IFERROR(R2117/IF(G2117="",I2117,G2117)-1,""))</f>
        <v/>
      </c>
      <c r="R2117" s="48">
        <f>IF($M2117="","",MAX(IF($G2117="",$I2117,$G2117)*(1/1.1),IF($G2117="",$I2117,$G2117)+(R$2*$M2117)))</f>
        <v/>
      </c>
      <c r="S2117" s="49">
        <f>IF($M2117="","",MAX(IF($G2117="",$I2117,$G2117)*(1/1.1),IF($G2117="",$I2117,$G2117)+(S$2*$M2117)))</f>
        <v/>
      </c>
      <c r="T2117" s="82" t="n"/>
      <c r="U2117" s="47">
        <f>IF(OR($M2117="",$T2117=""),"",$T2117+(U$2*$M2117))</f>
        <v/>
      </c>
      <c r="V2117" s="48">
        <f>IF(OR($M2117="",$T2117=""),"",$T2117+(V$2*$M2117))</f>
        <v/>
      </c>
      <c r="W2117" s="48">
        <f>IF(OR($M2117="",$T2117=""),"",$T2117+(W$2*$M2117))</f>
        <v/>
      </c>
      <c r="X2117" s="49">
        <f>IF(OR($M2117="",$T2117=""),"",$T2117+(X$2*$M2117))</f>
        <v/>
      </c>
      <c r="Y2117" s="47">
        <f>IF(OR($M2117="",$T2117=""),"",$T2117+(Y$2*$M2117))</f>
        <v/>
      </c>
      <c r="Z2117" s="49">
        <f>IF(OR($M2117="",$T2117=""),"",$T2117+(Z$2*$M2117))</f>
        <v/>
      </c>
      <c r="AA2117" s="51">
        <f>IF(OR($M2117="",$T2117=""),"",$T2117+(AA$2*$M2117))</f>
        <v/>
      </c>
      <c r="AB2117" s="48">
        <f>IF(OR($M2117="",$T2117=""),"",$T2117+(AB$2*$M2117))</f>
        <v/>
      </c>
      <c r="AC2117" s="48">
        <f>IF(OR($M2117="",$T2117=""),"",$T2117+(AC$2*$M2117))</f>
        <v/>
      </c>
      <c r="AD2117" s="48">
        <f>IF(OR($M2117="",$T2117=""),"",$T2117+(AD$2*$M2117))</f>
        <v/>
      </c>
      <c r="AE2117" s="49">
        <f>IF(OR($M2117="",$T2117=""),"",$T2117+(AE$2*$M2117))</f>
        <v/>
      </c>
      <c r="AF2117" s="52">
        <f>IF(OR(T2117="",I2117&lt;T2117),"",IFERROR(AVERAGE(T2117+M2117*{7,8,9,10,11})/IF(G2117="",I2117,G2117)-1,""))</f>
        <v/>
      </c>
      <c r="AG2117" s="55">
        <f>IF(OR(T2117="",I2117&lt;T2117),"",IFERROR(AF2117/-(R2117/IF(G2117="",I2117,G2117)-1),""))</f>
        <v/>
      </c>
      <c r="AH2117" s="94" t="n"/>
      <c r="AI2117" s="94" t="n"/>
      <c r="AJ2117" s="94" t="n"/>
      <c r="AK2117" s="94" t="n"/>
      <c r="AL2117" s="84" t="n"/>
    </row>
    <row r="2118">
      <c r="A2118" s="64" t="n"/>
      <c r="B2118" s="65" t="n"/>
      <c r="C2118" s="66" t="n"/>
      <c r="D2118" s="67" t="n"/>
      <c r="E2118" s="68" t="n"/>
      <c r="F2118" s="47">
        <f>IF(A2118="","",IF(MIN(H2118,MAX(J2118:K2118))=0,"",MIN(H2118,MAX(J2118:K2118))))</f>
        <v/>
      </c>
      <c r="G2118" s="74" t="n"/>
      <c r="H2118" s="49">
        <f>IF(M2118="","",IFERROR(ROUND(AVERAGE(T2118+M2118*{7,8,9,10,11})/1.21,4),""))</f>
        <v/>
      </c>
      <c r="I2118" s="76" t="n"/>
      <c r="J2118" s="77" t="n"/>
      <c r="K2118" s="74" t="n"/>
      <c r="L2118" s="78" t="n"/>
      <c r="M2118" s="77" t="n"/>
      <c r="N2118" s="53">
        <f>IF(M2118="","",IFERROR(M2118/I2118,""))</f>
        <v/>
      </c>
      <c r="O2118" s="50">
        <f>IF(A2118="","",IFERROR((IF(G2118="",I2118,G2118)-T2118)/M2118,""))</f>
        <v/>
      </c>
      <c r="P2118" s="50">
        <f>IFERROR((I2118/T2118-1)/N2118,"")</f>
        <v/>
      </c>
      <c r="Q2118" s="46">
        <f>IF(OR(T2118="",I2118&lt;T2118),"",IFERROR(R2118/IF(G2118="",I2118,G2118)-1,""))</f>
        <v/>
      </c>
      <c r="R2118" s="48">
        <f>IF($M2118="","",MAX(IF($G2118="",$I2118,$G2118)*(1/1.1),IF($G2118="",$I2118,$G2118)+(R$2*$M2118)))</f>
        <v/>
      </c>
      <c r="S2118" s="49">
        <f>IF($M2118="","",MAX(IF($G2118="",$I2118,$G2118)*(1/1.1),IF($G2118="",$I2118,$G2118)+(S$2*$M2118)))</f>
        <v/>
      </c>
      <c r="T2118" s="82" t="n"/>
      <c r="U2118" s="47">
        <f>IF(OR($M2118="",$T2118=""),"",$T2118+(U$2*$M2118))</f>
        <v/>
      </c>
      <c r="V2118" s="48">
        <f>IF(OR($M2118="",$T2118=""),"",$T2118+(V$2*$M2118))</f>
        <v/>
      </c>
      <c r="W2118" s="48">
        <f>IF(OR($M2118="",$T2118=""),"",$T2118+(W$2*$M2118))</f>
        <v/>
      </c>
      <c r="X2118" s="49">
        <f>IF(OR($M2118="",$T2118=""),"",$T2118+(X$2*$M2118))</f>
        <v/>
      </c>
      <c r="Y2118" s="47">
        <f>IF(OR($M2118="",$T2118=""),"",$T2118+(Y$2*$M2118))</f>
        <v/>
      </c>
      <c r="Z2118" s="49">
        <f>IF(OR($M2118="",$T2118=""),"",$T2118+(Z$2*$M2118))</f>
        <v/>
      </c>
      <c r="AA2118" s="51">
        <f>IF(OR($M2118="",$T2118=""),"",$T2118+(AA$2*$M2118))</f>
        <v/>
      </c>
      <c r="AB2118" s="48">
        <f>IF(OR($M2118="",$T2118=""),"",$T2118+(AB$2*$M2118))</f>
        <v/>
      </c>
      <c r="AC2118" s="48">
        <f>IF(OR($M2118="",$T2118=""),"",$T2118+(AC$2*$M2118))</f>
        <v/>
      </c>
      <c r="AD2118" s="48">
        <f>IF(OR($M2118="",$T2118=""),"",$T2118+(AD$2*$M2118))</f>
        <v/>
      </c>
      <c r="AE2118" s="49">
        <f>IF(OR($M2118="",$T2118=""),"",$T2118+(AE$2*$M2118))</f>
        <v/>
      </c>
      <c r="AF2118" s="52">
        <f>IF(OR(T2118="",I2118&lt;T2118),"",IFERROR(AVERAGE(T2118+M2118*{7,8,9,10,11})/IF(G2118="",I2118,G2118)-1,""))</f>
        <v/>
      </c>
      <c r="AG2118" s="55">
        <f>IF(OR(T2118="",I2118&lt;T2118),"",IFERROR(AF2118/-(R2118/IF(G2118="",I2118,G2118)-1),""))</f>
        <v/>
      </c>
      <c r="AH2118" s="94" t="n"/>
      <c r="AI2118" s="94" t="n"/>
      <c r="AJ2118" s="94" t="n"/>
      <c r="AK2118" s="94" t="n"/>
      <c r="AL2118" s="84" t="n"/>
    </row>
    <row r="2119">
      <c r="A2119" s="64" t="n"/>
      <c r="B2119" s="65" t="n"/>
      <c r="C2119" s="66" t="n"/>
      <c r="D2119" s="67" t="n"/>
      <c r="E2119" s="68" t="n"/>
      <c r="F2119" s="47">
        <f>IF(A2119="","",IF(MIN(H2119,MAX(J2119:K2119))=0,"",MIN(H2119,MAX(J2119:K2119))))</f>
        <v/>
      </c>
      <c r="G2119" s="74" t="n"/>
      <c r="H2119" s="49">
        <f>IF(M2119="","",IFERROR(ROUND(AVERAGE(T2119+M2119*{7,8,9,10,11})/1.21,4),""))</f>
        <v/>
      </c>
      <c r="I2119" s="76" t="n"/>
      <c r="J2119" s="77" t="n"/>
      <c r="K2119" s="74" t="n"/>
      <c r="L2119" s="78" t="n"/>
      <c r="M2119" s="77" t="n"/>
      <c r="N2119" s="53">
        <f>IF(M2119="","",IFERROR(M2119/I2119,""))</f>
        <v/>
      </c>
      <c r="O2119" s="50">
        <f>IF(A2119="","",IFERROR((IF(G2119="",I2119,G2119)-T2119)/M2119,""))</f>
        <v/>
      </c>
      <c r="P2119" s="50">
        <f>IFERROR((I2119/T2119-1)/N2119,"")</f>
        <v/>
      </c>
      <c r="Q2119" s="46">
        <f>IF(OR(T2119="",I2119&lt;T2119),"",IFERROR(R2119/IF(G2119="",I2119,G2119)-1,""))</f>
        <v/>
      </c>
      <c r="R2119" s="48">
        <f>IF($M2119="","",MAX(IF($G2119="",$I2119,$G2119)*(1/1.1),IF($G2119="",$I2119,$G2119)+(R$2*$M2119)))</f>
        <v/>
      </c>
      <c r="S2119" s="49">
        <f>IF($M2119="","",MAX(IF($G2119="",$I2119,$G2119)*(1/1.1),IF($G2119="",$I2119,$G2119)+(S$2*$M2119)))</f>
        <v/>
      </c>
      <c r="T2119" s="82" t="n"/>
      <c r="U2119" s="47">
        <f>IF(OR($M2119="",$T2119=""),"",$T2119+(U$2*$M2119))</f>
        <v/>
      </c>
      <c r="V2119" s="48">
        <f>IF(OR($M2119="",$T2119=""),"",$T2119+(V$2*$M2119))</f>
        <v/>
      </c>
      <c r="W2119" s="48">
        <f>IF(OR($M2119="",$T2119=""),"",$T2119+(W$2*$M2119))</f>
        <v/>
      </c>
      <c r="X2119" s="49">
        <f>IF(OR($M2119="",$T2119=""),"",$T2119+(X$2*$M2119))</f>
        <v/>
      </c>
      <c r="Y2119" s="47">
        <f>IF(OR($M2119="",$T2119=""),"",$T2119+(Y$2*$M2119))</f>
        <v/>
      </c>
      <c r="Z2119" s="49">
        <f>IF(OR($M2119="",$T2119=""),"",$T2119+(Z$2*$M2119))</f>
        <v/>
      </c>
      <c r="AA2119" s="51">
        <f>IF(OR($M2119="",$T2119=""),"",$T2119+(AA$2*$M2119))</f>
        <v/>
      </c>
      <c r="AB2119" s="48">
        <f>IF(OR($M2119="",$T2119=""),"",$T2119+(AB$2*$M2119))</f>
        <v/>
      </c>
      <c r="AC2119" s="48">
        <f>IF(OR($M2119="",$T2119=""),"",$T2119+(AC$2*$M2119))</f>
        <v/>
      </c>
      <c r="AD2119" s="48">
        <f>IF(OR($M2119="",$T2119=""),"",$T2119+(AD$2*$M2119))</f>
        <v/>
      </c>
      <c r="AE2119" s="49">
        <f>IF(OR($M2119="",$T2119=""),"",$T2119+(AE$2*$M2119))</f>
        <v/>
      </c>
      <c r="AF2119" s="52">
        <f>IF(OR(T2119="",I2119&lt;T2119),"",IFERROR(AVERAGE(T2119+M2119*{7,8,9,10,11})/IF(G2119="",I2119,G2119)-1,""))</f>
        <v/>
      </c>
      <c r="AG2119" s="55">
        <f>IF(OR(T2119="",I2119&lt;T2119),"",IFERROR(AF2119/-(R2119/IF(G2119="",I2119,G2119)-1),""))</f>
        <v/>
      </c>
      <c r="AH2119" s="94" t="n"/>
      <c r="AI2119" s="94" t="n"/>
      <c r="AJ2119" s="94" t="n"/>
      <c r="AK2119" s="94" t="n"/>
      <c r="AL2119" s="84" t="n"/>
    </row>
    <row r="2120">
      <c r="A2120" s="64" t="n"/>
      <c r="B2120" s="65" t="n"/>
      <c r="C2120" s="66" t="n"/>
      <c r="D2120" s="67" t="n"/>
      <c r="E2120" s="68" t="n"/>
      <c r="F2120" s="47">
        <f>IF(A2120="","",IF(MIN(H2120,MAX(J2120:K2120))=0,"",MIN(H2120,MAX(J2120:K2120))))</f>
        <v/>
      </c>
      <c r="G2120" s="74" t="n"/>
      <c r="H2120" s="49">
        <f>IF(M2120="","",IFERROR(ROUND(AVERAGE(T2120+M2120*{7,8,9,10,11})/1.21,4),""))</f>
        <v/>
      </c>
      <c r="I2120" s="76" t="n"/>
      <c r="J2120" s="77" t="n"/>
      <c r="K2120" s="74" t="n"/>
      <c r="L2120" s="78" t="n"/>
      <c r="M2120" s="77" t="n"/>
      <c r="N2120" s="53">
        <f>IF(M2120="","",IFERROR(M2120/I2120,""))</f>
        <v/>
      </c>
      <c r="O2120" s="50">
        <f>IF(A2120="","",IFERROR((IF(G2120="",I2120,G2120)-T2120)/M2120,""))</f>
        <v/>
      </c>
      <c r="P2120" s="50">
        <f>IFERROR((I2120/T2120-1)/N2120,"")</f>
        <v/>
      </c>
      <c r="Q2120" s="46">
        <f>IF(OR(T2120="",I2120&lt;T2120),"",IFERROR(R2120/IF(G2120="",I2120,G2120)-1,""))</f>
        <v/>
      </c>
      <c r="R2120" s="48">
        <f>IF($M2120="","",MAX(IF($G2120="",$I2120,$G2120)*(1/1.1),IF($G2120="",$I2120,$G2120)+(R$2*$M2120)))</f>
        <v/>
      </c>
      <c r="S2120" s="49">
        <f>IF($M2120="","",MAX(IF($G2120="",$I2120,$G2120)*(1/1.1),IF($G2120="",$I2120,$G2120)+(S$2*$M2120)))</f>
        <v/>
      </c>
      <c r="T2120" s="82" t="n"/>
      <c r="U2120" s="47">
        <f>IF(OR($M2120="",$T2120=""),"",$T2120+(U$2*$M2120))</f>
        <v/>
      </c>
      <c r="V2120" s="48">
        <f>IF(OR($M2120="",$T2120=""),"",$T2120+(V$2*$M2120))</f>
        <v/>
      </c>
      <c r="W2120" s="48">
        <f>IF(OR($M2120="",$T2120=""),"",$T2120+(W$2*$M2120))</f>
        <v/>
      </c>
      <c r="X2120" s="49">
        <f>IF(OR($M2120="",$T2120=""),"",$T2120+(X$2*$M2120))</f>
        <v/>
      </c>
      <c r="Y2120" s="47">
        <f>IF(OR($M2120="",$T2120=""),"",$T2120+(Y$2*$M2120))</f>
        <v/>
      </c>
      <c r="Z2120" s="49">
        <f>IF(OR($M2120="",$T2120=""),"",$T2120+(Z$2*$M2120))</f>
        <v/>
      </c>
      <c r="AA2120" s="51">
        <f>IF(OR($M2120="",$T2120=""),"",$T2120+(AA$2*$M2120))</f>
        <v/>
      </c>
      <c r="AB2120" s="48">
        <f>IF(OR($M2120="",$T2120=""),"",$T2120+(AB$2*$M2120))</f>
        <v/>
      </c>
      <c r="AC2120" s="48">
        <f>IF(OR($M2120="",$T2120=""),"",$T2120+(AC$2*$M2120))</f>
        <v/>
      </c>
      <c r="AD2120" s="48">
        <f>IF(OR($M2120="",$T2120=""),"",$T2120+(AD$2*$M2120))</f>
        <v/>
      </c>
      <c r="AE2120" s="49">
        <f>IF(OR($M2120="",$T2120=""),"",$T2120+(AE$2*$M2120))</f>
        <v/>
      </c>
      <c r="AF2120" s="52">
        <f>IF(OR(T2120="",I2120&lt;T2120),"",IFERROR(AVERAGE(T2120+M2120*{7,8,9,10,11})/IF(G2120="",I2120,G2120)-1,""))</f>
        <v/>
      </c>
      <c r="AG2120" s="55">
        <f>IF(OR(T2120="",I2120&lt;T2120),"",IFERROR(AF2120/-(R2120/IF(G2120="",I2120,G2120)-1),""))</f>
        <v/>
      </c>
      <c r="AH2120" s="94" t="n"/>
      <c r="AI2120" s="94" t="n"/>
      <c r="AJ2120" s="94" t="n"/>
      <c r="AK2120" s="94" t="n"/>
      <c r="AL2120" s="84" t="n"/>
    </row>
    <row r="2121">
      <c r="A2121" s="64" t="n"/>
      <c r="B2121" s="65" t="n"/>
      <c r="C2121" s="66" t="n"/>
      <c r="D2121" s="67" t="n"/>
      <c r="E2121" s="68" t="n"/>
      <c r="F2121" s="47">
        <f>IF(A2121="","",IF(MIN(H2121,MAX(J2121:K2121))=0,"",MIN(H2121,MAX(J2121:K2121))))</f>
        <v/>
      </c>
      <c r="G2121" s="74" t="n"/>
      <c r="H2121" s="49">
        <f>IF(M2121="","",IFERROR(ROUND(AVERAGE(T2121+M2121*{7,8,9,10,11})/1.21,4),""))</f>
        <v/>
      </c>
      <c r="I2121" s="76" t="n"/>
      <c r="J2121" s="77" t="n"/>
      <c r="K2121" s="74" t="n"/>
      <c r="L2121" s="78" t="n"/>
      <c r="M2121" s="77" t="n"/>
      <c r="N2121" s="53">
        <f>IF(M2121="","",IFERROR(M2121/I2121,""))</f>
        <v/>
      </c>
      <c r="O2121" s="50">
        <f>IF(A2121="","",IFERROR((IF(G2121="",I2121,G2121)-T2121)/M2121,""))</f>
        <v/>
      </c>
      <c r="P2121" s="50">
        <f>IFERROR((I2121/T2121-1)/N2121,"")</f>
        <v/>
      </c>
      <c r="Q2121" s="46">
        <f>IF(OR(T2121="",I2121&lt;T2121),"",IFERROR(R2121/IF(G2121="",I2121,G2121)-1,""))</f>
        <v/>
      </c>
      <c r="R2121" s="48">
        <f>IF($M2121="","",MAX(IF($G2121="",$I2121,$G2121)*(1/1.1),IF($G2121="",$I2121,$G2121)+(R$2*$M2121)))</f>
        <v/>
      </c>
      <c r="S2121" s="49">
        <f>IF($M2121="","",MAX(IF($G2121="",$I2121,$G2121)*(1/1.1),IF($G2121="",$I2121,$G2121)+(S$2*$M2121)))</f>
        <v/>
      </c>
      <c r="T2121" s="82" t="n"/>
      <c r="U2121" s="47">
        <f>IF(OR($M2121="",$T2121=""),"",$T2121+(U$2*$M2121))</f>
        <v/>
      </c>
      <c r="V2121" s="48">
        <f>IF(OR($M2121="",$T2121=""),"",$T2121+(V$2*$M2121))</f>
        <v/>
      </c>
      <c r="W2121" s="48">
        <f>IF(OR($M2121="",$T2121=""),"",$T2121+(W$2*$M2121))</f>
        <v/>
      </c>
      <c r="X2121" s="49">
        <f>IF(OR($M2121="",$T2121=""),"",$T2121+(X$2*$M2121))</f>
        <v/>
      </c>
      <c r="Y2121" s="47">
        <f>IF(OR($M2121="",$T2121=""),"",$T2121+(Y$2*$M2121))</f>
        <v/>
      </c>
      <c r="Z2121" s="49">
        <f>IF(OR($M2121="",$T2121=""),"",$T2121+(Z$2*$M2121))</f>
        <v/>
      </c>
      <c r="AA2121" s="51">
        <f>IF(OR($M2121="",$T2121=""),"",$T2121+(AA$2*$M2121))</f>
        <v/>
      </c>
      <c r="AB2121" s="48">
        <f>IF(OR($M2121="",$T2121=""),"",$T2121+(AB$2*$M2121))</f>
        <v/>
      </c>
      <c r="AC2121" s="48">
        <f>IF(OR($M2121="",$T2121=""),"",$T2121+(AC$2*$M2121))</f>
        <v/>
      </c>
      <c r="AD2121" s="48">
        <f>IF(OR($M2121="",$T2121=""),"",$T2121+(AD$2*$M2121))</f>
        <v/>
      </c>
      <c r="AE2121" s="49">
        <f>IF(OR($M2121="",$T2121=""),"",$T2121+(AE$2*$M2121))</f>
        <v/>
      </c>
      <c r="AF2121" s="52">
        <f>IF(OR(T2121="",I2121&lt;T2121),"",IFERROR(AVERAGE(T2121+M2121*{7,8,9,10,11})/IF(G2121="",I2121,G2121)-1,""))</f>
        <v/>
      </c>
      <c r="AG2121" s="55">
        <f>IF(OR(T2121="",I2121&lt;T2121),"",IFERROR(AF2121/-(R2121/IF(G2121="",I2121,G2121)-1),""))</f>
        <v/>
      </c>
      <c r="AH2121" s="94" t="n"/>
      <c r="AI2121" s="94" t="n"/>
      <c r="AJ2121" s="94" t="n"/>
      <c r="AK2121" s="94" t="n"/>
      <c r="AL2121" s="84" t="n"/>
    </row>
    <row r="2122">
      <c r="A2122" s="64" t="n"/>
      <c r="B2122" s="65" t="n"/>
      <c r="C2122" s="66" t="n"/>
      <c r="D2122" s="67" t="n"/>
      <c r="E2122" s="68" t="n"/>
      <c r="F2122" s="47">
        <f>IF(A2122="","",IF(MIN(H2122,MAX(J2122:K2122))=0,"",MIN(H2122,MAX(J2122:K2122))))</f>
        <v/>
      </c>
      <c r="G2122" s="74" t="n"/>
      <c r="H2122" s="49">
        <f>IF(M2122="","",IFERROR(ROUND(AVERAGE(T2122+M2122*{7,8,9,10,11})/1.21,4),""))</f>
        <v/>
      </c>
      <c r="I2122" s="76" t="n"/>
      <c r="J2122" s="77" t="n"/>
      <c r="K2122" s="74" t="n"/>
      <c r="L2122" s="78" t="n"/>
      <c r="M2122" s="77" t="n"/>
      <c r="N2122" s="53">
        <f>IF(M2122="","",IFERROR(M2122/I2122,""))</f>
        <v/>
      </c>
      <c r="O2122" s="50">
        <f>IF(A2122="","",IFERROR((IF(G2122="",I2122,G2122)-T2122)/M2122,""))</f>
        <v/>
      </c>
      <c r="P2122" s="50">
        <f>IFERROR((I2122/T2122-1)/N2122,"")</f>
        <v/>
      </c>
      <c r="Q2122" s="46">
        <f>IF(OR(T2122="",I2122&lt;T2122),"",IFERROR(R2122/IF(G2122="",I2122,G2122)-1,""))</f>
        <v/>
      </c>
      <c r="R2122" s="48">
        <f>IF($M2122="","",MAX(IF($G2122="",$I2122,$G2122)*(1/1.1),IF($G2122="",$I2122,$G2122)+(R$2*$M2122)))</f>
        <v/>
      </c>
      <c r="S2122" s="49">
        <f>IF($M2122="","",MAX(IF($G2122="",$I2122,$G2122)*(1/1.1),IF($G2122="",$I2122,$G2122)+(S$2*$M2122)))</f>
        <v/>
      </c>
      <c r="T2122" s="82" t="n"/>
      <c r="U2122" s="47">
        <f>IF(OR($M2122="",$T2122=""),"",$T2122+(U$2*$M2122))</f>
        <v/>
      </c>
      <c r="V2122" s="48">
        <f>IF(OR($M2122="",$T2122=""),"",$T2122+(V$2*$M2122))</f>
        <v/>
      </c>
      <c r="W2122" s="48">
        <f>IF(OR($M2122="",$T2122=""),"",$T2122+(W$2*$M2122))</f>
        <v/>
      </c>
      <c r="X2122" s="49">
        <f>IF(OR($M2122="",$T2122=""),"",$T2122+(X$2*$M2122))</f>
        <v/>
      </c>
      <c r="Y2122" s="47">
        <f>IF(OR($M2122="",$T2122=""),"",$T2122+(Y$2*$M2122))</f>
        <v/>
      </c>
      <c r="Z2122" s="49">
        <f>IF(OR($M2122="",$T2122=""),"",$T2122+(Z$2*$M2122))</f>
        <v/>
      </c>
      <c r="AA2122" s="51">
        <f>IF(OR($M2122="",$T2122=""),"",$T2122+(AA$2*$M2122))</f>
        <v/>
      </c>
      <c r="AB2122" s="48">
        <f>IF(OR($M2122="",$T2122=""),"",$T2122+(AB$2*$M2122))</f>
        <v/>
      </c>
      <c r="AC2122" s="48">
        <f>IF(OR($M2122="",$T2122=""),"",$T2122+(AC$2*$M2122))</f>
        <v/>
      </c>
      <c r="AD2122" s="48">
        <f>IF(OR($M2122="",$T2122=""),"",$T2122+(AD$2*$M2122))</f>
        <v/>
      </c>
      <c r="AE2122" s="49">
        <f>IF(OR($M2122="",$T2122=""),"",$T2122+(AE$2*$M2122))</f>
        <v/>
      </c>
      <c r="AF2122" s="52">
        <f>IF(OR(T2122="",I2122&lt;T2122),"",IFERROR(AVERAGE(T2122+M2122*{7,8,9,10,11})/IF(G2122="",I2122,G2122)-1,""))</f>
        <v/>
      </c>
      <c r="AG2122" s="55">
        <f>IF(OR(T2122="",I2122&lt;T2122),"",IFERROR(AF2122/-(R2122/IF(G2122="",I2122,G2122)-1),""))</f>
        <v/>
      </c>
      <c r="AH2122" s="94" t="n"/>
      <c r="AI2122" s="94" t="n"/>
      <c r="AJ2122" s="94" t="n"/>
      <c r="AK2122" s="94" t="n"/>
      <c r="AL2122" s="84" t="n"/>
    </row>
    <row r="2123">
      <c r="A2123" s="64" t="n"/>
      <c r="B2123" s="65" t="n"/>
      <c r="C2123" s="66" t="n"/>
      <c r="D2123" s="67" t="n"/>
      <c r="E2123" s="68" t="n"/>
      <c r="F2123" s="47">
        <f>IF(A2123="","",IF(MIN(H2123,MAX(J2123:K2123))=0,"",MIN(H2123,MAX(J2123:K2123))))</f>
        <v/>
      </c>
      <c r="G2123" s="74" t="n"/>
      <c r="H2123" s="49">
        <f>IF(M2123="","",IFERROR(ROUND(AVERAGE(T2123+M2123*{7,8,9,10,11})/1.21,4),""))</f>
        <v/>
      </c>
      <c r="I2123" s="76" t="n"/>
      <c r="J2123" s="77" t="n"/>
      <c r="K2123" s="74" t="n"/>
      <c r="L2123" s="78" t="n"/>
      <c r="M2123" s="77" t="n"/>
      <c r="N2123" s="53">
        <f>IF(M2123="","",IFERROR(M2123/I2123,""))</f>
        <v/>
      </c>
      <c r="O2123" s="50">
        <f>IF(A2123="","",IFERROR((IF(G2123="",I2123,G2123)-T2123)/M2123,""))</f>
        <v/>
      </c>
      <c r="P2123" s="50">
        <f>IFERROR((I2123/T2123-1)/N2123,"")</f>
        <v/>
      </c>
      <c r="Q2123" s="46">
        <f>IF(OR(T2123="",I2123&lt;T2123),"",IFERROR(R2123/IF(G2123="",I2123,G2123)-1,""))</f>
        <v/>
      </c>
      <c r="R2123" s="48">
        <f>IF($M2123="","",MAX(IF($G2123="",$I2123,$G2123)*(1/1.1),IF($G2123="",$I2123,$G2123)+(R$2*$M2123)))</f>
        <v/>
      </c>
      <c r="S2123" s="49">
        <f>IF($M2123="","",MAX(IF($G2123="",$I2123,$G2123)*(1/1.1),IF($G2123="",$I2123,$G2123)+(S$2*$M2123)))</f>
        <v/>
      </c>
      <c r="T2123" s="82" t="n"/>
      <c r="U2123" s="47">
        <f>IF(OR($M2123="",$T2123=""),"",$T2123+(U$2*$M2123))</f>
        <v/>
      </c>
      <c r="V2123" s="48">
        <f>IF(OR($M2123="",$T2123=""),"",$T2123+(V$2*$M2123))</f>
        <v/>
      </c>
      <c r="W2123" s="48">
        <f>IF(OR($M2123="",$T2123=""),"",$T2123+(W$2*$M2123))</f>
        <v/>
      </c>
      <c r="X2123" s="49">
        <f>IF(OR($M2123="",$T2123=""),"",$T2123+(X$2*$M2123))</f>
        <v/>
      </c>
      <c r="Y2123" s="47">
        <f>IF(OR($M2123="",$T2123=""),"",$T2123+(Y$2*$M2123))</f>
        <v/>
      </c>
      <c r="Z2123" s="49">
        <f>IF(OR($M2123="",$T2123=""),"",$T2123+(Z$2*$M2123))</f>
        <v/>
      </c>
      <c r="AA2123" s="51">
        <f>IF(OR($M2123="",$T2123=""),"",$T2123+(AA$2*$M2123))</f>
        <v/>
      </c>
      <c r="AB2123" s="48">
        <f>IF(OR($M2123="",$T2123=""),"",$T2123+(AB$2*$M2123))</f>
        <v/>
      </c>
      <c r="AC2123" s="48">
        <f>IF(OR($M2123="",$T2123=""),"",$T2123+(AC$2*$M2123))</f>
        <v/>
      </c>
      <c r="AD2123" s="48">
        <f>IF(OR($M2123="",$T2123=""),"",$T2123+(AD$2*$M2123))</f>
        <v/>
      </c>
      <c r="AE2123" s="49">
        <f>IF(OR($M2123="",$T2123=""),"",$T2123+(AE$2*$M2123))</f>
        <v/>
      </c>
      <c r="AF2123" s="52">
        <f>IF(OR(T2123="",I2123&lt;T2123),"",IFERROR(AVERAGE(T2123+M2123*{7,8,9,10,11})/IF(G2123="",I2123,G2123)-1,""))</f>
        <v/>
      </c>
      <c r="AG2123" s="55">
        <f>IF(OR(T2123="",I2123&lt;T2123),"",IFERROR(AF2123/-(R2123/IF(G2123="",I2123,G2123)-1),""))</f>
        <v/>
      </c>
      <c r="AH2123" s="94" t="n"/>
      <c r="AI2123" s="94" t="n"/>
      <c r="AJ2123" s="94" t="n"/>
      <c r="AK2123" s="94" t="n"/>
      <c r="AL2123" s="84" t="n"/>
    </row>
    <row r="2124">
      <c r="A2124" s="64" t="n"/>
      <c r="B2124" s="65" t="n"/>
      <c r="C2124" s="66" t="n"/>
      <c r="D2124" s="67" t="n"/>
      <c r="E2124" s="68" t="n"/>
      <c r="F2124" s="47">
        <f>IF(A2124="","",IF(MIN(H2124,MAX(J2124:K2124))=0,"",MIN(H2124,MAX(J2124:K2124))))</f>
        <v/>
      </c>
      <c r="G2124" s="74" t="n"/>
      <c r="H2124" s="49">
        <f>IF(M2124="","",IFERROR(ROUND(AVERAGE(T2124+M2124*{7,8,9,10,11})/1.21,4),""))</f>
        <v/>
      </c>
      <c r="I2124" s="76" t="n"/>
      <c r="J2124" s="77" t="n"/>
      <c r="K2124" s="74" t="n"/>
      <c r="L2124" s="78" t="n"/>
      <c r="M2124" s="77" t="n"/>
      <c r="N2124" s="53">
        <f>IF(M2124="","",IFERROR(M2124/I2124,""))</f>
        <v/>
      </c>
      <c r="O2124" s="50">
        <f>IF(A2124="","",IFERROR((IF(G2124="",I2124,G2124)-T2124)/M2124,""))</f>
        <v/>
      </c>
      <c r="P2124" s="50">
        <f>IFERROR((I2124/T2124-1)/N2124,"")</f>
        <v/>
      </c>
      <c r="Q2124" s="46">
        <f>IF(OR(T2124="",I2124&lt;T2124),"",IFERROR(R2124/IF(G2124="",I2124,G2124)-1,""))</f>
        <v/>
      </c>
      <c r="R2124" s="48">
        <f>IF($M2124="","",MAX(IF($G2124="",$I2124,$G2124)*(1/1.1),IF($G2124="",$I2124,$G2124)+(R$2*$M2124)))</f>
        <v/>
      </c>
      <c r="S2124" s="49">
        <f>IF($M2124="","",MAX(IF($G2124="",$I2124,$G2124)*(1/1.1),IF($G2124="",$I2124,$G2124)+(S$2*$M2124)))</f>
        <v/>
      </c>
      <c r="T2124" s="82" t="n"/>
      <c r="U2124" s="47">
        <f>IF(OR($M2124="",$T2124=""),"",$T2124+(U$2*$M2124))</f>
        <v/>
      </c>
      <c r="V2124" s="48">
        <f>IF(OR($M2124="",$T2124=""),"",$T2124+(V$2*$M2124))</f>
        <v/>
      </c>
      <c r="W2124" s="48">
        <f>IF(OR($M2124="",$T2124=""),"",$T2124+(W$2*$M2124))</f>
        <v/>
      </c>
      <c r="X2124" s="49">
        <f>IF(OR($M2124="",$T2124=""),"",$T2124+(X$2*$M2124))</f>
        <v/>
      </c>
      <c r="Y2124" s="47">
        <f>IF(OR($M2124="",$T2124=""),"",$T2124+(Y$2*$M2124))</f>
        <v/>
      </c>
      <c r="Z2124" s="49">
        <f>IF(OR($M2124="",$T2124=""),"",$T2124+(Z$2*$M2124))</f>
        <v/>
      </c>
      <c r="AA2124" s="51">
        <f>IF(OR($M2124="",$T2124=""),"",$T2124+(AA$2*$M2124))</f>
        <v/>
      </c>
      <c r="AB2124" s="48">
        <f>IF(OR($M2124="",$T2124=""),"",$T2124+(AB$2*$M2124))</f>
        <v/>
      </c>
      <c r="AC2124" s="48">
        <f>IF(OR($M2124="",$T2124=""),"",$T2124+(AC$2*$M2124))</f>
        <v/>
      </c>
      <c r="AD2124" s="48">
        <f>IF(OR($M2124="",$T2124=""),"",$T2124+(AD$2*$M2124))</f>
        <v/>
      </c>
      <c r="AE2124" s="49">
        <f>IF(OR($M2124="",$T2124=""),"",$T2124+(AE$2*$M2124))</f>
        <v/>
      </c>
      <c r="AF2124" s="52">
        <f>IF(OR(T2124="",I2124&lt;T2124),"",IFERROR(AVERAGE(T2124+M2124*{7,8,9,10,11})/IF(G2124="",I2124,G2124)-1,""))</f>
        <v/>
      </c>
      <c r="AG2124" s="55">
        <f>IF(OR(T2124="",I2124&lt;T2124),"",IFERROR(AF2124/-(R2124/IF(G2124="",I2124,G2124)-1),""))</f>
        <v/>
      </c>
      <c r="AH2124" s="94" t="n"/>
      <c r="AI2124" s="94" t="n"/>
      <c r="AJ2124" s="94" t="n"/>
      <c r="AK2124" s="94" t="n"/>
      <c r="AL2124" s="84" t="n"/>
    </row>
    <row r="2125">
      <c r="A2125" s="64" t="n"/>
      <c r="B2125" s="65" t="n"/>
      <c r="C2125" s="66" t="n"/>
      <c r="D2125" s="67" t="n"/>
      <c r="E2125" s="68" t="n"/>
      <c r="F2125" s="47">
        <f>IF(A2125="","",IF(MIN(H2125,MAX(J2125:K2125))=0,"",MIN(H2125,MAX(J2125:K2125))))</f>
        <v/>
      </c>
      <c r="G2125" s="74" t="n"/>
      <c r="H2125" s="49">
        <f>IF(M2125="","",IFERROR(ROUND(AVERAGE(T2125+M2125*{7,8,9,10,11})/1.21,4),""))</f>
        <v/>
      </c>
      <c r="I2125" s="76" t="n"/>
      <c r="J2125" s="77" t="n"/>
      <c r="K2125" s="74" t="n"/>
      <c r="L2125" s="78" t="n"/>
      <c r="M2125" s="77" t="n"/>
      <c r="N2125" s="53">
        <f>IF(M2125="","",IFERROR(M2125/I2125,""))</f>
        <v/>
      </c>
      <c r="O2125" s="50">
        <f>IF(A2125="","",IFERROR((IF(G2125="",I2125,G2125)-T2125)/M2125,""))</f>
        <v/>
      </c>
      <c r="P2125" s="50">
        <f>IFERROR((I2125/T2125-1)/N2125,"")</f>
        <v/>
      </c>
      <c r="Q2125" s="46">
        <f>IF(OR(T2125="",I2125&lt;T2125),"",IFERROR(R2125/IF(G2125="",I2125,G2125)-1,""))</f>
        <v/>
      </c>
      <c r="R2125" s="48">
        <f>IF($M2125="","",MAX(IF($G2125="",$I2125,$G2125)*(1/1.1),IF($G2125="",$I2125,$G2125)+(R$2*$M2125)))</f>
        <v/>
      </c>
      <c r="S2125" s="49">
        <f>IF($M2125="","",MAX(IF($G2125="",$I2125,$G2125)*(1/1.1),IF($G2125="",$I2125,$G2125)+(S$2*$M2125)))</f>
        <v/>
      </c>
      <c r="T2125" s="82" t="n"/>
      <c r="U2125" s="47">
        <f>IF(OR($M2125="",$T2125=""),"",$T2125+(U$2*$M2125))</f>
        <v/>
      </c>
      <c r="V2125" s="48">
        <f>IF(OR($M2125="",$T2125=""),"",$T2125+(V$2*$M2125))</f>
        <v/>
      </c>
      <c r="W2125" s="48">
        <f>IF(OR($M2125="",$T2125=""),"",$T2125+(W$2*$M2125))</f>
        <v/>
      </c>
      <c r="X2125" s="49">
        <f>IF(OR($M2125="",$T2125=""),"",$T2125+(X$2*$M2125))</f>
        <v/>
      </c>
      <c r="Y2125" s="47">
        <f>IF(OR($M2125="",$T2125=""),"",$T2125+(Y$2*$M2125))</f>
        <v/>
      </c>
      <c r="Z2125" s="49">
        <f>IF(OR($M2125="",$T2125=""),"",$T2125+(Z$2*$M2125))</f>
        <v/>
      </c>
      <c r="AA2125" s="51">
        <f>IF(OR($M2125="",$T2125=""),"",$T2125+(AA$2*$M2125))</f>
        <v/>
      </c>
      <c r="AB2125" s="48">
        <f>IF(OR($M2125="",$T2125=""),"",$T2125+(AB$2*$M2125))</f>
        <v/>
      </c>
      <c r="AC2125" s="48">
        <f>IF(OR($M2125="",$T2125=""),"",$T2125+(AC$2*$M2125))</f>
        <v/>
      </c>
      <c r="AD2125" s="48">
        <f>IF(OR($M2125="",$T2125=""),"",$T2125+(AD$2*$M2125))</f>
        <v/>
      </c>
      <c r="AE2125" s="49">
        <f>IF(OR($M2125="",$T2125=""),"",$T2125+(AE$2*$M2125))</f>
        <v/>
      </c>
      <c r="AF2125" s="52">
        <f>IF(OR(T2125="",I2125&lt;T2125),"",IFERROR(AVERAGE(T2125+M2125*{7,8,9,10,11})/IF(G2125="",I2125,G2125)-1,""))</f>
        <v/>
      </c>
      <c r="AG2125" s="55">
        <f>IF(OR(T2125="",I2125&lt;T2125),"",IFERROR(AF2125/-(R2125/IF(G2125="",I2125,G2125)-1),""))</f>
        <v/>
      </c>
      <c r="AH2125" s="94" t="n"/>
      <c r="AI2125" s="94" t="n"/>
      <c r="AJ2125" s="94" t="n"/>
      <c r="AK2125" s="94" t="n"/>
      <c r="AL2125" s="84" t="n"/>
    </row>
    <row r="2126">
      <c r="A2126" s="64" t="n"/>
      <c r="B2126" s="65" t="n"/>
      <c r="C2126" s="66" t="n"/>
      <c r="D2126" s="67" t="n"/>
      <c r="E2126" s="68" t="n"/>
      <c r="F2126" s="47">
        <f>IF(A2126="","",IF(MIN(H2126,MAX(J2126:K2126))=0,"",MIN(H2126,MAX(J2126:K2126))))</f>
        <v/>
      </c>
      <c r="G2126" s="74" t="n"/>
      <c r="H2126" s="49">
        <f>IF(M2126="","",IFERROR(ROUND(AVERAGE(T2126+M2126*{7,8,9,10,11})/1.21,4),""))</f>
        <v/>
      </c>
      <c r="I2126" s="76" t="n"/>
      <c r="J2126" s="77" t="n"/>
      <c r="K2126" s="74" t="n"/>
      <c r="L2126" s="78" t="n"/>
      <c r="M2126" s="77" t="n"/>
      <c r="N2126" s="53">
        <f>IF(M2126="","",IFERROR(M2126/I2126,""))</f>
        <v/>
      </c>
      <c r="O2126" s="50">
        <f>IF(A2126="","",IFERROR((IF(G2126="",I2126,G2126)-T2126)/M2126,""))</f>
        <v/>
      </c>
      <c r="P2126" s="50">
        <f>IFERROR((I2126/T2126-1)/N2126,"")</f>
        <v/>
      </c>
      <c r="Q2126" s="46">
        <f>IF(OR(T2126="",I2126&lt;T2126),"",IFERROR(R2126/IF(G2126="",I2126,G2126)-1,""))</f>
        <v/>
      </c>
      <c r="R2126" s="48">
        <f>IF($M2126="","",MAX(IF($G2126="",$I2126,$G2126)*(1/1.1),IF($G2126="",$I2126,$G2126)+(R$2*$M2126)))</f>
        <v/>
      </c>
      <c r="S2126" s="49">
        <f>IF($M2126="","",MAX(IF($G2126="",$I2126,$G2126)*(1/1.1),IF($G2126="",$I2126,$G2126)+(S$2*$M2126)))</f>
        <v/>
      </c>
      <c r="T2126" s="82" t="n"/>
      <c r="U2126" s="47">
        <f>IF(OR($M2126="",$T2126=""),"",$T2126+(U$2*$M2126))</f>
        <v/>
      </c>
      <c r="V2126" s="48">
        <f>IF(OR($M2126="",$T2126=""),"",$T2126+(V$2*$M2126))</f>
        <v/>
      </c>
      <c r="W2126" s="48">
        <f>IF(OR($M2126="",$T2126=""),"",$T2126+(W$2*$M2126))</f>
        <v/>
      </c>
      <c r="X2126" s="49">
        <f>IF(OR($M2126="",$T2126=""),"",$T2126+(X$2*$M2126))</f>
        <v/>
      </c>
      <c r="Y2126" s="47">
        <f>IF(OR($M2126="",$T2126=""),"",$T2126+(Y$2*$M2126))</f>
        <v/>
      </c>
      <c r="Z2126" s="49">
        <f>IF(OR($M2126="",$T2126=""),"",$T2126+(Z$2*$M2126))</f>
        <v/>
      </c>
      <c r="AA2126" s="51">
        <f>IF(OR($M2126="",$T2126=""),"",$T2126+(AA$2*$M2126))</f>
        <v/>
      </c>
      <c r="AB2126" s="48">
        <f>IF(OR($M2126="",$T2126=""),"",$T2126+(AB$2*$M2126))</f>
        <v/>
      </c>
      <c r="AC2126" s="48">
        <f>IF(OR($M2126="",$T2126=""),"",$T2126+(AC$2*$M2126))</f>
        <v/>
      </c>
      <c r="AD2126" s="48">
        <f>IF(OR($M2126="",$T2126=""),"",$T2126+(AD$2*$M2126))</f>
        <v/>
      </c>
      <c r="AE2126" s="49">
        <f>IF(OR($M2126="",$T2126=""),"",$T2126+(AE$2*$M2126))</f>
        <v/>
      </c>
      <c r="AF2126" s="52">
        <f>IF(OR(T2126="",I2126&lt;T2126),"",IFERROR(AVERAGE(T2126+M2126*{7,8,9,10,11})/IF(G2126="",I2126,G2126)-1,""))</f>
        <v/>
      </c>
      <c r="AG2126" s="55">
        <f>IF(OR(T2126="",I2126&lt;T2126),"",IFERROR(AF2126/-(R2126/IF(G2126="",I2126,G2126)-1),""))</f>
        <v/>
      </c>
      <c r="AH2126" s="94" t="n"/>
      <c r="AI2126" s="94" t="n"/>
      <c r="AJ2126" s="94" t="n"/>
      <c r="AK2126" s="94" t="n"/>
      <c r="AL2126" s="84" t="n"/>
    </row>
    <row r="2127">
      <c r="A2127" s="64" t="n"/>
      <c r="B2127" s="65" t="n"/>
      <c r="C2127" s="66" t="n"/>
      <c r="D2127" s="67" t="n"/>
      <c r="E2127" s="68" t="n"/>
      <c r="F2127" s="47">
        <f>IF(A2127="","",IF(MIN(H2127,MAX(J2127:K2127))=0,"",MIN(H2127,MAX(J2127:K2127))))</f>
        <v/>
      </c>
      <c r="G2127" s="74" t="n"/>
      <c r="H2127" s="49">
        <f>IF(M2127="","",IFERROR(ROUND(AVERAGE(T2127+M2127*{7,8,9,10,11})/1.21,4),""))</f>
        <v/>
      </c>
      <c r="I2127" s="76" t="n"/>
      <c r="J2127" s="77" t="n"/>
      <c r="K2127" s="74" t="n"/>
      <c r="L2127" s="78" t="n"/>
      <c r="M2127" s="77" t="n"/>
      <c r="N2127" s="53">
        <f>IF(M2127="","",IFERROR(M2127/I2127,""))</f>
        <v/>
      </c>
      <c r="O2127" s="50">
        <f>IF(A2127="","",IFERROR((IF(G2127="",I2127,G2127)-T2127)/M2127,""))</f>
        <v/>
      </c>
      <c r="P2127" s="50">
        <f>IFERROR((I2127/T2127-1)/N2127,"")</f>
        <v/>
      </c>
      <c r="Q2127" s="46">
        <f>IF(OR(T2127="",I2127&lt;T2127),"",IFERROR(R2127/IF(G2127="",I2127,G2127)-1,""))</f>
        <v/>
      </c>
      <c r="R2127" s="48">
        <f>IF($M2127="","",MAX(IF($G2127="",$I2127,$G2127)*(1/1.1),IF($G2127="",$I2127,$G2127)+(R$2*$M2127)))</f>
        <v/>
      </c>
      <c r="S2127" s="49">
        <f>IF($M2127="","",MAX(IF($G2127="",$I2127,$G2127)*(1/1.1),IF($G2127="",$I2127,$G2127)+(S$2*$M2127)))</f>
        <v/>
      </c>
      <c r="T2127" s="82" t="n"/>
      <c r="U2127" s="47">
        <f>IF(OR($M2127="",$T2127=""),"",$T2127+(U$2*$M2127))</f>
        <v/>
      </c>
      <c r="V2127" s="48">
        <f>IF(OR($M2127="",$T2127=""),"",$T2127+(V$2*$M2127))</f>
        <v/>
      </c>
      <c r="W2127" s="48">
        <f>IF(OR($M2127="",$T2127=""),"",$T2127+(W$2*$M2127))</f>
        <v/>
      </c>
      <c r="X2127" s="49">
        <f>IF(OR($M2127="",$T2127=""),"",$T2127+(X$2*$M2127))</f>
        <v/>
      </c>
      <c r="Y2127" s="47">
        <f>IF(OR($M2127="",$T2127=""),"",$T2127+(Y$2*$M2127))</f>
        <v/>
      </c>
      <c r="Z2127" s="49">
        <f>IF(OR($M2127="",$T2127=""),"",$T2127+(Z$2*$M2127))</f>
        <v/>
      </c>
      <c r="AA2127" s="51">
        <f>IF(OR($M2127="",$T2127=""),"",$T2127+(AA$2*$M2127))</f>
        <v/>
      </c>
      <c r="AB2127" s="48">
        <f>IF(OR($M2127="",$T2127=""),"",$T2127+(AB$2*$M2127))</f>
        <v/>
      </c>
      <c r="AC2127" s="48">
        <f>IF(OR($M2127="",$T2127=""),"",$T2127+(AC$2*$M2127))</f>
        <v/>
      </c>
      <c r="AD2127" s="48">
        <f>IF(OR($M2127="",$T2127=""),"",$T2127+(AD$2*$M2127))</f>
        <v/>
      </c>
      <c r="AE2127" s="49">
        <f>IF(OR($M2127="",$T2127=""),"",$T2127+(AE$2*$M2127))</f>
        <v/>
      </c>
      <c r="AF2127" s="52">
        <f>IF(OR(T2127="",I2127&lt;T2127),"",IFERROR(AVERAGE(T2127+M2127*{7,8,9,10,11})/IF(G2127="",I2127,G2127)-1,""))</f>
        <v/>
      </c>
      <c r="AG2127" s="55">
        <f>IF(OR(T2127="",I2127&lt;T2127),"",IFERROR(AF2127/-(R2127/IF(G2127="",I2127,G2127)-1),""))</f>
        <v/>
      </c>
      <c r="AH2127" s="94" t="n"/>
      <c r="AI2127" s="94" t="n"/>
      <c r="AJ2127" s="94" t="n"/>
      <c r="AK2127" s="94" t="n"/>
      <c r="AL2127" s="84" t="n"/>
    </row>
    <row r="2128">
      <c r="A2128" s="64" t="n"/>
      <c r="B2128" s="65" t="n"/>
      <c r="C2128" s="66" t="n"/>
      <c r="D2128" s="67" t="n"/>
      <c r="E2128" s="68" t="n"/>
      <c r="F2128" s="47">
        <f>IF(A2128="","",IF(MIN(H2128,MAX(J2128:K2128))=0,"",MIN(H2128,MAX(J2128:K2128))))</f>
        <v/>
      </c>
      <c r="G2128" s="74" t="n"/>
      <c r="H2128" s="49">
        <f>IF(M2128="","",IFERROR(ROUND(AVERAGE(T2128+M2128*{7,8,9,10,11})/1.21,4),""))</f>
        <v/>
      </c>
      <c r="I2128" s="76" t="n"/>
      <c r="J2128" s="77" t="n"/>
      <c r="K2128" s="74" t="n"/>
      <c r="L2128" s="78" t="n"/>
      <c r="M2128" s="77" t="n"/>
      <c r="N2128" s="53">
        <f>IF(M2128="","",IFERROR(M2128/I2128,""))</f>
        <v/>
      </c>
      <c r="O2128" s="50">
        <f>IF(A2128="","",IFERROR((IF(G2128="",I2128,G2128)-T2128)/M2128,""))</f>
        <v/>
      </c>
      <c r="P2128" s="50">
        <f>IFERROR((I2128/T2128-1)/N2128,"")</f>
        <v/>
      </c>
      <c r="Q2128" s="46">
        <f>IF(OR(T2128="",I2128&lt;T2128),"",IFERROR(R2128/IF(G2128="",I2128,G2128)-1,""))</f>
        <v/>
      </c>
      <c r="R2128" s="48">
        <f>IF($M2128="","",MAX(IF($G2128="",$I2128,$G2128)*(1/1.1),IF($G2128="",$I2128,$G2128)+(R$2*$M2128)))</f>
        <v/>
      </c>
      <c r="S2128" s="49">
        <f>IF($M2128="","",MAX(IF($G2128="",$I2128,$G2128)*(1/1.1),IF($G2128="",$I2128,$G2128)+(S$2*$M2128)))</f>
        <v/>
      </c>
      <c r="T2128" s="82" t="n"/>
      <c r="U2128" s="47">
        <f>IF(OR($M2128="",$T2128=""),"",$T2128+(U$2*$M2128))</f>
        <v/>
      </c>
      <c r="V2128" s="48">
        <f>IF(OR($M2128="",$T2128=""),"",$T2128+(V$2*$M2128))</f>
        <v/>
      </c>
      <c r="W2128" s="48">
        <f>IF(OR($M2128="",$T2128=""),"",$T2128+(W$2*$M2128))</f>
        <v/>
      </c>
      <c r="X2128" s="49">
        <f>IF(OR($M2128="",$T2128=""),"",$T2128+(X$2*$M2128))</f>
        <v/>
      </c>
      <c r="Y2128" s="47">
        <f>IF(OR($M2128="",$T2128=""),"",$T2128+(Y$2*$M2128))</f>
        <v/>
      </c>
      <c r="Z2128" s="49">
        <f>IF(OR($M2128="",$T2128=""),"",$T2128+(Z$2*$M2128))</f>
        <v/>
      </c>
      <c r="AA2128" s="51">
        <f>IF(OR($M2128="",$T2128=""),"",$T2128+(AA$2*$M2128))</f>
        <v/>
      </c>
      <c r="AB2128" s="48">
        <f>IF(OR($M2128="",$T2128=""),"",$T2128+(AB$2*$M2128))</f>
        <v/>
      </c>
      <c r="AC2128" s="48">
        <f>IF(OR($M2128="",$T2128=""),"",$T2128+(AC$2*$M2128))</f>
        <v/>
      </c>
      <c r="AD2128" s="48">
        <f>IF(OR($M2128="",$T2128=""),"",$T2128+(AD$2*$M2128))</f>
        <v/>
      </c>
      <c r="AE2128" s="49">
        <f>IF(OR($M2128="",$T2128=""),"",$T2128+(AE$2*$M2128))</f>
        <v/>
      </c>
      <c r="AF2128" s="52">
        <f>IF(OR(T2128="",I2128&lt;T2128),"",IFERROR(AVERAGE(T2128+M2128*{7,8,9,10,11})/IF(G2128="",I2128,G2128)-1,""))</f>
        <v/>
      </c>
      <c r="AG2128" s="55">
        <f>IF(OR(T2128="",I2128&lt;T2128),"",IFERROR(AF2128/-(R2128/IF(G2128="",I2128,G2128)-1),""))</f>
        <v/>
      </c>
      <c r="AH2128" s="94" t="n"/>
      <c r="AI2128" s="94" t="n"/>
      <c r="AJ2128" s="94" t="n"/>
      <c r="AK2128" s="94" t="n"/>
      <c r="AL2128" s="84" t="n"/>
    </row>
    <row r="2129">
      <c r="A2129" s="64" t="n"/>
      <c r="B2129" s="65" t="n"/>
      <c r="C2129" s="66" t="n"/>
      <c r="D2129" s="67" t="n"/>
      <c r="E2129" s="68" t="n"/>
      <c r="F2129" s="47">
        <f>IF(A2129="","",IF(MIN(H2129,MAX(J2129:K2129))=0,"",MIN(H2129,MAX(J2129:K2129))))</f>
        <v/>
      </c>
      <c r="G2129" s="74" t="n"/>
      <c r="H2129" s="49">
        <f>IF(M2129="","",IFERROR(ROUND(AVERAGE(T2129+M2129*{7,8,9,10,11})/1.21,4),""))</f>
        <v/>
      </c>
      <c r="I2129" s="76" t="n"/>
      <c r="J2129" s="77" t="n"/>
      <c r="K2129" s="74" t="n"/>
      <c r="L2129" s="78" t="n"/>
      <c r="M2129" s="77" t="n"/>
      <c r="N2129" s="53">
        <f>IF(M2129="","",IFERROR(M2129/I2129,""))</f>
        <v/>
      </c>
      <c r="O2129" s="50">
        <f>IF(A2129="","",IFERROR((IF(G2129="",I2129,G2129)-T2129)/M2129,""))</f>
        <v/>
      </c>
      <c r="P2129" s="50">
        <f>IFERROR((I2129/T2129-1)/N2129,"")</f>
        <v/>
      </c>
      <c r="Q2129" s="46">
        <f>IF(OR(T2129="",I2129&lt;T2129),"",IFERROR(R2129/IF(G2129="",I2129,G2129)-1,""))</f>
        <v/>
      </c>
      <c r="R2129" s="48">
        <f>IF($M2129="","",MAX(IF($G2129="",$I2129,$G2129)*(1/1.1),IF($G2129="",$I2129,$G2129)+(R$2*$M2129)))</f>
        <v/>
      </c>
      <c r="S2129" s="49">
        <f>IF($M2129="","",MAX(IF($G2129="",$I2129,$G2129)*(1/1.1),IF($G2129="",$I2129,$G2129)+(S$2*$M2129)))</f>
        <v/>
      </c>
      <c r="T2129" s="82" t="n"/>
      <c r="U2129" s="47">
        <f>IF(OR($M2129="",$T2129=""),"",$T2129+(U$2*$M2129))</f>
        <v/>
      </c>
      <c r="V2129" s="48">
        <f>IF(OR($M2129="",$T2129=""),"",$T2129+(V$2*$M2129))</f>
        <v/>
      </c>
      <c r="W2129" s="48">
        <f>IF(OR($M2129="",$T2129=""),"",$T2129+(W$2*$M2129))</f>
        <v/>
      </c>
      <c r="X2129" s="49">
        <f>IF(OR($M2129="",$T2129=""),"",$T2129+(X$2*$M2129))</f>
        <v/>
      </c>
      <c r="Y2129" s="47">
        <f>IF(OR($M2129="",$T2129=""),"",$T2129+(Y$2*$M2129))</f>
        <v/>
      </c>
      <c r="Z2129" s="49">
        <f>IF(OR($M2129="",$T2129=""),"",$T2129+(Z$2*$M2129))</f>
        <v/>
      </c>
      <c r="AA2129" s="51">
        <f>IF(OR($M2129="",$T2129=""),"",$T2129+(AA$2*$M2129))</f>
        <v/>
      </c>
      <c r="AB2129" s="48">
        <f>IF(OR($M2129="",$T2129=""),"",$T2129+(AB$2*$M2129))</f>
        <v/>
      </c>
      <c r="AC2129" s="48">
        <f>IF(OR($M2129="",$T2129=""),"",$T2129+(AC$2*$M2129))</f>
        <v/>
      </c>
      <c r="AD2129" s="48">
        <f>IF(OR($M2129="",$T2129=""),"",$T2129+(AD$2*$M2129))</f>
        <v/>
      </c>
      <c r="AE2129" s="49">
        <f>IF(OR($M2129="",$T2129=""),"",$T2129+(AE$2*$M2129))</f>
        <v/>
      </c>
      <c r="AF2129" s="52">
        <f>IF(OR(T2129="",I2129&lt;T2129),"",IFERROR(AVERAGE(T2129+M2129*{7,8,9,10,11})/IF(G2129="",I2129,G2129)-1,""))</f>
        <v/>
      </c>
      <c r="AG2129" s="55">
        <f>IF(OR(T2129="",I2129&lt;T2129),"",IFERROR(AF2129/-(R2129/IF(G2129="",I2129,G2129)-1),""))</f>
        <v/>
      </c>
      <c r="AH2129" s="94" t="n"/>
      <c r="AI2129" s="94" t="n"/>
      <c r="AJ2129" s="94" t="n"/>
      <c r="AK2129" s="94" t="n"/>
      <c r="AL2129" s="84" t="n"/>
    </row>
    <row r="2130">
      <c r="A2130" s="64" t="n"/>
      <c r="B2130" s="65" t="n"/>
      <c r="C2130" s="66" t="n"/>
      <c r="D2130" s="67" t="n"/>
      <c r="E2130" s="68" t="n"/>
      <c r="F2130" s="47">
        <f>IF(A2130="","",IF(MIN(H2130,MAX(J2130:K2130))=0,"",MIN(H2130,MAX(J2130:K2130))))</f>
        <v/>
      </c>
      <c r="G2130" s="74" t="n"/>
      <c r="H2130" s="49">
        <f>IF(M2130="","",IFERROR(ROUND(AVERAGE(T2130+M2130*{7,8,9,10,11})/1.21,4),""))</f>
        <v/>
      </c>
      <c r="I2130" s="76" t="n"/>
      <c r="J2130" s="77" t="n"/>
      <c r="K2130" s="74" t="n"/>
      <c r="L2130" s="78" t="n"/>
      <c r="M2130" s="77" t="n"/>
      <c r="N2130" s="53">
        <f>IF(M2130="","",IFERROR(M2130/I2130,""))</f>
        <v/>
      </c>
      <c r="O2130" s="50">
        <f>IF(A2130="","",IFERROR((IF(G2130="",I2130,G2130)-T2130)/M2130,""))</f>
        <v/>
      </c>
      <c r="P2130" s="50">
        <f>IFERROR((I2130/T2130-1)/N2130,"")</f>
        <v/>
      </c>
      <c r="Q2130" s="46">
        <f>IF(OR(T2130="",I2130&lt;T2130),"",IFERROR(R2130/IF(G2130="",I2130,G2130)-1,""))</f>
        <v/>
      </c>
      <c r="R2130" s="48">
        <f>IF($M2130="","",MAX(IF($G2130="",$I2130,$G2130)*(1/1.1),IF($G2130="",$I2130,$G2130)+(R$2*$M2130)))</f>
        <v/>
      </c>
      <c r="S2130" s="49">
        <f>IF($M2130="","",MAX(IF($G2130="",$I2130,$G2130)*(1/1.1),IF($G2130="",$I2130,$G2130)+(S$2*$M2130)))</f>
        <v/>
      </c>
      <c r="T2130" s="82" t="n"/>
      <c r="U2130" s="47">
        <f>IF(OR($M2130="",$T2130=""),"",$T2130+(U$2*$M2130))</f>
        <v/>
      </c>
      <c r="V2130" s="48">
        <f>IF(OR($M2130="",$T2130=""),"",$T2130+(V$2*$M2130))</f>
        <v/>
      </c>
      <c r="W2130" s="48">
        <f>IF(OR($M2130="",$T2130=""),"",$T2130+(W$2*$M2130))</f>
        <v/>
      </c>
      <c r="X2130" s="49">
        <f>IF(OR($M2130="",$T2130=""),"",$T2130+(X$2*$M2130))</f>
        <v/>
      </c>
      <c r="Y2130" s="47">
        <f>IF(OR($M2130="",$T2130=""),"",$T2130+(Y$2*$M2130))</f>
        <v/>
      </c>
      <c r="Z2130" s="49">
        <f>IF(OR($M2130="",$T2130=""),"",$T2130+(Z$2*$M2130))</f>
        <v/>
      </c>
      <c r="AA2130" s="51">
        <f>IF(OR($M2130="",$T2130=""),"",$T2130+(AA$2*$M2130))</f>
        <v/>
      </c>
      <c r="AB2130" s="48">
        <f>IF(OR($M2130="",$T2130=""),"",$T2130+(AB$2*$M2130))</f>
        <v/>
      </c>
      <c r="AC2130" s="48">
        <f>IF(OR($M2130="",$T2130=""),"",$T2130+(AC$2*$M2130))</f>
        <v/>
      </c>
      <c r="AD2130" s="48">
        <f>IF(OR($M2130="",$T2130=""),"",$T2130+(AD$2*$M2130))</f>
        <v/>
      </c>
      <c r="AE2130" s="49">
        <f>IF(OR($M2130="",$T2130=""),"",$T2130+(AE$2*$M2130))</f>
        <v/>
      </c>
      <c r="AF2130" s="52">
        <f>IF(OR(T2130="",I2130&lt;T2130),"",IFERROR(AVERAGE(T2130+M2130*{7,8,9,10,11})/IF(G2130="",I2130,G2130)-1,""))</f>
        <v/>
      </c>
      <c r="AG2130" s="55">
        <f>IF(OR(T2130="",I2130&lt;T2130),"",IFERROR(AF2130/-(R2130/IF(G2130="",I2130,G2130)-1),""))</f>
        <v/>
      </c>
      <c r="AH2130" s="94" t="n"/>
      <c r="AI2130" s="94" t="n"/>
      <c r="AJ2130" s="94" t="n"/>
      <c r="AK2130" s="94" t="n"/>
      <c r="AL2130" s="84" t="n"/>
    </row>
    <row r="2131">
      <c r="A2131" s="64" t="n"/>
      <c r="B2131" s="65" t="n"/>
      <c r="C2131" s="66" t="n"/>
      <c r="D2131" s="67" t="n"/>
      <c r="E2131" s="68" t="n"/>
      <c r="F2131" s="47">
        <f>IF(A2131="","",IF(MIN(H2131,MAX(J2131:K2131))=0,"",MIN(H2131,MAX(J2131:K2131))))</f>
        <v/>
      </c>
      <c r="G2131" s="74" t="n"/>
      <c r="H2131" s="49">
        <f>IF(M2131="","",IFERROR(ROUND(AVERAGE(T2131+M2131*{7,8,9,10,11})/1.21,4),""))</f>
        <v/>
      </c>
      <c r="I2131" s="76" t="n"/>
      <c r="J2131" s="77" t="n"/>
      <c r="K2131" s="74" t="n"/>
      <c r="L2131" s="78" t="n"/>
      <c r="M2131" s="77" t="n"/>
      <c r="N2131" s="53">
        <f>IF(M2131="","",IFERROR(M2131/I2131,""))</f>
        <v/>
      </c>
      <c r="O2131" s="50">
        <f>IF(A2131="","",IFERROR((IF(G2131="",I2131,G2131)-T2131)/M2131,""))</f>
        <v/>
      </c>
      <c r="P2131" s="50">
        <f>IFERROR((I2131/T2131-1)/N2131,"")</f>
        <v/>
      </c>
      <c r="Q2131" s="46">
        <f>IF(OR(T2131="",I2131&lt;T2131),"",IFERROR(R2131/IF(G2131="",I2131,G2131)-1,""))</f>
        <v/>
      </c>
      <c r="R2131" s="48">
        <f>IF($M2131="","",MAX(IF($G2131="",$I2131,$G2131)*(1/1.1),IF($G2131="",$I2131,$G2131)+(R$2*$M2131)))</f>
        <v/>
      </c>
      <c r="S2131" s="49">
        <f>IF($M2131="","",MAX(IF($G2131="",$I2131,$G2131)*(1/1.1),IF($G2131="",$I2131,$G2131)+(S$2*$M2131)))</f>
        <v/>
      </c>
      <c r="T2131" s="82" t="n"/>
      <c r="U2131" s="47">
        <f>IF(OR($M2131="",$T2131=""),"",$T2131+(U$2*$M2131))</f>
        <v/>
      </c>
      <c r="V2131" s="48">
        <f>IF(OR($M2131="",$T2131=""),"",$T2131+(V$2*$M2131))</f>
        <v/>
      </c>
      <c r="W2131" s="48">
        <f>IF(OR($M2131="",$T2131=""),"",$T2131+(W$2*$M2131))</f>
        <v/>
      </c>
      <c r="X2131" s="49">
        <f>IF(OR($M2131="",$T2131=""),"",$T2131+(X$2*$M2131))</f>
        <v/>
      </c>
      <c r="Y2131" s="47">
        <f>IF(OR($M2131="",$T2131=""),"",$T2131+(Y$2*$M2131))</f>
        <v/>
      </c>
      <c r="Z2131" s="49">
        <f>IF(OR($M2131="",$T2131=""),"",$T2131+(Z$2*$M2131))</f>
        <v/>
      </c>
      <c r="AA2131" s="51">
        <f>IF(OR($M2131="",$T2131=""),"",$T2131+(AA$2*$M2131))</f>
        <v/>
      </c>
      <c r="AB2131" s="48">
        <f>IF(OR($M2131="",$T2131=""),"",$T2131+(AB$2*$M2131))</f>
        <v/>
      </c>
      <c r="AC2131" s="48">
        <f>IF(OR($M2131="",$T2131=""),"",$T2131+(AC$2*$M2131))</f>
        <v/>
      </c>
      <c r="AD2131" s="48">
        <f>IF(OR($M2131="",$T2131=""),"",$T2131+(AD$2*$M2131))</f>
        <v/>
      </c>
      <c r="AE2131" s="49">
        <f>IF(OR($M2131="",$T2131=""),"",$T2131+(AE$2*$M2131))</f>
        <v/>
      </c>
      <c r="AF2131" s="52">
        <f>IF(OR(T2131="",I2131&lt;T2131),"",IFERROR(AVERAGE(T2131+M2131*{7,8,9,10,11})/IF(G2131="",I2131,G2131)-1,""))</f>
        <v/>
      </c>
      <c r="AG2131" s="55">
        <f>IF(OR(T2131="",I2131&lt;T2131),"",IFERROR(AF2131/-(R2131/IF(G2131="",I2131,G2131)-1),""))</f>
        <v/>
      </c>
      <c r="AH2131" s="94" t="n"/>
      <c r="AI2131" s="94" t="n"/>
      <c r="AJ2131" s="94" t="n"/>
      <c r="AK2131" s="94" t="n"/>
      <c r="AL2131" s="84" t="n"/>
    </row>
    <row r="2132">
      <c r="A2132" s="64" t="n"/>
      <c r="B2132" s="65" t="n"/>
      <c r="C2132" s="66" t="n"/>
      <c r="D2132" s="67" t="n"/>
      <c r="E2132" s="68" t="n"/>
      <c r="F2132" s="47">
        <f>IF(A2132="","",IF(MIN(H2132,MAX(J2132:K2132))=0,"",MIN(H2132,MAX(J2132:K2132))))</f>
        <v/>
      </c>
      <c r="G2132" s="74" t="n"/>
      <c r="H2132" s="49">
        <f>IF(M2132="","",IFERROR(ROUND(AVERAGE(T2132+M2132*{7,8,9,10,11})/1.21,4),""))</f>
        <v/>
      </c>
      <c r="I2132" s="76" t="n"/>
      <c r="J2132" s="77" t="n"/>
      <c r="K2132" s="74" t="n"/>
      <c r="L2132" s="78" t="n"/>
      <c r="M2132" s="77" t="n"/>
      <c r="N2132" s="53">
        <f>IF(M2132="","",IFERROR(M2132/I2132,""))</f>
        <v/>
      </c>
      <c r="O2132" s="50">
        <f>IF(A2132="","",IFERROR((IF(G2132="",I2132,G2132)-T2132)/M2132,""))</f>
        <v/>
      </c>
      <c r="P2132" s="50">
        <f>IFERROR((I2132/T2132-1)/N2132,"")</f>
        <v/>
      </c>
      <c r="Q2132" s="46">
        <f>IF(OR(T2132="",I2132&lt;T2132),"",IFERROR(R2132/IF(G2132="",I2132,G2132)-1,""))</f>
        <v/>
      </c>
      <c r="R2132" s="48">
        <f>IF($M2132="","",MAX(IF($G2132="",$I2132,$G2132)*(1/1.1),IF($G2132="",$I2132,$G2132)+(R$2*$M2132)))</f>
        <v/>
      </c>
      <c r="S2132" s="49">
        <f>IF($M2132="","",MAX(IF($G2132="",$I2132,$G2132)*(1/1.1),IF($G2132="",$I2132,$G2132)+(S$2*$M2132)))</f>
        <v/>
      </c>
      <c r="T2132" s="82" t="n"/>
      <c r="U2132" s="47">
        <f>IF(OR($M2132="",$T2132=""),"",$T2132+(U$2*$M2132))</f>
        <v/>
      </c>
      <c r="V2132" s="48">
        <f>IF(OR($M2132="",$T2132=""),"",$T2132+(V$2*$M2132))</f>
        <v/>
      </c>
      <c r="W2132" s="48">
        <f>IF(OR($M2132="",$T2132=""),"",$T2132+(W$2*$M2132))</f>
        <v/>
      </c>
      <c r="X2132" s="49">
        <f>IF(OR($M2132="",$T2132=""),"",$T2132+(X$2*$M2132))</f>
        <v/>
      </c>
      <c r="Y2132" s="47">
        <f>IF(OR($M2132="",$T2132=""),"",$T2132+(Y$2*$M2132))</f>
        <v/>
      </c>
      <c r="Z2132" s="49">
        <f>IF(OR($M2132="",$T2132=""),"",$T2132+(Z$2*$M2132))</f>
        <v/>
      </c>
      <c r="AA2132" s="51">
        <f>IF(OR($M2132="",$T2132=""),"",$T2132+(AA$2*$M2132))</f>
        <v/>
      </c>
      <c r="AB2132" s="48">
        <f>IF(OR($M2132="",$T2132=""),"",$T2132+(AB$2*$M2132))</f>
        <v/>
      </c>
      <c r="AC2132" s="48">
        <f>IF(OR($M2132="",$T2132=""),"",$T2132+(AC$2*$M2132))</f>
        <v/>
      </c>
      <c r="AD2132" s="48">
        <f>IF(OR($M2132="",$T2132=""),"",$T2132+(AD$2*$M2132))</f>
        <v/>
      </c>
      <c r="AE2132" s="49">
        <f>IF(OR($M2132="",$T2132=""),"",$T2132+(AE$2*$M2132))</f>
        <v/>
      </c>
      <c r="AF2132" s="52">
        <f>IF(OR(T2132="",I2132&lt;T2132),"",IFERROR(AVERAGE(T2132+M2132*{7,8,9,10,11})/IF(G2132="",I2132,G2132)-1,""))</f>
        <v/>
      </c>
      <c r="AG2132" s="55">
        <f>IF(OR(T2132="",I2132&lt;T2132),"",IFERROR(AF2132/-(R2132/IF(G2132="",I2132,G2132)-1),""))</f>
        <v/>
      </c>
      <c r="AH2132" s="94" t="n"/>
      <c r="AI2132" s="94" t="n"/>
      <c r="AJ2132" s="94" t="n"/>
      <c r="AK2132" s="94" t="n"/>
      <c r="AL2132" s="84" t="n"/>
    </row>
    <row r="2133">
      <c r="A2133" s="64" t="n"/>
      <c r="B2133" s="65" t="n"/>
      <c r="C2133" s="66" t="n"/>
      <c r="D2133" s="67" t="n"/>
      <c r="E2133" s="68" t="n"/>
      <c r="F2133" s="47">
        <f>IF(A2133="","",IF(MIN(H2133,MAX(J2133:K2133))=0,"",MIN(H2133,MAX(J2133:K2133))))</f>
        <v/>
      </c>
      <c r="G2133" s="74" t="n"/>
      <c r="H2133" s="49">
        <f>IF(M2133="","",IFERROR(ROUND(AVERAGE(T2133+M2133*{7,8,9,10,11})/1.21,4),""))</f>
        <v/>
      </c>
      <c r="I2133" s="76" t="n"/>
      <c r="J2133" s="77" t="n"/>
      <c r="K2133" s="74" t="n"/>
      <c r="L2133" s="78" t="n"/>
      <c r="M2133" s="77" t="n"/>
      <c r="N2133" s="53">
        <f>IF(M2133="","",IFERROR(M2133/I2133,""))</f>
        <v/>
      </c>
      <c r="O2133" s="50">
        <f>IF(A2133="","",IFERROR((IF(G2133="",I2133,G2133)-T2133)/M2133,""))</f>
        <v/>
      </c>
      <c r="P2133" s="50">
        <f>IFERROR((I2133/T2133-1)/N2133,"")</f>
        <v/>
      </c>
      <c r="Q2133" s="46">
        <f>IF(OR(T2133="",I2133&lt;T2133),"",IFERROR(R2133/IF(G2133="",I2133,G2133)-1,""))</f>
        <v/>
      </c>
      <c r="R2133" s="48">
        <f>IF($M2133="","",MAX(IF($G2133="",$I2133,$G2133)*(1/1.1),IF($G2133="",$I2133,$G2133)+(R$2*$M2133)))</f>
        <v/>
      </c>
      <c r="S2133" s="49">
        <f>IF($M2133="","",MAX(IF($G2133="",$I2133,$G2133)*(1/1.1),IF($G2133="",$I2133,$G2133)+(S$2*$M2133)))</f>
        <v/>
      </c>
      <c r="T2133" s="82" t="n"/>
      <c r="U2133" s="47">
        <f>IF(OR($M2133="",$T2133=""),"",$T2133+(U$2*$M2133))</f>
        <v/>
      </c>
      <c r="V2133" s="48">
        <f>IF(OR($M2133="",$T2133=""),"",$T2133+(V$2*$M2133))</f>
        <v/>
      </c>
      <c r="W2133" s="48">
        <f>IF(OR($M2133="",$T2133=""),"",$T2133+(W$2*$M2133))</f>
        <v/>
      </c>
      <c r="X2133" s="49">
        <f>IF(OR($M2133="",$T2133=""),"",$T2133+(X$2*$M2133))</f>
        <v/>
      </c>
      <c r="Y2133" s="47">
        <f>IF(OR($M2133="",$T2133=""),"",$T2133+(Y$2*$M2133))</f>
        <v/>
      </c>
      <c r="Z2133" s="49">
        <f>IF(OR($M2133="",$T2133=""),"",$T2133+(Z$2*$M2133))</f>
        <v/>
      </c>
      <c r="AA2133" s="51">
        <f>IF(OR($M2133="",$T2133=""),"",$T2133+(AA$2*$M2133))</f>
        <v/>
      </c>
      <c r="AB2133" s="48">
        <f>IF(OR($M2133="",$T2133=""),"",$T2133+(AB$2*$M2133))</f>
        <v/>
      </c>
      <c r="AC2133" s="48">
        <f>IF(OR($M2133="",$T2133=""),"",$T2133+(AC$2*$M2133))</f>
        <v/>
      </c>
      <c r="AD2133" s="48">
        <f>IF(OR($M2133="",$T2133=""),"",$T2133+(AD$2*$M2133))</f>
        <v/>
      </c>
      <c r="AE2133" s="49">
        <f>IF(OR($M2133="",$T2133=""),"",$T2133+(AE$2*$M2133))</f>
        <v/>
      </c>
      <c r="AF2133" s="52">
        <f>IF(OR(T2133="",I2133&lt;T2133),"",IFERROR(AVERAGE(T2133+M2133*{7,8,9,10,11})/IF(G2133="",I2133,G2133)-1,""))</f>
        <v/>
      </c>
      <c r="AG2133" s="55">
        <f>IF(OR(T2133="",I2133&lt;T2133),"",IFERROR(AF2133/-(R2133/IF(G2133="",I2133,G2133)-1),""))</f>
        <v/>
      </c>
      <c r="AH2133" s="94" t="n"/>
      <c r="AI2133" s="94" t="n"/>
      <c r="AJ2133" s="94" t="n"/>
      <c r="AK2133" s="94" t="n"/>
      <c r="AL2133" s="84" t="n"/>
    </row>
    <row r="2134">
      <c r="A2134" s="64" t="n"/>
      <c r="B2134" s="65" t="n"/>
      <c r="C2134" s="66" t="n"/>
      <c r="D2134" s="67" t="n"/>
      <c r="E2134" s="68" t="n"/>
      <c r="F2134" s="47">
        <f>IF(A2134="","",IF(MIN(H2134,MAX(J2134:K2134))=0,"",MIN(H2134,MAX(J2134:K2134))))</f>
        <v/>
      </c>
      <c r="G2134" s="74" t="n"/>
      <c r="H2134" s="49">
        <f>IF(M2134="","",IFERROR(ROUND(AVERAGE(T2134+M2134*{7,8,9,10,11})/1.21,4),""))</f>
        <v/>
      </c>
      <c r="I2134" s="76" t="n"/>
      <c r="J2134" s="77" t="n"/>
      <c r="K2134" s="74" t="n"/>
      <c r="L2134" s="78" t="n"/>
      <c r="M2134" s="77" t="n"/>
      <c r="N2134" s="53">
        <f>IF(M2134="","",IFERROR(M2134/I2134,""))</f>
        <v/>
      </c>
      <c r="O2134" s="50">
        <f>IF(A2134="","",IFERROR((IF(G2134="",I2134,G2134)-T2134)/M2134,""))</f>
        <v/>
      </c>
      <c r="P2134" s="50">
        <f>IFERROR((I2134/T2134-1)/N2134,"")</f>
        <v/>
      </c>
      <c r="Q2134" s="46">
        <f>IF(OR(T2134="",I2134&lt;T2134),"",IFERROR(R2134/IF(G2134="",I2134,G2134)-1,""))</f>
        <v/>
      </c>
      <c r="R2134" s="48">
        <f>IF($M2134="","",MAX(IF($G2134="",$I2134,$G2134)*(1/1.1),IF($G2134="",$I2134,$G2134)+(R$2*$M2134)))</f>
        <v/>
      </c>
      <c r="S2134" s="49">
        <f>IF($M2134="","",MAX(IF($G2134="",$I2134,$G2134)*(1/1.1),IF($G2134="",$I2134,$G2134)+(S$2*$M2134)))</f>
        <v/>
      </c>
      <c r="T2134" s="82" t="n"/>
      <c r="U2134" s="47">
        <f>IF(OR($M2134="",$T2134=""),"",$T2134+(U$2*$M2134))</f>
        <v/>
      </c>
      <c r="V2134" s="48">
        <f>IF(OR($M2134="",$T2134=""),"",$T2134+(V$2*$M2134))</f>
        <v/>
      </c>
      <c r="W2134" s="48">
        <f>IF(OR($M2134="",$T2134=""),"",$T2134+(W$2*$M2134))</f>
        <v/>
      </c>
      <c r="X2134" s="49">
        <f>IF(OR($M2134="",$T2134=""),"",$T2134+(X$2*$M2134))</f>
        <v/>
      </c>
      <c r="Y2134" s="47">
        <f>IF(OR($M2134="",$T2134=""),"",$T2134+(Y$2*$M2134))</f>
        <v/>
      </c>
      <c r="Z2134" s="49">
        <f>IF(OR($M2134="",$T2134=""),"",$T2134+(Z$2*$M2134))</f>
        <v/>
      </c>
      <c r="AA2134" s="51">
        <f>IF(OR($M2134="",$T2134=""),"",$T2134+(AA$2*$M2134))</f>
        <v/>
      </c>
      <c r="AB2134" s="48">
        <f>IF(OR($M2134="",$T2134=""),"",$T2134+(AB$2*$M2134))</f>
        <v/>
      </c>
      <c r="AC2134" s="48">
        <f>IF(OR($M2134="",$T2134=""),"",$T2134+(AC$2*$M2134))</f>
        <v/>
      </c>
      <c r="AD2134" s="48">
        <f>IF(OR($M2134="",$T2134=""),"",$T2134+(AD$2*$M2134))</f>
        <v/>
      </c>
      <c r="AE2134" s="49">
        <f>IF(OR($M2134="",$T2134=""),"",$T2134+(AE$2*$M2134))</f>
        <v/>
      </c>
      <c r="AF2134" s="52">
        <f>IF(OR(T2134="",I2134&lt;T2134),"",IFERROR(AVERAGE(T2134+M2134*{7,8,9,10,11})/IF(G2134="",I2134,G2134)-1,""))</f>
        <v/>
      </c>
      <c r="AG2134" s="55">
        <f>IF(OR(T2134="",I2134&lt;T2134),"",IFERROR(AF2134/-(R2134/IF(G2134="",I2134,G2134)-1),""))</f>
        <v/>
      </c>
      <c r="AH2134" s="94" t="n"/>
      <c r="AI2134" s="94" t="n"/>
      <c r="AJ2134" s="94" t="n"/>
      <c r="AK2134" s="94" t="n"/>
      <c r="AL2134" s="84" t="n"/>
    </row>
    <row r="2135">
      <c r="A2135" s="64" t="n"/>
      <c r="B2135" s="65" t="n"/>
      <c r="C2135" s="66" t="n"/>
      <c r="D2135" s="67" t="n"/>
      <c r="E2135" s="68" t="n"/>
      <c r="F2135" s="47">
        <f>IF(A2135="","",IF(MIN(H2135,MAX(J2135:K2135))=0,"",MIN(H2135,MAX(J2135:K2135))))</f>
        <v/>
      </c>
      <c r="G2135" s="74" t="n"/>
      <c r="H2135" s="49">
        <f>IF(M2135="","",IFERROR(ROUND(AVERAGE(T2135+M2135*{7,8,9,10,11})/1.21,4),""))</f>
        <v/>
      </c>
      <c r="I2135" s="76" t="n"/>
      <c r="J2135" s="77" t="n"/>
      <c r="K2135" s="74" t="n"/>
      <c r="L2135" s="78" t="n"/>
      <c r="M2135" s="77" t="n"/>
      <c r="N2135" s="53">
        <f>IF(M2135="","",IFERROR(M2135/I2135,""))</f>
        <v/>
      </c>
      <c r="O2135" s="50">
        <f>IF(A2135="","",IFERROR((IF(G2135="",I2135,G2135)-T2135)/M2135,""))</f>
        <v/>
      </c>
      <c r="P2135" s="50">
        <f>IFERROR((I2135/T2135-1)/N2135,"")</f>
        <v/>
      </c>
      <c r="Q2135" s="46">
        <f>IF(OR(T2135="",I2135&lt;T2135),"",IFERROR(R2135/IF(G2135="",I2135,G2135)-1,""))</f>
        <v/>
      </c>
      <c r="R2135" s="48">
        <f>IF($M2135="","",MAX(IF($G2135="",$I2135,$G2135)*(1/1.1),IF($G2135="",$I2135,$G2135)+(R$2*$M2135)))</f>
        <v/>
      </c>
      <c r="S2135" s="49">
        <f>IF($M2135="","",MAX(IF($G2135="",$I2135,$G2135)*(1/1.1),IF($G2135="",$I2135,$G2135)+(S$2*$M2135)))</f>
        <v/>
      </c>
      <c r="T2135" s="82" t="n"/>
      <c r="U2135" s="47">
        <f>IF(OR($M2135="",$T2135=""),"",$T2135+(U$2*$M2135))</f>
        <v/>
      </c>
      <c r="V2135" s="48">
        <f>IF(OR($M2135="",$T2135=""),"",$T2135+(V$2*$M2135))</f>
        <v/>
      </c>
      <c r="W2135" s="48">
        <f>IF(OR($M2135="",$T2135=""),"",$T2135+(W$2*$M2135))</f>
        <v/>
      </c>
      <c r="X2135" s="49">
        <f>IF(OR($M2135="",$T2135=""),"",$T2135+(X$2*$M2135))</f>
        <v/>
      </c>
      <c r="Y2135" s="47">
        <f>IF(OR($M2135="",$T2135=""),"",$T2135+(Y$2*$M2135))</f>
        <v/>
      </c>
      <c r="Z2135" s="49">
        <f>IF(OR($M2135="",$T2135=""),"",$T2135+(Z$2*$M2135))</f>
        <v/>
      </c>
      <c r="AA2135" s="51">
        <f>IF(OR($M2135="",$T2135=""),"",$T2135+(AA$2*$M2135))</f>
        <v/>
      </c>
      <c r="AB2135" s="48">
        <f>IF(OR($M2135="",$T2135=""),"",$T2135+(AB$2*$M2135))</f>
        <v/>
      </c>
      <c r="AC2135" s="48">
        <f>IF(OR($M2135="",$T2135=""),"",$T2135+(AC$2*$M2135))</f>
        <v/>
      </c>
      <c r="AD2135" s="48">
        <f>IF(OR($M2135="",$T2135=""),"",$T2135+(AD$2*$M2135))</f>
        <v/>
      </c>
      <c r="AE2135" s="49">
        <f>IF(OR($M2135="",$T2135=""),"",$T2135+(AE$2*$M2135))</f>
        <v/>
      </c>
      <c r="AF2135" s="52">
        <f>IF(OR(T2135="",I2135&lt;T2135),"",IFERROR(AVERAGE(T2135+M2135*{7,8,9,10,11})/IF(G2135="",I2135,G2135)-1,""))</f>
        <v/>
      </c>
      <c r="AG2135" s="55">
        <f>IF(OR(T2135="",I2135&lt;T2135),"",IFERROR(AF2135/-(R2135/IF(G2135="",I2135,G2135)-1),""))</f>
        <v/>
      </c>
      <c r="AH2135" s="94" t="n"/>
      <c r="AI2135" s="94" t="n"/>
      <c r="AJ2135" s="94" t="n"/>
      <c r="AK2135" s="94" t="n"/>
      <c r="AL2135" s="84" t="n"/>
    </row>
    <row r="2136">
      <c r="A2136" s="64" t="n"/>
      <c r="B2136" s="65" t="n"/>
      <c r="C2136" s="66" t="n"/>
      <c r="D2136" s="67" t="n"/>
      <c r="E2136" s="68" t="n"/>
      <c r="F2136" s="47">
        <f>IF(A2136="","",IF(MIN(H2136,MAX(J2136:K2136))=0,"",MIN(H2136,MAX(J2136:K2136))))</f>
        <v/>
      </c>
      <c r="G2136" s="74" t="n"/>
      <c r="H2136" s="49">
        <f>IF(M2136="","",IFERROR(ROUND(AVERAGE(T2136+M2136*{7,8,9,10,11})/1.21,4),""))</f>
        <v/>
      </c>
      <c r="I2136" s="76" t="n"/>
      <c r="J2136" s="77" t="n"/>
      <c r="K2136" s="74" t="n"/>
      <c r="L2136" s="78" t="n"/>
      <c r="M2136" s="77" t="n"/>
      <c r="N2136" s="53">
        <f>IF(M2136="","",IFERROR(M2136/I2136,""))</f>
        <v/>
      </c>
      <c r="O2136" s="50">
        <f>IF(A2136="","",IFERROR((IF(G2136="",I2136,G2136)-T2136)/M2136,""))</f>
        <v/>
      </c>
      <c r="P2136" s="50">
        <f>IFERROR((I2136/T2136-1)/N2136,"")</f>
        <v/>
      </c>
      <c r="Q2136" s="46">
        <f>IF(OR(T2136="",I2136&lt;T2136),"",IFERROR(R2136/IF(G2136="",I2136,G2136)-1,""))</f>
        <v/>
      </c>
      <c r="R2136" s="48">
        <f>IF($M2136="","",MAX(IF($G2136="",$I2136,$G2136)*(1/1.1),IF($G2136="",$I2136,$G2136)+(R$2*$M2136)))</f>
        <v/>
      </c>
      <c r="S2136" s="49">
        <f>IF($M2136="","",MAX(IF($G2136="",$I2136,$G2136)*(1/1.1),IF($G2136="",$I2136,$G2136)+(S$2*$M2136)))</f>
        <v/>
      </c>
      <c r="T2136" s="82" t="n"/>
      <c r="U2136" s="47">
        <f>IF(OR($M2136="",$T2136=""),"",$T2136+(U$2*$M2136))</f>
        <v/>
      </c>
      <c r="V2136" s="48">
        <f>IF(OR($M2136="",$T2136=""),"",$T2136+(V$2*$M2136))</f>
        <v/>
      </c>
      <c r="W2136" s="48">
        <f>IF(OR($M2136="",$T2136=""),"",$T2136+(W$2*$M2136))</f>
        <v/>
      </c>
      <c r="X2136" s="49">
        <f>IF(OR($M2136="",$T2136=""),"",$T2136+(X$2*$M2136))</f>
        <v/>
      </c>
      <c r="Y2136" s="47">
        <f>IF(OR($M2136="",$T2136=""),"",$T2136+(Y$2*$M2136))</f>
        <v/>
      </c>
      <c r="Z2136" s="49">
        <f>IF(OR($M2136="",$T2136=""),"",$T2136+(Z$2*$M2136))</f>
        <v/>
      </c>
      <c r="AA2136" s="51">
        <f>IF(OR($M2136="",$T2136=""),"",$T2136+(AA$2*$M2136))</f>
        <v/>
      </c>
      <c r="AB2136" s="48">
        <f>IF(OR($M2136="",$T2136=""),"",$T2136+(AB$2*$M2136))</f>
        <v/>
      </c>
      <c r="AC2136" s="48">
        <f>IF(OR($M2136="",$T2136=""),"",$T2136+(AC$2*$M2136))</f>
        <v/>
      </c>
      <c r="AD2136" s="48">
        <f>IF(OR($M2136="",$T2136=""),"",$T2136+(AD$2*$M2136))</f>
        <v/>
      </c>
      <c r="AE2136" s="49">
        <f>IF(OR($M2136="",$T2136=""),"",$T2136+(AE$2*$M2136))</f>
        <v/>
      </c>
      <c r="AF2136" s="52">
        <f>IF(OR(T2136="",I2136&lt;T2136),"",IFERROR(AVERAGE(T2136+M2136*{7,8,9,10,11})/IF(G2136="",I2136,G2136)-1,""))</f>
        <v/>
      </c>
      <c r="AG2136" s="55">
        <f>IF(OR(T2136="",I2136&lt;T2136),"",IFERROR(AF2136/-(R2136/IF(G2136="",I2136,G2136)-1),""))</f>
        <v/>
      </c>
      <c r="AH2136" s="94" t="n"/>
      <c r="AI2136" s="94" t="n"/>
      <c r="AJ2136" s="94" t="n"/>
      <c r="AK2136" s="94" t="n"/>
      <c r="AL2136" s="84" t="n"/>
    </row>
    <row r="2137">
      <c r="A2137" s="64" t="n"/>
      <c r="B2137" s="65" t="n"/>
      <c r="C2137" s="66" t="n"/>
      <c r="D2137" s="67" t="n"/>
      <c r="E2137" s="68" t="n"/>
      <c r="F2137" s="47">
        <f>IF(A2137="","",IF(MIN(H2137,MAX(J2137:K2137))=0,"",MIN(H2137,MAX(J2137:K2137))))</f>
        <v/>
      </c>
      <c r="G2137" s="74" t="n"/>
      <c r="H2137" s="49">
        <f>IF(M2137="","",IFERROR(ROUND(AVERAGE(T2137+M2137*{7,8,9,10,11})/1.21,4),""))</f>
        <v/>
      </c>
      <c r="I2137" s="76" t="n"/>
      <c r="J2137" s="77" t="n"/>
      <c r="K2137" s="74" t="n"/>
      <c r="L2137" s="78" t="n"/>
      <c r="M2137" s="77" t="n"/>
      <c r="N2137" s="53">
        <f>IF(M2137="","",IFERROR(M2137/I2137,""))</f>
        <v/>
      </c>
      <c r="O2137" s="50">
        <f>IF(A2137="","",IFERROR((IF(G2137="",I2137,G2137)-T2137)/M2137,""))</f>
        <v/>
      </c>
      <c r="P2137" s="50">
        <f>IFERROR((I2137/T2137-1)/N2137,"")</f>
        <v/>
      </c>
      <c r="Q2137" s="46">
        <f>IF(OR(T2137="",I2137&lt;T2137),"",IFERROR(R2137/IF(G2137="",I2137,G2137)-1,""))</f>
        <v/>
      </c>
      <c r="R2137" s="48">
        <f>IF($M2137="","",MAX(IF($G2137="",$I2137,$G2137)*(1/1.1),IF($G2137="",$I2137,$G2137)+(R$2*$M2137)))</f>
        <v/>
      </c>
      <c r="S2137" s="49">
        <f>IF($M2137="","",MAX(IF($G2137="",$I2137,$G2137)*(1/1.1),IF($G2137="",$I2137,$G2137)+(S$2*$M2137)))</f>
        <v/>
      </c>
      <c r="T2137" s="82" t="n"/>
      <c r="U2137" s="47">
        <f>IF(OR($M2137="",$T2137=""),"",$T2137+(U$2*$M2137))</f>
        <v/>
      </c>
      <c r="V2137" s="48">
        <f>IF(OR($M2137="",$T2137=""),"",$T2137+(V$2*$M2137))</f>
        <v/>
      </c>
      <c r="W2137" s="48">
        <f>IF(OR($M2137="",$T2137=""),"",$T2137+(W$2*$M2137))</f>
        <v/>
      </c>
      <c r="X2137" s="49">
        <f>IF(OR($M2137="",$T2137=""),"",$T2137+(X$2*$M2137))</f>
        <v/>
      </c>
      <c r="Y2137" s="47">
        <f>IF(OR($M2137="",$T2137=""),"",$T2137+(Y$2*$M2137))</f>
        <v/>
      </c>
      <c r="Z2137" s="49">
        <f>IF(OR($M2137="",$T2137=""),"",$T2137+(Z$2*$M2137))</f>
        <v/>
      </c>
      <c r="AA2137" s="51">
        <f>IF(OR($M2137="",$T2137=""),"",$T2137+(AA$2*$M2137))</f>
        <v/>
      </c>
      <c r="AB2137" s="48">
        <f>IF(OR($M2137="",$T2137=""),"",$T2137+(AB$2*$M2137))</f>
        <v/>
      </c>
      <c r="AC2137" s="48">
        <f>IF(OR($M2137="",$T2137=""),"",$T2137+(AC$2*$M2137))</f>
        <v/>
      </c>
      <c r="AD2137" s="48">
        <f>IF(OR($M2137="",$T2137=""),"",$T2137+(AD$2*$M2137))</f>
        <v/>
      </c>
      <c r="AE2137" s="49">
        <f>IF(OR($M2137="",$T2137=""),"",$T2137+(AE$2*$M2137))</f>
        <v/>
      </c>
      <c r="AF2137" s="52">
        <f>IF(OR(T2137="",I2137&lt;T2137),"",IFERROR(AVERAGE(T2137+M2137*{7,8,9,10,11})/IF(G2137="",I2137,G2137)-1,""))</f>
        <v/>
      </c>
      <c r="AG2137" s="55">
        <f>IF(OR(T2137="",I2137&lt;T2137),"",IFERROR(AF2137/-(R2137/IF(G2137="",I2137,G2137)-1),""))</f>
        <v/>
      </c>
      <c r="AH2137" s="94" t="n"/>
      <c r="AI2137" s="94" t="n"/>
      <c r="AJ2137" s="94" t="n"/>
      <c r="AK2137" s="94" t="n"/>
      <c r="AL2137" s="84" t="n"/>
    </row>
    <row r="2138">
      <c r="A2138" s="64" t="n"/>
      <c r="B2138" s="65" t="n"/>
      <c r="C2138" s="66" t="n"/>
      <c r="D2138" s="67" t="n"/>
      <c r="E2138" s="68" t="n"/>
      <c r="F2138" s="47">
        <f>IF(A2138="","",IF(MIN(H2138,MAX(J2138:K2138))=0,"",MIN(H2138,MAX(J2138:K2138))))</f>
        <v/>
      </c>
      <c r="G2138" s="74" t="n"/>
      <c r="H2138" s="49">
        <f>IF(M2138="","",IFERROR(ROUND(AVERAGE(T2138+M2138*{7,8,9,10,11})/1.21,4),""))</f>
        <v/>
      </c>
      <c r="I2138" s="76" t="n"/>
      <c r="J2138" s="77" t="n"/>
      <c r="K2138" s="74" t="n"/>
      <c r="L2138" s="78" t="n"/>
      <c r="M2138" s="77" t="n"/>
      <c r="N2138" s="53">
        <f>IF(M2138="","",IFERROR(M2138/I2138,""))</f>
        <v/>
      </c>
      <c r="O2138" s="50">
        <f>IF(A2138="","",IFERROR((IF(G2138="",I2138,G2138)-T2138)/M2138,""))</f>
        <v/>
      </c>
      <c r="P2138" s="50">
        <f>IFERROR((I2138/T2138-1)/N2138,"")</f>
        <v/>
      </c>
      <c r="Q2138" s="46">
        <f>IF(OR(T2138="",I2138&lt;T2138),"",IFERROR(R2138/IF(G2138="",I2138,G2138)-1,""))</f>
        <v/>
      </c>
      <c r="R2138" s="48">
        <f>IF($M2138="","",MAX(IF($G2138="",$I2138,$G2138)*(1/1.1),IF($G2138="",$I2138,$G2138)+(R$2*$M2138)))</f>
        <v/>
      </c>
      <c r="S2138" s="49">
        <f>IF($M2138="","",MAX(IF($G2138="",$I2138,$G2138)*(1/1.1),IF($G2138="",$I2138,$G2138)+(S$2*$M2138)))</f>
        <v/>
      </c>
      <c r="T2138" s="82" t="n"/>
      <c r="U2138" s="47">
        <f>IF(OR($M2138="",$T2138=""),"",$T2138+(U$2*$M2138))</f>
        <v/>
      </c>
      <c r="V2138" s="48">
        <f>IF(OR($M2138="",$T2138=""),"",$T2138+(V$2*$M2138))</f>
        <v/>
      </c>
      <c r="W2138" s="48">
        <f>IF(OR($M2138="",$T2138=""),"",$T2138+(W$2*$M2138))</f>
        <v/>
      </c>
      <c r="X2138" s="49">
        <f>IF(OR($M2138="",$T2138=""),"",$T2138+(X$2*$M2138))</f>
        <v/>
      </c>
      <c r="Y2138" s="47">
        <f>IF(OR($M2138="",$T2138=""),"",$T2138+(Y$2*$M2138))</f>
        <v/>
      </c>
      <c r="Z2138" s="49">
        <f>IF(OR($M2138="",$T2138=""),"",$T2138+(Z$2*$M2138))</f>
        <v/>
      </c>
      <c r="AA2138" s="51">
        <f>IF(OR($M2138="",$T2138=""),"",$T2138+(AA$2*$M2138))</f>
        <v/>
      </c>
      <c r="AB2138" s="48">
        <f>IF(OR($M2138="",$T2138=""),"",$T2138+(AB$2*$M2138))</f>
        <v/>
      </c>
      <c r="AC2138" s="48">
        <f>IF(OR($M2138="",$T2138=""),"",$T2138+(AC$2*$M2138))</f>
        <v/>
      </c>
      <c r="AD2138" s="48">
        <f>IF(OR($M2138="",$T2138=""),"",$T2138+(AD$2*$M2138))</f>
        <v/>
      </c>
      <c r="AE2138" s="49">
        <f>IF(OR($M2138="",$T2138=""),"",$T2138+(AE$2*$M2138))</f>
        <v/>
      </c>
      <c r="AF2138" s="52">
        <f>IF(OR(T2138="",I2138&lt;T2138),"",IFERROR(AVERAGE(T2138+M2138*{7,8,9,10,11})/IF(G2138="",I2138,G2138)-1,""))</f>
        <v/>
      </c>
      <c r="AG2138" s="55">
        <f>IF(OR(T2138="",I2138&lt;T2138),"",IFERROR(AF2138/-(R2138/IF(G2138="",I2138,G2138)-1),""))</f>
        <v/>
      </c>
      <c r="AH2138" s="94" t="n"/>
      <c r="AI2138" s="94" t="n"/>
      <c r="AJ2138" s="94" t="n"/>
      <c r="AK2138" s="94" t="n"/>
      <c r="AL2138" s="84" t="n"/>
    </row>
    <row r="2139">
      <c r="A2139" s="64" t="n"/>
      <c r="B2139" s="65" t="n"/>
      <c r="C2139" s="66" t="n"/>
      <c r="D2139" s="67" t="n"/>
      <c r="E2139" s="68" t="n"/>
      <c r="F2139" s="47">
        <f>IF(A2139="","",IF(MIN(H2139,MAX(J2139:K2139))=0,"",MIN(H2139,MAX(J2139:K2139))))</f>
        <v/>
      </c>
      <c r="G2139" s="74" t="n"/>
      <c r="H2139" s="49">
        <f>IF(M2139="","",IFERROR(ROUND(AVERAGE(T2139+M2139*{7,8,9,10,11})/1.21,4),""))</f>
        <v/>
      </c>
      <c r="I2139" s="76" t="n"/>
      <c r="J2139" s="77" t="n"/>
      <c r="K2139" s="74" t="n"/>
      <c r="L2139" s="78" t="n"/>
      <c r="M2139" s="77" t="n"/>
      <c r="N2139" s="53">
        <f>IF(M2139="","",IFERROR(M2139/I2139,""))</f>
        <v/>
      </c>
      <c r="O2139" s="50">
        <f>IF(A2139="","",IFERROR((IF(G2139="",I2139,G2139)-T2139)/M2139,""))</f>
        <v/>
      </c>
      <c r="P2139" s="50">
        <f>IFERROR((I2139/T2139-1)/N2139,"")</f>
        <v/>
      </c>
      <c r="Q2139" s="46">
        <f>IF(OR(T2139="",I2139&lt;T2139),"",IFERROR(R2139/IF(G2139="",I2139,G2139)-1,""))</f>
        <v/>
      </c>
      <c r="R2139" s="48">
        <f>IF($M2139="","",MAX(IF($G2139="",$I2139,$G2139)*(1/1.1),IF($G2139="",$I2139,$G2139)+(R$2*$M2139)))</f>
        <v/>
      </c>
      <c r="S2139" s="49">
        <f>IF($M2139="","",MAX(IF($G2139="",$I2139,$G2139)*(1/1.1),IF($G2139="",$I2139,$G2139)+(S$2*$M2139)))</f>
        <v/>
      </c>
      <c r="T2139" s="82" t="n"/>
      <c r="U2139" s="47">
        <f>IF(OR($M2139="",$T2139=""),"",$T2139+(U$2*$M2139))</f>
        <v/>
      </c>
      <c r="V2139" s="48">
        <f>IF(OR($M2139="",$T2139=""),"",$T2139+(V$2*$M2139))</f>
        <v/>
      </c>
      <c r="W2139" s="48">
        <f>IF(OR($M2139="",$T2139=""),"",$T2139+(W$2*$M2139))</f>
        <v/>
      </c>
      <c r="X2139" s="49">
        <f>IF(OR($M2139="",$T2139=""),"",$T2139+(X$2*$M2139))</f>
        <v/>
      </c>
      <c r="Y2139" s="47">
        <f>IF(OR($M2139="",$T2139=""),"",$T2139+(Y$2*$M2139))</f>
        <v/>
      </c>
      <c r="Z2139" s="49">
        <f>IF(OR($M2139="",$T2139=""),"",$T2139+(Z$2*$M2139))</f>
        <v/>
      </c>
      <c r="AA2139" s="51">
        <f>IF(OR($M2139="",$T2139=""),"",$T2139+(AA$2*$M2139))</f>
        <v/>
      </c>
      <c r="AB2139" s="48">
        <f>IF(OR($M2139="",$T2139=""),"",$T2139+(AB$2*$M2139))</f>
        <v/>
      </c>
      <c r="AC2139" s="48">
        <f>IF(OR($M2139="",$T2139=""),"",$T2139+(AC$2*$M2139))</f>
        <v/>
      </c>
      <c r="AD2139" s="48">
        <f>IF(OR($M2139="",$T2139=""),"",$T2139+(AD$2*$M2139))</f>
        <v/>
      </c>
      <c r="AE2139" s="49">
        <f>IF(OR($M2139="",$T2139=""),"",$T2139+(AE$2*$M2139))</f>
        <v/>
      </c>
      <c r="AF2139" s="52">
        <f>IF(OR(T2139="",I2139&lt;T2139),"",IFERROR(AVERAGE(T2139+M2139*{7,8,9,10,11})/IF(G2139="",I2139,G2139)-1,""))</f>
        <v/>
      </c>
      <c r="AG2139" s="55">
        <f>IF(OR(T2139="",I2139&lt;T2139),"",IFERROR(AF2139/-(R2139/IF(G2139="",I2139,G2139)-1),""))</f>
        <v/>
      </c>
      <c r="AH2139" s="94" t="n"/>
      <c r="AI2139" s="94" t="n"/>
      <c r="AJ2139" s="94" t="n"/>
      <c r="AK2139" s="94" t="n"/>
      <c r="AL2139" s="84" t="n"/>
    </row>
    <row r="2140">
      <c r="A2140" s="64" t="n"/>
      <c r="B2140" s="65" t="n"/>
      <c r="C2140" s="66" t="n"/>
      <c r="D2140" s="67" t="n"/>
      <c r="E2140" s="68" t="n"/>
      <c r="F2140" s="47">
        <f>IF(A2140="","",IF(MIN(H2140,MAX(J2140:K2140))=0,"",MIN(H2140,MAX(J2140:K2140))))</f>
        <v/>
      </c>
      <c r="G2140" s="74" t="n"/>
      <c r="H2140" s="49">
        <f>IF(M2140="","",IFERROR(ROUND(AVERAGE(T2140+M2140*{7,8,9,10,11})/1.21,4),""))</f>
        <v/>
      </c>
      <c r="I2140" s="76" t="n"/>
      <c r="J2140" s="77" t="n"/>
      <c r="K2140" s="74" t="n"/>
      <c r="L2140" s="78" t="n"/>
      <c r="M2140" s="77" t="n"/>
      <c r="N2140" s="53">
        <f>IF(M2140="","",IFERROR(M2140/I2140,""))</f>
        <v/>
      </c>
      <c r="O2140" s="50">
        <f>IF(A2140="","",IFERROR((IF(G2140="",I2140,G2140)-T2140)/M2140,""))</f>
        <v/>
      </c>
      <c r="P2140" s="50">
        <f>IFERROR((I2140/T2140-1)/N2140,"")</f>
        <v/>
      </c>
      <c r="Q2140" s="46">
        <f>IF(OR(T2140="",I2140&lt;T2140),"",IFERROR(R2140/IF(G2140="",I2140,G2140)-1,""))</f>
        <v/>
      </c>
      <c r="R2140" s="48">
        <f>IF($M2140="","",MAX(IF($G2140="",$I2140,$G2140)*(1/1.1),IF($G2140="",$I2140,$G2140)+(R$2*$M2140)))</f>
        <v/>
      </c>
      <c r="S2140" s="49">
        <f>IF($M2140="","",MAX(IF($G2140="",$I2140,$G2140)*(1/1.1),IF($G2140="",$I2140,$G2140)+(S$2*$M2140)))</f>
        <v/>
      </c>
      <c r="T2140" s="82" t="n"/>
      <c r="U2140" s="47">
        <f>IF(OR($M2140="",$T2140=""),"",$T2140+(U$2*$M2140))</f>
        <v/>
      </c>
      <c r="V2140" s="48">
        <f>IF(OR($M2140="",$T2140=""),"",$T2140+(V$2*$M2140))</f>
        <v/>
      </c>
      <c r="W2140" s="48">
        <f>IF(OR($M2140="",$T2140=""),"",$T2140+(W$2*$M2140))</f>
        <v/>
      </c>
      <c r="X2140" s="49">
        <f>IF(OR($M2140="",$T2140=""),"",$T2140+(X$2*$M2140))</f>
        <v/>
      </c>
      <c r="Y2140" s="47">
        <f>IF(OR($M2140="",$T2140=""),"",$T2140+(Y$2*$M2140))</f>
        <v/>
      </c>
      <c r="Z2140" s="49">
        <f>IF(OR($M2140="",$T2140=""),"",$T2140+(Z$2*$M2140))</f>
        <v/>
      </c>
      <c r="AA2140" s="51">
        <f>IF(OR($M2140="",$T2140=""),"",$T2140+(AA$2*$M2140))</f>
        <v/>
      </c>
      <c r="AB2140" s="48">
        <f>IF(OR($M2140="",$T2140=""),"",$T2140+(AB$2*$M2140))</f>
        <v/>
      </c>
      <c r="AC2140" s="48">
        <f>IF(OR($M2140="",$T2140=""),"",$T2140+(AC$2*$M2140))</f>
        <v/>
      </c>
      <c r="AD2140" s="48">
        <f>IF(OR($M2140="",$T2140=""),"",$T2140+(AD$2*$M2140))</f>
        <v/>
      </c>
      <c r="AE2140" s="49">
        <f>IF(OR($M2140="",$T2140=""),"",$T2140+(AE$2*$M2140))</f>
        <v/>
      </c>
      <c r="AF2140" s="52">
        <f>IF(OR(T2140="",I2140&lt;T2140),"",IFERROR(AVERAGE(T2140+M2140*{7,8,9,10,11})/IF(G2140="",I2140,G2140)-1,""))</f>
        <v/>
      </c>
      <c r="AG2140" s="55">
        <f>IF(OR(T2140="",I2140&lt;T2140),"",IFERROR(AF2140/-(R2140/IF(G2140="",I2140,G2140)-1),""))</f>
        <v/>
      </c>
      <c r="AH2140" s="94" t="n"/>
      <c r="AI2140" s="94" t="n"/>
      <c r="AJ2140" s="94" t="n"/>
      <c r="AK2140" s="94" t="n"/>
      <c r="AL2140" s="84" t="n"/>
    </row>
    <row r="2141">
      <c r="A2141" s="64" t="n"/>
      <c r="B2141" s="65" t="n"/>
      <c r="C2141" s="66" t="n"/>
      <c r="D2141" s="67" t="n"/>
      <c r="E2141" s="68" t="n"/>
      <c r="F2141" s="47">
        <f>IF(A2141="","",IF(MIN(H2141,MAX(J2141:K2141))=0,"",MIN(H2141,MAX(J2141:K2141))))</f>
        <v/>
      </c>
      <c r="G2141" s="74" t="n"/>
      <c r="H2141" s="49">
        <f>IF(M2141="","",IFERROR(ROUND(AVERAGE(T2141+M2141*{7,8,9,10,11})/1.21,4),""))</f>
        <v/>
      </c>
      <c r="I2141" s="76" t="n"/>
      <c r="J2141" s="77" t="n"/>
      <c r="K2141" s="74" t="n"/>
      <c r="L2141" s="78" t="n"/>
      <c r="M2141" s="77" t="n"/>
      <c r="N2141" s="53">
        <f>IF(M2141="","",IFERROR(M2141/I2141,""))</f>
        <v/>
      </c>
      <c r="O2141" s="50">
        <f>IF(A2141="","",IFERROR((IF(G2141="",I2141,G2141)-T2141)/M2141,""))</f>
        <v/>
      </c>
      <c r="P2141" s="50">
        <f>IFERROR((I2141/T2141-1)/N2141,"")</f>
        <v/>
      </c>
      <c r="Q2141" s="46">
        <f>IF(OR(T2141="",I2141&lt;T2141),"",IFERROR(R2141/IF(G2141="",I2141,G2141)-1,""))</f>
        <v/>
      </c>
      <c r="R2141" s="48">
        <f>IF($M2141="","",MAX(IF($G2141="",$I2141,$G2141)*(1/1.1),IF($G2141="",$I2141,$G2141)+(R$2*$M2141)))</f>
        <v/>
      </c>
      <c r="S2141" s="49">
        <f>IF($M2141="","",MAX(IF($G2141="",$I2141,$G2141)*(1/1.1),IF($G2141="",$I2141,$G2141)+(S$2*$M2141)))</f>
        <v/>
      </c>
      <c r="T2141" s="82" t="n"/>
      <c r="U2141" s="47">
        <f>IF(OR($M2141="",$T2141=""),"",$T2141+(U$2*$M2141))</f>
        <v/>
      </c>
      <c r="V2141" s="48">
        <f>IF(OR($M2141="",$T2141=""),"",$T2141+(V$2*$M2141))</f>
        <v/>
      </c>
      <c r="W2141" s="48">
        <f>IF(OR($M2141="",$T2141=""),"",$T2141+(W$2*$M2141))</f>
        <v/>
      </c>
      <c r="X2141" s="49">
        <f>IF(OR($M2141="",$T2141=""),"",$T2141+(X$2*$M2141))</f>
        <v/>
      </c>
      <c r="Y2141" s="47">
        <f>IF(OR($M2141="",$T2141=""),"",$T2141+(Y$2*$M2141))</f>
        <v/>
      </c>
      <c r="Z2141" s="49">
        <f>IF(OR($M2141="",$T2141=""),"",$T2141+(Z$2*$M2141))</f>
        <v/>
      </c>
      <c r="AA2141" s="51">
        <f>IF(OR($M2141="",$T2141=""),"",$T2141+(AA$2*$M2141))</f>
        <v/>
      </c>
      <c r="AB2141" s="48">
        <f>IF(OR($M2141="",$T2141=""),"",$T2141+(AB$2*$M2141))</f>
        <v/>
      </c>
      <c r="AC2141" s="48">
        <f>IF(OR($M2141="",$T2141=""),"",$T2141+(AC$2*$M2141))</f>
        <v/>
      </c>
      <c r="AD2141" s="48">
        <f>IF(OR($M2141="",$T2141=""),"",$T2141+(AD$2*$M2141))</f>
        <v/>
      </c>
      <c r="AE2141" s="49">
        <f>IF(OR($M2141="",$T2141=""),"",$T2141+(AE$2*$M2141))</f>
        <v/>
      </c>
      <c r="AF2141" s="52">
        <f>IF(OR(T2141="",I2141&lt;T2141),"",IFERROR(AVERAGE(T2141+M2141*{7,8,9,10,11})/IF(G2141="",I2141,G2141)-1,""))</f>
        <v/>
      </c>
      <c r="AG2141" s="55">
        <f>IF(OR(T2141="",I2141&lt;T2141),"",IFERROR(AF2141/-(R2141/IF(G2141="",I2141,G2141)-1),""))</f>
        <v/>
      </c>
      <c r="AH2141" s="94" t="n"/>
      <c r="AI2141" s="94" t="n"/>
      <c r="AJ2141" s="94" t="n"/>
      <c r="AK2141" s="94" t="n"/>
      <c r="AL2141" s="84" t="n"/>
    </row>
    <row r="2142">
      <c r="A2142" s="64" t="n"/>
      <c r="B2142" s="65" t="n"/>
      <c r="C2142" s="66" t="n"/>
      <c r="D2142" s="67" t="n"/>
      <c r="E2142" s="68" t="n"/>
      <c r="F2142" s="47">
        <f>IF(A2142="","",IF(MIN(H2142,MAX(J2142:K2142))=0,"",MIN(H2142,MAX(J2142:K2142))))</f>
        <v/>
      </c>
      <c r="G2142" s="74" t="n"/>
      <c r="H2142" s="49">
        <f>IF(M2142="","",IFERROR(ROUND(AVERAGE(T2142+M2142*{7,8,9,10,11})/1.21,4),""))</f>
        <v/>
      </c>
      <c r="I2142" s="76" t="n"/>
      <c r="J2142" s="77" t="n"/>
      <c r="K2142" s="74" t="n"/>
      <c r="L2142" s="78" t="n"/>
      <c r="M2142" s="77" t="n"/>
      <c r="N2142" s="53">
        <f>IF(M2142="","",IFERROR(M2142/I2142,""))</f>
        <v/>
      </c>
      <c r="O2142" s="50">
        <f>IF(A2142="","",IFERROR((IF(G2142="",I2142,G2142)-T2142)/M2142,""))</f>
        <v/>
      </c>
      <c r="P2142" s="50">
        <f>IFERROR((I2142/T2142-1)/N2142,"")</f>
        <v/>
      </c>
      <c r="Q2142" s="46">
        <f>IF(OR(T2142="",I2142&lt;T2142),"",IFERROR(R2142/IF(G2142="",I2142,G2142)-1,""))</f>
        <v/>
      </c>
      <c r="R2142" s="48">
        <f>IF($M2142="","",MAX(IF($G2142="",$I2142,$G2142)*(1/1.1),IF($G2142="",$I2142,$G2142)+(R$2*$M2142)))</f>
        <v/>
      </c>
      <c r="S2142" s="49">
        <f>IF($M2142="","",MAX(IF($G2142="",$I2142,$G2142)*(1/1.1),IF($G2142="",$I2142,$G2142)+(S$2*$M2142)))</f>
        <v/>
      </c>
      <c r="T2142" s="82" t="n"/>
      <c r="U2142" s="47">
        <f>IF(OR($M2142="",$T2142=""),"",$T2142+(U$2*$M2142))</f>
        <v/>
      </c>
      <c r="V2142" s="48">
        <f>IF(OR($M2142="",$T2142=""),"",$T2142+(V$2*$M2142))</f>
        <v/>
      </c>
      <c r="W2142" s="48">
        <f>IF(OR($M2142="",$T2142=""),"",$T2142+(W$2*$M2142))</f>
        <v/>
      </c>
      <c r="X2142" s="49">
        <f>IF(OR($M2142="",$T2142=""),"",$T2142+(X$2*$M2142))</f>
        <v/>
      </c>
      <c r="Y2142" s="47">
        <f>IF(OR($M2142="",$T2142=""),"",$T2142+(Y$2*$M2142))</f>
        <v/>
      </c>
      <c r="Z2142" s="49">
        <f>IF(OR($M2142="",$T2142=""),"",$T2142+(Z$2*$M2142))</f>
        <v/>
      </c>
      <c r="AA2142" s="51">
        <f>IF(OR($M2142="",$T2142=""),"",$T2142+(AA$2*$M2142))</f>
        <v/>
      </c>
      <c r="AB2142" s="48">
        <f>IF(OR($M2142="",$T2142=""),"",$T2142+(AB$2*$M2142))</f>
        <v/>
      </c>
      <c r="AC2142" s="48">
        <f>IF(OR($M2142="",$T2142=""),"",$T2142+(AC$2*$M2142))</f>
        <v/>
      </c>
      <c r="AD2142" s="48">
        <f>IF(OR($M2142="",$T2142=""),"",$T2142+(AD$2*$M2142))</f>
        <v/>
      </c>
      <c r="AE2142" s="49">
        <f>IF(OR($M2142="",$T2142=""),"",$T2142+(AE$2*$M2142))</f>
        <v/>
      </c>
      <c r="AF2142" s="52">
        <f>IF(OR(T2142="",I2142&lt;T2142),"",IFERROR(AVERAGE(T2142+M2142*{7,8,9,10,11})/IF(G2142="",I2142,G2142)-1,""))</f>
        <v/>
      </c>
      <c r="AG2142" s="55">
        <f>IF(OR(T2142="",I2142&lt;T2142),"",IFERROR(AF2142/-(R2142/IF(G2142="",I2142,G2142)-1),""))</f>
        <v/>
      </c>
      <c r="AH2142" s="94" t="n"/>
      <c r="AI2142" s="94" t="n"/>
      <c r="AJ2142" s="94" t="n"/>
      <c r="AK2142" s="94" t="n"/>
      <c r="AL2142" s="84" t="n"/>
    </row>
    <row r="2143">
      <c r="A2143" s="64" t="n"/>
      <c r="B2143" s="65" t="n"/>
      <c r="C2143" s="66" t="n"/>
      <c r="D2143" s="67" t="n"/>
      <c r="E2143" s="68" t="n"/>
      <c r="F2143" s="47">
        <f>IF(A2143="","",IF(MIN(H2143,MAX(J2143:K2143))=0,"",MIN(H2143,MAX(J2143:K2143))))</f>
        <v/>
      </c>
      <c r="G2143" s="74" t="n"/>
      <c r="H2143" s="49">
        <f>IF(M2143="","",IFERROR(ROUND(AVERAGE(T2143+M2143*{7,8,9,10,11})/1.21,4),""))</f>
        <v/>
      </c>
      <c r="I2143" s="76" t="n"/>
      <c r="J2143" s="77" t="n"/>
      <c r="K2143" s="74" t="n"/>
      <c r="L2143" s="78" t="n"/>
      <c r="M2143" s="77" t="n"/>
      <c r="N2143" s="53">
        <f>IF(M2143="","",IFERROR(M2143/I2143,""))</f>
        <v/>
      </c>
      <c r="O2143" s="50">
        <f>IF(A2143="","",IFERROR((IF(G2143="",I2143,G2143)-T2143)/M2143,""))</f>
        <v/>
      </c>
      <c r="P2143" s="50">
        <f>IFERROR((I2143/T2143-1)/N2143,"")</f>
        <v/>
      </c>
      <c r="Q2143" s="46">
        <f>IF(OR(T2143="",I2143&lt;T2143),"",IFERROR(R2143/IF(G2143="",I2143,G2143)-1,""))</f>
        <v/>
      </c>
      <c r="R2143" s="48">
        <f>IF($M2143="","",MAX(IF($G2143="",$I2143,$G2143)*(1/1.1),IF($G2143="",$I2143,$G2143)+(R$2*$M2143)))</f>
        <v/>
      </c>
      <c r="S2143" s="49">
        <f>IF($M2143="","",MAX(IF($G2143="",$I2143,$G2143)*(1/1.1),IF($G2143="",$I2143,$G2143)+(S$2*$M2143)))</f>
        <v/>
      </c>
      <c r="T2143" s="82" t="n"/>
      <c r="U2143" s="47">
        <f>IF(OR($M2143="",$T2143=""),"",$T2143+(U$2*$M2143))</f>
        <v/>
      </c>
      <c r="V2143" s="48">
        <f>IF(OR($M2143="",$T2143=""),"",$T2143+(V$2*$M2143))</f>
        <v/>
      </c>
      <c r="W2143" s="48">
        <f>IF(OR($M2143="",$T2143=""),"",$T2143+(W$2*$M2143))</f>
        <v/>
      </c>
      <c r="X2143" s="49">
        <f>IF(OR($M2143="",$T2143=""),"",$T2143+(X$2*$M2143))</f>
        <v/>
      </c>
      <c r="Y2143" s="47">
        <f>IF(OR($M2143="",$T2143=""),"",$T2143+(Y$2*$M2143))</f>
        <v/>
      </c>
      <c r="Z2143" s="49">
        <f>IF(OR($M2143="",$T2143=""),"",$T2143+(Z$2*$M2143))</f>
        <v/>
      </c>
      <c r="AA2143" s="51">
        <f>IF(OR($M2143="",$T2143=""),"",$T2143+(AA$2*$M2143))</f>
        <v/>
      </c>
      <c r="AB2143" s="48">
        <f>IF(OR($M2143="",$T2143=""),"",$T2143+(AB$2*$M2143))</f>
        <v/>
      </c>
      <c r="AC2143" s="48">
        <f>IF(OR($M2143="",$T2143=""),"",$T2143+(AC$2*$M2143))</f>
        <v/>
      </c>
      <c r="AD2143" s="48">
        <f>IF(OR($M2143="",$T2143=""),"",$T2143+(AD$2*$M2143))</f>
        <v/>
      </c>
      <c r="AE2143" s="49">
        <f>IF(OR($M2143="",$T2143=""),"",$T2143+(AE$2*$M2143))</f>
        <v/>
      </c>
      <c r="AF2143" s="52">
        <f>IF(OR(T2143="",I2143&lt;T2143),"",IFERROR(AVERAGE(T2143+M2143*{7,8,9,10,11})/IF(G2143="",I2143,G2143)-1,""))</f>
        <v/>
      </c>
      <c r="AG2143" s="55">
        <f>IF(OR(T2143="",I2143&lt;T2143),"",IFERROR(AF2143/-(R2143/IF(G2143="",I2143,G2143)-1),""))</f>
        <v/>
      </c>
      <c r="AH2143" s="94" t="n"/>
      <c r="AI2143" s="94" t="n"/>
      <c r="AJ2143" s="94" t="n"/>
      <c r="AK2143" s="94" t="n"/>
      <c r="AL2143" s="84" t="n"/>
    </row>
    <row r="2144">
      <c r="A2144" s="64" t="n"/>
      <c r="B2144" s="65" t="n"/>
      <c r="C2144" s="66" t="n"/>
      <c r="D2144" s="67" t="n"/>
      <c r="E2144" s="68" t="n"/>
      <c r="F2144" s="47">
        <f>IF(A2144="","",IF(MIN(H2144,MAX(J2144:K2144))=0,"",MIN(H2144,MAX(J2144:K2144))))</f>
        <v/>
      </c>
      <c r="G2144" s="74" t="n"/>
      <c r="H2144" s="49">
        <f>IF(M2144="","",IFERROR(ROUND(AVERAGE(T2144+M2144*{7,8,9,10,11})/1.21,4),""))</f>
        <v/>
      </c>
      <c r="I2144" s="76" t="n"/>
      <c r="J2144" s="77" t="n"/>
      <c r="K2144" s="74" t="n"/>
      <c r="L2144" s="78" t="n"/>
      <c r="M2144" s="77" t="n"/>
      <c r="N2144" s="53">
        <f>IF(M2144="","",IFERROR(M2144/I2144,""))</f>
        <v/>
      </c>
      <c r="O2144" s="50">
        <f>IF(A2144="","",IFERROR((IF(G2144="",I2144,G2144)-T2144)/M2144,""))</f>
        <v/>
      </c>
      <c r="P2144" s="50">
        <f>IFERROR((I2144/T2144-1)/N2144,"")</f>
        <v/>
      </c>
      <c r="Q2144" s="46">
        <f>IF(OR(T2144="",I2144&lt;T2144),"",IFERROR(R2144/IF(G2144="",I2144,G2144)-1,""))</f>
        <v/>
      </c>
      <c r="R2144" s="48">
        <f>IF($M2144="","",MAX(IF($G2144="",$I2144,$G2144)*(1/1.1),IF($G2144="",$I2144,$G2144)+(R$2*$M2144)))</f>
        <v/>
      </c>
      <c r="S2144" s="49">
        <f>IF($M2144="","",MAX(IF($G2144="",$I2144,$G2144)*(1/1.1),IF($G2144="",$I2144,$G2144)+(S$2*$M2144)))</f>
        <v/>
      </c>
      <c r="T2144" s="82" t="n"/>
      <c r="U2144" s="47">
        <f>IF(OR($M2144="",$T2144=""),"",$T2144+(U$2*$M2144))</f>
        <v/>
      </c>
      <c r="V2144" s="48">
        <f>IF(OR($M2144="",$T2144=""),"",$T2144+(V$2*$M2144))</f>
        <v/>
      </c>
      <c r="W2144" s="48">
        <f>IF(OR($M2144="",$T2144=""),"",$T2144+(W$2*$M2144))</f>
        <v/>
      </c>
      <c r="X2144" s="49">
        <f>IF(OR($M2144="",$T2144=""),"",$T2144+(X$2*$M2144))</f>
        <v/>
      </c>
      <c r="Y2144" s="47">
        <f>IF(OR($M2144="",$T2144=""),"",$T2144+(Y$2*$M2144))</f>
        <v/>
      </c>
      <c r="Z2144" s="49">
        <f>IF(OR($M2144="",$T2144=""),"",$T2144+(Z$2*$M2144))</f>
        <v/>
      </c>
      <c r="AA2144" s="51">
        <f>IF(OR($M2144="",$T2144=""),"",$T2144+(AA$2*$M2144))</f>
        <v/>
      </c>
      <c r="AB2144" s="48">
        <f>IF(OR($M2144="",$T2144=""),"",$T2144+(AB$2*$M2144))</f>
        <v/>
      </c>
      <c r="AC2144" s="48">
        <f>IF(OR($M2144="",$T2144=""),"",$T2144+(AC$2*$M2144))</f>
        <v/>
      </c>
      <c r="AD2144" s="48">
        <f>IF(OR($M2144="",$T2144=""),"",$T2144+(AD$2*$M2144))</f>
        <v/>
      </c>
      <c r="AE2144" s="49">
        <f>IF(OR($M2144="",$T2144=""),"",$T2144+(AE$2*$M2144))</f>
        <v/>
      </c>
      <c r="AF2144" s="52">
        <f>IF(OR(T2144="",I2144&lt;T2144),"",IFERROR(AVERAGE(T2144+M2144*{7,8,9,10,11})/IF(G2144="",I2144,G2144)-1,""))</f>
        <v/>
      </c>
      <c r="AG2144" s="55">
        <f>IF(OR(T2144="",I2144&lt;T2144),"",IFERROR(AF2144/-(R2144/IF(G2144="",I2144,G2144)-1),""))</f>
        <v/>
      </c>
      <c r="AH2144" s="94" t="n"/>
      <c r="AI2144" s="94" t="n"/>
      <c r="AJ2144" s="94" t="n"/>
      <c r="AK2144" s="94" t="n"/>
      <c r="AL2144" s="84" t="n"/>
    </row>
    <row r="2145">
      <c r="A2145" s="64" t="n"/>
      <c r="B2145" s="65" t="n"/>
      <c r="C2145" s="66" t="n"/>
      <c r="D2145" s="67" t="n"/>
      <c r="E2145" s="68" t="n"/>
      <c r="F2145" s="47">
        <f>IF(A2145="","",IF(MIN(H2145,MAX(J2145:K2145))=0,"",MIN(H2145,MAX(J2145:K2145))))</f>
        <v/>
      </c>
      <c r="G2145" s="74" t="n"/>
      <c r="H2145" s="49">
        <f>IF(M2145="","",IFERROR(ROUND(AVERAGE(T2145+M2145*{7,8,9,10,11})/1.21,4),""))</f>
        <v/>
      </c>
      <c r="I2145" s="76" t="n"/>
      <c r="J2145" s="77" t="n"/>
      <c r="K2145" s="74" t="n"/>
      <c r="L2145" s="78" t="n"/>
      <c r="M2145" s="77" t="n"/>
      <c r="N2145" s="53">
        <f>IF(M2145="","",IFERROR(M2145/I2145,""))</f>
        <v/>
      </c>
      <c r="O2145" s="50">
        <f>IF(A2145="","",IFERROR((IF(G2145="",I2145,G2145)-T2145)/M2145,""))</f>
        <v/>
      </c>
      <c r="P2145" s="50">
        <f>IFERROR((I2145/T2145-1)/N2145,"")</f>
        <v/>
      </c>
      <c r="Q2145" s="46">
        <f>IF(OR(T2145="",I2145&lt;T2145),"",IFERROR(R2145/IF(G2145="",I2145,G2145)-1,""))</f>
        <v/>
      </c>
      <c r="R2145" s="48">
        <f>IF($M2145="","",MAX(IF($G2145="",$I2145,$G2145)*(1/1.1),IF($G2145="",$I2145,$G2145)+(R$2*$M2145)))</f>
        <v/>
      </c>
      <c r="S2145" s="49">
        <f>IF($M2145="","",MAX(IF($G2145="",$I2145,$G2145)*(1/1.1),IF($G2145="",$I2145,$G2145)+(S$2*$M2145)))</f>
        <v/>
      </c>
      <c r="T2145" s="82" t="n"/>
      <c r="U2145" s="47">
        <f>IF(OR($M2145="",$T2145=""),"",$T2145+(U$2*$M2145))</f>
        <v/>
      </c>
      <c r="V2145" s="48">
        <f>IF(OR($M2145="",$T2145=""),"",$T2145+(V$2*$M2145))</f>
        <v/>
      </c>
      <c r="W2145" s="48">
        <f>IF(OR($M2145="",$T2145=""),"",$T2145+(W$2*$M2145))</f>
        <v/>
      </c>
      <c r="X2145" s="49">
        <f>IF(OR($M2145="",$T2145=""),"",$T2145+(X$2*$M2145))</f>
        <v/>
      </c>
      <c r="Y2145" s="47">
        <f>IF(OR($M2145="",$T2145=""),"",$T2145+(Y$2*$M2145))</f>
        <v/>
      </c>
      <c r="Z2145" s="49">
        <f>IF(OR($M2145="",$T2145=""),"",$T2145+(Z$2*$M2145))</f>
        <v/>
      </c>
      <c r="AA2145" s="51">
        <f>IF(OR($M2145="",$T2145=""),"",$T2145+(AA$2*$M2145))</f>
        <v/>
      </c>
      <c r="AB2145" s="48">
        <f>IF(OR($M2145="",$T2145=""),"",$T2145+(AB$2*$M2145))</f>
        <v/>
      </c>
      <c r="AC2145" s="48">
        <f>IF(OR($M2145="",$T2145=""),"",$T2145+(AC$2*$M2145))</f>
        <v/>
      </c>
      <c r="AD2145" s="48">
        <f>IF(OR($M2145="",$T2145=""),"",$T2145+(AD$2*$M2145))</f>
        <v/>
      </c>
      <c r="AE2145" s="49">
        <f>IF(OR($M2145="",$T2145=""),"",$T2145+(AE$2*$M2145))</f>
        <v/>
      </c>
      <c r="AF2145" s="52">
        <f>IF(OR(T2145="",I2145&lt;T2145),"",IFERROR(AVERAGE(T2145+M2145*{7,8,9,10,11})/IF(G2145="",I2145,G2145)-1,""))</f>
        <v/>
      </c>
      <c r="AG2145" s="55">
        <f>IF(OR(T2145="",I2145&lt;T2145),"",IFERROR(AF2145/-(R2145/IF(G2145="",I2145,G2145)-1),""))</f>
        <v/>
      </c>
      <c r="AH2145" s="94" t="n"/>
      <c r="AI2145" s="94" t="n"/>
      <c r="AJ2145" s="94" t="n"/>
      <c r="AK2145" s="94" t="n"/>
      <c r="AL2145" s="84" t="n"/>
    </row>
    <row r="2146">
      <c r="A2146" s="64" t="n"/>
      <c r="B2146" s="65" t="n"/>
      <c r="C2146" s="66" t="n"/>
      <c r="D2146" s="67" t="n"/>
      <c r="E2146" s="68" t="n"/>
      <c r="F2146" s="47">
        <f>IF(A2146="","",IF(MIN(H2146,MAX(J2146:K2146))=0,"",MIN(H2146,MAX(J2146:K2146))))</f>
        <v/>
      </c>
      <c r="G2146" s="74" t="n"/>
      <c r="H2146" s="49">
        <f>IF(M2146="","",IFERROR(ROUND(AVERAGE(T2146+M2146*{7,8,9,10,11})/1.21,4),""))</f>
        <v/>
      </c>
      <c r="I2146" s="76" t="n"/>
      <c r="J2146" s="77" t="n"/>
      <c r="K2146" s="74" t="n"/>
      <c r="L2146" s="78" t="n"/>
      <c r="M2146" s="77" t="n"/>
      <c r="N2146" s="53">
        <f>IF(M2146="","",IFERROR(M2146/I2146,""))</f>
        <v/>
      </c>
      <c r="O2146" s="50">
        <f>IF(A2146="","",IFERROR((IF(G2146="",I2146,G2146)-T2146)/M2146,""))</f>
        <v/>
      </c>
      <c r="P2146" s="50">
        <f>IFERROR((I2146/T2146-1)/N2146,"")</f>
        <v/>
      </c>
      <c r="Q2146" s="46">
        <f>IF(OR(T2146="",I2146&lt;T2146),"",IFERROR(R2146/IF(G2146="",I2146,G2146)-1,""))</f>
        <v/>
      </c>
      <c r="R2146" s="48">
        <f>IF($M2146="","",MAX(IF($G2146="",$I2146,$G2146)*(1/1.1),IF($G2146="",$I2146,$G2146)+(R$2*$M2146)))</f>
        <v/>
      </c>
      <c r="S2146" s="49">
        <f>IF($M2146="","",MAX(IF($G2146="",$I2146,$G2146)*(1/1.1),IF($G2146="",$I2146,$G2146)+(S$2*$M2146)))</f>
        <v/>
      </c>
      <c r="T2146" s="82" t="n"/>
      <c r="U2146" s="47">
        <f>IF(OR($M2146="",$T2146=""),"",$T2146+(U$2*$M2146))</f>
        <v/>
      </c>
      <c r="V2146" s="48">
        <f>IF(OR($M2146="",$T2146=""),"",$T2146+(V$2*$M2146))</f>
        <v/>
      </c>
      <c r="W2146" s="48">
        <f>IF(OR($M2146="",$T2146=""),"",$T2146+(W$2*$M2146))</f>
        <v/>
      </c>
      <c r="X2146" s="49">
        <f>IF(OR($M2146="",$T2146=""),"",$T2146+(X$2*$M2146))</f>
        <v/>
      </c>
      <c r="Y2146" s="47">
        <f>IF(OR($M2146="",$T2146=""),"",$T2146+(Y$2*$M2146))</f>
        <v/>
      </c>
      <c r="Z2146" s="49">
        <f>IF(OR($M2146="",$T2146=""),"",$T2146+(Z$2*$M2146))</f>
        <v/>
      </c>
      <c r="AA2146" s="51">
        <f>IF(OR($M2146="",$T2146=""),"",$T2146+(AA$2*$M2146))</f>
        <v/>
      </c>
      <c r="AB2146" s="48">
        <f>IF(OR($M2146="",$T2146=""),"",$T2146+(AB$2*$M2146))</f>
        <v/>
      </c>
      <c r="AC2146" s="48">
        <f>IF(OR($M2146="",$T2146=""),"",$T2146+(AC$2*$M2146))</f>
        <v/>
      </c>
      <c r="AD2146" s="48">
        <f>IF(OR($M2146="",$T2146=""),"",$T2146+(AD$2*$M2146))</f>
        <v/>
      </c>
      <c r="AE2146" s="49">
        <f>IF(OR($M2146="",$T2146=""),"",$T2146+(AE$2*$M2146))</f>
        <v/>
      </c>
      <c r="AF2146" s="52">
        <f>IF(OR(T2146="",I2146&lt;T2146),"",IFERROR(AVERAGE(T2146+M2146*{7,8,9,10,11})/IF(G2146="",I2146,G2146)-1,""))</f>
        <v/>
      </c>
      <c r="AG2146" s="55">
        <f>IF(OR(T2146="",I2146&lt;T2146),"",IFERROR(AF2146/-(R2146/IF(G2146="",I2146,G2146)-1),""))</f>
        <v/>
      </c>
      <c r="AH2146" s="94" t="n"/>
      <c r="AI2146" s="94" t="n"/>
      <c r="AJ2146" s="94" t="n"/>
      <c r="AK2146" s="94" t="n"/>
      <c r="AL2146" s="84" t="n"/>
    </row>
    <row r="2147">
      <c r="A2147" s="64" t="n"/>
      <c r="B2147" s="65" t="n"/>
      <c r="C2147" s="66" t="n"/>
      <c r="D2147" s="67" t="n"/>
      <c r="E2147" s="68" t="n"/>
      <c r="F2147" s="47">
        <f>IF(A2147="","",IF(MIN(H2147,MAX(J2147:K2147))=0,"",MIN(H2147,MAX(J2147:K2147))))</f>
        <v/>
      </c>
      <c r="G2147" s="74" t="n"/>
      <c r="H2147" s="49">
        <f>IF(M2147="","",IFERROR(ROUND(AVERAGE(T2147+M2147*{7,8,9,10,11})/1.21,4),""))</f>
        <v/>
      </c>
      <c r="I2147" s="76" t="n"/>
      <c r="J2147" s="77" t="n"/>
      <c r="K2147" s="74" t="n"/>
      <c r="L2147" s="78" t="n"/>
      <c r="M2147" s="77" t="n"/>
      <c r="N2147" s="53">
        <f>IF(M2147="","",IFERROR(M2147/I2147,""))</f>
        <v/>
      </c>
      <c r="O2147" s="50">
        <f>IF(A2147="","",IFERROR((IF(G2147="",I2147,G2147)-T2147)/M2147,""))</f>
        <v/>
      </c>
      <c r="P2147" s="50">
        <f>IFERROR((I2147/T2147-1)/N2147,"")</f>
        <v/>
      </c>
      <c r="Q2147" s="46">
        <f>IF(OR(T2147="",I2147&lt;T2147),"",IFERROR(R2147/IF(G2147="",I2147,G2147)-1,""))</f>
        <v/>
      </c>
      <c r="R2147" s="48">
        <f>IF($M2147="","",MAX(IF($G2147="",$I2147,$G2147)*(1/1.1),IF($G2147="",$I2147,$G2147)+(R$2*$M2147)))</f>
        <v/>
      </c>
      <c r="S2147" s="49">
        <f>IF($M2147="","",MAX(IF($G2147="",$I2147,$G2147)*(1/1.1),IF($G2147="",$I2147,$G2147)+(S$2*$M2147)))</f>
        <v/>
      </c>
      <c r="T2147" s="82" t="n"/>
      <c r="U2147" s="47">
        <f>IF(OR($M2147="",$T2147=""),"",$T2147+(U$2*$M2147))</f>
        <v/>
      </c>
      <c r="V2147" s="48">
        <f>IF(OR($M2147="",$T2147=""),"",$T2147+(V$2*$M2147))</f>
        <v/>
      </c>
      <c r="W2147" s="48">
        <f>IF(OR($M2147="",$T2147=""),"",$T2147+(W$2*$M2147))</f>
        <v/>
      </c>
      <c r="X2147" s="49">
        <f>IF(OR($M2147="",$T2147=""),"",$T2147+(X$2*$M2147))</f>
        <v/>
      </c>
      <c r="Y2147" s="47">
        <f>IF(OR($M2147="",$T2147=""),"",$T2147+(Y$2*$M2147))</f>
        <v/>
      </c>
      <c r="Z2147" s="49">
        <f>IF(OR($M2147="",$T2147=""),"",$T2147+(Z$2*$M2147))</f>
        <v/>
      </c>
      <c r="AA2147" s="51">
        <f>IF(OR($M2147="",$T2147=""),"",$T2147+(AA$2*$M2147))</f>
        <v/>
      </c>
      <c r="AB2147" s="48">
        <f>IF(OR($M2147="",$T2147=""),"",$T2147+(AB$2*$M2147))</f>
        <v/>
      </c>
      <c r="AC2147" s="48">
        <f>IF(OR($M2147="",$T2147=""),"",$T2147+(AC$2*$M2147))</f>
        <v/>
      </c>
      <c r="AD2147" s="48">
        <f>IF(OR($M2147="",$T2147=""),"",$T2147+(AD$2*$M2147))</f>
        <v/>
      </c>
      <c r="AE2147" s="49">
        <f>IF(OR($M2147="",$T2147=""),"",$T2147+(AE$2*$M2147))</f>
        <v/>
      </c>
      <c r="AF2147" s="52">
        <f>IF(OR(T2147="",I2147&lt;T2147),"",IFERROR(AVERAGE(T2147+M2147*{7,8,9,10,11})/IF(G2147="",I2147,G2147)-1,""))</f>
        <v/>
      </c>
      <c r="AG2147" s="55">
        <f>IF(OR(T2147="",I2147&lt;T2147),"",IFERROR(AF2147/-(R2147/IF(G2147="",I2147,G2147)-1),""))</f>
        <v/>
      </c>
      <c r="AH2147" s="94" t="n"/>
      <c r="AI2147" s="94" t="n"/>
      <c r="AJ2147" s="94" t="n"/>
      <c r="AK2147" s="94" t="n"/>
      <c r="AL2147" s="84" t="n"/>
    </row>
    <row r="2148">
      <c r="A2148" s="64" t="n"/>
      <c r="B2148" s="65" t="n"/>
      <c r="C2148" s="66" t="n"/>
      <c r="D2148" s="67" t="n"/>
      <c r="E2148" s="68" t="n"/>
      <c r="F2148" s="47">
        <f>IF(A2148="","",IF(MIN(H2148,MAX(J2148:K2148))=0,"",MIN(H2148,MAX(J2148:K2148))))</f>
        <v/>
      </c>
      <c r="G2148" s="74" t="n"/>
      <c r="H2148" s="49">
        <f>IF(M2148="","",IFERROR(ROUND(AVERAGE(T2148+M2148*{7,8,9,10,11})/1.21,4),""))</f>
        <v/>
      </c>
      <c r="I2148" s="76" t="n"/>
      <c r="J2148" s="77" t="n"/>
      <c r="K2148" s="74" t="n"/>
      <c r="L2148" s="78" t="n"/>
      <c r="M2148" s="77" t="n"/>
      <c r="N2148" s="53">
        <f>IF(M2148="","",IFERROR(M2148/I2148,""))</f>
        <v/>
      </c>
      <c r="O2148" s="50">
        <f>IF(A2148="","",IFERROR((IF(G2148="",I2148,G2148)-T2148)/M2148,""))</f>
        <v/>
      </c>
      <c r="P2148" s="50">
        <f>IFERROR((I2148/T2148-1)/N2148,"")</f>
        <v/>
      </c>
      <c r="Q2148" s="46">
        <f>IF(OR(T2148="",I2148&lt;T2148),"",IFERROR(R2148/IF(G2148="",I2148,G2148)-1,""))</f>
        <v/>
      </c>
      <c r="R2148" s="48">
        <f>IF($M2148="","",MAX(IF($G2148="",$I2148,$G2148)*(1/1.1),IF($G2148="",$I2148,$G2148)+(R$2*$M2148)))</f>
        <v/>
      </c>
      <c r="S2148" s="49">
        <f>IF($M2148="","",MAX(IF($G2148="",$I2148,$G2148)*(1/1.1),IF($G2148="",$I2148,$G2148)+(S$2*$M2148)))</f>
        <v/>
      </c>
      <c r="T2148" s="82" t="n"/>
      <c r="U2148" s="47">
        <f>IF(OR($M2148="",$T2148=""),"",$T2148+(U$2*$M2148))</f>
        <v/>
      </c>
      <c r="V2148" s="48">
        <f>IF(OR($M2148="",$T2148=""),"",$T2148+(V$2*$M2148))</f>
        <v/>
      </c>
      <c r="W2148" s="48">
        <f>IF(OR($M2148="",$T2148=""),"",$T2148+(W$2*$M2148))</f>
        <v/>
      </c>
      <c r="X2148" s="49">
        <f>IF(OR($M2148="",$T2148=""),"",$T2148+(X$2*$M2148))</f>
        <v/>
      </c>
      <c r="Y2148" s="47">
        <f>IF(OR($M2148="",$T2148=""),"",$T2148+(Y$2*$M2148))</f>
        <v/>
      </c>
      <c r="Z2148" s="49">
        <f>IF(OR($M2148="",$T2148=""),"",$T2148+(Z$2*$M2148))</f>
        <v/>
      </c>
      <c r="AA2148" s="51">
        <f>IF(OR($M2148="",$T2148=""),"",$T2148+(AA$2*$M2148))</f>
        <v/>
      </c>
      <c r="AB2148" s="48">
        <f>IF(OR($M2148="",$T2148=""),"",$T2148+(AB$2*$M2148))</f>
        <v/>
      </c>
      <c r="AC2148" s="48">
        <f>IF(OR($M2148="",$T2148=""),"",$T2148+(AC$2*$M2148))</f>
        <v/>
      </c>
      <c r="AD2148" s="48">
        <f>IF(OR($M2148="",$T2148=""),"",$T2148+(AD$2*$M2148))</f>
        <v/>
      </c>
      <c r="AE2148" s="49">
        <f>IF(OR($M2148="",$T2148=""),"",$T2148+(AE$2*$M2148))</f>
        <v/>
      </c>
      <c r="AF2148" s="52">
        <f>IF(OR(T2148="",I2148&lt;T2148),"",IFERROR(AVERAGE(T2148+M2148*{7,8,9,10,11})/IF(G2148="",I2148,G2148)-1,""))</f>
        <v/>
      </c>
      <c r="AG2148" s="55">
        <f>IF(OR(T2148="",I2148&lt;T2148),"",IFERROR(AF2148/-(R2148/IF(G2148="",I2148,G2148)-1),""))</f>
        <v/>
      </c>
      <c r="AH2148" s="94" t="n"/>
      <c r="AI2148" s="94" t="n"/>
      <c r="AJ2148" s="94" t="n"/>
      <c r="AK2148" s="94" t="n"/>
      <c r="AL2148" s="84" t="n"/>
    </row>
    <row r="2149">
      <c r="A2149" s="64" t="n"/>
      <c r="B2149" s="65" t="n"/>
      <c r="C2149" s="66" t="n"/>
      <c r="D2149" s="67" t="n"/>
      <c r="E2149" s="68" t="n"/>
      <c r="F2149" s="47">
        <f>IF(A2149="","",IF(MIN(H2149,MAX(J2149:K2149))=0,"",MIN(H2149,MAX(J2149:K2149))))</f>
        <v/>
      </c>
      <c r="G2149" s="74" t="n"/>
      <c r="H2149" s="49">
        <f>IF(M2149="","",IFERROR(ROUND(AVERAGE(T2149+M2149*{7,8,9,10,11})/1.21,4),""))</f>
        <v/>
      </c>
      <c r="I2149" s="76" t="n"/>
      <c r="J2149" s="77" t="n"/>
      <c r="K2149" s="74" t="n"/>
      <c r="L2149" s="78" t="n"/>
      <c r="M2149" s="77" t="n"/>
      <c r="N2149" s="53">
        <f>IF(M2149="","",IFERROR(M2149/I2149,""))</f>
        <v/>
      </c>
      <c r="O2149" s="50">
        <f>IF(A2149="","",IFERROR((IF(G2149="",I2149,G2149)-T2149)/M2149,""))</f>
        <v/>
      </c>
      <c r="P2149" s="50">
        <f>IFERROR((I2149/T2149-1)/N2149,"")</f>
        <v/>
      </c>
      <c r="Q2149" s="46">
        <f>IF(OR(T2149="",I2149&lt;T2149),"",IFERROR(R2149/IF(G2149="",I2149,G2149)-1,""))</f>
        <v/>
      </c>
      <c r="R2149" s="48">
        <f>IF($M2149="","",MAX(IF($G2149="",$I2149,$G2149)*(1/1.1),IF($G2149="",$I2149,$G2149)+(R$2*$M2149)))</f>
        <v/>
      </c>
      <c r="S2149" s="49">
        <f>IF($M2149="","",MAX(IF($G2149="",$I2149,$G2149)*(1/1.1),IF($G2149="",$I2149,$G2149)+(S$2*$M2149)))</f>
        <v/>
      </c>
      <c r="T2149" s="82" t="n"/>
      <c r="U2149" s="47">
        <f>IF(OR($M2149="",$T2149=""),"",$T2149+(U$2*$M2149))</f>
        <v/>
      </c>
      <c r="V2149" s="48">
        <f>IF(OR($M2149="",$T2149=""),"",$T2149+(V$2*$M2149))</f>
        <v/>
      </c>
      <c r="W2149" s="48">
        <f>IF(OR($M2149="",$T2149=""),"",$T2149+(W$2*$M2149))</f>
        <v/>
      </c>
      <c r="X2149" s="49">
        <f>IF(OR($M2149="",$T2149=""),"",$T2149+(X$2*$M2149))</f>
        <v/>
      </c>
      <c r="Y2149" s="47">
        <f>IF(OR($M2149="",$T2149=""),"",$T2149+(Y$2*$M2149))</f>
        <v/>
      </c>
      <c r="Z2149" s="49">
        <f>IF(OR($M2149="",$T2149=""),"",$T2149+(Z$2*$M2149))</f>
        <v/>
      </c>
      <c r="AA2149" s="51">
        <f>IF(OR($M2149="",$T2149=""),"",$T2149+(AA$2*$M2149))</f>
        <v/>
      </c>
      <c r="AB2149" s="48">
        <f>IF(OR($M2149="",$T2149=""),"",$T2149+(AB$2*$M2149))</f>
        <v/>
      </c>
      <c r="AC2149" s="48">
        <f>IF(OR($M2149="",$T2149=""),"",$T2149+(AC$2*$M2149))</f>
        <v/>
      </c>
      <c r="AD2149" s="48">
        <f>IF(OR($M2149="",$T2149=""),"",$T2149+(AD$2*$M2149))</f>
        <v/>
      </c>
      <c r="AE2149" s="49">
        <f>IF(OR($M2149="",$T2149=""),"",$T2149+(AE$2*$M2149))</f>
        <v/>
      </c>
      <c r="AF2149" s="52">
        <f>IF(OR(T2149="",I2149&lt;T2149),"",IFERROR(AVERAGE(T2149+M2149*{7,8,9,10,11})/IF(G2149="",I2149,G2149)-1,""))</f>
        <v/>
      </c>
      <c r="AG2149" s="55">
        <f>IF(OR(T2149="",I2149&lt;T2149),"",IFERROR(AF2149/-(R2149/IF(G2149="",I2149,G2149)-1),""))</f>
        <v/>
      </c>
      <c r="AH2149" s="94" t="n"/>
      <c r="AI2149" s="94" t="n"/>
      <c r="AJ2149" s="94" t="n"/>
      <c r="AK2149" s="94" t="n"/>
      <c r="AL2149" s="84" t="n"/>
    </row>
    <row r="2150">
      <c r="A2150" s="64" t="n"/>
      <c r="B2150" s="65" t="n"/>
      <c r="C2150" s="66" t="n"/>
      <c r="D2150" s="67" t="n"/>
      <c r="E2150" s="68" t="n"/>
      <c r="F2150" s="47">
        <f>IF(A2150="","",IF(MIN(H2150,MAX(J2150:K2150))=0,"",MIN(H2150,MAX(J2150:K2150))))</f>
        <v/>
      </c>
      <c r="G2150" s="74" t="n"/>
      <c r="H2150" s="49">
        <f>IF(M2150="","",IFERROR(ROUND(AVERAGE(T2150+M2150*{7,8,9,10,11})/1.21,4),""))</f>
        <v/>
      </c>
      <c r="I2150" s="76" t="n"/>
      <c r="J2150" s="77" t="n"/>
      <c r="K2150" s="74" t="n"/>
      <c r="L2150" s="78" t="n"/>
      <c r="M2150" s="77" t="n"/>
      <c r="N2150" s="53">
        <f>IF(M2150="","",IFERROR(M2150/I2150,""))</f>
        <v/>
      </c>
      <c r="O2150" s="50">
        <f>IF(A2150="","",IFERROR((IF(G2150="",I2150,G2150)-T2150)/M2150,""))</f>
        <v/>
      </c>
      <c r="P2150" s="50">
        <f>IFERROR((I2150/T2150-1)/N2150,"")</f>
        <v/>
      </c>
      <c r="Q2150" s="46">
        <f>IF(OR(T2150="",I2150&lt;T2150),"",IFERROR(R2150/IF(G2150="",I2150,G2150)-1,""))</f>
        <v/>
      </c>
      <c r="R2150" s="48">
        <f>IF($M2150="","",MAX(IF($G2150="",$I2150,$G2150)*(1/1.1),IF($G2150="",$I2150,$G2150)+(R$2*$M2150)))</f>
        <v/>
      </c>
      <c r="S2150" s="49">
        <f>IF($M2150="","",MAX(IF($G2150="",$I2150,$G2150)*(1/1.1),IF($G2150="",$I2150,$G2150)+(S$2*$M2150)))</f>
        <v/>
      </c>
      <c r="T2150" s="82" t="n"/>
      <c r="U2150" s="47">
        <f>IF(OR($M2150="",$T2150=""),"",$T2150+(U$2*$M2150))</f>
        <v/>
      </c>
      <c r="V2150" s="48">
        <f>IF(OR($M2150="",$T2150=""),"",$T2150+(V$2*$M2150))</f>
        <v/>
      </c>
      <c r="W2150" s="48">
        <f>IF(OR($M2150="",$T2150=""),"",$T2150+(W$2*$M2150))</f>
        <v/>
      </c>
      <c r="X2150" s="49">
        <f>IF(OR($M2150="",$T2150=""),"",$T2150+(X$2*$M2150))</f>
        <v/>
      </c>
      <c r="Y2150" s="47">
        <f>IF(OR($M2150="",$T2150=""),"",$T2150+(Y$2*$M2150))</f>
        <v/>
      </c>
      <c r="Z2150" s="49">
        <f>IF(OR($M2150="",$T2150=""),"",$T2150+(Z$2*$M2150))</f>
        <v/>
      </c>
      <c r="AA2150" s="51">
        <f>IF(OR($M2150="",$T2150=""),"",$T2150+(AA$2*$M2150))</f>
        <v/>
      </c>
      <c r="AB2150" s="48">
        <f>IF(OR($M2150="",$T2150=""),"",$T2150+(AB$2*$M2150))</f>
        <v/>
      </c>
      <c r="AC2150" s="48">
        <f>IF(OR($M2150="",$T2150=""),"",$T2150+(AC$2*$M2150))</f>
        <v/>
      </c>
      <c r="AD2150" s="48">
        <f>IF(OR($M2150="",$T2150=""),"",$T2150+(AD$2*$M2150))</f>
        <v/>
      </c>
      <c r="AE2150" s="49">
        <f>IF(OR($M2150="",$T2150=""),"",$T2150+(AE$2*$M2150))</f>
        <v/>
      </c>
      <c r="AF2150" s="52">
        <f>IF(OR(T2150="",I2150&lt;T2150),"",IFERROR(AVERAGE(T2150+M2150*{7,8,9,10,11})/IF(G2150="",I2150,G2150)-1,""))</f>
        <v/>
      </c>
      <c r="AG2150" s="55">
        <f>IF(OR(T2150="",I2150&lt;T2150),"",IFERROR(AF2150/-(R2150/IF(G2150="",I2150,G2150)-1),""))</f>
        <v/>
      </c>
      <c r="AH2150" s="94" t="n"/>
      <c r="AI2150" s="94" t="n"/>
      <c r="AJ2150" s="94" t="n"/>
      <c r="AK2150" s="94" t="n"/>
      <c r="AL2150" s="84" t="n"/>
    </row>
    <row r="2151">
      <c r="A2151" s="64" t="n"/>
      <c r="B2151" s="65" t="n"/>
      <c r="C2151" s="66" t="n"/>
      <c r="D2151" s="67" t="n"/>
      <c r="E2151" s="68" t="n"/>
      <c r="F2151" s="47">
        <f>IF(A2151="","",IF(MIN(H2151,MAX(J2151:K2151))=0,"",MIN(H2151,MAX(J2151:K2151))))</f>
        <v/>
      </c>
      <c r="G2151" s="74" t="n"/>
      <c r="H2151" s="49">
        <f>IF(M2151="","",IFERROR(ROUND(AVERAGE(T2151+M2151*{7,8,9,10,11})/1.21,4),""))</f>
        <v/>
      </c>
      <c r="I2151" s="76" t="n"/>
      <c r="J2151" s="77" t="n"/>
      <c r="K2151" s="74" t="n"/>
      <c r="L2151" s="78" t="n"/>
      <c r="M2151" s="77" t="n"/>
      <c r="N2151" s="53">
        <f>IF(M2151="","",IFERROR(M2151/I2151,""))</f>
        <v/>
      </c>
      <c r="O2151" s="50">
        <f>IF(A2151="","",IFERROR((IF(G2151="",I2151,G2151)-T2151)/M2151,""))</f>
        <v/>
      </c>
      <c r="P2151" s="50">
        <f>IFERROR((I2151/T2151-1)/N2151,"")</f>
        <v/>
      </c>
      <c r="Q2151" s="46">
        <f>IF(OR(T2151="",I2151&lt;T2151),"",IFERROR(R2151/IF(G2151="",I2151,G2151)-1,""))</f>
        <v/>
      </c>
      <c r="R2151" s="48">
        <f>IF($M2151="","",MAX(IF($G2151="",$I2151,$G2151)*(1/1.1),IF($G2151="",$I2151,$G2151)+(R$2*$M2151)))</f>
        <v/>
      </c>
      <c r="S2151" s="49">
        <f>IF($M2151="","",MAX(IF($G2151="",$I2151,$G2151)*(1/1.1),IF($G2151="",$I2151,$G2151)+(S$2*$M2151)))</f>
        <v/>
      </c>
      <c r="T2151" s="82" t="n"/>
      <c r="U2151" s="47">
        <f>IF(OR($M2151="",$T2151=""),"",$T2151+(U$2*$M2151))</f>
        <v/>
      </c>
      <c r="V2151" s="48">
        <f>IF(OR($M2151="",$T2151=""),"",$T2151+(V$2*$M2151))</f>
        <v/>
      </c>
      <c r="W2151" s="48">
        <f>IF(OR($M2151="",$T2151=""),"",$T2151+(W$2*$M2151))</f>
        <v/>
      </c>
      <c r="X2151" s="49">
        <f>IF(OR($M2151="",$T2151=""),"",$T2151+(X$2*$M2151))</f>
        <v/>
      </c>
      <c r="Y2151" s="47">
        <f>IF(OR($M2151="",$T2151=""),"",$T2151+(Y$2*$M2151))</f>
        <v/>
      </c>
      <c r="Z2151" s="49">
        <f>IF(OR($M2151="",$T2151=""),"",$T2151+(Z$2*$M2151))</f>
        <v/>
      </c>
      <c r="AA2151" s="51">
        <f>IF(OR($M2151="",$T2151=""),"",$T2151+(AA$2*$M2151))</f>
        <v/>
      </c>
      <c r="AB2151" s="48">
        <f>IF(OR($M2151="",$T2151=""),"",$T2151+(AB$2*$M2151))</f>
        <v/>
      </c>
      <c r="AC2151" s="48">
        <f>IF(OR($M2151="",$T2151=""),"",$T2151+(AC$2*$M2151))</f>
        <v/>
      </c>
      <c r="AD2151" s="48">
        <f>IF(OR($M2151="",$T2151=""),"",$T2151+(AD$2*$M2151))</f>
        <v/>
      </c>
      <c r="AE2151" s="49">
        <f>IF(OR($M2151="",$T2151=""),"",$T2151+(AE$2*$M2151))</f>
        <v/>
      </c>
      <c r="AF2151" s="52">
        <f>IF(OR(T2151="",I2151&lt;T2151),"",IFERROR(AVERAGE(T2151+M2151*{7,8,9,10,11})/IF(G2151="",I2151,G2151)-1,""))</f>
        <v/>
      </c>
      <c r="AG2151" s="55">
        <f>IF(OR(T2151="",I2151&lt;T2151),"",IFERROR(AF2151/-(R2151/IF(G2151="",I2151,G2151)-1),""))</f>
        <v/>
      </c>
      <c r="AH2151" s="94" t="n"/>
      <c r="AI2151" s="94" t="n"/>
      <c r="AJ2151" s="94" t="n"/>
      <c r="AK2151" s="94" t="n"/>
      <c r="AL2151" s="84" t="n"/>
    </row>
    <row r="2152">
      <c r="A2152" s="64" t="n"/>
      <c r="B2152" s="65" t="n"/>
      <c r="C2152" s="66" t="n"/>
      <c r="D2152" s="67" t="n"/>
      <c r="E2152" s="68" t="n"/>
      <c r="F2152" s="47">
        <f>IF(A2152="","",IF(MIN(H2152,MAX(J2152:K2152))=0,"",MIN(H2152,MAX(J2152:K2152))))</f>
        <v/>
      </c>
      <c r="G2152" s="74" t="n"/>
      <c r="H2152" s="49">
        <f>IF(M2152="","",IFERROR(ROUND(AVERAGE(T2152+M2152*{7,8,9,10,11})/1.21,4),""))</f>
        <v/>
      </c>
      <c r="I2152" s="76" t="n"/>
      <c r="J2152" s="77" t="n"/>
      <c r="K2152" s="74" t="n"/>
      <c r="L2152" s="78" t="n"/>
      <c r="M2152" s="77" t="n"/>
      <c r="N2152" s="53">
        <f>IF(M2152="","",IFERROR(M2152/I2152,""))</f>
        <v/>
      </c>
      <c r="O2152" s="50">
        <f>IF(A2152="","",IFERROR((IF(G2152="",I2152,G2152)-T2152)/M2152,""))</f>
        <v/>
      </c>
      <c r="P2152" s="50">
        <f>IFERROR((I2152/T2152-1)/N2152,"")</f>
        <v/>
      </c>
      <c r="Q2152" s="46">
        <f>IF(OR(T2152="",I2152&lt;T2152),"",IFERROR(R2152/IF(G2152="",I2152,G2152)-1,""))</f>
        <v/>
      </c>
      <c r="R2152" s="48">
        <f>IF($M2152="","",MAX(IF($G2152="",$I2152,$G2152)*(1/1.1),IF($G2152="",$I2152,$G2152)+(R$2*$M2152)))</f>
        <v/>
      </c>
      <c r="S2152" s="49">
        <f>IF($M2152="","",MAX(IF($G2152="",$I2152,$G2152)*(1/1.1),IF($G2152="",$I2152,$G2152)+(S$2*$M2152)))</f>
        <v/>
      </c>
      <c r="T2152" s="82" t="n"/>
      <c r="U2152" s="47">
        <f>IF(OR($M2152="",$T2152=""),"",$T2152+(U$2*$M2152))</f>
        <v/>
      </c>
      <c r="V2152" s="48">
        <f>IF(OR($M2152="",$T2152=""),"",$T2152+(V$2*$M2152))</f>
        <v/>
      </c>
      <c r="W2152" s="48">
        <f>IF(OR($M2152="",$T2152=""),"",$T2152+(W$2*$M2152))</f>
        <v/>
      </c>
      <c r="X2152" s="49">
        <f>IF(OR($M2152="",$T2152=""),"",$T2152+(X$2*$M2152))</f>
        <v/>
      </c>
      <c r="Y2152" s="47">
        <f>IF(OR($M2152="",$T2152=""),"",$T2152+(Y$2*$M2152))</f>
        <v/>
      </c>
      <c r="Z2152" s="49">
        <f>IF(OR($M2152="",$T2152=""),"",$T2152+(Z$2*$M2152))</f>
        <v/>
      </c>
      <c r="AA2152" s="51">
        <f>IF(OR($M2152="",$T2152=""),"",$T2152+(AA$2*$M2152))</f>
        <v/>
      </c>
      <c r="AB2152" s="48">
        <f>IF(OR($M2152="",$T2152=""),"",$T2152+(AB$2*$M2152))</f>
        <v/>
      </c>
      <c r="AC2152" s="48">
        <f>IF(OR($M2152="",$T2152=""),"",$T2152+(AC$2*$M2152))</f>
        <v/>
      </c>
      <c r="AD2152" s="48">
        <f>IF(OR($M2152="",$T2152=""),"",$T2152+(AD$2*$M2152))</f>
        <v/>
      </c>
      <c r="AE2152" s="49">
        <f>IF(OR($M2152="",$T2152=""),"",$T2152+(AE$2*$M2152))</f>
        <v/>
      </c>
      <c r="AF2152" s="52">
        <f>IF(OR(T2152="",I2152&lt;T2152),"",IFERROR(AVERAGE(T2152+M2152*{7,8,9,10,11})/IF(G2152="",I2152,G2152)-1,""))</f>
        <v/>
      </c>
      <c r="AG2152" s="55">
        <f>IF(OR(T2152="",I2152&lt;T2152),"",IFERROR(AF2152/-(R2152/IF(G2152="",I2152,G2152)-1),""))</f>
        <v/>
      </c>
      <c r="AH2152" s="94" t="n"/>
      <c r="AI2152" s="94" t="n"/>
      <c r="AJ2152" s="94" t="n"/>
      <c r="AK2152" s="94" t="n"/>
      <c r="AL2152" s="84" t="n"/>
    </row>
    <row r="2153">
      <c r="A2153" s="64" t="n"/>
      <c r="B2153" s="65" t="n"/>
      <c r="C2153" s="66" t="n"/>
      <c r="D2153" s="67" t="n"/>
      <c r="E2153" s="68" t="n"/>
      <c r="F2153" s="47">
        <f>IF(A2153="","",IF(MIN(H2153,MAX(J2153:K2153))=0,"",MIN(H2153,MAX(J2153:K2153))))</f>
        <v/>
      </c>
      <c r="G2153" s="74" t="n"/>
      <c r="H2153" s="49">
        <f>IF(M2153="","",IFERROR(ROUND(AVERAGE(T2153+M2153*{7,8,9,10,11})/1.21,4),""))</f>
        <v/>
      </c>
      <c r="I2153" s="76" t="n"/>
      <c r="J2153" s="77" t="n"/>
      <c r="K2153" s="74" t="n"/>
      <c r="L2153" s="78" t="n"/>
      <c r="M2153" s="77" t="n"/>
      <c r="N2153" s="53">
        <f>IF(M2153="","",IFERROR(M2153/I2153,""))</f>
        <v/>
      </c>
      <c r="O2153" s="50">
        <f>IF(A2153="","",IFERROR((IF(G2153="",I2153,G2153)-T2153)/M2153,""))</f>
        <v/>
      </c>
      <c r="P2153" s="50">
        <f>IFERROR((I2153/T2153-1)/N2153,"")</f>
        <v/>
      </c>
      <c r="Q2153" s="46">
        <f>IF(OR(T2153="",I2153&lt;T2153),"",IFERROR(R2153/IF(G2153="",I2153,G2153)-1,""))</f>
        <v/>
      </c>
      <c r="R2153" s="48">
        <f>IF($M2153="","",MAX(IF($G2153="",$I2153,$G2153)*(1/1.1),IF($G2153="",$I2153,$G2153)+(R$2*$M2153)))</f>
        <v/>
      </c>
      <c r="S2153" s="49">
        <f>IF($M2153="","",MAX(IF($G2153="",$I2153,$G2153)*(1/1.1),IF($G2153="",$I2153,$G2153)+(S$2*$M2153)))</f>
        <v/>
      </c>
      <c r="T2153" s="82" t="n"/>
      <c r="U2153" s="47">
        <f>IF(OR($M2153="",$T2153=""),"",$T2153+(U$2*$M2153))</f>
        <v/>
      </c>
      <c r="V2153" s="48">
        <f>IF(OR($M2153="",$T2153=""),"",$T2153+(V$2*$M2153))</f>
        <v/>
      </c>
      <c r="W2153" s="48">
        <f>IF(OR($M2153="",$T2153=""),"",$T2153+(W$2*$M2153))</f>
        <v/>
      </c>
      <c r="X2153" s="49">
        <f>IF(OR($M2153="",$T2153=""),"",$T2153+(X$2*$M2153))</f>
        <v/>
      </c>
      <c r="Y2153" s="47">
        <f>IF(OR($M2153="",$T2153=""),"",$T2153+(Y$2*$M2153))</f>
        <v/>
      </c>
      <c r="Z2153" s="49">
        <f>IF(OR($M2153="",$T2153=""),"",$T2153+(Z$2*$M2153))</f>
        <v/>
      </c>
      <c r="AA2153" s="51">
        <f>IF(OR($M2153="",$T2153=""),"",$T2153+(AA$2*$M2153))</f>
        <v/>
      </c>
      <c r="AB2153" s="48">
        <f>IF(OR($M2153="",$T2153=""),"",$T2153+(AB$2*$M2153))</f>
        <v/>
      </c>
      <c r="AC2153" s="48">
        <f>IF(OR($M2153="",$T2153=""),"",$T2153+(AC$2*$M2153))</f>
        <v/>
      </c>
      <c r="AD2153" s="48">
        <f>IF(OR($M2153="",$T2153=""),"",$T2153+(AD$2*$M2153))</f>
        <v/>
      </c>
      <c r="AE2153" s="49">
        <f>IF(OR($M2153="",$T2153=""),"",$T2153+(AE$2*$M2153))</f>
        <v/>
      </c>
      <c r="AF2153" s="52">
        <f>IF(OR(T2153="",I2153&lt;T2153),"",IFERROR(AVERAGE(T2153+M2153*{7,8,9,10,11})/IF(G2153="",I2153,G2153)-1,""))</f>
        <v/>
      </c>
      <c r="AG2153" s="55">
        <f>IF(OR(T2153="",I2153&lt;T2153),"",IFERROR(AF2153/-(R2153/IF(G2153="",I2153,G2153)-1),""))</f>
        <v/>
      </c>
      <c r="AH2153" s="94" t="n"/>
      <c r="AI2153" s="94" t="n"/>
      <c r="AJ2153" s="94" t="n"/>
      <c r="AK2153" s="94" t="n"/>
      <c r="AL2153" s="84" t="n"/>
    </row>
    <row r="2154">
      <c r="A2154" s="64" t="n"/>
      <c r="B2154" s="65" t="n"/>
      <c r="C2154" s="66" t="n"/>
      <c r="D2154" s="67" t="n"/>
      <c r="E2154" s="68" t="n"/>
      <c r="F2154" s="47">
        <f>IF(A2154="","",IF(MIN(H2154,MAX(J2154:K2154))=0,"",MIN(H2154,MAX(J2154:K2154))))</f>
        <v/>
      </c>
      <c r="G2154" s="74" t="n"/>
      <c r="H2154" s="49">
        <f>IF(M2154="","",IFERROR(ROUND(AVERAGE(T2154+M2154*{7,8,9,10,11})/1.21,4),""))</f>
        <v/>
      </c>
      <c r="I2154" s="76" t="n"/>
      <c r="J2154" s="77" t="n"/>
      <c r="K2154" s="74" t="n"/>
      <c r="L2154" s="78" t="n"/>
      <c r="M2154" s="77" t="n"/>
      <c r="N2154" s="53">
        <f>IF(M2154="","",IFERROR(M2154/I2154,""))</f>
        <v/>
      </c>
      <c r="O2154" s="50">
        <f>IF(A2154="","",IFERROR((IF(G2154="",I2154,G2154)-T2154)/M2154,""))</f>
        <v/>
      </c>
      <c r="P2154" s="50">
        <f>IFERROR((I2154/T2154-1)/N2154,"")</f>
        <v/>
      </c>
      <c r="Q2154" s="46">
        <f>IF(OR(T2154="",I2154&lt;T2154),"",IFERROR(R2154/IF(G2154="",I2154,G2154)-1,""))</f>
        <v/>
      </c>
      <c r="R2154" s="48">
        <f>IF($M2154="","",MAX(IF($G2154="",$I2154,$G2154)*(1/1.1),IF($G2154="",$I2154,$G2154)+(R$2*$M2154)))</f>
        <v/>
      </c>
      <c r="S2154" s="49">
        <f>IF($M2154="","",MAX(IF($G2154="",$I2154,$G2154)*(1/1.1),IF($G2154="",$I2154,$G2154)+(S$2*$M2154)))</f>
        <v/>
      </c>
      <c r="T2154" s="82" t="n"/>
      <c r="U2154" s="47">
        <f>IF(OR($M2154="",$T2154=""),"",$T2154+(U$2*$M2154))</f>
        <v/>
      </c>
      <c r="V2154" s="48">
        <f>IF(OR($M2154="",$T2154=""),"",$T2154+(V$2*$M2154))</f>
        <v/>
      </c>
      <c r="W2154" s="48">
        <f>IF(OR($M2154="",$T2154=""),"",$T2154+(W$2*$M2154))</f>
        <v/>
      </c>
      <c r="X2154" s="49">
        <f>IF(OR($M2154="",$T2154=""),"",$T2154+(X$2*$M2154))</f>
        <v/>
      </c>
      <c r="Y2154" s="47">
        <f>IF(OR($M2154="",$T2154=""),"",$T2154+(Y$2*$M2154))</f>
        <v/>
      </c>
      <c r="Z2154" s="49">
        <f>IF(OR($M2154="",$T2154=""),"",$T2154+(Z$2*$M2154))</f>
        <v/>
      </c>
      <c r="AA2154" s="51">
        <f>IF(OR($M2154="",$T2154=""),"",$T2154+(AA$2*$M2154))</f>
        <v/>
      </c>
      <c r="AB2154" s="48">
        <f>IF(OR($M2154="",$T2154=""),"",$T2154+(AB$2*$M2154))</f>
        <v/>
      </c>
      <c r="AC2154" s="48">
        <f>IF(OR($M2154="",$T2154=""),"",$T2154+(AC$2*$M2154))</f>
        <v/>
      </c>
      <c r="AD2154" s="48">
        <f>IF(OR($M2154="",$T2154=""),"",$T2154+(AD$2*$M2154))</f>
        <v/>
      </c>
      <c r="AE2154" s="49">
        <f>IF(OR($M2154="",$T2154=""),"",$T2154+(AE$2*$M2154))</f>
        <v/>
      </c>
      <c r="AF2154" s="52">
        <f>IF(OR(T2154="",I2154&lt;T2154),"",IFERROR(AVERAGE(T2154+M2154*{7,8,9,10,11})/IF(G2154="",I2154,G2154)-1,""))</f>
        <v/>
      </c>
      <c r="AG2154" s="55">
        <f>IF(OR(T2154="",I2154&lt;T2154),"",IFERROR(AF2154/-(R2154/IF(G2154="",I2154,G2154)-1),""))</f>
        <v/>
      </c>
      <c r="AH2154" s="94" t="n"/>
      <c r="AI2154" s="94" t="n"/>
      <c r="AJ2154" s="94" t="n"/>
      <c r="AK2154" s="94" t="n"/>
      <c r="AL2154" s="84" t="n"/>
    </row>
    <row r="2155">
      <c r="A2155" s="64" t="n"/>
      <c r="B2155" s="65" t="n"/>
      <c r="C2155" s="66" t="n"/>
      <c r="D2155" s="67" t="n"/>
      <c r="E2155" s="68" t="n"/>
      <c r="F2155" s="47">
        <f>IF(A2155="","",IF(MIN(H2155,MAX(J2155:K2155))=0,"",MIN(H2155,MAX(J2155:K2155))))</f>
        <v/>
      </c>
      <c r="G2155" s="74" t="n"/>
      <c r="H2155" s="49">
        <f>IF(M2155="","",IFERROR(ROUND(AVERAGE(T2155+M2155*{7,8,9,10,11})/1.21,4),""))</f>
        <v/>
      </c>
      <c r="I2155" s="76" t="n"/>
      <c r="J2155" s="77" t="n"/>
      <c r="K2155" s="74" t="n"/>
      <c r="L2155" s="78" t="n"/>
      <c r="M2155" s="77" t="n"/>
      <c r="N2155" s="53">
        <f>IF(M2155="","",IFERROR(M2155/I2155,""))</f>
        <v/>
      </c>
      <c r="O2155" s="50">
        <f>IF(A2155="","",IFERROR((IF(G2155="",I2155,G2155)-T2155)/M2155,""))</f>
        <v/>
      </c>
      <c r="P2155" s="50">
        <f>IFERROR((I2155/T2155-1)/N2155,"")</f>
        <v/>
      </c>
      <c r="Q2155" s="46">
        <f>IF(OR(T2155="",I2155&lt;T2155),"",IFERROR(R2155/IF(G2155="",I2155,G2155)-1,""))</f>
        <v/>
      </c>
      <c r="R2155" s="48">
        <f>IF($M2155="","",MAX(IF($G2155="",$I2155,$G2155)*(1/1.1),IF($G2155="",$I2155,$G2155)+(R$2*$M2155)))</f>
        <v/>
      </c>
      <c r="S2155" s="49">
        <f>IF($M2155="","",MAX(IF($G2155="",$I2155,$G2155)*(1/1.1),IF($G2155="",$I2155,$G2155)+(S$2*$M2155)))</f>
        <v/>
      </c>
      <c r="T2155" s="82" t="n"/>
      <c r="U2155" s="47">
        <f>IF(OR($M2155="",$T2155=""),"",$T2155+(U$2*$M2155))</f>
        <v/>
      </c>
      <c r="V2155" s="48">
        <f>IF(OR($M2155="",$T2155=""),"",$T2155+(V$2*$M2155))</f>
        <v/>
      </c>
      <c r="W2155" s="48">
        <f>IF(OR($M2155="",$T2155=""),"",$T2155+(W$2*$M2155))</f>
        <v/>
      </c>
      <c r="X2155" s="49">
        <f>IF(OR($M2155="",$T2155=""),"",$T2155+(X$2*$M2155))</f>
        <v/>
      </c>
      <c r="Y2155" s="47">
        <f>IF(OR($M2155="",$T2155=""),"",$T2155+(Y$2*$M2155))</f>
        <v/>
      </c>
      <c r="Z2155" s="49">
        <f>IF(OR($M2155="",$T2155=""),"",$T2155+(Z$2*$M2155))</f>
        <v/>
      </c>
      <c r="AA2155" s="51">
        <f>IF(OR($M2155="",$T2155=""),"",$T2155+(AA$2*$M2155))</f>
        <v/>
      </c>
      <c r="AB2155" s="48">
        <f>IF(OR($M2155="",$T2155=""),"",$T2155+(AB$2*$M2155))</f>
        <v/>
      </c>
      <c r="AC2155" s="48">
        <f>IF(OR($M2155="",$T2155=""),"",$T2155+(AC$2*$M2155))</f>
        <v/>
      </c>
      <c r="AD2155" s="48">
        <f>IF(OR($M2155="",$T2155=""),"",$T2155+(AD$2*$M2155))</f>
        <v/>
      </c>
      <c r="AE2155" s="49">
        <f>IF(OR($M2155="",$T2155=""),"",$T2155+(AE$2*$M2155))</f>
        <v/>
      </c>
      <c r="AF2155" s="52">
        <f>IF(OR(T2155="",I2155&lt;T2155),"",IFERROR(AVERAGE(T2155+M2155*{7,8,9,10,11})/IF(G2155="",I2155,G2155)-1,""))</f>
        <v/>
      </c>
      <c r="AG2155" s="55">
        <f>IF(OR(T2155="",I2155&lt;T2155),"",IFERROR(AF2155/-(R2155/IF(G2155="",I2155,G2155)-1),""))</f>
        <v/>
      </c>
      <c r="AH2155" s="94" t="n"/>
      <c r="AI2155" s="94" t="n"/>
      <c r="AJ2155" s="94" t="n"/>
      <c r="AK2155" s="94" t="n"/>
      <c r="AL2155" s="84" t="n"/>
    </row>
    <row r="2156">
      <c r="A2156" s="64" t="n"/>
      <c r="B2156" s="65" t="n"/>
      <c r="C2156" s="66" t="n"/>
      <c r="D2156" s="67" t="n"/>
      <c r="E2156" s="68" t="n"/>
      <c r="F2156" s="47">
        <f>IF(A2156="","",IF(MIN(H2156,MAX(J2156:K2156))=0,"",MIN(H2156,MAX(J2156:K2156))))</f>
        <v/>
      </c>
      <c r="G2156" s="74" t="n"/>
      <c r="H2156" s="49">
        <f>IF(M2156="","",IFERROR(ROUND(AVERAGE(T2156+M2156*{7,8,9,10,11})/1.21,4),""))</f>
        <v/>
      </c>
      <c r="I2156" s="76" t="n"/>
      <c r="J2156" s="77" t="n"/>
      <c r="K2156" s="74" t="n"/>
      <c r="L2156" s="78" t="n"/>
      <c r="M2156" s="77" t="n"/>
      <c r="N2156" s="53">
        <f>IF(M2156="","",IFERROR(M2156/I2156,""))</f>
        <v/>
      </c>
      <c r="O2156" s="50">
        <f>IF(A2156="","",IFERROR((IF(G2156="",I2156,G2156)-T2156)/M2156,""))</f>
        <v/>
      </c>
      <c r="P2156" s="50">
        <f>IFERROR((I2156/T2156-1)/N2156,"")</f>
        <v/>
      </c>
      <c r="Q2156" s="46">
        <f>IF(OR(T2156="",I2156&lt;T2156),"",IFERROR(R2156/IF(G2156="",I2156,G2156)-1,""))</f>
        <v/>
      </c>
      <c r="R2156" s="48">
        <f>IF($M2156="","",MAX(IF($G2156="",$I2156,$G2156)*(1/1.1),IF($G2156="",$I2156,$G2156)+(R$2*$M2156)))</f>
        <v/>
      </c>
      <c r="S2156" s="49">
        <f>IF($M2156="","",MAX(IF($G2156="",$I2156,$G2156)*(1/1.1),IF($G2156="",$I2156,$G2156)+(S$2*$M2156)))</f>
        <v/>
      </c>
      <c r="T2156" s="82" t="n"/>
      <c r="U2156" s="47">
        <f>IF(OR($M2156="",$T2156=""),"",$T2156+(U$2*$M2156))</f>
        <v/>
      </c>
      <c r="V2156" s="48">
        <f>IF(OR($M2156="",$T2156=""),"",$T2156+(V$2*$M2156))</f>
        <v/>
      </c>
      <c r="W2156" s="48">
        <f>IF(OR($M2156="",$T2156=""),"",$T2156+(W$2*$M2156))</f>
        <v/>
      </c>
      <c r="X2156" s="49">
        <f>IF(OR($M2156="",$T2156=""),"",$T2156+(X$2*$M2156))</f>
        <v/>
      </c>
      <c r="Y2156" s="47">
        <f>IF(OR($M2156="",$T2156=""),"",$T2156+(Y$2*$M2156))</f>
        <v/>
      </c>
      <c r="Z2156" s="49">
        <f>IF(OR($M2156="",$T2156=""),"",$T2156+(Z$2*$M2156))</f>
        <v/>
      </c>
      <c r="AA2156" s="51">
        <f>IF(OR($M2156="",$T2156=""),"",$T2156+(AA$2*$M2156))</f>
        <v/>
      </c>
      <c r="AB2156" s="48">
        <f>IF(OR($M2156="",$T2156=""),"",$T2156+(AB$2*$M2156))</f>
        <v/>
      </c>
      <c r="AC2156" s="48">
        <f>IF(OR($M2156="",$T2156=""),"",$T2156+(AC$2*$M2156))</f>
        <v/>
      </c>
      <c r="AD2156" s="48">
        <f>IF(OR($M2156="",$T2156=""),"",$T2156+(AD$2*$M2156))</f>
        <v/>
      </c>
      <c r="AE2156" s="49">
        <f>IF(OR($M2156="",$T2156=""),"",$T2156+(AE$2*$M2156))</f>
        <v/>
      </c>
      <c r="AF2156" s="52">
        <f>IF(OR(T2156="",I2156&lt;T2156),"",IFERROR(AVERAGE(T2156+M2156*{7,8,9,10,11})/IF(G2156="",I2156,G2156)-1,""))</f>
        <v/>
      </c>
      <c r="AG2156" s="55">
        <f>IF(OR(T2156="",I2156&lt;T2156),"",IFERROR(AF2156/-(R2156/IF(G2156="",I2156,G2156)-1),""))</f>
        <v/>
      </c>
      <c r="AH2156" s="94" t="n"/>
      <c r="AI2156" s="94" t="n"/>
      <c r="AJ2156" s="94" t="n"/>
      <c r="AK2156" s="94" t="n"/>
      <c r="AL2156" s="84" t="n"/>
    </row>
    <row r="2157">
      <c r="A2157" s="64" t="n"/>
      <c r="B2157" s="65" t="n"/>
      <c r="C2157" s="66" t="n"/>
      <c r="D2157" s="67" t="n"/>
      <c r="E2157" s="68" t="n"/>
      <c r="F2157" s="47">
        <f>IF(A2157="","",IF(MIN(H2157,MAX(J2157:K2157))=0,"",MIN(H2157,MAX(J2157:K2157))))</f>
        <v/>
      </c>
      <c r="G2157" s="74" t="n"/>
      <c r="H2157" s="49">
        <f>IF(M2157="","",IFERROR(ROUND(AVERAGE(T2157+M2157*{7,8,9,10,11})/1.21,4),""))</f>
        <v/>
      </c>
      <c r="I2157" s="76" t="n"/>
      <c r="J2157" s="77" t="n"/>
      <c r="K2157" s="74" t="n"/>
      <c r="L2157" s="78" t="n"/>
      <c r="M2157" s="77" t="n"/>
      <c r="N2157" s="53">
        <f>IF(M2157="","",IFERROR(M2157/I2157,""))</f>
        <v/>
      </c>
      <c r="O2157" s="50">
        <f>IF(A2157="","",IFERROR((IF(G2157="",I2157,G2157)-T2157)/M2157,""))</f>
        <v/>
      </c>
      <c r="P2157" s="50">
        <f>IFERROR((I2157/T2157-1)/N2157,"")</f>
        <v/>
      </c>
      <c r="Q2157" s="46">
        <f>IF(OR(T2157="",I2157&lt;T2157),"",IFERROR(R2157/IF(G2157="",I2157,G2157)-1,""))</f>
        <v/>
      </c>
      <c r="R2157" s="48">
        <f>IF($M2157="","",MAX(IF($G2157="",$I2157,$G2157)*(1/1.1),IF($G2157="",$I2157,$G2157)+(R$2*$M2157)))</f>
        <v/>
      </c>
      <c r="S2157" s="49">
        <f>IF($M2157="","",MAX(IF($G2157="",$I2157,$G2157)*(1/1.1),IF($G2157="",$I2157,$G2157)+(S$2*$M2157)))</f>
        <v/>
      </c>
      <c r="T2157" s="82" t="n"/>
      <c r="U2157" s="47">
        <f>IF(OR($M2157="",$T2157=""),"",$T2157+(U$2*$M2157))</f>
        <v/>
      </c>
      <c r="V2157" s="48">
        <f>IF(OR($M2157="",$T2157=""),"",$T2157+(V$2*$M2157))</f>
        <v/>
      </c>
      <c r="W2157" s="48">
        <f>IF(OR($M2157="",$T2157=""),"",$T2157+(W$2*$M2157))</f>
        <v/>
      </c>
      <c r="X2157" s="49">
        <f>IF(OR($M2157="",$T2157=""),"",$T2157+(X$2*$M2157))</f>
        <v/>
      </c>
      <c r="Y2157" s="47">
        <f>IF(OR($M2157="",$T2157=""),"",$T2157+(Y$2*$M2157))</f>
        <v/>
      </c>
      <c r="Z2157" s="49">
        <f>IF(OR($M2157="",$T2157=""),"",$T2157+(Z$2*$M2157))</f>
        <v/>
      </c>
      <c r="AA2157" s="51">
        <f>IF(OR($M2157="",$T2157=""),"",$T2157+(AA$2*$M2157))</f>
        <v/>
      </c>
      <c r="AB2157" s="48">
        <f>IF(OR($M2157="",$T2157=""),"",$T2157+(AB$2*$M2157))</f>
        <v/>
      </c>
      <c r="AC2157" s="48">
        <f>IF(OR($M2157="",$T2157=""),"",$T2157+(AC$2*$M2157))</f>
        <v/>
      </c>
      <c r="AD2157" s="48">
        <f>IF(OR($M2157="",$T2157=""),"",$T2157+(AD$2*$M2157))</f>
        <v/>
      </c>
      <c r="AE2157" s="49">
        <f>IF(OR($M2157="",$T2157=""),"",$T2157+(AE$2*$M2157))</f>
        <v/>
      </c>
      <c r="AF2157" s="52">
        <f>IF(OR(T2157="",I2157&lt;T2157),"",IFERROR(AVERAGE(T2157+M2157*{7,8,9,10,11})/IF(G2157="",I2157,G2157)-1,""))</f>
        <v/>
      </c>
      <c r="AG2157" s="55">
        <f>IF(OR(T2157="",I2157&lt;T2157),"",IFERROR(AF2157/-(R2157/IF(G2157="",I2157,G2157)-1),""))</f>
        <v/>
      </c>
      <c r="AH2157" s="94" t="n"/>
      <c r="AI2157" s="94" t="n"/>
      <c r="AJ2157" s="94" t="n"/>
      <c r="AK2157" s="94" t="n"/>
      <c r="AL2157" s="84" t="n"/>
    </row>
    <row r="2158">
      <c r="A2158" s="64" t="n"/>
      <c r="B2158" s="65" t="n"/>
      <c r="C2158" s="66" t="n"/>
      <c r="D2158" s="67" t="n"/>
      <c r="E2158" s="68" t="n"/>
      <c r="F2158" s="47">
        <f>IF(A2158="","",IF(MIN(H2158,MAX(J2158:K2158))=0,"",MIN(H2158,MAX(J2158:K2158))))</f>
        <v/>
      </c>
      <c r="G2158" s="74" t="n"/>
      <c r="H2158" s="49">
        <f>IF(M2158="","",IFERROR(ROUND(AVERAGE(T2158+M2158*{7,8,9,10,11})/1.21,4),""))</f>
        <v/>
      </c>
      <c r="I2158" s="76" t="n"/>
      <c r="J2158" s="77" t="n"/>
      <c r="K2158" s="74" t="n"/>
      <c r="L2158" s="78" t="n"/>
      <c r="M2158" s="77" t="n"/>
      <c r="N2158" s="53">
        <f>IF(M2158="","",IFERROR(M2158/I2158,""))</f>
        <v/>
      </c>
      <c r="O2158" s="50">
        <f>IF(A2158="","",IFERROR((IF(G2158="",I2158,G2158)-T2158)/M2158,""))</f>
        <v/>
      </c>
      <c r="P2158" s="50">
        <f>IFERROR((I2158/T2158-1)/N2158,"")</f>
        <v/>
      </c>
      <c r="Q2158" s="46">
        <f>IF(OR(T2158="",I2158&lt;T2158),"",IFERROR(R2158/IF(G2158="",I2158,G2158)-1,""))</f>
        <v/>
      </c>
      <c r="R2158" s="48">
        <f>IF($M2158="","",MAX(IF($G2158="",$I2158,$G2158)*(1/1.1),IF($G2158="",$I2158,$G2158)+(R$2*$M2158)))</f>
        <v/>
      </c>
      <c r="S2158" s="49">
        <f>IF($M2158="","",MAX(IF($G2158="",$I2158,$G2158)*(1/1.1),IF($G2158="",$I2158,$G2158)+(S$2*$M2158)))</f>
        <v/>
      </c>
      <c r="T2158" s="82" t="n"/>
      <c r="U2158" s="47">
        <f>IF(OR($M2158="",$T2158=""),"",$T2158+(U$2*$M2158))</f>
        <v/>
      </c>
      <c r="V2158" s="48">
        <f>IF(OR($M2158="",$T2158=""),"",$T2158+(V$2*$M2158))</f>
        <v/>
      </c>
      <c r="W2158" s="48">
        <f>IF(OR($M2158="",$T2158=""),"",$T2158+(W$2*$M2158))</f>
        <v/>
      </c>
      <c r="X2158" s="49">
        <f>IF(OR($M2158="",$T2158=""),"",$T2158+(X$2*$M2158))</f>
        <v/>
      </c>
      <c r="Y2158" s="47">
        <f>IF(OR($M2158="",$T2158=""),"",$T2158+(Y$2*$M2158))</f>
        <v/>
      </c>
      <c r="Z2158" s="49">
        <f>IF(OR($M2158="",$T2158=""),"",$T2158+(Z$2*$M2158))</f>
        <v/>
      </c>
      <c r="AA2158" s="51">
        <f>IF(OR($M2158="",$T2158=""),"",$T2158+(AA$2*$M2158))</f>
        <v/>
      </c>
      <c r="AB2158" s="48">
        <f>IF(OR($M2158="",$T2158=""),"",$T2158+(AB$2*$M2158))</f>
        <v/>
      </c>
      <c r="AC2158" s="48">
        <f>IF(OR($M2158="",$T2158=""),"",$T2158+(AC$2*$M2158))</f>
        <v/>
      </c>
      <c r="AD2158" s="48">
        <f>IF(OR($M2158="",$T2158=""),"",$T2158+(AD$2*$M2158))</f>
        <v/>
      </c>
      <c r="AE2158" s="49">
        <f>IF(OR($M2158="",$T2158=""),"",$T2158+(AE$2*$M2158))</f>
        <v/>
      </c>
      <c r="AF2158" s="52">
        <f>IF(OR(T2158="",I2158&lt;T2158),"",IFERROR(AVERAGE(T2158+M2158*{7,8,9,10,11})/IF(G2158="",I2158,G2158)-1,""))</f>
        <v/>
      </c>
      <c r="AG2158" s="55">
        <f>IF(OR(T2158="",I2158&lt;T2158),"",IFERROR(AF2158/-(R2158/IF(G2158="",I2158,G2158)-1),""))</f>
        <v/>
      </c>
      <c r="AH2158" s="94" t="n"/>
      <c r="AI2158" s="94" t="n"/>
      <c r="AJ2158" s="94" t="n"/>
      <c r="AK2158" s="94" t="n"/>
      <c r="AL2158" s="84" t="n"/>
    </row>
    <row r="2159">
      <c r="A2159" s="64" t="n"/>
      <c r="B2159" s="65" t="n"/>
      <c r="C2159" s="66" t="n"/>
      <c r="D2159" s="67" t="n"/>
      <c r="E2159" s="68" t="n"/>
      <c r="F2159" s="47">
        <f>IF(A2159="","",IF(MIN(H2159,MAX(J2159:K2159))=0,"",MIN(H2159,MAX(J2159:K2159))))</f>
        <v/>
      </c>
      <c r="G2159" s="74" t="n"/>
      <c r="H2159" s="49">
        <f>IF(M2159="","",IFERROR(ROUND(AVERAGE(T2159+M2159*{7,8,9,10,11})/1.21,4),""))</f>
        <v/>
      </c>
      <c r="I2159" s="76" t="n"/>
      <c r="J2159" s="77" t="n"/>
      <c r="K2159" s="74" t="n"/>
      <c r="L2159" s="78" t="n"/>
      <c r="M2159" s="77" t="n"/>
      <c r="N2159" s="53">
        <f>IF(M2159="","",IFERROR(M2159/I2159,""))</f>
        <v/>
      </c>
      <c r="O2159" s="50">
        <f>IF(A2159="","",IFERROR((IF(G2159="",I2159,G2159)-T2159)/M2159,""))</f>
        <v/>
      </c>
      <c r="P2159" s="50">
        <f>IFERROR((I2159/T2159-1)/N2159,"")</f>
        <v/>
      </c>
      <c r="Q2159" s="46">
        <f>IF(OR(T2159="",I2159&lt;T2159),"",IFERROR(R2159/IF(G2159="",I2159,G2159)-1,""))</f>
        <v/>
      </c>
      <c r="R2159" s="48">
        <f>IF($M2159="","",MAX(IF($G2159="",$I2159,$G2159)*(1/1.1),IF($G2159="",$I2159,$G2159)+(R$2*$M2159)))</f>
        <v/>
      </c>
      <c r="S2159" s="49">
        <f>IF($M2159="","",MAX(IF($G2159="",$I2159,$G2159)*(1/1.1),IF($G2159="",$I2159,$G2159)+(S$2*$M2159)))</f>
        <v/>
      </c>
      <c r="T2159" s="82" t="n"/>
      <c r="U2159" s="47">
        <f>IF(OR($M2159="",$T2159=""),"",$T2159+(U$2*$M2159))</f>
        <v/>
      </c>
      <c r="V2159" s="48">
        <f>IF(OR($M2159="",$T2159=""),"",$T2159+(V$2*$M2159))</f>
        <v/>
      </c>
      <c r="W2159" s="48">
        <f>IF(OR($M2159="",$T2159=""),"",$T2159+(W$2*$M2159))</f>
        <v/>
      </c>
      <c r="X2159" s="49">
        <f>IF(OR($M2159="",$T2159=""),"",$T2159+(X$2*$M2159))</f>
        <v/>
      </c>
      <c r="Y2159" s="47">
        <f>IF(OR($M2159="",$T2159=""),"",$T2159+(Y$2*$M2159))</f>
        <v/>
      </c>
      <c r="Z2159" s="49">
        <f>IF(OR($M2159="",$T2159=""),"",$T2159+(Z$2*$M2159))</f>
        <v/>
      </c>
      <c r="AA2159" s="51">
        <f>IF(OR($M2159="",$T2159=""),"",$T2159+(AA$2*$M2159))</f>
        <v/>
      </c>
      <c r="AB2159" s="48">
        <f>IF(OR($M2159="",$T2159=""),"",$T2159+(AB$2*$M2159))</f>
        <v/>
      </c>
      <c r="AC2159" s="48">
        <f>IF(OR($M2159="",$T2159=""),"",$T2159+(AC$2*$M2159))</f>
        <v/>
      </c>
      <c r="AD2159" s="48">
        <f>IF(OR($M2159="",$T2159=""),"",$T2159+(AD$2*$M2159))</f>
        <v/>
      </c>
      <c r="AE2159" s="49">
        <f>IF(OR($M2159="",$T2159=""),"",$T2159+(AE$2*$M2159))</f>
        <v/>
      </c>
      <c r="AF2159" s="52">
        <f>IF(OR(T2159="",I2159&lt;T2159),"",IFERROR(AVERAGE(T2159+M2159*{7,8,9,10,11})/IF(G2159="",I2159,G2159)-1,""))</f>
        <v/>
      </c>
      <c r="AG2159" s="55">
        <f>IF(OR(T2159="",I2159&lt;T2159),"",IFERROR(AF2159/-(R2159/IF(G2159="",I2159,G2159)-1),""))</f>
        <v/>
      </c>
      <c r="AH2159" s="94" t="n"/>
      <c r="AI2159" s="94" t="n"/>
      <c r="AJ2159" s="94" t="n"/>
      <c r="AK2159" s="94" t="n"/>
      <c r="AL2159" s="84" t="n"/>
    </row>
    <row r="2160">
      <c r="A2160" s="64" t="n"/>
      <c r="B2160" s="65" t="n"/>
      <c r="C2160" s="66" t="n"/>
      <c r="D2160" s="67" t="n"/>
      <c r="E2160" s="68" t="n"/>
      <c r="F2160" s="47">
        <f>IF(A2160="","",IF(MIN(H2160,MAX(J2160:K2160))=0,"",MIN(H2160,MAX(J2160:K2160))))</f>
        <v/>
      </c>
      <c r="G2160" s="74" t="n"/>
      <c r="H2160" s="49">
        <f>IF(M2160="","",IFERROR(ROUND(AVERAGE(T2160+M2160*{7,8,9,10,11})/1.21,4),""))</f>
        <v/>
      </c>
      <c r="I2160" s="76" t="n"/>
      <c r="J2160" s="77" t="n"/>
      <c r="K2160" s="74" t="n"/>
      <c r="L2160" s="78" t="n"/>
      <c r="M2160" s="77" t="n"/>
      <c r="N2160" s="53">
        <f>IF(M2160="","",IFERROR(M2160/I2160,""))</f>
        <v/>
      </c>
      <c r="O2160" s="50">
        <f>IF(A2160="","",IFERROR((IF(G2160="",I2160,G2160)-T2160)/M2160,""))</f>
        <v/>
      </c>
      <c r="P2160" s="50">
        <f>IFERROR((I2160/T2160-1)/N2160,"")</f>
        <v/>
      </c>
      <c r="Q2160" s="46">
        <f>IF(OR(T2160="",I2160&lt;T2160),"",IFERROR(R2160/IF(G2160="",I2160,G2160)-1,""))</f>
        <v/>
      </c>
      <c r="R2160" s="48">
        <f>IF($M2160="","",MAX(IF($G2160="",$I2160,$G2160)*(1/1.1),IF($G2160="",$I2160,$G2160)+(R$2*$M2160)))</f>
        <v/>
      </c>
      <c r="S2160" s="49">
        <f>IF($M2160="","",MAX(IF($G2160="",$I2160,$G2160)*(1/1.1),IF($G2160="",$I2160,$G2160)+(S$2*$M2160)))</f>
        <v/>
      </c>
      <c r="T2160" s="82" t="n"/>
      <c r="U2160" s="47">
        <f>IF(OR($M2160="",$T2160=""),"",$T2160+(U$2*$M2160))</f>
        <v/>
      </c>
      <c r="V2160" s="48">
        <f>IF(OR($M2160="",$T2160=""),"",$T2160+(V$2*$M2160))</f>
        <v/>
      </c>
      <c r="W2160" s="48">
        <f>IF(OR($M2160="",$T2160=""),"",$T2160+(W$2*$M2160))</f>
        <v/>
      </c>
      <c r="X2160" s="49">
        <f>IF(OR($M2160="",$T2160=""),"",$T2160+(X$2*$M2160))</f>
        <v/>
      </c>
      <c r="Y2160" s="47">
        <f>IF(OR($M2160="",$T2160=""),"",$T2160+(Y$2*$M2160))</f>
        <v/>
      </c>
      <c r="Z2160" s="49">
        <f>IF(OR($M2160="",$T2160=""),"",$T2160+(Z$2*$M2160))</f>
        <v/>
      </c>
      <c r="AA2160" s="51">
        <f>IF(OR($M2160="",$T2160=""),"",$T2160+(AA$2*$M2160))</f>
        <v/>
      </c>
      <c r="AB2160" s="48">
        <f>IF(OR($M2160="",$T2160=""),"",$T2160+(AB$2*$M2160))</f>
        <v/>
      </c>
      <c r="AC2160" s="48">
        <f>IF(OR($M2160="",$T2160=""),"",$T2160+(AC$2*$M2160))</f>
        <v/>
      </c>
      <c r="AD2160" s="48">
        <f>IF(OR($M2160="",$T2160=""),"",$T2160+(AD$2*$M2160))</f>
        <v/>
      </c>
      <c r="AE2160" s="49">
        <f>IF(OR($M2160="",$T2160=""),"",$T2160+(AE$2*$M2160))</f>
        <v/>
      </c>
      <c r="AF2160" s="52">
        <f>IF(OR(T2160="",I2160&lt;T2160),"",IFERROR(AVERAGE(T2160+M2160*{7,8,9,10,11})/IF(G2160="",I2160,G2160)-1,""))</f>
        <v/>
      </c>
      <c r="AG2160" s="55">
        <f>IF(OR(T2160="",I2160&lt;T2160),"",IFERROR(AF2160/-(R2160/IF(G2160="",I2160,G2160)-1),""))</f>
        <v/>
      </c>
      <c r="AH2160" s="94" t="n"/>
      <c r="AI2160" s="94" t="n"/>
      <c r="AJ2160" s="94" t="n"/>
      <c r="AK2160" s="94" t="n"/>
      <c r="AL2160" s="84" t="n"/>
    </row>
    <row r="2161">
      <c r="A2161" s="64" t="n"/>
      <c r="B2161" s="65" t="n"/>
      <c r="C2161" s="66" t="n"/>
      <c r="D2161" s="67" t="n"/>
      <c r="E2161" s="68" t="n"/>
      <c r="F2161" s="47">
        <f>IF(A2161="","",IF(MIN(H2161,MAX(J2161:K2161))=0,"",MIN(H2161,MAX(J2161:K2161))))</f>
        <v/>
      </c>
      <c r="G2161" s="74" t="n"/>
      <c r="H2161" s="49">
        <f>IF(M2161="","",IFERROR(ROUND(AVERAGE(T2161+M2161*{7,8,9,10,11})/1.21,4),""))</f>
        <v/>
      </c>
      <c r="I2161" s="76" t="n"/>
      <c r="J2161" s="77" t="n"/>
      <c r="K2161" s="74" t="n"/>
      <c r="L2161" s="78" t="n"/>
      <c r="M2161" s="77" t="n"/>
      <c r="N2161" s="53">
        <f>IF(M2161="","",IFERROR(M2161/I2161,""))</f>
        <v/>
      </c>
      <c r="O2161" s="50">
        <f>IF(A2161="","",IFERROR((IF(G2161="",I2161,G2161)-T2161)/M2161,""))</f>
        <v/>
      </c>
      <c r="P2161" s="50">
        <f>IFERROR((I2161/T2161-1)/N2161,"")</f>
        <v/>
      </c>
      <c r="Q2161" s="46">
        <f>IF(OR(T2161="",I2161&lt;T2161),"",IFERROR(R2161/IF(G2161="",I2161,G2161)-1,""))</f>
        <v/>
      </c>
      <c r="R2161" s="48">
        <f>IF($M2161="","",MAX(IF($G2161="",$I2161,$G2161)*(1/1.1),IF($G2161="",$I2161,$G2161)+(R$2*$M2161)))</f>
        <v/>
      </c>
      <c r="S2161" s="49">
        <f>IF($M2161="","",MAX(IF($G2161="",$I2161,$G2161)*(1/1.1),IF($G2161="",$I2161,$G2161)+(S$2*$M2161)))</f>
        <v/>
      </c>
      <c r="T2161" s="82" t="n"/>
      <c r="U2161" s="47">
        <f>IF(OR($M2161="",$T2161=""),"",$T2161+(U$2*$M2161))</f>
        <v/>
      </c>
      <c r="V2161" s="48">
        <f>IF(OR($M2161="",$T2161=""),"",$T2161+(V$2*$M2161))</f>
        <v/>
      </c>
      <c r="W2161" s="48">
        <f>IF(OR($M2161="",$T2161=""),"",$T2161+(W$2*$M2161))</f>
        <v/>
      </c>
      <c r="X2161" s="49">
        <f>IF(OR($M2161="",$T2161=""),"",$T2161+(X$2*$M2161))</f>
        <v/>
      </c>
      <c r="Y2161" s="47">
        <f>IF(OR($M2161="",$T2161=""),"",$T2161+(Y$2*$M2161))</f>
        <v/>
      </c>
      <c r="Z2161" s="49">
        <f>IF(OR($M2161="",$T2161=""),"",$T2161+(Z$2*$M2161))</f>
        <v/>
      </c>
      <c r="AA2161" s="51">
        <f>IF(OR($M2161="",$T2161=""),"",$T2161+(AA$2*$M2161))</f>
        <v/>
      </c>
      <c r="AB2161" s="48">
        <f>IF(OR($M2161="",$T2161=""),"",$T2161+(AB$2*$M2161))</f>
        <v/>
      </c>
      <c r="AC2161" s="48">
        <f>IF(OR($M2161="",$T2161=""),"",$T2161+(AC$2*$M2161))</f>
        <v/>
      </c>
      <c r="AD2161" s="48">
        <f>IF(OR($M2161="",$T2161=""),"",$T2161+(AD$2*$M2161))</f>
        <v/>
      </c>
      <c r="AE2161" s="49">
        <f>IF(OR($M2161="",$T2161=""),"",$T2161+(AE$2*$M2161))</f>
        <v/>
      </c>
      <c r="AF2161" s="52">
        <f>IF(OR(T2161="",I2161&lt;T2161),"",IFERROR(AVERAGE(T2161+M2161*{7,8,9,10,11})/IF(G2161="",I2161,G2161)-1,""))</f>
        <v/>
      </c>
      <c r="AG2161" s="55">
        <f>IF(OR(T2161="",I2161&lt;T2161),"",IFERROR(AF2161/-(R2161/IF(G2161="",I2161,G2161)-1),""))</f>
        <v/>
      </c>
      <c r="AH2161" s="94" t="n"/>
      <c r="AI2161" s="94" t="n"/>
      <c r="AJ2161" s="94" t="n"/>
      <c r="AK2161" s="94" t="n"/>
      <c r="AL2161" s="84" t="n"/>
    </row>
    <row r="2162">
      <c r="A2162" s="64" t="n"/>
      <c r="B2162" s="65" t="n"/>
      <c r="C2162" s="66" t="n"/>
      <c r="D2162" s="67" t="n"/>
      <c r="E2162" s="68" t="n"/>
      <c r="F2162" s="47">
        <f>IF(A2162="","",IF(MIN(H2162,MAX(J2162:K2162))=0,"",MIN(H2162,MAX(J2162:K2162))))</f>
        <v/>
      </c>
      <c r="G2162" s="74" t="n"/>
      <c r="H2162" s="49">
        <f>IF(M2162="","",IFERROR(ROUND(AVERAGE(T2162+M2162*{7,8,9,10,11})/1.21,4),""))</f>
        <v/>
      </c>
      <c r="I2162" s="76" t="n"/>
      <c r="J2162" s="77" t="n"/>
      <c r="K2162" s="74" t="n"/>
      <c r="L2162" s="78" t="n"/>
      <c r="M2162" s="77" t="n"/>
      <c r="N2162" s="53">
        <f>IF(M2162="","",IFERROR(M2162/I2162,""))</f>
        <v/>
      </c>
      <c r="O2162" s="50">
        <f>IF(A2162="","",IFERROR((IF(G2162="",I2162,G2162)-T2162)/M2162,""))</f>
        <v/>
      </c>
      <c r="P2162" s="50">
        <f>IFERROR((I2162/T2162-1)/N2162,"")</f>
        <v/>
      </c>
      <c r="Q2162" s="46">
        <f>IF(OR(T2162="",I2162&lt;T2162),"",IFERROR(R2162/IF(G2162="",I2162,G2162)-1,""))</f>
        <v/>
      </c>
      <c r="R2162" s="48">
        <f>IF($M2162="","",MAX(IF($G2162="",$I2162,$G2162)*(1/1.1),IF($G2162="",$I2162,$G2162)+(R$2*$M2162)))</f>
        <v/>
      </c>
      <c r="S2162" s="49">
        <f>IF($M2162="","",MAX(IF($G2162="",$I2162,$G2162)*(1/1.1),IF($G2162="",$I2162,$G2162)+(S$2*$M2162)))</f>
        <v/>
      </c>
      <c r="T2162" s="82" t="n"/>
      <c r="U2162" s="47">
        <f>IF(OR($M2162="",$T2162=""),"",$T2162+(U$2*$M2162))</f>
        <v/>
      </c>
      <c r="V2162" s="48">
        <f>IF(OR($M2162="",$T2162=""),"",$T2162+(V$2*$M2162))</f>
        <v/>
      </c>
      <c r="W2162" s="48">
        <f>IF(OR($M2162="",$T2162=""),"",$T2162+(W$2*$M2162))</f>
        <v/>
      </c>
      <c r="X2162" s="49">
        <f>IF(OR($M2162="",$T2162=""),"",$T2162+(X$2*$M2162))</f>
        <v/>
      </c>
      <c r="Y2162" s="47">
        <f>IF(OR($M2162="",$T2162=""),"",$T2162+(Y$2*$M2162))</f>
        <v/>
      </c>
      <c r="Z2162" s="49">
        <f>IF(OR($M2162="",$T2162=""),"",$T2162+(Z$2*$M2162))</f>
        <v/>
      </c>
      <c r="AA2162" s="51">
        <f>IF(OR($M2162="",$T2162=""),"",$T2162+(AA$2*$M2162))</f>
        <v/>
      </c>
      <c r="AB2162" s="48">
        <f>IF(OR($M2162="",$T2162=""),"",$T2162+(AB$2*$M2162))</f>
        <v/>
      </c>
      <c r="AC2162" s="48">
        <f>IF(OR($M2162="",$T2162=""),"",$T2162+(AC$2*$M2162))</f>
        <v/>
      </c>
      <c r="AD2162" s="48">
        <f>IF(OR($M2162="",$T2162=""),"",$T2162+(AD$2*$M2162))</f>
        <v/>
      </c>
      <c r="AE2162" s="49">
        <f>IF(OR($M2162="",$T2162=""),"",$T2162+(AE$2*$M2162))</f>
        <v/>
      </c>
      <c r="AF2162" s="52">
        <f>IF(OR(T2162="",I2162&lt;T2162),"",IFERROR(AVERAGE(T2162+M2162*{7,8,9,10,11})/IF(G2162="",I2162,G2162)-1,""))</f>
        <v/>
      </c>
      <c r="AG2162" s="55">
        <f>IF(OR(T2162="",I2162&lt;T2162),"",IFERROR(AF2162/-(R2162/IF(G2162="",I2162,G2162)-1),""))</f>
        <v/>
      </c>
      <c r="AH2162" s="94" t="n"/>
      <c r="AI2162" s="94" t="n"/>
      <c r="AJ2162" s="94" t="n"/>
      <c r="AK2162" s="94" t="n"/>
      <c r="AL2162" s="84" t="n"/>
    </row>
    <row r="2163">
      <c r="A2163" s="64" t="n"/>
      <c r="B2163" s="65" t="n"/>
      <c r="C2163" s="66" t="n"/>
      <c r="D2163" s="67" t="n"/>
      <c r="E2163" s="68" t="n"/>
      <c r="F2163" s="47">
        <f>IF(A2163="","",IF(MIN(H2163,MAX(J2163:K2163))=0,"",MIN(H2163,MAX(J2163:K2163))))</f>
        <v/>
      </c>
      <c r="G2163" s="74" t="n"/>
      <c r="H2163" s="49">
        <f>IF(M2163="","",IFERROR(ROUND(AVERAGE(T2163+M2163*{7,8,9,10,11})/1.21,4),""))</f>
        <v/>
      </c>
      <c r="I2163" s="76" t="n"/>
      <c r="J2163" s="77" t="n"/>
      <c r="K2163" s="74" t="n"/>
      <c r="L2163" s="78" t="n"/>
      <c r="M2163" s="77" t="n"/>
      <c r="N2163" s="53">
        <f>IF(M2163="","",IFERROR(M2163/I2163,""))</f>
        <v/>
      </c>
      <c r="O2163" s="50">
        <f>IF(A2163="","",IFERROR((IF(G2163="",I2163,G2163)-T2163)/M2163,""))</f>
        <v/>
      </c>
      <c r="P2163" s="50">
        <f>IFERROR((I2163/T2163-1)/N2163,"")</f>
        <v/>
      </c>
      <c r="Q2163" s="46">
        <f>IF(OR(T2163="",I2163&lt;T2163),"",IFERROR(R2163/IF(G2163="",I2163,G2163)-1,""))</f>
        <v/>
      </c>
      <c r="R2163" s="48">
        <f>IF($M2163="","",MAX(IF($G2163="",$I2163,$G2163)*(1/1.1),IF($G2163="",$I2163,$G2163)+(R$2*$M2163)))</f>
        <v/>
      </c>
      <c r="S2163" s="49">
        <f>IF($M2163="","",MAX(IF($G2163="",$I2163,$G2163)*(1/1.1),IF($G2163="",$I2163,$G2163)+(S$2*$M2163)))</f>
        <v/>
      </c>
      <c r="T2163" s="82" t="n"/>
      <c r="U2163" s="47">
        <f>IF(OR($M2163="",$T2163=""),"",$T2163+(U$2*$M2163))</f>
        <v/>
      </c>
      <c r="V2163" s="48">
        <f>IF(OR($M2163="",$T2163=""),"",$T2163+(V$2*$M2163))</f>
        <v/>
      </c>
      <c r="W2163" s="48">
        <f>IF(OR($M2163="",$T2163=""),"",$T2163+(W$2*$M2163))</f>
        <v/>
      </c>
      <c r="X2163" s="49">
        <f>IF(OR($M2163="",$T2163=""),"",$T2163+(X$2*$M2163))</f>
        <v/>
      </c>
      <c r="Y2163" s="47">
        <f>IF(OR($M2163="",$T2163=""),"",$T2163+(Y$2*$M2163))</f>
        <v/>
      </c>
      <c r="Z2163" s="49">
        <f>IF(OR($M2163="",$T2163=""),"",$T2163+(Z$2*$M2163))</f>
        <v/>
      </c>
      <c r="AA2163" s="51">
        <f>IF(OR($M2163="",$T2163=""),"",$T2163+(AA$2*$M2163))</f>
        <v/>
      </c>
      <c r="AB2163" s="48">
        <f>IF(OR($M2163="",$T2163=""),"",$T2163+(AB$2*$M2163))</f>
        <v/>
      </c>
      <c r="AC2163" s="48">
        <f>IF(OR($M2163="",$T2163=""),"",$T2163+(AC$2*$M2163))</f>
        <v/>
      </c>
      <c r="AD2163" s="48">
        <f>IF(OR($M2163="",$T2163=""),"",$T2163+(AD$2*$M2163))</f>
        <v/>
      </c>
      <c r="AE2163" s="49">
        <f>IF(OR($M2163="",$T2163=""),"",$T2163+(AE$2*$M2163))</f>
        <v/>
      </c>
      <c r="AF2163" s="52">
        <f>IF(OR(T2163="",I2163&lt;T2163),"",IFERROR(AVERAGE(T2163+M2163*{7,8,9,10,11})/IF(G2163="",I2163,G2163)-1,""))</f>
        <v/>
      </c>
      <c r="AG2163" s="55">
        <f>IF(OR(T2163="",I2163&lt;T2163),"",IFERROR(AF2163/-(R2163/IF(G2163="",I2163,G2163)-1),""))</f>
        <v/>
      </c>
      <c r="AH2163" s="94" t="n"/>
      <c r="AI2163" s="94" t="n"/>
      <c r="AJ2163" s="94" t="n"/>
      <c r="AK2163" s="94" t="n"/>
      <c r="AL2163" s="84" t="n"/>
    </row>
    <row r="2164">
      <c r="A2164" s="64" t="n"/>
      <c r="B2164" s="65" t="n"/>
      <c r="C2164" s="66" t="n"/>
      <c r="D2164" s="67" t="n"/>
      <c r="E2164" s="68" t="n"/>
      <c r="F2164" s="47">
        <f>IF(A2164="","",IF(MIN(H2164,MAX(J2164:K2164))=0,"",MIN(H2164,MAX(J2164:K2164))))</f>
        <v/>
      </c>
      <c r="G2164" s="74" t="n"/>
      <c r="H2164" s="49">
        <f>IF(M2164="","",IFERROR(ROUND(AVERAGE(T2164+M2164*{7,8,9,10,11})/1.21,4),""))</f>
        <v/>
      </c>
      <c r="I2164" s="76" t="n"/>
      <c r="J2164" s="77" t="n"/>
      <c r="K2164" s="74" t="n"/>
      <c r="L2164" s="78" t="n"/>
      <c r="M2164" s="77" t="n"/>
      <c r="N2164" s="53">
        <f>IF(M2164="","",IFERROR(M2164/I2164,""))</f>
        <v/>
      </c>
      <c r="O2164" s="50">
        <f>IF(A2164="","",IFERROR((IF(G2164="",I2164,G2164)-T2164)/M2164,""))</f>
        <v/>
      </c>
      <c r="P2164" s="50">
        <f>IFERROR((I2164/T2164-1)/N2164,"")</f>
        <v/>
      </c>
      <c r="Q2164" s="46">
        <f>IF(OR(T2164="",I2164&lt;T2164),"",IFERROR(R2164/IF(G2164="",I2164,G2164)-1,""))</f>
        <v/>
      </c>
      <c r="R2164" s="48">
        <f>IF($M2164="","",MAX(IF($G2164="",$I2164,$G2164)*(1/1.1),IF($G2164="",$I2164,$G2164)+(R$2*$M2164)))</f>
        <v/>
      </c>
      <c r="S2164" s="49">
        <f>IF($M2164="","",MAX(IF($G2164="",$I2164,$G2164)*(1/1.1),IF($G2164="",$I2164,$G2164)+(S$2*$M2164)))</f>
        <v/>
      </c>
      <c r="T2164" s="82" t="n"/>
      <c r="U2164" s="47">
        <f>IF(OR($M2164="",$T2164=""),"",$T2164+(U$2*$M2164))</f>
        <v/>
      </c>
      <c r="V2164" s="48">
        <f>IF(OR($M2164="",$T2164=""),"",$T2164+(V$2*$M2164))</f>
        <v/>
      </c>
      <c r="W2164" s="48">
        <f>IF(OR($M2164="",$T2164=""),"",$T2164+(W$2*$M2164))</f>
        <v/>
      </c>
      <c r="X2164" s="49">
        <f>IF(OR($M2164="",$T2164=""),"",$T2164+(X$2*$M2164))</f>
        <v/>
      </c>
      <c r="Y2164" s="47">
        <f>IF(OR($M2164="",$T2164=""),"",$T2164+(Y$2*$M2164))</f>
        <v/>
      </c>
      <c r="Z2164" s="49">
        <f>IF(OR($M2164="",$T2164=""),"",$T2164+(Z$2*$M2164))</f>
        <v/>
      </c>
      <c r="AA2164" s="51">
        <f>IF(OR($M2164="",$T2164=""),"",$T2164+(AA$2*$M2164))</f>
        <v/>
      </c>
      <c r="AB2164" s="48">
        <f>IF(OR($M2164="",$T2164=""),"",$T2164+(AB$2*$M2164))</f>
        <v/>
      </c>
      <c r="AC2164" s="48">
        <f>IF(OR($M2164="",$T2164=""),"",$T2164+(AC$2*$M2164))</f>
        <v/>
      </c>
      <c r="AD2164" s="48">
        <f>IF(OR($M2164="",$T2164=""),"",$T2164+(AD$2*$M2164))</f>
        <v/>
      </c>
      <c r="AE2164" s="49">
        <f>IF(OR($M2164="",$T2164=""),"",$T2164+(AE$2*$M2164))</f>
        <v/>
      </c>
      <c r="AF2164" s="52">
        <f>IF(OR(T2164="",I2164&lt;T2164),"",IFERROR(AVERAGE(T2164+M2164*{7,8,9,10,11})/IF(G2164="",I2164,G2164)-1,""))</f>
        <v/>
      </c>
      <c r="AG2164" s="55">
        <f>IF(OR(T2164="",I2164&lt;T2164),"",IFERROR(AF2164/-(R2164/IF(G2164="",I2164,G2164)-1),""))</f>
        <v/>
      </c>
      <c r="AH2164" s="94" t="n"/>
      <c r="AI2164" s="94" t="n"/>
      <c r="AJ2164" s="94" t="n"/>
      <c r="AK2164" s="94" t="n"/>
      <c r="AL2164" s="84" t="n"/>
    </row>
    <row r="2165">
      <c r="A2165" s="64" t="n"/>
      <c r="B2165" s="65" t="n"/>
      <c r="C2165" s="66" t="n"/>
      <c r="D2165" s="67" t="n"/>
      <c r="E2165" s="68" t="n"/>
      <c r="F2165" s="47">
        <f>IF(A2165="","",IF(MIN(H2165,MAX(J2165:K2165))=0,"",MIN(H2165,MAX(J2165:K2165))))</f>
        <v/>
      </c>
      <c r="G2165" s="74" t="n"/>
      <c r="H2165" s="49">
        <f>IF(M2165="","",IFERROR(ROUND(AVERAGE(T2165+M2165*{7,8,9,10,11})/1.21,4),""))</f>
        <v/>
      </c>
      <c r="I2165" s="76" t="n"/>
      <c r="J2165" s="77" t="n"/>
      <c r="K2165" s="74" t="n"/>
      <c r="L2165" s="78" t="n"/>
      <c r="M2165" s="77" t="n"/>
      <c r="N2165" s="53">
        <f>IF(M2165="","",IFERROR(M2165/I2165,""))</f>
        <v/>
      </c>
      <c r="O2165" s="50">
        <f>IF(A2165="","",IFERROR((IF(G2165="",I2165,G2165)-T2165)/M2165,""))</f>
        <v/>
      </c>
      <c r="P2165" s="50">
        <f>IFERROR((I2165/T2165-1)/N2165,"")</f>
        <v/>
      </c>
      <c r="Q2165" s="46">
        <f>IF(OR(T2165="",I2165&lt;T2165),"",IFERROR(R2165/IF(G2165="",I2165,G2165)-1,""))</f>
        <v/>
      </c>
      <c r="R2165" s="48">
        <f>IF($M2165="","",MAX(IF($G2165="",$I2165,$G2165)*(1/1.1),IF($G2165="",$I2165,$G2165)+(R$2*$M2165)))</f>
        <v/>
      </c>
      <c r="S2165" s="49">
        <f>IF($M2165="","",MAX(IF($G2165="",$I2165,$G2165)*(1/1.1),IF($G2165="",$I2165,$G2165)+(S$2*$M2165)))</f>
        <v/>
      </c>
      <c r="T2165" s="82" t="n"/>
      <c r="U2165" s="47">
        <f>IF(OR($M2165="",$T2165=""),"",$T2165+(U$2*$M2165))</f>
        <v/>
      </c>
      <c r="V2165" s="48">
        <f>IF(OR($M2165="",$T2165=""),"",$T2165+(V$2*$M2165))</f>
        <v/>
      </c>
      <c r="W2165" s="48">
        <f>IF(OR($M2165="",$T2165=""),"",$T2165+(W$2*$M2165))</f>
        <v/>
      </c>
      <c r="X2165" s="49">
        <f>IF(OR($M2165="",$T2165=""),"",$T2165+(X$2*$M2165))</f>
        <v/>
      </c>
      <c r="Y2165" s="47">
        <f>IF(OR($M2165="",$T2165=""),"",$T2165+(Y$2*$M2165))</f>
        <v/>
      </c>
      <c r="Z2165" s="49">
        <f>IF(OR($M2165="",$T2165=""),"",$T2165+(Z$2*$M2165))</f>
        <v/>
      </c>
      <c r="AA2165" s="51">
        <f>IF(OR($M2165="",$T2165=""),"",$T2165+(AA$2*$M2165))</f>
        <v/>
      </c>
      <c r="AB2165" s="48">
        <f>IF(OR($M2165="",$T2165=""),"",$T2165+(AB$2*$M2165))</f>
        <v/>
      </c>
      <c r="AC2165" s="48">
        <f>IF(OR($M2165="",$T2165=""),"",$T2165+(AC$2*$M2165))</f>
        <v/>
      </c>
      <c r="AD2165" s="48">
        <f>IF(OR($M2165="",$T2165=""),"",$T2165+(AD$2*$M2165))</f>
        <v/>
      </c>
      <c r="AE2165" s="49">
        <f>IF(OR($M2165="",$T2165=""),"",$T2165+(AE$2*$M2165))</f>
        <v/>
      </c>
      <c r="AF2165" s="52">
        <f>IF(OR(T2165="",I2165&lt;T2165),"",IFERROR(AVERAGE(T2165+M2165*{7,8,9,10,11})/IF(G2165="",I2165,G2165)-1,""))</f>
        <v/>
      </c>
      <c r="AG2165" s="55">
        <f>IF(OR(T2165="",I2165&lt;T2165),"",IFERROR(AF2165/-(R2165/IF(G2165="",I2165,G2165)-1),""))</f>
        <v/>
      </c>
      <c r="AH2165" s="94" t="n"/>
      <c r="AI2165" s="94" t="n"/>
      <c r="AJ2165" s="94" t="n"/>
      <c r="AK2165" s="94" t="n"/>
      <c r="AL2165" s="84" t="n"/>
    </row>
    <row r="2166">
      <c r="A2166" s="64" t="n"/>
      <c r="B2166" s="65" t="n"/>
      <c r="C2166" s="66" t="n"/>
      <c r="D2166" s="67" t="n"/>
      <c r="E2166" s="68" t="n"/>
      <c r="F2166" s="47">
        <f>IF(A2166="","",IF(MIN(H2166,MAX(J2166:K2166))=0,"",MIN(H2166,MAX(J2166:K2166))))</f>
        <v/>
      </c>
      <c r="G2166" s="74" t="n"/>
      <c r="H2166" s="49">
        <f>IF(M2166="","",IFERROR(ROUND(AVERAGE(T2166+M2166*{7,8,9,10,11})/1.21,4),""))</f>
        <v/>
      </c>
      <c r="I2166" s="76" t="n"/>
      <c r="J2166" s="77" t="n"/>
      <c r="K2166" s="74" t="n"/>
      <c r="L2166" s="78" t="n"/>
      <c r="M2166" s="77" t="n"/>
      <c r="N2166" s="53">
        <f>IF(M2166="","",IFERROR(M2166/I2166,""))</f>
        <v/>
      </c>
      <c r="O2166" s="50">
        <f>IF(A2166="","",IFERROR((IF(G2166="",I2166,G2166)-T2166)/M2166,""))</f>
        <v/>
      </c>
      <c r="P2166" s="50">
        <f>IFERROR((I2166/T2166-1)/N2166,"")</f>
        <v/>
      </c>
      <c r="Q2166" s="46">
        <f>IF(OR(T2166="",I2166&lt;T2166),"",IFERROR(R2166/IF(G2166="",I2166,G2166)-1,""))</f>
        <v/>
      </c>
      <c r="R2166" s="48">
        <f>IF($M2166="","",MAX(IF($G2166="",$I2166,$G2166)*(1/1.1),IF($G2166="",$I2166,$G2166)+(R$2*$M2166)))</f>
        <v/>
      </c>
      <c r="S2166" s="49">
        <f>IF($M2166="","",MAX(IF($G2166="",$I2166,$G2166)*(1/1.1),IF($G2166="",$I2166,$G2166)+(S$2*$M2166)))</f>
        <v/>
      </c>
      <c r="T2166" s="82" t="n"/>
      <c r="U2166" s="47">
        <f>IF(OR($M2166="",$T2166=""),"",$T2166+(U$2*$M2166))</f>
        <v/>
      </c>
      <c r="V2166" s="48">
        <f>IF(OR($M2166="",$T2166=""),"",$T2166+(V$2*$M2166))</f>
        <v/>
      </c>
      <c r="W2166" s="48">
        <f>IF(OR($M2166="",$T2166=""),"",$T2166+(W$2*$M2166))</f>
        <v/>
      </c>
      <c r="X2166" s="49">
        <f>IF(OR($M2166="",$T2166=""),"",$T2166+(X$2*$M2166))</f>
        <v/>
      </c>
      <c r="Y2166" s="47">
        <f>IF(OR($M2166="",$T2166=""),"",$T2166+(Y$2*$M2166))</f>
        <v/>
      </c>
      <c r="Z2166" s="49">
        <f>IF(OR($M2166="",$T2166=""),"",$T2166+(Z$2*$M2166))</f>
        <v/>
      </c>
      <c r="AA2166" s="51">
        <f>IF(OR($M2166="",$T2166=""),"",$T2166+(AA$2*$M2166))</f>
        <v/>
      </c>
      <c r="AB2166" s="48">
        <f>IF(OR($M2166="",$T2166=""),"",$T2166+(AB$2*$M2166))</f>
        <v/>
      </c>
      <c r="AC2166" s="48">
        <f>IF(OR($M2166="",$T2166=""),"",$T2166+(AC$2*$M2166))</f>
        <v/>
      </c>
      <c r="AD2166" s="48">
        <f>IF(OR($M2166="",$T2166=""),"",$T2166+(AD$2*$M2166))</f>
        <v/>
      </c>
      <c r="AE2166" s="49">
        <f>IF(OR($M2166="",$T2166=""),"",$T2166+(AE$2*$M2166))</f>
        <v/>
      </c>
      <c r="AF2166" s="52">
        <f>IF(OR(T2166="",I2166&lt;T2166),"",IFERROR(AVERAGE(T2166+M2166*{7,8,9,10,11})/IF(G2166="",I2166,G2166)-1,""))</f>
        <v/>
      </c>
      <c r="AG2166" s="55">
        <f>IF(OR(T2166="",I2166&lt;T2166),"",IFERROR(AF2166/-(R2166/IF(G2166="",I2166,G2166)-1),""))</f>
        <v/>
      </c>
      <c r="AH2166" s="94" t="n"/>
      <c r="AI2166" s="94" t="n"/>
      <c r="AJ2166" s="94" t="n"/>
      <c r="AK2166" s="94" t="n"/>
      <c r="AL2166" s="84" t="n"/>
    </row>
    <row r="2167">
      <c r="A2167" s="64" t="n"/>
      <c r="B2167" s="65" t="n"/>
      <c r="C2167" s="66" t="n"/>
      <c r="D2167" s="67" t="n"/>
      <c r="E2167" s="68" t="n"/>
      <c r="F2167" s="47">
        <f>IF(A2167="","",IF(MIN(H2167,MAX(J2167:K2167))=0,"",MIN(H2167,MAX(J2167:K2167))))</f>
        <v/>
      </c>
      <c r="G2167" s="74" t="n"/>
      <c r="H2167" s="49">
        <f>IF(M2167="","",IFERROR(ROUND(AVERAGE(T2167+M2167*{7,8,9,10,11})/1.21,4),""))</f>
        <v/>
      </c>
      <c r="I2167" s="76" t="n"/>
      <c r="J2167" s="77" t="n"/>
      <c r="K2167" s="74" t="n"/>
      <c r="L2167" s="78" t="n"/>
      <c r="M2167" s="77" t="n"/>
      <c r="N2167" s="53">
        <f>IF(M2167="","",IFERROR(M2167/I2167,""))</f>
        <v/>
      </c>
      <c r="O2167" s="50">
        <f>IF(A2167="","",IFERROR((IF(G2167="",I2167,G2167)-T2167)/M2167,""))</f>
        <v/>
      </c>
      <c r="P2167" s="50">
        <f>IFERROR((I2167/T2167-1)/N2167,"")</f>
        <v/>
      </c>
      <c r="Q2167" s="46">
        <f>IF(OR(T2167="",I2167&lt;T2167),"",IFERROR(R2167/IF(G2167="",I2167,G2167)-1,""))</f>
        <v/>
      </c>
      <c r="R2167" s="48">
        <f>IF($M2167="","",MAX(IF($G2167="",$I2167,$G2167)*(1/1.1),IF($G2167="",$I2167,$G2167)+(R$2*$M2167)))</f>
        <v/>
      </c>
      <c r="S2167" s="49">
        <f>IF($M2167="","",MAX(IF($G2167="",$I2167,$G2167)*(1/1.1),IF($G2167="",$I2167,$G2167)+(S$2*$M2167)))</f>
        <v/>
      </c>
      <c r="T2167" s="82" t="n"/>
      <c r="U2167" s="47">
        <f>IF(OR($M2167="",$T2167=""),"",$T2167+(U$2*$M2167))</f>
        <v/>
      </c>
      <c r="V2167" s="48">
        <f>IF(OR($M2167="",$T2167=""),"",$T2167+(V$2*$M2167))</f>
        <v/>
      </c>
      <c r="W2167" s="48">
        <f>IF(OR($M2167="",$T2167=""),"",$T2167+(W$2*$M2167))</f>
        <v/>
      </c>
      <c r="X2167" s="49">
        <f>IF(OR($M2167="",$T2167=""),"",$T2167+(X$2*$M2167))</f>
        <v/>
      </c>
      <c r="Y2167" s="47">
        <f>IF(OR($M2167="",$T2167=""),"",$T2167+(Y$2*$M2167))</f>
        <v/>
      </c>
      <c r="Z2167" s="49">
        <f>IF(OR($M2167="",$T2167=""),"",$T2167+(Z$2*$M2167))</f>
        <v/>
      </c>
      <c r="AA2167" s="51">
        <f>IF(OR($M2167="",$T2167=""),"",$T2167+(AA$2*$M2167))</f>
        <v/>
      </c>
      <c r="AB2167" s="48">
        <f>IF(OR($M2167="",$T2167=""),"",$T2167+(AB$2*$M2167))</f>
        <v/>
      </c>
      <c r="AC2167" s="48">
        <f>IF(OR($M2167="",$T2167=""),"",$T2167+(AC$2*$M2167))</f>
        <v/>
      </c>
      <c r="AD2167" s="48">
        <f>IF(OR($M2167="",$T2167=""),"",$T2167+(AD$2*$M2167))</f>
        <v/>
      </c>
      <c r="AE2167" s="49">
        <f>IF(OR($M2167="",$T2167=""),"",$T2167+(AE$2*$M2167))</f>
        <v/>
      </c>
      <c r="AF2167" s="52">
        <f>IF(OR(T2167="",I2167&lt;T2167),"",IFERROR(AVERAGE(T2167+M2167*{7,8,9,10,11})/IF(G2167="",I2167,G2167)-1,""))</f>
        <v/>
      </c>
      <c r="AG2167" s="55">
        <f>IF(OR(T2167="",I2167&lt;T2167),"",IFERROR(AF2167/-(R2167/IF(G2167="",I2167,G2167)-1),""))</f>
        <v/>
      </c>
      <c r="AH2167" s="94" t="n"/>
      <c r="AI2167" s="94" t="n"/>
      <c r="AJ2167" s="94" t="n"/>
      <c r="AK2167" s="94" t="n"/>
      <c r="AL2167" s="84" t="n"/>
    </row>
    <row r="2168">
      <c r="A2168" s="64" t="n"/>
      <c r="B2168" s="65" t="n"/>
      <c r="C2168" s="66" t="n"/>
      <c r="D2168" s="67" t="n"/>
      <c r="E2168" s="68" t="n"/>
      <c r="F2168" s="47">
        <f>IF(A2168="","",IF(MIN(H2168,MAX(J2168:K2168))=0,"",MIN(H2168,MAX(J2168:K2168))))</f>
        <v/>
      </c>
      <c r="G2168" s="74" t="n"/>
      <c r="H2168" s="49">
        <f>IF(M2168="","",IFERROR(ROUND(AVERAGE(T2168+M2168*{7,8,9,10,11})/1.21,4),""))</f>
        <v/>
      </c>
      <c r="I2168" s="76" t="n"/>
      <c r="J2168" s="77" t="n"/>
      <c r="K2168" s="74" t="n"/>
      <c r="L2168" s="78" t="n"/>
      <c r="M2168" s="77" t="n"/>
      <c r="N2168" s="53">
        <f>IF(M2168="","",IFERROR(M2168/I2168,""))</f>
        <v/>
      </c>
      <c r="O2168" s="50">
        <f>IF(A2168="","",IFERROR((IF(G2168="",I2168,G2168)-T2168)/M2168,""))</f>
        <v/>
      </c>
      <c r="P2168" s="50">
        <f>IFERROR((I2168/T2168-1)/N2168,"")</f>
        <v/>
      </c>
      <c r="Q2168" s="46">
        <f>IF(OR(T2168="",I2168&lt;T2168),"",IFERROR(R2168/IF(G2168="",I2168,G2168)-1,""))</f>
        <v/>
      </c>
      <c r="R2168" s="48">
        <f>IF($M2168="","",MAX(IF($G2168="",$I2168,$G2168)*(1/1.1),IF($G2168="",$I2168,$G2168)+(R$2*$M2168)))</f>
        <v/>
      </c>
      <c r="S2168" s="49">
        <f>IF($M2168="","",MAX(IF($G2168="",$I2168,$G2168)*(1/1.1),IF($G2168="",$I2168,$G2168)+(S$2*$M2168)))</f>
        <v/>
      </c>
      <c r="T2168" s="82" t="n"/>
      <c r="U2168" s="47">
        <f>IF(OR($M2168="",$T2168=""),"",$T2168+(U$2*$M2168))</f>
        <v/>
      </c>
      <c r="V2168" s="48">
        <f>IF(OR($M2168="",$T2168=""),"",$T2168+(V$2*$M2168))</f>
        <v/>
      </c>
      <c r="W2168" s="48">
        <f>IF(OR($M2168="",$T2168=""),"",$T2168+(W$2*$M2168))</f>
        <v/>
      </c>
      <c r="X2168" s="49">
        <f>IF(OR($M2168="",$T2168=""),"",$T2168+(X$2*$M2168))</f>
        <v/>
      </c>
      <c r="Y2168" s="47">
        <f>IF(OR($M2168="",$T2168=""),"",$T2168+(Y$2*$M2168))</f>
        <v/>
      </c>
      <c r="Z2168" s="49">
        <f>IF(OR($M2168="",$T2168=""),"",$T2168+(Z$2*$M2168))</f>
        <v/>
      </c>
      <c r="AA2168" s="51">
        <f>IF(OR($M2168="",$T2168=""),"",$T2168+(AA$2*$M2168))</f>
        <v/>
      </c>
      <c r="AB2168" s="48">
        <f>IF(OR($M2168="",$T2168=""),"",$T2168+(AB$2*$M2168))</f>
        <v/>
      </c>
      <c r="AC2168" s="48">
        <f>IF(OR($M2168="",$T2168=""),"",$T2168+(AC$2*$M2168))</f>
        <v/>
      </c>
      <c r="AD2168" s="48">
        <f>IF(OR($M2168="",$T2168=""),"",$T2168+(AD$2*$M2168))</f>
        <v/>
      </c>
      <c r="AE2168" s="49">
        <f>IF(OR($M2168="",$T2168=""),"",$T2168+(AE$2*$M2168))</f>
        <v/>
      </c>
      <c r="AF2168" s="52">
        <f>IF(OR(T2168="",I2168&lt;T2168),"",IFERROR(AVERAGE(T2168+M2168*{7,8,9,10,11})/IF(G2168="",I2168,G2168)-1,""))</f>
        <v/>
      </c>
      <c r="AG2168" s="55">
        <f>IF(OR(T2168="",I2168&lt;T2168),"",IFERROR(AF2168/-(R2168/IF(G2168="",I2168,G2168)-1),""))</f>
        <v/>
      </c>
      <c r="AH2168" s="94" t="n"/>
      <c r="AI2168" s="94" t="n"/>
      <c r="AJ2168" s="94" t="n"/>
      <c r="AK2168" s="94" t="n"/>
      <c r="AL2168" s="84" t="n"/>
    </row>
    <row r="2169">
      <c r="A2169" s="64" t="n"/>
      <c r="B2169" s="65" t="n"/>
      <c r="C2169" s="66" t="n"/>
      <c r="D2169" s="67" t="n"/>
      <c r="E2169" s="68" t="n"/>
      <c r="F2169" s="47">
        <f>IF(A2169="","",IF(MIN(H2169,MAX(J2169:K2169))=0,"",MIN(H2169,MAX(J2169:K2169))))</f>
        <v/>
      </c>
      <c r="G2169" s="74" t="n"/>
      <c r="H2169" s="49">
        <f>IF(M2169="","",IFERROR(ROUND(AVERAGE(T2169+M2169*{7,8,9,10,11})/1.21,4),""))</f>
        <v/>
      </c>
      <c r="I2169" s="76" t="n"/>
      <c r="J2169" s="77" t="n"/>
      <c r="K2169" s="74" t="n"/>
      <c r="L2169" s="78" t="n"/>
      <c r="M2169" s="77" t="n"/>
      <c r="N2169" s="53">
        <f>IF(M2169="","",IFERROR(M2169/I2169,""))</f>
        <v/>
      </c>
      <c r="O2169" s="50">
        <f>IF(A2169="","",IFERROR((IF(G2169="",I2169,G2169)-T2169)/M2169,""))</f>
        <v/>
      </c>
      <c r="P2169" s="50">
        <f>IFERROR((I2169/T2169-1)/N2169,"")</f>
        <v/>
      </c>
      <c r="Q2169" s="46">
        <f>IF(OR(T2169="",I2169&lt;T2169),"",IFERROR(R2169/IF(G2169="",I2169,G2169)-1,""))</f>
        <v/>
      </c>
      <c r="R2169" s="48">
        <f>IF($M2169="","",MAX(IF($G2169="",$I2169,$G2169)*(1/1.1),IF($G2169="",$I2169,$G2169)+(R$2*$M2169)))</f>
        <v/>
      </c>
      <c r="S2169" s="49">
        <f>IF($M2169="","",MAX(IF($G2169="",$I2169,$G2169)*(1/1.1),IF($G2169="",$I2169,$G2169)+(S$2*$M2169)))</f>
        <v/>
      </c>
      <c r="T2169" s="82" t="n"/>
      <c r="U2169" s="47">
        <f>IF(OR($M2169="",$T2169=""),"",$T2169+(U$2*$M2169))</f>
        <v/>
      </c>
      <c r="V2169" s="48">
        <f>IF(OR($M2169="",$T2169=""),"",$T2169+(V$2*$M2169))</f>
        <v/>
      </c>
      <c r="W2169" s="48">
        <f>IF(OR($M2169="",$T2169=""),"",$T2169+(W$2*$M2169))</f>
        <v/>
      </c>
      <c r="X2169" s="49">
        <f>IF(OR($M2169="",$T2169=""),"",$T2169+(X$2*$M2169))</f>
        <v/>
      </c>
      <c r="Y2169" s="47">
        <f>IF(OR($M2169="",$T2169=""),"",$T2169+(Y$2*$M2169))</f>
        <v/>
      </c>
      <c r="Z2169" s="49">
        <f>IF(OR($M2169="",$T2169=""),"",$T2169+(Z$2*$M2169))</f>
        <v/>
      </c>
      <c r="AA2169" s="51">
        <f>IF(OR($M2169="",$T2169=""),"",$T2169+(AA$2*$M2169))</f>
        <v/>
      </c>
      <c r="AB2169" s="48">
        <f>IF(OR($M2169="",$T2169=""),"",$T2169+(AB$2*$M2169))</f>
        <v/>
      </c>
      <c r="AC2169" s="48">
        <f>IF(OR($M2169="",$T2169=""),"",$T2169+(AC$2*$M2169))</f>
        <v/>
      </c>
      <c r="AD2169" s="48">
        <f>IF(OR($M2169="",$T2169=""),"",$T2169+(AD$2*$M2169))</f>
        <v/>
      </c>
      <c r="AE2169" s="49">
        <f>IF(OR($M2169="",$T2169=""),"",$T2169+(AE$2*$M2169))</f>
        <v/>
      </c>
      <c r="AF2169" s="52">
        <f>IF(OR(T2169="",I2169&lt;T2169),"",IFERROR(AVERAGE(T2169+M2169*{7,8,9,10,11})/IF(G2169="",I2169,G2169)-1,""))</f>
        <v/>
      </c>
      <c r="AG2169" s="55">
        <f>IF(OR(T2169="",I2169&lt;T2169),"",IFERROR(AF2169/-(R2169/IF(G2169="",I2169,G2169)-1),""))</f>
        <v/>
      </c>
      <c r="AH2169" s="94" t="n"/>
      <c r="AI2169" s="94" t="n"/>
      <c r="AJ2169" s="94" t="n"/>
      <c r="AK2169" s="94" t="n"/>
      <c r="AL2169" s="84" t="n"/>
    </row>
    <row r="2170">
      <c r="A2170" s="64" t="n"/>
      <c r="B2170" s="65" t="n"/>
      <c r="C2170" s="66" t="n"/>
      <c r="D2170" s="67" t="n"/>
      <c r="E2170" s="68" t="n"/>
      <c r="F2170" s="47">
        <f>IF(A2170="","",IF(MIN(H2170,MAX(J2170:K2170))=0,"",MIN(H2170,MAX(J2170:K2170))))</f>
        <v/>
      </c>
      <c r="G2170" s="74" t="n"/>
      <c r="H2170" s="49">
        <f>IF(M2170="","",IFERROR(ROUND(AVERAGE(T2170+M2170*{7,8,9,10,11})/1.21,4),""))</f>
        <v/>
      </c>
      <c r="I2170" s="76" t="n"/>
      <c r="J2170" s="77" t="n"/>
      <c r="K2170" s="74" t="n"/>
      <c r="L2170" s="78" t="n"/>
      <c r="M2170" s="77" t="n"/>
      <c r="N2170" s="53">
        <f>IF(M2170="","",IFERROR(M2170/I2170,""))</f>
        <v/>
      </c>
      <c r="O2170" s="50">
        <f>IF(A2170="","",IFERROR((IF(G2170="",I2170,G2170)-T2170)/M2170,""))</f>
        <v/>
      </c>
      <c r="P2170" s="50">
        <f>IFERROR((I2170/T2170-1)/N2170,"")</f>
        <v/>
      </c>
      <c r="Q2170" s="46">
        <f>IF(OR(T2170="",I2170&lt;T2170),"",IFERROR(R2170/IF(G2170="",I2170,G2170)-1,""))</f>
        <v/>
      </c>
      <c r="R2170" s="48">
        <f>IF($M2170="","",MAX(IF($G2170="",$I2170,$G2170)*(1/1.1),IF($G2170="",$I2170,$G2170)+(R$2*$M2170)))</f>
        <v/>
      </c>
      <c r="S2170" s="49">
        <f>IF($M2170="","",MAX(IF($G2170="",$I2170,$G2170)*(1/1.1),IF($G2170="",$I2170,$G2170)+(S$2*$M2170)))</f>
        <v/>
      </c>
      <c r="T2170" s="82" t="n"/>
      <c r="U2170" s="47">
        <f>IF(OR($M2170="",$T2170=""),"",$T2170+(U$2*$M2170))</f>
        <v/>
      </c>
      <c r="V2170" s="48">
        <f>IF(OR($M2170="",$T2170=""),"",$T2170+(V$2*$M2170))</f>
        <v/>
      </c>
      <c r="W2170" s="48">
        <f>IF(OR($M2170="",$T2170=""),"",$T2170+(W$2*$M2170))</f>
        <v/>
      </c>
      <c r="X2170" s="49">
        <f>IF(OR($M2170="",$T2170=""),"",$T2170+(X$2*$M2170))</f>
        <v/>
      </c>
      <c r="Y2170" s="47">
        <f>IF(OR($M2170="",$T2170=""),"",$T2170+(Y$2*$M2170))</f>
        <v/>
      </c>
      <c r="Z2170" s="49">
        <f>IF(OR($M2170="",$T2170=""),"",$T2170+(Z$2*$M2170))</f>
        <v/>
      </c>
      <c r="AA2170" s="51">
        <f>IF(OR($M2170="",$T2170=""),"",$T2170+(AA$2*$M2170))</f>
        <v/>
      </c>
      <c r="AB2170" s="48">
        <f>IF(OR($M2170="",$T2170=""),"",$T2170+(AB$2*$M2170))</f>
        <v/>
      </c>
      <c r="AC2170" s="48">
        <f>IF(OR($M2170="",$T2170=""),"",$T2170+(AC$2*$M2170))</f>
        <v/>
      </c>
      <c r="AD2170" s="48">
        <f>IF(OR($M2170="",$T2170=""),"",$T2170+(AD$2*$M2170))</f>
        <v/>
      </c>
      <c r="AE2170" s="49">
        <f>IF(OR($M2170="",$T2170=""),"",$T2170+(AE$2*$M2170))</f>
        <v/>
      </c>
      <c r="AF2170" s="52">
        <f>IF(OR(T2170="",I2170&lt;T2170),"",IFERROR(AVERAGE(T2170+M2170*{7,8,9,10,11})/IF(G2170="",I2170,G2170)-1,""))</f>
        <v/>
      </c>
      <c r="AG2170" s="55">
        <f>IF(OR(T2170="",I2170&lt;T2170),"",IFERROR(AF2170/-(R2170/IF(G2170="",I2170,G2170)-1),""))</f>
        <v/>
      </c>
      <c r="AH2170" s="94" t="n"/>
      <c r="AI2170" s="94" t="n"/>
      <c r="AJ2170" s="94" t="n"/>
      <c r="AK2170" s="94" t="n"/>
      <c r="AL2170" s="84" t="n"/>
    </row>
    <row r="2171">
      <c r="A2171" s="64" t="n"/>
      <c r="B2171" s="65" t="n"/>
      <c r="C2171" s="66" t="n"/>
      <c r="D2171" s="67" t="n"/>
      <c r="E2171" s="68" t="n"/>
      <c r="F2171" s="47">
        <f>IF(A2171="","",IF(MIN(H2171,MAX(J2171:K2171))=0,"",MIN(H2171,MAX(J2171:K2171))))</f>
        <v/>
      </c>
      <c r="G2171" s="74" t="n"/>
      <c r="H2171" s="49">
        <f>IF(M2171="","",IFERROR(ROUND(AVERAGE(T2171+M2171*{7,8,9,10,11})/1.21,4),""))</f>
        <v/>
      </c>
      <c r="I2171" s="76" t="n"/>
      <c r="J2171" s="77" t="n"/>
      <c r="K2171" s="74" t="n"/>
      <c r="L2171" s="78" t="n"/>
      <c r="M2171" s="77" t="n"/>
      <c r="N2171" s="53">
        <f>IF(M2171="","",IFERROR(M2171/I2171,""))</f>
        <v/>
      </c>
      <c r="O2171" s="50">
        <f>IF(A2171="","",IFERROR((IF(G2171="",I2171,G2171)-T2171)/M2171,""))</f>
        <v/>
      </c>
      <c r="P2171" s="50">
        <f>IFERROR((I2171/T2171-1)/N2171,"")</f>
        <v/>
      </c>
      <c r="Q2171" s="46">
        <f>IF(OR(T2171="",I2171&lt;T2171),"",IFERROR(R2171/IF(G2171="",I2171,G2171)-1,""))</f>
        <v/>
      </c>
      <c r="R2171" s="48">
        <f>IF($M2171="","",MAX(IF($G2171="",$I2171,$G2171)*(1/1.1),IF($G2171="",$I2171,$G2171)+(R$2*$M2171)))</f>
        <v/>
      </c>
      <c r="S2171" s="49">
        <f>IF($M2171="","",MAX(IF($G2171="",$I2171,$G2171)*(1/1.1),IF($G2171="",$I2171,$G2171)+(S$2*$M2171)))</f>
        <v/>
      </c>
      <c r="T2171" s="82" t="n"/>
      <c r="U2171" s="47">
        <f>IF(OR($M2171="",$T2171=""),"",$T2171+(U$2*$M2171))</f>
        <v/>
      </c>
      <c r="V2171" s="48">
        <f>IF(OR($M2171="",$T2171=""),"",$T2171+(V$2*$M2171))</f>
        <v/>
      </c>
      <c r="W2171" s="48">
        <f>IF(OR($M2171="",$T2171=""),"",$T2171+(W$2*$M2171))</f>
        <v/>
      </c>
      <c r="X2171" s="49">
        <f>IF(OR($M2171="",$T2171=""),"",$T2171+(X$2*$M2171))</f>
        <v/>
      </c>
      <c r="Y2171" s="47">
        <f>IF(OR($M2171="",$T2171=""),"",$T2171+(Y$2*$M2171))</f>
        <v/>
      </c>
      <c r="Z2171" s="49">
        <f>IF(OR($M2171="",$T2171=""),"",$T2171+(Z$2*$M2171))</f>
        <v/>
      </c>
      <c r="AA2171" s="51">
        <f>IF(OR($M2171="",$T2171=""),"",$T2171+(AA$2*$M2171))</f>
        <v/>
      </c>
      <c r="AB2171" s="48">
        <f>IF(OR($M2171="",$T2171=""),"",$T2171+(AB$2*$M2171))</f>
        <v/>
      </c>
      <c r="AC2171" s="48">
        <f>IF(OR($M2171="",$T2171=""),"",$T2171+(AC$2*$M2171))</f>
        <v/>
      </c>
      <c r="AD2171" s="48">
        <f>IF(OR($M2171="",$T2171=""),"",$T2171+(AD$2*$M2171))</f>
        <v/>
      </c>
      <c r="AE2171" s="49">
        <f>IF(OR($M2171="",$T2171=""),"",$T2171+(AE$2*$M2171))</f>
        <v/>
      </c>
      <c r="AF2171" s="52">
        <f>IF(OR(T2171="",I2171&lt;T2171),"",IFERROR(AVERAGE(T2171+M2171*{7,8,9,10,11})/IF(G2171="",I2171,G2171)-1,""))</f>
        <v/>
      </c>
      <c r="AG2171" s="55">
        <f>IF(OR(T2171="",I2171&lt;T2171),"",IFERROR(AF2171/-(R2171/IF(G2171="",I2171,G2171)-1),""))</f>
        <v/>
      </c>
      <c r="AH2171" s="94" t="n"/>
      <c r="AI2171" s="94" t="n"/>
      <c r="AJ2171" s="94" t="n"/>
      <c r="AK2171" s="94" t="n"/>
      <c r="AL2171" s="84" t="n"/>
    </row>
    <row r="2172">
      <c r="A2172" s="64" t="n"/>
      <c r="B2172" s="65" t="n"/>
      <c r="C2172" s="66" t="n"/>
      <c r="D2172" s="67" t="n"/>
      <c r="E2172" s="68" t="n"/>
      <c r="F2172" s="47">
        <f>IF(A2172="","",IF(MIN(H2172,MAX(J2172:K2172))=0,"",MIN(H2172,MAX(J2172:K2172))))</f>
        <v/>
      </c>
      <c r="G2172" s="74" t="n"/>
      <c r="H2172" s="49">
        <f>IF(M2172="","",IFERROR(ROUND(AVERAGE(T2172+M2172*{7,8,9,10,11})/1.21,4),""))</f>
        <v/>
      </c>
      <c r="I2172" s="76" t="n"/>
      <c r="J2172" s="77" t="n"/>
      <c r="K2172" s="74" t="n"/>
      <c r="L2172" s="78" t="n"/>
      <c r="M2172" s="77" t="n"/>
      <c r="N2172" s="53">
        <f>IF(M2172="","",IFERROR(M2172/I2172,""))</f>
        <v/>
      </c>
      <c r="O2172" s="50">
        <f>IF(A2172="","",IFERROR((IF(G2172="",I2172,G2172)-T2172)/M2172,""))</f>
        <v/>
      </c>
      <c r="P2172" s="50">
        <f>IFERROR((I2172/T2172-1)/N2172,"")</f>
        <v/>
      </c>
      <c r="Q2172" s="46">
        <f>IF(OR(T2172="",I2172&lt;T2172),"",IFERROR(R2172/IF(G2172="",I2172,G2172)-1,""))</f>
        <v/>
      </c>
      <c r="R2172" s="48">
        <f>IF($M2172="","",MAX(IF($G2172="",$I2172,$G2172)*(1/1.1),IF($G2172="",$I2172,$G2172)+(R$2*$M2172)))</f>
        <v/>
      </c>
      <c r="S2172" s="49">
        <f>IF($M2172="","",MAX(IF($G2172="",$I2172,$G2172)*(1/1.1),IF($G2172="",$I2172,$G2172)+(S$2*$M2172)))</f>
        <v/>
      </c>
      <c r="T2172" s="82" t="n"/>
      <c r="U2172" s="47">
        <f>IF(OR($M2172="",$T2172=""),"",$T2172+(U$2*$M2172))</f>
        <v/>
      </c>
      <c r="V2172" s="48">
        <f>IF(OR($M2172="",$T2172=""),"",$T2172+(V$2*$M2172))</f>
        <v/>
      </c>
      <c r="W2172" s="48">
        <f>IF(OR($M2172="",$T2172=""),"",$T2172+(W$2*$M2172))</f>
        <v/>
      </c>
      <c r="X2172" s="49">
        <f>IF(OR($M2172="",$T2172=""),"",$T2172+(X$2*$M2172))</f>
        <v/>
      </c>
      <c r="Y2172" s="47">
        <f>IF(OR($M2172="",$T2172=""),"",$T2172+(Y$2*$M2172))</f>
        <v/>
      </c>
      <c r="Z2172" s="49">
        <f>IF(OR($M2172="",$T2172=""),"",$T2172+(Z$2*$M2172))</f>
        <v/>
      </c>
      <c r="AA2172" s="51">
        <f>IF(OR($M2172="",$T2172=""),"",$T2172+(AA$2*$M2172))</f>
        <v/>
      </c>
      <c r="AB2172" s="48">
        <f>IF(OR($M2172="",$T2172=""),"",$T2172+(AB$2*$M2172))</f>
        <v/>
      </c>
      <c r="AC2172" s="48">
        <f>IF(OR($M2172="",$T2172=""),"",$T2172+(AC$2*$M2172))</f>
        <v/>
      </c>
      <c r="AD2172" s="48">
        <f>IF(OR($M2172="",$T2172=""),"",$T2172+(AD$2*$M2172))</f>
        <v/>
      </c>
      <c r="AE2172" s="49">
        <f>IF(OR($M2172="",$T2172=""),"",$T2172+(AE$2*$M2172))</f>
        <v/>
      </c>
      <c r="AF2172" s="52">
        <f>IF(OR(T2172="",I2172&lt;T2172),"",IFERROR(AVERAGE(T2172+M2172*{7,8,9,10,11})/IF(G2172="",I2172,G2172)-1,""))</f>
        <v/>
      </c>
      <c r="AG2172" s="55">
        <f>IF(OR(T2172="",I2172&lt;T2172),"",IFERROR(AF2172/-(R2172/IF(G2172="",I2172,G2172)-1),""))</f>
        <v/>
      </c>
      <c r="AH2172" s="94" t="n"/>
      <c r="AI2172" s="94" t="n"/>
      <c r="AJ2172" s="94" t="n"/>
      <c r="AK2172" s="94" t="n"/>
      <c r="AL2172" s="84" t="n"/>
    </row>
    <row r="2173">
      <c r="A2173" s="64" t="n"/>
      <c r="B2173" s="65" t="n"/>
      <c r="C2173" s="66" t="n"/>
      <c r="D2173" s="67" t="n"/>
      <c r="E2173" s="68" t="n"/>
      <c r="F2173" s="47">
        <f>IF(A2173="","",IF(MIN(H2173,MAX(J2173:K2173))=0,"",MIN(H2173,MAX(J2173:K2173))))</f>
        <v/>
      </c>
      <c r="G2173" s="74" t="n"/>
      <c r="H2173" s="49">
        <f>IF(M2173="","",IFERROR(ROUND(AVERAGE(T2173+M2173*{7,8,9,10,11})/1.21,4),""))</f>
        <v/>
      </c>
      <c r="I2173" s="76" t="n"/>
      <c r="J2173" s="77" t="n"/>
      <c r="K2173" s="74" t="n"/>
      <c r="L2173" s="78" t="n"/>
      <c r="M2173" s="77" t="n"/>
      <c r="N2173" s="53">
        <f>IF(M2173="","",IFERROR(M2173/I2173,""))</f>
        <v/>
      </c>
      <c r="O2173" s="50">
        <f>IF(A2173="","",IFERROR((IF(G2173="",I2173,G2173)-T2173)/M2173,""))</f>
        <v/>
      </c>
      <c r="P2173" s="50">
        <f>IFERROR((I2173/T2173-1)/N2173,"")</f>
        <v/>
      </c>
      <c r="Q2173" s="46">
        <f>IF(OR(T2173="",I2173&lt;T2173),"",IFERROR(R2173/IF(G2173="",I2173,G2173)-1,""))</f>
        <v/>
      </c>
      <c r="R2173" s="48">
        <f>IF($M2173="","",MAX(IF($G2173="",$I2173,$G2173)*(1/1.1),IF($G2173="",$I2173,$G2173)+(R$2*$M2173)))</f>
        <v/>
      </c>
      <c r="S2173" s="49">
        <f>IF($M2173="","",MAX(IF($G2173="",$I2173,$G2173)*(1/1.1),IF($G2173="",$I2173,$G2173)+(S$2*$M2173)))</f>
        <v/>
      </c>
      <c r="T2173" s="82" t="n"/>
      <c r="U2173" s="47">
        <f>IF(OR($M2173="",$T2173=""),"",$T2173+(U$2*$M2173))</f>
        <v/>
      </c>
      <c r="V2173" s="48">
        <f>IF(OR($M2173="",$T2173=""),"",$T2173+(V$2*$M2173))</f>
        <v/>
      </c>
      <c r="W2173" s="48">
        <f>IF(OR($M2173="",$T2173=""),"",$T2173+(W$2*$M2173))</f>
        <v/>
      </c>
      <c r="X2173" s="49">
        <f>IF(OR($M2173="",$T2173=""),"",$T2173+(X$2*$M2173))</f>
        <v/>
      </c>
      <c r="Y2173" s="47">
        <f>IF(OR($M2173="",$T2173=""),"",$T2173+(Y$2*$M2173))</f>
        <v/>
      </c>
      <c r="Z2173" s="49">
        <f>IF(OR($M2173="",$T2173=""),"",$T2173+(Z$2*$M2173))</f>
        <v/>
      </c>
      <c r="AA2173" s="51">
        <f>IF(OR($M2173="",$T2173=""),"",$T2173+(AA$2*$M2173))</f>
        <v/>
      </c>
      <c r="AB2173" s="48">
        <f>IF(OR($M2173="",$T2173=""),"",$T2173+(AB$2*$M2173))</f>
        <v/>
      </c>
      <c r="AC2173" s="48">
        <f>IF(OR($M2173="",$T2173=""),"",$T2173+(AC$2*$M2173))</f>
        <v/>
      </c>
      <c r="AD2173" s="48">
        <f>IF(OR($M2173="",$T2173=""),"",$T2173+(AD$2*$M2173))</f>
        <v/>
      </c>
      <c r="AE2173" s="49">
        <f>IF(OR($M2173="",$T2173=""),"",$T2173+(AE$2*$M2173))</f>
        <v/>
      </c>
      <c r="AF2173" s="52">
        <f>IF(OR(T2173="",I2173&lt;T2173),"",IFERROR(AVERAGE(T2173+M2173*{7,8,9,10,11})/IF(G2173="",I2173,G2173)-1,""))</f>
        <v/>
      </c>
      <c r="AG2173" s="55">
        <f>IF(OR(T2173="",I2173&lt;T2173),"",IFERROR(AF2173/-(R2173/IF(G2173="",I2173,G2173)-1),""))</f>
        <v/>
      </c>
      <c r="AH2173" s="94" t="n"/>
      <c r="AI2173" s="94" t="n"/>
      <c r="AJ2173" s="94" t="n"/>
      <c r="AK2173" s="94" t="n"/>
      <c r="AL2173" s="84" t="n"/>
    </row>
    <row r="2174">
      <c r="A2174" s="64" t="n"/>
      <c r="B2174" s="65" t="n"/>
      <c r="C2174" s="66" t="n"/>
      <c r="D2174" s="67" t="n"/>
      <c r="E2174" s="68" t="n"/>
      <c r="F2174" s="47">
        <f>IF(A2174="","",IF(MIN(H2174,MAX(J2174:K2174))=0,"",MIN(H2174,MAX(J2174:K2174))))</f>
        <v/>
      </c>
      <c r="G2174" s="74" t="n"/>
      <c r="H2174" s="49">
        <f>IF(M2174="","",IFERROR(ROUND(AVERAGE(T2174+M2174*{7,8,9,10,11})/1.21,4),""))</f>
        <v/>
      </c>
      <c r="I2174" s="76" t="n"/>
      <c r="J2174" s="77" t="n"/>
      <c r="K2174" s="74" t="n"/>
      <c r="L2174" s="78" t="n"/>
      <c r="M2174" s="77" t="n"/>
      <c r="N2174" s="53">
        <f>IF(M2174="","",IFERROR(M2174/I2174,""))</f>
        <v/>
      </c>
      <c r="O2174" s="50">
        <f>IF(A2174="","",IFERROR((IF(G2174="",I2174,G2174)-T2174)/M2174,""))</f>
        <v/>
      </c>
      <c r="P2174" s="50">
        <f>IFERROR((I2174/T2174-1)/N2174,"")</f>
        <v/>
      </c>
      <c r="Q2174" s="46">
        <f>IF(OR(T2174="",I2174&lt;T2174),"",IFERROR(R2174/IF(G2174="",I2174,G2174)-1,""))</f>
        <v/>
      </c>
      <c r="R2174" s="48">
        <f>IF($M2174="","",MAX(IF($G2174="",$I2174,$G2174)*(1/1.1),IF($G2174="",$I2174,$G2174)+(R$2*$M2174)))</f>
        <v/>
      </c>
      <c r="S2174" s="49">
        <f>IF($M2174="","",MAX(IF($G2174="",$I2174,$G2174)*(1/1.1),IF($G2174="",$I2174,$G2174)+(S$2*$M2174)))</f>
        <v/>
      </c>
      <c r="T2174" s="82" t="n"/>
      <c r="U2174" s="47">
        <f>IF(OR($M2174="",$T2174=""),"",$T2174+(U$2*$M2174))</f>
        <v/>
      </c>
      <c r="V2174" s="48">
        <f>IF(OR($M2174="",$T2174=""),"",$T2174+(V$2*$M2174))</f>
        <v/>
      </c>
      <c r="W2174" s="48">
        <f>IF(OR($M2174="",$T2174=""),"",$T2174+(W$2*$M2174))</f>
        <v/>
      </c>
      <c r="X2174" s="49">
        <f>IF(OR($M2174="",$T2174=""),"",$T2174+(X$2*$M2174))</f>
        <v/>
      </c>
      <c r="Y2174" s="47">
        <f>IF(OR($M2174="",$T2174=""),"",$T2174+(Y$2*$M2174))</f>
        <v/>
      </c>
      <c r="Z2174" s="49">
        <f>IF(OR($M2174="",$T2174=""),"",$T2174+(Z$2*$M2174))</f>
        <v/>
      </c>
      <c r="AA2174" s="51">
        <f>IF(OR($M2174="",$T2174=""),"",$T2174+(AA$2*$M2174))</f>
        <v/>
      </c>
      <c r="AB2174" s="48">
        <f>IF(OR($M2174="",$T2174=""),"",$T2174+(AB$2*$M2174))</f>
        <v/>
      </c>
      <c r="AC2174" s="48">
        <f>IF(OR($M2174="",$T2174=""),"",$T2174+(AC$2*$M2174))</f>
        <v/>
      </c>
      <c r="AD2174" s="48">
        <f>IF(OR($M2174="",$T2174=""),"",$T2174+(AD$2*$M2174))</f>
        <v/>
      </c>
      <c r="AE2174" s="49">
        <f>IF(OR($M2174="",$T2174=""),"",$T2174+(AE$2*$M2174))</f>
        <v/>
      </c>
      <c r="AF2174" s="52">
        <f>IF(OR(T2174="",I2174&lt;T2174),"",IFERROR(AVERAGE(T2174+M2174*{7,8,9,10,11})/IF(G2174="",I2174,G2174)-1,""))</f>
        <v/>
      </c>
      <c r="AG2174" s="55">
        <f>IF(OR(T2174="",I2174&lt;T2174),"",IFERROR(AF2174/-(R2174/IF(G2174="",I2174,G2174)-1),""))</f>
        <v/>
      </c>
      <c r="AH2174" s="94" t="n"/>
      <c r="AI2174" s="94" t="n"/>
      <c r="AJ2174" s="94" t="n"/>
      <c r="AK2174" s="94" t="n"/>
      <c r="AL2174" s="84" t="n"/>
    </row>
    <row r="2175">
      <c r="A2175" s="64" t="n"/>
      <c r="B2175" s="65" t="n"/>
      <c r="C2175" s="66" t="n"/>
      <c r="D2175" s="67" t="n"/>
      <c r="E2175" s="68" t="n"/>
      <c r="F2175" s="47">
        <f>IF(A2175="","",IF(MIN(H2175,MAX(J2175:K2175))=0,"",MIN(H2175,MAX(J2175:K2175))))</f>
        <v/>
      </c>
      <c r="G2175" s="74" t="n"/>
      <c r="H2175" s="49">
        <f>IF(M2175="","",IFERROR(ROUND(AVERAGE(T2175+M2175*{7,8,9,10,11})/1.21,4),""))</f>
        <v/>
      </c>
      <c r="I2175" s="76" t="n"/>
      <c r="J2175" s="77" t="n"/>
      <c r="K2175" s="74" t="n"/>
      <c r="L2175" s="78" t="n"/>
      <c r="M2175" s="77" t="n"/>
      <c r="N2175" s="53">
        <f>IF(M2175="","",IFERROR(M2175/I2175,""))</f>
        <v/>
      </c>
      <c r="O2175" s="50">
        <f>IF(A2175="","",IFERROR((IF(G2175="",I2175,G2175)-T2175)/M2175,""))</f>
        <v/>
      </c>
      <c r="P2175" s="50">
        <f>IFERROR((I2175/T2175-1)/N2175,"")</f>
        <v/>
      </c>
      <c r="Q2175" s="46">
        <f>IF(OR(T2175="",I2175&lt;T2175),"",IFERROR(R2175/IF(G2175="",I2175,G2175)-1,""))</f>
        <v/>
      </c>
      <c r="R2175" s="48">
        <f>IF($M2175="","",MAX(IF($G2175="",$I2175,$G2175)*(1/1.1),IF($G2175="",$I2175,$G2175)+(R$2*$M2175)))</f>
        <v/>
      </c>
      <c r="S2175" s="49">
        <f>IF($M2175="","",MAX(IF($G2175="",$I2175,$G2175)*(1/1.1),IF($G2175="",$I2175,$G2175)+(S$2*$M2175)))</f>
        <v/>
      </c>
      <c r="T2175" s="82" t="n"/>
      <c r="U2175" s="47">
        <f>IF(OR($M2175="",$T2175=""),"",$T2175+(U$2*$M2175))</f>
        <v/>
      </c>
      <c r="V2175" s="48">
        <f>IF(OR($M2175="",$T2175=""),"",$T2175+(V$2*$M2175))</f>
        <v/>
      </c>
      <c r="W2175" s="48">
        <f>IF(OR($M2175="",$T2175=""),"",$T2175+(W$2*$M2175))</f>
        <v/>
      </c>
      <c r="X2175" s="49">
        <f>IF(OR($M2175="",$T2175=""),"",$T2175+(X$2*$M2175))</f>
        <v/>
      </c>
      <c r="Y2175" s="47">
        <f>IF(OR($M2175="",$T2175=""),"",$T2175+(Y$2*$M2175))</f>
        <v/>
      </c>
      <c r="Z2175" s="49">
        <f>IF(OR($M2175="",$T2175=""),"",$T2175+(Z$2*$M2175))</f>
        <v/>
      </c>
      <c r="AA2175" s="51">
        <f>IF(OR($M2175="",$T2175=""),"",$T2175+(AA$2*$M2175))</f>
        <v/>
      </c>
      <c r="AB2175" s="48">
        <f>IF(OR($M2175="",$T2175=""),"",$T2175+(AB$2*$M2175))</f>
        <v/>
      </c>
      <c r="AC2175" s="48">
        <f>IF(OR($M2175="",$T2175=""),"",$T2175+(AC$2*$M2175))</f>
        <v/>
      </c>
      <c r="AD2175" s="48">
        <f>IF(OR($M2175="",$T2175=""),"",$T2175+(AD$2*$M2175))</f>
        <v/>
      </c>
      <c r="AE2175" s="49">
        <f>IF(OR($M2175="",$T2175=""),"",$T2175+(AE$2*$M2175))</f>
        <v/>
      </c>
      <c r="AF2175" s="52">
        <f>IF(OR(T2175="",I2175&lt;T2175),"",IFERROR(AVERAGE(T2175+M2175*{7,8,9,10,11})/IF(G2175="",I2175,G2175)-1,""))</f>
        <v/>
      </c>
      <c r="AG2175" s="55">
        <f>IF(OR(T2175="",I2175&lt;T2175),"",IFERROR(AF2175/-(R2175/IF(G2175="",I2175,G2175)-1),""))</f>
        <v/>
      </c>
      <c r="AH2175" s="94" t="n"/>
      <c r="AI2175" s="94" t="n"/>
      <c r="AJ2175" s="94" t="n"/>
      <c r="AK2175" s="94" t="n"/>
      <c r="AL2175" s="84" t="n"/>
    </row>
    <row r="2176">
      <c r="A2176" s="64" t="n"/>
      <c r="B2176" s="65" t="n"/>
      <c r="C2176" s="66" t="n"/>
      <c r="D2176" s="67" t="n"/>
      <c r="E2176" s="68" t="n"/>
      <c r="F2176" s="47">
        <f>IF(A2176="","",IF(MIN(H2176,MAX(J2176:K2176))=0,"",MIN(H2176,MAX(J2176:K2176))))</f>
        <v/>
      </c>
      <c r="G2176" s="74" t="n"/>
      <c r="H2176" s="49">
        <f>IF(M2176="","",IFERROR(ROUND(AVERAGE(T2176+M2176*{7,8,9,10,11})/1.21,4),""))</f>
        <v/>
      </c>
      <c r="I2176" s="76" t="n"/>
      <c r="J2176" s="77" t="n"/>
      <c r="K2176" s="74" t="n"/>
      <c r="L2176" s="78" t="n"/>
      <c r="M2176" s="77" t="n"/>
      <c r="N2176" s="53">
        <f>IF(M2176="","",IFERROR(M2176/I2176,""))</f>
        <v/>
      </c>
      <c r="O2176" s="50">
        <f>IF(A2176="","",IFERROR((IF(G2176="",I2176,G2176)-T2176)/M2176,""))</f>
        <v/>
      </c>
      <c r="P2176" s="50">
        <f>IFERROR((I2176/T2176-1)/N2176,"")</f>
        <v/>
      </c>
      <c r="Q2176" s="46">
        <f>IF(OR(T2176="",I2176&lt;T2176),"",IFERROR(R2176/IF(G2176="",I2176,G2176)-1,""))</f>
        <v/>
      </c>
      <c r="R2176" s="48">
        <f>IF($M2176="","",MAX(IF($G2176="",$I2176,$G2176)*(1/1.1),IF($G2176="",$I2176,$G2176)+(R$2*$M2176)))</f>
        <v/>
      </c>
      <c r="S2176" s="49">
        <f>IF($M2176="","",MAX(IF($G2176="",$I2176,$G2176)*(1/1.1),IF($G2176="",$I2176,$G2176)+(S$2*$M2176)))</f>
        <v/>
      </c>
      <c r="T2176" s="82" t="n"/>
      <c r="U2176" s="47">
        <f>IF(OR($M2176="",$T2176=""),"",$T2176+(U$2*$M2176))</f>
        <v/>
      </c>
      <c r="V2176" s="48">
        <f>IF(OR($M2176="",$T2176=""),"",$T2176+(V$2*$M2176))</f>
        <v/>
      </c>
      <c r="W2176" s="48">
        <f>IF(OR($M2176="",$T2176=""),"",$T2176+(W$2*$M2176))</f>
        <v/>
      </c>
      <c r="X2176" s="49">
        <f>IF(OR($M2176="",$T2176=""),"",$T2176+(X$2*$M2176))</f>
        <v/>
      </c>
      <c r="Y2176" s="47">
        <f>IF(OR($M2176="",$T2176=""),"",$T2176+(Y$2*$M2176))</f>
        <v/>
      </c>
      <c r="Z2176" s="49">
        <f>IF(OR($M2176="",$T2176=""),"",$T2176+(Z$2*$M2176))</f>
        <v/>
      </c>
      <c r="AA2176" s="51">
        <f>IF(OR($M2176="",$T2176=""),"",$T2176+(AA$2*$M2176))</f>
        <v/>
      </c>
      <c r="AB2176" s="48">
        <f>IF(OR($M2176="",$T2176=""),"",$T2176+(AB$2*$M2176))</f>
        <v/>
      </c>
      <c r="AC2176" s="48">
        <f>IF(OR($M2176="",$T2176=""),"",$T2176+(AC$2*$M2176))</f>
        <v/>
      </c>
      <c r="AD2176" s="48">
        <f>IF(OR($M2176="",$T2176=""),"",$T2176+(AD$2*$M2176))</f>
        <v/>
      </c>
      <c r="AE2176" s="49">
        <f>IF(OR($M2176="",$T2176=""),"",$T2176+(AE$2*$M2176))</f>
        <v/>
      </c>
      <c r="AF2176" s="52">
        <f>IF(OR(T2176="",I2176&lt;T2176),"",IFERROR(AVERAGE(T2176+M2176*{7,8,9,10,11})/IF(G2176="",I2176,G2176)-1,""))</f>
        <v/>
      </c>
      <c r="AG2176" s="55">
        <f>IF(OR(T2176="",I2176&lt;T2176),"",IFERROR(AF2176/-(R2176/IF(G2176="",I2176,G2176)-1),""))</f>
        <v/>
      </c>
      <c r="AH2176" s="94" t="n"/>
      <c r="AI2176" s="94" t="n"/>
      <c r="AJ2176" s="94" t="n"/>
      <c r="AK2176" s="94" t="n"/>
      <c r="AL2176" s="84" t="n"/>
    </row>
    <row r="2177">
      <c r="A2177" s="64" t="n"/>
      <c r="B2177" s="65" t="n"/>
      <c r="C2177" s="66" t="n"/>
      <c r="D2177" s="67" t="n"/>
      <c r="E2177" s="68" t="n"/>
      <c r="F2177" s="47">
        <f>IF(A2177="","",IF(MIN(H2177,MAX(J2177:K2177))=0,"",MIN(H2177,MAX(J2177:K2177))))</f>
        <v/>
      </c>
      <c r="G2177" s="74" t="n"/>
      <c r="H2177" s="49">
        <f>IF(M2177="","",IFERROR(ROUND(AVERAGE(T2177+M2177*{7,8,9,10,11})/1.21,4),""))</f>
        <v/>
      </c>
      <c r="I2177" s="76" t="n"/>
      <c r="J2177" s="77" t="n"/>
      <c r="K2177" s="74" t="n"/>
      <c r="L2177" s="78" t="n"/>
      <c r="M2177" s="77" t="n"/>
      <c r="N2177" s="53">
        <f>IF(M2177="","",IFERROR(M2177/I2177,""))</f>
        <v/>
      </c>
      <c r="O2177" s="50">
        <f>IF(A2177="","",IFERROR((IF(G2177="",I2177,G2177)-T2177)/M2177,""))</f>
        <v/>
      </c>
      <c r="P2177" s="50">
        <f>IFERROR((I2177/T2177-1)/N2177,"")</f>
        <v/>
      </c>
      <c r="Q2177" s="46">
        <f>IF(OR(T2177="",I2177&lt;T2177),"",IFERROR(R2177/IF(G2177="",I2177,G2177)-1,""))</f>
        <v/>
      </c>
      <c r="R2177" s="48">
        <f>IF($M2177="","",MAX(IF($G2177="",$I2177,$G2177)*(1/1.1),IF($G2177="",$I2177,$G2177)+(R$2*$M2177)))</f>
        <v/>
      </c>
      <c r="S2177" s="49">
        <f>IF($M2177="","",MAX(IF($G2177="",$I2177,$G2177)*(1/1.1),IF($G2177="",$I2177,$G2177)+(S$2*$M2177)))</f>
        <v/>
      </c>
      <c r="T2177" s="82" t="n"/>
      <c r="U2177" s="47">
        <f>IF(OR($M2177="",$T2177=""),"",$T2177+(U$2*$M2177))</f>
        <v/>
      </c>
      <c r="V2177" s="48">
        <f>IF(OR($M2177="",$T2177=""),"",$T2177+(V$2*$M2177))</f>
        <v/>
      </c>
      <c r="W2177" s="48">
        <f>IF(OR($M2177="",$T2177=""),"",$T2177+(W$2*$M2177))</f>
        <v/>
      </c>
      <c r="X2177" s="49">
        <f>IF(OR($M2177="",$T2177=""),"",$T2177+(X$2*$M2177))</f>
        <v/>
      </c>
      <c r="Y2177" s="47">
        <f>IF(OR($M2177="",$T2177=""),"",$T2177+(Y$2*$M2177))</f>
        <v/>
      </c>
      <c r="Z2177" s="49">
        <f>IF(OR($M2177="",$T2177=""),"",$T2177+(Z$2*$M2177))</f>
        <v/>
      </c>
      <c r="AA2177" s="51">
        <f>IF(OR($M2177="",$T2177=""),"",$T2177+(AA$2*$M2177))</f>
        <v/>
      </c>
      <c r="AB2177" s="48">
        <f>IF(OR($M2177="",$T2177=""),"",$T2177+(AB$2*$M2177))</f>
        <v/>
      </c>
      <c r="AC2177" s="48">
        <f>IF(OR($M2177="",$T2177=""),"",$T2177+(AC$2*$M2177))</f>
        <v/>
      </c>
      <c r="AD2177" s="48">
        <f>IF(OR($M2177="",$T2177=""),"",$T2177+(AD$2*$M2177))</f>
        <v/>
      </c>
      <c r="AE2177" s="49">
        <f>IF(OR($M2177="",$T2177=""),"",$T2177+(AE$2*$M2177))</f>
        <v/>
      </c>
      <c r="AF2177" s="52">
        <f>IF(OR(T2177="",I2177&lt;T2177),"",IFERROR(AVERAGE(T2177+M2177*{7,8,9,10,11})/IF(G2177="",I2177,G2177)-1,""))</f>
        <v/>
      </c>
      <c r="AG2177" s="55">
        <f>IF(OR(T2177="",I2177&lt;T2177),"",IFERROR(AF2177/-(R2177/IF(G2177="",I2177,G2177)-1),""))</f>
        <v/>
      </c>
      <c r="AH2177" s="94" t="n"/>
      <c r="AI2177" s="94" t="n"/>
      <c r="AJ2177" s="94" t="n"/>
      <c r="AK2177" s="94" t="n"/>
      <c r="AL2177" s="84" t="n"/>
    </row>
    <row r="2178">
      <c r="A2178" s="64" t="n"/>
      <c r="B2178" s="65" t="n"/>
      <c r="C2178" s="66" t="n"/>
      <c r="D2178" s="67" t="n"/>
      <c r="E2178" s="68" t="n"/>
      <c r="F2178" s="47">
        <f>IF(A2178="","",IF(MIN(H2178,MAX(J2178:K2178))=0,"",MIN(H2178,MAX(J2178:K2178))))</f>
        <v/>
      </c>
      <c r="G2178" s="74" t="n"/>
      <c r="H2178" s="49">
        <f>IF(M2178="","",IFERROR(ROUND(AVERAGE(T2178+M2178*{7,8,9,10,11})/1.21,4),""))</f>
        <v/>
      </c>
      <c r="I2178" s="76" t="n"/>
      <c r="J2178" s="77" t="n"/>
      <c r="K2178" s="74" t="n"/>
      <c r="L2178" s="78" t="n"/>
      <c r="M2178" s="77" t="n"/>
      <c r="N2178" s="53">
        <f>IF(M2178="","",IFERROR(M2178/I2178,""))</f>
        <v/>
      </c>
      <c r="O2178" s="50">
        <f>IF(A2178="","",IFERROR((IF(G2178="",I2178,G2178)-T2178)/M2178,""))</f>
        <v/>
      </c>
      <c r="P2178" s="50">
        <f>IFERROR((I2178/T2178-1)/N2178,"")</f>
        <v/>
      </c>
      <c r="Q2178" s="46">
        <f>IF(OR(T2178="",I2178&lt;T2178),"",IFERROR(R2178/IF(G2178="",I2178,G2178)-1,""))</f>
        <v/>
      </c>
      <c r="R2178" s="48">
        <f>IF($M2178="","",MAX(IF($G2178="",$I2178,$G2178)*(1/1.1),IF($G2178="",$I2178,$G2178)+(R$2*$M2178)))</f>
        <v/>
      </c>
      <c r="S2178" s="49">
        <f>IF($M2178="","",MAX(IF($G2178="",$I2178,$G2178)*(1/1.1),IF($G2178="",$I2178,$G2178)+(S$2*$M2178)))</f>
        <v/>
      </c>
      <c r="T2178" s="82" t="n"/>
      <c r="U2178" s="47">
        <f>IF(OR($M2178="",$T2178=""),"",$T2178+(U$2*$M2178))</f>
        <v/>
      </c>
      <c r="V2178" s="48">
        <f>IF(OR($M2178="",$T2178=""),"",$T2178+(V$2*$M2178))</f>
        <v/>
      </c>
      <c r="W2178" s="48">
        <f>IF(OR($M2178="",$T2178=""),"",$T2178+(W$2*$M2178))</f>
        <v/>
      </c>
      <c r="X2178" s="49">
        <f>IF(OR($M2178="",$T2178=""),"",$T2178+(X$2*$M2178))</f>
        <v/>
      </c>
      <c r="Y2178" s="47">
        <f>IF(OR($M2178="",$T2178=""),"",$T2178+(Y$2*$M2178))</f>
        <v/>
      </c>
      <c r="Z2178" s="49">
        <f>IF(OR($M2178="",$T2178=""),"",$T2178+(Z$2*$M2178))</f>
        <v/>
      </c>
      <c r="AA2178" s="51">
        <f>IF(OR($M2178="",$T2178=""),"",$T2178+(AA$2*$M2178))</f>
        <v/>
      </c>
      <c r="AB2178" s="48">
        <f>IF(OR($M2178="",$T2178=""),"",$T2178+(AB$2*$M2178))</f>
        <v/>
      </c>
      <c r="AC2178" s="48">
        <f>IF(OR($M2178="",$T2178=""),"",$T2178+(AC$2*$M2178))</f>
        <v/>
      </c>
      <c r="AD2178" s="48">
        <f>IF(OR($M2178="",$T2178=""),"",$T2178+(AD$2*$M2178))</f>
        <v/>
      </c>
      <c r="AE2178" s="49">
        <f>IF(OR($M2178="",$T2178=""),"",$T2178+(AE$2*$M2178))</f>
        <v/>
      </c>
      <c r="AF2178" s="52">
        <f>IF(OR(T2178="",I2178&lt;T2178),"",IFERROR(AVERAGE(T2178+M2178*{7,8,9,10,11})/IF(G2178="",I2178,G2178)-1,""))</f>
        <v/>
      </c>
      <c r="AG2178" s="55">
        <f>IF(OR(T2178="",I2178&lt;T2178),"",IFERROR(AF2178/-(R2178/IF(G2178="",I2178,G2178)-1),""))</f>
        <v/>
      </c>
      <c r="AH2178" s="94" t="n"/>
      <c r="AI2178" s="94" t="n"/>
      <c r="AJ2178" s="94" t="n"/>
      <c r="AK2178" s="94" t="n"/>
      <c r="AL2178" s="84" t="n"/>
    </row>
    <row r="2179">
      <c r="A2179" s="64" t="n"/>
      <c r="B2179" s="65" t="n"/>
      <c r="C2179" s="66" t="n"/>
      <c r="D2179" s="67" t="n"/>
      <c r="E2179" s="68" t="n"/>
      <c r="F2179" s="47">
        <f>IF(A2179="","",IF(MIN(H2179,MAX(J2179:K2179))=0,"",MIN(H2179,MAX(J2179:K2179))))</f>
        <v/>
      </c>
      <c r="G2179" s="74" t="n"/>
      <c r="H2179" s="49">
        <f>IF(M2179="","",IFERROR(ROUND(AVERAGE(T2179+M2179*{7,8,9,10,11})/1.21,4),""))</f>
        <v/>
      </c>
      <c r="I2179" s="76" t="n"/>
      <c r="J2179" s="77" t="n"/>
      <c r="K2179" s="74" t="n"/>
      <c r="L2179" s="78" t="n"/>
      <c r="M2179" s="77" t="n"/>
      <c r="N2179" s="53">
        <f>IF(M2179="","",IFERROR(M2179/I2179,""))</f>
        <v/>
      </c>
      <c r="O2179" s="50">
        <f>IF(A2179="","",IFERROR((IF(G2179="",I2179,G2179)-T2179)/M2179,""))</f>
        <v/>
      </c>
      <c r="P2179" s="50">
        <f>IFERROR((I2179/T2179-1)/N2179,"")</f>
        <v/>
      </c>
      <c r="Q2179" s="46">
        <f>IF(OR(T2179="",I2179&lt;T2179),"",IFERROR(R2179/IF(G2179="",I2179,G2179)-1,""))</f>
        <v/>
      </c>
      <c r="R2179" s="48">
        <f>IF($M2179="","",MAX(IF($G2179="",$I2179,$G2179)*(1/1.1),IF($G2179="",$I2179,$G2179)+(R$2*$M2179)))</f>
        <v/>
      </c>
      <c r="S2179" s="49">
        <f>IF($M2179="","",MAX(IF($G2179="",$I2179,$G2179)*(1/1.1),IF($G2179="",$I2179,$G2179)+(S$2*$M2179)))</f>
        <v/>
      </c>
      <c r="T2179" s="82" t="n"/>
      <c r="U2179" s="47">
        <f>IF(OR($M2179="",$T2179=""),"",$T2179+(U$2*$M2179))</f>
        <v/>
      </c>
      <c r="V2179" s="48">
        <f>IF(OR($M2179="",$T2179=""),"",$T2179+(V$2*$M2179))</f>
        <v/>
      </c>
      <c r="W2179" s="48">
        <f>IF(OR($M2179="",$T2179=""),"",$T2179+(W$2*$M2179))</f>
        <v/>
      </c>
      <c r="X2179" s="49">
        <f>IF(OR($M2179="",$T2179=""),"",$T2179+(X$2*$M2179))</f>
        <v/>
      </c>
      <c r="Y2179" s="47">
        <f>IF(OR($M2179="",$T2179=""),"",$T2179+(Y$2*$M2179))</f>
        <v/>
      </c>
      <c r="Z2179" s="49">
        <f>IF(OR($M2179="",$T2179=""),"",$T2179+(Z$2*$M2179))</f>
        <v/>
      </c>
      <c r="AA2179" s="51">
        <f>IF(OR($M2179="",$T2179=""),"",$T2179+(AA$2*$M2179))</f>
        <v/>
      </c>
      <c r="AB2179" s="48">
        <f>IF(OR($M2179="",$T2179=""),"",$T2179+(AB$2*$M2179))</f>
        <v/>
      </c>
      <c r="AC2179" s="48">
        <f>IF(OR($M2179="",$T2179=""),"",$T2179+(AC$2*$M2179))</f>
        <v/>
      </c>
      <c r="AD2179" s="48">
        <f>IF(OR($M2179="",$T2179=""),"",$T2179+(AD$2*$M2179))</f>
        <v/>
      </c>
      <c r="AE2179" s="49">
        <f>IF(OR($M2179="",$T2179=""),"",$T2179+(AE$2*$M2179))</f>
        <v/>
      </c>
      <c r="AF2179" s="52">
        <f>IF(OR(T2179="",I2179&lt;T2179),"",IFERROR(AVERAGE(T2179+M2179*{7,8,9,10,11})/IF(G2179="",I2179,G2179)-1,""))</f>
        <v/>
      </c>
      <c r="AG2179" s="55">
        <f>IF(OR(T2179="",I2179&lt;T2179),"",IFERROR(AF2179/-(R2179/IF(G2179="",I2179,G2179)-1),""))</f>
        <v/>
      </c>
      <c r="AH2179" s="94" t="n"/>
      <c r="AI2179" s="94" t="n"/>
      <c r="AJ2179" s="94" t="n"/>
      <c r="AK2179" s="94" t="n"/>
      <c r="AL2179" s="84" t="n"/>
    </row>
    <row r="2180">
      <c r="A2180" s="64" t="n"/>
      <c r="B2180" s="65" t="n"/>
      <c r="C2180" s="66" t="n"/>
      <c r="D2180" s="67" t="n"/>
      <c r="E2180" s="68" t="n"/>
      <c r="F2180" s="47">
        <f>IF(A2180="","",IF(MIN(H2180,MAX(J2180:K2180))=0,"",MIN(H2180,MAX(J2180:K2180))))</f>
        <v/>
      </c>
      <c r="G2180" s="74" t="n"/>
      <c r="H2180" s="49">
        <f>IF(M2180="","",IFERROR(ROUND(AVERAGE(T2180+M2180*{7,8,9,10,11})/1.21,4),""))</f>
        <v/>
      </c>
      <c r="I2180" s="76" t="n"/>
      <c r="J2180" s="77" t="n"/>
      <c r="K2180" s="74" t="n"/>
      <c r="L2180" s="78" t="n"/>
      <c r="M2180" s="77" t="n"/>
      <c r="N2180" s="53">
        <f>IF(M2180="","",IFERROR(M2180/I2180,""))</f>
        <v/>
      </c>
      <c r="O2180" s="50">
        <f>IF(A2180="","",IFERROR((IF(G2180="",I2180,G2180)-T2180)/M2180,""))</f>
        <v/>
      </c>
      <c r="P2180" s="50">
        <f>IFERROR((I2180/T2180-1)/N2180,"")</f>
        <v/>
      </c>
      <c r="Q2180" s="46">
        <f>IF(OR(T2180="",I2180&lt;T2180),"",IFERROR(R2180/IF(G2180="",I2180,G2180)-1,""))</f>
        <v/>
      </c>
      <c r="R2180" s="48">
        <f>IF($M2180="","",MAX(IF($G2180="",$I2180,$G2180)*(1/1.1),IF($G2180="",$I2180,$G2180)+(R$2*$M2180)))</f>
        <v/>
      </c>
      <c r="S2180" s="49">
        <f>IF($M2180="","",MAX(IF($G2180="",$I2180,$G2180)*(1/1.1),IF($G2180="",$I2180,$G2180)+(S$2*$M2180)))</f>
        <v/>
      </c>
      <c r="T2180" s="82" t="n"/>
      <c r="U2180" s="47">
        <f>IF(OR($M2180="",$T2180=""),"",$T2180+(U$2*$M2180))</f>
        <v/>
      </c>
      <c r="V2180" s="48">
        <f>IF(OR($M2180="",$T2180=""),"",$T2180+(V$2*$M2180))</f>
        <v/>
      </c>
      <c r="W2180" s="48">
        <f>IF(OR($M2180="",$T2180=""),"",$T2180+(W$2*$M2180))</f>
        <v/>
      </c>
      <c r="X2180" s="49">
        <f>IF(OR($M2180="",$T2180=""),"",$T2180+(X$2*$M2180))</f>
        <v/>
      </c>
      <c r="Y2180" s="47">
        <f>IF(OR($M2180="",$T2180=""),"",$T2180+(Y$2*$M2180))</f>
        <v/>
      </c>
      <c r="Z2180" s="49">
        <f>IF(OR($M2180="",$T2180=""),"",$T2180+(Z$2*$M2180))</f>
        <v/>
      </c>
      <c r="AA2180" s="51">
        <f>IF(OR($M2180="",$T2180=""),"",$T2180+(AA$2*$M2180))</f>
        <v/>
      </c>
      <c r="AB2180" s="48">
        <f>IF(OR($M2180="",$T2180=""),"",$T2180+(AB$2*$M2180))</f>
        <v/>
      </c>
      <c r="AC2180" s="48">
        <f>IF(OR($M2180="",$T2180=""),"",$T2180+(AC$2*$M2180))</f>
        <v/>
      </c>
      <c r="AD2180" s="48">
        <f>IF(OR($M2180="",$T2180=""),"",$T2180+(AD$2*$M2180))</f>
        <v/>
      </c>
      <c r="AE2180" s="49">
        <f>IF(OR($M2180="",$T2180=""),"",$T2180+(AE$2*$M2180))</f>
        <v/>
      </c>
      <c r="AF2180" s="52">
        <f>IF(OR(T2180="",I2180&lt;T2180),"",IFERROR(AVERAGE(T2180+M2180*{7,8,9,10,11})/IF(G2180="",I2180,G2180)-1,""))</f>
        <v/>
      </c>
      <c r="AG2180" s="55">
        <f>IF(OR(T2180="",I2180&lt;T2180),"",IFERROR(AF2180/-(R2180/IF(G2180="",I2180,G2180)-1),""))</f>
        <v/>
      </c>
      <c r="AH2180" s="94" t="n"/>
      <c r="AI2180" s="94" t="n"/>
      <c r="AJ2180" s="94" t="n"/>
      <c r="AK2180" s="94" t="n"/>
      <c r="AL2180" s="84" t="n"/>
    </row>
    <row r="2181">
      <c r="A2181" s="64" t="n"/>
      <c r="B2181" s="65" t="n"/>
      <c r="C2181" s="66" t="n"/>
      <c r="D2181" s="67" t="n"/>
      <c r="E2181" s="68" t="n"/>
      <c r="F2181" s="47">
        <f>IF(A2181="","",IF(MIN(H2181,MAX(J2181:K2181))=0,"",MIN(H2181,MAX(J2181:K2181))))</f>
        <v/>
      </c>
      <c r="G2181" s="74" t="n"/>
      <c r="H2181" s="49">
        <f>IF(M2181="","",IFERROR(ROUND(AVERAGE(T2181+M2181*{7,8,9,10,11})/1.21,4),""))</f>
        <v/>
      </c>
      <c r="I2181" s="76" t="n"/>
      <c r="J2181" s="77" t="n"/>
      <c r="K2181" s="74" t="n"/>
      <c r="L2181" s="78" t="n"/>
      <c r="M2181" s="77" t="n"/>
      <c r="N2181" s="53">
        <f>IF(M2181="","",IFERROR(M2181/I2181,""))</f>
        <v/>
      </c>
      <c r="O2181" s="50">
        <f>IF(A2181="","",IFERROR((IF(G2181="",I2181,G2181)-T2181)/M2181,""))</f>
        <v/>
      </c>
      <c r="P2181" s="50">
        <f>IFERROR((I2181/T2181-1)/N2181,"")</f>
        <v/>
      </c>
      <c r="Q2181" s="46">
        <f>IF(OR(T2181="",I2181&lt;T2181),"",IFERROR(R2181/IF(G2181="",I2181,G2181)-1,""))</f>
        <v/>
      </c>
      <c r="R2181" s="48">
        <f>IF($M2181="","",MAX(IF($G2181="",$I2181,$G2181)*(1/1.1),IF($G2181="",$I2181,$G2181)+(R$2*$M2181)))</f>
        <v/>
      </c>
      <c r="S2181" s="49">
        <f>IF($M2181="","",MAX(IF($G2181="",$I2181,$G2181)*(1/1.1),IF($G2181="",$I2181,$G2181)+(S$2*$M2181)))</f>
        <v/>
      </c>
      <c r="T2181" s="82" t="n"/>
      <c r="U2181" s="47">
        <f>IF(OR($M2181="",$T2181=""),"",$T2181+(U$2*$M2181))</f>
        <v/>
      </c>
      <c r="V2181" s="48">
        <f>IF(OR($M2181="",$T2181=""),"",$T2181+(V$2*$M2181))</f>
        <v/>
      </c>
      <c r="W2181" s="48">
        <f>IF(OR($M2181="",$T2181=""),"",$T2181+(W$2*$M2181))</f>
        <v/>
      </c>
      <c r="X2181" s="49">
        <f>IF(OR($M2181="",$T2181=""),"",$T2181+(X$2*$M2181))</f>
        <v/>
      </c>
      <c r="Y2181" s="47">
        <f>IF(OR($M2181="",$T2181=""),"",$T2181+(Y$2*$M2181))</f>
        <v/>
      </c>
      <c r="Z2181" s="49">
        <f>IF(OR($M2181="",$T2181=""),"",$T2181+(Z$2*$M2181))</f>
        <v/>
      </c>
      <c r="AA2181" s="51">
        <f>IF(OR($M2181="",$T2181=""),"",$T2181+(AA$2*$M2181))</f>
        <v/>
      </c>
      <c r="AB2181" s="48">
        <f>IF(OR($M2181="",$T2181=""),"",$T2181+(AB$2*$M2181))</f>
        <v/>
      </c>
      <c r="AC2181" s="48">
        <f>IF(OR($M2181="",$T2181=""),"",$T2181+(AC$2*$M2181))</f>
        <v/>
      </c>
      <c r="AD2181" s="48">
        <f>IF(OR($M2181="",$T2181=""),"",$T2181+(AD$2*$M2181))</f>
        <v/>
      </c>
      <c r="AE2181" s="49">
        <f>IF(OR($M2181="",$T2181=""),"",$T2181+(AE$2*$M2181))</f>
        <v/>
      </c>
      <c r="AF2181" s="52">
        <f>IF(OR(T2181="",I2181&lt;T2181),"",IFERROR(AVERAGE(T2181+M2181*{7,8,9,10,11})/IF(G2181="",I2181,G2181)-1,""))</f>
        <v/>
      </c>
      <c r="AG2181" s="55">
        <f>IF(OR(T2181="",I2181&lt;T2181),"",IFERROR(AF2181/-(R2181/IF(G2181="",I2181,G2181)-1),""))</f>
        <v/>
      </c>
      <c r="AH2181" s="94" t="n"/>
      <c r="AI2181" s="94" t="n"/>
      <c r="AJ2181" s="94" t="n"/>
      <c r="AK2181" s="94" t="n"/>
      <c r="AL2181" s="84" t="n"/>
    </row>
    <row r="2182">
      <c r="A2182" s="64" t="n"/>
      <c r="B2182" s="65" t="n"/>
      <c r="C2182" s="66" t="n"/>
      <c r="D2182" s="67" t="n"/>
      <c r="E2182" s="68" t="n"/>
      <c r="F2182" s="47">
        <f>IF(A2182="","",IF(MIN(H2182,MAX(J2182:K2182))=0,"",MIN(H2182,MAX(J2182:K2182))))</f>
        <v/>
      </c>
      <c r="G2182" s="74" t="n"/>
      <c r="H2182" s="49">
        <f>IF(M2182="","",IFERROR(ROUND(AVERAGE(T2182+M2182*{7,8,9,10,11})/1.21,4),""))</f>
        <v/>
      </c>
      <c r="I2182" s="76" t="n"/>
      <c r="J2182" s="77" t="n"/>
      <c r="K2182" s="74" t="n"/>
      <c r="L2182" s="78" t="n"/>
      <c r="M2182" s="77" t="n"/>
      <c r="N2182" s="53">
        <f>IF(M2182="","",IFERROR(M2182/I2182,""))</f>
        <v/>
      </c>
      <c r="O2182" s="50">
        <f>IF(A2182="","",IFERROR((IF(G2182="",I2182,G2182)-T2182)/M2182,""))</f>
        <v/>
      </c>
      <c r="P2182" s="50">
        <f>IFERROR((I2182/T2182-1)/N2182,"")</f>
        <v/>
      </c>
      <c r="Q2182" s="46">
        <f>IF(OR(T2182="",I2182&lt;T2182),"",IFERROR(R2182/IF(G2182="",I2182,G2182)-1,""))</f>
        <v/>
      </c>
      <c r="R2182" s="48">
        <f>IF($M2182="","",MAX(IF($G2182="",$I2182,$G2182)*(1/1.1),IF($G2182="",$I2182,$G2182)+(R$2*$M2182)))</f>
        <v/>
      </c>
      <c r="S2182" s="49">
        <f>IF($M2182="","",MAX(IF($G2182="",$I2182,$G2182)*(1/1.1),IF($G2182="",$I2182,$G2182)+(S$2*$M2182)))</f>
        <v/>
      </c>
      <c r="T2182" s="82" t="n"/>
      <c r="U2182" s="47">
        <f>IF(OR($M2182="",$T2182=""),"",$T2182+(U$2*$M2182))</f>
        <v/>
      </c>
      <c r="V2182" s="48">
        <f>IF(OR($M2182="",$T2182=""),"",$T2182+(V$2*$M2182))</f>
        <v/>
      </c>
      <c r="W2182" s="48">
        <f>IF(OR($M2182="",$T2182=""),"",$T2182+(W$2*$M2182))</f>
        <v/>
      </c>
      <c r="X2182" s="49">
        <f>IF(OR($M2182="",$T2182=""),"",$T2182+(X$2*$M2182))</f>
        <v/>
      </c>
      <c r="Y2182" s="47">
        <f>IF(OR($M2182="",$T2182=""),"",$T2182+(Y$2*$M2182))</f>
        <v/>
      </c>
      <c r="Z2182" s="49">
        <f>IF(OR($M2182="",$T2182=""),"",$T2182+(Z$2*$M2182))</f>
        <v/>
      </c>
      <c r="AA2182" s="51">
        <f>IF(OR($M2182="",$T2182=""),"",$T2182+(AA$2*$M2182))</f>
        <v/>
      </c>
      <c r="AB2182" s="48">
        <f>IF(OR($M2182="",$T2182=""),"",$T2182+(AB$2*$M2182))</f>
        <v/>
      </c>
      <c r="AC2182" s="48">
        <f>IF(OR($M2182="",$T2182=""),"",$T2182+(AC$2*$M2182))</f>
        <v/>
      </c>
      <c r="AD2182" s="48">
        <f>IF(OR($M2182="",$T2182=""),"",$T2182+(AD$2*$M2182))</f>
        <v/>
      </c>
      <c r="AE2182" s="49">
        <f>IF(OR($M2182="",$T2182=""),"",$T2182+(AE$2*$M2182))</f>
        <v/>
      </c>
      <c r="AF2182" s="52">
        <f>IF(OR(T2182="",I2182&lt;T2182),"",IFERROR(AVERAGE(T2182+M2182*{7,8,9,10,11})/IF(G2182="",I2182,G2182)-1,""))</f>
        <v/>
      </c>
      <c r="AG2182" s="55">
        <f>IF(OR(T2182="",I2182&lt;T2182),"",IFERROR(AF2182/-(R2182/IF(G2182="",I2182,G2182)-1),""))</f>
        <v/>
      </c>
      <c r="AH2182" s="94" t="n"/>
      <c r="AI2182" s="94" t="n"/>
      <c r="AJ2182" s="94" t="n"/>
      <c r="AK2182" s="94" t="n"/>
      <c r="AL2182" s="84" t="n"/>
    </row>
    <row r="2183">
      <c r="A2183" s="64" t="n"/>
      <c r="B2183" s="65" t="n"/>
      <c r="C2183" s="66" t="n"/>
      <c r="D2183" s="67" t="n"/>
      <c r="E2183" s="68" t="n"/>
      <c r="F2183" s="47">
        <f>IF(A2183="","",IF(MIN(H2183,MAX(J2183:K2183))=0,"",MIN(H2183,MAX(J2183:K2183))))</f>
        <v/>
      </c>
      <c r="G2183" s="74" t="n"/>
      <c r="H2183" s="49">
        <f>IF(M2183="","",IFERROR(ROUND(AVERAGE(T2183+M2183*{7,8,9,10,11})/1.21,4),""))</f>
        <v/>
      </c>
      <c r="I2183" s="76" t="n"/>
      <c r="J2183" s="77" t="n"/>
      <c r="K2183" s="74" t="n"/>
      <c r="L2183" s="78" t="n"/>
      <c r="M2183" s="77" t="n"/>
      <c r="N2183" s="53">
        <f>IF(M2183="","",IFERROR(M2183/I2183,""))</f>
        <v/>
      </c>
      <c r="O2183" s="50">
        <f>IF(A2183="","",IFERROR((IF(G2183="",I2183,G2183)-T2183)/M2183,""))</f>
        <v/>
      </c>
      <c r="P2183" s="50">
        <f>IFERROR((I2183/T2183-1)/N2183,"")</f>
        <v/>
      </c>
      <c r="Q2183" s="46">
        <f>IF(OR(T2183="",I2183&lt;T2183),"",IFERROR(R2183/IF(G2183="",I2183,G2183)-1,""))</f>
        <v/>
      </c>
      <c r="R2183" s="48">
        <f>IF($M2183="","",MAX(IF($G2183="",$I2183,$G2183)*(1/1.1),IF($G2183="",$I2183,$G2183)+(R$2*$M2183)))</f>
        <v/>
      </c>
      <c r="S2183" s="49">
        <f>IF($M2183="","",MAX(IF($G2183="",$I2183,$G2183)*(1/1.1),IF($G2183="",$I2183,$G2183)+(S$2*$M2183)))</f>
        <v/>
      </c>
      <c r="T2183" s="82" t="n"/>
      <c r="U2183" s="47">
        <f>IF(OR($M2183="",$T2183=""),"",$T2183+(U$2*$M2183))</f>
        <v/>
      </c>
      <c r="V2183" s="48">
        <f>IF(OR($M2183="",$T2183=""),"",$T2183+(V$2*$M2183))</f>
        <v/>
      </c>
      <c r="W2183" s="48">
        <f>IF(OR($M2183="",$T2183=""),"",$T2183+(W$2*$M2183))</f>
        <v/>
      </c>
      <c r="X2183" s="49">
        <f>IF(OR($M2183="",$T2183=""),"",$T2183+(X$2*$M2183))</f>
        <v/>
      </c>
      <c r="Y2183" s="47">
        <f>IF(OR($M2183="",$T2183=""),"",$T2183+(Y$2*$M2183))</f>
        <v/>
      </c>
      <c r="Z2183" s="49">
        <f>IF(OR($M2183="",$T2183=""),"",$T2183+(Z$2*$M2183))</f>
        <v/>
      </c>
      <c r="AA2183" s="51">
        <f>IF(OR($M2183="",$T2183=""),"",$T2183+(AA$2*$M2183))</f>
        <v/>
      </c>
      <c r="AB2183" s="48">
        <f>IF(OR($M2183="",$T2183=""),"",$T2183+(AB$2*$M2183))</f>
        <v/>
      </c>
      <c r="AC2183" s="48">
        <f>IF(OR($M2183="",$T2183=""),"",$T2183+(AC$2*$M2183))</f>
        <v/>
      </c>
      <c r="AD2183" s="48">
        <f>IF(OR($M2183="",$T2183=""),"",$T2183+(AD$2*$M2183))</f>
        <v/>
      </c>
      <c r="AE2183" s="49">
        <f>IF(OR($M2183="",$T2183=""),"",$T2183+(AE$2*$M2183))</f>
        <v/>
      </c>
      <c r="AF2183" s="52">
        <f>IF(OR(T2183="",I2183&lt;T2183),"",IFERROR(AVERAGE(T2183+M2183*{7,8,9,10,11})/IF(G2183="",I2183,G2183)-1,""))</f>
        <v/>
      </c>
      <c r="AG2183" s="55">
        <f>IF(OR(T2183="",I2183&lt;T2183),"",IFERROR(AF2183/-(R2183/IF(G2183="",I2183,G2183)-1),""))</f>
        <v/>
      </c>
      <c r="AH2183" s="94" t="n"/>
      <c r="AI2183" s="94" t="n"/>
      <c r="AJ2183" s="94" t="n"/>
      <c r="AK2183" s="94" t="n"/>
      <c r="AL2183" s="84" t="n"/>
    </row>
    <row r="2184">
      <c r="A2184" s="64" t="n"/>
      <c r="B2184" s="65" t="n"/>
      <c r="C2184" s="66" t="n"/>
      <c r="D2184" s="67" t="n"/>
      <c r="E2184" s="68" t="n"/>
      <c r="F2184" s="47">
        <f>IF(A2184="","",IF(MIN(H2184,MAX(J2184:K2184))=0,"",MIN(H2184,MAX(J2184:K2184))))</f>
        <v/>
      </c>
      <c r="G2184" s="74" t="n"/>
      <c r="H2184" s="49">
        <f>IF(M2184="","",IFERROR(ROUND(AVERAGE(T2184+M2184*{7,8,9,10,11})/1.21,4),""))</f>
        <v/>
      </c>
      <c r="I2184" s="76" t="n"/>
      <c r="J2184" s="77" t="n"/>
      <c r="K2184" s="74" t="n"/>
      <c r="L2184" s="78" t="n"/>
      <c r="M2184" s="77" t="n"/>
      <c r="N2184" s="53">
        <f>IF(M2184="","",IFERROR(M2184/I2184,""))</f>
        <v/>
      </c>
      <c r="O2184" s="50">
        <f>IF(A2184="","",IFERROR((IF(G2184="",I2184,G2184)-T2184)/M2184,""))</f>
        <v/>
      </c>
      <c r="P2184" s="50">
        <f>IFERROR((I2184/T2184-1)/N2184,"")</f>
        <v/>
      </c>
      <c r="Q2184" s="46">
        <f>IF(OR(T2184="",I2184&lt;T2184),"",IFERROR(R2184/IF(G2184="",I2184,G2184)-1,""))</f>
        <v/>
      </c>
      <c r="R2184" s="48">
        <f>IF($M2184="","",MAX(IF($G2184="",$I2184,$G2184)*(1/1.1),IF($G2184="",$I2184,$G2184)+(R$2*$M2184)))</f>
        <v/>
      </c>
      <c r="S2184" s="49">
        <f>IF($M2184="","",MAX(IF($G2184="",$I2184,$G2184)*(1/1.1),IF($G2184="",$I2184,$G2184)+(S$2*$M2184)))</f>
        <v/>
      </c>
      <c r="T2184" s="82" t="n"/>
      <c r="U2184" s="47">
        <f>IF(OR($M2184="",$T2184=""),"",$T2184+(U$2*$M2184))</f>
        <v/>
      </c>
      <c r="V2184" s="48">
        <f>IF(OR($M2184="",$T2184=""),"",$T2184+(V$2*$M2184))</f>
        <v/>
      </c>
      <c r="W2184" s="48">
        <f>IF(OR($M2184="",$T2184=""),"",$T2184+(W$2*$M2184))</f>
        <v/>
      </c>
      <c r="X2184" s="49">
        <f>IF(OR($M2184="",$T2184=""),"",$T2184+(X$2*$M2184))</f>
        <v/>
      </c>
      <c r="Y2184" s="47">
        <f>IF(OR($M2184="",$T2184=""),"",$T2184+(Y$2*$M2184))</f>
        <v/>
      </c>
      <c r="Z2184" s="49">
        <f>IF(OR($M2184="",$T2184=""),"",$T2184+(Z$2*$M2184))</f>
        <v/>
      </c>
      <c r="AA2184" s="51">
        <f>IF(OR($M2184="",$T2184=""),"",$T2184+(AA$2*$M2184))</f>
        <v/>
      </c>
      <c r="AB2184" s="48">
        <f>IF(OR($M2184="",$T2184=""),"",$T2184+(AB$2*$M2184))</f>
        <v/>
      </c>
      <c r="AC2184" s="48">
        <f>IF(OR($M2184="",$T2184=""),"",$T2184+(AC$2*$M2184))</f>
        <v/>
      </c>
      <c r="AD2184" s="48">
        <f>IF(OR($M2184="",$T2184=""),"",$T2184+(AD$2*$M2184))</f>
        <v/>
      </c>
      <c r="AE2184" s="49">
        <f>IF(OR($M2184="",$T2184=""),"",$T2184+(AE$2*$M2184))</f>
        <v/>
      </c>
      <c r="AF2184" s="52">
        <f>IF(OR(T2184="",I2184&lt;T2184),"",IFERROR(AVERAGE(T2184+M2184*{7,8,9,10,11})/IF(G2184="",I2184,G2184)-1,""))</f>
        <v/>
      </c>
      <c r="AG2184" s="55">
        <f>IF(OR(T2184="",I2184&lt;T2184),"",IFERROR(AF2184/-(R2184/IF(G2184="",I2184,G2184)-1),""))</f>
        <v/>
      </c>
      <c r="AH2184" s="94" t="n"/>
      <c r="AI2184" s="94" t="n"/>
      <c r="AJ2184" s="94" t="n"/>
      <c r="AK2184" s="94" t="n"/>
      <c r="AL2184" s="84" t="n"/>
    </row>
    <row r="2185">
      <c r="A2185" s="64" t="n"/>
      <c r="B2185" s="65" t="n"/>
      <c r="C2185" s="66" t="n"/>
      <c r="D2185" s="67" t="n"/>
      <c r="E2185" s="68" t="n"/>
      <c r="F2185" s="47">
        <f>IF(A2185="","",IF(MIN(H2185,MAX(J2185:K2185))=0,"",MIN(H2185,MAX(J2185:K2185))))</f>
        <v/>
      </c>
      <c r="G2185" s="74" t="n"/>
      <c r="H2185" s="49">
        <f>IF(M2185="","",IFERROR(ROUND(AVERAGE(T2185+M2185*{7,8,9,10,11})/1.21,4),""))</f>
        <v/>
      </c>
      <c r="I2185" s="76" t="n"/>
      <c r="J2185" s="77" t="n"/>
      <c r="K2185" s="74" t="n"/>
      <c r="L2185" s="78" t="n"/>
      <c r="M2185" s="77" t="n"/>
      <c r="N2185" s="53">
        <f>IF(M2185="","",IFERROR(M2185/I2185,""))</f>
        <v/>
      </c>
      <c r="O2185" s="50">
        <f>IF(A2185="","",IFERROR((IF(G2185="",I2185,G2185)-T2185)/M2185,""))</f>
        <v/>
      </c>
      <c r="P2185" s="50">
        <f>IFERROR((I2185/T2185-1)/N2185,"")</f>
        <v/>
      </c>
      <c r="Q2185" s="46">
        <f>IF(OR(T2185="",I2185&lt;T2185),"",IFERROR(R2185/IF(G2185="",I2185,G2185)-1,""))</f>
        <v/>
      </c>
      <c r="R2185" s="48">
        <f>IF($M2185="","",MAX(IF($G2185="",$I2185,$G2185)*(1/1.1),IF($G2185="",$I2185,$G2185)+(R$2*$M2185)))</f>
        <v/>
      </c>
      <c r="S2185" s="49">
        <f>IF($M2185="","",MAX(IF($G2185="",$I2185,$G2185)*(1/1.1),IF($G2185="",$I2185,$G2185)+(S$2*$M2185)))</f>
        <v/>
      </c>
      <c r="T2185" s="82" t="n"/>
      <c r="U2185" s="47">
        <f>IF(OR($M2185="",$T2185=""),"",$T2185+(U$2*$M2185))</f>
        <v/>
      </c>
      <c r="V2185" s="48">
        <f>IF(OR($M2185="",$T2185=""),"",$T2185+(V$2*$M2185))</f>
        <v/>
      </c>
      <c r="W2185" s="48">
        <f>IF(OR($M2185="",$T2185=""),"",$T2185+(W$2*$M2185))</f>
        <v/>
      </c>
      <c r="X2185" s="49">
        <f>IF(OR($M2185="",$T2185=""),"",$T2185+(X$2*$M2185))</f>
        <v/>
      </c>
      <c r="Y2185" s="47">
        <f>IF(OR($M2185="",$T2185=""),"",$T2185+(Y$2*$M2185))</f>
        <v/>
      </c>
      <c r="Z2185" s="49">
        <f>IF(OR($M2185="",$T2185=""),"",$T2185+(Z$2*$M2185))</f>
        <v/>
      </c>
      <c r="AA2185" s="51">
        <f>IF(OR($M2185="",$T2185=""),"",$T2185+(AA$2*$M2185))</f>
        <v/>
      </c>
      <c r="AB2185" s="48">
        <f>IF(OR($M2185="",$T2185=""),"",$T2185+(AB$2*$M2185))</f>
        <v/>
      </c>
      <c r="AC2185" s="48">
        <f>IF(OR($M2185="",$T2185=""),"",$T2185+(AC$2*$M2185))</f>
        <v/>
      </c>
      <c r="AD2185" s="48">
        <f>IF(OR($M2185="",$T2185=""),"",$T2185+(AD$2*$M2185))</f>
        <v/>
      </c>
      <c r="AE2185" s="49">
        <f>IF(OR($M2185="",$T2185=""),"",$T2185+(AE$2*$M2185))</f>
        <v/>
      </c>
      <c r="AF2185" s="52">
        <f>IF(OR(T2185="",I2185&lt;T2185),"",IFERROR(AVERAGE(T2185+M2185*{7,8,9,10,11})/IF(G2185="",I2185,G2185)-1,""))</f>
        <v/>
      </c>
      <c r="AG2185" s="55">
        <f>IF(OR(T2185="",I2185&lt;T2185),"",IFERROR(AF2185/-(R2185/IF(G2185="",I2185,G2185)-1),""))</f>
        <v/>
      </c>
      <c r="AH2185" s="94" t="n"/>
      <c r="AI2185" s="94" t="n"/>
      <c r="AJ2185" s="94" t="n"/>
      <c r="AK2185" s="94" t="n"/>
      <c r="AL2185" s="84" t="n"/>
    </row>
    <row r="2186">
      <c r="A2186" s="64" t="n"/>
      <c r="B2186" s="65" t="n"/>
      <c r="C2186" s="66" t="n"/>
      <c r="D2186" s="67" t="n"/>
      <c r="E2186" s="68" t="n"/>
      <c r="F2186" s="47">
        <f>IF(A2186="","",IF(MIN(H2186,MAX(J2186:K2186))=0,"",MIN(H2186,MAX(J2186:K2186))))</f>
        <v/>
      </c>
      <c r="G2186" s="74" t="n"/>
      <c r="H2186" s="49">
        <f>IF(M2186="","",IFERROR(ROUND(AVERAGE(T2186+M2186*{7,8,9,10,11})/1.21,4),""))</f>
        <v/>
      </c>
      <c r="I2186" s="76" t="n"/>
      <c r="J2186" s="77" t="n"/>
      <c r="K2186" s="74" t="n"/>
      <c r="L2186" s="78" t="n"/>
      <c r="M2186" s="77" t="n"/>
      <c r="N2186" s="53">
        <f>IF(M2186="","",IFERROR(M2186/I2186,""))</f>
        <v/>
      </c>
      <c r="O2186" s="50">
        <f>IF(A2186="","",IFERROR((IF(G2186="",I2186,G2186)-T2186)/M2186,""))</f>
        <v/>
      </c>
      <c r="P2186" s="50">
        <f>IFERROR((I2186/T2186-1)/N2186,"")</f>
        <v/>
      </c>
      <c r="Q2186" s="46">
        <f>IF(OR(T2186="",I2186&lt;T2186),"",IFERROR(R2186/IF(G2186="",I2186,G2186)-1,""))</f>
        <v/>
      </c>
      <c r="R2186" s="48">
        <f>IF($M2186="","",MAX(IF($G2186="",$I2186,$G2186)*(1/1.1),IF($G2186="",$I2186,$G2186)+(R$2*$M2186)))</f>
        <v/>
      </c>
      <c r="S2186" s="49">
        <f>IF($M2186="","",MAX(IF($G2186="",$I2186,$G2186)*(1/1.1),IF($G2186="",$I2186,$G2186)+(S$2*$M2186)))</f>
        <v/>
      </c>
      <c r="T2186" s="82" t="n"/>
      <c r="U2186" s="47">
        <f>IF(OR($M2186="",$T2186=""),"",$T2186+(U$2*$M2186))</f>
        <v/>
      </c>
      <c r="V2186" s="48">
        <f>IF(OR($M2186="",$T2186=""),"",$T2186+(V$2*$M2186))</f>
        <v/>
      </c>
      <c r="W2186" s="48">
        <f>IF(OR($M2186="",$T2186=""),"",$T2186+(W$2*$M2186))</f>
        <v/>
      </c>
      <c r="X2186" s="49">
        <f>IF(OR($M2186="",$T2186=""),"",$T2186+(X$2*$M2186))</f>
        <v/>
      </c>
      <c r="Y2186" s="47">
        <f>IF(OR($M2186="",$T2186=""),"",$T2186+(Y$2*$M2186))</f>
        <v/>
      </c>
      <c r="Z2186" s="49">
        <f>IF(OR($M2186="",$T2186=""),"",$T2186+(Z$2*$M2186))</f>
        <v/>
      </c>
      <c r="AA2186" s="51">
        <f>IF(OR($M2186="",$T2186=""),"",$T2186+(AA$2*$M2186))</f>
        <v/>
      </c>
      <c r="AB2186" s="48">
        <f>IF(OR($M2186="",$T2186=""),"",$T2186+(AB$2*$M2186))</f>
        <v/>
      </c>
      <c r="AC2186" s="48">
        <f>IF(OR($M2186="",$T2186=""),"",$T2186+(AC$2*$M2186))</f>
        <v/>
      </c>
      <c r="AD2186" s="48">
        <f>IF(OR($M2186="",$T2186=""),"",$T2186+(AD$2*$M2186))</f>
        <v/>
      </c>
      <c r="AE2186" s="49">
        <f>IF(OR($M2186="",$T2186=""),"",$T2186+(AE$2*$M2186))</f>
        <v/>
      </c>
      <c r="AF2186" s="52">
        <f>IF(OR(T2186="",I2186&lt;T2186),"",IFERROR(AVERAGE(T2186+M2186*{7,8,9,10,11})/IF(G2186="",I2186,G2186)-1,""))</f>
        <v/>
      </c>
      <c r="AG2186" s="55">
        <f>IF(OR(T2186="",I2186&lt;T2186),"",IFERROR(AF2186/-(R2186/IF(G2186="",I2186,G2186)-1),""))</f>
        <v/>
      </c>
      <c r="AH2186" s="94" t="n"/>
      <c r="AI2186" s="94" t="n"/>
      <c r="AJ2186" s="94" t="n"/>
      <c r="AK2186" s="94" t="n"/>
      <c r="AL2186" s="84" t="n"/>
    </row>
    <row r="2187">
      <c r="A2187" s="64" t="n"/>
      <c r="B2187" s="65" t="n"/>
      <c r="C2187" s="66" t="n"/>
      <c r="D2187" s="67" t="n"/>
      <c r="E2187" s="68" t="n"/>
      <c r="F2187" s="47">
        <f>IF(A2187="","",IF(MIN(H2187,MAX(J2187:K2187))=0,"",MIN(H2187,MAX(J2187:K2187))))</f>
        <v/>
      </c>
      <c r="G2187" s="74" t="n"/>
      <c r="H2187" s="49">
        <f>IF(M2187="","",IFERROR(ROUND(AVERAGE(T2187+M2187*{7,8,9,10,11})/1.21,4),""))</f>
        <v/>
      </c>
      <c r="I2187" s="76" t="n"/>
      <c r="J2187" s="77" t="n"/>
      <c r="K2187" s="74" t="n"/>
      <c r="L2187" s="78" t="n"/>
      <c r="M2187" s="77" t="n"/>
      <c r="N2187" s="53">
        <f>IF(M2187="","",IFERROR(M2187/I2187,""))</f>
        <v/>
      </c>
      <c r="O2187" s="50">
        <f>IF(A2187="","",IFERROR((IF(G2187="",I2187,G2187)-T2187)/M2187,""))</f>
        <v/>
      </c>
      <c r="P2187" s="50">
        <f>IFERROR((I2187/T2187-1)/N2187,"")</f>
        <v/>
      </c>
      <c r="Q2187" s="46">
        <f>IF(OR(T2187="",I2187&lt;T2187),"",IFERROR(R2187/IF(G2187="",I2187,G2187)-1,""))</f>
        <v/>
      </c>
      <c r="R2187" s="48">
        <f>IF($M2187="","",MAX(IF($G2187="",$I2187,$G2187)*(1/1.1),IF($G2187="",$I2187,$G2187)+(R$2*$M2187)))</f>
        <v/>
      </c>
      <c r="S2187" s="49">
        <f>IF($M2187="","",MAX(IF($G2187="",$I2187,$G2187)*(1/1.1),IF($G2187="",$I2187,$G2187)+(S$2*$M2187)))</f>
        <v/>
      </c>
      <c r="T2187" s="82" t="n"/>
      <c r="U2187" s="47">
        <f>IF(OR($M2187="",$T2187=""),"",$T2187+(U$2*$M2187))</f>
        <v/>
      </c>
      <c r="V2187" s="48">
        <f>IF(OR($M2187="",$T2187=""),"",$T2187+(V$2*$M2187))</f>
        <v/>
      </c>
      <c r="W2187" s="48">
        <f>IF(OR($M2187="",$T2187=""),"",$T2187+(W$2*$M2187))</f>
        <v/>
      </c>
      <c r="X2187" s="49">
        <f>IF(OR($M2187="",$T2187=""),"",$T2187+(X$2*$M2187))</f>
        <v/>
      </c>
      <c r="Y2187" s="47">
        <f>IF(OR($M2187="",$T2187=""),"",$T2187+(Y$2*$M2187))</f>
        <v/>
      </c>
      <c r="Z2187" s="49">
        <f>IF(OR($M2187="",$T2187=""),"",$T2187+(Z$2*$M2187))</f>
        <v/>
      </c>
      <c r="AA2187" s="51">
        <f>IF(OR($M2187="",$T2187=""),"",$T2187+(AA$2*$M2187))</f>
        <v/>
      </c>
      <c r="AB2187" s="48">
        <f>IF(OR($M2187="",$T2187=""),"",$T2187+(AB$2*$M2187))</f>
        <v/>
      </c>
      <c r="AC2187" s="48">
        <f>IF(OR($M2187="",$T2187=""),"",$T2187+(AC$2*$M2187))</f>
        <v/>
      </c>
      <c r="AD2187" s="48">
        <f>IF(OR($M2187="",$T2187=""),"",$T2187+(AD$2*$M2187))</f>
        <v/>
      </c>
      <c r="AE2187" s="49">
        <f>IF(OR($M2187="",$T2187=""),"",$T2187+(AE$2*$M2187))</f>
        <v/>
      </c>
      <c r="AF2187" s="52">
        <f>IF(OR(T2187="",I2187&lt;T2187),"",IFERROR(AVERAGE(T2187+M2187*{7,8,9,10,11})/IF(G2187="",I2187,G2187)-1,""))</f>
        <v/>
      </c>
      <c r="AG2187" s="55">
        <f>IF(OR(T2187="",I2187&lt;T2187),"",IFERROR(AF2187/-(R2187/IF(G2187="",I2187,G2187)-1),""))</f>
        <v/>
      </c>
      <c r="AH2187" s="94" t="n"/>
      <c r="AI2187" s="94" t="n"/>
      <c r="AJ2187" s="94" t="n"/>
      <c r="AK2187" s="94" t="n"/>
      <c r="AL2187" s="84" t="n"/>
    </row>
    <row r="2188">
      <c r="A2188" s="64" t="n"/>
      <c r="B2188" s="65" t="n"/>
      <c r="C2188" s="66" t="n"/>
      <c r="D2188" s="67" t="n"/>
      <c r="E2188" s="68" t="n"/>
      <c r="F2188" s="47">
        <f>IF(A2188="","",IF(MIN(H2188,MAX(J2188:K2188))=0,"",MIN(H2188,MAX(J2188:K2188))))</f>
        <v/>
      </c>
      <c r="G2188" s="74" t="n"/>
      <c r="H2188" s="49">
        <f>IF(M2188="","",IFERROR(ROUND(AVERAGE(T2188+M2188*{7,8,9,10,11})/1.21,4),""))</f>
        <v/>
      </c>
      <c r="I2188" s="76" t="n"/>
      <c r="J2188" s="77" t="n"/>
      <c r="K2188" s="74" t="n"/>
      <c r="L2188" s="78" t="n"/>
      <c r="M2188" s="77" t="n"/>
      <c r="N2188" s="53">
        <f>IF(M2188="","",IFERROR(M2188/I2188,""))</f>
        <v/>
      </c>
      <c r="O2188" s="50">
        <f>IF(A2188="","",IFERROR((IF(G2188="",I2188,G2188)-T2188)/M2188,""))</f>
        <v/>
      </c>
      <c r="P2188" s="50">
        <f>IFERROR((I2188/T2188-1)/N2188,"")</f>
        <v/>
      </c>
      <c r="Q2188" s="46">
        <f>IF(OR(T2188="",I2188&lt;T2188),"",IFERROR(R2188/IF(G2188="",I2188,G2188)-1,""))</f>
        <v/>
      </c>
      <c r="R2188" s="48">
        <f>IF($M2188="","",MAX(IF($G2188="",$I2188,$G2188)*(1/1.1),IF($G2188="",$I2188,$G2188)+(R$2*$M2188)))</f>
        <v/>
      </c>
      <c r="S2188" s="49">
        <f>IF($M2188="","",MAX(IF($G2188="",$I2188,$G2188)*(1/1.1),IF($G2188="",$I2188,$G2188)+(S$2*$M2188)))</f>
        <v/>
      </c>
      <c r="T2188" s="82" t="n"/>
      <c r="U2188" s="47">
        <f>IF(OR($M2188="",$T2188=""),"",$T2188+(U$2*$M2188))</f>
        <v/>
      </c>
      <c r="V2188" s="48">
        <f>IF(OR($M2188="",$T2188=""),"",$T2188+(V$2*$M2188))</f>
        <v/>
      </c>
      <c r="W2188" s="48">
        <f>IF(OR($M2188="",$T2188=""),"",$T2188+(W$2*$M2188))</f>
        <v/>
      </c>
      <c r="X2188" s="49">
        <f>IF(OR($M2188="",$T2188=""),"",$T2188+(X$2*$M2188))</f>
        <v/>
      </c>
      <c r="Y2188" s="47">
        <f>IF(OR($M2188="",$T2188=""),"",$T2188+(Y$2*$M2188))</f>
        <v/>
      </c>
      <c r="Z2188" s="49">
        <f>IF(OR($M2188="",$T2188=""),"",$T2188+(Z$2*$M2188))</f>
        <v/>
      </c>
      <c r="AA2188" s="51">
        <f>IF(OR($M2188="",$T2188=""),"",$T2188+(AA$2*$M2188))</f>
        <v/>
      </c>
      <c r="AB2188" s="48">
        <f>IF(OR($M2188="",$T2188=""),"",$T2188+(AB$2*$M2188))</f>
        <v/>
      </c>
      <c r="AC2188" s="48">
        <f>IF(OR($M2188="",$T2188=""),"",$T2188+(AC$2*$M2188))</f>
        <v/>
      </c>
      <c r="AD2188" s="48">
        <f>IF(OR($M2188="",$T2188=""),"",$T2188+(AD$2*$M2188))</f>
        <v/>
      </c>
      <c r="AE2188" s="49">
        <f>IF(OR($M2188="",$T2188=""),"",$T2188+(AE$2*$M2188))</f>
        <v/>
      </c>
      <c r="AF2188" s="52">
        <f>IF(OR(T2188="",I2188&lt;T2188),"",IFERROR(AVERAGE(T2188+M2188*{7,8,9,10,11})/IF(G2188="",I2188,G2188)-1,""))</f>
        <v/>
      </c>
      <c r="AG2188" s="55">
        <f>IF(OR(T2188="",I2188&lt;T2188),"",IFERROR(AF2188/-(R2188/IF(G2188="",I2188,G2188)-1),""))</f>
        <v/>
      </c>
      <c r="AH2188" s="94" t="n"/>
      <c r="AI2188" s="94" t="n"/>
      <c r="AJ2188" s="94" t="n"/>
      <c r="AK2188" s="94" t="n"/>
      <c r="AL2188" s="84" t="n"/>
    </row>
    <row r="2189">
      <c r="A2189" s="64" t="n"/>
      <c r="B2189" s="65" t="n"/>
      <c r="C2189" s="66" t="n"/>
      <c r="D2189" s="67" t="n"/>
      <c r="E2189" s="68" t="n"/>
      <c r="F2189" s="47">
        <f>IF(A2189="","",IF(MIN(H2189,MAX(J2189:K2189))=0,"",MIN(H2189,MAX(J2189:K2189))))</f>
        <v/>
      </c>
      <c r="G2189" s="74" t="n"/>
      <c r="H2189" s="49">
        <f>IF(M2189="","",IFERROR(ROUND(AVERAGE(T2189+M2189*{7,8,9,10,11})/1.21,4),""))</f>
        <v/>
      </c>
      <c r="I2189" s="76" t="n"/>
      <c r="J2189" s="77" t="n"/>
      <c r="K2189" s="74" t="n"/>
      <c r="L2189" s="78" t="n"/>
      <c r="M2189" s="77" t="n"/>
      <c r="N2189" s="53">
        <f>IF(M2189="","",IFERROR(M2189/I2189,""))</f>
        <v/>
      </c>
      <c r="O2189" s="50">
        <f>IF(A2189="","",IFERROR((IF(G2189="",I2189,G2189)-T2189)/M2189,""))</f>
        <v/>
      </c>
      <c r="P2189" s="50">
        <f>IFERROR((I2189/T2189-1)/N2189,"")</f>
        <v/>
      </c>
      <c r="Q2189" s="46">
        <f>IF(OR(T2189="",I2189&lt;T2189),"",IFERROR(R2189/IF(G2189="",I2189,G2189)-1,""))</f>
        <v/>
      </c>
      <c r="R2189" s="48">
        <f>IF($M2189="","",MAX(IF($G2189="",$I2189,$G2189)*(1/1.1),IF($G2189="",$I2189,$G2189)+(R$2*$M2189)))</f>
        <v/>
      </c>
      <c r="S2189" s="49">
        <f>IF($M2189="","",MAX(IF($G2189="",$I2189,$G2189)*(1/1.1),IF($G2189="",$I2189,$G2189)+(S$2*$M2189)))</f>
        <v/>
      </c>
      <c r="T2189" s="82" t="n"/>
      <c r="U2189" s="47">
        <f>IF(OR($M2189="",$T2189=""),"",$T2189+(U$2*$M2189))</f>
        <v/>
      </c>
      <c r="V2189" s="48">
        <f>IF(OR($M2189="",$T2189=""),"",$T2189+(V$2*$M2189))</f>
        <v/>
      </c>
      <c r="W2189" s="48">
        <f>IF(OR($M2189="",$T2189=""),"",$T2189+(W$2*$M2189))</f>
        <v/>
      </c>
      <c r="X2189" s="49">
        <f>IF(OR($M2189="",$T2189=""),"",$T2189+(X$2*$M2189))</f>
        <v/>
      </c>
      <c r="Y2189" s="47">
        <f>IF(OR($M2189="",$T2189=""),"",$T2189+(Y$2*$M2189))</f>
        <v/>
      </c>
      <c r="Z2189" s="49">
        <f>IF(OR($M2189="",$T2189=""),"",$T2189+(Z$2*$M2189))</f>
        <v/>
      </c>
      <c r="AA2189" s="51">
        <f>IF(OR($M2189="",$T2189=""),"",$T2189+(AA$2*$M2189))</f>
        <v/>
      </c>
      <c r="AB2189" s="48">
        <f>IF(OR($M2189="",$T2189=""),"",$T2189+(AB$2*$M2189))</f>
        <v/>
      </c>
      <c r="AC2189" s="48">
        <f>IF(OR($M2189="",$T2189=""),"",$T2189+(AC$2*$M2189))</f>
        <v/>
      </c>
      <c r="AD2189" s="48">
        <f>IF(OR($M2189="",$T2189=""),"",$T2189+(AD$2*$M2189))</f>
        <v/>
      </c>
      <c r="AE2189" s="49">
        <f>IF(OR($M2189="",$T2189=""),"",$T2189+(AE$2*$M2189))</f>
        <v/>
      </c>
      <c r="AF2189" s="52">
        <f>IF(OR(T2189="",I2189&lt;T2189),"",IFERROR(AVERAGE(T2189+M2189*{7,8,9,10,11})/IF(G2189="",I2189,G2189)-1,""))</f>
        <v/>
      </c>
      <c r="AG2189" s="55">
        <f>IF(OR(T2189="",I2189&lt;T2189),"",IFERROR(AF2189/-(R2189/IF(G2189="",I2189,G2189)-1),""))</f>
        <v/>
      </c>
      <c r="AH2189" s="94" t="n"/>
      <c r="AI2189" s="94" t="n"/>
      <c r="AJ2189" s="94" t="n"/>
      <c r="AK2189" s="94" t="n"/>
      <c r="AL2189" s="84" t="n"/>
    </row>
    <row r="2190">
      <c r="A2190" s="64" t="n"/>
      <c r="B2190" s="65" t="n"/>
      <c r="C2190" s="66" t="n"/>
      <c r="D2190" s="67" t="n"/>
      <c r="E2190" s="68" t="n"/>
      <c r="F2190" s="47">
        <f>IF(A2190="","",IF(MIN(H2190,MAX(J2190:K2190))=0,"",MIN(H2190,MAX(J2190:K2190))))</f>
        <v/>
      </c>
      <c r="G2190" s="74" t="n"/>
      <c r="H2190" s="49">
        <f>IF(M2190="","",IFERROR(ROUND(AVERAGE(T2190+M2190*{7,8,9,10,11})/1.21,4),""))</f>
        <v/>
      </c>
      <c r="I2190" s="76" t="n"/>
      <c r="J2190" s="77" t="n"/>
      <c r="K2190" s="74" t="n"/>
      <c r="L2190" s="78" t="n"/>
      <c r="M2190" s="77" t="n"/>
      <c r="N2190" s="53">
        <f>IF(M2190="","",IFERROR(M2190/I2190,""))</f>
        <v/>
      </c>
      <c r="O2190" s="50">
        <f>IF(A2190="","",IFERROR((IF(G2190="",I2190,G2190)-T2190)/M2190,""))</f>
        <v/>
      </c>
      <c r="P2190" s="50">
        <f>IFERROR((I2190/T2190-1)/N2190,"")</f>
        <v/>
      </c>
      <c r="Q2190" s="46">
        <f>IF(OR(T2190="",I2190&lt;T2190),"",IFERROR(R2190/IF(G2190="",I2190,G2190)-1,""))</f>
        <v/>
      </c>
      <c r="R2190" s="48">
        <f>IF($M2190="","",MAX(IF($G2190="",$I2190,$G2190)*(1/1.1),IF($G2190="",$I2190,$G2190)+(R$2*$M2190)))</f>
        <v/>
      </c>
      <c r="S2190" s="49">
        <f>IF($M2190="","",MAX(IF($G2190="",$I2190,$G2190)*(1/1.1),IF($G2190="",$I2190,$G2190)+(S$2*$M2190)))</f>
        <v/>
      </c>
      <c r="T2190" s="82" t="n"/>
      <c r="U2190" s="47">
        <f>IF(OR($M2190="",$T2190=""),"",$T2190+(U$2*$M2190))</f>
        <v/>
      </c>
      <c r="V2190" s="48">
        <f>IF(OR($M2190="",$T2190=""),"",$T2190+(V$2*$M2190))</f>
        <v/>
      </c>
      <c r="W2190" s="48">
        <f>IF(OR($M2190="",$T2190=""),"",$T2190+(W$2*$M2190))</f>
        <v/>
      </c>
      <c r="X2190" s="49">
        <f>IF(OR($M2190="",$T2190=""),"",$T2190+(X$2*$M2190))</f>
        <v/>
      </c>
      <c r="Y2190" s="47">
        <f>IF(OR($M2190="",$T2190=""),"",$T2190+(Y$2*$M2190))</f>
        <v/>
      </c>
      <c r="Z2190" s="49">
        <f>IF(OR($M2190="",$T2190=""),"",$T2190+(Z$2*$M2190))</f>
        <v/>
      </c>
      <c r="AA2190" s="51">
        <f>IF(OR($M2190="",$T2190=""),"",$T2190+(AA$2*$M2190))</f>
        <v/>
      </c>
      <c r="AB2190" s="48">
        <f>IF(OR($M2190="",$T2190=""),"",$T2190+(AB$2*$M2190))</f>
        <v/>
      </c>
      <c r="AC2190" s="48">
        <f>IF(OR($M2190="",$T2190=""),"",$T2190+(AC$2*$M2190))</f>
        <v/>
      </c>
      <c r="AD2190" s="48">
        <f>IF(OR($M2190="",$T2190=""),"",$T2190+(AD$2*$M2190))</f>
        <v/>
      </c>
      <c r="AE2190" s="49">
        <f>IF(OR($M2190="",$T2190=""),"",$T2190+(AE$2*$M2190))</f>
        <v/>
      </c>
      <c r="AF2190" s="52">
        <f>IF(OR(T2190="",I2190&lt;T2190),"",IFERROR(AVERAGE(T2190+M2190*{7,8,9,10,11})/IF(G2190="",I2190,G2190)-1,""))</f>
        <v/>
      </c>
      <c r="AG2190" s="55">
        <f>IF(OR(T2190="",I2190&lt;T2190),"",IFERROR(AF2190/-(R2190/IF(G2190="",I2190,G2190)-1),""))</f>
        <v/>
      </c>
      <c r="AH2190" s="94" t="n"/>
      <c r="AI2190" s="94" t="n"/>
      <c r="AJ2190" s="94" t="n"/>
      <c r="AK2190" s="94" t="n"/>
      <c r="AL2190" s="84" t="n"/>
    </row>
    <row r="2191">
      <c r="A2191" s="64" t="n"/>
      <c r="B2191" s="65" t="n"/>
      <c r="C2191" s="66" t="n"/>
      <c r="D2191" s="67" t="n"/>
      <c r="E2191" s="68" t="n"/>
      <c r="F2191" s="47">
        <f>IF(A2191="","",IF(MIN(H2191,MAX(J2191:K2191))=0,"",MIN(H2191,MAX(J2191:K2191))))</f>
        <v/>
      </c>
      <c r="G2191" s="74" t="n"/>
      <c r="H2191" s="49">
        <f>IF(M2191="","",IFERROR(ROUND(AVERAGE(T2191+M2191*{7,8,9,10,11})/1.21,4),""))</f>
        <v/>
      </c>
      <c r="I2191" s="76" t="n"/>
      <c r="J2191" s="77" t="n"/>
      <c r="K2191" s="74" t="n"/>
      <c r="L2191" s="78" t="n"/>
      <c r="M2191" s="77" t="n"/>
      <c r="N2191" s="53">
        <f>IF(M2191="","",IFERROR(M2191/I2191,""))</f>
        <v/>
      </c>
      <c r="O2191" s="50">
        <f>IF(A2191="","",IFERROR((IF(G2191="",I2191,G2191)-T2191)/M2191,""))</f>
        <v/>
      </c>
      <c r="P2191" s="50">
        <f>IFERROR((I2191/T2191-1)/N2191,"")</f>
        <v/>
      </c>
      <c r="Q2191" s="46">
        <f>IF(OR(T2191="",I2191&lt;T2191),"",IFERROR(R2191/IF(G2191="",I2191,G2191)-1,""))</f>
        <v/>
      </c>
      <c r="R2191" s="48">
        <f>IF($M2191="","",MAX(IF($G2191="",$I2191,$G2191)*(1/1.1),IF($G2191="",$I2191,$G2191)+(R$2*$M2191)))</f>
        <v/>
      </c>
      <c r="S2191" s="49">
        <f>IF($M2191="","",MAX(IF($G2191="",$I2191,$G2191)*(1/1.1),IF($G2191="",$I2191,$G2191)+(S$2*$M2191)))</f>
        <v/>
      </c>
      <c r="T2191" s="82" t="n"/>
      <c r="U2191" s="47">
        <f>IF(OR($M2191="",$T2191=""),"",$T2191+(U$2*$M2191))</f>
        <v/>
      </c>
      <c r="V2191" s="48">
        <f>IF(OR($M2191="",$T2191=""),"",$T2191+(V$2*$M2191))</f>
        <v/>
      </c>
      <c r="W2191" s="48">
        <f>IF(OR($M2191="",$T2191=""),"",$T2191+(W$2*$M2191))</f>
        <v/>
      </c>
      <c r="X2191" s="49">
        <f>IF(OR($M2191="",$T2191=""),"",$T2191+(X$2*$M2191))</f>
        <v/>
      </c>
      <c r="Y2191" s="47">
        <f>IF(OR($M2191="",$T2191=""),"",$T2191+(Y$2*$M2191))</f>
        <v/>
      </c>
      <c r="Z2191" s="49">
        <f>IF(OR($M2191="",$T2191=""),"",$T2191+(Z$2*$M2191))</f>
        <v/>
      </c>
      <c r="AA2191" s="51">
        <f>IF(OR($M2191="",$T2191=""),"",$T2191+(AA$2*$M2191))</f>
        <v/>
      </c>
      <c r="AB2191" s="48">
        <f>IF(OR($M2191="",$T2191=""),"",$T2191+(AB$2*$M2191))</f>
        <v/>
      </c>
      <c r="AC2191" s="48">
        <f>IF(OR($M2191="",$T2191=""),"",$T2191+(AC$2*$M2191))</f>
        <v/>
      </c>
      <c r="AD2191" s="48">
        <f>IF(OR($M2191="",$T2191=""),"",$T2191+(AD$2*$M2191))</f>
        <v/>
      </c>
      <c r="AE2191" s="49">
        <f>IF(OR($M2191="",$T2191=""),"",$T2191+(AE$2*$M2191))</f>
        <v/>
      </c>
      <c r="AF2191" s="52">
        <f>IF(OR(T2191="",I2191&lt;T2191),"",IFERROR(AVERAGE(T2191+M2191*{7,8,9,10,11})/IF(G2191="",I2191,G2191)-1,""))</f>
        <v/>
      </c>
      <c r="AG2191" s="55">
        <f>IF(OR(T2191="",I2191&lt;T2191),"",IFERROR(AF2191/-(R2191/IF(G2191="",I2191,G2191)-1),""))</f>
        <v/>
      </c>
      <c r="AH2191" s="94" t="n"/>
      <c r="AI2191" s="94" t="n"/>
      <c r="AJ2191" s="94" t="n"/>
      <c r="AK2191" s="94" t="n"/>
      <c r="AL2191" s="84" t="n"/>
    </row>
    <row r="2192">
      <c r="A2192" s="64" t="n"/>
      <c r="B2192" s="65" t="n"/>
      <c r="C2192" s="66" t="n"/>
      <c r="D2192" s="67" t="n"/>
      <c r="E2192" s="68" t="n"/>
      <c r="F2192" s="47">
        <f>IF(A2192="","",IF(MIN(H2192,MAX(J2192:K2192))=0,"",MIN(H2192,MAX(J2192:K2192))))</f>
        <v/>
      </c>
      <c r="G2192" s="74" t="n"/>
      <c r="H2192" s="49">
        <f>IF(M2192="","",IFERROR(ROUND(AVERAGE(T2192+M2192*{7,8,9,10,11})/1.21,4),""))</f>
        <v/>
      </c>
      <c r="I2192" s="76" t="n"/>
      <c r="J2192" s="77" t="n"/>
      <c r="K2192" s="74" t="n"/>
      <c r="L2192" s="78" t="n"/>
      <c r="M2192" s="77" t="n"/>
      <c r="N2192" s="53">
        <f>IF(M2192="","",IFERROR(M2192/I2192,""))</f>
        <v/>
      </c>
      <c r="O2192" s="50">
        <f>IF(A2192="","",IFERROR((IF(G2192="",I2192,G2192)-T2192)/M2192,""))</f>
        <v/>
      </c>
      <c r="P2192" s="50">
        <f>IFERROR((I2192/T2192-1)/N2192,"")</f>
        <v/>
      </c>
      <c r="Q2192" s="46">
        <f>IF(OR(T2192="",I2192&lt;T2192),"",IFERROR(R2192/IF(G2192="",I2192,G2192)-1,""))</f>
        <v/>
      </c>
      <c r="R2192" s="48">
        <f>IF($M2192="","",MAX(IF($G2192="",$I2192,$G2192)*(1/1.1),IF($G2192="",$I2192,$G2192)+(R$2*$M2192)))</f>
        <v/>
      </c>
      <c r="S2192" s="49">
        <f>IF($M2192="","",MAX(IF($G2192="",$I2192,$G2192)*(1/1.1),IF($G2192="",$I2192,$G2192)+(S$2*$M2192)))</f>
        <v/>
      </c>
      <c r="T2192" s="82" t="n"/>
      <c r="U2192" s="47">
        <f>IF(OR($M2192="",$T2192=""),"",$T2192+(U$2*$M2192))</f>
        <v/>
      </c>
      <c r="V2192" s="48">
        <f>IF(OR($M2192="",$T2192=""),"",$T2192+(V$2*$M2192))</f>
        <v/>
      </c>
      <c r="W2192" s="48">
        <f>IF(OR($M2192="",$T2192=""),"",$T2192+(W$2*$M2192))</f>
        <v/>
      </c>
      <c r="X2192" s="49">
        <f>IF(OR($M2192="",$T2192=""),"",$T2192+(X$2*$M2192))</f>
        <v/>
      </c>
      <c r="Y2192" s="47">
        <f>IF(OR($M2192="",$T2192=""),"",$T2192+(Y$2*$M2192))</f>
        <v/>
      </c>
      <c r="Z2192" s="49">
        <f>IF(OR($M2192="",$T2192=""),"",$T2192+(Z$2*$M2192))</f>
        <v/>
      </c>
      <c r="AA2192" s="51">
        <f>IF(OR($M2192="",$T2192=""),"",$T2192+(AA$2*$M2192))</f>
        <v/>
      </c>
      <c r="AB2192" s="48">
        <f>IF(OR($M2192="",$T2192=""),"",$T2192+(AB$2*$M2192))</f>
        <v/>
      </c>
      <c r="AC2192" s="48">
        <f>IF(OR($M2192="",$T2192=""),"",$T2192+(AC$2*$M2192))</f>
        <v/>
      </c>
      <c r="AD2192" s="48">
        <f>IF(OR($M2192="",$T2192=""),"",$T2192+(AD$2*$M2192))</f>
        <v/>
      </c>
      <c r="AE2192" s="49">
        <f>IF(OR($M2192="",$T2192=""),"",$T2192+(AE$2*$M2192))</f>
        <v/>
      </c>
      <c r="AF2192" s="52">
        <f>IF(OR(T2192="",I2192&lt;T2192),"",IFERROR(AVERAGE(T2192+M2192*{7,8,9,10,11})/IF(G2192="",I2192,G2192)-1,""))</f>
        <v/>
      </c>
      <c r="AG2192" s="55">
        <f>IF(OR(T2192="",I2192&lt;T2192),"",IFERROR(AF2192/-(R2192/IF(G2192="",I2192,G2192)-1),""))</f>
        <v/>
      </c>
      <c r="AH2192" s="94" t="n"/>
      <c r="AI2192" s="94" t="n"/>
      <c r="AJ2192" s="94" t="n"/>
      <c r="AK2192" s="94" t="n"/>
      <c r="AL2192" s="84" t="n"/>
    </row>
    <row r="2193">
      <c r="A2193" s="64" t="n"/>
      <c r="B2193" s="65" t="n"/>
      <c r="C2193" s="66" t="n"/>
      <c r="D2193" s="67" t="n"/>
      <c r="E2193" s="68" t="n"/>
      <c r="F2193" s="47">
        <f>IF(A2193="","",IF(MIN(H2193,MAX(J2193:K2193))=0,"",MIN(H2193,MAX(J2193:K2193))))</f>
        <v/>
      </c>
      <c r="G2193" s="74" t="n"/>
      <c r="H2193" s="49">
        <f>IF(M2193="","",IFERROR(ROUND(AVERAGE(T2193+M2193*{7,8,9,10,11})/1.21,4),""))</f>
        <v/>
      </c>
      <c r="I2193" s="76" t="n"/>
      <c r="J2193" s="77" t="n"/>
      <c r="K2193" s="74" t="n"/>
      <c r="L2193" s="78" t="n"/>
      <c r="M2193" s="77" t="n"/>
      <c r="N2193" s="53">
        <f>IF(M2193="","",IFERROR(M2193/I2193,""))</f>
        <v/>
      </c>
      <c r="O2193" s="50">
        <f>IF(A2193="","",IFERROR((IF(G2193="",I2193,G2193)-T2193)/M2193,""))</f>
        <v/>
      </c>
      <c r="P2193" s="50">
        <f>IFERROR((I2193/T2193-1)/N2193,"")</f>
        <v/>
      </c>
      <c r="Q2193" s="46">
        <f>IF(OR(T2193="",I2193&lt;T2193),"",IFERROR(R2193/IF(G2193="",I2193,G2193)-1,""))</f>
        <v/>
      </c>
      <c r="R2193" s="48">
        <f>IF($M2193="","",MAX(IF($G2193="",$I2193,$G2193)*(1/1.1),IF($G2193="",$I2193,$G2193)+(R$2*$M2193)))</f>
        <v/>
      </c>
      <c r="S2193" s="49">
        <f>IF($M2193="","",MAX(IF($G2193="",$I2193,$G2193)*(1/1.1),IF($G2193="",$I2193,$G2193)+(S$2*$M2193)))</f>
        <v/>
      </c>
      <c r="T2193" s="82" t="n"/>
      <c r="U2193" s="47">
        <f>IF(OR($M2193="",$T2193=""),"",$T2193+(U$2*$M2193))</f>
        <v/>
      </c>
      <c r="V2193" s="48">
        <f>IF(OR($M2193="",$T2193=""),"",$T2193+(V$2*$M2193))</f>
        <v/>
      </c>
      <c r="W2193" s="48">
        <f>IF(OR($M2193="",$T2193=""),"",$T2193+(W$2*$M2193))</f>
        <v/>
      </c>
      <c r="X2193" s="49">
        <f>IF(OR($M2193="",$T2193=""),"",$T2193+(X$2*$M2193))</f>
        <v/>
      </c>
      <c r="Y2193" s="47">
        <f>IF(OR($M2193="",$T2193=""),"",$T2193+(Y$2*$M2193))</f>
        <v/>
      </c>
      <c r="Z2193" s="49">
        <f>IF(OR($M2193="",$T2193=""),"",$T2193+(Z$2*$M2193))</f>
        <v/>
      </c>
      <c r="AA2193" s="51">
        <f>IF(OR($M2193="",$T2193=""),"",$T2193+(AA$2*$M2193))</f>
        <v/>
      </c>
      <c r="AB2193" s="48">
        <f>IF(OR($M2193="",$T2193=""),"",$T2193+(AB$2*$M2193))</f>
        <v/>
      </c>
      <c r="AC2193" s="48">
        <f>IF(OR($M2193="",$T2193=""),"",$T2193+(AC$2*$M2193))</f>
        <v/>
      </c>
      <c r="AD2193" s="48">
        <f>IF(OR($M2193="",$T2193=""),"",$T2193+(AD$2*$M2193))</f>
        <v/>
      </c>
      <c r="AE2193" s="49">
        <f>IF(OR($M2193="",$T2193=""),"",$T2193+(AE$2*$M2193))</f>
        <v/>
      </c>
      <c r="AF2193" s="52">
        <f>IF(OR(T2193="",I2193&lt;T2193),"",IFERROR(AVERAGE(T2193+M2193*{7,8,9,10,11})/IF(G2193="",I2193,G2193)-1,""))</f>
        <v/>
      </c>
      <c r="AG2193" s="55">
        <f>IF(OR(T2193="",I2193&lt;T2193),"",IFERROR(AF2193/-(R2193/IF(G2193="",I2193,G2193)-1),""))</f>
        <v/>
      </c>
      <c r="AH2193" s="94" t="n"/>
      <c r="AI2193" s="94" t="n"/>
      <c r="AJ2193" s="94" t="n"/>
      <c r="AK2193" s="94" t="n"/>
      <c r="AL2193" s="84" t="n"/>
    </row>
    <row r="2194">
      <c r="A2194" s="64" t="n"/>
      <c r="B2194" s="65" t="n"/>
      <c r="C2194" s="66" t="n"/>
      <c r="D2194" s="67" t="n"/>
      <c r="E2194" s="68" t="n"/>
      <c r="F2194" s="47">
        <f>IF(A2194="","",IF(MIN(H2194,MAX(J2194:K2194))=0,"",MIN(H2194,MAX(J2194:K2194))))</f>
        <v/>
      </c>
      <c r="G2194" s="74" t="n"/>
      <c r="H2194" s="49">
        <f>IF(M2194="","",IFERROR(ROUND(AVERAGE(T2194+M2194*{7,8,9,10,11})/1.21,4),""))</f>
        <v/>
      </c>
      <c r="I2194" s="76" t="n"/>
      <c r="J2194" s="77" t="n"/>
      <c r="K2194" s="74" t="n"/>
      <c r="L2194" s="78" t="n"/>
      <c r="M2194" s="77" t="n"/>
      <c r="N2194" s="53">
        <f>IF(M2194="","",IFERROR(M2194/I2194,""))</f>
        <v/>
      </c>
      <c r="O2194" s="50">
        <f>IF(A2194="","",IFERROR((IF(G2194="",I2194,G2194)-T2194)/M2194,""))</f>
        <v/>
      </c>
      <c r="P2194" s="50">
        <f>IFERROR((I2194/T2194-1)/N2194,"")</f>
        <v/>
      </c>
      <c r="Q2194" s="46">
        <f>IF(OR(T2194="",I2194&lt;T2194),"",IFERROR(R2194/IF(G2194="",I2194,G2194)-1,""))</f>
        <v/>
      </c>
      <c r="R2194" s="48">
        <f>IF($M2194="","",MAX(IF($G2194="",$I2194,$G2194)*(1/1.1),IF($G2194="",$I2194,$G2194)+(R$2*$M2194)))</f>
        <v/>
      </c>
      <c r="S2194" s="49">
        <f>IF($M2194="","",MAX(IF($G2194="",$I2194,$G2194)*(1/1.1),IF($G2194="",$I2194,$G2194)+(S$2*$M2194)))</f>
        <v/>
      </c>
      <c r="T2194" s="82" t="n"/>
      <c r="U2194" s="47">
        <f>IF(OR($M2194="",$T2194=""),"",$T2194+(U$2*$M2194))</f>
        <v/>
      </c>
      <c r="V2194" s="48">
        <f>IF(OR($M2194="",$T2194=""),"",$T2194+(V$2*$M2194))</f>
        <v/>
      </c>
      <c r="W2194" s="48">
        <f>IF(OR($M2194="",$T2194=""),"",$T2194+(W$2*$M2194))</f>
        <v/>
      </c>
      <c r="X2194" s="49">
        <f>IF(OR($M2194="",$T2194=""),"",$T2194+(X$2*$M2194))</f>
        <v/>
      </c>
      <c r="Y2194" s="47">
        <f>IF(OR($M2194="",$T2194=""),"",$T2194+(Y$2*$M2194))</f>
        <v/>
      </c>
      <c r="Z2194" s="49">
        <f>IF(OR($M2194="",$T2194=""),"",$T2194+(Z$2*$M2194))</f>
        <v/>
      </c>
      <c r="AA2194" s="51">
        <f>IF(OR($M2194="",$T2194=""),"",$T2194+(AA$2*$M2194))</f>
        <v/>
      </c>
      <c r="AB2194" s="48">
        <f>IF(OR($M2194="",$T2194=""),"",$T2194+(AB$2*$M2194))</f>
        <v/>
      </c>
      <c r="AC2194" s="48">
        <f>IF(OR($M2194="",$T2194=""),"",$T2194+(AC$2*$M2194))</f>
        <v/>
      </c>
      <c r="AD2194" s="48">
        <f>IF(OR($M2194="",$T2194=""),"",$T2194+(AD$2*$M2194))</f>
        <v/>
      </c>
      <c r="AE2194" s="49">
        <f>IF(OR($M2194="",$T2194=""),"",$T2194+(AE$2*$M2194))</f>
        <v/>
      </c>
      <c r="AF2194" s="52">
        <f>IF(OR(T2194="",I2194&lt;T2194),"",IFERROR(AVERAGE(T2194+M2194*{7,8,9,10,11})/IF(G2194="",I2194,G2194)-1,""))</f>
        <v/>
      </c>
      <c r="AG2194" s="55">
        <f>IF(OR(T2194="",I2194&lt;T2194),"",IFERROR(AF2194/-(R2194/IF(G2194="",I2194,G2194)-1),""))</f>
        <v/>
      </c>
      <c r="AH2194" s="94" t="n"/>
      <c r="AI2194" s="94" t="n"/>
      <c r="AJ2194" s="94" t="n"/>
      <c r="AK2194" s="94" t="n"/>
      <c r="AL2194" s="84" t="n"/>
    </row>
    <row r="2195">
      <c r="A2195" s="64" t="n"/>
      <c r="B2195" s="65" t="n"/>
      <c r="C2195" s="66" t="n"/>
      <c r="D2195" s="67" t="n"/>
      <c r="E2195" s="68" t="n"/>
      <c r="F2195" s="47">
        <f>IF(A2195="","",IF(MIN(H2195,MAX(J2195:K2195))=0,"",MIN(H2195,MAX(J2195:K2195))))</f>
        <v/>
      </c>
      <c r="G2195" s="74" t="n"/>
      <c r="H2195" s="49">
        <f>IF(M2195="","",IFERROR(ROUND(AVERAGE(T2195+M2195*{7,8,9,10,11})/1.21,4),""))</f>
        <v/>
      </c>
      <c r="I2195" s="76" t="n"/>
      <c r="J2195" s="77" t="n"/>
      <c r="K2195" s="74" t="n"/>
      <c r="L2195" s="78" t="n"/>
      <c r="M2195" s="77" t="n"/>
      <c r="N2195" s="53">
        <f>IF(M2195="","",IFERROR(M2195/I2195,""))</f>
        <v/>
      </c>
      <c r="O2195" s="50">
        <f>IF(A2195="","",IFERROR((IF(G2195="",I2195,G2195)-T2195)/M2195,""))</f>
        <v/>
      </c>
      <c r="P2195" s="50">
        <f>IFERROR((I2195/T2195-1)/N2195,"")</f>
        <v/>
      </c>
      <c r="Q2195" s="46">
        <f>IF(OR(T2195="",I2195&lt;T2195),"",IFERROR(R2195/IF(G2195="",I2195,G2195)-1,""))</f>
        <v/>
      </c>
      <c r="R2195" s="48">
        <f>IF($M2195="","",MAX(IF($G2195="",$I2195,$G2195)*(1/1.1),IF($G2195="",$I2195,$G2195)+(R$2*$M2195)))</f>
        <v/>
      </c>
      <c r="S2195" s="49">
        <f>IF($M2195="","",MAX(IF($G2195="",$I2195,$G2195)*(1/1.1),IF($G2195="",$I2195,$G2195)+(S$2*$M2195)))</f>
        <v/>
      </c>
      <c r="T2195" s="82" t="n"/>
      <c r="U2195" s="47">
        <f>IF(OR($M2195="",$T2195=""),"",$T2195+(U$2*$M2195))</f>
        <v/>
      </c>
      <c r="V2195" s="48">
        <f>IF(OR($M2195="",$T2195=""),"",$T2195+(V$2*$M2195))</f>
        <v/>
      </c>
      <c r="W2195" s="48">
        <f>IF(OR($M2195="",$T2195=""),"",$T2195+(W$2*$M2195))</f>
        <v/>
      </c>
      <c r="X2195" s="49">
        <f>IF(OR($M2195="",$T2195=""),"",$T2195+(X$2*$M2195))</f>
        <v/>
      </c>
      <c r="Y2195" s="47">
        <f>IF(OR($M2195="",$T2195=""),"",$T2195+(Y$2*$M2195))</f>
        <v/>
      </c>
      <c r="Z2195" s="49">
        <f>IF(OR($M2195="",$T2195=""),"",$T2195+(Z$2*$M2195))</f>
        <v/>
      </c>
      <c r="AA2195" s="51">
        <f>IF(OR($M2195="",$T2195=""),"",$T2195+(AA$2*$M2195))</f>
        <v/>
      </c>
      <c r="AB2195" s="48">
        <f>IF(OR($M2195="",$T2195=""),"",$T2195+(AB$2*$M2195))</f>
        <v/>
      </c>
      <c r="AC2195" s="48">
        <f>IF(OR($M2195="",$T2195=""),"",$T2195+(AC$2*$M2195))</f>
        <v/>
      </c>
      <c r="AD2195" s="48">
        <f>IF(OR($M2195="",$T2195=""),"",$T2195+(AD$2*$M2195))</f>
        <v/>
      </c>
      <c r="AE2195" s="49">
        <f>IF(OR($M2195="",$T2195=""),"",$T2195+(AE$2*$M2195))</f>
        <v/>
      </c>
      <c r="AF2195" s="52">
        <f>IF(OR(T2195="",I2195&lt;T2195),"",IFERROR(AVERAGE(T2195+M2195*{7,8,9,10,11})/IF(G2195="",I2195,G2195)-1,""))</f>
        <v/>
      </c>
      <c r="AG2195" s="55">
        <f>IF(OR(T2195="",I2195&lt;T2195),"",IFERROR(AF2195/-(R2195/IF(G2195="",I2195,G2195)-1),""))</f>
        <v/>
      </c>
      <c r="AH2195" s="94" t="n"/>
      <c r="AI2195" s="94" t="n"/>
      <c r="AJ2195" s="94" t="n"/>
      <c r="AK2195" s="94" t="n"/>
      <c r="AL2195" s="84" t="n"/>
    </row>
    <row r="2196">
      <c r="A2196" s="64" t="n"/>
      <c r="B2196" s="65" t="n"/>
      <c r="C2196" s="66" t="n"/>
      <c r="D2196" s="67" t="n"/>
      <c r="E2196" s="68" t="n"/>
      <c r="F2196" s="47">
        <f>IF(A2196="","",IF(MIN(H2196,MAX(J2196:K2196))=0,"",MIN(H2196,MAX(J2196:K2196))))</f>
        <v/>
      </c>
      <c r="G2196" s="74" t="n"/>
      <c r="H2196" s="49">
        <f>IF(M2196="","",IFERROR(ROUND(AVERAGE(T2196+M2196*{7,8,9,10,11})/1.21,4),""))</f>
        <v/>
      </c>
      <c r="I2196" s="76" t="n"/>
      <c r="J2196" s="77" t="n"/>
      <c r="K2196" s="74" t="n"/>
      <c r="L2196" s="78" t="n"/>
      <c r="M2196" s="77" t="n"/>
      <c r="N2196" s="53">
        <f>IF(M2196="","",IFERROR(M2196/I2196,""))</f>
        <v/>
      </c>
      <c r="O2196" s="50">
        <f>IF(A2196="","",IFERROR((IF(G2196="",I2196,G2196)-T2196)/M2196,""))</f>
        <v/>
      </c>
      <c r="P2196" s="50">
        <f>IFERROR((I2196/T2196-1)/N2196,"")</f>
        <v/>
      </c>
      <c r="Q2196" s="46">
        <f>IF(OR(T2196="",I2196&lt;T2196),"",IFERROR(R2196/IF(G2196="",I2196,G2196)-1,""))</f>
        <v/>
      </c>
      <c r="R2196" s="48">
        <f>IF($M2196="","",MAX(IF($G2196="",$I2196,$G2196)*(1/1.1),IF($G2196="",$I2196,$G2196)+(R$2*$M2196)))</f>
        <v/>
      </c>
      <c r="S2196" s="49">
        <f>IF($M2196="","",MAX(IF($G2196="",$I2196,$G2196)*(1/1.1),IF($G2196="",$I2196,$G2196)+(S$2*$M2196)))</f>
        <v/>
      </c>
      <c r="T2196" s="82" t="n"/>
      <c r="U2196" s="47">
        <f>IF(OR($M2196="",$T2196=""),"",$T2196+(U$2*$M2196))</f>
        <v/>
      </c>
      <c r="V2196" s="48">
        <f>IF(OR($M2196="",$T2196=""),"",$T2196+(V$2*$M2196))</f>
        <v/>
      </c>
      <c r="W2196" s="48">
        <f>IF(OR($M2196="",$T2196=""),"",$T2196+(W$2*$M2196))</f>
        <v/>
      </c>
      <c r="X2196" s="49">
        <f>IF(OR($M2196="",$T2196=""),"",$T2196+(X$2*$M2196))</f>
        <v/>
      </c>
      <c r="Y2196" s="47">
        <f>IF(OR($M2196="",$T2196=""),"",$T2196+(Y$2*$M2196))</f>
        <v/>
      </c>
      <c r="Z2196" s="49">
        <f>IF(OR($M2196="",$T2196=""),"",$T2196+(Z$2*$M2196))</f>
        <v/>
      </c>
      <c r="AA2196" s="51">
        <f>IF(OR($M2196="",$T2196=""),"",$T2196+(AA$2*$M2196))</f>
        <v/>
      </c>
      <c r="AB2196" s="48">
        <f>IF(OR($M2196="",$T2196=""),"",$T2196+(AB$2*$M2196))</f>
        <v/>
      </c>
      <c r="AC2196" s="48">
        <f>IF(OR($M2196="",$T2196=""),"",$T2196+(AC$2*$M2196))</f>
        <v/>
      </c>
      <c r="AD2196" s="48">
        <f>IF(OR($M2196="",$T2196=""),"",$T2196+(AD$2*$M2196))</f>
        <v/>
      </c>
      <c r="AE2196" s="49">
        <f>IF(OR($M2196="",$T2196=""),"",$T2196+(AE$2*$M2196))</f>
        <v/>
      </c>
      <c r="AF2196" s="52">
        <f>IF(OR(T2196="",I2196&lt;T2196),"",IFERROR(AVERAGE(T2196+M2196*{7,8,9,10,11})/IF(G2196="",I2196,G2196)-1,""))</f>
        <v/>
      </c>
      <c r="AG2196" s="55">
        <f>IF(OR(T2196="",I2196&lt;T2196),"",IFERROR(AF2196/-(R2196/IF(G2196="",I2196,G2196)-1),""))</f>
        <v/>
      </c>
      <c r="AH2196" s="94" t="n"/>
      <c r="AI2196" s="94" t="n"/>
      <c r="AJ2196" s="94" t="n"/>
      <c r="AK2196" s="94" t="n"/>
      <c r="AL2196" s="84" t="n"/>
    </row>
    <row r="2197">
      <c r="A2197" s="64" t="n"/>
      <c r="B2197" s="65" t="n"/>
      <c r="C2197" s="66" t="n"/>
      <c r="D2197" s="67" t="n"/>
      <c r="E2197" s="68" t="n"/>
      <c r="F2197" s="47">
        <f>IF(A2197="","",IF(MIN(H2197,MAX(J2197:K2197))=0,"",MIN(H2197,MAX(J2197:K2197))))</f>
        <v/>
      </c>
      <c r="G2197" s="74" t="n"/>
      <c r="H2197" s="49">
        <f>IF(M2197="","",IFERROR(ROUND(AVERAGE(T2197+M2197*{7,8,9,10,11})/1.21,4),""))</f>
        <v/>
      </c>
      <c r="I2197" s="76" t="n"/>
      <c r="J2197" s="77" t="n"/>
      <c r="K2197" s="74" t="n"/>
      <c r="L2197" s="78" t="n"/>
      <c r="M2197" s="77" t="n"/>
      <c r="N2197" s="53">
        <f>IF(M2197="","",IFERROR(M2197/I2197,""))</f>
        <v/>
      </c>
      <c r="O2197" s="50">
        <f>IF(A2197="","",IFERROR((IF(G2197="",I2197,G2197)-T2197)/M2197,""))</f>
        <v/>
      </c>
      <c r="P2197" s="50">
        <f>IFERROR((I2197/T2197-1)/N2197,"")</f>
        <v/>
      </c>
      <c r="Q2197" s="46">
        <f>IF(OR(T2197="",I2197&lt;T2197),"",IFERROR(R2197/IF(G2197="",I2197,G2197)-1,""))</f>
        <v/>
      </c>
      <c r="R2197" s="48">
        <f>IF($M2197="","",MAX(IF($G2197="",$I2197,$G2197)*(1/1.1),IF($G2197="",$I2197,$G2197)+(R$2*$M2197)))</f>
        <v/>
      </c>
      <c r="S2197" s="49">
        <f>IF($M2197="","",MAX(IF($G2197="",$I2197,$G2197)*(1/1.1),IF($G2197="",$I2197,$G2197)+(S$2*$M2197)))</f>
        <v/>
      </c>
      <c r="T2197" s="82" t="n"/>
      <c r="U2197" s="47">
        <f>IF(OR($M2197="",$T2197=""),"",$T2197+(U$2*$M2197))</f>
        <v/>
      </c>
      <c r="V2197" s="48">
        <f>IF(OR($M2197="",$T2197=""),"",$T2197+(V$2*$M2197))</f>
        <v/>
      </c>
      <c r="W2197" s="48">
        <f>IF(OR($M2197="",$T2197=""),"",$T2197+(W$2*$M2197))</f>
        <v/>
      </c>
      <c r="X2197" s="49">
        <f>IF(OR($M2197="",$T2197=""),"",$T2197+(X$2*$M2197))</f>
        <v/>
      </c>
      <c r="Y2197" s="47">
        <f>IF(OR($M2197="",$T2197=""),"",$T2197+(Y$2*$M2197))</f>
        <v/>
      </c>
      <c r="Z2197" s="49">
        <f>IF(OR($M2197="",$T2197=""),"",$T2197+(Z$2*$M2197))</f>
        <v/>
      </c>
      <c r="AA2197" s="51">
        <f>IF(OR($M2197="",$T2197=""),"",$T2197+(AA$2*$M2197))</f>
        <v/>
      </c>
      <c r="AB2197" s="48">
        <f>IF(OR($M2197="",$T2197=""),"",$T2197+(AB$2*$M2197))</f>
        <v/>
      </c>
      <c r="AC2197" s="48">
        <f>IF(OR($M2197="",$T2197=""),"",$T2197+(AC$2*$M2197))</f>
        <v/>
      </c>
      <c r="AD2197" s="48">
        <f>IF(OR($M2197="",$T2197=""),"",$T2197+(AD$2*$M2197))</f>
        <v/>
      </c>
      <c r="AE2197" s="49">
        <f>IF(OR($M2197="",$T2197=""),"",$T2197+(AE$2*$M2197))</f>
        <v/>
      </c>
      <c r="AF2197" s="52">
        <f>IF(OR(T2197="",I2197&lt;T2197),"",IFERROR(AVERAGE(T2197+M2197*{7,8,9,10,11})/IF(G2197="",I2197,G2197)-1,""))</f>
        <v/>
      </c>
      <c r="AG2197" s="55">
        <f>IF(OR(T2197="",I2197&lt;T2197),"",IFERROR(AF2197/-(R2197/IF(G2197="",I2197,G2197)-1),""))</f>
        <v/>
      </c>
      <c r="AH2197" s="94" t="n"/>
      <c r="AI2197" s="94" t="n"/>
      <c r="AJ2197" s="94" t="n"/>
      <c r="AK2197" s="94" t="n"/>
      <c r="AL2197" s="84" t="n"/>
    </row>
    <row r="2198">
      <c r="A2198" s="64" t="n"/>
      <c r="B2198" s="65" t="n"/>
      <c r="C2198" s="66" t="n"/>
      <c r="D2198" s="67" t="n"/>
      <c r="E2198" s="68" t="n"/>
      <c r="F2198" s="47">
        <f>IF(A2198="","",IF(MIN(H2198,MAX(J2198:K2198))=0,"",MIN(H2198,MAX(J2198:K2198))))</f>
        <v/>
      </c>
      <c r="G2198" s="74" t="n"/>
      <c r="H2198" s="49">
        <f>IF(M2198="","",IFERROR(ROUND(AVERAGE(T2198+M2198*{7,8,9,10,11})/1.21,4),""))</f>
        <v/>
      </c>
      <c r="I2198" s="76" t="n"/>
      <c r="J2198" s="77" t="n"/>
      <c r="K2198" s="74" t="n"/>
      <c r="L2198" s="78" t="n"/>
      <c r="M2198" s="77" t="n"/>
      <c r="N2198" s="53">
        <f>IF(M2198="","",IFERROR(M2198/I2198,""))</f>
        <v/>
      </c>
      <c r="O2198" s="50">
        <f>IF(A2198="","",IFERROR((IF(G2198="",I2198,G2198)-T2198)/M2198,""))</f>
        <v/>
      </c>
      <c r="P2198" s="50">
        <f>IFERROR((I2198/T2198-1)/N2198,"")</f>
        <v/>
      </c>
      <c r="Q2198" s="46">
        <f>IF(OR(T2198="",I2198&lt;T2198),"",IFERROR(R2198/IF(G2198="",I2198,G2198)-1,""))</f>
        <v/>
      </c>
      <c r="R2198" s="48">
        <f>IF($M2198="","",MAX(IF($G2198="",$I2198,$G2198)*(1/1.1),IF($G2198="",$I2198,$G2198)+(R$2*$M2198)))</f>
        <v/>
      </c>
      <c r="S2198" s="49">
        <f>IF($M2198="","",MAX(IF($G2198="",$I2198,$G2198)*(1/1.1),IF($G2198="",$I2198,$G2198)+(S$2*$M2198)))</f>
        <v/>
      </c>
      <c r="T2198" s="82" t="n"/>
      <c r="U2198" s="47">
        <f>IF(OR($M2198="",$T2198=""),"",$T2198+(U$2*$M2198))</f>
        <v/>
      </c>
      <c r="V2198" s="48">
        <f>IF(OR($M2198="",$T2198=""),"",$T2198+(V$2*$M2198))</f>
        <v/>
      </c>
      <c r="W2198" s="48">
        <f>IF(OR($M2198="",$T2198=""),"",$T2198+(W$2*$M2198))</f>
        <v/>
      </c>
      <c r="X2198" s="49">
        <f>IF(OR($M2198="",$T2198=""),"",$T2198+(X$2*$M2198))</f>
        <v/>
      </c>
      <c r="Y2198" s="47">
        <f>IF(OR($M2198="",$T2198=""),"",$T2198+(Y$2*$M2198))</f>
        <v/>
      </c>
      <c r="Z2198" s="49">
        <f>IF(OR($M2198="",$T2198=""),"",$T2198+(Z$2*$M2198))</f>
        <v/>
      </c>
      <c r="AA2198" s="51">
        <f>IF(OR($M2198="",$T2198=""),"",$T2198+(AA$2*$M2198))</f>
        <v/>
      </c>
      <c r="AB2198" s="48">
        <f>IF(OR($M2198="",$T2198=""),"",$T2198+(AB$2*$M2198))</f>
        <v/>
      </c>
      <c r="AC2198" s="48">
        <f>IF(OR($M2198="",$T2198=""),"",$T2198+(AC$2*$M2198))</f>
        <v/>
      </c>
      <c r="AD2198" s="48">
        <f>IF(OR($M2198="",$T2198=""),"",$T2198+(AD$2*$M2198))</f>
        <v/>
      </c>
      <c r="AE2198" s="49">
        <f>IF(OR($M2198="",$T2198=""),"",$T2198+(AE$2*$M2198))</f>
        <v/>
      </c>
      <c r="AF2198" s="52">
        <f>IF(OR(T2198="",I2198&lt;T2198),"",IFERROR(AVERAGE(T2198+M2198*{7,8,9,10,11})/IF(G2198="",I2198,G2198)-1,""))</f>
        <v/>
      </c>
      <c r="AG2198" s="55">
        <f>IF(OR(T2198="",I2198&lt;T2198),"",IFERROR(AF2198/-(R2198/IF(G2198="",I2198,G2198)-1),""))</f>
        <v/>
      </c>
      <c r="AH2198" s="94" t="n"/>
      <c r="AI2198" s="94" t="n"/>
      <c r="AJ2198" s="94" t="n"/>
      <c r="AK2198" s="94" t="n"/>
      <c r="AL2198" s="84" t="n"/>
    </row>
    <row r="2199">
      <c r="A2199" s="64" t="n"/>
      <c r="B2199" s="65" t="n"/>
      <c r="C2199" s="66" t="n"/>
      <c r="D2199" s="67" t="n"/>
      <c r="E2199" s="68" t="n"/>
      <c r="F2199" s="47">
        <f>IF(A2199="","",IF(MIN(H2199,MAX(J2199:K2199))=0,"",MIN(H2199,MAX(J2199:K2199))))</f>
        <v/>
      </c>
      <c r="G2199" s="74" t="n"/>
      <c r="H2199" s="49">
        <f>IF(M2199="","",IFERROR(ROUND(AVERAGE(T2199+M2199*{7,8,9,10,11})/1.21,4),""))</f>
        <v/>
      </c>
      <c r="I2199" s="76" t="n"/>
      <c r="J2199" s="77" t="n"/>
      <c r="K2199" s="74" t="n"/>
      <c r="L2199" s="78" t="n"/>
      <c r="M2199" s="77" t="n"/>
      <c r="N2199" s="53">
        <f>IF(M2199="","",IFERROR(M2199/I2199,""))</f>
        <v/>
      </c>
      <c r="O2199" s="50">
        <f>IF(A2199="","",IFERROR((IF(G2199="",I2199,G2199)-T2199)/M2199,""))</f>
        <v/>
      </c>
      <c r="P2199" s="50">
        <f>IFERROR((I2199/T2199-1)/N2199,"")</f>
        <v/>
      </c>
      <c r="Q2199" s="46">
        <f>IF(OR(T2199="",I2199&lt;T2199),"",IFERROR(R2199/IF(G2199="",I2199,G2199)-1,""))</f>
        <v/>
      </c>
      <c r="R2199" s="48">
        <f>IF($M2199="","",MAX(IF($G2199="",$I2199,$G2199)*(1/1.1),IF($G2199="",$I2199,$G2199)+(R$2*$M2199)))</f>
        <v/>
      </c>
      <c r="S2199" s="49">
        <f>IF($M2199="","",MAX(IF($G2199="",$I2199,$G2199)*(1/1.1),IF($G2199="",$I2199,$G2199)+(S$2*$M2199)))</f>
        <v/>
      </c>
      <c r="T2199" s="82" t="n"/>
      <c r="U2199" s="47">
        <f>IF(OR($M2199="",$T2199=""),"",$T2199+(U$2*$M2199))</f>
        <v/>
      </c>
      <c r="V2199" s="48">
        <f>IF(OR($M2199="",$T2199=""),"",$T2199+(V$2*$M2199))</f>
        <v/>
      </c>
      <c r="W2199" s="48">
        <f>IF(OR($M2199="",$T2199=""),"",$T2199+(W$2*$M2199))</f>
        <v/>
      </c>
      <c r="X2199" s="49">
        <f>IF(OR($M2199="",$T2199=""),"",$T2199+(X$2*$M2199))</f>
        <v/>
      </c>
      <c r="Y2199" s="47">
        <f>IF(OR($M2199="",$T2199=""),"",$T2199+(Y$2*$M2199))</f>
        <v/>
      </c>
      <c r="Z2199" s="49">
        <f>IF(OR($M2199="",$T2199=""),"",$T2199+(Z$2*$M2199))</f>
        <v/>
      </c>
      <c r="AA2199" s="51">
        <f>IF(OR($M2199="",$T2199=""),"",$T2199+(AA$2*$M2199))</f>
        <v/>
      </c>
      <c r="AB2199" s="48">
        <f>IF(OR($M2199="",$T2199=""),"",$T2199+(AB$2*$M2199))</f>
        <v/>
      </c>
      <c r="AC2199" s="48">
        <f>IF(OR($M2199="",$T2199=""),"",$T2199+(AC$2*$M2199))</f>
        <v/>
      </c>
      <c r="AD2199" s="48">
        <f>IF(OR($M2199="",$T2199=""),"",$T2199+(AD$2*$M2199))</f>
        <v/>
      </c>
      <c r="AE2199" s="49">
        <f>IF(OR($M2199="",$T2199=""),"",$T2199+(AE$2*$M2199))</f>
        <v/>
      </c>
      <c r="AF2199" s="52">
        <f>IF(OR(T2199="",I2199&lt;T2199),"",IFERROR(AVERAGE(T2199+M2199*{7,8,9,10,11})/IF(G2199="",I2199,G2199)-1,""))</f>
        <v/>
      </c>
      <c r="AG2199" s="55">
        <f>IF(OR(T2199="",I2199&lt;T2199),"",IFERROR(AF2199/-(R2199/IF(G2199="",I2199,G2199)-1),""))</f>
        <v/>
      </c>
      <c r="AH2199" s="94" t="n"/>
      <c r="AI2199" s="94" t="n"/>
      <c r="AJ2199" s="94" t="n"/>
      <c r="AK2199" s="94" t="n"/>
      <c r="AL2199" s="84" t="n"/>
    </row>
    <row r="2200">
      <c r="A2200" s="64" t="n"/>
      <c r="B2200" s="65" t="n"/>
      <c r="C2200" s="66" t="n"/>
      <c r="D2200" s="67" t="n"/>
      <c r="E2200" s="68" t="n"/>
      <c r="F2200" s="47">
        <f>IF(A2200="","",IF(MIN(H2200,MAX(J2200:K2200))=0,"",MIN(H2200,MAX(J2200:K2200))))</f>
        <v/>
      </c>
      <c r="G2200" s="74" t="n"/>
      <c r="H2200" s="49">
        <f>IF(M2200="","",IFERROR(ROUND(AVERAGE(T2200+M2200*{7,8,9,10,11})/1.21,4),""))</f>
        <v/>
      </c>
      <c r="I2200" s="76" t="n"/>
      <c r="J2200" s="77" t="n"/>
      <c r="K2200" s="74" t="n"/>
      <c r="L2200" s="78" t="n"/>
      <c r="M2200" s="77" t="n"/>
      <c r="N2200" s="53">
        <f>IF(M2200="","",IFERROR(M2200/I2200,""))</f>
        <v/>
      </c>
      <c r="O2200" s="50">
        <f>IF(A2200="","",IFERROR((IF(G2200="",I2200,G2200)-T2200)/M2200,""))</f>
        <v/>
      </c>
      <c r="P2200" s="50">
        <f>IFERROR((I2200/T2200-1)/N2200,"")</f>
        <v/>
      </c>
      <c r="Q2200" s="46">
        <f>IF(OR(T2200="",I2200&lt;T2200),"",IFERROR(R2200/IF(G2200="",I2200,G2200)-1,""))</f>
        <v/>
      </c>
      <c r="R2200" s="48">
        <f>IF($M2200="","",MAX(IF($G2200="",$I2200,$G2200)*(1/1.1),IF($G2200="",$I2200,$G2200)+(R$2*$M2200)))</f>
        <v/>
      </c>
      <c r="S2200" s="49">
        <f>IF($M2200="","",MAX(IF($G2200="",$I2200,$G2200)*(1/1.1),IF($G2200="",$I2200,$G2200)+(S$2*$M2200)))</f>
        <v/>
      </c>
      <c r="T2200" s="82" t="n"/>
      <c r="U2200" s="47">
        <f>IF(OR($M2200="",$T2200=""),"",$T2200+(U$2*$M2200))</f>
        <v/>
      </c>
      <c r="V2200" s="48">
        <f>IF(OR($M2200="",$T2200=""),"",$T2200+(V$2*$M2200))</f>
        <v/>
      </c>
      <c r="W2200" s="48">
        <f>IF(OR($M2200="",$T2200=""),"",$T2200+(W$2*$M2200))</f>
        <v/>
      </c>
      <c r="X2200" s="49">
        <f>IF(OR($M2200="",$T2200=""),"",$T2200+(X$2*$M2200))</f>
        <v/>
      </c>
      <c r="Y2200" s="47">
        <f>IF(OR($M2200="",$T2200=""),"",$T2200+(Y$2*$M2200))</f>
        <v/>
      </c>
      <c r="Z2200" s="49">
        <f>IF(OR($M2200="",$T2200=""),"",$T2200+(Z$2*$M2200))</f>
        <v/>
      </c>
      <c r="AA2200" s="51">
        <f>IF(OR($M2200="",$T2200=""),"",$T2200+(AA$2*$M2200))</f>
        <v/>
      </c>
      <c r="AB2200" s="48">
        <f>IF(OR($M2200="",$T2200=""),"",$T2200+(AB$2*$M2200))</f>
        <v/>
      </c>
      <c r="AC2200" s="48">
        <f>IF(OR($M2200="",$T2200=""),"",$T2200+(AC$2*$M2200))</f>
        <v/>
      </c>
      <c r="AD2200" s="48">
        <f>IF(OR($M2200="",$T2200=""),"",$T2200+(AD$2*$M2200))</f>
        <v/>
      </c>
      <c r="AE2200" s="49">
        <f>IF(OR($M2200="",$T2200=""),"",$T2200+(AE$2*$M2200))</f>
        <v/>
      </c>
      <c r="AF2200" s="52">
        <f>IF(OR(T2200="",I2200&lt;T2200),"",IFERROR(AVERAGE(T2200+M2200*{7,8,9,10,11})/IF(G2200="",I2200,G2200)-1,""))</f>
        <v/>
      </c>
      <c r="AG2200" s="55">
        <f>IF(OR(T2200="",I2200&lt;T2200),"",IFERROR(AF2200/-(R2200/IF(G2200="",I2200,G2200)-1),""))</f>
        <v/>
      </c>
      <c r="AH2200" s="94" t="n"/>
      <c r="AI2200" s="94" t="n"/>
      <c r="AJ2200" s="94" t="n"/>
      <c r="AK2200" s="94" t="n"/>
      <c r="AL2200" s="84" t="n"/>
    </row>
    <row r="2201">
      <c r="A2201" s="64" t="n"/>
      <c r="B2201" s="65" t="n"/>
      <c r="C2201" s="66" t="n"/>
      <c r="D2201" s="67" t="n"/>
      <c r="E2201" s="68" t="n"/>
      <c r="F2201" s="47">
        <f>IF(A2201="","",IF(MIN(H2201,MAX(J2201:K2201))=0,"",MIN(H2201,MAX(J2201:K2201))))</f>
        <v/>
      </c>
      <c r="G2201" s="74" t="n"/>
      <c r="H2201" s="49">
        <f>IF(M2201="","",IFERROR(ROUND(AVERAGE(T2201+M2201*{7,8,9,10,11})/1.21,4),""))</f>
        <v/>
      </c>
      <c r="I2201" s="76" t="n"/>
      <c r="J2201" s="77" t="n"/>
      <c r="K2201" s="74" t="n"/>
      <c r="L2201" s="78" t="n"/>
      <c r="M2201" s="77" t="n"/>
      <c r="N2201" s="53">
        <f>IF(M2201="","",IFERROR(M2201/I2201,""))</f>
        <v/>
      </c>
      <c r="O2201" s="50">
        <f>IF(A2201="","",IFERROR((IF(G2201="",I2201,G2201)-T2201)/M2201,""))</f>
        <v/>
      </c>
      <c r="P2201" s="50">
        <f>IFERROR((I2201/T2201-1)/N2201,"")</f>
        <v/>
      </c>
      <c r="Q2201" s="46">
        <f>IF(OR(T2201="",I2201&lt;T2201),"",IFERROR(R2201/IF(G2201="",I2201,G2201)-1,""))</f>
        <v/>
      </c>
      <c r="R2201" s="48">
        <f>IF($M2201="","",MAX(IF($G2201="",$I2201,$G2201)*(1/1.1),IF($G2201="",$I2201,$G2201)+(R$2*$M2201)))</f>
        <v/>
      </c>
      <c r="S2201" s="49">
        <f>IF($M2201="","",MAX(IF($G2201="",$I2201,$G2201)*(1/1.1),IF($G2201="",$I2201,$G2201)+(S$2*$M2201)))</f>
        <v/>
      </c>
      <c r="T2201" s="82" t="n"/>
      <c r="U2201" s="47">
        <f>IF(OR($M2201="",$T2201=""),"",$T2201+(U$2*$M2201))</f>
        <v/>
      </c>
      <c r="V2201" s="48">
        <f>IF(OR($M2201="",$T2201=""),"",$T2201+(V$2*$M2201))</f>
        <v/>
      </c>
      <c r="W2201" s="48">
        <f>IF(OR($M2201="",$T2201=""),"",$T2201+(W$2*$M2201))</f>
        <v/>
      </c>
      <c r="X2201" s="49">
        <f>IF(OR($M2201="",$T2201=""),"",$T2201+(X$2*$M2201))</f>
        <v/>
      </c>
      <c r="Y2201" s="47">
        <f>IF(OR($M2201="",$T2201=""),"",$T2201+(Y$2*$M2201))</f>
        <v/>
      </c>
      <c r="Z2201" s="49">
        <f>IF(OR($M2201="",$T2201=""),"",$T2201+(Z$2*$M2201))</f>
        <v/>
      </c>
      <c r="AA2201" s="51">
        <f>IF(OR($M2201="",$T2201=""),"",$T2201+(AA$2*$M2201))</f>
        <v/>
      </c>
      <c r="AB2201" s="48">
        <f>IF(OR($M2201="",$T2201=""),"",$T2201+(AB$2*$M2201))</f>
        <v/>
      </c>
      <c r="AC2201" s="48">
        <f>IF(OR($M2201="",$T2201=""),"",$T2201+(AC$2*$M2201))</f>
        <v/>
      </c>
      <c r="AD2201" s="48">
        <f>IF(OR($M2201="",$T2201=""),"",$T2201+(AD$2*$M2201))</f>
        <v/>
      </c>
      <c r="AE2201" s="49">
        <f>IF(OR($M2201="",$T2201=""),"",$T2201+(AE$2*$M2201))</f>
        <v/>
      </c>
      <c r="AF2201" s="52">
        <f>IF(OR(T2201="",I2201&lt;T2201),"",IFERROR(AVERAGE(T2201+M2201*{7,8,9,10,11})/IF(G2201="",I2201,G2201)-1,""))</f>
        <v/>
      </c>
      <c r="AG2201" s="55">
        <f>IF(OR(T2201="",I2201&lt;T2201),"",IFERROR(AF2201/-(R2201/IF(G2201="",I2201,G2201)-1),""))</f>
        <v/>
      </c>
      <c r="AH2201" s="94" t="n"/>
      <c r="AI2201" s="94" t="n"/>
      <c r="AJ2201" s="94" t="n"/>
      <c r="AK2201" s="94" t="n"/>
      <c r="AL2201" s="84" t="n"/>
    </row>
    <row r="2202">
      <c r="A2202" s="64" t="n"/>
      <c r="B2202" s="65" t="n"/>
      <c r="C2202" s="66" t="n"/>
      <c r="D2202" s="67" t="n"/>
      <c r="E2202" s="68" t="n"/>
      <c r="F2202" s="47">
        <f>IF(A2202="","",IF(MIN(H2202,MAX(J2202:K2202))=0,"",MIN(H2202,MAX(J2202:K2202))))</f>
        <v/>
      </c>
      <c r="G2202" s="74" t="n"/>
      <c r="H2202" s="49">
        <f>IF(M2202="","",IFERROR(ROUND(AVERAGE(T2202+M2202*{7,8,9,10,11})/1.21,4),""))</f>
        <v/>
      </c>
      <c r="I2202" s="76" t="n"/>
      <c r="J2202" s="77" t="n"/>
      <c r="K2202" s="74" t="n"/>
      <c r="L2202" s="78" t="n"/>
      <c r="M2202" s="77" t="n"/>
      <c r="N2202" s="53">
        <f>IF(M2202="","",IFERROR(M2202/I2202,""))</f>
        <v/>
      </c>
      <c r="O2202" s="50">
        <f>IF(A2202="","",IFERROR((IF(G2202="",I2202,G2202)-T2202)/M2202,""))</f>
        <v/>
      </c>
      <c r="P2202" s="50">
        <f>IFERROR((I2202/T2202-1)/N2202,"")</f>
        <v/>
      </c>
      <c r="Q2202" s="46">
        <f>IF(OR(T2202="",I2202&lt;T2202),"",IFERROR(R2202/IF(G2202="",I2202,G2202)-1,""))</f>
        <v/>
      </c>
      <c r="R2202" s="48">
        <f>IF($M2202="","",MAX(IF($G2202="",$I2202,$G2202)*(1/1.1),IF($G2202="",$I2202,$G2202)+(R$2*$M2202)))</f>
        <v/>
      </c>
      <c r="S2202" s="49">
        <f>IF($M2202="","",MAX(IF($G2202="",$I2202,$G2202)*(1/1.1),IF($G2202="",$I2202,$G2202)+(S$2*$M2202)))</f>
        <v/>
      </c>
      <c r="T2202" s="82" t="n"/>
      <c r="U2202" s="47">
        <f>IF(OR($M2202="",$T2202=""),"",$T2202+(U$2*$M2202))</f>
        <v/>
      </c>
      <c r="V2202" s="48">
        <f>IF(OR($M2202="",$T2202=""),"",$T2202+(V$2*$M2202))</f>
        <v/>
      </c>
      <c r="W2202" s="48">
        <f>IF(OR($M2202="",$T2202=""),"",$T2202+(W$2*$M2202))</f>
        <v/>
      </c>
      <c r="X2202" s="49">
        <f>IF(OR($M2202="",$T2202=""),"",$T2202+(X$2*$M2202))</f>
        <v/>
      </c>
      <c r="Y2202" s="47">
        <f>IF(OR($M2202="",$T2202=""),"",$T2202+(Y$2*$M2202))</f>
        <v/>
      </c>
      <c r="Z2202" s="49">
        <f>IF(OR($M2202="",$T2202=""),"",$T2202+(Z$2*$M2202))</f>
        <v/>
      </c>
      <c r="AA2202" s="51">
        <f>IF(OR($M2202="",$T2202=""),"",$T2202+(AA$2*$M2202))</f>
        <v/>
      </c>
      <c r="AB2202" s="48">
        <f>IF(OR($M2202="",$T2202=""),"",$T2202+(AB$2*$M2202))</f>
        <v/>
      </c>
      <c r="AC2202" s="48">
        <f>IF(OR($M2202="",$T2202=""),"",$T2202+(AC$2*$M2202))</f>
        <v/>
      </c>
      <c r="AD2202" s="48">
        <f>IF(OR($M2202="",$T2202=""),"",$T2202+(AD$2*$M2202))</f>
        <v/>
      </c>
      <c r="AE2202" s="49">
        <f>IF(OR($M2202="",$T2202=""),"",$T2202+(AE$2*$M2202))</f>
        <v/>
      </c>
      <c r="AF2202" s="52">
        <f>IF(OR(T2202="",I2202&lt;T2202),"",IFERROR(AVERAGE(T2202+M2202*{7,8,9,10,11})/IF(G2202="",I2202,G2202)-1,""))</f>
        <v/>
      </c>
      <c r="AG2202" s="55">
        <f>IF(OR(T2202="",I2202&lt;T2202),"",IFERROR(AF2202/-(R2202/IF(G2202="",I2202,G2202)-1),""))</f>
        <v/>
      </c>
      <c r="AH2202" s="94" t="n"/>
      <c r="AI2202" s="94" t="n"/>
      <c r="AJ2202" s="94" t="n"/>
      <c r="AK2202" s="94" t="n"/>
      <c r="AL2202" s="84" t="n"/>
    </row>
    <row r="2203">
      <c r="A2203" s="64" t="n"/>
      <c r="B2203" s="65" t="n"/>
      <c r="C2203" s="66" t="n"/>
      <c r="D2203" s="67" t="n"/>
      <c r="E2203" s="68" t="n"/>
      <c r="F2203" s="47">
        <f>IF(A2203="","",IF(MIN(H2203,MAX(J2203:K2203))=0,"",MIN(H2203,MAX(J2203:K2203))))</f>
        <v/>
      </c>
      <c r="G2203" s="74" t="n"/>
      <c r="H2203" s="49">
        <f>IF(M2203="","",IFERROR(ROUND(AVERAGE(T2203+M2203*{7,8,9,10,11})/1.21,4),""))</f>
        <v/>
      </c>
      <c r="I2203" s="76" t="n"/>
      <c r="J2203" s="77" t="n"/>
      <c r="K2203" s="74" t="n"/>
      <c r="L2203" s="78" t="n"/>
      <c r="M2203" s="77" t="n"/>
      <c r="N2203" s="53">
        <f>IF(M2203="","",IFERROR(M2203/I2203,""))</f>
        <v/>
      </c>
      <c r="O2203" s="50">
        <f>IF(A2203="","",IFERROR((IF(G2203="",I2203,G2203)-T2203)/M2203,""))</f>
        <v/>
      </c>
      <c r="P2203" s="50">
        <f>IFERROR((I2203/T2203-1)/N2203,"")</f>
        <v/>
      </c>
      <c r="Q2203" s="46">
        <f>IF(OR(T2203="",I2203&lt;T2203),"",IFERROR(R2203/IF(G2203="",I2203,G2203)-1,""))</f>
        <v/>
      </c>
      <c r="R2203" s="48">
        <f>IF($M2203="","",MAX(IF($G2203="",$I2203,$G2203)*(1/1.1),IF($G2203="",$I2203,$G2203)+(R$2*$M2203)))</f>
        <v/>
      </c>
      <c r="S2203" s="49">
        <f>IF($M2203="","",MAX(IF($G2203="",$I2203,$G2203)*(1/1.1),IF($G2203="",$I2203,$G2203)+(S$2*$M2203)))</f>
        <v/>
      </c>
      <c r="T2203" s="82" t="n"/>
      <c r="U2203" s="47">
        <f>IF(OR($M2203="",$T2203=""),"",$T2203+(U$2*$M2203))</f>
        <v/>
      </c>
      <c r="V2203" s="48">
        <f>IF(OR($M2203="",$T2203=""),"",$T2203+(V$2*$M2203))</f>
        <v/>
      </c>
      <c r="W2203" s="48">
        <f>IF(OR($M2203="",$T2203=""),"",$T2203+(W$2*$M2203))</f>
        <v/>
      </c>
      <c r="X2203" s="49">
        <f>IF(OR($M2203="",$T2203=""),"",$T2203+(X$2*$M2203))</f>
        <v/>
      </c>
      <c r="Y2203" s="47">
        <f>IF(OR($M2203="",$T2203=""),"",$T2203+(Y$2*$M2203))</f>
        <v/>
      </c>
      <c r="Z2203" s="49">
        <f>IF(OR($M2203="",$T2203=""),"",$T2203+(Z$2*$M2203))</f>
        <v/>
      </c>
      <c r="AA2203" s="51">
        <f>IF(OR($M2203="",$T2203=""),"",$T2203+(AA$2*$M2203))</f>
        <v/>
      </c>
      <c r="AB2203" s="48">
        <f>IF(OR($M2203="",$T2203=""),"",$T2203+(AB$2*$M2203))</f>
        <v/>
      </c>
      <c r="AC2203" s="48">
        <f>IF(OR($M2203="",$T2203=""),"",$T2203+(AC$2*$M2203))</f>
        <v/>
      </c>
      <c r="AD2203" s="48">
        <f>IF(OR($M2203="",$T2203=""),"",$T2203+(AD$2*$M2203))</f>
        <v/>
      </c>
      <c r="AE2203" s="49">
        <f>IF(OR($M2203="",$T2203=""),"",$T2203+(AE$2*$M2203))</f>
        <v/>
      </c>
      <c r="AF2203" s="52">
        <f>IF(OR(T2203="",I2203&lt;T2203),"",IFERROR(AVERAGE(T2203+M2203*{7,8,9,10,11})/IF(G2203="",I2203,G2203)-1,""))</f>
        <v/>
      </c>
      <c r="AG2203" s="55">
        <f>IF(OR(T2203="",I2203&lt;T2203),"",IFERROR(AF2203/-(R2203/IF(G2203="",I2203,G2203)-1),""))</f>
        <v/>
      </c>
      <c r="AH2203" s="94" t="n"/>
      <c r="AI2203" s="94" t="n"/>
      <c r="AJ2203" s="94" t="n"/>
      <c r="AK2203" s="94" t="n"/>
      <c r="AL2203" s="84" t="n"/>
    </row>
    <row r="2204">
      <c r="A2204" s="64" t="n"/>
      <c r="B2204" s="65" t="n"/>
      <c r="C2204" s="66" t="n"/>
      <c r="D2204" s="67" t="n"/>
      <c r="E2204" s="68" t="n"/>
      <c r="F2204" s="47">
        <f>IF(A2204="","",IF(MIN(H2204,MAX(J2204:K2204))=0,"",MIN(H2204,MAX(J2204:K2204))))</f>
        <v/>
      </c>
      <c r="G2204" s="74" t="n"/>
      <c r="H2204" s="49">
        <f>IF(M2204="","",IFERROR(ROUND(AVERAGE(T2204+M2204*{7,8,9,10,11})/1.21,4),""))</f>
        <v/>
      </c>
      <c r="I2204" s="76" t="n"/>
      <c r="J2204" s="77" t="n"/>
      <c r="K2204" s="74" t="n"/>
      <c r="L2204" s="78" t="n"/>
      <c r="M2204" s="77" t="n"/>
      <c r="N2204" s="53">
        <f>IF(M2204="","",IFERROR(M2204/I2204,""))</f>
        <v/>
      </c>
      <c r="O2204" s="50">
        <f>IF(A2204="","",IFERROR((IF(G2204="",I2204,G2204)-T2204)/M2204,""))</f>
        <v/>
      </c>
      <c r="P2204" s="50">
        <f>IFERROR((I2204/T2204-1)/N2204,"")</f>
        <v/>
      </c>
      <c r="Q2204" s="46">
        <f>IF(OR(T2204="",I2204&lt;T2204),"",IFERROR(R2204/IF(G2204="",I2204,G2204)-1,""))</f>
        <v/>
      </c>
      <c r="R2204" s="48">
        <f>IF($M2204="","",MAX(IF($G2204="",$I2204,$G2204)*(1/1.1),IF($G2204="",$I2204,$G2204)+(R$2*$M2204)))</f>
        <v/>
      </c>
      <c r="S2204" s="49">
        <f>IF($M2204="","",MAX(IF($G2204="",$I2204,$G2204)*(1/1.1),IF($G2204="",$I2204,$G2204)+(S$2*$M2204)))</f>
        <v/>
      </c>
      <c r="T2204" s="82" t="n"/>
      <c r="U2204" s="47">
        <f>IF(OR($M2204="",$T2204=""),"",$T2204+(U$2*$M2204))</f>
        <v/>
      </c>
      <c r="V2204" s="48">
        <f>IF(OR($M2204="",$T2204=""),"",$T2204+(V$2*$M2204))</f>
        <v/>
      </c>
      <c r="W2204" s="48">
        <f>IF(OR($M2204="",$T2204=""),"",$T2204+(W$2*$M2204))</f>
        <v/>
      </c>
      <c r="X2204" s="49">
        <f>IF(OR($M2204="",$T2204=""),"",$T2204+(X$2*$M2204))</f>
        <v/>
      </c>
      <c r="Y2204" s="47">
        <f>IF(OR($M2204="",$T2204=""),"",$T2204+(Y$2*$M2204))</f>
        <v/>
      </c>
      <c r="Z2204" s="49">
        <f>IF(OR($M2204="",$T2204=""),"",$T2204+(Z$2*$M2204))</f>
        <v/>
      </c>
      <c r="AA2204" s="51">
        <f>IF(OR($M2204="",$T2204=""),"",$T2204+(AA$2*$M2204))</f>
        <v/>
      </c>
      <c r="AB2204" s="48">
        <f>IF(OR($M2204="",$T2204=""),"",$T2204+(AB$2*$M2204))</f>
        <v/>
      </c>
      <c r="AC2204" s="48">
        <f>IF(OR($M2204="",$T2204=""),"",$T2204+(AC$2*$M2204))</f>
        <v/>
      </c>
      <c r="AD2204" s="48">
        <f>IF(OR($M2204="",$T2204=""),"",$T2204+(AD$2*$M2204))</f>
        <v/>
      </c>
      <c r="AE2204" s="49">
        <f>IF(OR($M2204="",$T2204=""),"",$T2204+(AE$2*$M2204))</f>
        <v/>
      </c>
      <c r="AF2204" s="52">
        <f>IF(OR(T2204="",I2204&lt;T2204),"",IFERROR(AVERAGE(T2204+M2204*{7,8,9,10,11})/IF(G2204="",I2204,G2204)-1,""))</f>
        <v/>
      </c>
      <c r="AG2204" s="55">
        <f>IF(OR(T2204="",I2204&lt;T2204),"",IFERROR(AF2204/-(R2204/IF(G2204="",I2204,G2204)-1),""))</f>
        <v/>
      </c>
      <c r="AH2204" s="94" t="n"/>
      <c r="AI2204" s="94" t="n"/>
      <c r="AJ2204" s="94" t="n"/>
      <c r="AK2204" s="94" t="n"/>
      <c r="AL2204" s="84" t="n"/>
    </row>
    <row r="2205">
      <c r="A2205" s="64" t="n"/>
      <c r="B2205" s="65" t="n"/>
      <c r="C2205" s="66" t="n"/>
      <c r="D2205" s="67" t="n"/>
      <c r="E2205" s="68" t="n"/>
      <c r="F2205" s="47">
        <f>IF(A2205="","",IF(MIN(H2205,MAX(J2205:K2205))=0,"",MIN(H2205,MAX(J2205:K2205))))</f>
        <v/>
      </c>
      <c r="G2205" s="74" t="n"/>
      <c r="H2205" s="49">
        <f>IF(M2205="","",IFERROR(ROUND(AVERAGE(T2205+M2205*{7,8,9,10,11})/1.21,4),""))</f>
        <v/>
      </c>
      <c r="I2205" s="76" t="n"/>
      <c r="J2205" s="77" t="n"/>
      <c r="K2205" s="74" t="n"/>
      <c r="L2205" s="78" t="n"/>
      <c r="M2205" s="77" t="n"/>
      <c r="N2205" s="53">
        <f>IF(M2205="","",IFERROR(M2205/I2205,""))</f>
        <v/>
      </c>
      <c r="O2205" s="50">
        <f>IF(A2205="","",IFERROR((IF(G2205="",I2205,G2205)-T2205)/M2205,""))</f>
        <v/>
      </c>
      <c r="P2205" s="50">
        <f>IFERROR((I2205/T2205-1)/N2205,"")</f>
        <v/>
      </c>
      <c r="Q2205" s="46">
        <f>IF(OR(T2205="",I2205&lt;T2205),"",IFERROR(R2205/IF(G2205="",I2205,G2205)-1,""))</f>
        <v/>
      </c>
      <c r="R2205" s="48">
        <f>IF($M2205="","",MAX(IF($G2205="",$I2205,$G2205)*(1/1.1),IF($G2205="",$I2205,$G2205)+(R$2*$M2205)))</f>
        <v/>
      </c>
      <c r="S2205" s="49">
        <f>IF($M2205="","",MAX(IF($G2205="",$I2205,$G2205)*(1/1.1),IF($G2205="",$I2205,$G2205)+(S$2*$M2205)))</f>
        <v/>
      </c>
      <c r="T2205" s="82" t="n"/>
      <c r="U2205" s="47">
        <f>IF(OR($M2205="",$T2205=""),"",$T2205+(U$2*$M2205))</f>
        <v/>
      </c>
      <c r="V2205" s="48">
        <f>IF(OR($M2205="",$T2205=""),"",$T2205+(V$2*$M2205))</f>
        <v/>
      </c>
      <c r="W2205" s="48">
        <f>IF(OR($M2205="",$T2205=""),"",$T2205+(W$2*$M2205))</f>
        <v/>
      </c>
      <c r="X2205" s="49">
        <f>IF(OR($M2205="",$T2205=""),"",$T2205+(X$2*$M2205))</f>
        <v/>
      </c>
      <c r="Y2205" s="47">
        <f>IF(OR($M2205="",$T2205=""),"",$T2205+(Y$2*$M2205))</f>
        <v/>
      </c>
      <c r="Z2205" s="49">
        <f>IF(OR($M2205="",$T2205=""),"",$T2205+(Z$2*$M2205))</f>
        <v/>
      </c>
      <c r="AA2205" s="51">
        <f>IF(OR($M2205="",$T2205=""),"",$T2205+(AA$2*$M2205))</f>
        <v/>
      </c>
      <c r="AB2205" s="48">
        <f>IF(OR($M2205="",$T2205=""),"",$T2205+(AB$2*$M2205))</f>
        <v/>
      </c>
      <c r="AC2205" s="48">
        <f>IF(OR($M2205="",$T2205=""),"",$T2205+(AC$2*$M2205))</f>
        <v/>
      </c>
      <c r="AD2205" s="48">
        <f>IF(OR($M2205="",$T2205=""),"",$T2205+(AD$2*$M2205))</f>
        <v/>
      </c>
      <c r="AE2205" s="49">
        <f>IF(OR($M2205="",$T2205=""),"",$T2205+(AE$2*$M2205))</f>
        <v/>
      </c>
      <c r="AF2205" s="52">
        <f>IF(OR(T2205="",I2205&lt;T2205),"",IFERROR(AVERAGE(T2205+M2205*{7,8,9,10,11})/IF(G2205="",I2205,G2205)-1,""))</f>
        <v/>
      </c>
      <c r="AG2205" s="55">
        <f>IF(OR(T2205="",I2205&lt;T2205),"",IFERROR(AF2205/-(R2205/IF(G2205="",I2205,G2205)-1),""))</f>
        <v/>
      </c>
      <c r="AH2205" s="94" t="n"/>
      <c r="AI2205" s="94" t="n"/>
      <c r="AJ2205" s="94" t="n"/>
      <c r="AK2205" s="94" t="n"/>
      <c r="AL2205" s="84" t="n"/>
    </row>
    <row r="2206">
      <c r="A2206" s="64" t="n"/>
      <c r="B2206" s="65" t="n"/>
      <c r="C2206" s="66" t="n"/>
      <c r="D2206" s="67" t="n"/>
      <c r="E2206" s="68" t="n"/>
      <c r="F2206" s="47">
        <f>IF(A2206="","",IF(MIN(H2206,MAX(J2206:K2206))=0,"",MIN(H2206,MAX(J2206:K2206))))</f>
        <v/>
      </c>
      <c r="G2206" s="74" t="n"/>
      <c r="H2206" s="49">
        <f>IF(M2206="","",IFERROR(ROUND(AVERAGE(T2206+M2206*{7,8,9,10,11})/1.21,4),""))</f>
        <v/>
      </c>
      <c r="I2206" s="76" t="n"/>
      <c r="J2206" s="77" t="n"/>
      <c r="K2206" s="74" t="n"/>
      <c r="L2206" s="78" t="n"/>
      <c r="M2206" s="77" t="n"/>
      <c r="N2206" s="53">
        <f>IF(M2206="","",IFERROR(M2206/I2206,""))</f>
        <v/>
      </c>
      <c r="O2206" s="50">
        <f>IF(A2206="","",IFERROR((IF(G2206="",I2206,G2206)-T2206)/M2206,""))</f>
        <v/>
      </c>
      <c r="P2206" s="50">
        <f>IFERROR((I2206/T2206-1)/N2206,"")</f>
        <v/>
      </c>
      <c r="Q2206" s="46">
        <f>IF(OR(T2206="",I2206&lt;T2206),"",IFERROR(R2206/IF(G2206="",I2206,G2206)-1,""))</f>
        <v/>
      </c>
      <c r="R2206" s="48">
        <f>IF($M2206="","",MAX(IF($G2206="",$I2206,$G2206)*(1/1.1),IF($G2206="",$I2206,$G2206)+(R$2*$M2206)))</f>
        <v/>
      </c>
      <c r="S2206" s="49">
        <f>IF($M2206="","",MAX(IF($G2206="",$I2206,$G2206)*(1/1.1),IF($G2206="",$I2206,$G2206)+(S$2*$M2206)))</f>
        <v/>
      </c>
      <c r="T2206" s="82" t="n"/>
      <c r="U2206" s="47">
        <f>IF(OR($M2206="",$T2206=""),"",$T2206+(U$2*$M2206))</f>
        <v/>
      </c>
      <c r="V2206" s="48">
        <f>IF(OR($M2206="",$T2206=""),"",$T2206+(V$2*$M2206))</f>
        <v/>
      </c>
      <c r="W2206" s="48">
        <f>IF(OR($M2206="",$T2206=""),"",$T2206+(W$2*$M2206))</f>
        <v/>
      </c>
      <c r="X2206" s="49">
        <f>IF(OR($M2206="",$T2206=""),"",$T2206+(X$2*$M2206))</f>
        <v/>
      </c>
      <c r="Y2206" s="47">
        <f>IF(OR($M2206="",$T2206=""),"",$T2206+(Y$2*$M2206))</f>
        <v/>
      </c>
      <c r="Z2206" s="49">
        <f>IF(OR($M2206="",$T2206=""),"",$T2206+(Z$2*$M2206))</f>
        <v/>
      </c>
      <c r="AA2206" s="51">
        <f>IF(OR($M2206="",$T2206=""),"",$T2206+(AA$2*$M2206))</f>
        <v/>
      </c>
      <c r="AB2206" s="48">
        <f>IF(OR($M2206="",$T2206=""),"",$T2206+(AB$2*$M2206))</f>
        <v/>
      </c>
      <c r="AC2206" s="48">
        <f>IF(OR($M2206="",$T2206=""),"",$T2206+(AC$2*$M2206))</f>
        <v/>
      </c>
      <c r="AD2206" s="48">
        <f>IF(OR($M2206="",$T2206=""),"",$T2206+(AD$2*$M2206))</f>
        <v/>
      </c>
      <c r="AE2206" s="49">
        <f>IF(OR($M2206="",$T2206=""),"",$T2206+(AE$2*$M2206))</f>
        <v/>
      </c>
      <c r="AF2206" s="52">
        <f>IF(OR(T2206="",I2206&lt;T2206),"",IFERROR(AVERAGE(T2206+M2206*{7,8,9,10,11})/IF(G2206="",I2206,G2206)-1,""))</f>
        <v/>
      </c>
      <c r="AG2206" s="55">
        <f>IF(OR(T2206="",I2206&lt;T2206),"",IFERROR(AF2206/-(R2206/IF(G2206="",I2206,G2206)-1),""))</f>
        <v/>
      </c>
      <c r="AH2206" s="94" t="n"/>
      <c r="AI2206" s="94" t="n"/>
      <c r="AJ2206" s="94" t="n"/>
      <c r="AK2206" s="94" t="n"/>
      <c r="AL2206" s="84" t="n"/>
    </row>
    <row r="2207">
      <c r="A2207" s="64" t="n"/>
      <c r="B2207" s="65" t="n"/>
      <c r="C2207" s="66" t="n"/>
      <c r="D2207" s="67" t="n"/>
      <c r="E2207" s="68" t="n"/>
      <c r="F2207" s="47">
        <f>IF(A2207="","",IF(MIN(H2207,MAX(J2207:K2207))=0,"",MIN(H2207,MAX(J2207:K2207))))</f>
        <v/>
      </c>
      <c r="G2207" s="74" t="n"/>
      <c r="H2207" s="49">
        <f>IF(M2207="","",IFERROR(ROUND(AVERAGE(T2207+M2207*{7,8,9,10,11})/1.21,4),""))</f>
        <v/>
      </c>
      <c r="I2207" s="76" t="n"/>
      <c r="J2207" s="77" t="n"/>
      <c r="K2207" s="74" t="n"/>
      <c r="L2207" s="78" t="n"/>
      <c r="M2207" s="77" t="n"/>
      <c r="N2207" s="53">
        <f>IF(M2207="","",IFERROR(M2207/I2207,""))</f>
        <v/>
      </c>
      <c r="O2207" s="50">
        <f>IF(A2207="","",IFERROR((IF(G2207="",I2207,G2207)-T2207)/M2207,""))</f>
        <v/>
      </c>
      <c r="P2207" s="50">
        <f>IFERROR((I2207/T2207-1)/N2207,"")</f>
        <v/>
      </c>
      <c r="Q2207" s="46">
        <f>IF(OR(T2207="",I2207&lt;T2207),"",IFERROR(R2207/IF(G2207="",I2207,G2207)-1,""))</f>
        <v/>
      </c>
      <c r="R2207" s="48">
        <f>IF($M2207="","",MAX(IF($G2207="",$I2207,$G2207)*(1/1.1),IF($G2207="",$I2207,$G2207)+(R$2*$M2207)))</f>
        <v/>
      </c>
      <c r="S2207" s="49">
        <f>IF($M2207="","",MAX(IF($G2207="",$I2207,$G2207)*(1/1.1),IF($G2207="",$I2207,$G2207)+(S$2*$M2207)))</f>
        <v/>
      </c>
      <c r="T2207" s="82" t="n"/>
      <c r="U2207" s="47">
        <f>IF(OR($M2207="",$T2207=""),"",$T2207+(U$2*$M2207))</f>
        <v/>
      </c>
      <c r="V2207" s="48">
        <f>IF(OR($M2207="",$T2207=""),"",$T2207+(V$2*$M2207))</f>
        <v/>
      </c>
      <c r="W2207" s="48">
        <f>IF(OR($M2207="",$T2207=""),"",$T2207+(W$2*$M2207))</f>
        <v/>
      </c>
      <c r="X2207" s="49">
        <f>IF(OR($M2207="",$T2207=""),"",$T2207+(X$2*$M2207))</f>
        <v/>
      </c>
      <c r="Y2207" s="47">
        <f>IF(OR($M2207="",$T2207=""),"",$T2207+(Y$2*$M2207))</f>
        <v/>
      </c>
      <c r="Z2207" s="49">
        <f>IF(OR($M2207="",$T2207=""),"",$T2207+(Z$2*$M2207))</f>
        <v/>
      </c>
      <c r="AA2207" s="51">
        <f>IF(OR($M2207="",$T2207=""),"",$T2207+(AA$2*$M2207))</f>
        <v/>
      </c>
      <c r="AB2207" s="48">
        <f>IF(OR($M2207="",$T2207=""),"",$T2207+(AB$2*$M2207))</f>
        <v/>
      </c>
      <c r="AC2207" s="48">
        <f>IF(OR($M2207="",$T2207=""),"",$T2207+(AC$2*$M2207))</f>
        <v/>
      </c>
      <c r="AD2207" s="48">
        <f>IF(OR($M2207="",$T2207=""),"",$T2207+(AD$2*$M2207))</f>
        <v/>
      </c>
      <c r="AE2207" s="49">
        <f>IF(OR($M2207="",$T2207=""),"",$T2207+(AE$2*$M2207))</f>
        <v/>
      </c>
      <c r="AF2207" s="52">
        <f>IF(OR(T2207="",I2207&lt;T2207),"",IFERROR(AVERAGE(T2207+M2207*{7,8,9,10,11})/IF(G2207="",I2207,G2207)-1,""))</f>
        <v/>
      </c>
      <c r="AG2207" s="55">
        <f>IF(OR(T2207="",I2207&lt;T2207),"",IFERROR(AF2207/-(R2207/IF(G2207="",I2207,G2207)-1),""))</f>
        <v/>
      </c>
      <c r="AH2207" s="94" t="n"/>
      <c r="AI2207" s="94" t="n"/>
      <c r="AJ2207" s="94" t="n"/>
      <c r="AK2207" s="94" t="n"/>
      <c r="AL2207" s="84" t="n"/>
    </row>
    <row r="2208">
      <c r="A2208" s="64" t="n"/>
      <c r="B2208" s="65" t="n"/>
      <c r="C2208" s="66" t="n"/>
      <c r="D2208" s="67" t="n"/>
      <c r="E2208" s="68" t="n"/>
      <c r="F2208" s="47">
        <f>IF(A2208="","",IF(MIN(H2208,MAX(J2208:K2208))=0,"",MIN(H2208,MAX(J2208:K2208))))</f>
        <v/>
      </c>
      <c r="G2208" s="74" t="n"/>
      <c r="H2208" s="49">
        <f>IF(M2208="","",IFERROR(ROUND(AVERAGE(T2208+M2208*{7,8,9,10,11})/1.21,4),""))</f>
        <v/>
      </c>
      <c r="I2208" s="76" t="n"/>
      <c r="J2208" s="77" t="n"/>
      <c r="K2208" s="74" t="n"/>
      <c r="L2208" s="78" t="n"/>
      <c r="M2208" s="77" t="n"/>
      <c r="N2208" s="53">
        <f>IF(M2208="","",IFERROR(M2208/I2208,""))</f>
        <v/>
      </c>
      <c r="O2208" s="50">
        <f>IF(A2208="","",IFERROR((IF(G2208="",I2208,G2208)-T2208)/M2208,""))</f>
        <v/>
      </c>
      <c r="P2208" s="50">
        <f>IFERROR((I2208/T2208-1)/N2208,"")</f>
        <v/>
      </c>
      <c r="Q2208" s="46">
        <f>IF(OR(T2208="",I2208&lt;T2208),"",IFERROR(R2208/IF(G2208="",I2208,G2208)-1,""))</f>
        <v/>
      </c>
      <c r="R2208" s="48">
        <f>IF($M2208="","",MAX(IF($G2208="",$I2208,$G2208)*(1/1.1),IF($G2208="",$I2208,$G2208)+(R$2*$M2208)))</f>
        <v/>
      </c>
      <c r="S2208" s="49">
        <f>IF($M2208="","",MAX(IF($G2208="",$I2208,$G2208)*(1/1.1),IF($G2208="",$I2208,$G2208)+(S$2*$M2208)))</f>
        <v/>
      </c>
      <c r="T2208" s="82" t="n"/>
      <c r="U2208" s="47">
        <f>IF(OR($M2208="",$T2208=""),"",$T2208+(U$2*$M2208))</f>
        <v/>
      </c>
      <c r="V2208" s="48">
        <f>IF(OR($M2208="",$T2208=""),"",$T2208+(V$2*$M2208))</f>
        <v/>
      </c>
      <c r="W2208" s="48">
        <f>IF(OR($M2208="",$T2208=""),"",$T2208+(W$2*$M2208))</f>
        <v/>
      </c>
      <c r="X2208" s="49">
        <f>IF(OR($M2208="",$T2208=""),"",$T2208+(X$2*$M2208))</f>
        <v/>
      </c>
      <c r="Y2208" s="47">
        <f>IF(OR($M2208="",$T2208=""),"",$T2208+(Y$2*$M2208))</f>
        <v/>
      </c>
      <c r="Z2208" s="49">
        <f>IF(OR($M2208="",$T2208=""),"",$T2208+(Z$2*$M2208))</f>
        <v/>
      </c>
      <c r="AA2208" s="51">
        <f>IF(OR($M2208="",$T2208=""),"",$T2208+(AA$2*$M2208))</f>
        <v/>
      </c>
      <c r="AB2208" s="48">
        <f>IF(OR($M2208="",$T2208=""),"",$T2208+(AB$2*$M2208))</f>
        <v/>
      </c>
      <c r="AC2208" s="48">
        <f>IF(OR($M2208="",$T2208=""),"",$T2208+(AC$2*$M2208))</f>
        <v/>
      </c>
      <c r="AD2208" s="48">
        <f>IF(OR($M2208="",$T2208=""),"",$T2208+(AD$2*$M2208))</f>
        <v/>
      </c>
      <c r="AE2208" s="49">
        <f>IF(OR($M2208="",$T2208=""),"",$T2208+(AE$2*$M2208))</f>
        <v/>
      </c>
      <c r="AF2208" s="52">
        <f>IF(OR(T2208="",I2208&lt;T2208),"",IFERROR(AVERAGE(T2208+M2208*{7,8,9,10,11})/IF(G2208="",I2208,G2208)-1,""))</f>
        <v/>
      </c>
      <c r="AG2208" s="55">
        <f>IF(OR(T2208="",I2208&lt;T2208),"",IFERROR(AF2208/-(R2208/IF(G2208="",I2208,G2208)-1),""))</f>
        <v/>
      </c>
      <c r="AH2208" s="94" t="n"/>
      <c r="AI2208" s="94" t="n"/>
      <c r="AJ2208" s="94" t="n"/>
      <c r="AK2208" s="94" t="n"/>
      <c r="AL2208" s="84" t="n"/>
    </row>
    <row r="2209">
      <c r="A2209" s="64" t="n"/>
      <c r="B2209" s="65" t="n"/>
      <c r="C2209" s="66" t="n"/>
      <c r="D2209" s="67" t="n"/>
      <c r="E2209" s="68" t="n"/>
      <c r="F2209" s="47">
        <f>IF(A2209="","",IF(MIN(H2209,MAX(J2209:K2209))=0,"",MIN(H2209,MAX(J2209:K2209))))</f>
        <v/>
      </c>
      <c r="G2209" s="74" t="n"/>
      <c r="H2209" s="49">
        <f>IF(M2209="","",IFERROR(ROUND(AVERAGE(T2209+M2209*{7,8,9,10,11})/1.21,4),""))</f>
        <v/>
      </c>
      <c r="I2209" s="76" t="n"/>
      <c r="J2209" s="77" t="n"/>
      <c r="K2209" s="74" t="n"/>
      <c r="L2209" s="78" t="n"/>
      <c r="M2209" s="77" t="n"/>
      <c r="N2209" s="53">
        <f>IF(M2209="","",IFERROR(M2209/I2209,""))</f>
        <v/>
      </c>
      <c r="O2209" s="50">
        <f>IF(A2209="","",IFERROR((IF(G2209="",I2209,G2209)-T2209)/M2209,""))</f>
        <v/>
      </c>
      <c r="P2209" s="50">
        <f>IFERROR((I2209/T2209-1)/N2209,"")</f>
        <v/>
      </c>
      <c r="Q2209" s="46">
        <f>IF(OR(T2209="",I2209&lt;T2209),"",IFERROR(R2209/IF(G2209="",I2209,G2209)-1,""))</f>
        <v/>
      </c>
      <c r="R2209" s="48">
        <f>IF($M2209="","",MAX(IF($G2209="",$I2209,$G2209)*(1/1.1),IF($G2209="",$I2209,$G2209)+(R$2*$M2209)))</f>
        <v/>
      </c>
      <c r="S2209" s="49">
        <f>IF($M2209="","",MAX(IF($G2209="",$I2209,$G2209)*(1/1.1),IF($G2209="",$I2209,$G2209)+(S$2*$M2209)))</f>
        <v/>
      </c>
      <c r="T2209" s="82" t="n"/>
      <c r="U2209" s="47">
        <f>IF(OR($M2209="",$T2209=""),"",$T2209+(U$2*$M2209))</f>
        <v/>
      </c>
      <c r="V2209" s="48">
        <f>IF(OR($M2209="",$T2209=""),"",$T2209+(V$2*$M2209))</f>
        <v/>
      </c>
      <c r="W2209" s="48">
        <f>IF(OR($M2209="",$T2209=""),"",$T2209+(W$2*$M2209))</f>
        <v/>
      </c>
      <c r="X2209" s="49">
        <f>IF(OR($M2209="",$T2209=""),"",$T2209+(X$2*$M2209))</f>
        <v/>
      </c>
      <c r="Y2209" s="47">
        <f>IF(OR($M2209="",$T2209=""),"",$T2209+(Y$2*$M2209))</f>
        <v/>
      </c>
      <c r="Z2209" s="49">
        <f>IF(OR($M2209="",$T2209=""),"",$T2209+(Z$2*$M2209))</f>
        <v/>
      </c>
      <c r="AA2209" s="51">
        <f>IF(OR($M2209="",$T2209=""),"",$T2209+(AA$2*$M2209))</f>
        <v/>
      </c>
      <c r="AB2209" s="48">
        <f>IF(OR($M2209="",$T2209=""),"",$T2209+(AB$2*$M2209))</f>
        <v/>
      </c>
      <c r="AC2209" s="48">
        <f>IF(OR($M2209="",$T2209=""),"",$T2209+(AC$2*$M2209))</f>
        <v/>
      </c>
      <c r="AD2209" s="48">
        <f>IF(OR($M2209="",$T2209=""),"",$T2209+(AD$2*$M2209))</f>
        <v/>
      </c>
      <c r="AE2209" s="49">
        <f>IF(OR($M2209="",$T2209=""),"",$T2209+(AE$2*$M2209))</f>
        <v/>
      </c>
      <c r="AF2209" s="52">
        <f>IF(OR(T2209="",I2209&lt;T2209),"",IFERROR(AVERAGE(T2209+M2209*{7,8,9,10,11})/IF(G2209="",I2209,G2209)-1,""))</f>
        <v/>
      </c>
      <c r="AG2209" s="55">
        <f>IF(OR(T2209="",I2209&lt;T2209),"",IFERROR(AF2209/-(R2209/IF(G2209="",I2209,G2209)-1),""))</f>
        <v/>
      </c>
      <c r="AH2209" s="94" t="n"/>
      <c r="AI2209" s="94" t="n"/>
      <c r="AJ2209" s="94" t="n"/>
      <c r="AK2209" s="94" t="n"/>
      <c r="AL2209" s="84" t="n"/>
    </row>
    <row r="2210">
      <c r="A2210" s="64" t="n"/>
      <c r="B2210" s="65" t="n"/>
      <c r="C2210" s="66" t="n"/>
      <c r="D2210" s="67" t="n"/>
      <c r="E2210" s="68" t="n"/>
      <c r="F2210" s="47">
        <f>IF(A2210="","",IF(MIN(H2210,MAX(J2210:K2210))=0,"",MIN(H2210,MAX(J2210:K2210))))</f>
        <v/>
      </c>
      <c r="G2210" s="74" t="n"/>
      <c r="H2210" s="49">
        <f>IF(M2210="","",IFERROR(ROUND(AVERAGE(T2210+M2210*{7,8,9,10,11})/1.21,4),""))</f>
        <v/>
      </c>
      <c r="I2210" s="76" t="n"/>
      <c r="J2210" s="77" t="n"/>
      <c r="K2210" s="74" t="n"/>
      <c r="L2210" s="78" t="n"/>
      <c r="M2210" s="77" t="n"/>
      <c r="N2210" s="53">
        <f>IF(M2210="","",IFERROR(M2210/I2210,""))</f>
        <v/>
      </c>
      <c r="O2210" s="50">
        <f>IF(A2210="","",IFERROR((IF(G2210="",I2210,G2210)-T2210)/M2210,""))</f>
        <v/>
      </c>
      <c r="P2210" s="50">
        <f>IFERROR((I2210/T2210-1)/N2210,"")</f>
        <v/>
      </c>
      <c r="Q2210" s="46">
        <f>IF(OR(T2210="",I2210&lt;T2210),"",IFERROR(R2210/IF(G2210="",I2210,G2210)-1,""))</f>
        <v/>
      </c>
      <c r="R2210" s="48">
        <f>IF($M2210="","",MAX(IF($G2210="",$I2210,$G2210)*(1/1.1),IF($G2210="",$I2210,$G2210)+(R$2*$M2210)))</f>
        <v/>
      </c>
      <c r="S2210" s="49">
        <f>IF($M2210="","",MAX(IF($G2210="",$I2210,$G2210)*(1/1.1),IF($G2210="",$I2210,$G2210)+(S$2*$M2210)))</f>
        <v/>
      </c>
      <c r="T2210" s="82" t="n"/>
      <c r="U2210" s="47">
        <f>IF(OR($M2210="",$T2210=""),"",$T2210+(U$2*$M2210))</f>
        <v/>
      </c>
      <c r="V2210" s="48">
        <f>IF(OR($M2210="",$T2210=""),"",$T2210+(V$2*$M2210))</f>
        <v/>
      </c>
      <c r="W2210" s="48">
        <f>IF(OR($M2210="",$T2210=""),"",$T2210+(W$2*$M2210))</f>
        <v/>
      </c>
      <c r="X2210" s="49">
        <f>IF(OR($M2210="",$T2210=""),"",$T2210+(X$2*$M2210))</f>
        <v/>
      </c>
      <c r="Y2210" s="47">
        <f>IF(OR($M2210="",$T2210=""),"",$T2210+(Y$2*$M2210))</f>
        <v/>
      </c>
      <c r="Z2210" s="49">
        <f>IF(OR($M2210="",$T2210=""),"",$T2210+(Z$2*$M2210))</f>
        <v/>
      </c>
      <c r="AA2210" s="51">
        <f>IF(OR($M2210="",$T2210=""),"",$T2210+(AA$2*$M2210))</f>
        <v/>
      </c>
      <c r="AB2210" s="48">
        <f>IF(OR($M2210="",$T2210=""),"",$T2210+(AB$2*$M2210))</f>
        <v/>
      </c>
      <c r="AC2210" s="48">
        <f>IF(OR($M2210="",$T2210=""),"",$T2210+(AC$2*$M2210))</f>
        <v/>
      </c>
      <c r="AD2210" s="48">
        <f>IF(OR($M2210="",$T2210=""),"",$T2210+(AD$2*$M2210))</f>
        <v/>
      </c>
      <c r="AE2210" s="49">
        <f>IF(OR($M2210="",$T2210=""),"",$T2210+(AE$2*$M2210))</f>
        <v/>
      </c>
      <c r="AF2210" s="52">
        <f>IF(OR(T2210="",I2210&lt;T2210),"",IFERROR(AVERAGE(T2210+M2210*{7,8,9,10,11})/IF(G2210="",I2210,G2210)-1,""))</f>
        <v/>
      </c>
      <c r="AG2210" s="55">
        <f>IF(OR(T2210="",I2210&lt;T2210),"",IFERROR(AF2210/-(R2210/IF(G2210="",I2210,G2210)-1),""))</f>
        <v/>
      </c>
      <c r="AH2210" s="94" t="n"/>
      <c r="AI2210" s="94" t="n"/>
      <c r="AJ2210" s="94" t="n"/>
      <c r="AK2210" s="94" t="n"/>
      <c r="AL2210" s="84" t="n"/>
    </row>
    <row r="2211">
      <c r="A2211" s="64" t="n"/>
      <c r="B2211" s="65" t="n"/>
      <c r="C2211" s="66" t="n"/>
      <c r="D2211" s="67" t="n"/>
      <c r="E2211" s="68" t="n"/>
      <c r="F2211" s="47">
        <f>IF(A2211="","",IF(MIN(H2211,MAX(J2211:K2211))=0,"",MIN(H2211,MAX(J2211:K2211))))</f>
        <v/>
      </c>
      <c r="G2211" s="74" t="n"/>
      <c r="H2211" s="49">
        <f>IF(M2211="","",IFERROR(ROUND(AVERAGE(T2211+M2211*{7,8,9,10,11})/1.21,4),""))</f>
        <v/>
      </c>
      <c r="I2211" s="76" t="n"/>
      <c r="J2211" s="77" t="n"/>
      <c r="K2211" s="74" t="n"/>
      <c r="L2211" s="78" t="n"/>
      <c r="M2211" s="77" t="n"/>
      <c r="N2211" s="53">
        <f>IF(M2211="","",IFERROR(M2211/I2211,""))</f>
        <v/>
      </c>
      <c r="O2211" s="50">
        <f>IF(A2211="","",IFERROR((IF(G2211="",I2211,G2211)-T2211)/M2211,""))</f>
        <v/>
      </c>
      <c r="P2211" s="50">
        <f>IFERROR((I2211/T2211-1)/N2211,"")</f>
        <v/>
      </c>
      <c r="Q2211" s="46">
        <f>IF(OR(T2211="",I2211&lt;T2211),"",IFERROR(R2211/IF(G2211="",I2211,G2211)-1,""))</f>
        <v/>
      </c>
      <c r="R2211" s="48">
        <f>IF($M2211="","",MAX(IF($G2211="",$I2211,$G2211)*(1/1.1),IF($G2211="",$I2211,$G2211)+(R$2*$M2211)))</f>
        <v/>
      </c>
      <c r="S2211" s="49">
        <f>IF($M2211="","",MAX(IF($G2211="",$I2211,$G2211)*(1/1.1),IF($G2211="",$I2211,$G2211)+(S$2*$M2211)))</f>
        <v/>
      </c>
      <c r="T2211" s="82" t="n"/>
      <c r="U2211" s="47">
        <f>IF(OR($M2211="",$T2211=""),"",$T2211+(U$2*$M2211))</f>
        <v/>
      </c>
      <c r="V2211" s="48">
        <f>IF(OR($M2211="",$T2211=""),"",$T2211+(V$2*$M2211))</f>
        <v/>
      </c>
      <c r="W2211" s="48">
        <f>IF(OR($M2211="",$T2211=""),"",$T2211+(W$2*$M2211))</f>
        <v/>
      </c>
      <c r="X2211" s="49">
        <f>IF(OR($M2211="",$T2211=""),"",$T2211+(X$2*$M2211))</f>
        <v/>
      </c>
      <c r="Y2211" s="47">
        <f>IF(OR($M2211="",$T2211=""),"",$T2211+(Y$2*$M2211))</f>
        <v/>
      </c>
      <c r="Z2211" s="49">
        <f>IF(OR($M2211="",$T2211=""),"",$T2211+(Z$2*$M2211))</f>
        <v/>
      </c>
      <c r="AA2211" s="51">
        <f>IF(OR($M2211="",$T2211=""),"",$T2211+(AA$2*$M2211))</f>
        <v/>
      </c>
      <c r="AB2211" s="48">
        <f>IF(OR($M2211="",$T2211=""),"",$T2211+(AB$2*$M2211))</f>
        <v/>
      </c>
      <c r="AC2211" s="48">
        <f>IF(OR($M2211="",$T2211=""),"",$T2211+(AC$2*$M2211))</f>
        <v/>
      </c>
      <c r="AD2211" s="48">
        <f>IF(OR($M2211="",$T2211=""),"",$T2211+(AD$2*$M2211))</f>
        <v/>
      </c>
      <c r="AE2211" s="49">
        <f>IF(OR($M2211="",$T2211=""),"",$T2211+(AE$2*$M2211))</f>
        <v/>
      </c>
      <c r="AF2211" s="52">
        <f>IF(OR(T2211="",I2211&lt;T2211),"",IFERROR(AVERAGE(T2211+M2211*{7,8,9,10,11})/IF(G2211="",I2211,G2211)-1,""))</f>
        <v/>
      </c>
      <c r="AG2211" s="55">
        <f>IF(OR(T2211="",I2211&lt;T2211),"",IFERROR(AF2211/-(R2211/IF(G2211="",I2211,G2211)-1),""))</f>
        <v/>
      </c>
      <c r="AH2211" s="94" t="n"/>
      <c r="AI2211" s="94" t="n"/>
      <c r="AJ2211" s="94" t="n"/>
      <c r="AK2211" s="94" t="n"/>
      <c r="AL2211" s="84" t="n"/>
    </row>
    <row r="2212">
      <c r="A2212" s="64" t="n"/>
      <c r="B2212" s="65" t="n"/>
      <c r="C2212" s="66" t="n"/>
      <c r="D2212" s="67" t="n"/>
      <c r="E2212" s="68" t="n"/>
      <c r="F2212" s="47">
        <f>IF(A2212="","",IF(MIN(H2212,MAX(J2212:K2212))=0,"",MIN(H2212,MAX(J2212:K2212))))</f>
        <v/>
      </c>
      <c r="G2212" s="74" t="n"/>
      <c r="H2212" s="49">
        <f>IF(M2212="","",IFERROR(ROUND(AVERAGE(T2212+M2212*{7,8,9,10,11})/1.21,4),""))</f>
        <v/>
      </c>
      <c r="I2212" s="76" t="n"/>
      <c r="J2212" s="77" t="n"/>
      <c r="K2212" s="74" t="n"/>
      <c r="L2212" s="78" t="n"/>
      <c r="M2212" s="77" t="n"/>
      <c r="N2212" s="53">
        <f>IF(M2212="","",IFERROR(M2212/I2212,""))</f>
        <v/>
      </c>
      <c r="O2212" s="50">
        <f>IF(A2212="","",IFERROR((IF(G2212="",I2212,G2212)-T2212)/M2212,""))</f>
        <v/>
      </c>
      <c r="P2212" s="50">
        <f>IFERROR((I2212/T2212-1)/N2212,"")</f>
        <v/>
      </c>
      <c r="Q2212" s="46">
        <f>IF(OR(T2212="",I2212&lt;T2212),"",IFERROR(R2212/IF(G2212="",I2212,G2212)-1,""))</f>
        <v/>
      </c>
      <c r="R2212" s="48">
        <f>IF($M2212="","",MAX(IF($G2212="",$I2212,$G2212)*(1/1.1),IF($G2212="",$I2212,$G2212)+(R$2*$M2212)))</f>
        <v/>
      </c>
      <c r="S2212" s="49">
        <f>IF($M2212="","",MAX(IF($G2212="",$I2212,$G2212)*(1/1.1),IF($G2212="",$I2212,$G2212)+(S$2*$M2212)))</f>
        <v/>
      </c>
      <c r="T2212" s="82" t="n"/>
      <c r="U2212" s="47">
        <f>IF(OR($M2212="",$T2212=""),"",$T2212+(U$2*$M2212))</f>
        <v/>
      </c>
      <c r="V2212" s="48">
        <f>IF(OR($M2212="",$T2212=""),"",$T2212+(V$2*$M2212))</f>
        <v/>
      </c>
      <c r="W2212" s="48">
        <f>IF(OR($M2212="",$T2212=""),"",$T2212+(W$2*$M2212))</f>
        <v/>
      </c>
      <c r="X2212" s="49">
        <f>IF(OR($M2212="",$T2212=""),"",$T2212+(X$2*$M2212))</f>
        <v/>
      </c>
      <c r="Y2212" s="47">
        <f>IF(OR($M2212="",$T2212=""),"",$T2212+(Y$2*$M2212))</f>
        <v/>
      </c>
      <c r="Z2212" s="49">
        <f>IF(OR($M2212="",$T2212=""),"",$T2212+(Z$2*$M2212))</f>
        <v/>
      </c>
      <c r="AA2212" s="51">
        <f>IF(OR($M2212="",$T2212=""),"",$T2212+(AA$2*$M2212))</f>
        <v/>
      </c>
      <c r="AB2212" s="48">
        <f>IF(OR($M2212="",$T2212=""),"",$T2212+(AB$2*$M2212))</f>
        <v/>
      </c>
      <c r="AC2212" s="48">
        <f>IF(OR($M2212="",$T2212=""),"",$T2212+(AC$2*$M2212))</f>
        <v/>
      </c>
      <c r="AD2212" s="48">
        <f>IF(OR($M2212="",$T2212=""),"",$T2212+(AD$2*$M2212))</f>
        <v/>
      </c>
      <c r="AE2212" s="49">
        <f>IF(OR($M2212="",$T2212=""),"",$T2212+(AE$2*$M2212))</f>
        <v/>
      </c>
      <c r="AF2212" s="52">
        <f>IF(OR(T2212="",I2212&lt;T2212),"",IFERROR(AVERAGE(T2212+M2212*{7,8,9,10,11})/IF(G2212="",I2212,G2212)-1,""))</f>
        <v/>
      </c>
      <c r="AG2212" s="55">
        <f>IF(OR(T2212="",I2212&lt;T2212),"",IFERROR(AF2212/-(R2212/IF(G2212="",I2212,G2212)-1),""))</f>
        <v/>
      </c>
      <c r="AH2212" s="94" t="n"/>
      <c r="AI2212" s="94" t="n"/>
      <c r="AJ2212" s="94" t="n"/>
      <c r="AK2212" s="94" t="n"/>
      <c r="AL2212" s="84" t="n"/>
    </row>
    <row r="2213">
      <c r="A2213" s="64" t="n"/>
      <c r="B2213" s="65" t="n"/>
      <c r="C2213" s="66" t="n"/>
      <c r="D2213" s="67" t="n"/>
      <c r="E2213" s="68" t="n"/>
      <c r="F2213" s="47">
        <f>IF(A2213="","",IF(MIN(H2213,MAX(J2213:K2213))=0,"",MIN(H2213,MAX(J2213:K2213))))</f>
        <v/>
      </c>
      <c r="G2213" s="74" t="n"/>
      <c r="H2213" s="49">
        <f>IF(M2213="","",IFERROR(ROUND(AVERAGE(T2213+M2213*{7,8,9,10,11})/1.21,4),""))</f>
        <v/>
      </c>
      <c r="I2213" s="76" t="n"/>
      <c r="J2213" s="77" t="n"/>
      <c r="K2213" s="74" t="n"/>
      <c r="L2213" s="78" t="n"/>
      <c r="M2213" s="77" t="n"/>
      <c r="N2213" s="53">
        <f>IF(M2213="","",IFERROR(M2213/I2213,""))</f>
        <v/>
      </c>
      <c r="O2213" s="50">
        <f>IF(A2213="","",IFERROR((IF(G2213="",I2213,G2213)-T2213)/M2213,""))</f>
        <v/>
      </c>
      <c r="P2213" s="50">
        <f>IFERROR((I2213/T2213-1)/N2213,"")</f>
        <v/>
      </c>
      <c r="Q2213" s="46">
        <f>IF(OR(T2213="",I2213&lt;T2213),"",IFERROR(R2213/IF(G2213="",I2213,G2213)-1,""))</f>
        <v/>
      </c>
      <c r="R2213" s="48">
        <f>IF($M2213="","",MAX(IF($G2213="",$I2213,$G2213)*(1/1.1),IF($G2213="",$I2213,$G2213)+(R$2*$M2213)))</f>
        <v/>
      </c>
      <c r="S2213" s="49">
        <f>IF($M2213="","",MAX(IF($G2213="",$I2213,$G2213)*(1/1.1),IF($G2213="",$I2213,$G2213)+(S$2*$M2213)))</f>
        <v/>
      </c>
      <c r="T2213" s="82" t="n"/>
      <c r="U2213" s="47">
        <f>IF(OR($M2213="",$T2213=""),"",$T2213+(U$2*$M2213))</f>
        <v/>
      </c>
      <c r="V2213" s="48">
        <f>IF(OR($M2213="",$T2213=""),"",$T2213+(V$2*$M2213))</f>
        <v/>
      </c>
      <c r="W2213" s="48">
        <f>IF(OR($M2213="",$T2213=""),"",$T2213+(W$2*$M2213))</f>
        <v/>
      </c>
      <c r="X2213" s="49">
        <f>IF(OR($M2213="",$T2213=""),"",$T2213+(X$2*$M2213))</f>
        <v/>
      </c>
      <c r="Y2213" s="47">
        <f>IF(OR($M2213="",$T2213=""),"",$T2213+(Y$2*$M2213))</f>
        <v/>
      </c>
      <c r="Z2213" s="49">
        <f>IF(OR($M2213="",$T2213=""),"",$T2213+(Z$2*$M2213))</f>
        <v/>
      </c>
      <c r="AA2213" s="51">
        <f>IF(OR($M2213="",$T2213=""),"",$T2213+(AA$2*$M2213))</f>
        <v/>
      </c>
      <c r="AB2213" s="48">
        <f>IF(OR($M2213="",$T2213=""),"",$T2213+(AB$2*$M2213))</f>
        <v/>
      </c>
      <c r="AC2213" s="48">
        <f>IF(OR($M2213="",$T2213=""),"",$T2213+(AC$2*$M2213))</f>
        <v/>
      </c>
      <c r="AD2213" s="48">
        <f>IF(OR($M2213="",$T2213=""),"",$T2213+(AD$2*$M2213))</f>
        <v/>
      </c>
      <c r="AE2213" s="49">
        <f>IF(OR($M2213="",$T2213=""),"",$T2213+(AE$2*$M2213))</f>
        <v/>
      </c>
      <c r="AF2213" s="52">
        <f>IF(OR(T2213="",I2213&lt;T2213),"",IFERROR(AVERAGE(T2213+M2213*{7,8,9,10,11})/IF(G2213="",I2213,G2213)-1,""))</f>
        <v/>
      </c>
      <c r="AG2213" s="55">
        <f>IF(OR(T2213="",I2213&lt;T2213),"",IFERROR(AF2213/-(R2213/IF(G2213="",I2213,G2213)-1),""))</f>
        <v/>
      </c>
      <c r="AH2213" s="94" t="n"/>
      <c r="AI2213" s="94" t="n"/>
      <c r="AJ2213" s="94" t="n"/>
      <c r="AK2213" s="94" t="n"/>
      <c r="AL2213" s="84" t="n"/>
    </row>
    <row r="2214">
      <c r="A2214" s="64" t="n"/>
      <c r="B2214" s="65" t="n"/>
      <c r="C2214" s="66" t="n"/>
      <c r="D2214" s="67" t="n"/>
      <c r="E2214" s="68" t="n"/>
      <c r="F2214" s="47">
        <f>IF(A2214="","",IF(MIN(H2214,MAX(J2214:K2214))=0,"",MIN(H2214,MAX(J2214:K2214))))</f>
        <v/>
      </c>
      <c r="G2214" s="74" t="n"/>
      <c r="H2214" s="49">
        <f>IF(M2214="","",IFERROR(ROUND(AVERAGE(T2214+M2214*{7,8,9,10,11})/1.21,4),""))</f>
        <v/>
      </c>
      <c r="I2214" s="76" t="n"/>
      <c r="J2214" s="77" t="n"/>
      <c r="K2214" s="74" t="n"/>
      <c r="L2214" s="78" t="n"/>
      <c r="M2214" s="77" t="n"/>
      <c r="N2214" s="53">
        <f>IF(M2214="","",IFERROR(M2214/I2214,""))</f>
        <v/>
      </c>
      <c r="O2214" s="50">
        <f>IF(A2214="","",IFERROR((IF(G2214="",I2214,G2214)-T2214)/M2214,""))</f>
        <v/>
      </c>
      <c r="P2214" s="50">
        <f>IFERROR((I2214/T2214-1)/N2214,"")</f>
        <v/>
      </c>
      <c r="Q2214" s="46">
        <f>IF(OR(T2214="",I2214&lt;T2214),"",IFERROR(R2214/IF(G2214="",I2214,G2214)-1,""))</f>
        <v/>
      </c>
      <c r="R2214" s="48">
        <f>IF($M2214="","",MAX(IF($G2214="",$I2214,$G2214)*(1/1.1),IF($G2214="",$I2214,$G2214)+(R$2*$M2214)))</f>
        <v/>
      </c>
      <c r="S2214" s="49">
        <f>IF($M2214="","",MAX(IF($G2214="",$I2214,$G2214)*(1/1.1),IF($G2214="",$I2214,$G2214)+(S$2*$M2214)))</f>
        <v/>
      </c>
      <c r="T2214" s="82" t="n"/>
      <c r="U2214" s="47">
        <f>IF(OR($M2214="",$T2214=""),"",$T2214+(U$2*$M2214))</f>
        <v/>
      </c>
      <c r="V2214" s="48">
        <f>IF(OR($M2214="",$T2214=""),"",$T2214+(V$2*$M2214))</f>
        <v/>
      </c>
      <c r="W2214" s="48">
        <f>IF(OR($M2214="",$T2214=""),"",$T2214+(W$2*$M2214))</f>
        <v/>
      </c>
      <c r="X2214" s="49">
        <f>IF(OR($M2214="",$T2214=""),"",$T2214+(X$2*$M2214))</f>
        <v/>
      </c>
      <c r="Y2214" s="47">
        <f>IF(OR($M2214="",$T2214=""),"",$T2214+(Y$2*$M2214))</f>
        <v/>
      </c>
      <c r="Z2214" s="49">
        <f>IF(OR($M2214="",$T2214=""),"",$T2214+(Z$2*$M2214))</f>
        <v/>
      </c>
      <c r="AA2214" s="51">
        <f>IF(OR($M2214="",$T2214=""),"",$T2214+(AA$2*$M2214))</f>
        <v/>
      </c>
      <c r="AB2214" s="48">
        <f>IF(OR($M2214="",$T2214=""),"",$T2214+(AB$2*$M2214))</f>
        <v/>
      </c>
      <c r="AC2214" s="48">
        <f>IF(OR($M2214="",$T2214=""),"",$T2214+(AC$2*$M2214))</f>
        <v/>
      </c>
      <c r="AD2214" s="48">
        <f>IF(OR($M2214="",$T2214=""),"",$T2214+(AD$2*$M2214))</f>
        <v/>
      </c>
      <c r="AE2214" s="49">
        <f>IF(OR($M2214="",$T2214=""),"",$T2214+(AE$2*$M2214))</f>
        <v/>
      </c>
      <c r="AF2214" s="52">
        <f>IF(OR(T2214="",I2214&lt;T2214),"",IFERROR(AVERAGE(T2214+M2214*{7,8,9,10,11})/IF(G2214="",I2214,G2214)-1,""))</f>
        <v/>
      </c>
      <c r="AG2214" s="55">
        <f>IF(OR(T2214="",I2214&lt;T2214),"",IFERROR(AF2214/-(R2214/IF(G2214="",I2214,G2214)-1),""))</f>
        <v/>
      </c>
      <c r="AH2214" s="94" t="n"/>
      <c r="AI2214" s="94" t="n"/>
      <c r="AJ2214" s="94" t="n"/>
      <c r="AK2214" s="94" t="n"/>
      <c r="AL2214" s="84" t="n"/>
    </row>
    <row r="2215">
      <c r="A2215" s="64" t="n"/>
      <c r="B2215" s="65" t="n"/>
      <c r="C2215" s="66" t="n"/>
      <c r="D2215" s="67" t="n"/>
      <c r="E2215" s="68" t="n"/>
      <c r="F2215" s="47">
        <f>IF(A2215="","",IF(MIN(H2215,MAX(J2215:K2215))=0,"",MIN(H2215,MAX(J2215:K2215))))</f>
        <v/>
      </c>
      <c r="G2215" s="74" t="n"/>
      <c r="H2215" s="49">
        <f>IF(M2215="","",IFERROR(ROUND(AVERAGE(T2215+M2215*{7,8,9,10,11})/1.21,4),""))</f>
        <v/>
      </c>
      <c r="I2215" s="76" t="n"/>
      <c r="J2215" s="77" t="n"/>
      <c r="K2215" s="74" t="n"/>
      <c r="L2215" s="78" t="n"/>
      <c r="M2215" s="77" t="n"/>
      <c r="N2215" s="53">
        <f>IF(M2215="","",IFERROR(M2215/I2215,""))</f>
        <v/>
      </c>
      <c r="O2215" s="50">
        <f>IF(A2215="","",IFERROR((IF(G2215="",I2215,G2215)-T2215)/M2215,""))</f>
        <v/>
      </c>
      <c r="P2215" s="50">
        <f>IFERROR((I2215/T2215-1)/N2215,"")</f>
        <v/>
      </c>
      <c r="Q2215" s="46">
        <f>IF(OR(T2215="",I2215&lt;T2215),"",IFERROR(R2215/IF(G2215="",I2215,G2215)-1,""))</f>
        <v/>
      </c>
      <c r="R2215" s="48">
        <f>IF($M2215="","",MAX(IF($G2215="",$I2215,$G2215)*(1/1.1),IF($G2215="",$I2215,$G2215)+(R$2*$M2215)))</f>
        <v/>
      </c>
      <c r="S2215" s="49">
        <f>IF($M2215="","",MAX(IF($G2215="",$I2215,$G2215)*(1/1.1),IF($G2215="",$I2215,$G2215)+(S$2*$M2215)))</f>
        <v/>
      </c>
      <c r="T2215" s="82" t="n"/>
      <c r="U2215" s="47">
        <f>IF(OR($M2215="",$T2215=""),"",$T2215+(U$2*$M2215))</f>
        <v/>
      </c>
      <c r="V2215" s="48">
        <f>IF(OR($M2215="",$T2215=""),"",$T2215+(V$2*$M2215))</f>
        <v/>
      </c>
      <c r="W2215" s="48">
        <f>IF(OR($M2215="",$T2215=""),"",$T2215+(W$2*$M2215))</f>
        <v/>
      </c>
      <c r="X2215" s="49">
        <f>IF(OR($M2215="",$T2215=""),"",$T2215+(X$2*$M2215))</f>
        <v/>
      </c>
      <c r="Y2215" s="47">
        <f>IF(OR($M2215="",$T2215=""),"",$T2215+(Y$2*$M2215))</f>
        <v/>
      </c>
      <c r="Z2215" s="49">
        <f>IF(OR($M2215="",$T2215=""),"",$T2215+(Z$2*$M2215))</f>
        <v/>
      </c>
      <c r="AA2215" s="51">
        <f>IF(OR($M2215="",$T2215=""),"",$T2215+(AA$2*$M2215))</f>
        <v/>
      </c>
      <c r="AB2215" s="48">
        <f>IF(OR($M2215="",$T2215=""),"",$T2215+(AB$2*$M2215))</f>
        <v/>
      </c>
      <c r="AC2215" s="48">
        <f>IF(OR($M2215="",$T2215=""),"",$T2215+(AC$2*$M2215))</f>
        <v/>
      </c>
      <c r="AD2215" s="48">
        <f>IF(OR($M2215="",$T2215=""),"",$T2215+(AD$2*$M2215))</f>
        <v/>
      </c>
      <c r="AE2215" s="49">
        <f>IF(OR($M2215="",$T2215=""),"",$T2215+(AE$2*$M2215))</f>
        <v/>
      </c>
      <c r="AF2215" s="52">
        <f>IF(OR(T2215="",I2215&lt;T2215),"",IFERROR(AVERAGE(T2215+M2215*{7,8,9,10,11})/IF(G2215="",I2215,G2215)-1,""))</f>
        <v/>
      </c>
      <c r="AG2215" s="55">
        <f>IF(OR(T2215="",I2215&lt;T2215),"",IFERROR(AF2215/-(R2215/IF(G2215="",I2215,G2215)-1),""))</f>
        <v/>
      </c>
      <c r="AH2215" s="94" t="n"/>
      <c r="AI2215" s="94" t="n"/>
      <c r="AJ2215" s="94" t="n"/>
      <c r="AK2215" s="94" t="n"/>
      <c r="AL2215" s="84" t="n"/>
    </row>
    <row r="2216">
      <c r="A2216" s="64" t="n"/>
      <c r="B2216" s="65" t="n"/>
      <c r="C2216" s="66" t="n"/>
      <c r="D2216" s="67" t="n"/>
      <c r="E2216" s="68" t="n"/>
      <c r="F2216" s="47">
        <f>IF(A2216="","",IF(MIN(H2216,MAX(J2216:K2216))=0,"",MIN(H2216,MAX(J2216:K2216))))</f>
        <v/>
      </c>
      <c r="G2216" s="74" t="n"/>
      <c r="H2216" s="49">
        <f>IF(M2216="","",IFERROR(ROUND(AVERAGE(T2216+M2216*{7,8,9,10,11})/1.21,4),""))</f>
        <v/>
      </c>
      <c r="I2216" s="76" t="n"/>
      <c r="J2216" s="77" t="n"/>
      <c r="K2216" s="74" t="n"/>
      <c r="L2216" s="78" t="n"/>
      <c r="M2216" s="77" t="n"/>
      <c r="N2216" s="53">
        <f>IF(M2216="","",IFERROR(M2216/I2216,""))</f>
        <v/>
      </c>
      <c r="O2216" s="50">
        <f>IF(A2216="","",IFERROR((IF(G2216="",I2216,G2216)-T2216)/M2216,""))</f>
        <v/>
      </c>
      <c r="P2216" s="50">
        <f>IFERROR((I2216/T2216-1)/N2216,"")</f>
        <v/>
      </c>
      <c r="Q2216" s="46">
        <f>IF(OR(T2216="",I2216&lt;T2216),"",IFERROR(R2216/IF(G2216="",I2216,G2216)-1,""))</f>
        <v/>
      </c>
      <c r="R2216" s="48">
        <f>IF($M2216="","",MAX(IF($G2216="",$I2216,$G2216)*(1/1.1),IF($G2216="",$I2216,$G2216)+(R$2*$M2216)))</f>
        <v/>
      </c>
      <c r="S2216" s="49">
        <f>IF($M2216="","",MAX(IF($G2216="",$I2216,$G2216)*(1/1.1),IF($G2216="",$I2216,$G2216)+(S$2*$M2216)))</f>
        <v/>
      </c>
      <c r="T2216" s="82" t="n"/>
      <c r="U2216" s="47">
        <f>IF(OR($M2216="",$T2216=""),"",$T2216+(U$2*$M2216))</f>
        <v/>
      </c>
      <c r="V2216" s="48">
        <f>IF(OR($M2216="",$T2216=""),"",$T2216+(V$2*$M2216))</f>
        <v/>
      </c>
      <c r="W2216" s="48">
        <f>IF(OR($M2216="",$T2216=""),"",$T2216+(W$2*$M2216))</f>
        <v/>
      </c>
      <c r="X2216" s="49">
        <f>IF(OR($M2216="",$T2216=""),"",$T2216+(X$2*$M2216))</f>
        <v/>
      </c>
      <c r="Y2216" s="47">
        <f>IF(OR($M2216="",$T2216=""),"",$T2216+(Y$2*$M2216))</f>
        <v/>
      </c>
      <c r="Z2216" s="49">
        <f>IF(OR($M2216="",$T2216=""),"",$T2216+(Z$2*$M2216))</f>
        <v/>
      </c>
      <c r="AA2216" s="51">
        <f>IF(OR($M2216="",$T2216=""),"",$T2216+(AA$2*$M2216))</f>
        <v/>
      </c>
      <c r="AB2216" s="48">
        <f>IF(OR($M2216="",$T2216=""),"",$T2216+(AB$2*$M2216))</f>
        <v/>
      </c>
      <c r="AC2216" s="48">
        <f>IF(OR($M2216="",$T2216=""),"",$T2216+(AC$2*$M2216))</f>
        <v/>
      </c>
      <c r="AD2216" s="48">
        <f>IF(OR($M2216="",$T2216=""),"",$T2216+(AD$2*$M2216))</f>
        <v/>
      </c>
      <c r="AE2216" s="49">
        <f>IF(OR($M2216="",$T2216=""),"",$T2216+(AE$2*$M2216))</f>
        <v/>
      </c>
      <c r="AF2216" s="52">
        <f>IF(OR(T2216="",I2216&lt;T2216),"",IFERROR(AVERAGE(T2216+M2216*{7,8,9,10,11})/IF(G2216="",I2216,G2216)-1,""))</f>
        <v/>
      </c>
      <c r="AG2216" s="55">
        <f>IF(OR(T2216="",I2216&lt;T2216),"",IFERROR(AF2216/-(R2216/IF(G2216="",I2216,G2216)-1),""))</f>
        <v/>
      </c>
      <c r="AH2216" s="94" t="n"/>
      <c r="AI2216" s="94" t="n"/>
      <c r="AJ2216" s="94" t="n"/>
      <c r="AK2216" s="94" t="n"/>
      <c r="AL2216" s="84" t="n"/>
    </row>
    <row r="2217">
      <c r="A2217" s="64" t="n"/>
      <c r="B2217" s="65" t="n"/>
      <c r="C2217" s="66" t="n"/>
      <c r="D2217" s="67" t="n"/>
      <c r="E2217" s="68" t="n"/>
      <c r="F2217" s="47">
        <f>IF(A2217="","",IF(MIN(H2217,MAX(J2217:K2217))=0,"",MIN(H2217,MAX(J2217:K2217))))</f>
        <v/>
      </c>
      <c r="G2217" s="74" t="n"/>
      <c r="H2217" s="49">
        <f>IF(M2217="","",IFERROR(ROUND(AVERAGE(T2217+M2217*{7,8,9,10,11})/1.21,4),""))</f>
        <v/>
      </c>
      <c r="I2217" s="76" t="n"/>
      <c r="J2217" s="77" t="n"/>
      <c r="K2217" s="74" t="n"/>
      <c r="L2217" s="78" t="n"/>
      <c r="M2217" s="77" t="n"/>
      <c r="N2217" s="53">
        <f>IF(M2217="","",IFERROR(M2217/I2217,""))</f>
        <v/>
      </c>
      <c r="O2217" s="50">
        <f>IF(A2217="","",IFERROR((IF(G2217="",I2217,G2217)-T2217)/M2217,""))</f>
        <v/>
      </c>
      <c r="P2217" s="50">
        <f>IFERROR((I2217/T2217-1)/N2217,"")</f>
        <v/>
      </c>
      <c r="Q2217" s="46">
        <f>IF(OR(T2217="",I2217&lt;T2217),"",IFERROR(R2217/IF(G2217="",I2217,G2217)-1,""))</f>
        <v/>
      </c>
      <c r="R2217" s="48">
        <f>IF($M2217="","",MAX(IF($G2217="",$I2217,$G2217)*(1/1.1),IF($G2217="",$I2217,$G2217)+(R$2*$M2217)))</f>
        <v/>
      </c>
      <c r="S2217" s="49">
        <f>IF($M2217="","",MAX(IF($G2217="",$I2217,$G2217)*(1/1.1),IF($G2217="",$I2217,$G2217)+(S$2*$M2217)))</f>
        <v/>
      </c>
      <c r="T2217" s="82" t="n"/>
      <c r="U2217" s="47">
        <f>IF(OR($M2217="",$T2217=""),"",$T2217+(U$2*$M2217))</f>
        <v/>
      </c>
      <c r="V2217" s="48">
        <f>IF(OR($M2217="",$T2217=""),"",$T2217+(V$2*$M2217))</f>
        <v/>
      </c>
      <c r="W2217" s="48">
        <f>IF(OR($M2217="",$T2217=""),"",$T2217+(W$2*$M2217))</f>
        <v/>
      </c>
      <c r="X2217" s="49">
        <f>IF(OR($M2217="",$T2217=""),"",$T2217+(X$2*$M2217))</f>
        <v/>
      </c>
      <c r="Y2217" s="47">
        <f>IF(OR($M2217="",$T2217=""),"",$T2217+(Y$2*$M2217))</f>
        <v/>
      </c>
      <c r="Z2217" s="49">
        <f>IF(OR($M2217="",$T2217=""),"",$T2217+(Z$2*$M2217))</f>
        <v/>
      </c>
      <c r="AA2217" s="51">
        <f>IF(OR($M2217="",$T2217=""),"",$T2217+(AA$2*$M2217))</f>
        <v/>
      </c>
      <c r="AB2217" s="48">
        <f>IF(OR($M2217="",$T2217=""),"",$T2217+(AB$2*$M2217))</f>
        <v/>
      </c>
      <c r="AC2217" s="48">
        <f>IF(OR($M2217="",$T2217=""),"",$T2217+(AC$2*$M2217))</f>
        <v/>
      </c>
      <c r="AD2217" s="48">
        <f>IF(OR($M2217="",$T2217=""),"",$T2217+(AD$2*$M2217))</f>
        <v/>
      </c>
      <c r="AE2217" s="49">
        <f>IF(OR($M2217="",$T2217=""),"",$T2217+(AE$2*$M2217))</f>
        <v/>
      </c>
      <c r="AF2217" s="52">
        <f>IF(OR(T2217="",I2217&lt;T2217),"",IFERROR(AVERAGE(T2217+M2217*{7,8,9,10,11})/IF(G2217="",I2217,G2217)-1,""))</f>
        <v/>
      </c>
      <c r="AG2217" s="55">
        <f>IF(OR(T2217="",I2217&lt;T2217),"",IFERROR(AF2217/-(R2217/IF(G2217="",I2217,G2217)-1),""))</f>
        <v/>
      </c>
      <c r="AH2217" s="94" t="n"/>
      <c r="AI2217" s="94" t="n"/>
      <c r="AJ2217" s="94" t="n"/>
      <c r="AK2217" s="94" t="n"/>
      <c r="AL2217" s="84" t="n"/>
    </row>
    <row r="2218">
      <c r="A2218" s="64" t="n"/>
      <c r="B2218" s="65" t="n"/>
      <c r="C2218" s="66" t="n"/>
      <c r="D2218" s="67" t="n"/>
      <c r="E2218" s="68" t="n"/>
      <c r="F2218" s="47">
        <f>IF(A2218="","",IF(MIN(H2218,MAX(J2218:K2218))=0,"",MIN(H2218,MAX(J2218:K2218))))</f>
        <v/>
      </c>
      <c r="G2218" s="74" t="n"/>
      <c r="H2218" s="49">
        <f>IF(M2218="","",IFERROR(ROUND(AVERAGE(T2218+M2218*{7,8,9,10,11})/1.21,4),""))</f>
        <v/>
      </c>
      <c r="I2218" s="76" t="n"/>
      <c r="J2218" s="77" t="n"/>
      <c r="K2218" s="74" t="n"/>
      <c r="L2218" s="78" t="n"/>
      <c r="M2218" s="77" t="n"/>
      <c r="N2218" s="53">
        <f>IF(M2218="","",IFERROR(M2218/I2218,""))</f>
        <v/>
      </c>
      <c r="O2218" s="50">
        <f>IF(A2218="","",IFERROR((IF(G2218="",I2218,G2218)-T2218)/M2218,""))</f>
        <v/>
      </c>
      <c r="P2218" s="50">
        <f>IFERROR((I2218/T2218-1)/N2218,"")</f>
        <v/>
      </c>
      <c r="Q2218" s="46">
        <f>IF(OR(T2218="",I2218&lt;T2218),"",IFERROR(R2218/IF(G2218="",I2218,G2218)-1,""))</f>
        <v/>
      </c>
      <c r="R2218" s="48">
        <f>IF($M2218="","",MAX(IF($G2218="",$I2218,$G2218)*(1/1.1),IF($G2218="",$I2218,$G2218)+(R$2*$M2218)))</f>
        <v/>
      </c>
      <c r="S2218" s="49">
        <f>IF($M2218="","",MAX(IF($G2218="",$I2218,$G2218)*(1/1.1),IF($G2218="",$I2218,$G2218)+(S$2*$M2218)))</f>
        <v/>
      </c>
      <c r="T2218" s="82" t="n"/>
      <c r="U2218" s="47">
        <f>IF(OR($M2218="",$T2218=""),"",$T2218+(U$2*$M2218))</f>
        <v/>
      </c>
      <c r="V2218" s="48">
        <f>IF(OR($M2218="",$T2218=""),"",$T2218+(V$2*$M2218))</f>
        <v/>
      </c>
      <c r="W2218" s="48">
        <f>IF(OR($M2218="",$T2218=""),"",$T2218+(W$2*$M2218))</f>
        <v/>
      </c>
      <c r="X2218" s="49">
        <f>IF(OR($M2218="",$T2218=""),"",$T2218+(X$2*$M2218))</f>
        <v/>
      </c>
      <c r="Y2218" s="47">
        <f>IF(OR($M2218="",$T2218=""),"",$T2218+(Y$2*$M2218))</f>
        <v/>
      </c>
      <c r="Z2218" s="49">
        <f>IF(OR($M2218="",$T2218=""),"",$T2218+(Z$2*$M2218))</f>
        <v/>
      </c>
      <c r="AA2218" s="51">
        <f>IF(OR($M2218="",$T2218=""),"",$T2218+(AA$2*$M2218))</f>
        <v/>
      </c>
      <c r="AB2218" s="48">
        <f>IF(OR($M2218="",$T2218=""),"",$T2218+(AB$2*$M2218))</f>
        <v/>
      </c>
      <c r="AC2218" s="48">
        <f>IF(OR($M2218="",$T2218=""),"",$T2218+(AC$2*$M2218))</f>
        <v/>
      </c>
      <c r="AD2218" s="48">
        <f>IF(OR($M2218="",$T2218=""),"",$T2218+(AD$2*$M2218))</f>
        <v/>
      </c>
      <c r="AE2218" s="49">
        <f>IF(OR($M2218="",$T2218=""),"",$T2218+(AE$2*$M2218))</f>
        <v/>
      </c>
      <c r="AF2218" s="52">
        <f>IF(OR(T2218="",I2218&lt;T2218),"",IFERROR(AVERAGE(T2218+M2218*{7,8,9,10,11})/IF(G2218="",I2218,G2218)-1,""))</f>
        <v/>
      </c>
      <c r="AG2218" s="55">
        <f>IF(OR(T2218="",I2218&lt;T2218),"",IFERROR(AF2218/-(R2218/IF(G2218="",I2218,G2218)-1),""))</f>
        <v/>
      </c>
      <c r="AH2218" s="94" t="n"/>
      <c r="AI2218" s="94" t="n"/>
      <c r="AJ2218" s="94" t="n"/>
      <c r="AK2218" s="94" t="n"/>
      <c r="AL2218" s="84" t="n"/>
    </row>
    <row r="2219">
      <c r="A2219" s="64" t="n"/>
      <c r="B2219" s="65" t="n"/>
      <c r="C2219" s="66" t="n"/>
      <c r="D2219" s="67" t="n"/>
      <c r="E2219" s="68" t="n"/>
      <c r="F2219" s="47">
        <f>IF(A2219="","",IF(MIN(H2219,MAX(J2219:K2219))=0,"",MIN(H2219,MAX(J2219:K2219))))</f>
        <v/>
      </c>
      <c r="G2219" s="74" t="n"/>
      <c r="H2219" s="49">
        <f>IF(M2219="","",IFERROR(ROUND(AVERAGE(T2219+M2219*{7,8,9,10,11})/1.21,4),""))</f>
        <v/>
      </c>
      <c r="I2219" s="76" t="n"/>
      <c r="J2219" s="77" t="n"/>
      <c r="K2219" s="74" t="n"/>
      <c r="L2219" s="78" t="n"/>
      <c r="M2219" s="77" t="n"/>
      <c r="N2219" s="53">
        <f>IF(M2219="","",IFERROR(M2219/I2219,""))</f>
        <v/>
      </c>
      <c r="O2219" s="50">
        <f>IF(A2219="","",IFERROR((IF(G2219="",I2219,G2219)-T2219)/M2219,""))</f>
        <v/>
      </c>
      <c r="P2219" s="50">
        <f>IFERROR((I2219/T2219-1)/N2219,"")</f>
        <v/>
      </c>
      <c r="Q2219" s="46">
        <f>IF(OR(T2219="",I2219&lt;T2219),"",IFERROR(R2219/IF(G2219="",I2219,G2219)-1,""))</f>
        <v/>
      </c>
      <c r="R2219" s="48">
        <f>IF($M2219="","",MAX(IF($G2219="",$I2219,$G2219)*(1/1.1),IF($G2219="",$I2219,$G2219)+(R$2*$M2219)))</f>
        <v/>
      </c>
      <c r="S2219" s="49">
        <f>IF($M2219="","",MAX(IF($G2219="",$I2219,$G2219)*(1/1.1),IF($G2219="",$I2219,$G2219)+(S$2*$M2219)))</f>
        <v/>
      </c>
      <c r="T2219" s="82" t="n"/>
      <c r="U2219" s="47">
        <f>IF(OR($M2219="",$T2219=""),"",$T2219+(U$2*$M2219))</f>
        <v/>
      </c>
      <c r="V2219" s="48">
        <f>IF(OR($M2219="",$T2219=""),"",$T2219+(V$2*$M2219))</f>
        <v/>
      </c>
      <c r="W2219" s="48">
        <f>IF(OR($M2219="",$T2219=""),"",$T2219+(W$2*$M2219))</f>
        <v/>
      </c>
      <c r="X2219" s="49">
        <f>IF(OR($M2219="",$T2219=""),"",$T2219+(X$2*$M2219))</f>
        <v/>
      </c>
      <c r="Y2219" s="47">
        <f>IF(OR($M2219="",$T2219=""),"",$T2219+(Y$2*$M2219))</f>
        <v/>
      </c>
      <c r="Z2219" s="49">
        <f>IF(OR($M2219="",$T2219=""),"",$T2219+(Z$2*$M2219))</f>
        <v/>
      </c>
      <c r="AA2219" s="51">
        <f>IF(OR($M2219="",$T2219=""),"",$T2219+(AA$2*$M2219))</f>
        <v/>
      </c>
      <c r="AB2219" s="48">
        <f>IF(OR($M2219="",$T2219=""),"",$T2219+(AB$2*$M2219))</f>
        <v/>
      </c>
      <c r="AC2219" s="48">
        <f>IF(OR($M2219="",$T2219=""),"",$T2219+(AC$2*$M2219))</f>
        <v/>
      </c>
      <c r="AD2219" s="48">
        <f>IF(OR($M2219="",$T2219=""),"",$T2219+(AD$2*$M2219))</f>
        <v/>
      </c>
      <c r="AE2219" s="49">
        <f>IF(OR($M2219="",$T2219=""),"",$T2219+(AE$2*$M2219))</f>
        <v/>
      </c>
      <c r="AF2219" s="52">
        <f>IF(OR(T2219="",I2219&lt;T2219),"",IFERROR(AVERAGE(T2219+M2219*{7,8,9,10,11})/IF(G2219="",I2219,G2219)-1,""))</f>
        <v/>
      </c>
      <c r="AG2219" s="55">
        <f>IF(OR(T2219="",I2219&lt;T2219),"",IFERROR(AF2219/-(R2219/IF(G2219="",I2219,G2219)-1),""))</f>
        <v/>
      </c>
      <c r="AH2219" s="94" t="n"/>
      <c r="AI2219" s="94" t="n"/>
      <c r="AJ2219" s="94" t="n"/>
      <c r="AK2219" s="94" t="n"/>
      <c r="AL2219" s="84" t="n"/>
    </row>
    <row r="2220">
      <c r="A2220" s="64" t="n"/>
      <c r="B2220" s="65" t="n"/>
      <c r="C2220" s="66" t="n"/>
      <c r="D2220" s="67" t="n"/>
      <c r="E2220" s="68" t="n"/>
      <c r="F2220" s="47">
        <f>IF(A2220="","",IF(MIN(H2220,MAX(J2220:K2220))=0,"",MIN(H2220,MAX(J2220:K2220))))</f>
        <v/>
      </c>
      <c r="G2220" s="74" t="n"/>
      <c r="H2220" s="49">
        <f>IF(M2220="","",IFERROR(ROUND(AVERAGE(T2220+M2220*{7,8,9,10,11})/1.21,4),""))</f>
        <v/>
      </c>
      <c r="I2220" s="76" t="n"/>
      <c r="J2220" s="77" t="n"/>
      <c r="K2220" s="74" t="n"/>
      <c r="L2220" s="78" t="n"/>
      <c r="M2220" s="77" t="n"/>
      <c r="N2220" s="53">
        <f>IF(M2220="","",IFERROR(M2220/I2220,""))</f>
        <v/>
      </c>
      <c r="O2220" s="50">
        <f>IF(A2220="","",IFERROR((IF(G2220="",I2220,G2220)-T2220)/M2220,""))</f>
        <v/>
      </c>
      <c r="P2220" s="50">
        <f>IFERROR((I2220/T2220-1)/N2220,"")</f>
        <v/>
      </c>
      <c r="Q2220" s="46">
        <f>IF(OR(T2220="",I2220&lt;T2220),"",IFERROR(R2220/IF(G2220="",I2220,G2220)-1,""))</f>
        <v/>
      </c>
      <c r="R2220" s="48">
        <f>IF($M2220="","",MAX(IF($G2220="",$I2220,$G2220)*(1/1.1),IF($G2220="",$I2220,$G2220)+(R$2*$M2220)))</f>
        <v/>
      </c>
      <c r="S2220" s="49">
        <f>IF($M2220="","",MAX(IF($G2220="",$I2220,$G2220)*(1/1.1),IF($G2220="",$I2220,$G2220)+(S$2*$M2220)))</f>
        <v/>
      </c>
      <c r="T2220" s="82" t="n"/>
      <c r="U2220" s="47">
        <f>IF(OR($M2220="",$T2220=""),"",$T2220+(U$2*$M2220))</f>
        <v/>
      </c>
      <c r="V2220" s="48">
        <f>IF(OR($M2220="",$T2220=""),"",$T2220+(V$2*$M2220))</f>
        <v/>
      </c>
      <c r="W2220" s="48">
        <f>IF(OR($M2220="",$T2220=""),"",$T2220+(W$2*$M2220))</f>
        <v/>
      </c>
      <c r="X2220" s="49">
        <f>IF(OR($M2220="",$T2220=""),"",$T2220+(X$2*$M2220))</f>
        <v/>
      </c>
      <c r="Y2220" s="47">
        <f>IF(OR($M2220="",$T2220=""),"",$T2220+(Y$2*$M2220))</f>
        <v/>
      </c>
      <c r="Z2220" s="49">
        <f>IF(OR($M2220="",$T2220=""),"",$T2220+(Z$2*$M2220))</f>
        <v/>
      </c>
      <c r="AA2220" s="51">
        <f>IF(OR($M2220="",$T2220=""),"",$T2220+(AA$2*$M2220))</f>
        <v/>
      </c>
      <c r="AB2220" s="48">
        <f>IF(OR($M2220="",$T2220=""),"",$T2220+(AB$2*$M2220))</f>
        <v/>
      </c>
      <c r="AC2220" s="48">
        <f>IF(OR($M2220="",$T2220=""),"",$T2220+(AC$2*$M2220))</f>
        <v/>
      </c>
      <c r="AD2220" s="48">
        <f>IF(OR($M2220="",$T2220=""),"",$T2220+(AD$2*$M2220))</f>
        <v/>
      </c>
      <c r="AE2220" s="49">
        <f>IF(OR($M2220="",$T2220=""),"",$T2220+(AE$2*$M2220))</f>
        <v/>
      </c>
      <c r="AF2220" s="52">
        <f>IF(OR(T2220="",I2220&lt;T2220),"",IFERROR(AVERAGE(T2220+M2220*{7,8,9,10,11})/IF(G2220="",I2220,G2220)-1,""))</f>
        <v/>
      </c>
      <c r="AG2220" s="55">
        <f>IF(OR(T2220="",I2220&lt;T2220),"",IFERROR(AF2220/-(R2220/IF(G2220="",I2220,G2220)-1),""))</f>
        <v/>
      </c>
      <c r="AH2220" s="94" t="n"/>
      <c r="AI2220" s="94" t="n"/>
      <c r="AJ2220" s="94" t="n"/>
      <c r="AK2220" s="94" t="n"/>
      <c r="AL2220" s="84" t="n"/>
    </row>
    <row r="2221">
      <c r="A2221" s="64" t="n"/>
      <c r="B2221" s="65" t="n"/>
      <c r="C2221" s="66" t="n"/>
      <c r="D2221" s="67" t="n"/>
      <c r="E2221" s="68" t="n"/>
      <c r="F2221" s="47">
        <f>IF(A2221="","",IF(MIN(H2221,MAX(J2221:K2221))=0,"",MIN(H2221,MAX(J2221:K2221))))</f>
        <v/>
      </c>
      <c r="G2221" s="74" t="n"/>
      <c r="H2221" s="49">
        <f>IF(M2221="","",IFERROR(ROUND(AVERAGE(T2221+M2221*{7,8,9,10,11})/1.21,4),""))</f>
        <v/>
      </c>
      <c r="I2221" s="76" t="n"/>
      <c r="J2221" s="77" t="n"/>
      <c r="K2221" s="74" t="n"/>
      <c r="L2221" s="78" t="n"/>
      <c r="M2221" s="77" t="n"/>
      <c r="N2221" s="53">
        <f>IF(M2221="","",IFERROR(M2221/I2221,""))</f>
        <v/>
      </c>
      <c r="O2221" s="50">
        <f>IF(A2221="","",IFERROR((IF(G2221="",I2221,G2221)-T2221)/M2221,""))</f>
        <v/>
      </c>
      <c r="P2221" s="50">
        <f>IFERROR((I2221/T2221-1)/N2221,"")</f>
        <v/>
      </c>
      <c r="Q2221" s="46">
        <f>IF(OR(T2221="",I2221&lt;T2221),"",IFERROR(R2221/IF(G2221="",I2221,G2221)-1,""))</f>
        <v/>
      </c>
      <c r="R2221" s="48">
        <f>IF($M2221="","",MAX(IF($G2221="",$I2221,$G2221)*(1/1.1),IF($G2221="",$I2221,$G2221)+(R$2*$M2221)))</f>
        <v/>
      </c>
      <c r="S2221" s="49">
        <f>IF($M2221="","",MAX(IF($G2221="",$I2221,$G2221)*(1/1.1),IF($G2221="",$I2221,$G2221)+(S$2*$M2221)))</f>
        <v/>
      </c>
      <c r="T2221" s="82" t="n"/>
      <c r="U2221" s="47">
        <f>IF(OR($M2221="",$T2221=""),"",$T2221+(U$2*$M2221))</f>
        <v/>
      </c>
      <c r="V2221" s="48">
        <f>IF(OR($M2221="",$T2221=""),"",$T2221+(V$2*$M2221))</f>
        <v/>
      </c>
      <c r="W2221" s="48">
        <f>IF(OR($M2221="",$T2221=""),"",$T2221+(W$2*$M2221))</f>
        <v/>
      </c>
      <c r="X2221" s="49">
        <f>IF(OR($M2221="",$T2221=""),"",$T2221+(X$2*$M2221))</f>
        <v/>
      </c>
      <c r="Y2221" s="47">
        <f>IF(OR($M2221="",$T2221=""),"",$T2221+(Y$2*$M2221))</f>
        <v/>
      </c>
      <c r="Z2221" s="49">
        <f>IF(OR($M2221="",$T2221=""),"",$T2221+(Z$2*$M2221))</f>
        <v/>
      </c>
      <c r="AA2221" s="51">
        <f>IF(OR($M2221="",$T2221=""),"",$T2221+(AA$2*$M2221))</f>
        <v/>
      </c>
      <c r="AB2221" s="48">
        <f>IF(OR($M2221="",$T2221=""),"",$T2221+(AB$2*$M2221))</f>
        <v/>
      </c>
      <c r="AC2221" s="48">
        <f>IF(OR($M2221="",$T2221=""),"",$T2221+(AC$2*$M2221))</f>
        <v/>
      </c>
      <c r="AD2221" s="48">
        <f>IF(OR($M2221="",$T2221=""),"",$T2221+(AD$2*$M2221))</f>
        <v/>
      </c>
      <c r="AE2221" s="49">
        <f>IF(OR($M2221="",$T2221=""),"",$T2221+(AE$2*$M2221))</f>
        <v/>
      </c>
      <c r="AF2221" s="52">
        <f>IF(OR(T2221="",I2221&lt;T2221),"",IFERROR(AVERAGE(T2221+M2221*{7,8,9,10,11})/IF(G2221="",I2221,G2221)-1,""))</f>
        <v/>
      </c>
      <c r="AG2221" s="55">
        <f>IF(OR(T2221="",I2221&lt;T2221),"",IFERROR(AF2221/-(R2221/IF(G2221="",I2221,G2221)-1),""))</f>
        <v/>
      </c>
      <c r="AH2221" s="94" t="n"/>
      <c r="AI2221" s="94" t="n"/>
      <c r="AJ2221" s="94" t="n"/>
      <c r="AK2221" s="94" t="n"/>
      <c r="AL2221" s="84" t="n"/>
    </row>
    <row r="2222">
      <c r="A2222" s="64" t="n"/>
      <c r="B2222" s="65" t="n"/>
      <c r="C2222" s="66" t="n"/>
      <c r="D2222" s="67" t="n"/>
      <c r="E2222" s="68" t="n"/>
      <c r="F2222" s="47">
        <f>IF(A2222="","",IF(MIN(H2222,MAX(J2222:K2222))=0,"",MIN(H2222,MAX(J2222:K2222))))</f>
        <v/>
      </c>
      <c r="G2222" s="74" t="n"/>
      <c r="H2222" s="49">
        <f>IF(M2222="","",IFERROR(ROUND(AVERAGE(T2222+M2222*{7,8,9,10,11})/1.21,4),""))</f>
        <v/>
      </c>
      <c r="I2222" s="76" t="n"/>
      <c r="J2222" s="77" t="n"/>
      <c r="K2222" s="74" t="n"/>
      <c r="L2222" s="78" t="n"/>
      <c r="M2222" s="77" t="n"/>
      <c r="N2222" s="53">
        <f>IF(M2222="","",IFERROR(M2222/I2222,""))</f>
        <v/>
      </c>
      <c r="O2222" s="50">
        <f>IF(A2222="","",IFERROR((IF(G2222="",I2222,G2222)-T2222)/M2222,""))</f>
        <v/>
      </c>
      <c r="P2222" s="50">
        <f>IFERROR((I2222/T2222-1)/N2222,"")</f>
        <v/>
      </c>
      <c r="Q2222" s="46">
        <f>IF(OR(T2222="",I2222&lt;T2222),"",IFERROR(R2222/IF(G2222="",I2222,G2222)-1,""))</f>
        <v/>
      </c>
      <c r="R2222" s="48">
        <f>IF($M2222="","",MAX(IF($G2222="",$I2222,$G2222)*(1/1.1),IF($G2222="",$I2222,$G2222)+(R$2*$M2222)))</f>
        <v/>
      </c>
      <c r="S2222" s="49">
        <f>IF($M2222="","",MAX(IF($G2222="",$I2222,$G2222)*(1/1.1),IF($G2222="",$I2222,$G2222)+(S$2*$M2222)))</f>
        <v/>
      </c>
      <c r="T2222" s="82" t="n"/>
      <c r="U2222" s="47">
        <f>IF(OR($M2222="",$T2222=""),"",$T2222+(U$2*$M2222))</f>
        <v/>
      </c>
      <c r="V2222" s="48">
        <f>IF(OR($M2222="",$T2222=""),"",$T2222+(V$2*$M2222))</f>
        <v/>
      </c>
      <c r="W2222" s="48">
        <f>IF(OR($M2222="",$T2222=""),"",$T2222+(W$2*$M2222))</f>
        <v/>
      </c>
      <c r="X2222" s="49">
        <f>IF(OR($M2222="",$T2222=""),"",$T2222+(X$2*$M2222))</f>
        <v/>
      </c>
      <c r="Y2222" s="47">
        <f>IF(OR($M2222="",$T2222=""),"",$T2222+(Y$2*$M2222))</f>
        <v/>
      </c>
      <c r="Z2222" s="49">
        <f>IF(OR($M2222="",$T2222=""),"",$T2222+(Z$2*$M2222))</f>
        <v/>
      </c>
      <c r="AA2222" s="51">
        <f>IF(OR($M2222="",$T2222=""),"",$T2222+(AA$2*$M2222))</f>
        <v/>
      </c>
      <c r="AB2222" s="48">
        <f>IF(OR($M2222="",$T2222=""),"",$T2222+(AB$2*$M2222))</f>
        <v/>
      </c>
      <c r="AC2222" s="48">
        <f>IF(OR($M2222="",$T2222=""),"",$T2222+(AC$2*$M2222))</f>
        <v/>
      </c>
      <c r="AD2222" s="48">
        <f>IF(OR($M2222="",$T2222=""),"",$T2222+(AD$2*$M2222))</f>
        <v/>
      </c>
      <c r="AE2222" s="49">
        <f>IF(OR($M2222="",$T2222=""),"",$T2222+(AE$2*$M2222))</f>
        <v/>
      </c>
      <c r="AF2222" s="52">
        <f>IF(OR(T2222="",I2222&lt;T2222),"",IFERROR(AVERAGE(T2222+M2222*{7,8,9,10,11})/IF(G2222="",I2222,G2222)-1,""))</f>
        <v/>
      </c>
      <c r="AG2222" s="55">
        <f>IF(OR(T2222="",I2222&lt;T2222),"",IFERROR(AF2222/-(R2222/IF(G2222="",I2222,G2222)-1),""))</f>
        <v/>
      </c>
      <c r="AH2222" s="94" t="n"/>
      <c r="AI2222" s="94" t="n"/>
      <c r="AJ2222" s="94" t="n"/>
      <c r="AK2222" s="94" t="n"/>
      <c r="AL2222" s="84" t="n"/>
    </row>
    <row r="2223">
      <c r="A2223" s="64" t="n"/>
      <c r="B2223" s="65" t="n"/>
      <c r="C2223" s="66" t="n"/>
      <c r="D2223" s="67" t="n"/>
      <c r="E2223" s="68" t="n"/>
      <c r="F2223" s="47">
        <f>IF(A2223="","",IF(MIN(H2223,MAX(J2223:K2223))=0,"",MIN(H2223,MAX(J2223:K2223))))</f>
        <v/>
      </c>
      <c r="G2223" s="74" t="n"/>
      <c r="H2223" s="49">
        <f>IF(M2223="","",IFERROR(ROUND(AVERAGE(T2223+M2223*{7,8,9,10,11})/1.21,4),""))</f>
        <v/>
      </c>
      <c r="I2223" s="76" t="n"/>
      <c r="J2223" s="77" t="n"/>
      <c r="K2223" s="74" t="n"/>
      <c r="L2223" s="78" t="n"/>
      <c r="M2223" s="77" t="n"/>
      <c r="N2223" s="53">
        <f>IF(M2223="","",IFERROR(M2223/I2223,""))</f>
        <v/>
      </c>
      <c r="O2223" s="50">
        <f>IF(A2223="","",IFERROR((IF(G2223="",I2223,G2223)-T2223)/M2223,""))</f>
        <v/>
      </c>
      <c r="P2223" s="50">
        <f>IFERROR((I2223/T2223-1)/N2223,"")</f>
        <v/>
      </c>
      <c r="Q2223" s="46">
        <f>IF(OR(T2223="",I2223&lt;T2223),"",IFERROR(R2223/IF(G2223="",I2223,G2223)-1,""))</f>
        <v/>
      </c>
      <c r="R2223" s="48">
        <f>IF($M2223="","",MAX(IF($G2223="",$I2223,$G2223)*(1/1.1),IF($G2223="",$I2223,$G2223)+(R$2*$M2223)))</f>
        <v/>
      </c>
      <c r="S2223" s="49">
        <f>IF($M2223="","",MAX(IF($G2223="",$I2223,$G2223)*(1/1.1),IF($G2223="",$I2223,$G2223)+(S$2*$M2223)))</f>
        <v/>
      </c>
      <c r="T2223" s="82" t="n"/>
      <c r="U2223" s="47">
        <f>IF(OR($M2223="",$T2223=""),"",$T2223+(U$2*$M2223))</f>
        <v/>
      </c>
      <c r="V2223" s="48">
        <f>IF(OR($M2223="",$T2223=""),"",$T2223+(V$2*$M2223))</f>
        <v/>
      </c>
      <c r="W2223" s="48">
        <f>IF(OR($M2223="",$T2223=""),"",$T2223+(W$2*$M2223))</f>
        <v/>
      </c>
      <c r="X2223" s="49">
        <f>IF(OR($M2223="",$T2223=""),"",$T2223+(X$2*$M2223))</f>
        <v/>
      </c>
      <c r="Y2223" s="47">
        <f>IF(OR($M2223="",$T2223=""),"",$T2223+(Y$2*$M2223))</f>
        <v/>
      </c>
      <c r="Z2223" s="49">
        <f>IF(OR($M2223="",$T2223=""),"",$T2223+(Z$2*$M2223))</f>
        <v/>
      </c>
      <c r="AA2223" s="51">
        <f>IF(OR($M2223="",$T2223=""),"",$T2223+(AA$2*$M2223))</f>
        <v/>
      </c>
      <c r="AB2223" s="48">
        <f>IF(OR($M2223="",$T2223=""),"",$T2223+(AB$2*$M2223))</f>
        <v/>
      </c>
      <c r="AC2223" s="48">
        <f>IF(OR($M2223="",$T2223=""),"",$T2223+(AC$2*$M2223))</f>
        <v/>
      </c>
      <c r="AD2223" s="48">
        <f>IF(OR($M2223="",$T2223=""),"",$T2223+(AD$2*$M2223))</f>
        <v/>
      </c>
      <c r="AE2223" s="49">
        <f>IF(OR($M2223="",$T2223=""),"",$T2223+(AE$2*$M2223))</f>
        <v/>
      </c>
      <c r="AF2223" s="52">
        <f>IF(OR(T2223="",I2223&lt;T2223),"",IFERROR(AVERAGE(T2223+M2223*{7,8,9,10,11})/IF(G2223="",I2223,G2223)-1,""))</f>
        <v/>
      </c>
      <c r="AG2223" s="55">
        <f>IF(OR(T2223="",I2223&lt;T2223),"",IFERROR(AF2223/-(R2223/IF(G2223="",I2223,G2223)-1),""))</f>
        <v/>
      </c>
      <c r="AH2223" s="94" t="n"/>
      <c r="AI2223" s="94" t="n"/>
      <c r="AJ2223" s="94" t="n"/>
      <c r="AK2223" s="94" t="n"/>
      <c r="AL2223" s="84" t="n"/>
    </row>
    <row r="2224">
      <c r="A2224" s="64" t="n"/>
      <c r="B2224" s="65" t="n"/>
      <c r="C2224" s="66" t="n"/>
      <c r="D2224" s="67" t="n"/>
      <c r="E2224" s="68" t="n"/>
      <c r="F2224" s="47">
        <f>IF(A2224="","",IF(MIN(H2224,MAX(J2224:K2224))=0,"",MIN(H2224,MAX(J2224:K2224))))</f>
        <v/>
      </c>
      <c r="G2224" s="74" t="n"/>
      <c r="H2224" s="49">
        <f>IF(M2224="","",IFERROR(ROUND(AVERAGE(T2224+M2224*{7,8,9,10,11})/1.21,4),""))</f>
        <v/>
      </c>
      <c r="I2224" s="76" t="n"/>
      <c r="J2224" s="77" t="n"/>
      <c r="K2224" s="74" t="n"/>
      <c r="L2224" s="78" t="n"/>
      <c r="M2224" s="77" t="n"/>
      <c r="N2224" s="53">
        <f>IF(M2224="","",IFERROR(M2224/I2224,""))</f>
        <v/>
      </c>
      <c r="O2224" s="50">
        <f>IF(A2224="","",IFERROR((IF(G2224="",I2224,G2224)-T2224)/M2224,""))</f>
        <v/>
      </c>
      <c r="P2224" s="50">
        <f>IFERROR((I2224/T2224-1)/N2224,"")</f>
        <v/>
      </c>
      <c r="Q2224" s="46">
        <f>IF(OR(T2224="",I2224&lt;T2224),"",IFERROR(R2224/IF(G2224="",I2224,G2224)-1,""))</f>
        <v/>
      </c>
      <c r="R2224" s="48">
        <f>IF($M2224="","",MAX(IF($G2224="",$I2224,$G2224)*(1/1.1),IF($G2224="",$I2224,$G2224)+(R$2*$M2224)))</f>
        <v/>
      </c>
      <c r="S2224" s="49">
        <f>IF($M2224="","",MAX(IF($G2224="",$I2224,$G2224)*(1/1.1),IF($G2224="",$I2224,$G2224)+(S$2*$M2224)))</f>
        <v/>
      </c>
      <c r="T2224" s="82" t="n"/>
      <c r="U2224" s="47">
        <f>IF(OR($M2224="",$T2224=""),"",$T2224+(U$2*$M2224))</f>
        <v/>
      </c>
      <c r="V2224" s="48">
        <f>IF(OR($M2224="",$T2224=""),"",$T2224+(V$2*$M2224))</f>
        <v/>
      </c>
      <c r="W2224" s="48">
        <f>IF(OR($M2224="",$T2224=""),"",$T2224+(W$2*$M2224))</f>
        <v/>
      </c>
      <c r="X2224" s="49">
        <f>IF(OR($M2224="",$T2224=""),"",$T2224+(X$2*$M2224))</f>
        <v/>
      </c>
      <c r="Y2224" s="47">
        <f>IF(OR($M2224="",$T2224=""),"",$T2224+(Y$2*$M2224))</f>
        <v/>
      </c>
      <c r="Z2224" s="49">
        <f>IF(OR($M2224="",$T2224=""),"",$T2224+(Z$2*$M2224))</f>
        <v/>
      </c>
      <c r="AA2224" s="51">
        <f>IF(OR($M2224="",$T2224=""),"",$T2224+(AA$2*$M2224))</f>
        <v/>
      </c>
      <c r="AB2224" s="48">
        <f>IF(OR($M2224="",$T2224=""),"",$T2224+(AB$2*$M2224))</f>
        <v/>
      </c>
      <c r="AC2224" s="48">
        <f>IF(OR($M2224="",$T2224=""),"",$T2224+(AC$2*$M2224))</f>
        <v/>
      </c>
      <c r="AD2224" s="48">
        <f>IF(OR($M2224="",$T2224=""),"",$T2224+(AD$2*$M2224))</f>
        <v/>
      </c>
      <c r="AE2224" s="49">
        <f>IF(OR($M2224="",$T2224=""),"",$T2224+(AE$2*$M2224))</f>
        <v/>
      </c>
      <c r="AF2224" s="52">
        <f>IF(OR(T2224="",I2224&lt;T2224),"",IFERROR(AVERAGE(T2224+M2224*{7,8,9,10,11})/IF(G2224="",I2224,G2224)-1,""))</f>
        <v/>
      </c>
      <c r="AG2224" s="55">
        <f>IF(OR(T2224="",I2224&lt;T2224),"",IFERROR(AF2224/-(R2224/IF(G2224="",I2224,G2224)-1),""))</f>
        <v/>
      </c>
      <c r="AH2224" s="94" t="n"/>
      <c r="AI2224" s="94" t="n"/>
      <c r="AJ2224" s="94" t="n"/>
      <c r="AK2224" s="94" t="n"/>
      <c r="AL2224" s="84" t="n"/>
    </row>
    <row r="2225">
      <c r="A2225" s="64" t="n"/>
      <c r="B2225" s="65" t="n"/>
      <c r="C2225" s="66" t="n"/>
      <c r="D2225" s="67" t="n"/>
      <c r="E2225" s="68" t="n"/>
      <c r="F2225" s="47">
        <f>IF(A2225="","",IF(MIN(H2225,MAX(J2225:K2225))=0,"",MIN(H2225,MAX(J2225:K2225))))</f>
        <v/>
      </c>
      <c r="G2225" s="74" t="n"/>
      <c r="H2225" s="49">
        <f>IF(M2225="","",IFERROR(ROUND(AVERAGE(T2225+M2225*{7,8,9,10,11})/1.21,4),""))</f>
        <v/>
      </c>
      <c r="I2225" s="76" t="n"/>
      <c r="J2225" s="77" t="n"/>
      <c r="K2225" s="74" t="n"/>
      <c r="L2225" s="78" t="n"/>
      <c r="M2225" s="77" t="n"/>
      <c r="N2225" s="53">
        <f>IF(M2225="","",IFERROR(M2225/I2225,""))</f>
        <v/>
      </c>
      <c r="O2225" s="50">
        <f>IF(A2225="","",IFERROR((IF(G2225="",I2225,G2225)-T2225)/M2225,""))</f>
        <v/>
      </c>
      <c r="P2225" s="50">
        <f>IFERROR((I2225/T2225-1)/N2225,"")</f>
        <v/>
      </c>
      <c r="Q2225" s="46">
        <f>IF(OR(T2225="",I2225&lt;T2225),"",IFERROR(R2225/IF(G2225="",I2225,G2225)-1,""))</f>
        <v/>
      </c>
      <c r="R2225" s="48">
        <f>IF($M2225="","",MAX(IF($G2225="",$I2225,$G2225)*(1/1.1),IF($G2225="",$I2225,$G2225)+(R$2*$M2225)))</f>
        <v/>
      </c>
      <c r="S2225" s="49">
        <f>IF($M2225="","",MAX(IF($G2225="",$I2225,$G2225)*(1/1.1),IF($G2225="",$I2225,$G2225)+(S$2*$M2225)))</f>
        <v/>
      </c>
      <c r="T2225" s="82" t="n"/>
      <c r="U2225" s="47">
        <f>IF(OR($M2225="",$T2225=""),"",$T2225+(U$2*$M2225))</f>
        <v/>
      </c>
      <c r="V2225" s="48">
        <f>IF(OR($M2225="",$T2225=""),"",$T2225+(V$2*$M2225))</f>
        <v/>
      </c>
      <c r="W2225" s="48">
        <f>IF(OR($M2225="",$T2225=""),"",$T2225+(W$2*$M2225))</f>
        <v/>
      </c>
      <c r="X2225" s="49">
        <f>IF(OR($M2225="",$T2225=""),"",$T2225+(X$2*$M2225))</f>
        <v/>
      </c>
      <c r="Y2225" s="47">
        <f>IF(OR($M2225="",$T2225=""),"",$T2225+(Y$2*$M2225))</f>
        <v/>
      </c>
      <c r="Z2225" s="49">
        <f>IF(OR($M2225="",$T2225=""),"",$T2225+(Z$2*$M2225))</f>
        <v/>
      </c>
      <c r="AA2225" s="51">
        <f>IF(OR($M2225="",$T2225=""),"",$T2225+(AA$2*$M2225))</f>
        <v/>
      </c>
      <c r="AB2225" s="48">
        <f>IF(OR($M2225="",$T2225=""),"",$T2225+(AB$2*$M2225))</f>
        <v/>
      </c>
      <c r="AC2225" s="48">
        <f>IF(OR($M2225="",$T2225=""),"",$T2225+(AC$2*$M2225))</f>
        <v/>
      </c>
      <c r="AD2225" s="48">
        <f>IF(OR($M2225="",$T2225=""),"",$T2225+(AD$2*$M2225))</f>
        <v/>
      </c>
      <c r="AE2225" s="49">
        <f>IF(OR($M2225="",$T2225=""),"",$T2225+(AE$2*$M2225))</f>
        <v/>
      </c>
      <c r="AF2225" s="52">
        <f>IF(OR(T2225="",I2225&lt;T2225),"",IFERROR(AVERAGE(T2225+M2225*{7,8,9,10,11})/IF(G2225="",I2225,G2225)-1,""))</f>
        <v/>
      </c>
      <c r="AG2225" s="55">
        <f>IF(OR(T2225="",I2225&lt;T2225),"",IFERROR(AF2225/-(R2225/IF(G2225="",I2225,G2225)-1),""))</f>
        <v/>
      </c>
      <c r="AH2225" s="94" t="n"/>
      <c r="AI2225" s="94" t="n"/>
      <c r="AJ2225" s="94" t="n"/>
      <c r="AK2225" s="94" t="n"/>
      <c r="AL2225" s="84" t="n"/>
    </row>
    <row r="2226">
      <c r="A2226" s="64" t="n"/>
      <c r="B2226" s="65" t="n"/>
      <c r="C2226" s="66" t="n"/>
      <c r="D2226" s="67" t="n"/>
      <c r="E2226" s="68" t="n"/>
      <c r="F2226" s="47">
        <f>IF(A2226="","",IF(MIN(H2226,MAX(J2226:K2226))=0,"",MIN(H2226,MAX(J2226:K2226))))</f>
        <v/>
      </c>
      <c r="G2226" s="74" t="n"/>
      <c r="H2226" s="49">
        <f>IF(M2226="","",IFERROR(ROUND(AVERAGE(T2226+M2226*{7,8,9,10,11})/1.21,4),""))</f>
        <v/>
      </c>
      <c r="I2226" s="76" t="n"/>
      <c r="J2226" s="77" t="n"/>
      <c r="K2226" s="74" t="n"/>
      <c r="L2226" s="78" t="n"/>
      <c r="M2226" s="77" t="n"/>
      <c r="N2226" s="53">
        <f>IF(M2226="","",IFERROR(M2226/I2226,""))</f>
        <v/>
      </c>
      <c r="O2226" s="50">
        <f>IF(A2226="","",IFERROR((IF(G2226="",I2226,G2226)-T2226)/M2226,""))</f>
        <v/>
      </c>
      <c r="P2226" s="50">
        <f>IFERROR((I2226/T2226-1)/N2226,"")</f>
        <v/>
      </c>
      <c r="Q2226" s="46">
        <f>IF(OR(T2226="",I2226&lt;T2226),"",IFERROR(R2226/IF(G2226="",I2226,G2226)-1,""))</f>
        <v/>
      </c>
      <c r="R2226" s="48">
        <f>IF($M2226="","",MAX(IF($G2226="",$I2226,$G2226)*(1/1.1),IF($G2226="",$I2226,$G2226)+(R$2*$M2226)))</f>
        <v/>
      </c>
      <c r="S2226" s="49">
        <f>IF($M2226="","",MAX(IF($G2226="",$I2226,$G2226)*(1/1.1),IF($G2226="",$I2226,$G2226)+(S$2*$M2226)))</f>
        <v/>
      </c>
      <c r="T2226" s="82" t="n"/>
      <c r="U2226" s="47">
        <f>IF(OR($M2226="",$T2226=""),"",$T2226+(U$2*$M2226))</f>
        <v/>
      </c>
      <c r="V2226" s="48">
        <f>IF(OR($M2226="",$T2226=""),"",$T2226+(V$2*$M2226))</f>
        <v/>
      </c>
      <c r="W2226" s="48">
        <f>IF(OR($M2226="",$T2226=""),"",$T2226+(W$2*$M2226))</f>
        <v/>
      </c>
      <c r="X2226" s="49">
        <f>IF(OR($M2226="",$T2226=""),"",$T2226+(X$2*$M2226))</f>
        <v/>
      </c>
      <c r="Y2226" s="47">
        <f>IF(OR($M2226="",$T2226=""),"",$T2226+(Y$2*$M2226))</f>
        <v/>
      </c>
      <c r="Z2226" s="49">
        <f>IF(OR($M2226="",$T2226=""),"",$T2226+(Z$2*$M2226))</f>
        <v/>
      </c>
      <c r="AA2226" s="51">
        <f>IF(OR($M2226="",$T2226=""),"",$T2226+(AA$2*$M2226))</f>
        <v/>
      </c>
      <c r="AB2226" s="48">
        <f>IF(OR($M2226="",$T2226=""),"",$T2226+(AB$2*$M2226))</f>
        <v/>
      </c>
      <c r="AC2226" s="48">
        <f>IF(OR($M2226="",$T2226=""),"",$T2226+(AC$2*$M2226))</f>
        <v/>
      </c>
      <c r="AD2226" s="48">
        <f>IF(OR($M2226="",$T2226=""),"",$T2226+(AD$2*$M2226))</f>
        <v/>
      </c>
      <c r="AE2226" s="49">
        <f>IF(OR($M2226="",$T2226=""),"",$T2226+(AE$2*$M2226))</f>
        <v/>
      </c>
      <c r="AF2226" s="52">
        <f>IF(OR(T2226="",I2226&lt;T2226),"",IFERROR(AVERAGE(T2226+M2226*{7,8,9,10,11})/IF(G2226="",I2226,G2226)-1,""))</f>
        <v/>
      </c>
      <c r="AG2226" s="55">
        <f>IF(OR(T2226="",I2226&lt;T2226),"",IFERROR(AF2226/-(R2226/IF(G2226="",I2226,G2226)-1),""))</f>
        <v/>
      </c>
      <c r="AH2226" s="94" t="n"/>
      <c r="AI2226" s="94" t="n"/>
      <c r="AJ2226" s="94" t="n"/>
      <c r="AK2226" s="94" t="n"/>
      <c r="AL2226" s="84" t="n"/>
    </row>
    <row r="2227">
      <c r="A2227" s="64" t="n"/>
      <c r="B2227" s="65" t="n"/>
      <c r="C2227" s="66" t="n"/>
      <c r="D2227" s="67" t="n"/>
      <c r="E2227" s="68" t="n"/>
      <c r="F2227" s="47">
        <f>IF(A2227="","",IF(MIN(H2227,MAX(J2227:K2227))=0,"",MIN(H2227,MAX(J2227:K2227))))</f>
        <v/>
      </c>
      <c r="G2227" s="74" t="n"/>
      <c r="H2227" s="49">
        <f>IF(M2227="","",IFERROR(ROUND(AVERAGE(T2227+M2227*{7,8,9,10,11})/1.21,4),""))</f>
        <v/>
      </c>
      <c r="I2227" s="76" t="n"/>
      <c r="J2227" s="77" t="n"/>
      <c r="K2227" s="74" t="n"/>
      <c r="L2227" s="78" t="n"/>
      <c r="M2227" s="77" t="n"/>
      <c r="N2227" s="53">
        <f>IF(M2227="","",IFERROR(M2227/I2227,""))</f>
        <v/>
      </c>
      <c r="O2227" s="50">
        <f>IF(A2227="","",IFERROR((IF(G2227="",I2227,G2227)-T2227)/M2227,""))</f>
        <v/>
      </c>
      <c r="P2227" s="50">
        <f>IFERROR((I2227/T2227-1)/N2227,"")</f>
        <v/>
      </c>
      <c r="Q2227" s="46">
        <f>IF(OR(T2227="",I2227&lt;T2227),"",IFERROR(R2227/IF(G2227="",I2227,G2227)-1,""))</f>
        <v/>
      </c>
      <c r="R2227" s="48">
        <f>IF($M2227="","",MAX(IF($G2227="",$I2227,$G2227)*(1/1.1),IF($G2227="",$I2227,$G2227)+(R$2*$M2227)))</f>
        <v/>
      </c>
      <c r="S2227" s="49">
        <f>IF($M2227="","",MAX(IF($G2227="",$I2227,$G2227)*(1/1.1),IF($G2227="",$I2227,$G2227)+(S$2*$M2227)))</f>
        <v/>
      </c>
      <c r="T2227" s="82" t="n"/>
      <c r="U2227" s="47">
        <f>IF(OR($M2227="",$T2227=""),"",$T2227+(U$2*$M2227))</f>
        <v/>
      </c>
      <c r="V2227" s="48">
        <f>IF(OR($M2227="",$T2227=""),"",$T2227+(V$2*$M2227))</f>
        <v/>
      </c>
      <c r="W2227" s="48">
        <f>IF(OR($M2227="",$T2227=""),"",$T2227+(W$2*$M2227))</f>
        <v/>
      </c>
      <c r="X2227" s="49">
        <f>IF(OR($M2227="",$T2227=""),"",$T2227+(X$2*$M2227))</f>
        <v/>
      </c>
      <c r="Y2227" s="47">
        <f>IF(OR($M2227="",$T2227=""),"",$T2227+(Y$2*$M2227))</f>
        <v/>
      </c>
      <c r="Z2227" s="49">
        <f>IF(OR($M2227="",$T2227=""),"",$T2227+(Z$2*$M2227))</f>
        <v/>
      </c>
      <c r="AA2227" s="51">
        <f>IF(OR($M2227="",$T2227=""),"",$T2227+(AA$2*$M2227))</f>
        <v/>
      </c>
      <c r="AB2227" s="48">
        <f>IF(OR($M2227="",$T2227=""),"",$T2227+(AB$2*$M2227))</f>
        <v/>
      </c>
      <c r="AC2227" s="48">
        <f>IF(OR($M2227="",$T2227=""),"",$T2227+(AC$2*$M2227))</f>
        <v/>
      </c>
      <c r="AD2227" s="48">
        <f>IF(OR($M2227="",$T2227=""),"",$T2227+(AD$2*$M2227))</f>
        <v/>
      </c>
      <c r="AE2227" s="49">
        <f>IF(OR($M2227="",$T2227=""),"",$T2227+(AE$2*$M2227))</f>
        <v/>
      </c>
      <c r="AF2227" s="52">
        <f>IF(OR(T2227="",I2227&lt;T2227),"",IFERROR(AVERAGE(T2227+M2227*{7,8,9,10,11})/IF(G2227="",I2227,G2227)-1,""))</f>
        <v/>
      </c>
      <c r="AG2227" s="55">
        <f>IF(OR(T2227="",I2227&lt;T2227),"",IFERROR(AF2227/-(R2227/IF(G2227="",I2227,G2227)-1),""))</f>
        <v/>
      </c>
      <c r="AH2227" s="94" t="n"/>
      <c r="AI2227" s="94" t="n"/>
      <c r="AJ2227" s="94" t="n"/>
      <c r="AK2227" s="94" t="n"/>
      <c r="AL2227" s="84" t="n"/>
    </row>
    <row r="2228">
      <c r="A2228" s="64" t="n"/>
      <c r="B2228" s="65" t="n"/>
      <c r="C2228" s="66" t="n"/>
      <c r="D2228" s="67" t="n"/>
      <c r="E2228" s="68" t="n"/>
      <c r="F2228" s="47">
        <f>IF(A2228="","",IF(MIN(H2228,MAX(J2228:K2228))=0,"",MIN(H2228,MAX(J2228:K2228))))</f>
        <v/>
      </c>
      <c r="G2228" s="74" t="n"/>
      <c r="H2228" s="49">
        <f>IF(M2228="","",IFERROR(ROUND(AVERAGE(T2228+M2228*{7,8,9,10,11})/1.21,4),""))</f>
        <v/>
      </c>
      <c r="I2228" s="76" t="n"/>
      <c r="J2228" s="77" t="n"/>
      <c r="K2228" s="74" t="n"/>
      <c r="L2228" s="78" t="n"/>
      <c r="M2228" s="77" t="n"/>
      <c r="N2228" s="53">
        <f>IF(M2228="","",IFERROR(M2228/I2228,""))</f>
        <v/>
      </c>
      <c r="O2228" s="50">
        <f>IF(A2228="","",IFERROR((IF(G2228="",I2228,G2228)-T2228)/M2228,""))</f>
        <v/>
      </c>
      <c r="P2228" s="50">
        <f>IFERROR((I2228/T2228-1)/N2228,"")</f>
        <v/>
      </c>
      <c r="Q2228" s="46">
        <f>IF(OR(T2228="",I2228&lt;T2228),"",IFERROR(R2228/IF(G2228="",I2228,G2228)-1,""))</f>
        <v/>
      </c>
      <c r="R2228" s="48">
        <f>IF($M2228="","",MAX(IF($G2228="",$I2228,$G2228)*(1/1.1),IF($G2228="",$I2228,$G2228)+(R$2*$M2228)))</f>
        <v/>
      </c>
      <c r="S2228" s="49">
        <f>IF($M2228="","",MAX(IF($G2228="",$I2228,$G2228)*(1/1.1),IF($G2228="",$I2228,$G2228)+(S$2*$M2228)))</f>
        <v/>
      </c>
      <c r="T2228" s="82" t="n"/>
      <c r="U2228" s="47">
        <f>IF(OR($M2228="",$T2228=""),"",$T2228+(U$2*$M2228))</f>
        <v/>
      </c>
      <c r="V2228" s="48">
        <f>IF(OR($M2228="",$T2228=""),"",$T2228+(V$2*$M2228))</f>
        <v/>
      </c>
      <c r="W2228" s="48">
        <f>IF(OR($M2228="",$T2228=""),"",$T2228+(W$2*$M2228))</f>
        <v/>
      </c>
      <c r="X2228" s="49">
        <f>IF(OR($M2228="",$T2228=""),"",$T2228+(X$2*$M2228))</f>
        <v/>
      </c>
      <c r="Y2228" s="47">
        <f>IF(OR($M2228="",$T2228=""),"",$T2228+(Y$2*$M2228))</f>
        <v/>
      </c>
      <c r="Z2228" s="49">
        <f>IF(OR($M2228="",$T2228=""),"",$T2228+(Z$2*$M2228))</f>
        <v/>
      </c>
      <c r="AA2228" s="51">
        <f>IF(OR($M2228="",$T2228=""),"",$T2228+(AA$2*$M2228))</f>
        <v/>
      </c>
      <c r="AB2228" s="48">
        <f>IF(OR($M2228="",$T2228=""),"",$T2228+(AB$2*$M2228))</f>
        <v/>
      </c>
      <c r="AC2228" s="48">
        <f>IF(OR($M2228="",$T2228=""),"",$T2228+(AC$2*$M2228))</f>
        <v/>
      </c>
      <c r="AD2228" s="48">
        <f>IF(OR($M2228="",$T2228=""),"",$T2228+(AD$2*$M2228))</f>
        <v/>
      </c>
      <c r="AE2228" s="49">
        <f>IF(OR($M2228="",$T2228=""),"",$T2228+(AE$2*$M2228))</f>
        <v/>
      </c>
      <c r="AF2228" s="52">
        <f>IF(OR(T2228="",I2228&lt;T2228),"",IFERROR(AVERAGE(T2228+M2228*{7,8,9,10,11})/IF(G2228="",I2228,G2228)-1,""))</f>
        <v/>
      </c>
      <c r="AG2228" s="55">
        <f>IF(OR(T2228="",I2228&lt;T2228),"",IFERROR(AF2228/-(R2228/IF(G2228="",I2228,G2228)-1),""))</f>
        <v/>
      </c>
      <c r="AH2228" s="94" t="n"/>
      <c r="AI2228" s="94" t="n"/>
      <c r="AJ2228" s="94" t="n"/>
      <c r="AK2228" s="94" t="n"/>
      <c r="AL2228" s="84" t="n"/>
    </row>
    <row r="2229">
      <c r="A2229" s="64" t="n"/>
      <c r="B2229" s="65" t="n"/>
      <c r="C2229" s="66" t="n"/>
      <c r="D2229" s="67" t="n"/>
      <c r="E2229" s="68" t="n"/>
      <c r="F2229" s="47">
        <f>IF(A2229="","",IF(MIN(H2229,MAX(J2229:K2229))=0,"",MIN(H2229,MAX(J2229:K2229))))</f>
        <v/>
      </c>
      <c r="G2229" s="74" t="n"/>
      <c r="H2229" s="49">
        <f>IF(M2229="","",IFERROR(ROUND(AVERAGE(T2229+M2229*{7,8,9,10,11})/1.21,4),""))</f>
        <v/>
      </c>
      <c r="I2229" s="76" t="n"/>
      <c r="J2229" s="77" t="n"/>
      <c r="K2229" s="74" t="n"/>
      <c r="L2229" s="78" t="n"/>
      <c r="M2229" s="77" t="n"/>
      <c r="N2229" s="53">
        <f>IF(M2229="","",IFERROR(M2229/I2229,""))</f>
        <v/>
      </c>
      <c r="O2229" s="50">
        <f>IF(A2229="","",IFERROR((IF(G2229="",I2229,G2229)-T2229)/M2229,""))</f>
        <v/>
      </c>
      <c r="P2229" s="50">
        <f>IFERROR((I2229/T2229-1)/N2229,"")</f>
        <v/>
      </c>
      <c r="Q2229" s="46">
        <f>IF(OR(T2229="",I2229&lt;T2229),"",IFERROR(R2229/IF(G2229="",I2229,G2229)-1,""))</f>
        <v/>
      </c>
      <c r="R2229" s="48">
        <f>IF($M2229="","",MAX(IF($G2229="",$I2229,$G2229)*(1/1.1),IF($G2229="",$I2229,$G2229)+(R$2*$M2229)))</f>
        <v/>
      </c>
      <c r="S2229" s="49">
        <f>IF($M2229="","",MAX(IF($G2229="",$I2229,$G2229)*(1/1.1),IF($G2229="",$I2229,$G2229)+(S$2*$M2229)))</f>
        <v/>
      </c>
      <c r="T2229" s="82" t="n"/>
      <c r="U2229" s="47">
        <f>IF(OR($M2229="",$T2229=""),"",$T2229+(U$2*$M2229))</f>
        <v/>
      </c>
      <c r="V2229" s="48">
        <f>IF(OR($M2229="",$T2229=""),"",$T2229+(V$2*$M2229))</f>
        <v/>
      </c>
      <c r="W2229" s="48">
        <f>IF(OR($M2229="",$T2229=""),"",$T2229+(W$2*$M2229))</f>
        <v/>
      </c>
      <c r="X2229" s="49">
        <f>IF(OR($M2229="",$T2229=""),"",$T2229+(X$2*$M2229))</f>
        <v/>
      </c>
      <c r="Y2229" s="47">
        <f>IF(OR($M2229="",$T2229=""),"",$T2229+(Y$2*$M2229))</f>
        <v/>
      </c>
      <c r="Z2229" s="49">
        <f>IF(OR($M2229="",$T2229=""),"",$T2229+(Z$2*$M2229))</f>
        <v/>
      </c>
      <c r="AA2229" s="51">
        <f>IF(OR($M2229="",$T2229=""),"",$T2229+(AA$2*$M2229))</f>
        <v/>
      </c>
      <c r="AB2229" s="48">
        <f>IF(OR($M2229="",$T2229=""),"",$T2229+(AB$2*$M2229))</f>
        <v/>
      </c>
      <c r="AC2229" s="48">
        <f>IF(OR($M2229="",$T2229=""),"",$T2229+(AC$2*$M2229))</f>
        <v/>
      </c>
      <c r="AD2229" s="48">
        <f>IF(OR($M2229="",$T2229=""),"",$T2229+(AD$2*$M2229))</f>
        <v/>
      </c>
      <c r="AE2229" s="49">
        <f>IF(OR($M2229="",$T2229=""),"",$T2229+(AE$2*$M2229))</f>
        <v/>
      </c>
      <c r="AF2229" s="52">
        <f>IF(OR(T2229="",I2229&lt;T2229),"",IFERROR(AVERAGE(T2229+M2229*{7,8,9,10,11})/IF(G2229="",I2229,G2229)-1,""))</f>
        <v/>
      </c>
      <c r="AG2229" s="55">
        <f>IF(OR(T2229="",I2229&lt;T2229),"",IFERROR(AF2229/-(R2229/IF(G2229="",I2229,G2229)-1),""))</f>
        <v/>
      </c>
      <c r="AH2229" s="94" t="n"/>
      <c r="AI2229" s="94" t="n"/>
      <c r="AJ2229" s="94" t="n"/>
      <c r="AK2229" s="94" t="n"/>
      <c r="AL2229" s="84" t="n"/>
    </row>
    <row r="2230">
      <c r="A2230" s="64" t="n"/>
      <c r="B2230" s="65" t="n"/>
      <c r="C2230" s="66" t="n"/>
      <c r="D2230" s="67" t="n"/>
      <c r="E2230" s="68" t="n"/>
      <c r="F2230" s="47">
        <f>IF(A2230="","",IF(MIN(H2230,MAX(J2230:K2230))=0,"",MIN(H2230,MAX(J2230:K2230))))</f>
        <v/>
      </c>
      <c r="G2230" s="74" t="n"/>
      <c r="H2230" s="49">
        <f>IF(M2230="","",IFERROR(ROUND(AVERAGE(T2230+M2230*{7,8,9,10,11})/1.21,4),""))</f>
        <v/>
      </c>
      <c r="I2230" s="76" t="n"/>
      <c r="J2230" s="77" t="n"/>
      <c r="K2230" s="74" t="n"/>
      <c r="L2230" s="78" t="n"/>
      <c r="M2230" s="77" t="n"/>
      <c r="N2230" s="53">
        <f>IF(M2230="","",IFERROR(M2230/I2230,""))</f>
        <v/>
      </c>
      <c r="O2230" s="50">
        <f>IF(A2230="","",IFERROR((IF(G2230="",I2230,G2230)-T2230)/M2230,""))</f>
        <v/>
      </c>
      <c r="P2230" s="50">
        <f>IFERROR((I2230/T2230-1)/N2230,"")</f>
        <v/>
      </c>
      <c r="Q2230" s="46">
        <f>IF(OR(T2230="",I2230&lt;T2230),"",IFERROR(R2230/IF(G2230="",I2230,G2230)-1,""))</f>
        <v/>
      </c>
      <c r="R2230" s="48">
        <f>IF($M2230="","",MAX(IF($G2230="",$I2230,$G2230)*(1/1.1),IF($G2230="",$I2230,$G2230)+(R$2*$M2230)))</f>
        <v/>
      </c>
      <c r="S2230" s="49">
        <f>IF($M2230="","",MAX(IF($G2230="",$I2230,$G2230)*(1/1.1),IF($G2230="",$I2230,$G2230)+(S$2*$M2230)))</f>
        <v/>
      </c>
      <c r="T2230" s="82" t="n"/>
      <c r="U2230" s="47">
        <f>IF(OR($M2230="",$T2230=""),"",$T2230+(U$2*$M2230))</f>
        <v/>
      </c>
      <c r="V2230" s="48">
        <f>IF(OR($M2230="",$T2230=""),"",$T2230+(V$2*$M2230))</f>
        <v/>
      </c>
      <c r="W2230" s="48">
        <f>IF(OR($M2230="",$T2230=""),"",$T2230+(W$2*$M2230))</f>
        <v/>
      </c>
      <c r="X2230" s="49">
        <f>IF(OR($M2230="",$T2230=""),"",$T2230+(X$2*$M2230))</f>
        <v/>
      </c>
      <c r="Y2230" s="47">
        <f>IF(OR($M2230="",$T2230=""),"",$T2230+(Y$2*$M2230))</f>
        <v/>
      </c>
      <c r="Z2230" s="49">
        <f>IF(OR($M2230="",$T2230=""),"",$T2230+(Z$2*$M2230))</f>
        <v/>
      </c>
      <c r="AA2230" s="51">
        <f>IF(OR($M2230="",$T2230=""),"",$T2230+(AA$2*$M2230))</f>
        <v/>
      </c>
      <c r="AB2230" s="48">
        <f>IF(OR($M2230="",$T2230=""),"",$T2230+(AB$2*$M2230))</f>
        <v/>
      </c>
      <c r="AC2230" s="48">
        <f>IF(OR($M2230="",$T2230=""),"",$T2230+(AC$2*$M2230))</f>
        <v/>
      </c>
      <c r="AD2230" s="48">
        <f>IF(OR($M2230="",$T2230=""),"",$T2230+(AD$2*$M2230))</f>
        <v/>
      </c>
      <c r="AE2230" s="49">
        <f>IF(OR($M2230="",$T2230=""),"",$T2230+(AE$2*$M2230))</f>
        <v/>
      </c>
      <c r="AF2230" s="52">
        <f>IF(OR(T2230="",I2230&lt;T2230),"",IFERROR(AVERAGE(T2230+M2230*{7,8,9,10,11})/IF(G2230="",I2230,G2230)-1,""))</f>
        <v/>
      </c>
      <c r="AG2230" s="55">
        <f>IF(OR(T2230="",I2230&lt;T2230),"",IFERROR(AF2230/-(R2230/IF(G2230="",I2230,G2230)-1),""))</f>
        <v/>
      </c>
      <c r="AH2230" s="94" t="n"/>
      <c r="AI2230" s="94" t="n"/>
      <c r="AJ2230" s="94" t="n"/>
      <c r="AK2230" s="94" t="n"/>
      <c r="AL2230" s="84" t="n"/>
    </row>
    <row r="2231">
      <c r="A2231" s="64" t="n"/>
      <c r="B2231" s="65" t="n"/>
      <c r="C2231" s="66" t="n"/>
      <c r="D2231" s="67" t="n"/>
      <c r="E2231" s="68" t="n"/>
      <c r="F2231" s="47">
        <f>IF(A2231="","",IF(MIN(H2231,MAX(J2231:K2231))=0,"",MIN(H2231,MAX(J2231:K2231))))</f>
        <v/>
      </c>
      <c r="G2231" s="74" t="n"/>
      <c r="H2231" s="49">
        <f>IF(M2231="","",IFERROR(ROUND(AVERAGE(T2231+M2231*{7,8,9,10,11})/1.21,4),""))</f>
        <v/>
      </c>
      <c r="I2231" s="76" t="n"/>
      <c r="J2231" s="77" t="n"/>
      <c r="K2231" s="74" t="n"/>
      <c r="L2231" s="78" t="n"/>
      <c r="M2231" s="77" t="n"/>
      <c r="N2231" s="53">
        <f>IF(M2231="","",IFERROR(M2231/I2231,""))</f>
        <v/>
      </c>
      <c r="O2231" s="50">
        <f>IF(A2231="","",IFERROR((IF(G2231="",I2231,G2231)-T2231)/M2231,""))</f>
        <v/>
      </c>
      <c r="P2231" s="50">
        <f>IFERROR((I2231/T2231-1)/N2231,"")</f>
        <v/>
      </c>
      <c r="Q2231" s="46">
        <f>IF(OR(T2231="",I2231&lt;T2231),"",IFERROR(R2231/IF(G2231="",I2231,G2231)-1,""))</f>
        <v/>
      </c>
      <c r="R2231" s="48">
        <f>IF($M2231="","",MAX(IF($G2231="",$I2231,$G2231)*(1/1.1),IF($G2231="",$I2231,$G2231)+(R$2*$M2231)))</f>
        <v/>
      </c>
      <c r="S2231" s="49">
        <f>IF($M2231="","",MAX(IF($G2231="",$I2231,$G2231)*(1/1.1),IF($G2231="",$I2231,$G2231)+(S$2*$M2231)))</f>
        <v/>
      </c>
      <c r="T2231" s="82" t="n"/>
      <c r="U2231" s="47">
        <f>IF(OR($M2231="",$T2231=""),"",$T2231+(U$2*$M2231))</f>
        <v/>
      </c>
      <c r="V2231" s="48">
        <f>IF(OR($M2231="",$T2231=""),"",$T2231+(V$2*$M2231))</f>
        <v/>
      </c>
      <c r="W2231" s="48">
        <f>IF(OR($M2231="",$T2231=""),"",$T2231+(W$2*$M2231))</f>
        <v/>
      </c>
      <c r="X2231" s="49">
        <f>IF(OR($M2231="",$T2231=""),"",$T2231+(X$2*$M2231))</f>
        <v/>
      </c>
      <c r="Y2231" s="47">
        <f>IF(OR($M2231="",$T2231=""),"",$T2231+(Y$2*$M2231))</f>
        <v/>
      </c>
      <c r="Z2231" s="49">
        <f>IF(OR($M2231="",$T2231=""),"",$T2231+(Z$2*$M2231))</f>
        <v/>
      </c>
      <c r="AA2231" s="51">
        <f>IF(OR($M2231="",$T2231=""),"",$T2231+(AA$2*$M2231))</f>
        <v/>
      </c>
      <c r="AB2231" s="48">
        <f>IF(OR($M2231="",$T2231=""),"",$T2231+(AB$2*$M2231))</f>
        <v/>
      </c>
      <c r="AC2231" s="48">
        <f>IF(OR($M2231="",$T2231=""),"",$T2231+(AC$2*$M2231))</f>
        <v/>
      </c>
      <c r="AD2231" s="48">
        <f>IF(OR($M2231="",$T2231=""),"",$T2231+(AD$2*$M2231))</f>
        <v/>
      </c>
      <c r="AE2231" s="49">
        <f>IF(OR($M2231="",$T2231=""),"",$T2231+(AE$2*$M2231))</f>
        <v/>
      </c>
      <c r="AF2231" s="52">
        <f>IF(OR(T2231="",I2231&lt;T2231),"",IFERROR(AVERAGE(T2231+M2231*{7,8,9,10,11})/IF(G2231="",I2231,G2231)-1,""))</f>
        <v/>
      </c>
      <c r="AG2231" s="55">
        <f>IF(OR(T2231="",I2231&lt;T2231),"",IFERROR(AF2231/-(R2231/IF(G2231="",I2231,G2231)-1),""))</f>
        <v/>
      </c>
      <c r="AH2231" s="94" t="n"/>
      <c r="AI2231" s="94" t="n"/>
      <c r="AJ2231" s="94" t="n"/>
      <c r="AK2231" s="94" t="n"/>
      <c r="AL2231" s="84" t="n"/>
    </row>
    <row r="2232">
      <c r="A2232" s="64" t="n"/>
      <c r="B2232" s="65" t="n"/>
      <c r="C2232" s="66" t="n"/>
      <c r="D2232" s="67" t="n"/>
      <c r="E2232" s="68" t="n"/>
      <c r="F2232" s="47">
        <f>IF(A2232="","",IF(MIN(H2232,MAX(J2232:K2232))=0,"",MIN(H2232,MAX(J2232:K2232))))</f>
        <v/>
      </c>
      <c r="G2232" s="74" t="n"/>
      <c r="H2232" s="49">
        <f>IF(M2232="","",IFERROR(ROUND(AVERAGE(T2232+M2232*{7,8,9,10,11})/1.21,4),""))</f>
        <v/>
      </c>
      <c r="I2232" s="76" t="n"/>
      <c r="J2232" s="77" t="n"/>
      <c r="K2232" s="74" t="n"/>
      <c r="L2232" s="78" t="n"/>
      <c r="M2232" s="77" t="n"/>
      <c r="N2232" s="53">
        <f>IF(M2232="","",IFERROR(M2232/I2232,""))</f>
        <v/>
      </c>
      <c r="O2232" s="50">
        <f>IF(A2232="","",IFERROR((IF(G2232="",I2232,G2232)-T2232)/M2232,""))</f>
        <v/>
      </c>
      <c r="P2232" s="50">
        <f>IFERROR((I2232/T2232-1)/N2232,"")</f>
        <v/>
      </c>
      <c r="Q2232" s="46">
        <f>IF(OR(T2232="",I2232&lt;T2232),"",IFERROR(R2232/IF(G2232="",I2232,G2232)-1,""))</f>
        <v/>
      </c>
      <c r="R2232" s="48">
        <f>IF($M2232="","",MAX(IF($G2232="",$I2232,$G2232)*(1/1.1),IF($G2232="",$I2232,$G2232)+(R$2*$M2232)))</f>
        <v/>
      </c>
      <c r="S2232" s="49">
        <f>IF($M2232="","",MAX(IF($G2232="",$I2232,$G2232)*(1/1.1),IF($G2232="",$I2232,$G2232)+(S$2*$M2232)))</f>
        <v/>
      </c>
      <c r="T2232" s="82" t="n"/>
      <c r="U2232" s="47">
        <f>IF(OR($M2232="",$T2232=""),"",$T2232+(U$2*$M2232))</f>
        <v/>
      </c>
      <c r="V2232" s="48">
        <f>IF(OR($M2232="",$T2232=""),"",$T2232+(V$2*$M2232))</f>
        <v/>
      </c>
      <c r="W2232" s="48">
        <f>IF(OR($M2232="",$T2232=""),"",$T2232+(W$2*$M2232))</f>
        <v/>
      </c>
      <c r="X2232" s="49">
        <f>IF(OR($M2232="",$T2232=""),"",$T2232+(X$2*$M2232))</f>
        <v/>
      </c>
      <c r="Y2232" s="47">
        <f>IF(OR($M2232="",$T2232=""),"",$T2232+(Y$2*$M2232))</f>
        <v/>
      </c>
      <c r="Z2232" s="49">
        <f>IF(OR($M2232="",$T2232=""),"",$T2232+(Z$2*$M2232))</f>
        <v/>
      </c>
      <c r="AA2232" s="51">
        <f>IF(OR($M2232="",$T2232=""),"",$T2232+(AA$2*$M2232))</f>
        <v/>
      </c>
      <c r="AB2232" s="48">
        <f>IF(OR($M2232="",$T2232=""),"",$T2232+(AB$2*$M2232))</f>
        <v/>
      </c>
      <c r="AC2232" s="48">
        <f>IF(OR($M2232="",$T2232=""),"",$T2232+(AC$2*$M2232))</f>
        <v/>
      </c>
      <c r="AD2232" s="48">
        <f>IF(OR($M2232="",$T2232=""),"",$T2232+(AD$2*$M2232))</f>
        <v/>
      </c>
      <c r="AE2232" s="49">
        <f>IF(OR($M2232="",$T2232=""),"",$T2232+(AE$2*$M2232))</f>
        <v/>
      </c>
      <c r="AF2232" s="52">
        <f>IF(OR(T2232="",I2232&lt;T2232),"",IFERROR(AVERAGE(T2232+M2232*{7,8,9,10,11})/IF(G2232="",I2232,G2232)-1,""))</f>
        <v/>
      </c>
      <c r="AG2232" s="55">
        <f>IF(OR(T2232="",I2232&lt;T2232),"",IFERROR(AF2232/-(R2232/IF(G2232="",I2232,G2232)-1),""))</f>
        <v/>
      </c>
      <c r="AH2232" s="94" t="n"/>
      <c r="AI2232" s="94" t="n"/>
      <c r="AJ2232" s="94" t="n"/>
      <c r="AK2232" s="94" t="n"/>
      <c r="AL2232" s="84" t="n"/>
    </row>
    <row r="2233">
      <c r="A2233" s="64" t="n"/>
      <c r="B2233" s="65" t="n"/>
      <c r="C2233" s="66" t="n"/>
      <c r="D2233" s="67" t="n"/>
      <c r="E2233" s="68" t="n"/>
      <c r="F2233" s="47">
        <f>IF(A2233="","",IF(MIN(H2233,MAX(J2233:K2233))=0,"",MIN(H2233,MAX(J2233:K2233))))</f>
        <v/>
      </c>
      <c r="G2233" s="74" t="n"/>
      <c r="H2233" s="49">
        <f>IF(M2233="","",IFERROR(ROUND(AVERAGE(T2233+M2233*{7,8,9,10,11})/1.21,4),""))</f>
        <v/>
      </c>
      <c r="I2233" s="76" t="n"/>
      <c r="J2233" s="77" t="n"/>
      <c r="K2233" s="74" t="n"/>
      <c r="L2233" s="78" t="n"/>
      <c r="M2233" s="77" t="n"/>
      <c r="N2233" s="53">
        <f>IF(M2233="","",IFERROR(M2233/I2233,""))</f>
        <v/>
      </c>
      <c r="O2233" s="50">
        <f>IF(A2233="","",IFERROR((IF(G2233="",I2233,G2233)-T2233)/M2233,""))</f>
        <v/>
      </c>
      <c r="P2233" s="50">
        <f>IFERROR((I2233/T2233-1)/N2233,"")</f>
        <v/>
      </c>
      <c r="Q2233" s="46">
        <f>IF(OR(T2233="",I2233&lt;T2233),"",IFERROR(R2233/IF(G2233="",I2233,G2233)-1,""))</f>
        <v/>
      </c>
      <c r="R2233" s="48">
        <f>IF($M2233="","",MAX(IF($G2233="",$I2233,$G2233)*(1/1.1),IF($G2233="",$I2233,$G2233)+(R$2*$M2233)))</f>
        <v/>
      </c>
      <c r="S2233" s="49">
        <f>IF($M2233="","",MAX(IF($G2233="",$I2233,$G2233)*(1/1.1),IF($G2233="",$I2233,$G2233)+(S$2*$M2233)))</f>
        <v/>
      </c>
      <c r="T2233" s="82" t="n"/>
      <c r="U2233" s="47">
        <f>IF(OR($M2233="",$T2233=""),"",$T2233+(U$2*$M2233))</f>
        <v/>
      </c>
      <c r="V2233" s="48">
        <f>IF(OR($M2233="",$T2233=""),"",$T2233+(V$2*$M2233))</f>
        <v/>
      </c>
      <c r="W2233" s="48">
        <f>IF(OR($M2233="",$T2233=""),"",$T2233+(W$2*$M2233))</f>
        <v/>
      </c>
      <c r="X2233" s="49">
        <f>IF(OR($M2233="",$T2233=""),"",$T2233+(X$2*$M2233))</f>
        <v/>
      </c>
      <c r="Y2233" s="47">
        <f>IF(OR($M2233="",$T2233=""),"",$T2233+(Y$2*$M2233))</f>
        <v/>
      </c>
      <c r="Z2233" s="49">
        <f>IF(OR($M2233="",$T2233=""),"",$T2233+(Z$2*$M2233))</f>
        <v/>
      </c>
      <c r="AA2233" s="51">
        <f>IF(OR($M2233="",$T2233=""),"",$T2233+(AA$2*$M2233))</f>
        <v/>
      </c>
      <c r="AB2233" s="48">
        <f>IF(OR($M2233="",$T2233=""),"",$T2233+(AB$2*$M2233))</f>
        <v/>
      </c>
      <c r="AC2233" s="48">
        <f>IF(OR($M2233="",$T2233=""),"",$T2233+(AC$2*$M2233))</f>
        <v/>
      </c>
      <c r="AD2233" s="48">
        <f>IF(OR($M2233="",$T2233=""),"",$T2233+(AD$2*$M2233))</f>
        <v/>
      </c>
      <c r="AE2233" s="49">
        <f>IF(OR($M2233="",$T2233=""),"",$T2233+(AE$2*$M2233))</f>
        <v/>
      </c>
      <c r="AF2233" s="52">
        <f>IF(OR(T2233="",I2233&lt;T2233),"",IFERROR(AVERAGE(T2233+M2233*{7,8,9,10,11})/IF(G2233="",I2233,G2233)-1,""))</f>
        <v/>
      </c>
      <c r="AG2233" s="55">
        <f>IF(OR(T2233="",I2233&lt;T2233),"",IFERROR(AF2233/-(R2233/IF(G2233="",I2233,G2233)-1),""))</f>
        <v/>
      </c>
      <c r="AH2233" s="94" t="n"/>
      <c r="AI2233" s="94" t="n"/>
      <c r="AJ2233" s="94" t="n"/>
      <c r="AK2233" s="94" t="n"/>
      <c r="AL2233" s="84" t="n"/>
    </row>
    <row r="2234">
      <c r="A2234" s="64" t="n"/>
      <c r="B2234" s="65" t="n"/>
      <c r="C2234" s="66" t="n"/>
      <c r="D2234" s="67" t="n"/>
      <c r="E2234" s="68" t="n"/>
      <c r="F2234" s="47">
        <f>IF(A2234="","",IF(MIN(H2234,MAX(J2234:K2234))=0,"",MIN(H2234,MAX(J2234:K2234))))</f>
        <v/>
      </c>
      <c r="G2234" s="74" t="n"/>
      <c r="H2234" s="49">
        <f>IF(M2234="","",IFERROR(ROUND(AVERAGE(T2234+M2234*{7,8,9,10,11})/1.21,4),""))</f>
        <v/>
      </c>
      <c r="I2234" s="76" t="n"/>
      <c r="J2234" s="77" t="n"/>
      <c r="K2234" s="74" t="n"/>
      <c r="L2234" s="78" t="n"/>
      <c r="M2234" s="77" t="n"/>
      <c r="N2234" s="53">
        <f>IF(M2234="","",IFERROR(M2234/I2234,""))</f>
        <v/>
      </c>
      <c r="O2234" s="50">
        <f>IF(A2234="","",IFERROR((IF(G2234="",I2234,G2234)-T2234)/M2234,""))</f>
        <v/>
      </c>
      <c r="P2234" s="50">
        <f>IFERROR((I2234/T2234-1)/N2234,"")</f>
        <v/>
      </c>
      <c r="Q2234" s="46">
        <f>IF(OR(T2234="",I2234&lt;T2234),"",IFERROR(R2234/IF(G2234="",I2234,G2234)-1,""))</f>
        <v/>
      </c>
      <c r="R2234" s="48">
        <f>IF($M2234="","",MAX(IF($G2234="",$I2234,$G2234)*(1/1.1),IF($G2234="",$I2234,$G2234)+(R$2*$M2234)))</f>
        <v/>
      </c>
      <c r="S2234" s="49">
        <f>IF($M2234="","",MAX(IF($G2234="",$I2234,$G2234)*(1/1.1),IF($G2234="",$I2234,$G2234)+(S$2*$M2234)))</f>
        <v/>
      </c>
      <c r="T2234" s="82" t="n"/>
      <c r="U2234" s="47">
        <f>IF(OR($M2234="",$T2234=""),"",$T2234+(U$2*$M2234))</f>
        <v/>
      </c>
      <c r="V2234" s="48">
        <f>IF(OR($M2234="",$T2234=""),"",$T2234+(V$2*$M2234))</f>
        <v/>
      </c>
      <c r="W2234" s="48">
        <f>IF(OR($M2234="",$T2234=""),"",$T2234+(W$2*$M2234))</f>
        <v/>
      </c>
      <c r="X2234" s="49">
        <f>IF(OR($M2234="",$T2234=""),"",$T2234+(X$2*$M2234))</f>
        <v/>
      </c>
      <c r="Y2234" s="47">
        <f>IF(OR($M2234="",$T2234=""),"",$T2234+(Y$2*$M2234))</f>
        <v/>
      </c>
      <c r="Z2234" s="49">
        <f>IF(OR($M2234="",$T2234=""),"",$T2234+(Z$2*$M2234))</f>
        <v/>
      </c>
      <c r="AA2234" s="51">
        <f>IF(OR($M2234="",$T2234=""),"",$T2234+(AA$2*$M2234))</f>
        <v/>
      </c>
      <c r="AB2234" s="48">
        <f>IF(OR($M2234="",$T2234=""),"",$T2234+(AB$2*$M2234))</f>
        <v/>
      </c>
      <c r="AC2234" s="48">
        <f>IF(OR($M2234="",$T2234=""),"",$T2234+(AC$2*$M2234))</f>
        <v/>
      </c>
      <c r="AD2234" s="48">
        <f>IF(OR($M2234="",$T2234=""),"",$T2234+(AD$2*$M2234))</f>
        <v/>
      </c>
      <c r="AE2234" s="49">
        <f>IF(OR($M2234="",$T2234=""),"",$T2234+(AE$2*$M2234))</f>
        <v/>
      </c>
      <c r="AF2234" s="52">
        <f>IF(OR(T2234="",I2234&lt;T2234),"",IFERROR(AVERAGE(T2234+M2234*{7,8,9,10,11})/IF(G2234="",I2234,G2234)-1,""))</f>
        <v/>
      </c>
      <c r="AG2234" s="55">
        <f>IF(OR(T2234="",I2234&lt;T2234),"",IFERROR(AF2234/-(R2234/IF(G2234="",I2234,G2234)-1),""))</f>
        <v/>
      </c>
      <c r="AH2234" s="94" t="n"/>
      <c r="AI2234" s="94" t="n"/>
      <c r="AJ2234" s="94" t="n"/>
      <c r="AK2234" s="94" t="n"/>
      <c r="AL2234" s="84" t="n"/>
    </row>
    <row r="2235">
      <c r="A2235" s="64" t="n"/>
      <c r="B2235" s="65" t="n"/>
      <c r="C2235" s="66" t="n"/>
      <c r="D2235" s="67" t="n"/>
      <c r="E2235" s="68" t="n"/>
      <c r="F2235" s="47">
        <f>IF(A2235="","",IF(MIN(H2235,MAX(J2235:K2235))=0,"",MIN(H2235,MAX(J2235:K2235))))</f>
        <v/>
      </c>
      <c r="G2235" s="74" t="n"/>
      <c r="H2235" s="49">
        <f>IF(M2235="","",IFERROR(ROUND(AVERAGE(T2235+M2235*{7,8,9,10,11})/1.21,4),""))</f>
        <v/>
      </c>
      <c r="I2235" s="76" t="n"/>
      <c r="J2235" s="77" t="n"/>
      <c r="K2235" s="74" t="n"/>
      <c r="L2235" s="78" t="n"/>
      <c r="M2235" s="77" t="n"/>
      <c r="N2235" s="53">
        <f>IF(M2235="","",IFERROR(M2235/I2235,""))</f>
        <v/>
      </c>
      <c r="O2235" s="50">
        <f>IF(A2235="","",IFERROR((IF(G2235="",I2235,G2235)-T2235)/M2235,""))</f>
        <v/>
      </c>
      <c r="P2235" s="50">
        <f>IFERROR((I2235/T2235-1)/N2235,"")</f>
        <v/>
      </c>
      <c r="Q2235" s="46">
        <f>IF(OR(T2235="",I2235&lt;T2235),"",IFERROR(R2235/IF(G2235="",I2235,G2235)-1,""))</f>
        <v/>
      </c>
      <c r="R2235" s="48">
        <f>IF($M2235="","",MAX(IF($G2235="",$I2235,$G2235)*(1/1.1),IF($G2235="",$I2235,$G2235)+(R$2*$M2235)))</f>
        <v/>
      </c>
      <c r="S2235" s="49">
        <f>IF($M2235="","",MAX(IF($G2235="",$I2235,$G2235)*(1/1.1),IF($G2235="",$I2235,$G2235)+(S$2*$M2235)))</f>
        <v/>
      </c>
      <c r="T2235" s="82" t="n"/>
      <c r="U2235" s="47">
        <f>IF(OR($M2235="",$T2235=""),"",$T2235+(U$2*$M2235))</f>
        <v/>
      </c>
      <c r="V2235" s="48">
        <f>IF(OR($M2235="",$T2235=""),"",$T2235+(V$2*$M2235))</f>
        <v/>
      </c>
      <c r="W2235" s="48">
        <f>IF(OR($M2235="",$T2235=""),"",$T2235+(W$2*$M2235))</f>
        <v/>
      </c>
      <c r="X2235" s="49">
        <f>IF(OR($M2235="",$T2235=""),"",$T2235+(X$2*$M2235))</f>
        <v/>
      </c>
      <c r="Y2235" s="47">
        <f>IF(OR($M2235="",$T2235=""),"",$T2235+(Y$2*$M2235))</f>
        <v/>
      </c>
      <c r="Z2235" s="49">
        <f>IF(OR($M2235="",$T2235=""),"",$T2235+(Z$2*$M2235))</f>
        <v/>
      </c>
      <c r="AA2235" s="51">
        <f>IF(OR($M2235="",$T2235=""),"",$T2235+(AA$2*$M2235))</f>
        <v/>
      </c>
      <c r="AB2235" s="48">
        <f>IF(OR($M2235="",$T2235=""),"",$T2235+(AB$2*$M2235))</f>
        <v/>
      </c>
      <c r="AC2235" s="48">
        <f>IF(OR($M2235="",$T2235=""),"",$T2235+(AC$2*$M2235))</f>
        <v/>
      </c>
      <c r="AD2235" s="48">
        <f>IF(OR($M2235="",$T2235=""),"",$T2235+(AD$2*$M2235))</f>
        <v/>
      </c>
      <c r="AE2235" s="49">
        <f>IF(OR($M2235="",$T2235=""),"",$T2235+(AE$2*$M2235))</f>
        <v/>
      </c>
      <c r="AF2235" s="52">
        <f>IF(OR(T2235="",I2235&lt;T2235),"",IFERROR(AVERAGE(T2235+M2235*{7,8,9,10,11})/IF(G2235="",I2235,G2235)-1,""))</f>
        <v/>
      </c>
      <c r="AG2235" s="55">
        <f>IF(OR(T2235="",I2235&lt;T2235),"",IFERROR(AF2235/-(R2235/IF(G2235="",I2235,G2235)-1),""))</f>
        <v/>
      </c>
      <c r="AH2235" s="94" t="n"/>
      <c r="AI2235" s="94" t="n"/>
      <c r="AJ2235" s="94" t="n"/>
      <c r="AK2235" s="94" t="n"/>
      <c r="AL2235" s="84" t="n"/>
    </row>
    <row r="2236">
      <c r="A2236" s="64" t="n"/>
      <c r="B2236" s="65" t="n"/>
      <c r="C2236" s="66" t="n"/>
      <c r="D2236" s="67" t="n"/>
      <c r="E2236" s="68" t="n"/>
      <c r="F2236" s="47">
        <f>IF(A2236="","",IF(MIN(H2236,MAX(J2236:K2236))=0,"",MIN(H2236,MAX(J2236:K2236))))</f>
        <v/>
      </c>
      <c r="G2236" s="74" t="n"/>
      <c r="H2236" s="49">
        <f>IF(M2236="","",IFERROR(ROUND(AVERAGE(T2236+M2236*{7,8,9,10,11})/1.21,4),""))</f>
        <v/>
      </c>
      <c r="I2236" s="76" t="n"/>
      <c r="J2236" s="77" t="n"/>
      <c r="K2236" s="74" t="n"/>
      <c r="L2236" s="78" t="n"/>
      <c r="M2236" s="77" t="n"/>
      <c r="N2236" s="53">
        <f>IF(M2236="","",IFERROR(M2236/I2236,""))</f>
        <v/>
      </c>
      <c r="O2236" s="50">
        <f>IF(A2236="","",IFERROR((IF(G2236="",I2236,G2236)-T2236)/M2236,""))</f>
        <v/>
      </c>
      <c r="P2236" s="50">
        <f>IFERROR((I2236/T2236-1)/N2236,"")</f>
        <v/>
      </c>
      <c r="Q2236" s="46">
        <f>IF(OR(T2236="",I2236&lt;T2236),"",IFERROR(R2236/IF(G2236="",I2236,G2236)-1,""))</f>
        <v/>
      </c>
      <c r="R2236" s="48">
        <f>IF($M2236="","",MAX(IF($G2236="",$I2236,$G2236)*(1/1.1),IF($G2236="",$I2236,$G2236)+(R$2*$M2236)))</f>
        <v/>
      </c>
      <c r="S2236" s="49">
        <f>IF($M2236="","",MAX(IF($G2236="",$I2236,$G2236)*(1/1.1),IF($G2236="",$I2236,$G2236)+(S$2*$M2236)))</f>
        <v/>
      </c>
      <c r="T2236" s="82" t="n"/>
      <c r="U2236" s="47">
        <f>IF(OR($M2236="",$T2236=""),"",$T2236+(U$2*$M2236))</f>
        <v/>
      </c>
      <c r="V2236" s="48">
        <f>IF(OR($M2236="",$T2236=""),"",$T2236+(V$2*$M2236))</f>
        <v/>
      </c>
      <c r="W2236" s="48">
        <f>IF(OR($M2236="",$T2236=""),"",$T2236+(W$2*$M2236))</f>
        <v/>
      </c>
      <c r="X2236" s="49">
        <f>IF(OR($M2236="",$T2236=""),"",$T2236+(X$2*$M2236))</f>
        <v/>
      </c>
      <c r="Y2236" s="47">
        <f>IF(OR($M2236="",$T2236=""),"",$T2236+(Y$2*$M2236))</f>
        <v/>
      </c>
      <c r="Z2236" s="49">
        <f>IF(OR($M2236="",$T2236=""),"",$T2236+(Z$2*$M2236))</f>
        <v/>
      </c>
      <c r="AA2236" s="51">
        <f>IF(OR($M2236="",$T2236=""),"",$T2236+(AA$2*$M2236))</f>
        <v/>
      </c>
      <c r="AB2236" s="48">
        <f>IF(OR($M2236="",$T2236=""),"",$T2236+(AB$2*$M2236))</f>
        <v/>
      </c>
      <c r="AC2236" s="48">
        <f>IF(OR($M2236="",$T2236=""),"",$T2236+(AC$2*$M2236))</f>
        <v/>
      </c>
      <c r="AD2236" s="48">
        <f>IF(OR($M2236="",$T2236=""),"",$T2236+(AD$2*$M2236))</f>
        <v/>
      </c>
      <c r="AE2236" s="49">
        <f>IF(OR($M2236="",$T2236=""),"",$T2236+(AE$2*$M2236))</f>
        <v/>
      </c>
      <c r="AF2236" s="52">
        <f>IF(OR(T2236="",I2236&lt;T2236),"",IFERROR(AVERAGE(T2236+M2236*{7,8,9,10,11})/IF(G2236="",I2236,G2236)-1,""))</f>
        <v/>
      </c>
      <c r="AG2236" s="55">
        <f>IF(OR(T2236="",I2236&lt;T2236),"",IFERROR(AF2236/-(R2236/IF(G2236="",I2236,G2236)-1),""))</f>
        <v/>
      </c>
      <c r="AH2236" s="94" t="n"/>
      <c r="AI2236" s="94" t="n"/>
      <c r="AJ2236" s="94" t="n"/>
      <c r="AK2236" s="94" t="n"/>
      <c r="AL2236" s="84" t="n"/>
    </row>
    <row r="2237">
      <c r="A2237" s="64" t="n"/>
      <c r="B2237" s="65" t="n"/>
      <c r="C2237" s="66" t="n"/>
      <c r="D2237" s="67" t="n"/>
      <c r="E2237" s="68" t="n"/>
      <c r="F2237" s="47">
        <f>IF(A2237="","",IF(MIN(H2237,MAX(J2237:K2237))=0,"",MIN(H2237,MAX(J2237:K2237))))</f>
        <v/>
      </c>
      <c r="G2237" s="74" t="n"/>
      <c r="H2237" s="49">
        <f>IF(M2237="","",IFERROR(ROUND(AVERAGE(T2237+M2237*{7,8,9,10,11})/1.21,4),""))</f>
        <v/>
      </c>
      <c r="I2237" s="76" t="n"/>
      <c r="J2237" s="77" t="n"/>
      <c r="K2237" s="74" t="n"/>
      <c r="L2237" s="78" t="n"/>
      <c r="M2237" s="77" t="n"/>
      <c r="N2237" s="53">
        <f>IF(M2237="","",IFERROR(M2237/I2237,""))</f>
        <v/>
      </c>
      <c r="O2237" s="50">
        <f>IF(A2237="","",IFERROR((IF(G2237="",I2237,G2237)-T2237)/M2237,""))</f>
        <v/>
      </c>
      <c r="P2237" s="50">
        <f>IFERROR((I2237/T2237-1)/N2237,"")</f>
        <v/>
      </c>
      <c r="Q2237" s="46">
        <f>IF(OR(T2237="",I2237&lt;T2237),"",IFERROR(R2237/IF(G2237="",I2237,G2237)-1,""))</f>
        <v/>
      </c>
      <c r="R2237" s="48">
        <f>IF($M2237="","",MAX(IF($G2237="",$I2237,$G2237)*(1/1.1),IF($G2237="",$I2237,$G2237)+(R$2*$M2237)))</f>
        <v/>
      </c>
      <c r="S2237" s="49">
        <f>IF($M2237="","",MAX(IF($G2237="",$I2237,$G2237)*(1/1.1),IF($G2237="",$I2237,$G2237)+(S$2*$M2237)))</f>
        <v/>
      </c>
      <c r="T2237" s="82" t="n"/>
      <c r="U2237" s="47">
        <f>IF(OR($M2237="",$T2237=""),"",$T2237+(U$2*$M2237))</f>
        <v/>
      </c>
      <c r="V2237" s="48">
        <f>IF(OR($M2237="",$T2237=""),"",$T2237+(V$2*$M2237))</f>
        <v/>
      </c>
      <c r="W2237" s="48">
        <f>IF(OR($M2237="",$T2237=""),"",$T2237+(W$2*$M2237))</f>
        <v/>
      </c>
      <c r="X2237" s="49">
        <f>IF(OR($M2237="",$T2237=""),"",$T2237+(X$2*$M2237))</f>
        <v/>
      </c>
      <c r="Y2237" s="47">
        <f>IF(OR($M2237="",$T2237=""),"",$T2237+(Y$2*$M2237))</f>
        <v/>
      </c>
      <c r="Z2237" s="49">
        <f>IF(OR($M2237="",$T2237=""),"",$T2237+(Z$2*$M2237))</f>
        <v/>
      </c>
      <c r="AA2237" s="51">
        <f>IF(OR($M2237="",$T2237=""),"",$T2237+(AA$2*$M2237))</f>
        <v/>
      </c>
      <c r="AB2237" s="48">
        <f>IF(OR($M2237="",$T2237=""),"",$T2237+(AB$2*$M2237))</f>
        <v/>
      </c>
      <c r="AC2237" s="48">
        <f>IF(OR($M2237="",$T2237=""),"",$T2237+(AC$2*$M2237))</f>
        <v/>
      </c>
      <c r="AD2237" s="48">
        <f>IF(OR($M2237="",$T2237=""),"",$T2237+(AD$2*$M2237))</f>
        <v/>
      </c>
      <c r="AE2237" s="49">
        <f>IF(OR($M2237="",$T2237=""),"",$T2237+(AE$2*$M2237))</f>
        <v/>
      </c>
      <c r="AF2237" s="52">
        <f>IF(OR(T2237="",I2237&lt;T2237),"",IFERROR(AVERAGE(T2237+M2237*{7,8,9,10,11})/IF(G2237="",I2237,G2237)-1,""))</f>
        <v/>
      </c>
      <c r="AG2237" s="55">
        <f>IF(OR(T2237="",I2237&lt;T2237),"",IFERROR(AF2237/-(R2237/IF(G2237="",I2237,G2237)-1),""))</f>
        <v/>
      </c>
      <c r="AH2237" s="94" t="n"/>
      <c r="AI2237" s="94" t="n"/>
      <c r="AJ2237" s="94" t="n"/>
      <c r="AK2237" s="94" t="n"/>
      <c r="AL2237" s="84" t="n"/>
    </row>
    <row r="2238">
      <c r="A2238" s="64" t="n"/>
      <c r="B2238" s="65" t="n"/>
      <c r="C2238" s="66" t="n"/>
      <c r="D2238" s="67" t="n"/>
      <c r="E2238" s="68" t="n"/>
      <c r="F2238" s="47">
        <f>IF(A2238="","",IF(MIN(H2238,MAX(J2238:K2238))=0,"",MIN(H2238,MAX(J2238:K2238))))</f>
        <v/>
      </c>
      <c r="G2238" s="74" t="n"/>
      <c r="H2238" s="49">
        <f>IF(M2238="","",IFERROR(ROUND(AVERAGE(T2238+M2238*{7,8,9,10,11})/1.21,4),""))</f>
        <v/>
      </c>
      <c r="I2238" s="76" t="n"/>
      <c r="J2238" s="77" t="n"/>
      <c r="K2238" s="74" t="n"/>
      <c r="L2238" s="78" t="n"/>
      <c r="M2238" s="77" t="n"/>
      <c r="N2238" s="53">
        <f>IF(M2238="","",IFERROR(M2238/I2238,""))</f>
        <v/>
      </c>
      <c r="O2238" s="50">
        <f>IF(A2238="","",IFERROR((IF(G2238="",I2238,G2238)-T2238)/M2238,""))</f>
        <v/>
      </c>
      <c r="P2238" s="50">
        <f>IFERROR((I2238/T2238-1)/N2238,"")</f>
        <v/>
      </c>
      <c r="Q2238" s="46">
        <f>IF(OR(T2238="",I2238&lt;T2238),"",IFERROR(R2238/IF(G2238="",I2238,G2238)-1,""))</f>
        <v/>
      </c>
      <c r="R2238" s="48">
        <f>IF($M2238="","",MAX(IF($G2238="",$I2238,$G2238)*(1/1.1),IF($G2238="",$I2238,$G2238)+(R$2*$M2238)))</f>
        <v/>
      </c>
      <c r="S2238" s="49">
        <f>IF($M2238="","",MAX(IF($G2238="",$I2238,$G2238)*(1/1.1),IF($G2238="",$I2238,$G2238)+(S$2*$M2238)))</f>
        <v/>
      </c>
      <c r="T2238" s="82" t="n"/>
      <c r="U2238" s="47">
        <f>IF(OR($M2238="",$T2238=""),"",$T2238+(U$2*$M2238))</f>
        <v/>
      </c>
      <c r="V2238" s="48">
        <f>IF(OR($M2238="",$T2238=""),"",$T2238+(V$2*$M2238))</f>
        <v/>
      </c>
      <c r="W2238" s="48">
        <f>IF(OR($M2238="",$T2238=""),"",$T2238+(W$2*$M2238))</f>
        <v/>
      </c>
      <c r="X2238" s="49">
        <f>IF(OR($M2238="",$T2238=""),"",$T2238+(X$2*$M2238))</f>
        <v/>
      </c>
      <c r="Y2238" s="47">
        <f>IF(OR($M2238="",$T2238=""),"",$T2238+(Y$2*$M2238))</f>
        <v/>
      </c>
      <c r="Z2238" s="49">
        <f>IF(OR($M2238="",$T2238=""),"",$T2238+(Z$2*$M2238))</f>
        <v/>
      </c>
      <c r="AA2238" s="51">
        <f>IF(OR($M2238="",$T2238=""),"",$T2238+(AA$2*$M2238))</f>
        <v/>
      </c>
      <c r="AB2238" s="48">
        <f>IF(OR($M2238="",$T2238=""),"",$T2238+(AB$2*$M2238))</f>
        <v/>
      </c>
      <c r="AC2238" s="48">
        <f>IF(OR($M2238="",$T2238=""),"",$T2238+(AC$2*$M2238))</f>
        <v/>
      </c>
      <c r="AD2238" s="48">
        <f>IF(OR($M2238="",$T2238=""),"",$T2238+(AD$2*$M2238))</f>
        <v/>
      </c>
      <c r="AE2238" s="49">
        <f>IF(OR($M2238="",$T2238=""),"",$T2238+(AE$2*$M2238))</f>
        <v/>
      </c>
      <c r="AF2238" s="52">
        <f>IF(OR(T2238="",I2238&lt;T2238),"",IFERROR(AVERAGE(T2238+M2238*{7,8,9,10,11})/IF(G2238="",I2238,G2238)-1,""))</f>
        <v/>
      </c>
      <c r="AG2238" s="55">
        <f>IF(OR(T2238="",I2238&lt;T2238),"",IFERROR(AF2238/-(R2238/IF(G2238="",I2238,G2238)-1),""))</f>
        <v/>
      </c>
      <c r="AH2238" s="94" t="n"/>
      <c r="AI2238" s="94" t="n"/>
      <c r="AJ2238" s="94" t="n"/>
      <c r="AK2238" s="94" t="n"/>
      <c r="AL2238" s="84" t="n"/>
    </row>
    <row r="2239">
      <c r="A2239" s="64" t="n"/>
      <c r="B2239" s="65" t="n"/>
      <c r="C2239" s="66" t="n"/>
      <c r="D2239" s="67" t="n"/>
      <c r="E2239" s="68" t="n"/>
      <c r="F2239" s="47">
        <f>IF(A2239="","",IF(MIN(H2239,MAX(J2239:K2239))=0,"",MIN(H2239,MAX(J2239:K2239))))</f>
        <v/>
      </c>
      <c r="G2239" s="74" t="n"/>
      <c r="H2239" s="49">
        <f>IF(M2239="","",IFERROR(ROUND(AVERAGE(T2239+M2239*{7,8,9,10,11})/1.21,4),""))</f>
        <v/>
      </c>
      <c r="I2239" s="76" t="n"/>
      <c r="J2239" s="77" t="n"/>
      <c r="K2239" s="74" t="n"/>
      <c r="L2239" s="78" t="n"/>
      <c r="M2239" s="77" t="n"/>
      <c r="N2239" s="53">
        <f>IF(M2239="","",IFERROR(M2239/I2239,""))</f>
        <v/>
      </c>
      <c r="O2239" s="50">
        <f>IF(A2239="","",IFERROR((IF(G2239="",I2239,G2239)-T2239)/M2239,""))</f>
        <v/>
      </c>
      <c r="P2239" s="50">
        <f>IFERROR((I2239/T2239-1)/N2239,"")</f>
        <v/>
      </c>
      <c r="Q2239" s="46">
        <f>IF(OR(T2239="",I2239&lt;T2239),"",IFERROR(R2239/IF(G2239="",I2239,G2239)-1,""))</f>
        <v/>
      </c>
      <c r="R2239" s="48">
        <f>IF($M2239="","",MAX(IF($G2239="",$I2239,$G2239)*(1/1.1),IF($G2239="",$I2239,$G2239)+(R$2*$M2239)))</f>
        <v/>
      </c>
      <c r="S2239" s="49">
        <f>IF($M2239="","",MAX(IF($G2239="",$I2239,$G2239)*(1/1.1),IF($G2239="",$I2239,$G2239)+(S$2*$M2239)))</f>
        <v/>
      </c>
      <c r="T2239" s="82" t="n"/>
      <c r="U2239" s="47">
        <f>IF(OR($M2239="",$T2239=""),"",$T2239+(U$2*$M2239))</f>
        <v/>
      </c>
      <c r="V2239" s="48">
        <f>IF(OR($M2239="",$T2239=""),"",$T2239+(V$2*$M2239))</f>
        <v/>
      </c>
      <c r="W2239" s="48">
        <f>IF(OR($M2239="",$T2239=""),"",$T2239+(W$2*$M2239))</f>
        <v/>
      </c>
      <c r="X2239" s="49">
        <f>IF(OR($M2239="",$T2239=""),"",$T2239+(X$2*$M2239))</f>
        <v/>
      </c>
      <c r="Y2239" s="47">
        <f>IF(OR($M2239="",$T2239=""),"",$T2239+(Y$2*$M2239))</f>
        <v/>
      </c>
      <c r="Z2239" s="49">
        <f>IF(OR($M2239="",$T2239=""),"",$T2239+(Z$2*$M2239))</f>
        <v/>
      </c>
      <c r="AA2239" s="51">
        <f>IF(OR($M2239="",$T2239=""),"",$T2239+(AA$2*$M2239))</f>
        <v/>
      </c>
      <c r="AB2239" s="48">
        <f>IF(OR($M2239="",$T2239=""),"",$T2239+(AB$2*$M2239))</f>
        <v/>
      </c>
      <c r="AC2239" s="48">
        <f>IF(OR($M2239="",$T2239=""),"",$T2239+(AC$2*$M2239))</f>
        <v/>
      </c>
      <c r="AD2239" s="48">
        <f>IF(OR($M2239="",$T2239=""),"",$T2239+(AD$2*$M2239))</f>
        <v/>
      </c>
      <c r="AE2239" s="49">
        <f>IF(OR($M2239="",$T2239=""),"",$T2239+(AE$2*$M2239))</f>
        <v/>
      </c>
      <c r="AF2239" s="52">
        <f>IF(OR(T2239="",I2239&lt;T2239),"",IFERROR(AVERAGE(T2239+M2239*{7,8,9,10,11})/IF(G2239="",I2239,G2239)-1,""))</f>
        <v/>
      </c>
      <c r="AG2239" s="55">
        <f>IF(OR(T2239="",I2239&lt;T2239),"",IFERROR(AF2239/-(R2239/IF(G2239="",I2239,G2239)-1),""))</f>
        <v/>
      </c>
      <c r="AH2239" s="94" t="n"/>
      <c r="AI2239" s="94" t="n"/>
      <c r="AJ2239" s="94" t="n"/>
      <c r="AK2239" s="94" t="n"/>
      <c r="AL2239" s="84" t="n"/>
    </row>
    <row r="2240">
      <c r="A2240" s="64" t="n"/>
      <c r="B2240" s="65" t="n"/>
      <c r="C2240" s="66" t="n"/>
      <c r="D2240" s="67" t="n"/>
      <c r="E2240" s="68" t="n"/>
      <c r="F2240" s="47">
        <f>IF(A2240="","",IF(MIN(H2240,MAX(J2240:K2240))=0,"",MIN(H2240,MAX(J2240:K2240))))</f>
        <v/>
      </c>
      <c r="G2240" s="74" t="n"/>
      <c r="H2240" s="49">
        <f>IF(M2240="","",IFERROR(ROUND(AVERAGE(T2240+M2240*{7,8,9,10,11})/1.21,4),""))</f>
        <v/>
      </c>
      <c r="I2240" s="76" t="n"/>
      <c r="J2240" s="77" t="n"/>
      <c r="K2240" s="74" t="n"/>
      <c r="L2240" s="78" t="n"/>
      <c r="M2240" s="77" t="n"/>
      <c r="N2240" s="53">
        <f>IF(M2240="","",IFERROR(M2240/I2240,""))</f>
        <v/>
      </c>
      <c r="O2240" s="50">
        <f>IF(A2240="","",IFERROR((IF(G2240="",I2240,G2240)-T2240)/M2240,""))</f>
        <v/>
      </c>
      <c r="P2240" s="50">
        <f>IFERROR((I2240/T2240-1)/N2240,"")</f>
        <v/>
      </c>
      <c r="Q2240" s="46">
        <f>IF(OR(T2240="",I2240&lt;T2240),"",IFERROR(R2240/IF(G2240="",I2240,G2240)-1,""))</f>
        <v/>
      </c>
      <c r="R2240" s="48">
        <f>IF($M2240="","",MAX(IF($G2240="",$I2240,$G2240)*(1/1.1),IF($G2240="",$I2240,$G2240)+(R$2*$M2240)))</f>
        <v/>
      </c>
      <c r="S2240" s="49">
        <f>IF($M2240="","",MAX(IF($G2240="",$I2240,$G2240)*(1/1.1),IF($G2240="",$I2240,$G2240)+(S$2*$M2240)))</f>
        <v/>
      </c>
      <c r="T2240" s="82" t="n"/>
      <c r="U2240" s="47">
        <f>IF(OR($M2240="",$T2240=""),"",$T2240+(U$2*$M2240))</f>
        <v/>
      </c>
      <c r="V2240" s="48">
        <f>IF(OR($M2240="",$T2240=""),"",$T2240+(V$2*$M2240))</f>
        <v/>
      </c>
      <c r="W2240" s="48">
        <f>IF(OR($M2240="",$T2240=""),"",$T2240+(W$2*$M2240))</f>
        <v/>
      </c>
      <c r="X2240" s="49">
        <f>IF(OR($M2240="",$T2240=""),"",$T2240+(X$2*$M2240))</f>
        <v/>
      </c>
      <c r="Y2240" s="47">
        <f>IF(OR($M2240="",$T2240=""),"",$T2240+(Y$2*$M2240))</f>
        <v/>
      </c>
      <c r="Z2240" s="49">
        <f>IF(OR($M2240="",$T2240=""),"",$T2240+(Z$2*$M2240))</f>
        <v/>
      </c>
      <c r="AA2240" s="51">
        <f>IF(OR($M2240="",$T2240=""),"",$T2240+(AA$2*$M2240))</f>
        <v/>
      </c>
      <c r="AB2240" s="48">
        <f>IF(OR($M2240="",$T2240=""),"",$T2240+(AB$2*$M2240))</f>
        <v/>
      </c>
      <c r="AC2240" s="48">
        <f>IF(OR($M2240="",$T2240=""),"",$T2240+(AC$2*$M2240))</f>
        <v/>
      </c>
      <c r="AD2240" s="48">
        <f>IF(OR($M2240="",$T2240=""),"",$T2240+(AD$2*$M2240))</f>
        <v/>
      </c>
      <c r="AE2240" s="49">
        <f>IF(OR($M2240="",$T2240=""),"",$T2240+(AE$2*$M2240))</f>
        <v/>
      </c>
      <c r="AF2240" s="52">
        <f>IF(OR(T2240="",I2240&lt;T2240),"",IFERROR(AVERAGE(T2240+M2240*{7,8,9,10,11})/IF(G2240="",I2240,G2240)-1,""))</f>
        <v/>
      </c>
      <c r="AG2240" s="55">
        <f>IF(OR(T2240="",I2240&lt;T2240),"",IFERROR(AF2240/-(R2240/IF(G2240="",I2240,G2240)-1),""))</f>
        <v/>
      </c>
      <c r="AH2240" s="94" t="n"/>
      <c r="AI2240" s="94" t="n"/>
      <c r="AJ2240" s="94" t="n"/>
      <c r="AK2240" s="94" t="n"/>
      <c r="AL2240" s="84" t="n"/>
    </row>
    <row r="2241">
      <c r="A2241" s="64" t="n"/>
      <c r="B2241" s="65" t="n"/>
      <c r="C2241" s="66" t="n"/>
      <c r="D2241" s="67" t="n"/>
      <c r="E2241" s="68" t="n"/>
      <c r="F2241" s="47">
        <f>IF(A2241="","",IF(MIN(H2241,MAX(J2241:K2241))=0,"",MIN(H2241,MAX(J2241:K2241))))</f>
        <v/>
      </c>
      <c r="G2241" s="74" t="n"/>
      <c r="H2241" s="49">
        <f>IF(M2241="","",IFERROR(ROUND(AVERAGE(T2241+M2241*{7,8,9,10,11})/1.21,4),""))</f>
        <v/>
      </c>
      <c r="I2241" s="76" t="n"/>
      <c r="J2241" s="77" t="n"/>
      <c r="K2241" s="74" t="n"/>
      <c r="L2241" s="78" t="n"/>
      <c r="M2241" s="77" t="n"/>
      <c r="N2241" s="53">
        <f>IF(M2241="","",IFERROR(M2241/I2241,""))</f>
        <v/>
      </c>
      <c r="O2241" s="50">
        <f>IF(A2241="","",IFERROR((IF(G2241="",I2241,G2241)-T2241)/M2241,""))</f>
        <v/>
      </c>
      <c r="P2241" s="50">
        <f>IFERROR((I2241/T2241-1)/N2241,"")</f>
        <v/>
      </c>
      <c r="Q2241" s="46">
        <f>IF(OR(T2241="",I2241&lt;T2241),"",IFERROR(R2241/IF(G2241="",I2241,G2241)-1,""))</f>
        <v/>
      </c>
      <c r="R2241" s="48">
        <f>IF($M2241="","",MAX(IF($G2241="",$I2241,$G2241)*(1/1.1),IF($G2241="",$I2241,$G2241)+(R$2*$M2241)))</f>
        <v/>
      </c>
      <c r="S2241" s="49">
        <f>IF($M2241="","",MAX(IF($G2241="",$I2241,$G2241)*(1/1.1),IF($G2241="",$I2241,$G2241)+(S$2*$M2241)))</f>
        <v/>
      </c>
      <c r="T2241" s="82" t="n"/>
      <c r="U2241" s="47">
        <f>IF(OR($M2241="",$T2241=""),"",$T2241+(U$2*$M2241))</f>
        <v/>
      </c>
      <c r="V2241" s="48">
        <f>IF(OR($M2241="",$T2241=""),"",$T2241+(V$2*$M2241))</f>
        <v/>
      </c>
      <c r="W2241" s="48">
        <f>IF(OR($M2241="",$T2241=""),"",$T2241+(W$2*$M2241))</f>
        <v/>
      </c>
      <c r="X2241" s="49">
        <f>IF(OR($M2241="",$T2241=""),"",$T2241+(X$2*$M2241))</f>
        <v/>
      </c>
      <c r="Y2241" s="47">
        <f>IF(OR($M2241="",$T2241=""),"",$T2241+(Y$2*$M2241))</f>
        <v/>
      </c>
      <c r="Z2241" s="49">
        <f>IF(OR($M2241="",$T2241=""),"",$T2241+(Z$2*$M2241))</f>
        <v/>
      </c>
      <c r="AA2241" s="51">
        <f>IF(OR($M2241="",$T2241=""),"",$T2241+(AA$2*$M2241))</f>
        <v/>
      </c>
      <c r="AB2241" s="48">
        <f>IF(OR($M2241="",$T2241=""),"",$T2241+(AB$2*$M2241))</f>
        <v/>
      </c>
      <c r="AC2241" s="48">
        <f>IF(OR($M2241="",$T2241=""),"",$T2241+(AC$2*$M2241))</f>
        <v/>
      </c>
      <c r="AD2241" s="48">
        <f>IF(OR($M2241="",$T2241=""),"",$T2241+(AD$2*$M2241))</f>
        <v/>
      </c>
      <c r="AE2241" s="49">
        <f>IF(OR($M2241="",$T2241=""),"",$T2241+(AE$2*$M2241))</f>
        <v/>
      </c>
      <c r="AF2241" s="52">
        <f>IF(OR(T2241="",I2241&lt;T2241),"",IFERROR(AVERAGE(T2241+M2241*{7,8,9,10,11})/IF(G2241="",I2241,G2241)-1,""))</f>
        <v/>
      </c>
      <c r="AG2241" s="55">
        <f>IF(OR(T2241="",I2241&lt;T2241),"",IFERROR(AF2241/-(R2241/IF(G2241="",I2241,G2241)-1),""))</f>
        <v/>
      </c>
      <c r="AH2241" s="94" t="n"/>
      <c r="AI2241" s="94" t="n"/>
      <c r="AJ2241" s="94" t="n"/>
      <c r="AK2241" s="94" t="n"/>
      <c r="AL2241" s="84" t="n"/>
    </row>
    <row r="2242">
      <c r="A2242" s="64" t="n"/>
      <c r="B2242" s="65" t="n"/>
      <c r="C2242" s="66" t="n"/>
      <c r="D2242" s="67" t="n"/>
      <c r="E2242" s="68" t="n"/>
      <c r="F2242" s="47">
        <f>IF(A2242="","",IF(MIN(H2242,MAX(J2242:K2242))=0,"",MIN(H2242,MAX(J2242:K2242))))</f>
        <v/>
      </c>
      <c r="G2242" s="74" t="n"/>
      <c r="H2242" s="49">
        <f>IF(M2242="","",IFERROR(ROUND(AVERAGE(T2242+M2242*{7,8,9,10,11})/1.21,4),""))</f>
        <v/>
      </c>
      <c r="I2242" s="76" t="n"/>
      <c r="J2242" s="77" t="n"/>
      <c r="K2242" s="74" t="n"/>
      <c r="L2242" s="78" t="n"/>
      <c r="M2242" s="77" t="n"/>
      <c r="N2242" s="53">
        <f>IF(M2242="","",IFERROR(M2242/I2242,""))</f>
        <v/>
      </c>
      <c r="O2242" s="50">
        <f>IF(A2242="","",IFERROR((IF(G2242="",I2242,G2242)-T2242)/M2242,""))</f>
        <v/>
      </c>
      <c r="P2242" s="50">
        <f>IFERROR((I2242/T2242-1)/N2242,"")</f>
        <v/>
      </c>
      <c r="Q2242" s="46">
        <f>IF(OR(T2242="",I2242&lt;T2242),"",IFERROR(R2242/IF(G2242="",I2242,G2242)-1,""))</f>
        <v/>
      </c>
      <c r="R2242" s="48">
        <f>IF($M2242="","",MAX(IF($G2242="",$I2242,$G2242)*(1/1.1),IF($G2242="",$I2242,$G2242)+(R$2*$M2242)))</f>
        <v/>
      </c>
      <c r="S2242" s="49">
        <f>IF($M2242="","",MAX(IF($G2242="",$I2242,$G2242)*(1/1.1),IF($G2242="",$I2242,$G2242)+(S$2*$M2242)))</f>
        <v/>
      </c>
      <c r="T2242" s="82" t="n"/>
      <c r="U2242" s="47">
        <f>IF(OR($M2242="",$T2242=""),"",$T2242+(U$2*$M2242))</f>
        <v/>
      </c>
      <c r="V2242" s="48">
        <f>IF(OR($M2242="",$T2242=""),"",$T2242+(V$2*$M2242))</f>
        <v/>
      </c>
      <c r="W2242" s="48">
        <f>IF(OR($M2242="",$T2242=""),"",$T2242+(W$2*$M2242))</f>
        <v/>
      </c>
      <c r="X2242" s="49">
        <f>IF(OR($M2242="",$T2242=""),"",$T2242+(X$2*$M2242))</f>
        <v/>
      </c>
      <c r="Y2242" s="47">
        <f>IF(OR($M2242="",$T2242=""),"",$T2242+(Y$2*$M2242))</f>
        <v/>
      </c>
      <c r="Z2242" s="49">
        <f>IF(OR($M2242="",$T2242=""),"",$T2242+(Z$2*$M2242))</f>
        <v/>
      </c>
      <c r="AA2242" s="51">
        <f>IF(OR($M2242="",$T2242=""),"",$T2242+(AA$2*$M2242))</f>
        <v/>
      </c>
      <c r="AB2242" s="48">
        <f>IF(OR($M2242="",$T2242=""),"",$T2242+(AB$2*$M2242))</f>
        <v/>
      </c>
      <c r="AC2242" s="48">
        <f>IF(OR($M2242="",$T2242=""),"",$T2242+(AC$2*$M2242))</f>
        <v/>
      </c>
      <c r="AD2242" s="48">
        <f>IF(OR($M2242="",$T2242=""),"",$T2242+(AD$2*$M2242))</f>
        <v/>
      </c>
      <c r="AE2242" s="49">
        <f>IF(OR($M2242="",$T2242=""),"",$T2242+(AE$2*$M2242))</f>
        <v/>
      </c>
      <c r="AF2242" s="52">
        <f>IF(OR(T2242="",I2242&lt;T2242),"",IFERROR(AVERAGE(T2242+M2242*{7,8,9,10,11})/IF(G2242="",I2242,G2242)-1,""))</f>
        <v/>
      </c>
      <c r="AG2242" s="55">
        <f>IF(OR(T2242="",I2242&lt;T2242),"",IFERROR(AF2242/-(R2242/IF(G2242="",I2242,G2242)-1),""))</f>
        <v/>
      </c>
      <c r="AH2242" s="94" t="n"/>
      <c r="AI2242" s="94" t="n"/>
      <c r="AJ2242" s="94" t="n"/>
      <c r="AK2242" s="94" t="n"/>
      <c r="AL2242" s="84" t="n"/>
    </row>
    <row r="2243">
      <c r="A2243" s="64" t="n"/>
      <c r="B2243" s="65" t="n"/>
      <c r="C2243" s="66" t="n"/>
      <c r="D2243" s="67" t="n"/>
      <c r="E2243" s="68" t="n"/>
      <c r="F2243" s="47">
        <f>IF(A2243="","",IF(MIN(H2243,MAX(J2243:K2243))=0,"",MIN(H2243,MAX(J2243:K2243))))</f>
        <v/>
      </c>
      <c r="G2243" s="74" t="n"/>
      <c r="H2243" s="49">
        <f>IF(M2243="","",IFERROR(ROUND(AVERAGE(T2243+M2243*{7,8,9,10,11})/1.21,4),""))</f>
        <v/>
      </c>
      <c r="I2243" s="76" t="n"/>
      <c r="J2243" s="77" t="n"/>
      <c r="K2243" s="74" t="n"/>
      <c r="L2243" s="78" t="n"/>
      <c r="M2243" s="77" t="n"/>
      <c r="N2243" s="53">
        <f>IF(M2243="","",IFERROR(M2243/I2243,""))</f>
        <v/>
      </c>
      <c r="O2243" s="50">
        <f>IF(A2243="","",IFERROR((IF(G2243="",I2243,G2243)-T2243)/M2243,""))</f>
        <v/>
      </c>
      <c r="P2243" s="50">
        <f>IFERROR((I2243/T2243-1)/N2243,"")</f>
        <v/>
      </c>
      <c r="Q2243" s="46">
        <f>IF(OR(T2243="",I2243&lt;T2243),"",IFERROR(R2243/IF(G2243="",I2243,G2243)-1,""))</f>
        <v/>
      </c>
      <c r="R2243" s="48">
        <f>IF($M2243="","",MAX(IF($G2243="",$I2243,$G2243)*(1/1.1),IF($G2243="",$I2243,$G2243)+(R$2*$M2243)))</f>
        <v/>
      </c>
      <c r="S2243" s="49">
        <f>IF($M2243="","",MAX(IF($G2243="",$I2243,$G2243)*(1/1.1),IF($G2243="",$I2243,$G2243)+(S$2*$M2243)))</f>
        <v/>
      </c>
      <c r="T2243" s="82" t="n"/>
      <c r="U2243" s="47">
        <f>IF(OR($M2243="",$T2243=""),"",$T2243+(U$2*$M2243))</f>
        <v/>
      </c>
      <c r="V2243" s="48">
        <f>IF(OR($M2243="",$T2243=""),"",$T2243+(V$2*$M2243))</f>
        <v/>
      </c>
      <c r="W2243" s="48">
        <f>IF(OR($M2243="",$T2243=""),"",$T2243+(W$2*$M2243))</f>
        <v/>
      </c>
      <c r="X2243" s="49">
        <f>IF(OR($M2243="",$T2243=""),"",$T2243+(X$2*$M2243))</f>
        <v/>
      </c>
      <c r="Y2243" s="47">
        <f>IF(OR($M2243="",$T2243=""),"",$T2243+(Y$2*$M2243))</f>
        <v/>
      </c>
      <c r="Z2243" s="49">
        <f>IF(OR($M2243="",$T2243=""),"",$T2243+(Z$2*$M2243))</f>
        <v/>
      </c>
      <c r="AA2243" s="51">
        <f>IF(OR($M2243="",$T2243=""),"",$T2243+(AA$2*$M2243))</f>
        <v/>
      </c>
      <c r="AB2243" s="48">
        <f>IF(OR($M2243="",$T2243=""),"",$T2243+(AB$2*$M2243))</f>
        <v/>
      </c>
      <c r="AC2243" s="48">
        <f>IF(OR($M2243="",$T2243=""),"",$T2243+(AC$2*$M2243))</f>
        <v/>
      </c>
      <c r="AD2243" s="48">
        <f>IF(OR($M2243="",$T2243=""),"",$T2243+(AD$2*$M2243))</f>
        <v/>
      </c>
      <c r="AE2243" s="49">
        <f>IF(OR($M2243="",$T2243=""),"",$T2243+(AE$2*$M2243))</f>
        <v/>
      </c>
      <c r="AF2243" s="52">
        <f>IF(OR(T2243="",I2243&lt;T2243),"",IFERROR(AVERAGE(T2243+M2243*{7,8,9,10,11})/IF(G2243="",I2243,G2243)-1,""))</f>
        <v/>
      </c>
      <c r="AG2243" s="55">
        <f>IF(OR(T2243="",I2243&lt;T2243),"",IFERROR(AF2243/-(R2243/IF(G2243="",I2243,G2243)-1),""))</f>
        <v/>
      </c>
      <c r="AH2243" s="94" t="n"/>
      <c r="AI2243" s="94" t="n"/>
      <c r="AJ2243" s="94" t="n"/>
      <c r="AK2243" s="94" t="n"/>
      <c r="AL2243" s="84" t="n"/>
    </row>
    <row r="2244">
      <c r="A2244" s="64" t="n"/>
      <c r="B2244" s="65" t="n"/>
      <c r="C2244" s="66" t="n"/>
      <c r="D2244" s="67" t="n"/>
      <c r="E2244" s="68" t="n"/>
      <c r="F2244" s="47">
        <f>IF(A2244="","",IF(MIN(H2244,MAX(J2244:K2244))=0,"",MIN(H2244,MAX(J2244:K2244))))</f>
        <v/>
      </c>
      <c r="G2244" s="74" t="n"/>
      <c r="H2244" s="49">
        <f>IF(M2244="","",IFERROR(ROUND(AVERAGE(T2244+M2244*{7,8,9,10,11})/1.21,4),""))</f>
        <v/>
      </c>
      <c r="I2244" s="76" t="n"/>
      <c r="J2244" s="77" t="n"/>
      <c r="K2244" s="74" t="n"/>
      <c r="L2244" s="78" t="n"/>
      <c r="M2244" s="77" t="n"/>
      <c r="N2244" s="53">
        <f>IF(M2244="","",IFERROR(M2244/I2244,""))</f>
        <v/>
      </c>
      <c r="O2244" s="50">
        <f>IF(A2244="","",IFERROR((IF(G2244="",I2244,G2244)-T2244)/M2244,""))</f>
        <v/>
      </c>
      <c r="P2244" s="50">
        <f>IFERROR((I2244/T2244-1)/N2244,"")</f>
        <v/>
      </c>
      <c r="Q2244" s="46">
        <f>IF(OR(T2244="",I2244&lt;T2244),"",IFERROR(R2244/IF(G2244="",I2244,G2244)-1,""))</f>
        <v/>
      </c>
      <c r="R2244" s="48">
        <f>IF($M2244="","",MAX(IF($G2244="",$I2244,$G2244)*(1/1.1),IF($G2244="",$I2244,$G2244)+(R$2*$M2244)))</f>
        <v/>
      </c>
      <c r="S2244" s="49">
        <f>IF($M2244="","",MAX(IF($G2244="",$I2244,$G2244)*(1/1.1),IF($G2244="",$I2244,$G2244)+(S$2*$M2244)))</f>
        <v/>
      </c>
      <c r="T2244" s="82" t="n"/>
      <c r="U2244" s="47">
        <f>IF(OR($M2244="",$T2244=""),"",$T2244+(U$2*$M2244))</f>
        <v/>
      </c>
      <c r="V2244" s="48">
        <f>IF(OR($M2244="",$T2244=""),"",$T2244+(V$2*$M2244))</f>
        <v/>
      </c>
      <c r="W2244" s="48">
        <f>IF(OR($M2244="",$T2244=""),"",$T2244+(W$2*$M2244))</f>
        <v/>
      </c>
      <c r="X2244" s="49">
        <f>IF(OR($M2244="",$T2244=""),"",$T2244+(X$2*$M2244))</f>
        <v/>
      </c>
      <c r="Y2244" s="47">
        <f>IF(OR($M2244="",$T2244=""),"",$T2244+(Y$2*$M2244))</f>
        <v/>
      </c>
      <c r="Z2244" s="49">
        <f>IF(OR($M2244="",$T2244=""),"",$T2244+(Z$2*$M2244))</f>
        <v/>
      </c>
      <c r="AA2244" s="51">
        <f>IF(OR($M2244="",$T2244=""),"",$T2244+(AA$2*$M2244))</f>
        <v/>
      </c>
      <c r="AB2244" s="48">
        <f>IF(OR($M2244="",$T2244=""),"",$T2244+(AB$2*$M2244))</f>
        <v/>
      </c>
      <c r="AC2244" s="48">
        <f>IF(OR($M2244="",$T2244=""),"",$T2244+(AC$2*$M2244))</f>
        <v/>
      </c>
      <c r="AD2244" s="48">
        <f>IF(OR($M2244="",$T2244=""),"",$T2244+(AD$2*$M2244))</f>
        <v/>
      </c>
      <c r="AE2244" s="49">
        <f>IF(OR($M2244="",$T2244=""),"",$T2244+(AE$2*$M2244))</f>
        <v/>
      </c>
      <c r="AF2244" s="52">
        <f>IF(OR(T2244="",I2244&lt;T2244),"",IFERROR(AVERAGE(T2244+M2244*{7,8,9,10,11})/IF(G2244="",I2244,G2244)-1,""))</f>
        <v/>
      </c>
      <c r="AG2244" s="55">
        <f>IF(OR(T2244="",I2244&lt;T2244),"",IFERROR(AF2244/-(R2244/IF(G2244="",I2244,G2244)-1),""))</f>
        <v/>
      </c>
      <c r="AH2244" s="94" t="n"/>
      <c r="AI2244" s="94" t="n"/>
      <c r="AJ2244" s="94" t="n"/>
      <c r="AK2244" s="94" t="n"/>
      <c r="AL2244" s="84" t="n"/>
    </row>
    <row r="2245">
      <c r="A2245" s="64" t="n"/>
      <c r="B2245" s="65" t="n"/>
      <c r="C2245" s="66" t="n"/>
      <c r="D2245" s="67" t="n"/>
      <c r="E2245" s="68" t="n"/>
      <c r="F2245" s="47">
        <f>IF(A2245="","",IF(MIN(H2245,MAX(J2245:K2245))=0,"",MIN(H2245,MAX(J2245:K2245))))</f>
        <v/>
      </c>
      <c r="G2245" s="74" t="n"/>
      <c r="H2245" s="49">
        <f>IF(M2245="","",IFERROR(ROUND(AVERAGE(T2245+M2245*{7,8,9,10,11})/1.21,4),""))</f>
        <v/>
      </c>
      <c r="I2245" s="76" t="n"/>
      <c r="J2245" s="77" t="n"/>
      <c r="K2245" s="74" t="n"/>
      <c r="L2245" s="78" t="n"/>
      <c r="M2245" s="77" t="n"/>
      <c r="N2245" s="53">
        <f>IF(M2245="","",IFERROR(M2245/I2245,""))</f>
        <v/>
      </c>
      <c r="O2245" s="50">
        <f>IF(A2245="","",IFERROR((IF(G2245="",I2245,G2245)-T2245)/M2245,""))</f>
        <v/>
      </c>
      <c r="P2245" s="50">
        <f>IFERROR((I2245/T2245-1)/N2245,"")</f>
        <v/>
      </c>
      <c r="Q2245" s="46">
        <f>IF(OR(T2245="",I2245&lt;T2245),"",IFERROR(R2245/IF(G2245="",I2245,G2245)-1,""))</f>
        <v/>
      </c>
      <c r="R2245" s="48">
        <f>IF($M2245="","",MAX(IF($G2245="",$I2245,$G2245)*(1/1.1),IF($G2245="",$I2245,$G2245)+(R$2*$M2245)))</f>
        <v/>
      </c>
      <c r="S2245" s="49">
        <f>IF($M2245="","",MAX(IF($G2245="",$I2245,$G2245)*(1/1.1),IF($G2245="",$I2245,$G2245)+(S$2*$M2245)))</f>
        <v/>
      </c>
      <c r="T2245" s="82" t="n"/>
      <c r="U2245" s="47">
        <f>IF(OR($M2245="",$T2245=""),"",$T2245+(U$2*$M2245))</f>
        <v/>
      </c>
      <c r="V2245" s="48">
        <f>IF(OR($M2245="",$T2245=""),"",$T2245+(V$2*$M2245))</f>
        <v/>
      </c>
      <c r="W2245" s="48">
        <f>IF(OR($M2245="",$T2245=""),"",$T2245+(W$2*$M2245))</f>
        <v/>
      </c>
      <c r="X2245" s="49">
        <f>IF(OR($M2245="",$T2245=""),"",$T2245+(X$2*$M2245))</f>
        <v/>
      </c>
      <c r="Y2245" s="47">
        <f>IF(OR($M2245="",$T2245=""),"",$T2245+(Y$2*$M2245))</f>
        <v/>
      </c>
      <c r="Z2245" s="49">
        <f>IF(OR($M2245="",$T2245=""),"",$T2245+(Z$2*$M2245))</f>
        <v/>
      </c>
      <c r="AA2245" s="51">
        <f>IF(OR($M2245="",$T2245=""),"",$T2245+(AA$2*$M2245))</f>
        <v/>
      </c>
      <c r="AB2245" s="48">
        <f>IF(OR($M2245="",$T2245=""),"",$T2245+(AB$2*$M2245))</f>
        <v/>
      </c>
      <c r="AC2245" s="48">
        <f>IF(OR($M2245="",$T2245=""),"",$T2245+(AC$2*$M2245))</f>
        <v/>
      </c>
      <c r="AD2245" s="48">
        <f>IF(OR($M2245="",$T2245=""),"",$T2245+(AD$2*$M2245))</f>
        <v/>
      </c>
      <c r="AE2245" s="49">
        <f>IF(OR($M2245="",$T2245=""),"",$T2245+(AE$2*$M2245))</f>
        <v/>
      </c>
      <c r="AF2245" s="52">
        <f>IF(OR(T2245="",I2245&lt;T2245),"",IFERROR(AVERAGE(T2245+M2245*{7,8,9,10,11})/IF(G2245="",I2245,G2245)-1,""))</f>
        <v/>
      </c>
      <c r="AG2245" s="55">
        <f>IF(OR(T2245="",I2245&lt;T2245),"",IFERROR(AF2245/-(R2245/IF(G2245="",I2245,G2245)-1),""))</f>
        <v/>
      </c>
      <c r="AH2245" s="94" t="n"/>
      <c r="AI2245" s="94" t="n"/>
      <c r="AJ2245" s="94" t="n"/>
      <c r="AK2245" s="94" t="n"/>
      <c r="AL2245" s="84" t="n"/>
    </row>
    <row r="2246">
      <c r="A2246" s="64" t="n"/>
      <c r="B2246" s="65" t="n"/>
      <c r="C2246" s="66" t="n"/>
      <c r="D2246" s="67" t="n"/>
      <c r="E2246" s="68" t="n"/>
      <c r="F2246" s="47">
        <f>IF(A2246="","",IF(MIN(H2246,MAX(J2246:K2246))=0,"",MIN(H2246,MAX(J2246:K2246))))</f>
        <v/>
      </c>
      <c r="G2246" s="74" t="n"/>
      <c r="H2246" s="49">
        <f>IF(M2246="","",IFERROR(ROUND(AVERAGE(T2246+M2246*{7,8,9,10,11})/1.21,4),""))</f>
        <v/>
      </c>
      <c r="I2246" s="76" t="n"/>
      <c r="J2246" s="77" t="n"/>
      <c r="K2246" s="74" t="n"/>
      <c r="L2246" s="78" t="n"/>
      <c r="M2246" s="77" t="n"/>
      <c r="N2246" s="53">
        <f>IF(M2246="","",IFERROR(M2246/I2246,""))</f>
        <v/>
      </c>
      <c r="O2246" s="50">
        <f>IF(A2246="","",IFERROR((IF(G2246="",I2246,G2246)-T2246)/M2246,""))</f>
        <v/>
      </c>
      <c r="P2246" s="50">
        <f>IFERROR((I2246/T2246-1)/N2246,"")</f>
        <v/>
      </c>
      <c r="Q2246" s="46">
        <f>IF(OR(T2246="",I2246&lt;T2246),"",IFERROR(R2246/IF(G2246="",I2246,G2246)-1,""))</f>
        <v/>
      </c>
      <c r="R2246" s="48">
        <f>IF($M2246="","",MAX(IF($G2246="",$I2246,$G2246)*(1/1.1),IF($G2246="",$I2246,$G2246)+(R$2*$M2246)))</f>
        <v/>
      </c>
      <c r="S2246" s="49">
        <f>IF($M2246="","",MAX(IF($G2246="",$I2246,$G2246)*(1/1.1),IF($G2246="",$I2246,$G2246)+(S$2*$M2246)))</f>
        <v/>
      </c>
      <c r="T2246" s="82" t="n"/>
      <c r="U2246" s="47">
        <f>IF(OR($M2246="",$T2246=""),"",$T2246+(U$2*$M2246))</f>
        <v/>
      </c>
      <c r="V2246" s="48">
        <f>IF(OR($M2246="",$T2246=""),"",$T2246+(V$2*$M2246))</f>
        <v/>
      </c>
      <c r="W2246" s="48">
        <f>IF(OR($M2246="",$T2246=""),"",$T2246+(W$2*$M2246))</f>
        <v/>
      </c>
      <c r="X2246" s="49">
        <f>IF(OR($M2246="",$T2246=""),"",$T2246+(X$2*$M2246))</f>
        <v/>
      </c>
      <c r="Y2246" s="47">
        <f>IF(OR($M2246="",$T2246=""),"",$T2246+(Y$2*$M2246))</f>
        <v/>
      </c>
      <c r="Z2246" s="49">
        <f>IF(OR($M2246="",$T2246=""),"",$T2246+(Z$2*$M2246))</f>
        <v/>
      </c>
      <c r="AA2246" s="51">
        <f>IF(OR($M2246="",$T2246=""),"",$T2246+(AA$2*$M2246))</f>
        <v/>
      </c>
      <c r="AB2246" s="48">
        <f>IF(OR($M2246="",$T2246=""),"",$T2246+(AB$2*$M2246))</f>
        <v/>
      </c>
      <c r="AC2246" s="48">
        <f>IF(OR($M2246="",$T2246=""),"",$T2246+(AC$2*$M2246))</f>
        <v/>
      </c>
      <c r="AD2246" s="48">
        <f>IF(OR($M2246="",$T2246=""),"",$T2246+(AD$2*$M2246))</f>
        <v/>
      </c>
      <c r="AE2246" s="49">
        <f>IF(OR($M2246="",$T2246=""),"",$T2246+(AE$2*$M2246))</f>
        <v/>
      </c>
      <c r="AF2246" s="52">
        <f>IF(OR(T2246="",I2246&lt;T2246),"",IFERROR(AVERAGE(T2246+M2246*{7,8,9,10,11})/IF(G2246="",I2246,G2246)-1,""))</f>
        <v/>
      </c>
      <c r="AG2246" s="55">
        <f>IF(OR(T2246="",I2246&lt;T2246),"",IFERROR(AF2246/-(R2246/IF(G2246="",I2246,G2246)-1),""))</f>
        <v/>
      </c>
      <c r="AH2246" s="94" t="n"/>
      <c r="AI2246" s="94" t="n"/>
      <c r="AJ2246" s="94" t="n"/>
      <c r="AK2246" s="94" t="n"/>
      <c r="AL2246" s="84" t="n"/>
    </row>
    <row r="2247">
      <c r="A2247" s="64" t="n"/>
      <c r="B2247" s="65" t="n"/>
      <c r="C2247" s="66" t="n"/>
      <c r="D2247" s="67" t="n"/>
      <c r="E2247" s="68" t="n"/>
      <c r="F2247" s="47">
        <f>IF(A2247="","",IF(MIN(H2247,MAX(J2247:K2247))=0,"",MIN(H2247,MAX(J2247:K2247))))</f>
        <v/>
      </c>
      <c r="G2247" s="74" t="n"/>
      <c r="H2247" s="49">
        <f>IF(M2247="","",IFERROR(ROUND(AVERAGE(T2247+M2247*{7,8,9,10,11})/1.21,4),""))</f>
        <v/>
      </c>
      <c r="I2247" s="76" t="n"/>
      <c r="J2247" s="77" t="n"/>
      <c r="K2247" s="74" t="n"/>
      <c r="L2247" s="78" t="n"/>
      <c r="M2247" s="77" t="n"/>
      <c r="N2247" s="53">
        <f>IF(M2247="","",IFERROR(M2247/I2247,""))</f>
        <v/>
      </c>
      <c r="O2247" s="50">
        <f>IF(A2247="","",IFERROR((IF(G2247="",I2247,G2247)-T2247)/M2247,""))</f>
        <v/>
      </c>
      <c r="P2247" s="50">
        <f>IFERROR((I2247/T2247-1)/N2247,"")</f>
        <v/>
      </c>
      <c r="Q2247" s="46">
        <f>IF(OR(T2247="",I2247&lt;T2247),"",IFERROR(R2247/IF(G2247="",I2247,G2247)-1,""))</f>
        <v/>
      </c>
      <c r="R2247" s="48">
        <f>IF($M2247="","",MAX(IF($G2247="",$I2247,$G2247)*(1/1.1),IF($G2247="",$I2247,$G2247)+(R$2*$M2247)))</f>
        <v/>
      </c>
      <c r="S2247" s="49">
        <f>IF($M2247="","",MAX(IF($G2247="",$I2247,$G2247)*(1/1.1),IF($G2247="",$I2247,$G2247)+(S$2*$M2247)))</f>
        <v/>
      </c>
      <c r="T2247" s="82" t="n"/>
      <c r="U2247" s="47">
        <f>IF(OR($M2247="",$T2247=""),"",$T2247+(U$2*$M2247))</f>
        <v/>
      </c>
      <c r="V2247" s="48">
        <f>IF(OR($M2247="",$T2247=""),"",$T2247+(V$2*$M2247))</f>
        <v/>
      </c>
      <c r="W2247" s="48">
        <f>IF(OR($M2247="",$T2247=""),"",$T2247+(W$2*$M2247))</f>
        <v/>
      </c>
      <c r="X2247" s="49">
        <f>IF(OR($M2247="",$T2247=""),"",$T2247+(X$2*$M2247))</f>
        <v/>
      </c>
      <c r="Y2247" s="47">
        <f>IF(OR($M2247="",$T2247=""),"",$T2247+(Y$2*$M2247))</f>
        <v/>
      </c>
      <c r="Z2247" s="49">
        <f>IF(OR($M2247="",$T2247=""),"",$T2247+(Z$2*$M2247))</f>
        <v/>
      </c>
      <c r="AA2247" s="51">
        <f>IF(OR($M2247="",$T2247=""),"",$T2247+(AA$2*$M2247))</f>
        <v/>
      </c>
      <c r="AB2247" s="48">
        <f>IF(OR($M2247="",$T2247=""),"",$T2247+(AB$2*$M2247))</f>
        <v/>
      </c>
      <c r="AC2247" s="48">
        <f>IF(OR($M2247="",$T2247=""),"",$T2247+(AC$2*$M2247))</f>
        <v/>
      </c>
      <c r="AD2247" s="48">
        <f>IF(OR($M2247="",$T2247=""),"",$T2247+(AD$2*$M2247))</f>
        <v/>
      </c>
      <c r="AE2247" s="49">
        <f>IF(OR($M2247="",$T2247=""),"",$T2247+(AE$2*$M2247))</f>
        <v/>
      </c>
      <c r="AF2247" s="52">
        <f>IF(OR(T2247="",I2247&lt;T2247),"",IFERROR(AVERAGE(T2247+M2247*{7,8,9,10,11})/IF(G2247="",I2247,G2247)-1,""))</f>
        <v/>
      </c>
      <c r="AG2247" s="55">
        <f>IF(OR(T2247="",I2247&lt;T2247),"",IFERROR(AF2247/-(R2247/IF(G2247="",I2247,G2247)-1),""))</f>
        <v/>
      </c>
      <c r="AH2247" s="94" t="n"/>
      <c r="AI2247" s="94" t="n"/>
      <c r="AJ2247" s="94" t="n"/>
      <c r="AK2247" s="94" t="n"/>
      <c r="AL2247" s="84" t="n"/>
    </row>
    <row r="2248">
      <c r="A2248" s="64" t="n"/>
      <c r="B2248" s="65" t="n"/>
      <c r="C2248" s="66" t="n"/>
      <c r="D2248" s="67" t="n"/>
      <c r="E2248" s="68" t="n"/>
      <c r="F2248" s="47">
        <f>IF(A2248="","",IF(MIN(H2248,MAX(J2248:K2248))=0,"",MIN(H2248,MAX(J2248:K2248))))</f>
        <v/>
      </c>
      <c r="G2248" s="74" t="n"/>
      <c r="H2248" s="49">
        <f>IF(M2248="","",IFERROR(ROUND(AVERAGE(T2248+M2248*{7,8,9,10,11})/1.21,4),""))</f>
        <v/>
      </c>
      <c r="I2248" s="76" t="n"/>
      <c r="J2248" s="77" t="n"/>
      <c r="K2248" s="74" t="n"/>
      <c r="L2248" s="78" t="n"/>
      <c r="M2248" s="77" t="n"/>
      <c r="N2248" s="53">
        <f>IF(M2248="","",IFERROR(M2248/I2248,""))</f>
        <v/>
      </c>
      <c r="O2248" s="50">
        <f>IF(A2248="","",IFERROR((IF(G2248="",I2248,G2248)-T2248)/M2248,""))</f>
        <v/>
      </c>
      <c r="P2248" s="50">
        <f>IFERROR((I2248/T2248-1)/N2248,"")</f>
        <v/>
      </c>
      <c r="Q2248" s="46">
        <f>IF(OR(T2248="",I2248&lt;T2248),"",IFERROR(R2248/IF(G2248="",I2248,G2248)-1,""))</f>
        <v/>
      </c>
      <c r="R2248" s="48">
        <f>IF($M2248="","",MAX(IF($G2248="",$I2248,$G2248)*(1/1.1),IF($G2248="",$I2248,$G2248)+(R$2*$M2248)))</f>
        <v/>
      </c>
      <c r="S2248" s="49">
        <f>IF($M2248="","",MAX(IF($G2248="",$I2248,$G2248)*(1/1.1),IF($G2248="",$I2248,$G2248)+(S$2*$M2248)))</f>
        <v/>
      </c>
      <c r="T2248" s="82" t="n"/>
      <c r="U2248" s="47">
        <f>IF(OR($M2248="",$T2248=""),"",$T2248+(U$2*$M2248))</f>
        <v/>
      </c>
      <c r="V2248" s="48">
        <f>IF(OR($M2248="",$T2248=""),"",$T2248+(V$2*$M2248))</f>
        <v/>
      </c>
      <c r="W2248" s="48">
        <f>IF(OR($M2248="",$T2248=""),"",$T2248+(W$2*$M2248))</f>
        <v/>
      </c>
      <c r="X2248" s="49">
        <f>IF(OR($M2248="",$T2248=""),"",$T2248+(X$2*$M2248))</f>
        <v/>
      </c>
      <c r="Y2248" s="47">
        <f>IF(OR($M2248="",$T2248=""),"",$T2248+(Y$2*$M2248))</f>
        <v/>
      </c>
      <c r="Z2248" s="49">
        <f>IF(OR($M2248="",$T2248=""),"",$T2248+(Z$2*$M2248))</f>
        <v/>
      </c>
      <c r="AA2248" s="51">
        <f>IF(OR($M2248="",$T2248=""),"",$T2248+(AA$2*$M2248))</f>
        <v/>
      </c>
      <c r="AB2248" s="48">
        <f>IF(OR($M2248="",$T2248=""),"",$T2248+(AB$2*$M2248))</f>
        <v/>
      </c>
      <c r="AC2248" s="48">
        <f>IF(OR($M2248="",$T2248=""),"",$T2248+(AC$2*$M2248))</f>
        <v/>
      </c>
      <c r="AD2248" s="48">
        <f>IF(OR($M2248="",$T2248=""),"",$T2248+(AD$2*$M2248))</f>
        <v/>
      </c>
      <c r="AE2248" s="49">
        <f>IF(OR($M2248="",$T2248=""),"",$T2248+(AE$2*$M2248))</f>
        <v/>
      </c>
      <c r="AF2248" s="52">
        <f>IF(OR(T2248="",I2248&lt;T2248),"",IFERROR(AVERAGE(T2248+M2248*{7,8,9,10,11})/IF(G2248="",I2248,G2248)-1,""))</f>
        <v/>
      </c>
      <c r="AG2248" s="55">
        <f>IF(OR(T2248="",I2248&lt;T2248),"",IFERROR(AF2248/-(R2248/IF(G2248="",I2248,G2248)-1),""))</f>
        <v/>
      </c>
      <c r="AH2248" s="94" t="n"/>
      <c r="AI2248" s="94" t="n"/>
      <c r="AJ2248" s="94" t="n"/>
      <c r="AK2248" s="94" t="n"/>
      <c r="AL2248" s="84" t="n"/>
    </row>
    <row r="2249">
      <c r="A2249" s="64" t="n"/>
      <c r="B2249" s="65" t="n"/>
      <c r="C2249" s="66" t="n"/>
      <c r="D2249" s="67" t="n"/>
      <c r="E2249" s="68" t="n"/>
      <c r="F2249" s="47">
        <f>IF(A2249="","",IF(MIN(H2249,MAX(J2249:K2249))=0,"",MIN(H2249,MAX(J2249:K2249))))</f>
        <v/>
      </c>
      <c r="G2249" s="74" t="n"/>
      <c r="H2249" s="49">
        <f>IF(M2249="","",IFERROR(ROUND(AVERAGE(T2249+M2249*{7,8,9,10,11})/1.21,4),""))</f>
        <v/>
      </c>
      <c r="I2249" s="76" t="n"/>
      <c r="J2249" s="77" t="n"/>
      <c r="K2249" s="74" t="n"/>
      <c r="L2249" s="78" t="n"/>
      <c r="M2249" s="77" t="n"/>
      <c r="N2249" s="53">
        <f>IF(M2249="","",IFERROR(M2249/I2249,""))</f>
        <v/>
      </c>
      <c r="O2249" s="50">
        <f>IF(A2249="","",IFERROR((IF(G2249="",I2249,G2249)-T2249)/M2249,""))</f>
        <v/>
      </c>
      <c r="P2249" s="50">
        <f>IFERROR((I2249/T2249-1)/N2249,"")</f>
        <v/>
      </c>
      <c r="Q2249" s="46">
        <f>IF(OR(T2249="",I2249&lt;T2249),"",IFERROR(R2249/IF(G2249="",I2249,G2249)-1,""))</f>
        <v/>
      </c>
      <c r="R2249" s="48">
        <f>IF($M2249="","",MAX(IF($G2249="",$I2249,$G2249)*(1/1.1),IF($G2249="",$I2249,$G2249)+(R$2*$M2249)))</f>
        <v/>
      </c>
      <c r="S2249" s="49">
        <f>IF($M2249="","",MAX(IF($G2249="",$I2249,$G2249)*(1/1.1),IF($G2249="",$I2249,$G2249)+(S$2*$M2249)))</f>
        <v/>
      </c>
      <c r="T2249" s="82" t="n"/>
      <c r="U2249" s="47">
        <f>IF(OR($M2249="",$T2249=""),"",$T2249+(U$2*$M2249))</f>
        <v/>
      </c>
      <c r="V2249" s="48">
        <f>IF(OR($M2249="",$T2249=""),"",$T2249+(V$2*$M2249))</f>
        <v/>
      </c>
      <c r="W2249" s="48">
        <f>IF(OR($M2249="",$T2249=""),"",$T2249+(W$2*$M2249))</f>
        <v/>
      </c>
      <c r="X2249" s="49">
        <f>IF(OR($M2249="",$T2249=""),"",$T2249+(X$2*$M2249))</f>
        <v/>
      </c>
      <c r="Y2249" s="47">
        <f>IF(OR($M2249="",$T2249=""),"",$T2249+(Y$2*$M2249))</f>
        <v/>
      </c>
      <c r="Z2249" s="49">
        <f>IF(OR($M2249="",$T2249=""),"",$T2249+(Z$2*$M2249))</f>
        <v/>
      </c>
      <c r="AA2249" s="51">
        <f>IF(OR($M2249="",$T2249=""),"",$T2249+(AA$2*$M2249))</f>
        <v/>
      </c>
      <c r="AB2249" s="48">
        <f>IF(OR($M2249="",$T2249=""),"",$T2249+(AB$2*$M2249))</f>
        <v/>
      </c>
      <c r="AC2249" s="48">
        <f>IF(OR($M2249="",$T2249=""),"",$T2249+(AC$2*$M2249))</f>
        <v/>
      </c>
      <c r="AD2249" s="48">
        <f>IF(OR($M2249="",$T2249=""),"",$T2249+(AD$2*$M2249))</f>
        <v/>
      </c>
      <c r="AE2249" s="49">
        <f>IF(OR($M2249="",$T2249=""),"",$T2249+(AE$2*$M2249))</f>
        <v/>
      </c>
      <c r="AF2249" s="52">
        <f>IF(OR(T2249="",I2249&lt;T2249),"",IFERROR(AVERAGE(T2249+M2249*{7,8,9,10,11})/IF(G2249="",I2249,G2249)-1,""))</f>
        <v/>
      </c>
      <c r="AG2249" s="55">
        <f>IF(OR(T2249="",I2249&lt;T2249),"",IFERROR(AF2249/-(R2249/IF(G2249="",I2249,G2249)-1),""))</f>
        <v/>
      </c>
      <c r="AH2249" s="94" t="n"/>
      <c r="AI2249" s="94" t="n"/>
      <c r="AJ2249" s="94" t="n"/>
      <c r="AK2249" s="94" t="n"/>
      <c r="AL2249" s="84" t="n"/>
    </row>
    <row r="2250">
      <c r="A2250" s="64" t="n"/>
      <c r="B2250" s="65" t="n"/>
      <c r="C2250" s="66" t="n"/>
      <c r="D2250" s="67" t="n"/>
      <c r="E2250" s="68" t="n"/>
      <c r="F2250" s="47">
        <f>IF(A2250="","",IF(MIN(H2250,MAX(J2250:K2250))=0,"",MIN(H2250,MAX(J2250:K2250))))</f>
        <v/>
      </c>
      <c r="G2250" s="74" t="n"/>
      <c r="H2250" s="49">
        <f>IF(M2250="","",IFERROR(ROUND(AVERAGE(T2250+M2250*{7,8,9,10,11})/1.21,4),""))</f>
        <v/>
      </c>
      <c r="I2250" s="76" t="n"/>
      <c r="J2250" s="77" t="n"/>
      <c r="K2250" s="74" t="n"/>
      <c r="L2250" s="78" t="n"/>
      <c r="M2250" s="77" t="n"/>
      <c r="N2250" s="53">
        <f>IF(M2250="","",IFERROR(M2250/I2250,""))</f>
        <v/>
      </c>
      <c r="O2250" s="50">
        <f>IF(A2250="","",IFERROR((IF(G2250="",I2250,G2250)-T2250)/M2250,""))</f>
        <v/>
      </c>
      <c r="P2250" s="50">
        <f>IFERROR((I2250/T2250-1)/N2250,"")</f>
        <v/>
      </c>
      <c r="Q2250" s="46">
        <f>IF(OR(T2250="",I2250&lt;T2250),"",IFERROR(R2250/IF(G2250="",I2250,G2250)-1,""))</f>
        <v/>
      </c>
      <c r="R2250" s="48">
        <f>IF($M2250="","",MAX(IF($G2250="",$I2250,$G2250)*(1/1.1),IF($G2250="",$I2250,$G2250)+(R$2*$M2250)))</f>
        <v/>
      </c>
      <c r="S2250" s="49">
        <f>IF($M2250="","",MAX(IF($G2250="",$I2250,$G2250)*(1/1.1),IF($G2250="",$I2250,$G2250)+(S$2*$M2250)))</f>
        <v/>
      </c>
      <c r="T2250" s="82" t="n"/>
      <c r="U2250" s="47">
        <f>IF(OR($M2250="",$T2250=""),"",$T2250+(U$2*$M2250))</f>
        <v/>
      </c>
      <c r="V2250" s="48">
        <f>IF(OR($M2250="",$T2250=""),"",$T2250+(V$2*$M2250))</f>
        <v/>
      </c>
      <c r="W2250" s="48">
        <f>IF(OR($M2250="",$T2250=""),"",$T2250+(W$2*$M2250))</f>
        <v/>
      </c>
      <c r="X2250" s="49">
        <f>IF(OR($M2250="",$T2250=""),"",$T2250+(X$2*$M2250))</f>
        <v/>
      </c>
      <c r="Y2250" s="47">
        <f>IF(OR($M2250="",$T2250=""),"",$T2250+(Y$2*$M2250))</f>
        <v/>
      </c>
      <c r="Z2250" s="49">
        <f>IF(OR($M2250="",$T2250=""),"",$T2250+(Z$2*$M2250))</f>
        <v/>
      </c>
      <c r="AA2250" s="51">
        <f>IF(OR($M2250="",$T2250=""),"",$T2250+(AA$2*$M2250))</f>
        <v/>
      </c>
      <c r="AB2250" s="48">
        <f>IF(OR($M2250="",$T2250=""),"",$T2250+(AB$2*$M2250))</f>
        <v/>
      </c>
      <c r="AC2250" s="48">
        <f>IF(OR($M2250="",$T2250=""),"",$T2250+(AC$2*$M2250))</f>
        <v/>
      </c>
      <c r="AD2250" s="48">
        <f>IF(OR($M2250="",$T2250=""),"",$T2250+(AD$2*$M2250))</f>
        <v/>
      </c>
      <c r="AE2250" s="49">
        <f>IF(OR($M2250="",$T2250=""),"",$T2250+(AE$2*$M2250))</f>
        <v/>
      </c>
      <c r="AF2250" s="52">
        <f>IF(OR(T2250="",I2250&lt;T2250),"",IFERROR(AVERAGE(T2250+M2250*{7,8,9,10,11})/IF(G2250="",I2250,G2250)-1,""))</f>
        <v/>
      </c>
      <c r="AG2250" s="55">
        <f>IF(OR(T2250="",I2250&lt;T2250),"",IFERROR(AF2250/-(R2250/IF(G2250="",I2250,G2250)-1),""))</f>
        <v/>
      </c>
      <c r="AH2250" s="94" t="n"/>
      <c r="AI2250" s="94" t="n"/>
      <c r="AJ2250" s="94" t="n"/>
      <c r="AK2250" s="94" t="n"/>
      <c r="AL2250" s="84" t="n"/>
    </row>
    <row r="2251">
      <c r="A2251" s="64" t="n"/>
      <c r="B2251" s="65" t="n"/>
      <c r="C2251" s="66" t="n"/>
      <c r="D2251" s="67" t="n"/>
      <c r="E2251" s="68" t="n"/>
      <c r="F2251" s="47">
        <f>IF(A2251="","",IF(MIN(H2251,MAX(J2251:K2251))=0,"",MIN(H2251,MAX(J2251:K2251))))</f>
        <v/>
      </c>
      <c r="G2251" s="74" t="n"/>
      <c r="H2251" s="49">
        <f>IF(M2251="","",IFERROR(ROUND(AVERAGE(T2251+M2251*{7,8,9,10,11})/1.21,4),""))</f>
        <v/>
      </c>
      <c r="I2251" s="76" t="n"/>
      <c r="J2251" s="77" t="n"/>
      <c r="K2251" s="74" t="n"/>
      <c r="L2251" s="78" t="n"/>
      <c r="M2251" s="77" t="n"/>
      <c r="N2251" s="53">
        <f>IF(M2251="","",IFERROR(M2251/I2251,""))</f>
        <v/>
      </c>
      <c r="O2251" s="50">
        <f>IF(A2251="","",IFERROR((IF(G2251="",I2251,G2251)-T2251)/M2251,""))</f>
        <v/>
      </c>
      <c r="P2251" s="50">
        <f>IFERROR((I2251/T2251-1)/N2251,"")</f>
        <v/>
      </c>
      <c r="Q2251" s="46">
        <f>IF(OR(T2251="",I2251&lt;T2251),"",IFERROR(R2251/IF(G2251="",I2251,G2251)-1,""))</f>
        <v/>
      </c>
      <c r="R2251" s="48">
        <f>IF($M2251="","",MAX(IF($G2251="",$I2251,$G2251)*(1/1.1),IF($G2251="",$I2251,$G2251)+(R$2*$M2251)))</f>
        <v/>
      </c>
      <c r="S2251" s="49">
        <f>IF($M2251="","",MAX(IF($G2251="",$I2251,$G2251)*(1/1.1),IF($G2251="",$I2251,$G2251)+(S$2*$M2251)))</f>
        <v/>
      </c>
      <c r="T2251" s="82" t="n"/>
      <c r="U2251" s="47">
        <f>IF(OR($M2251="",$T2251=""),"",$T2251+(U$2*$M2251))</f>
        <v/>
      </c>
      <c r="V2251" s="48">
        <f>IF(OR($M2251="",$T2251=""),"",$T2251+(V$2*$M2251))</f>
        <v/>
      </c>
      <c r="W2251" s="48">
        <f>IF(OR($M2251="",$T2251=""),"",$T2251+(W$2*$M2251))</f>
        <v/>
      </c>
      <c r="X2251" s="49">
        <f>IF(OR($M2251="",$T2251=""),"",$T2251+(X$2*$M2251))</f>
        <v/>
      </c>
      <c r="Y2251" s="47">
        <f>IF(OR($M2251="",$T2251=""),"",$T2251+(Y$2*$M2251))</f>
        <v/>
      </c>
      <c r="Z2251" s="49">
        <f>IF(OR($M2251="",$T2251=""),"",$T2251+(Z$2*$M2251))</f>
        <v/>
      </c>
      <c r="AA2251" s="51">
        <f>IF(OR($M2251="",$T2251=""),"",$T2251+(AA$2*$M2251))</f>
        <v/>
      </c>
      <c r="AB2251" s="48">
        <f>IF(OR($M2251="",$T2251=""),"",$T2251+(AB$2*$M2251))</f>
        <v/>
      </c>
      <c r="AC2251" s="48">
        <f>IF(OR($M2251="",$T2251=""),"",$T2251+(AC$2*$M2251))</f>
        <v/>
      </c>
      <c r="AD2251" s="48">
        <f>IF(OR($M2251="",$T2251=""),"",$T2251+(AD$2*$M2251))</f>
        <v/>
      </c>
      <c r="AE2251" s="49">
        <f>IF(OR($M2251="",$T2251=""),"",$T2251+(AE$2*$M2251))</f>
        <v/>
      </c>
      <c r="AF2251" s="52">
        <f>IF(OR(T2251="",I2251&lt;T2251),"",IFERROR(AVERAGE(T2251+M2251*{7,8,9,10,11})/IF(G2251="",I2251,G2251)-1,""))</f>
        <v/>
      </c>
      <c r="AG2251" s="55">
        <f>IF(OR(T2251="",I2251&lt;T2251),"",IFERROR(AF2251/-(R2251/IF(G2251="",I2251,G2251)-1),""))</f>
        <v/>
      </c>
      <c r="AH2251" s="94" t="n"/>
      <c r="AI2251" s="94" t="n"/>
      <c r="AJ2251" s="94" t="n"/>
      <c r="AK2251" s="94" t="n"/>
      <c r="AL2251" s="84" t="n"/>
    </row>
    <row r="2252">
      <c r="A2252" s="64" t="n"/>
      <c r="B2252" s="65" t="n"/>
      <c r="C2252" s="66" t="n"/>
      <c r="D2252" s="67" t="n"/>
      <c r="E2252" s="68" t="n"/>
      <c r="F2252" s="47">
        <f>IF(A2252="","",IF(MIN(H2252,MAX(J2252:K2252))=0,"",MIN(H2252,MAX(J2252:K2252))))</f>
        <v/>
      </c>
      <c r="G2252" s="74" t="n"/>
      <c r="H2252" s="49">
        <f>IF(M2252="","",IFERROR(ROUND(AVERAGE(T2252+M2252*{7,8,9,10,11})/1.21,4),""))</f>
        <v/>
      </c>
      <c r="I2252" s="76" t="n"/>
      <c r="J2252" s="77" t="n"/>
      <c r="K2252" s="74" t="n"/>
      <c r="L2252" s="78" t="n"/>
      <c r="M2252" s="77" t="n"/>
      <c r="N2252" s="53">
        <f>IF(M2252="","",IFERROR(M2252/I2252,""))</f>
        <v/>
      </c>
      <c r="O2252" s="50">
        <f>IF(A2252="","",IFERROR((IF(G2252="",I2252,G2252)-T2252)/M2252,""))</f>
        <v/>
      </c>
      <c r="P2252" s="50">
        <f>IFERROR((I2252/T2252-1)/N2252,"")</f>
        <v/>
      </c>
      <c r="Q2252" s="46">
        <f>IF(OR(T2252="",I2252&lt;T2252),"",IFERROR(R2252/IF(G2252="",I2252,G2252)-1,""))</f>
        <v/>
      </c>
      <c r="R2252" s="48">
        <f>IF($M2252="","",MAX(IF($G2252="",$I2252,$G2252)*(1/1.1),IF($G2252="",$I2252,$G2252)+(R$2*$M2252)))</f>
        <v/>
      </c>
      <c r="S2252" s="49">
        <f>IF($M2252="","",MAX(IF($G2252="",$I2252,$G2252)*(1/1.1),IF($G2252="",$I2252,$G2252)+(S$2*$M2252)))</f>
        <v/>
      </c>
      <c r="T2252" s="82" t="n"/>
      <c r="U2252" s="47">
        <f>IF(OR($M2252="",$T2252=""),"",$T2252+(U$2*$M2252))</f>
        <v/>
      </c>
      <c r="V2252" s="48">
        <f>IF(OR($M2252="",$T2252=""),"",$T2252+(V$2*$M2252))</f>
        <v/>
      </c>
      <c r="W2252" s="48">
        <f>IF(OR($M2252="",$T2252=""),"",$T2252+(W$2*$M2252))</f>
        <v/>
      </c>
      <c r="X2252" s="49">
        <f>IF(OR($M2252="",$T2252=""),"",$T2252+(X$2*$M2252))</f>
        <v/>
      </c>
      <c r="Y2252" s="47">
        <f>IF(OR($M2252="",$T2252=""),"",$T2252+(Y$2*$M2252))</f>
        <v/>
      </c>
      <c r="Z2252" s="49">
        <f>IF(OR($M2252="",$T2252=""),"",$T2252+(Z$2*$M2252))</f>
        <v/>
      </c>
      <c r="AA2252" s="51">
        <f>IF(OR($M2252="",$T2252=""),"",$T2252+(AA$2*$M2252))</f>
        <v/>
      </c>
      <c r="AB2252" s="48">
        <f>IF(OR($M2252="",$T2252=""),"",$T2252+(AB$2*$M2252))</f>
        <v/>
      </c>
      <c r="AC2252" s="48">
        <f>IF(OR($M2252="",$T2252=""),"",$T2252+(AC$2*$M2252))</f>
        <v/>
      </c>
      <c r="AD2252" s="48">
        <f>IF(OR($M2252="",$T2252=""),"",$T2252+(AD$2*$M2252))</f>
        <v/>
      </c>
      <c r="AE2252" s="49">
        <f>IF(OR($M2252="",$T2252=""),"",$T2252+(AE$2*$M2252))</f>
        <v/>
      </c>
      <c r="AF2252" s="52">
        <f>IF(OR(T2252="",I2252&lt;T2252),"",IFERROR(AVERAGE(T2252+M2252*{7,8,9,10,11})/IF(G2252="",I2252,G2252)-1,""))</f>
        <v/>
      </c>
      <c r="AG2252" s="55">
        <f>IF(OR(T2252="",I2252&lt;T2252),"",IFERROR(AF2252/-(R2252/IF(G2252="",I2252,G2252)-1),""))</f>
        <v/>
      </c>
      <c r="AH2252" s="94" t="n"/>
      <c r="AI2252" s="94" t="n"/>
      <c r="AJ2252" s="94" t="n"/>
      <c r="AK2252" s="94" t="n"/>
      <c r="AL2252" s="84" t="n"/>
    </row>
    <row r="2253">
      <c r="A2253" s="64" t="n"/>
      <c r="B2253" s="65" t="n"/>
      <c r="C2253" s="66" t="n"/>
      <c r="D2253" s="67" t="n"/>
      <c r="E2253" s="68" t="n"/>
      <c r="F2253" s="47">
        <f>IF(A2253="","",IF(MIN(H2253,MAX(J2253:K2253))=0,"",MIN(H2253,MAX(J2253:K2253))))</f>
        <v/>
      </c>
      <c r="G2253" s="74" t="n"/>
      <c r="H2253" s="49">
        <f>IF(M2253="","",IFERROR(ROUND(AVERAGE(T2253+M2253*{7,8,9,10,11})/1.21,4),""))</f>
        <v/>
      </c>
      <c r="I2253" s="76" t="n"/>
      <c r="J2253" s="77" t="n"/>
      <c r="K2253" s="74" t="n"/>
      <c r="L2253" s="78" t="n"/>
      <c r="M2253" s="77" t="n"/>
      <c r="N2253" s="53">
        <f>IF(M2253="","",IFERROR(M2253/I2253,""))</f>
        <v/>
      </c>
      <c r="O2253" s="50">
        <f>IF(A2253="","",IFERROR((IF(G2253="",I2253,G2253)-T2253)/M2253,""))</f>
        <v/>
      </c>
      <c r="P2253" s="50">
        <f>IFERROR((I2253/T2253-1)/N2253,"")</f>
        <v/>
      </c>
      <c r="Q2253" s="46">
        <f>IF(OR(T2253="",I2253&lt;T2253),"",IFERROR(R2253/IF(G2253="",I2253,G2253)-1,""))</f>
        <v/>
      </c>
      <c r="R2253" s="48">
        <f>IF($M2253="","",MAX(IF($G2253="",$I2253,$G2253)*(1/1.1),IF($G2253="",$I2253,$G2253)+(R$2*$M2253)))</f>
        <v/>
      </c>
      <c r="S2253" s="49">
        <f>IF($M2253="","",MAX(IF($G2253="",$I2253,$G2253)*(1/1.1),IF($G2253="",$I2253,$G2253)+(S$2*$M2253)))</f>
        <v/>
      </c>
      <c r="T2253" s="82" t="n"/>
      <c r="U2253" s="47">
        <f>IF(OR($M2253="",$T2253=""),"",$T2253+(U$2*$M2253))</f>
        <v/>
      </c>
      <c r="V2253" s="48">
        <f>IF(OR($M2253="",$T2253=""),"",$T2253+(V$2*$M2253))</f>
        <v/>
      </c>
      <c r="W2253" s="48">
        <f>IF(OR($M2253="",$T2253=""),"",$T2253+(W$2*$M2253))</f>
        <v/>
      </c>
      <c r="X2253" s="49">
        <f>IF(OR($M2253="",$T2253=""),"",$T2253+(X$2*$M2253))</f>
        <v/>
      </c>
      <c r="Y2253" s="47">
        <f>IF(OR($M2253="",$T2253=""),"",$T2253+(Y$2*$M2253))</f>
        <v/>
      </c>
      <c r="Z2253" s="49">
        <f>IF(OR($M2253="",$T2253=""),"",$T2253+(Z$2*$M2253))</f>
        <v/>
      </c>
      <c r="AA2253" s="51">
        <f>IF(OR($M2253="",$T2253=""),"",$T2253+(AA$2*$M2253))</f>
        <v/>
      </c>
      <c r="AB2253" s="48">
        <f>IF(OR($M2253="",$T2253=""),"",$T2253+(AB$2*$M2253))</f>
        <v/>
      </c>
      <c r="AC2253" s="48">
        <f>IF(OR($M2253="",$T2253=""),"",$T2253+(AC$2*$M2253))</f>
        <v/>
      </c>
      <c r="AD2253" s="48">
        <f>IF(OR($M2253="",$T2253=""),"",$T2253+(AD$2*$M2253))</f>
        <v/>
      </c>
      <c r="AE2253" s="49">
        <f>IF(OR($M2253="",$T2253=""),"",$T2253+(AE$2*$M2253))</f>
        <v/>
      </c>
      <c r="AF2253" s="52">
        <f>IF(OR(T2253="",I2253&lt;T2253),"",IFERROR(AVERAGE(T2253+M2253*{7,8,9,10,11})/IF(G2253="",I2253,G2253)-1,""))</f>
        <v/>
      </c>
      <c r="AG2253" s="55">
        <f>IF(OR(T2253="",I2253&lt;T2253),"",IFERROR(AF2253/-(R2253/IF(G2253="",I2253,G2253)-1),""))</f>
        <v/>
      </c>
      <c r="AH2253" s="94" t="n"/>
      <c r="AI2253" s="94" t="n"/>
      <c r="AJ2253" s="94" t="n"/>
      <c r="AK2253" s="94" t="n"/>
      <c r="AL2253" s="84" t="n"/>
    </row>
    <row r="2254">
      <c r="A2254" s="64" t="n"/>
      <c r="B2254" s="65" t="n"/>
      <c r="C2254" s="66" t="n"/>
      <c r="D2254" s="67" t="n"/>
      <c r="E2254" s="68" t="n"/>
      <c r="F2254" s="47">
        <f>IF(A2254="","",IF(MIN(H2254,MAX(J2254:K2254))=0,"",MIN(H2254,MAX(J2254:K2254))))</f>
        <v/>
      </c>
      <c r="G2254" s="74" t="n"/>
      <c r="H2254" s="49">
        <f>IF(M2254="","",IFERROR(ROUND(AVERAGE(T2254+M2254*{7,8,9,10,11})/1.21,4),""))</f>
        <v/>
      </c>
      <c r="I2254" s="76" t="n"/>
      <c r="J2254" s="77" t="n"/>
      <c r="K2254" s="74" t="n"/>
      <c r="L2254" s="78" t="n"/>
      <c r="M2254" s="77" t="n"/>
      <c r="N2254" s="53">
        <f>IF(M2254="","",IFERROR(M2254/I2254,""))</f>
        <v/>
      </c>
      <c r="O2254" s="50">
        <f>IF(A2254="","",IFERROR((IF(G2254="",I2254,G2254)-T2254)/M2254,""))</f>
        <v/>
      </c>
      <c r="P2254" s="50">
        <f>IFERROR((I2254/T2254-1)/N2254,"")</f>
        <v/>
      </c>
      <c r="Q2254" s="46">
        <f>IF(OR(T2254="",I2254&lt;T2254),"",IFERROR(R2254/IF(G2254="",I2254,G2254)-1,""))</f>
        <v/>
      </c>
      <c r="R2254" s="48">
        <f>IF($M2254="","",MAX(IF($G2254="",$I2254,$G2254)*(1/1.1),IF($G2254="",$I2254,$G2254)+(R$2*$M2254)))</f>
        <v/>
      </c>
      <c r="S2254" s="49">
        <f>IF($M2254="","",MAX(IF($G2254="",$I2254,$G2254)*(1/1.1),IF($G2254="",$I2254,$G2254)+(S$2*$M2254)))</f>
        <v/>
      </c>
      <c r="T2254" s="82" t="n"/>
      <c r="U2254" s="47">
        <f>IF(OR($M2254="",$T2254=""),"",$T2254+(U$2*$M2254))</f>
        <v/>
      </c>
      <c r="V2254" s="48">
        <f>IF(OR($M2254="",$T2254=""),"",$T2254+(V$2*$M2254))</f>
        <v/>
      </c>
      <c r="W2254" s="48">
        <f>IF(OR($M2254="",$T2254=""),"",$T2254+(W$2*$M2254))</f>
        <v/>
      </c>
      <c r="X2254" s="49">
        <f>IF(OR($M2254="",$T2254=""),"",$T2254+(X$2*$M2254))</f>
        <v/>
      </c>
      <c r="Y2254" s="47">
        <f>IF(OR($M2254="",$T2254=""),"",$T2254+(Y$2*$M2254))</f>
        <v/>
      </c>
      <c r="Z2254" s="49">
        <f>IF(OR($M2254="",$T2254=""),"",$T2254+(Z$2*$M2254))</f>
        <v/>
      </c>
      <c r="AA2254" s="51">
        <f>IF(OR($M2254="",$T2254=""),"",$T2254+(AA$2*$M2254))</f>
        <v/>
      </c>
      <c r="AB2254" s="48">
        <f>IF(OR($M2254="",$T2254=""),"",$T2254+(AB$2*$M2254))</f>
        <v/>
      </c>
      <c r="AC2254" s="48">
        <f>IF(OR($M2254="",$T2254=""),"",$T2254+(AC$2*$M2254))</f>
        <v/>
      </c>
      <c r="AD2254" s="48">
        <f>IF(OR($M2254="",$T2254=""),"",$T2254+(AD$2*$M2254))</f>
        <v/>
      </c>
      <c r="AE2254" s="49">
        <f>IF(OR($M2254="",$T2254=""),"",$T2254+(AE$2*$M2254))</f>
        <v/>
      </c>
      <c r="AF2254" s="52">
        <f>IF(OR(T2254="",I2254&lt;T2254),"",IFERROR(AVERAGE(T2254+M2254*{7,8,9,10,11})/IF(G2254="",I2254,G2254)-1,""))</f>
        <v/>
      </c>
      <c r="AG2254" s="55">
        <f>IF(OR(T2254="",I2254&lt;T2254),"",IFERROR(AF2254/-(R2254/IF(G2254="",I2254,G2254)-1),""))</f>
        <v/>
      </c>
      <c r="AH2254" s="94" t="n"/>
      <c r="AI2254" s="94" t="n"/>
      <c r="AJ2254" s="94" t="n"/>
      <c r="AK2254" s="94" t="n"/>
      <c r="AL2254" s="84" t="n"/>
    </row>
    <row r="2255">
      <c r="A2255" s="64" t="n"/>
      <c r="B2255" s="65" t="n"/>
      <c r="C2255" s="66" t="n"/>
      <c r="D2255" s="67" t="n"/>
      <c r="E2255" s="68" t="n"/>
      <c r="F2255" s="47">
        <f>IF(A2255="","",IF(MIN(H2255,MAX(J2255:K2255))=0,"",MIN(H2255,MAX(J2255:K2255))))</f>
        <v/>
      </c>
      <c r="G2255" s="74" t="n"/>
      <c r="H2255" s="49">
        <f>IF(M2255="","",IFERROR(ROUND(AVERAGE(T2255+M2255*{7,8,9,10,11})/1.21,4),""))</f>
        <v/>
      </c>
      <c r="I2255" s="76" t="n"/>
      <c r="J2255" s="77" t="n"/>
      <c r="K2255" s="74" t="n"/>
      <c r="L2255" s="78" t="n"/>
      <c r="M2255" s="77" t="n"/>
      <c r="N2255" s="53">
        <f>IF(M2255="","",IFERROR(M2255/I2255,""))</f>
        <v/>
      </c>
      <c r="O2255" s="50">
        <f>IF(A2255="","",IFERROR((IF(G2255="",I2255,G2255)-T2255)/M2255,""))</f>
        <v/>
      </c>
      <c r="P2255" s="50">
        <f>IFERROR((I2255/T2255-1)/N2255,"")</f>
        <v/>
      </c>
      <c r="Q2255" s="46">
        <f>IF(OR(T2255="",I2255&lt;T2255),"",IFERROR(R2255/IF(G2255="",I2255,G2255)-1,""))</f>
        <v/>
      </c>
      <c r="R2255" s="48">
        <f>IF($M2255="","",MAX(IF($G2255="",$I2255,$G2255)*(1/1.1),IF($G2255="",$I2255,$G2255)+(R$2*$M2255)))</f>
        <v/>
      </c>
      <c r="S2255" s="49">
        <f>IF($M2255="","",MAX(IF($G2255="",$I2255,$G2255)*(1/1.1),IF($G2255="",$I2255,$G2255)+(S$2*$M2255)))</f>
        <v/>
      </c>
      <c r="T2255" s="82" t="n"/>
      <c r="U2255" s="47">
        <f>IF(OR($M2255="",$T2255=""),"",$T2255+(U$2*$M2255))</f>
        <v/>
      </c>
      <c r="V2255" s="48">
        <f>IF(OR($M2255="",$T2255=""),"",$T2255+(V$2*$M2255))</f>
        <v/>
      </c>
      <c r="W2255" s="48">
        <f>IF(OR($M2255="",$T2255=""),"",$T2255+(W$2*$M2255))</f>
        <v/>
      </c>
      <c r="X2255" s="49">
        <f>IF(OR($M2255="",$T2255=""),"",$T2255+(X$2*$M2255))</f>
        <v/>
      </c>
      <c r="Y2255" s="47">
        <f>IF(OR($M2255="",$T2255=""),"",$T2255+(Y$2*$M2255))</f>
        <v/>
      </c>
      <c r="Z2255" s="49">
        <f>IF(OR($M2255="",$T2255=""),"",$T2255+(Z$2*$M2255))</f>
        <v/>
      </c>
      <c r="AA2255" s="51">
        <f>IF(OR($M2255="",$T2255=""),"",$T2255+(AA$2*$M2255))</f>
        <v/>
      </c>
      <c r="AB2255" s="48">
        <f>IF(OR($M2255="",$T2255=""),"",$T2255+(AB$2*$M2255))</f>
        <v/>
      </c>
      <c r="AC2255" s="48">
        <f>IF(OR($M2255="",$T2255=""),"",$T2255+(AC$2*$M2255))</f>
        <v/>
      </c>
      <c r="AD2255" s="48">
        <f>IF(OR($M2255="",$T2255=""),"",$T2255+(AD$2*$M2255))</f>
        <v/>
      </c>
      <c r="AE2255" s="49">
        <f>IF(OR($M2255="",$T2255=""),"",$T2255+(AE$2*$M2255))</f>
        <v/>
      </c>
      <c r="AF2255" s="52">
        <f>IF(OR(T2255="",I2255&lt;T2255),"",IFERROR(AVERAGE(T2255+M2255*{7,8,9,10,11})/IF(G2255="",I2255,G2255)-1,""))</f>
        <v/>
      </c>
      <c r="AG2255" s="55">
        <f>IF(OR(T2255="",I2255&lt;T2255),"",IFERROR(AF2255/-(R2255/IF(G2255="",I2255,G2255)-1),""))</f>
        <v/>
      </c>
      <c r="AH2255" s="94" t="n"/>
      <c r="AI2255" s="94" t="n"/>
      <c r="AJ2255" s="94" t="n"/>
      <c r="AK2255" s="94" t="n"/>
      <c r="AL2255" s="84" t="n"/>
    </row>
    <row r="2256">
      <c r="A2256" s="64" t="n"/>
      <c r="B2256" s="65" t="n"/>
      <c r="C2256" s="66" t="n"/>
      <c r="D2256" s="67" t="n"/>
      <c r="E2256" s="68" t="n"/>
      <c r="F2256" s="47">
        <f>IF(A2256="","",IF(MIN(H2256,MAX(J2256:K2256))=0,"",MIN(H2256,MAX(J2256:K2256))))</f>
        <v/>
      </c>
      <c r="G2256" s="74" t="n"/>
      <c r="H2256" s="49">
        <f>IF(M2256="","",IFERROR(ROUND(AVERAGE(T2256+M2256*{7,8,9,10,11})/1.21,4),""))</f>
        <v/>
      </c>
      <c r="I2256" s="76" t="n"/>
      <c r="J2256" s="77" t="n"/>
      <c r="K2256" s="74" t="n"/>
      <c r="L2256" s="78" t="n"/>
      <c r="M2256" s="77" t="n"/>
      <c r="N2256" s="53">
        <f>IF(M2256="","",IFERROR(M2256/I2256,""))</f>
        <v/>
      </c>
      <c r="O2256" s="50">
        <f>IF(A2256="","",IFERROR((IF(G2256="",I2256,G2256)-T2256)/M2256,""))</f>
        <v/>
      </c>
      <c r="P2256" s="50">
        <f>IFERROR((I2256/T2256-1)/N2256,"")</f>
        <v/>
      </c>
      <c r="Q2256" s="46">
        <f>IF(OR(T2256="",I2256&lt;T2256),"",IFERROR(R2256/IF(G2256="",I2256,G2256)-1,""))</f>
        <v/>
      </c>
      <c r="R2256" s="48">
        <f>IF($M2256="","",MAX(IF($G2256="",$I2256,$G2256)*(1/1.1),IF($G2256="",$I2256,$G2256)+(R$2*$M2256)))</f>
        <v/>
      </c>
      <c r="S2256" s="49">
        <f>IF($M2256="","",MAX(IF($G2256="",$I2256,$G2256)*(1/1.1),IF($G2256="",$I2256,$G2256)+(S$2*$M2256)))</f>
        <v/>
      </c>
      <c r="T2256" s="82" t="n"/>
      <c r="U2256" s="47">
        <f>IF(OR($M2256="",$T2256=""),"",$T2256+(U$2*$M2256))</f>
        <v/>
      </c>
      <c r="V2256" s="48">
        <f>IF(OR($M2256="",$T2256=""),"",$T2256+(V$2*$M2256))</f>
        <v/>
      </c>
      <c r="W2256" s="48">
        <f>IF(OR($M2256="",$T2256=""),"",$T2256+(W$2*$M2256))</f>
        <v/>
      </c>
      <c r="X2256" s="49">
        <f>IF(OR($M2256="",$T2256=""),"",$T2256+(X$2*$M2256))</f>
        <v/>
      </c>
      <c r="Y2256" s="47">
        <f>IF(OR($M2256="",$T2256=""),"",$T2256+(Y$2*$M2256))</f>
        <v/>
      </c>
      <c r="Z2256" s="49">
        <f>IF(OR($M2256="",$T2256=""),"",$T2256+(Z$2*$M2256))</f>
        <v/>
      </c>
      <c r="AA2256" s="51">
        <f>IF(OR($M2256="",$T2256=""),"",$T2256+(AA$2*$M2256))</f>
        <v/>
      </c>
      <c r="AB2256" s="48">
        <f>IF(OR($M2256="",$T2256=""),"",$T2256+(AB$2*$M2256))</f>
        <v/>
      </c>
      <c r="AC2256" s="48">
        <f>IF(OR($M2256="",$T2256=""),"",$T2256+(AC$2*$M2256))</f>
        <v/>
      </c>
      <c r="AD2256" s="48">
        <f>IF(OR($M2256="",$T2256=""),"",$T2256+(AD$2*$M2256))</f>
        <v/>
      </c>
      <c r="AE2256" s="49">
        <f>IF(OR($M2256="",$T2256=""),"",$T2256+(AE$2*$M2256))</f>
        <v/>
      </c>
      <c r="AF2256" s="52">
        <f>IF(OR(T2256="",I2256&lt;T2256),"",IFERROR(AVERAGE(T2256+M2256*{7,8,9,10,11})/IF(G2256="",I2256,G2256)-1,""))</f>
        <v/>
      </c>
      <c r="AG2256" s="55">
        <f>IF(OR(T2256="",I2256&lt;T2256),"",IFERROR(AF2256/-(R2256/IF(G2256="",I2256,G2256)-1),""))</f>
        <v/>
      </c>
      <c r="AH2256" s="94" t="n"/>
      <c r="AI2256" s="94" t="n"/>
      <c r="AJ2256" s="94" t="n"/>
      <c r="AK2256" s="94" t="n"/>
      <c r="AL2256" s="84" t="n"/>
    </row>
    <row r="2257">
      <c r="A2257" s="64" t="n"/>
      <c r="B2257" s="65" t="n"/>
      <c r="C2257" s="66" t="n"/>
      <c r="D2257" s="67" t="n"/>
      <c r="E2257" s="68" t="n"/>
      <c r="F2257" s="47">
        <f>IF(A2257="","",IF(MIN(H2257,MAX(J2257:K2257))=0,"",MIN(H2257,MAX(J2257:K2257))))</f>
        <v/>
      </c>
      <c r="G2257" s="74" t="n"/>
      <c r="H2257" s="49">
        <f>IF(M2257="","",IFERROR(ROUND(AVERAGE(T2257+M2257*{7,8,9,10,11})/1.21,4),""))</f>
        <v/>
      </c>
      <c r="I2257" s="76" t="n"/>
      <c r="J2257" s="77" t="n"/>
      <c r="K2257" s="74" t="n"/>
      <c r="L2257" s="78" t="n"/>
      <c r="M2257" s="77" t="n"/>
      <c r="N2257" s="53">
        <f>IF(M2257="","",IFERROR(M2257/I2257,""))</f>
        <v/>
      </c>
      <c r="O2257" s="50">
        <f>IF(A2257="","",IFERROR((IF(G2257="",I2257,G2257)-T2257)/M2257,""))</f>
        <v/>
      </c>
      <c r="P2257" s="50">
        <f>IFERROR((I2257/T2257-1)/N2257,"")</f>
        <v/>
      </c>
      <c r="Q2257" s="46">
        <f>IF(OR(T2257="",I2257&lt;T2257),"",IFERROR(R2257/IF(G2257="",I2257,G2257)-1,""))</f>
        <v/>
      </c>
      <c r="R2257" s="48">
        <f>IF($M2257="","",MAX(IF($G2257="",$I2257,$G2257)*(1/1.1),IF($G2257="",$I2257,$G2257)+(R$2*$M2257)))</f>
        <v/>
      </c>
      <c r="S2257" s="49">
        <f>IF($M2257="","",MAX(IF($G2257="",$I2257,$G2257)*(1/1.1),IF($G2257="",$I2257,$G2257)+(S$2*$M2257)))</f>
        <v/>
      </c>
      <c r="T2257" s="82" t="n"/>
      <c r="U2257" s="47">
        <f>IF(OR($M2257="",$T2257=""),"",$T2257+(U$2*$M2257))</f>
        <v/>
      </c>
      <c r="V2257" s="48">
        <f>IF(OR($M2257="",$T2257=""),"",$T2257+(V$2*$M2257))</f>
        <v/>
      </c>
      <c r="W2257" s="48">
        <f>IF(OR($M2257="",$T2257=""),"",$T2257+(W$2*$M2257))</f>
        <v/>
      </c>
      <c r="X2257" s="49">
        <f>IF(OR($M2257="",$T2257=""),"",$T2257+(X$2*$M2257))</f>
        <v/>
      </c>
      <c r="Y2257" s="47">
        <f>IF(OR($M2257="",$T2257=""),"",$T2257+(Y$2*$M2257))</f>
        <v/>
      </c>
      <c r="Z2257" s="49">
        <f>IF(OR($M2257="",$T2257=""),"",$T2257+(Z$2*$M2257))</f>
        <v/>
      </c>
      <c r="AA2257" s="51">
        <f>IF(OR($M2257="",$T2257=""),"",$T2257+(AA$2*$M2257))</f>
        <v/>
      </c>
      <c r="AB2257" s="48">
        <f>IF(OR($M2257="",$T2257=""),"",$T2257+(AB$2*$M2257))</f>
        <v/>
      </c>
      <c r="AC2257" s="48">
        <f>IF(OR($M2257="",$T2257=""),"",$T2257+(AC$2*$M2257))</f>
        <v/>
      </c>
      <c r="AD2257" s="48">
        <f>IF(OR($M2257="",$T2257=""),"",$T2257+(AD$2*$M2257))</f>
        <v/>
      </c>
      <c r="AE2257" s="49">
        <f>IF(OR($M2257="",$T2257=""),"",$T2257+(AE$2*$M2257))</f>
        <v/>
      </c>
      <c r="AF2257" s="52">
        <f>IF(OR(T2257="",I2257&lt;T2257),"",IFERROR(AVERAGE(T2257+M2257*{7,8,9,10,11})/IF(G2257="",I2257,G2257)-1,""))</f>
        <v/>
      </c>
      <c r="AG2257" s="55">
        <f>IF(OR(T2257="",I2257&lt;T2257),"",IFERROR(AF2257/-(R2257/IF(G2257="",I2257,G2257)-1),""))</f>
        <v/>
      </c>
      <c r="AH2257" s="94" t="n"/>
      <c r="AI2257" s="94" t="n"/>
      <c r="AJ2257" s="94" t="n"/>
      <c r="AK2257" s="94" t="n"/>
      <c r="AL2257" s="84" t="n"/>
    </row>
    <row r="2258">
      <c r="A2258" s="64" t="n"/>
      <c r="B2258" s="65" t="n"/>
      <c r="C2258" s="66" t="n"/>
      <c r="D2258" s="67" t="n"/>
      <c r="E2258" s="68" t="n"/>
      <c r="F2258" s="47">
        <f>IF(A2258="","",IF(MIN(H2258,MAX(J2258:K2258))=0,"",MIN(H2258,MAX(J2258:K2258))))</f>
        <v/>
      </c>
      <c r="G2258" s="74" t="n"/>
      <c r="H2258" s="49">
        <f>IF(M2258="","",IFERROR(ROUND(AVERAGE(T2258+M2258*{7,8,9,10,11})/1.21,4),""))</f>
        <v/>
      </c>
      <c r="I2258" s="76" t="n"/>
      <c r="J2258" s="77" t="n"/>
      <c r="K2258" s="74" t="n"/>
      <c r="L2258" s="78" t="n"/>
      <c r="M2258" s="77" t="n"/>
      <c r="N2258" s="53">
        <f>IF(M2258="","",IFERROR(M2258/I2258,""))</f>
        <v/>
      </c>
      <c r="O2258" s="50">
        <f>IF(A2258="","",IFERROR((IF(G2258="",I2258,G2258)-T2258)/M2258,""))</f>
        <v/>
      </c>
      <c r="P2258" s="50">
        <f>IFERROR((I2258/T2258-1)/N2258,"")</f>
        <v/>
      </c>
      <c r="Q2258" s="46">
        <f>IF(OR(T2258="",I2258&lt;T2258),"",IFERROR(R2258/IF(G2258="",I2258,G2258)-1,""))</f>
        <v/>
      </c>
      <c r="R2258" s="48">
        <f>IF($M2258="","",MAX(IF($G2258="",$I2258,$G2258)*(1/1.1),IF($G2258="",$I2258,$G2258)+(R$2*$M2258)))</f>
        <v/>
      </c>
      <c r="S2258" s="49">
        <f>IF($M2258="","",MAX(IF($G2258="",$I2258,$G2258)*(1/1.1),IF($G2258="",$I2258,$G2258)+(S$2*$M2258)))</f>
        <v/>
      </c>
      <c r="T2258" s="82" t="n"/>
      <c r="U2258" s="47">
        <f>IF(OR($M2258="",$T2258=""),"",$T2258+(U$2*$M2258))</f>
        <v/>
      </c>
      <c r="V2258" s="48">
        <f>IF(OR($M2258="",$T2258=""),"",$T2258+(V$2*$M2258))</f>
        <v/>
      </c>
      <c r="W2258" s="48">
        <f>IF(OR($M2258="",$T2258=""),"",$T2258+(W$2*$M2258))</f>
        <v/>
      </c>
      <c r="X2258" s="49">
        <f>IF(OR($M2258="",$T2258=""),"",$T2258+(X$2*$M2258))</f>
        <v/>
      </c>
      <c r="Y2258" s="47">
        <f>IF(OR($M2258="",$T2258=""),"",$T2258+(Y$2*$M2258))</f>
        <v/>
      </c>
      <c r="Z2258" s="49">
        <f>IF(OR($M2258="",$T2258=""),"",$T2258+(Z$2*$M2258))</f>
        <v/>
      </c>
      <c r="AA2258" s="51">
        <f>IF(OR($M2258="",$T2258=""),"",$T2258+(AA$2*$M2258))</f>
        <v/>
      </c>
      <c r="AB2258" s="48">
        <f>IF(OR($M2258="",$T2258=""),"",$T2258+(AB$2*$M2258))</f>
        <v/>
      </c>
      <c r="AC2258" s="48">
        <f>IF(OR($M2258="",$T2258=""),"",$T2258+(AC$2*$M2258))</f>
        <v/>
      </c>
      <c r="AD2258" s="48">
        <f>IF(OR($M2258="",$T2258=""),"",$T2258+(AD$2*$M2258))</f>
        <v/>
      </c>
      <c r="AE2258" s="49">
        <f>IF(OR($M2258="",$T2258=""),"",$T2258+(AE$2*$M2258))</f>
        <v/>
      </c>
      <c r="AF2258" s="52">
        <f>IF(OR(T2258="",I2258&lt;T2258),"",IFERROR(AVERAGE(T2258+M2258*{7,8,9,10,11})/IF(G2258="",I2258,G2258)-1,""))</f>
        <v/>
      </c>
      <c r="AG2258" s="55">
        <f>IF(OR(T2258="",I2258&lt;T2258),"",IFERROR(AF2258/-(R2258/IF(G2258="",I2258,G2258)-1),""))</f>
        <v/>
      </c>
      <c r="AH2258" s="94" t="n"/>
      <c r="AI2258" s="94" t="n"/>
      <c r="AJ2258" s="94" t="n"/>
      <c r="AK2258" s="94" t="n"/>
      <c r="AL2258" s="84" t="n"/>
    </row>
    <row r="2259">
      <c r="A2259" s="64" t="n"/>
      <c r="B2259" s="65" t="n"/>
      <c r="C2259" s="66" t="n"/>
      <c r="D2259" s="67" t="n"/>
      <c r="E2259" s="68" t="n"/>
      <c r="F2259" s="47">
        <f>IF(A2259="","",IF(MIN(H2259,MAX(J2259:K2259))=0,"",MIN(H2259,MAX(J2259:K2259))))</f>
        <v/>
      </c>
      <c r="G2259" s="74" t="n"/>
      <c r="H2259" s="49">
        <f>IF(M2259="","",IFERROR(ROUND(AVERAGE(T2259+M2259*{7,8,9,10,11})/1.21,4),""))</f>
        <v/>
      </c>
      <c r="I2259" s="76" t="n"/>
      <c r="J2259" s="77" t="n"/>
      <c r="K2259" s="74" t="n"/>
      <c r="L2259" s="78" t="n"/>
      <c r="M2259" s="77" t="n"/>
      <c r="N2259" s="53">
        <f>IF(M2259="","",IFERROR(M2259/I2259,""))</f>
        <v/>
      </c>
      <c r="O2259" s="50">
        <f>IF(A2259="","",IFERROR((IF(G2259="",I2259,G2259)-T2259)/M2259,""))</f>
        <v/>
      </c>
      <c r="P2259" s="50">
        <f>IFERROR((I2259/T2259-1)/N2259,"")</f>
        <v/>
      </c>
      <c r="Q2259" s="46">
        <f>IF(OR(T2259="",I2259&lt;T2259),"",IFERROR(R2259/IF(G2259="",I2259,G2259)-1,""))</f>
        <v/>
      </c>
      <c r="R2259" s="48">
        <f>IF($M2259="","",MAX(IF($G2259="",$I2259,$G2259)*(1/1.1),IF($G2259="",$I2259,$G2259)+(R$2*$M2259)))</f>
        <v/>
      </c>
      <c r="S2259" s="49">
        <f>IF($M2259="","",MAX(IF($G2259="",$I2259,$G2259)*(1/1.1),IF($G2259="",$I2259,$G2259)+(S$2*$M2259)))</f>
        <v/>
      </c>
      <c r="T2259" s="82" t="n"/>
      <c r="U2259" s="47">
        <f>IF(OR($M2259="",$T2259=""),"",$T2259+(U$2*$M2259))</f>
        <v/>
      </c>
      <c r="V2259" s="48">
        <f>IF(OR($M2259="",$T2259=""),"",$T2259+(V$2*$M2259))</f>
        <v/>
      </c>
      <c r="W2259" s="48">
        <f>IF(OR($M2259="",$T2259=""),"",$T2259+(W$2*$M2259))</f>
        <v/>
      </c>
      <c r="X2259" s="49">
        <f>IF(OR($M2259="",$T2259=""),"",$T2259+(X$2*$M2259))</f>
        <v/>
      </c>
      <c r="Y2259" s="47">
        <f>IF(OR($M2259="",$T2259=""),"",$T2259+(Y$2*$M2259))</f>
        <v/>
      </c>
      <c r="Z2259" s="49">
        <f>IF(OR($M2259="",$T2259=""),"",$T2259+(Z$2*$M2259))</f>
        <v/>
      </c>
      <c r="AA2259" s="51">
        <f>IF(OR($M2259="",$T2259=""),"",$T2259+(AA$2*$M2259))</f>
        <v/>
      </c>
      <c r="AB2259" s="48">
        <f>IF(OR($M2259="",$T2259=""),"",$T2259+(AB$2*$M2259))</f>
        <v/>
      </c>
      <c r="AC2259" s="48">
        <f>IF(OR($M2259="",$T2259=""),"",$T2259+(AC$2*$M2259))</f>
        <v/>
      </c>
      <c r="AD2259" s="48">
        <f>IF(OR($M2259="",$T2259=""),"",$T2259+(AD$2*$M2259))</f>
        <v/>
      </c>
      <c r="AE2259" s="49">
        <f>IF(OR($M2259="",$T2259=""),"",$T2259+(AE$2*$M2259))</f>
        <v/>
      </c>
      <c r="AF2259" s="52">
        <f>IF(OR(T2259="",I2259&lt;T2259),"",IFERROR(AVERAGE(T2259+M2259*{7,8,9,10,11})/IF(G2259="",I2259,G2259)-1,""))</f>
        <v/>
      </c>
      <c r="AG2259" s="55">
        <f>IF(OR(T2259="",I2259&lt;T2259),"",IFERROR(AF2259/-(R2259/IF(G2259="",I2259,G2259)-1),""))</f>
        <v/>
      </c>
      <c r="AH2259" s="94" t="n"/>
      <c r="AI2259" s="94" t="n"/>
      <c r="AJ2259" s="94" t="n"/>
      <c r="AK2259" s="94" t="n"/>
      <c r="AL2259" s="84" t="n"/>
    </row>
    <row r="2260">
      <c r="A2260" s="64" t="n"/>
      <c r="B2260" s="65" t="n"/>
      <c r="C2260" s="66" t="n"/>
      <c r="D2260" s="67" t="n"/>
      <c r="E2260" s="68" t="n"/>
      <c r="F2260" s="47">
        <f>IF(A2260="","",IF(MIN(H2260,MAX(J2260:K2260))=0,"",MIN(H2260,MAX(J2260:K2260))))</f>
        <v/>
      </c>
      <c r="G2260" s="74" t="n"/>
      <c r="H2260" s="49">
        <f>IF(M2260="","",IFERROR(ROUND(AVERAGE(T2260+M2260*{7,8,9,10,11})/1.21,4),""))</f>
        <v/>
      </c>
      <c r="I2260" s="76" t="n"/>
      <c r="J2260" s="77" t="n"/>
      <c r="K2260" s="74" t="n"/>
      <c r="L2260" s="78" t="n"/>
      <c r="M2260" s="77" t="n"/>
      <c r="N2260" s="53">
        <f>IF(M2260="","",IFERROR(M2260/I2260,""))</f>
        <v/>
      </c>
      <c r="O2260" s="50">
        <f>IF(A2260="","",IFERROR((IF(G2260="",I2260,G2260)-T2260)/M2260,""))</f>
        <v/>
      </c>
      <c r="P2260" s="50">
        <f>IFERROR((I2260/T2260-1)/N2260,"")</f>
        <v/>
      </c>
      <c r="Q2260" s="46">
        <f>IF(OR(T2260="",I2260&lt;T2260),"",IFERROR(R2260/IF(G2260="",I2260,G2260)-1,""))</f>
        <v/>
      </c>
      <c r="R2260" s="48">
        <f>IF($M2260="","",MAX(IF($G2260="",$I2260,$G2260)*(1/1.1),IF($G2260="",$I2260,$G2260)+(R$2*$M2260)))</f>
        <v/>
      </c>
      <c r="S2260" s="49">
        <f>IF($M2260="","",MAX(IF($G2260="",$I2260,$G2260)*(1/1.1),IF($G2260="",$I2260,$G2260)+(S$2*$M2260)))</f>
        <v/>
      </c>
      <c r="T2260" s="82" t="n"/>
      <c r="U2260" s="47">
        <f>IF(OR($M2260="",$T2260=""),"",$T2260+(U$2*$M2260))</f>
        <v/>
      </c>
      <c r="V2260" s="48">
        <f>IF(OR($M2260="",$T2260=""),"",$T2260+(V$2*$M2260))</f>
        <v/>
      </c>
      <c r="W2260" s="48">
        <f>IF(OR($M2260="",$T2260=""),"",$T2260+(W$2*$M2260))</f>
        <v/>
      </c>
      <c r="X2260" s="49">
        <f>IF(OR($M2260="",$T2260=""),"",$T2260+(X$2*$M2260))</f>
        <v/>
      </c>
      <c r="Y2260" s="47">
        <f>IF(OR($M2260="",$T2260=""),"",$T2260+(Y$2*$M2260))</f>
        <v/>
      </c>
      <c r="Z2260" s="49">
        <f>IF(OR($M2260="",$T2260=""),"",$T2260+(Z$2*$M2260))</f>
        <v/>
      </c>
      <c r="AA2260" s="51">
        <f>IF(OR($M2260="",$T2260=""),"",$T2260+(AA$2*$M2260))</f>
        <v/>
      </c>
      <c r="AB2260" s="48">
        <f>IF(OR($M2260="",$T2260=""),"",$T2260+(AB$2*$M2260))</f>
        <v/>
      </c>
      <c r="AC2260" s="48">
        <f>IF(OR($M2260="",$T2260=""),"",$T2260+(AC$2*$M2260))</f>
        <v/>
      </c>
      <c r="AD2260" s="48">
        <f>IF(OR($M2260="",$T2260=""),"",$T2260+(AD$2*$M2260))</f>
        <v/>
      </c>
      <c r="AE2260" s="49">
        <f>IF(OR($M2260="",$T2260=""),"",$T2260+(AE$2*$M2260))</f>
        <v/>
      </c>
      <c r="AF2260" s="52">
        <f>IF(OR(T2260="",I2260&lt;T2260),"",IFERROR(AVERAGE(T2260+M2260*{7,8,9,10,11})/IF(G2260="",I2260,G2260)-1,""))</f>
        <v/>
      </c>
      <c r="AG2260" s="55">
        <f>IF(OR(T2260="",I2260&lt;T2260),"",IFERROR(AF2260/-(R2260/IF(G2260="",I2260,G2260)-1),""))</f>
        <v/>
      </c>
      <c r="AH2260" s="94" t="n"/>
      <c r="AI2260" s="94" t="n"/>
      <c r="AJ2260" s="94" t="n"/>
      <c r="AK2260" s="94" t="n"/>
      <c r="AL2260" s="84" t="n"/>
    </row>
    <row r="2261">
      <c r="A2261" s="64" t="n"/>
      <c r="B2261" s="65" t="n"/>
      <c r="C2261" s="66" t="n"/>
      <c r="D2261" s="67" t="n"/>
      <c r="E2261" s="68" t="n"/>
      <c r="F2261" s="47">
        <f>IF(A2261="","",IF(MIN(H2261,MAX(J2261:K2261))=0,"",MIN(H2261,MAX(J2261:K2261))))</f>
        <v/>
      </c>
      <c r="G2261" s="74" t="n"/>
      <c r="H2261" s="49">
        <f>IF(M2261="","",IFERROR(ROUND(AVERAGE(T2261+M2261*{7,8,9,10,11})/1.21,4),""))</f>
        <v/>
      </c>
      <c r="I2261" s="76" t="n"/>
      <c r="J2261" s="77" t="n"/>
      <c r="K2261" s="74" t="n"/>
      <c r="L2261" s="78" t="n"/>
      <c r="M2261" s="77" t="n"/>
      <c r="N2261" s="53">
        <f>IF(M2261="","",IFERROR(M2261/I2261,""))</f>
        <v/>
      </c>
      <c r="O2261" s="50">
        <f>IF(A2261="","",IFERROR((IF(G2261="",I2261,G2261)-T2261)/M2261,""))</f>
        <v/>
      </c>
      <c r="P2261" s="50">
        <f>IFERROR((I2261/T2261-1)/N2261,"")</f>
        <v/>
      </c>
      <c r="Q2261" s="46">
        <f>IF(OR(T2261="",I2261&lt;T2261),"",IFERROR(R2261/IF(G2261="",I2261,G2261)-1,""))</f>
        <v/>
      </c>
      <c r="R2261" s="48">
        <f>IF($M2261="","",MAX(IF($G2261="",$I2261,$G2261)*(1/1.1),IF($G2261="",$I2261,$G2261)+(R$2*$M2261)))</f>
        <v/>
      </c>
      <c r="S2261" s="49">
        <f>IF($M2261="","",MAX(IF($G2261="",$I2261,$G2261)*(1/1.1),IF($G2261="",$I2261,$G2261)+(S$2*$M2261)))</f>
        <v/>
      </c>
      <c r="T2261" s="82" t="n"/>
      <c r="U2261" s="47">
        <f>IF(OR($M2261="",$T2261=""),"",$T2261+(U$2*$M2261))</f>
        <v/>
      </c>
      <c r="V2261" s="48">
        <f>IF(OR($M2261="",$T2261=""),"",$T2261+(V$2*$M2261))</f>
        <v/>
      </c>
      <c r="W2261" s="48">
        <f>IF(OR($M2261="",$T2261=""),"",$T2261+(W$2*$M2261))</f>
        <v/>
      </c>
      <c r="X2261" s="49">
        <f>IF(OR($M2261="",$T2261=""),"",$T2261+(X$2*$M2261))</f>
        <v/>
      </c>
      <c r="Y2261" s="47">
        <f>IF(OR($M2261="",$T2261=""),"",$T2261+(Y$2*$M2261))</f>
        <v/>
      </c>
      <c r="Z2261" s="49">
        <f>IF(OR($M2261="",$T2261=""),"",$T2261+(Z$2*$M2261))</f>
        <v/>
      </c>
      <c r="AA2261" s="51">
        <f>IF(OR($M2261="",$T2261=""),"",$T2261+(AA$2*$M2261))</f>
        <v/>
      </c>
      <c r="AB2261" s="48">
        <f>IF(OR($M2261="",$T2261=""),"",$T2261+(AB$2*$M2261))</f>
        <v/>
      </c>
      <c r="AC2261" s="48">
        <f>IF(OR($M2261="",$T2261=""),"",$T2261+(AC$2*$M2261))</f>
        <v/>
      </c>
      <c r="AD2261" s="48">
        <f>IF(OR($M2261="",$T2261=""),"",$T2261+(AD$2*$M2261))</f>
        <v/>
      </c>
      <c r="AE2261" s="49">
        <f>IF(OR($M2261="",$T2261=""),"",$T2261+(AE$2*$M2261))</f>
        <v/>
      </c>
      <c r="AF2261" s="52">
        <f>IF(OR(T2261="",I2261&lt;T2261),"",IFERROR(AVERAGE(T2261+M2261*{7,8,9,10,11})/IF(G2261="",I2261,G2261)-1,""))</f>
        <v/>
      </c>
      <c r="AG2261" s="55">
        <f>IF(OR(T2261="",I2261&lt;T2261),"",IFERROR(AF2261/-(R2261/IF(G2261="",I2261,G2261)-1),""))</f>
        <v/>
      </c>
      <c r="AH2261" s="94" t="n"/>
      <c r="AI2261" s="94" t="n"/>
      <c r="AJ2261" s="94" t="n"/>
      <c r="AK2261" s="94" t="n"/>
      <c r="AL2261" s="84" t="n"/>
    </row>
    <row r="2262">
      <c r="A2262" s="64" t="n"/>
      <c r="B2262" s="65" t="n"/>
      <c r="C2262" s="66" t="n"/>
      <c r="D2262" s="67" t="n"/>
      <c r="E2262" s="68" t="n"/>
      <c r="F2262" s="47">
        <f>IF(A2262="","",IF(MIN(H2262,MAX(J2262:K2262))=0,"",MIN(H2262,MAX(J2262:K2262))))</f>
        <v/>
      </c>
      <c r="G2262" s="74" t="n"/>
      <c r="H2262" s="49">
        <f>IF(M2262="","",IFERROR(ROUND(AVERAGE(T2262+M2262*{7,8,9,10,11})/1.21,4),""))</f>
        <v/>
      </c>
      <c r="I2262" s="76" t="n"/>
      <c r="J2262" s="77" t="n"/>
      <c r="K2262" s="74" t="n"/>
      <c r="L2262" s="78" t="n"/>
      <c r="M2262" s="77" t="n"/>
      <c r="N2262" s="53">
        <f>IF(M2262="","",IFERROR(M2262/I2262,""))</f>
        <v/>
      </c>
      <c r="O2262" s="50">
        <f>IF(A2262="","",IFERROR((IF(G2262="",I2262,G2262)-T2262)/M2262,""))</f>
        <v/>
      </c>
      <c r="P2262" s="50">
        <f>IFERROR((I2262/T2262-1)/N2262,"")</f>
        <v/>
      </c>
      <c r="Q2262" s="46">
        <f>IF(OR(T2262="",I2262&lt;T2262),"",IFERROR(R2262/IF(G2262="",I2262,G2262)-1,""))</f>
        <v/>
      </c>
      <c r="R2262" s="48">
        <f>IF($M2262="","",MAX(IF($G2262="",$I2262,$G2262)*(1/1.1),IF($G2262="",$I2262,$G2262)+(R$2*$M2262)))</f>
        <v/>
      </c>
      <c r="S2262" s="49">
        <f>IF($M2262="","",MAX(IF($G2262="",$I2262,$G2262)*(1/1.1),IF($G2262="",$I2262,$G2262)+(S$2*$M2262)))</f>
        <v/>
      </c>
      <c r="T2262" s="82" t="n"/>
      <c r="U2262" s="47">
        <f>IF(OR($M2262="",$T2262=""),"",$T2262+(U$2*$M2262))</f>
        <v/>
      </c>
      <c r="V2262" s="48">
        <f>IF(OR($M2262="",$T2262=""),"",$T2262+(V$2*$M2262))</f>
        <v/>
      </c>
      <c r="W2262" s="48">
        <f>IF(OR($M2262="",$T2262=""),"",$T2262+(W$2*$M2262))</f>
        <v/>
      </c>
      <c r="X2262" s="49">
        <f>IF(OR($M2262="",$T2262=""),"",$T2262+(X$2*$M2262))</f>
        <v/>
      </c>
      <c r="Y2262" s="47">
        <f>IF(OR($M2262="",$T2262=""),"",$T2262+(Y$2*$M2262))</f>
        <v/>
      </c>
      <c r="Z2262" s="49">
        <f>IF(OR($M2262="",$T2262=""),"",$T2262+(Z$2*$M2262))</f>
        <v/>
      </c>
      <c r="AA2262" s="51">
        <f>IF(OR($M2262="",$T2262=""),"",$T2262+(AA$2*$M2262))</f>
        <v/>
      </c>
      <c r="AB2262" s="48">
        <f>IF(OR($M2262="",$T2262=""),"",$T2262+(AB$2*$M2262))</f>
        <v/>
      </c>
      <c r="AC2262" s="48">
        <f>IF(OR($M2262="",$T2262=""),"",$T2262+(AC$2*$M2262))</f>
        <v/>
      </c>
      <c r="AD2262" s="48">
        <f>IF(OR($M2262="",$T2262=""),"",$T2262+(AD$2*$M2262))</f>
        <v/>
      </c>
      <c r="AE2262" s="49">
        <f>IF(OR($M2262="",$T2262=""),"",$T2262+(AE$2*$M2262))</f>
        <v/>
      </c>
      <c r="AF2262" s="52">
        <f>IF(OR(T2262="",I2262&lt;T2262),"",IFERROR(AVERAGE(T2262+M2262*{7,8,9,10,11})/IF(G2262="",I2262,G2262)-1,""))</f>
        <v/>
      </c>
      <c r="AG2262" s="55">
        <f>IF(OR(T2262="",I2262&lt;T2262),"",IFERROR(AF2262/-(R2262/IF(G2262="",I2262,G2262)-1),""))</f>
        <v/>
      </c>
      <c r="AH2262" s="94" t="n"/>
      <c r="AI2262" s="94" t="n"/>
      <c r="AJ2262" s="94" t="n"/>
      <c r="AK2262" s="94" t="n"/>
      <c r="AL2262" s="84" t="n"/>
    </row>
    <row r="2263">
      <c r="A2263" s="64" t="n"/>
      <c r="B2263" s="65" t="n"/>
      <c r="C2263" s="66" t="n"/>
      <c r="D2263" s="67" t="n"/>
      <c r="E2263" s="68" t="n"/>
      <c r="F2263" s="47">
        <f>IF(A2263="","",IF(MIN(H2263,MAX(J2263:K2263))=0,"",MIN(H2263,MAX(J2263:K2263))))</f>
        <v/>
      </c>
      <c r="G2263" s="74" t="n"/>
      <c r="H2263" s="49">
        <f>IF(M2263="","",IFERROR(ROUND(AVERAGE(T2263+M2263*{7,8,9,10,11})/1.21,4),""))</f>
        <v/>
      </c>
      <c r="I2263" s="76" t="n"/>
      <c r="J2263" s="77" t="n"/>
      <c r="K2263" s="74" t="n"/>
      <c r="L2263" s="78" t="n"/>
      <c r="M2263" s="77" t="n"/>
      <c r="N2263" s="53">
        <f>IF(M2263="","",IFERROR(M2263/I2263,""))</f>
        <v/>
      </c>
      <c r="O2263" s="50">
        <f>IF(A2263="","",IFERROR((IF(G2263="",I2263,G2263)-T2263)/M2263,""))</f>
        <v/>
      </c>
      <c r="P2263" s="50">
        <f>IFERROR((I2263/T2263-1)/N2263,"")</f>
        <v/>
      </c>
      <c r="Q2263" s="46">
        <f>IF(OR(T2263="",I2263&lt;T2263),"",IFERROR(R2263/IF(G2263="",I2263,G2263)-1,""))</f>
        <v/>
      </c>
      <c r="R2263" s="48">
        <f>IF($M2263="","",MAX(IF($G2263="",$I2263,$G2263)*(1/1.1),IF($G2263="",$I2263,$G2263)+(R$2*$M2263)))</f>
        <v/>
      </c>
      <c r="S2263" s="49">
        <f>IF($M2263="","",MAX(IF($G2263="",$I2263,$G2263)*(1/1.1),IF($G2263="",$I2263,$G2263)+(S$2*$M2263)))</f>
        <v/>
      </c>
      <c r="T2263" s="82" t="n"/>
      <c r="U2263" s="47">
        <f>IF(OR($M2263="",$T2263=""),"",$T2263+(U$2*$M2263))</f>
        <v/>
      </c>
      <c r="V2263" s="48">
        <f>IF(OR($M2263="",$T2263=""),"",$T2263+(V$2*$M2263))</f>
        <v/>
      </c>
      <c r="W2263" s="48">
        <f>IF(OR($M2263="",$T2263=""),"",$T2263+(W$2*$M2263))</f>
        <v/>
      </c>
      <c r="X2263" s="49">
        <f>IF(OR($M2263="",$T2263=""),"",$T2263+(X$2*$M2263))</f>
        <v/>
      </c>
      <c r="Y2263" s="47">
        <f>IF(OR($M2263="",$T2263=""),"",$T2263+(Y$2*$M2263))</f>
        <v/>
      </c>
      <c r="Z2263" s="49">
        <f>IF(OR($M2263="",$T2263=""),"",$T2263+(Z$2*$M2263))</f>
        <v/>
      </c>
      <c r="AA2263" s="51">
        <f>IF(OR($M2263="",$T2263=""),"",$T2263+(AA$2*$M2263))</f>
        <v/>
      </c>
      <c r="AB2263" s="48">
        <f>IF(OR($M2263="",$T2263=""),"",$T2263+(AB$2*$M2263))</f>
        <v/>
      </c>
      <c r="AC2263" s="48">
        <f>IF(OR($M2263="",$T2263=""),"",$T2263+(AC$2*$M2263))</f>
        <v/>
      </c>
      <c r="AD2263" s="48">
        <f>IF(OR($M2263="",$T2263=""),"",$T2263+(AD$2*$M2263))</f>
        <v/>
      </c>
      <c r="AE2263" s="49">
        <f>IF(OR($M2263="",$T2263=""),"",$T2263+(AE$2*$M2263))</f>
        <v/>
      </c>
      <c r="AF2263" s="52">
        <f>IF(OR(T2263="",I2263&lt;T2263),"",IFERROR(AVERAGE(T2263+M2263*{7,8,9,10,11})/IF(G2263="",I2263,G2263)-1,""))</f>
        <v/>
      </c>
      <c r="AG2263" s="55">
        <f>IF(OR(T2263="",I2263&lt;T2263),"",IFERROR(AF2263/-(R2263/IF(G2263="",I2263,G2263)-1),""))</f>
        <v/>
      </c>
      <c r="AH2263" s="94" t="n"/>
      <c r="AI2263" s="94" t="n"/>
      <c r="AJ2263" s="94" t="n"/>
      <c r="AK2263" s="94" t="n"/>
      <c r="AL2263" s="84" t="n"/>
    </row>
    <row r="2264">
      <c r="A2264" s="64" t="n"/>
      <c r="B2264" s="65" t="n"/>
      <c r="C2264" s="66" t="n"/>
      <c r="D2264" s="67" t="n"/>
      <c r="E2264" s="68" t="n"/>
      <c r="F2264" s="47">
        <f>IF(A2264="","",IF(MIN(H2264,MAX(J2264:K2264))=0,"",MIN(H2264,MAX(J2264:K2264))))</f>
        <v/>
      </c>
      <c r="G2264" s="74" t="n"/>
      <c r="H2264" s="49">
        <f>IF(M2264="","",IFERROR(ROUND(AVERAGE(T2264+M2264*{7,8,9,10,11})/1.21,4),""))</f>
        <v/>
      </c>
      <c r="I2264" s="76" t="n"/>
      <c r="J2264" s="77" t="n"/>
      <c r="K2264" s="74" t="n"/>
      <c r="L2264" s="78" t="n"/>
      <c r="M2264" s="77" t="n"/>
      <c r="N2264" s="53">
        <f>IF(M2264="","",IFERROR(M2264/I2264,""))</f>
        <v/>
      </c>
      <c r="O2264" s="50">
        <f>IF(A2264="","",IFERROR((IF(G2264="",I2264,G2264)-T2264)/M2264,""))</f>
        <v/>
      </c>
      <c r="P2264" s="50">
        <f>IFERROR((I2264/T2264-1)/N2264,"")</f>
        <v/>
      </c>
      <c r="Q2264" s="46">
        <f>IF(OR(T2264="",I2264&lt;T2264),"",IFERROR(R2264/IF(G2264="",I2264,G2264)-1,""))</f>
        <v/>
      </c>
      <c r="R2264" s="48">
        <f>IF($M2264="","",MAX(IF($G2264="",$I2264,$G2264)*(1/1.1),IF($G2264="",$I2264,$G2264)+(R$2*$M2264)))</f>
        <v/>
      </c>
      <c r="S2264" s="49">
        <f>IF($M2264="","",MAX(IF($G2264="",$I2264,$G2264)*(1/1.1),IF($G2264="",$I2264,$G2264)+(S$2*$M2264)))</f>
        <v/>
      </c>
      <c r="T2264" s="82" t="n"/>
      <c r="U2264" s="47">
        <f>IF(OR($M2264="",$T2264=""),"",$T2264+(U$2*$M2264))</f>
        <v/>
      </c>
      <c r="V2264" s="48">
        <f>IF(OR($M2264="",$T2264=""),"",$T2264+(V$2*$M2264))</f>
        <v/>
      </c>
      <c r="W2264" s="48">
        <f>IF(OR($M2264="",$T2264=""),"",$T2264+(W$2*$M2264))</f>
        <v/>
      </c>
      <c r="X2264" s="49">
        <f>IF(OR($M2264="",$T2264=""),"",$T2264+(X$2*$M2264))</f>
        <v/>
      </c>
      <c r="Y2264" s="47">
        <f>IF(OR($M2264="",$T2264=""),"",$T2264+(Y$2*$M2264))</f>
        <v/>
      </c>
      <c r="Z2264" s="49">
        <f>IF(OR($M2264="",$T2264=""),"",$T2264+(Z$2*$M2264))</f>
        <v/>
      </c>
      <c r="AA2264" s="51">
        <f>IF(OR($M2264="",$T2264=""),"",$T2264+(AA$2*$M2264))</f>
        <v/>
      </c>
      <c r="AB2264" s="48">
        <f>IF(OR($M2264="",$T2264=""),"",$T2264+(AB$2*$M2264))</f>
        <v/>
      </c>
      <c r="AC2264" s="48">
        <f>IF(OR($M2264="",$T2264=""),"",$T2264+(AC$2*$M2264))</f>
        <v/>
      </c>
      <c r="AD2264" s="48">
        <f>IF(OR($M2264="",$T2264=""),"",$T2264+(AD$2*$M2264))</f>
        <v/>
      </c>
      <c r="AE2264" s="49">
        <f>IF(OR($M2264="",$T2264=""),"",$T2264+(AE$2*$M2264))</f>
        <v/>
      </c>
      <c r="AF2264" s="52">
        <f>IF(OR(T2264="",I2264&lt;T2264),"",IFERROR(AVERAGE(T2264+M2264*{7,8,9,10,11})/IF(G2264="",I2264,G2264)-1,""))</f>
        <v/>
      </c>
      <c r="AG2264" s="55">
        <f>IF(OR(T2264="",I2264&lt;T2264),"",IFERROR(AF2264/-(R2264/IF(G2264="",I2264,G2264)-1),""))</f>
        <v/>
      </c>
      <c r="AH2264" s="94" t="n"/>
      <c r="AI2264" s="94" t="n"/>
      <c r="AJ2264" s="94" t="n"/>
      <c r="AK2264" s="94" t="n"/>
      <c r="AL2264" s="84" t="n"/>
    </row>
    <row r="2265">
      <c r="A2265" s="64" t="n"/>
      <c r="B2265" s="65" t="n"/>
      <c r="C2265" s="66" t="n"/>
      <c r="D2265" s="67" t="n"/>
      <c r="E2265" s="68" t="n"/>
      <c r="F2265" s="47">
        <f>IF(A2265="","",IF(MIN(H2265,MAX(J2265:K2265))=0,"",MIN(H2265,MAX(J2265:K2265))))</f>
        <v/>
      </c>
      <c r="G2265" s="74" t="n"/>
      <c r="H2265" s="49">
        <f>IF(M2265="","",IFERROR(ROUND(AVERAGE(T2265+M2265*{7,8,9,10,11})/1.21,4),""))</f>
        <v/>
      </c>
      <c r="I2265" s="76" t="n"/>
      <c r="J2265" s="77" t="n"/>
      <c r="K2265" s="74" t="n"/>
      <c r="L2265" s="78" t="n"/>
      <c r="M2265" s="77" t="n"/>
      <c r="N2265" s="53">
        <f>IF(M2265="","",IFERROR(M2265/I2265,""))</f>
        <v/>
      </c>
      <c r="O2265" s="50">
        <f>IF(A2265="","",IFERROR((IF(G2265="",I2265,G2265)-T2265)/M2265,""))</f>
        <v/>
      </c>
      <c r="P2265" s="50">
        <f>IFERROR((I2265/T2265-1)/N2265,"")</f>
        <v/>
      </c>
      <c r="Q2265" s="46">
        <f>IF(OR(T2265="",I2265&lt;T2265),"",IFERROR(R2265/IF(G2265="",I2265,G2265)-1,""))</f>
        <v/>
      </c>
      <c r="R2265" s="48">
        <f>IF($M2265="","",MAX(IF($G2265="",$I2265,$G2265)*(1/1.1),IF($G2265="",$I2265,$G2265)+(R$2*$M2265)))</f>
        <v/>
      </c>
      <c r="S2265" s="49">
        <f>IF($M2265="","",MAX(IF($G2265="",$I2265,$G2265)*(1/1.1),IF($G2265="",$I2265,$G2265)+(S$2*$M2265)))</f>
        <v/>
      </c>
      <c r="T2265" s="82" t="n"/>
      <c r="U2265" s="47">
        <f>IF(OR($M2265="",$T2265=""),"",$T2265+(U$2*$M2265))</f>
        <v/>
      </c>
      <c r="V2265" s="48">
        <f>IF(OR($M2265="",$T2265=""),"",$T2265+(V$2*$M2265))</f>
        <v/>
      </c>
      <c r="W2265" s="48">
        <f>IF(OR($M2265="",$T2265=""),"",$T2265+(W$2*$M2265))</f>
        <v/>
      </c>
      <c r="X2265" s="49">
        <f>IF(OR($M2265="",$T2265=""),"",$T2265+(X$2*$M2265))</f>
        <v/>
      </c>
      <c r="Y2265" s="47">
        <f>IF(OR($M2265="",$T2265=""),"",$T2265+(Y$2*$M2265))</f>
        <v/>
      </c>
      <c r="Z2265" s="49">
        <f>IF(OR($M2265="",$T2265=""),"",$T2265+(Z$2*$M2265))</f>
        <v/>
      </c>
      <c r="AA2265" s="51">
        <f>IF(OR($M2265="",$T2265=""),"",$T2265+(AA$2*$M2265))</f>
        <v/>
      </c>
      <c r="AB2265" s="48">
        <f>IF(OR($M2265="",$T2265=""),"",$T2265+(AB$2*$M2265))</f>
        <v/>
      </c>
      <c r="AC2265" s="48">
        <f>IF(OR($M2265="",$T2265=""),"",$T2265+(AC$2*$M2265))</f>
        <v/>
      </c>
      <c r="AD2265" s="48">
        <f>IF(OR($M2265="",$T2265=""),"",$T2265+(AD$2*$M2265))</f>
        <v/>
      </c>
      <c r="AE2265" s="49">
        <f>IF(OR($M2265="",$T2265=""),"",$T2265+(AE$2*$M2265))</f>
        <v/>
      </c>
      <c r="AF2265" s="52">
        <f>IF(OR(T2265="",I2265&lt;T2265),"",IFERROR(AVERAGE(T2265+M2265*{7,8,9,10,11})/IF(G2265="",I2265,G2265)-1,""))</f>
        <v/>
      </c>
      <c r="AG2265" s="55">
        <f>IF(OR(T2265="",I2265&lt;T2265),"",IFERROR(AF2265/-(R2265/IF(G2265="",I2265,G2265)-1),""))</f>
        <v/>
      </c>
      <c r="AH2265" s="94" t="n"/>
      <c r="AI2265" s="94" t="n"/>
      <c r="AJ2265" s="94" t="n"/>
      <c r="AK2265" s="94" t="n"/>
      <c r="AL2265" s="84" t="n"/>
    </row>
    <row r="2266">
      <c r="A2266" s="64" t="n"/>
      <c r="B2266" s="65" t="n"/>
      <c r="C2266" s="66" t="n"/>
      <c r="D2266" s="67" t="n"/>
      <c r="E2266" s="68" t="n"/>
      <c r="F2266" s="47">
        <f>IF(A2266="","",IF(MIN(H2266,MAX(J2266:K2266))=0,"",MIN(H2266,MAX(J2266:K2266))))</f>
        <v/>
      </c>
      <c r="G2266" s="74" t="n"/>
      <c r="H2266" s="49">
        <f>IF(M2266="","",IFERROR(ROUND(AVERAGE(T2266+M2266*{7,8,9,10,11})/1.21,4),""))</f>
        <v/>
      </c>
      <c r="I2266" s="76" t="n"/>
      <c r="J2266" s="77" t="n"/>
      <c r="K2266" s="74" t="n"/>
      <c r="L2266" s="78" t="n"/>
      <c r="M2266" s="77" t="n"/>
      <c r="N2266" s="53">
        <f>IF(M2266="","",IFERROR(M2266/I2266,""))</f>
        <v/>
      </c>
      <c r="O2266" s="50">
        <f>IF(A2266="","",IFERROR((IF(G2266="",I2266,G2266)-T2266)/M2266,""))</f>
        <v/>
      </c>
      <c r="P2266" s="50">
        <f>IFERROR((I2266/T2266-1)/N2266,"")</f>
        <v/>
      </c>
      <c r="Q2266" s="46">
        <f>IF(OR(T2266="",I2266&lt;T2266),"",IFERROR(R2266/IF(G2266="",I2266,G2266)-1,""))</f>
        <v/>
      </c>
      <c r="R2266" s="48">
        <f>IF($M2266="","",MAX(IF($G2266="",$I2266,$G2266)*(1/1.1),IF($G2266="",$I2266,$G2266)+(R$2*$M2266)))</f>
        <v/>
      </c>
      <c r="S2266" s="49">
        <f>IF($M2266="","",MAX(IF($G2266="",$I2266,$G2266)*(1/1.1),IF($G2266="",$I2266,$G2266)+(S$2*$M2266)))</f>
        <v/>
      </c>
      <c r="T2266" s="82" t="n"/>
      <c r="U2266" s="47">
        <f>IF(OR($M2266="",$T2266=""),"",$T2266+(U$2*$M2266))</f>
        <v/>
      </c>
      <c r="V2266" s="48">
        <f>IF(OR($M2266="",$T2266=""),"",$T2266+(V$2*$M2266))</f>
        <v/>
      </c>
      <c r="W2266" s="48">
        <f>IF(OR($M2266="",$T2266=""),"",$T2266+(W$2*$M2266))</f>
        <v/>
      </c>
      <c r="X2266" s="49">
        <f>IF(OR($M2266="",$T2266=""),"",$T2266+(X$2*$M2266))</f>
        <v/>
      </c>
      <c r="Y2266" s="47">
        <f>IF(OR($M2266="",$T2266=""),"",$T2266+(Y$2*$M2266))</f>
        <v/>
      </c>
      <c r="Z2266" s="49">
        <f>IF(OR($M2266="",$T2266=""),"",$T2266+(Z$2*$M2266))</f>
        <v/>
      </c>
      <c r="AA2266" s="51">
        <f>IF(OR($M2266="",$T2266=""),"",$T2266+(AA$2*$M2266))</f>
        <v/>
      </c>
      <c r="AB2266" s="48">
        <f>IF(OR($M2266="",$T2266=""),"",$T2266+(AB$2*$M2266))</f>
        <v/>
      </c>
      <c r="AC2266" s="48">
        <f>IF(OR($M2266="",$T2266=""),"",$T2266+(AC$2*$M2266))</f>
        <v/>
      </c>
      <c r="AD2266" s="48">
        <f>IF(OR($M2266="",$T2266=""),"",$T2266+(AD$2*$M2266))</f>
        <v/>
      </c>
      <c r="AE2266" s="49">
        <f>IF(OR($M2266="",$T2266=""),"",$T2266+(AE$2*$M2266))</f>
        <v/>
      </c>
      <c r="AF2266" s="52">
        <f>IF(OR(T2266="",I2266&lt;T2266),"",IFERROR(AVERAGE(T2266+M2266*{7,8,9,10,11})/IF(G2266="",I2266,G2266)-1,""))</f>
        <v/>
      </c>
      <c r="AG2266" s="55">
        <f>IF(OR(T2266="",I2266&lt;T2266),"",IFERROR(AF2266/-(R2266/IF(G2266="",I2266,G2266)-1),""))</f>
        <v/>
      </c>
      <c r="AH2266" s="94" t="n"/>
      <c r="AI2266" s="94" t="n"/>
      <c r="AJ2266" s="94" t="n"/>
      <c r="AK2266" s="94" t="n"/>
      <c r="AL2266" s="84" t="n"/>
    </row>
    <row r="2267">
      <c r="A2267" s="64" t="n"/>
      <c r="B2267" s="65" t="n"/>
      <c r="C2267" s="66" t="n"/>
      <c r="D2267" s="67" t="n"/>
      <c r="E2267" s="68" t="n"/>
      <c r="F2267" s="47">
        <f>IF(A2267="","",IF(MIN(H2267,MAX(J2267:K2267))=0,"",MIN(H2267,MAX(J2267:K2267))))</f>
        <v/>
      </c>
      <c r="G2267" s="74" t="n"/>
      <c r="H2267" s="49">
        <f>IF(M2267="","",IFERROR(ROUND(AVERAGE(T2267+M2267*{7,8,9,10,11})/1.21,4),""))</f>
        <v/>
      </c>
      <c r="I2267" s="76" t="n"/>
      <c r="J2267" s="77" t="n"/>
      <c r="K2267" s="74" t="n"/>
      <c r="L2267" s="78" t="n"/>
      <c r="M2267" s="77" t="n"/>
      <c r="N2267" s="53">
        <f>IF(M2267="","",IFERROR(M2267/I2267,""))</f>
        <v/>
      </c>
      <c r="O2267" s="50">
        <f>IF(A2267="","",IFERROR((IF(G2267="",I2267,G2267)-T2267)/M2267,""))</f>
        <v/>
      </c>
      <c r="P2267" s="50">
        <f>IFERROR((I2267/T2267-1)/N2267,"")</f>
        <v/>
      </c>
      <c r="Q2267" s="46">
        <f>IF(OR(T2267="",I2267&lt;T2267),"",IFERROR(R2267/IF(G2267="",I2267,G2267)-1,""))</f>
        <v/>
      </c>
      <c r="R2267" s="48">
        <f>IF($M2267="","",MAX(IF($G2267="",$I2267,$G2267)*(1/1.1),IF($G2267="",$I2267,$G2267)+(R$2*$M2267)))</f>
        <v/>
      </c>
      <c r="S2267" s="49">
        <f>IF($M2267="","",MAX(IF($G2267="",$I2267,$G2267)*(1/1.1),IF($G2267="",$I2267,$G2267)+(S$2*$M2267)))</f>
        <v/>
      </c>
      <c r="T2267" s="82" t="n"/>
      <c r="U2267" s="47">
        <f>IF(OR($M2267="",$T2267=""),"",$T2267+(U$2*$M2267))</f>
        <v/>
      </c>
      <c r="V2267" s="48">
        <f>IF(OR($M2267="",$T2267=""),"",$T2267+(V$2*$M2267))</f>
        <v/>
      </c>
      <c r="W2267" s="48">
        <f>IF(OR($M2267="",$T2267=""),"",$T2267+(W$2*$M2267))</f>
        <v/>
      </c>
      <c r="X2267" s="49">
        <f>IF(OR($M2267="",$T2267=""),"",$T2267+(X$2*$M2267))</f>
        <v/>
      </c>
      <c r="Y2267" s="47">
        <f>IF(OR($M2267="",$T2267=""),"",$T2267+(Y$2*$M2267))</f>
        <v/>
      </c>
      <c r="Z2267" s="49">
        <f>IF(OR($M2267="",$T2267=""),"",$T2267+(Z$2*$M2267))</f>
        <v/>
      </c>
      <c r="AA2267" s="51">
        <f>IF(OR($M2267="",$T2267=""),"",$T2267+(AA$2*$M2267))</f>
        <v/>
      </c>
      <c r="AB2267" s="48">
        <f>IF(OR($M2267="",$T2267=""),"",$T2267+(AB$2*$M2267))</f>
        <v/>
      </c>
      <c r="AC2267" s="48">
        <f>IF(OR($M2267="",$T2267=""),"",$T2267+(AC$2*$M2267))</f>
        <v/>
      </c>
      <c r="AD2267" s="48">
        <f>IF(OR($M2267="",$T2267=""),"",$T2267+(AD$2*$M2267))</f>
        <v/>
      </c>
      <c r="AE2267" s="49">
        <f>IF(OR($M2267="",$T2267=""),"",$T2267+(AE$2*$M2267))</f>
        <v/>
      </c>
      <c r="AF2267" s="52">
        <f>IF(OR(T2267="",I2267&lt;T2267),"",IFERROR(AVERAGE(T2267+M2267*{7,8,9,10,11})/IF(G2267="",I2267,G2267)-1,""))</f>
        <v/>
      </c>
      <c r="AG2267" s="55">
        <f>IF(OR(T2267="",I2267&lt;T2267),"",IFERROR(AF2267/-(R2267/IF(G2267="",I2267,G2267)-1),""))</f>
        <v/>
      </c>
      <c r="AH2267" s="94" t="n"/>
      <c r="AI2267" s="94" t="n"/>
      <c r="AJ2267" s="94" t="n"/>
      <c r="AK2267" s="94" t="n"/>
      <c r="AL2267" s="84" t="n"/>
    </row>
    <row r="2268">
      <c r="A2268" s="64" t="n"/>
      <c r="B2268" s="65" t="n"/>
      <c r="C2268" s="66" t="n"/>
      <c r="D2268" s="67" t="n"/>
      <c r="E2268" s="68" t="n"/>
      <c r="F2268" s="47">
        <f>IF(A2268="","",IF(MIN(H2268,MAX(J2268:K2268))=0,"",MIN(H2268,MAX(J2268:K2268))))</f>
        <v/>
      </c>
      <c r="G2268" s="74" t="n"/>
      <c r="H2268" s="49">
        <f>IF(M2268="","",IFERROR(ROUND(AVERAGE(T2268+M2268*{7,8,9,10,11})/1.21,4),""))</f>
        <v/>
      </c>
      <c r="I2268" s="76" t="n"/>
      <c r="J2268" s="77" t="n"/>
      <c r="K2268" s="74" t="n"/>
      <c r="L2268" s="78" t="n"/>
      <c r="M2268" s="77" t="n"/>
      <c r="N2268" s="53">
        <f>IF(M2268="","",IFERROR(M2268/I2268,""))</f>
        <v/>
      </c>
      <c r="O2268" s="50">
        <f>IF(A2268="","",IFERROR((IF(G2268="",I2268,G2268)-T2268)/M2268,""))</f>
        <v/>
      </c>
      <c r="P2268" s="50">
        <f>IFERROR((I2268/T2268-1)/N2268,"")</f>
        <v/>
      </c>
      <c r="Q2268" s="46">
        <f>IF(OR(T2268="",I2268&lt;T2268),"",IFERROR(R2268/IF(G2268="",I2268,G2268)-1,""))</f>
        <v/>
      </c>
      <c r="R2268" s="48">
        <f>IF($M2268="","",MAX(IF($G2268="",$I2268,$G2268)*(1/1.1),IF($G2268="",$I2268,$G2268)+(R$2*$M2268)))</f>
        <v/>
      </c>
      <c r="S2268" s="49">
        <f>IF($M2268="","",MAX(IF($G2268="",$I2268,$G2268)*(1/1.1),IF($G2268="",$I2268,$G2268)+(S$2*$M2268)))</f>
        <v/>
      </c>
      <c r="T2268" s="82" t="n"/>
      <c r="U2268" s="47">
        <f>IF(OR($M2268="",$T2268=""),"",$T2268+(U$2*$M2268))</f>
        <v/>
      </c>
      <c r="V2268" s="48">
        <f>IF(OR($M2268="",$T2268=""),"",$T2268+(V$2*$M2268))</f>
        <v/>
      </c>
      <c r="W2268" s="48">
        <f>IF(OR($M2268="",$T2268=""),"",$T2268+(W$2*$M2268))</f>
        <v/>
      </c>
      <c r="X2268" s="49">
        <f>IF(OR($M2268="",$T2268=""),"",$T2268+(X$2*$M2268))</f>
        <v/>
      </c>
      <c r="Y2268" s="47">
        <f>IF(OR($M2268="",$T2268=""),"",$T2268+(Y$2*$M2268))</f>
        <v/>
      </c>
      <c r="Z2268" s="49">
        <f>IF(OR($M2268="",$T2268=""),"",$T2268+(Z$2*$M2268))</f>
        <v/>
      </c>
      <c r="AA2268" s="51">
        <f>IF(OR($M2268="",$T2268=""),"",$T2268+(AA$2*$M2268))</f>
        <v/>
      </c>
      <c r="AB2268" s="48">
        <f>IF(OR($M2268="",$T2268=""),"",$T2268+(AB$2*$M2268))</f>
        <v/>
      </c>
      <c r="AC2268" s="48">
        <f>IF(OR($M2268="",$T2268=""),"",$T2268+(AC$2*$M2268))</f>
        <v/>
      </c>
      <c r="AD2268" s="48">
        <f>IF(OR($M2268="",$T2268=""),"",$T2268+(AD$2*$M2268))</f>
        <v/>
      </c>
      <c r="AE2268" s="49">
        <f>IF(OR($M2268="",$T2268=""),"",$T2268+(AE$2*$M2268))</f>
        <v/>
      </c>
      <c r="AF2268" s="52">
        <f>IF(OR(T2268="",I2268&lt;T2268),"",IFERROR(AVERAGE(T2268+M2268*{7,8,9,10,11})/IF(G2268="",I2268,G2268)-1,""))</f>
        <v/>
      </c>
      <c r="AG2268" s="55">
        <f>IF(OR(T2268="",I2268&lt;T2268),"",IFERROR(AF2268/-(R2268/IF(G2268="",I2268,G2268)-1),""))</f>
        <v/>
      </c>
      <c r="AH2268" s="94" t="n"/>
      <c r="AI2268" s="94" t="n"/>
      <c r="AJ2268" s="94" t="n"/>
      <c r="AK2268" s="94" t="n"/>
      <c r="AL2268" s="84" t="n"/>
    </row>
    <row r="2269">
      <c r="A2269" s="64" t="n"/>
      <c r="B2269" s="65" t="n"/>
      <c r="C2269" s="66" t="n"/>
      <c r="D2269" s="67" t="n"/>
      <c r="E2269" s="68" t="n"/>
      <c r="F2269" s="47">
        <f>IF(A2269="","",IF(MIN(H2269,MAX(J2269:K2269))=0,"",MIN(H2269,MAX(J2269:K2269))))</f>
        <v/>
      </c>
      <c r="G2269" s="74" t="n"/>
      <c r="H2269" s="49">
        <f>IF(M2269="","",IFERROR(ROUND(AVERAGE(T2269+M2269*{7,8,9,10,11})/1.21,4),""))</f>
        <v/>
      </c>
      <c r="I2269" s="76" t="n"/>
      <c r="J2269" s="77" t="n"/>
      <c r="K2269" s="74" t="n"/>
      <c r="L2269" s="78" t="n"/>
      <c r="M2269" s="77" t="n"/>
      <c r="N2269" s="53">
        <f>IF(M2269="","",IFERROR(M2269/I2269,""))</f>
        <v/>
      </c>
      <c r="O2269" s="50">
        <f>IF(A2269="","",IFERROR((IF(G2269="",I2269,G2269)-T2269)/M2269,""))</f>
        <v/>
      </c>
      <c r="P2269" s="50">
        <f>IFERROR((I2269/T2269-1)/N2269,"")</f>
        <v/>
      </c>
      <c r="Q2269" s="46">
        <f>IF(OR(T2269="",I2269&lt;T2269),"",IFERROR(R2269/IF(G2269="",I2269,G2269)-1,""))</f>
        <v/>
      </c>
      <c r="R2269" s="48">
        <f>IF($M2269="","",MAX(IF($G2269="",$I2269,$G2269)*(1/1.1),IF($G2269="",$I2269,$G2269)+(R$2*$M2269)))</f>
        <v/>
      </c>
      <c r="S2269" s="49">
        <f>IF($M2269="","",MAX(IF($G2269="",$I2269,$G2269)*(1/1.1),IF($G2269="",$I2269,$G2269)+(S$2*$M2269)))</f>
        <v/>
      </c>
      <c r="T2269" s="82" t="n"/>
      <c r="U2269" s="47">
        <f>IF(OR($M2269="",$T2269=""),"",$T2269+(U$2*$M2269))</f>
        <v/>
      </c>
      <c r="V2269" s="48">
        <f>IF(OR($M2269="",$T2269=""),"",$T2269+(V$2*$M2269))</f>
        <v/>
      </c>
      <c r="W2269" s="48">
        <f>IF(OR($M2269="",$T2269=""),"",$T2269+(W$2*$M2269))</f>
        <v/>
      </c>
      <c r="X2269" s="49">
        <f>IF(OR($M2269="",$T2269=""),"",$T2269+(X$2*$M2269))</f>
        <v/>
      </c>
      <c r="Y2269" s="47">
        <f>IF(OR($M2269="",$T2269=""),"",$T2269+(Y$2*$M2269))</f>
        <v/>
      </c>
      <c r="Z2269" s="49">
        <f>IF(OR($M2269="",$T2269=""),"",$T2269+(Z$2*$M2269))</f>
        <v/>
      </c>
      <c r="AA2269" s="51">
        <f>IF(OR($M2269="",$T2269=""),"",$T2269+(AA$2*$M2269))</f>
        <v/>
      </c>
      <c r="AB2269" s="48">
        <f>IF(OR($M2269="",$T2269=""),"",$T2269+(AB$2*$M2269))</f>
        <v/>
      </c>
      <c r="AC2269" s="48">
        <f>IF(OR($M2269="",$T2269=""),"",$T2269+(AC$2*$M2269))</f>
        <v/>
      </c>
      <c r="AD2269" s="48">
        <f>IF(OR($M2269="",$T2269=""),"",$T2269+(AD$2*$M2269))</f>
        <v/>
      </c>
      <c r="AE2269" s="49">
        <f>IF(OR($M2269="",$T2269=""),"",$T2269+(AE$2*$M2269))</f>
        <v/>
      </c>
      <c r="AF2269" s="52">
        <f>IF(OR(T2269="",I2269&lt;T2269),"",IFERROR(AVERAGE(T2269+M2269*{7,8,9,10,11})/IF(G2269="",I2269,G2269)-1,""))</f>
        <v/>
      </c>
      <c r="AG2269" s="55">
        <f>IF(OR(T2269="",I2269&lt;T2269),"",IFERROR(AF2269/-(R2269/IF(G2269="",I2269,G2269)-1),""))</f>
        <v/>
      </c>
      <c r="AH2269" s="94" t="n"/>
      <c r="AI2269" s="94" t="n"/>
      <c r="AJ2269" s="94" t="n"/>
      <c r="AK2269" s="94" t="n"/>
      <c r="AL2269" s="84" t="n"/>
    </row>
    <row r="2270">
      <c r="A2270" s="64" t="n"/>
      <c r="B2270" s="65" t="n"/>
      <c r="C2270" s="66" t="n"/>
      <c r="D2270" s="67" t="n"/>
      <c r="E2270" s="68" t="n"/>
      <c r="F2270" s="47">
        <f>IF(A2270="","",IF(MIN(H2270,MAX(J2270:K2270))=0,"",MIN(H2270,MAX(J2270:K2270))))</f>
        <v/>
      </c>
      <c r="G2270" s="74" t="n"/>
      <c r="H2270" s="49">
        <f>IF(M2270="","",IFERROR(ROUND(AVERAGE(T2270+M2270*{7,8,9,10,11})/1.21,4),""))</f>
        <v/>
      </c>
      <c r="I2270" s="76" t="n"/>
      <c r="J2270" s="77" t="n"/>
      <c r="K2270" s="74" t="n"/>
      <c r="L2270" s="78" t="n"/>
      <c r="M2270" s="77" t="n"/>
      <c r="N2270" s="53">
        <f>IF(M2270="","",IFERROR(M2270/I2270,""))</f>
        <v/>
      </c>
      <c r="O2270" s="50">
        <f>IF(A2270="","",IFERROR((IF(G2270="",I2270,G2270)-T2270)/M2270,""))</f>
        <v/>
      </c>
      <c r="P2270" s="50">
        <f>IFERROR((I2270/T2270-1)/N2270,"")</f>
        <v/>
      </c>
      <c r="Q2270" s="46">
        <f>IF(OR(T2270="",I2270&lt;T2270),"",IFERROR(R2270/IF(G2270="",I2270,G2270)-1,""))</f>
        <v/>
      </c>
      <c r="R2270" s="48">
        <f>IF($M2270="","",MAX(IF($G2270="",$I2270,$G2270)*(1/1.1),IF($G2270="",$I2270,$G2270)+(R$2*$M2270)))</f>
        <v/>
      </c>
      <c r="S2270" s="49">
        <f>IF($M2270="","",MAX(IF($G2270="",$I2270,$G2270)*(1/1.1),IF($G2270="",$I2270,$G2270)+(S$2*$M2270)))</f>
        <v/>
      </c>
      <c r="T2270" s="82" t="n"/>
      <c r="U2270" s="47">
        <f>IF(OR($M2270="",$T2270=""),"",$T2270+(U$2*$M2270))</f>
        <v/>
      </c>
      <c r="V2270" s="48">
        <f>IF(OR($M2270="",$T2270=""),"",$T2270+(V$2*$M2270))</f>
        <v/>
      </c>
      <c r="W2270" s="48">
        <f>IF(OR($M2270="",$T2270=""),"",$T2270+(W$2*$M2270))</f>
        <v/>
      </c>
      <c r="X2270" s="49">
        <f>IF(OR($M2270="",$T2270=""),"",$T2270+(X$2*$M2270))</f>
        <v/>
      </c>
      <c r="Y2270" s="47">
        <f>IF(OR($M2270="",$T2270=""),"",$T2270+(Y$2*$M2270))</f>
        <v/>
      </c>
      <c r="Z2270" s="49">
        <f>IF(OR($M2270="",$T2270=""),"",$T2270+(Z$2*$M2270))</f>
        <v/>
      </c>
      <c r="AA2270" s="51">
        <f>IF(OR($M2270="",$T2270=""),"",$T2270+(AA$2*$M2270))</f>
        <v/>
      </c>
      <c r="AB2270" s="48">
        <f>IF(OR($M2270="",$T2270=""),"",$T2270+(AB$2*$M2270))</f>
        <v/>
      </c>
      <c r="AC2270" s="48">
        <f>IF(OR($M2270="",$T2270=""),"",$T2270+(AC$2*$M2270))</f>
        <v/>
      </c>
      <c r="AD2270" s="48">
        <f>IF(OR($M2270="",$T2270=""),"",$T2270+(AD$2*$M2270))</f>
        <v/>
      </c>
      <c r="AE2270" s="49">
        <f>IF(OR($M2270="",$T2270=""),"",$T2270+(AE$2*$M2270))</f>
        <v/>
      </c>
      <c r="AF2270" s="52">
        <f>IF(OR(T2270="",I2270&lt;T2270),"",IFERROR(AVERAGE(T2270+M2270*{7,8,9,10,11})/IF(G2270="",I2270,G2270)-1,""))</f>
        <v/>
      </c>
      <c r="AG2270" s="55">
        <f>IF(OR(T2270="",I2270&lt;T2270),"",IFERROR(AF2270/-(R2270/IF(G2270="",I2270,G2270)-1),""))</f>
        <v/>
      </c>
      <c r="AH2270" s="94" t="n"/>
      <c r="AI2270" s="94" t="n"/>
      <c r="AJ2270" s="94" t="n"/>
      <c r="AK2270" s="94" t="n"/>
      <c r="AL2270" s="84" t="n"/>
    </row>
    <row r="2271">
      <c r="A2271" s="64" t="n"/>
      <c r="B2271" s="65" t="n"/>
      <c r="C2271" s="66" t="n"/>
      <c r="D2271" s="67" t="n"/>
      <c r="E2271" s="68" t="n"/>
      <c r="F2271" s="47">
        <f>IF(A2271="","",IF(MIN(H2271,MAX(J2271:K2271))=0,"",MIN(H2271,MAX(J2271:K2271))))</f>
        <v/>
      </c>
      <c r="G2271" s="74" t="n"/>
      <c r="H2271" s="49">
        <f>IF(M2271="","",IFERROR(ROUND(AVERAGE(T2271+M2271*{7,8,9,10,11})/1.21,4),""))</f>
        <v/>
      </c>
      <c r="I2271" s="76" t="n"/>
      <c r="J2271" s="77" t="n"/>
      <c r="K2271" s="74" t="n"/>
      <c r="L2271" s="78" t="n"/>
      <c r="M2271" s="77" t="n"/>
      <c r="N2271" s="53">
        <f>IF(M2271="","",IFERROR(M2271/I2271,""))</f>
        <v/>
      </c>
      <c r="O2271" s="50">
        <f>IF(A2271="","",IFERROR((IF(G2271="",I2271,G2271)-T2271)/M2271,""))</f>
        <v/>
      </c>
      <c r="P2271" s="50">
        <f>IFERROR((I2271/T2271-1)/N2271,"")</f>
        <v/>
      </c>
      <c r="Q2271" s="46">
        <f>IF(OR(T2271="",I2271&lt;T2271),"",IFERROR(R2271/IF(G2271="",I2271,G2271)-1,""))</f>
        <v/>
      </c>
      <c r="R2271" s="48">
        <f>IF($M2271="","",MAX(IF($G2271="",$I2271,$G2271)*(1/1.1),IF($G2271="",$I2271,$G2271)+(R$2*$M2271)))</f>
        <v/>
      </c>
      <c r="S2271" s="49">
        <f>IF($M2271="","",MAX(IF($G2271="",$I2271,$G2271)*(1/1.1),IF($G2271="",$I2271,$G2271)+(S$2*$M2271)))</f>
        <v/>
      </c>
      <c r="T2271" s="82" t="n"/>
      <c r="U2271" s="47">
        <f>IF(OR($M2271="",$T2271=""),"",$T2271+(U$2*$M2271))</f>
        <v/>
      </c>
      <c r="V2271" s="48">
        <f>IF(OR($M2271="",$T2271=""),"",$T2271+(V$2*$M2271))</f>
        <v/>
      </c>
      <c r="W2271" s="48">
        <f>IF(OR($M2271="",$T2271=""),"",$T2271+(W$2*$M2271))</f>
        <v/>
      </c>
      <c r="X2271" s="49">
        <f>IF(OR($M2271="",$T2271=""),"",$T2271+(X$2*$M2271))</f>
        <v/>
      </c>
      <c r="Y2271" s="47">
        <f>IF(OR($M2271="",$T2271=""),"",$T2271+(Y$2*$M2271))</f>
        <v/>
      </c>
      <c r="Z2271" s="49">
        <f>IF(OR($M2271="",$T2271=""),"",$T2271+(Z$2*$M2271))</f>
        <v/>
      </c>
      <c r="AA2271" s="51">
        <f>IF(OR($M2271="",$T2271=""),"",$T2271+(AA$2*$M2271))</f>
        <v/>
      </c>
      <c r="AB2271" s="48">
        <f>IF(OR($M2271="",$T2271=""),"",$T2271+(AB$2*$M2271))</f>
        <v/>
      </c>
      <c r="AC2271" s="48">
        <f>IF(OR($M2271="",$T2271=""),"",$T2271+(AC$2*$M2271))</f>
        <v/>
      </c>
      <c r="AD2271" s="48">
        <f>IF(OR($M2271="",$T2271=""),"",$T2271+(AD$2*$M2271))</f>
        <v/>
      </c>
      <c r="AE2271" s="49">
        <f>IF(OR($M2271="",$T2271=""),"",$T2271+(AE$2*$M2271))</f>
        <v/>
      </c>
      <c r="AF2271" s="52">
        <f>IF(OR(T2271="",I2271&lt;T2271),"",IFERROR(AVERAGE(T2271+M2271*{7,8,9,10,11})/IF(G2271="",I2271,G2271)-1,""))</f>
        <v/>
      </c>
      <c r="AG2271" s="55">
        <f>IF(OR(T2271="",I2271&lt;T2271),"",IFERROR(AF2271/-(R2271/IF(G2271="",I2271,G2271)-1),""))</f>
        <v/>
      </c>
      <c r="AH2271" s="94" t="n"/>
      <c r="AI2271" s="94" t="n"/>
      <c r="AJ2271" s="94" t="n"/>
      <c r="AK2271" s="94" t="n"/>
      <c r="AL2271" s="84" t="n"/>
    </row>
    <row r="2272">
      <c r="A2272" s="64" t="n"/>
      <c r="B2272" s="65" t="n"/>
      <c r="C2272" s="66" t="n"/>
      <c r="D2272" s="67" t="n"/>
      <c r="E2272" s="68" t="n"/>
      <c r="F2272" s="47">
        <f>IF(A2272="","",IF(MIN(H2272,MAX(J2272:K2272))=0,"",MIN(H2272,MAX(J2272:K2272))))</f>
        <v/>
      </c>
      <c r="G2272" s="74" t="n"/>
      <c r="H2272" s="49">
        <f>IF(M2272="","",IFERROR(ROUND(AVERAGE(T2272+M2272*{7,8,9,10,11})/1.21,4),""))</f>
        <v/>
      </c>
      <c r="I2272" s="76" t="n"/>
      <c r="J2272" s="77" t="n"/>
      <c r="K2272" s="74" t="n"/>
      <c r="L2272" s="78" t="n"/>
      <c r="M2272" s="77" t="n"/>
      <c r="N2272" s="53">
        <f>IF(M2272="","",IFERROR(M2272/I2272,""))</f>
        <v/>
      </c>
      <c r="O2272" s="50">
        <f>IF(A2272="","",IFERROR((IF(G2272="",I2272,G2272)-T2272)/M2272,""))</f>
        <v/>
      </c>
      <c r="P2272" s="50">
        <f>IFERROR((I2272/T2272-1)/N2272,"")</f>
        <v/>
      </c>
      <c r="Q2272" s="46">
        <f>IF(OR(T2272="",I2272&lt;T2272),"",IFERROR(R2272/IF(G2272="",I2272,G2272)-1,""))</f>
        <v/>
      </c>
      <c r="R2272" s="48">
        <f>IF($M2272="","",MAX(IF($G2272="",$I2272,$G2272)*(1/1.1),IF($G2272="",$I2272,$G2272)+(R$2*$M2272)))</f>
        <v/>
      </c>
      <c r="S2272" s="49">
        <f>IF($M2272="","",MAX(IF($G2272="",$I2272,$G2272)*(1/1.1),IF($G2272="",$I2272,$G2272)+(S$2*$M2272)))</f>
        <v/>
      </c>
      <c r="T2272" s="82" t="n"/>
      <c r="U2272" s="47">
        <f>IF(OR($M2272="",$T2272=""),"",$T2272+(U$2*$M2272))</f>
        <v/>
      </c>
      <c r="V2272" s="48">
        <f>IF(OR($M2272="",$T2272=""),"",$T2272+(V$2*$M2272))</f>
        <v/>
      </c>
      <c r="W2272" s="48">
        <f>IF(OR($M2272="",$T2272=""),"",$T2272+(W$2*$M2272))</f>
        <v/>
      </c>
      <c r="X2272" s="49">
        <f>IF(OR($M2272="",$T2272=""),"",$T2272+(X$2*$M2272))</f>
        <v/>
      </c>
      <c r="Y2272" s="47">
        <f>IF(OR($M2272="",$T2272=""),"",$T2272+(Y$2*$M2272))</f>
        <v/>
      </c>
      <c r="Z2272" s="49">
        <f>IF(OR($M2272="",$T2272=""),"",$T2272+(Z$2*$M2272))</f>
        <v/>
      </c>
      <c r="AA2272" s="51">
        <f>IF(OR($M2272="",$T2272=""),"",$T2272+(AA$2*$M2272))</f>
        <v/>
      </c>
      <c r="AB2272" s="48">
        <f>IF(OR($M2272="",$T2272=""),"",$T2272+(AB$2*$M2272))</f>
        <v/>
      </c>
      <c r="AC2272" s="48">
        <f>IF(OR($M2272="",$T2272=""),"",$T2272+(AC$2*$M2272))</f>
        <v/>
      </c>
      <c r="AD2272" s="48">
        <f>IF(OR($M2272="",$T2272=""),"",$T2272+(AD$2*$M2272))</f>
        <v/>
      </c>
      <c r="AE2272" s="49">
        <f>IF(OR($M2272="",$T2272=""),"",$T2272+(AE$2*$M2272))</f>
        <v/>
      </c>
      <c r="AF2272" s="52">
        <f>IF(OR(T2272="",I2272&lt;T2272),"",IFERROR(AVERAGE(T2272+M2272*{7,8,9,10,11})/IF(G2272="",I2272,G2272)-1,""))</f>
        <v/>
      </c>
      <c r="AG2272" s="55">
        <f>IF(OR(T2272="",I2272&lt;T2272),"",IFERROR(AF2272/-(R2272/IF(G2272="",I2272,G2272)-1),""))</f>
        <v/>
      </c>
      <c r="AH2272" s="94" t="n"/>
      <c r="AI2272" s="94" t="n"/>
      <c r="AJ2272" s="94" t="n"/>
      <c r="AK2272" s="94" t="n"/>
      <c r="AL2272" s="84" t="n"/>
    </row>
    <row r="2273">
      <c r="A2273" s="64" t="n"/>
      <c r="B2273" s="65" t="n"/>
      <c r="C2273" s="66" t="n"/>
      <c r="D2273" s="67" t="n"/>
      <c r="E2273" s="68" t="n"/>
      <c r="F2273" s="47">
        <f>IF(A2273="","",IF(MIN(H2273,MAX(J2273:K2273))=0,"",MIN(H2273,MAX(J2273:K2273))))</f>
        <v/>
      </c>
      <c r="G2273" s="74" t="n"/>
      <c r="H2273" s="49">
        <f>IF(M2273="","",IFERROR(ROUND(AVERAGE(T2273+M2273*{7,8,9,10,11})/1.21,4),""))</f>
        <v/>
      </c>
      <c r="I2273" s="76" t="n"/>
      <c r="J2273" s="77" t="n"/>
      <c r="K2273" s="74" t="n"/>
      <c r="L2273" s="78" t="n"/>
      <c r="M2273" s="77" t="n"/>
      <c r="N2273" s="53">
        <f>IF(M2273="","",IFERROR(M2273/I2273,""))</f>
        <v/>
      </c>
      <c r="O2273" s="50">
        <f>IF(A2273="","",IFERROR((IF(G2273="",I2273,G2273)-T2273)/M2273,""))</f>
        <v/>
      </c>
      <c r="P2273" s="50">
        <f>IFERROR((I2273/T2273-1)/N2273,"")</f>
        <v/>
      </c>
      <c r="Q2273" s="46">
        <f>IF(OR(T2273="",I2273&lt;T2273),"",IFERROR(R2273/IF(G2273="",I2273,G2273)-1,""))</f>
        <v/>
      </c>
      <c r="R2273" s="48">
        <f>IF($M2273="","",MAX(IF($G2273="",$I2273,$G2273)*(1/1.1),IF($G2273="",$I2273,$G2273)+(R$2*$M2273)))</f>
        <v/>
      </c>
      <c r="S2273" s="49">
        <f>IF($M2273="","",MAX(IF($G2273="",$I2273,$G2273)*(1/1.1),IF($G2273="",$I2273,$G2273)+(S$2*$M2273)))</f>
        <v/>
      </c>
      <c r="T2273" s="82" t="n"/>
      <c r="U2273" s="47">
        <f>IF(OR($M2273="",$T2273=""),"",$T2273+(U$2*$M2273))</f>
        <v/>
      </c>
      <c r="V2273" s="48">
        <f>IF(OR($M2273="",$T2273=""),"",$T2273+(V$2*$M2273))</f>
        <v/>
      </c>
      <c r="W2273" s="48">
        <f>IF(OR($M2273="",$T2273=""),"",$T2273+(W$2*$M2273))</f>
        <v/>
      </c>
      <c r="X2273" s="49">
        <f>IF(OR($M2273="",$T2273=""),"",$T2273+(X$2*$M2273))</f>
        <v/>
      </c>
      <c r="Y2273" s="47">
        <f>IF(OR($M2273="",$T2273=""),"",$T2273+(Y$2*$M2273))</f>
        <v/>
      </c>
      <c r="Z2273" s="49">
        <f>IF(OR($M2273="",$T2273=""),"",$T2273+(Z$2*$M2273))</f>
        <v/>
      </c>
      <c r="AA2273" s="51">
        <f>IF(OR($M2273="",$T2273=""),"",$T2273+(AA$2*$M2273))</f>
        <v/>
      </c>
      <c r="AB2273" s="48">
        <f>IF(OR($M2273="",$T2273=""),"",$T2273+(AB$2*$M2273))</f>
        <v/>
      </c>
      <c r="AC2273" s="48">
        <f>IF(OR($M2273="",$T2273=""),"",$T2273+(AC$2*$M2273))</f>
        <v/>
      </c>
      <c r="AD2273" s="48">
        <f>IF(OR($M2273="",$T2273=""),"",$T2273+(AD$2*$M2273))</f>
        <v/>
      </c>
      <c r="AE2273" s="49">
        <f>IF(OR($M2273="",$T2273=""),"",$T2273+(AE$2*$M2273))</f>
        <v/>
      </c>
      <c r="AF2273" s="52">
        <f>IF(OR(T2273="",I2273&lt;T2273),"",IFERROR(AVERAGE(T2273+M2273*{7,8,9,10,11})/IF(G2273="",I2273,G2273)-1,""))</f>
        <v/>
      </c>
      <c r="AG2273" s="55">
        <f>IF(OR(T2273="",I2273&lt;T2273),"",IFERROR(AF2273/-(R2273/IF(G2273="",I2273,G2273)-1),""))</f>
        <v/>
      </c>
      <c r="AH2273" s="94" t="n"/>
      <c r="AI2273" s="94" t="n"/>
      <c r="AJ2273" s="94" t="n"/>
      <c r="AK2273" s="94" t="n"/>
      <c r="AL2273" s="84" t="n"/>
    </row>
    <row r="2274">
      <c r="A2274" s="64" t="n"/>
      <c r="B2274" s="65" t="n"/>
      <c r="C2274" s="66" t="n"/>
      <c r="D2274" s="67" t="n"/>
      <c r="E2274" s="68" t="n"/>
      <c r="F2274" s="47">
        <f>IF(A2274="","",IF(MIN(H2274,MAX(J2274:K2274))=0,"",MIN(H2274,MAX(J2274:K2274))))</f>
        <v/>
      </c>
      <c r="G2274" s="74" t="n"/>
      <c r="H2274" s="49">
        <f>IF(M2274="","",IFERROR(ROUND(AVERAGE(T2274+M2274*{7,8,9,10,11})/1.21,4),""))</f>
        <v/>
      </c>
      <c r="I2274" s="76" t="n"/>
      <c r="J2274" s="77" t="n"/>
      <c r="K2274" s="74" t="n"/>
      <c r="L2274" s="78" t="n"/>
      <c r="M2274" s="77" t="n"/>
      <c r="N2274" s="53">
        <f>IF(M2274="","",IFERROR(M2274/I2274,""))</f>
        <v/>
      </c>
      <c r="O2274" s="50">
        <f>IF(A2274="","",IFERROR((IF(G2274="",I2274,G2274)-T2274)/M2274,""))</f>
        <v/>
      </c>
      <c r="P2274" s="50">
        <f>IFERROR((I2274/T2274-1)/N2274,"")</f>
        <v/>
      </c>
      <c r="Q2274" s="46">
        <f>IF(OR(T2274="",I2274&lt;T2274),"",IFERROR(R2274/IF(G2274="",I2274,G2274)-1,""))</f>
        <v/>
      </c>
      <c r="R2274" s="48">
        <f>IF($M2274="","",MAX(IF($G2274="",$I2274,$G2274)*(1/1.1),IF($G2274="",$I2274,$G2274)+(R$2*$M2274)))</f>
        <v/>
      </c>
      <c r="S2274" s="49">
        <f>IF($M2274="","",MAX(IF($G2274="",$I2274,$G2274)*(1/1.1),IF($G2274="",$I2274,$G2274)+(S$2*$M2274)))</f>
        <v/>
      </c>
      <c r="T2274" s="82" t="n"/>
      <c r="U2274" s="47">
        <f>IF(OR($M2274="",$T2274=""),"",$T2274+(U$2*$M2274))</f>
        <v/>
      </c>
      <c r="V2274" s="48">
        <f>IF(OR($M2274="",$T2274=""),"",$T2274+(V$2*$M2274))</f>
        <v/>
      </c>
      <c r="W2274" s="48">
        <f>IF(OR($M2274="",$T2274=""),"",$T2274+(W$2*$M2274))</f>
        <v/>
      </c>
      <c r="X2274" s="49">
        <f>IF(OR($M2274="",$T2274=""),"",$T2274+(X$2*$M2274))</f>
        <v/>
      </c>
      <c r="Y2274" s="47">
        <f>IF(OR($M2274="",$T2274=""),"",$T2274+(Y$2*$M2274))</f>
        <v/>
      </c>
      <c r="Z2274" s="49">
        <f>IF(OR($M2274="",$T2274=""),"",$T2274+(Z$2*$M2274))</f>
        <v/>
      </c>
      <c r="AA2274" s="51">
        <f>IF(OR($M2274="",$T2274=""),"",$T2274+(AA$2*$M2274))</f>
        <v/>
      </c>
      <c r="AB2274" s="48">
        <f>IF(OR($M2274="",$T2274=""),"",$T2274+(AB$2*$M2274))</f>
        <v/>
      </c>
      <c r="AC2274" s="48">
        <f>IF(OR($M2274="",$T2274=""),"",$T2274+(AC$2*$M2274))</f>
        <v/>
      </c>
      <c r="AD2274" s="48">
        <f>IF(OR($M2274="",$T2274=""),"",$T2274+(AD$2*$M2274))</f>
        <v/>
      </c>
      <c r="AE2274" s="49">
        <f>IF(OR($M2274="",$T2274=""),"",$T2274+(AE$2*$M2274))</f>
        <v/>
      </c>
      <c r="AF2274" s="52">
        <f>IF(OR(T2274="",I2274&lt;T2274),"",IFERROR(AVERAGE(T2274+M2274*{7,8,9,10,11})/IF(G2274="",I2274,G2274)-1,""))</f>
        <v/>
      </c>
      <c r="AG2274" s="55">
        <f>IF(OR(T2274="",I2274&lt;T2274),"",IFERROR(AF2274/-(R2274/IF(G2274="",I2274,G2274)-1),""))</f>
        <v/>
      </c>
      <c r="AH2274" s="94" t="n"/>
      <c r="AI2274" s="94" t="n"/>
      <c r="AJ2274" s="94" t="n"/>
      <c r="AK2274" s="94" t="n"/>
      <c r="AL2274" s="84" t="n"/>
    </row>
    <row r="2275">
      <c r="A2275" s="64" t="n"/>
      <c r="B2275" s="65" t="n"/>
      <c r="C2275" s="66" t="n"/>
      <c r="D2275" s="67" t="n"/>
      <c r="E2275" s="68" t="n"/>
      <c r="F2275" s="47">
        <f>IF(A2275="","",IF(MIN(H2275,MAX(J2275:K2275))=0,"",MIN(H2275,MAX(J2275:K2275))))</f>
        <v/>
      </c>
      <c r="G2275" s="74" t="n"/>
      <c r="H2275" s="49">
        <f>IF(M2275="","",IFERROR(ROUND(AVERAGE(T2275+M2275*{7,8,9,10,11})/1.21,4),""))</f>
        <v/>
      </c>
      <c r="I2275" s="76" t="n"/>
      <c r="J2275" s="77" t="n"/>
      <c r="K2275" s="74" t="n"/>
      <c r="L2275" s="78" t="n"/>
      <c r="M2275" s="77" t="n"/>
      <c r="N2275" s="53">
        <f>IF(M2275="","",IFERROR(M2275/I2275,""))</f>
        <v/>
      </c>
      <c r="O2275" s="50">
        <f>IF(A2275="","",IFERROR((IF(G2275="",I2275,G2275)-T2275)/M2275,""))</f>
        <v/>
      </c>
      <c r="P2275" s="50">
        <f>IFERROR((I2275/T2275-1)/N2275,"")</f>
        <v/>
      </c>
      <c r="Q2275" s="46">
        <f>IF(OR(T2275="",I2275&lt;T2275),"",IFERROR(R2275/IF(G2275="",I2275,G2275)-1,""))</f>
        <v/>
      </c>
      <c r="R2275" s="48">
        <f>IF($M2275="","",MAX(IF($G2275="",$I2275,$G2275)*(1/1.1),IF($G2275="",$I2275,$G2275)+(R$2*$M2275)))</f>
        <v/>
      </c>
      <c r="S2275" s="49">
        <f>IF($M2275="","",MAX(IF($G2275="",$I2275,$G2275)*(1/1.1),IF($G2275="",$I2275,$G2275)+(S$2*$M2275)))</f>
        <v/>
      </c>
      <c r="T2275" s="82" t="n"/>
      <c r="U2275" s="47">
        <f>IF(OR($M2275="",$T2275=""),"",$T2275+(U$2*$M2275))</f>
        <v/>
      </c>
      <c r="V2275" s="48">
        <f>IF(OR($M2275="",$T2275=""),"",$T2275+(V$2*$M2275))</f>
        <v/>
      </c>
      <c r="W2275" s="48">
        <f>IF(OR($M2275="",$T2275=""),"",$T2275+(W$2*$M2275))</f>
        <v/>
      </c>
      <c r="X2275" s="49">
        <f>IF(OR($M2275="",$T2275=""),"",$T2275+(X$2*$M2275))</f>
        <v/>
      </c>
      <c r="Y2275" s="47">
        <f>IF(OR($M2275="",$T2275=""),"",$T2275+(Y$2*$M2275))</f>
        <v/>
      </c>
      <c r="Z2275" s="49">
        <f>IF(OR($M2275="",$T2275=""),"",$T2275+(Z$2*$M2275))</f>
        <v/>
      </c>
      <c r="AA2275" s="51">
        <f>IF(OR($M2275="",$T2275=""),"",$T2275+(AA$2*$M2275))</f>
        <v/>
      </c>
      <c r="AB2275" s="48">
        <f>IF(OR($M2275="",$T2275=""),"",$T2275+(AB$2*$M2275))</f>
        <v/>
      </c>
      <c r="AC2275" s="48">
        <f>IF(OR($M2275="",$T2275=""),"",$T2275+(AC$2*$M2275))</f>
        <v/>
      </c>
      <c r="AD2275" s="48">
        <f>IF(OR($M2275="",$T2275=""),"",$T2275+(AD$2*$M2275))</f>
        <v/>
      </c>
      <c r="AE2275" s="49">
        <f>IF(OR($M2275="",$T2275=""),"",$T2275+(AE$2*$M2275))</f>
        <v/>
      </c>
      <c r="AF2275" s="52">
        <f>IF(OR(T2275="",I2275&lt;T2275),"",IFERROR(AVERAGE(T2275+M2275*{7,8,9,10,11})/IF(G2275="",I2275,G2275)-1,""))</f>
        <v/>
      </c>
      <c r="AG2275" s="55">
        <f>IF(OR(T2275="",I2275&lt;T2275),"",IFERROR(AF2275/-(R2275/IF(G2275="",I2275,G2275)-1),""))</f>
        <v/>
      </c>
      <c r="AH2275" s="94" t="n"/>
      <c r="AI2275" s="94" t="n"/>
      <c r="AJ2275" s="94" t="n"/>
      <c r="AK2275" s="94" t="n"/>
      <c r="AL2275" s="84" t="n"/>
    </row>
    <row r="2276">
      <c r="A2276" s="64" t="n"/>
      <c r="B2276" s="65" t="n"/>
      <c r="C2276" s="66" t="n"/>
      <c r="D2276" s="67" t="n"/>
      <c r="E2276" s="68" t="n"/>
      <c r="F2276" s="47">
        <f>IF(A2276="","",IF(MIN(H2276,MAX(J2276:K2276))=0,"",MIN(H2276,MAX(J2276:K2276))))</f>
        <v/>
      </c>
      <c r="G2276" s="74" t="n"/>
      <c r="H2276" s="49">
        <f>IF(M2276="","",IFERROR(ROUND(AVERAGE(T2276+M2276*{7,8,9,10,11})/1.21,4),""))</f>
        <v/>
      </c>
      <c r="I2276" s="76" t="n"/>
      <c r="J2276" s="77" t="n"/>
      <c r="K2276" s="74" t="n"/>
      <c r="L2276" s="78" t="n"/>
      <c r="M2276" s="77" t="n"/>
      <c r="N2276" s="53">
        <f>IF(M2276="","",IFERROR(M2276/I2276,""))</f>
        <v/>
      </c>
      <c r="O2276" s="50">
        <f>IF(A2276="","",IFERROR((IF(G2276="",I2276,G2276)-T2276)/M2276,""))</f>
        <v/>
      </c>
      <c r="P2276" s="50">
        <f>IFERROR((I2276/T2276-1)/N2276,"")</f>
        <v/>
      </c>
      <c r="Q2276" s="46">
        <f>IF(OR(T2276="",I2276&lt;T2276),"",IFERROR(R2276/IF(G2276="",I2276,G2276)-1,""))</f>
        <v/>
      </c>
      <c r="R2276" s="48">
        <f>IF($M2276="","",MAX(IF($G2276="",$I2276,$G2276)*(1/1.1),IF($G2276="",$I2276,$G2276)+(R$2*$M2276)))</f>
        <v/>
      </c>
      <c r="S2276" s="49">
        <f>IF($M2276="","",MAX(IF($G2276="",$I2276,$G2276)*(1/1.1),IF($G2276="",$I2276,$G2276)+(S$2*$M2276)))</f>
        <v/>
      </c>
      <c r="T2276" s="82" t="n"/>
      <c r="U2276" s="47">
        <f>IF(OR($M2276="",$T2276=""),"",$T2276+(U$2*$M2276))</f>
        <v/>
      </c>
      <c r="V2276" s="48">
        <f>IF(OR($M2276="",$T2276=""),"",$T2276+(V$2*$M2276))</f>
        <v/>
      </c>
      <c r="W2276" s="48">
        <f>IF(OR($M2276="",$T2276=""),"",$T2276+(W$2*$M2276))</f>
        <v/>
      </c>
      <c r="X2276" s="49">
        <f>IF(OR($M2276="",$T2276=""),"",$T2276+(X$2*$M2276))</f>
        <v/>
      </c>
      <c r="Y2276" s="47">
        <f>IF(OR($M2276="",$T2276=""),"",$T2276+(Y$2*$M2276))</f>
        <v/>
      </c>
      <c r="Z2276" s="49">
        <f>IF(OR($M2276="",$T2276=""),"",$T2276+(Z$2*$M2276))</f>
        <v/>
      </c>
      <c r="AA2276" s="51">
        <f>IF(OR($M2276="",$T2276=""),"",$T2276+(AA$2*$M2276))</f>
        <v/>
      </c>
      <c r="AB2276" s="48">
        <f>IF(OR($M2276="",$T2276=""),"",$T2276+(AB$2*$M2276))</f>
        <v/>
      </c>
      <c r="AC2276" s="48">
        <f>IF(OR($M2276="",$T2276=""),"",$T2276+(AC$2*$M2276))</f>
        <v/>
      </c>
      <c r="AD2276" s="48">
        <f>IF(OR($M2276="",$T2276=""),"",$T2276+(AD$2*$M2276))</f>
        <v/>
      </c>
      <c r="AE2276" s="49">
        <f>IF(OR($M2276="",$T2276=""),"",$T2276+(AE$2*$M2276))</f>
        <v/>
      </c>
      <c r="AF2276" s="52">
        <f>IF(OR(T2276="",I2276&lt;T2276),"",IFERROR(AVERAGE(T2276+M2276*{7,8,9,10,11})/IF(G2276="",I2276,G2276)-1,""))</f>
        <v/>
      </c>
      <c r="AG2276" s="55">
        <f>IF(OR(T2276="",I2276&lt;T2276),"",IFERROR(AF2276/-(R2276/IF(G2276="",I2276,G2276)-1),""))</f>
        <v/>
      </c>
      <c r="AH2276" s="94" t="n"/>
      <c r="AI2276" s="94" t="n"/>
      <c r="AJ2276" s="94" t="n"/>
      <c r="AK2276" s="94" t="n"/>
      <c r="AL2276" s="84" t="n"/>
    </row>
    <row r="2277">
      <c r="A2277" s="64" t="n"/>
      <c r="B2277" s="65" t="n"/>
      <c r="C2277" s="66" t="n"/>
      <c r="D2277" s="67" t="n"/>
      <c r="E2277" s="68" t="n"/>
      <c r="F2277" s="47">
        <f>IF(A2277="","",IF(MIN(H2277,MAX(J2277:K2277))=0,"",MIN(H2277,MAX(J2277:K2277))))</f>
        <v/>
      </c>
      <c r="G2277" s="74" t="n"/>
      <c r="H2277" s="49">
        <f>IF(M2277="","",IFERROR(ROUND(AVERAGE(T2277+M2277*{7,8,9,10,11})/1.21,4),""))</f>
        <v/>
      </c>
      <c r="I2277" s="76" t="n"/>
      <c r="J2277" s="77" t="n"/>
      <c r="K2277" s="74" t="n"/>
      <c r="L2277" s="78" t="n"/>
      <c r="M2277" s="77" t="n"/>
      <c r="N2277" s="53">
        <f>IF(M2277="","",IFERROR(M2277/I2277,""))</f>
        <v/>
      </c>
      <c r="O2277" s="50">
        <f>IF(A2277="","",IFERROR((IF(G2277="",I2277,G2277)-T2277)/M2277,""))</f>
        <v/>
      </c>
      <c r="P2277" s="50">
        <f>IFERROR((I2277/T2277-1)/N2277,"")</f>
        <v/>
      </c>
      <c r="Q2277" s="46">
        <f>IF(OR(T2277="",I2277&lt;T2277),"",IFERROR(R2277/IF(G2277="",I2277,G2277)-1,""))</f>
        <v/>
      </c>
      <c r="R2277" s="48">
        <f>IF($M2277="","",MAX(IF($G2277="",$I2277,$G2277)*(1/1.1),IF($G2277="",$I2277,$G2277)+(R$2*$M2277)))</f>
        <v/>
      </c>
      <c r="S2277" s="49">
        <f>IF($M2277="","",MAX(IF($G2277="",$I2277,$G2277)*(1/1.1),IF($G2277="",$I2277,$G2277)+(S$2*$M2277)))</f>
        <v/>
      </c>
      <c r="T2277" s="82" t="n"/>
      <c r="U2277" s="47">
        <f>IF(OR($M2277="",$T2277=""),"",$T2277+(U$2*$M2277))</f>
        <v/>
      </c>
      <c r="V2277" s="48">
        <f>IF(OR($M2277="",$T2277=""),"",$T2277+(V$2*$M2277))</f>
        <v/>
      </c>
      <c r="W2277" s="48">
        <f>IF(OR($M2277="",$T2277=""),"",$T2277+(W$2*$M2277))</f>
        <v/>
      </c>
      <c r="X2277" s="49">
        <f>IF(OR($M2277="",$T2277=""),"",$T2277+(X$2*$M2277))</f>
        <v/>
      </c>
      <c r="Y2277" s="47">
        <f>IF(OR($M2277="",$T2277=""),"",$T2277+(Y$2*$M2277))</f>
        <v/>
      </c>
      <c r="Z2277" s="49">
        <f>IF(OR($M2277="",$T2277=""),"",$T2277+(Z$2*$M2277))</f>
        <v/>
      </c>
      <c r="AA2277" s="51">
        <f>IF(OR($M2277="",$T2277=""),"",$T2277+(AA$2*$M2277))</f>
        <v/>
      </c>
      <c r="AB2277" s="48">
        <f>IF(OR($M2277="",$T2277=""),"",$T2277+(AB$2*$M2277))</f>
        <v/>
      </c>
      <c r="AC2277" s="48">
        <f>IF(OR($M2277="",$T2277=""),"",$T2277+(AC$2*$M2277))</f>
        <v/>
      </c>
      <c r="AD2277" s="48">
        <f>IF(OR($M2277="",$T2277=""),"",$T2277+(AD$2*$M2277))</f>
        <v/>
      </c>
      <c r="AE2277" s="49">
        <f>IF(OR($M2277="",$T2277=""),"",$T2277+(AE$2*$M2277))</f>
        <v/>
      </c>
      <c r="AF2277" s="52">
        <f>IF(OR(T2277="",I2277&lt;T2277),"",IFERROR(AVERAGE(T2277+M2277*{7,8,9,10,11})/IF(G2277="",I2277,G2277)-1,""))</f>
        <v/>
      </c>
      <c r="AG2277" s="55">
        <f>IF(OR(T2277="",I2277&lt;T2277),"",IFERROR(AF2277/-(R2277/IF(G2277="",I2277,G2277)-1),""))</f>
        <v/>
      </c>
      <c r="AH2277" s="94" t="n"/>
      <c r="AI2277" s="94" t="n"/>
      <c r="AJ2277" s="94" t="n"/>
      <c r="AK2277" s="94" t="n"/>
      <c r="AL2277" s="84" t="n"/>
    </row>
    <row r="2278">
      <c r="A2278" s="64" t="n"/>
      <c r="B2278" s="65" t="n"/>
      <c r="C2278" s="66" t="n"/>
      <c r="D2278" s="67" t="n"/>
      <c r="E2278" s="68" t="n"/>
      <c r="F2278" s="47">
        <f>IF(A2278="","",IF(MIN(H2278,MAX(J2278:K2278))=0,"",MIN(H2278,MAX(J2278:K2278))))</f>
        <v/>
      </c>
      <c r="G2278" s="74" t="n"/>
      <c r="H2278" s="49">
        <f>IF(M2278="","",IFERROR(ROUND(AVERAGE(T2278+M2278*{7,8,9,10,11})/1.21,4),""))</f>
        <v/>
      </c>
      <c r="I2278" s="76" t="n"/>
      <c r="J2278" s="77" t="n"/>
      <c r="K2278" s="74" t="n"/>
      <c r="L2278" s="78" t="n"/>
      <c r="M2278" s="77" t="n"/>
      <c r="N2278" s="53">
        <f>IF(M2278="","",IFERROR(M2278/I2278,""))</f>
        <v/>
      </c>
      <c r="O2278" s="50">
        <f>IF(A2278="","",IFERROR((IF(G2278="",I2278,G2278)-T2278)/M2278,""))</f>
        <v/>
      </c>
      <c r="P2278" s="50">
        <f>IFERROR((I2278/T2278-1)/N2278,"")</f>
        <v/>
      </c>
      <c r="Q2278" s="46">
        <f>IF(OR(T2278="",I2278&lt;T2278),"",IFERROR(R2278/IF(G2278="",I2278,G2278)-1,""))</f>
        <v/>
      </c>
      <c r="R2278" s="48">
        <f>IF($M2278="","",MAX(IF($G2278="",$I2278,$G2278)*(1/1.1),IF($G2278="",$I2278,$G2278)+(R$2*$M2278)))</f>
        <v/>
      </c>
      <c r="S2278" s="49">
        <f>IF($M2278="","",MAX(IF($G2278="",$I2278,$G2278)*(1/1.1),IF($G2278="",$I2278,$G2278)+(S$2*$M2278)))</f>
        <v/>
      </c>
      <c r="T2278" s="82" t="n"/>
      <c r="U2278" s="47">
        <f>IF(OR($M2278="",$T2278=""),"",$T2278+(U$2*$M2278))</f>
        <v/>
      </c>
      <c r="V2278" s="48">
        <f>IF(OR($M2278="",$T2278=""),"",$T2278+(V$2*$M2278))</f>
        <v/>
      </c>
      <c r="W2278" s="48">
        <f>IF(OR($M2278="",$T2278=""),"",$T2278+(W$2*$M2278))</f>
        <v/>
      </c>
      <c r="X2278" s="49">
        <f>IF(OR($M2278="",$T2278=""),"",$T2278+(X$2*$M2278))</f>
        <v/>
      </c>
      <c r="Y2278" s="47">
        <f>IF(OR($M2278="",$T2278=""),"",$T2278+(Y$2*$M2278))</f>
        <v/>
      </c>
      <c r="Z2278" s="49">
        <f>IF(OR($M2278="",$T2278=""),"",$T2278+(Z$2*$M2278))</f>
        <v/>
      </c>
      <c r="AA2278" s="51">
        <f>IF(OR($M2278="",$T2278=""),"",$T2278+(AA$2*$M2278))</f>
        <v/>
      </c>
      <c r="AB2278" s="48">
        <f>IF(OR($M2278="",$T2278=""),"",$T2278+(AB$2*$M2278))</f>
        <v/>
      </c>
      <c r="AC2278" s="48">
        <f>IF(OR($M2278="",$T2278=""),"",$T2278+(AC$2*$M2278))</f>
        <v/>
      </c>
      <c r="AD2278" s="48">
        <f>IF(OR($M2278="",$T2278=""),"",$T2278+(AD$2*$M2278))</f>
        <v/>
      </c>
      <c r="AE2278" s="49">
        <f>IF(OR($M2278="",$T2278=""),"",$T2278+(AE$2*$M2278))</f>
        <v/>
      </c>
      <c r="AF2278" s="52">
        <f>IF(OR(T2278="",I2278&lt;T2278),"",IFERROR(AVERAGE(T2278+M2278*{7,8,9,10,11})/IF(G2278="",I2278,G2278)-1,""))</f>
        <v/>
      </c>
      <c r="AG2278" s="55">
        <f>IF(OR(T2278="",I2278&lt;T2278),"",IFERROR(AF2278/-(R2278/IF(G2278="",I2278,G2278)-1),""))</f>
        <v/>
      </c>
      <c r="AH2278" s="94" t="n"/>
      <c r="AI2278" s="94" t="n"/>
      <c r="AJ2278" s="94" t="n"/>
      <c r="AK2278" s="94" t="n"/>
      <c r="AL2278" s="84" t="n"/>
    </row>
    <row r="2279">
      <c r="A2279" s="64" t="n"/>
      <c r="B2279" s="65" t="n"/>
      <c r="C2279" s="66" t="n"/>
      <c r="D2279" s="67" t="n"/>
      <c r="E2279" s="68" t="n"/>
      <c r="F2279" s="47">
        <f>IF(A2279="","",IF(MIN(H2279,MAX(J2279:K2279))=0,"",MIN(H2279,MAX(J2279:K2279))))</f>
        <v/>
      </c>
      <c r="G2279" s="74" t="n"/>
      <c r="H2279" s="49">
        <f>IF(M2279="","",IFERROR(ROUND(AVERAGE(T2279+M2279*{7,8,9,10,11})/1.21,4),""))</f>
        <v/>
      </c>
      <c r="I2279" s="76" t="n"/>
      <c r="J2279" s="77" t="n"/>
      <c r="K2279" s="74" t="n"/>
      <c r="L2279" s="78" t="n"/>
      <c r="M2279" s="77" t="n"/>
      <c r="N2279" s="53">
        <f>IF(M2279="","",IFERROR(M2279/I2279,""))</f>
        <v/>
      </c>
      <c r="O2279" s="50">
        <f>IF(A2279="","",IFERROR((IF(G2279="",I2279,G2279)-T2279)/M2279,""))</f>
        <v/>
      </c>
      <c r="P2279" s="50">
        <f>IFERROR((I2279/T2279-1)/N2279,"")</f>
        <v/>
      </c>
      <c r="Q2279" s="46">
        <f>IF(OR(T2279="",I2279&lt;T2279),"",IFERROR(R2279/IF(G2279="",I2279,G2279)-1,""))</f>
        <v/>
      </c>
      <c r="R2279" s="48">
        <f>IF($M2279="","",MAX(IF($G2279="",$I2279,$G2279)*(1/1.1),IF($G2279="",$I2279,$G2279)+(R$2*$M2279)))</f>
        <v/>
      </c>
      <c r="S2279" s="49">
        <f>IF($M2279="","",MAX(IF($G2279="",$I2279,$G2279)*(1/1.1),IF($G2279="",$I2279,$G2279)+(S$2*$M2279)))</f>
        <v/>
      </c>
      <c r="T2279" s="82" t="n"/>
      <c r="U2279" s="47">
        <f>IF(OR($M2279="",$T2279=""),"",$T2279+(U$2*$M2279))</f>
        <v/>
      </c>
      <c r="V2279" s="48">
        <f>IF(OR($M2279="",$T2279=""),"",$T2279+(V$2*$M2279))</f>
        <v/>
      </c>
      <c r="W2279" s="48">
        <f>IF(OR($M2279="",$T2279=""),"",$T2279+(W$2*$M2279))</f>
        <v/>
      </c>
      <c r="X2279" s="49">
        <f>IF(OR($M2279="",$T2279=""),"",$T2279+(X$2*$M2279))</f>
        <v/>
      </c>
      <c r="Y2279" s="47">
        <f>IF(OR($M2279="",$T2279=""),"",$T2279+(Y$2*$M2279))</f>
        <v/>
      </c>
      <c r="Z2279" s="49">
        <f>IF(OR($M2279="",$T2279=""),"",$T2279+(Z$2*$M2279))</f>
        <v/>
      </c>
      <c r="AA2279" s="51">
        <f>IF(OR($M2279="",$T2279=""),"",$T2279+(AA$2*$M2279))</f>
        <v/>
      </c>
      <c r="AB2279" s="48">
        <f>IF(OR($M2279="",$T2279=""),"",$T2279+(AB$2*$M2279))</f>
        <v/>
      </c>
      <c r="AC2279" s="48">
        <f>IF(OR($M2279="",$T2279=""),"",$T2279+(AC$2*$M2279))</f>
        <v/>
      </c>
      <c r="AD2279" s="48">
        <f>IF(OR($M2279="",$T2279=""),"",$T2279+(AD$2*$M2279))</f>
        <v/>
      </c>
      <c r="AE2279" s="49">
        <f>IF(OR($M2279="",$T2279=""),"",$T2279+(AE$2*$M2279))</f>
        <v/>
      </c>
      <c r="AF2279" s="52">
        <f>IF(OR(T2279="",I2279&lt;T2279),"",IFERROR(AVERAGE(T2279+M2279*{7,8,9,10,11})/IF(G2279="",I2279,G2279)-1,""))</f>
        <v/>
      </c>
      <c r="AG2279" s="55">
        <f>IF(OR(T2279="",I2279&lt;T2279),"",IFERROR(AF2279/-(R2279/IF(G2279="",I2279,G2279)-1),""))</f>
        <v/>
      </c>
      <c r="AH2279" s="94" t="n"/>
      <c r="AI2279" s="94" t="n"/>
      <c r="AJ2279" s="94" t="n"/>
      <c r="AK2279" s="94" t="n"/>
      <c r="AL2279" s="84" t="n"/>
    </row>
    <row r="2280">
      <c r="A2280" s="64" t="n"/>
      <c r="B2280" s="65" t="n"/>
      <c r="C2280" s="66" t="n"/>
      <c r="D2280" s="67" t="n"/>
      <c r="E2280" s="68" t="n"/>
      <c r="F2280" s="47">
        <f>IF(A2280="","",IF(MIN(H2280,MAX(J2280:K2280))=0,"",MIN(H2280,MAX(J2280:K2280))))</f>
        <v/>
      </c>
      <c r="G2280" s="74" t="n"/>
      <c r="H2280" s="49">
        <f>IF(M2280="","",IFERROR(ROUND(AVERAGE(T2280+M2280*{7,8,9,10,11})/1.21,4),""))</f>
        <v/>
      </c>
      <c r="I2280" s="76" t="n"/>
      <c r="J2280" s="77" t="n"/>
      <c r="K2280" s="74" t="n"/>
      <c r="L2280" s="78" t="n"/>
      <c r="M2280" s="77" t="n"/>
      <c r="N2280" s="53">
        <f>IF(M2280="","",IFERROR(M2280/I2280,""))</f>
        <v/>
      </c>
      <c r="O2280" s="50">
        <f>IF(A2280="","",IFERROR((IF(G2280="",I2280,G2280)-T2280)/M2280,""))</f>
        <v/>
      </c>
      <c r="P2280" s="50">
        <f>IFERROR((I2280/T2280-1)/N2280,"")</f>
        <v/>
      </c>
      <c r="Q2280" s="46">
        <f>IF(OR(T2280="",I2280&lt;T2280),"",IFERROR(R2280/IF(G2280="",I2280,G2280)-1,""))</f>
        <v/>
      </c>
      <c r="R2280" s="48">
        <f>IF($M2280="","",MAX(IF($G2280="",$I2280,$G2280)*(1/1.1),IF($G2280="",$I2280,$G2280)+(R$2*$M2280)))</f>
        <v/>
      </c>
      <c r="S2280" s="49">
        <f>IF($M2280="","",MAX(IF($G2280="",$I2280,$G2280)*(1/1.1),IF($G2280="",$I2280,$G2280)+(S$2*$M2280)))</f>
        <v/>
      </c>
      <c r="T2280" s="82" t="n"/>
      <c r="U2280" s="47">
        <f>IF(OR($M2280="",$T2280=""),"",$T2280+(U$2*$M2280))</f>
        <v/>
      </c>
      <c r="V2280" s="48">
        <f>IF(OR($M2280="",$T2280=""),"",$T2280+(V$2*$M2280))</f>
        <v/>
      </c>
      <c r="W2280" s="48">
        <f>IF(OR($M2280="",$T2280=""),"",$T2280+(W$2*$M2280))</f>
        <v/>
      </c>
      <c r="X2280" s="49">
        <f>IF(OR($M2280="",$T2280=""),"",$T2280+(X$2*$M2280))</f>
        <v/>
      </c>
      <c r="Y2280" s="47">
        <f>IF(OR($M2280="",$T2280=""),"",$T2280+(Y$2*$M2280))</f>
        <v/>
      </c>
      <c r="Z2280" s="49">
        <f>IF(OR($M2280="",$T2280=""),"",$T2280+(Z$2*$M2280))</f>
        <v/>
      </c>
      <c r="AA2280" s="51">
        <f>IF(OR($M2280="",$T2280=""),"",$T2280+(AA$2*$M2280))</f>
        <v/>
      </c>
      <c r="AB2280" s="48">
        <f>IF(OR($M2280="",$T2280=""),"",$T2280+(AB$2*$M2280))</f>
        <v/>
      </c>
      <c r="AC2280" s="48">
        <f>IF(OR($M2280="",$T2280=""),"",$T2280+(AC$2*$M2280))</f>
        <v/>
      </c>
      <c r="AD2280" s="48">
        <f>IF(OR($M2280="",$T2280=""),"",$T2280+(AD$2*$M2280))</f>
        <v/>
      </c>
      <c r="AE2280" s="49">
        <f>IF(OR($M2280="",$T2280=""),"",$T2280+(AE$2*$M2280))</f>
        <v/>
      </c>
      <c r="AF2280" s="52">
        <f>IF(OR(T2280="",I2280&lt;T2280),"",IFERROR(AVERAGE(T2280+M2280*{7,8,9,10,11})/IF(G2280="",I2280,G2280)-1,""))</f>
        <v/>
      </c>
      <c r="AG2280" s="55">
        <f>IF(OR(T2280="",I2280&lt;T2280),"",IFERROR(AF2280/-(R2280/IF(G2280="",I2280,G2280)-1),""))</f>
        <v/>
      </c>
      <c r="AH2280" s="94" t="n"/>
      <c r="AI2280" s="94" t="n"/>
      <c r="AJ2280" s="94" t="n"/>
      <c r="AK2280" s="94" t="n"/>
      <c r="AL2280" s="84" t="n"/>
    </row>
    <row r="2281">
      <c r="A2281" s="64" t="n"/>
      <c r="B2281" s="65" t="n"/>
      <c r="C2281" s="66" t="n"/>
      <c r="D2281" s="67" t="n"/>
      <c r="E2281" s="68" t="n"/>
      <c r="F2281" s="47">
        <f>IF(A2281="","",IF(MIN(H2281,MAX(J2281:K2281))=0,"",MIN(H2281,MAX(J2281:K2281))))</f>
        <v/>
      </c>
      <c r="G2281" s="74" t="n"/>
      <c r="H2281" s="49">
        <f>IF(M2281="","",IFERROR(ROUND(AVERAGE(T2281+M2281*{7,8,9,10,11})/1.21,4),""))</f>
        <v/>
      </c>
      <c r="I2281" s="76" t="n"/>
      <c r="J2281" s="77" t="n"/>
      <c r="K2281" s="74" t="n"/>
      <c r="L2281" s="78" t="n"/>
      <c r="M2281" s="77" t="n"/>
      <c r="N2281" s="53">
        <f>IF(M2281="","",IFERROR(M2281/I2281,""))</f>
        <v/>
      </c>
      <c r="O2281" s="50">
        <f>IF(A2281="","",IFERROR((IF(G2281="",I2281,G2281)-T2281)/M2281,""))</f>
        <v/>
      </c>
      <c r="P2281" s="50">
        <f>IFERROR((I2281/T2281-1)/N2281,"")</f>
        <v/>
      </c>
      <c r="Q2281" s="46">
        <f>IF(OR(T2281="",I2281&lt;T2281),"",IFERROR(R2281/IF(G2281="",I2281,G2281)-1,""))</f>
        <v/>
      </c>
      <c r="R2281" s="48">
        <f>IF($M2281="","",MAX(IF($G2281="",$I2281,$G2281)*(1/1.1),IF($G2281="",$I2281,$G2281)+(R$2*$M2281)))</f>
        <v/>
      </c>
      <c r="S2281" s="49">
        <f>IF($M2281="","",MAX(IF($G2281="",$I2281,$G2281)*(1/1.1),IF($G2281="",$I2281,$G2281)+(S$2*$M2281)))</f>
        <v/>
      </c>
      <c r="T2281" s="82" t="n"/>
      <c r="U2281" s="47">
        <f>IF(OR($M2281="",$T2281=""),"",$T2281+(U$2*$M2281))</f>
        <v/>
      </c>
      <c r="V2281" s="48">
        <f>IF(OR($M2281="",$T2281=""),"",$T2281+(V$2*$M2281))</f>
        <v/>
      </c>
      <c r="W2281" s="48">
        <f>IF(OR($M2281="",$T2281=""),"",$T2281+(W$2*$M2281))</f>
        <v/>
      </c>
      <c r="X2281" s="49">
        <f>IF(OR($M2281="",$T2281=""),"",$T2281+(X$2*$M2281))</f>
        <v/>
      </c>
      <c r="Y2281" s="47">
        <f>IF(OR($M2281="",$T2281=""),"",$T2281+(Y$2*$M2281))</f>
        <v/>
      </c>
      <c r="Z2281" s="49">
        <f>IF(OR($M2281="",$T2281=""),"",$T2281+(Z$2*$M2281))</f>
        <v/>
      </c>
      <c r="AA2281" s="51">
        <f>IF(OR($M2281="",$T2281=""),"",$T2281+(AA$2*$M2281))</f>
        <v/>
      </c>
      <c r="AB2281" s="48">
        <f>IF(OR($M2281="",$T2281=""),"",$T2281+(AB$2*$M2281))</f>
        <v/>
      </c>
      <c r="AC2281" s="48">
        <f>IF(OR($M2281="",$T2281=""),"",$T2281+(AC$2*$M2281))</f>
        <v/>
      </c>
      <c r="AD2281" s="48">
        <f>IF(OR($M2281="",$T2281=""),"",$T2281+(AD$2*$M2281))</f>
        <v/>
      </c>
      <c r="AE2281" s="49">
        <f>IF(OR($M2281="",$T2281=""),"",$T2281+(AE$2*$M2281))</f>
        <v/>
      </c>
      <c r="AF2281" s="52">
        <f>IF(OR(T2281="",I2281&lt;T2281),"",IFERROR(AVERAGE(T2281+M2281*{7,8,9,10,11})/IF(G2281="",I2281,G2281)-1,""))</f>
        <v/>
      </c>
      <c r="AG2281" s="55">
        <f>IF(OR(T2281="",I2281&lt;T2281),"",IFERROR(AF2281/-(R2281/IF(G2281="",I2281,G2281)-1),""))</f>
        <v/>
      </c>
      <c r="AH2281" s="94" t="n"/>
      <c r="AI2281" s="94" t="n"/>
      <c r="AJ2281" s="94" t="n"/>
      <c r="AK2281" s="94" t="n"/>
      <c r="AL2281" s="84" t="n"/>
    </row>
    <row r="2282">
      <c r="A2282" s="64" t="n"/>
      <c r="B2282" s="65" t="n"/>
      <c r="C2282" s="66" t="n"/>
      <c r="D2282" s="67" t="n"/>
      <c r="E2282" s="68" t="n"/>
      <c r="F2282" s="47">
        <f>IF(A2282="","",IF(MIN(H2282,MAX(J2282:K2282))=0,"",MIN(H2282,MAX(J2282:K2282))))</f>
        <v/>
      </c>
      <c r="G2282" s="74" t="n"/>
      <c r="H2282" s="49">
        <f>IF(M2282="","",IFERROR(ROUND(AVERAGE(T2282+M2282*{7,8,9,10,11})/1.21,4),""))</f>
        <v/>
      </c>
      <c r="I2282" s="76" t="n"/>
      <c r="J2282" s="77" t="n"/>
      <c r="K2282" s="74" t="n"/>
      <c r="L2282" s="78" t="n"/>
      <c r="M2282" s="77" t="n"/>
      <c r="N2282" s="53">
        <f>IF(M2282="","",IFERROR(M2282/I2282,""))</f>
        <v/>
      </c>
      <c r="O2282" s="50">
        <f>IF(A2282="","",IFERROR((IF(G2282="",I2282,G2282)-T2282)/M2282,""))</f>
        <v/>
      </c>
      <c r="P2282" s="50">
        <f>IFERROR((I2282/T2282-1)/N2282,"")</f>
        <v/>
      </c>
      <c r="Q2282" s="46">
        <f>IF(OR(T2282="",I2282&lt;T2282),"",IFERROR(R2282/IF(G2282="",I2282,G2282)-1,""))</f>
        <v/>
      </c>
      <c r="R2282" s="48">
        <f>IF($M2282="","",MAX(IF($G2282="",$I2282,$G2282)*(1/1.1),IF($G2282="",$I2282,$G2282)+(R$2*$M2282)))</f>
        <v/>
      </c>
      <c r="S2282" s="49">
        <f>IF($M2282="","",MAX(IF($G2282="",$I2282,$G2282)*(1/1.1),IF($G2282="",$I2282,$G2282)+(S$2*$M2282)))</f>
        <v/>
      </c>
      <c r="T2282" s="82" t="n"/>
      <c r="U2282" s="47">
        <f>IF(OR($M2282="",$T2282=""),"",$T2282+(U$2*$M2282))</f>
        <v/>
      </c>
      <c r="V2282" s="48">
        <f>IF(OR($M2282="",$T2282=""),"",$T2282+(V$2*$M2282))</f>
        <v/>
      </c>
      <c r="W2282" s="48">
        <f>IF(OR($M2282="",$T2282=""),"",$T2282+(W$2*$M2282))</f>
        <v/>
      </c>
      <c r="X2282" s="49">
        <f>IF(OR($M2282="",$T2282=""),"",$T2282+(X$2*$M2282))</f>
        <v/>
      </c>
      <c r="Y2282" s="47">
        <f>IF(OR($M2282="",$T2282=""),"",$T2282+(Y$2*$M2282))</f>
        <v/>
      </c>
      <c r="Z2282" s="49">
        <f>IF(OR($M2282="",$T2282=""),"",$T2282+(Z$2*$M2282))</f>
        <v/>
      </c>
      <c r="AA2282" s="51">
        <f>IF(OR($M2282="",$T2282=""),"",$T2282+(AA$2*$M2282))</f>
        <v/>
      </c>
      <c r="AB2282" s="48">
        <f>IF(OR($M2282="",$T2282=""),"",$T2282+(AB$2*$M2282))</f>
        <v/>
      </c>
      <c r="AC2282" s="48">
        <f>IF(OR($M2282="",$T2282=""),"",$T2282+(AC$2*$M2282))</f>
        <v/>
      </c>
      <c r="AD2282" s="48">
        <f>IF(OR($M2282="",$T2282=""),"",$T2282+(AD$2*$M2282))</f>
        <v/>
      </c>
      <c r="AE2282" s="49">
        <f>IF(OR($M2282="",$T2282=""),"",$T2282+(AE$2*$M2282))</f>
        <v/>
      </c>
      <c r="AF2282" s="52">
        <f>IF(OR(T2282="",I2282&lt;T2282),"",IFERROR(AVERAGE(T2282+M2282*{7,8,9,10,11})/IF(G2282="",I2282,G2282)-1,""))</f>
        <v/>
      </c>
      <c r="AG2282" s="55">
        <f>IF(OR(T2282="",I2282&lt;T2282),"",IFERROR(AF2282/-(R2282/IF(G2282="",I2282,G2282)-1),""))</f>
        <v/>
      </c>
      <c r="AH2282" s="94" t="n"/>
      <c r="AI2282" s="94" t="n"/>
      <c r="AJ2282" s="94" t="n"/>
      <c r="AK2282" s="94" t="n"/>
      <c r="AL2282" s="84" t="n"/>
    </row>
    <row r="2283">
      <c r="A2283" s="64" t="n"/>
      <c r="B2283" s="65" t="n"/>
      <c r="C2283" s="66" t="n"/>
      <c r="D2283" s="67" t="n"/>
      <c r="E2283" s="68" t="n"/>
      <c r="F2283" s="47">
        <f>IF(A2283="","",IF(MIN(H2283,MAX(J2283:K2283))=0,"",MIN(H2283,MAX(J2283:K2283))))</f>
        <v/>
      </c>
      <c r="G2283" s="74" t="n"/>
      <c r="H2283" s="49">
        <f>IF(M2283="","",IFERROR(ROUND(AVERAGE(T2283+M2283*{7,8,9,10,11})/1.21,4),""))</f>
        <v/>
      </c>
      <c r="I2283" s="76" t="n"/>
      <c r="J2283" s="77" t="n"/>
      <c r="K2283" s="74" t="n"/>
      <c r="L2283" s="78" t="n"/>
      <c r="M2283" s="77" t="n"/>
      <c r="N2283" s="53">
        <f>IF(M2283="","",IFERROR(M2283/I2283,""))</f>
        <v/>
      </c>
      <c r="O2283" s="50">
        <f>IF(A2283="","",IFERROR((IF(G2283="",I2283,G2283)-T2283)/M2283,""))</f>
        <v/>
      </c>
      <c r="P2283" s="50">
        <f>IFERROR((I2283/T2283-1)/N2283,"")</f>
        <v/>
      </c>
      <c r="Q2283" s="46">
        <f>IF(OR(T2283="",I2283&lt;T2283),"",IFERROR(R2283/IF(G2283="",I2283,G2283)-1,""))</f>
        <v/>
      </c>
      <c r="R2283" s="48">
        <f>IF($M2283="","",MAX(IF($G2283="",$I2283,$G2283)*(1/1.1),IF($G2283="",$I2283,$G2283)+(R$2*$M2283)))</f>
        <v/>
      </c>
      <c r="S2283" s="49">
        <f>IF($M2283="","",MAX(IF($G2283="",$I2283,$G2283)*(1/1.1),IF($G2283="",$I2283,$G2283)+(S$2*$M2283)))</f>
        <v/>
      </c>
      <c r="T2283" s="82" t="n"/>
      <c r="U2283" s="47">
        <f>IF(OR($M2283="",$T2283=""),"",$T2283+(U$2*$M2283))</f>
        <v/>
      </c>
      <c r="V2283" s="48">
        <f>IF(OR($M2283="",$T2283=""),"",$T2283+(V$2*$M2283))</f>
        <v/>
      </c>
      <c r="W2283" s="48">
        <f>IF(OR($M2283="",$T2283=""),"",$T2283+(W$2*$M2283))</f>
        <v/>
      </c>
      <c r="X2283" s="49">
        <f>IF(OR($M2283="",$T2283=""),"",$T2283+(X$2*$M2283))</f>
        <v/>
      </c>
      <c r="Y2283" s="47">
        <f>IF(OR($M2283="",$T2283=""),"",$T2283+(Y$2*$M2283))</f>
        <v/>
      </c>
      <c r="Z2283" s="49">
        <f>IF(OR($M2283="",$T2283=""),"",$T2283+(Z$2*$M2283))</f>
        <v/>
      </c>
      <c r="AA2283" s="51">
        <f>IF(OR($M2283="",$T2283=""),"",$T2283+(AA$2*$M2283))</f>
        <v/>
      </c>
      <c r="AB2283" s="48">
        <f>IF(OR($M2283="",$T2283=""),"",$T2283+(AB$2*$M2283))</f>
        <v/>
      </c>
      <c r="AC2283" s="48">
        <f>IF(OR($M2283="",$T2283=""),"",$T2283+(AC$2*$M2283))</f>
        <v/>
      </c>
      <c r="AD2283" s="48">
        <f>IF(OR($M2283="",$T2283=""),"",$T2283+(AD$2*$M2283))</f>
        <v/>
      </c>
      <c r="AE2283" s="49">
        <f>IF(OR($M2283="",$T2283=""),"",$T2283+(AE$2*$M2283))</f>
        <v/>
      </c>
      <c r="AF2283" s="52">
        <f>IF(OR(T2283="",I2283&lt;T2283),"",IFERROR(AVERAGE(T2283+M2283*{7,8,9,10,11})/IF(G2283="",I2283,G2283)-1,""))</f>
        <v/>
      </c>
      <c r="AG2283" s="55">
        <f>IF(OR(T2283="",I2283&lt;T2283),"",IFERROR(AF2283/-(R2283/IF(G2283="",I2283,G2283)-1),""))</f>
        <v/>
      </c>
      <c r="AH2283" s="94" t="n"/>
      <c r="AI2283" s="94" t="n"/>
      <c r="AJ2283" s="94" t="n"/>
      <c r="AK2283" s="94" t="n"/>
      <c r="AL2283" s="84" t="n"/>
    </row>
    <row r="2284">
      <c r="A2284" s="64" t="n"/>
      <c r="B2284" s="65" t="n"/>
      <c r="C2284" s="66" t="n"/>
      <c r="D2284" s="67" t="n"/>
      <c r="E2284" s="68" t="n"/>
      <c r="F2284" s="47">
        <f>IF(A2284="","",IF(MIN(H2284,MAX(J2284:K2284))=0,"",MIN(H2284,MAX(J2284:K2284))))</f>
        <v/>
      </c>
      <c r="G2284" s="74" t="n"/>
      <c r="H2284" s="49">
        <f>IF(M2284="","",IFERROR(ROUND(AVERAGE(T2284+M2284*{7,8,9,10,11})/1.21,4),""))</f>
        <v/>
      </c>
      <c r="I2284" s="76" t="n"/>
      <c r="J2284" s="77" t="n"/>
      <c r="K2284" s="74" t="n"/>
      <c r="L2284" s="78" t="n"/>
      <c r="M2284" s="77" t="n"/>
      <c r="N2284" s="53">
        <f>IF(M2284="","",IFERROR(M2284/I2284,""))</f>
        <v/>
      </c>
      <c r="O2284" s="50">
        <f>IF(A2284="","",IFERROR((IF(G2284="",I2284,G2284)-T2284)/M2284,""))</f>
        <v/>
      </c>
      <c r="P2284" s="50">
        <f>IFERROR((I2284/T2284-1)/N2284,"")</f>
        <v/>
      </c>
      <c r="Q2284" s="46">
        <f>IF(OR(T2284="",I2284&lt;T2284),"",IFERROR(R2284/IF(G2284="",I2284,G2284)-1,""))</f>
        <v/>
      </c>
      <c r="R2284" s="48">
        <f>IF($M2284="","",MAX(IF($G2284="",$I2284,$G2284)*(1/1.1),IF($G2284="",$I2284,$G2284)+(R$2*$M2284)))</f>
        <v/>
      </c>
      <c r="S2284" s="49">
        <f>IF($M2284="","",MAX(IF($G2284="",$I2284,$G2284)*(1/1.1),IF($G2284="",$I2284,$G2284)+(S$2*$M2284)))</f>
        <v/>
      </c>
      <c r="T2284" s="82" t="n"/>
      <c r="U2284" s="47">
        <f>IF(OR($M2284="",$T2284=""),"",$T2284+(U$2*$M2284))</f>
        <v/>
      </c>
      <c r="V2284" s="48">
        <f>IF(OR($M2284="",$T2284=""),"",$T2284+(V$2*$M2284))</f>
        <v/>
      </c>
      <c r="W2284" s="48">
        <f>IF(OR($M2284="",$T2284=""),"",$T2284+(W$2*$M2284))</f>
        <v/>
      </c>
      <c r="X2284" s="49">
        <f>IF(OR($M2284="",$T2284=""),"",$T2284+(X$2*$M2284))</f>
        <v/>
      </c>
      <c r="Y2284" s="47">
        <f>IF(OR($M2284="",$T2284=""),"",$T2284+(Y$2*$M2284))</f>
        <v/>
      </c>
      <c r="Z2284" s="49">
        <f>IF(OR($M2284="",$T2284=""),"",$T2284+(Z$2*$M2284))</f>
        <v/>
      </c>
      <c r="AA2284" s="51">
        <f>IF(OR($M2284="",$T2284=""),"",$T2284+(AA$2*$M2284))</f>
        <v/>
      </c>
      <c r="AB2284" s="48">
        <f>IF(OR($M2284="",$T2284=""),"",$T2284+(AB$2*$M2284))</f>
        <v/>
      </c>
      <c r="AC2284" s="48">
        <f>IF(OR($M2284="",$T2284=""),"",$T2284+(AC$2*$M2284))</f>
        <v/>
      </c>
      <c r="AD2284" s="48">
        <f>IF(OR($M2284="",$T2284=""),"",$T2284+(AD$2*$M2284))</f>
        <v/>
      </c>
      <c r="AE2284" s="49">
        <f>IF(OR($M2284="",$T2284=""),"",$T2284+(AE$2*$M2284))</f>
        <v/>
      </c>
      <c r="AF2284" s="52">
        <f>IF(OR(T2284="",I2284&lt;T2284),"",IFERROR(AVERAGE(T2284+M2284*{7,8,9,10,11})/IF(G2284="",I2284,G2284)-1,""))</f>
        <v/>
      </c>
      <c r="AG2284" s="55">
        <f>IF(OR(T2284="",I2284&lt;T2284),"",IFERROR(AF2284/-(R2284/IF(G2284="",I2284,G2284)-1),""))</f>
        <v/>
      </c>
      <c r="AH2284" s="94" t="n"/>
      <c r="AI2284" s="94" t="n"/>
      <c r="AJ2284" s="94" t="n"/>
      <c r="AK2284" s="94" t="n"/>
      <c r="AL2284" s="84" t="n"/>
    </row>
    <row r="2285">
      <c r="A2285" s="64" t="n"/>
      <c r="B2285" s="65" t="n"/>
      <c r="C2285" s="66" t="n"/>
      <c r="D2285" s="67" t="n"/>
      <c r="E2285" s="68" t="n"/>
      <c r="F2285" s="47">
        <f>IF(A2285="","",IF(MIN(H2285,MAX(J2285:K2285))=0,"",MIN(H2285,MAX(J2285:K2285))))</f>
        <v/>
      </c>
      <c r="G2285" s="74" t="n"/>
      <c r="H2285" s="49">
        <f>IF(M2285="","",IFERROR(ROUND(AVERAGE(T2285+M2285*{7,8,9,10,11})/1.21,4),""))</f>
        <v/>
      </c>
      <c r="I2285" s="76" t="n"/>
      <c r="J2285" s="77" t="n"/>
      <c r="K2285" s="74" t="n"/>
      <c r="L2285" s="78" t="n"/>
      <c r="M2285" s="77" t="n"/>
      <c r="N2285" s="53">
        <f>IF(M2285="","",IFERROR(M2285/I2285,""))</f>
        <v/>
      </c>
      <c r="O2285" s="50">
        <f>IF(A2285="","",IFERROR((IF(G2285="",I2285,G2285)-T2285)/M2285,""))</f>
        <v/>
      </c>
      <c r="P2285" s="50">
        <f>IFERROR((I2285/T2285-1)/N2285,"")</f>
        <v/>
      </c>
      <c r="Q2285" s="46">
        <f>IF(OR(T2285="",I2285&lt;T2285),"",IFERROR(R2285/IF(G2285="",I2285,G2285)-1,""))</f>
        <v/>
      </c>
      <c r="R2285" s="48">
        <f>IF($M2285="","",MAX(IF($G2285="",$I2285,$G2285)*(1/1.1),IF($G2285="",$I2285,$G2285)+(R$2*$M2285)))</f>
        <v/>
      </c>
      <c r="S2285" s="49">
        <f>IF($M2285="","",MAX(IF($G2285="",$I2285,$G2285)*(1/1.1),IF($G2285="",$I2285,$G2285)+(S$2*$M2285)))</f>
        <v/>
      </c>
      <c r="T2285" s="82" t="n"/>
      <c r="U2285" s="47">
        <f>IF(OR($M2285="",$T2285=""),"",$T2285+(U$2*$M2285))</f>
        <v/>
      </c>
      <c r="V2285" s="48">
        <f>IF(OR($M2285="",$T2285=""),"",$T2285+(V$2*$M2285))</f>
        <v/>
      </c>
      <c r="W2285" s="48">
        <f>IF(OR($M2285="",$T2285=""),"",$T2285+(W$2*$M2285))</f>
        <v/>
      </c>
      <c r="X2285" s="49">
        <f>IF(OR($M2285="",$T2285=""),"",$T2285+(X$2*$M2285))</f>
        <v/>
      </c>
      <c r="Y2285" s="47">
        <f>IF(OR($M2285="",$T2285=""),"",$T2285+(Y$2*$M2285))</f>
        <v/>
      </c>
      <c r="Z2285" s="49">
        <f>IF(OR($M2285="",$T2285=""),"",$T2285+(Z$2*$M2285))</f>
        <v/>
      </c>
      <c r="AA2285" s="51">
        <f>IF(OR($M2285="",$T2285=""),"",$T2285+(AA$2*$M2285))</f>
        <v/>
      </c>
      <c r="AB2285" s="48">
        <f>IF(OR($M2285="",$T2285=""),"",$T2285+(AB$2*$M2285))</f>
        <v/>
      </c>
      <c r="AC2285" s="48">
        <f>IF(OR($M2285="",$T2285=""),"",$T2285+(AC$2*$M2285))</f>
        <v/>
      </c>
      <c r="AD2285" s="48">
        <f>IF(OR($M2285="",$T2285=""),"",$T2285+(AD$2*$M2285))</f>
        <v/>
      </c>
      <c r="AE2285" s="49">
        <f>IF(OR($M2285="",$T2285=""),"",$T2285+(AE$2*$M2285))</f>
        <v/>
      </c>
      <c r="AF2285" s="52">
        <f>IF(OR(T2285="",I2285&lt;T2285),"",IFERROR(AVERAGE(T2285+M2285*{7,8,9,10,11})/IF(G2285="",I2285,G2285)-1,""))</f>
        <v/>
      </c>
      <c r="AG2285" s="55">
        <f>IF(OR(T2285="",I2285&lt;T2285),"",IFERROR(AF2285/-(R2285/IF(G2285="",I2285,G2285)-1),""))</f>
        <v/>
      </c>
      <c r="AH2285" s="94" t="n"/>
      <c r="AI2285" s="94" t="n"/>
      <c r="AJ2285" s="94" t="n"/>
      <c r="AK2285" s="94" t="n"/>
      <c r="AL2285" s="84" t="n"/>
    </row>
    <row r="2286">
      <c r="A2286" s="64" t="n"/>
      <c r="B2286" s="65" t="n"/>
      <c r="C2286" s="66" t="n"/>
      <c r="D2286" s="67" t="n"/>
      <c r="E2286" s="68" t="n"/>
      <c r="F2286" s="47">
        <f>IF(A2286="","",IF(MIN(H2286,MAX(J2286:K2286))=0,"",MIN(H2286,MAX(J2286:K2286))))</f>
        <v/>
      </c>
      <c r="G2286" s="74" t="n"/>
      <c r="H2286" s="49">
        <f>IF(M2286="","",IFERROR(ROUND(AVERAGE(T2286+M2286*{7,8,9,10,11})/1.21,4),""))</f>
        <v/>
      </c>
      <c r="I2286" s="76" t="n"/>
      <c r="J2286" s="77" t="n"/>
      <c r="K2286" s="74" t="n"/>
      <c r="L2286" s="78" t="n"/>
      <c r="M2286" s="77" t="n"/>
      <c r="N2286" s="53">
        <f>IF(M2286="","",IFERROR(M2286/I2286,""))</f>
        <v/>
      </c>
      <c r="O2286" s="50">
        <f>IF(A2286="","",IFERROR((IF(G2286="",I2286,G2286)-T2286)/M2286,""))</f>
        <v/>
      </c>
      <c r="P2286" s="50">
        <f>IFERROR((I2286/T2286-1)/N2286,"")</f>
        <v/>
      </c>
      <c r="Q2286" s="46">
        <f>IF(OR(T2286="",I2286&lt;T2286),"",IFERROR(R2286/IF(G2286="",I2286,G2286)-1,""))</f>
        <v/>
      </c>
      <c r="R2286" s="48">
        <f>IF($M2286="","",MAX(IF($G2286="",$I2286,$G2286)*(1/1.1),IF($G2286="",$I2286,$G2286)+(R$2*$M2286)))</f>
        <v/>
      </c>
      <c r="S2286" s="49">
        <f>IF($M2286="","",MAX(IF($G2286="",$I2286,$G2286)*(1/1.1),IF($G2286="",$I2286,$G2286)+(S$2*$M2286)))</f>
        <v/>
      </c>
      <c r="T2286" s="82" t="n"/>
      <c r="U2286" s="47">
        <f>IF(OR($M2286="",$T2286=""),"",$T2286+(U$2*$M2286))</f>
        <v/>
      </c>
      <c r="V2286" s="48">
        <f>IF(OR($M2286="",$T2286=""),"",$T2286+(V$2*$M2286))</f>
        <v/>
      </c>
      <c r="W2286" s="48">
        <f>IF(OR($M2286="",$T2286=""),"",$T2286+(W$2*$M2286))</f>
        <v/>
      </c>
      <c r="X2286" s="49">
        <f>IF(OR($M2286="",$T2286=""),"",$T2286+(X$2*$M2286))</f>
        <v/>
      </c>
      <c r="Y2286" s="47">
        <f>IF(OR($M2286="",$T2286=""),"",$T2286+(Y$2*$M2286))</f>
        <v/>
      </c>
      <c r="Z2286" s="49">
        <f>IF(OR($M2286="",$T2286=""),"",$T2286+(Z$2*$M2286))</f>
        <v/>
      </c>
      <c r="AA2286" s="51">
        <f>IF(OR($M2286="",$T2286=""),"",$T2286+(AA$2*$M2286))</f>
        <v/>
      </c>
      <c r="AB2286" s="48">
        <f>IF(OR($M2286="",$T2286=""),"",$T2286+(AB$2*$M2286))</f>
        <v/>
      </c>
      <c r="AC2286" s="48">
        <f>IF(OR($M2286="",$T2286=""),"",$T2286+(AC$2*$M2286))</f>
        <v/>
      </c>
      <c r="AD2286" s="48">
        <f>IF(OR($M2286="",$T2286=""),"",$T2286+(AD$2*$M2286))</f>
        <v/>
      </c>
      <c r="AE2286" s="49">
        <f>IF(OR($M2286="",$T2286=""),"",$T2286+(AE$2*$M2286))</f>
        <v/>
      </c>
      <c r="AF2286" s="52">
        <f>IF(OR(T2286="",I2286&lt;T2286),"",IFERROR(AVERAGE(T2286+M2286*{7,8,9,10,11})/IF(G2286="",I2286,G2286)-1,""))</f>
        <v/>
      </c>
      <c r="AG2286" s="55">
        <f>IF(OR(T2286="",I2286&lt;T2286),"",IFERROR(AF2286/-(R2286/IF(G2286="",I2286,G2286)-1),""))</f>
        <v/>
      </c>
      <c r="AH2286" s="94" t="n"/>
      <c r="AI2286" s="94" t="n"/>
      <c r="AJ2286" s="94" t="n"/>
      <c r="AK2286" s="94" t="n"/>
      <c r="AL2286" s="84" t="n"/>
    </row>
    <row r="2287">
      <c r="A2287" s="64" t="n"/>
      <c r="B2287" s="65" t="n"/>
      <c r="C2287" s="66" t="n"/>
      <c r="D2287" s="67" t="n"/>
      <c r="E2287" s="68" t="n"/>
      <c r="F2287" s="47">
        <f>IF(A2287="","",IF(MIN(H2287,MAX(J2287:K2287))=0,"",MIN(H2287,MAX(J2287:K2287))))</f>
        <v/>
      </c>
      <c r="G2287" s="74" t="n"/>
      <c r="H2287" s="49">
        <f>IF(M2287="","",IFERROR(ROUND(AVERAGE(T2287+M2287*{7,8,9,10,11})/1.21,4),""))</f>
        <v/>
      </c>
      <c r="I2287" s="76" t="n"/>
      <c r="J2287" s="77" t="n"/>
      <c r="K2287" s="74" t="n"/>
      <c r="L2287" s="78" t="n"/>
      <c r="M2287" s="77" t="n"/>
      <c r="N2287" s="53">
        <f>IF(M2287="","",IFERROR(M2287/I2287,""))</f>
        <v/>
      </c>
      <c r="O2287" s="50">
        <f>IF(A2287="","",IFERROR((IF(G2287="",I2287,G2287)-T2287)/M2287,""))</f>
        <v/>
      </c>
      <c r="P2287" s="50">
        <f>IFERROR((I2287/T2287-1)/N2287,"")</f>
        <v/>
      </c>
      <c r="Q2287" s="46">
        <f>IF(OR(T2287="",I2287&lt;T2287),"",IFERROR(R2287/IF(G2287="",I2287,G2287)-1,""))</f>
        <v/>
      </c>
      <c r="R2287" s="48">
        <f>IF($M2287="","",MAX(IF($G2287="",$I2287,$G2287)*(1/1.1),IF($G2287="",$I2287,$G2287)+(R$2*$M2287)))</f>
        <v/>
      </c>
      <c r="S2287" s="49">
        <f>IF($M2287="","",MAX(IF($G2287="",$I2287,$G2287)*(1/1.1),IF($G2287="",$I2287,$G2287)+(S$2*$M2287)))</f>
        <v/>
      </c>
      <c r="T2287" s="82" t="n"/>
      <c r="U2287" s="47">
        <f>IF(OR($M2287="",$T2287=""),"",$T2287+(U$2*$M2287))</f>
        <v/>
      </c>
      <c r="V2287" s="48">
        <f>IF(OR($M2287="",$T2287=""),"",$T2287+(V$2*$M2287))</f>
        <v/>
      </c>
      <c r="W2287" s="48">
        <f>IF(OR($M2287="",$T2287=""),"",$T2287+(W$2*$M2287))</f>
        <v/>
      </c>
      <c r="X2287" s="49">
        <f>IF(OR($M2287="",$T2287=""),"",$T2287+(X$2*$M2287))</f>
        <v/>
      </c>
      <c r="Y2287" s="47">
        <f>IF(OR($M2287="",$T2287=""),"",$T2287+(Y$2*$M2287))</f>
        <v/>
      </c>
      <c r="Z2287" s="49">
        <f>IF(OR($M2287="",$T2287=""),"",$T2287+(Z$2*$M2287))</f>
        <v/>
      </c>
      <c r="AA2287" s="51">
        <f>IF(OR($M2287="",$T2287=""),"",$T2287+(AA$2*$M2287))</f>
        <v/>
      </c>
      <c r="AB2287" s="48">
        <f>IF(OR($M2287="",$T2287=""),"",$T2287+(AB$2*$M2287))</f>
        <v/>
      </c>
      <c r="AC2287" s="48">
        <f>IF(OR($M2287="",$T2287=""),"",$T2287+(AC$2*$M2287))</f>
        <v/>
      </c>
      <c r="AD2287" s="48">
        <f>IF(OR($M2287="",$T2287=""),"",$T2287+(AD$2*$M2287))</f>
        <v/>
      </c>
      <c r="AE2287" s="49">
        <f>IF(OR($M2287="",$T2287=""),"",$T2287+(AE$2*$M2287))</f>
        <v/>
      </c>
      <c r="AF2287" s="52">
        <f>IF(OR(T2287="",I2287&lt;T2287),"",IFERROR(AVERAGE(T2287+M2287*{7,8,9,10,11})/IF(G2287="",I2287,G2287)-1,""))</f>
        <v/>
      </c>
      <c r="AG2287" s="55">
        <f>IF(OR(T2287="",I2287&lt;T2287),"",IFERROR(AF2287/-(R2287/IF(G2287="",I2287,G2287)-1),""))</f>
        <v/>
      </c>
      <c r="AH2287" s="94" t="n"/>
      <c r="AI2287" s="94" t="n"/>
      <c r="AJ2287" s="94" t="n"/>
      <c r="AK2287" s="94" t="n"/>
      <c r="AL2287" s="84" t="n"/>
    </row>
    <row r="2288">
      <c r="A2288" s="64" t="n"/>
      <c r="B2288" s="65" t="n"/>
      <c r="C2288" s="66" t="n"/>
      <c r="D2288" s="67" t="n"/>
      <c r="E2288" s="68" t="n"/>
      <c r="F2288" s="47">
        <f>IF(A2288="","",IF(MIN(H2288,MAX(J2288:K2288))=0,"",MIN(H2288,MAX(J2288:K2288))))</f>
        <v/>
      </c>
      <c r="G2288" s="74" t="n"/>
      <c r="H2288" s="49">
        <f>IF(M2288="","",IFERROR(ROUND(AVERAGE(T2288+M2288*{7,8,9,10,11})/1.21,4),""))</f>
        <v/>
      </c>
      <c r="I2288" s="76" t="n"/>
      <c r="J2288" s="77" t="n"/>
      <c r="K2288" s="74" t="n"/>
      <c r="L2288" s="78" t="n"/>
      <c r="M2288" s="77" t="n"/>
      <c r="N2288" s="53">
        <f>IF(M2288="","",IFERROR(M2288/I2288,""))</f>
        <v/>
      </c>
      <c r="O2288" s="50">
        <f>IF(A2288="","",IFERROR((IF(G2288="",I2288,G2288)-T2288)/M2288,""))</f>
        <v/>
      </c>
      <c r="P2288" s="50">
        <f>IFERROR((I2288/T2288-1)/N2288,"")</f>
        <v/>
      </c>
      <c r="Q2288" s="46">
        <f>IF(OR(T2288="",I2288&lt;T2288),"",IFERROR(R2288/IF(G2288="",I2288,G2288)-1,""))</f>
        <v/>
      </c>
      <c r="R2288" s="48">
        <f>IF($M2288="","",MAX(IF($G2288="",$I2288,$G2288)*(1/1.1),IF($G2288="",$I2288,$G2288)+(R$2*$M2288)))</f>
        <v/>
      </c>
      <c r="S2288" s="49">
        <f>IF($M2288="","",MAX(IF($G2288="",$I2288,$G2288)*(1/1.1),IF($G2288="",$I2288,$G2288)+(S$2*$M2288)))</f>
        <v/>
      </c>
      <c r="T2288" s="82" t="n"/>
      <c r="U2288" s="47">
        <f>IF(OR($M2288="",$T2288=""),"",$T2288+(U$2*$M2288))</f>
        <v/>
      </c>
      <c r="V2288" s="48">
        <f>IF(OR($M2288="",$T2288=""),"",$T2288+(V$2*$M2288))</f>
        <v/>
      </c>
      <c r="W2288" s="48">
        <f>IF(OR($M2288="",$T2288=""),"",$T2288+(W$2*$M2288))</f>
        <v/>
      </c>
      <c r="X2288" s="49">
        <f>IF(OR($M2288="",$T2288=""),"",$T2288+(X$2*$M2288))</f>
        <v/>
      </c>
      <c r="Y2288" s="47">
        <f>IF(OR($M2288="",$T2288=""),"",$T2288+(Y$2*$M2288))</f>
        <v/>
      </c>
      <c r="Z2288" s="49">
        <f>IF(OR($M2288="",$T2288=""),"",$T2288+(Z$2*$M2288))</f>
        <v/>
      </c>
      <c r="AA2288" s="51">
        <f>IF(OR($M2288="",$T2288=""),"",$T2288+(AA$2*$M2288))</f>
        <v/>
      </c>
      <c r="AB2288" s="48">
        <f>IF(OR($M2288="",$T2288=""),"",$T2288+(AB$2*$M2288))</f>
        <v/>
      </c>
      <c r="AC2288" s="48">
        <f>IF(OR($M2288="",$T2288=""),"",$T2288+(AC$2*$M2288))</f>
        <v/>
      </c>
      <c r="AD2288" s="48">
        <f>IF(OR($M2288="",$T2288=""),"",$T2288+(AD$2*$M2288))</f>
        <v/>
      </c>
      <c r="AE2288" s="49">
        <f>IF(OR($M2288="",$T2288=""),"",$T2288+(AE$2*$M2288))</f>
        <v/>
      </c>
      <c r="AF2288" s="52">
        <f>IF(OR(T2288="",I2288&lt;T2288),"",IFERROR(AVERAGE(T2288+M2288*{7,8,9,10,11})/IF(G2288="",I2288,G2288)-1,""))</f>
        <v/>
      </c>
      <c r="AG2288" s="55">
        <f>IF(OR(T2288="",I2288&lt;T2288),"",IFERROR(AF2288/-(R2288/IF(G2288="",I2288,G2288)-1),""))</f>
        <v/>
      </c>
      <c r="AH2288" s="94" t="n"/>
      <c r="AI2288" s="94" t="n"/>
      <c r="AJ2288" s="94" t="n"/>
      <c r="AK2288" s="94" t="n"/>
      <c r="AL2288" s="84" t="n"/>
    </row>
    <row r="2289">
      <c r="A2289" s="64" t="n"/>
      <c r="B2289" s="65" t="n"/>
      <c r="C2289" s="66" t="n"/>
      <c r="D2289" s="67" t="n"/>
      <c r="E2289" s="68" t="n"/>
      <c r="F2289" s="47">
        <f>IF(A2289="","",IF(MIN(H2289,MAX(J2289:K2289))=0,"",MIN(H2289,MAX(J2289:K2289))))</f>
        <v/>
      </c>
      <c r="G2289" s="74" t="n"/>
      <c r="H2289" s="49">
        <f>IF(M2289="","",IFERROR(ROUND(AVERAGE(T2289+M2289*{7,8,9,10,11})/1.21,4),""))</f>
        <v/>
      </c>
      <c r="I2289" s="76" t="n"/>
      <c r="J2289" s="77" t="n"/>
      <c r="K2289" s="74" t="n"/>
      <c r="L2289" s="78" t="n"/>
      <c r="M2289" s="77" t="n"/>
      <c r="N2289" s="53">
        <f>IF(M2289="","",IFERROR(M2289/I2289,""))</f>
        <v/>
      </c>
      <c r="O2289" s="50">
        <f>IF(A2289="","",IFERROR((IF(G2289="",I2289,G2289)-T2289)/M2289,""))</f>
        <v/>
      </c>
      <c r="P2289" s="50">
        <f>IFERROR((I2289/T2289-1)/N2289,"")</f>
        <v/>
      </c>
      <c r="Q2289" s="46">
        <f>IF(OR(T2289="",I2289&lt;T2289),"",IFERROR(R2289/IF(G2289="",I2289,G2289)-1,""))</f>
        <v/>
      </c>
      <c r="R2289" s="48">
        <f>IF($M2289="","",MAX(IF($G2289="",$I2289,$G2289)*(1/1.1),IF($G2289="",$I2289,$G2289)+(R$2*$M2289)))</f>
        <v/>
      </c>
      <c r="S2289" s="49">
        <f>IF($M2289="","",MAX(IF($G2289="",$I2289,$G2289)*(1/1.1),IF($G2289="",$I2289,$G2289)+(S$2*$M2289)))</f>
        <v/>
      </c>
      <c r="T2289" s="82" t="n"/>
      <c r="U2289" s="47">
        <f>IF(OR($M2289="",$T2289=""),"",$T2289+(U$2*$M2289))</f>
        <v/>
      </c>
      <c r="V2289" s="48">
        <f>IF(OR($M2289="",$T2289=""),"",$T2289+(V$2*$M2289))</f>
        <v/>
      </c>
      <c r="W2289" s="48">
        <f>IF(OR($M2289="",$T2289=""),"",$T2289+(W$2*$M2289))</f>
        <v/>
      </c>
      <c r="X2289" s="49">
        <f>IF(OR($M2289="",$T2289=""),"",$T2289+(X$2*$M2289))</f>
        <v/>
      </c>
      <c r="Y2289" s="47">
        <f>IF(OR($M2289="",$T2289=""),"",$T2289+(Y$2*$M2289))</f>
        <v/>
      </c>
      <c r="Z2289" s="49">
        <f>IF(OR($M2289="",$T2289=""),"",$T2289+(Z$2*$M2289))</f>
        <v/>
      </c>
      <c r="AA2289" s="51">
        <f>IF(OR($M2289="",$T2289=""),"",$T2289+(AA$2*$M2289))</f>
        <v/>
      </c>
      <c r="AB2289" s="48">
        <f>IF(OR($M2289="",$T2289=""),"",$T2289+(AB$2*$M2289))</f>
        <v/>
      </c>
      <c r="AC2289" s="48">
        <f>IF(OR($M2289="",$T2289=""),"",$T2289+(AC$2*$M2289))</f>
        <v/>
      </c>
      <c r="AD2289" s="48">
        <f>IF(OR($M2289="",$T2289=""),"",$T2289+(AD$2*$M2289))</f>
        <v/>
      </c>
      <c r="AE2289" s="49">
        <f>IF(OR($M2289="",$T2289=""),"",$T2289+(AE$2*$M2289))</f>
        <v/>
      </c>
      <c r="AF2289" s="52">
        <f>IF(OR(T2289="",I2289&lt;T2289),"",IFERROR(AVERAGE(T2289+M2289*{7,8,9,10,11})/IF(G2289="",I2289,G2289)-1,""))</f>
        <v/>
      </c>
      <c r="AG2289" s="55">
        <f>IF(OR(T2289="",I2289&lt;T2289),"",IFERROR(AF2289/-(R2289/IF(G2289="",I2289,G2289)-1),""))</f>
        <v/>
      </c>
      <c r="AH2289" s="94" t="n"/>
      <c r="AI2289" s="94" t="n"/>
      <c r="AJ2289" s="94" t="n"/>
      <c r="AK2289" s="94" t="n"/>
      <c r="AL2289" s="84" t="n"/>
    </row>
    <row r="2290">
      <c r="A2290" s="64" t="n"/>
      <c r="B2290" s="65" t="n"/>
      <c r="C2290" s="66" t="n"/>
      <c r="D2290" s="67" t="n"/>
      <c r="E2290" s="68" t="n"/>
      <c r="F2290" s="47">
        <f>IF(A2290="","",IF(MIN(H2290,MAX(J2290:K2290))=0,"",MIN(H2290,MAX(J2290:K2290))))</f>
        <v/>
      </c>
      <c r="G2290" s="74" t="n"/>
      <c r="H2290" s="49">
        <f>IF(M2290="","",IFERROR(ROUND(AVERAGE(T2290+M2290*{7,8,9,10,11})/1.21,4),""))</f>
        <v/>
      </c>
      <c r="I2290" s="76" t="n"/>
      <c r="J2290" s="77" t="n"/>
      <c r="K2290" s="74" t="n"/>
      <c r="L2290" s="78" t="n"/>
      <c r="M2290" s="77" t="n"/>
      <c r="N2290" s="53">
        <f>IF(M2290="","",IFERROR(M2290/I2290,""))</f>
        <v/>
      </c>
      <c r="O2290" s="50">
        <f>IF(A2290="","",IFERROR((IF(G2290="",I2290,G2290)-T2290)/M2290,""))</f>
        <v/>
      </c>
      <c r="P2290" s="50">
        <f>IFERROR((I2290/T2290-1)/N2290,"")</f>
        <v/>
      </c>
      <c r="Q2290" s="46">
        <f>IF(OR(T2290="",I2290&lt;T2290),"",IFERROR(R2290/IF(G2290="",I2290,G2290)-1,""))</f>
        <v/>
      </c>
      <c r="R2290" s="48">
        <f>IF($M2290="","",MAX(IF($G2290="",$I2290,$G2290)*(1/1.1),IF($G2290="",$I2290,$G2290)+(R$2*$M2290)))</f>
        <v/>
      </c>
      <c r="S2290" s="49">
        <f>IF($M2290="","",MAX(IF($G2290="",$I2290,$G2290)*(1/1.1),IF($G2290="",$I2290,$G2290)+(S$2*$M2290)))</f>
        <v/>
      </c>
      <c r="T2290" s="82" t="n"/>
      <c r="U2290" s="47">
        <f>IF(OR($M2290="",$T2290=""),"",$T2290+(U$2*$M2290))</f>
        <v/>
      </c>
      <c r="V2290" s="48">
        <f>IF(OR($M2290="",$T2290=""),"",$T2290+(V$2*$M2290))</f>
        <v/>
      </c>
      <c r="W2290" s="48">
        <f>IF(OR($M2290="",$T2290=""),"",$T2290+(W$2*$M2290))</f>
        <v/>
      </c>
      <c r="X2290" s="49">
        <f>IF(OR($M2290="",$T2290=""),"",$T2290+(X$2*$M2290))</f>
        <v/>
      </c>
      <c r="Y2290" s="47">
        <f>IF(OR($M2290="",$T2290=""),"",$T2290+(Y$2*$M2290))</f>
        <v/>
      </c>
      <c r="Z2290" s="49">
        <f>IF(OR($M2290="",$T2290=""),"",$T2290+(Z$2*$M2290))</f>
        <v/>
      </c>
      <c r="AA2290" s="51">
        <f>IF(OR($M2290="",$T2290=""),"",$T2290+(AA$2*$M2290))</f>
        <v/>
      </c>
      <c r="AB2290" s="48">
        <f>IF(OR($M2290="",$T2290=""),"",$T2290+(AB$2*$M2290))</f>
        <v/>
      </c>
      <c r="AC2290" s="48">
        <f>IF(OR($M2290="",$T2290=""),"",$T2290+(AC$2*$M2290))</f>
        <v/>
      </c>
      <c r="AD2290" s="48">
        <f>IF(OR($M2290="",$T2290=""),"",$T2290+(AD$2*$M2290))</f>
        <v/>
      </c>
      <c r="AE2290" s="49">
        <f>IF(OR($M2290="",$T2290=""),"",$T2290+(AE$2*$M2290))</f>
        <v/>
      </c>
      <c r="AF2290" s="52">
        <f>IF(OR(T2290="",I2290&lt;T2290),"",IFERROR(AVERAGE(T2290+M2290*{7,8,9,10,11})/IF(G2290="",I2290,G2290)-1,""))</f>
        <v/>
      </c>
      <c r="AG2290" s="55">
        <f>IF(OR(T2290="",I2290&lt;T2290),"",IFERROR(AF2290/-(R2290/IF(G2290="",I2290,G2290)-1),""))</f>
        <v/>
      </c>
      <c r="AH2290" s="94" t="n"/>
      <c r="AI2290" s="94" t="n"/>
      <c r="AJ2290" s="94" t="n"/>
      <c r="AK2290" s="94" t="n"/>
      <c r="AL2290" s="84" t="n"/>
    </row>
    <row r="2291">
      <c r="A2291" s="64" t="n"/>
      <c r="B2291" s="65" t="n"/>
      <c r="C2291" s="66" t="n"/>
      <c r="D2291" s="67" t="n"/>
      <c r="E2291" s="68" t="n"/>
      <c r="F2291" s="47">
        <f>IF(A2291="","",IF(MIN(H2291,MAX(J2291:K2291))=0,"",MIN(H2291,MAX(J2291:K2291))))</f>
        <v/>
      </c>
      <c r="G2291" s="74" t="n"/>
      <c r="H2291" s="49">
        <f>IF(M2291="","",IFERROR(ROUND(AVERAGE(T2291+M2291*{7,8,9,10,11})/1.21,4),""))</f>
        <v/>
      </c>
      <c r="I2291" s="76" t="n"/>
      <c r="J2291" s="77" t="n"/>
      <c r="K2291" s="74" t="n"/>
      <c r="L2291" s="78" t="n"/>
      <c r="M2291" s="77" t="n"/>
      <c r="N2291" s="53">
        <f>IF(M2291="","",IFERROR(M2291/I2291,""))</f>
        <v/>
      </c>
      <c r="O2291" s="50">
        <f>IF(A2291="","",IFERROR((IF(G2291="",I2291,G2291)-T2291)/M2291,""))</f>
        <v/>
      </c>
      <c r="P2291" s="50">
        <f>IFERROR((I2291/T2291-1)/N2291,"")</f>
        <v/>
      </c>
      <c r="Q2291" s="46">
        <f>IF(OR(T2291="",I2291&lt;T2291),"",IFERROR(R2291/IF(G2291="",I2291,G2291)-1,""))</f>
        <v/>
      </c>
      <c r="R2291" s="48">
        <f>IF($M2291="","",MAX(IF($G2291="",$I2291,$G2291)*(1/1.1),IF($G2291="",$I2291,$G2291)+(R$2*$M2291)))</f>
        <v/>
      </c>
      <c r="S2291" s="49">
        <f>IF($M2291="","",MAX(IF($G2291="",$I2291,$G2291)*(1/1.1),IF($G2291="",$I2291,$G2291)+(S$2*$M2291)))</f>
        <v/>
      </c>
      <c r="T2291" s="82" t="n"/>
      <c r="U2291" s="47">
        <f>IF(OR($M2291="",$T2291=""),"",$T2291+(U$2*$M2291))</f>
        <v/>
      </c>
      <c r="V2291" s="48">
        <f>IF(OR($M2291="",$T2291=""),"",$T2291+(V$2*$M2291))</f>
        <v/>
      </c>
      <c r="W2291" s="48">
        <f>IF(OR($M2291="",$T2291=""),"",$T2291+(W$2*$M2291))</f>
        <v/>
      </c>
      <c r="X2291" s="49">
        <f>IF(OR($M2291="",$T2291=""),"",$T2291+(X$2*$M2291))</f>
        <v/>
      </c>
      <c r="Y2291" s="47">
        <f>IF(OR($M2291="",$T2291=""),"",$T2291+(Y$2*$M2291))</f>
        <v/>
      </c>
      <c r="Z2291" s="49">
        <f>IF(OR($M2291="",$T2291=""),"",$T2291+(Z$2*$M2291))</f>
        <v/>
      </c>
      <c r="AA2291" s="51">
        <f>IF(OR($M2291="",$T2291=""),"",$T2291+(AA$2*$M2291))</f>
        <v/>
      </c>
      <c r="AB2291" s="48">
        <f>IF(OR($M2291="",$T2291=""),"",$T2291+(AB$2*$M2291))</f>
        <v/>
      </c>
      <c r="AC2291" s="48">
        <f>IF(OR($M2291="",$T2291=""),"",$T2291+(AC$2*$M2291))</f>
        <v/>
      </c>
      <c r="AD2291" s="48">
        <f>IF(OR($M2291="",$T2291=""),"",$T2291+(AD$2*$M2291))</f>
        <v/>
      </c>
      <c r="AE2291" s="49">
        <f>IF(OR($M2291="",$T2291=""),"",$T2291+(AE$2*$M2291))</f>
        <v/>
      </c>
      <c r="AF2291" s="52">
        <f>IF(OR(T2291="",I2291&lt;T2291),"",IFERROR(AVERAGE(T2291+M2291*{7,8,9,10,11})/IF(G2291="",I2291,G2291)-1,""))</f>
        <v/>
      </c>
      <c r="AG2291" s="55">
        <f>IF(OR(T2291="",I2291&lt;T2291),"",IFERROR(AF2291/-(R2291/IF(G2291="",I2291,G2291)-1),""))</f>
        <v/>
      </c>
      <c r="AH2291" s="94" t="n"/>
      <c r="AI2291" s="94" t="n"/>
      <c r="AJ2291" s="94" t="n"/>
      <c r="AK2291" s="94" t="n"/>
      <c r="AL2291" s="84" t="n"/>
    </row>
    <row r="2292">
      <c r="A2292" s="64" t="n"/>
      <c r="B2292" s="65" t="n"/>
      <c r="C2292" s="66" t="n"/>
      <c r="D2292" s="67" t="n"/>
      <c r="E2292" s="68" t="n"/>
      <c r="F2292" s="47">
        <f>IF(A2292="","",IF(MIN(H2292,MAX(J2292:K2292))=0,"",MIN(H2292,MAX(J2292:K2292))))</f>
        <v/>
      </c>
      <c r="G2292" s="74" t="n"/>
      <c r="H2292" s="49">
        <f>IF(M2292="","",IFERROR(ROUND(AVERAGE(T2292+M2292*{7,8,9,10,11})/1.21,4),""))</f>
        <v/>
      </c>
      <c r="I2292" s="76" t="n"/>
      <c r="J2292" s="77" t="n"/>
      <c r="K2292" s="74" t="n"/>
      <c r="L2292" s="78" t="n"/>
      <c r="M2292" s="77" t="n"/>
      <c r="N2292" s="53">
        <f>IF(M2292="","",IFERROR(M2292/I2292,""))</f>
        <v/>
      </c>
      <c r="O2292" s="50">
        <f>IF(A2292="","",IFERROR((IF(G2292="",I2292,G2292)-T2292)/M2292,""))</f>
        <v/>
      </c>
      <c r="P2292" s="50">
        <f>IFERROR((I2292/T2292-1)/N2292,"")</f>
        <v/>
      </c>
      <c r="Q2292" s="46">
        <f>IF(OR(T2292="",I2292&lt;T2292),"",IFERROR(R2292/IF(G2292="",I2292,G2292)-1,""))</f>
        <v/>
      </c>
      <c r="R2292" s="48">
        <f>IF($M2292="","",MAX(IF($G2292="",$I2292,$G2292)*(1/1.1),IF($G2292="",$I2292,$G2292)+(R$2*$M2292)))</f>
        <v/>
      </c>
      <c r="S2292" s="49">
        <f>IF($M2292="","",MAX(IF($G2292="",$I2292,$G2292)*(1/1.1),IF($G2292="",$I2292,$G2292)+(S$2*$M2292)))</f>
        <v/>
      </c>
      <c r="T2292" s="82" t="n"/>
      <c r="U2292" s="47">
        <f>IF(OR($M2292="",$T2292=""),"",$T2292+(U$2*$M2292))</f>
        <v/>
      </c>
      <c r="V2292" s="48">
        <f>IF(OR($M2292="",$T2292=""),"",$T2292+(V$2*$M2292))</f>
        <v/>
      </c>
      <c r="W2292" s="48">
        <f>IF(OR($M2292="",$T2292=""),"",$T2292+(W$2*$M2292))</f>
        <v/>
      </c>
      <c r="X2292" s="49">
        <f>IF(OR($M2292="",$T2292=""),"",$T2292+(X$2*$M2292))</f>
        <v/>
      </c>
      <c r="Y2292" s="47">
        <f>IF(OR($M2292="",$T2292=""),"",$T2292+(Y$2*$M2292))</f>
        <v/>
      </c>
      <c r="Z2292" s="49">
        <f>IF(OR($M2292="",$T2292=""),"",$T2292+(Z$2*$M2292))</f>
        <v/>
      </c>
      <c r="AA2292" s="51">
        <f>IF(OR($M2292="",$T2292=""),"",$T2292+(AA$2*$M2292))</f>
        <v/>
      </c>
      <c r="AB2292" s="48">
        <f>IF(OR($M2292="",$T2292=""),"",$T2292+(AB$2*$M2292))</f>
        <v/>
      </c>
      <c r="AC2292" s="48">
        <f>IF(OR($M2292="",$T2292=""),"",$T2292+(AC$2*$M2292))</f>
        <v/>
      </c>
      <c r="AD2292" s="48">
        <f>IF(OR($M2292="",$T2292=""),"",$T2292+(AD$2*$M2292))</f>
        <v/>
      </c>
      <c r="AE2292" s="49">
        <f>IF(OR($M2292="",$T2292=""),"",$T2292+(AE$2*$M2292))</f>
        <v/>
      </c>
      <c r="AF2292" s="52">
        <f>IF(OR(T2292="",I2292&lt;T2292),"",IFERROR(AVERAGE(T2292+M2292*{7,8,9,10,11})/IF(G2292="",I2292,G2292)-1,""))</f>
        <v/>
      </c>
      <c r="AG2292" s="55">
        <f>IF(OR(T2292="",I2292&lt;T2292),"",IFERROR(AF2292/-(R2292/IF(G2292="",I2292,G2292)-1),""))</f>
        <v/>
      </c>
      <c r="AH2292" s="94" t="n"/>
      <c r="AI2292" s="94" t="n"/>
      <c r="AJ2292" s="94" t="n"/>
      <c r="AK2292" s="94" t="n"/>
      <c r="AL2292" s="84" t="n"/>
    </row>
    <row r="2293">
      <c r="A2293" s="64" t="n"/>
      <c r="B2293" s="65" t="n"/>
      <c r="C2293" s="66" t="n"/>
      <c r="D2293" s="67" t="n"/>
      <c r="E2293" s="68" t="n"/>
      <c r="F2293" s="47">
        <f>IF(A2293="","",IF(MIN(H2293,MAX(J2293:K2293))=0,"",MIN(H2293,MAX(J2293:K2293))))</f>
        <v/>
      </c>
      <c r="G2293" s="74" t="n"/>
      <c r="H2293" s="49">
        <f>IF(M2293="","",IFERROR(ROUND(AVERAGE(T2293+M2293*{7,8,9,10,11})/1.21,4),""))</f>
        <v/>
      </c>
      <c r="I2293" s="76" t="n"/>
      <c r="J2293" s="77" t="n"/>
      <c r="K2293" s="74" t="n"/>
      <c r="L2293" s="78" t="n"/>
      <c r="M2293" s="77" t="n"/>
      <c r="N2293" s="53">
        <f>IF(M2293="","",IFERROR(M2293/I2293,""))</f>
        <v/>
      </c>
      <c r="O2293" s="50">
        <f>IF(A2293="","",IFERROR((IF(G2293="",I2293,G2293)-T2293)/M2293,""))</f>
        <v/>
      </c>
      <c r="P2293" s="50">
        <f>IFERROR((I2293/T2293-1)/N2293,"")</f>
        <v/>
      </c>
      <c r="Q2293" s="46">
        <f>IF(OR(T2293="",I2293&lt;T2293),"",IFERROR(R2293/IF(G2293="",I2293,G2293)-1,""))</f>
        <v/>
      </c>
      <c r="R2293" s="48">
        <f>IF($M2293="","",MAX(IF($G2293="",$I2293,$G2293)*(1/1.1),IF($G2293="",$I2293,$G2293)+(R$2*$M2293)))</f>
        <v/>
      </c>
      <c r="S2293" s="49">
        <f>IF($M2293="","",MAX(IF($G2293="",$I2293,$G2293)*(1/1.1),IF($G2293="",$I2293,$G2293)+(S$2*$M2293)))</f>
        <v/>
      </c>
      <c r="T2293" s="82" t="n"/>
      <c r="U2293" s="47">
        <f>IF(OR($M2293="",$T2293=""),"",$T2293+(U$2*$M2293))</f>
        <v/>
      </c>
      <c r="V2293" s="48">
        <f>IF(OR($M2293="",$T2293=""),"",$T2293+(V$2*$M2293))</f>
        <v/>
      </c>
      <c r="W2293" s="48">
        <f>IF(OR($M2293="",$T2293=""),"",$T2293+(W$2*$M2293))</f>
        <v/>
      </c>
      <c r="X2293" s="49">
        <f>IF(OR($M2293="",$T2293=""),"",$T2293+(X$2*$M2293))</f>
        <v/>
      </c>
      <c r="Y2293" s="47">
        <f>IF(OR($M2293="",$T2293=""),"",$T2293+(Y$2*$M2293))</f>
        <v/>
      </c>
      <c r="Z2293" s="49">
        <f>IF(OR($M2293="",$T2293=""),"",$T2293+(Z$2*$M2293))</f>
        <v/>
      </c>
      <c r="AA2293" s="51">
        <f>IF(OR($M2293="",$T2293=""),"",$T2293+(AA$2*$M2293))</f>
        <v/>
      </c>
      <c r="AB2293" s="48">
        <f>IF(OR($M2293="",$T2293=""),"",$T2293+(AB$2*$M2293))</f>
        <v/>
      </c>
      <c r="AC2293" s="48">
        <f>IF(OR($M2293="",$T2293=""),"",$T2293+(AC$2*$M2293))</f>
        <v/>
      </c>
      <c r="AD2293" s="48">
        <f>IF(OR($M2293="",$T2293=""),"",$T2293+(AD$2*$M2293))</f>
        <v/>
      </c>
      <c r="AE2293" s="49">
        <f>IF(OR($M2293="",$T2293=""),"",$T2293+(AE$2*$M2293))</f>
        <v/>
      </c>
      <c r="AF2293" s="52">
        <f>IF(OR(T2293="",I2293&lt;T2293),"",IFERROR(AVERAGE(T2293+M2293*{7,8,9,10,11})/IF(G2293="",I2293,G2293)-1,""))</f>
        <v/>
      </c>
      <c r="AG2293" s="55">
        <f>IF(OR(T2293="",I2293&lt;T2293),"",IFERROR(AF2293/-(R2293/IF(G2293="",I2293,G2293)-1),""))</f>
        <v/>
      </c>
      <c r="AH2293" s="94" t="n"/>
      <c r="AI2293" s="94" t="n"/>
      <c r="AJ2293" s="94" t="n"/>
      <c r="AK2293" s="94" t="n"/>
      <c r="AL2293" s="84" t="n"/>
    </row>
    <row r="2294">
      <c r="A2294" s="64" t="n"/>
      <c r="B2294" s="65" t="n"/>
      <c r="C2294" s="66" t="n"/>
      <c r="D2294" s="67" t="n"/>
      <c r="E2294" s="68" t="n"/>
      <c r="F2294" s="47">
        <f>IF(A2294="","",IF(MIN(H2294,MAX(J2294:K2294))=0,"",MIN(H2294,MAX(J2294:K2294))))</f>
        <v/>
      </c>
      <c r="G2294" s="74" t="n"/>
      <c r="H2294" s="49">
        <f>IF(M2294="","",IFERROR(ROUND(AVERAGE(T2294+M2294*{7,8,9,10,11})/1.21,4),""))</f>
        <v/>
      </c>
      <c r="I2294" s="76" t="n"/>
      <c r="J2294" s="77" t="n"/>
      <c r="K2294" s="74" t="n"/>
      <c r="L2294" s="78" t="n"/>
      <c r="M2294" s="77" t="n"/>
      <c r="N2294" s="53">
        <f>IF(M2294="","",IFERROR(M2294/I2294,""))</f>
        <v/>
      </c>
      <c r="O2294" s="50">
        <f>IF(A2294="","",IFERROR((IF(G2294="",I2294,G2294)-T2294)/M2294,""))</f>
        <v/>
      </c>
      <c r="P2294" s="50">
        <f>IFERROR((I2294/T2294-1)/N2294,"")</f>
        <v/>
      </c>
      <c r="Q2294" s="46">
        <f>IF(OR(T2294="",I2294&lt;T2294),"",IFERROR(R2294/IF(G2294="",I2294,G2294)-1,""))</f>
        <v/>
      </c>
      <c r="R2294" s="48">
        <f>IF($M2294="","",MAX(IF($G2294="",$I2294,$G2294)*(1/1.1),IF($G2294="",$I2294,$G2294)+(R$2*$M2294)))</f>
        <v/>
      </c>
      <c r="S2294" s="49">
        <f>IF($M2294="","",MAX(IF($G2294="",$I2294,$G2294)*(1/1.1),IF($G2294="",$I2294,$G2294)+(S$2*$M2294)))</f>
        <v/>
      </c>
      <c r="T2294" s="82" t="n"/>
      <c r="U2294" s="47">
        <f>IF(OR($M2294="",$T2294=""),"",$T2294+(U$2*$M2294))</f>
        <v/>
      </c>
      <c r="V2294" s="48">
        <f>IF(OR($M2294="",$T2294=""),"",$T2294+(V$2*$M2294))</f>
        <v/>
      </c>
      <c r="W2294" s="48">
        <f>IF(OR($M2294="",$T2294=""),"",$T2294+(W$2*$M2294))</f>
        <v/>
      </c>
      <c r="X2294" s="49">
        <f>IF(OR($M2294="",$T2294=""),"",$T2294+(X$2*$M2294))</f>
        <v/>
      </c>
      <c r="Y2294" s="47">
        <f>IF(OR($M2294="",$T2294=""),"",$T2294+(Y$2*$M2294))</f>
        <v/>
      </c>
      <c r="Z2294" s="49">
        <f>IF(OR($M2294="",$T2294=""),"",$T2294+(Z$2*$M2294))</f>
        <v/>
      </c>
      <c r="AA2294" s="51">
        <f>IF(OR($M2294="",$T2294=""),"",$T2294+(AA$2*$M2294))</f>
        <v/>
      </c>
      <c r="AB2294" s="48">
        <f>IF(OR($M2294="",$T2294=""),"",$T2294+(AB$2*$M2294))</f>
        <v/>
      </c>
      <c r="AC2294" s="48">
        <f>IF(OR($M2294="",$T2294=""),"",$T2294+(AC$2*$M2294))</f>
        <v/>
      </c>
      <c r="AD2294" s="48">
        <f>IF(OR($M2294="",$T2294=""),"",$T2294+(AD$2*$M2294))</f>
        <v/>
      </c>
      <c r="AE2294" s="49">
        <f>IF(OR($M2294="",$T2294=""),"",$T2294+(AE$2*$M2294))</f>
        <v/>
      </c>
      <c r="AF2294" s="52">
        <f>IF(OR(T2294="",I2294&lt;T2294),"",IFERROR(AVERAGE(T2294+M2294*{7,8,9,10,11})/IF(G2294="",I2294,G2294)-1,""))</f>
        <v/>
      </c>
      <c r="AG2294" s="55">
        <f>IF(OR(T2294="",I2294&lt;T2294),"",IFERROR(AF2294/-(R2294/IF(G2294="",I2294,G2294)-1),""))</f>
        <v/>
      </c>
      <c r="AH2294" s="94" t="n"/>
      <c r="AI2294" s="94" t="n"/>
      <c r="AJ2294" s="94" t="n"/>
      <c r="AK2294" s="94" t="n"/>
      <c r="AL2294" s="84" t="n"/>
    </row>
    <row r="2295">
      <c r="A2295" s="64" t="n"/>
      <c r="B2295" s="65" t="n"/>
      <c r="C2295" s="66" t="n"/>
      <c r="D2295" s="67" t="n"/>
      <c r="E2295" s="68" t="n"/>
      <c r="F2295" s="47">
        <f>IF(A2295="","",IF(MIN(H2295,MAX(J2295:K2295))=0,"",MIN(H2295,MAX(J2295:K2295))))</f>
        <v/>
      </c>
      <c r="G2295" s="74" t="n"/>
      <c r="H2295" s="49">
        <f>IF(M2295="","",IFERROR(ROUND(AVERAGE(T2295+M2295*{7,8,9,10,11})/1.21,4),""))</f>
        <v/>
      </c>
      <c r="I2295" s="76" t="n"/>
      <c r="J2295" s="77" t="n"/>
      <c r="K2295" s="74" t="n"/>
      <c r="L2295" s="78" t="n"/>
      <c r="M2295" s="77" t="n"/>
      <c r="N2295" s="53">
        <f>IF(M2295="","",IFERROR(M2295/I2295,""))</f>
        <v/>
      </c>
      <c r="O2295" s="50">
        <f>IF(A2295="","",IFERROR((IF(G2295="",I2295,G2295)-T2295)/M2295,""))</f>
        <v/>
      </c>
      <c r="P2295" s="50">
        <f>IFERROR((I2295/T2295-1)/N2295,"")</f>
        <v/>
      </c>
      <c r="Q2295" s="46">
        <f>IF(OR(T2295="",I2295&lt;T2295),"",IFERROR(R2295/IF(G2295="",I2295,G2295)-1,""))</f>
        <v/>
      </c>
      <c r="R2295" s="48">
        <f>IF($M2295="","",MAX(IF($G2295="",$I2295,$G2295)*(1/1.1),IF($G2295="",$I2295,$G2295)+(R$2*$M2295)))</f>
        <v/>
      </c>
      <c r="S2295" s="49">
        <f>IF($M2295="","",MAX(IF($G2295="",$I2295,$G2295)*(1/1.1),IF($G2295="",$I2295,$G2295)+(S$2*$M2295)))</f>
        <v/>
      </c>
      <c r="T2295" s="82" t="n"/>
      <c r="U2295" s="47">
        <f>IF(OR($M2295="",$T2295=""),"",$T2295+(U$2*$M2295))</f>
        <v/>
      </c>
      <c r="V2295" s="48">
        <f>IF(OR($M2295="",$T2295=""),"",$T2295+(V$2*$M2295))</f>
        <v/>
      </c>
      <c r="W2295" s="48">
        <f>IF(OR($M2295="",$T2295=""),"",$T2295+(W$2*$M2295))</f>
        <v/>
      </c>
      <c r="X2295" s="49">
        <f>IF(OR($M2295="",$T2295=""),"",$T2295+(X$2*$M2295))</f>
        <v/>
      </c>
      <c r="Y2295" s="47">
        <f>IF(OR($M2295="",$T2295=""),"",$T2295+(Y$2*$M2295))</f>
        <v/>
      </c>
      <c r="Z2295" s="49">
        <f>IF(OR($M2295="",$T2295=""),"",$T2295+(Z$2*$M2295))</f>
        <v/>
      </c>
      <c r="AA2295" s="51">
        <f>IF(OR($M2295="",$T2295=""),"",$T2295+(AA$2*$M2295))</f>
        <v/>
      </c>
      <c r="AB2295" s="48">
        <f>IF(OR($M2295="",$T2295=""),"",$T2295+(AB$2*$M2295))</f>
        <v/>
      </c>
      <c r="AC2295" s="48">
        <f>IF(OR($M2295="",$T2295=""),"",$T2295+(AC$2*$M2295))</f>
        <v/>
      </c>
      <c r="AD2295" s="48">
        <f>IF(OR($M2295="",$T2295=""),"",$T2295+(AD$2*$M2295))</f>
        <v/>
      </c>
      <c r="AE2295" s="49">
        <f>IF(OR($M2295="",$T2295=""),"",$T2295+(AE$2*$M2295))</f>
        <v/>
      </c>
      <c r="AF2295" s="52">
        <f>IF(OR(T2295="",I2295&lt;T2295),"",IFERROR(AVERAGE(T2295+M2295*{7,8,9,10,11})/IF(G2295="",I2295,G2295)-1,""))</f>
        <v/>
      </c>
      <c r="AG2295" s="55">
        <f>IF(OR(T2295="",I2295&lt;T2295),"",IFERROR(AF2295/-(R2295/IF(G2295="",I2295,G2295)-1),""))</f>
        <v/>
      </c>
      <c r="AH2295" s="94" t="n"/>
      <c r="AI2295" s="94" t="n"/>
      <c r="AJ2295" s="94" t="n"/>
      <c r="AK2295" s="94" t="n"/>
      <c r="AL2295" s="84" t="n"/>
    </row>
    <row r="2296">
      <c r="A2296" s="64" t="n"/>
      <c r="B2296" s="65" t="n"/>
      <c r="C2296" s="66" t="n"/>
      <c r="D2296" s="67" t="n"/>
      <c r="E2296" s="68" t="n"/>
      <c r="F2296" s="47">
        <f>IF(A2296="","",IF(MIN(H2296,MAX(J2296:K2296))=0,"",MIN(H2296,MAX(J2296:K2296))))</f>
        <v/>
      </c>
      <c r="G2296" s="74" t="n"/>
      <c r="H2296" s="49">
        <f>IF(M2296="","",IFERROR(ROUND(AVERAGE(T2296+M2296*{7,8,9,10,11})/1.21,4),""))</f>
        <v/>
      </c>
      <c r="I2296" s="76" t="n"/>
      <c r="J2296" s="77" t="n"/>
      <c r="K2296" s="74" t="n"/>
      <c r="L2296" s="78" t="n"/>
      <c r="M2296" s="77" t="n"/>
      <c r="N2296" s="53">
        <f>IF(M2296="","",IFERROR(M2296/I2296,""))</f>
        <v/>
      </c>
      <c r="O2296" s="50">
        <f>IF(A2296="","",IFERROR((IF(G2296="",I2296,G2296)-T2296)/M2296,""))</f>
        <v/>
      </c>
      <c r="P2296" s="50">
        <f>IFERROR((I2296/T2296-1)/N2296,"")</f>
        <v/>
      </c>
      <c r="Q2296" s="46">
        <f>IF(OR(T2296="",I2296&lt;T2296),"",IFERROR(R2296/IF(G2296="",I2296,G2296)-1,""))</f>
        <v/>
      </c>
      <c r="R2296" s="48">
        <f>IF($M2296="","",MAX(IF($G2296="",$I2296,$G2296)*(1/1.1),IF($G2296="",$I2296,$G2296)+(R$2*$M2296)))</f>
        <v/>
      </c>
      <c r="S2296" s="49">
        <f>IF($M2296="","",MAX(IF($G2296="",$I2296,$G2296)*(1/1.1),IF($G2296="",$I2296,$G2296)+(S$2*$M2296)))</f>
        <v/>
      </c>
      <c r="T2296" s="82" t="n"/>
      <c r="U2296" s="47">
        <f>IF(OR($M2296="",$T2296=""),"",$T2296+(U$2*$M2296))</f>
        <v/>
      </c>
      <c r="V2296" s="48">
        <f>IF(OR($M2296="",$T2296=""),"",$T2296+(V$2*$M2296))</f>
        <v/>
      </c>
      <c r="W2296" s="48">
        <f>IF(OR($M2296="",$T2296=""),"",$T2296+(W$2*$M2296))</f>
        <v/>
      </c>
      <c r="X2296" s="49">
        <f>IF(OR($M2296="",$T2296=""),"",$T2296+(X$2*$M2296))</f>
        <v/>
      </c>
      <c r="Y2296" s="47">
        <f>IF(OR($M2296="",$T2296=""),"",$T2296+(Y$2*$M2296))</f>
        <v/>
      </c>
      <c r="Z2296" s="49">
        <f>IF(OR($M2296="",$T2296=""),"",$T2296+(Z$2*$M2296))</f>
        <v/>
      </c>
      <c r="AA2296" s="51">
        <f>IF(OR($M2296="",$T2296=""),"",$T2296+(AA$2*$M2296))</f>
        <v/>
      </c>
      <c r="AB2296" s="48">
        <f>IF(OR($M2296="",$T2296=""),"",$T2296+(AB$2*$M2296))</f>
        <v/>
      </c>
      <c r="AC2296" s="48">
        <f>IF(OR($M2296="",$T2296=""),"",$T2296+(AC$2*$M2296))</f>
        <v/>
      </c>
      <c r="AD2296" s="48">
        <f>IF(OR($M2296="",$T2296=""),"",$T2296+(AD$2*$M2296))</f>
        <v/>
      </c>
      <c r="AE2296" s="49">
        <f>IF(OR($M2296="",$T2296=""),"",$T2296+(AE$2*$M2296))</f>
        <v/>
      </c>
      <c r="AF2296" s="52">
        <f>IF(OR(T2296="",I2296&lt;T2296),"",IFERROR(AVERAGE(T2296+M2296*{7,8,9,10,11})/IF(G2296="",I2296,G2296)-1,""))</f>
        <v/>
      </c>
      <c r="AG2296" s="55">
        <f>IF(OR(T2296="",I2296&lt;T2296),"",IFERROR(AF2296/-(R2296/IF(G2296="",I2296,G2296)-1),""))</f>
        <v/>
      </c>
      <c r="AH2296" s="94" t="n"/>
      <c r="AI2296" s="94" t="n"/>
      <c r="AJ2296" s="94" t="n"/>
      <c r="AK2296" s="94" t="n"/>
      <c r="AL2296" s="84" t="n"/>
    </row>
    <row r="2297">
      <c r="A2297" s="64" t="n"/>
      <c r="B2297" s="65" t="n"/>
      <c r="C2297" s="66" t="n"/>
      <c r="D2297" s="67" t="n"/>
      <c r="E2297" s="68" t="n"/>
      <c r="F2297" s="47">
        <f>IF(A2297="","",IF(MIN(H2297,MAX(J2297:K2297))=0,"",MIN(H2297,MAX(J2297:K2297))))</f>
        <v/>
      </c>
      <c r="G2297" s="74" t="n"/>
      <c r="H2297" s="49">
        <f>IF(M2297="","",IFERROR(ROUND(AVERAGE(T2297+M2297*{7,8,9,10,11})/1.21,4),""))</f>
        <v/>
      </c>
      <c r="I2297" s="76" t="n"/>
      <c r="J2297" s="77" t="n"/>
      <c r="K2297" s="74" t="n"/>
      <c r="L2297" s="78" t="n"/>
      <c r="M2297" s="77" t="n"/>
      <c r="N2297" s="53">
        <f>IF(M2297="","",IFERROR(M2297/I2297,""))</f>
        <v/>
      </c>
      <c r="O2297" s="50">
        <f>IF(A2297="","",IFERROR((IF(G2297="",I2297,G2297)-T2297)/M2297,""))</f>
        <v/>
      </c>
      <c r="P2297" s="50">
        <f>IFERROR((I2297/T2297-1)/N2297,"")</f>
        <v/>
      </c>
      <c r="Q2297" s="46">
        <f>IF(OR(T2297="",I2297&lt;T2297),"",IFERROR(R2297/IF(G2297="",I2297,G2297)-1,""))</f>
        <v/>
      </c>
      <c r="R2297" s="48">
        <f>IF($M2297="","",MAX(IF($G2297="",$I2297,$G2297)*(1/1.1),IF($G2297="",$I2297,$G2297)+(R$2*$M2297)))</f>
        <v/>
      </c>
      <c r="S2297" s="49">
        <f>IF($M2297="","",MAX(IF($G2297="",$I2297,$G2297)*(1/1.1),IF($G2297="",$I2297,$G2297)+(S$2*$M2297)))</f>
        <v/>
      </c>
      <c r="T2297" s="82" t="n"/>
      <c r="U2297" s="47">
        <f>IF(OR($M2297="",$T2297=""),"",$T2297+(U$2*$M2297))</f>
        <v/>
      </c>
      <c r="V2297" s="48">
        <f>IF(OR($M2297="",$T2297=""),"",$T2297+(V$2*$M2297))</f>
        <v/>
      </c>
      <c r="W2297" s="48">
        <f>IF(OR($M2297="",$T2297=""),"",$T2297+(W$2*$M2297))</f>
        <v/>
      </c>
      <c r="X2297" s="49">
        <f>IF(OR($M2297="",$T2297=""),"",$T2297+(X$2*$M2297))</f>
        <v/>
      </c>
      <c r="Y2297" s="47">
        <f>IF(OR($M2297="",$T2297=""),"",$T2297+(Y$2*$M2297))</f>
        <v/>
      </c>
      <c r="Z2297" s="49">
        <f>IF(OR($M2297="",$T2297=""),"",$T2297+(Z$2*$M2297))</f>
        <v/>
      </c>
      <c r="AA2297" s="51">
        <f>IF(OR($M2297="",$T2297=""),"",$T2297+(AA$2*$M2297))</f>
        <v/>
      </c>
      <c r="AB2297" s="48">
        <f>IF(OR($M2297="",$T2297=""),"",$T2297+(AB$2*$M2297))</f>
        <v/>
      </c>
      <c r="AC2297" s="48">
        <f>IF(OR($M2297="",$T2297=""),"",$T2297+(AC$2*$M2297))</f>
        <v/>
      </c>
      <c r="AD2297" s="48">
        <f>IF(OR($M2297="",$T2297=""),"",$T2297+(AD$2*$M2297))</f>
        <v/>
      </c>
      <c r="AE2297" s="49">
        <f>IF(OR($M2297="",$T2297=""),"",$T2297+(AE$2*$M2297))</f>
        <v/>
      </c>
      <c r="AF2297" s="52">
        <f>IF(OR(T2297="",I2297&lt;T2297),"",IFERROR(AVERAGE(T2297+M2297*{7,8,9,10,11})/IF(G2297="",I2297,G2297)-1,""))</f>
        <v/>
      </c>
      <c r="AG2297" s="55">
        <f>IF(OR(T2297="",I2297&lt;T2297),"",IFERROR(AF2297/-(R2297/IF(G2297="",I2297,G2297)-1),""))</f>
        <v/>
      </c>
      <c r="AH2297" s="94" t="n"/>
      <c r="AI2297" s="94" t="n"/>
      <c r="AJ2297" s="94" t="n"/>
      <c r="AK2297" s="94" t="n"/>
      <c r="AL2297" s="84" t="n"/>
    </row>
    <row r="2298">
      <c r="A2298" s="64" t="n"/>
      <c r="B2298" s="65" t="n"/>
      <c r="C2298" s="66" t="n"/>
      <c r="D2298" s="67" t="n"/>
      <c r="E2298" s="68" t="n"/>
      <c r="F2298" s="47">
        <f>IF(A2298="","",IF(MIN(H2298,MAX(J2298:K2298))=0,"",MIN(H2298,MAX(J2298:K2298))))</f>
        <v/>
      </c>
      <c r="G2298" s="74" t="n"/>
      <c r="H2298" s="49">
        <f>IF(M2298="","",IFERROR(ROUND(AVERAGE(T2298+M2298*{7,8,9,10,11})/1.21,4),""))</f>
        <v/>
      </c>
      <c r="I2298" s="76" t="n"/>
      <c r="J2298" s="77" t="n"/>
      <c r="K2298" s="74" t="n"/>
      <c r="L2298" s="78" t="n"/>
      <c r="M2298" s="77" t="n"/>
      <c r="N2298" s="53">
        <f>IF(M2298="","",IFERROR(M2298/I2298,""))</f>
        <v/>
      </c>
      <c r="O2298" s="50">
        <f>IF(A2298="","",IFERROR((IF(G2298="",I2298,G2298)-T2298)/M2298,""))</f>
        <v/>
      </c>
      <c r="P2298" s="50">
        <f>IFERROR((I2298/T2298-1)/N2298,"")</f>
        <v/>
      </c>
      <c r="Q2298" s="46">
        <f>IF(OR(T2298="",I2298&lt;T2298),"",IFERROR(R2298/IF(G2298="",I2298,G2298)-1,""))</f>
        <v/>
      </c>
      <c r="R2298" s="48">
        <f>IF($M2298="","",MAX(IF($G2298="",$I2298,$G2298)*(1/1.1),IF($G2298="",$I2298,$G2298)+(R$2*$M2298)))</f>
        <v/>
      </c>
      <c r="S2298" s="49">
        <f>IF($M2298="","",MAX(IF($G2298="",$I2298,$G2298)*(1/1.1),IF($G2298="",$I2298,$G2298)+(S$2*$M2298)))</f>
        <v/>
      </c>
      <c r="T2298" s="82" t="n"/>
      <c r="U2298" s="47">
        <f>IF(OR($M2298="",$T2298=""),"",$T2298+(U$2*$M2298))</f>
        <v/>
      </c>
      <c r="V2298" s="48">
        <f>IF(OR($M2298="",$T2298=""),"",$T2298+(V$2*$M2298))</f>
        <v/>
      </c>
      <c r="W2298" s="48">
        <f>IF(OR($M2298="",$T2298=""),"",$T2298+(W$2*$M2298))</f>
        <v/>
      </c>
      <c r="X2298" s="49">
        <f>IF(OR($M2298="",$T2298=""),"",$T2298+(X$2*$M2298))</f>
        <v/>
      </c>
      <c r="Y2298" s="47">
        <f>IF(OR($M2298="",$T2298=""),"",$T2298+(Y$2*$M2298))</f>
        <v/>
      </c>
      <c r="Z2298" s="49">
        <f>IF(OR($M2298="",$T2298=""),"",$T2298+(Z$2*$M2298))</f>
        <v/>
      </c>
      <c r="AA2298" s="51">
        <f>IF(OR($M2298="",$T2298=""),"",$T2298+(AA$2*$M2298))</f>
        <v/>
      </c>
      <c r="AB2298" s="48">
        <f>IF(OR($M2298="",$T2298=""),"",$T2298+(AB$2*$M2298))</f>
        <v/>
      </c>
      <c r="AC2298" s="48">
        <f>IF(OR($M2298="",$T2298=""),"",$T2298+(AC$2*$M2298))</f>
        <v/>
      </c>
      <c r="AD2298" s="48">
        <f>IF(OR($M2298="",$T2298=""),"",$T2298+(AD$2*$M2298))</f>
        <v/>
      </c>
      <c r="AE2298" s="49">
        <f>IF(OR($M2298="",$T2298=""),"",$T2298+(AE$2*$M2298))</f>
        <v/>
      </c>
      <c r="AF2298" s="52">
        <f>IF(OR(T2298="",I2298&lt;T2298),"",IFERROR(AVERAGE(T2298+M2298*{7,8,9,10,11})/IF(G2298="",I2298,G2298)-1,""))</f>
        <v/>
      </c>
      <c r="AG2298" s="55">
        <f>IF(OR(T2298="",I2298&lt;T2298),"",IFERROR(AF2298/-(R2298/IF(G2298="",I2298,G2298)-1),""))</f>
        <v/>
      </c>
      <c r="AH2298" s="94" t="n"/>
      <c r="AI2298" s="94" t="n"/>
      <c r="AJ2298" s="94" t="n"/>
      <c r="AK2298" s="94" t="n"/>
      <c r="AL2298" s="84" t="n"/>
    </row>
    <row r="2299">
      <c r="A2299" s="64" t="n"/>
      <c r="B2299" s="65" t="n"/>
      <c r="C2299" s="66" t="n"/>
      <c r="D2299" s="67" t="n"/>
      <c r="E2299" s="68" t="n"/>
      <c r="F2299" s="47">
        <f>IF(A2299="","",IF(MIN(H2299,MAX(J2299:K2299))=0,"",MIN(H2299,MAX(J2299:K2299))))</f>
        <v/>
      </c>
      <c r="G2299" s="74" t="n"/>
      <c r="H2299" s="49">
        <f>IF(M2299="","",IFERROR(ROUND(AVERAGE(T2299+M2299*{7,8,9,10,11})/1.21,4),""))</f>
        <v/>
      </c>
      <c r="I2299" s="76" t="n"/>
      <c r="J2299" s="77" t="n"/>
      <c r="K2299" s="74" t="n"/>
      <c r="L2299" s="78" t="n"/>
      <c r="M2299" s="77" t="n"/>
      <c r="N2299" s="53">
        <f>IF(M2299="","",IFERROR(M2299/I2299,""))</f>
        <v/>
      </c>
      <c r="O2299" s="50">
        <f>IF(A2299="","",IFERROR((IF(G2299="",I2299,G2299)-T2299)/M2299,""))</f>
        <v/>
      </c>
      <c r="P2299" s="50">
        <f>IFERROR((I2299/T2299-1)/N2299,"")</f>
        <v/>
      </c>
      <c r="Q2299" s="46">
        <f>IF(OR(T2299="",I2299&lt;T2299),"",IFERROR(R2299/IF(G2299="",I2299,G2299)-1,""))</f>
        <v/>
      </c>
      <c r="R2299" s="48">
        <f>IF($M2299="","",MAX(IF($G2299="",$I2299,$G2299)*(1/1.1),IF($G2299="",$I2299,$G2299)+(R$2*$M2299)))</f>
        <v/>
      </c>
      <c r="S2299" s="49">
        <f>IF($M2299="","",MAX(IF($G2299="",$I2299,$G2299)*(1/1.1),IF($G2299="",$I2299,$G2299)+(S$2*$M2299)))</f>
        <v/>
      </c>
      <c r="T2299" s="82" t="n"/>
      <c r="U2299" s="47">
        <f>IF(OR($M2299="",$T2299=""),"",$T2299+(U$2*$M2299))</f>
        <v/>
      </c>
      <c r="V2299" s="48">
        <f>IF(OR($M2299="",$T2299=""),"",$T2299+(V$2*$M2299))</f>
        <v/>
      </c>
      <c r="W2299" s="48">
        <f>IF(OR($M2299="",$T2299=""),"",$T2299+(W$2*$M2299))</f>
        <v/>
      </c>
      <c r="X2299" s="49">
        <f>IF(OR($M2299="",$T2299=""),"",$T2299+(X$2*$M2299))</f>
        <v/>
      </c>
      <c r="Y2299" s="47">
        <f>IF(OR($M2299="",$T2299=""),"",$T2299+(Y$2*$M2299))</f>
        <v/>
      </c>
      <c r="Z2299" s="49">
        <f>IF(OR($M2299="",$T2299=""),"",$T2299+(Z$2*$M2299))</f>
        <v/>
      </c>
      <c r="AA2299" s="51">
        <f>IF(OR($M2299="",$T2299=""),"",$T2299+(AA$2*$M2299))</f>
        <v/>
      </c>
      <c r="AB2299" s="48">
        <f>IF(OR($M2299="",$T2299=""),"",$T2299+(AB$2*$M2299))</f>
        <v/>
      </c>
      <c r="AC2299" s="48">
        <f>IF(OR($M2299="",$T2299=""),"",$T2299+(AC$2*$M2299))</f>
        <v/>
      </c>
      <c r="AD2299" s="48">
        <f>IF(OR($M2299="",$T2299=""),"",$T2299+(AD$2*$M2299))</f>
        <v/>
      </c>
      <c r="AE2299" s="49">
        <f>IF(OR($M2299="",$T2299=""),"",$T2299+(AE$2*$M2299))</f>
        <v/>
      </c>
      <c r="AF2299" s="52">
        <f>IF(OR(T2299="",I2299&lt;T2299),"",IFERROR(AVERAGE(T2299+M2299*{7,8,9,10,11})/IF(G2299="",I2299,G2299)-1,""))</f>
        <v/>
      </c>
      <c r="AG2299" s="55">
        <f>IF(OR(T2299="",I2299&lt;T2299),"",IFERROR(AF2299/-(R2299/IF(G2299="",I2299,G2299)-1),""))</f>
        <v/>
      </c>
      <c r="AH2299" s="94" t="n"/>
      <c r="AI2299" s="94" t="n"/>
      <c r="AJ2299" s="94" t="n"/>
      <c r="AK2299" s="94" t="n"/>
      <c r="AL2299" s="84" t="n"/>
    </row>
    <row r="2300">
      <c r="A2300" s="64" t="n"/>
      <c r="B2300" s="65" t="n"/>
      <c r="C2300" s="66" t="n"/>
      <c r="D2300" s="67" t="n"/>
      <c r="E2300" s="68" t="n"/>
      <c r="F2300" s="47">
        <f>IF(A2300="","",IF(MIN(H2300,MAX(J2300:K2300))=0,"",MIN(H2300,MAX(J2300:K2300))))</f>
        <v/>
      </c>
      <c r="G2300" s="74" t="n"/>
      <c r="H2300" s="49">
        <f>IF(M2300="","",IFERROR(ROUND(AVERAGE(T2300+M2300*{7,8,9,10,11})/1.21,4),""))</f>
        <v/>
      </c>
      <c r="I2300" s="76" t="n"/>
      <c r="J2300" s="77" t="n"/>
      <c r="K2300" s="74" t="n"/>
      <c r="L2300" s="78" t="n"/>
      <c r="M2300" s="77" t="n"/>
      <c r="N2300" s="53">
        <f>IF(M2300="","",IFERROR(M2300/I2300,""))</f>
        <v/>
      </c>
      <c r="O2300" s="50">
        <f>IF(A2300="","",IFERROR((IF(G2300="",I2300,G2300)-T2300)/M2300,""))</f>
        <v/>
      </c>
      <c r="P2300" s="50">
        <f>IFERROR((I2300/T2300-1)/N2300,"")</f>
        <v/>
      </c>
      <c r="Q2300" s="46">
        <f>IF(OR(T2300="",I2300&lt;T2300),"",IFERROR(R2300/IF(G2300="",I2300,G2300)-1,""))</f>
        <v/>
      </c>
      <c r="R2300" s="48">
        <f>IF($M2300="","",MAX(IF($G2300="",$I2300,$G2300)*(1/1.1),IF($G2300="",$I2300,$G2300)+(R$2*$M2300)))</f>
        <v/>
      </c>
      <c r="S2300" s="49">
        <f>IF($M2300="","",MAX(IF($G2300="",$I2300,$G2300)*(1/1.1),IF($G2300="",$I2300,$G2300)+(S$2*$M2300)))</f>
        <v/>
      </c>
      <c r="T2300" s="82" t="n"/>
      <c r="U2300" s="47">
        <f>IF(OR($M2300="",$T2300=""),"",$T2300+(U$2*$M2300))</f>
        <v/>
      </c>
      <c r="V2300" s="48">
        <f>IF(OR($M2300="",$T2300=""),"",$T2300+(V$2*$M2300))</f>
        <v/>
      </c>
      <c r="W2300" s="48">
        <f>IF(OR($M2300="",$T2300=""),"",$T2300+(W$2*$M2300))</f>
        <v/>
      </c>
      <c r="X2300" s="49">
        <f>IF(OR($M2300="",$T2300=""),"",$T2300+(X$2*$M2300))</f>
        <v/>
      </c>
      <c r="Y2300" s="47">
        <f>IF(OR($M2300="",$T2300=""),"",$T2300+(Y$2*$M2300))</f>
        <v/>
      </c>
      <c r="Z2300" s="49">
        <f>IF(OR($M2300="",$T2300=""),"",$T2300+(Z$2*$M2300))</f>
        <v/>
      </c>
      <c r="AA2300" s="51">
        <f>IF(OR($M2300="",$T2300=""),"",$T2300+(AA$2*$M2300))</f>
        <v/>
      </c>
      <c r="AB2300" s="48">
        <f>IF(OR($M2300="",$T2300=""),"",$T2300+(AB$2*$M2300))</f>
        <v/>
      </c>
      <c r="AC2300" s="48">
        <f>IF(OR($M2300="",$T2300=""),"",$T2300+(AC$2*$M2300))</f>
        <v/>
      </c>
      <c r="AD2300" s="48">
        <f>IF(OR($M2300="",$T2300=""),"",$T2300+(AD$2*$M2300))</f>
        <v/>
      </c>
      <c r="AE2300" s="49">
        <f>IF(OR($M2300="",$T2300=""),"",$T2300+(AE$2*$M2300))</f>
        <v/>
      </c>
      <c r="AF2300" s="52">
        <f>IF(OR(T2300="",I2300&lt;T2300),"",IFERROR(AVERAGE(T2300+M2300*{7,8,9,10,11})/IF(G2300="",I2300,G2300)-1,""))</f>
        <v/>
      </c>
      <c r="AG2300" s="55">
        <f>IF(OR(T2300="",I2300&lt;T2300),"",IFERROR(AF2300/-(R2300/IF(G2300="",I2300,G2300)-1),""))</f>
        <v/>
      </c>
      <c r="AH2300" s="94" t="n"/>
      <c r="AI2300" s="94" t="n"/>
      <c r="AJ2300" s="94" t="n"/>
      <c r="AK2300" s="94" t="n"/>
      <c r="AL2300" s="84" t="n"/>
    </row>
    <row r="2301">
      <c r="A2301" s="64" t="n"/>
      <c r="B2301" s="65" t="n"/>
      <c r="C2301" s="66" t="n"/>
      <c r="D2301" s="67" t="n"/>
      <c r="E2301" s="68" t="n"/>
      <c r="F2301" s="47">
        <f>IF(A2301="","",IF(MIN(H2301,MAX(J2301:K2301))=0,"",MIN(H2301,MAX(J2301:K2301))))</f>
        <v/>
      </c>
      <c r="G2301" s="74" t="n"/>
      <c r="H2301" s="49">
        <f>IF(M2301="","",IFERROR(ROUND(AVERAGE(T2301+M2301*{7,8,9,10,11})/1.21,4),""))</f>
        <v/>
      </c>
      <c r="I2301" s="76" t="n"/>
      <c r="J2301" s="77" t="n"/>
      <c r="K2301" s="74" t="n"/>
      <c r="L2301" s="78" t="n"/>
      <c r="M2301" s="77" t="n"/>
      <c r="N2301" s="53">
        <f>IF(M2301="","",IFERROR(M2301/I2301,""))</f>
        <v/>
      </c>
      <c r="O2301" s="50">
        <f>IF(A2301="","",IFERROR((IF(G2301="",I2301,G2301)-T2301)/M2301,""))</f>
        <v/>
      </c>
      <c r="P2301" s="50">
        <f>IFERROR((I2301/T2301-1)/N2301,"")</f>
        <v/>
      </c>
      <c r="Q2301" s="46">
        <f>IF(OR(T2301="",I2301&lt;T2301),"",IFERROR(R2301/IF(G2301="",I2301,G2301)-1,""))</f>
        <v/>
      </c>
      <c r="R2301" s="48">
        <f>IF($M2301="","",MAX(IF($G2301="",$I2301,$G2301)*(1/1.1),IF($G2301="",$I2301,$G2301)+(R$2*$M2301)))</f>
        <v/>
      </c>
      <c r="S2301" s="49">
        <f>IF($M2301="","",MAX(IF($G2301="",$I2301,$G2301)*(1/1.1),IF($G2301="",$I2301,$G2301)+(S$2*$M2301)))</f>
        <v/>
      </c>
      <c r="T2301" s="82" t="n"/>
      <c r="U2301" s="47">
        <f>IF(OR($M2301="",$T2301=""),"",$T2301+(U$2*$M2301))</f>
        <v/>
      </c>
      <c r="V2301" s="48">
        <f>IF(OR($M2301="",$T2301=""),"",$T2301+(V$2*$M2301))</f>
        <v/>
      </c>
      <c r="W2301" s="48">
        <f>IF(OR($M2301="",$T2301=""),"",$T2301+(W$2*$M2301))</f>
        <v/>
      </c>
      <c r="X2301" s="49">
        <f>IF(OR($M2301="",$T2301=""),"",$T2301+(X$2*$M2301))</f>
        <v/>
      </c>
      <c r="Y2301" s="47">
        <f>IF(OR($M2301="",$T2301=""),"",$T2301+(Y$2*$M2301))</f>
        <v/>
      </c>
      <c r="Z2301" s="49">
        <f>IF(OR($M2301="",$T2301=""),"",$T2301+(Z$2*$M2301))</f>
        <v/>
      </c>
      <c r="AA2301" s="51">
        <f>IF(OR($M2301="",$T2301=""),"",$T2301+(AA$2*$M2301))</f>
        <v/>
      </c>
      <c r="AB2301" s="48">
        <f>IF(OR($M2301="",$T2301=""),"",$T2301+(AB$2*$M2301))</f>
        <v/>
      </c>
      <c r="AC2301" s="48">
        <f>IF(OR($M2301="",$T2301=""),"",$T2301+(AC$2*$M2301))</f>
        <v/>
      </c>
      <c r="AD2301" s="48">
        <f>IF(OR($M2301="",$T2301=""),"",$T2301+(AD$2*$M2301))</f>
        <v/>
      </c>
      <c r="AE2301" s="49">
        <f>IF(OR($M2301="",$T2301=""),"",$T2301+(AE$2*$M2301))</f>
        <v/>
      </c>
      <c r="AF2301" s="52">
        <f>IF(OR(T2301="",I2301&lt;T2301),"",IFERROR(AVERAGE(T2301+M2301*{7,8,9,10,11})/IF(G2301="",I2301,G2301)-1,""))</f>
        <v/>
      </c>
      <c r="AG2301" s="55">
        <f>IF(OR(T2301="",I2301&lt;T2301),"",IFERROR(AF2301/-(R2301/IF(G2301="",I2301,G2301)-1),""))</f>
        <v/>
      </c>
      <c r="AH2301" s="94" t="n"/>
      <c r="AI2301" s="94" t="n"/>
      <c r="AJ2301" s="94" t="n"/>
      <c r="AK2301" s="94" t="n"/>
      <c r="AL2301" s="84" t="n"/>
    </row>
    <row r="2302">
      <c r="A2302" s="64" t="n"/>
      <c r="B2302" s="65" t="n"/>
      <c r="C2302" s="66" t="n"/>
      <c r="D2302" s="67" t="n"/>
      <c r="E2302" s="68" t="n"/>
      <c r="F2302" s="47">
        <f>IF(A2302="","",IF(MIN(H2302,MAX(J2302:K2302))=0,"",MIN(H2302,MAX(J2302:K2302))))</f>
        <v/>
      </c>
      <c r="G2302" s="74" t="n"/>
      <c r="H2302" s="49">
        <f>IF(M2302="","",IFERROR(ROUND(AVERAGE(T2302+M2302*{7,8,9,10,11})/1.21,4),""))</f>
        <v/>
      </c>
      <c r="I2302" s="76" t="n"/>
      <c r="J2302" s="77" t="n"/>
      <c r="K2302" s="74" t="n"/>
      <c r="L2302" s="78" t="n"/>
      <c r="M2302" s="77" t="n"/>
      <c r="N2302" s="53">
        <f>IF(M2302="","",IFERROR(M2302/I2302,""))</f>
        <v/>
      </c>
      <c r="O2302" s="50">
        <f>IF(A2302="","",IFERROR((IF(G2302="",I2302,G2302)-T2302)/M2302,""))</f>
        <v/>
      </c>
      <c r="P2302" s="50">
        <f>IFERROR((I2302/T2302-1)/N2302,"")</f>
        <v/>
      </c>
      <c r="Q2302" s="46">
        <f>IF(OR(T2302="",I2302&lt;T2302),"",IFERROR(R2302/IF(G2302="",I2302,G2302)-1,""))</f>
        <v/>
      </c>
      <c r="R2302" s="48">
        <f>IF($M2302="","",MAX(IF($G2302="",$I2302,$G2302)*(1/1.1),IF($G2302="",$I2302,$G2302)+(R$2*$M2302)))</f>
        <v/>
      </c>
      <c r="S2302" s="49">
        <f>IF($M2302="","",MAX(IF($G2302="",$I2302,$G2302)*(1/1.1),IF($G2302="",$I2302,$G2302)+(S$2*$M2302)))</f>
        <v/>
      </c>
      <c r="T2302" s="82" t="n"/>
      <c r="U2302" s="47">
        <f>IF(OR($M2302="",$T2302=""),"",$T2302+(U$2*$M2302))</f>
        <v/>
      </c>
      <c r="V2302" s="48">
        <f>IF(OR($M2302="",$T2302=""),"",$T2302+(V$2*$M2302))</f>
        <v/>
      </c>
      <c r="W2302" s="48">
        <f>IF(OR($M2302="",$T2302=""),"",$T2302+(W$2*$M2302))</f>
        <v/>
      </c>
      <c r="X2302" s="49">
        <f>IF(OR($M2302="",$T2302=""),"",$T2302+(X$2*$M2302))</f>
        <v/>
      </c>
      <c r="Y2302" s="47">
        <f>IF(OR($M2302="",$T2302=""),"",$T2302+(Y$2*$M2302))</f>
        <v/>
      </c>
      <c r="Z2302" s="49">
        <f>IF(OR($M2302="",$T2302=""),"",$T2302+(Z$2*$M2302))</f>
        <v/>
      </c>
      <c r="AA2302" s="51">
        <f>IF(OR($M2302="",$T2302=""),"",$T2302+(AA$2*$M2302))</f>
        <v/>
      </c>
      <c r="AB2302" s="48">
        <f>IF(OR($M2302="",$T2302=""),"",$T2302+(AB$2*$M2302))</f>
        <v/>
      </c>
      <c r="AC2302" s="48">
        <f>IF(OR($M2302="",$T2302=""),"",$T2302+(AC$2*$M2302))</f>
        <v/>
      </c>
      <c r="AD2302" s="48">
        <f>IF(OR($M2302="",$T2302=""),"",$T2302+(AD$2*$M2302))</f>
        <v/>
      </c>
      <c r="AE2302" s="49">
        <f>IF(OR($M2302="",$T2302=""),"",$T2302+(AE$2*$M2302))</f>
        <v/>
      </c>
      <c r="AF2302" s="52">
        <f>IF(OR(T2302="",I2302&lt;T2302),"",IFERROR(AVERAGE(T2302+M2302*{7,8,9,10,11})/IF(G2302="",I2302,G2302)-1,""))</f>
        <v/>
      </c>
      <c r="AG2302" s="55">
        <f>IF(OR(T2302="",I2302&lt;T2302),"",IFERROR(AF2302/-(R2302/IF(G2302="",I2302,G2302)-1),""))</f>
        <v/>
      </c>
      <c r="AH2302" s="94" t="n"/>
      <c r="AI2302" s="94" t="n"/>
      <c r="AJ2302" s="94" t="n"/>
      <c r="AK2302" s="94" t="n"/>
      <c r="AL2302" s="84" t="n"/>
    </row>
    <row r="2303">
      <c r="A2303" s="64" t="n"/>
      <c r="B2303" s="65" t="n"/>
      <c r="C2303" s="66" t="n"/>
      <c r="D2303" s="67" t="n"/>
      <c r="E2303" s="68" t="n"/>
      <c r="F2303" s="47">
        <f>IF(A2303="","",IF(MIN(H2303,MAX(J2303:K2303))=0,"",MIN(H2303,MAX(J2303:K2303))))</f>
        <v/>
      </c>
      <c r="G2303" s="74" t="n"/>
      <c r="H2303" s="49">
        <f>IF(M2303="","",IFERROR(ROUND(AVERAGE(T2303+M2303*{7,8,9,10,11})/1.21,4),""))</f>
        <v/>
      </c>
      <c r="I2303" s="76" t="n"/>
      <c r="J2303" s="77" t="n"/>
      <c r="K2303" s="74" t="n"/>
      <c r="L2303" s="78" t="n"/>
      <c r="M2303" s="77" t="n"/>
      <c r="N2303" s="53">
        <f>IF(M2303="","",IFERROR(M2303/I2303,""))</f>
        <v/>
      </c>
      <c r="O2303" s="50">
        <f>IF(A2303="","",IFERROR((IF(G2303="",I2303,G2303)-T2303)/M2303,""))</f>
        <v/>
      </c>
      <c r="P2303" s="50">
        <f>IFERROR((I2303/T2303-1)/N2303,"")</f>
        <v/>
      </c>
      <c r="Q2303" s="46">
        <f>IF(OR(T2303="",I2303&lt;T2303),"",IFERROR(R2303/IF(G2303="",I2303,G2303)-1,""))</f>
        <v/>
      </c>
      <c r="R2303" s="48">
        <f>IF($M2303="","",MAX(IF($G2303="",$I2303,$G2303)*(1/1.1),IF($G2303="",$I2303,$G2303)+(R$2*$M2303)))</f>
        <v/>
      </c>
      <c r="S2303" s="49">
        <f>IF($M2303="","",MAX(IF($G2303="",$I2303,$G2303)*(1/1.1),IF($G2303="",$I2303,$G2303)+(S$2*$M2303)))</f>
        <v/>
      </c>
      <c r="T2303" s="82" t="n"/>
      <c r="U2303" s="47">
        <f>IF(OR($M2303="",$T2303=""),"",$T2303+(U$2*$M2303))</f>
        <v/>
      </c>
      <c r="V2303" s="48">
        <f>IF(OR($M2303="",$T2303=""),"",$T2303+(V$2*$M2303))</f>
        <v/>
      </c>
      <c r="W2303" s="48">
        <f>IF(OR($M2303="",$T2303=""),"",$T2303+(W$2*$M2303))</f>
        <v/>
      </c>
      <c r="X2303" s="49">
        <f>IF(OR($M2303="",$T2303=""),"",$T2303+(X$2*$M2303))</f>
        <v/>
      </c>
      <c r="Y2303" s="47">
        <f>IF(OR($M2303="",$T2303=""),"",$T2303+(Y$2*$M2303))</f>
        <v/>
      </c>
      <c r="Z2303" s="49">
        <f>IF(OR($M2303="",$T2303=""),"",$T2303+(Z$2*$M2303))</f>
        <v/>
      </c>
      <c r="AA2303" s="51">
        <f>IF(OR($M2303="",$T2303=""),"",$T2303+(AA$2*$M2303))</f>
        <v/>
      </c>
      <c r="AB2303" s="48">
        <f>IF(OR($M2303="",$T2303=""),"",$T2303+(AB$2*$M2303))</f>
        <v/>
      </c>
      <c r="AC2303" s="48">
        <f>IF(OR($M2303="",$T2303=""),"",$T2303+(AC$2*$M2303))</f>
        <v/>
      </c>
      <c r="AD2303" s="48">
        <f>IF(OR($M2303="",$T2303=""),"",$T2303+(AD$2*$M2303))</f>
        <v/>
      </c>
      <c r="AE2303" s="49">
        <f>IF(OR($M2303="",$T2303=""),"",$T2303+(AE$2*$M2303))</f>
        <v/>
      </c>
      <c r="AF2303" s="52">
        <f>IF(OR(T2303="",I2303&lt;T2303),"",IFERROR(AVERAGE(T2303+M2303*{7,8,9,10,11})/IF(G2303="",I2303,G2303)-1,""))</f>
        <v/>
      </c>
      <c r="AG2303" s="55">
        <f>IF(OR(T2303="",I2303&lt;T2303),"",IFERROR(AF2303/-(R2303/IF(G2303="",I2303,G2303)-1),""))</f>
        <v/>
      </c>
      <c r="AH2303" s="94" t="n"/>
      <c r="AI2303" s="94" t="n"/>
      <c r="AJ2303" s="94" t="n"/>
      <c r="AK2303" s="94" t="n"/>
      <c r="AL2303" s="84" t="n"/>
    </row>
    <row r="2304">
      <c r="A2304" s="64" t="n"/>
      <c r="B2304" s="65" t="n"/>
      <c r="C2304" s="66" t="n"/>
      <c r="D2304" s="67" t="n"/>
      <c r="E2304" s="68" t="n"/>
      <c r="F2304" s="47">
        <f>IF(A2304="","",IF(MIN(H2304,MAX(J2304:K2304))=0,"",MIN(H2304,MAX(J2304:K2304))))</f>
        <v/>
      </c>
      <c r="G2304" s="74" t="n"/>
      <c r="H2304" s="49">
        <f>IF(M2304="","",IFERROR(ROUND(AVERAGE(T2304+M2304*{7,8,9,10,11})/1.21,4),""))</f>
        <v/>
      </c>
      <c r="I2304" s="76" t="n"/>
      <c r="J2304" s="77" t="n"/>
      <c r="K2304" s="74" t="n"/>
      <c r="L2304" s="78" t="n"/>
      <c r="M2304" s="77" t="n"/>
      <c r="N2304" s="53">
        <f>IF(M2304="","",IFERROR(M2304/I2304,""))</f>
        <v/>
      </c>
      <c r="O2304" s="50">
        <f>IF(A2304="","",IFERROR((IF(G2304="",I2304,G2304)-T2304)/M2304,""))</f>
        <v/>
      </c>
      <c r="P2304" s="50">
        <f>IFERROR((I2304/T2304-1)/N2304,"")</f>
        <v/>
      </c>
      <c r="Q2304" s="46">
        <f>IF(OR(T2304="",I2304&lt;T2304),"",IFERROR(R2304/IF(G2304="",I2304,G2304)-1,""))</f>
        <v/>
      </c>
      <c r="R2304" s="48">
        <f>IF($M2304="","",MAX(IF($G2304="",$I2304,$G2304)*(1/1.1),IF($G2304="",$I2304,$G2304)+(R$2*$M2304)))</f>
        <v/>
      </c>
      <c r="S2304" s="49">
        <f>IF($M2304="","",MAX(IF($G2304="",$I2304,$G2304)*(1/1.1),IF($G2304="",$I2304,$G2304)+(S$2*$M2304)))</f>
        <v/>
      </c>
      <c r="T2304" s="82" t="n"/>
      <c r="U2304" s="47">
        <f>IF(OR($M2304="",$T2304=""),"",$T2304+(U$2*$M2304))</f>
        <v/>
      </c>
      <c r="V2304" s="48">
        <f>IF(OR($M2304="",$T2304=""),"",$T2304+(V$2*$M2304))</f>
        <v/>
      </c>
      <c r="W2304" s="48">
        <f>IF(OR($M2304="",$T2304=""),"",$T2304+(W$2*$M2304))</f>
        <v/>
      </c>
      <c r="X2304" s="49">
        <f>IF(OR($M2304="",$T2304=""),"",$T2304+(X$2*$M2304))</f>
        <v/>
      </c>
      <c r="Y2304" s="47">
        <f>IF(OR($M2304="",$T2304=""),"",$T2304+(Y$2*$M2304))</f>
        <v/>
      </c>
      <c r="Z2304" s="49">
        <f>IF(OR($M2304="",$T2304=""),"",$T2304+(Z$2*$M2304))</f>
        <v/>
      </c>
      <c r="AA2304" s="51">
        <f>IF(OR($M2304="",$T2304=""),"",$T2304+(AA$2*$M2304))</f>
        <v/>
      </c>
      <c r="AB2304" s="48">
        <f>IF(OR($M2304="",$T2304=""),"",$T2304+(AB$2*$M2304))</f>
        <v/>
      </c>
      <c r="AC2304" s="48">
        <f>IF(OR($M2304="",$T2304=""),"",$T2304+(AC$2*$M2304))</f>
        <v/>
      </c>
      <c r="AD2304" s="48">
        <f>IF(OR($M2304="",$T2304=""),"",$T2304+(AD$2*$M2304))</f>
        <v/>
      </c>
      <c r="AE2304" s="49">
        <f>IF(OR($M2304="",$T2304=""),"",$T2304+(AE$2*$M2304))</f>
        <v/>
      </c>
      <c r="AF2304" s="52">
        <f>IF(OR(T2304="",I2304&lt;T2304),"",IFERROR(AVERAGE(T2304+M2304*{7,8,9,10,11})/IF(G2304="",I2304,G2304)-1,""))</f>
        <v/>
      </c>
      <c r="AG2304" s="55">
        <f>IF(OR(T2304="",I2304&lt;T2304),"",IFERROR(AF2304/-(R2304/IF(G2304="",I2304,G2304)-1),""))</f>
        <v/>
      </c>
      <c r="AH2304" s="94" t="n"/>
      <c r="AI2304" s="94" t="n"/>
      <c r="AJ2304" s="94" t="n"/>
      <c r="AK2304" s="94" t="n"/>
      <c r="AL2304" s="84" t="n"/>
    </row>
    <row r="2305">
      <c r="A2305" s="64" t="n"/>
      <c r="B2305" s="65" t="n"/>
      <c r="C2305" s="66" t="n"/>
      <c r="D2305" s="67" t="n"/>
      <c r="E2305" s="68" t="n"/>
      <c r="F2305" s="47">
        <f>IF(A2305="","",IF(MIN(H2305,MAX(J2305:K2305))=0,"",MIN(H2305,MAX(J2305:K2305))))</f>
        <v/>
      </c>
      <c r="G2305" s="74" t="n"/>
      <c r="H2305" s="49">
        <f>IF(M2305="","",IFERROR(ROUND(AVERAGE(T2305+M2305*{7,8,9,10,11})/1.21,4),""))</f>
        <v/>
      </c>
      <c r="I2305" s="76" t="n"/>
      <c r="J2305" s="77" t="n"/>
      <c r="K2305" s="74" t="n"/>
      <c r="L2305" s="78" t="n"/>
      <c r="M2305" s="77" t="n"/>
      <c r="N2305" s="53">
        <f>IF(M2305="","",IFERROR(M2305/I2305,""))</f>
        <v/>
      </c>
      <c r="O2305" s="50">
        <f>IF(A2305="","",IFERROR((IF(G2305="",I2305,G2305)-T2305)/M2305,""))</f>
        <v/>
      </c>
      <c r="P2305" s="50">
        <f>IFERROR((I2305/T2305-1)/N2305,"")</f>
        <v/>
      </c>
      <c r="Q2305" s="46">
        <f>IF(OR(T2305="",I2305&lt;T2305),"",IFERROR(R2305/IF(G2305="",I2305,G2305)-1,""))</f>
        <v/>
      </c>
      <c r="R2305" s="48">
        <f>IF($M2305="","",MAX(IF($G2305="",$I2305,$G2305)*(1/1.1),IF($G2305="",$I2305,$G2305)+(R$2*$M2305)))</f>
        <v/>
      </c>
      <c r="S2305" s="49">
        <f>IF($M2305="","",MAX(IF($G2305="",$I2305,$G2305)*(1/1.1),IF($G2305="",$I2305,$G2305)+(S$2*$M2305)))</f>
        <v/>
      </c>
      <c r="T2305" s="82" t="n"/>
      <c r="U2305" s="47">
        <f>IF(OR($M2305="",$T2305=""),"",$T2305+(U$2*$M2305))</f>
        <v/>
      </c>
      <c r="V2305" s="48">
        <f>IF(OR($M2305="",$T2305=""),"",$T2305+(V$2*$M2305))</f>
        <v/>
      </c>
      <c r="W2305" s="48">
        <f>IF(OR($M2305="",$T2305=""),"",$T2305+(W$2*$M2305))</f>
        <v/>
      </c>
      <c r="X2305" s="49">
        <f>IF(OR($M2305="",$T2305=""),"",$T2305+(X$2*$M2305))</f>
        <v/>
      </c>
      <c r="Y2305" s="47">
        <f>IF(OR($M2305="",$T2305=""),"",$T2305+(Y$2*$M2305))</f>
        <v/>
      </c>
      <c r="Z2305" s="49">
        <f>IF(OR($M2305="",$T2305=""),"",$T2305+(Z$2*$M2305))</f>
        <v/>
      </c>
      <c r="AA2305" s="51">
        <f>IF(OR($M2305="",$T2305=""),"",$T2305+(AA$2*$M2305))</f>
        <v/>
      </c>
      <c r="AB2305" s="48">
        <f>IF(OR($M2305="",$T2305=""),"",$T2305+(AB$2*$M2305))</f>
        <v/>
      </c>
      <c r="AC2305" s="48">
        <f>IF(OR($M2305="",$T2305=""),"",$T2305+(AC$2*$M2305))</f>
        <v/>
      </c>
      <c r="AD2305" s="48">
        <f>IF(OR($M2305="",$T2305=""),"",$T2305+(AD$2*$M2305))</f>
        <v/>
      </c>
      <c r="AE2305" s="49">
        <f>IF(OR($M2305="",$T2305=""),"",$T2305+(AE$2*$M2305))</f>
        <v/>
      </c>
      <c r="AF2305" s="52">
        <f>IF(OR(T2305="",I2305&lt;T2305),"",IFERROR(AVERAGE(T2305+M2305*{7,8,9,10,11})/IF(G2305="",I2305,G2305)-1,""))</f>
        <v/>
      </c>
      <c r="AG2305" s="55">
        <f>IF(OR(T2305="",I2305&lt;T2305),"",IFERROR(AF2305/-(R2305/IF(G2305="",I2305,G2305)-1),""))</f>
        <v/>
      </c>
      <c r="AH2305" s="94" t="n"/>
      <c r="AI2305" s="94" t="n"/>
      <c r="AJ2305" s="94" t="n"/>
      <c r="AK2305" s="94" t="n"/>
      <c r="AL2305" s="84" t="n"/>
    </row>
    <row r="2306">
      <c r="A2306" s="64" t="n"/>
      <c r="B2306" s="65" t="n"/>
      <c r="C2306" s="66" t="n"/>
      <c r="D2306" s="67" t="n"/>
      <c r="E2306" s="68" t="n"/>
      <c r="F2306" s="47">
        <f>IF(A2306="","",IF(MIN(H2306,MAX(J2306:K2306))=0,"",MIN(H2306,MAX(J2306:K2306))))</f>
        <v/>
      </c>
      <c r="G2306" s="74" t="n"/>
      <c r="H2306" s="49">
        <f>IF(M2306="","",IFERROR(ROUND(AVERAGE(T2306+M2306*{7,8,9,10,11})/1.21,4),""))</f>
        <v/>
      </c>
      <c r="I2306" s="76" t="n"/>
      <c r="J2306" s="77" t="n"/>
      <c r="K2306" s="74" t="n"/>
      <c r="L2306" s="78" t="n"/>
      <c r="M2306" s="77" t="n"/>
      <c r="N2306" s="53">
        <f>IF(M2306="","",IFERROR(M2306/I2306,""))</f>
        <v/>
      </c>
      <c r="O2306" s="50">
        <f>IF(A2306="","",IFERROR((IF(G2306="",I2306,G2306)-T2306)/M2306,""))</f>
        <v/>
      </c>
      <c r="P2306" s="50">
        <f>IFERROR((I2306/T2306-1)/N2306,"")</f>
        <v/>
      </c>
      <c r="Q2306" s="46">
        <f>IF(OR(T2306="",I2306&lt;T2306),"",IFERROR(R2306/IF(G2306="",I2306,G2306)-1,""))</f>
        <v/>
      </c>
      <c r="R2306" s="48">
        <f>IF($M2306="","",MAX(IF($G2306="",$I2306,$G2306)*(1/1.1),IF($G2306="",$I2306,$G2306)+(R$2*$M2306)))</f>
        <v/>
      </c>
      <c r="S2306" s="49">
        <f>IF($M2306="","",MAX(IF($G2306="",$I2306,$G2306)*(1/1.1),IF($G2306="",$I2306,$G2306)+(S$2*$M2306)))</f>
        <v/>
      </c>
      <c r="T2306" s="82" t="n"/>
      <c r="U2306" s="47">
        <f>IF(OR($M2306="",$T2306=""),"",$T2306+(U$2*$M2306))</f>
        <v/>
      </c>
      <c r="V2306" s="48">
        <f>IF(OR($M2306="",$T2306=""),"",$T2306+(V$2*$M2306))</f>
        <v/>
      </c>
      <c r="W2306" s="48">
        <f>IF(OR($M2306="",$T2306=""),"",$T2306+(W$2*$M2306))</f>
        <v/>
      </c>
      <c r="X2306" s="49">
        <f>IF(OR($M2306="",$T2306=""),"",$T2306+(X$2*$M2306))</f>
        <v/>
      </c>
      <c r="Y2306" s="47">
        <f>IF(OR($M2306="",$T2306=""),"",$T2306+(Y$2*$M2306))</f>
        <v/>
      </c>
      <c r="Z2306" s="49">
        <f>IF(OR($M2306="",$T2306=""),"",$T2306+(Z$2*$M2306))</f>
        <v/>
      </c>
      <c r="AA2306" s="51">
        <f>IF(OR($M2306="",$T2306=""),"",$T2306+(AA$2*$M2306))</f>
        <v/>
      </c>
      <c r="AB2306" s="48">
        <f>IF(OR($M2306="",$T2306=""),"",$T2306+(AB$2*$M2306))</f>
        <v/>
      </c>
      <c r="AC2306" s="48">
        <f>IF(OR($M2306="",$T2306=""),"",$T2306+(AC$2*$M2306))</f>
        <v/>
      </c>
      <c r="AD2306" s="48">
        <f>IF(OR($M2306="",$T2306=""),"",$T2306+(AD$2*$M2306))</f>
        <v/>
      </c>
      <c r="AE2306" s="49">
        <f>IF(OR($M2306="",$T2306=""),"",$T2306+(AE$2*$M2306))</f>
        <v/>
      </c>
      <c r="AF2306" s="52">
        <f>IF(OR(T2306="",I2306&lt;T2306),"",IFERROR(AVERAGE(T2306+M2306*{7,8,9,10,11})/IF(G2306="",I2306,G2306)-1,""))</f>
        <v/>
      </c>
      <c r="AG2306" s="55">
        <f>IF(OR(T2306="",I2306&lt;T2306),"",IFERROR(AF2306/-(R2306/IF(G2306="",I2306,G2306)-1),""))</f>
        <v/>
      </c>
      <c r="AH2306" s="94" t="n"/>
      <c r="AI2306" s="94" t="n"/>
      <c r="AJ2306" s="94" t="n"/>
      <c r="AK2306" s="94" t="n"/>
      <c r="AL2306" s="84" t="n"/>
    </row>
    <row r="2307">
      <c r="A2307" s="64" t="n"/>
      <c r="B2307" s="65" t="n"/>
      <c r="C2307" s="66" t="n"/>
      <c r="D2307" s="67" t="n"/>
      <c r="E2307" s="68" t="n"/>
      <c r="F2307" s="47">
        <f>IF(A2307="","",IF(MIN(H2307,MAX(J2307:K2307))=0,"",MIN(H2307,MAX(J2307:K2307))))</f>
        <v/>
      </c>
      <c r="G2307" s="74" t="n"/>
      <c r="H2307" s="49">
        <f>IF(M2307="","",IFERROR(ROUND(AVERAGE(T2307+M2307*{7,8,9,10,11})/1.21,4),""))</f>
        <v/>
      </c>
      <c r="I2307" s="76" t="n"/>
      <c r="J2307" s="77" t="n"/>
      <c r="K2307" s="74" t="n"/>
      <c r="L2307" s="78" t="n"/>
      <c r="M2307" s="77" t="n"/>
      <c r="N2307" s="53">
        <f>IF(M2307="","",IFERROR(M2307/I2307,""))</f>
        <v/>
      </c>
      <c r="O2307" s="50">
        <f>IF(A2307="","",IFERROR((IF(G2307="",I2307,G2307)-T2307)/M2307,""))</f>
        <v/>
      </c>
      <c r="P2307" s="50">
        <f>IFERROR((I2307/T2307-1)/N2307,"")</f>
        <v/>
      </c>
      <c r="Q2307" s="46">
        <f>IF(OR(T2307="",I2307&lt;T2307),"",IFERROR(R2307/IF(G2307="",I2307,G2307)-1,""))</f>
        <v/>
      </c>
      <c r="R2307" s="48">
        <f>IF($M2307="","",MAX(IF($G2307="",$I2307,$G2307)*(1/1.1),IF($G2307="",$I2307,$G2307)+(R$2*$M2307)))</f>
        <v/>
      </c>
      <c r="S2307" s="49">
        <f>IF($M2307="","",MAX(IF($G2307="",$I2307,$G2307)*(1/1.1),IF($G2307="",$I2307,$G2307)+(S$2*$M2307)))</f>
        <v/>
      </c>
      <c r="T2307" s="82" t="n"/>
      <c r="U2307" s="47">
        <f>IF(OR($M2307="",$T2307=""),"",$T2307+(U$2*$M2307))</f>
        <v/>
      </c>
      <c r="V2307" s="48">
        <f>IF(OR($M2307="",$T2307=""),"",$T2307+(V$2*$M2307))</f>
        <v/>
      </c>
      <c r="W2307" s="48">
        <f>IF(OR($M2307="",$T2307=""),"",$T2307+(W$2*$M2307))</f>
        <v/>
      </c>
      <c r="X2307" s="49">
        <f>IF(OR($M2307="",$T2307=""),"",$T2307+(X$2*$M2307))</f>
        <v/>
      </c>
      <c r="Y2307" s="47">
        <f>IF(OR($M2307="",$T2307=""),"",$T2307+(Y$2*$M2307))</f>
        <v/>
      </c>
      <c r="Z2307" s="49">
        <f>IF(OR($M2307="",$T2307=""),"",$T2307+(Z$2*$M2307))</f>
        <v/>
      </c>
      <c r="AA2307" s="51">
        <f>IF(OR($M2307="",$T2307=""),"",$T2307+(AA$2*$M2307))</f>
        <v/>
      </c>
      <c r="AB2307" s="48">
        <f>IF(OR($M2307="",$T2307=""),"",$T2307+(AB$2*$M2307))</f>
        <v/>
      </c>
      <c r="AC2307" s="48">
        <f>IF(OR($M2307="",$T2307=""),"",$T2307+(AC$2*$M2307))</f>
        <v/>
      </c>
      <c r="AD2307" s="48">
        <f>IF(OR($M2307="",$T2307=""),"",$T2307+(AD$2*$M2307))</f>
        <v/>
      </c>
      <c r="AE2307" s="49">
        <f>IF(OR($M2307="",$T2307=""),"",$T2307+(AE$2*$M2307))</f>
        <v/>
      </c>
      <c r="AF2307" s="52">
        <f>IF(OR(T2307="",I2307&lt;T2307),"",IFERROR(AVERAGE(T2307+M2307*{7,8,9,10,11})/IF(G2307="",I2307,G2307)-1,""))</f>
        <v/>
      </c>
      <c r="AG2307" s="55">
        <f>IF(OR(T2307="",I2307&lt;T2307),"",IFERROR(AF2307/-(R2307/IF(G2307="",I2307,G2307)-1),""))</f>
        <v/>
      </c>
      <c r="AH2307" s="94" t="n"/>
      <c r="AI2307" s="94" t="n"/>
      <c r="AJ2307" s="94" t="n"/>
      <c r="AK2307" s="94" t="n"/>
      <c r="AL2307" s="84" t="n"/>
    </row>
    <row r="2308">
      <c r="A2308" s="64" t="n"/>
      <c r="B2308" s="65" t="n"/>
      <c r="C2308" s="66" t="n"/>
      <c r="D2308" s="67" t="n"/>
      <c r="E2308" s="68" t="n"/>
      <c r="F2308" s="47">
        <f>IF(A2308="","",IF(MIN(H2308,MAX(J2308:K2308))=0,"",MIN(H2308,MAX(J2308:K2308))))</f>
        <v/>
      </c>
      <c r="G2308" s="74" t="n"/>
      <c r="H2308" s="49">
        <f>IF(M2308="","",IFERROR(ROUND(AVERAGE(T2308+M2308*{7,8,9,10,11})/1.21,4),""))</f>
        <v/>
      </c>
      <c r="I2308" s="76" t="n"/>
      <c r="J2308" s="77" t="n"/>
      <c r="K2308" s="74" t="n"/>
      <c r="L2308" s="78" t="n"/>
      <c r="M2308" s="77" t="n"/>
      <c r="N2308" s="53">
        <f>IF(M2308="","",IFERROR(M2308/I2308,""))</f>
        <v/>
      </c>
      <c r="O2308" s="50">
        <f>IF(A2308="","",IFERROR((IF(G2308="",I2308,G2308)-T2308)/M2308,""))</f>
        <v/>
      </c>
      <c r="P2308" s="50">
        <f>IFERROR((I2308/T2308-1)/N2308,"")</f>
        <v/>
      </c>
      <c r="Q2308" s="46">
        <f>IF(OR(T2308="",I2308&lt;T2308),"",IFERROR(R2308/IF(G2308="",I2308,G2308)-1,""))</f>
        <v/>
      </c>
      <c r="R2308" s="48">
        <f>IF($M2308="","",MAX(IF($G2308="",$I2308,$G2308)*(1/1.1),IF($G2308="",$I2308,$G2308)+(R$2*$M2308)))</f>
        <v/>
      </c>
      <c r="S2308" s="49">
        <f>IF($M2308="","",MAX(IF($G2308="",$I2308,$G2308)*(1/1.1),IF($G2308="",$I2308,$G2308)+(S$2*$M2308)))</f>
        <v/>
      </c>
      <c r="T2308" s="82" t="n"/>
      <c r="U2308" s="47">
        <f>IF(OR($M2308="",$T2308=""),"",$T2308+(U$2*$M2308))</f>
        <v/>
      </c>
      <c r="V2308" s="48">
        <f>IF(OR($M2308="",$T2308=""),"",$T2308+(V$2*$M2308))</f>
        <v/>
      </c>
      <c r="W2308" s="48">
        <f>IF(OR($M2308="",$T2308=""),"",$T2308+(W$2*$M2308))</f>
        <v/>
      </c>
      <c r="X2308" s="49">
        <f>IF(OR($M2308="",$T2308=""),"",$T2308+(X$2*$M2308))</f>
        <v/>
      </c>
      <c r="Y2308" s="47">
        <f>IF(OR($M2308="",$T2308=""),"",$T2308+(Y$2*$M2308))</f>
        <v/>
      </c>
      <c r="Z2308" s="49">
        <f>IF(OR($M2308="",$T2308=""),"",$T2308+(Z$2*$M2308))</f>
        <v/>
      </c>
      <c r="AA2308" s="51">
        <f>IF(OR($M2308="",$T2308=""),"",$T2308+(AA$2*$M2308))</f>
        <v/>
      </c>
      <c r="AB2308" s="48">
        <f>IF(OR($M2308="",$T2308=""),"",$T2308+(AB$2*$M2308))</f>
        <v/>
      </c>
      <c r="AC2308" s="48">
        <f>IF(OR($M2308="",$T2308=""),"",$T2308+(AC$2*$M2308))</f>
        <v/>
      </c>
      <c r="AD2308" s="48">
        <f>IF(OR($M2308="",$T2308=""),"",$T2308+(AD$2*$M2308))</f>
        <v/>
      </c>
      <c r="AE2308" s="49">
        <f>IF(OR($M2308="",$T2308=""),"",$T2308+(AE$2*$M2308))</f>
        <v/>
      </c>
      <c r="AF2308" s="52">
        <f>IF(OR(T2308="",I2308&lt;T2308),"",IFERROR(AVERAGE(T2308+M2308*{7,8,9,10,11})/IF(G2308="",I2308,G2308)-1,""))</f>
        <v/>
      </c>
      <c r="AG2308" s="55">
        <f>IF(OR(T2308="",I2308&lt;T2308),"",IFERROR(AF2308/-(R2308/IF(G2308="",I2308,G2308)-1),""))</f>
        <v/>
      </c>
      <c r="AH2308" s="94" t="n"/>
      <c r="AI2308" s="94" t="n"/>
      <c r="AJ2308" s="94" t="n"/>
      <c r="AK2308" s="94" t="n"/>
      <c r="AL2308" s="84" t="n"/>
    </row>
    <row r="2309">
      <c r="A2309" s="64" t="n"/>
      <c r="B2309" s="65" t="n"/>
      <c r="C2309" s="66" t="n"/>
      <c r="D2309" s="67" t="n"/>
      <c r="E2309" s="68" t="n"/>
      <c r="F2309" s="47">
        <f>IF(A2309="","",IF(MIN(H2309,MAX(J2309:K2309))=0,"",MIN(H2309,MAX(J2309:K2309))))</f>
        <v/>
      </c>
      <c r="G2309" s="74" t="n"/>
      <c r="H2309" s="49">
        <f>IF(M2309="","",IFERROR(ROUND(AVERAGE(T2309+M2309*{7,8,9,10,11})/1.21,4),""))</f>
        <v/>
      </c>
      <c r="I2309" s="76" t="n"/>
      <c r="J2309" s="77" t="n"/>
      <c r="K2309" s="74" t="n"/>
      <c r="L2309" s="78" t="n"/>
      <c r="M2309" s="77" t="n"/>
      <c r="N2309" s="53">
        <f>IF(M2309="","",IFERROR(M2309/I2309,""))</f>
        <v/>
      </c>
      <c r="O2309" s="50">
        <f>IF(A2309="","",IFERROR((IF(G2309="",I2309,G2309)-T2309)/M2309,""))</f>
        <v/>
      </c>
      <c r="P2309" s="50">
        <f>IFERROR((I2309/T2309-1)/N2309,"")</f>
        <v/>
      </c>
      <c r="Q2309" s="46">
        <f>IF(OR(T2309="",I2309&lt;T2309),"",IFERROR(R2309/IF(G2309="",I2309,G2309)-1,""))</f>
        <v/>
      </c>
      <c r="R2309" s="48">
        <f>IF($M2309="","",MAX(IF($G2309="",$I2309,$G2309)*(1/1.1),IF($G2309="",$I2309,$G2309)+(R$2*$M2309)))</f>
        <v/>
      </c>
      <c r="S2309" s="49">
        <f>IF($M2309="","",MAX(IF($G2309="",$I2309,$G2309)*(1/1.1),IF($G2309="",$I2309,$G2309)+(S$2*$M2309)))</f>
        <v/>
      </c>
      <c r="T2309" s="82" t="n"/>
      <c r="U2309" s="47">
        <f>IF(OR($M2309="",$T2309=""),"",$T2309+(U$2*$M2309))</f>
        <v/>
      </c>
      <c r="V2309" s="48">
        <f>IF(OR($M2309="",$T2309=""),"",$T2309+(V$2*$M2309))</f>
        <v/>
      </c>
      <c r="W2309" s="48">
        <f>IF(OR($M2309="",$T2309=""),"",$T2309+(W$2*$M2309))</f>
        <v/>
      </c>
      <c r="X2309" s="49">
        <f>IF(OR($M2309="",$T2309=""),"",$T2309+(X$2*$M2309))</f>
        <v/>
      </c>
      <c r="Y2309" s="47">
        <f>IF(OR($M2309="",$T2309=""),"",$T2309+(Y$2*$M2309))</f>
        <v/>
      </c>
      <c r="Z2309" s="49">
        <f>IF(OR($M2309="",$T2309=""),"",$T2309+(Z$2*$M2309))</f>
        <v/>
      </c>
      <c r="AA2309" s="51">
        <f>IF(OR($M2309="",$T2309=""),"",$T2309+(AA$2*$M2309))</f>
        <v/>
      </c>
      <c r="AB2309" s="48">
        <f>IF(OR($M2309="",$T2309=""),"",$T2309+(AB$2*$M2309))</f>
        <v/>
      </c>
      <c r="AC2309" s="48">
        <f>IF(OR($M2309="",$T2309=""),"",$T2309+(AC$2*$M2309))</f>
        <v/>
      </c>
      <c r="AD2309" s="48">
        <f>IF(OR($M2309="",$T2309=""),"",$T2309+(AD$2*$M2309))</f>
        <v/>
      </c>
      <c r="AE2309" s="49">
        <f>IF(OR($M2309="",$T2309=""),"",$T2309+(AE$2*$M2309))</f>
        <v/>
      </c>
      <c r="AF2309" s="52">
        <f>IF(OR(T2309="",I2309&lt;T2309),"",IFERROR(AVERAGE(T2309+M2309*{7,8,9,10,11})/IF(G2309="",I2309,G2309)-1,""))</f>
        <v/>
      </c>
      <c r="AG2309" s="55">
        <f>IF(OR(T2309="",I2309&lt;T2309),"",IFERROR(AF2309/-(R2309/IF(G2309="",I2309,G2309)-1),""))</f>
        <v/>
      </c>
      <c r="AH2309" s="94" t="n"/>
      <c r="AI2309" s="94" t="n"/>
      <c r="AJ2309" s="94" t="n"/>
      <c r="AK2309" s="94" t="n"/>
      <c r="AL2309" s="84" t="n"/>
    </row>
    <row r="2310">
      <c r="A2310" s="64" t="n"/>
      <c r="B2310" s="65" t="n"/>
      <c r="C2310" s="66" t="n"/>
      <c r="D2310" s="67" t="n"/>
      <c r="E2310" s="68" t="n"/>
      <c r="F2310" s="47">
        <f>IF(A2310="","",IF(MIN(H2310,MAX(J2310:K2310))=0,"",MIN(H2310,MAX(J2310:K2310))))</f>
        <v/>
      </c>
      <c r="G2310" s="74" t="n"/>
      <c r="H2310" s="49">
        <f>IF(M2310="","",IFERROR(ROUND(AVERAGE(T2310+M2310*{7,8,9,10,11})/1.21,4),""))</f>
        <v/>
      </c>
      <c r="I2310" s="76" t="n"/>
      <c r="J2310" s="77" t="n"/>
      <c r="K2310" s="74" t="n"/>
      <c r="L2310" s="78" t="n"/>
      <c r="M2310" s="77" t="n"/>
      <c r="N2310" s="53">
        <f>IF(M2310="","",IFERROR(M2310/I2310,""))</f>
        <v/>
      </c>
      <c r="O2310" s="50">
        <f>IF(A2310="","",IFERROR((IF(G2310="",I2310,G2310)-T2310)/M2310,""))</f>
        <v/>
      </c>
      <c r="P2310" s="50">
        <f>IFERROR((I2310/T2310-1)/N2310,"")</f>
        <v/>
      </c>
      <c r="Q2310" s="46">
        <f>IF(OR(T2310="",I2310&lt;T2310),"",IFERROR(R2310/IF(G2310="",I2310,G2310)-1,""))</f>
        <v/>
      </c>
      <c r="R2310" s="48">
        <f>IF($M2310="","",MAX(IF($G2310="",$I2310,$G2310)*(1/1.1),IF($G2310="",$I2310,$G2310)+(R$2*$M2310)))</f>
        <v/>
      </c>
      <c r="S2310" s="49">
        <f>IF($M2310="","",MAX(IF($G2310="",$I2310,$G2310)*(1/1.1),IF($G2310="",$I2310,$G2310)+(S$2*$M2310)))</f>
        <v/>
      </c>
      <c r="T2310" s="82" t="n"/>
      <c r="U2310" s="47">
        <f>IF(OR($M2310="",$T2310=""),"",$T2310+(U$2*$M2310))</f>
        <v/>
      </c>
      <c r="V2310" s="48">
        <f>IF(OR($M2310="",$T2310=""),"",$T2310+(V$2*$M2310))</f>
        <v/>
      </c>
      <c r="W2310" s="48">
        <f>IF(OR($M2310="",$T2310=""),"",$T2310+(W$2*$M2310))</f>
        <v/>
      </c>
      <c r="X2310" s="49">
        <f>IF(OR($M2310="",$T2310=""),"",$T2310+(X$2*$M2310))</f>
        <v/>
      </c>
      <c r="Y2310" s="47">
        <f>IF(OR($M2310="",$T2310=""),"",$T2310+(Y$2*$M2310))</f>
        <v/>
      </c>
      <c r="Z2310" s="49">
        <f>IF(OR($M2310="",$T2310=""),"",$T2310+(Z$2*$M2310))</f>
        <v/>
      </c>
      <c r="AA2310" s="51">
        <f>IF(OR($M2310="",$T2310=""),"",$T2310+(AA$2*$M2310))</f>
        <v/>
      </c>
      <c r="AB2310" s="48">
        <f>IF(OR($M2310="",$T2310=""),"",$T2310+(AB$2*$M2310))</f>
        <v/>
      </c>
      <c r="AC2310" s="48">
        <f>IF(OR($M2310="",$T2310=""),"",$T2310+(AC$2*$M2310))</f>
        <v/>
      </c>
      <c r="AD2310" s="48">
        <f>IF(OR($M2310="",$T2310=""),"",$T2310+(AD$2*$M2310))</f>
        <v/>
      </c>
      <c r="AE2310" s="49">
        <f>IF(OR($M2310="",$T2310=""),"",$T2310+(AE$2*$M2310))</f>
        <v/>
      </c>
      <c r="AF2310" s="52">
        <f>IF(OR(T2310="",I2310&lt;T2310),"",IFERROR(AVERAGE(T2310+M2310*{7,8,9,10,11})/IF(G2310="",I2310,G2310)-1,""))</f>
        <v/>
      </c>
      <c r="AG2310" s="55">
        <f>IF(OR(T2310="",I2310&lt;T2310),"",IFERROR(AF2310/-(R2310/IF(G2310="",I2310,G2310)-1),""))</f>
        <v/>
      </c>
      <c r="AH2310" s="94" t="n"/>
      <c r="AI2310" s="94" t="n"/>
      <c r="AJ2310" s="94" t="n"/>
      <c r="AK2310" s="94" t="n"/>
      <c r="AL2310" s="84" t="n"/>
    </row>
    <row r="2311">
      <c r="A2311" s="64" t="n"/>
      <c r="B2311" s="65" t="n"/>
      <c r="C2311" s="66" t="n"/>
      <c r="D2311" s="67" t="n"/>
      <c r="E2311" s="68" t="n"/>
      <c r="F2311" s="47">
        <f>IF(A2311="","",IF(MIN(H2311,MAX(J2311:K2311))=0,"",MIN(H2311,MAX(J2311:K2311))))</f>
        <v/>
      </c>
      <c r="G2311" s="74" t="n"/>
      <c r="H2311" s="49">
        <f>IF(M2311="","",IFERROR(ROUND(AVERAGE(T2311+M2311*{7,8,9,10,11})/1.21,4),""))</f>
        <v/>
      </c>
      <c r="I2311" s="76" t="n"/>
      <c r="J2311" s="77" t="n"/>
      <c r="K2311" s="74" t="n"/>
      <c r="L2311" s="78" t="n"/>
      <c r="M2311" s="77" t="n"/>
      <c r="N2311" s="53">
        <f>IF(M2311="","",IFERROR(M2311/I2311,""))</f>
        <v/>
      </c>
      <c r="O2311" s="50">
        <f>IF(A2311="","",IFERROR((IF(G2311="",I2311,G2311)-T2311)/M2311,""))</f>
        <v/>
      </c>
      <c r="P2311" s="50">
        <f>IFERROR((I2311/T2311-1)/N2311,"")</f>
        <v/>
      </c>
      <c r="Q2311" s="46">
        <f>IF(OR(T2311="",I2311&lt;T2311),"",IFERROR(R2311/IF(G2311="",I2311,G2311)-1,""))</f>
        <v/>
      </c>
      <c r="R2311" s="48">
        <f>IF($M2311="","",MAX(IF($G2311="",$I2311,$G2311)*(1/1.1),IF($G2311="",$I2311,$G2311)+(R$2*$M2311)))</f>
        <v/>
      </c>
      <c r="S2311" s="49">
        <f>IF($M2311="","",MAX(IF($G2311="",$I2311,$G2311)*(1/1.1),IF($G2311="",$I2311,$G2311)+(S$2*$M2311)))</f>
        <v/>
      </c>
      <c r="T2311" s="82" t="n"/>
      <c r="U2311" s="47">
        <f>IF(OR($M2311="",$T2311=""),"",$T2311+(U$2*$M2311))</f>
        <v/>
      </c>
      <c r="V2311" s="48">
        <f>IF(OR($M2311="",$T2311=""),"",$T2311+(V$2*$M2311))</f>
        <v/>
      </c>
      <c r="W2311" s="48">
        <f>IF(OR($M2311="",$T2311=""),"",$T2311+(W$2*$M2311))</f>
        <v/>
      </c>
      <c r="X2311" s="49">
        <f>IF(OR($M2311="",$T2311=""),"",$T2311+(X$2*$M2311))</f>
        <v/>
      </c>
      <c r="Y2311" s="47">
        <f>IF(OR($M2311="",$T2311=""),"",$T2311+(Y$2*$M2311))</f>
        <v/>
      </c>
      <c r="Z2311" s="49">
        <f>IF(OR($M2311="",$T2311=""),"",$T2311+(Z$2*$M2311))</f>
        <v/>
      </c>
      <c r="AA2311" s="51">
        <f>IF(OR($M2311="",$T2311=""),"",$T2311+(AA$2*$M2311))</f>
        <v/>
      </c>
      <c r="AB2311" s="48">
        <f>IF(OR($M2311="",$T2311=""),"",$T2311+(AB$2*$M2311))</f>
        <v/>
      </c>
      <c r="AC2311" s="48">
        <f>IF(OR($M2311="",$T2311=""),"",$T2311+(AC$2*$M2311))</f>
        <v/>
      </c>
      <c r="AD2311" s="48">
        <f>IF(OR($M2311="",$T2311=""),"",$T2311+(AD$2*$M2311))</f>
        <v/>
      </c>
      <c r="AE2311" s="49">
        <f>IF(OR($M2311="",$T2311=""),"",$T2311+(AE$2*$M2311))</f>
        <v/>
      </c>
      <c r="AF2311" s="52">
        <f>IF(OR(T2311="",I2311&lt;T2311),"",IFERROR(AVERAGE(T2311+M2311*{7,8,9,10,11})/IF(G2311="",I2311,G2311)-1,""))</f>
        <v/>
      </c>
      <c r="AG2311" s="55">
        <f>IF(OR(T2311="",I2311&lt;T2311),"",IFERROR(AF2311/-(R2311/IF(G2311="",I2311,G2311)-1),""))</f>
        <v/>
      </c>
      <c r="AH2311" s="94" t="n"/>
      <c r="AI2311" s="94" t="n"/>
      <c r="AJ2311" s="94" t="n"/>
      <c r="AK2311" s="94" t="n"/>
      <c r="AL2311" s="84" t="n"/>
    </row>
    <row r="2312">
      <c r="A2312" s="64" t="n"/>
      <c r="B2312" s="65" t="n"/>
      <c r="C2312" s="66" t="n"/>
      <c r="D2312" s="67" t="n"/>
      <c r="E2312" s="68" t="n"/>
      <c r="F2312" s="47">
        <f>IF(A2312="","",IF(MIN(H2312,MAX(J2312:K2312))=0,"",MIN(H2312,MAX(J2312:K2312))))</f>
        <v/>
      </c>
      <c r="G2312" s="74" t="n"/>
      <c r="H2312" s="49">
        <f>IF(M2312="","",IFERROR(ROUND(AVERAGE(T2312+M2312*{7,8,9,10,11})/1.21,4),""))</f>
        <v/>
      </c>
      <c r="I2312" s="76" t="n"/>
      <c r="J2312" s="77" t="n"/>
      <c r="K2312" s="74" t="n"/>
      <c r="L2312" s="78" t="n"/>
      <c r="M2312" s="77" t="n"/>
      <c r="N2312" s="53">
        <f>IF(M2312="","",IFERROR(M2312/I2312,""))</f>
        <v/>
      </c>
      <c r="O2312" s="50">
        <f>IF(A2312="","",IFERROR((IF(G2312="",I2312,G2312)-T2312)/M2312,""))</f>
        <v/>
      </c>
      <c r="P2312" s="50">
        <f>IFERROR((I2312/T2312-1)/N2312,"")</f>
        <v/>
      </c>
      <c r="Q2312" s="46">
        <f>IF(OR(T2312="",I2312&lt;T2312),"",IFERROR(R2312/IF(G2312="",I2312,G2312)-1,""))</f>
        <v/>
      </c>
      <c r="R2312" s="48">
        <f>IF($M2312="","",MAX(IF($G2312="",$I2312,$G2312)*(1/1.1),IF($G2312="",$I2312,$G2312)+(R$2*$M2312)))</f>
        <v/>
      </c>
      <c r="S2312" s="49">
        <f>IF($M2312="","",MAX(IF($G2312="",$I2312,$G2312)*(1/1.1),IF($G2312="",$I2312,$G2312)+(S$2*$M2312)))</f>
        <v/>
      </c>
      <c r="T2312" s="82" t="n"/>
      <c r="U2312" s="47">
        <f>IF(OR($M2312="",$T2312=""),"",$T2312+(U$2*$M2312))</f>
        <v/>
      </c>
      <c r="V2312" s="48">
        <f>IF(OR($M2312="",$T2312=""),"",$T2312+(V$2*$M2312))</f>
        <v/>
      </c>
      <c r="W2312" s="48">
        <f>IF(OR($M2312="",$T2312=""),"",$T2312+(W$2*$M2312))</f>
        <v/>
      </c>
      <c r="X2312" s="49">
        <f>IF(OR($M2312="",$T2312=""),"",$T2312+(X$2*$M2312))</f>
        <v/>
      </c>
      <c r="Y2312" s="47">
        <f>IF(OR($M2312="",$T2312=""),"",$T2312+(Y$2*$M2312))</f>
        <v/>
      </c>
      <c r="Z2312" s="49">
        <f>IF(OR($M2312="",$T2312=""),"",$T2312+(Z$2*$M2312))</f>
        <v/>
      </c>
      <c r="AA2312" s="51">
        <f>IF(OR($M2312="",$T2312=""),"",$T2312+(AA$2*$M2312))</f>
        <v/>
      </c>
      <c r="AB2312" s="48">
        <f>IF(OR($M2312="",$T2312=""),"",$T2312+(AB$2*$M2312))</f>
        <v/>
      </c>
      <c r="AC2312" s="48">
        <f>IF(OR($M2312="",$T2312=""),"",$T2312+(AC$2*$M2312))</f>
        <v/>
      </c>
      <c r="AD2312" s="48">
        <f>IF(OR($M2312="",$T2312=""),"",$T2312+(AD$2*$M2312))</f>
        <v/>
      </c>
      <c r="AE2312" s="49">
        <f>IF(OR($M2312="",$T2312=""),"",$T2312+(AE$2*$M2312))</f>
        <v/>
      </c>
      <c r="AF2312" s="52">
        <f>IF(OR(T2312="",I2312&lt;T2312),"",IFERROR(AVERAGE(T2312+M2312*{7,8,9,10,11})/IF(G2312="",I2312,G2312)-1,""))</f>
        <v/>
      </c>
      <c r="AG2312" s="55">
        <f>IF(OR(T2312="",I2312&lt;T2312),"",IFERROR(AF2312/-(R2312/IF(G2312="",I2312,G2312)-1),""))</f>
        <v/>
      </c>
      <c r="AH2312" s="94" t="n"/>
      <c r="AI2312" s="94" t="n"/>
      <c r="AJ2312" s="94" t="n"/>
      <c r="AK2312" s="94" t="n"/>
      <c r="AL2312" s="84" t="n"/>
    </row>
    <row r="2313">
      <c r="A2313" s="64" t="n"/>
      <c r="B2313" s="65" t="n"/>
      <c r="C2313" s="66" t="n"/>
      <c r="D2313" s="67" t="n"/>
      <c r="E2313" s="68" t="n"/>
      <c r="F2313" s="47">
        <f>IF(A2313="","",IF(MIN(H2313,MAX(J2313:K2313))=0,"",MIN(H2313,MAX(J2313:K2313))))</f>
        <v/>
      </c>
      <c r="G2313" s="74" t="n"/>
      <c r="H2313" s="49">
        <f>IF(M2313="","",IFERROR(ROUND(AVERAGE(T2313+M2313*{7,8,9,10,11})/1.21,4),""))</f>
        <v/>
      </c>
      <c r="I2313" s="76" t="n"/>
      <c r="J2313" s="77" t="n"/>
      <c r="K2313" s="74" t="n"/>
      <c r="L2313" s="78" t="n"/>
      <c r="M2313" s="77" t="n"/>
      <c r="N2313" s="53">
        <f>IF(M2313="","",IFERROR(M2313/I2313,""))</f>
        <v/>
      </c>
      <c r="O2313" s="50">
        <f>IF(A2313="","",IFERROR((IF(G2313="",I2313,G2313)-T2313)/M2313,""))</f>
        <v/>
      </c>
      <c r="P2313" s="50">
        <f>IFERROR((I2313/T2313-1)/N2313,"")</f>
        <v/>
      </c>
      <c r="Q2313" s="46">
        <f>IF(OR(T2313="",I2313&lt;T2313),"",IFERROR(R2313/IF(G2313="",I2313,G2313)-1,""))</f>
        <v/>
      </c>
      <c r="R2313" s="48">
        <f>IF($M2313="","",MAX(IF($G2313="",$I2313,$G2313)*(1/1.1),IF($G2313="",$I2313,$G2313)+(R$2*$M2313)))</f>
        <v/>
      </c>
      <c r="S2313" s="49">
        <f>IF($M2313="","",MAX(IF($G2313="",$I2313,$G2313)*(1/1.1),IF($G2313="",$I2313,$G2313)+(S$2*$M2313)))</f>
        <v/>
      </c>
      <c r="T2313" s="82" t="n"/>
      <c r="U2313" s="47">
        <f>IF(OR($M2313="",$T2313=""),"",$T2313+(U$2*$M2313))</f>
        <v/>
      </c>
      <c r="V2313" s="48">
        <f>IF(OR($M2313="",$T2313=""),"",$T2313+(V$2*$M2313))</f>
        <v/>
      </c>
      <c r="W2313" s="48">
        <f>IF(OR($M2313="",$T2313=""),"",$T2313+(W$2*$M2313))</f>
        <v/>
      </c>
      <c r="X2313" s="49">
        <f>IF(OR($M2313="",$T2313=""),"",$T2313+(X$2*$M2313))</f>
        <v/>
      </c>
      <c r="Y2313" s="47">
        <f>IF(OR($M2313="",$T2313=""),"",$T2313+(Y$2*$M2313))</f>
        <v/>
      </c>
      <c r="Z2313" s="49">
        <f>IF(OR($M2313="",$T2313=""),"",$T2313+(Z$2*$M2313))</f>
        <v/>
      </c>
      <c r="AA2313" s="51">
        <f>IF(OR($M2313="",$T2313=""),"",$T2313+(AA$2*$M2313))</f>
        <v/>
      </c>
      <c r="AB2313" s="48">
        <f>IF(OR($M2313="",$T2313=""),"",$T2313+(AB$2*$M2313))</f>
        <v/>
      </c>
      <c r="AC2313" s="48">
        <f>IF(OR($M2313="",$T2313=""),"",$T2313+(AC$2*$M2313))</f>
        <v/>
      </c>
      <c r="AD2313" s="48">
        <f>IF(OR($M2313="",$T2313=""),"",$T2313+(AD$2*$M2313))</f>
        <v/>
      </c>
      <c r="AE2313" s="49">
        <f>IF(OR($M2313="",$T2313=""),"",$T2313+(AE$2*$M2313))</f>
        <v/>
      </c>
      <c r="AF2313" s="52">
        <f>IF(OR(T2313="",I2313&lt;T2313),"",IFERROR(AVERAGE(T2313+M2313*{7,8,9,10,11})/IF(G2313="",I2313,G2313)-1,""))</f>
        <v/>
      </c>
      <c r="AG2313" s="55">
        <f>IF(OR(T2313="",I2313&lt;T2313),"",IFERROR(AF2313/-(R2313/IF(G2313="",I2313,G2313)-1),""))</f>
        <v/>
      </c>
      <c r="AH2313" s="94" t="n"/>
      <c r="AI2313" s="94" t="n"/>
      <c r="AJ2313" s="94" t="n"/>
      <c r="AK2313" s="94" t="n"/>
      <c r="AL2313" s="84" t="n"/>
    </row>
    <row r="2314">
      <c r="A2314" s="64" t="n"/>
      <c r="B2314" s="65" t="n"/>
      <c r="C2314" s="66" t="n"/>
      <c r="D2314" s="67" t="n"/>
      <c r="E2314" s="68" t="n"/>
      <c r="F2314" s="47">
        <f>IF(A2314="","",IF(MIN(H2314,MAX(J2314:K2314))=0,"",MIN(H2314,MAX(J2314:K2314))))</f>
        <v/>
      </c>
      <c r="G2314" s="74" t="n"/>
      <c r="H2314" s="49">
        <f>IF(M2314="","",IFERROR(ROUND(AVERAGE(T2314+M2314*{7,8,9,10,11})/1.21,4),""))</f>
        <v/>
      </c>
      <c r="I2314" s="76" t="n"/>
      <c r="J2314" s="77" t="n"/>
      <c r="K2314" s="74" t="n"/>
      <c r="L2314" s="78" t="n"/>
      <c r="M2314" s="77" t="n"/>
      <c r="N2314" s="53">
        <f>IF(M2314="","",IFERROR(M2314/I2314,""))</f>
        <v/>
      </c>
      <c r="O2314" s="50">
        <f>IF(A2314="","",IFERROR((IF(G2314="",I2314,G2314)-T2314)/M2314,""))</f>
        <v/>
      </c>
      <c r="P2314" s="50">
        <f>IFERROR((I2314/T2314-1)/N2314,"")</f>
        <v/>
      </c>
      <c r="Q2314" s="46">
        <f>IF(OR(T2314="",I2314&lt;T2314),"",IFERROR(R2314/IF(G2314="",I2314,G2314)-1,""))</f>
        <v/>
      </c>
      <c r="R2314" s="48">
        <f>IF($M2314="","",MAX(IF($G2314="",$I2314,$G2314)*(1/1.1),IF($G2314="",$I2314,$G2314)+(R$2*$M2314)))</f>
        <v/>
      </c>
      <c r="S2314" s="49">
        <f>IF($M2314="","",MAX(IF($G2314="",$I2314,$G2314)*(1/1.1),IF($G2314="",$I2314,$G2314)+(S$2*$M2314)))</f>
        <v/>
      </c>
      <c r="T2314" s="82" t="n"/>
      <c r="U2314" s="47">
        <f>IF(OR($M2314="",$T2314=""),"",$T2314+(U$2*$M2314))</f>
        <v/>
      </c>
      <c r="V2314" s="48">
        <f>IF(OR($M2314="",$T2314=""),"",$T2314+(V$2*$M2314))</f>
        <v/>
      </c>
      <c r="W2314" s="48">
        <f>IF(OR($M2314="",$T2314=""),"",$T2314+(W$2*$M2314))</f>
        <v/>
      </c>
      <c r="X2314" s="49">
        <f>IF(OR($M2314="",$T2314=""),"",$T2314+(X$2*$M2314))</f>
        <v/>
      </c>
      <c r="Y2314" s="47">
        <f>IF(OR($M2314="",$T2314=""),"",$T2314+(Y$2*$M2314))</f>
        <v/>
      </c>
      <c r="Z2314" s="49">
        <f>IF(OR($M2314="",$T2314=""),"",$T2314+(Z$2*$M2314))</f>
        <v/>
      </c>
      <c r="AA2314" s="51">
        <f>IF(OR($M2314="",$T2314=""),"",$T2314+(AA$2*$M2314))</f>
        <v/>
      </c>
      <c r="AB2314" s="48">
        <f>IF(OR($M2314="",$T2314=""),"",$T2314+(AB$2*$M2314))</f>
        <v/>
      </c>
      <c r="AC2314" s="48">
        <f>IF(OR($M2314="",$T2314=""),"",$T2314+(AC$2*$M2314))</f>
        <v/>
      </c>
      <c r="AD2314" s="48">
        <f>IF(OR($M2314="",$T2314=""),"",$T2314+(AD$2*$M2314))</f>
        <v/>
      </c>
      <c r="AE2314" s="49">
        <f>IF(OR($M2314="",$T2314=""),"",$T2314+(AE$2*$M2314))</f>
        <v/>
      </c>
      <c r="AF2314" s="52">
        <f>IF(OR(T2314="",I2314&lt;T2314),"",IFERROR(AVERAGE(T2314+M2314*{7,8,9,10,11})/IF(G2314="",I2314,G2314)-1,""))</f>
        <v/>
      </c>
      <c r="AG2314" s="55">
        <f>IF(OR(T2314="",I2314&lt;T2314),"",IFERROR(AF2314/-(R2314/IF(G2314="",I2314,G2314)-1),""))</f>
        <v/>
      </c>
      <c r="AH2314" s="94" t="n"/>
      <c r="AI2314" s="94" t="n"/>
      <c r="AJ2314" s="94" t="n"/>
      <c r="AK2314" s="94" t="n"/>
      <c r="AL2314" s="84" t="n"/>
    </row>
    <row r="2315">
      <c r="A2315" s="64" t="n"/>
      <c r="B2315" s="65" t="n"/>
      <c r="C2315" s="66" t="n"/>
      <c r="D2315" s="67" t="n"/>
      <c r="E2315" s="68" t="n"/>
      <c r="F2315" s="47">
        <f>IF(A2315="","",IF(MIN(H2315,MAX(J2315:K2315))=0,"",MIN(H2315,MAX(J2315:K2315))))</f>
        <v/>
      </c>
      <c r="G2315" s="74" t="n"/>
      <c r="H2315" s="49">
        <f>IF(M2315="","",IFERROR(ROUND(AVERAGE(T2315+M2315*{7,8,9,10,11})/1.21,4),""))</f>
        <v/>
      </c>
      <c r="I2315" s="76" t="n"/>
      <c r="J2315" s="77" t="n"/>
      <c r="K2315" s="74" t="n"/>
      <c r="L2315" s="78" t="n"/>
      <c r="M2315" s="77" t="n"/>
      <c r="N2315" s="53">
        <f>IF(M2315="","",IFERROR(M2315/I2315,""))</f>
        <v/>
      </c>
      <c r="O2315" s="50">
        <f>IF(A2315="","",IFERROR((IF(G2315="",I2315,G2315)-T2315)/M2315,""))</f>
        <v/>
      </c>
      <c r="P2315" s="50">
        <f>IFERROR((I2315/T2315-1)/N2315,"")</f>
        <v/>
      </c>
      <c r="Q2315" s="46">
        <f>IF(OR(T2315="",I2315&lt;T2315),"",IFERROR(R2315/IF(G2315="",I2315,G2315)-1,""))</f>
        <v/>
      </c>
      <c r="R2315" s="48">
        <f>IF($M2315="","",MAX(IF($G2315="",$I2315,$G2315)*(1/1.1),IF($G2315="",$I2315,$G2315)+(R$2*$M2315)))</f>
        <v/>
      </c>
      <c r="S2315" s="49">
        <f>IF($M2315="","",MAX(IF($G2315="",$I2315,$G2315)*(1/1.1),IF($G2315="",$I2315,$G2315)+(S$2*$M2315)))</f>
        <v/>
      </c>
      <c r="T2315" s="82" t="n"/>
      <c r="U2315" s="47">
        <f>IF(OR($M2315="",$T2315=""),"",$T2315+(U$2*$M2315))</f>
        <v/>
      </c>
      <c r="V2315" s="48">
        <f>IF(OR($M2315="",$T2315=""),"",$T2315+(V$2*$M2315))</f>
        <v/>
      </c>
      <c r="W2315" s="48">
        <f>IF(OR($M2315="",$T2315=""),"",$T2315+(W$2*$M2315))</f>
        <v/>
      </c>
      <c r="X2315" s="49">
        <f>IF(OR($M2315="",$T2315=""),"",$T2315+(X$2*$M2315))</f>
        <v/>
      </c>
      <c r="Y2315" s="47">
        <f>IF(OR($M2315="",$T2315=""),"",$T2315+(Y$2*$M2315))</f>
        <v/>
      </c>
      <c r="Z2315" s="49">
        <f>IF(OR($M2315="",$T2315=""),"",$T2315+(Z$2*$M2315))</f>
        <v/>
      </c>
      <c r="AA2315" s="51">
        <f>IF(OR($M2315="",$T2315=""),"",$T2315+(AA$2*$M2315))</f>
        <v/>
      </c>
      <c r="AB2315" s="48">
        <f>IF(OR($M2315="",$T2315=""),"",$T2315+(AB$2*$M2315))</f>
        <v/>
      </c>
      <c r="AC2315" s="48">
        <f>IF(OR($M2315="",$T2315=""),"",$T2315+(AC$2*$M2315))</f>
        <v/>
      </c>
      <c r="AD2315" s="48">
        <f>IF(OR($M2315="",$T2315=""),"",$T2315+(AD$2*$M2315))</f>
        <v/>
      </c>
      <c r="AE2315" s="49">
        <f>IF(OR($M2315="",$T2315=""),"",$T2315+(AE$2*$M2315))</f>
        <v/>
      </c>
      <c r="AF2315" s="52">
        <f>IF(OR(T2315="",I2315&lt;T2315),"",IFERROR(AVERAGE(T2315+M2315*{7,8,9,10,11})/IF(G2315="",I2315,G2315)-1,""))</f>
        <v/>
      </c>
      <c r="AG2315" s="55">
        <f>IF(OR(T2315="",I2315&lt;T2315),"",IFERROR(AF2315/-(R2315/IF(G2315="",I2315,G2315)-1),""))</f>
        <v/>
      </c>
      <c r="AH2315" s="94" t="n"/>
      <c r="AI2315" s="94" t="n"/>
      <c r="AJ2315" s="94" t="n"/>
      <c r="AK2315" s="94" t="n"/>
      <c r="AL2315" s="84" t="n"/>
    </row>
    <row r="2316">
      <c r="A2316" s="64" t="n"/>
      <c r="B2316" s="65" t="n"/>
      <c r="C2316" s="66" t="n"/>
      <c r="D2316" s="67" t="n"/>
      <c r="E2316" s="68" t="n"/>
      <c r="F2316" s="47">
        <f>IF(A2316="","",IF(MIN(H2316,MAX(J2316:K2316))=0,"",MIN(H2316,MAX(J2316:K2316))))</f>
        <v/>
      </c>
      <c r="G2316" s="74" t="n"/>
      <c r="H2316" s="49">
        <f>IF(M2316="","",IFERROR(ROUND(AVERAGE(T2316+M2316*{7,8,9,10,11})/1.21,4),""))</f>
        <v/>
      </c>
      <c r="I2316" s="76" t="n"/>
      <c r="J2316" s="77" t="n"/>
      <c r="K2316" s="74" t="n"/>
      <c r="L2316" s="78" t="n"/>
      <c r="M2316" s="77" t="n"/>
      <c r="N2316" s="53">
        <f>IF(M2316="","",IFERROR(M2316/I2316,""))</f>
        <v/>
      </c>
      <c r="O2316" s="50">
        <f>IF(A2316="","",IFERROR((IF(G2316="",I2316,G2316)-T2316)/M2316,""))</f>
        <v/>
      </c>
      <c r="P2316" s="50">
        <f>IFERROR((I2316/T2316-1)/N2316,"")</f>
        <v/>
      </c>
      <c r="Q2316" s="46">
        <f>IF(OR(T2316="",I2316&lt;T2316),"",IFERROR(R2316/IF(G2316="",I2316,G2316)-1,""))</f>
        <v/>
      </c>
      <c r="R2316" s="48">
        <f>IF($M2316="","",MAX(IF($G2316="",$I2316,$G2316)*(1/1.1),IF($G2316="",$I2316,$G2316)+(R$2*$M2316)))</f>
        <v/>
      </c>
      <c r="S2316" s="49">
        <f>IF($M2316="","",MAX(IF($G2316="",$I2316,$G2316)*(1/1.1),IF($G2316="",$I2316,$G2316)+(S$2*$M2316)))</f>
        <v/>
      </c>
      <c r="T2316" s="82" t="n"/>
      <c r="U2316" s="47">
        <f>IF(OR($M2316="",$T2316=""),"",$T2316+(U$2*$M2316))</f>
        <v/>
      </c>
      <c r="V2316" s="48">
        <f>IF(OR($M2316="",$T2316=""),"",$T2316+(V$2*$M2316))</f>
        <v/>
      </c>
      <c r="W2316" s="48">
        <f>IF(OR($M2316="",$T2316=""),"",$T2316+(W$2*$M2316))</f>
        <v/>
      </c>
      <c r="X2316" s="49">
        <f>IF(OR($M2316="",$T2316=""),"",$T2316+(X$2*$M2316))</f>
        <v/>
      </c>
      <c r="Y2316" s="47">
        <f>IF(OR($M2316="",$T2316=""),"",$T2316+(Y$2*$M2316))</f>
        <v/>
      </c>
      <c r="Z2316" s="49">
        <f>IF(OR($M2316="",$T2316=""),"",$T2316+(Z$2*$M2316))</f>
        <v/>
      </c>
      <c r="AA2316" s="51">
        <f>IF(OR($M2316="",$T2316=""),"",$T2316+(AA$2*$M2316))</f>
        <v/>
      </c>
      <c r="AB2316" s="48">
        <f>IF(OR($M2316="",$T2316=""),"",$T2316+(AB$2*$M2316))</f>
        <v/>
      </c>
      <c r="AC2316" s="48">
        <f>IF(OR($M2316="",$T2316=""),"",$T2316+(AC$2*$M2316))</f>
        <v/>
      </c>
      <c r="AD2316" s="48">
        <f>IF(OR($M2316="",$T2316=""),"",$T2316+(AD$2*$M2316))</f>
        <v/>
      </c>
      <c r="AE2316" s="49">
        <f>IF(OR($M2316="",$T2316=""),"",$T2316+(AE$2*$M2316))</f>
        <v/>
      </c>
      <c r="AF2316" s="52">
        <f>IF(OR(T2316="",I2316&lt;T2316),"",IFERROR(AVERAGE(T2316+M2316*{7,8,9,10,11})/IF(G2316="",I2316,G2316)-1,""))</f>
        <v/>
      </c>
      <c r="AG2316" s="55">
        <f>IF(OR(T2316="",I2316&lt;T2316),"",IFERROR(AF2316/-(R2316/IF(G2316="",I2316,G2316)-1),""))</f>
        <v/>
      </c>
      <c r="AH2316" s="94" t="n"/>
      <c r="AI2316" s="94" t="n"/>
      <c r="AJ2316" s="94" t="n"/>
      <c r="AK2316" s="94" t="n"/>
      <c r="AL2316" s="84" t="n"/>
    </row>
    <row r="2317">
      <c r="A2317" s="64" t="n"/>
      <c r="B2317" s="65" t="n"/>
      <c r="C2317" s="66" t="n"/>
      <c r="D2317" s="67" t="n"/>
      <c r="E2317" s="68" t="n"/>
      <c r="F2317" s="47">
        <f>IF(A2317="","",IF(MIN(H2317,MAX(J2317:K2317))=0,"",MIN(H2317,MAX(J2317:K2317))))</f>
        <v/>
      </c>
      <c r="G2317" s="74" t="n"/>
      <c r="H2317" s="49">
        <f>IF(M2317="","",IFERROR(ROUND(AVERAGE(T2317+M2317*{7,8,9,10,11})/1.21,4),""))</f>
        <v/>
      </c>
      <c r="I2317" s="76" t="n"/>
      <c r="J2317" s="77" t="n"/>
      <c r="K2317" s="74" t="n"/>
      <c r="L2317" s="78" t="n"/>
      <c r="M2317" s="77" t="n"/>
      <c r="N2317" s="53">
        <f>IF(M2317="","",IFERROR(M2317/I2317,""))</f>
        <v/>
      </c>
      <c r="O2317" s="50">
        <f>IF(A2317="","",IFERROR((IF(G2317="",I2317,G2317)-T2317)/M2317,""))</f>
        <v/>
      </c>
      <c r="P2317" s="50">
        <f>IFERROR((I2317/T2317-1)/N2317,"")</f>
        <v/>
      </c>
      <c r="Q2317" s="46">
        <f>IF(OR(T2317="",I2317&lt;T2317),"",IFERROR(R2317/IF(G2317="",I2317,G2317)-1,""))</f>
        <v/>
      </c>
      <c r="R2317" s="48">
        <f>IF($M2317="","",MAX(IF($G2317="",$I2317,$G2317)*(1/1.1),IF($G2317="",$I2317,$G2317)+(R$2*$M2317)))</f>
        <v/>
      </c>
      <c r="S2317" s="49">
        <f>IF($M2317="","",MAX(IF($G2317="",$I2317,$G2317)*(1/1.1),IF($G2317="",$I2317,$G2317)+(S$2*$M2317)))</f>
        <v/>
      </c>
      <c r="T2317" s="82" t="n"/>
      <c r="U2317" s="47">
        <f>IF(OR($M2317="",$T2317=""),"",$T2317+(U$2*$M2317))</f>
        <v/>
      </c>
      <c r="V2317" s="48">
        <f>IF(OR($M2317="",$T2317=""),"",$T2317+(V$2*$M2317))</f>
        <v/>
      </c>
      <c r="W2317" s="48">
        <f>IF(OR($M2317="",$T2317=""),"",$T2317+(W$2*$M2317))</f>
        <v/>
      </c>
      <c r="X2317" s="49">
        <f>IF(OR($M2317="",$T2317=""),"",$T2317+(X$2*$M2317))</f>
        <v/>
      </c>
      <c r="Y2317" s="47">
        <f>IF(OR($M2317="",$T2317=""),"",$T2317+(Y$2*$M2317))</f>
        <v/>
      </c>
      <c r="Z2317" s="49">
        <f>IF(OR($M2317="",$T2317=""),"",$T2317+(Z$2*$M2317))</f>
        <v/>
      </c>
      <c r="AA2317" s="51">
        <f>IF(OR($M2317="",$T2317=""),"",$T2317+(AA$2*$M2317))</f>
        <v/>
      </c>
      <c r="AB2317" s="48">
        <f>IF(OR($M2317="",$T2317=""),"",$T2317+(AB$2*$M2317))</f>
        <v/>
      </c>
      <c r="AC2317" s="48">
        <f>IF(OR($M2317="",$T2317=""),"",$T2317+(AC$2*$M2317))</f>
        <v/>
      </c>
      <c r="AD2317" s="48">
        <f>IF(OR($M2317="",$T2317=""),"",$T2317+(AD$2*$M2317))</f>
        <v/>
      </c>
      <c r="AE2317" s="49">
        <f>IF(OR($M2317="",$T2317=""),"",$T2317+(AE$2*$M2317))</f>
        <v/>
      </c>
      <c r="AF2317" s="52">
        <f>IF(OR(T2317="",I2317&lt;T2317),"",IFERROR(AVERAGE(T2317+M2317*{7,8,9,10,11})/IF(G2317="",I2317,G2317)-1,""))</f>
        <v/>
      </c>
      <c r="AG2317" s="55">
        <f>IF(OR(T2317="",I2317&lt;T2317),"",IFERROR(AF2317/-(R2317/IF(G2317="",I2317,G2317)-1),""))</f>
        <v/>
      </c>
      <c r="AH2317" s="94" t="n"/>
      <c r="AI2317" s="94" t="n"/>
      <c r="AJ2317" s="94" t="n"/>
      <c r="AK2317" s="94" t="n"/>
      <c r="AL2317" s="84" t="n"/>
    </row>
    <row r="2318">
      <c r="A2318" s="64" t="n"/>
      <c r="B2318" s="65" t="n"/>
      <c r="C2318" s="66" t="n"/>
      <c r="D2318" s="67" t="n"/>
      <c r="E2318" s="68" t="n"/>
      <c r="F2318" s="47">
        <f>IF(A2318="","",IF(MIN(H2318,MAX(J2318:K2318))=0,"",MIN(H2318,MAX(J2318:K2318))))</f>
        <v/>
      </c>
      <c r="G2318" s="74" t="n"/>
      <c r="H2318" s="49">
        <f>IF(M2318="","",IFERROR(ROUND(AVERAGE(T2318+M2318*{7,8,9,10,11})/1.21,4),""))</f>
        <v/>
      </c>
      <c r="I2318" s="76" t="n"/>
      <c r="J2318" s="77" t="n"/>
      <c r="K2318" s="74" t="n"/>
      <c r="L2318" s="78" t="n"/>
      <c r="M2318" s="77" t="n"/>
      <c r="N2318" s="53">
        <f>IF(M2318="","",IFERROR(M2318/I2318,""))</f>
        <v/>
      </c>
      <c r="O2318" s="50">
        <f>IF(A2318="","",IFERROR((IF(G2318="",I2318,G2318)-T2318)/M2318,""))</f>
        <v/>
      </c>
      <c r="P2318" s="50">
        <f>IFERROR((I2318/T2318-1)/N2318,"")</f>
        <v/>
      </c>
      <c r="Q2318" s="46">
        <f>IF(OR(T2318="",I2318&lt;T2318),"",IFERROR(R2318/IF(G2318="",I2318,G2318)-1,""))</f>
        <v/>
      </c>
      <c r="R2318" s="48">
        <f>IF($M2318="","",MAX(IF($G2318="",$I2318,$G2318)*(1/1.1),IF($G2318="",$I2318,$G2318)+(R$2*$M2318)))</f>
        <v/>
      </c>
      <c r="S2318" s="49">
        <f>IF($M2318="","",MAX(IF($G2318="",$I2318,$G2318)*(1/1.1),IF($G2318="",$I2318,$G2318)+(S$2*$M2318)))</f>
        <v/>
      </c>
      <c r="T2318" s="82" t="n"/>
      <c r="U2318" s="47">
        <f>IF(OR($M2318="",$T2318=""),"",$T2318+(U$2*$M2318))</f>
        <v/>
      </c>
      <c r="V2318" s="48">
        <f>IF(OR($M2318="",$T2318=""),"",$T2318+(V$2*$M2318))</f>
        <v/>
      </c>
      <c r="W2318" s="48">
        <f>IF(OR($M2318="",$T2318=""),"",$T2318+(W$2*$M2318))</f>
        <v/>
      </c>
      <c r="X2318" s="49">
        <f>IF(OR($M2318="",$T2318=""),"",$T2318+(X$2*$M2318))</f>
        <v/>
      </c>
      <c r="Y2318" s="47">
        <f>IF(OR($M2318="",$T2318=""),"",$T2318+(Y$2*$M2318))</f>
        <v/>
      </c>
      <c r="Z2318" s="49">
        <f>IF(OR($M2318="",$T2318=""),"",$T2318+(Z$2*$M2318))</f>
        <v/>
      </c>
      <c r="AA2318" s="51">
        <f>IF(OR($M2318="",$T2318=""),"",$T2318+(AA$2*$M2318))</f>
        <v/>
      </c>
      <c r="AB2318" s="48">
        <f>IF(OR($M2318="",$T2318=""),"",$T2318+(AB$2*$M2318))</f>
        <v/>
      </c>
      <c r="AC2318" s="48">
        <f>IF(OR($M2318="",$T2318=""),"",$T2318+(AC$2*$M2318))</f>
        <v/>
      </c>
      <c r="AD2318" s="48">
        <f>IF(OR($M2318="",$T2318=""),"",$T2318+(AD$2*$M2318))</f>
        <v/>
      </c>
      <c r="AE2318" s="49">
        <f>IF(OR($M2318="",$T2318=""),"",$T2318+(AE$2*$M2318))</f>
        <v/>
      </c>
      <c r="AF2318" s="52">
        <f>IF(OR(T2318="",I2318&lt;T2318),"",IFERROR(AVERAGE(T2318+M2318*{7,8,9,10,11})/IF(G2318="",I2318,G2318)-1,""))</f>
        <v/>
      </c>
      <c r="AG2318" s="55">
        <f>IF(OR(T2318="",I2318&lt;T2318),"",IFERROR(AF2318/-(R2318/IF(G2318="",I2318,G2318)-1),""))</f>
        <v/>
      </c>
      <c r="AH2318" s="94" t="n"/>
      <c r="AI2318" s="94" t="n"/>
      <c r="AJ2318" s="94" t="n"/>
      <c r="AK2318" s="94" t="n"/>
      <c r="AL2318" s="84" t="n"/>
    </row>
    <row r="2319">
      <c r="A2319" s="64" t="n"/>
      <c r="B2319" s="65" t="n"/>
      <c r="C2319" s="66" t="n"/>
      <c r="D2319" s="67" t="n"/>
      <c r="E2319" s="68" t="n"/>
      <c r="F2319" s="47">
        <f>IF(A2319="","",IF(MIN(H2319,MAX(J2319:K2319))=0,"",MIN(H2319,MAX(J2319:K2319))))</f>
        <v/>
      </c>
      <c r="G2319" s="74" t="n"/>
      <c r="H2319" s="49">
        <f>IF(M2319="","",IFERROR(ROUND(AVERAGE(T2319+M2319*{7,8,9,10,11})/1.21,4),""))</f>
        <v/>
      </c>
      <c r="I2319" s="76" t="n"/>
      <c r="J2319" s="77" t="n"/>
      <c r="K2319" s="74" t="n"/>
      <c r="L2319" s="78" t="n"/>
      <c r="M2319" s="77" t="n"/>
      <c r="N2319" s="53">
        <f>IF(M2319="","",IFERROR(M2319/I2319,""))</f>
        <v/>
      </c>
      <c r="O2319" s="50">
        <f>IF(A2319="","",IFERROR((IF(G2319="",I2319,G2319)-T2319)/M2319,""))</f>
        <v/>
      </c>
      <c r="P2319" s="50">
        <f>IFERROR((I2319/T2319-1)/N2319,"")</f>
        <v/>
      </c>
      <c r="Q2319" s="46">
        <f>IF(OR(T2319="",I2319&lt;T2319),"",IFERROR(R2319/IF(G2319="",I2319,G2319)-1,""))</f>
        <v/>
      </c>
      <c r="R2319" s="48">
        <f>IF($M2319="","",MAX(IF($G2319="",$I2319,$G2319)*(1/1.1),IF($G2319="",$I2319,$G2319)+(R$2*$M2319)))</f>
        <v/>
      </c>
      <c r="S2319" s="49">
        <f>IF($M2319="","",MAX(IF($G2319="",$I2319,$G2319)*(1/1.1),IF($G2319="",$I2319,$G2319)+(S$2*$M2319)))</f>
        <v/>
      </c>
      <c r="T2319" s="82" t="n"/>
      <c r="U2319" s="47">
        <f>IF(OR($M2319="",$T2319=""),"",$T2319+(U$2*$M2319))</f>
        <v/>
      </c>
      <c r="V2319" s="48">
        <f>IF(OR($M2319="",$T2319=""),"",$T2319+(V$2*$M2319))</f>
        <v/>
      </c>
      <c r="W2319" s="48">
        <f>IF(OR($M2319="",$T2319=""),"",$T2319+(W$2*$M2319))</f>
        <v/>
      </c>
      <c r="X2319" s="49">
        <f>IF(OR($M2319="",$T2319=""),"",$T2319+(X$2*$M2319))</f>
        <v/>
      </c>
      <c r="Y2319" s="47">
        <f>IF(OR($M2319="",$T2319=""),"",$T2319+(Y$2*$M2319))</f>
        <v/>
      </c>
      <c r="Z2319" s="49">
        <f>IF(OR($M2319="",$T2319=""),"",$T2319+(Z$2*$M2319))</f>
        <v/>
      </c>
      <c r="AA2319" s="51">
        <f>IF(OR($M2319="",$T2319=""),"",$T2319+(AA$2*$M2319))</f>
        <v/>
      </c>
      <c r="AB2319" s="48">
        <f>IF(OR($M2319="",$T2319=""),"",$T2319+(AB$2*$M2319))</f>
        <v/>
      </c>
      <c r="AC2319" s="48">
        <f>IF(OR($M2319="",$T2319=""),"",$T2319+(AC$2*$M2319))</f>
        <v/>
      </c>
      <c r="AD2319" s="48">
        <f>IF(OR($M2319="",$T2319=""),"",$T2319+(AD$2*$M2319))</f>
        <v/>
      </c>
      <c r="AE2319" s="49">
        <f>IF(OR($M2319="",$T2319=""),"",$T2319+(AE$2*$M2319))</f>
        <v/>
      </c>
      <c r="AF2319" s="52">
        <f>IF(OR(T2319="",I2319&lt;T2319),"",IFERROR(AVERAGE(T2319+M2319*{7,8,9,10,11})/IF(G2319="",I2319,G2319)-1,""))</f>
        <v/>
      </c>
      <c r="AG2319" s="55">
        <f>IF(OR(T2319="",I2319&lt;T2319),"",IFERROR(AF2319/-(R2319/IF(G2319="",I2319,G2319)-1),""))</f>
        <v/>
      </c>
      <c r="AH2319" s="94" t="n"/>
      <c r="AI2319" s="94" t="n"/>
      <c r="AJ2319" s="94" t="n"/>
      <c r="AK2319" s="94" t="n"/>
      <c r="AL2319" s="84" t="n"/>
    </row>
    <row r="2320">
      <c r="A2320" s="64" t="n"/>
      <c r="B2320" s="65" t="n"/>
      <c r="C2320" s="66" t="n"/>
      <c r="D2320" s="67" t="n"/>
      <c r="E2320" s="68" t="n"/>
      <c r="F2320" s="47">
        <f>IF(A2320="","",IF(MIN(H2320,MAX(J2320:K2320))=0,"",MIN(H2320,MAX(J2320:K2320))))</f>
        <v/>
      </c>
      <c r="G2320" s="74" t="n"/>
      <c r="H2320" s="49">
        <f>IF(M2320="","",IFERROR(ROUND(AVERAGE(T2320+M2320*{7,8,9,10,11})/1.21,4),""))</f>
        <v/>
      </c>
      <c r="I2320" s="76" t="n"/>
      <c r="J2320" s="77" t="n"/>
      <c r="K2320" s="74" t="n"/>
      <c r="L2320" s="78" t="n"/>
      <c r="M2320" s="77" t="n"/>
      <c r="N2320" s="53">
        <f>IF(M2320="","",IFERROR(M2320/I2320,""))</f>
        <v/>
      </c>
      <c r="O2320" s="50">
        <f>IF(A2320="","",IFERROR((IF(G2320="",I2320,G2320)-T2320)/M2320,""))</f>
        <v/>
      </c>
      <c r="P2320" s="50">
        <f>IFERROR((I2320/T2320-1)/N2320,"")</f>
        <v/>
      </c>
      <c r="Q2320" s="46">
        <f>IF(OR(T2320="",I2320&lt;T2320),"",IFERROR(R2320/IF(G2320="",I2320,G2320)-1,""))</f>
        <v/>
      </c>
      <c r="R2320" s="48">
        <f>IF($M2320="","",MAX(IF($G2320="",$I2320,$G2320)*(1/1.1),IF($G2320="",$I2320,$G2320)+(R$2*$M2320)))</f>
        <v/>
      </c>
      <c r="S2320" s="49">
        <f>IF($M2320="","",MAX(IF($G2320="",$I2320,$G2320)*(1/1.1),IF($G2320="",$I2320,$G2320)+(S$2*$M2320)))</f>
        <v/>
      </c>
      <c r="T2320" s="82" t="n"/>
      <c r="U2320" s="47">
        <f>IF(OR($M2320="",$T2320=""),"",$T2320+(U$2*$M2320))</f>
        <v/>
      </c>
      <c r="V2320" s="48">
        <f>IF(OR($M2320="",$T2320=""),"",$T2320+(V$2*$M2320))</f>
        <v/>
      </c>
      <c r="W2320" s="48">
        <f>IF(OR($M2320="",$T2320=""),"",$T2320+(W$2*$M2320))</f>
        <v/>
      </c>
      <c r="X2320" s="49">
        <f>IF(OR($M2320="",$T2320=""),"",$T2320+(X$2*$M2320))</f>
        <v/>
      </c>
      <c r="Y2320" s="47">
        <f>IF(OR($M2320="",$T2320=""),"",$T2320+(Y$2*$M2320))</f>
        <v/>
      </c>
      <c r="Z2320" s="49">
        <f>IF(OR($M2320="",$T2320=""),"",$T2320+(Z$2*$M2320))</f>
        <v/>
      </c>
      <c r="AA2320" s="51">
        <f>IF(OR($M2320="",$T2320=""),"",$T2320+(AA$2*$M2320))</f>
        <v/>
      </c>
      <c r="AB2320" s="48">
        <f>IF(OR($M2320="",$T2320=""),"",$T2320+(AB$2*$M2320))</f>
        <v/>
      </c>
      <c r="AC2320" s="48">
        <f>IF(OR($M2320="",$T2320=""),"",$T2320+(AC$2*$M2320))</f>
        <v/>
      </c>
      <c r="AD2320" s="48">
        <f>IF(OR($M2320="",$T2320=""),"",$T2320+(AD$2*$M2320))</f>
        <v/>
      </c>
      <c r="AE2320" s="49">
        <f>IF(OR($M2320="",$T2320=""),"",$T2320+(AE$2*$M2320))</f>
        <v/>
      </c>
      <c r="AF2320" s="52">
        <f>IF(OR(T2320="",I2320&lt;T2320),"",IFERROR(AVERAGE(T2320+M2320*{7,8,9,10,11})/IF(G2320="",I2320,G2320)-1,""))</f>
        <v/>
      </c>
      <c r="AG2320" s="55">
        <f>IF(OR(T2320="",I2320&lt;T2320),"",IFERROR(AF2320/-(R2320/IF(G2320="",I2320,G2320)-1),""))</f>
        <v/>
      </c>
      <c r="AH2320" s="94" t="n"/>
      <c r="AI2320" s="94" t="n"/>
      <c r="AJ2320" s="94" t="n"/>
      <c r="AK2320" s="94" t="n"/>
      <c r="AL2320" s="84" t="n"/>
    </row>
    <row r="2321">
      <c r="A2321" s="64" t="n"/>
      <c r="B2321" s="65" t="n"/>
      <c r="C2321" s="66" t="n"/>
      <c r="D2321" s="67" t="n"/>
      <c r="E2321" s="68" t="n"/>
      <c r="F2321" s="47">
        <f>IF(A2321="","",IF(MIN(H2321,MAX(J2321:K2321))=0,"",MIN(H2321,MAX(J2321:K2321))))</f>
        <v/>
      </c>
      <c r="G2321" s="74" t="n"/>
      <c r="H2321" s="49">
        <f>IF(M2321="","",IFERROR(ROUND(AVERAGE(T2321+M2321*{7,8,9,10,11})/1.21,4),""))</f>
        <v/>
      </c>
      <c r="I2321" s="76" t="n"/>
      <c r="J2321" s="77" t="n"/>
      <c r="K2321" s="74" t="n"/>
      <c r="L2321" s="78" t="n"/>
      <c r="M2321" s="77" t="n"/>
      <c r="N2321" s="53">
        <f>IF(M2321="","",IFERROR(M2321/I2321,""))</f>
        <v/>
      </c>
      <c r="O2321" s="50">
        <f>IF(A2321="","",IFERROR((IF(G2321="",I2321,G2321)-T2321)/M2321,""))</f>
        <v/>
      </c>
      <c r="P2321" s="50">
        <f>IFERROR((I2321/T2321-1)/N2321,"")</f>
        <v/>
      </c>
      <c r="Q2321" s="46">
        <f>IF(OR(T2321="",I2321&lt;T2321),"",IFERROR(R2321/IF(G2321="",I2321,G2321)-1,""))</f>
        <v/>
      </c>
      <c r="R2321" s="48">
        <f>IF($M2321="","",MAX(IF($G2321="",$I2321,$G2321)*(1/1.1),IF($G2321="",$I2321,$G2321)+(R$2*$M2321)))</f>
        <v/>
      </c>
      <c r="S2321" s="49">
        <f>IF($M2321="","",MAX(IF($G2321="",$I2321,$G2321)*(1/1.1),IF($G2321="",$I2321,$G2321)+(S$2*$M2321)))</f>
        <v/>
      </c>
      <c r="T2321" s="82" t="n"/>
      <c r="U2321" s="47">
        <f>IF(OR($M2321="",$T2321=""),"",$T2321+(U$2*$M2321))</f>
        <v/>
      </c>
      <c r="V2321" s="48">
        <f>IF(OR($M2321="",$T2321=""),"",$T2321+(V$2*$M2321))</f>
        <v/>
      </c>
      <c r="W2321" s="48">
        <f>IF(OR($M2321="",$T2321=""),"",$T2321+(W$2*$M2321))</f>
        <v/>
      </c>
      <c r="X2321" s="49">
        <f>IF(OR($M2321="",$T2321=""),"",$T2321+(X$2*$M2321))</f>
        <v/>
      </c>
      <c r="Y2321" s="47">
        <f>IF(OR($M2321="",$T2321=""),"",$T2321+(Y$2*$M2321))</f>
        <v/>
      </c>
      <c r="Z2321" s="49">
        <f>IF(OR($M2321="",$T2321=""),"",$T2321+(Z$2*$M2321))</f>
        <v/>
      </c>
      <c r="AA2321" s="51">
        <f>IF(OR($M2321="",$T2321=""),"",$T2321+(AA$2*$M2321))</f>
        <v/>
      </c>
      <c r="AB2321" s="48">
        <f>IF(OR($M2321="",$T2321=""),"",$T2321+(AB$2*$M2321))</f>
        <v/>
      </c>
      <c r="AC2321" s="48">
        <f>IF(OR($M2321="",$T2321=""),"",$T2321+(AC$2*$M2321))</f>
        <v/>
      </c>
      <c r="AD2321" s="48">
        <f>IF(OR($M2321="",$T2321=""),"",$T2321+(AD$2*$M2321))</f>
        <v/>
      </c>
      <c r="AE2321" s="49">
        <f>IF(OR($M2321="",$T2321=""),"",$T2321+(AE$2*$M2321))</f>
        <v/>
      </c>
      <c r="AF2321" s="52">
        <f>IF(OR(T2321="",I2321&lt;T2321),"",IFERROR(AVERAGE(T2321+M2321*{7,8,9,10,11})/IF(G2321="",I2321,G2321)-1,""))</f>
        <v/>
      </c>
      <c r="AG2321" s="55">
        <f>IF(OR(T2321="",I2321&lt;T2321),"",IFERROR(AF2321/-(R2321/IF(G2321="",I2321,G2321)-1),""))</f>
        <v/>
      </c>
      <c r="AH2321" s="94" t="n"/>
      <c r="AI2321" s="94" t="n"/>
      <c r="AJ2321" s="94" t="n"/>
      <c r="AK2321" s="94" t="n"/>
      <c r="AL2321" s="84" t="n"/>
    </row>
    <row r="2322">
      <c r="A2322" s="64" t="n"/>
      <c r="B2322" s="65" t="n"/>
      <c r="C2322" s="66" t="n"/>
      <c r="D2322" s="67" t="n"/>
      <c r="E2322" s="68" t="n"/>
      <c r="F2322" s="47">
        <f>IF(A2322="","",IF(MIN(H2322,MAX(J2322:K2322))=0,"",MIN(H2322,MAX(J2322:K2322))))</f>
        <v/>
      </c>
      <c r="G2322" s="74" t="n"/>
      <c r="H2322" s="49">
        <f>IF(M2322="","",IFERROR(ROUND(AVERAGE(T2322+M2322*{7,8,9,10,11})/1.21,4),""))</f>
        <v/>
      </c>
      <c r="I2322" s="76" t="n"/>
      <c r="J2322" s="77" t="n"/>
      <c r="K2322" s="74" t="n"/>
      <c r="L2322" s="78" t="n"/>
      <c r="M2322" s="77" t="n"/>
      <c r="N2322" s="53">
        <f>IF(M2322="","",IFERROR(M2322/I2322,""))</f>
        <v/>
      </c>
      <c r="O2322" s="50">
        <f>IF(A2322="","",IFERROR((IF(G2322="",I2322,G2322)-T2322)/M2322,""))</f>
        <v/>
      </c>
      <c r="P2322" s="50">
        <f>IFERROR((I2322/T2322-1)/N2322,"")</f>
        <v/>
      </c>
      <c r="Q2322" s="46">
        <f>IF(OR(T2322="",I2322&lt;T2322),"",IFERROR(R2322/IF(G2322="",I2322,G2322)-1,""))</f>
        <v/>
      </c>
      <c r="R2322" s="48">
        <f>IF($M2322="","",MAX(IF($G2322="",$I2322,$G2322)*(1/1.1),IF($G2322="",$I2322,$G2322)+(R$2*$M2322)))</f>
        <v/>
      </c>
      <c r="S2322" s="49">
        <f>IF($M2322="","",MAX(IF($G2322="",$I2322,$G2322)*(1/1.1),IF($G2322="",$I2322,$G2322)+(S$2*$M2322)))</f>
        <v/>
      </c>
      <c r="T2322" s="82" t="n"/>
      <c r="U2322" s="47">
        <f>IF(OR($M2322="",$T2322=""),"",$T2322+(U$2*$M2322))</f>
        <v/>
      </c>
      <c r="V2322" s="48">
        <f>IF(OR($M2322="",$T2322=""),"",$T2322+(V$2*$M2322))</f>
        <v/>
      </c>
      <c r="W2322" s="48">
        <f>IF(OR($M2322="",$T2322=""),"",$T2322+(W$2*$M2322))</f>
        <v/>
      </c>
      <c r="X2322" s="49">
        <f>IF(OR($M2322="",$T2322=""),"",$T2322+(X$2*$M2322))</f>
        <v/>
      </c>
      <c r="Y2322" s="47">
        <f>IF(OR($M2322="",$T2322=""),"",$T2322+(Y$2*$M2322))</f>
        <v/>
      </c>
      <c r="Z2322" s="49">
        <f>IF(OR($M2322="",$T2322=""),"",$T2322+(Z$2*$M2322))</f>
        <v/>
      </c>
      <c r="AA2322" s="51">
        <f>IF(OR($M2322="",$T2322=""),"",$T2322+(AA$2*$M2322))</f>
        <v/>
      </c>
      <c r="AB2322" s="48">
        <f>IF(OR($M2322="",$T2322=""),"",$T2322+(AB$2*$M2322))</f>
        <v/>
      </c>
      <c r="AC2322" s="48">
        <f>IF(OR($M2322="",$T2322=""),"",$T2322+(AC$2*$M2322))</f>
        <v/>
      </c>
      <c r="AD2322" s="48">
        <f>IF(OR($M2322="",$T2322=""),"",$T2322+(AD$2*$M2322))</f>
        <v/>
      </c>
      <c r="AE2322" s="49">
        <f>IF(OR($M2322="",$T2322=""),"",$T2322+(AE$2*$M2322))</f>
        <v/>
      </c>
      <c r="AF2322" s="52">
        <f>IF(OR(T2322="",I2322&lt;T2322),"",IFERROR(AVERAGE(T2322+M2322*{7,8,9,10,11})/IF(G2322="",I2322,G2322)-1,""))</f>
        <v/>
      </c>
      <c r="AG2322" s="55">
        <f>IF(OR(T2322="",I2322&lt;T2322),"",IFERROR(AF2322/-(R2322/IF(G2322="",I2322,G2322)-1),""))</f>
        <v/>
      </c>
      <c r="AH2322" s="94" t="n"/>
      <c r="AI2322" s="94" t="n"/>
      <c r="AJ2322" s="94" t="n"/>
      <c r="AK2322" s="94" t="n"/>
      <c r="AL2322" s="84" t="n"/>
    </row>
    <row r="2323">
      <c r="A2323" s="64" t="n"/>
      <c r="B2323" s="65" t="n"/>
      <c r="C2323" s="66" t="n"/>
      <c r="D2323" s="67" t="n"/>
      <c r="E2323" s="68" t="n"/>
      <c r="F2323" s="47">
        <f>IF(A2323="","",IF(MIN(H2323,MAX(J2323:K2323))=0,"",MIN(H2323,MAX(J2323:K2323))))</f>
        <v/>
      </c>
      <c r="G2323" s="74" t="n"/>
      <c r="H2323" s="49">
        <f>IF(M2323="","",IFERROR(ROUND(AVERAGE(T2323+M2323*{7,8,9,10,11})/1.21,4),""))</f>
        <v/>
      </c>
      <c r="I2323" s="76" t="n"/>
      <c r="J2323" s="77" t="n"/>
      <c r="K2323" s="74" t="n"/>
      <c r="L2323" s="78" t="n"/>
      <c r="M2323" s="77" t="n"/>
      <c r="N2323" s="53">
        <f>IF(M2323="","",IFERROR(M2323/I2323,""))</f>
        <v/>
      </c>
      <c r="O2323" s="50">
        <f>IF(A2323="","",IFERROR((IF(G2323="",I2323,G2323)-T2323)/M2323,""))</f>
        <v/>
      </c>
      <c r="P2323" s="50">
        <f>IFERROR((I2323/T2323-1)/N2323,"")</f>
        <v/>
      </c>
      <c r="Q2323" s="46">
        <f>IF(OR(T2323="",I2323&lt;T2323),"",IFERROR(R2323/IF(G2323="",I2323,G2323)-1,""))</f>
        <v/>
      </c>
      <c r="R2323" s="48">
        <f>IF($M2323="","",MAX(IF($G2323="",$I2323,$G2323)*(1/1.1),IF($G2323="",$I2323,$G2323)+(R$2*$M2323)))</f>
        <v/>
      </c>
      <c r="S2323" s="49">
        <f>IF($M2323="","",MAX(IF($G2323="",$I2323,$G2323)*(1/1.1),IF($G2323="",$I2323,$G2323)+(S$2*$M2323)))</f>
        <v/>
      </c>
      <c r="T2323" s="82" t="n"/>
      <c r="U2323" s="47">
        <f>IF(OR($M2323="",$T2323=""),"",$T2323+(U$2*$M2323))</f>
        <v/>
      </c>
      <c r="V2323" s="48">
        <f>IF(OR($M2323="",$T2323=""),"",$T2323+(V$2*$M2323))</f>
        <v/>
      </c>
      <c r="W2323" s="48">
        <f>IF(OR($M2323="",$T2323=""),"",$T2323+(W$2*$M2323))</f>
        <v/>
      </c>
      <c r="X2323" s="49">
        <f>IF(OR($M2323="",$T2323=""),"",$T2323+(X$2*$M2323))</f>
        <v/>
      </c>
      <c r="Y2323" s="47">
        <f>IF(OR($M2323="",$T2323=""),"",$T2323+(Y$2*$M2323))</f>
        <v/>
      </c>
      <c r="Z2323" s="49">
        <f>IF(OR($M2323="",$T2323=""),"",$T2323+(Z$2*$M2323))</f>
        <v/>
      </c>
      <c r="AA2323" s="51">
        <f>IF(OR($M2323="",$T2323=""),"",$T2323+(AA$2*$M2323))</f>
        <v/>
      </c>
      <c r="AB2323" s="48">
        <f>IF(OR($M2323="",$T2323=""),"",$T2323+(AB$2*$M2323))</f>
        <v/>
      </c>
      <c r="AC2323" s="48">
        <f>IF(OR($M2323="",$T2323=""),"",$T2323+(AC$2*$M2323))</f>
        <v/>
      </c>
      <c r="AD2323" s="48">
        <f>IF(OR($M2323="",$T2323=""),"",$T2323+(AD$2*$M2323))</f>
        <v/>
      </c>
      <c r="AE2323" s="49">
        <f>IF(OR($M2323="",$T2323=""),"",$T2323+(AE$2*$M2323))</f>
        <v/>
      </c>
      <c r="AF2323" s="52">
        <f>IF(OR(T2323="",I2323&lt;T2323),"",IFERROR(AVERAGE(T2323+M2323*{7,8,9,10,11})/IF(G2323="",I2323,G2323)-1,""))</f>
        <v/>
      </c>
      <c r="AG2323" s="55">
        <f>IF(OR(T2323="",I2323&lt;T2323),"",IFERROR(AF2323/-(R2323/IF(G2323="",I2323,G2323)-1),""))</f>
        <v/>
      </c>
      <c r="AH2323" s="94" t="n"/>
      <c r="AI2323" s="94" t="n"/>
      <c r="AJ2323" s="94" t="n"/>
      <c r="AK2323" s="94" t="n"/>
      <c r="AL2323" s="84" t="n"/>
    </row>
    <row r="2324">
      <c r="A2324" s="64" t="n"/>
      <c r="B2324" s="65" t="n"/>
      <c r="C2324" s="66" t="n"/>
      <c r="D2324" s="67" t="n"/>
      <c r="E2324" s="68" t="n"/>
      <c r="F2324" s="47">
        <f>IF(A2324="","",IF(MIN(H2324,MAX(J2324:K2324))=0,"",MIN(H2324,MAX(J2324:K2324))))</f>
        <v/>
      </c>
      <c r="G2324" s="74" t="n"/>
      <c r="H2324" s="49">
        <f>IF(M2324="","",IFERROR(ROUND(AVERAGE(T2324+M2324*{7,8,9,10,11})/1.21,4),""))</f>
        <v/>
      </c>
      <c r="I2324" s="76" t="n"/>
      <c r="J2324" s="77" t="n"/>
      <c r="K2324" s="74" t="n"/>
      <c r="L2324" s="78" t="n"/>
      <c r="M2324" s="77" t="n"/>
      <c r="N2324" s="53">
        <f>IF(M2324="","",IFERROR(M2324/I2324,""))</f>
        <v/>
      </c>
      <c r="O2324" s="50">
        <f>IF(A2324="","",IFERROR((IF(G2324="",I2324,G2324)-T2324)/M2324,""))</f>
        <v/>
      </c>
      <c r="P2324" s="50">
        <f>IFERROR((I2324/T2324-1)/N2324,"")</f>
        <v/>
      </c>
      <c r="Q2324" s="46">
        <f>IF(OR(T2324="",I2324&lt;T2324),"",IFERROR(R2324/IF(G2324="",I2324,G2324)-1,""))</f>
        <v/>
      </c>
      <c r="R2324" s="48">
        <f>IF($M2324="","",MAX(IF($G2324="",$I2324,$G2324)*(1/1.1),IF($G2324="",$I2324,$G2324)+(R$2*$M2324)))</f>
        <v/>
      </c>
      <c r="S2324" s="49">
        <f>IF($M2324="","",MAX(IF($G2324="",$I2324,$G2324)*(1/1.1),IF($G2324="",$I2324,$G2324)+(S$2*$M2324)))</f>
        <v/>
      </c>
      <c r="T2324" s="82" t="n"/>
      <c r="U2324" s="47">
        <f>IF(OR($M2324="",$T2324=""),"",$T2324+(U$2*$M2324))</f>
        <v/>
      </c>
      <c r="V2324" s="48">
        <f>IF(OR($M2324="",$T2324=""),"",$T2324+(V$2*$M2324))</f>
        <v/>
      </c>
      <c r="W2324" s="48">
        <f>IF(OR($M2324="",$T2324=""),"",$T2324+(W$2*$M2324))</f>
        <v/>
      </c>
      <c r="X2324" s="49">
        <f>IF(OR($M2324="",$T2324=""),"",$T2324+(X$2*$M2324))</f>
        <v/>
      </c>
      <c r="Y2324" s="47">
        <f>IF(OR($M2324="",$T2324=""),"",$T2324+(Y$2*$M2324))</f>
        <v/>
      </c>
      <c r="Z2324" s="49">
        <f>IF(OR($M2324="",$T2324=""),"",$T2324+(Z$2*$M2324))</f>
        <v/>
      </c>
      <c r="AA2324" s="51">
        <f>IF(OR($M2324="",$T2324=""),"",$T2324+(AA$2*$M2324))</f>
        <v/>
      </c>
      <c r="AB2324" s="48">
        <f>IF(OR($M2324="",$T2324=""),"",$T2324+(AB$2*$M2324))</f>
        <v/>
      </c>
      <c r="AC2324" s="48">
        <f>IF(OR($M2324="",$T2324=""),"",$T2324+(AC$2*$M2324))</f>
        <v/>
      </c>
      <c r="AD2324" s="48">
        <f>IF(OR($M2324="",$T2324=""),"",$T2324+(AD$2*$M2324))</f>
        <v/>
      </c>
      <c r="AE2324" s="49">
        <f>IF(OR($M2324="",$T2324=""),"",$T2324+(AE$2*$M2324))</f>
        <v/>
      </c>
      <c r="AF2324" s="52">
        <f>IF(OR(T2324="",I2324&lt;T2324),"",IFERROR(AVERAGE(T2324+M2324*{7,8,9,10,11})/IF(G2324="",I2324,G2324)-1,""))</f>
        <v/>
      </c>
      <c r="AG2324" s="55">
        <f>IF(OR(T2324="",I2324&lt;T2324),"",IFERROR(AF2324/-(R2324/IF(G2324="",I2324,G2324)-1),""))</f>
        <v/>
      </c>
      <c r="AH2324" s="94" t="n"/>
      <c r="AI2324" s="94" t="n"/>
      <c r="AJ2324" s="94" t="n"/>
      <c r="AK2324" s="94" t="n"/>
      <c r="AL2324" s="84" t="n"/>
    </row>
    <row r="2325">
      <c r="A2325" s="64" t="n"/>
      <c r="B2325" s="65" t="n"/>
      <c r="C2325" s="66" t="n"/>
      <c r="D2325" s="67" t="n"/>
      <c r="E2325" s="68" t="n"/>
      <c r="F2325" s="47">
        <f>IF(A2325="","",IF(MIN(H2325,MAX(J2325:K2325))=0,"",MIN(H2325,MAX(J2325:K2325))))</f>
        <v/>
      </c>
      <c r="G2325" s="74" t="n"/>
      <c r="H2325" s="49">
        <f>IF(M2325="","",IFERROR(ROUND(AVERAGE(T2325+M2325*{7,8,9,10,11})/1.21,4),""))</f>
        <v/>
      </c>
      <c r="I2325" s="76" t="n"/>
      <c r="J2325" s="77" t="n"/>
      <c r="K2325" s="74" t="n"/>
      <c r="L2325" s="78" t="n"/>
      <c r="M2325" s="77" t="n"/>
      <c r="N2325" s="53">
        <f>IF(M2325="","",IFERROR(M2325/I2325,""))</f>
        <v/>
      </c>
      <c r="O2325" s="50">
        <f>IF(A2325="","",IFERROR((IF(G2325="",I2325,G2325)-T2325)/M2325,""))</f>
        <v/>
      </c>
      <c r="P2325" s="50">
        <f>IFERROR((I2325/T2325-1)/N2325,"")</f>
        <v/>
      </c>
      <c r="Q2325" s="46">
        <f>IF(OR(T2325="",I2325&lt;T2325),"",IFERROR(R2325/IF(G2325="",I2325,G2325)-1,""))</f>
        <v/>
      </c>
      <c r="R2325" s="48">
        <f>IF($M2325="","",MAX(IF($G2325="",$I2325,$G2325)*(1/1.1),IF($G2325="",$I2325,$G2325)+(R$2*$M2325)))</f>
        <v/>
      </c>
      <c r="S2325" s="49">
        <f>IF($M2325="","",MAX(IF($G2325="",$I2325,$G2325)*(1/1.1),IF($G2325="",$I2325,$G2325)+(S$2*$M2325)))</f>
        <v/>
      </c>
      <c r="T2325" s="82" t="n"/>
      <c r="U2325" s="47">
        <f>IF(OR($M2325="",$T2325=""),"",$T2325+(U$2*$M2325))</f>
        <v/>
      </c>
      <c r="V2325" s="48">
        <f>IF(OR($M2325="",$T2325=""),"",$T2325+(V$2*$M2325))</f>
        <v/>
      </c>
      <c r="W2325" s="48">
        <f>IF(OR($M2325="",$T2325=""),"",$T2325+(W$2*$M2325))</f>
        <v/>
      </c>
      <c r="X2325" s="49">
        <f>IF(OR($M2325="",$T2325=""),"",$T2325+(X$2*$M2325))</f>
        <v/>
      </c>
      <c r="Y2325" s="47">
        <f>IF(OR($M2325="",$T2325=""),"",$T2325+(Y$2*$M2325))</f>
        <v/>
      </c>
      <c r="Z2325" s="49">
        <f>IF(OR($M2325="",$T2325=""),"",$T2325+(Z$2*$M2325))</f>
        <v/>
      </c>
      <c r="AA2325" s="51">
        <f>IF(OR($M2325="",$T2325=""),"",$T2325+(AA$2*$M2325))</f>
        <v/>
      </c>
      <c r="AB2325" s="48">
        <f>IF(OR($M2325="",$T2325=""),"",$T2325+(AB$2*$M2325))</f>
        <v/>
      </c>
      <c r="AC2325" s="48">
        <f>IF(OR($M2325="",$T2325=""),"",$T2325+(AC$2*$M2325))</f>
        <v/>
      </c>
      <c r="AD2325" s="48">
        <f>IF(OR($M2325="",$T2325=""),"",$T2325+(AD$2*$M2325))</f>
        <v/>
      </c>
      <c r="AE2325" s="49">
        <f>IF(OR($M2325="",$T2325=""),"",$T2325+(AE$2*$M2325))</f>
        <v/>
      </c>
      <c r="AF2325" s="52">
        <f>IF(OR(T2325="",I2325&lt;T2325),"",IFERROR(AVERAGE(T2325+M2325*{7,8,9,10,11})/IF(G2325="",I2325,G2325)-1,""))</f>
        <v/>
      </c>
      <c r="AG2325" s="55">
        <f>IF(OR(T2325="",I2325&lt;T2325),"",IFERROR(AF2325/-(R2325/IF(G2325="",I2325,G2325)-1),""))</f>
        <v/>
      </c>
      <c r="AH2325" s="94" t="n"/>
      <c r="AI2325" s="94" t="n"/>
      <c r="AJ2325" s="94" t="n"/>
      <c r="AK2325" s="94" t="n"/>
      <c r="AL2325" s="84" t="n"/>
    </row>
    <row r="2326">
      <c r="A2326" s="64" t="n"/>
      <c r="B2326" s="65" t="n"/>
      <c r="C2326" s="66" t="n"/>
      <c r="D2326" s="67" t="n"/>
      <c r="E2326" s="68" t="n"/>
      <c r="F2326" s="47">
        <f>IF(A2326="","",IF(MIN(H2326,MAX(J2326:K2326))=0,"",MIN(H2326,MAX(J2326:K2326))))</f>
        <v/>
      </c>
      <c r="G2326" s="74" t="n"/>
      <c r="H2326" s="49">
        <f>IF(M2326="","",IFERROR(ROUND(AVERAGE(T2326+M2326*{7,8,9,10,11})/1.21,4),""))</f>
        <v/>
      </c>
      <c r="I2326" s="76" t="n"/>
      <c r="J2326" s="77" t="n"/>
      <c r="K2326" s="74" t="n"/>
      <c r="L2326" s="78" t="n"/>
      <c r="M2326" s="77" t="n"/>
      <c r="N2326" s="53">
        <f>IF(M2326="","",IFERROR(M2326/I2326,""))</f>
        <v/>
      </c>
      <c r="O2326" s="50">
        <f>IF(A2326="","",IFERROR((IF(G2326="",I2326,G2326)-T2326)/M2326,""))</f>
        <v/>
      </c>
      <c r="P2326" s="50">
        <f>IFERROR((I2326/T2326-1)/N2326,"")</f>
        <v/>
      </c>
      <c r="Q2326" s="46">
        <f>IF(OR(T2326="",I2326&lt;T2326),"",IFERROR(R2326/IF(G2326="",I2326,G2326)-1,""))</f>
        <v/>
      </c>
      <c r="R2326" s="48">
        <f>IF($M2326="","",MAX(IF($G2326="",$I2326,$G2326)*(1/1.1),IF($G2326="",$I2326,$G2326)+(R$2*$M2326)))</f>
        <v/>
      </c>
      <c r="S2326" s="49">
        <f>IF($M2326="","",MAX(IF($G2326="",$I2326,$G2326)*(1/1.1),IF($G2326="",$I2326,$G2326)+(S$2*$M2326)))</f>
        <v/>
      </c>
      <c r="T2326" s="82" t="n"/>
      <c r="U2326" s="47">
        <f>IF(OR($M2326="",$T2326=""),"",$T2326+(U$2*$M2326))</f>
        <v/>
      </c>
      <c r="V2326" s="48">
        <f>IF(OR($M2326="",$T2326=""),"",$T2326+(V$2*$M2326))</f>
        <v/>
      </c>
      <c r="W2326" s="48">
        <f>IF(OR($M2326="",$T2326=""),"",$T2326+(W$2*$M2326))</f>
        <v/>
      </c>
      <c r="X2326" s="49">
        <f>IF(OR($M2326="",$T2326=""),"",$T2326+(X$2*$M2326))</f>
        <v/>
      </c>
      <c r="Y2326" s="47">
        <f>IF(OR($M2326="",$T2326=""),"",$T2326+(Y$2*$M2326))</f>
        <v/>
      </c>
      <c r="Z2326" s="49">
        <f>IF(OR($M2326="",$T2326=""),"",$T2326+(Z$2*$M2326))</f>
        <v/>
      </c>
      <c r="AA2326" s="51">
        <f>IF(OR($M2326="",$T2326=""),"",$T2326+(AA$2*$M2326))</f>
        <v/>
      </c>
      <c r="AB2326" s="48">
        <f>IF(OR($M2326="",$T2326=""),"",$T2326+(AB$2*$M2326))</f>
        <v/>
      </c>
      <c r="AC2326" s="48">
        <f>IF(OR($M2326="",$T2326=""),"",$T2326+(AC$2*$M2326))</f>
        <v/>
      </c>
      <c r="AD2326" s="48">
        <f>IF(OR($M2326="",$T2326=""),"",$T2326+(AD$2*$M2326))</f>
        <v/>
      </c>
      <c r="AE2326" s="49">
        <f>IF(OR($M2326="",$T2326=""),"",$T2326+(AE$2*$M2326))</f>
        <v/>
      </c>
      <c r="AF2326" s="52">
        <f>IF(OR(T2326="",I2326&lt;T2326),"",IFERROR(AVERAGE(T2326+M2326*{7,8,9,10,11})/IF(G2326="",I2326,G2326)-1,""))</f>
        <v/>
      </c>
      <c r="AG2326" s="55">
        <f>IF(OR(T2326="",I2326&lt;T2326),"",IFERROR(AF2326/-(R2326/IF(G2326="",I2326,G2326)-1),""))</f>
        <v/>
      </c>
      <c r="AH2326" s="94" t="n"/>
      <c r="AI2326" s="94" t="n"/>
      <c r="AJ2326" s="94" t="n"/>
      <c r="AK2326" s="94" t="n"/>
      <c r="AL2326" s="84" t="n"/>
    </row>
    <row r="2327">
      <c r="A2327" s="64" t="n"/>
      <c r="B2327" s="65" t="n"/>
      <c r="C2327" s="66" t="n"/>
      <c r="D2327" s="67" t="n"/>
      <c r="E2327" s="68" t="n"/>
      <c r="F2327" s="47">
        <f>IF(A2327="","",IF(MIN(H2327,MAX(J2327:K2327))=0,"",MIN(H2327,MAX(J2327:K2327))))</f>
        <v/>
      </c>
      <c r="G2327" s="74" t="n"/>
      <c r="H2327" s="49">
        <f>IF(M2327="","",IFERROR(ROUND(AVERAGE(T2327+M2327*{7,8,9,10,11})/1.21,4),""))</f>
        <v/>
      </c>
      <c r="I2327" s="76" t="n"/>
      <c r="J2327" s="77" t="n"/>
      <c r="K2327" s="74" t="n"/>
      <c r="L2327" s="78" t="n"/>
      <c r="M2327" s="77" t="n"/>
      <c r="N2327" s="53">
        <f>IF(M2327="","",IFERROR(M2327/I2327,""))</f>
        <v/>
      </c>
      <c r="O2327" s="50">
        <f>IF(A2327="","",IFERROR((IF(G2327="",I2327,G2327)-T2327)/M2327,""))</f>
        <v/>
      </c>
      <c r="P2327" s="50">
        <f>IFERROR((I2327/T2327-1)/N2327,"")</f>
        <v/>
      </c>
      <c r="Q2327" s="46">
        <f>IF(OR(T2327="",I2327&lt;T2327),"",IFERROR(R2327/IF(G2327="",I2327,G2327)-1,""))</f>
        <v/>
      </c>
      <c r="R2327" s="48">
        <f>IF($M2327="","",MAX(IF($G2327="",$I2327,$G2327)*(1/1.1),IF($G2327="",$I2327,$G2327)+(R$2*$M2327)))</f>
        <v/>
      </c>
      <c r="S2327" s="49">
        <f>IF($M2327="","",MAX(IF($G2327="",$I2327,$G2327)*(1/1.1),IF($G2327="",$I2327,$G2327)+(S$2*$M2327)))</f>
        <v/>
      </c>
      <c r="T2327" s="82" t="n"/>
      <c r="U2327" s="47">
        <f>IF(OR($M2327="",$T2327=""),"",$T2327+(U$2*$M2327))</f>
        <v/>
      </c>
      <c r="V2327" s="48">
        <f>IF(OR($M2327="",$T2327=""),"",$T2327+(V$2*$M2327))</f>
        <v/>
      </c>
      <c r="W2327" s="48">
        <f>IF(OR($M2327="",$T2327=""),"",$T2327+(W$2*$M2327))</f>
        <v/>
      </c>
      <c r="X2327" s="49">
        <f>IF(OR($M2327="",$T2327=""),"",$T2327+(X$2*$M2327))</f>
        <v/>
      </c>
      <c r="Y2327" s="47">
        <f>IF(OR($M2327="",$T2327=""),"",$T2327+(Y$2*$M2327))</f>
        <v/>
      </c>
      <c r="Z2327" s="49">
        <f>IF(OR($M2327="",$T2327=""),"",$T2327+(Z$2*$M2327))</f>
        <v/>
      </c>
      <c r="AA2327" s="51">
        <f>IF(OR($M2327="",$T2327=""),"",$T2327+(AA$2*$M2327))</f>
        <v/>
      </c>
      <c r="AB2327" s="48">
        <f>IF(OR($M2327="",$T2327=""),"",$T2327+(AB$2*$M2327))</f>
        <v/>
      </c>
      <c r="AC2327" s="48">
        <f>IF(OR($M2327="",$T2327=""),"",$T2327+(AC$2*$M2327))</f>
        <v/>
      </c>
      <c r="AD2327" s="48">
        <f>IF(OR($M2327="",$T2327=""),"",$T2327+(AD$2*$M2327))</f>
        <v/>
      </c>
      <c r="AE2327" s="49">
        <f>IF(OR($M2327="",$T2327=""),"",$T2327+(AE$2*$M2327))</f>
        <v/>
      </c>
      <c r="AF2327" s="52">
        <f>IF(OR(T2327="",I2327&lt;T2327),"",IFERROR(AVERAGE(T2327+M2327*{7,8,9,10,11})/IF(G2327="",I2327,G2327)-1,""))</f>
        <v/>
      </c>
      <c r="AG2327" s="55">
        <f>IF(OR(T2327="",I2327&lt;T2327),"",IFERROR(AF2327/-(R2327/IF(G2327="",I2327,G2327)-1),""))</f>
        <v/>
      </c>
      <c r="AH2327" s="94" t="n"/>
      <c r="AI2327" s="94" t="n"/>
      <c r="AJ2327" s="94" t="n"/>
      <c r="AK2327" s="94" t="n"/>
      <c r="AL2327" s="84" t="n"/>
    </row>
    <row r="2328">
      <c r="A2328" s="64" t="n"/>
      <c r="B2328" s="65" t="n"/>
      <c r="C2328" s="66" t="n"/>
      <c r="D2328" s="67" t="n"/>
      <c r="E2328" s="68" t="n"/>
      <c r="F2328" s="47">
        <f>IF(A2328="","",IF(MIN(H2328,MAX(J2328:K2328))=0,"",MIN(H2328,MAX(J2328:K2328))))</f>
        <v/>
      </c>
      <c r="G2328" s="74" t="n"/>
      <c r="H2328" s="49">
        <f>IF(M2328="","",IFERROR(ROUND(AVERAGE(T2328+M2328*{7,8,9,10,11})/1.21,4),""))</f>
        <v/>
      </c>
      <c r="I2328" s="76" t="n"/>
      <c r="J2328" s="77" t="n"/>
      <c r="K2328" s="74" t="n"/>
      <c r="L2328" s="78" t="n"/>
      <c r="M2328" s="77" t="n"/>
      <c r="N2328" s="53">
        <f>IF(M2328="","",IFERROR(M2328/I2328,""))</f>
        <v/>
      </c>
      <c r="O2328" s="50">
        <f>IF(A2328="","",IFERROR((IF(G2328="",I2328,G2328)-T2328)/M2328,""))</f>
        <v/>
      </c>
      <c r="P2328" s="50">
        <f>IFERROR((I2328/T2328-1)/N2328,"")</f>
        <v/>
      </c>
      <c r="Q2328" s="46">
        <f>IF(OR(T2328="",I2328&lt;T2328),"",IFERROR(R2328/IF(G2328="",I2328,G2328)-1,""))</f>
        <v/>
      </c>
      <c r="R2328" s="48">
        <f>IF($M2328="","",MAX(IF($G2328="",$I2328,$G2328)*(1/1.1),IF($G2328="",$I2328,$G2328)+(R$2*$M2328)))</f>
        <v/>
      </c>
      <c r="S2328" s="49">
        <f>IF($M2328="","",MAX(IF($G2328="",$I2328,$G2328)*(1/1.1),IF($G2328="",$I2328,$G2328)+(S$2*$M2328)))</f>
        <v/>
      </c>
      <c r="T2328" s="82" t="n"/>
      <c r="U2328" s="47">
        <f>IF(OR($M2328="",$T2328=""),"",$T2328+(U$2*$M2328))</f>
        <v/>
      </c>
      <c r="V2328" s="48">
        <f>IF(OR($M2328="",$T2328=""),"",$T2328+(V$2*$M2328))</f>
        <v/>
      </c>
      <c r="W2328" s="48">
        <f>IF(OR($M2328="",$T2328=""),"",$T2328+(W$2*$M2328))</f>
        <v/>
      </c>
      <c r="X2328" s="49">
        <f>IF(OR($M2328="",$T2328=""),"",$T2328+(X$2*$M2328))</f>
        <v/>
      </c>
      <c r="Y2328" s="47">
        <f>IF(OR($M2328="",$T2328=""),"",$T2328+(Y$2*$M2328))</f>
        <v/>
      </c>
      <c r="Z2328" s="49">
        <f>IF(OR($M2328="",$T2328=""),"",$T2328+(Z$2*$M2328))</f>
        <v/>
      </c>
      <c r="AA2328" s="51">
        <f>IF(OR($M2328="",$T2328=""),"",$T2328+(AA$2*$M2328))</f>
        <v/>
      </c>
      <c r="AB2328" s="48">
        <f>IF(OR($M2328="",$T2328=""),"",$T2328+(AB$2*$M2328))</f>
        <v/>
      </c>
      <c r="AC2328" s="48">
        <f>IF(OR($M2328="",$T2328=""),"",$T2328+(AC$2*$M2328))</f>
        <v/>
      </c>
      <c r="AD2328" s="48">
        <f>IF(OR($M2328="",$T2328=""),"",$T2328+(AD$2*$M2328))</f>
        <v/>
      </c>
      <c r="AE2328" s="49">
        <f>IF(OR($M2328="",$T2328=""),"",$T2328+(AE$2*$M2328))</f>
        <v/>
      </c>
      <c r="AF2328" s="52">
        <f>IF(OR(T2328="",I2328&lt;T2328),"",IFERROR(AVERAGE(T2328+M2328*{7,8,9,10,11})/IF(G2328="",I2328,G2328)-1,""))</f>
        <v/>
      </c>
      <c r="AG2328" s="55">
        <f>IF(OR(T2328="",I2328&lt;T2328),"",IFERROR(AF2328/-(R2328/IF(G2328="",I2328,G2328)-1),""))</f>
        <v/>
      </c>
      <c r="AH2328" s="94" t="n"/>
      <c r="AI2328" s="94" t="n"/>
      <c r="AJ2328" s="94" t="n"/>
      <c r="AK2328" s="94" t="n"/>
      <c r="AL2328" s="84" t="n"/>
    </row>
    <row r="2329">
      <c r="A2329" s="64" t="n"/>
      <c r="B2329" s="65" t="n"/>
      <c r="C2329" s="66" t="n"/>
      <c r="D2329" s="67" t="n"/>
      <c r="E2329" s="68" t="n"/>
      <c r="F2329" s="47">
        <f>IF(A2329="","",IF(MIN(H2329,MAX(J2329:K2329))=0,"",MIN(H2329,MAX(J2329:K2329))))</f>
        <v/>
      </c>
      <c r="G2329" s="74" t="n"/>
      <c r="H2329" s="49">
        <f>IF(M2329="","",IFERROR(ROUND(AVERAGE(T2329+M2329*{7,8,9,10,11})/1.21,4),""))</f>
        <v/>
      </c>
      <c r="I2329" s="76" t="n"/>
      <c r="J2329" s="77" t="n"/>
      <c r="K2329" s="74" t="n"/>
      <c r="L2329" s="78" t="n"/>
      <c r="M2329" s="77" t="n"/>
      <c r="N2329" s="53">
        <f>IF(M2329="","",IFERROR(M2329/I2329,""))</f>
        <v/>
      </c>
      <c r="O2329" s="50">
        <f>IF(A2329="","",IFERROR((IF(G2329="",I2329,G2329)-T2329)/M2329,""))</f>
        <v/>
      </c>
      <c r="P2329" s="50">
        <f>IFERROR((I2329/T2329-1)/N2329,"")</f>
        <v/>
      </c>
      <c r="Q2329" s="46">
        <f>IF(OR(T2329="",I2329&lt;T2329),"",IFERROR(R2329/IF(G2329="",I2329,G2329)-1,""))</f>
        <v/>
      </c>
      <c r="R2329" s="48">
        <f>IF($M2329="","",MAX(IF($G2329="",$I2329,$G2329)*(1/1.1),IF($G2329="",$I2329,$G2329)+(R$2*$M2329)))</f>
        <v/>
      </c>
      <c r="S2329" s="49">
        <f>IF($M2329="","",MAX(IF($G2329="",$I2329,$G2329)*(1/1.1),IF($G2329="",$I2329,$G2329)+(S$2*$M2329)))</f>
        <v/>
      </c>
      <c r="T2329" s="82" t="n"/>
      <c r="U2329" s="47">
        <f>IF(OR($M2329="",$T2329=""),"",$T2329+(U$2*$M2329))</f>
        <v/>
      </c>
      <c r="V2329" s="48">
        <f>IF(OR($M2329="",$T2329=""),"",$T2329+(V$2*$M2329))</f>
        <v/>
      </c>
      <c r="W2329" s="48">
        <f>IF(OR($M2329="",$T2329=""),"",$T2329+(W$2*$M2329))</f>
        <v/>
      </c>
      <c r="X2329" s="49">
        <f>IF(OR($M2329="",$T2329=""),"",$T2329+(X$2*$M2329))</f>
        <v/>
      </c>
      <c r="Y2329" s="47">
        <f>IF(OR($M2329="",$T2329=""),"",$T2329+(Y$2*$M2329))</f>
        <v/>
      </c>
      <c r="Z2329" s="49">
        <f>IF(OR($M2329="",$T2329=""),"",$T2329+(Z$2*$M2329))</f>
        <v/>
      </c>
      <c r="AA2329" s="51">
        <f>IF(OR($M2329="",$T2329=""),"",$T2329+(AA$2*$M2329))</f>
        <v/>
      </c>
      <c r="AB2329" s="48">
        <f>IF(OR($M2329="",$T2329=""),"",$T2329+(AB$2*$M2329))</f>
        <v/>
      </c>
      <c r="AC2329" s="48">
        <f>IF(OR($M2329="",$T2329=""),"",$T2329+(AC$2*$M2329))</f>
        <v/>
      </c>
      <c r="AD2329" s="48">
        <f>IF(OR($M2329="",$T2329=""),"",$T2329+(AD$2*$M2329))</f>
        <v/>
      </c>
      <c r="AE2329" s="49">
        <f>IF(OR($M2329="",$T2329=""),"",$T2329+(AE$2*$M2329))</f>
        <v/>
      </c>
      <c r="AF2329" s="52">
        <f>IF(OR(T2329="",I2329&lt;T2329),"",IFERROR(AVERAGE(T2329+M2329*{7,8,9,10,11})/IF(G2329="",I2329,G2329)-1,""))</f>
        <v/>
      </c>
      <c r="AG2329" s="55">
        <f>IF(OR(T2329="",I2329&lt;T2329),"",IFERROR(AF2329/-(R2329/IF(G2329="",I2329,G2329)-1),""))</f>
        <v/>
      </c>
      <c r="AH2329" s="94" t="n"/>
      <c r="AI2329" s="94" t="n"/>
      <c r="AJ2329" s="94" t="n"/>
      <c r="AK2329" s="94" t="n"/>
      <c r="AL2329" s="84" t="n"/>
    </row>
    <row r="2330">
      <c r="A2330" s="64" t="n"/>
      <c r="B2330" s="65" t="n"/>
      <c r="C2330" s="66" t="n"/>
      <c r="D2330" s="67" t="n"/>
      <c r="E2330" s="68" t="n"/>
      <c r="F2330" s="47">
        <f>IF(A2330="","",IF(MIN(H2330,MAX(J2330:K2330))=0,"",MIN(H2330,MAX(J2330:K2330))))</f>
        <v/>
      </c>
      <c r="G2330" s="74" t="n"/>
      <c r="H2330" s="49">
        <f>IF(M2330="","",IFERROR(ROUND(AVERAGE(T2330+M2330*{7,8,9,10,11})/1.21,4),""))</f>
        <v/>
      </c>
      <c r="I2330" s="76" t="n"/>
      <c r="J2330" s="77" t="n"/>
      <c r="K2330" s="74" t="n"/>
      <c r="L2330" s="78" t="n"/>
      <c r="M2330" s="77" t="n"/>
      <c r="N2330" s="53">
        <f>IF(M2330="","",IFERROR(M2330/I2330,""))</f>
        <v/>
      </c>
      <c r="O2330" s="50">
        <f>IF(A2330="","",IFERROR((IF(G2330="",I2330,G2330)-T2330)/M2330,""))</f>
        <v/>
      </c>
      <c r="P2330" s="50">
        <f>IFERROR((I2330/T2330-1)/N2330,"")</f>
        <v/>
      </c>
      <c r="Q2330" s="46">
        <f>IF(OR(T2330="",I2330&lt;T2330),"",IFERROR(R2330/IF(G2330="",I2330,G2330)-1,""))</f>
        <v/>
      </c>
      <c r="R2330" s="48">
        <f>IF($M2330="","",MAX(IF($G2330="",$I2330,$G2330)*(1/1.1),IF($G2330="",$I2330,$G2330)+(R$2*$M2330)))</f>
        <v/>
      </c>
      <c r="S2330" s="49">
        <f>IF($M2330="","",MAX(IF($G2330="",$I2330,$G2330)*(1/1.1),IF($G2330="",$I2330,$G2330)+(S$2*$M2330)))</f>
        <v/>
      </c>
      <c r="T2330" s="82" t="n"/>
      <c r="U2330" s="47">
        <f>IF(OR($M2330="",$T2330=""),"",$T2330+(U$2*$M2330))</f>
        <v/>
      </c>
      <c r="V2330" s="48">
        <f>IF(OR($M2330="",$T2330=""),"",$T2330+(V$2*$M2330))</f>
        <v/>
      </c>
      <c r="W2330" s="48">
        <f>IF(OR($M2330="",$T2330=""),"",$T2330+(W$2*$M2330))</f>
        <v/>
      </c>
      <c r="X2330" s="49">
        <f>IF(OR($M2330="",$T2330=""),"",$T2330+(X$2*$M2330))</f>
        <v/>
      </c>
      <c r="Y2330" s="47">
        <f>IF(OR($M2330="",$T2330=""),"",$T2330+(Y$2*$M2330))</f>
        <v/>
      </c>
      <c r="Z2330" s="49">
        <f>IF(OR($M2330="",$T2330=""),"",$T2330+(Z$2*$M2330))</f>
        <v/>
      </c>
      <c r="AA2330" s="51">
        <f>IF(OR($M2330="",$T2330=""),"",$T2330+(AA$2*$M2330))</f>
        <v/>
      </c>
      <c r="AB2330" s="48">
        <f>IF(OR($M2330="",$T2330=""),"",$T2330+(AB$2*$M2330))</f>
        <v/>
      </c>
      <c r="AC2330" s="48">
        <f>IF(OR($M2330="",$T2330=""),"",$T2330+(AC$2*$M2330))</f>
        <v/>
      </c>
      <c r="AD2330" s="48">
        <f>IF(OR($M2330="",$T2330=""),"",$T2330+(AD$2*$M2330))</f>
        <v/>
      </c>
      <c r="AE2330" s="49">
        <f>IF(OR($M2330="",$T2330=""),"",$T2330+(AE$2*$M2330))</f>
        <v/>
      </c>
      <c r="AF2330" s="52">
        <f>IF(OR(T2330="",I2330&lt;T2330),"",IFERROR(AVERAGE(T2330+M2330*{7,8,9,10,11})/IF(G2330="",I2330,G2330)-1,""))</f>
        <v/>
      </c>
      <c r="AG2330" s="55">
        <f>IF(OR(T2330="",I2330&lt;T2330),"",IFERROR(AF2330/-(R2330/IF(G2330="",I2330,G2330)-1),""))</f>
        <v/>
      </c>
      <c r="AH2330" s="94" t="n"/>
      <c r="AI2330" s="94" t="n"/>
      <c r="AJ2330" s="94" t="n"/>
      <c r="AK2330" s="94" t="n"/>
      <c r="AL2330" s="84" t="n"/>
    </row>
    <row r="2331">
      <c r="A2331" s="64" t="n"/>
      <c r="B2331" s="65" t="n"/>
      <c r="C2331" s="66" t="n"/>
      <c r="D2331" s="67" t="n"/>
      <c r="E2331" s="68" t="n"/>
      <c r="F2331" s="47">
        <f>IF(A2331="","",IF(MIN(H2331,MAX(J2331:K2331))=0,"",MIN(H2331,MAX(J2331:K2331))))</f>
        <v/>
      </c>
      <c r="G2331" s="74" t="n"/>
      <c r="H2331" s="49">
        <f>IF(M2331="","",IFERROR(ROUND(AVERAGE(T2331+M2331*{7,8,9,10,11})/1.21,4),""))</f>
        <v/>
      </c>
      <c r="I2331" s="76" t="n"/>
      <c r="J2331" s="77" t="n"/>
      <c r="K2331" s="74" t="n"/>
      <c r="L2331" s="78" t="n"/>
      <c r="M2331" s="77" t="n"/>
      <c r="N2331" s="53">
        <f>IF(M2331="","",IFERROR(M2331/I2331,""))</f>
        <v/>
      </c>
      <c r="O2331" s="50">
        <f>IF(A2331="","",IFERROR((IF(G2331="",I2331,G2331)-T2331)/M2331,""))</f>
        <v/>
      </c>
      <c r="P2331" s="50">
        <f>IFERROR((I2331/T2331-1)/N2331,"")</f>
        <v/>
      </c>
      <c r="Q2331" s="46">
        <f>IF(OR(T2331="",I2331&lt;T2331),"",IFERROR(R2331/IF(G2331="",I2331,G2331)-1,""))</f>
        <v/>
      </c>
      <c r="R2331" s="48">
        <f>IF($M2331="","",MAX(IF($G2331="",$I2331,$G2331)*(1/1.1),IF($G2331="",$I2331,$G2331)+(R$2*$M2331)))</f>
        <v/>
      </c>
      <c r="S2331" s="49">
        <f>IF($M2331="","",MAX(IF($G2331="",$I2331,$G2331)*(1/1.1),IF($G2331="",$I2331,$G2331)+(S$2*$M2331)))</f>
        <v/>
      </c>
      <c r="T2331" s="82" t="n"/>
      <c r="U2331" s="47">
        <f>IF(OR($M2331="",$T2331=""),"",$T2331+(U$2*$M2331))</f>
        <v/>
      </c>
      <c r="V2331" s="48">
        <f>IF(OR($M2331="",$T2331=""),"",$T2331+(V$2*$M2331))</f>
        <v/>
      </c>
      <c r="W2331" s="48">
        <f>IF(OR($M2331="",$T2331=""),"",$T2331+(W$2*$M2331))</f>
        <v/>
      </c>
      <c r="X2331" s="49">
        <f>IF(OR($M2331="",$T2331=""),"",$T2331+(X$2*$M2331))</f>
        <v/>
      </c>
      <c r="Y2331" s="47">
        <f>IF(OR($M2331="",$T2331=""),"",$T2331+(Y$2*$M2331))</f>
        <v/>
      </c>
      <c r="Z2331" s="49">
        <f>IF(OR($M2331="",$T2331=""),"",$T2331+(Z$2*$M2331))</f>
        <v/>
      </c>
      <c r="AA2331" s="51">
        <f>IF(OR($M2331="",$T2331=""),"",$T2331+(AA$2*$M2331))</f>
        <v/>
      </c>
      <c r="AB2331" s="48">
        <f>IF(OR($M2331="",$T2331=""),"",$T2331+(AB$2*$M2331))</f>
        <v/>
      </c>
      <c r="AC2331" s="48">
        <f>IF(OR($M2331="",$T2331=""),"",$T2331+(AC$2*$M2331))</f>
        <v/>
      </c>
      <c r="AD2331" s="48">
        <f>IF(OR($M2331="",$T2331=""),"",$T2331+(AD$2*$M2331))</f>
        <v/>
      </c>
      <c r="AE2331" s="49">
        <f>IF(OR($M2331="",$T2331=""),"",$T2331+(AE$2*$M2331))</f>
        <v/>
      </c>
      <c r="AF2331" s="52">
        <f>IF(OR(T2331="",I2331&lt;T2331),"",IFERROR(AVERAGE(T2331+M2331*{7,8,9,10,11})/IF(G2331="",I2331,G2331)-1,""))</f>
        <v/>
      </c>
      <c r="AG2331" s="55">
        <f>IF(OR(T2331="",I2331&lt;T2331),"",IFERROR(AF2331/-(R2331/IF(G2331="",I2331,G2331)-1),""))</f>
        <v/>
      </c>
      <c r="AH2331" s="94" t="n"/>
      <c r="AI2331" s="94" t="n"/>
      <c r="AJ2331" s="94" t="n"/>
      <c r="AK2331" s="94" t="n"/>
      <c r="AL2331" s="84" t="n"/>
    </row>
    <row r="2332">
      <c r="A2332" s="64" t="n"/>
      <c r="B2332" s="65" t="n"/>
      <c r="C2332" s="66" t="n"/>
      <c r="D2332" s="67" t="n"/>
      <c r="E2332" s="68" t="n"/>
      <c r="F2332" s="47">
        <f>IF(A2332="","",IF(MIN(H2332,MAX(J2332:K2332))=0,"",MIN(H2332,MAX(J2332:K2332))))</f>
        <v/>
      </c>
      <c r="G2332" s="74" t="n"/>
      <c r="H2332" s="49">
        <f>IF(M2332="","",IFERROR(ROUND(AVERAGE(T2332+M2332*{7,8,9,10,11})/1.21,4),""))</f>
        <v/>
      </c>
      <c r="I2332" s="76" t="n"/>
      <c r="J2332" s="77" t="n"/>
      <c r="K2332" s="74" t="n"/>
      <c r="L2332" s="78" t="n"/>
      <c r="M2332" s="77" t="n"/>
      <c r="N2332" s="53">
        <f>IF(M2332="","",IFERROR(M2332/I2332,""))</f>
        <v/>
      </c>
      <c r="O2332" s="50">
        <f>IF(A2332="","",IFERROR((IF(G2332="",I2332,G2332)-T2332)/M2332,""))</f>
        <v/>
      </c>
      <c r="P2332" s="50">
        <f>IFERROR((I2332/T2332-1)/N2332,"")</f>
        <v/>
      </c>
      <c r="Q2332" s="46">
        <f>IF(OR(T2332="",I2332&lt;T2332),"",IFERROR(R2332/IF(G2332="",I2332,G2332)-1,""))</f>
        <v/>
      </c>
      <c r="R2332" s="48">
        <f>IF($M2332="","",MAX(IF($G2332="",$I2332,$G2332)*(1/1.1),IF($G2332="",$I2332,$G2332)+(R$2*$M2332)))</f>
        <v/>
      </c>
      <c r="S2332" s="49">
        <f>IF($M2332="","",MAX(IF($G2332="",$I2332,$G2332)*(1/1.1),IF($G2332="",$I2332,$G2332)+(S$2*$M2332)))</f>
        <v/>
      </c>
      <c r="T2332" s="82" t="n"/>
      <c r="U2332" s="47">
        <f>IF(OR($M2332="",$T2332=""),"",$T2332+(U$2*$M2332))</f>
        <v/>
      </c>
      <c r="V2332" s="48">
        <f>IF(OR($M2332="",$T2332=""),"",$T2332+(V$2*$M2332))</f>
        <v/>
      </c>
      <c r="W2332" s="48">
        <f>IF(OR($M2332="",$T2332=""),"",$T2332+(W$2*$M2332))</f>
        <v/>
      </c>
      <c r="X2332" s="49">
        <f>IF(OR($M2332="",$T2332=""),"",$T2332+(X$2*$M2332))</f>
        <v/>
      </c>
      <c r="Y2332" s="47">
        <f>IF(OR($M2332="",$T2332=""),"",$T2332+(Y$2*$M2332))</f>
        <v/>
      </c>
      <c r="Z2332" s="49">
        <f>IF(OR($M2332="",$T2332=""),"",$T2332+(Z$2*$M2332))</f>
        <v/>
      </c>
      <c r="AA2332" s="51">
        <f>IF(OR($M2332="",$T2332=""),"",$T2332+(AA$2*$M2332))</f>
        <v/>
      </c>
      <c r="AB2332" s="48">
        <f>IF(OR($M2332="",$T2332=""),"",$T2332+(AB$2*$M2332))</f>
        <v/>
      </c>
      <c r="AC2332" s="48">
        <f>IF(OR($M2332="",$T2332=""),"",$T2332+(AC$2*$M2332))</f>
        <v/>
      </c>
      <c r="AD2332" s="48">
        <f>IF(OR($M2332="",$T2332=""),"",$T2332+(AD$2*$M2332))</f>
        <v/>
      </c>
      <c r="AE2332" s="49">
        <f>IF(OR($M2332="",$T2332=""),"",$T2332+(AE$2*$M2332))</f>
        <v/>
      </c>
      <c r="AF2332" s="52">
        <f>IF(OR(T2332="",I2332&lt;T2332),"",IFERROR(AVERAGE(T2332+M2332*{7,8,9,10,11})/IF(G2332="",I2332,G2332)-1,""))</f>
        <v/>
      </c>
      <c r="AG2332" s="55">
        <f>IF(OR(T2332="",I2332&lt;T2332),"",IFERROR(AF2332/-(R2332/IF(G2332="",I2332,G2332)-1),""))</f>
        <v/>
      </c>
      <c r="AH2332" s="94" t="n"/>
      <c r="AI2332" s="94" t="n"/>
      <c r="AJ2332" s="94" t="n"/>
      <c r="AK2332" s="94" t="n"/>
      <c r="AL2332" s="84" t="n"/>
    </row>
    <row r="2333">
      <c r="A2333" s="64" t="n"/>
      <c r="B2333" s="65" t="n"/>
      <c r="C2333" s="66" t="n"/>
      <c r="D2333" s="67" t="n"/>
      <c r="E2333" s="68" t="n"/>
      <c r="F2333" s="47">
        <f>IF(A2333="","",IF(MIN(H2333,MAX(J2333:K2333))=0,"",MIN(H2333,MAX(J2333:K2333))))</f>
        <v/>
      </c>
      <c r="G2333" s="74" t="n"/>
      <c r="H2333" s="49">
        <f>IF(M2333="","",IFERROR(ROUND(AVERAGE(T2333+M2333*{7,8,9,10,11})/1.21,4),""))</f>
        <v/>
      </c>
      <c r="I2333" s="76" t="n"/>
      <c r="J2333" s="77" t="n"/>
      <c r="K2333" s="74" t="n"/>
      <c r="L2333" s="78" t="n"/>
      <c r="M2333" s="77" t="n"/>
      <c r="N2333" s="53">
        <f>IF(M2333="","",IFERROR(M2333/I2333,""))</f>
        <v/>
      </c>
      <c r="O2333" s="50">
        <f>IF(A2333="","",IFERROR((IF(G2333="",I2333,G2333)-T2333)/M2333,""))</f>
        <v/>
      </c>
      <c r="P2333" s="50">
        <f>IFERROR((I2333/T2333-1)/N2333,"")</f>
        <v/>
      </c>
      <c r="Q2333" s="46">
        <f>IF(OR(T2333="",I2333&lt;T2333),"",IFERROR(R2333/IF(G2333="",I2333,G2333)-1,""))</f>
        <v/>
      </c>
      <c r="R2333" s="48">
        <f>IF($M2333="","",MAX(IF($G2333="",$I2333,$G2333)*(1/1.1),IF($G2333="",$I2333,$G2333)+(R$2*$M2333)))</f>
        <v/>
      </c>
      <c r="S2333" s="49">
        <f>IF($M2333="","",MAX(IF($G2333="",$I2333,$G2333)*(1/1.1),IF($G2333="",$I2333,$G2333)+(S$2*$M2333)))</f>
        <v/>
      </c>
      <c r="T2333" s="82" t="n"/>
      <c r="U2333" s="47">
        <f>IF(OR($M2333="",$T2333=""),"",$T2333+(U$2*$M2333))</f>
        <v/>
      </c>
      <c r="V2333" s="48">
        <f>IF(OR($M2333="",$T2333=""),"",$T2333+(V$2*$M2333))</f>
        <v/>
      </c>
      <c r="W2333" s="48">
        <f>IF(OR($M2333="",$T2333=""),"",$T2333+(W$2*$M2333))</f>
        <v/>
      </c>
      <c r="X2333" s="49">
        <f>IF(OR($M2333="",$T2333=""),"",$T2333+(X$2*$M2333))</f>
        <v/>
      </c>
      <c r="Y2333" s="47">
        <f>IF(OR($M2333="",$T2333=""),"",$T2333+(Y$2*$M2333))</f>
        <v/>
      </c>
      <c r="Z2333" s="49">
        <f>IF(OR($M2333="",$T2333=""),"",$T2333+(Z$2*$M2333))</f>
        <v/>
      </c>
      <c r="AA2333" s="51">
        <f>IF(OR($M2333="",$T2333=""),"",$T2333+(AA$2*$M2333))</f>
        <v/>
      </c>
      <c r="AB2333" s="48">
        <f>IF(OR($M2333="",$T2333=""),"",$T2333+(AB$2*$M2333))</f>
        <v/>
      </c>
      <c r="AC2333" s="48">
        <f>IF(OR($M2333="",$T2333=""),"",$T2333+(AC$2*$M2333))</f>
        <v/>
      </c>
      <c r="AD2333" s="48">
        <f>IF(OR($M2333="",$T2333=""),"",$T2333+(AD$2*$M2333))</f>
        <v/>
      </c>
      <c r="AE2333" s="49">
        <f>IF(OR($M2333="",$T2333=""),"",$T2333+(AE$2*$M2333))</f>
        <v/>
      </c>
      <c r="AF2333" s="52">
        <f>IF(OR(T2333="",I2333&lt;T2333),"",IFERROR(AVERAGE(T2333+M2333*{7,8,9,10,11})/IF(G2333="",I2333,G2333)-1,""))</f>
        <v/>
      </c>
      <c r="AG2333" s="55">
        <f>IF(OR(T2333="",I2333&lt;T2333),"",IFERROR(AF2333/-(R2333/IF(G2333="",I2333,G2333)-1),""))</f>
        <v/>
      </c>
      <c r="AH2333" s="94" t="n"/>
      <c r="AI2333" s="94" t="n"/>
      <c r="AJ2333" s="94" t="n"/>
      <c r="AK2333" s="94" t="n"/>
      <c r="AL2333" s="84" t="n"/>
    </row>
    <row r="2334">
      <c r="A2334" s="64" t="n"/>
      <c r="B2334" s="65" t="n"/>
      <c r="C2334" s="66" t="n"/>
      <c r="D2334" s="67" t="n"/>
      <c r="E2334" s="68" t="n"/>
      <c r="F2334" s="47">
        <f>IF(A2334="","",IF(MIN(H2334,MAX(J2334:K2334))=0,"",MIN(H2334,MAX(J2334:K2334))))</f>
        <v/>
      </c>
      <c r="G2334" s="74" t="n"/>
      <c r="H2334" s="49">
        <f>IF(M2334="","",IFERROR(ROUND(AVERAGE(T2334+M2334*{7,8,9,10,11})/1.21,4),""))</f>
        <v/>
      </c>
      <c r="I2334" s="76" t="n"/>
      <c r="J2334" s="77" t="n"/>
      <c r="K2334" s="74" t="n"/>
      <c r="L2334" s="78" t="n"/>
      <c r="M2334" s="77" t="n"/>
      <c r="N2334" s="53">
        <f>IF(M2334="","",IFERROR(M2334/I2334,""))</f>
        <v/>
      </c>
      <c r="O2334" s="50">
        <f>IF(A2334="","",IFERROR((IF(G2334="",I2334,G2334)-T2334)/M2334,""))</f>
        <v/>
      </c>
      <c r="P2334" s="50">
        <f>IFERROR((I2334/T2334-1)/N2334,"")</f>
        <v/>
      </c>
      <c r="Q2334" s="46">
        <f>IF(OR(T2334="",I2334&lt;T2334),"",IFERROR(R2334/IF(G2334="",I2334,G2334)-1,""))</f>
        <v/>
      </c>
      <c r="R2334" s="48">
        <f>IF($M2334="","",MAX(IF($G2334="",$I2334,$G2334)*(1/1.1),IF($G2334="",$I2334,$G2334)+(R$2*$M2334)))</f>
        <v/>
      </c>
      <c r="S2334" s="49">
        <f>IF($M2334="","",MAX(IF($G2334="",$I2334,$G2334)*(1/1.1),IF($G2334="",$I2334,$G2334)+(S$2*$M2334)))</f>
        <v/>
      </c>
      <c r="T2334" s="82" t="n"/>
      <c r="U2334" s="47">
        <f>IF(OR($M2334="",$T2334=""),"",$T2334+(U$2*$M2334))</f>
        <v/>
      </c>
      <c r="V2334" s="48">
        <f>IF(OR($M2334="",$T2334=""),"",$T2334+(V$2*$M2334))</f>
        <v/>
      </c>
      <c r="W2334" s="48">
        <f>IF(OR($M2334="",$T2334=""),"",$T2334+(W$2*$M2334))</f>
        <v/>
      </c>
      <c r="X2334" s="49">
        <f>IF(OR($M2334="",$T2334=""),"",$T2334+(X$2*$M2334))</f>
        <v/>
      </c>
      <c r="Y2334" s="47">
        <f>IF(OR($M2334="",$T2334=""),"",$T2334+(Y$2*$M2334))</f>
        <v/>
      </c>
      <c r="Z2334" s="49">
        <f>IF(OR($M2334="",$T2334=""),"",$T2334+(Z$2*$M2334))</f>
        <v/>
      </c>
      <c r="AA2334" s="51">
        <f>IF(OR($M2334="",$T2334=""),"",$T2334+(AA$2*$M2334))</f>
        <v/>
      </c>
      <c r="AB2334" s="48">
        <f>IF(OR($M2334="",$T2334=""),"",$T2334+(AB$2*$M2334))</f>
        <v/>
      </c>
      <c r="AC2334" s="48">
        <f>IF(OR($M2334="",$T2334=""),"",$T2334+(AC$2*$M2334))</f>
        <v/>
      </c>
      <c r="AD2334" s="48">
        <f>IF(OR($M2334="",$T2334=""),"",$T2334+(AD$2*$M2334))</f>
        <v/>
      </c>
      <c r="AE2334" s="49">
        <f>IF(OR($M2334="",$T2334=""),"",$T2334+(AE$2*$M2334))</f>
        <v/>
      </c>
      <c r="AF2334" s="52">
        <f>IF(OR(T2334="",I2334&lt;T2334),"",IFERROR(AVERAGE(T2334+M2334*{7,8,9,10,11})/IF(G2334="",I2334,G2334)-1,""))</f>
        <v/>
      </c>
      <c r="AG2334" s="55">
        <f>IF(OR(T2334="",I2334&lt;T2334),"",IFERROR(AF2334/-(R2334/IF(G2334="",I2334,G2334)-1),""))</f>
        <v/>
      </c>
      <c r="AH2334" s="94" t="n"/>
      <c r="AI2334" s="94" t="n"/>
      <c r="AJ2334" s="94" t="n"/>
      <c r="AK2334" s="94" t="n"/>
      <c r="AL2334" s="84" t="n"/>
    </row>
    <row r="2335">
      <c r="A2335" s="64" t="n"/>
      <c r="B2335" s="65" t="n"/>
      <c r="C2335" s="66" t="n"/>
      <c r="D2335" s="67" t="n"/>
      <c r="E2335" s="68" t="n"/>
      <c r="F2335" s="47">
        <f>IF(A2335="","",IF(MIN(H2335,MAX(J2335:K2335))=0,"",MIN(H2335,MAX(J2335:K2335))))</f>
        <v/>
      </c>
      <c r="G2335" s="74" t="n"/>
      <c r="H2335" s="49">
        <f>IF(M2335="","",IFERROR(ROUND(AVERAGE(T2335+M2335*{7,8,9,10,11})/1.21,4),""))</f>
        <v/>
      </c>
      <c r="I2335" s="76" t="n"/>
      <c r="J2335" s="77" t="n"/>
      <c r="K2335" s="74" t="n"/>
      <c r="L2335" s="78" t="n"/>
      <c r="M2335" s="77" t="n"/>
      <c r="N2335" s="53">
        <f>IF(M2335="","",IFERROR(M2335/I2335,""))</f>
        <v/>
      </c>
      <c r="O2335" s="50">
        <f>IF(A2335="","",IFERROR((IF(G2335="",I2335,G2335)-T2335)/M2335,""))</f>
        <v/>
      </c>
      <c r="P2335" s="50">
        <f>IFERROR((I2335/T2335-1)/N2335,"")</f>
        <v/>
      </c>
      <c r="Q2335" s="46">
        <f>IF(OR(T2335="",I2335&lt;T2335),"",IFERROR(R2335/IF(G2335="",I2335,G2335)-1,""))</f>
        <v/>
      </c>
      <c r="R2335" s="48">
        <f>IF($M2335="","",MAX(IF($G2335="",$I2335,$G2335)*(1/1.1),IF($G2335="",$I2335,$G2335)+(R$2*$M2335)))</f>
        <v/>
      </c>
      <c r="S2335" s="49">
        <f>IF($M2335="","",MAX(IF($G2335="",$I2335,$G2335)*(1/1.1),IF($G2335="",$I2335,$G2335)+(S$2*$M2335)))</f>
        <v/>
      </c>
      <c r="T2335" s="82" t="n"/>
      <c r="U2335" s="47">
        <f>IF(OR($M2335="",$T2335=""),"",$T2335+(U$2*$M2335))</f>
        <v/>
      </c>
      <c r="V2335" s="48">
        <f>IF(OR($M2335="",$T2335=""),"",$T2335+(V$2*$M2335))</f>
        <v/>
      </c>
      <c r="W2335" s="48">
        <f>IF(OR($M2335="",$T2335=""),"",$T2335+(W$2*$M2335))</f>
        <v/>
      </c>
      <c r="X2335" s="49">
        <f>IF(OR($M2335="",$T2335=""),"",$T2335+(X$2*$M2335))</f>
        <v/>
      </c>
      <c r="Y2335" s="47">
        <f>IF(OR($M2335="",$T2335=""),"",$T2335+(Y$2*$M2335))</f>
        <v/>
      </c>
      <c r="Z2335" s="49">
        <f>IF(OR($M2335="",$T2335=""),"",$T2335+(Z$2*$M2335))</f>
        <v/>
      </c>
      <c r="AA2335" s="51">
        <f>IF(OR($M2335="",$T2335=""),"",$T2335+(AA$2*$M2335))</f>
        <v/>
      </c>
      <c r="AB2335" s="48">
        <f>IF(OR($M2335="",$T2335=""),"",$T2335+(AB$2*$M2335))</f>
        <v/>
      </c>
      <c r="AC2335" s="48">
        <f>IF(OR($M2335="",$T2335=""),"",$T2335+(AC$2*$M2335))</f>
        <v/>
      </c>
      <c r="AD2335" s="48">
        <f>IF(OR($M2335="",$T2335=""),"",$T2335+(AD$2*$M2335))</f>
        <v/>
      </c>
      <c r="AE2335" s="49">
        <f>IF(OR($M2335="",$T2335=""),"",$T2335+(AE$2*$M2335))</f>
        <v/>
      </c>
      <c r="AF2335" s="52">
        <f>IF(OR(T2335="",I2335&lt;T2335),"",IFERROR(AVERAGE(T2335+M2335*{7,8,9,10,11})/IF(G2335="",I2335,G2335)-1,""))</f>
        <v/>
      </c>
      <c r="AG2335" s="55">
        <f>IF(OR(T2335="",I2335&lt;T2335),"",IFERROR(AF2335/-(R2335/IF(G2335="",I2335,G2335)-1),""))</f>
        <v/>
      </c>
      <c r="AH2335" s="94" t="n"/>
      <c r="AI2335" s="94" t="n"/>
      <c r="AJ2335" s="94" t="n"/>
      <c r="AK2335" s="94" t="n"/>
      <c r="AL2335" s="84" t="n"/>
    </row>
    <row r="2336">
      <c r="A2336" s="64" t="n"/>
      <c r="B2336" s="65" t="n"/>
      <c r="C2336" s="66" t="n"/>
      <c r="D2336" s="67" t="n"/>
      <c r="E2336" s="68" t="n"/>
      <c r="F2336" s="47">
        <f>IF(A2336="","",IF(MIN(H2336,MAX(J2336:K2336))=0,"",MIN(H2336,MAX(J2336:K2336))))</f>
        <v/>
      </c>
      <c r="G2336" s="74" t="n"/>
      <c r="H2336" s="49">
        <f>IF(M2336="","",IFERROR(ROUND(AVERAGE(T2336+M2336*{7,8,9,10,11})/1.21,4),""))</f>
        <v/>
      </c>
      <c r="I2336" s="76" t="n"/>
      <c r="J2336" s="77" t="n"/>
      <c r="K2336" s="74" t="n"/>
      <c r="L2336" s="78" t="n"/>
      <c r="M2336" s="77" t="n"/>
      <c r="N2336" s="53">
        <f>IF(M2336="","",IFERROR(M2336/I2336,""))</f>
        <v/>
      </c>
      <c r="O2336" s="50">
        <f>IF(A2336="","",IFERROR((IF(G2336="",I2336,G2336)-T2336)/M2336,""))</f>
        <v/>
      </c>
      <c r="P2336" s="50">
        <f>IFERROR((I2336/T2336-1)/N2336,"")</f>
        <v/>
      </c>
      <c r="Q2336" s="46">
        <f>IF(OR(T2336="",I2336&lt;T2336),"",IFERROR(R2336/IF(G2336="",I2336,G2336)-1,""))</f>
        <v/>
      </c>
      <c r="R2336" s="48">
        <f>IF($M2336="","",MAX(IF($G2336="",$I2336,$G2336)*(1/1.1),IF($G2336="",$I2336,$G2336)+(R$2*$M2336)))</f>
        <v/>
      </c>
      <c r="S2336" s="49">
        <f>IF($M2336="","",MAX(IF($G2336="",$I2336,$G2336)*(1/1.1),IF($G2336="",$I2336,$G2336)+(S$2*$M2336)))</f>
        <v/>
      </c>
      <c r="T2336" s="82" t="n"/>
      <c r="U2336" s="47">
        <f>IF(OR($M2336="",$T2336=""),"",$T2336+(U$2*$M2336))</f>
        <v/>
      </c>
      <c r="V2336" s="48">
        <f>IF(OR($M2336="",$T2336=""),"",$T2336+(V$2*$M2336))</f>
        <v/>
      </c>
      <c r="W2336" s="48">
        <f>IF(OR($M2336="",$T2336=""),"",$T2336+(W$2*$M2336))</f>
        <v/>
      </c>
      <c r="X2336" s="49">
        <f>IF(OR($M2336="",$T2336=""),"",$T2336+(X$2*$M2336))</f>
        <v/>
      </c>
      <c r="Y2336" s="47">
        <f>IF(OR($M2336="",$T2336=""),"",$T2336+(Y$2*$M2336))</f>
        <v/>
      </c>
      <c r="Z2336" s="49">
        <f>IF(OR($M2336="",$T2336=""),"",$T2336+(Z$2*$M2336))</f>
        <v/>
      </c>
      <c r="AA2336" s="51">
        <f>IF(OR($M2336="",$T2336=""),"",$T2336+(AA$2*$M2336))</f>
        <v/>
      </c>
      <c r="AB2336" s="48">
        <f>IF(OR($M2336="",$T2336=""),"",$T2336+(AB$2*$M2336))</f>
        <v/>
      </c>
      <c r="AC2336" s="48">
        <f>IF(OR($M2336="",$T2336=""),"",$T2336+(AC$2*$M2336))</f>
        <v/>
      </c>
      <c r="AD2336" s="48">
        <f>IF(OR($M2336="",$T2336=""),"",$T2336+(AD$2*$M2336))</f>
        <v/>
      </c>
      <c r="AE2336" s="49">
        <f>IF(OR($M2336="",$T2336=""),"",$T2336+(AE$2*$M2336))</f>
        <v/>
      </c>
      <c r="AF2336" s="52">
        <f>IF(OR(T2336="",I2336&lt;T2336),"",IFERROR(AVERAGE(T2336+M2336*{7,8,9,10,11})/IF(G2336="",I2336,G2336)-1,""))</f>
        <v/>
      </c>
      <c r="AG2336" s="55">
        <f>IF(OR(T2336="",I2336&lt;T2336),"",IFERROR(AF2336/-(R2336/IF(G2336="",I2336,G2336)-1),""))</f>
        <v/>
      </c>
      <c r="AH2336" s="94" t="n"/>
      <c r="AI2336" s="94" t="n"/>
      <c r="AJ2336" s="94" t="n"/>
      <c r="AK2336" s="94" t="n"/>
      <c r="AL2336" s="84" t="n"/>
    </row>
    <row r="2337">
      <c r="A2337" s="64" t="n"/>
      <c r="B2337" s="65" t="n"/>
      <c r="C2337" s="66" t="n"/>
      <c r="D2337" s="67" t="n"/>
      <c r="E2337" s="68" t="n"/>
      <c r="F2337" s="47">
        <f>IF(A2337="","",IF(MIN(H2337,MAX(J2337:K2337))=0,"",MIN(H2337,MAX(J2337:K2337))))</f>
        <v/>
      </c>
      <c r="G2337" s="74" t="n"/>
      <c r="H2337" s="49">
        <f>IF(M2337="","",IFERROR(ROUND(AVERAGE(T2337+M2337*{7,8,9,10,11})/1.21,4),""))</f>
        <v/>
      </c>
      <c r="I2337" s="76" t="n"/>
      <c r="J2337" s="77" t="n"/>
      <c r="K2337" s="74" t="n"/>
      <c r="L2337" s="78" t="n"/>
      <c r="M2337" s="77" t="n"/>
      <c r="N2337" s="53">
        <f>IF(M2337="","",IFERROR(M2337/I2337,""))</f>
        <v/>
      </c>
      <c r="O2337" s="50">
        <f>IF(A2337="","",IFERROR((IF(G2337="",I2337,G2337)-T2337)/M2337,""))</f>
        <v/>
      </c>
      <c r="P2337" s="50">
        <f>IFERROR((I2337/T2337-1)/N2337,"")</f>
        <v/>
      </c>
      <c r="Q2337" s="46">
        <f>IF(OR(T2337="",I2337&lt;T2337),"",IFERROR(R2337/IF(G2337="",I2337,G2337)-1,""))</f>
        <v/>
      </c>
      <c r="R2337" s="48">
        <f>IF($M2337="","",MAX(IF($G2337="",$I2337,$G2337)*(1/1.1),IF($G2337="",$I2337,$G2337)+(R$2*$M2337)))</f>
        <v/>
      </c>
      <c r="S2337" s="49">
        <f>IF($M2337="","",MAX(IF($G2337="",$I2337,$G2337)*(1/1.1),IF($G2337="",$I2337,$G2337)+(S$2*$M2337)))</f>
        <v/>
      </c>
      <c r="T2337" s="82" t="n"/>
      <c r="U2337" s="47">
        <f>IF(OR($M2337="",$T2337=""),"",$T2337+(U$2*$M2337))</f>
        <v/>
      </c>
      <c r="V2337" s="48">
        <f>IF(OR($M2337="",$T2337=""),"",$T2337+(V$2*$M2337))</f>
        <v/>
      </c>
      <c r="W2337" s="48">
        <f>IF(OR($M2337="",$T2337=""),"",$T2337+(W$2*$M2337))</f>
        <v/>
      </c>
      <c r="X2337" s="49">
        <f>IF(OR($M2337="",$T2337=""),"",$T2337+(X$2*$M2337))</f>
        <v/>
      </c>
      <c r="Y2337" s="47">
        <f>IF(OR($M2337="",$T2337=""),"",$T2337+(Y$2*$M2337))</f>
        <v/>
      </c>
      <c r="Z2337" s="49">
        <f>IF(OR($M2337="",$T2337=""),"",$T2337+(Z$2*$M2337))</f>
        <v/>
      </c>
      <c r="AA2337" s="51">
        <f>IF(OR($M2337="",$T2337=""),"",$T2337+(AA$2*$M2337))</f>
        <v/>
      </c>
      <c r="AB2337" s="48">
        <f>IF(OR($M2337="",$T2337=""),"",$T2337+(AB$2*$M2337))</f>
        <v/>
      </c>
      <c r="AC2337" s="48">
        <f>IF(OR($M2337="",$T2337=""),"",$T2337+(AC$2*$M2337))</f>
        <v/>
      </c>
      <c r="AD2337" s="48">
        <f>IF(OR($M2337="",$T2337=""),"",$T2337+(AD$2*$M2337))</f>
        <v/>
      </c>
      <c r="AE2337" s="49">
        <f>IF(OR($M2337="",$T2337=""),"",$T2337+(AE$2*$M2337))</f>
        <v/>
      </c>
      <c r="AF2337" s="52">
        <f>IF(OR(T2337="",I2337&lt;T2337),"",IFERROR(AVERAGE(T2337+M2337*{7,8,9,10,11})/IF(G2337="",I2337,G2337)-1,""))</f>
        <v/>
      </c>
      <c r="AG2337" s="55">
        <f>IF(OR(T2337="",I2337&lt;T2337),"",IFERROR(AF2337/-(R2337/IF(G2337="",I2337,G2337)-1),""))</f>
        <v/>
      </c>
      <c r="AH2337" s="94" t="n"/>
      <c r="AI2337" s="94" t="n"/>
      <c r="AJ2337" s="94" t="n"/>
      <c r="AK2337" s="94" t="n"/>
      <c r="AL2337" s="84" t="n"/>
    </row>
    <row r="2338">
      <c r="A2338" s="64" t="n"/>
      <c r="B2338" s="65" t="n"/>
      <c r="C2338" s="66" t="n"/>
      <c r="D2338" s="67" t="n"/>
      <c r="E2338" s="68" t="n"/>
      <c r="F2338" s="47">
        <f>IF(A2338="","",IF(MIN(H2338,MAX(J2338:K2338))=0,"",MIN(H2338,MAX(J2338:K2338))))</f>
        <v/>
      </c>
      <c r="G2338" s="74" t="n"/>
      <c r="H2338" s="49">
        <f>IF(M2338="","",IFERROR(ROUND(AVERAGE(T2338+M2338*{7,8,9,10,11})/1.21,4),""))</f>
        <v/>
      </c>
      <c r="I2338" s="76" t="n"/>
      <c r="J2338" s="77" t="n"/>
      <c r="K2338" s="74" t="n"/>
      <c r="L2338" s="78" t="n"/>
      <c r="M2338" s="77" t="n"/>
      <c r="N2338" s="53">
        <f>IF(M2338="","",IFERROR(M2338/I2338,""))</f>
        <v/>
      </c>
      <c r="O2338" s="50">
        <f>IF(A2338="","",IFERROR((IF(G2338="",I2338,G2338)-T2338)/M2338,""))</f>
        <v/>
      </c>
      <c r="P2338" s="50">
        <f>IFERROR((I2338/T2338-1)/N2338,"")</f>
        <v/>
      </c>
      <c r="Q2338" s="46">
        <f>IF(OR(T2338="",I2338&lt;T2338),"",IFERROR(R2338/IF(G2338="",I2338,G2338)-1,""))</f>
        <v/>
      </c>
      <c r="R2338" s="48">
        <f>IF($M2338="","",MAX(IF($G2338="",$I2338,$G2338)*(1/1.1),IF($G2338="",$I2338,$G2338)+(R$2*$M2338)))</f>
        <v/>
      </c>
      <c r="S2338" s="49">
        <f>IF($M2338="","",MAX(IF($G2338="",$I2338,$G2338)*(1/1.1),IF($G2338="",$I2338,$G2338)+(S$2*$M2338)))</f>
        <v/>
      </c>
      <c r="T2338" s="82" t="n"/>
      <c r="U2338" s="47">
        <f>IF(OR($M2338="",$T2338=""),"",$T2338+(U$2*$M2338))</f>
        <v/>
      </c>
      <c r="V2338" s="48">
        <f>IF(OR($M2338="",$T2338=""),"",$T2338+(V$2*$M2338))</f>
        <v/>
      </c>
      <c r="W2338" s="48">
        <f>IF(OR($M2338="",$T2338=""),"",$T2338+(W$2*$M2338))</f>
        <v/>
      </c>
      <c r="X2338" s="49">
        <f>IF(OR($M2338="",$T2338=""),"",$T2338+(X$2*$M2338))</f>
        <v/>
      </c>
      <c r="Y2338" s="47">
        <f>IF(OR($M2338="",$T2338=""),"",$T2338+(Y$2*$M2338))</f>
        <v/>
      </c>
      <c r="Z2338" s="49">
        <f>IF(OR($M2338="",$T2338=""),"",$T2338+(Z$2*$M2338))</f>
        <v/>
      </c>
      <c r="AA2338" s="51">
        <f>IF(OR($M2338="",$T2338=""),"",$T2338+(AA$2*$M2338))</f>
        <v/>
      </c>
      <c r="AB2338" s="48">
        <f>IF(OR($M2338="",$T2338=""),"",$T2338+(AB$2*$M2338))</f>
        <v/>
      </c>
      <c r="AC2338" s="48">
        <f>IF(OR($M2338="",$T2338=""),"",$T2338+(AC$2*$M2338))</f>
        <v/>
      </c>
      <c r="AD2338" s="48">
        <f>IF(OR($M2338="",$T2338=""),"",$T2338+(AD$2*$M2338))</f>
        <v/>
      </c>
      <c r="AE2338" s="49">
        <f>IF(OR($M2338="",$T2338=""),"",$T2338+(AE$2*$M2338))</f>
        <v/>
      </c>
      <c r="AF2338" s="52">
        <f>IF(OR(T2338="",I2338&lt;T2338),"",IFERROR(AVERAGE(T2338+M2338*{7,8,9,10,11})/IF(G2338="",I2338,G2338)-1,""))</f>
        <v/>
      </c>
      <c r="AG2338" s="55">
        <f>IF(OR(T2338="",I2338&lt;T2338),"",IFERROR(AF2338/-(R2338/IF(G2338="",I2338,G2338)-1),""))</f>
        <v/>
      </c>
      <c r="AH2338" s="94" t="n"/>
      <c r="AI2338" s="94" t="n"/>
      <c r="AJ2338" s="94" t="n"/>
      <c r="AK2338" s="94" t="n"/>
      <c r="AL2338" s="84" t="n"/>
    </row>
    <row r="2339">
      <c r="A2339" s="64" t="n"/>
      <c r="B2339" s="65" t="n"/>
      <c r="C2339" s="66" t="n"/>
      <c r="D2339" s="67" t="n"/>
      <c r="E2339" s="68" t="n"/>
      <c r="F2339" s="47">
        <f>IF(A2339="","",IF(MIN(H2339,MAX(J2339:K2339))=0,"",MIN(H2339,MAX(J2339:K2339))))</f>
        <v/>
      </c>
      <c r="G2339" s="74" t="n"/>
      <c r="H2339" s="49">
        <f>IF(M2339="","",IFERROR(ROUND(AVERAGE(T2339+M2339*{7,8,9,10,11})/1.21,4),""))</f>
        <v/>
      </c>
      <c r="I2339" s="76" t="n"/>
      <c r="J2339" s="77" t="n"/>
      <c r="K2339" s="74" t="n"/>
      <c r="L2339" s="78" t="n"/>
      <c r="M2339" s="77" t="n"/>
      <c r="N2339" s="53">
        <f>IF(M2339="","",IFERROR(M2339/I2339,""))</f>
        <v/>
      </c>
      <c r="O2339" s="50">
        <f>IF(A2339="","",IFERROR((IF(G2339="",I2339,G2339)-T2339)/M2339,""))</f>
        <v/>
      </c>
      <c r="P2339" s="50">
        <f>IFERROR((I2339/T2339-1)/N2339,"")</f>
        <v/>
      </c>
      <c r="Q2339" s="46">
        <f>IF(OR(T2339="",I2339&lt;T2339),"",IFERROR(R2339/IF(G2339="",I2339,G2339)-1,""))</f>
        <v/>
      </c>
      <c r="R2339" s="48">
        <f>IF($M2339="","",MAX(IF($G2339="",$I2339,$G2339)*(1/1.1),IF($G2339="",$I2339,$G2339)+(R$2*$M2339)))</f>
        <v/>
      </c>
      <c r="S2339" s="49">
        <f>IF($M2339="","",MAX(IF($G2339="",$I2339,$G2339)*(1/1.1),IF($G2339="",$I2339,$G2339)+(S$2*$M2339)))</f>
        <v/>
      </c>
      <c r="T2339" s="82" t="n"/>
      <c r="U2339" s="47">
        <f>IF(OR($M2339="",$T2339=""),"",$T2339+(U$2*$M2339))</f>
        <v/>
      </c>
      <c r="V2339" s="48">
        <f>IF(OR($M2339="",$T2339=""),"",$T2339+(V$2*$M2339))</f>
        <v/>
      </c>
      <c r="W2339" s="48">
        <f>IF(OR($M2339="",$T2339=""),"",$T2339+(W$2*$M2339))</f>
        <v/>
      </c>
      <c r="X2339" s="49">
        <f>IF(OR($M2339="",$T2339=""),"",$T2339+(X$2*$M2339))</f>
        <v/>
      </c>
      <c r="Y2339" s="47">
        <f>IF(OR($M2339="",$T2339=""),"",$T2339+(Y$2*$M2339))</f>
        <v/>
      </c>
      <c r="Z2339" s="49">
        <f>IF(OR($M2339="",$T2339=""),"",$T2339+(Z$2*$M2339))</f>
        <v/>
      </c>
      <c r="AA2339" s="51">
        <f>IF(OR($M2339="",$T2339=""),"",$T2339+(AA$2*$M2339))</f>
        <v/>
      </c>
      <c r="AB2339" s="48">
        <f>IF(OR($M2339="",$T2339=""),"",$T2339+(AB$2*$M2339))</f>
        <v/>
      </c>
      <c r="AC2339" s="48">
        <f>IF(OR($M2339="",$T2339=""),"",$T2339+(AC$2*$M2339))</f>
        <v/>
      </c>
      <c r="AD2339" s="48">
        <f>IF(OR($M2339="",$T2339=""),"",$T2339+(AD$2*$M2339))</f>
        <v/>
      </c>
      <c r="AE2339" s="49">
        <f>IF(OR($M2339="",$T2339=""),"",$T2339+(AE$2*$M2339))</f>
        <v/>
      </c>
      <c r="AF2339" s="52">
        <f>IF(OR(T2339="",I2339&lt;T2339),"",IFERROR(AVERAGE(T2339+M2339*{7,8,9,10,11})/IF(G2339="",I2339,G2339)-1,""))</f>
        <v/>
      </c>
      <c r="AG2339" s="55">
        <f>IF(OR(T2339="",I2339&lt;T2339),"",IFERROR(AF2339/-(R2339/IF(G2339="",I2339,G2339)-1),""))</f>
        <v/>
      </c>
      <c r="AH2339" s="94" t="n"/>
      <c r="AI2339" s="94" t="n"/>
      <c r="AJ2339" s="94" t="n"/>
      <c r="AK2339" s="94" t="n"/>
      <c r="AL2339" s="84" t="n"/>
    </row>
    <row r="2340">
      <c r="A2340" s="64" t="n"/>
      <c r="B2340" s="65" t="n"/>
      <c r="C2340" s="66" t="n"/>
      <c r="D2340" s="67" t="n"/>
      <c r="E2340" s="68" t="n"/>
      <c r="F2340" s="47">
        <f>IF(A2340="","",IF(MIN(H2340,MAX(J2340:K2340))=0,"",MIN(H2340,MAX(J2340:K2340))))</f>
        <v/>
      </c>
      <c r="G2340" s="74" t="n"/>
      <c r="H2340" s="49">
        <f>IF(M2340="","",IFERROR(ROUND(AVERAGE(T2340+M2340*{7,8,9,10,11})/1.21,4),""))</f>
        <v/>
      </c>
      <c r="I2340" s="76" t="n"/>
      <c r="J2340" s="77" t="n"/>
      <c r="K2340" s="74" t="n"/>
      <c r="L2340" s="78" t="n"/>
      <c r="M2340" s="77" t="n"/>
      <c r="N2340" s="53">
        <f>IF(M2340="","",IFERROR(M2340/I2340,""))</f>
        <v/>
      </c>
      <c r="O2340" s="50">
        <f>IF(A2340="","",IFERROR((IF(G2340="",I2340,G2340)-T2340)/M2340,""))</f>
        <v/>
      </c>
      <c r="P2340" s="50">
        <f>IFERROR((I2340/T2340-1)/N2340,"")</f>
        <v/>
      </c>
      <c r="Q2340" s="46">
        <f>IF(OR(T2340="",I2340&lt;T2340),"",IFERROR(R2340/IF(G2340="",I2340,G2340)-1,""))</f>
        <v/>
      </c>
      <c r="R2340" s="48">
        <f>IF($M2340="","",MAX(IF($G2340="",$I2340,$G2340)*(1/1.1),IF($G2340="",$I2340,$G2340)+(R$2*$M2340)))</f>
        <v/>
      </c>
      <c r="S2340" s="49">
        <f>IF($M2340="","",MAX(IF($G2340="",$I2340,$G2340)*(1/1.1),IF($G2340="",$I2340,$G2340)+(S$2*$M2340)))</f>
        <v/>
      </c>
      <c r="T2340" s="82" t="n"/>
      <c r="U2340" s="47">
        <f>IF(OR($M2340="",$T2340=""),"",$T2340+(U$2*$M2340))</f>
        <v/>
      </c>
      <c r="V2340" s="48">
        <f>IF(OR($M2340="",$T2340=""),"",$T2340+(V$2*$M2340))</f>
        <v/>
      </c>
      <c r="W2340" s="48">
        <f>IF(OR($M2340="",$T2340=""),"",$T2340+(W$2*$M2340))</f>
        <v/>
      </c>
      <c r="X2340" s="49">
        <f>IF(OR($M2340="",$T2340=""),"",$T2340+(X$2*$M2340))</f>
        <v/>
      </c>
      <c r="Y2340" s="47">
        <f>IF(OR($M2340="",$T2340=""),"",$T2340+(Y$2*$M2340))</f>
        <v/>
      </c>
      <c r="Z2340" s="49">
        <f>IF(OR($M2340="",$T2340=""),"",$T2340+(Z$2*$M2340))</f>
        <v/>
      </c>
      <c r="AA2340" s="51">
        <f>IF(OR($M2340="",$T2340=""),"",$T2340+(AA$2*$M2340))</f>
        <v/>
      </c>
      <c r="AB2340" s="48">
        <f>IF(OR($M2340="",$T2340=""),"",$T2340+(AB$2*$M2340))</f>
        <v/>
      </c>
      <c r="AC2340" s="48">
        <f>IF(OR($M2340="",$T2340=""),"",$T2340+(AC$2*$M2340))</f>
        <v/>
      </c>
      <c r="AD2340" s="48">
        <f>IF(OR($M2340="",$T2340=""),"",$T2340+(AD$2*$M2340))</f>
        <v/>
      </c>
      <c r="AE2340" s="49">
        <f>IF(OR($M2340="",$T2340=""),"",$T2340+(AE$2*$M2340))</f>
        <v/>
      </c>
      <c r="AF2340" s="52">
        <f>IF(OR(T2340="",I2340&lt;T2340),"",IFERROR(AVERAGE(T2340+M2340*{7,8,9,10,11})/IF(G2340="",I2340,G2340)-1,""))</f>
        <v/>
      </c>
      <c r="AG2340" s="55">
        <f>IF(OR(T2340="",I2340&lt;T2340),"",IFERROR(AF2340/-(R2340/IF(G2340="",I2340,G2340)-1),""))</f>
        <v/>
      </c>
      <c r="AH2340" s="94" t="n"/>
      <c r="AI2340" s="94" t="n"/>
      <c r="AJ2340" s="94" t="n"/>
      <c r="AK2340" s="94" t="n"/>
      <c r="AL2340" s="84" t="n"/>
    </row>
    <row r="2341">
      <c r="A2341" s="64" t="n"/>
      <c r="B2341" s="65" t="n"/>
      <c r="C2341" s="66" t="n"/>
      <c r="D2341" s="67" t="n"/>
      <c r="E2341" s="68" t="n"/>
      <c r="F2341" s="47">
        <f>IF(A2341="","",IF(MIN(H2341,MAX(J2341:K2341))=0,"",MIN(H2341,MAX(J2341:K2341))))</f>
        <v/>
      </c>
      <c r="G2341" s="74" t="n"/>
      <c r="H2341" s="49">
        <f>IF(M2341="","",IFERROR(ROUND(AVERAGE(T2341+M2341*{7,8,9,10,11})/1.21,4),""))</f>
        <v/>
      </c>
      <c r="I2341" s="76" t="n"/>
      <c r="J2341" s="77" t="n"/>
      <c r="K2341" s="74" t="n"/>
      <c r="L2341" s="78" t="n"/>
      <c r="M2341" s="77" t="n"/>
      <c r="N2341" s="53">
        <f>IF(M2341="","",IFERROR(M2341/I2341,""))</f>
        <v/>
      </c>
      <c r="O2341" s="50">
        <f>IF(A2341="","",IFERROR((IF(G2341="",I2341,G2341)-T2341)/M2341,""))</f>
        <v/>
      </c>
      <c r="P2341" s="50">
        <f>IFERROR((I2341/T2341-1)/N2341,"")</f>
        <v/>
      </c>
      <c r="Q2341" s="46">
        <f>IF(OR(T2341="",I2341&lt;T2341),"",IFERROR(R2341/IF(G2341="",I2341,G2341)-1,""))</f>
        <v/>
      </c>
      <c r="R2341" s="48">
        <f>IF($M2341="","",MAX(IF($G2341="",$I2341,$G2341)*(1/1.1),IF($G2341="",$I2341,$G2341)+(R$2*$M2341)))</f>
        <v/>
      </c>
      <c r="S2341" s="49">
        <f>IF($M2341="","",MAX(IF($G2341="",$I2341,$G2341)*(1/1.1),IF($G2341="",$I2341,$G2341)+(S$2*$M2341)))</f>
        <v/>
      </c>
      <c r="T2341" s="82" t="n"/>
      <c r="U2341" s="47">
        <f>IF(OR($M2341="",$T2341=""),"",$T2341+(U$2*$M2341))</f>
        <v/>
      </c>
      <c r="V2341" s="48">
        <f>IF(OR($M2341="",$T2341=""),"",$T2341+(V$2*$M2341))</f>
        <v/>
      </c>
      <c r="W2341" s="48">
        <f>IF(OR($M2341="",$T2341=""),"",$T2341+(W$2*$M2341))</f>
        <v/>
      </c>
      <c r="X2341" s="49">
        <f>IF(OR($M2341="",$T2341=""),"",$T2341+(X$2*$M2341))</f>
        <v/>
      </c>
      <c r="Y2341" s="47">
        <f>IF(OR($M2341="",$T2341=""),"",$T2341+(Y$2*$M2341))</f>
        <v/>
      </c>
      <c r="Z2341" s="49">
        <f>IF(OR($M2341="",$T2341=""),"",$T2341+(Z$2*$M2341))</f>
        <v/>
      </c>
      <c r="AA2341" s="51">
        <f>IF(OR($M2341="",$T2341=""),"",$T2341+(AA$2*$M2341))</f>
        <v/>
      </c>
      <c r="AB2341" s="48">
        <f>IF(OR($M2341="",$T2341=""),"",$T2341+(AB$2*$M2341))</f>
        <v/>
      </c>
      <c r="AC2341" s="48">
        <f>IF(OR($M2341="",$T2341=""),"",$T2341+(AC$2*$M2341))</f>
        <v/>
      </c>
      <c r="AD2341" s="48">
        <f>IF(OR($M2341="",$T2341=""),"",$T2341+(AD$2*$M2341))</f>
        <v/>
      </c>
      <c r="AE2341" s="49">
        <f>IF(OR($M2341="",$T2341=""),"",$T2341+(AE$2*$M2341))</f>
        <v/>
      </c>
      <c r="AF2341" s="52">
        <f>IF(OR(T2341="",I2341&lt;T2341),"",IFERROR(AVERAGE(T2341+M2341*{7,8,9,10,11})/IF(G2341="",I2341,G2341)-1,""))</f>
        <v/>
      </c>
      <c r="AG2341" s="55">
        <f>IF(OR(T2341="",I2341&lt;T2341),"",IFERROR(AF2341/-(R2341/IF(G2341="",I2341,G2341)-1),""))</f>
        <v/>
      </c>
      <c r="AH2341" s="94" t="n"/>
      <c r="AI2341" s="94" t="n"/>
      <c r="AJ2341" s="94" t="n"/>
      <c r="AK2341" s="94" t="n"/>
      <c r="AL2341" s="84" t="n"/>
    </row>
    <row r="2342">
      <c r="A2342" s="64" t="n"/>
      <c r="B2342" s="65" t="n"/>
      <c r="C2342" s="66" t="n"/>
      <c r="D2342" s="67" t="n"/>
      <c r="E2342" s="68" t="n"/>
      <c r="F2342" s="47">
        <f>IF(A2342="","",IF(MIN(H2342,MAX(J2342:K2342))=0,"",MIN(H2342,MAX(J2342:K2342))))</f>
        <v/>
      </c>
      <c r="G2342" s="74" t="n"/>
      <c r="H2342" s="49">
        <f>IF(M2342="","",IFERROR(ROUND(AVERAGE(T2342+M2342*{7,8,9,10,11})/1.21,4),""))</f>
        <v/>
      </c>
      <c r="I2342" s="76" t="n"/>
      <c r="J2342" s="77" t="n"/>
      <c r="K2342" s="74" t="n"/>
      <c r="L2342" s="78" t="n"/>
      <c r="M2342" s="77" t="n"/>
      <c r="N2342" s="53">
        <f>IF(M2342="","",IFERROR(M2342/I2342,""))</f>
        <v/>
      </c>
      <c r="O2342" s="50">
        <f>IF(A2342="","",IFERROR((IF(G2342="",I2342,G2342)-T2342)/M2342,""))</f>
        <v/>
      </c>
      <c r="P2342" s="50">
        <f>IFERROR((I2342/T2342-1)/N2342,"")</f>
        <v/>
      </c>
      <c r="Q2342" s="46">
        <f>IF(OR(T2342="",I2342&lt;T2342),"",IFERROR(R2342/IF(G2342="",I2342,G2342)-1,""))</f>
        <v/>
      </c>
      <c r="R2342" s="48">
        <f>IF($M2342="","",MAX(IF($G2342="",$I2342,$G2342)*(1/1.1),IF($G2342="",$I2342,$G2342)+(R$2*$M2342)))</f>
        <v/>
      </c>
      <c r="S2342" s="49">
        <f>IF($M2342="","",MAX(IF($G2342="",$I2342,$G2342)*(1/1.1),IF($G2342="",$I2342,$G2342)+(S$2*$M2342)))</f>
        <v/>
      </c>
      <c r="T2342" s="82" t="n"/>
      <c r="U2342" s="47">
        <f>IF(OR($M2342="",$T2342=""),"",$T2342+(U$2*$M2342))</f>
        <v/>
      </c>
      <c r="V2342" s="48">
        <f>IF(OR($M2342="",$T2342=""),"",$T2342+(V$2*$M2342))</f>
        <v/>
      </c>
      <c r="W2342" s="48">
        <f>IF(OR($M2342="",$T2342=""),"",$T2342+(W$2*$M2342))</f>
        <v/>
      </c>
      <c r="X2342" s="49">
        <f>IF(OR($M2342="",$T2342=""),"",$T2342+(X$2*$M2342))</f>
        <v/>
      </c>
      <c r="Y2342" s="47">
        <f>IF(OR($M2342="",$T2342=""),"",$T2342+(Y$2*$M2342))</f>
        <v/>
      </c>
      <c r="Z2342" s="49">
        <f>IF(OR($M2342="",$T2342=""),"",$T2342+(Z$2*$M2342))</f>
        <v/>
      </c>
      <c r="AA2342" s="51">
        <f>IF(OR($M2342="",$T2342=""),"",$T2342+(AA$2*$M2342))</f>
        <v/>
      </c>
      <c r="AB2342" s="48">
        <f>IF(OR($M2342="",$T2342=""),"",$T2342+(AB$2*$M2342))</f>
        <v/>
      </c>
      <c r="AC2342" s="48">
        <f>IF(OR($M2342="",$T2342=""),"",$T2342+(AC$2*$M2342))</f>
        <v/>
      </c>
      <c r="AD2342" s="48">
        <f>IF(OR($M2342="",$T2342=""),"",$T2342+(AD$2*$M2342))</f>
        <v/>
      </c>
      <c r="AE2342" s="49">
        <f>IF(OR($M2342="",$T2342=""),"",$T2342+(AE$2*$M2342))</f>
        <v/>
      </c>
      <c r="AF2342" s="52">
        <f>IF(OR(T2342="",I2342&lt;T2342),"",IFERROR(AVERAGE(T2342+M2342*{7,8,9,10,11})/IF(G2342="",I2342,G2342)-1,""))</f>
        <v/>
      </c>
      <c r="AG2342" s="55">
        <f>IF(OR(T2342="",I2342&lt;T2342),"",IFERROR(AF2342/-(R2342/IF(G2342="",I2342,G2342)-1),""))</f>
        <v/>
      </c>
      <c r="AH2342" s="94" t="n"/>
      <c r="AI2342" s="94" t="n"/>
      <c r="AJ2342" s="94" t="n"/>
      <c r="AK2342" s="94" t="n"/>
      <c r="AL2342" s="84" t="n"/>
    </row>
    <row r="2343">
      <c r="A2343" s="64" t="n"/>
      <c r="B2343" s="65" t="n"/>
      <c r="C2343" s="66" t="n"/>
      <c r="D2343" s="67" t="n"/>
      <c r="E2343" s="68" t="n"/>
      <c r="F2343" s="47">
        <f>IF(A2343="","",IF(MIN(H2343,MAX(J2343:K2343))=0,"",MIN(H2343,MAX(J2343:K2343))))</f>
        <v/>
      </c>
      <c r="G2343" s="74" t="n"/>
      <c r="H2343" s="49">
        <f>IF(M2343="","",IFERROR(ROUND(AVERAGE(T2343+M2343*{7,8,9,10,11})/1.21,4),""))</f>
        <v/>
      </c>
      <c r="I2343" s="76" t="n"/>
      <c r="J2343" s="77" t="n"/>
      <c r="K2343" s="74" t="n"/>
      <c r="L2343" s="78" t="n"/>
      <c r="M2343" s="77" t="n"/>
      <c r="N2343" s="53">
        <f>IF(M2343="","",IFERROR(M2343/I2343,""))</f>
        <v/>
      </c>
      <c r="O2343" s="50">
        <f>IF(A2343="","",IFERROR((IF(G2343="",I2343,G2343)-T2343)/M2343,""))</f>
        <v/>
      </c>
      <c r="P2343" s="50">
        <f>IFERROR((I2343/T2343-1)/N2343,"")</f>
        <v/>
      </c>
      <c r="Q2343" s="46">
        <f>IF(OR(T2343="",I2343&lt;T2343),"",IFERROR(R2343/IF(G2343="",I2343,G2343)-1,""))</f>
        <v/>
      </c>
      <c r="R2343" s="48">
        <f>IF($M2343="","",MAX(IF($G2343="",$I2343,$G2343)*(1/1.1),IF($G2343="",$I2343,$G2343)+(R$2*$M2343)))</f>
        <v/>
      </c>
      <c r="S2343" s="49">
        <f>IF($M2343="","",MAX(IF($G2343="",$I2343,$G2343)*(1/1.1),IF($G2343="",$I2343,$G2343)+(S$2*$M2343)))</f>
        <v/>
      </c>
      <c r="T2343" s="82" t="n"/>
      <c r="U2343" s="47">
        <f>IF(OR($M2343="",$T2343=""),"",$T2343+(U$2*$M2343))</f>
        <v/>
      </c>
      <c r="V2343" s="48">
        <f>IF(OR($M2343="",$T2343=""),"",$T2343+(V$2*$M2343))</f>
        <v/>
      </c>
      <c r="W2343" s="48">
        <f>IF(OR($M2343="",$T2343=""),"",$T2343+(W$2*$M2343))</f>
        <v/>
      </c>
      <c r="X2343" s="49">
        <f>IF(OR($M2343="",$T2343=""),"",$T2343+(X$2*$M2343))</f>
        <v/>
      </c>
      <c r="Y2343" s="47">
        <f>IF(OR($M2343="",$T2343=""),"",$T2343+(Y$2*$M2343))</f>
        <v/>
      </c>
      <c r="Z2343" s="49">
        <f>IF(OR($M2343="",$T2343=""),"",$T2343+(Z$2*$M2343))</f>
        <v/>
      </c>
      <c r="AA2343" s="51">
        <f>IF(OR($M2343="",$T2343=""),"",$T2343+(AA$2*$M2343))</f>
        <v/>
      </c>
      <c r="AB2343" s="48">
        <f>IF(OR($M2343="",$T2343=""),"",$T2343+(AB$2*$M2343))</f>
        <v/>
      </c>
      <c r="AC2343" s="48">
        <f>IF(OR($M2343="",$T2343=""),"",$T2343+(AC$2*$M2343))</f>
        <v/>
      </c>
      <c r="AD2343" s="48">
        <f>IF(OR($M2343="",$T2343=""),"",$T2343+(AD$2*$M2343))</f>
        <v/>
      </c>
      <c r="AE2343" s="49">
        <f>IF(OR($M2343="",$T2343=""),"",$T2343+(AE$2*$M2343))</f>
        <v/>
      </c>
      <c r="AF2343" s="52">
        <f>IF(OR(T2343="",I2343&lt;T2343),"",IFERROR(AVERAGE(T2343+M2343*{7,8,9,10,11})/IF(G2343="",I2343,G2343)-1,""))</f>
        <v/>
      </c>
      <c r="AG2343" s="55">
        <f>IF(OR(T2343="",I2343&lt;T2343),"",IFERROR(AF2343/-(R2343/IF(G2343="",I2343,G2343)-1),""))</f>
        <v/>
      </c>
      <c r="AH2343" s="94" t="n"/>
      <c r="AI2343" s="94" t="n"/>
      <c r="AJ2343" s="94" t="n"/>
      <c r="AK2343" s="94" t="n"/>
      <c r="AL2343" s="84" t="n"/>
    </row>
    <row r="2344">
      <c r="A2344" s="64" t="n"/>
      <c r="B2344" s="65" t="n"/>
      <c r="C2344" s="66" t="n"/>
      <c r="D2344" s="67" t="n"/>
      <c r="E2344" s="68" t="n"/>
      <c r="F2344" s="47">
        <f>IF(A2344="","",IF(MIN(H2344,MAX(J2344:K2344))=0,"",MIN(H2344,MAX(J2344:K2344))))</f>
        <v/>
      </c>
      <c r="G2344" s="74" t="n"/>
      <c r="H2344" s="49">
        <f>IF(M2344="","",IFERROR(ROUND(AVERAGE(T2344+M2344*{7,8,9,10,11})/1.21,4),""))</f>
        <v/>
      </c>
      <c r="I2344" s="76" t="n"/>
      <c r="J2344" s="77" t="n"/>
      <c r="K2344" s="74" t="n"/>
      <c r="L2344" s="78" t="n"/>
      <c r="M2344" s="77" t="n"/>
      <c r="N2344" s="53">
        <f>IF(M2344="","",IFERROR(M2344/I2344,""))</f>
        <v/>
      </c>
      <c r="O2344" s="50">
        <f>IF(A2344="","",IFERROR((IF(G2344="",I2344,G2344)-T2344)/M2344,""))</f>
        <v/>
      </c>
      <c r="P2344" s="50">
        <f>IFERROR((I2344/T2344-1)/N2344,"")</f>
        <v/>
      </c>
      <c r="Q2344" s="46">
        <f>IF(OR(T2344="",I2344&lt;T2344),"",IFERROR(R2344/IF(G2344="",I2344,G2344)-1,""))</f>
        <v/>
      </c>
      <c r="R2344" s="48">
        <f>IF($M2344="","",MAX(IF($G2344="",$I2344,$G2344)*(1/1.1),IF($G2344="",$I2344,$G2344)+(R$2*$M2344)))</f>
        <v/>
      </c>
      <c r="S2344" s="49">
        <f>IF($M2344="","",MAX(IF($G2344="",$I2344,$G2344)*(1/1.1),IF($G2344="",$I2344,$G2344)+(S$2*$M2344)))</f>
        <v/>
      </c>
      <c r="T2344" s="82" t="n"/>
      <c r="U2344" s="47">
        <f>IF(OR($M2344="",$T2344=""),"",$T2344+(U$2*$M2344))</f>
        <v/>
      </c>
      <c r="V2344" s="48">
        <f>IF(OR($M2344="",$T2344=""),"",$T2344+(V$2*$M2344))</f>
        <v/>
      </c>
      <c r="W2344" s="48">
        <f>IF(OR($M2344="",$T2344=""),"",$T2344+(W$2*$M2344))</f>
        <v/>
      </c>
      <c r="X2344" s="49">
        <f>IF(OR($M2344="",$T2344=""),"",$T2344+(X$2*$M2344))</f>
        <v/>
      </c>
      <c r="Y2344" s="47">
        <f>IF(OR($M2344="",$T2344=""),"",$T2344+(Y$2*$M2344))</f>
        <v/>
      </c>
      <c r="Z2344" s="49">
        <f>IF(OR($M2344="",$T2344=""),"",$T2344+(Z$2*$M2344))</f>
        <v/>
      </c>
      <c r="AA2344" s="51">
        <f>IF(OR($M2344="",$T2344=""),"",$T2344+(AA$2*$M2344))</f>
        <v/>
      </c>
      <c r="AB2344" s="48">
        <f>IF(OR($M2344="",$T2344=""),"",$T2344+(AB$2*$M2344))</f>
        <v/>
      </c>
      <c r="AC2344" s="48">
        <f>IF(OR($M2344="",$T2344=""),"",$T2344+(AC$2*$M2344))</f>
        <v/>
      </c>
      <c r="AD2344" s="48">
        <f>IF(OR($M2344="",$T2344=""),"",$T2344+(AD$2*$M2344))</f>
        <v/>
      </c>
      <c r="AE2344" s="49">
        <f>IF(OR($M2344="",$T2344=""),"",$T2344+(AE$2*$M2344))</f>
        <v/>
      </c>
      <c r="AF2344" s="52">
        <f>IF(OR(T2344="",I2344&lt;T2344),"",IFERROR(AVERAGE(T2344+M2344*{7,8,9,10,11})/IF(G2344="",I2344,G2344)-1,""))</f>
        <v/>
      </c>
      <c r="AG2344" s="55">
        <f>IF(OR(T2344="",I2344&lt;T2344),"",IFERROR(AF2344/-(R2344/IF(G2344="",I2344,G2344)-1),""))</f>
        <v/>
      </c>
      <c r="AH2344" s="94" t="n"/>
      <c r="AI2344" s="94" t="n"/>
      <c r="AJ2344" s="94" t="n"/>
      <c r="AK2344" s="94" t="n"/>
      <c r="AL2344" s="84" t="n"/>
    </row>
    <row r="2345">
      <c r="A2345" s="64" t="n"/>
      <c r="B2345" s="65" t="n"/>
      <c r="C2345" s="66" t="n"/>
      <c r="D2345" s="67" t="n"/>
      <c r="E2345" s="68" t="n"/>
      <c r="F2345" s="47">
        <f>IF(A2345="","",IF(MIN(H2345,MAX(J2345:K2345))=0,"",MIN(H2345,MAX(J2345:K2345))))</f>
        <v/>
      </c>
      <c r="G2345" s="74" t="n"/>
      <c r="H2345" s="49">
        <f>IF(M2345="","",IFERROR(ROUND(AVERAGE(T2345+M2345*{7,8,9,10,11})/1.21,4),""))</f>
        <v/>
      </c>
      <c r="I2345" s="76" t="n"/>
      <c r="J2345" s="77" t="n"/>
      <c r="K2345" s="74" t="n"/>
      <c r="L2345" s="78" t="n"/>
      <c r="M2345" s="77" t="n"/>
      <c r="N2345" s="53">
        <f>IF(M2345="","",IFERROR(M2345/I2345,""))</f>
        <v/>
      </c>
      <c r="O2345" s="50">
        <f>IF(A2345="","",IFERROR((IF(G2345="",I2345,G2345)-T2345)/M2345,""))</f>
        <v/>
      </c>
      <c r="P2345" s="50">
        <f>IFERROR((I2345/T2345-1)/N2345,"")</f>
        <v/>
      </c>
      <c r="Q2345" s="46">
        <f>IF(OR(T2345="",I2345&lt;T2345),"",IFERROR(R2345/IF(G2345="",I2345,G2345)-1,""))</f>
        <v/>
      </c>
      <c r="R2345" s="48">
        <f>IF($M2345="","",MAX(IF($G2345="",$I2345,$G2345)*(1/1.1),IF($G2345="",$I2345,$G2345)+(R$2*$M2345)))</f>
        <v/>
      </c>
      <c r="S2345" s="49">
        <f>IF($M2345="","",MAX(IF($G2345="",$I2345,$G2345)*(1/1.1),IF($G2345="",$I2345,$G2345)+(S$2*$M2345)))</f>
        <v/>
      </c>
      <c r="T2345" s="82" t="n"/>
      <c r="U2345" s="47">
        <f>IF(OR($M2345="",$T2345=""),"",$T2345+(U$2*$M2345))</f>
        <v/>
      </c>
      <c r="V2345" s="48">
        <f>IF(OR($M2345="",$T2345=""),"",$T2345+(V$2*$M2345))</f>
        <v/>
      </c>
      <c r="W2345" s="48">
        <f>IF(OR($M2345="",$T2345=""),"",$T2345+(W$2*$M2345))</f>
        <v/>
      </c>
      <c r="X2345" s="49">
        <f>IF(OR($M2345="",$T2345=""),"",$T2345+(X$2*$M2345))</f>
        <v/>
      </c>
      <c r="Y2345" s="47">
        <f>IF(OR($M2345="",$T2345=""),"",$T2345+(Y$2*$M2345))</f>
        <v/>
      </c>
      <c r="Z2345" s="49">
        <f>IF(OR($M2345="",$T2345=""),"",$T2345+(Z$2*$M2345))</f>
        <v/>
      </c>
      <c r="AA2345" s="51">
        <f>IF(OR($M2345="",$T2345=""),"",$T2345+(AA$2*$M2345))</f>
        <v/>
      </c>
      <c r="AB2345" s="48">
        <f>IF(OR($M2345="",$T2345=""),"",$T2345+(AB$2*$M2345))</f>
        <v/>
      </c>
      <c r="AC2345" s="48">
        <f>IF(OR($M2345="",$T2345=""),"",$T2345+(AC$2*$M2345))</f>
        <v/>
      </c>
      <c r="AD2345" s="48">
        <f>IF(OR($M2345="",$T2345=""),"",$T2345+(AD$2*$M2345))</f>
        <v/>
      </c>
      <c r="AE2345" s="49">
        <f>IF(OR($M2345="",$T2345=""),"",$T2345+(AE$2*$M2345))</f>
        <v/>
      </c>
      <c r="AF2345" s="52">
        <f>IF(OR(T2345="",I2345&lt;T2345),"",IFERROR(AVERAGE(T2345+M2345*{7,8,9,10,11})/IF(G2345="",I2345,G2345)-1,""))</f>
        <v/>
      </c>
      <c r="AG2345" s="55">
        <f>IF(OR(T2345="",I2345&lt;T2345),"",IFERROR(AF2345/-(R2345/IF(G2345="",I2345,G2345)-1),""))</f>
        <v/>
      </c>
      <c r="AH2345" s="94" t="n"/>
      <c r="AI2345" s="94" t="n"/>
      <c r="AJ2345" s="94" t="n"/>
      <c r="AK2345" s="94" t="n"/>
      <c r="AL2345" s="84" t="n"/>
    </row>
    <row r="2346">
      <c r="A2346" s="64" t="n"/>
      <c r="B2346" s="65" t="n"/>
      <c r="C2346" s="66" t="n"/>
      <c r="D2346" s="67" t="n"/>
      <c r="E2346" s="68" t="n"/>
      <c r="F2346" s="47">
        <f>IF(A2346="","",IF(MIN(H2346,MAX(J2346:K2346))=0,"",MIN(H2346,MAX(J2346:K2346))))</f>
        <v/>
      </c>
      <c r="G2346" s="74" t="n"/>
      <c r="H2346" s="49">
        <f>IF(M2346="","",IFERROR(ROUND(AVERAGE(T2346+M2346*{7,8,9,10,11})/1.21,4),""))</f>
        <v/>
      </c>
      <c r="I2346" s="76" t="n"/>
      <c r="J2346" s="77" t="n"/>
      <c r="K2346" s="74" t="n"/>
      <c r="L2346" s="78" t="n"/>
      <c r="M2346" s="77" t="n"/>
      <c r="N2346" s="53">
        <f>IF(M2346="","",IFERROR(M2346/I2346,""))</f>
        <v/>
      </c>
      <c r="O2346" s="50">
        <f>IF(A2346="","",IFERROR((IF(G2346="",I2346,G2346)-T2346)/M2346,""))</f>
        <v/>
      </c>
      <c r="P2346" s="50">
        <f>IFERROR((I2346/T2346-1)/N2346,"")</f>
        <v/>
      </c>
      <c r="Q2346" s="46">
        <f>IF(OR(T2346="",I2346&lt;T2346),"",IFERROR(R2346/IF(G2346="",I2346,G2346)-1,""))</f>
        <v/>
      </c>
      <c r="R2346" s="48">
        <f>IF($M2346="","",MAX(IF($G2346="",$I2346,$G2346)*(1/1.1),IF($G2346="",$I2346,$G2346)+(R$2*$M2346)))</f>
        <v/>
      </c>
      <c r="S2346" s="49">
        <f>IF($M2346="","",MAX(IF($G2346="",$I2346,$G2346)*(1/1.1),IF($G2346="",$I2346,$G2346)+(S$2*$M2346)))</f>
        <v/>
      </c>
      <c r="T2346" s="82" t="n"/>
      <c r="U2346" s="47">
        <f>IF(OR($M2346="",$T2346=""),"",$T2346+(U$2*$M2346))</f>
        <v/>
      </c>
      <c r="V2346" s="48">
        <f>IF(OR($M2346="",$T2346=""),"",$T2346+(V$2*$M2346))</f>
        <v/>
      </c>
      <c r="W2346" s="48">
        <f>IF(OR($M2346="",$T2346=""),"",$T2346+(W$2*$M2346))</f>
        <v/>
      </c>
      <c r="X2346" s="49">
        <f>IF(OR($M2346="",$T2346=""),"",$T2346+(X$2*$M2346))</f>
        <v/>
      </c>
      <c r="Y2346" s="47">
        <f>IF(OR($M2346="",$T2346=""),"",$T2346+(Y$2*$M2346))</f>
        <v/>
      </c>
      <c r="Z2346" s="49">
        <f>IF(OR($M2346="",$T2346=""),"",$T2346+(Z$2*$M2346))</f>
        <v/>
      </c>
      <c r="AA2346" s="51">
        <f>IF(OR($M2346="",$T2346=""),"",$T2346+(AA$2*$M2346))</f>
        <v/>
      </c>
      <c r="AB2346" s="48">
        <f>IF(OR($M2346="",$T2346=""),"",$T2346+(AB$2*$M2346))</f>
        <v/>
      </c>
      <c r="AC2346" s="48">
        <f>IF(OR($M2346="",$T2346=""),"",$T2346+(AC$2*$M2346))</f>
        <v/>
      </c>
      <c r="AD2346" s="48">
        <f>IF(OR($M2346="",$T2346=""),"",$T2346+(AD$2*$M2346))</f>
        <v/>
      </c>
      <c r="AE2346" s="49">
        <f>IF(OR($M2346="",$T2346=""),"",$T2346+(AE$2*$M2346))</f>
        <v/>
      </c>
      <c r="AF2346" s="52">
        <f>IF(OR(T2346="",I2346&lt;T2346),"",IFERROR(AVERAGE(T2346+M2346*{7,8,9,10,11})/IF(G2346="",I2346,G2346)-1,""))</f>
        <v/>
      </c>
      <c r="AG2346" s="55">
        <f>IF(OR(T2346="",I2346&lt;T2346),"",IFERROR(AF2346/-(R2346/IF(G2346="",I2346,G2346)-1),""))</f>
        <v/>
      </c>
      <c r="AH2346" s="94" t="n"/>
      <c r="AI2346" s="94" t="n"/>
      <c r="AJ2346" s="94" t="n"/>
      <c r="AK2346" s="94" t="n"/>
      <c r="AL2346" s="84" t="n"/>
    </row>
    <row r="2347">
      <c r="A2347" s="64" t="n"/>
      <c r="B2347" s="65" t="n"/>
      <c r="C2347" s="66" t="n"/>
      <c r="D2347" s="67" t="n"/>
      <c r="E2347" s="68" t="n"/>
      <c r="F2347" s="47">
        <f>IF(A2347="","",IF(MIN(H2347,MAX(J2347:K2347))=0,"",MIN(H2347,MAX(J2347:K2347))))</f>
        <v/>
      </c>
      <c r="G2347" s="74" t="n"/>
      <c r="H2347" s="49">
        <f>IF(M2347="","",IFERROR(ROUND(AVERAGE(T2347+M2347*{7,8,9,10,11})/1.21,4),""))</f>
        <v/>
      </c>
      <c r="I2347" s="76" t="n"/>
      <c r="J2347" s="77" t="n"/>
      <c r="K2347" s="74" t="n"/>
      <c r="L2347" s="78" t="n"/>
      <c r="M2347" s="77" t="n"/>
      <c r="N2347" s="53">
        <f>IF(M2347="","",IFERROR(M2347/I2347,""))</f>
        <v/>
      </c>
      <c r="O2347" s="50">
        <f>IF(A2347="","",IFERROR((IF(G2347="",I2347,G2347)-T2347)/M2347,""))</f>
        <v/>
      </c>
      <c r="P2347" s="50">
        <f>IFERROR((I2347/T2347-1)/N2347,"")</f>
        <v/>
      </c>
      <c r="Q2347" s="46">
        <f>IF(OR(T2347="",I2347&lt;T2347),"",IFERROR(R2347/IF(G2347="",I2347,G2347)-1,""))</f>
        <v/>
      </c>
      <c r="R2347" s="48">
        <f>IF($M2347="","",MAX(IF($G2347="",$I2347,$G2347)*(1/1.1),IF($G2347="",$I2347,$G2347)+(R$2*$M2347)))</f>
        <v/>
      </c>
      <c r="S2347" s="49">
        <f>IF($M2347="","",MAX(IF($G2347="",$I2347,$G2347)*(1/1.1),IF($G2347="",$I2347,$G2347)+(S$2*$M2347)))</f>
        <v/>
      </c>
      <c r="T2347" s="82" t="n"/>
      <c r="U2347" s="47">
        <f>IF(OR($M2347="",$T2347=""),"",$T2347+(U$2*$M2347))</f>
        <v/>
      </c>
      <c r="V2347" s="48">
        <f>IF(OR($M2347="",$T2347=""),"",$T2347+(V$2*$M2347))</f>
        <v/>
      </c>
      <c r="W2347" s="48">
        <f>IF(OR($M2347="",$T2347=""),"",$T2347+(W$2*$M2347))</f>
        <v/>
      </c>
      <c r="X2347" s="49">
        <f>IF(OR($M2347="",$T2347=""),"",$T2347+(X$2*$M2347))</f>
        <v/>
      </c>
      <c r="Y2347" s="47">
        <f>IF(OR($M2347="",$T2347=""),"",$T2347+(Y$2*$M2347))</f>
        <v/>
      </c>
      <c r="Z2347" s="49">
        <f>IF(OR($M2347="",$T2347=""),"",$T2347+(Z$2*$M2347))</f>
        <v/>
      </c>
      <c r="AA2347" s="51">
        <f>IF(OR($M2347="",$T2347=""),"",$T2347+(AA$2*$M2347))</f>
        <v/>
      </c>
      <c r="AB2347" s="48">
        <f>IF(OR($M2347="",$T2347=""),"",$T2347+(AB$2*$M2347))</f>
        <v/>
      </c>
      <c r="AC2347" s="48">
        <f>IF(OR($M2347="",$T2347=""),"",$T2347+(AC$2*$M2347))</f>
        <v/>
      </c>
      <c r="AD2347" s="48">
        <f>IF(OR($M2347="",$T2347=""),"",$T2347+(AD$2*$M2347))</f>
        <v/>
      </c>
      <c r="AE2347" s="49">
        <f>IF(OR($M2347="",$T2347=""),"",$T2347+(AE$2*$M2347))</f>
        <v/>
      </c>
      <c r="AF2347" s="52">
        <f>IF(OR(T2347="",I2347&lt;T2347),"",IFERROR(AVERAGE(T2347+M2347*{7,8,9,10,11})/IF(G2347="",I2347,G2347)-1,""))</f>
        <v/>
      </c>
      <c r="AG2347" s="55">
        <f>IF(OR(T2347="",I2347&lt;T2347),"",IFERROR(AF2347/-(R2347/IF(G2347="",I2347,G2347)-1),""))</f>
        <v/>
      </c>
      <c r="AH2347" s="94" t="n"/>
      <c r="AI2347" s="94" t="n"/>
      <c r="AJ2347" s="94" t="n"/>
      <c r="AK2347" s="94" t="n"/>
      <c r="AL2347" s="84" t="n"/>
    </row>
    <row r="2348">
      <c r="A2348" s="64" t="n"/>
      <c r="B2348" s="65" t="n"/>
      <c r="C2348" s="66" t="n"/>
      <c r="D2348" s="67" t="n"/>
      <c r="E2348" s="68" t="n"/>
      <c r="F2348" s="47">
        <f>IF(A2348="","",IF(MIN(H2348,MAX(J2348:K2348))=0,"",MIN(H2348,MAX(J2348:K2348))))</f>
        <v/>
      </c>
      <c r="G2348" s="74" t="n"/>
      <c r="H2348" s="49">
        <f>IF(M2348="","",IFERROR(ROUND(AVERAGE(T2348+M2348*{7,8,9,10,11})/1.21,4),""))</f>
        <v/>
      </c>
      <c r="I2348" s="76" t="n"/>
      <c r="J2348" s="77" t="n"/>
      <c r="K2348" s="74" t="n"/>
      <c r="L2348" s="78" t="n"/>
      <c r="M2348" s="77" t="n"/>
      <c r="N2348" s="53">
        <f>IF(M2348="","",IFERROR(M2348/I2348,""))</f>
        <v/>
      </c>
      <c r="O2348" s="50">
        <f>IF(A2348="","",IFERROR((IF(G2348="",I2348,G2348)-T2348)/M2348,""))</f>
        <v/>
      </c>
      <c r="P2348" s="50">
        <f>IFERROR((I2348/T2348-1)/N2348,"")</f>
        <v/>
      </c>
      <c r="Q2348" s="46">
        <f>IF(OR(T2348="",I2348&lt;T2348),"",IFERROR(R2348/IF(G2348="",I2348,G2348)-1,""))</f>
        <v/>
      </c>
      <c r="R2348" s="48">
        <f>IF($M2348="","",MAX(IF($G2348="",$I2348,$G2348)*(1/1.1),IF($G2348="",$I2348,$G2348)+(R$2*$M2348)))</f>
        <v/>
      </c>
      <c r="S2348" s="49">
        <f>IF($M2348="","",MAX(IF($G2348="",$I2348,$G2348)*(1/1.1),IF($G2348="",$I2348,$G2348)+(S$2*$M2348)))</f>
        <v/>
      </c>
      <c r="T2348" s="82" t="n"/>
      <c r="U2348" s="47">
        <f>IF(OR($M2348="",$T2348=""),"",$T2348+(U$2*$M2348))</f>
        <v/>
      </c>
      <c r="V2348" s="48">
        <f>IF(OR($M2348="",$T2348=""),"",$T2348+(V$2*$M2348))</f>
        <v/>
      </c>
      <c r="W2348" s="48">
        <f>IF(OR($M2348="",$T2348=""),"",$T2348+(W$2*$M2348))</f>
        <v/>
      </c>
      <c r="X2348" s="49">
        <f>IF(OR($M2348="",$T2348=""),"",$T2348+(X$2*$M2348))</f>
        <v/>
      </c>
      <c r="Y2348" s="47">
        <f>IF(OR($M2348="",$T2348=""),"",$T2348+(Y$2*$M2348))</f>
        <v/>
      </c>
      <c r="Z2348" s="49">
        <f>IF(OR($M2348="",$T2348=""),"",$T2348+(Z$2*$M2348))</f>
        <v/>
      </c>
      <c r="AA2348" s="51">
        <f>IF(OR($M2348="",$T2348=""),"",$T2348+(AA$2*$M2348))</f>
        <v/>
      </c>
      <c r="AB2348" s="48">
        <f>IF(OR($M2348="",$T2348=""),"",$T2348+(AB$2*$M2348))</f>
        <v/>
      </c>
      <c r="AC2348" s="48">
        <f>IF(OR($M2348="",$T2348=""),"",$T2348+(AC$2*$M2348))</f>
        <v/>
      </c>
      <c r="AD2348" s="48">
        <f>IF(OR($M2348="",$T2348=""),"",$T2348+(AD$2*$M2348))</f>
        <v/>
      </c>
      <c r="AE2348" s="49">
        <f>IF(OR($M2348="",$T2348=""),"",$T2348+(AE$2*$M2348))</f>
        <v/>
      </c>
      <c r="AF2348" s="52">
        <f>IF(OR(T2348="",I2348&lt;T2348),"",IFERROR(AVERAGE(T2348+M2348*{7,8,9,10,11})/IF(G2348="",I2348,G2348)-1,""))</f>
        <v/>
      </c>
      <c r="AG2348" s="55">
        <f>IF(OR(T2348="",I2348&lt;T2348),"",IFERROR(AF2348/-(R2348/IF(G2348="",I2348,G2348)-1),""))</f>
        <v/>
      </c>
      <c r="AH2348" s="94" t="n"/>
      <c r="AI2348" s="94" t="n"/>
      <c r="AJ2348" s="94" t="n"/>
      <c r="AK2348" s="94" t="n"/>
      <c r="AL2348" s="84" t="n"/>
    </row>
    <row r="2349">
      <c r="A2349" s="64" t="n"/>
      <c r="B2349" s="65" t="n"/>
      <c r="C2349" s="66" t="n"/>
      <c r="D2349" s="67" t="n"/>
      <c r="E2349" s="68" t="n"/>
      <c r="F2349" s="47">
        <f>IF(A2349="","",IF(MIN(H2349,MAX(J2349:K2349))=0,"",MIN(H2349,MAX(J2349:K2349))))</f>
        <v/>
      </c>
      <c r="G2349" s="74" t="n"/>
      <c r="H2349" s="49">
        <f>IF(M2349="","",IFERROR(ROUND(AVERAGE(T2349+M2349*{7,8,9,10,11})/1.21,4),""))</f>
        <v/>
      </c>
      <c r="I2349" s="76" t="n"/>
      <c r="J2349" s="77" t="n"/>
      <c r="K2349" s="74" t="n"/>
      <c r="L2349" s="78" t="n"/>
      <c r="M2349" s="77" t="n"/>
      <c r="N2349" s="53">
        <f>IF(M2349="","",IFERROR(M2349/I2349,""))</f>
        <v/>
      </c>
      <c r="O2349" s="50">
        <f>IF(A2349="","",IFERROR((IF(G2349="",I2349,G2349)-T2349)/M2349,""))</f>
        <v/>
      </c>
      <c r="P2349" s="50">
        <f>IFERROR((I2349/T2349-1)/N2349,"")</f>
        <v/>
      </c>
      <c r="Q2349" s="46">
        <f>IF(OR(T2349="",I2349&lt;T2349),"",IFERROR(R2349/IF(G2349="",I2349,G2349)-1,""))</f>
        <v/>
      </c>
      <c r="R2349" s="48">
        <f>IF($M2349="","",MAX(IF($G2349="",$I2349,$G2349)*(1/1.1),IF($G2349="",$I2349,$G2349)+(R$2*$M2349)))</f>
        <v/>
      </c>
      <c r="S2349" s="49">
        <f>IF($M2349="","",MAX(IF($G2349="",$I2349,$G2349)*(1/1.1),IF($G2349="",$I2349,$G2349)+(S$2*$M2349)))</f>
        <v/>
      </c>
      <c r="T2349" s="82" t="n"/>
      <c r="U2349" s="47">
        <f>IF(OR($M2349="",$T2349=""),"",$T2349+(U$2*$M2349))</f>
        <v/>
      </c>
      <c r="V2349" s="48">
        <f>IF(OR($M2349="",$T2349=""),"",$T2349+(V$2*$M2349))</f>
        <v/>
      </c>
      <c r="W2349" s="48">
        <f>IF(OR($M2349="",$T2349=""),"",$T2349+(W$2*$M2349))</f>
        <v/>
      </c>
      <c r="X2349" s="49">
        <f>IF(OR($M2349="",$T2349=""),"",$T2349+(X$2*$M2349))</f>
        <v/>
      </c>
      <c r="Y2349" s="47">
        <f>IF(OR($M2349="",$T2349=""),"",$T2349+(Y$2*$M2349))</f>
        <v/>
      </c>
      <c r="Z2349" s="49">
        <f>IF(OR($M2349="",$T2349=""),"",$T2349+(Z$2*$M2349))</f>
        <v/>
      </c>
      <c r="AA2349" s="51">
        <f>IF(OR($M2349="",$T2349=""),"",$T2349+(AA$2*$M2349))</f>
        <v/>
      </c>
      <c r="AB2349" s="48">
        <f>IF(OR($M2349="",$T2349=""),"",$T2349+(AB$2*$M2349))</f>
        <v/>
      </c>
      <c r="AC2349" s="48">
        <f>IF(OR($M2349="",$T2349=""),"",$T2349+(AC$2*$M2349))</f>
        <v/>
      </c>
      <c r="AD2349" s="48">
        <f>IF(OR($M2349="",$T2349=""),"",$T2349+(AD$2*$M2349))</f>
        <v/>
      </c>
      <c r="AE2349" s="49">
        <f>IF(OR($M2349="",$T2349=""),"",$T2349+(AE$2*$M2349))</f>
        <v/>
      </c>
      <c r="AF2349" s="52">
        <f>IF(OR(T2349="",I2349&lt;T2349),"",IFERROR(AVERAGE(T2349+M2349*{7,8,9,10,11})/IF(G2349="",I2349,G2349)-1,""))</f>
        <v/>
      </c>
      <c r="AG2349" s="55">
        <f>IF(OR(T2349="",I2349&lt;T2349),"",IFERROR(AF2349/-(R2349/IF(G2349="",I2349,G2349)-1),""))</f>
        <v/>
      </c>
      <c r="AH2349" s="94" t="n"/>
      <c r="AI2349" s="94" t="n"/>
      <c r="AJ2349" s="94" t="n"/>
      <c r="AK2349" s="94" t="n"/>
      <c r="AL2349" s="84" t="n"/>
    </row>
    <row r="2350">
      <c r="A2350" s="64" t="n"/>
      <c r="B2350" s="65" t="n"/>
      <c r="C2350" s="66" t="n"/>
      <c r="D2350" s="67" t="n"/>
      <c r="E2350" s="68" t="n"/>
      <c r="F2350" s="47">
        <f>IF(A2350="","",IF(MIN(H2350,MAX(J2350:K2350))=0,"",MIN(H2350,MAX(J2350:K2350))))</f>
        <v/>
      </c>
      <c r="G2350" s="74" t="n"/>
      <c r="H2350" s="49">
        <f>IF(M2350="","",IFERROR(ROUND(AVERAGE(T2350+M2350*{7,8,9,10,11})/1.21,4),""))</f>
        <v/>
      </c>
      <c r="I2350" s="76" t="n"/>
      <c r="J2350" s="77" t="n"/>
      <c r="K2350" s="74" t="n"/>
      <c r="L2350" s="78" t="n"/>
      <c r="M2350" s="77" t="n"/>
      <c r="N2350" s="53">
        <f>IF(M2350="","",IFERROR(M2350/I2350,""))</f>
        <v/>
      </c>
      <c r="O2350" s="50">
        <f>IF(A2350="","",IFERROR((IF(G2350="",I2350,G2350)-T2350)/M2350,""))</f>
        <v/>
      </c>
      <c r="P2350" s="50">
        <f>IFERROR((I2350/T2350-1)/N2350,"")</f>
        <v/>
      </c>
      <c r="Q2350" s="46">
        <f>IF(OR(T2350="",I2350&lt;T2350),"",IFERROR(R2350/IF(G2350="",I2350,G2350)-1,""))</f>
        <v/>
      </c>
      <c r="R2350" s="48">
        <f>IF($M2350="","",MAX(IF($G2350="",$I2350,$G2350)*(1/1.1),IF($G2350="",$I2350,$G2350)+(R$2*$M2350)))</f>
        <v/>
      </c>
      <c r="S2350" s="49">
        <f>IF($M2350="","",MAX(IF($G2350="",$I2350,$G2350)*(1/1.1),IF($G2350="",$I2350,$G2350)+(S$2*$M2350)))</f>
        <v/>
      </c>
      <c r="T2350" s="82" t="n"/>
      <c r="U2350" s="47">
        <f>IF(OR($M2350="",$T2350=""),"",$T2350+(U$2*$M2350))</f>
        <v/>
      </c>
      <c r="V2350" s="48">
        <f>IF(OR($M2350="",$T2350=""),"",$T2350+(V$2*$M2350))</f>
        <v/>
      </c>
      <c r="W2350" s="48">
        <f>IF(OR($M2350="",$T2350=""),"",$T2350+(W$2*$M2350))</f>
        <v/>
      </c>
      <c r="X2350" s="49">
        <f>IF(OR($M2350="",$T2350=""),"",$T2350+(X$2*$M2350))</f>
        <v/>
      </c>
      <c r="Y2350" s="47">
        <f>IF(OR($M2350="",$T2350=""),"",$T2350+(Y$2*$M2350))</f>
        <v/>
      </c>
      <c r="Z2350" s="49">
        <f>IF(OR($M2350="",$T2350=""),"",$T2350+(Z$2*$M2350))</f>
        <v/>
      </c>
      <c r="AA2350" s="51">
        <f>IF(OR($M2350="",$T2350=""),"",$T2350+(AA$2*$M2350))</f>
        <v/>
      </c>
      <c r="AB2350" s="48">
        <f>IF(OR($M2350="",$T2350=""),"",$T2350+(AB$2*$M2350))</f>
        <v/>
      </c>
      <c r="AC2350" s="48">
        <f>IF(OR($M2350="",$T2350=""),"",$T2350+(AC$2*$M2350))</f>
        <v/>
      </c>
      <c r="AD2350" s="48">
        <f>IF(OR($M2350="",$T2350=""),"",$T2350+(AD$2*$M2350))</f>
        <v/>
      </c>
      <c r="AE2350" s="49">
        <f>IF(OR($M2350="",$T2350=""),"",$T2350+(AE$2*$M2350))</f>
        <v/>
      </c>
      <c r="AF2350" s="52">
        <f>IF(OR(T2350="",I2350&lt;T2350),"",IFERROR(AVERAGE(T2350+M2350*{7,8,9,10,11})/IF(G2350="",I2350,G2350)-1,""))</f>
        <v/>
      </c>
      <c r="AG2350" s="55">
        <f>IF(OR(T2350="",I2350&lt;T2350),"",IFERROR(AF2350/-(R2350/IF(G2350="",I2350,G2350)-1),""))</f>
        <v/>
      </c>
      <c r="AH2350" s="94" t="n"/>
      <c r="AI2350" s="94" t="n"/>
      <c r="AJ2350" s="94" t="n"/>
      <c r="AK2350" s="94" t="n"/>
      <c r="AL2350" s="84" t="n"/>
    </row>
    <row r="2351">
      <c r="A2351" s="64" t="n"/>
      <c r="B2351" s="65" t="n"/>
      <c r="C2351" s="66" t="n"/>
      <c r="D2351" s="67" t="n"/>
      <c r="E2351" s="68" t="n"/>
      <c r="F2351" s="47">
        <f>IF(A2351="","",IF(MIN(H2351,MAX(J2351:K2351))=0,"",MIN(H2351,MAX(J2351:K2351))))</f>
        <v/>
      </c>
      <c r="G2351" s="74" t="n"/>
      <c r="H2351" s="49">
        <f>IF(M2351="","",IFERROR(ROUND(AVERAGE(T2351+M2351*{7,8,9,10,11})/1.21,4),""))</f>
        <v/>
      </c>
      <c r="I2351" s="76" t="n"/>
      <c r="J2351" s="77" t="n"/>
      <c r="K2351" s="74" t="n"/>
      <c r="L2351" s="78" t="n"/>
      <c r="M2351" s="77" t="n"/>
      <c r="N2351" s="53">
        <f>IF(M2351="","",IFERROR(M2351/I2351,""))</f>
        <v/>
      </c>
      <c r="O2351" s="50">
        <f>IF(A2351="","",IFERROR((IF(G2351="",I2351,G2351)-T2351)/M2351,""))</f>
        <v/>
      </c>
      <c r="P2351" s="50">
        <f>IFERROR((I2351/T2351-1)/N2351,"")</f>
        <v/>
      </c>
      <c r="Q2351" s="46">
        <f>IF(OR(T2351="",I2351&lt;T2351),"",IFERROR(R2351/IF(G2351="",I2351,G2351)-1,""))</f>
        <v/>
      </c>
      <c r="R2351" s="48">
        <f>IF($M2351="","",MAX(IF($G2351="",$I2351,$G2351)*(1/1.1),IF($G2351="",$I2351,$G2351)+(R$2*$M2351)))</f>
        <v/>
      </c>
      <c r="S2351" s="49">
        <f>IF($M2351="","",MAX(IF($G2351="",$I2351,$G2351)*(1/1.1),IF($G2351="",$I2351,$G2351)+(S$2*$M2351)))</f>
        <v/>
      </c>
      <c r="T2351" s="82" t="n"/>
      <c r="U2351" s="47">
        <f>IF(OR($M2351="",$T2351=""),"",$T2351+(U$2*$M2351))</f>
        <v/>
      </c>
      <c r="V2351" s="48">
        <f>IF(OR($M2351="",$T2351=""),"",$T2351+(V$2*$M2351))</f>
        <v/>
      </c>
      <c r="W2351" s="48">
        <f>IF(OR($M2351="",$T2351=""),"",$T2351+(W$2*$M2351))</f>
        <v/>
      </c>
      <c r="X2351" s="49">
        <f>IF(OR($M2351="",$T2351=""),"",$T2351+(X$2*$M2351))</f>
        <v/>
      </c>
      <c r="Y2351" s="47">
        <f>IF(OR($M2351="",$T2351=""),"",$T2351+(Y$2*$M2351))</f>
        <v/>
      </c>
      <c r="Z2351" s="49">
        <f>IF(OR($M2351="",$T2351=""),"",$T2351+(Z$2*$M2351))</f>
        <v/>
      </c>
      <c r="AA2351" s="51">
        <f>IF(OR($M2351="",$T2351=""),"",$T2351+(AA$2*$M2351))</f>
        <v/>
      </c>
      <c r="AB2351" s="48">
        <f>IF(OR($M2351="",$T2351=""),"",$T2351+(AB$2*$M2351))</f>
        <v/>
      </c>
      <c r="AC2351" s="48">
        <f>IF(OR($M2351="",$T2351=""),"",$T2351+(AC$2*$M2351))</f>
        <v/>
      </c>
      <c r="AD2351" s="48">
        <f>IF(OR($M2351="",$T2351=""),"",$T2351+(AD$2*$M2351))</f>
        <v/>
      </c>
      <c r="AE2351" s="49">
        <f>IF(OR($M2351="",$T2351=""),"",$T2351+(AE$2*$M2351))</f>
        <v/>
      </c>
      <c r="AF2351" s="52">
        <f>IF(OR(T2351="",I2351&lt;T2351),"",IFERROR(AVERAGE(T2351+M2351*{7,8,9,10,11})/IF(G2351="",I2351,G2351)-1,""))</f>
        <v/>
      </c>
      <c r="AG2351" s="55">
        <f>IF(OR(T2351="",I2351&lt;T2351),"",IFERROR(AF2351/-(R2351/IF(G2351="",I2351,G2351)-1),""))</f>
        <v/>
      </c>
      <c r="AH2351" s="94" t="n"/>
      <c r="AI2351" s="94" t="n"/>
      <c r="AJ2351" s="94" t="n"/>
      <c r="AK2351" s="94" t="n"/>
      <c r="AL2351" s="84" t="n"/>
    </row>
    <row r="2352">
      <c r="A2352" s="64" t="n"/>
      <c r="B2352" s="65" t="n"/>
      <c r="C2352" s="66" t="n"/>
      <c r="D2352" s="67" t="n"/>
      <c r="E2352" s="68" t="n"/>
      <c r="F2352" s="47">
        <f>IF(A2352="","",IF(MIN(H2352,MAX(J2352:K2352))=0,"",MIN(H2352,MAX(J2352:K2352))))</f>
        <v/>
      </c>
      <c r="G2352" s="74" t="n"/>
      <c r="H2352" s="49">
        <f>IF(M2352="","",IFERROR(ROUND(AVERAGE(T2352+M2352*{7,8,9,10,11})/1.21,4),""))</f>
        <v/>
      </c>
      <c r="I2352" s="76" t="n"/>
      <c r="J2352" s="77" t="n"/>
      <c r="K2352" s="74" t="n"/>
      <c r="L2352" s="78" t="n"/>
      <c r="M2352" s="77" t="n"/>
      <c r="N2352" s="53">
        <f>IF(M2352="","",IFERROR(M2352/I2352,""))</f>
        <v/>
      </c>
      <c r="O2352" s="50">
        <f>IF(A2352="","",IFERROR((IF(G2352="",I2352,G2352)-T2352)/M2352,""))</f>
        <v/>
      </c>
      <c r="P2352" s="50">
        <f>IFERROR((I2352/T2352-1)/N2352,"")</f>
        <v/>
      </c>
      <c r="Q2352" s="46">
        <f>IF(OR(T2352="",I2352&lt;T2352),"",IFERROR(R2352/IF(G2352="",I2352,G2352)-1,""))</f>
        <v/>
      </c>
      <c r="R2352" s="48">
        <f>IF($M2352="","",MAX(IF($G2352="",$I2352,$G2352)*(1/1.1),IF($G2352="",$I2352,$G2352)+(R$2*$M2352)))</f>
        <v/>
      </c>
      <c r="S2352" s="49">
        <f>IF($M2352="","",MAX(IF($G2352="",$I2352,$G2352)*(1/1.1),IF($G2352="",$I2352,$G2352)+(S$2*$M2352)))</f>
        <v/>
      </c>
      <c r="T2352" s="82" t="n"/>
      <c r="U2352" s="47">
        <f>IF(OR($M2352="",$T2352=""),"",$T2352+(U$2*$M2352))</f>
        <v/>
      </c>
      <c r="V2352" s="48">
        <f>IF(OR($M2352="",$T2352=""),"",$T2352+(V$2*$M2352))</f>
        <v/>
      </c>
      <c r="W2352" s="48">
        <f>IF(OR($M2352="",$T2352=""),"",$T2352+(W$2*$M2352))</f>
        <v/>
      </c>
      <c r="X2352" s="49">
        <f>IF(OR($M2352="",$T2352=""),"",$T2352+(X$2*$M2352))</f>
        <v/>
      </c>
      <c r="Y2352" s="47">
        <f>IF(OR($M2352="",$T2352=""),"",$T2352+(Y$2*$M2352))</f>
        <v/>
      </c>
      <c r="Z2352" s="49">
        <f>IF(OR($M2352="",$T2352=""),"",$T2352+(Z$2*$M2352))</f>
        <v/>
      </c>
      <c r="AA2352" s="51">
        <f>IF(OR($M2352="",$T2352=""),"",$T2352+(AA$2*$M2352))</f>
        <v/>
      </c>
      <c r="AB2352" s="48">
        <f>IF(OR($M2352="",$T2352=""),"",$T2352+(AB$2*$M2352))</f>
        <v/>
      </c>
      <c r="AC2352" s="48">
        <f>IF(OR($M2352="",$T2352=""),"",$T2352+(AC$2*$M2352))</f>
        <v/>
      </c>
      <c r="AD2352" s="48">
        <f>IF(OR($M2352="",$T2352=""),"",$T2352+(AD$2*$M2352))</f>
        <v/>
      </c>
      <c r="AE2352" s="49">
        <f>IF(OR($M2352="",$T2352=""),"",$T2352+(AE$2*$M2352))</f>
        <v/>
      </c>
      <c r="AF2352" s="52">
        <f>IF(OR(T2352="",I2352&lt;T2352),"",IFERROR(AVERAGE(T2352+M2352*{7,8,9,10,11})/IF(G2352="",I2352,G2352)-1,""))</f>
        <v/>
      </c>
      <c r="AG2352" s="55">
        <f>IF(OR(T2352="",I2352&lt;T2352),"",IFERROR(AF2352/-(R2352/IF(G2352="",I2352,G2352)-1),""))</f>
        <v/>
      </c>
      <c r="AH2352" s="94" t="n"/>
      <c r="AI2352" s="94" t="n"/>
      <c r="AJ2352" s="94" t="n"/>
      <c r="AK2352" s="94" t="n"/>
      <c r="AL2352" s="84" t="n"/>
    </row>
    <row r="2353">
      <c r="A2353" s="64" t="n"/>
      <c r="B2353" s="65" t="n"/>
      <c r="C2353" s="66" t="n"/>
      <c r="D2353" s="67" t="n"/>
      <c r="E2353" s="68" t="n"/>
      <c r="F2353" s="47">
        <f>IF(A2353="","",IF(MIN(H2353,MAX(J2353:K2353))=0,"",MIN(H2353,MAX(J2353:K2353))))</f>
        <v/>
      </c>
      <c r="G2353" s="74" t="n"/>
      <c r="H2353" s="49">
        <f>IF(M2353="","",IFERROR(ROUND(AVERAGE(T2353+M2353*{7,8,9,10,11})/1.21,4),""))</f>
        <v/>
      </c>
      <c r="I2353" s="76" t="n"/>
      <c r="J2353" s="77" t="n"/>
      <c r="K2353" s="74" t="n"/>
      <c r="L2353" s="78" t="n"/>
      <c r="M2353" s="77" t="n"/>
      <c r="N2353" s="53">
        <f>IF(M2353="","",IFERROR(M2353/I2353,""))</f>
        <v/>
      </c>
      <c r="O2353" s="50">
        <f>IF(A2353="","",IFERROR((IF(G2353="",I2353,G2353)-T2353)/M2353,""))</f>
        <v/>
      </c>
      <c r="P2353" s="50">
        <f>IFERROR((I2353/T2353-1)/N2353,"")</f>
        <v/>
      </c>
      <c r="Q2353" s="46">
        <f>IF(OR(T2353="",I2353&lt;T2353),"",IFERROR(R2353/IF(G2353="",I2353,G2353)-1,""))</f>
        <v/>
      </c>
      <c r="R2353" s="48">
        <f>IF($M2353="","",MAX(IF($G2353="",$I2353,$G2353)*(1/1.1),IF($G2353="",$I2353,$G2353)+(R$2*$M2353)))</f>
        <v/>
      </c>
      <c r="S2353" s="49">
        <f>IF($M2353="","",MAX(IF($G2353="",$I2353,$G2353)*(1/1.1),IF($G2353="",$I2353,$G2353)+(S$2*$M2353)))</f>
        <v/>
      </c>
      <c r="T2353" s="82" t="n"/>
      <c r="U2353" s="47">
        <f>IF(OR($M2353="",$T2353=""),"",$T2353+(U$2*$M2353))</f>
        <v/>
      </c>
      <c r="V2353" s="48">
        <f>IF(OR($M2353="",$T2353=""),"",$T2353+(V$2*$M2353))</f>
        <v/>
      </c>
      <c r="W2353" s="48">
        <f>IF(OR($M2353="",$T2353=""),"",$T2353+(W$2*$M2353))</f>
        <v/>
      </c>
      <c r="X2353" s="49">
        <f>IF(OR($M2353="",$T2353=""),"",$T2353+(X$2*$M2353))</f>
        <v/>
      </c>
      <c r="Y2353" s="47">
        <f>IF(OR($M2353="",$T2353=""),"",$T2353+(Y$2*$M2353))</f>
        <v/>
      </c>
      <c r="Z2353" s="49">
        <f>IF(OR($M2353="",$T2353=""),"",$T2353+(Z$2*$M2353))</f>
        <v/>
      </c>
      <c r="AA2353" s="51">
        <f>IF(OR($M2353="",$T2353=""),"",$T2353+(AA$2*$M2353))</f>
        <v/>
      </c>
      <c r="AB2353" s="48">
        <f>IF(OR($M2353="",$T2353=""),"",$T2353+(AB$2*$M2353))</f>
        <v/>
      </c>
      <c r="AC2353" s="48">
        <f>IF(OR($M2353="",$T2353=""),"",$T2353+(AC$2*$M2353))</f>
        <v/>
      </c>
      <c r="AD2353" s="48">
        <f>IF(OR($M2353="",$T2353=""),"",$T2353+(AD$2*$M2353))</f>
        <v/>
      </c>
      <c r="AE2353" s="49">
        <f>IF(OR($M2353="",$T2353=""),"",$T2353+(AE$2*$M2353))</f>
        <v/>
      </c>
      <c r="AF2353" s="52">
        <f>IF(OR(T2353="",I2353&lt;T2353),"",IFERROR(AVERAGE(T2353+M2353*{7,8,9,10,11})/IF(G2353="",I2353,G2353)-1,""))</f>
        <v/>
      </c>
      <c r="AG2353" s="55">
        <f>IF(OR(T2353="",I2353&lt;T2353),"",IFERROR(AF2353/-(R2353/IF(G2353="",I2353,G2353)-1),""))</f>
        <v/>
      </c>
      <c r="AH2353" s="94" t="n"/>
      <c r="AI2353" s="94" t="n"/>
      <c r="AJ2353" s="94" t="n"/>
      <c r="AK2353" s="94" t="n"/>
      <c r="AL2353" s="84" t="n"/>
    </row>
    <row r="2354">
      <c r="A2354" s="64" t="n"/>
      <c r="B2354" s="65" t="n"/>
      <c r="C2354" s="66" t="n"/>
      <c r="D2354" s="67" t="n"/>
      <c r="E2354" s="68" t="n"/>
      <c r="F2354" s="47">
        <f>IF(A2354="","",IF(MIN(H2354,MAX(J2354:K2354))=0,"",MIN(H2354,MAX(J2354:K2354))))</f>
        <v/>
      </c>
      <c r="G2354" s="74" t="n"/>
      <c r="H2354" s="49">
        <f>IF(M2354="","",IFERROR(ROUND(AVERAGE(T2354+M2354*{7,8,9,10,11})/1.21,4),""))</f>
        <v/>
      </c>
      <c r="I2354" s="76" t="n"/>
      <c r="J2354" s="77" t="n"/>
      <c r="K2354" s="74" t="n"/>
      <c r="L2354" s="78" t="n"/>
      <c r="M2354" s="77" t="n"/>
      <c r="N2354" s="53">
        <f>IF(M2354="","",IFERROR(M2354/I2354,""))</f>
        <v/>
      </c>
      <c r="O2354" s="50">
        <f>IF(A2354="","",IFERROR((IF(G2354="",I2354,G2354)-T2354)/M2354,""))</f>
        <v/>
      </c>
      <c r="P2354" s="50">
        <f>IFERROR((I2354/T2354-1)/N2354,"")</f>
        <v/>
      </c>
      <c r="Q2354" s="46">
        <f>IF(OR(T2354="",I2354&lt;T2354),"",IFERROR(R2354/IF(G2354="",I2354,G2354)-1,""))</f>
        <v/>
      </c>
      <c r="R2354" s="48">
        <f>IF($M2354="","",MAX(IF($G2354="",$I2354,$G2354)*(1/1.1),IF($G2354="",$I2354,$G2354)+(R$2*$M2354)))</f>
        <v/>
      </c>
      <c r="S2354" s="49">
        <f>IF($M2354="","",MAX(IF($G2354="",$I2354,$G2354)*(1/1.1),IF($G2354="",$I2354,$G2354)+(S$2*$M2354)))</f>
        <v/>
      </c>
      <c r="T2354" s="82" t="n"/>
      <c r="U2354" s="47">
        <f>IF(OR($M2354="",$T2354=""),"",$T2354+(U$2*$M2354))</f>
        <v/>
      </c>
      <c r="V2354" s="48">
        <f>IF(OR($M2354="",$T2354=""),"",$T2354+(V$2*$M2354))</f>
        <v/>
      </c>
      <c r="W2354" s="48">
        <f>IF(OR($M2354="",$T2354=""),"",$T2354+(W$2*$M2354))</f>
        <v/>
      </c>
      <c r="X2354" s="49">
        <f>IF(OR($M2354="",$T2354=""),"",$T2354+(X$2*$M2354))</f>
        <v/>
      </c>
      <c r="Y2354" s="47">
        <f>IF(OR($M2354="",$T2354=""),"",$T2354+(Y$2*$M2354))</f>
        <v/>
      </c>
      <c r="Z2354" s="49">
        <f>IF(OR($M2354="",$T2354=""),"",$T2354+(Z$2*$M2354))</f>
        <v/>
      </c>
      <c r="AA2354" s="51">
        <f>IF(OR($M2354="",$T2354=""),"",$T2354+(AA$2*$M2354))</f>
        <v/>
      </c>
      <c r="AB2354" s="48">
        <f>IF(OR($M2354="",$T2354=""),"",$T2354+(AB$2*$M2354))</f>
        <v/>
      </c>
      <c r="AC2354" s="48">
        <f>IF(OR($M2354="",$T2354=""),"",$T2354+(AC$2*$M2354))</f>
        <v/>
      </c>
      <c r="AD2354" s="48">
        <f>IF(OR($M2354="",$T2354=""),"",$T2354+(AD$2*$M2354))</f>
        <v/>
      </c>
      <c r="AE2354" s="49">
        <f>IF(OR($M2354="",$T2354=""),"",$T2354+(AE$2*$M2354))</f>
        <v/>
      </c>
      <c r="AF2354" s="52">
        <f>IF(OR(T2354="",I2354&lt;T2354),"",IFERROR(AVERAGE(T2354+M2354*{7,8,9,10,11})/IF(G2354="",I2354,G2354)-1,""))</f>
        <v/>
      </c>
      <c r="AG2354" s="55">
        <f>IF(OR(T2354="",I2354&lt;T2354),"",IFERROR(AF2354/-(R2354/IF(G2354="",I2354,G2354)-1),""))</f>
        <v/>
      </c>
      <c r="AH2354" s="94" t="n"/>
      <c r="AI2354" s="94" t="n"/>
      <c r="AJ2354" s="94" t="n"/>
      <c r="AK2354" s="94" t="n"/>
      <c r="AL2354" s="84" t="n"/>
    </row>
    <row r="2355">
      <c r="A2355" s="64" t="n"/>
      <c r="B2355" s="65" t="n"/>
      <c r="C2355" s="66" t="n"/>
      <c r="D2355" s="67" t="n"/>
      <c r="E2355" s="68" t="n"/>
      <c r="F2355" s="47">
        <f>IF(A2355="","",IF(MIN(H2355,MAX(J2355:K2355))=0,"",MIN(H2355,MAX(J2355:K2355))))</f>
        <v/>
      </c>
      <c r="G2355" s="74" t="n"/>
      <c r="H2355" s="49">
        <f>IF(M2355="","",IFERROR(ROUND(AVERAGE(T2355+M2355*{7,8,9,10,11})/1.21,4),""))</f>
        <v/>
      </c>
      <c r="I2355" s="76" t="n"/>
      <c r="J2355" s="77" t="n"/>
      <c r="K2355" s="74" t="n"/>
      <c r="L2355" s="78" t="n"/>
      <c r="M2355" s="77" t="n"/>
      <c r="N2355" s="53">
        <f>IF(M2355="","",IFERROR(M2355/I2355,""))</f>
        <v/>
      </c>
      <c r="O2355" s="50">
        <f>IF(A2355="","",IFERROR((IF(G2355="",I2355,G2355)-T2355)/M2355,""))</f>
        <v/>
      </c>
      <c r="P2355" s="50">
        <f>IFERROR((I2355/T2355-1)/N2355,"")</f>
        <v/>
      </c>
      <c r="Q2355" s="46">
        <f>IF(OR(T2355="",I2355&lt;T2355),"",IFERROR(R2355/IF(G2355="",I2355,G2355)-1,""))</f>
        <v/>
      </c>
      <c r="R2355" s="48">
        <f>IF($M2355="","",MAX(IF($G2355="",$I2355,$G2355)*(1/1.1),IF($G2355="",$I2355,$G2355)+(R$2*$M2355)))</f>
        <v/>
      </c>
      <c r="S2355" s="49">
        <f>IF($M2355="","",MAX(IF($G2355="",$I2355,$G2355)*(1/1.1),IF($G2355="",$I2355,$G2355)+(S$2*$M2355)))</f>
        <v/>
      </c>
      <c r="T2355" s="82" t="n"/>
      <c r="U2355" s="47">
        <f>IF(OR($M2355="",$T2355=""),"",$T2355+(U$2*$M2355))</f>
        <v/>
      </c>
      <c r="V2355" s="48">
        <f>IF(OR($M2355="",$T2355=""),"",$T2355+(V$2*$M2355))</f>
        <v/>
      </c>
      <c r="W2355" s="48">
        <f>IF(OR($M2355="",$T2355=""),"",$T2355+(W$2*$M2355))</f>
        <v/>
      </c>
      <c r="X2355" s="49">
        <f>IF(OR($M2355="",$T2355=""),"",$T2355+(X$2*$M2355))</f>
        <v/>
      </c>
      <c r="Y2355" s="47">
        <f>IF(OR($M2355="",$T2355=""),"",$T2355+(Y$2*$M2355))</f>
        <v/>
      </c>
      <c r="Z2355" s="49">
        <f>IF(OR($M2355="",$T2355=""),"",$T2355+(Z$2*$M2355))</f>
        <v/>
      </c>
      <c r="AA2355" s="51">
        <f>IF(OR($M2355="",$T2355=""),"",$T2355+(AA$2*$M2355))</f>
        <v/>
      </c>
      <c r="AB2355" s="48">
        <f>IF(OR($M2355="",$T2355=""),"",$T2355+(AB$2*$M2355))</f>
        <v/>
      </c>
      <c r="AC2355" s="48">
        <f>IF(OR($M2355="",$T2355=""),"",$T2355+(AC$2*$M2355))</f>
        <v/>
      </c>
      <c r="AD2355" s="48">
        <f>IF(OR($M2355="",$T2355=""),"",$T2355+(AD$2*$M2355))</f>
        <v/>
      </c>
      <c r="AE2355" s="49">
        <f>IF(OR($M2355="",$T2355=""),"",$T2355+(AE$2*$M2355))</f>
        <v/>
      </c>
      <c r="AF2355" s="52">
        <f>IF(OR(T2355="",I2355&lt;T2355),"",IFERROR(AVERAGE(T2355+M2355*{7,8,9,10,11})/IF(G2355="",I2355,G2355)-1,""))</f>
        <v/>
      </c>
      <c r="AG2355" s="55">
        <f>IF(OR(T2355="",I2355&lt;T2355),"",IFERROR(AF2355/-(R2355/IF(G2355="",I2355,G2355)-1),""))</f>
        <v/>
      </c>
      <c r="AH2355" s="94" t="n"/>
      <c r="AI2355" s="94" t="n"/>
      <c r="AJ2355" s="94" t="n"/>
      <c r="AK2355" s="94" t="n"/>
      <c r="AL2355" s="84" t="n"/>
    </row>
    <row r="2356">
      <c r="A2356" s="64" t="n"/>
      <c r="B2356" s="65" t="n"/>
      <c r="C2356" s="66" t="n"/>
      <c r="D2356" s="67" t="n"/>
      <c r="E2356" s="68" t="n"/>
      <c r="F2356" s="47">
        <f>IF(A2356="","",IF(MIN(H2356,MAX(J2356:K2356))=0,"",MIN(H2356,MAX(J2356:K2356))))</f>
        <v/>
      </c>
      <c r="G2356" s="74" t="n"/>
      <c r="H2356" s="49">
        <f>IF(M2356="","",IFERROR(ROUND(AVERAGE(T2356+M2356*{7,8,9,10,11})/1.21,4),""))</f>
        <v/>
      </c>
      <c r="I2356" s="76" t="n"/>
      <c r="J2356" s="77" t="n"/>
      <c r="K2356" s="74" t="n"/>
      <c r="L2356" s="78" t="n"/>
      <c r="M2356" s="77" t="n"/>
      <c r="N2356" s="53">
        <f>IF(M2356="","",IFERROR(M2356/I2356,""))</f>
        <v/>
      </c>
      <c r="O2356" s="50">
        <f>IF(A2356="","",IFERROR((IF(G2356="",I2356,G2356)-T2356)/M2356,""))</f>
        <v/>
      </c>
      <c r="P2356" s="50">
        <f>IFERROR((I2356/T2356-1)/N2356,"")</f>
        <v/>
      </c>
      <c r="Q2356" s="46">
        <f>IF(OR(T2356="",I2356&lt;T2356),"",IFERROR(R2356/IF(G2356="",I2356,G2356)-1,""))</f>
        <v/>
      </c>
      <c r="R2356" s="48">
        <f>IF($M2356="","",MAX(IF($G2356="",$I2356,$G2356)*(1/1.1),IF($G2356="",$I2356,$G2356)+(R$2*$M2356)))</f>
        <v/>
      </c>
      <c r="S2356" s="49">
        <f>IF($M2356="","",MAX(IF($G2356="",$I2356,$G2356)*(1/1.1),IF($G2356="",$I2356,$G2356)+(S$2*$M2356)))</f>
        <v/>
      </c>
      <c r="T2356" s="82" t="n"/>
      <c r="U2356" s="47">
        <f>IF(OR($M2356="",$T2356=""),"",$T2356+(U$2*$M2356))</f>
        <v/>
      </c>
      <c r="V2356" s="48">
        <f>IF(OR($M2356="",$T2356=""),"",$T2356+(V$2*$M2356))</f>
        <v/>
      </c>
      <c r="W2356" s="48">
        <f>IF(OR($M2356="",$T2356=""),"",$T2356+(W$2*$M2356))</f>
        <v/>
      </c>
      <c r="X2356" s="49">
        <f>IF(OR($M2356="",$T2356=""),"",$T2356+(X$2*$M2356))</f>
        <v/>
      </c>
      <c r="Y2356" s="47">
        <f>IF(OR($M2356="",$T2356=""),"",$T2356+(Y$2*$M2356))</f>
        <v/>
      </c>
      <c r="Z2356" s="49">
        <f>IF(OR($M2356="",$T2356=""),"",$T2356+(Z$2*$M2356))</f>
        <v/>
      </c>
      <c r="AA2356" s="51">
        <f>IF(OR($M2356="",$T2356=""),"",$T2356+(AA$2*$M2356))</f>
        <v/>
      </c>
      <c r="AB2356" s="48">
        <f>IF(OR($M2356="",$T2356=""),"",$T2356+(AB$2*$M2356))</f>
        <v/>
      </c>
      <c r="AC2356" s="48">
        <f>IF(OR($M2356="",$T2356=""),"",$T2356+(AC$2*$M2356))</f>
        <v/>
      </c>
      <c r="AD2356" s="48">
        <f>IF(OR($M2356="",$T2356=""),"",$T2356+(AD$2*$M2356))</f>
        <v/>
      </c>
      <c r="AE2356" s="49">
        <f>IF(OR($M2356="",$T2356=""),"",$T2356+(AE$2*$M2356))</f>
        <v/>
      </c>
      <c r="AF2356" s="52">
        <f>IF(OR(T2356="",I2356&lt;T2356),"",IFERROR(AVERAGE(T2356+M2356*{7,8,9,10,11})/IF(G2356="",I2356,G2356)-1,""))</f>
        <v/>
      </c>
      <c r="AG2356" s="55">
        <f>IF(OR(T2356="",I2356&lt;T2356),"",IFERROR(AF2356/-(R2356/IF(G2356="",I2356,G2356)-1),""))</f>
        <v/>
      </c>
      <c r="AH2356" s="94" t="n"/>
      <c r="AI2356" s="94" t="n"/>
      <c r="AJ2356" s="94" t="n"/>
      <c r="AK2356" s="94" t="n"/>
      <c r="AL2356" s="84" t="n"/>
    </row>
    <row r="2357">
      <c r="A2357" s="64" t="n"/>
      <c r="B2357" s="65" t="n"/>
      <c r="C2357" s="66" t="n"/>
      <c r="D2357" s="67" t="n"/>
      <c r="E2357" s="68" t="n"/>
      <c r="F2357" s="47">
        <f>IF(A2357="","",IF(MIN(H2357,MAX(J2357:K2357))=0,"",MIN(H2357,MAX(J2357:K2357))))</f>
        <v/>
      </c>
      <c r="G2357" s="74" t="n"/>
      <c r="H2357" s="49">
        <f>IF(M2357="","",IFERROR(ROUND(AVERAGE(T2357+M2357*{7,8,9,10,11})/1.21,4),""))</f>
        <v/>
      </c>
      <c r="I2357" s="76" t="n"/>
      <c r="J2357" s="77" t="n"/>
      <c r="K2357" s="74" t="n"/>
      <c r="L2357" s="78" t="n"/>
      <c r="M2357" s="77" t="n"/>
      <c r="N2357" s="53">
        <f>IF(M2357="","",IFERROR(M2357/I2357,""))</f>
        <v/>
      </c>
      <c r="O2357" s="50">
        <f>IF(A2357="","",IFERROR((IF(G2357="",I2357,G2357)-T2357)/M2357,""))</f>
        <v/>
      </c>
      <c r="P2357" s="50">
        <f>IFERROR((I2357/T2357-1)/N2357,"")</f>
        <v/>
      </c>
      <c r="Q2357" s="46">
        <f>IF(OR(T2357="",I2357&lt;T2357),"",IFERROR(R2357/IF(G2357="",I2357,G2357)-1,""))</f>
        <v/>
      </c>
      <c r="R2357" s="48">
        <f>IF($M2357="","",MAX(IF($G2357="",$I2357,$G2357)*(1/1.1),IF($G2357="",$I2357,$G2357)+(R$2*$M2357)))</f>
        <v/>
      </c>
      <c r="S2357" s="49">
        <f>IF($M2357="","",MAX(IF($G2357="",$I2357,$G2357)*(1/1.1),IF($G2357="",$I2357,$G2357)+(S$2*$M2357)))</f>
        <v/>
      </c>
      <c r="T2357" s="82" t="n"/>
      <c r="U2357" s="47">
        <f>IF(OR($M2357="",$T2357=""),"",$T2357+(U$2*$M2357))</f>
        <v/>
      </c>
      <c r="V2357" s="48">
        <f>IF(OR($M2357="",$T2357=""),"",$T2357+(V$2*$M2357))</f>
        <v/>
      </c>
      <c r="W2357" s="48">
        <f>IF(OR($M2357="",$T2357=""),"",$T2357+(W$2*$M2357))</f>
        <v/>
      </c>
      <c r="X2357" s="49">
        <f>IF(OR($M2357="",$T2357=""),"",$T2357+(X$2*$M2357))</f>
        <v/>
      </c>
      <c r="Y2357" s="47">
        <f>IF(OR($M2357="",$T2357=""),"",$T2357+(Y$2*$M2357))</f>
        <v/>
      </c>
      <c r="Z2357" s="49">
        <f>IF(OR($M2357="",$T2357=""),"",$T2357+(Z$2*$M2357))</f>
        <v/>
      </c>
      <c r="AA2357" s="51">
        <f>IF(OR($M2357="",$T2357=""),"",$T2357+(AA$2*$M2357))</f>
        <v/>
      </c>
      <c r="AB2357" s="48">
        <f>IF(OR($M2357="",$T2357=""),"",$T2357+(AB$2*$M2357))</f>
        <v/>
      </c>
      <c r="AC2357" s="48">
        <f>IF(OR($M2357="",$T2357=""),"",$T2357+(AC$2*$M2357))</f>
        <v/>
      </c>
      <c r="AD2357" s="48">
        <f>IF(OR($M2357="",$T2357=""),"",$T2357+(AD$2*$M2357))</f>
        <v/>
      </c>
      <c r="AE2357" s="49">
        <f>IF(OR($M2357="",$T2357=""),"",$T2357+(AE$2*$M2357))</f>
        <v/>
      </c>
      <c r="AF2357" s="52">
        <f>IF(OR(T2357="",I2357&lt;T2357),"",IFERROR(AVERAGE(T2357+M2357*{7,8,9,10,11})/IF(G2357="",I2357,G2357)-1,""))</f>
        <v/>
      </c>
      <c r="AG2357" s="55">
        <f>IF(OR(T2357="",I2357&lt;T2357),"",IFERROR(AF2357/-(R2357/IF(G2357="",I2357,G2357)-1),""))</f>
        <v/>
      </c>
      <c r="AH2357" s="94" t="n"/>
      <c r="AI2357" s="94" t="n"/>
      <c r="AJ2357" s="94" t="n"/>
      <c r="AK2357" s="94" t="n"/>
      <c r="AL2357" s="84" t="n"/>
    </row>
    <row r="2358">
      <c r="A2358" s="64" t="n"/>
      <c r="B2358" s="65" t="n"/>
      <c r="C2358" s="66" t="n"/>
      <c r="D2358" s="67" t="n"/>
      <c r="E2358" s="68" t="n"/>
      <c r="F2358" s="47">
        <f>IF(A2358="","",IF(MIN(H2358,MAX(J2358:K2358))=0,"",MIN(H2358,MAX(J2358:K2358))))</f>
        <v/>
      </c>
      <c r="G2358" s="74" t="n"/>
      <c r="H2358" s="49">
        <f>IF(M2358="","",IFERROR(ROUND(AVERAGE(T2358+M2358*{7,8,9,10,11})/1.21,4),""))</f>
        <v/>
      </c>
      <c r="I2358" s="76" t="n"/>
      <c r="J2358" s="77" t="n"/>
      <c r="K2358" s="74" t="n"/>
      <c r="L2358" s="78" t="n"/>
      <c r="M2358" s="77" t="n"/>
      <c r="N2358" s="53">
        <f>IF(M2358="","",IFERROR(M2358/I2358,""))</f>
        <v/>
      </c>
      <c r="O2358" s="50">
        <f>IF(A2358="","",IFERROR((IF(G2358="",I2358,G2358)-T2358)/M2358,""))</f>
        <v/>
      </c>
      <c r="P2358" s="50">
        <f>IFERROR((I2358/T2358-1)/N2358,"")</f>
        <v/>
      </c>
      <c r="Q2358" s="46">
        <f>IF(OR(T2358="",I2358&lt;T2358),"",IFERROR(R2358/IF(G2358="",I2358,G2358)-1,""))</f>
        <v/>
      </c>
      <c r="R2358" s="48">
        <f>IF($M2358="","",MAX(IF($G2358="",$I2358,$G2358)*(1/1.1),IF($G2358="",$I2358,$G2358)+(R$2*$M2358)))</f>
        <v/>
      </c>
      <c r="S2358" s="49">
        <f>IF($M2358="","",MAX(IF($G2358="",$I2358,$G2358)*(1/1.1),IF($G2358="",$I2358,$G2358)+(S$2*$M2358)))</f>
        <v/>
      </c>
      <c r="T2358" s="82" t="n"/>
      <c r="U2358" s="47">
        <f>IF(OR($M2358="",$T2358=""),"",$T2358+(U$2*$M2358))</f>
        <v/>
      </c>
      <c r="V2358" s="48">
        <f>IF(OR($M2358="",$T2358=""),"",$T2358+(V$2*$M2358))</f>
        <v/>
      </c>
      <c r="W2358" s="48">
        <f>IF(OR($M2358="",$T2358=""),"",$T2358+(W$2*$M2358))</f>
        <v/>
      </c>
      <c r="X2358" s="49">
        <f>IF(OR($M2358="",$T2358=""),"",$T2358+(X$2*$M2358))</f>
        <v/>
      </c>
      <c r="Y2358" s="47">
        <f>IF(OR($M2358="",$T2358=""),"",$T2358+(Y$2*$M2358))</f>
        <v/>
      </c>
      <c r="Z2358" s="49">
        <f>IF(OR($M2358="",$T2358=""),"",$T2358+(Z$2*$M2358))</f>
        <v/>
      </c>
      <c r="AA2358" s="51">
        <f>IF(OR($M2358="",$T2358=""),"",$T2358+(AA$2*$M2358))</f>
        <v/>
      </c>
      <c r="AB2358" s="48">
        <f>IF(OR($M2358="",$T2358=""),"",$T2358+(AB$2*$M2358))</f>
        <v/>
      </c>
      <c r="AC2358" s="48">
        <f>IF(OR($M2358="",$T2358=""),"",$T2358+(AC$2*$M2358))</f>
        <v/>
      </c>
      <c r="AD2358" s="48">
        <f>IF(OR($M2358="",$T2358=""),"",$T2358+(AD$2*$M2358))</f>
        <v/>
      </c>
      <c r="AE2358" s="49">
        <f>IF(OR($M2358="",$T2358=""),"",$T2358+(AE$2*$M2358))</f>
        <v/>
      </c>
      <c r="AF2358" s="52">
        <f>IF(OR(T2358="",I2358&lt;T2358),"",IFERROR(AVERAGE(T2358+M2358*{7,8,9,10,11})/IF(G2358="",I2358,G2358)-1,""))</f>
        <v/>
      </c>
      <c r="AG2358" s="55">
        <f>IF(OR(T2358="",I2358&lt;T2358),"",IFERROR(AF2358/-(R2358/IF(G2358="",I2358,G2358)-1),""))</f>
        <v/>
      </c>
      <c r="AH2358" s="94" t="n"/>
      <c r="AI2358" s="94" t="n"/>
      <c r="AJ2358" s="94" t="n"/>
      <c r="AK2358" s="94" t="n"/>
      <c r="AL2358" s="84" t="n"/>
    </row>
    <row r="2359">
      <c r="A2359" s="64" t="n"/>
      <c r="B2359" s="65" t="n"/>
      <c r="C2359" s="66" t="n"/>
      <c r="D2359" s="67" t="n"/>
      <c r="E2359" s="68" t="n"/>
      <c r="F2359" s="47">
        <f>IF(A2359="","",IF(MIN(H2359,MAX(J2359:K2359))=0,"",MIN(H2359,MAX(J2359:K2359))))</f>
        <v/>
      </c>
      <c r="G2359" s="74" t="n"/>
      <c r="H2359" s="49">
        <f>IF(M2359="","",IFERROR(ROUND(AVERAGE(T2359+M2359*{7,8,9,10,11})/1.21,4),""))</f>
        <v/>
      </c>
      <c r="I2359" s="76" t="n"/>
      <c r="J2359" s="77" t="n"/>
      <c r="K2359" s="74" t="n"/>
      <c r="L2359" s="78" t="n"/>
      <c r="M2359" s="77" t="n"/>
      <c r="N2359" s="53">
        <f>IF(M2359="","",IFERROR(M2359/I2359,""))</f>
        <v/>
      </c>
      <c r="O2359" s="50">
        <f>IF(A2359="","",IFERROR((IF(G2359="",I2359,G2359)-T2359)/M2359,""))</f>
        <v/>
      </c>
      <c r="P2359" s="50">
        <f>IFERROR((I2359/T2359-1)/N2359,"")</f>
        <v/>
      </c>
      <c r="Q2359" s="46">
        <f>IF(OR(T2359="",I2359&lt;T2359),"",IFERROR(R2359/IF(G2359="",I2359,G2359)-1,""))</f>
        <v/>
      </c>
      <c r="R2359" s="48">
        <f>IF($M2359="","",MAX(IF($G2359="",$I2359,$G2359)*(1/1.1),IF($G2359="",$I2359,$G2359)+(R$2*$M2359)))</f>
        <v/>
      </c>
      <c r="S2359" s="49">
        <f>IF($M2359="","",MAX(IF($G2359="",$I2359,$G2359)*(1/1.1),IF($G2359="",$I2359,$G2359)+(S$2*$M2359)))</f>
        <v/>
      </c>
      <c r="T2359" s="82" t="n"/>
      <c r="U2359" s="47">
        <f>IF(OR($M2359="",$T2359=""),"",$T2359+(U$2*$M2359))</f>
        <v/>
      </c>
      <c r="V2359" s="48">
        <f>IF(OR($M2359="",$T2359=""),"",$T2359+(V$2*$M2359))</f>
        <v/>
      </c>
      <c r="W2359" s="48">
        <f>IF(OR($M2359="",$T2359=""),"",$T2359+(W$2*$M2359))</f>
        <v/>
      </c>
      <c r="X2359" s="49">
        <f>IF(OR($M2359="",$T2359=""),"",$T2359+(X$2*$M2359))</f>
        <v/>
      </c>
      <c r="Y2359" s="47">
        <f>IF(OR($M2359="",$T2359=""),"",$T2359+(Y$2*$M2359))</f>
        <v/>
      </c>
      <c r="Z2359" s="49">
        <f>IF(OR($M2359="",$T2359=""),"",$T2359+(Z$2*$M2359))</f>
        <v/>
      </c>
      <c r="AA2359" s="51">
        <f>IF(OR($M2359="",$T2359=""),"",$T2359+(AA$2*$M2359))</f>
        <v/>
      </c>
      <c r="AB2359" s="48">
        <f>IF(OR($M2359="",$T2359=""),"",$T2359+(AB$2*$M2359))</f>
        <v/>
      </c>
      <c r="AC2359" s="48">
        <f>IF(OR($M2359="",$T2359=""),"",$T2359+(AC$2*$M2359))</f>
        <v/>
      </c>
      <c r="AD2359" s="48">
        <f>IF(OR($M2359="",$T2359=""),"",$T2359+(AD$2*$M2359))</f>
        <v/>
      </c>
      <c r="AE2359" s="49">
        <f>IF(OR($M2359="",$T2359=""),"",$T2359+(AE$2*$M2359))</f>
        <v/>
      </c>
      <c r="AF2359" s="52">
        <f>IF(OR(T2359="",I2359&lt;T2359),"",IFERROR(AVERAGE(T2359+M2359*{7,8,9,10,11})/IF(G2359="",I2359,G2359)-1,""))</f>
        <v/>
      </c>
      <c r="AG2359" s="55">
        <f>IF(OR(T2359="",I2359&lt;T2359),"",IFERROR(AF2359/-(R2359/IF(G2359="",I2359,G2359)-1),""))</f>
        <v/>
      </c>
      <c r="AH2359" s="94" t="n"/>
      <c r="AI2359" s="94" t="n"/>
      <c r="AJ2359" s="94" t="n"/>
      <c r="AK2359" s="94" t="n"/>
      <c r="AL2359" s="84" t="n"/>
    </row>
    <row r="2360">
      <c r="A2360" s="64" t="n"/>
      <c r="B2360" s="65" t="n"/>
      <c r="C2360" s="66" t="n"/>
      <c r="D2360" s="67" t="n"/>
      <c r="E2360" s="68" t="n"/>
      <c r="F2360" s="47">
        <f>IF(A2360="","",IF(MIN(H2360,MAX(J2360:K2360))=0,"",MIN(H2360,MAX(J2360:K2360))))</f>
        <v/>
      </c>
      <c r="G2360" s="74" t="n"/>
      <c r="H2360" s="49">
        <f>IF(M2360="","",IFERROR(ROUND(AVERAGE(T2360+M2360*{7,8,9,10,11})/1.21,4),""))</f>
        <v/>
      </c>
      <c r="I2360" s="76" t="n"/>
      <c r="J2360" s="77" t="n"/>
      <c r="K2360" s="74" t="n"/>
      <c r="L2360" s="78" t="n"/>
      <c r="M2360" s="77" t="n"/>
      <c r="N2360" s="53">
        <f>IF(M2360="","",IFERROR(M2360/I2360,""))</f>
        <v/>
      </c>
      <c r="O2360" s="50">
        <f>IF(A2360="","",IFERROR((IF(G2360="",I2360,G2360)-T2360)/M2360,""))</f>
        <v/>
      </c>
      <c r="P2360" s="50">
        <f>IFERROR((I2360/T2360-1)/N2360,"")</f>
        <v/>
      </c>
      <c r="Q2360" s="46">
        <f>IF(OR(T2360="",I2360&lt;T2360),"",IFERROR(R2360/IF(G2360="",I2360,G2360)-1,""))</f>
        <v/>
      </c>
      <c r="R2360" s="48">
        <f>IF($M2360="","",MAX(IF($G2360="",$I2360,$G2360)*(1/1.1),IF($G2360="",$I2360,$G2360)+(R$2*$M2360)))</f>
        <v/>
      </c>
      <c r="S2360" s="49">
        <f>IF($M2360="","",MAX(IF($G2360="",$I2360,$G2360)*(1/1.1),IF($G2360="",$I2360,$G2360)+(S$2*$M2360)))</f>
        <v/>
      </c>
      <c r="T2360" s="82" t="n"/>
      <c r="U2360" s="47">
        <f>IF(OR($M2360="",$T2360=""),"",$T2360+(U$2*$M2360))</f>
        <v/>
      </c>
      <c r="V2360" s="48">
        <f>IF(OR($M2360="",$T2360=""),"",$T2360+(V$2*$M2360))</f>
        <v/>
      </c>
      <c r="W2360" s="48">
        <f>IF(OR($M2360="",$T2360=""),"",$T2360+(W$2*$M2360))</f>
        <v/>
      </c>
      <c r="X2360" s="49">
        <f>IF(OR($M2360="",$T2360=""),"",$T2360+(X$2*$M2360))</f>
        <v/>
      </c>
      <c r="Y2360" s="47">
        <f>IF(OR($M2360="",$T2360=""),"",$T2360+(Y$2*$M2360))</f>
        <v/>
      </c>
      <c r="Z2360" s="49">
        <f>IF(OR($M2360="",$T2360=""),"",$T2360+(Z$2*$M2360))</f>
        <v/>
      </c>
      <c r="AA2360" s="51">
        <f>IF(OR($M2360="",$T2360=""),"",$T2360+(AA$2*$M2360))</f>
        <v/>
      </c>
      <c r="AB2360" s="48">
        <f>IF(OR($M2360="",$T2360=""),"",$T2360+(AB$2*$M2360))</f>
        <v/>
      </c>
      <c r="AC2360" s="48">
        <f>IF(OR($M2360="",$T2360=""),"",$T2360+(AC$2*$M2360))</f>
        <v/>
      </c>
      <c r="AD2360" s="48">
        <f>IF(OR($M2360="",$T2360=""),"",$T2360+(AD$2*$M2360))</f>
        <v/>
      </c>
      <c r="AE2360" s="49">
        <f>IF(OR($M2360="",$T2360=""),"",$T2360+(AE$2*$M2360))</f>
        <v/>
      </c>
      <c r="AF2360" s="52">
        <f>IF(OR(T2360="",I2360&lt;T2360),"",IFERROR(AVERAGE(T2360+M2360*{7,8,9,10,11})/IF(G2360="",I2360,G2360)-1,""))</f>
        <v/>
      </c>
      <c r="AG2360" s="55">
        <f>IF(OR(T2360="",I2360&lt;T2360),"",IFERROR(AF2360/-(R2360/IF(G2360="",I2360,G2360)-1),""))</f>
        <v/>
      </c>
      <c r="AH2360" s="94" t="n"/>
      <c r="AI2360" s="94" t="n"/>
      <c r="AJ2360" s="94" t="n"/>
      <c r="AK2360" s="94" t="n"/>
      <c r="AL2360" s="84" t="n"/>
    </row>
    <row r="2361">
      <c r="A2361" s="64" t="n"/>
      <c r="B2361" s="65" t="n"/>
      <c r="C2361" s="66" t="n"/>
      <c r="D2361" s="67" t="n"/>
      <c r="E2361" s="68" t="n"/>
      <c r="F2361" s="47">
        <f>IF(A2361="","",IF(MIN(H2361,MAX(J2361:K2361))=0,"",MIN(H2361,MAX(J2361:K2361))))</f>
        <v/>
      </c>
      <c r="G2361" s="74" t="n"/>
      <c r="H2361" s="49">
        <f>IF(M2361="","",IFERROR(ROUND(AVERAGE(T2361+M2361*{7,8,9,10,11})/1.21,4),""))</f>
        <v/>
      </c>
      <c r="I2361" s="76" t="n"/>
      <c r="J2361" s="77" t="n"/>
      <c r="K2361" s="74" t="n"/>
      <c r="L2361" s="78" t="n"/>
      <c r="M2361" s="77" t="n"/>
      <c r="N2361" s="53">
        <f>IF(M2361="","",IFERROR(M2361/I2361,""))</f>
        <v/>
      </c>
      <c r="O2361" s="50">
        <f>IF(A2361="","",IFERROR((IF(G2361="",I2361,G2361)-T2361)/M2361,""))</f>
        <v/>
      </c>
      <c r="P2361" s="50">
        <f>IFERROR((I2361/T2361-1)/N2361,"")</f>
        <v/>
      </c>
      <c r="Q2361" s="46">
        <f>IF(OR(T2361="",I2361&lt;T2361),"",IFERROR(R2361/IF(G2361="",I2361,G2361)-1,""))</f>
        <v/>
      </c>
      <c r="R2361" s="48">
        <f>IF($M2361="","",MAX(IF($G2361="",$I2361,$G2361)*(1/1.1),IF($G2361="",$I2361,$G2361)+(R$2*$M2361)))</f>
        <v/>
      </c>
      <c r="S2361" s="49">
        <f>IF($M2361="","",MAX(IF($G2361="",$I2361,$G2361)*(1/1.1),IF($G2361="",$I2361,$G2361)+(S$2*$M2361)))</f>
        <v/>
      </c>
      <c r="T2361" s="82" t="n"/>
      <c r="U2361" s="47">
        <f>IF(OR($M2361="",$T2361=""),"",$T2361+(U$2*$M2361))</f>
        <v/>
      </c>
      <c r="V2361" s="48">
        <f>IF(OR($M2361="",$T2361=""),"",$T2361+(V$2*$M2361))</f>
        <v/>
      </c>
      <c r="W2361" s="48">
        <f>IF(OR($M2361="",$T2361=""),"",$T2361+(W$2*$M2361))</f>
        <v/>
      </c>
      <c r="X2361" s="49">
        <f>IF(OR($M2361="",$T2361=""),"",$T2361+(X$2*$M2361))</f>
        <v/>
      </c>
      <c r="Y2361" s="47">
        <f>IF(OR($M2361="",$T2361=""),"",$T2361+(Y$2*$M2361))</f>
        <v/>
      </c>
      <c r="Z2361" s="49">
        <f>IF(OR($M2361="",$T2361=""),"",$T2361+(Z$2*$M2361))</f>
        <v/>
      </c>
      <c r="AA2361" s="51">
        <f>IF(OR($M2361="",$T2361=""),"",$T2361+(AA$2*$M2361))</f>
        <v/>
      </c>
      <c r="AB2361" s="48">
        <f>IF(OR($M2361="",$T2361=""),"",$T2361+(AB$2*$M2361))</f>
        <v/>
      </c>
      <c r="AC2361" s="48">
        <f>IF(OR($M2361="",$T2361=""),"",$T2361+(AC$2*$M2361))</f>
        <v/>
      </c>
      <c r="AD2361" s="48">
        <f>IF(OR($M2361="",$T2361=""),"",$T2361+(AD$2*$M2361))</f>
        <v/>
      </c>
      <c r="AE2361" s="49">
        <f>IF(OR($M2361="",$T2361=""),"",$T2361+(AE$2*$M2361))</f>
        <v/>
      </c>
      <c r="AF2361" s="52">
        <f>IF(OR(T2361="",I2361&lt;T2361),"",IFERROR(AVERAGE(T2361+M2361*{7,8,9,10,11})/IF(G2361="",I2361,G2361)-1,""))</f>
        <v/>
      </c>
      <c r="AG2361" s="55">
        <f>IF(OR(T2361="",I2361&lt;T2361),"",IFERROR(AF2361/-(R2361/IF(G2361="",I2361,G2361)-1),""))</f>
        <v/>
      </c>
      <c r="AH2361" s="94" t="n"/>
      <c r="AI2361" s="94" t="n"/>
      <c r="AJ2361" s="94" t="n"/>
      <c r="AK2361" s="94" t="n"/>
      <c r="AL2361" s="84" t="n"/>
    </row>
    <row r="2362">
      <c r="A2362" s="64" t="n"/>
      <c r="B2362" s="65" t="n"/>
      <c r="C2362" s="66" t="n"/>
      <c r="D2362" s="67" t="n"/>
      <c r="E2362" s="68" t="n"/>
      <c r="F2362" s="47">
        <f>IF(A2362="","",IF(MIN(H2362,MAX(J2362:K2362))=0,"",MIN(H2362,MAX(J2362:K2362))))</f>
        <v/>
      </c>
      <c r="G2362" s="74" t="n"/>
      <c r="H2362" s="49">
        <f>IF(M2362="","",IFERROR(ROUND(AVERAGE(T2362+M2362*{7,8,9,10,11})/1.21,4),""))</f>
        <v/>
      </c>
      <c r="I2362" s="76" t="n"/>
      <c r="J2362" s="77" t="n"/>
      <c r="K2362" s="74" t="n"/>
      <c r="L2362" s="78" t="n"/>
      <c r="M2362" s="77" t="n"/>
      <c r="N2362" s="53">
        <f>IF(M2362="","",IFERROR(M2362/I2362,""))</f>
        <v/>
      </c>
      <c r="O2362" s="50">
        <f>IF(A2362="","",IFERROR((IF(G2362="",I2362,G2362)-T2362)/M2362,""))</f>
        <v/>
      </c>
      <c r="P2362" s="50">
        <f>IFERROR((I2362/T2362-1)/N2362,"")</f>
        <v/>
      </c>
      <c r="Q2362" s="46">
        <f>IF(OR(T2362="",I2362&lt;T2362),"",IFERROR(R2362/IF(G2362="",I2362,G2362)-1,""))</f>
        <v/>
      </c>
      <c r="R2362" s="48">
        <f>IF($M2362="","",MAX(IF($G2362="",$I2362,$G2362)*(1/1.1),IF($G2362="",$I2362,$G2362)+(R$2*$M2362)))</f>
        <v/>
      </c>
      <c r="S2362" s="49">
        <f>IF($M2362="","",MAX(IF($G2362="",$I2362,$G2362)*(1/1.1),IF($G2362="",$I2362,$G2362)+(S$2*$M2362)))</f>
        <v/>
      </c>
      <c r="T2362" s="82" t="n"/>
      <c r="U2362" s="47">
        <f>IF(OR($M2362="",$T2362=""),"",$T2362+(U$2*$M2362))</f>
        <v/>
      </c>
      <c r="V2362" s="48">
        <f>IF(OR($M2362="",$T2362=""),"",$T2362+(V$2*$M2362))</f>
        <v/>
      </c>
      <c r="W2362" s="48">
        <f>IF(OR($M2362="",$T2362=""),"",$T2362+(W$2*$M2362))</f>
        <v/>
      </c>
      <c r="X2362" s="49">
        <f>IF(OR($M2362="",$T2362=""),"",$T2362+(X$2*$M2362))</f>
        <v/>
      </c>
      <c r="Y2362" s="47">
        <f>IF(OR($M2362="",$T2362=""),"",$T2362+(Y$2*$M2362))</f>
        <v/>
      </c>
      <c r="Z2362" s="49">
        <f>IF(OR($M2362="",$T2362=""),"",$T2362+(Z$2*$M2362))</f>
        <v/>
      </c>
      <c r="AA2362" s="51">
        <f>IF(OR($M2362="",$T2362=""),"",$T2362+(AA$2*$M2362))</f>
        <v/>
      </c>
      <c r="AB2362" s="48">
        <f>IF(OR($M2362="",$T2362=""),"",$T2362+(AB$2*$M2362))</f>
        <v/>
      </c>
      <c r="AC2362" s="48">
        <f>IF(OR($M2362="",$T2362=""),"",$T2362+(AC$2*$M2362))</f>
        <v/>
      </c>
      <c r="AD2362" s="48">
        <f>IF(OR($M2362="",$T2362=""),"",$T2362+(AD$2*$M2362))</f>
        <v/>
      </c>
      <c r="AE2362" s="49">
        <f>IF(OR($M2362="",$T2362=""),"",$T2362+(AE$2*$M2362))</f>
        <v/>
      </c>
      <c r="AF2362" s="52">
        <f>IF(OR(T2362="",I2362&lt;T2362),"",IFERROR(AVERAGE(T2362+M2362*{7,8,9,10,11})/IF(G2362="",I2362,G2362)-1,""))</f>
        <v/>
      </c>
      <c r="AG2362" s="55">
        <f>IF(OR(T2362="",I2362&lt;T2362),"",IFERROR(AF2362/-(R2362/IF(G2362="",I2362,G2362)-1),""))</f>
        <v/>
      </c>
      <c r="AH2362" s="94" t="n"/>
      <c r="AI2362" s="94" t="n"/>
      <c r="AJ2362" s="94" t="n"/>
      <c r="AK2362" s="94" t="n"/>
      <c r="AL2362" s="84" t="n"/>
    </row>
    <row r="2363">
      <c r="A2363" s="64" t="n"/>
      <c r="B2363" s="65" t="n"/>
      <c r="C2363" s="66" t="n"/>
      <c r="D2363" s="67" t="n"/>
      <c r="E2363" s="68" t="n"/>
      <c r="F2363" s="47">
        <f>IF(A2363="","",IF(MIN(H2363,MAX(J2363:K2363))=0,"",MIN(H2363,MAX(J2363:K2363))))</f>
        <v/>
      </c>
      <c r="G2363" s="74" t="n"/>
      <c r="H2363" s="49">
        <f>IF(M2363="","",IFERROR(ROUND(AVERAGE(T2363+M2363*{7,8,9,10,11})/1.21,4),""))</f>
        <v/>
      </c>
      <c r="I2363" s="76" t="n"/>
      <c r="J2363" s="77" t="n"/>
      <c r="K2363" s="74" t="n"/>
      <c r="L2363" s="78" t="n"/>
      <c r="M2363" s="77" t="n"/>
      <c r="N2363" s="53">
        <f>IF(M2363="","",IFERROR(M2363/I2363,""))</f>
        <v/>
      </c>
      <c r="O2363" s="50">
        <f>IF(A2363="","",IFERROR((IF(G2363="",I2363,G2363)-T2363)/M2363,""))</f>
        <v/>
      </c>
      <c r="P2363" s="50">
        <f>IFERROR((I2363/T2363-1)/N2363,"")</f>
        <v/>
      </c>
      <c r="Q2363" s="46">
        <f>IF(OR(T2363="",I2363&lt;T2363),"",IFERROR(R2363/IF(G2363="",I2363,G2363)-1,""))</f>
        <v/>
      </c>
      <c r="R2363" s="48">
        <f>IF($M2363="","",MAX(IF($G2363="",$I2363,$G2363)*(1/1.1),IF($G2363="",$I2363,$G2363)+(R$2*$M2363)))</f>
        <v/>
      </c>
      <c r="S2363" s="49">
        <f>IF($M2363="","",MAX(IF($G2363="",$I2363,$G2363)*(1/1.1),IF($G2363="",$I2363,$G2363)+(S$2*$M2363)))</f>
        <v/>
      </c>
      <c r="T2363" s="82" t="n"/>
      <c r="U2363" s="47">
        <f>IF(OR($M2363="",$T2363=""),"",$T2363+(U$2*$M2363))</f>
        <v/>
      </c>
      <c r="V2363" s="48">
        <f>IF(OR($M2363="",$T2363=""),"",$T2363+(V$2*$M2363))</f>
        <v/>
      </c>
      <c r="W2363" s="48">
        <f>IF(OR($M2363="",$T2363=""),"",$T2363+(W$2*$M2363))</f>
        <v/>
      </c>
      <c r="X2363" s="49">
        <f>IF(OR($M2363="",$T2363=""),"",$T2363+(X$2*$M2363))</f>
        <v/>
      </c>
      <c r="Y2363" s="47">
        <f>IF(OR($M2363="",$T2363=""),"",$T2363+(Y$2*$M2363))</f>
        <v/>
      </c>
      <c r="Z2363" s="49">
        <f>IF(OR($M2363="",$T2363=""),"",$T2363+(Z$2*$M2363))</f>
        <v/>
      </c>
      <c r="AA2363" s="51">
        <f>IF(OR($M2363="",$T2363=""),"",$T2363+(AA$2*$M2363))</f>
        <v/>
      </c>
      <c r="AB2363" s="48">
        <f>IF(OR($M2363="",$T2363=""),"",$T2363+(AB$2*$M2363))</f>
        <v/>
      </c>
      <c r="AC2363" s="48">
        <f>IF(OR($M2363="",$T2363=""),"",$T2363+(AC$2*$M2363))</f>
        <v/>
      </c>
      <c r="AD2363" s="48">
        <f>IF(OR($M2363="",$T2363=""),"",$T2363+(AD$2*$M2363))</f>
        <v/>
      </c>
      <c r="AE2363" s="49">
        <f>IF(OR($M2363="",$T2363=""),"",$T2363+(AE$2*$M2363))</f>
        <v/>
      </c>
      <c r="AF2363" s="52">
        <f>IF(OR(T2363="",I2363&lt;T2363),"",IFERROR(AVERAGE(T2363+M2363*{7,8,9,10,11})/IF(G2363="",I2363,G2363)-1,""))</f>
        <v/>
      </c>
      <c r="AG2363" s="55">
        <f>IF(OR(T2363="",I2363&lt;T2363),"",IFERROR(AF2363/-(R2363/IF(G2363="",I2363,G2363)-1),""))</f>
        <v/>
      </c>
      <c r="AH2363" s="94" t="n"/>
      <c r="AI2363" s="94" t="n"/>
      <c r="AJ2363" s="94" t="n"/>
      <c r="AK2363" s="94" t="n"/>
      <c r="AL2363" s="84" t="n"/>
    </row>
    <row r="2364">
      <c r="A2364" s="64" t="n"/>
      <c r="B2364" s="65" t="n"/>
      <c r="C2364" s="66" t="n"/>
      <c r="D2364" s="67" t="n"/>
      <c r="E2364" s="68" t="n"/>
      <c r="F2364" s="47">
        <f>IF(A2364="","",IF(MIN(H2364,MAX(J2364:K2364))=0,"",MIN(H2364,MAX(J2364:K2364))))</f>
        <v/>
      </c>
      <c r="G2364" s="74" t="n"/>
      <c r="H2364" s="49">
        <f>IF(M2364="","",IFERROR(ROUND(AVERAGE(T2364+M2364*{7,8,9,10,11})/1.21,4),""))</f>
        <v/>
      </c>
      <c r="I2364" s="76" t="n"/>
      <c r="J2364" s="77" t="n"/>
      <c r="K2364" s="74" t="n"/>
      <c r="L2364" s="78" t="n"/>
      <c r="M2364" s="77" t="n"/>
      <c r="N2364" s="53">
        <f>IF(M2364="","",IFERROR(M2364/I2364,""))</f>
        <v/>
      </c>
      <c r="O2364" s="50">
        <f>IF(A2364="","",IFERROR((IF(G2364="",I2364,G2364)-T2364)/M2364,""))</f>
        <v/>
      </c>
      <c r="P2364" s="50">
        <f>IFERROR((I2364/T2364-1)/N2364,"")</f>
        <v/>
      </c>
      <c r="Q2364" s="46">
        <f>IF(OR(T2364="",I2364&lt;T2364),"",IFERROR(R2364/IF(G2364="",I2364,G2364)-1,""))</f>
        <v/>
      </c>
      <c r="R2364" s="48">
        <f>IF($M2364="","",MAX(IF($G2364="",$I2364,$G2364)*(1/1.1),IF($G2364="",$I2364,$G2364)+(R$2*$M2364)))</f>
        <v/>
      </c>
      <c r="S2364" s="49">
        <f>IF($M2364="","",MAX(IF($G2364="",$I2364,$G2364)*(1/1.1),IF($G2364="",$I2364,$G2364)+(S$2*$M2364)))</f>
        <v/>
      </c>
      <c r="T2364" s="82" t="n"/>
      <c r="U2364" s="47">
        <f>IF(OR($M2364="",$T2364=""),"",$T2364+(U$2*$M2364))</f>
        <v/>
      </c>
      <c r="V2364" s="48">
        <f>IF(OR($M2364="",$T2364=""),"",$T2364+(V$2*$M2364))</f>
        <v/>
      </c>
      <c r="W2364" s="48">
        <f>IF(OR($M2364="",$T2364=""),"",$T2364+(W$2*$M2364))</f>
        <v/>
      </c>
      <c r="X2364" s="49">
        <f>IF(OR($M2364="",$T2364=""),"",$T2364+(X$2*$M2364))</f>
        <v/>
      </c>
      <c r="Y2364" s="47">
        <f>IF(OR($M2364="",$T2364=""),"",$T2364+(Y$2*$M2364))</f>
        <v/>
      </c>
      <c r="Z2364" s="49">
        <f>IF(OR($M2364="",$T2364=""),"",$T2364+(Z$2*$M2364))</f>
        <v/>
      </c>
      <c r="AA2364" s="51">
        <f>IF(OR($M2364="",$T2364=""),"",$T2364+(AA$2*$M2364))</f>
        <v/>
      </c>
      <c r="AB2364" s="48">
        <f>IF(OR($M2364="",$T2364=""),"",$T2364+(AB$2*$M2364))</f>
        <v/>
      </c>
      <c r="AC2364" s="48">
        <f>IF(OR($M2364="",$T2364=""),"",$T2364+(AC$2*$M2364))</f>
        <v/>
      </c>
      <c r="AD2364" s="48">
        <f>IF(OR($M2364="",$T2364=""),"",$T2364+(AD$2*$M2364))</f>
        <v/>
      </c>
      <c r="AE2364" s="49">
        <f>IF(OR($M2364="",$T2364=""),"",$T2364+(AE$2*$M2364))</f>
        <v/>
      </c>
      <c r="AF2364" s="52">
        <f>IF(OR(T2364="",I2364&lt;T2364),"",IFERROR(AVERAGE(T2364+M2364*{7,8,9,10,11})/IF(G2364="",I2364,G2364)-1,""))</f>
        <v/>
      </c>
      <c r="AG2364" s="55">
        <f>IF(OR(T2364="",I2364&lt;T2364),"",IFERROR(AF2364/-(R2364/IF(G2364="",I2364,G2364)-1),""))</f>
        <v/>
      </c>
      <c r="AH2364" s="94" t="n"/>
      <c r="AI2364" s="94" t="n"/>
      <c r="AJ2364" s="94" t="n"/>
      <c r="AK2364" s="94" t="n"/>
      <c r="AL2364" s="84" t="n"/>
    </row>
    <row r="2365">
      <c r="A2365" s="64" t="n"/>
      <c r="B2365" s="65" t="n"/>
      <c r="C2365" s="66" t="n"/>
      <c r="D2365" s="67" t="n"/>
      <c r="E2365" s="68" t="n"/>
      <c r="F2365" s="47">
        <f>IF(A2365="","",IF(MIN(H2365,MAX(J2365:K2365))=0,"",MIN(H2365,MAX(J2365:K2365))))</f>
        <v/>
      </c>
      <c r="G2365" s="74" t="n"/>
      <c r="H2365" s="49">
        <f>IF(M2365="","",IFERROR(ROUND(AVERAGE(T2365+M2365*{7,8,9,10,11})/1.21,4),""))</f>
        <v/>
      </c>
      <c r="I2365" s="76" t="n"/>
      <c r="J2365" s="77" t="n"/>
      <c r="K2365" s="74" t="n"/>
      <c r="L2365" s="78" t="n"/>
      <c r="M2365" s="77" t="n"/>
      <c r="N2365" s="53">
        <f>IF(M2365="","",IFERROR(M2365/I2365,""))</f>
        <v/>
      </c>
      <c r="O2365" s="50">
        <f>IF(A2365="","",IFERROR((IF(G2365="",I2365,G2365)-T2365)/M2365,""))</f>
        <v/>
      </c>
      <c r="P2365" s="50">
        <f>IFERROR((I2365/T2365-1)/N2365,"")</f>
        <v/>
      </c>
      <c r="Q2365" s="46">
        <f>IF(OR(T2365="",I2365&lt;T2365),"",IFERROR(R2365/IF(G2365="",I2365,G2365)-1,""))</f>
        <v/>
      </c>
      <c r="R2365" s="48">
        <f>IF($M2365="","",MAX(IF($G2365="",$I2365,$G2365)*(1/1.1),IF($G2365="",$I2365,$G2365)+(R$2*$M2365)))</f>
        <v/>
      </c>
      <c r="S2365" s="49">
        <f>IF($M2365="","",MAX(IF($G2365="",$I2365,$G2365)*(1/1.1),IF($G2365="",$I2365,$G2365)+(S$2*$M2365)))</f>
        <v/>
      </c>
      <c r="T2365" s="82" t="n"/>
      <c r="U2365" s="47">
        <f>IF(OR($M2365="",$T2365=""),"",$T2365+(U$2*$M2365))</f>
        <v/>
      </c>
      <c r="V2365" s="48">
        <f>IF(OR($M2365="",$T2365=""),"",$T2365+(V$2*$M2365))</f>
        <v/>
      </c>
      <c r="W2365" s="48">
        <f>IF(OR($M2365="",$T2365=""),"",$T2365+(W$2*$M2365))</f>
        <v/>
      </c>
      <c r="X2365" s="49">
        <f>IF(OR($M2365="",$T2365=""),"",$T2365+(X$2*$M2365))</f>
        <v/>
      </c>
      <c r="Y2365" s="47">
        <f>IF(OR($M2365="",$T2365=""),"",$T2365+(Y$2*$M2365))</f>
        <v/>
      </c>
      <c r="Z2365" s="49">
        <f>IF(OR($M2365="",$T2365=""),"",$T2365+(Z$2*$M2365))</f>
        <v/>
      </c>
      <c r="AA2365" s="51">
        <f>IF(OR($M2365="",$T2365=""),"",$T2365+(AA$2*$M2365))</f>
        <v/>
      </c>
      <c r="AB2365" s="48">
        <f>IF(OR($M2365="",$T2365=""),"",$T2365+(AB$2*$M2365))</f>
        <v/>
      </c>
      <c r="AC2365" s="48">
        <f>IF(OR($M2365="",$T2365=""),"",$T2365+(AC$2*$M2365))</f>
        <v/>
      </c>
      <c r="AD2365" s="48">
        <f>IF(OR($M2365="",$T2365=""),"",$T2365+(AD$2*$M2365))</f>
        <v/>
      </c>
      <c r="AE2365" s="49">
        <f>IF(OR($M2365="",$T2365=""),"",$T2365+(AE$2*$M2365))</f>
        <v/>
      </c>
      <c r="AF2365" s="52">
        <f>IF(OR(T2365="",I2365&lt;T2365),"",IFERROR(AVERAGE(T2365+M2365*{7,8,9,10,11})/IF(G2365="",I2365,G2365)-1,""))</f>
        <v/>
      </c>
      <c r="AG2365" s="55">
        <f>IF(OR(T2365="",I2365&lt;T2365),"",IFERROR(AF2365/-(R2365/IF(G2365="",I2365,G2365)-1),""))</f>
        <v/>
      </c>
      <c r="AH2365" s="94" t="n"/>
      <c r="AI2365" s="94" t="n"/>
      <c r="AJ2365" s="94" t="n"/>
      <c r="AK2365" s="94" t="n"/>
      <c r="AL2365" s="84" t="n"/>
    </row>
    <row r="2366">
      <c r="A2366" s="64" t="n"/>
      <c r="B2366" s="65" t="n"/>
      <c r="C2366" s="66" t="n"/>
      <c r="D2366" s="67" t="n"/>
      <c r="E2366" s="68" t="n"/>
      <c r="F2366" s="47">
        <f>IF(A2366="","",IF(MIN(H2366,MAX(J2366:K2366))=0,"",MIN(H2366,MAX(J2366:K2366))))</f>
        <v/>
      </c>
      <c r="G2366" s="74" t="n"/>
      <c r="H2366" s="49">
        <f>IF(M2366="","",IFERROR(ROUND(AVERAGE(T2366+M2366*{7,8,9,10,11})/1.21,4),""))</f>
        <v/>
      </c>
      <c r="I2366" s="76" t="n"/>
      <c r="J2366" s="77" t="n"/>
      <c r="K2366" s="74" t="n"/>
      <c r="L2366" s="78" t="n"/>
      <c r="M2366" s="77" t="n"/>
      <c r="N2366" s="53">
        <f>IF(M2366="","",IFERROR(M2366/I2366,""))</f>
        <v/>
      </c>
      <c r="O2366" s="50">
        <f>IF(A2366="","",IFERROR((IF(G2366="",I2366,G2366)-T2366)/M2366,""))</f>
        <v/>
      </c>
      <c r="P2366" s="50">
        <f>IFERROR((I2366/T2366-1)/N2366,"")</f>
        <v/>
      </c>
      <c r="Q2366" s="46">
        <f>IF(OR(T2366="",I2366&lt;T2366),"",IFERROR(R2366/IF(G2366="",I2366,G2366)-1,""))</f>
        <v/>
      </c>
      <c r="R2366" s="48">
        <f>IF($M2366="","",MAX(IF($G2366="",$I2366,$G2366)*(1/1.1),IF($G2366="",$I2366,$G2366)+(R$2*$M2366)))</f>
        <v/>
      </c>
      <c r="S2366" s="49">
        <f>IF($M2366="","",MAX(IF($G2366="",$I2366,$G2366)*(1/1.1),IF($G2366="",$I2366,$G2366)+(S$2*$M2366)))</f>
        <v/>
      </c>
      <c r="T2366" s="82" t="n"/>
      <c r="U2366" s="47">
        <f>IF(OR($M2366="",$T2366=""),"",$T2366+(U$2*$M2366))</f>
        <v/>
      </c>
      <c r="V2366" s="48">
        <f>IF(OR($M2366="",$T2366=""),"",$T2366+(V$2*$M2366))</f>
        <v/>
      </c>
      <c r="W2366" s="48">
        <f>IF(OR($M2366="",$T2366=""),"",$T2366+(W$2*$M2366))</f>
        <v/>
      </c>
      <c r="X2366" s="49">
        <f>IF(OR($M2366="",$T2366=""),"",$T2366+(X$2*$M2366))</f>
        <v/>
      </c>
      <c r="Y2366" s="47">
        <f>IF(OR($M2366="",$T2366=""),"",$T2366+(Y$2*$M2366))</f>
        <v/>
      </c>
      <c r="Z2366" s="49">
        <f>IF(OR($M2366="",$T2366=""),"",$T2366+(Z$2*$M2366))</f>
        <v/>
      </c>
      <c r="AA2366" s="51">
        <f>IF(OR($M2366="",$T2366=""),"",$T2366+(AA$2*$M2366))</f>
        <v/>
      </c>
      <c r="AB2366" s="48">
        <f>IF(OR($M2366="",$T2366=""),"",$T2366+(AB$2*$M2366))</f>
        <v/>
      </c>
      <c r="AC2366" s="48">
        <f>IF(OR($M2366="",$T2366=""),"",$T2366+(AC$2*$M2366))</f>
        <v/>
      </c>
      <c r="AD2366" s="48">
        <f>IF(OR($M2366="",$T2366=""),"",$T2366+(AD$2*$M2366))</f>
        <v/>
      </c>
      <c r="AE2366" s="49">
        <f>IF(OR($M2366="",$T2366=""),"",$T2366+(AE$2*$M2366))</f>
        <v/>
      </c>
      <c r="AF2366" s="52">
        <f>IF(OR(T2366="",I2366&lt;T2366),"",IFERROR(AVERAGE(T2366+M2366*{7,8,9,10,11})/IF(G2366="",I2366,G2366)-1,""))</f>
        <v/>
      </c>
      <c r="AG2366" s="55">
        <f>IF(OR(T2366="",I2366&lt;T2366),"",IFERROR(AF2366/-(R2366/IF(G2366="",I2366,G2366)-1),""))</f>
        <v/>
      </c>
      <c r="AH2366" s="94" t="n"/>
      <c r="AI2366" s="94" t="n"/>
      <c r="AJ2366" s="94" t="n"/>
      <c r="AK2366" s="94" t="n"/>
      <c r="AL2366" s="84" t="n"/>
    </row>
    <row r="2367">
      <c r="A2367" s="64" t="n"/>
      <c r="B2367" s="65" t="n"/>
      <c r="C2367" s="66" t="n"/>
      <c r="D2367" s="67" t="n"/>
      <c r="E2367" s="68" t="n"/>
      <c r="F2367" s="47">
        <f>IF(A2367="","",IF(MIN(H2367,MAX(J2367:K2367))=0,"",MIN(H2367,MAX(J2367:K2367))))</f>
        <v/>
      </c>
      <c r="G2367" s="74" t="n"/>
      <c r="H2367" s="49">
        <f>IF(M2367="","",IFERROR(ROUND(AVERAGE(T2367+M2367*{7,8,9,10,11})/1.21,4),""))</f>
        <v/>
      </c>
      <c r="I2367" s="76" t="n"/>
      <c r="J2367" s="77" t="n"/>
      <c r="K2367" s="74" t="n"/>
      <c r="L2367" s="78" t="n"/>
      <c r="M2367" s="77" t="n"/>
      <c r="N2367" s="53">
        <f>IF(M2367="","",IFERROR(M2367/I2367,""))</f>
        <v/>
      </c>
      <c r="O2367" s="50">
        <f>IF(A2367="","",IFERROR((IF(G2367="",I2367,G2367)-T2367)/M2367,""))</f>
        <v/>
      </c>
      <c r="P2367" s="50">
        <f>IFERROR((I2367/T2367-1)/N2367,"")</f>
        <v/>
      </c>
      <c r="Q2367" s="46">
        <f>IF(OR(T2367="",I2367&lt;T2367),"",IFERROR(R2367/IF(G2367="",I2367,G2367)-1,""))</f>
        <v/>
      </c>
      <c r="R2367" s="48">
        <f>IF($M2367="","",MAX(IF($G2367="",$I2367,$G2367)*(1/1.1),IF($G2367="",$I2367,$G2367)+(R$2*$M2367)))</f>
        <v/>
      </c>
      <c r="S2367" s="49">
        <f>IF($M2367="","",MAX(IF($G2367="",$I2367,$G2367)*(1/1.1),IF($G2367="",$I2367,$G2367)+(S$2*$M2367)))</f>
        <v/>
      </c>
      <c r="T2367" s="82" t="n"/>
      <c r="U2367" s="47">
        <f>IF(OR($M2367="",$T2367=""),"",$T2367+(U$2*$M2367))</f>
        <v/>
      </c>
      <c r="V2367" s="48">
        <f>IF(OR($M2367="",$T2367=""),"",$T2367+(V$2*$M2367))</f>
        <v/>
      </c>
      <c r="W2367" s="48">
        <f>IF(OR($M2367="",$T2367=""),"",$T2367+(W$2*$M2367))</f>
        <v/>
      </c>
      <c r="X2367" s="49">
        <f>IF(OR($M2367="",$T2367=""),"",$T2367+(X$2*$M2367))</f>
        <v/>
      </c>
      <c r="Y2367" s="47">
        <f>IF(OR($M2367="",$T2367=""),"",$T2367+(Y$2*$M2367))</f>
        <v/>
      </c>
      <c r="Z2367" s="49">
        <f>IF(OR($M2367="",$T2367=""),"",$T2367+(Z$2*$M2367))</f>
        <v/>
      </c>
      <c r="AA2367" s="51">
        <f>IF(OR($M2367="",$T2367=""),"",$T2367+(AA$2*$M2367))</f>
        <v/>
      </c>
      <c r="AB2367" s="48">
        <f>IF(OR($M2367="",$T2367=""),"",$T2367+(AB$2*$M2367))</f>
        <v/>
      </c>
      <c r="AC2367" s="48">
        <f>IF(OR($M2367="",$T2367=""),"",$T2367+(AC$2*$M2367))</f>
        <v/>
      </c>
      <c r="AD2367" s="48">
        <f>IF(OR($M2367="",$T2367=""),"",$T2367+(AD$2*$M2367))</f>
        <v/>
      </c>
      <c r="AE2367" s="49">
        <f>IF(OR($M2367="",$T2367=""),"",$T2367+(AE$2*$M2367))</f>
        <v/>
      </c>
      <c r="AF2367" s="52">
        <f>IF(OR(T2367="",I2367&lt;T2367),"",IFERROR(AVERAGE(T2367+M2367*{7,8,9,10,11})/IF(G2367="",I2367,G2367)-1,""))</f>
        <v/>
      </c>
      <c r="AG2367" s="55">
        <f>IF(OR(T2367="",I2367&lt;T2367),"",IFERROR(AF2367/-(R2367/IF(G2367="",I2367,G2367)-1),""))</f>
        <v/>
      </c>
      <c r="AH2367" s="94" t="n"/>
      <c r="AI2367" s="94" t="n"/>
      <c r="AJ2367" s="94" t="n"/>
      <c r="AK2367" s="94" t="n"/>
      <c r="AL2367" s="84" t="n"/>
    </row>
    <row r="2368">
      <c r="A2368" s="64" t="n"/>
      <c r="B2368" s="65" t="n"/>
      <c r="C2368" s="66" t="n"/>
      <c r="D2368" s="67" t="n"/>
      <c r="E2368" s="68" t="n"/>
      <c r="F2368" s="47">
        <f>IF(A2368="","",IF(MIN(H2368,MAX(J2368:K2368))=0,"",MIN(H2368,MAX(J2368:K2368))))</f>
        <v/>
      </c>
      <c r="G2368" s="74" t="n"/>
      <c r="H2368" s="49">
        <f>IF(M2368="","",IFERROR(ROUND(AVERAGE(T2368+M2368*{7,8,9,10,11})/1.21,4),""))</f>
        <v/>
      </c>
      <c r="I2368" s="76" t="n"/>
      <c r="J2368" s="77" t="n"/>
      <c r="K2368" s="74" t="n"/>
      <c r="L2368" s="78" t="n"/>
      <c r="M2368" s="77" t="n"/>
      <c r="N2368" s="53">
        <f>IF(M2368="","",IFERROR(M2368/I2368,""))</f>
        <v/>
      </c>
      <c r="O2368" s="50">
        <f>IF(A2368="","",IFERROR((IF(G2368="",I2368,G2368)-T2368)/M2368,""))</f>
        <v/>
      </c>
      <c r="P2368" s="50">
        <f>IFERROR((I2368/T2368-1)/N2368,"")</f>
        <v/>
      </c>
      <c r="Q2368" s="46">
        <f>IF(OR(T2368="",I2368&lt;T2368),"",IFERROR(R2368/IF(G2368="",I2368,G2368)-1,""))</f>
        <v/>
      </c>
      <c r="R2368" s="48">
        <f>IF($M2368="","",MAX(IF($G2368="",$I2368,$G2368)*(1/1.1),IF($G2368="",$I2368,$G2368)+(R$2*$M2368)))</f>
        <v/>
      </c>
      <c r="S2368" s="49">
        <f>IF($M2368="","",MAX(IF($G2368="",$I2368,$G2368)*(1/1.1),IF($G2368="",$I2368,$G2368)+(S$2*$M2368)))</f>
        <v/>
      </c>
      <c r="T2368" s="82" t="n"/>
      <c r="U2368" s="47">
        <f>IF(OR($M2368="",$T2368=""),"",$T2368+(U$2*$M2368))</f>
        <v/>
      </c>
      <c r="V2368" s="48">
        <f>IF(OR($M2368="",$T2368=""),"",$T2368+(V$2*$M2368))</f>
        <v/>
      </c>
      <c r="W2368" s="48">
        <f>IF(OR($M2368="",$T2368=""),"",$T2368+(W$2*$M2368))</f>
        <v/>
      </c>
      <c r="X2368" s="49">
        <f>IF(OR($M2368="",$T2368=""),"",$T2368+(X$2*$M2368))</f>
        <v/>
      </c>
      <c r="Y2368" s="47">
        <f>IF(OR($M2368="",$T2368=""),"",$T2368+(Y$2*$M2368))</f>
        <v/>
      </c>
      <c r="Z2368" s="49">
        <f>IF(OR($M2368="",$T2368=""),"",$T2368+(Z$2*$M2368))</f>
        <v/>
      </c>
      <c r="AA2368" s="51">
        <f>IF(OR($M2368="",$T2368=""),"",$T2368+(AA$2*$M2368))</f>
        <v/>
      </c>
      <c r="AB2368" s="48">
        <f>IF(OR($M2368="",$T2368=""),"",$T2368+(AB$2*$M2368))</f>
        <v/>
      </c>
      <c r="AC2368" s="48">
        <f>IF(OR($M2368="",$T2368=""),"",$T2368+(AC$2*$M2368))</f>
        <v/>
      </c>
      <c r="AD2368" s="48">
        <f>IF(OR($M2368="",$T2368=""),"",$T2368+(AD$2*$M2368))</f>
        <v/>
      </c>
      <c r="AE2368" s="49">
        <f>IF(OR($M2368="",$T2368=""),"",$T2368+(AE$2*$M2368))</f>
        <v/>
      </c>
      <c r="AF2368" s="52">
        <f>IF(OR(T2368="",I2368&lt;T2368),"",IFERROR(AVERAGE(T2368+M2368*{7,8,9,10,11})/IF(G2368="",I2368,G2368)-1,""))</f>
        <v/>
      </c>
      <c r="AG2368" s="55">
        <f>IF(OR(T2368="",I2368&lt;T2368),"",IFERROR(AF2368/-(R2368/IF(G2368="",I2368,G2368)-1),""))</f>
        <v/>
      </c>
      <c r="AH2368" s="94" t="n"/>
      <c r="AI2368" s="94" t="n"/>
      <c r="AJ2368" s="94" t="n"/>
      <c r="AK2368" s="94" t="n"/>
      <c r="AL2368" s="84" t="n"/>
    </row>
    <row r="2369">
      <c r="A2369" s="64" t="n"/>
      <c r="B2369" s="65" t="n"/>
      <c r="C2369" s="66" t="n"/>
      <c r="D2369" s="67" t="n"/>
      <c r="E2369" s="68" t="n"/>
      <c r="F2369" s="47">
        <f>IF(A2369="","",IF(MIN(H2369,MAX(J2369:K2369))=0,"",MIN(H2369,MAX(J2369:K2369))))</f>
        <v/>
      </c>
      <c r="G2369" s="74" t="n"/>
      <c r="H2369" s="49">
        <f>IF(M2369="","",IFERROR(ROUND(AVERAGE(T2369+M2369*{7,8,9,10,11})/1.21,4),""))</f>
        <v/>
      </c>
      <c r="I2369" s="76" t="n"/>
      <c r="J2369" s="77" t="n"/>
      <c r="K2369" s="74" t="n"/>
      <c r="L2369" s="78" t="n"/>
      <c r="M2369" s="77" t="n"/>
      <c r="N2369" s="53">
        <f>IF(M2369="","",IFERROR(M2369/I2369,""))</f>
        <v/>
      </c>
      <c r="O2369" s="50">
        <f>IF(A2369="","",IFERROR((IF(G2369="",I2369,G2369)-T2369)/M2369,""))</f>
        <v/>
      </c>
      <c r="P2369" s="50">
        <f>IFERROR((I2369/T2369-1)/N2369,"")</f>
        <v/>
      </c>
      <c r="Q2369" s="46">
        <f>IF(OR(T2369="",I2369&lt;T2369),"",IFERROR(R2369/IF(G2369="",I2369,G2369)-1,""))</f>
        <v/>
      </c>
      <c r="R2369" s="48">
        <f>IF($M2369="","",MAX(IF($G2369="",$I2369,$G2369)*(1/1.1),IF($G2369="",$I2369,$G2369)+(R$2*$M2369)))</f>
        <v/>
      </c>
      <c r="S2369" s="49">
        <f>IF($M2369="","",MAX(IF($G2369="",$I2369,$G2369)*(1/1.1),IF($G2369="",$I2369,$G2369)+(S$2*$M2369)))</f>
        <v/>
      </c>
      <c r="T2369" s="82" t="n"/>
      <c r="U2369" s="47">
        <f>IF(OR($M2369="",$T2369=""),"",$T2369+(U$2*$M2369))</f>
        <v/>
      </c>
      <c r="V2369" s="48">
        <f>IF(OR($M2369="",$T2369=""),"",$T2369+(V$2*$M2369))</f>
        <v/>
      </c>
      <c r="W2369" s="48">
        <f>IF(OR($M2369="",$T2369=""),"",$T2369+(W$2*$M2369))</f>
        <v/>
      </c>
      <c r="X2369" s="49">
        <f>IF(OR($M2369="",$T2369=""),"",$T2369+(X$2*$M2369))</f>
        <v/>
      </c>
      <c r="Y2369" s="47">
        <f>IF(OR($M2369="",$T2369=""),"",$T2369+(Y$2*$M2369))</f>
        <v/>
      </c>
      <c r="Z2369" s="49">
        <f>IF(OR($M2369="",$T2369=""),"",$T2369+(Z$2*$M2369))</f>
        <v/>
      </c>
      <c r="AA2369" s="51">
        <f>IF(OR($M2369="",$T2369=""),"",$T2369+(AA$2*$M2369))</f>
        <v/>
      </c>
      <c r="AB2369" s="48">
        <f>IF(OR($M2369="",$T2369=""),"",$T2369+(AB$2*$M2369))</f>
        <v/>
      </c>
      <c r="AC2369" s="48">
        <f>IF(OR($M2369="",$T2369=""),"",$T2369+(AC$2*$M2369))</f>
        <v/>
      </c>
      <c r="AD2369" s="48">
        <f>IF(OR($M2369="",$T2369=""),"",$T2369+(AD$2*$M2369))</f>
        <v/>
      </c>
      <c r="AE2369" s="49">
        <f>IF(OR($M2369="",$T2369=""),"",$T2369+(AE$2*$M2369))</f>
        <v/>
      </c>
      <c r="AF2369" s="52">
        <f>IF(OR(T2369="",I2369&lt;T2369),"",IFERROR(AVERAGE(T2369+M2369*{7,8,9,10,11})/IF(G2369="",I2369,G2369)-1,""))</f>
        <v/>
      </c>
      <c r="AG2369" s="55">
        <f>IF(OR(T2369="",I2369&lt;T2369),"",IFERROR(AF2369/-(R2369/IF(G2369="",I2369,G2369)-1),""))</f>
        <v/>
      </c>
      <c r="AH2369" s="94" t="n"/>
      <c r="AI2369" s="94" t="n"/>
      <c r="AJ2369" s="94" t="n"/>
      <c r="AK2369" s="94" t="n"/>
      <c r="AL2369" s="84" t="n"/>
    </row>
    <row r="2370">
      <c r="A2370" s="64" t="n"/>
      <c r="B2370" s="65" t="n"/>
      <c r="C2370" s="66" t="n"/>
      <c r="D2370" s="67" t="n"/>
      <c r="E2370" s="68" t="n"/>
      <c r="F2370" s="47">
        <f>IF(A2370="","",IF(MIN(H2370,MAX(J2370:K2370))=0,"",MIN(H2370,MAX(J2370:K2370))))</f>
        <v/>
      </c>
      <c r="G2370" s="74" t="n"/>
      <c r="H2370" s="49">
        <f>IF(M2370="","",IFERROR(ROUND(AVERAGE(T2370+M2370*{7,8,9,10,11})/1.21,4),""))</f>
        <v/>
      </c>
      <c r="I2370" s="76" t="n"/>
      <c r="J2370" s="77" t="n"/>
      <c r="K2370" s="74" t="n"/>
      <c r="L2370" s="78" t="n"/>
      <c r="M2370" s="77" t="n"/>
      <c r="N2370" s="53">
        <f>IF(M2370="","",IFERROR(M2370/I2370,""))</f>
        <v/>
      </c>
      <c r="O2370" s="50">
        <f>IF(A2370="","",IFERROR((IF(G2370="",I2370,G2370)-T2370)/M2370,""))</f>
        <v/>
      </c>
      <c r="P2370" s="50">
        <f>IFERROR((I2370/T2370-1)/N2370,"")</f>
        <v/>
      </c>
      <c r="Q2370" s="46">
        <f>IF(OR(T2370="",I2370&lt;T2370),"",IFERROR(R2370/IF(G2370="",I2370,G2370)-1,""))</f>
        <v/>
      </c>
      <c r="R2370" s="48">
        <f>IF($M2370="","",MAX(IF($G2370="",$I2370,$G2370)*(1/1.1),IF($G2370="",$I2370,$G2370)+(R$2*$M2370)))</f>
        <v/>
      </c>
      <c r="S2370" s="49">
        <f>IF($M2370="","",MAX(IF($G2370="",$I2370,$G2370)*(1/1.1),IF($G2370="",$I2370,$G2370)+(S$2*$M2370)))</f>
        <v/>
      </c>
      <c r="T2370" s="82" t="n"/>
      <c r="U2370" s="47">
        <f>IF(OR($M2370="",$T2370=""),"",$T2370+(U$2*$M2370))</f>
        <v/>
      </c>
      <c r="V2370" s="48">
        <f>IF(OR($M2370="",$T2370=""),"",$T2370+(V$2*$M2370))</f>
        <v/>
      </c>
      <c r="W2370" s="48">
        <f>IF(OR($M2370="",$T2370=""),"",$T2370+(W$2*$M2370))</f>
        <v/>
      </c>
      <c r="X2370" s="49">
        <f>IF(OR($M2370="",$T2370=""),"",$T2370+(X$2*$M2370))</f>
        <v/>
      </c>
      <c r="Y2370" s="47">
        <f>IF(OR($M2370="",$T2370=""),"",$T2370+(Y$2*$M2370))</f>
        <v/>
      </c>
      <c r="Z2370" s="49">
        <f>IF(OR($M2370="",$T2370=""),"",$T2370+(Z$2*$M2370))</f>
        <v/>
      </c>
      <c r="AA2370" s="51">
        <f>IF(OR($M2370="",$T2370=""),"",$T2370+(AA$2*$M2370))</f>
        <v/>
      </c>
      <c r="AB2370" s="48">
        <f>IF(OR($M2370="",$T2370=""),"",$T2370+(AB$2*$M2370))</f>
        <v/>
      </c>
      <c r="AC2370" s="48">
        <f>IF(OR($M2370="",$T2370=""),"",$T2370+(AC$2*$M2370))</f>
        <v/>
      </c>
      <c r="AD2370" s="48">
        <f>IF(OR($M2370="",$T2370=""),"",$T2370+(AD$2*$M2370))</f>
        <v/>
      </c>
      <c r="AE2370" s="49">
        <f>IF(OR($M2370="",$T2370=""),"",$T2370+(AE$2*$M2370))</f>
        <v/>
      </c>
      <c r="AF2370" s="52">
        <f>IF(OR(T2370="",I2370&lt;T2370),"",IFERROR(AVERAGE(T2370+M2370*{7,8,9,10,11})/IF(G2370="",I2370,G2370)-1,""))</f>
        <v/>
      </c>
      <c r="AG2370" s="55">
        <f>IF(OR(T2370="",I2370&lt;T2370),"",IFERROR(AF2370/-(R2370/IF(G2370="",I2370,G2370)-1),""))</f>
        <v/>
      </c>
      <c r="AH2370" s="94" t="n"/>
      <c r="AI2370" s="94" t="n"/>
      <c r="AJ2370" s="94" t="n"/>
      <c r="AK2370" s="94" t="n"/>
      <c r="AL2370" s="84" t="n"/>
    </row>
    <row r="2371">
      <c r="A2371" s="64" t="n"/>
      <c r="B2371" s="65" t="n"/>
      <c r="C2371" s="66" t="n"/>
      <c r="D2371" s="67" t="n"/>
      <c r="E2371" s="68" t="n"/>
      <c r="F2371" s="47">
        <f>IF(A2371="","",IF(MIN(H2371,MAX(J2371:K2371))=0,"",MIN(H2371,MAX(J2371:K2371))))</f>
        <v/>
      </c>
      <c r="G2371" s="74" t="n"/>
      <c r="H2371" s="49">
        <f>IF(M2371="","",IFERROR(ROUND(AVERAGE(T2371+M2371*{7,8,9,10,11})/1.21,4),""))</f>
        <v/>
      </c>
      <c r="I2371" s="76" t="n"/>
      <c r="J2371" s="77" t="n"/>
      <c r="K2371" s="74" t="n"/>
      <c r="L2371" s="78" t="n"/>
      <c r="M2371" s="77" t="n"/>
      <c r="N2371" s="53">
        <f>IF(M2371="","",IFERROR(M2371/I2371,""))</f>
        <v/>
      </c>
      <c r="O2371" s="50">
        <f>IF(A2371="","",IFERROR((IF(G2371="",I2371,G2371)-T2371)/M2371,""))</f>
        <v/>
      </c>
      <c r="P2371" s="50">
        <f>IFERROR((I2371/T2371-1)/N2371,"")</f>
        <v/>
      </c>
      <c r="Q2371" s="46">
        <f>IF(OR(T2371="",I2371&lt;T2371),"",IFERROR(R2371/IF(G2371="",I2371,G2371)-1,""))</f>
        <v/>
      </c>
      <c r="R2371" s="48">
        <f>IF($M2371="","",MAX(IF($G2371="",$I2371,$G2371)*(1/1.1),IF($G2371="",$I2371,$G2371)+(R$2*$M2371)))</f>
        <v/>
      </c>
      <c r="S2371" s="49">
        <f>IF($M2371="","",MAX(IF($G2371="",$I2371,$G2371)*(1/1.1),IF($G2371="",$I2371,$G2371)+(S$2*$M2371)))</f>
        <v/>
      </c>
      <c r="T2371" s="82" t="n"/>
      <c r="U2371" s="47">
        <f>IF(OR($M2371="",$T2371=""),"",$T2371+(U$2*$M2371))</f>
        <v/>
      </c>
      <c r="V2371" s="48">
        <f>IF(OR($M2371="",$T2371=""),"",$T2371+(V$2*$M2371))</f>
        <v/>
      </c>
      <c r="W2371" s="48">
        <f>IF(OR($M2371="",$T2371=""),"",$T2371+(W$2*$M2371))</f>
        <v/>
      </c>
      <c r="X2371" s="49">
        <f>IF(OR($M2371="",$T2371=""),"",$T2371+(X$2*$M2371))</f>
        <v/>
      </c>
      <c r="Y2371" s="47">
        <f>IF(OR($M2371="",$T2371=""),"",$T2371+(Y$2*$M2371))</f>
        <v/>
      </c>
      <c r="Z2371" s="49">
        <f>IF(OR($M2371="",$T2371=""),"",$T2371+(Z$2*$M2371))</f>
        <v/>
      </c>
      <c r="AA2371" s="51">
        <f>IF(OR($M2371="",$T2371=""),"",$T2371+(AA$2*$M2371))</f>
        <v/>
      </c>
      <c r="AB2371" s="48">
        <f>IF(OR($M2371="",$T2371=""),"",$T2371+(AB$2*$M2371))</f>
        <v/>
      </c>
      <c r="AC2371" s="48">
        <f>IF(OR($M2371="",$T2371=""),"",$T2371+(AC$2*$M2371))</f>
        <v/>
      </c>
      <c r="AD2371" s="48">
        <f>IF(OR($M2371="",$T2371=""),"",$T2371+(AD$2*$M2371))</f>
        <v/>
      </c>
      <c r="AE2371" s="49">
        <f>IF(OR($M2371="",$T2371=""),"",$T2371+(AE$2*$M2371))</f>
        <v/>
      </c>
      <c r="AF2371" s="52">
        <f>IF(OR(T2371="",I2371&lt;T2371),"",IFERROR(AVERAGE(T2371+M2371*{7,8,9,10,11})/IF(G2371="",I2371,G2371)-1,""))</f>
        <v/>
      </c>
      <c r="AG2371" s="55">
        <f>IF(OR(T2371="",I2371&lt;T2371),"",IFERROR(AF2371/-(R2371/IF(G2371="",I2371,G2371)-1),""))</f>
        <v/>
      </c>
      <c r="AH2371" s="94" t="n"/>
      <c r="AI2371" s="94" t="n"/>
      <c r="AJ2371" s="94" t="n"/>
      <c r="AK2371" s="94" t="n"/>
      <c r="AL2371" s="84" t="n"/>
    </row>
    <row r="2372">
      <c r="A2372" s="64" t="n"/>
      <c r="B2372" s="65" t="n"/>
      <c r="C2372" s="66" t="n"/>
      <c r="D2372" s="67" t="n"/>
      <c r="E2372" s="68" t="n"/>
      <c r="F2372" s="47">
        <f>IF(A2372="","",IF(MIN(H2372,MAX(J2372:K2372))=0,"",MIN(H2372,MAX(J2372:K2372))))</f>
        <v/>
      </c>
      <c r="G2372" s="74" t="n"/>
      <c r="H2372" s="49">
        <f>IF(M2372="","",IFERROR(ROUND(AVERAGE(T2372+M2372*{7,8,9,10,11})/1.21,4),""))</f>
        <v/>
      </c>
      <c r="I2372" s="76" t="n"/>
      <c r="J2372" s="77" t="n"/>
      <c r="K2372" s="74" t="n"/>
      <c r="L2372" s="78" t="n"/>
      <c r="M2372" s="77" t="n"/>
      <c r="N2372" s="53">
        <f>IF(M2372="","",IFERROR(M2372/I2372,""))</f>
        <v/>
      </c>
      <c r="O2372" s="50">
        <f>IF(A2372="","",IFERROR((IF(G2372="",I2372,G2372)-T2372)/M2372,""))</f>
        <v/>
      </c>
      <c r="P2372" s="50">
        <f>IFERROR((I2372/T2372-1)/N2372,"")</f>
        <v/>
      </c>
      <c r="Q2372" s="46">
        <f>IF(OR(T2372="",I2372&lt;T2372),"",IFERROR(R2372/IF(G2372="",I2372,G2372)-1,""))</f>
        <v/>
      </c>
      <c r="R2372" s="48">
        <f>IF($M2372="","",MAX(IF($G2372="",$I2372,$G2372)*(1/1.1),IF($G2372="",$I2372,$G2372)+(R$2*$M2372)))</f>
        <v/>
      </c>
      <c r="S2372" s="49">
        <f>IF($M2372="","",MAX(IF($G2372="",$I2372,$G2372)*(1/1.1),IF($G2372="",$I2372,$G2372)+(S$2*$M2372)))</f>
        <v/>
      </c>
      <c r="T2372" s="82" t="n"/>
      <c r="U2372" s="47">
        <f>IF(OR($M2372="",$T2372=""),"",$T2372+(U$2*$M2372))</f>
        <v/>
      </c>
      <c r="V2372" s="48">
        <f>IF(OR($M2372="",$T2372=""),"",$T2372+(V$2*$M2372))</f>
        <v/>
      </c>
      <c r="W2372" s="48">
        <f>IF(OR($M2372="",$T2372=""),"",$T2372+(W$2*$M2372))</f>
        <v/>
      </c>
      <c r="X2372" s="49">
        <f>IF(OR($M2372="",$T2372=""),"",$T2372+(X$2*$M2372))</f>
        <v/>
      </c>
      <c r="Y2372" s="47">
        <f>IF(OR($M2372="",$T2372=""),"",$T2372+(Y$2*$M2372))</f>
        <v/>
      </c>
      <c r="Z2372" s="49">
        <f>IF(OR($M2372="",$T2372=""),"",$T2372+(Z$2*$M2372))</f>
        <v/>
      </c>
      <c r="AA2372" s="51">
        <f>IF(OR($M2372="",$T2372=""),"",$T2372+(AA$2*$M2372))</f>
        <v/>
      </c>
      <c r="AB2372" s="48">
        <f>IF(OR($M2372="",$T2372=""),"",$T2372+(AB$2*$M2372))</f>
        <v/>
      </c>
      <c r="AC2372" s="48">
        <f>IF(OR($M2372="",$T2372=""),"",$T2372+(AC$2*$M2372))</f>
        <v/>
      </c>
      <c r="AD2372" s="48">
        <f>IF(OR($M2372="",$T2372=""),"",$T2372+(AD$2*$M2372))</f>
        <v/>
      </c>
      <c r="AE2372" s="49">
        <f>IF(OR($M2372="",$T2372=""),"",$T2372+(AE$2*$M2372))</f>
        <v/>
      </c>
      <c r="AF2372" s="52">
        <f>IF(OR(T2372="",I2372&lt;T2372),"",IFERROR(AVERAGE(T2372+M2372*{7,8,9,10,11})/IF(G2372="",I2372,G2372)-1,""))</f>
        <v/>
      </c>
      <c r="AG2372" s="55">
        <f>IF(OR(T2372="",I2372&lt;T2372),"",IFERROR(AF2372/-(R2372/IF(G2372="",I2372,G2372)-1),""))</f>
        <v/>
      </c>
      <c r="AH2372" s="94" t="n"/>
      <c r="AI2372" s="94" t="n"/>
      <c r="AJ2372" s="94" t="n"/>
      <c r="AK2372" s="94" t="n"/>
      <c r="AL2372" s="84" t="n"/>
    </row>
    <row r="2373">
      <c r="A2373" s="64" t="n"/>
      <c r="B2373" s="65" t="n"/>
      <c r="C2373" s="66" t="n"/>
      <c r="D2373" s="67" t="n"/>
      <c r="E2373" s="68" t="n"/>
      <c r="F2373" s="47">
        <f>IF(A2373="","",IF(MIN(H2373,MAX(J2373:K2373))=0,"",MIN(H2373,MAX(J2373:K2373))))</f>
        <v/>
      </c>
      <c r="G2373" s="74" t="n"/>
      <c r="H2373" s="49">
        <f>IF(M2373="","",IFERROR(ROUND(AVERAGE(T2373+M2373*{7,8,9,10,11})/1.21,4),""))</f>
        <v/>
      </c>
      <c r="I2373" s="76" t="n"/>
      <c r="J2373" s="77" t="n"/>
      <c r="K2373" s="74" t="n"/>
      <c r="L2373" s="78" t="n"/>
      <c r="M2373" s="77" t="n"/>
      <c r="N2373" s="53">
        <f>IF(M2373="","",IFERROR(M2373/I2373,""))</f>
        <v/>
      </c>
      <c r="O2373" s="50">
        <f>IF(A2373="","",IFERROR((IF(G2373="",I2373,G2373)-T2373)/M2373,""))</f>
        <v/>
      </c>
      <c r="P2373" s="50">
        <f>IFERROR((I2373/T2373-1)/N2373,"")</f>
        <v/>
      </c>
      <c r="Q2373" s="46">
        <f>IF(OR(T2373="",I2373&lt;T2373),"",IFERROR(R2373/IF(G2373="",I2373,G2373)-1,""))</f>
        <v/>
      </c>
      <c r="R2373" s="48">
        <f>IF($M2373="","",MAX(IF($G2373="",$I2373,$G2373)*(1/1.1),IF($G2373="",$I2373,$G2373)+(R$2*$M2373)))</f>
        <v/>
      </c>
      <c r="S2373" s="49">
        <f>IF($M2373="","",MAX(IF($G2373="",$I2373,$G2373)*(1/1.1),IF($G2373="",$I2373,$G2373)+(S$2*$M2373)))</f>
        <v/>
      </c>
      <c r="T2373" s="82" t="n"/>
      <c r="U2373" s="47">
        <f>IF(OR($M2373="",$T2373=""),"",$T2373+(U$2*$M2373))</f>
        <v/>
      </c>
      <c r="V2373" s="48">
        <f>IF(OR($M2373="",$T2373=""),"",$T2373+(V$2*$M2373))</f>
        <v/>
      </c>
      <c r="W2373" s="48">
        <f>IF(OR($M2373="",$T2373=""),"",$T2373+(W$2*$M2373))</f>
        <v/>
      </c>
      <c r="X2373" s="49">
        <f>IF(OR($M2373="",$T2373=""),"",$T2373+(X$2*$M2373))</f>
        <v/>
      </c>
      <c r="Y2373" s="47">
        <f>IF(OR($M2373="",$T2373=""),"",$T2373+(Y$2*$M2373))</f>
        <v/>
      </c>
      <c r="Z2373" s="49">
        <f>IF(OR($M2373="",$T2373=""),"",$T2373+(Z$2*$M2373))</f>
        <v/>
      </c>
      <c r="AA2373" s="51">
        <f>IF(OR($M2373="",$T2373=""),"",$T2373+(AA$2*$M2373))</f>
        <v/>
      </c>
      <c r="AB2373" s="48">
        <f>IF(OR($M2373="",$T2373=""),"",$T2373+(AB$2*$M2373))</f>
        <v/>
      </c>
      <c r="AC2373" s="48">
        <f>IF(OR($M2373="",$T2373=""),"",$T2373+(AC$2*$M2373))</f>
        <v/>
      </c>
      <c r="AD2373" s="48">
        <f>IF(OR($M2373="",$T2373=""),"",$T2373+(AD$2*$M2373))</f>
        <v/>
      </c>
      <c r="AE2373" s="49">
        <f>IF(OR($M2373="",$T2373=""),"",$T2373+(AE$2*$M2373))</f>
        <v/>
      </c>
      <c r="AF2373" s="52">
        <f>IF(OR(T2373="",I2373&lt;T2373),"",IFERROR(AVERAGE(T2373+M2373*{7,8,9,10,11})/IF(G2373="",I2373,G2373)-1,""))</f>
        <v/>
      </c>
      <c r="AG2373" s="55">
        <f>IF(OR(T2373="",I2373&lt;T2373),"",IFERROR(AF2373/-(R2373/IF(G2373="",I2373,G2373)-1),""))</f>
        <v/>
      </c>
      <c r="AH2373" s="94" t="n"/>
      <c r="AI2373" s="94" t="n"/>
      <c r="AJ2373" s="94" t="n"/>
      <c r="AK2373" s="94" t="n"/>
      <c r="AL2373" s="84" t="n"/>
    </row>
    <row r="2374">
      <c r="A2374" s="64" t="n"/>
      <c r="B2374" s="65" t="n"/>
      <c r="C2374" s="66" t="n"/>
      <c r="D2374" s="67" t="n"/>
      <c r="E2374" s="68" t="n"/>
      <c r="F2374" s="47">
        <f>IF(A2374="","",IF(MIN(H2374,MAX(J2374:K2374))=0,"",MIN(H2374,MAX(J2374:K2374))))</f>
        <v/>
      </c>
      <c r="G2374" s="74" t="n"/>
      <c r="H2374" s="49">
        <f>IF(M2374="","",IFERROR(ROUND(AVERAGE(T2374+M2374*{7,8,9,10,11})/1.21,4),""))</f>
        <v/>
      </c>
      <c r="I2374" s="76" t="n"/>
      <c r="J2374" s="77" t="n"/>
      <c r="K2374" s="74" t="n"/>
      <c r="L2374" s="78" t="n"/>
      <c r="M2374" s="77" t="n"/>
      <c r="N2374" s="53">
        <f>IF(M2374="","",IFERROR(M2374/I2374,""))</f>
        <v/>
      </c>
      <c r="O2374" s="50">
        <f>IF(A2374="","",IFERROR((IF(G2374="",I2374,G2374)-T2374)/M2374,""))</f>
        <v/>
      </c>
      <c r="P2374" s="50">
        <f>IFERROR((I2374/T2374-1)/N2374,"")</f>
        <v/>
      </c>
      <c r="Q2374" s="46">
        <f>IF(OR(T2374="",I2374&lt;T2374),"",IFERROR(R2374/IF(G2374="",I2374,G2374)-1,""))</f>
        <v/>
      </c>
      <c r="R2374" s="48">
        <f>IF($M2374="","",MAX(IF($G2374="",$I2374,$G2374)*(1/1.1),IF($G2374="",$I2374,$G2374)+(R$2*$M2374)))</f>
        <v/>
      </c>
      <c r="S2374" s="49">
        <f>IF($M2374="","",MAX(IF($G2374="",$I2374,$G2374)*(1/1.1),IF($G2374="",$I2374,$G2374)+(S$2*$M2374)))</f>
        <v/>
      </c>
      <c r="T2374" s="82" t="n"/>
      <c r="U2374" s="47">
        <f>IF(OR($M2374="",$T2374=""),"",$T2374+(U$2*$M2374))</f>
        <v/>
      </c>
      <c r="V2374" s="48">
        <f>IF(OR($M2374="",$T2374=""),"",$T2374+(V$2*$M2374))</f>
        <v/>
      </c>
      <c r="W2374" s="48">
        <f>IF(OR($M2374="",$T2374=""),"",$T2374+(W$2*$M2374))</f>
        <v/>
      </c>
      <c r="X2374" s="49">
        <f>IF(OR($M2374="",$T2374=""),"",$T2374+(X$2*$M2374))</f>
        <v/>
      </c>
      <c r="Y2374" s="47">
        <f>IF(OR($M2374="",$T2374=""),"",$T2374+(Y$2*$M2374))</f>
        <v/>
      </c>
      <c r="Z2374" s="49">
        <f>IF(OR($M2374="",$T2374=""),"",$T2374+(Z$2*$M2374))</f>
        <v/>
      </c>
      <c r="AA2374" s="51">
        <f>IF(OR($M2374="",$T2374=""),"",$T2374+(AA$2*$M2374))</f>
        <v/>
      </c>
      <c r="AB2374" s="48">
        <f>IF(OR($M2374="",$T2374=""),"",$T2374+(AB$2*$M2374))</f>
        <v/>
      </c>
      <c r="AC2374" s="48">
        <f>IF(OR($M2374="",$T2374=""),"",$T2374+(AC$2*$M2374))</f>
        <v/>
      </c>
      <c r="AD2374" s="48">
        <f>IF(OR($M2374="",$T2374=""),"",$T2374+(AD$2*$M2374))</f>
        <v/>
      </c>
      <c r="AE2374" s="49">
        <f>IF(OR($M2374="",$T2374=""),"",$T2374+(AE$2*$M2374))</f>
        <v/>
      </c>
      <c r="AF2374" s="52">
        <f>IF(OR(T2374="",I2374&lt;T2374),"",IFERROR(AVERAGE(T2374+M2374*{7,8,9,10,11})/IF(G2374="",I2374,G2374)-1,""))</f>
        <v/>
      </c>
      <c r="AG2374" s="55">
        <f>IF(OR(T2374="",I2374&lt;T2374),"",IFERROR(AF2374/-(R2374/IF(G2374="",I2374,G2374)-1),""))</f>
        <v/>
      </c>
      <c r="AH2374" s="94" t="n"/>
      <c r="AI2374" s="94" t="n"/>
      <c r="AJ2374" s="94" t="n"/>
      <c r="AK2374" s="94" t="n"/>
      <c r="AL2374" s="84" t="n"/>
    </row>
    <row r="2375">
      <c r="A2375" s="64" t="n"/>
      <c r="B2375" s="65" t="n"/>
      <c r="C2375" s="66" t="n"/>
      <c r="D2375" s="67" t="n"/>
      <c r="E2375" s="68" t="n"/>
      <c r="F2375" s="47">
        <f>IF(A2375="","",IF(MIN(H2375,MAX(J2375:K2375))=0,"",MIN(H2375,MAX(J2375:K2375))))</f>
        <v/>
      </c>
      <c r="G2375" s="74" t="n"/>
      <c r="H2375" s="49">
        <f>IF(M2375="","",IFERROR(ROUND(AVERAGE(T2375+M2375*{7,8,9,10,11})/1.21,4),""))</f>
        <v/>
      </c>
      <c r="I2375" s="76" t="n"/>
      <c r="J2375" s="77" t="n"/>
      <c r="K2375" s="74" t="n"/>
      <c r="L2375" s="78" t="n"/>
      <c r="M2375" s="77" t="n"/>
      <c r="N2375" s="53">
        <f>IF(M2375="","",IFERROR(M2375/I2375,""))</f>
        <v/>
      </c>
      <c r="O2375" s="50">
        <f>IF(A2375="","",IFERROR((IF(G2375="",I2375,G2375)-T2375)/M2375,""))</f>
        <v/>
      </c>
      <c r="P2375" s="50">
        <f>IFERROR((I2375/T2375-1)/N2375,"")</f>
        <v/>
      </c>
      <c r="Q2375" s="46">
        <f>IF(OR(T2375="",I2375&lt;T2375),"",IFERROR(R2375/IF(G2375="",I2375,G2375)-1,""))</f>
        <v/>
      </c>
      <c r="R2375" s="48">
        <f>IF($M2375="","",MAX(IF($G2375="",$I2375,$G2375)*(1/1.1),IF($G2375="",$I2375,$G2375)+(R$2*$M2375)))</f>
        <v/>
      </c>
      <c r="S2375" s="49">
        <f>IF($M2375="","",MAX(IF($G2375="",$I2375,$G2375)*(1/1.1),IF($G2375="",$I2375,$G2375)+(S$2*$M2375)))</f>
        <v/>
      </c>
      <c r="T2375" s="82" t="n"/>
      <c r="U2375" s="47">
        <f>IF(OR($M2375="",$T2375=""),"",$T2375+(U$2*$M2375))</f>
        <v/>
      </c>
      <c r="V2375" s="48">
        <f>IF(OR($M2375="",$T2375=""),"",$T2375+(V$2*$M2375))</f>
        <v/>
      </c>
      <c r="W2375" s="48">
        <f>IF(OR($M2375="",$T2375=""),"",$T2375+(W$2*$M2375))</f>
        <v/>
      </c>
      <c r="X2375" s="49">
        <f>IF(OR($M2375="",$T2375=""),"",$T2375+(X$2*$M2375))</f>
        <v/>
      </c>
      <c r="Y2375" s="47">
        <f>IF(OR($M2375="",$T2375=""),"",$T2375+(Y$2*$M2375))</f>
        <v/>
      </c>
      <c r="Z2375" s="49">
        <f>IF(OR($M2375="",$T2375=""),"",$T2375+(Z$2*$M2375))</f>
        <v/>
      </c>
      <c r="AA2375" s="51">
        <f>IF(OR($M2375="",$T2375=""),"",$T2375+(AA$2*$M2375))</f>
        <v/>
      </c>
      <c r="AB2375" s="48">
        <f>IF(OR($M2375="",$T2375=""),"",$T2375+(AB$2*$M2375))</f>
        <v/>
      </c>
      <c r="AC2375" s="48">
        <f>IF(OR($M2375="",$T2375=""),"",$T2375+(AC$2*$M2375))</f>
        <v/>
      </c>
      <c r="AD2375" s="48">
        <f>IF(OR($M2375="",$T2375=""),"",$T2375+(AD$2*$M2375))</f>
        <v/>
      </c>
      <c r="AE2375" s="49">
        <f>IF(OR($M2375="",$T2375=""),"",$T2375+(AE$2*$M2375))</f>
        <v/>
      </c>
      <c r="AF2375" s="52">
        <f>IF(OR(T2375="",I2375&lt;T2375),"",IFERROR(AVERAGE(T2375+M2375*{7,8,9,10,11})/IF(G2375="",I2375,G2375)-1,""))</f>
        <v/>
      </c>
      <c r="AG2375" s="55">
        <f>IF(OR(T2375="",I2375&lt;T2375),"",IFERROR(AF2375/-(R2375/IF(G2375="",I2375,G2375)-1),""))</f>
        <v/>
      </c>
      <c r="AH2375" s="94" t="n"/>
      <c r="AI2375" s="94" t="n"/>
      <c r="AJ2375" s="94" t="n"/>
      <c r="AK2375" s="94" t="n"/>
      <c r="AL2375" s="84" t="n"/>
    </row>
    <row r="2376">
      <c r="A2376" s="64" t="n"/>
      <c r="B2376" s="65" t="n"/>
      <c r="C2376" s="66" t="n"/>
      <c r="D2376" s="67" t="n"/>
      <c r="E2376" s="68" t="n"/>
      <c r="F2376" s="47">
        <f>IF(A2376="","",IF(MIN(H2376,MAX(J2376:K2376))=0,"",MIN(H2376,MAX(J2376:K2376))))</f>
        <v/>
      </c>
      <c r="G2376" s="74" t="n"/>
      <c r="H2376" s="49">
        <f>IF(M2376="","",IFERROR(ROUND(AVERAGE(T2376+M2376*{7,8,9,10,11})/1.21,4),""))</f>
        <v/>
      </c>
      <c r="I2376" s="76" t="n"/>
      <c r="J2376" s="77" t="n"/>
      <c r="K2376" s="74" t="n"/>
      <c r="L2376" s="78" t="n"/>
      <c r="M2376" s="77" t="n"/>
      <c r="N2376" s="53">
        <f>IF(M2376="","",IFERROR(M2376/I2376,""))</f>
        <v/>
      </c>
      <c r="O2376" s="50">
        <f>IF(A2376="","",IFERROR((IF(G2376="",I2376,G2376)-T2376)/M2376,""))</f>
        <v/>
      </c>
      <c r="P2376" s="50">
        <f>IFERROR((I2376/T2376-1)/N2376,"")</f>
        <v/>
      </c>
      <c r="Q2376" s="46">
        <f>IF(OR(T2376="",I2376&lt;T2376),"",IFERROR(R2376/IF(G2376="",I2376,G2376)-1,""))</f>
        <v/>
      </c>
      <c r="R2376" s="48">
        <f>IF($M2376="","",MAX(IF($G2376="",$I2376,$G2376)*(1/1.1),IF($G2376="",$I2376,$G2376)+(R$2*$M2376)))</f>
        <v/>
      </c>
      <c r="S2376" s="49">
        <f>IF($M2376="","",MAX(IF($G2376="",$I2376,$G2376)*(1/1.1),IF($G2376="",$I2376,$G2376)+(S$2*$M2376)))</f>
        <v/>
      </c>
      <c r="T2376" s="82" t="n"/>
      <c r="U2376" s="47">
        <f>IF(OR($M2376="",$T2376=""),"",$T2376+(U$2*$M2376))</f>
        <v/>
      </c>
      <c r="V2376" s="48">
        <f>IF(OR($M2376="",$T2376=""),"",$T2376+(V$2*$M2376))</f>
        <v/>
      </c>
      <c r="W2376" s="48">
        <f>IF(OR($M2376="",$T2376=""),"",$T2376+(W$2*$M2376))</f>
        <v/>
      </c>
      <c r="X2376" s="49">
        <f>IF(OR($M2376="",$T2376=""),"",$T2376+(X$2*$M2376))</f>
        <v/>
      </c>
      <c r="Y2376" s="47">
        <f>IF(OR($M2376="",$T2376=""),"",$T2376+(Y$2*$M2376))</f>
        <v/>
      </c>
      <c r="Z2376" s="49">
        <f>IF(OR($M2376="",$T2376=""),"",$T2376+(Z$2*$M2376))</f>
        <v/>
      </c>
      <c r="AA2376" s="51">
        <f>IF(OR($M2376="",$T2376=""),"",$T2376+(AA$2*$M2376))</f>
        <v/>
      </c>
      <c r="AB2376" s="48">
        <f>IF(OR($M2376="",$T2376=""),"",$T2376+(AB$2*$M2376))</f>
        <v/>
      </c>
      <c r="AC2376" s="48">
        <f>IF(OR($M2376="",$T2376=""),"",$T2376+(AC$2*$M2376))</f>
        <v/>
      </c>
      <c r="AD2376" s="48">
        <f>IF(OR($M2376="",$T2376=""),"",$T2376+(AD$2*$M2376))</f>
        <v/>
      </c>
      <c r="AE2376" s="49">
        <f>IF(OR($M2376="",$T2376=""),"",$T2376+(AE$2*$M2376))</f>
        <v/>
      </c>
      <c r="AF2376" s="52">
        <f>IF(OR(T2376="",I2376&lt;T2376),"",IFERROR(AVERAGE(T2376+M2376*{7,8,9,10,11})/IF(G2376="",I2376,G2376)-1,""))</f>
        <v/>
      </c>
      <c r="AG2376" s="55">
        <f>IF(OR(T2376="",I2376&lt;T2376),"",IFERROR(AF2376/-(R2376/IF(G2376="",I2376,G2376)-1),""))</f>
        <v/>
      </c>
      <c r="AH2376" s="94" t="n"/>
      <c r="AI2376" s="94" t="n"/>
      <c r="AJ2376" s="94" t="n"/>
      <c r="AK2376" s="94" t="n"/>
      <c r="AL2376" s="84" t="n"/>
    </row>
    <row r="2377">
      <c r="A2377" s="64" t="n"/>
      <c r="B2377" s="65" t="n"/>
      <c r="C2377" s="66" t="n"/>
      <c r="D2377" s="67" t="n"/>
      <c r="E2377" s="68" t="n"/>
      <c r="F2377" s="47">
        <f>IF(A2377="","",IF(MIN(H2377,MAX(J2377:K2377))=0,"",MIN(H2377,MAX(J2377:K2377))))</f>
        <v/>
      </c>
      <c r="G2377" s="74" t="n"/>
      <c r="H2377" s="49">
        <f>IF(M2377="","",IFERROR(ROUND(AVERAGE(T2377+M2377*{7,8,9,10,11})/1.21,4),""))</f>
        <v/>
      </c>
      <c r="I2377" s="76" t="n"/>
      <c r="J2377" s="77" t="n"/>
      <c r="K2377" s="74" t="n"/>
      <c r="L2377" s="78" t="n"/>
      <c r="M2377" s="77" t="n"/>
      <c r="N2377" s="53">
        <f>IF(M2377="","",IFERROR(M2377/I2377,""))</f>
        <v/>
      </c>
      <c r="O2377" s="50">
        <f>IF(A2377="","",IFERROR((IF(G2377="",I2377,G2377)-T2377)/M2377,""))</f>
        <v/>
      </c>
      <c r="P2377" s="50">
        <f>IFERROR((I2377/T2377-1)/N2377,"")</f>
        <v/>
      </c>
      <c r="Q2377" s="46">
        <f>IF(OR(T2377="",I2377&lt;T2377),"",IFERROR(R2377/IF(G2377="",I2377,G2377)-1,""))</f>
        <v/>
      </c>
      <c r="R2377" s="48">
        <f>IF($M2377="","",MAX(IF($G2377="",$I2377,$G2377)*(1/1.1),IF($G2377="",$I2377,$G2377)+(R$2*$M2377)))</f>
        <v/>
      </c>
      <c r="S2377" s="49">
        <f>IF($M2377="","",MAX(IF($G2377="",$I2377,$G2377)*(1/1.1),IF($G2377="",$I2377,$G2377)+(S$2*$M2377)))</f>
        <v/>
      </c>
      <c r="T2377" s="82" t="n"/>
      <c r="U2377" s="47">
        <f>IF(OR($M2377="",$T2377=""),"",$T2377+(U$2*$M2377))</f>
        <v/>
      </c>
      <c r="V2377" s="48">
        <f>IF(OR($M2377="",$T2377=""),"",$T2377+(V$2*$M2377))</f>
        <v/>
      </c>
      <c r="W2377" s="48">
        <f>IF(OR($M2377="",$T2377=""),"",$T2377+(W$2*$M2377))</f>
        <v/>
      </c>
      <c r="X2377" s="49">
        <f>IF(OR($M2377="",$T2377=""),"",$T2377+(X$2*$M2377))</f>
        <v/>
      </c>
      <c r="Y2377" s="47">
        <f>IF(OR($M2377="",$T2377=""),"",$T2377+(Y$2*$M2377))</f>
        <v/>
      </c>
      <c r="Z2377" s="49">
        <f>IF(OR($M2377="",$T2377=""),"",$T2377+(Z$2*$M2377))</f>
        <v/>
      </c>
      <c r="AA2377" s="51">
        <f>IF(OR($M2377="",$T2377=""),"",$T2377+(AA$2*$M2377))</f>
        <v/>
      </c>
      <c r="AB2377" s="48">
        <f>IF(OR($M2377="",$T2377=""),"",$T2377+(AB$2*$M2377))</f>
        <v/>
      </c>
      <c r="AC2377" s="48">
        <f>IF(OR($M2377="",$T2377=""),"",$T2377+(AC$2*$M2377))</f>
        <v/>
      </c>
      <c r="AD2377" s="48">
        <f>IF(OR($M2377="",$T2377=""),"",$T2377+(AD$2*$M2377))</f>
        <v/>
      </c>
      <c r="AE2377" s="49">
        <f>IF(OR($M2377="",$T2377=""),"",$T2377+(AE$2*$M2377))</f>
        <v/>
      </c>
      <c r="AF2377" s="52">
        <f>IF(OR(T2377="",I2377&lt;T2377),"",IFERROR(AVERAGE(T2377+M2377*{7,8,9,10,11})/IF(G2377="",I2377,G2377)-1,""))</f>
        <v/>
      </c>
      <c r="AG2377" s="55">
        <f>IF(OR(T2377="",I2377&lt;T2377),"",IFERROR(AF2377/-(R2377/IF(G2377="",I2377,G2377)-1),""))</f>
        <v/>
      </c>
      <c r="AH2377" s="94" t="n"/>
      <c r="AI2377" s="94" t="n"/>
      <c r="AJ2377" s="94" t="n"/>
      <c r="AK2377" s="94" t="n"/>
      <c r="AL2377" s="84" t="n"/>
    </row>
    <row r="2378">
      <c r="A2378" s="64" t="n"/>
      <c r="B2378" s="65" t="n"/>
      <c r="C2378" s="66" t="n"/>
      <c r="D2378" s="67" t="n"/>
      <c r="E2378" s="68" t="n"/>
      <c r="F2378" s="47">
        <f>IF(A2378="","",IF(MIN(H2378,MAX(J2378:K2378))=0,"",MIN(H2378,MAX(J2378:K2378))))</f>
        <v/>
      </c>
      <c r="G2378" s="74" t="n"/>
      <c r="H2378" s="49">
        <f>IF(M2378="","",IFERROR(ROUND(AVERAGE(T2378+M2378*{7,8,9,10,11})/1.21,4),""))</f>
        <v/>
      </c>
      <c r="I2378" s="76" t="n"/>
      <c r="J2378" s="77" t="n"/>
      <c r="K2378" s="74" t="n"/>
      <c r="L2378" s="78" t="n"/>
      <c r="M2378" s="77" t="n"/>
      <c r="N2378" s="53">
        <f>IF(M2378="","",IFERROR(M2378/I2378,""))</f>
        <v/>
      </c>
      <c r="O2378" s="50">
        <f>IF(A2378="","",IFERROR((IF(G2378="",I2378,G2378)-T2378)/M2378,""))</f>
        <v/>
      </c>
      <c r="P2378" s="50">
        <f>IFERROR((I2378/T2378-1)/N2378,"")</f>
        <v/>
      </c>
      <c r="Q2378" s="46">
        <f>IF(OR(T2378="",I2378&lt;T2378),"",IFERROR(R2378/IF(G2378="",I2378,G2378)-1,""))</f>
        <v/>
      </c>
      <c r="R2378" s="48">
        <f>IF($M2378="","",MAX(IF($G2378="",$I2378,$G2378)*(1/1.1),IF($G2378="",$I2378,$G2378)+(R$2*$M2378)))</f>
        <v/>
      </c>
      <c r="S2378" s="49">
        <f>IF($M2378="","",MAX(IF($G2378="",$I2378,$G2378)*(1/1.1),IF($G2378="",$I2378,$G2378)+(S$2*$M2378)))</f>
        <v/>
      </c>
      <c r="T2378" s="82" t="n"/>
      <c r="U2378" s="47">
        <f>IF(OR($M2378="",$T2378=""),"",$T2378+(U$2*$M2378))</f>
        <v/>
      </c>
      <c r="V2378" s="48">
        <f>IF(OR($M2378="",$T2378=""),"",$T2378+(V$2*$M2378))</f>
        <v/>
      </c>
      <c r="W2378" s="48">
        <f>IF(OR($M2378="",$T2378=""),"",$T2378+(W$2*$M2378))</f>
        <v/>
      </c>
      <c r="X2378" s="49">
        <f>IF(OR($M2378="",$T2378=""),"",$T2378+(X$2*$M2378))</f>
        <v/>
      </c>
      <c r="Y2378" s="47">
        <f>IF(OR($M2378="",$T2378=""),"",$T2378+(Y$2*$M2378))</f>
        <v/>
      </c>
      <c r="Z2378" s="49">
        <f>IF(OR($M2378="",$T2378=""),"",$T2378+(Z$2*$M2378))</f>
        <v/>
      </c>
      <c r="AA2378" s="51">
        <f>IF(OR($M2378="",$T2378=""),"",$T2378+(AA$2*$M2378))</f>
        <v/>
      </c>
      <c r="AB2378" s="48">
        <f>IF(OR($M2378="",$T2378=""),"",$T2378+(AB$2*$M2378))</f>
        <v/>
      </c>
      <c r="AC2378" s="48">
        <f>IF(OR($M2378="",$T2378=""),"",$T2378+(AC$2*$M2378))</f>
        <v/>
      </c>
      <c r="AD2378" s="48">
        <f>IF(OR($M2378="",$T2378=""),"",$T2378+(AD$2*$M2378))</f>
        <v/>
      </c>
      <c r="AE2378" s="49">
        <f>IF(OR($M2378="",$T2378=""),"",$T2378+(AE$2*$M2378))</f>
        <v/>
      </c>
      <c r="AF2378" s="52">
        <f>IF(OR(T2378="",I2378&lt;T2378),"",IFERROR(AVERAGE(T2378+M2378*{7,8,9,10,11})/IF(G2378="",I2378,G2378)-1,""))</f>
        <v/>
      </c>
      <c r="AG2378" s="55">
        <f>IF(OR(T2378="",I2378&lt;T2378),"",IFERROR(AF2378/-(R2378/IF(G2378="",I2378,G2378)-1),""))</f>
        <v/>
      </c>
      <c r="AH2378" s="94" t="n"/>
      <c r="AI2378" s="94" t="n"/>
      <c r="AJ2378" s="94" t="n"/>
      <c r="AK2378" s="94" t="n"/>
      <c r="AL2378" s="84" t="n"/>
    </row>
    <row r="2379">
      <c r="A2379" s="64" t="n"/>
      <c r="B2379" s="65" t="n"/>
      <c r="C2379" s="66" t="n"/>
      <c r="D2379" s="67" t="n"/>
      <c r="E2379" s="68" t="n"/>
      <c r="F2379" s="47">
        <f>IF(A2379="","",IF(MIN(H2379,MAX(J2379:K2379))=0,"",MIN(H2379,MAX(J2379:K2379))))</f>
        <v/>
      </c>
      <c r="G2379" s="74" t="n"/>
      <c r="H2379" s="49">
        <f>IF(M2379="","",IFERROR(ROUND(AVERAGE(T2379+M2379*{7,8,9,10,11})/1.21,4),""))</f>
        <v/>
      </c>
      <c r="I2379" s="76" t="n"/>
      <c r="J2379" s="77" t="n"/>
      <c r="K2379" s="74" t="n"/>
      <c r="L2379" s="78" t="n"/>
      <c r="M2379" s="77" t="n"/>
      <c r="N2379" s="53">
        <f>IF(M2379="","",IFERROR(M2379/I2379,""))</f>
        <v/>
      </c>
      <c r="O2379" s="50">
        <f>IF(A2379="","",IFERROR((IF(G2379="",I2379,G2379)-T2379)/M2379,""))</f>
        <v/>
      </c>
      <c r="P2379" s="50">
        <f>IFERROR((I2379/T2379-1)/N2379,"")</f>
        <v/>
      </c>
      <c r="Q2379" s="46">
        <f>IF(OR(T2379="",I2379&lt;T2379),"",IFERROR(R2379/IF(G2379="",I2379,G2379)-1,""))</f>
        <v/>
      </c>
      <c r="R2379" s="48">
        <f>IF($M2379="","",MAX(IF($G2379="",$I2379,$G2379)*(1/1.1),IF($G2379="",$I2379,$G2379)+(R$2*$M2379)))</f>
        <v/>
      </c>
      <c r="S2379" s="49">
        <f>IF($M2379="","",MAX(IF($G2379="",$I2379,$G2379)*(1/1.1),IF($G2379="",$I2379,$G2379)+(S$2*$M2379)))</f>
        <v/>
      </c>
      <c r="T2379" s="82" t="n"/>
      <c r="U2379" s="47">
        <f>IF(OR($M2379="",$T2379=""),"",$T2379+(U$2*$M2379))</f>
        <v/>
      </c>
      <c r="V2379" s="48">
        <f>IF(OR($M2379="",$T2379=""),"",$T2379+(V$2*$M2379))</f>
        <v/>
      </c>
      <c r="W2379" s="48">
        <f>IF(OR($M2379="",$T2379=""),"",$T2379+(W$2*$M2379))</f>
        <v/>
      </c>
      <c r="X2379" s="49">
        <f>IF(OR($M2379="",$T2379=""),"",$T2379+(X$2*$M2379))</f>
        <v/>
      </c>
      <c r="Y2379" s="47">
        <f>IF(OR($M2379="",$T2379=""),"",$T2379+(Y$2*$M2379))</f>
        <v/>
      </c>
      <c r="Z2379" s="49">
        <f>IF(OR($M2379="",$T2379=""),"",$T2379+(Z$2*$M2379))</f>
        <v/>
      </c>
      <c r="AA2379" s="51">
        <f>IF(OR($M2379="",$T2379=""),"",$T2379+(AA$2*$M2379))</f>
        <v/>
      </c>
      <c r="AB2379" s="48">
        <f>IF(OR($M2379="",$T2379=""),"",$T2379+(AB$2*$M2379))</f>
        <v/>
      </c>
      <c r="AC2379" s="48">
        <f>IF(OR($M2379="",$T2379=""),"",$T2379+(AC$2*$M2379))</f>
        <v/>
      </c>
      <c r="AD2379" s="48">
        <f>IF(OR($M2379="",$T2379=""),"",$T2379+(AD$2*$M2379))</f>
        <v/>
      </c>
      <c r="AE2379" s="49">
        <f>IF(OR($M2379="",$T2379=""),"",$T2379+(AE$2*$M2379))</f>
        <v/>
      </c>
      <c r="AF2379" s="52">
        <f>IF(OR(T2379="",I2379&lt;T2379),"",IFERROR(AVERAGE(T2379+M2379*{7,8,9,10,11})/IF(G2379="",I2379,G2379)-1,""))</f>
        <v/>
      </c>
      <c r="AG2379" s="55">
        <f>IF(OR(T2379="",I2379&lt;T2379),"",IFERROR(AF2379/-(R2379/IF(G2379="",I2379,G2379)-1),""))</f>
        <v/>
      </c>
      <c r="AH2379" s="94" t="n"/>
      <c r="AI2379" s="94" t="n"/>
      <c r="AJ2379" s="94" t="n"/>
      <c r="AK2379" s="94" t="n"/>
      <c r="AL2379" s="84" t="n"/>
    </row>
    <row r="2380">
      <c r="A2380" s="64" t="n"/>
      <c r="B2380" s="65" t="n"/>
      <c r="C2380" s="66" t="n"/>
      <c r="D2380" s="67" t="n"/>
      <c r="E2380" s="68" t="n"/>
      <c r="F2380" s="47">
        <f>IF(A2380="","",IF(MIN(H2380,MAX(J2380:K2380))=0,"",MIN(H2380,MAX(J2380:K2380))))</f>
        <v/>
      </c>
      <c r="G2380" s="74" t="n"/>
      <c r="H2380" s="49">
        <f>IF(M2380="","",IFERROR(ROUND(AVERAGE(T2380+M2380*{7,8,9,10,11})/1.21,4),""))</f>
        <v/>
      </c>
      <c r="I2380" s="76" t="n"/>
      <c r="J2380" s="77" t="n"/>
      <c r="K2380" s="74" t="n"/>
      <c r="L2380" s="78" t="n"/>
      <c r="M2380" s="77" t="n"/>
      <c r="N2380" s="53">
        <f>IF(M2380="","",IFERROR(M2380/I2380,""))</f>
        <v/>
      </c>
      <c r="O2380" s="50">
        <f>IF(A2380="","",IFERROR((IF(G2380="",I2380,G2380)-T2380)/M2380,""))</f>
        <v/>
      </c>
      <c r="P2380" s="50">
        <f>IFERROR((I2380/T2380-1)/N2380,"")</f>
        <v/>
      </c>
      <c r="Q2380" s="46">
        <f>IF(OR(T2380="",I2380&lt;T2380),"",IFERROR(R2380/IF(G2380="",I2380,G2380)-1,""))</f>
        <v/>
      </c>
      <c r="R2380" s="48">
        <f>IF($M2380="","",MAX(IF($G2380="",$I2380,$G2380)*(1/1.1),IF($G2380="",$I2380,$G2380)+(R$2*$M2380)))</f>
        <v/>
      </c>
      <c r="S2380" s="49">
        <f>IF($M2380="","",MAX(IF($G2380="",$I2380,$G2380)*(1/1.1),IF($G2380="",$I2380,$G2380)+(S$2*$M2380)))</f>
        <v/>
      </c>
      <c r="T2380" s="82" t="n"/>
      <c r="U2380" s="47">
        <f>IF(OR($M2380="",$T2380=""),"",$T2380+(U$2*$M2380))</f>
        <v/>
      </c>
      <c r="V2380" s="48">
        <f>IF(OR($M2380="",$T2380=""),"",$T2380+(V$2*$M2380))</f>
        <v/>
      </c>
      <c r="W2380" s="48">
        <f>IF(OR($M2380="",$T2380=""),"",$T2380+(W$2*$M2380))</f>
        <v/>
      </c>
      <c r="X2380" s="49">
        <f>IF(OR($M2380="",$T2380=""),"",$T2380+(X$2*$M2380))</f>
        <v/>
      </c>
      <c r="Y2380" s="47">
        <f>IF(OR($M2380="",$T2380=""),"",$T2380+(Y$2*$M2380))</f>
        <v/>
      </c>
      <c r="Z2380" s="49">
        <f>IF(OR($M2380="",$T2380=""),"",$T2380+(Z$2*$M2380))</f>
        <v/>
      </c>
      <c r="AA2380" s="51">
        <f>IF(OR($M2380="",$T2380=""),"",$T2380+(AA$2*$M2380))</f>
        <v/>
      </c>
      <c r="AB2380" s="48">
        <f>IF(OR($M2380="",$T2380=""),"",$T2380+(AB$2*$M2380))</f>
        <v/>
      </c>
      <c r="AC2380" s="48">
        <f>IF(OR($M2380="",$T2380=""),"",$T2380+(AC$2*$M2380))</f>
        <v/>
      </c>
      <c r="AD2380" s="48">
        <f>IF(OR($M2380="",$T2380=""),"",$T2380+(AD$2*$M2380))</f>
        <v/>
      </c>
      <c r="AE2380" s="49">
        <f>IF(OR($M2380="",$T2380=""),"",$T2380+(AE$2*$M2380))</f>
        <v/>
      </c>
      <c r="AF2380" s="52">
        <f>IF(OR(T2380="",I2380&lt;T2380),"",IFERROR(AVERAGE(T2380+M2380*{7,8,9,10,11})/IF(G2380="",I2380,G2380)-1,""))</f>
        <v/>
      </c>
      <c r="AG2380" s="55">
        <f>IF(OR(T2380="",I2380&lt;T2380),"",IFERROR(AF2380/-(R2380/IF(G2380="",I2380,G2380)-1),""))</f>
        <v/>
      </c>
      <c r="AH2380" s="94" t="n"/>
      <c r="AI2380" s="94" t="n"/>
      <c r="AJ2380" s="94" t="n"/>
      <c r="AK2380" s="94" t="n"/>
      <c r="AL2380" s="84" t="n"/>
    </row>
    <row r="2381">
      <c r="A2381" s="64" t="n"/>
      <c r="B2381" s="65" t="n"/>
      <c r="C2381" s="66" t="n"/>
      <c r="D2381" s="67" t="n"/>
      <c r="E2381" s="68" t="n"/>
      <c r="F2381" s="47">
        <f>IF(A2381="","",IF(MIN(H2381,MAX(J2381:K2381))=0,"",MIN(H2381,MAX(J2381:K2381))))</f>
        <v/>
      </c>
      <c r="G2381" s="74" t="n"/>
      <c r="H2381" s="49">
        <f>IF(M2381="","",IFERROR(ROUND(AVERAGE(T2381+M2381*{7,8,9,10,11})/1.21,4),""))</f>
        <v/>
      </c>
      <c r="I2381" s="76" t="n"/>
      <c r="J2381" s="77" t="n"/>
      <c r="K2381" s="74" t="n"/>
      <c r="L2381" s="78" t="n"/>
      <c r="M2381" s="77" t="n"/>
      <c r="N2381" s="53">
        <f>IF(M2381="","",IFERROR(M2381/I2381,""))</f>
        <v/>
      </c>
      <c r="O2381" s="50">
        <f>IF(A2381="","",IFERROR((IF(G2381="",I2381,G2381)-T2381)/M2381,""))</f>
        <v/>
      </c>
      <c r="P2381" s="50">
        <f>IFERROR((I2381/T2381-1)/N2381,"")</f>
        <v/>
      </c>
      <c r="Q2381" s="46">
        <f>IF(OR(T2381="",I2381&lt;T2381),"",IFERROR(R2381/IF(G2381="",I2381,G2381)-1,""))</f>
        <v/>
      </c>
      <c r="R2381" s="48">
        <f>IF($M2381="","",MAX(IF($G2381="",$I2381,$G2381)*(1/1.1),IF($G2381="",$I2381,$G2381)+(R$2*$M2381)))</f>
        <v/>
      </c>
      <c r="S2381" s="49">
        <f>IF($M2381="","",MAX(IF($G2381="",$I2381,$G2381)*(1/1.1),IF($G2381="",$I2381,$G2381)+(S$2*$M2381)))</f>
        <v/>
      </c>
      <c r="T2381" s="82" t="n"/>
      <c r="U2381" s="47">
        <f>IF(OR($M2381="",$T2381=""),"",$T2381+(U$2*$M2381))</f>
        <v/>
      </c>
      <c r="V2381" s="48">
        <f>IF(OR($M2381="",$T2381=""),"",$T2381+(V$2*$M2381))</f>
        <v/>
      </c>
      <c r="W2381" s="48">
        <f>IF(OR($M2381="",$T2381=""),"",$T2381+(W$2*$M2381))</f>
        <v/>
      </c>
      <c r="X2381" s="49">
        <f>IF(OR($M2381="",$T2381=""),"",$T2381+(X$2*$M2381))</f>
        <v/>
      </c>
      <c r="Y2381" s="47">
        <f>IF(OR($M2381="",$T2381=""),"",$T2381+(Y$2*$M2381))</f>
        <v/>
      </c>
      <c r="Z2381" s="49">
        <f>IF(OR($M2381="",$T2381=""),"",$T2381+(Z$2*$M2381))</f>
        <v/>
      </c>
      <c r="AA2381" s="51">
        <f>IF(OR($M2381="",$T2381=""),"",$T2381+(AA$2*$M2381))</f>
        <v/>
      </c>
      <c r="AB2381" s="48">
        <f>IF(OR($M2381="",$T2381=""),"",$T2381+(AB$2*$M2381))</f>
        <v/>
      </c>
      <c r="AC2381" s="48">
        <f>IF(OR($M2381="",$T2381=""),"",$T2381+(AC$2*$M2381))</f>
        <v/>
      </c>
      <c r="AD2381" s="48">
        <f>IF(OR($M2381="",$T2381=""),"",$T2381+(AD$2*$M2381))</f>
        <v/>
      </c>
      <c r="AE2381" s="49">
        <f>IF(OR($M2381="",$T2381=""),"",$T2381+(AE$2*$M2381))</f>
        <v/>
      </c>
      <c r="AF2381" s="52">
        <f>IF(OR(T2381="",I2381&lt;T2381),"",IFERROR(AVERAGE(T2381+M2381*{7,8,9,10,11})/IF(G2381="",I2381,G2381)-1,""))</f>
        <v/>
      </c>
      <c r="AG2381" s="55">
        <f>IF(OR(T2381="",I2381&lt;T2381),"",IFERROR(AF2381/-(R2381/IF(G2381="",I2381,G2381)-1),""))</f>
        <v/>
      </c>
      <c r="AH2381" s="94" t="n"/>
      <c r="AI2381" s="94" t="n"/>
      <c r="AJ2381" s="94" t="n"/>
      <c r="AK2381" s="94" t="n"/>
      <c r="AL2381" s="84" t="n"/>
    </row>
    <row r="2382">
      <c r="A2382" s="64" t="n"/>
      <c r="B2382" s="65" t="n"/>
      <c r="C2382" s="66" t="n"/>
      <c r="D2382" s="67" t="n"/>
      <c r="E2382" s="68" t="n"/>
      <c r="F2382" s="47">
        <f>IF(A2382="","",IF(MIN(H2382,MAX(J2382:K2382))=0,"",MIN(H2382,MAX(J2382:K2382))))</f>
        <v/>
      </c>
      <c r="G2382" s="74" t="n"/>
      <c r="H2382" s="49">
        <f>IF(M2382="","",IFERROR(ROUND(AVERAGE(T2382+M2382*{7,8,9,10,11})/1.21,4),""))</f>
        <v/>
      </c>
      <c r="I2382" s="76" t="n"/>
      <c r="J2382" s="77" t="n"/>
      <c r="K2382" s="74" t="n"/>
      <c r="L2382" s="78" t="n"/>
      <c r="M2382" s="77" t="n"/>
      <c r="N2382" s="53">
        <f>IF(M2382="","",IFERROR(M2382/I2382,""))</f>
        <v/>
      </c>
      <c r="O2382" s="50">
        <f>IF(A2382="","",IFERROR((IF(G2382="",I2382,G2382)-T2382)/M2382,""))</f>
        <v/>
      </c>
      <c r="P2382" s="50">
        <f>IFERROR((I2382/T2382-1)/N2382,"")</f>
        <v/>
      </c>
      <c r="Q2382" s="46">
        <f>IF(OR(T2382="",I2382&lt;T2382),"",IFERROR(R2382/IF(G2382="",I2382,G2382)-1,""))</f>
        <v/>
      </c>
      <c r="R2382" s="48">
        <f>IF($M2382="","",MAX(IF($G2382="",$I2382,$G2382)*(1/1.1),IF($G2382="",$I2382,$G2382)+(R$2*$M2382)))</f>
        <v/>
      </c>
      <c r="S2382" s="49">
        <f>IF($M2382="","",MAX(IF($G2382="",$I2382,$G2382)*(1/1.1),IF($G2382="",$I2382,$G2382)+(S$2*$M2382)))</f>
        <v/>
      </c>
      <c r="T2382" s="82" t="n"/>
      <c r="U2382" s="47">
        <f>IF(OR($M2382="",$T2382=""),"",$T2382+(U$2*$M2382))</f>
        <v/>
      </c>
      <c r="V2382" s="48">
        <f>IF(OR($M2382="",$T2382=""),"",$T2382+(V$2*$M2382))</f>
        <v/>
      </c>
      <c r="W2382" s="48">
        <f>IF(OR($M2382="",$T2382=""),"",$T2382+(W$2*$M2382))</f>
        <v/>
      </c>
      <c r="X2382" s="49">
        <f>IF(OR($M2382="",$T2382=""),"",$T2382+(X$2*$M2382))</f>
        <v/>
      </c>
      <c r="Y2382" s="47">
        <f>IF(OR($M2382="",$T2382=""),"",$T2382+(Y$2*$M2382))</f>
        <v/>
      </c>
      <c r="Z2382" s="49">
        <f>IF(OR($M2382="",$T2382=""),"",$T2382+(Z$2*$M2382))</f>
        <v/>
      </c>
      <c r="AA2382" s="51">
        <f>IF(OR($M2382="",$T2382=""),"",$T2382+(AA$2*$M2382))</f>
        <v/>
      </c>
      <c r="AB2382" s="48">
        <f>IF(OR($M2382="",$T2382=""),"",$T2382+(AB$2*$M2382))</f>
        <v/>
      </c>
      <c r="AC2382" s="48">
        <f>IF(OR($M2382="",$T2382=""),"",$T2382+(AC$2*$M2382))</f>
        <v/>
      </c>
      <c r="AD2382" s="48">
        <f>IF(OR($M2382="",$T2382=""),"",$T2382+(AD$2*$M2382))</f>
        <v/>
      </c>
      <c r="AE2382" s="49">
        <f>IF(OR($M2382="",$T2382=""),"",$T2382+(AE$2*$M2382))</f>
        <v/>
      </c>
      <c r="AF2382" s="52">
        <f>IF(OR(T2382="",I2382&lt;T2382),"",IFERROR(AVERAGE(T2382+M2382*{7,8,9,10,11})/IF(G2382="",I2382,G2382)-1,""))</f>
        <v/>
      </c>
      <c r="AG2382" s="55">
        <f>IF(OR(T2382="",I2382&lt;T2382),"",IFERROR(AF2382/-(R2382/IF(G2382="",I2382,G2382)-1),""))</f>
        <v/>
      </c>
      <c r="AH2382" s="94" t="n"/>
      <c r="AI2382" s="94" t="n"/>
      <c r="AJ2382" s="94" t="n"/>
      <c r="AK2382" s="94" t="n"/>
      <c r="AL2382" s="84" t="n"/>
    </row>
    <row r="2383">
      <c r="A2383" s="64" t="n"/>
      <c r="B2383" s="65" t="n"/>
      <c r="C2383" s="66" t="n"/>
      <c r="D2383" s="67" t="n"/>
      <c r="E2383" s="68" t="n"/>
      <c r="F2383" s="47">
        <f>IF(A2383="","",IF(MIN(H2383,MAX(J2383:K2383))=0,"",MIN(H2383,MAX(J2383:K2383))))</f>
        <v/>
      </c>
      <c r="G2383" s="74" t="n"/>
      <c r="H2383" s="49">
        <f>IF(M2383="","",IFERROR(ROUND(AVERAGE(T2383+M2383*{7,8,9,10,11})/1.21,4),""))</f>
        <v/>
      </c>
      <c r="I2383" s="76" t="n"/>
      <c r="J2383" s="77" t="n"/>
      <c r="K2383" s="74" t="n"/>
      <c r="L2383" s="78" t="n"/>
      <c r="M2383" s="77" t="n"/>
      <c r="N2383" s="53">
        <f>IF(M2383="","",IFERROR(M2383/I2383,""))</f>
        <v/>
      </c>
      <c r="O2383" s="50">
        <f>IF(A2383="","",IFERROR((IF(G2383="",I2383,G2383)-T2383)/M2383,""))</f>
        <v/>
      </c>
      <c r="P2383" s="50">
        <f>IFERROR((I2383/T2383-1)/N2383,"")</f>
        <v/>
      </c>
      <c r="Q2383" s="46">
        <f>IF(OR(T2383="",I2383&lt;T2383),"",IFERROR(R2383/IF(G2383="",I2383,G2383)-1,""))</f>
        <v/>
      </c>
      <c r="R2383" s="48">
        <f>IF($M2383="","",MAX(IF($G2383="",$I2383,$G2383)*(1/1.1),IF($G2383="",$I2383,$G2383)+(R$2*$M2383)))</f>
        <v/>
      </c>
      <c r="S2383" s="49">
        <f>IF($M2383="","",MAX(IF($G2383="",$I2383,$G2383)*(1/1.1),IF($G2383="",$I2383,$G2383)+(S$2*$M2383)))</f>
        <v/>
      </c>
      <c r="T2383" s="82" t="n"/>
      <c r="U2383" s="47">
        <f>IF(OR($M2383="",$T2383=""),"",$T2383+(U$2*$M2383))</f>
        <v/>
      </c>
      <c r="V2383" s="48">
        <f>IF(OR($M2383="",$T2383=""),"",$T2383+(V$2*$M2383))</f>
        <v/>
      </c>
      <c r="W2383" s="48">
        <f>IF(OR($M2383="",$T2383=""),"",$T2383+(W$2*$M2383))</f>
        <v/>
      </c>
      <c r="X2383" s="49">
        <f>IF(OR($M2383="",$T2383=""),"",$T2383+(X$2*$M2383))</f>
        <v/>
      </c>
      <c r="Y2383" s="47">
        <f>IF(OR($M2383="",$T2383=""),"",$T2383+(Y$2*$M2383))</f>
        <v/>
      </c>
      <c r="Z2383" s="49">
        <f>IF(OR($M2383="",$T2383=""),"",$T2383+(Z$2*$M2383))</f>
        <v/>
      </c>
      <c r="AA2383" s="51">
        <f>IF(OR($M2383="",$T2383=""),"",$T2383+(AA$2*$M2383))</f>
        <v/>
      </c>
      <c r="AB2383" s="48">
        <f>IF(OR($M2383="",$T2383=""),"",$T2383+(AB$2*$M2383))</f>
        <v/>
      </c>
      <c r="AC2383" s="48">
        <f>IF(OR($M2383="",$T2383=""),"",$T2383+(AC$2*$M2383))</f>
        <v/>
      </c>
      <c r="AD2383" s="48">
        <f>IF(OR($M2383="",$T2383=""),"",$T2383+(AD$2*$M2383))</f>
        <v/>
      </c>
      <c r="AE2383" s="49">
        <f>IF(OR($M2383="",$T2383=""),"",$T2383+(AE$2*$M2383))</f>
        <v/>
      </c>
      <c r="AF2383" s="52">
        <f>IF(OR(T2383="",I2383&lt;T2383),"",IFERROR(AVERAGE(T2383+M2383*{7,8,9,10,11})/IF(G2383="",I2383,G2383)-1,""))</f>
        <v/>
      </c>
      <c r="AG2383" s="55">
        <f>IF(OR(T2383="",I2383&lt;T2383),"",IFERROR(AF2383/-(R2383/IF(G2383="",I2383,G2383)-1),""))</f>
        <v/>
      </c>
      <c r="AH2383" s="94" t="n"/>
      <c r="AI2383" s="94" t="n"/>
      <c r="AJ2383" s="94" t="n"/>
      <c r="AK2383" s="94" t="n"/>
      <c r="AL2383" s="84" t="n"/>
    </row>
    <row r="2384">
      <c r="A2384" s="64" t="n"/>
      <c r="B2384" s="65" t="n"/>
      <c r="C2384" s="66" t="n"/>
      <c r="D2384" s="67" t="n"/>
      <c r="E2384" s="68" t="n"/>
      <c r="F2384" s="47">
        <f>IF(A2384="","",IF(MIN(H2384,MAX(J2384:K2384))=0,"",MIN(H2384,MAX(J2384:K2384))))</f>
        <v/>
      </c>
      <c r="G2384" s="74" t="n"/>
      <c r="H2384" s="49">
        <f>IF(M2384="","",IFERROR(ROUND(AVERAGE(T2384+M2384*{7,8,9,10,11})/1.21,4),""))</f>
        <v/>
      </c>
      <c r="I2384" s="76" t="n"/>
      <c r="J2384" s="77" t="n"/>
      <c r="K2384" s="74" t="n"/>
      <c r="L2384" s="78" t="n"/>
      <c r="M2384" s="77" t="n"/>
      <c r="N2384" s="53">
        <f>IF(M2384="","",IFERROR(M2384/I2384,""))</f>
        <v/>
      </c>
      <c r="O2384" s="50">
        <f>IF(A2384="","",IFERROR((IF(G2384="",I2384,G2384)-T2384)/M2384,""))</f>
        <v/>
      </c>
      <c r="P2384" s="50">
        <f>IFERROR((I2384/T2384-1)/N2384,"")</f>
        <v/>
      </c>
      <c r="Q2384" s="46">
        <f>IF(OR(T2384="",I2384&lt;T2384),"",IFERROR(R2384/IF(G2384="",I2384,G2384)-1,""))</f>
        <v/>
      </c>
      <c r="R2384" s="48">
        <f>IF($M2384="","",MAX(IF($G2384="",$I2384,$G2384)*(1/1.1),IF($G2384="",$I2384,$G2384)+(R$2*$M2384)))</f>
        <v/>
      </c>
      <c r="S2384" s="49">
        <f>IF($M2384="","",MAX(IF($G2384="",$I2384,$G2384)*(1/1.1),IF($G2384="",$I2384,$G2384)+(S$2*$M2384)))</f>
        <v/>
      </c>
      <c r="T2384" s="82" t="n"/>
      <c r="U2384" s="47">
        <f>IF(OR($M2384="",$T2384=""),"",$T2384+(U$2*$M2384))</f>
        <v/>
      </c>
      <c r="V2384" s="48">
        <f>IF(OR($M2384="",$T2384=""),"",$T2384+(V$2*$M2384))</f>
        <v/>
      </c>
      <c r="W2384" s="48">
        <f>IF(OR($M2384="",$T2384=""),"",$T2384+(W$2*$M2384))</f>
        <v/>
      </c>
      <c r="X2384" s="49">
        <f>IF(OR($M2384="",$T2384=""),"",$T2384+(X$2*$M2384))</f>
        <v/>
      </c>
      <c r="Y2384" s="47">
        <f>IF(OR($M2384="",$T2384=""),"",$T2384+(Y$2*$M2384))</f>
        <v/>
      </c>
      <c r="Z2384" s="49">
        <f>IF(OR($M2384="",$T2384=""),"",$T2384+(Z$2*$M2384))</f>
        <v/>
      </c>
      <c r="AA2384" s="51">
        <f>IF(OR($M2384="",$T2384=""),"",$T2384+(AA$2*$M2384))</f>
        <v/>
      </c>
      <c r="AB2384" s="48">
        <f>IF(OR($M2384="",$T2384=""),"",$T2384+(AB$2*$M2384))</f>
        <v/>
      </c>
      <c r="AC2384" s="48">
        <f>IF(OR($M2384="",$T2384=""),"",$T2384+(AC$2*$M2384))</f>
        <v/>
      </c>
      <c r="AD2384" s="48">
        <f>IF(OR($M2384="",$T2384=""),"",$T2384+(AD$2*$M2384))</f>
        <v/>
      </c>
      <c r="AE2384" s="49">
        <f>IF(OR($M2384="",$T2384=""),"",$T2384+(AE$2*$M2384))</f>
        <v/>
      </c>
      <c r="AF2384" s="52">
        <f>IF(OR(T2384="",I2384&lt;T2384),"",IFERROR(AVERAGE(T2384+M2384*{7,8,9,10,11})/IF(G2384="",I2384,G2384)-1,""))</f>
        <v/>
      </c>
      <c r="AG2384" s="55">
        <f>IF(OR(T2384="",I2384&lt;T2384),"",IFERROR(AF2384/-(R2384/IF(G2384="",I2384,G2384)-1),""))</f>
        <v/>
      </c>
      <c r="AH2384" s="94" t="n"/>
      <c r="AI2384" s="94" t="n"/>
      <c r="AJ2384" s="94" t="n"/>
      <c r="AK2384" s="94" t="n"/>
      <c r="AL2384" s="84" t="n"/>
    </row>
    <row r="2385">
      <c r="A2385" s="64" t="n"/>
      <c r="B2385" s="65" t="n"/>
      <c r="C2385" s="66" t="n"/>
      <c r="D2385" s="67" t="n"/>
      <c r="E2385" s="68" t="n"/>
      <c r="F2385" s="47">
        <f>IF(A2385="","",IF(MIN(H2385,MAX(J2385:K2385))=0,"",MIN(H2385,MAX(J2385:K2385))))</f>
        <v/>
      </c>
      <c r="G2385" s="74" t="n"/>
      <c r="H2385" s="49">
        <f>IF(M2385="","",IFERROR(ROUND(AVERAGE(T2385+M2385*{7,8,9,10,11})/1.21,4),""))</f>
        <v/>
      </c>
      <c r="I2385" s="76" t="n"/>
      <c r="J2385" s="77" t="n"/>
      <c r="K2385" s="74" t="n"/>
      <c r="L2385" s="78" t="n"/>
      <c r="M2385" s="77" t="n"/>
      <c r="N2385" s="53">
        <f>IF(M2385="","",IFERROR(M2385/I2385,""))</f>
        <v/>
      </c>
      <c r="O2385" s="50">
        <f>IF(A2385="","",IFERROR((IF(G2385="",I2385,G2385)-T2385)/M2385,""))</f>
        <v/>
      </c>
      <c r="P2385" s="50">
        <f>IFERROR((I2385/T2385-1)/N2385,"")</f>
        <v/>
      </c>
      <c r="Q2385" s="46">
        <f>IF(OR(T2385="",I2385&lt;T2385),"",IFERROR(R2385/IF(G2385="",I2385,G2385)-1,""))</f>
        <v/>
      </c>
      <c r="R2385" s="48">
        <f>IF($M2385="","",MAX(IF($G2385="",$I2385,$G2385)*(1/1.1),IF($G2385="",$I2385,$G2385)+(R$2*$M2385)))</f>
        <v/>
      </c>
      <c r="S2385" s="49">
        <f>IF($M2385="","",MAX(IF($G2385="",$I2385,$G2385)*(1/1.1),IF($G2385="",$I2385,$G2385)+(S$2*$M2385)))</f>
        <v/>
      </c>
      <c r="T2385" s="82" t="n"/>
      <c r="U2385" s="47">
        <f>IF(OR($M2385="",$T2385=""),"",$T2385+(U$2*$M2385))</f>
        <v/>
      </c>
      <c r="V2385" s="48">
        <f>IF(OR($M2385="",$T2385=""),"",$T2385+(V$2*$M2385))</f>
        <v/>
      </c>
      <c r="W2385" s="48">
        <f>IF(OR($M2385="",$T2385=""),"",$T2385+(W$2*$M2385))</f>
        <v/>
      </c>
      <c r="X2385" s="49">
        <f>IF(OR($M2385="",$T2385=""),"",$T2385+(X$2*$M2385))</f>
        <v/>
      </c>
      <c r="Y2385" s="47">
        <f>IF(OR($M2385="",$T2385=""),"",$T2385+(Y$2*$M2385))</f>
        <v/>
      </c>
      <c r="Z2385" s="49">
        <f>IF(OR($M2385="",$T2385=""),"",$T2385+(Z$2*$M2385))</f>
        <v/>
      </c>
      <c r="AA2385" s="51">
        <f>IF(OR($M2385="",$T2385=""),"",$T2385+(AA$2*$M2385))</f>
        <v/>
      </c>
      <c r="AB2385" s="48">
        <f>IF(OR($M2385="",$T2385=""),"",$T2385+(AB$2*$M2385))</f>
        <v/>
      </c>
      <c r="AC2385" s="48">
        <f>IF(OR($M2385="",$T2385=""),"",$T2385+(AC$2*$M2385))</f>
        <v/>
      </c>
      <c r="AD2385" s="48">
        <f>IF(OR($M2385="",$T2385=""),"",$T2385+(AD$2*$M2385))</f>
        <v/>
      </c>
      <c r="AE2385" s="49">
        <f>IF(OR($M2385="",$T2385=""),"",$T2385+(AE$2*$M2385))</f>
        <v/>
      </c>
      <c r="AF2385" s="52">
        <f>IF(OR(T2385="",I2385&lt;T2385),"",IFERROR(AVERAGE(T2385+M2385*{7,8,9,10,11})/IF(G2385="",I2385,G2385)-1,""))</f>
        <v/>
      </c>
      <c r="AG2385" s="55">
        <f>IF(OR(T2385="",I2385&lt;T2385),"",IFERROR(AF2385/-(R2385/IF(G2385="",I2385,G2385)-1),""))</f>
        <v/>
      </c>
      <c r="AH2385" s="94" t="n"/>
      <c r="AI2385" s="94" t="n"/>
      <c r="AJ2385" s="94" t="n"/>
      <c r="AK2385" s="94" t="n"/>
      <c r="AL2385" s="84" t="n"/>
    </row>
    <row r="2386">
      <c r="A2386" s="64" t="n"/>
      <c r="B2386" s="65" t="n"/>
      <c r="C2386" s="66" t="n"/>
      <c r="D2386" s="67" t="n"/>
      <c r="E2386" s="68" t="n"/>
      <c r="F2386" s="47">
        <f>IF(A2386="","",IF(MIN(H2386,MAX(J2386:K2386))=0,"",MIN(H2386,MAX(J2386:K2386))))</f>
        <v/>
      </c>
      <c r="G2386" s="74" t="n"/>
      <c r="H2386" s="49">
        <f>IF(M2386="","",IFERROR(ROUND(AVERAGE(T2386+M2386*{7,8,9,10,11})/1.21,4),""))</f>
        <v/>
      </c>
      <c r="I2386" s="76" t="n"/>
      <c r="J2386" s="77" t="n"/>
      <c r="K2386" s="74" t="n"/>
      <c r="L2386" s="78" t="n"/>
      <c r="M2386" s="77" t="n"/>
      <c r="N2386" s="53">
        <f>IF(M2386="","",IFERROR(M2386/I2386,""))</f>
        <v/>
      </c>
      <c r="O2386" s="50">
        <f>IF(A2386="","",IFERROR((IF(G2386="",I2386,G2386)-T2386)/M2386,""))</f>
        <v/>
      </c>
      <c r="P2386" s="50">
        <f>IFERROR((I2386/T2386-1)/N2386,"")</f>
        <v/>
      </c>
      <c r="Q2386" s="46">
        <f>IF(OR(T2386="",I2386&lt;T2386),"",IFERROR(R2386/IF(G2386="",I2386,G2386)-1,""))</f>
        <v/>
      </c>
      <c r="R2386" s="48">
        <f>IF($M2386="","",MAX(IF($G2386="",$I2386,$G2386)*(1/1.1),IF($G2386="",$I2386,$G2386)+(R$2*$M2386)))</f>
        <v/>
      </c>
      <c r="S2386" s="49">
        <f>IF($M2386="","",MAX(IF($G2386="",$I2386,$G2386)*(1/1.1),IF($G2386="",$I2386,$G2386)+(S$2*$M2386)))</f>
        <v/>
      </c>
      <c r="T2386" s="82" t="n"/>
      <c r="U2386" s="47">
        <f>IF(OR($M2386="",$T2386=""),"",$T2386+(U$2*$M2386))</f>
        <v/>
      </c>
      <c r="V2386" s="48">
        <f>IF(OR($M2386="",$T2386=""),"",$T2386+(V$2*$M2386))</f>
        <v/>
      </c>
      <c r="W2386" s="48">
        <f>IF(OR($M2386="",$T2386=""),"",$T2386+(W$2*$M2386))</f>
        <v/>
      </c>
      <c r="X2386" s="49">
        <f>IF(OR($M2386="",$T2386=""),"",$T2386+(X$2*$M2386))</f>
        <v/>
      </c>
      <c r="Y2386" s="47">
        <f>IF(OR($M2386="",$T2386=""),"",$T2386+(Y$2*$M2386))</f>
        <v/>
      </c>
      <c r="Z2386" s="49">
        <f>IF(OR($M2386="",$T2386=""),"",$T2386+(Z$2*$M2386))</f>
        <v/>
      </c>
      <c r="AA2386" s="51">
        <f>IF(OR($M2386="",$T2386=""),"",$T2386+(AA$2*$M2386))</f>
        <v/>
      </c>
      <c r="AB2386" s="48">
        <f>IF(OR($M2386="",$T2386=""),"",$T2386+(AB$2*$M2386))</f>
        <v/>
      </c>
      <c r="AC2386" s="48">
        <f>IF(OR($M2386="",$T2386=""),"",$T2386+(AC$2*$M2386))</f>
        <v/>
      </c>
      <c r="AD2386" s="48">
        <f>IF(OR($M2386="",$T2386=""),"",$T2386+(AD$2*$M2386))</f>
        <v/>
      </c>
      <c r="AE2386" s="49">
        <f>IF(OR($M2386="",$T2386=""),"",$T2386+(AE$2*$M2386))</f>
        <v/>
      </c>
      <c r="AF2386" s="52">
        <f>IF(OR(T2386="",I2386&lt;T2386),"",IFERROR(AVERAGE(T2386+M2386*{7,8,9,10,11})/IF(G2386="",I2386,G2386)-1,""))</f>
        <v/>
      </c>
      <c r="AG2386" s="55">
        <f>IF(OR(T2386="",I2386&lt;T2386),"",IFERROR(AF2386/-(R2386/IF(G2386="",I2386,G2386)-1),""))</f>
        <v/>
      </c>
      <c r="AH2386" s="94" t="n"/>
      <c r="AI2386" s="94" t="n"/>
      <c r="AJ2386" s="94" t="n"/>
      <c r="AK2386" s="94" t="n"/>
      <c r="AL2386" s="84" t="n"/>
    </row>
    <row r="2387">
      <c r="A2387" s="64" t="n"/>
      <c r="B2387" s="65" t="n"/>
      <c r="C2387" s="66" t="n"/>
      <c r="D2387" s="67" t="n"/>
      <c r="E2387" s="68" t="n"/>
      <c r="F2387" s="47">
        <f>IF(A2387="","",IF(MIN(H2387,MAX(J2387:K2387))=0,"",MIN(H2387,MAX(J2387:K2387))))</f>
        <v/>
      </c>
      <c r="G2387" s="74" t="n"/>
      <c r="H2387" s="49">
        <f>IF(M2387="","",IFERROR(ROUND(AVERAGE(T2387+M2387*{7,8,9,10,11})/1.21,4),""))</f>
        <v/>
      </c>
      <c r="I2387" s="76" t="n"/>
      <c r="J2387" s="77" t="n"/>
      <c r="K2387" s="74" t="n"/>
      <c r="L2387" s="78" t="n"/>
      <c r="M2387" s="77" t="n"/>
      <c r="N2387" s="53">
        <f>IF(M2387="","",IFERROR(M2387/I2387,""))</f>
        <v/>
      </c>
      <c r="O2387" s="50">
        <f>IF(A2387="","",IFERROR((IF(G2387="",I2387,G2387)-T2387)/M2387,""))</f>
        <v/>
      </c>
      <c r="P2387" s="50">
        <f>IFERROR((I2387/T2387-1)/N2387,"")</f>
        <v/>
      </c>
      <c r="Q2387" s="46">
        <f>IF(OR(T2387="",I2387&lt;T2387),"",IFERROR(R2387/IF(G2387="",I2387,G2387)-1,""))</f>
        <v/>
      </c>
      <c r="R2387" s="48">
        <f>IF($M2387="","",MAX(IF($G2387="",$I2387,$G2387)*(1/1.1),IF($G2387="",$I2387,$G2387)+(R$2*$M2387)))</f>
        <v/>
      </c>
      <c r="S2387" s="49">
        <f>IF($M2387="","",MAX(IF($G2387="",$I2387,$G2387)*(1/1.1),IF($G2387="",$I2387,$G2387)+(S$2*$M2387)))</f>
        <v/>
      </c>
      <c r="T2387" s="82" t="n"/>
      <c r="U2387" s="47">
        <f>IF(OR($M2387="",$T2387=""),"",$T2387+(U$2*$M2387))</f>
        <v/>
      </c>
      <c r="V2387" s="48">
        <f>IF(OR($M2387="",$T2387=""),"",$T2387+(V$2*$M2387))</f>
        <v/>
      </c>
      <c r="W2387" s="48">
        <f>IF(OR($M2387="",$T2387=""),"",$T2387+(W$2*$M2387))</f>
        <v/>
      </c>
      <c r="X2387" s="49">
        <f>IF(OR($M2387="",$T2387=""),"",$T2387+(X$2*$M2387))</f>
        <v/>
      </c>
      <c r="Y2387" s="47">
        <f>IF(OR($M2387="",$T2387=""),"",$T2387+(Y$2*$M2387))</f>
        <v/>
      </c>
      <c r="Z2387" s="49">
        <f>IF(OR($M2387="",$T2387=""),"",$T2387+(Z$2*$M2387))</f>
        <v/>
      </c>
      <c r="AA2387" s="51">
        <f>IF(OR($M2387="",$T2387=""),"",$T2387+(AA$2*$M2387))</f>
        <v/>
      </c>
      <c r="AB2387" s="48">
        <f>IF(OR($M2387="",$T2387=""),"",$T2387+(AB$2*$M2387))</f>
        <v/>
      </c>
      <c r="AC2387" s="48">
        <f>IF(OR($M2387="",$T2387=""),"",$T2387+(AC$2*$M2387))</f>
        <v/>
      </c>
      <c r="AD2387" s="48">
        <f>IF(OR($M2387="",$T2387=""),"",$T2387+(AD$2*$M2387))</f>
        <v/>
      </c>
      <c r="AE2387" s="49">
        <f>IF(OR($M2387="",$T2387=""),"",$T2387+(AE$2*$M2387))</f>
        <v/>
      </c>
      <c r="AF2387" s="52">
        <f>IF(OR(T2387="",I2387&lt;T2387),"",IFERROR(AVERAGE(T2387+M2387*{7,8,9,10,11})/IF(G2387="",I2387,G2387)-1,""))</f>
        <v/>
      </c>
      <c r="AG2387" s="55">
        <f>IF(OR(T2387="",I2387&lt;T2387),"",IFERROR(AF2387/-(R2387/IF(G2387="",I2387,G2387)-1),""))</f>
        <v/>
      </c>
      <c r="AH2387" s="94" t="n"/>
      <c r="AI2387" s="94" t="n"/>
      <c r="AJ2387" s="94" t="n"/>
      <c r="AK2387" s="94" t="n"/>
      <c r="AL2387" s="84" t="n"/>
    </row>
    <row r="2388">
      <c r="A2388" s="64" t="n"/>
      <c r="B2388" s="65" t="n"/>
      <c r="C2388" s="66" t="n"/>
      <c r="D2388" s="67" t="n"/>
      <c r="E2388" s="68" t="n"/>
      <c r="F2388" s="47">
        <f>IF(A2388="","",IF(MIN(H2388,MAX(J2388:K2388))=0,"",MIN(H2388,MAX(J2388:K2388))))</f>
        <v/>
      </c>
      <c r="G2388" s="74" t="n"/>
      <c r="H2388" s="49">
        <f>IF(M2388="","",IFERROR(ROUND(AVERAGE(T2388+M2388*{7,8,9,10,11})/1.21,4),""))</f>
        <v/>
      </c>
      <c r="I2388" s="76" t="n"/>
      <c r="J2388" s="77" t="n"/>
      <c r="K2388" s="74" t="n"/>
      <c r="L2388" s="78" t="n"/>
      <c r="M2388" s="77" t="n"/>
      <c r="N2388" s="53">
        <f>IF(M2388="","",IFERROR(M2388/I2388,""))</f>
        <v/>
      </c>
      <c r="O2388" s="50">
        <f>IF(A2388="","",IFERROR((IF(G2388="",I2388,G2388)-T2388)/M2388,""))</f>
        <v/>
      </c>
      <c r="P2388" s="50">
        <f>IFERROR((I2388/T2388-1)/N2388,"")</f>
        <v/>
      </c>
      <c r="Q2388" s="46">
        <f>IF(OR(T2388="",I2388&lt;T2388),"",IFERROR(R2388/IF(G2388="",I2388,G2388)-1,""))</f>
        <v/>
      </c>
      <c r="R2388" s="48">
        <f>IF($M2388="","",MAX(IF($G2388="",$I2388,$G2388)*(1/1.1),IF($G2388="",$I2388,$G2388)+(R$2*$M2388)))</f>
        <v/>
      </c>
      <c r="S2388" s="49">
        <f>IF($M2388="","",MAX(IF($G2388="",$I2388,$G2388)*(1/1.1),IF($G2388="",$I2388,$G2388)+(S$2*$M2388)))</f>
        <v/>
      </c>
      <c r="T2388" s="82" t="n"/>
      <c r="U2388" s="47">
        <f>IF(OR($M2388="",$T2388=""),"",$T2388+(U$2*$M2388))</f>
        <v/>
      </c>
      <c r="V2388" s="48">
        <f>IF(OR($M2388="",$T2388=""),"",$T2388+(V$2*$M2388))</f>
        <v/>
      </c>
      <c r="W2388" s="48">
        <f>IF(OR($M2388="",$T2388=""),"",$T2388+(W$2*$M2388))</f>
        <v/>
      </c>
      <c r="X2388" s="49">
        <f>IF(OR($M2388="",$T2388=""),"",$T2388+(X$2*$M2388))</f>
        <v/>
      </c>
      <c r="Y2388" s="47">
        <f>IF(OR($M2388="",$T2388=""),"",$T2388+(Y$2*$M2388))</f>
        <v/>
      </c>
      <c r="Z2388" s="49">
        <f>IF(OR($M2388="",$T2388=""),"",$T2388+(Z$2*$M2388))</f>
        <v/>
      </c>
      <c r="AA2388" s="51">
        <f>IF(OR($M2388="",$T2388=""),"",$T2388+(AA$2*$M2388))</f>
        <v/>
      </c>
      <c r="AB2388" s="48">
        <f>IF(OR($M2388="",$T2388=""),"",$T2388+(AB$2*$M2388))</f>
        <v/>
      </c>
      <c r="AC2388" s="48">
        <f>IF(OR($M2388="",$T2388=""),"",$T2388+(AC$2*$M2388))</f>
        <v/>
      </c>
      <c r="AD2388" s="48">
        <f>IF(OR($M2388="",$T2388=""),"",$T2388+(AD$2*$M2388))</f>
        <v/>
      </c>
      <c r="AE2388" s="49">
        <f>IF(OR($M2388="",$T2388=""),"",$T2388+(AE$2*$M2388))</f>
        <v/>
      </c>
      <c r="AF2388" s="52">
        <f>IF(OR(T2388="",I2388&lt;T2388),"",IFERROR(AVERAGE(T2388+M2388*{7,8,9,10,11})/IF(G2388="",I2388,G2388)-1,""))</f>
        <v/>
      </c>
      <c r="AG2388" s="55">
        <f>IF(OR(T2388="",I2388&lt;T2388),"",IFERROR(AF2388/-(R2388/IF(G2388="",I2388,G2388)-1),""))</f>
        <v/>
      </c>
      <c r="AH2388" s="94" t="n"/>
      <c r="AI2388" s="94" t="n"/>
      <c r="AJ2388" s="94" t="n"/>
      <c r="AK2388" s="94" t="n"/>
      <c r="AL2388" s="84" t="n"/>
    </row>
    <row r="2389">
      <c r="A2389" s="64" t="n"/>
      <c r="B2389" s="65" t="n"/>
      <c r="C2389" s="66" t="n"/>
      <c r="D2389" s="67" t="n"/>
      <c r="E2389" s="68" t="n"/>
      <c r="F2389" s="47">
        <f>IF(A2389="","",IF(MIN(H2389,MAX(J2389:K2389))=0,"",MIN(H2389,MAX(J2389:K2389))))</f>
        <v/>
      </c>
      <c r="G2389" s="74" t="n"/>
      <c r="H2389" s="49">
        <f>IF(M2389="","",IFERROR(ROUND(AVERAGE(T2389+M2389*{7,8,9,10,11})/1.21,4),""))</f>
        <v/>
      </c>
      <c r="I2389" s="76" t="n"/>
      <c r="J2389" s="77" t="n"/>
      <c r="K2389" s="74" t="n"/>
      <c r="L2389" s="78" t="n"/>
      <c r="M2389" s="77" t="n"/>
      <c r="N2389" s="53">
        <f>IF(M2389="","",IFERROR(M2389/I2389,""))</f>
        <v/>
      </c>
      <c r="O2389" s="50">
        <f>IF(A2389="","",IFERROR((IF(G2389="",I2389,G2389)-T2389)/M2389,""))</f>
        <v/>
      </c>
      <c r="P2389" s="50">
        <f>IFERROR((I2389/T2389-1)/N2389,"")</f>
        <v/>
      </c>
      <c r="Q2389" s="46">
        <f>IF(OR(T2389="",I2389&lt;T2389),"",IFERROR(R2389/IF(G2389="",I2389,G2389)-1,""))</f>
        <v/>
      </c>
      <c r="R2389" s="48">
        <f>IF($M2389="","",MAX(IF($G2389="",$I2389,$G2389)*(1/1.1),IF($G2389="",$I2389,$G2389)+(R$2*$M2389)))</f>
        <v/>
      </c>
      <c r="S2389" s="49">
        <f>IF($M2389="","",MAX(IF($G2389="",$I2389,$G2389)*(1/1.1),IF($G2389="",$I2389,$G2389)+(S$2*$M2389)))</f>
        <v/>
      </c>
      <c r="T2389" s="82" t="n"/>
      <c r="U2389" s="47">
        <f>IF(OR($M2389="",$T2389=""),"",$T2389+(U$2*$M2389))</f>
        <v/>
      </c>
      <c r="V2389" s="48">
        <f>IF(OR($M2389="",$T2389=""),"",$T2389+(V$2*$M2389))</f>
        <v/>
      </c>
      <c r="W2389" s="48">
        <f>IF(OR($M2389="",$T2389=""),"",$T2389+(W$2*$M2389))</f>
        <v/>
      </c>
      <c r="X2389" s="49">
        <f>IF(OR($M2389="",$T2389=""),"",$T2389+(X$2*$M2389))</f>
        <v/>
      </c>
      <c r="Y2389" s="47">
        <f>IF(OR($M2389="",$T2389=""),"",$T2389+(Y$2*$M2389))</f>
        <v/>
      </c>
      <c r="Z2389" s="49">
        <f>IF(OR($M2389="",$T2389=""),"",$T2389+(Z$2*$M2389))</f>
        <v/>
      </c>
      <c r="AA2389" s="51">
        <f>IF(OR($M2389="",$T2389=""),"",$T2389+(AA$2*$M2389))</f>
        <v/>
      </c>
      <c r="AB2389" s="48">
        <f>IF(OR($M2389="",$T2389=""),"",$T2389+(AB$2*$M2389))</f>
        <v/>
      </c>
      <c r="AC2389" s="48">
        <f>IF(OR($M2389="",$T2389=""),"",$T2389+(AC$2*$M2389))</f>
        <v/>
      </c>
      <c r="AD2389" s="48">
        <f>IF(OR($M2389="",$T2389=""),"",$T2389+(AD$2*$M2389))</f>
        <v/>
      </c>
      <c r="AE2389" s="49">
        <f>IF(OR($M2389="",$T2389=""),"",$T2389+(AE$2*$M2389))</f>
        <v/>
      </c>
      <c r="AF2389" s="52">
        <f>IF(OR(T2389="",I2389&lt;T2389),"",IFERROR(AVERAGE(T2389+M2389*{7,8,9,10,11})/IF(G2389="",I2389,G2389)-1,""))</f>
        <v/>
      </c>
      <c r="AG2389" s="55">
        <f>IF(OR(T2389="",I2389&lt;T2389),"",IFERROR(AF2389/-(R2389/IF(G2389="",I2389,G2389)-1),""))</f>
        <v/>
      </c>
      <c r="AH2389" s="94" t="n"/>
      <c r="AI2389" s="94" t="n"/>
      <c r="AJ2389" s="94" t="n"/>
      <c r="AK2389" s="94" t="n"/>
      <c r="AL2389" s="84" t="n"/>
    </row>
    <row r="2390">
      <c r="A2390" s="64" t="n"/>
      <c r="B2390" s="65" t="n"/>
      <c r="C2390" s="66" t="n"/>
      <c r="D2390" s="67" t="n"/>
      <c r="E2390" s="68" t="n"/>
      <c r="F2390" s="47">
        <f>IF(A2390="","",IF(MIN(H2390,MAX(J2390:K2390))=0,"",MIN(H2390,MAX(J2390:K2390))))</f>
        <v/>
      </c>
      <c r="G2390" s="74" t="n"/>
      <c r="H2390" s="49">
        <f>IF(M2390="","",IFERROR(ROUND(AVERAGE(T2390+M2390*{7,8,9,10,11})/1.21,4),""))</f>
        <v/>
      </c>
      <c r="I2390" s="76" t="n"/>
      <c r="J2390" s="77" t="n"/>
      <c r="K2390" s="74" t="n"/>
      <c r="L2390" s="78" t="n"/>
      <c r="M2390" s="77" t="n"/>
      <c r="N2390" s="53">
        <f>IF(M2390="","",IFERROR(M2390/I2390,""))</f>
        <v/>
      </c>
      <c r="O2390" s="50">
        <f>IF(A2390="","",IFERROR((IF(G2390="",I2390,G2390)-T2390)/M2390,""))</f>
        <v/>
      </c>
      <c r="P2390" s="50">
        <f>IFERROR((I2390/T2390-1)/N2390,"")</f>
        <v/>
      </c>
      <c r="Q2390" s="46">
        <f>IF(OR(T2390="",I2390&lt;T2390),"",IFERROR(R2390/IF(G2390="",I2390,G2390)-1,""))</f>
        <v/>
      </c>
      <c r="R2390" s="48">
        <f>IF($M2390="","",MAX(IF($G2390="",$I2390,$G2390)*(1/1.1),IF($G2390="",$I2390,$G2390)+(R$2*$M2390)))</f>
        <v/>
      </c>
      <c r="S2390" s="49">
        <f>IF($M2390="","",MAX(IF($G2390="",$I2390,$G2390)*(1/1.1),IF($G2390="",$I2390,$G2390)+(S$2*$M2390)))</f>
        <v/>
      </c>
      <c r="T2390" s="82" t="n"/>
      <c r="U2390" s="47">
        <f>IF(OR($M2390="",$T2390=""),"",$T2390+(U$2*$M2390))</f>
        <v/>
      </c>
      <c r="V2390" s="48">
        <f>IF(OR($M2390="",$T2390=""),"",$T2390+(V$2*$M2390))</f>
        <v/>
      </c>
      <c r="W2390" s="48">
        <f>IF(OR($M2390="",$T2390=""),"",$T2390+(W$2*$M2390))</f>
        <v/>
      </c>
      <c r="X2390" s="49">
        <f>IF(OR($M2390="",$T2390=""),"",$T2390+(X$2*$M2390))</f>
        <v/>
      </c>
      <c r="Y2390" s="47">
        <f>IF(OR($M2390="",$T2390=""),"",$T2390+(Y$2*$M2390))</f>
        <v/>
      </c>
      <c r="Z2390" s="49">
        <f>IF(OR($M2390="",$T2390=""),"",$T2390+(Z$2*$M2390))</f>
        <v/>
      </c>
      <c r="AA2390" s="51">
        <f>IF(OR($M2390="",$T2390=""),"",$T2390+(AA$2*$M2390))</f>
        <v/>
      </c>
      <c r="AB2390" s="48">
        <f>IF(OR($M2390="",$T2390=""),"",$T2390+(AB$2*$M2390))</f>
        <v/>
      </c>
      <c r="AC2390" s="48">
        <f>IF(OR($M2390="",$T2390=""),"",$T2390+(AC$2*$M2390))</f>
        <v/>
      </c>
      <c r="AD2390" s="48">
        <f>IF(OR($M2390="",$T2390=""),"",$T2390+(AD$2*$M2390))</f>
        <v/>
      </c>
      <c r="AE2390" s="49">
        <f>IF(OR($M2390="",$T2390=""),"",$T2390+(AE$2*$M2390))</f>
        <v/>
      </c>
      <c r="AF2390" s="52">
        <f>IF(OR(T2390="",I2390&lt;T2390),"",IFERROR(AVERAGE(T2390+M2390*{7,8,9,10,11})/IF(G2390="",I2390,G2390)-1,""))</f>
        <v/>
      </c>
      <c r="AG2390" s="55">
        <f>IF(OR(T2390="",I2390&lt;T2390),"",IFERROR(AF2390/-(R2390/IF(G2390="",I2390,G2390)-1),""))</f>
        <v/>
      </c>
      <c r="AH2390" s="94" t="n"/>
      <c r="AI2390" s="94" t="n"/>
      <c r="AJ2390" s="94" t="n"/>
      <c r="AK2390" s="94" t="n"/>
      <c r="AL2390" s="84" t="n"/>
    </row>
    <row r="2391">
      <c r="A2391" s="64" t="n"/>
      <c r="B2391" s="65" t="n"/>
      <c r="C2391" s="66" t="n"/>
      <c r="D2391" s="67" t="n"/>
      <c r="E2391" s="68" t="n"/>
      <c r="F2391" s="47">
        <f>IF(A2391="","",IF(MIN(H2391,MAX(J2391:K2391))=0,"",MIN(H2391,MAX(J2391:K2391))))</f>
        <v/>
      </c>
      <c r="G2391" s="74" t="n"/>
      <c r="H2391" s="49">
        <f>IF(M2391="","",IFERROR(ROUND(AVERAGE(T2391+M2391*{7,8,9,10,11})/1.21,4),""))</f>
        <v/>
      </c>
      <c r="I2391" s="76" t="n"/>
      <c r="J2391" s="77" t="n"/>
      <c r="K2391" s="74" t="n"/>
      <c r="L2391" s="78" t="n"/>
      <c r="M2391" s="77" t="n"/>
      <c r="N2391" s="53">
        <f>IF(M2391="","",IFERROR(M2391/I2391,""))</f>
        <v/>
      </c>
      <c r="O2391" s="50">
        <f>IF(A2391="","",IFERROR((IF(G2391="",I2391,G2391)-T2391)/M2391,""))</f>
        <v/>
      </c>
      <c r="P2391" s="50">
        <f>IFERROR((I2391/T2391-1)/N2391,"")</f>
        <v/>
      </c>
      <c r="Q2391" s="46">
        <f>IF(OR(T2391="",I2391&lt;T2391),"",IFERROR(R2391/IF(G2391="",I2391,G2391)-1,""))</f>
        <v/>
      </c>
      <c r="R2391" s="48">
        <f>IF($M2391="","",MAX(IF($G2391="",$I2391,$G2391)*(1/1.1),IF($G2391="",$I2391,$G2391)+(R$2*$M2391)))</f>
        <v/>
      </c>
      <c r="S2391" s="49">
        <f>IF($M2391="","",MAX(IF($G2391="",$I2391,$G2391)*(1/1.1),IF($G2391="",$I2391,$G2391)+(S$2*$M2391)))</f>
        <v/>
      </c>
      <c r="T2391" s="82" t="n"/>
      <c r="U2391" s="47">
        <f>IF(OR($M2391="",$T2391=""),"",$T2391+(U$2*$M2391))</f>
        <v/>
      </c>
      <c r="V2391" s="48">
        <f>IF(OR($M2391="",$T2391=""),"",$T2391+(V$2*$M2391))</f>
        <v/>
      </c>
      <c r="W2391" s="48">
        <f>IF(OR($M2391="",$T2391=""),"",$T2391+(W$2*$M2391))</f>
        <v/>
      </c>
      <c r="X2391" s="49">
        <f>IF(OR($M2391="",$T2391=""),"",$T2391+(X$2*$M2391))</f>
        <v/>
      </c>
      <c r="Y2391" s="47">
        <f>IF(OR($M2391="",$T2391=""),"",$T2391+(Y$2*$M2391))</f>
        <v/>
      </c>
      <c r="Z2391" s="49">
        <f>IF(OR($M2391="",$T2391=""),"",$T2391+(Z$2*$M2391))</f>
        <v/>
      </c>
      <c r="AA2391" s="51">
        <f>IF(OR($M2391="",$T2391=""),"",$T2391+(AA$2*$M2391))</f>
        <v/>
      </c>
      <c r="AB2391" s="48">
        <f>IF(OR($M2391="",$T2391=""),"",$T2391+(AB$2*$M2391))</f>
        <v/>
      </c>
      <c r="AC2391" s="48">
        <f>IF(OR($M2391="",$T2391=""),"",$T2391+(AC$2*$M2391))</f>
        <v/>
      </c>
      <c r="AD2391" s="48">
        <f>IF(OR($M2391="",$T2391=""),"",$T2391+(AD$2*$M2391))</f>
        <v/>
      </c>
      <c r="AE2391" s="49">
        <f>IF(OR($M2391="",$T2391=""),"",$T2391+(AE$2*$M2391))</f>
        <v/>
      </c>
      <c r="AF2391" s="52">
        <f>IF(OR(T2391="",I2391&lt;T2391),"",IFERROR(AVERAGE(T2391+M2391*{7,8,9,10,11})/IF(G2391="",I2391,G2391)-1,""))</f>
        <v/>
      </c>
      <c r="AG2391" s="55">
        <f>IF(OR(T2391="",I2391&lt;T2391),"",IFERROR(AF2391/-(R2391/IF(G2391="",I2391,G2391)-1),""))</f>
        <v/>
      </c>
      <c r="AH2391" s="94" t="n"/>
      <c r="AI2391" s="94" t="n"/>
      <c r="AJ2391" s="94" t="n"/>
      <c r="AK2391" s="94" t="n"/>
      <c r="AL2391" s="84" t="n"/>
    </row>
    <row r="2392">
      <c r="A2392" s="64" t="n"/>
      <c r="B2392" s="65" t="n"/>
      <c r="C2392" s="66" t="n"/>
      <c r="D2392" s="67" t="n"/>
      <c r="E2392" s="68" t="n"/>
      <c r="F2392" s="47">
        <f>IF(A2392="","",IF(MIN(H2392,MAX(J2392:K2392))=0,"",MIN(H2392,MAX(J2392:K2392))))</f>
        <v/>
      </c>
      <c r="G2392" s="74" t="n"/>
      <c r="H2392" s="49">
        <f>IF(M2392="","",IFERROR(ROUND(AVERAGE(T2392+M2392*{7,8,9,10,11})/1.21,4),""))</f>
        <v/>
      </c>
      <c r="I2392" s="76" t="n"/>
      <c r="J2392" s="77" t="n"/>
      <c r="K2392" s="74" t="n"/>
      <c r="L2392" s="78" t="n"/>
      <c r="M2392" s="77" t="n"/>
      <c r="N2392" s="53">
        <f>IF(M2392="","",IFERROR(M2392/I2392,""))</f>
        <v/>
      </c>
      <c r="O2392" s="50">
        <f>IF(A2392="","",IFERROR((IF(G2392="",I2392,G2392)-T2392)/M2392,""))</f>
        <v/>
      </c>
      <c r="P2392" s="50">
        <f>IFERROR((I2392/T2392-1)/N2392,"")</f>
        <v/>
      </c>
      <c r="Q2392" s="46">
        <f>IF(OR(T2392="",I2392&lt;T2392),"",IFERROR(R2392/IF(G2392="",I2392,G2392)-1,""))</f>
        <v/>
      </c>
      <c r="R2392" s="48">
        <f>IF($M2392="","",MAX(IF($G2392="",$I2392,$G2392)*(1/1.1),IF($G2392="",$I2392,$G2392)+(R$2*$M2392)))</f>
        <v/>
      </c>
      <c r="S2392" s="49">
        <f>IF($M2392="","",MAX(IF($G2392="",$I2392,$G2392)*(1/1.1),IF($G2392="",$I2392,$G2392)+(S$2*$M2392)))</f>
        <v/>
      </c>
      <c r="T2392" s="82" t="n"/>
      <c r="U2392" s="47">
        <f>IF(OR($M2392="",$T2392=""),"",$T2392+(U$2*$M2392))</f>
        <v/>
      </c>
      <c r="V2392" s="48">
        <f>IF(OR($M2392="",$T2392=""),"",$T2392+(V$2*$M2392))</f>
        <v/>
      </c>
      <c r="W2392" s="48">
        <f>IF(OR($M2392="",$T2392=""),"",$T2392+(W$2*$M2392))</f>
        <v/>
      </c>
      <c r="X2392" s="49">
        <f>IF(OR($M2392="",$T2392=""),"",$T2392+(X$2*$M2392))</f>
        <v/>
      </c>
      <c r="Y2392" s="47">
        <f>IF(OR($M2392="",$T2392=""),"",$T2392+(Y$2*$M2392))</f>
        <v/>
      </c>
      <c r="Z2392" s="49">
        <f>IF(OR($M2392="",$T2392=""),"",$T2392+(Z$2*$M2392))</f>
        <v/>
      </c>
      <c r="AA2392" s="51">
        <f>IF(OR($M2392="",$T2392=""),"",$T2392+(AA$2*$M2392))</f>
        <v/>
      </c>
      <c r="AB2392" s="48">
        <f>IF(OR($M2392="",$T2392=""),"",$T2392+(AB$2*$M2392))</f>
        <v/>
      </c>
      <c r="AC2392" s="48">
        <f>IF(OR($M2392="",$T2392=""),"",$T2392+(AC$2*$M2392))</f>
        <v/>
      </c>
      <c r="AD2392" s="48">
        <f>IF(OR($M2392="",$T2392=""),"",$T2392+(AD$2*$M2392))</f>
        <v/>
      </c>
      <c r="AE2392" s="49">
        <f>IF(OR($M2392="",$T2392=""),"",$T2392+(AE$2*$M2392))</f>
        <v/>
      </c>
      <c r="AF2392" s="52">
        <f>IF(OR(T2392="",I2392&lt;T2392),"",IFERROR(AVERAGE(T2392+M2392*{7,8,9,10,11})/IF(G2392="",I2392,G2392)-1,""))</f>
        <v/>
      </c>
      <c r="AG2392" s="55">
        <f>IF(OR(T2392="",I2392&lt;T2392),"",IFERROR(AF2392/-(R2392/IF(G2392="",I2392,G2392)-1),""))</f>
        <v/>
      </c>
      <c r="AH2392" s="94" t="n"/>
      <c r="AI2392" s="94" t="n"/>
      <c r="AJ2392" s="94" t="n"/>
      <c r="AK2392" s="94" t="n"/>
      <c r="AL2392" s="84" t="n"/>
    </row>
    <row r="2393">
      <c r="A2393" s="64" t="n"/>
      <c r="B2393" s="65" t="n"/>
      <c r="C2393" s="66" t="n"/>
      <c r="D2393" s="67" t="n"/>
      <c r="E2393" s="68" t="n"/>
      <c r="F2393" s="47">
        <f>IF(A2393="","",IF(MIN(H2393,MAX(J2393:K2393))=0,"",MIN(H2393,MAX(J2393:K2393))))</f>
        <v/>
      </c>
      <c r="G2393" s="74" t="n"/>
      <c r="H2393" s="49">
        <f>IF(M2393="","",IFERROR(ROUND(AVERAGE(T2393+M2393*{7,8,9,10,11})/1.21,4),""))</f>
        <v/>
      </c>
      <c r="I2393" s="76" t="n"/>
      <c r="J2393" s="77" t="n"/>
      <c r="K2393" s="74" t="n"/>
      <c r="L2393" s="78" t="n"/>
      <c r="M2393" s="77" t="n"/>
      <c r="N2393" s="53">
        <f>IF(M2393="","",IFERROR(M2393/I2393,""))</f>
        <v/>
      </c>
      <c r="O2393" s="50">
        <f>IF(A2393="","",IFERROR((IF(G2393="",I2393,G2393)-T2393)/M2393,""))</f>
        <v/>
      </c>
      <c r="P2393" s="50">
        <f>IFERROR((I2393/T2393-1)/N2393,"")</f>
        <v/>
      </c>
      <c r="Q2393" s="46">
        <f>IF(OR(T2393="",I2393&lt;T2393),"",IFERROR(R2393/IF(G2393="",I2393,G2393)-1,""))</f>
        <v/>
      </c>
      <c r="R2393" s="48">
        <f>IF($M2393="","",MAX(IF($G2393="",$I2393,$G2393)*(1/1.1),IF($G2393="",$I2393,$G2393)+(R$2*$M2393)))</f>
        <v/>
      </c>
      <c r="S2393" s="49">
        <f>IF($M2393="","",MAX(IF($G2393="",$I2393,$G2393)*(1/1.1),IF($G2393="",$I2393,$G2393)+(S$2*$M2393)))</f>
        <v/>
      </c>
      <c r="T2393" s="82" t="n"/>
      <c r="U2393" s="47">
        <f>IF(OR($M2393="",$T2393=""),"",$T2393+(U$2*$M2393))</f>
        <v/>
      </c>
      <c r="V2393" s="48">
        <f>IF(OR($M2393="",$T2393=""),"",$T2393+(V$2*$M2393))</f>
        <v/>
      </c>
      <c r="W2393" s="48">
        <f>IF(OR($M2393="",$T2393=""),"",$T2393+(W$2*$M2393))</f>
        <v/>
      </c>
      <c r="X2393" s="49">
        <f>IF(OR($M2393="",$T2393=""),"",$T2393+(X$2*$M2393))</f>
        <v/>
      </c>
      <c r="Y2393" s="47">
        <f>IF(OR($M2393="",$T2393=""),"",$T2393+(Y$2*$M2393))</f>
        <v/>
      </c>
      <c r="Z2393" s="49">
        <f>IF(OR($M2393="",$T2393=""),"",$T2393+(Z$2*$M2393))</f>
        <v/>
      </c>
      <c r="AA2393" s="51">
        <f>IF(OR($M2393="",$T2393=""),"",$T2393+(AA$2*$M2393))</f>
        <v/>
      </c>
      <c r="AB2393" s="48">
        <f>IF(OR($M2393="",$T2393=""),"",$T2393+(AB$2*$M2393))</f>
        <v/>
      </c>
      <c r="AC2393" s="48">
        <f>IF(OR($M2393="",$T2393=""),"",$T2393+(AC$2*$M2393))</f>
        <v/>
      </c>
      <c r="AD2393" s="48">
        <f>IF(OR($M2393="",$T2393=""),"",$T2393+(AD$2*$M2393))</f>
        <v/>
      </c>
      <c r="AE2393" s="49">
        <f>IF(OR($M2393="",$T2393=""),"",$T2393+(AE$2*$M2393))</f>
        <v/>
      </c>
      <c r="AF2393" s="52">
        <f>IF(OR(T2393="",I2393&lt;T2393),"",IFERROR(AVERAGE(T2393+M2393*{7,8,9,10,11})/IF(G2393="",I2393,G2393)-1,""))</f>
        <v/>
      </c>
      <c r="AG2393" s="55">
        <f>IF(OR(T2393="",I2393&lt;T2393),"",IFERROR(AF2393/-(R2393/IF(G2393="",I2393,G2393)-1),""))</f>
        <v/>
      </c>
      <c r="AH2393" s="94" t="n"/>
      <c r="AI2393" s="94" t="n"/>
      <c r="AJ2393" s="94" t="n"/>
      <c r="AK2393" s="94" t="n"/>
      <c r="AL2393" s="84" t="n"/>
    </row>
    <row r="2394">
      <c r="A2394" s="64" t="n"/>
      <c r="B2394" s="65" t="n"/>
      <c r="C2394" s="66" t="n"/>
      <c r="D2394" s="67" t="n"/>
      <c r="E2394" s="68" t="n"/>
      <c r="F2394" s="47">
        <f>IF(A2394="","",IF(MIN(H2394,MAX(J2394:K2394))=0,"",MIN(H2394,MAX(J2394:K2394))))</f>
        <v/>
      </c>
      <c r="G2394" s="74" t="n"/>
      <c r="H2394" s="49">
        <f>IF(M2394="","",IFERROR(ROUND(AVERAGE(T2394+M2394*{7,8,9,10,11})/1.21,4),""))</f>
        <v/>
      </c>
      <c r="I2394" s="76" t="n"/>
      <c r="J2394" s="77" t="n"/>
      <c r="K2394" s="74" t="n"/>
      <c r="L2394" s="78" t="n"/>
      <c r="M2394" s="77" t="n"/>
      <c r="N2394" s="53">
        <f>IF(M2394="","",IFERROR(M2394/I2394,""))</f>
        <v/>
      </c>
      <c r="O2394" s="50">
        <f>IF(A2394="","",IFERROR((IF(G2394="",I2394,G2394)-T2394)/M2394,""))</f>
        <v/>
      </c>
      <c r="P2394" s="50">
        <f>IFERROR((I2394/T2394-1)/N2394,"")</f>
        <v/>
      </c>
      <c r="Q2394" s="46">
        <f>IF(OR(T2394="",I2394&lt;T2394),"",IFERROR(R2394/IF(G2394="",I2394,G2394)-1,""))</f>
        <v/>
      </c>
      <c r="R2394" s="48">
        <f>IF($M2394="","",MAX(IF($G2394="",$I2394,$G2394)*(1/1.1),IF($G2394="",$I2394,$G2394)+(R$2*$M2394)))</f>
        <v/>
      </c>
      <c r="S2394" s="49">
        <f>IF($M2394="","",MAX(IF($G2394="",$I2394,$G2394)*(1/1.1),IF($G2394="",$I2394,$G2394)+(S$2*$M2394)))</f>
        <v/>
      </c>
      <c r="T2394" s="82" t="n"/>
      <c r="U2394" s="47">
        <f>IF(OR($M2394="",$T2394=""),"",$T2394+(U$2*$M2394))</f>
        <v/>
      </c>
      <c r="V2394" s="48">
        <f>IF(OR($M2394="",$T2394=""),"",$T2394+(V$2*$M2394))</f>
        <v/>
      </c>
      <c r="W2394" s="48">
        <f>IF(OR($M2394="",$T2394=""),"",$T2394+(W$2*$M2394))</f>
        <v/>
      </c>
      <c r="X2394" s="49">
        <f>IF(OR($M2394="",$T2394=""),"",$T2394+(X$2*$M2394))</f>
        <v/>
      </c>
      <c r="Y2394" s="47">
        <f>IF(OR($M2394="",$T2394=""),"",$T2394+(Y$2*$M2394))</f>
        <v/>
      </c>
      <c r="Z2394" s="49">
        <f>IF(OR($M2394="",$T2394=""),"",$T2394+(Z$2*$M2394))</f>
        <v/>
      </c>
      <c r="AA2394" s="51">
        <f>IF(OR($M2394="",$T2394=""),"",$T2394+(AA$2*$M2394))</f>
        <v/>
      </c>
      <c r="AB2394" s="48">
        <f>IF(OR($M2394="",$T2394=""),"",$T2394+(AB$2*$M2394))</f>
        <v/>
      </c>
      <c r="AC2394" s="48">
        <f>IF(OR($M2394="",$T2394=""),"",$T2394+(AC$2*$M2394))</f>
        <v/>
      </c>
      <c r="AD2394" s="48">
        <f>IF(OR($M2394="",$T2394=""),"",$T2394+(AD$2*$M2394))</f>
        <v/>
      </c>
      <c r="AE2394" s="49">
        <f>IF(OR($M2394="",$T2394=""),"",$T2394+(AE$2*$M2394))</f>
        <v/>
      </c>
      <c r="AF2394" s="52">
        <f>IF(OR(T2394="",I2394&lt;T2394),"",IFERROR(AVERAGE(T2394+M2394*{7,8,9,10,11})/IF(G2394="",I2394,G2394)-1,""))</f>
        <v/>
      </c>
      <c r="AG2394" s="55">
        <f>IF(OR(T2394="",I2394&lt;T2394),"",IFERROR(AF2394/-(R2394/IF(G2394="",I2394,G2394)-1),""))</f>
        <v/>
      </c>
      <c r="AH2394" s="94" t="n"/>
      <c r="AI2394" s="94" t="n"/>
      <c r="AJ2394" s="94" t="n"/>
      <c r="AK2394" s="94" t="n"/>
      <c r="AL2394" s="84" t="n"/>
    </row>
    <row r="2395">
      <c r="A2395" s="64" t="n"/>
      <c r="B2395" s="65" t="n"/>
      <c r="C2395" s="66" t="n"/>
      <c r="D2395" s="67" t="n"/>
      <c r="E2395" s="68" t="n"/>
      <c r="F2395" s="47">
        <f>IF(A2395="","",IF(MIN(H2395,MAX(J2395:K2395))=0,"",MIN(H2395,MAX(J2395:K2395))))</f>
        <v/>
      </c>
      <c r="G2395" s="74" t="n"/>
      <c r="H2395" s="49">
        <f>IF(M2395="","",IFERROR(ROUND(AVERAGE(T2395+M2395*{7,8,9,10,11})/1.21,4),""))</f>
        <v/>
      </c>
      <c r="I2395" s="76" t="n"/>
      <c r="J2395" s="77" t="n"/>
      <c r="K2395" s="74" t="n"/>
      <c r="L2395" s="78" t="n"/>
      <c r="M2395" s="77" t="n"/>
      <c r="N2395" s="53">
        <f>IF(M2395="","",IFERROR(M2395/I2395,""))</f>
        <v/>
      </c>
      <c r="O2395" s="50">
        <f>IF(A2395="","",IFERROR((IF(G2395="",I2395,G2395)-T2395)/M2395,""))</f>
        <v/>
      </c>
      <c r="P2395" s="50">
        <f>IFERROR((I2395/T2395-1)/N2395,"")</f>
        <v/>
      </c>
      <c r="Q2395" s="46">
        <f>IF(OR(T2395="",I2395&lt;T2395),"",IFERROR(R2395/IF(G2395="",I2395,G2395)-1,""))</f>
        <v/>
      </c>
      <c r="R2395" s="48">
        <f>IF($M2395="","",MAX(IF($G2395="",$I2395,$G2395)*(1/1.1),IF($G2395="",$I2395,$G2395)+(R$2*$M2395)))</f>
        <v/>
      </c>
      <c r="S2395" s="49">
        <f>IF($M2395="","",MAX(IF($G2395="",$I2395,$G2395)*(1/1.1),IF($G2395="",$I2395,$G2395)+(S$2*$M2395)))</f>
        <v/>
      </c>
      <c r="T2395" s="82" t="n"/>
      <c r="U2395" s="47">
        <f>IF(OR($M2395="",$T2395=""),"",$T2395+(U$2*$M2395))</f>
        <v/>
      </c>
      <c r="V2395" s="48">
        <f>IF(OR($M2395="",$T2395=""),"",$T2395+(V$2*$M2395))</f>
        <v/>
      </c>
      <c r="W2395" s="48">
        <f>IF(OR($M2395="",$T2395=""),"",$T2395+(W$2*$M2395))</f>
        <v/>
      </c>
      <c r="X2395" s="49">
        <f>IF(OR($M2395="",$T2395=""),"",$T2395+(X$2*$M2395))</f>
        <v/>
      </c>
      <c r="Y2395" s="47">
        <f>IF(OR($M2395="",$T2395=""),"",$T2395+(Y$2*$M2395))</f>
        <v/>
      </c>
      <c r="Z2395" s="49">
        <f>IF(OR($M2395="",$T2395=""),"",$T2395+(Z$2*$M2395))</f>
        <v/>
      </c>
      <c r="AA2395" s="51">
        <f>IF(OR($M2395="",$T2395=""),"",$T2395+(AA$2*$M2395))</f>
        <v/>
      </c>
      <c r="AB2395" s="48">
        <f>IF(OR($M2395="",$T2395=""),"",$T2395+(AB$2*$M2395))</f>
        <v/>
      </c>
      <c r="AC2395" s="48">
        <f>IF(OR($M2395="",$T2395=""),"",$T2395+(AC$2*$M2395))</f>
        <v/>
      </c>
      <c r="AD2395" s="48">
        <f>IF(OR($M2395="",$T2395=""),"",$T2395+(AD$2*$M2395))</f>
        <v/>
      </c>
      <c r="AE2395" s="49">
        <f>IF(OR($M2395="",$T2395=""),"",$T2395+(AE$2*$M2395))</f>
        <v/>
      </c>
      <c r="AF2395" s="52">
        <f>IF(OR(T2395="",I2395&lt;T2395),"",IFERROR(AVERAGE(T2395+M2395*{7,8,9,10,11})/IF(G2395="",I2395,G2395)-1,""))</f>
        <v/>
      </c>
      <c r="AG2395" s="55">
        <f>IF(OR(T2395="",I2395&lt;T2395),"",IFERROR(AF2395/-(R2395/IF(G2395="",I2395,G2395)-1),""))</f>
        <v/>
      </c>
      <c r="AH2395" s="94" t="n"/>
      <c r="AI2395" s="94" t="n"/>
      <c r="AJ2395" s="94" t="n"/>
      <c r="AK2395" s="94" t="n"/>
      <c r="AL2395" s="84" t="n"/>
    </row>
    <row r="2396">
      <c r="A2396" s="64" t="n"/>
      <c r="B2396" s="65" t="n"/>
      <c r="C2396" s="66" t="n"/>
      <c r="D2396" s="67" t="n"/>
      <c r="E2396" s="68" t="n"/>
      <c r="F2396" s="47">
        <f>IF(A2396="","",IF(MIN(H2396,MAX(J2396:K2396))=0,"",MIN(H2396,MAX(J2396:K2396))))</f>
        <v/>
      </c>
      <c r="G2396" s="74" t="n"/>
      <c r="H2396" s="49">
        <f>IF(M2396="","",IFERROR(ROUND(AVERAGE(T2396+M2396*{7,8,9,10,11})/1.21,4),""))</f>
        <v/>
      </c>
      <c r="I2396" s="76" t="n"/>
      <c r="J2396" s="77" t="n"/>
      <c r="K2396" s="74" t="n"/>
      <c r="L2396" s="78" t="n"/>
      <c r="M2396" s="77" t="n"/>
      <c r="N2396" s="53">
        <f>IF(M2396="","",IFERROR(M2396/I2396,""))</f>
        <v/>
      </c>
      <c r="O2396" s="50">
        <f>IF(A2396="","",IFERROR((IF(G2396="",I2396,G2396)-T2396)/M2396,""))</f>
        <v/>
      </c>
      <c r="P2396" s="50">
        <f>IFERROR((I2396/T2396-1)/N2396,"")</f>
        <v/>
      </c>
      <c r="Q2396" s="46">
        <f>IF(OR(T2396="",I2396&lt;T2396),"",IFERROR(R2396/IF(G2396="",I2396,G2396)-1,""))</f>
        <v/>
      </c>
      <c r="R2396" s="48">
        <f>IF($M2396="","",MAX(IF($G2396="",$I2396,$G2396)*(1/1.1),IF($G2396="",$I2396,$G2396)+(R$2*$M2396)))</f>
        <v/>
      </c>
      <c r="S2396" s="49">
        <f>IF($M2396="","",MAX(IF($G2396="",$I2396,$G2396)*(1/1.1),IF($G2396="",$I2396,$G2396)+(S$2*$M2396)))</f>
        <v/>
      </c>
      <c r="T2396" s="82" t="n"/>
      <c r="U2396" s="47">
        <f>IF(OR($M2396="",$T2396=""),"",$T2396+(U$2*$M2396))</f>
        <v/>
      </c>
      <c r="V2396" s="48">
        <f>IF(OR($M2396="",$T2396=""),"",$T2396+(V$2*$M2396))</f>
        <v/>
      </c>
      <c r="W2396" s="48">
        <f>IF(OR($M2396="",$T2396=""),"",$T2396+(W$2*$M2396))</f>
        <v/>
      </c>
      <c r="X2396" s="49">
        <f>IF(OR($M2396="",$T2396=""),"",$T2396+(X$2*$M2396))</f>
        <v/>
      </c>
      <c r="Y2396" s="47">
        <f>IF(OR($M2396="",$T2396=""),"",$T2396+(Y$2*$M2396))</f>
        <v/>
      </c>
      <c r="Z2396" s="49">
        <f>IF(OR($M2396="",$T2396=""),"",$T2396+(Z$2*$M2396))</f>
        <v/>
      </c>
      <c r="AA2396" s="51">
        <f>IF(OR($M2396="",$T2396=""),"",$T2396+(AA$2*$M2396))</f>
        <v/>
      </c>
      <c r="AB2396" s="48">
        <f>IF(OR($M2396="",$T2396=""),"",$T2396+(AB$2*$M2396))</f>
        <v/>
      </c>
      <c r="AC2396" s="48">
        <f>IF(OR($M2396="",$T2396=""),"",$T2396+(AC$2*$M2396))</f>
        <v/>
      </c>
      <c r="AD2396" s="48">
        <f>IF(OR($M2396="",$T2396=""),"",$T2396+(AD$2*$M2396))</f>
        <v/>
      </c>
      <c r="AE2396" s="49">
        <f>IF(OR($M2396="",$T2396=""),"",$T2396+(AE$2*$M2396))</f>
        <v/>
      </c>
      <c r="AF2396" s="52">
        <f>IF(OR(T2396="",I2396&lt;T2396),"",IFERROR(AVERAGE(T2396+M2396*{7,8,9,10,11})/IF(G2396="",I2396,G2396)-1,""))</f>
        <v/>
      </c>
      <c r="AG2396" s="55">
        <f>IF(OR(T2396="",I2396&lt;T2396),"",IFERROR(AF2396/-(R2396/IF(G2396="",I2396,G2396)-1),""))</f>
        <v/>
      </c>
      <c r="AH2396" s="94" t="n"/>
      <c r="AI2396" s="94" t="n"/>
      <c r="AJ2396" s="94" t="n"/>
      <c r="AK2396" s="94" t="n"/>
      <c r="AL2396" s="84" t="n"/>
    </row>
    <row r="2397">
      <c r="A2397" s="64" t="n"/>
      <c r="B2397" s="65" t="n"/>
      <c r="C2397" s="66" t="n"/>
      <c r="D2397" s="67" t="n"/>
      <c r="E2397" s="68" t="n"/>
      <c r="F2397" s="47">
        <f>IF(A2397="","",IF(MIN(H2397,MAX(J2397:K2397))=0,"",MIN(H2397,MAX(J2397:K2397))))</f>
        <v/>
      </c>
      <c r="G2397" s="74" t="n"/>
      <c r="H2397" s="49">
        <f>IF(M2397="","",IFERROR(ROUND(AVERAGE(T2397+M2397*{7,8,9,10,11})/1.21,4),""))</f>
        <v/>
      </c>
      <c r="I2397" s="76" t="n"/>
      <c r="J2397" s="77" t="n"/>
      <c r="K2397" s="74" t="n"/>
      <c r="L2397" s="78" t="n"/>
      <c r="M2397" s="77" t="n"/>
      <c r="N2397" s="53">
        <f>IF(M2397="","",IFERROR(M2397/I2397,""))</f>
        <v/>
      </c>
      <c r="O2397" s="50">
        <f>IF(A2397="","",IFERROR((IF(G2397="",I2397,G2397)-T2397)/M2397,""))</f>
        <v/>
      </c>
      <c r="P2397" s="50">
        <f>IFERROR((I2397/T2397-1)/N2397,"")</f>
        <v/>
      </c>
      <c r="Q2397" s="46">
        <f>IF(OR(T2397="",I2397&lt;T2397),"",IFERROR(R2397/IF(G2397="",I2397,G2397)-1,""))</f>
        <v/>
      </c>
      <c r="R2397" s="48">
        <f>IF($M2397="","",MAX(IF($G2397="",$I2397,$G2397)*(1/1.1),IF($G2397="",$I2397,$G2397)+(R$2*$M2397)))</f>
        <v/>
      </c>
      <c r="S2397" s="49">
        <f>IF($M2397="","",MAX(IF($G2397="",$I2397,$G2397)*(1/1.1),IF($G2397="",$I2397,$G2397)+(S$2*$M2397)))</f>
        <v/>
      </c>
      <c r="T2397" s="82" t="n"/>
      <c r="U2397" s="47">
        <f>IF(OR($M2397="",$T2397=""),"",$T2397+(U$2*$M2397))</f>
        <v/>
      </c>
      <c r="V2397" s="48">
        <f>IF(OR($M2397="",$T2397=""),"",$T2397+(V$2*$M2397))</f>
        <v/>
      </c>
      <c r="W2397" s="48">
        <f>IF(OR($M2397="",$T2397=""),"",$T2397+(W$2*$M2397))</f>
        <v/>
      </c>
      <c r="X2397" s="49">
        <f>IF(OR($M2397="",$T2397=""),"",$T2397+(X$2*$M2397))</f>
        <v/>
      </c>
      <c r="Y2397" s="47">
        <f>IF(OR($M2397="",$T2397=""),"",$T2397+(Y$2*$M2397))</f>
        <v/>
      </c>
      <c r="Z2397" s="49">
        <f>IF(OR($M2397="",$T2397=""),"",$T2397+(Z$2*$M2397))</f>
        <v/>
      </c>
      <c r="AA2397" s="51">
        <f>IF(OR($M2397="",$T2397=""),"",$T2397+(AA$2*$M2397))</f>
        <v/>
      </c>
      <c r="AB2397" s="48">
        <f>IF(OR($M2397="",$T2397=""),"",$T2397+(AB$2*$M2397))</f>
        <v/>
      </c>
      <c r="AC2397" s="48">
        <f>IF(OR($M2397="",$T2397=""),"",$T2397+(AC$2*$M2397))</f>
        <v/>
      </c>
      <c r="AD2397" s="48">
        <f>IF(OR($M2397="",$T2397=""),"",$T2397+(AD$2*$M2397))</f>
        <v/>
      </c>
      <c r="AE2397" s="49">
        <f>IF(OR($M2397="",$T2397=""),"",$T2397+(AE$2*$M2397))</f>
        <v/>
      </c>
      <c r="AF2397" s="52">
        <f>IF(OR(T2397="",I2397&lt;T2397),"",IFERROR(AVERAGE(T2397+M2397*{7,8,9,10,11})/IF(G2397="",I2397,G2397)-1,""))</f>
        <v/>
      </c>
      <c r="AG2397" s="55">
        <f>IF(OR(T2397="",I2397&lt;T2397),"",IFERROR(AF2397/-(R2397/IF(G2397="",I2397,G2397)-1),""))</f>
        <v/>
      </c>
      <c r="AH2397" s="94" t="n"/>
      <c r="AI2397" s="94" t="n"/>
      <c r="AJ2397" s="94" t="n"/>
      <c r="AK2397" s="94" t="n"/>
      <c r="AL2397" s="84" t="n"/>
    </row>
    <row r="2398">
      <c r="A2398" s="64" t="n"/>
      <c r="B2398" s="65" t="n"/>
      <c r="C2398" s="66" t="n"/>
      <c r="D2398" s="67" t="n"/>
      <c r="E2398" s="68" t="n"/>
      <c r="F2398" s="47">
        <f>IF(A2398="","",IF(MIN(H2398,MAX(J2398:K2398))=0,"",MIN(H2398,MAX(J2398:K2398))))</f>
        <v/>
      </c>
      <c r="G2398" s="74" t="n"/>
      <c r="H2398" s="49">
        <f>IF(M2398="","",IFERROR(ROUND(AVERAGE(T2398+M2398*{7,8,9,10,11})/1.21,4),""))</f>
        <v/>
      </c>
      <c r="I2398" s="76" t="n"/>
      <c r="J2398" s="77" t="n"/>
      <c r="K2398" s="74" t="n"/>
      <c r="L2398" s="78" t="n"/>
      <c r="M2398" s="77" t="n"/>
      <c r="N2398" s="53">
        <f>IF(M2398="","",IFERROR(M2398/I2398,""))</f>
        <v/>
      </c>
      <c r="O2398" s="50">
        <f>IF(A2398="","",IFERROR((IF(G2398="",I2398,G2398)-T2398)/M2398,""))</f>
        <v/>
      </c>
      <c r="P2398" s="50">
        <f>IFERROR((I2398/T2398-1)/N2398,"")</f>
        <v/>
      </c>
      <c r="Q2398" s="46">
        <f>IF(OR(T2398="",I2398&lt;T2398),"",IFERROR(R2398/IF(G2398="",I2398,G2398)-1,""))</f>
        <v/>
      </c>
      <c r="R2398" s="48">
        <f>IF($M2398="","",MAX(IF($G2398="",$I2398,$G2398)*(1/1.1),IF($G2398="",$I2398,$G2398)+(R$2*$M2398)))</f>
        <v/>
      </c>
      <c r="S2398" s="49">
        <f>IF($M2398="","",MAX(IF($G2398="",$I2398,$G2398)*(1/1.1),IF($G2398="",$I2398,$G2398)+(S$2*$M2398)))</f>
        <v/>
      </c>
      <c r="T2398" s="82" t="n"/>
      <c r="U2398" s="47">
        <f>IF(OR($M2398="",$T2398=""),"",$T2398+(U$2*$M2398))</f>
        <v/>
      </c>
      <c r="V2398" s="48">
        <f>IF(OR($M2398="",$T2398=""),"",$T2398+(V$2*$M2398))</f>
        <v/>
      </c>
      <c r="W2398" s="48">
        <f>IF(OR($M2398="",$T2398=""),"",$T2398+(W$2*$M2398))</f>
        <v/>
      </c>
      <c r="X2398" s="49">
        <f>IF(OR($M2398="",$T2398=""),"",$T2398+(X$2*$M2398))</f>
        <v/>
      </c>
      <c r="Y2398" s="47">
        <f>IF(OR($M2398="",$T2398=""),"",$T2398+(Y$2*$M2398))</f>
        <v/>
      </c>
      <c r="Z2398" s="49">
        <f>IF(OR($M2398="",$T2398=""),"",$T2398+(Z$2*$M2398))</f>
        <v/>
      </c>
      <c r="AA2398" s="51">
        <f>IF(OR($M2398="",$T2398=""),"",$T2398+(AA$2*$M2398))</f>
        <v/>
      </c>
      <c r="AB2398" s="48">
        <f>IF(OR($M2398="",$T2398=""),"",$T2398+(AB$2*$M2398))</f>
        <v/>
      </c>
      <c r="AC2398" s="48">
        <f>IF(OR($M2398="",$T2398=""),"",$T2398+(AC$2*$M2398))</f>
        <v/>
      </c>
      <c r="AD2398" s="48">
        <f>IF(OR($M2398="",$T2398=""),"",$T2398+(AD$2*$M2398))</f>
        <v/>
      </c>
      <c r="AE2398" s="49">
        <f>IF(OR($M2398="",$T2398=""),"",$T2398+(AE$2*$M2398))</f>
        <v/>
      </c>
      <c r="AF2398" s="52">
        <f>IF(OR(T2398="",I2398&lt;T2398),"",IFERROR(AVERAGE(T2398+M2398*{7,8,9,10,11})/IF(G2398="",I2398,G2398)-1,""))</f>
        <v/>
      </c>
      <c r="AG2398" s="55">
        <f>IF(OR(T2398="",I2398&lt;T2398),"",IFERROR(AF2398/-(R2398/IF(G2398="",I2398,G2398)-1),""))</f>
        <v/>
      </c>
      <c r="AH2398" s="94" t="n"/>
      <c r="AI2398" s="94" t="n"/>
      <c r="AJ2398" s="94" t="n"/>
      <c r="AK2398" s="94" t="n"/>
      <c r="AL2398" s="84" t="n"/>
    </row>
    <row r="2399">
      <c r="A2399" s="64" t="n"/>
      <c r="B2399" s="65" t="n"/>
      <c r="C2399" s="66" t="n"/>
      <c r="D2399" s="67" t="n"/>
      <c r="E2399" s="68" t="n"/>
      <c r="F2399" s="47">
        <f>IF(A2399="","",IF(MIN(H2399,MAX(J2399:K2399))=0,"",MIN(H2399,MAX(J2399:K2399))))</f>
        <v/>
      </c>
      <c r="G2399" s="74" t="n"/>
      <c r="H2399" s="49">
        <f>IF(M2399="","",IFERROR(ROUND(AVERAGE(T2399+M2399*{7,8,9,10,11})/1.21,4),""))</f>
        <v/>
      </c>
      <c r="I2399" s="76" t="n"/>
      <c r="J2399" s="77" t="n"/>
      <c r="K2399" s="74" t="n"/>
      <c r="L2399" s="78" t="n"/>
      <c r="M2399" s="77" t="n"/>
      <c r="N2399" s="53">
        <f>IF(M2399="","",IFERROR(M2399/I2399,""))</f>
        <v/>
      </c>
      <c r="O2399" s="50">
        <f>IF(A2399="","",IFERROR((IF(G2399="",I2399,G2399)-T2399)/M2399,""))</f>
        <v/>
      </c>
      <c r="P2399" s="50">
        <f>IFERROR((I2399/T2399-1)/N2399,"")</f>
        <v/>
      </c>
      <c r="Q2399" s="46">
        <f>IF(OR(T2399="",I2399&lt;T2399),"",IFERROR(R2399/IF(G2399="",I2399,G2399)-1,""))</f>
        <v/>
      </c>
      <c r="R2399" s="48">
        <f>IF($M2399="","",MAX(IF($G2399="",$I2399,$G2399)*(1/1.1),IF($G2399="",$I2399,$G2399)+(R$2*$M2399)))</f>
        <v/>
      </c>
      <c r="S2399" s="49">
        <f>IF($M2399="","",MAX(IF($G2399="",$I2399,$G2399)*(1/1.1),IF($G2399="",$I2399,$G2399)+(S$2*$M2399)))</f>
        <v/>
      </c>
      <c r="T2399" s="82" t="n"/>
      <c r="U2399" s="47">
        <f>IF(OR($M2399="",$T2399=""),"",$T2399+(U$2*$M2399))</f>
        <v/>
      </c>
      <c r="V2399" s="48">
        <f>IF(OR($M2399="",$T2399=""),"",$T2399+(V$2*$M2399))</f>
        <v/>
      </c>
      <c r="W2399" s="48">
        <f>IF(OR($M2399="",$T2399=""),"",$T2399+(W$2*$M2399))</f>
        <v/>
      </c>
      <c r="X2399" s="49">
        <f>IF(OR($M2399="",$T2399=""),"",$T2399+(X$2*$M2399))</f>
        <v/>
      </c>
      <c r="Y2399" s="47">
        <f>IF(OR($M2399="",$T2399=""),"",$T2399+(Y$2*$M2399))</f>
        <v/>
      </c>
      <c r="Z2399" s="49">
        <f>IF(OR($M2399="",$T2399=""),"",$T2399+(Z$2*$M2399))</f>
        <v/>
      </c>
      <c r="AA2399" s="51">
        <f>IF(OR($M2399="",$T2399=""),"",$T2399+(AA$2*$M2399))</f>
        <v/>
      </c>
      <c r="AB2399" s="48">
        <f>IF(OR($M2399="",$T2399=""),"",$T2399+(AB$2*$M2399))</f>
        <v/>
      </c>
      <c r="AC2399" s="48">
        <f>IF(OR($M2399="",$T2399=""),"",$T2399+(AC$2*$M2399))</f>
        <v/>
      </c>
      <c r="AD2399" s="48">
        <f>IF(OR($M2399="",$T2399=""),"",$T2399+(AD$2*$M2399))</f>
        <v/>
      </c>
      <c r="AE2399" s="49">
        <f>IF(OR($M2399="",$T2399=""),"",$T2399+(AE$2*$M2399))</f>
        <v/>
      </c>
      <c r="AF2399" s="52">
        <f>IF(OR(T2399="",I2399&lt;T2399),"",IFERROR(AVERAGE(T2399+M2399*{7,8,9,10,11})/IF(G2399="",I2399,G2399)-1,""))</f>
        <v/>
      </c>
      <c r="AG2399" s="55">
        <f>IF(OR(T2399="",I2399&lt;T2399),"",IFERROR(AF2399/-(R2399/IF(G2399="",I2399,G2399)-1),""))</f>
        <v/>
      </c>
      <c r="AH2399" s="94" t="n"/>
      <c r="AI2399" s="94" t="n"/>
      <c r="AJ2399" s="94" t="n"/>
      <c r="AK2399" s="94" t="n"/>
      <c r="AL2399" s="84" t="n"/>
    </row>
    <row r="2400">
      <c r="A2400" s="64" t="n"/>
      <c r="B2400" s="65" t="n"/>
      <c r="C2400" s="66" t="n"/>
      <c r="D2400" s="67" t="n"/>
      <c r="E2400" s="68" t="n"/>
      <c r="F2400" s="47">
        <f>IF(A2400="","",IF(MIN(H2400,MAX(J2400:K2400))=0,"",MIN(H2400,MAX(J2400:K2400))))</f>
        <v/>
      </c>
      <c r="G2400" s="74" t="n"/>
      <c r="H2400" s="49">
        <f>IF(M2400="","",IFERROR(ROUND(AVERAGE(T2400+M2400*{7,8,9,10,11})/1.21,4),""))</f>
        <v/>
      </c>
      <c r="I2400" s="76" t="n"/>
      <c r="J2400" s="77" t="n"/>
      <c r="K2400" s="74" t="n"/>
      <c r="L2400" s="78" t="n"/>
      <c r="M2400" s="77" t="n"/>
      <c r="N2400" s="53">
        <f>IF(M2400="","",IFERROR(M2400/I2400,""))</f>
        <v/>
      </c>
      <c r="O2400" s="50">
        <f>IF(A2400="","",IFERROR((IF(G2400="",I2400,G2400)-T2400)/M2400,""))</f>
        <v/>
      </c>
      <c r="P2400" s="50">
        <f>IFERROR((I2400/T2400-1)/N2400,"")</f>
        <v/>
      </c>
      <c r="Q2400" s="46">
        <f>IF(OR(T2400="",I2400&lt;T2400),"",IFERROR(R2400/IF(G2400="",I2400,G2400)-1,""))</f>
        <v/>
      </c>
      <c r="R2400" s="48">
        <f>IF($M2400="","",MAX(IF($G2400="",$I2400,$G2400)*(1/1.1),IF($G2400="",$I2400,$G2400)+(R$2*$M2400)))</f>
        <v/>
      </c>
      <c r="S2400" s="49">
        <f>IF($M2400="","",MAX(IF($G2400="",$I2400,$G2400)*(1/1.1),IF($G2400="",$I2400,$G2400)+(S$2*$M2400)))</f>
        <v/>
      </c>
      <c r="T2400" s="82" t="n"/>
      <c r="U2400" s="47">
        <f>IF(OR($M2400="",$T2400=""),"",$T2400+(U$2*$M2400))</f>
        <v/>
      </c>
      <c r="V2400" s="48">
        <f>IF(OR($M2400="",$T2400=""),"",$T2400+(V$2*$M2400))</f>
        <v/>
      </c>
      <c r="W2400" s="48">
        <f>IF(OR($M2400="",$T2400=""),"",$T2400+(W$2*$M2400))</f>
        <v/>
      </c>
      <c r="X2400" s="49">
        <f>IF(OR($M2400="",$T2400=""),"",$T2400+(X$2*$M2400))</f>
        <v/>
      </c>
      <c r="Y2400" s="47">
        <f>IF(OR($M2400="",$T2400=""),"",$T2400+(Y$2*$M2400))</f>
        <v/>
      </c>
      <c r="Z2400" s="49">
        <f>IF(OR($M2400="",$T2400=""),"",$T2400+(Z$2*$M2400))</f>
        <v/>
      </c>
      <c r="AA2400" s="51">
        <f>IF(OR($M2400="",$T2400=""),"",$T2400+(AA$2*$M2400))</f>
        <v/>
      </c>
      <c r="AB2400" s="48">
        <f>IF(OR($M2400="",$T2400=""),"",$T2400+(AB$2*$M2400))</f>
        <v/>
      </c>
      <c r="AC2400" s="48">
        <f>IF(OR($M2400="",$T2400=""),"",$T2400+(AC$2*$M2400))</f>
        <v/>
      </c>
      <c r="AD2400" s="48">
        <f>IF(OR($M2400="",$T2400=""),"",$T2400+(AD$2*$M2400))</f>
        <v/>
      </c>
      <c r="AE2400" s="49">
        <f>IF(OR($M2400="",$T2400=""),"",$T2400+(AE$2*$M2400))</f>
        <v/>
      </c>
      <c r="AF2400" s="52">
        <f>IF(OR(T2400="",I2400&lt;T2400),"",IFERROR(AVERAGE(T2400+M2400*{7,8,9,10,11})/IF(G2400="",I2400,G2400)-1,""))</f>
        <v/>
      </c>
      <c r="AG2400" s="55">
        <f>IF(OR(T2400="",I2400&lt;T2400),"",IFERROR(AF2400/-(R2400/IF(G2400="",I2400,G2400)-1),""))</f>
        <v/>
      </c>
      <c r="AH2400" s="94" t="n"/>
      <c r="AI2400" s="94" t="n"/>
      <c r="AJ2400" s="94" t="n"/>
      <c r="AK2400" s="94" t="n"/>
      <c r="AL2400" s="84" t="n"/>
    </row>
    <row r="2401">
      <c r="A2401" s="64" t="n"/>
      <c r="B2401" s="65" t="n"/>
      <c r="C2401" s="66" t="n"/>
      <c r="D2401" s="67" t="n"/>
      <c r="E2401" s="68" t="n"/>
      <c r="F2401" s="47">
        <f>IF(A2401="","",IF(MIN(H2401,MAX(J2401:K2401))=0,"",MIN(H2401,MAX(J2401:K2401))))</f>
        <v/>
      </c>
      <c r="G2401" s="74" t="n"/>
      <c r="H2401" s="49">
        <f>IF(M2401="","",IFERROR(ROUND(AVERAGE(T2401+M2401*{7,8,9,10,11})/1.21,4),""))</f>
        <v/>
      </c>
      <c r="I2401" s="76" t="n"/>
      <c r="J2401" s="77" t="n"/>
      <c r="K2401" s="74" t="n"/>
      <c r="L2401" s="78" t="n"/>
      <c r="M2401" s="77" t="n"/>
      <c r="N2401" s="53">
        <f>IF(M2401="","",IFERROR(M2401/I2401,""))</f>
        <v/>
      </c>
      <c r="O2401" s="50">
        <f>IF(A2401="","",IFERROR((IF(G2401="",I2401,G2401)-T2401)/M2401,""))</f>
        <v/>
      </c>
      <c r="P2401" s="50">
        <f>IFERROR((I2401/T2401-1)/N2401,"")</f>
        <v/>
      </c>
      <c r="Q2401" s="46">
        <f>IF(OR(T2401="",I2401&lt;T2401),"",IFERROR(R2401/IF(G2401="",I2401,G2401)-1,""))</f>
        <v/>
      </c>
      <c r="R2401" s="48">
        <f>IF($M2401="","",MAX(IF($G2401="",$I2401,$G2401)*(1/1.1),IF($G2401="",$I2401,$G2401)+(R$2*$M2401)))</f>
        <v/>
      </c>
      <c r="S2401" s="49">
        <f>IF($M2401="","",MAX(IF($G2401="",$I2401,$G2401)*(1/1.1),IF($G2401="",$I2401,$G2401)+(S$2*$M2401)))</f>
        <v/>
      </c>
      <c r="T2401" s="82" t="n"/>
      <c r="U2401" s="47">
        <f>IF(OR($M2401="",$T2401=""),"",$T2401+(U$2*$M2401))</f>
        <v/>
      </c>
      <c r="V2401" s="48">
        <f>IF(OR($M2401="",$T2401=""),"",$T2401+(V$2*$M2401))</f>
        <v/>
      </c>
      <c r="W2401" s="48">
        <f>IF(OR($M2401="",$T2401=""),"",$T2401+(W$2*$M2401))</f>
        <v/>
      </c>
      <c r="X2401" s="49">
        <f>IF(OR($M2401="",$T2401=""),"",$T2401+(X$2*$M2401))</f>
        <v/>
      </c>
      <c r="Y2401" s="47">
        <f>IF(OR($M2401="",$T2401=""),"",$T2401+(Y$2*$M2401))</f>
        <v/>
      </c>
      <c r="Z2401" s="49">
        <f>IF(OR($M2401="",$T2401=""),"",$T2401+(Z$2*$M2401))</f>
        <v/>
      </c>
      <c r="AA2401" s="51">
        <f>IF(OR($M2401="",$T2401=""),"",$T2401+(AA$2*$M2401))</f>
        <v/>
      </c>
      <c r="AB2401" s="48">
        <f>IF(OR($M2401="",$T2401=""),"",$T2401+(AB$2*$M2401))</f>
        <v/>
      </c>
      <c r="AC2401" s="48">
        <f>IF(OR($M2401="",$T2401=""),"",$T2401+(AC$2*$M2401))</f>
        <v/>
      </c>
      <c r="AD2401" s="48">
        <f>IF(OR($M2401="",$T2401=""),"",$T2401+(AD$2*$M2401))</f>
        <v/>
      </c>
      <c r="AE2401" s="49">
        <f>IF(OR($M2401="",$T2401=""),"",$T2401+(AE$2*$M2401))</f>
        <v/>
      </c>
      <c r="AF2401" s="52">
        <f>IF(OR(T2401="",I2401&lt;T2401),"",IFERROR(AVERAGE(T2401+M2401*{7,8,9,10,11})/IF(G2401="",I2401,G2401)-1,""))</f>
        <v/>
      </c>
      <c r="AG2401" s="55">
        <f>IF(OR(T2401="",I2401&lt;T2401),"",IFERROR(AF2401/-(R2401/IF(G2401="",I2401,G2401)-1),""))</f>
        <v/>
      </c>
      <c r="AH2401" s="94" t="n"/>
      <c r="AI2401" s="94" t="n"/>
      <c r="AJ2401" s="94" t="n"/>
      <c r="AK2401" s="94" t="n"/>
      <c r="AL2401" s="84" t="n"/>
    </row>
    <row r="2402">
      <c r="A2402" s="64" t="n"/>
      <c r="B2402" s="65" t="n"/>
      <c r="C2402" s="66" t="n"/>
      <c r="D2402" s="67" t="n"/>
      <c r="E2402" s="68" t="n"/>
      <c r="F2402" s="47">
        <f>IF(A2402="","",IF(MIN(H2402,MAX(J2402:K2402))=0,"",MIN(H2402,MAX(J2402:K2402))))</f>
        <v/>
      </c>
      <c r="G2402" s="74" t="n"/>
      <c r="H2402" s="49">
        <f>IF(M2402="","",IFERROR(ROUND(AVERAGE(T2402+M2402*{7,8,9,10,11})/1.21,4),""))</f>
        <v/>
      </c>
      <c r="I2402" s="76" t="n"/>
      <c r="J2402" s="77" t="n"/>
      <c r="K2402" s="74" t="n"/>
      <c r="L2402" s="78" t="n"/>
      <c r="M2402" s="77" t="n"/>
      <c r="N2402" s="53">
        <f>IF(M2402="","",IFERROR(M2402/I2402,""))</f>
        <v/>
      </c>
      <c r="O2402" s="50">
        <f>IF(A2402="","",IFERROR((IF(G2402="",I2402,G2402)-T2402)/M2402,""))</f>
        <v/>
      </c>
      <c r="P2402" s="50">
        <f>IFERROR((I2402/T2402-1)/N2402,"")</f>
        <v/>
      </c>
      <c r="Q2402" s="46">
        <f>IF(OR(T2402="",I2402&lt;T2402),"",IFERROR(R2402/IF(G2402="",I2402,G2402)-1,""))</f>
        <v/>
      </c>
      <c r="R2402" s="48">
        <f>IF($M2402="","",MAX(IF($G2402="",$I2402,$G2402)*(1/1.1),IF($G2402="",$I2402,$G2402)+(R$2*$M2402)))</f>
        <v/>
      </c>
      <c r="S2402" s="49">
        <f>IF($M2402="","",MAX(IF($G2402="",$I2402,$G2402)*(1/1.1),IF($G2402="",$I2402,$G2402)+(S$2*$M2402)))</f>
        <v/>
      </c>
      <c r="T2402" s="82" t="n"/>
      <c r="U2402" s="47">
        <f>IF(OR($M2402="",$T2402=""),"",$T2402+(U$2*$M2402))</f>
        <v/>
      </c>
      <c r="V2402" s="48">
        <f>IF(OR($M2402="",$T2402=""),"",$T2402+(V$2*$M2402))</f>
        <v/>
      </c>
      <c r="W2402" s="48">
        <f>IF(OR($M2402="",$T2402=""),"",$T2402+(W$2*$M2402))</f>
        <v/>
      </c>
      <c r="X2402" s="49">
        <f>IF(OR($M2402="",$T2402=""),"",$T2402+(X$2*$M2402))</f>
        <v/>
      </c>
      <c r="Y2402" s="47">
        <f>IF(OR($M2402="",$T2402=""),"",$T2402+(Y$2*$M2402))</f>
        <v/>
      </c>
      <c r="Z2402" s="49">
        <f>IF(OR($M2402="",$T2402=""),"",$T2402+(Z$2*$M2402))</f>
        <v/>
      </c>
      <c r="AA2402" s="51">
        <f>IF(OR($M2402="",$T2402=""),"",$T2402+(AA$2*$M2402))</f>
        <v/>
      </c>
      <c r="AB2402" s="48">
        <f>IF(OR($M2402="",$T2402=""),"",$T2402+(AB$2*$M2402))</f>
        <v/>
      </c>
      <c r="AC2402" s="48">
        <f>IF(OR($M2402="",$T2402=""),"",$T2402+(AC$2*$M2402))</f>
        <v/>
      </c>
      <c r="AD2402" s="48">
        <f>IF(OR($M2402="",$T2402=""),"",$T2402+(AD$2*$M2402))</f>
        <v/>
      </c>
      <c r="AE2402" s="49">
        <f>IF(OR($M2402="",$T2402=""),"",$T2402+(AE$2*$M2402))</f>
        <v/>
      </c>
      <c r="AF2402" s="52">
        <f>IF(OR(T2402="",I2402&lt;T2402),"",IFERROR(AVERAGE(T2402+M2402*{7,8,9,10,11})/IF(G2402="",I2402,G2402)-1,""))</f>
        <v/>
      </c>
      <c r="AG2402" s="55">
        <f>IF(OR(T2402="",I2402&lt;T2402),"",IFERROR(AF2402/-(R2402/IF(G2402="",I2402,G2402)-1),""))</f>
        <v/>
      </c>
      <c r="AH2402" s="94" t="n"/>
      <c r="AI2402" s="94" t="n"/>
      <c r="AJ2402" s="94" t="n"/>
      <c r="AK2402" s="94" t="n"/>
      <c r="AL2402" s="84" t="n"/>
    </row>
    <row r="2403">
      <c r="A2403" s="64" t="n"/>
      <c r="B2403" s="65" t="n"/>
      <c r="C2403" s="66" t="n"/>
      <c r="D2403" s="67" t="n"/>
      <c r="E2403" s="68" t="n"/>
      <c r="F2403" s="47">
        <f>IF(A2403="","",IF(MIN(H2403,MAX(J2403:K2403))=0,"",MIN(H2403,MAX(J2403:K2403))))</f>
        <v/>
      </c>
      <c r="G2403" s="74" t="n"/>
      <c r="H2403" s="49">
        <f>IF(M2403="","",IFERROR(ROUND(AVERAGE(T2403+M2403*{7,8,9,10,11})/1.21,4),""))</f>
        <v/>
      </c>
      <c r="I2403" s="76" t="n"/>
      <c r="J2403" s="77" t="n"/>
      <c r="K2403" s="74" t="n"/>
      <c r="L2403" s="78" t="n"/>
      <c r="M2403" s="77" t="n"/>
      <c r="N2403" s="53">
        <f>IF(M2403="","",IFERROR(M2403/I2403,""))</f>
        <v/>
      </c>
      <c r="O2403" s="50">
        <f>IF(A2403="","",IFERROR((IF(G2403="",I2403,G2403)-T2403)/M2403,""))</f>
        <v/>
      </c>
      <c r="P2403" s="50">
        <f>IFERROR((I2403/T2403-1)/N2403,"")</f>
        <v/>
      </c>
      <c r="Q2403" s="46">
        <f>IF(OR(T2403="",I2403&lt;T2403),"",IFERROR(R2403/IF(G2403="",I2403,G2403)-1,""))</f>
        <v/>
      </c>
      <c r="R2403" s="48">
        <f>IF($M2403="","",MAX(IF($G2403="",$I2403,$G2403)*(1/1.1),IF($G2403="",$I2403,$G2403)+(R$2*$M2403)))</f>
        <v/>
      </c>
      <c r="S2403" s="49">
        <f>IF($M2403="","",MAX(IF($G2403="",$I2403,$G2403)*(1/1.1),IF($G2403="",$I2403,$G2403)+(S$2*$M2403)))</f>
        <v/>
      </c>
      <c r="T2403" s="82" t="n"/>
      <c r="U2403" s="47">
        <f>IF(OR($M2403="",$T2403=""),"",$T2403+(U$2*$M2403))</f>
        <v/>
      </c>
      <c r="V2403" s="48">
        <f>IF(OR($M2403="",$T2403=""),"",$T2403+(V$2*$M2403))</f>
        <v/>
      </c>
      <c r="W2403" s="48">
        <f>IF(OR($M2403="",$T2403=""),"",$T2403+(W$2*$M2403))</f>
        <v/>
      </c>
      <c r="X2403" s="49">
        <f>IF(OR($M2403="",$T2403=""),"",$T2403+(X$2*$M2403))</f>
        <v/>
      </c>
      <c r="Y2403" s="47">
        <f>IF(OR($M2403="",$T2403=""),"",$T2403+(Y$2*$M2403))</f>
        <v/>
      </c>
      <c r="Z2403" s="49">
        <f>IF(OR($M2403="",$T2403=""),"",$T2403+(Z$2*$M2403))</f>
        <v/>
      </c>
      <c r="AA2403" s="51">
        <f>IF(OR($M2403="",$T2403=""),"",$T2403+(AA$2*$M2403))</f>
        <v/>
      </c>
      <c r="AB2403" s="48">
        <f>IF(OR($M2403="",$T2403=""),"",$T2403+(AB$2*$M2403))</f>
        <v/>
      </c>
      <c r="AC2403" s="48">
        <f>IF(OR($M2403="",$T2403=""),"",$T2403+(AC$2*$M2403))</f>
        <v/>
      </c>
      <c r="AD2403" s="48">
        <f>IF(OR($M2403="",$T2403=""),"",$T2403+(AD$2*$M2403))</f>
        <v/>
      </c>
      <c r="AE2403" s="49">
        <f>IF(OR($M2403="",$T2403=""),"",$T2403+(AE$2*$M2403))</f>
        <v/>
      </c>
      <c r="AF2403" s="52">
        <f>IF(OR(T2403="",I2403&lt;T2403),"",IFERROR(AVERAGE(T2403+M2403*{7,8,9,10,11})/IF(G2403="",I2403,G2403)-1,""))</f>
        <v/>
      </c>
      <c r="AG2403" s="55">
        <f>IF(OR(T2403="",I2403&lt;T2403),"",IFERROR(AF2403/-(R2403/IF(G2403="",I2403,G2403)-1),""))</f>
        <v/>
      </c>
      <c r="AH2403" s="94" t="n"/>
      <c r="AI2403" s="94" t="n"/>
      <c r="AJ2403" s="94" t="n"/>
      <c r="AK2403" s="94" t="n"/>
      <c r="AL2403" s="84" t="n"/>
    </row>
    <row r="2404">
      <c r="A2404" s="64" t="n"/>
      <c r="B2404" s="65" t="n"/>
      <c r="C2404" s="66" t="n"/>
      <c r="D2404" s="67" t="n"/>
      <c r="E2404" s="68" t="n"/>
      <c r="F2404" s="47">
        <f>IF(A2404="","",IF(MIN(H2404,MAX(J2404:K2404))=0,"",MIN(H2404,MAX(J2404:K2404))))</f>
        <v/>
      </c>
      <c r="G2404" s="74" t="n"/>
      <c r="H2404" s="49">
        <f>IF(M2404="","",IFERROR(ROUND(AVERAGE(T2404+M2404*{7,8,9,10,11})/1.21,4),""))</f>
        <v/>
      </c>
      <c r="I2404" s="76" t="n"/>
      <c r="J2404" s="77" t="n"/>
      <c r="K2404" s="74" t="n"/>
      <c r="L2404" s="78" t="n"/>
      <c r="M2404" s="77" t="n"/>
      <c r="N2404" s="53">
        <f>IF(M2404="","",IFERROR(M2404/I2404,""))</f>
        <v/>
      </c>
      <c r="O2404" s="50">
        <f>IF(A2404="","",IFERROR((IF(G2404="",I2404,G2404)-T2404)/M2404,""))</f>
        <v/>
      </c>
      <c r="P2404" s="50">
        <f>IFERROR((I2404/T2404-1)/N2404,"")</f>
        <v/>
      </c>
      <c r="Q2404" s="46">
        <f>IF(OR(T2404="",I2404&lt;T2404),"",IFERROR(R2404/IF(G2404="",I2404,G2404)-1,""))</f>
        <v/>
      </c>
      <c r="R2404" s="48">
        <f>IF($M2404="","",MAX(IF($G2404="",$I2404,$G2404)*(1/1.1),IF($G2404="",$I2404,$G2404)+(R$2*$M2404)))</f>
        <v/>
      </c>
      <c r="S2404" s="49">
        <f>IF($M2404="","",MAX(IF($G2404="",$I2404,$G2404)*(1/1.1),IF($G2404="",$I2404,$G2404)+(S$2*$M2404)))</f>
        <v/>
      </c>
      <c r="T2404" s="82" t="n"/>
      <c r="U2404" s="47">
        <f>IF(OR($M2404="",$T2404=""),"",$T2404+(U$2*$M2404))</f>
        <v/>
      </c>
      <c r="V2404" s="48">
        <f>IF(OR($M2404="",$T2404=""),"",$T2404+(V$2*$M2404))</f>
        <v/>
      </c>
      <c r="W2404" s="48">
        <f>IF(OR($M2404="",$T2404=""),"",$T2404+(W$2*$M2404))</f>
        <v/>
      </c>
      <c r="X2404" s="49">
        <f>IF(OR($M2404="",$T2404=""),"",$T2404+(X$2*$M2404))</f>
        <v/>
      </c>
      <c r="Y2404" s="47">
        <f>IF(OR($M2404="",$T2404=""),"",$T2404+(Y$2*$M2404))</f>
        <v/>
      </c>
      <c r="Z2404" s="49">
        <f>IF(OR($M2404="",$T2404=""),"",$T2404+(Z$2*$M2404))</f>
        <v/>
      </c>
      <c r="AA2404" s="51">
        <f>IF(OR($M2404="",$T2404=""),"",$T2404+(AA$2*$M2404))</f>
        <v/>
      </c>
      <c r="AB2404" s="48">
        <f>IF(OR($M2404="",$T2404=""),"",$T2404+(AB$2*$M2404))</f>
        <v/>
      </c>
      <c r="AC2404" s="48">
        <f>IF(OR($M2404="",$T2404=""),"",$T2404+(AC$2*$M2404))</f>
        <v/>
      </c>
      <c r="AD2404" s="48">
        <f>IF(OR($M2404="",$T2404=""),"",$T2404+(AD$2*$M2404))</f>
        <v/>
      </c>
      <c r="AE2404" s="49">
        <f>IF(OR($M2404="",$T2404=""),"",$T2404+(AE$2*$M2404))</f>
        <v/>
      </c>
      <c r="AF2404" s="52">
        <f>IF(OR(T2404="",I2404&lt;T2404),"",IFERROR(AVERAGE(T2404+M2404*{7,8,9,10,11})/IF(G2404="",I2404,G2404)-1,""))</f>
        <v/>
      </c>
      <c r="AG2404" s="55">
        <f>IF(OR(T2404="",I2404&lt;T2404),"",IFERROR(AF2404/-(R2404/IF(G2404="",I2404,G2404)-1),""))</f>
        <v/>
      </c>
      <c r="AH2404" s="94" t="n"/>
      <c r="AI2404" s="94" t="n"/>
      <c r="AJ2404" s="94" t="n"/>
      <c r="AK2404" s="94" t="n"/>
      <c r="AL2404" s="84" t="n"/>
    </row>
    <row r="2405">
      <c r="A2405" s="64" t="n"/>
      <c r="B2405" s="65" t="n"/>
      <c r="C2405" s="66" t="n"/>
      <c r="D2405" s="67" t="n"/>
      <c r="E2405" s="68" t="n"/>
      <c r="F2405" s="47">
        <f>IF(A2405="","",IF(MIN(H2405,MAX(J2405:K2405))=0,"",MIN(H2405,MAX(J2405:K2405))))</f>
        <v/>
      </c>
      <c r="G2405" s="74" t="n"/>
      <c r="H2405" s="49">
        <f>IF(M2405="","",IFERROR(ROUND(AVERAGE(T2405+M2405*{7,8,9,10,11})/1.21,4),""))</f>
        <v/>
      </c>
      <c r="I2405" s="76" t="n"/>
      <c r="J2405" s="77" t="n"/>
      <c r="K2405" s="74" t="n"/>
      <c r="L2405" s="78" t="n"/>
      <c r="M2405" s="77" t="n"/>
      <c r="N2405" s="53">
        <f>IF(M2405="","",IFERROR(M2405/I2405,""))</f>
        <v/>
      </c>
      <c r="O2405" s="50">
        <f>IF(A2405="","",IFERROR((IF(G2405="",I2405,G2405)-T2405)/M2405,""))</f>
        <v/>
      </c>
      <c r="P2405" s="50">
        <f>IFERROR((I2405/T2405-1)/N2405,"")</f>
        <v/>
      </c>
      <c r="Q2405" s="46">
        <f>IF(OR(T2405="",I2405&lt;T2405),"",IFERROR(R2405/IF(G2405="",I2405,G2405)-1,""))</f>
        <v/>
      </c>
      <c r="R2405" s="48">
        <f>IF($M2405="","",MAX(IF($G2405="",$I2405,$G2405)*(1/1.1),IF($G2405="",$I2405,$G2405)+(R$2*$M2405)))</f>
        <v/>
      </c>
      <c r="S2405" s="49">
        <f>IF($M2405="","",MAX(IF($G2405="",$I2405,$G2405)*(1/1.1),IF($G2405="",$I2405,$G2405)+(S$2*$M2405)))</f>
        <v/>
      </c>
      <c r="T2405" s="82" t="n"/>
      <c r="U2405" s="47">
        <f>IF(OR($M2405="",$T2405=""),"",$T2405+(U$2*$M2405))</f>
        <v/>
      </c>
      <c r="V2405" s="48">
        <f>IF(OR($M2405="",$T2405=""),"",$T2405+(V$2*$M2405))</f>
        <v/>
      </c>
      <c r="W2405" s="48">
        <f>IF(OR($M2405="",$T2405=""),"",$T2405+(W$2*$M2405))</f>
        <v/>
      </c>
      <c r="X2405" s="49">
        <f>IF(OR($M2405="",$T2405=""),"",$T2405+(X$2*$M2405))</f>
        <v/>
      </c>
      <c r="Y2405" s="47">
        <f>IF(OR($M2405="",$T2405=""),"",$T2405+(Y$2*$M2405))</f>
        <v/>
      </c>
      <c r="Z2405" s="49">
        <f>IF(OR($M2405="",$T2405=""),"",$T2405+(Z$2*$M2405))</f>
        <v/>
      </c>
      <c r="AA2405" s="51">
        <f>IF(OR($M2405="",$T2405=""),"",$T2405+(AA$2*$M2405))</f>
        <v/>
      </c>
      <c r="AB2405" s="48">
        <f>IF(OR($M2405="",$T2405=""),"",$T2405+(AB$2*$M2405))</f>
        <v/>
      </c>
      <c r="AC2405" s="48">
        <f>IF(OR($M2405="",$T2405=""),"",$T2405+(AC$2*$M2405))</f>
        <v/>
      </c>
      <c r="AD2405" s="48">
        <f>IF(OR($M2405="",$T2405=""),"",$T2405+(AD$2*$M2405))</f>
        <v/>
      </c>
      <c r="AE2405" s="49">
        <f>IF(OR($M2405="",$T2405=""),"",$T2405+(AE$2*$M2405))</f>
        <v/>
      </c>
      <c r="AF2405" s="52">
        <f>IF(OR(T2405="",I2405&lt;T2405),"",IFERROR(AVERAGE(T2405+M2405*{7,8,9,10,11})/IF(G2405="",I2405,G2405)-1,""))</f>
        <v/>
      </c>
      <c r="AG2405" s="55">
        <f>IF(OR(T2405="",I2405&lt;T2405),"",IFERROR(AF2405/-(R2405/IF(G2405="",I2405,G2405)-1),""))</f>
        <v/>
      </c>
      <c r="AH2405" s="94" t="n"/>
      <c r="AI2405" s="94" t="n"/>
      <c r="AJ2405" s="94" t="n"/>
      <c r="AK2405" s="94" t="n"/>
      <c r="AL2405" s="84" t="n"/>
    </row>
    <row r="2406">
      <c r="A2406" s="64" t="n"/>
      <c r="B2406" s="65" t="n"/>
      <c r="C2406" s="66" t="n"/>
      <c r="D2406" s="67" t="n"/>
      <c r="E2406" s="68" t="n"/>
      <c r="F2406" s="47">
        <f>IF(A2406="","",IF(MIN(H2406,MAX(J2406:K2406))=0,"",MIN(H2406,MAX(J2406:K2406))))</f>
        <v/>
      </c>
      <c r="G2406" s="74" t="n"/>
      <c r="H2406" s="49">
        <f>IF(M2406="","",IFERROR(ROUND(AVERAGE(T2406+M2406*{7,8,9,10,11})/1.21,4),""))</f>
        <v/>
      </c>
      <c r="I2406" s="76" t="n"/>
      <c r="J2406" s="77" t="n"/>
      <c r="K2406" s="74" t="n"/>
      <c r="L2406" s="78" t="n"/>
      <c r="M2406" s="77" t="n"/>
      <c r="N2406" s="53">
        <f>IF(M2406="","",IFERROR(M2406/I2406,""))</f>
        <v/>
      </c>
      <c r="O2406" s="50">
        <f>IF(A2406="","",IFERROR((IF(G2406="",I2406,G2406)-T2406)/M2406,""))</f>
        <v/>
      </c>
      <c r="P2406" s="50">
        <f>IFERROR((I2406/T2406-1)/N2406,"")</f>
        <v/>
      </c>
      <c r="Q2406" s="46">
        <f>IF(OR(T2406="",I2406&lt;T2406),"",IFERROR(R2406/IF(G2406="",I2406,G2406)-1,""))</f>
        <v/>
      </c>
      <c r="R2406" s="48">
        <f>IF($M2406="","",MAX(IF($G2406="",$I2406,$G2406)*(1/1.1),IF($G2406="",$I2406,$G2406)+(R$2*$M2406)))</f>
        <v/>
      </c>
      <c r="S2406" s="49">
        <f>IF($M2406="","",MAX(IF($G2406="",$I2406,$G2406)*(1/1.1),IF($G2406="",$I2406,$G2406)+(S$2*$M2406)))</f>
        <v/>
      </c>
      <c r="T2406" s="82" t="n"/>
      <c r="U2406" s="47">
        <f>IF(OR($M2406="",$T2406=""),"",$T2406+(U$2*$M2406))</f>
        <v/>
      </c>
      <c r="V2406" s="48">
        <f>IF(OR($M2406="",$T2406=""),"",$T2406+(V$2*$M2406))</f>
        <v/>
      </c>
      <c r="W2406" s="48">
        <f>IF(OR($M2406="",$T2406=""),"",$T2406+(W$2*$M2406))</f>
        <v/>
      </c>
      <c r="X2406" s="49">
        <f>IF(OR($M2406="",$T2406=""),"",$T2406+(X$2*$M2406))</f>
        <v/>
      </c>
      <c r="Y2406" s="47">
        <f>IF(OR($M2406="",$T2406=""),"",$T2406+(Y$2*$M2406))</f>
        <v/>
      </c>
      <c r="Z2406" s="49">
        <f>IF(OR($M2406="",$T2406=""),"",$T2406+(Z$2*$M2406))</f>
        <v/>
      </c>
      <c r="AA2406" s="51">
        <f>IF(OR($M2406="",$T2406=""),"",$T2406+(AA$2*$M2406))</f>
        <v/>
      </c>
      <c r="AB2406" s="48">
        <f>IF(OR($M2406="",$T2406=""),"",$T2406+(AB$2*$M2406))</f>
        <v/>
      </c>
      <c r="AC2406" s="48">
        <f>IF(OR($M2406="",$T2406=""),"",$T2406+(AC$2*$M2406))</f>
        <v/>
      </c>
      <c r="AD2406" s="48">
        <f>IF(OR($M2406="",$T2406=""),"",$T2406+(AD$2*$M2406))</f>
        <v/>
      </c>
      <c r="AE2406" s="49">
        <f>IF(OR($M2406="",$T2406=""),"",$T2406+(AE$2*$M2406))</f>
        <v/>
      </c>
      <c r="AF2406" s="52">
        <f>IF(OR(T2406="",I2406&lt;T2406),"",IFERROR(AVERAGE(T2406+M2406*{7,8,9,10,11})/IF(G2406="",I2406,G2406)-1,""))</f>
        <v/>
      </c>
      <c r="AG2406" s="55">
        <f>IF(OR(T2406="",I2406&lt;T2406),"",IFERROR(AF2406/-(R2406/IF(G2406="",I2406,G2406)-1),""))</f>
        <v/>
      </c>
      <c r="AH2406" s="94" t="n"/>
      <c r="AI2406" s="94" t="n"/>
      <c r="AJ2406" s="94" t="n"/>
      <c r="AK2406" s="94" t="n"/>
      <c r="AL2406" s="84" t="n"/>
    </row>
    <row r="2407">
      <c r="A2407" s="64" t="n"/>
      <c r="B2407" s="65" t="n"/>
      <c r="C2407" s="66" t="n"/>
      <c r="D2407" s="67" t="n"/>
      <c r="E2407" s="68" t="n"/>
      <c r="F2407" s="47">
        <f>IF(A2407="","",IF(MIN(H2407,MAX(J2407:K2407))=0,"",MIN(H2407,MAX(J2407:K2407))))</f>
        <v/>
      </c>
      <c r="G2407" s="74" t="n"/>
      <c r="H2407" s="49">
        <f>IF(M2407="","",IFERROR(ROUND(AVERAGE(T2407+M2407*{7,8,9,10,11})/1.21,4),""))</f>
        <v/>
      </c>
      <c r="I2407" s="76" t="n"/>
      <c r="J2407" s="77" t="n"/>
      <c r="K2407" s="74" t="n"/>
      <c r="L2407" s="78" t="n"/>
      <c r="M2407" s="77" t="n"/>
      <c r="N2407" s="53">
        <f>IF(M2407="","",IFERROR(M2407/I2407,""))</f>
        <v/>
      </c>
      <c r="O2407" s="50">
        <f>IF(A2407="","",IFERROR((IF(G2407="",I2407,G2407)-T2407)/M2407,""))</f>
        <v/>
      </c>
      <c r="P2407" s="50">
        <f>IFERROR((I2407/T2407-1)/N2407,"")</f>
        <v/>
      </c>
      <c r="Q2407" s="46">
        <f>IF(OR(T2407="",I2407&lt;T2407),"",IFERROR(R2407/IF(G2407="",I2407,G2407)-1,""))</f>
        <v/>
      </c>
      <c r="R2407" s="48">
        <f>IF($M2407="","",MAX(IF($G2407="",$I2407,$G2407)*(1/1.1),IF($G2407="",$I2407,$G2407)+(R$2*$M2407)))</f>
        <v/>
      </c>
      <c r="S2407" s="49">
        <f>IF($M2407="","",MAX(IF($G2407="",$I2407,$G2407)*(1/1.1),IF($G2407="",$I2407,$G2407)+(S$2*$M2407)))</f>
        <v/>
      </c>
      <c r="T2407" s="82" t="n"/>
      <c r="U2407" s="47">
        <f>IF(OR($M2407="",$T2407=""),"",$T2407+(U$2*$M2407))</f>
        <v/>
      </c>
      <c r="V2407" s="48">
        <f>IF(OR($M2407="",$T2407=""),"",$T2407+(V$2*$M2407))</f>
        <v/>
      </c>
      <c r="W2407" s="48">
        <f>IF(OR($M2407="",$T2407=""),"",$T2407+(W$2*$M2407))</f>
        <v/>
      </c>
      <c r="X2407" s="49">
        <f>IF(OR($M2407="",$T2407=""),"",$T2407+(X$2*$M2407))</f>
        <v/>
      </c>
      <c r="Y2407" s="47">
        <f>IF(OR($M2407="",$T2407=""),"",$T2407+(Y$2*$M2407))</f>
        <v/>
      </c>
      <c r="Z2407" s="49">
        <f>IF(OR($M2407="",$T2407=""),"",$T2407+(Z$2*$M2407))</f>
        <v/>
      </c>
      <c r="AA2407" s="51">
        <f>IF(OR($M2407="",$T2407=""),"",$T2407+(AA$2*$M2407))</f>
        <v/>
      </c>
      <c r="AB2407" s="48">
        <f>IF(OR($M2407="",$T2407=""),"",$T2407+(AB$2*$M2407))</f>
        <v/>
      </c>
      <c r="AC2407" s="48">
        <f>IF(OR($M2407="",$T2407=""),"",$T2407+(AC$2*$M2407))</f>
        <v/>
      </c>
      <c r="AD2407" s="48">
        <f>IF(OR($M2407="",$T2407=""),"",$T2407+(AD$2*$M2407))</f>
        <v/>
      </c>
      <c r="AE2407" s="49">
        <f>IF(OR($M2407="",$T2407=""),"",$T2407+(AE$2*$M2407))</f>
        <v/>
      </c>
      <c r="AF2407" s="52">
        <f>IF(OR(T2407="",I2407&lt;T2407),"",IFERROR(AVERAGE(T2407+M2407*{7,8,9,10,11})/IF(G2407="",I2407,G2407)-1,""))</f>
        <v/>
      </c>
      <c r="AG2407" s="55">
        <f>IF(OR(T2407="",I2407&lt;T2407),"",IFERROR(AF2407/-(R2407/IF(G2407="",I2407,G2407)-1),""))</f>
        <v/>
      </c>
      <c r="AH2407" s="94" t="n"/>
      <c r="AI2407" s="94" t="n"/>
      <c r="AJ2407" s="94" t="n"/>
      <c r="AK2407" s="94" t="n"/>
      <c r="AL2407" s="84" t="n"/>
    </row>
    <row r="2408">
      <c r="A2408" s="64" t="n"/>
      <c r="B2408" s="65" t="n"/>
      <c r="C2408" s="66" t="n"/>
      <c r="D2408" s="67" t="n"/>
      <c r="E2408" s="68" t="n"/>
      <c r="F2408" s="47">
        <f>IF(A2408="","",IF(MIN(H2408,MAX(J2408:K2408))=0,"",MIN(H2408,MAX(J2408:K2408))))</f>
        <v/>
      </c>
      <c r="G2408" s="74" t="n"/>
      <c r="H2408" s="49">
        <f>IF(M2408="","",IFERROR(ROUND(AVERAGE(T2408+M2408*{7,8,9,10,11})/1.21,4),""))</f>
        <v/>
      </c>
      <c r="I2408" s="76" t="n"/>
      <c r="J2408" s="77" t="n"/>
      <c r="K2408" s="74" t="n"/>
      <c r="L2408" s="78" t="n"/>
      <c r="M2408" s="77" t="n"/>
      <c r="N2408" s="53">
        <f>IF(M2408="","",IFERROR(M2408/I2408,""))</f>
        <v/>
      </c>
      <c r="O2408" s="50">
        <f>IF(A2408="","",IFERROR((IF(G2408="",I2408,G2408)-T2408)/M2408,""))</f>
        <v/>
      </c>
      <c r="P2408" s="50">
        <f>IFERROR((I2408/T2408-1)/N2408,"")</f>
        <v/>
      </c>
      <c r="Q2408" s="46">
        <f>IF(OR(T2408="",I2408&lt;T2408),"",IFERROR(R2408/IF(G2408="",I2408,G2408)-1,""))</f>
        <v/>
      </c>
      <c r="R2408" s="48">
        <f>IF($M2408="","",MAX(IF($G2408="",$I2408,$G2408)*(1/1.1),IF($G2408="",$I2408,$G2408)+(R$2*$M2408)))</f>
        <v/>
      </c>
      <c r="S2408" s="49">
        <f>IF($M2408="","",MAX(IF($G2408="",$I2408,$G2408)*(1/1.1),IF($G2408="",$I2408,$G2408)+(S$2*$M2408)))</f>
        <v/>
      </c>
      <c r="T2408" s="82" t="n"/>
      <c r="U2408" s="47">
        <f>IF(OR($M2408="",$T2408=""),"",$T2408+(U$2*$M2408))</f>
        <v/>
      </c>
      <c r="V2408" s="48">
        <f>IF(OR($M2408="",$T2408=""),"",$T2408+(V$2*$M2408))</f>
        <v/>
      </c>
      <c r="W2408" s="48">
        <f>IF(OR($M2408="",$T2408=""),"",$T2408+(W$2*$M2408))</f>
        <v/>
      </c>
      <c r="X2408" s="49">
        <f>IF(OR($M2408="",$T2408=""),"",$T2408+(X$2*$M2408))</f>
        <v/>
      </c>
      <c r="Y2408" s="47">
        <f>IF(OR($M2408="",$T2408=""),"",$T2408+(Y$2*$M2408))</f>
        <v/>
      </c>
      <c r="Z2408" s="49">
        <f>IF(OR($M2408="",$T2408=""),"",$T2408+(Z$2*$M2408))</f>
        <v/>
      </c>
      <c r="AA2408" s="51">
        <f>IF(OR($M2408="",$T2408=""),"",$T2408+(AA$2*$M2408))</f>
        <v/>
      </c>
      <c r="AB2408" s="48">
        <f>IF(OR($M2408="",$T2408=""),"",$T2408+(AB$2*$M2408))</f>
        <v/>
      </c>
      <c r="AC2408" s="48">
        <f>IF(OR($M2408="",$T2408=""),"",$T2408+(AC$2*$M2408))</f>
        <v/>
      </c>
      <c r="AD2408" s="48">
        <f>IF(OR($M2408="",$T2408=""),"",$T2408+(AD$2*$M2408))</f>
        <v/>
      </c>
      <c r="AE2408" s="49">
        <f>IF(OR($M2408="",$T2408=""),"",$T2408+(AE$2*$M2408))</f>
        <v/>
      </c>
      <c r="AF2408" s="52">
        <f>IF(OR(T2408="",I2408&lt;T2408),"",IFERROR(AVERAGE(T2408+M2408*{7,8,9,10,11})/IF(G2408="",I2408,G2408)-1,""))</f>
        <v/>
      </c>
      <c r="AG2408" s="55">
        <f>IF(OR(T2408="",I2408&lt;T2408),"",IFERROR(AF2408/-(R2408/IF(G2408="",I2408,G2408)-1),""))</f>
        <v/>
      </c>
      <c r="AH2408" s="94" t="n"/>
      <c r="AI2408" s="94" t="n"/>
      <c r="AJ2408" s="94" t="n"/>
      <c r="AK2408" s="94" t="n"/>
      <c r="AL2408" s="84" t="n"/>
    </row>
    <row r="2409">
      <c r="A2409" s="64" t="n"/>
      <c r="B2409" s="65" t="n"/>
      <c r="C2409" s="66" t="n"/>
      <c r="D2409" s="67" t="n"/>
      <c r="E2409" s="68" t="n"/>
      <c r="F2409" s="47">
        <f>IF(A2409="","",IF(MIN(H2409,MAX(J2409:K2409))=0,"",MIN(H2409,MAX(J2409:K2409))))</f>
        <v/>
      </c>
      <c r="G2409" s="74" t="n"/>
      <c r="H2409" s="49">
        <f>IF(M2409="","",IFERROR(ROUND(AVERAGE(T2409+M2409*{7,8,9,10,11})/1.21,4),""))</f>
        <v/>
      </c>
      <c r="I2409" s="76" t="n"/>
      <c r="J2409" s="77" t="n"/>
      <c r="K2409" s="74" t="n"/>
      <c r="L2409" s="78" t="n"/>
      <c r="M2409" s="77" t="n"/>
      <c r="N2409" s="53">
        <f>IF(M2409="","",IFERROR(M2409/I2409,""))</f>
        <v/>
      </c>
      <c r="O2409" s="50">
        <f>IF(A2409="","",IFERROR((IF(G2409="",I2409,G2409)-T2409)/M2409,""))</f>
        <v/>
      </c>
      <c r="P2409" s="50">
        <f>IFERROR((I2409/T2409-1)/N2409,"")</f>
        <v/>
      </c>
      <c r="Q2409" s="46">
        <f>IF(OR(T2409="",I2409&lt;T2409),"",IFERROR(R2409/IF(G2409="",I2409,G2409)-1,""))</f>
        <v/>
      </c>
      <c r="R2409" s="48">
        <f>IF($M2409="","",MAX(IF($G2409="",$I2409,$G2409)*(1/1.1),IF($G2409="",$I2409,$G2409)+(R$2*$M2409)))</f>
        <v/>
      </c>
      <c r="S2409" s="49">
        <f>IF($M2409="","",MAX(IF($G2409="",$I2409,$G2409)*(1/1.1),IF($G2409="",$I2409,$G2409)+(S$2*$M2409)))</f>
        <v/>
      </c>
      <c r="T2409" s="82" t="n"/>
      <c r="U2409" s="47">
        <f>IF(OR($M2409="",$T2409=""),"",$T2409+(U$2*$M2409))</f>
        <v/>
      </c>
      <c r="V2409" s="48">
        <f>IF(OR($M2409="",$T2409=""),"",$T2409+(V$2*$M2409))</f>
        <v/>
      </c>
      <c r="W2409" s="48">
        <f>IF(OR($M2409="",$T2409=""),"",$T2409+(W$2*$M2409))</f>
        <v/>
      </c>
      <c r="X2409" s="49">
        <f>IF(OR($M2409="",$T2409=""),"",$T2409+(X$2*$M2409))</f>
        <v/>
      </c>
      <c r="Y2409" s="47">
        <f>IF(OR($M2409="",$T2409=""),"",$T2409+(Y$2*$M2409))</f>
        <v/>
      </c>
      <c r="Z2409" s="49">
        <f>IF(OR($M2409="",$T2409=""),"",$T2409+(Z$2*$M2409))</f>
        <v/>
      </c>
      <c r="AA2409" s="51">
        <f>IF(OR($M2409="",$T2409=""),"",$T2409+(AA$2*$M2409))</f>
        <v/>
      </c>
      <c r="AB2409" s="48">
        <f>IF(OR($M2409="",$T2409=""),"",$T2409+(AB$2*$M2409))</f>
        <v/>
      </c>
      <c r="AC2409" s="48">
        <f>IF(OR($M2409="",$T2409=""),"",$T2409+(AC$2*$M2409))</f>
        <v/>
      </c>
      <c r="AD2409" s="48">
        <f>IF(OR($M2409="",$T2409=""),"",$T2409+(AD$2*$M2409))</f>
        <v/>
      </c>
      <c r="AE2409" s="49">
        <f>IF(OR($M2409="",$T2409=""),"",$T2409+(AE$2*$M2409))</f>
        <v/>
      </c>
      <c r="AF2409" s="52">
        <f>IF(OR(T2409="",I2409&lt;T2409),"",IFERROR(AVERAGE(T2409+M2409*{7,8,9,10,11})/IF(G2409="",I2409,G2409)-1,""))</f>
        <v/>
      </c>
      <c r="AG2409" s="55">
        <f>IF(OR(T2409="",I2409&lt;T2409),"",IFERROR(AF2409/-(R2409/IF(G2409="",I2409,G2409)-1),""))</f>
        <v/>
      </c>
      <c r="AH2409" s="94" t="n"/>
      <c r="AI2409" s="94" t="n"/>
      <c r="AJ2409" s="94" t="n"/>
      <c r="AK2409" s="94" t="n"/>
      <c r="AL2409" s="84" t="n"/>
    </row>
    <row r="2410">
      <c r="A2410" s="64" t="n"/>
      <c r="B2410" s="65" t="n"/>
      <c r="C2410" s="66" t="n"/>
      <c r="D2410" s="67" t="n"/>
      <c r="E2410" s="68" t="n"/>
      <c r="F2410" s="47">
        <f>IF(A2410="","",IF(MIN(H2410,MAX(J2410:K2410))=0,"",MIN(H2410,MAX(J2410:K2410))))</f>
        <v/>
      </c>
      <c r="G2410" s="74" t="n"/>
      <c r="H2410" s="49">
        <f>IF(M2410="","",IFERROR(ROUND(AVERAGE(T2410+M2410*{7,8,9,10,11})/1.21,4),""))</f>
        <v/>
      </c>
      <c r="I2410" s="76" t="n"/>
      <c r="J2410" s="77" t="n"/>
      <c r="K2410" s="74" t="n"/>
      <c r="L2410" s="78" t="n"/>
      <c r="M2410" s="77" t="n"/>
      <c r="N2410" s="53">
        <f>IF(M2410="","",IFERROR(M2410/I2410,""))</f>
        <v/>
      </c>
      <c r="O2410" s="50">
        <f>IF(A2410="","",IFERROR((IF(G2410="",I2410,G2410)-T2410)/M2410,""))</f>
        <v/>
      </c>
      <c r="P2410" s="50">
        <f>IFERROR((I2410/T2410-1)/N2410,"")</f>
        <v/>
      </c>
      <c r="Q2410" s="46">
        <f>IF(OR(T2410="",I2410&lt;T2410),"",IFERROR(R2410/IF(G2410="",I2410,G2410)-1,""))</f>
        <v/>
      </c>
      <c r="R2410" s="48">
        <f>IF($M2410="","",MAX(IF($G2410="",$I2410,$G2410)*(1/1.1),IF($G2410="",$I2410,$G2410)+(R$2*$M2410)))</f>
        <v/>
      </c>
      <c r="S2410" s="49">
        <f>IF($M2410="","",MAX(IF($G2410="",$I2410,$G2410)*(1/1.1),IF($G2410="",$I2410,$G2410)+(S$2*$M2410)))</f>
        <v/>
      </c>
      <c r="T2410" s="82" t="n"/>
      <c r="U2410" s="47">
        <f>IF(OR($M2410="",$T2410=""),"",$T2410+(U$2*$M2410))</f>
        <v/>
      </c>
      <c r="V2410" s="48">
        <f>IF(OR($M2410="",$T2410=""),"",$T2410+(V$2*$M2410))</f>
        <v/>
      </c>
      <c r="W2410" s="48">
        <f>IF(OR($M2410="",$T2410=""),"",$T2410+(W$2*$M2410))</f>
        <v/>
      </c>
      <c r="X2410" s="49">
        <f>IF(OR($M2410="",$T2410=""),"",$T2410+(X$2*$M2410))</f>
        <v/>
      </c>
      <c r="Y2410" s="47">
        <f>IF(OR($M2410="",$T2410=""),"",$T2410+(Y$2*$M2410))</f>
        <v/>
      </c>
      <c r="Z2410" s="49">
        <f>IF(OR($M2410="",$T2410=""),"",$T2410+(Z$2*$M2410))</f>
        <v/>
      </c>
      <c r="AA2410" s="51">
        <f>IF(OR($M2410="",$T2410=""),"",$T2410+(AA$2*$M2410))</f>
        <v/>
      </c>
      <c r="AB2410" s="48">
        <f>IF(OR($M2410="",$T2410=""),"",$T2410+(AB$2*$M2410))</f>
        <v/>
      </c>
      <c r="AC2410" s="48">
        <f>IF(OR($M2410="",$T2410=""),"",$T2410+(AC$2*$M2410))</f>
        <v/>
      </c>
      <c r="AD2410" s="48">
        <f>IF(OR($M2410="",$T2410=""),"",$T2410+(AD$2*$M2410))</f>
        <v/>
      </c>
      <c r="AE2410" s="49">
        <f>IF(OR($M2410="",$T2410=""),"",$T2410+(AE$2*$M2410))</f>
        <v/>
      </c>
      <c r="AF2410" s="52">
        <f>IF(OR(T2410="",I2410&lt;T2410),"",IFERROR(AVERAGE(T2410+M2410*{7,8,9,10,11})/IF(G2410="",I2410,G2410)-1,""))</f>
        <v/>
      </c>
      <c r="AG2410" s="55">
        <f>IF(OR(T2410="",I2410&lt;T2410),"",IFERROR(AF2410/-(R2410/IF(G2410="",I2410,G2410)-1),""))</f>
        <v/>
      </c>
      <c r="AH2410" s="94" t="n"/>
      <c r="AI2410" s="94" t="n"/>
      <c r="AJ2410" s="94" t="n"/>
      <c r="AK2410" s="94" t="n"/>
      <c r="AL2410" s="84" t="n"/>
    </row>
    <row r="2411">
      <c r="A2411" s="64" t="n"/>
      <c r="B2411" s="65" t="n"/>
      <c r="C2411" s="66" t="n"/>
      <c r="D2411" s="67" t="n"/>
      <c r="E2411" s="68" t="n"/>
      <c r="F2411" s="47">
        <f>IF(A2411="","",IF(MIN(H2411,MAX(J2411:K2411))=0,"",MIN(H2411,MAX(J2411:K2411))))</f>
        <v/>
      </c>
      <c r="G2411" s="74" t="n"/>
      <c r="H2411" s="49">
        <f>IF(M2411="","",IFERROR(ROUND(AVERAGE(T2411+M2411*{7,8,9,10,11})/1.21,4),""))</f>
        <v/>
      </c>
      <c r="I2411" s="76" t="n"/>
      <c r="J2411" s="77" t="n"/>
      <c r="K2411" s="74" t="n"/>
      <c r="L2411" s="78" t="n"/>
      <c r="M2411" s="77" t="n"/>
      <c r="N2411" s="53">
        <f>IF(M2411="","",IFERROR(M2411/I2411,""))</f>
        <v/>
      </c>
      <c r="O2411" s="50">
        <f>IF(A2411="","",IFERROR((IF(G2411="",I2411,G2411)-T2411)/M2411,""))</f>
        <v/>
      </c>
      <c r="P2411" s="50">
        <f>IFERROR((I2411/T2411-1)/N2411,"")</f>
        <v/>
      </c>
      <c r="Q2411" s="46">
        <f>IF(OR(T2411="",I2411&lt;T2411),"",IFERROR(R2411/IF(G2411="",I2411,G2411)-1,""))</f>
        <v/>
      </c>
      <c r="R2411" s="48">
        <f>IF($M2411="","",MAX(IF($G2411="",$I2411,$G2411)*(1/1.1),IF($G2411="",$I2411,$G2411)+(R$2*$M2411)))</f>
        <v/>
      </c>
      <c r="S2411" s="49">
        <f>IF($M2411="","",MAX(IF($G2411="",$I2411,$G2411)*(1/1.1),IF($G2411="",$I2411,$G2411)+(S$2*$M2411)))</f>
        <v/>
      </c>
      <c r="T2411" s="82" t="n"/>
      <c r="U2411" s="47">
        <f>IF(OR($M2411="",$T2411=""),"",$T2411+(U$2*$M2411))</f>
        <v/>
      </c>
      <c r="V2411" s="48">
        <f>IF(OR($M2411="",$T2411=""),"",$T2411+(V$2*$M2411))</f>
        <v/>
      </c>
      <c r="W2411" s="48">
        <f>IF(OR($M2411="",$T2411=""),"",$T2411+(W$2*$M2411))</f>
        <v/>
      </c>
      <c r="X2411" s="49">
        <f>IF(OR($M2411="",$T2411=""),"",$T2411+(X$2*$M2411))</f>
        <v/>
      </c>
      <c r="Y2411" s="47">
        <f>IF(OR($M2411="",$T2411=""),"",$T2411+(Y$2*$M2411))</f>
        <v/>
      </c>
      <c r="Z2411" s="49">
        <f>IF(OR($M2411="",$T2411=""),"",$T2411+(Z$2*$M2411))</f>
        <v/>
      </c>
      <c r="AA2411" s="51">
        <f>IF(OR($M2411="",$T2411=""),"",$T2411+(AA$2*$M2411))</f>
        <v/>
      </c>
      <c r="AB2411" s="48">
        <f>IF(OR($M2411="",$T2411=""),"",$T2411+(AB$2*$M2411))</f>
        <v/>
      </c>
      <c r="AC2411" s="48">
        <f>IF(OR($M2411="",$T2411=""),"",$T2411+(AC$2*$M2411))</f>
        <v/>
      </c>
      <c r="AD2411" s="48">
        <f>IF(OR($M2411="",$T2411=""),"",$T2411+(AD$2*$M2411))</f>
        <v/>
      </c>
      <c r="AE2411" s="49">
        <f>IF(OR($M2411="",$T2411=""),"",$T2411+(AE$2*$M2411))</f>
        <v/>
      </c>
      <c r="AF2411" s="52">
        <f>IF(OR(T2411="",I2411&lt;T2411),"",IFERROR(AVERAGE(T2411+M2411*{7,8,9,10,11})/IF(G2411="",I2411,G2411)-1,""))</f>
        <v/>
      </c>
      <c r="AG2411" s="55">
        <f>IF(OR(T2411="",I2411&lt;T2411),"",IFERROR(AF2411/-(R2411/IF(G2411="",I2411,G2411)-1),""))</f>
        <v/>
      </c>
      <c r="AH2411" s="94" t="n"/>
      <c r="AI2411" s="94" t="n"/>
      <c r="AJ2411" s="94" t="n"/>
      <c r="AK2411" s="94" t="n"/>
      <c r="AL2411" s="84" t="n"/>
    </row>
    <row r="2412">
      <c r="A2412" s="64" t="n"/>
      <c r="B2412" s="65" t="n"/>
      <c r="C2412" s="66" t="n"/>
      <c r="D2412" s="67" t="n"/>
      <c r="E2412" s="68" t="n"/>
      <c r="F2412" s="47">
        <f>IF(A2412="","",IF(MIN(H2412,MAX(J2412:K2412))=0,"",MIN(H2412,MAX(J2412:K2412))))</f>
        <v/>
      </c>
      <c r="G2412" s="74" t="n"/>
      <c r="H2412" s="49">
        <f>IF(M2412="","",IFERROR(ROUND(AVERAGE(T2412+M2412*{7,8,9,10,11})/1.21,4),""))</f>
        <v/>
      </c>
      <c r="I2412" s="76" t="n"/>
      <c r="J2412" s="77" t="n"/>
      <c r="K2412" s="74" t="n"/>
      <c r="L2412" s="78" t="n"/>
      <c r="M2412" s="77" t="n"/>
      <c r="N2412" s="53">
        <f>IF(M2412="","",IFERROR(M2412/I2412,""))</f>
        <v/>
      </c>
      <c r="O2412" s="50">
        <f>IF(A2412="","",IFERROR((IF(G2412="",I2412,G2412)-T2412)/M2412,""))</f>
        <v/>
      </c>
      <c r="P2412" s="50">
        <f>IFERROR((I2412/T2412-1)/N2412,"")</f>
        <v/>
      </c>
      <c r="Q2412" s="46">
        <f>IF(OR(T2412="",I2412&lt;T2412),"",IFERROR(R2412/IF(G2412="",I2412,G2412)-1,""))</f>
        <v/>
      </c>
      <c r="R2412" s="48">
        <f>IF($M2412="","",MAX(IF($G2412="",$I2412,$G2412)*(1/1.1),IF($G2412="",$I2412,$G2412)+(R$2*$M2412)))</f>
        <v/>
      </c>
      <c r="S2412" s="49">
        <f>IF($M2412="","",MAX(IF($G2412="",$I2412,$G2412)*(1/1.1),IF($G2412="",$I2412,$G2412)+(S$2*$M2412)))</f>
        <v/>
      </c>
      <c r="T2412" s="82" t="n"/>
      <c r="U2412" s="47">
        <f>IF(OR($M2412="",$T2412=""),"",$T2412+(U$2*$M2412))</f>
        <v/>
      </c>
      <c r="V2412" s="48">
        <f>IF(OR($M2412="",$T2412=""),"",$T2412+(V$2*$M2412))</f>
        <v/>
      </c>
      <c r="W2412" s="48">
        <f>IF(OR($M2412="",$T2412=""),"",$T2412+(W$2*$M2412))</f>
        <v/>
      </c>
      <c r="X2412" s="49">
        <f>IF(OR($M2412="",$T2412=""),"",$T2412+(X$2*$M2412))</f>
        <v/>
      </c>
      <c r="Y2412" s="47">
        <f>IF(OR($M2412="",$T2412=""),"",$T2412+(Y$2*$M2412))</f>
        <v/>
      </c>
      <c r="Z2412" s="49">
        <f>IF(OR($M2412="",$T2412=""),"",$T2412+(Z$2*$M2412))</f>
        <v/>
      </c>
      <c r="AA2412" s="51">
        <f>IF(OR($M2412="",$T2412=""),"",$T2412+(AA$2*$M2412))</f>
        <v/>
      </c>
      <c r="AB2412" s="48">
        <f>IF(OR($M2412="",$T2412=""),"",$T2412+(AB$2*$M2412))</f>
        <v/>
      </c>
      <c r="AC2412" s="48">
        <f>IF(OR($M2412="",$T2412=""),"",$T2412+(AC$2*$M2412))</f>
        <v/>
      </c>
      <c r="AD2412" s="48">
        <f>IF(OR($M2412="",$T2412=""),"",$T2412+(AD$2*$M2412))</f>
        <v/>
      </c>
      <c r="AE2412" s="49">
        <f>IF(OR($M2412="",$T2412=""),"",$T2412+(AE$2*$M2412))</f>
        <v/>
      </c>
      <c r="AF2412" s="52">
        <f>IF(OR(T2412="",I2412&lt;T2412),"",IFERROR(AVERAGE(T2412+M2412*{7,8,9,10,11})/IF(G2412="",I2412,G2412)-1,""))</f>
        <v/>
      </c>
      <c r="AG2412" s="55">
        <f>IF(OR(T2412="",I2412&lt;T2412),"",IFERROR(AF2412/-(R2412/IF(G2412="",I2412,G2412)-1),""))</f>
        <v/>
      </c>
      <c r="AH2412" s="94" t="n"/>
      <c r="AI2412" s="94" t="n"/>
      <c r="AJ2412" s="94" t="n"/>
      <c r="AK2412" s="94" t="n"/>
      <c r="AL2412" s="84" t="n"/>
    </row>
    <row r="2413">
      <c r="A2413" s="64" t="n"/>
      <c r="B2413" s="65" t="n"/>
      <c r="C2413" s="66" t="n"/>
      <c r="D2413" s="67" t="n"/>
      <c r="E2413" s="68" t="n"/>
      <c r="F2413" s="47">
        <f>IF(A2413="","",IF(MIN(H2413,MAX(J2413:K2413))=0,"",MIN(H2413,MAX(J2413:K2413))))</f>
        <v/>
      </c>
      <c r="G2413" s="74" t="n"/>
      <c r="H2413" s="49">
        <f>IF(M2413="","",IFERROR(ROUND(AVERAGE(T2413+M2413*{7,8,9,10,11})/1.21,4),""))</f>
        <v/>
      </c>
      <c r="I2413" s="76" t="n"/>
      <c r="J2413" s="77" t="n"/>
      <c r="K2413" s="74" t="n"/>
      <c r="L2413" s="78" t="n"/>
      <c r="M2413" s="77" t="n"/>
      <c r="N2413" s="53">
        <f>IF(M2413="","",IFERROR(M2413/I2413,""))</f>
        <v/>
      </c>
      <c r="O2413" s="50">
        <f>IF(A2413="","",IFERROR((IF(G2413="",I2413,G2413)-T2413)/M2413,""))</f>
        <v/>
      </c>
      <c r="P2413" s="50">
        <f>IFERROR((I2413/T2413-1)/N2413,"")</f>
        <v/>
      </c>
      <c r="Q2413" s="46">
        <f>IF(OR(T2413="",I2413&lt;T2413),"",IFERROR(R2413/IF(G2413="",I2413,G2413)-1,""))</f>
        <v/>
      </c>
      <c r="R2413" s="48">
        <f>IF($M2413="","",MAX(IF($G2413="",$I2413,$G2413)*(1/1.1),IF($G2413="",$I2413,$G2413)+(R$2*$M2413)))</f>
        <v/>
      </c>
      <c r="S2413" s="49">
        <f>IF($M2413="","",MAX(IF($G2413="",$I2413,$G2413)*(1/1.1),IF($G2413="",$I2413,$G2413)+(S$2*$M2413)))</f>
        <v/>
      </c>
      <c r="T2413" s="82" t="n"/>
      <c r="U2413" s="47">
        <f>IF(OR($M2413="",$T2413=""),"",$T2413+(U$2*$M2413))</f>
        <v/>
      </c>
      <c r="V2413" s="48">
        <f>IF(OR($M2413="",$T2413=""),"",$T2413+(V$2*$M2413))</f>
        <v/>
      </c>
      <c r="W2413" s="48">
        <f>IF(OR($M2413="",$T2413=""),"",$T2413+(W$2*$M2413))</f>
        <v/>
      </c>
      <c r="X2413" s="49">
        <f>IF(OR($M2413="",$T2413=""),"",$T2413+(X$2*$M2413))</f>
        <v/>
      </c>
      <c r="Y2413" s="47">
        <f>IF(OR($M2413="",$T2413=""),"",$T2413+(Y$2*$M2413))</f>
        <v/>
      </c>
      <c r="Z2413" s="49">
        <f>IF(OR($M2413="",$T2413=""),"",$T2413+(Z$2*$M2413))</f>
        <v/>
      </c>
      <c r="AA2413" s="51">
        <f>IF(OR($M2413="",$T2413=""),"",$T2413+(AA$2*$M2413))</f>
        <v/>
      </c>
      <c r="AB2413" s="48">
        <f>IF(OR($M2413="",$T2413=""),"",$T2413+(AB$2*$M2413))</f>
        <v/>
      </c>
      <c r="AC2413" s="48">
        <f>IF(OR($M2413="",$T2413=""),"",$T2413+(AC$2*$M2413))</f>
        <v/>
      </c>
      <c r="AD2413" s="48">
        <f>IF(OR($M2413="",$T2413=""),"",$T2413+(AD$2*$M2413))</f>
        <v/>
      </c>
      <c r="AE2413" s="49">
        <f>IF(OR($M2413="",$T2413=""),"",$T2413+(AE$2*$M2413))</f>
        <v/>
      </c>
      <c r="AF2413" s="52">
        <f>IF(OR(T2413="",I2413&lt;T2413),"",IFERROR(AVERAGE(T2413+M2413*{7,8,9,10,11})/IF(G2413="",I2413,G2413)-1,""))</f>
        <v/>
      </c>
      <c r="AG2413" s="55">
        <f>IF(OR(T2413="",I2413&lt;T2413),"",IFERROR(AF2413/-(R2413/IF(G2413="",I2413,G2413)-1),""))</f>
        <v/>
      </c>
      <c r="AH2413" s="94" t="n"/>
      <c r="AI2413" s="94" t="n"/>
      <c r="AJ2413" s="94" t="n"/>
      <c r="AK2413" s="94" t="n"/>
      <c r="AL2413" s="84" t="n"/>
    </row>
    <row r="2414">
      <c r="A2414" s="64" t="n"/>
      <c r="B2414" s="65" t="n"/>
      <c r="C2414" s="66" t="n"/>
      <c r="D2414" s="67" t="n"/>
      <c r="E2414" s="68" t="n"/>
      <c r="F2414" s="47">
        <f>IF(A2414="","",IF(MIN(H2414,MAX(J2414:K2414))=0,"",MIN(H2414,MAX(J2414:K2414))))</f>
        <v/>
      </c>
      <c r="G2414" s="74" t="n"/>
      <c r="H2414" s="49">
        <f>IF(M2414="","",IFERROR(ROUND(AVERAGE(T2414+M2414*{7,8,9,10,11})/1.21,4),""))</f>
        <v/>
      </c>
      <c r="I2414" s="76" t="n"/>
      <c r="J2414" s="77" t="n"/>
      <c r="K2414" s="74" t="n"/>
      <c r="L2414" s="78" t="n"/>
      <c r="M2414" s="77" t="n"/>
      <c r="N2414" s="53">
        <f>IF(M2414="","",IFERROR(M2414/I2414,""))</f>
        <v/>
      </c>
      <c r="O2414" s="50">
        <f>IF(A2414="","",IFERROR((IF(G2414="",I2414,G2414)-T2414)/M2414,""))</f>
        <v/>
      </c>
      <c r="P2414" s="50">
        <f>IFERROR((I2414/T2414-1)/N2414,"")</f>
        <v/>
      </c>
      <c r="Q2414" s="46">
        <f>IF(OR(T2414="",I2414&lt;T2414),"",IFERROR(R2414/IF(G2414="",I2414,G2414)-1,""))</f>
        <v/>
      </c>
      <c r="R2414" s="48">
        <f>IF($M2414="","",MAX(IF($G2414="",$I2414,$G2414)*(1/1.1),IF($G2414="",$I2414,$G2414)+(R$2*$M2414)))</f>
        <v/>
      </c>
      <c r="S2414" s="49">
        <f>IF($M2414="","",MAX(IF($G2414="",$I2414,$G2414)*(1/1.1),IF($G2414="",$I2414,$G2414)+(S$2*$M2414)))</f>
        <v/>
      </c>
      <c r="T2414" s="82" t="n"/>
      <c r="U2414" s="47">
        <f>IF(OR($M2414="",$T2414=""),"",$T2414+(U$2*$M2414))</f>
        <v/>
      </c>
      <c r="V2414" s="48">
        <f>IF(OR($M2414="",$T2414=""),"",$T2414+(V$2*$M2414))</f>
        <v/>
      </c>
      <c r="W2414" s="48">
        <f>IF(OR($M2414="",$T2414=""),"",$T2414+(W$2*$M2414))</f>
        <v/>
      </c>
      <c r="X2414" s="49">
        <f>IF(OR($M2414="",$T2414=""),"",$T2414+(X$2*$M2414))</f>
        <v/>
      </c>
      <c r="Y2414" s="47">
        <f>IF(OR($M2414="",$T2414=""),"",$T2414+(Y$2*$M2414))</f>
        <v/>
      </c>
      <c r="Z2414" s="49">
        <f>IF(OR($M2414="",$T2414=""),"",$T2414+(Z$2*$M2414))</f>
        <v/>
      </c>
      <c r="AA2414" s="51">
        <f>IF(OR($M2414="",$T2414=""),"",$T2414+(AA$2*$M2414))</f>
        <v/>
      </c>
      <c r="AB2414" s="48">
        <f>IF(OR($M2414="",$T2414=""),"",$T2414+(AB$2*$M2414))</f>
        <v/>
      </c>
      <c r="AC2414" s="48">
        <f>IF(OR($M2414="",$T2414=""),"",$T2414+(AC$2*$M2414))</f>
        <v/>
      </c>
      <c r="AD2414" s="48">
        <f>IF(OR($M2414="",$T2414=""),"",$T2414+(AD$2*$M2414))</f>
        <v/>
      </c>
      <c r="AE2414" s="49">
        <f>IF(OR($M2414="",$T2414=""),"",$T2414+(AE$2*$M2414))</f>
        <v/>
      </c>
      <c r="AF2414" s="52">
        <f>IF(OR(T2414="",I2414&lt;T2414),"",IFERROR(AVERAGE(T2414+M2414*{7,8,9,10,11})/IF(G2414="",I2414,G2414)-1,""))</f>
        <v/>
      </c>
      <c r="AG2414" s="55">
        <f>IF(OR(T2414="",I2414&lt;T2414),"",IFERROR(AF2414/-(R2414/IF(G2414="",I2414,G2414)-1),""))</f>
        <v/>
      </c>
      <c r="AH2414" s="94" t="n"/>
      <c r="AI2414" s="94" t="n"/>
      <c r="AJ2414" s="94" t="n"/>
      <c r="AK2414" s="94" t="n"/>
      <c r="AL2414" s="84" t="n"/>
    </row>
    <row r="2415">
      <c r="A2415" s="64" t="n"/>
      <c r="B2415" s="65" t="n"/>
      <c r="C2415" s="66" t="n"/>
      <c r="D2415" s="67" t="n"/>
      <c r="E2415" s="68" t="n"/>
      <c r="F2415" s="47">
        <f>IF(A2415="","",IF(MIN(H2415,MAX(J2415:K2415))=0,"",MIN(H2415,MAX(J2415:K2415))))</f>
        <v/>
      </c>
      <c r="G2415" s="74" t="n"/>
      <c r="H2415" s="49">
        <f>IF(M2415="","",IFERROR(ROUND(AVERAGE(T2415+M2415*{7,8,9,10,11})/1.21,4),""))</f>
        <v/>
      </c>
      <c r="I2415" s="76" t="n"/>
      <c r="J2415" s="77" t="n"/>
      <c r="K2415" s="74" t="n"/>
      <c r="L2415" s="78" t="n"/>
      <c r="M2415" s="77" t="n"/>
      <c r="N2415" s="53">
        <f>IF(M2415="","",IFERROR(M2415/I2415,""))</f>
        <v/>
      </c>
      <c r="O2415" s="50">
        <f>IF(A2415="","",IFERROR((IF(G2415="",I2415,G2415)-T2415)/M2415,""))</f>
        <v/>
      </c>
      <c r="P2415" s="50">
        <f>IFERROR((I2415/T2415-1)/N2415,"")</f>
        <v/>
      </c>
      <c r="Q2415" s="46">
        <f>IF(OR(T2415="",I2415&lt;T2415),"",IFERROR(R2415/IF(G2415="",I2415,G2415)-1,""))</f>
        <v/>
      </c>
      <c r="R2415" s="48">
        <f>IF($M2415="","",MAX(IF($G2415="",$I2415,$G2415)*(1/1.1),IF($G2415="",$I2415,$G2415)+(R$2*$M2415)))</f>
        <v/>
      </c>
      <c r="S2415" s="49">
        <f>IF($M2415="","",MAX(IF($G2415="",$I2415,$G2415)*(1/1.1),IF($G2415="",$I2415,$G2415)+(S$2*$M2415)))</f>
        <v/>
      </c>
      <c r="T2415" s="82" t="n"/>
      <c r="U2415" s="47">
        <f>IF(OR($M2415="",$T2415=""),"",$T2415+(U$2*$M2415))</f>
        <v/>
      </c>
      <c r="V2415" s="48">
        <f>IF(OR($M2415="",$T2415=""),"",$T2415+(V$2*$M2415))</f>
        <v/>
      </c>
      <c r="W2415" s="48">
        <f>IF(OR($M2415="",$T2415=""),"",$T2415+(W$2*$M2415))</f>
        <v/>
      </c>
      <c r="X2415" s="49">
        <f>IF(OR($M2415="",$T2415=""),"",$T2415+(X$2*$M2415))</f>
        <v/>
      </c>
      <c r="Y2415" s="47">
        <f>IF(OR($M2415="",$T2415=""),"",$T2415+(Y$2*$M2415))</f>
        <v/>
      </c>
      <c r="Z2415" s="49">
        <f>IF(OR($M2415="",$T2415=""),"",$T2415+(Z$2*$M2415))</f>
        <v/>
      </c>
      <c r="AA2415" s="51">
        <f>IF(OR($M2415="",$T2415=""),"",$T2415+(AA$2*$M2415))</f>
        <v/>
      </c>
      <c r="AB2415" s="48">
        <f>IF(OR($M2415="",$T2415=""),"",$T2415+(AB$2*$M2415))</f>
        <v/>
      </c>
      <c r="AC2415" s="48">
        <f>IF(OR($M2415="",$T2415=""),"",$T2415+(AC$2*$M2415))</f>
        <v/>
      </c>
      <c r="AD2415" s="48">
        <f>IF(OR($M2415="",$T2415=""),"",$T2415+(AD$2*$M2415))</f>
        <v/>
      </c>
      <c r="AE2415" s="49">
        <f>IF(OR($M2415="",$T2415=""),"",$T2415+(AE$2*$M2415))</f>
        <v/>
      </c>
      <c r="AF2415" s="52">
        <f>IF(OR(T2415="",I2415&lt;T2415),"",IFERROR(AVERAGE(T2415+M2415*{7,8,9,10,11})/IF(G2415="",I2415,G2415)-1,""))</f>
        <v/>
      </c>
      <c r="AG2415" s="55">
        <f>IF(OR(T2415="",I2415&lt;T2415),"",IFERROR(AF2415/-(R2415/IF(G2415="",I2415,G2415)-1),""))</f>
        <v/>
      </c>
      <c r="AH2415" s="94" t="n"/>
      <c r="AI2415" s="94" t="n"/>
      <c r="AJ2415" s="94" t="n"/>
      <c r="AK2415" s="94" t="n"/>
      <c r="AL2415" s="84" t="n"/>
    </row>
    <row r="2416">
      <c r="A2416" s="64" t="n"/>
      <c r="B2416" s="65" t="n"/>
      <c r="C2416" s="66" t="n"/>
      <c r="D2416" s="67" t="n"/>
      <c r="E2416" s="68" t="n"/>
      <c r="F2416" s="47">
        <f>IF(A2416="","",IF(MIN(H2416,MAX(J2416:K2416))=0,"",MIN(H2416,MAX(J2416:K2416))))</f>
        <v/>
      </c>
      <c r="G2416" s="74" t="n"/>
      <c r="H2416" s="49">
        <f>IF(M2416="","",IFERROR(ROUND(AVERAGE(T2416+M2416*{7,8,9,10,11})/1.21,4),""))</f>
        <v/>
      </c>
      <c r="I2416" s="76" t="n"/>
      <c r="J2416" s="77" t="n"/>
      <c r="K2416" s="74" t="n"/>
      <c r="L2416" s="78" t="n"/>
      <c r="M2416" s="77" t="n"/>
      <c r="N2416" s="53">
        <f>IF(M2416="","",IFERROR(M2416/I2416,""))</f>
        <v/>
      </c>
      <c r="O2416" s="50">
        <f>IF(A2416="","",IFERROR((IF(G2416="",I2416,G2416)-T2416)/M2416,""))</f>
        <v/>
      </c>
      <c r="P2416" s="50">
        <f>IFERROR((I2416/T2416-1)/N2416,"")</f>
        <v/>
      </c>
      <c r="Q2416" s="46">
        <f>IF(OR(T2416="",I2416&lt;T2416),"",IFERROR(R2416/IF(G2416="",I2416,G2416)-1,""))</f>
        <v/>
      </c>
      <c r="R2416" s="48">
        <f>IF($M2416="","",MAX(IF($G2416="",$I2416,$G2416)*(1/1.1),IF($G2416="",$I2416,$G2416)+(R$2*$M2416)))</f>
        <v/>
      </c>
      <c r="S2416" s="49">
        <f>IF($M2416="","",MAX(IF($G2416="",$I2416,$G2416)*(1/1.1),IF($G2416="",$I2416,$G2416)+(S$2*$M2416)))</f>
        <v/>
      </c>
      <c r="T2416" s="82" t="n"/>
      <c r="U2416" s="47">
        <f>IF(OR($M2416="",$T2416=""),"",$T2416+(U$2*$M2416))</f>
        <v/>
      </c>
      <c r="V2416" s="48">
        <f>IF(OR($M2416="",$T2416=""),"",$T2416+(V$2*$M2416))</f>
        <v/>
      </c>
      <c r="W2416" s="48">
        <f>IF(OR($M2416="",$T2416=""),"",$T2416+(W$2*$M2416))</f>
        <v/>
      </c>
      <c r="X2416" s="49">
        <f>IF(OR($M2416="",$T2416=""),"",$T2416+(X$2*$M2416))</f>
        <v/>
      </c>
      <c r="Y2416" s="47">
        <f>IF(OR($M2416="",$T2416=""),"",$T2416+(Y$2*$M2416))</f>
        <v/>
      </c>
      <c r="Z2416" s="49">
        <f>IF(OR($M2416="",$T2416=""),"",$T2416+(Z$2*$M2416))</f>
        <v/>
      </c>
      <c r="AA2416" s="51">
        <f>IF(OR($M2416="",$T2416=""),"",$T2416+(AA$2*$M2416))</f>
        <v/>
      </c>
      <c r="AB2416" s="48">
        <f>IF(OR($M2416="",$T2416=""),"",$T2416+(AB$2*$M2416))</f>
        <v/>
      </c>
      <c r="AC2416" s="48">
        <f>IF(OR($M2416="",$T2416=""),"",$T2416+(AC$2*$M2416))</f>
        <v/>
      </c>
      <c r="AD2416" s="48">
        <f>IF(OR($M2416="",$T2416=""),"",$T2416+(AD$2*$M2416))</f>
        <v/>
      </c>
      <c r="AE2416" s="49">
        <f>IF(OR($M2416="",$T2416=""),"",$T2416+(AE$2*$M2416))</f>
        <v/>
      </c>
      <c r="AF2416" s="52">
        <f>IF(OR(T2416="",I2416&lt;T2416),"",IFERROR(AVERAGE(T2416+M2416*{7,8,9,10,11})/IF(G2416="",I2416,G2416)-1,""))</f>
        <v/>
      </c>
      <c r="AG2416" s="55">
        <f>IF(OR(T2416="",I2416&lt;T2416),"",IFERROR(AF2416/-(R2416/IF(G2416="",I2416,G2416)-1),""))</f>
        <v/>
      </c>
      <c r="AH2416" s="94" t="n"/>
      <c r="AI2416" s="94" t="n"/>
      <c r="AJ2416" s="94" t="n"/>
      <c r="AK2416" s="94" t="n"/>
      <c r="AL2416" s="84" t="n"/>
    </row>
    <row r="2417">
      <c r="A2417" s="64" t="n"/>
      <c r="B2417" s="65" t="n"/>
      <c r="C2417" s="66" t="n"/>
      <c r="D2417" s="67" t="n"/>
      <c r="E2417" s="68" t="n"/>
      <c r="F2417" s="47">
        <f>IF(A2417="","",IF(MIN(H2417,MAX(J2417:K2417))=0,"",MIN(H2417,MAX(J2417:K2417))))</f>
        <v/>
      </c>
      <c r="G2417" s="74" t="n"/>
      <c r="H2417" s="49">
        <f>IF(M2417="","",IFERROR(ROUND(AVERAGE(T2417+M2417*{7,8,9,10,11})/1.21,4),""))</f>
        <v/>
      </c>
      <c r="I2417" s="76" t="n"/>
      <c r="J2417" s="77" t="n"/>
      <c r="K2417" s="74" t="n"/>
      <c r="L2417" s="78" t="n"/>
      <c r="M2417" s="77" t="n"/>
      <c r="N2417" s="53">
        <f>IF(M2417="","",IFERROR(M2417/I2417,""))</f>
        <v/>
      </c>
      <c r="O2417" s="50">
        <f>IF(A2417="","",IFERROR((IF(G2417="",I2417,G2417)-T2417)/M2417,""))</f>
        <v/>
      </c>
      <c r="P2417" s="50">
        <f>IFERROR((I2417/T2417-1)/N2417,"")</f>
        <v/>
      </c>
      <c r="Q2417" s="46">
        <f>IF(OR(T2417="",I2417&lt;T2417),"",IFERROR(R2417/IF(G2417="",I2417,G2417)-1,""))</f>
        <v/>
      </c>
      <c r="R2417" s="48">
        <f>IF($M2417="","",MAX(IF($G2417="",$I2417,$G2417)*(1/1.1),IF($G2417="",$I2417,$G2417)+(R$2*$M2417)))</f>
        <v/>
      </c>
      <c r="S2417" s="49">
        <f>IF($M2417="","",MAX(IF($G2417="",$I2417,$G2417)*(1/1.1),IF($G2417="",$I2417,$G2417)+(S$2*$M2417)))</f>
        <v/>
      </c>
      <c r="T2417" s="82" t="n"/>
      <c r="U2417" s="47">
        <f>IF(OR($M2417="",$T2417=""),"",$T2417+(U$2*$M2417))</f>
        <v/>
      </c>
      <c r="V2417" s="48">
        <f>IF(OR($M2417="",$T2417=""),"",$T2417+(V$2*$M2417))</f>
        <v/>
      </c>
      <c r="W2417" s="48">
        <f>IF(OR($M2417="",$T2417=""),"",$T2417+(W$2*$M2417))</f>
        <v/>
      </c>
      <c r="X2417" s="49">
        <f>IF(OR($M2417="",$T2417=""),"",$T2417+(X$2*$M2417))</f>
        <v/>
      </c>
      <c r="Y2417" s="47">
        <f>IF(OR($M2417="",$T2417=""),"",$T2417+(Y$2*$M2417))</f>
        <v/>
      </c>
      <c r="Z2417" s="49">
        <f>IF(OR($M2417="",$T2417=""),"",$T2417+(Z$2*$M2417))</f>
        <v/>
      </c>
      <c r="AA2417" s="51">
        <f>IF(OR($M2417="",$T2417=""),"",$T2417+(AA$2*$M2417))</f>
        <v/>
      </c>
      <c r="AB2417" s="48">
        <f>IF(OR($M2417="",$T2417=""),"",$T2417+(AB$2*$M2417))</f>
        <v/>
      </c>
      <c r="AC2417" s="48">
        <f>IF(OR($M2417="",$T2417=""),"",$T2417+(AC$2*$M2417))</f>
        <v/>
      </c>
      <c r="AD2417" s="48">
        <f>IF(OR($M2417="",$T2417=""),"",$T2417+(AD$2*$M2417))</f>
        <v/>
      </c>
      <c r="AE2417" s="49">
        <f>IF(OR($M2417="",$T2417=""),"",$T2417+(AE$2*$M2417))</f>
        <v/>
      </c>
      <c r="AF2417" s="52">
        <f>IF(OR(T2417="",I2417&lt;T2417),"",IFERROR(AVERAGE(T2417+M2417*{7,8,9,10,11})/IF(G2417="",I2417,G2417)-1,""))</f>
        <v/>
      </c>
      <c r="AG2417" s="55">
        <f>IF(OR(T2417="",I2417&lt;T2417),"",IFERROR(AF2417/-(R2417/IF(G2417="",I2417,G2417)-1),""))</f>
        <v/>
      </c>
      <c r="AH2417" s="94" t="n"/>
      <c r="AI2417" s="94" t="n"/>
      <c r="AJ2417" s="94" t="n"/>
      <c r="AK2417" s="94" t="n"/>
      <c r="AL2417" s="84" t="n"/>
    </row>
    <row r="2418">
      <c r="A2418" s="64" t="n"/>
      <c r="B2418" s="65" t="n"/>
      <c r="C2418" s="66" t="n"/>
      <c r="D2418" s="67" t="n"/>
      <c r="E2418" s="68" t="n"/>
      <c r="F2418" s="47">
        <f>IF(A2418="","",IF(MIN(H2418,MAX(J2418:K2418))=0,"",MIN(H2418,MAX(J2418:K2418))))</f>
        <v/>
      </c>
      <c r="G2418" s="74" t="n"/>
      <c r="H2418" s="49">
        <f>IF(M2418="","",IFERROR(ROUND(AVERAGE(T2418+M2418*{7,8,9,10,11})/1.21,4),""))</f>
        <v/>
      </c>
      <c r="I2418" s="76" t="n"/>
      <c r="J2418" s="77" t="n"/>
      <c r="K2418" s="74" t="n"/>
      <c r="L2418" s="78" t="n"/>
      <c r="M2418" s="77" t="n"/>
      <c r="N2418" s="53">
        <f>IF(M2418="","",IFERROR(M2418/I2418,""))</f>
        <v/>
      </c>
      <c r="O2418" s="50">
        <f>IF(A2418="","",IFERROR((IF(G2418="",I2418,G2418)-T2418)/M2418,""))</f>
        <v/>
      </c>
      <c r="P2418" s="50">
        <f>IFERROR((I2418/T2418-1)/N2418,"")</f>
        <v/>
      </c>
      <c r="Q2418" s="46">
        <f>IF(OR(T2418="",I2418&lt;T2418),"",IFERROR(R2418/IF(G2418="",I2418,G2418)-1,""))</f>
        <v/>
      </c>
      <c r="R2418" s="48">
        <f>IF($M2418="","",MAX(IF($G2418="",$I2418,$G2418)*(1/1.1),IF($G2418="",$I2418,$G2418)+(R$2*$M2418)))</f>
        <v/>
      </c>
      <c r="S2418" s="49">
        <f>IF($M2418="","",MAX(IF($G2418="",$I2418,$G2418)*(1/1.1),IF($G2418="",$I2418,$G2418)+(S$2*$M2418)))</f>
        <v/>
      </c>
      <c r="T2418" s="82" t="n"/>
      <c r="U2418" s="47">
        <f>IF(OR($M2418="",$T2418=""),"",$T2418+(U$2*$M2418))</f>
        <v/>
      </c>
      <c r="V2418" s="48">
        <f>IF(OR($M2418="",$T2418=""),"",$T2418+(V$2*$M2418))</f>
        <v/>
      </c>
      <c r="W2418" s="48">
        <f>IF(OR($M2418="",$T2418=""),"",$T2418+(W$2*$M2418))</f>
        <v/>
      </c>
      <c r="X2418" s="49">
        <f>IF(OR($M2418="",$T2418=""),"",$T2418+(X$2*$M2418))</f>
        <v/>
      </c>
      <c r="Y2418" s="47">
        <f>IF(OR($M2418="",$T2418=""),"",$T2418+(Y$2*$M2418))</f>
        <v/>
      </c>
      <c r="Z2418" s="49">
        <f>IF(OR($M2418="",$T2418=""),"",$T2418+(Z$2*$M2418))</f>
        <v/>
      </c>
      <c r="AA2418" s="51">
        <f>IF(OR($M2418="",$T2418=""),"",$T2418+(AA$2*$M2418))</f>
        <v/>
      </c>
      <c r="AB2418" s="48">
        <f>IF(OR($M2418="",$T2418=""),"",$T2418+(AB$2*$M2418))</f>
        <v/>
      </c>
      <c r="AC2418" s="48">
        <f>IF(OR($M2418="",$T2418=""),"",$T2418+(AC$2*$M2418))</f>
        <v/>
      </c>
      <c r="AD2418" s="48">
        <f>IF(OR($M2418="",$T2418=""),"",$T2418+(AD$2*$M2418))</f>
        <v/>
      </c>
      <c r="AE2418" s="49">
        <f>IF(OR($M2418="",$T2418=""),"",$T2418+(AE$2*$M2418))</f>
        <v/>
      </c>
      <c r="AF2418" s="52">
        <f>IF(OR(T2418="",I2418&lt;T2418),"",IFERROR(AVERAGE(T2418+M2418*{7,8,9,10,11})/IF(G2418="",I2418,G2418)-1,""))</f>
        <v/>
      </c>
      <c r="AG2418" s="55">
        <f>IF(OR(T2418="",I2418&lt;T2418),"",IFERROR(AF2418/-(R2418/IF(G2418="",I2418,G2418)-1),""))</f>
        <v/>
      </c>
      <c r="AH2418" s="94" t="n"/>
      <c r="AI2418" s="94" t="n"/>
      <c r="AJ2418" s="94" t="n"/>
      <c r="AK2418" s="94" t="n"/>
      <c r="AL2418" s="84" t="n"/>
    </row>
    <row r="2419">
      <c r="A2419" s="64" t="n"/>
      <c r="B2419" s="65" t="n"/>
      <c r="C2419" s="66" t="n"/>
      <c r="D2419" s="67" t="n"/>
      <c r="E2419" s="68" t="n"/>
      <c r="F2419" s="47">
        <f>IF(A2419="","",IF(MIN(H2419,MAX(J2419:K2419))=0,"",MIN(H2419,MAX(J2419:K2419))))</f>
        <v/>
      </c>
      <c r="G2419" s="74" t="n"/>
      <c r="H2419" s="49">
        <f>IF(M2419="","",IFERROR(ROUND(AVERAGE(T2419+M2419*{7,8,9,10,11})/1.21,4),""))</f>
        <v/>
      </c>
      <c r="I2419" s="76" t="n"/>
      <c r="J2419" s="77" t="n"/>
      <c r="K2419" s="74" t="n"/>
      <c r="L2419" s="78" t="n"/>
      <c r="M2419" s="77" t="n"/>
      <c r="N2419" s="53">
        <f>IF(M2419="","",IFERROR(M2419/I2419,""))</f>
        <v/>
      </c>
      <c r="O2419" s="50">
        <f>IF(A2419="","",IFERROR((IF(G2419="",I2419,G2419)-T2419)/M2419,""))</f>
        <v/>
      </c>
      <c r="P2419" s="50">
        <f>IFERROR((I2419/T2419-1)/N2419,"")</f>
        <v/>
      </c>
      <c r="Q2419" s="46">
        <f>IF(OR(T2419="",I2419&lt;T2419),"",IFERROR(R2419/IF(G2419="",I2419,G2419)-1,""))</f>
        <v/>
      </c>
      <c r="R2419" s="48">
        <f>IF($M2419="","",MAX(IF($G2419="",$I2419,$G2419)*(1/1.1),IF($G2419="",$I2419,$G2419)+(R$2*$M2419)))</f>
        <v/>
      </c>
      <c r="S2419" s="49">
        <f>IF($M2419="","",MAX(IF($G2419="",$I2419,$G2419)*(1/1.1),IF($G2419="",$I2419,$G2419)+(S$2*$M2419)))</f>
        <v/>
      </c>
      <c r="T2419" s="82" t="n"/>
      <c r="U2419" s="47">
        <f>IF(OR($M2419="",$T2419=""),"",$T2419+(U$2*$M2419))</f>
        <v/>
      </c>
      <c r="V2419" s="48">
        <f>IF(OR($M2419="",$T2419=""),"",$T2419+(V$2*$M2419))</f>
        <v/>
      </c>
      <c r="W2419" s="48">
        <f>IF(OR($M2419="",$T2419=""),"",$T2419+(W$2*$M2419))</f>
        <v/>
      </c>
      <c r="X2419" s="49">
        <f>IF(OR($M2419="",$T2419=""),"",$T2419+(X$2*$M2419))</f>
        <v/>
      </c>
      <c r="Y2419" s="47">
        <f>IF(OR($M2419="",$T2419=""),"",$T2419+(Y$2*$M2419))</f>
        <v/>
      </c>
      <c r="Z2419" s="49">
        <f>IF(OR($M2419="",$T2419=""),"",$T2419+(Z$2*$M2419))</f>
        <v/>
      </c>
      <c r="AA2419" s="51">
        <f>IF(OR($M2419="",$T2419=""),"",$T2419+(AA$2*$M2419))</f>
        <v/>
      </c>
      <c r="AB2419" s="48">
        <f>IF(OR($M2419="",$T2419=""),"",$T2419+(AB$2*$M2419))</f>
        <v/>
      </c>
      <c r="AC2419" s="48">
        <f>IF(OR($M2419="",$T2419=""),"",$T2419+(AC$2*$M2419))</f>
        <v/>
      </c>
      <c r="AD2419" s="48">
        <f>IF(OR($M2419="",$T2419=""),"",$T2419+(AD$2*$M2419))</f>
        <v/>
      </c>
      <c r="AE2419" s="49">
        <f>IF(OR($M2419="",$T2419=""),"",$T2419+(AE$2*$M2419))</f>
        <v/>
      </c>
      <c r="AF2419" s="52">
        <f>IF(OR(T2419="",I2419&lt;T2419),"",IFERROR(AVERAGE(T2419+M2419*{7,8,9,10,11})/IF(G2419="",I2419,G2419)-1,""))</f>
        <v/>
      </c>
      <c r="AG2419" s="55">
        <f>IF(OR(T2419="",I2419&lt;T2419),"",IFERROR(AF2419/-(R2419/IF(G2419="",I2419,G2419)-1),""))</f>
        <v/>
      </c>
      <c r="AH2419" s="94" t="n"/>
      <c r="AI2419" s="94" t="n"/>
      <c r="AJ2419" s="94" t="n"/>
      <c r="AK2419" s="94" t="n"/>
      <c r="AL2419" s="84" t="n"/>
    </row>
    <row r="2420">
      <c r="A2420" s="64" t="n"/>
      <c r="B2420" s="65" t="n"/>
      <c r="C2420" s="66" t="n"/>
      <c r="D2420" s="67" t="n"/>
      <c r="E2420" s="68" t="n"/>
      <c r="F2420" s="47">
        <f>IF(A2420="","",IF(MIN(H2420,MAX(J2420:K2420))=0,"",MIN(H2420,MAX(J2420:K2420))))</f>
        <v/>
      </c>
      <c r="G2420" s="74" t="n"/>
      <c r="H2420" s="49">
        <f>IF(M2420="","",IFERROR(ROUND(AVERAGE(T2420+M2420*{7,8,9,10,11})/1.21,4),""))</f>
        <v/>
      </c>
      <c r="I2420" s="76" t="n"/>
      <c r="J2420" s="77" t="n"/>
      <c r="K2420" s="74" t="n"/>
      <c r="L2420" s="78" t="n"/>
      <c r="M2420" s="77" t="n"/>
      <c r="N2420" s="53">
        <f>IF(M2420="","",IFERROR(M2420/I2420,""))</f>
        <v/>
      </c>
      <c r="O2420" s="50">
        <f>IF(A2420="","",IFERROR((IF(G2420="",I2420,G2420)-T2420)/M2420,""))</f>
        <v/>
      </c>
      <c r="P2420" s="50">
        <f>IFERROR((I2420/T2420-1)/N2420,"")</f>
        <v/>
      </c>
      <c r="Q2420" s="46">
        <f>IF(OR(T2420="",I2420&lt;T2420),"",IFERROR(R2420/IF(G2420="",I2420,G2420)-1,""))</f>
        <v/>
      </c>
      <c r="R2420" s="48">
        <f>IF($M2420="","",MAX(IF($G2420="",$I2420,$G2420)*(1/1.1),IF($G2420="",$I2420,$G2420)+(R$2*$M2420)))</f>
        <v/>
      </c>
      <c r="S2420" s="49">
        <f>IF($M2420="","",MAX(IF($G2420="",$I2420,$G2420)*(1/1.1),IF($G2420="",$I2420,$G2420)+(S$2*$M2420)))</f>
        <v/>
      </c>
      <c r="T2420" s="82" t="n"/>
      <c r="U2420" s="47">
        <f>IF(OR($M2420="",$T2420=""),"",$T2420+(U$2*$M2420))</f>
        <v/>
      </c>
      <c r="V2420" s="48">
        <f>IF(OR($M2420="",$T2420=""),"",$T2420+(V$2*$M2420))</f>
        <v/>
      </c>
      <c r="W2420" s="48">
        <f>IF(OR($M2420="",$T2420=""),"",$T2420+(W$2*$M2420))</f>
        <v/>
      </c>
      <c r="X2420" s="49">
        <f>IF(OR($M2420="",$T2420=""),"",$T2420+(X$2*$M2420))</f>
        <v/>
      </c>
      <c r="Y2420" s="47">
        <f>IF(OR($M2420="",$T2420=""),"",$T2420+(Y$2*$M2420))</f>
        <v/>
      </c>
      <c r="Z2420" s="49">
        <f>IF(OR($M2420="",$T2420=""),"",$T2420+(Z$2*$M2420))</f>
        <v/>
      </c>
      <c r="AA2420" s="51">
        <f>IF(OR($M2420="",$T2420=""),"",$T2420+(AA$2*$M2420))</f>
        <v/>
      </c>
      <c r="AB2420" s="48">
        <f>IF(OR($M2420="",$T2420=""),"",$T2420+(AB$2*$M2420))</f>
        <v/>
      </c>
      <c r="AC2420" s="48">
        <f>IF(OR($M2420="",$T2420=""),"",$T2420+(AC$2*$M2420))</f>
        <v/>
      </c>
      <c r="AD2420" s="48">
        <f>IF(OR($M2420="",$T2420=""),"",$T2420+(AD$2*$M2420))</f>
        <v/>
      </c>
      <c r="AE2420" s="49">
        <f>IF(OR($M2420="",$T2420=""),"",$T2420+(AE$2*$M2420))</f>
        <v/>
      </c>
      <c r="AF2420" s="52">
        <f>IF(OR(T2420="",I2420&lt;T2420),"",IFERROR(AVERAGE(T2420+M2420*{7,8,9,10,11})/IF(G2420="",I2420,G2420)-1,""))</f>
        <v/>
      </c>
      <c r="AG2420" s="55">
        <f>IF(OR(T2420="",I2420&lt;T2420),"",IFERROR(AF2420/-(R2420/IF(G2420="",I2420,G2420)-1),""))</f>
        <v/>
      </c>
      <c r="AH2420" s="94" t="n"/>
      <c r="AI2420" s="94" t="n"/>
      <c r="AJ2420" s="94" t="n"/>
      <c r="AK2420" s="94" t="n"/>
      <c r="AL2420" s="84" t="n"/>
    </row>
    <row r="2421">
      <c r="A2421" s="64" t="n"/>
      <c r="B2421" s="65" t="n"/>
      <c r="C2421" s="66" t="n"/>
      <c r="D2421" s="67" t="n"/>
      <c r="E2421" s="68" t="n"/>
      <c r="F2421" s="47">
        <f>IF(A2421="","",IF(MIN(H2421,MAX(J2421:K2421))=0,"",MIN(H2421,MAX(J2421:K2421))))</f>
        <v/>
      </c>
      <c r="G2421" s="74" t="n"/>
      <c r="H2421" s="49">
        <f>IF(M2421="","",IFERROR(ROUND(AVERAGE(T2421+M2421*{7,8,9,10,11})/1.21,4),""))</f>
        <v/>
      </c>
      <c r="I2421" s="76" t="n"/>
      <c r="J2421" s="77" t="n"/>
      <c r="K2421" s="74" t="n"/>
      <c r="L2421" s="78" t="n"/>
      <c r="M2421" s="77" t="n"/>
      <c r="N2421" s="53">
        <f>IF(M2421="","",IFERROR(M2421/I2421,""))</f>
        <v/>
      </c>
      <c r="O2421" s="50">
        <f>IF(A2421="","",IFERROR((IF(G2421="",I2421,G2421)-T2421)/M2421,""))</f>
        <v/>
      </c>
      <c r="P2421" s="50">
        <f>IFERROR((I2421/T2421-1)/N2421,"")</f>
        <v/>
      </c>
      <c r="Q2421" s="46">
        <f>IF(OR(T2421="",I2421&lt;T2421),"",IFERROR(R2421/IF(G2421="",I2421,G2421)-1,""))</f>
        <v/>
      </c>
      <c r="R2421" s="48">
        <f>IF($M2421="","",MAX(IF($G2421="",$I2421,$G2421)*(1/1.1),IF($G2421="",$I2421,$G2421)+(R$2*$M2421)))</f>
        <v/>
      </c>
      <c r="S2421" s="49">
        <f>IF($M2421="","",MAX(IF($G2421="",$I2421,$G2421)*(1/1.1),IF($G2421="",$I2421,$G2421)+(S$2*$M2421)))</f>
        <v/>
      </c>
      <c r="T2421" s="82" t="n"/>
      <c r="U2421" s="47">
        <f>IF(OR($M2421="",$T2421=""),"",$T2421+(U$2*$M2421))</f>
        <v/>
      </c>
      <c r="V2421" s="48">
        <f>IF(OR($M2421="",$T2421=""),"",$T2421+(V$2*$M2421))</f>
        <v/>
      </c>
      <c r="W2421" s="48">
        <f>IF(OR($M2421="",$T2421=""),"",$T2421+(W$2*$M2421))</f>
        <v/>
      </c>
      <c r="X2421" s="49">
        <f>IF(OR($M2421="",$T2421=""),"",$T2421+(X$2*$M2421))</f>
        <v/>
      </c>
      <c r="Y2421" s="47">
        <f>IF(OR($M2421="",$T2421=""),"",$T2421+(Y$2*$M2421))</f>
        <v/>
      </c>
      <c r="Z2421" s="49">
        <f>IF(OR($M2421="",$T2421=""),"",$T2421+(Z$2*$M2421))</f>
        <v/>
      </c>
      <c r="AA2421" s="51">
        <f>IF(OR($M2421="",$T2421=""),"",$T2421+(AA$2*$M2421))</f>
        <v/>
      </c>
      <c r="AB2421" s="48">
        <f>IF(OR($M2421="",$T2421=""),"",$T2421+(AB$2*$M2421))</f>
        <v/>
      </c>
      <c r="AC2421" s="48">
        <f>IF(OR($M2421="",$T2421=""),"",$T2421+(AC$2*$M2421))</f>
        <v/>
      </c>
      <c r="AD2421" s="48">
        <f>IF(OR($M2421="",$T2421=""),"",$T2421+(AD$2*$M2421))</f>
        <v/>
      </c>
      <c r="AE2421" s="49">
        <f>IF(OR($M2421="",$T2421=""),"",$T2421+(AE$2*$M2421))</f>
        <v/>
      </c>
      <c r="AF2421" s="52">
        <f>IF(OR(T2421="",I2421&lt;T2421),"",IFERROR(AVERAGE(T2421+M2421*{7,8,9,10,11})/IF(G2421="",I2421,G2421)-1,""))</f>
        <v/>
      </c>
      <c r="AG2421" s="55">
        <f>IF(OR(T2421="",I2421&lt;T2421),"",IFERROR(AF2421/-(R2421/IF(G2421="",I2421,G2421)-1),""))</f>
        <v/>
      </c>
      <c r="AH2421" s="94" t="n"/>
      <c r="AI2421" s="94" t="n"/>
      <c r="AJ2421" s="94" t="n"/>
      <c r="AK2421" s="94" t="n"/>
      <c r="AL2421" s="84" t="n"/>
    </row>
    <row r="2422">
      <c r="A2422" s="64" t="n"/>
      <c r="B2422" s="65" t="n"/>
      <c r="C2422" s="66" t="n"/>
      <c r="D2422" s="67" t="n"/>
      <c r="E2422" s="68" t="n"/>
      <c r="F2422" s="47">
        <f>IF(A2422="","",IF(MIN(H2422,MAX(J2422:K2422))=0,"",MIN(H2422,MAX(J2422:K2422))))</f>
        <v/>
      </c>
      <c r="G2422" s="74" t="n"/>
      <c r="H2422" s="49">
        <f>IF(M2422="","",IFERROR(ROUND(AVERAGE(T2422+M2422*{7,8,9,10,11})/1.21,4),""))</f>
        <v/>
      </c>
      <c r="I2422" s="76" t="n"/>
      <c r="J2422" s="77" t="n"/>
      <c r="K2422" s="74" t="n"/>
      <c r="L2422" s="78" t="n"/>
      <c r="M2422" s="77" t="n"/>
      <c r="N2422" s="53">
        <f>IF(M2422="","",IFERROR(M2422/I2422,""))</f>
        <v/>
      </c>
      <c r="O2422" s="50">
        <f>IF(A2422="","",IFERROR((IF(G2422="",I2422,G2422)-T2422)/M2422,""))</f>
        <v/>
      </c>
      <c r="P2422" s="50">
        <f>IFERROR((I2422/T2422-1)/N2422,"")</f>
        <v/>
      </c>
      <c r="Q2422" s="46">
        <f>IF(OR(T2422="",I2422&lt;T2422),"",IFERROR(R2422/IF(G2422="",I2422,G2422)-1,""))</f>
        <v/>
      </c>
      <c r="R2422" s="48">
        <f>IF($M2422="","",MAX(IF($G2422="",$I2422,$G2422)*(1/1.1),IF($G2422="",$I2422,$G2422)+(R$2*$M2422)))</f>
        <v/>
      </c>
      <c r="S2422" s="49">
        <f>IF($M2422="","",MAX(IF($G2422="",$I2422,$G2422)*(1/1.1),IF($G2422="",$I2422,$G2422)+(S$2*$M2422)))</f>
        <v/>
      </c>
      <c r="T2422" s="82" t="n"/>
      <c r="U2422" s="47">
        <f>IF(OR($M2422="",$T2422=""),"",$T2422+(U$2*$M2422))</f>
        <v/>
      </c>
      <c r="V2422" s="48">
        <f>IF(OR($M2422="",$T2422=""),"",$T2422+(V$2*$M2422))</f>
        <v/>
      </c>
      <c r="W2422" s="48">
        <f>IF(OR($M2422="",$T2422=""),"",$T2422+(W$2*$M2422))</f>
        <v/>
      </c>
      <c r="X2422" s="49">
        <f>IF(OR($M2422="",$T2422=""),"",$T2422+(X$2*$M2422))</f>
        <v/>
      </c>
      <c r="Y2422" s="47">
        <f>IF(OR($M2422="",$T2422=""),"",$T2422+(Y$2*$M2422))</f>
        <v/>
      </c>
      <c r="Z2422" s="49">
        <f>IF(OR($M2422="",$T2422=""),"",$T2422+(Z$2*$M2422))</f>
        <v/>
      </c>
      <c r="AA2422" s="51">
        <f>IF(OR($M2422="",$T2422=""),"",$T2422+(AA$2*$M2422))</f>
        <v/>
      </c>
      <c r="AB2422" s="48">
        <f>IF(OR($M2422="",$T2422=""),"",$T2422+(AB$2*$M2422))</f>
        <v/>
      </c>
      <c r="AC2422" s="48">
        <f>IF(OR($M2422="",$T2422=""),"",$T2422+(AC$2*$M2422))</f>
        <v/>
      </c>
      <c r="AD2422" s="48">
        <f>IF(OR($M2422="",$T2422=""),"",$T2422+(AD$2*$M2422))</f>
        <v/>
      </c>
      <c r="AE2422" s="49">
        <f>IF(OR($M2422="",$T2422=""),"",$T2422+(AE$2*$M2422))</f>
        <v/>
      </c>
      <c r="AF2422" s="52">
        <f>IF(OR(T2422="",I2422&lt;T2422),"",IFERROR(AVERAGE(T2422+M2422*{7,8,9,10,11})/IF(G2422="",I2422,G2422)-1,""))</f>
        <v/>
      </c>
      <c r="AG2422" s="55">
        <f>IF(OR(T2422="",I2422&lt;T2422),"",IFERROR(AF2422/-(R2422/IF(G2422="",I2422,G2422)-1),""))</f>
        <v/>
      </c>
      <c r="AH2422" s="94" t="n"/>
      <c r="AI2422" s="94" t="n"/>
      <c r="AJ2422" s="94" t="n"/>
      <c r="AK2422" s="94" t="n"/>
      <c r="AL2422" s="84" t="n"/>
    </row>
    <row r="2423">
      <c r="A2423" s="64" t="n"/>
      <c r="B2423" s="65" t="n"/>
      <c r="C2423" s="66" t="n"/>
      <c r="D2423" s="67" t="n"/>
      <c r="E2423" s="68" t="n"/>
      <c r="F2423" s="47">
        <f>IF(A2423="","",IF(MIN(H2423,MAX(J2423:K2423))=0,"",MIN(H2423,MAX(J2423:K2423))))</f>
        <v/>
      </c>
      <c r="G2423" s="74" t="n"/>
      <c r="H2423" s="49">
        <f>IF(M2423="","",IFERROR(ROUND(AVERAGE(T2423+M2423*{7,8,9,10,11})/1.21,4),""))</f>
        <v/>
      </c>
      <c r="I2423" s="76" t="n"/>
      <c r="J2423" s="77" t="n"/>
      <c r="K2423" s="74" t="n"/>
      <c r="L2423" s="78" t="n"/>
      <c r="M2423" s="77" t="n"/>
      <c r="N2423" s="53">
        <f>IF(M2423="","",IFERROR(M2423/I2423,""))</f>
        <v/>
      </c>
      <c r="O2423" s="50">
        <f>IF(A2423="","",IFERROR((IF(G2423="",I2423,G2423)-T2423)/M2423,""))</f>
        <v/>
      </c>
      <c r="P2423" s="50">
        <f>IFERROR((I2423/T2423-1)/N2423,"")</f>
        <v/>
      </c>
      <c r="Q2423" s="46">
        <f>IF(OR(T2423="",I2423&lt;T2423),"",IFERROR(R2423/IF(G2423="",I2423,G2423)-1,""))</f>
        <v/>
      </c>
      <c r="R2423" s="48">
        <f>IF($M2423="","",MAX(IF($G2423="",$I2423,$G2423)*(1/1.1),IF($G2423="",$I2423,$G2423)+(R$2*$M2423)))</f>
        <v/>
      </c>
      <c r="S2423" s="49">
        <f>IF($M2423="","",MAX(IF($G2423="",$I2423,$G2423)*(1/1.1),IF($G2423="",$I2423,$G2423)+(S$2*$M2423)))</f>
        <v/>
      </c>
      <c r="T2423" s="82" t="n"/>
      <c r="U2423" s="47">
        <f>IF(OR($M2423="",$T2423=""),"",$T2423+(U$2*$M2423))</f>
        <v/>
      </c>
      <c r="V2423" s="48">
        <f>IF(OR($M2423="",$T2423=""),"",$T2423+(V$2*$M2423))</f>
        <v/>
      </c>
      <c r="W2423" s="48">
        <f>IF(OR($M2423="",$T2423=""),"",$T2423+(W$2*$M2423))</f>
        <v/>
      </c>
      <c r="X2423" s="49">
        <f>IF(OR($M2423="",$T2423=""),"",$T2423+(X$2*$M2423))</f>
        <v/>
      </c>
      <c r="Y2423" s="47">
        <f>IF(OR($M2423="",$T2423=""),"",$T2423+(Y$2*$M2423))</f>
        <v/>
      </c>
      <c r="Z2423" s="49">
        <f>IF(OR($M2423="",$T2423=""),"",$T2423+(Z$2*$M2423))</f>
        <v/>
      </c>
      <c r="AA2423" s="51">
        <f>IF(OR($M2423="",$T2423=""),"",$T2423+(AA$2*$M2423))</f>
        <v/>
      </c>
      <c r="AB2423" s="48">
        <f>IF(OR($M2423="",$T2423=""),"",$T2423+(AB$2*$M2423))</f>
        <v/>
      </c>
      <c r="AC2423" s="48">
        <f>IF(OR($M2423="",$T2423=""),"",$T2423+(AC$2*$M2423))</f>
        <v/>
      </c>
      <c r="AD2423" s="48">
        <f>IF(OR($M2423="",$T2423=""),"",$T2423+(AD$2*$M2423))</f>
        <v/>
      </c>
      <c r="AE2423" s="49">
        <f>IF(OR($M2423="",$T2423=""),"",$T2423+(AE$2*$M2423))</f>
        <v/>
      </c>
      <c r="AF2423" s="52">
        <f>IF(OR(T2423="",I2423&lt;T2423),"",IFERROR(AVERAGE(T2423+M2423*{7,8,9,10,11})/IF(G2423="",I2423,G2423)-1,""))</f>
        <v/>
      </c>
      <c r="AG2423" s="55">
        <f>IF(OR(T2423="",I2423&lt;T2423),"",IFERROR(AF2423/-(R2423/IF(G2423="",I2423,G2423)-1),""))</f>
        <v/>
      </c>
      <c r="AH2423" s="94" t="n"/>
      <c r="AI2423" s="94" t="n"/>
      <c r="AJ2423" s="94" t="n"/>
      <c r="AK2423" s="94" t="n"/>
      <c r="AL2423" s="84" t="n"/>
    </row>
    <row r="2424">
      <c r="A2424" s="64" t="n"/>
      <c r="B2424" s="65" t="n"/>
      <c r="C2424" s="66" t="n"/>
      <c r="D2424" s="67" t="n"/>
      <c r="E2424" s="68" t="n"/>
      <c r="F2424" s="47">
        <f>IF(A2424="","",IF(MIN(H2424,MAX(J2424:K2424))=0,"",MIN(H2424,MAX(J2424:K2424))))</f>
        <v/>
      </c>
      <c r="G2424" s="74" t="n"/>
      <c r="H2424" s="49">
        <f>IF(M2424="","",IFERROR(ROUND(AVERAGE(T2424+M2424*{7,8,9,10,11})/1.21,4),""))</f>
        <v/>
      </c>
      <c r="I2424" s="76" t="n"/>
      <c r="J2424" s="77" t="n"/>
      <c r="K2424" s="74" t="n"/>
      <c r="L2424" s="78" t="n"/>
      <c r="M2424" s="77" t="n"/>
      <c r="N2424" s="53">
        <f>IF(M2424="","",IFERROR(M2424/I2424,""))</f>
        <v/>
      </c>
      <c r="O2424" s="50">
        <f>IF(A2424="","",IFERROR((IF(G2424="",I2424,G2424)-T2424)/M2424,""))</f>
        <v/>
      </c>
      <c r="P2424" s="50">
        <f>IFERROR((I2424/T2424-1)/N2424,"")</f>
        <v/>
      </c>
      <c r="Q2424" s="46">
        <f>IF(OR(T2424="",I2424&lt;T2424),"",IFERROR(R2424/IF(G2424="",I2424,G2424)-1,""))</f>
        <v/>
      </c>
      <c r="R2424" s="48">
        <f>IF($M2424="","",MAX(IF($G2424="",$I2424,$G2424)*(1/1.1),IF($G2424="",$I2424,$G2424)+(R$2*$M2424)))</f>
        <v/>
      </c>
      <c r="S2424" s="49">
        <f>IF($M2424="","",MAX(IF($G2424="",$I2424,$G2424)*(1/1.1),IF($G2424="",$I2424,$G2424)+(S$2*$M2424)))</f>
        <v/>
      </c>
      <c r="T2424" s="82" t="n"/>
      <c r="U2424" s="47">
        <f>IF(OR($M2424="",$T2424=""),"",$T2424+(U$2*$M2424))</f>
        <v/>
      </c>
      <c r="V2424" s="48">
        <f>IF(OR($M2424="",$T2424=""),"",$T2424+(V$2*$M2424))</f>
        <v/>
      </c>
      <c r="W2424" s="48">
        <f>IF(OR($M2424="",$T2424=""),"",$T2424+(W$2*$M2424))</f>
        <v/>
      </c>
      <c r="X2424" s="49">
        <f>IF(OR($M2424="",$T2424=""),"",$T2424+(X$2*$M2424))</f>
        <v/>
      </c>
      <c r="Y2424" s="47">
        <f>IF(OR($M2424="",$T2424=""),"",$T2424+(Y$2*$M2424))</f>
        <v/>
      </c>
      <c r="Z2424" s="49">
        <f>IF(OR($M2424="",$T2424=""),"",$T2424+(Z$2*$M2424))</f>
        <v/>
      </c>
      <c r="AA2424" s="51">
        <f>IF(OR($M2424="",$T2424=""),"",$T2424+(AA$2*$M2424))</f>
        <v/>
      </c>
      <c r="AB2424" s="48">
        <f>IF(OR($M2424="",$T2424=""),"",$T2424+(AB$2*$M2424))</f>
        <v/>
      </c>
      <c r="AC2424" s="48">
        <f>IF(OR($M2424="",$T2424=""),"",$T2424+(AC$2*$M2424))</f>
        <v/>
      </c>
      <c r="AD2424" s="48">
        <f>IF(OR($M2424="",$T2424=""),"",$T2424+(AD$2*$M2424))</f>
        <v/>
      </c>
      <c r="AE2424" s="49">
        <f>IF(OR($M2424="",$T2424=""),"",$T2424+(AE$2*$M2424))</f>
        <v/>
      </c>
      <c r="AF2424" s="52">
        <f>IF(OR(T2424="",I2424&lt;T2424),"",IFERROR(AVERAGE(T2424+M2424*{7,8,9,10,11})/IF(G2424="",I2424,G2424)-1,""))</f>
        <v/>
      </c>
      <c r="AG2424" s="55">
        <f>IF(OR(T2424="",I2424&lt;T2424),"",IFERROR(AF2424/-(R2424/IF(G2424="",I2424,G2424)-1),""))</f>
        <v/>
      </c>
      <c r="AH2424" s="94" t="n"/>
      <c r="AI2424" s="94" t="n"/>
      <c r="AJ2424" s="94" t="n"/>
      <c r="AK2424" s="94" t="n"/>
      <c r="AL2424" s="84" t="n"/>
    </row>
    <row r="2425">
      <c r="A2425" s="64" t="n"/>
      <c r="B2425" s="65" t="n"/>
      <c r="C2425" s="66" t="n"/>
      <c r="D2425" s="67" t="n"/>
      <c r="E2425" s="68" t="n"/>
      <c r="F2425" s="47">
        <f>IF(A2425="","",IF(MIN(H2425,MAX(J2425:K2425))=0,"",MIN(H2425,MAX(J2425:K2425))))</f>
        <v/>
      </c>
      <c r="G2425" s="74" t="n"/>
      <c r="H2425" s="49">
        <f>IF(M2425="","",IFERROR(ROUND(AVERAGE(T2425+M2425*{7,8,9,10,11})/1.21,4),""))</f>
        <v/>
      </c>
      <c r="I2425" s="76" t="n"/>
      <c r="J2425" s="77" t="n"/>
      <c r="K2425" s="74" t="n"/>
      <c r="L2425" s="78" t="n"/>
      <c r="M2425" s="77" t="n"/>
      <c r="N2425" s="53">
        <f>IF(M2425="","",IFERROR(M2425/I2425,""))</f>
        <v/>
      </c>
      <c r="O2425" s="50">
        <f>IF(A2425="","",IFERROR((IF(G2425="",I2425,G2425)-T2425)/M2425,""))</f>
        <v/>
      </c>
      <c r="P2425" s="50">
        <f>IFERROR((I2425/T2425-1)/N2425,"")</f>
        <v/>
      </c>
      <c r="Q2425" s="46">
        <f>IF(OR(T2425="",I2425&lt;T2425),"",IFERROR(R2425/IF(G2425="",I2425,G2425)-1,""))</f>
        <v/>
      </c>
      <c r="R2425" s="48">
        <f>IF($M2425="","",MAX(IF($G2425="",$I2425,$G2425)*(1/1.1),IF($G2425="",$I2425,$G2425)+(R$2*$M2425)))</f>
        <v/>
      </c>
      <c r="S2425" s="49">
        <f>IF($M2425="","",MAX(IF($G2425="",$I2425,$G2425)*(1/1.1),IF($G2425="",$I2425,$G2425)+(S$2*$M2425)))</f>
        <v/>
      </c>
      <c r="T2425" s="82" t="n"/>
      <c r="U2425" s="47">
        <f>IF(OR($M2425="",$T2425=""),"",$T2425+(U$2*$M2425))</f>
        <v/>
      </c>
      <c r="V2425" s="48">
        <f>IF(OR($M2425="",$T2425=""),"",$T2425+(V$2*$M2425))</f>
        <v/>
      </c>
      <c r="W2425" s="48">
        <f>IF(OR($M2425="",$T2425=""),"",$T2425+(W$2*$M2425))</f>
        <v/>
      </c>
      <c r="X2425" s="49">
        <f>IF(OR($M2425="",$T2425=""),"",$T2425+(X$2*$M2425))</f>
        <v/>
      </c>
      <c r="Y2425" s="47">
        <f>IF(OR($M2425="",$T2425=""),"",$T2425+(Y$2*$M2425))</f>
        <v/>
      </c>
      <c r="Z2425" s="49">
        <f>IF(OR($M2425="",$T2425=""),"",$T2425+(Z$2*$M2425))</f>
        <v/>
      </c>
      <c r="AA2425" s="51">
        <f>IF(OR($M2425="",$T2425=""),"",$T2425+(AA$2*$M2425))</f>
        <v/>
      </c>
      <c r="AB2425" s="48">
        <f>IF(OR($M2425="",$T2425=""),"",$T2425+(AB$2*$M2425))</f>
        <v/>
      </c>
      <c r="AC2425" s="48">
        <f>IF(OR($M2425="",$T2425=""),"",$T2425+(AC$2*$M2425))</f>
        <v/>
      </c>
      <c r="AD2425" s="48">
        <f>IF(OR($M2425="",$T2425=""),"",$T2425+(AD$2*$M2425))</f>
        <v/>
      </c>
      <c r="AE2425" s="49">
        <f>IF(OR($M2425="",$T2425=""),"",$T2425+(AE$2*$M2425))</f>
        <v/>
      </c>
      <c r="AF2425" s="52">
        <f>IF(OR(T2425="",I2425&lt;T2425),"",IFERROR(AVERAGE(T2425+M2425*{7,8,9,10,11})/IF(G2425="",I2425,G2425)-1,""))</f>
        <v/>
      </c>
      <c r="AG2425" s="55">
        <f>IF(OR(T2425="",I2425&lt;T2425),"",IFERROR(AF2425/-(R2425/IF(G2425="",I2425,G2425)-1),""))</f>
        <v/>
      </c>
      <c r="AH2425" s="94" t="n"/>
      <c r="AI2425" s="94" t="n"/>
      <c r="AJ2425" s="94" t="n"/>
      <c r="AK2425" s="94" t="n"/>
      <c r="AL2425" s="84" t="n"/>
    </row>
    <row r="2426">
      <c r="A2426" s="64" t="n"/>
      <c r="B2426" s="65" t="n"/>
      <c r="C2426" s="66" t="n"/>
      <c r="D2426" s="67" t="n"/>
      <c r="E2426" s="68" t="n"/>
      <c r="F2426" s="47">
        <f>IF(A2426="","",IF(MIN(H2426,MAX(J2426:K2426))=0,"",MIN(H2426,MAX(J2426:K2426))))</f>
        <v/>
      </c>
      <c r="G2426" s="74" t="n"/>
      <c r="H2426" s="49">
        <f>IF(M2426="","",IFERROR(ROUND(AVERAGE(T2426+M2426*{7,8,9,10,11})/1.21,4),""))</f>
        <v/>
      </c>
      <c r="I2426" s="76" t="n"/>
      <c r="J2426" s="77" t="n"/>
      <c r="K2426" s="74" t="n"/>
      <c r="L2426" s="78" t="n"/>
      <c r="M2426" s="77" t="n"/>
      <c r="N2426" s="53">
        <f>IF(M2426="","",IFERROR(M2426/I2426,""))</f>
        <v/>
      </c>
      <c r="O2426" s="50">
        <f>IF(A2426="","",IFERROR((IF(G2426="",I2426,G2426)-T2426)/M2426,""))</f>
        <v/>
      </c>
      <c r="P2426" s="50">
        <f>IFERROR((I2426/T2426-1)/N2426,"")</f>
        <v/>
      </c>
      <c r="Q2426" s="46">
        <f>IF(OR(T2426="",I2426&lt;T2426),"",IFERROR(R2426/IF(G2426="",I2426,G2426)-1,""))</f>
        <v/>
      </c>
      <c r="R2426" s="48">
        <f>IF($M2426="","",MAX(IF($G2426="",$I2426,$G2426)*(1/1.1),IF($G2426="",$I2426,$G2426)+(R$2*$M2426)))</f>
        <v/>
      </c>
      <c r="S2426" s="49">
        <f>IF($M2426="","",MAX(IF($G2426="",$I2426,$G2426)*(1/1.1),IF($G2426="",$I2426,$G2426)+(S$2*$M2426)))</f>
        <v/>
      </c>
      <c r="T2426" s="82" t="n"/>
      <c r="U2426" s="47">
        <f>IF(OR($M2426="",$T2426=""),"",$T2426+(U$2*$M2426))</f>
        <v/>
      </c>
      <c r="V2426" s="48">
        <f>IF(OR($M2426="",$T2426=""),"",$T2426+(V$2*$M2426))</f>
        <v/>
      </c>
      <c r="W2426" s="48">
        <f>IF(OR($M2426="",$T2426=""),"",$T2426+(W$2*$M2426))</f>
        <v/>
      </c>
      <c r="X2426" s="49">
        <f>IF(OR($M2426="",$T2426=""),"",$T2426+(X$2*$M2426))</f>
        <v/>
      </c>
      <c r="Y2426" s="47">
        <f>IF(OR($M2426="",$T2426=""),"",$T2426+(Y$2*$M2426))</f>
        <v/>
      </c>
      <c r="Z2426" s="49">
        <f>IF(OR($M2426="",$T2426=""),"",$T2426+(Z$2*$M2426))</f>
        <v/>
      </c>
      <c r="AA2426" s="51">
        <f>IF(OR($M2426="",$T2426=""),"",$T2426+(AA$2*$M2426))</f>
        <v/>
      </c>
      <c r="AB2426" s="48">
        <f>IF(OR($M2426="",$T2426=""),"",$T2426+(AB$2*$M2426))</f>
        <v/>
      </c>
      <c r="AC2426" s="48">
        <f>IF(OR($M2426="",$T2426=""),"",$T2426+(AC$2*$M2426))</f>
        <v/>
      </c>
      <c r="AD2426" s="48">
        <f>IF(OR($M2426="",$T2426=""),"",$T2426+(AD$2*$M2426))</f>
        <v/>
      </c>
      <c r="AE2426" s="49">
        <f>IF(OR($M2426="",$T2426=""),"",$T2426+(AE$2*$M2426))</f>
        <v/>
      </c>
      <c r="AF2426" s="52">
        <f>IF(OR(T2426="",I2426&lt;T2426),"",IFERROR(AVERAGE(T2426+M2426*{7,8,9,10,11})/IF(G2426="",I2426,G2426)-1,""))</f>
        <v/>
      </c>
      <c r="AG2426" s="55">
        <f>IF(OR(T2426="",I2426&lt;T2426),"",IFERROR(AF2426/-(R2426/IF(G2426="",I2426,G2426)-1),""))</f>
        <v/>
      </c>
      <c r="AH2426" s="94" t="n"/>
      <c r="AI2426" s="94" t="n"/>
      <c r="AJ2426" s="94" t="n"/>
      <c r="AK2426" s="94" t="n"/>
      <c r="AL2426" s="84" t="n"/>
    </row>
    <row r="2427">
      <c r="A2427" s="64" t="n"/>
      <c r="B2427" s="65" t="n"/>
      <c r="C2427" s="66" t="n"/>
      <c r="D2427" s="67" t="n"/>
      <c r="E2427" s="68" t="n"/>
      <c r="F2427" s="47">
        <f>IF(A2427="","",IF(MIN(H2427,MAX(J2427:K2427))=0,"",MIN(H2427,MAX(J2427:K2427))))</f>
        <v/>
      </c>
      <c r="G2427" s="74" t="n"/>
      <c r="H2427" s="49">
        <f>IF(M2427="","",IFERROR(ROUND(AVERAGE(T2427+M2427*{7,8,9,10,11})/1.21,4),""))</f>
        <v/>
      </c>
      <c r="I2427" s="76" t="n"/>
      <c r="J2427" s="77" t="n"/>
      <c r="K2427" s="74" t="n"/>
      <c r="L2427" s="78" t="n"/>
      <c r="M2427" s="77" t="n"/>
      <c r="N2427" s="53">
        <f>IF(M2427="","",IFERROR(M2427/I2427,""))</f>
        <v/>
      </c>
      <c r="O2427" s="50">
        <f>IF(A2427="","",IFERROR((IF(G2427="",I2427,G2427)-T2427)/M2427,""))</f>
        <v/>
      </c>
      <c r="P2427" s="50">
        <f>IFERROR((I2427/T2427-1)/N2427,"")</f>
        <v/>
      </c>
      <c r="Q2427" s="46">
        <f>IF(OR(T2427="",I2427&lt;T2427),"",IFERROR(R2427/IF(G2427="",I2427,G2427)-1,""))</f>
        <v/>
      </c>
      <c r="R2427" s="48">
        <f>IF($M2427="","",MAX(IF($G2427="",$I2427,$G2427)*(1/1.1),IF($G2427="",$I2427,$G2427)+(R$2*$M2427)))</f>
        <v/>
      </c>
      <c r="S2427" s="49">
        <f>IF($M2427="","",MAX(IF($G2427="",$I2427,$G2427)*(1/1.1),IF($G2427="",$I2427,$G2427)+(S$2*$M2427)))</f>
        <v/>
      </c>
      <c r="T2427" s="82" t="n"/>
      <c r="U2427" s="47">
        <f>IF(OR($M2427="",$T2427=""),"",$T2427+(U$2*$M2427))</f>
        <v/>
      </c>
      <c r="V2427" s="48">
        <f>IF(OR($M2427="",$T2427=""),"",$T2427+(V$2*$M2427))</f>
        <v/>
      </c>
      <c r="W2427" s="48">
        <f>IF(OR($M2427="",$T2427=""),"",$T2427+(W$2*$M2427))</f>
        <v/>
      </c>
      <c r="X2427" s="49">
        <f>IF(OR($M2427="",$T2427=""),"",$T2427+(X$2*$M2427))</f>
        <v/>
      </c>
      <c r="Y2427" s="47">
        <f>IF(OR($M2427="",$T2427=""),"",$T2427+(Y$2*$M2427))</f>
        <v/>
      </c>
      <c r="Z2427" s="49">
        <f>IF(OR($M2427="",$T2427=""),"",$T2427+(Z$2*$M2427))</f>
        <v/>
      </c>
      <c r="AA2427" s="51">
        <f>IF(OR($M2427="",$T2427=""),"",$T2427+(AA$2*$M2427))</f>
        <v/>
      </c>
      <c r="AB2427" s="48">
        <f>IF(OR($M2427="",$T2427=""),"",$T2427+(AB$2*$M2427))</f>
        <v/>
      </c>
      <c r="AC2427" s="48">
        <f>IF(OR($M2427="",$T2427=""),"",$T2427+(AC$2*$M2427))</f>
        <v/>
      </c>
      <c r="AD2427" s="48">
        <f>IF(OR($M2427="",$T2427=""),"",$T2427+(AD$2*$M2427))</f>
        <v/>
      </c>
      <c r="AE2427" s="49">
        <f>IF(OR($M2427="",$T2427=""),"",$T2427+(AE$2*$M2427))</f>
        <v/>
      </c>
      <c r="AF2427" s="52">
        <f>IF(OR(T2427="",I2427&lt;T2427),"",IFERROR(AVERAGE(T2427+M2427*{7,8,9,10,11})/IF(G2427="",I2427,G2427)-1,""))</f>
        <v/>
      </c>
      <c r="AG2427" s="55">
        <f>IF(OR(T2427="",I2427&lt;T2427),"",IFERROR(AF2427/-(R2427/IF(G2427="",I2427,G2427)-1),""))</f>
        <v/>
      </c>
      <c r="AH2427" s="94" t="n"/>
      <c r="AI2427" s="94" t="n"/>
      <c r="AJ2427" s="94" t="n"/>
      <c r="AK2427" s="94" t="n"/>
      <c r="AL2427" s="84" t="n"/>
    </row>
    <row r="2428">
      <c r="A2428" s="64" t="n"/>
      <c r="B2428" s="65" t="n"/>
      <c r="C2428" s="66" t="n"/>
      <c r="D2428" s="67" t="n"/>
      <c r="E2428" s="68" t="n"/>
      <c r="F2428" s="47">
        <f>IF(A2428="","",IF(MIN(H2428,MAX(J2428:K2428))=0,"",MIN(H2428,MAX(J2428:K2428))))</f>
        <v/>
      </c>
      <c r="G2428" s="74" t="n"/>
      <c r="H2428" s="49">
        <f>IF(M2428="","",IFERROR(ROUND(AVERAGE(T2428+M2428*{7,8,9,10,11})/1.21,4),""))</f>
        <v/>
      </c>
      <c r="I2428" s="76" t="n"/>
      <c r="J2428" s="77" t="n"/>
      <c r="K2428" s="74" t="n"/>
      <c r="L2428" s="78" t="n"/>
      <c r="M2428" s="77" t="n"/>
      <c r="N2428" s="53">
        <f>IF(M2428="","",IFERROR(M2428/I2428,""))</f>
        <v/>
      </c>
      <c r="O2428" s="50">
        <f>IF(A2428="","",IFERROR((IF(G2428="",I2428,G2428)-T2428)/M2428,""))</f>
        <v/>
      </c>
      <c r="P2428" s="50">
        <f>IFERROR((I2428/T2428-1)/N2428,"")</f>
        <v/>
      </c>
      <c r="Q2428" s="46">
        <f>IF(OR(T2428="",I2428&lt;T2428),"",IFERROR(R2428/IF(G2428="",I2428,G2428)-1,""))</f>
        <v/>
      </c>
      <c r="R2428" s="48">
        <f>IF($M2428="","",MAX(IF($G2428="",$I2428,$G2428)*(1/1.1),IF($G2428="",$I2428,$G2428)+(R$2*$M2428)))</f>
        <v/>
      </c>
      <c r="S2428" s="49">
        <f>IF($M2428="","",MAX(IF($G2428="",$I2428,$G2428)*(1/1.1),IF($G2428="",$I2428,$G2428)+(S$2*$M2428)))</f>
        <v/>
      </c>
      <c r="T2428" s="82" t="n"/>
      <c r="U2428" s="47">
        <f>IF(OR($M2428="",$T2428=""),"",$T2428+(U$2*$M2428))</f>
        <v/>
      </c>
      <c r="V2428" s="48">
        <f>IF(OR($M2428="",$T2428=""),"",$T2428+(V$2*$M2428))</f>
        <v/>
      </c>
      <c r="W2428" s="48">
        <f>IF(OR($M2428="",$T2428=""),"",$T2428+(W$2*$M2428))</f>
        <v/>
      </c>
      <c r="X2428" s="49">
        <f>IF(OR($M2428="",$T2428=""),"",$T2428+(X$2*$M2428))</f>
        <v/>
      </c>
      <c r="Y2428" s="47">
        <f>IF(OR($M2428="",$T2428=""),"",$T2428+(Y$2*$M2428))</f>
        <v/>
      </c>
      <c r="Z2428" s="49">
        <f>IF(OR($M2428="",$T2428=""),"",$T2428+(Z$2*$M2428))</f>
        <v/>
      </c>
      <c r="AA2428" s="51">
        <f>IF(OR($M2428="",$T2428=""),"",$T2428+(AA$2*$M2428))</f>
        <v/>
      </c>
      <c r="AB2428" s="48">
        <f>IF(OR($M2428="",$T2428=""),"",$T2428+(AB$2*$M2428))</f>
        <v/>
      </c>
      <c r="AC2428" s="48">
        <f>IF(OR($M2428="",$T2428=""),"",$T2428+(AC$2*$M2428))</f>
        <v/>
      </c>
      <c r="AD2428" s="48">
        <f>IF(OR($M2428="",$T2428=""),"",$T2428+(AD$2*$M2428))</f>
        <v/>
      </c>
      <c r="AE2428" s="49">
        <f>IF(OR($M2428="",$T2428=""),"",$T2428+(AE$2*$M2428))</f>
        <v/>
      </c>
      <c r="AF2428" s="52">
        <f>IF(OR(T2428="",I2428&lt;T2428),"",IFERROR(AVERAGE(T2428+M2428*{7,8,9,10,11})/IF(G2428="",I2428,G2428)-1,""))</f>
        <v/>
      </c>
      <c r="AG2428" s="55">
        <f>IF(OR(T2428="",I2428&lt;T2428),"",IFERROR(AF2428/-(R2428/IF(G2428="",I2428,G2428)-1),""))</f>
        <v/>
      </c>
      <c r="AH2428" s="94" t="n"/>
      <c r="AI2428" s="94" t="n"/>
      <c r="AJ2428" s="94" t="n"/>
      <c r="AK2428" s="94" t="n"/>
      <c r="AL2428" s="84" t="n"/>
    </row>
    <row r="2429">
      <c r="A2429" s="64" t="n"/>
      <c r="B2429" s="65" t="n"/>
      <c r="C2429" s="66" t="n"/>
      <c r="D2429" s="67" t="n"/>
      <c r="E2429" s="68" t="n"/>
      <c r="F2429" s="47">
        <f>IF(A2429="","",IF(MIN(H2429,MAX(J2429:K2429))=0,"",MIN(H2429,MAX(J2429:K2429))))</f>
        <v/>
      </c>
      <c r="G2429" s="74" t="n"/>
      <c r="H2429" s="49">
        <f>IF(M2429="","",IFERROR(ROUND(AVERAGE(T2429+M2429*{7,8,9,10,11})/1.21,4),""))</f>
        <v/>
      </c>
      <c r="I2429" s="76" t="n"/>
      <c r="J2429" s="77" t="n"/>
      <c r="K2429" s="74" t="n"/>
      <c r="L2429" s="78" t="n"/>
      <c r="M2429" s="77" t="n"/>
      <c r="N2429" s="53">
        <f>IF(M2429="","",IFERROR(M2429/I2429,""))</f>
        <v/>
      </c>
      <c r="O2429" s="50">
        <f>IF(A2429="","",IFERROR((IF(G2429="",I2429,G2429)-T2429)/M2429,""))</f>
        <v/>
      </c>
      <c r="P2429" s="50">
        <f>IFERROR((I2429/T2429-1)/N2429,"")</f>
        <v/>
      </c>
      <c r="Q2429" s="46">
        <f>IF(OR(T2429="",I2429&lt;T2429),"",IFERROR(R2429/IF(G2429="",I2429,G2429)-1,""))</f>
        <v/>
      </c>
      <c r="R2429" s="48">
        <f>IF($M2429="","",MAX(IF($G2429="",$I2429,$G2429)*(1/1.1),IF($G2429="",$I2429,$G2429)+(R$2*$M2429)))</f>
        <v/>
      </c>
      <c r="S2429" s="49">
        <f>IF($M2429="","",MAX(IF($G2429="",$I2429,$G2429)*(1/1.1),IF($G2429="",$I2429,$G2429)+(S$2*$M2429)))</f>
        <v/>
      </c>
      <c r="T2429" s="82" t="n"/>
      <c r="U2429" s="47">
        <f>IF(OR($M2429="",$T2429=""),"",$T2429+(U$2*$M2429))</f>
        <v/>
      </c>
      <c r="V2429" s="48">
        <f>IF(OR($M2429="",$T2429=""),"",$T2429+(V$2*$M2429))</f>
        <v/>
      </c>
      <c r="W2429" s="48">
        <f>IF(OR($M2429="",$T2429=""),"",$T2429+(W$2*$M2429))</f>
        <v/>
      </c>
      <c r="X2429" s="49">
        <f>IF(OR($M2429="",$T2429=""),"",$T2429+(X$2*$M2429))</f>
        <v/>
      </c>
      <c r="Y2429" s="47">
        <f>IF(OR($M2429="",$T2429=""),"",$T2429+(Y$2*$M2429))</f>
        <v/>
      </c>
      <c r="Z2429" s="49">
        <f>IF(OR($M2429="",$T2429=""),"",$T2429+(Z$2*$M2429))</f>
        <v/>
      </c>
      <c r="AA2429" s="51">
        <f>IF(OR($M2429="",$T2429=""),"",$T2429+(AA$2*$M2429))</f>
        <v/>
      </c>
      <c r="AB2429" s="48">
        <f>IF(OR($M2429="",$T2429=""),"",$T2429+(AB$2*$M2429))</f>
        <v/>
      </c>
      <c r="AC2429" s="48">
        <f>IF(OR($M2429="",$T2429=""),"",$T2429+(AC$2*$M2429))</f>
        <v/>
      </c>
      <c r="AD2429" s="48">
        <f>IF(OR($M2429="",$T2429=""),"",$T2429+(AD$2*$M2429))</f>
        <v/>
      </c>
      <c r="AE2429" s="49">
        <f>IF(OR($M2429="",$T2429=""),"",$T2429+(AE$2*$M2429))</f>
        <v/>
      </c>
      <c r="AF2429" s="52">
        <f>IF(OR(T2429="",I2429&lt;T2429),"",IFERROR(AVERAGE(T2429+M2429*{7,8,9,10,11})/IF(G2429="",I2429,G2429)-1,""))</f>
        <v/>
      </c>
      <c r="AG2429" s="55">
        <f>IF(OR(T2429="",I2429&lt;T2429),"",IFERROR(AF2429/-(R2429/IF(G2429="",I2429,G2429)-1),""))</f>
        <v/>
      </c>
      <c r="AH2429" s="94" t="n"/>
      <c r="AI2429" s="94" t="n"/>
      <c r="AJ2429" s="94" t="n"/>
      <c r="AK2429" s="94" t="n"/>
      <c r="AL2429" s="84" t="n"/>
    </row>
    <row r="2430">
      <c r="A2430" s="64" t="n"/>
      <c r="B2430" s="65" t="n"/>
      <c r="C2430" s="66" t="n"/>
      <c r="D2430" s="67" t="n"/>
      <c r="E2430" s="68" t="n"/>
      <c r="F2430" s="47">
        <f>IF(A2430="","",IF(MIN(H2430,MAX(J2430:K2430))=0,"",MIN(H2430,MAX(J2430:K2430))))</f>
        <v/>
      </c>
      <c r="G2430" s="74" t="n"/>
      <c r="H2430" s="49">
        <f>IF(M2430="","",IFERROR(ROUND(AVERAGE(T2430+M2430*{7,8,9,10,11})/1.21,4),""))</f>
        <v/>
      </c>
      <c r="I2430" s="76" t="n"/>
      <c r="J2430" s="77" t="n"/>
      <c r="K2430" s="74" t="n"/>
      <c r="L2430" s="78" t="n"/>
      <c r="M2430" s="77" t="n"/>
      <c r="N2430" s="53">
        <f>IF(M2430="","",IFERROR(M2430/I2430,""))</f>
        <v/>
      </c>
      <c r="O2430" s="50">
        <f>IF(A2430="","",IFERROR((IF(G2430="",I2430,G2430)-T2430)/M2430,""))</f>
        <v/>
      </c>
      <c r="P2430" s="50">
        <f>IFERROR((I2430/T2430-1)/N2430,"")</f>
        <v/>
      </c>
      <c r="Q2430" s="46">
        <f>IF(OR(T2430="",I2430&lt;T2430),"",IFERROR(R2430/IF(G2430="",I2430,G2430)-1,""))</f>
        <v/>
      </c>
      <c r="R2430" s="48">
        <f>IF($M2430="","",MAX(IF($G2430="",$I2430,$G2430)*(1/1.1),IF($G2430="",$I2430,$G2430)+(R$2*$M2430)))</f>
        <v/>
      </c>
      <c r="S2430" s="49">
        <f>IF($M2430="","",MAX(IF($G2430="",$I2430,$G2430)*(1/1.1),IF($G2430="",$I2430,$G2430)+(S$2*$M2430)))</f>
        <v/>
      </c>
      <c r="T2430" s="82" t="n"/>
      <c r="U2430" s="47">
        <f>IF(OR($M2430="",$T2430=""),"",$T2430+(U$2*$M2430))</f>
        <v/>
      </c>
      <c r="V2430" s="48">
        <f>IF(OR($M2430="",$T2430=""),"",$T2430+(V$2*$M2430))</f>
        <v/>
      </c>
      <c r="W2430" s="48">
        <f>IF(OR($M2430="",$T2430=""),"",$T2430+(W$2*$M2430))</f>
        <v/>
      </c>
      <c r="X2430" s="49">
        <f>IF(OR($M2430="",$T2430=""),"",$T2430+(X$2*$M2430))</f>
        <v/>
      </c>
      <c r="Y2430" s="47">
        <f>IF(OR($M2430="",$T2430=""),"",$T2430+(Y$2*$M2430))</f>
        <v/>
      </c>
      <c r="Z2430" s="49">
        <f>IF(OR($M2430="",$T2430=""),"",$T2430+(Z$2*$M2430))</f>
        <v/>
      </c>
      <c r="AA2430" s="51">
        <f>IF(OR($M2430="",$T2430=""),"",$T2430+(AA$2*$M2430))</f>
        <v/>
      </c>
      <c r="AB2430" s="48">
        <f>IF(OR($M2430="",$T2430=""),"",$T2430+(AB$2*$M2430))</f>
        <v/>
      </c>
      <c r="AC2430" s="48">
        <f>IF(OR($M2430="",$T2430=""),"",$T2430+(AC$2*$M2430))</f>
        <v/>
      </c>
      <c r="AD2430" s="48">
        <f>IF(OR($M2430="",$T2430=""),"",$T2430+(AD$2*$M2430))</f>
        <v/>
      </c>
      <c r="AE2430" s="49">
        <f>IF(OR($M2430="",$T2430=""),"",$T2430+(AE$2*$M2430))</f>
        <v/>
      </c>
      <c r="AF2430" s="52">
        <f>IF(OR(T2430="",I2430&lt;T2430),"",IFERROR(AVERAGE(T2430+M2430*{7,8,9,10,11})/IF(G2430="",I2430,G2430)-1,""))</f>
        <v/>
      </c>
      <c r="AG2430" s="55">
        <f>IF(OR(T2430="",I2430&lt;T2430),"",IFERROR(AF2430/-(R2430/IF(G2430="",I2430,G2430)-1),""))</f>
        <v/>
      </c>
      <c r="AH2430" s="94" t="n"/>
      <c r="AI2430" s="94" t="n"/>
      <c r="AJ2430" s="94" t="n"/>
      <c r="AK2430" s="94" t="n"/>
      <c r="AL2430" s="84" t="n"/>
    </row>
    <row r="2431">
      <c r="A2431" s="64" t="n"/>
      <c r="B2431" s="65" t="n"/>
      <c r="C2431" s="66" t="n"/>
      <c r="D2431" s="67" t="n"/>
      <c r="E2431" s="68" t="n"/>
      <c r="F2431" s="47">
        <f>IF(A2431="","",IF(MIN(H2431,MAX(J2431:K2431))=0,"",MIN(H2431,MAX(J2431:K2431))))</f>
        <v/>
      </c>
      <c r="G2431" s="74" t="n"/>
      <c r="H2431" s="49">
        <f>IF(M2431="","",IFERROR(ROUND(AVERAGE(T2431+M2431*{7,8,9,10,11})/1.21,4),""))</f>
        <v/>
      </c>
      <c r="I2431" s="76" t="n"/>
      <c r="J2431" s="77" t="n"/>
      <c r="K2431" s="74" t="n"/>
      <c r="L2431" s="78" t="n"/>
      <c r="M2431" s="77" t="n"/>
      <c r="N2431" s="53">
        <f>IF(M2431="","",IFERROR(M2431/I2431,""))</f>
        <v/>
      </c>
      <c r="O2431" s="50">
        <f>IF(A2431="","",IFERROR((IF(G2431="",I2431,G2431)-T2431)/M2431,""))</f>
        <v/>
      </c>
      <c r="P2431" s="50">
        <f>IFERROR((I2431/T2431-1)/N2431,"")</f>
        <v/>
      </c>
      <c r="Q2431" s="46">
        <f>IF(OR(T2431="",I2431&lt;T2431),"",IFERROR(R2431/IF(G2431="",I2431,G2431)-1,""))</f>
        <v/>
      </c>
      <c r="R2431" s="48">
        <f>IF($M2431="","",MAX(IF($G2431="",$I2431,$G2431)*(1/1.1),IF($G2431="",$I2431,$G2431)+(R$2*$M2431)))</f>
        <v/>
      </c>
      <c r="S2431" s="49">
        <f>IF($M2431="","",MAX(IF($G2431="",$I2431,$G2431)*(1/1.1),IF($G2431="",$I2431,$G2431)+(S$2*$M2431)))</f>
        <v/>
      </c>
      <c r="T2431" s="82" t="n"/>
      <c r="U2431" s="47">
        <f>IF(OR($M2431="",$T2431=""),"",$T2431+(U$2*$M2431))</f>
        <v/>
      </c>
      <c r="V2431" s="48">
        <f>IF(OR($M2431="",$T2431=""),"",$T2431+(V$2*$M2431))</f>
        <v/>
      </c>
      <c r="W2431" s="48">
        <f>IF(OR($M2431="",$T2431=""),"",$T2431+(W$2*$M2431))</f>
        <v/>
      </c>
      <c r="X2431" s="49">
        <f>IF(OR($M2431="",$T2431=""),"",$T2431+(X$2*$M2431))</f>
        <v/>
      </c>
      <c r="Y2431" s="47">
        <f>IF(OR($M2431="",$T2431=""),"",$T2431+(Y$2*$M2431))</f>
        <v/>
      </c>
      <c r="Z2431" s="49">
        <f>IF(OR($M2431="",$T2431=""),"",$T2431+(Z$2*$M2431))</f>
        <v/>
      </c>
      <c r="AA2431" s="51">
        <f>IF(OR($M2431="",$T2431=""),"",$T2431+(AA$2*$M2431))</f>
        <v/>
      </c>
      <c r="AB2431" s="48">
        <f>IF(OR($M2431="",$T2431=""),"",$T2431+(AB$2*$M2431))</f>
        <v/>
      </c>
      <c r="AC2431" s="48">
        <f>IF(OR($M2431="",$T2431=""),"",$T2431+(AC$2*$M2431))</f>
        <v/>
      </c>
      <c r="AD2431" s="48">
        <f>IF(OR($M2431="",$T2431=""),"",$T2431+(AD$2*$M2431))</f>
        <v/>
      </c>
      <c r="AE2431" s="49">
        <f>IF(OR($M2431="",$T2431=""),"",$T2431+(AE$2*$M2431))</f>
        <v/>
      </c>
      <c r="AF2431" s="52">
        <f>IF(OR(T2431="",I2431&lt;T2431),"",IFERROR(AVERAGE(T2431+M2431*{7,8,9,10,11})/IF(G2431="",I2431,G2431)-1,""))</f>
        <v/>
      </c>
      <c r="AG2431" s="55">
        <f>IF(OR(T2431="",I2431&lt;T2431),"",IFERROR(AF2431/-(R2431/IF(G2431="",I2431,G2431)-1),""))</f>
        <v/>
      </c>
      <c r="AH2431" s="94" t="n"/>
      <c r="AI2431" s="94" t="n"/>
      <c r="AJ2431" s="94" t="n"/>
      <c r="AK2431" s="94" t="n"/>
      <c r="AL2431" s="84" t="n"/>
    </row>
    <row r="2432">
      <c r="A2432" s="64" t="n"/>
      <c r="B2432" s="65" t="n"/>
      <c r="C2432" s="66" t="n"/>
      <c r="D2432" s="67" t="n"/>
      <c r="E2432" s="68" t="n"/>
      <c r="F2432" s="47">
        <f>IF(A2432="","",IF(MIN(H2432,MAX(J2432:K2432))=0,"",MIN(H2432,MAX(J2432:K2432))))</f>
        <v/>
      </c>
      <c r="G2432" s="74" t="n"/>
      <c r="H2432" s="49">
        <f>IF(M2432="","",IFERROR(ROUND(AVERAGE(T2432+M2432*{7,8,9,10,11})/1.21,4),""))</f>
        <v/>
      </c>
      <c r="I2432" s="76" t="n"/>
      <c r="J2432" s="77" t="n"/>
      <c r="K2432" s="74" t="n"/>
      <c r="L2432" s="78" t="n"/>
      <c r="M2432" s="77" t="n"/>
      <c r="N2432" s="53">
        <f>IF(M2432="","",IFERROR(M2432/I2432,""))</f>
        <v/>
      </c>
      <c r="O2432" s="50">
        <f>IF(A2432="","",IFERROR((IF(G2432="",I2432,G2432)-T2432)/M2432,""))</f>
        <v/>
      </c>
      <c r="P2432" s="50">
        <f>IFERROR((I2432/T2432-1)/N2432,"")</f>
        <v/>
      </c>
      <c r="Q2432" s="46">
        <f>IF(OR(T2432="",I2432&lt;T2432),"",IFERROR(R2432/IF(G2432="",I2432,G2432)-1,""))</f>
        <v/>
      </c>
      <c r="R2432" s="48">
        <f>IF($M2432="","",MAX(IF($G2432="",$I2432,$G2432)*(1/1.1),IF($G2432="",$I2432,$G2432)+(R$2*$M2432)))</f>
        <v/>
      </c>
      <c r="S2432" s="49">
        <f>IF($M2432="","",MAX(IF($G2432="",$I2432,$G2432)*(1/1.1),IF($G2432="",$I2432,$G2432)+(S$2*$M2432)))</f>
        <v/>
      </c>
      <c r="T2432" s="82" t="n"/>
      <c r="U2432" s="47">
        <f>IF(OR($M2432="",$T2432=""),"",$T2432+(U$2*$M2432))</f>
        <v/>
      </c>
      <c r="V2432" s="48">
        <f>IF(OR($M2432="",$T2432=""),"",$T2432+(V$2*$M2432))</f>
        <v/>
      </c>
      <c r="W2432" s="48">
        <f>IF(OR($M2432="",$T2432=""),"",$T2432+(W$2*$M2432))</f>
        <v/>
      </c>
      <c r="X2432" s="49">
        <f>IF(OR($M2432="",$T2432=""),"",$T2432+(X$2*$M2432))</f>
        <v/>
      </c>
      <c r="Y2432" s="47">
        <f>IF(OR($M2432="",$T2432=""),"",$T2432+(Y$2*$M2432))</f>
        <v/>
      </c>
      <c r="Z2432" s="49">
        <f>IF(OR($M2432="",$T2432=""),"",$T2432+(Z$2*$M2432))</f>
        <v/>
      </c>
      <c r="AA2432" s="51">
        <f>IF(OR($M2432="",$T2432=""),"",$T2432+(AA$2*$M2432))</f>
        <v/>
      </c>
      <c r="AB2432" s="48">
        <f>IF(OR($M2432="",$T2432=""),"",$T2432+(AB$2*$M2432))</f>
        <v/>
      </c>
      <c r="AC2432" s="48">
        <f>IF(OR($M2432="",$T2432=""),"",$T2432+(AC$2*$M2432))</f>
        <v/>
      </c>
      <c r="AD2432" s="48">
        <f>IF(OR($M2432="",$T2432=""),"",$T2432+(AD$2*$M2432))</f>
        <v/>
      </c>
      <c r="AE2432" s="49">
        <f>IF(OR($M2432="",$T2432=""),"",$T2432+(AE$2*$M2432))</f>
        <v/>
      </c>
      <c r="AF2432" s="52">
        <f>IF(OR(T2432="",I2432&lt;T2432),"",IFERROR(AVERAGE(T2432+M2432*{7,8,9,10,11})/IF(G2432="",I2432,G2432)-1,""))</f>
        <v/>
      </c>
      <c r="AG2432" s="55">
        <f>IF(OR(T2432="",I2432&lt;T2432),"",IFERROR(AF2432/-(R2432/IF(G2432="",I2432,G2432)-1),""))</f>
        <v/>
      </c>
      <c r="AH2432" s="94" t="n"/>
      <c r="AI2432" s="94" t="n"/>
      <c r="AJ2432" s="94" t="n"/>
      <c r="AK2432" s="94" t="n"/>
      <c r="AL2432" s="84" t="n"/>
    </row>
    <row r="2433">
      <c r="A2433" s="64" t="n"/>
      <c r="B2433" s="65" t="n"/>
      <c r="C2433" s="66" t="n"/>
      <c r="D2433" s="67" t="n"/>
      <c r="E2433" s="68" t="n"/>
      <c r="F2433" s="47">
        <f>IF(A2433="","",IF(MIN(H2433,MAX(J2433:K2433))=0,"",MIN(H2433,MAX(J2433:K2433))))</f>
        <v/>
      </c>
      <c r="G2433" s="74" t="n"/>
      <c r="H2433" s="49">
        <f>IF(M2433="","",IFERROR(ROUND(AVERAGE(T2433+M2433*{7,8,9,10,11})/1.21,4),""))</f>
        <v/>
      </c>
      <c r="I2433" s="76" t="n"/>
      <c r="J2433" s="77" t="n"/>
      <c r="K2433" s="74" t="n"/>
      <c r="L2433" s="78" t="n"/>
      <c r="M2433" s="77" t="n"/>
      <c r="N2433" s="53">
        <f>IF(M2433="","",IFERROR(M2433/I2433,""))</f>
        <v/>
      </c>
      <c r="O2433" s="50">
        <f>IF(A2433="","",IFERROR((IF(G2433="",I2433,G2433)-T2433)/M2433,""))</f>
        <v/>
      </c>
      <c r="P2433" s="50">
        <f>IFERROR((I2433/T2433-1)/N2433,"")</f>
        <v/>
      </c>
      <c r="Q2433" s="46">
        <f>IF(OR(T2433="",I2433&lt;T2433),"",IFERROR(R2433/IF(G2433="",I2433,G2433)-1,""))</f>
        <v/>
      </c>
      <c r="R2433" s="48">
        <f>IF($M2433="","",MAX(IF($G2433="",$I2433,$G2433)*(1/1.1),IF($G2433="",$I2433,$G2433)+(R$2*$M2433)))</f>
        <v/>
      </c>
      <c r="S2433" s="49">
        <f>IF($M2433="","",MAX(IF($G2433="",$I2433,$G2433)*(1/1.1),IF($G2433="",$I2433,$G2433)+(S$2*$M2433)))</f>
        <v/>
      </c>
      <c r="T2433" s="82" t="n"/>
      <c r="U2433" s="47">
        <f>IF(OR($M2433="",$T2433=""),"",$T2433+(U$2*$M2433))</f>
        <v/>
      </c>
      <c r="V2433" s="48">
        <f>IF(OR($M2433="",$T2433=""),"",$T2433+(V$2*$M2433))</f>
        <v/>
      </c>
      <c r="W2433" s="48">
        <f>IF(OR($M2433="",$T2433=""),"",$T2433+(W$2*$M2433))</f>
        <v/>
      </c>
      <c r="X2433" s="49">
        <f>IF(OR($M2433="",$T2433=""),"",$T2433+(X$2*$M2433))</f>
        <v/>
      </c>
      <c r="Y2433" s="47">
        <f>IF(OR($M2433="",$T2433=""),"",$T2433+(Y$2*$M2433))</f>
        <v/>
      </c>
      <c r="Z2433" s="49">
        <f>IF(OR($M2433="",$T2433=""),"",$T2433+(Z$2*$M2433))</f>
        <v/>
      </c>
      <c r="AA2433" s="51">
        <f>IF(OR($M2433="",$T2433=""),"",$T2433+(AA$2*$M2433))</f>
        <v/>
      </c>
      <c r="AB2433" s="48">
        <f>IF(OR($M2433="",$T2433=""),"",$T2433+(AB$2*$M2433))</f>
        <v/>
      </c>
      <c r="AC2433" s="48">
        <f>IF(OR($M2433="",$T2433=""),"",$T2433+(AC$2*$M2433))</f>
        <v/>
      </c>
      <c r="AD2433" s="48">
        <f>IF(OR($M2433="",$T2433=""),"",$T2433+(AD$2*$M2433))</f>
        <v/>
      </c>
      <c r="AE2433" s="49">
        <f>IF(OR($M2433="",$T2433=""),"",$T2433+(AE$2*$M2433))</f>
        <v/>
      </c>
      <c r="AF2433" s="52">
        <f>IF(OR(T2433="",I2433&lt;T2433),"",IFERROR(AVERAGE(T2433+M2433*{7,8,9,10,11})/IF(G2433="",I2433,G2433)-1,""))</f>
        <v/>
      </c>
      <c r="AG2433" s="55">
        <f>IF(OR(T2433="",I2433&lt;T2433),"",IFERROR(AF2433/-(R2433/IF(G2433="",I2433,G2433)-1),""))</f>
        <v/>
      </c>
      <c r="AH2433" s="94" t="n"/>
      <c r="AI2433" s="94" t="n"/>
      <c r="AJ2433" s="94" t="n"/>
      <c r="AK2433" s="94" t="n"/>
      <c r="AL2433" s="84" t="n"/>
    </row>
    <row r="2434">
      <c r="A2434" s="64" t="n"/>
      <c r="B2434" s="65" t="n"/>
      <c r="C2434" s="66" t="n"/>
      <c r="D2434" s="67" t="n"/>
      <c r="E2434" s="68" t="n"/>
      <c r="F2434" s="47">
        <f>IF(A2434="","",IF(MIN(H2434,MAX(J2434:K2434))=0,"",MIN(H2434,MAX(J2434:K2434))))</f>
        <v/>
      </c>
      <c r="G2434" s="74" t="n"/>
      <c r="H2434" s="49">
        <f>IF(M2434="","",IFERROR(ROUND(AVERAGE(T2434+M2434*{7,8,9,10,11})/1.21,4),""))</f>
        <v/>
      </c>
      <c r="I2434" s="76" t="n"/>
      <c r="J2434" s="77" t="n"/>
      <c r="K2434" s="74" t="n"/>
      <c r="L2434" s="78" t="n"/>
      <c r="M2434" s="77" t="n"/>
      <c r="N2434" s="53">
        <f>IF(M2434="","",IFERROR(M2434/I2434,""))</f>
        <v/>
      </c>
      <c r="O2434" s="50">
        <f>IF(A2434="","",IFERROR((IF(G2434="",I2434,G2434)-T2434)/M2434,""))</f>
        <v/>
      </c>
      <c r="P2434" s="50">
        <f>IFERROR((I2434/T2434-1)/N2434,"")</f>
        <v/>
      </c>
      <c r="Q2434" s="46">
        <f>IF(OR(T2434="",I2434&lt;T2434),"",IFERROR(R2434/IF(G2434="",I2434,G2434)-1,""))</f>
        <v/>
      </c>
      <c r="R2434" s="48">
        <f>IF($M2434="","",MAX(IF($G2434="",$I2434,$G2434)*(1/1.1),IF($G2434="",$I2434,$G2434)+(R$2*$M2434)))</f>
        <v/>
      </c>
      <c r="S2434" s="49">
        <f>IF($M2434="","",MAX(IF($G2434="",$I2434,$G2434)*(1/1.1),IF($G2434="",$I2434,$G2434)+(S$2*$M2434)))</f>
        <v/>
      </c>
      <c r="T2434" s="82" t="n"/>
      <c r="U2434" s="47">
        <f>IF(OR($M2434="",$T2434=""),"",$T2434+(U$2*$M2434))</f>
        <v/>
      </c>
      <c r="V2434" s="48">
        <f>IF(OR($M2434="",$T2434=""),"",$T2434+(V$2*$M2434))</f>
        <v/>
      </c>
      <c r="W2434" s="48">
        <f>IF(OR($M2434="",$T2434=""),"",$T2434+(W$2*$M2434))</f>
        <v/>
      </c>
      <c r="X2434" s="49">
        <f>IF(OR($M2434="",$T2434=""),"",$T2434+(X$2*$M2434))</f>
        <v/>
      </c>
      <c r="Y2434" s="47">
        <f>IF(OR($M2434="",$T2434=""),"",$T2434+(Y$2*$M2434))</f>
        <v/>
      </c>
      <c r="Z2434" s="49">
        <f>IF(OR($M2434="",$T2434=""),"",$T2434+(Z$2*$M2434))</f>
        <v/>
      </c>
      <c r="AA2434" s="51">
        <f>IF(OR($M2434="",$T2434=""),"",$T2434+(AA$2*$M2434))</f>
        <v/>
      </c>
      <c r="AB2434" s="48">
        <f>IF(OR($M2434="",$T2434=""),"",$T2434+(AB$2*$M2434))</f>
        <v/>
      </c>
      <c r="AC2434" s="48">
        <f>IF(OR($M2434="",$T2434=""),"",$T2434+(AC$2*$M2434))</f>
        <v/>
      </c>
      <c r="AD2434" s="48">
        <f>IF(OR($M2434="",$T2434=""),"",$T2434+(AD$2*$M2434))</f>
        <v/>
      </c>
      <c r="AE2434" s="49">
        <f>IF(OR($M2434="",$T2434=""),"",$T2434+(AE$2*$M2434))</f>
        <v/>
      </c>
      <c r="AF2434" s="52">
        <f>IF(OR(T2434="",I2434&lt;T2434),"",IFERROR(AVERAGE(T2434+M2434*{7,8,9,10,11})/IF(G2434="",I2434,G2434)-1,""))</f>
        <v/>
      </c>
      <c r="AG2434" s="55">
        <f>IF(OR(T2434="",I2434&lt;T2434),"",IFERROR(AF2434/-(R2434/IF(G2434="",I2434,G2434)-1),""))</f>
        <v/>
      </c>
      <c r="AH2434" s="94" t="n"/>
      <c r="AI2434" s="94" t="n"/>
      <c r="AJ2434" s="94" t="n"/>
      <c r="AK2434" s="94" t="n"/>
      <c r="AL2434" s="84" t="n"/>
    </row>
    <row r="2435">
      <c r="A2435" s="64" t="n"/>
      <c r="B2435" s="65" t="n"/>
      <c r="C2435" s="66" t="n"/>
      <c r="D2435" s="67" t="n"/>
      <c r="E2435" s="68" t="n"/>
      <c r="F2435" s="47">
        <f>IF(A2435="","",IF(MIN(H2435,MAX(J2435:K2435))=0,"",MIN(H2435,MAX(J2435:K2435))))</f>
        <v/>
      </c>
      <c r="G2435" s="74" t="n"/>
      <c r="H2435" s="49">
        <f>IF(M2435="","",IFERROR(ROUND(AVERAGE(T2435+M2435*{7,8,9,10,11})/1.21,4),""))</f>
        <v/>
      </c>
      <c r="I2435" s="76" t="n"/>
      <c r="J2435" s="77" t="n"/>
      <c r="K2435" s="74" t="n"/>
      <c r="L2435" s="78" t="n"/>
      <c r="M2435" s="77" t="n"/>
      <c r="N2435" s="53">
        <f>IF(M2435="","",IFERROR(M2435/I2435,""))</f>
        <v/>
      </c>
      <c r="O2435" s="50">
        <f>IF(A2435="","",IFERROR((IF(G2435="",I2435,G2435)-T2435)/M2435,""))</f>
        <v/>
      </c>
      <c r="P2435" s="50">
        <f>IFERROR((I2435/T2435-1)/N2435,"")</f>
        <v/>
      </c>
      <c r="Q2435" s="46">
        <f>IF(OR(T2435="",I2435&lt;T2435),"",IFERROR(R2435/IF(G2435="",I2435,G2435)-1,""))</f>
        <v/>
      </c>
      <c r="R2435" s="48">
        <f>IF($M2435="","",MAX(IF($G2435="",$I2435,$G2435)*(1/1.1),IF($G2435="",$I2435,$G2435)+(R$2*$M2435)))</f>
        <v/>
      </c>
      <c r="S2435" s="49">
        <f>IF($M2435="","",MAX(IF($G2435="",$I2435,$G2435)*(1/1.1),IF($G2435="",$I2435,$G2435)+(S$2*$M2435)))</f>
        <v/>
      </c>
      <c r="T2435" s="82" t="n"/>
      <c r="U2435" s="47">
        <f>IF(OR($M2435="",$T2435=""),"",$T2435+(U$2*$M2435))</f>
        <v/>
      </c>
      <c r="V2435" s="48">
        <f>IF(OR($M2435="",$T2435=""),"",$T2435+(V$2*$M2435))</f>
        <v/>
      </c>
      <c r="W2435" s="48">
        <f>IF(OR($M2435="",$T2435=""),"",$T2435+(W$2*$M2435))</f>
        <v/>
      </c>
      <c r="X2435" s="49">
        <f>IF(OR($M2435="",$T2435=""),"",$T2435+(X$2*$M2435))</f>
        <v/>
      </c>
      <c r="Y2435" s="47">
        <f>IF(OR($M2435="",$T2435=""),"",$T2435+(Y$2*$M2435))</f>
        <v/>
      </c>
      <c r="Z2435" s="49">
        <f>IF(OR($M2435="",$T2435=""),"",$T2435+(Z$2*$M2435))</f>
        <v/>
      </c>
      <c r="AA2435" s="51">
        <f>IF(OR($M2435="",$T2435=""),"",$T2435+(AA$2*$M2435))</f>
        <v/>
      </c>
      <c r="AB2435" s="48">
        <f>IF(OR($M2435="",$T2435=""),"",$T2435+(AB$2*$M2435))</f>
        <v/>
      </c>
      <c r="AC2435" s="48">
        <f>IF(OR($M2435="",$T2435=""),"",$T2435+(AC$2*$M2435))</f>
        <v/>
      </c>
      <c r="AD2435" s="48">
        <f>IF(OR($M2435="",$T2435=""),"",$T2435+(AD$2*$M2435))</f>
        <v/>
      </c>
      <c r="AE2435" s="49">
        <f>IF(OR($M2435="",$T2435=""),"",$T2435+(AE$2*$M2435))</f>
        <v/>
      </c>
      <c r="AF2435" s="52">
        <f>IF(OR(T2435="",I2435&lt;T2435),"",IFERROR(AVERAGE(T2435+M2435*{7,8,9,10,11})/IF(G2435="",I2435,G2435)-1,""))</f>
        <v/>
      </c>
      <c r="AG2435" s="55">
        <f>IF(OR(T2435="",I2435&lt;T2435),"",IFERROR(AF2435/-(R2435/IF(G2435="",I2435,G2435)-1),""))</f>
        <v/>
      </c>
      <c r="AH2435" s="94" t="n"/>
      <c r="AI2435" s="94" t="n"/>
      <c r="AJ2435" s="94" t="n"/>
      <c r="AK2435" s="94" t="n"/>
      <c r="AL2435" s="84" t="n"/>
    </row>
    <row r="2436">
      <c r="A2436" s="64" t="n"/>
      <c r="B2436" s="65" t="n"/>
      <c r="C2436" s="66" t="n"/>
      <c r="D2436" s="67" t="n"/>
      <c r="E2436" s="68" t="n"/>
      <c r="F2436" s="47">
        <f>IF(A2436="","",IF(MIN(H2436,MAX(J2436:K2436))=0,"",MIN(H2436,MAX(J2436:K2436))))</f>
        <v/>
      </c>
      <c r="G2436" s="74" t="n"/>
      <c r="H2436" s="49">
        <f>IF(M2436="","",IFERROR(ROUND(AVERAGE(T2436+M2436*{7,8,9,10,11})/1.21,4),""))</f>
        <v/>
      </c>
      <c r="I2436" s="76" t="n"/>
      <c r="J2436" s="77" t="n"/>
      <c r="K2436" s="74" t="n"/>
      <c r="L2436" s="78" t="n"/>
      <c r="M2436" s="77" t="n"/>
      <c r="N2436" s="53">
        <f>IF(M2436="","",IFERROR(M2436/I2436,""))</f>
        <v/>
      </c>
      <c r="O2436" s="50">
        <f>IF(A2436="","",IFERROR((IF(G2436="",I2436,G2436)-T2436)/M2436,""))</f>
        <v/>
      </c>
      <c r="P2436" s="50">
        <f>IFERROR((I2436/T2436-1)/N2436,"")</f>
        <v/>
      </c>
      <c r="Q2436" s="46">
        <f>IF(OR(T2436="",I2436&lt;T2436),"",IFERROR(R2436/IF(G2436="",I2436,G2436)-1,""))</f>
        <v/>
      </c>
      <c r="R2436" s="48">
        <f>IF($M2436="","",MAX(IF($G2436="",$I2436,$G2436)*(1/1.1),IF($G2436="",$I2436,$G2436)+(R$2*$M2436)))</f>
        <v/>
      </c>
      <c r="S2436" s="49">
        <f>IF($M2436="","",MAX(IF($G2436="",$I2436,$G2436)*(1/1.1),IF($G2436="",$I2436,$G2436)+(S$2*$M2436)))</f>
        <v/>
      </c>
      <c r="T2436" s="82" t="n"/>
      <c r="U2436" s="47">
        <f>IF(OR($M2436="",$T2436=""),"",$T2436+(U$2*$M2436))</f>
        <v/>
      </c>
      <c r="V2436" s="48">
        <f>IF(OR($M2436="",$T2436=""),"",$T2436+(V$2*$M2436))</f>
        <v/>
      </c>
      <c r="W2436" s="48">
        <f>IF(OR($M2436="",$T2436=""),"",$T2436+(W$2*$M2436))</f>
        <v/>
      </c>
      <c r="X2436" s="49">
        <f>IF(OR($M2436="",$T2436=""),"",$T2436+(X$2*$M2436))</f>
        <v/>
      </c>
      <c r="Y2436" s="47">
        <f>IF(OR($M2436="",$T2436=""),"",$T2436+(Y$2*$M2436))</f>
        <v/>
      </c>
      <c r="Z2436" s="49">
        <f>IF(OR($M2436="",$T2436=""),"",$T2436+(Z$2*$M2436))</f>
        <v/>
      </c>
      <c r="AA2436" s="51">
        <f>IF(OR($M2436="",$T2436=""),"",$T2436+(AA$2*$M2436))</f>
        <v/>
      </c>
      <c r="AB2436" s="48">
        <f>IF(OR($M2436="",$T2436=""),"",$T2436+(AB$2*$M2436))</f>
        <v/>
      </c>
      <c r="AC2436" s="48">
        <f>IF(OR($M2436="",$T2436=""),"",$T2436+(AC$2*$M2436))</f>
        <v/>
      </c>
      <c r="AD2436" s="48">
        <f>IF(OR($M2436="",$T2436=""),"",$T2436+(AD$2*$M2436))</f>
        <v/>
      </c>
      <c r="AE2436" s="49">
        <f>IF(OR($M2436="",$T2436=""),"",$T2436+(AE$2*$M2436))</f>
        <v/>
      </c>
      <c r="AF2436" s="52">
        <f>IF(OR(T2436="",I2436&lt;T2436),"",IFERROR(AVERAGE(T2436+M2436*{7,8,9,10,11})/IF(G2436="",I2436,G2436)-1,""))</f>
        <v/>
      </c>
      <c r="AG2436" s="55">
        <f>IF(OR(T2436="",I2436&lt;T2436),"",IFERROR(AF2436/-(R2436/IF(G2436="",I2436,G2436)-1),""))</f>
        <v/>
      </c>
      <c r="AH2436" s="94" t="n"/>
      <c r="AI2436" s="94" t="n"/>
      <c r="AJ2436" s="94" t="n"/>
      <c r="AK2436" s="94" t="n"/>
      <c r="AL2436" s="84" t="n"/>
    </row>
    <row r="2437">
      <c r="A2437" s="64" t="n"/>
      <c r="B2437" s="65" t="n"/>
      <c r="C2437" s="66" t="n"/>
      <c r="D2437" s="67" t="n"/>
      <c r="E2437" s="68" t="n"/>
      <c r="F2437" s="47">
        <f>IF(A2437="","",IF(MIN(H2437,MAX(J2437:K2437))=0,"",MIN(H2437,MAX(J2437:K2437))))</f>
        <v/>
      </c>
      <c r="G2437" s="74" t="n"/>
      <c r="H2437" s="49">
        <f>IF(M2437="","",IFERROR(ROUND(AVERAGE(T2437+M2437*{7,8,9,10,11})/1.21,4),""))</f>
        <v/>
      </c>
      <c r="I2437" s="76" t="n"/>
      <c r="J2437" s="77" t="n"/>
      <c r="K2437" s="74" t="n"/>
      <c r="L2437" s="78" t="n"/>
      <c r="M2437" s="77" t="n"/>
      <c r="N2437" s="53">
        <f>IF(M2437="","",IFERROR(M2437/I2437,""))</f>
        <v/>
      </c>
      <c r="O2437" s="50">
        <f>IF(A2437="","",IFERROR((IF(G2437="",I2437,G2437)-T2437)/M2437,""))</f>
        <v/>
      </c>
      <c r="P2437" s="50">
        <f>IFERROR((I2437/T2437-1)/N2437,"")</f>
        <v/>
      </c>
      <c r="Q2437" s="46">
        <f>IF(OR(T2437="",I2437&lt;T2437),"",IFERROR(R2437/IF(G2437="",I2437,G2437)-1,""))</f>
        <v/>
      </c>
      <c r="R2437" s="48">
        <f>IF($M2437="","",MAX(IF($G2437="",$I2437,$G2437)*(1/1.1),IF($G2437="",$I2437,$G2437)+(R$2*$M2437)))</f>
        <v/>
      </c>
      <c r="S2437" s="49">
        <f>IF($M2437="","",MAX(IF($G2437="",$I2437,$G2437)*(1/1.1),IF($G2437="",$I2437,$G2437)+(S$2*$M2437)))</f>
        <v/>
      </c>
      <c r="T2437" s="82" t="n"/>
      <c r="U2437" s="47">
        <f>IF(OR($M2437="",$T2437=""),"",$T2437+(U$2*$M2437))</f>
        <v/>
      </c>
      <c r="V2437" s="48">
        <f>IF(OR($M2437="",$T2437=""),"",$T2437+(V$2*$M2437))</f>
        <v/>
      </c>
      <c r="W2437" s="48">
        <f>IF(OR($M2437="",$T2437=""),"",$T2437+(W$2*$M2437))</f>
        <v/>
      </c>
      <c r="X2437" s="49">
        <f>IF(OR($M2437="",$T2437=""),"",$T2437+(X$2*$M2437))</f>
        <v/>
      </c>
      <c r="Y2437" s="47">
        <f>IF(OR($M2437="",$T2437=""),"",$T2437+(Y$2*$M2437))</f>
        <v/>
      </c>
      <c r="Z2437" s="49">
        <f>IF(OR($M2437="",$T2437=""),"",$T2437+(Z$2*$M2437))</f>
        <v/>
      </c>
      <c r="AA2437" s="51">
        <f>IF(OR($M2437="",$T2437=""),"",$T2437+(AA$2*$M2437))</f>
        <v/>
      </c>
      <c r="AB2437" s="48">
        <f>IF(OR($M2437="",$T2437=""),"",$T2437+(AB$2*$M2437))</f>
        <v/>
      </c>
      <c r="AC2437" s="48">
        <f>IF(OR($M2437="",$T2437=""),"",$T2437+(AC$2*$M2437))</f>
        <v/>
      </c>
      <c r="AD2437" s="48">
        <f>IF(OR($M2437="",$T2437=""),"",$T2437+(AD$2*$M2437))</f>
        <v/>
      </c>
      <c r="AE2437" s="49">
        <f>IF(OR($M2437="",$T2437=""),"",$T2437+(AE$2*$M2437))</f>
        <v/>
      </c>
      <c r="AF2437" s="52">
        <f>IF(OR(T2437="",I2437&lt;T2437),"",IFERROR(AVERAGE(T2437+M2437*{7,8,9,10,11})/IF(G2437="",I2437,G2437)-1,""))</f>
        <v/>
      </c>
      <c r="AG2437" s="55">
        <f>IF(OR(T2437="",I2437&lt;T2437),"",IFERROR(AF2437/-(R2437/IF(G2437="",I2437,G2437)-1),""))</f>
        <v/>
      </c>
      <c r="AH2437" s="94" t="n"/>
      <c r="AI2437" s="94" t="n"/>
      <c r="AJ2437" s="94" t="n"/>
      <c r="AK2437" s="94" t="n"/>
      <c r="AL2437" s="84" t="n"/>
    </row>
    <row r="2438">
      <c r="A2438" s="64" t="n"/>
      <c r="B2438" s="65" t="n"/>
      <c r="C2438" s="66" t="n"/>
      <c r="D2438" s="67" t="n"/>
      <c r="E2438" s="68" t="n"/>
      <c r="F2438" s="47">
        <f>IF(A2438="","",IF(MIN(H2438,MAX(J2438:K2438))=0,"",MIN(H2438,MAX(J2438:K2438))))</f>
        <v/>
      </c>
      <c r="G2438" s="74" t="n"/>
      <c r="H2438" s="49">
        <f>IF(M2438="","",IFERROR(ROUND(AVERAGE(T2438+M2438*{7,8,9,10,11})/1.21,4),""))</f>
        <v/>
      </c>
      <c r="I2438" s="76" t="n"/>
      <c r="J2438" s="77" t="n"/>
      <c r="K2438" s="74" t="n"/>
      <c r="L2438" s="78" t="n"/>
      <c r="M2438" s="77" t="n"/>
      <c r="N2438" s="53">
        <f>IF(M2438="","",IFERROR(M2438/I2438,""))</f>
        <v/>
      </c>
      <c r="O2438" s="50">
        <f>IF(A2438="","",IFERROR((IF(G2438="",I2438,G2438)-T2438)/M2438,""))</f>
        <v/>
      </c>
      <c r="P2438" s="50">
        <f>IFERROR((I2438/T2438-1)/N2438,"")</f>
        <v/>
      </c>
      <c r="Q2438" s="46">
        <f>IF(OR(T2438="",I2438&lt;T2438),"",IFERROR(R2438/IF(G2438="",I2438,G2438)-1,""))</f>
        <v/>
      </c>
      <c r="R2438" s="48">
        <f>IF($M2438="","",MAX(IF($G2438="",$I2438,$G2438)*(1/1.1),IF($G2438="",$I2438,$G2438)+(R$2*$M2438)))</f>
        <v/>
      </c>
      <c r="S2438" s="49">
        <f>IF($M2438="","",MAX(IF($G2438="",$I2438,$G2438)*(1/1.1),IF($G2438="",$I2438,$G2438)+(S$2*$M2438)))</f>
        <v/>
      </c>
      <c r="T2438" s="82" t="n"/>
      <c r="U2438" s="47">
        <f>IF(OR($M2438="",$T2438=""),"",$T2438+(U$2*$M2438))</f>
        <v/>
      </c>
      <c r="V2438" s="48">
        <f>IF(OR($M2438="",$T2438=""),"",$T2438+(V$2*$M2438))</f>
        <v/>
      </c>
      <c r="W2438" s="48">
        <f>IF(OR($M2438="",$T2438=""),"",$T2438+(W$2*$M2438))</f>
        <v/>
      </c>
      <c r="X2438" s="49">
        <f>IF(OR($M2438="",$T2438=""),"",$T2438+(X$2*$M2438))</f>
        <v/>
      </c>
      <c r="Y2438" s="47">
        <f>IF(OR($M2438="",$T2438=""),"",$T2438+(Y$2*$M2438))</f>
        <v/>
      </c>
      <c r="Z2438" s="49">
        <f>IF(OR($M2438="",$T2438=""),"",$T2438+(Z$2*$M2438))</f>
        <v/>
      </c>
      <c r="AA2438" s="51">
        <f>IF(OR($M2438="",$T2438=""),"",$T2438+(AA$2*$M2438))</f>
        <v/>
      </c>
      <c r="AB2438" s="48">
        <f>IF(OR($M2438="",$T2438=""),"",$T2438+(AB$2*$M2438))</f>
        <v/>
      </c>
      <c r="AC2438" s="48">
        <f>IF(OR($M2438="",$T2438=""),"",$T2438+(AC$2*$M2438))</f>
        <v/>
      </c>
      <c r="AD2438" s="48">
        <f>IF(OR($M2438="",$T2438=""),"",$T2438+(AD$2*$M2438))</f>
        <v/>
      </c>
      <c r="AE2438" s="49">
        <f>IF(OR($M2438="",$T2438=""),"",$T2438+(AE$2*$M2438))</f>
        <v/>
      </c>
      <c r="AF2438" s="52">
        <f>IF(OR(T2438="",I2438&lt;T2438),"",IFERROR(AVERAGE(T2438+M2438*{7,8,9,10,11})/IF(G2438="",I2438,G2438)-1,""))</f>
        <v/>
      </c>
      <c r="AG2438" s="55">
        <f>IF(OR(T2438="",I2438&lt;T2438),"",IFERROR(AF2438/-(R2438/IF(G2438="",I2438,G2438)-1),""))</f>
        <v/>
      </c>
      <c r="AH2438" s="94" t="n"/>
      <c r="AI2438" s="94" t="n"/>
      <c r="AJ2438" s="94" t="n"/>
      <c r="AK2438" s="94" t="n"/>
      <c r="AL2438" s="84" t="n"/>
    </row>
    <row r="2439">
      <c r="A2439" s="64" t="n"/>
      <c r="B2439" s="65" t="n"/>
      <c r="C2439" s="66" t="n"/>
      <c r="D2439" s="67" t="n"/>
      <c r="E2439" s="68" t="n"/>
      <c r="F2439" s="47">
        <f>IF(A2439="","",IF(MIN(H2439,MAX(J2439:K2439))=0,"",MIN(H2439,MAX(J2439:K2439))))</f>
        <v/>
      </c>
      <c r="G2439" s="74" t="n"/>
      <c r="H2439" s="49">
        <f>IF(M2439="","",IFERROR(ROUND(AVERAGE(T2439+M2439*{7,8,9,10,11})/1.21,4),""))</f>
        <v/>
      </c>
      <c r="I2439" s="76" t="n"/>
      <c r="J2439" s="77" t="n"/>
      <c r="K2439" s="74" t="n"/>
      <c r="L2439" s="78" t="n"/>
      <c r="M2439" s="77" t="n"/>
      <c r="N2439" s="53">
        <f>IF(M2439="","",IFERROR(M2439/I2439,""))</f>
        <v/>
      </c>
      <c r="O2439" s="50">
        <f>IF(A2439="","",IFERROR((IF(G2439="",I2439,G2439)-T2439)/M2439,""))</f>
        <v/>
      </c>
      <c r="P2439" s="50">
        <f>IFERROR((I2439/T2439-1)/N2439,"")</f>
        <v/>
      </c>
      <c r="Q2439" s="46">
        <f>IF(OR(T2439="",I2439&lt;T2439),"",IFERROR(R2439/IF(G2439="",I2439,G2439)-1,""))</f>
        <v/>
      </c>
      <c r="R2439" s="48">
        <f>IF($M2439="","",MAX(IF($G2439="",$I2439,$G2439)*(1/1.1),IF($G2439="",$I2439,$G2439)+(R$2*$M2439)))</f>
        <v/>
      </c>
      <c r="S2439" s="49">
        <f>IF($M2439="","",MAX(IF($G2439="",$I2439,$G2439)*(1/1.1),IF($G2439="",$I2439,$G2439)+(S$2*$M2439)))</f>
        <v/>
      </c>
      <c r="T2439" s="82" t="n"/>
      <c r="U2439" s="47">
        <f>IF(OR($M2439="",$T2439=""),"",$T2439+(U$2*$M2439))</f>
        <v/>
      </c>
      <c r="V2439" s="48">
        <f>IF(OR($M2439="",$T2439=""),"",$T2439+(V$2*$M2439))</f>
        <v/>
      </c>
      <c r="W2439" s="48">
        <f>IF(OR($M2439="",$T2439=""),"",$T2439+(W$2*$M2439))</f>
        <v/>
      </c>
      <c r="X2439" s="49">
        <f>IF(OR($M2439="",$T2439=""),"",$T2439+(X$2*$M2439))</f>
        <v/>
      </c>
      <c r="Y2439" s="47">
        <f>IF(OR($M2439="",$T2439=""),"",$T2439+(Y$2*$M2439))</f>
        <v/>
      </c>
      <c r="Z2439" s="49">
        <f>IF(OR($M2439="",$T2439=""),"",$T2439+(Z$2*$M2439))</f>
        <v/>
      </c>
      <c r="AA2439" s="51">
        <f>IF(OR($M2439="",$T2439=""),"",$T2439+(AA$2*$M2439))</f>
        <v/>
      </c>
      <c r="AB2439" s="48">
        <f>IF(OR($M2439="",$T2439=""),"",$T2439+(AB$2*$M2439))</f>
        <v/>
      </c>
      <c r="AC2439" s="48">
        <f>IF(OR($M2439="",$T2439=""),"",$T2439+(AC$2*$M2439))</f>
        <v/>
      </c>
      <c r="AD2439" s="48">
        <f>IF(OR($M2439="",$T2439=""),"",$T2439+(AD$2*$M2439))</f>
        <v/>
      </c>
      <c r="AE2439" s="49">
        <f>IF(OR($M2439="",$T2439=""),"",$T2439+(AE$2*$M2439))</f>
        <v/>
      </c>
      <c r="AF2439" s="52">
        <f>IF(OR(T2439="",I2439&lt;T2439),"",IFERROR(AVERAGE(T2439+M2439*{7,8,9,10,11})/IF(G2439="",I2439,G2439)-1,""))</f>
        <v/>
      </c>
      <c r="AG2439" s="55">
        <f>IF(OR(T2439="",I2439&lt;T2439),"",IFERROR(AF2439/-(R2439/IF(G2439="",I2439,G2439)-1),""))</f>
        <v/>
      </c>
      <c r="AH2439" s="94" t="n"/>
      <c r="AI2439" s="94" t="n"/>
      <c r="AJ2439" s="94" t="n"/>
      <c r="AK2439" s="94" t="n"/>
      <c r="AL2439" s="84" t="n"/>
    </row>
    <row r="2440">
      <c r="A2440" s="64" t="n"/>
      <c r="B2440" s="65" t="n"/>
      <c r="C2440" s="66" t="n"/>
      <c r="D2440" s="67" t="n"/>
      <c r="E2440" s="68" t="n"/>
      <c r="F2440" s="47">
        <f>IF(A2440="","",IF(MIN(H2440,MAX(J2440:K2440))=0,"",MIN(H2440,MAX(J2440:K2440))))</f>
        <v/>
      </c>
      <c r="G2440" s="74" t="n"/>
      <c r="H2440" s="49">
        <f>IF(M2440="","",IFERROR(ROUND(AVERAGE(T2440+M2440*{7,8,9,10,11})/1.21,4),""))</f>
        <v/>
      </c>
      <c r="I2440" s="76" t="n"/>
      <c r="J2440" s="77" t="n"/>
      <c r="K2440" s="74" t="n"/>
      <c r="L2440" s="78" t="n"/>
      <c r="M2440" s="77" t="n"/>
      <c r="N2440" s="53">
        <f>IF(M2440="","",IFERROR(M2440/I2440,""))</f>
        <v/>
      </c>
      <c r="O2440" s="50">
        <f>IF(A2440="","",IFERROR((IF(G2440="",I2440,G2440)-T2440)/M2440,""))</f>
        <v/>
      </c>
      <c r="P2440" s="50">
        <f>IFERROR((I2440/T2440-1)/N2440,"")</f>
        <v/>
      </c>
      <c r="Q2440" s="46">
        <f>IF(OR(T2440="",I2440&lt;T2440),"",IFERROR(R2440/IF(G2440="",I2440,G2440)-1,""))</f>
        <v/>
      </c>
      <c r="R2440" s="48">
        <f>IF($M2440="","",MAX(IF($G2440="",$I2440,$G2440)*(1/1.1),IF($G2440="",$I2440,$G2440)+(R$2*$M2440)))</f>
        <v/>
      </c>
      <c r="S2440" s="49">
        <f>IF($M2440="","",MAX(IF($G2440="",$I2440,$G2440)*(1/1.1),IF($G2440="",$I2440,$G2440)+(S$2*$M2440)))</f>
        <v/>
      </c>
      <c r="T2440" s="82" t="n"/>
      <c r="U2440" s="47">
        <f>IF(OR($M2440="",$T2440=""),"",$T2440+(U$2*$M2440))</f>
        <v/>
      </c>
      <c r="V2440" s="48">
        <f>IF(OR($M2440="",$T2440=""),"",$T2440+(V$2*$M2440))</f>
        <v/>
      </c>
      <c r="W2440" s="48">
        <f>IF(OR($M2440="",$T2440=""),"",$T2440+(W$2*$M2440))</f>
        <v/>
      </c>
      <c r="X2440" s="49">
        <f>IF(OR($M2440="",$T2440=""),"",$T2440+(X$2*$M2440))</f>
        <v/>
      </c>
      <c r="Y2440" s="47">
        <f>IF(OR($M2440="",$T2440=""),"",$T2440+(Y$2*$M2440))</f>
        <v/>
      </c>
      <c r="Z2440" s="49">
        <f>IF(OR($M2440="",$T2440=""),"",$T2440+(Z$2*$M2440))</f>
        <v/>
      </c>
      <c r="AA2440" s="51">
        <f>IF(OR($M2440="",$T2440=""),"",$T2440+(AA$2*$M2440))</f>
        <v/>
      </c>
      <c r="AB2440" s="48">
        <f>IF(OR($M2440="",$T2440=""),"",$T2440+(AB$2*$M2440))</f>
        <v/>
      </c>
      <c r="AC2440" s="48">
        <f>IF(OR($M2440="",$T2440=""),"",$T2440+(AC$2*$M2440))</f>
        <v/>
      </c>
      <c r="AD2440" s="48">
        <f>IF(OR($M2440="",$T2440=""),"",$T2440+(AD$2*$M2440))</f>
        <v/>
      </c>
      <c r="AE2440" s="49">
        <f>IF(OR($M2440="",$T2440=""),"",$T2440+(AE$2*$M2440))</f>
        <v/>
      </c>
      <c r="AF2440" s="52">
        <f>IF(OR(T2440="",I2440&lt;T2440),"",IFERROR(AVERAGE(T2440+M2440*{7,8,9,10,11})/IF(G2440="",I2440,G2440)-1,""))</f>
        <v/>
      </c>
      <c r="AG2440" s="55">
        <f>IF(OR(T2440="",I2440&lt;T2440),"",IFERROR(AF2440/-(R2440/IF(G2440="",I2440,G2440)-1),""))</f>
        <v/>
      </c>
      <c r="AH2440" s="94" t="n"/>
      <c r="AI2440" s="94" t="n"/>
      <c r="AJ2440" s="94" t="n"/>
      <c r="AK2440" s="94" t="n"/>
      <c r="AL2440" s="84" t="n"/>
    </row>
    <row r="2441">
      <c r="A2441" s="64" t="n"/>
      <c r="B2441" s="65" t="n"/>
      <c r="C2441" s="66" t="n"/>
      <c r="D2441" s="67" t="n"/>
      <c r="E2441" s="68" t="n"/>
      <c r="F2441" s="47">
        <f>IF(A2441="","",IF(MIN(H2441,MAX(J2441:K2441))=0,"",MIN(H2441,MAX(J2441:K2441))))</f>
        <v/>
      </c>
      <c r="G2441" s="74" t="n"/>
      <c r="H2441" s="49">
        <f>IF(M2441="","",IFERROR(ROUND(AVERAGE(T2441+M2441*{7,8,9,10,11})/1.21,4),""))</f>
        <v/>
      </c>
      <c r="I2441" s="76" t="n"/>
      <c r="J2441" s="77" t="n"/>
      <c r="K2441" s="74" t="n"/>
      <c r="L2441" s="78" t="n"/>
      <c r="M2441" s="77" t="n"/>
      <c r="N2441" s="53">
        <f>IF(M2441="","",IFERROR(M2441/I2441,""))</f>
        <v/>
      </c>
      <c r="O2441" s="50">
        <f>IF(A2441="","",IFERROR((IF(G2441="",I2441,G2441)-T2441)/M2441,""))</f>
        <v/>
      </c>
      <c r="P2441" s="50">
        <f>IFERROR((I2441/T2441-1)/N2441,"")</f>
        <v/>
      </c>
      <c r="Q2441" s="46">
        <f>IF(OR(T2441="",I2441&lt;T2441),"",IFERROR(R2441/IF(G2441="",I2441,G2441)-1,""))</f>
        <v/>
      </c>
      <c r="R2441" s="48">
        <f>IF($M2441="","",MAX(IF($G2441="",$I2441,$G2441)*(1/1.1),IF($G2441="",$I2441,$G2441)+(R$2*$M2441)))</f>
        <v/>
      </c>
      <c r="S2441" s="49">
        <f>IF($M2441="","",MAX(IF($G2441="",$I2441,$G2441)*(1/1.1),IF($G2441="",$I2441,$G2441)+(S$2*$M2441)))</f>
        <v/>
      </c>
      <c r="T2441" s="82" t="n"/>
      <c r="U2441" s="47">
        <f>IF(OR($M2441="",$T2441=""),"",$T2441+(U$2*$M2441))</f>
        <v/>
      </c>
      <c r="V2441" s="48">
        <f>IF(OR($M2441="",$T2441=""),"",$T2441+(V$2*$M2441))</f>
        <v/>
      </c>
      <c r="W2441" s="48">
        <f>IF(OR($M2441="",$T2441=""),"",$T2441+(W$2*$M2441))</f>
        <v/>
      </c>
      <c r="X2441" s="49">
        <f>IF(OR($M2441="",$T2441=""),"",$T2441+(X$2*$M2441))</f>
        <v/>
      </c>
      <c r="Y2441" s="47">
        <f>IF(OR($M2441="",$T2441=""),"",$T2441+(Y$2*$M2441))</f>
        <v/>
      </c>
      <c r="Z2441" s="49">
        <f>IF(OR($M2441="",$T2441=""),"",$T2441+(Z$2*$M2441))</f>
        <v/>
      </c>
      <c r="AA2441" s="51">
        <f>IF(OR($M2441="",$T2441=""),"",$T2441+(AA$2*$M2441))</f>
        <v/>
      </c>
      <c r="AB2441" s="48">
        <f>IF(OR($M2441="",$T2441=""),"",$T2441+(AB$2*$M2441))</f>
        <v/>
      </c>
      <c r="AC2441" s="48">
        <f>IF(OR($M2441="",$T2441=""),"",$T2441+(AC$2*$M2441))</f>
        <v/>
      </c>
      <c r="AD2441" s="48">
        <f>IF(OR($M2441="",$T2441=""),"",$T2441+(AD$2*$M2441))</f>
        <v/>
      </c>
      <c r="AE2441" s="49">
        <f>IF(OR($M2441="",$T2441=""),"",$T2441+(AE$2*$M2441))</f>
        <v/>
      </c>
      <c r="AF2441" s="52">
        <f>IF(OR(T2441="",I2441&lt;T2441),"",IFERROR(AVERAGE(T2441+M2441*{7,8,9,10,11})/IF(G2441="",I2441,G2441)-1,""))</f>
        <v/>
      </c>
      <c r="AG2441" s="55">
        <f>IF(OR(T2441="",I2441&lt;T2441),"",IFERROR(AF2441/-(R2441/IF(G2441="",I2441,G2441)-1),""))</f>
        <v/>
      </c>
      <c r="AH2441" s="94" t="n"/>
      <c r="AI2441" s="94" t="n"/>
      <c r="AJ2441" s="94" t="n"/>
      <c r="AK2441" s="94" t="n"/>
      <c r="AL2441" s="84" t="n"/>
    </row>
    <row r="2442">
      <c r="A2442" s="64" t="n"/>
      <c r="B2442" s="65" t="n"/>
      <c r="C2442" s="66" t="n"/>
      <c r="D2442" s="67" t="n"/>
      <c r="E2442" s="68" t="n"/>
      <c r="F2442" s="47">
        <f>IF(A2442="","",IF(MIN(H2442,MAX(J2442:K2442))=0,"",MIN(H2442,MAX(J2442:K2442))))</f>
        <v/>
      </c>
      <c r="G2442" s="74" t="n"/>
      <c r="H2442" s="49">
        <f>IF(M2442="","",IFERROR(ROUND(AVERAGE(T2442+M2442*{7,8,9,10,11})/1.21,4),""))</f>
        <v/>
      </c>
      <c r="I2442" s="76" t="n"/>
      <c r="J2442" s="77" t="n"/>
      <c r="K2442" s="74" t="n"/>
      <c r="L2442" s="78" t="n"/>
      <c r="M2442" s="77" t="n"/>
      <c r="N2442" s="53">
        <f>IF(M2442="","",IFERROR(M2442/I2442,""))</f>
        <v/>
      </c>
      <c r="O2442" s="50">
        <f>IF(A2442="","",IFERROR((IF(G2442="",I2442,G2442)-T2442)/M2442,""))</f>
        <v/>
      </c>
      <c r="P2442" s="50">
        <f>IFERROR((I2442/T2442-1)/N2442,"")</f>
        <v/>
      </c>
      <c r="Q2442" s="46">
        <f>IF(OR(T2442="",I2442&lt;T2442),"",IFERROR(R2442/IF(G2442="",I2442,G2442)-1,""))</f>
        <v/>
      </c>
      <c r="R2442" s="48">
        <f>IF($M2442="","",MAX(IF($G2442="",$I2442,$G2442)*(1/1.1),IF($G2442="",$I2442,$G2442)+(R$2*$M2442)))</f>
        <v/>
      </c>
      <c r="S2442" s="49">
        <f>IF($M2442="","",MAX(IF($G2442="",$I2442,$G2442)*(1/1.1),IF($G2442="",$I2442,$G2442)+(S$2*$M2442)))</f>
        <v/>
      </c>
      <c r="T2442" s="82" t="n"/>
      <c r="U2442" s="47">
        <f>IF(OR($M2442="",$T2442=""),"",$T2442+(U$2*$M2442))</f>
        <v/>
      </c>
      <c r="V2442" s="48">
        <f>IF(OR($M2442="",$T2442=""),"",$T2442+(V$2*$M2442))</f>
        <v/>
      </c>
      <c r="W2442" s="48">
        <f>IF(OR($M2442="",$T2442=""),"",$T2442+(W$2*$M2442))</f>
        <v/>
      </c>
      <c r="X2442" s="49">
        <f>IF(OR($M2442="",$T2442=""),"",$T2442+(X$2*$M2442))</f>
        <v/>
      </c>
      <c r="Y2442" s="47">
        <f>IF(OR($M2442="",$T2442=""),"",$T2442+(Y$2*$M2442))</f>
        <v/>
      </c>
      <c r="Z2442" s="49">
        <f>IF(OR($M2442="",$T2442=""),"",$T2442+(Z$2*$M2442))</f>
        <v/>
      </c>
      <c r="AA2442" s="51">
        <f>IF(OR($M2442="",$T2442=""),"",$T2442+(AA$2*$M2442))</f>
        <v/>
      </c>
      <c r="AB2442" s="48">
        <f>IF(OR($M2442="",$T2442=""),"",$T2442+(AB$2*$M2442))</f>
        <v/>
      </c>
      <c r="AC2442" s="48">
        <f>IF(OR($M2442="",$T2442=""),"",$T2442+(AC$2*$M2442))</f>
        <v/>
      </c>
      <c r="AD2442" s="48">
        <f>IF(OR($M2442="",$T2442=""),"",$T2442+(AD$2*$M2442))</f>
        <v/>
      </c>
      <c r="AE2442" s="49">
        <f>IF(OR($M2442="",$T2442=""),"",$T2442+(AE$2*$M2442))</f>
        <v/>
      </c>
      <c r="AF2442" s="52">
        <f>IF(OR(T2442="",I2442&lt;T2442),"",IFERROR(AVERAGE(T2442+M2442*{7,8,9,10,11})/IF(G2442="",I2442,G2442)-1,""))</f>
        <v/>
      </c>
      <c r="AG2442" s="55">
        <f>IF(OR(T2442="",I2442&lt;T2442),"",IFERROR(AF2442/-(R2442/IF(G2442="",I2442,G2442)-1),""))</f>
        <v/>
      </c>
      <c r="AH2442" s="94" t="n"/>
      <c r="AI2442" s="94" t="n"/>
      <c r="AJ2442" s="94" t="n"/>
      <c r="AK2442" s="94" t="n"/>
      <c r="AL2442" s="84" t="n"/>
    </row>
    <row r="2443">
      <c r="A2443" s="64" t="n"/>
      <c r="B2443" s="65" t="n"/>
      <c r="C2443" s="66" t="n"/>
      <c r="D2443" s="67" t="n"/>
      <c r="E2443" s="68" t="n"/>
      <c r="F2443" s="47">
        <f>IF(A2443="","",IF(MIN(H2443,MAX(J2443:K2443))=0,"",MIN(H2443,MAX(J2443:K2443))))</f>
        <v/>
      </c>
      <c r="G2443" s="74" t="n"/>
      <c r="H2443" s="49">
        <f>IF(M2443="","",IFERROR(ROUND(AVERAGE(T2443+M2443*{7,8,9,10,11})/1.21,4),""))</f>
        <v/>
      </c>
      <c r="I2443" s="76" t="n"/>
      <c r="J2443" s="77" t="n"/>
      <c r="K2443" s="74" t="n"/>
      <c r="L2443" s="78" t="n"/>
      <c r="M2443" s="77" t="n"/>
      <c r="N2443" s="53">
        <f>IF(M2443="","",IFERROR(M2443/I2443,""))</f>
        <v/>
      </c>
      <c r="O2443" s="50">
        <f>IF(A2443="","",IFERROR((IF(G2443="",I2443,G2443)-T2443)/M2443,""))</f>
        <v/>
      </c>
      <c r="P2443" s="50">
        <f>IFERROR((I2443/T2443-1)/N2443,"")</f>
        <v/>
      </c>
      <c r="Q2443" s="46">
        <f>IF(OR(T2443="",I2443&lt;T2443),"",IFERROR(R2443/IF(G2443="",I2443,G2443)-1,""))</f>
        <v/>
      </c>
      <c r="R2443" s="48">
        <f>IF($M2443="","",MAX(IF($G2443="",$I2443,$G2443)*(1/1.1),IF($G2443="",$I2443,$G2443)+(R$2*$M2443)))</f>
        <v/>
      </c>
      <c r="S2443" s="49">
        <f>IF($M2443="","",MAX(IF($G2443="",$I2443,$G2443)*(1/1.1),IF($G2443="",$I2443,$G2443)+(S$2*$M2443)))</f>
        <v/>
      </c>
      <c r="T2443" s="82" t="n"/>
      <c r="U2443" s="47">
        <f>IF(OR($M2443="",$T2443=""),"",$T2443+(U$2*$M2443))</f>
        <v/>
      </c>
      <c r="V2443" s="48">
        <f>IF(OR($M2443="",$T2443=""),"",$T2443+(V$2*$M2443))</f>
        <v/>
      </c>
      <c r="W2443" s="48">
        <f>IF(OR($M2443="",$T2443=""),"",$T2443+(W$2*$M2443))</f>
        <v/>
      </c>
      <c r="X2443" s="49">
        <f>IF(OR($M2443="",$T2443=""),"",$T2443+(X$2*$M2443))</f>
        <v/>
      </c>
      <c r="Y2443" s="47">
        <f>IF(OR($M2443="",$T2443=""),"",$T2443+(Y$2*$M2443))</f>
        <v/>
      </c>
      <c r="Z2443" s="49">
        <f>IF(OR($M2443="",$T2443=""),"",$T2443+(Z$2*$M2443))</f>
        <v/>
      </c>
      <c r="AA2443" s="51">
        <f>IF(OR($M2443="",$T2443=""),"",$T2443+(AA$2*$M2443))</f>
        <v/>
      </c>
      <c r="AB2443" s="48">
        <f>IF(OR($M2443="",$T2443=""),"",$T2443+(AB$2*$M2443))</f>
        <v/>
      </c>
      <c r="AC2443" s="48">
        <f>IF(OR($M2443="",$T2443=""),"",$T2443+(AC$2*$M2443))</f>
        <v/>
      </c>
      <c r="AD2443" s="48">
        <f>IF(OR($M2443="",$T2443=""),"",$T2443+(AD$2*$M2443))</f>
        <v/>
      </c>
      <c r="AE2443" s="49">
        <f>IF(OR($M2443="",$T2443=""),"",$T2443+(AE$2*$M2443))</f>
        <v/>
      </c>
      <c r="AF2443" s="52">
        <f>IF(OR(T2443="",I2443&lt;T2443),"",IFERROR(AVERAGE(T2443+M2443*{7,8,9,10,11})/IF(G2443="",I2443,G2443)-1,""))</f>
        <v/>
      </c>
      <c r="AG2443" s="55">
        <f>IF(OR(T2443="",I2443&lt;T2443),"",IFERROR(AF2443/-(R2443/IF(G2443="",I2443,G2443)-1),""))</f>
        <v/>
      </c>
      <c r="AH2443" s="94" t="n"/>
      <c r="AI2443" s="94" t="n"/>
      <c r="AJ2443" s="94" t="n"/>
      <c r="AK2443" s="94" t="n"/>
      <c r="AL2443" s="84" t="n"/>
    </row>
    <row r="2444">
      <c r="A2444" s="64" t="n"/>
      <c r="B2444" s="65" t="n"/>
      <c r="C2444" s="66" t="n"/>
      <c r="D2444" s="67" t="n"/>
      <c r="E2444" s="68" t="n"/>
      <c r="F2444" s="47">
        <f>IF(A2444="","",IF(MIN(H2444,MAX(J2444:K2444))=0,"",MIN(H2444,MAX(J2444:K2444))))</f>
        <v/>
      </c>
      <c r="G2444" s="74" t="n"/>
      <c r="H2444" s="49">
        <f>IF(M2444="","",IFERROR(ROUND(AVERAGE(T2444+M2444*{7,8,9,10,11})/1.21,4),""))</f>
        <v/>
      </c>
      <c r="I2444" s="76" t="n"/>
      <c r="J2444" s="77" t="n"/>
      <c r="K2444" s="74" t="n"/>
      <c r="L2444" s="78" t="n"/>
      <c r="M2444" s="77" t="n"/>
      <c r="N2444" s="53">
        <f>IF(M2444="","",IFERROR(M2444/I2444,""))</f>
        <v/>
      </c>
      <c r="O2444" s="50">
        <f>IF(A2444="","",IFERROR((IF(G2444="",I2444,G2444)-T2444)/M2444,""))</f>
        <v/>
      </c>
      <c r="P2444" s="50">
        <f>IFERROR((I2444/T2444-1)/N2444,"")</f>
        <v/>
      </c>
      <c r="Q2444" s="46">
        <f>IF(OR(T2444="",I2444&lt;T2444),"",IFERROR(R2444/IF(G2444="",I2444,G2444)-1,""))</f>
        <v/>
      </c>
      <c r="R2444" s="48">
        <f>IF($M2444="","",MAX(IF($G2444="",$I2444,$G2444)*(1/1.1),IF($G2444="",$I2444,$G2444)+(R$2*$M2444)))</f>
        <v/>
      </c>
      <c r="S2444" s="49">
        <f>IF($M2444="","",MAX(IF($G2444="",$I2444,$G2444)*(1/1.1),IF($G2444="",$I2444,$G2444)+(S$2*$M2444)))</f>
        <v/>
      </c>
      <c r="T2444" s="82" t="n"/>
      <c r="U2444" s="47">
        <f>IF(OR($M2444="",$T2444=""),"",$T2444+(U$2*$M2444))</f>
        <v/>
      </c>
      <c r="V2444" s="48">
        <f>IF(OR($M2444="",$T2444=""),"",$T2444+(V$2*$M2444))</f>
        <v/>
      </c>
      <c r="W2444" s="48">
        <f>IF(OR($M2444="",$T2444=""),"",$T2444+(W$2*$M2444))</f>
        <v/>
      </c>
      <c r="X2444" s="49">
        <f>IF(OR($M2444="",$T2444=""),"",$T2444+(X$2*$M2444))</f>
        <v/>
      </c>
      <c r="Y2444" s="47">
        <f>IF(OR($M2444="",$T2444=""),"",$T2444+(Y$2*$M2444))</f>
        <v/>
      </c>
      <c r="Z2444" s="49">
        <f>IF(OR($M2444="",$T2444=""),"",$T2444+(Z$2*$M2444))</f>
        <v/>
      </c>
      <c r="AA2444" s="51">
        <f>IF(OR($M2444="",$T2444=""),"",$T2444+(AA$2*$M2444))</f>
        <v/>
      </c>
      <c r="AB2444" s="48">
        <f>IF(OR($M2444="",$T2444=""),"",$T2444+(AB$2*$M2444))</f>
        <v/>
      </c>
      <c r="AC2444" s="48">
        <f>IF(OR($M2444="",$T2444=""),"",$T2444+(AC$2*$M2444))</f>
        <v/>
      </c>
      <c r="AD2444" s="48">
        <f>IF(OR($M2444="",$T2444=""),"",$T2444+(AD$2*$M2444))</f>
        <v/>
      </c>
      <c r="AE2444" s="49">
        <f>IF(OR($M2444="",$T2444=""),"",$T2444+(AE$2*$M2444))</f>
        <v/>
      </c>
      <c r="AF2444" s="52">
        <f>IF(OR(T2444="",I2444&lt;T2444),"",IFERROR(AVERAGE(T2444+M2444*{7,8,9,10,11})/IF(G2444="",I2444,G2444)-1,""))</f>
        <v/>
      </c>
      <c r="AG2444" s="55">
        <f>IF(OR(T2444="",I2444&lt;T2444),"",IFERROR(AF2444/-(R2444/IF(G2444="",I2444,G2444)-1),""))</f>
        <v/>
      </c>
      <c r="AH2444" s="94" t="n"/>
      <c r="AI2444" s="94" t="n"/>
      <c r="AJ2444" s="94" t="n"/>
      <c r="AK2444" s="94" t="n"/>
      <c r="AL2444" s="84" t="n"/>
    </row>
    <row r="2445">
      <c r="A2445" s="64" t="n"/>
      <c r="B2445" s="65" t="n"/>
      <c r="C2445" s="66" t="n"/>
      <c r="D2445" s="67" t="n"/>
      <c r="E2445" s="68" t="n"/>
      <c r="F2445" s="47">
        <f>IF(A2445="","",IF(MIN(H2445,MAX(J2445:K2445))=0,"",MIN(H2445,MAX(J2445:K2445))))</f>
        <v/>
      </c>
      <c r="G2445" s="74" t="n"/>
      <c r="H2445" s="49">
        <f>IF(M2445="","",IFERROR(ROUND(AVERAGE(T2445+M2445*{7,8,9,10,11})/1.21,4),""))</f>
        <v/>
      </c>
      <c r="I2445" s="76" t="n"/>
      <c r="J2445" s="77" t="n"/>
      <c r="K2445" s="74" t="n"/>
      <c r="L2445" s="78" t="n"/>
      <c r="M2445" s="77" t="n"/>
      <c r="N2445" s="53">
        <f>IF(M2445="","",IFERROR(M2445/I2445,""))</f>
        <v/>
      </c>
      <c r="O2445" s="50">
        <f>IF(A2445="","",IFERROR((IF(G2445="",I2445,G2445)-T2445)/M2445,""))</f>
        <v/>
      </c>
      <c r="P2445" s="50">
        <f>IFERROR((I2445/T2445-1)/N2445,"")</f>
        <v/>
      </c>
      <c r="Q2445" s="46">
        <f>IF(OR(T2445="",I2445&lt;T2445),"",IFERROR(R2445/IF(G2445="",I2445,G2445)-1,""))</f>
        <v/>
      </c>
      <c r="R2445" s="48">
        <f>IF($M2445="","",MAX(IF($G2445="",$I2445,$G2445)*(1/1.1),IF($G2445="",$I2445,$G2445)+(R$2*$M2445)))</f>
        <v/>
      </c>
      <c r="S2445" s="49">
        <f>IF($M2445="","",MAX(IF($G2445="",$I2445,$G2445)*(1/1.1),IF($G2445="",$I2445,$G2445)+(S$2*$M2445)))</f>
        <v/>
      </c>
      <c r="T2445" s="82" t="n"/>
      <c r="U2445" s="47">
        <f>IF(OR($M2445="",$T2445=""),"",$T2445+(U$2*$M2445))</f>
        <v/>
      </c>
      <c r="V2445" s="48">
        <f>IF(OR($M2445="",$T2445=""),"",$T2445+(V$2*$M2445))</f>
        <v/>
      </c>
      <c r="W2445" s="48">
        <f>IF(OR($M2445="",$T2445=""),"",$T2445+(W$2*$M2445))</f>
        <v/>
      </c>
      <c r="X2445" s="49">
        <f>IF(OR($M2445="",$T2445=""),"",$T2445+(X$2*$M2445))</f>
        <v/>
      </c>
      <c r="Y2445" s="47">
        <f>IF(OR($M2445="",$T2445=""),"",$T2445+(Y$2*$M2445))</f>
        <v/>
      </c>
      <c r="Z2445" s="49">
        <f>IF(OR($M2445="",$T2445=""),"",$T2445+(Z$2*$M2445))</f>
        <v/>
      </c>
      <c r="AA2445" s="51">
        <f>IF(OR($M2445="",$T2445=""),"",$T2445+(AA$2*$M2445))</f>
        <v/>
      </c>
      <c r="AB2445" s="48">
        <f>IF(OR($M2445="",$T2445=""),"",$T2445+(AB$2*$M2445))</f>
        <v/>
      </c>
      <c r="AC2445" s="48">
        <f>IF(OR($M2445="",$T2445=""),"",$T2445+(AC$2*$M2445))</f>
        <v/>
      </c>
      <c r="AD2445" s="48">
        <f>IF(OR($M2445="",$T2445=""),"",$T2445+(AD$2*$M2445))</f>
        <v/>
      </c>
      <c r="AE2445" s="49">
        <f>IF(OR($M2445="",$T2445=""),"",$T2445+(AE$2*$M2445))</f>
        <v/>
      </c>
      <c r="AF2445" s="52">
        <f>IF(OR(T2445="",I2445&lt;T2445),"",IFERROR(AVERAGE(T2445+M2445*{7,8,9,10,11})/IF(G2445="",I2445,G2445)-1,""))</f>
        <v/>
      </c>
      <c r="AG2445" s="55">
        <f>IF(OR(T2445="",I2445&lt;T2445),"",IFERROR(AF2445/-(R2445/IF(G2445="",I2445,G2445)-1),""))</f>
        <v/>
      </c>
      <c r="AH2445" s="94" t="n"/>
      <c r="AI2445" s="94" t="n"/>
      <c r="AJ2445" s="94" t="n"/>
      <c r="AK2445" s="94" t="n"/>
      <c r="AL2445" s="84" t="n"/>
    </row>
    <row r="2446">
      <c r="A2446" s="64" t="n"/>
      <c r="B2446" s="65" t="n"/>
      <c r="C2446" s="66" t="n"/>
      <c r="D2446" s="67" t="n"/>
      <c r="E2446" s="68" t="n"/>
      <c r="F2446" s="47">
        <f>IF(A2446="","",IF(MIN(H2446,MAX(J2446:K2446))=0,"",MIN(H2446,MAX(J2446:K2446))))</f>
        <v/>
      </c>
      <c r="G2446" s="74" t="n"/>
      <c r="H2446" s="49">
        <f>IF(M2446="","",IFERROR(ROUND(AVERAGE(T2446+M2446*{7,8,9,10,11})/1.21,4),""))</f>
        <v/>
      </c>
      <c r="I2446" s="76" t="n"/>
      <c r="J2446" s="77" t="n"/>
      <c r="K2446" s="74" t="n"/>
      <c r="L2446" s="78" t="n"/>
      <c r="M2446" s="77" t="n"/>
      <c r="N2446" s="53">
        <f>IF(M2446="","",IFERROR(M2446/I2446,""))</f>
        <v/>
      </c>
      <c r="O2446" s="50">
        <f>IF(A2446="","",IFERROR((IF(G2446="",I2446,G2446)-T2446)/M2446,""))</f>
        <v/>
      </c>
      <c r="P2446" s="50">
        <f>IFERROR((I2446/T2446-1)/N2446,"")</f>
        <v/>
      </c>
      <c r="Q2446" s="46">
        <f>IF(OR(T2446="",I2446&lt;T2446),"",IFERROR(R2446/IF(G2446="",I2446,G2446)-1,""))</f>
        <v/>
      </c>
      <c r="R2446" s="48">
        <f>IF($M2446="","",MAX(IF($G2446="",$I2446,$G2446)*(1/1.1),IF($G2446="",$I2446,$G2446)+(R$2*$M2446)))</f>
        <v/>
      </c>
      <c r="S2446" s="49">
        <f>IF($M2446="","",MAX(IF($G2446="",$I2446,$G2446)*(1/1.1),IF($G2446="",$I2446,$G2446)+(S$2*$M2446)))</f>
        <v/>
      </c>
      <c r="T2446" s="82" t="n"/>
      <c r="U2446" s="47">
        <f>IF(OR($M2446="",$T2446=""),"",$T2446+(U$2*$M2446))</f>
        <v/>
      </c>
      <c r="V2446" s="48">
        <f>IF(OR($M2446="",$T2446=""),"",$T2446+(V$2*$M2446))</f>
        <v/>
      </c>
      <c r="W2446" s="48">
        <f>IF(OR($M2446="",$T2446=""),"",$T2446+(W$2*$M2446))</f>
        <v/>
      </c>
      <c r="X2446" s="49">
        <f>IF(OR($M2446="",$T2446=""),"",$T2446+(X$2*$M2446))</f>
        <v/>
      </c>
      <c r="Y2446" s="47">
        <f>IF(OR($M2446="",$T2446=""),"",$T2446+(Y$2*$M2446))</f>
        <v/>
      </c>
      <c r="Z2446" s="49">
        <f>IF(OR($M2446="",$T2446=""),"",$T2446+(Z$2*$M2446))</f>
        <v/>
      </c>
      <c r="AA2446" s="51">
        <f>IF(OR($M2446="",$T2446=""),"",$T2446+(AA$2*$M2446))</f>
        <v/>
      </c>
      <c r="AB2446" s="48">
        <f>IF(OR($M2446="",$T2446=""),"",$T2446+(AB$2*$M2446))</f>
        <v/>
      </c>
      <c r="AC2446" s="48">
        <f>IF(OR($M2446="",$T2446=""),"",$T2446+(AC$2*$M2446))</f>
        <v/>
      </c>
      <c r="AD2446" s="48">
        <f>IF(OR($M2446="",$T2446=""),"",$T2446+(AD$2*$M2446))</f>
        <v/>
      </c>
      <c r="AE2446" s="49">
        <f>IF(OR($M2446="",$T2446=""),"",$T2446+(AE$2*$M2446))</f>
        <v/>
      </c>
      <c r="AF2446" s="52">
        <f>IF(OR(T2446="",I2446&lt;T2446),"",IFERROR(AVERAGE(T2446+M2446*{7,8,9,10,11})/IF(G2446="",I2446,G2446)-1,""))</f>
        <v/>
      </c>
      <c r="AG2446" s="55">
        <f>IF(OR(T2446="",I2446&lt;T2446),"",IFERROR(AF2446/-(R2446/IF(G2446="",I2446,G2446)-1),""))</f>
        <v/>
      </c>
      <c r="AH2446" s="94" t="n"/>
      <c r="AI2446" s="94" t="n"/>
      <c r="AJ2446" s="94" t="n"/>
      <c r="AK2446" s="94" t="n"/>
      <c r="AL2446" s="84" t="n"/>
    </row>
    <row r="2447">
      <c r="A2447" s="64" t="n"/>
      <c r="B2447" s="65" t="n"/>
      <c r="C2447" s="66" t="n"/>
      <c r="D2447" s="67" t="n"/>
      <c r="E2447" s="68" t="n"/>
      <c r="F2447" s="47">
        <f>IF(A2447="","",IF(MIN(H2447,MAX(J2447:K2447))=0,"",MIN(H2447,MAX(J2447:K2447))))</f>
        <v/>
      </c>
      <c r="G2447" s="74" t="n"/>
      <c r="H2447" s="49">
        <f>IF(M2447="","",IFERROR(ROUND(AVERAGE(T2447+M2447*{7,8,9,10,11})/1.21,4),""))</f>
        <v/>
      </c>
      <c r="I2447" s="76" t="n"/>
      <c r="J2447" s="77" t="n"/>
      <c r="K2447" s="74" t="n"/>
      <c r="L2447" s="78" t="n"/>
      <c r="M2447" s="77" t="n"/>
      <c r="N2447" s="53">
        <f>IF(M2447="","",IFERROR(M2447/I2447,""))</f>
        <v/>
      </c>
      <c r="O2447" s="50">
        <f>IF(A2447="","",IFERROR((IF(G2447="",I2447,G2447)-T2447)/M2447,""))</f>
        <v/>
      </c>
      <c r="P2447" s="50">
        <f>IFERROR((I2447/T2447-1)/N2447,"")</f>
        <v/>
      </c>
      <c r="Q2447" s="46">
        <f>IF(OR(T2447="",I2447&lt;T2447),"",IFERROR(R2447/IF(G2447="",I2447,G2447)-1,""))</f>
        <v/>
      </c>
      <c r="R2447" s="48">
        <f>IF($M2447="","",MAX(IF($G2447="",$I2447,$G2447)*(1/1.1),IF($G2447="",$I2447,$G2447)+(R$2*$M2447)))</f>
        <v/>
      </c>
      <c r="S2447" s="49">
        <f>IF($M2447="","",MAX(IF($G2447="",$I2447,$G2447)*(1/1.1),IF($G2447="",$I2447,$G2447)+(S$2*$M2447)))</f>
        <v/>
      </c>
      <c r="T2447" s="82" t="n"/>
      <c r="U2447" s="47">
        <f>IF(OR($M2447="",$T2447=""),"",$T2447+(U$2*$M2447))</f>
        <v/>
      </c>
      <c r="V2447" s="48">
        <f>IF(OR($M2447="",$T2447=""),"",$T2447+(V$2*$M2447))</f>
        <v/>
      </c>
      <c r="W2447" s="48">
        <f>IF(OR($M2447="",$T2447=""),"",$T2447+(W$2*$M2447))</f>
        <v/>
      </c>
      <c r="X2447" s="49">
        <f>IF(OR($M2447="",$T2447=""),"",$T2447+(X$2*$M2447))</f>
        <v/>
      </c>
      <c r="Y2447" s="47">
        <f>IF(OR($M2447="",$T2447=""),"",$T2447+(Y$2*$M2447))</f>
        <v/>
      </c>
      <c r="Z2447" s="49">
        <f>IF(OR($M2447="",$T2447=""),"",$T2447+(Z$2*$M2447))</f>
        <v/>
      </c>
      <c r="AA2447" s="51">
        <f>IF(OR($M2447="",$T2447=""),"",$T2447+(AA$2*$M2447))</f>
        <v/>
      </c>
      <c r="AB2447" s="48">
        <f>IF(OR($M2447="",$T2447=""),"",$T2447+(AB$2*$M2447))</f>
        <v/>
      </c>
      <c r="AC2447" s="48">
        <f>IF(OR($M2447="",$T2447=""),"",$T2447+(AC$2*$M2447))</f>
        <v/>
      </c>
      <c r="AD2447" s="48">
        <f>IF(OR($M2447="",$T2447=""),"",$T2447+(AD$2*$M2447))</f>
        <v/>
      </c>
      <c r="AE2447" s="49">
        <f>IF(OR($M2447="",$T2447=""),"",$T2447+(AE$2*$M2447))</f>
        <v/>
      </c>
      <c r="AF2447" s="52">
        <f>IF(OR(T2447="",I2447&lt;T2447),"",IFERROR(AVERAGE(T2447+M2447*{7,8,9,10,11})/IF(G2447="",I2447,G2447)-1,""))</f>
        <v/>
      </c>
      <c r="AG2447" s="55">
        <f>IF(OR(T2447="",I2447&lt;T2447),"",IFERROR(AF2447/-(R2447/IF(G2447="",I2447,G2447)-1),""))</f>
        <v/>
      </c>
      <c r="AH2447" s="94" t="n"/>
      <c r="AI2447" s="94" t="n"/>
      <c r="AJ2447" s="94" t="n"/>
      <c r="AK2447" s="94" t="n"/>
      <c r="AL2447" s="84" t="n"/>
    </row>
    <row r="2448">
      <c r="A2448" s="64" t="n"/>
      <c r="B2448" s="65" t="n"/>
      <c r="C2448" s="66" t="n"/>
      <c r="D2448" s="67" t="n"/>
      <c r="E2448" s="68" t="n"/>
      <c r="F2448" s="47">
        <f>IF(A2448="","",IF(MIN(H2448,MAX(J2448:K2448))=0,"",MIN(H2448,MAX(J2448:K2448))))</f>
        <v/>
      </c>
      <c r="G2448" s="74" t="n"/>
      <c r="H2448" s="49">
        <f>IF(M2448="","",IFERROR(ROUND(AVERAGE(T2448+M2448*{7,8,9,10,11})/1.21,4),""))</f>
        <v/>
      </c>
      <c r="I2448" s="76" t="n"/>
      <c r="J2448" s="77" t="n"/>
      <c r="K2448" s="74" t="n"/>
      <c r="L2448" s="78" t="n"/>
      <c r="M2448" s="77" t="n"/>
      <c r="N2448" s="53">
        <f>IF(M2448="","",IFERROR(M2448/I2448,""))</f>
        <v/>
      </c>
      <c r="O2448" s="50">
        <f>IF(A2448="","",IFERROR((IF(G2448="",I2448,G2448)-T2448)/M2448,""))</f>
        <v/>
      </c>
      <c r="P2448" s="50">
        <f>IFERROR((I2448/T2448-1)/N2448,"")</f>
        <v/>
      </c>
      <c r="Q2448" s="46">
        <f>IF(OR(T2448="",I2448&lt;T2448),"",IFERROR(R2448/IF(G2448="",I2448,G2448)-1,""))</f>
        <v/>
      </c>
      <c r="R2448" s="48">
        <f>IF($M2448="","",MAX(IF($G2448="",$I2448,$G2448)*(1/1.1),IF($G2448="",$I2448,$G2448)+(R$2*$M2448)))</f>
        <v/>
      </c>
      <c r="S2448" s="49">
        <f>IF($M2448="","",MAX(IF($G2448="",$I2448,$G2448)*(1/1.1),IF($G2448="",$I2448,$G2448)+(S$2*$M2448)))</f>
        <v/>
      </c>
      <c r="T2448" s="82" t="n"/>
      <c r="U2448" s="47">
        <f>IF(OR($M2448="",$T2448=""),"",$T2448+(U$2*$M2448))</f>
        <v/>
      </c>
      <c r="V2448" s="48">
        <f>IF(OR($M2448="",$T2448=""),"",$T2448+(V$2*$M2448))</f>
        <v/>
      </c>
      <c r="W2448" s="48">
        <f>IF(OR($M2448="",$T2448=""),"",$T2448+(W$2*$M2448))</f>
        <v/>
      </c>
      <c r="X2448" s="49">
        <f>IF(OR($M2448="",$T2448=""),"",$T2448+(X$2*$M2448))</f>
        <v/>
      </c>
      <c r="Y2448" s="47">
        <f>IF(OR($M2448="",$T2448=""),"",$T2448+(Y$2*$M2448))</f>
        <v/>
      </c>
      <c r="Z2448" s="49">
        <f>IF(OR($M2448="",$T2448=""),"",$T2448+(Z$2*$M2448))</f>
        <v/>
      </c>
      <c r="AA2448" s="51">
        <f>IF(OR($M2448="",$T2448=""),"",$T2448+(AA$2*$M2448))</f>
        <v/>
      </c>
      <c r="AB2448" s="48">
        <f>IF(OR($M2448="",$T2448=""),"",$T2448+(AB$2*$M2448))</f>
        <v/>
      </c>
      <c r="AC2448" s="48">
        <f>IF(OR($M2448="",$T2448=""),"",$T2448+(AC$2*$M2448))</f>
        <v/>
      </c>
      <c r="AD2448" s="48">
        <f>IF(OR($M2448="",$T2448=""),"",$T2448+(AD$2*$M2448))</f>
        <v/>
      </c>
      <c r="AE2448" s="49">
        <f>IF(OR($M2448="",$T2448=""),"",$T2448+(AE$2*$M2448))</f>
        <v/>
      </c>
      <c r="AF2448" s="52">
        <f>IF(OR(T2448="",I2448&lt;T2448),"",IFERROR(AVERAGE(T2448+M2448*{7,8,9,10,11})/IF(G2448="",I2448,G2448)-1,""))</f>
        <v/>
      </c>
      <c r="AG2448" s="55">
        <f>IF(OR(T2448="",I2448&lt;T2448),"",IFERROR(AF2448/-(R2448/IF(G2448="",I2448,G2448)-1),""))</f>
        <v/>
      </c>
      <c r="AH2448" s="94" t="n"/>
      <c r="AI2448" s="94" t="n"/>
      <c r="AJ2448" s="94" t="n"/>
      <c r="AK2448" s="94" t="n"/>
      <c r="AL2448" s="84" t="n"/>
    </row>
    <row r="2449">
      <c r="A2449" s="64" t="n"/>
      <c r="B2449" s="65" t="n"/>
      <c r="C2449" s="66" t="n"/>
      <c r="D2449" s="67" t="n"/>
      <c r="E2449" s="68" t="n"/>
      <c r="F2449" s="47">
        <f>IF(A2449="","",IF(MIN(H2449,MAX(J2449:K2449))=0,"",MIN(H2449,MAX(J2449:K2449))))</f>
        <v/>
      </c>
      <c r="G2449" s="74" t="n"/>
      <c r="H2449" s="49">
        <f>IF(M2449="","",IFERROR(ROUND(AVERAGE(T2449+M2449*{7,8,9,10,11})/1.21,4),""))</f>
        <v/>
      </c>
      <c r="I2449" s="76" t="n"/>
      <c r="J2449" s="77" t="n"/>
      <c r="K2449" s="74" t="n"/>
      <c r="L2449" s="78" t="n"/>
      <c r="M2449" s="77" t="n"/>
      <c r="N2449" s="53">
        <f>IF(M2449="","",IFERROR(M2449/I2449,""))</f>
        <v/>
      </c>
      <c r="O2449" s="50">
        <f>IF(A2449="","",IFERROR((IF(G2449="",I2449,G2449)-T2449)/M2449,""))</f>
        <v/>
      </c>
      <c r="P2449" s="50">
        <f>IFERROR((I2449/T2449-1)/N2449,"")</f>
        <v/>
      </c>
      <c r="Q2449" s="46">
        <f>IF(OR(T2449="",I2449&lt;T2449),"",IFERROR(R2449/IF(G2449="",I2449,G2449)-1,""))</f>
        <v/>
      </c>
      <c r="R2449" s="48">
        <f>IF($M2449="","",MAX(IF($G2449="",$I2449,$G2449)*(1/1.1),IF($G2449="",$I2449,$G2449)+(R$2*$M2449)))</f>
        <v/>
      </c>
      <c r="S2449" s="49">
        <f>IF($M2449="","",MAX(IF($G2449="",$I2449,$G2449)*(1/1.1),IF($G2449="",$I2449,$G2449)+(S$2*$M2449)))</f>
        <v/>
      </c>
      <c r="T2449" s="82" t="n"/>
      <c r="U2449" s="47">
        <f>IF(OR($M2449="",$T2449=""),"",$T2449+(U$2*$M2449))</f>
        <v/>
      </c>
      <c r="V2449" s="48">
        <f>IF(OR($M2449="",$T2449=""),"",$T2449+(V$2*$M2449))</f>
        <v/>
      </c>
      <c r="W2449" s="48">
        <f>IF(OR($M2449="",$T2449=""),"",$T2449+(W$2*$M2449))</f>
        <v/>
      </c>
      <c r="X2449" s="49">
        <f>IF(OR($M2449="",$T2449=""),"",$T2449+(X$2*$M2449))</f>
        <v/>
      </c>
      <c r="Y2449" s="47">
        <f>IF(OR($M2449="",$T2449=""),"",$T2449+(Y$2*$M2449))</f>
        <v/>
      </c>
      <c r="Z2449" s="49">
        <f>IF(OR($M2449="",$T2449=""),"",$T2449+(Z$2*$M2449))</f>
        <v/>
      </c>
      <c r="AA2449" s="51">
        <f>IF(OR($M2449="",$T2449=""),"",$T2449+(AA$2*$M2449))</f>
        <v/>
      </c>
      <c r="AB2449" s="48">
        <f>IF(OR($M2449="",$T2449=""),"",$T2449+(AB$2*$M2449))</f>
        <v/>
      </c>
      <c r="AC2449" s="48">
        <f>IF(OR($M2449="",$T2449=""),"",$T2449+(AC$2*$M2449))</f>
        <v/>
      </c>
      <c r="AD2449" s="48">
        <f>IF(OR($M2449="",$T2449=""),"",$T2449+(AD$2*$M2449))</f>
        <v/>
      </c>
      <c r="AE2449" s="49">
        <f>IF(OR($M2449="",$T2449=""),"",$T2449+(AE$2*$M2449))</f>
        <v/>
      </c>
      <c r="AF2449" s="52">
        <f>IF(OR(T2449="",I2449&lt;T2449),"",IFERROR(AVERAGE(T2449+M2449*{7,8,9,10,11})/IF(G2449="",I2449,G2449)-1,""))</f>
        <v/>
      </c>
      <c r="AG2449" s="55">
        <f>IF(OR(T2449="",I2449&lt;T2449),"",IFERROR(AF2449/-(R2449/IF(G2449="",I2449,G2449)-1),""))</f>
        <v/>
      </c>
      <c r="AH2449" s="94" t="n"/>
      <c r="AI2449" s="94" t="n"/>
      <c r="AJ2449" s="94" t="n"/>
      <c r="AK2449" s="94" t="n"/>
      <c r="AL2449" s="84" t="n"/>
    </row>
    <row r="2450">
      <c r="A2450" s="64" t="n"/>
      <c r="B2450" s="65" t="n"/>
      <c r="C2450" s="66" t="n"/>
      <c r="D2450" s="67" t="n"/>
      <c r="E2450" s="68" t="n"/>
      <c r="F2450" s="47">
        <f>IF(A2450="","",IF(MIN(H2450,MAX(J2450:K2450))=0,"",MIN(H2450,MAX(J2450:K2450))))</f>
        <v/>
      </c>
      <c r="G2450" s="74" t="n"/>
      <c r="H2450" s="49">
        <f>IF(M2450="","",IFERROR(ROUND(AVERAGE(T2450+M2450*{7,8,9,10,11})/1.21,4),""))</f>
        <v/>
      </c>
      <c r="I2450" s="76" t="n"/>
      <c r="J2450" s="77" t="n"/>
      <c r="K2450" s="74" t="n"/>
      <c r="L2450" s="78" t="n"/>
      <c r="M2450" s="77" t="n"/>
      <c r="N2450" s="53">
        <f>IF(M2450="","",IFERROR(M2450/I2450,""))</f>
        <v/>
      </c>
      <c r="O2450" s="50">
        <f>IF(A2450="","",IFERROR((IF(G2450="",I2450,G2450)-T2450)/M2450,""))</f>
        <v/>
      </c>
      <c r="P2450" s="50">
        <f>IFERROR((I2450/T2450-1)/N2450,"")</f>
        <v/>
      </c>
      <c r="Q2450" s="46">
        <f>IF(OR(T2450="",I2450&lt;T2450),"",IFERROR(R2450/IF(G2450="",I2450,G2450)-1,""))</f>
        <v/>
      </c>
      <c r="R2450" s="48">
        <f>IF($M2450="","",MAX(IF($G2450="",$I2450,$G2450)*(1/1.1),IF($G2450="",$I2450,$G2450)+(R$2*$M2450)))</f>
        <v/>
      </c>
      <c r="S2450" s="49">
        <f>IF($M2450="","",MAX(IF($G2450="",$I2450,$G2450)*(1/1.1),IF($G2450="",$I2450,$G2450)+(S$2*$M2450)))</f>
        <v/>
      </c>
      <c r="T2450" s="82" t="n"/>
      <c r="U2450" s="47">
        <f>IF(OR($M2450="",$T2450=""),"",$T2450+(U$2*$M2450))</f>
        <v/>
      </c>
      <c r="V2450" s="48">
        <f>IF(OR($M2450="",$T2450=""),"",$T2450+(V$2*$M2450))</f>
        <v/>
      </c>
      <c r="W2450" s="48">
        <f>IF(OR($M2450="",$T2450=""),"",$T2450+(W$2*$M2450))</f>
        <v/>
      </c>
      <c r="X2450" s="49">
        <f>IF(OR($M2450="",$T2450=""),"",$T2450+(X$2*$M2450))</f>
        <v/>
      </c>
      <c r="Y2450" s="47">
        <f>IF(OR($M2450="",$T2450=""),"",$T2450+(Y$2*$M2450))</f>
        <v/>
      </c>
      <c r="Z2450" s="49">
        <f>IF(OR($M2450="",$T2450=""),"",$T2450+(Z$2*$M2450))</f>
        <v/>
      </c>
      <c r="AA2450" s="51">
        <f>IF(OR($M2450="",$T2450=""),"",$T2450+(AA$2*$M2450))</f>
        <v/>
      </c>
      <c r="AB2450" s="48">
        <f>IF(OR($M2450="",$T2450=""),"",$T2450+(AB$2*$M2450))</f>
        <v/>
      </c>
      <c r="AC2450" s="48">
        <f>IF(OR($M2450="",$T2450=""),"",$T2450+(AC$2*$M2450))</f>
        <v/>
      </c>
      <c r="AD2450" s="48">
        <f>IF(OR($M2450="",$T2450=""),"",$T2450+(AD$2*$M2450))</f>
        <v/>
      </c>
      <c r="AE2450" s="49">
        <f>IF(OR($M2450="",$T2450=""),"",$T2450+(AE$2*$M2450))</f>
        <v/>
      </c>
      <c r="AF2450" s="52">
        <f>IF(OR(T2450="",I2450&lt;T2450),"",IFERROR(AVERAGE(T2450+M2450*{7,8,9,10,11})/IF(G2450="",I2450,G2450)-1,""))</f>
        <v/>
      </c>
      <c r="AG2450" s="55">
        <f>IF(OR(T2450="",I2450&lt;T2450),"",IFERROR(AF2450/-(R2450/IF(G2450="",I2450,G2450)-1),""))</f>
        <v/>
      </c>
      <c r="AH2450" s="94" t="n"/>
      <c r="AI2450" s="94" t="n"/>
      <c r="AJ2450" s="94" t="n"/>
      <c r="AK2450" s="94" t="n"/>
      <c r="AL2450" s="84" t="n"/>
    </row>
    <row r="2451">
      <c r="A2451" s="64" t="n"/>
      <c r="B2451" s="65" t="n"/>
      <c r="C2451" s="66" t="n"/>
      <c r="D2451" s="67" t="n"/>
      <c r="E2451" s="68" t="n"/>
      <c r="F2451" s="47">
        <f>IF(A2451="","",IF(MIN(H2451,MAX(J2451:K2451))=0,"",MIN(H2451,MAX(J2451:K2451))))</f>
        <v/>
      </c>
      <c r="G2451" s="74" t="n"/>
      <c r="H2451" s="49">
        <f>IF(M2451="","",IFERROR(ROUND(AVERAGE(T2451+M2451*{7,8,9,10,11})/1.21,4),""))</f>
        <v/>
      </c>
      <c r="I2451" s="76" t="n"/>
      <c r="J2451" s="77" t="n"/>
      <c r="K2451" s="74" t="n"/>
      <c r="L2451" s="78" t="n"/>
      <c r="M2451" s="77" t="n"/>
      <c r="N2451" s="53">
        <f>IF(M2451="","",IFERROR(M2451/I2451,""))</f>
        <v/>
      </c>
      <c r="O2451" s="50">
        <f>IF(A2451="","",IFERROR((IF(G2451="",I2451,G2451)-T2451)/M2451,""))</f>
        <v/>
      </c>
      <c r="P2451" s="50">
        <f>IFERROR((I2451/T2451-1)/N2451,"")</f>
        <v/>
      </c>
      <c r="Q2451" s="46">
        <f>IF(OR(T2451="",I2451&lt;T2451),"",IFERROR(R2451/IF(G2451="",I2451,G2451)-1,""))</f>
        <v/>
      </c>
      <c r="R2451" s="48">
        <f>IF($M2451="","",MAX(IF($G2451="",$I2451,$G2451)*(1/1.1),IF($G2451="",$I2451,$G2451)+(R$2*$M2451)))</f>
        <v/>
      </c>
      <c r="S2451" s="49">
        <f>IF($M2451="","",MAX(IF($G2451="",$I2451,$G2451)*(1/1.1),IF($G2451="",$I2451,$G2451)+(S$2*$M2451)))</f>
        <v/>
      </c>
      <c r="T2451" s="82" t="n"/>
      <c r="U2451" s="47">
        <f>IF(OR($M2451="",$T2451=""),"",$T2451+(U$2*$M2451))</f>
        <v/>
      </c>
      <c r="V2451" s="48">
        <f>IF(OR($M2451="",$T2451=""),"",$T2451+(V$2*$M2451))</f>
        <v/>
      </c>
      <c r="W2451" s="48">
        <f>IF(OR($M2451="",$T2451=""),"",$T2451+(W$2*$M2451))</f>
        <v/>
      </c>
      <c r="X2451" s="49">
        <f>IF(OR($M2451="",$T2451=""),"",$T2451+(X$2*$M2451))</f>
        <v/>
      </c>
      <c r="Y2451" s="47">
        <f>IF(OR($M2451="",$T2451=""),"",$T2451+(Y$2*$M2451))</f>
        <v/>
      </c>
      <c r="Z2451" s="49">
        <f>IF(OR($M2451="",$T2451=""),"",$T2451+(Z$2*$M2451))</f>
        <v/>
      </c>
      <c r="AA2451" s="51">
        <f>IF(OR($M2451="",$T2451=""),"",$T2451+(AA$2*$M2451))</f>
        <v/>
      </c>
      <c r="AB2451" s="48">
        <f>IF(OR($M2451="",$T2451=""),"",$T2451+(AB$2*$M2451))</f>
        <v/>
      </c>
      <c r="AC2451" s="48">
        <f>IF(OR($M2451="",$T2451=""),"",$T2451+(AC$2*$M2451))</f>
        <v/>
      </c>
      <c r="AD2451" s="48">
        <f>IF(OR($M2451="",$T2451=""),"",$T2451+(AD$2*$M2451))</f>
        <v/>
      </c>
      <c r="AE2451" s="49">
        <f>IF(OR($M2451="",$T2451=""),"",$T2451+(AE$2*$M2451))</f>
        <v/>
      </c>
      <c r="AF2451" s="52">
        <f>IF(OR(T2451="",I2451&lt;T2451),"",IFERROR(AVERAGE(T2451+M2451*{7,8,9,10,11})/IF(G2451="",I2451,G2451)-1,""))</f>
        <v/>
      </c>
      <c r="AG2451" s="55">
        <f>IF(OR(T2451="",I2451&lt;T2451),"",IFERROR(AF2451/-(R2451/IF(G2451="",I2451,G2451)-1),""))</f>
        <v/>
      </c>
      <c r="AH2451" s="94" t="n"/>
      <c r="AI2451" s="94" t="n"/>
      <c r="AJ2451" s="94" t="n"/>
      <c r="AK2451" s="94" t="n"/>
      <c r="AL2451" s="84" t="n"/>
    </row>
    <row r="2452">
      <c r="A2452" s="64" t="n"/>
      <c r="B2452" s="65" t="n"/>
      <c r="C2452" s="66" t="n"/>
      <c r="D2452" s="67" t="n"/>
      <c r="E2452" s="68" t="n"/>
      <c r="F2452" s="47">
        <f>IF(A2452="","",IF(MIN(H2452,MAX(J2452:K2452))=0,"",MIN(H2452,MAX(J2452:K2452))))</f>
        <v/>
      </c>
      <c r="G2452" s="74" t="n"/>
      <c r="H2452" s="49">
        <f>IF(M2452="","",IFERROR(ROUND(AVERAGE(T2452+M2452*{7,8,9,10,11})/1.21,4),""))</f>
        <v/>
      </c>
      <c r="I2452" s="76" t="n"/>
      <c r="J2452" s="77" t="n"/>
      <c r="K2452" s="74" t="n"/>
      <c r="L2452" s="78" t="n"/>
      <c r="M2452" s="77" t="n"/>
      <c r="N2452" s="53">
        <f>IF(M2452="","",IFERROR(M2452/I2452,""))</f>
        <v/>
      </c>
      <c r="O2452" s="50">
        <f>IF(A2452="","",IFERROR((IF(G2452="",I2452,G2452)-T2452)/M2452,""))</f>
        <v/>
      </c>
      <c r="P2452" s="50">
        <f>IFERROR((I2452/T2452-1)/N2452,"")</f>
        <v/>
      </c>
      <c r="Q2452" s="46">
        <f>IF(OR(T2452="",I2452&lt;T2452),"",IFERROR(R2452/IF(G2452="",I2452,G2452)-1,""))</f>
        <v/>
      </c>
      <c r="R2452" s="48">
        <f>IF($M2452="","",MAX(IF($G2452="",$I2452,$G2452)*(1/1.1),IF($G2452="",$I2452,$G2452)+(R$2*$M2452)))</f>
        <v/>
      </c>
      <c r="S2452" s="49">
        <f>IF($M2452="","",MAX(IF($G2452="",$I2452,$G2452)*(1/1.1),IF($G2452="",$I2452,$G2452)+(S$2*$M2452)))</f>
        <v/>
      </c>
      <c r="T2452" s="82" t="n"/>
      <c r="U2452" s="47">
        <f>IF(OR($M2452="",$T2452=""),"",$T2452+(U$2*$M2452))</f>
        <v/>
      </c>
      <c r="V2452" s="48">
        <f>IF(OR($M2452="",$T2452=""),"",$T2452+(V$2*$M2452))</f>
        <v/>
      </c>
      <c r="W2452" s="48">
        <f>IF(OR($M2452="",$T2452=""),"",$T2452+(W$2*$M2452))</f>
        <v/>
      </c>
      <c r="X2452" s="49">
        <f>IF(OR($M2452="",$T2452=""),"",$T2452+(X$2*$M2452))</f>
        <v/>
      </c>
      <c r="Y2452" s="47">
        <f>IF(OR($M2452="",$T2452=""),"",$T2452+(Y$2*$M2452))</f>
        <v/>
      </c>
      <c r="Z2452" s="49">
        <f>IF(OR($M2452="",$T2452=""),"",$T2452+(Z$2*$M2452))</f>
        <v/>
      </c>
      <c r="AA2452" s="51">
        <f>IF(OR($M2452="",$T2452=""),"",$T2452+(AA$2*$M2452))</f>
        <v/>
      </c>
      <c r="AB2452" s="48">
        <f>IF(OR($M2452="",$T2452=""),"",$T2452+(AB$2*$M2452))</f>
        <v/>
      </c>
      <c r="AC2452" s="48">
        <f>IF(OR($M2452="",$T2452=""),"",$T2452+(AC$2*$M2452))</f>
        <v/>
      </c>
      <c r="AD2452" s="48">
        <f>IF(OR($M2452="",$T2452=""),"",$T2452+(AD$2*$M2452))</f>
        <v/>
      </c>
      <c r="AE2452" s="49">
        <f>IF(OR($M2452="",$T2452=""),"",$T2452+(AE$2*$M2452))</f>
        <v/>
      </c>
      <c r="AF2452" s="52">
        <f>IF(OR(T2452="",I2452&lt;T2452),"",IFERROR(AVERAGE(T2452+M2452*{7,8,9,10,11})/IF(G2452="",I2452,G2452)-1,""))</f>
        <v/>
      </c>
      <c r="AG2452" s="55">
        <f>IF(OR(T2452="",I2452&lt;T2452),"",IFERROR(AF2452/-(R2452/IF(G2452="",I2452,G2452)-1),""))</f>
        <v/>
      </c>
      <c r="AH2452" s="94" t="n"/>
      <c r="AI2452" s="94" t="n"/>
      <c r="AJ2452" s="94" t="n"/>
      <c r="AK2452" s="94" t="n"/>
      <c r="AL2452" s="84" t="n"/>
    </row>
    <row r="2453">
      <c r="A2453" s="64" t="n"/>
      <c r="B2453" s="65" t="n"/>
      <c r="C2453" s="66" t="n"/>
      <c r="D2453" s="67" t="n"/>
      <c r="E2453" s="68" t="n"/>
      <c r="F2453" s="47">
        <f>IF(A2453="","",IF(MIN(H2453,MAX(J2453:K2453))=0,"",MIN(H2453,MAX(J2453:K2453))))</f>
        <v/>
      </c>
      <c r="G2453" s="74" t="n"/>
      <c r="H2453" s="49">
        <f>IF(M2453="","",IFERROR(ROUND(AVERAGE(T2453+M2453*{7,8,9,10,11})/1.21,4),""))</f>
        <v/>
      </c>
      <c r="I2453" s="76" t="n"/>
      <c r="J2453" s="77" t="n"/>
      <c r="K2453" s="74" t="n"/>
      <c r="L2453" s="78" t="n"/>
      <c r="M2453" s="77" t="n"/>
      <c r="N2453" s="53">
        <f>IF(M2453="","",IFERROR(M2453/I2453,""))</f>
        <v/>
      </c>
      <c r="O2453" s="50">
        <f>IF(A2453="","",IFERROR((IF(G2453="",I2453,G2453)-T2453)/M2453,""))</f>
        <v/>
      </c>
      <c r="P2453" s="50">
        <f>IFERROR((I2453/T2453-1)/N2453,"")</f>
        <v/>
      </c>
      <c r="Q2453" s="46">
        <f>IF(OR(T2453="",I2453&lt;T2453),"",IFERROR(R2453/IF(G2453="",I2453,G2453)-1,""))</f>
        <v/>
      </c>
      <c r="R2453" s="48">
        <f>IF($M2453="","",MAX(IF($G2453="",$I2453,$G2453)*(1/1.1),IF($G2453="",$I2453,$G2453)+(R$2*$M2453)))</f>
        <v/>
      </c>
      <c r="S2453" s="49">
        <f>IF($M2453="","",MAX(IF($G2453="",$I2453,$G2453)*(1/1.1),IF($G2453="",$I2453,$G2453)+(S$2*$M2453)))</f>
        <v/>
      </c>
      <c r="T2453" s="82" t="n"/>
      <c r="U2453" s="47">
        <f>IF(OR($M2453="",$T2453=""),"",$T2453+(U$2*$M2453))</f>
        <v/>
      </c>
      <c r="V2453" s="48">
        <f>IF(OR($M2453="",$T2453=""),"",$T2453+(V$2*$M2453))</f>
        <v/>
      </c>
      <c r="W2453" s="48">
        <f>IF(OR($M2453="",$T2453=""),"",$T2453+(W$2*$M2453))</f>
        <v/>
      </c>
      <c r="X2453" s="49">
        <f>IF(OR($M2453="",$T2453=""),"",$T2453+(X$2*$M2453))</f>
        <v/>
      </c>
      <c r="Y2453" s="47">
        <f>IF(OR($M2453="",$T2453=""),"",$T2453+(Y$2*$M2453))</f>
        <v/>
      </c>
      <c r="Z2453" s="49">
        <f>IF(OR($M2453="",$T2453=""),"",$T2453+(Z$2*$M2453))</f>
        <v/>
      </c>
      <c r="AA2453" s="51">
        <f>IF(OR($M2453="",$T2453=""),"",$T2453+(AA$2*$M2453))</f>
        <v/>
      </c>
      <c r="AB2453" s="48">
        <f>IF(OR($M2453="",$T2453=""),"",$T2453+(AB$2*$M2453))</f>
        <v/>
      </c>
      <c r="AC2453" s="48">
        <f>IF(OR($M2453="",$T2453=""),"",$T2453+(AC$2*$M2453))</f>
        <v/>
      </c>
      <c r="AD2453" s="48">
        <f>IF(OR($M2453="",$T2453=""),"",$T2453+(AD$2*$M2453))</f>
        <v/>
      </c>
      <c r="AE2453" s="49">
        <f>IF(OR($M2453="",$T2453=""),"",$T2453+(AE$2*$M2453))</f>
        <v/>
      </c>
      <c r="AF2453" s="52">
        <f>IF(OR(T2453="",I2453&lt;T2453),"",IFERROR(AVERAGE(T2453+M2453*{7,8,9,10,11})/IF(G2453="",I2453,G2453)-1,""))</f>
        <v/>
      </c>
      <c r="AG2453" s="55">
        <f>IF(OR(T2453="",I2453&lt;T2453),"",IFERROR(AF2453/-(R2453/IF(G2453="",I2453,G2453)-1),""))</f>
        <v/>
      </c>
      <c r="AH2453" s="94" t="n"/>
      <c r="AI2453" s="94" t="n"/>
      <c r="AJ2453" s="94" t="n"/>
      <c r="AK2453" s="94" t="n"/>
      <c r="AL2453" s="84" t="n"/>
    </row>
    <row r="2454">
      <c r="A2454" s="64" t="n"/>
      <c r="B2454" s="65" t="n"/>
      <c r="C2454" s="66" t="n"/>
      <c r="D2454" s="67" t="n"/>
      <c r="E2454" s="68" t="n"/>
      <c r="F2454" s="47">
        <f>IF(A2454="","",IF(MIN(H2454,MAX(J2454:K2454))=0,"",MIN(H2454,MAX(J2454:K2454))))</f>
        <v/>
      </c>
      <c r="G2454" s="74" t="n"/>
      <c r="H2454" s="49">
        <f>IF(M2454="","",IFERROR(ROUND(AVERAGE(T2454+M2454*{7,8,9,10,11})/1.21,4),""))</f>
        <v/>
      </c>
      <c r="I2454" s="76" t="n"/>
      <c r="J2454" s="77" t="n"/>
      <c r="K2454" s="74" t="n"/>
      <c r="L2454" s="78" t="n"/>
      <c r="M2454" s="77" t="n"/>
      <c r="N2454" s="53">
        <f>IF(M2454="","",IFERROR(M2454/I2454,""))</f>
        <v/>
      </c>
      <c r="O2454" s="50">
        <f>IF(A2454="","",IFERROR((IF(G2454="",I2454,G2454)-T2454)/M2454,""))</f>
        <v/>
      </c>
      <c r="P2454" s="50">
        <f>IFERROR((I2454/T2454-1)/N2454,"")</f>
        <v/>
      </c>
      <c r="Q2454" s="46">
        <f>IF(OR(T2454="",I2454&lt;T2454),"",IFERROR(R2454/IF(G2454="",I2454,G2454)-1,""))</f>
        <v/>
      </c>
      <c r="R2454" s="48">
        <f>IF($M2454="","",MAX(IF($G2454="",$I2454,$G2454)*(1/1.1),IF($G2454="",$I2454,$G2454)+(R$2*$M2454)))</f>
        <v/>
      </c>
      <c r="S2454" s="49">
        <f>IF($M2454="","",MAX(IF($G2454="",$I2454,$G2454)*(1/1.1),IF($G2454="",$I2454,$G2454)+(S$2*$M2454)))</f>
        <v/>
      </c>
      <c r="T2454" s="82" t="n"/>
      <c r="U2454" s="47">
        <f>IF(OR($M2454="",$T2454=""),"",$T2454+(U$2*$M2454))</f>
        <v/>
      </c>
      <c r="V2454" s="48">
        <f>IF(OR($M2454="",$T2454=""),"",$T2454+(V$2*$M2454))</f>
        <v/>
      </c>
      <c r="W2454" s="48">
        <f>IF(OR($M2454="",$T2454=""),"",$T2454+(W$2*$M2454))</f>
        <v/>
      </c>
      <c r="X2454" s="49">
        <f>IF(OR($M2454="",$T2454=""),"",$T2454+(X$2*$M2454))</f>
        <v/>
      </c>
      <c r="Y2454" s="47">
        <f>IF(OR($M2454="",$T2454=""),"",$T2454+(Y$2*$M2454))</f>
        <v/>
      </c>
      <c r="Z2454" s="49">
        <f>IF(OR($M2454="",$T2454=""),"",$T2454+(Z$2*$M2454))</f>
        <v/>
      </c>
      <c r="AA2454" s="51">
        <f>IF(OR($M2454="",$T2454=""),"",$T2454+(AA$2*$M2454))</f>
        <v/>
      </c>
      <c r="AB2454" s="48">
        <f>IF(OR($M2454="",$T2454=""),"",$T2454+(AB$2*$M2454))</f>
        <v/>
      </c>
      <c r="AC2454" s="48">
        <f>IF(OR($M2454="",$T2454=""),"",$T2454+(AC$2*$M2454))</f>
        <v/>
      </c>
      <c r="AD2454" s="48">
        <f>IF(OR($M2454="",$T2454=""),"",$T2454+(AD$2*$M2454))</f>
        <v/>
      </c>
      <c r="AE2454" s="49">
        <f>IF(OR($M2454="",$T2454=""),"",$T2454+(AE$2*$M2454))</f>
        <v/>
      </c>
      <c r="AF2454" s="52">
        <f>IF(OR(T2454="",I2454&lt;T2454),"",IFERROR(AVERAGE(T2454+M2454*{7,8,9,10,11})/IF(G2454="",I2454,G2454)-1,""))</f>
        <v/>
      </c>
      <c r="AG2454" s="55">
        <f>IF(OR(T2454="",I2454&lt;T2454),"",IFERROR(AF2454/-(R2454/IF(G2454="",I2454,G2454)-1),""))</f>
        <v/>
      </c>
      <c r="AH2454" s="94" t="n"/>
      <c r="AI2454" s="94" t="n"/>
      <c r="AJ2454" s="94" t="n"/>
      <c r="AK2454" s="94" t="n"/>
      <c r="AL2454" s="84" t="n"/>
    </row>
    <row r="2455">
      <c r="A2455" s="64" t="n"/>
      <c r="B2455" s="65" t="n"/>
      <c r="C2455" s="66" t="n"/>
      <c r="D2455" s="67" t="n"/>
      <c r="E2455" s="68" t="n"/>
      <c r="F2455" s="47">
        <f>IF(A2455="","",IF(MIN(H2455,MAX(J2455:K2455))=0,"",MIN(H2455,MAX(J2455:K2455))))</f>
        <v/>
      </c>
      <c r="G2455" s="74" t="n"/>
      <c r="H2455" s="49">
        <f>IF(M2455="","",IFERROR(ROUND(AVERAGE(T2455+M2455*{7,8,9,10,11})/1.21,4),""))</f>
        <v/>
      </c>
      <c r="I2455" s="76" t="n"/>
      <c r="J2455" s="77" t="n"/>
      <c r="K2455" s="74" t="n"/>
      <c r="L2455" s="78" t="n"/>
      <c r="M2455" s="77" t="n"/>
      <c r="N2455" s="53">
        <f>IF(M2455="","",IFERROR(M2455/I2455,""))</f>
        <v/>
      </c>
      <c r="O2455" s="50">
        <f>IF(A2455="","",IFERROR((IF(G2455="",I2455,G2455)-T2455)/M2455,""))</f>
        <v/>
      </c>
      <c r="P2455" s="50">
        <f>IFERROR((I2455/T2455-1)/N2455,"")</f>
        <v/>
      </c>
      <c r="Q2455" s="46">
        <f>IF(OR(T2455="",I2455&lt;T2455),"",IFERROR(R2455/IF(G2455="",I2455,G2455)-1,""))</f>
        <v/>
      </c>
      <c r="R2455" s="48">
        <f>IF($M2455="","",MAX(IF($G2455="",$I2455,$G2455)*(1/1.1),IF($G2455="",$I2455,$G2455)+(R$2*$M2455)))</f>
        <v/>
      </c>
      <c r="S2455" s="49">
        <f>IF($M2455="","",MAX(IF($G2455="",$I2455,$G2455)*(1/1.1),IF($G2455="",$I2455,$G2455)+(S$2*$M2455)))</f>
        <v/>
      </c>
      <c r="T2455" s="82" t="n"/>
      <c r="U2455" s="47">
        <f>IF(OR($M2455="",$T2455=""),"",$T2455+(U$2*$M2455))</f>
        <v/>
      </c>
      <c r="V2455" s="48">
        <f>IF(OR($M2455="",$T2455=""),"",$T2455+(V$2*$M2455))</f>
        <v/>
      </c>
      <c r="W2455" s="48">
        <f>IF(OR($M2455="",$T2455=""),"",$T2455+(W$2*$M2455))</f>
        <v/>
      </c>
      <c r="X2455" s="49">
        <f>IF(OR($M2455="",$T2455=""),"",$T2455+(X$2*$M2455))</f>
        <v/>
      </c>
      <c r="Y2455" s="47">
        <f>IF(OR($M2455="",$T2455=""),"",$T2455+(Y$2*$M2455))</f>
        <v/>
      </c>
      <c r="Z2455" s="49">
        <f>IF(OR($M2455="",$T2455=""),"",$T2455+(Z$2*$M2455))</f>
        <v/>
      </c>
      <c r="AA2455" s="51">
        <f>IF(OR($M2455="",$T2455=""),"",$T2455+(AA$2*$M2455))</f>
        <v/>
      </c>
      <c r="AB2455" s="48">
        <f>IF(OR($M2455="",$T2455=""),"",$T2455+(AB$2*$M2455))</f>
        <v/>
      </c>
      <c r="AC2455" s="48">
        <f>IF(OR($M2455="",$T2455=""),"",$T2455+(AC$2*$M2455))</f>
        <v/>
      </c>
      <c r="AD2455" s="48">
        <f>IF(OR($M2455="",$T2455=""),"",$T2455+(AD$2*$M2455))</f>
        <v/>
      </c>
      <c r="AE2455" s="49">
        <f>IF(OR($M2455="",$T2455=""),"",$T2455+(AE$2*$M2455))</f>
        <v/>
      </c>
      <c r="AF2455" s="52">
        <f>IF(OR(T2455="",I2455&lt;T2455),"",IFERROR(AVERAGE(T2455+M2455*{7,8,9,10,11})/IF(G2455="",I2455,G2455)-1,""))</f>
        <v/>
      </c>
      <c r="AG2455" s="55">
        <f>IF(OR(T2455="",I2455&lt;T2455),"",IFERROR(AF2455/-(R2455/IF(G2455="",I2455,G2455)-1),""))</f>
        <v/>
      </c>
      <c r="AH2455" s="94" t="n"/>
      <c r="AI2455" s="94" t="n"/>
      <c r="AJ2455" s="94" t="n"/>
      <c r="AK2455" s="94" t="n"/>
      <c r="AL2455" s="84" t="n"/>
    </row>
    <row r="2456">
      <c r="A2456" s="64" t="n"/>
      <c r="B2456" s="65" t="n"/>
      <c r="C2456" s="66" t="n"/>
      <c r="D2456" s="67" t="n"/>
      <c r="E2456" s="68" t="n"/>
      <c r="F2456" s="47">
        <f>IF(A2456="","",IF(MIN(H2456,MAX(J2456:K2456))=0,"",MIN(H2456,MAX(J2456:K2456))))</f>
        <v/>
      </c>
      <c r="G2456" s="74" t="n"/>
      <c r="H2456" s="49">
        <f>IF(M2456="","",IFERROR(ROUND(AVERAGE(T2456+M2456*{7,8,9,10,11})/1.21,4),""))</f>
        <v/>
      </c>
      <c r="I2456" s="76" t="n"/>
      <c r="J2456" s="77" t="n"/>
      <c r="K2456" s="74" t="n"/>
      <c r="L2456" s="78" t="n"/>
      <c r="M2456" s="77" t="n"/>
      <c r="N2456" s="53">
        <f>IF(M2456="","",IFERROR(M2456/I2456,""))</f>
        <v/>
      </c>
      <c r="O2456" s="50">
        <f>IF(A2456="","",IFERROR((IF(G2456="",I2456,G2456)-T2456)/M2456,""))</f>
        <v/>
      </c>
      <c r="P2456" s="50">
        <f>IFERROR((I2456/T2456-1)/N2456,"")</f>
        <v/>
      </c>
      <c r="Q2456" s="46">
        <f>IF(OR(T2456="",I2456&lt;T2456),"",IFERROR(R2456/IF(G2456="",I2456,G2456)-1,""))</f>
        <v/>
      </c>
      <c r="R2456" s="48">
        <f>IF($M2456="","",MAX(IF($G2456="",$I2456,$G2456)*(1/1.1),IF($G2456="",$I2456,$G2456)+(R$2*$M2456)))</f>
        <v/>
      </c>
      <c r="S2456" s="49">
        <f>IF($M2456="","",MAX(IF($G2456="",$I2456,$G2456)*(1/1.1),IF($G2456="",$I2456,$G2456)+(S$2*$M2456)))</f>
        <v/>
      </c>
      <c r="T2456" s="82" t="n"/>
      <c r="U2456" s="47">
        <f>IF(OR($M2456="",$T2456=""),"",$T2456+(U$2*$M2456))</f>
        <v/>
      </c>
      <c r="V2456" s="48">
        <f>IF(OR($M2456="",$T2456=""),"",$T2456+(V$2*$M2456))</f>
        <v/>
      </c>
      <c r="W2456" s="48">
        <f>IF(OR($M2456="",$T2456=""),"",$T2456+(W$2*$M2456))</f>
        <v/>
      </c>
      <c r="X2456" s="49">
        <f>IF(OR($M2456="",$T2456=""),"",$T2456+(X$2*$M2456))</f>
        <v/>
      </c>
      <c r="Y2456" s="47">
        <f>IF(OR($M2456="",$T2456=""),"",$T2456+(Y$2*$M2456))</f>
        <v/>
      </c>
      <c r="Z2456" s="49">
        <f>IF(OR($M2456="",$T2456=""),"",$T2456+(Z$2*$M2456))</f>
        <v/>
      </c>
      <c r="AA2456" s="51">
        <f>IF(OR($M2456="",$T2456=""),"",$T2456+(AA$2*$M2456))</f>
        <v/>
      </c>
      <c r="AB2456" s="48">
        <f>IF(OR($M2456="",$T2456=""),"",$T2456+(AB$2*$M2456))</f>
        <v/>
      </c>
      <c r="AC2456" s="48">
        <f>IF(OR($M2456="",$T2456=""),"",$T2456+(AC$2*$M2456))</f>
        <v/>
      </c>
      <c r="AD2456" s="48">
        <f>IF(OR($M2456="",$T2456=""),"",$T2456+(AD$2*$M2456))</f>
        <v/>
      </c>
      <c r="AE2456" s="49">
        <f>IF(OR($M2456="",$T2456=""),"",$T2456+(AE$2*$M2456))</f>
        <v/>
      </c>
      <c r="AF2456" s="52">
        <f>IF(OR(T2456="",I2456&lt;T2456),"",IFERROR(AVERAGE(T2456+M2456*{7,8,9,10,11})/IF(G2456="",I2456,G2456)-1,""))</f>
        <v/>
      </c>
      <c r="AG2456" s="55">
        <f>IF(OR(T2456="",I2456&lt;T2456),"",IFERROR(AF2456/-(R2456/IF(G2456="",I2456,G2456)-1),""))</f>
        <v/>
      </c>
      <c r="AH2456" s="94" t="n"/>
      <c r="AI2456" s="94" t="n"/>
      <c r="AJ2456" s="94" t="n"/>
      <c r="AK2456" s="94" t="n"/>
      <c r="AL2456" s="84" t="n"/>
    </row>
    <row r="2457">
      <c r="A2457" s="64" t="n"/>
      <c r="B2457" s="65" t="n"/>
      <c r="C2457" s="66" t="n"/>
      <c r="D2457" s="67" t="n"/>
      <c r="E2457" s="68" t="n"/>
      <c r="F2457" s="47">
        <f>IF(A2457="","",IF(MIN(H2457,MAX(J2457:K2457))=0,"",MIN(H2457,MAX(J2457:K2457))))</f>
        <v/>
      </c>
      <c r="G2457" s="74" t="n"/>
      <c r="H2457" s="49">
        <f>IF(M2457="","",IFERROR(ROUND(AVERAGE(T2457+M2457*{7,8,9,10,11})/1.21,4),""))</f>
        <v/>
      </c>
      <c r="I2457" s="76" t="n"/>
      <c r="J2457" s="77" t="n"/>
      <c r="K2457" s="74" t="n"/>
      <c r="L2457" s="78" t="n"/>
      <c r="M2457" s="77" t="n"/>
      <c r="N2457" s="53">
        <f>IF(M2457="","",IFERROR(M2457/I2457,""))</f>
        <v/>
      </c>
      <c r="O2457" s="50">
        <f>IF(A2457="","",IFERROR((IF(G2457="",I2457,G2457)-T2457)/M2457,""))</f>
        <v/>
      </c>
      <c r="P2457" s="50">
        <f>IFERROR((I2457/T2457-1)/N2457,"")</f>
        <v/>
      </c>
      <c r="Q2457" s="46">
        <f>IF(OR(T2457="",I2457&lt;T2457),"",IFERROR(R2457/IF(G2457="",I2457,G2457)-1,""))</f>
        <v/>
      </c>
      <c r="R2457" s="48">
        <f>IF($M2457="","",MAX(IF($G2457="",$I2457,$G2457)*(1/1.1),IF($G2457="",$I2457,$G2457)+(R$2*$M2457)))</f>
        <v/>
      </c>
      <c r="S2457" s="49">
        <f>IF($M2457="","",MAX(IF($G2457="",$I2457,$G2457)*(1/1.1),IF($G2457="",$I2457,$G2457)+(S$2*$M2457)))</f>
        <v/>
      </c>
      <c r="T2457" s="82" t="n"/>
      <c r="U2457" s="47">
        <f>IF(OR($M2457="",$T2457=""),"",$T2457+(U$2*$M2457))</f>
        <v/>
      </c>
      <c r="V2457" s="48">
        <f>IF(OR($M2457="",$T2457=""),"",$T2457+(V$2*$M2457))</f>
        <v/>
      </c>
      <c r="W2457" s="48">
        <f>IF(OR($M2457="",$T2457=""),"",$T2457+(W$2*$M2457))</f>
        <v/>
      </c>
      <c r="X2457" s="49">
        <f>IF(OR($M2457="",$T2457=""),"",$T2457+(X$2*$M2457))</f>
        <v/>
      </c>
      <c r="Y2457" s="47">
        <f>IF(OR($M2457="",$T2457=""),"",$T2457+(Y$2*$M2457))</f>
        <v/>
      </c>
      <c r="Z2457" s="49">
        <f>IF(OR($M2457="",$T2457=""),"",$T2457+(Z$2*$M2457))</f>
        <v/>
      </c>
      <c r="AA2457" s="51">
        <f>IF(OR($M2457="",$T2457=""),"",$T2457+(AA$2*$M2457))</f>
        <v/>
      </c>
      <c r="AB2457" s="48">
        <f>IF(OR($M2457="",$T2457=""),"",$T2457+(AB$2*$M2457))</f>
        <v/>
      </c>
      <c r="AC2457" s="48">
        <f>IF(OR($M2457="",$T2457=""),"",$T2457+(AC$2*$M2457))</f>
        <v/>
      </c>
      <c r="AD2457" s="48">
        <f>IF(OR($M2457="",$T2457=""),"",$T2457+(AD$2*$M2457))</f>
        <v/>
      </c>
      <c r="AE2457" s="49">
        <f>IF(OR($M2457="",$T2457=""),"",$T2457+(AE$2*$M2457))</f>
        <v/>
      </c>
      <c r="AF2457" s="52">
        <f>IF(OR(T2457="",I2457&lt;T2457),"",IFERROR(AVERAGE(T2457+M2457*{7,8,9,10,11})/IF(G2457="",I2457,G2457)-1,""))</f>
        <v/>
      </c>
      <c r="AG2457" s="55">
        <f>IF(OR(T2457="",I2457&lt;T2457),"",IFERROR(AF2457/-(R2457/IF(G2457="",I2457,G2457)-1),""))</f>
        <v/>
      </c>
      <c r="AH2457" s="94" t="n"/>
      <c r="AI2457" s="94" t="n"/>
      <c r="AJ2457" s="94" t="n"/>
      <c r="AK2457" s="94" t="n"/>
      <c r="AL2457" s="84" t="n"/>
    </row>
    <row r="2458">
      <c r="A2458" s="64" t="n"/>
      <c r="B2458" s="65" t="n"/>
      <c r="C2458" s="66" t="n"/>
      <c r="D2458" s="67" t="n"/>
      <c r="E2458" s="68" t="n"/>
      <c r="F2458" s="47">
        <f>IF(A2458="","",IF(MIN(H2458,MAX(J2458:K2458))=0,"",MIN(H2458,MAX(J2458:K2458))))</f>
        <v/>
      </c>
      <c r="G2458" s="74" t="n"/>
      <c r="H2458" s="49">
        <f>IF(M2458="","",IFERROR(ROUND(AVERAGE(T2458+M2458*{7,8,9,10,11})/1.21,4),""))</f>
        <v/>
      </c>
      <c r="I2458" s="76" t="n"/>
      <c r="J2458" s="77" t="n"/>
      <c r="K2458" s="74" t="n"/>
      <c r="L2458" s="78" t="n"/>
      <c r="M2458" s="77" t="n"/>
      <c r="N2458" s="53">
        <f>IF(M2458="","",IFERROR(M2458/I2458,""))</f>
        <v/>
      </c>
      <c r="O2458" s="50">
        <f>IF(A2458="","",IFERROR((IF(G2458="",I2458,G2458)-T2458)/M2458,""))</f>
        <v/>
      </c>
      <c r="P2458" s="50">
        <f>IFERROR((I2458/T2458-1)/N2458,"")</f>
        <v/>
      </c>
      <c r="Q2458" s="46">
        <f>IF(OR(T2458="",I2458&lt;T2458),"",IFERROR(R2458/IF(G2458="",I2458,G2458)-1,""))</f>
        <v/>
      </c>
      <c r="R2458" s="48">
        <f>IF($M2458="","",MAX(IF($G2458="",$I2458,$G2458)*(1/1.1),IF($G2458="",$I2458,$G2458)+(R$2*$M2458)))</f>
        <v/>
      </c>
      <c r="S2458" s="49">
        <f>IF($M2458="","",MAX(IF($G2458="",$I2458,$G2458)*(1/1.1),IF($G2458="",$I2458,$G2458)+(S$2*$M2458)))</f>
        <v/>
      </c>
      <c r="T2458" s="82" t="n"/>
      <c r="U2458" s="47">
        <f>IF(OR($M2458="",$T2458=""),"",$T2458+(U$2*$M2458))</f>
        <v/>
      </c>
      <c r="V2458" s="48">
        <f>IF(OR($M2458="",$T2458=""),"",$T2458+(V$2*$M2458))</f>
        <v/>
      </c>
      <c r="W2458" s="48">
        <f>IF(OR($M2458="",$T2458=""),"",$T2458+(W$2*$M2458))</f>
        <v/>
      </c>
      <c r="X2458" s="49">
        <f>IF(OR($M2458="",$T2458=""),"",$T2458+(X$2*$M2458))</f>
        <v/>
      </c>
      <c r="Y2458" s="47">
        <f>IF(OR($M2458="",$T2458=""),"",$T2458+(Y$2*$M2458))</f>
        <v/>
      </c>
      <c r="Z2458" s="49">
        <f>IF(OR($M2458="",$T2458=""),"",$T2458+(Z$2*$M2458))</f>
        <v/>
      </c>
      <c r="AA2458" s="51">
        <f>IF(OR($M2458="",$T2458=""),"",$T2458+(AA$2*$M2458))</f>
        <v/>
      </c>
      <c r="AB2458" s="48">
        <f>IF(OR($M2458="",$T2458=""),"",$T2458+(AB$2*$M2458))</f>
        <v/>
      </c>
      <c r="AC2458" s="48">
        <f>IF(OR($M2458="",$T2458=""),"",$T2458+(AC$2*$M2458))</f>
        <v/>
      </c>
      <c r="AD2458" s="48">
        <f>IF(OR($M2458="",$T2458=""),"",$T2458+(AD$2*$M2458))</f>
        <v/>
      </c>
      <c r="AE2458" s="49">
        <f>IF(OR($M2458="",$T2458=""),"",$T2458+(AE$2*$M2458))</f>
        <v/>
      </c>
      <c r="AF2458" s="52">
        <f>IF(OR(T2458="",I2458&lt;T2458),"",IFERROR(AVERAGE(T2458+M2458*{7,8,9,10,11})/IF(G2458="",I2458,G2458)-1,""))</f>
        <v/>
      </c>
      <c r="AG2458" s="55">
        <f>IF(OR(T2458="",I2458&lt;T2458),"",IFERROR(AF2458/-(R2458/IF(G2458="",I2458,G2458)-1),""))</f>
        <v/>
      </c>
      <c r="AH2458" s="94" t="n"/>
      <c r="AI2458" s="94" t="n"/>
      <c r="AJ2458" s="94" t="n"/>
      <c r="AK2458" s="94" t="n"/>
      <c r="AL2458" s="84" t="n"/>
    </row>
    <row r="2459">
      <c r="A2459" s="64" t="n"/>
      <c r="B2459" s="65" t="n"/>
      <c r="C2459" s="66" t="n"/>
      <c r="D2459" s="67" t="n"/>
      <c r="E2459" s="68" t="n"/>
      <c r="F2459" s="47">
        <f>IF(A2459="","",IF(MIN(H2459,MAX(J2459:K2459))=0,"",MIN(H2459,MAX(J2459:K2459))))</f>
        <v/>
      </c>
      <c r="G2459" s="74" t="n"/>
      <c r="H2459" s="49">
        <f>IF(M2459="","",IFERROR(ROUND(AVERAGE(T2459+M2459*{7,8,9,10,11})/1.21,4),""))</f>
        <v/>
      </c>
      <c r="I2459" s="76" t="n"/>
      <c r="J2459" s="77" t="n"/>
      <c r="K2459" s="74" t="n"/>
      <c r="L2459" s="78" t="n"/>
      <c r="M2459" s="77" t="n"/>
      <c r="N2459" s="53">
        <f>IF(M2459="","",IFERROR(M2459/I2459,""))</f>
        <v/>
      </c>
      <c r="O2459" s="50">
        <f>IF(A2459="","",IFERROR((IF(G2459="",I2459,G2459)-T2459)/M2459,""))</f>
        <v/>
      </c>
      <c r="P2459" s="50">
        <f>IFERROR((I2459/T2459-1)/N2459,"")</f>
        <v/>
      </c>
      <c r="Q2459" s="46">
        <f>IF(OR(T2459="",I2459&lt;T2459),"",IFERROR(R2459/IF(G2459="",I2459,G2459)-1,""))</f>
        <v/>
      </c>
      <c r="R2459" s="48">
        <f>IF($M2459="","",MAX(IF($G2459="",$I2459,$G2459)*(1/1.1),IF($G2459="",$I2459,$G2459)+(R$2*$M2459)))</f>
        <v/>
      </c>
      <c r="S2459" s="49">
        <f>IF($M2459="","",MAX(IF($G2459="",$I2459,$G2459)*(1/1.1),IF($G2459="",$I2459,$G2459)+(S$2*$M2459)))</f>
        <v/>
      </c>
      <c r="T2459" s="82" t="n"/>
      <c r="U2459" s="47">
        <f>IF(OR($M2459="",$T2459=""),"",$T2459+(U$2*$M2459))</f>
        <v/>
      </c>
      <c r="V2459" s="48">
        <f>IF(OR($M2459="",$T2459=""),"",$T2459+(V$2*$M2459))</f>
        <v/>
      </c>
      <c r="W2459" s="48">
        <f>IF(OR($M2459="",$T2459=""),"",$T2459+(W$2*$M2459))</f>
        <v/>
      </c>
      <c r="X2459" s="49">
        <f>IF(OR($M2459="",$T2459=""),"",$T2459+(X$2*$M2459))</f>
        <v/>
      </c>
      <c r="Y2459" s="47">
        <f>IF(OR($M2459="",$T2459=""),"",$T2459+(Y$2*$M2459))</f>
        <v/>
      </c>
      <c r="Z2459" s="49">
        <f>IF(OR($M2459="",$T2459=""),"",$T2459+(Z$2*$M2459))</f>
        <v/>
      </c>
      <c r="AA2459" s="51">
        <f>IF(OR($M2459="",$T2459=""),"",$T2459+(AA$2*$M2459))</f>
        <v/>
      </c>
      <c r="AB2459" s="48">
        <f>IF(OR($M2459="",$T2459=""),"",$T2459+(AB$2*$M2459))</f>
        <v/>
      </c>
      <c r="AC2459" s="48">
        <f>IF(OR($M2459="",$T2459=""),"",$T2459+(AC$2*$M2459))</f>
        <v/>
      </c>
      <c r="AD2459" s="48">
        <f>IF(OR($M2459="",$T2459=""),"",$T2459+(AD$2*$M2459))</f>
        <v/>
      </c>
      <c r="AE2459" s="49">
        <f>IF(OR($M2459="",$T2459=""),"",$T2459+(AE$2*$M2459))</f>
        <v/>
      </c>
      <c r="AF2459" s="52">
        <f>IF(OR(T2459="",I2459&lt;T2459),"",IFERROR(AVERAGE(T2459+M2459*{7,8,9,10,11})/IF(G2459="",I2459,G2459)-1,""))</f>
        <v/>
      </c>
      <c r="AG2459" s="55">
        <f>IF(OR(T2459="",I2459&lt;T2459),"",IFERROR(AF2459/-(R2459/IF(G2459="",I2459,G2459)-1),""))</f>
        <v/>
      </c>
      <c r="AH2459" s="94" t="n"/>
      <c r="AI2459" s="94" t="n"/>
      <c r="AJ2459" s="94" t="n"/>
      <c r="AK2459" s="94" t="n"/>
      <c r="AL2459" s="84" t="n"/>
    </row>
    <row r="2460">
      <c r="A2460" s="64" t="n"/>
      <c r="B2460" s="65" t="n"/>
      <c r="C2460" s="66" t="n"/>
      <c r="D2460" s="67" t="n"/>
      <c r="E2460" s="68" t="n"/>
      <c r="F2460" s="47">
        <f>IF(A2460="","",IF(MIN(H2460,MAX(J2460:K2460))=0,"",MIN(H2460,MAX(J2460:K2460))))</f>
        <v/>
      </c>
      <c r="G2460" s="74" t="n"/>
      <c r="H2460" s="49">
        <f>IF(M2460="","",IFERROR(ROUND(AVERAGE(T2460+M2460*{7,8,9,10,11})/1.21,4),""))</f>
        <v/>
      </c>
      <c r="I2460" s="76" t="n"/>
      <c r="J2460" s="77" t="n"/>
      <c r="K2460" s="74" t="n"/>
      <c r="L2460" s="78" t="n"/>
      <c r="M2460" s="77" t="n"/>
      <c r="N2460" s="53">
        <f>IF(M2460="","",IFERROR(M2460/I2460,""))</f>
        <v/>
      </c>
      <c r="O2460" s="50">
        <f>IF(A2460="","",IFERROR((IF(G2460="",I2460,G2460)-T2460)/M2460,""))</f>
        <v/>
      </c>
      <c r="P2460" s="50">
        <f>IFERROR((I2460/T2460-1)/N2460,"")</f>
        <v/>
      </c>
      <c r="Q2460" s="46">
        <f>IF(OR(T2460="",I2460&lt;T2460),"",IFERROR(R2460/IF(G2460="",I2460,G2460)-1,""))</f>
        <v/>
      </c>
      <c r="R2460" s="48">
        <f>IF($M2460="","",MAX(IF($G2460="",$I2460,$G2460)*(1/1.1),IF($G2460="",$I2460,$G2460)+(R$2*$M2460)))</f>
        <v/>
      </c>
      <c r="S2460" s="49">
        <f>IF($M2460="","",MAX(IF($G2460="",$I2460,$G2460)*(1/1.1),IF($G2460="",$I2460,$G2460)+(S$2*$M2460)))</f>
        <v/>
      </c>
      <c r="T2460" s="82" t="n"/>
      <c r="U2460" s="47">
        <f>IF(OR($M2460="",$T2460=""),"",$T2460+(U$2*$M2460))</f>
        <v/>
      </c>
      <c r="V2460" s="48">
        <f>IF(OR($M2460="",$T2460=""),"",$T2460+(V$2*$M2460))</f>
        <v/>
      </c>
      <c r="W2460" s="48">
        <f>IF(OR($M2460="",$T2460=""),"",$T2460+(W$2*$M2460))</f>
        <v/>
      </c>
      <c r="X2460" s="49">
        <f>IF(OR($M2460="",$T2460=""),"",$T2460+(X$2*$M2460))</f>
        <v/>
      </c>
      <c r="Y2460" s="47">
        <f>IF(OR($M2460="",$T2460=""),"",$T2460+(Y$2*$M2460))</f>
        <v/>
      </c>
      <c r="Z2460" s="49">
        <f>IF(OR($M2460="",$T2460=""),"",$T2460+(Z$2*$M2460))</f>
        <v/>
      </c>
      <c r="AA2460" s="51">
        <f>IF(OR($M2460="",$T2460=""),"",$T2460+(AA$2*$M2460))</f>
        <v/>
      </c>
      <c r="AB2460" s="48">
        <f>IF(OR($M2460="",$T2460=""),"",$T2460+(AB$2*$M2460))</f>
        <v/>
      </c>
      <c r="AC2460" s="48">
        <f>IF(OR($M2460="",$T2460=""),"",$T2460+(AC$2*$M2460))</f>
        <v/>
      </c>
      <c r="AD2460" s="48">
        <f>IF(OR($M2460="",$T2460=""),"",$T2460+(AD$2*$M2460))</f>
        <v/>
      </c>
      <c r="AE2460" s="49">
        <f>IF(OR($M2460="",$T2460=""),"",$T2460+(AE$2*$M2460))</f>
        <v/>
      </c>
      <c r="AF2460" s="52">
        <f>IF(OR(T2460="",I2460&lt;T2460),"",IFERROR(AVERAGE(T2460+M2460*{7,8,9,10,11})/IF(G2460="",I2460,G2460)-1,""))</f>
        <v/>
      </c>
      <c r="AG2460" s="55">
        <f>IF(OR(T2460="",I2460&lt;T2460),"",IFERROR(AF2460/-(R2460/IF(G2460="",I2460,G2460)-1),""))</f>
        <v/>
      </c>
      <c r="AH2460" s="94" t="n"/>
      <c r="AI2460" s="94" t="n"/>
      <c r="AJ2460" s="94" t="n"/>
      <c r="AK2460" s="94" t="n"/>
      <c r="AL2460" s="84" t="n"/>
    </row>
    <row r="2461">
      <c r="A2461" s="64" t="n"/>
      <c r="B2461" s="65" t="n"/>
      <c r="C2461" s="66" t="n"/>
      <c r="D2461" s="67" t="n"/>
      <c r="E2461" s="68" t="n"/>
      <c r="F2461" s="47">
        <f>IF(A2461="","",IF(MIN(H2461,MAX(J2461:K2461))=0,"",MIN(H2461,MAX(J2461:K2461))))</f>
        <v/>
      </c>
      <c r="G2461" s="74" t="n"/>
      <c r="H2461" s="49">
        <f>IF(M2461="","",IFERROR(ROUND(AVERAGE(T2461+M2461*{7,8,9,10,11})/1.21,4),""))</f>
        <v/>
      </c>
      <c r="I2461" s="76" t="n"/>
      <c r="J2461" s="77" t="n"/>
      <c r="K2461" s="74" t="n"/>
      <c r="L2461" s="78" t="n"/>
      <c r="M2461" s="77" t="n"/>
      <c r="N2461" s="53">
        <f>IF(M2461="","",IFERROR(M2461/I2461,""))</f>
        <v/>
      </c>
      <c r="O2461" s="50">
        <f>IF(A2461="","",IFERROR((IF(G2461="",I2461,G2461)-T2461)/M2461,""))</f>
        <v/>
      </c>
      <c r="P2461" s="50">
        <f>IFERROR((I2461/T2461-1)/N2461,"")</f>
        <v/>
      </c>
      <c r="Q2461" s="46">
        <f>IF(OR(T2461="",I2461&lt;T2461),"",IFERROR(R2461/IF(G2461="",I2461,G2461)-1,""))</f>
        <v/>
      </c>
      <c r="R2461" s="48">
        <f>IF($M2461="","",MAX(IF($G2461="",$I2461,$G2461)*(1/1.1),IF($G2461="",$I2461,$G2461)+(R$2*$M2461)))</f>
        <v/>
      </c>
      <c r="S2461" s="49">
        <f>IF($M2461="","",MAX(IF($G2461="",$I2461,$G2461)*(1/1.1),IF($G2461="",$I2461,$G2461)+(S$2*$M2461)))</f>
        <v/>
      </c>
      <c r="T2461" s="82" t="n"/>
      <c r="U2461" s="47">
        <f>IF(OR($M2461="",$T2461=""),"",$T2461+(U$2*$M2461))</f>
        <v/>
      </c>
      <c r="V2461" s="48">
        <f>IF(OR($M2461="",$T2461=""),"",$T2461+(V$2*$M2461))</f>
        <v/>
      </c>
      <c r="W2461" s="48">
        <f>IF(OR($M2461="",$T2461=""),"",$T2461+(W$2*$M2461))</f>
        <v/>
      </c>
      <c r="X2461" s="49">
        <f>IF(OR($M2461="",$T2461=""),"",$T2461+(X$2*$M2461))</f>
        <v/>
      </c>
      <c r="Y2461" s="47">
        <f>IF(OR($M2461="",$T2461=""),"",$T2461+(Y$2*$M2461))</f>
        <v/>
      </c>
      <c r="Z2461" s="49">
        <f>IF(OR($M2461="",$T2461=""),"",$T2461+(Z$2*$M2461))</f>
        <v/>
      </c>
      <c r="AA2461" s="51">
        <f>IF(OR($M2461="",$T2461=""),"",$T2461+(AA$2*$M2461))</f>
        <v/>
      </c>
      <c r="AB2461" s="48">
        <f>IF(OR($M2461="",$T2461=""),"",$T2461+(AB$2*$M2461))</f>
        <v/>
      </c>
      <c r="AC2461" s="48">
        <f>IF(OR($M2461="",$T2461=""),"",$T2461+(AC$2*$M2461))</f>
        <v/>
      </c>
      <c r="AD2461" s="48">
        <f>IF(OR($M2461="",$T2461=""),"",$T2461+(AD$2*$M2461))</f>
        <v/>
      </c>
      <c r="AE2461" s="49">
        <f>IF(OR($M2461="",$T2461=""),"",$T2461+(AE$2*$M2461))</f>
        <v/>
      </c>
      <c r="AF2461" s="52">
        <f>IF(OR(T2461="",I2461&lt;T2461),"",IFERROR(AVERAGE(T2461+M2461*{7,8,9,10,11})/IF(G2461="",I2461,G2461)-1,""))</f>
        <v/>
      </c>
      <c r="AG2461" s="55">
        <f>IF(OR(T2461="",I2461&lt;T2461),"",IFERROR(AF2461/-(R2461/IF(G2461="",I2461,G2461)-1),""))</f>
        <v/>
      </c>
      <c r="AH2461" s="94" t="n"/>
      <c r="AI2461" s="94" t="n"/>
      <c r="AJ2461" s="94" t="n"/>
      <c r="AK2461" s="94" t="n"/>
      <c r="AL2461" s="84" t="n"/>
    </row>
    <row r="2462">
      <c r="A2462" s="64" t="n"/>
      <c r="B2462" s="65" t="n"/>
      <c r="C2462" s="66" t="n"/>
      <c r="D2462" s="67" t="n"/>
      <c r="E2462" s="68" t="n"/>
      <c r="F2462" s="47">
        <f>IF(A2462="","",IF(MIN(H2462,MAX(J2462:K2462))=0,"",MIN(H2462,MAX(J2462:K2462))))</f>
        <v/>
      </c>
      <c r="G2462" s="74" t="n"/>
      <c r="H2462" s="49">
        <f>IF(M2462="","",IFERROR(ROUND(AVERAGE(T2462+M2462*{7,8,9,10,11})/1.21,4),""))</f>
        <v/>
      </c>
      <c r="I2462" s="76" t="n"/>
      <c r="J2462" s="77" t="n"/>
      <c r="K2462" s="74" t="n"/>
      <c r="L2462" s="78" t="n"/>
      <c r="M2462" s="77" t="n"/>
      <c r="N2462" s="53">
        <f>IF(M2462="","",IFERROR(M2462/I2462,""))</f>
        <v/>
      </c>
      <c r="O2462" s="50">
        <f>IF(A2462="","",IFERROR((IF(G2462="",I2462,G2462)-T2462)/M2462,""))</f>
        <v/>
      </c>
      <c r="P2462" s="50">
        <f>IFERROR((I2462/T2462-1)/N2462,"")</f>
        <v/>
      </c>
      <c r="Q2462" s="46">
        <f>IF(OR(T2462="",I2462&lt;T2462),"",IFERROR(R2462/IF(G2462="",I2462,G2462)-1,""))</f>
        <v/>
      </c>
      <c r="R2462" s="48">
        <f>IF($M2462="","",MAX(IF($G2462="",$I2462,$G2462)*(1/1.1),IF($G2462="",$I2462,$G2462)+(R$2*$M2462)))</f>
        <v/>
      </c>
      <c r="S2462" s="49">
        <f>IF($M2462="","",MAX(IF($G2462="",$I2462,$G2462)*(1/1.1),IF($G2462="",$I2462,$G2462)+(S$2*$M2462)))</f>
        <v/>
      </c>
      <c r="T2462" s="82" t="n"/>
      <c r="U2462" s="47">
        <f>IF(OR($M2462="",$T2462=""),"",$T2462+(U$2*$M2462))</f>
        <v/>
      </c>
      <c r="V2462" s="48">
        <f>IF(OR($M2462="",$T2462=""),"",$T2462+(V$2*$M2462))</f>
        <v/>
      </c>
      <c r="W2462" s="48">
        <f>IF(OR($M2462="",$T2462=""),"",$T2462+(W$2*$M2462))</f>
        <v/>
      </c>
      <c r="X2462" s="49">
        <f>IF(OR($M2462="",$T2462=""),"",$T2462+(X$2*$M2462))</f>
        <v/>
      </c>
      <c r="Y2462" s="47">
        <f>IF(OR($M2462="",$T2462=""),"",$T2462+(Y$2*$M2462))</f>
        <v/>
      </c>
      <c r="Z2462" s="49">
        <f>IF(OR($M2462="",$T2462=""),"",$T2462+(Z$2*$M2462))</f>
        <v/>
      </c>
      <c r="AA2462" s="51">
        <f>IF(OR($M2462="",$T2462=""),"",$T2462+(AA$2*$M2462))</f>
        <v/>
      </c>
      <c r="AB2462" s="48">
        <f>IF(OR($M2462="",$T2462=""),"",$T2462+(AB$2*$M2462))</f>
        <v/>
      </c>
      <c r="AC2462" s="48">
        <f>IF(OR($M2462="",$T2462=""),"",$T2462+(AC$2*$M2462))</f>
        <v/>
      </c>
      <c r="AD2462" s="48">
        <f>IF(OR($M2462="",$T2462=""),"",$T2462+(AD$2*$M2462))</f>
        <v/>
      </c>
      <c r="AE2462" s="49">
        <f>IF(OR($M2462="",$T2462=""),"",$T2462+(AE$2*$M2462))</f>
        <v/>
      </c>
      <c r="AF2462" s="52">
        <f>IF(OR(T2462="",I2462&lt;T2462),"",IFERROR(AVERAGE(T2462+M2462*{7,8,9,10,11})/IF(G2462="",I2462,G2462)-1,""))</f>
        <v/>
      </c>
      <c r="AG2462" s="55">
        <f>IF(OR(T2462="",I2462&lt;T2462),"",IFERROR(AF2462/-(R2462/IF(G2462="",I2462,G2462)-1),""))</f>
        <v/>
      </c>
      <c r="AH2462" s="94" t="n"/>
      <c r="AI2462" s="94" t="n"/>
      <c r="AJ2462" s="94" t="n"/>
      <c r="AK2462" s="94" t="n"/>
      <c r="AL2462" s="84" t="n"/>
    </row>
    <row r="2463">
      <c r="A2463" s="64" t="n"/>
      <c r="B2463" s="65" t="n"/>
      <c r="C2463" s="66" t="n"/>
      <c r="D2463" s="67" t="n"/>
      <c r="E2463" s="68" t="n"/>
      <c r="F2463" s="47">
        <f>IF(A2463="","",IF(MIN(H2463,MAX(J2463:K2463))=0,"",MIN(H2463,MAX(J2463:K2463))))</f>
        <v/>
      </c>
      <c r="G2463" s="74" t="n"/>
      <c r="H2463" s="49">
        <f>IF(M2463="","",IFERROR(ROUND(AVERAGE(T2463+M2463*{7,8,9,10,11})/1.21,4),""))</f>
        <v/>
      </c>
      <c r="I2463" s="76" t="n"/>
      <c r="J2463" s="77" t="n"/>
      <c r="K2463" s="74" t="n"/>
      <c r="L2463" s="78" t="n"/>
      <c r="M2463" s="77" t="n"/>
      <c r="N2463" s="53">
        <f>IF(M2463="","",IFERROR(M2463/I2463,""))</f>
        <v/>
      </c>
      <c r="O2463" s="50">
        <f>IF(A2463="","",IFERROR((IF(G2463="",I2463,G2463)-T2463)/M2463,""))</f>
        <v/>
      </c>
      <c r="P2463" s="50">
        <f>IFERROR((I2463/T2463-1)/N2463,"")</f>
        <v/>
      </c>
      <c r="Q2463" s="46">
        <f>IF(OR(T2463="",I2463&lt;T2463),"",IFERROR(R2463/IF(G2463="",I2463,G2463)-1,""))</f>
        <v/>
      </c>
      <c r="R2463" s="48">
        <f>IF($M2463="","",MAX(IF($G2463="",$I2463,$G2463)*(1/1.1),IF($G2463="",$I2463,$G2463)+(R$2*$M2463)))</f>
        <v/>
      </c>
      <c r="S2463" s="49">
        <f>IF($M2463="","",MAX(IF($G2463="",$I2463,$G2463)*(1/1.1),IF($G2463="",$I2463,$G2463)+(S$2*$M2463)))</f>
        <v/>
      </c>
      <c r="T2463" s="82" t="n"/>
      <c r="U2463" s="47">
        <f>IF(OR($M2463="",$T2463=""),"",$T2463+(U$2*$M2463))</f>
        <v/>
      </c>
      <c r="V2463" s="48">
        <f>IF(OR($M2463="",$T2463=""),"",$T2463+(V$2*$M2463))</f>
        <v/>
      </c>
      <c r="W2463" s="48">
        <f>IF(OR($M2463="",$T2463=""),"",$T2463+(W$2*$M2463))</f>
        <v/>
      </c>
      <c r="X2463" s="49">
        <f>IF(OR($M2463="",$T2463=""),"",$T2463+(X$2*$M2463))</f>
        <v/>
      </c>
      <c r="Y2463" s="47">
        <f>IF(OR($M2463="",$T2463=""),"",$T2463+(Y$2*$M2463))</f>
        <v/>
      </c>
      <c r="Z2463" s="49">
        <f>IF(OR($M2463="",$T2463=""),"",$T2463+(Z$2*$M2463))</f>
        <v/>
      </c>
      <c r="AA2463" s="51">
        <f>IF(OR($M2463="",$T2463=""),"",$T2463+(AA$2*$M2463))</f>
        <v/>
      </c>
      <c r="AB2463" s="48">
        <f>IF(OR($M2463="",$T2463=""),"",$T2463+(AB$2*$M2463))</f>
        <v/>
      </c>
      <c r="AC2463" s="48">
        <f>IF(OR($M2463="",$T2463=""),"",$T2463+(AC$2*$M2463))</f>
        <v/>
      </c>
      <c r="AD2463" s="48">
        <f>IF(OR($M2463="",$T2463=""),"",$T2463+(AD$2*$M2463))</f>
        <v/>
      </c>
      <c r="AE2463" s="49">
        <f>IF(OR($M2463="",$T2463=""),"",$T2463+(AE$2*$M2463))</f>
        <v/>
      </c>
      <c r="AF2463" s="52">
        <f>IF(OR(T2463="",I2463&lt;T2463),"",IFERROR(AVERAGE(T2463+M2463*{7,8,9,10,11})/IF(G2463="",I2463,G2463)-1,""))</f>
        <v/>
      </c>
      <c r="AG2463" s="55">
        <f>IF(OR(T2463="",I2463&lt;T2463),"",IFERROR(AF2463/-(R2463/IF(G2463="",I2463,G2463)-1),""))</f>
        <v/>
      </c>
      <c r="AH2463" s="94" t="n"/>
      <c r="AI2463" s="94" t="n"/>
      <c r="AJ2463" s="94" t="n"/>
      <c r="AK2463" s="94" t="n"/>
      <c r="AL2463" s="84" t="n"/>
    </row>
    <row r="2464">
      <c r="A2464" s="64" t="n"/>
      <c r="B2464" s="65" t="n"/>
      <c r="C2464" s="66" t="n"/>
      <c r="D2464" s="67" t="n"/>
      <c r="E2464" s="68" t="n"/>
      <c r="F2464" s="47">
        <f>IF(A2464="","",IF(MIN(H2464,MAX(J2464:K2464))=0,"",MIN(H2464,MAX(J2464:K2464))))</f>
        <v/>
      </c>
      <c r="G2464" s="74" t="n"/>
      <c r="H2464" s="49">
        <f>IF(M2464="","",IFERROR(ROUND(AVERAGE(T2464+M2464*{7,8,9,10,11})/1.21,4),""))</f>
        <v/>
      </c>
      <c r="I2464" s="76" t="n"/>
      <c r="J2464" s="77" t="n"/>
      <c r="K2464" s="74" t="n"/>
      <c r="L2464" s="78" t="n"/>
      <c r="M2464" s="77" t="n"/>
      <c r="N2464" s="53">
        <f>IF(M2464="","",IFERROR(M2464/I2464,""))</f>
        <v/>
      </c>
      <c r="O2464" s="50">
        <f>IF(A2464="","",IFERROR((IF(G2464="",I2464,G2464)-T2464)/M2464,""))</f>
        <v/>
      </c>
      <c r="P2464" s="50">
        <f>IFERROR((I2464/T2464-1)/N2464,"")</f>
        <v/>
      </c>
      <c r="Q2464" s="46">
        <f>IF(OR(T2464="",I2464&lt;T2464),"",IFERROR(R2464/IF(G2464="",I2464,G2464)-1,""))</f>
        <v/>
      </c>
      <c r="R2464" s="48">
        <f>IF($M2464="","",MAX(IF($G2464="",$I2464,$G2464)*(1/1.1),IF($G2464="",$I2464,$G2464)+(R$2*$M2464)))</f>
        <v/>
      </c>
      <c r="S2464" s="49">
        <f>IF($M2464="","",MAX(IF($G2464="",$I2464,$G2464)*(1/1.1),IF($G2464="",$I2464,$G2464)+(S$2*$M2464)))</f>
        <v/>
      </c>
      <c r="T2464" s="82" t="n"/>
      <c r="U2464" s="47">
        <f>IF(OR($M2464="",$T2464=""),"",$T2464+(U$2*$M2464))</f>
        <v/>
      </c>
      <c r="V2464" s="48">
        <f>IF(OR($M2464="",$T2464=""),"",$T2464+(V$2*$M2464))</f>
        <v/>
      </c>
      <c r="W2464" s="48">
        <f>IF(OR($M2464="",$T2464=""),"",$T2464+(W$2*$M2464))</f>
        <v/>
      </c>
      <c r="X2464" s="49">
        <f>IF(OR($M2464="",$T2464=""),"",$T2464+(X$2*$M2464))</f>
        <v/>
      </c>
      <c r="Y2464" s="47">
        <f>IF(OR($M2464="",$T2464=""),"",$T2464+(Y$2*$M2464))</f>
        <v/>
      </c>
      <c r="Z2464" s="49">
        <f>IF(OR($M2464="",$T2464=""),"",$T2464+(Z$2*$M2464))</f>
        <v/>
      </c>
      <c r="AA2464" s="51">
        <f>IF(OR($M2464="",$T2464=""),"",$T2464+(AA$2*$M2464))</f>
        <v/>
      </c>
      <c r="AB2464" s="48">
        <f>IF(OR($M2464="",$T2464=""),"",$T2464+(AB$2*$M2464))</f>
        <v/>
      </c>
      <c r="AC2464" s="48">
        <f>IF(OR($M2464="",$T2464=""),"",$T2464+(AC$2*$M2464))</f>
        <v/>
      </c>
      <c r="AD2464" s="48">
        <f>IF(OR($M2464="",$T2464=""),"",$T2464+(AD$2*$M2464))</f>
        <v/>
      </c>
      <c r="AE2464" s="49">
        <f>IF(OR($M2464="",$T2464=""),"",$T2464+(AE$2*$M2464))</f>
        <v/>
      </c>
      <c r="AF2464" s="52">
        <f>IF(OR(T2464="",I2464&lt;T2464),"",IFERROR(AVERAGE(T2464+M2464*{7,8,9,10,11})/IF(G2464="",I2464,G2464)-1,""))</f>
        <v/>
      </c>
      <c r="AG2464" s="55">
        <f>IF(OR(T2464="",I2464&lt;T2464),"",IFERROR(AF2464/-(R2464/IF(G2464="",I2464,G2464)-1),""))</f>
        <v/>
      </c>
      <c r="AH2464" s="94" t="n"/>
      <c r="AI2464" s="94" t="n"/>
      <c r="AJ2464" s="94" t="n"/>
      <c r="AK2464" s="94" t="n"/>
      <c r="AL2464" s="84" t="n"/>
    </row>
    <row r="2465">
      <c r="A2465" s="64" t="n"/>
      <c r="B2465" s="65" t="n"/>
      <c r="C2465" s="66" t="n"/>
      <c r="D2465" s="67" t="n"/>
      <c r="E2465" s="68" t="n"/>
      <c r="F2465" s="47">
        <f>IF(A2465="","",IF(MIN(H2465,MAX(J2465:K2465))=0,"",MIN(H2465,MAX(J2465:K2465))))</f>
        <v/>
      </c>
      <c r="G2465" s="74" t="n"/>
      <c r="H2465" s="49">
        <f>IF(M2465="","",IFERROR(ROUND(AVERAGE(T2465+M2465*{7,8,9,10,11})/1.21,4),""))</f>
        <v/>
      </c>
      <c r="I2465" s="76" t="n"/>
      <c r="J2465" s="77" t="n"/>
      <c r="K2465" s="74" t="n"/>
      <c r="L2465" s="78" t="n"/>
      <c r="M2465" s="77" t="n"/>
      <c r="N2465" s="53">
        <f>IF(M2465="","",IFERROR(M2465/I2465,""))</f>
        <v/>
      </c>
      <c r="O2465" s="50">
        <f>IF(A2465="","",IFERROR((IF(G2465="",I2465,G2465)-T2465)/M2465,""))</f>
        <v/>
      </c>
      <c r="P2465" s="50">
        <f>IFERROR((I2465/T2465-1)/N2465,"")</f>
        <v/>
      </c>
      <c r="Q2465" s="46">
        <f>IF(OR(T2465="",I2465&lt;T2465),"",IFERROR(R2465/IF(G2465="",I2465,G2465)-1,""))</f>
        <v/>
      </c>
      <c r="R2465" s="48">
        <f>IF($M2465="","",MAX(IF($G2465="",$I2465,$G2465)*(1/1.1),IF($G2465="",$I2465,$G2465)+(R$2*$M2465)))</f>
        <v/>
      </c>
      <c r="S2465" s="49">
        <f>IF($M2465="","",MAX(IF($G2465="",$I2465,$G2465)*(1/1.1),IF($G2465="",$I2465,$G2465)+(S$2*$M2465)))</f>
        <v/>
      </c>
      <c r="T2465" s="82" t="n"/>
      <c r="U2465" s="47">
        <f>IF(OR($M2465="",$T2465=""),"",$T2465+(U$2*$M2465))</f>
        <v/>
      </c>
      <c r="V2465" s="48">
        <f>IF(OR($M2465="",$T2465=""),"",$T2465+(V$2*$M2465))</f>
        <v/>
      </c>
      <c r="W2465" s="48">
        <f>IF(OR($M2465="",$T2465=""),"",$T2465+(W$2*$M2465))</f>
        <v/>
      </c>
      <c r="X2465" s="49">
        <f>IF(OR($M2465="",$T2465=""),"",$T2465+(X$2*$M2465))</f>
        <v/>
      </c>
      <c r="Y2465" s="47">
        <f>IF(OR($M2465="",$T2465=""),"",$T2465+(Y$2*$M2465))</f>
        <v/>
      </c>
      <c r="Z2465" s="49">
        <f>IF(OR($M2465="",$T2465=""),"",$T2465+(Z$2*$M2465))</f>
        <v/>
      </c>
      <c r="AA2465" s="51">
        <f>IF(OR($M2465="",$T2465=""),"",$T2465+(AA$2*$M2465))</f>
        <v/>
      </c>
      <c r="AB2465" s="48">
        <f>IF(OR($M2465="",$T2465=""),"",$T2465+(AB$2*$M2465))</f>
        <v/>
      </c>
      <c r="AC2465" s="48">
        <f>IF(OR($M2465="",$T2465=""),"",$T2465+(AC$2*$M2465))</f>
        <v/>
      </c>
      <c r="AD2465" s="48">
        <f>IF(OR($M2465="",$T2465=""),"",$T2465+(AD$2*$M2465))</f>
        <v/>
      </c>
      <c r="AE2465" s="49">
        <f>IF(OR($M2465="",$T2465=""),"",$T2465+(AE$2*$M2465))</f>
        <v/>
      </c>
      <c r="AF2465" s="52">
        <f>IF(OR(T2465="",I2465&lt;T2465),"",IFERROR(AVERAGE(T2465+M2465*{7,8,9,10,11})/IF(G2465="",I2465,G2465)-1,""))</f>
        <v/>
      </c>
      <c r="AG2465" s="55">
        <f>IF(OR(T2465="",I2465&lt;T2465),"",IFERROR(AF2465/-(R2465/IF(G2465="",I2465,G2465)-1),""))</f>
        <v/>
      </c>
      <c r="AH2465" s="94" t="n"/>
      <c r="AI2465" s="94" t="n"/>
      <c r="AJ2465" s="94" t="n"/>
      <c r="AK2465" s="94" t="n"/>
      <c r="AL2465" s="84" t="n"/>
    </row>
    <row r="2466">
      <c r="A2466" s="64" t="n"/>
      <c r="B2466" s="65" t="n"/>
      <c r="C2466" s="66" t="n"/>
      <c r="D2466" s="67" t="n"/>
      <c r="E2466" s="68" t="n"/>
      <c r="F2466" s="47">
        <f>IF(A2466="","",IF(MIN(H2466,MAX(J2466:K2466))=0,"",MIN(H2466,MAX(J2466:K2466))))</f>
        <v/>
      </c>
      <c r="G2466" s="74" t="n"/>
      <c r="H2466" s="49">
        <f>IF(M2466="","",IFERROR(ROUND(AVERAGE(T2466+M2466*{7,8,9,10,11})/1.21,4),""))</f>
        <v/>
      </c>
      <c r="I2466" s="76" t="n"/>
      <c r="J2466" s="77" t="n"/>
      <c r="K2466" s="74" t="n"/>
      <c r="L2466" s="78" t="n"/>
      <c r="M2466" s="77" t="n"/>
      <c r="N2466" s="53">
        <f>IF(M2466="","",IFERROR(M2466/I2466,""))</f>
        <v/>
      </c>
      <c r="O2466" s="50">
        <f>IF(A2466="","",IFERROR((IF(G2466="",I2466,G2466)-T2466)/M2466,""))</f>
        <v/>
      </c>
      <c r="P2466" s="50">
        <f>IFERROR((I2466/T2466-1)/N2466,"")</f>
        <v/>
      </c>
      <c r="Q2466" s="46">
        <f>IF(OR(T2466="",I2466&lt;T2466),"",IFERROR(R2466/IF(G2466="",I2466,G2466)-1,""))</f>
        <v/>
      </c>
      <c r="R2466" s="48">
        <f>IF($M2466="","",MAX(IF($G2466="",$I2466,$G2466)*(1/1.1),IF($G2466="",$I2466,$G2466)+(R$2*$M2466)))</f>
        <v/>
      </c>
      <c r="S2466" s="49">
        <f>IF($M2466="","",MAX(IF($G2466="",$I2466,$G2466)*(1/1.1),IF($G2466="",$I2466,$G2466)+(S$2*$M2466)))</f>
        <v/>
      </c>
      <c r="T2466" s="82" t="n"/>
      <c r="U2466" s="47">
        <f>IF(OR($M2466="",$T2466=""),"",$T2466+(U$2*$M2466))</f>
        <v/>
      </c>
      <c r="V2466" s="48">
        <f>IF(OR($M2466="",$T2466=""),"",$T2466+(V$2*$M2466))</f>
        <v/>
      </c>
      <c r="W2466" s="48">
        <f>IF(OR($M2466="",$T2466=""),"",$T2466+(W$2*$M2466))</f>
        <v/>
      </c>
      <c r="X2466" s="49">
        <f>IF(OR($M2466="",$T2466=""),"",$T2466+(X$2*$M2466))</f>
        <v/>
      </c>
      <c r="Y2466" s="47">
        <f>IF(OR($M2466="",$T2466=""),"",$T2466+(Y$2*$M2466))</f>
        <v/>
      </c>
      <c r="Z2466" s="49">
        <f>IF(OR($M2466="",$T2466=""),"",$T2466+(Z$2*$M2466))</f>
        <v/>
      </c>
      <c r="AA2466" s="51">
        <f>IF(OR($M2466="",$T2466=""),"",$T2466+(AA$2*$M2466))</f>
        <v/>
      </c>
      <c r="AB2466" s="48">
        <f>IF(OR($M2466="",$T2466=""),"",$T2466+(AB$2*$M2466))</f>
        <v/>
      </c>
      <c r="AC2466" s="48">
        <f>IF(OR($M2466="",$T2466=""),"",$T2466+(AC$2*$M2466))</f>
        <v/>
      </c>
      <c r="AD2466" s="48">
        <f>IF(OR($M2466="",$T2466=""),"",$T2466+(AD$2*$M2466))</f>
        <v/>
      </c>
      <c r="AE2466" s="49">
        <f>IF(OR($M2466="",$T2466=""),"",$T2466+(AE$2*$M2466))</f>
        <v/>
      </c>
      <c r="AF2466" s="52">
        <f>IF(OR(T2466="",I2466&lt;T2466),"",IFERROR(AVERAGE(T2466+M2466*{7,8,9,10,11})/IF(G2466="",I2466,G2466)-1,""))</f>
        <v/>
      </c>
      <c r="AG2466" s="55">
        <f>IF(OR(T2466="",I2466&lt;T2466),"",IFERROR(AF2466/-(R2466/IF(G2466="",I2466,G2466)-1),""))</f>
        <v/>
      </c>
      <c r="AH2466" s="94" t="n"/>
      <c r="AI2466" s="94" t="n"/>
      <c r="AJ2466" s="94" t="n"/>
      <c r="AK2466" s="94" t="n"/>
      <c r="AL2466" s="84" t="n"/>
    </row>
    <row r="2467">
      <c r="A2467" s="64" t="n"/>
      <c r="B2467" s="65" t="n"/>
      <c r="C2467" s="66" t="n"/>
      <c r="D2467" s="67" t="n"/>
      <c r="E2467" s="68" t="n"/>
      <c r="F2467" s="47">
        <f>IF(A2467="","",IF(MIN(H2467,MAX(J2467:K2467))=0,"",MIN(H2467,MAX(J2467:K2467))))</f>
        <v/>
      </c>
      <c r="G2467" s="74" t="n"/>
      <c r="H2467" s="49">
        <f>IF(M2467="","",IFERROR(ROUND(AVERAGE(T2467+M2467*{7,8,9,10,11})/1.21,4),""))</f>
        <v/>
      </c>
      <c r="I2467" s="76" t="n"/>
      <c r="J2467" s="77" t="n"/>
      <c r="K2467" s="74" t="n"/>
      <c r="L2467" s="78" t="n"/>
      <c r="M2467" s="77" t="n"/>
      <c r="N2467" s="53">
        <f>IF(M2467="","",IFERROR(M2467/I2467,""))</f>
        <v/>
      </c>
      <c r="O2467" s="50">
        <f>IF(A2467="","",IFERROR((IF(G2467="",I2467,G2467)-T2467)/M2467,""))</f>
        <v/>
      </c>
      <c r="P2467" s="50">
        <f>IFERROR((I2467/T2467-1)/N2467,"")</f>
        <v/>
      </c>
      <c r="Q2467" s="46">
        <f>IF(OR(T2467="",I2467&lt;T2467),"",IFERROR(R2467/IF(G2467="",I2467,G2467)-1,""))</f>
        <v/>
      </c>
      <c r="R2467" s="48">
        <f>IF($M2467="","",MAX(IF($G2467="",$I2467,$G2467)*(1/1.1),IF($G2467="",$I2467,$G2467)+(R$2*$M2467)))</f>
        <v/>
      </c>
      <c r="S2467" s="49">
        <f>IF($M2467="","",MAX(IF($G2467="",$I2467,$G2467)*(1/1.1),IF($G2467="",$I2467,$G2467)+(S$2*$M2467)))</f>
        <v/>
      </c>
      <c r="T2467" s="82" t="n"/>
      <c r="U2467" s="47">
        <f>IF(OR($M2467="",$T2467=""),"",$T2467+(U$2*$M2467))</f>
        <v/>
      </c>
      <c r="V2467" s="48">
        <f>IF(OR($M2467="",$T2467=""),"",$T2467+(V$2*$M2467))</f>
        <v/>
      </c>
      <c r="W2467" s="48">
        <f>IF(OR($M2467="",$T2467=""),"",$T2467+(W$2*$M2467))</f>
        <v/>
      </c>
      <c r="X2467" s="49">
        <f>IF(OR($M2467="",$T2467=""),"",$T2467+(X$2*$M2467))</f>
        <v/>
      </c>
      <c r="Y2467" s="47">
        <f>IF(OR($M2467="",$T2467=""),"",$T2467+(Y$2*$M2467))</f>
        <v/>
      </c>
      <c r="Z2467" s="49">
        <f>IF(OR($M2467="",$T2467=""),"",$T2467+(Z$2*$M2467))</f>
        <v/>
      </c>
      <c r="AA2467" s="51">
        <f>IF(OR($M2467="",$T2467=""),"",$T2467+(AA$2*$M2467))</f>
        <v/>
      </c>
      <c r="AB2467" s="48">
        <f>IF(OR($M2467="",$T2467=""),"",$T2467+(AB$2*$M2467))</f>
        <v/>
      </c>
      <c r="AC2467" s="48">
        <f>IF(OR($M2467="",$T2467=""),"",$T2467+(AC$2*$M2467))</f>
        <v/>
      </c>
      <c r="AD2467" s="48">
        <f>IF(OR($M2467="",$T2467=""),"",$T2467+(AD$2*$M2467))</f>
        <v/>
      </c>
      <c r="AE2467" s="49">
        <f>IF(OR($M2467="",$T2467=""),"",$T2467+(AE$2*$M2467))</f>
        <v/>
      </c>
      <c r="AF2467" s="52">
        <f>IF(OR(T2467="",I2467&lt;T2467),"",IFERROR(AVERAGE(T2467+M2467*{7,8,9,10,11})/IF(G2467="",I2467,G2467)-1,""))</f>
        <v/>
      </c>
      <c r="AG2467" s="55">
        <f>IF(OR(T2467="",I2467&lt;T2467),"",IFERROR(AF2467/-(R2467/IF(G2467="",I2467,G2467)-1),""))</f>
        <v/>
      </c>
      <c r="AH2467" s="94" t="n"/>
      <c r="AI2467" s="94" t="n"/>
      <c r="AJ2467" s="94" t="n"/>
      <c r="AK2467" s="94" t="n"/>
      <c r="AL2467" s="84" t="n"/>
    </row>
    <row r="2468">
      <c r="A2468" s="64" t="n"/>
      <c r="B2468" s="65" t="n"/>
      <c r="C2468" s="66" t="n"/>
      <c r="D2468" s="67" t="n"/>
      <c r="E2468" s="68" t="n"/>
      <c r="F2468" s="47">
        <f>IF(A2468="","",IF(MIN(H2468,MAX(J2468:K2468))=0,"",MIN(H2468,MAX(J2468:K2468))))</f>
        <v/>
      </c>
      <c r="G2468" s="74" t="n"/>
      <c r="H2468" s="49">
        <f>IF(M2468="","",IFERROR(ROUND(AVERAGE(T2468+M2468*{7,8,9,10,11})/1.21,4),""))</f>
        <v/>
      </c>
      <c r="I2468" s="76" t="n"/>
      <c r="J2468" s="77" t="n"/>
      <c r="K2468" s="74" t="n"/>
      <c r="L2468" s="78" t="n"/>
      <c r="M2468" s="77" t="n"/>
      <c r="N2468" s="53">
        <f>IF(M2468="","",IFERROR(M2468/I2468,""))</f>
        <v/>
      </c>
      <c r="O2468" s="50">
        <f>IF(A2468="","",IFERROR((IF(G2468="",I2468,G2468)-T2468)/M2468,""))</f>
        <v/>
      </c>
      <c r="P2468" s="50">
        <f>IFERROR((I2468/T2468-1)/N2468,"")</f>
        <v/>
      </c>
      <c r="Q2468" s="46">
        <f>IF(OR(T2468="",I2468&lt;T2468),"",IFERROR(R2468/IF(G2468="",I2468,G2468)-1,""))</f>
        <v/>
      </c>
      <c r="R2468" s="48">
        <f>IF($M2468="","",MAX(IF($G2468="",$I2468,$G2468)*(1/1.1),IF($G2468="",$I2468,$G2468)+(R$2*$M2468)))</f>
        <v/>
      </c>
      <c r="S2468" s="49">
        <f>IF($M2468="","",MAX(IF($G2468="",$I2468,$G2468)*(1/1.1),IF($G2468="",$I2468,$G2468)+(S$2*$M2468)))</f>
        <v/>
      </c>
      <c r="T2468" s="82" t="n"/>
      <c r="U2468" s="47">
        <f>IF(OR($M2468="",$T2468=""),"",$T2468+(U$2*$M2468))</f>
        <v/>
      </c>
      <c r="V2468" s="48">
        <f>IF(OR($M2468="",$T2468=""),"",$T2468+(V$2*$M2468))</f>
        <v/>
      </c>
      <c r="W2468" s="48">
        <f>IF(OR($M2468="",$T2468=""),"",$T2468+(W$2*$M2468))</f>
        <v/>
      </c>
      <c r="X2468" s="49">
        <f>IF(OR($M2468="",$T2468=""),"",$T2468+(X$2*$M2468))</f>
        <v/>
      </c>
      <c r="Y2468" s="47">
        <f>IF(OR($M2468="",$T2468=""),"",$T2468+(Y$2*$M2468))</f>
        <v/>
      </c>
      <c r="Z2468" s="49">
        <f>IF(OR($M2468="",$T2468=""),"",$T2468+(Z$2*$M2468))</f>
        <v/>
      </c>
      <c r="AA2468" s="51">
        <f>IF(OR($M2468="",$T2468=""),"",$T2468+(AA$2*$M2468))</f>
        <v/>
      </c>
      <c r="AB2468" s="48">
        <f>IF(OR($M2468="",$T2468=""),"",$T2468+(AB$2*$M2468))</f>
        <v/>
      </c>
      <c r="AC2468" s="48">
        <f>IF(OR($M2468="",$T2468=""),"",$T2468+(AC$2*$M2468))</f>
        <v/>
      </c>
      <c r="AD2468" s="48">
        <f>IF(OR($M2468="",$T2468=""),"",$T2468+(AD$2*$M2468))</f>
        <v/>
      </c>
      <c r="AE2468" s="49">
        <f>IF(OR($M2468="",$T2468=""),"",$T2468+(AE$2*$M2468))</f>
        <v/>
      </c>
      <c r="AF2468" s="52">
        <f>IF(OR(T2468="",I2468&lt;T2468),"",IFERROR(AVERAGE(T2468+M2468*{7,8,9,10,11})/IF(G2468="",I2468,G2468)-1,""))</f>
        <v/>
      </c>
      <c r="AG2468" s="55">
        <f>IF(OR(T2468="",I2468&lt;T2468),"",IFERROR(AF2468/-(R2468/IF(G2468="",I2468,G2468)-1),""))</f>
        <v/>
      </c>
      <c r="AH2468" s="94" t="n"/>
      <c r="AI2468" s="94" t="n"/>
      <c r="AJ2468" s="94" t="n"/>
      <c r="AK2468" s="94" t="n"/>
      <c r="AL2468" s="84" t="n"/>
    </row>
    <row r="2469">
      <c r="A2469" s="64" t="n"/>
      <c r="B2469" s="65" t="n"/>
      <c r="C2469" s="66" t="n"/>
      <c r="D2469" s="67" t="n"/>
      <c r="E2469" s="68" t="n"/>
      <c r="F2469" s="47">
        <f>IF(A2469="","",IF(MIN(H2469,MAX(J2469:K2469))=0,"",MIN(H2469,MAX(J2469:K2469))))</f>
        <v/>
      </c>
      <c r="G2469" s="74" t="n"/>
      <c r="H2469" s="49">
        <f>IF(M2469="","",IFERROR(ROUND(AVERAGE(T2469+M2469*{7,8,9,10,11})/1.21,4),""))</f>
        <v/>
      </c>
      <c r="I2469" s="76" t="n"/>
      <c r="J2469" s="77" t="n"/>
      <c r="K2469" s="74" t="n"/>
      <c r="L2469" s="78" t="n"/>
      <c r="M2469" s="77" t="n"/>
      <c r="N2469" s="53">
        <f>IF(M2469="","",IFERROR(M2469/I2469,""))</f>
        <v/>
      </c>
      <c r="O2469" s="50">
        <f>IF(A2469="","",IFERROR((IF(G2469="",I2469,G2469)-T2469)/M2469,""))</f>
        <v/>
      </c>
      <c r="P2469" s="50">
        <f>IFERROR((I2469/T2469-1)/N2469,"")</f>
        <v/>
      </c>
      <c r="Q2469" s="46">
        <f>IF(OR(T2469="",I2469&lt;T2469),"",IFERROR(R2469/IF(G2469="",I2469,G2469)-1,""))</f>
        <v/>
      </c>
      <c r="R2469" s="48">
        <f>IF($M2469="","",MAX(IF($G2469="",$I2469,$G2469)*(1/1.1),IF($G2469="",$I2469,$G2469)+(R$2*$M2469)))</f>
        <v/>
      </c>
      <c r="S2469" s="49">
        <f>IF($M2469="","",MAX(IF($G2469="",$I2469,$G2469)*(1/1.1),IF($G2469="",$I2469,$G2469)+(S$2*$M2469)))</f>
        <v/>
      </c>
      <c r="T2469" s="82" t="n"/>
      <c r="U2469" s="47">
        <f>IF(OR($M2469="",$T2469=""),"",$T2469+(U$2*$M2469))</f>
        <v/>
      </c>
      <c r="V2469" s="48">
        <f>IF(OR($M2469="",$T2469=""),"",$T2469+(V$2*$M2469))</f>
        <v/>
      </c>
      <c r="W2469" s="48">
        <f>IF(OR($M2469="",$T2469=""),"",$T2469+(W$2*$M2469))</f>
        <v/>
      </c>
      <c r="X2469" s="49">
        <f>IF(OR($M2469="",$T2469=""),"",$T2469+(X$2*$M2469))</f>
        <v/>
      </c>
      <c r="Y2469" s="47">
        <f>IF(OR($M2469="",$T2469=""),"",$T2469+(Y$2*$M2469))</f>
        <v/>
      </c>
      <c r="Z2469" s="49">
        <f>IF(OR($M2469="",$T2469=""),"",$T2469+(Z$2*$M2469))</f>
        <v/>
      </c>
      <c r="AA2469" s="51">
        <f>IF(OR($M2469="",$T2469=""),"",$T2469+(AA$2*$M2469))</f>
        <v/>
      </c>
      <c r="AB2469" s="48">
        <f>IF(OR($M2469="",$T2469=""),"",$T2469+(AB$2*$M2469))</f>
        <v/>
      </c>
      <c r="AC2469" s="48">
        <f>IF(OR($M2469="",$T2469=""),"",$T2469+(AC$2*$M2469))</f>
        <v/>
      </c>
      <c r="AD2469" s="48">
        <f>IF(OR($M2469="",$T2469=""),"",$T2469+(AD$2*$M2469))</f>
        <v/>
      </c>
      <c r="AE2469" s="49">
        <f>IF(OR($M2469="",$T2469=""),"",$T2469+(AE$2*$M2469))</f>
        <v/>
      </c>
      <c r="AF2469" s="52">
        <f>IF(OR(T2469="",I2469&lt;T2469),"",IFERROR(AVERAGE(T2469+M2469*{7,8,9,10,11})/IF(G2469="",I2469,G2469)-1,""))</f>
        <v/>
      </c>
      <c r="AG2469" s="55">
        <f>IF(OR(T2469="",I2469&lt;T2469),"",IFERROR(AF2469/-(R2469/IF(G2469="",I2469,G2469)-1),""))</f>
        <v/>
      </c>
      <c r="AH2469" s="94" t="n"/>
      <c r="AI2469" s="94" t="n"/>
      <c r="AJ2469" s="94" t="n"/>
      <c r="AK2469" s="94" t="n"/>
      <c r="AL2469" s="84" t="n"/>
    </row>
    <row r="2470">
      <c r="A2470" s="64" t="n"/>
      <c r="B2470" s="65" t="n"/>
      <c r="C2470" s="66" t="n"/>
      <c r="D2470" s="67" t="n"/>
      <c r="E2470" s="68" t="n"/>
      <c r="F2470" s="47">
        <f>IF(A2470="","",IF(MIN(H2470,MAX(J2470:K2470))=0,"",MIN(H2470,MAX(J2470:K2470))))</f>
        <v/>
      </c>
      <c r="G2470" s="74" t="n"/>
      <c r="H2470" s="49">
        <f>IF(M2470="","",IFERROR(ROUND(AVERAGE(T2470+M2470*{7,8,9,10,11})/1.21,4),""))</f>
        <v/>
      </c>
      <c r="I2470" s="76" t="n"/>
      <c r="J2470" s="77" t="n"/>
      <c r="K2470" s="74" t="n"/>
      <c r="L2470" s="78" t="n"/>
      <c r="M2470" s="77" t="n"/>
      <c r="N2470" s="53">
        <f>IF(M2470="","",IFERROR(M2470/I2470,""))</f>
        <v/>
      </c>
      <c r="O2470" s="50">
        <f>IF(A2470="","",IFERROR((IF(G2470="",I2470,G2470)-T2470)/M2470,""))</f>
        <v/>
      </c>
      <c r="P2470" s="50">
        <f>IFERROR((I2470/T2470-1)/N2470,"")</f>
        <v/>
      </c>
      <c r="Q2470" s="46">
        <f>IF(OR(T2470="",I2470&lt;T2470),"",IFERROR(R2470/IF(G2470="",I2470,G2470)-1,""))</f>
        <v/>
      </c>
      <c r="R2470" s="48">
        <f>IF($M2470="","",MAX(IF($G2470="",$I2470,$G2470)*(1/1.1),IF($G2470="",$I2470,$G2470)+(R$2*$M2470)))</f>
        <v/>
      </c>
      <c r="S2470" s="49">
        <f>IF($M2470="","",MAX(IF($G2470="",$I2470,$G2470)*(1/1.1),IF($G2470="",$I2470,$G2470)+(S$2*$M2470)))</f>
        <v/>
      </c>
      <c r="T2470" s="82" t="n"/>
      <c r="U2470" s="47">
        <f>IF(OR($M2470="",$T2470=""),"",$T2470+(U$2*$M2470))</f>
        <v/>
      </c>
      <c r="V2470" s="48">
        <f>IF(OR($M2470="",$T2470=""),"",$T2470+(V$2*$M2470))</f>
        <v/>
      </c>
      <c r="W2470" s="48">
        <f>IF(OR($M2470="",$T2470=""),"",$T2470+(W$2*$M2470))</f>
        <v/>
      </c>
      <c r="X2470" s="49">
        <f>IF(OR($M2470="",$T2470=""),"",$T2470+(X$2*$M2470))</f>
        <v/>
      </c>
      <c r="Y2470" s="47">
        <f>IF(OR($M2470="",$T2470=""),"",$T2470+(Y$2*$M2470))</f>
        <v/>
      </c>
      <c r="Z2470" s="49">
        <f>IF(OR($M2470="",$T2470=""),"",$T2470+(Z$2*$M2470))</f>
        <v/>
      </c>
      <c r="AA2470" s="51">
        <f>IF(OR($M2470="",$T2470=""),"",$T2470+(AA$2*$M2470))</f>
        <v/>
      </c>
      <c r="AB2470" s="48">
        <f>IF(OR($M2470="",$T2470=""),"",$T2470+(AB$2*$M2470))</f>
        <v/>
      </c>
      <c r="AC2470" s="48">
        <f>IF(OR($M2470="",$T2470=""),"",$T2470+(AC$2*$M2470))</f>
        <v/>
      </c>
      <c r="AD2470" s="48">
        <f>IF(OR($M2470="",$T2470=""),"",$T2470+(AD$2*$M2470))</f>
        <v/>
      </c>
      <c r="AE2470" s="49">
        <f>IF(OR($M2470="",$T2470=""),"",$T2470+(AE$2*$M2470))</f>
        <v/>
      </c>
      <c r="AF2470" s="52">
        <f>IF(OR(T2470="",I2470&lt;T2470),"",IFERROR(AVERAGE(T2470+M2470*{7,8,9,10,11})/IF(G2470="",I2470,G2470)-1,""))</f>
        <v/>
      </c>
      <c r="AG2470" s="55">
        <f>IF(OR(T2470="",I2470&lt;T2470),"",IFERROR(AF2470/-(R2470/IF(G2470="",I2470,G2470)-1),""))</f>
        <v/>
      </c>
      <c r="AH2470" s="94" t="n"/>
      <c r="AI2470" s="94" t="n"/>
      <c r="AJ2470" s="94" t="n"/>
      <c r="AK2470" s="94" t="n"/>
      <c r="AL2470" s="84" t="n"/>
    </row>
    <row r="2471">
      <c r="A2471" s="64" t="n"/>
      <c r="B2471" s="65" t="n"/>
      <c r="C2471" s="66" t="n"/>
      <c r="D2471" s="67" t="n"/>
      <c r="E2471" s="68" t="n"/>
      <c r="F2471" s="47">
        <f>IF(A2471="","",IF(MIN(H2471,MAX(J2471:K2471))=0,"",MIN(H2471,MAX(J2471:K2471))))</f>
        <v/>
      </c>
      <c r="G2471" s="74" t="n"/>
      <c r="H2471" s="49">
        <f>IF(M2471="","",IFERROR(ROUND(AVERAGE(T2471+M2471*{7,8,9,10,11})/1.21,4),""))</f>
        <v/>
      </c>
      <c r="I2471" s="76" t="n"/>
      <c r="J2471" s="77" t="n"/>
      <c r="K2471" s="74" t="n"/>
      <c r="L2471" s="78" t="n"/>
      <c r="M2471" s="77" t="n"/>
      <c r="N2471" s="53">
        <f>IF(M2471="","",IFERROR(M2471/I2471,""))</f>
        <v/>
      </c>
      <c r="O2471" s="50">
        <f>IF(A2471="","",IFERROR((IF(G2471="",I2471,G2471)-T2471)/M2471,""))</f>
        <v/>
      </c>
      <c r="P2471" s="50">
        <f>IFERROR((I2471/T2471-1)/N2471,"")</f>
        <v/>
      </c>
      <c r="Q2471" s="46">
        <f>IF(OR(T2471="",I2471&lt;T2471),"",IFERROR(R2471/IF(G2471="",I2471,G2471)-1,""))</f>
        <v/>
      </c>
      <c r="R2471" s="48">
        <f>IF($M2471="","",MAX(IF($G2471="",$I2471,$G2471)*(1/1.1),IF($G2471="",$I2471,$G2471)+(R$2*$M2471)))</f>
        <v/>
      </c>
      <c r="S2471" s="49">
        <f>IF($M2471="","",MAX(IF($G2471="",$I2471,$G2471)*(1/1.1),IF($G2471="",$I2471,$G2471)+(S$2*$M2471)))</f>
        <v/>
      </c>
      <c r="T2471" s="82" t="n"/>
      <c r="U2471" s="47">
        <f>IF(OR($M2471="",$T2471=""),"",$T2471+(U$2*$M2471))</f>
        <v/>
      </c>
      <c r="V2471" s="48">
        <f>IF(OR($M2471="",$T2471=""),"",$T2471+(V$2*$M2471))</f>
        <v/>
      </c>
      <c r="W2471" s="48">
        <f>IF(OR($M2471="",$T2471=""),"",$T2471+(W$2*$M2471))</f>
        <v/>
      </c>
      <c r="X2471" s="49">
        <f>IF(OR($M2471="",$T2471=""),"",$T2471+(X$2*$M2471))</f>
        <v/>
      </c>
      <c r="Y2471" s="47">
        <f>IF(OR($M2471="",$T2471=""),"",$T2471+(Y$2*$M2471))</f>
        <v/>
      </c>
      <c r="Z2471" s="49">
        <f>IF(OR($M2471="",$T2471=""),"",$T2471+(Z$2*$M2471))</f>
        <v/>
      </c>
      <c r="AA2471" s="51">
        <f>IF(OR($M2471="",$T2471=""),"",$T2471+(AA$2*$M2471))</f>
        <v/>
      </c>
      <c r="AB2471" s="48">
        <f>IF(OR($M2471="",$T2471=""),"",$T2471+(AB$2*$M2471))</f>
        <v/>
      </c>
      <c r="AC2471" s="48">
        <f>IF(OR($M2471="",$T2471=""),"",$T2471+(AC$2*$M2471))</f>
        <v/>
      </c>
      <c r="AD2471" s="48">
        <f>IF(OR($M2471="",$T2471=""),"",$T2471+(AD$2*$M2471))</f>
        <v/>
      </c>
      <c r="AE2471" s="49">
        <f>IF(OR($M2471="",$T2471=""),"",$T2471+(AE$2*$M2471))</f>
        <v/>
      </c>
      <c r="AF2471" s="52">
        <f>IF(OR(T2471="",I2471&lt;T2471),"",IFERROR(AVERAGE(T2471+M2471*{7,8,9,10,11})/IF(G2471="",I2471,G2471)-1,""))</f>
        <v/>
      </c>
      <c r="AG2471" s="55">
        <f>IF(OR(T2471="",I2471&lt;T2471),"",IFERROR(AF2471/-(R2471/IF(G2471="",I2471,G2471)-1),""))</f>
        <v/>
      </c>
      <c r="AH2471" s="94" t="n"/>
      <c r="AI2471" s="94" t="n"/>
      <c r="AJ2471" s="94" t="n"/>
      <c r="AK2471" s="94" t="n"/>
      <c r="AL2471" s="84" t="n"/>
    </row>
    <row r="2472">
      <c r="A2472" s="64" t="n"/>
      <c r="B2472" s="65" t="n"/>
      <c r="C2472" s="66" t="n"/>
      <c r="D2472" s="67" t="n"/>
      <c r="E2472" s="68" t="n"/>
      <c r="F2472" s="47">
        <f>IF(A2472="","",IF(MIN(H2472,MAX(J2472:K2472))=0,"",MIN(H2472,MAX(J2472:K2472))))</f>
        <v/>
      </c>
      <c r="G2472" s="74" t="n"/>
      <c r="H2472" s="49">
        <f>IF(M2472="","",IFERROR(ROUND(AVERAGE(T2472+M2472*{7,8,9,10,11})/1.21,4),""))</f>
        <v/>
      </c>
      <c r="I2472" s="76" t="n"/>
      <c r="J2472" s="77" t="n"/>
      <c r="K2472" s="74" t="n"/>
      <c r="L2472" s="78" t="n"/>
      <c r="M2472" s="77" t="n"/>
      <c r="N2472" s="53">
        <f>IF(M2472="","",IFERROR(M2472/I2472,""))</f>
        <v/>
      </c>
      <c r="O2472" s="50">
        <f>IF(A2472="","",IFERROR((IF(G2472="",I2472,G2472)-T2472)/M2472,""))</f>
        <v/>
      </c>
      <c r="P2472" s="50">
        <f>IFERROR((I2472/T2472-1)/N2472,"")</f>
        <v/>
      </c>
      <c r="Q2472" s="46">
        <f>IF(OR(T2472="",I2472&lt;T2472),"",IFERROR(R2472/IF(G2472="",I2472,G2472)-1,""))</f>
        <v/>
      </c>
      <c r="R2472" s="48">
        <f>IF($M2472="","",MAX(IF($G2472="",$I2472,$G2472)*(1/1.1),IF($G2472="",$I2472,$G2472)+(R$2*$M2472)))</f>
        <v/>
      </c>
      <c r="S2472" s="49">
        <f>IF($M2472="","",MAX(IF($G2472="",$I2472,$G2472)*(1/1.1),IF($G2472="",$I2472,$G2472)+(S$2*$M2472)))</f>
        <v/>
      </c>
      <c r="T2472" s="82" t="n"/>
      <c r="U2472" s="47">
        <f>IF(OR($M2472="",$T2472=""),"",$T2472+(U$2*$M2472))</f>
        <v/>
      </c>
      <c r="V2472" s="48">
        <f>IF(OR($M2472="",$T2472=""),"",$T2472+(V$2*$M2472))</f>
        <v/>
      </c>
      <c r="W2472" s="48">
        <f>IF(OR($M2472="",$T2472=""),"",$T2472+(W$2*$M2472))</f>
        <v/>
      </c>
      <c r="X2472" s="49">
        <f>IF(OR($M2472="",$T2472=""),"",$T2472+(X$2*$M2472))</f>
        <v/>
      </c>
      <c r="Y2472" s="47">
        <f>IF(OR($M2472="",$T2472=""),"",$T2472+(Y$2*$M2472))</f>
        <v/>
      </c>
      <c r="Z2472" s="49">
        <f>IF(OR($M2472="",$T2472=""),"",$T2472+(Z$2*$M2472))</f>
        <v/>
      </c>
      <c r="AA2472" s="51">
        <f>IF(OR($M2472="",$T2472=""),"",$T2472+(AA$2*$M2472))</f>
        <v/>
      </c>
      <c r="AB2472" s="48">
        <f>IF(OR($M2472="",$T2472=""),"",$T2472+(AB$2*$M2472))</f>
        <v/>
      </c>
      <c r="AC2472" s="48">
        <f>IF(OR($M2472="",$T2472=""),"",$T2472+(AC$2*$M2472))</f>
        <v/>
      </c>
      <c r="AD2472" s="48">
        <f>IF(OR($M2472="",$T2472=""),"",$T2472+(AD$2*$M2472))</f>
        <v/>
      </c>
      <c r="AE2472" s="49">
        <f>IF(OR($M2472="",$T2472=""),"",$T2472+(AE$2*$M2472))</f>
        <v/>
      </c>
      <c r="AF2472" s="52">
        <f>IF(OR(T2472="",I2472&lt;T2472),"",IFERROR(AVERAGE(T2472+M2472*{7,8,9,10,11})/IF(G2472="",I2472,G2472)-1,""))</f>
        <v/>
      </c>
      <c r="AG2472" s="55">
        <f>IF(OR(T2472="",I2472&lt;T2472),"",IFERROR(AF2472/-(R2472/IF(G2472="",I2472,G2472)-1),""))</f>
        <v/>
      </c>
      <c r="AH2472" s="94" t="n"/>
      <c r="AI2472" s="94" t="n"/>
      <c r="AJ2472" s="94" t="n"/>
      <c r="AK2472" s="94" t="n"/>
      <c r="AL2472" s="84" t="n"/>
    </row>
    <row r="2473">
      <c r="A2473" s="64" t="n"/>
      <c r="B2473" s="65" t="n"/>
      <c r="C2473" s="66" t="n"/>
      <c r="D2473" s="67" t="n"/>
      <c r="E2473" s="68" t="n"/>
      <c r="F2473" s="47">
        <f>IF(A2473="","",IF(MIN(H2473,MAX(J2473:K2473))=0,"",MIN(H2473,MAX(J2473:K2473))))</f>
        <v/>
      </c>
      <c r="G2473" s="74" t="n"/>
      <c r="H2473" s="49">
        <f>IF(M2473="","",IFERROR(ROUND(AVERAGE(T2473+M2473*{7,8,9,10,11})/1.21,4),""))</f>
        <v/>
      </c>
      <c r="I2473" s="76" t="n"/>
      <c r="J2473" s="77" t="n"/>
      <c r="K2473" s="74" t="n"/>
      <c r="L2473" s="78" t="n"/>
      <c r="M2473" s="77" t="n"/>
      <c r="N2473" s="53">
        <f>IF(M2473="","",IFERROR(M2473/I2473,""))</f>
        <v/>
      </c>
      <c r="O2473" s="50">
        <f>IF(A2473="","",IFERROR((IF(G2473="",I2473,G2473)-T2473)/M2473,""))</f>
        <v/>
      </c>
      <c r="P2473" s="50">
        <f>IFERROR((I2473/T2473-1)/N2473,"")</f>
        <v/>
      </c>
      <c r="Q2473" s="46">
        <f>IF(OR(T2473="",I2473&lt;T2473),"",IFERROR(R2473/IF(G2473="",I2473,G2473)-1,""))</f>
        <v/>
      </c>
      <c r="R2473" s="48">
        <f>IF($M2473="","",MAX(IF($G2473="",$I2473,$G2473)*(1/1.1),IF($G2473="",$I2473,$G2473)+(R$2*$M2473)))</f>
        <v/>
      </c>
      <c r="S2473" s="49">
        <f>IF($M2473="","",MAX(IF($G2473="",$I2473,$G2473)*(1/1.1),IF($G2473="",$I2473,$G2473)+(S$2*$M2473)))</f>
        <v/>
      </c>
      <c r="T2473" s="82" t="n"/>
      <c r="U2473" s="47">
        <f>IF(OR($M2473="",$T2473=""),"",$T2473+(U$2*$M2473))</f>
        <v/>
      </c>
      <c r="V2473" s="48">
        <f>IF(OR($M2473="",$T2473=""),"",$T2473+(V$2*$M2473))</f>
        <v/>
      </c>
      <c r="W2473" s="48">
        <f>IF(OR($M2473="",$T2473=""),"",$T2473+(W$2*$M2473))</f>
        <v/>
      </c>
      <c r="X2473" s="49">
        <f>IF(OR($M2473="",$T2473=""),"",$T2473+(X$2*$M2473))</f>
        <v/>
      </c>
      <c r="Y2473" s="47">
        <f>IF(OR($M2473="",$T2473=""),"",$T2473+(Y$2*$M2473))</f>
        <v/>
      </c>
      <c r="Z2473" s="49">
        <f>IF(OR($M2473="",$T2473=""),"",$T2473+(Z$2*$M2473))</f>
        <v/>
      </c>
      <c r="AA2473" s="51">
        <f>IF(OR($M2473="",$T2473=""),"",$T2473+(AA$2*$M2473))</f>
        <v/>
      </c>
      <c r="AB2473" s="48">
        <f>IF(OR($M2473="",$T2473=""),"",$T2473+(AB$2*$M2473))</f>
        <v/>
      </c>
      <c r="AC2473" s="48">
        <f>IF(OR($M2473="",$T2473=""),"",$T2473+(AC$2*$M2473))</f>
        <v/>
      </c>
      <c r="AD2473" s="48">
        <f>IF(OR($M2473="",$T2473=""),"",$T2473+(AD$2*$M2473))</f>
        <v/>
      </c>
      <c r="AE2473" s="49">
        <f>IF(OR($M2473="",$T2473=""),"",$T2473+(AE$2*$M2473))</f>
        <v/>
      </c>
      <c r="AF2473" s="52">
        <f>IF(OR(T2473="",I2473&lt;T2473),"",IFERROR(AVERAGE(T2473+M2473*{7,8,9,10,11})/IF(G2473="",I2473,G2473)-1,""))</f>
        <v/>
      </c>
      <c r="AG2473" s="55">
        <f>IF(OR(T2473="",I2473&lt;T2473),"",IFERROR(AF2473/-(R2473/IF(G2473="",I2473,G2473)-1),""))</f>
        <v/>
      </c>
      <c r="AH2473" s="94" t="n"/>
      <c r="AI2473" s="94" t="n"/>
      <c r="AJ2473" s="94" t="n"/>
      <c r="AK2473" s="94" t="n"/>
      <c r="AL2473" s="84" t="n"/>
    </row>
    <row r="2474">
      <c r="A2474" s="64" t="n"/>
      <c r="B2474" s="65" t="n"/>
      <c r="C2474" s="66" t="n"/>
      <c r="D2474" s="67" t="n"/>
      <c r="E2474" s="68" t="n"/>
      <c r="F2474" s="47">
        <f>IF(A2474="","",IF(MIN(H2474,MAX(J2474:K2474))=0,"",MIN(H2474,MAX(J2474:K2474))))</f>
        <v/>
      </c>
      <c r="G2474" s="74" t="n"/>
      <c r="H2474" s="49">
        <f>IF(M2474="","",IFERROR(ROUND(AVERAGE(T2474+M2474*{7,8,9,10,11})/1.21,4),""))</f>
        <v/>
      </c>
      <c r="I2474" s="76" t="n"/>
      <c r="J2474" s="77" t="n"/>
      <c r="K2474" s="74" t="n"/>
      <c r="L2474" s="78" t="n"/>
      <c r="M2474" s="77" t="n"/>
      <c r="N2474" s="53">
        <f>IF(M2474="","",IFERROR(M2474/I2474,""))</f>
        <v/>
      </c>
      <c r="O2474" s="50">
        <f>IF(A2474="","",IFERROR((IF(G2474="",I2474,G2474)-T2474)/M2474,""))</f>
        <v/>
      </c>
      <c r="P2474" s="50">
        <f>IFERROR((I2474/T2474-1)/N2474,"")</f>
        <v/>
      </c>
      <c r="Q2474" s="46">
        <f>IF(OR(T2474="",I2474&lt;T2474),"",IFERROR(R2474/IF(G2474="",I2474,G2474)-1,""))</f>
        <v/>
      </c>
      <c r="R2474" s="48">
        <f>IF($M2474="","",MAX(IF($G2474="",$I2474,$G2474)*(1/1.1),IF($G2474="",$I2474,$G2474)+(R$2*$M2474)))</f>
        <v/>
      </c>
      <c r="S2474" s="49">
        <f>IF($M2474="","",MAX(IF($G2474="",$I2474,$G2474)*(1/1.1),IF($G2474="",$I2474,$G2474)+(S$2*$M2474)))</f>
        <v/>
      </c>
      <c r="T2474" s="82" t="n"/>
      <c r="U2474" s="47">
        <f>IF(OR($M2474="",$T2474=""),"",$T2474+(U$2*$M2474))</f>
        <v/>
      </c>
      <c r="V2474" s="48">
        <f>IF(OR($M2474="",$T2474=""),"",$T2474+(V$2*$M2474))</f>
        <v/>
      </c>
      <c r="W2474" s="48">
        <f>IF(OR($M2474="",$T2474=""),"",$T2474+(W$2*$M2474))</f>
        <v/>
      </c>
      <c r="X2474" s="49">
        <f>IF(OR($M2474="",$T2474=""),"",$T2474+(X$2*$M2474))</f>
        <v/>
      </c>
      <c r="Y2474" s="47">
        <f>IF(OR($M2474="",$T2474=""),"",$T2474+(Y$2*$M2474))</f>
        <v/>
      </c>
      <c r="Z2474" s="49">
        <f>IF(OR($M2474="",$T2474=""),"",$T2474+(Z$2*$M2474))</f>
        <v/>
      </c>
      <c r="AA2474" s="51">
        <f>IF(OR($M2474="",$T2474=""),"",$T2474+(AA$2*$M2474))</f>
        <v/>
      </c>
      <c r="AB2474" s="48">
        <f>IF(OR($M2474="",$T2474=""),"",$T2474+(AB$2*$M2474))</f>
        <v/>
      </c>
      <c r="AC2474" s="48">
        <f>IF(OR($M2474="",$T2474=""),"",$T2474+(AC$2*$M2474))</f>
        <v/>
      </c>
      <c r="AD2474" s="48">
        <f>IF(OR($M2474="",$T2474=""),"",$T2474+(AD$2*$M2474))</f>
        <v/>
      </c>
      <c r="AE2474" s="49">
        <f>IF(OR($M2474="",$T2474=""),"",$T2474+(AE$2*$M2474))</f>
        <v/>
      </c>
      <c r="AF2474" s="52">
        <f>IF(OR(T2474="",I2474&lt;T2474),"",IFERROR(AVERAGE(T2474+M2474*{7,8,9,10,11})/IF(G2474="",I2474,G2474)-1,""))</f>
        <v/>
      </c>
      <c r="AG2474" s="55">
        <f>IF(OR(T2474="",I2474&lt;T2474),"",IFERROR(AF2474/-(R2474/IF(G2474="",I2474,G2474)-1),""))</f>
        <v/>
      </c>
      <c r="AH2474" s="94" t="n"/>
      <c r="AI2474" s="94" t="n"/>
      <c r="AJ2474" s="94" t="n"/>
      <c r="AK2474" s="94" t="n"/>
      <c r="AL2474" s="84" t="n"/>
    </row>
    <row r="2475">
      <c r="A2475" s="64" t="n"/>
      <c r="B2475" s="65" t="n"/>
      <c r="C2475" s="66" t="n"/>
      <c r="D2475" s="67" t="n"/>
      <c r="E2475" s="68" t="n"/>
      <c r="F2475" s="47">
        <f>IF(A2475="","",IF(MIN(H2475,MAX(J2475:K2475))=0,"",MIN(H2475,MAX(J2475:K2475))))</f>
        <v/>
      </c>
      <c r="G2475" s="74" t="n"/>
      <c r="H2475" s="49">
        <f>IF(M2475="","",IFERROR(ROUND(AVERAGE(T2475+M2475*{7,8,9,10,11})/1.21,4),""))</f>
        <v/>
      </c>
      <c r="I2475" s="76" t="n"/>
      <c r="J2475" s="77" t="n"/>
      <c r="K2475" s="74" t="n"/>
      <c r="L2475" s="78" t="n"/>
      <c r="M2475" s="77" t="n"/>
      <c r="N2475" s="53">
        <f>IF(M2475="","",IFERROR(M2475/I2475,""))</f>
        <v/>
      </c>
      <c r="O2475" s="50">
        <f>IF(A2475="","",IFERROR((IF(G2475="",I2475,G2475)-T2475)/M2475,""))</f>
        <v/>
      </c>
      <c r="P2475" s="50">
        <f>IFERROR((I2475/T2475-1)/N2475,"")</f>
        <v/>
      </c>
      <c r="Q2475" s="46">
        <f>IF(OR(T2475="",I2475&lt;T2475),"",IFERROR(R2475/IF(G2475="",I2475,G2475)-1,""))</f>
        <v/>
      </c>
      <c r="R2475" s="48">
        <f>IF($M2475="","",MAX(IF($G2475="",$I2475,$G2475)*(1/1.1),IF($G2475="",$I2475,$G2475)+(R$2*$M2475)))</f>
        <v/>
      </c>
      <c r="S2475" s="49">
        <f>IF($M2475="","",MAX(IF($G2475="",$I2475,$G2475)*(1/1.1),IF($G2475="",$I2475,$G2475)+(S$2*$M2475)))</f>
        <v/>
      </c>
      <c r="T2475" s="82" t="n"/>
      <c r="U2475" s="47">
        <f>IF(OR($M2475="",$T2475=""),"",$T2475+(U$2*$M2475))</f>
        <v/>
      </c>
      <c r="V2475" s="48">
        <f>IF(OR($M2475="",$T2475=""),"",$T2475+(V$2*$M2475))</f>
        <v/>
      </c>
      <c r="W2475" s="48">
        <f>IF(OR($M2475="",$T2475=""),"",$T2475+(W$2*$M2475))</f>
        <v/>
      </c>
      <c r="X2475" s="49">
        <f>IF(OR($M2475="",$T2475=""),"",$T2475+(X$2*$M2475))</f>
        <v/>
      </c>
      <c r="Y2475" s="47">
        <f>IF(OR($M2475="",$T2475=""),"",$T2475+(Y$2*$M2475))</f>
        <v/>
      </c>
      <c r="Z2475" s="49">
        <f>IF(OR($M2475="",$T2475=""),"",$T2475+(Z$2*$M2475))</f>
        <v/>
      </c>
      <c r="AA2475" s="51">
        <f>IF(OR($M2475="",$T2475=""),"",$T2475+(AA$2*$M2475))</f>
        <v/>
      </c>
      <c r="AB2475" s="48">
        <f>IF(OR($M2475="",$T2475=""),"",$T2475+(AB$2*$M2475))</f>
        <v/>
      </c>
      <c r="AC2475" s="48">
        <f>IF(OR($M2475="",$T2475=""),"",$T2475+(AC$2*$M2475))</f>
        <v/>
      </c>
      <c r="AD2475" s="48">
        <f>IF(OR($M2475="",$T2475=""),"",$T2475+(AD$2*$M2475))</f>
        <v/>
      </c>
      <c r="AE2475" s="49">
        <f>IF(OR($M2475="",$T2475=""),"",$T2475+(AE$2*$M2475))</f>
        <v/>
      </c>
      <c r="AF2475" s="52">
        <f>IF(OR(T2475="",I2475&lt;T2475),"",IFERROR(AVERAGE(T2475+M2475*{7,8,9,10,11})/IF(G2475="",I2475,G2475)-1,""))</f>
        <v/>
      </c>
      <c r="AG2475" s="55">
        <f>IF(OR(T2475="",I2475&lt;T2475),"",IFERROR(AF2475/-(R2475/IF(G2475="",I2475,G2475)-1),""))</f>
        <v/>
      </c>
      <c r="AH2475" s="94" t="n"/>
      <c r="AI2475" s="94" t="n"/>
      <c r="AJ2475" s="94" t="n"/>
      <c r="AK2475" s="94" t="n"/>
      <c r="AL2475" s="84" t="n"/>
    </row>
    <row r="2476">
      <c r="A2476" s="64" t="n"/>
      <c r="B2476" s="65" t="n"/>
      <c r="C2476" s="66" t="n"/>
      <c r="D2476" s="67" t="n"/>
      <c r="E2476" s="68" t="n"/>
      <c r="F2476" s="47">
        <f>IF(A2476="","",IF(MIN(H2476,MAX(J2476:K2476))=0,"",MIN(H2476,MAX(J2476:K2476))))</f>
        <v/>
      </c>
      <c r="G2476" s="74" t="n"/>
      <c r="H2476" s="49">
        <f>IF(M2476="","",IFERROR(ROUND(AVERAGE(T2476+M2476*{7,8,9,10,11})/1.21,4),""))</f>
        <v/>
      </c>
      <c r="I2476" s="76" t="n"/>
      <c r="J2476" s="77" t="n"/>
      <c r="K2476" s="74" t="n"/>
      <c r="L2476" s="78" t="n"/>
      <c r="M2476" s="77" t="n"/>
      <c r="N2476" s="53">
        <f>IF(M2476="","",IFERROR(M2476/I2476,""))</f>
        <v/>
      </c>
      <c r="O2476" s="50">
        <f>IF(A2476="","",IFERROR((IF(G2476="",I2476,G2476)-T2476)/M2476,""))</f>
        <v/>
      </c>
      <c r="P2476" s="50">
        <f>IFERROR((I2476/T2476-1)/N2476,"")</f>
        <v/>
      </c>
      <c r="Q2476" s="46">
        <f>IF(OR(T2476="",I2476&lt;T2476),"",IFERROR(R2476/IF(G2476="",I2476,G2476)-1,""))</f>
        <v/>
      </c>
      <c r="R2476" s="48">
        <f>IF($M2476="","",MAX(IF($G2476="",$I2476,$G2476)*(1/1.1),IF($G2476="",$I2476,$G2476)+(R$2*$M2476)))</f>
        <v/>
      </c>
      <c r="S2476" s="49">
        <f>IF($M2476="","",MAX(IF($G2476="",$I2476,$G2476)*(1/1.1),IF($G2476="",$I2476,$G2476)+(S$2*$M2476)))</f>
        <v/>
      </c>
      <c r="T2476" s="82" t="n"/>
      <c r="U2476" s="47">
        <f>IF(OR($M2476="",$T2476=""),"",$T2476+(U$2*$M2476))</f>
        <v/>
      </c>
      <c r="V2476" s="48">
        <f>IF(OR($M2476="",$T2476=""),"",$T2476+(V$2*$M2476))</f>
        <v/>
      </c>
      <c r="W2476" s="48">
        <f>IF(OR($M2476="",$T2476=""),"",$T2476+(W$2*$M2476))</f>
        <v/>
      </c>
      <c r="X2476" s="49">
        <f>IF(OR($M2476="",$T2476=""),"",$T2476+(X$2*$M2476))</f>
        <v/>
      </c>
      <c r="Y2476" s="47">
        <f>IF(OR($M2476="",$T2476=""),"",$T2476+(Y$2*$M2476))</f>
        <v/>
      </c>
      <c r="Z2476" s="49">
        <f>IF(OR($M2476="",$T2476=""),"",$T2476+(Z$2*$M2476))</f>
        <v/>
      </c>
      <c r="AA2476" s="51">
        <f>IF(OR($M2476="",$T2476=""),"",$T2476+(AA$2*$M2476))</f>
        <v/>
      </c>
      <c r="AB2476" s="48">
        <f>IF(OR($M2476="",$T2476=""),"",$T2476+(AB$2*$M2476))</f>
        <v/>
      </c>
      <c r="AC2476" s="48">
        <f>IF(OR($M2476="",$T2476=""),"",$T2476+(AC$2*$M2476))</f>
        <v/>
      </c>
      <c r="AD2476" s="48">
        <f>IF(OR($M2476="",$T2476=""),"",$T2476+(AD$2*$M2476))</f>
        <v/>
      </c>
      <c r="AE2476" s="49">
        <f>IF(OR($M2476="",$T2476=""),"",$T2476+(AE$2*$M2476))</f>
        <v/>
      </c>
      <c r="AF2476" s="52">
        <f>IF(OR(T2476="",I2476&lt;T2476),"",IFERROR(AVERAGE(T2476+M2476*{7,8,9,10,11})/IF(G2476="",I2476,G2476)-1,""))</f>
        <v/>
      </c>
      <c r="AG2476" s="55">
        <f>IF(OR(T2476="",I2476&lt;T2476),"",IFERROR(AF2476/-(R2476/IF(G2476="",I2476,G2476)-1),""))</f>
        <v/>
      </c>
      <c r="AH2476" s="94" t="n"/>
      <c r="AI2476" s="94" t="n"/>
      <c r="AJ2476" s="94" t="n"/>
      <c r="AK2476" s="94" t="n"/>
      <c r="AL2476" s="84" t="n"/>
    </row>
    <row r="2477">
      <c r="A2477" s="64" t="n"/>
      <c r="B2477" s="65" t="n"/>
      <c r="C2477" s="66" t="n"/>
      <c r="D2477" s="67" t="n"/>
      <c r="E2477" s="68" t="n"/>
      <c r="F2477" s="47">
        <f>IF(A2477="","",IF(MIN(H2477,MAX(J2477:K2477))=0,"",MIN(H2477,MAX(J2477:K2477))))</f>
        <v/>
      </c>
      <c r="G2477" s="74" t="n"/>
      <c r="H2477" s="49">
        <f>IF(M2477="","",IFERROR(ROUND(AVERAGE(T2477+M2477*{7,8,9,10,11})/1.21,4),""))</f>
        <v/>
      </c>
      <c r="I2477" s="76" t="n"/>
      <c r="J2477" s="77" t="n"/>
      <c r="K2477" s="74" t="n"/>
      <c r="L2477" s="78" t="n"/>
      <c r="M2477" s="77" t="n"/>
      <c r="N2477" s="53">
        <f>IF(M2477="","",IFERROR(M2477/I2477,""))</f>
        <v/>
      </c>
      <c r="O2477" s="50">
        <f>IF(A2477="","",IFERROR((IF(G2477="",I2477,G2477)-T2477)/M2477,""))</f>
        <v/>
      </c>
      <c r="P2477" s="50">
        <f>IFERROR((I2477/T2477-1)/N2477,"")</f>
        <v/>
      </c>
      <c r="Q2477" s="46">
        <f>IF(OR(T2477="",I2477&lt;T2477),"",IFERROR(R2477/IF(G2477="",I2477,G2477)-1,""))</f>
        <v/>
      </c>
      <c r="R2477" s="48">
        <f>IF($M2477="","",MAX(IF($G2477="",$I2477,$G2477)*(1/1.1),IF($G2477="",$I2477,$G2477)+(R$2*$M2477)))</f>
        <v/>
      </c>
      <c r="S2477" s="49">
        <f>IF($M2477="","",MAX(IF($G2477="",$I2477,$G2477)*(1/1.1),IF($G2477="",$I2477,$G2477)+(S$2*$M2477)))</f>
        <v/>
      </c>
      <c r="T2477" s="82" t="n"/>
      <c r="U2477" s="47">
        <f>IF(OR($M2477="",$T2477=""),"",$T2477+(U$2*$M2477))</f>
        <v/>
      </c>
      <c r="V2477" s="48">
        <f>IF(OR($M2477="",$T2477=""),"",$T2477+(V$2*$M2477))</f>
        <v/>
      </c>
      <c r="W2477" s="48">
        <f>IF(OR($M2477="",$T2477=""),"",$T2477+(W$2*$M2477))</f>
        <v/>
      </c>
      <c r="X2477" s="49">
        <f>IF(OR($M2477="",$T2477=""),"",$T2477+(X$2*$M2477))</f>
        <v/>
      </c>
      <c r="Y2477" s="47">
        <f>IF(OR($M2477="",$T2477=""),"",$T2477+(Y$2*$M2477))</f>
        <v/>
      </c>
      <c r="Z2477" s="49">
        <f>IF(OR($M2477="",$T2477=""),"",$T2477+(Z$2*$M2477))</f>
        <v/>
      </c>
      <c r="AA2477" s="51">
        <f>IF(OR($M2477="",$T2477=""),"",$T2477+(AA$2*$M2477))</f>
        <v/>
      </c>
      <c r="AB2477" s="48">
        <f>IF(OR($M2477="",$T2477=""),"",$T2477+(AB$2*$M2477))</f>
        <v/>
      </c>
      <c r="AC2477" s="48">
        <f>IF(OR($M2477="",$T2477=""),"",$T2477+(AC$2*$M2477))</f>
        <v/>
      </c>
      <c r="AD2477" s="48">
        <f>IF(OR($M2477="",$T2477=""),"",$T2477+(AD$2*$M2477))</f>
        <v/>
      </c>
      <c r="AE2477" s="49">
        <f>IF(OR($M2477="",$T2477=""),"",$T2477+(AE$2*$M2477))</f>
        <v/>
      </c>
      <c r="AF2477" s="52">
        <f>IF(OR(T2477="",I2477&lt;T2477),"",IFERROR(AVERAGE(T2477+M2477*{7,8,9,10,11})/IF(G2477="",I2477,G2477)-1,""))</f>
        <v/>
      </c>
      <c r="AG2477" s="55">
        <f>IF(OR(T2477="",I2477&lt;T2477),"",IFERROR(AF2477/-(R2477/IF(G2477="",I2477,G2477)-1),""))</f>
        <v/>
      </c>
      <c r="AH2477" s="94" t="n"/>
      <c r="AI2477" s="94" t="n"/>
      <c r="AJ2477" s="94" t="n"/>
      <c r="AK2477" s="94" t="n"/>
      <c r="AL2477" s="84" t="n"/>
    </row>
    <row r="2478">
      <c r="A2478" s="64" t="n"/>
      <c r="B2478" s="65" t="n"/>
      <c r="C2478" s="66" t="n"/>
      <c r="D2478" s="67" t="n"/>
      <c r="E2478" s="68" t="n"/>
      <c r="F2478" s="47">
        <f>IF(A2478="","",IF(MIN(H2478,MAX(J2478:K2478))=0,"",MIN(H2478,MAX(J2478:K2478))))</f>
        <v/>
      </c>
      <c r="G2478" s="74" t="n"/>
      <c r="H2478" s="49">
        <f>IF(M2478="","",IFERROR(ROUND(AVERAGE(T2478+M2478*{7,8,9,10,11})/1.21,4),""))</f>
        <v/>
      </c>
      <c r="I2478" s="76" t="n"/>
      <c r="J2478" s="77" t="n"/>
      <c r="K2478" s="74" t="n"/>
      <c r="L2478" s="78" t="n"/>
      <c r="M2478" s="77" t="n"/>
      <c r="N2478" s="53">
        <f>IF(M2478="","",IFERROR(M2478/I2478,""))</f>
        <v/>
      </c>
      <c r="O2478" s="50">
        <f>IF(A2478="","",IFERROR((IF(G2478="",I2478,G2478)-T2478)/M2478,""))</f>
        <v/>
      </c>
      <c r="P2478" s="50">
        <f>IFERROR((I2478/T2478-1)/N2478,"")</f>
        <v/>
      </c>
      <c r="Q2478" s="46">
        <f>IF(OR(T2478="",I2478&lt;T2478),"",IFERROR(R2478/IF(G2478="",I2478,G2478)-1,""))</f>
        <v/>
      </c>
      <c r="R2478" s="48">
        <f>IF($M2478="","",MAX(IF($G2478="",$I2478,$G2478)*(1/1.1),IF($G2478="",$I2478,$G2478)+(R$2*$M2478)))</f>
        <v/>
      </c>
      <c r="S2478" s="49">
        <f>IF($M2478="","",MAX(IF($G2478="",$I2478,$G2478)*(1/1.1),IF($G2478="",$I2478,$G2478)+(S$2*$M2478)))</f>
        <v/>
      </c>
      <c r="T2478" s="82" t="n"/>
      <c r="U2478" s="47">
        <f>IF(OR($M2478="",$T2478=""),"",$T2478+(U$2*$M2478))</f>
        <v/>
      </c>
      <c r="V2478" s="48">
        <f>IF(OR($M2478="",$T2478=""),"",$T2478+(V$2*$M2478))</f>
        <v/>
      </c>
      <c r="W2478" s="48">
        <f>IF(OR($M2478="",$T2478=""),"",$T2478+(W$2*$M2478))</f>
        <v/>
      </c>
      <c r="X2478" s="49">
        <f>IF(OR($M2478="",$T2478=""),"",$T2478+(X$2*$M2478))</f>
        <v/>
      </c>
      <c r="Y2478" s="47">
        <f>IF(OR($M2478="",$T2478=""),"",$T2478+(Y$2*$M2478))</f>
        <v/>
      </c>
      <c r="Z2478" s="49">
        <f>IF(OR($M2478="",$T2478=""),"",$T2478+(Z$2*$M2478))</f>
        <v/>
      </c>
      <c r="AA2478" s="51">
        <f>IF(OR($M2478="",$T2478=""),"",$T2478+(AA$2*$M2478))</f>
        <v/>
      </c>
      <c r="AB2478" s="48">
        <f>IF(OR($M2478="",$T2478=""),"",$T2478+(AB$2*$M2478))</f>
        <v/>
      </c>
      <c r="AC2478" s="48">
        <f>IF(OR($M2478="",$T2478=""),"",$T2478+(AC$2*$M2478))</f>
        <v/>
      </c>
      <c r="AD2478" s="48">
        <f>IF(OR($M2478="",$T2478=""),"",$T2478+(AD$2*$M2478))</f>
        <v/>
      </c>
      <c r="AE2478" s="49">
        <f>IF(OR($M2478="",$T2478=""),"",$T2478+(AE$2*$M2478))</f>
        <v/>
      </c>
      <c r="AF2478" s="52">
        <f>IF(OR(T2478="",I2478&lt;T2478),"",IFERROR(AVERAGE(T2478+M2478*{7,8,9,10,11})/IF(G2478="",I2478,G2478)-1,""))</f>
        <v/>
      </c>
      <c r="AG2478" s="55">
        <f>IF(OR(T2478="",I2478&lt;T2478),"",IFERROR(AF2478/-(R2478/IF(G2478="",I2478,G2478)-1),""))</f>
        <v/>
      </c>
      <c r="AH2478" s="94" t="n"/>
      <c r="AI2478" s="94" t="n"/>
      <c r="AJ2478" s="94" t="n"/>
      <c r="AK2478" s="94" t="n"/>
      <c r="AL2478" s="84" t="n"/>
    </row>
    <row r="2479">
      <c r="A2479" s="64" t="n"/>
      <c r="B2479" s="65" t="n"/>
      <c r="C2479" s="66" t="n"/>
      <c r="D2479" s="67" t="n"/>
      <c r="E2479" s="68" t="n"/>
      <c r="F2479" s="47">
        <f>IF(A2479="","",IF(MIN(H2479,MAX(J2479:K2479))=0,"",MIN(H2479,MAX(J2479:K2479))))</f>
        <v/>
      </c>
      <c r="G2479" s="74" t="n"/>
      <c r="H2479" s="49">
        <f>IF(M2479="","",IFERROR(ROUND(AVERAGE(T2479+M2479*{7,8,9,10,11})/1.21,4),""))</f>
        <v/>
      </c>
      <c r="I2479" s="76" t="n"/>
      <c r="J2479" s="77" t="n"/>
      <c r="K2479" s="74" t="n"/>
      <c r="L2479" s="78" t="n"/>
      <c r="M2479" s="77" t="n"/>
      <c r="N2479" s="53">
        <f>IF(M2479="","",IFERROR(M2479/I2479,""))</f>
        <v/>
      </c>
      <c r="O2479" s="50">
        <f>IF(A2479="","",IFERROR((IF(G2479="",I2479,G2479)-T2479)/M2479,""))</f>
        <v/>
      </c>
      <c r="P2479" s="50">
        <f>IFERROR((I2479/T2479-1)/N2479,"")</f>
        <v/>
      </c>
      <c r="Q2479" s="46">
        <f>IF(OR(T2479="",I2479&lt;T2479),"",IFERROR(R2479/IF(G2479="",I2479,G2479)-1,""))</f>
        <v/>
      </c>
      <c r="R2479" s="48">
        <f>IF($M2479="","",MAX(IF($G2479="",$I2479,$G2479)*(1/1.1),IF($G2479="",$I2479,$G2479)+(R$2*$M2479)))</f>
        <v/>
      </c>
      <c r="S2479" s="49">
        <f>IF($M2479="","",MAX(IF($G2479="",$I2479,$G2479)*(1/1.1),IF($G2479="",$I2479,$G2479)+(S$2*$M2479)))</f>
        <v/>
      </c>
      <c r="T2479" s="82" t="n"/>
      <c r="U2479" s="47">
        <f>IF(OR($M2479="",$T2479=""),"",$T2479+(U$2*$M2479))</f>
        <v/>
      </c>
      <c r="V2479" s="48">
        <f>IF(OR($M2479="",$T2479=""),"",$T2479+(V$2*$M2479))</f>
        <v/>
      </c>
      <c r="W2479" s="48">
        <f>IF(OR($M2479="",$T2479=""),"",$T2479+(W$2*$M2479))</f>
        <v/>
      </c>
      <c r="X2479" s="49">
        <f>IF(OR($M2479="",$T2479=""),"",$T2479+(X$2*$M2479))</f>
        <v/>
      </c>
      <c r="Y2479" s="47">
        <f>IF(OR($M2479="",$T2479=""),"",$T2479+(Y$2*$M2479))</f>
        <v/>
      </c>
      <c r="Z2479" s="49">
        <f>IF(OR($M2479="",$T2479=""),"",$T2479+(Z$2*$M2479))</f>
        <v/>
      </c>
      <c r="AA2479" s="51">
        <f>IF(OR($M2479="",$T2479=""),"",$T2479+(AA$2*$M2479))</f>
        <v/>
      </c>
      <c r="AB2479" s="48">
        <f>IF(OR($M2479="",$T2479=""),"",$T2479+(AB$2*$M2479))</f>
        <v/>
      </c>
      <c r="AC2479" s="48">
        <f>IF(OR($M2479="",$T2479=""),"",$T2479+(AC$2*$M2479))</f>
        <v/>
      </c>
      <c r="AD2479" s="48">
        <f>IF(OR($M2479="",$T2479=""),"",$T2479+(AD$2*$M2479))</f>
        <v/>
      </c>
      <c r="AE2479" s="49">
        <f>IF(OR($M2479="",$T2479=""),"",$T2479+(AE$2*$M2479))</f>
        <v/>
      </c>
      <c r="AF2479" s="52">
        <f>IF(OR(T2479="",I2479&lt;T2479),"",IFERROR(AVERAGE(T2479+M2479*{7,8,9,10,11})/IF(G2479="",I2479,G2479)-1,""))</f>
        <v/>
      </c>
      <c r="AG2479" s="55">
        <f>IF(OR(T2479="",I2479&lt;T2479),"",IFERROR(AF2479/-(R2479/IF(G2479="",I2479,G2479)-1),""))</f>
        <v/>
      </c>
      <c r="AH2479" s="94" t="n"/>
      <c r="AI2479" s="94" t="n"/>
      <c r="AJ2479" s="94" t="n"/>
      <c r="AK2479" s="94" t="n"/>
      <c r="AL2479" s="84" t="n"/>
    </row>
    <row r="2480">
      <c r="A2480" s="64" t="n"/>
      <c r="B2480" s="65" t="n"/>
      <c r="C2480" s="66" t="n"/>
      <c r="D2480" s="67" t="n"/>
      <c r="E2480" s="68" t="n"/>
      <c r="F2480" s="47">
        <f>IF(A2480="","",IF(MIN(H2480,MAX(J2480:K2480))=0,"",MIN(H2480,MAX(J2480:K2480))))</f>
        <v/>
      </c>
      <c r="G2480" s="74" t="n"/>
      <c r="H2480" s="49">
        <f>IF(M2480="","",IFERROR(ROUND(AVERAGE(T2480+M2480*{7,8,9,10,11})/1.21,4),""))</f>
        <v/>
      </c>
      <c r="I2480" s="76" t="n"/>
      <c r="J2480" s="77" t="n"/>
      <c r="K2480" s="74" t="n"/>
      <c r="L2480" s="78" t="n"/>
      <c r="M2480" s="77" t="n"/>
      <c r="N2480" s="53">
        <f>IF(M2480="","",IFERROR(M2480/I2480,""))</f>
        <v/>
      </c>
      <c r="O2480" s="50">
        <f>IF(A2480="","",IFERROR((IF(G2480="",I2480,G2480)-T2480)/M2480,""))</f>
        <v/>
      </c>
      <c r="P2480" s="50">
        <f>IFERROR((I2480/T2480-1)/N2480,"")</f>
        <v/>
      </c>
      <c r="Q2480" s="46">
        <f>IF(OR(T2480="",I2480&lt;T2480),"",IFERROR(R2480/IF(G2480="",I2480,G2480)-1,""))</f>
        <v/>
      </c>
      <c r="R2480" s="48">
        <f>IF($M2480="","",MAX(IF($G2480="",$I2480,$G2480)*(1/1.1),IF($G2480="",$I2480,$G2480)+(R$2*$M2480)))</f>
        <v/>
      </c>
      <c r="S2480" s="49">
        <f>IF($M2480="","",MAX(IF($G2480="",$I2480,$G2480)*(1/1.1),IF($G2480="",$I2480,$G2480)+(S$2*$M2480)))</f>
        <v/>
      </c>
      <c r="T2480" s="82" t="n"/>
      <c r="U2480" s="47">
        <f>IF(OR($M2480="",$T2480=""),"",$T2480+(U$2*$M2480))</f>
        <v/>
      </c>
      <c r="V2480" s="48">
        <f>IF(OR($M2480="",$T2480=""),"",$T2480+(V$2*$M2480))</f>
        <v/>
      </c>
      <c r="W2480" s="48">
        <f>IF(OR($M2480="",$T2480=""),"",$T2480+(W$2*$M2480))</f>
        <v/>
      </c>
      <c r="X2480" s="49">
        <f>IF(OR($M2480="",$T2480=""),"",$T2480+(X$2*$M2480))</f>
        <v/>
      </c>
      <c r="Y2480" s="47">
        <f>IF(OR($M2480="",$T2480=""),"",$T2480+(Y$2*$M2480))</f>
        <v/>
      </c>
      <c r="Z2480" s="49">
        <f>IF(OR($M2480="",$T2480=""),"",$T2480+(Z$2*$M2480))</f>
        <v/>
      </c>
      <c r="AA2480" s="51">
        <f>IF(OR($M2480="",$T2480=""),"",$T2480+(AA$2*$M2480))</f>
        <v/>
      </c>
      <c r="AB2480" s="48">
        <f>IF(OR($M2480="",$T2480=""),"",$T2480+(AB$2*$M2480))</f>
        <v/>
      </c>
      <c r="AC2480" s="48">
        <f>IF(OR($M2480="",$T2480=""),"",$T2480+(AC$2*$M2480))</f>
        <v/>
      </c>
      <c r="AD2480" s="48">
        <f>IF(OR($M2480="",$T2480=""),"",$T2480+(AD$2*$M2480))</f>
        <v/>
      </c>
      <c r="AE2480" s="49">
        <f>IF(OR($M2480="",$T2480=""),"",$T2480+(AE$2*$M2480))</f>
        <v/>
      </c>
      <c r="AF2480" s="52">
        <f>IF(OR(T2480="",I2480&lt;T2480),"",IFERROR(AVERAGE(T2480+M2480*{7,8,9,10,11})/IF(G2480="",I2480,G2480)-1,""))</f>
        <v/>
      </c>
      <c r="AG2480" s="55">
        <f>IF(OR(T2480="",I2480&lt;T2480),"",IFERROR(AF2480/-(R2480/IF(G2480="",I2480,G2480)-1),""))</f>
        <v/>
      </c>
      <c r="AH2480" s="94" t="n"/>
      <c r="AI2480" s="94" t="n"/>
      <c r="AJ2480" s="94" t="n"/>
      <c r="AK2480" s="94" t="n"/>
      <c r="AL2480" s="84" t="n"/>
    </row>
    <row r="2481">
      <c r="A2481" s="64" t="n"/>
      <c r="B2481" s="65" t="n"/>
      <c r="C2481" s="66" t="n"/>
      <c r="D2481" s="67" t="n"/>
      <c r="E2481" s="68" t="n"/>
      <c r="F2481" s="47">
        <f>IF(A2481="","",IF(MIN(H2481,MAX(J2481:K2481))=0,"",MIN(H2481,MAX(J2481:K2481))))</f>
        <v/>
      </c>
      <c r="G2481" s="74" t="n"/>
      <c r="H2481" s="49">
        <f>IF(M2481="","",IFERROR(ROUND(AVERAGE(T2481+M2481*{7,8,9,10,11})/1.21,4),""))</f>
        <v/>
      </c>
      <c r="I2481" s="76" t="n"/>
      <c r="J2481" s="77" t="n"/>
      <c r="K2481" s="74" t="n"/>
      <c r="L2481" s="78" t="n"/>
      <c r="M2481" s="77" t="n"/>
      <c r="N2481" s="53">
        <f>IF(M2481="","",IFERROR(M2481/I2481,""))</f>
        <v/>
      </c>
      <c r="O2481" s="50">
        <f>IF(A2481="","",IFERROR((IF(G2481="",I2481,G2481)-T2481)/M2481,""))</f>
        <v/>
      </c>
      <c r="P2481" s="50">
        <f>IFERROR((I2481/T2481-1)/N2481,"")</f>
        <v/>
      </c>
      <c r="Q2481" s="46">
        <f>IF(OR(T2481="",I2481&lt;T2481),"",IFERROR(R2481/IF(G2481="",I2481,G2481)-1,""))</f>
        <v/>
      </c>
      <c r="R2481" s="48">
        <f>IF($M2481="","",MAX(IF($G2481="",$I2481,$G2481)*(1/1.1),IF($G2481="",$I2481,$G2481)+(R$2*$M2481)))</f>
        <v/>
      </c>
      <c r="S2481" s="49">
        <f>IF($M2481="","",MAX(IF($G2481="",$I2481,$G2481)*(1/1.1),IF($G2481="",$I2481,$G2481)+(S$2*$M2481)))</f>
        <v/>
      </c>
      <c r="T2481" s="82" t="n"/>
      <c r="U2481" s="47">
        <f>IF(OR($M2481="",$T2481=""),"",$T2481+(U$2*$M2481))</f>
        <v/>
      </c>
      <c r="V2481" s="48">
        <f>IF(OR($M2481="",$T2481=""),"",$T2481+(V$2*$M2481))</f>
        <v/>
      </c>
      <c r="W2481" s="48">
        <f>IF(OR($M2481="",$T2481=""),"",$T2481+(W$2*$M2481))</f>
        <v/>
      </c>
      <c r="X2481" s="49">
        <f>IF(OR($M2481="",$T2481=""),"",$T2481+(X$2*$M2481))</f>
        <v/>
      </c>
      <c r="Y2481" s="47">
        <f>IF(OR($M2481="",$T2481=""),"",$T2481+(Y$2*$M2481))</f>
        <v/>
      </c>
      <c r="Z2481" s="49">
        <f>IF(OR($M2481="",$T2481=""),"",$T2481+(Z$2*$M2481))</f>
        <v/>
      </c>
      <c r="AA2481" s="51">
        <f>IF(OR($M2481="",$T2481=""),"",$T2481+(AA$2*$M2481))</f>
        <v/>
      </c>
      <c r="AB2481" s="48">
        <f>IF(OR($M2481="",$T2481=""),"",$T2481+(AB$2*$M2481))</f>
        <v/>
      </c>
      <c r="AC2481" s="48">
        <f>IF(OR($M2481="",$T2481=""),"",$T2481+(AC$2*$M2481))</f>
        <v/>
      </c>
      <c r="AD2481" s="48">
        <f>IF(OR($M2481="",$T2481=""),"",$T2481+(AD$2*$M2481))</f>
        <v/>
      </c>
      <c r="AE2481" s="49">
        <f>IF(OR($M2481="",$T2481=""),"",$T2481+(AE$2*$M2481))</f>
        <v/>
      </c>
      <c r="AF2481" s="52">
        <f>IF(OR(T2481="",I2481&lt;T2481),"",IFERROR(AVERAGE(T2481+M2481*{7,8,9,10,11})/IF(G2481="",I2481,G2481)-1,""))</f>
        <v/>
      </c>
      <c r="AG2481" s="55">
        <f>IF(OR(T2481="",I2481&lt;T2481),"",IFERROR(AF2481/-(R2481/IF(G2481="",I2481,G2481)-1),""))</f>
        <v/>
      </c>
      <c r="AH2481" s="94" t="n"/>
      <c r="AI2481" s="94" t="n"/>
      <c r="AJ2481" s="94" t="n"/>
      <c r="AK2481" s="94" t="n"/>
      <c r="AL2481" s="84" t="n"/>
    </row>
    <row r="2482">
      <c r="A2482" s="64" t="n"/>
      <c r="B2482" s="65" t="n"/>
      <c r="C2482" s="66" t="n"/>
      <c r="D2482" s="67" t="n"/>
      <c r="E2482" s="68" t="n"/>
      <c r="F2482" s="47">
        <f>IF(A2482="","",IF(MIN(H2482,MAX(J2482:K2482))=0,"",MIN(H2482,MAX(J2482:K2482))))</f>
        <v/>
      </c>
      <c r="G2482" s="74" t="n"/>
      <c r="H2482" s="49">
        <f>IF(M2482="","",IFERROR(ROUND(AVERAGE(T2482+M2482*{7,8,9,10,11})/1.21,4),""))</f>
        <v/>
      </c>
      <c r="I2482" s="76" t="n"/>
      <c r="J2482" s="77" t="n"/>
      <c r="K2482" s="74" t="n"/>
      <c r="L2482" s="78" t="n"/>
      <c r="M2482" s="77" t="n"/>
      <c r="N2482" s="53">
        <f>IF(M2482="","",IFERROR(M2482/I2482,""))</f>
        <v/>
      </c>
      <c r="O2482" s="50">
        <f>IF(A2482="","",IFERROR((IF(G2482="",I2482,G2482)-T2482)/M2482,""))</f>
        <v/>
      </c>
      <c r="P2482" s="50">
        <f>IFERROR((I2482/T2482-1)/N2482,"")</f>
        <v/>
      </c>
      <c r="Q2482" s="46">
        <f>IF(OR(T2482="",I2482&lt;T2482),"",IFERROR(R2482/IF(G2482="",I2482,G2482)-1,""))</f>
        <v/>
      </c>
      <c r="R2482" s="48">
        <f>IF($M2482="","",MAX(IF($G2482="",$I2482,$G2482)*(1/1.1),IF($G2482="",$I2482,$G2482)+(R$2*$M2482)))</f>
        <v/>
      </c>
      <c r="S2482" s="49">
        <f>IF($M2482="","",MAX(IF($G2482="",$I2482,$G2482)*(1/1.1),IF($G2482="",$I2482,$G2482)+(S$2*$M2482)))</f>
        <v/>
      </c>
      <c r="T2482" s="82" t="n"/>
      <c r="U2482" s="47">
        <f>IF(OR($M2482="",$T2482=""),"",$T2482+(U$2*$M2482))</f>
        <v/>
      </c>
      <c r="V2482" s="48">
        <f>IF(OR($M2482="",$T2482=""),"",$T2482+(V$2*$M2482))</f>
        <v/>
      </c>
      <c r="W2482" s="48">
        <f>IF(OR($M2482="",$T2482=""),"",$T2482+(W$2*$M2482))</f>
        <v/>
      </c>
      <c r="X2482" s="49">
        <f>IF(OR($M2482="",$T2482=""),"",$T2482+(X$2*$M2482))</f>
        <v/>
      </c>
      <c r="Y2482" s="47">
        <f>IF(OR($M2482="",$T2482=""),"",$T2482+(Y$2*$M2482))</f>
        <v/>
      </c>
      <c r="Z2482" s="49">
        <f>IF(OR($M2482="",$T2482=""),"",$T2482+(Z$2*$M2482))</f>
        <v/>
      </c>
      <c r="AA2482" s="51">
        <f>IF(OR($M2482="",$T2482=""),"",$T2482+(AA$2*$M2482))</f>
        <v/>
      </c>
      <c r="AB2482" s="48">
        <f>IF(OR($M2482="",$T2482=""),"",$T2482+(AB$2*$M2482))</f>
        <v/>
      </c>
      <c r="AC2482" s="48">
        <f>IF(OR($M2482="",$T2482=""),"",$T2482+(AC$2*$M2482))</f>
        <v/>
      </c>
      <c r="AD2482" s="48">
        <f>IF(OR($M2482="",$T2482=""),"",$T2482+(AD$2*$M2482))</f>
        <v/>
      </c>
      <c r="AE2482" s="49">
        <f>IF(OR($M2482="",$T2482=""),"",$T2482+(AE$2*$M2482))</f>
        <v/>
      </c>
      <c r="AF2482" s="52">
        <f>IF(OR(T2482="",I2482&lt;T2482),"",IFERROR(AVERAGE(T2482+M2482*{7,8,9,10,11})/IF(G2482="",I2482,G2482)-1,""))</f>
        <v/>
      </c>
      <c r="AG2482" s="55">
        <f>IF(OR(T2482="",I2482&lt;T2482),"",IFERROR(AF2482/-(R2482/IF(G2482="",I2482,G2482)-1),""))</f>
        <v/>
      </c>
      <c r="AH2482" s="94" t="n"/>
      <c r="AI2482" s="94" t="n"/>
      <c r="AJ2482" s="94" t="n"/>
      <c r="AK2482" s="94" t="n"/>
      <c r="AL2482" s="84" t="n"/>
    </row>
    <row r="2483">
      <c r="A2483" s="64" t="n"/>
      <c r="B2483" s="65" t="n"/>
      <c r="C2483" s="66" t="n"/>
      <c r="D2483" s="67" t="n"/>
      <c r="E2483" s="68" t="n"/>
      <c r="F2483" s="47">
        <f>IF(A2483="","",IF(MIN(H2483,MAX(J2483:K2483))=0,"",MIN(H2483,MAX(J2483:K2483))))</f>
        <v/>
      </c>
      <c r="G2483" s="74" t="n"/>
      <c r="H2483" s="49">
        <f>IF(M2483="","",IFERROR(ROUND(AVERAGE(T2483+M2483*{7,8,9,10,11})/1.21,4),""))</f>
        <v/>
      </c>
      <c r="I2483" s="76" t="n"/>
      <c r="J2483" s="77" t="n"/>
      <c r="K2483" s="74" t="n"/>
      <c r="L2483" s="78" t="n"/>
      <c r="M2483" s="77" t="n"/>
      <c r="N2483" s="53">
        <f>IF(M2483="","",IFERROR(M2483/I2483,""))</f>
        <v/>
      </c>
      <c r="O2483" s="50">
        <f>IF(A2483="","",IFERROR((IF(G2483="",I2483,G2483)-T2483)/M2483,""))</f>
        <v/>
      </c>
      <c r="P2483" s="50">
        <f>IFERROR((I2483/T2483-1)/N2483,"")</f>
        <v/>
      </c>
      <c r="Q2483" s="46">
        <f>IF(OR(T2483="",I2483&lt;T2483),"",IFERROR(R2483/IF(G2483="",I2483,G2483)-1,""))</f>
        <v/>
      </c>
      <c r="R2483" s="48">
        <f>IF($M2483="","",MAX(IF($G2483="",$I2483,$G2483)*(1/1.1),IF($G2483="",$I2483,$G2483)+(R$2*$M2483)))</f>
        <v/>
      </c>
      <c r="S2483" s="49">
        <f>IF($M2483="","",MAX(IF($G2483="",$I2483,$G2483)*(1/1.1),IF($G2483="",$I2483,$G2483)+(S$2*$M2483)))</f>
        <v/>
      </c>
      <c r="T2483" s="82" t="n"/>
      <c r="U2483" s="47">
        <f>IF(OR($M2483="",$T2483=""),"",$T2483+(U$2*$M2483))</f>
        <v/>
      </c>
      <c r="V2483" s="48">
        <f>IF(OR($M2483="",$T2483=""),"",$T2483+(V$2*$M2483))</f>
        <v/>
      </c>
      <c r="W2483" s="48">
        <f>IF(OR($M2483="",$T2483=""),"",$T2483+(W$2*$M2483))</f>
        <v/>
      </c>
      <c r="X2483" s="49">
        <f>IF(OR($M2483="",$T2483=""),"",$T2483+(X$2*$M2483))</f>
        <v/>
      </c>
      <c r="Y2483" s="47">
        <f>IF(OR($M2483="",$T2483=""),"",$T2483+(Y$2*$M2483))</f>
        <v/>
      </c>
      <c r="Z2483" s="49">
        <f>IF(OR($M2483="",$T2483=""),"",$T2483+(Z$2*$M2483))</f>
        <v/>
      </c>
      <c r="AA2483" s="51">
        <f>IF(OR($M2483="",$T2483=""),"",$T2483+(AA$2*$M2483))</f>
        <v/>
      </c>
      <c r="AB2483" s="48">
        <f>IF(OR($M2483="",$T2483=""),"",$T2483+(AB$2*$M2483))</f>
        <v/>
      </c>
      <c r="AC2483" s="48">
        <f>IF(OR($M2483="",$T2483=""),"",$T2483+(AC$2*$M2483))</f>
        <v/>
      </c>
      <c r="AD2483" s="48">
        <f>IF(OR($M2483="",$T2483=""),"",$T2483+(AD$2*$M2483))</f>
        <v/>
      </c>
      <c r="AE2483" s="49">
        <f>IF(OR($M2483="",$T2483=""),"",$T2483+(AE$2*$M2483))</f>
        <v/>
      </c>
      <c r="AF2483" s="52">
        <f>IF(OR(T2483="",I2483&lt;T2483),"",IFERROR(AVERAGE(T2483+M2483*{7,8,9,10,11})/IF(G2483="",I2483,G2483)-1,""))</f>
        <v/>
      </c>
      <c r="AG2483" s="55">
        <f>IF(OR(T2483="",I2483&lt;T2483),"",IFERROR(AF2483/-(R2483/IF(G2483="",I2483,G2483)-1),""))</f>
        <v/>
      </c>
      <c r="AH2483" s="94" t="n"/>
      <c r="AI2483" s="94" t="n"/>
      <c r="AJ2483" s="94" t="n"/>
      <c r="AK2483" s="94" t="n"/>
      <c r="AL2483" s="84" t="n"/>
    </row>
    <row r="2484">
      <c r="A2484" s="64" t="n"/>
      <c r="B2484" s="65" t="n"/>
      <c r="C2484" s="66" t="n"/>
      <c r="D2484" s="67" t="n"/>
      <c r="E2484" s="68" t="n"/>
      <c r="F2484" s="47">
        <f>IF(A2484="","",IF(MIN(H2484,MAX(J2484:K2484))=0,"",MIN(H2484,MAX(J2484:K2484))))</f>
        <v/>
      </c>
      <c r="G2484" s="74" t="n"/>
      <c r="H2484" s="49">
        <f>IF(M2484="","",IFERROR(ROUND(AVERAGE(T2484+M2484*{7,8,9,10,11})/1.21,4),""))</f>
        <v/>
      </c>
      <c r="I2484" s="76" t="n"/>
      <c r="J2484" s="77" t="n"/>
      <c r="K2484" s="74" t="n"/>
      <c r="L2484" s="78" t="n"/>
      <c r="M2484" s="77" t="n"/>
      <c r="N2484" s="53">
        <f>IF(M2484="","",IFERROR(M2484/I2484,""))</f>
        <v/>
      </c>
      <c r="O2484" s="50">
        <f>IF(A2484="","",IFERROR((IF(G2484="",I2484,G2484)-T2484)/M2484,""))</f>
        <v/>
      </c>
      <c r="P2484" s="50">
        <f>IFERROR((I2484/T2484-1)/N2484,"")</f>
        <v/>
      </c>
      <c r="Q2484" s="46">
        <f>IF(OR(T2484="",I2484&lt;T2484),"",IFERROR(R2484/IF(G2484="",I2484,G2484)-1,""))</f>
        <v/>
      </c>
      <c r="R2484" s="48">
        <f>IF($M2484="","",MAX(IF($G2484="",$I2484,$G2484)*(1/1.1),IF($G2484="",$I2484,$G2484)+(R$2*$M2484)))</f>
        <v/>
      </c>
      <c r="S2484" s="49">
        <f>IF($M2484="","",MAX(IF($G2484="",$I2484,$G2484)*(1/1.1),IF($G2484="",$I2484,$G2484)+(S$2*$M2484)))</f>
        <v/>
      </c>
      <c r="T2484" s="82" t="n"/>
      <c r="U2484" s="47">
        <f>IF(OR($M2484="",$T2484=""),"",$T2484+(U$2*$M2484))</f>
        <v/>
      </c>
      <c r="V2484" s="48">
        <f>IF(OR($M2484="",$T2484=""),"",$T2484+(V$2*$M2484))</f>
        <v/>
      </c>
      <c r="W2484" s="48">
        <f>IF(OR($M2484="",$T2484=""),"",$T2484+(W$2*$M2484))</f>
        <v/>
      </c>
      <c r="X2484" s="49">
        <f>IF(OR($M2484="",$T2484=""),"",$T2484+(X$2*$M2484))</f>
        <v/>
      </c>
      <c r="Y2484" s="47">
        <f>IF(OR($M2484="",$T2484=""),"",$T2484+(Y$2*$M2484))</f>
        <v/>
      </c>
      <c r="Z2484" s="49">
        <f>IF(OR($M2484="",$T2484=""),"",$T2484+(Z$2*$M2484))</f>
        <v/>
      </c>
      <c r="AA2484" s="51">
        <f>IF(OR($M2484="",$T2484=""),"",$T2484+(AA$2*$M2484))</f>
        <v/>
      </c>
      <c r="AB2484" s="48">
        <f>IF(OR($M2484="",$T2484=""),"",$T2484+(AB$2*$M2484))</f>
        <v/>
      </c>
      <c r="AC2484" s="48">
        <f>IF(OR($M2484="",$T2484=""),"",$T2484+(AC$2*$M2484))</f>
        <v/>
      </c>
      <c r="AD2484" s="48">
        <f>IF(OR($M2484="",$T2484=""),"",$T2484+(AD$2*$M2484))</f>
        <v/>
      </c>
      <c r="AE2484" s="49">
        <f>IF(OR($M2484="",$T2484=""),"",$T2484+(AE$2*$M2484))</f>
        <v/>
      </c>
      <c r="AF2484" s="52">
        <f>IF(OR(T2484="",I2484&lt;T2484),"",IFERROR(AVERAGE(T2484+M2484*{7,8,9,10,11})/IF(G2484="",I2484,G2484)-1,""))</f>
        <v/>
      </c>
      <c r="AG2484" s="55">
        <f>IF(OR(T2484="",I2484&lt;T2484),"",IFERROR(AF2484/-(R2484/IF(G2484="",I2484,G2484)-1),""))</f>
        <v/>
      </c>
      <c r="AH2484" s="94" t="n"/>
      <c r="AI2484" s="94" t="n"/>
      <c r="AJ2484" s="94" t="n"/>
      <c r="AK2484" s="94" t="n"/>
      <c r="AL2484" s="84" t="n"/>
    </row>
    <row r="2485">
      <c r="A2485" s="64" t="n"/>
      <c r="B2485" s="65" t="n"/>
      <c r="C2485" s="66" t="n"/>
      <c r="D2485" s="67" t="n"/>
      <c r="E2485" s="68" t="n"/>
      <c r="F2485" s="47">
        <f>IF(A2485="","",IF(MIN(H2485,MAX(J2485:K2485))=0,"",MIN(H2485,MAX(J2485:K2485))))</f>
        <v/>
      </c>
      <c r="G2485" s="74" t="n"/>
      <c r="H2485" s="49">
        <f>IF(M2485="","",IFERROR(ROUND(AVERAGE(T2485+M2485*{7,8,9,10,11})/1.21,4),""))</f>
        <v/>
      </c>
      <c r="I2485" s="76" t="n"/>
      <c r="J2485" s="77" t="n"/>
      <c r="K2485" s="74" t="n"/>
      <c r="L2485" s="78" t="n"/>
      <c r="M2485" s="77" t="n"/>
      <c r="N2485" s="53">
        <f>IF(M2485="","",IFERROR(M2485/I2485,""))</f>
        <v/>
      </c>
      <c r="O2485" s="50">
        <f>IF(A2485="","",IFERROR((IF(G2485="",I2485,G2485)-T2485)/M2485,""))</f>
        <v/>
      </c>
      <c r="P2485" s="50">
        <f>IFERROR((I2485/T2485-1)/N2485,"")</f>
        <v/>
      </c>
      <c r="Q2485" s="46">
        <f>IF(OR(T2485="",I2485&lt;T2485),"",IFERROR(R2485/IF(G2485="",I2485,G2485)-1,""))</f>
        <v/>
      </c>
      <c r="R2485" s="48">
        <f>IF($M2485="","",MAX(IF($G2485="",$I2485,$G2485)*(1/1.1),IF($G2485="",$I2485,$G2485)+(R$2*$M2485)))</f>
        <v/>
      </c>
      <c r="S2485" s="49">
        <f>IF($M2485="","",MAX(IF($G2485="",$I2485,$G2485)*(1/1.1),IF($G2485="",$I2485,$G2485)+(S$2*$M2485)))</f>
        <v/>
      </c>
      <c r="T2485" s="82" t="n"/>
      <c r="U2485" s="47">
        <f>IF(OR($M2485="",$T2485=""),"",$T2485+(U$2*$M2485))</f>
        <v/>
      </c>
      <c r="V2485" s="48">
        <f>IF(OR($M2485="",$T2485=""),"",$T2485+(V$2*$M2485))</f>
        <v/>
      </c>
      <c r="W2485" s="48">
        <f>IF(OR($M2485="",$T2485=""),"",$T2485+(W$2*$M2485))</f>
        <v/>
      </c>
      <c r="X2485" s="49">
        <f>IF(OR($M2485="",$T2485=""),"",$T2485+(X$2*$M2485))</f>
        <v/>
      </c>
      <c r="Y2485" s="47">
        <f>IF(OR($M2485="",$T2485=""),"",$T2485+(Y$2*$M2485))</f>
        <v/>
      </c>
      <c r="Z2485" s="49">
        <f>IF(OR($M2485="",$T2485=""),"",$T2485+(Z$2*$M2485))</f>
        <v/>
      </c>
      <c r="AA2485" s="51">
        <f>IF(OR($M2485="",$T2485=""),"",$T2485+(AA$2*$M2485))</f>
        <v/>
      </c>
      <c r="AB2485" s="48">
        <f>IF(OR($M2485="",$T2485=""),"",$T2485+(AB$2*$M2485))</f>
        <v/>
      </c>
      <c r="AC2485" s="48">
        <f>IF(OR($M2485="",$T2485=""),"",$T2485+(AC$2*$M2485))</f>
        <v/>
      </c>
      <c r="AD2485" s="48">
        <f>IF(OR($M2485="",$T2485=""),"",$T2485+(AD$2*$M2485))</f>
        <v/>
      </c>
      <c r="AE2485" s="49">
        <f>IF(OR($M2485="",$T2485=""),"",$T2485+(AE$2*$M2485))</f>
        <v/>
      </c>
      <c r="AF2485" s="52">
        <f>IF(OR(T2485="",I2485&lt;T2485),"",IFERROR(AVERAGE(T2485+M2485*{7,8,9,10,11})/IF(G2485="",I2485,G2485)-1,""))</f>
        <v/>
      </c>
      <c r="AG2485" s="55">
        <f>IF(OR(T2485="",I2485&lt;T2485),"",IFERROR(AF2485/-(R2485/IF(G2485="",I2485,G2485)-1),""))</f>
        <v/>
      </c>
      <c r="AH2485" s="94" t="n"/>
      <c r="AI2485" s="94" t="n"/>
      <c r="AJ2485" s="94" t="n"/>
      <c r="AK2485" s="94" t="n"/>
      <c r="AL2485" s="84" t="n"/>
    </row>
    <row r="2486">
      <c r="A2486" s="64" t="n"/>
      <c r="B2486" s="65" t="n"/>
      <c r="C2486" s="66" t="n"/>
      <c r="D2486" s="67" t="n"/>
      <c r="E2486" s="68" t="n"/>
      <c r="F2486" s="47">
        <f>IF(A2486="","",IF(MIN(H2486,MAX(J2486:K2486))=0,"",MIN(H2486,MAX(J2486:K2486))))</f>
        <v/>
      </c>
      <c r="G2486" s="74" t="n"/>
      <c r="H2486" s="49">
        <f>IF(M2486="","",IFERROR(ROUND(AVERAGE(T2486+M2486*{7,8,9,10,11})/1.21,4),""))</f>
        <v/>
      </c>
      <c r="I2486" s="76" t="n"/>
      <c r="J2486" s="77" t="n"/>
      <c r="K2486" s="74" t="n"/>
      <c r="L2486" s="78" t="n"/>
      <c r="M2486" s="77" t="n"/>
      <c r="N2486" s="53">
        <f>IF(M2486="","",IFERROR(M2486/I2486,""))</f>
        <v/>
      </c>
      <c r="O2486" s="50">
        <f>IF(A2486="","",IFERROR((IF(G2486="",I2486,G2486)-T2486)/M2486,""))</f>
        <v/>
      </c>
      <c r="P2486" s="50">
        <f>IFERROR((I2486/T2486-1)/N2486,"")</f>
        <v/>
      </c>
      <c r="Q2486" s="46">
        <f>IF(OR(T2486="",I2486&lt;T2486),"",IFERROR(R2486/IF(G2486="",I2486,G2486)-1,""))</f>
        <v/>
      </c>
      <c r="R2486" s="48">
        <f>IF($M2486="","",MAX(IF($G2486="",$I2486,$G2486)*(1/1.1),IF($G2486="",$I2486,$G2486)+(R$2*$M2486)))</f>
        <v/>
      </c>
      <c r="S2486" s="49">
        <f>IF($M2486="","",MAX(IF($G2486="",$I2486,$G2486)*(1/1.1),IF($G2486="",$I2486,$G2486)+(S$2*$M2486)))</f>
        <v/>
      </c>
      <c r="T2486" s="82" t="n"/>
      <c r="U2486" s="47">
        <f>IF(OR($M2486="",$T2486=""),"",$T2486+(U$2*$M2486))</f>
        <v/>
      </c>
      <c r="V2486" s="48">
        <f>IF(OR($M2486="",$T2486=""),"",$T2486+(V$2*$M2486))</f>
        <v/>
      </c>
      <c r="W2486" s="48">
        <f>IF(OR($M2486="",$T2486=""),"",$T2486+(W$2*$M2486))</f>
        <v/>
      </c>
      <c r="X2486" s="49">
        <f>IF(OR($M2486="",$T2486=""),"",$T2486+(X$2*$M2486))</f>
        <v/>
      </c>
      <c r="Y2486" s="47">
        <f>IF(OR($M2486="",$T2486=""),"",$T2486+(Y$2*$M2486))</f>
        <v/>
      </c>
      <c r="Z2486" s="49">
        <f>IF(OR($M2486="",$T2486=""),"",$T2486+(Z$2*$M2486))</f>
        <v/>
      </c>
      <c r="AA2486" s="51">
        <f>IF(OR($M2486="",$T2486=""),"",$T2486+(AA$2*$M2486))</f>
        <v/>
      </c>
      <c r="AB2486" s="48">
        <f>IF(OR($M2486="",$T2486=""),"",$T2486+(AB$2*$M2486))</f>
        <v/>
      </c>
      <c r="AC2486" s="48">
        <f>IF(OR($M2486="",$T2486=""),"",$T2486+(AC$2*$M2486))</f>
        <v/>
      </c>
      <c r="AD2486" s="48">
        <f>IF(OR($M2486="",$T2486=""),"",$T2486+(AD$2*$M2486))</f>
        <v/>
      </c>
      <c r="AE2486" s="49">
        <f>IF(OR($M2486="",$T2486=""),"",$T2486+(AE$2*$M2486))</f>
        <v/>
      </c>
      <c r="AF2486" s="52">
        <f>IF(OR(T2486="",I2486&lt;T2486),"",IFERROR(AVERAGE(T2486+M2486*{7,8,9,10,11})/IF(G2486="",I2486,G2486)-1,""))</f>
        <v/>
      </c>
      <c r="AG2486" s="55">
        <f>IF(OR(T2486="",I2486&lt;T2486),"",IFERROR(AF2486/-(R2486/IF(G2486="",I2486,G2486)-1),""))</f>
        <v/>
      </c>
      <c r="AH2486" s="94" t="n"/>
      <c r="AI2486" s="94" t="n"/>
      <c r="AJ2486" s="94" t="n"/>
      <c r="AK2486" s="94" t="n"/>
      <c r="AL2486" s="84" t="n"/>
    </row>
    <row r="2487">
      <c r="A2487" s="64" t="n"/>
      <c r="B2487" s="65" t="n"/>
      <c r="C2487" s="66" t="n"/>
      <c r="D2487" s="67" t="n"/>
      <c r="E2487" s="68" t="n"/>
      <c r="F2487" s="47">
        <f>IF(A2487="","",IF(MIN(H2487,MAX(J2487:K2487))=0,"",MIN(H2487,MAX(J2487:K2487))))</f>
        <v/>
      </c>
      <c r="G2487" s="74" t="n"/>
      <c r="H2487" s="49">
        <f>IF(M2487="","",IFERROR(ROUND(AVERAGE(T2487+M2487*{7,8,9,10,11})/1.21,4),""))</f>
        <v/>
      </c>
      <c r="I2487" s="76" t="n"/>
      <c r="J2487" s="77" t="n"/>
      <c r="K2487" s="74" t="n"/>
      <c r="L2487" s="78" t="n"/>
      <c r="M2487" s="77" t="n"/>
      <c r="N2487" s="53">
        <f>IF(M2487="","",IFERROR(M2487/I2487,""))</f>
        <v/>
      </c>
      <c r="O2487" s="50">
        <f>IF(A2487="","",IFERROR((IF(G2487="",I2487,G2487)-T2487)/M2487,""))</f>
        <v/>
      </c>
      <c r="P2487" s="50">
        <f>IFERROR((I2487/T2487-1)/N2487,"")</f>
        <v/>
      </c>
      <c r="Q2487" s="46">
        <f>IF(OR(T2487="",I2487&lt;T2487),"",IFERROR(R2487/IF(G2487="",I2487,G2487)-1,""))</f>
        <v/>
      </c>
      <c r="R2487" s="48">
        <f>IF($M2487="","",MAX(IF($G2487="",$I2487,$G2487)*(1/1.1),IF($G2487="",$I2487,$G2487)+(R$2*$M2487)))</f>
        <v/>
      </c>
      <c r="S2487" s="49">
        <f>IF($M2487="","",MAX(IF($G2487="",$I2487,$G2487)*(1/1.1),IF($G2487="",$I2487,$G2487)+(S$2*$M2487)))</f>
        <v/>
      </c>
      <c r="T2487" s="82" t="n"/>
      <c r="U2487" s="47">
        <f>IF(OR($M2487="",$T2487=""),"",$T2487+(U$2*$M2487))</f>
        <v/>
      </c>
      <c r="V2487" s="48">
        <f>IF(OR($M2487="",$T2487=""),"",$T2487+(V$2*$M2487))</f>
        <v/>
      </c>
      <c r="W2487" s="48">
        <f>IF(OR($M2487="",$T2487=""),"",$T2487+(W$2*$M2487))</f>
        <v/>
      </c>
      <c r="X2487" s="49">
        <f>IF(OR($M2487="",$T2487=""),"",$T2487+(X$2*$M2487))</f>
        <v/>
      </c>
      <c r="Y2487" s="47">
        <f>IF(OR($M2487="",$T2487=""),"",$T2487+(Y$2*$M2487))</f>
        <v/>
      </c>
      <c r="Z2487" s="49">
        <f>IF(OR($M2487="",$T2487=""),"",$T2487+(Z$2*$M2487))</f>
        <v/>
      </c>
      <c r="AA2487" s="51">
        <f>IF(OR($M2487="",$T2487=""),"",$T2487+(AA$2*$M2487))</f>
        <v/>
      </c>
      <c r="AB2487" s="48">
        <f>IF(OR($M2487="",$T2487=""),"",$T2487+(AB$2*$M2487))</f>
        <v/>
      </c>
      <c r="AC2487" s="48">
        <f>IF(OR($M2487="",$T2487=""),"",$T2487+(AC$2*$M2487))</f>
        <v/>
      </c>
      <c r="AD2487" s="48">
        <f>IF(OR($M2487="",$T2487=""),"",$T2487+(AD$2*$M2487))</f>
        <v/>
      </c>
      <c r="AE2487" s="49">
        <f>IF(OR($M2487="",$T2487=""),"",$T2487+(AE$2*$M2487))</f>
        <v/>
      </c>
      <c r="AF2487" s="52">
        <f>IF(OR(T2487="",I2487&lt;T2487),"",IFERROR(AVERAGE(T2487+M2487*{7,8,9,10,11})/IF(G2487="",I2487,G2487)-1,""))</f>
        <v/>
      </c>
      <c r="AG2487" s="55">
        <f>IF(OR(T2487="",I2487&lt;T2487),"",IFERROR(AF2487/-(R2487/IF(G2487="",I2487,G2487)-1),""))</f>
        <v/>
      </c>
      <c r="AH2487" s="94" t="n"/>
      <c r="AI2487" s="94" t="n"/>
      <c r="AJ2487" s="94" t="n"/>
      <c r="AK2487" s="94" t="n"/>
      <c r="AL2487" s="84" t="n"/>
    </row>
    <row r="2488">
      <c r="A2488" s="64" t="n"/>
      <c r="B2488" s="65" t="n"/>
      <c r="C2488" s="66" t="n"/>
      <c r="D2488" s="67" t="n"/>
      <c r="E2488" s="68" t="n"/>
      <c r="F2488" s="47">
        <f>IF(A2488="","",IF(MIN(H2488,MAX(J2488:K2488))=0,"",MIN(H2488,MAX(J2488:K2488))))</f>
        <v/>
      </c>
      <c r="G2488" s="74" t="n"/>
      <c r="H2488" s="49">
        <f>IF(M2488="","",IFERROR(ROUND(AVERAGE(T2488+M2488*{7,8,9,10,11})/1.21,4),""))</f>
        <v/>
      </c>
      <c r="I2488" s="76" t="n"/>
      <c r="J2488" s="77" t="n"/>
      <c r="K2488" s="74" t="n"/>
      <c r="L2488" s="78" t="n"/>
      <c r="M2488" s="77" t="n"/>
      <c r="N2488" s="53">
        <f>IF(M2488="","",IFERROR(M2488/I2488,""))</f>
        <v/>
      </c>
      <c r="O2488" s="50">
        <f>IF(A2488="","",IFERROR((IF(G2488="",I2488,G2488)-T2488)/M2488,""))</f>
        <v/>
      </c>
      <c r="P2488" s="50">
        <f>IFERROR((I2488/T2488-1)/N2488,"")</f>
        <v/>
      </c>
      <c r="Q2488" s="46">
        <f>IF(OR(T2488="",I2488&lt;T2488),"",IFERROR(R2488/IF(G2488="",I2488,G2488)-1,""))</f>
        <v/>
      </c>
      <c r="R2488" s="48">
        <f>IF($M2488="","",MAX(IF($G2488="",$I2488,$G2488)*(1/1.1),IF($G2488="",$I2488,$G2488)+(R$2*$M2488)))</f>
        <v/>
      </c>
      <c r="S2488" s="49">
        <f>IF($M2488="","",MAX(IF($G2488="",$I2488,$G2488)*(1/1.1),IF($G2488="",$I2488,$G2488)+(S$2*$M2488)))</f>
        <v/>
      </c>
      <c r="T2488" s="82" t="n"/>
      <c r="U2488" s="47">
        <f>IF(OR($M2488="",$T2488=""),"",$T2488+(U$2*$M2488))</f>
        <v/>
      </c>
      <c r="V2488" s="48">
        <f>IF(OR($M2488="",$T2488=""),"",$T2488+(V$2*$M2488))</f>
        <v/>
      </c>
      <c r="W2488" s="48">
        <f>IF(OR($M2488="",$T2488=""),"",$T2488+(W$2*$M2488))</f>
        <v/>
      </c>
      <c r="X2488" s="49">
        <f>IF(OR($M2488="",$T2488=""),"",$T2488+(X$2*$M2488))</f>
        <v/>
      </c>
      <c r="Y2488" s="47">
        <f>IF(OR($M2488="",$T2488=""),"",$T2488+(Y$2*$M2488))</f>
        <v/>
      </c>
      <c r="Z2488" s="49">
        <f>IF(OR($M2488="",$T2488=""),"",$T2488+(Z$2*$M2488))</f>
        <v/>
      </c>
      <c r="AA2488" s="51">
        <f>IF(OR($M2488="",$T2488=""),"",$T2488+(AA$2*$M2488))</f>
        <v/>
      </c>
      <c r="AB2488" s="48">
        <f>IF(OR($M2488="",$T2488=""),"",$T2488+(AB$2*$M2488))</f>
        <v/>
      </c>
      <c r="AC2488" s="48">
        <f>IF(OR($M2488="",$T2488=""),"",$T2488+(AC$2*$M2488))</f>
        <v/>
      </c>
      <c r="AD2488" s="48">
        <f>IF(OR($M2488="",$T2488=""),"",$T2488+(AD$2*$M2488))</f>
        <v/>
      </c>
      <c r="AE2488" s="49">
        <f>IF(OR($M2488="",$T2488=""),"",$T2488+(AE$2*$M2488))</f>
        <v/>
      </c>
      <c r="AF2488" s="52">
        <f>IF(OR(T2488="",I2488&lt;T2488),"",IFERROR(AVERAGE(T2488+M2488*{7,8,9,10,11})/IF(G2488="",I2488,G2488)-1,""))</f>
        <v/>
      </c>
      <c r="AG2488" s="55">
        <f>IF(OR(T2488="",I2488&lt;T2488),"",IFERROR(AF2488/-(R2488/IF(G2488="",I2488,G2488)-1),""))</f>
        <v/>
      </c>
      <c r="AH2488" s="94" t="n"/>
      <c r="AI2488" s="94" t="n"/>
      <c r="AJ2488" s="94" t="n"/>
      <c r="AK2488" s="94" t="n"/>
      <c r="AL2488" s="84" t="n"/>
    </row>
    <row r="2489">
      <c r="A2489" s="64" t="n"/>
      <c r="B2489" s="65" t="n"/>
      <c r="C2489" s="66" t="n"/>
      <c r="D2489" s="67" t="n"/>
      <c r="E2489" s="68" t="n"/>
      <c r="F2489" s="47">
        <f>IF(A2489="","",IF(MIN(H2489,MAX(J2489:K2489))=0,"",MIN(H2489,MAX(J2489:K2489))))</f>
        <v/>
      </c>
      <c r="G2489" s="74" t="n"/>
      <c r="H2489" s="49">
        <f>IF(M2489="","",IFERROR(ROUND(AVERAGE(T2489+M2489*{7,8,9,10,11})/1.21,4),""))</f>
        <v/>
      </c>
      <c r="I2489" s="76" t="n"/>
      <c r="J2489" s="77" t="n"/>
      <c r="K2489" s="74" t="n"/>
      <c r="L2489" s="78" t="n"/>
      <c r="M2489" s="77" t="n"/>
      <c r="N2489" s="53">
        <f>IF(M2489="","",IFERROR(M2489/I2489,""))</f>
        <v/>
      </c>
      <c r="O2489" s="50">
        <f>IF(A2489="","",IFERROR((IF(G2489="",I2489,G2489)-T2489)/M2489,""))</f>
        <v/>
      </c>
      <c r="P2489" s="50">
        <f>IFERROR((I2489/T2489-1)/N2489,"")</f>
        <v/>
      </c>
      <c r="Q2489" s="46">
        <f>IF(OR(T2489="",I2489&lt;T2489),"",IFERROR(R2489/IF(G2489="",I2489,G2489)-1,""))</f>
        <v/>
      </c>
      <c r="R2489" s="48">
        <f>IF($M2489="","",MAX(IF($G2489="",$I2489,$G2489)*(1/1.1),IF($G2489="",$I2489,$G2489)+(R$2*$M2489)))</f>
        <v/>
      </c>
      <c r="S2489" s="49">
        <f>IF($M2489="","",MAX(IF($G2489="",$I2489,$G2489)*(1/1.1),IF($G2489="",$I2489,$G2489)+(S$2*$M2489)))</f>
        <v/>
      </c>
      <c r="T2489" s="82" t="n"/>
      <c r="U2489" s="47">
        <f>IF(OR($M2489="",$T2489=""),"",$T2489+(U$2*$M2489))</f>
        <v/>
      </c>
      <c r="V2489" s="48">
        <f>IF(OR($M2489="",$T2489=""),"",$T2489+(V$2*$M2489))</f>
        <v/>
      </c>
      <c r="W2489" s="48">
        <f>IF(OR($M2489="",$T2489=""),"",$T2489+(W$2*$M2489))</f>
        <v/>
      </c>
      <c r="X2489" s="49">
        <f>IF(OR($M2489="",$T2489=""),"",$T2489+(X$2*$M2489))</f>
        <v/>
      </c>
      <c r="Y2489" s="47">
        <f>IF(OR($M2489="",$T2489=""),"",$T2489+(Y$2*$M2489))</f>
        <v/>
      </c>
      <c r="Z2489" s="49">
        <f>IF(OR($M2489="",$T2489=""),"",$T2489+(Z$2*$M2489))</f>
        <v/>
      </c>
      <c r="AA2489" s="51">
        <f>IF(OR($M2489="",$T2489=""),"",$T2489+(AA$2*$M2489))</f>
        <v/>
      </c>
      <c r="AB2489" s="48">
        <f>IF(OR($M2489="",$T2489=""),"",$T2489+(AB$2*$M2489))</f>
        <v/>
      </c>
      <c r="AC2489" s="48">
        <f>IF(OR($M2489="",$T2489=""),"",$T2489+(AC$2*$M2489))</f>
        <v/>
      </c>
      <c r="AD2489" s="48">
        <f>IF(OR($M2489="",$T2489=""),"",$T2489+(AD$2*$M2489))</f>
        <v/>
      </c>
      <c r="AE2489" s="49">
        <f>IF(OR($M2489="",$T2489=""),"",$T2489+(AE$2*$M2489))</f>
        <v/>
      </c>
      <c r="AF2489" s="52">
        <f>IF(OR(T2489="",I2489&lt;T2489),"",IFERROR(AVERAGE(T2489+M2489*{7,8,9,10,11})/IF(G2489="",I2489,G2489)-1,""))</f>
        <v/>
      </c>
      <c r="AG2489" s="55">
        <f>IF(OR(T2489="",I2489&lt;T2489),"",IFERROR(AF2489/-(R2489/IF(G2489="",I2489,G2489)-1),""))</f>
        <v/>
      </c>
      <c r="AH2489" s="94" t="n"/>
      <c r="AI2489" s="94" t="n"/>
      <c r="AJ2489" s="94" t="n"/>
      <c r="AK2489" s="94" t="n"/>
      <c r="AL2489" s="84" t="n"/>
    </row>
    <row r="2490">
      <c r="A2490" s="64" t="n"/>
      <c r="B2490" s="65" t="n"/>
      <c r="C2490" s="66" t="n"/>
      <c r="D2490" s="67" t="n"/>
      <c r="E2490" s="68" t="n"/>
      <c r="F2490" s="47">
        <f>IF(A2490="","",IF(MIN(H2490,MAX(J2490:K2490))=0,"",MIN(H2490,MAX(J2490:K2490))))</f>
        <v/>
      </c>
      <c r="G2490" s="74" t="n"/>
      <c r="H2490" s="49">
        <f>IF(M2490="","",IFERROR(ROUND(AVERAGE(T2490+M2490*{7,8,9,10,11})/1.21,4),""))</f>
        <v/>
      </c>
      <c r="I2490" s="76" t="n"/>
      <c r="J2490" s="77" t="n"/>
      <c r="K2490" s="74" t="n"/>
      <c r="L2490" s="78" t="n"/>
      <c r="M2490" s="77" t="n"/>
      <c r="N2490" s="53">
        <f>IF(M2490="","",IFERROR(M2490/I2490,""))</f>
        <v/>
      </c>
      <c r="O2490" s="50">
        <f>IF(A2490="","",IFERROR((IF(G2490="",I2490,G2490)-T2490)/M2490,""))</f>
        <v/>
      </c>
      <c r="P2490" s="50">
        <f>IFERROR((I2490/T2490-1)/N2490,"")</f>
        <v/>
      </c>
      <c r="Q2490" s="46">
        <f>IF(OR(T2490="",I2490&lt;T2490),"",IFERROR(R2490/IF(G2490="",I2490,G2490)-1,""))</f>
        <v/>
      </c>
      <c r="R2490" s="48">
        <f>IF($M2490="","",MAX(IF($G2490="",$I2490,$G2490)*(1/1.1),IF($G2490="",$I2490,$G2490)+(R$2*$M2490)))</f>
        <v/>
      </c>
      <c r="S2490" s="49">
        <f>IF($M2490="","",MAX(IF($G2490="",$I2490,$G2490)*(1/1.1),IF($G2490="",$I2490,$G2490)+(S$2*$M2490)))</f>
        <v/>
      </c>
      <c r="T2490" s="82" t="n"/>
      <c r="U2490" s="47">
        <f>IF(OR($M2490="",$T2490=""),"",$T2490+(U$2*$M2490))</f>
        <v/>
      </c>
      <c r="V2490" s="48">
        <f>IF(OR($M2490="",$T2490=""),"",$T2490+(V$2*$M2490))</f>
        <v/>
      </c>
      <c r="W2490" s="48">
        <f>IF(OR($M2490="",$T2490=""),"",$T2490+(W$2*$M2490))</f>
        <v/>
      </c>
      <c r="X2490" s="49">
        <f>IF(OR($M2490="",$T2490=""),"",$T2490+(X$2*$M2490))</f>
        <v/>
      </c>
      <c r="Y2490" s="47">
        <f>IF(OR($M2490="",$T2490=""),"",$T2490+(Y$2*$M2490))</f>
        <v/>
      </c>
      <c r="Z2490" s="49">
        <f>IF(OR($M2490="",$T2490=""),"",$T2490+(Z$2*$M2490))</f>
        <v/>
      </c>
      <c r="AA2490" s="51">
        <f>IF(OR($M2490="",$T2490=""),"",$T2490+(AA$2*$M2490))</f>
        <v/>
      </c>
      <c r="AB2490" s="48">
        <f>IF(OR($M2490="",$T2490=""),"",$T2490+(AB$2*$M2490))</f>
        <v/>
      </c>
      <c r="AC2490" s="48">
        <f>IF(OR($M2490="",$T2490=""),"",$T2490+(AC$2*$M2490))</f>
        <v/>
      </c>
      <c r="AD2490" s="48">
        <f>IF(OR($M2490="",$T2490=""),"",$T2490+(AD$2*$M2490))</f>
        <v/>
      </c>
      <c r="AE2490" s="49">
        <f>IF(OR($M2490="",$T2490=""),"",$T2490+(AE$2*$M2490))</f>
        <v/>
      </c>
      <c r="AF2490" s="52">
        <f>IF(OR(T2490="",I2490&lt;T2490),"",IFERROR(AVERAGE(T2490+M2490*{7,8,9,10,11})/IF(G2490="",I2490,G2490)-1,""))</f>
        <v/>
      </c>
      <c r="AG2490" s="55">
        <f>IF(OR(T2490="",I2490&lt;T2490),"",IFERROR(AF2490/-(R2490/IF(G2490="",I2490,G2490)-1),""))</f>
        <v/>
      </c>
      <c r="AH2490" s="94" t="n"/>
      <c r="AI2490" s="94" t="n"/>
      <c r="AJ2490" s="94" t="n"/>
      <c r="AK2490" s="94" t="n"/>
      <c r="AL2490" s="84" t="n"/>
    </row>
    <row r="2491">
      <c r="A2491" s="64" t="n"/>
      <c r="B2491" s="65" t="n"/>
      <c r="C2491" s="66" t="n"/>
      <c r="D2491" s="67" t="n"/>
      <c r="E2491" s="68" t="n"/>
      <c r="F2491" s="47">
        <f>IF(A2491="","",IF(MIN(H2491,MAX(J2491:K2491))=0,"",MIN(H2491,MAX(J2491:K2491))))</f>
        <v/>
      </c>
      <c r="G2491" s="74" t="n"/>
      <c r="H2491" s="49">
        <f>IF(M2491="","",IFERROR(ROUND(AVERAGE(T2491+M2491*{7,8,9,10,11})/1.21,4),""))</f>
        <v/>
      </c>
      <c r="I2491" s="76" t="n"/>
      <c r="J2491" s="77" t="n"/>
      <c r="K2491" s="74" t="n"/>
      <c r="L2491" s="78" t="n"/>
      <c r="M2491" s="77" t="n"/>
      <c r="N2491" s="53">
        <f>IF(M2491="","",IFERROR(M2491/I2491,""))</f>
        <v/>
      </c>
      <c r="O2491" s="50">
        <f>IF(A2491="","",IFERROR((IF(G2491="",I2491,G2491)-T2491)/M2491,""))</f>
        <v/>
      </c>
      <c r="P2491" s="50">
        <f>IFERROR((I2491/T2491-1)/N2491,"")</f>
        <v/>
      </c>
      <c r="Q2491" s="46">
        <f>IF(OR(T2491="",I2491&lt;T2491),"",IFERROR(R2491/IF(G2491="",I2491,G2491)-1,""))</f>
        <v/>
      </c>
      <c r="R2491" s="48">
        <f>IF($M2491="","",MAX(IF($G2491="",$I2491,$G2491)*(1/1.1),IF($G2491="",$I2491,$G2491)+(R$2*$M2491)))</f>
        <v/>
      </c>
      <c r="S2491" s="49">
        <f>IF($M2491="","",MAX(IF($G2491="",$I2491,$G2491)*(1/1.1),IF($G2491="",$I2491,$G2491)+(S$2*$M2491)))</f>
        <v/>
      </c>
      <c r="T2491" s="82" t="n"/>
      <c r="U2491" s="47">
        <f>IF(OR($M2491="",$T2491=""),"",$T2491+(U$2*$M2491))</f>
        <v/>
      </c>
      <c r="V2491" s="48">
        <f>IF(OR($M2491="",$T2491=""),"",$T2491+(V$2*$M2491))</f>
        <v/>
      </c>
      <c r="W2491" s="48">
        <f>IF(OR($M2491="",$T2491=""),"",$T2491+(W$2*$M2491))</f>
        <v/>
      </c>
      <c r="X2491" s="49">
        <f>IF(OR($M2491="",$T2491=""),"",$T2491+(X$2*$M2491))</f>
        <v/>
      </c>
      <c r="Y2491" s="47">
        <f>IF(OR($M2491="",$T2491=""),"",$T2491+(Y$2*$M2491))</f>
        <v/>
      </c>
      <c r="Z2491" s="49">
        <f>IF(OR($M2491="",$T2491=""),"",$T2491+(Z$2*$M2491))</f>
        <v/>
      </c>
      <c r="AA2491" s="51">
        <f>IF(OR($M2491="",$T2491=""),"",$T2491+(AA$2*$M2491))</f>
        <v/>
      </c>
      <c r="AB2491" s="48">
        <f>IF(OR($M2491="",$T2491=""),"",$T2491+(AB$2*$M2491))</f>
        <v/>
      </c>
      <c r="AC2491" s="48">
        <f>IF(OR($M2491="",$T2491=""),"",$T2491+(AC$2*$M2491))</f>
        <v/>
      </c>
      <c r="AD2491" s="48">
        <f>IF(OR($M2491="",$T2491=""),"",$T2491+(AD$2*$M2491))</f>
        <v/>
      </c>
      <c r="AE2491" s="49">
        <f>IF(OR($M2491="",$T2491=""),"",$T2491+(AE$2*$M2491))</f>
        <v/>
      </c>
      <c r="AF2491" s="52">
        <f>IF(OR(T2491="",I2491&lt;T2491),"",IFERROR(AVERAGE(T2491+M2491*{7,8,9,10,11})/IF(G2491="",I2491,G2491)-1,""))</f>
        <v/>
      </c>
      <c r="AG2491" s="55">
        <f>IF(OR(T2491="",I2491&lt;T2491),"",IFERROR(AF2491/-(R2491/IF(G2491="",I2491,G2491)-1),""))</f>
        <v/>
      </c>
      <c r="AH2491" s="94" t="n"/>
      <c r="AI2491" s="94" t="n"/>
      <c r="AJ2491" s="94" t="n"/>
      <c r="AK2491" s="94" t="n"/>
      <c r="AL2491" s="84" t="n"/>
    </row>
    <row r="2492">
      <c r="A2492" s="64" t="n"/>
      <c r="B2492" s="65" t="n"/>
      <c r="C2492" s="66" t="n"/>
      <c r="D2492" s="67" t="n"/>
      <c r="E2492" s="68" t="n"/>
      <c r="F2492" s="47">
        <f>IF(A2492="","",IF(MIN(H2492,MAX(J2492:K2492))=0,"",MIN(H2492,MAX(J2492:K2492))))</f>
        <v/>
      </c>
      <c r="G2492" s="74" t="n"/>
      <c r="H2492" s="49">
        <f>IF(M2492="","",IFERROR(ROUND(AVERAGE(T2492+M2492*{7,8,9,10,11})/1.21,4),""))</f>
        <v/>
      </c>
      <c r="I2492" s="76" t="n"/>
      <c r="J2492" s="77" t="n"/>
      <c r="K2492" s="74" t="n"/>
      <c r="L2492" s="78" t="n"/>
      <c r="M2492" s="77" t="n"/>
      <c r="N2492" s="53">
        <f>IF(M2492="","",IFERROR(M2492/I2492,""))</f>
        <v/>
      </c>
      <c r="O2492" s="50">
        <f>IF(A2492="","",IFERROR((IF(G2492="",I2492,G2492)-T2492)/M2492,""))</f>
        <v/>
      </c>
      <c r="P2492" s="50">
        <f>IFERROR((I2492/T2492-1)/N2492,"")</f>
        <v/>
      </c>
      <c r="Q2492" s="46">
        <f>IF(OR(T2492="",I2492&lt;T2492),"",IFERROR(R2492/IF(G2492="",I2492,G2492)-1,""))</f>
        <v/>
      </c>
      <c r="R2492" s="48">
        <f>IF($M2492="","",MAX(IF($G2492="",$I2492,$G2492)*(1/1.1),IF($G2492="",$I2492,$G2492)+(R$2*$M2492)))</f>
        <v/>
      </c>
      <c r="S2492" s="49">
        <f>IF($M2492="","",MAX(IF($G2492="",$I2492,$G2492)*(1/1.1),IF($G2492="",$I2492,$G2492)+(S$2*$M2492)))</f>
        <v/>
      </c>
      <c r="T2492" s="82" t="n"/>
      <c r="U2492" s="47">
        <f>IF(OR($M2492="",$T2492=""),"",$T2492+(U$2*$M2492))</f>
        <v/>
      </c>
      <c r="V2492" s="48">
        <f>IF(OR($M2492="",$T2492=""),"",$T2492+(V$2*$M2492))</f>
        <v/>
      </c>
      <c r="W2492" s="48">
        <f>IF(OR($M2492="",$T2492=""),"",$T2492+(W$2*$M2492))</f>
        <v/>
      </c>
      <c r="X2492" s="49">
        <f>IF(OR($M2492="",$T2492=""),"",$T2492+(X$2*$M2492))</f>
        <v/>
      </c>
      <c r="Y2492" s="47">
        <f>IF(OR($M2492="",$T2492=""),"",$T2492+(Y$2*$M2492))</f>
        <v/>
      </c>
      <c r="Z2492" s="49">
        <f>IF(OR($M2492="",$T2492=""),"",$T2492+(Z$2*$M2492))</f>
        <v/>
      </c>
      <c r="AA2492" s="51">
        <f>IF(OR($M2492="",$T2492=""),"",$T2492+(AA$2*$M2492))</f>
        <v/>
      </c>
      <c r="AB2492" s="48">
        <f>IF(OR($M2492="",$T2492=""),"",$T2492+(AB$2*$M2492))</f>
        <v/>
      </c>
      <c r="AC2492" s="48">
        <f>IF(OR($M2492="",$T2492=""),"",$T2492+(AC$2*$M2492))</f>
        <v/>
      </c>
      <c r="AD2492" s="48">
        <f>IF(OR($M2492="",$T2492=""),"",$T2492+(AD$2*$M2492))</f>
        <v/>
      </c>
      <c r="AE2492" s="49">
        <f>IF(OR($M2492="",$T2492=""),"",$T2492+(AE$2*$M2492))</f>
        <v/>
      </c>
      <c r="AF2492" s="52">
        <f>IF(OR(T2492="",I2492&lt;T2492),"",IFERROR(AVERAGE(T2492+M2492*{7,8,9,10,11})/IF(G2492="",I2492,G2492)-1,""))</f>
        <v/>
      </c>
      <c r="AG2492" s="55">
        <f>IF(OR(T2492="",I2492&lt;T2492),"",IFERROR(AF2492/-(R2492/IF(G2492="",I2492,G2492)-1),""))</f>
        <v/>
      </c>
      <c r="AH2492" s="94" t="n"/>
      <c r="AI2492" s="94" t="n"/>
      <c r="AJ2492" s="94" t="n"/>
      <c r="AK2492" s="94" t="n"/>
      <c r="AL2492" s="84" t="n"/>
    </row>
    <row r="2493">
      <c r="A2493" s="64" t="n"/>
      <c r="B2493" s="65" t="n"/>
      <c r="C2493" s="66" t="n"/>
      <c r="D2493" s="67" t="n"/>
      <c r="E2493" s="68" t="n"/>
      <c r="F2493" s="47">
        <f>IF(A2493="","",IF(MIN(H2493,MAX(J2493:K2493))=0,"",MIN(H2493,MAX(J2493:K2493))))</f>
        <v/>
      </c>
      <c r="G2493" s="74" t="n"/>
      <c r="H2493" s="49">
        <f>IF(M2493="","",IFERROR(ROUND(AVERAGE(T2493+M2493*{7,8,9,10,11})/1.21,4),""))</f>
        <v/>
      </c>
      <c r="I2493" s="76" t="n"/>
      <c r="J2493" s="77" t="n"/>
      <c r="K2493" s="74" t="n"/>
      <c r="L2493" s="78" t="n"/>
      <c r="M2493" s="77" t="n"/>
      <c r="N2493" s="53">
        <f>IF(M2493="","",IFERROR(M2493/I2493,""))</f>
        <v/>
      </c>
      <c r="O2493" s="50">
        <f>IF(A2493="","",IFERROR((IF(G2493="",I2493,G2493)-T2493)/M2493,""))</f>
        <v/>
      </c>
      <c r="P2493" s="50">
        <f>IFERROR((I2493/T2493-1)/N2493,"")</f>
        <v/>
      </c>
      <c r="Q2493" s="46">
        <f>IF(OR(T2493="",I2493&lt;T2493),"",IFERROR(R2493/IF(G2493="",I2493,G2493)-1,""))</f>
        <v/>
      </c>
      <c r="R2493" s="48">
        <f>IF($M2493="","",MAX(IF($G2493="",$I2493,$G2493)*(1/1.1),IF($G2493="",$I2493,$G2493)+(R$2*$M2493)))</f>
        <v/>
      </c>
      <c r="S2493" s="49">
        <f>IF($M2493="","",MAX(IF($G2493="",$I2493,$G2493)*(1/1.1),IF($G2493="",$I2493,$G2493)+(S$2*$M2493)))</f>
        <v/>
      </c>
      <c r="T2493" s="82" t="n"/>
      <c r="U2493" s="47">
        <f>IF(OR($M2493="",$T2493=""),"",$T2493+(U$2*$M2493))</f>
        <v/>
      </c>
      <c r="V2493" s="48">
        <f>IF(OR($M2493="",$T2493=""),"",$T2493+(V$2*$M2493))</f>
        <v/>
      </c>
      <c r="W2493" s="48">
        <f>IF(OR($M2493="",$T2493=""),"",$T2493+(W$2*$M2493))</f>
        <v/>
      </c>
      <c r="X2493" s="49">
        <f>IF(OR($M2493="",$T2493=""),"",$T2493+(X$2*$M2493))</f>
        <v/>
      </c>
      <c r="Y2493" s="47">
        <f>IF(OR($M2493="",$T2493=""),"",$T2493+(Y$2*$M2493))</f>
        <v/>
      </c>
      <c r="Z2493" s="49">
        <f>IF(OR($M2493="",$T2493=""),"",$T2493+(Z$2*$M2493))</f>
        <v/>
      </c>
      <c r="AA2493" s="51">
        <f>IF(OR($M2493="",$T2493=""),"",$T2493+(AA$2*$M2493))</f>
        <v/>
      </c>
      <c r="AB2493" s="48">
        <f>IF(OR($M2493="",$T2493=""),"",$T2493+(AB$2*$M2493))</f>
        <v/>
      </c>
      <c r="AC2493" s="48">
        <f>IF(OR($M2493="",$T2493=""),"",$T2493+(AC$2*$M2493))</f>
        <v/>
      </c>
      <c r="AD2493" s="48">
        <f>IF(OR($M2493="",$T2493=""),"",$T2493+(AD$2*$M2493))</f>
        <v/>
      </c>
      <c r="AE2493" s="49">
        <f>IF(OR($M2493="",$T2493=""),"",$T2493+(AE$2*$M2493))</f>
        <v/>
      </c>
      <c r="AF2493" s="52">
        <f>IF(OR(T2493="",I2493&lt;T2493),"",IFERROR(AVERAGE(T2493+M2493*{7,8,9,10,11})/IF(G2493="",I2493,G2493)-1,""))</f>
        <v/>
      </c>
      <c r="AG2493" s="55">
        <f>IF(OR(T2493="",I2493&lt;T2493),"",IFERROR(AF2493/-(R2493/IF(G2493="",I2493,G2493)-1),""))</f>
        <v/>
      </c>
      <c r="AH2493" s="94" t="n"/>
      <c r="AI2493" s="94" t="n"/>
      <c r="AJ2493" s="94" t="n"/>
      <c r="AK2493" s="94" t="n"/>
      <c r="AL2493" s="84" t="n"/>
    </row>
    <row r="2494">
      <c r="A2494" s="64" t="n"/>
      <c r="B2494" s="65" t="n"/>
      <c r="C2494" s="66" t="n"/>
      <c r="D2494" s="67" t="n"/>
      <c r="E2494" s="68" t="n"/>
      <c r="F2494" s="47">
        <f>IF(A2494="","",IF(MIN(H2494,MAX(J2494:K2494))=0,"",MIN(H2494,MAX(J2494:K2494))))</f>
        <v/>
      </c>
      <c r="G2494" s="74" t="n"/>
      <c r="H2494" s="49">
        <f>IF(M2494="","",IFERROR(ROUND(AVERAGE(T2494+M2494*{7,8,9,10,11})/1.21,4),""))</f>
        <v/>
      </c>
      <c r="I2494" s="76" t="n"/>
      <c r="J2494" s="77" t="n"/>
      <c r="K2494" s="74" t="n"/>
      <c r="L2494" s="78" t="n"/>
      <c r="M2494" s="77" t="n"/>
      <c r="N2494" s="53">
        <f>IF(M2494="","",IFERROR(M2494/I2494,""))</f>
        <v/>
      </c>
      <c r="O2494" s="50">
        <f>IF(A2494="","",IFERROR((IF(G2494="",I2494,G2494)-T2494)/M2494,""))</f>
        <v/>
      </c>
      <c r="P2494" s="50">
        <f>IFERROR((I2494/T2494-1)/N2494,"")</f>
        <v/>
      </c>
      <c r="Q2494" s="46">
        <f>IF(OR(T2494="",I2494&lt;T2494),"",IFERROR(R2494/IF(G2494="",I2494,G2494)-1,""))</f>
        <v/>
      </c>
      <c r="R2494" s="48">
        <f>IF($M2494="","",MAX(IF($G2494="",$I2494,$G2494)*(1/1.1),IF($G2494="",$I2494,$G2494)+(R$2*$M2494)))</f>
        <v/>
      </c>
      <c r="S2494" s="49">
        <f>IF($M2494="","",MAX(IF($G2494="",$I2494,$G2494)*(1/1.1),IF($G2494="",$I2494,$G2494)+(S$2*$M2494)))</f>
        <v/>
      </c>
      <c r="T2494" s="82" t="n"/>
      <c r="U2494" s="47">
        <f>IF(OR($M2494="",$T2494=""),"",$T2494+(U$2*$M2494))</f>
        <v/>
      </c>
      <c r="V2494" s="48">
        <f>IF(OR($M2494="",$T2494=""),"",$T2494+(V$2*$M2494))</f>
        <v/>
      </c>
      <c r="W2494" s="48">
        <f>IF(OR($M2494="",$T2494=""),"",$T2494+(W$2*$M2494))</f>
        <v/>
      </c>
      <c r="X2494" s="49">
        <f>IF(OR($M2494="",$T2494=""),"",$T2494+(X$2*$M2494))</f>
        <v/>
      </c>
      <c r="Y2494" s="47">
        <f>IF(OR($M2494="",$T2494=""),"",$T2494+(Y$2*$M2494))</f>
        <v/>
      </c>
      <c r="Z2494" s="49">
        <f>IF(OR($M2494="",$T2494=""),"",$T2494+(Z$2*$M2494))</f>
        <v/>
      </c>
      <c r="AA2494" s="51">
        <f>IF(OR($M2494="",$T2494=""),"",$T2494+(AA$2*$M2494))</f>
        <v/>
      </c>
      <c r="AB2494" s="48">
        <f>IF(OR($M2494="",$T2494=""),"",$T2494+(AB$2*$M2494))</f>
        <v/>
      </c>
      <c r="AC2494" s="48">
        <f>IF(OR($M2494="",$T2494=""),"",$T2494+(AC$2*$M2494))</f>
        <v/>
      </c>
      <c r="AD2494" s="48">
        <f>IF(OR($M2494="",$T2494=""),"",$T2494+(AD$2*$M2494))</f>
        <v/>
      </c>
      <c r="AE2494" s="49">
        <f>IF(OR($M2494="",$T2494=""),"",$T2494+(AE$2*$M2494))</f>
        <v/>
      </c>
      <c r="AF2494" s="52">
        <f>IF(OR(T2494="",I2494&lt;T2494),"",IFERROR(AVERAGE(T2494+M2494*{7,8,9,10,11})/IF(G2494="",I2494,G2494)-1,""))</f>
        <v/>
      </c>
      <c r="AG2494" s="55">
        <f>IF(OR(T2494="",I2494&lt;T2494),"",IFERROR(AF2494/-(R2494/IF(G2494="",I2494,G2494)-1),""))</f>
        <v/>
      </c>
      <c r="AH2494" s="94" t="n"/>
      <c r="AI2494" s="94" t="n"/>
      <c r="AJ2494" s="94" t="n"/>
      <c r="AK2494" s="94" t="n"/>
      <c r="AL2494" s="84" t="n"/>
    </row>
    <row r="2495">
      <c r="A2495" s="64" t="n"/>
      <c r="B2495" s="65" t="n"/>
      <c r="C2495" s="66" t="n"/>
      <c r="D2495" s="67" t="n"/>
      <c r="E2495" s="68" t="n"/>
      <c r="F2495" s="47">
        <f>IF(A2495="","",IF(MIN(H2495,MAX(J2495:K2495))=0,"",MIN(H2495,MAX(J2495:K2495))))</f>
        <v/>
      </c>
      <c r="G2495" s="74" t="n"/>
      <c r="H2495" s="49">
        <f>IF(M2495="","",IFERROR(ROUND(AVERAGE(T2495+M2495*{7,8,9,10,11})/1.21,4),""))</f>
        <v/>
      </c>
      <c r="I2495" s="76" t="n"/>
      <c r="J2495" s="77" t="n"/>
      <c r="K2495" s="74" t="n"/>
      <c r="L2495" s="78" t="n"/>
      <c r="M2495" s="77" t="n"/>
      <c r="N2495" s="53">
        <f>IF(M2495="","",IFERROR(M2495/I2495,""))</f>
        <v/>
      </c>
      <c r="O2495" s="50">
        <f>IF(A2495="","",IFERROR((IF(G2495="",I2495,G2495)-T2495)/M2495,""))</f>
        <v/>
      </c>
      <c r="P2495" s="50">
        <f>IFERROR((I2495/T2495-1)/N2495,"")</f>
        <v/>
      </c>
      <c r="Q2495" s="46">
        <f>IF(OR(T2495="",I2495&lt;T2495),"",IFERROR(R2495/IF(G2495="",I2495,G2495)-1,""))</f>
        <v/>
      </c>
      <c r="R2495" s="48">
        <f>IF($M2495="","",MAX(IF($G2495="",$I2495,$G2495)*(1/1.1),IF($G2495="",$I2495,$G2495)+(R$2*$M2495)))</f>
        <v/>
      </c>
      <c r="S2495" s="49">
        <f>IF($M2495="","",MAX(IF($G2495="",$I2495,$G2495)*(1/1.1),IF($G2495="",$I2495,$G2495)+(S$2*$M2495)))</f>
        <v/>
      </c>
      <c r="T2495" s="82" t="n"/>
      <c r="U2495" s="47">
        <f>IF(OR($M2495="",$T2495=""),"",$T2495+(U$2*$M2495))</f>
        <v/>
      </c>
      <c r="V2495" s="48">
        <f>IF(OR($M2495="",$T2495=""),"",$T2495+(V$2*$M2495))</f>
        <v/>
      </c>
      <c r="W2495" s="48">
        <f>IF(OR($M2495="",$T2495=""),"",$T2495+(W$2*$M2495))</f>
        <v/>
      </c>
      <c r="X2495" s="49">
        <f>IF(OR($M2495="",$T2495=""),"",$T2495+(X$2*$M2495))</f>
        <v/>
      </c>
      <c r="Y2495" s="47">
        <f>IF(OR($M2495="",$T2495=""),"",$T2495+(Y$2*$M2495))</f>
        <v/>
      </c>
      <c r="Z2495" s="49">
        <f>IF(OR($M2495="",$T2495=""),"",$T2495+(Z$2*$M2495))</f>
        <v/>
      </c>
      <c r="AA2495" s="51">
        <f>IF(OR($M2495="",$T2495=""),"",$T2495+(AA$2*$M2495))</f>
        <v/>
      </c>
      <c r="AB2495" s="48">
        <f>IF(OR($M2495="",$T2495=""),"",$T2495+(AB$2*$M2495))</f>
        <v/>
      </c>
      <c r="AC2495" s="48">
        <f>IF(OR($M2495="",$T2495=""),"",$T2495+(AC$2*$M2495))</f>
        <v/>
      </c>
      <c r="AD2495" s="48">
        <f>IF(OR($M2495="",$T2495=""),"",$T2495+(AD$2*$M2495))</f>
        <v/>
      </c>
      <c r="AE2495" s="49">
        <f>IF(OR($M2495="",$T2495=""),"",$T2495+(AE$2*$M2495))</f>
        <v/>
      </c>
      <c r="AF2495" s="52">
        <f>IF(OR(T2495="",I2495&lt;T2495),"",IFERROR(AVERAGE(T2495+M2495*{7,8,9,10,11})/IF(G2495="",I2495,G2495)-1,""))</f>
        <v/>
      </c>
      <c r="AG2495" s="55">
        <f>IF(OR(T2495="",I2495&lt;T2495),"",IFERROR(AF2495/-(R2495/IF(G2495="",I2495,G2495)-1),""))</f>
        <v/>
      </c>
      <c r="AH2495" s="94" t="n"/>
      <c r="AI2495" s="94" t="n"/>
      <c r="AJ2495" s="94" t="n"/>
      <c r="AK2495" s="94" t="n"/>
      <c r="AL2495" s="84" t="n"/>
    </row>
    <row r="2496">
      <c r="A2496" s="64" t="n"/>
      <c r="B2496" s="65" t="n"/>
      <c r="C2496" s="66" t="n"/>
      <c r="D2496" s="67" t="n"/>
      <c r="E2496" s="68" t="n"/>
      <c r="F2496" s="47">
        <f>IF(A2496="","",IF(MIN(H2496,MAX(J2496:K2496))=0,"",MIN(H2496,MAX(J2496:K2496))))</f>
        <v/>
      </c>
      <c r="G2496" s="74" t="n"/>
      <c r="H2496" s="49">
        <f>IF(M2496="","",IFERROR(ROUND(AVERAGE(T2496+M2496*{7,8,9,10,11})/1.21,4),""))</f>
        <v/>
      </c>
      <c r="I2496" s="76" t="n"/>
      <c r="J2496" s="77" t="n"/>
      <c r="K2496" s="74" t="n"/>
      <c r="L2496" s="78" t="n"/>
      <c r="M2496" s="77" t="n"/>
      <c r="N2496" s="53">
        <f>IF(M2496="","",IFERROR(M2496/I2496,""))</f>
        <v/>
      </c>
      <c r="O2496" s="50">
        <f>IF(A2496="","",IFERROR((IF(G2496="",I2496,G2496)-T2496)/M2496,""))</f>
        <v/>
      </c>
      <c r="P2496" s="50">
        <f>IFERROR((I2496/T2496-1)/N2496,"")</f>
        <v/>
      </c>
      <c r="Q2496" s="46">
        <f>IF(OR(T2496="",I2496&lt;T2496),"",IFERROR(R2496/IF(G2496="",I2496,G2496)-1,""))</f>
        <v/>
      </c>
      <c r="R2496" s="48">
        <f>IF($M2496="","",MAX(IF($G2496="",$I2496,$G2496)*(1/1.1),IF($G2496="",$I2496,$G2496)+(R$2*$M2496)))</f>
        <v/>
      </c>
      <c r="S2496" s="49">
        <f>IF($M2496="","",MAX(IF($G2496="",$I2496,$G2496)*(1/1.1),IF($G2496="",$I2496,$G2496)+(S$2*$M2496)))</f>
        <v/>
      </c>
      <c r="T2496" s="82" t="n"/>
      <c r="U2496" s="47">
        <f>IF(OR($M2496="",$T2496=""),"",$T2496+(U$2*$M2496))</f>
        <v/>
      </c>
      <c r="V2496" s="48">
        <f>IF(OR($M2496="",$T2496=""),"",$T2496+(V$2*$M2496))</f>
        <v/>
      </c>
      <c r="W2496" s="48">
        <f>IF(OR($M2496="",$T2496=""),"",$T2496+(W$2*$M2496))</f>
        <v/>
      </c>
      <c r="X2496" s="49">
        <f>IF(OR($M2496="",$T2496=""),"",$T2496+(X$2*$M2496))</f>
        <v/>
      </c>
      <c r="Y2496" s="47">
        <f>IF(OR($M2496="",$T2496=""),"",$T2496+(Y$2*$M2496))</f>
        <v/>
      </c>
      <c r="Z2496" s="49">
        <f>IF(OR($M2496="",$T2496=""),"",$T2496+(Z$2*$M2496))</f>
        <v/>
      </c>
      <c r="AA2496" s="51">
        <f>IF(OR($M2496="",$T2496=""),"",$T2496+(AA$2*$M2496))</f>
        <v/>
      </c>
      <c r="AB2496" s="48">
        <f>IF(OR($M2496="",$T2496=""),"",$T2496+(AB$2*$M2496))</f>
        <v/>
      </c>
      <c r="AC2496" s="48">
        <f>IF(OR($M2496="",$T2496=""),"",$T2496+(AC$2*$M2496))</f>
        <v/>
      </c>
      <c r="AD2496" s="48">
        <f>IF(OR($M2496="",$T2496=""),"",$T2496+(AD$2*$M2496))</f>
        <v/>
      </c>
      <c r="AE2496" s="49">
        <f>IF(OR($M2496="",$T2496=""),"",$T2496+(AE$2*$M2496))</f>
        <v/>
      </c>
      <c r="AF2496" s="52">
        <f>IF(OR(T2496="",I2496&lt;T2496),"",IFERROR(AVERAGE(T2496+M2496*{7,8,9,10,11})/IF(G2496="",I2496,G2496)-1,""))</f>
        <v/>
      </c>
      <c r="AG2496" s="55">
        <f>IF(OR(T2496="",I2496&lt;T2496),"",IFERROR(AF2496/-(R2496/IF(G2496="",I2496,G2496)-1),""))</f>
        <v/>
      </c>
      <c r="AH2496" s="94" t="n"/>
      <c r="AI2496" s="94" t="n"/>
      <c r="AJ2496" s="94" t="n"/>
      <c r="AK2496" s="94" t="n"/>
      <c r="AL2496" s="84" t="n"/>
    </row>
    <row r="2497">
      <c r="A2497" s="64" t="n"/>
      <c r="B2497" s="65" t="n"/>
      <c r="C2497" s="66" t="n"/>
      <c r="D2497" s="67" t="n"/>
      <c r="E2497" s="68" t="n"/>
      <c r="F2497" s="47">
        <f>IF(A2497="","",IF(MIN(H2497,MAX(J2497:K2497))=0,"",MIN(H2497,MAX(J2497:K2497))))</f>
        <v/>
      </c>
      <c r="G2497" s="74" t="n"/>
      <c r="H2497" s="49">
        <f>IF(M2497="","",IFERROR(ROUND(AVERAGE(T2497+M2497*{7,8,9,10,11})/1.21,4),""))</f>
        <v/>
      </c>
      <c r="I2497" s="76" t="n"/>
      <c r="J2497" s="77" t="n"/>
      <c r="K2497" s="74" t="n"/>
      <c r="L2497" s="78" t="n"/>
      <c r="M2497" s="77" t="n"/>
      <c r="N2497" s="53">
        <f>IF(M2497="","",IFERROR(M2497/I2497,""))</f>
        <v/>
      </c>
      <c r="O2497" s="50">
        <f>IF(A2497="","",IFERROR((IF(G2497="",I2497,G2497)-T2497)/M2497,""))</f>
        <v/>
      </c>
      <c r="P2497" s="50">
        <f>IFERROR((I2497/T2497-1)/N2497,"")</f>
        <v/>
      </c>
      <c r="Q2497" s="46">
        <f>IF(OR(T2497="",I2497&lt;T2497),"",IFERROR(R2497/IF(G2497="",I2497,G2497)-1,""))</f>
        <v/>
      </c>
      <c r="R2497" s="48">
        <f>IF($M2497="","",MAX(IF($G2497="",$I2497,$G2497)*(1/1.1),IF($G2497="",$I2497,$G2497)+(R$2*$M2497)))</f>
        <v/>
      </c>
      <c r="S2497" s="49">
        <f>IF($M2497="","",MAX(IF($G2497="",$I2497,$G2497)*(1/1.1),IF($G2497="",$I2497,$G2497)+(S$2*$M2497)))</f>
        <v/>
      </c>
      <c r="T2497" s="82" t="n"/>
      <c r="U2497" s="47">
        <f>IF(OR($M2497="",$T2497=""),"",$T2497+(U$2*$M2497))</f>
        <v/>
      </c>
      <c r="V2497" s="48">
        <f>IF(OR($M2497="",$T2497=""),"",$T2497+(V$2*$M2497))</f>
        <v/>
      </c>
      <c r="W2497" s="48">
        <f>IF(OR($M2497="",$T2497=""),"",$T2497+(W$2*$M2497))</f>
        <v/>
      </c>
      <c r="X2497" s="49">
        <f>IF(OR($M2497="",$T2497=""),"",$T2497+(X$2*$M2497))</f>
        <v/>
      </c>
      <c r="Y2497" s="47">
        <f>IF(OR($M2497="",$T2497=""),"",$T2497+(Y$2*$M2497))</f>
        <v/>
      </c>
      <c r="Z2497" s="49">
        <f>IF(OR($M2497="",$T2497=""),"",$T2497+(Z$2*$M2497))</f>
        <v/>
      </c>
      <c r="AA2497" s="51">
        <f>IF(OR($M2497="",$T2497=""),"",$T2497+(AA$2*$M2497))</f>
        <v/>
      </c>
      <c r="AB2497" s="48">
        <f>IF(OR($M2497="",$T2497=""),"",$T2497+(AB$2*$M2497))</f>
        <v/>
      </c>
      <c r="AC2497" s="48">
        <f>IF(OR($M2497="",$T2497=""),"",$T2497+(AC$2*$M2497))</f>
        <v/>
      </c>
      <c r="AD2497" s="48">
        <f>IF(OR($M2497="",$T2497=""),"",$T2497+(AD$2*$M2497))</f>
        <v/>
      </c>
      <c r="AE2497" s="49">
        <f>IF(OR($M2497="",$T2497=""),"",$T2497+(AE$2*$M2497))</f>
        <v/>
      </c>
      <c r="AF2497" s="52">
        <f>IF(OR(T2497="",I2497&lt;T2497),"",IFERROR(AVERAGE(T2497+M2497*{7,8,9,10,11})/IF(G2497="",I2497,G2497)-1,""))</f>
        <v/>
      </c>
      <c r="AG2497" s="55">
        <f>IF(OR(T2497="",I2497&lt;T2497),"",IFERROR(AF2497/-(R2497/IF(G2497="",I2497,G2497)-1),""))</f>
        <v/>
      </c>
      <c r="AH2497" s="94" t="n"/>
      <c r="AI2497" s="94" t="n"/>
      <c r="AJ2497" s="94" t="n"/>
      <c r="AK2497" s="94" t="n"/>
      <c r="AL2497" s="84" t="n"/>
    </row>
    <row r="2498">
      <c r="A2498" s="64" t="n"/>
      <c r="B2498" s="65" t="n"/>
      <c r="C2498" s="66" t="n"/>
      <c r="D2498" s="67" t="n"/>
      <c r="E2498" s="68" t="n"/>
      <c r="F2498" s="47">
        <f>IF(A2498="","",IF(MIN(H2498,MAX(J2498:K2498))=0,"",MIN(H2498,MAX(J2498:K2498))))</f>
        <v/>
      </c>
      <c r="G2498" s="74" t="n"/>
      <c r="H2498" s="49">
        <f>IF(M2498="","",IFERROR(ROUND(AVERAGE(T2498+M2498*{7,8,9,10,11})/1.21,4),""))</f>
        <v/>
      </c>
      <c r="I2498" s="76" t="n"/>
      <c r="J2498" s="77" t="n"/>
      <c r="K2498" s="74" t="n"/>
      <c r="L2498" s="78" t="n"/>
      <c r="M2498" s="77" t="n"/>
      <c r="N2498" s="53">
        <f>IF(M2498="","",IFERROR(M2498/I2498,""))</f>
        <v/>
      </c>
      <c r="O2498" s="50">
        <f>IF(A2498="","",IFERROR((IF(G2498="",I2498,G2498)-T2498)/M2498,""))</f>
        <v/>
      </c>
      <c r="P2498" s="50">
        <f>IFERROR((I2498/T2498-1)/N2498,"")</f>
        <v/>
      </c>
      <c r="Q2498" s="46">
        <f>IF(OR(T2498="",I2498&lt;T2498),"",IFERROR(R2498/IF(G2498="",I2498,G2498)-1,""))</f>
        <v/>
      </c>
      <c r="R2498" s="48">
        <f>IF($M2498="","",MAX(IF($G2498="",$I2498,$G2498)*(1/1.1),IF($G2498="",$I2498,$G2498)+(R$2*$M2498)))</f>
        <v/>
      </c>
      <c r="S2498" s="49">
        <f>IF($M2498="","",MAX(IF($G2498="",$I2498,$G2498)*(1/1.1),IF($G2498="",$I2498,$G2498)+(S$2*$M2498)))</f>
        <v/>
      </c>
      <c r="T2498" s="82" t="n"/>
      <c r="U2498" s="47">
        <f>IF(OR($M2498="",$T2498=""),"",$T2498+(U$2*$M2498))</f>
        <v/>
      </c>
      <c r="V2498" s="48">
        <f>IF(OR($M2498="",$T2498=""),"",$T2498+(V$2*$M2498))</f>
        <v/>
      </c>
      <c r="W2498" s="48">
        <f>IF(OR($M2498="",$T2498=""),"",$T2498+(W$2*$M2498))</f>
        <v/>
      </c>
      <c r="X2498" s="49">
        <f>IF(OR($M2498="",$T2498=""),"",$T2498+(X$2*$M2498))</f>
        <v/>
      </c>
      <c r="Y2498" s="47">
        <f>IF(OR($M2498="",$T2498=""),"",$T2498+(Y$2*$M2498))</f>
        <v/>
      </c>
      <c r="Z2498" s="49">
        <f>IF(OR($M2498="",$T2498=""),"",$T2498+(Z$2*$M2498))</f>
        <v/>
      </c>
      <c r="AA2498" s="51">
        <f>IF(OR($M2498="",$T2498=""),"",$T2498+(AA$2*$M2498))</f>
        <v/>
      </c>
      <c r="AB2498" s="48">
        <f>IF(OR($M2498="",$T2498=""),"",$T2498+(AB$2*$M2498))</f>
        <v/>
      </c>
      <c r="AC2498" s="48">
        <f>IF(OR($M2498="",$T2498=""),"",$T2498+(AC$2*$M2498))</f>
        <v/>
      </c>
      <c r="AD2498" s="48">
        <f>IF(OR($M2498="",$T2498=""),"",$T2498+(AD$2*$M2498))</f>
        <v/>
      </c>
      <c r="AE2498" s="49">
        <f>IF(OR($M2498="",$T2498=""),"",$T2498+(AE$2*$M2498))</f>
        <v/>
      </c>
      <c r="AF2498" s="52">
        <f>IF(OR(T2498="",I2498&lt;T2498),"",IFERROR(AVERAGE(T2498+M2498*{7,8,9,10,11})/IF(G2498="",I2498,G2498)-1,""))</f>
        <v/>
      </c>
      <c r="AG2498" s="55">
        <f>IF(OR(T2498="",I2498&lt;T2498),"",IFERROR(AF2498/-(R2498/IF(G2498="",I2498,G2498)-1),""))</f>
        <v/>
      </c>
      <c r="AH2498" s="94" t="n"/>
      <c r="AI2498" s="94" t="n"/>
      <c r="AJ2498" s="94" t="n"/>
      <c r="AK2498" s="94" t="n"/>
      <c r="AL2498" s="84" t="n"/>
    </row>
    <row r="2499">
      <c r="A2499" s="64" t="n"/>
      <c r="B2499" s="65" t="n"/>
      <c r="C2499" s="66" t="n"/>
      <c r="D2499" s="67" t="n"/>
      <c r="E2499" s="68" t="n"/>
      <c r="F2499" s="47">
        <f>IF(A2499="","",IF(MIN(H2499,MAX(J2499:K2499))=0,"",MIN(H2499,MAX(J2499:K2499))))</f>
        <v/>
      </c>
      <c r="G2499" s="74" t="n"/>
      <c r="H2499" s="49">
        <f>IF(M2499="","",IFERROR(ROUND(AVERAGE(T2499+M2499*{7,8,9,10,11})/1.21,4),""))</f>
        <v/>
      </c>
      <c r="I2499" s="76" t="n"/>
      <c r="J2499" s="77" t="n"/>
      <c r="K2499" s="74" t="n"/>
      <c r="L2499" s="78" t="n"/>
      <c r="M2499" s="77" t="n"/>
      <c r="N2499" s="53">
        <f>IF(M2499="","",IFERROR(M2499/I2499,""))</f>
        <v/>
      </c>
      <c r="O2499" s="50">
        <f>IF(A2499="","",IFERROR((IF(G2499="",I2499,G2499)-T2499)/M2499,""))</f>
        <v/>
      </c>
      <c r="P2499" s="50">
        <f>IFERROR((I2499/T2499-1)/N2499,"")</f>
        <v/>
      </c>
      <c r="Q2499" s="46">
        <f>IF(OR(T2499="",I2499&lt;T2499),"",IFERROR(R2499/IF(G2499="",I2499,G2499)-1,""))</f>
        <v/>
      </c>
      <c r="R2499" s="48">
        <f>IF($M2499="","",MAX(IF($G2499="",$I2499,$G2499)*(1/1.1),IF($G2499="",$I2499,$G2499)+(R$2*$M2499)))</f>
        <v/>
      </c>
      <c r="S2499" s="49">
        <f>IF($M2499="","",MAX(IF($G2499="",$I2499,$G2499)*(1/1.1),IF($G2499="",$I2499,$G2499)+(S$2*$M2499)))</f>
        <v/>
      </c>
      <c r="T2499" s="82" t="n"/>
      <c r="U2499" s="47">
        <f>IF(OR($M2499="",$T2499=""),"",$T2499+(U$2*$M2499))</f>
        <v/>
      </c>
      <c r="V2499" s="48">
        <f>IF(OR($M2499="",$T2499=""),"",$T2499+(V$2*$M2499))</f>
        <v/>
      </c>
      <c r="W2499" s="48">
        <f>IF(OR($M2499="",$T2499=""),"",$T2499+(W$2*$M2499))</f>
        <v/>
      </c>
      <c r="X2499" s="49">
        <f>IF(OR($M2499="",$T2499=""),"",$T2499+(X$2*$M2499))</f>
        <v/>
      </c>
      <c r="Y2499" s="47">
        <f>IF(OR($M2499="",$T2499=""),"",$T2499+(Y$2*$M2499))</f>
        <v/>
      </c>
      <c r="Z2499" s="49">
        <f>IF(OR($M2499="",$T2499=""),"",$T2499+(Z$2*$M2499))</f>
        <v/>
      </c>
      <c r="AA2499" s="51">
        <f>IF(OR($M2499="",$T2499=""),"",$T2499+(AA$2*$M2499))</f>
        <v/>
      </c>
      <c r="AB2499" s="48">
        <f>IF(OR($M2499="",$T2499=""),"",$T2499+(AB$2*$M2499))</f>
        <v/>
      </c>
      <c r="AC2499" s="48">
        <f>IF(OR($M2499="",$T2499=""),"",$T2499+(AC$2*$M2499))</f>
        <v/>
      </c>
      <c r="AD2499" s="48">
        <f>IF(OR($M2499="",$T2499=""),"",$T2499+(AD$2*$M2499))</f>
        <v/>
      </c>
      <c r="AE2499" s="49">
        <f>IF(OR($M2499="",$T2499=""),"",$T2499+(AE$2*$M2499))</f>
        <v/>
      </c>
      <c r="AF2499" s="52">
        <f>IF(OR(T2499="",I2499&lt;T2499),"",IFERROR(AVERAGE(T2499+M2499*{7,8,9,10,11})/IF(G2499="",I2499,G2499)-1,""))</f>
        <v/>
      </c>
      <c r="AG2499" s="55">
        <f>IF(OR(T2499="",I2499&lt;T2499),"",IFERROR(AF2499/-(R2499/IF(G2499="",I2499,G2499)-1),""))</f>
        <v/>
      </c>
      <c r="AH2499" s="94" t="n"/>
      <c r="AI2499" s="94" t="n"/>
      <c r="AJ2499" s="94" t="n"/>
      <c r="AK2499" s="94" t="n"/>
      <c r="AL2499" s="84" t="n"/>
    </row>
    <row r="2500">
      <c r="A2500" s="64" t="n"/>
      <c r="B2500" s="65" t="n"/>
      <c r="C2500" s="66" t="n"/>
      <c r="D2500" s="67" t="n"/>
      <c r="E2500" s="68" t="n"/>
      <c r="F2500" s="47">
        <f>IF(A2500="","",IF(MIN(H2500,MAX(J2500:K2500))=0,"",MIN(H2500,MAX(J2500:K2500))))</f>
        <v/>
      </c>
      <c r="G2500" s="74" t="n"/>
      <c r="H2500" s="49">
        <f>IF(M2500="","",IFERROR(ROUND(AVERAGE(T2500+M2500*{7,8,9,10,11})/1.21,4),""))</f>
        <v/>
      </c>
      <c r="I2500" s="76" t="n"/>
      <c r="J2500" s="77" t="n"/>
      <c r="K2500" s="74" t="n"/>
      <c r="L2500" s="78" t="n"/>
      <c r="M2500" s="77" t="n"/>
      <c r="N2500" s="53">
        <f>IF(M2500="","",IFERROR(M2500/I2500,""))</f>
        <v/>
      </c>
      <c r="O2500" s="50">
        <f>IF(A2500="","",IFERROR((IF(G2500="",I2500,G2500)-T2500)/M2500,""))</f>
        <v/>
      </c>
      <c r="P2500" s="50">
        <f>IFERROR((I2500/T2500-1)/N2500,"")</f>
        <v/>
      </c>
      <c r="Q2500" s="46">
        <f>IF(OR(T2500="",I2500&lt;T2500),"",IFERROR(R2500/IF(G2500="",I2500,G2500)-1,""))</f>
        <v/>
      </c>
      <c r="R2500" s="48">
        <f>IF($M2500="","",MAX(IF($G2500="",$I2500,$G2500)*(1/1.1),IF($G2500="",$I2500,$G2500)+(R$2*$M2500)))</f>
        <v/>
      </c>
      <c r="S2500" s="49">
        <f>IF($M2500="","",MAX(IF($G2500="",$I2500,$G2500)*(1/1.1),IF($G2500="",$I2500,$G2500)+(S$2*$M2500)))</f>
        <v/>
      </c>
      <c r="T2500" s="82" t="n"/>
      <c r="U2500" s="47">
        <f>IF(OR($M2500="",$T2500=""),"",$T2500+(U$2*$M2500))</f>
        <v/>
      </c>
      <c r="V2500" s="48">
        <f>IF(OR($M2500="",$T2500=""),"",$T2500+(V$2*$M2500))</f>
        <v/>
      </c>
      <c r="W2500" s="48">
        <f>IF(OR($M2500="",$T2500=""),"",$T2500+(W$2*$M2500))</f>
        <v/>
      </c>
      <c r="X2500" s="49">
        <f>IF(OR($M2500="",$T2500=""),"",$T2500+(X$2*$M2500))</f>
        <v/>
      </c>
      <c r="Y2500" s="47">
        <f>IF(OR($M2500="",$T2500=""),"",$T2500+(Y$2*$M2500))</f>
        <v/>
      </c>
      <c r="Z2500" s="49">
        <f>IF(OR($M2500="",$T2500=""),"",$T2500+(Z$2*$M2500))</f>
        <v/>
      </c>
      <c r="AA2500" s="51">
        <f>IF(OR($M2500="",$T2500=""),"",$T2500+(AA$2*$M2500))</f>
        <v/>
      </c>
      <c r="AB2500" s="48">
        <f>IF(OR($M2500="",$T2500=""),"",$T2500+(AB$2*$M2500))</f>
        <v/>
      </c>
      <c r="AC2500" s="48">
        <f>IF(OR($M2500="",$T2500=""),"",$T2500+(AC$2*$M2500))</f>
        <v/>
      </c>
      <c r="AD2500" s="48">
        <f>IF(OR($M2500="",$T2500=""),"",$T2500+(AD$2*$M2500))</f>
        <v/>
      </c>
      <c r="AE2500" s="49">
        <f>IF(OR($M2500="",$T2500=""),"",$T2500+(AE$2*$M2500))</f>
        <v/>
      </c>
      <c r="AF2500" s="52">
        <f>IF(OR(T2500="",I2500&lt;T2500),"",IFERROR(AVERAGE(T2500+M2500*{7,8,9,10,11})/IF(G2500="",I2500,G2500)-1,""))</f>
        <v/>
      </c>
      <c r="AG2500" s="55">
        <f>IF(OR(T2500="",I2500&lt;T2500),"",IFERROR(AF2500/-(R2500/IF(G2500="",I2500,G2500)-1),""))</f>
        <v/>
      </c>
      <c r="AH2500" s="94" t="n"/>
      <c r="AI2500" s="94" t="n"/>
      <c r="AJ2500" s="94" t="n"/>
      <c r="AK2500" s="94" t="n"/>
      <c r="AL2500" s="84" t="n"/>
    </row>
    <row r="2501">
      <c r="A2501" s="64" t="n"/>
      <c r="B2501" s="65" t="n"/>
      <c r="C2501" s="66" t="n"/>
      <c r="D2501" s="67" t="n"/>
      <c r="E2501" s="68" t="n"/>
      <c r="F2501" s="47">
        <f>IF(A2501="","",IF(MIN(H2501,MAX(J2501:K2501))=0,"",MIN(H2501,MAX(J2501:K2501))))</f>
        <v/>
      </c>
      <c r="G2501" s="74" t="n"/>
      <c r="H2501" s="49">
        <f>IF(M2501="","",IFERROR(ROUND(AVERAGE(T2501+M2501*{7,8,9,10,11})/1.21,4),""))</f>
        <v/>
      </c>
      <c r="I2501" s="76" t="n"/>
      <c r="J2501" s="77" t="n"/>
      <c r="K2501" s="74" t="n"/>
      <c r="L2501" s="78" t="n"/>
      <c r="M2501" s="77" t="n"/>
      <c r="N2501" s="53">
        <f>IF(M2501="","",IFERROR(M2501/I2501,""))</f>
        <v/>
      </c>
      <c r="O2501" s="50">
        <f>IF(A2501="","",IFERROR((IF(G2501="",I2501,G2501)-T2501)/M2501,""))</f>
        <v/>
      </c>
      <c r="P2501" s="50">
        <f>IFERROR((I2501/T2501-1)/N2501,"")</f>
        <v/>
      </c>
      <c r="Q2501" s="46">
        <f>IF(OR(T2501="",I2501&lt;T2501),"",IFERROR(R2501/IF(G2501="",I2501,G2501)-1,""))</f>
        <v/>
      </c>
      <c r="R2501" s="48">
        <f>IF($M2501="","",MAX(IF($G2501="",$I2501,$G2501)*(1/1.1),IF($G2501="",$I2501,$G2501)+(R$2*$M2501)))</f>
        <v/>
      </c>
      <c r="S2501" s="49">
        <f>IF($M2501="","",MAX(IF($G2501="",$I2501,$G2501)*(1/1.1),IF($G2501="",$I2501,$G2501)+(S$2*$M2501)))</f>
        <v/>
      </c>
      <c r="T2501" s="82" t="n"/>
      <c r="U2501" s="47">
        <f>IF(OR($M2501="",$T2501=""),"",$T2501+(U$2*$M2501))</f>
        <v/>
      </c>
      <c r="V2501" s="48">
        <f>IF(OR($M2501="",$T2501=""),"",$T2501+(V$2*$M2501))</f>
        <v/>
      </c>
      <c r="W2501" s="48">
        <f>IF(OR($M2501="",$T2501=""),"",$T2501+(W$2*$M2501))</f>
        <v/>
      </c>
      <c r="X2501" s="49">
        <f>IF(OR($M2501="",$T2501=""),"",$T2501+(X$2*$M2501))</f>
        <v/>
      </c>
      <c r="Y2501" s="47">
        <f>IF(OR($M2501="",$T2501=""),"",$T2501+(Y$2*$M2501))</f>
        <v/>
      </c>
      <c r="Z2501" s="49">
        <f>IF(OR($M2501="",$T2501=""),"",$T2501+(Z$2*$M2501))</f>
        <v/>
      </c>
      <c r="AA2501" s="51">
        <f>IF(OR($M2501="",$T2501=""),"",$T2501+(AA$2*$M2501))</f>
        <v/>
      </c>
      <c r="AB2501" s="48">
        <f>IF(OR($M2501="",$T2501=""),"",$T2501+(AB$2*$M2501))</f>
        <v/>
      </c>
      <c r="AC2501" s="48">
        <f>IF(OR($M2501="",$T2501=""),"",$T2501+(AC$2*$M2501))</f>
        <v/>
      </c>
      <c r="AD2501" s="48">
        <f>IF(OR($M2501="",$T2501=""),"",$T2501+(AD$2*$M2501))</f>
        <v/>
      </c>
      <c r="AE2501" s="49">
        <f>IF(OR($M2501="",$T2501=""),"",$T2501+(AE$2*$M2501))</f>
        <v/>
      </c>
      <c r="AF2501" s="52">
        <f>IF(OR(T2501="",I2501&lt;T2501),"",IFERROR(AVERAGE(T2501+M2501*{7,8,9,10,11})/IF(G2501="",I2501,G2501)-1,""))</f>
        <v/>
      </c>
      <c r="AG2501" s="55">
        <f>IF(OR(T2501="",I2501&lt;T2501),"",IFERROR(AF2501/-(R2501/IF(G2501="",I2501,G2501)-1),""))</f>
        <v/>
      </c>
      <c r="AH2501" s="94" t="n"/>
      <c r="AI2501" s="94" t="n"/>
      <c r="AJ2501" s="94" t="n"/>
      <c r="AK2501" s="94" t="n"/>
      <c r="AL2501" s="84" t="n"/>
    </row>
    <row r="2502">
      <c r="A2502" s="64" t="n"/>
      <c r="B2502" s="65" t="n"/>
      <c r="C2502" s="66" t="n"/>
      <c r="D2502" s="67" t="n"/>
      <c r="E2502" s="68" t="n"/>
      <c r="F2502" s="47">
        <f>IF(A2502="","",IF(MIN(H2502,MAX(J2502:K2502))=0,"",MIN(H2502,MAX(J2502:K2502))))</f>
        <v/>
      </c>
      <c r="G2502" s="74" t="n"/>
      <c r="H2502" s="49">
        <f>IF(M2502="","",IFERROR(ROUND(AVERAGE(T2502+M2502*{7,8,9,10,11})/1.21,4),""))</f>
        <v/>
      </c>
      <c r="I2502" s="76" t="n"/>
      <c r="J2502" s="77" t="n"/>
      <c r="K2502" s="74" t="n"/>
      <c r="L2502" s="78" t="n"/>
      <c r="M2502" s="77" t="n"/>
      <c r="N2502" s="53">
        <f>IF(M2502="","",IFERROR(M2502/I2502,""))</f>
        <v/>
      </c>
      <c r="O2502" s="50">
        <f>IF(A2502="","",IFERROR((IF(G2502="",I2502,G2502)-T2502)/M2502,""))</f>
        <v/>
      </c>
      <c r="P2502" s="50">
        <f>IFERROR((I2502/T2502-1)/N2502,"")</f>
        <v/>
      </c>
      <c r="Q2502" s="46">
        <f>IF(OR(T2502="",I2502&lt;T2502),"",IFERROR(R2502/IF(G2502="",I2502,G2502)-1,""))</f>
        <v/>
      </c>
      <c r="R2502" s="48">
        <f>IF($M2502="","",MAX(IF($G2502="",$I2502,$G2502)*(1/1.1),IF($G2502="",$I2502,$G2502)+(R$2*$M2502)))</f>
        <v/>
      </c>
      <c r="S2502" s="49">
        <f>IF($M2502="","",MAX(IF($G2502="",$I2502,$G2502)*(1/1.1),IF($G2502="",$I2502,$G2502)+(S$2*$M2502)))</f>
        <v/>
      </c>
      <c r="T2502" s="82" t="n"/>
      <c r="U2502" s="47">
        <f>IF(OR($M2502="",$T2502=""),"",$T2502+(U$2*$M2502))</f>
        <v/>
      </c>
      <c r="V2502" s="48">
        <f>IF(OR($M2502="",$T2502=""),"",$T2502+(V$2*$M2502))</f>
        <v/>
      </c>
      <c r="W2502" s="48">
        <f>IF(OR($M2502="",$T2502=""),"",$T2502+(W$2*$M2502))</f>
        <v/>
      </c>
      <c r="X2502" s="49">
        <f>IF(OR($M2502="",$T2502=""),"",$T2502+(X$2*$M2502))</f>
        <v/>
      </c>
      <c r="Y2502" s="47">
        <f>IF(OR($M2502="",$T2502=""),"",$T2502+(Y$2*$M2502))</f>
        <v/>
      </c>
      <c r="Z2502" s="49">
        <f>IF(OR($M2502="",$T2502=""),"",$T2502+(Z$2*$M2502))</f>
        <v/>
      </c>
      <c r="AA2502" s="51">
        <f>IF(OR($M2502="",$T2502=""),"",$T2502+(AA$2*$M2502))</f>
        <v/>
      </c>
      <c r="AB2502" s="48">
        <f>IF(OR($M2502="",$T2502=""),"",$T2502+(AB$2*$M2502))</f>
        <v/>
      </c>
      <c r="AC2502" s="48">
        <f>IF(OR($M2502="",$T2502=""),"",$T2502+(AC$2*$M2502))</f>
        <v/>
      </c>
      <c r="AD2502" s="48">
        <f>IF(OR($M2502="",$T2502=""),"",$T2502+(AD$2*$M2502))</f>
        <v/>
      </c>
      <c r="AE2502" s="49">
        <f>IF(OR($M2502="",$T2502=""),"",$T2502+(AE$2*$M2502))</f>
        <v/>
      </c>
      <c r="AF2502" s="52">
        <f>IF(OR(T2502="",I2502&lt;T2502),"",IFERROR(AVERAGE(T2502+M2502*{7,8,9,10,11})/IF(G2502="",I2502,G2502)-1,""))</f>
        <v/>
      </c>
      <c r="AG2502" s="55">
        <f>IF(OR(T2502="",I2502&lt;T2502),"",IFERROR(AF2502/-(R2502/IF(G2502="",I2502,G2502)-1),""))</f>
        <v/>
      </c>
      <c r="AH2502" s="94" t="n"/>
      <c r="AI2502" s="94" t="n"/>
      <c r="AJ2502" s="94" t="n"/>
      <c r="AK2502" s="94" t="n"/>
      <c r="AL2502" s="84" t="n"/>
    </row>
    <row r="2503">
      <c r="A2503" s="64" t="n"/>
      <c r="B2503" s="65" t="n"/>
      <c r="C2503" s="66" t="n"/>
      <c r="D2503" s="67" t="n"/>
      <c r="E2503" s="68" t="n"/>
      <c r="F2503" s="47">
        <f>IF(A2503="","",IF(MIN(H2503,MAX(J2503:K2503))=0,"",MIN(H2503,MAX(J2503:K2503))))</f>
        <v/>
      </c>
      <c r="G2503" s="74" t="n"/>
      <c r="H2503" s="49">
        <f>IF(M2503="","",IFERROR(ROUND(AVERAGE(T2503+M2503*{7,8,9,10,11})/1.21,4),""))</f>
        <v/>
      </c>
      <c r="I2503" s="76" t="n"/>
      <c r="J2503" s="77" t="n"/>
      <c r="K2503" s="74" t="n"/>
      <c r="L2503" s="78" t="n"/>
      <c r="M2503" s="77" t="n"/>
      <c r="N2503" s="53">
        <f>IF(M2503="","",IFERROR(M2503/I2503,""))</f>
        <v/>
      </c>
      <c r="O2503" s="50">
        <f>IF(A2503="","",IFERROR((IF(G2503="",I2503,G2503)-T2503)/M2503,""))</f>
        <v/>
      </c>
      <c r="P2503" s="50">
        <f>IFERROR((I2503/T2503-1)/N2503,"")</f>
        <v/>
      </c>
      <c r="Q2503" s="46">
        <f>IF(OR(T2503="",I2503&lt;T2503),"",IFERROR(R2503/IF(G2503="",I2503,G2503)-1,""))</f>
        <v/>
      </c>
      <c r="R2503" s="48">
        <f>IF($M2503="","",MAX(IF($G2503="",$I2503,$G2503)*(1/1.1),IF($G2503="",$I2503,$G2503)+(R$2*$M2503)))</f>
        <v/>
      </c>
      <c r="S2503" s="49">
        <f>IF($M2503="","",MAX(IF($G2503="",$I2503,$G2503)*(1/1.1),IF($G2503="",$I2503,$G2503)+(S$2*$M2503)))</f>
        <v/>
      </c>
      <c r="T2503" s="82" t="n"/>
      <c r="U2503" s="47">
        <f>IF(OR($M2503="",$T2503=""),"",$T2503+(U$2*$M2503))</f>
        <v/>
      </c>
      <c r="V2503" s="48">
        <f>IF(OR($M2503="",$T2503=""),"",$T2503+(V$2*$M2503))</f>
        <v/>
      </c>
      <c r="W2503" s="48">
        <f>IF(OR($M2503="",$T2503=""),"",$T2503+(W$2*$M2503))</f>
        <v/>
      </c>
      <c r="X2503" s="49">
        <f>IF(OR($M2503="",$T2503=""),"",$T2503+(X$2*$M2503))</f>
        <v/>
      </c>
      <c r="Y2503" s="47">
        <f>IF(OR($M2503="",$T2503=""),"",$T2503+(Y$2*$M2503))</f>
        <v/>
      </c>
      <c r="Z2503" s="49">
        <f>IF(OR($M2503="",$T2503=""),"",$T2503+(Z$2*$M2503))</f>
        <v/>
      </c>
      <c r="AA2503" s="51">
        <f>IF(OR($M2503="",$T2503=""),"",$T2503+(AA$2*$M2503))</f>
        <v/>
      </c>
      <c r="AB2503" s="48">
        <f>IF(OR($M2503="",$T2503=""),"",$T2503+(AB$2*$M2503))</f>
        <v/>
      </c>
      <c r="AC2503" s="48">
        <f>IF(OR($M2503="",$T2503=""),"",$T2503+(AC$2*$M2503))</f>
        <v/>
      </c>
      <c r="AD2503" s="48">
        <f>IF(OR($M2503="",$T2503=""),"",$T2503+(AD$2*$M2503))</f>
        <v/>
      </c>
      <c r="AE2503" s="49">
        <f>IF(OR($M2503="",$T2503=""),"",$T2503+(AE$2*$M2503))</f>
        <v/>
      </c>
      <c r="AF2503" s="52">
        <f>IF(OR(T2503="",I2503&lt;T2503),"",IFERROR(AVERAGE(T2503+M2503*{7,8,9,10,11})/IF(G2503="",I2503,G2503)-1,""))</f>
        <v/>
      </c>
      <c r="AG2503" s="55">
        <f>IF(OR(T2503="",I2503&lt;T2503),"",IFERROR(AF2503/-(R2503/IF(G2503="",I2503,G2503)-1),""))</f>
        <v/>
      </c>
      <c r="AH2503" s="94" t="n"/>
      <c r="AI2503" s="94" t="n"/>
      <c r="AJ2503" s="94" t="n"/>
      <c r="AK2503" s="94" t="n"/>
      <c r="AL2503" s="84" t="n"/>
    </row>
    <row r="2504">
      <c r="A2504" s="64" t="n"/>
      <c r="B2504" s="65" t="n"/>
      <c r="C2504" s="66" t="n"/>
      <c r="D2504" s="67" t="n"/>
      <c r="E2504" s="68" t="n"/>
      <c r="F2504" s="47">
        <f>IF(A2504="","",IF(MIN(H2504,MAX(J2504:K2504))=0,"",MIN(H2504,MAX(J2504:K2504))))</f>
        <v/>
      </c>
      <c r="G2504" s="74" t="n"/>
      <c r="H2504" s="49">
        <f>IF(M2504="","",IFERROR(ROUND(AVERAGE(T2504+M2504*{7,8,9,10,11})/1.21,4),""))</f>
        <v/>
      </c>
      <c r="I2504" s="76" t="n"/>
      <c r="J2504" s="77" t="n"/>
      <c r="K2504" s="74" t="n"/>
      <c r="L2504" s="78" t="n"/>
      <c r="M2504" s="77" t="n"/>
      <c r="N2504" s="53">
        <f>IF(M2504="","",IFERROR(M2504/I2504,""))</f>
        <v/>
      </c>
      <c r="O2504" s="50">
        <f>IF(A2504="","",IFERROR((IF(G2504="",I2504,G2504)-T2504)/M2504,""))</f>
        <v/>
      </c>
      <c r="P2504" s="50">
        <f>IFERROR((I2504/T2504-1)/N2504,"")</f>
        <v/>
      </c>
      <c r="Q2504" s="46">
        <f>IF(OR(T2504="",I2504&lt;T2504),"",IFERROR(R2504/IF(G2504="",I2504,G2504)-1,""))</f>
        <v/>
      </c>
      <c r="R2504" s="48">
        <f>IF($M2504="","",MAX(IF($G2504="",$I2504,$G2504)*(1/1.1),IF($G2504="",$I2504,$G2504)+(R$2*$M2504)))</f>
        <v/>
      </c>
      <c r="S2504" s="49">
        <f>IF($M2504="","",MAX(IF($G2504="",$I2504,$G2504)*(1/1.1),IF($G2504="",$I2504,$G2504)+(S$2*$M2504)))</f>
        <v/>
      </c>
      <c r="T2504" s="82" t="n"/>
      <c r="U2504" s="47">
        <f>IF(OR($M2504="",$T2504=""),"",$T2504+(U$2*$M2504))</f>
        <v/>
      </c>
      <c r="V2504" s="48">
        <f>IF(OR($M2504="",$T2504=""),"",$T2504+(V$2*$M2504))</f>
        <v/>
      </c>
      <c r="W2504" s="48">
        <f>IF(OR($M2504="",$T2504=""),"",$T2504+(W$2*$M2504))</f>
        <v/>
      </c>
      <c r="X2504" s="49">
        <f>IF(OR($M2504="",$T2504=""),"",$T2504+(X$2*$M2504))</f>
        <v/>
      </c>
      <c r="Y2504" s="47">
        <f>IF(OR($M2504="",$T2504=""),"",$T2504+(Y$2*$M2504))</f>
        <v/>
      </c>
      <c r="Z2504" s="49">
        <f>IF(OR($M2504="",$T2504=""),"",$T2504+(Z$2*$M2504))</f>
        <v/>
      </c>
      <c r="AA2504" s="51">
        <f>IF(OR($M2504="",$T2504=""),"",$T2504+(AA$2*$M2504))</f>
        <v/>
      </c>
      <c r="AB2504" s="48">
        <f>IF(OR($M2504="",$T2504=""),"",$T2504+(AB$2*$M2504))</f>
        <v/>
      </c>
      <c r="AC2504" s="48">
        <f>IF(OR($M2504="",$T2504=""),"",$T2504+(AC$2*$M2504))</f>
        <v/>
      </c>
      <c r="AD2504" s="48">
        <f>IF(OR($M2504="",$T2504=""),"",$T2504+(AD$2*$M2504))</f>
        <v/>
      </c>
      <c r="AE2504" s="49">
        <f>IF(OR($M2504="",$T2504=""),"",$T2504+(AE$2*$M2504))</f>
        <v/>
      </c>
      <c r="AF2504" s="52">
        <f>IF(OR(T2504="",I2504&lt;T2504),"",IFERROR(AVERAGE(T2504+M2504*{7,8,9,10,11})/IF(G2504="",I2504,G2504)-1,""))</f>
        <v/>
      </c>
      <c r="AG2504" s="55">
        <f>IF(OR(T2504="",I2504&lt;T2504),"",IFERROR(AF2504/-(R2504/IF(G2504="",I2504,G2504)-1),""))</f>
        <v/>
      </c>
      <c r="AH2504" s="94" t="n"/>
      <c r="AI2504" s="94" t="n"/>
      <c r="AJ2504" s="94" t="n"/>
      <c r="AK2504" s="94" t="n"/>
      <c r="AL2504" s="84" t="n"/>
    </row>
    <row r="2505">
      <c r="A2505" s="64" t="n"/>
      <c r="B2505" s="65" t="n"/>
      <c r="C2505" s="66" t="n"/>
      <c r="D2505" s="67" t="n"/>
      <c r="E2505" s="68" t="n"/>
      <c r="F2505" s="47">
        <f>IF(A2505="","",IF(MIN(H2505,MAX(J2505:K2505))=0,"",MIN(H2505,MAX(J2505:K2505))))</f>
        <v/>
      </c>
      <c r="G2505" s="74" t="n"/>
      <c r="H2505" s="49">
        <f>IF(M2505="","",IFERROR(ROUND(AVERAGE(T2505+M2505*{7,8,9,10,11})/1.21,4),""))</f>
        <v/>
      </c>
      <c r="I2505" s="76" t="n"/>
      <c r="J2505" s="77" t="n"/>
      <c r="K2505" s="74" t="n"/>
      <c r="L2505" s="78" t="n"/>
      <c r="M2505" s="77" t="n"/>
      <c r="N2505" s="53">
        <f>IF(M2505="","",IFERROR(M2505/I2505,""))</f>
        <v/>
      </c>
      <c r="O2505" s="50">
        <f>IF(A2505="","",IFERROR((IF(G2505="",I2505,G2505)-T2505)/M2505,""))</f>
        <v/>
      </c>
      <c r="P2505" s="50">
        <f>IFERROR((I2505/T2505-1)/N2505,"")</f>
        <v/>
      </c>
      <c r="Q2505" s="46">
        <f>IF(OR(T2505="",I2505&lt;T2505),"",IFERROR(R2505/IF(G2505="",I2505,G2505)-1,""))</f>
        <v/>
      </c>
      <c r="R2505" s="48">
        <f>IF($M2505="","",MAX(IF($G2505="",$I2505,$G2505)*(1/1.1),IF($G2505="",$I2505,$G2505)+(R$2*$M2505)))</f>
        <v/>
      </c>
      <c r="S2505" s="49">
        <f>IF($M2505="","",MAX(IF($G2505="",$I2505,$G2505)*(1/1.1),IF($G2505="",$I2505,$G2505)+(S$2*$M2505)))</f>
        <v/>
      </c>
      <c r="T2505" s="82" t="n"/>
      <c r="U2505" s="47">
        <f>IF(OR($M2505="",$T2505=""),"",$T2505+(U$2*$M2505))</f>
        <v/>
      </c>
      <c r="V2505" s="48">
        <f>IF(OR($M2505="",$T2505=""),"",$T2505+(V$2*$M2505))</f>
        <v/>
      </c>
      <c r="W2505" s="48">
        <f>IF(OR($M2505="",$T2505=""),"",$T2505+(W$2*$M2505))</f>
        <v/>
      </c>
      <c r="X2505" s="49">
        <f>IF(OR($M2505="",$T2505=""),"",$T2505+(X$2*$M2505))</f>
        <v/>
      </c>
      <c r="Y2505" s="47">
        <f>IF(OR($M2505="",$T2505=""),"",$T2505+(Y$2*$M2505))</f>
        <v/>
      </c>
      <c r="Z2505" s="49">
        <f>IF(OR($M2505="",$T2505=""),"",$T2505+(Z$2*$M2505))</f>
        <v/>
      </c>
      <c r="AA2505" s="51">
        <f>IF(OR($M2505="",$T2505=""),"",$T2505+(AA$2*$M2505))</f>
        <v/>
      </c>
      <c r="AB2505" s="48">
        <f>IF(OR($M2505="",$T2505=""),"",$T2505+(AB$2*$M2505))</f>
        <v/>
      </c>
      <c r="AC2505" s="48">
        <f>IF(OR($M2505="",$T2505=""),"",$T2505+(AC$2*$M2505))</f>
        <v/>
      </c>
      <c r="AD2505" s="48">
        <f>IF(OR($M2505="",$T2505=""),"",$T2505+(AD$2*$M2505))</f>
        <v/>
      </c>
      <c r="AE2505" s="49">
        <f>IF(OR($M2505="",$T2505=""),"",$T2505+(AE$2*$M2505))</f>
        <v/>
      </c>
      <c r="AF2505" s="52">
        <f>IF(OR(T2505="",I2505&lt;T2505),"",IFERROR(AVERAGE(T2505+M2505*{7,8,9,10,11})/IF(G2505="",I2505,G2505)-1,""))</f>
        <v/>
      </c>
      <c r="AG2505" s="55">
        <f>IF(OR(T2505="",I2505&lt;T2505),"",IFERROR(AF2505/-(R2505/IF(G2505="",I2505,G2505)-1),""))</f>
        <v/>
      </c>
      <c r="AH2505" s="94" t="n"/>
      <c r="AI2505" s="94" t="n"/>
      <c r="AJ2505" s="94" t="n"/>
      <c r="AK2505" s="94" t="n"/>
      <c r="AL2505" s="84" t="n"/>
    </row>
    <row r="2506">
      <c r="A2506" s="64" t="n"/>
      <c r="B2506" s="65" t="n"/>
      <c r="C2506" s="66" t="n"/>
      <c r="D2506" s="67" t="n"/>
      <c r="E2506" s="68" t="n"/>
      <c r="F2506" s="47">
        <f>IF(A2506="","",IF(MIN(H2506,MAX(J2506:K2506))=0,"",MIN(H2506,MAX(J2506:K2506))))</f>
        <v/>
      </c>
      <c r="G2506" s="74" t="n"/>
      <c r="H2506" s="49">
        <f>IF(M2506="","",IFERROR(ROUND(AVERAGE(T2506+M2506*{7,8,9,10,11})/1.21,4),""))</f>
        <v/>
      </c>
      <c r="I2506" s="76" t="n"/>
      <c r="J2506" s="77" t="n"/>
      <c r="K2506" s="74" t="n"/>
      <c r="L2506" s="78" t="n"/>
      <c r="M2506" s="77" t="n"/>
      <c r="N2506" s="53">
        <f>IF(M2506="","",IFERROR(M2506/I2506,""))</f>
        <v/>
      </c>
      <c r="O2506" s="50">
        <f>IF(A2506="","",IFERROR((IF(G2506="",I2506,G2506)-T2506)/M2506,""))</f>
        <v/>
      </c>
      <c r="P2506" s="50">
        <f>IFERROR((I2506/T2506-1)/N2506,"")</f>
        <v/>
      </c>
      <c r="Q2506" s="46">
        <f>IF(OR(T2506="",I2506&lt;T2506),"",IFERROR(R2506/IF(G2506="",I2506,G2506)-1,""))</f>
        <v/>
      </c>
      <c r="R2506" s="48">
        <f>IF($M2506="","",MAX(IF($G2506="",$I2506,$G2506)*(1/1.1),IF($G2506="",$I2506,$G2506)+(R$2*$M2506)))</f>
        <v/>
      </c>
      <c r="S2506" s="49">
        <f>IF($M2506="","",MAX(IF($G2506="",$I2506,$G2506)*(1/1.1),IF($G2506="",$I2506,$G2506)+(S$2*$M2506)))</f>
        <v/>
      </c>
      <c r="T2506" s="82" t="n"/>
      <c r="U2506" s="47">
        <f>IF(OR($M2506="",$T2506=""),"",$T2506+(U$2*$M2506))</f>
        <v/>
      </c>
      <c r="V2506" s="48">
        <f>IF(OR($M2506="",$T2506=""),"",$T2506+(V$2*$M2506))</f>
        <v/>
      </c>
      <c r="W2506" s="48">
        <f>IF(OR($M2506="",$T2506=""),"",$T2506+(W$2*$M2506))</f>
        <v/>
      </c>
      <c r="X2506" s="49">
        <f>IF(OR($M2506="",$T2506=""),"",$T2506+(X$2*$M2506))</f>
        <v/>
      </c>
      <c r="Y2506" s="47">
        <f>IF(OR($M2506="",$T2506=""),"",$T2506+(Y$2*$M2506))</f>
        <v/>
      </c>
      <c r="Z2506" s="49">
        <f>IF(OR($M2506="",$T2506=""),"",$T2506+(Z$2*$M2506))</f>
        <v/>
      </c>
      <c r="AA2506" s="51">
        <f>IF(OR($M2506="",$T2506=""),"",$T2506+(AA$2*$M2506))</f>
        <v/>
      </c>
      <c r="AB2506" s="48">
        <f>IF(OR($M2506="",$T2506=""),"",$T2506+(AB$2*$M2506))</f>
        <v/>
      </c>
      <c r="AC2506" s="48">
        <f>IF(OR($M2506="",$T2506=""),"",$T2506+(AC$2*$M2506))</f>
        <v/>
      </c>
      <c r="AD2506" s="48">
        <f>IF(OR($M2506="",$T2506=""),"",$T2506+(AD$2*$M2506))</f>
        <v/>
      </c>
      <c r="AE2506" s="49">
        <f>IF(OR($M2506="",$T2506=""),"",$T2506+(AE$2*$M2506))</f>
        <v/>
      </c>
      <c r="AF2506" s="52">
        <f>IF(OR(T2506="",I2506&lt;T2506),"",IFERROR(AVERAGE(T2506+M2506*{7,8,9,10,11})/IF(G2506="",I2506,G2506)-1,""))</f>
        <v/>
      </c>
      <c r="AG2506" s="55">
        <f>IF(OR(T2506="",I2506&lt;T2506),"",IFERROR(AF2506/-(R2506/IF(G2506="",I2506,G2506)-1),""))</f>
        <v/>
      </c>
      <c r="AH2506" s="94" t="n"/>
      <c r="AI2506" s="94" t="n"/>
      <c r="AJ2506" s="94" t="n"/>
      <c r="AK2506" s="94" t="n"/>
      <c r="AL2506" s="84" t="n"/>
    </row>
    <row r="2507">
      <c r="A2507" s="64" t="n"/>
      <c r="B2507" s="65" t="n"/>
      <c r="C2507" s="66" t="n"/>
      <c r="D2507" s="67" t="n"/>
      <c r="E2507" s="68" t="n"/>
      <c r="F2507" s="47">
        <f>IF(A2507="","",IF(MIN(H2507,MAX(J2507:K2507))=0,"",MIN(H2507,MAX(J2507:K2507))))</f>
        <v/>
      </c>
      <c r="G2507" s="74" t="n"/>
      <c r="H2507" s="49">
        <f>IF(M2507="","",IFERROR(ROUND(AVERAGE(T2507+M2507*{7,8,9,10,11})/1.21,4),""))</f>
        <v/>
      </c>
      <c r="I2507" s="76" t="n"/>
      <c r="J2507" s="77" t="n"/>
      <c r="K2507" s="74" t="n"/>
      <c r="L2507" s="78" t="n"/>
      <c r="M2507" s="77" t="n"/>
      <c r="N2507" s="53">
        <f>IF(M2507="","",IFERROR(M2507/I2507,""))</f>
        <v/>
      </c>
      <c r="O2507" s="50">
        <f>IF(A2507="","",IFERROR((IF(G2507="",I2507,G2507)-T2507)/M2507,""))</f>
        <v/>
      </c>
      <c r="P2507" s="50">
        <f>IFERROR((I2507/T2507-1)/N2507,"")</f>
        <v/>
      </c>
      <c r="Q2507" s="46">
        <f>IF(OR(T2507="",I2507&lt;T2507),"",IFERROR(R2507/IF(G2507="",I2507,G2507)-1,""))</f>
        <v/>
      </c>
      <c r="R2507" s="48">
        <f>IF($M2507="","",MAX(IF($G2507="",$I2507,$G2507)*(1/1.1),IF($G2507="",$I2507,$G2507)+(R$2*$M2507)))</f>
        <v/>
      </c>
      <c r="S2507" s="49">
        <f>IF($M2507="","",MAX(IF($G2507="",$I2507,$G2507)*(1/1.1),IF($G2507="",$I2507,$G2507)+(S$2*$M2507)))</f>
        <v/>
      </c>
      <c r="T2507" s="82" t="n"/>
      <c r="U2507" s="47">
        <f>IF(OR($M2507="",$T2507=""),"",$T2507+(U$2*$M2507))</f>
        <v/>
      </c>
      <c r="V2507" s="48">
        <f>IF(OR($M2507="",$T2507=""),"",$T2507+(V$2*$M2507))</f>
        <v/>
      </c>
      <c r="W2507" s="48">
        <f>IF(OR($M2507="",$T2507=""),"",$T2507+(W$2*$M2507))</f>
        <v/>
      </c>
      <c r="X2507" s="49">
        <f>IF(OR($M2507="",$T2507=""),"",$T2507+(X$2*$M2507))</f>
        <v/>
      </c>
      <c r="Y2507" s="47">
        <f>IF(OR($M2507="",$T2507=""),"",$T2507+(Y$2*$M2507))</f>
        <v/>
      </c>
      <c r="Z2507" s="49">
        <f>IF(OR($M2507="",$T2507=""),"",$T2507+(Z$2*$M2507))</f>
        <v/>
      </c>
      <c r="AA2507" s="51">
        <f>IF(OR($M2507="",$T2507=""),"",$T2507+(AA$2*$M2507))</f>
        <v/>
      </c>
      <c r="AB2507" s="48">
        <f>IF(OR($M2507="",$T2507=""),"",$T2507+(AB$2*$M2507))</f>
        <v/>
      </c>
      <c r="AC2507" s="48">
        <f>IF(OR($M2507="",$T2507=""),"",$T2507+(AC$2*$M2507))</f>
        <v/>
      </c>
      <c r="AD2507" s="48">
        <f>IF(OR($M2507="",$T2507=""),"",$T2507+(AD$2*$M2507))</f>
        <v/>
      </c>
      <c r="AE2507" s="49">
        <f>IF(OR($M2507="",$T2507=""),"",$T2507+(AE$2*$M2507))</f>
        <v/>
      </c>
      <c r="AF2507" s="52">
        <f>IF(OR(T2507="",I2507&lt;T2507),"",IFERROR(AVERAGE(T2507+M2507*{7,8,9,10,11})/IF(G2507="",I2507,G2507)-1,""))</f>
        <v/>
      </c>
      <c r="AG2507" s="55">
        <f>IF(OR(T2507="",I2507&lt;T2507),"",IFERROR(AF2507/-(R2507/IF(G2507="",I2507,G2507)-1),""))</f>
        <v/>
      </c>
      <c r="AH2507" s="94" t="n"/>
      <c r="AI2507" s="94" t="n"/>
      <c r="AJ2507" s="94" t="n"/>
      <c r="AK2507" s="94" t="n"/>
      <c r="AL2507" s="84" t="n"/>
    </row>
    <row r="2508">
      <c r="A2508" s="64" t="n"/>
      <c r="B2508" s="65" t="n"/>
      <c r="C2508" s="66" t="n"/>
      <c r="D2508" s="67" t="n"/>
      <c r="E2508" s="68" t="n"/>
      <c r="F2508" s="47">
        <f>IF(A2508="","",IF(MIN(H2508,MAX(J2508:K2508))=0,"",MIN(H2508,MAX(J2508:K2508))))</f>
        <v/>
      </c>
      <c r="G2508" s="74" t="n"/>
      <c r="H2508" s="49">
        <f>IF(M2508="","",IFERROR(ROUND(AVERAGE(T2508+M2508*{7,8,9,10,11})/1.21,4),""))</f>
        <v/>
      </c>
      <c r="I2508" s="76" t="n"/>
      <c r="J2508" s="77" t="n"/>
      <c r="K2508" s="74" t="n"/>
      <c r="L2508" s="78" t="n"/>
      <c r="M2508" s="77" t="n"/>
      <c r="N2508" s="53">
        <f>IF(M2508="","",IFERROR(M2508/I2508,""))</f>
        <v/>
      </c>
      <c r="O2508" s="50">
        <f>IF(A2508="","",IFERROR((IF(G2508="",I2508,G2508)-T2508)/M2508,""))</f>
        <v/>
      </c>
      <c r="P2508" s="50">
        <f>IFERROR((I2508/T2508-1)/N2508,"")</f>
        <v/>
      </c>
      <c r="Q2508" s="46">
        <f>IF(OR(T2508="",I2508&lt;T2508),"",IFERROR(R2508/IF(G2508="",I2508,G2508)-1,""))</f>
        <v/>
      </c>
      <c r="R2508" s="48">
        <f>IF($M2508="","",MAX(IF($G2508="",$I2508,$G2508)*(1/1.1),IF($G2508="",$I2508,$G2508)+(R$2*$M2508)))</f>
        <v/>
      </c>
      <c r="S2508" s="49">
        <f>IF($M2508="","",MAX(IF($G2508="",$I2508,$G2508)*(1/1.1),IF($G2508="",$I2508,$G2508)+(S$2*$M2508)))</f>
        <v/>
      </c>
      <c r="T2508" s="82" t="n"/>
      <c r="U2508" s="47">
        <f>IF(OR($M2508="",$T2508=""),"",$T2508+(U$2*$M2508))</f>
        <v/>
      </c>
      <c r="V2508" s="48">
        <f>IF(OR($M2508="",$T2508=""),"",$T2508+(V$2*$M2508))</f>
        <v/>
      </c>
      <c r="W2508" s="48">
        <f>IF(OR($M2508="",$T2508=""),"",$T2508+(W$2*$M2508))</f>
        <v/>
      </c>
      <c r="X2508" s="49">
        <f>IF(OR($M2508="",$T2508=""),"",$T2508+(X$2*$M2508))</f>
        <v/>
      </c>
      <c r="Y2508" s="47">
        <f>IF(OR($M2508="",$T2508=""),"",$T2508+(Y$2*$M2508))</f>
        <v/>
      </c>
      <c r="Z2508" s="49">
        <f>IF(OR($M2508="",$T2508=""),"",$T2508+(Z$2*$M2508))</f>
        <v/>
      </c>
      <c r="AA2508" s="51">
        <f>IF(OR($M2508="",$T2508=""),"",$T2508+(AA$2*$M2508))</f>
        <v/>
      </c>
      <c r="AB2508" s="48">
        <f>IF(OR($M2508="",$T2508=""),"",$T2508+(AB$2*$M2508))</f>
        <v/>
      </c>
      <c r="AC2508" s="48">
        <f>IF(OR($M2508="",$T2508=""),"",$T2508+(AC$2*$M2508))</f>
        <v/>
      </c>
      <c r="AD2508" s="48">
        <f>IF(OR($M2508="",$T2508=""),"",$T2508+(AD$2*$M2508))</f>
        <v/>
      </c>
      <c r="AE2508" s="49">
        <f>IF(OR($M2508="",$T2508=""),"",$T2508+(AE$2*$M2508))</f>
        <v/>
      </c>
      <c r="AF2508" s="52">
        <f>IF(OR(T2508="",I2508&lt;T2508),"",IFERROR(AVERAGE(T2508+M2508*{7,8,9,10,11})/IF(G2508="",I2508,G2508)-1,""))</f>
        <v/>
      </c>
      <c r="AG2508" s="55">
        <f>IF(OR(T2508="",I2508&lt;T2508),"",IFERROR(AF2508/-(R2508/IF(G2508="",I2508,G2508)-1),""))</f>
        <v/>
      </c>
      <c r="AH2508" s="94" t="n"/>
      <c r="AI2508" s="94" t="n"/>
      <c r="AJ2508" s="94" t="n"/>
      <c r="AK2508" s="94" t="n"/>
      <c r="AL2508" s="84" t="n"/>
    </row>
    <row r="2509">
      <c r="A2509" s="64" t="n"/>
      <c r="B2509" s="65" t="n"/>
      <c r="C2509" s="66" t="n"/>
      <c r="D2509" s="67" t="n"/>
      <c r="E2509" s="68" t="n"/>
      <c r="F2509" s="47">
        <f>IF(A2509="","",IF(MIN(H2509,MAX(J2509:K2509))=0,"",MIN(H2509,MAX(J2509:K2509))))</f>
        <v/>
      </c>
      <c r="G2509" s="74" t="n"/>
      <c r="H2509" s="49">
        <f>IF(M2509="","",IFERROR(ROUND(AVERAGE(T2509+M2509*{7,8,9,10,11})/1.21,4),""))</f>
        <v/>
      </c>
      <c r="I2509" s="76" t="n"/>
      <c r="J2509" s="77" t="n"/>
      <c r="K2509" s="74" t="n"/>
      <c r="L2509" s="78" t="n"/>
      <c r="M2509" s="77" t="n"/>
      <c r="N2509" s="53">
        <f>IF(M2509="","",IFERROR(M2509/I2509,""))</f>
        <v/>
      </c>
      <c r="O2509" s="50">
        <f>IF(A2509="","",IFERROR((IF(G2509="",I2509,G2509)-T2509)/M2509,""))</f>
        <v/>
      </c>
      <c r="P2509" s="50">
        <f>IFERROR((I2509/T2509-1)/N2509,"")</f>
        <v/>
      </c>
      <c r="Q2509" s="46">
        <f>IF(OR(T2509="",I2509&lt;T2509),"",IFERROR(R2509/IF(G2509="",I2509,G2509)-1,""))</f>
        <v/>
      </c>
      <c r="R2509" s="48">
        <f>IF($M2509="","",MAX(IF($G2509="",$I2509,$G2509)*(1/1.1),IF($G2509="",$I2509,$G2509)+(R$2*$M2509)))</f>
        <v/>
      </c>
      <c r="S2509" s="49">
        <f>IF($M2509="","",MAX(IF($G2509="",$I2509,$G2509)*(1/1.1),IF($G2509="",$I2509,$G2509)+(S$2*$M2509)))</f>
        <v/>
      </c>
      <c r="T2509" s="82" t="n"/>
      <c r="U2509" s="47">
        <f>IF(OR($M2509="",$T2509=""),"",$T2509+(U$2*$M2509))</f>
        <v/>
      </c>
      <c r="V2509" s="48">
        <f>IF(OR($M2509="",$T2509=""),"",$T2509+(V$2*$M2509))</f>
        <v/>
      </c>
      <c r="W2509" s="48">
        <f>IF(OR($M2509="",$T2509=""),"",$T2509+(W$2*$M2509))</f>
        <v/>
      </c>
      <c r="X2509" s="49">
        <f>IF(OR($M2509="",$T2509=""),"",$T2509+(X$2*$M2509))</f>
        <v/>
      </c>
      <c r="Y2509" s="47">
        <f>IF(OR($M2509="",$T2509=""),"",$T2509+(Y$2*$M2509))</f>
        <v/>
      </c>
      <c r="Z2509" s="49">
        <f>IF(OR($M2509="",$T2509=""),"",$T2509+(Z$2*$M2509))</f>
        <v/>
      </c>
      <c r="AA2509" s="51">
        <f>IF(OR($M2509="",$T2509=""),"",$T2509+(AA$2*$M2509))</f>
        <v/>
      </c>
      <c r="AB2509" s="48">
        <f>IF(OR($M2509="",$T2509=""),"",$T2509+(AB$2*$M2509))</f>
        <v/>
      </c>
      <c r="AC2509" s="48">
        <f>IF(OR($M2509="",$T2509=""),"",$T2509+(AC$2*$M2509))</f>
        <v/>
      </c>
      <c r="AD2509" s="48">
        <f>IF(OR($M2509="",$T2509=""),"",$T2509+(AD$2*$M2509))</f>
        <v/>
      </c>
      <c r="AE2509" s="49">
        <f>IF(OR($M2509="",$T2509=""),"",$T2509+(AE$2*$M2509))</f>
        <v/>
      </c>
      <c r="AF2509" s="52">
        <f>IF(OR(T2509="",I2509&lt;T2509),"",IFERROR(AVERAGE(T2509+M2509*{7,8,9,10,11})/IF(G2509="",I2509,G2509)-1,""))</f>
        <v/>
      </c>
      <c r="AG2509" s="55">
        <f>IF(OR(T2509="",I2509&lt;T2509),"",IFERROR(AF2509/-(R2509/IF(G2509="",I2509,G2509)-1),""))</f>
        <v/>
      </c>
      <c r="AH2509" s="94" t="n"/>
      <c r="AI2509" s="94" t="n"/>
      <c r="AJ2509" s="94" t="n"/>
      <c r="AK2509" s="94" t="n"/>
      <c r="AL2509" s="84" t="n"/>
    </row>
    <row r="2510">
      <c r="A2510" s="64" t="n"/>
      <c r="B2510" s="65" t="n"/>
      <c r="C2510" s="66" t="n"/>
      <c r="D2510" s="67" t="n"/>
      <c r="E2510" s="68" t="n"/>
      <c r="F2510" s="47">
        <f>IF(A2510="","",IF(MIN(H2510,MAX(J2510:K2510))=0,"",MIN(H2510,MAX(J2510:K2510))))</f>
        <v/>
      </c>
      <c r="G2510" s="74" t="n"/>
      <c r="H2510" s="49">
        <f>IF(M2510="","",IFERROR(ROUND(AVERAGE(T2510+M2510*{7,8,9,10,11})/1.21,4),""))</f>
        <v/>
      </c>
      <c r="I2510" s="76" t="n"/>
      <c r="J2510" s="77" t="n"/>
      <c r="K2510" s="74" t="n"/>
      <c r="L2510" s="78" t="n"/>
      <c r="M2510" s="77" t="n"/>
      <c r="N2510" s="53">
        <f>IF(M2510="","",IFERROR(M2510/I2510,""))</f>
        <v/>
      </c>
      <c r="O2510" s="50">
        <f>IF(A2510="","",IFERROR((IF(G2510="",I2510,G2510)-T2510)/M2510,""))</f>
        <v/>
      </c>
      <c r="P2510" s="50">
        <f>IFERROR((I2510/T2510-1)/N2510,"")</f>
        <v/>
      </c>
      <c r="Q2510" s="46">
        <f>IF(OR(T2510="",I2510&lt;T2510),"",IFERROR(R2510/IF(G2510="",I2510,G2510)-1,""))</f>
        <v/>
      </c>
      <c r="R2510" s="48">
        <f>IF($M2510="","",MAX(IF($G2510="",$I2510,$G2510)*(1/1.1),IF($G2510="",$I2510,$G2510)+(R$2*$M2510)))</f>
        <v/>
      </c>
      <c r="S2510" s="49">
        <f>IF($M2510="","",MAX(IF($G2510="",$I2510,$G2510)*(1/1.1),IF($G2510="",$I2510,$G2510)+(S$2*$M2510)))</f>
        <v/>
      </c>
      <c r="T2510" s="82" t="n"/>
      <c r="U2510" s="47">
        <f>IF(OR($M2510="",$T2510=""),"",$T2510+(U$2*$M2510))</f>
        <v/>
      </c>
      <c r="V2510" s="48">
        <f>IF(OR($M2510="",$T2510=""),"",$T2510+(V$2*$M2510))</f>
        <v/>
      </c>
      <c r="W2510" s="48">
        <f>IF(OR($M2510="",$T2510=""),"",$T2510+(W$2*$M2510))</f>
        <v/>
      </c>
      <c r="X2510" s="49">
        <f>IF(OR($M2510="",$T2510=""),"",$T2510+(X$2*$M2510))</f>
        <v/>
      </c>
      <c r="Y2510" s="47">
        <f>IF(OR($M2510="",$T2510=""),"",$T2510+(Y$2*$M2510))</f>
        <v/>
      </c>
      <c r="Z2510" s="49">
        <f>IF(OR($M2510="",$T2510=""),"",$T2510+(Z$2*$M2510))</f>
        <v/>
      </c>
      <c r="AA2510" s="51">
        <f>IF(OR($M2510="",$T2510=""),"",$T2510+(AA$2*$M2510))</f>
        <v/>
      </c>
      <c r="AB2510" s="48">
        <f>IF(OR($M2510="",$T2510=""),"",$T2510+(AB$2*$M2510))</f>
        <v/>
      </c>
      <c r="AC2510" s="48">
        <f>IF(OR($M2510="",$T2510=""),"",$T2510+(AC$2*$M2510))</f>
        <v/>
      </c>
      <c r="AD2510" s="48">
        <f>IF(OR($M2510="",$T2510=""),"",$T2510+(AD$2*$M2510))</f>
        <v/>
      </c>
      <c r="AE2510" s="49">
        <f>IF(OR($M2510="",$T2510=""),"",$T2510+(AE$2*$M2510))</f>
        <v/>
      </c>
      <c r="AF2510" s="52">
        <f>IF(OR(T2510="",I2510&lt;T2510),"",IFERROR(AVERAGE(T2510+M2510*{7,8,9,10,11})/IF(G2510="",I2510,G2510)-1,""))</f>
        <v/>
      </c>
      <c r="AG2510" s="55">
        <f>IF(OR(T2510="",I2510&lt;T2510),"",IFERROR(AF2510/-(R2510/IF(G2510="",I2510,G2510)-1),""))</f>
        <v/>
      </c>
      <c r="AH2510" s="94" t="n"/>
      <c r="AI2510" s="94" t="n"/>
      <c r="AJ2510" s="94" t="n"/>
      <c r="AK2510" s="94" t="n"/>
      <c r="AL2510" s="84" t="n"/>
    </row>
    <row r="2511">
      <c r="A2511" s="64" t="n"/>
      <c r="B2511" s="65" t="n"/>
      <c r="C2511" s="66" t="n"/>
      <c r="D2511" s="67" t="n"/>
      <c r="E2511" s="68" t="n"/>
      <c r="F2511" s="47">
        <f>IF(A2511="","",IF(MIN(H2511,MAX(J2511:K2511))=0,"",MIN(H2511,MAX(J2511:K2511))))</f>
        <v/>
      </c>
      <c r="G2511" s="74" t="n"/>
      <c r="H2511" s="49">
        <f>IF(M2511="","",IFERROR(ROUND(AVERAGE(T2511+M2511*{7,8,9,10,11})/1.21,4),""))</f>
        <v/>
      </c>
      <c r="I2511" s="76" t="n"/>
      <c r="J2511" s="77" t="n"/>
      <c r="K2511" s="74" t="n"/>
      <c r="L2511" s="78" t="n"/>
      <c r="M2511" s="77" t="n"/>
      <c r="N2511" s="53">
        <f>IF(M2511="","",IFERROR(M2511/I2511,""))</f>
        <v/>
      </c>
      <c r="O2511" s="50">
        <f>IF(A2511="","",IFERROR((IF(G2511="",I2511,G2511)-T2511)/M2511,""))</f>
        <v/>
      </c>
      <c r="P2511" s="50">
        <f>IFERROR((I2511/T2511-1)/N2511,"")</f>
        <v/>
      </c>
      <c r="Q2511" s="46">
        <f>IF(OR(T2511="",I2511&lt;T2511),"",IFERROR(R2511/IF(G2511="",I2511,G2511)-1,""))</f>
        <v/>
      </c>
      <c r="R2511" s="48">
        <f>IF($M2511="","",MAX(IF($G2511="",$I2511,$G2511)*(1/1.1),IF($G2511="",$I2511,$G2511)+(R$2*$M2511)))</f>
        <v/>
      </c>
      <c r="S2511" s="49">
        <f>IF($M2511="","",MAX(IF($G2511="",$I2511,$G2511)*(1/1.1),IF($G2511="",$I2511,$G2511)+(S$2*$M2511)))</f>
        <v/>
      </c>
      <c r="T2511" s="82" t="n"/>
      <c r="U2511" s="47">
        <f>IF(OR($M2511="",$T2511=""),"",$T2511+(U$2*$M2511))</f>
        <v/>
      </c>
      <c r="V2511" s="48">
        <f>IF(OR($M2511="",$T2511=""),"",$T2511+(V$2*$M2511))</f>
        <v/>
      </c>
      <c r="W2511" s="48">
        <f>IF(OR($M2511="",$T2511=""),"",$T2511+(W$2*$M2511))</f>
        <v/>
      </c>
      <c r="X2511" s="49">
        <f>IF(OR($M2511="",$T2511=""),"",$T2511+(X$2*$M2511))</f>
        <v/>
      </c>
      <c r="Y2511" s="47">
        <f>IF(OR($M2511="",$T2511=""),"",$T2511+(Y$2*$M2511))</f>
        <v/>
      </c>
      <c r="Z2511" s="49">
        <f>IF(OR($M2511="",$T2511=""),"",$T2511+(Z$2*$M2511))</f>
        <v/>
      </c>
      <c r="AA2511" s="51">
        <f>IF(OR($M2511="",$T2511=""),"",$T2511+(AA$2*$M2511))</f>
        <v/>
      </c>
      <c r="AB2511" s="48">
        <f>IF(OR($M2511="",$T2511=""),"",$T2511+(AB$2*$M2511))</f>
        <v/>
      </c>
      <c r="AC2511" s="48">
        <f>IF(OR($M2511="",$T2511=""),"",$T2511+(AC$2*$M2511))</f>
        <v/>
      </c>
      <c r="AD2511" s="48">
        <f>IF(OR($M2511="",$T2511=""),"",$T2511+(AD$2*$M2511))</f>
        <v/>
      </c>
      <c r="AE2511" s="49">
        <f>IF(OR($M2511="",$T2511=""),"",$T2511+(AE$2*$M2511))</f>
        <v/>
      </c>
      <c r="AF2511" s="52">
        <f>IF(OR(T2511="",I2511&lt;T2511),"",IFERROR(AVERAGE(T2511+M2511*{7,8,9,10,11})/IF(G2511="",I2511,G2511)-1,""))</f>
        <v/>
      </c>
      <c r="AG2511" s="55">
        <f>IF(OR(T2511="",I2511&lt;T2511),"",IFERROR(AF2511/-(R2511/IF(G2511="",I2511,G2511)-1),""))</f>
        <v/>
      </c>
      <c r="AH2511" s="94" t="n"/>
      <c r="AI2511" s="94" t="n"/>
      <c r="AJ2511" s="94" t="n"/>
      <c r="AK2511" s="94" t="n"/>
      <c r="AL2511" s="84" t="n"/>
    </row>
    <row r="2512">
      <c r="A2512" s="64" t="n"/>
      <c r="B2512" s="65" t="n"/>
      <c r="C2512" s="66" t="n"/>
      <c r="D2512" s="67" t="n"/>
      <c r="E2512" s="68" t="n"/>
      <c r="F2512" s="47">
        <f>IF(A2512="","",IF(MIN(H2512,MAX(J2512:K2512))=0,"",MIN(H2512,MAX(J2512:K2512))))</f>
        <v/>
      </c>
      <c r="G2512" s="74" t="n"/>
      <c r="H2512" s="49">
        <f>IF(M2512="","",IFERROR(ROUND(AVERAGE(T2512+M2512*{7,8,9,10,11})/1.21,4),""))</f>
        <v/>
      </c>
      <c r="I2512" s="76" t="n"/>
      <c r="J2512" s="77" t="n"/>
      <c r="K2512" s="74" t="n"/>
      <c r="L2512" s="78" t="n"/>
      <c r="M2512" s="77" t="n"/>
      <c r="N2512" s="53">
        <f>IF(M2512="","",IFERROR(M2512/I2512,""))</f>
        <v/>
      </c>
      <c r="O2512" s="50">
        <f>IF(A2512="","",IFERROR((IF(G2512="",I2512,G2512)-T2512)/M2512,""))</f>
        <v/>
      </c>
      <c r="P2512" s="50">
        <f>IFERROR((I2512/T2512-1)/N2512,"")</f>
        <v/>
      </c>
      <c r="Q2512" s="46">
        <f>IF(OR(T2512="",I2512&lt;T2512),"",IFERROR(R2512/IF(G2512="",I2512,G2512)-1,""))</f>
        <v/>
      </c>
      <c r="R2512" s="48">
        <f>IF($M2512="","",MAX(IF($G2512="",$I2512,$G2512)*(1/1.1),IF($G2512="",$I2512,$G2512)+(R$2*$M2512)))</f>
        <v/>
      </c>
      <c r="S2512" s="49">
        <f>IF($M2512="","",MAX(IF($G2512="",$I2512,$G2512)*(1/1.1),IF($G2512="",$I2512,$G2512)+(S$2*$M2512)))</f>
        <v/>
      </c>
      <c r="T2512" s="82" t="n"/>
      <c r="U2512" s="47">
        <f>IF(OR($M2512="",$T2512=""),"",$T2512+(U$2*$M2512))</f>
        <v/>
      </c>
      <c r="V2512" s="48">
        <f>IF(OR($M2512="",$T2512=""),"",$T2512+(V$2*$M2512))</f>
        <v/>
      </c>
      <c r="W2512" s="48">
        <f>IF(OR($M2512="",$T2512=""),"",$T2512+(W$2*$M2512))</f>
        <v/>
      </c>
      <c r="X2512" s="49">
        <f>IF(OR($M2512="",$T2512=""),"",$T2512+(X$2*$M2512))</f>
        <v/>
      </c>
      <c r="Y2512" s="47">
        <f>IF(OR($M2512="",$T2512=""),"",$T2512+(Y$2*$M2512))</f>
        <v/>
      </c>
      <c r="Z2512" s="49">
        <f>IF(OR($M2512="",$T2512=""),"",$T2512+(Z$2*$M2512))</f>
        <v/>
      </c>
      <c r="AA2512" s="51">
        <f>IF(OR($M2512="",$T2512=""),"",$T2512+(AA$2*$M2512))</f>
        <v/>
      </c>
      <c r="AB2512" s="48">
        <f>IF(OR($M2512="",$T2512=""),"",$T2512+(AB$2*$M2512))</f>
        <v/>
      </c>
      <c r="AC2512" s="48">
        <f>IF(OR($M2512="",$T2512=""),"",$T2512+(AC$2*$M2512))</f>
        <v/>
      </c>
      <c r="AD2512" s="48">
        <f>IF(OR($M2512="",$T2512=""),"",$T2512+(AD$2*$M2512))</f>
        <v/>
      </c>
      <c r="AE2512" s="49">
        <f>IF(OR($M2512="",$T2512=""),"",$T2512+(AE$2*$M2512))</f>
        <v/>
      </c>
      <c r="AF2512" s="52">
        <f>IF(OR(T2512="",I2512&lt;T2512),"",IFERROR(AVERAGE(T2512+M2512*{7,8,9,10,11})/IF(G2512="",I2512,G2512)-1,""))</f>
        <v/>
      </c>
      <c r="AG2512" s="55">
        <f>IF(OR(T2512="",I2512&lt;T2512),"",IFERROR(AF2512/-(R2512/IF(G2512="",I2512,G2512)-1),""))</f>
        <v/>
      </c>
      <c r="AH2512" s="94" t="n"/>
      <c r="AI2512" s="94" t="n"/>
      <c r="AJ2512" s="94" t="n"/>
      <c r="AK2512" s="94" t="n"/>
      <c r="AL2512" s="84" t="n"/>
    </row>
    <row r="2513">
      <c r="A2513" s="64" t="n"/>
      <c r="B2513" s="65" t="n"/>
      <c r="C2513" s="66" t="n"/>
      <c r="D2513" s="67" t="n"/>
      <c r="E2513" s="68" t="n"/>
      <c r="F2513" s="47">
        <f>IF(A2513="","",IF(MIN(H2513,MAX(J2513:K2513))=0,"",MIN(H2513,MAX(J2513:K2513))))</f>
        <v/>
      </c>
      <c r="G2513" s="74" t="n"/>
      <c r="H2513" s="49">
        <f>IF(M2513="","",IFERROR(ROUND(AVERAGE(T2513+M2513*{7,8,9,10,11})/1.21,4),""))</f>
        <v/>
      </c>
      <c r="I2513" s="76" t="n"/>
      <c r="J2513" s="77" t="n"/>
      <c r="K2513" s="74" t="n"/>
      <c r="L2513" s="78" t="n"/>
      <c r="M2513" s="77" t="n"/>
      <c r="N2513" s="53">
        <f>IF(M2513="","",IFERROR(M2513/I2513,""))</f>
        <v/>
      </c>
      <c r="O2513" s="50">
        <f>IF(A2513="","",IFERROR((IF(G2513="",I2513,G2513)-T2513)/M2513,""))</f>
        <v/>
      </c>
      <c r="P2513" s="50">
        <f>IFERROR((I2513/T2513-1)/N2513,"")</f>
        <v/>
      </c>
      <c r="Q2513" s="46">
        <f>IF(OR(T2513="",I2513&lt;T2513),"",IFERROR(R2513/IF(G2513="",I2513,G2513)-1,""))</f>
        <v/>
      </c>
      <c r="R2513" s="48">
        <f>IF($M2513="","",MAX(IF($G2513="",$I2513,$G2513)*(1/1.1),IF($G2513="",$I2513,$G2513)+(R$2*$M2513)))</f>
        <v/>
      </c>
      <c r="S2513" s="49">
        <f>IF($M2513="","",MAX(IF($G2513="",$I2513,$G2513)*(1/1.1),IF($G2513="",$I2513,$G2513)+(S$2*$M2513)))</f>
        <v/>
      </c>
      <c r="T2513" s="82" t="n"/>
      <c r="U2513" s="47">
        <f>IF(OR($M2513="",$T2513=""),"",$T2513+(U$2*$M2513))</f>
        <v/>
      </c>
      <c r="V2513" s="48">
        <f>IF(OR($M2513="",$T2513=""),"",$T2513+(V$2*$M2513))</f>
        <v/>
      </c>
      <c r="W2513" s="48">
        <f>IF(OR($M2513="",$T2513=""),"",$T2513+(W$2*$M2513))</f>
        <v/>
      </c>
      <c r="X2513" s="49">
        <f>IF(OR($M2513="",$T2513=""),"",$T2513+(X$2*$M2513))</f>
        <v/>
      </c>
      <c r="Y2513" s="47">
        <f>IF(OR($M2513="",$T2513=""),"",$T2513+(Y$2*$M2513))</f>
        <v/>
      </c>
      <c r="Z2513" s="49">
        <f>IF(OR($M2513="",$T2513=""),"",$T2513+(Z$2*$M2513))</f>
        <v/>
      </c>
      <c r="AA2513" s="51">
        <f>IF(OR($M2513="",$T2513=""),"",$T2513+(AA$2*$M2513))</f>
        <v/>
      </c>
      <c r="AB2513" s="48">
        <f>IF(OR($M2513="",$T2513=""),"",$T2513+(AB$2*$M2513))</f>
        <v/>
      </c>
      <c r="AC2513" s="48">
        <f>IF(OR($M2513="",$T2513=""),"",$T2513+(AC$2*$M2513))</f>
        <v/>
      </c>
      <c r="AD2513" s="48">
        <f>IF(OR($M2513="",$T2513=""),"",$T2513+(AD$2*$M2513))</f>
        <v/>
      </c>
      <c r="AE2513" s="49">
        <f>IF(OR($M2513="",$T2513=""),"",$T2513+(AE$2*$M2513))</f>
        <v/>
      </c>
      <c r="AF2513" s="52">
        <f>IF(OR(T2513="",I2513&lt;T2513),"",IFERROR(AVERAGE(T2513+M2513*{7,8,9,10,11})/IF(G2513="",I2513,G2513)-1,""))</f>
        <v/>
      </c>
      <c r="AG2513" s="55">
        <f>IF(OR(T2513="",I2513&lt;T2513),"",IFERROR(AF2513/-(R2513/IF(G2513="",I2513,G2513)-1),""))</f>
        <v/>
      </c>
      <c r="AH2513" s="94" t="n"/>
      <c r="AI2513" s="94" t="n"/>
      <c r="AJ2513" s="94" t="n"/>
      <c r="AK2513" s="94" t="n"/>
      <c r="AL2513" s="84" t="n"/>
    </row>
    <row r="2514">
      <c r="A2514" s="64" t="n"/>
      <c r="B2514" s="65" t="n"/>
      <c r="C2514" s="66" t="n"/>
      <c r="D2514" s="67" t="n"/>
      <c r="E2514" s="68" t="n"/>
      <c r="F2514" s="47">
        <f>IF(A2514="","",IF(MIN(H2514,MAX(J2514:K2514))=0,"",MIN(H2514,MAX(J2514:K2514))))</f>
        <v/>
      </c>
      <c r="G2514" s="74" t="n"/>
      <c r="H2514" s="49">
        <f>IF(M2514="","",IFERROR(ROUND(AVERAGE(T2514+M2514*{7,8,9,10,11})/1.21,4),""))</f>
        <v/>
      </c>
      <c r="I2514" s="76" t="n"/>
      <c r="J2514" s="77" t="n"/>
      <c r="K2514" s="74" t="n"/>
      <c r="L2514" s="78" t="n"/>
      <c r="M2514" s="77" t="n"/>
      <c r="N2514" s="53">
        <f>IF(M2514="","",IFERROR(M2514/I2514,""))</f>
        <v/>
      </c>
      <c r="O2514" s="50">
        <f>IF(A2514="","",IFERROR((IF(G2514="",I2514,G2514)-T2514)/M2514,""))</f>
        <v/>
      </c>
      <c r="P2514" s="50">
        <f>IFERROR((I2514/T2514-1)/N2514,"")</f>
        <v/>
      </c>
      <c r="Q2514" s="46">
        <f>IF(OR(T2514="",I2514&lt;T2514),"",IFERROR(R2514/IF(G2514="",I2514,G2514)-1,""))</f>
        <v/>
      </c>
      <c r="R2514" s="48">
        <f>IF($M2514="","",MAX(IF($G2514="",$I2514,$G2514)*(1/1.1),IF($G2514="",$I2514,$G2514)+(R$2*$M2514)))</f>
        <v/>
      </c>
      <c r="S2514" s="49">
        <f>IF($M2514="","",MAX(IF($G2514="",$I2514,$G2514)*(1/1.1),IF($G2514="",$I2514,$G2514)+(S$2*$M2514)))</f>
        <v/>
      </c>
      <c r="T2514" s="82" t="n"/>
      <c r="U2514" s="47">
        <f>IF(OR($M2514="",$T2514=""),"",$T2514+(U$2*$M2514))</f>
        <v/>
      </c>
      <c r="V2514" s="48">
        <f>IF(OR($M2514="",$T2514=""),"",$T2514+(V$2*$M2514))</f>
        <v/>
      </c>
      <c r="W2514" s="48">
        <f>IF(OR($M2514="",$T2514=""),"",$T2514+(W$2*$M2514))</f>
        <v/>
      </c>
      <c r="X2514" s="49">
        <f>IF(OR($M2514="",$T2514=""),"",$T2514+(X$2*$M2514))</f>
        <v/>
      </c>
      <c r="Y2514" s="47">
        <f>IF(OR($M2514="",$T2514=""),"",$T2514+(Y$2*$M2514))</f>
        <v/>
      </c>
      <c r="Z2514" s="49">
        <f>IF(OR($M2514="",$T2514=""),"",$T2514+(Z$2*$M2514))</f>
        <v/>
      </c>
      <c r="AA2514" s="51">
        <f>IF(OR($M2514="",$T2514=""),"",$T2514+(AA$2*$M2514))</f>
        <v/>
      </c>
      <c r="AB2514" s="48">
        <f>IF(OR($M2514="",$T2514=""),"",$T2514+(AB$2*$M2514))</f>
        <v/>
      </c>
      <c r="AC2514" s="48">
        <f>IF(OR($M2514="",$T2514=""),"",$T2514+(AC$2*$M2514))</f>
        <v/>
      </c>
      <c r="AD2514" s="48">
        <f>IF(OR($M2514="",$T2514=""),"",$T2514+(AD$2*$M2514))</f>
        <v/>
      </c>
      <c r="AE2514" s="49">
        <f>IF(OR($M2514="",$T2514=""),"",$T2514+(AE$2*$M2514))</f>
        <v/>
      </c>
      <c r="AF2514" s="52">
        <f>IF(OR(T2514="",I2514&lt;T2514),"",IFERROR(AVERAGE(T2514+M2514*{7,8,9,10,11})/IF(G2514="",I2514,G2514)-1,""))</f>
        <v/>
      </c>
      <c r="AG2514" s="55">
        <f>IF(OR(T2514="",I2514&lt;T2514),"",IFERROR(AF2514/-(R2514/IF(G2514="",I2514,G2514)-1),""))</f>
        <v/>
      </c>
      <c r="AH2514" s="94" t="n"/>
      <c r="AI2514" s="94" t="n"/>
      <c r="AJ2514" s="94" t="n"/>
      <c r="AK2514" s="94" t="n"/>
      <c r="AL2514" s="84" t="n"/>
    </row>
    <row r="2515">
      <c r="A2515" s="64" t="n"/>
      <c r="B2515" s="65" t="n"/>
      <c r="C2515" s="66" t="n"/>
      <c r="D2515" s="67" t="n"/>
      <c r="E2515" s="68" t="n"/>
      <c r="F2515" s="47">
        <f>IF(A2515="","",IF(MIN(H2515,MAX(J2515:K2515))=0,"",MIN(H2515,MAX(J2515:K2515))))</f>
        <v/>
      </c>
      <c r="G2515" s="74" t="n"/>
      <c r="H2515" s="49">
        <f>IF(M2515="","",IFERROR(ROUND(AVERAGE(T2515+M2515*{7,8,9,10,11})/1.21,4),""))</f>
        <v/>
      </c>
      <c r="I2515" s="76" t="n"/>
      <c r="J2515" s="77" t="n"/>
      <c r="K2515" s="74" t="n"/>
      <c r="L2515" s="78" t="n"/>
      <c r="M2515" s="77" t="n"/>
      <c r="N2515" s="53">
        <f>IF(M2515="","",IFERROR(M2515/I2515,""))</f>
        <v/>
      </c>
      <c r="O2515" s="50">
        <f>IF(A2515="","",IFERROR((IF(G2515="",I2515,G2515)-T2515)/M2515,""))</f>
        <v/>
      </c>
      <c r="P2515" s="50">
        <f>IFERROR((I2515/T2515-1)/N2515,"")</f>
        <v/>
      </c>
      <c r="Q2515" s="46">
        <f>IF(OR(T2515="",I2515&lt;T2515),"",IFERROR(R2515/IF(G2515="",I2515,G2515)-1,""))</f>
        <v/>
      </c>
      <c r="R2515" s="48">
        <f>IF($M2515="","",MAX(IF($G2515="",$I2515,$G2515)*(1/1.1),IF($G2515="",$I2515,$G2515)+(R$2*$M2515)))</f>
        <v/>
      </c>
      <c r="S2515" s="49">
        <f>IF($M2515="","",MAX(IF($G2515="",$I2515,$G2515)*(1/1.1),IF($G2515="",$I2515,$G2515)+(S$2*$M2515)))</f>
        <v/>
      </c>
      <c r="T2515" s="82" t="n"/>
      <c r="U2515" s="47">
        <f>IF(OR($M2515="",$T2515=""),"",$T2515+(U$2*$M2515))</f>
        <v/>
      </c>
      <c r="V2515" s="48">
        <f>IF(OR($M2515="",$T2515=""),"",$T2515+(V$2*$M2515))</f>
        <v/>
      </c>
      <c r="W2515" s="48">
        <f>IF(OR($M2515="",$T2515=""),"",$T2515+(W$2*$M2515))</f>
        <v/>
      </c>
      <c r="X2515" s="49">
        <f>IF(OR($M2515="",$T2515=""),"",$T2515+(X$2*$M2515))</f>
        <v/>
      </c>
      <c r="Y2515" s="47">
        <f>IF(OR($M2515="",$T2515=""),"",$T2515+(Y$2*$M2515))</f>
        <v/>
      </c>
      <c r="Z2515" s="49">
        <f>IF(OR($M2515="",$T2515=""),"",$T2515+(Z$2*$M2515))</f>
        <v/>
      </c>
      <c r="AA2515" s="51">
        <f>IF(OR($M2515="",$T2515=""),"",$T2515+(AA$2*$M2515))</f>
        <v/>
      </c>
      <c r="AB2515" s="48">
        <f>IF(OR($M2515="",$T2515=""),"",$T2515+(AB$2*$M2515))</f>
        <v/>
      </c>
      <c r="AC2515" s="48">
        <f>IF(OR($M2515="",$T2515=""),"",$T2515+(AC$2*$M2515))</f>
        <v/>
      </c>
      <c r="AD2515" s="48">
        <f>IF(OR($M2515="",$T2515=""),"",$T2515+(AD$2*$M2515))</f>
        <v/>
      </c>
      <c r="AE2515" s="49">
        <f>IF(OR($M2515="",$T2515=""),"",$T2515+(AE$2*$M2515))</f>
        <v/>
      </c>
      <c r="AF2515" s="52">
        <f>IF(OR(T2515="",I2515&lt;T2515),"",IFERROR(AVERAGE(T2515+M2515*{7,8,9,10,11})/IF(G2515="",I2515,G2515)-1,""))</f>
        <v/>
      </c>
      <c r="AG2515" s="55">
        <f>IF(OR(T2515="",I2515&lt;T2515),"",IFERROR(AF2515/-(R2515/IF(G2515="",I2515,G2515)-1),""))</f>
        <v/>
      </c>
      <c r="AH2515" s="94" t="n"/>
      <c r="AI2515" s="94" t="n"/>
      <c r="AJ2515" s="94" t="n"/>
      <c r="AK2515" s="94" t="n"/>
      <c r="AL2515" s="84" t="n"/>
    </row>
    <row r="2516">
      <c r="A2516" s="64" t="n"/>
      <c r="B2516" s="65" t="n"/>
      <c r="C2516" s="66" t="n"/>
      <c r="D2516" s="67" t="n"/>
      <c r="E2516" s="68" t="n"/>
      <c r="F2516" s="47">
        <f>IF(A2516="","",IF(MIN(H2516,MAX(J2516:K2516))=0,"",MIN(H2516,MAX(J2516:K2516))))</f>
        <v/>
      </c>
      <c r="G2516" s="74" t="n"/>
      <c r="H2516" s="49">
        <f>IF(M2516="","",IFERROR(ROUND(AVERAGE(T2516+M2516*{7,8,9,10,11})/1.21,4),""))</f>
        <v/>
      </c>
      <c r="I2516" s="76" t="n"/>
      <c r="J2516" s="77" t="n"/>
      <c r="K2516" s="74" t="n"/>
      <c r="L2516" s="78" t="n"/>
      <c r="M2516" s="77" t="n"/>
      <c r="N2516" s="53">
        <f>IF(M2516="","",IFERROR(M2516/I2516,""))</f>
        <v/>
      </c>
      <c r="O2516" s="50">
        <f>IF(A2516="","",IFERROR((IF(G2516="",I2516,G2516)-T2516)/M2516,""))</f>
        <v/>
      </c>
      <c r="P2516" s="50">
        <f>IFERROR((I2516/T2516-1)/N2516,"")</f>
        <v/>
      </c>
      <c r="Q2516" s="46">
        <f>IF(OR(T2516="",I2516&lt;T2516),"",IFERROR(R2516/IF(G2516="",I2516,G2516)-1,""))</f>
        <v/>
      </c>
      <c r="R2516" s="48">
        <f>IF($M2516="","",MAX(IF($G2516="",$I2516,$G2516)*(1/1.1),IF($G2516="",$I2516,$G2516)+(R$2*$M2516)))</f>
        <v/>
      </c>
      <c r="S2516" s="49">
        <f>IF($M2516="","",MAX(IF($G2516="",$I2516,$G2516)*(1/1.1),IF($G2516="",$I2516,$G2516)+(S$2*$M2516)))</f>
        <v/>
      </c>
      <c r="T2516" s="82" t="n"/>
      <c r="U2516" s="47">
        <f>IF(OR($M2516="",$T2516=""),"",$T2516+(U$2*$M2516))</f>
        <v/>
      </c>
      <c r="V2516" s="48">
        <f>IF(OR($M2516="",$T2516=""),"",$T2516+(V$2*$M2516))</f>
        <v/>
      </c>
      <c r="W2516" s="48">
        <f>IF(OR($M2516="",$T2516=""),"",$T2516+(W$2*$M2516))</f>
        <v/>
      </c>
      <c r="X2516" s="49">
        <f>IF(OR($M2516="",$T2516=""),"",$T2516+(X$2*$M2516))</f>
        <v/>
      </c>
      <c r="Y2516" s="47">
        <f>IF(OR($M2516="",$T2516=""),"",$T2516+(Y$2*$M2516))</f>
        <v/>
      </c>
      <c r="Z2516" s="49">
        <f>IF(OR($M2516="",$T2516=""),"",$T2516+(Z$2*$M2516))</f>
        <v/>
      </c>
      <c r="AA2516" s="51">
        <f>IF(OR($M2516="",$T2516=""),"",$T2516+(AA$2*$M2516))</f>
        <v/>
      </c>
      <c r="AB2516" s="48">
        <f>IF(OR($M2516="",$T2516=""),"",$T2516+(AB$2*$M2516))</f>
        <v/>
      </c>
      <c r="AC2516" s="48">
        <f>IF(OR($M2516="",$T2516=""),"",$T2516+(AC$2*$M2516))</f>
        <v/>
      </c>
      <c r="AD2516" s="48">
        <f>IF(OR($M2516="",$T2516=""),"",$T2516+(AD$2*$M2516))</f>
        <v/>
      </c>
      <c r="AE2516" s="49">
        <f>IF(OR($M2516="",$T2516=""),"",$T2516+(AE$2*$M2516))</f>
        <v/>
      </c>
      <c r="AF2516" s="52">
        <f>IF(OR(T2516="",I2516&lt;T2516),"",IFERROR(AVERAGE(T2516+M2516*{7,8,9,10,11})/IF(G2516="",I2516,G2516)-1,""))</f>
        <v/>
      </c>
      <c r="AG2516" s="55">
        <f>IF(OR(T2516="",I2516&lt;T2516),"",IFERROR(AF2516/-(R2516/IF(G2516="",I2516,G2516)-1),""))</f>
        <v/>
      </c>
      <c r="AH2516" s="94" t="n"/>
      <c r="AI2516" s="94" t="n"/>
      <c r="AJ2516" s="94" t="n"/>
      <c r="AK2516" s="94" t="n"/>
      <c r="AL2516" s="84" t="n"/>
    </row>
    <row r="2517">
      <c r="A2517" s="64" t="n"/>
      <c r="B2517" s="65" t="n"/>
      <c r="C2517" s="66" t="n"/>
      <c r="D2517" s="67" t="n"/>
      <c r="E2517" s="68" t="n"/>
      <c r="F2517" s="47">
        <f>IF(A2517="","",IF(MIN(H2517,MAX(J2517:K2517))=0,"",MIN(H2517,MAX(J2517:K2517))))</f>
        <v/>
      </c>
      <c r="G2517" s="74" t="n"/>
      <c r="H2517" s="49">
        <f>IF(M2517="","",IFERROR(ROUND(AVERAGE(T2517+M2517*{7,8,9,10,11})/1.21,4),""))</f>
        <v/>
      </c>
      <c r="I2517" s="76" t="n"/>
      <c r="J2517" s="77" t="n"/>
      <c r="K2517" s="74" t="n"/>
      <c r="L2517" s="78" t="n"/>
      <c r="M2517" s="77" t="n"/>
      <c r="N2517" s="53">
        <f>IF(M2517="","",IFERROR(M2517/I2517,""))</f>
        <v/>
      </c>
      <c r="O2517" s="50">
        <f>IF(A2517="","",IFERROR((IF(G2517="",I2517,G2517)-T2517)/M2517,""))</f>
        <v/>
      </c>
      <c r="P2517" s="50">
        <f>IFERROR((I2517/T2517-1)/N2517,"")</f>
        <v/>
      </c>
      <c r="Q2517" s="46">
        <f>IF(OR(T2517="",I2517&lt;T2517),"",IFERROR(R2517/IF(G2517="",I2517,G2517)-1,""))</f>
        <v/>
      </c>
      <c r="R2517" s="48">
        <f>IF($M2517="","",MAX(IF($G2517="",$I2517,$G2517)*(1/1.1),IF($G2517="",$I2517,$G2517)+(R$2*$M2517)))</f>
        <v/>
      </c>
      <c r="S2517" s="49">
        <f>IF($M2517="","",MAX(IF($G2517="",$I2517,$G2517)*(1/1.1),IF($G2517="",$I2517,$G2517)+(S$2*$M2517)))</f>
        <v/>
      </c>
      <c r="T2517" s="82" t="n"/>
      <c r="U2517" s="47">
        <f>IF(OR($M2517="",$T2517=""),"",$T2517+(U$2*$M2517))</f>
        <v/>
      </c>
      <c r="V2517" s="48">
        <f>IF(OR($M2517="",$T2517=""),"",$T2517+(V$2*$M2517))</f>
        <v/>
      </c>
      <c r="W2517" s="48">
        <f>IF(OR($M2517="",$T2517=""),"",$T2517+(W$2*$M2517))</f>
        <v/>
      </c>
      <c r="X2517" s="49">
        <f>IF(OR($M2517="",$T2517=""),"",$T2517+(X$2*$M2517))</f>
        <v/>
      </c>
      <c r="Y2517" s="47">
        <f>IF(OR($M2517="",$T2517=""),"",$T2517+(Y$2*$M2517))</f>
        <v/>
      </c>
      <c r="Z2517" s="49">
        <f>IF(OR($M2517="",$T2517=""),"",$T2517+(Z$2*$M2517))</f>
        <v/>
      </c>
      <c r="AA2517" s="51">
        <f>IF(OR($M2517="",$T2517=""),"",$T2517+(AA$2*$M2517))</f>
        <v/>
      </c>
      <c r="AB2517" s="48">
        <f>IF(OR($M2517="",$T2517=""),"",$T2517+(AB$2*$M2517))</f>
        <v/>
      </c>
      <c r="AC2517" s="48">
        <f>IF(OR($M2517="",$T2517=""),"",$T2517+(AC$2*$M2517))</f>
        <v/>
      </c>
      <c r="AD2517" s="48">
        <f>IF(OR($M2517="",$T2517=""),"",$T2517+(AD$2*$M2517))</f>
        <v/>
      </c>
      <c r="AE2517" s="49">
        <f>IF(OR($M2517="",$T2517=""),"",$T2517+(AE$2*$M2517))</f>
        <v/>
      </c>
      <c r="AF2517" s="52">
        <f>IF(OR(T2517="",I2517&lt;T2517),"",IFERROR(AVERAGE(T2517+M2517*{7,8,9,10,11})/IF(G2517="",I2517,G2517)-1,""))</f>
        <v/>
      </c>
      <c r="AG2517" s="55">
        <f>IF(OR(T2517="",I2517&lt;T2517),"",IFERROR(AF2517/-(R2517/IF(G2517="",I2517,G2517)-1),""))</f>
        <v/>
      </c>
      <c r="AH2517" s="94" t="n"/>
      <c r="AI2517" s="94" t="n"/>
      <c r="AJ2517" s="94" t="n"/>
      <c r="AK2517" s="94" t="n"/>
      <c r="AL2517" s="84" t="n"/>
    </row>
    <row r="2518">
      <c r="A2518" s="64" t="n"/>
      <c r="B2518" s="65" t="n"/>
      <c r="C2518" s="66" t="n"/>
      <c r="D2518" s="67" t="n"/>
      <c r="E2518" s="68" t="n"/>
      <c r="F2518" s="47">
        <f>IF(A2518="","",IF(MIN(H2518,MAX(J2518:K2518))=0,"",MIN(H2518,MAX(J2518:K2518))))</f>
        <v/>
      </c>
      <c r="G2518" s="74" t="n"/>
      <c r="H2518" s="49">
        <f>IF(M2518="","",IFERROR(ROUND(AVERAGE(T2518+M2518*{7,8,9,10,11})/1.21,4),""))</f>
        <v/>
      </c>
      <c r="I2518" s="76" t="n"/>
      <c r="J2518" s="77" t="n"/>
      <c r="K2518" s="74" t="n"/>
      <c r="L2518" s="78" t="n"/>
      <c r="M2518" s="77" t="n"/>
      <c r="N2518" s="53">
        <f>IF(M2518="","",IFERROR(M2518/I2518,""))</f>
        <v/>
      </c>
      <c r="O2518" s="50">
        <f>IF(A2518="","",IFERROR((IF(G2518="",I2518,G2518)-T2518)/M2518,""))</f>
        <v/>
      </c>
      <c r="P2518" s="50">
        <f>IFERROR((I2518/T2518-1)/N2518,"")</f>
        <v/>
      </c>
      <c r="Q2518" s="46">
        <f>IF(OR(T2518="",I2518&lt;T2518),"",IFERROR(R2518/IF(G2518="",I2518,G2518)-1,""))</f>
        <v/>
      </c>
      <c r="R2518" s="48">
        <f>IF($M2518="","",MAX(IF($G2518="",$I2518,$G2518)*(1/1.1),IF($G2518="",$I2518,$G2518)+(R$2*$M2518)))</f>
        <v/>
      </c>
      <c r="S2518" s="49">
        <f>IF($M2518="","",MAX(IF($G2518="",$I2518,$G2518)*(1/1.1),IF($G2518="",$I2518,$G2518)+(S$2*$M2518)))</f>
        <v/>
      </c>
      <c r="T2518" s="82" t="n"/>
      <c r="U2518" s="47">
        <f>IF(OR($M2518="",$T2518=""),"",$T2518+(U$2*$M2518))</f>
        <v/>
      </c>
      <c r="V2518" s="48">
        <f>IF(OR($M2518="",$T2518=""),"",$T2518+(V$2*$M2518))</f>
        <v/>
      </c>
      <c r="W2518" s="48">
        <f>IF(OR($M2518="",$T2518=""),"",$T2518+(W$2*$M2518))</f>
        <v/>
      </c>
      <c r="X2518" s="49">
        <f>IF(OR($M2518="",$T2518=""),"",$T2518+(X$2*$M2518))</f>
        <v/>
      </c>
      <c r="Y2518" s="47">
        <f>IF(OR($M2518="",$T2518=""),"",$T2518+(Y$2*$M2518))</f>
        <v/>
      </c>
      <c r="Z2518" s="49">
        <f>IF(OR($M2518="",$T2518=""),"",$T2518+(Z$2*$M2518))</f>
        <v/>
      </c>
      <c r="AA2518" s="51">
        <f>IF(OR($M2518="",$T2518=""),"",$T2518+(AA$2*$M2518))</f>
        <v/>
      </c>
      <c r="AB2518" s="48">
        <f>IF(OR($M2518="",$T2518=""),"",$T2518+(AB$2*$M2518))</f>
        <v/>
      </c>
      <c r="AC2518" s="48">
        <f>IF(OR($M2518="",$T2518=""),"",$T2518+(AC$2*$M2518))</f>
        <v/>
      </c>
      <c r="AD2518" s="48">
        <f>IF(OR($M2518="",$T2518=""),"",$T2518+(AD$2*$M2518))</f>
        <v/>
      </c>
      <c r="AE2518" s="49">
        <f>IF(OR($M2518="",$T2518=""),"",$T2518+(AE$2*$M2518))</f>
        <v/>
      </c>
      <c r="AF2518" s="52">
        <f>IF(OR(T2518="",I2518&lt;T2518),"",IFERROR(AVERAGE(T2518+M2518*{7,8,9,10,11})/IF(G2518="",I2518,G2518)-1,""))</f>
        <v/>
      </c>
      <c r="AG2518" s="55">
        <f>IF(OR(T2518="",I2518&lt;T2518),"",IFERROR(AF2518/-(R2518/IF(G2518="",I2518,G2518)-1),""))</f>
        <v/>
      </c>
      <c r="AH2518" s="94" t="n"/>
      <c r="AI2518" s="94" t="n"/>
      <c r="AJ2518" s="94" t="n"/>
      <c r="AK2518" s="94" t="n"/>
      <c r="AL2518" s="84" t="n"/>
    </row>
    <row r="2519">
      <c r="A2519" s="64" t="n"/>
      <c r="B2519" s="65" t="n"/>
      <c r="C2519" s="66" t="n"/>
      <c r="D2519" s="67" t="n"/>
      <c r="E2519" s="68" t="n"/>
      <c r="F2519" s="47">
        <f>IF(A2519="","",IF(MIN(H2519,MAX(J2519:K2519))=0,"",MIN(H2519,MAX(J2519:K2519))))</f>
        <v/>
      </c>
      <c r="G2519" s="74" t="n"/>
      <c r="H2519" s="49">
        <f>IF(M2519="","",IFERROR(ROUND(AVERAGE(T2519+M2519*{7,8,9,10,11})/1.21,4),""))</f>
        <v/>
      </c>
      <c r="I2519" s="76" t="n"/>
      <c r="J2519" s="77" t="n"/>
      <c r="K2519" s="74" t="n"/>
      <c r="L2519" s="78" t="n"/>
      <c r="M2519" s="77" t="n"/>
      <c r="N2519" s="53">
        <f>IF(M2519="","",IFERROR(M2519/I2519,""))</f>
        <v/>
      </c>
      <c r="O2519" s="50">
        <f>IF(A2519="","",IFERROR((IF(G2519="",I2519,G2519)-T2519)/M2519,""))</f>
        <v/>
      </c>
      <c r="P2519" s="50">
        <f>IFERROR((I2519/T2519-1)/N2519,"")</f>
        <v/>
      </c>
      <c r="Q2519" s="46">
        <f>IF(OR(T2519="",I2519&lt;T2519),"",IFERROR(R2519/IF(G2519="",I2519,G2519)-1,""))</f>
        <v/>
      </c>
      <c r="R2519" s="48">
        <f>IF($M2519="","",MAX(IF($G2519="",$I2519,$G2519)*(1/1.1),IF($G2519="",$I2519,$G2519)+(R$2*$M2519)))</f>
        <v/>
      </c>
      <c r="S2519" s="49">
        <f>IF($M2519="","",MAX(IF($G2519="",$I2519,$G2519)*(1/1.1),IF($G2519="",$I2519,$G2519)+(S$2*$M2519)))</f>
        <v/>
      </c>
      <c r="T2519" s="82" t="n"/>
      <c r="U2519" s="47">
        <f>IF(OR($M2519="",$T2519=""),"",$T2519+(U$2*$M2519))</f>
        <v/>
      </c>
      <c r="V2519" s="48">
        <f>IF(OR($M2519="",$T2519=""),"",$T2519+(V$2*$M2519))</f>
        <v/>
      </c>
      <c r="W2519" s="48">
        <f>IF(OR($M2519="",$T2519=""),"",$T2519+(W$2*$M2519))</f>
        <v/>
      </c>
      <c r="X2519" s="49">
        <f>IF(OR($M2519="",$T2519=""),"",$T2519+(X$2*$M2519))</f>
        <v/>
      </c>
      <c r="Y2519" s="47">
        <f>IF(OR($M2519="",$T2519=""),"",$T2519+(Y$2*$M2519))</f>
        <v/>
      </c>
      <c r="Z2519" s="49">
        <f>IF(OR($M2519="",$T2519=""),"",$T2519+(Z$2*$M2519))</f>
        <v/>
      </c>
      <c r="AA2519" s="51">
        <f>IF(OR($M2519="",$T2519=""),"",$T2519+(AA$2*$M2519))</f>
        <v/>
      </c>
      <c r="AB2519" s="48">
        <f>IF(OR($M2519="",$T2519=""),"",$T2519+(AB$2*$M2519))</f>
        <v/>
      </c>
      <c r="AC2519" s="48">
        <f>IF(OR($M2519="",$T2519=""),"",$T2519+(AC$2*$M2519))</f>
        <v/>
      </c>
      <c r="AD2519" s="48">
        <f>IF(OR($M2519="",$T2519=""),"",$T2519+(AD$2*$M2519))</f>
        <v/>
      </c>
      <c r="AE2519" s="49">
        <f>IF(OR($M2519="",$T2519=""),"",$T2519+(AE$2*$M2519))</f>
        <v/>
      </c>
      <c r="AF2519" s="52">
        <f>IF(OR(T2519="",I2519&lt;T2519),"",IFERROR(AVERAGE(T2519+M2519*{7,8,9,10,11})/IF(G2519="",I2519,G2519)-1,""))</f>
        <v/>
      </c>
      <c r="AG2519" s="55">
        <f>IF(OR(T2519="",I2519&lt;T2519),"",IFERROR(AF2519/-(R2519/IF(G2519="",I2519,G2519)-1),""))</f>
        <v/>
      </c>
      <c r="AH2519" s="94" t="n"/>
      <c r="AI2519" s="94" t="n"/>
      <c r="AJ2519" s="94" t="n"/>
      <c r="AK2519" s="94" t="n"/>
      <c r="AL2519" s="84" t="n"/>
    </row>
    <row r="2520">
      <c r="A2520" s="64" t="n"/>
      <c r="B2520" s="65" t="n"/>
      <c r="C2520" s="66" t="n"/>
      <c r="D2520" s="67" t="n"/>
      <c r="E2520" s="68" t="n"/>
      <c r="F2520" s="47">
        <f>IF(A2520="","",IF(MIN(H2520,MAX(J2520:K2520))=0,"",MIN(H2520,MAX(J2520:K2520))))</f>
        <v/>
      </c>
      <c r="G2520" s="74" t="n"/>
      <c r="H2520" s="49">
        <f>IF(M2520="","",IFERROR(ROUND(AVERAGE(T2520+M2520*{7,8,9,10,11})/1.21,4),""))</f>
        <v/>
      </c>
      <c r="I2520" s="76" t="n"/>
      <c r="J2520" s="77" t="n"/>
      <c r="K2520" s="74" t="n"/>
      <c r="L2520" s="78" t="n"/>
      <c r="M2520" s="77" t="n"/>
      <c r="N2520" s="53">
        <f>IF(M2520="","",IFERROR(M2520/I2520,""))</f>
        <v/>
      </c>
      <c r="O2520" s="50">
        <f>IF(A2520="","",IFERROR((IF(G2520="",I2520,G2520)-T2520)/M2520,""))</f>
        <v/>
      </c>
      <c r="P2520" s="50">
        <f>IFERROR((I2520/T2520-1)/N2520,"")</f>
        <v/>
      </c>
      <c r="Q2520" s="46">
        <f>IF(OR(T2520="",I2520&lt;T2520),"",IFERROR(R2520/IF(G2520="",I2520,G2520)-1,""))</f>
        <v/>
      </c>
      <c r="R2520" s="48">
        <f>IF($M2520="","",MAX(IF($G2520="",$I2520,$G2520)*(1/1.1),IF($G2520="",$I2520,$G2520)+(R$2*$M2520)))</f>
        <v/>
      </c>
      <c r="S2520" s="49">
        <f>IF($M2520="","",MAX(IF($G2520="",$I2520,$G2520)*(1/1.1),IF($G2520="",$I2520,$G2520)+(S$2*$M2520)))</f>
        <v/>
      </c>
      <c r="T2520" s="82" t="n"/>
      <c r="U2520" s="47">
        <f>IF(OR($M2520="",$T2520=""),"",$T2520+(U$2*$M2520))</f>
        <v/>
      </c>
      <c r="V2520" s="48">
        <f>IF(OR($M2520="",$T2520=""),"",$T2520+(V$2*$M2520))</f>
        <v/>
      </c>
      <c r="W2520" s="48">
        <f>IF(OR($M2520="",$T2520=""),"",$T2520+(W$2*$M2520))</f>
        <v/>
      </c>
      <c r="X2520" s="49">
        <f>IF(OR($M2520="",$T2520=""),"",$T2520+(X$2*$M2520))</f>
        <v/>
      </c>
      <c r="Y2520" s="47">
        <f>IF(OR($M2520="",$T2520=""),"",$T2520+(Y$2*$M2520))</f>
        <v/>
      </c>
      <c r="Z2520" s="49">
        <f>IF(OR($M2520="",$T2520=""),"",$T2520+(Z$2*$M2520))</f>
        <v/>
      </c>
      <c r="AA2520" s="51">
        <f>IF(OR($M2520="",$T2520=""),"",$T2520+(AA$2*$M2520))</f>
        <v/>
      </c>
      <c r="AB2520" s="48">
        <f>IF(OR($M2520="",$T2520=""),"",$T2520+(AB$2*$M2520))</f>
        <v/>
      </c>
      <c r="AC2520" s="48">
        <f>IF(OR($M2520="",$T2520=""),"",$T2520+(AC$2*$M2520))</f>
        <v/>
      </c>
      <c r="AD2520" s="48">
        <f>IF(OR($M2520="",$T2520=""),"",$T2520+(AD$2*$M2520))</f>
        <v/>
      </c>
      <c r="AE2520" s="49">
        <f>IF(OR($M2520="",$T2520=""),"",$T2520+(AE$2*$M2520))</f>
        <v/>
      </c>
      <c r="AF2520" s="52">
        <f>IF(OR(T2520="",I2520&lt;T2520),"",IFERROR(AVERAGE(T2520+M2520*{7,8,9,10,11})/IF(G2520="",I2520,G2520)-1,""))</f>
        <v/>
      </c>
      <c r="AG2520" s="55">
        <f>IF(OR(T2520="",I2520&lt;T2520),"",IFERROR(AF2520/-(R2520/IF(G2520="",I2520,G2520)-1),""))</f>
        <v/>
      </c>
      <c r="AH2520" s="94" t="n"/>
      <c r="AI2520" s="94" t="n"/>
      <c r="AJ2520" s="94" t="n"/>
      <c r="AK2520" s="94" t="n"/>
      <c r="AL2520" s="84" t="n"/>
    </row>
    <row r="2521">
      <c r="A2521" s="64" t="n"/>
      <c r="B2521" s="65" t="n"/>
      <c r="C2521" s="66" t="n"/>
      <c r="D2521" s="67" t="n"/>
      <c r="E2521" s="68" t="n"/>
      <c r="F2521" s="47">
        <f>IF(A2521="","",IF(MIN(H2521,MAX(J2521:K2521))=0,"",MIN(H2521,MAX(J2521:K2521))))</f>
        <v/>
      </c>
      <c r="G2521" s="74" t="n"/>
      <c r="H2521" s="49">
        <f>IF(M2521="","",IFERROR(ROUND(AVERAGE(T2521+M2521*{7,8,9,10,11})/1.21,4),""))</f>
        <v/>
      </c>
      <c r="I2521" s="76" t="n"/>
      <c r="J2521" s="77" t="n"/>
      <c r="K2521" s="74" t="n"/>
      <c r="L2521" s="78" t="n"/>
      <c r="M2521" s="77" t="n"/>
      <c r="N2521" s="53">
        <f>IF(M2521="","",IFERROR(M2521/I2521,""))</f>
        <v/>
      </c>
      <c r="O2521" s="50">
        <f>IF(A2521="","",IFERROR((IF(G2521="",I2521,G2521)-T2521)/M2521,""))</f>
        <v/>
      </c>
      <c r="P2521" s="50">
        <f>IFERROR((I2521/T2521-1)/N2521,"")</f>
        <v/>
      </c>
      <c r="Q2521" s="46">
        <f>IF(OR(T2521="",I2521&lt;T2521),"",IFERROR(R2521/IF(G2521="",I2521,G2521)-1,""))</f>
        <v/>
      </c>
      <c r="R2521" s="48">
        <f>IF($M2521="","",MAX(IF($G2521="",$I2521,$G2521)*(1/1.1),IF($G2521="",$I2521,$G2521)+(R$2*$M2521)))</f>
        <v/>
      </c>
      <c r="S2521" s="49">
        <f>IF($M2521="","",MAX(IF($G2521="",$I2521,$G2521)*(1/1.1),IF($G2521="",$I2521,$G2521)+(S$2*$M2521)))</f>
        <v/>
      </c>
      <c r="T2521" s="82" t="n"/>
      <c r="U2521" s="47">
        <f>IF(OR($M2521="",$T2521=""),"",$T2521+(U$2*$M2521))</f>
        <v/>
      </c>
      <c r="V2521" s="48">
        <f>IF(OR($M2521="",$T2521=""),"",$T2521+(V$2*$M2521))</f>
        <v/>
      </c>
      <c r="W2521" s="48">
        <f>IF(OR($M2521="",$T2521=""),"",$T2521+(W$2*$M2521))</f>
        <v/>
      </c>
      <c r="X2521" s="49">
        <f>IF(OR($M2521="",$T2521=""),"",$T2521+(X$2*$M2521))</f>
        <v/>
      </c>
      <c r="Y2521" s="47">
        <f>IF(OR($M2521="",$T2521=""),"",$T2521+(Y$2*$M2521))</f>
        <v/>
      </c>
      <c r="Z2521" s="49">
        <f>IF(OR($M2521="",$T2521=""),"",$T2521+(Z$2*$M2521))</f>
        <v/>
      </c>
      <c r="AA2521" s="51">
        <f>IF(OR($M2521="",$T2521=""),"",$T2521+(AA$2*$M2521))</f>
        <v/>
      </c>
      <c r="AB2521" s="48">
        <f>IF(OR($M2521="",$T2521=""),"",$T2521+(AB$2*$M2521))</f>
        <v/>
      </c>
      <c r="AC2521" s="48">
        <f>IF(OR($M2521="",$T2521=""),"",$T2521+(AC$2*$M2521))</f>
        <v/>
      </c>
      <c r="AD2521" s="48">
        <f>IF(OR($M2521="",$T2521=""),"",$T2521+(AD$2*$M2521))</f>
        <v/>
      </c>
      <c r="AE2521" s="49">
        <f>IF(OR($M2521="",$T2521=""),"",$T2521+(AE$2*$M2521))</f>
        <v/>
      </c>
      <c r="AF2521" s="52">
        <f>IF(OR(T2521="",I2521&lt;T2521),"",IFERROR(AVERAGE(T2521+M2521*{7,8,9,10,11})/IF(G2521="",I2521,G2521)-1,""))</f>
        <v/>
      </c>
      <c r="AG2521" s="55">
        <f>IF(OR(T2521="",I2521&lt;T2521),"",IFERROR(AF2521/-(R2521/IF(G2521="",I2521,G2521)-1),""))</f>
        <v/>
      </c>
      <c r="AH2521" s="94" t="n"/>
      <c r="AI2521" s="94" t="n"/>
      <c r="AJ2521" s="94" t="n"/>
      <c r="AK2521" s="94" t="n"/>
      <c r="AL2521" s="84" t="n"/>
    </row>
    <row r="2522">
      <c r="A2522" s="64" t="n"/>
      <c r="B2522" s="65" t="n"/>
      <c r="C2522" s="66" t="n"/>
      <c r="D2522" s="67" t="n"/>
      <c r="E2522" s="68" t="n"/>
      <c r="F2522" s="47">
        <f>IF(A2522="","",IF(MIN(H2522,MAX(J2522:K2522))=0,"",MIN(H2522,MAX(J2522:K2522))))</f>
        <v/>
      </c>
      <c r="G2522" s="74" t="n"/>
      <c r="H2522" s="49">
        <f>IF(M2522="","",IFERROR(ROUND(AVERAGE(T2522+M2522*{7,8,9,10,11})/1.21,4),""))</f>
        <v/>
      </c>
      <c r="I2522" s="76" t="n"/>
      <c r="J2522" s="77" t="n"/>
      <c r="K2522" s="74" t="n"/>
      <c r="L2522" s="78" t="n"/>
      <c r="M2522" s="77" t="n"/>
      <c r="N2522" s="53">
        <f>IF(M2522="","",IFERROR(M2522/I2522,""))</f>
        <v/>
      </c>
      <c r="O2522" s="50">
        <f>IF(A2522="","",IFERROR((IF(G2522="",I2522,G2522)-T2522)/M2522,""))</f>
        <v/>
      </c>
      <c r="P2522" s="50">
        <f>IFERROR((I2522/T2522-1)/N2522,"")</f>
        <v/>
      </c>
      <c r="Q2522" s="46">
        <f>IF(OR(T2522="",I2522&lt;T2522),"",IFERROR(R2522/IF(G2522="",I2522,G2522)-1,""))</f>
        <v/>
      </c>
      <c r="R2522" s="48">
        <f>IF($M2522="","",MAX(IF($G2522="",$I2522,$G2522)*(1/1.1),IF($G2522="",$I2522,$G2522)+(R$2*$M2522)))</f>
        <v/>
      </c>
      <c r="S2522" s="49">
        <f>IF($M2522="","",MAX(IF($G2522="",$I2522,$G2522)*(1/1.1),IF($G2522="",$I2522,$G2522)+(S$2*$M2522)))</f>
        <v/>
      </c>
      <c r="T2522" s="82" t="n"/>
      <c r="U2522" s="47">
        <f>IF(OR($M2522="",$T2522=""),"",$T2522+(U$2*$M2522))</f>
        <v/>
      </c>
      <c r="V2522" s="48">
        <f>IF(OR($M2522="",$T2522=""),"",$T2522+(V$2*$M2522))</f>
        <v/>
      </c>
      <c r="W2522" s="48">
        <f>IF(OR($M2522="",$T2522=""),"",$T2522+(W$2*$M2522))</f>
        <v/>
      </c>
      <c r="X2522" s="49">
        <f>IF(OR($M2522="",$T2522=""),"",$T2522+(X$2*$M2522))</f>
        <v/>
      </c>
      <c r="Y2522" s="47">
        <f>IF(OR($M2522="",$T2522=""),"",$T2522+(Y$2*$M2522))</f>
        <v/>
      </c>
      <c r="Z2522" s="49">
        <f>IF(OR($M2522="",$T2522=""),"",$T2522+(Z$2*$M2522))</f>
        <v/>
      </c>
      <c r="AA2522" s="51">
        <f>IF(OR($M2522="",$T2522=""),"",$T2522+(AA$2*$M2522))</f>
        <v/>
      </c>
      <c r="AB2522" s="48">
        <f>IF(OR($M2522="",$T2522=""),"",$T2522+(AB$2*$M2522))</f>
        <v/>
      </c>
      <c r="AC2522" s="48">
        <f>IF(OR($M2522="",$T2522=""),"",$T2522+(AC$2*$M2522))</f>
        <v/>
      </c>
      <c r="AD2522" s="48">
        <f>IF(OR($M2522="",$T2522=""),"",$T2522+(AD$2*$M2522))</f>
        <v/>
      </c>
      <c r="AE2522" s="49">
        <f>IF(OR($M2522="",$T2522=""),"",$T2522+(AE$2*$M2522))</f>
        <v/>
      </c>
      <c r="AF2522" s="52">
        <f>IF(OR(T2522="",I2522&lt;T2522),"",IFERROR(AVERAGE(T2522+M2522*{7,8,9,10,11})/IF(G2522="",I2522,G2522)-1,""))</f>
        <v/>
      </c>
      <c r="AG2522" s="55">
        <f>IF(OR(T2522="",I2522&lt;T2522),"",IFERROR(AF2522/-(R2522/IF(G2522="",I2522,G2522)-1),""))</f>
        <v/>
      </c>
      <c r="AH2522" s="94" t="n"/>
      <c r="AI2522" s="94" t="n"/>
      <c r="AJ2522" s="94" t="n"/>
      <c r="AK2522" s="94" t="n"/>
      <c r="AL2522" s="84" t="n"/>
    </row>
    <row r="2523">
      <c r="A2523" s="64" t="n"/>
      <c r="B2523" s="65" t="n"/>
      <c r="C2523" s="66" t="n"/>
      <c r="D2523" s="67" t="n"/>
      <c r="E2523" s="68" t="n"/>
      <c r="F2523" s="47">
        <f>IF(A2523="","",IF(MIN(H2523,MAX(J2523:K2523))=0,"",MIN(H2523,MAX(J2523:K2523))))</f>
        <v/>
      </c>
      <c r="G2523" s="74" t="n"/>
      <c r="H2523" s="49">
        <f>IF(M2523="","",IFERROR(ROUND(AVERAGE(T2523+M2523*{7,8,9,10,11})/1.21,4),""))</f>
        <v/>
      </c>
      <c r="I2523" s="76" t="n"/>
      <c r="J2523" s="77" t="n"/>
      <c r="K2523" s="74" t="n"/>
      <c r="L2523" s="78" t="n"/>
      <c r="M2523" s="77" t="n"/>
      <c r="N2523" s="53">
        <f>IF(M2523="","",IFERROR(M2523/I2523,""))</f>
        <v/>
      </c>
      <c r="O2523" s="50">
        <f>IF(A2523="","",IFERROR((IF(G2523="",I2523,G2523)-T2523)/M2523,""))</f>
        <v/>
      </c>
      <c r="P2523" s="50">
        <f>IFERROR((I2523/T2523-1)/N2523,"")</f>
        <v/>
      </c>
      <c r="Q2523" s="46">
        <f>IF(OR(T2523="",I2523&lt;T2523),"",IFERROR(R2523/IF(G2523="",I2523,G2523)-1,""))</f>
        <v/>
      </c>
      <c r="R2523" s="48">
        <f>IF($M2523="","",MAX(IF($G2523="",$I2523,$G2523)*(1/1.1),IF($G2523="",$I2523,$G2523)+(R$2*$M2523)))</f>
        <v/>
      </c>
      <c r="S2523" s="49">
        <f>IF($M2523="","",MAX(IF($G2523="",$I2523,$G2523)*(1/1.1),IF($G2523="",$I2523,$G2523)+(S$2*$M2523)))</f>
        <v/>
      </c>
      <c r="T2523" s="82" t="n"/>
      <c r="U2523" s="47">
        <f>IF(OR($M2523="",$T2523=""),"",$T2523+(U$2*$M2523))</f>
        <v/>
      </c>
      <c r="V2523" s="48">
        <f>IF(OR($M2523="",$T2523=""),"",$T2523+(V$2*$M2523))</f>
        <v/>
      </c>
      <c r="W2523" s="48">
        <f>IF(OR($M2523="",$T2523=""),"",$T2523+(W$2*$M2523))</f>
        <v/>
      </c>
      <c r="X2523" s="49">
        <f>IF(OR($M2523="",$T2523=""),"",$T2523+(X$2*$M2523))</f>
        <v/>
      </c>
      <c r="Y2523" s="47">
        <f>IF(OR($M2523="",$T2523=""),"",$T2523+(Y$2*$M2523))</f>
        <v/>
      </c>
      <c r="Z2523" s="49">
        <f>IF(OR($M2523="",$T2523=""),"",$T2523+(Z$2*$M2523))</f>
        <v/>
      </c>
      <c r="AA2523" s="51">
        <f>IF(OR($M2523="",$T2523=""),"",$T2523+(AA$2*$M2523))</f>
        <v/>
      </c>
      <c r="AB2523" s="48">
        <f>IF(OR($M2523="",$T2523=""),"",$T2523+(AB$2*$M2523))</f>
        <v/>
      </c>
      <c r="AC2523" s="48">
        <f>IF(OR($M2523="",$T2523=""),"",$T2523+(AC$2*$M2523))</f>
        <v/>
      </c>
      <c r="AD2523" s="48">
        <f>IF(OR($M2523="",$T2523=""),"",$T2523+(AD$2*$M2523))</f>
        <v/>
      </c>
      <c r="AE2523" s="49">
        <f>IF(OR($M2523="",$T2523=""),"",$T2523+(AE$2*$M2523))</f>
        <v/>
      </c>
      <c r="AF2523" s="52">
        <f>IF(OR(T2523="",I2523&lt;T2523),"",IFERROR(AVERAGE(T2523+M2523*{7,8,9,10,11})/IF(G2523="",I2523,G2523)-1,""))</f>
        <v/>
      </c>
      <c r="AG2523" s="55">
        <f>IF(OR(T2523="",I2523&lt;T2523),"",IFERROR(AF2523/-(R2523/IF(G2523="",I2523,G2523)-1),""))</f>
        <v/>
      </c>
      <c r="AH2523" s="94" t="n"/>
      <c r="AI2523" s="94" t="n"/>
      <c r="AJ2523" s="94" t="n"/>
      <c r="AK2523" s="94" t="n"/>
      <c r="AL2523" s="84" t="n"/>
    </row>
    <row r="2524">
      <c r="A2524" s="64" t="n"/>
      <c r="B2524" s="65" t="n"/>
      <c r="C2524" s="66" t="n"/>
      <c r="D2524" s="67" t="n"/>
      <c r="E2524" s="68" t="n"/>
      <c r="F2524" s="47">
        <f>IF(A2524="","",IF(MIN(H2524,MAX(J2524:K2524))=0,"",MIN(H2524,MAX(J2524:K2524))))</f>
        <v/>
      </c>
      <c r="G2524" s="74" t="n"/>
      <c r="H2524" s="49">
        <f>IF(M2524="","",IFERROR(ROUND(AVERAGE(T2524+M2524*{7,8,9,10,11})/1.21,4),""))</f>
        <v/>
      </c>
      <c r="I2524" s="76" t="n"/>
      <c r="J2524" s="77" t="n"/>
      <c r="K2524" s="74" t="n"/>
      <c r="L2524" s="78" t="n"/>
      <c r="M2524" s="77" t="n"/>
      <c r="N2524" s="53">
        <f>IF(M2524="","",IFERROR(M2524/I2524,""))</f>
        <v/>
      </c>
      <c r="O2524" s="50">
        <f>IF(A2524="","",IFERROR((IF(G2524="",I2524,G2524)-T2524)/M2524,""))</f>
        <v/>
      </c>
      <c r="P2524" s="50">
        <f>IFERROR((I2524/T2524-1)/N2524,"")</f>
        <v/>
      </c>
      <c r="Q2524" s="46">
        <f>IF(OR(T2524="",I2524&lt;T2524),"",IFERROR(R2524/IF(G2524="",I2524,G2524)-1,""))</f>
        <v/>
      </c>
      <c r="R2524" s="48">
        <f>IF($M2524="","",MAX(IF($G2524="",$I2524,$G2524)*(1/1.1),IF($G2524="",$I2524,$G2524)+(R$2*$M2524)))</f>
        <v/>
      </c>
      <c r="S2524" s="49">
        <f>IF($M2524="","",MAX(IF($G2524="",$I2524,$G2524)*(1/1.1),IF($G2524="",$I2524,$G2524)+(S$2*$M2524)))</f>
        <v/>
      </c>
      <c r="T2524" s="82" t="n"/>
      <c r="U2524" s="47">
        <f>IF(OR($M2524="",$T2524=""),"",$T2524+(U$2*$M2524))</f>
        <v/>
      </c>
      <c r="V2524" s="48">
        <f>IF(OR($M2524="",$T2524=""),"",$T2524+(V$2*$M2524))</f>
        <v/>
      </c>
      <c r="W2524" s="48">
        <f>IF(OR($M2524="",$T2524=""),"",$T2524+(W$2*$M2524))</f>
        <v/>
      </c>
      <c r="X2524" s="49">
        <f>IF(OR($M2524="",$T2524=""),"",$T2524+(X$2*$M2524))</f>
        <v/>
      </c>
      <c r="Y2524" s="47">
        <f>IF(OR($M2524="",$T2524=""),"",$T2524+(Y$2*$M2524))</f>
        <v/>
      </c>
      <c r="Z2524" s="49">
        <f>IF(OR($M2524="",$T2524=""),"",$T2524+(Z$2*$M2524))</f>
        <v/>
      </c>
      <c r="AA2524" s="51">
        <f>IF(OR($M2524="",$T2524=""),"",$T2524+(AA$2*$M2524))</f>
        <v/>
      </c>
      <c r="AB2524" s="48">
        <f>IF(OR($M2524="",$T2524=""),"",$T2524+(AB$2*$M2524))</f>
        <v/>
      </c>
      <c r="AC2524" s="48">
        <f>IF(OR($M2524="",$T2524=""),"",$T2524+(AC$2*$M2524))</f>
        <v/>
      </c>
      <c r="AD2524" s="48">
        <f>IF(OR($M2524="",$T2524=""),"",$T2524+(AD$2*$M2524))</f>
        <v/>
      </c>
      <c r="AE2524" s="49">
        <f>IF(OR($M2524="",$T2524=""),"",$T2524+(AE$2*$M2524))</f>
        <v/>
      </c>
      <c r="AF2524" s="52">
        <f>IF(OR(T2524="",I2524&lt;T2524),"",IFERROR(AVERAGE(T2524+M2524*{7,8,9,10,11})/IF(G2524="",I2524,G2524)-1,""))</f>
        <v/>
      </c>
      <c r="AG2524" s="55">
        <f>IF(OR(T2524="",I2524&lt;T2524),"",IFERROR(AF2524/-(R2524/IF(G2524="",I2524,G2524)-1),""))</f>
        <v/>
      </c>
      <c r="AH2524" s="94" t="n"/>
      <c r="AI2524" s="94" t="n"/>
      <c r="AJ2524" s="94" t="n"/>
      <c r="AK2524" s="94" t="n"/>
      <c r="AL2524" s="84" t="n"/>
    </row>
    <row r="2525">
      <c r="A2525" s="64" t="n"/>
      <c r="B2525" s="65" t="n"/>
      <c r="C2525" s="66" t="n"/>
      <c r="D2525" s="67" t="n"/>
      <c r="E2525" s="68" t="n"/>
      <c r="F2525" s="47">
        <f>IF(A2525="","",IF(MIN(H2525,MAX(J2525:K2525))=0,"",MIN(H2525,MAX(J2525:K2525))))</f>
        <v/>
      </c>
      <c r="G2525" s="74" t="n"/>
      <c r="H2525" s="49">
        <f>IF(M2525="","",IFERROR(ROUND(AVERAGE(T2525+M2525*{7,8,9,10,11})/1.21,4),""))</f>
        <v/>
      </c>
      <c r="I2525" s="76" t="n"/>
      <c r="J2525" s="77" t="n"/>
      <c r="K2525" s="74" t="n"/>
      <c r="L2525" s="78" t="n"/>
      <c r="M2525" s="77" t="n"/>
      <c r="N2525" s="53">
        <f>IF(M2525="","",IFERROR(M2525/I2525,""))</f>
        <v/>
      </c>
      <c r="O2525" s="50">
        <f>IF(A2525="","",IFERROR((IF(G2525="",I2525,G2525)-T2525)/M2525,""))</f>
        <v/>
      </c>
      <c r="P2525" s="50">
        <f>IFERROR((I2525/T2525-1)/N2525,"")</f>
        <v/>
      </c>
      <c r="Q2525" s="46">
        <f>IF(OR(T2525="",I2525&lt;T2525),"",IFERROR(R2525/IF(G2525="",I2525,G2525)-1,""))</f>
        <v/>
      </c>
      <c r="R2525" s="48">
        <f>IF($M2525="","",MAX(IF($G2525="",$I2525,$G2525)*(1/1.1),IF($G2525="",$I2525,$G2525)+(R$2*$M2525)))</f>
        <v/>
      </c>
      <c r="S2525" s="49">
        <f>IF($M2525="","",MAX(IF($G2525="",$I2525,$G2525)*(1/1.1),IF($G2525="",$I2525,$G2525)+(S$2*$M2525)))</f>
        <v/>
      </c>
      <c r="T2525" s="82" t="n"/>
      <c r="U2525" s="47">
        <f>IF(OR($M2525="",$T2525=""),"",$T2525+(U$2*$M2525))</f>
        <v/>
      </c>
      <c r="V2525" s="48">
        <f>IF(OR($M2525="",$T2525=""),"",$T2525+(V$2*$M2525))</f>
        <v/>
      </c>
      <c r="W2525" s="48">
        <f>IF(OR($M2525="",$T2525=""),"",$T2525+(W$2*$M2525))</f>
        <v/>
      </c>
      <c r="X2525" s="49">
        <f>IF(OR($M2525="",$T2525=""),"",$T2525+(X$2*$M2525))</f>
        <v/>
      </c>
      <c r="Y2525" s="47">
        <f>IF(OR($M2525="",$T2525=""),"",$T2525+(Y$2*$M2525))</f>
        <v/>
      </c>
      <c r="Z2525" s="49">
        <f>IF(OR($M2525="",$T2525=""),"",$T2525+(Z$2*$M2525))</f>
        <v/>
      </c>
      <c r="AA2525" s="51">
        <f>IF(OR($M2525="",$T2525=""),"",$T2525+(AA$2*$M2525))</f>
        <v/>
      </c>
      <c r="AB2525" s="48">
        <f>IF(OR($M2525="",$T2525=""),"",$T2525+(AB$2*$M2525))</f>
        <v/>
      </c>
      <c r="AC2525" s="48">
        <f>IF(OR($M2525="",$T2525=""),"",$T2525+(AC$2*$M2525))</f>
        <v/>
      </c>
      <c r="AD2525" s="48">
        <f>IF(OR($M2525="",$T2525=""),"",$T2525+(AD$2*$M2525))</f>
        <v/>
      </c>
      <c r="AE2525" s="49">
        <f>IF(OR($M2525="",$T2525=""),"",$T2525+(AE$2*$M2525))</f>
        <v/>
      </c>
      <c r="AF2525" s="52">
        <f>IF(OR(T2525="",I2525&lt;T2525),"",IFERROR(AVERAGE(T2525+M2525*{7,8,9,10,11})/IF(G2525="",I2525,G2525)-1,""))</f>
        <v/>
      </c>
      <c r="AG2525" s="55">
        <f>IF(OR(T2525="",I2525&lt;T2525),"",IFERROR(AF2525/-(R2525/IF(G2525="",I2525,G2525)-1),""))</f>
        <v/>
      </c>
      <c r="AH2525" s="94" t="n"/>
      <c r="AI2525" s="94" t="n"/>
      <c r="AJ2525" s="94" t="n"/>
      <c r="AK2525" s="94" t="n"/>
      <c r="AL2525" s="84" t="n"/>
    </row>
    <row r="2526">
      <c r="A2526" s="64" t="n"/>
      <c r="B2526" s="65" t="n"/>
      <c r="C2526" s="66" t="n"/>
      <c r="D2526" s="67" t="n"/>
      <c r="E2526" s="68" t="n"/>
      <c r="F2526" s="47">
        <f>IF(A2526="","",IF(MIN(H2526,MAX(J2526:K2526))=0,"",MIN(H2526,MAX(J2526:K2526))))</f>
        <v/>
      </c>
      <c r="G2526" s="74" t="n"/>
      <c r="H2526" s="49">
        <f>IF(M2526="","",IFERROR(ROUND(AVERAGE(T2526+M2526*{7,8,9,10,11})/1.21,4),""))</f>
        <v/>
      </c>
      <c r="I2526" s="76" t="n"/>
      <c r="J2526" s="77" t="n"/>
      <c r="K2526" s="74" t="n"/>
      <c r="L2526" s="78" t="n"/>
      <c r="M2526" s="77" t="n"/>
      <c r="N2526" s="53">
        <f>IF(M2526="","",IFERROR(M2526/I2526,""))</f>
        <v/>
      </c>
      <c r="O2526" s="50">
        <f>IF(A2526="","",IFERROR((IF(G2526="",I2526,G2526)-T2526)/M2526,""))</f>
        <v/>
      </c>
      <c r="P2526" s="50">
        <f>IFERROR((I2526/T2526-1)/N2526,"")</f>
        <v/>
      </c>
      <c r="Q2526" s="46">
        <f>IF(OR(T2526="",I2526&lt;T2526),"",IFERROR(R2526/IF(G2526="",I2526,G2526)-1,""))</f>
        <v/>
      </c>
      <c r="R2526" s="48">
        <f>IF($M2526="","",MAX(IF($G2526="",$I2526,$G2526)*(1/1.1),IF($G2526="",$I2526,$G2526)+(R$2*$M2526)))</f>
        <v/>
      </c>
      <c r="S2526" s="49">
        <f>IF($M2526="","",MAX(IF($G2526="",$I2526,$G2526)*(1/1.1),IF($G2526="",$I2526,$G2526)+(S$2*$M2526)))</f>
        <v/>
      </c>
      <c r="T2526" s="82" t="n"/>
      <c r="U2526" s="47">
        <f>IF(OR($M2526="",$T2526=""),"",$T2526+(U$2*$M2526))</f>
        <v/>
      </c>
      <c r="V2526" s="48">
        <f>IF(OR($M2526="",$T2526=""),"",$T2526+(V$2*$M2526))</f>
        <v/>
      </c>
      <c r="W2526" s="48">
        <f>IF(OR($M2526="",$T2526=""),"",$T2526+(W$2*$M2526))</f>
        <v/>
      </c>
      <c r="X2526" s="49">
        <f>IF(OR($M2526="",$T2526=""),"",$T2526+(X$2*$M2526))</f>
        <v/>
      </c>
      <c r="Y2526" s="47">
        <f>IF(OR($M2526="",$T2526=""),"",$T2526+(Y$2*$M2526))</f>
        <v/>
      </c>
      <c r="Z2526" s="49">
        <f>IF(OR($M2526="",$T2526=""),"",$T2526+(Z$2*$M2526))</f>
        <v/>
      </c>
      <c r="AA2526" s="51">
        <f>IF(OR($M2526="",$T2526=""),"",$T2526+(AA$2*$M2526))</f>
        <v/>
      </c>
      <c r="AB2526" s="48">
        <f>IF(OR($M2526="",$T2526=""),"",$T2526+(AB$2*$M2526))</f>
        <v/>
      </c>
      <c r="AC2526" s="48">
        <f>IF(OR($M2526="",$T2526=""),"",$T2526+(AC$2*$M2526))</f>
        <v/>
      </c>
      <c r="AD2526" s="48">
        <f>IF(OR($M2526="",$T2526=""),"",$T2526+(AD$2*$M2526))</f>
        <v/>
      </c>
      <c r="AE2526" s="49">
        <f>IF(OR($M2526="",$T2526=""),"",$T2526+(AE$2*$M2526))</f>
        <v/>
      </c>
      <c r="AF2526" s="52">
        <f>IF(OR(T2526="",I2526&lt;T2526),"",IFERROR(AVERAGE(T2526+M2526*{7,8,9,10,11})/IF(G2526="",I2526,G2526)-1,""))</f>
        <v/>
      </c>
      <c r="AG2526" s="55">
        <f>IF(OR(T2526="",I2526&lt;T2526),"",IFERROR(AF2526/-(R2526/IF(G2526="",I2526,G2526)-1),""))</f>
        <v/>
      </c>
      <c r="AH2526" s="94" t="n"/>
      <c r="AI2526" s="94" t="n"/>
      <c r="AJ2526" s="94" t="n"/>
      <c r="AK2526" s="94" t="n"/>
      <c r="AL2526" s="84" t="n"/>
    </row>
    <row r="2527">
      <c r="A2527" s="64" t="n"/>
      <c r="B2527" s="65" t="n"/>
      <c r="C2527" s="66" t="n"/>
      <c r="D2527" s="67" t="n"/>
      <c r="E2527" s="68" t="n"/>
      <c r="F2527" s="47">
        <f>IF(A2527="","",IF(MIN(H2527,MAX(J2527:K2527))=0,"",MIN(H2527,MAX(J2527:K2527))))</f>
        <v/>
      </c>
      <c r="G2527" s="74" t="n"/>
      <c r="H2527" s="49">
        <f>IF(M2527="","",IFERROR(ROUND(AVERAGE(T2527+M2527*{7,8,9,10,11})/1.21,4),""))</f>
        <v/>
      </c>
      <c r="I2527" s="76" t="n"/>
      <c r="J2527" s="77" t="n"/>
      <c r="K2527" s="74" t="n"/>
      <c r="L2527" s="78" t="n"/>
      <c r="M2527" s="77" t="n"/>
      <c r="N2527" s="53">
        <f>IF(M2527="","",IFERROR(M2527/I2527,""))</f>
        <v/>
      </c>
      <c r="O2527" s="50">
        <f>IF(A2527="","",IFERROR((IF(G2527="",I2527,G2527)-T2527)/M2527,""))</f>
        <v/>
      </c>
      <c r="P2527" s="50">
        <f>IFERROR((I2527/T2527-1)/N2527,"")</f>
        <v/>
      </c>
      <c r="Q2527" s="46">
        <f>IF(OR(T2527="",I2527&lt;T2527),"",IFERROR(R2527/IF(G2527="",I2527,G2527)-1,""))</f>
        <v/>
      </c>
      <c r="R2527" s="48">
        <f>IF($M2527="","",MAX(IF($G2527="",$I2527,$G2527)*(1/1.1),IF($G2527="",$I2527,$G2527)+(R$2*$M2527)))</f>
        <v/>
      </c>
      <c r="S2527" s="49">
        <f>IF($M2527="","",MAX(IF($G2527="",$I2527,$G2527)*(1/1.1),IF($G2527="",$I2527,$G2527)+(S$2*$M2527)))</f>
        <v/>
      </c>
      <c r="T2527" s="82" t="n"/>
      <c r="U2527" s="47">
        <f>IF(OR($M2527="",$T2527=""),"",$T2527+(U$2*$M2527))</f>
        <v/>
      </c>
      <c r="V2527" s="48">
        <f>IF(OR($M2527="",$T2527=""),"",$T2527+(V$2*$M2527))</f>
        <v/>
      </c>
      <c r="W2527" s="48">
        <f>IF(OR($M2527="",$T2527=""),"",$T2527+(W$2*$M2527))</f>
        <v/>
      </c>
      <c r="X2527" s="49">
        <f>IF(OR($M2527="",$T2527=""),"",$T2527+(X$2*$M2527))</f>
        <v/>
      </c>
      <c r="Y2527" s="47">
        <f>IF(OR($M2527="",$T2527=""),"",$T2527+(Y$2*$M2527))</f>
        <v/>
      </c>
      <c r="Z2527" s="49">
        <f>IF(OR($M2527="",$T2527=""),"",$T2527+(Z$2*$M2527))</f>
        <v/>
      </c>
      <c r="AA2527" s="51">
        <f>IF(OR($M2527="",$T2527=""),"",$T2527+(AA$2*$M2527))</f>
        <v/>
      </c>
      <c r="AB2527" s="48">
        <f>IF(OR($M2527="",$T2527=""),"",$T2527+(AB$2*$M2527))</f>
        <v/>
      </c>
      <c r="AC2527" s="48">
        <f>IF(OR($M2527="",$T2527=""),"",$T2527+(AC$2*$M2527))</f>
        <v/>
      </c>
      <c r="AD2527" s="48">
        <f>IF(OR($M2527="",$T2527=""),"",$T2527+(AD$2*$M2527))</f>
        <v/>
      </c>
      <c r="AE2527" s="49">
        <f>IF(OR($M2527="",$T2527=""),"",$T2527+(AE$2*$M2527))</f>
        <v/>
      </c>
      <c r="AF2527" s="52">
        <f>IF(OR(T2527="",I2527&lt;T2527),"",IFERROR(AVERAGE(T2527+M2527*{7,8,9,10,11})/IF(G2527="",I2527,G2527)-1,""))</f>
        <v/>
      </c>
      <c r="AG2527" s="55">
        <f>IF(OR(T2527="",I2527&lt;T2527),"",IFERROR(AF2527/-(R2527/IF(G2527="",I2527,G2527)-1),""))</f>
        <v/>
      </c>
      <c r="AH2527" s="94" t="n"/>
      <c r="AI2527" s="94" t="n"/>
      <c r="AJ2527" s="94" t="n"/>
      <c r="AK2527" s="94" t="n"/>
      <c r="AL2527" s="84" t="n"/>
    </row>
    <row r="2528">
      <c r="A2528" s="64" t="n"/>
      <c r="B2528" s="65" t="n"/>
      <c r="C2528" s="66" t="n"/>
      <c r="D2528" s="67" t="n"/>
      <c r="E2528" s="68" t="n"/>
      <c r="F2528" s="47">
        <f>IF(A2528="","",IF(MIN(H2528,MAX(J2528:K2528))=0,"",MIN(H2528,MAX(J2528:K2528))))</f>
        <v/>
      </c>
      <c r="G2528" s="74" t="n"/>
      <c r="H2528" s="49">
        <f>IF(M2528="","",IFERROR(ROUND(AVERAGE(T2528+M2528*{7,8,9,10,11})/1.21,4),""))</f>
        <v/>
      </c>
      <c r="I2528" s="76" t="n"/>
      <c r="J2528" s="77" t="n"/>
      <c r="K2528" s="74" t="n"/>
      <c r="L2528" s="78" t="n"/>
      <c r="M2528" s="77" t="n"/>
      <c r="N2528" s="53">
        <f>IF(M2528="","",IFERROR(M2528/I2528,""))</f>
        <v/>
      </c>
      <c r="O2528" s="50">
        <f>IF(A2528="","",IFERROR((IF(G2528="",I2528,G2528)-T2528)/M2528,""))</f>
        <v/>
      </c>
      <c r="P2528" s="50">
        <f>IFERROR((I2528/T2528-1)/N2528,"")</f>
        <v/>
      </c>
      <c r="Q2528" s="46">
        <f>IF(OR(T2528="",I2528&lt;T2528),"",IFERROR(R2528/IF(G2528="",I2528,G2528)-1,""))</f>
        <v/>
      </c>
      <c r="R2528" s="48">
        <f>IF($M2528="","",MAX(IF($G2528="",$I2528,$G2528)*(1/1.1),IF($G2528="",$I2528,$G2528)+(R$2*$M2528)))</f>
        <v/>
      </c>
      <c r="S2528" s="49">
        <f>IF($M2528="","",MAX(IF($G2528="",$I2528,$G2528)*(1/1.1),IF($G2528="",$I2528,$G2528)+(S$2*$M2528)))</f>
        <v/>
      </c>
      <c r="T2528" s="82" t="n"/>
      <c r="U2528" s="47">
        <f>IF(OR($M2528="",$T2528=""),"",$T2528+(U$2*$M2528))</f>
        <v/>
      </c>
      <c r="V2528" s="48">
        <f>IF(OR($M2528="",$T2528=""),"",$T2528+(V$2*$M2528))</f>
        <v/>
      </c>
      <c r="W2528" s="48">
        <f>IF(OR($M2528="",$T2528=""),"",$T2528+(W$2*$M2528))</f>
        <v/>
      </c>
      <c r="X2528" s="49">
        <f>IF(OR($M2528="",$T2528=""),"",$T2528+(X$2*$M2528))</f>
        <v/>
      </c>
      <c r="Y2528" s="47">
        <f>IF(OR($M2528="",$T2528=""),"",$T2528+(Y$2*$M2528))</f>
        <v/>
      </c>
      <c r="Z2528" s="49">
        <f>IF(OR($M2528="",$T2528=""),"",$T2528+(Z$2*$M2528))</f>
        <v/>
      </c>
      <c r="AA2528" s="51">
        <f>IF(OR($M2528="",$T2528=""),"",$T2528+(AA$2*$M2528))</f>
        <v/>
      </c>
      <c r="AB2528" s="48">
        <f>IF(OR($M2528="",$T2528=""),"",$T2528+(AB$2*$M2528))</f>
        <v/>
      </c>
      <c r="AC2528" s="48">
        <f>IF(OR($M2528="",$T2528=""),"",$T2528+(AC$2*$M2528))</f>
        <v/>
      </c>
      <c r="AD2528" s="48">
        <f>IF(OR($M2528="",$T2528=""),"",$T2528+(AD$2*$M2528))</f>
        <v/>
      </c>
      <c r="AE2528" s="49">
        <f>IF(OR($M2528="",$T2528=""),"",$T2528+(AE$2*$M2528))</f>
        <v/>
      </c>
      <c r="AF2528" s="52">
        <f>IF(OR(T2528="",I2528&lt;T2528),"",IFERROR(AVERAGE(T2528+M2528*{7,8,9,10,11})/IF(G2528="",I2528,G2528)-1,""))</f>
        <v/>
      </c>
      <c r="AG2528" s="55">
        <f>IF(OR(T2528="",I2528&lt;T2528),"",IFERROR(AF2528/-(R2528/IF(G2528="",I2528,G2528)-1),""))</f>
        <v/>
      </c>
      <c r="AH2528" s="94" t="n"/>
      <c r="AI2528" s="94" t="n"/>
      <c r="AJ2528" s="94" t="n"/>
      <c r="AK2528" s="94" t="n"/>
      <c r="AL2528" s="84" t="n"/>
    </row>
    <row r="2529">
      <c r="A2529" s="64" t="n"/>
      <c r="B2529" s="65" t="n"/>
      <c r="C2529" s="66" t="n"/>
      <c r="D2529" s="67" t="n"/>
      <c r="E2529" s="68" t="n"/>
      <c r="F2529" s="47">
        <f>IF(A2529="","",IF(MIN(H2529,MAX(J2529:K2529))=0,"",MIN(H2529,MAX(J2529:K2529))))</f>
        <v/>
      </c>
      <c r="G2529" s="74" t="n"/>
      <c r="H2529" s="49">
        <f>IF(M2529="","",IFERROR(ROUND(AVERAGE(T2529+M2529*{7,8,9,10,11})/1.21,4),""))</f>
        <v/>
      </c>
      <c r="I2529" s="76" t="n"/>
      <c r="J2529" s="77" t="n"/>
      <c r="K2529" s="74" t="n"/>
      <c r="L2529" s="78" t="n"/>
      <c r="M2529" s="77" t="n"/>
      <c r="N2529" s="53">
        <f>IF(M2529="","",IFERROR(M2529/I2529,""))</f>
        <v/>
      </c>
      <c r="O2529" s="50">
        <f>IF(A2529="","",IFERROR((IF(G2529="",I2529,G2529)-T2529)/M2529,""))</f>
        <v/>
      </c>
      <c r="P2529" s="50">
        <f>IFERROR((I2529/T2529-1)/N2529,"")</f>
        <v/>
      </c>
      <c r="Q2529" s="46">
        <f>IF(OR(T2529="",I2529&lt;T2529),"",IFERROR(R2529/IF(G2529="",I2529,G2529)-1,""))</f>
        <v/>
      </c>
      <c r="R2529" s="48">
        <f>IF($M2529="","",MAX(IF($G2529="",$I2529,$G2529)*(1/1.1),IF($G2529="",$I2529,$G2529)+(R$2*$M2529)))</f>
        <v/>
      </c>
      <c r="S2529" s="49">
        <f>IF($M2529="","",MAX(IF($G2529="",$I2529,$G2529)*(1/1.1),IF($G2529="",$I2529,$G2529)+(S$2*$M2529)))</f>
        <v/>
      </c>
      <c r="T2529" s="82" t="n"/>
      <c r="U2529" s="47">
        <f>IF(OR($M2529="",$T2529=""),"",$T2529+(U$2*$M2529))</f>
        <v/>
      </c>
      <c r="V2529" s="48">
        <f>IF(OR($M2529="",$T2529=""),"",$T2529+(V$2*$M2529))</f>
        <v/>
      </c>
      <c r="W2529" s="48">
        <f>IF(OR($M2529="",$T2529=""),"",$T2529+(W$2*$M2529))</f>
        <v/>
      </c>
      <c r="X2529" s="49">
        <f>IF(OR($M2529="",$T2529=""),"",$T2529+(X$2*$M2529))</f>
        <v/>
      </c>
      <c r="Y2529" s="47">
        <f>IF(OR($M2529="",$T2529=""),"",$T2529+(Y$2*$M2529))</f>
        <v/>
      </c>
      <c r="Z2529" s="49">
        <f>IF(OR($M2529="",$T2529=""),"",$T2529+(Z$2*$M2529))</f>
        <v/>
      </c>
      <c r="AA2529" s="51">
        <f>IF(OR($M2529="",$T2529=""),"",$T2529+(AA$2*$M2529))</f>
        <v/>
      </c>
      <c r="AB2529" s="48">
        <f>IF(OR($M2529="",$T2529=""),"",$T2529+(AB$2*$M2529))</f>
        <v/>
      </c>
      <c r="AC2529" s="48">
        <f>IF(OR($M2529="",$T2529=""),"",$T2529+(AC$2*$M2529))</f>
        <v/>
      </c>
      <c r="AD2529" s="48">
        <f>IF(OR($M2529="",$T2529=""),"",$T2529+(AD$2*$M2529))</f>
        <v/>
      </c>
      <c r="AE2529" s="49">
        <f>IF(OR($M2529="",$T2529=""),"",$T2529+(AE$2*$M2529))</f>
        <v/>
      </c>
      <c r="AF2529" s="52">
        <f>IF(OR(T2529="",I2529&lt;T2529),"",IFERROR(AVERAGE(T2529+M2529*{7,8,9,10,11})/IF(G2529="",I2529,G2529)-1,""))</f>
        <v/>
      </c>
      <c r="AG2529" s="55">
        <f>IF(OR(T2529="",I2529&lt;T2529),"",IFERROR(AF2529/-(R2529/IF(G2529="",I2529,G2529)-1),""))</f>
        <v/>
      </c>
      <c r="AH2529" s="94" t="n"/>
      <c r="AI2529" s="94" t="n"/>
      <c r="AJ2529" s="94" t="n"/>
      <c r="AK2529" s="94" t="n"/>
      <c r="AL2529" s="84" t="n"/>
    </row>
    <row r="2530">
      <c r="A2530" s="64" t="n"/>
      <c r="B2530" s="65" t="n"/>
      <c r="C2530" s="66" t="n"/>
      <c r="D2530" s="67" t="n"/>
      <c r="E2530" s="68" t="n"/>
      <c r="F2530" s="47">
        <f>IF(A2530="","",IF(MIN(H2530,MAX(J2530:K2530))=0,"",MIN(H2530,MAX(J2530:K2530))))</f>
        <v/>
      </c>
      <c r="G2530" s="74" t="n"/>
      <c r="H2530" s="49">
        <f>IF(M2530="","",IFERROR(ROUND(AVERAGE(T2530+M2530*{7,8,9,10,11})/1.21,4),""))</f>
        <v/>
      </c>
      <c r="I2530" s="76" t="n"/>
      <c r="J2530" s="77" t="n"/>
      <c r="K2530" s="74" t="n"/>
      <c r="L2530" s="78" t="n"/>
      <c r="M2530" s="77" t="n"/>
      <c r="N2530" s="53">
        <f>IF(M2530="","",IFERROR(M2530/I2530,""))</f>
        <v/>
      </c>
      <c r="O2530" s="50">
        <f>IF(A2530="","",IFERROR((IF(G2530="",I2530,G2530)-T2530)/M2530,""))</f>
        <v/>
      </c>
      <c r="P2530" s="50">
        <f>IFERROR((I2530/T2530-1)/N2530,"")</f>
        <v/>
      </c>
      <c r="Q2530" s="46">
        <f>IF(OR(T2530="",I2530&lt;T2530),"",IFERROR(R2530/IF(G2530="",I2530,G2530)-1,""))</f>
        <v/>
      </c>
      <c r="R2530" s="48">
        <f>IF($M2530="","",MAX(IF($G2530="",$I2530,$G2530)*(1/1.1),IF($G2530="",$I2530,$G2530)+(R$2*$M2530)))</f>
        <v/>
      </c>
      <c r="S2530" s="49">
        <f>IF($M2530="","",MAX(IF($G2530="",$I2530,$G2530)*(1/1.1),IF($G2530="",$I2530,$G2530)+(S$2*$M2530)))</f>
        <v/>
      </c>
      <c r="T2530" s="82" t="n"/>
      <c r="U2530" s="47">
        <f>IF(OR($M2530="",$T2530=""),"",$T2530+(U$2*$M2530))</f>
        <v/>
      </c>
      <c r="V2530" s="48">
        <f>IF(OR($M2530="",$T2530=""),"",$T2530+(V$2*$M2530))</f>
        <v/>
      </c>
      <c r="W2530" s="48">
        <f>IF(OR($M2530="",$T2530=""),"",$T2530+(W$2*$M2530))</f>
        <v/>
      </c>
      <c r="X2530" s="49">
        <f>IF(OR($M2530="",$T2530=""),"",$T2530+(X$2*$M2530))</f>
        <v/>
      </c>
      <c r="Y2530" s="47">
        <f>IF(OR($M2530="",$T2530=""),"",$T2530+(Y$2*$M2530))</f>
        <v/>
      </c>
      <c r="Z2530" s="49">
        <f>IF(OR($M2530="",$T2530=""),"",$T2530+(Z$2*$M2530))</f>
        <v/>
      </c>
      <c r="AA2530" s="51">
        <f>IF(OR($M2530="",$T2530=""),"",$T2530+(AA$2*$M2530))</f>
        <v/>
      </c>
      <c r="AB2530" s="48">
        <f>IF(OR($M2530="",$T2530=""),"",$T2530+(AB$2*$M2530))</f>
        <v/>
      </c>
      <c r="AC2530" s="48">
        <f>IF(OR($M2530="",$T2530=""),"",$T2530+(AC$2*$M2530))</f>
        <v/>
      </c>
      <c r="AD2530" s="48">
        <f>IF(OR($M2530="",$T2530=""),"",$T2530+(AD$2*$M2530))</f>
        <v/>
      </c>
      <c r="AE2530" s="49">
        <f>IF(OR($M2530="",$T2530=""),"",$T2530+(AE$2*$M2530))</f>
        <v/>
      </c>
      <c r="AF2530" s="52">
        <f>IF(OR(T2530="",I2530&lt;T2530),"",IFERROR(AVERAGE(T2530+M2530*{7,8,9,10,11})/IF(G2530="",I2530,G2530)-1,""))</f>
        <v/>
      </c>
      <c r="AG2530" s="55">
        <f>IF(OR(T2530="",I2530&lt;T2530),"",IFERROR(AF2530/-(R2530/IF(G2530="",I2530,G2530)-1),""))</f>
        <v/>
      </c>
      <c r="AH2530" s="94" t="n"/>
      <c r="AI2530" s="94" t="n"/>
      <c r="AJ2530" s="94" t="n"/>
      <c r="AK2530" s="94" t="n"/>
      <c r="AL2530" s="84" t="n"/>
    </row>
    <row r="2531">
      <c r="A2531" s="64" t="n"/>
      <c r="B2531" s="65" t="n"/>
      <c r="C2531" s="66" t="n"/>
      <c r="D2531" s="67" t="n"/>
      <c r="E2531" s="68" t="n"/>
      <c r="F2531" s="47">
        <f>IF(A2531="","",IF(MIN(H2531,MAX(J2531:K2531))=0,"",MIN(H2531,MAX(J2531:K2531))))</f>
        <v/>
      </c>
      <c r="G2531" s="74" t="n"/>
      <c r="H2531" s="49">
        <f>IF(M2531="","",IFERROR(ROUND(AVERAGE(T2531+M2531*{7,8,9,10,11})/1.21,4),""))</f>
        <v/>
      </c>
      <c r="I2531" s="76" t="n"/>
      <c r="J2531" s="77" t="n"/>
      <c r="K2531" s="74" t="n"/>
      <c r="L2531" s="78" t="n"/>
      <c r="M2531" s="77" t="n"/>
      <c r="N2531" s="53">
        <f>IF(M2531="","",IFERROR(M2531/I2531,""))</f>
        <v/>
      </c>
      <c r="O2531" s="50">
        <f>IF(A2531="","",IFERROR((IF(G2531="",I2531,G2531)-T2531)/M2531,""))</f>
        <v/>
      </c>
      <c r="P2531" s="50">
        <f>IFERROR((I2531/T2531-1)/N2531,"")</f>
        <v/>
      </c>
      <c r="Q2531" s="46">
        <f>IF(OR(T2531="",I2531&lt;T2531),"",IFERROR(R2531/IF(G2531="",I2531,G2531)-1,""))</f>
        <v/>
      </c>
      <c r="R2531" s="48">
        <f>IF($M2531="","",MAX(IF($G2531="",$I2531,$G2531)*(1/1.1),IF($G2531="",$I2531,$G2531)+(R$2*$M2531)))</f>
        <v/>
      </c>
      <c r="S2531" s="49">
        <f>IF($M2531="","",MAX(IF($G2531="",$I2531,$G2531)*(1/1.1),IF($G2531="",$I2531,$G2531)+(S$2*$M2531)))</f>
        <v/>
      </c>
      <c r="T2531" s="82" t="n"/>
      <c r="U2531" s="47">
        <f>IF(OR($M2531="",$T2531=""),"",$T2531+(U$2*$M2531))</f>
        <v/>
      </c>
      <c r="V2531" s="48">
        <f>IF(OR($M2531="",$T2531=""),"",$T2531+(V$2*$M2531))</f>
        <v/>
      </c>
      <c r="W2531" s="48">
        <f>IF(OR($M2531="",$T2531=""),"",$T2531+(W$2*$M2531))</f>
        <v/>
      </c>
      <c r="X2531" s="49">
        <f>IF(OR($M2531="",$T2531=""),"",$T2531+(X$2*$M2531))</f>
        <v/>
      </c>
      <c r="Y2531" s="47">
        <f>IF(OR($M2531="",$T2531=""),"",$T2531+(Y$2*$M2531))</f>
        <v/>
      </c>
      <c r="Z2531" s="49">
        <f>IF(OR($M2531="",$T2531=""),"",$T2531+(Z$2*$M2531))</f>
        <v/>
      </c>
      <c r="AA2531" s="51">
        <f>IF(OR($M2531="",$T2531=""),"",$T2531+(AA$2*$M2531))</f>
        <v/>
      </c>
      <c r="AB2531" s="48">
        <f>IF(OR($M2531="",$T2531=""),"",$T2531+(AB$2*$M2531))</f>
        <v/>
      </c>
      <c r="AC2531" s="48">
        <f>IF(OR($M2531="",$T2531=""),"",$T2531+(AC$2*$M2531))</f>
        <v/>
      </c>
      <c r="AD2531" s="48">
        <f>IF(OR($M2531="",$T2531=""),"",$T2531+(AD$2*$M2531))</f>
        <v/>
      </c>
      <c r="AE2531" s="49">
        <f>IF(OR($M2531="",$T2531=""),"",$T2531+(AE$2*$M2531))</f>
        <v/>
      </c>
      <c r="AF2531" s="52">
        <f>IF(OR(T2531="",I2531&lt;T2531),"",IFERROR(AVERAGE(T2531+M2531*{7,8,9,10,11})/IF(G2531="",I2531,G2531)-1,""))</f>
        <v/>
      </c>
      <c r="AG2531" s="55">
        <f>IF(OR(T2531="",I2531&lt;T2531),"",IFERROR(AF2531/-(R2531/IF(G2531="",I2531,G2531)-1),""))</f>
        <v/>
      </c>
      <c r="AH2531" s="94" t="n"/>
      <c r="AI2531" s="94" t="n"/>
      <c r="AJ2531" s="94" t="n"/>
      <c r="AK2531" s="94" t="n"/>
      <c r="AL2531" s="84" t="n"/>
    </row>
    <row r="2532">
      <c r="A2532" s="64" t="n"/>
      <c r="B2532" s="65" t="n"/>
      <c r="C2532" s="66" t="n"/>
      <c r="D2532" s="67" t="n"/>
      <c r="E2532" s="68" t="n"/>
      <c r="F2532" s="47">
        <f>IF(A2532="","",IF(MIN(H2532,MAX(J2532:K2532))=0,"",MIN(H2532,MAX(J2532:K2532))))</f>
        <v/>
      </c>
      <c r="G2532" s="74" t="n"/>
      <c r="H2532" s="49">
        <f>IF(M2532="","",IFERROR(ROUND(AVERAGE(T2532+M2532*{7,8,9,10,11})/1.21,4),""))</f>
        <v/>
      </c>
      <c r="I2532" s="76" t="n"/>
      <c r="J2532" s="77" t="n"/>
      <c r="K2532" s="74" t="n"/>
      <c r="L2532" s="78" t="n"/>
      <c r="M2532" s="77" t="n"/>
      <c r="N2532" s="53">
        <f>IF(M2532="","",IFERROR(M2532/I2532,""))</f>
        <v/>
      </c>
      <c r="O2532" s="50">
        <f>IF(A2532="","",IFERROR((IF(G2532="",I2532,G2532)-T2532)/M2532,""))</f>
        <v/>
      </c>
      <c r="P2532" s="50">
        <f>IFERROR((I2532/T2532-1)/N2532,"")</f>
        <v/>
      </c>
      <c r="Q2532" s="46">
        <f>IF(OR(T2532="",I2532&lt;T2532),"",IFERROR(R2532/IF(G2532="",I2532,G2532)-1,""))</f>
        <v/>
      </c>
      <c r="R2532" s="48">
        <f>IF($M2532="","",MAX(IF($G2532="",$I2532,$G2532)*(1/1.1),IF($G2532="",$I2532,$G2532)+(R$2*$M2532)))</f>
        <v/>
      </c>
      <c r="S2532" s="49">
        <f>IF($M2532="","",MAX(IF($G2532="",$I2532,$G2532)*(1/1.1),IF($G2532="",$I2532,$G2532)+(S$2*$M2532)))</f>
        <v/>
      </c>
      <c r="T2532" s="82" t="n"/>
      <c r="U2532" s="47">
        <f>IF(OR($M2532="",$T2532=""),"",$T2532+(U$2*$M2532))</f>
        <v/>
      </c>
      <c r="V2532" s="48">
        <f>IF(OR($M2532="",$T2532=""),"",$T2532+(V$2*$M2532))</f>
        <v/>
      </c>
      <c r="W2532" s="48">
        <f>IF(OR($M2532="",$T2532=""),"",$T2532+(W$2*$M2532))</f>
        <v/>
      </c>
      <c r="X2532" s="49">
        <f>IF(OR($M2532="",$T2532=""),"",$T2532+(X$2*$M2532))</f>
        <v/>
      </c>
      <c r="Y2532" s="47">
        <f>IF(OR($M2532="",$T2532=""),"",$T2532+(Y$2*$M2532))</f>
        <v/>
      </c>
      <c r="Z2532" s="49">
        <f>IF(OR($M2532="",$T2532=""),"",$T2532+(Z$2*$M2532))</f>
        <v/>
      </c>
      <c r="AA2532" s="51">
        <f>IF(OR($M2532="",$T2532=""),"",$T2532+(AA$2*$M2532))</f>
        <v/>
      </c>
      <c r="AB2532" s="48">
        <f>IF(OR($M2532="",$T2532=""),"",$T2532+(AB$2*$M2532))</f>
        <v/>
      </c>
      <c r="AC2532" s="48">
        <f>IF(OR($M2532="",$T2532=""),"",$T2532+(AC$2*$M2532))</f>
        <v/>
      </c>
      <c r="AD2532" s="48">
        <f>IF(OR($M2532="",$T2532=""),"",$T2532+(AD$2*$M2532))</f>
        <v/>
      </c>
      <c r="AE2532" s="49">
        <f>IF(OR($M2532="",$T2532=""),"",$T2532+(AE$2*$M2532))</f>
        <v/>
      </c>
      <c r="AF2532" s="52">
        <f>IF(OR(T2532="",I2532&lt;T2532),"",IFERROR(AVERAGE(T2532+M2532*{7,8,9,10,11})/IF(G2532="",I2532,G2532)-1,""))</f>
        <v/>
      </c>
      <c r="AG2532" s="55">
        <f>IF(OR(T2532="",I2532&lt;T2532),"",IFERROR(AF2532/-(R2532/IF(G2532="",I2532,G2532)-1),""))</f>
        <v/>
      </c>
      <c r="AH2532" s="94" t="n"/>
      <c r="AI2532" s="94" t="n"/>
      <c r="AJ2532" s="94" t="n"/>
      <c r="AK2532" s="94" t="n"/>
      <c r="AL2532" s="84" t="n"/>
    </row>
    <row r="2533">
      <c r="A2533" s="64" t="n"/>
      <c r="B2533" s="65" t="n"/>
      <c r="C2533" s="66" t="n"/>
      <c r="D2533" s="67" t="n"/>
      <c r="E2533" s="68" t="n"/>
      <c r="F2533" s="47">
        <f>IF(A2533="","",IF(MIN(H2533,MAX(J2533:K2533))=0,"",MIN(H2533,MAX(J2533:K2533))))</f>
        <v/>
      </c>
      <c r="G2533" s="74" t="n"/>
      <c r="H2533" s="49">
        <f>IF(M2533="","",IFERROR(ROUND(AVERAGE(T2533+M2533*{7,8,9,10,11})/1.21,4),""))</f>
        <v/>
      </c>
      <c r="I2533" s="76" t="n"/>
      <c r="J2533" s="77" t="n"/>
      <c r="K2533" s="74" t="n"/>
      <c r="L2533" s="78" t="n"/>
      <c r="M2533" s="77" t="n"/>
      <c r="N2533" s="53">
        <f>IF(M2533="","",IFERROR(M2533/I2533,""))</f>
        <v/>
      </c>
      <c r="O2533" s="50">
        <f>IF(A2533="","",IFERROR((IF(G2533="",I2533,G2533)-T2533)/M2533,""))</f>
        <v/>
      </c>
      <c r="P2533" s="50">
        <f>IFERROR((I2533/T2533-1)/N2533,"")</f>
        <v/>
      </c>
      <c r="Q2533" s="46">
        <f>IF(OR(T2533="",I2533&lt;T2533),"",IFERROR(R2533/IF(G2533="",I2533,G2533)-1,""))</f>
        <v/>
      </c>
      <c r="R2533" s="48">
        <f>IF($M2533="","",MAX(IF($G2533="",$I2533,$G2533)*(1/1.1),IF($G2533="",$I2533,$G2533)+(R$2*$M2533)))</f>
        <v/>
      </c>
      <c r="S2533" s="49">
        <f>IF($M2533="","",MAX(IF($G2533="",$I2533,$G2533)*(1/1.1),IF($G2533="",$I2533,$G2533)+(S$2*$M2533)))</f>
        <v/>
      </c>
      <c r="T2533" s="82" t="n"/>
      <c r="U2533" s="47">
        <f>IF(OR($M2533="",$T2533=""),"",$T2533+(U$2*$M2533))</f>
        <v/>
      </c>
      <c r="V2533" s="48">
        <f>IF(OR($M2533="",$T2533=""),"",$T2533+(V$2*$M2533))</f>
        <v/>
      </c>
      <c r="W2533" s="48">
        <f>IF(OR($M2533="",$T2533=""),"",$T2533+(W$2*$M2533))</f>
        <v/>
      </c>
      <c r="X2533" s="49">
        <f>IF(OR($M2533="",$T2533=""),"",$T2533+(X$2*$M2533))</f>
        <v/>
      </c>
      <c r="Y2533" s="47">
        <f>IF(OR($M2533="",$T2533=""),"",$T2533+(Y$2*$M2533))</f>
        <v/>
      </c>
      <c r="Z2533" s="49">
        <f>IF(OR($M2533="",$T2533=""),"",$T2533+(Z$2*$M2533))</f>
        <v/>
      </c>
      <c r="AA2533" s="51">
        <f>IF(OR($M2533="",$T2533=""),"",$T2533+(AA$2*$M2533))</f>
        <v/>
      </c>
      <c r="AB2533" s="48">
        <f>IF(OR($M2533="",$T2533=""),"",$T2533+(AB$2*$M2533))</f>
        <v/>
      </c>
      <c r="AC2533" s="48">
        <f>IF(OR($M2533="",$T2533=""),"",$T2533+(AC$2*$M2533))</f>
        <v/>
      </c>
      <c r="AD2533" s="48">
        <f>IF(OR($M2533="",$T2533=""),"",$T2533+(AD$2*$M2533))</f>
        <v/>
      </c>
      <c r="AE2533" s="49">
        <f>IF(OR($M2533="",$T2533=""),"",$T2533+(AE$2*$M2533))</f>
        <v/>
      </c>
      <c r="AF2533" s="52">
        <f>IF(OR(T2533="",I2533&lt;T2533),"",IFERROR(AVERAGE(T2533+M2533*{7,8,9,10,11})/IF(G2533="",I2533,G2533)-1,""))</f>
        <v/>
      </c>
      <c r="AG2533" s="55">
        <f>IF(OR(T2533="",I2533&lt;T2533),"",IFERROR(AF2533/-(R2533/IF(G2533="",I2533,G2533)-1),""))</f>
        <v/>
      </c>
      <c r="AH2533" s="94" t="n"/>
      <c r="AI2533" s="94" t="n"/>
      <c r="AJ2533" s="94" t="n"/>
      <c r="AK2533" s="94" t="n"/>
      <c r="AL2533" s="84" t="n"/>
    </row>
    <row r="2534">
      <c r="A2534" s="64" t="n"/>
      <c r="B2534" s="65" t="n"/>
      <c r="C2534" s="66" t="n"/>
      <c r="D2534" s="67" t="n"/>
      <c r="E2534" s="68" t="n"/>
      <c r="F2534" s="47">
        <f>IF(A2534="","",IF(MIN(H2534,MAX(J2534:K2534))=0,"",MIN(H2534,MAX(J2534:K2534))))</f>
        <v/>
      </c>
      <c r="G2534" s="74" t="n"/>
      <c r="H2534" s="49">
        <f>IF(M2534="","",IFERROR(ROUND(AVERAGE(T2534+M2534*{7,8,9,10,11})/1.21,4),""))</f>
        <v/>
      </c>
      <c r="I2534" s="76" t="n"/>
      <c r="J2534" s="77" t="n"/>
      <c r="K2534" s="74" t="n"/>
      <c r="L2534" s="78" t="n"/>
      <c r="M2534" s="77" t="n"/>
      <c r="N2534" s="53">
        <f>IF(M2534="","",IFERROR(M2534/I2534,""))</f>
        <v/>
      </c>
      <c r="O2534" s="50">
        <f>IF(A2534="","",IFERROR((IF(G2534="",I2534,G2534)-T2534)/M2534,""))</f>
        <v/>
      </c>
      <c r="P2534" s="50">
        <f>IFERROR((I2534/T2534-1)/N2534,"")</f>
        <v/>
      </c>
      <c r="Q2534" s="46">
        <f>IF(OR(T2534="",I2534&lt;T2534),"",IFERROR(R2534/IF(G2534="",I2534,G2534)-1,""))</f>
        <v/>
      </c>
      <c r="R2534" s="48">
        <f>IF($M2534="","",MAX(IF($G2534="",$I2534,$G2534)*(1/1.1),IF($G2534="",$I2534,$G2534)+(R$2*$M2534)))</f>
        <v/>
      </c>
      <c r="S2534" s="49">
        <f>IF($M2534="","",MAX(IF($G2534="",$I2534,$G2534)*(1/1.1),IF($G2534="",$I2534,$G2534)+(S$2*$M2534)))</f>
        <v/>
      </c>
      <c r="T2534" s="82" t="n"/>
      <c r="U2534" s="47">
        <f>IF(OR($M2534="",$T2534=""),"",$T2534+(U$2*$M2534))</f>
        <v/>
      </c>
      <c r="V2534" s="48">
        <f>IF(OR($M2534="",$T2534=""),"",$T2534+(V$2*$M2534))</f>
        <v/>
      </c>
      <c r="W2534" s="48">
        <f>IF(OR($M2534="",$T2534=""),"",$T2534+(W$2*$M2534))</f>
        <v/>
      </c>
      <c r="X2534" s="49">
        <f>IF(OR($M2534="",$T2534=""),"",$T2534+(X$2*$M2534))</f>
        <v/>
      </c>
      <c r="Y2534" s="47">
        <f>IF(OR($M2534="",$T2534=""),"",$T2534+(Y$2*$M2534))</f>
        <v/>
      </c>
      <c r="Z2534" s="49">
        <f>IF(OR($M2534="",$T2534=""),"",$T2534+(Z$2*$M2534))</f>
        <v/>
      </c>
      <c r="AA2534" s="51">
        <f>IF(OR($M2534="",$T2534=""),"",$T2534+(AA$2*$M2534))</f>
        <v/>
      </c>
      <c r="AB2534" s="48">
        <f>IF(OR($M2534="",$T2534=""),"",$T2534+(AB$2*$M2534))</f>
        <v/>
      </c>
      <c r="AC2534" s="48">
        <f>IF(OR($M2534="",$T2534=""),"",$T2534+(AC$2*$M2534))</f>
        <v/>
      </c>
      <c r="AD2534" s="48">
        <f>IF(OR($M2534="",$T2534=""),"",$T2534+(AD$2*$M2534))</f>
        <v/>
      </c>
      <c r="AE2534" s="49">
        <f>IF(OR($M2534="",$T2534=""),"",$T2534+(AE$2*$M2534))</f>
        <v/>
      </c>
      <c r="AF2534" s="52">
        <f>IF(OR(T2534="",I2534&lt;T2534),"",IFERROR(AVERAGE(T2534+M2534*{7,8,9,10,11})/IF(G2534="",I2534,G2534)-1,""))</f>
        <v/>
      </c>
      <c r="AG2534" s="55">
        <f>IF(OR(T2534="",I2534&lt;T2534),"",IFERROR(AF2534/-(R2534/IF(G2534="",I2534,G2534)-1),""))</f>
        <v/>
      </c>
      <c r="AH2534" s="94" t="n"/>
      <c r="AI2534" s="94" t="n"/>
      <c r="AJ2534" s="94" t="n"/>
      <c r="AK2534" s="94" t="n"/>
      <c r="AL2534" s="84" t="n"/>
    </row>
    <row r="2535">
      <c r="A2535" s="64" t="n"/>
      <c r="B2535" s="65" t="n"/>
      <c r="C2535" s="66" t="n"/>
      <c r="D2535" s="67" t="n"/>
      <c r="E2535" s="68" t="n"/>
      <c r="F2535" s="47">
        <f>IF(A2535="","",IF(MIN(H2535,MAX(J2535:K2535))=0,"",MIN(H2535,MAX(J2535:K2535))))</f>
        <v/>
      </c>
      <c r="G2535" s="74" t="n"/>
      <c r="H2535" s="49">
        <f>IF(M2535="","",IFERROR(ROUND(AVERAGE(T2535+M2535*{7,8,9,10,11})/1.21,4),""))</f>
        <v/>
      </c>
      <c r="I2535" s="76" t="n"/>
      <c r="J2535" s="77" t="n"/>
      <c r="K2535" s="74" t="n"/>
      <c r="L2535" s="78" t="n"/>
      <c r="M2535" s="77" t="n"/>
      <c r="N2535" s="53">
        <f>IF(M2535="","",IFERROR(M2535/I2535,""))</f>
        <v/>
      </c>
      <c r="O2535" s="50">
        <f>IF(A2535="","",IFERROR((IF(G2535="",I2535,G2535)-T2535)/M2535,""))</f>
        <v/>
      </c>
      <c r="P2535" s="50">
        <f>IFERROR((I2535/T2535-1)/N2535,"")</f>
        <v/>
      </c>
      <c r="Q2535" s="46">
        <f>IF(OR(T2535="",I2535&lt;T2535),"",IFERROR(R2535/IF(G2535="",I2535,G2535)-1,""))</f>
        <v/>
      </c>
      <c r="R2535" s="48">
        <f>IF($M2535="","",MAX(IF($G2535="",$I2535,$G2535)*(1/1.1),IF($G2535="",$I2535,$G2535)+(R$2*$M2535)))</f>
        <v/>
      </c>
      <c r="S2535" s="49">
        <f>IF($M2535="","",MAX(IF($G2535="",$I2535,$G2535)*(1/1.1),IF($G2535="",$I2535,$G2535)+(S$2*$M2535)))</f>
        <v/>
      </c>
      <c r="T2535" s="82" t="n"/>
      <c r="U2535" s="47">
        <f>IF(OR($M2535="",$T2535=""),"",$T2535+(U$2*$M2535))</f>
        <v/>
      </c>
      <c r="V2535" s="48">
        <f>IF(OR($M2535="",$T2535=""),"",$T2535+(V$2*$M2535))</f>
        <v/>
      </c>
      <c r="W2535" s="48">
        <f>IF(OR($M2535="",$T2535=""),"",$T2535+(W$2*$M2535))</f>
        <v/>
      </c>
      <c r="X2535" s="49">
        <f>IF(OR($M2535="",$T2535=""),"",$T2535+(X$2*$M2535))</f>
        <v/>
      </c>
      <c r="Y2535" s="47">
        <f>IF(OR($M2535="",$T2535=""),"",$T2535+(Y$2*$M2535))</f>
        <v/>
      </c>
      <c r="Z2535" s="49">
        <f>IF(OR($M2535="",$T2535=""),"",$T2535+(Z$2*$M2535))</f>
        <v/>
      </c>
      <c r="AA2535" s="51">
        <f>IF(OR($M2535="",$T2535=""),"",$T2535+(AA$2*$M2535))</f>
        <v/>
      </c>
      <c r="AB2535" s="48">
        <f>IF(OR($M2535="",$T2535=""),"",$T2535+(AB$2*$M2535))</f>
        <v/>
      </c>
      <c r="AC2535" s="48">
        <f>IF(OR($M2535="",$T2535=""),"",$T2535+(AC$2*$M2535))</f>
        <v/>
      </c>
      <c r="AD2535" s="48">
        <f>IF(OR($M2535="",$T2535=""),"",$T2535+(AD$2*$M2535))</f>
        <v/>
      </c>
      <c r="AE2535" s="49">
        <f>IF(OR($M2535="",$T2535=""),"",$T2535+(AE$2*$M2535))</f>
        <v/>
      </c>
      <c r="AF2535" s="52">
        <f>IF(OR(T2535="",I2535&lt;T2535),"",IFERROR(AVERAGE(T2535+M2535*{7,8,9,10,11})/IF(G2535="",I2535,G2535)-1,""))</f>
        <v/>
      </c>
      <c r="AG2535" s="55">
        <f>IF(OR(T2535="",I2535&lt;T2535),"",IFERROR(AF2535/-(R2535/IF(G2535="",I2535,G2535)-1),""))</f>
        <v/>
      </c>
      <c r="AH2535" s="94" t="n"/>
      <c r="AI2535" s="94" t="n"/>
      <c r="AJ2535" s="94" t="n"/>
      <c r="AK2535" s="94" t="n"/>
      <c r="AL2535" s="84" t="n"/>
    </row>
    <row r="2536">
      <c r="A2536" s="64" t="n"/>
      <c r="B2536" s="65" t="n"/>
      <c r="C2536" s="66" t="n"/>
      <c r="D2536" s="67" t="n"/>
      <c r="E2536" s="68" t="n"/>
      <c r="F2536" s="47">
        <f>IF(A2536="","",IF(MIN(H2536,MAX(J2536:K2536))=0,"",MIN(H2536,MAX(J2536:K2536))))</f>
        <v/>
      </c>
      <c r="G2536" s="74" t="n"/>
      <c r="H2536" s="49">
        <f>IF(M2536="","",IFERROR(ROUND(AVERAGE(T2536+M2536*{7,8,9,10,11})/1.21,4),""))</f>
        <v/>
      </c>
      <c r="I2536" s="76" t="n"/>
      <c r="J2536" s="77" t="n"/>
      <c r="K2536" s="74" t="n"/>
      <c r="L2536" s="78" t="n"/>
      <c r="M2536" s="77" t="n"/>
      <c r="N2536" s="53">
        <f>IF(M2536="","",IFERROR(M2536/I2536,""))</f>
        <v/>
      </c>
      <c r="O2536" s="50">
        <f>IF(A2536="","",IFERROR((IF(G2536="",I2536,G2536)-T2536)/M2536,""))</f>
        <v/>
      </c>
      <c r="P2536" s="50">
        <f>IFERROR((I2536/T2536-1)/N2536,"")</f>
        <v/>
      </c>
      <c r="Q2536" s="46">
        <f>IF(OR(T2536="",I2536&lt;T2536),"",IFERROR(R2536/IF(G2536="",I2536,G2536)-1,""))</f>
        <v/>
      </c>
      <c r="R2536" s="48">
        <f>IF($M2536="","",MAX(IF($G2536="",$I2536,$G2536)*(1/1.1),IF($G2536="",$I2536,$G2536)+(R$2*$M2536)))</f>
        <v/>
      </c>
      <c r="S2536" s="49">
        <f>IF($M2536="","",MAX(IF($G2536="",$I2536,$G2536)*(1/1.1),IF($G2536="",$I2536,$G2536)+(S$2*$M2536)))</f>
        <v/>
      </c>
      <c r="T2536" s="82" t="n"/>
      <c r="U2536" s="47">
        <f>IF(OR($M2536="",$T2536=""),"",$T2536+(U$2*$M2536))</f>
        <v/>
      </c>
      <c r="V2536" s="48">
        <f>IF(OR($M2536="",$T2536=""),"",$T2536+(V$2*$M2536))</f>
        <v/>
      </c>
      <c r="W2536" s="48">
        <f>IF(OR($M2536="",$T2536=""),"",$T2536+(W$2*$M2536))</f>
        <v/>
      </c>
      <c r="X2536" s="49">
        <f>IF(OR($M2536="",$T2536=""),"",$T2536+(X$2*$M2536))</f>
        <v/>
      </c>
      <c r="Y2536" s="47">
        <f>IF(OR($M2536="",$T2536=""),"",$T2536+(Y$2*$M2536))</f>
        <v/>
      </c>
      <c r="Z2536" s="49">
        <f>IF(OR($M2536="",$T2536=""),"",$T2536+(Z$2*$M2536))</f>
        <v/>
      </c>
      <c r="AA2536" s="51">
        <f>IF(OR($M2536="",$T2536=""),"",$T2536+(AA$2*$M2536))</f>
        <v/>
      </c>
      <c r="AB2536" s="48">
        <f>IF(OR($M2536="",$T2536=""),"",$T2536+(AB$2*$M2536))</f>
        <v/>
      </c>
      <c r="AC2536" s="48">
        <f>IF(OR($M2536="",$T2536=""),"",$T2536+(AC$2*$M2536))</f>
        <v/>
      </c>
      <c r="AD2536" s="48">
        <f>IF(OR($M2536="",$T2536=""),"",$T2536+(AD$2*$M2536))</f>
        <v/>
      </c>
      <c r="AE2536" s="49">
        <f>IF(OR($M2536="",$T2536=""),"",$T2536+(AE$2*$M2536))</f>
        <v/>
      </c>
      <c r="AF2536" s="52">
        <f>IF(OR(T2536="",I2536&lt;T2536),"",IFERROR(AVERAGE(T2536+M2536*{7,8,9,10,11})/IF(G2536="",I2536,G2536)-1,""))</f>
        <v/>
      </c>
      <c r="AG2536" s="55">
        <f>IF(OR(T2536="",I2536&lt;T2536),"",IFERROR(AF2536/-(R2536/IF(G2536="",I2536,G2536)-1),""))</f>
        <v/>
      </c>
      <c r="AH2536" s="94" t="n"/>
      <c r="AI2536" s="94" t="n"/>
      <c r="AJ2536" s="94" t="n"/>
      <c r="AK2536" s="94" t="n"/>
      <c r="AL2536" s="84" t="n"/>
    </row>
    <row r="2537">
      <c r="A2537" s="64" t="n"/>
      <c r="B2537" s="65" t="n"/>
      <c r="C2537" s="66" t="n"/>
      <c r="D2537" s="67" t="n"/>
      <c r="E2537" s="68" t="n"/>
      <c r="F2537" s="47">
        <f>IF(A2537="","",IF(MIN(H2537,MAX(J2537:K2537))=0,"",MIN(H2537,MAX(J2537:K2537))))</f>
        <v/>
      </c>
      <c r="G2537" s="74" t="n"/>
      <c r="H2537" s="49">
        <f>IF(M2537="","",IFERROR(ROUND(AVERAGE(T2537+M2537*{7,8,9,10,11})/1.21,4),""))</f>
        <v/>
      </c>
      <c r="I2537" s="76" t="n"/>
      <c r="J2537" s="77" t="n"/>
      <c r="K2537" s="74" t="n"/>
      <c r="L2537" s="78" t="n"/>
      <c r="M2537" s="77" t="n"/>
      <c r="N2537" s="53">
        <f>IF(M2537="","",IFERROR(M2537/I2537,""))</f>
        <v/>
      </c>
      <c r="O2537" s="50">
        <f>IF(A2537="","",IFERROR((IF(G2537="",I2537,G2537)-T2537)/M2537,""))</f>
        <v/>
      </c>
      <c r="P2537" s="50">
        <f>IFERROR((I2537/T2537-1)/N2537,"")</f>
        <v/>
      </c>
      <c r="Q2537" s="46">
        <f>IF(OR(T2537="",I2537&lt;T2537),"",IFERROR(R2537/IF(G2537="",I2537,G2537)-1,""))</f>
        <v/>
      </c>
      <c r="R2537" s="48">
        <f>IF($M2537="","",MAX(IF($G2537="",$I2537,$G2537)*(1/1.1),IF($G2537="",$I2537,$G2537)+(R$2*$M2537)))</f>
        <v/>
      </c>
      <c r="S2537" s="49">
        <f>IF($M2537="","",MAX(IF($G2537="",$I2537,$G2537)*(1/1.1),IF($G2537="",$I2537,$G2537)+(S$2*$M2537)))</f>
        <v/>
      </c>
      <c r="T2537" s="82" t="n"/>
      <c r="U2537" s="47">
        <f>IF(OR($M2537="",$T2537=""),"",$T2537+(U$2*$M2537))</f>
        <v/>
      </c>
      <c r="V2537" s="48">
        <f>IF(OR($M2537="",$T2537=""),"",$T2537+(V$2*$M2537))</f>
        <v/>
      </c>
      <c r="W2537" s="48">
        <f>IF(OR($M2537="",$T2537=""),"",$T2537+(W$2*$M2537))</f>
        <v/>
      </c>
      <c r="X2537" s="49">
        <f>IF(OR($M2537="",$T2537=""),"",$T2537+(X$2*$M2537))</f>
        <v/>
      </c>
      <c r="Y2537" s="47">
        <f>IF(OR($M2537="",$T2537=""),"",$T2537+(Y$2*$M2537))</f>
        <v/>
      </c>
      <c r="Z2537" s="49">
        <f>IF(OR($M2537="",$T2537=""),"",$T2537+(Z$2*$M2537))</f>
        <v/>
      </c>
      <c r="AA2537" s="51">
        <f>IF(OR($M2537="",$T2537=""),"",$T2537+(AA$2*$M2537))</f>
        <v/>
      </c>
      <c r="AB2537" s="48">
        <f>IF(OR($M2537="",$T2537=""),"",$T2537+(AB$2*$M2537))</f>
        <v/>
      </c>
      <c r="AC2537" s="48">
        <f>IF(OR($M2537="",$T2537=""),"",$T2537+(AC$2*$M2537))</f>
        <v/>
      </c>
      <c r="AD2537" s="48">
        <f>IF(OR($M2537="",$T2537=""),"",$T2537+(AD$2*$M2537))</f>
        <v/>
      </c>
      <c r="AE2537" s="49">
        <f>IF(OR($M2537="",$T2537=""),"",$T2537+(AE$2*$M2537))</f>
        <v/>
      </c>
      <c r="AF2537" s="52">
        <f>IF(OR(T2537="",I2537&lt;T2537),"",IFERROR(AVERAGE(T2537+M2537*{7,8,9,10,11})/IF(G2537="",I2537,G2537)-1,""))</f>
        <v/>
      </c>
      <c r="AG2537" s="55">
        <f>IF(OR(T2537="",I2537&lt;T2537),"",IFERROR(AF2537/-(R2537/IF(G2537="",I2537,G2537)-1),""))</f>
        <v/>
      </c>
      <c r="AH2537" s="94" t="n"/>
      <c r="AI2537" s="94" t="n"/>
      <c r="AJ2537" s="94" t="n"/>
      <c r="AK2537" s="94" t="n"/>
      <c r="AL2537" s="84" t="n"/>
    </row>
    <row r="2538">
      <c r="A2538" s="64" t="n"/>
      <c r="B2538" s="65" t="n"/>
      <c r="C2538" s="66" t="n"/>
      <c r="D2538" s="67" t="n"/>
      <c r="E2538" s="68" t="n"/>
      <c r="F2538" s="47">
        <f>IF(A2538="","",IF(MIN(H2538,MAX(J2538:K2538))=0,"",MIN(H2538,MAX(J2538:K2538))))</f>
        <v/>
      </c>
      <c r="G2538" s="74" t="n"/>
      <c r="H2538" s="49">
        <f>IF(M2538="","",IFERROR(ROUND(AVERAGE(T2538+M2538*{7,8,9,10,11})/1.21,4),""))</f>
        <v/>
      </c>
      <c r="I2538" s="76" t="n"/>
      <c r="J2538" s="77" t="n"/>
      <c r="K2538" s="74" t="n"/>
      <c r="L2538" s="78" t="n"/>
      <c r="M2538" s="77" t="n"/>
      <c r="N2538" s="53">
        <f>IF(M2538="","",IFERROR(M2538/I2538,""))</f>
        <v/>
      </c>
      <c r="O2538" s="50">
        <f>IF(A2538="","",IFERROR((IF(G2538="",I2538,G2538)-T2538)/M2538,""))</f>
        <v/>
      </c>
      <c r="P2538" s="50">
        <f>IFERROR((I2538/T2538-1)/N2538,"")</f>
        <v/>
      </c>
      <c r="Q2538" s="46">
        <f>IF(OR(T2538="",I2538&lt;T2538),"",IFERROR(R2538/IF(G2538="",I2538,G2538)-1,""))</f>
        <v/>
      </c>
      <c r="R2538" s="48">
        <f>IF($M2538="","",MAX(IF($G2538="",$I2538,$G2538)*(1/1.1),IF($G2538="",$I2538,$G2538)+(R$2*$M2538)))</f>
        <v/>
      </c>
      <c r="S2538" s="49">
        <f>IF($M2538="","",MAX(IF($G2538="",$I2538,$G2538)*(1/1.1),IF($G2538="",$I2538,$G2538)+(S$2*$M2538)))</f>
        <v/>
      </c>
      <c r="T2538" s="82" t="n"/>
      <c r="U2538" s="47">
        <f>IF(OR($M2538="",$T2538=""),"",$T2538+(U$2*$M2538))</f>
        <v/>
      </c>
      <c r="V2538" s="48">
        <f>IF(OR($M2538="",$T2538=""),"",$T2538+(V$2*$M2538))</f>
        <v/>
      </c>
      <c r="W2538" s="48">
        <f>IF(OR($M2538="",$T2538=""),"",$T2538+(W$2*$M2538))</f>
        <v/>
      </c>
      <c r="X2538" s="49">
        <f>IF(OR($M2538="",$T2538=""),"",$T2538+(X$2*$M2538))</f>
        <v/>
      </c>
      <c r="Y2538" s="47">
        <f>IF(OR($M2538="",$T2538=""),"",$T2538+(Y$2*$M2538))</f>
        <v/>
      </c>
      <c r="Z2538" s="49">
        <f>IF(OR($M2538="",$T2538=""),"",$T2538+(Z$2*$M2538))</f>
        <v/>
      </c>
      <c r="AA2538" s="51">
        <f>IF(OR($M2538="",$T2538=""),"",$T2538+(AA$2*$M2538))</f>
        <v/>
      </c>
      <c r="AB2538" s="48">
        <f>IF(OR($M2538="",$T2538=""),"",$T2538+(AB$2*$M2538))</f>
        <v/>
      </c>
      <c r="AC2538" s="48">
        <f>IF(OR($M2538="",$T2538=""),"",$T2538+(AC$2*$M2538))</f>
        <v/>
      </c>
      <c r="AD2538" s="48">
        <f>IF(OR($M2538="",$T2538=""),"",$T2538+(AD$2*$M2538))</f>
        <v/>
      </c>
      <c r="AE2538" s="49">
        <f>IF(OR($M2538="",$T2538=""),"",$T2538+(AE$2*$M2538))</f>
        <v/>
      </c>
      <c r="AF2538" s="52">
        <f>IF(OR(T2538="",I2538&lt;T2538),"",IFERROR(AVERAGE(T2538+M2538*{7,8,9,10,11})/IF(G2538="",I2538,G2538)-1,""))</f>
        <v/>
      </c>
      <c r="AG2538" s="55">
        <f>IF(OR(T2538="",I2538&lt;T2538),"",IFERROR(AF2538/-(R2538/IF(G2538="",I2538,G2538)-1),""))</f>
        <v/>
      </c>
      <c r="AH2538" s="94" t="n"/>
      <c r="AI2538" s="94" t="n"/>
      <c r="AJ2538" s="94" t="n"/>
      <c r="AK2538" s="94" t="n"/>
      <c r="AL2538" s="84" t="n"/>
    </row>
    <row r="2539">
      <c r="A2539" s="64" t="n"/>
      <c r="B2539" s="65" t="n"/>
      <c r="C2539" s="66" t="n"/>
      <c r="D2539" s="67" t="n"/>
      <c r="E2539" s="68" t="n"/>
      <c r="F2539" s="47">
        <f>IF(A2539="","",IF(MIN(H2539,MAX(J2539:K2539))=0,"",MIN(H2539,MAX(J2539:K2539))))</f>
        <v/>
      </c>
      <c r="G2539" s="74" t="n"/>
      <c r="H2539" s="49">
        <f>IF(M2539="","",IFERROR(ROUND(AVERAGE(T2539+M2539*{7,8,9,10,11})/1.21,4),""))</f>
        <v/>
      </c>
      <c r="I2539" s="76" t="n"/>
      <c r="J2539" s="77" t="n"/>
      <c r="K2539" s="74" t="n"/>
      <c r="L2539" s="78" t="n"/>
      <c r="M2539" s="77" t="n"/>
      <c r="N2539" s="53">
        <f>IF(M2539="","",IFERROR(M2539/I2539,""))</f>
        <v/>
      </c>
      <c r="O2539" s="50">
        <f>IF(A2539="","",IFERROR((IF(G2539="",I2539,G2539)-T2539)/M2539,""))</f>
        <v/>
      </c>
      <c r="P2539" s="50">
        <f>IFERROR((I2539/T2539-1)/N2539,"")</f>
        <v/>
      </c>
      <c r="Q2539" s="46">
        <f>IF(OR(T2539="",I2539&lt;T2539),"",IFERROR(R2539/IF(G2539="",I2539,G2539)-1,""))</f>
        <v/>
      </c>
      <c r="R2539" s="48">
        <f>IF($M2539="","",MAX(IF($G2539="",$I2539,$G2539)*(1/1.1),IF($G2539="",$I2539,$G2539)+(R$2*$M2539)))</f>
        <v/>
      </c>
      <c r="S2539" s="49">
        <f>IF($M2539="","",MAX(IF($G2539="",$I2539,$G2539)*(1/1.1),IF($G2539="",$I2539,$G2539)+(S$2*$M2539)))</f>
        <v/>
      </c>
      <c r="T2539" s="82" t="n"/>
      <c r="U2539" s="47">
        <f>IF(OR($M2539="",$T2539=""),"",$T2539+(U$2*$M2539))</f>
        <v/>
      </c>
      <c r="V2539" s="48">
        <f>IF(OR($M2539="",$T2539=""),"",$T2539+(V$2*$M2539))</f>
        <v/>
      </c>
      <c r="W2539" s="48">
        <f>IF(OR($M2539="",$T2539=""),"",$T2539+(W$2*$M2539))</f>
        <v/>
      </c>
      <c r="X2539" s="49">
        <f>IF(OR($M2539="",$T2539=""),"",$T2539+(X$2*$M2539))</f>
        <v/>
      </c>
      <c r="Y2539" s="47">
        <f>IF(OR($M2539="",$T2539=""),"",$T2539+(Y$2*$M2539))</f>
        <v/>
      </c>
      <c r="Z2539" s="49">
        <f>IF(OR($M2539="",$T2539=""),"",$T2539+(Z$2*$M2539))</f>
        <v/>
      </c>
      <c r="AA2539" s="51">
        <f>IF(OR($M2539="",$T2539=""),"",$T2539+(AA$2*$M2539))</f>
        <v/>
      </c>
      <c r="AB2539" s="48">
        <f>IF(OR($M2539="",$T2539=""),"",$T2539+(AB$2*$M2539))</f>
        <v/>
      </c>
      <c r="AC2539" s="48">
        <f>IF(OR($M2539="",$T2539=""),"",$T2539+(AC$2*$M2539))</f>
        <v/>
      </c>
      <c r="AD2539" s="48">
        <f>IF(OR($M2539="",$T2539=""),"",$T2539+(AD$2*$M2539))</f>
        <v/>
      </c>
      <c r="AE2539" s="49">
        <f>IF(OR($M2539="",$T2539=""),"",$T2539+(AE$2*$M2539))</f>
        <v/>
      </c>
      <c r="AF2539" s="52">
        <f>IF(OR(T2539="",I2539&lt;T2539),"",IFERROR(AVERAGE(T2539+M2539*{7,8,9,10,11})/IF(G2539="",I2539,G2539)-1,""))</f>
        <v/>
      </c>
      <c r="AG2539" s="55">
        <f>IF(OR(T2539="",I2539&lt;T2539),"",IFERROR(AF2539/-(R2539/IF(G2539="",I2539,G2539)-1),""))</f>
        <v/>
      </c>
      <c r="AH2539" s="94" t="n"/>
      <c r="AI2539" s="94" t="n"/>
      <c r="AJ2539" s="94" t="n"/>
      <c r="AK2539" s="94" t="n"/>
      <c r="AL2539" s="84" t="n"/>
    </row>
    <row r="2540">
      <c r="A2540" s="64" t="n"/>
      <c r="B2540" s="65" t="n"/>
      <c r="C2540" s="66" t="n"/>
      <c r="D2540" s="67" t="n"/>
      <c r="E2540" s="68" t="n"/>
      <c r="F2540" s="47">
        <f>IF(A2540="","",IF(MIN(H2540,MAX(J2540:K2540))=0,"",MIN(H2540,MAX(J2540:K2540))))</f>
        <v/>
      </c>
      <c r="G2540" s="74" t="n"/>
      <c r="H2540" s="49">
        <f>IF(M2540="","",IFERROR(ROUND(AVERAGE(T2540+M2540*{7,8,9,10,11})/1.21,4),""))</f>
        <v/>
      </c>
      <c r="I2540" s="76" t="n"/>
      <c r="J2540" s="77" t="n"/>
      <c r="K2540" s="74" t="n"/>
      <c r="L2540" s="78" t="n"/>
      <c r="M2540" s="77" t="n"/>
      <c r="N2540" s="53">
        <f>IF(M2540="","",IFERROR(M2540/I2540,""))</f>
        <v/>
      </c>
      <c r="O2540" s="50">
        <f>IF(A2540="","",IFERROR((IF(G2540="",I2540,G2540)-T2540)/M2540,""))</f>
        <v/>
      </c>
      <c r="P2540" s="50">
        <f>IFERROR((I2540/T2540-1)/N2540,"")</f>
        <v/>
      </c>
      <c r="Q2540" s="46">
        <f>IF(OR(T2540="",I2540&lt;T2540),"",IFERROR(R2540/IF(G2540="",I2540,G2540)-1,""))</f>
        <v/>
      </c>
      <c r="R2540" s="48">
        <f>IF($M2540="","",MAX(IF($G2540="",$I2540,$G2540)*(1/1.1),IF($G2540="",$I2540,$G2540)+(R$2*$M2540)))</f>
        <v/>
      </c>
      <c r="S2540" s="49">
        <f>IF($M2540="","",MAX(IF($G2540="",$I2540,$G2540)*(1/1.1),IF($G2540="",$I2540,$G2540)+(S$2*$M2540)))</f>
        <v/>
      </c>
      <c r="T2540" s="82" t="n"/>
      <c r="U2540" s="47">
        <f>IF(OR($M2540="",$T2540=""),"",$T2540+(U$2*$M2540))</f>
        <v/>
      </c>
      <c r="V2540" s="48">
        <f>IF(OR($M2540="",$T2540=""),"",$T2540+(V$2*$M2540))</f>
        <v/>
      </c>
      <c r="W2540" s="48">
        <f>IF(OR($M2540="",$T2540=""),"",$T2540+(W$2*$M2540))</f>
        <v/>
      </c>
      <c r="X2540" s="49">
        <f>IF(OR($M2540="",$T2540=""),"",$T2540+(X$2*$M2540))</f>
        <v/>
      </c>
      <c r="Y2540" s="47">
        <f>IF(OR($M2540="",$T2540=""),"",$T2540+(Y$2*$M2540))</f>
        <v/>
      </c>
      <c r="Z2540" s="49">
        <f>IF(OR($M2540="",$T2540=""),"",$T2540+(Z$2*$M2540))</f>
        <v/>
      </c>
      <c r="AA2540" s="51">
        <f>IF(OR($M2540="",$T2540=""),"",$T2540+(AA$2*$M2540))</f>
        <v/>
      </c>
      <c r="AB2540" s="48">
        <f>IF(OR($M2540="",$T2540=""),"",$T2540+(AB$2*$M2540))</f>
        <v/>
      </c>
      <c r="AC2540" s="48">
        <f>IF(OR($M2540="",$T2540=""),"",$T2540+(AC$2*$M2540))</f>
        <v/>
      </c>
      <c r="AD2540" s="48">
        <f>IF(OR($M2540="",$T2540=""),"",$T2540+(AD$2*$M2540))</f>
        <v/>
      </c>
      <c r="AE2540" s="49">
        <f>IF(OR($M2540="",$T2540=""),"",$T2540+(AE$2*$M2540))</f>
        <v/>
      </c>
      <c r="AF2540" s="52">
        <f>IF(OR(T2540="",I2540&lt;T2540),"",IFERROR(AVERAGE(T2540+M2540*{7,8,9,10,11})/IF(G2540="",I2540,G2540)-1,""))</f>
        <v/>
      </c>
      <c r="AG2540" s="55">
        <f>IF(OR(T2540="",I2540&lt;T2540),"",IFERROR(AF2540/-(R2540/IF(G2540="",I2540,G2540)-1),""))</f>
        <v/>
      </c>
      <c r="AH2540" s="94" t="n"/>
      <c r="AI2540" s="94" t="n"/>
      <c r="AJ2540" s="94" t="n"/>
      <c r="AK2540" s="94" t="n"/>
      <c r="AL2540" s="84" t="n"/>
    </row>
    <row r="2541">
      <c r="A2541" s="64" t="n"/>
      <c r="B2541" s="65" t="n"/>
      <c r="C2541" s="66" t="n"/>
      <c r="D2541" s="67" t="n"/>
      <c r="E2541" s="68" t="n"/>
      <c r="F2541" s="47">
        <f>IF(A2541="","",IF(MIN(H2541,MAX(J2541:K2541))=0,"",MIN(H2541,MAX(J2541:K2541))))</f>
        <v/>
      </c>
      <c r="G2541" s="74" t="n"/>
      <c r="H2541" s="49">
        <f>IF(M2541="","",IFERROR(ROUND(AVERAGE(T2541+M2541*{7,8,9,10,11})/1.21,4),""))</f>
        <v/>
      </c>
      <c r="I2541" s="76" t="n"/>
      <c r="J2541" s="77" t="n"/>
      <c r="K2541" s="74" t="n"/>
      <c r="L2541" s="78" t="n"/>
      <c r="M2541" s="77" t="n"/>
      <c r="N2541" s="53">
        <f>IF(M2541="","",IFERROR(M2541/I2541,""))</f>
        <v/>
      </c>
      <c r="O2541" s="50">
        <f>IF(A2541="","",IFERROR((IF(G2541="",I2541,G2541)-T2541)/M2541,""))</f>
        <v/>
      </c>
      <c r="P2541" s="50">
        <f>IFERROR((I2541/T2541-1)/N2541,"")</f>
        <v/>
      </c>
      <c r="Q2541" s="46">
        <f>IF(OR(T2541="",I2541&lt;T2541),"",IFERROR(R2541/IF(G2541="",I2541,G2541)-1,""))</f>
        <v/>
      </c>
      <c r="R2541" s="48">
        <f>IF($M2541="","",MAX(IF($G2541="",$I2541,$G2541)*(1/1.1),IF($G2541="",$I2541,$G2541)+(R$2*$M2541)))</f>
        <v/>
      </c>
      <c r="S2541" s="49">
        <f>IF($M2541="","",MAX(IF($G2541="",$I2541,$G2541)*(1/1.1),IF($G2541="",$I2541,$G2541)+(S$2*$M2541)))</f>
        <v/>
      </c>
      <c r="T2541" s="82" t="n"/>
      <c r="U2541" s="47">
        <f>IF(OR($M2541="",$T2541=""),"",$T2541+(U$2*$M2541))</f>
        <v/>
      </c>
      <c r="V2541" s="48">
        <f>IF(OR($M2541="",$T2541=""),"",$T2541+(V$2*$M2541))</f>
        <v/>
      </c>
      <c r="W2541" s="48">
        <f>IF(OR($M2541="",$T2541=""),"",$T2541+(W$2*$M2541))</f>
        <v/>
      </c>
      <c r="X2541" s="49">
        <f>IF(OR($M2541="",$T2541=""),"",$T2541+(X$2*$M2541))</f>
        <v/>
      </c>
      <c r="Y2541" s="47">
        <f>IF(OR($M2541="",$T2541=""),"",$T2541+(Y$2*$M2541))</f>
        <v/>
      </c>
      <c r="Z2541" s="49">
        <f>IF(OR($M2541="",$T2541=""),"",$T2541+(Z$2*$M2541))</f>
        <v/>
      </c>
      <c r="AA2541" s="51">
        <f>IF(OR($M2541="",$T2541=""),"",$T2541+(AA$2*$M2541))</f>
        <v/>
      </c>
      <c r="AB2541" s="48">
        <f>IF(OR($M2541="",$T2541=""),"",$T2541+(AB$2*$M2541))</f>
        <v/>
      </c>
      <c r="AC2541" s="48">
        <f>IF(OR($M2541="",$T2541=""),"",$T2541+(AC$2*$M2541))</f>
        <v/>
      </c>
      <c r="AD2541" s="48">
        <f>IF(OR($M2541="",$T2541=""),"",$T2541+(AD$2*$M2541))</f>
        <v/>
      </c>
      <c r="AE2541" s="49">
        <f>IF(OR($M2541="",$T2541=""),"",$T2541+(AE$2*$M2541))</f>
        <v/>
      </c>
      <c r="AF2541" s="52">
        <f>IF(OR(T2541="",I2541&lt;T2541),"",IFERROR(AVERAGE(T2541+M2541*{7,8,9,10,11})/IF(G2541="",I2541,G2541)-1,""))</f>
        <v/>
      </c>
      <c r="AG2541" s="55">
        <f>IF(OR(T2541="",I2541&lt;T2541),"",IFERROR(AF2541/-(R2541/IF(G2541="",I2541,G2541)-1),""))</f>
        <v/>
      </c>
      <c r="AH2541" s="94" t="n"/>
      <c r="AI2541" s="94" t="n"/>
      <c r="AJ2541" s="94" t="n"/>
      <c r="AK2541" s="94" t="n"/>
      <c r="AL2541" s="84" t="n"/>
    </row>
    <row r="2542">
      <c r="A2542" s="64" t="n"/>
      <c r="B2542" s="65" t="n"/>
      <c r="C2542" s="66" t="n"/>
      <c r="D2542" s="67" t="n"/>
      <c r="E2542" s="68" t="n"/>
      <c r="F2542" s="47">
        <f>IF(A2542="","",IF(MIN(H2542,MAX(J2542:K2542))=0,"",MIN(H2542,MAX(J2542:K2542))))</f>
        <v/>
      </c>
      <c r="G2542" s="74" t="n"/>
      <c r="H2542" s="49">
        <f>IF(M2542="","",IFERROR(ROUND(AVERAGE(T2542+M2542*{7,8,9,10,11})/1.21,4),""))</f>
        <v/>
      </c>
      <c r="I2542" s="76" t="n"/>
      <c r="J2542" s="77" t="n"/>
      <c r="K2542" s="74" t="n"/>
      <c r="L2542" s="78" t="n"/>
      <c r="M2542" s="77" t="n"/>
      <c r="N2542" s="53">
        <f>IF(M2542="","",IFERROR(M2542/I2542,""))</f>
        <v/>
      </c>
      <c r="O2542" s="50">
        <f>IF(A2542="","",IFERROR((IF(G2542="",I2542,G2542)-T2542)/M2542,""))</f>
        <v/>
      </c>
      <c r="P2542" s="50">
        <f>IFERROR((I2542/T2542-1)/N2542,"")</f>
        <v/>
      </c>
      <c r="Q2542" s="46">
        <f>IF(OR(T2542="",I2542&lt;T2542),"",IFERROR(R2542/IF(G2542="",I2542,G2542)-1,""))</f>
        <v/>
      </c>
      <c r="R2542" s="48">
        <f>IF($M2542="","",MAX(IF($G2542="",$I2542,$G2542)*(1/1.1),IF($G2542="",$I2542,$G2542)+(R$2*$M2542)))</f>
        <v/>
      </c>
      <c r="S2542" s="49">
        <f>IF($M2542="","",MAX(IF($G2542="",$I2542,$G2542)*(1/1.1),IF($G2542="",$I2542,$G2542)+(S$2*$M2542)))</f>
        <v/>
      </c>
      <c r="T2542" s="82" t="n"/>
      <c r="U2542" s="47">
        <f>IF(OR($M2542="",$T2542=""),"",$T2542+(U$2*$M2542))</f>
        <v/>
      </c>
      <c r="V2542" s="48">
        <f>IF(OR($M2542="",$T2542=""),"",$T2542+(V$2*$M2542))</f>
        <v/>
      </c>
      <c r="W2542" s="48">
        <f>IF(OR($M2542="",$T2542=""),"",$T2542+(W$2*$M2542))</f>
        <v/>
      </c>
      <c r="X2542" s="49">
        <f>IF(OR($M2542="",$T2542=""),"",$T2542+(X$2*$M2542))</f>
        <v/>
      </c>
      <c r="Y2542" s="47">
        <f>IF(OR($M2542="",$T2542=""),"",$T2542+(Y$2*$M2542))</f>
        <v/>
      </c>
      <c r="Z2542" s="49">
        <f>IF(OR($M2542="",$T2542=""),"",$T2542+(Z$2*$M2542))</f>
        <v/>
      </c>
      <c r="AA2542" s="51">
        <f>IF(OR($M2542="",$T2542=""),"",$T2542+(AA$2*$M2542))</f>
        <v/>
      </c>
      <c r="AB2542" s="48">
        <f>IF(OR($M2542="",$T2542=""),"",$T2542+(AB$2*$M2542))</f>
        <v/>
      </c>
      <c r="AC2542" s="48">
        <f>IF(OR($M2542="",$T2542=""),"",$T2542+(AC$2*$M2542))</f>
        <v/>
      </c>
      <c r="AD2542" s="48">
        <f>IF(OR($M2542="",$T2542=""),"",$T2542+(AD$2*$M2542))</f>
        <v/>
      </c>
      <c r="AE2542" s="49">
        <f>IF(OR($M2542="",$T2542=""),"",$T2542+(AE$2*$M2542))</f>
        <v/>
      </c>
      <c r="AF2542" s="52">
        <f>IF(OR(T2542="",I2542&lt;T2542),"",IFERROR(AVERAGE(T2542+M2542*{7,8,9,10,11})/IF(G2542="",I2542,G2542)-1,""))</f>
        <v/>
      </c>
      <c r="AG2542" s="55">
        <f>IF(OR(T2542="",I2542&lt;T2542),"",IFERROR(AF2542/-(R2542/IF(G2542="",I2542,G2542)-1),""))</f>
        <v/>
      </c>
      <c r="AH2542" s="94" t="n"/>
      <c r="AI2542" s="94" t="n"/>
      <c r="AJ2542" s="94" t="n"/>
      <c r="AK2542" s="94" t="n"/>
      <c r="AL2542" s="84" t="n"/>
    </row>
    <row r="2543">
      <c r="A2543" s="64" t="n"/>
      <c r="B2543" s="65" t="n"/>
      <c r="C2543" s="66" t="n"/>
      <c r="D2543" s="67" t="n"/>
      <c r="E2543" s="68" t="n"/>
      <c r="F2543" s="47">
        <f>IF(A2543="","",IF(MIN(H2543,MAX(J2543:K2543))=0,"",MIN(H2543,MAX(J2543:K2543))))</f>
        <v/>
      </c>
      <c r="G2543" s="74" t="n"/>
      <c r="H2543" s="49">
        <f>IF(M2543="","",IFERROR(ROUND(AVERAGE(T2543+M2543*{7,8,9,10,11})/1.21,4),""))</f>
        <v/>
      </c>
      <c r="I2543" s="76" t="n"/>
      <c r="J2543" s="77" t="n"/>
      <c r="K2543" s="74" t="n"/>
      <c r="L2543" s="78" t="n"/>
      <c r="M2543" s="77" t="n"/>
      <c r="N2543" s="53">
        <f>IF(M2543="","",IFERROR(M2543/I2543,""))</f>
        <v/>
      </c>
      <c r="O2543" s="50">
        <f>IF(A2543="","",IFERROR((IF(G2543="",I2543,G2543)-T2543)/M2543,""))</f>
        <v/>
      </c>
      <c r="P2543" s="50">
        <f>IFERROR((I2543/T2543-1)/N2543,"")</f>
        <v/>
      </c>
      <c r="Q2543" s="46">
        <f>IF(OR(T2543="",I2543&lt;T2543),"",IFERROR(R2543/IF(G2543="",I2543,G2543)-1,""))</f>
        <v/>
      </c>
      <c r="R2543" s="48">
        <f>IF($M2543="","",MAX(IF($G2543="",$I2543,$G2543)*(1/1.1),IF($G2543="",$I2543,$G2543)+(R$2*$M2543)))</f>
        <v/>
      </c>
      <c r="S2543" s="49">
        <f>IF($M2543="","",MAX(IF($G2543="",$I2543,$G2543)*(1/1.1),IF($G2543="",$I2543,$G2543)+(S$2*$M2543)))</f>
        <v/>
      </c>
      <c r="T2543" s="82" t="n"/>
      <c r="U2543" s="47">
        <f>IF(OR($M2543="",$T2543=""),"",$T2543+(U$2*$M2543))</f>
        <v/>
      </c>
      <c r="V2543" s="48">
        <f>IF(OR($M2543="",$T2543=""),"",$T2543+(V$2*$M2543))</f>
        <v/>
      </c>
      <c r="W2543" s="48">
        <f>IF(OR($M2543="",$T2543=""),"",$T2543+(W$2*$M2543))</f>
        <v/>
      </c>
      <c r="X2543" s="49">
        <f>IF(OR($M2543="",$T2543=""),"",$T2543+(X$2*$M2543))</f>
        <v/>
      </c>
      <c r="Y2543" s="47">
        <f>IF(OR($M2543="",$T2543=""),"",$T2543+(Y$2*$M2543))</f>
        <v/>
      </c>
      <c r="Z2543" s="49">
        <f>IF(OR($M2543="",$T2543=""),"",$T2543+(Z$2*$M2543))</f>
        <v/>
      </c>
      <c r="AA2543" s="51">
        <f>IF(OR($M2543="",$T2543=""),"",$T2543+(AA$2*$M2543))</f>
        <v/>
      </c>
      <c r="AB2543" s="48">
        <f>IF(OR($M2543="",$T2543=""),"",$T2543+(AB$2*$M2543))</f>
        <v/>
      </c>
      <c r="AC2543" s="48">
        <f>IF(OR($M2543="",$T2543=""),"",$T2543+(AC$2*$M2543))</f>
        <v/>
      </c>
      <c r="AD2543" s="48">
        <f>IF(OR($M2543="",$T2543=""),"",$T2543+(AD$2*$M2543))</f>
        <v/>
      </c>
      <c r="AE2543" s="49">
        <f>IF(OR($M2543="",$T2543=""),"",$T2543+(AE$2*$M2543))</f>
        <v/>
      </c>
      <c r="AF2543" s="52">
        <f>IF(OR(T2543="",I2543&lt;T2543),"",IFERROR(AVERAGE(T2543+M2543*{7,8,9,10,11})/IF(G2543="",I2543,G2543)-1,""))</f>
        <v/>
      </c>
      <c r="AG2543" s="55">
        <f>IF(OR(T2543="",I2543&lt;T2543),"",IFERROR(AF2543/-(R2543/IF(G2543="",I2543,G2543)-1),""))</f>
        <v/>
      </c>
      <c r="AH2543" s="94" t="n"/>
      <c r="AI2543" s="94" t="n"/>
      <c r="AJ2543" s="94" t="n"/>
      <c r="AK2543" s="94" t="n"/>
      <c r="AL2543" s="84" t="n"/>
    </row>
    <row r="2544">
      <c r="A2544" s="64" t="n"/>
      <c r="B2544" s="65" t="n"/>
      <c r="C2544" s="66" t="n"/>
      <c r="D2544" s="67" t="n"/>
      <c r="E2544" s="68" t="n"/>
      <c r="F2544" s="47">
        <f>IF(A2544="","",IF(MIN(H2544,MAX(J2544:K2544))=0,"",MIN(H2544,MAX(J2544:K2544))))</f>
        <v/>
      </c>
      <c r="G2544" s="74" t="n"/>
      <c r="H2544" s="49">
        <f>IF(M2544="","",IFERROR(ROUND(AVERAGE(T2544+M2544*{7,8,9,10,11})/1.21,4),""))</f>
        <v/>
      </c>
      <c r="I2544" s="76" t="n"/>
      <c r="J2544" s="77" t="n"/>
      <c r="K2544" s="74" t="n"/>
      <c r="L2544" s="78" t="n"/>
      <c r="M2544" s="77" t="n"/>
      <c r="N2544" s="53">
        <f>IF(M2544="","",IFERROR(M2544/I2544,""))</f>
        <v/>
      </c>
      <c r="O2544" s="50">
        <f>IF(A2544="","",IFERROR((IF(G2544="",I2544,G2544)-T2544)/M2544,""))</f>
        <v/>
      </c>
      <c r="P2544" s="50">
        <f>IFERROR((I2544/T2544-1)/N2544,"")</f>
        <v/>
      </c>
      <c r="Q2544" s="46">
        <f>IF(OR(T2544="",I2544&lt;T2544),"",IFERROR(R2544/IF(G2544="",I2544,G2544)-1,""))</f>
        <v/>
      </c>
      <c r="R2544" s="48">
        <f>IF($M2544="","",MAX(IF($G2544="",$I2544,$G2544)*(1/1.1),IF($G2544="",$I2544,$G2544)+(R$2*$M2544)))</f>
        <v/>
      </c>
      <c r="S2544" s="49">
        <f>IF($M2544="","",MAX(IF($G2544="",$I2544,$G2544)*(1/1.1),IF($G2544="",$I2544,$G2544)+(S$2*$M2544)))</f>
        <v/>
      </c>
      <c r="T2544" s="82" t="n"/>
      <c r="U2544" s="47">
        <f>IF(OR($M2544="",$T2544=""),"",$T2544+(U$2*$M2544))</f>
        <v/>
      </c>
      <c r="V2544" s="48">
        <f>IF(OR($M2544="",$T2544=""),"",$T2544+(V$2*$M2544))</f>
        <v/>
      </c>
      <c r="W2544" s="48">
        <f>IF(OR($M2544="",$T2544=""),"",$T2544+(W$2*$M2544))</f>
        <v/>
      </c>
      <c r="X2544" s="49">
        <f>IF(OR($M2544="",$T2544=""),"",$T2544+(X$2*$M2544))</f>
        <v/>
      </c>
      <c r="Y2544" s="47">
        <f>IF(OR($M2544="",$T2544=""),"",$T2544+(Y$2*$M2544))</f>
        <v/>
      </c>
      <c r="Z2544" s="49">
        <f>IF(OR($M2544="",$T2544=""),"",$T2544+(Z$2*$M2544))</f>
        <v/>
      </c>
      <c r="AA2544" s="51">
        <f>IF(OR($M2544="",$T2544=""),"",$T2544+(AA$2*$M2544))</f>
        <v/>
      </c>
      <c r="AB2544" s="48">
        <f>IF(OR($M2544="",$T2544=""),"",$T2544+(AB$2*$M2544))</f>
        <v/>
      </c>
      <c r="AC2544" s="48">
        <f>IF(OR($M2544="",$T2544=""),"",$T2544+(AC$2*$M2544))</f>
        <v/>
      </c>
      <c r="AD2544" s="48">
        <f>IF(OR($M2544="",$T2544=""),"",$T2544+(AD$2*$M2544))</f>
        <v/>
      </c>
      <c r="AE2544" s="49">
        <f>IF(OR($M2544="",$T2544=""),"",$T2544+(AE$2*$M2544))</f>
        <v/>
      </c>
      <c r="AF2544" s="52">
        <f>IF(OR(T2544="",I2544&lt;T2544),"",IFERROR(AVERAGE(T2544+M2544*{7,8,9,10,11})/IF(G2544="",I2544,G2544)-1,""))</f>
        <v/>
      </c>
      <c r="AG2544" s="55">
        <f>IF(OR(T2544="",I2544&lt;T2544),"",IFERROR(AF2544/-(R2544/IF(G2544="",I2544,G2544)-1),""))</f>
        <v/>
      </c>
      <c r="AH2544" s="94" t="n"/>
      <c r="AI2544" s="94" t="n"/>
      <c r="AJ2544" s="94" t="n"/>
      <c r="AK2544" s="94" t="n"/>
      <c r="AL2544" s="84" t="n"/>
    </row>
    <row r="2545">
      <c r="A2545" s="64" t="n"/>
      <c r="B2545" s="65" t="n"/>
      <c r="C2545" s="66" t="n"/>
      <c r="D2545" s="67" t="n"/>
      <c r="E2545" s="68" t="n"/>
      <c r="F2545" s="47">
        <f>IF(A2545="","",IF(MIN(H2545,MAX(J2545:K2545))=0,"",MIN(H2545,MAX(J2545:K2545))))</f>
        <v/>
      </c>
      <c r="G2545" s="74" t="n"/>
      <c r="H2545" s="49">
        <f>IF(M2545="","",IFERROR(ROUND(AVERAGE(T2545+M2545*{7,8,9,10,11})/1.21,4),""))</f>
        <v/>
      </c>
      <c r="I2545" s="76" t="n"/>
      <c r="J2545" s="77" t="n"/>
      <c r="K2545" s="74" t="n"/>
      <c r="L2545" s="78" t="n"/>
      <c r="M2545" s="77" t="n"/>
      <c r="N2545" s="53">
        <f>IF(M2545="","",IFERROR(M2545/I2545,""))</f>
        <v/>
      </c>
      <c r="O2545" s="50">
        <f>IF(A2545="","",IFERROR((IF(G2545="",I2545,G2545)-T2545)/M2545,""))</f>
        <v/>
      </c>
      <c r="P2545" s="50">
        <f>IFERROR((I2545/T2545-1)/N2545,"")</f>
        <v/>
      </c>
      <c r="Q2545" s="46">
        <f>IF(OR(T2545="",I2545&lt;T2545),"",IFERROR(R2545/IF(G2545="",I2545,G2545)-1,""))</f>
        <v/>
      </c>
      <c r="R2545" s="48">
        <f>IF($M2545="","",MAX(IF($G2545="",$I2545,$G2545)*(1/1.1),IF($G2545="",$I2545,$G2545)+(R$2*$M2545)))</f>
        <v/>
      </c>
      <c r="S2545" s="49">
        <f>IF($M2545="","",MAX(IF($G2545="",$I2545,$G2545)*(1/1.1),IF($G2545="",$I2545,$G2545)+(S$2*$M2545)))</f>
        <v/>
      </c>
      <c r="T2545" s="82" t="n"/>
      <c r="U2545" s="47">
        <f>IF(OR($M2545="",$T2545=""),"",$T2545+(U$2*$M2545))</f>
        <v/>
      </c>
      <c r="V2545" s="48">
        <f>IF(OR($M2545="",$T2545=""),"",$T2545+(V$2*$M2545))</f>
        <v/>
      </c>
      <c r="W2545" s="48">
        <f>IF(OR($M2545="",$T2545=""),"",$T2545+(W$2*$M2545))</f>
        <v/>
      </c>
      <c r="X2545" s="49">
        <f>IF(OR($M2545="",$T2545=""),"",$T2545+(X$2*$M2545))</f>
        <v/>
      </c>
      <c r="Y2545" s="47">
        <f>IF(OR($M2545="",$T2545=""),"",$T2545+(Y$2*$M2545))</f>
        <v/>
      </c>
      <c r="Z2545" s="49">
        <f>IF(OR($M2545="",$T2545=""),"",$T2545+(Z$2*$M2545))</f>
        <v/>
      </c>
      <c r="AA2545" s="51">
        <f>IF(OR($M2545="",$T2545=""),"",$T2545+(AA$2*$M2545))</f>
        <v/>
      </c>
      <c r="AB2545" s="48">
        <f>IF(OR($M2545="",$T2545=""),"",$T2545+(AB$2*$M2545))</f>
        <v/>
      </c>
      <c r="AC2545" s="48">
        <f>IF(OR($M2545="",$T2545=""),"",$T2545+(AC$2*$M2545))</f>
        <v/>
      </c>
      <c r="AD2545" s="48">
        <f>IF(OR($M2545="",$T2545=""),"",$T2545+(AD$2*$M2545))</f>
        <v/>
      </c>
      <c r="AE2545" s="49">
        <f>IF(OR($M2545="",$T2545=""),"",$T2545+(AE$2*$M2545))</f>
        <v/>
      </c>
      <c r="AF2545" s="52">
        <f>IF(OR(T2545="",I2545&lt;T2545),"",IFERROR(AVERAGE(T2545+M2545*{7,8,9,10,11})/IF(G2545="",I2545,G2545)-1,""))</f>
        <v/>
      </c>
      <c r="AG2545" s="55">
        <f>IF(OR(T2545="",I2545&lt;T2545),"",IFERROR(AF2545/-(R2545/IF(G2545="",I2545,G2545)-1),""))</f>
        <v/>
      </c>
      <c r="AH2545" s="94" t="n"/>
      <c r="AI2545" s="94" t="n"/>
      <c r="AJ2545" s="94" t="n"/>
      <c r="AK2545" s="94" t="n"/>
      <c r="AL2545" s="84" t="n"/>
    </row>
    <row r="2546">
      <c r="A2546" s="64" t="n"/>
      <c r="B2546" s="65" t="n"/>
      <c r="C2546" s="66" t="n"/>
      <c r="D2546" s="67" t="n"/>
      <c r="E2546" s="68" t="n"/>
      <c r="F2546" s="47">
        <f>IF(A2546="","",IF(MIN(H2546,MAX(J2546:K2546))=0,"",MIN(H2546,MAX(J2546:K2546))))</f>
        <v/>
      </c>
      <c r="G2546" s="74" t="n"/>
      <c r="H2546" s="49">
        <f>IF(M2546="","",IFERROR(ROUND(AVERAGE(T2546+M2546*{7,8,9,10,11})/1.21,4),""))</f>
        <v/>
      </c>
      <c r="I2546" s="76" t="n"/>
      <c r="J2546" s="77" t="n"/>
      <c r="K2546" s="74" t="n"/>
      <c r="L2546" s="78" t="n"/>
      <c r="M2546" s="77" t="n"/>
      <c r="N2546" s="53">
        <f>IF(M2546="","",IFERROR(M2546/I2546,""))</f>
        <v/>
      </c>
      <c r="O2546" s="50">
        <f>IF(A2546="","",IFERROR((IF(G2546="",I2546,G2546)-T2546)/M2546,""))</f>
        <v/>
      </c>
      <c r="P2546" s="50">
        <f>IFERROR((I2546/T2546-1)/N2546,"")</f>
        <v/>
      </c>
      <c r="Q2546" s="46">
        <f>IF(OR(T2546="",I2546&lt;T2546),"",IFERROR(R2546/IF(G2546="",I2546,G2546)-1,""))</f>
        <v/>
      </c>
      <c r="R2546" s="48">
        <f>IF($M2546="","",MAX(IF($G2546="",$I2546,$G2546)*(1/1.1),IF($G2546="",$I2546,$G2546)+(R$2*$M2546)))</f>
        <v/>
      </c>
      <c r="S2546" s="49">
        <f>IF($M2546="","",MAX(IF($G2546="",$I2546,$G2546)*(1/1.1),IF($G2546="",$I2546,$G2546)+(S$2*$M2546)))</f>
        <v/>
      </c>
      <c r="T2546" s="82" t="n"/>
      <c r="U2546" s="47">
        <f>IF(OR($M2546="",$T2546=""),"",$T2546+(U$2*$M2546))</f>
        <v/>
      </c>
      <c r="V2546" s="48">
        <f>IF(OR($M2546="",$T2546=""),"",$T2546+(V$2*$M2546))</f>
        <v/>
      </c>
      <c r="W2546" s="48">
        <f>IF(OR($M2546="",$T2546=""),"",$T2546+(W$2*$M2546))</f>
        <v/>
      </c>
      <c r="X2546" s="49">
        <f>IF(OR($M2546="",$T2546=""),"",$T2546+(X$2*$M2546))</f>
        <v/>
      </c>
      <c r="Y2546" s="47">
        <f>IF(OR($M2546="",$T2546=""),"",$T2546+(Y$2*$M2546))</f>
        <v/>
      </c>
      <c r="Z2546" s="49">
        <f>IF(OR($M2546="",$T2546=""),"",$T2546+(Z$2*$M2546))</f>
        <v/>
      </c>
      <c r="AA2546" s="51">
        <f>IF(OR($M2546="",$T2546=""),"",$T2546+(AA$2*$M2546))</f>
        <v/>
      </c>
      <c r="AB2546" s="48">
        <f>IF(OR($M2546="",$T2546=""),"",$T2546+(AB$2*$M2546))</f>
        <v/>
      </c>
      <c r="AC2546" s="48">
        <f>IF(OR($M2546="",$T2546=""),"",$T2546+(AC$2*$M2546))</f>
        <v/>
      </c>
      <c r="AD2546" s="48">
        <f>IF(OR($M2546="",$T2546=""),"",$T2546+(AD$2*$M2546))</f>
        <v/>
      </c>
      <c r="AE2546" s="49">
        <f>IF(OR($M2546="",$T2546=""),"",$T2546+(AE$2*$M2546))</f>
        <v/>
      </c>
      <c r="AF2546" s="52">
        <f>IF(OR(T2546="",I2546&lt;T2546),"",IFERROR(AVERAGE(T2546+M2546*{7,8,9,10,11})/IF(G2546="",I2546,G2546)-1,""))</f>
        <v/>
      </c>
      <c r="AG2546" s="55">
        <f>IF(OR(T2546="",I2546&lt;T2546),"",IFERROR(AF2546/-(R2546/IF(G2546="",I2546,G2546)-1),""))</f>
        <v/>
      </c>
      <c r="AH2546" s="94" t="n"/>
      <c r="AI2546" s="94" t="n"/>
      <c r="AJ2546" s="94" t="n"/>
      <c r="AK2546" s="94" t="n"/>
      <c r="AL2546" s="84" t="n"/>
    </row>
    <row r="2547">
      <c r="A2547" s="64" t="n"/>
      <c r="B2547" s="65" t="n"/>
      <c r="C2547" s="66" t="n"/>
      <c r="D2547" s="67" t="n"/>
      <c r="E2547" s="68" t="n"/>
      <c r="F2547" s="47">
        <f>IF(A2547="","",IF(MIN(H2547,MAX(J2547:K2547))=0,"",MIN(H2547,MAX(J2547:K2547))))</f>
        <v/>
      </c>
      <c r="G2547" s="74" t="n"/>
      <c r="H2547" s="49">
        <f>IF(M2547="","",IFERROR(ROUND(AVERAGE(T2547+M2547*{7,8,9,10,11})/1.21,4),""))</f>
        <v/>
      </c>
      <c r="I2547" s="76" t="n"/>
      <c r="J2547" s="77" t="n"/>
      <c r="K2547" s="74" t="n"/>
      <c r="L2547" s="78" t="n"/>
      <c r="M2547" s="77" t="n"/>
      <c r="N2547" s="53">
        <f>IF(M2547="","",IFERROR(M2547/I2547,""))</f>
        <v/>
      </c>
      <c r="O2547" s="50">
        <f>IF(A2547="","",IFERROR((IF(G2547="",I2547,G2547)-T2547)/M2547,""))</f>
        <v/>
      </c>
      <c r="P2547" s="50">
        <f>IFERROR((I2547/T2547-1)/N2547,"")</f>
        <v/>
      </c>
      <c r="Q2547" s="46">
        <f>IF(OR(T2547="",I2547&lt;T2547),"",IFERROR(R2547/IF(G2547="",I2547,G2547)-1,""))</f>
        <v/>
      </c>
      <c r="R2547" s="48">
        <f>IF($M2547="","",MAX(IF($G2547="",$I2547,$G2547)*(1/1.1),IF($G2547="",$I2547,$G2547)+(R$2*$M2547)))</f>
        <v/>
      </c>
      <c r="S2547" s="49">
        <f>IF($M2547="","",MAX(IF($G2547="",$I2547,$G2547)*(1/1.1),IF($G2547="",$I2547,$G2547)+(S$2*$M2547)))</f>
        <v/>
      </c>
      <c r="T2547" s="82" t="n"/>
      <c r="U2547" s="47">
        <f>IF(OR($M2547="",$T2547=""),"",$T2547+(U$2*$M2547))</f>
        <v/>
      </c>
      <c r="V2547" s="48">
        <f>IF(OR($M2547="",$T2547=""),"",$T2547+(V$2*$M2547))</f>
        <v/>
      </c>
      <c r="W2547" s="48">
        <f>IF(OR($M2547="",$T2547=""),"",$T2547+(W$2*$M2547))</f>
        <v/>
      </c>
      <c r="X2547" s="49">
        <f>IF(OR($M2547="",$T2547=""),"",$T2547+(X$2*$M2547))</f>
        <v/>
      </c>
      <c r="Y2547" s="47">
        <f>IF(OR($M2547="",$T2547=""),"",$T2547+(Y$2*$M2547))</f>
        <v/>
      </c>
      <c r="Z2547" s="49">
        <f>IF(OR($M2547="",$T2547=""),"",$T2547+(Z$2*$M2547))</f>
        <v/>
      </c>
      <c r="AA2547" s="51">
        <f>IF(OR($M2547="",$T2547=""),"",$T2547+(AA$2*$M2547))</f>
        <v/>
      </c>
      <c r="AB2547" s="48">
        <f>IF(OR($M2547="",$T2547=""),"",$T2547+(AB$2*$M2547))</f>
        <v/>
      </c>
      <c r="AC2547" s="48">
        <f>IF(OR($M2547="",$T2547=""),"",$T2547+(AC$2*$M2547))</f>
        <v/>
      </c>
      <c r="AD2547" s="48">
        <f>IF(OR($M2547="",$T2547=""),"",$T2547+(AD$2*$M2547))</f>
        <v/>
      </c>
      <c r="AE2547" s="49">
        <f>IF(OR($M2547="",$T2547=""),"",$T2547+(AE$2*$M2547))</f>
        <v/>
      </c>
      <c r="AF2547" s="52">
        <f>IF(OR(T2547="",I2547&lt;T2547),"",IFERROR(AVERAGE(T2547+M2547*{7,8,9,10,11})/IF(G2547="",I2547,G2547)-1,""))</f>
        <v/>
      </c>
      <c r="AG2547" s="55">
        <f>IF(OR(T2547="",I2547&lt;T2547),"",IFERROR(AF2547/-(R2547/IF(G2547="",I2547,G2547)-1),""))</f>
        <v/>
      </c>
      <c r="AH2547" s="94" t="n"/>
      <c r="AI2547" s="94" t="n"/>
      <c r="AJ2547" s="94" t="n"/>
      <c r="AK2547" s="94" t="n"/>
      <c r="AL2547" s="84" t="n"/>
    </row>
    <row r="2548">
      <c r="A2548" s="64" t="n"/>
      <c r="B2548" s="65" t="n"/>
      <c r="C2548" s="66" t="n"/>
      <c r="D2548" s="67" t="n"/>
      <c r="E2548" s="68" t="n"/>
      <c r="F2548" s="47">
        <f>IF(A2548="","",IF(MIN(H2548,MAX(J2548:K2548))=0,"",MIN(H2548,MAX(J2548:K2548))))</f>
        <v/>
      </c>
      <c r="G2548" s="74" t="n"/>
      <c r="H2548" s="49">
        <f>IF(M2548="","",IFERROR(ROUND(AVERAGE(T2548+M2548*{7,8,9,10,11})/1.21,4),""))</f>
        <v/>
      </c>
      <c r="I2548" s="76" t="n"/>
      <c r="J2548" s="77" t="n"/>
      <c r="K2548" s="74" t="n"/>
      <c r="L2548" s="78" t="n"/>
      <c r="M2548" s="77" t="n"/>
      <c r="N2548" s="53">
        <f>IF(M2548="","",IFERROR(M2548/I2548,""))</f>
        <v/>
      </c>
      <c r="O2548" s="50">
        <f>IF(A2548="","",IFERROR((IF(G2548="",I2548,G2548)-T2548)/M2548,""))</f>
        <v/>
      </c>
      <c r="P2548" s="50">
        <f>IFERROR((I2548/T2548-1)/N2548,"")</f>
        <v/>
      </c>
      <c r="Q2548" s="46">
        <f>IF(OR(T2548="",I2548&lt;T2548),"",IFERROR(R2548/IF(G2548="",I2548,G2548)-1,""))</f>
        <v/>
      </c>
      <c r="R2548" s="48">
        <f>IF($M2548="","",MAX(IF($G2548="",$I2548,$G2548)*(1/1.1),IF($G2548="",$I2548,$G2548)+(R$2*$M2548)))</f>
        <v/>
      </c>
      <c r="S2548" s="49">
        <f>IF($M2548="","",MAX(IF($G2548="",$I2548,$G2548)*(1/1.1),IF($G2548="",$I2548,$G2548)+(S$2*$M2548)))</f>
        <v/>
      </c>
      <c r="T2548" s="82" t="n"/>
      <c r="U2548" s="47">
        <f>IF(OR($M2548="",$T2548=""),"",$T2548+(U$2*$M2548))</f>
        <v/>
      </c>
      <c r="V2548" s="48">
        <f>IF(OR($M2548="",$T2548=""),"",$T2548+(V$2*$M2548))</f>
        <v/>
      </c>
      <c r="W2548" s="48">
        <f>IF(OR($M2548="",$T2548=""),"",$T2548+(W$2*$M2548))</f>
        <v/>
      </c>
      <c r="X2548" s="49">
        <f>IF(OR($M2548="",$T2548=""),"",$T2548+(X$2*$M2548))</f>
        <v/>
      </c>
      <c r="Y2548" s="47">
        <f>IF(OR($M2548="",$T2548=""),"",$T2548+(Y$2*$M2548))</f>
        <v/>
      </c>
      <c r="Z2548" s="49">
        <f>IF(OR($M2548="",$T2548=""),"",$T2548+(Z$2*$M2548))</f>
        <v/>
      </c>
      <c r="AA2548" s="51">
        <f>IF(OR($M2548="",$T2548=""),"",$T2548+(AA$2*$M2548))</f>
        <v/>
      </c>
      <c r="AB2548" s="48">
        <f>IF(OR($M2548="",$T2548=""),"",$T2548+(AB$2*$M2548))</f>
        <v/>
      </c>
      <c r="AC2548" s="48">
        <f>IF(OR($M2548="",$T2548=""),"",$T2548+(AC$2*$M2548))</f>
        <v/>
      </c>
      <c r="AD2548" s="48">
        <f>IF(OR($M2548="",$T2548=""),"",$T2548+(AD$2*$M2548))</f>
        <v/>
      </c>
      <c r="AE2548" s="49">
        <f>IF(OR($M2548="",$T2548=""),"",$T2548+(AE$2*$M2548))</f>
        <v/>
      </c>
      <c r="AF2548" s="52">
        <f>IF(OR(T2548="",I2548&lt;T2548),"",IFERROR(AVERAGE(T2548+M2548*{7,8,9,10,11})/IF(G2548="",I2548,G2548)-1,""))</f>
        <v/>
      </c>
      <c r="AG2548" s="55">
        <f>IF(OR(T2548="",I2548&lt;T2548),"",IFERROR(AF2548/-(R2548/IF(G2548="",I2548,G2548)-1),""))</f>
        <v/>
      </c>
      <c r="AH2548" s="94" t="n"/>
      <c r="AI2548" s="94" t="n"/>
      <c r="AJ2548" s="94" t="n"/>
      <c r="AK2548" s="94" t="n"/>
      <c r="AL2548" s="84" t="n"/>
    </row>
    <row r="2549">
      <c r="A2549" s="64" t="n"/>
      <c r="B2549" s="65" t="n"/>
      <c r="C2549" s="66" t="n"/>
      <c r="D2549" s="67" t="n"/>
      <c r="E2549" s="68" t="n"/>
      <c r="F2549" s="47">
        <f>IF(A2549="","",IF(MIN(H2549,MAX(J2549:K2549))=0,"",MIN(H2549,MAX(J2549:K2549))))</f>
        <v/>
      </c>
      <c r="G2549" s="74" t="n"/>
      <c r="H2549" s="49">
        <f>IF(M2549="","",IFERROR(ROUND(AVERAGE(T2549+M2549*{7,8,9,10,11})/1.21,4),""))</f>
        <v/>
      </c>
      <c r="I2549" s="76" t="n"/>
      <c r="J2549" s="77" t="n"/>
      <c r="K2549" s="74" t="n"/>
      <c r="L2549" s="78" t="n"/>
      <c r="M2549" s="77" t="n"/>
      <c r="N2549" s="53">
        <f>IF(M2549="","",IFERROR(M2549/I2549,""))</f>
        <v/>
      </c>
      <c r="O2549" s="50">
        <f>IF(A2549="","",IFERROR((IF(G2549="",I2549,G2549)-T2549)/M2549,""))</f>
        <v/>
      </c>
      <c r="P2549" s="50">
        <f>IFERROR((I2549/T2549-1)/N2549,"")</f>
        <v/>
      </c>
      <c r="Q2549" s="46">
        <f>IF(OR(T2549="",I2549&lt;T2549),"",IFERROR(R2549/IF(G2549="",I2549,G2549)-1,""))</f>
        <v/>
      </c>
      <c r="R2549" s="48">
        <f>IF($M2549="","",MAX(IF($G2549="",$I2549,$G2549)*(1/1.1),IF($G2549="",$I2549,$G2549)+(R$2*$M2549)))</f>
        <v/>
      </c>
      <c r="S2549" s="49">
        <f>IF($M2549="","",MAX(IF($G2549="",$I2549,$G2549)*(1/1.1),IF($G2549="",$I2549,$G2549)+(S$2*$M2549)))</f>
        <v/>
      </c>
      <c r="T2549" s="82" t="n"/>
      <c r="U2549" s="47">
        <f>IF(OR($M2549="",$T2549=""),"",$T2549+(U$2*$M2549))</f>
        <v/>
      </c>
      <c r="V2549" s="48">
        <f>IF(OR($M2549="",$T2549=""),"",$T2549+(V$2*$M2549))</f>
        <v/>
      </c>
      <c r="W2549" s="48">
        <f>IF(OR($M2549="",$T2549=""),"",$T2549+(W$2*$M2549))</f>
        <v/>
      </c>
      <c r="X2549" s="49">
        <f>IF(OR($M2549="",$T2549=""),"",$T2549+(X$2*$M2549))</f>
        <v/>
      </c>
      <c r="Y2549" s="47">
        <f>IF(OR($M2549="",$T2549=""),"",$T2549+(Y$2*$M2549))</f>
        <v/>
      </c>
      <c r="Z2549" s="49">
        <f>IF(OR($M2549="",$T2549=""),"",$T2549+(Z$2*$M2549))</f>
        <v/>
      </c>
      <c r="AA2549" s="51">
        <f>IF(OR($M2549="",$T2549=""),"",$T2549+(AA$2*$M2549))</f>
        <v/>
      </c>
      <c r="AB2549" s="48">
        <f>IF(OR($M2549="",$T2549=""),"",$T2549+(AB$2*$M2549))</f>
        <v/>
      </c>
      <c r="AC2549" s="48">
        <f>IF(OR($M2549="",$T2549=""),"",$T2549+(AC$2*$M2549))</f>
        <v/>
      </c>
      <c r="AD2549" s="48">
        <f>IF(OR($M2549="",$T2549=""),"",$T2549+(AD$2*$M2549))</f>
        <v/>
      </c>
      <c r="AE2549" s="49">
        <f>IF(OR($M2549="",$T2549=""),"",$T2549+(AE$2*$M2549))</f>
        <v/>
      </c>
      <c r="AF2549" s="52">
        <f>IF(OR(T2549="",I2549&lt;T2549),"",IFERROR(AVERAGE(T2549+M2549*{7,8,9,10,11})/IF(G2549="",I2549,G2549)-1,""))</f>
        <v/>
      </c>
      <c r="AG2549" s="55">
        <f>IF(OR(T2549="",I2549&lt;T2549),"",IFERROR(AF2549/-(R2549/IF(G2549="",I2549,G2549)-1),""))</f>
        <v/>
      </c>
      <c r="AH2549" s="94" t="n"/>
      <c r="AI2549" s="94" t="n"/>
      <c r="AJ2549" s="94" t="n"/>
      <c r="AK2549" s="94" t="n"/>
      <c r="AL2549" s="84" t="n"/>
    </row>
    <row r="2550">
      <c r="A2550" s="64" t="n"/>
      <c r="B2550" s="65" t="n"/>
      <c r="C2550" s="66" t="n"/>
      <c r="D2550" s="67" t="n"/>
      <c r="E2550" s="68" t="n"/>
      <c r="F2550" s="47">
        <f>IF(A2550="","",IF(MIN(H2550,MAX(J2550:K2550))=0,"",MIN(H2550,MAX(J2550:K2550))))</f>
        <v/>
      </c>
      <c r="G2550" s="74" t="n"/>
      <c r="H2550" s="49">
        <f>IF(M2550="","",IFERROR(ROUND(AVERAGE(T2550+M2550*{7,8,9,10,11})/1.21,4),""))</f>
        <v/>
      </c>
      <c r="I2550" s="76" t="n"/>
      <c r="J2550" s="77" t="n"/>
      <c r="K2550" s="74" t="n"/>
      <c r="L2550" s="78" t="n"/>
      <c r="M2550" s="77" t="n"/>
      <c r="N2550" s="53">
        <f>IF(M2550="","",IFERROR(M2550/I2550,""))</f>
        <v/>
      </c>
      <c r="O2550" s="50">
        <f>IF(A2550="","",IFERROR((IF(G2550="",I2550,G2550)-T2550)/M2550,""))</f>
        <v/>
      </c>
      <c r="P2550" s="50">
        <f>IFERROR((I2550/T2550-1)/N2550,"")</f>
        <v/>
      </c>
      <c r="Q2550" s="46">
        <f>IF(OR(T2550="",I2550&lt;T2550),"",IFERROR(R2550/IF(G2550="",I2550,G2550)-1,""))</f>
        <v/>
      </c>
      <c r="R2550" s="48">
        <f>IF($M2550="","",MAX(IF($G2550="",$I2550,$G2550)*(1/1.1),IF($G2550="",$I2550,$G2550)+(R$2*$M2550)))</f>
        <v/>
      </c>
      <c r="S2550" s="49">
        <f>IF($M2550="","",MAX(IF($G2550="",$I2550,$G2550)*(1/1.1),IF($G2550="",$I2550,$G2550)+(S$2*$M2550)))</f>
        <v/>
      </c>
      <c r="T2550" s="82" t="n"/>
      <c r="U2550" s="47">
        <f>IF(OR($M2550="",$T2550=""),"",$T2550+(U$2*$M2550))</f>
        <v/>
      </c>
      <c r="V2550" s="48">
        <f>IF(OR($M2550="",$T2550=""),"",$T2550+(V$2*$M2550))</f>
        <v/>
      </c>
      <c r="W2550" s="48">
        <f>IF(OR($M2550="",$T2550=""),"",$T2550+(W$2*$M2550))</f>
        <v/>
      </c>
      <c r="X2550" s="49">
        <f>IF(OR($M2550="",$T2550=""),"",$T2550+(X$2*$M2550))</f>
        <v/>
      </c>
      <c r="Y2550" s="47">
        <f>IF(OR($M2550="",$T2550=""),"",$T2550+(Y$2*$M2550))</f>
        <v/>
      </c>
      <c r="Z2550" s="49">
        <f>IF(OR($M2550="",$T2550=""),"",$T2550+(Z$2*$M2550))</f>
        <v/>
      </c>
      <c r="AA2550" s="51">
        <f>IF(OR($M2550="",$T2550=""),"",$T2550+(AA$2*$M2550))</f>
        <v/>
      </c>
      <c r="AB2550" s="48">
        <f>IF(OR($M2550="",$T2550=""),"",$T2550+(AB$2*$M2550))</f>
        <v/>
      </c>
      <c r="AC2550" s="48">
        <f>IF(OR($M2550="",$T2550=""),"",$T2550+(AC$2*$M2550))</f>
        <v/>
      </c>
      <c r="AD2550" s="48">
        <f>IF(OR($M2550="",$T2550=""),"",$T2550+(AD$2*$M2550))</f>
        <v/>
      </c>
      <c r="AE2550" s="49">
        <f>IF(OR($M2550="",$T2550=""),"",$T2550+(AE$2*$M2550))</f>
        <v/>
      </c>
      <c r="AF2550" s="52">
        <f>IF(OR(T2550="",I2550&lt;T2550),"",IFERROR(AVERAGE(T2550+M2550*{7,8,9,10,11})/IF(G2550="",I2550,G2550)-1,""))</f>
        <v/>
      </c>
      <c r="AG2550" s="55">
        <f>IF(OR(T2550="",I2550&lt;T2550),"",IFERROR(AF2550/-(R2550/IF(G2550="",I2550,G2550)-1),""))</f>
        <v/>
      </c>
      <c r="AH2550" s="94" t="n"/>
      <c r="AI2550" s="94" t="n"/>
      <c r="AJ2550" s="94" t="n"/>
      <c r="AK2550" s="94" t="n"/>
      <c r="AL2550" s="84" t="n"/>
    </row>
    <row r="2551">
      <c r="A2551" s="64" t="n"/>
      <c r="B2551" s="65" t="n"/>
      <c r="C2551" s="66" t="n"/>
      <c r="D2551" s="67" t="n"/>
      <c r="E2551" s="68" t="n"/>
      <c r="F2551" s="47">
        <f>IF(A2551="","",IF(MIN(H2551,MAX(J2551:K2551))=0,"",MIN(H2551,MAX(J2551:K2551))))</f>
        <v/>
      </c>
      <c r="G2551" s="74" t="n"/>
      <c r="H2551" s="49">
        <f>IF(M2551="","",IFERROR(ROUND(AVERAGE(T2551+M2551*{7,8,9,10,11})/1.21,4),""))</f>
        <v/>
      </c>
      <c r="I2551" s="76" t="n"/>
      <c r="J2551" s="77" t="n"/>
      <c r="K2551" s="74" t="n"/>
      <c r="L2551" s="78" t="n"/>
      <c r="M2551" s="77" t="n"/>
      <c r="N2551" s="53">
        <f>IF(M2551="","",IFERROR(M2551/I2551,""))</f>
        <v/>
      </c>
      <c r="O2551" s="50">
        <f>IF(A2551="","",IFERROR((IF(G2551="",I2551,G2551)-T2551)/M2551,""))</f>
        <v/>
      </c>
      <c r="P2551" s="50">
        <f>IFERROR((I2551/T2551-1)/N2551,"")</f>
        <v/>
      </c>
      <c r="Q2551" s="46">
        <f>IF(OR(T2551="",I2551&lt;T2551),"",IFERROR(R2551/IF(G2551="",I2551,G2551)-1,""))</f>
        <v/>
      </c>
      <c r="R2551" s="48">
        <f>IF($M2551="","",MAX(IF($G2551="",$I2551,$G2551)*(1/1.1),IF($G2551="",$I2551,$G2551)+(R$2*$M2551)))</f>
        <v/>
      </c>
      <c r="S2551" s="49">
        <f>IF($M2551="","",MAX(IF($G2551="",$I2551,$G2551)*(1/1.1),IF($G2551="",$I2551,$G2551)+(S$2*$M2551)))</f>
        <v/>
      </c>
      <c r="T2551" s="82" t="n"/>
      <c r="U2551" s="47">
        <f>IF(OR($M2551="",$T2551=""),"",$T2551+(U$2*$M2551))</f>
        <v/>
      </c>
      <c r="V2551" s="48">
        <f>IF(OR($M2551="",$T2551=""),"",$T2551+(V$2*$M2551))</f>
        <v/>
      </c>
      <c r="W2551" s="48">
        <f>IF(OR($M2551="",$T2551=""),"",$T2551+(W$2*$M2551))</f>
        <v/>
      </c>
      <c r="X2551" s="49">
        <f>IF(OR($M2551="",$T2551=""),"",$T2551+(X$2*$M2551))</f>
        <v/>
      </c>
      <c r="Y2551" s="47">
        <f>IF(OR($M2551="",$T2551=""),"",$T2551+(Y$2*$M2551))</f>
        <v/>
      </c>
      <c r="Z2551" s="49">
        <f>IF(OR($M2551="",$T2551=""),"",$T2551+(Z$2*$M2551))</f>
        <v/>
      </c>
      <c r="AA2551" s="51">
        <f>IF(OR($M2551="",$T2551=""),"",$T2551+(AA$2*$M2551))</f>
        <v/>
      </c>
      <c r="AB2551" s="48">
        <f>IF(OR($M2551="",$T2551=""),"",$T2551+(AB$2*$M2551))</f>
        <v/>
      </c>
      <c r="AC2551" s="48">
        <f>IF(OR($M2551="",$T2551=""),"",$T2551+(AC$2*$M2551))</f>
        <v/>
      </c>
      <c r="AD2551" s="48">
        <f>IF(OR($M2551="",$T2551=""),"",$T2551+(AD$2*$M2551))</f>
        <v/>
      </c>
      <c r="AE2551" s="49">
        <f>IF(OR($M2551="",$T2551=""),"",$T2551+(AE$2*$M2551))</f>
        <v/>
      </c>
      <c r="AF2551" s="52">
        <f>IF(OR(T2551="",I2551&lt;T2551),"",IFERROR(AVERAGE(T2551+M2551*{7,8,9,10,11})/IF(G2551="",I2551,G2551)-1,""))</f>
        <v/>
      </c>
      <c r="AG2551" s="55">
        <f>IF(OR(T2551="",I2551&lt;T2551),"",IFERROR(AF2551/-(R2551/IF(G2551="",I2551,G2551)-1),""))</f>
        <v/>
      </c>
      <c r="AH2551" s="94" t="n"/>
      <c r="AI2551" s="94" t="n"/>
      <c r="AJ2551" s="94" t="n"/>
      <c r="AK2551" s="94" t="n"/>
      <c r="AL2551" s="84" t="n"/>
    </row>
    <row r="2552">
      <c r="A2552" s="64" t="n"/>
      <c r="B2552" s="65" t="n"/>
      <c r="C2552" s="66" t="n"/>
      <c r="D2552" s="67" t="n"/>
      <c r="E2552" s="68" t="n"/>
      <c r="F2552" s="47">
        <f>IF(A2552="","",IF(MIN(H2552,MAX(J2552:K2552))=0,"",MIN(H2552,MAX(J2552:K2552))))</f>
        <v/>
      </c>
      <c r="G2552" s="74" t="n"/>
      <c r="H2552" s="49">
        <f>IF(M2552="","",IFERROR(ROUND(AVERAGE(T2552+M2552*{7,8,9,10,11})/1.21,4),""))</f>
        <v/>
      </c>
      <c r="I2552" s="76" t="n"/>
      <c r="J2552" s="77" t="n"/>
      <c r="K2552" s="74" t="n"/>
      <c r="L2552" s="78" t="n"/>
      <c r="M2552" s="77" t="n"/>
      <c r="N2552" s="53">
        <f>IF(M2552="","",IFERROR(M2552/I2552,""))</f>
        <v/>
      </c>
      <c r="O2552" s="50">
        <f>IF(A2552="","",IFERROR((IF(G2552="",I2552,G2552)-T2552)/M2552,""))</f>
        <v/>
      </c>
      <c r="P2552" s="50">
        <f>IFERROR((I2552/T2552-1)/N2552,"")</f>
        <v/>
      </c>
      <c r="Q2552" s="46">
        <f>IF(OR(T2552="",I2552&lt;T2552),"",IFERROR(R2552/IF(G2552="",I2552,G2552)-1,""))</f>
        <v/>
      </c>
      <c r="R2552" s="48">
        <f>IF($M2552="","",MAX(IF($G2552="",$I2552,$G2552)*(1/1.1),IF($G2552="",$I2552,$G2552)+(R$2*$M2552)))</f>
        <v/>
      </c>
      <c r="S2552" s="49">
        <f>IF($M2552="","",MAX(IF($G2552="",$I2552,$G2552)*(1/1.1),IF($G2552="",$I2552,$G2552)+(S$2*$M2552)))</f>
        <v/>
      </c>
      <c r="T2552" s="82" t="n"/>
      <c r="U2552" s="47">
        <f>IF(OR($M2552="",$T2552=""),"",$T2552+(U$2*$M2552))</f>
        <v/>
      </c>
      <c r="V2552" s="48">
        <f>IF(OR($M2552="",$T2552=""),"",$T2552+(V$2*$M2552))</f>
        <v/>
      </c>
      <c r="W2552" s="48">
        <f>IF(OR($M2552="",$T2552=""),"",$T2552+(W$2*$M2552))</f>
        <v/>
      </c>
      <c r="X2552" s="49">
        <f>IF(OR($M2552="",$T2552=""),"",$T2552+(X$2*$M2552))</f>
        <v/>
      </c>
      <c r="Y2552" s="47">
        <f>IF(OR($M2552="",$T2552=""),"",$T2552+(Y$2*$M2552))</f>
        <v/>
      </c>
      <c r="Z2552" s="49">
        <f>IF(OR($M2552="",$T2552=""),"",$T2552+(Z$2*$M2552))</f>
        <v/>
      </c>
      <c r="AA2552" s="51">
        <f>IF(OR($M2552="",$T2552=""),"",$T2552+(AA$2*$M2552))</f>
        <v/>
      </c>
      <c r="AB2552" s="48">
        <f>IF(OR($M2552="",$T2552=""),"",$T2552+(AB$2*$M2552))</f>
        <v/>
      </c>
      <c r="AC2552" s="48">
        <f>IF(OR($M2552="",$T2552=""),"",$T2552+(AC$2*$M2552))</f>
        <v/>
      </c>
      <c r="AD2552" s="48">
        <f>IF(OR($M2552="",$T2552=""),"",$T2552+(AD$2*$M2552))</f>
        <v/>
      </c>
      <c r="AE2552" s="49">
        <f>IF(OR($M2552="",$T2552=""),"",$T2552+(AE$2*$M2552))</f>
        <v/>
      </c>
      <c r="AF2552" s="52">
        <f>IF(OR(T2552="",I2552&lt;T2552),"",IFERROR(AVERAGE(T2552+M2552*{7,8,9,10,11})/IF(G2552="",I2552,G2552)-1,""))</f>
        <v/>
      </c>
      <c r="AG2552" s="55">
        <f>IF(OR(T2552="",I2552&lt;T2552),"",IFERROR(AF2552/-(R2552/IF(G2552="",I2552,G2552)-1),""))</f>
        <v/>
      </c>
      <c r="AH2552" s="94" t="n"/>
      <c r="AI2552" s="94" t="n"/>
      <c r="AJ2552" s="94" t="n"/>
      <c r="AK2552" s="94" t="n"/>
      <c r="AL2552" s="84" t="n"/>
    </row>
    <row r="2553">
      <c r="A2553" s="64" t="n"/>
      <c r="B2553" s="65" t="n"/>
      <c r="C2553" s="66" t="n"/>
      <c r="D2553" s="67" t="n"/>
      <c r="E2553" s="68" t="n"/>
      <c r="F2553" s="47">
        <f>IF(A2553="","",IF(MIN(H2553,MAX(J2553:K2553))=0,"",MIN(H2553,MAX(J2553:K2553))))</f>
        <v/>
      </c>
      <c r="G2553" s="74" t="n"/>
      <c r="H2553" s="49">
        <f>IF(M2553="","",IFERROR(ROUND(AVERAGE(T2553+M2553*{7,8,9,10,11})/1.21,4),""))</f>
        <v/>
      </c>
      <c r="I2553" s="76" t="n"/>
      <c r="J2553" s="77" t="n"/>
      <c r="K2553" s="74" t="n"/>
      <c r="L2553" s="78" t="n"/>
      <c r="M2553" s="77" t="n"/>
      <c r="N2553" s="53">
        <f>IF(M2553="","",IFERROR(M2553/I2553,""))</f>
        <v/>
      </c>
      <c r="O2553" s="50">
        <f>IF(A2553="","",IFERROR((IF(G2553="",I2553,G2553)-T2553)/M2553,""))</f>
        <v/>
      </c>
      <c r="P2553" s="50">
        <f>IFERROR((I2553/T2553-1)/N2553,"")</f>
        <v/>
      </c>
      <c r="Q2553" s="46">
        <f>IF(OR(T2553="",I2553&lt;T2553),"",IFERROR(R2553/IF(G2553="",I2553,G2553)-1,""))</f>
        <v/>
      </c>
      <c r="R2553" s="48">
        <f>IF($M2553="","",MAX(IF($G2553="",$I2553,$G2553)*(1/1.1),IF($G2553="",$I2553,$G2553)+(R$2*$M2553)))</f>
        <v/>
      </c>
      <c r="S2553" s="49">
        <f>IF($M2553="","",MAX(IF($G2553="",$I2553,$G2553)*(1/1.1),IF($G2553="",$I2553,$G2553)+(S$2*$M2553)))</f>
        <v/>
      </c>
      <c r="T2553" s="82" t="n"/>
      <c r="U2553" s="47">
        <f>IF(OR($M2553="",$T2553=""),"",$T2553+(U$2*$M2553))</f>
        <v/>
      </c>
      <c r="V2553" s="48">
        <f>IF(OR($M2553="",$T2553=""),"",$T2553+(V$2*$M2553))</f>
        <v/>
      </c>
      <c r="W2553" s="48">
        <f>IF(OR($M2553="",$T2553=""),"",$T2553+(W$2*$M2553))</f>
        <v/>
      </c>
      <c r="X2553" s="49">
        <f>IF(OR($M2553="",$T2553=""),"",$T2553+(X$2*$M2553))</f>
        <v/>
      </c>
      <c r="Y2553" s="47">
        <f>IF(OR($M2553="",$T2553=""),"",$T2553+(Y$2*$M2553))</f>
        <v/>
      </c>
      <c r="Z2553" s="49">
        <f>IF(OR($M2553="",$T2553=""),"",$T2553+(Z$2*$M2553))</f>
        <v/>
      </c>
      <c r="AA2553" s="51">
        <f>IF(OR($M2553="",$T2553=""),"",$T2553+(AA$2*$M2553))</f>
        <v/>
      </c>
      <c r="AB2553" s="48">
        <f>IF(OR($M2553="",$T2553=""),"",$T2553+(AB$2*$M2553))</f>
        <v/>
      </c>
      <c r="AC2553" s="48">
        <f>IF(OR($M2553="",$T2553=""),"",$T2553+(AC$2*$M2553))</f>
        <v/>
      </c>
      <c r="AD2553" s="48">
        <f>IF(OR($M2553="",$T2553=""),"",$T2553+(AD$2*$M2553))</f>
        <v/>
      </c>
      <c r="AE2553" s="49">
        <f>IF(OR($M2553="",$T2553=""),"",$T2553+(AE$2*$M2553))</f>
        <v/>
      </c>
      <c r="AF2553" s="52">
        <f>IF(OR(T2553="",I2553&lt;T2553),"",IFERROR(AVERAGE(T2553+M2553*{7,8,9,10,11})/IF(G2553="",I2553,G2553)-1,""))</f>
        <v/>
      </c>
      <c r="AG2553" s="55">
        <f>IF(OR(T2553="",I2553&lt;T2553),"",IFERROR(AF2553/-(R2553/IF(G2553="",I2553,G2553)-1),""))</f>
        <v/>
      </c>
      <c r="AH2553" s="94" t="n"/>
      <c r="AI2553" s="94" t="n"/>
      <c r="AJ2553" s="94" t="n"/>
      <c r="AK2553" s="94" t="n"/>
      <c r="AL2553" s="84" t="n"/>
    </row>
    <row r="2554">
      <c r="A2554" s="64" t="n"/>
      <c r="B2554" s="65" t="n"/>
      <c r="C2554" s="66" t="n"/>
      <c r="D2554" s="67" t="n"/>
      <c r="E2554" s="68" t="n"/>
      <c r="F2554" s="47">
        <f>IF(A2554="","",IF(MIN(H2554,MAX(J2554:K2554))=0,"",MIN(H2554,MAX(J2554:K2554))))</f>
        <v/>
      </c>
      <c r="G2554" s="74" t="n"/>
      <c r="H2554" s="49">
        <f>IF(M2554="","",IFERROR(ROUND(AVERAGE(T2554+M2554*{7,8,9,10,11})/1.21,4),""))</f>
        <v/>
      </c>
      <c r="I2554" s="76" t="n"/>
      <c r="J2554" s="77" t="n"/>
      <c r="K2554" s="74" t="n"/>
      <c r="L2554" s="78" t="n"/>
      <c r="M2554" s="77" t="n"/>
      <c r="N2554" s="53">
        <f>IF(M2554="","",IFERROR(M2554/I2554,""))</f>
        <v/>
      </c>
      <c r="O2554" s="50">
        <f>IF(A2554="","",IFERROR((IF(G2554="",I2554,G2554)-T2554)/M2554,""))</f>
        <v/>
      </c>
      <c r="P2554" s="50">
        <f>IFERROR((I2554/T2554-1)/N2554,"")</f>
        <v/>
      </c>
      <c r="Q2554" s="46">
        <f>IF(OR(T2554="",I2554&lt;T2554),"",IFERROR(R2554/IF(G2554="",I2554,G2554)-1,""))</f>
        <v/>
      </c>
      <c r="R2554" s="48">
        <f>IF($M2554="","",MAX(IF($G2554="",$I2554,$G2554)*(1/1.1),IF($G2554="",$I2554,$G2554)+(R$2*$M2554)))</f>
        <v/>
      </c>
      <c r="S2554" s="49">
        <f>IF($M2554="","",MAX(IF($G2554="",$I2554,$G2554)*(1/1.1),IF($G2554="",$I2554,$G2554)+(S$2*$M2554)))</f>
        <v/>
      </c>
      <c r="T2554" s="82" t="n"/>
      <c r="U2554" s="47">
        <f>IF(OR($M2554="",$T2554=""),"",$T2554+(U$2*$M2554))</f>
        <v/>
      </c>
      <c r="V2554" s="48">
        <f>IF(OR($M2554="",$T2554=""),"",$T2554+(V$2*$M2554))</f>
        <v/>
      </c>
      <c r="W2554" s="48">
        <f>IF(OR($M2554="",$T2554=""),"",$T2554+(W$2*$M2554))</f>
        <v/>
      </c>
      <c r="X2554" s="49">
        <f>IF(OR($M2554="",$T2554=""),"",$T2554+(X$2*$M2554))</f>
        <v/>
      </c>
      <c r="Y2554" s="47">
        <f>IF(OR($M2554="",$T2554=""),"",$T2554+(Y$2*$M2554))</f>
        <v/>
      </c>
      <c r="Z2554" s="49">
        <f>IF(OR($M2554="",$T2554=""),"",$T2554+(Z$2*$M2554))</f>
        <v/>
      </c>
      <c r="AA2554" s="51">
        <f>IF(OR($M2554="",$T2554=""),"",$T2554+(AA$2*$M2554))</f>
        <v/>
      </c>
      <c r="AB2554" s="48">
        <f>IF(OR($M2554="",$T2554=""),"",$T2554+(AB$2*$M2554))</f>
        <v/>
      </c>
      <c r="AC2554" s="48">
        <f>IF(OR($M2554="",$T2554=""),"",$T2554+(AC$2*$M2554))</f>
        <v/>
      </c>
      <c r="AD2554" s="48">
        <f>IF(OR($M2554="",$T2554=""),"",$T2554+(AD$2*$M2554))</f>
        <v/>
      </c>
      <c r="AE2554" s="49">
        <f>IF(OR($M2554="",$T2554=""),"",$T2554+(AE$2*$M2554))</f>
        <v/>
      </c>
      <c r="AF2554" s="52">
        <f>IF(OR(T2554="",I2554&lt;T2554),"",IFERROR(AVERAGE(T2554+M2554*{7,8,9,10,11})/IF(G2554="",I2554,G2554)-1,""))</f>
        <v/>
      </c>
      <c r="AG2554" s="55">
        <f>IF(OR(T2554="",I2554&lt;T2554),"",IFERROR(AF2554/-(R2554/IF(G2554="",I2554,G2554)-1),""))</f>
        <v/>
      </c>
      <c r="AH2554" s="94" t="n"/>
      <c r="AI2554" s="94" t="n"/>
      <c r="AJ2554" s="94" t="n"/>
      <c r="AK2554" s="94" t="n"/>
      <c r="AL2554" s="84" t="n"/>
    </row>
    <row r="2555">
      <c r="A2555" s="64" t="n"/>
      <c r="B2555" s="65" t="n"/>
      <c r="C2555" s="66" t="n"/>
      <c r="D2555" s="67" t="n"/>
      <c r="E2555" s="68" t="n"/>
      <c r="F2555" s="47">
        <f>IF(A2555="","",IF(MIN(H2555,MAX(J2555:K2555))=0,"",MIN(H2555,MAX(J2555:K2555))))</f>
        <v/>
      </c>
      <c r="G2555" s="74" t="n"/>
      <c r="H2555" s="49">
        <f>IF(M2555="","",IFERROR(ROUND(AVERAGE(T2555+M2555*{7,8,9,10,11})/1.21,4),""))</f>
        <v/>
      </c>
      <c r="I2555" s="76" t="n"/>
      <c r="J2555" s="77" t="n"/>
      <c r="K2555" s="74" t="n"/>
      <c r="L2555" s="78" t="n"/>
      <c r="M2555" s="77" t="n"/>
      <c r="N2555" s="53">
        <f>IF(M2555="","",IFERROR(M2555/I2555,""))</f>
        <v/>
      </c>
      <c r="O2555" s="50">
        <f>IF(A2555="","",IFERROR((IF(G2555="",I2555,G2555)-T2555)/M2555,""))</f>
        <v/>
      </c>
      <c r="P2555" s="50">
        <f>IFERROR((I2555/T2555-1)/N2555,"")</f>
        <v/>
      </c>
      <c r="Q2555" s="46">
        <f>IF(OR(T2555="",I2555&lt;T2555),"",IFERROR(R2555/IF(G2555="",I2555,G2555)-1,""))</f>
        <v/>
      </c>
      <c r="R2555" s="48">
        <f>IF($M2555="","",MAX(IF($G2555="",$I2555,$G2555)*(1/1.1),IF($G2555="",$I2555,$G2555)+(R$2*$M2555)))</f>
        <v/>
      </c>
      <c r="S2555" s="49">
        <f>IF($M2555="","",MAX(IF($G2555="",$I2555,$G2555)*(1/1.1),IF($G2555="",$I2555,$G2555)+(S$2*$M2555)))</f>
        <v/>
      </c>
      <c r="T2555" s="82" t="n"/>
      <c r="U2555" s="47">
        <f>IF(OR($M2555="",$T2555=""),"",$T2555+(U$2*$M2555))</f>
        <v/>
      </c>
      <c r="V2555" s="48">
        <f>IF(OR($M2555="",$T2555=""),"",$T2555+(V$2*$M2555))</f>
        <v/>
      </c>
      <c r="W2555" s="48">
        <f>IF(OR($M2555="",$T2555=""),"",$T2555+(W$2*$M2555))</f>
        <v/>
      </c>
      <c r="X2555" s="49">
        <f>IF(OR($M2555="",$T2555=""),"",$T2555+(X$2*$M2555))</f>
        <v/>
      </c>
      <c r="Y2555" s="47">
        <f>IF(OR($M2555="",$T2555=""),"",$T2555+(Y$2*$M2555))</f>
        <v/>
      </c>
      <c r="Z2555" s="49">
        <f>IF(OR($M2555="",$T2555=""),"",$T2555+(Z$2*$M2555))</f>
        <v/>
      </c>
      <c r="AA2555" s="51">
        <f>IF(OR($M2555="",$T2555=""),"",$T2555+(AA$2*$M2555))</f>
        <v/>
      </c>
      <c r="AB2555" s="48">
        <f>IF(OR($M2555="",$T2555=""),"",$T2555+(AB$2*$M2555))</f>
        <v/>
      </c>
      <c r="AC2555" s="48">
        <f>IF(OR($M2555="",$T2555=""),"",$T2555+(AC$2*$M2555))</f>
        <v/>
      </c>
      <c r="AD2555" s="48">
        <f>IF(OR($M2555="",$T2555=""),"",$T2555+(AD$2*$M2555))</f>
        <v/>
      </c>
      <c r="AE2555" s="49">
        <f>IF(OR($M2555="",$T2555=""),"",$T2555+(AE$2*$M2555))</f>
        <v/>
      </c>
      <c r="AF2555" s="52">
        <f>IF(OR(T2555="",I2555&lt;T2555),"",IFERROR(AVERAGE(T2555+M2555*{7,8,9,10,11})/IF(G2555="",I2555,G2555)-1,""))</f>
        <v/>
      </c>
      <c r="AG2555" s="55">
        <f>IF(OR(T2555="",I2555&lt;T2555),"",IFERROR(AF2555/-(R2555/IF(G2555="",I2555,G2555)-1),""))</f>
        <v/>
      </c>
      <c r="AH2555" s="94" t="n"/>
      <c r="AI2555" s="94" t="n"/>
      <c r="AJ2555" s="94" t="n"/>
      <c r="AK2555" s="94" t="n"/>
      <c r="AL2555" s="84" t="n"/>
    </row>
    <row r="2556">
      <c r="A2556" s="64" t="n"/>
      <c r="B2556" s="65" t="n"/>
      <c r="C2556" s="66" t="n"/>
      <c r="D2556" s="67" t="n"/>
      <c r="E2556" s="68" t="n"/>
      <c r="F2556" s="47">
        <f>IF(A2556="","",IF(MIN(H2556,MAX(J2556:K2556))=0,"",MIN(H2556,MAX(J2556:K2556))))</f>
        <v/>
      </c>
      <c r="G2556" s="74" t="n"/>
      <c r="H2556" s="49">
        <f>IF(M2556="","",IFERROR(ROUND(AVERAGE(T2556+M2556*{7,8,9,10,11})/1.21,4),""))</f>
        <v/>
      </c>
      <c r="I2556" s="76" t="n"/>
      <c r="J2556" s="77" t="n"/>
      <c r="K2556" s="74" t="n"/>
      <c r="L2556" s="78" t="n"/>
      <c r="M2556" s="77" t="n"/>
      <c r="N2556" s="53">
        <f>IF(M2556="","",IFERROR(M2556/I2556,""))</f>
        <v/>
      </c>
      <c r="O2556" s="50">
        <f>IF(A2556="","",IFERROR((IF(G2556="",I2556,G2556)-T2556)/M2556,""))</f>
        <v/>
      </c>
      <c r="P2556" s="50">
        <f>IFERROR((I2556/T2556-1)/N2556,"")</f>
        <v/>
      </c>
      <c r="Q2556" s="46">
        <f>IF(OR(T2556="",I2556&lt;T2556),"",IFERROR(R2556/IF(G2556="",I2556,G2556)-1,""))</f>
        <v/>
      </c>
      <c r="R2556" s="48">
        <f>IF($M2556="","",MAX(IF($G2556="",$I2556,$G2556)*(1/1.1),IF($G2556="",$I2556,$G2556)+(R$2*$M2556)))</f>
        <v/>
      </c>
      <c r="S2556" s="49">
        <f>IF($M2556="","",MAX(IF($G2556="",$I2556,$G2556)*(1/1.1),IF($G2556="",$I2556,$G2556)+(S$2*$M2556)))</f>
        <v/>
      </c>
      <c r="T2556" s="82" t="n"/>
      <c r="U2556" s="47">
        <f>IF(OR($M2556="",$T2556=""),"",$T2556+(U$2*$M2556))</f>
        <v/>
      </c>
      <c r="V2556" s="48">
        <f>IF(OR($M2556="",$T2556=""),"",$T2556+(V$2*$M2556))</f>
        <v/>
      </c>
      <c r="W2556" s="48">
        <f>IF(OR($M2556="",$T2556=""),"",$T2556+(W$2*$M2556))</f>
        <v/>
      </c>
      <c r="X2556" s="49">
        <f>IF(OR($M2556="",$T2556=""),"",$T2556+(X$2*$M2556))</f>
        <v/>
      </c>
      <c r="Y2556" s="47">
        <f>IF(OR($M2556="",$T2556=""),"",$T2556+(Y$2*$M2556))</f>
        <v/>
      </c>
      <c r="Z2556" s="49">
        <f>IF(OR($M2556="",$T2556=""),"",$T2556+(Z$2*$M2556))</f>
        <v/>
      </c>
      <c r="AA2556" s="51">
        <f>IF(OR($M2556="",$T2556=""),"",$T2556+(AA$2*$M2556))</f>
        <v/>
      </c>
      <c r="AB2556" s="48">
        <f>IF(OR($M2556="",$T2556=""),"",$T2556+(AB$2*$M2556))</f>
        <v/>
      </c>
      <c r="AC2556" s="48">
        <f>IF(OR($M2556="",$T2556=""),"",$T2556+(AC$2*$M2556))</f>
        <v/>
      </c>
      <c r="AD2556" s="48">
        <f>IF(OR($M2556="",$T2556=""),"",$T2556+(AD$2*$M2556))</f>
        <v/>
      </c>
      <c r="AE2556" s="49">
        <f>IF(OR($M2556="",$T2556=""),"",$T2556+(AE$2*$M2556))</f>
        <v/>
      </c>
      <c r="AF2556" s="52">
        <f>IF(OR(T2556="",I2556&lt;T2556),"",IFERROR(AVERAGE(T2556+M2556*{7,8,9,10,11})/IF(G2556="",I2556,G2556)-1,""))</f>
        <v/>
      </c>
      <c r="AG2556" s="55">
        <f>IF(OR(T2556="",I2556&lt;T2556),"",IFERROR(AF2556/-(R2556/IF(G2556="",I2556,G2556)-1),""))</f>
        <v/>
      </c>
      <c r="AH2556" s="94" t="n"/>
      <c r="AI2556" s="94" t="n"/>
      <c r="AJ2556" s="94" t="n"/>
      <c r="AK2556" s="94" t="n"/>
      <c r="AL2556" s="84" t="n"/>
    </row>
    <row r="2557">
      <c r="A2557" s="64" t="n"/>
      <c r="B2557" s="65" t="n"/>
      <c r="C2557" s="66" t="n"/>
      <c r="D2557" s="67" t="n"/>
      <c r="E2557" s="68" t="n"/>
      <c r="F2557" s="47">
        <f>IF(A2557="","",IF(MIN(H2557,MAX(J2557:K2557))=0,"",MIN(H2557,MAX(J2557:K2557))))</f>
        <v/>
      </c>
      <c r="G2557" s="74" t="n"/>
      <c r="H2557" s="49">
        <f>IF(M2557="","",IFERROR(ROUND(AVERAGE(T2557+M2557*{7,8,9,10,11})/1.21,4),""))</f>
        <v/>
      </c>
      <c r="I2557" s="76" t="n"/>
      <c r="J2557" s="77" t="n"/>
      <c r="K2557" s="74" t="n"/>
      <c r="L2557" s="78" t="n"/>
      <c r="M2557" s="77" t="n"/>
      <c r="N2557" s="53">
        <f>IF(M2557="","",IFERROR(M2557/I2557,""))</f>
        <v/>
      </c>
      <c r="O2557" s="50">
        <f>IF(A2557="","",IFERROR((IF(G2557="",I2557,G2557)-T2557)/M2557,""))</f>
        <v/>
      </c>
      <c r="P2557" s="50">
        <f>IFERROR((I2557/T2557-1)/N2557,"")</f>
        <v/>
      </c>
      <c r="Q2557" s="46">
        <f>IF(OR(T2557="",I2557&lt;T2557),"",IFERROR(R2557/IF(G2557="",I2557,G2557)-1,""))</f>
        <v/>
      </c>
      <c r="R2557" s="48">
        <f>IF($M2557="","",MAX(IF($G2557="",$I2557,$G2557)*(1/1.1),IF($G2557="",$I2557,$G2557)+(R$2*$M2557)))</f>
        <v/>
      </c>
      <c r="S2557" s="49">
        <f>IF($M2557="","",MAX(IF($G2557="",$I2557,$G2557)*(1/1.1),IF($G2557="",$I2557,$G2557)+(S$2*$M2557)))</f>
        <v/>
      </c>
      <c r="T2557" s="82" t="n"/>
      <c r="U2557" s="47">
        <f>IF(OR($M2557="",$T2557=""),"",$T2557+(U$2*$M2557))</f>
        <v/>
      </c>
      <c r="V2557" s="48">
        <f>IF(OR($M2557="",$T2557=""),"",$T2557+(V$2*$M2557))</f>
        <v/>
      </c>
      <c r="W2557" s="48">
        <f>IF(OR($M2557="",$T2557=""),"",$T2557+(W$2*$M2557))</f>
        <v/>
      </c>
      <c r="X2557" s="49">
        <f>IF(OR($M2557="",$T2557=""),"",$T2557+(X$2*$M2557))</f>
        <v/>
      </c>
      <c r="Y2557" s="47">
        <f>IF(OR($M2557="",$T2557=""),"",$T2557+(Y$2*$M2557))</f>
        <v/>
      </c>
      <c r="Z2557" s="49">
        <f>IF(OR($M2557="",$T2557=""),"",$T2557+(Z$2*$M2557))</f>
        <v/>
      </c>
      <c r="AA2557" s="51">
        <f>IF(OR($M2557="",$T2557=""),"",$T2557+(AA$2*$M2557))</f>
        <v/>
      </c>
      <c r="AB2557" s="48">
        <f>IF(OR($M2557="",$T2557=""),"",$T2557+(AB$2*$M2557))</f>
        <v/>
      </c>
      <c r="AC2557" s="48">
        <f>IF(OR($M2557="",$T2557=""),"",$T2557+(AC$2*$M2557))</f>
        <v/>
      </c>
      <c r="AD2557" s="48">
        <f>IF(OR($M2557="",$T2557=""),"",$T2557+(AD$2*$M2557))</f>
        <v/>
      </c>
      <c r="AE2557" s="49">
        <f>IF(OR($M2557="",$T2557=""),"",$T2557+(AE$2*$M2557))</f>
        <v/>
      </c>
      <c r="AF2557" s="52">
        <f>IF(OR(T2557="",I2557&lt;T2557),"",IFERROR(AVERAGE(T2557+M2557*{7,8,9,10,11})/IF(G2557="",I2557,G2557)-1,""))</f>
        <v/>
      </c>
      <c r="AG2557" s="55">
        <f>IF(OR(T2557="",I2557&lt;T2557),"",IFERROR(AF2557/-(R2557/IF(G2557="",I2557,G2557)-1),""))</f>
        <v/>
      </c>
      <c r="AH2557" s="94" t="n"/>
      <c r="AI2557" s="94" t="n"/>
      <c r="AJ2557" s="94" t="n"/>
      <c r="AK2557" s="94" t="n"/>
      <c r="AL2557" s="84" t="n"/>
    </row>
    <row r="2558">
      <c r="A2558" s="64" t="n"/>
      <c r="B2558" s="65" t="n"/>
      <c r="C2558" s="66" t="n"/>
      <c r="D2558" s="67" t="n"/>
      <c r="E2558" s="68" t="n"/>
      <c r="F2558" s="47">
        <f>IF(A2558="","",IF(MIN(H2558,MAX(J2558:K2558))=0,"",MIN(H2558,MAX(J2558:K2558))))</f>
        <v/>
      </c>
      <c r="G2558" s="74" t="n"/>
      <c r="H2558" s="49">
        <f>IF(M2558="","",IFERROR(ROUND(AVERAGE(T2558+M2558*{7,8,9,10,11})/1.21,4),""))</f>
        <v/>
      </c>
      <c r="I2558" s="76" t="n"/>
      <c r="J2558" s="77" t="n"/>
      <c r="K2558" s="74" t="n"/>
      <c r="L2558" s="78" t="n"/>
      <c r="M2558" s="77" t="n"/>
      <c r="N2558" s="53">
        <f>IF(M2558="","",IFERROR(M2558/I2558,""))</f>
        <v/>
      </c>
      <c r="O2558" s="50">
        <f>IF(A2558="","",IFERROR((IF(G2558="",I2558,G2558)-T2558)/M2558,""))</f>
        <v/>
      </c>
      <c r="P2558" s="50">
        <f>IFERROR((I2558/T2558-1)/N2558,"")</f>
        <v/>
      </c>
      <c r="Q2558" s="46">
        <f>IF(OR(T2558="",I2558&lt;T2558),"",IFERROR(R2558/IF(G2558="",I2558,G2558)-1,""))</f>
        <v/>
      </c>
      <c r="R2558" s="48">
        <f>IF($M2558="","",MAX(IF($G2558="",$I2558,$G2558)*(1/1.1),IF($G2558="",$I2558,$G2558)+(R$2*$M2558)))</f>
        <v/>
      </c>
      <c r="S2558" s="49">
        <f>IF($M2558="","",MAX(IF($G2558="",$I2558,$G2558)*(1/1.1),IF($G2558="",$I2558,$G2558)+(S$2*$M2558)))</f>
        <v/>
      </c>
      <c r="T2558" s="82" t="n"/>
      <c r="U2558" s="47">
        <f>IF(OR($M2558="",$T2558=""),"",$T2558+(U$2*$M2558))</f>
        <v/>
      </c>
      <c r="V2558" s="48">
        <f>IF(OR($M2558="",$T2558=""),"",$T2558+(V$2*$M2558))</f>
        <v/>
      </c>
      <c r="W2558" s="48">
        <f>IF(OR($M2558="",$T2558=""),"",$T2558+(W$2*$M2558))</f>
        <v/>
      </c>
      <c r="X2558" s="49">
        <f>IF(OR($M2558="",$T2558=""),"",$T2558+(X$2*$M2558))</f>
        <v/>
      </c>
      <c r="Y2558" s="47">
        <f>IF(OR($M2558="",$T2558=""),"",$T2558+(Y$2*$M2558))</f>
        <v/>
      </c>
      <c r="Z2558" s="49">
        <f>IF(OR($M2558="",$T2558=""),"",$T2558+(Z$2*$M2558))</f>
        <v/>
      </c>
      <c r="AA2558" s="51">
        <f>IF(OR($M2558="",$T2558=""),"",$T2558+(AA$2*$M2558))</f>
        <v/>
      </c>
      <c r="AB2558" s="48">
        <f>IF(OR($M2558="",$T2558=""),"",$T2558+(AB$2*$M2558))</f>
        <v/>
      </c>
      <c r="AC2558" s="48">
        <f>IF(OR($M2558="",$T2558=""),"",$T2558+(AC$2*$M2558))</f>
        <v/>
      </c>
      <c r="AD2558" s="48">
        <f>IF(OR($M2558="",$T2558=""),"",$T2558+(AD$2*$M2558))</f>
        <v/>
      </c>
      <c r="AE2558" s="49">
        <f>IF(OR($M2558="",$T2558=""),"",$T2558+(AE$2*$M2558))</f>
        <v/>
      </c>
      <c r="AF2558" s="52">
        <f>IF(OR(T2558="",I2558&lt;T2558),"",IFERROR(AVERAGE(T2558+M2558*{7,8,9,10,11})/IF(G2558="",I2558,G2558)-1,""))</f>
        <v/>
      </c>
      <c r="AG2558" s="55">
        <f>IF(OR(T2558="",I2558&lt;T2558),"",IFERROR(AF2558/-(R2558/IF(G2558="",I2558,G2558)-1),""))</f>
        <v/>
      </c>
      <c r="AH2558" s="94" t="n"/>
      <c r="AI2558" s="94" t="n"/>
      <c r="AJ2558" s="94" t="n"/>
      <c r="AK2558" s="94" t="n"/>
      <c r="AL2558" s="84" t="n"/>
    </row>
    <row r="2559">
      <c r="A2559" s="64" t="n"/>
      <c r="B2559" s="65" t="n"/>
      <c r="C2559" s="66" t="n"/>
      <c r="D2559" s="67" t="n"/>
      <c r="E2559" s="68" t="n"/>
      <c r="F2559" s="47">
        <f>IF(A2559="","",IF(MIN(H2559,MAX(J2559:K2559))=0,"",MIN(H2559,MAX(J2559:K2559))))</f>
        <v/>
      </c>
      <c r="G2559" s="74" t="n"/>
      <c r="H2559" s="49">
        <f>IF(M2559="","",IFERROR(ROUND(AVERAGE(T2559+M2559*{7,8,9,10,11})/1.21,4),""))</f>
        <v/>
      </c>
      <c r="I2559" s="76" t="n"/>
      <c r="J2559" s="77" t="n"/>
      <c r="K2559" s="74" t="n"/>
      <c r="L2559" s="78" t="n"/>
      <c r="M2559" s="77" t="n"/>
      <c r="N2559" s="53">
        <f>IF(M2559="","",IFERROR(M2559/I2559,""))</f>
        <v/>
      </c>
      <c r="O2559" s="50">
        <f>IF(A2559="","",IFERROR((IF(G2559="",I2559,G2559)-T2559)/M2559,""))</f>
        <v/>
      </c>
      <c r="P2559" s="50">
        <f>IFERROR((I2559/T2559-1)/N2559,"")</f>
        <v/>
      </c>
      <c r="Q2559" s="46">
        <f>IF(OR(T2559="",I2559&lt;T2559),"",IFERROR(R2559/IF(G2559="",I2559,G2559)-1,""))</f>
        <v/>
      </c>
      <c r="R2559" s="48">
        <f>IF($M2559="","",MAX(IF($G2559="",$I2559,$G2559)*(1/1.1),IF($G2559="",$I2559,$G2559)+(R$2*$M2559)))</f>
        <v/>
      </c>
      <c r="S2559" s="49">
        <f>IF($M2559="","",MAX(IF($G2559="",$I2559,$G2559)*(1/1.1),IF($G2559="",$I2559,$G2559)+(S$2*$M2559)))</f>
        <v/>
      </c>
      <c r="T2559" s="82" t="n"/>
      <c r="U2559" s="47">
        <f>IF(OR($M2559="",$T2559=""),"",$T2559+(U$2*$M2559))</f>
        <v/>
      </c>
      <c r="V2559" s="48">
        <f>IF(OR($M2559="",$T2559=""),"",$T2559+(V$2*$M2559))</f>
        <v/>
      </c>
      <c r="W2559" s="48">
        <f>IF(OR($M2559="",$T2559=""),"",$T2559+(W$2*$M2559))</f>
        <v/>
      </c>
      <c r="X2559" s="49">
        <f>IF(OR($M2559="",$T2559=""),"",$T2559+(X$2*$M2559))</f>
        <v/>
      </c>
      <c r="Y2559" s="47">
        <f>IF(OR($M2559="",$T2559=""),"",$T2559+(Y$2*$M2559))</f>
        <v/>
      </c>
      <c r="Z2559" s="49">
        <f>IF(OR($M2559="",$T2559=""),"",$T2559+(Z$2*$M2559))</f>
        <v/>
      </c>
      <c r="AA2559" s="51">
        <f>IF(OR($M2559="",$T2559=""),"",$T2559+(AA$2*$M2559))</f>
        <v/>
      </c>
      <c r="AB2559" s="48">
        <f>IF(OR($M2559="",$T2559=""),"",$T2559+(AB$2*$M2559))</f>
        <v/>
      </c>
      <c r="AC2559" s="48">
        <f>IF(OR($M2559="",$T2559=""),"",$T2559+(AC$2*$M2559))</f>
        <v/>
      </c>
      <c r="AD2559" s="48">
        <f>IF(OR($M2559="",$T2559=""),"",$T2559+(AD$2*$M2559))</f>
        <v/>
      </c>
      <c r="AE2559" s="49">
        <f>IF(OR($M2559="",$T2559=""),"",$T2559+(AE$2*$M2559))</f>
        <v/>
      </c>
      <c r="AF2559" s="52">
        <f>IF(OR(T2559="",I2559&lt;T2559),"",IFERROR(AVERAGE(T2559+M2559*{7,8,9,10,11})/IF(G2559="",I2559,G2559)-1,""))</f>
        <v/>
      </c>
      <c r="AG2559" s="55">
        <f>IF(OR(T2559="",I2559&lt;T2559),"",IFERROR(AF2559/-(R2559/IF(G2559="",I2559,G2559)-1),""))</f>
        <v/>
      </c>
      <c r="AH2559" s="94" t="n"/>
      <c r="AI2559" s="94" t="n"/>
      <c r="AJ2559" s="94" t="n"/>
      <c r="AK2559" s="94" t="n"/>
      <c r="AL2559" s="84" t="n"/>
    </row>
    <row r="2560">
      <c r="A2560" s="64" t="n"/>
      <c r="B2560" s="65" t="n"/>
      <c r="C2560" s="66" t="n"/>
      <c r="D2560" s="67" t="n"/>
      <c r="E2560" s="68" t="n"/>
      <c r="F2560" s="47">
        <f>IF(A2560="","",IF(MIN(H2560,MAX(J2560:K2560))=0,"",MIN(H2560,MAX(J2560:K2560))))</f>
        <v/>
      </c>
      <c r="G2560" s="74" t="n"/>
      <c r="H2560" s="49">
        <f>IF(M2560="","",IFERROR(ROUND(AVERAGE(T2560+M2560*{7,8,9,10,11})/1.21,4),""))</f>
        <v/>
      </c>
      <c r="I2560" s="76" t="n"/>
      <c r="J2560" s="77" t="n"/>
      <c r="K2560" s="74" t="n"/>
      <c r="L2560" s="78" t="n"/>
      <c r="M2560" s="77" t="n"/>
      <c r="N2560" s="53">
        <f>IF(M2560="","",IFERROR(M2560/I2560,""))</f>
        <v/>
      </c>
      <c r="O2560" s="50">
        <f>IF(A2560="","",IFERROR((IF(G2560="",I2560,G2560)-T2560)/M2560,""))</f>
        <v/>
      </c>
      <c r="P2560" s="50">
        <f>IFERROR((I2560/T2560-1)/N2560,"")</f>
        <v/>
      </c>
      <c r="Q2560" s="46">
        <f>IF(OR(T2560="",I2560&lt;T2560),"",IFERROR(R2560/IF(G2560="",I2560,G2560)-1,""))</f>
        <v/>
      </c>
      <c r="R2560" s="48">
        <f>IF($M2560="","",MAX(IF($G2560="",$I2560,$G2560)*(1/1.1),IF($G2560="",$I2560,$G2560)+(R$2*$M2560)))</f>
        <v/>
      </c>
      <c r="S2560" s="49">
        <f>IF($M2560="","",MAX(IF($G2560="",$I2560,$G2560)*(1/1.1),IF($G2560="",$I2560,$G2560)+(S$2*$M2560)))</f>
        <v/>
      </c>
      <c r="T2560" s="82" t="n"/>
      <c r="U2560" s="47">
        <f>IF(OR($M2560="",$T2560=""),"",$T2560+(U$2*$M2560))</f>
        <v/>
      </c>
      <c r="V2560" s="48">
        <f>IF(OR($M2560="",$T2560=""),"",$T2560+(V$2*$M2560))</f>
        <v/>
      </c>
      <c r="W2560" s="48">
        <f>IF(OR($M2560="",$T2560=""),"",$T2560+(W$2*$M2560))</f>
        <v/>
      </c>
      <c r="X2560" s="49">
        <f>IF(OR($M2560="",$T2560=""),"",$T2560+(X$2*$M2560))</f>
        <v/>
      </c>
      <c r="Y2560" s="47">
        <f>IF(OR($M2560="",$T2560=""),"",$T2560+(Y$2*$M2560))</f>
        <v/>
      </c>
      <c r="Z2560" s="49">
        <f>IF(OR($M2560="",$T2560=""),"",$T2560+(Z$2*$M2560))</f>
        <v/>
      </c>
      <c r="AA2560" s="51">
        <f>IF(OR($M2560="",$T2560=""),"",$T2560+(AA$2*$M2560))</f>
        <v/>
      </c>
      <c r="AB2560" s="48">
        <f>IF(OR($M2560="",$T2560=""),"",$T2560+(AB$2*$M2560))</f>
        <v/>
      </c>
      <c r="AC2560" s="48">
        <f>IF(OR($M2560="",$T2560=""),"",$T2560+(AC$2*$M2560))</f>
        <v/>
      </c>
      <c r="AD2560" s="48">
        <f>IF(OR($M2560="",$T2560=""),"",$T2560+(AD$2*$M2560))</f>
        <v/>
      </c>
      <c r="AE2560" s="49">
        <f>IF(OR($M2560="",$T2560=""),"",$T2560+(AE$2*$M2560))</f>
        <v/>
      </c>
      <c r="AF2560" s="52">
        <f>IF(OR(T2560="",I2560&lt;T2560),"",IFERROR(AVERAGE(T2560+M2560*{7,8,9,10,11})/IF(G2560="",I2560,G2560)-1,""))</f>
        <v/>
      </c>
      <c r="AG2560" s="55">
        <f>IF(OR(T2560="",I2560&lt;T2560),"",IFERROR(AF2560/-(R2560/IF(G2560="",I2560,G2560)-1),""))</f>
        <v/>
      </c>
      <c r="AH2560" s="94" t="n"/>
      <c r="AI2560" s="94" t="n"/>
      <c r="AJ2560" s="94" t="n"/>
      <c r="AK2560" s="94" t="n"/>
      <c r="AL2560" s="84" t="n"/>
    </row>
    <row r="2561">
      <c r="A2561" s="64" t="n"/>
      <c r="B2561" s="65" t="n"/>
      <c r="C2561" s="66" t="n"/>
      <c r="D2561" s="67" t="n"/>
      <c r="E2561" s="68" t="n"/>
      <c r="F2561" s="47">
        <f>IF(A2561="","",IF(MIN(H2561,MAX(J2561:K2561))=0,"",MIN(H2561,MAX(J2561:K2561))))</f>
        <v/>
      </c>
      <c r="G2561" s="74" t="n"/>
      <c r="H2561" s="49">
        <f>IF(M2561="","",IFERROR(ROUND(AVERAGE(T2561+M2561*{7,8,9,10,11})/1.21,4),""))</f>
        <v/>
      </c>
      <c r="I2561" s="76" t="n"/>
      <c r="J2561" s="77" t="n"/>
      <c r="K2561" s="74" t="n"/>
      <c r="L2561" s="78" t="n"/>
      <c r="M2561" s="77" t="n"/>
      <c r="N2561" s="53">
        <f>IF(M2561="","",IFERROR(M2561/I2561,""))</f>
        <v/>
      </c>
      <c r="O2561" s="50">
        <f>IF(A2561="","",IFERROR((IF(G2561="",I2561,G2561)-T2561)/M2561,""))</f>
        <v/>
      </c>
      <c r="P2561" s="50">
        <f>IFERROR((I2561/T2561-1)/N2561,"")</f>
        <v/>
      </c>
      <c r="Q2561" s="46">
        <f>IF(OR(T2561="",I2561&lt;T2561),"",IFERROR(R2561/IF(G2561="",I2561,G2561)-1,""))</f>
        <v/>
      </c>
      <c r="R2561" s="48">
        <f>IF($M2561="","",MAX(IF($G2561="",$I2561,$G2561)*(1/1.1),IF($G2561="",$I2561,$G2561)+(R$2*$M2561)))</f>
        <v/>
      </c>
      <c r="S2561" s="49">
        <f>IF($M2561="","",MAX(IF($G2561="",$I2561,$G2561)*(1/1.1),IF($G2561="",$I2561,$G2561)+(S$2*$M2561)))</f>
        <v/>
      </c>
      <c r="T2561" s="82" t="n"/>
      <c r="U2561" s="47">
        <f>IF(OR($M2561="",$T2561=""),"",$T2561+(U$2*$M2561))</f>
        <v/>
      </c>
      <c r="V2561" s="48">
        <f>IF(OR($M2561="",$T2561=""),"",$T2561+(V$2*$M2561))</f>
        <v/>
      </c>
      <c r="W2561" s="48">
        <f>IF(OR($M2561="",$T2561=""),"",$T2561+(W$2*$M2561))</f>
        <v/>
      </c>
      <c r="X2561" s="49">
        <f>IF(OR($M2561="",$T2561=""),"",$T2561+(X$2*$M2561))</f>
        <v/>
      </c>
      <c r="Y2561" s="47">
        <f>IF(OR($M2561="",$T2561=""),"",$T2561+(Y$2*$M2561))</f>
        <v/>
      </c>
      <c r="Z2561" s="49">
        <f>IF(OR($M2561="",$T2561=""),"",$T2561+(Z$2*$M2561))</f>
        <v/>
      </c>
      <c r="AA2561" s="51">
        <f>IF(OR($M2561="",$T2561=""),"",$T2561+(AA$2*$M2561))</f>
        <v/>
      </c>
      <c r="AB2561" s="48">
        <f>IF(OR($M2561="",$T2561=""),"",$T2561+(AB$2*$M2561))</f>
        <v/>
      </c>
      <c r="AC2561" s="48">
        <f>IF(OR($M2561="",$T2561=""),"",$T2561+(AC$2*$M2561))</f>
        <v/>
      </c>
      <c r="AD2561" s="48">
        <f>IF(OR($M2561="",$T2561=""),"",$T2561+(AD$2*$M2561))</f>
        <v/>
      </c>
      <c r="AE2561" s="49">
        <f>IF(OR($M2561="",$T2561=""),"",$T2561+(AE$2*$M2561))</f>
        <v/>
      </c>
      <c r="AF2561" s="52">
        <f>IF(OR(T2561="",I2561&lt;T2561),"",IFERROR(AVERAGE(T2561+M2561*{7,8,9,10,11})/IF(G2561="",I2561,G2561)-1,""))</f>
        <v/>
      </c>
      <c r="AG2561" s="55">
        <f>IF(OR(T2561="",I2561&lt;T2561),"",IFERROR(AF2561/-(R2561/IF(G2561="",I2561,G2561)-1),""))</f>
        <v/>
      </c>
      <c r="AH2561" s="94" t="n"/>
      <c r="AI2561" s="94" t="n"/>
      <c r="AJ2561" s="94" t="n"/>
      <c r="AK2561" s="94" t="n"/>
      <c r="AL2561" s="84" t="n"/>
    </row>
    <row r="2562">
      <c r="A2562" s="64" t="n"/>
      <c r="B2562" s="65" t="n"/>
      <c r="C2562" s="66" t="n"/>
      <c r="D2562" s="67" t="n"/>
      <c r="E2562" s="68" t="n"/>
      <c r="F2562" s="47">
        <f>IF(A2562="","",IF(MIN(H2562,MAX(J2562:K2562))=0,"",MIN(H2562,MAX(J2562:K2562))))</f>
        <v/>
      </c>
      <c r="G2562" s="74" t="n"/>
      <c r="H2562" s="49">
        <f>IF(M2562="","",IFERROR(ROUND(AVERAGE(T2562+M2562*{7,8,9,10,11})/1.21,4),""))</f>
        <v/>
      </c>
      <c r="I2562" s="76" t="n"/>
      <c r="J2562" s="77" t="n"/>
      <c r="K2562" s="74" t="n"/>
      <c r="L2562" s="78" t="n"/>
      <c r="M2562" s="77" t="n"/>
      <c r="N2562" s="53">
        <f>IF(M2562="","",IFERROR(M2562/I2562,""))</f>
        <v/>
      </c>
      <c r="O2562" s="50">
        <f>IF(A2562="","",IFERROR((IF(G2562="",I2562,G2562)-T2562)/M2562,""))</f>
        <v/>
      </c>
      <c r="P2562" s="50">
        <f>IFERROR((I2562/T2562-1)/N2562,"")</f>
        <v/>
      </c>
      <c r="Q2562" s="46">
        <f>IF(OR(T2562="",I2562&lt;T2562),"",IFERROR(R2562/IF(G2562="",I2562,G2562)-1,""))</f>
        <v/>
      </c>
      <c r="R2562" s="48">
        <f>IF($M2562="","",MAX(IF($G2562="",$I2562,$G2562)*(1/1.1),IF($G2562="",$I2562,$G2562)+(R$2*$M2562)))</f>
        <v/>
      </c>
      <c r="S2562" s="49">
        <f>IF($M2562="","",MAX(IF($G2562="",$I2562,$G2562)*(1/1.1),IF($G2562="",$I2562,$G2562)+(S$2*$M2562)))</f>
        <v/>
      </c>
      <c r="T2562" s="82" t="n"/>
      <c r="U2562" s="47">
        <f>IF(OR($M2562="",$T2562=""),"",$T2562+(U$2*$M2562))</f>
        <v/>
      </c>
      <c r="V2562" s="48">
        <f>IF(OR($M2562="",$T2562=""),"",$T2562+(V$2*$M2562))</f>
        <v/>
      </c>
      <c r="W2562" s="48">
        <f>IF(OR($M2562="",$T2562=""),"",$T2562+(W$2*$M2562))</f>
        <v/>
      </c>
      <c r="X2562" s="49">
        <f>IF(OR($M2562="",$T2562=""),"",$T2562+(X$2*$M2562))</f>
        <v/>
      </c>
      <c r="Y2562" s="47">
        <f>IF(OR($M2562="",$T2562=""),"",$T2562+(Y$2*$M2562))</f>
        <v/>
      </c>
      <c r="Z2562" s="49">
        <f>IF(OR($M2562="",$T2562=""),"",$T2562+(Z$2*$M2562))</f>
        <v/>
      </c>
      <c r="AA2562" s="51">
        <f>IF(OR($M2562="",$T2562=""),"",$T2562+(AA$2*$M2562))</f>
        <v/>
      </c>
      <c r="AB2562" s="48">
        <f>IF(OR($M2562="",$T2562=""),"",$T2562+(AB$2*$M2562))</f>
        <v/>
      </c>
      <c r="AC2562" s="48">
        <f>IF(OR($M2562="",$T2562=""),"",$T2562+(AC$2*$M2562))</f>
        <v/>
      </c>
      <c r="AD2562" s="48">
        <f>IF(OR($M2562="",$T2562=""),"",$T2562+(AD$2*$M2562))</f>
        <v/>
      </c>
      <c r="AE2562" s="49">
        <f>IF(OR($M2562="",$T2562=""),"",$T2562+(AE$2*$M2562))</f>
        <v/>
      </c>
      <c r="AF2562" s="52">
        <f>IF(OR(T2562="",I2562&lt;T2562),"",IFERROR(AVERAGE(T2562+M2562*{7,8,9,10,11})/IF(G2562="",I2562,G2562)-1,""))</f>
        <v/>
      </c>
      <c r="AG2562" s="55">
        <f>IF(OR(T2562="",I2562&lt;T2562),"",IFERROR(AF2562/-(R2562/IF(G2562="",I2562,G2562)-1),""))</f>
        <v/>
      </c>
      <c r="AH2562" s="94" t="n"/>
      <c r="AI2562" s="94" t="n"/>
      <c r="AJ2562" s="94" t="n"/>
      <c r="AK2562" s="94" t="n"/>
      <c r="AL2562" s="84" t="n"/>
    </row>
    <row r="2563">
      <c r="A2563" s="64" t="n"/>
      <c r="B2563" s="65" t="n"/>
      <c r="C2563" s="66" t="n"/>
      <c r="D2563" s="67" t="n"/>
      <c r="E2563" s="68" t="n"/>
      <c r="F2563" s="47">
        <f>IF(A2563="","",IF(MIN(H2563,MAX(J2563:K2563))=0,"",MIN(H2563,MAX(J2563:K2563))))</f>
        <v/>
      </c>
      <c r="G2563" s="74" t="n"/>
      <c r="H2563" s="49">
        <f>IF(M2563="","",IFERROR(ROUND(AVERAGE(T2563+M2563*{7,8,9,10,11})/1.21,4),""))</f>
        <v/>
      </c>
      <c r="I2563" s="76" t="n"/>
      <c r="J2563" s="77" t="n"/>
      <c r="K2563" s="74" t="n"/>
      <c r="L2563" s="78" t="n"/>
      <c r="M2563" s="77" t="n"/>
      <c r="N2563" s="53">
        <f>IF(M2563="","",IFERROR(M2563/I2563,""))</f>
        <v/>
      </c>
      <c r="O2563" s="50">
        <f>IF(A2563="","",IFERROR((IF(G2563="",I2563,G2563)-T2563)/M2563,""))</f>
        <v/>
      </c>
      <c r="P2563" s="50">
        <f>IFERROR((I2563/T2563-1)/N2563,"")</f>
        <v/>
      </c>
      <c r="Q2563" s="46">
        <f>IF(OR(T2563="",I2563&lt;T2563),"",IFERROR(R2563/IF(G2563="",I2563,G2563)-1,""))</f>
        <v/>
      </c>
      <c r="R2563" s="48">
        <f>IF($M2563="","",MAX(IF($G2563="",$I2563,$G2563)*(1/1.1),IF($G2563="",$I2563,$G2563)+(R$2*$M2563)))</f>
        <v/>
      </c>
      <c r="S2563" s="49">
        <f>IF($M2563="","",MAX(IF($G2563="",$I2563,$G2563)*(1/1.1),IF($G2563="",$I2563,$G2563)+(S$2*$M2563)))</f>
        <v/>
      </c>
      <c r="T2563" s="82" t="n"/>
      <c r="U2563" s="47">
        <f>IF(OR($M2563="",$T2563=""),"",$T2563+(U$2*$M2563))</f>
        <v/>
      </c>
      <c r="V2563" s="48">
        <f>IF(OR($M2563="",$T2563=""),"",$T2563+(V$2*$M2563))</f>
        <v/>
      </c>
      <c r="W2563" s="48">
        <f>IF(OR($M2563="",$T2563=""),"",$T2563+(W$2*$M2563))</f>
        <v/>
      </c>
      <c r="X2563" s="49">
        <f>IF(OR($M2563="",$T2563=""),"",$T2563+(X$2*$M2563))</f>
        <v/>
      </c>
      <c r="Y2563" s="47">
        <f>IF(OR($M2563="",$T2563=""),"",$T2563+(Y$2*$M2563))</f>
        <v/>
      </c>
      <c r="Z2563" s="49">
        <f>IF(OR($M2563="",$T2563=""),"",$T2563+(Z$2*$M2563))</f>
        <v/>
      </c>
      <c r="AA2563" s="51">
        <f>IF(OR($M2563="",$T2563=""),"",$T2563+(AA$2*$M2563))</f>
        <v/>
      </c>
      <c r="AB2563" s="48">
        <f>IF(OR($M2563="",$T2563=""),"",$T2563+(AB$2*$M2563))</f>
        <v/>
      </c>
      <c r="AC2563" s="48">
        <f>IF(OR($M2563="",$T2563=""),"",$T2563+(AC$2*$M2563))</f>
        <v/>
      </c>
      <c r="AD2563" s="48">
        <f>IF(OR($M2563="",$T2563=""),"",$T2563+(AD$2*$M2563))</f>
        <v/>
      </c>
      <c r="AE2563" s="49">
        <f>IF(OR($M2563="",$T2563=""),"",$T2563+(AE$2*$M2563))</f>
        <v/>
      </c>
      <c r="AF2563" s="52">
        <f>IF(OR(T2563="",I2563&lt;T2563),"",IFERROR(AVERAGE(T2563+M2563*{7,8,9,10,11})/IF(G2563="",I2563,G2563)-1,""))</f>
        <v/>
      </c>
      <c r="AG2563" s="55">
        <f>IF(OR(T2563="",I2563&lt;T2563),"",IFERROR(AF2563/-(R2563/IF(G2563="",I2563,G2563)-1),""))</f>
        <v/>
      </c>
      <c r="AH2563" s="94" t="n"/>
      <c r="AI2563" s="94" t="n"/>
      <c r="AJ2563" s="94" t="n"/>
      <c r="AK2563" s="94" t="n"/>
      <c r="AL2563" s="84" t="n"/>
    </row>
    <row r="2564">
      <c r="A2564" s="64" t="n"/>
      <c r="B2564" s="65" t="n"/>
      <c r="C2564" s="66" t="n"/>
      <c r="D2564" s="67" t="n"/>
      <c r="E2564" s="68" t="n"/>
      <c r="F2564" s="47">
        <f>IF(A2564="","",IF(MIN(H2564,MAX(J2564:K2564))=0,"",MIN(H2564,MAX(J2564:K2564))))</f>
        <v/>
      </c>
      <c r="G2564" s="74" t="n"/>
      <c r="H2564" s="49">
        <f>IF(M2564="","",IFERROR(ROUND(AVERAGE(T2564+M2564*{7,8,9,10,11})/1.21,4),""))</f>
        <v/>
      </c>
      <c r="I2564" s="76" t="n"/>
      <c r="J2564" s="77" t="n"/>
      <c r="K2564" s="74" t="n"/>
      <c r="L2564" s="78" t="n"/>
      <c r="M2564" s="77" t="n"/>
      <c r="N2564" s="53">
        <f>IF(M2564="","",IFERROR(M2564/I2564,""))</f>
        <v/>
      </c>
      <c r="O2564" s="50">
        <f>IF(A2564="","",IFERROR((IF(G2564="",I2564,G2564)-T2564)/M2564,""))</f>
        <v/>
      </c>
      <c r="P2564" s="50">
        <f>IFERROR((I2564/T2564-1)/N2564,"")</f>
        <v/>
      </c>
      <c r="Q2564" s="46">
        <f>IF(OR(T2564="",I2564&lt;T2564),"",IFERROR(R2564/IF(G2564="",I2564,G2564)-1,""))</f>
        <v/>
      </c>
      <c r="R2564" s="48">
        <f>IF($M2564="","",MAX(IF($G2564="",$I2564,$G2564)*(1/1.1),IF($G2564="",$I2564,$G2564)+(R$2*$M2564)))</f>
        <v/>
      </c>
      <c r="S2564" s="49">
        <f>IF($M2564="","",MAX(IF($G2564="",$I2564,$G2564)*(1/1.1),IF($G2564="",$I2564,$G2564)+(S$2*$M2564)))</f>
        <v/>
      </c>
      <c r="T2564" s="82" t="n"/>
      <c r="U2564" s="47">
        <f>IF(OR($M2564="",$T2564=""),"",$T2564+(U$2*$M2564))</f>
        <v/>
      </c>
      <c r="V2564" s="48">
        <f>IF(OR($M2564="",$T2564=""),"",$T2564+(V$2*$M2564))</f>
        <v/>
      </c>
      <c r="W2564" s="48">
        <f>IF(OR($M2564="",$T2564=""),"",$T2564+(W$2*$M2564))</f>
        <v/>
      </c>
      <c r="X2564" s="49">
        <f>IF(OR($M2564="",$T2564=""),"",$T2564+(X$2*$M2564))</f>
        <v/>
      </c>
      <c r="Y2564" s="47">
        <f>IF(OR($M2564="",$T2564=""),"",$T2564+(Y$2*$M2564))</f>
        <v/>
      </c>
      <c r="Z2564" s="49">
        <f>IF(OR($M2564="",$T2564=""),"",$T2564+(Z$2*$M2564))</f>
        <v/>
      </c>
      <c r="AA2564" s="51">
        <f>IF(OR($M2564="",$T2564=""),"",$T2564+(AA$2*$M2564))</f>
        <v/>
      </c>
      <c r="AB2564" s="48">
        <f>IF(OR($M2564="",$T2564=""),"",$T2564+(AB$2*$M2564))</f>
        <v/>
      </c>
      <c r="AC2564" s="48">
        <f>IF(OR($M2564="",$T2564=""),"",$T2564+(AC$2*$M2564))</f>
        <v/>
      </c>
      <c r="AD2564" s="48">
        <f>IF(OR($M2564="",$T2564=""),"",$T2564+(AD$2*$M2564))</f>
        <v/>
      </c>
      <c r="AE2564" s="49">
        <f>IF(OR($M2564="",$T2564=""),"",$T2564+(AE$2*$M2564))</f>
        <v/>
      </c>
      <c r="AF2564" s="52">
        <f>IF(OR(T2564="",I2564&lt;T2564),"",IFERROR(AVERAGE(T2564+M2564*{7,8,9,10,11})/IF(G2564="",I2564,G2564)-1,""))</f>
        <v/>
      </c>
      <c r="AG2564" s="55">
        <f>IF(OR(T2564="",I2564&lt;T2564),"",IFERROR(AF2564/-(R2564/IF(G2564="",I2564,G2564)-1),""))</f>
        <v/>
      </c>
      <c r="AH2564" s="94" t="n"/>
      <c r="AI2564" s="94" t="n"/>
      <c r="AJ2564" s="94" t="n"/>
      <c r="AK2564" s="94" t="n"/>
      <c r="AL2564" s="84" t="n"/>
    </row>
    <row r="2565">
      <c r="A2565" s="64" t="n"/>
      <c r="B2565" s="65" t="n"/>
      <c r="C2565" s="66" t="n"/>
      <c r="D2565" s="67" t="n"/>
      <c r="E2565" s="68" t="n"/>
      <c r="F2565" s="47">
        <f>IF(A2565="","",IF(MIN(H2565,MAX(J2565:K2565))=0,"",MIN(H2565,MAX(J2565:K2565))))</f>
        <v/>
      </c>
      <c r="G2565" s="74" t="n"/>
      <c r="H2565" s="49">
        <f>IF(M2565="","",IFERROR(ROUND(AVERAGE(T2565+M2565*{7,8,9,10,11})/1.21,4),""))</f>
        <v/>
      </c>
      <c r="I2565" s="76" t="n"/>
      <c r="J2565" s="77" t="n"/>
      <c r="K2565" s="74" t="n"/>
      <c r="L2565" s="78" t="n"/>
      <c r="M2565" s="77" t="n"/>
      <c r="N2565" s="53">
        <f>IF(M2565="","",IFERROR(M2565/I2565,""))</f>
        <v/>
      </c>
      <c r="O2565" s="50">
        <f>IF(A2565="","",IFERROR((IF(G2565="",I2565,G2565)-T2565)/M2565,""))</f>
        <v/>
      </c>
      <c r="P2565" s="50">
        <f>IFERROR((I2565/T2565-1)/N2565,"")</f>
        <v/>
      </c>
      <c r="Q2565" s="46">
        <f>IF(OR(T2565="",I2565&lt;T2565),"",IFERROR(R2565/IF(G2565="",I2565,G2565)-1,""))</f>
        <v/>
      </c>
      <c r="R2565" s="48">
        <f>IF($M2565="","",MAX(IF($G2565="",$I2565,$G2565)*(1/1.1),IF($G2565="",$I2565,$G2565)+(R$2*$M2565)))</f>
        <v/>
      </c>
      <c r="S2565" s="49">
        <f>IF($M2565="","",MAX(IF($G2565="",$I2565,$G2565)*(1/1.1),IF($G2565="",$I2565,$G2565)+(S$2*$M2565)))</f>
        <v/>
      </c>
      <c r="T2565" s="82" t="n"/>
      <c r="U2565" s="47">
        <f>IF(OR($M2565="",$T2565=""),"",$T2565+(U$2*$M2565))</f>
        <v/>
      </c>
      <c r="V2565" s="48">
        <f>IF(OR($M2565="",$T2565=""),"",$T2565+(V$2*$M2565))</f>
        <v/>
      </c>
      <c r="W2565" s="48">
        <f>IF(OR($M2565="",$T2565=""),"",$T2565+(W$2*$M2565))</f>
        <v/>
      </c>
      <c r="X2565" s="49">
        <f>IF(OR($M2565="",$T2565=""),"",$T2565+(X$2*$M2565))</f>
        <v/>
      </c>
      <c r="Y2565" s="47">
        <f>IF(OR($M2565="",$T2565=""),"",$T2565+(Y$2*$M2565))</f>
        <v/>
      </c>
      <c r="Z2565" s="49">
        <f>IF(OR($M2565="",$T2565=""),"",$T2565+(Z$2*$M2565))</f>
        <v/>
      </c>
      <c r="AA2565" s="51">
        <f>IF(OR($M2565="",$T2565=""),"",$T2565+(AA$2*$M2565))</f>
        <v/>
      </c>
      <c r="AB2565" s="48">
        <f>IF(OR($M2565="",$T2565=""),"",$T2565+(AB$2*$M2565))</f>
        <v/>
      </c>
      <c r="AC2565" s="48">
        <f>IF(OR($M2565="",$T2565=""),"",$T2565+(AC$2*$M2565))</f>
        <v/>
      </c>
      <c r="AD2565" s="48">
        <f>IF(OR($M2565="",$T2565=""),"",$T2565+(AD$2*$M2565))</f>
        <v/>
      </c>
      <c r="AE2565" s="49">
        <f>IF(OR($M2565="",$T2565=""),"",$T2565+(AE$2*$M2565))</f>
        <v/>
      </c>
      <c r="AF2565" s="52">
        <f>IF(OR(T2565="",I2565&lt;T2565),"",IFERROR(AVERAGE(T2565+M2565*{7,8,9,10,11})/IF(G2565="",I2565,G2565)-1,""))</f>
        <v/>
      </c>
      <c r="AG2565" s="55">
        <f>IF(OR(T2565="",I2565&lt;T2565),"",IFERROR(AF2565/-(R2565/IF(G2565="",I2565,G2565)-1),""))</f>
        <v/>
      </c>
      <c r="AH2565" s="94" t="n"/>
      <c r="AI2565" s="94" t="n"/>
      <c r="AJ2565" s="94" t="n"/>
      <c r="AK2565" s="94" t="n"/>
      <c r="AL2565" s="84" t="n"/>
    </row>
    <row r="2566">
      <c r="A2566" s="64" t="n"/>
      <c r="B2566" s="65" t="n"/>
      <c r="C2566" s="66" t="n"/>
      <c r="D2566" s="67" t="n"/>
      <c r="E2566" s="68" t="n"/>
      <c r="F2566" s="47">
        <f>IF(A2566="","",IF(MIN(H2566,MAX(J2566:K2566))=0,"",MIN(H2566,MAX(J2566:K2566))))</f>
        <v/>
      </c>
      <c r="G2566" s="74" t="n"/>
      <c r="H2566" s="49">
        <f>IF(M2566="","",IFERROR(ROUND(AVERAGE(T2566+M2566*{7,8,9,10,11})/1.21,4),""))</f>
        <v/>
      </c>
      <c r="I2566" s="76" t="n"/>
      <c r="J2566" s="77" t="n"/>
      <c r="K2566" s="74" t="n"/>
      <c r="L2566" s="78" t="n"/>
      <c r="M2566" s="77" t="n"/>
      <c r="N2566" s="53">
        <f>IF(M2566="","",IFERROR(M2566/I2566,""))</f>
        <v/>
      </c>
      <c r="O2566" s="50">
        <f>IF(A2566="","",IFERROR((IF(G2566="",I2566,G2566)-T2566)/M2566,""))</f>
        <v/>
      </c>
      <c r="P2566" s="50">
        <f>IFERROR((I2566/T2566-1)/N2566,"")</f>
        <v/>
      </c>
      <c r="Q2566" s="46">
        <f>IF(OR(T2566="",I2566&lt;T2566),"",IFERROR(R2566/IF(G2566="",I2566,G2566)-1,""))</f>
        <v/>
      </c>
      <c r="R2566" s="48">
        <f>IF($M2566="","",MAX(IF($G2566="",$I2566,$G2566)*(1/1.1),IF($G2566="",$I2566,$G2566)+(R$2*$M2566)))</f>
        <v/>
      </c>
      <c r="S2566" s="49">
        <f>IF($M2566="","",MAX(IF($G2566="",$I2566,$G2566)*(1/1.1),IF($G2566="",$I2566,$G2566)+(S$2*$M2566)))</f>
        <v/>
      </c>
      <c r="T2566" s="82" t="n"/>
      <c r="U2566" s="47">
        <f>IF(OR($M2566="",$T2566=""),"",$T2566+(U$2*$M2566))</f>
        <v/>
      </c>
      <c r="V2566" s="48">
        <f>IF(OR($M2566="",$T2566=""),"",$T2566+(V$2*$M2566))</f>
        <v/>
      </c>
      <c r="W2566" s="48">
        <f>IF(OR($M2566="",$T2566=""),"",$T2566+(W$2*$M2566))</f>
        <v/>
      </c>
      <c r="X2566" s="49">
        <f>IF(OR($M2566="",$T2566=""),"",$T2566+(X$2*$M2566))</f>
        <v/>
      </c>
      <c r="Y2566" s="47">
        <f>IF(OR($M2566="",$T2566=""),"",$T2566+(Y$2*$M2566))</f>
        <v/>
      </c>
      <c r="Z2566" s="49">
        <f>IF(OR($M2566="",$T2566=""),"",$T2566+(Z$2*$M2566))</f>
        <v/>
      </c>
      <c r="AA2566" s="51">
        <f>IF(OR($M2566="",$T2566=""),"",$T2566+(AA$2*$M2566))</f>
        <v/>
      </c>
      <c r="AB2566" s="48">
        <f>IF(OR($M2566="",$T2566=""),"",$T2566+(AB$2*$M2566))</f>
        <v/>
      </c>
      <c r="AC2566" s="48">
        <f>IF(OR($M2566="",$T2566=""),"",$T2566+(AC$2*$M2566))</f>
        <v/>
      </c>
      <c r="AD2566" s="48">
        <f>IF(OR($M2566="",$T2566=""),"",$T2566+(AD$2*$M2566))</f>
        <v/>
      </c>
      <c r="AE2566" s="49">
        <f>IF(OR($M2566="",$T2566=""),"",$T2566+(AE$2*$M2566))</f>
        <v/>
      </c>
      <c r="AF2566" s="52">
        <f>IF(OR(T2566="",I2566&lt;T2566),"",IFERROR(AVERAGE(T2566+M2566*{7,8,9,10,11})/IF(G2566="",I2566,G2566)-1,""))</f>
        <v/>
      </c>
      <c r="AG2566" s="55">
        <f>IF(OR(T2566="",I2566&lt;T2566),"",IFERROR(AF2566/-(R2566/IF(G2566="",I2566,G2566)-1),""))</f>
        <v/>
      </c>
      <c r="AH2566" s="94" t="n"/>
      <c r="AI2566" s="94" t="n"/>
      <c r="AJ2566" s="94" t="n"/>
      <c r="AK2566" s="94" t="n"/>
      <c r="AL2566" s="84" t="n"/>
    </row>
    <row r="2567">
      <c r="A2567" s="64" t="n"/>
      <c r="B2567" s="65" t="n"/>
      <c r="C2567" s="66" t="n"/>
      <c r="D2567" s="67" t="n"/>
      <c r="E2567" s="68" t="n"/>
      <c r="F2567" s="47">
        <f>IF(A2567="","",IF(MIN(H2567,MAX(J2567:K2567))=0,"",MIN(H2567,MAX(J2567:K2567))))</f>
        <v/>
      </c>
      <c r="G2567" s="74" t="n"/>
      <c r="H2567" s="49">
        <f>IF(M2567="","",IFERROR(ROUND(AVERAGE(T2567+M2567*{7,8,9,10,11})/1.21,4),""))</f>
        <v/>
      </c>
      <c r="I2567" s="76" t="n"/>
      <c r="J2567" s="77" t="n"/>
      <c r="K2567" s="74" t="n"/>
      <c r="L2567" s="78" t="n"/>
      <c r="M2567" s="77" t="n"/>
      <c r="N2567" s="53">
        <f>IF(M2567="","",IFERROR(M2567/I2567,""))</f>
        <v/>
      </c>
      <c r="O2567" s="50">
        <f>IF(A2567="","",IFERROR((IF(G2567="",I2567,G2567)-T2567)/M2567,""))</f>
        <v/>
      </c>
      <c r="P2567" s="50">
        <f>IFERROR((I2567/T2567-1)/N2567,"")</f>
        <v/>
      </c>
      <c r="Q2567" s="46">
        <f>IF(OR(T2567="",I2567&lt;T2567),"",IFERROR(R2567/IF(G2567="",I2567,G2567)-1,""))</f>
        <v/>
      </c>
      <c r="R2567" s="48">
        <f>IF($M2567="","",MAX(IF($G2567="",$I2567,$G2567)*(1/1.1),IF($G2567="",$I2567,$G2567)+(R$2*$M2567)))</f>
        <v/>
      </c>
      <c r="S2567" s="49">
        <f>IF($M2567="","",MAX(IF($G2567="",$I2567,$G2567)*(1/1.1),IF($G2567="",$I2567,$G2567)+(S$2*$M2567)))</f>
        <v/>
      </c>
      <c r="T2567" s="82" t="n"/>
      <c r="U2567" s="47">
        <f>IF(OR($M2567="",$T2567=""),"",$T2567+(U$2*$M2567))</f>
        <v/>
      </c>
      <c r="V2567" s="48">
        <f>IF(OR($M2567="",$T2567=""),"",$T2567+(V$2*$M2567))</f>
        <v/>
      </c>
      <c r="W2567" s="48">
        <f>IF(OR($M2567="",$T2567=""),"",$T2567+(W$2*$M2567))</f>
        <v/>
      </c>
      <c r="X2567" s="49">
        <f>IF(OR($M2567="",$T2567=""),"",$T2567+(X$2*$M2567))</f>
        <v/>
      </c>
      <c r="Y2567" s="47">
        <f>IF(OR($M2567="",$T2567=""),"",$T2567+(Y$2*$M2567))</f>
        <v/>
      </c>
      <c r="Z2567" s="49">
        <f>IF(OR($M2567="",$T2567=""),"",$T2567+(Z$2*$M2567))</f>
        <v/>
      </c>
      <c r="AA2567" s="51">
        <f>IF(OR($M2567="",$T2567=""),"",$T2567+(AA$2*$M2567))</f>
        <v/>
      </c>
      <c r="AB2567" s="48">
        <f>IF(OR($M2567="",$T2567=""),"",$T2567+(AB$2*$M2567))</f>
        <v/>
      </c>
      <c r="AC2567" s="48">
        <f>IF(OR($M2567="",$T2567=""),"",$T2567+(AC$2*$M2567))</f>
        <v/>
      </c>
      <c r="AD2567" s="48">
        <f>IF(OR($M2567="",$T2567=""),"",$T2567+(AD$2*$M2567))</f>
        <v/>
      </c>
      <c r="AE2567" s="49">
        <f>IF(OR($M2567="",$T2567=""),"",$T2567+(AE$2*$M2567))</f>
        <v/>
      </c>
      <c r="AF2567" s="52">
        <f>IF(OR(T2567="",I2567&lt;T2567),"",IFERROR(AVERAGE(T2567+M2567*{7,8,9,10,11})/IF(G2567="",I2567,G2567)-1,""))</f>
        <v/>
      </c>
      <c r="AG2567" s="55">
        <f>IF(OR(T2567="",I2567&lt;T2567),"",IFERROR(AF2567/-(R2567/IF(G2567="",I2567,G2567)-1),""))</f>
        <v/>
      </c>
      <c r="AH2567" s="94" t="n"/>
      <c r="AI2567" s="94" t="n"/>
      <c r="AJ2567" s="94" t="n"/>
      <c r="AK2567" s="94" t="n"/>
      <c r="AL2567" s="84" t="n"/>
    </row>
    <row r="2568">
      <c r="A2568" s="64" t="n"/>
      <c r="B2568" s="65" t="n"/>
      <c r="C2568" s="66" t="n"/>
      <c r="D2568" s="67" t="n"/>
      <c r="E2568" s="68" t="n"/>
      <c r="F2568" s="47">
        <f>IF(A2568="","",IF(MIN(H2568,MAX(J2568:K2568))=0,"",MIN(H2568,MAX(J2568:K2568))))</f>
        <v/>
      </c>
      <c r="G2568" s="74" t="n"/>
      <c r="H2568" s="49">
        <f>IF(M2568="","",IFERROR(ROUND(AVERAGE(T2568+M2568*{7,8,9,10,11})/1.21,4),""))</f>
        <v/>
      </c>
      <c r="I2568" s="76" t="n"/>
      <c r="J2568" s="77" t="n"/>
      <c r="K2568" s="74" t="n"/>
      <c r="L2568" s="78" t="n"/>
      <c r="M2568" s="77" t="n"/>
      <c r="N2568" s="53">
        <f>IF(M2568="","",IFERROR(M2568/I2568,""))</f>
        <v/>
      </c>
      <c r="O2568" s="50">
        <f>IF(A2568="","",IFERROR((IF(G2568="",I2568,G2568)-T2568)/M2568,""))</f>
        <v/>
      </c>
      <c r="P2568" s="50">
        <f>IFERROR((I2568/T2568-1)/N2568,"")</f>
        <v/>
      </c>
      <c r="Q2568" s="46">
        <f>IF(OR(T2568="",I2568&lt;T2568),"",IFERROR(R2568/IF(G2568="",I2568,G2568)-1,""))</f>
        <v/>
      </c>
      <c r="R2568" s="48">
        <f>IF($M2568="","",MAX(IF($G2568="",$I2568,$G2568)*(1/1.1),IF($G2568="",$I2568,$G2568)+(R$2*$M2568)))</f>
        <v/>
      </c>
      <c r="S2568" s="49">
        <f>IF($M2568="","",MAX(IF($G2568="",$I2568,$G2568)*(1/1.1),IF($G2568="",$I2568,$G2568)+(S$2*$M2568)))</f>
        <v/>
      </c>
      <c r="T2568" s="82" t="n"/>
      <c r="U2568" s="47">
        <f>IF(OR($M2568="",$T2568=""),"",$T2568+(U$2*$M2568))</f>
        <v/>
      </c>
      <c r="V2568" s="48">
        <f>IF(OR($M2568="",$T2568=""),"",$T2568+(V$2*$M2568))</f>
        <v/>
      </c>
      <c r="W2568" s="48">
        <f>IF(OR($M2568="",$T2568=""),"",$T2568+(W$2*$M2568))</f>
        <v/>
      </c>
      <c r="X2568" s="49">
        <f>IF(OR($M2568="",$T2568=""),"",$T2568+(X$2*$M2568))</f>
        <v/>
      </c>
      <c r="Y2568" s="47">
        <f>IF(OR($M2568="",$T2568=""),"",$T2568+(Y$2*$M2568))</f>
        <v/>
      </c>
      <c r="Z2568" s="49">
        <f>IF(OR($M2568="",$T2568=""),"",$T2568+(Z$2*$M2568))</f>
        <v/>
      </c>
      <c r="AA2568" s="51">
        <f>IF(OR($M2568="",$T2568=""),"",$T2568+(AA$2*$M2568))</f>
        <v/>
      </c>
      <c r="AB2568" s="48">
        <f>IF(OR($M2568="",$T2568=""),"",$T2568+(AB$2*$M2568))</f>
        <v/>
      </c>
      <c r="AC2568" s="48">
        <f>IF(OR($M2568="",$T2568=""),"",$T2568+(AC$2*$M2568))</f>
        <v/>
      </c>
      <c r="AD2568" s="48">
        <f>IF(OR($M2568="",$T2568=""),"",$T2568+(AD$2*$M2568))</f>
        <v/>
      </c>
      <c r="AE2568" s="49">
        <f>IF(OR($M2568="",$T2568=""),"",$T2568+(AE$2*$M2568))</f>
        <v/>
      </c>
      <c r="AF2568" s="52">
        <f>IF(OR(T2568="",I2568&lt;T2568),"",IFERROR(AVERAGE(T2568+M2568*{7,8,9,10,11})/IF(G2568="",I2568,G2568)-1,""))</f>
        <v/>
      </c>
      <c r="AG2568" s="55">
        <f>IF(OR(T2568="",I2568&lt;T2568),"",IFERROR(AF2568/-(R2568/IF(G2568="",I2568,G2568)-1),""))</f>
        <v/>
      </c>
      <c r="AH2568" s="94" t="n"/>
      <c r="AI2568" s="94" t="n"/>
      <c r="AJ2568" s="94" t="n"/>
      <c r="AK2568" s="94" t="n"/>
      <c r="AL2568" s="84" t="n"/>
    </row>
    <row r="2569">
      <c r="A2569" s="64" t="n"/>
      <c r="B2569" s="65" t="n"/>
      <c r="C2569" s="66" t="n"/>
      <c r="D2569" s="67" t="n"/>
      <c r="E2569" s="68" t="n"/>
      <c r="F2569" s="47">
        <f>IF(A2569="","",IF(MIN(H2569,MAX(J2569:K2569))=0,"",MIN(H2569,MAX(J2569:K2569))))</f>
        <v/>
      </c>
      <c r="G2569" s="74" t="n"/>
      <c r="H2569" s="49">
        <f>IF(M2569="","",IFERROR(ROUND(AVERAGE(T2569+M2569*{7,8,9,10,11})/1.21,4),""))</f>
        <v/>
      </c>
      <c r="I2569" s="76" t="n"/>
      <c r="J2569" s="77" t="n"/>
      <c r="K2569" s="74" t="n"/>
      <c r="L2569" s="78" t="n"/>
      <c r="M2569" s="77" t="n"/>
      <c r="N2569" s="53">
        <f>IF(M2569="","",IFERROR(M2569/I2569,""))</f>
        <v/>
      </c>
      <c r="O2569" s="50">
        <f>IF(A2569="","",IFERROR((IF(G2569="",I2569,G2569)-T2569)/M2569,""))</f>
        <v/>
      </c>
      <c r="P2569" s="50">
        <f>IFERROR((I2569/T2569-1)/N2569,"")</f>
        <v/>
      </c>
      <c r="Q2569" s="46">
        <f>IF(OR(T2569="",I2569&lt;T2569),"",IFERROR(R2569/IF(G2569="",I2569,G2569)-1,""))</f>
        <v/>
      </c>
      <c r="R2569" s="48">
        <f>IF($M2569="","",MAX(IF($G2569="",$I2569,$G2569)*(1/1.1),IF($G2569="",$I2569,$G2569)+(R$2*$M2569)))</f>
        <v/>
      </c>
      <c r="S2569" s="49">
        <f>IF($M2569="","",MAX(IF($G2569="",$I2569,$G2569)*(1/1.1),IF($G2569="",$I2569,$G2569)+(S$2*$M2569)))</f>
        <v/>
      </c>
      <c r="T2569" s="82" t="n"/>
      <c r="U2569" s="47">
        <f>IF(OR($M2569="",$T2569=""),"",$T2569+(U$2*$M2569))</f>
        <v/>
      </c>
      <c r="V2569" s="48">
        <f>IF(OR($M2569="",$T2569=""),"",$T2569+(V$2*$M2569))</f>
        <v/>
      </c>
      <c r="W2569" s="48">
        <f>IF(OR($M2569="",$T2569=""),"",$T2569+(W$2*$M2569))</f>
        <v/>
      </c>
      <c r="X2569" s="49">
        <f>IF(OR($M2569="",$T2569=""),"",$T2569+(X$2*$M2569))</f>
        <v/>
      </c>
      <c r="Y2569" s="47">
        <f>IF(OR($M2569="",$T2569=""),"",$T2569+(Y$2*$M2569))</f>
        <v/>
      </c>
      <c r="Z2569" s="49">
        <f>IF(OR($M2569="",$T2569=""),"",$T2569+(Z$2*$M2569))</f>
        <v/>
      </c>
      <c r="AA2569" s="51">
        <f>IF(OR($M2569="",$T2569=""),"",$T2569+(AA$2*$M2569))</f>
        <v/>
      </c>
      <c r="AB2569" s="48">
        <f>IF(OR($M2569="",$T2569=""),"",$T2569+(AB$2*$M2569))</f>
        <v/>
      </c>
      <c r="AC2569" s="48">
        <f>IF(OR($M2569="",$T2569=""),"",$T2569+(AC$2*$M2569))</f>
        <v/>
      </c>
      <c r="AD2569" s="48">
        <f>IF(OR($M2569="",$T2569=""),"",$T2569+(AD$2*$M2569))</f>
        <v/>
      </c>
      <c r="AE2569" s="49">
        <f>IF(OR($M2569="",$T2569=""),"",$T2569+(AE$2*$M2569))</f>
        <v/>
      </c>
      <c r="AF2569" s="52">
        <f>IF(OR(T2569="",I2569&lt;T2569),"",IFERROR(AVERAGE(T2569+M2569*{7,8,9,10,11})/IF(G2569="",I2569,G2569)-1,""))</f>
        <v/>
      </c>
      <c r="AG2569" s="55">
        <f>IF(OR(T2569="",I2569&lt;T2569),"",IFERROR(AF2569/-(R2569/IF(G2569="",I2569,G2569)-1),""))</f>
        <v/>
      </c>
      <c r="AH2569" s="94" t="n"/>
      <c r="AI2569" s="94" t="n"/>
      <c r="AJ2569" s="94" t="n"/>
      <c r="AK2569" s="94" t="n"/>
      <c r="AL2569" s="84" t="n"/>
    </row>
    <row r="2570">
      <c r="A2570" s="64" t="n"/>
      <c r="B2570" s="65" t="n"/>
      <c r="C2570" s="66" t="n"/>
      <c r="D2570" s="67" t="n"/>
      <c r="E2570" s="68" t="n"/>
      <c r="F2570" s="47">
        <f>IF(A2570="","",IF(MIN(H2570,MAX(J2570:K2570))=0,"",MIN(H2570,MAX(J2570:K2570))))</f>
        <v/>
      </c>
      <c r="G2570" s="74" t="n"/>
      <c r="H2570" s="49">
        <f>IF(M2570="","",IFERROR(ROUND(AVERAGE(T2570+M2570*{7,8,9,10,11})/1.21,4),""))</f>
        <v/>
      </c>
      <c r="I2570" s="76" t="n"/>
      <c r="J2570" s="77" t="n"/>
      <c r="K2570" s="74" t="n"/>
      <c r="L2570" s="78" t="n"/>
      <c r="M2570" s="77" t="n"/>
      <c r="N2570" s="53">
        <f>IF(M2570="","",IFERROR(M2570/I2570,""))</f>
        <v/>
      </c>
      <c r="O2570" s="50">
        <f>IF(A2570="","",IFERROR((IF(G2570="",I2570,G2570)-T2570)/M2570,""))</f>
        <v/>
      </c>
      <c r="P2570" s="50">
        <f>IFERROR((I2570/T2570-1)/N2570,"")</f>
        <v/>
      </c>
      <c r="Q2570" s="46">
        <f>IF(OR(T2570="",I2570&lt;T2570),"",IFERROR(R2570/IF(G2570="",I2570,G2570)-1,""))</f>
        <v/>
      </c>
      <c r="R2570" s="48">
        <f>IF($M2570="","",MAX(IF($G2570="",$I2570,$G2570)*(1/1.1),IF($G2570="",$I2570,$G2570)+(R$2*$M2570)))</f>
        <v/>
      </c>
      <c r="S2570" s="49">
        <f>IF($M2570="","",MAX(IF($G2570="",$I2570,$G2570)*(1/1.1),IF($G2570="",$I2570,$G2570)+(S$2*$M2570)))</f>
        <v/>
      </c>
      <c r="T2570" s="82" t="n"/>
      <c r="U2570" s="47">
        <f>IF(OR($M2570="",$T2570=""),"",$T2570+(U$2*$M2570))</f>
        <v/>
      </c>
      <c r="V2570" s="48">
        <f>IF(OR($M2570="",$T2570=""),"",$T2570+(V$2*$M2570))</f>
        <v/>
      </c>
      <c r="W2570" s="48">
        <f>IF(OR($M2570="",$T2570=""),"",$T2570+(W$2*$M2570))</f>
        <v/>
      </c>
      <c r="X2570" s="49">
        <f>IF(OR($M2570="",$T2570=""),"",$T2570+(X$2*$M2570))</f>
        <v/>
      </c>
      <c r="Y2570" s="47">
        <f>IF(OR($M2570="",$T2570=""),"",$T2570+(Y$2*$M2570))</f>
        <v/>
      </c>
      <c r="Z2570" s="49">
        <f>IF(OR($M2570="",$T2570=""),"",$T2570+(Z$2*$M2570))</f>
        <v/>
      </c>
      <c r="AA2570" s="51">
        <f>IF(OR($M2570="",$T2570=""),"",$T2570+(AA$2*$M2570))</f>
        <v/>
      </c>
      <c r="AB2570" s="48">
        <f>IF(OR($M2570="",$T2570=""),"",$T2570+(AB$2*$M2570))</f>
        <v/>
      </c>
      <c r="AC2570" s="48">
        <f>IF(OR($M2570="",$T2570=""),"",$T2570+(AC$2*$M2570))</f>
        <v/>
      </c>
      <c r="AD2570" s="48">
        <f>IF(OR($M2570="",$T2570=""),"",$T2570+(AD$2*$M2570))</f>
        <v/>
      </c>
      <c r="AE2570" s="49">
        <f>IF(OR($M2570="",$T2570=""),"",$T2570+(AE$2*$M2570))</f>
        <v/>
      </c>
      <c r="AF2570" s="52">
        <f>IF(OR(T2570="",I2570&lt;T2570),"",IFERROR(AVERAGE(T2570+M2570*{7,8,9,10,11})/IF(G2570="",I2570,G2570)-1,""))</f>
        <v/>
      </c>
      <c r="AG2570" s="55">
        <f>IF(OR(T2570="",I2570&lt;T2570),"",IFERROR(AF2570/-(R2570/IF(G2570="",I2570,G2570)-1),""))</f>
        <v/>
      </c>
      <c r="AH2570" s="94" t="n"/>
      <c r="AI2570" s="94" t="n"/>
      <c r="AJ2570" s="94" t="n"/>
      <c r="AK2570" s="94" t="n"/>
      <c r="AL2570" s="84" t="n"/>
    </row>
    <row r="2571">
      <c r="A2571" s="64" t="n"/>
      <c r="B2571" s="65" t="n"/>
      <c r="C2571" s="66" t="n"/>
      <c r="D2571" s="67" t="n"/>
      <c r="E2571" s="68" t="n"/>
      <c r="F2571" s="47">
        <f>IF(A2571="","",IF(MIN(H2571,MAX(J2571:K2571))=0,"",MIN(H2571,MAX(J2571:K2571))))</f>
        <v/>
      </c>
      <c r="G2571" s="74" t="n"/>
      <c r="H2571" s="49">
        <f>IF(M2571="","",IFERROR(ROUND(AVERAGE(T2571+M2571*{7,8,9,10,11})/1.21,4),""))</f>
        <v/>
      </c>
      <c r="I2571" s="76" t="n"/>
      <c r="J2571" s="77" t="n"/>
      <c r="K2571" s="74" t="n"/>
      <c r="L2571" s="78" t="n"/>
      <c r="M2571" s="77" t="n"/>
      <c r="N2571" s="53">
        <f>IF(M2571="","",IFERROR(M2571/I2571,""))</f>
        <v/>
      </c>
      <c r="O2571" s="50">
        <f>IF(A2571="","",IFERROR((IF(G2571="",I2571,G2571)-T2571)/M2571,""))</f>
        <v/>
      </c>
      <c r="P2571" s="50">
        <f>IFERROR((I2571/T2571-1)/N2571,"")</f>
        <v/>
      </c>
      <c r="Q2571" s="46">
        <f>IF(OR(T2571="",I2571&lt;T2571),"",IFERROR(R2571/IF(G2571="",I2571,G2571)-1,""))</f>
        <v/>
      </c>
      <c r="R2571" s="48">
        <f>IF($M2571="","",MAX(IF($G2571="",$I2571,$G2571)*(1/1.1),IF($G2571="",$I2571,$G2571)+(R$2*$M2571)))</f>
        <v/>
      </c>
      <c r="S2571" s="49">
        <f>IF($M2571="","",MAX(IF($G2571="",$I2571,$G2571)*(1/1.1),IF($G2571="",$I2571,$G2571)+(S$2*$M2571)))</f>
        <v/>
      </c>
      <c r="T2571" s="82" t="n"/>
      <c r="U2571" s="47">
        <f>IF(OR($M2571="",$T2571=""),"",$T2571+(U$2*$M2571))</f>
        <v/>
      </c>
      <c r="V2571" s="48">
        <f>IF(OR($M2571="",$T2571=""),"",$T2571+(V$2*$M2571))</f>
        <v/>
      </c>
      <c r="W2571" s="48">
        <f>IF(OR($M2571="",$T2571=""),"",$T2571+(W$2*$M2571))</f>
        <v/>
      </c>
      <c r="X2571" s="49">
        <f>IF(OR($M2571="",$T2571=""),"",$T2571+(X$2*$M2571))</f>
        <v/>
      </c>
      <c r="Y2571" s="47">
        <f>IF(OR($M2571="",$T2571=""),"",$T2571+(Y$2*$M2571))</f>
        <v/>
      </c>
      <c r="Z2571" s="49">
        <f>IF(OR($M2571="",$T2571=""),"",$T2571+(Z$2*$M2571))</f>
        <v/>
      </c>
      <c r="AA2571" s="51">
        <f>IF(OR($M2571="",$T2571=""),"",$T2571+(AA$2*$M2571))</f>
        <v/>
      </c>
      <c r="AB2571" s="48">
        <f>IF(OR($M2571="",$T2571=""),"",$T2571+(AB$2*$M2571))</f>
        <v/>
      </c>
      <c r="AC2571" s="48">
        <f>IF(OR($M2571="",$T2571=""),"",$T2571+(AC$2*$M2571))</f>
        <v/>
      </c>
      <c r="AD2571" s="48">
        <f>IF(OR($M2571="",$T2571=""),"",$T2571+(AD$2*$M2571))</f>
        <v/>
      </c>
      <c r="AE2571" s="49">
        <f>IF(OR($M2571="",$T2571=""),"",$T2571+(AE$2*$M2571))</f>
        <v/>
      </c>
      <c r="AF2571" s="52">
        <f>IF(OR(T2571="",I2571&lt;T2571),"",IFERROR(AVERAGE(T2571+M2571*{7,8,9,10,11})/IF(G2571="",I2571,G2571)-1,""))</f>
        <v/>
      </c>
      <c r="AG2571" s="55">
        <f>IF(OR(T2571="",I2571&lt;T2571),"",IFERROR(AF2571/-(R2571/IF(G2571="",I2571,G2571)-1),""))</f>
        <v/>
      </c>
      <c r="AH2571" s="94" t="n"/>
      <c r="AI2571" s="94" t="n"/>
      <c r="AJ2571" s="94" t="n"/>
      <c r="AK2571" s="94" t="n"/>
      <c r="AL2571" s="84" t="n"/>
    </row>
    <row r="2572">
      <c r="A2572" s="64" t="n"/>
      <c r="B2572" s="65" t="n"/>
      <c r="C2572" s="66" t="n"/>
      <c r="D2572" s="67" t="n"/>
      <c r="E2572" s="68" t="n"/>
      <c r="F2572" s="47">
        <f>IF(A2572="","",IF(MIN(H2572,MAX(J2572:K2572))=0,"",MIN(H2572,MAX(J2572:K2572))))</f>
        <v/>
      </c>
      <c r="G2572" s="74" t="n"/>
      <c r="H2572" s="49">
        <f>IF(M2572="","",IFERROR(ROUND(AVERAGE(T2572+M2572*{7,8,9,10,11})/1.21,4),""))</f>
        <v/>
      </c>
      <c r="I2572" s="76" t="n"/>
      <c r="J2572" s="77" t="n"/>
      <c r="K2572" s="74" t="n"/>
      <c r="L2572" s="78" t="n"/>
      <c r="M2572" s="77" t="n"/>
      <c r="N2572" s="53">
        <f>IF(M2572="","",IFERROR(M2572/I2572,""))</f>
        <v/>
      </c>
      <c r="O2572" s="50">
        <f>IF(A2572="","",IFERROR((IF(G2572="",I2572,G2572)-T2572)/M2572,""))</f>
        <v/>
      </c>
      <c r="P2572" s="50">
        <f>IFERROR((I2572/T2572-1)/N2572,"")</f>
        <v/>
      </c>
      <c r="Q2572" s="46">
        <f>IF(OR(T2572="",I2572&lt;T2572),"",IFERROR(R2572/IF(G2572="",I2572,G2572)-1,""))</f>
        <v/>
      </c>
      <c r="R2572" s="48">
        <f>IF($M2572="","",MAX(IF($G2572="",$I2572,$G2572)*(1/1.1),IF($G2572="",$I2572,$G2572)+(R$2*$M2572)))</f>
        <v/>
      </c>
      <c r="S2572" s="49">
        <f>IF($M2572="","",MAX(IF($G2572="",$I2572,$G2572)*(1/1.1),IF($G2572="",$I2572,$G2572)+(S$2*$M2572)))</f>
        <v/>
      </c>
      <c r="T2572" s="82" t="n"/>
      <c r="U2572" s="47">
        <f>IF(OR($M2572="",$T2572=""),"",$T2572+(U$2*$M2572))</f>
        <v/>
      </c>
      <c r="V2572" s="48">
        <f>IF(OR($M2572="",$T2572=""),"",$T2572+(V$2*$M2572))</f>
        <v/>
      </c>
      <c r="W2572" s="48">
        <f>IF(OR($M2572="",$T2572=""),"",$T2572+(W$2*$M2572))</f>
        <v/>
      </c>
      <c r="X2572" s="49">
        <f>IF(OR($M2572="",$T2572=""),"",$T2572+(X$2*$M2572))</f>
        <v/>
      </c>
      <c r="Y2572" s="47">
        <f>IF(OR($M2572="",$T2572=""),"",$T2572+(Y$2*$M2572))</f>
        <v/>
      </c>
      <c r="Z2572" s="49">
        <f>IF(OR($M2572="",$T2572=""),"",$T2572+(Z$2*$M2572))</f>
        <v/>
      </c>
      <c r="AA2572" s="51">
        <f>IF(OR($M2572="",$T2572=""),"",$T2572+(AA$2*$M2572))</f>
        <v/>
      </c>
      <c r="AB2572" s="48">
        <f>IF(OR($M2572="",$T2572=""),"",$T2572+(AB$2*$M2572))</f>
        <v/>
      </c>
      <c r="AC2572" s="48">
        <f>IF(OR($M2572="",$T2572=""),"",$T2572+(AC$2*$M2572))</f>
        <v/>
      </c>
      <c r="AD2572" s="48">
        <f>IF(OR($M2572="",$T2572=""),"",$T2572+(AD$2*$M2572))</f>
        <v/>
      </c>
      <c r="AE2572" s="49">
        <f>IF(OR($M2572="",$T2572=""),"",$T2572+(AE$2*$M2572))</f>
        <v/>
      </c>
      <c r="AF2572" s="52">
        <f>IF(OR(T2572="",I2572&lt;T2572),"",IFERROR(AVERAGE(T2572+M2572*{7,8,9,10,11})/IF(G2572="",I2572,G2572)-1,""))</f>
        <v/>
      </c>
      <c r="AG2572" s="55">
        <f>IF(OR(T2572="",I2572&lt;T2572),"",IFERROR(AF2572/-(R2572/IF(G2572="",I2572,G2572)-1),""))</f>
        <v/>
      </c>
      <c r="AH2572" s="94" t="n"/>
      <c r="AI2572" s="94" t="n"/>
      <c r="AJ2572" s="94" t="n"/>
      <c r="AK2572" s="94" t="n"/>
      <c r="AL2572" s="84" t="n"/>
    </row>
    <row r="2573">
      <c r="A2573" s="64" t="n"/>
      <c r="B2573" s="65" t="n"/>
      <c r="C2573" s="66" t="n"/>
      <c r="D2573" s="67" t="n"/>
      <c r="E2573" s="68" t="n"/>
      <c r="F2573" s="47">
        <f>IF(A2573="","",IF(MIN(H2573,MAX(J2573:K2573))=0,"",MIN(H2573,MAX(J2573:K2573))))</f>
        <v/>
      </c>
      <c r="G2573" s="74" t="n"/>
      <c r="H2573" s="49">
        <f>IF(M2573="","",IFERROR(ROUND(AVERAGE(T2573+M2573*{7,8,9,10,11})/1.21,4),""))</f>
        <v/>
      </c>
      <c r="I2573" s="76" t="n"/>
      <c r="J2573" s="77" t="n"/>
      <c r="K2573" s="74" t="n"/>
      <c r="L2573" s="78" t="n"/>
      <c r="M2573" s="77" t="n"/>
      <c r="N2573" s="53">
        <f>IF(M2573="","",IFERROR(M2573/I2573,""))</f>
        <v/>
      </c>
      <c r="O2573" s="50">
        <f>IF(A2573="","",IFERROR((IF(G2573="",I2573,G2573)-T2573)/M2573,""))</f>
        <v/>
      </c>
      <c r="P2573" s="50">
        <f>IFERROR((I2573/T2573-1)/N2573,"")</f>
        <v/>
      </c>
      <c r="Q2573" s="46">
        <f>IF(OR(T2573="",I2573&lt;T2573),"",IFERROR(R2573/IF(G2573="",I2573,G2573)-1,""))</f>
        <v/>
      </c>
      <c r="R2573" s="48">
        <f>IF($M2573="","",MAX(IF($G2573="",$I2573,$G2573)*(1/1.1),IF($G2573="",$I2573,$G2573)+(R$2*$M2573)))</f>
        <v/>
      </c>
      <c r="S2573" s="49">
        <f>IF($M2573="","",MAX(IF($G2573="",$I2573,$G2573)*(1/1.1),IF($G2573="",$I2573,$G2573)+(S$2*$M2573)))</f>
        <v/>
      </c>
      <c r="T2573" s="82" t="n"/>
      <c r="U2573" s="47">
        <f>IF(OR($M2573="",$T2573=""),"",$T2573+(U$2*$M2573))</f>
        <v/>
      </c>
      <c r="V2573" s="48">
        <f>IF(OR($M2573="",$T2573=""),"",$T2573+(V$2*$M2573))</f>
        <v/>
      </c>
      <c r="W2573" s="48">
        <f>IF(OR($M2573="",$T2573=""),"",$T2573+(W$2*$M2573))</f>
        <v/>
      </c>
      <c r="X2573" s="49">
        <f>IF(OR($M2573="",$T2573=""),"",$T2573+(X$2*$M2573))</f>
        <v/>
      </c>
      <c r="Y2573" s="47">
        <f>IF(OR($M2573="",$T2573=""),"",$T2573+(Y$2*$M2573))</f>
        <v/>
      </c>
      <c r="Z2573" s="49">
        <f>IF(OR($M2573="",$T2573=""),"",$T2573+(Z$2*$M2573))</f>
        <v/>
      </c>
      <c r="AA2573" s="51">
        <f>IF(OR($M2573="",$T2573=""),"",$T2573+(AA$2*$M2573))</f>
        <v/>
      </c>
      <c r="AB2573" s="48">
        <f>IF(OR($M2573="",$T2573=""),"",$T2573+(AB$2*$M2573))</f>
        <v/>
      </c>
      <c r="AC2573" s="48">
        <f>IF(OR($M2573="",$T2573=""),"",$T2573+(AC$2*$M2573))</f>
        <v/>
      </c>
      <c r="AD2573" s="48">
        <f>IF(OR($M2573="",$T2573=""),"",$T2573+(AD$2*$M2573))</f>
        <v/>
      </c>
      <c r="AE2573" s="49">
        <f>IF(OR($M2573="",$T2573=""),"",$T2573+(AE$2*$M2573))</f>
        <v/>
      </c>
      <c r="AF2573" s="52">
        <f>IF(OR(T2573="",I2573&lt;T2573),"",IFERROR(AVERAGE(T2573+M2573*{7,8,9,10,11})/IF(G2573="",I2573,G2573)-1,""))</f>
        <v/>
      </c>
      <c r="AG2573" s="55">
        <f>IF(OR(T2573="",I2573&lt;T2573),"",IFERROR(AF2573/-(R2573/IF(G2573="",I2573,G2573)-1),""))</f>
        <v/>
      </c>
      <c r="AH2573" s="94" t="n"/>
      <c r="AI2573" s="94" t="n"/>
      <c r="AJ2573" s="94" t="n"/>
      <c r="AK2573" s="94" t="n"/>
      <c r="AL2573" s="84" t="n"/>
    </row>
    <row r="2574">
      <c r="A2574" s="64" t="n"/>
      <c r="B2574" s="65" t="n"/>
      <c r="C2574" s="66" t="n"/>
      <c r="D2574" s="67" t="n"/>
      <c r="E2574" s="68" t="n"/>
      <c r="F2574" s="47">
        <f>IF(A2574="","",IF(MIN(H2574,MAX(J2574:K2574))=0,"",MIN(H2574,MAX(J2574:K2574))))</f>
        <v/>
      </c>
      <c r="G2574" s="74" t="n"/>
      <c r="H2574" s="49">
        <f>IF(M2574="","",IFERROR(ROUND(AVERAGE(T2574+M2574*{7,8,9,10,11})/1.21,4),""))</f>
        <v/>
      </c>
      <c r="I2574" s="76" t="n"/>
      <c r="J2574" s="77" t="n"/>
      <c r="K2574" s="74" t="n"/>
      <c r="L2574" s="78" t="n"/>
      <c r="M2574" s="77" t="n"/>
      <c r="N2574" s="53">
        <f>IF(M2574="","",IFERROR(M2574/I2574,""))</f>
        <v/>
      </c>
      <c r="O2574" s="50">
        <f>IF(A2574="","",IFERROR((IF(G2574="",I2574,G2574)-T2574)/M2574,""))</f>
        <v/>
      </c>
      <c r="P2574" s="50">
        <f>IFERROR((I2574/T2574-1)/N2574,"")</f>
        <v/>
      </c>
      <c r="Q2574" s="46">
        <f>IF(OR(T2574="",I2574&lt;T2574),"",IFERROR(R2574/IF(G2574="",I2574,G2574)-1,""))</f>
        <v/>
      </c>
      <c r="R2574" s="48">
        <f>IF($M2574="","",MAX(IF($G2574="",$I2574,$G2574)*(1/1.1),IF($G2574="",$I2574,$G2574)+(R$2*$M2574)))</f>
        <v/>
      </c>
      <c r="S2574" s="49">
        <f>IF($M2574="","",MAX(IF($G2574="",$I2574,$G2574)*(1/1.1),IF($G2574="",$I2574,$G2574)+(S$2*$M2574)))</f>
        <v/>
      </c>
      <c r="T2574" s="82" t="n"/>
      <c r="U2574" s="47">
        <f>IF(OR($M2574="",$T2574=""),"",$T2574+(U$2*$M2574))</f>
        <v/>
      </c>
      <c r="V2574" s="48">
        <f>IF(OR($M2574="",$T2574=""),"",$T2574+(V$2*$M2574))</f>
        <v/>
      </c>
      <c r="W2574" s="48">
        <f>IF(OR($M2574="",$T2574=""),"",$T2574+(W$2*$M2574))</f>
        <v/>
      </c>
      <c r="X2574" s="49">
        <f>IF(OR($M2574="",$T2574=""),"",$T2574+(X$2*$M2574))</f>
        <v/>
      </c>
      <c r="Y2574" s="47">
        <f>IF(OR($M2574="",$T2574=""),"",$T2574+(Y$2*$M2574))</f>
        <v/>
      </c>
      <c r="Z2574" s="49">
        <f>IF(OR($M2574="",$T2574=""),"",$T2574+(Z$2*$M2574))</f>
        <v/>
      </c>
      <c r="AA2574" s="51">
        <f>IF(OR($M2574="",$T2574=""),"",$T2574+(AA$2*$M2574))</f>
        <v/>
      </c>
      <c r="AB2574" s="48">
        <f>IF(OR($M2574="",$T2574=""),"",$T2574+(AB$2*$M2574))</f>
        <v/>
      </c>
      <c r="AC2574" s="48">
        <f>IF(OR($M2574="",$T2574=""),"",$T2574+(AC$2*$M2574))</f>
        <v/>
      </c>
      <c r="AD2574" s="48">
        <f>IF(OR($M2574="",$T2574=""),"",$T2574+(AD$2*$M2574))</f>
        <v/>
      </c>
      <c r="AE2574" s="49">
        <f>IF(OR($M2574="",$T2574=""),"",$T2574+(AE$2*$M2574))</f>
        <v/>
      </c>
      <c r="AF2574" s="52">
        <f>IF(OR(T2574="",I2574&lt;T2574),"",IFERROR(AVERAGE(T2574+M2574*{7,8,9,10,11})/IF(G2574="",I2574,G2574)-1,""))</f>
        <v/>
      </c>
      <c r="AG2574" s="55">
        <f>IF(OR(T2574="",I2574&lt;T2574),"",IFERROR(AF2574/-(R2574/IF(G2574="",I2574,G2574)-1),""))</f>
        <v/>
      </c>
      <c r="AH2574" s="94" t="n"/>
      <c r="AI2574" s="94" t="n"/>
      <c r="AJ2574" s="94" t="n"/>
      <c r="AK2574" s="94" t="n"/>
      <c r="AL2574" s="84" t="n"/>
    </row>
    <row r="2575">
      <c r="A2575" s="64" t="n"/>
      <c r="B2575" s="65" t="n"/>
      <c r="C2575" s="66" t="n"/>
      <c r="D2575" s="67" t="n"/>
      <c r="E2575" s="68" t="n"/>
      <c r="F2575" s="47">
        <f>IF(A2575="","",IF(MIN(H2575,MAX(J2575:K2575))=0,"",MIN(H2575,MAX(J2575:K2575))))</f>
        <v/>
      </c>
      <c r="G2575" s="74" t="n"/>
      <c r="H2575" s="49">
        <f>IF(M2575="","",IFERROR(ROUND(AVERAGE(T2575+M2575*{7,8,9,10,11})/1.21,4),""))</f>
        <v/>
      </c>
      <c r="I2575" s="76" t="n"/>
      <c r="J2575" s="77" t="n"/>
      <c r="K2575" s="74" t="n"/>
      <c r="L2575" s="78" t="n"/>
      <c r="M2575" s="77" t="n"/>
      <c r="N2575" s="53">
        <f>IF(M2575="","",IFERROR(M2575/I2575,""))</f>
        <v/>
      </c>
      <c r="O2575" s="50">
        <f>IF(A2575="","",IFERROR((IF(G2575="",I2575,G2575)-T2575)/M2575,""))</f>
        <v/>
      </c>
      <c r="P2575" s="50">
        <f>IFERROR((I2575/T2575-1)/N2575,"")</f>
        <v/>
      </c>
      <c r="Q2575" s="46">
        <f>IF(OR(T2575="",I2575&lt;T2575),"",IFERROR(R2575/IF(G2575="",I2575,G2575)-1,""))</f>
        <v/>
      </c>
      <c r="R2575" s="48">
        <f>IF($M2575="","",MAX(IF($G2575="",$I2575,$G2575)*(1/1.1),IF($G2575="",$I2575,$G2575)+(R$2*$M2575)))</f>
        <v/>
      </c>
      <c r="S2575" s="49">
        <f>IF($M2575="","",MAX(IF($G2575="",$I2575,$G2575)*(1/1.1),IF($G2575="",$I2575,$G2575)+(S$2*$M2575)))</f>
        <v/>
      </c>
      <c r="T2575" s="82" t="n"/>
      <c r="U2575" s="47">
        <f>IF(OR($M2575="",$T2575=""),"",$T2575+(U$2*$M2575))</f>
        <v/>
      </c>
      <c r="V2575" s="48">
        <f>IF(OR($M2575="",$T2575=""),"",$T2575+(V$2*$M2575))</f>
        <v/>
      </c>
      <c r="W2575" s="48">
        <f>IF(OR($M2575="",$T2575=""),"",$T2575+(W$2*$M2575))</f>
        <v/>
      </c>
      <c r="X2575" s="49">
        <f>IF(OR($M2575="",$T2575=""),"",$T2575+(X$2*$M2575))</f>
        <v/>
      </c>
      <c r="Y2575" s="47">
        <f>IF(OR($M2575="",$T2575=""),"",$T2575+(Y$2*$M2575))</f>
        <v/>
      </c>
      <c r="Z2575" s="49">
        <f>IF(OR($M2575="",$T2575=""),"",$T2575+(Z$2*$M2575))</f>
        <v/>
      </c>
      <c r="AA2575" s="51">
        <f>IF(OR($M2575="",$T2575=""),"",$T2575+(AA$2*$M2575))</f>
        <v/>
      </c>
      <c r="AB2575" s="48">
        <f>IF(OR($M2575="",$T2575=""),"",$T2575+(AB$2*$M2575))</f>
        <v/>
      </c>
      <c r="AC2575" s="48">
        <f>IF(OR($M2575="",$T2575=""),"",$T2575+(AC$2*$M2575))</f>
        <v/>
      </c>
      <c r="AD2575" s="48">
        <f>IF(OR($M2575="",$T2575=""),"",$T2575+(AD$2*$M2575))</f>
        <v/>
      </c>
      <c r="AE2575" s="49">
        <f>IF(OR($M2575="",$T2575=""),"",$T2575+(AE$2*$M2575))</f>
        <v/>
      </c>
      <c r="AF2575" s="52">
        <f>IF(OR(T2575="",I2575&lt;T2575),"",IFERROR(AVERAGE(T2575+M2575*{7,8,9,10,11})/IF(G2575="",I2575,G2575)-1,""))</f>
        <v/>
      </c>
      <c r="AG2575" s="55">
        <f>IF(OR(T2575="",I2575&lt;T2575),"",IFERROR(AF2575/-(R2575/IF(G2575="",I2575,G2575)-1),""))</f>
        <v/>
      </c>
      <c r="AH2575" s="94" t="n"/>
      <c r="AI2575" s="94" t="n"/>
      <c r="AJ2575" s="94" t="n"/>
      <c r="AK2575" s="94" t="n"/>
      <c r="AL2575" s="84" t="n"/>
    </row>
    <row r="2576">
      <c r="A2576" s="64" t="n"/>
      <c r="B2576" s="65" t="n"/>
      <c r="C2576" s="66" t="n"/>
      <c r="D2576" s="67" t="n"/>
      <c r="E2576" s="68" t="n"/>
      <c r="F2576" s="47">
        <f>IF(A2576="","",IF(MIN(H2576,MAX(J2576:K2576))=0,"",MIN(H2576,MAX(J2576:K2576))))</f>
        <v/>
      </c>
      <c r="G2576" s="74" t="n"/>
      <c r="H2576" s="49">
        <f>IF(M2576="","",IFERROR(ROUND(AVERAGE(T2576+M2576*{7,8,9,10,11})/1.21,4),""))</f>
        <v/>
      </c>
      <c r="I2576" s="76" t="n"/>
      <c r="J2576" s="77" t="n"/>
      <c r="K2576" s="74" t="n"/>
      <c r="L2576" s="78" t="n"/>
      <c r="M2576" s="77" t="n"/>
      <c r="N2576" s="53">
        <f>IF(M2576="","",IFERROR(M2576/I2576,""))</f>
        <v/>
      </c>
      <c r="O2576" s="50">
        <f>IF(A2576="","",IFERROR((IF(G2576="",I2576,G2576)-T2576)/M2576,""))</f>
        <v/>
      </c>
      <c r="P2576" s="50">
        <f>IFERROR((I2576/T2576-1)/N2576,"")</f>
        <v/>
      </c>
      <c r="Q2576" s="46">
        <f>IF(OR(T2576="",I2576&lt;T2576),"",IFERROR(R2576/IF(G2576="",I2576,G2576)-1,""))</f>
        <v/>
      </c>
      <c r="R2576" s="48">
        <f>IF($M2576="","",MAX(IF($G2576="",$I2576,$G2576)*(1/1.1),IF($G2576="",$I2576,$G2576)+(R$2*$M2576)))</f>
        <v/>
      </c>
      <c r="S2576" s="49">
        <f>IF($M2576="","",MAX(IF($G2576="",$I2576,$G2576)*(1/1.1),IF($G2576="",$I2576,$G2576)+(S$2*$M2576)))</f>
        <v/>
      </c>
      <c r="T2576" s="82" t="n"/>
      <c r="U2576" s="47">
        <f>IF(OR($M2576="",$T2576=""),"",$T2576+(U$2*$M2576))</f>
        <v/>
      </c>
      <c r="V2576" s="48">
        <f>IF(OR($M2576="",$T2576=""),"",$T2576+(V$2*$M2576))</f>
        <v/>
      </c>
      <c r="W2576" s="48">
        <f>IF(OR($M2576="",$T2576=""),"",$T2576+(W$2*$M2576))</f>
        <v/>
      </c>
      <c r="X2576" s="49">
        <f>IF(OR($M2576="",$T2576=""),"",$T2576+(X$2*$M2576))</f>
        <v/>
      </c>
      <c r="Y2576" s="47">
        <f>IF(OR($M2576="",$T2576=""),"",$T2576+(Y$2*$M2576))</f>
        <v/>
      </c>
      <c r="Z2576" s="49">
        <f>IF(OR($M2576="",$T2576=""),"",$T2576+(Z$2*$M2576))</f>
        <v/>
      </c>
      <c r="AA2576" s="51">
        <f>IF(OR($M2576="",$T2576=""),"",$T2576+(AA$2*$M2576))</f>
        <v/>
      </c>
      <c r="AB2576" s="48">
        <f>IF(OR($M2576="",$T2576=""),"",$T2576+(AB$2*$M2576))</f>
        <v/>
      </c>
      <c r="AC2576" s="48">
        <f>IF(OR($M2576="",$T2576=""),"",$T2576+(AC$2*$M2576))</f>
        <v/>
      </c>
      <c r="AD2576" s="48">
        <f>IF(OR($M2576="",$T2576=""),"",$T2576+(AD$2*$M2576))</f>
        <v/>
      </c>
      <c r="AE2576" s="49">
        <f>IF(OR($M2576="",$T2576=""),"",$T2576+(AE$2*$M2576))</f>
        <v/>
      </c>
      <c r="AF2576" s="52">
        <f>IF(OR(T2576="",I2576&lt;T2576),"",IFERROR(AVERAGE(T2576+M2576*{7,8,9,10,11})/IF(G2576="",I2576,G2576)-1,""))</f>
        <v/>
      </c>
      <c r="AG2576" s="55">
        <f>IF(OR(T2576="",I2576&lt;T2576),"",IFERROR(AF2576/-(R2576/IF(G2576="",I2576,G2576)-1),""))</f>
        <v/>
      </c>
      <c r="AH2576" s="94" t="n"/>
      <c r="AI2576" s="94" t="n"/>
      <c r="AJ2576" s="94" t="n"/>
      <c r="AK2576" s="94" t="n"/>
      <c r="AL2576" s="84" t="n"/>
    </row>
    <row r="2577">
      <c r="A2577" s="64" t="n"/>
      <c r="B2577" s="65" t="n"/>
      <c r="C2577" s="66" t="n"/>
      <c r="D2577" s="67" t="n"/>
      <c r="E2577" s="68" t="n"/>
      <c r="F2577" s="47">
        <f>IF(A2577="","",IF(MIN(H2577,MAX(J2577:K2577))=0,"",MIN(H2577,MAX(J2577:K2577))))</f>
        <v/>
      </c>
      <c r="G2577" s="74" t="n"/>
      <c r="H2577" s="49">
        <f>IF(M2577="","",IFERROR(ROUND(AVERAGE(T2577+M2577*{7,8,9,10,11})/1.21,4),""))</f>
        <v/>
      </c>
      <c r="I2577" s="76" t="n"/>
      <c r="J2577" s="77" t="n"/>
      <c r="K2577" s="74" t="n"/>
      <c r="L2577" s="78" t="n"/>
      <c r="M2577" s="77" t="n"/>
      <c r="N2577" s="53">
        <f>IF(M2577="","",IFERROR(M2577/I2577,""))</f>
        <v/>
      </c>
      <c r="O2577" s="50">
        <f>IF(A2577="","",IFERROR((IF(G2577="",I2577,G2577)-T2577)/M2577,""))</f>
        <v/>
      </c>
      <c r="P2577" s="50">
        <f>IFERROR((I2577/T2577-1)/N2577,"")</f>
        <v/>
      </c>
      <c r="Q2577" s="46">
        <f>IF(OR(T2577="",I2577&lt;T2577),"",IFERROR(R2577/IF(G2577="",I2577,G2577)-1,""))</f>
        <v/>
      </c>
      <c r="R2577" s="48">
        <f>IF($M2577="","",MAX(IF($G2577="",$I2577,$G2577)*(1/1.1),IF($G2577="",$I2577,$G2577)+(R$2*$M2577)))</f>
        <v/>
      </c>
      <c r="S2577" s="49">
        <f>IF($M2577="","",MAX(IF($G2577="",$I2577,$G2577)*(1/1.1),IF($G2577="",$I2577,$G2577)+(S$2*$M2577)))</f>
        <v/>
      </c>
      <c r="T2577" s="82" t="n"/>
      <c r="U2577" s="47">
        <f>IF(OR($M2577="",$T2577=""),"",$T2577+(U$2*$M2577))</f>
        <v/>
      </c>
      <c r="V2577" s="48">
        <f>IF(OR($M2577="",$T2577=""),"",$T2577+(V$2*$M2577))</f>
        <v/>
      </c>
      <c r="W2577" s="48">
        <f>IF(OR($M2577="",$T2577=""),"",$T2577+(W$2*$M2577))</f>
        <v/>
      </c>
      <c r="X2577" s="49">
        <f>IF(OR($M2577="",$T2577=""),"",$T2577+(X$2*$M2577))</f>
        <v/>
      </c>
      <c r="Y2577" s="47">
        <f>IF(OR($M2577="",$T2577=""),"",$T2577+(Y$2*$M2577))</f>
        <v/>
      </c>
      <c r="Z2577" s="49">
        <f>IF(OR($M2577="",$T2577=""),"",$T2577+(Z$2*$M2577))</f>
        <v/>
      </c>
      <c r="AA2577" s="51">
        <f>IF(OR($M2577="",$T2577=""),"",$T2577+(AA$2*$M2577))</f>
        <v/>
      </c>
      <c r="AB2577" s="48">
        <f>IF(OR($M2577="",$T2577=""),"",$T2577+(AB$2*$M2577))</f>
        <v/>
      </c>
      <c r="AC2577" s="48">
        <f>IF(OR($M2577="",$T2577=""),"",$T2577+(AC$2*$M2577))</f>
        <v/>
      </c>
      <c r="AD2577" s="48">
        <f>IF(OR($M2577="",$T2577=""),"",$T2577+(AD$2*$M2577))</f>
        <v/>
      </c>
      <c r="AE2577" s="49">
        <f>IF(OR($M2577="",$T2577=""),"",$T2577+(AE$2*$M2577))</f>
        <v/>
      </c>
      <c r="AF2577" s="52">
        <f>IF(OR(T2577="",I2577&lt;T2577),"",IFERROR(AVERAGE(T2577+M2577*{7,8,9,10,11})/IF(G2577="",I2577,G2577)-1,""))</f>
        <v/>
      </c>
      <c r="AG2577" s="55">
        <f>IF(OR(T2577="",I2577&lt;T2577),"",IFERROR(AF2577/-(R2577/IF(G2577="",I2577,G2577)-1),""))</f>
        <v/>
      </c>
      <c r="AH2577" s="94" t="n"/>
      <c r="AI2577" s="94" t="n"/>
      <c r="AJ2577" s="94" t="n"/>
      <c r="AK2577" s="94" t="n"/>
      <c r="AL2577" s="84" t="n"/>
    </row>
    <row r="2578">
      <c r="A2578" s="64" t="n"/>
      <c r="B2578" s="65" t="n"/>
      <c r="C2578" s="66" t="n"/>
      <c r="D2578" s="67" t="n"/>
      <c r="E2578" s="68" t="n"/>
      <c r="F2578" s="47">
        <f>IF(A2578="","",IF(MIN(H2578,MAX(J2578:K2578))=0,"",MIN(H2578,MAX(J2578:K2578))))</f>
        <v/>
      </c>
      <c r="G2578" s="74" t="n"/>
      <c r="H2578" s="49">
        <f>IF(M2578="","",IFERROR(ROUND(AVERAGE(T2578+M2578*{7,8,9,10,11})/1.21,4),""))</f>
        <v/>
      </c>
      <c r="I2578" s="76" t="n"/>
      <c r="J2578" s="77" t="n"/>
      <c r="K2578" s="74" t="n"/>
      <c r="L2578" s="78" t="n"/>
      <c r="M2578" s="77" t="n"/>
      <c r="N2578" s="53">
        <f>IF(M2578="","",IFERROR(M2578/I2578,""))</f>
        <v/>
      </c>
      <c r="O2578" s="50">
        <f>IF(A2578="","",IFERROR((IF(G2578="",I2578,G2578)-T2578)/M2578,""))</f>
        <v/>
      </c>
      <c r="P2578" s="50">
        <f>IFERROR((I2578/T2578-1)/N2578,"")</f>
        <v/>
      </c>
      <c r="Q2578" s="46">
        <f>IF(OR(T2578="",I2578&lt;T2578),"",IFERROR(R2578/IF(G2578="",I2578,G2578)-1,""))</f>
        <v/>
      </c>
      <c r="R2578" s="48">
        <f>IF($M2578="","",MAX(IF($G2578="",$I2578,$G2578)*(1/1.1),IF($G2578="",$I2578,$G2578)+(R$2*$M2578)))</f>
        <v/>
      </c>
      <c r="S2578" s="49">
        <f>IF($M2578="","",MAX(IF($G2578="",$I2578,$G2578)*(1/1.1),IF($G2578="",$I2578,$G2578)+(S$2*$M2578)))</f>
        <v/>
      </c>
      <c r="T2578" s="82" t="n"/>
      <c r="U2578" s="47">
        <f>IF(OR($M2578="",$T2578=""),"",$T2578+(U$2*$M2578))</f>
        <v/>
      </c>
      <c r="V2578" s="48">
        <f>IF(OR($M2578="",$T2578=""),"",$T2578+(V$2*$M2578))</f>
        <v/>
      </c>
      <c r="W2578" s="48">
        <f>IF(OR($M2578="",$T2578=""),"",$T2578+(W$2*$M2578))</f>
        <v/>
      </c>
      <c r="X2578" s="49">
        <f>IF(OR($M2578="",$T2578=""),"",$T2578+(X$2*$M2578))</f>
        <v/>
      </c>
      <c r="Y2578" s="47">
        <f>IF(OR($M2578="",$T2578=""),"",$T2578+(Y$2*$M2578))</f>
        <v/>
      </c>
      <c r="Z2578" s="49">
        <f>IF(OR($M2578="",$T2578=""),"",$T2578+(Z$2*$M2578))</f>
        <v/>
      </c>
      <c r="AA2578" s="51">
        <f>IF(OR($M2578="",$T2578=""),"",$T2578+(AA$2*$M2578))</f>
        <v/>
      </c>
      <c r="AB2578" s="48">
        <f>IF(OR($M2578="",$T2578=""),"",$T2578+(AB$2*$M2578))</f>
        <v/>
      </c>
      <c r="AC2578" s="48">
        <f>IF(OR($M2578="",$T2578=""),"",$T2578+(AC$2*$M2578))</f>
        <v/>
      </c>
      <c r="AD2578" s="48">
        <f>IF(OR($M2578="",$T2578=""),"",$T2578+(AD$2*$M2578))</f>
        <v/>
      </c>
      <c r="AE2578" s="49">
        <f>IF(OR($M2578="",$T2578=""),"",$T2578+(AE$2*$M2578))</f>
        <v/>
      </c>
      <c r="AF2578" s="52">
        <f>IF(OR(T2578="",I2578&lt;T2578),"",IFERROR(AVERAGE(T2578+M2578*{7,8,9,10,11})/IF(G2578="",I2578,G2578)-1,""))</f>
        <v/>
      </c>
      <c r="AG2578" s="55">
        <f>IF(OR(T2578="",I2578&lt;T2578),"",IFERROR(AF2578/-(R2578/IF(G2578="",I2578,G2578)-1),""))</f>
        <v/>
      </c>
      <c r="AH2578" s="94" t="n"/>
      <c r="AI2578" s="94" t="n"/>
      <c r="AJ2578" s="94" t="n"/>
      <c r="AK2578" s="94" t="n"/>
      <c r="AL2578" s="84" t="n"/>
    </row>
    <row r="2579">
      <c r="A2579" s="64" t="n"/>
      <c r="B2579" s="65" t="n"/>
      <c r="C2579" s="66" t="n"/>
      <c r="D2579" s="67" t="n"/>
      <c r="E2579" s="68" t="n"/>
      <c r="F2579" s="47">
        <f>IF(A2579="","",IF(MIN(H2579,MAX(J2579:K2579))=0,"",MIN(H2579,MAX(J2579:K2579))))</f>
        <v/>
      </c>
      <c r="G2579" s="74" t="n"/>
      <c r="H2579" s="49">
        <f>IF(M2579="","",IFERROR(ROUND(AVERAGE(T2579+M2579*{7,8,9,10,11})/1.21,4),""))</f>
        <v/>
      </c>
      <c r="I2579" s="76" t="n"/>
      <c r="J2579" s="77" t="n"/>
      <c r="K2579" s="74" t="n"/>
      <c r="L2579" s="78" t="n"/>
      <c r="M2579" s="77" t="n"/>
      <c r="N2579" s="53">
        <f>IF(M2579="","",IFERROR(M2579/I2579,""))</f>
        <v/>
      </c>
      <c r="O2579" s="50">
        <f>IF(A2579="","",IFERROR((IF(G2579="",I2579,G2579)-T2579)/M2579,""))</f>
        <v/>
      </c>
      <c r="P2579" s="50">
        <f>IFERROR((I2579/T2579-1)/N2579,"")</f>
        <v/>
      </c>
      <c r="Q2579" s="46">
        <f>IF(OR(T2579="",I2579&lt;T2579),"",IFERROR(R2579/IF(G2579="",I2579,G2579)-1,""))</f>
        <v/>
      </c>
      <c r="R2579" s="48">
        <f>IF($M2579="","",MAX(IF($G2579="",$I2579,$G2579)*(1/1.1),IF($G2579="",$I2579,$G2579)+(R$2*$M2579)))</f>
        <v/>
      </c>
      <c r="S2579" s="49">
        <f>IF($M2579="","",MAX(IF($G2579="",$I2579,$G2579)*(1/1.1),IF($G2579="",$I2579,$G2579)+(S$2*$M2579)))</f>
        <v/>
      </c>
      <c r="T2579" s="82" t="n"/>
      <c r="U2579" s="47">
        <f>IF(OR($M2579="",$T2579=""),"",$T2579+(U$2*$M2579))</f>
        <v/>
      </c>
      <c r="V2579" s="48">
        <f>IF(OR($M2579="",$T2579=""),"",$T2579+(V$2*$M2579))</f>
        <v/>
      </c>
      <c r="W2579" s="48">
        <f>IF(OR($M2579="",$T2579=""),"",$T2579+(W$2*$M2579))</f>
        <v/>
      </c>
      <c r="X2579" s="49">
        <f>IF(OR($M2579="",$T2579=""),"",$T2579+(X$2*$M2579))</f>
        <v/>
      </c>
      <c r="Y2579" s="47">
        <f>IF(OR($M2579="",$T2579=""),"",$T2579+(Y$2*$M2579))</f>
        <v/>
      </c>
      <c r="Z2579" s="49">
        <f>IF(OR($M2579="",$T2579=""),"",$T2579+(Z$2*$M2579))</f>
        <v/>
      </c>
      <c r="AA2579" s="51">
        <f>IF(OR($M2579="",$T2579=""),"",$T2579+(AA$2*$M2579))</f>
        <v/>
      </c>
      <c r="AB2579" s="48">
        <f>IF(OR($M2579="",$T2579=""),"",$T2579+(AB$2*$M2579))</f>
        <v/>
      </c>
      <c r="AC2579" s="48">
        <f>IF(OR($M2579="",$T2579=""),"",$T2579+(AC$2*$M2579))</f>
        <v/>
      </c>
      <c r="AD2579" s="48">
        <f>IF(OR($M2579="",$T2579=""),"",$T2579+(AD$2*$M2579))</f>
        <v/>
      </c>
      <c r="AE2579" s="49">
        <f>IF(OR($M2579="",$T2579=""),"",$T2579+(AE$2*$M2579))</f>
        <v/>
      </c>
      <c r="AF2579" s="52">
        <f>IF(OR(T2579="",I2579&lt;T2579),"",IFERROR(AVERAGE(T2579+M2579*{7,8,9,10,11})/IF(G2579="",I2579,G2579)-1,""))</f>
        <v/>
      </c>
      <c r="AG2579" s="55">
        <f>IF(OR(T2579="",I2579&lt;T2579),"",IFERROR(AF2579/-(R2579/IF(G2579="",I2579,G2579)-1),""))</f>
        <v/>
      </c>
      <c r="AH2579" s="94" t="n"/>
      <c r="AI2579" s="94" t="n"/>
      <c r="AJ2579" s="94" t="n"/>
      <c r="AK2579" s="94" t="n"/>
      <c r="AL2579" s="84" t="n"/>
    </row>
    <row r="2580">
      <c r="A2580" s="64" t="n"/>
      <c r="B2580" s="65" t="n"/>
      <c r="C2580" s="66" t="n"/>
      <c r="D2580" s="67" t="n"/>
      <c r="E2580" s="68" t="n"/>
      <c r="F2580" s="47">
        <f>IF(A2580="","",IF(MIN(H2580,MAX(J2580:K2580))=0,"",MIN(H2580,MAX(J2580:K2580))))</f>
        <v/>
      </c>
      <c r="G2580" s="74" t="n"/>
      <c r="H2580" s="49">
        <f>IF(M2580="","",IFERROR(ROUND(AVERAGE(T2580+M2580*{7,8,9,10,11})/1.21,4),""))</f>
        <v/>
      </c>
      <c r="I2580" s="76" t="n"/>
      <c r="J2580" s="77" t="n"/>
      <c r="K2580" s="74" t="n"/>
      <c r="L2580" s="78" t="n"/>
      <c r="M2580" s="77" t="n"/>
      <c r="N2580" s="53">
        <f>IF(M2580="","",IFERROR(M2580/I2580,""))</f>
        <v/>
      </c>
      <c r="O2580" s="50">
        <f>IF(A2580="","",IFERROR((IF(G2580="",I2580,G2580)-T2580)/M2580,""))</f>
        <v/>
      </c>
      <c r="P2580" s="50">
        <f>IFERROR((I2580/T2580-1)/N2580,"")</f>
        <v/>
      </c>
      <c r="Q2580" s="46">
        <f>IF(OR(T2580="",I2580&lt;T2580),"",IFERROR(R2580/IF(G2580="",I2580,G2580)-1,""))</f>
        <v/>
      </c>
      <c r="R2580" s="48">
        <f>IF($M2580="","",MAX(IF($G2580="",$I2580,$G2580)*(1/1.1),IF($G2580="",$I2580,$G2580)+(R$2*$M2580)))</f>
        <v/>
      </c>
      <c r="S2580" s="49">
        <f>IF($M2580="","",MAX(IF($G2580="",$I2580,$G2580)*(1/1.1),IF($G2580="",$I2580,$G2580)+(S$2*$M2580)))</f>
        <v/>
      </c>
      <c r="T2580" s="82" t="n"/>
      <c r="U2580" s="47">
        <f>IF(OR($M2580="",$T2580=""),"",$T2580+(U$2*$M2580))</f>
        <v/>
      </c>
      <c r="V2580" s="48">
        <f>IF(OR($M2580="",$T2580=""),"",$T2580+(V$2*$M2580))</f>
        <v/>
      </c>
      <c r="W2580" s="48">
        <f>IF(OR($M2580="",$T2580=""),"",$T2580+(W$2*$M2580))</f>
        <v/>
      </c>
      <c r="X2580" s="49">
        <f>IF(OR($M2580="",$T2580=""),"",$T2580+(X$2*$M2580))</f>
        <v/>
      </c>
      <c r="Y2580" s="47">
        <f>IF(OR($M2580="",$T2580=""),"",$T2580+(Y$2*$M2580))</f>
        <v/>
      </c>
      <c r="Z2580" s="49">
        <f>IF(OR($M2580="",$T2580=""),"",$T2580+(Z$2*$M2580))</f>
        <v/>
      </c>
      <c r="AA2580" s="51">
        <f>IF(OR($M2580="",$T2580=""),"",$T2580+(AA$2*$M2580))</f>
        <v/>
      </c>
      <c r="AB2580" s="48">
        <f>IF(OR($M2580="",$T2580=""),"",$T2580+(AB$2*$M2580))</f>
        <v/>
      </c>
      <c r="AC2580" s="48">
        <f>IF(OR($M2580="",$T2580=""),"",$T2580+(AC$2*$M2580))</f>
        <v/>
      </c>
      <c r="AD2580" s="48">
        <f>IF(OR($M2580="",$T2580=""),"",$T2580+(AD$2*$M2580))</f>
        <v/>
      </c>
      <c r="AE2580" s="49">
        <f>IF(OR($M2580="",$T2580=""),"",$T2580+(AE$2*$M2580))</f>
        <v/>
      </c>
      <c r="AF2580" s="52">
        <f>IF(OR(T2580="",I2580&lt;T2580),"",IFERROR(AVERAGE(T2580+M2580*{7,8,9,10,11})/IF(G2580="",I2580,G2580)-1,""))</f>
        <v/>
      </c>
      <c r="AG2580" s="55">
        <f>IF(OR(T2580="",I2580&lt;T2580),"",IFERROR(AF2580/-(R2580/IF(G2580="",I2580,G2580)-1),""))</f>
        <v/>
      </c>
      <c r="AH2580" s="94" t="n"/>
      <c r="AI2580" s="94" t="n"/>
      <c r="AJ2580" s="94" t="n"/>
      <c r="AK2580" s="94" t="n"/>
      <c r="AL2580" s="84" t="n"/>
    </row>
    <row r="2581">
      <c r="A2581" s="64" t="n"/>
      <c r="B2581" s="65" t="n"/>
      <c r="C2581" s="66" t="n"/>
      <c r="D2581" s="67" t="n"/>
      <c r="E2581" s="68" t="n"/>
      <c r="F2581" s="47">
        <f>IF(A2581="","",IF(MIN(H2581,MAX(J2581:K2581))=0,"",MIN(H2581,MAX(J2581:K2581))))</f>
        <v/>
      </c>
      <c r="G2581" s="74" t="n"/>
      <c r="H2581" s="49">
        <f>IF(M2581="","",IFERROR(ROUND(AVERAGE(T2581+M2581*{7,8,9,10,11})/1.21,4),""))</f>
        <v/>
      </c>
      <c r="I2581" s="76" t="n"/>
      <c r="J2581" s="77" t="n"/>
      <c r="K2581" s="74" t="n"/>
      <c r="L2581" s="78" t="n"/>
      <c r="M2581" s="77" t="n"/>
      <c r="N2581" s="53">
        <f>IF(M2581="","",IFERROR(M2581/I2581,""))</f>
        <v/>
      </c>
      <c r="O2581" s="50">
        <f>IF(A2581="","",IFERROR((IF(G2581="",I2581,G2581)-T2581)/M2581,""))</f>
        <v/>
      </c>
      <c r="P2581" s="50">
        <f>IFERROR((I2581/T2581-1)/N2581,"")</f>
        <v/>
      </c>
      <c r="Q2581" s="46">
        <f>IF(OR(T2581="",I2581&lt;T2581),"",IFERROR(R2581/IF(G2581="",I2581,G2581)-1,""))</f>
        <v/>
      </c>
      <c r="R2581" s="48">
        <f>IF($M2581="","",MAX(IF($G2581="",$I2581,$G2581)*(1/1.1),IF($G2581="",$I2581,$G2581)+(R$2*$M2581)))</f>
        <v/>
      </c>
      <c r="S2581" s="49">
        <f>IF($M2581="","",MAX(IF($G2581="",$I2581,$G2581)*(1/1.1),IF($G2581="",$I2581,$G2581)+(S$2*$M2581)))</f>
        <v/>
      </c>
      <c r="T2581" s="82" t="n"/>
      <c r="U2581" s="47">
        <f>IF(OR($M2581="",$T2581=""),"",$T2581+(U$2*$M2581))</f>
        <v/>
      </c>
      <c r="V2581" s="48">
        <f>IF(OR($M2581="",$T2581=""),"",$T2581+(V$2*$M2581))</f>
        <v/>
      </c>
      <c r="W2581" s="48">
        <f>IF(OR($M2581="",$T2581=""),"",$T2581+(W$2*$M2581))</f>
        <v/>
      </c>
      <c r="X2581" s="49">
        <f>IF(OR($M2581="",$T2581=""),"",$T2581+(X$2*$M2581))</f>
        <v/>
      </c>
      <c r="Y2581" s="47">
        <f>IF(OR($M2581="",$T2581=""),"",$T2581+(Y$2*$M2581))</f>
        <v/>
      </c>
      <c r="Z2581" s="49">
        <f>IF(OR($M2581="",$T2581=""),"",$T2581+(Z$2*$M2581))</f>
        <v/>
      </c>
      <c r="AA2581" s="51">
        <f>IF(OR($M2581="",$T2581=""),"",$T2581+(AA$2*$M2581))</f>
        <v/>
      </c>
      <c r="AB2581" s="48">
        <f>IF(OR($M2581="",$T2581=""),"",$T2581+(AB$2*$M2581))</f>
        <v/>
      </c>
      <c r="AC2581" s="48">
        <f>IF(OR($M2581="",$T2581=""),"",$T2581+(AC$2*$M2581))</f>
        <v/>
      </c>
      <c r="AD2581" s="48">
        <f>IF(OR($M2581="",$T2581=""),"",$T2581+(AD$2*$M2581))</f>
        <v/>
      </c>
      <c r="AE2581" s="49">
        <f>IF(OR($M2581="",$T2581=""),"",$T2581+(AE$2*$M2581))</f>
        <v/>
      </c>
      <c r="AF2581" s="52">
        <f>IF(OR(T2581="",I2581&lt;T2581),"",IFERROR(AVERAGE(T2581+M2581*{7,8,9,10,11})/IF(G2581="",I2581,G2581)-1,""))</f>
        <v/>
      </c>
      <c r="AG2581" s="55">
        <f>IF(OR(T2581="",I2581&lt;T2581),"",IFERROR(AF2581/-(R2581/IF(G2581="",I2581,G2581)-1),""))</f>
        <v/>
      </c>
      <c r="AH2581" s="94" t="n"/>
      <c r="AI2581" s="94" t="n"/>
      <c r="AJ2581" s="94" t="n"/>
      <c r="AK2581" s="94" t="n"/>
      <c r="AL2581" s="84" t="n"/>
    </row>
    <row r="2582">
      <c r="A2582" s="64" t="n"/>
      <c r="B2582" s="65" t="n"/>
      <c r="C2582" s="66" t="n"/>
      <c r="D2582" s="67" t="n"/>
      <c r="E2582" s="68" t="n"/>
      <c r="F2582" s="47">
        <f>IF(A2582="","",IF(MIN(H2582,MAX(J2582:K2582))=0,"",MIN(H2582,MAX(J2582:K2582))))</f>
        <v/>
      </c>
      <c r="G2582" s="74" t="n"/>
      <c r="H2582" s="49">
        <f>IF(M2582="","",IFERROR(ROUND(AVERAGE(T2582+M2582*{7,8,9,10,11})/1.21,4),""))</f>
        <v/>
      </c>
      <c r="I2582" s="76" t="n"/>
      <c r="J2582" s="77" t="n"/>
      <c r="K2582" s="74" t="n"/>
      <c r="L2582" s="78" t="n"/>
      <c r="M2582" s="77" t="n"/>
      <c r="N2582" s="53">
        <f>IF(M2582="","",IFERROR(M2582/I2582,""))</f>
        <v/>
      </c>
      <c r="O2582" s="50">
        <f>IF(A2582="","",IFERROR((IF(G2582="",I2582,G2582)-T2582)/M2582,""))</f>
        <v/>
      </c>
      <c r="P2582" s="50">
        <f>IFERROR((I2582/T2582-1)/N2582,"")</f>
        <v/>
      </c>
      <c r="Q2582" s="46">
        <f>IF(OR(T2582="",I2582&lt;T2582),"",IFERROR(R2582/IF(G2582="",I2582,G2582)-1,""))</f>
        <v/>
      </c>
      <c r="R2582" s="48">
        <f>IF($M2582="","",MAX(IF($G2582="",$I2582,$G2582)*(1/1.1),IF($G2582="",$I2582,$G2582)+(R$2*$M2582)))</f>
        <v/>
      </c>
      <c r="S2582" s="49">
        <f>IF($M2582="","",MAX(IF($G2582="",$I2582,$G2582)*(1/1.1),IF($G2582="",$I2582,$G2582)+(S$2*$M2582)))</f>
        <v/>
      </c>
      <c r="T2582" s="82" t="n"/>
      <c r="U2582" s="47">
        <f>IF(OR($M2582="",$T2582=""),"",$T2582+(U$2*$M2582))</f>
        <v/>
      </c>
      <c r="V2582" s="48">
        <f>IF(OR($M2582="",$T2582=""),"",$T2582+(V$2*$M2582))</f>
        <v/>
      </c>
      <c r="W2582" s="48">
        <f>IF(OR($M2582="",$T2582=""),"",$T2582+(W$2*$M2582))</f>
        <v/>
      </c>
      <c r="X2582" s="49">
        <f>IF(OR($M2582="",$T2582=""),"",$T2582+(X$2*$M2582))</f>
        <v/>
      </c>
      <c r="Y2582" s="47">
        <f>IF(OR($M2582="",$T2582=""),"",$T2582+(Y$2*$M2582))</f>
        <v/>
      </c>
      <c r="Z2582" s="49">
        <f>IF(OR($M2582="",$T2582=""),"",$T2582+(Z$2*$M2582))</f>
        <v/>
      </c>
      <c r="AA2582" s="51">
        <f>IF(OR($M2582="",$T2582=""),"",$T2582+(AA$2*$M2582))</f>
        <v/>
      </c>
      <c r="AB2582" s="48">
        <f>IF(OR($M2582="",$T2582=""),"",$T2582+(AB$2*$M2582))</f>
        <v/>
      </c>
      <c r="AC2582" s="48">
        <f>IF(OR($M2582="",$T2582=""),"",$T2582+(AC$2*$M2582))</f>
        <v/>
      </c>
      <c r="AD2582" s="48">
        <f>IF(OR($M2582="",$T2582=""),"",$T2582+(AD$2*$M2582))</f>
        <v/>
      </c>
      <c r="AE2582" s="49">
        <f>IF(OR($M2582="",$T2582=""),"",$T2582+(AE$2*$M2582))</f>
        <v/>
      </c>
      <c r="AF2582" s="52">
        <f>IF(OR(T2582="",I2582&lt;T2582),"",IFERROR(AVERAGE(T2582+M2582*{7,8,9,10,11})/IF(G2582="",I2582,G2582)-1,""))</f>
        <v/>
      </c>
      <c r="AG2582" s="55">
        <f>IF(OR(T2582="",I2582&lt;T2582),"",IFERROR(AF2582/-(R2582/IF(G2582="",I2582,G2582)-1),""))</f>
        <v/>
      </c>
      <c r="AH2582" s="94" t="n"/>
      <c r="AI2582" s="94" t="n"/>
      <c r="AJ2582" s="94" t="n"/>
      <c r="AK2582" s="94" t="n"/>
      <c r="AL2582" s="84" t="n"/>
    </row>
    <row r="2583">
      <c r="A2583" s="64" t="n"/>
      <c r="B2583" s="65" t="n"/>
      <c r="C2583" s="66" t="n"/>
      <c r="D2583" s="67" t="n"/>
      <c r="E2583" s="68" t="n"/>
      <c r="F2583" s="47">
        <f>IF(A2583="","",IF(MIN(H2583,MAX(J2583:K2583))=0,"",MIN(H2583,MAX(J2583:K2583))))</f>
        <v/>
      </c>
      <c r="G2583" s="74" t="n"/>
      <c r="H2583" s="49">
        <f>IF(M2583="","",IFERROR(ROUND(AVERAGE(T2583+M2583*{7,8,9,10,11})/1.21,4),""))</f>
        <v/>
      </c>
      <c r="I2583" s="76" t="n"/>
      <c r="J2583" s="77" t="n"/>
      <c r="K2583" s="74" t="n"/>
      <c r="L2583" s="78" t="n"/>
      <c r="M2583" s="77" t="n"/>
      <c r="N2583" s="53">
        <f>IF(M2583="","",IFERROR(M2583/I2583,""))</f>
        <v/>
      </c>
      <c r="O2583" s="50">
        <f>IF(A2583="","",IFERROR((IF(G2583="",I2583,G2583)-T2583)/M2583,""))</f>
        <v/>
      </c>
      <c r="P2583" s="50">
        <f>IFERROR((I2583/T2583-1)/N2583,"")</f>
        <v/>
      </c>
      <c r="Q2583" s="46">
        <f>IF(OR(T2583="",I2583&lt;T2583),"",IFERROR(R2583/IF(G2583="",I2583,G2583)-1,""))</f>
        <v/>
      </c>
      <c r="R2583" s="48">
        <f>IF($M2583="","",MAX(IF($G2583="",$I2583,$G2583)*(1/1.1),IF($G2583="",$I2583,$G2583)+(R$2*$M2583)))</f>
        <v/>
      </c>
      <c r="S2583" s="49">
        <f>IF($M2583="","",MAX(IF($G2583="",$I2583,$G2583)*(1/1.1),IF($G2583="",$I2583,$G2583)+(S$2*$M2583)))</f>
        <v/>
      </c>
      <c r="T2583" s="82" t="n"/>
      <c r="U2583" s="47">
        <f>IF(OR($M2583="",$T2583=""),"",$T2583+(U$2*$M2583))</f>
        <v/>
      </c>
      <c r="V2583" s="48">
        <f>IF(OR($M2583="",$T2583=""),"",$T2583+(V$2*$M2583))</f>
        <v/>
      </c>
      <c r="W2583" s="48">
        <f>IF(OR($M2583="",$T2583=""),"",$T2583+(W$2*$M2583))</f>
        <v/>
      </c>
      <c r="X2583" s="49">
        <f>IF(OR($M2583="",$T2583=""),"",$T2583+(X$2*$M2583))</f>
        <v/>
      </c>
      <c r="Y2583" s="47">
        <f>IF(OR($M2583="",$T2583=""),"",$T2583+(Y$2*$M2583))</f>
        <v/>
      </c>
      <c r="Z2583" s="49">
        <f>IF(OR($M2583="",$T2583=""),"",$T2583+(Z$2*$M2583))</f>
        <v/>
      </c>
      <c r="AA2583" s="51">
        <f>IF(OR($M2583="",$T2583=""),"",$T2583+(AA$2*$M2583))</f>
        <v/>
      </c>
      <c r="AB2583" s="48">
        <f>IF(OR($M2583="",$T2583=""),"",$T2583+(AB$2*$M2583))</f>
        <v/>
      </c>
      <c r="AC2583" s="48">
        <f>IF(OR($M2583="",$T2583=""),"",$T2583+(AC$2*$M2583))</f>
        <v/>
      </c>
      <c r="AD2583" s="48">
        <f>IF(OR($M2583="",$T2583=""),"",$T2583+(AD$2*$M2583))</f>
        <v/>
      </c>
      <c r="AE2583" s="49">
        <f>IF(OR($M2583="",$T2583=""),"",$T2583+(AE$2*$M2583))</f>
        <v/>
      </c>
      <c r="AF2583" s="52">
        <f>IF(OR(T2583="",I2583&lt;T2583),"",IFERROR(AVERAGE(T2583+M2583*{7,8,9,10,11})/IF(G2583="",I2583,G2583)-1,""))</f>
        <v/>
      </c>
      <c r="AG2583" s="55">
        <f>IF(OR(T2583="",I2583&lt;T2583),"",IFERROR(AF2583/-(R2583/IF(G2583="",I2583,G2583)-1),""))</f>
        <v/>
      </c>
      <c r="AH2583" s="94" t="n"/>
      <c r="AI2583" s="94" t="n"/>
      <c r="AJ2583" s="94" t="n"/>
      <c r="AK2583" s="94" t="n"/>
      <c r="AL2583" s="84" t="n"/>
    </row>
    <row r="2584">
      <c r="A2584" s="64" t="n"/>
      <c r="B2584" s="65" t="n"/>
      <c r="C2584" s="66" t="n"/>
      <c r="D2584" s="67" t="n"/>
      <c r="E2584" s="68" t="n"/>
      <c r="F2584" s="47">
        <f>IF(A2584="","",IF(MIN(H2584,MAX(J2584:K2584))=0,"",MIN(H2584,MAX(J2584:K2584))))</f>
        <v/>
      </c>
      <c r="G2584" s="74" t="n"/>
      <c r="H2584" s="49">
        <f>IF(M2584="","",IFERROR(ROUND(AVERAGE(T2584+M2584*{7,8,9,10,11})/1.21,4),""))</f>
        <v/>
      </c>
      <c r="I2584" s="76" t="n"/>
      <c r="J2584" s="77" t="n"/>
      <c r="K2584" s="74" t="n"/>
      <c r="L2584" s="78" t="n"/>
      <c r="M2584" s="77" t="n"/>
      <c r="N2584" s="53">
        <f>IF(M2584="","",IFERROR(M2584/I2584,""))</f>
        <v/>
      </c>
      <c r="O2584" s="50">
        <f>IF(A2584="","",IFERROR((IF(G2584="",I2584,G2584)-T2584)/M2584,""))</f>
        <v/>
      </c>
      <c r="P2584" s="50">
        <f>IFERROR((I2584/T2584-1)/N2584,"")</f>
        <v/>
      </c>
      <c r="Q2584" s="46">
        <f>IF(OR(T2584="",I2584&lt;T2584),"",IFERROR(R2584/IF(G2584="",I2584,G2584)-1,""))</f>
        <v/>
      </c>
      <c r="R2584" s="48">
        <f>IF($M2584="","",MAX(IF($G2584="",$I2584,$G2584)*(1/1.1),IF($G2584="",$I2584,$G2584)+(R$2*$M2584)))</f>
        <v/>
      </c>
      <c r="S2584" s="49">
        <f>IF($M2584="","",MAX(IF($G2584="",$I2584,$G2584)*(1/1.1),IF($G2584="",$I2584,$G2584)+(S$2*$M2584)))</f>
        <v/>
      </c>
      <c r="T2584" s="82" t="n"/>
      <c r="U2584" s="47">
        <f>IF(OR($M2584="",$T2584=""),"",$T2584+(U$2*$M2584))</f>
        <v/>
      </c>
      <c r="V2584" s="48">
        <f>IF(OR($M2584="",$T2584=""),"",$T2584+(V$2*$M2584))</f>
        <v/>
      </c>
      <c r="W2584" s="48">
        <f>IF(OR($M2584="",$T2584=""),"",$T2584+(W$2*$M2584))</f>
        <v/>
      </c>
      <c r="X2584" s="49">
        <f>IF(OR($M2584="",$T2584=""),"",$T2584+(X$2*$M2584))</f>
        <v/>
      </c>
      <c r="Y2584" s="47">
        <f>IF(OR($M2584="",$T2584=""),"",$T2584+(Y$2*$M2584))</f>
        <v/>
      </c>
      <c r="Z2584" s="49">
        <f>IF(OR($M2584="",$T2584=""),"",$T2584+(Z$2*$M2584))</f>
        <v/>
      </c>
      <c r="AA2584" s="51">
        <f>IF(OR($M2584="",$T2584=""),"",$T2584+(AA$2*$M2584))</f>
        <v/>
      </c>
      <c r="AB2584" s="48">
        <f>IF(OR($M2584="",$T2584=""),"",$T2584+(AB$2*$M2584))</f>
        <v/>
      </c>
      <c r="AC2584" s="48">
        <f>IF(OR($M2584="",$T2584=""),"",$T2584+(AC$2*$M2584))</f>
        <v/>
      </c>
      <c r="AD2584" s="48">
        <f>IF(OR($M2584="",$T2584=""),"",$T2584+(AD$2*$M2584))</f>
        <v/>
      </c>
      <c r="AE2584" s="49">
        <f>IF(OR($M2584="",$T2584=""),"",$T2584+(AE$2*$M2584))</f>
        <v/>
      </c>
      <c r="AF2584" s="52">
        <f>IF(OR(T2584="",I2584&lt;T2584),"",IFERROR(AVERAGE(T2584+M2584*{7,8,9,10,11})/IF(G2584="",I2584,G2584)-1,""))</f>
        <v/>
      </c>
      <c r="AG2584" s="55">
        <f>IF(OR(T2584="",I2584&lt;T2584),"",IFERROR(AF2584/-(R2584/IF(G2584="",I2584,G2584)-1),""))</f>
        <v/>
      </c>
      <c r="AH2584" s="94" t="n"/>
      <c r="AI2584" s="94" t="n"/>
      <c r="AJ2584" s="94" t="n"/>
      <c r="AK2584" s="94" t="n"/>
      <c r="AL2584" s="84" t="n"/>
    </row>
    <row r="2585">
      <c r="A2585" s="64" t="n"/>
      <c r="B2585" s="65" t="n"/>
      <c r="C2585" s="66" t="n"/>
      <c r="D2585" s="67" t="n"/>
      <c r="E2585" s="68" t="n"/>
      <c r="F2585" s="47">
        <f>IF(A2585="","",IF(MIN(H2585,MAX(J2585:K2585))=0,"",MIN(H2585,MAX(J2585:K2585))))</f>
        <v/>
      </c>
      <c r="G2585" s="74" t="n"/>
      <c r="H2585" s="49">
        <f>IF(M2585="","",IFERROR(ROUND(AVERAGE(T2585+M2585*{7,8,9,10,11})/1.21,4),""))</f>
        <v/>
      </c>
      <c r="I2585" s="76" t="n"/>
      <c r="J2585" s="77" t="n"/>
      <c r="K2585" s="74" t="n"/>
      <c r="L2585" s="78" t="n"/>
      <c r="M2585" s="77" t="n"/>
      <c r="N2585" s="53">
        <f>IF(M2585="","",IFERROR(M2585/I2585,""))</f>
        <v/>
      </c>
      <c r="O2585" s="50">
        <f>IF(A2585="","",IFERROR((IF(G2585="",I2585,G2585)-T2585)/M2585,""))</f>
        <v/>
      </c>
      <c r="P2585" s="50">
        <f>IFERROR((I2585/T2585-1)/N2585,"")</f>
        <v/>
      </c>
      <c r="Q2585" s="46">
        <f>IF(OR(T2585="",I2585&lt;T2585),"",IFERROR(R2585/IF(G2585="",I2585,G2585)-1,""))</f>
        <v/>
      </c>
      <c r="R2585" s="48">
        <f>IF($M2585="","",MAX(IF($G2585="",$I2585,$G2585)*(1/1.1),IF($G2585="",$I2585,$G2585)+(R$2*$M2585)))</f>
        <v/>
      </c>
      <c r="S2585" s="49">
        <f>IF($M2585="","",MAX(IF($G2585="",$I2585,$G2585)*(1/1.1),IF($G2585="",$I2585,$G2585)+(S$2*$M2585)))</f>
        <v/>
      </c>
      <c r="T2585" s="82" t="n"/>
      <c r="U2585" s="47">
        <f>IF(OR($M2585="",$T2585=""),"",$T2585+(U$2*$M2585))</f>
        <v/>
      </c>
      <c r="V2585" s="48">
        <f>IF(OR($M2585="",$T2585=""),"",$T2585+(V$2*$M2585))</f>
        <v/>
      </c>
      <c r="W2585" s="48">
        <f>IF(OR($M2585="",$T2585=""),"",$T2585+(W$2*$M2585))</f>
        <v/>
      </c>
      <c r="X2585" s="49">
        <f>IF(OR($M2585="",$T2585=""),"",$T2585+(X$2*$M2585))</f>
        <v/>
      </c>
      <c r="Y2585" s="47">
        <f>IF(OR($M2585="",$T2585=""),"",$T2585+(Y$2*$M2585))</f>
        <v/>
      </c>
      <c r="Z2585" s="49">
        <f>IF(OR($M2585="",$T2585=""),"",$T2585+(Z$2*$M2585))</f>
        <v/>
      </c>
      <c r="AA2585" s="51">
        <f>IF(OR($M2585="",$T2585=""),"",$T2585+(AA$2*$M2585))</f>
        <v/>
      </c>
      <c r="AB2585" s="48">
        <f>IF(OR($M2585="",$T2585=""),"",$T2585+(AB$2*$M2585))</f>
        <v/>
      </c>
      <c r="AC2585" s="48">
        <f>IF(OR($M2585="",$T2585=""),"",$T2585+(AC$2*$M2585))</f>
        <v/>
      </c>
      <c r="AD2585" s="48">
        <f>IF(OR($M2585="",$T2585=""),"",$T2585+(AD$2*$M2585))</f>
        <v/>
      </c>
      <c r="AE2585" s="49">
        <f>IF(OR($M2585="",$T2585=""),"",$T2585+(AE$2*$M2585))</f>
        <v/>
      </c>
      <c r="AF2585" s="52">
        <f>IF(OR(T2585="",I2585&lt;T2585),"",IFERROR(AVERAGE(T2585+M2585*{7,8,9,10,11})/IF(G2585="",I2585,G2585)-1,""))</f>
        <v/>
      </c>
      <c r="AG2585" s="55">
        <f>IF(OR(T2585="",I2585&lt;T2585),"",IFERROR(AF2585/-(R2585/IF(G2585="",I2585,G2585)-1),""))</f>
        <v/>
      </c>
      <c r="AH2585" s="94" t="n"/>
      <c r="AI2585" s="94" t="n"/>
      <c r="AJ2585" s="94" t="n"/>
      <c r="AK2585" s="94" t="n"/>
      <c r="AL2585" s="84" t="n"/>
    </row>
    <row r="2586">
      <c r="A2586" s="64" t="n"/>
      <c r="B2586" s="65" t="n"/>
      <c r="C2586" s="66" t="n"/>
      <c r="D2586" s="67" t="n"/>
      <c r="E2586" s="68" t="n"/>
      <c r="F2586" s="47">
        <f>IF(A2586="","",IF(MIN(H2586,MAX(J2586:K2586))=0,"",MIN(H2586,MAX(J2586:K2586))))</f>
        <v/>
      </c>
      <c r="G2586" s="74" t="n"/>
      <c r="H2586" s="49">
        <f>IF(M2586="","",IFERROR(ROUND(AVERAGE(T2586+M2586*{7,8,9,10,11})/1.21,4),""))</f>
        <v/>
      </c>
      <c r="I2586" s="76" t="n"/>
      <c r="J2586" s="77" t="n"/>
      <c r="K2586" s="74" t="n"/>
      <c r="L2586" s="78" t="n"/>
      <c r="M2586" s="77" t="n"/>
      <c r="N2586" s="53">
        <f>IF(M2586="","",IFERROR(M2586/I2586,""))</f>
        <v/>
      </c>
      <c r="O2586" s="50">
        <f>IF(A2586="","",IFERROR((IF(G2586="",I2586,G2586)-T2586)/M2586,""))</f>
        <v/>
      </c>
      <c r="P2586" s="50">
        <f>IFERROR((I2586/T2586-1)/N2586,"")</f>
        <v/>
      </c>
      <c r="Q2586" s="46">
        <f>IF(OR(T2586="",I2586&lt;T2586),"",IFERROR(R2586/IF(G2586="",I2586,G2586)-1,""))</f>
        <v/>
      </c>
      <c r="R2586" s="48">
        <f>IF($M2586="","",MAX(IF($G2586="",$I2586,$G2586)*(1/1.1),IF($G2586="",$I2586,$G2586)+(R$2*$M2586)))</f>
        <v/>
      </c>
      <c r="S2586" s="49">
        <f>IF($M2586="","",MAX(IF($G2586="",$I2586,$G2586)*(1/1.1),IF($G2586="",$I2586,$G2586)+(S$2*$M2586)))</f>
        <v/>
      </c>
      <c r="T2586" s="82" t="n"/>
      <c r="U2586" s="47">
        <f>IF(OR($M2586="",$T2586=""),"",$T2586+(U$2*$M2586))</f>
        <v/>
      </c>
      <c r="V2586" s="48">
        <f>IF(OR($M2586="",$T2586=""),"",$T2586+(V$2*$M2586))</f>
        <v/>
      </c>
      <c r="W2586" s="48">
        <f>IF(OR($M2586="",$T2586=""),"",$T2586+(W$2*$M2586))</f>
        <v/>
      </c>
      <c r="X2586" s="49">
        <f>IF(OR($M2586="",$T2586=""),"",$T2586+(X$2*$M2586))</f>
        <v/>
      </c>
      <c r="Y2586" s="47">
        <f>IF(OR($M2586="",$T2586=""),"",$T2586+(Y$2*$M2586))</f>
        <v/>
      </c>
      <c r="Z2586" s="49">
        <f>IF(OR($M2586="",$T2586=""),"",$T2586+(Z$2*$M2586))</f>
        <v/>
      </c>
      <c r="AA2586" s="51">
        <f>IF(OR($M2586="",$T2586=""),"",$T2586+(AA$2*$M2586))</f>
        <v/>
      </c>
      <c r="AB2586" s="48">
        <f>IF(OR($M2586="",$T2586=""),"",$T2586+(AB$2*$M2586))</f>
        <v/>
      </c>
      <c r="AC2586" s="48">
        <f>IF(OR($M2586="",$T2586=""),"",$T2586+(AC$2*$M2586))</f>
        <v/>
      </c>
      <c r="AD2586" s="48">
        <f>IF(OR($M2586="",$T2586=""),"",$T2586+(AD$2*$M2586))</f>
        <v/>
      </c>
      <c r="AE2586" s="49">
        <f>IF(OR($M2586="",$T2586=""),"",$T2586+(AE$2*$M2586))</f>
        <v/>
      </c>
      <c r="AF2586" s="52">
        <f>IF(OR(T2586="",I2586&lt;T2586),"",IFERROR(AVERAGE(T2586+M2586*{7,8,9,10,11})/IF(G2586="",I2586,G2586)-1,""))</f>
        <v/>
      </c>
      <c r="AG2586" s="55">
        <f>IF(OR(T2586="",I2586&lt;T2586),"",IFERROR(AF2586/-(R2586/IF(G2586="",I2586,G2586)-1),""))</f>
        <v/>
      </c>
      <c r="AH2586" s="94" t="n"/>
      <c r="AI2586" s="94" t="n"/>
      <c r="AJ2586" s="94" t="n"/>
      <c r="AK2586" s="94" t="n"/>
      <c r="AL2586" s="84" t="n"/>
    </row>
    <row r="2587">
      <c r="A2587" s="64" t="n"/>
      <c r="B2587" s="65" t="n"/>
      <c r="C2587" s="66" t="n"/>
      <c r="D2587" s="67" t="n"/>
      <c r="E2587" s="68" t="n"/>
      <c r="F2587" s="47">
        <f>IF(A2587="","",IF(MIN(H2587,MAX(J2587:K2587))=0,"",MIN(H2587,MAX(J2587:K2587))))</f>
        <v/>
      </c>
      <c r="G2587" s="74" t="n"/>
      <c r="H2587" s="49">
        <f>IF(M2587="","",IFERROR(ROUND(AVERAGE(T2587+M2587*{7,8,9,10,11})/1.21,4),""))</f>
        <v/>
      </c>
      <c r="I2587" s="76" t="n"/>
      <c r="J2587" s="77" t="n"/>
      <c r="K2587" s="74" t="n"/>
      <c r="L2587" s="78" t="n"/>
      <c r="M2587" s="77" t="n"/>
      <c r="N2587" s="53">
        <f>IF(M2587="","",IFERROR(M2587/I2587,""))</f>
        <v/>
      </c>
      <c r="O2587" s="50">
        <f>IF(A2587="","",IFERROR((IF(G2587="",I2587,G2587)-T2587)/M2587,""))</f>
        <v/>
      </c>
      <c r="P2587" s="50">
        <f>IFERROR((I2587/T2587-1)/N2587,"")</f>
        <v/>
      </c>
      <c r="Q2587" s="46">
        <f>IF(OR(T2587="",I2587&lt;T2587),"",IFERROR(R2587/IF(G2587="",I2587,G2587)-1,""))</f>
        <v/>
      </c>
      <c r="R2587" s="48">
        <f>IF($M2587="","",MAX(IF($G2587="",$I2587,$G2587)*(1/1.1),IF($G2587="",$I2587,$G2587)+(R$2*$M2587)))</f>
        <v/>
      </c>
      <c r="S2587" s="49">
        <f>IF($M2587="","",MAX(IF($G2587="",$I2587,$G2587)*(1/1.1),IF($G2587="",$I2587,$G2587)+(S$2*$M2587)))</f>
        <v/>
      </c>
      <c r="T2587" s="82" t="n"/>
      <c r="U2587" s="47">
        <f>IF(OR($M2587="",$T2587=""),"",$T2587+(U$2*$M2587))</f>
        <v/>
      </c>
      <c r="V2587" s="48">
        <f>IF(OR($M2587="",$T2587=""),"",$T2587+(V$2*$M2587))</f>
        <v/>
      </c>
      <c r="W2587" s="48">
        <f>IF(OR($M2587="",$T2587=""),"",$T2587+(W$2*$M2587))</f>
        <v/>
      </c>
      <c r="X2587" s="49">
        <f>IF(OR($M2587="",$T2587=""),"",$T2587+(X$2*$M2587))</f>
        <v/>
      </c>
      <c r="Y2587" s="47">
        <f>IF(OR($M2587="",$T2587=""),"",$T2587+(Y$2*$M2587))</f>
        <v/>
      </c>
      <c r="Z2587" s="49">
        <f>IF(OR($M2587="",$T2587=""),"",$T2587+(Z$2*$M2587))</f>
        <v/>
      </c>
      <c r="AA2587" s="51">
        <f>IF(OR($M2587="",$T2587=""),"",$T2587+(AA$2*$M2587))</f>
        <v/>
      </c>
      <c r="AB2587" s="48">
        <f>IF(OR($M2587="",$T2587=""),"",$T2587+(AB$2*$M2587))</f>
        <v/>
      </c>
      <c r="AC2587" s="48">
        <f>IF(OR($M2587="",$T2587=""),"",$T2587+(AC$2*$M2587))</f>
        <v/>
      </c>
      <c r="AD2587" s="48">
        <f>IF(OR($M2587="",$T2587=""),"",$T2587+(AD$2*$M2587))</f>
        <v/>
      </c>
      <c r="AE2587" s="49">
        <f>IF(OR($M2587="",$T2587=""),"",$T2587+(AE$2*$M2587))</f>
        <v/>
      </c>
      <c r="AF2587" s="52">
        <f>IF(OR(T2587="",I2587&lt;T2587),"",IFERROR(AVERAGE(T2587+M2587*{7,8,9,10,11})/IF(G2587="",I2587,G2587)-1,""))</f>
        <v/>
      </c>
      <c r="AG2587" s="55">
        <f>IF(OR(T2587="",I2587&lt;T2587),"",IFERROR(AF2587/-(R2587/IF(G2587="",I2587,G2587)-1),""))</f>
        <v/>
      </c>
      <c r="AH2587" s="94" t="n"/>
      <c r="AI2587" s="94" t="n"/>
      <c r="AJ2587" s="94" t="n"/>
      <c r="AK2587" s="94" t="n"/>
      <c r="AL2587" s="84" t="n"/>
    </row>
    <row r="2588">
      <c r="A2588" s="64" t="n"/>
      <c r="B2588" s="65" t="n"/>
      <c r="C2588" s="66" t="n"/>
      <c r="D2588" s="67" t="n"/>
      <c r="E2588" s="68" t="n"/>
      <c r="F2588" s="47">
        <f>IF(A2588="","",IF(MIN(H2588,MAX(J2588:K2588))=0,"",MIN(H2588,MAX(J2588:K2588))))</f>
        <v/>
      </c>
      <c r="G2588" s="74" t="n"/>
      <c r="H2588" s="49">
        <f>IF(M2588="","",IFERROR(ROUND(AVERAGE(T2588+M2588*{7,8,9,10,11})/1.21,4),""))</f>
        <v/>
      </c>
      <c r="I2588" s="76" t="n"/>
      <c r="J2588" s="77" t="n"/>
      <c r="K2588" s="74" t="n"/>
      <c r="L2588" s="78" t="n"/>
      <c r="M2588" s="77" t="n"/>
      <c r="N2588" s="53">
        <f>IF(M2588="","",IFERROR(M2588/I2588,""))</f>
        <v/>
      </c>
      <c r="O2588" s="50">
        <f>IF(A2588="","",IFERROR((IF(G2588="",I2588,G2588)-T2588)/M2588,""))</f>
        <v/>
      </c>
      <c r="P2588" s="50">
        <f>IFERROR((I2588/T2588-1)/N2588,"")</f>
        <v/>
      </c>
      <c r="Q2588" s="46">
        <f>IF(OR(T2588="",I2588&lt;T2588),"",IFERROR(R2588/IF(G2588="",I2588,G2588)-1,""))</f>
        <v/>
      </c>
      <c r="R2588" s="48">
        <f>IF($M2588="","",MAX(IF($G2588="",$I2588,$G2588)*(1/1.1),IF($G2588="",$I2588,$G2588)+(R$2*$M2588)))</f>
        <v/>
      </c>
      <c r="S2588" s="49">
        <f>IF($M2588="","",MAX(IF($G2588="",$I2588,$G2588)*(1/1.1),IF($G2588="",$I2588,$G2588)+(S$2*$M2588)))</f>
        <v/>
      </c>
      <c r="T2588" s="82" t="n"/>
      <c r="U2588" s="47">
        <f>IF(OR($M2588="",$T2588=""),"",$T2588+(U$2*$M2588))</f>
        <v/>
      </c>
      <c r="V2588" s="48">
        <f>IF(OR($M2588="",$T2588=""),"",$T2588+(V$2*$M2588))</f>
        <v/>
      </c>
      <c r="W2588" s="48">
        <f>IF(OR($M2588="",$T2588=""),"",$T2588+(W$2*$M2588))</f>
        <v/>
      </c>
      <c r="X2588" s="49">
        <f>IF(OR($M2588="",$T2588=""),"",$T2588+(X$2*$M2588))</f>
        <v/>
      </c>
      <c r="Y2588" s="47">
        <f>IF(OR($M2588="",$T2588=""),"",$T2588+(Y$2*$M2588))</f>
        <v/>
      </c>
      <c r="Z2588" s="49">
        <f>IF(OR($M2588="",$T2588=""),"",$T2588+(Z$2*$M2588))</f>
        <v/>
      </c>
      <c r="AA2588" s="51">
        <f>IF(OR($M2588="",$T2588=""),"",$T2588+(AA$2*$M2588))</f>
        <v/>
      </c>
      <c r="AB2588" s="48">
        <f>IF(OR($M2588="",$T2588=""),"",$T2588+(AB$2*$M2588))</f>
        <v/>
      </c>
      <c r="AC2588" s="48">
        <f>IF(OR($M2588="",$T2588=""),"",$T2588+(AC$2*$M2588))</f>
        <v/>
      </c>
      <c r="AD2588" s="48">
        <f>IF(OR($M2588="",$T2588=""),"",$T2588+(AD$2*$M2588))</f>
        <v/>
      </c>
      <c r="AE2588" s="49">
        <f>IF(OR($M2588="",$T2588=""),"",$T2588+(AE$2*$M2588))</f>
        <v/>
      </c>
      <c r="AF2588" s="52">
        <f>IF(OR(T2588="",I2588&lt;T2588),"",IFERROR(AVERAGE(T2588+M2588*{7,8,9,10,11})/IF(G2588="",I2588,G2588)-1,""))</f>
        <v/>
      </c>
      <c r="AG2588" s="55">
        <f>IF(OR(T2588="",I2588&lt;T2588),"",IFERROR(AF2588/-(R2588/IF(G2588="",I2588,G2588)-1),""))</f>
        <v/>
      </c>
      <c r="AH2588" s="94" t="n"/>
      <c r="AI2588" s="94" t="n"/>
      <c r="AJ2588" s="94" t="n"/>
      <c r="AK2588" s="94" t="n"/>
      <c r="AL2588" s="84" t="n"/>
    </row>
    <row r="2589">
      <c r="A2589" s="64" t="n"/>
      <c r="B2589" s="65" t="n"/>
      <c r="C2589" s="66" t="n"/>
      <c r="D2589" s="67" t="n"/>
      <c r="E2589" s="68" t="n"/>
      <c r="F2589" s="47">
        <f>IF(A2589="","",IF(MIN(H2589,MAX(J2589:K2589))=0,"",MIN(H2589,MAX(J2589:K2589))))</f>
        <v/>
      </c>
      <c r="G2589" s="74" t="n"/>
      <c r="H2589" s="49">
        <f>IF(M2589="","",IFERROR(ROUND(AVERAGE(T2589+M2589*{7,8,9,10,11})/1.21,4),""))</f>
        <v/>
      </c>
      <c r="I2589" s="76" t="n"/>
      <c r="J2589" s="77" t="n"/>
      <c r="K2589" s="74" t="n"/>
      <c r="L2589" s="78" t="n"/>
      <c r="M2589" s="77" t="n"/>
      <c r="N2589" s="53">
        <f>IF(M2589="","",IFERROR(M2589/I2589,""))</f>
        <v/>
      </c>
      <c r="O2589" s="50">
        <f>IF(A2589="","",IFERROR((IF(G2589="",I2589,G2589)-T2589)/M2589,""))</f>
        <v/>
      </c>
      <c r="P2589" s="50">
        <f>IFERROR((I2589/T2589-1)/N2589,"")</f>
        <v/>
      </c>
      <c r="Q2589" s="46">
        <f>IF(OR(T2589="",I2589&lt;T2589),"",IFERROR(R2589/IF(G2589="",I2589,G2589)-1,""))</f>
        <v/>
      </c>
      <c r="R2589" s="48">
        <f>IF($M2589="","",MAX(IF($G2589="",$I2589,$G2589)*(1/1.1),IF($G2589="",$I2589,$G2589)+(R$2*$M2589)))</f>
        <v/>
      </c>
      <c r="S2589" s="49">
        <f>IF($M2589="","",MAX(IF($G2589="",$I2589,$G2589)*(1/1.1),IF($G2589="",$I2589,$G2589)+(S$2*$M2589)))</f>
        <v/>
      </c>
      <c r="T2589" s="82" t="n"/>
      <c r="U2589" s="47">
        <f>IF(OR($M2589="",$T2589=""),"",$T2589+(U$2*$M2589))</f>
        <v/>
      </c>
      <c r="V2589" s="48">
        <f>IF(OR($M2589="",$T2589=""),"",$T2589+(V$2*$M2589))</f>
        <v/>
      </c>
      <c r="W2589" s="48">
        <f>IF(OR($M2589="",$T2589=""),"",$T2589+(W$2*$M2589))</f>
        <v/>
      </c>
      <c r="X2589" s="49">
        <f>IF(OR($M2589="",$T2589=""),"",$T2589+(X$2*$M2589))</f>
        <v/>
      </c>
      <c r="Y2589" s="47">
        <f>IF(OR($M2589="",$T2589=""),"",$T2589+(Y$2*$M2589))</f>
        <v/>
      </c>
      <c r="Z2589" s="49">
        <f>IF(OR($M2589="",$T2589=""),"",$T2589+(Z$2*$M2589))</f>
        <v/>
      </c>
      <c r="AA2589" s="51">
        <f>IF(OR($M2589="",$T2589=""),"",$T2589+(AA$2*$M2589))</f>
        <v/>
      </c>
      <c r="AB2589" s="48">
        <f>IF(OR($M2589="",$T2589=""),"",$T2589+(AB$2*$M2589))</f>
        <v/>
      </c>
      <c r="AC2589" s="48">
        <f>IF(OR($M2589="",$T2589=""),"",$T2589+(AC$2*$M2589))</f>
        <v/>
      </c>
      <c r="AD2589" s="48">
        <f>IF(OR($M2589="",$T2589=""),"",$T2589+(AD$2*$M2589))</f>
        <v/>
      </c>
      <c r="AE2589" s="49">
        <f>IF(OR($M2589="",$T2589=""),"",$T2589+(AE$2*$M2589))</f>
        <v/>
      </c>
      <c r="AF2589" s="52">
        <f>IF(OR(T2589="",I2589&lt;T2589),"",IFERROR(AVERAGE(T2589+M2589*{7,8,9,10,11})/IF(G2589="",I2589,G2589)-1,""))</f>
        <v/>
      </c>
      <c r="AG2589" s="55">
        <f>IF(OR(T2589="",I2589&lt;T2589),"",IFERROR(AF2589/-(R2589/IF(G2589="",I2589,G2589)-1),""))</f>
        <v/>
      </c>
      <c r="AH2589" s="94" t="n"/>
      <c r="AI2589" s="94" t="n"/>
      <c r="AJ2589" s="94" t="n"/>
      <c r="AK2589" s="94" t="n"/>
      <c r="AL2589" s="84" t="n"/>
    </row>
    <row r="2590">
      <c r="A2590" s="64" t="n"/>
      <c r="B2590" s="65" t="n"/>
      <c r="C2590" s="66" t="n"/>
      <c r="D2590" s="67" t="n"/>
      <c r="E2590" s="68" t="n"/>
      <c r="F2590" s="47">
        <f>IF(A2590="","",IF(MIN(H2590,MAX(J2590:K2590))=0,"",MIN(H2590,MAX(J2590:K2590))))</f>
        <v/>
      </c>
      <c r="G2590" s="74" t="n"/>
      <c r="H2590" s="49">
        <f>IF(M2590="","",IFERROR(ROUND(AVERAGE(T2590+M2590*{7,8,9,10,11})/1.21,4),""))</f>
        <v/>
      </c>
      <c r="I2590" s="76" t="n"/>
      <c r="J2590" s="77" t="n"/>
      <c r="K2590" s="74" t="n"/>
      <c r="L2590" s="78" t="n"/>
      <c r="M2590" s="77" t="n"/>
      <c r="N2590" s="53">
        <f>IF(M2590="","",IFERROR(M2590/I2590,""))</f>
        <v/>
      </c>
      <c r="O2590" s="50">
        <f>IF(A2590="","",IFERROR((IF(G2590="",I2590,G2590)-T2590)/M2590,""))</f>
        <v/>
      </c>
      <c r="P2590" s="50">
        <f>IFERROR((I2590/T2590-1)/N2590,"")</f>
        <v/>
      </c>
      <c r="Q2590" s="46">
        <f>IF(OR(T2590="",I2590&lt;T2590),"",IFERROR(R2590/IF(G2590="",I2590,G2590)-1,""))</f>
        <v/>
      </c>
      <c r="R2590" s="48">
        <f>IF($M2590="","",MAX(IF($G2590="",$I2590,$G2590)*(1/1.1),IF($G2590="",$I2590,$G2590)+(R$2*$M2590)))</f>
        <v/>
      </c>
      <c r="S2590" s="49">
        <f>IF($M2590="","",MAX(IF($G2590="",$I2590,$G2590)*(1/1.1),IF($G2590="",$I2590,$G2590)+(S$2*$M2590)))</f>
        <v/>
      </c>
      <c r="T2590" s="82" t="n"/>
      <c r="U2590" s="47">
        <f>IF(OR($M2590="",$T2590=""),"",$T2590+(U$2*$M2590))</f>
        <v/>
      </c>
      <c r="V2590" s="48">
        <f>IF(OR($M2590="",$T2590=""),"",$T2590+(V$2*$M2590))</f>
        <v/>
      </c>
      <c r="W2590" s="48">
        <f>IF(OR($M2590="",$T2590=""),"",$T2590+(W$2*$M2590))</f>
        <v/>
      </c>
      <c r="X2590" s="49">
        <f>IF(OR($M2590="",$T2590=""),"",$T2590+(X$2*$M2590))</f>
        <v/>
      </c>
      <c r="Y2590" s="47">
        <f>IF(OR($M2590="",$T2590=""),"",$T2590+(Y$2*$M2590))</f>
        <v/>
      </c>
      <c r="Z2590" s="49">
        <f>IF(OR($M2590="",$T2590=""),"",$T2590+(Z$2*$M2590))</f>
        <v/>
      </c>
      <c r="AA2590" s="51">
        <f>IF(OR($M2590="",$T2590=""),"",$T2590+(AA$2*$M2590))</f>
        <v/>
      </c>
      <c r="AB2590" s="48">
        <f>IF(OR($M2590="",$T2590=""),"",$T2590+(AB$2*$M2590))</f>
        <v/>
      </c>
      <c r="AC2590" s="48">
        <f>IF(OR($M2590="",$T2590=""),"",$T2590+(AC$2*$M2590))</f>
        <v/>
      </c>
      <c r="AD2590" s="48">
        <f>IF(OR($M2590="",$T2590=""),"",$T2590+(AD$2*$M2590))</f>
        <v/>
      </c>
      <c r="AE2590" s="49">
        <f>IF(OR($M2590="",$T2590=""),"",$T2590+(AE$2*$M2590))</f>
        <v/>
      </c>
      <c r="AF2590" s="52">
        <f>IF(OR(T2590="",I2590&lt;T2590),"",IFERROR(AVERAGE(T2590+M2590*{7,8,9,10,11})/IF(G2590="",I2590,G2590)-1,""))</f>
        <v/>
      </c>
      <c r="AG2590" s="55">
        <f>IF(OR(T2590="",I2590&lt;T2590),"",IFERROR(AF2590/-(R2590/IF(G2590="",I2590,G2590)-1),""))</f>
        <v/>
      </c>
      <c r="AH2590" s="94" t="n"/>
      <c r="AI2590" s="94" t="n"/>
      <c r="AJ2590" s="94" t="n"/>
      <c r="AK2590" s="94" t="n"/>
      <c r="AL2590" s="84" t="n"/>
    </row>
    <row r="2591">
      <c r="A2591" s="64" t="n"/>
      <c r="B2591" s="65" t="n"/>
      <c r="C2591" s="66" t="n"/>
      <c r="D2591" s="67" t="n"/>
      <c r="E2591" s="68" t="n"/>
      <c r="F2591" s="47">
        <f>IF(A2591="","",IF(MIN(H2591,MAX(J2591:K2591))=0,"",MIN(H2591,MAX(J2591:K2591))))</f>
        <v/>
      </c>
      <c r="G2591" s="74" t="n"/>
      <c r="H2591" s="49">
        <f>IF(M2591="","",IFERROR(ROUND(AVERAGE(T2591+M2591*{7,8,9,10,11})/1.21,4),""))</f>
        <v/>
      </c>
      <c r="I2591" s="76" t="n"/>
      <c r="J2591" s="77" t="n"/>
      <c r="K2591" s="74" t="n"/>
      <c r="L2591" s="78" t="n"/>
      <c r="M2591" s="77" t="n"/>
      <c r="N2591" s="53">
        <f>IF(M2591="","",IFERROR(M2591/I2591,""))</f>
        <v/>
      </c>
      <c r="O2591" s="50">
        <f>IF(A2591="","",IFERROR((IF(G2591="",I2591,G2591)-T2591)/M2591,""))</f>
        <v/>
      </c>
      <c r="P2591" s="50">
        <f>IFERROR((I2591/T2591-1)/N2591,"")</f>
        <v/>
      </c>
      <c r="Q2591" s="46">
        <f>IF(OR(T2591="",I2591&lt;T2591),"",IFERROR(R2591/IF(G2591="",I2591,G2591)-1,""))</f>
        <v/>
      </c>
      <c r="R2591" s="48">
        <f>IF($M2591="","",MAX(IF($G2591="",$I2591,$G2591)*(1/1.1),IF($G2591="",$I2591,$G2591)+(R$2*$M2591)))</f>
        <v/>
      </c>
      <c r="S2591" s="49">
        <f>IF($M2591="","",MAX(IF($G2591="",$I2591,$G2591)*(1/1.1),IF($G2591="",$I2591,$G2591)+(S$2*$M2591)))</f>
        <v/>
      </c>
      <c r="T2591" s="82" t="n"/>
      <c r="U2591" s="47">
        <f>IF(OR($M2591="",$T2591=""),"",$T2591+(U$2*$M2591))</f>
        <v/>
      </c>
      <c r="V2591" s="48">
        <f>IF(OR($M2591="",$T2591=""),"",$T2591+(V$2*$M2591))</f>
        <v/>
      </c>
      <c r="W2591" s="48">
        <f>IF(OR($M2591="",$T2591=""),"",$T2591+(W$2*$M2591))</f>
        <v/>
      </c>
      <c r="X2591" s="49">
        <f>IF(OR($M2591="",$T2591=""),"",$T2591+(X$2*$M2591))</f>
        <v/>
      </c>
      <c r="Y2591" s="47">
        <f>IF(OR($M2591="",$T2591=""),"",$T2591+(Y$2*$M2591))</f>
        <v/>
      </c>
      <c r="Z2591" s="49">
        <f>IF(OR($M2591="",$T2591=""),"",$T2591+(Z$2*$M2591))</f>
        <v/>
      </c>
      <c r="AA2591" s="51">
        <f>IF(OR($M2591="",$T2591=""),"",$T2591+(AA$2*$M2591))</f>
        <v/>
      </c>
      <c r="AB2591" s="48">
        <f>IF(OR($M2591="",$T2591=""),"",$T2591+(AB$2*$M2591))</f>
        <v/>
      </c>
      <c r="AC2591" s="48">
        <f>IF(OR($M2591="",$T2591=""),"",$T2591+(AC$2*$M2591))</f>
        <v/>
      </c>
      <c r="AD2591" s="48">
        <f>IF(OR($M2591="",$T2591=""),"",$T2591+(AD$2*$M2591))</f>
        <v/>
      </c>
      <c r="AE2591" s="49">
        <f>IF(OR($M2591="",$T2591=""),"",$T2591+(AE$2*$M2591))</f>
        <v/>
      </c>
      <c r="AF2591" s="52">
        <f>IF(OR(T2591="",I2591&lt;T2591),"",IFERROR(AVERAGE(T2591+M2591*{7,8,9,10,11})/IF(G2591="",I2591,G2591)-1,""))</f>
        <v/>
      </c>
      <c r="AG2591" s="55">
        <f>IF(OR(T2591="",I2591&lt;T2591),"",IFERROR(AF2591/-(R2591/IF(G2591="",I2591,G2591)-1),""))</f>
        <v/>
      </c>
      <c r="AH2591" s="94" t="n"/>
      <c r="AI2591" s="94" t="n"/>
      <c r="AJ2591" s="94" t="n"/>
      <c r="AK2591" s="94" t="n"/>
      <c r="AL2591" s="84" t="n"/>
    </row>
    <row r="2592">
      <c r="A2592" s="64" t="n"/>
      <c r="B2592" s="65" t="n"/>
      <c r="C2592" s="66" t="n"/>
      <c r="D2592" s="67" t="n"/>
      <c r="E2592" s="68" t="n"/>
      <c r="F2592" s="47">
        <f>IF(A2592="","",IF(MIN(H2592,MAX(J2592:K2592))=0,"",MIN(H2592,MAX(J2592:K2592))))</f>
        <v/>
      </c>
      <c r="G2592" s="74" t="n"/>
      <c r="H2592" s="49">
        <f>IF(M2592="","",IFERROR(ROUND(AVERAGE(T2592+M2592*{7,8,9,10,11})/1.21,4),""))</f>
        <v/>
      </c>
      <c r="I2592" s="76" t="n"/>
      <c r="J2592" s="77" t="n"/>
      <c r="K2592" s="74" t="n"/>
      <c r="L2592" s="78" t="n"/>
      <c r="M2592" s="77" t="n"/>
      <c r="N2592" s="53">
        <f>IF(M2592="","",IFERROR(M2592/I2592,""))</f>
        <v/>
      </c>
      <c r="O2592" s="50">
        <f>IF(A2592="","",IFERROR((IF(G2592="",I2592,G2592)-T2592)/M2592,""))</f>
        <v/>
      </c>
      <c r="P2592" s="50">
        <f>IFERROR((I2592/T2592-1)/N2592,"")</f>
        <v/>
      </c>
      <c r="Q2592" s="46">
        <f>IF(OR(T2592="",I2592&lt;T2592),"",IFERROR(R2592/IF(G2592="",I2592,G2592)-1,""))</f>
        <v/>
      </c>
      <c r="R2592" s="48">
        <f>IF($M2592="","",MAX(IF($G2592="",$I2592,$G2592)*(1/1.1),IF($G2592="",$I2592,$G2592)+(R$2*$M2592)))</f>
        <v/>
      </c>
      <c r="S2592" s="49">
        <f>IF($M2592="","",MAX(IF($G2592="",$I2592,$G2592)*(1/1.1),IF($G2592="",$I2592,$G2592)+(S$2*$M2592)))</f>
        <v/>
      </c>
      <c r="T2592" s="82" t="n"/>
      <c r="U2592" s="47">
        <f>IF(OR($M2592="",$T2592=""),"",$T2592+(U$2*$M2592))</f>
        <v/>
      </c>
      <c r="V2592" s="48">
        <f>IF(OR($M2592="",$T2592=""),"",$T2592+(V$2*$M2592))</f>
        <v/>
      </c>
      <c r="W2592" s="48">
        <f>IF(OR($M2592="",$T2592=""),"",$T2592+(W$2*$M2592))</f>
        <v/>
      </c>
      <c r="X2592" s="49">
        <f>IF(OR($M2592="",$T2592=""),"",$T2592+(X$2*$M2592))</f>
        <v/>
      </c>
      <c r="Y2592" s="47">
        <f>IF(OR($M2592="",$T2592=""),"",$T2592+(Y$2*$M2592))</f>
        <v/>
      </c>
      <c r="Z2592" s="49">
        <f>IF(OR($M2592="",$T2592=""),"",$T2592+(Z$2*$M2592))</f>
        <v/>
      </c>
      <c r="AA2592" s="51">
        <f>IF(OR($M2592="",$T2592=""),"",$T2592+(AA$2*$M2592))</f>
        <v/>
      </c>
      <c r="AB2592" s="48">
        <f>IF(OR($M2592="",$T2592=""),"",$T2592+(AB$2*$M2592))</f>
        <v/>
      </c>
      <c r="AC2592" s="48">
        <f>IF(OR($M2592="",$T2592=""),"",$T2592+(AC$2*$M2592))</f>
        <v/>
      </c>
      <c r="AD2592" s="48">
        <f>IF(OR($M2592="",$T2592=""),"",$T2592+(AD$2*$M2592))</f>
        <v/>
      </c>
      <c r="AE2592" s="49">
        <f>IF(OR($M2592="",$T2592=""),"",$T2592+(AE$2*$M2592))</f>
        <v/>
      </c>
      <c r="AF2592" s="52">
        <f>IF(OR(T2592="",I2592&lt;T2592),"",IFERROR(AVERAGE(T2592+M2592*{7,8,9,10,11})/IF(G2592="",I2592,G2592)-1,""))</f>
        <v/>
      </c>
      <c r="AG2592" s="55">
        <f>IF(OR(T2592="",I2592&lt;T2592),"",IFERROR(AF2592/-(R2592/IF(G2592="",I2592,G2592)-1),""))</f>
        <v/>
      </c>
      <c r="AH2592" s="94" t="n"/>
      <c r="AI2592" s="94" t="n"/>
      <c r="AJ2592" s="94" t="n"/>
      <c r="AK2592" s="94" t="n"/>
      <c r="AL2592" s="84" t="n"/>
    </row>
    <row r="2593">
      <c r="A2593" s="64" t="n"/>
      <c r="B2593" s="65" t="n"/>
      <c r="C2593" s="66" t="n"/>
      <c r="D2593" s="67" t="n"/>
      <c r="E2593" s="68" t="n"/>
      <c r="F2593" s="47">
        <f>IF(A2593="","",IF(MIN(H2593,MAX(J2593:K2593))=0,"",MIN(H2593,MAX(J2593:K2593))))</f>
        <v/>
      </c>
      <c r="G2593" s="74" t="n"/>
      <c r="H2593" s="49">
        <f>IF(M2593="","",IFERROR(ROUND(AVERAGE(T2593+M2593*{7,8,9,10,11})/1.21,4),""))</f>
        <v/>
      </c>
      <c r="I2593" s="76" t="n"/>
      <c r="J2593" s="77" t="n"/>
      <c r="K2593" s="74" t="n"/>
      <c r="L2593" s="78" t="n"/>
      <c r="M2593" s="77" t="n"/>
      <c r="N2593" s="53">
        <f>IF(M2593="","",IFERROR(M2593/I2593,""))</f>
        <v/>
      </c>
      <c r="O2593" s="50">
        <f>IF(A2593="","",IFERROR((IF(G2593="",I2593,G2593)-T2593)/M2593,""))</f>
        <v/>
      </c>
      <c r="P2593" s="50">
        <f>IFERROR((I2593/T2593-1)/N2593,"")</f>
        <v/>
      </c>
      <c r="Q2593" s="46">
        <f>IF(OR(T2593="",I2593&lt;T2593),"",IFERROR(R2593/IF(G2593="",I2593,G2593)-1,""))</f>
        <v/>
      </c>
      <c r="R2593" s="48">
        <f>IF($M2593="","",MAX(IF($G2593="",$I2593,$G2593)*(1/1.1),IF($G2593="",$I2593,$G2593)+(R$2*$M2593)))</f>
        <v/>
      </c>
      <c r="S2593" s="49">
        <f>IF($M2593="","",MAX(IF($G2593="",$I2593,$G2593)*(1/1.1),IF($G2593="",$I2593,$G2593)+(S$2*$M2593)))</f>
        <v/>
      </c>
      <c r="T2593" s="82" t="n"/>
      <c r="U2593" s="47">
        <f>IF(OR($M2593="",$T2593=""),"",$T2593+(U$2*$M2593))</f>
        <v/>
      </c>
      <c r="V2593" s="48">
        <f>IF(OR($M2593="",$T2593=""),"",$T2593+(V$2*$M2593))</f>
        <v/>
      </c>
      <c r="W2593" s="48">
        <f>IF(OR($M2593="",$T2593=""),"",$T2593+(W$2*$M2593))</f>
        <v/>
      </c>
      <c r="X2593" s="49">
        <f>IF(OR($M2593="",$T2593=""),"",$T2593+(X$2*$M2593))</f>
        <v/>
      </c>
      <c r="Y2593" s="47">
        <f>IF(OR($M2593="",$T2593=""),"",$T2593+(Y$2*$M2593))</f>
        <v/>
      </c>
      <c r="Z2593" s="49">
        <f>IF(OR($M2593="",$T2593=""),"",$T2593+(Z$2*$M2593))</f>
        <v/>
      </c>
      <c r="AA2593" s="51">
        <f>IF(OR($M2593="",$T2593=""),"",$T2593+(AA$2*$M2593))</f>
        <v/>
      </c>
      <c r="AB2593" s="48">
        <f>IF(OR($M2593="",$T2593=""),"",$T2593+(AB$2*$M2593))</f>
        <v/>
      </c>
      <c r="AC2593" s="48">
        <f>IF(OR($M2593="",$T2593=""),"",$T2593+(AC$2*$M2593))</f>
        <v/>
      </c>
      <c r="AD2593" s="48">
        <f>IF(OR($M2593="",$T2593=""),"",$T2593+(AD$2*$M2593))</f>
        <v/>
      </c>
      <c r="AE2593" s="49">
        <f>IF(OR($M2593="",$T2593=""),"",$T2593+(AE$2*$M2593))</f>
        <v/>
      </c>
      <c r="AF2593" s="52">
        <f>IF(OR(T2593="",I2593&lt;T2593),"",IFERROR(AVERAGE(T2593+M2593*{7,8,9,10,11})/IF(G2593="",I2593,G2593)-1,""))</f>
        <v/>
      </c>
      <c r="AG2593" s="55">
        <f>IF(OR(T2593="",I2593&lt;T2593),"",IFERROR(AF2593/-(R2593/IF(G2593="",I2593,G2593)-1),""))</f>
        <v/>
      </c>
      <c r="AH2593" s="94" t="n"/>
      <c r="AI2593" s="94" t="n"/>
      <c r="AJ2593" s="94" t="n"/>
      <c r="AK2593" s="94" t="n"/>
      <c r="AL2593" s="84" t="n"/>
    </row>
    <row r="2594">
      <c r="A2594" s="64" t="n"/>
      <c r="B2594" s="65" t="n"/>
      <c r="C2594" s="66" t="n"/>
      <c r="D2594" s="67" t="n"/>
      <c r="E2594" s="68" t="n"/>
      <c r="F2594" s="47">
        <f>IF(A2594="","",IF(MIN(H2594,MAX(J2594:K2594))=0,"",MIN(H2594,MAX(J2594:K2594))))</f>
        <v/>
      </c>
      <c r="G2594" s="74" t="n"/>
      <c r="H2594" s="49">
        <f>IF(M2594="","",IFERROR(ROUND(AVERAGE(T2594+M2594*{7,8,9,10,11})/1.21,4),""))</f>
        <v/>
      </c>
      <c r="I2594" s="76" t="n"/>
      <c r="J2594" s="77" t="n"/>
      <c r="K2594" s="74" t="n"/>
      <c r="L2594" s="78" t="n"/>
      <c r="M2594" s="77" t="n"/>
      <c r="N2594" s="53">
        <f>IF(M2594="","",IFERROR(M2594/I2594,""))</f>
        <v/>
      </c>
      <c r="O2594" s="50">
        <f>IF(A2594="","",IFERROR((IF(G2594="",I2594,G2594)-T2594)/M2594,""))</f>
        <v/>
      </c>
      <c r="P2594" s="50">
        <f>IFERROR((I2594/T2594-1)/N2594,"")</f>
        <v/>
      </c>
      <c r="Q2594" s="46">
        <f>IF(OR(T2594="",I2594&lt;T2594),"",IFERROR(R2594/IF(G2594="",I2594,G2594)-1,""))</f>
        <v/>
      </c>
      <c r="R2594" s="48">
        <f>IF($M2594="","",MAX(IF($G2594="",$I2594,$G2594)*(1/1.1),IF($G2594="",$I2594,$G2594)+(R$2*$M2594)))</f>
        <v/>
      </c>
      <c r="S2594" s="49">
        <f>IF($M2594="","",MAX(IF($G2594="",$I2594,$G2594)*(1/1.1),IF($G2594="",$I2594,$G2594)+(S$2*$M2594)))</f>
        <v/>
      </c>
      <c r="T2594" s="82" t="n"/>
      <c r="U2594" s="47">
        <f>IF(OR($M2594="",$T2594=""),"",$T2594+(U$2*$M2594))</f>
        <v/>
      </c>
      <c r="V2594" s="48">
        <f>IF(OR($M2594="",$T2594=""),"",$T2594+(V$2*$M2594))</f>
        <v/>
      </c>
      <c r="W2594" s="48">
        <f>IF(OR($M2594="",$T2594=""),"",$T2594+(W$2*$M2594))</f>
        <v/>
      </c>
      <c r="X2594" s="49">
        <f>IF(OR($M2594="",$T2594=""),"",$T2594+(X$2*$M2594))</f>
        <v/>
      </c>
      <c r="Y2594" s="47">
        <f>IF(OR($M2594="",$T2594=""),"",$T2594+(Y$2*$M2594))</f>
        <v/>
      </c>
      <c r="Z2594" s="49">
        <f>IF(OR($M2594="",$T2594=""),"",$T2594+(Z$2*$M2594))</f>
        <v/>
      </c>
      <c r="AA2594" s="51">
        <f>IF(OR($M2594="",$T2594=""),"",$T2594+(AA$2*$M2594))</f>
        <v/>
      </c>
      <c r="AB2594" s="48">
        <f>IF(OR($M2594="",$T2594=""),"",$T2594+(AB$2*$M2594))</f>
        <v/>
      </c>
      <c r="AC2594" s="48">
        <f>IF(OR($M2594="",$T2594=""),"",$T2594+(AC$2*$M2594))</f>
        <v/>
      </c>
      <c r="AD2594" s="48">
        <f>IF(OR($M2594="",$T2594=""),"",$T2594+(AD$2*$M2594))</f>
        <v/>
      </c>
      <c r="AE2594" s="49">
        <f>IF(OR($M2594="",$T2594=""),"",$T2594+(AE$2*$M2594))</f>
        <v/>
      </c>
      <c r="AF2594" s="52">
        <f>IF(OR(T2594="",I2594&lt;T2594),"",IFERROR(AVERAGE(T2594+M2594*{7,8,9,10,11})/IF(G2594="",I2594,G2594)-1,""))</f>
        <v/>
      </c>
      <c r="AG2594" s="55">
        <f>IF(OR(T2594="",I2594&lt;T2594),"",IFERROR(AF2594/-(R2594/IF(G2594="",I2594,G2594)-1),""))</f>
        <v/>
      </c>
      <c r="AH2594" s="94" t="n"/>
      <c r="AI2594" s="94" t="n"/>
      <c r="AJ2594" s="94" t="n"/>
      <c r="AK2594" s="94" t="n"/>
      <c r="AL2594" s="84" t="n"/>
    </row>
    <row r="2595">
      <c r="A2595" s="64" t="n"/>
      <c r="B2595" s="65" t="n"/>
      <c r="C2595" s="66" t="n"/>
      <c r="D2595" s="67" t="n"/>
      <c r="E2595" s="68" t="n"/>
      <c r="F2595" s="47">
        <f>IF(A2595="","",IF(MIN(H2595,MAX(J2595:K2595))=0,"",MIN(H2595,MAX(J2595:K2595))))</f>
        <v/>
      </c>
      <c r="G2595" s="74" t="n"/>
      <c r="H2595" s="49">
        <f>IF(M2595="","",IFERROR(ROUND(AVERAGE(T2595+M2595*{7,8,9,10,11})/1.21,4),""))</f>
        <v/>
      </c>
      <c r="I2595" s="76" t="n"/>
      <c r="J2595" s="77" t="n"/>
      <c r="K2595" s="74" t="n"/>
      <c r="L2595" s="78" t="n"/>
      <c r="M2595" s="77" t="n"/>
      <c r="N2595" s="53">
        <f>IF(M2595="","",IFERROR(M2595/I2595,""))</f>
        <v/>
      </c>
      <c r="O2595" s="50">
        <f>IF(A2595="","",IFERROR((IF(G2595="",I2595,G2595)-T2595)/M2595,""))</f>
        <v/>
      </c>
      <c r="P2595" s="50">
        <f>IFERROR((I2595/T2595-1)/N2595,"")</f>
        <v/>
      </c>
      <c r="Q2595" s="46">
        <f>IF(OR(T2595="",I2595&lt;T2595),"",IFERROR(R2595/IF(G2595="",I2595,G2595)-1,""))</f>
        <v/>
      </c>
      <c r="R2595" s="48">
        <f>IF($M2595="","",MAX(IF($G2595="",$I2595,$G2595)*(1/1.1),IF($G2595="",$I2595,$G2595)+(R$2*$M2595)))</f>
        <v/>
      </c>
      <c r="S2595" s="49">
        <f>IF($M2595="","",MAX(IF($G2595="",$I2595,$G2595)*(1/1.1),IF($G2595="",$I2595,$G2595)+(S$2*$M2595)))</f>
        <v/>
      </c>
      <c r="T2595" s="82" t="n"/>
      <c r="U2595" s="47">
        <f>IF(OR($M2595="",$T2595=""),"",$T2595+(U$2*$M2595))</f>
        <v/>
      </c>
      <c r="V2595" s="48">
        <f>IF(OR($M2595="",$T2595=""),"",$T2595+(V$2*$M2595))</f>
        <v/>
      </c>
      <c r="W2595" s="48">
        <f>IF(OR($M2595="",$T2595=""),"",$T2595+(W$2*$M2595))</f>
        <v/>
      </c>
      <c r="X2595" s="49">
        <f>IF(OR($M2595="",$T2595=""),"",$T2595+(X$2*$M2595))</f>
        <v/>
      </c>
      <c r="Y2595" s="47">
        <f>IF(OR($M2595="",$T2595=""),"",$T2595+(Y$2*$M2595))</f>
        <v/>
      </c>
      <c r="Z2595" s="49">
        <f>IF(OR($M2595="",$T2595=""),"",$T2595+(Z$2*$M2595))</f>
        <v/>
      </c>
      <c r="AA2595" s="51">
        <f>IF(OR($M2595="",$T2595=""),"",$T2595+(AA$2*$M2595))</f>
        <v/>
      </c>
      <c r="AB2595" s="48">
        <f>IF(OR($M2595="",$T2595=""),"",$T2595+(AB$2*$M2595))</f>
        <v/>
      </c>
      <c r="AC2595" s="48">
        <f>IF(OR($M2595="",$T2595=""),"",$T2595+(AC$2*$M2595))</f>
        <v/>
      </c>
      <c r="AD2595" s="48">
        <f>IF(OR($M2595="",$T2595=""),"",$T2595+(AD$2*$M2595))</f>
        <v/>
      </c>
      <c r="AE2595" s="49">
        <f>IF(OR($M2595="",$T2595=""),"",$T2595+(AE$2*$M2595))</f>
        <v/>
      </c>
      <c r="AF2595" s="52">
        <f>IF(OR(T2595="",I2595&lt;T2595),"",IFERROR(AVERAGE(T2595+M2595*{7,8,9,10,11})/IF(G2595="",I2595,G2595)-1,""))</f>
        <v/>
      </c>
      <c r="AG2595" s="55">
        <f>IF(OR(T2595="",I2595&lt;T2595),"",IFERROR(AF2595/-(R2595/IF(G2595="",I2595,G2595)-1),""))</f>
        <v/>
      </c>
      <c r="AH2595" s="94" t="n"/>
      <c r="AI2595" s="94" t="n"/>
      <c r="AJ2595" s="94" t="n"/>
      <c r="AK2595" s="94" t="n"/>
      <c r="AL2595" s="84" t="n"/>
    </row>
    <row r="2596">
      <c r="A2596" s="64" t="n"/>
      <c r="B2596" s="65" t="n"/>
      <c r="C2596" s="66" t="n"/>
      <c r="D2596" s="67" t="n"/>
      <c r="E2596" s="68" t="n"/>
      <c r="F2596" s="47">
        <f>IF(A2596="","",IF(MIN(H2596,MAX(J2596:K2596))=0,"",MIN(H2596,MAX(J2596:K2596))))</f>
        <v/>
      </c>
      <c r="G2596" s="74" t="n"/>
      <c r="H2596" s="49">
        <f>IF(M2596="","",IFERROR(ROUND(AVERAGE(T2596+M2596*{7,8,9,10,11})/1.21,4),""))</f>
        <v/>
      </c>
      <c r="I2596" s="76" t="n"/>
      <c r="J2596" s="77" t="n"/>
      <c r="K2596" s="74" t="n"/>
      <c r="L2596" s="78" t="n"/>
      <c r="M2596" s="77" t="n"/>
      <c r="N2596" s="53">
        <f>IF(M2596="","",IFERROR(M2596/I2596,""))</f>
        <v/>
      </c>
      <c r="O2596" s="50">
        <f>IF(A2596="","",IFERROR((IF(G2596="",I2596,G2596)-T2596)/M2596,""))</f>
        <v/>
      </c>
      <c r="P2596" s="50">
        <f>IFERROR((I2596/T2596-1)/N2596,"")</f>
        <v/>
      </c>
      <c r="Q2596" s="46">
        <f>IF(OR(T2596="",I2596&lt;T2596),"",IFERROR(R2596/IF(G2596="",I2596,G2596)-1,""))</f>
        <v/>
      </c>
      <c r="R2596" s="48">
        <f>IF($M2596="","",MAX(IF($G2596="",$I2596,$G2596)*(1/1.1),IF($G2596="",$I2596,$G2596)+(R$2*$M2596)))</f>
        <v/>
      </c>
      <c r="S2596" s="49">
        <f>IF($M2596="","",MAX(IF($G2596="",$I2596,$G2596)*(1/1.1),IF($G2596="",$I2596,$G2596)+(S$2*$M2596)))</f>
        <v/>
      </c>
      <c r="T2596" s="82" t="n"/>
      <c r="U2596" s="47">
        <f>IF(OR($M2596="",$T2596=""),"",$T2596+(U$2*$M2596))</f>
        <v/>
      </c>
      <c r="V2596" s="48">
        <f>IF(OR($M2596="",$T2596=""),"",$T2596+(V$2*$M2596))</f>
        <v/>
      </c>
      <c r="W2596" s="48">
        <f>IF(OR($M2596="",$T2596=""),"",$T2596+(W$2*$M2596))</f>
        <v/>
      </c>
      <c r="X2596" s="49">
        <f>IF(OR($M2596="",$T2596=""),"",$T2596+(X$2*$M2596))</f>
        <v/>
      </c>
      <c r="Y2596" s="47">
        <f>IF(OR($M2596="",$T2596=""),"",$T2596+(Y$2*$M2596))</f>
        <v/>
      </c>
      <c r="Z2596" s="49">
        <f>IF(OR($M2596="",$T2596=""),"",$T2596+(Z$2*$M2596))</f>
        <v/>
      </c>
      <c r="AA2596" s="51">
        <f>IF(OR($M2596="",$T2596=""),"",$T2596+(AA$2*$M2596))</f>
        <v/>
      </c>
      <c r="AB2596" s="48">
        <f>IF(OR($M2596="",$T2596=""),"",$T2596+(AB$2*$M2596))</f>
        <v/>
      </c>
      <c r="AC2596" s="48">
        <f>IF(OR($M2596="",$T2596=""),"",$T2596+(AC$2*$M2596))</f>
        <v/>
      </c>
      <c r="AD2596" s="48">
        <f>IF(OR($M2596="",$T2596=""),"",$T2596+(AD$2*$M2596))</f>
        <v/>
      </c>
      <c r="AE2596" s="49">
        <f>IF(OR($M2596="",$T2596=""),"",$T2596+(AE$2*$M2596))</f>
        <v/>
      </c>
      <c r="AF2596" s="52">
        <f>IF(OR(T2596="",I2596&lt;T2596),"",IFERROR(AVERAGE(T2596+M2596*{7,8,9,10,11})/IF(G2596="",I2596,G2596)-1,""))</f>
        <v/>
      </c>
      <c r="AG2596" s="55">
        <f>IF(OR(T2596="",I2596&lt;T2596),"",IFERROR(AF2596/-(R2596/IF(G2596="",I2596,G2596)-1),""))</f>
        <v/>
      </c>
      <c r="AH2596" s="94" t="n"/>
      <c r="AI2596" s="94" t="n"/>
      <c r="AJ2596" s="94" t="n"/>
      <c r="AK2596" s="94" t="n"/>
      <c r="AL2596" s="84" t="n"/>
    </row>
    <row r="2597">
      <c r="A2597" s="64" t="n"/>
      <c r="B2597" s="65" t="n"/>
      <c r="C2597" s="66" t="n"/>
      <c r="D2597" s="67" t="n"/>
      <c r="E2597" s="68" t="n"/>
      <c r="F2597" s="47">
        <f>IF(A2597="","",IF(MIN(H2597,MAX(J2597:K2597))=0,"",MIN(H2597,MAX(J2597:K2597))))</f>
        <v/>
      </c>
      <c r="G2597" s="74" t="n"/>
      <c r="H2597" s="49">
        <f>IF(M2597="","",IFERROR(ROUND(AVERAGE(T2597+M2597*{7,8,9,10,11})/1.21,4),""))</f>
        <v/>
      </c>
      <c r="I2597" s="76" t="n"/>
      <c r="J2597" s="77" t="n"/>
      <c r="K2597" s="74" t="n"/>
      <c r="L2597" s="78" t="n"/>
      <c r="M2597" s="77" t="n"/>
      <c r="N2597" s="53">
        <f>IF(M2597="","",IFERROR(M2597/I2597,""))</f>
        <v/>
      </c>
      <c r="O2597" s="50">
        <f>IF(A2597="","",IFERROR((IF(G2597="",I2597,G2597)-T2597)/M2597,""))</f>
        <v/>
      </c>
      <c r="P2597" s="50">
        <f>IFERROR((I2597/T2597-1)/N2597,"")</f>
        <v/>
      </c>
      <c r="Q2597" s="46">
        <f>IF(OR(T2597="",I2597&lt;T2597),"",IFERROR(R2597/IF(G2597="",I2597,G2597)-1,""))</f>
        <v/>
      </c>
      <c r="R2597" s="48">
        <f>IF($M2597="","",MAX(IF($G2597="",$I2597,$G2597)*(1/1.1),IF($G2597="",$I2597,$G2597)+(R$2*$M2597)))</f>
        <v/>
      </c>
      <c r="S2597" s="49">
        <f>IF($M2597="","",MAX(IF($G2597="",$I2597,$G2597)*(1/1.1),IF($G2597="",$I2597,$G2597)+(S$2*$M2597)))</f>
        <v/>
      </c>
      <c r="T2597" s="82" t="n"/>
      <c r="U2597" s="47">
        <f>IF(OR($M2597="",$T2597=""),"",$T2597+(U$2*$M2597))</f>
        <v/>
      </c>
      <c r="V2597" s="48">
        <f>IF(OR($M2597="",$T2597=""),"",$T2597+(V$2*$M2597))</f>
        <v/>
      </c>
      <c r="W2597" s="48">
        <f>IF(OR($M2597="",$T2597=""),"",$T2597+(W$2*$M2597))</f>
        <v/>
      </c>
      <c r="X2597" s="49">
        <f>IF(OR($M2597="",$T2597=""),"",$T2597+(X$2*$M2597))</f>
        <v/>
      </c>
      <c r="Y2597" s="47">
        <f>IF(OR($M2597="",$T2597=""),"",$T2597+(Y$2*$M2597))</f>
        <v/>
      </c>
      <c r="Z2597" s="49">
        <f>IF(OR($M2597="",$T2597=""),"",$T2597+(Z$2*$M2597))</f>
        <v/>
      </c>
      <c r="AA2597" s="51">
        <f>IF(OR($M2597="",$T2597=""),"",$T2597+(AA$2*$M2597))</f>
        <v/>
      </c>
      <c r="AB2597" s="48">
        <f>IF(OR($M2597="",$T2597=""),"",$T2597+(AB$2*$M2597))</f>
        <v/>
      </c>
      <c r="AC2597" s="48">
        <f>IF(OR($M2597="",$T2597=""),"",$T2597+(AC$2*$M2597))</f>
        <v/>
      </c>
      <c r="AD2597" s="48">
        <f>IF(OR($M2597="",$T2597=""),"",$T2597+(AD$2*$M2597))</f>
        <v/>
      </c>
      <c r="AE2597" s="49">
        <f>IF(OR($M2597="",$T2597=""),"",$T2597+(AE$2*$M2597))</f>
        <v/>
      </c>
      <c r="AF2597" s="52">
        <f>IF(OR(T2597="",I2597&lt;T2597),"",IFERROR(AVERAGE(T2597+M2597*{7,8,9,10,11})/IF(G2597="",I2597,G2597)-1,""))</f>
        <v/>
      </c>
      <c r="AG2597" s="55">
        <f>IF(OR(T2597="",I2597&lt;T2597),"",IFERROR(AF2597/-(R2597/IF(G2597="",I2597,G2597)-1),""))</f>
        <v/>
      </c>
      <c r="AH2597" s="94" t="n"/>
      <c r="AI2597" s="94" t="n"/>
      <c r="AJ2597" s="94" t="n"/>
      <c r="AK2597" s="94" t="n"/>
      <c r="AL2597" s="84" t="n"/>
    </row>
    <row r="2598">
      <c r="A2598" s="64" t="n"/>
      <c r="B2598" s="65" t="n"/>
      <c r="C2598" s="66" t="n"/>
      <c r="D2598" s="67" t="n"/>
      <c r="E2598" s="68" t="n"/>
      <c r="F2598" s="47">
        <f>IF(A2598="","",IF(MIN(H2598,MAX(J2598:K2598))=0,"",MIN(H2598,MAX(J2598:K2598))))</f>
        <v/>
      </c>
      <c r="G2598" s="74" t="n"/>
      <c r="H2598" s="49">
        <f>IF(M2598="","",IFERROR(ROUND(AVERAGE(T2598+M2598*{7,8,9,10,11})/1.21,4),""))</f>
        <v/>
      </c>
      <c r="I2598" s="76" t="n"/>
      <c r="J2598" s="77" t="n"/>
      <c r="K2598" s="74" t="n"/>
      <c r="L2598" s="78" t="n"/>
      <c r="M2598" s="77" t="n"/>
      <c r="N2598" s="53">
        <f>IF(M2598="","",IFERROR(M2598/I2598,""))</f>
        <v/>
      </c>
      <c r="O2598" s="50">
        <f>IF(A2598="","",IFERROR((IF(G2598="",I2598,G2598)-T2598)/M2598,""))</f>
        <v/>
      </c>
      <c r="P2598" s="50">
        <f>IFERROR((I2598/T2598-1)/N2598,"")</f>
        <v/>
      </c>
      <c r="Q2598" s="46">
        <f>IF(OR(T2598="",I2598&lt;T2598),"",IFERROR(R2598/IF(G2598="",I2598,G2598)-1,""))</f>
        <v/>
      </c>
      <c r="R2598" s="48">
        <f>IF($M2598="","",MAX(IF($G2598="",$I2598,$G2598)*(1/1.1),IF($G2598="",$I2598,$G2598)+(R$2*$M2598)))</f>
        <v/>
      </c>
      <c r="S2598" s="49">
        <f>IF($M2598="","",MAX(IF($G2598="",$I2598,$G2598)*(1/1.1),IF($G2598="",$I2598,$G2598)+(S$2*$M2598)))</f>
        <v/>
      </c>
      <c r="T2598" s="82" t="n"/>
      <c r="U2598" s="47">
        <f>IF(OR($M2598="",$T2598=""),"",$T2598+(U$2*$M2598))</f>
        <v/>
      </c>
      <c r="V2598" s="48">
        <f>IF(OR($M2598="",$T2598=""),"",$T2598+(V$2*$M2598))</f>
        <v/>
      </c>
      <c r="W2598" s="48">
        <f>IF(OR($M2598="",$T2598=""),"",$T2598+(W$2*$M2598))</f>
        <v/>
      </c>
      <c r="X2598" s="49">
        <f>IF(OR($M2598="",$T2598=""),"",$T2598+(X$2*$M2598))</f>
        <v/>
      </c>
      <c r="Y2598" s="47">
        <f>IF(OR($M2598="",$T2598=""),"",$T2598+(Y$2*$M2598))</f>
        <v/>
      </c>
      <c r="Z2598" s="49">
        <f>IF(OR($M2598="",$T2598=""),"",$T2598+(Z$2*$M2598))</f>
        <v/>
      </c>
      <c r="AA2598" s="51">
        <f>IF(OR($M2598="",$T2598=""),"",$T2598+(AA$2*$M2598))</f>
        <v/>
      </c>
      <c r="AB2598" s="48">
        <f>IF(OR($M2598="",$T2598=""),"",$T2598+(AB$2*$M2598))</f>
        <v/>
      </c>
      <c r="AC2598" s="48">
        <f>IF(OR($M2598="",$T2598=""),"",$T2598+(AC$2*$M2598))</f>
        <v/>
      </c>
      <c r="AD2598" s="48">
        <f>IF(OR($M2598="",$T2598=""),"",$T2598+(AD$2*$M2598))</f>
        <v/>
      </c>
      <c r="AE2598" s="49">
        <f>IF(OR($M2598="",$T2598=""),"",$T2598+(AE$2*$M2598))</f>
        <v/>
      </c>
      <c r="AF2598" s="52">
        <f>IF(OR(T2598="",I2598&lt;T2598),"",IFERROR(AVERAGE(T2598+M2598*{7,8,9,10,11})/IF(G2598="",I2598,G2598)-1,""))</f>
        <v/>
      </c>
      <c r="AG2598" s="55">
        <f>IF(OR(T2598="",I2598&lt;T2598),"",IFERROR(AF2598/-(R2598/IF(G2598="",I2598,G2598)-1),""))</f>
        <v/>
      </c>
      <c r="AH2598" s="94" t="n"/>
      <c r="AI2598" s="94" t="n"/>
      <c r="AJ2598" s="94" t="n"/>
      <c r="AK2598" s="94" t="n"/>
      <c r="AL2598" s="84" t="n"/>
    </row>
    <row r="2599">
      <c r="A2599" s="64" t="n"/>
      <c r="B2599" s="65" t="n"/>
      <c r="C2599" s="66" t="n"/>
      <c r="D2599" s="67" t="n"/>
      <c r="E2599" s="68" t="n"/>
      <c r="F2599" s="47">
        <f>IF(A2599="","",IF(MIN(H2599,MAX(J2599:K2599))=0,"",MIN(H2599,MAX(J2599:K2599))))</f>
        <v/>
      </c>
      <c r="G2599" s="74" t="n"/>
      <c r="H2599" s="49">
        <f>IF(M2599="","",IFERROR(ROUND(AVERAGE(T2599+M2599*{7,8,9,10,11})/1.21,4),""))</f>
        <v/>
      </c>
      <c r="I2599" s="76" t="n"/>
      <c r="J2599" s="77" t="n"/>
      <c r="K2599" s="74" t="n"/>
      <c r="L2599" s="78" t="n"/>
      <c r="M2599" s="77" t="n"/>
      <c r="N2599" s="53">
        <f>IF(M2599="","",IFERROR(M2599/I2599,""))</f>
        <v/>
      </c>
      <c r="O2599" s="50">
        <f>IF(A2599="","",IFERROR((IF(G2599="",I2599,G2599)-T2599)/M2599,""))</f>
        <v/>
      </c>
      <c r="P2599" s="50">
        <f>IFERROR((I2599/T2599-1)/N2599,"")</f>
        <v/>
      </c>
      <c r="Q2599" s="46">
        <f>IF(OR(T2599="",I2599&lt;T2599),"",IFERROR(R2599/IF(G2599="",I2599,G2599)-1,""))</f>
        <v/>
      </c>
      <c r="R2599" s="48">
        <f>IF($M2599="","",MAX(IF($G2599="",$I2599,$G2599)*(1/1.1),IF($G2599="",$I2599,$G2599)+(R$2*$M2599)))</f>
        <v/>
      </c>
      <c r="S2599" s="49">
        <f>IF($M2599="","",MAX(IF($G2599="",$I2599,$G2599)*(1/1.1),IF($G2599="",$I2599,$G2599)+(S$2*$M2599)))</f>
        <v/>
      </c>
      <c r="T2599" s="82" t="n"/>
      <c r="U2599" s="47">
        <f>IF(OR($M2599="",$T2599=""),"",$T2599+(U$2*$M2599))</f>
        <v/>
      </c>
      <c r="V2599" s="48">
        <f>IF(OR($M2599="",$T2599=""),"",$T2599+(V$2*$M2599))</f>
        <v/>
      </c>
      <c r="W2599" s="48">
        <f>IF(OR($M2599="",$T2599=""),"",$T2599+(W$2*$M2599))</f>
        <v/>
      </c>
      <c r="X2599" s="49">
        <f>IF(OR($M2599="",$T2599=""),"",$T2599+(X$2*$M2599))</f>
        <v/>
      </c>
      <c r="Y2599" s="47">
        <f>IF(OR($M2599="",$T2599=""),"",$T2599+(Y$2*$M2599))</f>
        <v/>
      </c>
      <c r="Z2599" s="49">
        <f>IF(OR($M2599="",$T2599=""),"",$T2599+(Z$2*$M2599))</f>
        <v/>
      </c>
      <c r="AA2599" s="51">
        <f>IF(OR($M2599="",$T2599=""),"",$T2599+(AA$2*$M2599))</f>
        <v/>
      </c>
      <c r="AB2599" s="48">
        <f>IF(OR($M2599="",$T2599=""),"",$T2599+(AB$2*$M2599))</f>
        <v/>
      </c>
      <c r="AC2599" s="48">
        <f>IF(OR($M2599="",$T2599=""),"",$T2599+(AC$2*$M2599))</f>
        <v/>
      </c>
      <c r="AD2599" s="48">
        <f>IF(OR($M2599="",$T2599=""),"",$T2599+(AD$2*$M2599))</f>
        <v/>
      </c>
      <c r="AE2599" s="49">
        <f>IF(OR($M2599="",$T2599=""),"",$T2599+(AE$2*$M2599))</f>
        <v/>
      </c>
      <c r="AF2599" s="52">
        <f>IF(OR(T2599="",I2599&lt;T2599),"",IFERROR(AVERAGE(T2599+M2599*{7,8,9,10,11})/IF(G2599="",I2599,G2599)-1,""))</f>
        <v/>
      </c>
      <c r="AG2599" s="55">
        <f>IF(OR(T2599="",I2599&lt;T2599),"",IFERROR(AF2599/-(R2599/IF(G2599="",I2599,G2599)-1),""))</f>
        <v/>
      </c>
      <c r="AH2599" s="94" t="n"/>
      <c r="AI2599" s="94" t="n"/>
      <c r="AJ2599" s="94" t="n"/>
      <c r="AK2599" s="94" t="n"/>
      <c r="AL2599" s="84" t="n"/>
    </row>
    <row r="2600">
      <c r="A2600" s="64" t="n"/>
      <c r="B2600" s="65" t="n"/>
      <c r="C2600" s="66" t="n"/>
      <c r="D2600" s="67" t="n"/>
      <c r="E2600" s="68" t="n"/>
      <c r="F2600" s="47">
        <f>IF(A2600="","",IF(MIN(H2600,MAX(J2600:K2600))=0,"",MIN(H2600,MAX(J2600:K2600))))</f>
        <v/>
      </c>
      <c r="G2600" s="74" t="n"/>
      <c r="H2600" s="49">
        <f>IF(M2600="","",IFERROR(ROUND(AVERAGE(T2600+M2600*{7,8,9,10,11})/1.21,4),""))</f>
        <v/>
      </c>
      <c r="I2600" s="76" t="n"/>
      <c r="J2600" s="77" t="n"/>
      <c r="K2600" s="74" t="n"/>
      <c r="L2600" s="78" t="n"/>
      <c r="M2600" s="77" t="n"/>
      <c r="N2600" s="53">
        <f>IF(M2600="","",IFERROR(M2600/I2600,""))</f>
        <v/>
      </c>
      <c r="O2600" s="50">
        <f>IF(A2600="","",IFERROR((IF(G2600="",I2600,G2600)-T2600)/M2600,""))</f>
        <v/>
      </c>
      <c r="P2600" s="50">
        <f>IFERROR((I2600/T2600-1)/N2600,"")</f>
        <v/>
      </c>
      <c r="Q2600" s="46">
        <f>IF(OR(T2600="",I2600&lt;T2600),"",IFERROR(R2600/IF(G2600="",I2600,G2600)-1,""))</f>
        <v/>
      </c>
      <c r="R2600" s="48">
        <f>IF($M2600="","",MAX(IF($G2600="",$I2600,$G2600)*(1/1.1),IF($G2600="",$I2600,$G2600)+(R$2*$M2600)))</f>
        <v/>
      </c>
      <c r="S2600" s="49">
        <f>IF($M2600="","",MAX(IF($G2600="",$I2600,$G2600)*(1/1.1),IF($G2600="",$I2600,$G2600)+(S$2*$M2600)))</f>
        <v/>
      </c>
      <c r="T2600" s="82" t="n"/>
      <c r="U2600" s="47">
        <f>IF(OR($M2600="",$T2600=""),"",$T2600+(U$2*$M2600))</f>
        <v/>
      </c>
      <c r="V2600" s="48">
        <f>IF(OR($M2600="",$T2600=""),"",$T2600+(V$2*$M2600))</f>
        <v/>
      </c>
      <c r="W2600" s="48">
        <f>IF(OR($M2600="",$T2600=""),"",$T2600+(W$2*$M2600))</f>
        <v/>
      </c>
      <c r="X2600" s="49">
        <f>IF(OR($M2600="",$T2600=""),"",$T2600+(X$2*$M2600))</f>
        <v/>
      </c>
      <c r="Y2600" s="47">
        <f>IF(OR($M2600="",$T2600=""),"",$T2600+(Y$2*$M2600))</f>
        <v/>
      </c>
      <c r="Z2600" s="49">
        <f>IF(OR($M2600="",$T2600=""),"",$T2600+(Z$2*$M2600))</f>
        <v/>
      </c>
      <c r="AA2600" s="51">
        <f>IF(OR($M2600="",$T2600=""),"",$T2600+(AA$2*$M2600))</f>
        <v/>
      </c>
      <c r="AB2600" s="48">
        <f>IF(OR($M2600="",$T2600=""),"",$T2600+(AB$2*$M2600))</f>
        <v/>
      </c>
      <c r="AC2600" s="48">
        <f>IF(OR($M2600="",$T2600=""),"",$T2600+(AC$2*$M2600))</f>
        <v/>
      </c>
      <c r="AD2600" s="48">
        <f>IF(OR($M2600="",$T2600=""),"",$T2600+(AD$2*$M2600))</f>
        <v/>
      </c>
      <c r="AE2600" s="49">
        <f>IF(OR($M2600="",$T2600=""),"",$T2600+(AE$2*$M2600))</f>
        <v/>
      </c>
      <c r="AF2600" s="52">
        <f>IF(OR(T2600="",I2600&lt;T2600),"",IFERROR(AVERAGE(T2600+M2600*{7,8,9,10,11})/IF(G2600="",I2600,G2600)-1,""))</f>
        <v/>
      </c>
      <c r="AG2600" s="55">
        <f>IF(OR(T2600="",I2600&lt;T2600),"",IFERROR(AF2600/-(R2600/IF(G2600="",I2600,G2600)-1),""))</f>
        <v/>
      </c>
      <c r="AH2600" s="94" t="n"/>
      <c r="AI2600" s="94" t="n"/>
      <c r="AJ2600" s="94" t="n"/>
      <c r="AK2600" s="94" t="n"/>
      <c r="AL2600" s="84" t="n"/>
    </row>
    <row r="2601">
      <c r="A2601" s="64" t="n"/>
      <c r="B2601" s="65" t="n"/>
      <c r="C2601" s="66" t="n"/>
      <c r="D2601" s="67" t="n"/>
      <c r="E2601" s="68" t="n"/>
      <c r="F2601" s="47">
        <f>IF(A2601="","",IF(MIN(H2601,MAX(J2601:K2601))=0,"",MIN(H2601,MAX(J2601:K2601))))</f>
        <v/>
      </c>
      <c r="G2601" s="74" t="n"/>
      <c r="H2601" s="49">
        <f>IF(M2601="","",IFERROR(ROUND(AVERAGE(T2601+M2601*{7,8,9,10,11})/1.21,4),""))</f>
        <v/>
      </c>
      <c r="I2601" s="76" t="n"/>
      <c r="J2601" s="77" t="n"/>
      <c r="K2601" s="74" t="n"/>
      <c r="L2601" s="78" t="n"/>
      <c r="M2601" s="77" t="n"/>
      <c r="N2601" s="53">
        <f>IF(M2601="","",IFERROR(M2601/I2601,""))</f>
        <v/>
      </c>
      <c r="O2601" s="50">
        <f>IF(A2601="","",IFERROR((IF(G2601="",I2601,G2601)-T2601)/M2601,""))</f>
        <v/>
      </c>
      <c r="P2601" s="50">
        <f>IFERROR((I2601/T2601-1)/N2601,"")</f>
        <v/>
      </c>
      <c r="Q2601" s="46">
        <f>IF(OR(T2601="",I2601&lt;T2601),"",IFERROR(R2601/IF(G2601="",I2601,G2601)-1,""))</f>
        <v/>
      </c>
      <c r="R2601" s="48">
        <f>IF($M2601="","",MAX(IF($G2601="",$I2601,$G2601)*(1/1.1),IF($G2601="",$I2601,$G2601)+(R$2*$M2601)))</f>
        <v/>
      </c>
      <c r="S2601" s="49">
        <f>IF($M2601="","",MAX(IF($G2601="",$I2601,$G2601)*(1/1.1),IF($G2601="",$I2601,$G2601)+(S$2*$M2601)))</f>
        <v/>
      </c>
      <c r="T2601" s="82" t="n"/>
      <c r="U2601" s="47">
        <f>IF(OR($M2601="",$T2601=""),"",$T2601+(U$2*$M2601))</f>
        <v/>
      </c>
      <c r="V2601" s="48">
        <f>IF(OR($M2601="",$T2601=""),"",$T2601+(V$2*$M2601))</f>
        <v/>
      </c>
      <c r="W2601" s="48">
        <f>IF(OR($M2601="",$T2601=""),"",$T2601+(W$2*$M2601))</f>
        <v/>
      </c>
      <c r="X2601" s="49">
        <f>IF(OR($M2601="",$T2601=""),"",$T2601+(X$2*$M2601))</f>
        <v/>
      </c>
      <c r="Y2601" s="47">
        <f>IF(OR($M2601="",$T2601=""),"",$T2601+(Y$2*$M2601))</f>
        <v/>
      </c>
      <c r="Z2601" s="49">
        <f>IF(OR($M2601="",$T2601=""),"",$T2601+(Z$2*$M2601))</f>
        <v/>
      </c>
      <c r="AA2601" s="51">
        <f>IF(OR($M2601="",$T2601=""),"",$T2601+(AA$2*$M2601))</f>
        <v/>
      </c>
      <c r="AB2601" s="48">
        <f>IF(OR($M2601="",$T2601=""),"",$T2601+(AB$2*$M2601))</f>
        <v/>
      </c>
      <c r="AC2601" s="48">
        <f>IF(OR($M2601="",$T2601=""),"",$T2601+(AC$2*$M2601))</f>
        <v/>
      </c>
      <c r="AD2601" s="48">
        <f>IF(OR($M2601="",$T2601=""),"",$T2601+(AD$2*$M2601))</f>
        <v/>
      </c>
      <c r="AE2601" s="49">
        <f>IF(OR($M2601="",$T2601=""),"",$T2601+(AE$2*$M2601))</f>
        <v/>
      </c>
      <c r="AF2601" s="52">
        <f>IF(OR(T2601="",I2601&lt;T2601),"",IFERROR(AVERAGE(T2601+M2601*{7,8,9,10,11})/IF(G2601="",I2601,G2601)-1,""))</f>
        <v/>
      </c>
      <c r="AG2601" s="55">
        <f>IF(OR(T2601="",I2601&lt;T2601),"",IFERROR(AF2601/-(R2601/IF(G2601="",I2601,G2601)-1),""))</f>
        <v/>
      </c>
      <c r="AH2601" s="94" t="n"/>
      <c r="AI2601" s="94" t="n"/>
      <c r="AJ2601" s="94" t="n"/>
      <c r="AK2601" s="94" t="n"/>
      <c r="AL2601" s="84" t="n"/>
    </row>
    <row r="2602">
      <c r="A2602" s="64" t="n"/>
      <c r="B2602" s="65" t="n"/>
      <c r="C2602" s="66" t="n"/>
      <c r="D2602" s="67" t="n"/>
      <c r="E2602" s="68" t="n"/>
      <c r="F2602" s="47">
        <f>IF(A2602="","",IF(MIN(H2602,MAX(J2602:K2602))=0,"",MIN(H2602,MAX(J2602:K2602))))</f>
        <v/>
      </c>
      <c r="G2602" s="74" t="n"/>
      <c r="H2602" s="49">
        <f>IF(M2602="","",IFERROR(ROUND(AVERAGE(T2602+M2602*{7,8,9,10,11})/1.21,4),""))</f>
        <v/>
      </c>
      <c r="I2602" s="76" t="n"/>
      <c r="J2602" s="77" t="n"/>
      <c r="K2602" s="74" t="n"/>
      <c r="L2602" s="78" t="n"/>
      <c r="M2602" s="77" t="n"/>
      <c r="N2602" s="53">
        <f>IF(M2602="","",IFERROR(M2602/I2602,""))</f>
        <v/>
      </c>
      <c r="O2602" s="50">
        <f>IF(A2602="","",IFERROR((IF(G2602="",I2602,G2602)-T2602)/M2602,""))</f>
        <v/>
      </c>
      <c r="P2602" s="50">
        <f>IFERROR((I2602/T2602-1)/N2602,"")</f>
        <v/>
      </c>
      <c r="Q2602" s="46">
        <f>IF(OR(T2602="",I2602&lt;T2602),"",IFERROR(R2602/IF(G2602="",I2602,G2602)-1,""))</f>
        <v/>
      </c>
      <c r="R2602" s="48">
        <f>IF($M2602="","",MAX(IF($G2602="",$I2602,$G2602)*(1/1.1),IF($G2602="",$I2602,$G2602)+(R$2*$M2602)))</f>
        <v/>
      </c>
      <c r="S2602" s="49">
        <f>IF($M2602="","",MAX(IF($G2602="",$I2602,$G2602)*(1/1.1),IF($G2602="",$I2602,$G2602)+(S$2*$M2602)))</f>
        <v/>
      </c>
      <c r="T2602" s="82" t="n"/>
      <c r="U2602" s="47">
        <f>IF(OR($M2602="",$T2602=""),"",$T2602+(U$2*$M2602))</f>
        <v/>
      </c>
      <c r="V2602" s="48">
        <f>IF(OR($M2602="",$T2602=""),"",$T2602+(V$2*$M2602))</f>
        <v/>
      </c>
      <c r="W2602" s="48">
        <f>IF(OR($M2602="",$T2602=""),"",$T2602+(W$2*$M2602))</f>
        <v/>
      </c>
      <c r="X2602" s="49">
        <f>IF(OR($M2602="",$T2602=""),"",$T2602+(X$2*$M2602))</f>
        <v/>
      </c>
      <c r="Y2602" s="47">
        <f>IF(OR($M2602="",$T2602=""),"",$T2602+(Y$2*$M2602))</f>
        <v/>
      </c>
      <c r="Z2602" s="49">
        <f>IF(OR($M2602="",$T2602=""),"",$T2602+(Z$2*$M2602))</f>
        <v/>
      </c>
      <c r="AA2602" s="51">
        <f>IF(OR($M2602="",$T2602=""),"",$T2602+(AA$2*$M2602))</f>
        <v/>
      </c>
      <c r="AB2602" s="48">
        <f>IF(OR($M2602="",$T2602=""),"",$T2602+(AB$2*$M2602))</f>
        <v/>
      </c>
      <c r="AC2602" s="48">
        <f>IF(OR($M2602="",$T2602=""),"",$T2602+(AC$2*$M2602))</f>
        <v/>
      </c>
      <c r="AD2602" s="48">
        <f>IF(OR($M2602="",$T2602=""),"",$T2602+(AD$2*$M2602))</f>
        <v/>
      </c>
      <c r="AE2602" s="49">
        <f>IF(OR($M2602="",$T2602=""),"",$T2602+(AE$2*$M2602))</f>
        <v/>
      </c>
      <c r="AF2602" s="52">
        <f>IF(OR(T2602="",I2602&lt;T2602),"",IFERROR(AVERAGE(T2602+M2602*{7,8,9,10,11})/IF(G2602="",I2602,G2602)-1,""))</f>
        <v/>
      </c>
      <c r="AG2602" s="55">
        <f>IF(OR(T2602="",I2602&lt;T2602),"",IFERROR(AF2602/-(R2602/IF(G2602="",I2602,G2602)-1),""))</f>
        <v/>
      </c>
      <c r="AH2602" s="94" t="n"/>
      <c r="AI2602" s="94" t="n"/>
      <c r="AJ2602" s="94" t="n"/>
      <c r="AK2602" s="94" t="n"/>
      <c r="AL2602" s="84" t="n"/>
    </row>
    <row r="2603">
      <c r="A2603" s="64" t="n"/>
      <c r="B2603" s="65" t="n"/>
      <c r="C2603" s="66" t="n"/>
      <c r="D2603" s="67" t="n"/>
      <c r="E2603" s="68" t="n"/>
      <c r="F2603" s="47">
        <f>IF(A2603="","",IF(MIN(H2603,MAX(J2603:K2603))=0,"",MIN(H2603,MAX(J2603:K2603))))</f>
        <v/>
      </c>
      <c r="G2603" s="74" t="n"/>
      <c r="H2603" s="49">
        <f>IF(M2603="","",IFERROR(ROUND(AVERAGE(T2603+M2603*{7,8,9,10,11})/1.21,4),""))</f>
        <v/>
      </c>
      <c r="I2603" s="76" t="n"/>
      <c r="J2603" s="77" t="n"/>
      <c r="K2603" s="74" t="n"/>
      <c r="L2603" s="78" t="n"/>
      <c r="M2603" s="77" t="n"/>
      <c r="N2603" s="53">
        <f>IF(M2603="","",IFERROR(M2603/I2603,""))</f>
        <v/>
      </c>
      <c r="O2603" s="50">
        <f>IF(A2603="","",IFERROR((IF(G2603="",I2603,G2603)-T2603)/M2603,""))</f>
        <v/>
      </c>
      <c r="P2603" s="50">
        <f>IFERROR((I2603/T2603-1)/N2603,"")</f>
        <v/>
      </c>
      <c r="Q2603" s="46">
        <f>IF(OR(T2603="",I2603&lt;T2603),"",IFERROR(R2603/IF(G2603="",I2603,G2603)-1,""))</f>
        <v/>
      </c>
      <c r="R2603" s="48">
        <f>IF($M2603="","",MAX(IF($G2603="",$I2603,$G2603)*(1/1.1),IF($G2603="",$I2603,$G2603)+(R$2*$M2603)))</f>
        <v/>
      </c>
      <c r="S2603" s="49">
        <f>IF($M2603="","",MAX(IF($G2603="",$I2603,$G2603)*(1/1.1),IF($G2603="",$I2603,$G2603)+(S$2*$M2603)))</f>
        <v/>
      </c>
      <c r="T2603" s="82" t="n"/>
      <c r="U2603" s="47">
        <f>IF(OR($M2603="",$T2603=""),"",$T2603+(U$2*$M2603))</f>
        <v/>
      </c>
      <c r="V2603" s="48">
        <f>IF(OR($M2603="",$T2603=""),"",$T2603+(V$2*$M2603))</f>
        <v/>
      </c>
      <c r="W2603" s="48">
        <f>IF(OR($M2603="",$T2603=""),"",$T2603+(W$2*$M2603))</f>
        <v/>
      </c>
      <c r="X2603" s="49">
        <f>IF(OR($M2603="",$T2603=""),"",$T2603+(X$2*$M2603))</f>
        <v/>
      </c>
      <c r="Y2603" s="47">
        <f>IF(OR($M2603="",$T2603=""),"",$T2603+(Y$2*$M2603))</f>
        <v/>
      </c>
      <c r="Z2603" s="49">
        <f>IF(OR($M2603="",$T2603=""),"",$T2603+(Z$2*$M2603))</f>
        <v/>
      </c>
      <c r="AA2603" s="51">
        <f>IF(OR($M2603="",$T2603=""),"",$T2603+(AA$2*$M2603))</f>
        <v/>
      </c>
      <c r="AB2603" s="48">
        <f>IF(OR($M2603="",$T2603=""),"",$T2603+(AB$2*$M2603))</f>
        <v/>
      </c>
      <c r="AC2603" s="48">
        <f>IF(OR($M2603="",$T2603=""),"",$T2603+(AC$2*$M2603))</f>
        <v/>
      </c>
      <c r="AD2603" s="48">
        <f>IF(OR($M2603="",$T2603=""),"",$T2603+(AD$2*$M2603))</f>
        <v/>
      </c>
      <c r="AE2603" s="49">
        <f>IF(OR($M2603="",$T2603=""),"",$T2603+(AE$2*$M2603))</f>
        <v/>
      </c>
      <c r="AF2603" s="52">
        <f>IF(OR(T2603="",I2603&lt;T2603),"",IFERROR(AVERAGE(T2603+M2603*{7,8,9,10,11})/IF(G2603="",I2603,G2603)-1,""))</f>
        <v/>
      </c>
      <c r="AG2603" s="55">
        <f>IF(OR(T2603="",I2603&lt;T2603),"",IFERROR(AF2603/-(R2603/IF(G2603="",I2603,G2603)-1),""))</f>
        <v/>
      </c>
      <c r="AH2603" s="94" t="n"/>
      <c r="AI2603" s="94" t="n"/>
      <c r="AJ2603" s="94" t="n"/>
      <c r="AK2603" s="94" t="n"/>
      <c r="AL2603" s="84" t="n"/>
    </row>
    <row r="2604">
      <c r="A2604" s="64" t="n"/>
      <c r="B2604" s="65" t="n"/>
      <c r="C2604" s="66" t="n"/>
      <c r="D2604" s="67" t="n"/>
      <c r="E2604" s="68" t="n"/>
      <c r="F2604" s="47">
        <f>IF(A2604="","",IF(MIN(H2604,MAX(J2604:K2604))=0,"",MIN(H2604,MAX(J2604:K2604))))</f>
        <v/>
      </c>
      <c r="G2604" s="74" t="n"/>
      <c r="H2604" s="49">
        <f>IF(M2604="","",IFERROR(ROUND(AVERAGE(T2604+M2604*{7,8,9,10,11})/1.21,4),""))</f>
        <v/>
      </c>
      <c r="I2604" s="76" t="n"/>
      <c r="J2604" s="77" t="n"/>
      <c r="K2604" s="74" t="n"/>
      <c r="L2604" s="78" t="n"/>
      <c r="M2604" s="77" t="n"/>
      <c r="N2604" s="53">
        <f>IF(M2604="","",IFERROR(M2604/I2604,""))</f>
        <v/>
      </c>
      <c r="O2604" s="50">
        <f>IF(A2604="","",IFERROR((IF(G2604="",I2604,G2604)-T2604)/M2604,""))</f>
        <v/>
      </c>
      <c r="P2604" s="50">
        <f>IFERROR((I2604/T2604-1)/N2604,"")</f>
        <v/>
      </c>
      <c r="Q2604" s="46">
        <f>IF(OR(T2604="",I2604&lt;T2604),"",IFERROR(R2604/IF(G2604="",I2604,G2604)-1,""))</f>
        <v/>
      </c>
      <c r="R2604" s="48">
        <f>IF($M2604="","",MAX(IF($G2604="",$I2604,$G2604)*(1/1.1),IF($G2604="",$I2604,$G2604)+(R$2*$M2604)))</f>
        <v/>
      </c>
      <c r="S2604" s="49">
        <f>IF($M2604="","",MAX(IF($G2604="",$I2604,$G2604)*(1/1.1),IF($G2604="",$I2604,$G2604)+(S$2*$M2604)))</f>
        <v/>
      </c>
      <c r="T2604" s="82" t="n"/>
      <c r="U2604" s="47">
        <f>IF(OR($M2604="",$T2604=""),"",$T2604+(U$2*$M2604))</f>
        <v/>
      </c>
      <c r="V2604" s="48">
        <f>IF(OR($M2604="",$T2604=""),"",$T2604+(V$2*$M2604))</f>
        <v/>
      </c>
      <c r="W2604" s="48">
        <f>IF(OR($M2604="",$T2604=""),"",$T2604+(W$2*$M2604))</f>
        <v/>
      </c>
      <c r="X2604" s="49">
        <f>IF(OR($M2604="",$T2604=""),"",$T2604+(X$2*$M2604))</f>
        <v/>
      </c>
      <c r="Y2604" s="47">
        <f>IF(OR($M2604="",$T2604=""),"",$T2604+(Y$2*$M2604))</f>
        <v/>
      </c>
      <c r="Z2604" s="49">
        <f>IF(OR($M2604="",$T2604=""),"",$T2604+(Z$2*$M2604))</f>
        <v/>
      </c>
      <c r="AA2604" s="51">
        <f>IF(OR($M2604="",$T2604=""),"",$T2604+(AA$2*$M2604))</f>
        <v/>
      </c>
      <c r="AB2604" s="48">
        <f>IF(OR($M2604="",$T2604=""),"",$T2604+(AB$2*$M2604))</f>
        <v/>
      </c>
      <c r="AC2604" s="48">
        <f>IF(OR($M2604="",$T2604=""),"",$T2604+(AC$2*$M2604))</f>
        <v/>
      </c>
      <c r="AD2604" s="48">
        <f>IF(OR($M2604="",$T2604=""),"",$T2604+(AD$2*$M2604))</f>
        <v/>
      </c>
      <c r="AE2604" s="49">
        <f>IF(OR($M2604="",$T2604=""),"",$T2604+(AE$2*$M2604))</f>
        <v/>
      </c>
      <c r="AF2604" s="52">
        <f>IF(OR(T2604="",I2604&lt;T2604),"",IFERROR(AVERAGE(T2604+M2604*{7,8,9,10,11})/IF(G2604="",I2604,G2604)-1,""))</f>
        <v/>
      </c>
      <c r="AG2604" s="55">
        <f>IF(OR(T2604="",I2604&lt;T2604),"",IFERROR(AF2604/-(R2604/IF(G2604="",I2604,G2604)-1),""))</f>
        <v/>
      </c>
      <c r="AH2604" s="94" t="n"/>
      <c r="AI2604" s="94" t="n"/>
      <c r="AJ2604" s="94" t="n"/>
      <c r="AK2604" s="94" t="n"/>
      <c r="AL2604" s="84" t="n"/>
    </row>
    <row r="2605">
      <c r="A2605" s="64" t="n"/>
      <c r="B2605" s="65" t="n"/>
      <c r="C2605" s="66" t="n"/>
      <c r="D2605" s="67" t="n"/>
      <c r="E2605" s="68" t="n"/>
      <c r="F2605" s="47">
        <f>IF(A2605="","",IF(MIN(H2605,MAX(J2605:K2605))=0,"",MIN(H2605,MAX(J2605:K2605))))</f>
        <v/>
      </c>
      <c r="G2605" s="74" t="n"/>
      <c r="H2605" s="49">
        <f>IF(M2605="","",IFERROR(ROUND(AVERAGE(T2605+M2605*{7,8,9,10,11})/1.21,4),""))</f>
        <v/>
      </c>
      <c r="I2605" s="76" t="n"/>
      <c r="J2605" s="77" t="n"/>
      <c r="K2605" s="74" t="n"/>
      <c r="L2605" s="78" t="n"/>
      <c r="M2605" s="77" t="n"/>
      <c r="N2605" s="53">
        <f>IF(M2605="","",IFERROR(M2605/I2605,""))</f>
        <v/>
      </c>
      <c r="O2605" s="50">
        <f>IF(A2605="","",IFERROR((IF(G2605="",I2605,G2605)-T2605)/M2605,""))</f>
        <v/>
      </c>
      <c r="P2605" s="50">
        <f>IFERROR((I2605/T2605-1)/N2605,"")</f>
        <v/>
      </c>
      <c r="Q2605" s="46">
        <f>IF(OR(T2605="",I2605&lt;T2605),"",IFERROR(R2605/IF(G2605="",I2605,G2605)-1,""))</f>
        <v/>
      </c>
      <c r="R2605" s="48">
        <f>IF($M2605="","",MAX(IF($G2605="",$I2605,$G2605)*(1/1.1),IF($G2605="",$I2605,$G2605)+(R$2*$M2605)))</f>
        <v/>
      </c>
      <c r="S2605" s="49">
        <f>IF($M2605="","",MAX(IF($G2605="",$I2605,$G2605)*(1/1.1),IF($G2605="",$I2605,$G2605)+(S$2*$M2605)))</f>
        <v/>
      </c>
      <c r="T2605" s="82" t="n"/>
      <c r="U2605" s="47">
        <f>IF(OR($M2605="",$T2605=""),"",$T2605+(U$2*$M2605))</f>
        <v/>
      </c>
      <c r="V2605" s="48">
        <f>IF(OR($M2605="",$T2605=""),"",$T2605+(V$2*$M2605))</f>
        <v/>
      </c>
      <c r="W2605" s="48">
        <f>IF(OR($M2605="",$T2605=""),"",$T2605+(W$2*$M2605))</f>
        <v/>
      </c>
      <c r="X2605" s="49">
        <f>IF(OR($M2605="",$T2605=""),"",$T2605+(X$2*$M2605))</f>
        <v/>
      </c>
      <c r="Y2605" s="47">
        <f>IF(OR($M2605="",$T2605=""),"",$T2605+(Y$2*$M2605))</f>
        <v/>
      </c>
      <c r="Z2605" s="49">
        <f>IF(OR($M2605="",$T2605=""),"",$T2605+(Z$2*$M2605))</f>
        <v/>
      </c>
      <c r="AA2605" s="51">
        <f>IF(OR($M2605="",$T2605=""),"",$T2605+(AA$2*$M2605))</f>
        <v/>
      </c>
      <c r="AB2605" s="48">
        <f>IF(OR($M2605="",$T2605=""),"",$T2605+(AB$2*$M2605))</f>
        <v/>
      </c>
      <c r="AC2605" s="48">
        <f>IF(OR($M2605="",$T2605=""),"",$T2605+(AC$2*$M2605))</f>
        <v/>
      </c>
      <c r="AD2605" s="48">
        <f>IF(OR($M2605="",$T2605=""),"",$T2605+(AD$2*$M2605))</f>
        <v/>
      </c>
      <c r="AE2605" s="49">
        <f>IF(OR($M2605="",$T2605=""),"",$T2605+(AE$2*$M2605))</f>
        <v/>
      </c>
      <c r="AF2605" s="52">
        <f>IF(OR(T2605="",I2605&lt;T2605),"",IFERROR(AVERAGE(T2605+M2605*{7,8,9,10,11})/IF(G2605="",I2605,G2605)-1,""))</f>
        <v/>
      </c>
      <c r="AG2605" s="55">
        <f>IF(OR(T2605="",I2605&lt;T2605),"",IFERROR(AF2605/-(R2605/IF(G2605="",I2605,G2605)-1),""))</f>
        <v/>
      </c>
      <c r="AH2605" s="94" t="n"/>
      <c r="AI2605" s="94" t="n"/>
      <c r="AJ2605" s="94" t="n"/>
      <c r="AK2605" s="94" t="n"/>
      <c r="AL2605" s="84" t="n"/>
    </row>
    <row r="2606">
      <c r="A2606" s="64" t="n"/>
      <c r="B2606" s="65" t="n"/>
      <c r="C2606" s="66" t="n"/>
      <c r="D2606" s="67" t="n"/>
      <c r="E2606" s="68" t="n"/>
      <c r="F2606" s="47">
        <f>IF(A2606="","",IF(MIN(H2606,MAX(J2606:K2606))=0,"",MIN(H2606,MAX(J2606:K2606))))</f>
        <v/>
      </c>
      <c r="G2606" s="74" t="n"/>
      <c r="H2606" s="49">
        <f>IF(M2606="","",IFERROR(ROUND(AVERAGE(T2606+M2606*{7,8,9,10,11})/1.21,4),""))</f>
        <v/>
      </c>
      <c r="I2606" s="76" t="n"/>
      <c r="J2606" s="77" t="n"/>
      <c r="K2606" s="74" t="n"/>
      <c r="L2606" s="78" t="n"/>
      <c r="M2606" s="77" t="n"/>
      <c r="N2606" s="53">
        <f>IF(M2606="","",IFERROR(M2606/I2606,""))</f>
        <v/>
      </c>
      <c r="O2606" s="50">
        <f>IF(A2606="","",IFERROR((IF(G2606="",I2606,G2606)-T2606)/M2606,""))</f>
        <v/>
      </c>
      <c r="P2606" s="50">
        <f>IFERROR((I2606/T2606-1)/N2606,"")</f>
        <v/>
      </c>
      <c r="Q2606" s="46">
        <f>IF(OR(T2606="",I2606&lt;T2606),"",IFERROR(R2606/IF(G2606="",I2606,G2606)-1,""))</f>
        <v/>
      </c>
      <c r="R2606" s="48">
        <f>IF($M2606="","",MAX(IF($G2606="",$I2606,$G2606)*(1/1.1),IF($G2606="",$I2606,$G2606)+(R$2*$M2606)))</f>
        <v/>
      </c>
      <c r="S2606" s="49">
        <f>IF($M2606="","",MAX(IF($G2606="",$I2606,$G2606)*(1/1.1),IF($G2606="",$I2606,$G2606)+(S$2*$M2606)))</f>
        <v/>
      </c>
      <c r="T2606" s="82" t="n"/>
      <c r="U2606" s="47">
        <f>IF(OR($M2606="",$T2606=""),"",$T2606+(U$2*$M2606))</f>
        <v/>
      </c>
      <c r="V2606" s="48">
        <f>IF(OR($M2606="",$T2606=""),"",$T2606+(V$2*$M2606))</f>
        <v/>
      </c>
      <c r="W2606" s="48">
        <f>IF(OR($M2606="",$T2606=""),"",$T2606+(W$2*$M2606))</f>
        <v/>
      </c>
      <c r="X2606" s="49">
        <f>IF(OR($M2606="",$T2606=""),"",$T2606+(X$2*$M2606))</f>
        <v/>
      </c>
      <c r="Y2606" s="47">
        <f>IF(OR($M2606="",$T2606=""),"",$T2606+(Y$2*$M2606))</f>
        <v/>
      </c>
      <c r="Z2606" s="49">
        <f>IF(OR($M2606="",$T2606=""),"",$T2606+(Z$2*$M2606))</f>
        <v/>
      </c>
      <c r="AA2606" s="51">
        <f>IF(OR($M2606="",$T2606=""),"",$T2606+(AA$2*$M2606))</f>
        <v/>
      </c>
      <c r="AB2606" s="48">
        <f>IF(OR($M2606="",$T2606=""),"",$T2606+(AB$2*$M2606))</f>
        <v/>
      </c>
      <c r="AC2606" s="48">
        <f>IF(OR($M2606="",$T2606=""),"",$T2606+(AC$2*$M2606))</f>
        <v/>
      </c>
      <c r="AD2606" s="48">
        <f>IF(OR($M2606="",$T2606=""),"",$T2606+(AD$2*$M2606))</f>
        <v/>
      </c>
      <c r="AE2606" s="49">
        <f>IF(OR($M2606="",$T2606=""),"",$T2606+(AE$2*$M2606))</f>
        <v/>
      </c>
      <c r="AF2606" s="52">
        <f>IF(OR(T2606="",I2606&lt;T2606),"",IFERROR(AVERAGE(T2606+M2606*{7,8,9,10,11})/IF(G2606="",I2606,G2606)-1,""))</f>
        <v/>
      </c>
      <c r="AG2606" s="55">
        <f>IF(OR(T2606="",I2606&lt;T2606),"",IFERROR(AF2606/-(R2606/IF(G2606="",I2606,G2606)-1),""))</f>
        <v/>
      </c>
      <c r="AH2606" s="94" t="n"/>
      <c r="AI2606" s="94" t="n"/>
      <c r="AJ2606" s="94" t="n"/>
      <c r="AK2606" s="94" t="n"/>
      <c r="AL2606" s="84" t="n"/>
    </row>
    <row r="2607">
      <c r="A2607" s="64" t="n"/>
      <c r="B2607" s="65" t="n"/>
      <c r="C2607" s="66" t="n"/>
      <c r="D2607" s="67" t="n"/>
      <c r="E2607" s="68" t="n"/>
      <c r="F2607" s="47">
        <f>IF(A2607="","",IF(MIN(H2607,MAX(J2607:K2607))=0,"",MIN(H2607,MAX(J2607:K2607))))</f>
        <v/>
      </c>
      <c r="G2607" s="74" t="n"/>
      <c r="H2607" s="49">
        <f>IF(M2607="","",IFERROR(ROUND(AVERAGE(T2607+M2607*{7,8,9,10,11})/1.21,4),""))</f>
        <v/>
      </c>
      <c r="I2607" s="76" t="n"/>
      <c r="J2607" s="77" t="n"/>
      <c r="K2607" s="74" t="n"/>
      <c r="L2607" s="78" t="n"/>
      <c r="M2607" s="77" t="n"/>
      <c r="N2607" s="53">
        <f>IF(M2607="","",IFERROR(M2607/I2607,""))</f>
        <v/>
      </c>
      <c r="O2607" s="50">
        <f>IF(A2607="","",IFERROR((IF(G2607="",I2607,G2607)-T2607)/M2607,""))</f>
        <v/>
      </c>
      <c r="P2607" s="50">
        <f>IFERROR((I2607/T2607-1)/N2607,"")</f>
        <v/>
      </c>
      <c r="Q2607" s="46">
        <f>IF(OR(T2607="",I2607&lt;T2607),"",IFERROR(R2607/IF(G2607="",I2607,G2607)-1,""))</f>
        <v/>
      </c>
      <c r="R2607" s="48">
        <f>IF($M2607="","",MAX(IF($G2607="",$I2607,$G2607)*(1/1.1),IF($G2607="",$I2607,$G2607)+(R$2*$M2607)))</f>
        <v/>
      </c>
      <c r="S2607" s="49">
        <f>IF($M2607="","",MAX(IF($G2607="",$I2607,$G2607)*(1/1.1),IF($G2607="",$I2607,$G2607)+(S$2*$M2607)))</f>
        <v/>
      </c>
      <c r="T2607" s="82" t="n"/>
      <c r="U2607" s="47">
        <f>IF(OR($M2607="",$T2607=""),"",$T2607+(U$2*$M2607))</f>
        <v/>
      </c>
      <c r="V2607" s="48">
        <f>IF(OR($M2607="",$T2607=""),"",$T2607+(V$2*$M2607))</f>
        <v/>
      </c>
      <c r="W2607" s="48">
        <f>IF(OR($M2607="",$T2607=""),"",$T2607+(W$2*$M2607))</f>
        <v/>
      </c>
      <c r="X2607" s="49">
        <f>IF(OR($M2607="",$T2607=""),"",$T2607+(X$2*$M2607))</f>
        <v/>
      </c>
      <c r="Y2607" s="47">
        <f>IF(OR($M2607="",$T2607=""),"",$T2607+(Y$2*$M2607))</f>
        <v/>
      </c>
      <c r="Z2607" s="49">
        <f>IF(OR($M2607="",$T2607=""),"",$T2607+(Z$2*$M2607))</f>
        <v/>
      </c>
      <c r="AA2607" s="51">
        <f>IF(OR($M2607="",$T2607=""),"",$T2607+(AA$2*$M2607))</f>
        <v/>
      </c>
      <c r="AB2607" s="48">
        <f>IF(OR($M2607="",$T2607=""),"",$T2607+(AB$2*$M2607))</f>
        <v/>
      </c>
      <c r="AC2607" s="48">
        <f>IF(OR($M2607="",$T2607=""),"",$T2607+(AC$2*$M2607))</f>
        <v/>
      </c>
      <c r="AD2607" s="48">
        <f>IF(OR($M2607="",$T2607=""),"",$T2607+(AD$2*$M2607))</f>
        <v/>
      </c>
      <c r="AE2607" s="49">
        <f>IF(OR($M2607="",$T2607=""),"",$T2607+(AE$2*$M2607))</f>
        <v/>
      </c>
      <c r="AF2607" s="52">
        <f>IF(OR(T2607="",I2607&lt;T2607),"",IFERROR(AVERAGE(T2607+M2607*{7,8,9,10,11})/IF(G2607="",I2607,G2607)-1,""))</f>
        <v/>
      </c>
      <c r="AG2607" s="55">
        <f>IF(OR(T2607="",I2607&lt;T2607),"",IFERROR(AF2607/-(R2607/IF(G2607="",I2607,G2607)-1),""))</f>
        <v/>
      </c>
      <c r="AH2607" s="94" t="n"/>
      <c r="AI2607" s="94" t="n"/>
      <c r="AJ2607" s="94" t="n"/>
      <c r="AK2607" s="94" t="n"/>
      <c r="AL2607" s="84" t="n"/>
    </row>
    <row r="2608">
      <c r="A2608" s="64" t="n"/>
      <c r="B2608" s="65" t="n"/>
      <c r="C2608" s="66" t="n"/>
      <c r="D2608" s="67" t="n"/>
      <c r="E2608" s="68" t="n"/>
      <c r="F2608" s="47">
        <f>IF(A2608="","",IF(MIN(H2608,MAX(J2608:K2608))=0,"",MIN(H2608,MAX(J2608:K2608))))</f>
        <v/>
      </c>
      <c r="G2608" s="74" t="n"/>
      <c r="H2608" s="49">
        <f>IF(M2608="","",IFERROR(ROUND(AVERAGE(T2608+M2608*{7,8,9,10,11})/1.21,4),""))</f>
        <v/>
      </c>
      <c r="I2608" s="76" t="n"/>
      <c r="J2608" s="77" t="n"/>
      <c r="K2608" s="74" t="n"/>
      <c r="L2608" s="78" t="n"/>
      <c r="M2608" s="77" t="n"/>
      <c r="N2608" s="53">
        <f>IF(M2608="","",IFERROR(M2608/I2608,""))</f>
        <v/>
      </c>
      <c r="O2608" s="50">
        <f>IF(A2608="","",IFERROR((IF(G2608="",I2608,G2608)-T2608)/M2608,""))</f>
        <v/>
      </c>
      <c r="P2608" s="50">
        <f>IFERROR((I2608/T2608-1)/N2608,"")</f>
        <v/>
      </c>
      <c r="Q2608" s="46">
        <f>IF(OR(T2608="",I2608&lt;T2608),"",IFERROR(R2608/IF(G2608="",I2608,G2608)-1,""))</f>
        <v/>
      </c>
      <c r="R2608" s="48">
        <f>IF($M2608="","",MAX(IF($G2608="",$I2608,$G2608)*(1/1.1),IF($G2608="",$I2608,$G2608)+(R$2*$M2608)))</f>
        <v/>
      </c>
      <c r="S2608" s="49">
        <f>IF($M2608="","",MAX(IF($G2608="",$I2608,$G2608)*(1/1.1),IF($G2608="",$I2608,$G2608)+(S$2*$M2608)))</f>
        <v/>
      </c>
      <c r="T2608" s="82" t="n"/>
      <c r="U2608" s="47">
        <f>IF(OR($M2608="",$T2608=""),"",$T2608+(U$2*$M2608))</f>
        <v/>
      </c>
      <c r="V2608" s="48">
        <f>IF(OR($M2608="",$T2608=""),"",$T2608+(V$2*$M2608))</f>
        <v/>
      </c>
      <c r="W2608" s="48">
        <f>IF(OR($M2608="",$T2608=""),"",$T2608+(W$2*$M2608))</f>
        <v/>
      </c>
      <c r="X2608" s="49">
        <f>IF(OR($M2608="",$T2608=""),"",$T2608+(X$2*$M2608))</f>
        <v/>
      </c>
      <c r="Y2608" s="47">
        <f>IF(OR($M2608="",$T2608=""),"",$T2608+(Y$2*$M2608))</f>
        <v/>
      </c>
      <c r="Z2608" s="49">
        <f>IF(OR($M2608="",$T2608=""),"",$T2608+(Z$2*$M2608))</f>
        <v/>
      </c>
      <c r="AA2608" s="51">
        <f>IF(OR($M2608="",$T2608=""),"",$T2608+(AA$2*$M2608))</f>
        <v/>
      </c>
      <c r="AB2608" s="48">
        <f>IF(OR($M2608="",$T2608=""),"",$T2608+(AB$2*$M2608))</f>
        <v/>
      </c>
      <c r="AC2608" s="48">
        <f>IF(OR($M2608="",$T2608=""),"",$T2608+(AC$2*$M2608))</f>
        <v/>
      </c>
      <c r="AD2608" s="48">
        <f>IF(OR($M2608="",$T2608=""),"",$T2608+(AD$2*$M2608))</f>
        <v/>
      </c>
      <c r="AE2608" s="49">
        <f>IF(OR($M2608="",$T2608=""),"",$T2608+(AE$2*$M2608))</f>
        <v/>
      </c>
      <c r="AF2608" s="52">
        <f>IF(OR(T2608="",I2608&lt;T2608),"",IFERROR(AVERAGE(T2608+M2608*{7,8,9,10,11})/IF(G2608="",I2608,G2608)-1,""))</f>
        <v/>
      </c>
      <c r="AG2608" s="55">
        <f>IF(OR(T2608="",I2608&lt;T2608),"",IFERROR(AF2608/-(R2608/IF(G2608="",I2608,G2608)-1),""))</f>
        <v/>
      </c>
      <c r="AH2608" s="94" t="n"/>
      <c r="AI2608" s="94" t="n"/>
      <c r="AJ2608" s="94" t="n"/>
      <c r="AK2608" s="94" t="n"/>
      <c r="AL2608" s="84" t="n"/>
    </row>
    <row r="2609">
      <c r="A2609" s="64" t="n"/>
      <c r="B2609" s="65" t="n"/>
      <c r="C2609" s="66" t="n"/>
      <c r="D2609" s="67" t="n"/>
      <c r="E2609" s="68" t="n"/>
      <c r="F2609" s="47">
        <f>IF(A2609="","",IF(MIN(H2609,MAX(J2609:K2609))=0,"",MIN(H2609,MAX(J2609:K2609))))</f>
        <v/>
      </c>
      <c r="G2609" s="74" t="n"/>
      <c r="H2609" s="49">
        <f>IF(M2609="","",IFERROR(ROUND(AVERAGE(T2609+M2609*{7,8,9,10,11})/1.21,4),""))</f>
        <v/>
      </c>
      <c r="I2609" s="76" t="n"/>
      <c r="J2609" s="77" t="n"/>
      <c r="K2609" s="74" t="n"/>
      <c r="L2609" s="78" t="n"/>
      <c r="M2609" s="77" t="n"/>
      <c r="N2609" s="53">
        <f>IF(M2609="","",IFERROR(M2609/I2609,""))</f>
        <v/>
      </c>
      <c r="O2609" s="50">
        <f>IF(A2609="","",IFERROR((IF(G2609="",I2609,G2609)-T2609)/M2609,""))</f>
        <v/>
      </c>
      <c r="P2609" s="50">
        <f>IFERROR((I2609/T2609-1)/N2609,"")</f>
        <v/>
      </c>
      <c r="Q2609" s="46">
        <f>IF(OR(T2609="",I2609&lt;T2609),"",IFERROR(R2609/IF(G2609="",I2609,G2609)-1,""))</f>
        <v/>
      </c>
      <c r="R2609" s="48">
        <f>IF($M2609="","",MAX(IF($G2609="",$I2609,$G2609)*(1/1.1),IF($G2609="",$I2609,$G2609)+(R$2*$M2609)))</f>
        <v/>
      </c>
      <c r="S2609" s="49">
        <f>IF($M2609="","",MAX(IF($G2609="",$I2609,$G2609)*(1/1.1),IF($G2609="",$I2609,$G2609)+(S$2*$M2609)))</f>
        <v/>
      </c>
      <c r="T2609" s="82" t="n"/>
      <c r="U2609" s="47">
        <f>IF(OR($M2609="",$T2609=""),"",$T2609+(U$2*$M2609))</f>
        <v/>
      </c>
      <c r="V2609" s="48">
        <f>IF(OR($M2609="",$T2609=""),"",$T2609+(V$2*$M2609))</f>
        <v/>
      </c>
      <c r="W2609" s="48">
        <f>IF(OR($M2609="",$T2609=""),"",$T2609+(W$2*$M2609))</f>
        <v/>
      </c>
      <c r="X2609" s="49">
        <f>IF(OR($M2609="",$T2609=""),"",$T2609+(X$2*$M2609))</f>
        <v/>
      </c>
      <c r="Y2609" s="47">
        <f>IF(OR($M2609="",$T2609=""),"",$T2609+(Y$2*$M2609))</f>
        <v/>
      </c>
      <c r="Z2609" s="49">
        <f>IF(OR($M2609="",$T2609=""),"",$T2609+(Z$2*$M2609))</f>
        <v/>
      </c>
      <c r="AA2609" s="51">
        <f>IF(OR($M2609="",$T2609=""),"",$T2609+(AA$2*$M2609))</f>
        <v/>
      </c>
      <c r="AB2609" s="48">
        <f>IF(OR($M2609="",$T2609=""),"",$T2609+(AB$2*$M2609))</f>
        <v/>
      </c>
      <c r="AC2609" s="48">
        <f>IF(OR($M2609="",$T2609=""),"",$T2609+(AC$2*$M2609))</f>
        <v/>
      </c>
      <c r="AD2609" s="48">
        <f>IF(OR($M2609="",$T2609=""),"",$T2609+(AD$2*$M2609))</f>
        <v/>
      </c>
      <c r="AE2609" s="49">
        <f>IF(OR($M2609="",$T2609=""),"",$T2609+(AE$2*$M2609))</f>
        <v/>
      </c>
      <c r="AF2609" s="52">
        <f>IF(OR(T2609="",I2609&lt;T2609),"",IFERROR(AVERAGE(T2609+M2609*{7,8,9,10,11})/IF(G2609="",I2609,G2609)-1,""))</f>
        <v/>
      </c>
      <c r="AG2609" s="55">
        <f>IF(OR(T2609="",I2609&lt;T2609),"",IFERROR(AF2609/-(R2609/IF(G2609="",I2609,G2609)-1),""))</f>
        <v/>
      </c>
      <c r="AH2609" s="94" t="n"/>
      <c r="AI2609" s="94" t="n"/>
      <c r="AJ2609" s="94" t="n"/>
      <c r="AK2609" s="94" t="n"/>
      <c r="AL2609" s="84" t="n"/>
    </row>
    <row r="2610">
      <c r="A2610" s="64" t="n"/>
      <c r="B2610" s="65" t="n"/>
      <c r="C2610" s="66" t="n"/>
      <c r="D2610" s="67" t="n"/>
      <c r="E2610" s="68" t="n"/>
      <c r="F2610" s="47">
        <f>IF(A2610="","",IF(MIN(H2610,MAX(J2610:K2610))=0,"",MIN(H2610,MAX(J2610:K2610))))</f>
        <v/>
      </c>
      <c r="G2610" s="74" t="n"/>
      <c r="H2610" s="49">
        <f>IF(M2610="","",IFERROR(ROUND(AVERAGE(T2610+M2610*{7,8,9,10,11})/1.21,4),""))</f>
        <v/>
      </c>
      <c r="I2610" s="76" t="n"/>
      <c r="J2610" s="77" t="n"/>
      <c r="K2610" s="74" t="n"/>
      <c r="L2610" s="78" t="n"/>
      <c r="M2610" s="77" t="n"/>
      <c r="N2610" s="53">
        <f>IF(M2610="","",IFERROR(M2610/I2610,""))</f>
        <v/>
      </c>
      <c r="O2610" s="50">
        <f>IF(A2610="","",IFERROR((IF(G2610="",I2610,G2610)-T2610)/M2610,""))</f>
        <v/>
      </c>
      <c r="P2610" s="50">
        <f>IFERROR((I2610/T2610-1)/N2610,"")</f>
        <v/>
      </c>
      <c r="Q2610" s="46">
        <f>IF(OR(T2610="",I2610&lt;T2610),"",IFERROR(R2610/IF(G2610="",I2610,G2610)-1,""))</f>
        <v/>
      </c>
      <c r="R2610" s="48">
        <f>IF($M2610="","",MAX(IF($G2610="",$I2610,$G2610)*(1/1.1),IF($G2610="",$I2610,$G2610)+(R$2*$M2610)))</f>
        <v/>
      </c>
      <c r="S2610" s="49">
        <f>IF($M2610="","",MAX(IF($G2610="",$I2610,$G2610)*(1/1.1),IF($G2610="",$I2610,$G2610)+(S$2*$M2610)))</f>
        <v/>
      </c>
      <c r="T2610" s="82" t="n"/>
      <c r="U2610" s="47">
        <f>IF(OR($M2610="",$T2610=""),"",$T2610+(U$2*$M2610))</f>
        <v/>
      </c>
      <c r="V2610" s="48">
        <f>IF(OR($M2610="",$T2610=""),"",$T2610+(V$2*$M2610))</f>
        <v/>
      </c>
      <c r="W2610" s="48">
        <f>IF(OR($M2610="",$T2610=""),"",$T2610+(W$2*$M2610))</f>
        <v/>
      </c>
      <c r="X2610" s="49">
        <f>IF(OR($M2610="",$T2610=""),"",$T2610+(X$2*$M2610))</f>
        <v/>
      </c>
      <c r="Y2610" s="47">
        <f>IF(OR($M2610="",$T2610=""),"",$T2610+(Y$2*$M2610))</f>
        <v/>
      </c>
      <c r="Z2610" s="49">
        <f>IF(OR($M2610="",$T2610=""),"",$T2610+(Z$2*$M2610))</f>
        <v/>
      </c>
      <c r="AA2610" s="51">
        <f>IF(OR($M2610="",$T2610=""),"",$T2610+(AA$2*$M2610))</f>
        <v/>
      </c>
      <c r="AB2610" s="48">
        <f>IF(OR($M2610="",$T2610=""),"",$T2610+(AB$2*$M2610))</f>
        <v/>
      </c>
      <c r="AC2610" s="48">
        <f>IF(OR($M2610="",$T2610=""),"",$T2610+(AC$2*$M2610))</f>
        <v/>
      </c>
      <c r="AD2610" s="48">
        <f>IF(OR($M2610="",$T2610=""),"",$T2610+(AD$2*$M2610))</f>
        <v/>
      </c>
      <c r="AE2610" s="49">
        <f>IF(OR($M2610="",$T2610=""),"",$T2610+(AE$2*$M2610))</f>
        <v/>
      </c>
      <c r="AF2610" s="52">
        <f>IF(OR(T2610="",I2610&lt;T2610),"",IFERROR(AVERAGE(T2610+M2610*{7,8,9,10,11})/IF(G2610="",I2610,G2610)-1,""))</f>
        <v/>
      </c>
      <c r="AG2610" s="55">
        <f>IF(OR(T2610="",I2610&lt;T2610),"",IFERROR(AF2610/-(R2610/IF(G2610="",I2610,G2610)-1),""))</f>
        <v/>
      </c>
      <c r="AH2610" s="94" t="n"/>
      <c r="AI2610" s="94" t="n"/>
      <c r="AJ2610" s="94" t="n"/>
      <c r="AK2610" s="94" t="n"/>
      <c r="AL2610" s="84" t="n"/>
    </row>
    <row r="2611">
      <c r="A2611" s="64" t="n"/>
      <c r="B2611" s="65" t="n"/>
      <c r="C2611" s="66" t="n"/>
      <c r="D2611" s="67" t="n"/>
      <c r="E2611" s="68" t="n"/>
      <c r="F2611" s="47">
        <f>IF(A2611="","",IF(MIN(H2611,MAX(J2611:K2611))=0,"",MIN(H2611,MAX(J2611:K2611))))</f>
        <v/>
      </c>
      <c r="G2611" s="74" t="n"/>
      <c r="H2611" s="49">
        <f>IF(M2611="","",IFERROR(ROUND(AVERAGE(T2611+M2611*{7,8,9,10,11})/1.21,4),""))</f>
        <v/>
      </c>
      <c r="I2611" s="76" t="n"/>
      <c r="J2611" s="77" t="n"/>
      <c r="K2611" s="74" t="n"/>
      <c r="L2611" s="78" t="n"/>
      <c r="M2611" s="77" t="n"/>
      <c r="N2611" s="53">
        <f>IF(M2611="","",IFERROR(M2611/I2611,""))</f>
        <v/>
      </c>
      <c r="O2611" s="50">
        <f>IF(A2611="","",IFERROR((IF(G2611="",I2611,G2611)-T2611)/M2611,""))</f>
        <v/>
      </c>
      <c r="P2611" s="50">
        <f>IFERROR((I2611/T2611-1)/N2611,"")</f>
        <v/>
      </c>
      <c r="Q2611" s="46">
        <f>IF(OR(T2611="",I2611&lt;T2611),"",IFERROR(R2611/IF(G2611="",I2611,G2611)-1,""))</f>
        <v/>
      </c>
      <c r="R2611" s="48">
        <f>IF($M2611="","",MAX(IF($G2611="",$I2611,$G2611)*(1/1.1),IF($G2611="",$I2611,$G2611)+(R$2*$M2611)))</f>
        <v/>
      </c>
      <c r="S2611" s="49">
        <f>IF($M2611="","",MAX(IF($G2611="",$I2611,$G2611)*(1/1.1),IF($G2611="",$I2611,$G2611)+(S$2*$M2611)))</f>
        <v/>
      </c>
      <c r="T2611" s="82" t="n"/>
      <c r="U2611" s="47">
        <f>IF(OR($M2611="",$T2611=""),"",$T2611+(U$2*$M2611))</f>
        <v/>
      </c>
      <c r="V2611" s="48">
        <f>IF(OR($M2611="",$T2611=""),"",$T2611+(V$2*$M2611))</f>
        <v/>
      </c>
      <c r="W2611" s="48">
        <f>IF(OR($M2611="",$T2611=""),"",$T2611+(W$2*$M2611))</f>
        <v/>
      </c>
      <c r="X2611" s="49">
        <f>IF(OR($M2611="",$T2611=""),"",$T2611+(X$2*$M2611))</f>
        <v/>
      </c>
      <c r="Y2611" s="47">
        <f>IF(OR($M2611="",$T2611=""),"",$T2611+(Y$2*$M2611))</f>
        <v/>
      </c>
      <c r="Z2611" s="49">
        <f>IF(OR($M2611="",$T2611=""),"",$T2611+(Z$2*$M2611))</f>
        <v/>
      </c>
      <c r="AA2611" s="51">
        <f>IF(OR($M2611="",$T2611=""),"",$T2611+(AA$2*$M2611))</f>
        <v/>
      </c>
      <c r="AB2611" s="48">
        <f>IF(OR($M2611="",$T2611=""),"",$T2611+(AB$2*$M2611))</f>
        <v/>
      </c>
      <c r="AC2611" s="48">
        <f>IF(OR($M2611="",$T2611=""),"",$T2611+(AC$2*$M2611))</f>
        <v/>
      </c>
      <c r="AD2611" s="48">
        <f>IF(OR($M2611="",$T2611=""),"",$T2611+(AD$2*$M2611))</f>
        <v/>
      </c>
      <c r="AE2611" s="49">
        <f>IF(OR($M2611="",$T2611=""),"",$T2611+(AE$2*$M2611))</f>
        <v/>
      </c>
      <c r="AF2611" s="52">
        <f>IF(OR(T2611="",I2611&lt;T2611),"",IFERROR(AVERAGE(T2611+M2611*{7,8,9,10,11})/IF(G2611="",I2611,G2611)-1,""))</f>
        <v/>
      </c>
      <c r="AG2611" s="55">
        <f>IF(OR(T2611="",I2611&lt;T2611),"",IFERROR(AF2611/-(R2611/IF(G2611="",I2611,G2611)-1),""))</f>
        <v/>
      </c>
      <c r="AH2611" s="94" t="n"/>
      <c r="AI2611" s="94" t="n"/>
      <c r="AJ2611" s="94" t="n"/>
      <c r="AK2611" s="94" t="n"/>
      <c r="AL2611" s="84" t="n"/>
    </row>
    <row r="2612">
      <c r="A2612" s="64" t="n"/>
      <c r="B2612" s="65" t="n"/>
      <c r="C2612" s="66" t="n"/>
      <c r="D2612" s="67" t="n"/>
      <c r="E2612" s="68" t="n"/>
      <c r="F2612" s="47">
        <f>IF(A2612="","",IF(MIN(H2612,MAX(J2612:K2612))=0,"",MIN(H2612,MAX(J2612:K2612))))</f>
        <v/>
      </c>
      <c r="G2612" s="74" t="n"/>
      <c r="H2612" s="49">
        <f>IF(M2612="","",IFERROR(ROUND(AVERAGE(T2612+M2612*{7,8,9,10,11})/1.21,4),""))</f>
        <v/>
      </c>
      <c r="I2612" s="76" t="n"/>
      <c r="J2612" s="77" t="n"/>
      <c r="K2612" s="74" t="n"/>
      <c r="L2612" s="78" t="n"/>
      <c r="M2612" s="77" t="n"/>
      <c r="N2612" s="53">
        <f>IF(M2612="","",IFERROR(M2612/I2612,""))</f>
        <v/>
      </c>
      <c r="O2612" s="50">
        <f>IF(A2612="","",IFERROR((IF(G2612="",I2612,G2612)-T2612)/M2612,""))</f>
        <v/>
      </c>
      <c r="P2612" s="50">
        <f>IFERROR((I2612/T2612-1)/N2612,"")</f>
        <v/>
      </c>
      <c r="Q2612" s="46">
        <f>IF(OR(T2612="",I2612&lt;T2612),"",IFERROR(R2612/IF(G2612="",I2612,G2612)-1,""))</f>
        <v/>
      </c>
      <c r="R2612" s="48">
        <f>IF($M2612="","",MAX(IF($G2612="",$I2612,$G2612)*(1/1.1),IF($G2612="",$I2612,$G2612)+(R$2*$M2612)))</f>
        <v/>
      </c>
      <c r="S2612" s="49">
        <f>IF($M2612="","",MAX(IF($G2612="",$I2612,$G2612)*(1/1.1),IF($G2612="",$I2612,$G2612)+(S$2*$M2612)))</f>
        <v/>
      </c>
      <c r="T2612" s="82" t="n"/>
      <c r="U2612" s="47">
        <f>IF(OR($M2612="",$T2612=""),"",$T2612+(U$2*$M2612))</f>
        <v/>
      </c>
      <c r="V2612" s="48">
        <f>IF(OR($M2612="",$T2612=""),"",$T2612+(V$2*$M2612))</f>
        <v/>
      </c>
      <c r="W2612" s="48">
        <f>IF(OR($M2612="",$T2612=""),"",$T2612+(W$2*$M2612))</f>
        <v/>
      </c>
      <c r="X2612" s="49">
        <f>IF(OR($M2612="",$T2612=""),"",$T2612+(X$2*$M2612))</f>
        <v/>
      </c>
      <c r="Y2612" s="47">
        <f>IF(OR($M2612="",$T2612=""),"",$T2612+(Y$2*$M2612))</f>
        <v/>
      </c>
      <c r="Z2612" s="49">
        <f>IF(OR($M2612="",$T2612=""),"",$T2612+(Z$2*$M2612))</f>
        <v/>
      </c>
      <c r="AA2612" s="51">
        <f>IF(OR($M2612="",$T2612=""),"",$T2612+(AA$2*$M2612))</f>
        <v/>
      </c>
      <c r="AB2612" s="48">
        <f>IF(OR($M2612="",$T2612=""),"",$T2612+(AB$2*$M2612))</f>
        <v/>
      </c>
      <c r="AC2612" s="48">
        <f>IF(OR($M2612="",$T2612=""),"",$T2612+(AC$2*$M2612))</f>
        <v/>
      </c>
      <c r="AD2612" s="48">
        <f>IF(OR($M2612="",$T2612=""),"",$T2612+(AD$2*$M2612))</f>
        <v/>
      </c>
      <c r="AE2612" s="49">
        <f>IF(OR($M2612="",$T2612=""),"",$T2612+(AE$2*$M2612))</f>
        <v/>
      </c>
      <c r="AF2612" s="52">
        <f>IF(OR(T2612="",I2612&lt;T2612),"",IFERROR(AVERAGE(T2612+M2612*{7,8,9,10,11})/IF(G2612="",I2612,G2612)-1,""))</f>
        <v/>
      </c>
      <c r="AG2612" s="55">
        <f>IF(OR(T2612="",I2612&lt;T2612),"",IFERROR(AF2612/-(R2612/IF(G2612="",I2612,G2612)-1),""))</f>
        <v/>
      </c>
      <c r="AH2612" s="94" t="n"/>
      <c r="AI2612" s="94" t="n"/>
      <c r="AJ2612" s="94" t="n"/>
      <c r="AK2612" s="94" t="n"/>
      <c r="AL2612" s="84" t="n"/>
    </row>
    <row r="2613">
      <c r="A2613" s="64" t="n"/>
      <c r="B2613" s="65" t="n"/>
      <c r="C2613" s="66" t="n"/>
      <c r="D2613" s="67" t="n"/>
      <c r="E2613" s="68" t="n"/>
      <c r="F2613" s="47">
        <f>IF(A2613="","",IF(MIN(H2613,MAX(J2613:K2613))=0,"",MIN(H2613,MAX(J2613:K2613))))</f>
        <v/>
      </c>
      <c r="G2613" s="74" t="n"/>
      <c r="H2613" s="49">
        <f>IF(M2613="","",IFERROR(ROUND(AVERAGE(T2613+M2613*{7,8,9,10,11})/1.21,4),""))</f>
        <v/>
      </c>
      <c r="I2613" s="76" t="n"/>
      <c r="J2613" s="77" t="n"/>
      <c r="K2613" s="74" t="n"/>
      <c r="L2613" s="78" t="n"/>
      <c r="M2613" s="77" t="n"/>
      <c r="N2613" s="53">
        <f>IF(M2613="","",IFERROR(M2613/I2613,""))</f>
        <v/>
      </c>
      <c r="O2613" s="50">
        <f>IF(A2613="","",IFERROR((IF(G2613="",I2613,G2613)-T2613)/M2613,""))</f>
        <v/>
      </c>
      <c r="P2613" s="50">
        <f>IFERROR((I2613/T2613-1)/N2613,"")</f>
        <v/>
      </c>
      <c r="Q2613" s="46">
        <f>IF(OR(T2613="",I2613&lt;T2613),"",IFERROR(R2613/IF(G2613="",I2613,G2613)-1,""))</f>
        <v/>
      </c>
      <c r="R2613" s="48">
        <f>IF($M2613="","",MAX(IF($G2613="",$I2613,$G2613)*(1/1.1),IF($G2613="",$I2613,$G2613)+(R$2*$M2613)))</f>
        <v/>
      </c>
      <c r="S2613" s="49">
        <f>IF($M2613="","",MAX(IF($G2613="",$I2613,$G2613)*(1/1.1),IF($G2613="",$I2613,$G2613)+(S$2*$M2613)))</f>
        <v/>
      </c>
      <c r="T2613" s="82" t="n"/>
      <c r="U2613" s="47">
        <f>IF(OR($M2613="",$T2613=""),"",$T2613+(U$2*$M2613))</f>
        <v/>
      </c>
      <c r="V2613" s="48">
        <f>IF(OR($M2613="",$T2613=""),"",$T2613+(V$2*$M2613))</f>
        <v/>
      </c>
      <c r="W2613" s="48">
        <f>IF(OR($M2613="",$T2613=""),"",$T2613+(W$2*$M2613))</f>
        <v/>
      </c>
      <c r="X2613" s="49">
        <f>IF(OR($M2613="",$T2613=""),"",$T2613+(X$2*$M2613))</f>
        <v/>
      </c>
      <c r="Y2613" s="47">
        <f>IF(OR($M2613="",$T2613=""),"",$T2613+(Y$2*$M2613))</f>
        <v/>
      </c>
      <c r="Z2613" s="49">
        <f>IF(OR($M2613="",$T2613=""),"",$T2613+(Z$2*$M2613))</f>
        <v/>
      </c>
      <c r="AA2613" s="51">
        <f>IF(OR($M2613="",$T2613=""),"",$T2613+(AA$2*$M2613))</f>
        <v/>
      </c>
      <c r="AB2613" s="48">
        <f>IF(OR($M2613="",$T2613=""),"",$T2613+(AB$2*$M2613))</f>
        <v/>
      </c>
      <c r="AC2613" s="48">
        <f>IF(OR($M2613="",$T2613=""),"",$T2613+(AC$2*$M2613))</f>
        <v/>
      </c>
      <c r="AD2613" s="48">
        <f>IF(OR($M2613="",$T2613=""),"",$T2613+(AD$2*$M2613))</f>
        <v/>
      </c>
      <c r="AE2613" s="49">
        <f>IF(OR($M2613="",$T2613=""),"",$T2613+(AE$2*$M2613))</f>
        <v/>
      </c>
      <c r="AF2613" s="52">
        <f>IF(OR(T2613="",I2613&lt;T2613),"",IFERROR(AVERAGE(T2613+M2613*{7,8,9,10,11})/IF(G2613="",I2613,G2613)-1,""))</f>
        <v/>
      </c>
      <c r="AG2613" s="55">
        <f>IF(OR(T2613="",I2613&lt;T2613),"",IFERROR(AF2613/-(R2613/IF(G2613="",I2613,G2613)-1),""))</f>
        <v/>
      </c>
      <c r="AH2613" s="94" t="n"/>
      <c r="AI2613" s="94" t="n"/>
      <c r="AJ2613" s="94" t="n"/>
      <c r="AK2613" s="94" t="n"/>
      <c r="AL2613" s="84" t="n"/>
    </row>
    <row r="2614">
      <c r="A2614" s="64" t="n"/>
      <c r="B2614" s="65" t="n"/>
      <c r="C2614" s="66" t="n"/>
      <c r="D2614" s="67" t="n"/>
      <c r="E2614" s="68" t="n"/>
      <c r="F2614" s="47">
        <f>IF(A2614="","",IF(MIN(H2614,MAX(J2614:K2614))=0,"",MIN(H2614,MAX(J2614:K2614))))</f>
        <v/>
      </c>
      <c r="G2614" s="74" t="n"/>
      <c r="H2614" s="49">
        <f>IF(M2614="","",IFERROR(ROUND(AVERAGE(T2614+M2614*{7,8,9,10,11})/1.21,4),""))</f>
        <v/>
      </c>
      <c r="I2614" s="76" t="n"/>
      <c r="J2614" s="77" t="n"/>
      <c r="K2614" s="74" t="n"/>
      <c r="L2614" s="78" t="n"/>
      <c r="M2614" s="77" t="n"/>
      <c r="N2614" s="53">
        <f>IF(M2614="","",IFERROR(M2614/I2614,""))</f>
        <v/>
      </c>
      <c r="O2614" s="50">
        <f>IF(A2614="","",IFERROR((IF(G2614="",I2614,G2614)-T2614)/M2614,""))</f>
        <v/>
      </c>
      <c r="P2614" s="50">
        <f>IFERROR((I2614/T2614-1)/N2614,"")</f>
        <v/>
      </c>
      <c r="Q2614" s="46">
        <f>IF(OR(T2614="",I2614&lt;T2614),"",IFERROR(R2614/IF(G2614="",I2614,G2614)-1,""))</f>
        <v/>
      </c>
      <c r="R2614" s="48">
        <f>IF($M2614="","",MAX(IF($G2614="",$I2614,$G2614)*(1/1.1),IF($G2614="",$I2614,$G2614)+(R$2*$M2614)))</f>
        <v/>
      </c>
      <c r="S2614" s="49">
        <f>IF($M2614="","",MAX(IF($G2614="",$I2614,$G2614)*(1/1.1),IF($G2614="",$I2614,$G2614)+(S$2*$M2614)))</f>
        <v/>
      </c>
      <c r="T2614" s="82" t="n"/>
      <c r="U2614" s="47">
        <f>IF(OR($M2614="",$T2614=""),"",$T2614+(U$2*$M2614))</f>
        <v/>
      </c>
      <c r="V2614" s="48">
        <f>IF(OR($M2614="",$T2614=""),"",$T2614+(V$2*$M2614))</f>
        <v/>
      </c>
      <c r="W2614" s="48">
        <f>IF(OR($M2614="",$T2614=""),"",$T2614+(W$2*$M2614))</f>
        <v/>
      </c>
      <c r="X2614" s="49">
        <f>IF(OR($M2614="",$T2614=""),"",$T2614+(X$2*$M2614))</f>
        <v/>
      </c>
      <c r="Y2614" s="47">
        <f>IF(OR($M2614="",$T2614=""),"",$T2614+(Y$2*$M2614))</f>
        <v/>
      </c>
      <c r="Z2614" s="49">
        <f>IF(OR($M2614="",$T2614=""),"",$T2614+(Z$2*$M2614))</f>
        <v/>
      </c>
      <c r="AA2614" s="51">
        <f>IF(OR($M2614="",$T2614=""),"",$T2614+(AA$2*$M2614))</f>
        <v/>
      </c>
      <c r="AB2614" s="48">
        <f>IF(OR($M2614="",$T2614=""),"",$T2614+(AB$2*$M2614))</f>
        <v/>
      </c>
      <c r="AC2614" s="48">
        <f>IF(OR($M2614="",$T2614=""),"",$T2614+(AC$2*$M2614))</f>
        <v/>
      </c>
      <c r="AD2614" s="48">
        <f>IF(OR($M2614="",$T2614=""),"",$T2614+(AD$2*$M2614))</f>
        <v/>
      </c>
      <c r="AE2614" s="49">
        <f>IF(OR($M2614="",$T2614=""),"",$T2614+(AE$2*$M2614))</f>
        <v/>
      </c>
      <c r="AF2614" s="52">
        <f>IF(OR(T2614="",I2614&lt;T2614),"",IFERROR(AVERAGE(T2614+M2614*{7,8,9,10,11})/IF(G2614="",I2614,G2614)-1,""))</f>
        <v/>
      </c>
      <c r="AG2614" s="55">
        <f>IF(OR(T2614="",I2614&lt;T2614),"",IFERROR(AF2614/-(R2614/IF(G2614="",I2614,G2614)-1),""))</f>
        <v/>
      </c>
      <c r="AH2614" s="94" t="n"/>
      <c r="AI2614" s="94" t="n"/>
      <c r="AJ2614" s="94" t="n"/>
      <c r="AK2614" s="94" t="n"/>
      <c r="AL2614" s="84" t="n"/>
    </row>
    <row r="2615">
      <c r="A2615" s="64" t="n"/>
      <c r="B2615" s="65" t="n"/>
      <c r="C2615" s="66" t="n"/>
      <c r="D2615" s="67" t="n"/>
      <c r="E2615" s="68" t="n"/>
      <c r="F2615" s="47">
        <f>IF(A2615="","",IF(MIN(H2615,MAX(J2615:K2615))=0,"",MIN(H2615,MAX(J2615:K2615))))</f>
        <v/>
      </c>
      <c r="G2615" s="74" t="n"/>
      <c r="H2615" s="49">
        <f>IF(M2615="","",IFERROR(ROUND(AVERAGE(T2615+M2615*{7,8,9,10,11})/1.21,4),""))</f>
        <v/>
      </c>
      <c r="I2615" s="76" t="n"/>
      <c r="J2615" s="77" t="n"/>
      <c r="K2615" s="74" t="n"/>
      <c r="L2615" s="78" t="n"/>
      <c r="M2615" s="77" t="n"/>
      <c r="N2615" s="53">
        <f>IF(M2615="","",IFERROR(M2615/I2615,""))</f>
        <v/>
      </c>
      <c r="O2615" s="50">
        <f>IF(A2615="","",IFERROR((IF(G2615="",I2615,G2615)-T2615)/M2615,""))</f>
        <v/>
      </c>
      <c r="P2615" s="50">
        <f>IFERROR((I2615/T2615-1)/N2615,"")</f>
        <v/>
      </c>
      <c r="Q2615" s="46">
        <f>IF(OR(T2615="",I2615&lt;T2615),"",IFERROR(R2615/IF(G2615="",I2615,G2615)-1,""))</f>
        <v/>
      </c>
      <c r="R2615" s="48">
        <f>IF($M2615="","",MAX(IF($G2615="",$I2615,$G2615)*(1/1.1),IF($G2615="",$I2615,$G2615)+(R$2*$M2615)))</f>
        <v/>
      </c>
      <c r="S2615" s="49">
        <f>IF($M2615="","",MAX(IF($G2615="",$I2615,$G2615)*(1/1.1),IF($G2615="",$I2615,$G2615)+(S$2*$M2615)))</f>
        <v/>
      </c>
      <c r="T2615" s="82" t="n"/>
      <c r="U2615" s="47">
        <f>IF(OR($M2615="",$T2615=""),"",$T2615+(U$2*$M2615))</f>
        <v/>
      </c>
      <c r="V2615" s="48">
        <f>IF(OR($M2615="",$T2615=""),"",$T2615+(V$2*$M2615))</f>
        <v/>
      </c>
      <c r="W2615" s="48">
        <f>IF(OR($M2615="",$T2615=""),"",$T2615+(W$2*$M2615))</f>
        <v/>
      </c>
      <c r="X2615" s="49">
        <f>IF(OR($M2615="",$T2615=""),"",$T2615+(X$2*$M2615))</f>
        <v/>
      </c>
      <c r="Y2615" s="47">
        <f>IF(OR($M2615="",$T2615=""),"",$T2615+(Y$2*$M2615))</f>
        <v/>
      </c>
      <c r="Z2615" s="49">
        <f>IF(OR($M2615="",$T2615=""),"",$T2615+(Z$2*$M2615))</f>
        <v/>
      </c>
      <c r="AA2615" s="51">
        <f>IF(OR($M2615="",$T2615=""),"",$T2615+(AA$2*$M2615))</f>
        <v/>
      </c>
      <c r="AB2615" s="48">
        <f>IF(OR($M2615="",$T2615=""),"",$T2615+(AB$2*$M2615))</f>
        <v/>
      </c>
      <c r="AC2615" s="48">
        <f>IF(OR($M2615="",$T2615=""),"",$T2615+(AC$2*$M2615))</f>
        <v/>
      </c>
      <c r="AD2615" s="48">
        <f>IF(OR($M2615="",$T2615=""),"",$T2615+(AD$2*$M2615))</f>
        <v/>
      </c>
      <c r="AE2615" s="49">
        <f>IF(OR($M2615="",$T2615=""),"",$T2615+(AE$2*$M2615))</f>
        <v/>
      </c>
      <c r="AF2615" s="52">
        <f>IF(OR(T2615="",I2615&lt;T2615),"",IFERROR(AVERAGE(T2615+M2615*{7,8,9,10,11})/IF(G2615="",I2615,G2615)-1,""))</f>
        <v/>
      </c>
      <c r="AG2615" s="55">
        <f>IF(OR(T2615="",I2615&lt;T2615),"",IFERROR(AF2615/-(R2615/IF(G2615="",I2615,G2615)-1),""))</f>
        <v/>
      </c>
      <c r="AH2615" s="94" t="n"/>
      <c r="AI2615" s="94" t="n"/>
      <c r="AJ2615" s="94" t="n"/>
      <c r="AK2615" s="94" t="n"/>
      <c r="AL2615" s="84" t="n"/>
    </row>
    <row r="2616">
      <c r="A2616" s="64" t="n"/>
      <c r="B2616" s="65" t="n"/>
      <c r="C2616" s="66" t="n"/>
      <c r="D2616" s="67" t="n"/>
      <c r="E2616" s="68" t="n"/>
      <c r="F2616" s="47">
        <f>IF(A2616="","",IF(MIN(H2616,MAX(J2616:K2616))=0,"",MIN(H2616,MAX(J2616:K2616))))</f>
        <v/>
      </c>
      <c r="G2616" s="74" t="n"/>
      <c r="H2616" s="49">
        <f>IF(M2616="","",IFERROR(ROUND(AVERAGE(T2616+M2616*{7,8,9,10,11})/1.21,4),""))</f>
        <v/>
      </c>
      <c r="I2616" s="76" t="n"/>
      <c r="J2616" s="77" t="n"/>
      <c r="K2616" s="74" t="n"/>
      <c r="L2616" s="78" t="n"/>
      <c r="M2616" s="77" t="n"/>
      <c r="N2616" s="53">
        <f>IF(M2616="","",IFERROR(M2616/I2616,""))</f>
        <v/>
      </c>
      <c r="O2616" s="50">
        <f>IF(A2616="","",IFERROR((IF(G2616="",I2616,G2616)-T2616)/M2616,""))</f>
        <v/>
      </c>
      <c r="P2616" s="50">
        <f>IFERROR((I2616/T2616-1)/N2616,"")</f>
        <v/>
      </c>
      <c r="Q2616" s="46">
        <f>IF(OR(T2616="",I2616&lt;T2616),"",IFERROR(R2616/IF(G2616="",I2616,G2616)-1,""))</f>
        <v/>
      </c>
      <c r="R2616" s="48">
        <f>IF($M2616="","",MAX(IF($G2616="",$I2616,$G2616)*(1/1.1),IF($G2616="",$I2616,$G2616)+(R$2*$M2616)))</f>
        <v/>
      </c>
      <c r="S2616" s="49">
        <f>IF($M2616="","",MAX(IF($G2616="",$I2616,$G2616)*(1/1.1),IF($G2616="",$I2616,$G2616)+(S$2*$M2616)))</f>
        <v/>
      </c>
      <c r="T2616" s="82" t="n"/>
      <c r="U2616" s="47">
        <f>IF(OR($M2616="",$T2616=""),"",$T2616+(U$2*$M2616))</f>
        <v/>
      </c>
      <c r="V2616" s="48">
        <f>IF(OR($M2616="",$T2616=""),"",$T2616+(V$2*$M2616))</f>
        <v/>
      </c>
      <c r="W2616" s="48">
        <f>IF(OR($M2616="",$T2616=""),"",$T2616+(W$2*$M2616))</f>
        <v/>
      </c>
      <c r="X2616" s="49">
        <f>IF(OR($M2616="",$T2616=""),"",$T2616+(X$2*$M2616))</f>
        <v/>
      </c>
      <c r="Y2616" s="47">
        <f>IF(OR($M2616="",$T2616=""),"",$T2616+(Y$2*$M2616))</f>
        <v/>
      </c>
      <c r="Z2616" s="49">
        <f>IF(OR($M2616="",$T2616=""),"",$T2616+(Z$2*$M2616))</f>
        <v/>
      </c>
      <c r="AA2616" s="51">
        <f>IF(OR($M2616="",$T2616=""),"",$T2616+(AA$2*$M2616))</f>
        <v/>
      </c>
      <c r="AB2616" s="48">
        <f>IF(OR($M2616="",$T2616=""),"",$T2616+(AB$2*$M2616))</f>
        <v/>
      </c>
      <c r="AC2616" s="48">
        <f>IF(OR($M2616="",$T2616=""),"",$T2616+(AC$2*$M2616))</f>
        <v/>
      </c>
      <c r="AD2616" s="48">
        <f>IF(OR($M2616="",$T2616=""),"",$T2616+(AD$2*$M2616))</f>
        <v/>
      </c>
      <c r="AE2616" s="49">
        <f>IF(OR($M2616="",$T2616=""),"",$T2616+(AE$2*$M2616))</f>
        <v/>
      </c>
      <c r="AF2616" s="52">
        <f>IF(OR(T2616="",I2616&lt;T2616),"",IFERROR(AVERAGE(T2616+M2616*{7,8,9,10,11})/IF(G2616="",I2616,G2616)-1,""))</f>
        <v/>
      </c>
      <c r="AG2616" s="55">
        <f>IF(OR(T2616="",I2616&lt;T2616),"",IFERROR(AF2616/-(R2616/IF(G2616="",I2616,G2616)-1),""))</f>
        <v/>
      </c>
      <c r="AH2616" s="94" t="n"/>
      <c r="AI2616" s="94" t="n"/>
      <c r="AJ2616" s="94" t="n"/>
      <c r="AK2616" s="94" t="n"/>
      <c r="AL2616" s="84" t="n"/>
    </row>
    <row r="2617">
      <c r="A2617" s="64" t="n"/>
      <c r="B2617" s="65" t="n"/>
      <c r="C2617" s="66" t="n"/>
      <c r="D2617" s="67" t="n"/>
      <c r="E2617" s="68" t="n"/>
      <c r="F2617" s="47">
        <f>IF(A2617="","",IF(MIN(H2617,MAX(J2617:K2617))=0,"",MIN(H2617,MAX(J2617:K2617))))</f>
        <v/>
      </c>
      <c r="G2617" s="74" t="n"/>
      <c r="H2617" s="49">
        <f>IF(M2617="","",IFERROR(ROUND(AVERAGE(T2617+M2617*{7,8,9,10,11})/1.21,4),""))</f>
        <v/>
      </c>
      <c r="I2617" s="76" t="n"/>
      <c r="J2617" s="77" t="n"/>
      <c r="K2617" s="74" t="n"/>
      <c r="L2617" s="78" t="n"/>
      <c r="M2617" s="77" t="n"/>
      <c r="N2617" s="53">
        <f>IF(M2617="","",IFERROR(M2617/I2617,""))</f>
        <v/>
      </c>
      <c r="O2617" s="50">
        <f>IF(A2617="","",IFERROR((IF(G2617="",I2617,G2617)-T2617)/M2617,""))</f>
        <v/>
      </c>
      <c r="P2617" s="50">
        <f>IFERROR((I2617/T2617-1)/N2617,"")</f>
        <v/>
      </c>
      <c r="Q2617" s="46">
        <f>IF(OR(T2617="",I2617&lt;T2617),"",IFERROR(R2617/IF(G2617="",I2617,G2617)-1,""))</f>
        <v/>
      </c>
      <c r="R2617" s="48">
        <f>IF($M2617="","",MAX(IF($G2617="",$I2617,$G2617)*(1/1.1),IF($G2617="",$I2617,$G2617)+(R$2*$M2617)))</f>
        <v/>
      </c>
      <c r="S2617" s="49">
        <f>IF($M2617="","",MAX(IF($G2617="",$I2617,$G2617)*(1/1.1),IF($G2617="",$I2617,$G2617)+(S$2*$M2617)))</f>
        <v/>
      </c>
      <c r="T2617" s="82" t="n"/>
      <c r="U2617" s="47">
        <f>IF(OR($M2617="",$T2617=""),"",$T2617+(U$2*$M2617))</f>
        <v/>
      </c>
      <c r="V2617" s="48">
        <f>IF(OR($M2617="",$T2617=""),"",$T2617+(V$2*$M2617))</f>
        <v/>
      </c>
      <c r="W2617" s="48">
        <f>IF(OR($M2617="",$T2617=""),"",$T2617+(W$2*$M2617))</f>
        <v/>
      </c>
      <c r="X2617" s="49">
        <f>IF(OR($M2617="",$T2617=""),"",$T2617+(X$2*$M2617))</f>
        <v/>
      </c>
      <c r="Y2617" s="47">
        <f>IF(OR($M2617="",$T2617=""),"",$T2617+(Y$2*$M2617))</f>
        <v/>
      </c>
      <c r="Z2617" s="49">
        <f>IF(OR($M2617="",$T2617=""),"",$T2617+(Z$2*$M2617))</f>
        <v/>
      </c>
      <c r="AA2617" s="51">
        <f>IF(OR($M2617="",$T2617=""),"",$T2617+(AA$2*$M2617))</f>
        <v/>
      </c>
      <c r="AB2617" s="48">
        <f>IF(OR($M2617="",$T2617=""),"",$T2617+(AB$2*$M2617))</f>
        <v/>
      </c>
      <c r="AC2617" s="48">
        <f>IF(OR($M2617="",$T2617=""),"",$T2617+(AC$2*$M2617))</f>
        <v/>
      </c>
      <c r="AD2617" s="48">
        <f>IF(OR($M2617="",$T2617=""),"",$T2617+(AD$2*$M2617))</f>
        <v/>
      </c>
      <c r="AE2617" s="49">
        <f>IF(OR($M2617="",$T2617=""),"",$T2617+(AE$2*$M2617))</f>
        <v/>
      </c>
      <c r="AF2617" s="52">
        <f>IF(OR(T2617="",I2617&lt;T2617),"",IFERROR(AVERAGE(T2617+M2617*{7,8,9,10,11})/IF(G2617="",I2617,G2617)-1,""))</f>
        <v/>
      </c>
      <c r="AG2617" s="55">
        <f>IF(OR(T2617="",I2617&lt;T2617),"",IFERROR(AF2617/-(R2617/IF(G2617="",I2617,G2617)-1),""))</f>
        <v/>
      </c>
      <c r="AH2617" s="94" t="n"/>
      <c r="AI2617" s="94" t="n"/>
      <c r="AJ2617" s="94" t="n"/>
      <c r="AK2617" s="94" t="n"/>
      <c r="AL2617" s="84" t="n"/>
    </row>
    <row r="2618">
      <c r="A2618" s="64" t="n"/>
      <c r="B2618" s="65" t="n"/>
      <c r="C2618" s="66" t="n"/>
      <c r="D2618" s="67" t="n"/>
      <c r="E2618" s="68" t="n"/>
      <c r="F2618" s="47">
        <f>IF(A2618="","",IF(MIN(H2618,MAX(J2618:K2618))=0,"",MIN(H2618,MAX(J2618:K2618))))</f>
        <v/>
      </c>
      <c r="G2618" s="74" t="n"/>
      <c r="H2618" s="49">
        <f>IF(M2618="","",IFERROR(ROUND(AVERAGE(T2618+M2618*{7,8,9,10,11})/1.21,4),""))</f>
        <v/>
      </c>
      <c r="I2618" s="76" t="n"/>
      <c r="J2618" s="77" t="n"/>
      <c r="K2618" s="74" t="n"/>
      <c r="L2618" s="78" t="n"/>
      <c r="M2618" s="77" t="n"/>
      <c r="N2618" s="53">
        <f>IF(M2618="","",IFERROR(M2618/I2618,""))</f>
        <v/>
      </c>
      <c r="O2618" s="50">
        <f>IF(A2618="","",IFERROR((IF(G2618="",I2618,G2618)-T2618)/M2618,""))</f>
        <v/>
      </c>
      <c r="P2618" s="50">
        <f>IFERROR((I2618/T2618-1)/N2618,"")</f>
        <v/>
      </c>
      <c r="Q2618" s="46">
        <f>IF(OR(T2618="",I2618&lt;T2618),"",IFERROR(R2618/IF(G2618="",I2618,G2618)-1,""))</f>
        <v/>
      </c>
      <c r="R2618" s="48">
        <f>IF($M2618="","",MAX(IF($G2618="",$I2618,$G2618)*(1/1.1),IF($G2618="",$I2618,$G2618)+(R$2*$M2618)))</f>
        <v/>
      </c>
      <c r="S2618" s="49">
        <f>IF($M2618="","",MAX(IF($G2618="",$I2618,$G2618)*(1/1.1),IF($G2618="",$I2618,$G2618)+(S$2*$M2618)))</f>
        <v/>
      </c>
      <c r="T2618" s="82" t="n"/>
      <c r="U2618" s="47">
        <f>IF(OR($M2618="",$T2618=""),"",$T2618+(U$2*$M2618))</f>
        <v/>
      </c>
      <c r="V2618" s="48">
        <f>IF(OR($M2618="",$T2618=""),"",$T2618+(V$2*$M2618))</f>
        <v/>
      </c>
      <c r="W2618" s="48">
        <f>IF(OR($M2618="",$T2618=""),"",$T2618+(W$2*$M2618))</f>
        <v/>
      </c>
      <c r="X2618" s="49">
        <f>IF(OR($M2618="",$T2618=""),"",$T2618+(X$2*$M2618))</f>
        <v/>
      </c>
      <c r="Y2618" s="47">
        <f>IF(OR($M2618="",$T2618=""),"",$T2618+(Y$2*$M2618))</f>
        <v/>
      </c>
      <c r="Z2618" s="49">
        <f>IF(OR($M2618="",$T2618=""),"",$T2618+(Z$2*$M2618))</f>
        <v/>
      </c>
      <c r="AA2618" s="51">
        <f>IF(OR($M2618="",$T2618=""),"",$T2618+(AA$2*$M2618))</f>
        <v/>
      </c>
      <c r="AB2618" s="48">
        <f>IF(OR($M2618="",$T2618=""),"",$T2618+(AB$2*$M2618))</f>
        <v/>
      </c>
      <c r="AC2618" s="48">
        <f>IF(OR($M2618="",$T2618=""),"",$T2618+(AC$2*$M2618))</f>
        <v/>
      </c>
      <c r="AD2618" s="48">
        <f>IF(OR($M2618="",$T2618=""),"",$T2618+(AD$2*$M2618))</f>
        <v/>
      </c>
      <c r="AE2618" s="49">
        <f>IF(OR($M2618="",$T2618=""),"",$T2618+(AE$2*$M2618))</f>
        <v/>
      </c>
      <c r="AF2618" s="52">
        <f>IF(OR(T2618="",I2618&lt;T2618),"",IFERROR(AVERAGE(T2618+M2618*{7,8,9,10,11})/IF(G2618="",I2618,G2618)-1,""))</f>
        <v/>
      </c>
      <c r="AG2618" s="55">
        <f>IF(OR(T2618="",I2618&lt;T2618),"",IFERROR(AF2618/-(R2618/IF(G2618="",I2618,G2618)-1),""))</f>
        <v/>
      </c>
      <c r="AH2618" s="94" t="n"/>
      <c r="AI2618" s="94" t="n"/>
      <c r="AJ2618" s="94" t="n"/>
      <c r="AK2618" s="94" t="n"/>
      <c r="AL2618" s="84" t="n"/>
    </row>
    <row r="2619">
      <c r="A2619" s="64" t="n"/>
      <c r="B2619" s="65" t="n"/>
      <c r="C2619" s="66" t="n"/>
      <c r="D2619" s="67" t="n"/>
      <c r="E2619" s="68" t="n"/>
      <c r="F2619" s="47">
        <f>IF(A2619="","",IF(MIN(H2619,MAX(J2619:K2619))=0,"",MIN(H2619,MAX(J2619:K2619))))</f>
        <v/>
      </c>
      <c r="G2619" s="74" t="n"/>
      <c r="H2619" s="49">
        <f>IF(M2619="","",IFERROR(ROUND(AVERAGE(T2619+M2619*{7,8,9,10,11})/1.21,4),""))</f>
        <v/>
      </c>
      <c r="I2619" s="76" t="n"/>
      <c r="J2619" s="77" t="n"/>
      <c r="K2619" s="74" t="n"/>
      <c r="L2619" s="78" t="n"/>
      <c r="M2619" s="77" t="n"/>
      <c r="N2619" s="53">
        <f>IF(M2619="","",IFERROR(M2619/I2619,""))</f>
        <v/>
      </c>
      <c r="O2619" s="50">
        <f>IF(A2619="","",IFERROR((IF(G2619="",I2619,G2619)-T2619)/M2619,""))</f>
        <v/>
      </c>
      <c r="P2619" s="50">
        <f>IFERROR((I2619/T2619-1)/N2619,"")</f>
        <v/>
      </c>
      <c r="Q2619" s="46">
        <f>IF(OR(T2619="",I2619&lt;T2619),"",IFERROR(R2619/IF(G2619="",I2619,G2619)-1,""))</f>
        <v/>
      </c>
      <c r="R2619" s="48">
        <f>IF($M2619="","",MAX(IF($G2619="",$I2619,$G2619)*(1/1.1),IF($G2619="",$I2619,$G2619)+(R$2*$M2619)))</f>
        <v/>
      </c>
      <c r="S2619" s="49">
        <f>IF($M2619="","",MAX(IF($G2619="",$I2619,$G2619)*(1/1.1),IF($G2619="",$I2619,$G2619)+(S$2*$M2619)))</f>
        <v/>
      </c>
      <c r="T2619" s="82" t="n"/>
      <c r="U2619" s="47">
        <f>IF(OR($M2619="",$T2619=""),"",$T2619+(U$2*$M2619))</f>
        <v/>
      </c>
      <c r="V2619" s="48">
        <f>IF(OR($M2619="",$T2619=""),"",$T2619+(V$2*$M2619))</f>
        <v/>
      </c>
      <c r="W2619" s="48">
        <f>IF(OR($M2619="",$T2619=""),"",$T2619+(W$2*$M2619))</f>
        <v/>
      </c>
      <c r="X2619" s="49">
        <f>IF(OR($M2619="",$T2619=""),"",$T2619+(X$2*$M2619))</f>
        <v/>
      </c>
      <c r="Y2619" s="47">
        <f>IF(OR($M2619="",$T2619=""),"",$T2619+(Y$2*$M2619))</f>
        <v/>
      </c>
      <c r="Z2619" s="49">
        <f>IF(OR($M2619="",$T2619=""),"",$T2619+(Z$2*$M2619))</f>
        <v/>
      </c>
      <c r="AA2619" s="51">
        <f>IF(OR($M2619="",$T2619=""),"",$T2619+(AA$2*$M2619))</f>
        <v/>
      </c>
      <c r="AB2619" s="48">
        <f>IF(OR($M2619="",$T2619=""),"",$T2619+(AB$2*$M2619))</f>
        <v/>
      </c>
      <c r="AC2619" s="48">
        <f>IF(OR($M2619="",$T2619=""),"",$T2619+(AC$2*$M2619))</f>
        <v/>
      </c>
      <c r="AD2619" s="48">
        <f>IF(OR($M2619="",$T2619=""),"",$T2619+(AD$2*$M2619))</f>
        <v/>
      </c>
      <c r="AE2619" s="49">
        <f>IF(OR($M2619="",$T2619=""),"",$T2619+(AE$2*$M2619))</f>
        <v/>
      </c>
      <c r="AF2619" s="52">
        <f>IF(OR(T2619="",I2619&lt;T2619),"",IFERROR(AVERAGE(T2619+M2619*{7,8,9,10,11})/IF(G2619="",I2619,G2619)-1,""))</f>
        <v/>
      </c>
      <c r="AG2619" s="55">
        <f>IF(OR(T2619="",I2619&lt;T2619),"",IFERROR(AF2619/-(R2619/IF(G2619="",I2619,G2619)-1),""))</f>
        <v/>
      </c>
      <c r="AH2619" s="94" t="n"/>
      <c r="AI2619" s="94" t="n"/>
      <c r="AJ2619" s="94" t="n"/>
      <c r="AK2619" s="94" t="n"/>
      <c r="AL2619" s="84" t="n"/>
    </row>
    <row r="2620">
      <c r="A2620" s="64" t="n"/>
      <c r="B2620" s="65" t="n"/>
      <c r="C2620" s="66" t="n"/>
      <c r="D2620" s="67" t="n"/>
      <c r="E2620" s="68" t="n"/>
      <c r="F2620" s="47">
        <f>IF(A2620="","",IF(MIN(H2620,MAX(J2620:K2620))=0,"",MIN(H2620,MAX(J2620:K2620))))</f>
        <v/>
      </c>
      <c r="G2620" s="74" t="n"/>
      <c r="H2620" s="49">
        <f>IF(M2620="","",IFERROR(ROUND(AVERAGE(T2620+M2620*{7,8,9,10,11})/1.21,4),""))</f>
        <v/>
      </c>
      <c r="I2620" s="76" t="n"/>
      <c r="J2620" s="77" t="n"/>
      <c r="K2620" s="74" t="n"/>
      <c r="L2620" s="78" t="n"/>
      <c r="M2620" s="77" t="n"/>
      <c r="N2620" s="53">
        <f>IF(M2620="","",IFERROR(M2620/I2620,""))</f>
        <v/>
      </c>
      <c r="O2620" s="50">
        <f>IF(A2620="","",IFERROR((IF(G2620="",I2620,G2620)-T2620)/M2620,""))</f>
        <v/>
      </c>
      <c r="P2620" s="50">
        <f>IFERROR((I2620/T2620-1)/N2620,"")</f>
        <v/>
      </c>
      <c r="Q2620" s="46">
        <f>IF(OR(T2620="",I2620&lt;T2620),"",IFERROR(R2620/IF(G2620="",I2620,G2620)-1,""))</f>
        <v/>
      </c>
      <c r="R2620" s="48">
        <f>IF($M2620="","",MAX(IF($G2620="",$I2620,$G2620)*(1/1.1),IF($G2620="",$I2620,$G2620)+(R$2*$M2620)))</f>
        <v/>
      </c>
      <c r="S2620" s="49">
        <f>IF($M2620="","",MAX(IF($G2620="",$I2620,$G2620)*(1/1.1),IF($G2620="",$I2620,$G2620)+(S$2*$M2620)))</f>
        <v/>
      </c>
      <c r="T2620" s="82" t="n"/>
      <c r="U2620" s="47">
        <f>IF(OR($M2620="",$T2620=""),"",$T2620+(U$2*$M2620))</f>
        <v/>
      </c>
      <c r="V2620" s="48">
        <f>IF(OR($M2620="",$T2620=""),"",$T2620+(V$2*$M2620))</f>
        <v/>
      </c>
      <c r="W2620" s="48">
        <f>IF(OR($M2620="",$T2620=""),"",$T2620+(W$2*$M2620))</f>
        <v/>
      </c>
      <c r="X2620" s="49">
        <f>IF(OR($M2620="",$T2620=""),"",$T2620+(X$2*$M2620))</f>
        <v/>
      </c>
      <c r="Y2620" s="47">
        <f>IF(OR($M2620="",$T2620=""),"",$T2620+(Y$2*$M2620))</f>
        <v/>
      </c>
      <c r="Z2620" s="49">
        <f>IF(OR($M2620="",$T2620=""),"",$T2620+(Z$2*$M2620))</f>
        <v/>
      </c>
      <c r="AA2620" s="51">
        <f>IF(OR($M2620="",$T2620=""),"",$T2620+(AA$2*$M2620))</f>
        <v/>
      </c>
      <c r="AB2620" s="48">
        <f>IF(OR($M2620="",$T2620=""),"",$T2620+(AB$2*$M2620))</f>
        <v/>
      </c>
      <c r="AC2620" s="48">
        <f>IF(OR($M2620="",$T2620=""),"",$T2620+(AC$2*$M2620))</f>
        <v/>
      </c>
      <c r="AD2620" s="48">
        <f>IF(OR($M2620="",$T2620=""),"",$T2620+(AD$2*$M2620))</f>
        <v/>
      </c>
      <c r="AE2620" s="49">
        <f>IF(OR($M2620="",$T2620=""),"",$T2620+(AE$2*$M2620))</f>
        <v/>
      </c>
      <c r="AF2620" s="52">
        <f>IF(OR(T2620="",I2620&lt;T2620),"",IFERROR(AVERAGE(T2620+M2620*{7,8,9,10,11})/IF(G2620="",I2620,G2620)-1,""))</f>
        <v/>
      </c>
      <c r="AG2620" s="55">
        <f>IF(OR(T2620="",I2620&lt;T2620),"",IFERROR(AF2620/-(R2620/IF(G2620="",I2620,G2620)-1),""))</f>
        <v/>
      </c>
      <c r="AH2620" s="94" t="n"/>
      <c r="AI2620" s="94" t="n"/>
      <c r="AJ2620" s="94" t="n"/>
      <c r="AK2620" s="94" t="n"/>
      <c r="AL2620" s="84" t="n"/>
    </row>
    <row r="2621">
      <c r="A2621" s="64" t="n"/>
      <c r="B2621" s="65" t="n"/>
      <c r="C2621" s="66" t="n"/>
      <c r="D2621" s="67" t="n"/>
      <c r="E2621" s="68" t="n"/>
      <c r="F2621" s="47">
        <f>IF(A2621="","",IF(MIN(H2621,MAX(J2621:K2621))=0,"",MIN(H2621,MAX(J2621:K2621))))</f>
        <v/>
      </c>
      <c r="G2621" s="74" t="n"/>
      <c r="H2621" s="49">
        <f>IF(M2621="","",IFERROR(ROUND(AVERAGE(T2621+M2621*{7,8,9,10,11})/1.21,4),""))</f>
        <v/>
      </c>
      <c r="I2621" s="76" t="n"/>
      <c r="J2621" s="77" t="n"/>
      <c r="K2621" s="74" t="n"/>
      <c r="L2621" s="78" t="n"/>
      <c r="M2621" s="77" t="n"/>
      <c r="N2621" s="53">
        <f>IF(M2621="","",IFERROR(M2621/I2621,""))</f>
        <v/>
      </c>
      <c r="O2621" s="50">
        <f>IF(A2621="","",IFERROR((IF(G2621="",I2621,G2621)-T2621)/M2621,""))</f>
        <v/>
      </c>
      <c r="P2621" s="50">
        <f>IFERROR((I2621/T2621-1)/N2621,"")</f>
        <v/>
      </c>
      <c r="Q2621" s="46">
        <f>IF(OR(T2621="",I2621&lt;T2621),"",IFERROR(R2621/IF(G2621="",I2621,G2621)-1,""))</f>
        <v/>
      </c>
      <c r="R2621" s="48">
        <f>IF($M2621="","",MAX(IF($G2621="",$I2621,$G2621)*(1/1.1),IF($G2621="",$I2621,$G2621)+(R$2*$M2621)))</f>
        <v/>
      </c>
      <c r="S2621" s="49">
        <f>IF($M2621="","",MAX(IF($G2621="",$I2621,$G2621)*(1/1.1),IF($G2621="",$I2621,$G2621)+(S$2*$M2621)))</f>
        <v/>
      </c>
      <c r="T2621" s="82" t="n"/>
      <c r="U2621" s="47">
        <f>IF(OR($M2621="",$T2621=""),"",$T2621+(U$2*$M2621))</f>
        <v/>
      </c>
      <c r="V2621" s="48">
        <f>IF(OR($M2621="",$T2621=""),"",$T2621+(V$2*$M2621))</f>
        <v/>
      </c>
      <c r="W2621" s="48">
        <f>IF(OR($M2621="",$T2621=""),"",$T2621+(W$2*$M2621))</f>
        <v/>
      </c>
      <c r="X2621" s="49">
        <f>IF(OR($M2621="",$T2621=""),"",$T2621+(X$2*$M2621))</f>
        <v/>
      </c>
      <c r="Y2621" s="47">
        <f>IF(OR($M2621="",$T2621=""),"",$T2621+(Y$2*$M2621))</f>
        <v/>
      </c>
      <c r="Z2621" s="49">
        <f>IF(OR($M2621="",$T2621=""),"",$T2621+(Z$2*$M2621))</f>
        <v/>
      </c>
      <c r="AA2621" s="51">
        <f>IF(OR($M2621="",$T2621=""),"",$T2621+(AA$2*$M2621))</f>
        <v/>
      </c>
      <c r="AB2621" s="48">
        <f>IF(OR($M2621="",$T2621=""),"",$T2621+(AB$2*$M2621))</f>
        <v/>
      </c>
      <c r="AC2621" s="48">
        <f>IF(OR($M2621="",$T2621=""),"",$T2621+(AC$2*$M2621))</f>
        <v/>
      </c>
      <c r="AD2621" s="48">
        <f>IF(OR($M2621="",$T2621=""),"",$T2621+(AD$2*$M2621))</f>
        <v/>
      </c>
      <c r="AE2621" s="49">
        <f>IF(OR($M2621="",$T2621=""),"",$T2621+(AE$2*$M2621))</f>
        <v/>
      </c>
      <c r="AF2621" s="52">
        <f>IF(OR(T2621="",I2621&lt;T2621),"",IFERROR(AVERAGE(T2621+M2621*{7,8,9,10,11})/IF(G2621="",I2621,G2621)-1,""))</f>
        <v/>
      </c>
      <c r="AG2621" s="55">
        <f>IF(OR(T2621="",I2621&lt;T2621),"",IFERROR(AF2621/-(R2621/IF(G2621="",I2621,G2621)-1),""))</f>
        <v/>
      </c>
      <c r="AH2621" s="94" t="n"/>
      <c r="AI2621" s="94" t="n"/>
      <c r="AJ2621" s="94" t="n"/>
      <c r="AK2621" s="94" t="n"/>
      <c r="AL2621" s="84" t="n"/>
    </row>
    <row r="2622">
      <c r="A2622" s="64" t="n"/>
      <c r="B2622" s="65" t="n"/>
      <c r="C2622" s="66" t="n"/>
      <c r="D2622" s="67" t="n"/>
      <c r="E2622" s="68" t="n"/>
      <c r="F2622" s="47">
        <f>IF(A2622="","",IF(MIN(H2622,MAX(J2622:K2622))=0,"",MIN(H2622,MAX(J2622:K2622))))</f>
        <v/>
      </c>
      <c r="G2622" s="74" t="n"/>
      <c r="H2622" s="49">
        <f>IF(M2622="","",IFERROR(ROUND(AVERAGE(T2622+M2622*{7,8,9,10,11})/1.21,4),""))</f>
        <v/>
      </c>
      <c r="I2622" s="76" t="n"/>
      <c r="J2622" s="77" t="n"/>
      <c r="K2622" s="74" t="n"/>
      <c r="L2622" s="78" t="n"/>
      <c r="M2622" s="77" t="n"/>
      <c r="N2622" s="53">
        <f>IF(M2622="","",IFERROR(M2622/I2622,""))</f>
        <v/>
      </c>
      <c r="O2622" s="50">
        <f>IF(A2622="","",IFERROR((IF(G2622="",I2622,G2622)-T2622)/M2622,""))</f>
        <v/>
      </c>
      <c r="P2622" s="50">
        <f>IFERROR((I2622/T2622-1)/N2622,"")</f>
        <v/>
      </c>
      <c r="Q2622" s="46">
        <f>IF(OR(T2622="",I2622&lt;T2622),"",IFERROR(R2622/IF(G2622="",I2622,G2622)-1,""))</f>
        <v/>
      </c>
      <c r="R2622" s="48">
        <f>IF($M2622="","",MAX(IF($G2622="",$I2622,$G2622)*(1/1.1),IF($G2622="",$I2622,$G2622)+(R$2*$M2622)))</f>
        <v/>
      </c>
      <c r="S2622" s="49">
        <f>IF($M2622="","",MAX(IF($G2622="",$I2622,$G2622)*(1/1.1),IF($G2622="",$I2622,$G2622)+(S$2*$M2622)))</f>
        <v/>
      </c>
      <c r="T2622" s="82" t="n"/>
      <c r="U2622" s="47">
        <f>IF(OR($M2622="",$T2622=""),"",$T2622+(U$2*$M2622))</f>
        <v/>
      </c>
      <c r="V2622" s="48">
        <f>IF(OR($M2622="",$T2622=""),"",$T2622+(V$2*$M2622))</f>
        <v/>
      </c>
      <c r="W2622" s="48">
        <f>IF(OR($M2622="",$T2622=""),"",$T2622+(W$2*$M2622))</f>
        <v/>
      </c>
      <c r="X2622" s="49">
        <f>IF(OR($M2622="",$T2622=""),"",$T2622+(X$2*$M2622))</f>
        <v/>
      </c>
      <c r="Y2622" s="47">
        <f>IF(OR($M2622="",$T2622=""),"",$T2622+(Y$2*$M2622))</f>
        <v/>
      </c>
      <c r="Z2622" s="49">
        <f>IF(OR($M2622="",$T2622=""),"",$T2622+(Z$2*$M2622))</f>
        <v/>
      </c>
      <c r="AA2622" s="51">
        <f>IF(OR($M2622="",$T2622=""),"",$T2622+(AA$2*$M2622))</f>
        <v/>
      </c>
      <c r="AB2622" s="48">
        <f>IF(OR($M2622="",$T2622=""),"",$T2622+(AB$2*$M2622))</f>
        <v/>
      </c>
      <c r="AC2622" s="48">
        <f>IF(OR($M2622="",$T2622=""),"",$T2622+(AC$2*$M2622))</f>
        <v/>
      </c>
      <c r="AD2622" s="48">
        <f>IF(OR($M2622="",$T2622=""),"",$T2622+(AD$2*$M2622))</f>
        <v/>
      </c>
      <c r="AE2622" s="49">
        <f>IF(OR($M2622="",$T2622=""),"",$T2622+(AE$2*$M2622))</f>
        <v/>
      </c>
      <c r="AF2622" s="52">
        <f>IF(OR(T2622="",I2622&lt;T2622),"",IFERROR(AVERAGE(T2622+M2622*{7,8,9,10,11})/IF(G2622="",I2622,G2622)-1,""))</f>
        <v/>
      </c>
      <c r="AG2622" s="55">
        <f>IF(OR(T2622="",I2622&lt;T2622),"",IFERROR(AF2622/-(R2622/IF(G2622="",I2622,G2622)-1),""))</f>
        <v/>
      </c>
      <c r="AH2622" s="94" t="n"/>
      <c r="AI2622" s="94" t="n"/>
      <c r="AJ2622" s="94" t="n"/>
      <c r="AK2622" s="94" t="n"/>
      <c r="AL2622" s="84" t="n"/>
    </row>
    <row r="2623">
      <c r="A2623" s="64" t="n"/>
      <c r="B2623" s="65" t="n"/>
      <c r="C2623" s="66" t="n"/>
      <c r="D2623" s="67" t="n"/>
      <c r="E2623" s="68" t="n"/>
      <c r="F2623" s="47">
        <f>IF(A2623="","",IF(MIN(H2623,MAX(J2623:K2623))=0,"",MIN(H2623,MAX(J2623:K2623))))</f>
        <v/>
      </c>
      <c r="G2623" s="74" t="n"/>
      <c r="H2623" s="49">
        <f>IF(M2623="","",IFERROR(ROUND(AVERAGE(T2623+M2623*{7,8,9,10,11})/1.21,4),""))</f>
        <v/>
      </c>
      <c r="I2623" s="76" t="n"/>
      <c r="J2623" s="77" t="n"/>
      <c r="K2623" s="74" t="n"/>
      <c r="L2623" s="78" t="n"/>
      <c r="M2623" s="77" t="n"/>
      <c r="N2623" s="53">
        <f>IF(M2623="","",IFERROR(M2623/I2623,""))</f>
        <v/>
      </c>
      <c r="O2623" s="50">
        <f>IF(A2623="","",IFERROR((IF(G2623="",I2623,G2623)-T2623)/M2623,""))</f>
        <v/>
      </c>
      <c r="P2623" s="50">
        <f>IFERROR((I2623/T2623-1)/N2623,"")</f>
        <v/>
      </c>
      <c r="Q2623" s="46">
        <f>IF(OR(T2623="",I2623&lt;T2623),"",IFERROR(R2623/IF(G2623="",I2623,G2623)-1,""))</f>
        <v/>
      </c>
      <c r="R2623" s="48">
        <f>IF($M2623="","",MAX(IF($G2623="",$I2623,$G2623)*(1/1.1),IF($G2623="",$I2623,$G2623)+(R$2*$M2623)))</f>
        <v/>
      </c>
      <c r="S2623" s="49">
        <f>IF($M2623="","",MAX(IF($G2623="",$I2623,$G2623)*(1/1.1),IF($G2623="",$I2623,$G2623)+(S$2*$M2623)))</f>
        <v/>
      </c>
      <c r="T2623" s="82" t="n"/>
      <c r="U2623" s="47">
        <f>IF(OR($M2623="",$T2623=""),"",$T2623+(U$2*$M2623))</f>
        <v/>
      </c>
      <c r="V2623" s="48">
        <f>IF(OR($M2623="",$T2623=""),"",$T2623+(V$2*$M2623))</f>
        <v/>
      </c>
      <c r="W2623" s="48">
        <f>IF(OR($M2623="",$T2623=""),"",$T2623+(W$2*$M2623))</f>
        <v/>
      </c>
      <c r="X2623" s="49">
        <f>IF(OR($M2623="",$T2623=""),"",$T2623+(X$2*$M2623))</f>
        <v/>
      </c>
      <c r="Y2623" s="47">
        <f>IF(OR($M2623="",$T2623=""),"",$T2623+(Y$2*$M2623))</f>
        <v/>
      </c>
      <c r="Z2623" s="49">
        <f>IF(OR($M2623="",$T2623=""),"",$T2623+(Z$2*$M2623))</f>
        <v/>
      </c>
      <c r="AA2623" s="51">
        <f>IF(OR($M2623="",$T2623=""),"",$T2623+(AA$2*$M2623))</f>
        <v/>
      </c>
      <c r="AB2623" s="48">
        <f>IF(OR($M2623="",$T2623=""),"",$T2623+(AB$2*$M2623))</f>
        <v/>
      </c>
      <c r="AC2623" s="48">
        <f>IF(OR($M2623="",$T2623=""),"",$T2623+(AC$2*$M2623))</f>
        <v/>
      </c>
      <c r="AD2623" s="48">
        <f>IF(OR($M2623="",$T2623=""),"",$T2623+(AD$2*$M2623))</f>
        <v/>
      </c>
      <c r="AE2623" s="49">
        <f>IF(OR($M2623="",$T2623=""),"",$T2623+(AE$2*$M2623))</f>
        <v/>
      </c>
      <c r="AF2623" s="52">
        <f>IF(OR(T2623="",I2623&lt;T2623),"",IFERROR(AVERAGE(T2623+M2623*{7,8,9,10,11})/IF(G2623="",I2623,G2623)-1,""))</f>
        <v/>
      </c>
      <c r="AG2623" s="55">
        <f>IF(OR(T2623="",I2623&lt;T2623),"",IFERROR(AF2623/-(R2623/IF(G2623="",I2623,G2623)-1),""))</f>
        <v/>
      </c>
      <c r="AH2623" s="94" t="n"/>
      <c r="AI2623" s="94" t="n"/>
      <c r="AJ2623" s="94" t="n"/>
      <c r="AK2623" s="94" t="n"/>
      <c r="AL2623" s="84" t="n"/>
    </row>
    <row r="2624">
      <c r="A2624" s="64" t="n"/>
      <c r="B2624" s="65" t="n"/>
      <c r="C2624" s="66" t="n"/>
      <c r="D2624" s="67" t="n"/>
      <c r="E2624" s="68" t="n"/>
      <c r="F2624" s="47">
        <f>IF(A2624="","",IF(MIN(H2624,MAX(J2624:K2624))=0,"",MIN(H2624,MAX(J2624:K2624))))</f>
        <v/>
      </c>
      <c r="G2624" s="74" t="n"/>
      <c r="H2624" s="49">
        <f>IF(M2624="","",IFERROR(ROUND(AVERAGE(T2624+M2624*{7,8,9,10,11})/1.21,4),""))</f>
        <v/>
      </c>
      <c r="I2624" s="76" t="n"/>
      <c r="J2624" s="77" t="n"/>
      <c r="K2624" s="74" t="n"/>
      <c r="L2624" s="78" t="n"/>
      <c r="M2624" s="77" t="n"/>
      <c r="N2624" s="53">
        <f>IF(M2624="","",IFERROR(M2624/I2624,""))</f>
        <v/>
      </c>
      <c r="O2624" s="50">
        <f>IF(A2624="","",IFERROR((IF(G2624="",I2624,G2624)-T2624)/M2624,""))</f>
        <v/>
      </c>
      <c r="P2624" s="50">
        <f>IFERROR((I2624/T2624-1)/N2624,"")</f>
        <v/>
      </c>
      <c r="Q2624" s="46">
        <f>IF(OR(T2624="",I2624&lt;T2624),"",IFERROR(R2624/IF(G2624="",I2624,G2624)-1,""))</f>
        <v/>
      </c>
      <c r="R2624" s="48">
        <f>IF($M2624="","",MAX(IF($G2624="",$I2624,$G2624)*(1/1.1),IF($G2624="",$I2624,$G2624)+(R$2*$M2624)))</f>
        <v/>
      </c>
      <c r="S2624" s="49">
        <f>IF($M2624="","",MAX(IF($G2624="",$I2624,$G2624)*(1/1.1),IF($G2624="",$I2624,$G2624)+(S$2*$M2624)))</f>
        <v/>
      </c>
      <c r="T2624" s="82" t="n"/>
      <c r="U2624" s="47">
        <f>IF(OR($M2624="",$T2624=""),"",$T2624+(U$2*$M2624))</f>
        <v/>
      </c>
      <c r="V2624" s="48">
        <f>IF(OR($M2624="",$T2624=""),"",$T2624+(V$2*$M2624))</f>
        <v/>
      </c>
      <c r="W2624" s="48">
        <f>IF(OR($M2624="",$T2624=""),"",$T2624+(W$2*$M2624))</f>
        <v/>
      </c>
      <c r="X2624" s="49">
        <f>IF(OR($M2624="",$T2624=""),"",$T2624+(X$2*$M2624))</f>
        <v/>
      </c>
      <c r="Y2624" s="47">
        <f>IF(OR($M2624="",$T2624=""),"",$T2624+(Y$2*$M2624))</f>
        <v/>
      </c>
      <c r="Z2624" s="49">
        <f>IF(OR($M2624="",$T2624=""),"",$T2624+(Z$2*$M2624))</f>
        <v/>
      </c>
      <c r="AA2624" s="51">
        <f>IF(OR($M2624="",$T2624=""),"",$T2624+(AA$2*$M2624))</f>
        <v/>
      </c>
      <c r="AB2624" s="48">
        <f>IF(OR($M2624="",$T2624=""),"",$T2624+(AB$2*$M2624))</f>
        <v/>
      </c>
      <c r="AC2624" s="48">
        <f>IF(OR($M2624="",$T2624=""),"",$T2624+(AC$2*$M2624))</f>
        <v/>
      </c>
      <c r="AD2624" s="48">
        <f>IF(OR($M2624="",$T2624=""),"",$T2624+(AD$2*$M2624))</f>
        <v/>
      </c>
      <c r="AE2624" s="49">
        <f>IF(OR($M2624="",$T2624=""),"",$T2624+(AE$2*$M2624))</f>
        <v/>
      </c>
      <c r="AF2624" s="52">
        <f>IF(OR(T2624="",I2624&lt;T2624),"",IFERROR(AVERAGE(T2624+M2624*{7,8,9,10,11})/IF(G2624="",I2624,G2624)-1,""))</f>
        <v/>
      </c>
      <c r="AG2624" s="55">
        <f>IF(OR(T2624="",I2624&lt;T2624),"",IFERROR(AF2624/-(R2624/IF(G2624="",I2624,G2624)-1),""))</f>
        <v/>
      </c>
      <c r="AH2624" s="94" t="n"/>
      <c r="AI2624" s="94" t="n"/>
      <c r="AJ2624" s="94" t="n"/>
      <c r="AK2624" s="94" t="n"/>
      <c r="AL2624" s="84" t="n"/>
    </row>
    <row r="2625">
      <c r="A2625" s="64" t="n"/>
      <c r="B2625" s="65" t="n"/>
      <c r="C2625" s="66" t="n"/>
      <c r="D2625" s="67" t="n"/>
      <c r="E2625" s="68" t="n"/>
      <c r="F2625" s="47">
        <f>IF(A2625="","",IF(MIN(H2625,MAX(J2625:K2625))=0,"",MIN(H2625,MAX(J2625:K2625))))</f>
        <v/>
      </c>
      <c r="G2625" s="74" t="n"/>
      <c r="H2625" s="49">
        <f>IF(M2625="","",IFERROR(ROUND(AVERAGE(T2625+M2625*{7,8,9,10,11})/1.21,4),""))</f>
        <v/>
      </c>
      <c r="I2625" s="76" t="n"/>
      <c r="J2625" s="77" t="n"/>
      <c r="K2625" s="74" t="n"/>
      <c r="L2625" s="78" t="n"/>
      <c r="M2625" s="77" t="n"/>
      <c r="N2625" s="53">
        <f>IF(M2625="","",IFERROR(M2625/I2625,""))</f>
        <v/>
      </c>
      <c r="O2625" s="50">
        <f>IF(A2625="","",IFERROR((IF(G2625="",I2625,G2625)-T2625)/M2625,""))</f>
        <v/>
      </c>
      <c r="P2625" s="50">
        <f>IFERROR((I2625/T2625-1)/N2625,"")</f>
        <v/>
      </c>
      <c r="Q2625" s="46">
        <f>IF(OR(T2625="",I2625&lt;T2625),"",IFERROR(R2625/IF(G2625="",I2625,G2625)-1,""))</f>
        <v/>
      </c>
      <c r="R2625" s="48">
        <f>IF($M2625="","",MAX(IF($G2625="",$I2625,$G2625)*(1/1.1),IF($G2625="",$I2625,$G2625)+(R$2*$M2625)))</f>
        <v/>
      </c>
      <c r="S2625" s="49">
        <f>IF($M2625="","",MAX(IF($G2625="",$I2625,$G2625)*(1/1.1),IF($G2625="",$I2625,$G2625)+(S$2*$M2625)))</f>
        <v/>
      </c>
      <c r="T2625" s="82" t="n"/>
      <c r="U2625" s="47">
        <f>IF(OR($M2625="",$T2625=""),"",$T2625+(U$2*$M2625))</f>
        <v/>
      </c>
      <c r="V2625" s="48">
        <f>IF(OR($M2625="",$T2625=""),"",$T2625+(V$2*$M2625))</f>
        <v/>
      </c>
      <c r="W2625" s="48">
        <f>IF(OR($M2625="",$T2625=""),"",$T2625+(W$2*$M2625))</f>
        <v/>
      </c>
      <c r="X2625" s="49">
        <f>IF(OR($M2625="",$T2625=""),"",$T2625+(X$2*$M2625))</f>
        <v/>
      </c>
      <c r="Y2625" s="47">
        <f>IF(OR($M2625="",$T2625=""),"",$T2625+(Y$2*$M2625))</f>
        <v/>
      </c>
      <c r="Z2625" s="49">
        <f>IF(OR($M2625="",$T2625=""),"",$T2625+(Z$2*$M2625))</f>
        <v/>
      </c>
      <c r="AA2625" s="51">
        <f>IF(OR($M2625="",$T2625=""),"",$T2625+(AA$2*$M2625))</f>
        <v/>
      </c>
      <c r="AB2625" s="48">
        <f>IF(OR($M2625="",$T2625=""),"",$T2625+(AB$2*$M2625))</f>
        <v/>
      </c>
      <c r="AC2625" s="48">
        <f>IF(OR($M2625="",$T2625=""),"",$T2625+(AC$2*$M2625))</f>
        <v/>
      </c>
      <c r="AD2625" s="48">
        <f>IF(OR($M2625="",$T2625=""),"",$T2625+(AD$2*$M2625))</f>
        <v/>
      </c>
      <c r="AE2625" s="49">
        <f>IF(OR($M2625="",$T2625=""),"",$T2625+(AE$2*$M2625))</f>
        <v/>
      </c>
      <c r="AF2625" s="52">
        <f>IF(OR(T2625="",I2625&lt;T2625),"",IFERROR(AVERAGE(T2625+M2625*{7,8,9,10,11})/IF(G2625="",I2625,G2625)-1,""))</f>
        <v/>
      </c>
      <c r="AG2625" s="55">
        <f>IF(OR(T2625="",I2625&lt;T2625),"",IFERROR(AF2625/-(R2625/IF(G2625="",I2625,G2625)-1),""))</f>
        <v/>
      </c>
      <c r="AH2625" s="94" t="n"/>
      <c r="AI2625" s="94" t="n"/>
      <c r="AJ2625" s="94" t="n"/>
      <c r="AK2625" s="94" t="n"/>
      <c r="AL2625" s="84" t="n"/>
    </row>
    <row r="2626">
      <c r="A2626" s="64" t="n"/>
      <c r="B2626" s="65" t="n"/>
      <c r="C2626" s="66" t="n"/>
      <c r="D2626" s="67" t="n"/>
      <c r="E2626" s="68" t="n"/>
      <c r="F2626" s="47">
        <f>IF(A2626="","",IF(MIN(H2626,MAX(J2626:K2626))=0,"",MIN(H2626,MAX(J2626:K2626))))</f>
        <v/>
      </c>
      <c r="G2626" s="74" t="n"/>
      <c r="H2626" s="49">
        <f>IF(M2626="","",IFERROR(ROUND(AVERAGE(T2626+M2626*{7,8,9,10,11})/1.21,4),""))</f>
        <v/>
      </c>
      <c r="I2626" s="76" t="n"/>
      <c r="J2626" s="77" t="n"/>
      <c r="K2626" s="74" t="n"/>
      <c r="L2626" s="78" t="n"/>
      <c r="M2626" s="77" t="n"/>
      <c r="N2626" s="53">
        <f>IF(M2626="","",IFERROR(M2626/I2626,""))</f>
        <v/>
      </c>
      <c r="O2626" s="50">
        <f>IF(A2626="","",IFERROR((IF(G2626="",I2626,G2626)-T2626)/M2626,""))</f>
        <v/>
      </c>
      <c r="P2626" s="50">
        <f>IFERROR((I2626/T2626-1)/N2626,"")</f>
        <v/>
      </c>
      <c r="Q2626" s="46">
        <f>IF(OR(T2626="",I2626&lt;T2626),"",IFERROR(R2626/IF(G2626="",I2626,G2626)-1,""))</f>
        <v/>
      </c>
      <c r="R2626" s="48">
        <f>IF($M2626="","",MAX(IF($G2626="",$I2626,$G2626)*(1/1.1),IF($G2626="",$I2626,$G2626)+(R$2*$M2626)))</f>
        <v/>
      </c>
      <c r="S2626" s="49">
        <f>IF($M2626="","",MAX(IF($G2626="",$I2626,$G2626)*(1/1.1),IF($G2626="",$I2626,$G2626)+(S$2*$M2626)))</f>
        <v/>
      </c>
      <c r="T2626" s="82" t="n"/>
      <c r="U2626" s="47">
        <f>IF(OR($M2626="",$T2626=""),"",$T2626+(U$2*$M2626))</f>
        <v/>
      </c>
      <c r="V2626" s="48">
        <f>IF(OR($M2626="",$T2626=""),"",$T2626+(V$2*$M2626))</f>
        <v/>
      </c>
      <c r="W2626" s="48">
        <f>IF(OR($M2626="",$T2626=""),"",$T2626+(W$2*$M2626))</f>
        <v/>
      </c>
      <c r="X2626" s="49">
        <f>IF(OR($M2626="",$T2626=""),"",$T2626+(X$2*$M2626))</f>
        <v/>
      </c>
      <c r="Y2626" s="47">
        <f>IF(OR($M2626="",$T2626=""),"",$T2626+(Y$2*$M2626))</f>
        <v/>
      </c>
      <c r="Z2626" s="49">
        <f>IF(OR($M2626="",$T2626=""),"",$T2626+(Z$2*$M2626))</f>
        <v/>
      </c>
      <c r="AA2626" s="51">
        <f>IF(OR($M2626="",$T2626=""),"",$T2626+(AA$2*$M2626))</f>
        <v/>
      </c>
      <c r="AB2626" s="48">
        <f>IF(OR($M2626="",$T2626=""),"",$T2626+(AB$2*$M2626))</f>
        <v/>
      </c>
      <c r="AC2626" s="48">
        <f>IF(OR($M2626="",$T2626=""),"",$T2626+(AC$2*$M2626))</f>
        <v/>
      </c>
      <c r="AD2626" s="48">
        <f>IF(OR($M2626="",$T2626=""),"",$T2626+(AD$2*$M2626))</f>
        <v/>
      </c>
      <c r="AE2626" s="49">
        <f>IF(OR($M2626="",$T2626=""),"",$T2626+(AE$2*$M2626))</f>
        <v/>
      </c>
      <c r="AF2626" s="52">
        <f>IF(OR(T2626="",I2626&lt;T2626),"",IFERROR(AVERAGE(T2626+M2626*{7,8,9,10,11})/IF(G2626="",I2626,G2626)-1,""))</f>
        <v/>
      </c>
      <c r="AG2626" s="55">
        <f>IF(OR(T2626="",I2626&lt;T2626),"",IFERROR(AF2626/-(R2626/IF(G2626="",I2626,G2626)-1),""))</f>
        <v/>
      </c>
      <c r="AH2626" s="94" t="n"/>
      <c r="AI2626" s="94" t="n"/>
      <c r="AJ2626" s="94" t="n"/>
      <c r="AK2626" s="94" t="n"/>
      <c r="AL2626" s="84" t="n"/>
    </row>
    <row r="2627">
      <c r="A2627" s="64" t="n"/>
      <c r="B2627" s="65" t="n"/>
      <c r="C2627" s="66" t="n"/>
      <c r="D2627" s="67" t="n"/>
      <c r="E2627" s="68" t="n"/>
      <c r="F2627" s="47">
        <f>IF(A2627="","",IF(MIN(H2627,MAX(J2627:K2627))=0,"",MIN(H2627,MAX(J2627:K2627))))</f>
        <v/>
      </c>
      <c r="G2627" s="74" t="n"/>
      <c r="H2627" s="49">
        <f>IF(M2627="","",IFERROR(ROUND(AVERAGE(T2627+M2627*{7,8,9,10,11})/1.21,4),""))</f>
        <v/>
      </c>
      <c r="I2627" s="76" t="n"/>
      <c r="J2627" s="77" t="n"/>
      <c r="K2627" s="74" t="n"/>
      <c r="L2627" s="78" t="n"/>
      <c r="M2627" s="77" t="n"/>
      <c r="N2627" s="53">
        <f>IF(M2627="","",IFERROR(M2627/I2627,""))</f>
        <v/>
      </c>
      <c r="O2627" s="50">
        <f>IF(A2627="","",IFERROR((IF(G2627="",I2627,G2627)-T2627)/M2627,""))</f>
        <v/>
      </c>
      <c r="P2627" s="50">
        <f>IFERROR((I2627/T2627-1)/N2627,"")</f>
        <v/>
      </c>
      <c r="Q2627" s="46">
        <f>IF(OR(T2627="",I2627&lt;T2627),"",IFERROR(R2627/IF(G2627="",I2627,G2627)-1,""))</f>
        <v/>
      </c>
      <c r="R2627" s="48">
        <f>IF($M2627="","",MAX(IF($G2627="",$I2627,$G2627)*(1/1.1),IF($G2627="",$I2627,$G2627)+(R$2*$M2627)))</f>
        <v/>
      </c>
      <c r="S2627" s="49">
        <f>IF($M2627="","",MAX(IF($G2627="",$I2627,$G2627)*(1/1.1),IF($G2627="",$I2627,$G2627)+(S$2*$M2627)))</f>
        <v/>
      </c>
      <c r="T2627" s="82" t="n"/>
      <c r="U2627" s="47">
        <f>IF(OR($M2627="",$T2627=""),"",$T2627+(U$2*$M2627))</f>
        <v/>
      </c>
      <c r="V2627" s="48">
        <f>IF(OR($M2627="",$T2627=""),"",$T2627+(V$2*$M2627))</f>
        <v/>
      </c>
      <c r="W2627" s="48">
        <f>IF(OR($M2627="",$T2627=""),"",$T2627+(W$2*$M2627))</f>
        <v/>
      </c>
      <c r="X2627" s="49">
        <f>IF(OR($M2627="",$T2627=""),"",$T2627+(X$2*$M2627))</f>
        <v/>
      </c>
      <c r="Y2627" s="47">
        <f>IF(OR($M2627="",$T2627=""),"",$T2627+(Y$2*$M2627))</f>
        <v/>
      </c>
      <c r="Z2627" s="49">
        <f>IF(OR($M2627="",$T2627=""),"",$T2627+(Z$2*$M2627))</f>
        <v/>
      </c>
      <c r="AA2627" s="51">
        <f>IF(OR($M2627="",$T2627=""),"",$T2627+(AA$2*$M2627))</f>
        <v/>
      </c>
      <c r="AB2627" s="48">
        <f>IF(OR($M2627="",$T2627=""),"",$T2627+(AB$2*$M2627))</f>
        <v/>
      </c>
      <c r="AC2627" s="48">
        <f>IF(OR($M2627="",$T2627=""),"",$T2627+(AC$2*$M2627))</f>
        <v/>
      </c>
      <c r="AD2627" s="48">
        <f>IF(OR($M2627="",$T2627=""),"",$T2627+(AD$2*$M2627))</f>
        <v/>
      </c>
      <c r="AE2627" s="49">
        <f>IF(OR($M2627="",$T2627=""),"",$T2627+(AE$2*$M2627))</f>
        <v/>
      </c>
      <c r="AF2627" s="52">
        <f>IF(OR(T2627="",I2627&lt;T2627),"",IFERROR(AVERAGE(T2627+M2627*{7,8,9,10,11})/IF(G2627="",I2627,G2627)-1,""))</f>
        <v/>
      </c>
      <c r="AG2627" s="55">
        <f>IF(OR(T2627="",I2627&lt;T2627),"",IFERROR(AF2627/-(R2627/IF(G2627="",I2627,G2627)-1),""))</f>
        <v/>
      </c>
      <c r="AH2627" s="94" t="n"/>
      <c r="AI2627" s="94" t="n"/>
      <c r="AJ2627" s="94" t="n"/>
      <c r="AK2627" s="94" t="n"/>
      <c r="AL2627" s="84" t="n"/>
    </row>
    <row r="2628">
      <c r="A2628" s="64" t="n"/>
      <c r="B2628" s="65" t="n"/>
      <c r="C2628" s="66" t="n"/>
      <c r="D2628" s="67" t="n"/>
      <c r="E2628" s="68" t="n"/>
      <c r="F2628" s="47">
        <f>IF(A2628="","",IF(MIN(H2628,MAX(J2628:K2628))=0,"",MIN(H2628,MAX(J2628:K2628))))</f>
        <v/>
      </c>
      <c r="G2628" s="74" t="n"/>
      <c r="H2628" s="49">
        <f>IF(M2628="","",IFERROR(ROUND(AVERAGE(T2628+M2628*{7,8,9,10,11})/1.21,4),""))</f>
        <v/>
      </c>
      <c r="I2628" s="76" t="n"/>
      <c r="J2628" s="77" t="n"/>
      <c r="K2628" s="74" t="n"/>
      <c r="L2628" s="78" t="n"/>
      <c r="M2628" s="77" t="n"/>
      <c r="N2628" s="53">
        <f>IF(M2628="","",IFERROR(M2628/I2628,""))</f>
        <v/>
      </c>
      <c r="O2628" s="50">
        <f>IF(A2628="","",IFERROR((IF(G2628="",I2628,G2628)-T2628)/M2628,""))</f>
        <v/>
      </c>
      <c r="P2628" s="50">
        <f>IFERROR((I2628/T2628-1)/N2628,"")</f>
        <v/>
      </c>
      <c r="Q2628" s="46">
        <f>IF(OR(T2628="",I2628&lt;T2628),"",IFERROR(R2628/IF(G2628="",I2628,G2628)-1,""))</f>
        <v/>
      </c>
      <c r="R2628" s="48">
        <f>IF($M2628="","",MAX(IF($G2628="",$I2628,$G2628)*(1/1.1),IF($G2628="",$I2628,$G2628)+(R$2*$M2628)))</f>
        <v/>
      </c>
      <c r="S2628" s="49">
        <f>IF($M2628="","",MAX(IF($G2628="",$I2628,$G2628)*(1/1.1),IF($G2628="",$I2628,$G2628)+(S$2*$M2628)))</f>
        <v/>
      </c>
      <c r="T2628" s="82" t="n"/>
      <c r="U2628" s="47">
        <f>IF(OR($M2628="",$T2628=""),"",$T2628+(U$2*$M2628))</f>
        <v/>
      </c>
      <c r="V2628" s="48">
        <f>IF(OR($M2628="",$T2628=""),"",$T2628+(V$2*$M2628))</f>
        <v/>
      </c>
      <c r="W2628" s="48">
        <f>IF(OR($M2628="",$T2628=""),"",$T2628+(W$2*$M2628))</f>
        <v/>
      </c>
      <c r="X2628" s="49">
        <f>IF(OR($M2628="",$T2628=""),"",$T2628+(X$2*$M2628))</f>
        <v/>
      </c>
      <c r="Y2628" s="47">
        <f>IF(OR($M2628="",$T2628=""),"",$T2628+(Y$2*$M2628))</f>
        <v/>
      </c>
      <c r="Z2628" s="49">
        <f>IF(OR($M2628="",$T2628=""),"",$T2628+(Z$2*$M2628))</f>
        <v/>
      </c>
      <c r="AA2628" s="51">
        <f>IF(OR($M2628="",$T2628=""),"",$T2628+(AA$2*$M2628))</f>
        <v/>
      </c>
      <c r="AB2628" s="48">
        <f>IF(OR($M2628="",$T2628=""),"",$T2628+(AB$2*$M2628))</f>
        <v/>
      </c>
      <c r="AC2628" s="48">
        <f>IF(OR($M2628="",$T2628=""),"",$T2628+(AC$2*$M2628))</f>
        <v/>
      </c>
      <c r="AD2628" s="48">
        <f>IF(OR($M2628="",$T2628=""),"",$T2628+(AD$2*$M2628))</f>
        <v/>
      </c>
      <c r="AE2628" s="49">
        <f>IF(OR($M2628="",$T2628=""),"",$T2628+(AE$2*$M2628))</f>
        <v/>
      </c>
      <c r="AF2628" s="52">
        <f>IF(OR(T2628="",I2628&lt;T2628),"",IFERROR(AVERAGE(T2628+M2628*{7,8,9,10,11})/IF(G2628="",I2628,G2628)-1,""))</f>
        <v/>
      </c>
      <c r="AG2628" s="55">
        <f>IF(OR(T2628="",I2628&lt;T2628),"",IFERROR(AF2628/-(R2628/IF(G2628="",I2628,G2628)-1),""))</f>
        <v/>
      </c>
      <c r="AH2628" s="94" t="n"/>
      <c r="AI2628" s="94" t="n"/>
      <c r="AJ2628" s="94" t="n"/>
      <c r="AK2628" s="94" t="n"/>
      <c r="AL2628" s="84" t="n"/>
    </row>
    <row r="2629">
      <c r="A2629" s="64" t="n"/>
      <c r="B2629" s="65" t="n"/>
      <c r="C2629" s="66" t="n"/>
      <c r="D2629" s="67" t="n"/>
      <c r="E2629" s="68" t="n"/>
      <c r="F2629" s="47">
        <f>IF(A2629="","",IF(MIN(H2629,MAX(J2629:K2629))=0,"",MIN(H2629,MAX(J2629:K2629))))</f>
        <v/>
      </c>
      <c r="G2629" s="74" t="n"/>
      <c r="H2629" s="49">
        <f>IF(M2629="","",IFERROR(ROUND(AVERAGE(T2629+M2629*{7,8,9,10,11})/1.21,4),""))</f>
        <v/>
      </c>
      <c r="I2629" s="76" t="n"/>
      <c r="J2629" s="77" t="n"/>
      <c r="K2629" s="74" t="n"/>
      <c r="L2629" s="78" t="n"/>
      <c r="M2629" s="77" t="n"/>
      <c r="N2629" s="53">
        <f>IF(M2629="","",IFERROR(M2629/I2629,""))</f>
        <v/>
      </c>
      <c r="O2629" s="50">
        <f>IF(A2629="","",IFERROR((IF(G2629="",I2629,G2629)-T2629)/M2629,""))</f>
        <v/>
      </c>
      <c r="P2629" s="50">
        <f>IFERROR((I2629/T2629-1)/N2629,"")</f>
        <v/>
      </c>
      <c r="Q2629" s="46">
        <f>IF(OR(T2629="",I2629&lt;T2629),"",IFERROR(R2629/IF(G2629="",I2629,G2629)-1,""))</f>
        <v/>
      </c>
      <c r="R2629" s="48">
        <f>IF($M2629="","",MAX(IF($G2629="",$I2629,$G2629)*(1/1.1),IF($G2629="",$I2629,$G2629)+(R$2*$M2629)))</f>
        <v/>
      </c>
      <c r="S2629" s="49">
        <f>IF($M2629="","",MAX(IF($G2629="",$I2629,$G2629)*(1/1.1),IF($G2629="",$I2629,$G2629)+(S$2*$M2629)))</f>
        <v/>
      </c>
      <c r="T2629" s="82" t="n"/>
      <c r="U2629" s="47">
        <f>IF(OR($M2629="",$T2629=""),"",$T2629+(U$2*$M2629))</f>
        <v/>
      </c>
      <c r="V2629" s="48">
        <f>IF(OR($M2629="",$T2629=""),"",$T2629+(V$2*$M2629))</f>
        <v/>
      </c>
      <c r="W2629" s="48">
        <f>IF(OR($M2629="",$T2629=""),"",$T2629+(W$2*$M2629))</f>
        <v/>
      </c>
      <c r="X2629" s="49">
        <f>IF(OR($M2629="",$T2629=""),"",$T2629+(X$2*$M2629))</f>
        <v/>
      </c>
      <c r="Y2629" s="47">
        <f>IF(OR($M2629="",$T2629=""),"",$T2629+(Y$2*$M2629))</f>
        <v/>
      </c>
      <c r="Z2629" s="49">
        <f>IF(OR($M2629="",$T2629=""),"",$T2629+(Z$2*$M2629))</f>
        <v/>
      </c>
      <c r="AA2629" s="51">
        <f>IF(OR($M2629="",$T2629=""),"",$T2629+(AA$2*$M2629))</f>
        <v/>
      </c>
      <c r="AB2629" s="48">
        <f>IF(OR($M2629="",$T2629=""),"",$T2629+(AB$2*$M2629))</f>
        <v/>
      </c>
      <c r="AC2629" s="48">
        <f>IF(OR($M2629="",$T2629=""),"",$T2629+(AC$2*$M2629))</f>
        <v/>
      </c>
      <c r="AD2629" s="48">
        <f>IF(OR($M2629="",$T2629=""),"",$T2629+(AD$2*$M2629))</f>
        <v/>
      </c>
      <c r="AE2629" s="49">
        <f>IF(OR($M2629="",$T2629=""),"",$T2629+(AE$2*$M2629))</f>
        <v/>
      </c>
      <c r="AF2629" s="52">
        <f>IF(OR(T2629="",I2629&lt;T2629),"",IFERROR(AVERAGE(T2629+M2629*{7,8,9,10,11})/IF(G2629="",I2629,G2629)-1,""))</f>
        <v/>
      </c>
      <c r="AG2629" s="55">
        <f>IF(OR(T2629="",I2629&lt;T2629),"",IFERROR(AF2629/-(R2629/IF(G2629="",I2629,G2629)-1),""))</f>
        <v/>
      </c>
      <c r="AH2629" s="94" t="n"/>
      <c r="AI2629" s="94" t="n"/>
      <c r="AJ2629" s="94" t="n"/>
      <c r="AK2629" s="94" t="n"/>
      <c r="AL2629" s="84" t="n"/>
    </row>
    <row r="2630">
      <c r="A2630" s="64" t="n"/>
      <c r="B2630" s="65" t="n"/>
      <c r="C2630" s="66" t="n"/>
      <c r="D2630" s="67" t="n"/>
      <c r="E2630" s="68" t="n"/>
      <c r="F2630" s="47">
        <f>IF(A2630="","",IF(MIN(H2630,MAX(J2630:K2630))=0,"",MIN(H2630,MAX(J2630:K2630))))</f>
        <v/>
      </c>
      <c r="G2630" s="74" t="n"/>
      <c r="H2630" s="49">
        <f>IF(M2630="","",IFERROR(ROUND(AVERAGE(T2630+M2630*{7,8,9,10,11})/1.21,4),""))</f>
        <v/>
      </c>
      <c r="I2630" s="76" t="n"/>
      <c r="J2630" s="77" t="n"/>
      <c r="K2630" s="74" t="n"/>
      <c r="L2630" s="78" t="n"/>
      <c r="M2630" s="77" t="n"/>
      <c r="N2630" s="53">
        <f>IF(M2630="","",IFERROR(M2630/I2630,""))</f>
        <v/>
      </c>
      <c r="O2630" s="50">
        <f>IF(A2630="","",IFERROR((IF(G2630="",I2630,G2630)-T2630)/M2630,""))</f>
        <v/>
      </c>
      <c r="P2630" s="50">
        <f>IFERROR((I2630/T2630-1)/N2630,"")</f>
        <v/>
      </c>
      <c r="Q2630" s="46">
        <f>IF(OR(T2630="",I2630&lt;T2630),"",IFERROR(R2630/IF(G2630="",I2630,G2630)-1,""))</f>
        <v/>
      </c>
      <c r="R2630" s="48">
        <f>IF($M2630="","",MAX(IF($G2630="",$I2630,$G2630)*(1/1.1),IF($G2630="",$I2630,$G2630)+(R$2*$M2630)))</f>
        <v/>
      </c>
      <c r="S2630" s="49">
        <f>IF($M2630="","",MAX(IF($G2630="",$I2630,$G2630)*(1/1.1),IF($G2630="",$I2630,$G2630)+(S$2*$M2630)))</f>
        <v/>
      </c>
      <c r="T2630" s="82" t="n"/>
      <c r="U2630" s="47">
        <f>IF(OR($M2630="",$T2630=""),"",$T2630+(U$2*$M2630))</f>
        <v/>
      </c>
      <c r="V2630" s="48">
        <f>IF(OR($M2630="",$T2630=""),"",$T2630+(V$2*$M2630))</f>
        <v/>
      </c>
      <c r="W2630" s="48">
        <f>IF(OR($M2630="",$T2630=""),"",$T2630+(W$2*$M2630))</f>
        <v/>
      </c>
      <c r="X2630" s="49">
        <f>IF(OR($M2630="",$T2630=""),"",$T2630+(X$2*$M2630))</f>
        <v/>
      </c>
      <c r="Y2630" s="47">
        <f>IF(OR($M2630="",$T2630=""),"",$T2630+(Y$2*$M2630))</f>
        <v/>
      </c>
      <c r="Z2630" s="49">
        <f>IF(OR($M2630="",$T2630=""),"",$T2630+(Z$2*$M2630))</f>
        <v/>
      </c>
      <c r="AA2630" s="51">
        <f>IF(OR($M2630="",$T2630=""),"",$T2630+(AA$2*$M2630))</f>
        <v/>
      </c>
      <c r="AB2630" s="48">
        <f>IF(OR($M2630="",$T2630=""),"",$T2630+(AB$2*$M2630))</f>
        <v/>
      </c>
      <c r="AC2630" s="48">
        <f>IF(OR($M2630="",$T2630=""),"",$T2630+(AC$2*$M2630))</f>
        <v/>
      </c>
      <c r="AD2630" s="48">
        <f>IF(OR($M2630="",$T2630=""),"",$T2630+(AD$2*$M2630))</f>
        <v/>
      </c>
      <c r="AE2630" s="49">
        <f>IF(OR($M2630="",$T2630=""),"",$T2630+(AE$2*$M2630))</f>
        <v/>
      </c>
      <c r="AF2630" s="52">
        <f>IF(OR(T2630="",I2630&lt;T2630),"",IFERROR(AVERAGE(T2630+M2630*{7,8,9,10,11})/IF(G2630="",I2630,G2630)-1,""))</f>
        <v/>
      </c>
      <c r="AG2630" s="55">
        <f>IF(OR(T2630="",I2630&lt;T2630),"",IFERROR(AF2630/-(R2630/IF(G2630="",I2630,G2630)-1),""))</f>
        <v/>
      </c>
      <c r="AH2630" s="94" t="n"/>
      <c r="AI2630" s="94" t="n"/>
      <c r="AJ2630" s="94" t="n"/>
      <c r="AK2630" s="94" t="n"/>
      <c r="AL2630" s="84" t="n"/>
    </row>
    <row r="2631">
      <c r="A2631" s="64" t="n"/>
      <c r="B2631" s="65" t="n"/>
      <c r="C2631" s="66" t="n"/>
      <c r="D2631" s="67" t="n"/>
      <c r="E2631" s="68" t="n"/>
      <c r="F2631" s="47">
        <f>IF(A2631="","",IF(MIN(H2631,MAX(J2631:K2631))=0,"",MIN(H2631,MAX(J2631:K2631))))</f>
        <v/>
      </c>
      <c r="G2631" s="74" t="n"/>
      <c r="H2631" s="49">
        <f>IF(M2631="","",IFERROR(ROUND(AVERAGE(T2631+M2631*{7,8,9,10,11})/1.21,4),""))</f>
        <v/>
      </c>
      <c r="I2631" s="76" t="n"/>
      <c r="J2631" s="77" t="n"/>
      <c r="K2631" s="74" t="n"/>
      <c r="L2631" s="78" t="n"/>
      <c r="M2631" s="77" t="n"/>
      <c r="N2631" s="53">
        <f>IF(M2631="","",IFERROR(M2631/I2631,""))</f>
        <v/>
      </c>
      <c r="O2631" s="50">
        <f>IF(A2631="","",IFERROR((IF(G2631="",I2631,G2631)-T2631)/M2631,""))</f>
        <v/>
      </c>
      <c r="P2631" s="50">
        <f>IFERROR((I2631/T2631-1)/N2631,"")</f>
        <v/>
      </c>
      <c r="Q2631" s="46">
        <f>IF(OR(T2631="",I2631&lt;T2631),"",IFERROR(R2631/IF(G2631="",I2631,G2631)-1,""))</f>
        <v/>
      </c>
      <c r="R2631" s="48">
        <f>IF($M2631="","",MAX(IF($G2631="",$I2631,$G2631)*(1/1.1),IF($G2631="",$I2631,$G2631)+(R$2*$M2631)))</f>
        <v/>
      </c>
      <c r="S2631" s="49">
        <f>IF($M2631="","",MAX(IF($G2631="",$I2631,$G2631)*(1/1.1),IF($G2631="",$I2631,$G2631)+(S$2*$M2631)))</f>
        <v/>
      </c>
      <c r="T2631" s="82" t="n"/>
      <c r="U2631" s="47">
        <f>IF(OR($M2631="",$T2631=""),"",$T2631+(U$2*$M2631))</f>
        <v/>
      </c>
      <c r="V2631" s="48">
        <f>IF(OR($M2631="",$T2631=""),"",$T2631+(V$2*$M2631))</f>
        <v/>
      </c>
      <c r="W2631" s="48">
        <f>IF(OR($M2631="",$T2631=""),"",$T2631+(W$2*$M2631))</f>
        <v/>
      </c>
      <c r="X2631" s="49">
        <f>IF(OR($M2631="",$T2631=""),"",$T2631+(X$2*$M2631))</f>
        <v/>
      </c>
      <c r="Y2631" s="47">
        <f>IF(OR($M2631="",$T2631=""),"",$T2631+(Y$2*$M2631))</f>
        <v/>
      </c>
      <c r="Z2631" s="49">
        <f>IF(OR($M2631="",$T2631=""),"",$T2631+(Z$2*$M2631))</f>
        <v/>
      </c>
      <c r="AA2631" s="51">
        <f>IF(OR($M2631="",$T2631=""),"",$T2631+(AA$2*$M2631))</f>
        <v/>
      </c>
      <c r="AB2631" s="48">
        <f>IF(OR($M2631="",$T2631=""),"",$T2631+(AB$2*$M2631))</f>
        <v/>
      </c>
      <c r="AC2631" s="48">
        <f>IF(OR($M2631="",$T2631=""),"",$T2631+(AC$2*$M2631))</f>
        <v/>
      </c>
      <c r="AD2631" s="48">
        <f>IF(OR($M2631="",$T2631=""),"",$T2631+(AD$2*$M2631))</f>
        <v/>
      </c>
      <c r="AE2631" s="49">
        <f>IF(OR($M2631="",$T2631=""),"",$T2631+(AE$2*$M2631))</f>
        <v/>
      </c>
      <c r="AF2631" s="52">
        <f>IF(OR(T2631="",I2631&lt;T2631),"",IFERROR(AVERAGE(T2631+M2631*{7,8,9,10,11})/IF(G2631="",I2631,G2631)-1,""))</f>
        <v/>
      </c>
      <c r="AG2631" s="55">
        <f>IF(OR(T2631="",I2631&lt;T2631),"",IFERROR(AF2631/-(R2631/IF(G2631="",I2631,G2631)-1),""))</f>
        <v/>
      </c>
      <c r="AH2631" s="94" t="n"/>
      <c r="AI2631" s="94" t="n"/>
      <c r="AJ2631" s="94" t="n"/>
      <c r="AK2631" s="94" t="n"/>
      <c r="AL2631" s="84" t="n"/>
    </row>
    <row r="2632">
      <c r="A2632" s="64" t="n"/>
      <c r="B2632" s="65" t="n"/>
      <c r="C2632" s="66" t="n"/>
      <c r="D2632" s="67" t="n"/>
      <c r="E2632" s="68" t="n"/>
      <c r="F2632" s="47">
        <f>IF(A2632="","",IF(MIN(H2632,MAX(J2632:K2632))=0,"",MIN(H2632,MAX(J2632:K2632))))</f>
        <v/>
      </c>
      <c r="G2632" s="74" t="n"/>
      <c r="H2632" s="49">
        <f>IF(M2632="","",IFERROR(ROUND(AVERAGE(T2632+M2632*{7,8,9,10,11})/1.21,4),""))</f>
        <v/>
      </c>
      <c r="I2632" s="76" t="n"/>
      <c r="J2632" s="77" t="n"/>
      <c r="K2632" s="74" t="n"/>
      <c r="L2632" s="78" t="n"/>
      <c r="M2632" s="77" t="n"/>
      <c r="N2632" s="53">
        <f>IF(M2632="","",IFERROR(M2632/I2632,""))</f>
        <v/>
      </c>
      <c r="O2632" s="50">
        <f>IF(A2632="","",IFERROR((IF(G2632="",I2632,G2632)-T2632)/M2632,""))</f>
        <v/>
      </c>
      <c r="P2632" s="50">
        <f>IFERROR((I2632/T2632-1)/N2632,"")</f>
        <v/>
      </c>
      <c r="Q2632" s="46">
        <f>IF(OR(T2632="",I2632&lt;T2632),"",IFERROR(R2632/IF(G2632="",I2632,G2632)-1,""))</f>
        <v/>
      </c>
      <c r="R2632" s="48">
        <f>IF($M2632="","",MAX(IF($G2632="",$I2632,$G2632)*(1/1.1),IF($G2632="",$I2632,$G2632)+(R$2*$M2632)))</f>
        <v/>
      </c>
      <c r="S2632" s="49">
        <f>IF($M2632="","",MAX(IF($G2632="",$I2632,$G2632)*(1/1.1),IF($G2632="",$I2632,$G2632)+(S$2*$M2632)))</f>
        <v/>
      </c>
      <c r="T2632" s="82" t="n"/>
      <c r="U2632" s="47">
        <f>IF(OR($M2632="",$T2632=""),"",$T2632+(U$2*$M2632))</f>
        <v/>
      </c>
      <c r="V2632" s="48">
        <f>IF(OR($M2632="",$T2632=""),"",$T2632+(V$2*$M2632))</f>
        <v/>
      </c>
      <c r="W2632" s="48">
        <f>IF(OR($M2632="",$T2632=""),"",$T2632+(W$2*$M2632))</f>
        <v/>
      </c>
      <c r="X2632" s="49">
        <f>IF(OR($M2632="",$T2632=""),"",$T2632+(X$2*$M2632))</f>
        <v/>
      </c>
      <c r="Y2632" s="47">
        <f>IF(OR($M2632="",$T2632=""),"",$T2632+(Y$2*$M2632))</f>
        <v/>
      </c>
      <c r="Z2632" s="49">
        <f>IF(OR($M2632="",$T2632=""),"",$T2632+(Z$2*$M2632))</f>
        <v/>
      </c>
      <c r="AA2632" s="51">
        <f>IF(OR($M2632="",$T2632=""),"",$T2632+(AA$2*$M2632))</f>
        <v/>
      </c>
      <c r="AB2632" s="48">
        <f>IF(OR($M2632="",$T2632=""),"",$T2632+(AB$2*$M2632))</f>
        <v/>
      </c>
      <c r="AC2632" s="48">
        <f>IF(OR($M2632="",$T2632=""),"",$T2632+(AC$2*$M2632))</f>
        <v/>
      </c>
      <c r="AD2632" s="48">
        <f>IF(OR($M2632="",$T2632=""),"",$T2632+(AD$2*$M2632))</f>
        <v/>
      </c>
      <c r="AE2632" s="49">
        <f>IF(OR($M2632="",$T2632=""),"",$T2632+(AE$2*$M2632))</f>
        <v/>
      </c>
      <c r="AF2632" s="52">
        <f>IF(OR(T2632="",I2632&lt;T2632),"",IFERROR(AVERAGE(T2632+M2632*{7,8,9,10,11})/IF(G2632="",I2632,G2632)-1,""))</f>
        <v/>
      </c>
      <c r="AG2632" s="55">
        <f>IF(OR(T2632="",I2632&lt;T2632),"",IFERROR(AF2632/-(R2632/IF(G2632="",I2632,G2632)-1),""))</f>
        <v/>
      </c>
      <c r="AH2632" s="94" t="n"/>
      <c r="AI2632" s="94" t="n"/>
      <c r="AJ2632" s="94" t="n"/>
      <c r="AK2632" s="94" t="n"/>
      <c r="AL2632" s="84" t="n"/>
    </row>
    <row r="2633">
      <c r="A2633" s="64" t="n"/>
      <c r="B2633" s="65" t="n"/>
      <c r="C2633" s="66" t="n"/>
      <c r="D2633" s="67" t="n"/>
      <c r="E2633" s="68" t="n"/>
      <c r="F2633" s="47">
        <f>IF(A2633="","",IF(MIN(H2633,MAX(J2633:K2633))=0,"",MIN(H2633,MAX(J2633:K2633))))</f>
        <v/>
      </c>
      <c r="G2633" s="74" t="n"/>
      <c r="H2633" s="49">
        <f>IF(M2633="","",IFERROR(ROUND(AVERAGE(T2633+M2633*{7,8,9,10,11})/1.21,4),""))</f>
        <v/>
      </c>
      <c r="I2633" s="76" t="n"/>
      <c r="J2633" s="77" t="n"/>
      <c r="K2633" s="74" t="n"/>
      <c r="L2633" s="78" t="n"/>
      <c r="M2633" s="77" t="n"/>
      <c r="N2633" s="53">
        <f>IF(M2633="","",IFERROR(M2633/I2633,""))</f>
        <v/>
      </c>
      <c r="O2633" s="50">
        <f>IF(A2633="","",IFERROR((IF(G2633="",I2633,G2633)-T2633)/M2633,""))</f>
        <v/>
      </c>
      <c r="P2633" s="50">
        <f>IFERROR((I2633/T2633-1)/N2633,"")</f>
        <v/>
      </c>
      <c r="Q2633" s="46">
        <f>IF(OR(T2633="",I2633&lt;T2633),"",IFERROR(R2633/IF(G2633="",I2633,G2633)-1,""))</f>
        <v/>
      </c>
      <c r="R2633" s="48">
        <f>IF($M2633="","",MAX(IF($G2633="",$I2633,$G2633)*(1/1.1),IF($G2633="",$I2633,$G2633)+(R$2*$M2633)))</f>
        <v/>
      </c>
      <c r="S2633" s="49">
        <f>IF($M2633="","",MAX(IF($G2633="",$I2633,$G2633)*(1/1.1),IF($G2633="",$I2633,$G2633)+(S$2*$M2633)))</f>
        <v/>
      </c>
      <c r="T2633" s="82" t="n"/>
      <c r="U2633" s="47">
        <f>IF(OR($M2633="",$T2633=""),"",$T2633+(U$2*$M2633))</f>
        <v/>
      </c>
      <c r="V2633" s="48">
        <f>IF(OR($M2633="",$T2633=""),"",$T2633+(V$2*$M2633))</f>
        <v/>
      </c>
      <c r="W2633" s="48">
        <f>IF(OR($M2633="",$T2633=""),"",$T2633+(W$2*$M2633))</f>
        <v/>
      </c>
      <c r="X2633" s="49">
        <f>IF(OR($M2633="",$T2633=""),"",$T2633+(X$2*$M2633))</f>
        <v/>
      </c>
      <c r="Y2633" s="47">
        <f>IF(OR($M2633="",$T2633=""),"",$T2633+(Y$2*$M2633))</f>
        <v/>
      </c>
      <c r="Z2633" s="49">
        <f>IF(OR($M2633="",$T2633=""),"",$T2633+(Z$2*$M2633))</f>
        <v/>
      </c>
      <c r="AA2633" s="51">
        <f>IF(OR($M2633="",$T2633=""),"",$T2633+(AA$2*$M2633))</f>
        <v/>
      </c>
      <c r="AB2633" s="48">
        <f>IF(OR($M2633="",$T2633=""),"",$T2633+(AB$2*$M2633))</f>
        <v/>
      </c>
      <c r="AC2633" s="48">
        <f>IF(OR($M2633="",$T2633=""),"",$T2633+(AC$2*$M2633))</f>
        <v/>
      </c>
      <c r="AD2633" s="48">
        <f>IF(OR($M2633="",$T2633=""),"",$T2633+(AD$2*$M2633))</f>
        <v/>
      </c>
      <c r="AE2633" s="49">
        <f>IF(OR($M2633="",$T2633=""),"",$T2633+(AE$2*$M2633))</f>
        <v/>
      </c>
      <c r="AF2633" s="52">
        <f>IF(OR(T2633="",I2633&lt;T2633),"",IFERROR(AVERAGE(T2633+M2633*{7,8,9,10,11})/IF(G2633="",I2633,G2633)-1,""))</f>
        <v/>
      </c>
      <c r="AG2633" s="55">
        <f>IF(OR(T2633="",I2633&lt;T2633),"",IFERROR(AF2633/-(R2633/IF(G2633="",I2633,G2633)-1),""))</f>
        <v/>
      </c>
      <c r="AH2633" s="94" t="n"/>
      <c r="AI2633" s="94" t="n"/>
      <c r="AJ2633" s="94" t="n"/>
      <c r="AK2633" s="94" t="n"/>
      <c r="AL2633" s="84" t="n"/>
    </row>
    <row r="2634">
      <c r="A2634" s="64" t="n"/>
      <c r="B2634" s="65" t="n"/>
      <c r="C2634" s="66" t="n"/>
      <c r="D2634" s="67" t="n"/>
      <c r="E2634" s="68" t="n"/>
      <c r="F2634" s="47">
        <f>IF(A2634="","",IF(MIN(H2634,MAX(J2634:K2634))=0,"",MIN(H2634,MAX(J2634:K2634))))</f>
        <v/>
      </c>
      <c r="G2634" s="74" t="n"/>
      <c r="H2634" s="49">
        <f>IF(M2634="","",IFERROR(ROUND(AVERAGE(T2634+M2634*{7,8,9,10,11})/1.21,4),""))</f>
        <v/>
      </c>
      <c r="I2634" s="76" t="n"/>
      <c r="J2634" s="77" t="n"/>
      <c r="K2634" s="74" t="n"/>
      <c r="L2634" s="78" t="n"/>
      <c r="M2634" s="77" t="n"/>
      <c r="N2634" s="53">
        <f>IF(M2634="","",IFERROR(M2634/I2634,""))</f>
        <v/>
      </c>
      <c r="O2634" s="50">
        <f>IF(A2634="","",IFERROR((IF(G2634="",I2634,G2634)-T2634)/M2634,""))</f>
        <v/>
      </c>
      <c r="P2634" s="50">
        <f>IFERROR((I2634/T2634-1)/N2634,"")</f>
        <v/>
      </c>
      <c r="Q2634" s="46">
        <f>IF(OR(T2634="",I2634&lt;T2634),"",IFERROR(R2634/IF(G2634="",I2634,G2634)-1,""))</f>
        <v/>
      </c>
      <c r="R2634" s="48">
        <f>IF($M2634="","",MAX(IF($G2634="",$I2634,$G2634)*(1/1.1),IF($G2634="",$I2634,$G2634)+(R$2*$M2634)))</f>
        <v/>
      </c>
      <c r="S2634" s="49">
        <f>IF($M2634="","",MAX(IF($G2634="",$I2634,$G2634)*(1/1.1),IF($G2634="",$I2634,$G2634)+(S$2*$M2634)))</f>
        <v/>
      </c>
      <c r="T2634" s="82" t="n"/>
      <c r="U2634" s="47">
        <f>IF(OR($M2634="",$T2634=""),"",$T2634+(U$2*$M2634))</f>
        <v/>
      </c>
      <c r="V2634" s="48">
        <f>IF(OR($M2634="",$T2634=""),"",$T2634+(V$2*$M2634))</f>
        <v/>
      </c>
      <c r="W2634" s="48">
        <f>IF(OR($M2634="",$T2634=""),"",$T2634+(W$2*$M2634))</f>
        <v/>
      </c>
      <c r="X2634" s="49">
        <f>IF(OR($M2634="",$T2634=""),"",$T2634+(X$2*$M2634))</f>
        <v/>
      </c>
      <c r="Y2634" s="47">
        <f>IF(OR($M2634="",$T2634=""),"",$T2634+(Y$2*$M2634))</f>
        <v/>
      </c>
      <c r="Z2634" s="49">
        <f>IF(OR($M2634="",$T2634=""),"",$T2634+(Z$2*$M2634))</f>
        <v/>
      </c>
      <c r="AA2634" s="51">
        <f>IF(OR($M2634="",$T2634=""),"",$T2634+(AA$2*$M2634))</f>
        <v/>
      </c>
      <c r="AB2634" s="48">
        <f>IF(OR($M2634="",$T2634=""),"",$T2634+(AB$2*$M2634))</f>
        <v/>
      </c>
      <c r="AC2634" s="48">
        <f>IF(OR($M2634="",$T2634=""),"",$T2634+(AC$2*$M2634))</f>
        <v/>
      </c>
      <c r="AD2634" s="48">
        <f>IF(OR($M2634="",$T2634=""),"",$T2634+(AD$2*$M2634))</f>
        <v/>
      </c>
      <c r="AE2634" s="49">
        <f>IF(OR($M2634="",$T2634=""),"",$T2634+(AE$2*$M2634))</f>
        <v/>
      </c>
      <c r="AF2634" s="52">
        <f>IF(OR(T2634="",I2634&lt;T2634),"",IFERROR(AVERAGE(T2634+M2634*{7,8,9,10,11})/IF(G2634="",I2634,G2634)-1,""))</f>
        <v/>
      </c>
      <c r="AG2634" s="55">
        <f>IF(OR(T2634="",I2634&lt;T2634),"",IFERROR(AF2634/-(R2634/IF(G2634="",I2634,G2634)-1),""))</f>
        <v/>
      </c>
      <c r="AH2634" s="94" t="n"/>
      <c r="AI2634" s="94" t="n"/>
      <c r="AJ2634" s="94" t="n"/>
      <c r="AK2634" s="94" t="n"/>
      <c r="AL2634" s="84" t="n"/>
    </row>
    <row r="2635">
      <c r="A2635" s="64" t="n"/>
      <c r="B2635" s="65" t="n"/>
      <c r="C2635" s="66" t="n"/>
      <c r="D2635" s="67" t="n"/>
      <c r="E2635" s="68" t="n"/>
      <c r="F2635" s="47">
        <f>IF(A2635="","",IF(MIN(H2635,MAX(J2635:K2635))=0,"",MIN(H2635,MAX(J2635:K2635))))</f>
        <v/>
      </c>
      <c r="G2635" s="74" t="n"/>
      <c r="H2635" s="49">
        <f>IF(M2635="","",IFERROR(ROUND(AVERAGE(T2635+M2635*{7,8,9,10,11})/1.21,4),""))</f>
        <v/>
      </c>
      <c r="I2635" s="76" t="n"/>
      <c r="J2635" s="77" t="n"/>
      <c r="K2635" s="74" t="n"/>
      <c r="L2635" s="78" t="n"/>
      <c r="M2635" s="77" t="n"/>
      <c r="N2635" s="53">
        <f>IF(M2635="","",IFERROR(M2635/I2635,""))</f>
        <v/>
      </c>
      <c r="O2635" s="50">
        <f>IF(A2635="","",IFERROR((IF(G2635="",I2635,G2635)-T2635)/M2635,""))</f>
        <v/>
      </c>
      <c r="P2635" s="50">
        <f>IFERROR((I2635/T2635-1)/N2635,"")</f>
        <v/>
      </c>
      <c r="Q2635" s="46">
        <f>IF(OR(T2635="",I2635&lt;T2635),"",IFERROR(R2635/IF(G2635="",I2635,G2635)-1,""))</f>
        <v/>
      </c>
      <c r="R2635" s="48">
        <f>IF($M2635="","",MAX(IF($G2635="",$I2635,$G2635)*(1/1.1),IF($G2635="",$I2635,$G2635)+(R$2*$M2635)))</f>
        <v/>
      </c>
      <c r="S2635" s="49">
        <f>IF($M2635="","",MAX(IF($G2635="",$I2635,$G2635)*(1/1.1),IF($G2635="",$I2635,$G2635)+(S$2*$M2635)))</f>
        <v/>
      </c>
      <c r="T2635" s="82" t="n"/>
      <c r="U2635" s="47">
        <f>IF(OR($M2635="",$T2635=""),"",$T2635+(U$2*$M2635))</f>
        <v/>
      </c>
      <c r="V2635" s="48">
        <f>IF(OR($M2635="",$T2635=""),"",$T2635+(V$2*$M2635))</f>
        <v/>
      </c>
      <c r="W2635" s="48">
        <f>IF(OR($M2635="",$T2635=""),"",$T2635+(W$2*$M2635))</f>
        <v/>
      </c>
      <c r="X2635" s="49">
        <f>IF(OR($M2635="",$T2635=""),"",$T2635+(X$2*$M2635))</f>
        <v/>
      </c>
      <c r="Y2635" s="47">
        <f>IF(OR($M2635="",$T2635=""),"",$T2635+(Y$2*$M2635))</f>
        <v/>
      </c>
      <c r="Z2635" s="49">
        <f>IF(OR($M2635="",$T2635=""),"",$T2635+(Z$2*$M2635))</f>
        <v/>
      </c>
      <c r="AA2635" s="51">
        <f>IF(OR($M2635="",$T2635=""),"",$T2635+(AA$2*$M2635))</f>
        <v/>
      </c>
      <c r="AB2635" s="48">
        <f>IF(OR($M2635="",$T2635=""),"",$T2635+(AB$2*$M2635))</f>
        <v/>
      </c>
      <c r="AC2635" s="48">
        <f>IF(OR($M2635="",$T2635=""),"",$T2635+(AC$2*$M2635))</f>
        <v/>
      </c>
      <c r="AD2635" s="48">
        <f>IF(OR($M2635="",$T2635=""),"",$T2635+(AD$2*$M2635))</f>
        <v/>
      </c>
      <c r="AE2635" s="49">
        <f>IF(OR($M2635="",$T2635=""),"",$T2635+(AE$2*$M2635))</f>
        <v/>
      </c>
      <c r="AF2635" s="52">
        <f>IF(OR(T2635="",I2635&lt;T2635),"",IFERROR(AVERAGE(T2635+M2635*{7,8,9,10,11})/IF(G2635="",I2635,G2635)-1,""))</f>
        <v/>
      </c>
      <c r="AG2635" s="55">
        <f>IF(OR(T2635="",I2635&lt;T2635),"",IFERROR(AF2635/-(R2635/IF(G2635="",I2635,G2635)-1),""))</f>
        <v/>
      </c>
      <c r="AH2635" s="94" t="n"/>
      <c r="AI2635" s="94" t="n"/>
      <c r="AJ2635" s="94" t="n"/>
      <c r="AK2635" s="94" t="n"/>
      <c r="AL2635" s="84" t="n"/>
    </row>
    <row r="2636">
      <c r="A2636" s="64" t="n"/>
      <c r="B2636" s="65" t="n"/>
      <c r="C2636" s="66" t="n"/>
      <c r="D2636" s="67" t="n"/>
      <c r="E2636" s="68" t="n"/>
      <c r="F2636" s="47">
        <f>IF(A2636="","",IF(MIN(H2636,MAX(J2636:K2636))=0,"",MIN(H2636,MAX(J2636:K2636))))</f>
        <v/>
      </c>
      <c r="G2636" s="74" t="n"/>
      <c r="H2636" s="49">
        <f>IF(M2636="","",IFERROR(ROUND(AVERAGE(T2636+M2636*{7,8,9,10,11})/1.21,4),""))</f>
        <v/>
      </c>
      <c r="I2636" s="76" t="n"/>
      <c r="J2636" s="77" t="n"/>
      <c r="K2636" s="74" t="n"/>
      <c r="L2636" s="78" t="n"/>
      <c r="M2636" s="77" t="n"/>
      <c r="N2636" s="53">
        <f>IF(M2636="","",IFERROR(M2636/I2636,""))</f>
        <v/>
      </c>
      <c r="O2636" s="50">
        <f>IF(A2636="","",IFERROR((IF(G2636="",I2636,G2636)-T2636)/M2636,""))</f>
        <v/>
      </c>
      <c r="P2636" s="50">
        <f>IFERROR((I2636/T2636-1)/N2636,"")</f>
        <v/>
      </c>
      <c r="Q2636" s="46">
        <f>IF(OR(T2636="",I2636&lt;T2636),"",IFERROR(R2636/IF(G2636="",I2636,G2636)-1,""))</f>
        <v/>
      </c>
      <c r="R2636" s="48">
        <f>IF($M2636="","",MAX(IF($G2636="",$I2636,$G2636)*(1/1.1),IF($G2636="",$I2636,$G2636)+(R$2*$M2636)))</f>
        <v/>
      </c>
      <c r="S2636" s="49">
        <f>IF($M2636="","",MAX(IF($G2636="",$I2636,$G2636)*(1/1.1),IF($G2636="",$I2636,$G2636)+(S$2*$M2636)))</f>
        <v/>
      </c>
      <c r="T2636" s="82" t="n"/>
      <c r="U2636" s="47">
        <f>IF(OR($M2636="",$T2636=""),"",$T2636+(U$2*$M2636))</f>
        <v/>
      </c>
      <c r="V2636" s="48">
        <f>IF(OR($M2636="",$T2636=""),"",$T2636+(V$2*$M2636))</f>
        <v/>
      </c>
      <c r="W2636" s="48">
        <f>IF(OR($M2636="",$T2636=""),"",$T2636+(W$2*$M2636))</f>
        <v/>
      </c>
      <c r="X2636" s="49">
        <f>IF(OR($M2636="",$T2636=""),"",$T2636+(X$2*$M2636))</f>
        <v/>
      </c>
      <c r="Y2636" s="47">
        <f>IF(OR($M2636="",$T2636=""),"",$T2636+(Y$2*$M2636))</f>
        <v/>
      </c>
      <c r="Z2636" s="49">
        <f>IF(OR($M2636="",$T2636=""),"",$T2636+(Z$2*$M2636))</f>
        <v/>
      </c>
      <c r="AA2636" s="51">
        <f>IF(OR($M2636="",$T2636=""),"",$T2636+(AA$2*$M2636))</f>
        <v/>
      </c>
      <c r="AB2636" s="48">
        <f>IF(OR($M2636="",$T2636=""),"",$T2636+(AB$2*$M2636))</f>
        <v/>
      </c>
      <c r="AC2636" s="48">
        <f>IF(OR($M2636="",$T2636=""),"",$T2636+(AC$2*$M2636))</f>
        <v/>
      </c>
      <c r="AD2636" s="48">
        <f>IF(OR($M2636="",$T2636=""),"",$T2636+(AD$2*$M2636))</f>
        <v/>
      </c>
      <c r="AE2636" s="49">
        <f>IF(OR($M2636="",$T2636=""),"",$T2636+(AE$2*$M2636))</f>
        <v/>
      </c>
      <c r="AF2636" s="52">
        <f>IF(OR(T2636="",I2636&lt;T2636),"",IFERROR(AVERAGE(T2636+M2636*{7,8,9,10,11})/IF(G2636="",I2636,G2636)-1,""))</f>
        <v/>
      </c>
      <c r="AG2636" s="55">
        <f>IF(OR(T2636="",I2636&lt;T2636),"",IFERROR(AF2636/-(R2636/IF(G2636="",I2636,G2636)-1),""))</f>
        <v/>
      </c>
      <c r="AH2636" s="94" t="n"/>
      <c r="AI2636" s="94" t="n"/>
      <c r="AJ2636" s="94" t="n"/>
      <c r="AK2636" s="94" t="n"/>
      <c r="AL2636" s="84" t="n"/>
    </row>
    <row r="2637">
      <c r="A2637" s="64" t="n"/>
      <c r="B2637" s="65" t="n"/>
      <c r="C2637" s="66" t="n"/>
      <c r="D2637" s="67" t="n"/>
      <c r="E2637" s="68" t="n"/>
      <c r="F2637" s="47">
        <f>IF(A2637="","",IF(MIN(H2637,MAX(J2637:K2637))=0,"",MIN(H2637,MAX(J2637:K2637))))</f>
        <v/>
      </c>
      <c r="G2637" s="74" t="n"/>
      <c r="H2637" s="49">
        <f>IF(M2637="","",IFERROR(ROUND(AVERAGE(T2637+M2637*{7,8,9,10,11})/1.21,4),""))</f>
        <v/>
      </c>
      <c r="I2637" s="76" t="n"/>
      <c r="J2637" s="77" t="n"/>
      <c r="K2637" s="74" t="n"/>
      <c r="L2637" s="78" t="n"/>
      <c r="M2637" s="77" t="n"/>
      <c r="N2637" s="53">
        <f>IF(M2637="","",IFERROR(M2637/I2637,""))</f>
        <v/>
      </c>
      <c r="O2637" s="50">
        <f>IF(A2637="","",IFERROR((IF(G2637="",I2637,G2637)-T2637)/M2637,""))</f>
        <v/>
      </c>
      <c r="P2637" s="50">
        <f>IFERROR((I2637/T2637-1)/N2637,"")</f>
        <v/>
      </c>
      <c r="Q2637" s="46">
        <f>IF(OR(T2637="",I2637&lt;T2637),"",IFERROR(R2637/IF(G2637="",I2637,G2637)-1,""))</f>
        <v/>
      </c>
      <c r="R2637" s="48">
        <f>IF($M2637="","",MAX(IF($G2637="",$I2637,$G2637)*(1/1.1),IF($G2637="",$I2637,$G2637)+(R$2*$M2637)))</f>
        <v/>
      </c>
      <c r="S2637" s="49">
        <f>IF($M2637="","",MAX(IF($G2637="",$I2637,$G2637)*(1/1.1),IF($G2637="",$I2637,$G2637)+(S$2*$M2637)))</f>
        <v/>
      </c>
      <c r="T2637" s="82" t="n"/>
      <c r="U2637" s="47">
        <f>IF(OR($M2637="",$T2637=""),"",$T2637+(U$2*$M2637))</f>
        <v/>
      </c>
      <c r="V2637" s="48">
        <f>IF(OR($M2637="",$T2637=""),"",$T2637+(V$2*$M2637))</f>
        <v/>
      </c>
      <c r="W2637" s="48">
        <f>IF(OR($M2637="",$T2637=""),"",$T2637+(W$2*$M2637))</f>
        <v/>
      </c>
      <c r="X2637" s="49">
        <f>IF(OR($M2637="",$T2637=""),"",$T2637+(X$2*$M2637))</f>
        <v/>
      </c>
      <c r="Y2637" s="47">
        <f>IF(OR($M2637="",$T2637=""),"",$T2637+(Y$2*$M2637))</f>
        <v/>
      </c>
      <c r="Z2637" s="49">
        <f>IF(OR($M2637="",$T2637=""),"",$T2637+(Z$2*$M2637))</f>
        <v/>
      </c>
      <c r="AA2637" s="51">
        <f>IF(OR($M2637="",$T2637=""),"",$T2637+(AA$2*$M2637))</f>
        <v/>
      </c>
      <c r="AB2637" s="48">
        <f>IF(OR($M2637="",$T2637=""),"",$T2637+(AB$2*$M2637))</f>
        <v/>
      </c>
      <c r="AC2637" s="48">
        <f>IF(OR($M2637="",$T2637=""),"",$T2637+(AC$2*$M2637))</f>
        <v/>
      </c>
      <c r="AD2637" s="48">
        <f>IF(OR($M2637="",$T2637=""),"",$T2637+(AD$2*$M2637))</f>
        <v/>
      </c>
      <c r="AE2637" s="49">
        <f>IF(OR($M2637="",$T2637=""),"",$T2637+(AE$2*$M2637))</f>
        <v/>
      </c>
      <c r="AF2637" s="52">
        <f>IF(OR(T2637="",I2637&lt;T2637),"",IFERROR(AVERAGE(T2637+M2637*{7,8,9,10,11})/IF(G2637="",I2637,G2637)-1,""))</f>
        <v/>
      </c>
      <c r="AG2637" s="55">
        <f>IF(OR(T2637="",I2637&lt;T2637),"",IFERROR(AF2637/-(R2637/IF(G2637="",I2637,G2637)-1),""))</f>
        <v/>
      </c>
      <c r="AH2637" s="94" t="n"/>
      <c r="AI2637" s="94" t="n"/>
      <c r="AJ2637" s="94" t="n"/>
      <c r="AK2637" s="94" t="n"/>
      <c r="AL2637" s="84" t="n"/>
    </row>
    <row r="2638">
      <c r="A2638" s="64" t="n"/>
      <c r="B2638" s="65" t="n"/>
      <c r="C2638" s="66" t="n"/>
      <c r="D2638" s="67" t="n"/>
      <c r="E2638" s="68" t="n"/>
      <c r="F2638" s="47">
        <f>IF(A2638="","",IF(MIN(H2638,MAX(J2638:K2638))=0,"",MIN(H2638,MAX(J2638:K2638))))</f>
        <v/>
      </c>
      <c r="G2638" s="74" t="n"/>
      <c r="H2638" s="49">
        <f>IF(M2638="","",IFERROR(ROUND(AVERAGE(T2638+M2638*{7,8,9,10,11})/1.21,4),""))</f>
        <v/>
      </c>
      <c r="I2638" s="76" t="n"/>
      <c r="J2638" s="77" t="n"/>
      <c r="K2638" s="74" t="n"/>
      <c r="L2638" s="78" t="n"/>
      <c r="M2638" s="77" t="n"/>
      <c r="N2638" s="53">
        <f>IF(M2638="","",IFERROR(M2638/I2638,""))</f>
        <v/>
      </c>
      <c r="O2638" s="50">
        <f>IF(A2638="","",IFERROR((IF(G2638="",I2638,G2638)-T2638)/M2638,""))</f>
        <v/>
      </c>
      <c r="P2638" s="50">
        <f>IFERROR((I2638/T2638-1)/N2638,"")</f>
        <v/>
      </c>
      <c r="Q2638" s="46">
        <f>IF(OR(T2638="",I2638&lt;T2638),"",IFERROR(R2638/IF(G2638="",I2638,G2638)-1,""))</f>
        <v/>
      </c>
      <c r="R2638" s="48">
        <f>IF($M2638="","",MAX(IF($G2638="",$I2638,$G2638)*(1/1.1),IF($G2638="",$I2638,$G2638)+(R$2*$M2638)))</f>
        <v/>
      </c>
      <c r="S2638" s="49">
        <f>IF($M2638="","",MAX(IF($G2638="",$I2638,$G2638)*(1/1.1),IF($G2638="",$I2638,$G2638)+(S$2*$M2638)))</f>
        <v/>
      </c>
      <c r="T2638" s="82" t="n"/>
      <c r="U2638" s="47">
        <f>IF(OR($M2638="",$T2638=""),"",$T2638+(U$2*$M2638))</f>
        <v/>
      </c>
      <c r="V2638" s="48">
        <f>IF(OR($M2638="",$T2638=""),"",$T2638+(V$2*$M2638))</f>
        <v/>
      </c>
      <c r="W2638" s="48">
        <f>IF(OR($M2638="",$T2638=""),"",$T2638+(W$2*$M2638))</f>
        <v/>
      </c>
      <c r="X2638" s="49">
        <f>IF(OR($M2638="",$T2638=""),"",$T2638+(X$2*$M2638))</f>
        <v/>
      </c>
      <c r="Y2638" s="47">
        <f>IF(OR($M2638="",$T2638=""),"",$T2638+(Y$2*$M2638))</f>
        <v/>
      </c>
      <c r="Z2638" s="49">
        <f>IF(OR($M2638="",$T2638=""),"",$T2638+(Z$2*$M2638))</f>
        <v/>
      </c>
      <c r="AA2638" s="51">
        <f>IF(OR($M2638="",$T2638=""),"",$T2638+(AA$2*$M2638))</f>
        <v/>
      </c>
      <c r="AB2638" s="48">
        <f>IF(OR($M2638="",$T2638=""),"",$T2638+(AB$2*$M2638))</f>
        <v/>
      </c>
      <c r="AC2638" s="48">
        <f>IF(OR($M2638="",$T2638=""),"",$T2638+(AC$2*$M2638))</f>
        <v/>
      </c>
      <c r="AD2638" s="48">
        <f>IF(OR($M2638="",$T2638=""),"",$T2638+(AD$2*$M2638))</f>
        <v/>
      </c>
      <c r="AE2638" s="49">
        <f>IF(OR($M2638="",$T2638=""),"",$T2638+(AE$2*$M2638))</f>
        <v/>
      </c>
      <c r="AF2638" s="52">
        <f>IF(OR(T2638="",I2638&lt;T2638),"",IFERROR(AVERAGE(T2638+M2638*{7,8,9,10,11})/IF(G2638="",I2638,G2638)-1,""))</f>
        <v/>
      </c>
      <c r="AG2638" s="55">
        <f>IF(OR(T2638="",I2638&lt;T2638),"",IFERROR(AF2638/-(R2638/IF(G2638="",I2638,G2638)-1),""))</f>
        <v/>
      </c>
      <c r="AH2638" s="94" t="n"/>
      <c r="AI2638" s="94" t="n"/>
      <c r="AJ2638" s="94" t="n"/>
      <c r="AK2638" s="94" t="n"/>
      <c r="AL2638" s="84" t="n"/>
    </row>
    <row r="2639">
      <c r="A2639" s="64" t="n"/>
      <c r="B2639" s="65" t="n"/>
      <c r="C2639" s="66" t="n"/>
      <c r="D2639" s="67" t="n"/>
      <c r="E2639" s="68" t="n"/>
      <c r="F2639" s="47">
        <f>IF(A2639="","",IF(MIN(H2639,MAX(J2639:K2639))=0,"",MIN(H2639,MAX(J2639:K2639))))</f>
        <v/>
      </c>
      <c r="G2639" s="74" t="n"/>
      <c r="H2639" s="49">
        <f>IF(M2639="","",IFERROR(ROUND(AVERAGE(T2639+M2639*{7,8,9,10,11})/1.21,4),""))</f>
        <v/>
      </c>
      <c r="I2639" s="76" t="n"/>
      <c r="J2639" s="77" t="n"/>
      <c r="K2639" s="74" t="n"/>
      <c r="L2639" s="78" t="n"/>
      <c r="M2639" s="77" t="n"/>
      <c r="N2639" s="53">
        <f>IF(M2639="","",IFERROR(M2639/I2639,""))</f>
        <v/>
      </c>
      <c r="O2639" s="50">
        <f>IF(A2639="","",IFERROR((IF(G2639="",I2639,G2639)-T2639)/M2639,""))</f>
        <v/>
      </c>
      <c r="P2639" s="50">
        <f>IFERROR((I2639/T2639-1)/N2639,"")</f>
        <v/>
      </c>
      <c r="Q2639" s="46">
        <f>IF(OR(T2639="",I2639&lt;T2639),"",IFERROR(R2639/IF(G2639="",I2639,G2639)-1,""))</f>
        <v/>
      </c>
      <c r="R2639" s="48">
        <f>IF($M2639="","",MAX(IF($G2639="",$I2639,$G2639)*(1/1.1),IF($G2639="",$I2639,$G2639)+(R$2*$M2639)))</f>
        <v/>
      </c>
      <c r="S2639" s="49">
        <f>IF($M2639="","",MAX(IF($G2639="",$I2639,$G2639)*(1/1.1),IF($G2639="",$I2639,$G2639)+(S$2*$M2639)))</f>
        <v/>
      </c>
      <c r="T2639" s="82" t="n"/>
      <c r="U2639" s="47">
        <f>IF(OR($M2639="",$T2639=""),"",$T2639+(U$2*$M2639))</f>
        <v/>
      </c>
      <c r="V2639" s="48">
        <f>IF(OR($M2639="",$T2639=""),"",$T2639+(V$2*$M2639))</f>
        <v/>
      </c>
      <c r="W2639" s="48">
        <f>IF(OR($M2639="",$T2639=""),"",$T2639+(W$2*$M2639))</f>
        <v/>
      </c>
      <c r="X2639" s="49">
        <f>IF(OR($M2639="",$T2639=""),"",$T2639+(X$2*$M2639))</f>
        <v/>
      </c>
      <c r="Y2639" s="47">
        <f>IF(OR($M2639="",$T2639=""),"",$T2639+(Y$2*$M2639))</f>
        <v/>
      </c>
      <c r="Z2639" s="49">
        <f>IF(OR($M2639="",$T2639=""),"",$T2639+(Z$2*$M2639))</f>
        <v/>
      </c>
      <c r="AA2639" s="51">
        <f>IF(OR($M2639="",$T2639=""),"",$T2639+(AA$2*$M2639))</f>
        <v/>
      </c>
      <c r="AB2639" s="48">
        <f>IF(OR($M2639="",$T2639=""),"",$T2639+(AB$2*$M2639))</f>
        <v/>
      </c>
      <c r="AC2639" s="48">
        <f>IF(OR($M2639="",$T2639=""),"",$T2639+(AC$2*$M2639))</f>
        <v/>
      </c>
      <c r="AD2639" s="48">
        <f>IF(OR($M2639="",$T2639=""),"",$T2639+(AD$2*$M2639))</f>
        <v/>
      </c>
      <c r="AE2639" s="49">
        <f>IF(OR($M2639="",$T2639=""),"",$T2639+(AE$2*$M2639))</f>
        <v/>
      </c>
      <c r="AF2639" s="52">
        <f>IF(OR(T2639="",I2639&lt;T2639),"",IFERROR(AVERAGE(T2639+M2639*{7,8,9,10,11})/IF(G2639="",I2639,G2639)-1,""))</f>
        <v/>
      </c>
      <c r="AG2639" s="55">
        <f>IF(OR(T2639="",I2639&lt;T2639),"",IFERROR(AF2639/-(R2639/IF(G2639="",I2639,G2639)-1),""))</f>
        <v/>
      </c>
      <c r="AH2639" s="94" t="n"/>
      <c r="AI2639" s="94" t="n"/>
      <c r="AJ2639" s="94" t="n"/>
      <c r="AK2639" s="94" t="n"/>
      <c r="AL2639" s="84" t="n"/>
    </row>
    <row r="2640">
      <c r="A2640" s="64" t="n"/>
      <c r="B2640" s="65" t="n"/>
      <c r="C2640" s="66" t="n"/>
      <c r="D2640" s="67" t="n"/>
      <c r="E2640" s="68" t="n"/>
      <c r="F2640" s="47">
        <f>IF(A2640="","",IF(MIN(H2640,MAX(J2640:K2640))=0,"",MIN(H2640,MAX(J2640:K2640))))</f>
        <v/>
      </c>
      <c r="G2640" s="74" t="n"/>
      <c r="H2640" s="49">
        <f>IF(M2640="","",IFERROR(ROUND(AVERAGE(T2640+M2640*{7,8,9,10,11})/1.21,4),""))</f>
        <v/>
      </c>
      <c r="I2640" s="76" t="n"/>
      <c r="J2640" s="77" t="n"/>
      <c r="K2640" s="74" t="n"/>
      <c r="L2640" s="78" t="n"/>
      <c r="M2640" s="77" t="n"/>
      <c r="N2640" s="53">
        <f>IF(M2640="","",IFERROR(M2640/I2640,""))</f>
        <v/>
      </c>
      <c r="O2640" s="50">
        <f>IF(A2640="","",IFERROR((IF(G2640="",I2640,G2640)-T2640)/M2640,""))</f>
        <v/>
      </c>
      <c r="P2640" s="50">
        <f>IFERROR((I2640/T2640-1)/N2640,"")</f>
        <v/>
      </c>
      <c r="Q2640" s="46">
        <f>IF(OR(T2640="",I2640&lt;T2640),"",IFERROR(R2640/IF(G2640="",I2640,G2640)-1,""))</f>
        <v/>
      </c>
      <c r="R2640" s="48">
        <f>IF($M2640="","",MAX(IF($G2640="",$I2640,$G2640)*(1/1.1),IF($G2640="",$I2640,$G2640)+(R$2*$M2640)))</f>
        <v/>
      </c>
      <c r="S2640" s="49">
        <f>IF($M2640="","",MAX(IF($G2640="",$I2640,$G2640)*(1/1.1),IF($G2640="",$I2640,$G2640)+(S$2*$M2640)))</f>
        <v/>
      </c>
      <c r="T2640" s="82" t="n"/>
      <c r="U2640" s="47">
        <f>IF(OR($M2640="",$T2640=""),"",$T2640+(U$2*$M2640))</f>
        <v/>
      </c>
      <c r="V2640" s="48">
        <f>IF(OR($M2640="",$T2640=""),"",$T2640+(V$2*$M2640))</f>
        <v/>
      </c>
      <c r="W2640" s="48">
        <f>IF(OR($M2640="",$T2640=""),"",$T2640+(W$2*$M2640))</f>
        <v/>
      </c>
      <c r="X2640" s="49">
        <f>IF(OR($M2640="",$T2640=""),"",$T2640+(X$2*$M2640))</f>
        <v/>
      </c>
      <c r="Y2640" s="47">
        <f>IF(OR($M2640="",$T2640=""),"",$T2640+(Y$2*$M2640))</f>
        <v/>
      </c>
      <c r="Z2640" s="49">
        <f>IF(OR($M2640="",$T2640=""),"",$T2640+(Z$2*$M2640))</f>
        <v/>
      </c>
      <c r="AA2640" s="51">
        <f>IF(OR($M2640="",$T2640=""),"",$T2640+(AA$2*$M2640))</f>
        <v/>
      </c>
      <c r="AB2640" s="48">
        <f>IF(OR($M2640="",$T2640=""),"",$T2640+(AB$2*$M2640))</f>
        <v/>
      </c>
      <c r="AC2640" s="48">
        <f>IF(OR($M2640="",$T2640=""),"",$T2640+(AC$2*$M2640))</f>
        <v/>
      </c>
      <c r="AD2640" s="48">
        <f>IF(OR($M2640="",$T2640=""),"",$T2640+(AD$2*$M2640))</f>
        <v/>
      </c>
      <c r="AE2640" s="49">
        <f>IF(OR($M2640="",$T2640=""),"",$T2640+(AE$2*$M2640))</f>
        <v/>
      </c>
      <c r="AF2640" s="52">
        <f>IF(OR(T2640="",I2640&lt;T2640),"",IFERROR(AVERAGE(T2640+M2640*{7,8,9,10,11})/IF(G2640="",I2640,G2640)-1,""))</f>
        <v/>
      </c>
      <c r="AG2640" s="55">
        <f>IF(OR(T2640="",I2640&lt;T2640),"",IFERROR(AF2640/-(R2640/IF(G2640="",I2640,G2640)-1),""))</f>
        <v/>
      </c>
      <c r="AH2640" s="94" t="n"/>
      <c r="AI2640" s="94" t="n"/>
      <c r="AJ2640" s="94" t="n"/>
      <c r="AK2640" s="94" t="n"/>
      <c r="AL2640" s="84" t="n"/>
    </row>
    <row r="2641">
      <c r="A2641" s="64" t="n"/>
      <c r="B2641" s="65" t="n"/>
      <c r="C2641" s="66" t="n"/>
      <c r="D2641" s="67" t="n"/>
      <c r="E2641" s="68" t="n"/>
      <c r="F2641" s="47">
        <f>IF(A2641="","",IF(MIN(H2641,MAX(J2641:K2641))=0,"",MIN(H2641,MAX(J2641:K2641))))</f>
        <v/>
      </c>
      <c r="G2641" s="74" t="n"/>
      <c r="H2641" s="49">
        <f>IF(M2641="","",IFERROR(ROUND(AVERAGE(T2641+M2641*{7,8,9,10,11})/1.21,4),""))</f>
        <v/>
      </c>
      <c r="I2641" s="76" t="n"/>
      <c r="J2641" s="77" t="n"/>
      <c r="K2641" s="74" t="n"/>
      <c r="L2641" s="78" t="n"/>
      <c r="M2641" s="77" t="n"/>
      <c r="N2641" s="53">
        <f>IF(M2641="","",IFERROR(M2641/I2641,""))</f>
        <v/>
      </c>
      <c r="O2641" s="50">
        <f>IF(A2641="","",IFERROR((IF(G2641="",I2641,G2641)-T2641)/M2641,""))</f>
        <v/>
      </c>
      <c r="P2641" s="50">
        <f>IFERROR((I2641/T2641-1)/N2641,"")</f>
        <v/>
      </c>
      <c r="Q2641" s="46">
        <f>IF(OR(T2641="",I2641&lt;T2641),"",IFERROR(R2641/IF(G2641="",I2641,G2641)-1,""))</f>
        <v/>
      </c>
      <c r="R2641" s="48">
        <f>IF($M2641="","",MAX(IF($G2641="",$I2641,$G2641)*(1/1.1),IF($G2641="",$I2641,$G2641)+(R$2*$M2641)))</f>
        <v/>
      </c>
      <c r="S2641" s="49">
        <f>IF($M2641="","",MAX(IF($G2641="",$I2641,$G2641)*(1/1.1),IF($G2641="",$I2641,$G2641)+(S$2*$M2641)))</f>
        <v/>
      </c>
      <c r="T2641" s="82" t="n"/>
      <c r="U2641" s="47">
        <f>IF(OR($M2641="",$T2641=""),"",$T2641+(U$2*$M2641))</f>
        <v/>
      </c>
      <c r="V2641" s="48">
        <f>IF(OR($M2641="",$T2641=""),"",$T2641+(V$2*$M2641))</f>
        <v/>
      </c>
      <c r="W2641" s="48">
        <f>IF(OR($M2641="",$T2641=""),"",$T2641+(W$2*$M2641))</f>
        <v/>
      </c>
      <c r="X2641" s="49">
        <f>IF(OR($M2641="",$T2641=""),"",$T2641+(X$2*$M2641))</f>
        <v/>
      </c>
      <c r="Y2641" s="47">
        <f>IF(OR($M2641="",$T2641=""),"",$T2641+(Y$2*$M2641))</f>
        <v/>
      </c>
      <c r="Z2641" s="49">
        <f>IF(OR($M2641="",$T2641=""),"",$T2641+(Z$2*$M2641))</f>
        <v/>
      </c>
      <c r="AA2641" s="51">
        <f>IF(OR($M2641="",$T2641=""),"",$T2641+(AA$2*$M2641))</f>
        <v/>
      </c>
      <c r="AB2641" s="48">
        <f>IF(OR($M2641="",$T2641=""),"",$T2641+(AB$2*$M2641))</f>
        <v/>
      </c>
      <c r="AC2641" s="48">
        <f>IF(OR($M2641="",$T2641=""),"",$T2641+(AC$2*$M2641))</f>
        <v/>
      </c>
      <c r="AD2641" s="48">
        <f>IF(OR($M2641="",$T2641=""),"",$T2641+(AD$2*$M2641))</f>
        <v/>
      </c>
      <c r="AE2641" s="49">
        <f>IF(OR($M2641="",$T2641=""),"",$T2641+(AE$2*$M2641))</f>
        <v/>
      </c>
      <c r="AF2641" s="52">
        <f>IF(OR(T2641="",I2641&lt;T2641),"",IFERROR(AVERAGE(T2641+M2641*{7,8,9,10,11})/IF(G2641="",I2641,G2641)-1,""))</f>
        <v/>
      </c>
      <c r="AG2641" s="55">
        <f>IF(OR(T2641="",I2641&lt;T2641),"",IFERROR(AF2641/-(R2641/IF(G2641="",I2641,G2641)-1),""))</f>
        <v/>
      </c>
      <c r="AH2641" s="94" t="n"/>
      <c r="AI2641" s="94" t="n"/>
      <c r="AJ2641" s="94" t="n"/>
      <c r="AK2641" s="94" t="n"/>
      <c r="AL2641" s="84" t="n"/>
    </row>
    <row r="2642">
      <c r="A2642" s="64" t="n"/>
      <c r="B2642" s="65" t="n"/>
      <c r="C2642" s="66" t="n"/>
      <c r="D2642" s="67" t="n"/>
      <c r="E2642" s="68" t="n"/>
      <c r="F2642" s="47">
        <f>IF(A2642="","",IF(MIN(H2642,MAX(J2642:K2642))=0,"",MIN(H2642,MAX(J2642:K2642))))</f>
        <v/>
      </c>
      <c r="G2642" s="74" t="n"/>
      <c r="H2642" s="49">
        <f>IF(M2642="","",IFERROR(ROUND(AVERAGE(T2642+M2642*{7,8,9,10,11})/1.21,4),""))</f>
        <v/>
      </c>
      <c r="I2642" s="76" t="n"/>
      <c r="J2642" s="77" t="n"/>
      <c r="K2642" s="74" t="n"/>
      <c r="L2642" s="78" t="n"/>
      <c r="M2642" s="77" t="n"/>
      <c r="N2642" s="53">
        <f>IF(M2642="","",IFERROR(M2642/I2642,""))</f>
        <v/>
      </c>
      <c r="O2642" s="50">
        <f>IF(A2642="","",IFERROR((IF(G2642="",I2642,G2642)-T2642)/M2642,""))</f>
        <v/>
      </c>
      <c r="P2642" s="50">
        <f>IFERROR((I2642/T2642-1)/N2642,"")</f>
        <v/>
      </c>
      <c r="Q2642" s="46">
        <f>IF(OR(T2642="",I2642&lt;T2642),"",IFERROR(R2642/IF(G2642="",I2642,G2642)-1,""))</f>
        <v/>
      </c>
      <c r="R2642" s="48">
        <f>IF($M2642="","",MAX(IF($G2642="",$I2642,$G2642)*(1/1.1),IF($G2642="",$I2642,$G2642)+(R$2*$M2642)))</f>
        <v/>
      </c>
      <c r="S2642" s="49">
        <f>IF($M2642="","",MAX(IF($G2642="",$I2642,$G2642)*(1/1.1),IF($G2642="",$I2642,$G2642)+(S$2*$M2642)))</f>
        <v/>
      </c>
      <c r="T2642" s="82" t="n"/>
      <c r="U2642" s="47">
        <f>IF(OR($M2642="",$T2642=""),"",$T2642+(U$2*$M2642))</f>
        <v/>
      </c>
      <c r="V2642" s="48">
        <f>IF(OR($M2642="",$T2642=""),"",$T2642+(V$2*$M2642))</f>
        <v/>
      </c>
      <c r="W2642" s="48">
        <f>IF(OR($M2642="",$T2642=""),"",$T2642+(W$2*$M2642))</f>
        <v/>
      </c>
      <c r="X2642" s="49">
        <f>IF(OR($M2642="",$T2642=""),"",$T2642+(X$2*$M2642))</f>
        <v/>
      </c>
      <c r="Y2642" s="47">
        <f>IF(OR($M2642="",$T2642=""),"",$T2642+(Y$2*$M2642))</f>
        <v/>
      </c>
      <c r="Z2642" s="49">
        <f>IF(OR($M2642="",$T2642=""),"",$T2642+(Z$2*$M2642))</f>
        <v/>
      </c>
      <c r="AA2642" s="51">
        <f>IF(OR($M2642="",$T2642=""),"",$T2642+(AA$2*$M2642))</f>
        <v/>
      </c>
      <c r="AB2642" s="48">
        <f>IF(OR($M2642="",$T2642=""),"",$T2642+(AB$2*$M2642))</f>
        <v/>
      </c>
      <c r="AC2642" s="48">
        <f>IF(OR($M2642="",$T2642=""),"",$T2642+(AC$2*$M2642))</f>
        <v/>
      </c>
      <c r="AD2642" s="48">
        <f>IF(OR($M2642="",$T2642=""),"",$T2642+(AD$2*$M2642))</f>
        <v/>
      </c>
      <c r="AE2642" s="49">
        <f>IF(OR($M2642="",$T2642=""),"",$T2642+(AE$2*$M2642))</f>
        <v/>
      </c>
      <c r="AF2642" s="52">
        <f>IF(OR(T2642="",I2642&lt;T2642),"",IFERROR(AVERAGE(T2642+M2642*{7,8,9,10,11})/IF(G2642="",I2642,G2642)-1,""))</f>
        <v/>
      </c>
      <c r="AG2642" s="55">
        <f>IF(OR(T2642="",I2642&lt;T2642),"",IFERROR(AF2642/-(R2642/IF(G2642="",I2642,G2642)-1),""))</f>
        <v/>
      </c>
      <c r="AH2642" s="94" t="n"/>
      <c r="AI2642" s="94" t="n"/>
      <c r="AJ2642" s="94" t="n"/>
      <c r="AK2642" s="94" t="n"/>
      <c r="AL2642" s="84" t="n"/>
    </row>
    <row r="2643">
      <c r="A2643" s="64" t="n"/>
      <c r="B2643" s="65" t="n"/>
      <c r="C2643" s="66" t="n"/>
      <c r="D2643" s="67" t="n"/>
      <c r="E2643" s="68" t="n"/>
      <c r="F2643" s="47">
        <f>IF(A2643="","",IF(MIN(H2643,MAX(J2643:K2643))=0,"",MIN(H2643,MAX(J2643:K2643))))</f>
        <v/>
      </c>
      <c r="G2643" s="74" t="n"/>
      <c r="H2643" s="49">
        <f>IF(M2643="","",IFERROR(ROUND(AVERAGE(T2643+M2643*{7,8,9,10,11})/1.21,4),""))</f>
        <v/>
      </c>
      <c r="I2643" s="76" t="n"/>
      <c r="J2643" s="77" t="n"/>
      <c r="K2643" s="74" t="n"/>
      <c r="L2643" s="78" t="n"/>
      <c r="M2643" s="77" t="n"/>
      <c r="N2643" s="53">
        <f>IF(M2643="","",IFERROR(M2643/I2643,""))</f>
        <v/>
      </c>
      <c r="O2643" s="50">
        <f>IF(A2643="","",IFERROR((IF(G2643="",I2643,G2643)-T2643)/M2643,""))</f>
        <v/>
      </c>
      <c r="P2643" s="50">
        <f>IFERROR((I2643/T2643-1)/N2643,"")</f>
        <v/>
      </c>
      <c r="Q2643" s="46">
        <f>IF(OR(T2643="",I2643&lt;T2643),"",IFERROR(R2643/IF(G2643="",I2643,G2643)-1,""))</f>
        <v/>
      </c>
      <c r="R2643" s="48">
        <f>IF($M2643="","",MAX(IF($G2643="",$I2643,$G2643)*(1/1.1),IF($G2643="",$I2643,$G2643)+(R$2*$M2643)))</f>
        <v/>
      </c>
      <c r="S2643" s="49">
        <f>IF($M2643="","",MAX(IF($G2643="",$I2643,$G2643)*(1/1.1),IF($G2643="",$I2643,$G2643)+(S$2*$M2643)))</f>
        <v/>
      </c>
      <c r="T2643" s="82" t="n"/>
      <c r="U2643" s="47">
        <f>IF(OR($M2643="",$T2643=""),"",$T2643+(U$2*$M2643))</f>
        <v/>
      </c>
      <c r="V2643" s="48">
        <f>IF(OR($M2643="",$T2643=""),"",$T2643+(V$2*$M2643))</f>
        <v/>
      </c>
      <c r="W2643" s="48">
        <f>IF(OR($M2643="",$T2643=""),"",$T2643+(W$2*$M2643))</f>
        <v/>
      </c>
      <c r="X2643" s="49">
        <f>IF(OR($M2643="",$T2643=""),"",$T2643+(X$2*$M2643))</f>
        <v/>
      </c>
      <c r="Y2643" s="47">
        <f>IF(OR($M2643="",$T2643=""),"",$T2643+(Y$2*$M2643))</f>
        <v/>
      </c>
      <c r="Z2643" s="49">
        <f>IF(OR($M2643="",$T2643=""),"",$T2643+(Z$2*$M2643))</f>
        <v/>
      </c>
      <c r="AA2643" s="51">
        <f>IF(OR($M2643="",$T2643=""),"",$T2643+(AA$2*$M2643))</f>
        <v/>
      </c>
      <c r="AB2643" s="48">
        <f>IF(OR($M2643="",$T2643=""),"",$T2643+(AB$2*$M2643))</f>
        <v/>
      </c>
      <c r="AC2643" s="48">
        <f>IF(OR($M2643="",$T2643=""),"",$T2643+(AC$2*$M2643))</f>
        <v/>
      </c>
      <c r="AD2643" s="48">
        <f>IF(OR($M2643="",$T2643=""),"",$T2643+(AD$2*$M2643))</f>
        <v/>
      </c>
      <c r="AE2643" s="49">
        <f>IF(OR($M2643="",$T2643=""),"",$T2643+(AE$2*$M2643))</f>
        <v/>
      </c>
      <c r="AF2643" s="52">
        <f>IF(OR(T2643="",I2643&lt;T2643),"",IFERROR(AVERAGE(T2643+M2643*{7,8,9,10,11})/IF(G2643="",I2643,G2643)-1,""))</f>
        <v/>
      </c>
      <c r="AG2643" s="55">
        <f>IF(OR(T2643="",I2643&lt;T2643),"",IFERROR(AF2643/-(R2643/IF(G2643="",I2643,G2643)-1),""))</f>
        <v/>
      </c>
      <c r="AH2643" s="94" t="n"/>
      <c r="AI2643" s="94" t="n"/>
      <c r="AJ2643" s="94" t="n"/>
      <c r="AK2643" s="94" t="n"/>
      <c r="AL2643" s="84" t="n"/>
    </row>
    <row r="2644">
      <c r="A2644" s="64" t="n"/>
      <c r="B2644" s="65" t="n"/>
      <c r="C2644" s="66" t="n"/>
      <c r="D2644" s="67" t="n"/>
      <c r="E2644" s="68" t="n"/>
      <c r="F2644" s="47">
        <f>IF(A2644="","",IF(MIN(H2644,MAX(J2644:K2644))=0,"",MIN(H2644,MAX(J2644:K2644))))</f>
        <v/>
      </c>
      <c r="G2644" s="74" t="n"/>
      <c r="H2644" s="49">
        <f>IF(M2644="","",IFERROR(ROUND(AVERAGE(T2644+M2644*{7,8,9,10,11})/1.21,4),""))</f>
        <v/>
      </c>
      <c r="I2644" s="76" t="n"/>
      <c r="J2644" s="77" t="n"/>
      <c r="K2644" s="74" t="n"/>
      <c r="L2644" s="78" t="n"/>
      <c r="M2644" s="77" t="n"/>
      <c r="N2644" s="53">
        <f>IF(M2644="","",IFERROR(M2644/I2644,""))</f>
        <v/>
      </c>
      <c r="O2644" s="50">
        <f>IF(A2644="","",IFERROR((IF(G2644="",I2644,G2644)-T2644)/M2644,""))</f>
        <v/>
      </c>
      <c r="P2644" s="50">
        <f>IFERROR((I2644/T2644-1)/N2644,"")</f>
        <v/>
      </c>
      <c r="Q2644" s="46">
        <f>IF(OR(T2644="",I2644&lt;T2644),"",IFERROR(R2644/IF(G2644="",I2644,G2644)-1,""))</f>
        <v/>
      </c>
      <c r="R2644" s="48">
        <f>IF($M2644="","",MAX(IF($G2644="",$I2644,$G2644)*(1/1.1),IF($G2644="",$I2644,$G2644)+(R$2*$M2644)))</f>
        <v/>
      </c>
      <c r="S2644" s="49">
        <f>IF($M2644="","",MAX(IF($G2644="",$I2644,$G2644)*(1/1.1),IF($G2644="",$I2644,$G2644)+(S$2*$M2644)))</f>
        <v/>
      </c>
      <c r="T2644" s="82" t="n"/>
      <c r="U2644" s="47">
        <f>IF(OR($M2644="",$T2644=""),"",$T2644+(U$2*$M2644))</f>
        <v/>
      </c>
      <c r="V2644" s="48">
        <f>IF(OR($M2644="",$T2644=""),"",$T2644+(V$2*$M2644))</f>
        <v/>
      </c>
      <c r="W2644" s="48">
        <f>IF(OR($M2644="",$T2644=""),"",$T2644+(W$2*$M2644))</f>
        <v/>
      </c>
      <c r="X2644" s="49">
        <f>IF(OR($M2644="",$T2644=""),"",$T2644+(X$2*$M2644))</f>
        <v/>
      </c>
      <c r="Y2644" s="47">
        <f>IF(OR($M2644="",$T2644=""),"",$T2644+(Y$2*$M2644))</f>
        <v/>
      </c>
      <c r="Z2644" s="49">
        <f>IF(OR($M2644="",$T2644=""),"",$T2644+(Z$2*$M2644))</f>
        <v/>
      </c>
      <c r="AA2644" s="51">
        <f>IF(OR($M2644="",$T2644=""),"",$T2644+(AA$2*$M2644))</f>
        <v/>
      </c>
      <c r="AB2644" s="48">
        <f>IF(OR($M2644="",$T2644=""),"",$T2644+(AB$2*$M2644))</f>
        <v/>
      </c>
      <c r="AC2644" s="48">
        <f>IF(OR($M2644="",$T2644=""),"",$T2644+(AC$2*$M2644))</f>
        <v/>
      </c>
      <c r="AD2644" s="48">
        <f>IF(OR($M2644="",$T2644=""),"",$T2644+(AD$2*$M2644))</f>
        <v/>
      </c>
      <c r="AE2644" s="49">
        <f>IF(OR($M2644="",$T2644=""),"",$T2644+(AE$2*$M2644))</f>
        <v/>
      </c>
      <c r="AF2644" s="52">
        <f>IF(OR(T2644="",I2644&lt;T2644),"",IFERROR(AVERAGE(T2644+M2644*{7,8,9,10,11})/IF(G2644="",I2644,G2644)-1,""))</f>
        <v/>
      </c>
      <c r="AG2644" s="55">
        <f>IF(OR(T2644="",I2644&lt;T2644),"",IFERROR(AF2644/-(R2644/IF(G2644="",I2644,G2644)-1),""))</f>
        <v/>
      </c>
      <c r="AH2644" s="94" t="n"/>
      <c r="AI2644" s="94" t="n"/>
      <c r="AJ2644" s="94" t="n"/>
      <c r="AK2644" s="94" t="n"/>
      <c r="AL2644" s="84" t="n"/>
    </row>
    <row r="2645">
      <c r="A2645" s="64" t="n"/>
      <c r="B2645" s="65" t="n"/>
      <c r="C2645" s="66" t="n"/>
      <c r="D2645" s="67" t="n"/>
      <c r="E2645" s="68" t="n"/>
      <c r="F2645" s="47">
        <f>IF(A2645="","",IF(MIN(H2645,MAX(J2645:K2645))=0,"",MIN(H2645,MAX(J2645:K2645))))</f>
        <v/>
      </c>
      <c r="G2645" s="74" t="n"/>
      <c r="H2645" s="49">
        <f>IF(M2645="","",IFERROR(ROUND(AVERAGE(T2645+M2645*{7,8,9,10,11})/1.21,4),""))</f>
        <v/>
      </c>
      <c r="I2645" s="76" t="n"/>
      <c r="J2645" s="77" t="n"/>
      <c r="K2645" s="74" t="n"/>
      <c r="L2645" s="78" t="n"/>
      <c r="M2645" s="77" t="n"/>
      <c r="N2645" s="53">
        <f>IF(M2645="","",IFERROR(M2645/I2645,""))</f>
        <v/>
      </c>
      <c r="O2645" s="50">
        <f>IF(A2645="","",IFERROR((IF(G2645="",I2645,G2645)-T2645)/M2645,""))</f>
        <v/>
      </c>
      <c r="P2645" s="50">
        <f>IFERROR((I2645/T2645-1)/N2645,"")</f>
        <v/>
      </c>
      <c r="Q2645" s="46">
        <f>IF(OR(T2645="",I2645&lt;T2645),"",IFERROR(R2645/IF(G2645="",I2645,G2645)-1,""))</f>
        <v/>
      </c>
      <c r="R2645" s="48">
        <f>IF($M2645="","",MAX(IF($G2645="",$I2645,$G2645)*(1/1.1),IF($G2645="",$I2645,$G2645)+(R$2*$M2645)))</f>
        <v/>
      </c>
      <c r="S2645" s="49">
        <f>IF($M2645="","",MAX(IF($G2645="",$I2645,$G2645)*(1/1.1),IF($G2645="",$I2645,$G2645)+(S$2*$M2645)))</f>
        <v/>
      </c>
      <c r="T2645" s="82" t="n"/>
      <c r="U2645" s="47">
        <f>IF(OR($M2645="",$T2645=""),"",$T2645+(U$2*$M2645))</f>
        <v/>
      </c>
      <c r="V2645" s="48">
        <f>IF(OR($M2645="",$T2645=""),"",$T2645+(V$2*$M2645))</f>
        <v/>
      </c>
      <c r="W2645" s="48">
        <f>IF(OR($M2645="",$T2645=""),"",$T2645+(W$2*$M2645))</f>
        <v/>
      </c>
      <c r="X2645" s="49">
        <f>IF(OR($M2645="",$T2645=""),"",$T2645+(X$2*$M2645))</f>
        <v/>
      </c>
      <c r="Y2645" s="47">
        <f>IF(OR($M2645="",$T2645=""),"",$T2645+(Y$2*$M2645))</f>
        <v/>
      </c>
      <c r="Z2645" s="49">
        <f>IF(OR($M2645="",$T2645=""),"",$T2645+(Z$2*$M2645))</f>
        <v/>
      </c>
      <c r="AA2645" s="51">
        <f>IF(OR($M2645="",$T2645=""),"",$T2645+(AA$2*$M2645))</f>
        <v/>
      </c>
      <c r="AB2645" s="48">
        <f>IF(OR($M2645="",$T2645=""),"",$T2645+(AB$2*$M2645))</f>
        <v/>
      </c>
      <c r="AC2645" s="48">
        <f>IF(OR($M2645="",$T2645=""),"",$T2645+(AC$2*$M2645))</f>
        <v/>
      </c>
      <c r="AD2645" s="48">
        <f>IF(OR($M2645="",$T2645=""),"",$T2645+(AD$2*$M2645))</f>
        <v/>
      </c>
      <c r="AE2645" s="49">
        <f>IF(OR($M2645="",$T2645=""),"",$T2645+(AE$2*$M2645))</f>
        <v/>
      </c>
      <c r="AF2645" s="52">
        <f>IF(OR(T2645="",I2645&lt;T2645),"",IFERROR(AVERAGE(T2645+M2645*{7,8,9,10,11})/IF(G2645="",I2645,G2645)-1,""))</f>
        <v/>
      </c>
      <c r="AG2645" s="55">
        <f>IF(OR(T2645="",I2645&lt;T2645),"",IFERROR(AF2645/-(R2645/IF(G2645="",I2645,G2645)-1),""))</f>
        <v/>
      </c>
      <c r="AH2645" s="94" t="n"/>
      <c r="AI2645" s="94" t="n"/>
      <c r="AJ2645" s="94" t="n"/>
      <c r="AK2645" s="94" t="n"/>
      <c r="AL2645" s="84" t="n"/>
    </row>
    <row r="2646">
      <c r="A2646" s="64" t="n"/>
      <c r="B2646" s="65" t="n"/>
      <c r="C2646" s="66" t="n"/>
      <c r="D2646" s="67" t="n"/>
      <c r="E2646" s="68" t="n"/>
      <c r="F2646" s="47">
        <f>IF(A2646="","",IF(MIN(H2646,MAX(J2646:K2646))=0,"",MIN(H2646,MAX(J2646:K2646))))</f>
        <v/>
      </c>
      <c r="G2646" s="74" t="n"/>
      <c r="H2646" s="49">
        <f>IF(M2646="","",IFERROR(ROUND(AVERAGE(T2646+M2646*{7,8,9,10,11})/1.21,4),""))</f>
        <v/>
      </c>
      <c r="I2646" s="76" t="n"/>
      <c r="J2646" s="77" t="n"/>
      <c r="K2646" s="74" t="n"/>
      <c r="L2646" s="78" t="n"/>
      <c r="M2646" s="77" t="n"/>
      <c r="N2646" s="53">
        <f>IF(M2646="","",IFERROR(M2646/I2646,""))</f>
        <v/>
      </c>
      <c r="O2646" s="50">
        <f>IF(A2646="","",IFERROR((IF(G2646="",I2646,G2646)-T2646)/M2646,""))</f>
        <v/>
      </c>
      <c r="P2646" s="50">
        <f>IFERROR((I2646/T2646-1)/N2646,"")</f>
        <v/>
      </c>
      <c r="Q2646" s="46">
        <f>IF(OR(T2646="",I2646&lt;T2646),"",IFERROR(R2646/IF(G2646="",I2646,G2646)-1,""))</f>
        <v/>
      </c>
      <c r="R2646" s="48">
        <f>IF($M2646="","",MAX(IF($G2646="",$I2646,$G2646)*(1/1.1),IF($G2646="",$I2646,$G2646)+(R$2*$M2646)))</f>
        <v/>
      </c>
      <c r="S2646" s="49">
        <f>IF($M2646="","",MAX(IF($G2646="",$I2646,$G2646)*(1/1.1),IF($G2646="",$I2646,$G2646)+(S$2*$M2646)))</f>
        <v/>
      </c>
      <c r="T2646" s="82" t="n"/>
      <c r="U2646" s="47">
        <f>IF(OR($M2646="",$T2646=""),"",$T2646+(U$2*$M2646))</f>
        <v/>
      </c>
      <c r="V2646" s="48">
        <f>IF(OR($M2646="",$T2646=""),"",$T2646+(V$2*$M2646))</f>
        <v/>
      </c>
      <c r="W2646" s="48">
        <f>IF(OR($M2646="",$T2646=""),"",$T2646+(W$2*$M2646))</f>
        <v/>
      </c>
      <c r="X2646" s="49">
        <f>IF(OR($M2646="",$T2646=""),"",$T2646+(X$2*$M2646))</f>
        <v/>
      </c>
      <c r="Y2646" s="47">
        <f>IF(OR($M2646="",$T2646=""),"",$T2646+(Y$2*$M2646))</f>
        <v/>
      </c>
      <c r="Z2646" s="49">
        <f>IF(OR($M2646="",$T2646=""),"",$T2646+(Z$2*$M2646))</f>
        <v/>
      </c>
      <c r="AA2646" s="51">
        <f>IF(OR($M2646="",$T2646=""),"",$T2646+(AA$2*$M2646))</f>
        <v/>
      </c>
      <c r="AB2646" s="48">
        <f>IF(OR($M2646="",$T2646=""),"",$T2646+(AB$2*$M2646))</f>
        <v/>
      </c>
      <c r="AC2646" s="48">
        <f>IF(OR($M2646="",$T2646=""),"",$T2646+(AC$2*$M2646))</f>
        <v/>
      </c>
      <c r="AD2646" s="48">
        <f>IF(OR($M2646="",$T2646=""),"",$T2646+(AD$2*$M2646))</f>
        <v/>
      </c>
      <c r="AE2646" s="49">
        <f>IF(OR($M2646="",$T2646=""),"",$T2646+(AE$2*$M2646))</f>
        <v/>
      </c>
      <c r="AF2646" s="52">
        <f>IF(OR(T2646="",I2646&lt;T2646),"",IFERROR(AVERAGE(T2646+M2646*{7,8,9,10,11})/IF(G2646="",I2646,G2646)-1,""))</f>
        <v/>
      </c>
      <c r="AG2646" s="55">
        <f>IF(OR(T2646="",I2646&lt;T2646),"",IFERROR(AF2646/-(R2646/IF(G2646="",I2646,G2646)-1),""))</f>
        <v/>
      </c>
      <c r="AH2646" s="94" t="n"/>
      <c r="AI2646" s="94" t="n"/>
      <c r="AJ2646" s="94" t="n"/>
      <c r="AK2646" s="94" t="n"/>
      <c r="AL2646" s="84" t="n"/>
    </row>
    <row r="2647">
      <c r="A2647" s="64" t="n"/>
      <c r="B2647" s="65" t="n"/>
      <c r="C2647" s="66" t="n"/>
      <c r="D2647" s="67" t="n"/>
      <c r="E2647" s="68" t="n"/>
      <c r="F2647" s="47">
        <f>IF(A2647="","",IF(MIN(H2647,MAX(J2647:K2647))=0,"",MIN(H2647,MAX(J2647:K2647))))</f>
        <v/>
      </c>
      <c r="G2647" s="74" t="n"/>
      <c r="H2647" s="49">
        <f>IF(M2647="","",IFERROR(ROUND(AVERAGE(T2647+M2647*{7,8,9,10,11})/1.21,4),""))</f>
        <v/>
      </c>
      <c r="I2647" s="76" t="n"/>
      <c r="J2647" s="77" t="n"/>
      <c r="K2647" s="74" t="n"/>
      <c r="L2647" s="78" t="n"/>
      <c r="M2647" s="77" t="n"/>
      <c r="N2647" s="53">
        <f>IF(M2647="","",IFERROR(M2647/I2647,""))</f>
        <v/>
      </c>
      <c r="O2647" s="50">
        <f>IF(A2647="","",IFERROR((IF(G2647="",I2647,G2647)-T2647)/M2647,""))</f>
        <v/>
      </c>
      <c r="P2647" s="50">
        <f>IFERROR((I2647/T2647-1)/N2647,"")</f>
        <v/>
      </c>
      <c r="Q2647" s="46">
        <f>IF(OR(T2647="",I2647&lt;T2647),"",IFERROR(R2647/IF(G2647="",I2647,G2647)-1,""))</f>
        <v/>
      </c>
      <c r="R2647" s="48">
        <f>IF($M2647="","",MAX(IF($G2647="",$I2647,$G2647)*(1/1.1),IF($G2647="",$I2647,$G2647)+(R$2*$M2647)))</f>
        <v/>
      </c>
      <c r="S2647" s="49">
        <f>IF($M2647="","",MAX(IF($G2647="",$I2647,$G2647)*(1/1.1),IF($G2647="",$I2647,$G2647)+(S$2*$M2647)))</f>
        <v/>
      </c>
      <c r="T2647" s="82" t="n"/>
      <c r="U2647" s="47">
        <f>IF(OR($M2647="",$T2647=""),"",$T2647+(U$2*$M2647))</f>
        <v/>
      </c>
      <c r="V2647" s="48">
        <f>IF(OR($M2647="",$T2647=""),"",$T2647+(V$2*$M2647))</f>
        <v/>
      </c>
      <c r="W2647" s="48">
        <f>IF(OR($M2647="",$T2647=""),"",$T2647+(W$2*$M2647))</f>
        <v/>
      </c>
      <c r="X2647" s="49">
        <f>IF(OR($M2647="",$T2647=""),"",$T2647+(X$2*$M2647))</f>
        <v/>
      </c>
      <c r="Y2647" s="47">
        <f>IF(OR($M2647="",$T2647=""),"",$T2647+(Y$2*$M2647))</f>
        <v/>
      </c>
      <c r="Z2647" s="49">
        <f>IF(OR($M2647="",$T2647=""),"",$T2647+(Z$2*$M2647))</f>
        <v/>
      </c>
      <c r="AA2647" s="51">
        <f>IF(OR($M2647="",$T2647=""),"",$T2647+(AA$2*$M2647))</f>
        <v/>
      </c>
      <c r="AB2647" s="48">
        <f>IF(OR($M2647="",$T2647=""),"",$T2647+(AB$2*$M2647))</f>
        <v/>
      </c>
      <c r="AC2647" s="48">
        <f>IF(OR($M2647="",$T2647=""),"",$T2647+(AC$2*$M2647))</f>
        <v/>
      </c>
      <c r="AD2647" s="48">
        <f>IF(OR($M2647="",$T2647=""),"",$T2647+(AD$2*$M2647))</f>
        <v/>
      </c>
      <c r="AE2647" s="49">
        <f>IF(OR($M2647="",$T2647=""),"",$T2647+(AE$2*$M2647))</f>
        <v/>
      </c>
      <c r="AF2647" s="52">
        <f>IF(OR(T2647="",I2647&lt;T2647),"",IFERROR(AVERAGE(T2647+M2647*{7,8,9,10,11})/IF(G2647="",I2647,G2647)-1,""))</f>
        <v/>
      </c>
      <c r="AG2647" s="55">
        <f>IF(OR(T2647="",I2647&lt;T2647),"",IFERROR(AF2647/-(R2647/IF(G2647="",I2647,G2647)-1),""))</f>
        <v/>
      </c>
      <c r="AH2647" s="94" t="n"/>
      <c r="AI2647" s="94" t="n"/>
      <c r="AJ2647" s="94" t="n"/>
      <c r="AK2647" s="94" t="n"/>
      <c r="AL2647" s="84" t="n"/>
    </row>
    <row r="2648">
      <c r="A2648" s="64" t="n"/>
      <c r="B2648" s="65" t="n"/>
      <c r="C2648" s="66" t="n"/>
      <c r="D2648" s="67" t="n"/>
      <c r="E2648" s="68" t="n"/>
      <c r="F2648" s="47">
        <f>IF(A2648="","",IF(MIN(H2648,MAX(J2648:K2648))=0,"",MIN(H2648,MAX(J2648:K2648))))</f>
        <v/>
      </c>
      <c r="G2648" s="74" t="n"/>
      <c r="H2648" s="49">
        <f>IF(M2648="","",IFERROR(ROUND(AVERAGE(T2648+M2648*{7,8,9,10,11})/1.21,4),""))</f>
        <v/>
      </c>
      <c r="I2648" s="76" t="n"/>
      <c r="J2648" s="77" t="n"/>
      <c r="K2648" s="74" t="n"/>
      <c r="L2648" s="78" t="n"/>
      <c r="M2648" s="77" t="n"/>
      <c r="N2648" s="53">
        <f>IF(M2648="","",IFERROR(M2648/I2648,""))</f>
        <v/>
      </c>
      <c r="O2648" s="50">
        <f>IF(A2648="","",IFERROR((IF(G2648="",I2648,G2648)-T2648)/M2648,""))</f>
        <v/>
      </c>
      <c r="P2648" s="50">
        <f>IFERROR((I2648/T2648-1)/N2648,"")</f>
        <v/>
      </c>
      <c r="Q2648" s="46">
        <f>IF(OR(T2648="",I2648&lt;T2648),"",IFERROR(R2648/IF(G2648="",I2648,G2648)-1,""))</f>
        <v/>
      </c>
      <c r="R2648" s="48">
        <f>IF($M2648="","",MAX(IF($G2648="",$I2648,$G2648)*(1/1.1),IF($G2648="",$I2648,$G2648)+(R$2*$M2648)))</f>
        <v/>
      </c>
      <c r="S2648" s="49">
        <f>IF($M2648="","",MAX(IF($G2648="",$I2648,$G2648)*(1/1.1),IF($G2648="",$I2648,$G2648)+(S$2*$M2648)))</f>
        <v/>
      </c>
      <c r="T2648" s="82" t="n"/>
      <c r="U2648" s="47">
        <f>IF(OR($M2648="",$T2648=""),"",$T2648+(U$2*$M2648))</f>
        <v/>
      </c>
      <c r="V2648" s="48">
        <f>IF(OR($M2648="",$T2648=""),"",$T2648+(V$2*$M2648))</f>
        <v/>
      </c>
      <c r="W2648" s="48">
        <f>IF(OR($M2648="",$T2648=""),"",$T2648+(W$2*$M2648))</f>
        <v/>
      </c>
      <c r="X2648" s="49">
        <f>IF(OR($M2648="",$T2648=""),"",$T2648+(X$2*$M2648))</f>
        <v/>
      </c>
      <c r="Y2648" s="47">
        <f>IF(OR($M2648="",$T2648=""),"",$T2648+(Y$2*$M2648))</f>
        <v/>
      </c>
      <c r="Z2648" s="49">
        <f>IF(OR($M2648="",$T2648=""),"",$T2648+(Z$2*$M2648))</f>
        <v/>
      </c>
      <c r="AA2648" s="51">
        <f>IF(OR($M2648="",$T2648=""),"",$T2648+(AA$2*$M2648))</f>
        <v/>
      </c>
      <c r="AB2648" s="48">
        <f>IF(OR($M2648="",$T2648=""),"",$T2648+(AB$2*$M2648))</f>
        <v/>
      </c>
      <c r="AC2648" s="48">
        <f>IF(OR($M2648="",$T2648=""),"",$T2648+(AC$2*$M2648))</f>
        <v/>
      </c>
      <c r="AD2648" s="48">
        <f>IF(OR($M2648="",$T2648=""),"",$T2648+(AD$2*$M2648))</f>
        <v/>
      </c>
      <c r="AE2648" s="49">
        <f>IF(OR($M2648="",$T2648=""),"",$T2648+(AE$2*$M2648))</f>
        <v/>
      </c>
      <c r="AF2648" s="52">
        <f>IF(OR(T2648="",I2648&lt;T2648),"",IFERROR(AVERAGE(T2648+M2648*{7,8,9,10,11})/IF(G2648="",I2648,G2648)-1,""))</f>
        <v/>
      </c>
      <c r="AG2648" s="55">
        <f>IF(OR(T2648="",I2648&lt;T2648),"",IFERROR(AF2648/-(R2648/IF(G2648="",I2648,G2648)-1),""))</f>
        <v/>
      </c>
      <c r="AH2648" s="94" t="n"/>
      <c r="AI2648" s="94" t="n"/>
      <c r="AJ2648" s="94" t="n"/>
      <c r="AK2648" s="94" t="n"/>
      <c r="AL2648" s="84" t="n"/>
    </row>
    <row r="2649">
      <c r="A2649" s="64" t="n"/>
      <c r="B2649" s="65" t="n"/>
      <c r="C2649" s="66" t="n"/>
      <c r="D2649" s="67" t="n"/>
      <c r="E2649" s="68" t="n"/>
      <c r="F2649" s="47">
        <f>IF(A2649="","",IF(MIN(H2649,MAX(J2649:K2649))=0,"",MIN(H2649,MAX(J2649:K2649))))</f>
        <v/>
      </c>
      <c r="G2649" s="74" t="n"/>
      <c r="H2649" s="49">
        <f>IF(M2649="","",IFERROR(ROUND(AVERAGE(T2649+M2649*{7,8,9,10,11})/1.21,4),""))</f>
        <v/>
      </c>
      <c r="I2649" s="76" t="n"/>
      <c r="J2649" s="77" t="n"/>
      <c r="K2649" s="74" t="n"/>
      <c r="L2649" s="78" t="n"/>
      <c r="M2649" s="77" t="n"/>
      <c r="N2649" s="53">
        <f>IF(M2649="","",IFERROR(M2649/I2649,""))</f>
        <v/>
      </c>
      <c r="O2649" s="50">
        <f>IF(A2649="","",IFERROR((IF(G2649="",I2649,G2649)-T2649)/M2649,""))</f>
        <v/>
      </c>
      <c r="P2649" s="50">
        <f>IFERROR((I2649/T2649-1)/N2649,"")</f>
        <v/>
      </c>
      <c r="Q2649" s="46">
        <f>IF(OR(T2649="",I2649&lt;T2649),"",IFERROR(R2649/IF(G2649="",I2649,G2649)-1,""))</f>
        <v/>
      </c>
      <c r="R2649" s="48">
        <f>IF($M2649="","",MAX(IF($G2649="",$I2649,$G2649)*(1/1.1),IF($G2649="",$I2649,$G2649)+(R$2*$M2649)))</f>
        <v/>
      </c>
      <c r="S2649" s="49">
        <f>IF($M2649="","",MAX(IF($G2649="",$I2649,$G2649)*(1/1.1),IF($G2649="",$I2649,$G2649)+(S$2*$M2649)))</f>
        <v/>
      </c>
      <c r="T2649" s="82" t="n"/>
      <c r="U2649" s="47">
        <f>IF(OR($M2649="",$T2649=""),"",$T2649+(U$2*$M2649))</f>
        <v/>
      </c>
      <c r="V2649" s="48">
        <f>IF(OR($M2649="",$T2649=""),"",$T2649+(V$2*$M2649))</f>
        <v/>
      </c>
      <c r="W2649" s="48">
        <f>IF(OR($M2649="",$T2649=""),"",$T2649+(W$2*$M2649))</f>
        <v/>
      </c>
      <c r="X2649" s="49">
        <f>IF(OR($M2649="",$T2649=""),"",$T2649+(X$2*$M2649))</f>
        <v/>
      </c>
      <c r="Y2649" s="47">
        <f>IF(OR($M2649="",$T2649=""),"",$T2649+(Y$2*$M2649))</f>
        <v/>
      </c>
      <c r="Z2649" s="49">
        <f>IF(OR($M2649="",$T2649=""),"",$T2649+(Z$2*$M2649))</f>
        <v/>
      </c>
      <c r="AA2649" s="51">
        <f>IF(OR($M2649="",$T2649=""),"",$T2649+(AA$2*$M2649))</f>
        <v/>
      </c>
      <c r="AB2649" s="48">
        <f>IF(OR($M2649="",$T2649=""),"",$T2649+(AB$2*$M2649))</f>
        <v/>
      </c>
      <c r="AC2649" s="48">
        <f>IF(OR($M2649="",$T2649=""),"",$T2649+(AC$2*$M2649))</f>
        <v/>
      </c>
      <c r="AD2649" s="48">
        <f>IF(OR($M2649="",$T2649=""),"",$T2649+(AD$2*$M2649))</f>
        <v/>
      </c>
      <c r="AE2649" s="49">
        <f>IF(OR($M2649="",$T2649=""),"",$T2649+(AE$2*$M2649))</f>
        <v/>
      </c>
      <c r="AF2649" s="52">
        <f>IF(OR(T2649="",I2649&lt;T2649),"",IFERROR(AVERAGE(T2649+M2649*{7,8,9,10,11})/IF(G2649="",I2649,G2649)-1,""))</f>
        <v/>
      </c>
      <c r="AG2649" s="55">
        <f>IF(OR(T2649="",I2649&lt;T2649),"",IFERROR(AF2649/-(R2649/IF(G2649="",I2649,G2649)-1),""))</f>
        <v/>
      </c>
      <c r="AH2649" s="94" t="n"/>
      <c r="AI2649" s="94" t="n"/>
      <c r="AJ2649" s="94" t="n"/>
      <c r="AK2649" s="94" t="n"/>
      <c r="AL2649" s="84" t="n"/>
    </row>
    <row r="2650">
      <c r="A2650" s="64" t="n"/>
      <c r="B2650" s="65" t="n"/>
      <c r="C2650" s="66" t="n"/>
      <c r="D2650" s="67" t="n"/>
      <c r="E2650" s="68" t="n"/>
      <c r="F2650" s="47">
        <f>IF(A2650="","",IF(MIN(H2650,MAX(J2650:K2650))=0,"",MIN(H2650,MAX(J2650:K2650))))</f>
        <v/>
      </c>
      <c r="G2650" s="74" t="n"/>
      <c r="H2650" s="49">
        <f>IF(M2650="","",IFERROR(ROUND(AVERAGE(T2650+M2650*{7,8,9,10,11})/1.21,4),""))</f>
        <v/>
      </c>
      <c r="I2650" s="76" t="n"/>
      <c r="J2650" s="77" t="n"/>
      <c r="K2650" s="74" t="n"/>
      <c r="L2650" s="78" t="n"/>
      <c r="M2650" s="77" t="n"/>
      <c r="N2650" s="53">
        <f>IF(M2650="","",IFERROR(M2650/I2650,""))</f>
        <v/>
      </c>
      <c r="O2650" s="50">
        <f>IF(A2650="","",IFERROR((IF(G2650="",I2650,G2650)-T2650)/M2650,""))</f>
        <v/>
      </c>
      <c r="P2650" s="50">
        <f>IFERROR((I2650/T2650-1)/N2650,"")</f>
        <v/>
      </c>
      <c r="Q2650" s="46">
        <f>IF(OR(T2650="",I2650&lt;T2650),"",IFERROR(R2650/IF(G2650="",I2650,G2650)-1,""))</f>
        <v/>
      </c>
      <c r="R2650" s="48">
        <f>IF($M2650="","",MAX(IF($G2650="",$I2650,$G2650)*(1/1.1),IF($G2650="",$I2650,$G2650)+(R$2*$M2650)))</f>
        <v/>
      </c>
      <c r="S2650" s="49">
        <f>IF($M2650="","",MAX(IF($G2650="",$I2650,$G2650)*(1/1.1),IF($G2650="",$I2650,$G2650)+(S$2*$M2650)))</f>
        <v/>
      </c>
      <c r="T2650" s="82" t="n"/>
      <c r="U2650" s="47">
        <f>IF(OR($M2650="",$T2650=""),"",$T2650+(U$2*$M2650))</f>
        <v/>
      </c>
      <c r="V2650" s="48">
        <f>IF(OR($M2650="",$T2650=""),"",$T2650+(V$2*$M2650))</f>
        <v/>
      </c>
      <c r="W2650" s="48">
        <f>IF(OR($M2650="",$T2650=""),"",$T2650+(W$2*$M2650))</f>
        <v/>
      </c>
      <c r="X2650" s="49">
        <f>IF(OR($M2650="",$T2650=""),"",$T2650+(X$2*$M2650))</f>
        <v/>
      </c>
      <c r="Y2650" s="47">
        <f>IF(OR($M2650="",$T2650=""),"",$T2650+(Y$2*$M2650))</f>
        <v/>
      </c>
      <c r="Z2650" s="49">
        <f>IF(OR($M2650="",$T2650=""),"",$T2650+(Z$2*$M2650))</f>
        <v/>
      </c>
      <c r="AA2650" s="51">
        <f>IF(OR($M2650="",$T2650=""),"",$T2650+(AA$2*$M2650))</f>
        <v/>
      </c>
      <c r="AB2650" s="48">
        <f>IF(OR($M2650="",$T2650=""),"",$T2650+(AB$2*$M2650))</f>
        <v/>
      </c>
      <c r="AC2650" s="48">
        <f>IF(OR($M2650="",$T2650=""),"",$T2650+(AC$2*$M2650))</f>
        <v/>
      </c>
      <c r="AD2650" s="48">
        <f>IF(OR($M2650="",$T2650=""),"",$T2650+(AD$2*$M2650))</f>
        <v/>
      </c>
      <c r="AE2650" s="49">
        <f>IF(OR($M2650="",$T2650=""),"",$T2650+(AE$2*$M2650))</f>
        <v/>
      </c>
      <c r="AF2650" s="52">
        <f>IF(OR(T2650="",I2650&lt;T2650),"",IFERROR(AVERAGE(T2650+M2650*{7,8,9,10,11})/IF(G2650="",I2650,G2650)-1,""))</f>
        <v/>
      </c>
      <c r="AG2650" s="55">
        <f>IF(OR(T2650="",I2650&lt;T2650),"",IFERROR(AF2650/-(R2650/IF(G2650="",I2650,G2650)-1),""))</f>
        <v/>
      </c>
      <c r="AH2650" s="94" t="n"/>
      <c r="AI2650" s="94" t="n"/>
      <c r="AJ2650" s="94" t="n"/>
      <c r="AK2650" s="94" t="n"/>
      <c r="AL2650" s="84" t="n"/>
    </row>
    <row r="2651">
      <c r="A2651" s="64" t="n"/>
      <c r="B2651" s="65" t="n"/>
      <c r="C2651" s="66" t="n"/>
      <c r="D2651" s="67" t="n"/>
      <c r="E2651" s="68" t="n"/>
      <c r="F2651" s="47">
        <f>IF(A2651="","",IF(MIN(H2651,MAX(J2651:K2651))=0,"",MIN(H2651,MAX(J2651:K2651))))</f>
        <v/>
      </c>
      <c r="G2651" s="74" t="n"/>
      <c r="H2651" s="49">
        <f>IF(M2651="","",IFERROR(ROUND(AVERAGE(T2651+M2651*{7,8,9,10,11})/1.21,4),""))</f>
        <v/>
      </c>
      <c r="I2651" s="76" t="n"/>
      <c r="J2651" s="77" t="n"/>
      <c r="K2651" s="74" t="n"/>
      <c r="L2651" s="78" t="n"/>
      <c r="M2651" s="77" t="n"/>
      <c r="N2651" s="53">
        <f>IF(M2651="","",IFERROR(M2651/I2651,""))</f>
        <v/>
      </c>
      <c r="O2651" s="50">
        <f>IF(A2651="","",IFERROR((IF(G2651="",I2651,G2651)-T2651)/M2651,""))</f>
        <v/>
      </c>
      <c r="P2651" s="50">
        <f>IFERROR((I2651/T2651-1)/N2651,"")</f>
        <v/>
      </c>
      <c r="Q2651" s="46">
        <f>IF(OR(T2651="",I2651&lt;T2651),"",IFERROR(R2651/IF(G2651="",I2651,G2651)-1,""))</f>
        <v/>
      </c>
      <c r="R2651" s="48">
        <f>IF($M2651="","",MAX(IF($G2651="",$I2651,$G2651)*(1/1.1),IF($G2651="",$I2651,$G2651)+(R$2*$M2651)))</f>
        <v/>
      </c>
      <c r="S2651" s="49">
        <f>IF($M2651="","",MAX(IF($G2651="",$I2651,$G2651)*(1/1.1),IF($G2651="",$I2651,$G2651)+(S$2*$M2651)))</f>
        <v/>
      </c>
      <c r="T2651" s="82" t="n"/>
      <c r="U2651" s="47">
        <f>IF(OR($M2651="",$T2651=""),"",$T2651+(U$2*$M2651))</f>
        <v/>
      </c>
      <c r="V2651" s="48">
        <f>IF(OR($M2651="",$T2651=""),"",$T2651+(V$2*$M2651))</f>
        <v/>
      </c>
      <c r="W2651" s="48">
        <f>IF(OR($M2651="",$T2651=""),"",$T2651+(W$2*$M2651))</f>
        <v/>
      </c>
      <c r="X2651" s="49">
        <f>IF(OR($M2651="",$T2651=""),"",$T2651+(X$2*$M2651))</f>
        <v/>
      </c>
      <c r="Y2651" s="47">
        <f>IF(OR($M2651="",$T2651=""),"",$T2651+(Y$2*$M2651))</f>
        <v/>
      </c>
      <c r="Z2651" s="49">
        <f>IF(OR($M2651="",$T2651=""),"",$T2651+(Z$2*$M2651))</f>
        <v/>
      </c>
      <c r="AA2651" s="51">
        <f>IF(OR($M2651="",$T2651=""),"",$T2651+(AA$2*$M2651))</f>
        <v/>
      </c>
      <c r="AB2651" s="48">
        <f>IF(OR($M2651="",$T2651=""),"",$T2651+(AB$2*$M2651))</f>
        <v/>
      </c>
      <c r="AC2651" s="48">
        <f>IF(OR($M2651="",$T2651=""),"",$T2651+(AC$2*$M2651))</f>
        <v/>
      </c>
      <c r="AD2651" s="48">
        <f>IF(OR($M2651="",$T2651=""),"",$T2651+(AD$2*$M2651))</f>
        <v/>
      </c>
      <c r="AE2651" s="49">
        <f>IF(OR($M2651="",$T2651=""),"",$T2651+(AE$2*$M2651))</f>
        <v/>
      </c>
      <c r="AF2651" s="52">
        <f>IF(OR(T2651="",I2651&lt;T2651),"",IFERROR(AVERAGE(T2651+M2651*{7,8,9,10,11})/IF(G2651="",I2651,G2651)-1,""))</f>
        <v/>
      </c>
      <c r="AG2651" s="55">
        <f>IF(OR(T2651="",I2651&lt;T2651),"",IFERROR(AF2651/-(R2651/IF(G2651="",I2651,G2651)-1),""))</f>
        <v/>
      </c>
      <c r="AH2651" s="94" t="n"/>
      <c r="AI2651" s="94" t="n"/>
      <c r="AJ2651" s="94" t="n"/>
      <c r="AK2651" s="94" t="n"/>
      <c r="AL2651" s="84" t="n"/>
    </row>
    <row r="2652">
      <c r="A2652" s="64" t="n"/>
      <c r="B2652" s="65" t="n"/>
      <c r="C2652" s="66" t="n"/>
      <c r="D2652" s="67" t="n"/>
      <c r="E2652" s="68" t="n"/>
      <c r="F2652" s="47">
        <f>IF(A2652="","",IF(MIN(H2652,MAX(J2652:K2652))=0,"",MIN(H2652,MAX(J2652:K2652))))</f>
        <v/>
      </c>
      <c r="G2652" s="74" t="n"/>
      <c r="H2652" s="49">
        <f>IF(M2652="","",IFERROR(ROUND(AVERAGE(T2652+M2652*{7,8,9,10,11})/1.21,4),""))</f>
        <v/>
      </c>
      <c r="I2652" s="76" t="n"/>
      <c r="J2652" s="77" t="n"/>
      <c r="K2652" s="74" t="n"/>
      <c r="L2652" s="78" t="n"/>
      <c r="M2652" s="77" t="n"/>
      <c r="N2652" s="53">
        <f>IF(M2652="","",IFERROR(M2652/I2652,""))</f>
        <v/>
      </c>
      <c r="O2652" s="50">
        <f>IF(A2652="","",IFERROR((IF(G2652="",I2652,G2652)-T2652)/M2652,""))</f>
        <v/>
      </c>
      <c r="P2652" s="50">
        <f>IFERROR((I2652/T2652-1)/N2652,"")</f>
        <v/>
      </c>
      <c r="Q2652" s="46">
        <f>IF(OR(T2652="",I2652&lt;T2652),"",IFERROR(R2652/IF(G2652="",I2652,G2652)-1,""))</f>
        <v/>
      </c>
      <c r="R2652" s="48">
        <f>IF($M2652="","",MAX(IF($G2652="",$I2652,$G2652)*(1/1.1),IF($G2652="",$I2652,$G2652)+(R$2*$M2652)))</f>
        <v/>
      </c>
      <c r="S2652" s="49">
        <f>IF($M2652="","",MAX(IF($G2652="",$I2652,$G2652)*(1/1.1),IF($G2652="",$I2652,$G2652)+(S$2*$M2652)))</f>
        <v/>
      </c>
      <c r="T2652" s="82" t="n"/>
      <c r="U2652" s="47">
        <f>IF(OR($M2652="",$T2652=""),"",$T2652+(U$2*$M2652))</f>
        <v/>
      </c>
      <c r="V2652" s="48">
        <f>IF(OR($M2652="",$T2652=""),"",$T2652+(V$2*$M2652))</f>
        <v/>
      </c>
      <c r="W2652" s="48">
        <f>IF(OR($M2652="",$T2652=""),"",$T2652+(W$2*$M2652))</f>
        <v/>
      </c>
      <c r="X2652" s="49">
        <f>IF(OR($M2652="",$T2652=""),"",$T2652+(X$2*$M2652))</f>
        <v/>
      </c>
      <c r="Y2652" s="47">
        <f>IF(OR($M2652="",$T2652=""),"",$T2652+(Y$2*$M2652))</f>
        <v/>
      </c>
      <c r="Z2652" s="49">
        <f>IF(OR($M2652="",$T2652=""),"",$T2652+(Z$2*$M2652))</f>
        <v/>
      </c>
      <c r="AA2652" s="51">
        <f>IF(OR($M2652="",$T2652=""),"",$T2652+(AA$2*$M2652))</f>
        <v/>
      </c>
      <c r="AB2652" s="48">
        <f>IF(OR($M2652="",$T2652=""),"",$T2652+(AB$2*$M2652))</f>
        <v/>
      </c>
      <c r="AC2652" s="48">
        <f>IF(OR($M2652="",$T2652=""),"",$T2652+(AC$2*$M2652))</f>
        <v/>
      </c>
      <c r="AD2652" s="48">
        <f>IF(OR($M2652="",$T2652=""),"",$T2652+(AD$2*$M2652))</f>
        <v/>
      </c>
      <c r="AE2652" s="49">
        <f>IF(OR($M2652="",$T2652=""),"",$T2652+(AE$2*$M2652))</f>
        <v/>
      </c>
      <c r="AF2652" s="52">
        <f>IF(OR(T2652="",I2652&lt;T2652),"",IFERROR(AVERAGE(T2652+M2652*{7,8,9,10,11})/IF(G2652="",I2652,G2652)-1,""))</f>
        <v/>
      </c>
      <c r="AG2652" s="55">
        <f>IF(OR(T2652="",I2652&lt;T2652),"",IFERROR(AF2652/-(R2652/IF(G2652="",I2652,G2652)-1),""))</f>
        <v/>
      </c>
      <c r="AH2652" s="94" t="n"/>
      <c r="AI2652" s="94" t="n"/>
      <c r="AJ2652" s="94" t="n"/>
      <c r="AK2652" s="94" t="n"/>
      <c r="AL2652" s="84" t="n"/>
    </row>
    <row r="2653">
      <c r="A2653" s="64" t="n"/>
      <c r="B2653" s="65" t="n"/>
      <c r="C2653" s="66" t="n"/>
      <c r="D2653" s="67" t="n"/>
      <c r="E2653" s="68" t="n"/>
      <c r="F2653" s="47">
        <f>IF(A2653="","",IF(MIN(H2653,MAX(J2653:K2653))=0,"",MIN(H2653,MAX(J2653:K2653))))</f>
        <v/>
      </c>
      <c r="G2653" s="74" t="n"/>
      <c r="H2653" s="49">
        <f>IF(M2653="","",IFERROR(ROUND(AVERAGE(T2653+M2653*{7,8,9,10,11})/1.21,4),""))</f>
        <v/>
      </c>
      <c r="I2653" s="76" t="n"/>
      <c r="J2653" s="77" t="n"/>
      <c r="K2653" s="74" t="n"/>
      <c r="L2653" s="78" t="n"/>
      <c r="M2653" s="77" t="n"/>
      <c r="N2653" s="53">
        <f>IF(M2653="","",IFERROR(M2653/I2653,""))</f>
        <v/>
      </c>
      <c r="O2653" s="50">
        <f>IF(A2653="","",IFERROR((IF(G2653="",I2653,G2653)-T2653)/M2653,""))</f>
        <v/>
      </c>
      <c r="P2653" s="50">
        <f>IFERROR((I2653/T2653-1)/N2653,"")</f>
        <v/>
      </c>
      <c r="Q2653" s="46">
        <f>IF(OR(T2653="",I2653&lt;T2653),"",IFERROR(R2653/IF(G2653="",I2653,G2653)-1,""))</f>
        <v/>
      </c>
      <c r="R2653" s="48">
        <f>IF($M2653="","",MAX(IF($G2653="",$I2653,$G2653)*(1/1.1),IF($G2653="",$I2653,$G2653)+(R$2*$M2653)))</f>
        <v/>
      </c>
      <c r="S2653" s="49">
        <f>IF($M2653="","",MAX(IF($G2653="",$I2653,$G2653)*(1/1.1),IF($G2653="",$I2653,$G2653)+(S$2*$M2653)))</f>
        <v/>
      </c>
      <c r="T2653" s="82" t="n"/>
      <c r="U2653" s="47">
        <f>IF(OR($M2653="",$T2653=""),"",$T2653+(U$2*$M2653))</f>
        <v/>
      </c>
      <c r="V2653" s="48">
        <f>IF(OR($M2653="",$T2653=""),"",$T2653+(V$2*$M2653))</f>
        <v/>
      </c>
      <c r="W2653" s="48">
        <f>IF(OR($M2653="",$T2653=""),"",$T2653+(W$2*$M2653))</f>
        <v/>
      </c>
      <c r="X2653" s="49">
        <f>IF(OR($M2653="",$T2653=""),"",$T2653+(X$2*$M2653))</f>
        <v/>
      </c>
      <c r="Y2653" s="47">
        <f>IF(OR($M2653="",$T2653=""),"",$T2653+(Y$2*$M2653))</f>
        <v/>
      </c>
      <c r="Z2653" s="49">
        <f>IF(OR($M2653="",$T2653=""),"",$T2653+(Z$2*$M2653))</f>
        <v/>
      </c>
      <c r="AA2653" s="51">
        <f>IF(OR($M2653="",$T2653=""),"",$T2653+(AA$2*$M2653))</f>
        <v/>
      </c>
      <c r="AB2653" s="48">
        <f>IF(OR($M2653="",$T2653=""),"",$T2653+(AB$2*$M2653))</f>
        <v/>
      </c>
      <c r="AC2653" s="48">
        <f>IF(OR($M2653="",$T2653=""),"",$T2653+(AC$2*$M2653))</f>
        <v/>
      </c>
      <c r="AD2653" s="48">
        <f>IF(OR($M2653="",$T2653=""),"",$T2653+(AD$2*$M2653))</f>
        <v/>
      </c>
      <c r="AE2653" s="49">
        <f>IF(OR($M2653="",$T2653=""),"",$T2653+(AE$2*$M2653))</f>
        <v/>
      </c>
      <c r="AF2653" s="52">
        <f>IF(OR(T2653="",I2653&lt;T2653),"",IFERROR(AVERAGE(T2653+M2653*{7,8,9,10,11})/IF(G2653="",I2653,G2653)-1,""))</f>
        <v/>
      </c>
      <c r="AG2653" s="55">
        <f>IF(OR(T2653="",I2653&lt;T2653),"",IFERROR(AF2653/-(R2653/IF(G2653="",I2653,G2653)-1),""))</f>
        <v/>
      </c>
      <c r="AH2653" s="94" t="n"/>
      <c r="AI2653" s="94" t="n"/>
      <c r="AJ2653" s="94" t="n"/>
      <c r="AK2653" s="94" t="n"/>
      <c r="AL2653" s="84" t="n"/>
    </row>
    <row r="2654">
      <c r="A2654" s="64" t="n"/>
      <c r="B2654" s="65" t="n"/>
      <c r="C2654" s="66" t="n"/>
      <c r="D2654" s="67" t="n"/>
      <c r="E2654" s="68" t="n"/>
      <c r="F2654" s="47">
        <f>IF(A2654="","",IF(MIN(H2654,MAX(J2654:K2654))=0,"",MIN(H2654,MAX(J2654:K2654))))</f>
        <v/>
      </c>
      <c r="G2654" s="74" t="n"/>
      <c r="H2654" s="49">
        <f>IF(M2654="","",IFERROR(ROUND(AVERAGE(T2654+M2654*{7,8,9,10,11})/1.21,4),""))</f>
        <v/>
      </c>
      <c r="I2654" s="76" t="n"/>
      <c r="J2654" s="77" t="n"/>
      <c r="K2654" s="74" t="n"/>
      <c r="L2654" s="78" t="n"/>
      <c r="M2654" s="77" t="n"/>
      <c r="N2654" s="53">
        <f>IF(M2654="","",IFERROR(M2654/I2654,""))</f>
        <v/>
      </c>
      <c r="O2654" s="50">
        <f>IF(A2654="","",IFERROR((IF(G2654="",I2654,G2654)-T2654)/M2654,""))</f>
        <v/>
      </c>
      <c r="P2654" s="50">
        <f>IFERROR((I2654/T2654-1)/N2654,"")</f>
        <v/>
      </c>
      <c r="Q2654" s="46">
        <f>IF(OR(T2654="",I2654&lt;T2654),"",IFERROR(R2654/IF(G2654="",I2654,G2654)-1,""))</f>
        <v/>
      </c>
      <c r="R2654" s="48">
        <f>IF($M2654="","",MAX(IF($G2654="",$I2654,$G2654)*(1/1.1),IF($G2654="",$I2654,$G2654)+(R$2*$M2654)))</f>
        <v/>
      </c>
      <c r="S2654" s="49">
        <f>IF($M2654="","",MAX(IF($G2654="",$I2654,$G2654)*(1/1.1),IF($G2654="",$I2654,$G2654)+(S$2*$M2654)))</f>
        <v/>
      </c>
      <c r="T2654" s="82" t="n"/>
      <c r="U2654" s="47">
        <f>IF(OR($M2654="",$T2654=""),"",$T2654+(U$2*$M2654))</f>
        <v/>
      </c>
      <c r="V2654" s="48">
        <f>IF(OR($M2654="",$T2654=""),"",$T2654+(V$2*$M2654))</f>
        <v/>
      </c>
      <c r="W2654" s="48">
        <f>IF(OR($M2654="",$T2654=""),"",$T2654+(W$2*$M2654))</f>
        <v/>
      </c>
      <c r="X2654" s="49">
        <f>IF(OR($M2654="",$T2654=""),"",$T2654+(X$2*$M2654))</f>
        <v/>
      </c>
      <c r="Y2654" s="47">
        <f>IF(OR($M2654="",$T2654=""),"",$T2654+(Y$2*$M2654))</f>
        <v/>
      </c>
      <c r="Z2654" s="49">
        <f>IF(OR($M2654="",$T2654=""),"",$T2654+(Z$2*$M2654))</f>
        <v/>
      </c>
      <c r="AA2654" s="51">
        <f>IF(OR($M2654="",$T2654=""),"",$T2654+(AA$2*$M2654))</f>
        <v/>
      </c>
      <c r="AB2654" s="48">
        <f>IF(OR($M2654="",$T2654=""),"",$T2654+(AB$2*$M2654))</f>
        <v/>
      </c>
      <c r="AC2654" s="48">
        <f>IF(OR($M2654="",$T2654=""),"",$T2654+(AC$2*$M2654))</f>
        <v/>
      </c>
      <c r="AD2654" s="48">
        <f>IF(OR($M2654="",$T2654=""),"",$T2654+(AD$2*$M2654))</f>
        <v/>
      </c>
      <c r="AE2654" s="49">
        <f>IF(OR($M2654="",$T2654=""),"",$T2654+(AE$2*$M2654))</f>
        <v/>
      </c>
      <c r="AF2654" s="52">
        <f>IF(OR(T2654="",I2654&lt;T2654),"",IFERROR(AVERAGE(T2654+M2654*{7,8,9,10,11})/IF(G2654="",I2654,G2654)-1,""))</f>
        <v/>
      </c>
      <c r="AG2654" s="55">
        <f>IF(OR(T2654="",I2654&lt;T2654),"",IFERROR(AF2654/-(R2654/IF(G2654="",I2654,G2654)-1),""))</f>
        <v/>
      </c>
      <c r="AH2654" s="94" t="n"/>
      <c r="AI2654" s="94" t="n"/>
      <c r="AJ2654" s="94" t="n"/>
      <c r="AK2654" s="94" t="n"/>
      <c r="AL2654" s="84" t="n"/>
    </row>
    <row r="2655">
      <c r="A2655" s="64" t="n"/>
      <c r="B2655" s="65" t="n"/>
      <c r="C2655" s="66" t="n"/>
      <c r="D2655" s="67" t="n"/>
      <c r="E2655" s="68" t="n"/>
      <c r="F2655" s="47">
        <f>IF(A2655="","",IF(MIN(H2655,MAX(J2655:K2655))=0,"",MIN(H2655,MAX(J2655:K2655))))</f>
        <v/>
      </c>
      <c r="G2655" s="74" t="n"/>
      <c r="H2655" s="49">
        <f>IF(M2655="","",IFERROR(ROUND(AVERAGE(T2655+M2655*{7,8,9,10,11})/1.21,4),""))</f>
        <v/>
      </c>
      <c r="I2655" s="76" t="n"/>
      <c r="J2655" s="77" t="n"/>
      <c r="K2655" s="74" t="n"/>
      <c r="L2655" s="78" t="n"/>
      <c r="M2655" s="77" t="n"/>
      <c r="N2655" s="53">
        <f>IF(M2655="","",IFERROR(M2655/I2655,""))</f>
        <v/>
      </c>
      <c r="O2655" s="50">
        <f>IF(A2655="","",IFERROR((IF(G2655="",I2655,G2655)-T2655)/M2655,""))</f>
        <v/>
      </c>
      <c r="P2655" s="50">
        <f>IFERROR((I2655/T2655-1)/N2655,"")</f>
        <v/>
      </c>
      <c r="Q2655" s="46">
        <f>IF(OR(T2655="",I2655&lt;T2655),"",IFERROR(R2655/IF(G2655="",I2655,G2655)-1,""))</f>
        <v/>
      </c>
      <c r="R2655" s="48">
        <f>IF($M2655="","",MAX(IF($G2655="",$I2655,$G2655)*(1/1.1),IF($G2655="",$I2655,$G2655)+(R$2*$M2655)))</f>
        <v/>
      </c>
      <c r="S2655" s="49">
        <f>IF($M2655="","",MAX(IF($G2655="",$I2655,$G2655)*(1/1.1),IF($G2655="",$I2655,$G2655)+(S$2*$M2655)))</f>
        <v/>
      </c>
      <c r="T2655" s="82" t="n"/>
      <c r="U2655" s="47">
        <f>IF(OR($M2655="",$T2655=""),"",$T2655+(U$2*$M2655))</f>
        <v/>
      </c>
      <c r="V2655" s="48">
        <f>IF(OR($M2655="",$T2655=""),"",$T2655+(V$2*$M2655))</f>
        <v/>
      </c>
      <c r="W2655" s="48">
        <f>IF(OR($M2655="",$T2655=""),"",$T2655+(W$2*$M2655))</f>
        <v/>
      </c>
      <c r="X2655" s="49">
        <f>IF(OR($M2655="",$T2655=""),"",$T2655+(X$2*$M2655))</f>
        <v/>
      </c>
      <c r="Y2655" s="47">
        <f>IF(OR($M2655="",$T2655=""),"",$T2655+(Y$2*$M2655))</f>
        <v/>
      </c>
      <c r="Z2655" s="49">
        <f>IF(OR($M2655="",$T2655=""),"",$T2655+(Z$2*$M2655))</f>
        <v/>
      </c>
      <c r="AA2655" s="51">
        <f>IF(OR($M2655="",$T2655=""),"",$T2655+(AA$2*$M2655))</f>
        <v/>
      </c>
      <c r="AB2655" s="48">
        <f>IF(OR($M2655="",$T2655=""),"",$T2655+(AB$2*$M2655))</f>
        <v/>
      </c>
      <c r="AC2655" s="48">
        <f>IF(OR($M2655="",$T2655=""),"",$T2655+(AC$2*$M2655))</f>
        <v/>
      </c>
      <c r="AD2655" s="48">
        <f>IF(OR($M2655="",$T2655=""),"",$T2655+(AD$2*$M2655))</f>
        <v/>
      </c>
      <c r="AE2655" s="49">
        <f>IF(OR($M2655="",$T2655=""),"",$T2655+(AE$2*$M2655))</f>
        <v/>
      </c>
      <c r="AF2655" s="52">
        <f>IF(OR(T2655="",I2655&lt;T2655),"",IFERROR(AVERAGE(T2655+M2655*{7,8,9,10,11})/IF(G2655="",I2655,G2655)-1,""))</f>
        <v/>
      </c>
      <c r="AG2655" s="55">
        <f>IF(OR(T2655="",I2655&lt;T2655),"",IFERROR(AF2655/-(R2655/IF(G2655="",I2655,G2655)-1),""))</f>
        <v/>
      </c>
      <c r="AH2655" s="94" t="n"/>
      <c r="AI2655" s="94" t="n"/>
      <c r="AJ2655" s="94" t="n"/>
      <c r="AK2655" s="94" t="n"/>
      <c r="AL2655" s="84" t="n"/>
    </row>
    <row r="2656">
      <c r="A2656" s="64" t="n"/>
      <c r="B2656" s="65" t="n"/>
      <c r="C2656" s="66" t="n"/>
      <c r="D2656" s="67" t="n"/>
      <c r="E2656" s="68" t="n"/>
      <c r="F2656" s="47">
        <f>IF(A2656="","",IF(MIN(H2656,MAX(J2656:K2656))=0,"",MIN(H2656,MAX(J2656:K2656))))</f>
        <v/>
      </c>
      <c r="G2656" s="74" t="n"/>
      <c r="H2656" s="49">
        <f>IF(M2656="","",IFERROR(ROUND(AVERAGE(T2656+M2656*{7,8,9,10,11})/1.21,4),""))</f>
        <v/>
      </c>
      <c r="I2656" s="76" t="n"/>
      <c r="J2656" s="77" t="n"/>
      <c r="K2656" s="74" t="n"/>
      <c r="L2656" s="78" t="n"/>
      <c r="M2656" s="77" t="n"/>
      <c r="N2656" s="53">
        <f>IF(M2656="","",IFERROR(M2656/I2656,""))</f>
        <v/>
      </c>
      <c r="O2656" s="50">
        <f>IF(A2656="","",IFERROR((IF(G2656="",I2656,G2656)-T2656)/M2656,""))</f>
        <v/>
      </c>
      <c r="P2656" s="50">
        <f>IFERROR((I2656/T2656-1)/N2656,"")</f>
        <v/>
      </c>
      <c r="Q2656" s="46">
        <f>IF(OR(T2656="",I2656&lt;T2656),"",IFERROR(R2656/IF(G2656="",I2656,G2656)-1,""))</f>
        <v/>
      </c>
      <c r="R2656" s="48">
        <f>IF($M2656="","",MAX(IF($G2656="",$I2656,$G2656)*(1/1.1),IF($G2656="",$I2656,$G2656)+(R$2*$M2656)))</f>
        <v/>
      </c>
      <c r="S2656" s="49">
        <f>IF($M2656="","",MAX(IF($G2656="",$I2656,$G2656)*(1/1.1),IF($G2656="",$I2656,$G2656)+(S$2*$M2656)))</f>
        <v/>
      </c>
      <c r="T2656" s="82" t="n"/>
      <c r="U2656" s="47">
        <f>IF(OR($M2656="",$T2656=""),"",$T2656+(U$2*$M2656))</f>
        <v/>
      </c>
      <c r="V2656" s="48">
        <f>IF(OR($M2656="",$T2656=""),"",$T2656+(V$2*$M2656))</f>
        <v/>
      </c>
      <c r="W2656" s="48">
        <f>IF(OR($M2656="",$T2656=""),"",$T2656+(W$2*$M2656))</f>
        <v/>
      </c>
      <c r="X2656" s="49">
        <f>IF(OR($M2656="",$T2656=""),"",$T2656+(X$2*$M2656))</f>
        <v/>
      </c>
      <c r="Y2656" s="47">
        <f>IF(OR($M2656="",$T2656=""),"",$T2656+(Y$2*$M2656))</f>
        <v/>
      </c>
      <c r="Z2656" s="49">
        <f>IF(OR($M2656="",$T2656=""),"",$T2656+(Z$2*$M2656))</f>
        <v/>
      </c>
      <c r="AA2656" s="51">
        <f>IF(OR($M2656="",$T2656=""),"",$T2656+(AA$2*$M2656))</f>
        <v/>
      </c>
      <c r="AB2656" s="48">
        <f>IF(OR($M2656="",$T2656=""),"",$T2656+(AB$2*$M2656))</f>
        <v/>
      </c>
      <c r="AC2656" s="48">
        <f>IF(OR($M2656="",$T2656=""),"",$T2656+(AC$2*$M2656))</f>
        <v/>
      </c>
      <c r="AD2656" s="48">
        <f>IF(OR($M2656="",$T2656=""),"",$T2656+(AD$2*$M2656))</f>
        <v/>
      </c>
      <c r="AE2656" s="49">
        <f>IF(OR($M2656="",$T2656=""),"",$T2656+(AE$2*$M2656))</f>
        <v/>
      </c>
      <c r="AF2656" s="52">
        <f>IF(OR(T2656="",I2656&lt;T2656),"",IFERROR(AVERAGE(T2656+M2656*{7,8,9,10,11})/IF(G2656="",I2656,G2656)-1,""))</f>
        <v/>
      </c>
      <c r="AG2656" s="55">
        <f>IF(OR(T2656="",I2656&lt;T2656),"",IFERROR(AF2656/-(R2656/IF(G2656="",I2656,G2656)-1),""))</f>
        <v/>
      </c>
      <c r="AH2656" s="94" t="n"/>
      <c r="AI2656" s="94" t="n"/>
      <c r="AJ2656" s="94" t="n"/>
      <c r="AK2656" s="94" t="n"/>
      <c r="AL2656" s="84" t="n"/>
    </row>
    <row r="2657">
      <c r="A2657" s="64" t="n"/>
      <c r="B2657" s="65" t="n"/>
      <c r="C2657" s="66" t="n"/>
      <c r="D2657" s="67" t="n"/>
      <c r="E2657" s="68" t="n"/>
      <c r="F2657" s="47">
        <f>IF(A2657="","",IF(MIN(H2657,MAX(J2657:K2657))=0,"",MIN(H2657,MAX(J2657:K2657))))</f>
        <v/>
      </c>
      <c r="G2657" s="74" t="n"/>
      <c r="H2657" s="49">
        <f>IF(M2657="","",IFERROR(ROUND(AVERAGE(T2657+M2657*{7,8,9,10,11})/1.21,4),""))</f>
        <v/>
      </c>
      <c r="I2657" s="76" t="n"/>
      <c r="J2657" s="77" t="n"/>
      <c r="K2657" s="74" t="n"/>
      <c r="L2657" s="78" t="n"/>
      <c r="M2657" s="77" t="n"/>
      <c r="N2657" s="53">
        <f>IF(M2657="","",IFERROR(M2657/I2657,""))</f>
        <v/>
      </c>
      <c r="O2657" s="50">
        <f>IF(A2657="","",IFERROR((IF(G2657="",I2657,G2657)-T2657)/M2657,""))</f>
        <v/>
      </c>
      <c r="P2657" s="50">
        <f>IFERROR((I2657/T2657-1)/N2657,"")</f>
        <v/>
      </c>
      <c r="Q2657" s="46">
        <f>IF(OR(T2657="",I2657&lt;T2657),"",IFERROR(R2657/IF(G2657="",I2657,G2657)-1,""))</f>
        <v/>
      </c>
      <c r="R2657" s="48">
        <f>IF($M2657="","",MAX(IF($G2657="",$I2657,$G2657)*(1/1.1),IF($G2657="",$I2657,$G2657)+(R$2*$M2657)))</f>
        <v/>
      </c>
      <c r="S2657" s="49">
        <f>IF($M2657="","",MAX(IF($G2657="",$I2657,$G2657)*(1/1.1),IF($G2657="",$I2657,$G2657)+(S$2*$M2657)))</f>
        <v/>
      </c>
      <c r="T2657" s="82" t="n"/>
      <c r="U2657" s="47">
        <f>IF(OR($M2657="",$T2657=""),"",$T2657+(U$2*$M2657))</f>
        <v/>
      </c>
      <c r="V2657" s="48">
        <f>IF(OR($M2657="",$T2657=""),"",$T2657+(V$2*$M2657))</f>
        <v/>
      </c>
      <c r="W2657" s="48">
        <f>IF(OR($M2657="",$T2657=""),"",$T2657+(W$2*$M2657))</f>
        <v/>
      </c>
      <c r="X2657" s="49">
        <f>IF(OR($M2657="",$T2657=""),"",$T2657+(X$2*$M2657))</f>
        <v/>
      </c>
      <c r="Y2657" s="47">
        <f>IF(OR($M2657="",$T2657=""),"",$T2657+(Y$2*$M2657))</f>
        <v/>
      </c>
      <c r="Z2657" s="49">
        <f>IF(OR($M2657="",$T2657=""),"",$T2657+(Z$2*$M2657))</f>
        <v/>
      </c>
      <c r="AA2657" s="51">
        <f>IF(OR($M2657="",$T2657=""),"",$T2657+(AA$2*$M2657))</f>
        <v/>
      </c>
      <c r="AB2657" s="48">
        <f>IF(OR($M2657="",$T2657=""),"",$T2657+(AB$2*$M2657))</f>
        <v/>
      </c>
      <c r="AC2657" s="48">
        <f>IF(OR($M2657="",$T2657=""),"",$T2657+(AC$2*$M2657))</f>
        <v/>
      </c>
      <c r="AD2657" s="48">
        <f>IF(OR($M2657="",$T2657=""),"",$T2657+(AD$2*$M2657))</f>
        <v/>
      </c>
      <c r="AE2657" s="49">
        <f>IF(OR($M2657="",$T2657=""),"",$T2657+(AE$2*$M2657))</f>
        <v/>
      </c>
      <c r="AF2657" s="52">
        <f>IF(OR(T2657="",I2657&lt;T2657),"",IFERROR(AVERAGE(T2657+M2657*{7,8,9,10,11})/IF(G2657="",I2657,G2657)-1,""))</f>
        <v/>
      </c>
      <c r="AG2657" s="55">
        <f>IF(OR(T2657="",I2657&lt;T2657),"",IFERROR(AF2657/-(R2657/IF(G2657="",I2657,G2657)-1),""))</f>
        <v/>
      </c>
      <c r="AH2657" s="94" t="n"/>
      <c r="AI2657" s="94" t="n"/>
      <c r="AJ2657" s="94" t="n"/>
      <c r="AK2657" s="94" t="n"/>
      <c r="AL2657" s="84" t="n"/>
    </row>
    <row r="2658">
      <c r="A2658" s="64" t="n"/>
      <c r="B2658" s="65" t="n"/>
      <c r="C2658" s="66" t="n"/>
      <c r="D2658" s="67" t="n"/>
      <c r="E2658" s="68" t="n"/>
      <c r="F2658" s="47">
        <f>IF(A2658="","",IF(MIN(H2658,MAX(J2658:K2658))=0,"",MIN(H2658,MAX(J2658:K2658))))</f>
        <v/>
      </c>
      <c r="G2658" s="74" t="n"/>
      <c r="H2658" s="49">
        <f>IF(M2658="","",IFERROR(ROUND(AVERAGE(T2658+M2658*{7,8,9,10,11})/1.21,4),""))</f>
        <v/>
      </c>
      <c r="I2658" s="76" t="n"/>
      <c r="J2658" s="77" t="n"/>
      <c r="K2658" s="74" t="n"/>
      <c r="L2658" s="78" t="n"/>
      <c r="M2658" s="77" t="n"/>
      <c r="N2658" s="53">
        <f>IF(M2658="","",IFERROR(M2658/I2658,""))</f>
        <v/>
      </c>
      <c r="O2658" s="50">
        <f>IF(A2658="","",IFERROR((IF(G2658="",I2658,G2658)-T2658)/M2658,""))</f>
        <v/>
      </c>
      <c r="P2658" s="50">
        <f>IFERROR((I2658/T2658-1)/N2658,"")</f>
        <v/>
      </c>
      <c r="Q2658" s="46">
        <f>IF(OR(T2658="",I2658&lt;T2658),"",IFERROR(R2658/IF(G2658="",I2658,G2658)-1,""))</f>
        <v/>
      </c>
      <c r="R2658" s="48">
        <f>IF($M2658="","",MAX(IF($G2658="",$I2658,$G2658)*(1/1.1),IF($G2658="",$I2658,$G2658)+(R$2*$M2658)))</f>
        <v/>
      </c>
      <c r="S2658" s="49">
        <f>IF($M2658="","",MAX(IF($G2658="",$I2658,$G2658)*(1/1.1),IF($G2658="",$I2658,$G2658)+(S$2*$M2658)))</f>
        <v/>
      </c>
      <c r="T2658" s="82" t="n"/>
      <c r="U2658" s="47">
        <f>IF(OR($M2658="",$T2658=""),"",$T2658+(U$2*$M2658))</f>
        <v/>
      </c>
      <c r="V2658" s="48">
        <f>IF(OR($M2658="",$T2658=""),"",$T2658+(V$2*$M2658))</f>
        <v/>
      </c>
      <c r="W2658" s="48">
        <f>IF(OR($M2658="",$T2658=""),"",$T2658+(W$2*$M2658))</f>
        <v/>
      </c>
      <c r="X2658" s="49">
        <f>IF(OR($M2658="",$T2658=""),"",$T2658+(X$2*$M2658))</f>
        <v/>
      </c>
      <c r="Y2658" s="47">
        <f>IF(OR($M2658="",$T2658=""),"",$T2658+(Y$2*$M2658))</f>
        <v/>
      </c>
      <c r="Z2658" s="49">
        <f>IF(OR($M2658="",$T2658=""),"",$T2658+(Z$2*$M2658))</f>
        <v/>
      </c>
      <c r="AA2658" s="51">
        <f>IF(OR($M2658="",$T2658=""),"",$T2658+(AA$2*$M2658))</f>
        <v/>
      </c>
      <c r="AB2658" s="48">
        <f>IF(OR($M2658="",$T2658=""),"",$T2658+(AB$2*$M2658))</f>
        <v/>
      </c>
      <c r="AC2658" s="48">
        <f>IF(OR($M2658="",$T2658=""),"",$T2658+(AC$2*$M2658))</f>
        <v/>
      </c>
      <c r="AD2658" s="48">
        <f>IF(OR($M2658="",$T2658=""),"",$T2658+(AD$2*$M2658))</f>
        <v/>
      </c>
      <c r="AE2658" s="49">
        <f>IF(OR($M2658="",$T2658=""),"",$T2658+(AE$2*$M2658))</f>
        <v/>
      </c>
      <c r="AF2658" s="52">
        <f>IF(OR(T2658="",I2658&lt;T2658),"",IFERROR(AVERAGE(T2658+M2658*{7,8,9,10,11})/IF(G2658="",I2658,G2658)-1,""))</f>
        <v/>
      </c>
      <c r="AG2658" s="55">
        <f>IF(OR(T2658="",I2658&lt;T2658),"",IFERROR(AF2658/-(R2658/IF(G2658="",I2658,G2658)-1),""))</f>
        <v/>
      </c>
      <c r="AH2658" s="94" t="n"/>
      <c r="AI2658" s="94" t="n"/>
      <c r="AJ2658" s="94" t="n"/>
      <c r="AK2658" s="94" t="n"/>
      <c r="AL2658" s="84" t="n"/>
    </row>
    <row r="2659">
      <c r="A2659" s="64" t="n"/>
      <c r="B2659" s="65" t="n"/>
      <c r="C2659" s="66" t="n"/>
      <c r="D2659" s="67" t="n"/>
      <c r="E2659" s="68" t="n"/>
      <c r="F2659" s="47">
        <f>IF(A2659="","",IF(MIN(H2659,MAX(J2659:K2659))=0,"",MIN(H2659,MAX(J2659:K2659))))</f>
        <v/>
      </c>
      <c r="G2659" s="74" t="n"/>
      <c r="H2659" s="49">
        <f>IF(M2659="","",IFERROR(ROUND(AVERAGE(T2659+M2659*{7,8,9,10,11})/1.21,4),""))</f>
        <v/>
      </c>
      <c r="I2659" s="76" t="n"/>
      <c r="J2659" s="77" t="n"/>
      <c r="K2659" s="74" t="n"/>
      <c r="L2659" s="78" t="n"/>
      <c r="M2659" s="77" t="n"/>
      <c r="N2659" s="53">
        <f>IF(M2659="","",IFERROR(M2659/I2659,""))</f>
        <v/>
      </c>
      <c r="O2659" s="50">
        <f>IF(A2659="","",IFERROR((IF(G2659="",I2659,G2659)-T2659)/M2659,""))</f>
        <v/>
      </c>
      <c r="P2659" s="50">
        <f>IFERROR((I2659/T2659-1)/N2659,"")</f>
        <v/>
      </c>
      <c r="Q2659" s="46">
        <f>IF(OR(T2659="",I2659&lt;T2659),"",IFERROR(R2659/IF(G2659="",I2659,G2659)-1,""))</f>
        <v/>
      </c>
      <c r="R2659" s="48">
        <f>IF($M2659="","",MAX(IF($G2659="",$I2659,$G2659)*(1/1.1),IF($G2659="",$I2659,$G2659)+(R$2*$M2659)))</f>
        <v/>
      </c>
      <c r="S2659" s="49">
        <f>IF($M2659="","",MAX(IF($G2659="",$I2659,$G2659)*(1/1.1),IF($G2659="",$I2659,$G2659)+(S$2*$M2659)))</f>
        <v/>
      </c>
      <c r="T2659" s="82" t="n"/>
      <c r="U2659" s="47">
        <f>IF(OR($M2659="",$T2659=""),"",$T2659+(U$2*$M2659))</f>
        <v/>
      </c>
      <c r="V2659" s="48">
        <f>IF(OR($M2659="",$T2659=""),"",$T2659+(V$2*$M2659))</f>
        <v/>
      </c>
      <c r="W2659" s="48">
        <f>IF(OR($M2659="",$T2659=""),"",$T2659+(W$2*$M2659))</f>
        <v/>
      </c>
      <c r="X2659" s="49">
        <f>IF(OR($M2659="",$T2659=""),"",$T2659+(X$2*$M2659))</f>
        <v/>
      </c>
      <c r="Y2659" s="47">
        <f>IF(OR($M2659="",$T2659=""),"",$T2659+(Y$2*$M2659))</f>
        <v/>
      </c>
      <c r="Z2659" s="49">
        <f>IF(OR($M2659="",$T2659=""),"",$T2659+(Z$2*$M2659))</f>
        <v/>
      </c>
      <c r="AA2659" s="51">
        <f>IF(OR($M2659="",$T2659=""),"",$T2659+(AA$2*$M2659))</f>
        <v/>
      </c>
      <c r="AB2659" s="48">
        <f>IF(OR($M2659="",$T2659=""),"",$T2659+(AB$2*$M2659))</f>
        <v/>
      </c>
      <c r="AC2659" s="48">
        <f>IF(OR($M2659="",$T2659=""),"",$T2659+(AC$2*$M2659))</f>
        <v/>
      </c>
      <c r="AD2659" s="48">
        <f>IF(OR($M2659="",$T2659=""),"",$T2659+(AD$2*$M2659))</f>
        <v/>
      </c>
      <c r="AE2659" s="49">
        <f>IF(OR($M2659="",$T2659=""),"",$T2659+(AE$2*$M2659))</f>
        <v/>
      </c>
      <c r="AF2659" s="52">
        <f>IF(OR(T2659="",I2659&lt;T2659),"",IFERROR(AVERAGE(T2659+M2659*{7,8,9,10,11})/IF(G2659="",I2659,G2659)-1,""))</f>
        <v/>
      </c>
      <c r="AG2659" s="55">
        <f>IF(OR(T2659="",I2659&lt;T2659),"",IFERROR(AF2659/-(R2659/IF(G2659="",I2659,G2659)-1),""))</f>
        <v/>
      </c>
      <c r="AH2659" s="94" t="n"/>
      <c r="AI2659" s="94" t="n"/>
      <c r="AJ2659" s="94" t="n"/>
      <c r="AK2659" s="94" t="n"/>
      <c r="AL2659" s="84" t="n"/>
    </row>
    <row r="2660">
      <c r="A2660" s="64" t="n"/>
      <c r="B2660" s="65" t="n"/>
      <c r="C2660" s="66" t="n"/>
      <c r="D2660" s="67" t="n"/>
      <c r="E2660" s="68" t="n"/>
      <c r="F2660" s="47">
        <f>IF(A2660="","",IF(MIN(H2660,MAX(J2660:K2660))=0,"",MIN(H2660,MAX(J2660:K2660))))</f>
        <v/>
      </c>
      <c r="G2660" s="74" t="n"/>
      <c r="H2660" s="49">
        <f>IF(M2660="","",IFERROR(ROUND(AVERAGE(T2660+M2660*{7,8,9,10,11})/1.21,4),""))</f>
        <v/>
      </c>
      <c r="I2660" s="76" t="n"/>
      <c r="J2660" s="77" t="n"/>
      <c r="K2660" s="74" t="n"/>
      <c r="L2660" s="78" t="n"/>
      <c r="M2660" s="77" t="n"/>
      <c r="N2660" s="53">
        <f>IF(M2660="","",IFERROR(M2660/I2660,""))</f>
        <v/>
      </c>
      <c r="O2660" s="50">
        <f>IF(A2660="","",IFERROR((IF(G2660="",I2660,G2660)-T2660)/M2660,""))</f>
        <v/>
      </c>
      <c r="P2660" s="50">
        <f>IFERROR((I2660/T2660-1)/N2660,"")</f>
        <v/>
      </c>
      <c r="Q2660" s="46">
        <f>IF(OR(T2660="",I2660&lt;T2660),"",IFERROR(R2660/IF(G2660="",I2660,G2660)-1,""))</f>
        <v/>
      </c>
      <c r="R2660" s="48">
        <f>IF($M2660="","",MAX(IF($G2660="",$I2660,$G2660)*(1/1.1),IF($G2660="",$I2660,$G2660)+(R$2*$M2660)))</f>
        <v/>
      </c>
      <c r="S2660" s="49">
        <f>IF($M2660="","",MAX(IF($G2660="",$I2660,$G2660)*(1/1.1),IF($G2660="",$I2660,$G2660)+(S$2*$M2660)))</f>
        <v/>
      </c>
      <c r="T2660" s="82" t="n"/>
      <c r="U2660" s="47">
        <f>IF(OR($M2660="",$T2660=""),"",$T2660+(U$2*$M2660))</f>
        <v/>
      </c>
      <c r="V2660" s="48">
        <f>IF(OR($M2660="",$T2660=""),"",$T2660+(V$2*$M2660))</f>
        <v/>
      </c>
      <c r="W2660" s="48">
        <f>IF(OR($M2660="",$T2660=""),"",$T2660+(W$2*$M2660))</f>
        <v/>
      </c>
      <c r="X2660" s="49">
        <f>IF(OR($M2660="",$T2660=""),"",$T2660+(X$2*$M2660))</f>
        <v/>
      </c>
      <c r="Y2660" s="47">
        <f>IF(OR($M2660="",$T2660=""),"",$T2660+(Y$2*$M2660))</f>
        <v/>
      </c>
      <c r="Z2660" s="49">
        <f>IF(OR($M2660="",$T2660=""),"",$T2660+(Z$2*$M2660))</f>
        <v/>
      </c>
      <c r="AA2660" s="51">
        <f>IF(OR($M2660="",$T2660=""),"",$T2660+(AA$2*$M2660))</f>
        <v/>
      </c>
      <c r="AB2660" s="48">
        <f>IF(OR($M2660="",$T2660=""),"",$T2660+(AB$2*$M2660))</f>
        <v/>
      </c>
      <c r="AC2660" s="48">
        <f>IF(OR($M2660="",$T2660=""),"",$T2660+(AC$2*$M2660))</f>
        <v/>
      </c>
      <c r="AD2660" s="48">
        <f>IF(OR($M2660="",$T2660=""),"",$T2660+(AD$2*$M2660))</f>
        <v/>
      </c>
      <c r="AE2660" s="49">
        <f>IF(OR($M2660="",$T2660=""),"",$T2660+(AE$2*$M2660))</f>
        <v/>
      </c>
      <c r="AF2660" s="52">
        <f>IF(OR(T2660="",I2660&lt;T2660),"",IFERROR(AVERAGE(T2660+M2660*{7,8,9,10,11})/IF(G2660="",I2660,G2660)-1,""))</f>
        <v/>
      </c>
      <c r="AG2660" s="55">
        <f>IF(OR(T2660="",I2660&lt;T2660),"",IFERROR(AF2660/-(R2660/IF(G2660="",I2660,G2660)-1),""))</f>
        <v/>
      </c>
      <c r="AH2660" s="94" t="n"/>
      <c r="AI2660" s="94" t="n"/>
      <c r="AJ2660" s="94" t="n"/>
      <c r="AK2660" s="94" t="n"/>
      <c r="AL2660" s="84" t="n"/>
    </row>
    <row r="2661">
      <c r="A2661" s="64" t="n"/>
      <c r="B2661" s="65" t="n"/>
      <c r="C2661" s="66" t="n"/>
      <c r="D2661" s="67" t="n"/>
      <c r="E2661" s="68" t="n"/>
      <c r="F2661" s="47">
        <f>IF(A2661="","",IF(MIN(H2661,MAX(J2661:K2661))=0,"",MIN(H2661,MAX(J2661:K2661))))</f>
        <v/>
      </c>
      <c r="G2661" s="74" t="n"/>
      <c r="H2661" s="49">
        <f>IF(M2661="","",IFERROR(ROUND(AVERAGE(T2661+M2661*{7,8,9,10,11})/1.21,4),""))</f>
        <v/>
      </c>
      <c r="I2661" s="76" t="n"/>
      <c r="J2661" s="77" t="n"/>
      <c r="K2661" s="74" t="n"/>
      <c r="L2661" s="78" t="n"/>
      <c r="M2661" s="77" t="n"/>
      <c r="N2661" s="53">
        <f>IF(M2661="","",IFERROR(M2661/I2661,""))</f>
        <v/>
      </c>
      <c r="O2661" s="50">
        <f>IF(A2661="","",IFERROR((IF(G2661="",I2661,G2661)-T2661)/M2661,""))</f>
        <v/>
      </c>
      <c r="P2661" s="50">
        <f>IFERROR((I2661/T2661-1)/N2661,"")</f>
        <v/>
      </c>
      <c r="Q2661" s="46">
        <f>IF(OR(T2661="",I2661&lt;T2661),"",IFERROR(R2661/IF(G2661="",I2661,G2661)-1,""))</f>
        <v/>
      </c>
      <c r="R2661" s="48">
        <f>IF($M2661="","",MAX(IF($G2661="",$I2661,$G2661)*(1/1.1),IF($G2661="",$I2661,$G2661)+(R$2*$M2661)))</f>
        <v/>
      </c>
      <c r="S2661" s="49">
        <f>IF($M2661="","",MAX(IF($G2661="",$I2661,$G2661)*(1/1.1),IF($G2661="",$I2661,$G2661)+(S$2*$M2661)))</f>
        <v/>
      </c>
      <c r="T2661" s="82" t="n"/>
      <c r="U2661" s="47">
        <f>IF(OR($M2661="",$T2661=""),"",$T2661+(U$2*$M2661))</f>
        <v/>
      </c>
      <c r="V2661" s="48">
        <f>IF(OR($M2661="",$T2661=""),"",$T2661+(V$2*$M2661))</f>
        <v/>
      </c>
      <c r="W2661" s="48">
        <f>IF(OR($M2661="",$T2661=""),"",$T2661+(W$2*$M2661))</f>
        <v/>
      </c>
      <c r="X2661" s="49">
        <f>IF(OR($M2661="",$T2661=""),"",$T2661+(X$2*$M2661))</f>
        <v/>
      </c>
      <c r="Y2661" s="47">
        <f>IF(OR($M2661="",$T2661=""),"",$T2661+(Y$2*$M2661))</f>
        <v/>
      </c>
      <c r="Z2661" s="49">
        <f>IF(OR($M2661="",$T2661=""),"",$T2661+(Z$2*$M2661))</f>
        <v/>
      </c>
      <c r="AA2661" s="51">
        <f>IF(OR($M2661="",$T2661=""),"",$T2661+(AA$2*$M2661))</f>
        <v/>
      </c>
      <c r="AB2661" s="48">
        <f>IF(OR($M2661="",$T2661=""),"",$T2661+(AB$2*$M2661))</f>
        <v/>
      </c>
      <c r="AC2661" s="48">
        <f>IF(OR($M2661="",$T2661=""),"",$T2661+(AC$2*$M2661))</f>
        <v/>
      </c>
      <c r="AD2661" s="48">
        <f>IF(OR($M2661="",$T2661=""),"",$T2661+(AD$2*$M2661))</f>
        <v/>
      </c>
      <c r="AE2661" s="49">
        <f>IF(OR($M2661="",$T2661=""),"",$T2661+(AE$2*$M2661))</f>
        <v/>
      </c>
      <c r="AF2661" s="52">
        <f>IF(OR(T2661="",I2661&lt;T2661),"",IFERROR(AVERAGE(T2661+M2661*{7,8,9,10,11})/IF(G2661="",I2661,G2661)-1,""))</f>
        <v/>
      </c>
      <c r="AG2661" s="55">
        <f>IF(OR(T2661="",I2661&lt;T2661),"",IFERROR(AF2661/-(R2661/IF(G2661="",I2661,G2661)-1),""))</f>
        <v/>
      </c>
      <c r="AH2661" s="94" t="n"/>
      <c r="AI2661" s="94" t="n"/>
      <c r="AJ2661" s="94" t="n"/>
      <c r="AK2661" s="94" t="n"/>
      <c r="AL2661" s="84" t="n"/>
    </row>
    <row r="2662">
      <c r="A2662" s="64" t="n"/>
      <c r="B2662" s="65" t="n"/>
      <c r="C2662" s="66" t="n"/>
      <c r="D2662" s="67" t="n"/>
      <c r="E2662" s="68" t="n"/>
      <c r="F2662" s="47">
        <f>IF(A2662="","",IF(MIN(H2662,MAX(J2662:K2662))=0,"",MIN(H2662,MAX(J2662:K2662))))</f>
        <v/>
      </c>
      <c r="G2662" s="74" t="n"/>
      <c r="H2662" s="49">
        <f>IF(M2662="","",IFERROR(ROUND(AVERAGE(T2662+M2662*{7,8,9,10,11})/1.21,4),""))</f>
        <v/>
      </c>
      <c r="I2662" s="76" t="n"/>
      <c r="J2662" s="77" t="n"/>
      <c r="K2662" s="74" t="n"/>
      <c r="L2662" s="78" t="n"/>
      <c r="M2662" s="77" t="n"/>
      <c r="N2662" s="53">
        <f>IF(M2662="","",IFERROR(M2662/I2662,""))</f>
        <v/>
      </c>
      <c r="O2662" s="50">
        <f>IF(A2662="","",IFERROR((IF(G2662="",I2662,G2662)-T2662)/M2662,""))</f>
        <v/>
      </c>
      <c r="P2662" s="50">
        <f>IFERROR((I2662/T2662-1)/N2662,"")</f>
        <v/>
      </c>
      <c r="Q2662" s="46">
        <f>IF(OR(T2662="",I2662&lt;T2662),"",IFERROR(R2662/IF(G2662="",I2662,G2662)-1,""))</f>
        <v/>
      </c>
      <c r="R2662" s="48">
        <f>IF($M2662="","",MAX(IF($G2662="",$I2662,$G2662)*(1/1.1),IF($G2662="",$I2662,$G2662)+(R$2*$M2662)))</f>
        <v/>
      </c>
      <c r="S2662" s="49">
        <f>IF($M2662="","",MAX(IF($G2662="",$I2662,$G2662)*(1/1.1),IF($G2662="",$I2662,$G2662)+(S$2*$M2662)))</f>
        <v/>
      </c>
      <c r="T2662" s="82" t="n"/>
      <c r="U2662" s="47">
        <f>IF(OR($M2662="",$T2662=""),"",$T2662+(U$2*$M2662))</f>
        <v/>
      </c>
      <c r="V2662" s="48">
        <f>IF(OR($M2662="",$T2662=""),"",$T2662+(V$2*$M2662))</f>
        <v/>
      </c>
      <c r="W2662" s="48">
        <f>IF(OR($M2662="",$T2662=""),"",$T2662+(W$2*$M2662))</f>
        <v/>
      </c>
      <c r="X2662" s="49">
        <f>IF(OR($M2662="",$T2662=""),"",$T2662+(X$2*$M2662))</f>
        <v/>
      </c>
      <c r="Y2662" s="47">
        <f>IF(OR($M2662="",$T2662=""),"",$T2662+(Y$2*$M2662))</f>
        <v/>
      </c>
      <c r="Z2662" s="49">
        <f>IF(OR($M2662="",$T2662=""),"",$T2662+(Z$2*$M2662))</f>
        <v/>
      </c>
      <c r="AA2662" s="51">
        <f>IF(OR($M2662="",$T2662=""),"",$T2662+(AA$2*$M2662))</f>
        <v/>
      </c>
      <c r="AB2662" s="48">
        <f>IF(OR($M2662="",$T2662=""),"",$T2662+(AB$2*$M2662))</f>
        <v/>
      </c>
      <c r="AC2662" s="48">
        <f>IF(OR($M2662="",$T2662=""),"",$T2662+(AC$2*$M2662))</f>
        <v/>
      </c>
      <c r="AD2662" s="48">
        <f>IF(OR($M2662="",$T2662=""),"",$T2662+(AD$2*$M2662))</f>
        <v/>
      </c>
      <c r="AE2662" s="49">
        <f>IF(OR($M2662="",$T2662=""),"",$T2662+(AE$2*$M2662))</f>
        <v/>
      </c>
      <c r="AF2662" s="52">
        <f>IF(OR(T2662="",I2662&lt;T2662),"",IFERROR(AVERAGE(T2662+M2662*{7,8,9,10,11})/IF(G2662="",I2662,G2662)-1,""))</f>
        <v/>
      </c>
      <c r="AG2662" s="55">
        <f>IF(OR(T2662="",I2662&lt;T2662),"",IFERROR(AF2662/-(R2662/IF(G2662="",I2662,G2662)-1),""))</f>
        <v/>
      </c>
      <c r="AH2662" s="94" t="n"/>
      <c r="AI2662" s="94" t="n"/>
      <c r="AJ2662" s="94" t="n"/>
      <c r="AK2662" s="94" t="n"/>
      <c r="AL2662" s="84" t="n"/>
    </row>
    <row r="2663">
      <c r="A2663" s="64" t="n"/>
      <c r="B2663" s="65" t="n"/>
      <c r="C2663" s="66" t="n"/>
      <c r="D2663" s="67" t="n"/>
      <c r="E2663" s="68" t="n"/>
      <c r="F2663" s="47">
        <f>IF(A2663="","",IF(MIN(H2663,MAX(J2663:K2663))=0,"",MIN(H2663,MAX(J2663:K2663))))</f>
        <v/>
      </c>
      <c r="G2663" s="74" t="n"/>
      <c r="H2663" s="49">
        <f>IF(M2663="","",IFERROR(ROUND(AVERAGE(T2663+M2663*{7,8,9,10,11})/1.21,4),""))</f>
        <v/>
      </c>
      <c r="I2663" s="76" t="n"/>
      <c r="J2663" s="77" t="n"/>
      <c r="K2663" s="74" t="n"/>
      <c r="L2663" s="78" t="n"/>
      <c r="M2663" s="77" t="n"/>
      <c r="N2663" s="53">
        <f>IF(M2663="","",IFERROR(M2663/I2663,""))</f>
        <v/>
      </c>
      <c r="O2663" s="50">
        <f>IF(A2663="","",IFERROR((IF(G2663="",I2663,G2663)-T2663)/M2663,""))</f>
        <v/>
      </c>
      <c r="P2663" s="50">
        <f>IFERROR((I2663/T2663-1)/N2663,"")</f>
        <v/>
      </c>
      <c r="Q2663" s="46">
        <f>IF(OR(T2663="",I2663&lt;T2663),"",IFERROR(R2663/IF(G2663="",I2663,G2663)-1,""))</f>
        <v/>
      </c>
      <c r="R2663" s="48">
        <f>IF($M2663="","",MAX(IF($G2663="",$I2663,$G2663)*(1/1.1),IF($G2663="",$I2663,$G2663)+(R$2*$M2663)))</f>
        <v/>
      </c>
      <c r="S2663" s="49">
        <f>IF($M2663="","",MAX(IF($G2663="",$I2663,$G2663)*(1/1.1),IF($G2663="",$I2663,$G2663)+(S$2*$M2663)))</f>
        <v/>
      </c>
      <c r="T2663" s="82" t="n"/>
      <c r="U2663" s="47">
        <f>IF(OR($M2663="",$T2663=""),"",$T2663+(U$2*$M2663))</f>
        <v/>
      </c>
      <c r="V2663" s="48">
        <f>IF(OR($M2663="",$T2663=""),"",$T2663+(V$2*$M2663))</f>
        <v/>
      </c>
      <c r="W2663" s="48">
        <f>IF(OR($M2663="",$T2663=""),"",$T2663+(W$2*$M2663))</f>
        <v/>
      </c>
      <c r="X2663" s="49">
        <f>IF(OR($M2663="",$T2663=""),"",$T2663+(X$2*$M2663))</f>
        <v/>
      </c>
      <c r="Y2663" s="47">
        <f>IF(OR($M2663="",$T2663=""),"",$T2663+(Y$2*$M2663))</f>
        <v/>
      </c>
      <c r="Z2663" s="49">
        <f>IF(OR($M2663="",$T2663=""),"",$T2663+(Z$2*$M2663))</f>
        <v/>
      </c>
      <c r="AA2663" s="51">
        <f>IF(OR($M2663="",$T2663=""),"",$T2663+(AA$2*$M2663))</f>
        <v/>
      </c>
      <c r="AB2663" s="48">
        <f>IF(OR($M2663="",$T2663=""),"",$T2663+(AB$2*$M2663))</f>
        <v/>
      </c>
      <c r="AC2663" s="48">
        <f>IF(OR($M2663="",$T2663=""),"",$T2663+(AC$2*$M2663))</f>
        <v/>
      </c>
      <c r="AD2663" s="48">
        <f>IF(OR($M2663="",$T2663=""),"",$T2663+(AD$2*$M2663))</f>
        <v/>
      </c>
      <c r="AE2663" s="49">
        <f>IF(OR($M2663="",$T2663=""),"",$T2663+(AE$2*$M2663))</f>
        <v/>
      </c>
      <c r="AF2663" s="52">
        <f>IF(OR(T2663="",I2663&lt;T2663),"",IFERROR(AVERAGE(T2663+M2663*{7,8,9,10,11})/IF(G2663="",I2663,G2663)-1,""))</f>
        <v/>
      </c>
      <c r="AG2663" s="55">
        <f>IF(OR(T2663="",I2663&lt;T2663),"",IFERROR(AF2663/-(R2663/IF(G2663="",I2663,G2663)-1),""))</f>
        <v/>
      </c>
      <c r="AH2663" s="94" t="n"/>
      <c r="AI2663" s="94" t="n"/>
      <c r="AJ2663" s="94" t="n"/>
      <c r="AK2663" s="94" t="n"/>
      <c r="AL2663" s="84" t="n"/>
    </row>
    <row r="2664">
      <c r="A2664" s="64" t="n"/>
      <c r="B2664" s="65" t="n"/>
      <c r="C2664" s="66" t="n"/>
      <c r="D2664" s="67" t="n"/>
      <c r="E2664" s="68" t="n"/>
      <c r="F2664" s="47">
        <f>IF(A2664="","",IF(MIN(H2664,MAX(J2664:K2664))=0,"",MIN(H2664,MAX(J2664:K2664))))</f>
        <v/>
      </c>
      <c r="G2664" s="74" t="n"/>
      <c r="H2664" s="49">
        <f>IF(M2664="","",IFERROR(ROUND(AVERAGE(T2664+M2664*{7,8,9,10,11})/1.21,4),""))</f>
        <v/>
      </c>
      <c r="I2664" s="76" t="n"/>
      <c r="J2664" s="77" t="n"/>
      <c r="K2664" s="74" t="n"/>
      <c r="L2664" s="78" t="n"/>
      <c r="M2664" s="77" t="n"/>
      <c r="N2664" s="53">
        <f>IF(M2664="","",IFERROR(M2664/I2664,""))</f>
        <v/>
      </c>
      <c r="O2664" s="50">
        <f>IF(A2664="","",IFERROR((IF(G2664="",I2664,G2664)-T2664)/M2664,""))</f>
        <v/>
      </c>
      <c r="P2664" s="50">
        <f>IFERROR((I2664/T2664-1)/N2664,"")</f>
        <v/>
      </c>
      <c r="Q2664" s="46">
        <f>IF(OR(T2664="",I2664&lt;T2664),"",IFERROR(R2664/IF(G2664="",I2664,G2664)-1,""))</f>
        <v/>
      </c>
      <c r="R2664" s="48">
        <f>IF($M2664="","",MAX(IF($G2664="",$I2664,$G2664)*(1/1.1),IF($G2664="",$I2664,$G2664)+(R$2*$M2664)))</f>
        <v/>
      </c>
      <c r="S2664" s="49">
        <f>IF($M2664="","",MAX(IF($G2664="",$I2664,$G2664)*(1/1.1),IF($G2664="",$I2664,$G2664)+(S$2*$M2664)))</f>
        <v/>
      </c>
      <c r="T2664" s="82" t="n"/>
      <c r="U2664" s="47">
        <f>IF(OR($M2664="",$T2664=""),"",$T2664+(U$2*$M2664))</f>
        <v/>
      </c>
      <c r="V2664" s="48">
        <f>IF(OR($M2664="",$T2664=""),"",$T2664+(V$2*$M2664))</f>
        <v/>
      </c>
      <c r="W2664" s="48">
        <f>IF(OR($M2664="",$T2664=""),"",$T2664+(W$2*$M2664))</f>
        <v/>
      </c>
      <c r="X2664" s="49">
        <f>IF(OR($M2664="",$T2664=""),"",$T2664+(X$2*$M2664))</f>
        <v/>
      </c>
      <c r="Y2664" s="47">
        <f>IF(OR($M2664="",$T2664=""),"",$T2664+(Y$2*$M2664))</f>
        <v/>
      </c>
      <c r="Z2664" s="49">
        <f>IF(OR($M2664="",$T2664=""),"",$T2664+(Z$2*$M2664))</f>
        <v/>
      </c>
      <c r="AA2664" s="51">
        <f>IF(OR($M2664="",$T2664=""),"",$T2664+(AA$2*$M2664))</f>
        <v/>
      </c>
      <c r="AB2664" s="48">
        <f>IF(OR($M2664="",$T2664=""),"",$T2664+(AB$2*$M2664))</f>
        <v/>
      </c>
      <c r="AC2664" s="48">
        <f>IF(OR($M2664="",$T2664=""),"",$T2664+(AC$2*$M2664))</f>
        <v/>
      </c>
      <c r="AD2664" s="48">
        <f>IF(OR($M2664="",$T2664=""),"",$T2664+(AD$2*$M2664))</f>
        <v/>
      </c>
      <c r="AE2664" s="49">
        <f>IF(OR($M2664="",$T2664=""),"",$T2664+(AE$2*$M2664))</f>
        <v/>
      </c>
      <c r="AF2664" s="52">
        <f>IF(OR(T2664="",I2664&lt;T2664),"",IFERROR(AVERAGE(T2664+M2664*{7,8,9,10,11})/IF(G2664="",I2664,G2664)-1,""))</f>
        <v/>
      </c>
      <c r="AG2664" s="55">
        <f>IF(OR(T2664="",I2664&lt;T2664),"",IFERROR(AF2664/-(R2664/IF(G2664="",I2664,G2664)-1),""))</f>
        <v/>
      </c>
      <c r="AH2664" s="94" t="n"/>
      <c r="AI2664" s="94" t="n"/>
      <c r="AJ2664" s="94" t="n"/>
      <c r="AK2664" s="94" t="n"/>
      <c r="AL2664" s="84" t="n"/>
    </row>
    <row r="2665">
      <c r="A2665" s="64" t="n"/>
      <c r="B2665" s="65" t="n"/>
      <c r="C2665" s="66" t="n"/>
      <c r="D2665" s="67" t="n"/>
      <c r="E2665" s="68" t="n"/>
      <c r="F2665" s="47">
        <f>IF(A2665="","",IF(MIN(H2665,MAX(J2665:K2665))=0,"",MIN(H2665,MAX(J2665:K2665))))</f>
        <v/>
      </c>
      <c r="G2665" s="74" t="n"/>
      <c r="H2665" s="49">
        <f>IF(M2665="","",IFERROR(ROUND(AVERAGE(T2665+M2665*{7,8,9,10,11})/1.21,4),""))</f>
        <v/>
      </c>
      <c r="I2665" s="76" t="n"/>
      <c r="J2665" s="77" t="n"/>
      <c r="K2665" s="74" t="n"/>
      <c r="L2665" s="78" t="n"/>
      <c r="M2665" s="77" t="n"/>
      <c r="N2665" s="53">
        <f>IF(M2665="","",IFERROR(M2665/I2665,""))</f>
        <v/>
      </c>
      <c r="O2665" s="50">
        <f>IF(A2665="","",IFERROR((IF(G2665="",I2665,G2665)-T2665)/M2665,""))</f>
        <v/>
      </c>
      <c r="P2665" s="50">
        <f>IFERROR((I2665/T2665-1)/N2665,"")</f>
        <v/>
      </c>
      <c r="Q2665" s="46">
        <f>IF(OR(T2665="",I2665&lt;T2665),"",IFERROR(R2665/IF(G2665="",I2665,G2665)-1,""))</f>
        <v/>
      </c>
      <c r="R2665" s="48">
        <f>IF($M2665="","",MAX(IF($G2665="",$I2665,$G2665)*(1/1.1),IF($G2665="",$I2665,$G2665)+(R$2*$M2665)))</f>
        <v/>
      </c>
      <c r="S2665" s="49">
        <f>IF($M2665="","",MAX(IF($G2665="",$I2665,$G2665)*(1/1.1),IF($G2665="",$I2665,$G2665)+(S$2*$M2665)))</f>
        <v/>
      </c>
      <c r="T2665" s="82" t="n"/>
      <c r="U2665" s="47">
        <f>IF(OR($M2665="",$T2665=""),"",$T2665+(U$2*$M2665))</f>
        <v/>
      </c>
      <c r="V2665" s="48">
        <f>IF(OR($M2665="",$T2665=""),"",$T2665+(V$2*$M2665))</f>
        <v/>
      </c>
      <c r="W2665" s="48">
        <f>IF(OR($M2665="",$T2665=""),"",$T2665+(W$2*$M2665))</f>
        <v/>
      </c>
      <c r="X2665" s="49">
        <f>IF(OR($M2665="",$T2665=""),"",$T2665+(X$2*$M2665))</f>
        <v/>
      </c>
      <c r="Y2665" s="47">
        <f>IF(OR($M2665="",$T2665=""),"",$T2665+(Y$2*$M2665))</f>
        <v/>
      </c>
      <c r="Z2665" s="49">
        <f>IF(OR($M2665="",$T2665=""),"",$T2665+(Z$2*$M2665))</f>
        <v/>
      </c>
      <c r="AA2665" s="51">
        <f>IF(OR($M2665="",$T2665=""),"",$T2665+(AA$2*$M2665))</f>
        <v/>
      </c>
      <c r="AB2665" s="48">
        <f>IF(OR($M2665="",$T2665=""),"",$T2665+(AB$2*$M2665))</f>
        <v/>
      </c>
      <c r="AC2665" s="48">
        <f>IF(OR($M2665="",$T2665=""),"",$T2665+(AC$2*$M2665))</f>
        <v/>
      </c>
      <c r="AD2665" s="48">
        <f>IF(OR($M2665="",$T2665=""),"",$T2665+(AD$2*$M2665))</f>
        <v/>
      </c>
      <c r="AE2665" s="49">
        <f>IF(OR($M2665="",$T2665=""),"",$T2665+(AE$2*$M2665))</f>
        <v/>
      </c>
      <c r="AF2665" s="52">
        <f>IF(OR(T2665="",I2665&lt;T2665),"",IFERROR(AVERAGE(T2665+M2665*{7,8,9,10,11})/IF(G2665="",I2665,G2665)-1,""))</f>
        <v/>
      </c>
      <c r="AG2665" s="55">
        <f>IF(OR(T2665="",I2665&lt;T2665),"",IFERROR(AF2665/-(R2665/IF(G2665="",I2665,G2665)-1),""))</f>
        <v/>
      </c>
      <c r="AH2665" s="94" t="n"/>
      <c r="AI2665" s="94" t="n"/>
      <c r="AJ2665" s="94" t="n"/>
      <c r="AK2665" s="94" t="n"/>
      <c r="AL2665" s="84" t="n"/>
    </row>
    <row r="2666">
      <c r="A2666" s="64" t="n"/>
      <c r="B2666" s="65" t="n"/>
      <c r="C2666" s="66" t="n"/>
      <c r="D2666" s="67" t="n"/>
      <c r="E2666" s="68" t="n"/>
      <c r="F2666" s="47">
        <f>IF(A2666="","",IF(MIN(H2666,MAX(J2666:K2666))=0,"",MIN(H2666,MAX(J2666:K2666))))</f>
        <v/>
      </c>
      <c r="G2666" s="74" t="n"/>
      <c r="H2666" s="49">
        <f>IF(M2666="","",IFERROR(ROUND(AVERAGE(T2666+M2666*{7,8,9,10,11})/1.21,4),""))</f>
        <v/>
      </c>
      <c r="I2666" s="76" t="n"/>
      <c r="J2666" s="77" t="n"/>
      <c r="K2666" s="74" t="n"/>
      <c r="L2666" s="78" t="n"/>
      <c r="M2666" s="77" t="n"/>
      <c r="N2666" s="53">
        <f>IF(M2666="","",IFERROR(M2666/I2666,""))</f>
        <v/>
      </c>
      <c r="O2666" s="50">
        <f>IF(A2666="","",IFERROR((IF(G2666="",I2666,G2666)-T2666)/M2666,""))</f>
        <v/>
      </c>
      <c r="P2666" s="50">
        <f>IFERROR((I2666/T2666-1)/N2666,"")</f>
        <v/>
      </c>
      <c r="Q2666" s="46">
        <f>IF(OR(T2666="",I2666&lt;T2666),"",IFERROR(R2666/IF(G2666="",I2666,G2666)-1,""))</f>
        <v/>
      </c>
      <c r="R2666" s="48">
        <f>IF($M2666="","",MAX(IF($G2666="",$I2666,$G2666)*(1/1.1),IF($G2666="",$I2666,$G2666)+(R$2*$M2666)))</f>
        <v/>
      </c>
      <c r="S2666" s="49">
        <f>IF($M2666="","",MAX(IF($G2666="",$I2666,$G2666)*(1/1.1),IF($G2666="",$I2666,$G2666)+(S$2*$M2666)))</f>
        <v/>
      </c>
      <c r="T2666" s="82" t="n"/>
      <c r="U2666" s="47">
        <f>IF(OR($M2666="",$T2666=""),"",$T2666+(U$2*$M2666))</f>
        <v/>
      </c>
      <c r="V2666" s="48">
        <f>IF(OR($M2666="",$T2666=""),"",$T2666+(V$2*$M2666))</f>
        <v/>
      </c>
      <c r="W2666" s="48">
        <f>IF(OR($M2666="",$T2666=""),"",$T2666+(W$2*$M2666))</f>
        <v/>
      </c>
      <c r="X2666" s="49">
        <f>IF(OR($M2666="",$T2666=""),"",$T2666+(X$2*$M2666))</f>
        <v/>
      </c>
      <c r="Y2666" s="47">
        <f>IF(OR($M2666="",$T2666=""),"",$T2666+(Y$2*$M2666))</f>
        <v/>
      </c>
      <c r="Z2666" s="49">
        <f>IF(OR($M2666="",$T2666=""),"",$T2666+(Z$2*$M2666))</f>
        <v/>
      </c>
      <c r="AA2666" s="51">
        <f>IF(OR($M2666="",$T2666=""),"",$T2666+(AA$2*$M2666))</f>
        <v/>
      </c>
      <c r="AB2666" s="48">
        <f>IF(OR($M2666="",$T2666=""),"",$T2666+(AB$2*$M2666))</f>
        <v/>
      </c>
      <c r="AC2666" s="48">
        <f>IF(OR($M2666="",$T2666=""),"",$T2666+(AC$2*$M2666))</f>
        <v/>
      </c>
      <c r="AD2666" s="48">
        <f>IF(OR($M2666="",$T2666=""),"",$T2666+(AD$2*$M2666))</f>
        <v/>
      </c>
      <c r="AE2666" s="49">
        <f>IF(OR($M2666="",$T2666=""),"",$T2666+(AE$2*$M2666))</f>
        <v/>
      </c>
      <c r="AF2666" s="52">
        <f>IF(OR(T2666="",I2666&lt;T2666),"",IFERROR(AVERAGE(T2666+M2666*{7,8,9,10,11})/IF(G2666="",I2666,G2666)-1,""))</f>
        <v/>
      </c>
      <c r="AG2666" s="55">
        <f>IF(OR(T2666="",I2666&lt;T2666),"",IFERROR(AF2666/-(R2666/IF(G2666="",I2666,G2666)-1),""))</f>
        <v/>
      </c>
      <c r="AH2666" s="94" t="n"/>
      <c r="AI2666" s="94" t="n"/>
      <c r="AJ2666" s="94" t="n"/>
      <c r="AK2666" s="94" t="n"/>
      <c r="AL2666" s="84" t="n"/>
    </row>
    <row r="2667">
      <c r="A2667" s="64" t="n"/>
      <c r="B2667" s="65" t="n"/>
      <c r="C2667" s="66" t="n"/>
      <c r="D2667" s="67" t="n"/>
      <c r="E2667" s="68" t="n"/>
      <c r="F2667" s="47">
        <f>IF(A2667="","",IF(MIN(H2667,MAX(J2667:K2667))=0,"",MIN(H2667,MAX(J2667:K2667))))</f>
        <v/>
      </c>
      <c r="G2667" s="74" t="n"/>
      <c r="H2667" s="49">
        <f>IF(M2667="","",IFERROR(ROUND(AVERAGE(T2667+M2667*{7,8,9,10,11})/1.21,4),""))</f>
        <v/>
      </c>
      <c r="I2667" s="76" t="n"/>
      <c r="J2667" s="77" t="n"/>
      <c r="K2667" s="74" t="n"/>
      <c r="L2667" s="78" t="n"/>
      <c r="M2667" s="77" t="n"/>
      <c r="N2667" s="53">
        <f>IF(M2667="","",IFERROR(M2667/I2667,""))</f>
        <v/>
      </c>
      <c r="O2667" s="50">
        <f>IF(A2667="","",IFERROR((IF(G2667="",I2667,G2667)-T2667)/M2667,""))</f>
        <v/>
      </c>
      <c r="P2667" s="50">
        <f>IFERROR((I2667/T2667-1)/N2667,"")</f>
        <v/>
      </c>
      <c r="Q2667" s="46">
        <f>IF(OR(T2667="",I2667&lt;T2667),"",IFERROR(R2667/IF(G2667="",I2667,G2667)-1,""))</f>
        <v/>
      </c>
      <c r="R2667" s="48">
        <f>IF($M2667="","",MAX(IF($G2667="",$I2667,$G2667)*(1/1.1),IF($G2667="",$I2667,$G2667)+(R$2*$M2667)))</f>
        <v/>
      </c>
      <c r="S2667" s="49">
        <f>IF($M2667="","",MAX(IF($G2667="",$I2667,$G2667)*(1/1.1),IF($G2667="",$I2667,$G2667)+(S$2*$M2667)))</f>
        <v/>
      </c>
      <c r="T2667" s="82" t="n"/>
      <c r="U2667" s="47">
        <f>IF(OR($M2667="",$T2667=""),"",$T2667+(U$2*$M2667))</f>
        <v/>
      </c>
      <c r="V2667" s="48">
        <f>IF(OR($M2667="",$T2667=""),"",$T2667+(V$2*$M2667))</f>
        <v/>
      </c>
      <c r="W2667" s="48">
        <f>IF(OR($M2667="",$T2667=""),"",$T2667+(W$2*$M2667))</f>
        <v/>
      </c>
      <c r="X2667" s="49">
        <f>IF(OR($M2667="",$T2667=""),"",$T2667+(X$2*$M2667))</f>
        <v/>
      </c>
      <c r="Y2667" s="47">
        <f>IF(OR($M2667="",$T2667=""),"",$T2667+(Y$2*$M2667))</f>
        <v/>
      </c>
      <c r="Z2667" s="49">
        <f>IF(OR($M2667="",$T2667=""),"",$T2667+(Z$2*$M2667))</f>
        <v/>
      </c>
      <c r="AA2667" s="51">
        <f>IF(OR($M2667="",$T2667=""),"",$T2667+(AA$2*$M2667))</f>
        <v/>
      </c>
      <c r="AB2667" s="48">
        <f>IF(OR($M2667="",$T2667=""),"",$T2667+(AB$2*$M2667))</f>
        <v/>
      </c>
      <c r="AC2667" s="48">
        <f>IF(OR($M2667="",$T2667=""),"",$T2667+(AC$2*$M2667))</f>
        <v/>
      </c>
      <c r="AD2667" s="48">
        <f>IF(OR($M2667="",$T2667=""),"",$T2667+(AD$2*$M2667))</f>
        <v/>
      </c>
      <c r="AE2667" s="49">
        <f>IF(OR($M2667="",$T2667=""),"",$T2667+(AE$2*$M2667))</f>
        <v/>
      </c>
      <c r="AF2667" s="52">
        <f>IF(OR(T2667="",I2667&lt;T2667),"",IFERROR(AVERAGE(T2667+M2667*{7,8,9,10,11})/IF(G2667="",I2667,G2667)-1,""))</f>
        <v/>
      </c>
      <c r="AG2667" s="55">
        <f>IF(OR(T2667="",I2667&lt;T2667),"",IFERROR(AF2667/-(R2667/IF(G2667="",I2667,G2667)-1),""))</f>
        <v/>
      </c>
      <c r="AH2667" s="94" t="n"/>
      <c r="AI2667" s="94" t="n"/>
      <c r="AJ2667" s="94" t="n"/>
      <c r="AK2667" s="94" t="n"/>
      <c r="AL2667" s="84" t="n"/>
    </row>
    <row r="2668">
      <c r="A2668" s="64" t="n"/>
      <c r="B2668" s="65" t="n"/>
      <c r="C2668" s="66" t="n"/>
      <c r="D2668" s="67" t="n"/>
      <c r="E2668" s="68" t="n"/>
      <c r="F2668" s="47">
        <f>IF(A2668="","",IF(MIN(H2668,MAX(J2668:K2668))=0,"",MIN(H2668,MAX(J2668:K2668))))</f>
        <v/>
      </c>
      <c r="G2668" s="74" t="n"/>
      <c r="H2668" s="49">
        <f>IF(M2668="","",IFERROR(ROUND(AVERAGE(T2668+M2668*{7,8,9,10,11})/1.21,4),""))</f>
        <v/>
      </c>
      <c r="I2668" s="76" t="n"/>
      <c r="J2668" s="77" t="n"/>
      <c r="K2668" s="74" t="n"/>
      <c r="L2668" s="78" t="n"/>
      <c r="M2668" s="77" t="n"/>
      <c r="N2668" s="53">
        <f>IF(M2668="","",IFERROR(M2668/I2668,""))</f>
        <v/>
      </c>
      <c r="O2668" s="50">
        <f>IF(A2668="","",IFERROR((IF(G2668="",I2668,G2668)-T2668)/M2668,""))</f>
        <v/>
      </c>
      <c r="P2668" s="50">
        <f>IFERROR((I2668/T2668-1)/N2668,"")</f>
        <v/>
      </c>
      <c r="Q2668" s="46">
        <f>IF(OR(T2668="",I2668&lt;T2668),"",IFERROR(R2668/IF(G2668="",I2668,G2668)-1,""))</f>
        <v/>
      </c>
      <c r="R2668" s="48">
        <f>IF($M2668="","",MAX(IF($G2668="",$I2668,$G2668)*(1/1.1),IF($G2668="",$I2668,$G2668)+(R$2*$M2668)))</f>
        <v/>
      </c>
      <c r="S2668" s="49">
        <f>IF($M2668="","",MAX(IF($G2668="",$I2668,$G2668)*(1/1.1),IF($G2668="",$I2668,$G2668)+(S$2*$M2668)))</f>
        <v/>
      </c>
      <c r="T2668" s="82" t="n"/>
      <c r="U2668" s="47">
        <f>IF(OR($M2668="",$T2668=""),"",$T2668+(U$2*$M2668))</f>
        <v/>
      </c>
      <c r="V2668" s="48">
        <f>IF(OR($M2668="",$T2668=""),"",$T2668+(V$2*$M2668))</f>
        <v/>
      </c>
      <c r="W2668" s="48">
        <f>IF(OR($M2668="",$T2668=""),"",$T2668+(W$2*$M2668))</f>
        <v/>
      </c>
      <c r="X2668" s="49">
        <f>IF(OR($M2668="",$T2668=""),"",$T2668+(X$2*$M2668))</f>
        <v/>
      </c>
      <c r="Y2668" s="47">
        <f>IF(OR($M2668="",$T2668=""),"",$T2668+(Y$2*$M2668))</f>
        <v/>
      </c>
      <c r="Z2668" s="49">
        <f>IF(OR($M2668="",$T2668=""),"",$T2668+(Z$2*$M2668))</f>
        <v/>
      </c>
      <c r="AA2668" s="51">
        <f>IF(OR($M2668="",$T2668=""),"",$T2668+(AA$2*$M2668))</f>
        <v/>
      </c>
      <c r="AB2668" s="48">
        <f>IF(OR($M2668="",$T2668=""),"",$T2668+(AB$2*$M2668))</f>
        <v/>
      </c>
      <c r="AC2668" s="48">
        <f>IF(OR($M2668="",$T2668=""),"",$T2668+(AC$2*$M2668))</f>
        <v/>
      </c>
      <c r="AD2668" s="48">
        <f>IF(OR($M2668="",$T2668=""),"",$T2668+(AD$2*$M2668))</f>
        <v/>
      </c>
      <c r="AE2668" s="49">
        <f>IF(OR($M2668="",$T2668=""),"",$T2668+(AE$2*$M2668))</f>
        <v/>
      </c>
      <c r="AF2668" s="52">
        <f>IF(OR(T2668="",I2668&lt;T2668),"",IFERROR(AVERAGE(T2668+M2668*{7,8,9,10,11})/IF(G2668="",I2668,G2668)-1,""))</f>
        <v/>
      </c>
      <c r="AG2668" s="55">
        <f>IF(OR(T2668="",I2668&lt;T2668),"",IFERROR(AF2668/-(R2668/IF(G2668="",I2668,G2668)-1),""))</f>
        <v/>
      </c>
      <c r="AH2668" s="94" t="n"/>
      <c r="AI2668" s="94" t="n"/>
      <c r="AJ2668" s="94" t="n"/>
      <c r="AK2668" s="94" t="n"/>
      <c r="AL2668" s="84" t="n"/>
    </row>
    <row r="2669">
      <c r="A2669" s="64" t="n"/>
      <c r="B2669" s="65" t="n"/>
      <c r="C2669" s="66" t="n"/>
      <c r="D2669" s="67" t="n"/>
      <c r="E2669" s="68" t="n"/>
      <c r="F2669" s="47">
        <f>IF(A2669="","",IF(MIN(H2669,MAX(J2669:K2669))=0,"",MIN(H2669,MAX(J2669:K2669))))</f>
        <v/>
      </c>
      <c r="G2669" s="74" t="n"/>
      <c r="H2669" s="49">
        <f>IF(M2669="","",IFERROR(ROUND(AVERAGE(T2669+M2669*{7,8,9,10,11})/1.21,4),""))</f>
        <v/>
      </c>
      <c r="I2669" s="76" t="n"/>
      <c r="J2669" s="77" t="n"/>
      <c r="K2669" s="74" t="n"/>
      <c r="L2669" s="78" t="n"/>
      <c r="M2669" s="77" t="n"/>
      <c r="N2669" s="53">
        <f>IF(M2669="","",IFERROR(M2669/I2669,""))</f>
        <v/>
      </c>
      <c r="O2669" s="50">
        <f>IF(A2669="","",IFERROR((IF(G2669="",I2669,G2669)-T2669)/M2669,""))</f>
        <v/>
      </c>
      <c r="P2669" s="50">
        <f>IFERROR((I2669/T2669-1)/N2669,"")</f>
        <v/>
      </c>
      <c r="Q2669" s="46">
        <f>IF(OR(T2669="",I2669&lt;T2669),"",IFERROR(R2669/IF(G2669="",I2669,G2669)-1,""))</f>
        <v/>
      </c>
      <c r="R2669" s="48">
        <f>IF($M2669="","",MAX(IF($G2669="",$I2669,$G2669)*(1/1.1),IF($G2669="",$I2669,$G2669)+(R$2*$M2669)))</f>
        <v/>
      </c>
      <c r="S2669" s="49">
        <f>IF($M2669="","",MAX(IF($G2669="",$I2669,$G2669)*(1/1.1),IF($G2669="",$I2669,$G2669)+(S$2*$M2669)))</f>
        <v/>
      </c>
      <c r="T2669" s="82" t="n"/>
      <c r="U2669" s="47">
        <f>IF(OR($M2669="",$T2669=""),"",$T2669+(U$2*$M2669))</f>
        <v/>
      </c>
      <c r="V2669" s="48">
        <f>IF(OR($M2669="",$T2669=""),"",$T2669+(V$2*$M2669))</f>
        <v/>
      </c>
      <c r="W2669" s="48">
        <f>IF(OR($M2669="",$T2669=""),"",$T2669+(W$2*$M2669))</f>
        <v/>
      </c>
      <c r="X2669" s="49">
        <f>IF(OR($M2669="",$T2669=""),"",$T2669+(X$2*$M2669))</f>
        <v/>
      </c>
      <c r="Y2669" s="47">
        <f>IF(OR($M2669="",$T2669=""),"",$T2669+(Y$2*$M2669))</f>
        <v/>
      </c>
      <c r="Z2669" s="49">
        <f>IF(OR($M2669="",$T2669=""),"",$T2669+(Z$2*$M2669))</f>
        <v/>
      </c>
      <c r="AA2669" s="51">
        <f>IF(OR($M2669="",$T2669=""),"",$T2669+(AA$2*$M2669))</f>
        <v/>
      </c>
      <c r="AB2669" s="48">
        <f>IF(OR($M2669="",$T2669=""),"",$T2669+(AB$2*$M2669))</f>
        <v/>
      </c>
      <c r="AC2669" s="48">
        <f>IF(OR($M2669="",$T2669=""),"",$T2669+(AC$2*$M2669))</f>
        <v/>
      </c>
      <c r="AD2669" s="48">
        <f>IF(OR($M2669="",$T2669=""),"",$T2669+(AD$2*$M2669))</f>
        <v/>
      </c>
      <c r="AE2669" s="49">
        <f>IF(OR($M2669="",$T2669=""),"",$T2669+(AE$2*$M2669))</f>
        <v/>
      </c>
      <c r="AF2669" s="52">
        <f>IF(OR(T2669="",I2669&lt;T2669),"",IFERROR(AVERAGE(T2669+M2669*{7,8,9,10,11})/IF(G2669="",I2669,G2669)-1,""))</f>
        <v/>
      </c>
      <c r="AG2669" s="55">
        <f>IF(OR(T2669="",I2669&lt;T2669),"",IFERROR(AF2669/-(R2669/IF(G2669="",I2669,G2669)-1),""))</f>
        <v/>
      </c>
      <c r="AH2669" s="94" t="n"/>
      <c r="AI2669" s="94" t="n"/>
      <c r="AJ2669" s="94" t="n"/>
      <c r="AK2669" s="94" t="n"/>
      <c r="AL2669" s="84" t="n"/>
    </row>
    <row r="2670">
      <c r="A2670" s="64" t="n"/>
      <c r="B2670" s="65" t="n"/>
      <c r="C2670" s="66" t="n"/>
      <c r="D2670" s="67" t="n"/>
      <c r="E2670" s="68" t="n"/>
      <c r="F2670" s="47">
        <f>IF(A2670="","",IF(MIN(H2670,MAX(J2670:K2670))=0,"",MIN(H2670,MAX(J2670:K2670))))</f>
        <v/>
      </c>
      <c r="G2670" s="74" t="n"/>
      <c r="H2670" s="49">
        <f>IF(M2670="","",IFERROR(ROUND(AVERAGE(T2670+M2670*{7,8,9,10,11})/1.21,4),""))</f>
        <v/>
      </c>
      <c r="I2670" s="76" t="n"/>
      <c r="J2670" s="77" t="n"/>
      <c r="K2670" s="74" t="n"/>
      <c r="L2670" s="78" t="n"/>
      <c r="M2670" s="77" t="n"/>
      <c r="N2670" s="53">
        <f>IF(M2670="","",IFERROR(M2670/I2670,""))</f>
        <v/>
      </c>
      <c r="O2670" s="50">
        <f>IF(A2670="","",IFERROR((IF(G2670="",I2670,G2670)-T2670)/M2670,""))</f>
        <v/>
      </c>
      <c r="P2670" s="50">
        <f>IFERROR((I2670/T2670-1)/N2670,"")</f>
        <v/>
      </c>
      <c r="Q2670" s="46">
        <f>IF(OR(T2670="",I2670&lt;T2670),"",IFERROR(R2670/IF(G2670="",I2670,G2670)-1,""))</f>
        <v/>
      </c>
      <c r="R2670" s="48">
        <f>IF($M2670="","",MAX(IF($G2670="",$I2670,$G2670)*(1/1.1),IF($G2670="",$I2670,$G2670)+(R$2*$M2670)))</f>
        <v/>
      </c>
      <c r="S2670" s="49">
        <f>IF($M2670="","",MAX(IF($G2670="",$I2670,$G2670)*(1/1.1),IF($G2670="",$I2670,$G2670)+(S$2*$M2670)))</f>
        <v/>
      </c>
      <c r="T2670" s="82" t="n"/>
      <c r="U2670" s="47">
        <f>IF(OR($M2670="",$T2670=""),"",$T2670+(U$2*$M2670))</f>
        <v/>
      </c>
      <c r="V2670" s="48">
        <f>IF(OR($M2670="",$T2670=""),"",$T2670+(V$2*$M2670))</f>
        <v/>
      </c>
      <c r="W2670" s="48">
        <f>IF(OR($M2670="",$T2670=""),"",$T2670+(W$2*$M2670))</f>
        <v/>
      </c>
      <c r="X2670" s="49">
        <f>IF(OR($M2670="",$T2670=""),"",$T2670+(X$2*$M2670))</f>
        <v/>
      </c>
      <c r="Y2670" s="47">
        <f>IF(OR($M2670="",$T2670=""),"",$T2670+(Y$2*$M2670))</f>
        <v/>
      </c>
      <c r="Z2670" s="49">
        <f>IF(OR($M2670="",$T2670=""),"",$T2670+(Z$2*$M2670))</f>
        <v/>
      </c>
      <c r="AA2670" s="51">
        <f>IF(OR($M2670="",$T2670=""),"",$T2670+(AA$2*$M2670))</f>
        <v/>
      </c>
      <c r="AB2670" s="48">
        <f>IF(OR($M2670="",$T2670=""),"",$T2670+(AB$2*$M2670))</f>
        <v/>
      </c>
      <c r="AC2670" s="48">
        <f>IF(OR($M2670="",$T2670=""),"",$T2670+(AC$2*$M2670))</f>
        <v/>
      </c>
      <c r="AD2670" s="48">
        <f>IF(OR($M2670="",$T2670=""),"",$T2670+(AD$2*$M2670))</f>
        <v/>
      </c>
      <c r="AE2670" s="49">
        <f>IF(OR($M2670="",$T2670=""),"",$T2670+(AE$2*$M2670))</f>
        <v/>
      </c>
      <c r="AF2670" s="52">
        <f>IF(OR(T2670="",I2670&lt;T2670),"",IFERROR(AVERAGE(T2670+M2670*{7,8,9,10,11})/IF(G2670="",I2670,G2670)-1,""))</f>
        <v/>
      </c>
      <c r="AG2670" s="55">
        <f>IF(OR(T2670="",I2670&lt;T2670),"",IFERROR(AF2670/-(R2670/IF(G2670="",I2670,G2670)-1),""))</f>
        <v/>
      </c>
      <c r="AH2670" s="94" t="n"/>
      <c r="AI2670" s="94" t="n"/>
      <c r="AJ2670" s="94" t="n"/>
      <c r="AK2670" s="94" t="n"/>
      <c r="AL2670" s="84" t="n"/>
    </row>
    <row r="2671">
      <c r="A2671" s="64" t="n"/>
      <c r="B2671" s="65" t="n"/>
      <c r="C2671" s="66" t="n"/>
      <c r="D2671" s="67" t="n"/>
      <c r="E2671" s="68" t="n"/>
      <c r="F2671" s="47">
        <f>IF(A2671="","",IF(MIN(H2671,MAX(J2671:K2671))=0,"",MIN(H2671,MAX(J2671:K2671))))</f>
        <v/>
      </c>
      <c r="G2671" s="74" t="n"/>
      <c r="H2671" s="49">
        <f>IF(M2671="","",IFERROR(ROUND(AVERAGE(T2671+M2671*{7,8,9,10,11})/1.21,4),""))</f>
        <v/>
      </c>
      <c r="I2671" s="76" t="n"/>
      <c r="J2671" s="77" t="n"/>
      <c r="K2671" s="74" t="n"/>
      <c r="L2671" s="78" t="n"/>
      <c r="M2671" s="77" t="n"/>
      <c r="N2671" s="53">
        <f>IF(M2671="","",IFERROR(M2671/I2671,""))</f>
        <v/>
      </c>
      <c r="O2671" s="50">
        <f>IF(A2671="","",IFERROR((IF(G2671="",I2671,G2671)-T2671)/M2671,""))</f>
        <v/>
      </c>
      <c r="P2671" s="50">
        <f>IFERROR((I2671/T2671-1)/N2671,"")</f>
        <v/>
      </c>
      <c r="Q2671" s="46">
        <f>IF(OR(T2671="",I2671&lt;T2671),"",IFERROR(R2671/IF(G2671="",I2671,G2671)-1,""))</f>
        <v/>
      </c>
      <c r="R2671" s="48">
        <f>IF($M2671="","",MAX(IF($G2671="",$I2671,$G2671)*(1/1.1),IF($G2671="",$I2671,$G2671)+(R$2*$M2671)))</f>
        <v/>
      </c>
      <c r="S2671" s="49">
        <f>IF($M2671="","",MAX(IF($G2671="",$I2671,$G2671)*(1/1.1),IF($G2671="",$I2671,$G2671)+(S$2*$M2671)))</f>
        <v/>
      </c>
      <c r="T2671" s="82" t="n"/>
      <c r="U2671" s="47">
        <f>IF(OR($M2671="",$T2671=""),"",$T2671+(U$2*$M2671))</f>
        <v/>
      </c>
      <c r="V2671" s="48">
        <f>IF(OR($M2671="",$T2671=""),"",$T2671+(V$2*$M2671))</f>
        <v/>
      </c>
      <c r="W2671" s="48">
        <f>IF(OR($M2671="",$T2671=""),"",$T2671+(W$2*$M2671))</f>
        <v/>
      </c>
      <c r="X2671" s="49">
        <f>IF(OR($M2671="",$T2671=""),"",$T2671+(X$2*$M2671))</f>
        <v/>
      </c>
      <c r="Y2671" s="47">
        <f>IF(OR($M2671="",$T2671=""),"",$T2671+(Y$2*$M2671))</f>
        <v/>
      </c>
      <c r="Z2671" s="49">
        <f>IF(OR($M2671="",$T2671=""),"",$T2671+(Z$2*$M2671))</f>
        <v/>
      </c>
      <c r="AA2671" s="51">
        <f>IF(OR($M2671="",$T2671=""),"",$T2671+(AA$2*$M2671))</f>
        <v/>
      </c>
      <c r="AB2671" s="48">
        <f>IF(OR($M2671="",$T2671=""),"",$T2671+(AB$2*$M2671))</f>
        <v/>
      </c>
      <c r="AC2671" s="48">
        <f>IF(OR($M2671="",$T2671=""),"",$T2671+(AC$2*$M2671))</f>
        <v/>
      </c>
      <c r="AD2671" s="48">
        <f>IF(OR($M2671="",$T2671=""),"",$T2671+(AD$2*$M2671))</f>
        <v/>
      </c>
      <c r="AE2671" s="49">
        <f>IF(OR($M2671="",$T2671=""),"",$T2671+(AE$2*$M2671))</f>
        <v/>
      </c>
      <c r="AF2671" s="52">
        <f>IF(OR(T2671="",I2671&lt;T2671),"",IFERROR(AVERAGE(T2671+M2671*{7,8,9,10,11})/IF(G2671="",I2671,G2671)-1,""))</f>
        <v/>
      </c>
      <c r="AG2671" s="55">
        <f>IF(OR(T2671="",I2671&lt;T2671),"",IFERROR(AF2671/-(R2671/IF(G2671="",I2671,G2671)-1),""))</f>
        <v/>
      </c>
      <c r="AH2671" s="94" t="n"/>
      <c r="AI2671" s="94" t="n"/>
      <c r="AJ2671" s="94" t="n"/>
      <c r="AK2671" s="94" t="n"/>
      <c r="AL2671" s="84" t="n"/>
    </row>
    <row r="2672">
      <c r="A2672" s="64" t="n"/>
      <c r="B2672" s="65" t="n"/>
      <c r="C2672" s="66" t="n"/>
      <c r="D2672" s="67" t="n"/>
      <c r="E2672" s="68" t="n"/>
      <c r="F2672" s="47">
        <f>IF(A2672="","",IF(MIN(H2672,MAX(J2672:K2672))=0,"",MIN(H2672,MAX(J2672:K2672))))</f>
        <v/>
      </c>
      <c r="G2672" s="74" t="n"/>
      <c r="H2672" s="49">
        <f>IF(M2672="","",IFERROR(ROUND(AVERAGE(T2672+M2672*{7,8,9,10,11})/1.21,4),""))</f>
        <v/>
      </c>
      <c r="I2672" s="76" t="n"/>
      <c r="J2672" s="77" t="n"/>
      <c r="K2672" s="74" t="n"/>
      <c r="L2672" s="78" t="n"/>
      <c r="M2672" s="77" t="n"/>
      <c r="N2672" s="53">
        <f>IF(M2672="","",IFERROR(M2672/I2672,""))</f>
        <v/>
      </c>
      <c r="O2672" s="50">
        <f>IF(A2672="","",IFERROR((IF(G2672="",I2672,G2672)-T2672)/M2672,""))</f>
        <v/>
      </c>
      <c r="P2672" s="50">
        <f>IFERROR((I2672/T2672-1)/N2672,"")</f>
        <v/>
      </c>
      <c r="Q2672" s="46">
        <f>IF(OR(T2672="",I2672&lt;T2672),"",IFERROR(R2672/IF(G2672="",I2672,G2672)-1,""))</f>
        <v/>
      </c>
      <c r="R2672" s="48">
        <f>IF($M2672="","",MAX(IF($G2672="",$I2672,$G2672)*(1/1.1),IF($G2672="",$I2672,$G2672)+(R$2*$M2672)))</f>
        <v/>
      </c>
      <c r="S2672" s="49">
        <f>IF($M2672="","",MAX(IF($G2672="",$I2672,$G2672)*(1/1.1),IF($G2672="",$I2672,$G2672)+(S$2*$M2672)))</f>
        <v/>
      </c>
      <c r="T2672" s="82" t="n"/>
      <c r="U2672" s="47">
        <f>IF(OR($M2672="",$T2672=""),"",$T2672+(U$2*$M2672))</f>
        <v/>
      </c>
      <c r="V2672" s="48">
        <f>IF(OR($M2672="",$T2672=""),"",$T2672+(V$2*$M2672))</f>
        <v/>
      </c>
      <c r="W2672" s="48">
        <f>IF(OR($M2672="",$T2672=""),"",$T2672+(W$2*$M2672))</f>
        <v/>
      </c>
      <c r="X2672" s="49">
        <f>IF(OR($M2672="",$T2672=""),"",$T2672+(X$2*$M2672))</f>
        <v/>
      </c>
      <c r="Y2672" s="47">
        <f>IF(OR($M2672="",$T2672=""),"",$T2672+(Y$2*$M2672))</f>
        <v/>
      </c>
      <c r="Z2672" s="49">
        <f>IF(OR($M2672="",$T2672=""),"",$T2672+(Z$2*$M2672))</f>
        <v/>
      </c>
      <c r="AA2672" s="51">
        <f>IF(OR($M2672="",$T2672=""),"",$T2672+(AA$2*$M2672))</f>
        <v/>
      </c>
      <c r="AB2672" s="48">
        <f>IF(OR($M2672="",$T2672=""),"",$T2672+(AB$2*$M2672))</f>
        <v/>
      </c>
      <c r="AC2672" s="48">
        <f>IF(OR($M2672="",$T2672=""),"",$T2672+(AC$2*$M2672))</f>
        <v/>
      </c>
      <c r="AD2672" s="48">
        <f>IF(OR($M2672="",$T2672=""),"",$T2672+(AD$2*$M2672))</f>
        <v/>
      </c>
      <c r="AE2672" s="49">
        <f>IF(OR($M2672="",$T2672=""),"",$T2672+(AE$2*$M2672))</f>
        <v/>
      </c>
      <c r="AF2672" s="52">
        <f>IF(OR(T2672="",I2672&lt;T2672),"",IFERROR(AVERAGE(T2672+M2672*{7,8,9,10,11})/IF(G2672="",I2672,G2672)-1,""))</f>
        <v/>
      </c>
      <c r="AG2672" s="55">
        <f>IF(OR(T2672="",I2672&lt;T2672),"",IFERROR(AF2672/-(R2672/IF(G2672="",I2672,G2672)-1),""))</f>
        <v/>
      </c>
      <c r="AH2672" s="94" t="n"/>
      <c r="AI2672" s="94" t="n"/>
      <c r="AJ2672" s="94" t="n"/>
      <c r="AK2672" s="94" t="n"/>
      <c r="AL2672" s="84" t="n"/>
    </row>
    <row r="2673">
      <c r="A2673" s="64" t="n"/>
      <c r="B2673" s="65" t="n"/>
      <c r="C2673" s="66" t="n"/>
      <c r="D2673" s="67" t="n"/>
      <c r="E2673" s="68" t="n"/>
      <c r="F2673" s="47">
        <f>IF(A2673="","",IF(MIN(H2673,MAX(J2673:K2673))=0,"",MIN(H2673,MAX(J2673:K2673))))</f>
        <v/>
      </c>
      <c r="G2673" s="74" t="n"/>
      <c r="H2673" s="49">
        <f>IF(M2673="","",IFERROR(ROUND(AVERAGE(T2673+M2673*{7,8,9,10,11})/1.21,4),""))</f>
        <v/>
      </c>
      <c r="I2673" s="76" t="n"/>
      <c r="J2673" s="77" t="n"/>
      <c r="K2673" s="74" t="n"/>
      <c r="L2673" s="78" t="n"/>
      <c r="M2673" s="77" t="n"/>
      <c r="N2673" s="53">
        <f>IF(M2673="","",IFERROR(M2673/I2673,""))</f>
        <v/>
      </c>
      <c r="O2673" s="50">
        <f>IF(A2673="","",IFERROR((IF(G2673="",I2673,G2673)-T2673)/M2673,""))</f>
        <v/>
      </c>
      <c r="P2673" s="50">
        <f>IFERROR((I2673/T2673-1)/N2673,"")</f>
        <v/>
      </c>
      <c r="Q2673" s="46">
        <f>IF(OR(T2673="",I2673&lt;T2673),"",IFERROR(R2673/IF(G2673="",I2673,G2673)-1,""))</f>
        <v/>
      </c>
      <c r="R2673" s="48">
        <f>IF($M2673="","",MAX(IF($G2673="",$I2673,$G2673)*(1/1.1),IF($G2673="",$I2673,$G2673)+(R$2*$M2673)))</f>
        <v/>
      </c>
      <c r="S2673" s="49">
        <f>IF($M2673="","",MAX(IF($G2673="",$I2673,$G2673)*(1/1.1),IF($G2673="",$I2673,$G2673)+(S$2*$M2673)))</f>
        <v/>
      </c>
      <c r="T2673" s="82" t="n"/>
      <c r="U2673" s="47">
        <f>IF(OR($M2673="",$T2673=""),"",$T2673+(U$2*$M2673))</f>
        <v/>
      </c>
      <c r="V2673" s="48">
        <f>IF(OR($M2673="",$T2673=""),"",$T2673+(V$2*$M2673))</f>
        <v/>
      </c>
      <c r="W2673" s="48">
        <f>IF(OR($M2673="",$T2673=""),"",$T2673+(W$2*$M2673))</f>
        <v/>
      </c>
      <c r="X2673" s="49">
        <f>IF(OR($M2673="",$T2673=""),"",$T2673+(X$2*$M2673))</f>
        <v/>
      </c>
      <c r="Y2673" s="47">
        <f>IF(OR($M2673="",$T2673=""),"",$T2673+(Y$2*$M2673))</f>
        <v/>
      </c>
      <c r="Z2673" s="49">
        <f>IF(OR($M2673="",$T2673=""),"",$T2673+(Z$2*$M2673))</f>
        <v/>
      </c>
      <c r="AA2673" s="51">
        <f>IF(OR($M2673="",$T2673=""),"",$T2673+(AA$2*$M2673))</f>
        <v/>
      </c>
      <c r="AB2673" s="48">
        <f>IF(OR($M2673="",$T2673=""),"",$T2673+(AB$2*$M2673))</f>
        <v/>
      </c>
      <c r="AC2673" s="48">
        <f>IF(OR($M2673="",$T2673=""),"",$T2673+(AC$2*$M2673))</f>
        <v/>
      </c>
      <c r="AD2673" s="48">
        <f>IF(OR($M2673="",$T2673=""),"",$T2673+(AD$2*$M2673))</f>
        <v/>
      </c>
      <c r="AE2673" s="49">
        <f>IF(OR($M2673="",$T2673=""),"",$T2673+(AE$2*$M2673))</f>
        <v/>
      </c>
      <c r="AF2673" s="52">
        <f>IF(OR(T2673="",I2673&lt;T2673),"",IFERROR(AVERAGE(T2673+M2673*{7,8,9,10,11})/IF(G2673="",I2673,G2673)-1,""))</f>
        <v/>
      </c>
      <c r="AG2673" s="55">
        <f>IF(OR(T2673="",I2673&lt;T2673),"",IFERROR(AF2673/-(R2673/IF(G2673="",I2673,G2673)-1),""))</f>
        <v/>
      </c>
      <c r="AH2673" s="94" t="n"/>
      <c r="AI2673" s="94" t="n"/>
      <c r="AJ2673" s="94" t="n"/>
      <c r="AK2673" s="94" t="n"/>
      <c r="AL2673" s="84" t="n"/>
    </row>
    <row r="2674">
      <c r="A2674" s="64" t="n"/>
      <c r="B2674" s="65" t="n"/>
      <c r="C2674" s="66" t="n"/>
      <c r="D2674" s="67" t="n"/>
      <c r="E2674" s="68" t="n"/>
      <c r="F2674" s="47">
        <f>IF(A2674="","",IF(MIN(H2674,MAX(J2674:K2674))=0,"",MIN(H2674,MAX(J2674:K2674))))</f>
        <v/>
      </c>
      <c r="G2674" s="74" t="n"/>
      <c r="H2674" s="49">
        <f>IF(M2674="","",IFERROR(ROUND(AVERAGE(T2674+M2674*{7,8,9,10,11})/1.21,4),""))</f>
        <v/>
      </c>
      <c r="I2674" s="76" t="n"/>
      <c r="J2674" s="77" t="n"/>
      <c r="K2674" s="74" t="n"/>
      <c r="L2674" s="78" t="n"/>
      <c r="M2674" s="77" t="n"/>
      <c r="N2674" s="53">
        <f>IF(M2674="","",IFERROR(M2674/I2674,""))</f>
        <v/>
      </c>
      <c r="O2674" s="50">
        <f>IF(A2674="","",IFERROR((IF(G2674="",I2674,G2674)-T2674)/M2674,""))</f>
        <v/>
      </c>
      <c r="P2674" s="50">
        <f>IFERROR((I2674/T2674-1)/N2674,"")</f>
        <v/>
      </c>
      <c r="Q2674" s="46">
        <f>IF(OR(T2674="",I2674&lt;T2674),"",IFERROR(R2674/IF(G2674="",I2674,G2674)-1,""))</f>
        <v/>
      </c>
      <c r="R2674" s="48">
        <f>IF($M2674="","",MAX(IF($G2674="",$I2674,$G2674)*(1/1.1),IF($G2674="",$I2674,$G2674)+(R$2*$M2674)))</f>
        <v/>
      </c>
      <c r="S2674" s="49">
        <f>IF($M2674="","",MAX(IF($G2674="",$I2674,$G2674)*(1/1.1),IF($G2674="",$I2674,$G2674)+(S$2*$M2674)))</f>
        <v/>
      </c>
      <c r="T2674" s="82" t="n"/>
      <c r="U2674" s="47">
        <f>IF(OR($M2674="",$T2674=""),"",$T2674+(U$2*$M2674))</f>
        <v/>
      </c>
      <c r="V2674" s="48">
        <f>IF(OR($M2674="",$T2674=""),"",$T2674+(V$2*$M2674))</f>
        <v/>
      </c>
      <c r="W2674" s="48">
        <f>IF(OR($M2674="",$T2674=""),"",$T2674+(W$2*$M2674))</f>
        <v/>
      </c>
      <c r="X2674" s="49">
        <f>IF(OR($M2674="",$T2674=""),"",$T2674+(X$2*$M2674))</f>
        <v/>
      </c>
      <c r="Y2674" s="47">
        <f>IF(OR($M2674="",$T2674=""),"",$T2674+(Y$2*$M2674))</f>
        <v/>
      </c>
      <c r="Z2674" s="49">
        <f>IF(OR($M2674="",$T2674=""),"",$T2674+(Z$2*$M2674))</f>
        <v/>
      </c>
      <c r="AA2674" s="51">
        <f>IF(OR($M2674="",$T2674=""),"",$T2674+(AA$2*$M2674))</f>
        <v/>
      </c>
      <c r="AB2674" s="48">
        <f>IF(OR($M2674="",$T2674=""),"",$T2674+(AB$2*$M2674))</f>
        <v/>
      </c>
      <c r="AC2674" s="48">
        <f>IF(OR($M2674="",$T2674=""),"",$T2674+(AC$2*$M2674))</f>
        <v/>
      </c>
      <c r="AD2674" s="48">
        <f>IF(OR($M2674="",$T2674=""),"",$T2674+(AD$2*$M2674))</f>
        <v/>
      </c>
      <c r="AE2674" s="49">
        <f>IF(OR($M2674="",$T2674=""),"",$T2674+(AE$2*$M2674))</f>
        <v/>
      </c>
      <c r="AF2674" s="52">
        <f>IF(OR(T2674="",I2674&lt;T2674),"",IFERROR(AVERAGE(T2674+M2674*{7,8,9,10,11})/IF(G2674="",I2674,G2674)-1,""))</f>
        <v/>
      </c>
      <c r="AG2674" s="55">
        <f>IF(OR(T2674="",I2674&lt;T2674),"",IFERROR(AF2674/-(R2674/IF(G2674="",I2674,G2674)-1),""))</f>
        <v/>
      </c>
      <c r="AH2674" s="94" t="n"/>
      <c r="AI2674" s="94" t="n"/>
      <c r="AJ2674" s="94" t="n"/>
      <c r="AK2674" s="94" t="n"/>
      <c r="AL2674" s="84" t="n"/>
    </row>
    <row r="2675">
      <c r="A2675" s="64" t="n"/>
      <c r="B2675" s="65" t="n"/>
      <c r="C2675" s="66" t="n"/>
      <c r="D2675" s="67" t="n"/>
      <c r="E2675" s="68" t="n"/>
      <c r="F2675" s="47">
        <f>IF(A2675="","",IF(MIN(H2675,MAX(J2675:K2675))=0,"",MIN(H2675,MAX(J2675:K2675))))</f>
        <v/>
      </c>
      <c r="G2675" s="74" t="n"/>
      <c r="H2675" s="49">
        <f>IF(M2675="","",IFERROR(ROUND(AVERAGE(T2675+M2675*{7,8,9,10,11})/1.21,4),""))</f>
        <v/>
      </c>
      <c r="I2675" s="76" t="n"/>
      <c r="J2675" s="77" t="n"/>
      <c r="K2675" s="74" t="n"/>
      <c r="L2675" s="78" t="n"/>
      <c r="M2675" s="77" t="n"/>
      <c r="N2675" s="53">
        <f>IF(M2675="","",IFERROR(M2675/I2675,""))</f>
        <v/>
      </c>
      <c r="O2675" s="50">
        <f>IF(A2675="","",IFERROR((IF(G2675="",I2675,G2675)-T2675)/M2675,""))</f>
        <v/>
      </c>
      <c r="P2675" s="50">
        <f>IFERROR((I2675/T2675-1)/N2675,"")</f>
        <v/>
      </c>
      <c r="Q2675" s="46">
        <f>IF(OR(T2675="",I2675&lt;T2675),"",IFERROR(R2675/IF(G2675="",I2675,G2675)-1,""))</f>
        <v/>
      </c>
      <c r="R2675" s="48">
        <f>IF($M2675="","",MAX(IF($G2675="",$I2675,$G2675)*(1/1.1),IF($G2675="",$I2675,$G2675)+(R$2*$M2675)))</f>
        <v/>
      </c>
      <c r="S2675" s="49">
        <f>IF($M2675="","",MAX(IF($G2675="",$I2675,$G2675)*(1/1.1),IF($G2675="",$I2675,$G2675)+(S$2*$M2675)))</f>
        <v/>
      </c>
      <c r="T2675" s="82" t="n"/>
      <c r="U2675" s="47">
        <f>IF(OR($M2675="",$T2675=""),"",$T2675+(U$2*$M2675))</f>
        <v/>
      </c>
      <c r="V2675" s="48">
        <f>IF(OR($M2675="",$T2675=""),"",$T2675+(V$2*$M2675))</f>
        <v/>
      </c>
      <c r="W2675" s="48">
        <f>IF(OR($M2675="",$T2675=""),"",$T2675+(W$2*$M2675))</f>
        <v/>
      </c>
      <c r="X2675" s="49">
        <f>IF(OR($M2675="",$T2675=""),"",$T2675+(X$2*$M2675))</f>
        <v/>
      </c>
      <c r="Y2675" s="47">
        <f>IF(OR($M2675="",$T2675=""),"",$T2675+(Y$2*$M2675))</f>
        <v/>
      </c>
      <c r="Z2675" s="49">
        <f>IF(OR($M2675="",$T2675=""),"",$T2675+(Z$2*$M2675))</f>
        <v/>
      </c>
      <c r="AA2675" s="51">
        <f>IF(OR($M2675="",$T2675=""),"",$T2675+(AA$2*$M2675))</f>
        <v/>
      </c>
      <c r="AB2675" s="48">
        <f>IF(OR($M2675="",$T2675=""),"",$T2675+(AB$2*$M2675))</f>
        <v/>
      </c>
      <c r="AC2675" s="48">
        <f>IF(OR($M2675="",$T2675=""),"",$T2675+(AC$2*$M2675))</f>
        <v/>
      </c>
      <c r="AD2675" s="48">
        <f>IF(OR($M2675="",$T2675=""),"",$T2675+(AD$2*$M2675))</f>
        <v/>
      </c>
      <c r="AE2675" s="49">
        <f>IF(OR($M2675="",$T2675=""),"",$T2675+(AE$2*$M2675))</f>
        <v/>
      </c>
      <c r="AF2675" s="52">
        <f>IF(OR(T2675="",I2675&lt;T2675),"",IFERROR(AVERAGE(T2675+M2675*{7,8,9,10,11})/IF(G2675="",I2675,G2675)-1,""))</f>
        <v/>
      </c>
      <c r="AG2675" s="55">
        <f>IF(OR(T2675="",I2675&lt;T2675),"",IFERROR(AF2675/-(R2675/IF(G2675="",I2675,G2675)-1),""))</f>
        <v/>
      </c>
      <c r="AH2675" s="94" t="n"/>
      <c r="AI2675" s="94" t="n"/>
      <c r="AJ2675" s="94" t="n"/>
      <c r="AK2675" s="94" t="n"/>
      <c r="AL2675" s="84" t="n"/>
    </row>
    <row r="2676">
      <c r="A2676" s="64" t="n"/>
      <c r="B2676" s="65" t="n"/>
      <c r="C2676" s="66" t="n"/>
      <c r="D2676" s="67" t="n"/>
      <c r="E2676" s="68" t="n"/>
      <c r="F2676" s="47">
        <f>IF(A2676="","",IF(MIN(H2676,MAX(J2676:K2676))=0,"",MIN(H2676,MAX(J2676:K2676))))</f>
        <v/>
      </c>
      <c r="G2676" s="74" t="n"/>
      <c r="H2676" s="49">
        <f>IF(M2676="","",IFERROR(ROUND(AVERAGE(T2676+M2676*{7,8,9,10,11})/1.21,4),""))</f>
        <v/>
      </c>
      <c r="I2676" s="76" t="n"/>
      <c r="J2676" s="77" t="n"/>
      <c r="K2676" s="74" t="n"/>
      <c r="L2676" s="78" t="n"/>
      <c r="M2676" s="77" t="n"/>
      <c r="N2676" s="53">
        <f>IF(M2676="","",IFERROR(M2676/I2676,""))</f>
        <v/>
      </c>
      <c r="O2676" s="50">
        <f>IF(A2676="","",IFERROR((IF(G2676="",I2676,G2676)-T2676)/M2676,""))</f>
        <v/>
      </c>
      <c r="P2676" s="50">
        <f>IFERROR((I2676/T2676-1)/N2676,"")</f>
        <v/>
      </c>
      <c r="Q2676" s="46">
        <f>IF(OR(T2676="",I2676&lt;T2676),"",IFERROR(R2676/IF(G2676="",I2676,G2676)-1,""))</f>
        <v/>
      </c>
      <c r="R2676" s="48">
        <f>IF($M2676="","",MAX(IF($G2676="",$I2676,$G2676)*(1/1.1),IF($G2676="",$I2676,$G2676)+(R$2*$M2676)))</f>
        <v/>
      </c>
      <c r="S2676" s="49">
        <f>IF($M2676="","",MAX(IF($G2676="",$I2676,$G2676)*(1/1.1),IF($G2676="",$I2676,$G2676)+(S$2*$M2676)))</f>
        <v/>
      </c>
      <c r="T2676" s="82" t="n"/>
      <c r="U2676" s="47">
        <f>IF(OR($M2676="",$T2676=""),"",$T2676+(U$2*$M2676))</f>
        <v/>
      </c>
      <c r="V2676" s="48">
        <f>IF(OR($M2676="",$T2676=""),"",$T2676+(V$2*$M2676))</f>
        <v/>
      </c>
      <c r="W2676" s="48">
        <f>IF(OR($M2676="",$T2676=""),"",$T2676+(W$2*$M2676))</f>
        <v/>
      </c>
      <c r="X2676" s="49">
        <f>IF(OR($M2676="",$T2676=""),"",$T2676+(X$2*$M2676))</f>
        <v/>
      </c>
      <c r="Y2676" s="47">
        <f>IF(OR($M2676="",$T2676=""),"",$T2676+(Y$2*$M2676))</f>
        <v/>
      </c>
      <c r="Z2676" s="49">
        <f>IF(OR($M2676="",$T2676=""),"",$T2676+(Z$2*$M2676))</f>
        <v/>
      </c>
      <c r="AA2676" s="51">
        <f>IF(OR($M2676="",$T2676=""),"",$T2676+(AA$2*$M2676))</f>
        <v/>
      </c>
      <c r="AB2676" s="48">
        <f>IF(OR($M2676="",$T2676=""),"",$T2676+(AB$2*$M2676))</f>
        <v/>
      </c>
      <c r="AC2676" s="48">
        <f>IF(OR($M2676="",$T2676=""),"",$T2676+(AC$2*$M2676))</f>
        <v/>
      </c>
      <c r="AD2676" s="48">
        <f>IF(OR($M2676="",$T2676=""),"",$T2676+(AD$2*$M2676))</f>
        <v/>
      </c>
      <c r="AE2676" s="49">
        <f>IF(OR($M2676="",$T2676=""),"",$T2676+(AE$2*$M2676))</f>
        <v/>
      </c>
      <c r="AF2676" s="52">
        <f>IF(OR(T2676="",I2676&lt;T2676),"",IFERROR(AVERAGE(T2676+M2676*{7,8,9,10,11})/IF(G2676="",I2676,G2676)-1,""))</f>
        <v/>
      </c>
      <c r="AG2676" s="55">
        <f>IF(OR(T2676="",I2676&lt;T2676),"",IFERROR(AF2676/-(R2676/IF(G2676="",I2676,G2676)-1),""))</f>
        <v/>
      </c>
      <c r="AH2676" s="94" t="n"/>
      <c r="AI2676" s="94" t="n"/>
      <c r="AJ2676" s="94" t="n"/>
      <c r="AK2676" s="94" t="n"/>
      <c r="AL2676" s="84" t="n"/>
    </row>
    <row r="2677">
      <c r="A2677" s="64" t="n"/>
      <c r="B2677" s="65" t="n"/>
      <c r="C2677" s="66" t="n"/>
      <c r="D2677" s="67" t="n"/>
      <c r="E2677" s="68" t="n"/>
      <c r="F2677" s="47">
        <f>IF(A2677="","",IF(MIN(H2677,MAX(J2677:K2677))=0,"",MIN(H2677,MAX(J2677:K2677))))</f>
        <v/>
      </c>
      <c r="G2677" s="74" t="n"/>
      <c r="H2677" s="49">
        <f>IF(M2677="","",IFERROR(ROUND(AVERAGE(T2677+M2677*{7,8,9,10,11})/1.21,4),""))</f>
        <v/>
      </c>
      <c r="I2677" s="76" t="n"/>
      <c r="J2677" s="77" t="n"/>
      <c r="K2677" s="74" t="n"/>
      <c r="L2677" s="78" t="n"/>
      <c r="M2677" s="77" t="n"/>
      <c r="N2677" s="53">
        <f>IF(M2677="","",IFERROR(M2677/I2677,""))</f>
        <v/>
      </c>
      <c r="O2677" s="50">
        <f>IF(A2677="","",IFERROR((IF(G2677="",I2677,G2677)-T2677)/M2677,""))</f>
        <v/>
      </c>
      <c r="P2677" s="50">
        <f>IFERROR((I2677/T2677-1)/N2677,"")</f>
        <v/>
      </c>
      <c r="Q2677" s="46">
        <f>IF(OR(T2677="",I2677&lt;T2677),"",IFERROR(R2677/IF(G2677="",I2677,G2677)-1,""))</f>
        <v/>
      </c>
      <c r="R2677" s="48">
        <f>IF($M2677="","",MAX(IF($G2677="",$I2677,$G2677)*(1/1.1),IF($G2677="",$I2677,$G2677)+(R$2*$M2677)))</f>
        <v/>
      </c>
      <c r="S2677" s="49">
        <f>IF($M2677="","",MAX(IF($G2677="",$I2677,$G2677)*(1/1.1),IF($G2677="",$I2677,$G2677)+(S$2*$M2677)))</f>
        <v/>
      </c>
      <c r="T2677" s="82" t="n"/>
      <c r="U2677" s="47">
        <f>IF(OR($M2677="",$T2677=""),"",$T2677+(U$2*$M2677))</f>
        <v/>
      </c>
      <c r="V2677" s="48">
        <f>IF(OR($M2677="",$T2677=""),"",$T2677+(V$2*$M2677))</f>
        <v/>
      </c>
      <c r="W2677" s="48">
        <f>IF(OR($M2677="",$T2677=""),"",$T2677+(W$2*$M2677))</f>
        <v/>
      </c>
      <c r="X2677" s="49">
        <f>IF(OR($M2677="",$T2677=""),"",$T2677+(X$2*$M2677))</f>
        <v/>
      </c>
      <c r="Y2677" s="47">
        <f>IF(OR($M2677="",$T2677=""),"",$T2677+(Y$2*$M2677))</f>
        <v/>
      </c>
      <c r="Z2677" s="49">
        <f>IF(OR($M2677="",$T2677=""),"",$T2677+(Z$2*$M2677))</f>
        <v/>
      </c>
      <c r="AA2677" s="51">
        <f>IF(OR($M2677="",$T2677=""),"",$T2677+(AA$2*$M2677))</f>
        <v/>
      </c>
      <c r="AB2677" s="48">
        <f>IF(OR($M2677="",$T2677=""),"",$T2677+(AB$2*$M2677))</f>
        <v/>
      </c>
      <c r="AC2677" s="48">
        <f>IF(OR($M2677="",$T2677=""),"",$T2677+(AC$2*$M2677))</f>
        <v/>
      </c>
      <c r="AD2677" s="48">
        <f>IF(OR($M2677="",$T2677=""),"",$T2677+(AD$2*$M2677))</f>
        <v/>
      </c>
      <c r="AE2677" s="49">
        <f>IF(OR($M2677="",$T2677=""),"",$T2677+(AE$2*$M2677))</f>
        <v/>
      </c>
      <c r="AF2677" s="52">
        <f>IF(OR(T2677="",I2677&lt;T2677),"",IFERROR(AVERAGE(T2677+M2677*{7,8,9,10,11})/IF(G2677="",I2677,G2677)-1,""))</f>
        <v/>
      </c>
      <c r="AG2677" s="55">
        <f>IF(OR(T2677="",I2677&lt;T2677),"",IFERROR(AF2677/-(R2677/IF(G2677="",I2677,G2677)-1),""))</f>
        <v/>
      </c>
      <c r="AH2677" s="94" t="n"/>
      <c r="AI2677" s="94" t="n"/>
      <c r="AJ2677" s="94" t="n"/>
      <c r="AK2677" s="94" t="n"/>
      <c r="AL2677" s="84" t="n"/>
    </row>
    <row r="2678">
      <c r="A2678" s="64" t="n"/>
      <c r="B2678" s="65" t="n"/>
      <c r="C2678" s="66" t="n"/>
      <c r="D2678" s="67" t="n"/>
      <c r="E2678" s="68" t="n"/>
      <c r="F2678" s="47">
        <f>IF(A2678="","",IF(MIN(H2678,MAX(J2678:K2678))=0,"",MIN(H2678,MAX(J2678:K2678))))</f>
        <v/>
      </c>
      <c r="G2678" s="74" t="n"/>
      <c r="H2678" s="49">
        <f>IF(M2678="","",IFERROR(ROUND(AVERAGE(T2678+M2678*{7,8,9,10,11})/1.21,4),""))</f>
        <v/>
      </c>
      <c r="I2678" s="76" t="n"/>
      <c r="J2678" s="77" t="n"/>
      <c r="K2678" s="74" t="n"/>
      <c r="L2678" s="78" t="n"/>
      <c r="M2678" s="77" t="n"/>
      <c r="N2678" s="53">
        <f>IF(M2678="","",IFERROR(M2678/I2678,""))</f>
        <v/>
      </c>
      <c r="O2678" s="50">
        <f>IF(A2678="","",IFERROR((IF(G2678="",I2678,G2678)-T2678)/M2678,""))</f>
        <v/>
      </c>
      <c r="P2678" s="50">
        <f>IFERROR((I2678/T2678-1)/N2678,"")</f>
        <v/>
      </c>
      <c r="Q2678" s="46">
        <f>IF(OR(T2678="",I2678&lt;T2678),"",IFERROR(R2678/IF(G2678="",I2678,G2678)-1,""))</f>
        <v/>
      </c>
      <c r="R2678" s="48">
        <f>IF($M2678="","",MAX(IF($G2678="",$I2678,$G2678)*(1/1.1),IF($G2678="",$I2678,$G2678)+(R$2*$M2678)))</f>
        <v/>
      </c>
      <c r="S2678" s="49">
        <f>IF($M2678="","",MAX(IF($G2678="",$I2678,$G2678)*(1/1.1),IF($G2678="",$I2678,$G2678)+(S$2*$M2678)))</f>
        <v/>
      </c>
      <c r="T2678" s="82" t="n"/>
      <c r="U2678" s="47">
        <f>IF(OR($M2678="",$T2678=""),"",$T2678+(U$2*$M2678))</f>
        <v/>
      </c>
      <c r="V2678" s="48">
        <f>IF(OR($M2678="",$T2678=""),"",$T2678+(V$2*$M2678))</f>
        <v/>
      </c>
      <c r="W2678" s="48">
        <f>IF(OR($M2678="",$T2678=""),"",$T2678+(W$2*$M2678))</f>
        <v/>
      </c>
      <c r="X2678" s="49">
        <f>IF(OR($M2678="",$T2678=""),"",$T2678+(X$2*$M2678))</f>
        <v/>
      </c>
      <c r="Y2678" s="47">
        <f>IF(OR($M2678="",$T2678=""),"",$T2678+(Y$2*$M2678))</f>
        <v/>
      </c>
      <c r="Z2678" s="49">
        <f>IF(OR($M2678="",$T2678=""),"",$T2678+(Z$2*$M2678))</f>
        <v/>
      </c>
      <c r="AA2678" s="51">
        <f>IF(OR($M2678="",$T2678=""),"",$T2678+(AA$2*$M2678))</f>
        <v/>
      </c>
      <c r="AB2678" s="48">
        <f>IF(OR($M2678="",$T2678=""),"",$T2678+(AB$2*$M2678))</f>
        <v/>
      </c>
      <c r="AC2678" s="48">
        <f>IF(OR($M2678="",$T2678=""),"",$T2678+(AC$2*$M2678))</f>
        <v/>
      </c>
      <c r="AD2678" s="48">
        <f>IF(OR($M2678="",$T2678=""),"",$T2678+(AD$2*$M2678))</f>
        <v/>
      </c>
      <c r="AE2678" s="49">
        <f>IF(OR($M2678="",$T2678=""),"",$T2678+(AE$2*$M2678))</f>
        <v/>
      </c>
      <c r="AF2678" s="52">
        <f>IF(OR(T2678="",I2678&lt;T2678),"",IFERROR(AVERAGE(T2678+M2678*{7,8,9,10,11})/IF(G2678="",I2678,G2678)-1,""))</f>
        <v/>
      </c>
      <c r="AG2678" s="55">
        <f>IF(OR(T2678="",I2678&lt;T2678),"",IFERROR(AF2678/-(R2678/IF(G2678="",I2678,G2678)-1),""))</f>
        <v/>
      </c>
      <c r="AH2678" s="94" t="n"/>
      <c r="AI2678" s="94" t="n"/>
      <c r="AJ2678" s="94" t="n"/>
      <c r="AK2678" s="94" t="n"/>
      <c r="AL2678" s="84" t="n"/>
    </row>
    <row r="2679">
      <c r="A2679" s="64" t="n"/>
      <c r="B2679" s="65" t="n"/>
      <c r="C2679" s="66" t="n"/>
      <c r="D2679" s="67" t="n"/>
      <c r="E2679" s="68" t="n"/>
      <c r="F2679" s="47">
        <f>IF(A2679="","",IF(MIN(H2679,MAX(J2679:K2679))=0,"",MIN(H2679,MAX(J2679:K2679))))</f>
        <v/>
      </c>
      <c r="G2679" s="74" t="n"/>
      <c r="H2679" s="49">
        <f>IF(M2679="","",IFERROR(ROUND(AVERAGE(T2679+M2679*{7,8,9,10,11})/1.21,4),""))</f>
        <v/>
      </c>
      <c r="I2679" s="76" t="n"/>
      <c r="J2679" s="77" t="n"/>
      <c r="K2679" s="74" t="n"/>
      <c r="L2679" s="78" t="n"/>
      <c r="M2679" s="77" t="n"/>
      <c r="N2679" s="53">
        <f>IF(M2679="","",IFERROR(M2679/I2679,""))</f>
        <v/>
      </c>
      <c r="O2679" s="50">
        <f>IF(A2679="","",IFERROR((IF(G2679="",I2679,G2679)-T2679)/M2679,""))</f>
        <v/>
      </c>
      <c r="P2679" s="50">
        <f>IFERROR((I2679/T2679-1)/N2679,"")</f>
        <v/>
      </c>
      <c r="Q2679" s="46">
        <f>IF(OR(T2679="",I2679&lt;T2679),"",IFERROR(R2679/IF(G2679="",I2679,G2679)-1,""))</f>
        <v/>
      </c>
      <c r="R2679" s="48">
        <f>IF($M2679="","",MAX(IF($G2679="",$I2679,$G2679)*(1/1.1),IF($G2679="",$I2679,$G2679)+(R$2*$M2679)))</f>
        <v/>
      </c>
      <c r="S2679" s="49">
        <f>IF($M2679="","",MAX(IF($G2679="",$I2679,$G2679)*(1/1.1),IF($G2679="",$I2679,$G2679)+(S$2*$M2679)))</f>
        <v/>
      </c>
      <c r="T2679" s="82" t="n"/>
      <c r="U2679" s="47">
        <f>IF(OR($M2679="",$T2679=""),"",$T2679+(U$2*$M2679))</f>
        <v/>
      </c>
      <c r="V2679" s="48">
        <f>IF(OR($M2679="",$T2679=""),"",$T2679+(V$2*$M2679))</f>
        <v/>
      </c>
      <c r="W2679" s="48">
        <f>IF(OR($M2679="",$T2679=""),"",$T2679+(W$2*$M2679))</f>
        <v/>
      </c>
      <c r="X2679" s="49">
        <f>IF(OR($M2679="",$T2679=""),"",$T2679+(X$2*$M2679))</f>
        <v/>
      </c>
      <c r="Y2679" s="47">
        <f>IF(OR($M2679="",$T2679=""),"",$T2679+(Y$2*$M2679))</f>
        <v/>
      </c>
      <c r="Z2679" s="49">
        <f>IF(OR($M2679="",$T2679=""),"",$T2679+(Z$2*$M2679))</f>
        <v/>
      </c>
      <c r="AA2679" s="51">
        <f>IF(OR($M2679="",$T2679=""),"",$T2679+(AA$2*$M2679))</f>
        <v/>
      </c>
      <c r="AB2679" s="48">
        <f>IF(OR($M2679="",$T2679=""),"",$T2679+(AB$2*$M2679))</f>
        <v/>
      </c>
      <c r="AC2679" s="48">
        <f>IF(OR($M2679="",$T2679=""),"",$T2679+(AC$2*$M2679))</f>
        <v/>
      </c>
      <c r="AD2679" s="48">
        <f>IF(OR($M2679="",$T2679=""),"",$T2679+(AD$2*$M2679))</f>
        <v/>
      </c>
      <c r="AE2679" s="49">
        <f>IF(OR($M2679="",$T2679=""),"",$T2679+(AE$2*$M2679))</f>
        <v/>
      </c>
      <c r="AF2679" s="52">
        <f>IF(OR(T2679="",I2679&lt;T2679),"",IFERROR(AVERAGE(T2679+M2679*{7,8,9,10,11})/IF(G2679="",I2679,G2679)-1,""))</f>
        <v/>
      </c>
      <c r="AG2679" s="55">
        <f>IF(OR(T2679="",I2679&lt;T2679),"",IFERROR(AF2679/-(R2679/IF(G2679="",I2679,G2679)-1),""))</f>
        <v/>
      </c>
      <c r="AH2679" s="94" t="n"/>
      <c r="AI2679" s="94" t="n"/>
      <c r="AJ2679" s="94" t="n"/>
      <c r="AK2679" s="94" t="n"/>
      <c r="AL2679" s="84" t="n"/>
    </row>
    <row r="2680">
      <c r="A2680" s="64" t="n"/>
      <c r="B2680" s="65" t="n"/>
      <c r="C2680" s="66" t="n"/>
      <c r="D2680" s="67" t="n"/>
      <c r="E2680" s="68" t="n"/>
      <c r="F2680" s="47">
        <f>IF(A2680="","",IF(MIN(H2680,MAX(J2680:K2680))=0,"",MIN(H2680,MAX(J2680:K2680))))</f>
        <v/>
      </c>
      <c r="G2680" s="74" t="n"/>
      <c r="H2680" s="49">
        <f>IF(M2680="","",IFERROR(ROUND(AVERAGE(T2680+M2680*{7,8,9,10,11})/1.21,4),""))</f>
        <v/>
      </c>
      <c r="I2680" s="76" t="n"/>
      <c r="J2680" s="77" t="n"/>
      <c r="K2680" s="74" t="n"/>
      <c r="L2680" s="78" t="n"/>
      <c r="M2680" s="77" t="n"/>
      <c r="N2680" s="53">
        <f>IF(M2680="","",IFERROR(M2680/I2680,""))</f>
        <v/>
      </c>
      <c r="O2680" s="50">
        <f>IF(A2680="","",IFERROR((IF(G2680="",I2680,G2680)-T2680)/M2680,""))</f>
        <v/>
      </c>
      <c r="P2680" s="50">
        <f>IFERROR((I2680/T2680-1)/N2680,"")</f>
        <v/>
      </c>
      <c r="Q2680" s="46">
        <f>IF(OR(T2680="",I2680&lt;T2680),"",IFERROR(R2680/IF(G2680="",I2680,G2680)-1,""))</f>
        <v/>
      </c>
      <c r="R2680" s="48">
        <f>IF($M2680="","",MAX(IF($G2680="",$I2680,$G2680)*(1/1.1),IF($G2680="",$I2680,$G2680)+(R$2*$M2680)))</f>
        <v/>
      </c>
      <c r="S2680" s="49">
        <f>IF($M2680="","",MAX(IF($G2680="",$I2680,$G2680)*(1/1.1),IF($G2680="",$I2680,$G2680)+(S$2*$M2680)))</f>
        <v/>
      </c>
      <c r="T2680" s="82" t="n"/>
      <c r="U2680" s="47">
        <f>IF(OR($M2680="",$T2680=""),"",$T2680+(U$2*$M2680))</f>
        <v/>
      </c>
      <c r="V2680" s="48">
        <f>IF(OR($M2680="",$T2680=""),"",$T2680+(V$2*$M2680))</f>
        <v/>
      </c>
      <c r="W2680" s="48">
        <f>IF(OR($M2680="",$T2680=""),"",$T2680+(W$2*$M2680))</f>
        <v/>
      </c>
      <c r="X2680" s="49">
        <f>IF(OR($M2680="",$T2680=""),"",$T2680+(X$2*$M2680))</f>
        <v/>
      </c>
      <c r="Y2680" s="47">
        <f>IF(OR($M2680="",$T2680=""),"",$T2680+(Y$2*$M2680))</f>
        <v/>
      </c>
      <c r="Z2680" s="49">
        <f>IF(OR($M2680="",$T2680=""),"",$T2680+(Z$2*$M2680))</f>
        <v/>
      </c>
      <c r="AA2680" s="51">
        <f>IF(OR($M2680="",$T2680=""),"",$T2680+(AA$2*$M2680))</f>
        <v/>
      </c>
      <c r="AB2680" s="48">
        <f>IF(OR($M2680="",$T2680=""),"",$T2680+(AB$2*$M2680))</f>
        <v/>
      </c>
      <c r="AC2680" s="48">
        <f>IF(OR($M2680="",$T2680=""),"",$T2680+(AC$2*$M2680))</f>
        <v/>
      </c>
      <c r="AD2680" s="48">
        <f>IF(OR($M2680="",$T2680=""),"",$T2680+(AD$2*$M2680))</f>
        <v/>
      </c>
      <c r="AE2680" s="49">
        <f>IF(OR($M2680="",$T2680=""),"",$T2680+(AE$2*$M2680))</f>
        <v/>
      </c>
      <c r="AF2680" s="52">
        <f>IF(OR(T2680="",I2680&lt;T2680),"",IFERROR(AVERAGE(T2680+M2680*{7,8,9,10,11})/IF(G2680="",I2680,G2680)-1,""))</f>
        <v/>
      </c>
      <c r="AG2680" s="55">
        <f>IF(OR(T2680="",I2680&lt;T2680),"",IFERROR(AF2680/-(R2680/IF(G2680="",I2680,G2680)-1),""))</f>
        <v/>
      </c>
      <c r="AH2680" s="94" t="n"/>
      <c r="AI2680" s="94" t="n"/>
      <c r="AJ2680" s="94" t="n"/>
      <c r="AK2680" s="94" t="n"/>
      <c r="AL2680" s="84" t="n"/>
    </row>
    <row r="2681">
      <c r="A2681" s="64" t="n"/>
      <c r="B2681" s="65" t="n"/>
      <c r="C2681" s="66" t="n"/>
      <c r="D2681" s="67" t="n"/>
      <c r="E2681" s="68" t="n"/>
      <c r="F2681" s="47">
        <f>IF(A2681="","",IF(MIN(H2681,MAX(J2681:K2681))=0,"",MIN(H2681,MAX(J2681:K2681))))</f>
        <v/>
      </c>
      <c r="G2681" s="74" t="n"/>
      <c r="H2681" s="49">
        <f>IF(M2681="","",IFERROR(ROUND(AVERAGE(T2681+M2681*{7,8,9,10,11})/1.21,4),""))</f>
        <v/>
      </c>
      <c r="I2681" s="76" t="n"/>
      <c r="J2681" s="77" t="n"/>
      <c r="K2681" s="74" t="n"/>
      <c r="L2681" s="78" t="n"/>
      <c r="M2681" s="77" t="n"/>
      <c r="N2681" s="53">
        <f>IF(M2681="","",IFERROR(M2681/I2681,""))</f>
        <v/>
      </c>
      <c r="O2681" s="50">
        <f>IF(A2681="","",IFERROR((IF(G2681="",I2681,G2681)-T2681)/M2681,""))</f>
        <v/>
      </c>
      <c r="P2681" s="50">
        <f>IFERROR((I2681/T2681-1)/N2681,"")</f>
        <v/>
      </c>
      <c r="Q2681" s="46">
        <f>IF(OR(T2681="",I2681&lt;T2681),"",IFERROR(R2681/IF(G2681="",I2681,G2681)-1,""))</f>
        <v/>
      </c>
      <c r="R2681" s="48">
        <f>IF($M2681="","",MAX(IF($G2681="",$I2681,$G2681)*(1/1.1),IF($G2681="",$I2681,$G2681)+(R$2*$M2681)))</f>
        <v/>
      </c>
      <c r="S2681" s="49">
        <f>IF($M2681="","",MAX(IF($G2681="",$I2681,$G2681)*(1/1.1),IF($G2681="",$I2681,$G2681)+(S$2*$M2681)))</f>
        <v/>
      </c>
      <c r="T2681" s="82" t="n"/>
      <c r="U2681" s="47">
        <f>IF(OR($M2681="",$T2681=""),"",$T2681+(U$2*$M2681))</f>
        <v/>
      </c>
      <c r="V2681" s="48">
        <f>IF(OR($M2681="",$T2681=""),"",$T2681+(V$2*$M2681))</f>
        <v/>
      </c>
      <c r="W2681" s="48">
        <f>IF(OR($M2681="",$T2681=""),"",$T2681+(W$2*$M2681))</f>
        <v/>
      </c>
      <c r="X2681" s="49">
        <f>IF(OR($M2681="",$T2681=""),"",$T2681+(X$2*$M2681))</f>
        <v/>
      </c>
      <c r="Y2681" s="47">
        <f>IF(OR($M2681="",$T2681=""),"",$T2681+(Y$2*$M2681))</f>
        <v/>
      </c>
      <c r="Z2681" s="49">
        <f>IF(OR($M2681="",$T2681=""),"",$T2681+(Z$2*$M2681))</f>
        <v/>
      </c>
      <c r="AA2681" s="51">
        <f>IF(OR($M2681="",$T2681=""),"",$T2681+(AA$2*$M2681))</f>
        <v/>
      </c>
      <c r="AB2681" s="48">
        <f>IF(OR($M2681="",$T2681=""),"",$T2681+(AB$2*$M2681))</f>
        <v/>
      </c>
      <c r="AC2681" s="48">
        <f>IF(OR($M2681="",$T2681=""),"",$T2681+(AC$2*$M2681))</f>
        <v/>
      </c>
      <c r="AD2681" s="48">
        <f>IF(OR($M2681="",$T2681=""),"",$T2681+(AD$2*$M2681))</f>
        <v/>
      </c>
      <c r="AE2681" s="49">
        <f>IF(OR($M2681="",$T2681=""),"",$T2681+(AE$2*$M2681))</f>
        <v/>
      </c>
      <c r="AF2681" s="52">
        <f>IF(OR(T2681="",I2681&lt;T2681),"",IFERROR(AVERAGE(T2681+M2681*{7,8,9,10,11})/IF(G2681="",I2681,G2681)-1,""))</f>
        <v/>
      </c>
      <c r="AG2681" s="55">
        <f>IF(OR(T2681="",I2681&lt;T2681),"",IFERROR(AF2681/-(R2681/IF(G2681="",I2681,G2681)-1),""))</f>
        <v/>
      </c>
      <c r="AH2681" s="94" t="n"/>
      <c r="AI2681" s="94" t="n"/>
      <c r="AJ2681" s="94" t="n"/>
      <c r="AK2681" s="94" t="n"/>
      <c r="AL2681" s="84" t="n"/>
    </row>
    <row r="2682">
      <c r="A2682" s="64" t="n"/>
      <c r="B2682" s="65" t="n"/>
      <c r="C2682" s="66" t="n"/>
      <c r="D2682" s="67" t="n"/>
      <c r="E2682" s="68" t="n"/>
      <c r="F2682" s="47">
        <f>IF(A2682="","",IF(MIN(H2682,MAX(J2682:K2682))=0,"",MIN(H2682,MAX(J2682:K2682))))</f>
        <v/>
      </c>
      <c r="G2682" s="74" t="n"/>
      <c r="H2682" s="49">
        <f>IF(M2682="","",IFERROR(ROUND(AVERAGE(T2682+M2682*{7,8,9,10,11})/1.21,4),""))</f>
        <v/>
      </c>
      <c r="I2682" s="76" t="n"/>
      <c r="J2682" s="77" t="n"/>
      <c r="K2682" s="74" t="n"/>
      <c r="L2682" s="78" t="n"/>
      <c r="M2682" s="77" t="n"/>
      <c r="N2682" s="53">
        <f>IF(M2682="","",IFERROR(M2682/I2682,""))</f>
        <v/>
      </c>
      <c r="O2682" s="50">
        <f>IF(A2682="","",IFERROR((IF(G2682="",I2682,G2682)-T2682)/M2682,""))</f>
        <v/>
      </c>
      <c r="P2682" s="50">
        <f>IFERROR((I2682/T2682-1)/N2682,"")</f>
        <v/>
      </c>
      <c r="Q2682" s="46">
        <f>IF(OR(T2682="",I2682&lt;T2682),"",IFERROR(R2682/IF(G2682="",I2682,G2682)-1,""))</f>
        <v/>
      </c>
      <c r="R2682" s="48">
        <f>IF($M2682="","",MAX(IF($G2682="",$I2682,$G2682)*(1/1.1),IF($G2682="",$I2682,$G2682)+(R$2*$M2682)))</f>
        <v/>
      </c>
      <c r="S2682" s="49">
        <f>IF($M2682="","",MAX(IF($G2682="",$I2682,$G2682)*(1/1.1),IF($G2682="",$I2682,$G2682)+(S$2*$M2682)))</f>
        <v/>
      </c>
      <c r="T2682" s="82" t="n"/>
      <c r="U2682" s="47">
        <f>IF(OR($M2682="",$T2682=""),"",$T2682+(U$2*$M2682))</f>
        <v/>
      </c>
      <c r="V2682" s="48">
        <f>IF(OR($M2682="",$T2682=""),"",$T2682+(V$2*$M2682))</f>
        <v/>
      </c>
      <c r="W2682" s="48">
        <f>IF(OR($M2682="",$T2682=""),"",$T2682+(W$2*$M2682))</f>
        <v/>
      </c>
      <c r="X2682" s="49">
        <f>IF(OR($M2682="",$T2682=""),"",$T2682+(X$2*$M2682))</f>
        <v/>
      </c>
      <c r="Y2682" s="47">
        <f>IF(OR($M2682="",$T2682=""),"",$T2682+(Y$2*$M2682))</f>
        <v/>
      </c>
      <c r="Z2682" s="49">
        <f>IF(OR($M2682="",$T2682=""),"",$T2682+(Z$2*$M2682))</f>
        <v/>
      </c>
      <c r="AA2682" s="51">
        <f>IF(OR($M2682="",$T2682=""),"",$T2682+(AA$2*$M2682))</f>
        <v/>
      </c>
      <c r="AB2682" s="48">
        <f>IF(OR($M2682="",$T2682=""),"",$T2682+(AB$2*$M2682))</f>
        <v/>
      </c>
      <c r="AC2682" s="48">
        <f>IF(OR($M2682="",$T2682=""),"",$T2682+(AC$2*$M2682))</f>
        <v/>
      </c>
      <c r="AD2682" s="48">
        <f>IF(OR($M2682="",$T2682=""),"",$T2682+(AD$2*$M2682))</f>
        <v/>
      </c>
      <c r="AE2682" s="49">
        <f>IF(OR($M2682="",$T2682=""),"",$T2682+(AE$2*$M2682))</f>
        <v/>
      </c>
      <c r="AF2682" s="52">
        <f>IF(OR(T2682="",I2682&lt;T2682),"",IFERROR(AVERAGE(T2682+M2682*{7,8,9,10,11})/IF(G2682="",I2682,G2682)-1,""))</f>
        <v/>
      </c>
      <c r="AG2682" s="55">
        <f>IF(OR(T2682="",I2682&lt;T2682),"",IFERROR(AF2682/-(R2682/IF(G2682="",I2682,G2682)-1),""))</f>
        <v/>
      </c>
      <c r="AH2682" s="94" t="n"/>
      <c r="AI2682" s="94" t="n"/>
      <c r="AJ2682" s="94" t="n"/>
      <c r="AK2682" s="94" t="n"/>
      <c r="AL2682" s="84" t="n"/>
    </row>
    <row r="2683">
      <c r="A2683" s="64" t="n"/>
      <c r="B2683" s="65" t="n"/>
      <c r="C2683" s="66" t="n"/>
      <c r="D2683" s="67" t="n"/>
      <c r="E2683" s="68" t="n"/>
      <c r="F2683" s="47">
        <f>IF(A2683="","",IF(MIN(H2683,MAX(J2683:K2683))=0,"",MIN(H2683,MAX(J2683:K2683))))</f>
        <v/>
      </c>
      <c r="G2683" s="74" t="n"/>
      <c r="H2683" s="49">
        <f>IF(M2683="","",IFERROR(ROUND(AVERAGE(T2683+M2683*{7,8,9,10,11})/1.21,4),""))</f>
        <v/>
      </c>
      <c r="I2683" s="76" t="n"/>
      <c r="J2683" s="77" t="n"/>
      <c r="K2683" s="74" t="n"/>
      <c r="L2683" s="78" t="n"/>
      <c r="M2683" s="77" t="n"/>
      <c r="N2683" s="53">
        <f>IF(M2683="","",IFERROR(M2683/I2683,""))</f>
        <v/>
      </c>
      <c r="O2683" s="50">
        <f>IF(A2683="","",IFERROR((IF(G2683="",I2683,G2683)-T2683)/M2683,""))</f>
        <v/>
      </c>
      <c r="P2683" s="50">
        <f>IFERROR((I2683/T2683-1)/N2683,"")</f>
        <v/>
      </c>
      <c r="Q2683" s="46">
        <f>IF(OR(T2683="",I2683&lt;T2683),"",IFERROR(R2683/IF(G2683="",I2683,G2683)-1,""))</f>
        <v/>
      </c>
      <c r="R2683" s="48">
        <f>IF($M2683="","",MAX(IF($G2683="",$I2683,$G2683)*(1/1.1),IF($G2683="",$I2683,$G2683)+(R$2*$M2683)))</f>
        <v/>
      </c>
      <c r="S2683" s="49">
        <f>IF($M2683="","",MAX(IF($G2683="",$I2683,$G2683)*(1/1.1),IF($G2683="",$I2683,$G2683)+(S$2*$M2683)))</f>
        <v/>
      </c>
      <c r="T2683" s="82" t="n"/>
      <c r="U2683" s="47">
        <f>IF(OR($M2683="",$T2683=""),"",$T2683+(U$2*$M2683))</f>
        <v/>
      </c>
      <c r="V2683" s="48">
        <f>IF(OR($M2683="",$T2683=""),"",$T2683+(V$2*$M2683))</f>
        <v/>
      </c>
      <c r="W2683" s="48">
        <f>IF(OR($M2683="",$T2683=""),"",$T2683+(W$2*$M2683))</f>
        <v/>
      </c>
      <c r="X2683" s="49">
        <f>IF(OR($M2683="",$T2683=""),"",$T2683+(X$2*$M2683))</f>
        <v/>
      </c>
      <c r="Y2683" s="47">
        <f>IF(OR($M2683="",$T2683=""),"",$T2683+(Y$2*$M2683))</f>
        <v/>
      </c>
      <c r="Z2683" s="49">
        <f>IF(OR($M2683="",$T2683=""),"",$T2683+(Z$2*$M2683))</f>
        <v/>
      </c>
      <c r="AA2683" s="51">
        <f>IF(OR($M2683="",$T2683=""),"",$T2683+(AA$2*$M2683))</f>
        <v/>
      </c>
      <c r="AB2683" s="48">
        <f>IF(OR($M2683="",$T2683=""),"",$T2683+(AB$2*$M2683))</f>
        <v/>
      </c>
      <c r="AC2683" s="48">
        <f>IF(OR($M2683="",$T2683=""),"",$T2683+(AC$2*$M2683))</f>
        <v/>
      </c>
      <c r="AD2683" s="48">
        <f>IF(OR($M2683="",$T2683=""),"",$T2683+(AD$2*$M2683))</f>
        <v/>
      </c>
      <c r="AE2683" s="49">
        <f>IF(OR($M2683="",$T2683=""),"",$T2683+(AE$2*$M2683))</f>
        <v/>
      </c>
      <c r="AF2683" s="52">
        <f>IF(OR(T2683="",I2683&lt;T2683),"",IFERROR(AVERAGE(T2683+M2683*{7,8,9,10,11})/IF(G2683="",I2683,G2683)-1,""))</f>
        <v/>
      </c>
      <c r="AG2683" s="55">
        <f>IF(OR(T2683="",I2683&lt;T2683),"",IFERROR(AF2683/-(R2683/IF(G2683="",I2683,G2683)-1),""))</f>
        <v/>
      </c>
      <c r="AH2683" s="94" t="n"/>
      <c r="AI2683" s="94" t="n"/>
      <c r="AJ2683" s="94" t="n"/>
      <c r="AK2683" s="94" t="n"/>
      <c r="AL2683" s="84" t="n"/>
    </row>
    <row r="2684">
      <c r="A2684" s="64" t="n"/>
      <c r="B2684" s="65" t="n"/>
      <c r="C2684" s="66" t="n"/>
      <c r="D2684" s="67" t="n"/>
      <c r="E2684" s="68" t="n"/>
      <c r="F2684" s="47">
        <f>IF(A2684="","",IF(MIN(H2684,MAX(J2684:K2684))=0,"",MIN(H2684,MAX(J2684:K2684))))</f>
        <v/>
      </c>
      <c r="G2684" s="74" t="n"/>
      <c r="H2684" s="49">
        <f>IF(M2684="","",IFERROR(ROUND(AVERAGE(T2684+M2684*{7,8,9,10,11})/1.21,4),""))</f>
        <v/>
      </c>
      <c r="I2684" s="76" t="n"/>
      <c r="J2684" s="77" t="n"/>
      <c r="K2684" s="74" t="n"/>
      <c r="L2684" s="78" t="n"/>
      <c r="M2684" s="77" t="n"/>
      <c r="N2684" s="53">
        <f>IF(M2684="","",IFERROR(M2684/I2684,""))</f>
        <v/>
      </c>
      <c r="O2684" s="50">
        <f>IF(A2684="","",IFERROR((IF(G2684="",I2684,G2684)-T2684)/M2684,""))</f>
        <v/>
      </c>
      <c r="P2684" s="50">
        <f>IFERROR((I2684/T2684-1)/N2684,"")</f>
        <v/>
      </c>
      <c r="Q2684" s="46">
        <f>IF(OR(T2684="",I2684&lt;T2684),"",IFERROR(R2684/IF(G2684="",I2684,G2684)-1,""))</f>
        <v/>
      </c>
      <c r="R2684" s="48">
        <f>IF($M2684="","",MAX(IF($G2684="",$I2684,$G2684)*(1/1.1),IF($G2684="",$I2684,$G2684)+(R$2*$M2684)))</f>
        <v/>
      </c>
      <c r="S2684" s="49">
        <f>IF($M2684="","",MAX(IF($G2684="",$I2684,$G2684)*(1/1.1),IF($G2684="",$I2684,$G2684)+(S$2*$M2684)))</f>
        <v/>
      </c>
      <c r="T2684" s="82" t="n"/>
      <c r="U2684" s="47">
        <f>IF(OR($M2684="",$T2684=""),"",$T2684+(U$2*$M2684))</f>
        <v/>
      </c>
      <c r="V2684" s="48">
        <f>IF(OR($M2684="",$T2684=""),"",$T2684+(V$2*$M2684))</f>
        <v/>
      </c>
      <c r="W2684" s="48">
        <f>IF(OR($M2684="",$T2684=""),"",$T2684+(W$2*$M2684))</f>
        <v/>
      </c>
      <c r="X2684" s="49">
        <f>IF(OR($M2684="",$T2684=""),"",$T2684+(X$2*$M2684))</f>
        <v/>
      </c>
      <c r="Y2684" s="47">
        <f>IF(OR($M2684="",$T2684=""),"",$T2684+(Y$2*$M2684))</f>
        <v/>
      </c>
      <c r="Z2684" s="49">
        <f>IF(OR($M2684="",$T2684=""),"",$T2684+(Z$2*$M2684))</f>
        <v/>
      </c>
      <c r="AA2684" s="51">
        <f>IF(OR($M2684="",$T2684=""),"",$T2684+(AA$2*$M2684))</f>
        <v/>
      </c>
      <c r="AB2684" s="48">
        <f>IF(OR($M2684="",$T2684=""),"",$T2684+(AB$2*$M2684))</f>
        <v/>
      </c>
      <c r="AC2684" s="48">
        <f>IF(OR($M2684="",$T2684=""),"",$T2684+(AC$2*$M2684))</f>
        <v/>
      </c>
      <c r="AD2684" s="48">
        <f>IF(OR($M2684="",$T2684=""),"",$T2684+(AD$2*$M2684))</f>
        <v/>
      </c>
      <c r="AE2684" s="49">
        <f>IF(OR($M2684="",$T2684=""),"",$T2684+(AE$2*$M2684))</f>
        <v/>
      </c>
      <c r="AF2684" s="52">
        <f>IF(OR(T2684="",I2684&lt;T2684),"",IFERROR(AVERAGE(T2684+M2684*{7,8,9,10,11})/IF(G2684="",I2684,G2684)-1,""))</f>
        <v/>
      </c>
      <c r="AG2684" s="55">
        <f>IF(OR(T2684="",I2684&lt;T2684),"",IFERROR(AF2684/-(R2684/IF(G2684="",I2684,G2684)-1),""))</f>
        <v/>
      </c>
      <c r="AH2684" s="94" t="n"/>
      <c r="AI2684" s="94" t="n"/>
      <c r="AJ2684" s="94" t="n"/>
      <c r="AK2684" s="94" t="n"/>
      <c r="AL2684" s="84" t="n"/>
    </row>
    <row r="2685">
      <c r="A2685" s="64" t="n"/>
      <c r="B2685" s="65" t="n"/>
      <c r="C2685" s="66" t="n"/>
      <c r="D2685" s="67" t="n"/>
      <c r="E2685" s="68" t="n"/>
      <c r="F2685" s="47">
        <f>IF(A2685="","",IF(MIN(H2685,MAX(J2685:K2685))=0,"",MIN(H2685,MAX(J2685:K2685))))</f>
        <v/>
      </c>
      <c r="G2685" s="74" t="n"/>
      <c r="H2685" s="49">
        <f>IF(M2685="","",IFERROR(ROUND(AVERAGE(T2685+M2685*{7,8,9,10,11})/1.21,4),""))</f>
        <v/>
      </c>
      <c r="I2685" s="76" t="n"/>
      <c r="J2685" s="77" t="n"/>
      <c r="K2685" s="74" t="n"/>
      <c r="L2685" s="78" t="n"/>
      <c r="M2685" s="77" t="n"/>
      <c r="N2685" s="53">
        <f>IF(M2685="","",IFERROR(M2685/I2685,""))</f>
        <v/>
      </c>
      <c r="O2685" s="50">
        <f>IF(A2685="","",IFERROR((IF(G2685="",I2685,G2685)-T2685)/M2685,""))</f>
        <v/>
      </c>
      <c r="P2685" s="50">
        <f>IFERROR((I2685/T2685-1)/N2685,"")</f>
        <v/>
      </c>
      <c r="Q2685" s="46">
        <f>IF(OR(T2685="",I2685&lt;T2685),"",IFERROR(R2685/IF(G2685="",I2685,G2685)-1,""))</f>
        <v/>
      </c>
      <c r="R2685" s="48">
        <f>IF($M2685="","",MAX(IF($G2685="",$I2685,$G2685)*(1/1.1),IF($G2685="",$I2685,$G2685)+(R$2*$M2685)))</f>
        <v/>
      </c>
      <c r="S2685" s="49">
        <f>IF($M2685="","",MAX(IF($G2685="",$I2685,$G2685)*(1/1.1),IF($G2685="",$I2685,$G2685)+(S$2*$M2685)))</f>
        <v/>
      </c>
      <c r="T2685" s="82" t="n"/>
      <c r="U2685" s="47">
        <f>IF(OR($M2685="",$T2685=""),"",$T2685+(U$2*$M2685))</f>
        <v/>
      </c>
      <c r="V2685" s="48">
        <f>IF(OR($M2685="",$T2685=""),"",$T2685+(V$2*$M2685))</f>
        <v/>
      </c>
      <c r="W2685" s="48">
        <f>IF(OR($M2685="",$T2685=""),"",$T2685+(W$2*$M2685))</f>
        <v/>
      </c>
      <c r="X2685" s="49">
        <f>IF(OR($M2685="",$T2685=""),"",$T2685+(X$2*$M2685))</f>
        <v/>
      </c>
      <c r="Y2685" s="47">
        <f>IF(OR($M2685="",$T2685=""),"",$T2685+(Y$2*$M2685))</f>
        <v/>
      </c>
      <c r="Z2685" s="49">
        <f>IF(OR($M2685="",$T2685=""),"",$T2685+(Z$2*$M2685))</f>
        <v/>
      </c>
      <c r="AA2685" s="51">
        <f>IF(OR($M2685="",$T2685=""),"",$T2685+(AA$2*$M2685))</f>
        <v/>
      </c>
      <c r="AB2685" s="48">
        <f>IF(OR($M2685="",$T2685=""),"",$T2685+(AB$2*$M2685))</f>
        <v/>
      </c>
      <c r="AC2685" s="48">
        <f>IF(OR($M2685="",$T2685=""),"",$T2685+(AC$2*$M2685))</f>
        <v/>
      </c>
      <c r="AD2685" s="48">
        <f>IF(OR($M2685="",$T2685=""),"",$T2685+(AD$2*$M2685))</f>
        <v/>
      </c>
      <c r="AE2685" s="49">
        <f>IF(OR($M2685="",$T2685=""),"",$T2685+(AE$2*$M2685))</f>
        <v/>
      </c>
      <c r="AF2685" s="52">
        <f>IF(OR(T2685="",I2685&lt;T2685),"",IFERROR(AVERAGE(T2685+M2685*{7,8,9,10,11})/IF(G2685="",I2685,G2685)-1,""))</f>
        <v/>
      </c>
      <c r="AG2685" s="55">
        <f>IF(OR(T2685="",I2685&lt;T2685),"",IFERROR(AF2685/-(R2685/IF(G2685="",I2685,G2685)-1),""))</f>
        <v/>
      </c>
      <c r="AH2685" s="94" t="n"/>
      <c r="AI2685" s="94" t="n"/>
      <c r="AJ2685" s="94" t="n"/>
      <c r="AK2685" s="94" t="n"/>
      <c r="AL2685" s="84" t="n"/>
    </row>
    <row r="2686">
      <c r="A2686" s="64" t="n"/>
      <c r="B2686" s="65" t="n"/>
      <c r="C2686" s="66" t="n"/>
      <c r="D2686" s="67" t="n"/>
      <c r="E2686" s="68" t="n"/>
      <c r="F2686" s="47">
        <f>IF(A2686="","",IF(MIN(H2686,MAX(J2686:K2686))=0,"",MIN(H2686,MAX(J2686:K2686))))</f>
        <v/>
      </c>
      <c r="G2686" s="74" t="n"/>
      <c r="H2686" s="49">
        <f>IF(M2686="","",IFERROR(ROUND(AVERAGE(T2686+M2686*{7,8,9,10,11})/1.21,4),""))</f>
        <v/>
      </c>
      <c r="I2686" s="76" t="n"/>
      <c r="J2686" s="77" t="n"/>
      <c r="K2686" s="74" t="n"/>
      <c r="L2686" s="78" t="n"/>
      <c r="M2686" s="77" t="n"/>
      <c r="N2686" s="53">
        <f>IF(M2686="","",IFERROR(M2686/I2686,""))</f>
        <v/>
      </c>
      <c r="O2686" s="50">
        <f>IF(A2686="","",IFERROR((IF(G2686="",I2686,G2686)-T2686)/M2686,""))</f>
        <v/>
      </c>
      <c r="P2686" s="50">
        <f>IFERROR((I2686/T2686-1)/N2686,"")</f>
        <v/>
      </c>
      <c r="Q2686" s="46">
        <f>IF(OR(T2686="",I2686&lt;T2686),"",IFERROR(R2686/IF(G2686="",I2686,G2686)-1,""))</f>
        <v/>
      </c>
      <c r="R2686" s="48">
        <f>IF($M2686="","",MAX(IF($G2686="",$I2686,$G2686)*(1/1.1),IF($G2686="",$I2686,$G2686)+(R$2*$M2686)))</f>
        <v/>
      </c>
      <c r="S2686" s="49">
        <f>IF($M2686="","",MAX(IF($G2686="",$I2686,$G2686)*(1/1.1),IF($G2686="",$I2686,$G2686)+(S$2*$M2686)))</f>
        <v/>
      </c>
      <c r="T2686" s="82" t="n"/>
      <c r="U2686" s="47">
        <f>IF(OR($M2686="",$T2686=""),"",$T2686+(U$2*$M2686))</f>
        <v/>
      </c>
      <c r="V2686" s="48">
        <f>IF(OR($M2686="",$T2686=""),"",$T2686+(V$2*$M2686))</f>
        <v/>
      </c>
      <c r="W2686" s="48">
        <f>IF(OR($M2686="",$T2686=""),"",$T2686+(W$2*$M2686))</f>
        <v/>
      </c>
      <c r="X2686" s="49">
        <f>IF(OR($M2686="",$T2686=""),"",$T2686+(X$2*$M2686))</f>
        <v/>
      </c>
      <c r="Y2686" s="47">
        <f>IF(OR($M2686="",$T2686=""),"",$T2686+(Y$2*$M2686))</f>
        <v/>
      </c>
      <c r="Z2686" s="49">
        <f>IF(OR($M2686="",$T2686=""),"",$T2686+(Z$2*$M2686))</f>
        <v/>
      </c>
      <c r="AA2686" s="51">
        <f>IF(OR($M2686="",$T2686=""),"",$T2686+(AA$2*$M2686))</f>
        <v/>
      </c>
      <c r="AB2686" s="48">
        <f>IF(OR($M2686="",$T2686=""),"",$T2686+(AB$2*$M2686))</f>
        <v/>
      </c>
      <c r="AC2686" s="48">
        <f>IF(OR($M2686="",$T2686=""),"",$T2686+(AC$2*$M2686))</f>
        <v/>
      </c>
      <c r="AD2686" s="48">
        <f>IF(OR($M2686="",$T2686=""),"",$T2686+(AD$2*$M2686))</f>
        <v/>
      </c>
      <c r="AE2686" s="49">
        <f>IF(OR($M2686="",$T2686=""),"",$T2686+(AE$2*$M2686))</f>
        <v/>
      </c>
      <c r="AF2686" s="52">
        <f>IF(OR(T2686="",I2686&lt;T2686),"",IFERROR(AVERAGE(T2686+M2686*{7,8,9,10,11})/IF(G2686="",I2686,G2686)-1,""))</f>
        <v/>
      </c>
      <c r="AG2686" s="55">
        <f>IF(OR(T2686="",I2686&lt;T2686),"",IFERROR(AF2686/-(R2686/IF(G2686="",I2686,G2686)-1),""))</f>
        <v/>
      </c>
      <c r="AH2686" s="94" t="n"/>
      <c r="AI2686" s="94" t="n"/>
      <c r="AJ2686" s="94" t="n"/>
      <c r="AK2686" s="94" t="n"/>
      <c r="AL2686" s="84" t="n"/>
    </row>
    <row r="2687">
      <c r="A2687" s="64" t="n"/>
      <c r="B2687" s="65" t="n"/>
      <c r="C2687" s="66" t="n"/>
      <c r="D2687" s="67" t="n"/>
      <c r="E2687" s="68" t="n"/>
      <c r="F2687" s="47">
        <f>IF(A2687="","",IF(MIN(H2687,MAX(J2687:K2687))=0,"",MIN(H2687,MAX(J2687:K2687))))</f>
        <v/>
      </c>
      <c r="G2687" s="74" t="n"/>
      <c r="H2687" s="49">
        <f>IF(M2687="","",IFERROR(ROUND(AVERAGE(T2687+M2687*{7,8,9,10,11})/1.21,4),""))</f>
        <v/>
      </c>
      <c r="I2687" s="76" t="n"/>
      <c r="J2687" s="77" t="n"/>
      <c r="K2687" s="74" t="n"/>
      <c r="L2687" s="78" t="n"/>
      <c r="M2687" s="77" t="n"/>
      <c r="N2687" s="53">
        <f>IF(M2687="","",IFERROR(M2687/I2687,""))</f>
        <v/>
      </c>
      <c r="O2687" s="50">
        <f>IF(A2687="","",IFERROR((IF(G2687="",I2687,G2687)-T2687)/M2687,""))</f>
        <v/>
      </c>
      <c r="P2687" s="50">
        <f>IFERROR((I2687/T2687-1)/N2687,"")</f>
        <v/>
      </c>
      <c r="Q2687" s="46">
        <f>IF(OR(T2687="",I2687&lt;T2687),"",IFERROR(R2687/IF(G2687="",I2687,G2687)-1,""))</f>
        <v/>
      </c>
      <c r="R2687" s="48">
        <f>IF($M2687="","",MAX(IF($G2687="",$I2687,$G2687)*(1/1.1),IF($G2687="",$I2687,$G2687)+(R$2*$M2687)))</f>
        <v/>
      </c>
      <c r="S2687" s="49">
        <f>IF($M2687="","",MAX(IF($G2687="",$I2687,$G2687)*(1/1.1),IF($G2687="",$I2687,$G2687)+(S$2*$M2687)))</f>
        <v/>
      </c>
      <c r="T2687" s="82" t="n"/>
      <c r="U2687" s="47">
        <f>IF(OR($M2687="",$T2687=""),"",$T2687+(U$2*$M2687))</f>
        <v/>
      </c>
      <c r="V2687" s="48">
        <f>IF(OR($M2687="",$T2687=""),"",$T2687+(V$2*$M2687))</f>
        <v/>
      </c>
      <c r="W2687" s="48">
        <f>IF(OR($M2687="",$T2687=""),"",$T2687+(W$2*$M2687))</f>
        <v/>
      </c>
      <c r="X2687" s="49">
        <f>IF(OR($M2687="",$T2687=""),"",$T2687+(X$2*$M2687))</f>
        <v/>
      </c>
      <c r="Y2687" s="47">
        <f>IF(OR($M2687="",$T2687=""),"",$T2687+(Y$2*$M2687))</f>
        <v/>
      </c>
      <c r="Z2687" s="49">
        <f>IF(OR($M2687="",$T2687=""),"",$T2687+(Z$2*$M2687))</f>
        <v/>
      </c>
      <c r="AA2687" s="51">
        <f>IF(OR($M2687="",$T2687=""),"",$T2687+(AA$2*$M2687))</f>
        <v/>
      </c>
      <c r="AB2687" s="48">
        <f>IF(OR($M2687="",$T2687=""),"",$T2687+(AB$2*$M2687))</f>
        <v/>
      </c>
      <c r="AC2687" s="48">
        <f>IF(OR($M2687="",$T2687=""),"",$T2687+(AC$2*$M2687))</f>
        <v/>
      </c>
      <c r="AD2687" s="48">
        <f>IF(OR($M2687="",$T2687=""),"",$T2687+(AD$2*$M2687))</f>
        <v/>
      </c>
      <c r="AE2687" s="49">
        <f>IF(OR($M2687="",$T2687=""),"",$T2687+(AE$2*$M2687))</f>
        <v/>
      </c>
      <c r="AF2687" s="52">
        <f>IF(OR(T2687="",I2687&lt;T2687),"",IFERROR(AVERAGE(T2687+M2687*{7,8,9,10,11})/IF(G2687="",I2687,G2687)-1,""))</f>
        <v/>
      </c>
      <c r="AG2687" s="55">
        <f>IF(OR(T2687="",I2687&lt;T2687),"",IFERROR(AF2687/-(R2687/IF(G2687="",I2687,G2687)-1),""))</f>
        <v/>
      </c>
      <c r="AH2687" s="94" t="n"/>
      <c r="AI2687" s="94" t="n"/>
      <c r="AJ2687" s="94" t="n"/>
      <c r="AK2687" s="94" t="n"/>
      <c r="AL2687" s="84" t="n"/>
    </row>
    <row r="2688">
      <c r="A2688" s="64" t="n"/>
      <c r="B2688" s="65" t="n"/>
      <c r="C2688" s="66" t="n"/>
      <c r="D2688" s="67" t="n"/>
      <c r="E2688" s="68" t="n"/>
      <c r="F2688" s="47">
        <f>IF(A2688="","",IF(MIN(H2688,MAX(J2688:K2688))=0,"",MIN(H2688,MAX(J2688:K2688))))</f>
        <v/>
      </c>
      <c r="G2688" s="74" t="n"/>
      <c r="H2688" s="49">
        <f>IF(M2688="","",IFERROR(ROUND(AVERAGE(T2688+M2688*{7,8,9,10,11})/1.21,4),""))</f>
        <v/>
      </c>
      <c r="I2688" s="76" t="n"/>
      <c r="J2688" s="77" t="n"/>
      <c r="K2688" s="74" t="n"/>
      <c r="L2688" s="78" t="n"/>
      <c r="M2688" s="77" t="n"/>
      <c r="N2688" s="53">
        <f>IF(M2688="","",IFERROR(M2688/I2688,""))</f>
        <v/>
      </c>
      <c r="O2688" s="50">
        <f>IF(A2688="","",IFERROR((IF(G2688="",I2688,G2688)-T2688)/M2688,""))</f>
        <v/>
      </c>
      <c r="P2688" s="50">
        <f>IFERROR((I2688/T2688-1)/N2688,"")</f>
        <v/>
      </c>
      <c r="Q2688" s="46">
        <f>IF(OR(T2688="",I2688&lt;T2688),"",IFERROR(R2688/IF(G2688="",I2688,G2688)-1,""))</f>
        <v/>
      </c>
      <c r="R2688" s="48">
        <f>IF($M2688="","",MAX(IF($G2688="",$I2688,$G2688)*(1/1.1),IF($G2688="",$I2688,$G2688)+(R$2*$M2688)))</f>
        <v/>
      </c>
      <c r="S2688" s="49">
        <f>IF($M2688="","",MAX(IF($G2688="",$I2688,$G2688)*(1/1.1),IF($G2688="",$I2688,$G2688)+(S$2*$M2688)))</f>
        <v/>
      </c>
      <c r="T2688" s="82" t="n"/>
      <c r="U2688" s="47">
        <f>IF(OR($M2688="",$T2688=""),"",$T2688+(U$2*$M2688))</f>
        <v/>
      </c>
      <c r="V2688" s="48">
        <f>IF(OR($M2688="",$T2688=""),"",$T2688+(V$2*$M2688))</f>
        <v/>
      </c>
      <c r="W2688" s="48">
        <f>IF(OR($M2688="",$T2688=""),"",$T2688+(W$2*$M2688))</f>
        <v/>
      </c>
      <c r="X2688" s="49">
        <f>IF(OR($M2688="",$T2688=""),"",$T2688+(X$2*$M2688))</f>
        <v/>
      </c>
      <c r="Y2688" s="47">
        <f>IF(OR($M2688="",$T2688=""),"",$T2688+(Y$2*$M2688))</f>
        <v/>
      </c>
      <c r="Z2688" s="49">
        <f>IF(OR($M2688="",$T2688=""),"",$T2688+(Z$2*$M2688))</f>
        <v/>
      </c>
      <c r="AA2688" s="51">
        <f>IF(OR($M2688="",$T2688=""),"",$T2688+(AA$2*$M2688))</f>
        <v/>
      </c>
      <c r="AB2688" s="48">
        <f>IF(OR($M2688="",$T2688=""),"",$T2688+(AB$2*$M2688))</f>
        <v/>
      </c>
      <c r="AC2688" s="48">
        <f>IF(OR($M2688="",$T2688=""),"",$T2688+(AC$2*$M2688))</f>
        <v/>
      </c>
      <c r="AD2688" s="48">
        <f>IF(OR($M2688="",$T2688=""),"",$T2688+(AD$2*$M2688))</f>
        <v/>
      </c>
      <c r="AE2688" s="49">
        <f>IF(OR($M2688="",$T2688=""),"",$T2688+(AE$2*$M2688))</f>
        <v/>
      </c>
      <c r="AF2688" s="52">
        <f>IF(OR(T2688="",I2688&lt;T2688),"",IFERROR(AVERAGE(T2688+M2688*{7,8,9,10,11})/IF(G2688="",I2688,G2688)-1,""))</f>
        <v/>
      </c>
      <c r="AG2688" s="55">
        <f>IF(OR(T2688="",I2688&lt;T2688),"",IFERROR(AF2688/-(R2688/IF(G2688="",I2688,G2688)-1),""))</f>
        <v/>
      </c>
      <c r="AH2688" s="94" t="n"/>
      <c r="AI2688" s="94" t="n"/>
      <c r="AJ2688" s="94" t="n"/>
      <c r="AK2688" s="94" t="n"/>
      <c r="AL2688" s="84" t="n"/>
    </row>
    <row r="2689">
      <c r="A2689" s="64" t="n"/>
      <c r="B2689" s="65" t="n"/>
      <c r="C2689" s="66" t="n"/>
      <c r="D2689" s="67" t="n"/>
      <c r="E2689" s="68" t="n"/>
      <c r="F2689" s="47">
        <f>IF(A2689="","",IF(MIN(H2689,MAX(J2689:K2689))=0,"",MIN(H2689,MAX(J2689:K2689))))</f>
        <v/>
      </c>
      <c r="G2689" s="74" t="n"/>
      <c r="H2689" s="49">
        <f>IF(M2689="","",IFERROR(ROUND(AVERAGE(T2689+M2689*{7,8,9,10,11})/1.21,4),""))</f>
        <v/>
      </c>
      <c r="I2689" s="76" t="n"/>
      <c r="J2689" s="77" t="n"/>
      <c r="K2689" s="74" t="n"/>
      <c r="L2689" s="78" t="n"/>
      <c r="M2689" s="77" t="n"/>
      <c r="N2689" s="53">
        <f>IF(M2689="","",IFERROR(M2689/I2689,""))</f>
        <v/>
      </c>
      <c r="O2689" s="50">
        <f>IF(A2689="","",IFERROR((IF(G2689="",I2689,G2689)-T2689)/M2689,""))</f>
        <v/>
      </c>
      <c r="P2689" s="50">
        <f>IFERROR((I2689/T2689-1)/N2689,"")</f>
        <v/>
      </c>
      <c r="Q2689" s="46">
        <f>IF(OR(T2689="",I2689&lt;T2689),"",IFERROR(R2689/IF(G2689="",I2689,G2689)-1,""))</f>
        <v/>
      </c>
      <c r="R2689" s="48">
        <f>IF($M2689="","",MAX(IF($G2689="",$I2689,$G2689)*(1/1.1),IF($G2689="",$I2689,$G2689)+(R$2*$M2689)))</f>
        <v/>
      </c>
      <c r="S2689" s="49">
        <f>IF($M2689="","",MAX(IF($G2689="",$I2689,$G2689)*(1/1.1),IF($G2689="",$I2689,$G2689)+(S$2*$M2689)))</f>
        <v/>
      </c>
      <c r="T2689" s="82" t="n"/>
      <c r="U2689" s="47">
        <f>IF(OR($M2689="",$T2689=""),"",$T2689+(U$2*$M2689))</f>
        <v/>
      </c>
      <c r="V2689" s="48">
        <f>IF(OR($M2689="",$T2689=""),"",$T2689+(V$2*$M2689))</f>
        <v/>
      </c>
      <c r="W2689" s="48">
        <f>IF(OR($M2689="",$T2689=""),"",$T2689+(W$2*$M2689))</f>
        <v/>
      </c>
      <c r="X2689" s="49">
        <f>IF(OR($M2689="",$T2689=""),"",$T2689+(X$2*$M2689))</f>
        <v/>
      </c>
      <c r="Y2689" s="47">
        <f>IF(OR($M2689="",$T2689=""),"",$T2689+(Y$2*$M2689))</f>
        <v/>
      </c>
      <c r="Z2689" s="49">
        <f>IF(OR($M2689="",$T2689=""),"",$T2689+(Z$2*$M2689))</f>
        <v/>
      </c>
      <c r="AA2689" s="51">
        <f>IF(OR($M2689="",$T2689=""),"",$T2689+(AA$2*$M2689))</f>
        <v/>
      </c>
      <c r="AB2689" s="48">
        <f>IF(OR($M2689="",$T2689=""),"",$T2689+(AB$2*$M2689))</f>
        <v/>
      </c>
      <c r="AC2689" s="48">
        <f>IF(OR($M2689="",$T2689=""),"",$T2689+(AC$2*$M2689))</f>
        <v/>
      </c>
      <c r="AD2689" s="48">
        <f>IF(OR($M2689="",$T2689=""),"",$T2689+(AD$2*$M2689))</f>
        <v/>
      </c>
      <c r="AE2689" s="49">
        <f>IF(OR($M2689="",$T2689=""),"",$T2689+(AE$2*$M2689))</f>
        <v/>
      </c>
      <c r="AF2689" s="52">
        <f>IF(OR(T2689="",I2689&lt;T2689),"",IFERROR(AVERAGE(T2689+M2689*{7,8,9,10,11})/IF(G2689="",I2689,G2689)-1,""))</f>
        <v/>
      </c>
      <c r="AG2689" s="55">
        <f>IF(OR(T2689="",I2689&lt;T2689),"",IFERROR(AF2689/-(R2689/IF(G2689="",I2689,G2689)-1),""))</f>
        <v/>
      </c>
      <c r="AH2689" s="94" t="n"/>
      <c r="AI2689" s="94" t="n"/>
      <c r="AJ2689" s="94" t="n"/>
      <c r="AK2689" s="94" t="n"/>
      <c r="AL2689" s="84" t="n"/>
    </row>
    <row r="2690">
      <c r="A2690" s="64" t="n"/>
      <c r="B2690" s="65" t="n"/>
      <c r="C2690" s="66" t="n"/>
      <c r="D2690" s="67" t="n"/>
      <c r="E2690" s="68" t="n"/>
      <c r="F2690" s="47">
        <f>IF(A2690="","",IF(MIN(H2690,MAX(J2690:K2690))=0,"",MIN(H2690,MAX(J2690:K2690))))</f>
        <v/>
      </c>
      <c r="G2690" s="74" t="n"/>
      <c r="H2690" s="49">
        <f>IF(M2690="","",IFERROR(ROUND(AVERAGE(T2690+M2690*{7,8,9,10,11})/1.21,4),""))</f>
        <v/>
      </c>
      <c r="I2690" s="76" t="n"/>
      <c r="J2690" s="77" t="n"/>
      <c r="K2690" s="74" t="n"/>
      <c r="L2690" s="78" t="n"/>
      <c r="M2690" s="77" t="n"/>
      <c r="N2690" s="53">
        <f>IF(M2690="","",IFERROR(M2690/I2690,""))</f>
        <v/>
      </c>
      <c r="O2690" s="50">
        <f>IF(A2690="","",IFERROR((IF(G2690="",I2690,G2690)-T2690)/M2690,""))</f>
        <v/>
      </c>
      <c r="P2690" s="50">
        <f>IFERROR((I2690/T2690-1)/N2690,"")</f>
        <v/>
      </c>
      <c r="Q2690" s="46">
        <f>IF(OR(T2690="",I2690&lt;T2690),"",IFERROR(R2690/IF(G2690="",I2690,G2690)-1,""))</f>
        <v/>
      </c>
      <c r="R2690" s="48">
        <f>IF($M2690="","",MAX(IF($G2690="",$I2690,$G2690)*(1/1.1),IF($G2690="",$I2690,$G2690)+(R$2*$M2690)))</f>
        <v/>
      </c>
      <c r="S2690" s="49">
        <f>IF($M2690="","",MAX(IF($G2690="",$I2690,$G2690)*(1/1.1),IF($G2690="",$I2690,$G2690)+(S$2*$M2690)))</f>
        <v/>
      </c>
      <c r="T2690" s="82" t="n"/>
      <c r="U2690" s="47">
        <f>IF(OR($M2690="",$T2690=""),"",$T2690+(U$2*$M2690))</f>
        <v/>
      </c>
      <c r="V2690" s="48">
        <f>IF(OR($M2690="",$T2690=""),"",$T2690+(V$2*$M2690))</f>
        <v/>
      </c>
      <c r="W2690" s="48">
        <f>IF(OR($M2690="",$T2690=""),"",$T2690+(W$2*$M2690))</f>
        <v/>
      </c>
      <c r="X2690" s="49">
        <f>IF(OR($M2690="",$T2690=""),"",$T2690+(X$2*$M2690))</f>
        <v/>
      </c>
      <c r="Y2690" s="47">
        <f>IF(OR($M2690="",$T2690=""),"",$T2690+(Y$2*$M2690))</f>
        <v/>
      </c>
      <c r="Z2690" s="49">
        <f>IF(OR($M2690="",$T2690=""),"",$T2690+(Z$2*$M2690))</f>
        <v/>
      </c>
      <c r="AA2690" s="51">
        <f>IF(OR($M2690="",$T2690=""),"",$T2690+(AA$2*$M2690))</f>
        <v/>
      </c>
      <c r="AB2690" s="48">
        <f>IF(OR($M2690="",$T2690=""),"",$T2690+(AB$2*$M2690))</f>
        <v/>
      </c>
      <c r="AC2690" s="48">
        <f>IF(OR($M2690="",$T2690=""),"",$T2690+(AC$2*$M2690))</f>
        <v/>
      </c>
      <c r="AD2690" s="48">
        <f>IF(OR($M2690="",$T2690=""),"",$T2690+(AD$2*$M2690))</f>
        <v/>
      </c>
      <c r="AE2690" s="49">
        <f>IF(OR($M2690="",$T2690=""),"",$T2690+(AE$2*$M2690))</f>
        <v/>
      </c>
      <c r="AF2690" s="52">
        <f>IF(OR(T2690="",I2690&lt;T2690),"",IFERROR(AVERAGE(T2690+M2690*{7,8,9,10,11})/IF(G2690="",I2690,G2690)-1,""))</f>
        <v/>
      </c>
      <c r="AG2690" s="55">
        <f>IF(OR(T2690="",I2690&lt;T2690),"",IFERROR(AF2690/-(R2690/IF(G2690="",I2690,G2690)-1),""))</f>
        <v/>
      </c>
      <c r="AH2690" s="94" t="n"/>
      <c r="AI2690" s="94" t="n"/>
      <c r="AJ2690" s="94" t="n"/>
      <c r="AK2690" s="94" t="n"/>
      <c r="AL2690" s="84" t="n"/>
    </row>
    <row r="2691">
      <c r="A2691" s="64" t="n"/>
      <c r="B2691" s="65" t="n"/>
      <c r="C2691" s="66" t="n"/>
      <c r="D2691" s="67" t="n"/>
      <c r="E2691" s="68" t="n"/>
      <c r="F2691" s="47">
        <f>IF(A2691="","",IF(MIN(H2691,MAX(J2691:K2691))=0,"",MIN(H2691,MAX(J2691:K2691))))</f>
        <v/>
      </c>
      <c r="G2691" s="74" t="n"/>
      <c r="H2691" s="49">
        <f>IF(M2691="","",IFERROR(ROUND(AVERAGE(T2691+M2691*{7,8,9,10,11})/1.21,4),""))</f>
        <v/>
      </c>
      <c r="I2691" s="76" t="n"/>
      <c r="J2691" s="77" t="n"/>
      <c r="K2691" s="74" t="n"/>
      <c r="L2691" s="78" t="n"/>
      <c r="M2691" s="77" t="n"/>
      <c r="N2691" s="53">
        <f>IF(M2691="","",IFERROR(M2691/I2691,""))</f>
        <v/>
      </c>
      <c r="O2691" s="50">
        <f>IF(A2691="","",IFERROR((IF(G2691="",I2691,G2691)-T2691)/M2691,""))</f>
        <v/>
      </c>
      <c r="P2691" s="50">
        <f>IFERROR((I2691/T2691-1)/N2691,"")</f>
        <v/>
      </c>
      <c r="Q2691" s="46">
        <f>IF(OR(T2691="",I2691&lt;T2691),"",IFERROR(R2691/IF(G2691="",I2691,G2691)-1,""))</f>
        <v/>
      </c>
      <c r="R2691" s="48">
        <f>IF($M2691="","",MAX(IF($G2691="",$I2691,$G2691)*(1/1.1),IF($G2691="",$I2691,$G2691)+(R$2*$M2691)))</f>
        <v/>
      </c>
      <c r="S2691" s="49">
        <f>IF($M2691="","",MAX(IF($G2691="",$I2691,$G2691)*(1/1.1),IF($G2691="",$I2691,$G2691)+(S$2*$M2691)))</f>
        <v/>
      </c>
      <c r="T2691" s="82" t="n"/>
      <c r="U2691" s="47">
        <f>IF(OR($M2691="",$T2691=""),"",$T2691+(U$2*$M2691))</f>
        <v/>
      </c>
      <c r="V2691" s="48">
        <f>IF(OR($M2691="",$T2691=""),"",$T2691+(V$2*$M2691))</f>
        <v/>
      </c>
      <c r="W2691" s="48">
        <f>IF(OR($M2691="",$T2691=""),"",$T2691+(W$2*$M2691))</f>
        <v/>
      </c>
      <c r="X2691" s="49">
        <f>IF(OR($M2691="",$T2691=""),"",$T2691+(X$2*$M2691))</f>
        <v/>
      </c>
      <c r="Y2691" s="47">
        <f>IF(OR($M2691="",$T2691=""),"",$T2691+(Y$2*$M2691))</f>
        <v/>
      </c>
      <c r="Z2691" s="49">
        <f>IF(OR($M2691="",$T2691=""),"",$T2691+(Z$2*$M2691))</f>
        <v/>
      </c>
      <c r="AA2691" s="51">
        <f>IF(OR($M2691="",$T2691=""),"",$T2691+(AA$2*$M2691))</f>
        <v/>
      </c>
      <c r="AB2691" s="48">
        <f>IF(OR($M2691="",$T2691=""),"",$T2691+(AB$2*$M2691))</f>
        <v/>
      </c>
      <c r="AC2691" s="48">
        <f>IF(OR($M2691="",$T2691=""),"",$T2691+(AC$2*$M2691))</f>
        <v/>
      </c>
      <c r="AD2691" s="48">
        <f>IF(OR($M2691="",$T2691=""),"",$T2691+(AD$2*$M2691))</f>
        <v/>
      </c>
      <c r="AE2691" s="49">
        <f>IF(OR($M2691="",$T2691=""),"",$T2691+(AE$2*$M2691))</f>
        <v/>
      </c>
      <c r="AF2691" s="52">
        <f>IF(OR(T2691="",I2691&lt;T2691),"",IFERROR(AVERAGE(T2691+M2691*{7,8,9,10,11})/IF(G2691="",I2691,G2691)-1,""))</f>
        <v/>
      </c>
      <c r="AG2691" s="55">
        <f>IF(OR(T2691="",I2691&lt;T2691),"",IFERROR(AF2691/-(R2691/IF(G2691="",I2691,G2691)-1),""))</f>
        <v/>
      </c>
      <c r="AH2691" s="94" t="n"/>
      <c r="AI2691" s="94" t="n"/>
      <c r="AJ2691" s="94" t="n"/>
      <c r="AK2691" s="94" t="n"/>
      <c r="AL2691" s="84" t="n"/>
    </row>
    <row r="2692">
      <c r="A2692" s="64" t="n"/>
      <c r="B2692" s="65" t="n"/>
      <c r="C2692" s="66" t="n"/>
      <c r="D2692" s="67" t="n"/>
      <c r="E2692" s="68" t="n"/>
      <c r="F2692" s="47">
        <f>IF(A2692="","",IF(MIN(H2692,MAX(J2692:K2692))=0,"",MIN(H2692,MAX(J2692:K2692))))</f>
        <v/>
      </c>
      <c r="G2692" s="74" t="n"/>
      <c r="H2692" s="49">
        <f>IF(M2692="","",IFERROR(ROUND(AVERAGE(T2692+M2692*{7,8,9,10,11})/1.21,4),""))</f>
        <v/>
      </c>
      <c r="I2692" s="76" t="n"/>
      <c r="J2692" s="77" t="n"/>
      <c r="K2692" s="74" t="n"/>
      <c r="L2692" s="78" t="n"/>
      <c r="M2692" s="77" t="n"/>
      <c r="N2692" s="53">
        <f>IF(M2692="","",IFERROR(M2692/I2692,""))</f>
        <v/>
      </c>
      <c r="O2692" s="50">
        <f>IF(A2692="","",IFERROR((IF(G2692="",I2692,G2692)-T2692)/M2692,""))</f>
        <v/>
      </c>
      <c r="P2692" s="50">
        <f>IFERROR((I2692/T2692-1)/N2692,"")</f>
        <v/>
      </c>
      <c r="Q2692" s="46">
        <f>IF(OR(T2692="",I2692&lt;T2692),"",IFERROR(R2692/IF(G2692="",I2692,G2692)-1,""))</f>
        <v/>
      </c>
      <c r="R2692" s="48">
        <f>IF($M2692="","",MAX(IF($G2692="",$I2692,$G2692)*(1/1.1),IF($G2692="",$I2692,$G2692)+(R$2*$M2692)))</f>
        <v/>
      </c>
      <c r="S2692" s="49">
        <f>IF($M2692="","",MAX(IF($G2692="",$I2692,$G2692)*(1/1.1),IF($G2692="",$I2692,$G2692)+(S$2*$M2692)))</f>
        <v/>
      </c>
      <c r="T2692" s="82" t="n"/>
      <c r="U2692" s="47">
        <f>IF(OR($M2692="",$T2692=""),"",$T2692+(U$2*$M2692))</f>
        <v/>
      </c>
      <c r="V2692" s="48">
        <f>IF(OR($M2692="",$T2692=""),"",$T2692+(V$2*$M2692))</f>
        <v/>
      </c>
      <c r="W2692" s="48">
        <f>IF(OR($M2692="",$T2692=""),"",$T2692+(W$2*$M2692))</f>
        <v/>
      </c>
      <c r="X2692" s="49">
        <f>IF(OR($M2692="",$T2692=""),"",$T2692+(X$2*$M2692))</f>
        <v/>
      </c>
      <c r="Y2692" s="47">
        <f>IF(OR($M2692="",$T2692=""),"",$T2692+(Y$2*$M2692))</f>
        <v/>
      </c>
      <c r="Z2692" s="49">
        <f>IF(OR($M2692="",$T2692=""),"",$T2692+(Z$2*$M2692))</f>
        <v/>
      </c>
      <c r="AA2692" s="51">
        <f>IF(OR($M2692="",$T2692=""),"",$T2692+(AA$2*$M2692))</f>
        <v/>
      </c>
      <c r="AB2692" s="48">
        <f>IF(OR($M2692="",$T2692=""),"",$T2692+(AB$2*$M2692))</f>
        <v/>
      </c>
      <c r="AC2692" s="48">
        <f>IF(OR($M2692="",$T2692=""),"",$T2692+(AC$2*$M2692))</f>
        <v/>
      </c>
      <c r="AD2692" s="48">
        <f>IF(OR($M2692="",$T2692=""),"",$T2692+(AD$2*$M2692))</f>
        <v/>
      </c>
      <c r="AE2692" s="49">
        <f>IF(OR($M2692="",$T2692=""),"",$T2692+(AE$2*$M2692))</f>
        <v/>
      </c>
      <c r="AF2692" s="52">
        <f>IF(OR(T2692="",I2692&lt;T2692),"",IFERROR(AVERAGE(T2692+M2692*{7,8,9,10,11})/IF(G2692="",I2692,G2692)-1,""))</f>
        <v/>
      </c>
      <c r="AG2692" s="55">
        <f>IF(OR(T2692="",I2692&lt;T2692),"",IFERROR(AF2692/-(R2692/IF(G2692="",I2692,G2692)-1),""))</f>
        <v/>
      </c>
      <c r="AH2692" s="94" t="n"/>
      <c r="AI2692" s="94" t="n"/>
      <c r="AJ2692" s="94" t="n"/>
      <c r="AK2692" s="94" t="n"/>
      <c r="AL2692" s="84" t="n"/>
    </row>
    <row r="2693">
      <c r="A2693" s="64" t="n"/>
      <c r="B2693" s="65" t="n"/>
      <c r="C2693" s="66" t="n"/>
      <c r="D2693" s="67" t="n"/>
      <c r="E2693" s="68" t="n"/>
      <c r="F2693" s="47">
        <f>IF(A2693="","",IF(MIN(H2693,MAX(J2693:K2693))=0,"",MIN(H2693,MAX(J2693:K2693))))</f>
        <v/>
      </c>
      <c r="G2693" s="74" t="n"/>
      <c r="H2693" s="49">
        <f>IF(M2693="","",IFERROR(ROUND(AVERAGE(T2693+M2693*{7,8,9,10,11})/1.21,4),""))</f>
        <v/>
      </c>
      <c r="I2693" s="76" t="n"/>
      <c r="J2693" s="77" t="n"/>
      <c r="K2693" s="74" t="n"/>
      <c r="L2693" s="78" t="n"/>
      <c r="M2693" s="77" t="n"/>
      <c r="N2693" s="53">
        <f>IF(M2693="","",IFERROR(M2693/I2693,""))</f>
        <v/>
      </c>
      <c r="O2693" s="50">
        <f>IF(A2693="","",IFERROR((IF(G2693="",I2693,G2693)-T2693)/M2693,""))</f>
        <v/>
      </c>
      <c r="P2693" s="50">
        <f>IFERROR((I2693/T2693-1)/N2693,"")</f>
        <v/>
      </c>
      <c r="Q2693" s="46">
        <f>IF(OR(T2693="",I2693&lt;T2693),"",IFERROR(R2693/IF(G2693="",I2693,G2693)-1,""))</f>
        <v/>
      </c>
      <c r="R2693" s="48">
        <f>IF($M2693="","",MAX(IF($G2693="",$I2693,$G2693)*(1/1.1),IF($G2693="",$I2693,$G2693)+(R$2*$M2693)))</f>
        <v/>
      </c>
      <c r="S2693" s="49">
        <f>IF($M2693="","",MAX(IF($G2693="",$I2693,$G2693)*(1/1.1),IF($G2693="",$I2693,$G2693)+(S$2*$M2693)))</f>
        <v/>
      </c>
      <c r="T2693" s="82" t="n"/>
      <c r="U2693" s="47">
        <f>IF(OR($M2693="",$T2693=""),"",$T2693+(U$2*$M2693))</f>
        <v/>
      </c>
      <c r="V2693" s="48">
        <f>IF(OR($M2693="",$T2693=""),"",$T2693+(V$2*$M2693))</f>
        <v/>
      </c>
      <c r="W2693" s="48">
        <f>IF(OR($M2693="",$T2693=""),"",$T2693+(W$2*$M2693))</f>
        <v/>
      </c>
      <c r="X2693" s="49">
        <f>IF(OR($M2693="",$T2693=""),"",$T2693+(X$2*$M2693))</f>
        <v/>
      </c>
      <c r="Y2693" s="47">
        <f>IF(OR($M2693="",$T2693=""),"",$T2693+(Y$2*$M2693))</f>
        <v/>
      </c>
      <c r="Z2693" s="49">
        <f>IF(OR($M2693="",$T2693=""),"",$T2693+(Z$2*$M2693))</f>
        <v/>
      </c>
      <c r="AA2693" s="51">
        <f>IF(OR($M2693="",$T2693=""),"",$T2693+(AA$2*$M2693))</f>
        <v/>
      </c>
      <c r="AB2693" s="48">
        <f>IF(OR($M2693="",$T2693=""),"",$T2693+(AB$2*$M2693))</f>
        <v/>
      </c>
      <c r="AC2693" s="48">
        <f>IF(OR($M2693="",$T2693=""),"",$T2693+(AC$2*$M2693))</f>
        <v/>
      </c>
      <c r="AD2693" s="48">
        <f>IF(OR($M2693="",$T2693=""),"",$T2693+(AD$2*$M2693))</f>
        <v/>
      </c>
      <c r="AE2693" s="49">
        <f>IF(OR($M2693="",$T2693=""),"",$T2693+(AE$2*$M2693))</f>
        <v/>
      </c>
      <c r="AF2693" s="52">
        <f>IF(OR(T2693="",I2693&lt;T2693),"",IFERROR(AVERAGE(T2693+M2693*{7,8,9,10,11})/IF(G2693="",I2693,G2693)-1,""))</f>
        <v/>
      </c>
      <c r="AG2693" s="55">
        <f>IF(OR(T2693="",I2693&lt;T2693),"",IFERROR(AF2693/-(R2693/IF(G2693="",I2693,G2693)-1),""))</f>
        <v/>
      </c>
      <c r="AH2693" s="94" t="n"/>
      <c r="AI2693" s="94" t="n"/>
      <c r="AJ2693" s="94" t="n"/>
      <c r="AK2693" s="94" t="n"/>
      <c r="AL2693" s="84" t="n"/>
    </row>
    <row r="2694">
      <c r="A2694" s="64" t="n"/>
      <c r="B2694" s="65" t="n"/>
      <c r="C2694" s="66" t="n"/>
      <c r="D2694" s="67" t="n"/>
      <c r="E2694" s="68" t="n"/>
      <c r="F2694" s="47">
        <f>IF(A2694="","",IF(MIN(H2694,MAX(J2694:K2694))=0,"",MIN(H2694,MAX(J2694:K2694))))</f>
        <v/>
      </c>
      <c r="G2694" s="74" t="n"/>
      <c r="H2694" s="49">
        <f>IF(M2694="","",IFERROR(ROUND(AVERAGE(T2694+M2694*{7,8,9,10,11})/1.21,4),""))</f>
        <v/>
      </c>
      <c r="I2694" s="76" t="n"/>
      <c r="J2694" s="77" t="n"/>
      <c r="K2694" s="74" t="n"/>
      <c r="L2694" s="78" t="n"/>
      <c r="M2694" s="77" t="n"/>
      <c r="N2694" s="53">
        <f>IF(M2694="","",IFERROR(M2694/I2694,""))</f>
        <v/>
      </c>
      <c r="O2694" s="50">
        <f>IF(A2694="","",IFERROR((IF(G2694="",I2694,G2694)-T2694)/M2694,""))</f>
        <v/>
      </c>
      <c r="P2694" s="50">
        <f>IFERROR((I2694/T2694-1)/N2694,"")</f>
        <v/>
      </c>
      <c r="Q2694" s="46">
        <f>IF(OR(T2694="",I2694&lt;T2694),"",IFERROR(R2694/IF(G2694="",I2694,G2694)-1,""))</f>
        <v/>
      </c>
      <c r="R2694" s="48">
        <f>IF($M2694="","",MAX(IF($G2694="",$I2694,$G2694)*(1/1.1),IF($G2694="",$I2694,$G2694)+(R$2*$M2694)))</f>
        <v/>
      </c>
      <c r="S2694" s="49">
        <f>IF($M2694="","",MAX(IF($G2694="",$I2694,$G2694)*(1/1.1),IF($G2694="",$I2694,$G2694)+(S$2*$M2694)))</f>
        <v/>
      </c>
      <c r="T2694" s="82" t="n"/>
      <c r="U2694" s="47">
        <f>IF(OR($M2694="",$T2694=""),"",$T2694+(U$2*$M2694))</f>
        <v/>
      </c>
      <c r="V2694" s="48">
        <f>IF(OR($M2694="",$T2694=""),"",$T2694+(V$2*$M2694))</f>
        <v/>
      </c>
      <c r="W2694" s="48">
        <f>IF(OR($M2694="",$T2694=""),"",$T2694+(W$2*$M2694))</f>
        <v/>
      </c>
      <c r="X2694" s="49">
        <f>IF(OR($M2694="",$T2694=""),"",$T2694+(X$2*$M2694))</f>
        <v/>
      </c>
      <c r="Y2694" s="47">
        <f>IF(OR($M2694="",$T2694=""),"",$T2694+(Y$2*$M2694))</f>
        <v/>
      </c>
      <c r="Z2694" s="49">
        <f>IF(OR($M2694="",$T2694=""),"",$T2694+(Z$2*$M2694))</f>
        <v/>
      </c>
      <c r="AA2694" s="51">
        <f>IF(OR($M2694="",$T2694=""),"",$T2694+(AA$2*$M2694))</f>
        <v/>
      </c>
      <c r="AB2694" s="48">
        <f>IF(OR($M2694="",$T2694=""),"",$T2694+(AB$2*$M2694))</f>
        <v/>
      </c>
      <c r="AC2694" s="48">
        <f>IF(OR($M2694="",$T2694=""),"",$T2694+(AC$2*$M2694))</f>
        <v/>
      </c>
      <c r="AD2694" s="48">
        <f>IF(OR($M2694="",$T2694=""),"",$T2694+(AD$2*$M2694))</f>
        <v/>
      </c>
      <c r="AE2694" s="49">
        <f>IF(OR($M2694="",$T2694=""),"",$T2694+(AE$2*$M2694))</f>
        <v/>
      </c>
      <c r="AF2694" s="52">
        <f>IF(OR(T2694="",I2694&lt;T2694),"",IFERROR(AVERAGE(T2694+M2694*{7,8,9,10,11})/IF(G2694="",I2694,G2694)-1,""))</f>
        <v/>
      </c>
      <c r="AG2694" s="55">
        <f>IF(OR(T2694="",I2694&lt;T2694),"",IFERROR(AF2694/-(R2694/IF(G2694="",I2694,G2694)-1),""))</f>
        <v/>
      </c>
      <c r="AH2694" s="94" t="n"/>
      <c r="AI2694" s="94" t="n"/>
      <c r="AJ2694" s="94" t="n"/>
      <c r="AK2694" s="94" t="n"/>
      <c r="AL2694" s="84" t="n"/>
    </row>
    <row r="2695">
      <c r="A2695" s="64" t="n"/>
      <c r="B2695" s="65" t="n"/>
      <c r="C2695" s="66" t="n"/>
      <c r="D2695" s="67" t="n"/>
      <c r="E2695" s="68" t="n"/>
      <c r="F2695" s="47">
        <f>IF(A2695="","",IF(MIN(H2695,MAX(J2695:K2695))=0,"",MIN(H2695,MAX(J2695:K2695))))</f>
        <v/>
      </c>
      <c r="G2695" s="74" t="n"/>
      <c r="H2695" s="49">
        <f>IF(M2695="","",IFERROR(ROUND(AVERAGE(T2695+M2695*{7,8,9,10,11})/1.21,4),""))</f>
        <v/>
      </c>
      <c r="I2695" s="76" t="n"/>
      <c r="J2695" s="77" t="n"/>
      <c r="K2695" s="74" t="n"/>
      <c r="L2695" s="78" t="n"/>
      <c r="M2695" s="77" t="n"/>
      <c r="N2695" s="53">
        <f>IF(M2695="","",IFERROR(M2695/I2695,""))</f>
        <v/>
      </c>
      <c r="O2695" s="50">
        <f>IF(A2695="","",IFERROR((IF(G2695="",I2695,G2695)-T2695)/M2695,""))</f>
        <v/>
      </c>
      <c r="P2695" s="50">
        <f>IFERROR((I2695/T2695-1)/N2695,"")</f>
        <v/>
      </c>
      <c r="Q2695" s="46">
        <f>IF(OR(T2695="",I2695&lt;T2695),"",IFERROR(R2695/IF(G2695="",I2695,G2695)-1,""))</f>
        <v/>
      </c>
      <c r="R2695" s="48">
        <f>IF($M2695="","",MAX(IF($G2695="",$I2695,$G2695)*(1/1.1),IF($G2695="",$I2695,$G2695)+(R$2*$M2695)))</f>
        <v/>
      </c>
      <c r="S2695" s="49">
        <f>IF($M2695="","",MAX(IF($G2695="",$I2695,$G2695)*(1/1.1),IF($G2695="",$I2695,$G2695)+(S$2*$M2695)))</f>
        <v/>
      </c>
      <c r="T2695" s="82" t="n"/>
      <c r="U2695" s="47">
        <f>IF(OR($M2695="",$T2695=""),"",$T2695+(U$2*$M2695))</f>
        <v/>
      </c>
      <c r="V2695" s="48">
        <f>IF(OR($M2695="",$T2695=""),"",$T2695+(V$2*$M2695))</f>
        <v/>
      </c>
      <c r="W2695" s="48">
        <f>IF(OR($M2695="",$T2695=""),"",$T2695+(W$2*$M2695))</f>
        <v/>
      </c>
      <c r="X2695" s="49">
        <f>IF(OR($M2695="",$T2695=""),"",$T2695+(X$2*$M2695))</f>
        <v/>
      </c>
      <c r="Y2695" s="47">
        <f>IF(OR($M2695="",$T2695=""),"",$T2695+(Y$2*$M2695))</f>
        <v/>
      </c>
      <c r="Z2695" s="49">
        <f>IF(OR($M2695="",$T2695=""),"",$T2695+(Z$2*$M2695))</f>
        <v/>
      </c>
      <c r="AA2695" s="51">
        <f>IF(OR($M2695="",$T2695=""),"",$T2695+(AA$2*$M2695))</f>
        <v/>
      </c>
      <c r="AB2695" s="48">
        <f>IF(OR($M2695="",$T2695=""),"",$T2695+(AB$2*$M2695))</f>
        <v/>
      </c>
      <c r="AC2695" s="48">
        <f>IF(OR($M2695="",$T2695=""),"",$T2695+(AC$2*$M2695))</f>
        <v/>
      </c>
      <c r="AD2695" s="48">
        <f>IF(OR($M2695="",$T2695=""),"",$T2695+(AD$2*$M2695))</f>
        <v/>
      </c>
      <c r="AE2695" s="49">
        <f>IF(OR($M2695="",$T2695=""),"",$T2695+(AE$2*$M2695))</f>
        <v/>
      </c>
      <c r="AF2695" s="52">
        <f>IF(OR(T2695="",I2695&lt;T2695),"",IFERROR(AVERAGE(T2695+M2695*{7,8,9,10,11})/IF(G2695="",I2695,G2695)-1,""))</f>
        <v/>
      </c>
      <c r="AG2695" s="55">
        <f>IF(OR(T2695="",I2695&lt;T2695),"",IFERROR(AF2695/-(R2695/IF(G2695="",I2695,G2695)-1),""))</f>
        <v/>
      </c>
      <c r="AH2695" s="94" t="n"/>
      <c r="AI2695" s="94" t="n"/>
      <c r="AJ2695" s="94" t="n"/>
      <c r="AK2695" s="94" t="n"/>
      <c r="AL2695" s="84" t="n"/>
    </row>
    <row r="2696">
      <c r="A2696" s="64" t="n"/>
      <c r="B2696" s="65" t="n"/>
      <c r="C2696" s="66" t="n"/>
      <c r="D2696" s="67" t="n"/>
      <c r="E2696" s="68" t="n"/>
      <c r="F2696" s="47">
        <f>IF(A2696="","",IF(MIN(H2696,MAX(J2696:K2696))=0,"",MIN(H2696,MAX(J2696:K2696))))</f>
        <v/>
      </c>
      <c r="G2696" s="74" t="n"/>
      <c r="H2696" s="49">
        <f>IF(M2696="","",IFERROR(ROUND(AVERAGE(T2696+M2696*{7,8,9,10,11})/1.21,4),""))</f>
        <v/>
      </c>
      <c r="I2696" s="76" t="n"/>
      <c r="J2696" s="77" t="n"/>
      <c r="K2696" s="74" t="n"/>
      <c r="L2696" s="78" t="n"/>
      <c r="M2696" s="77" t="n"/>
      <c r="N2696" s="53">
        <f>IF(M2696="","",IFERROR(M2696/I2696,""))</f>
        <v/>
      </c>
      <c r="O2696" s="50">
        <f>IF(A2696="","",IFERROR((IF(G2696="",I2696,G2696)-T2696)/M2696,""))</f>
        <v/>
      </c>
      <c r="P2696" s="50">
        <f>IFERROR((I2696/T2696-1)/N2696,"")</f>
        <v/>
      </c>
      <c r="Q2696" s="46">
        <f>IF(OR(T2696="",I2696&lt;T2696),"",IFERROR(R2696/IF(G2696="",I2696,G2696)-1,""))</f>
        <v/>
      </c>
      <c r="R2696" s="48">
        <f>IF($M2696="","",MAX(IF($G2696="",$I2696,$G2696)*(1/1.1),IF($G2696="",$I2696,$G2696)+(R$2*$M2696)))</f>
        <v/>
      </c>
      <c r="S2696" s="49">
        <f>IF($M2696="","",MAX(IF($G2696="",$I2696,$G2696)*(1/1.1),IF($G2696="",$I2696,$G2696)+(S$2*$M2696)))</f>
        <v/>
      </c>
      <c r="T2696" s="82" t="n"/>
      <c r="U2696" s="47">
        <f>IF(OR($M2696="",$T2696=""),"",$T2696+(U$2*$M2696))</f>
        <v/>
      </c>
      <c r="V2696" s="48">
        <f>IF(OR($M2696="",$T2696=""),"",$T2696+(V$2*$M2696))</f>
        <v/>
      </c>
      <c r="W2696" s="48">
        <f>IF(OR($M2696="",$T2696=""),"",$T2696+(W$2*$M2696))</f>
        <v/>
      </c>
      <c r="X2696" s="49">
        <f>IF(OR($M2696="",$T2696=""),"",$T2696+(X$2*$M2696))</f>
        <v/>
      </c>
      <c r="Y2696" s="47">
        <f>IF(OR($M2696="",$T2696=""),"",$T2696+(Y$2*$M2696))</f>
        <v/>
      </c>
      <c r="Z2696" s="49">
        <f>IF(OR($M2696="",$T2696=""),"",$T2696+(Z$2*$M2696))</f>
        <v/>
      </c>
      <c r="AA2696" s="51">
        <f>IF(OR($M2696="",$T2696=""),"",$T2696+(AA$2*$M2696))</f>
        <v/>
      </c>
      <c r="AB2696" s="48">
        <f>IF(OR($M2696="",$T2696=""),"",$T2696+(AB$2*$M2696))</f>
        <v/>
      </c>
      <c r="AC2696" s="48">
        <f>IF(OR($M2696="",$T2696=""),"",$T2696+(AC$2*$M2696))</f>
        <v/>
      </c>
      <c r="AD2696" s="48">
        <f>IF(OR($M2696="",$T2696=""),"",$T2696+(AD$2*$M2696))</f>
        <v/>
      </c>
      <c r="AE2696" s="49">
        <f>IF(OR($M2696="",$T2696=""),"",$T2696+(AE$2*$M2696))</f>
        <v/>
      </c>
      <c r="AF2696" s="52">
        <f>IF(OR(T2696="",I2696&lt;T2696),"",IFERROR(AVERAGE(T2696+M2696*{7,8,9,10,11})/IF(G2696="",I2696,G2696)-1,""))</f>
        <v/>
      </c>
      <c r="AG2696" s="55">
        <f>IF(OR(T2696="",I2696&lt;T2696),"",IFERROR(AF2696/-(R2696/IF(G2696="",I2696,G2696)-1),""))</f>
        <v/>
      </c>
      <c r="AH2696" s="94" t="n"/>
      <c r="AI2696" s="94" t="n"/>
      <c r="AJ2696" s="94" t="n"/>
      <c r="AK2696" s="94" t="n"/>
      <c r="AL2696" s="84" t="n"/>
    </row>
    <row r="2697">
      <c r="A2697" s="64" t="n"/>
      <c r="B2697" s="65" t="n"/>
      <c r="C2697" s="66" t="n"/>
      <c r="D2697" s="67" t="n"/>
      <c r="E2697" s="68" t="n"/>
      <c r="F2697" s="47">
        <f>IF(A2697="","",IF(MIN(H2697,MAX(J2697:K2697))=0,"",MIN(H2697,MAX(J2697:K2697))))</f>
        <v/>
      </c>
      <c r="G2697" s="74" t="n"/>
      <c r="H2697" s="49">
        <f>IF(M2697="","",IFERROR(ROUND(AVERAGE(T2697+M2697*{7,8,9,10,11})/1.21,4),""))</f>
        <v/>
      </c>
      <c r="I2697" s="76" t="n"/>
      <c r="J2697" s="77" t="n"/>
      <c r="K2697" s="74" t="n"/>
      <c r="L2697" s="78" t="n"/>
      <c r="M2697" s="77" t="n"/>
      <c r="N2697" s="53">
        <f>IF(M2697="","",IFERROR(M2697/I2697,""))</f>
        <v/>
      </c>
      <c r="O2697" s="50">
        <f>IF(A2697="","",IFERROR((IF(G2697="",I2697,G2697)-T2697)/M2697,""))</f>
        <v/>
      </c>
      <c r="P2697" s="50">
        <f>IFERROR((I2697/T2697-1)/N2697,"")</f>
        <v/>
      </c>
      <c r="Q2697" s="46">
        <f>IF(OR(T2697="",I2697&lt;T2697),"",IFERROR(R2697/IF(G2697="",I2697,G2697)-1,""))</f>
        <v/>
      </c>
      <c r="R2697" s="48">
        <f>IF($M2697="","",MAX(IF($G2697="",$I2697,$G2697)*(1/1.1),IF($G2697="",$I2697,$G2697)+(R$2*$M2697)))</f>
        <v/>
      </c>
      <c r="S2697" s="49">
        <f>IF($M2697="","",MAX(IF($G2697="",$I2697,$G2697)*(1/1.1),IF($G2697="",$I2697,$G2697)+(S$2*$M2697)))</f>
        <v/>
      </c>
      <c r="T2697" s="82" t="n"/>
      <c r="U2697" s="47">
        <f>IF(OR($M2697="",$T2697=""),"",$T2697+(U$2*$M2697))</f>
        <v/>
      </c>
      <c r="V2697" s="48">
        <f>IF(OR($M2697="",$T2697=""),"",$T2697+(V$2*$M2697))</f>
        <v/>
      </c>
      <c r="W2697" s="48">
        <f>IF(OR($M2697="",$T2697=""),"",$T2697+(W$2*$M2697))</f>
        <v/>
      </c>
      <c r="X2697" s="49">
        <f>IF(OR($M2697="",$T2697=""),"",$T2697+(X$2*$M2697))</f>
        <v/>
      </c>
      <c r="Y2697" s="47">
        <f>IF(OR($M2697="",$T2697=""),"",$T2697+(Y$2*$M2697))</f>
        <v/>
      </c>
      <c r="Z2697" s="49">
        <f>IF(OR($M2697="",$T2697=""),"",$T2697+(Z$2*$M2697))</f>
        <v/>
      </c>
      <c r="AA2697" s="51">
        <f>IF(OR($M2697="",$T2697=""),"",$T2697+(AA$2*$M2697))</f>
        <v/>
      </c>
      <c r="AB2697" s="48">
        <f>IF(OR($M2697="",$T2697=""),"",$T2697+(AB$2*$M2697))</f>
        <v/>
      </c>
      <c r="AC2697" s="48">
        <f>IF(OR($M2697="",$T2697=""),"",$T2697+(AC$2*$M2697))</f>
        <v/>
      </c>
      <c r="AD2697" s="48">
        <f>IF(OR($M2697="",$T2697=""),"",$T2697+(AD$2*$M2697))</f>
        <v/>
      </c>
      <c r="AE2697" s="49">
        <f>IF(OR($M2697="",$T2697=""),"",$T2697+(AE$2*$M2697))</f>
        <v/>
      </c>
      <c r="AF2697" s="52">
        <f>IF(OR(T2697="",I2697&lt;T2697),"",IFERROR(AVERAGE(T2697+M2697*{7,8,9,10,11})/IF(G2697="",I2697,G2697)-1,""))</f>
        <v/>
      </c>
      <c r="AG2697" s="55">
        <f>IF(OR(T2697="",I2697&lt;T2697),"",IFERROR(AF2697/-(R2697/IF(G2697="",I2697,G2697)-1),""))</f>
        <v/>
      </c>
      <c r="AH2697" s="94" t="n"/>
      <c r="AI2697" s="94" t="n"/>
      <c r="AJ2697" s="94" t="n"/>
      <c r="AK2697" s="94" t="n"/>
      <c r="AL2697" s="84" t="n"/>
    </row>
    <row r="2698">
      <c r="A2698" s="64" t="n"/>
      <c r="B2698" s="65" t="n"/>
      <c r="C2698" s="66" t="n"/>
      <c r="D2698" s="67" t="n"/>
      <c r="E2698" s="68" t="n"/>
      <c r="F2698" s="47">
        <f>IF(A2698="","",IF(MIN(H2698,MAX(J2698:K2698))=0,"",MIN(H2698,MAX(J2698:K2698))))</f>
        <v/>
      </c>
      <c r="G2698" s="74" t="n"/>
      <c r="H2698" s="49">
        <f>IF(M2698="","",IFERROR(ROUND(AVERAGE(T2698+M2698*{7,8,9,10,11})/1.21,4),""))</f>
        <v/>
      </c>
      <c r="I2698" s="76" t="n"/>
      <c r="J2698" s="77" t="n"/>
      <c r="K2698" s="74" t="n"/>
      <c r="L2698" s="78" t="n"/>
      <c r="M2698" s="77" t="n"/>
      <c r="N2698" s="53">
        <f>IF(M2698="","",IFERROR(M2698/I2698,""))</f>
        <v/>
      </c>
      <c r="O2698" s="50">
        <f>IF(A2698="","",IFERROR((IF(G2698="",I2698,G2698)-T2698)/M2698,""))</f>
        <v/>
      </c>
      <c r="P2698" s="50">
        <f>IFERROR((I2698/T2698-1)/N2698,"")</f>
        <v/>
      </c>
      <c r="Q2698" s="46">
        <f>IF(OR(T2698="",I2698&lt;T2698),"",IFERROR(R2698/IF(G2698="",I2698,G2698)-1,""))</f>
        <v/>
      </c>
      <c r="R2698" s="48">
        <f>IF($M2698="","",MAX(IF($G2698="",$I2698,$G2698)*(1/1.1),IF($G2698="",$I2698,$G2698)+(R$2*$M2698)))</f>
        <v/>
      </c>
      <c r="S2698" s="49">
        <f>IF($M2698="","",MAX(IF($G2698="",$I2698,$G2698)*(1/1.1),IF($G2698="",$I2698,$G2698)+(S$2*$M2698)))</f>
        <v/>
      </c>
      <c r="T2698" s="82" t="n"/>
      <c r="U2698" s="47">
        <f>IF(OR($M2698="",$T2698=""),"",$T2698+(U$2*$M2698))</f>
        <v/>
      </c>
      <c r="V2698" s="48">
        <f>IF(OR($M2698="",$T2698=""),"",$T2698+(V$2*$M2698))</f>
        <v/>
      </c>
      <c r="W2698" s="48">
        <f>IF(OR($M2698="",$T2698=""),"",$T2698+(W$2*$M2698))</f>
        <v/>
      </c>
      <c r="X2698" s="49">
        <f>IF(OR($M2698="",$T2698=""),"",$T2698+(X$2*$M2698))</f>
        <v/>
      </c>
      <c r="Y2698" s="47">
        <f>IF(OR($M2698="",$T2698=""),"",$T2698+(Y$2*$M2698))</f>
        <v/>
      </c>
      <c r="Z2698" s="49">
        <f>IF(OR($M2698="",$T2698=""),"",$T2698+(Z$2*$M2698))</f>
        <v/>
      </c>
      <c r="AA2698" s="51">
        <f>IF(OR($M2698="",$T2698=""),"",$T2698+(AA$2*$M2698))</f>
        <v/>
      </c>
      <c r="AB2698" s="48">
        <f>IF(OR($M2698="",$T2698=""),"",$T2698+(AB$2*$M2698))</f>
        <v/>
      </c>
      <c r="AC2698" s="48">
        <f>IF(OR($M2698="",$T2698=""),"",$T2698+(AC$2*$M2698))</f>
        <v/>
      </c>
      <c r="AD2698" s="48">
        <f>IF(OR($M2698="",$T2698=""),"",$T2698+(AD$2*$M2698))</f>
        <v/>
      </c>
      <c r="AE2698" s="49">
        <f>IF(OR($M2698="",$T2698=""),"",$T2698+(AE$2*$M2698))</f>
        <v/>
      </c>
      <c r="AF2698" s="52">
        <f>IF(OR(T2698="",I2698&lt;T2698),"",IFERROR(AVERAGE(T2698+M2698*{7,8,9,10,11})/IF(G2698="",I2698,G2698)-1,""))</f>
        <v/>
      </c>
      <c r="AG2698" s="55">
        <f>IF(OR(T2698="",I2698&lt;T2698),"",IFERROR(AF2698/-(R2698/IF(G2698="",I2698,G2698)-1),""))</f>
        <v/>
      </c>
      <c r="AH2698" s="94" t="n"/>
      <c r="AI2698" s="94" t="n"/>
      <c r="AJ2698" s="94" t="n"/>
      <c r="AK2698" s="94" t="n"/>
      <c r="AL2698" s="84" t="n"/>
    </row>
    <row r="2699">
      <c r="A2699" s="64" t="n"/>
      <c r="B2699" s="65" t="n"/>
      <c r="C2699" s="66" t="n"/>
      <c r="D2699" s="67" t="n"/>
      <c r="E2699" s="68" t="n"/>
      <c r="F2699" s="47">
        <f>IF(A2699="","",IF(MIN(H2699,MAX(J2699:K2699))=0,"",MIN(H2699,MAX(J2699:K2699))))</f>
        <v/>
      </c>
      <c r="G2699" s="74" t="n"/>
      <c r="H2699" s="49">
        <f>IF(M2699="","",IFERROR(ROUND(AVERAGE(T2699+M2699*{7,8,9,10,11})/1.21,4),""))</f>
        <v/>
      </c>
      <c r="I2699" s="76" t="n"/>
      <c r="J2699" s="77" t="n"/>
      <c r="K2699" s="74" t="n"/>
      <c r="L2699" s="78" t="n"/>
      <c r="M2699" s="77" t="n"/>
      <c r="N2699" s="53">
        <f>IF(M2699="","",IFERROR(M2699/I2699,""))</f>
        <v/>
      </c>
      <c r="O2699" s="50">
        <f>IF(A2699="","",IFERROR((IF(G2699="",I2699,G2699)-T2699)/M2699,""))</f>
        <v/>
      </c>
      <c r="P2699" s="50">
        <f>IFERROR((I2699/T2699-1)/N2699,"")</f>
        <v/>
      </c>
      <c r="Q2699" s="46">
        <f>IF(OR(T2699="",I2699&lt;T2699),"",IFERROR(R2699/IF(G2699="",I2699,G2699)-1,""))</f>
        <v/>
      </c>
      <c r="R2699" s="48">
        <f>IF($M2699="","",MAX(IF($G2699="",$I2699,$G2699)*(1/1.1),IF($G2699="",$I2699,$G2699)+(R$2*$M2699)))</f>
        <v/>
      </c>
      <c r="S2699" s="49">
        <f>IF($M2699="","",MAX(IF($G2699="",$I2699,$G2699)*(1/1.1),IF($G2699="",$I2699,$G2699)+(S$2*$M2699)))</f>
        <v/>
      </c>
      <c r="T2699" s="82" t="n"/>
      <c r="U2699" s="47">
        <f>IF(OR($M2699="",$T2699=""),"",$T2699+(U$2*$M2699))</f>
        <v/>
      </c>
      <c r="V2699" s="48">
        <f>IF(OR($M2699="",$T2699=""),"",$T2699+(V$2*$M2699))</f>
        <v/>
      </c>
      <c r="W2699" s="48">
        <f>IF(OR($M2699="",$T2699=""),"",$T2699+(W$2*$M2699))</f>
        <v/>
      </c>
      <c r="X2699" s="49">
        <f>IF(OR($M2699="",$T2699=""),"",$T2699+(X$2*$M2699))</f>
        <v/>
      </c>
      <c r="Y2699" s="47">
        <f>IF(OR($M2699="",$T2699=""),"",$T2699+(Y$2*$M2699))</f>
        <v/>
      </c>
      <c r="Z2699" s="49">
        <f>IF(OR($M2699="",$T2699=""),"",$T2699+(Z$2*$M2699))</f>
        <v/>
      </c>
      <c r="AA2699" s="51">
        <f>IF(OR($M2699="",$T2699=""),"",$T2699+(AA$2*$M2699))</f>
        <v/>
      </c>
      <c r="AB2699" s="48">
        <f>IF(OR($M2699="",$T2699=""),"",$T2699+(AB$2*$M2699))</f>
        <v/>
      </c>
      <c r="AC2699" s="48">
        <f>IF(OR($M2699="",$T2699=""),"",$T2699+(AC$2*$M2699))</f>
        <v/>
      </c>
      <c r="AD2699" s="48">
        <f>IF(OR($M2699="",$T2699=""),"",$T2699+(AD$2*$M2699))</f>
        <v/>
      </c>
      <c r="AE2699" s="49">
        <f>IF(OR($M2699="",$T2699=""),"",$T2699+(AE$2*$M2699))</f>
        <v/>
      </c>
      <c r="AF2699" s="52">
        <f>IF(OR(T2699="",I2699&lt;T2699),"",IFERROR(AVERAGE(T2699+M2699*{7,8,9,10,11})/IF(G2699="",I2699,G2699)-1,""))</f>
        <v/>
      </c>
      <c r="AG2699" s="55">
        <f>IF(OR(T2699="",I2699&lt;T2699),"",IFERROR(AF2699/-(R2699/IF(G2699="",I2699,G2699)-1),""))</f>
        <v/>
      </c>
      <c r="AH2699" s="94" t="n"/>
      <c r="AI2699" s="94" t="n"/>
      <c r="AJ2699" s="94" t="n"/>
      <c r="AK2699" s="94" t="n"/>
      <c r="AL2699" s="84" t="n"/>
    </row>
    <row r="2700">
      <c r="A2700" s="64" t="n"/>
      <c r="B2700" s="65" t="n"/>
      <c r="C2700" s="66" t="n"/>
      <c r="D2700" s="67" t="n"/>
      <c r="E2700" s="68" t="n"/>
      <c r="F2700" s="47">
        <f>IF(A2700="","",IF(MIN(H2700,MAX(J2700:K2700))=0,"",MIN(H2700,MAX(J2700:K2700))))</f>
        <v/>
      </c>
      <c r="G2700" s="74" t="n"/>
      <c r="H2700" s="49">
        <f>IF(M2700="","",IFERROR(ROUND(AVERAGE(T2700+M2700*{7,8,9,10,11})/1.21,4),""))</f>
        <v/>
      </c>
      <c r="I2700" s="76" t="n"/>
      <c r="J2700" s="77" t="n"/>
      <c r="K2700" s="74" t="n"/>
      <c r="L2700" s="78" t="n"/>
      <c r="M2700" s="77" t="n"/>
      <c r="N2700" s="53">
        <f>IF(M2700="","",IFERROR(M2700/I2700,""))</f>
        <v/>
      </c>
      <c r="O2700" s="50">
        <f>IF(A2700="","",IFERROR((IF(G2700="",I2700,G2700)-T2700)/M2700,""))</f>
        <v/>
      </c>
      <c r="P2700" s="50">
        <f>IFERROR((I2700/T2700-1)/N2700,"")</f>
        <v/>
      </c>
      <c r="Q2700" s="46">
        <f>IF(OR(T2700="",I2700&lt;T2700),"",IFERROR(R2700/IF(G2700="",I2700,G2700)-1,""))</f>
        <v/>
      </c>
      <c r="R2700" s="48">
        <f>IF($M2700="","",MAX(IF($G2700="",$I2700,$G2700)*(1/1.1),IF($G2700="",$I2700,$G2700)+(R$2*$M2700)))</f>
        <v/>
      </c>
      <c r="S2700" s="49">
        <f>IF($M2700="","",MAX(IF($G2700="",$I2700,$G2700)*(1/1.1),IF($G2700="",$I2700,$G2700)+(S$2*$M2700)))</f>
        <v/>
      </c>
      <c r="T2700" s="82" t="n"/>
      <c r="U2700" s="47">
        <f>IF(OR($M2700="",$T2700=""),"",$T2700+(U$2*$M2700))</f>
        <v/>
      </c>
      <c r="V2700" s="48">
        <f>IF(OR($M2700="",$T2700=""),"",$T2700+(V$2*$M2700))</f>
        <v/>
      </c>
      <c r="W2700" s="48">
        <f>IF(OR($M2700="",$T2700=""),"",$T2700+(W$2*$M2700))</f>
        <v/>
      </c>
      <c r="X2700" s="49">
        <f>IF(OR($M2700="",$T2700=""),"",$T2700+(X$2*$M2700))</f>
        <v/>
      </c>
      <c r="Y2700" s="47">
        <f>IF(OR($M2700="",$T2700=""),"",$T2700+(Y$2*$M2700))</f>
        <v/>
      </c>
      <c r="Z2700" s="49">
        <f>IF(OR($M2700="",$T2700=""),"",$T2700+(Z$2*$M2700))</f>
        <v/>
      </c>
      <c r="AA2700" s="51">
        <f>IF(OR($M2700="",$T2700=""),"",$T2700+(AA$2*$M2700))</f>
        <v/>
      </c>
      <c r="AB2700" s="48">
        <f>IF(OR($M2700="",$T2700=""),"",$T2700+(AB$2*$M2700))</f>
        <v/>
      </c>
      <c r="AC2700" s="48">
        <f>IF(OR($M2700="",$T2700=""),"",$T2700+(AC$2*$M2700))</f>
        <v/>
      </c>
      <c r="AD2700" s="48">
        <f>IF(OR($M2700="",$T2700=""),"",$T2700+(AD$2*$M2700))</f>
        <v/>
      </c>
      <c r="AE2700" s="49">
        <f>IF(OR($M2700="",$T2700=""),"",$T2700+(AE$2*$M2700))</f>
        <v/>
      </c>
      <c r="AF2700" s="52">
        <f>IF(OR(T2700="",I2700&lt;T2700),"",IFERROR(AVERAGE(T2700+M2700*{7,8,9,10,11})/IF(G2700="",I2700,G2700)-1,""))</f>
        <v/>
      </c>
      <c r="AG2700" s="55">
        <f>IF(OR(T2700="",I2700&lt;T2700),"",IFERROR(AF2700/-(R2700/IF(G2700="",I2700,G2700)-1),""))</f>
        <v/>
      </c>
      <c r="AH2700" s="94" t="n"/>
      <c r="AI2700" s="94" t="n"/>
      <c r="AJ2700" s="94" t="n"/>
      <c r="AK2700" s="94" t="n"/>
      <c r="AL2700" s="84" t="n"/>
    </row>
    <row r="2701">
      <c r="A2701" s="64" t="n"/>
      <c r="B2701" s="65" t="n"/>
      <c r="C2701" s="66" t="n"/>
      <c r="D2701" s="67" t="n"/>
      <c r="E2701" s="68" t="n"/>
      <c r="F2701" s="47">
        <f>IF(A2701="","",IF(MIN(H2701,MAX(J2701:K2701))=0,"",MIN(H2701,MAX(J2701:K2701))))</f>
        <v/>
      </c>
      <c r="G2701" s="74" t="n"/>
      <c r="H2701" s="49">
        <f>IF(M2701="","",IFERROR(ROUND(AVERAGE(T2701+M2701*{7,8,9,10,11})/1.21,4),""))</f>
        <v/>
      </c>
      <c r="I2701" s="76" t="n"/>
      <c r="J2701" s="77" t="n"/>
      <c r="K2701" s="74" t="n"/>
      <c r="L2701" s="78" t="n"/>
      <c r="M2701" s="77" t="n"/>
      <c r="N2701" s="53">
        <f>IF(M2701="","",IFERROR(M2701/I2701,""))</f>
        <v/>
      </c>
      <c r="O2701" s="50">
        <f>IF(A2701="","",IFERROR((IF(G2701="",I2701,G2701)-T2701)/M2701,""))</f>
        <v/>
      </c>
      <c r="P2701" s="50">
        <f>IFERROR((I2701/T2701-1)/N2701,"")</f>
        <v/>
      </c>
      <c r="Q2701" s="46">
        <f>IF(OR(T2701="",I2701&lt;T2701),"",IFERROR(R2701/IF(G2701="",I2701,G2701)-1,""))</f>
        <v/>
      </c>
      <c r="R2701" s="48">
        <f>IF($M2701="","",MAX(IF($G2701="",$I2701,$G2701)*(1/1.1),IF($G2701="",$I2701,$G2701)+(R$2*$M2701)))</f>
        <v/>
      </c>
      <c r="S2701" s="49">
        <f>IF($M2701="","",MAX(IF($G2701="",$I2701,$G2701)*(1/1.1),IF($G2701="",$I2701,$G2701)+(S$2*$M2701)))</f>
        <v/>
      </c>
      <c r="T2701" s="82" t="n"/>
      <c r="U2701" s="47">
        <f>IF(OR($M2701="",$T2701=""),"",$T2701+(U$2*$M2701))</f>
        <v/>
      </c>
      <c r="V2701" s="48">
        <f>IF(OR($M2701="",$T2701=""),"",$T2701+(V$2*$M2701))</f>
        <v/>
      </c>
      <c r="W2701" s="48">
        <f>IF(OR($M2701="",$T2701=""),"",$T2701+(W$2*$M2701))</f>
        <v/>
      </c>
      <c r="X2701" s="49">
        <f>IF(OR($M2701="",$T2701=""),"",$T2701+(X$2*$M2701))</f>
        <v/>
      </c>
      <c r="Y2701" s="47">
        <f>IF(OR($M2701="",$T2701=""),"",$T2701+(Y$2*$M2701))</f>
        <v/>
      </c>
      <c r="Z2701" s="49">
        <f>IF(OR($M2701="",$T2701=""),"",$T2701+(Z$2*$M2701))</f>
        <v/>
      </c>
      <c r="AA2701" s="51">
        <f>IF(OR($M2701="",$T2701=""),"",$T2701+(AA$2*$M2701))</f>
        <v/>
      </c>
      <c r="AB2701" s="48">
        <f>IF(OR($M2701="",$T2701=""),"",$T2701+(AB$2*$M2701))</f>
        <v/>
      </c>
      <c r="AC2701" s="48">
        <f>IF(OR($M2701="",$T2701=""),"",$T2701+(AC$2*$M2701))</f>
        <v/>
      </c>
      <c r="AD2701" s="48">
        <f>IF(OR($M2701="",$T2701=""),"",$T2701+(AD$2*$M2701))</f>
        <v/>
      </c>
      <c r="AE2701" s="49">
        <f>IF(OR($M2701="",$T2701=""),"",$T2701+(AE$2*$M2701))</f>
        <v/>
      </c>
      <c r="AF2701" s="52">
        <f>IF(OR(T2701="",I2701&lt;T2701),"",IFERROR(AVERAGE(T2701+M2701*{7,8,9,10,11})/IF(G2701="",I2701,G2701)-1,""))</f>
        <v/>
      </c>
      <c r="AG2701" s="55">
        <f>IF(OR(T2701="",I2701&lt;T2701),"",IFERROR(AF2701/-(R2701/IF(G2701="",I2701,G2701)-1),""))</f>
        <v/>
      </c>
      <c r="AH2701" s="94" t="n"/>
      <c r="AI2701" s="94" t="n"/>
      <c r="AJ2701" s="94" t="n"/>
      <c r="AK2701" s="94" t="n"/>
      <c r="AL2701" s="84" t="n"/>
    </row>
    <row r="2702">
      <c r="A2702" s="64" t="n"/>
      <c r="B2702" s="65" t="n"/>
      <c r="C2702" s="66" t="n"/>
      <c r="D2702" s="67" t="n"/>
      <c r="E2702" s="68" t="n"/>
      <c r="F2702" s="47">
        <f>IF(A2702="","",IF(MIN(H2702,MAX(J2702:K2702))=0,"",MIN(H2702,MAX(J2702:K2702))))</f>
        <v/>
      </c>
      <c r="G2702" s="74" t="n"/>
      <c r="H2702" s="49">
        <f>IF(M2702="","",IFERROR(ROUND(AVERAGE(T2702+M2702*{7,8,9,10,11})/1.21,4),""))</f>
        <v/>
      </c>
      <c r="I2702" s="76" t="n"/>
      <c r="J2702" s="77" t="n"/>
      <c r="K2702" s="74" t="n"/>
      <c r="L2702" s="78" t="n"/>
      <c r="M2702" s="77" t="n"/>
      <c r="N2702" s="53">
        <f>IF(M2702="","",IFERROR(M2702/I2702,""))</f>
        <v/>
      </c>
      <c r="O2702" s="50">
        <f>IF(A2702="","",IFERROR((IF(G2702="",I2702,G2702)-T2702)/M2702,""))</f>
        <v/>
      </c>
      <c r="P2702" s="50">
        <f>IFERROR((I2702/T2702-1)/N2702,"")</f>
        <v/>
      </c>
      <c r="Q2702" s="46">
        <f>IF(OR(T2702="",I2702&lt;T2702),"",IFERROR(R2702/IF(G2702="",I2702,G2702)-1,""))</f>
        <v/>
      </c>
      <c r="R2702" s="48">
        <f>IF($M2702="","",MAX(IF($G2702="",$I2702,$G2702)*(1/1.1),IF($G2702="",$I2702,$G2702)+(R$2*$M2702)))</f>
        <v/>
      </c>
      <c r="S2702" s="49">
        <f>IF($M2702="","",MAX(IF($G2702="",$I2702,$G2702)*(1/1.1),IF($G2702="",$I2702,$G2702)+(S$2*$M2702)))</f>
        <v/>
      </c>
      <c r="T2702" s="82" t="n"/>
      <c r="U2702" s="47">
        <f>IF(OR($M2702="",$T2702=""),"",$T2702+(U$2*$M2702))</f>
        <v/>
      </c>
      <c r="V2702" s="48">
        <f>IF(OR($M2702="",$T2702=""),"",$T2702+(V$2*$M2702))</f>
        <v/>
      </c>
      <c r="W2702" s="48">
        <f>IF(OR($M2702="",$T2702=""),"",$T2702+(W$2*$M2702))</f>
        <v/>
      </c>
      <c r="X2702" s="49">
        <f>IF(OR($M2702="",$T2702=""),"",$T2702+(X$2*$M2702))</f>
        <v/>
      </c>
      <c r="Y2702" s="47">
        <f>IF(OR($M2702="",$T2702=""),"",$T2702+(Y$2*$M2702))</f>
        <v/>
      </c>
      <c r="Z2702" s="49">
        <f>IF(OR($M2702="",$T2702=""),"",$T2702+(Z$2*$M2702))</f>
        <v/>
      </c>
      <c r="AA2702" s="51">
        <f>IF(OR($M2702="",$T2702=""),"",$T2702+(AA$2*$M2702))</f>
        <v/>
      </c>
      <c r="AB2702" s="48">
        <f>IF(OR($M2702="",$T2702=""),"",$T2702+(AB$2*$M2702))</f>
        <v/>
      </c>
      <c r="AC2702" s="48">
        <f>IF(OR($M2702="",$T2702=""),"",$T2702+(AC$2*$M2702))</f>
        <v/>
      </c>
      <c r="AD2702" s="48">
        <f>IF(OR($M2702="",$T2702=""),"",$T2702+(AD$2*$M2702))</f>
        <v/>
      </c>
      <c r="AE2702" s="49">
        <f>IF(OR($M2702="",$T2702=""),"",$T2702+(AE$2*$M2702))</f>
        <v/>
      </c>
      <c r="AF2702" s="52">
        <f>IF(OR(T2702="",I2702&lt;T2702),"",IFERROR(AVERAGE(T2702+M2702*{7,8,9,10,11})/IF(G2702="",I2702,G2702)-1,""))</f>
        <v/>
      </c>
      <c r="AG2702" s="55">
        <f>IF(OR(T2702="",I2702&lt;T2702),"",IFERROR(AF2702/-(R2702/IF(G2702="",I2702,G2702)-1),""))</f>
        <v/>
      </c>
      <c r="AH2702" s="94" t="n"/>
      <c r="AI2702" s="94" t="n"/>
      <c r="AJ2702" s="94" t="n"/>
      <c r="AK2702" s="94" t="n"/>
      <c r="AL2702" s="84" t="n"/>
    </row>
    <row r="2703">
      <c r="A2703" s="64" t="n"/>
      <c r="B2703" s="65" t="n"/>
      <c r="C2703" s="66" t="n"/>
      <c r="D2703" s="67" t="n"/>
      <c r="E2703" s="68" t="n"/>
      <c r="F2703" s="47">
        <f>IF(A2703="","",IF(MIN(H2703,MAX(J2703:K2703))=0,"",MIN(H2703,MAX(J2703:K2703))))</f>
        <v/>
      </c>
      <c r="G2703" s="74" t="n"/>
      <c r="H2703" s="49">
        <f>IF(M2703="","",IFERROR(ROUND(AVERAGE(T2703+M2703*{7,8,9,10,11})/1.21,4),""))</f>
        <v/>
      </c>
      <c r="I2703" s="76" t="n"/>
      <c r="J2703" s="77" t="n"/>
      <c r="K2703" s="74" t="n"/>
      <c r="L2703" s="78" t="n"/>
      <c r="M2703" s="77" t="n"/>
      <c r="N2703" s="53">
        <f>IF(M2703="","",IFERROR(M2703/I2703,""))</f>
        <v/>
      </c>
      <c r="O2703" s="50">
        <f>IF(A2703="","",IFERROR((IF(G2703="",I2703,G2703)-T2703)/M2703,""))</f>
        <v/>
      </c>
      <c r="P2703" s="50">
        <f>IFERROR((I2703/T2703-1)/N2703,"")</f>
        <v/>
      </c>
      <c r="Q2703" s="46">
        <f>IF(OR(T2703="",I2703&lt;T2703),"",IFERROR(R2703/IF(G2703="",I2703,G2703)-1,""))</f>
        <v/>
      </c>
      <c r="R2703" s="48">
        <f>IF($M2703="","",MAX(IF($G2703="",$I2703,$G2703)*(1/1.1),IF($G2703="",$I2703,$G2703)+(R$2*$M2703)))</f>
        <v/>
      </c>
      <c r="S2703" s="49">
        <f>IF($M2703="","",MAX(IF($G2703="",$I2703,$G2703)*(1/1.1),IF($G2703="",$I2703,$G2703)+(S$2*$M2703)))</f>
        <v/>
      </c>
      <c r="T2703" s="82" t="n"/>
      <c r="U2703" s="47">
        <f>IF(OR($M2703="",$T2703=""),"",$T2703+(U$2*$M2703))</f>
        <v/>
      </c>
      <c r="V2703" s="48">
        <f>IF(OR($M2703="",$T2703=""),"",$T2703+(V$2*$M2703))</f>
        <v/>
      </c>
      <c r="W2703" s="48">
        <f>IF(OR($M2703="",$T2703=""),"",$T2703+(W$2*$M2703))</f>
        <v/>
      </c>
      <c r="X2703" s="49">
        <f>IF(OR($M2703="",$T2703=""),"",$T2703+(X$2*$M2703))</f>
        <v/>
      </c>
      <c r="Y2703" s="47">
        <f>IF(OR($M2703="",$T2703=""),"",$T2703+(Y$2*$M2703))</f>
        <v/>
      </c>
      <c r="Z2703" s="49">
        <f>IF(OR($M2703="",$T2703=""),"",$T2703+(Z$2*$M2703))</f>
        <v/>
      </c>
      <c r="AA2703" s="51">
        <f>IF(OR($M2703="",$T2703=""),"",$T2703+(AA$2*$M2703))</f>
        <v/>
      </c>
      <c r="AB2703" s="48">
        <f>IF(OR($M2703="",$T2703=""),"",$T2703+(AB$2*$M2703))</f>
        <v/>
      </c>
      <c r="AC2703" s="48">
        <f>IF(OR($M2703="",$T2703=""),"",$T2703+(AC$2*$M2703))</f>
        <v/>
      </c>
      <c r="AD2703" s="48">
        <f>IF(OR($M2703="",$T2703=""),"",$T2703+(AD$2*$M2703))</f>
        <v/>
      </c>
      <c r="AE2703" s="49">
        <f>IF(OR($M2703="",$T2703=""),"",$T2703+(AE$2*$M2703))</f>
        <v/>
      </c>
      <c r="AF2703" s="52">
        <f>IF(OR(T2703="",I2703&lt;T2703),"",IFERROR(AVERAGE(T2703+M2703*{7,8,9,10,11})/IF(G2703="",I2703,G2703)-1,""))</f>
        <v/>
      </c>
      <c r="AG2703" s="55">
        <f>IF(OR(T2703="",I2703&lt;T2703),"",IFERROR(AF2703/-(R2703/IF(G2703="",I2703,G2703)-1),""))</f>
        <v/>
      </c>
      <c r="AH2703" s="94" t="n"/>
      <c r="AI2703" s="94" t="n"/>
      <c r="AJ2703" s="94" t="n"/>
      <c r="AK2703" s="94" t="n"/>
      <c r="AL2703" s="84" t="n"/>
    </row>
    <row r="2704">
      <c r="A2704" s="64" t="n"/>
      <c r="B2704" s="65" t="n"/>
      <c r="C2704" s="66" t="n"/>
      <c r="D2704" s="67" t="n"/>
      <c r="E2704" s="68" t="n"/>
      <c r="F2704" s="47">
        <f>IF(A2704="","",IF(MIN(H2704,MAX(J2704:K2704))=0,"",MIN(H2704,MAX(J2704:K2704))))</f>
        <v/>
      </c>
      <c r="G2704" s="74" t="n"/>
      <c r="H2704" s="49">
        <f>IF(M2704="","",IFERROR(ROUND(AVERAGE(T2704+M2704*{7,8,9,10,11})/1.21,4),""))</f>
        <v/>
      </c>
      <c r="I2704" s="76" t="n"/>
      <c r="J2704" s="77" t="n"/>
      <c r="K2704" s="74" t="n"/>
      <c r="L2704" s="78" t="n"/>
      <c r="M2704" s="77" t="n"/>
      <c r="N2704" s="53">
        <f>IF(M2704="","",IFERROR(M2704/I2704,""))</f>
        <v/>
      </c>
      <c r="O2704" s="50">
        <f>IF(A2704="","",IFERROR((IF(G2704="",I2704,G2704)-T2704)/M2704,""))</f>
        <v/>
      </c>
      <c r="P2704" s="50">
        <f>IFERROR((I2704/T2704-1)/N2704,"")</f>
        <v/>
      </c>
      <c r="Q2704" s="46">
        <f>IF(OR(T2704="",I2704&lt;T2704),"",IFERROR(R2704/IF(G2704="",I2704,G2704)-1,""))</f>
        <v/>
      </c>
      <c r="R2704" s="48">
        <f>IF($M2704="","",MAX(IF($G2704="",$I2704,$G2704)*(1/1.1),IF($G2704="",$I2704,$G2704)+(R$2*$M2704)))</f>
        <v/>
      </c>
      <c r="S2704" s="49">
        <f>IF($M2704="","",MAX(IF($G2704="",$I2704,$G2704)*(1/1.1),IF($G2704="",$I2704,$G2704)+(S$2*$M2704)))</f>
        <v/>
      </c>
      <c r="T2704" s="82" t="n"/>
      <c r="U2704" s="47">
        <f>IF(OR($M2704="",$T2704=""),"",$T2704+(U$2*$M2704))</f>
        <v/>
      </c>
      <c r="V2704" s="48">
        <f>IF(OR($M2704="",$T2704=""),"",$T2704+(V$2*$M2704))</f>
        <v/>
      </c>
      <c r="W2704" s="48">
        <f>IF(OR($M2704="",$T2704=""),"",$T2704+(W$2*$M2704))</f>
        <v/>
      </c>
      <c r="X2704" s="49">
        <f>IF(OR($M2704="",$T2704=""),"",$T2704+(X$2*$M2704))</f>
        <v/>
      </c>
      <c r="Y2704" s="47">
        <f>IF(OR($M2704="",$T2704=""),"",$T2704+(Y$2*$M2704))</f>
        <v/>
      </c>
      <c r="Z2704" s="49">
        <f>IF(OR($M2704="",$T2704=""),"",$T2704+(Z$2*$M2704))</f>
        <v/>
      </c>
      <c r="AA2704" s="51">
        <f>IF(OR($M2704="",$T2704=""),"",$T2704+(AA$2*$M2704))</f>
        <v/>
      </c>
      <c r="AB2704" s="48">
        <f>IF(OR($M2704="",$T2704=""),"",$T2704+(AB$2*$M2704))</f>
        <v/>
      </c>
      <c r="AC2704" s="48">
        <f>IF(OR($M2704="",$T2704=""),"",$T2704+(AC$2*$M2704))</f>
        <v/>
      </c>
      <c r="AD2704" s="48">
        <f>IF(OR($M2704="",$T2704=""),"",$T2704+(AD$2*$M2704))</f>
        <v/>
      </c>
      <c r="AE2704" s="49">
        <f>IF(OR($M2704="",$T2704=""),"",$T2704+(AE$2*$M2704))</f>
        <v/>
      </c>
      <c r="AF2704" s="52">
        <f>IF(OR(T2704="",I2704&lt;T2704),"",IFERROR(AVERAGE(T2704+M2704*{7,8,9,10,11})/IF(G2704="",I2704,G2704)-1,""))</f>
        <v/>
      </c>
      <c r="AG2704" s="55">
        <f>IF(OR(T2704="",I2704&lt;T2704),"",IFERROR(AF2704/-(R2704/IF(G2704="",I2704,G2704)-1),""))</f>
        <v/>
      </c>
      <c r="AH2704" s="94" t="n"/>
      <c r="AI2704" s="94" t="n"/>
      <c r="AJ2704" s="94" t="n"/>
      <c r="AK2704" s="94" t="n"/>
      <c r="AL2704" s="84" t="n"/>
    </row>
    <row r="2705">
      <c r="A2705" s="64" t="n"/>
      <c r="B2705" s="65" t="n"/>
      <c r="C2705" s="66" t="n"/>
      <c r="D2705" s="67" t="n"/>
      <c r="E2705" s="68" t="n"/>
      <c r="F2705" s="47">
        <f>IF(A2705="","",IF(MIN(H2705,MAX(J2705:K2705))=0,"",MIN(H2705,MAX(J2705:K2705))))</f>
        <v/>
      </c>
      <c r="G2705" s="74" t="n"/>
      <c r="H2705" s="49">
        <f>IF(M2705="","",IFERROR(ROUND(AVERAGE(T2705+M2705*{7,8,9,10,11})/1.21,4),""))</f>
        <v/>
      </c>
      <c r="I2705" s="76" t="n"/>
      <c r="J2705" s="77" t="n"/>
      <c r="K2705" s="74" t="n"/>
      <c r="L2705" s="78" t="n"/>
      <c r="M2705" s="77" t="n"/>
      <c r="N2705" s="53">
        <f>IF(M2705="","",IFERROR(M2705/I2705,""))</f>
        <v/>
      </c>
      <c r="O2705" s="50">
        <f>IF(A2705="","",IFERROR((IF(G2705="",I2705,G2705)-T2705)/M2705,""))</f>
        <v/>
      </c>
      <c r="P2705" s="50">
        <f>IFERROR((I2705/T2705-1)/N2705,"")</f>
        <v/>
      </c>
      <c r="Q2705" s="46">
        <f>IF(OR(T2705="",I2705&lt;T2705),"",IFERROR(R2705/IF(G2705="",I2705,G2705)-1,""))</f>
        <v/>
      </c>
      <c r="R2705" s="48">
        <f>IF($M2705="","",MAX(IF($G2705="",$I2705,$G2705)*(1/1.1),IF($G2705="",$I2705,$G2705)+(R$2*$M2705)))</f>
        <v/>
      </c>
      <c r="S2705" s="49">
        <f>IF($M2705="","",MAX(IF($G2705="",$I2705,$G2705)*(1/1.1),IF($G2705="",$I2705,$G2705)+(S$2*$M2705)))</f>
        <v/>
      </c>
      <c r="T2705" s="82" t="n"/>
      <c r="U2705" s="47">
        <f>IF(OR($M2705="",$T2705=""),"",$T2705+(U$2*$M2705))</f>
        <v/>
      </c>
      <c r="V2705" s="48">
        <f>IF(OR($M2705="",$T2705=""),"",$T2705+(V$2*$M2705))</f>
        <v/>
      </c>
      <c r="W2705" s="48">
        <f>IF(OR($M2705="",$T2705=""),"",$T2705+(W$2*$M2705))</f>
        <v/>
      </c>
      <c r="X2705" s="49">
        <f>IF(OR($M2705="",$T2705=""),"",$T2705+(X$2*$M2705))</f>
        <v/>
      </c>
      <c r="Y2705" s="47">
        <f>IF(OR($M2705="",$T2705=""),"",$T2705+(Y$2*$M2705))</f>
        <v/>
      </c>
      <c r="Z2705" s="49">
        <f>IF(OR($M2705="",$T2705=""),"",$T2705+(Z$2*$M2705))</f>
        <v/>
      </c>
      <c r="AA2705" s="51">
        <f>IF(OR($M2705="",$T2705=""),"",$T2705+(AA$2*$M2705))</f>
        <v/>
      </c>
      <c r="AB2705" s="48">
        <f>IF(OR($M2705="",$T2705=""),"",$T2705+(AB$2*$M2705))</f>
        <v/>
      </c>
      <c r="AC2705" s="48">
        <f>IF(OR($M2705="",$T2705=""),"",$T2705+(AC$2*$M2705))</f>
        <v/>
      </c>
      <c r="AD2705" s="48">
        <f>IF(OR($M2705="",$T2705=""),"",$T2705+(AD$2*$M2705))</f>
        <v/>
      </c>
      <c r="AE2705" s="49">
        <f>IF(OR($M2705="",$T2705=""),"",$T2705+(AE$2*$M2705))</f>
        <v/>
      </c>
      <c r="AF2705" s="52">
        <f>IF(OR(T2705="",I2705&lt;T2705),"",IFERROR(AVERAGE(T2705+M2705*{7,8,9,10,11})/IF(G2705="",I2705,G2705)-1,""))</f>
        <v/>
      </c>
      <c r="AG2705" s="55">
        <f>IF(OR(T2705="",I2705&lt;T2705),"",IFERROR(AF2705/-(R2705/IF(G2705="",I2705,G2705)-1),""))</f>
        <v/>
      </c>
      <c r="AH2705" s="94" t="n"/>
      <c r="AI2705" s="94" t="n"/>
      <c r="AJ2705" s="94" t="n"/>
      <c r="AK2705" s="94" t="n"/>
      <c r="AL2705" s="84" t="n"/>
    </row>
    <row r="2706">
      <c r="A2706" s="64" t="n"/>
      <c r="B2706" s="65" t="n"/>
      <c r="C2706" s="66" t="n"/>
      <c r="D2706" s="67" t="n"/>
      <c r="E2706" s="68" t="n"/>
      <c r="F2706" s="47">
        <f>IF(A2706="","",IF(MIN(H2706,MAX(J2706:K2706))=0,"",MIN(H2706,MAX(J2706:K2706))))</f>
        <v/>
      </c>
      <c r="G2706" s="74" t="n"/>
      <c r="H2706" s="49">
        <f>IF(M2706="","",IFERROR(ROUND(AVERAGE(T2706+M2706*{7,8,9,10,11})/1.21,4),""))</f>
        <v/>
      </c>
      <c r="I2706" s="76" t="n"/>
      <c r="J2706" s="77" t="n"/>
      <c r="K2706" s="74" t="n"/>
      <c r="L2706" s="78" t="n"/>
      <c r="M2706" s="77" t="n"/>
      <c r="N2706" s="53">
        <f>IF(M2706="","",IFERROR(M2706/I2706,""))</f>
        <v/>
      </c>
      <c r="O2706" s="50">
        <f>IF(A2706="","",IFERROR((IF(G2706="",I2706,G2706)-T2706)/M2706,""))</f>
        <v/>
      </c>
      <c r="P2706" s="50">
        <f>IFERROR((I2706/T2706-1)/N2706,"")</f>
        <v/>
      </c>
      <c r="Q2706" s="46">
        <f>IF(OR(T2706="",I2706&lt;T2706),"",IFERROR(R2706/IF(G2706="",I2706,G2706)-1,""))</f>
        <v/>
      </c>
      <c r="R2706" s="48">
        <f>IF($M2706="","",MAX(IF($G2706="",$I2706,$G2706)*(1/1.1),IF($G2706="",$I2706,$G2706)+(R$2*$M2706)))</f>
        <v/>
      </c>
      <c r="S2706" s="49">
        <f>IF($M2706="","",MAX(IF($G2706="",$I2706,$G2706)*(1/1.1),IF($G2706="",$I2706,$G2706)+(S$2*$M2706)))</f>
        <v/>
      </c>
      <c r="T2706" s="82" t="n"/>
      <c r="U2706" s="47">
        <f>IF(OR($M2706="",$T2706=""),"",$T2706+(U$2*$M2706))</f>
        <v/>
      </c>
      <c r="V2706" s="48">
        <f>IF(OR($M2706="",$T2706=""),"",$T2706+(V$2*$M2706))</f>
        <v/>
      </c>
      <c r="W2706" s="48">
        <f>IF(OR($M2706="",$T2706=""),"",$T2706+(W$2*$M2706))</f>
        <v/>
      </c>
      <c r="X2706" s="49">
        <f>IF(OR($M2706="",$T2706=""),"",$T2706+(X$2*$M2706))</f>
        <v/>
      </c>
      <c r="Y2706" s="47">
        <f>IF(OR($M2706="",$T2706=""),"",$T2706+(Y$2*$M2706))</f>
        <v/>
      </c>
      <c r="Z2706" s="49">
        <f>IF(OR($M2706="",$T2706=""),"",$T2706+(Z$2*$M2706))</f>
        <v/>
      </c>
      <c r="AA2706" s="51">
        <f>IF(OR($M2706="",$T2706=""),"",$T2706+(AA$2*$M2706))</f>
        <v/>
      </c>
      <c r="AB2706" s="48">
        <f>IF(OR($M2706="",$T2706=""),"",$T2706+(AB$2*$M2706))</f>
        <v/>
      </c>
      <c r="AC2706" s="48">
        <f>IF(OR($M2706="",$T2706=""),"",$T2706+(AC$2*$M2706))</f>
        <v/>
      </c>
      <c r="AD2706" s="48">
        <f>IF(OR($M2706="",$T2706=""),"",$T2706+(AD$2*$M2706))</f>
        <v/>
      </c>
      <c r="AE2706" s="49">
        <f>IF(OR($M2706="",$T2706=""),"",$T2706+(AE$2*$M2706))</f>
        <v/>
      </c>
      <c r="AF2706" s="52">
        <f>IF(OR(T2706="",I2706&lt;T2706),"",IFERROR(AVERAGE(T2706+M2706*{7,8,9,10,11})/IF(G2706="",I2706,G2706)-1,""))</f>
        <v/>
      </c>
      <c r="AG2706" s="55">
        <f>IF(OR(T2706="",I2706&lt;T2706),"",IFERROR(AF2706/-(R2706/IF(G2706="",I2706,G2706)-1),""))</f>
        <v/>
      </c>
      <c r="AH2706" s="94" t="n"/>
      <c r="AI2706" s="94" t="n"/>
      <c r="AJ2706" s="94" t="n"/>
      <c r="AK2706" s="94" t="n"/>
      <c r="AL2706" s="84" t="n"/>
    </row>
    <row r="2707">
      <c r="A2707" s="64" t="n"/>
      <c r="B2707" s="65" t="n"/>
      <c r="C2707" s="66" t="n"/>
      <c r="D2707" s="67" t="n"/>
      <c r="E2707" s="68" t="n"/>
      <c r="F2707" s="47">
        <f>IF(A2707="","",IF(MIN(H2707,MAX(J2707:K2707))=0,"",MIN(H2707,MAX(J2707:K2707))))</f>
        <v/>
      </c>
      <c r="G2707" s="74" t="n"/>
      <c r="H2707" s="49">
        <f>IF(M2707="","",IFERROR(ROUND(AVERAGE(T2707+M2707*{7,8,9,10,11})/1.21,4),""))</f>
        <v/>
      </c>
      <c r="I2707" s="76" t="n"/>
      <c r="J2707" s="77" t="n"/>
      <c r="K2707" s="74" t="n"/>
      <c r="L2707" s="78" t="n"/>
      <c r="M2707" s="77" t="n"/>
      <c r="N2707" s="53">
        <f>IF(M2707="","",IFERROR(M2707/I2707,""))</f>
        <v/>
      </c>
      <c r="O2707" s="50">
        <f>IF(A2707="","",IFERROR((IF(G2707="",I2707,G2707)-T2707)/M2707,""))</f>
        <v/>
      </c>
      <c r="P2707" s="50">
        <f>IFERROR((I2707/T2707-1)/N2707,"")</f>
        <v/>
      </c>
      <c r="Q2707" s="46">
        <f>IF(OR(T2707="",I2707&lt;T2707),"",IFERROR(R2707/IF(G2707="",I2707,G2707)-1,""))</f>
        <v/>
      </c>
      <c r="R2707" s="48">
        <f>IF($M2707="","",MAX(IF($G2707="",$I2707,$G2707)*(1/1.1),IF($G2707="",$I2707,$G2707)+(R$2*$M2707)))</f>
        <v/>
      </c>
      <c r="S2707" s="49">
        <f>IF($M2707="","",MAX(IF($G2707="",$I2707,$G2707)*(1/1.1),IF($G2707="",$I2707,$G2707)+(S$2*$M2707)))</f>
        <v/>
      </c>
      <c r="T2707" s="82" t="n"/>
      <c r="U2707" s="47">
        <f>IF(OR($M2707="",$T2707=""),"",$T2707+(U$2*$M2707))</f>
        <v/>
      </c>
      <c r="V2707" s="48">
        <f>IF(OR($M2707="",$T2707=""),"",$T2707+(V$2*$M2707))</f>
        <v/>
      </c>
      <c r="W2707" s="48">
        <f>IF(OR($M2707="",$T2707=""),"",$T2707+(W$2*$M2707))</f>
        <v/>
      </c>
      <c r="X2707" s="49">
        <f>IF(OR($M2707="",$T2707=""),"",$T2707+(X$2*$M2707))</f>
        <v/>
      </c>
      <c r="Y2707" s="47">
        <f>IF(OR($M2707="",$T2707=""),"",$T2707+(Y$2*$M2707))</f>
        <v/>
      </c>
      <c r="Z2707" s="49">
        <f>IF(OR($M2707="",$T2707=""),"",$T2707+(Z$2*$M2707))</f>
        <v/>
      </c>
      <c r="AA2707" s="51">
        <f>IF(OR($M2707="",$T2707=""),"",$T2707+(AA$2*$M2707))</f>
        <v/>
      </c>
      <c r="AB2707" s="48">
        <f>IF(OR($M2707="",$T2707=""),"",$T2707+(AB$2*$M2707))</f>
        <v/>
      </c>
      <c r="AC2707" s="48">
        <f>IF(OR($M2707="",$T2707=""),"",$T2707+(AC$2*$M2707))</f>
        <v/>
      </c>
      <c r="AD2707" s="48">
        <f>IF(OR($M2707="",$T2707=""),"",$T2707+(AD$2*$M2707))</f>
        <v/>
      </c>
      <c r="AE2707" s="49">
        <f>IF(OR($M2707="",$T2707=""),"",$T2707+(AE$2*$M2707))</f>
        <v/>
      </c>
      <c r="AF2707" s="52">
        <f>IF(OR(T2707="",I2707&lt;T2707),"",IFERROR(AVERAGE(T2707+M2707*{7,8,9,10,11})/IF(G2707="",I2707,G2707)-1,""))</f>
        <v/>
      </c>
      <c r="AG2707" s="55">
        <f>IF(OR(T2707="",I2707&lt;T2707),"",IFERROR(AF2707/-(R2707/IF(G2707="",I2707,G2707)-1),""))</f>
        <v/>
      </c>
      <c r="AH2707" s="94" t="n"/>
      <c r="AI2707" s="94" t="n"/>
      <c r="AJ2707" s="94" t="n"/>
      <c r="AK2707" s="94" t="n"/>
      <c r="AL2707" s="84" t="n"/>
    </row>
    <row r="2708">
      <c r="A2708" s="64" t="n"/>
      <c r="B2708" s="65" t="n"/>
      <c r="C2708" s="66" t="n"/>
      <c r="D2708" s="67" t="n"/>
      <c r="E2708" s="68" t="n"/>
      <c r="F2708" s="47">
        <f>IF(A2708="","",IF(MIN(H2708,MAX(J2708:K2708))=0,"",MIN(H2708,MAX(J2708:K2708))))</f>
        <v/>
      </c>
      <c r="G2708" s="74" t="n"/>
      <c r="H2708" s="49">
        <f>IF(M2708="","",IFERROR(ROUND(AVERAGE(T2708+M2708*{7,8,9,10,11})/1.21,4),""))</f>
        <v/>
      </c>
      <c r="I2708" s="76" t="n"/>
      <c r="J2708" s="77" t="n"/>
      <c r="K2708" s="74" t="n"/>
      <c r="L2708" s="78" t="n"/>
      <c r="M2708" s="77" t="n"/>
      <c r="N2708" s="53">
        <f>IF(M2708="","",IFERROR(M2708/I2708,""))</f>
        <v/>
      </c>
      <c r="O2708" s="50">
        <f>IF(A2708="","",IFERROR((IF(G2708="",I2708,G2708)-T2708)/M2708,""))</f>
        <v/>
      </c>
      <c r="P2708" s="50">
        <f>IFERROR((I2708/T2708-1)/N2708,"")</f>
        <v/>
      </c>
      <c r="Q2708" s="46">
        <f>IF(OR(T2708="",I2708&lt;T2708),"",IFERROR(R2708/IF(G2708="",I2708,G2708)-1,""))</f>
        <v/>
      </c>
      <c r="R2708" s="48">
        <f>IF($M2708="","",MAX(IF($G2708="",$I2708,$G2708)*(1/1.1),IF($G2708="",$I2708,$G2708)+(R$2*$M2708)))</f>
        <v/>
      </c>
      <c r="S2708" s="49">
        <f>IF($M2708="","",MAX(IF($G2708="",$I2708,$G2708)*(1/1.1),IF($G2708="",$I2708,$G2708)+(S$2*$M2708)))</f>
        <v/>
      </c>
      <c r="T2708" s="82" t="n"/>
      <c r="U2708" s="47">
        <f>IF(OR($M2708="",$T2708=""),"",$T2708+(U$2*$M2708))</f>
        <v/>
      </c>
      <c r="V2708" s="48">
        <f>IF(OR($M2708="",$T2708=""),"",$T2708+(V$2*$M2708))</f>
        <v/>
      </c>
      <c r="W2708" s="48">
        <f>IF(OR($M2708="",$T2708=""),"",$T2708+(W$2*$M2708))</f>
        <v/>
      </c>
      <c r="X2708" s="49">
        <f>IF(OR($M2708="",$T2708=""),"",$T2708+(X$2*$M2708))</f>
        <v/>
      </c>
      <c r="Y2708" s="47">
        <f>IF(OR($M2708="",$T2708=""),"",$T2708+(Y$2*$M2708))</f>
        <v/>
      </c>
      <c r="Z2708" s="49">
        <f>IF(OR($M2708="",$T2708=""),"",$T2708+(Z$2*$M2708))</f>
        <v/>
      </c>
      <c r="AA2708" s="51">
        <f>IF(OR($M2708="",$T2708=""),"",$T2708+(AA$2*$M2708))</f>
        <v/>
      </c>
      <c r="AB2708" s="48">
        <f>IF(OR($M2708="",$T2708=""),"",$T2708+(AB$2*$M2708))</f>
        <v/>
      </c>
      <c r="AC2708" s="48">
        <f>IF(OR($M2708="",$T2708=""),"",$T2708+(AC$2*$M2708))</f>
        <v/>
      </c>
      <c r="AD2708" s="48">
        <f>IF(OR($M2708="",$T2708=""),"",$T2708+(AD$2*$M2708))</f>
        <v/>
      </c>
      <c r="AE2708" s="49">
        <f>IF(OR($M2708="",$T2708=""),"",$T2708+(AE$2*$M2708))</f>
        <v/>
      </c>
      <c r="AF2708" s="52">
        <f>IF(OR(T2708="",I2708&lt;T2708),"",IFERROR(AVERAGE(T2708+M2708*{7,8,9,10,11})/IF(G2708="",I2708,G2708)-1,""))</f>
        <v/>
      </c>
      <c r="AG2708" s="55">
        <f>IF(OR(T2708="",I2708&lt;T2708),"",IFERROR(AF2708/-(R2708/IF(G2708="",I2708,G2708)-1),""))</f>
        <v/>
      </c>
      <c r="AH2708" s="94" t="n"/>
      <c r="AI2708" s="94" t="n"/>
      <c r="AJ2708" s="94" t="n"/>
      <c r="AK2708" s="94" t="n"/>
      <c r="AL2708" s="84" t="n"/>
    </row>
    <row r="2709">
      <c r="A2709" s="64" t="n"/>
      <c r="B2709" s="65" t="n"/>
      <c r="C2709" s="66" t="n"/>
      <c r="D2709" s="67" t="n"/>
      <c r="E2709" s="68" t="n"/>
      <c r="F2709" s="47">
        <f>IF(A2709="","",IF(MIN(H2709,MAX(J2709:K2709))=0,"",MIN(H2709,MAX(J2709:K2709))))</f>
        <v/>
      </c>
      <c r="G2709" s="74" t="n"/>
      <c r="H2709" s="49">
        <f>IF(M2709="","",IFERROR(ROUND(AVERAGE(T2709+M2709*{7,8,9,10,11})/1.21,4),""))</f>
        <v/>
      </c>
      <c r="I2709" s="76" t="n"/>
      <c r="J2709" s="77" t="n"/>
      <c r="K2709" s="74" t="n"/>
      <c r="L2709" s="78" t="n"/>
      <c r="M2709" s="77" t="n"/>
      <c r="N2709" s="53">
        <f>IF(M2709="","",IFERROR(M2709/I2709,""))</f>
        <v/>
      </c>
      <c r="O2709" s="50">
        <f>IF(A2709="","",IFERROR((IF(G2709="",I2709,G2709)-T2709)/M2709,""))</f>
        <v/>
      </c>
      <c r="P2709" s="50">
        <f>IFERROR((I2709/T2709-1)/N2709,"")</f>
        <v/>
      </c>
      <c r="Q2709" s="46">
        <f>IF(OR(T2709="",I2709&lt;T2709),"",IFERROR(R2709/IF(G2709="",I2709,G2709)-1,""))</f>
        <v/>
      </c>
      <c r="R2709" s="48">
        <f>IF($M2709="","",MAX(IF($G2709="",$I2709,$G2709)*(1/1.1),IF($G2709="",$I2709,$G2709)+(R$2*$M2709)))</f>
        <v/>
      </c>
      <c r="S2709" s="49">
        <f>IF($M2709="","",MAX(IF($G2709="",$I2709,$G2709)*(1/1.1),IF($G2709="",$I2709,$G2709)+(S$2*$M2709)))</f>
        <v/>
      </c>
      <c r="T2709" s="82" t="n"/>
      <c r="U2709" s="47">
        <f>IF(OR($M2709="",$T2709=""),"",$T2709+(U$2*$M2709))</f>
        <v/>
      </c>
      <c r="V2709" s="48">
        <f>IF(OR($M2709="",$T2709=""),"",$T2709+(V$2*$M2709))</f>
        <v/>
      </c>
      <c r="W2709" s="48">
        <f>IF(OR($M2709="",$T2709=""),"",$T2709+(W$2*$M2709))</f>
        <v/>
      </c>
      <c r="X2709" s="49">
        <f>IF(OR($M2709="",$T2709=""),"",$T2709+(X$2*$M2709))</f>
        <v/>
      </c>
      <c r="Y2709" s="47">
        <f>IF(OR($M2709="",$T2709=""),"",$T2709+(Y$2*$M2709))</f>
        <v/>
      </c>
      <c r="Z2709" s="49">
        <f>IF(OR($M2709="",$T2709=""),"",$T2709+(Z$2*$M2709))</f>
        <v/>
      </c>
      <c r="AA2709" s="51">
        <f>IF(OR($M2709="",$T2709=""),"",$T2709+(AA$2*$M2709))</f>
        <v/>
      </c>
      <c r="AB2709" s="48">
        <f>IF(OR($M2709="",$T2709=""),"",$T2709+(AB$2*$M2709))</f>
        <v/>
      </c>
      <c r="AC2709" s="48">
        <f>IF(OR($M2709="",$T2709=""),"",$T2709+(AC$2*$M2709))</f>
        <v/>
      </c>
      <c r="AD2709" s="48">
        <f>IF(OR($M2709="",$T2709=""),"",$T2709+(AD$2*$M2709))</f>
        <v/>
      </c>
      <c r="AE2709" s="49">
        <f>IF(OR($M2709="",$T2709=""),"",$T2709+(AE$2*$M2709))</f>
        <v/>
      </c>
      <c r="AF2709" s="52">
        <f>IF(OR(T2709="",I2709&lt;T2709),"",IFERROR(AVERAGE(T2709+M2709*{7,8,9,10,11})/IF(G2709="",I2709,G2709)-1,""))</f>
        <v/>
      </c>
      <c r="AG2709" s="55">
        <f>IF(OR(T2709="",I2709&lt;T2709),"",IFERROR(AF2709/-(R2709/IF(G2709="",I2709,G2709)-1),""))</f>
        <v/>
      </c>
      <c r="AH2709" s="94" t="n"/>
      <c r="AI2709" s="94" t="n"/>
      <c r="AJ2709" s="94" t="n"/>
      <c r="AK2709" s="94" t="n"/>
      <c r="AL2709" s="84" t="n"/>
    </row>
    <row r="2710">
      <c r="A2710" s="64" t="n"/>
      <c r="B2710" s="65" t="n"/>
      <c r="C2710" s="66" t="n"/>
      <c r="D2710" s="67" t="n"/>
      <c r="E2710" s="68" t="n"/>
      <c r="F2710" s="47">
        <f>IF(A2710="","",IF(MIN(H2710,MAX(J2710:K2710))=0,"",MIN(H2710,MAX(J2710:K2710))))</f>
        <v/>
      </c>
      <c r="G2710" s="74" t="n"/>
      <c r="H2710" s="49">
        <f>IF(M2710="","",IFERROR(ROUND(AVERAGE(T2710+M2710*{7,8,9,10,11})/1.21,4),""))</f>
        <v/>
      </c>
      <c r="I2710" s="76" t="n"/>
      <c r="J2710" s="77" t="n"/>
      <c r="K2710" s="74" t="n"/>
      <c r="L2710" s="78" t="n"/>
      <c r="M2710" s="77" t="n"/>
      <c r="N2710" s="53">
        <f>IF(M2710="","",IFERROR(M2710/I2710,""))</f>
        <v/>
      </c>
      <c r="O2710" s="50">
        <f>IF(A2710="","",IFERROR((IF(G2710="",I2710,G2710)-T2710)/M2710,""))</f>
        <v/>
      </c>
      <c r="P2710" s="50">
        <f>IFERROR((I2710/T2710-1)/N2710,"")</f>
        <v/>
      </c>
      <c r="Q2710" s="46">
        <f>IF(OR(T2710="",I2710&lt;T2710),"",IFERROR(R2710/IF(G2710="",I2710,G2710)-1,""))</f>
        <v/>
      </c>
      <c r="R2710" s="48">
        <f>IF($M2710="","",MAX(IF($G2710="",$I2710,$G2710)*(1/1.1),IF($G2710="",$I2710,$G2710)+(R$2*$M2710)))</f>
        <v/>
      </c>
      <c r="S2710" s="49">
        <f>IF($M2710="","",MAX(IF($G2710="",$I2710,$G2710)*(1/1.1),IF($G2710="",$I2710,$G2710)+(S$2*$M2710)))</f>
        <v/>
      </c>
      <c r="T2710" s="82" t="n"/>
      <c r="U2710" s="47">
        <f>IF(OR($M2710="",$T2710=""),"",$T2710+(U$2*$M2710))</f>
        <v/>
      </c>
      <c r="V2710" s="48">
        <f>IF(OR($M2710="",$T2710=""),"",$T2710+(V$2*$M2710))</f>
        <v/>
      </c>
      <c r="W2710" s="48">
        <f>IF(OR($M2710="",$T2710=""),"",$T2710+(W$2*$M2710))</f>
        <v/>
      </c>
      <c r="X2710" s="49">
        <f>IF(OR($M2710="",$T2710=""),"",$T2710+(X$2*$M2710))</f>
        <v/>
      </c>
      <c r="Y2710" s="47">
        <f>IF(OR($M2710="",$T2710=""),"",$T2710+(Y$2*$M2710))</f>
        <v/>
      </c>
      <c r="Z2710" s="49">
        <f>IF(OR($M2710="",$T2710=""),"",$T2710+(Z$2*$M2710))</f>
        <v/>
      </c>
      <c r="AA2710" s="51">
        <f>IF(OR($M2710="",$T2710=""),"",$T2710+(AA$2*$M2710))</f>
        <v/>
      </c>
      <c r="AB2710" s="48">
        <f>IF(OR($M2710="",$T2710=""),"",$T2710+(AB$2*$M2710))</f>
        <v/>
      </c>
      <c r="AC2710" s="48">
        <f>IF(OR($M2710="",$T2710=""),"",$T2710+(AC$2*$M2710))</f>
        <v/>
      </c>
      <c r="AD2710" s="48">
        <f>IF(OR($M2710="",$T2710=""),"",$T2710+(AD$2*$M2710))</f>
        <v/>
      </c>
      <c r="AE2710" s="49">
        <f>IF(OR($M2710="",$T2710=""),"",$T2710+(AE$2*$M2710))</f>
        <v/>
      </c>
      <c r="AF2710" s="52">
        <f>IF(OR(T2710="",I2710&lt;T2710),"",IFERROR(AVERAGE(T2710+M2710*{7,8,9,10,11})/IF(G2710="",I2710,G2710)-1,""))</f>
        <v/>
      </c>
      <c r="AG2710" s="55">
        <f>IF(OR(T2710="",I2710&lt;T2710),"",IFERROR(AF2710/-(R2710/IF(G2710="",I2710,G2710)-1),""))</f>
        <v/>
      </c>
      <c r="AH2710" s="94" t="n"/>
      <c r="AI2710" s="94" t="n"/>
      <c r="AJ2710" s="94" t="n"/>
      <c r="AK2710" s="94" t="n"/>
      <c r="AL2710" s="84" t="n"/>
    </row>
    <row r="2711">
      <c r="A2711" s="64" t="n"/>
      <c r="B2711" s="65" t="n"/>
      <c r="C2711" s="66" t="n"/>
      <c r="D2711" s="67" t="n"/>
      <c r="E2711" s="68" t="n"/>
      <c r="F2711" s="47">
        <f>IF(A2711="","",IF(MIN(H2711,MAX(J2711:K2711))=0,"",MIN(H2711,MAX(J2711:K2711))))</f>
        <v/>
      </c>
      <c r="G2711" s="74" t="n"/>
      <c r="H2711" s="49">
        <f>IF(M2711="","",IFERROR(ROUND(AVERAGE(T2711+M2711*{7,8,9,10,11})/1.21,4),""))</f>
        <v/>
      </c>
      <c r="I2711" s="76" t="n"/>
      <c r="J2711" s="77" t="n"/>
      <c r="K2711" s="74" t="n"/>
      <c r="L2711" s="78" t="n"/>
      <c r="M2711" s="77" t="n"/>
      <c r="N2711" s="53">
        <f>IF(M2711="","",IFERROR(M2711/I2711,""))</f>
        <v/>
      </c>
      <c r="O2711" s="50">
        <f>IF(A2711="","",IFERROR((IF(G2711="",I2711,G2711)-T2711)/M2711,""))</f>
        <v/>
      </c>
      <c r="P2711" s="50">
        <f>IFERROR((I2711/T2711-1)/N2711,"")</f>
        <v/>
      </c>
      <c r="Q2711" s="46">
        <f>IF(OR(T2711="",I2711&lt;T2711),"",IFERROR(R2711/IF(G2711="",I2711,G2711)-1,""))</f>
        <v/>
      </c>
      <c r="R2711" s="48">
        <f>IF($M2711="","",MAX(IF($G2711="",$I2711,$G2711)*(1/1.1),IF($G2711="",$I2711,$G2711)+(R$2*$M2711)))</f>
        <v/>
      </c>
      <c r="S2711" s="49">
        <f>IF($M2711="","",MAX(IF($G2711="",$I2711,$G2711)*(1/1.1),IF($G2711="",$I2711,$G2711)+(S$2*$M2711)))</f>
        <v/>
      </c>
      <c r="T2711" s="82" t="n"/>
      <c r="U2711" s="47">
        <f>IF(OR($M2711="",$T2711=""),"",$T2711+(U$2*$M2711))</f>
        <v/>
      </c>
      <c r="V2711" s="48">
        <f>IF(OR($M2711="",$T2711=""),"",$T2711+(V$2*$M2711))</f>
        <v/>
      </c>
      <c r="W2711" s="48">
        <f>IF(OR($M2711="",$T2711=""),"",$T2711+(W$2*$M2711))</f>
        <v/>
      </c>
      <c r="X2711" s="49">
        <f>IF(OR($M2711="",$T2711=""),"",$T2711+(X$2*$M2711))</f>
        <v/>
      </c>
      <c r="Y2711" s="47">
        <f>IF(OR($M2711="",$T2711=""),"",$T2711+(Y$2*$M2711))</f>
        <v/>
      </c>
      <c r="Z2711" s="49">
        <f>IF(OR($M2711="",$T2711=""),"",$T2711+(Z$2*$M2711))</f>
        <v/>
      </c>
      <c r="AA2711" s="51">
        <f>IF(OR($M2711="",$T2711=""),"",$T2711+(AA$2*$M2711))</f>
        <v/>
      </c>
      <c r="AB2711" s="48">
        <f>IF(OR($M2711="",$T2711=""),"",$T2711+(AB$2*$M2711))</f>
        <v/>
      </c>
      <c r="AC2711" s="48">
        <f>IF(OR($M2711="",$T2711=""),"",$T2711+(AC$2*$M2711))</f>
        <v/>
      </c>
      <c r="AD2711" s="48">
        <f>IF(OR($M2711="",$T2711=""),"",$T2711+(AD$2*$M2711))</f>
        <v/>
      </c>
      <c r="AE2711" s="49">
        <f>IF(OR($M2711="",$T2711=""),"",$T2711+(AE$2*$M2711))</f>
        <v/>
      </c>
      <c r="AF2711" s="52">
        <f>IF(OR(T2711="",I2711&lt;T2711),"",IFERROR(AVERAGE(T2711+M2711*{7,8,9,10,11})/IF(G2711="",I2711,G2711)-1,""))</f>
        <v/>
      </c>
      <c r="AG2711" s="55">
        <f>IF(OR(T2711="",I2711&lt;T2711),"",IFERROR(AF2711/-(R2711/IF(G2711="",I2711,G2711)-1),""))</f>
        <v/>
      </c>
      <c r="AH2711" s="94" t="n"/>
      <c r="AI2711" s="94" t="n"/>
      <c r="AJ2711" s="94" t="n"/>
      <c r="AK2711" s="94" t="n"/>
      <c r="AL2711" s="84" t="n"/>
    </row>
    <row r="2712">
      <c r="A2712" s="64" t="n"/>
      <c r="B2712" s="65" t="n"/>
      <c r="C2712" s="66" t="n"/>
      <c r="D2712" s="67" t="n"/>
      <c r="E2712" s="68" t="n"/>
      <c r="F2712" s="47">
        <f>IF(A2712="","",IF(MIN(H2712,MAX(J2712:K2712))=0,"",MIN(H2712,MAX(J2712:K2712))))</f>
        <v/>
      </c>
      <c r="G2712" s="74" t="n"/>
      <c r="H2712" s="49">
        <f>IF(M2712="","",IFERROR(ROUND(AVERAGE(T2712+M2712*{7,8,9,10,11})/1.21,4),""))</f>
        <v/>
      </c>
      <c r="I2712" s="76" t="n"/>
      <c r="J2712" s="77" t="n"/>
      <c r="K2712" s="74" t="n"/>
      <c r="L2712" s="78" t="n"/>
      <c r="M2712" s="77" t="n"/>
      <c r="N2712" s="53">
        <f>IF(M2712="","",IFERROR(M2712/I2712,""))</f>
        <v/>
      </c>
      <c r="O2712" s="50">
        <f>IF(A2712="","",IFERROR((IF(G2712="",I2712,G2712)-T2712)/M2712,""))</f>
        <v/>
      </c>
      <c r="P2712" s="50">
        <f>IFERROR((I2712/T2712-1)/N2712,"")</f>
        <v/>
      </c>
      <c r="Q2712" s="46">
        <f>IF(OR(T2712="",I2712&lt;T2712),"",IFERROR(R2712/IF(G2712="",I2712,G2712)-1,""))</f>
        <v/>
      </c>
      <c r="R2712" s="48">
        <f>IF($M2712="","",MAX(IF($G2712="",$I2712,$G2712)*(1/1.1),IF($G2712="",$I2712,$G2712)+(R$2*$M2712)))</f>
        <v/>
      </c>
      <c r="S2712" s="49">
        <f>IF($M2712="","",MAX(IF($G2712="",$I2712,$G2712)*(1/1.1),IF($G2712="",$I2712,$G2712)+(S$2*$M2712)))</f>
        <v/>
      </c>
      <c r="T2712" s="82" t="n"/>
      <c r="U2712" s="47">
        <f>IF(OR($M2712="",$T2712=""),"",$T2712+(U$2*$M2712))</f>
        <v/>
      </c>
      <c r="V2712" s="48">
        <f>IF(OR($M2712="",$T2712=""),"",$T2712+(V$2*$M2712))</f>
        <v/>
      </c>
      <c r="W2712" s="48">
        <f>IF(OR($M2712="",$T2712=""),"",$T2712+(W$2*$M2712))</f>
        <v/>
      </c>
      <c r="X2712" s="49">
        <f>IF(OR($M2712="",$T2712=""),"",$T2712+(X$2*$M2712))</f>
        <v/>
      </c>
      <c r="Y2712" s="47">
        <f>IF(OR($M2712="",$T2712=""),"",$T2712+(Y$2*$M2712))</f>
        <v/>
      </c>
      <c r="Z2712" s="49">
        <f>IF(OR($M2712="",$T2712=""),"",$T2712+(Z$2*$M2712))</f>
        <v/>
      </c>
      <c r="AA2712" s="51">
        <f>IF(OR($M2712="",$T2712=""),"",$T2712+(AA$2*$M2712))</f>
        <v/>
      </c>
      <c r="AB2712" s="48">
        <f>IF(OR($M2712="",$T2712=""),"",$T2712+(AB$2*$M2712))</f>
        <v/>
      </c>
      <c r="AC2712" s="48">
        <f>IF(OR($M2712="",$T2712=""),"",$T2712+(AC$2*$M2712))</f>
        <v/>
      </c>
      <c r="AD2712" s="48">
        <f>IF(OR($M2712="",$T2712=""),"",$T2712+(AD$2*$M2712))</f>
        <v/>
      </c>
      <c r="AE2712" s="49">
        <f>IF(OR($M2712="",$T2712=""),"",$T2712+(AE$2*$M2712))</f>
        <v/>
      </c>
      <c r="AF2712" s="52">
        <f>IF(OR(T2712="",I2712&lt;T2712),"",IFERROR(AVERAGE(T2712+M2712*{7,8,9,10,11})/IF(G2712="",I2712,G2712)-1,""))</f>
        <v/>
      </c>
      <c r="AG2712" s="55">
        <f>IF(OR(T2712="",I2712&lt;T2712),"",IFERROR(AF2712/-(R2712/IF(G2712="",I2712,G2712)-1),""))</f>
        <v/>
      </c>
      <c r="AH2712" s="94" t="n"/>
      <c r="AI2712" s="94" t="n"/>
      <c r="AJ2712" s="94" t="n"/>
      <c r="AK2712" s="94" t="n"/>
      <c r="AL2712" s="84" t="n"/>
    </row>
    <row r="2713">
      <c r="A2713" s="64" t="n"/>
      <c r="B2713" s="65" t="n"/>
      <c r="C2713" s="66" t="n"/>
      <c r="D2713" s="67" t="n"/>
      <c r="E2713" s="68" t="n"/>
      <c r="F2713" s="47">
        <f>IF(A2713="","",IF(MIN(H2713,MAX(J2713:K2713))=0,"",MIN(H2713,MAX(J2713:K2713))))</f>
        <v/>
      </c>
      <c r="G2713" s="74" t="n"/>
      <c r="H2713" s="49">
        <f>IF(M2713="","",IFERROR(ROUND(AVERAGE(T2713+M2713*{7,8,9,10,11})/1.21,4),""))</f>
        <v/>
      </c>
      <c r="I2713" s="76" t="n"/>
      <c r="J2713" s="77" t="n"/>
      <c r="K2713" s="74" t="n"/>
      <c r="L2713" s="78" t="n"/>
      <c r="M2713" s="77" t="n"/>
      <c r="N2713" s="53">
        <f>IF(M2713="","",IFERROR(M2713/I2713,""))</f>
        <v/>
      </c>
      <c r="O2713" s="50">
        <f>IF(A2713="","",IFERROR((IF(G2713="",I2713,G2713)-T2713)/M2713,""))</f>
        <v/>
      </c>
      <c r="P2713" s="50">
        <f>IFERROR((I2713/T2713-1)/N2713,"")</f>
        <v/>
      </c>
      <c r="Q2713" s="46">
        <f>IF(OR(T2713="",I2713&lt;T2713),"",IFERROR(R2713/IF(G2713="",I2713,G2713)-1,""))</f>
        <v/>
      </c>
      <c r="R2713" s="48">
        <f>IF($M2713="","",MAX(IF($G2713="",$I2713,$G2713)*(1/1.1),IF($G2713="",$I2713,$G2713)+(R$2*$M2713)))</f>
        <v/>
      </c>
      <c r="S2713" s="49">
        <f>IF($M2713="","",MAX(IF($G2713="",$I2713,$G2713)*(1/1.1),IF($G2713="",$I2713,$G2713)+(S$2*$M2713)))</f>
        <v/>
      </c>
      <c r="T2713" s="82" t="n"/>
      <c r="U2713" s="47">
        <f>IF(OR($M2713="",$T2713=""),"",$T2713+(U$2*$M2713))</f>
        <v/>
      </c>
      <c r="V2713" s="48">
        <f>IF(OR($M2713="",$T2713=""),"",$T2713+(V$2*$M2713))</f>
        <v/>
      </c>
      <c r="W2713" s="48">
        <f>IF(OR($M2713="",$T2713=""),"",$T2713+(W$2*$M2713))</f>
        <v/>
      </c>
      <c r="X2713" s="49">
        <f>IF(OR($M2713="",$T2713=""),"",$T2713+(X$2*$M2713))</f>
        <v/>
      </c>
      <c r="Y2713" s="47">
        <f>IF(OR($M2713="",$T2713=""),"",$T2713+(Y$2*$M2713))</f>
        <v/>
      </c>
      <c r="Z2713" s="49">
        <f>IF(OR($M2713="",$T2713=""),"",$T2713+(Z$2*$M2713))</f>
        <v/>
      </c>
      <c r="AA2713" s="51">
        <f>IF(OR($M2713="",$T2713=""),"",$T2713+(AA$2*$M2713))</f>
        <v/>
      </c>
      <c r="AB2713" s="48">
        <f>IF(OR($M2713="",$T2713=""),"",$T2713+(AB$2*$M2713))</f>
        <v/>
      </c>
      <c r="AC2713" s="48">
        <f>IF(OR($M2713="",$T2713=""),"",$T2713+(AC$2*$M2713))</f>
        <v/>
      </c>
      <c r="AD2713" s="48">
        <f>IF(OR($M2713="",$T2713=""),"",$T2713+(AD$2*$M2713))</f>
        <v/>
      </c>
      <c r="AE2713" s="49">
        <f>IF(OR($M2713="",$T2713=""),"",$T2713+(AE$2*$M2713))</f>
        <v/>
      </c>
      <c r="AF2713" s="52">
        <f>IF(OR(T2713="",I2713&lt;T2713),"",IFERROR(AVERAGE(T2713+M2713*{7,8,9,10,11})/IF(G2713="",I2713,G2713)-1,""))</f>
        <v/>
      </c>
      <c r="AG2713" s="55">
        <f>IF(OR(T2713="",I2713&lt;T2713),"",IFERROR(AF2713/-(R2713/IF(G2713="",I2713,G2713)-1),""))</f>
        <v/>
      </c>
      <c r="AH2713" s="94" t="n"/>
      <c r="AI2713" s="94" t="n"/>
      <c r="AJ2713" s="94" t="n"/>
      <c r="AK2713" s="94" t="n"/>
      <c r="AL2713" s="84" t="n"/>
    </row>
    <row r="2714">
      <c r="A2714" s="64" t="n"/>
      <c r="B2714" s="65" t="n"/>
      <c r="C2714" s="66" t="n"/>
      <c r="D2714" s="67" t="n"/>
      <c r="E2714" s="68" t="n"/>
      <c r="F2714" s="47">
        <f>IF(A2714="","",IF(MIN(H2714,MAX(J2714:K2714))=0,"",MIN(H2714,MAX(J2714:K2714))))</f>
        <v/>
      </c>
      <c r="G2714" s="74" t="n"/>
      <c r="H2714" s="49">
        <f>IF(M2714="","",IFERROR(ROUND(AVERAGE(T2714+M2714*{7,8,9,10,11})/1.21,4),""))</f>
        <v/>
      </c>
      <c r="I2714" s="76" t="n"/>
      <c r="J2714" s="77" t="n"/>
      <c r="K2714" s="74" t="n"/>
      <c r="L2714" s="78" t="n"/>
      <c r="M2714" s="77" t="n"/>
      <c r="N2714" s="53">
        <f>IF(M2714="","",IFERROR(M2714/I2714,""))</f>
        <v/>
      </c>
      <c r="O2714" s="50">
        <f>IF(A2714="","",IFERROR((IF(G2714="",I2714,G2714)-T2714)/M2714,""))</f>
        <v/>
      </c>
      <c r="P2714" s="50">
        <f>IFERROR((I2714/T2714-1)/N2714,"")</f>
        <v/>
      </c>
      <c r="Q2714" s="46">
        <f>IF(OR(T2714="",I2714&lt;T2714),"",IFERROR(R2714/IF(G2714="",I2714,G2714)-1,""))</f>
        <v/>
      </c>
      <c r="R2714" s="48">
        <f>IF($M2714="","",MAX(IF($G2714="",$I2714,$G2714)*(1/1.1),IF($G2714="",$I2714,$G2714)+(R$2*$M2714)))</f>
        <v/>
      </c>
      <c r="S2714" s="49">
        <f>IF($M2714="","",MAX(IF($G2714="",$I2714,$G2714)*(1/1.1),IF($G2714="",$I2714,$G2714)+(S$2*$M2714)))</f>
        <v/>
      </c>
      <c r="T2714" s="82" t="n"/>
      <c r="U2714" s="47">
        <f>IF(OR($M2714="",$T2714=""),"",$T2714+(U$2*$M2714))</f>
        <v/>
      </c>
      <c r="V2714" s="48">
        <f>IF(OR($M2714="",$T2714=""),"",$T2714+(V$2*$M2714))</f>
        <v/>
      </c>
      <c r="W2714" s="48">
        <f>IF(OR($M2714="",$T2714=""),"",$T2714+(W$2*$M2714))</f>
        <v/>
      </c>
      <c r="X2714" s="49">
        <f>IF(OR($M2714="",$T2714=""),"",$T2714+(X$2*$M2714))</f>
        <v/>
      </c>
      <c r="Y2714" s="47">
        <f>IF(OR($M2714="",$T2714=""),"",$T2714+(Y$2*$M2714))</f>
        <v/>
      </c>
      <c r="Z2714" s="49">
        <f>IF(OR($M2714="",$T2714=""),"",$T2714+(Z$2*$M2714))</f>
        <v/>
      </c>
      <c r="AA2714" s="51">
        <f>IF(OR($M2714="",$T2714=""),"",$T2714+(AA$2*$M2714))</f>
        <v/>
      </c>
      <c r="AB2714" s="48">
        <f>IF(OR($M2714="",$T2714=""),"",$T2714+(AB$2*$M2714))</f>
        <v/>
      </c>
      <c r="AC2714" s="48">
        <f>IF(OR($M2714="",$T2714=""),"",$T2714+(AC$2*$M2714))</f>
        <v/>
      </c>
      <c r="AD2714" s="48">
        <f>IF(OR($M2714="",$T2714=""),"",$T2714+(AD$2*$M2714))</f>
        <v/>
      </c>
      <c r="AE2714" s="49">
        <f>IF(OR($M2714="",$T2714=""),"",$T2714+(AE$2*$M2714))</f>
        <v/>
      </c>
      <c r="AF2714" s="52">
        <f>IF(OR(T2714="",I2714&lt;T2714),"",IFERROR(AVERAGE(T2714+M2714*{7,8,9,10,11})/IF(G2714="",I2714,G2714)-1,""))</f>
        <v/>
      </c>
      <c r="AG2714" s="55">
        <f>IF(OR(T2714="",I2714&lt;T2714),"",IFERROR(AF2714/-(R2714/IF(G2714="",I2714,G2714)-1),""))</f>
        <v/>
      </c>
      <c r="AH2714" s="94" t="n"/>
      <c r="AI2714" s="94" t="n"/>
      <c r="AJ2714" s="94" t="n"/>
      <c r="AK2714" s="94" t="n"/>
      <c r="AL2714" s="84" t="n"/>
    </row>
    <row r="2715">
      <c r="A2715" s="64" t="n"/>
      <c r="B2715" s="65" t="n"/>
      <c r="C2715" s="66" t="n"/>
      <c r="D2715" s="67" t="n"/>
      <c r="E2715" s="68" t="n"/>
      <c r="F2715" s="47">
        <f>IF(A2715="","",IF(MIN(H2715,MAX(J2715:K2715))=0,"",MIN(H2715,MAX(J2715:K2715))))</f>
        <v/>
      </c>
      <c r="G2715" s="74" t="n"/>
      <c r="H2715" s="49">
        <f>IF(M2715="","",IFERROR(ROUND(AVERAGE(T2715+M2715*{7,8,9,10,11})/1.21,4),""))</f>
        <v/>
      </c>
      <c r="I2715" s="76" t="n"/>
      <c r="J2715" s="77" t="n"/>
      <c r="K2715" s="74" t="n"/>
      <c r="L2715" s="78" t="n"/>
      <c r="M2715" s="77" t="n"/>
      <c r="N2715" s="53">
        <f>IF(M2715="","",IFERROR(M2715/I2715,""))</f>
        <v/>
      </c>
      <c r="O2715" s="50">
        <f>IF(A2715="","",IFERROR((IF(G2715="",I2715,G2715)-T2715)/M2715,""))</f>
        <v/>
      </c>
      <c r="P2715" s="50">
        <f>IFERROR((I2715/T2715-1)/N2715,"")</f>
        <v/>
      </c>
      <c r="Q2715" s="46">
        <f>IF(OR(T2715="",I2715&lt;T2715),"",IFERROR(R2715/IF(G2715="",I2715,G2715)-1,""))</f>
        <v/>
      </c>
      <c r="R2715" s="48">
        <f>IF($M2715="","",MAX(IF($G2715="",$I2715,$G2715)*(1/1.1),IF($G2715="",$I2715,$G2715)+(R$2*$M2715)))</f>
        <v/>
      </c>
      <c r="S2715" s="49">
        <f>IF($M2715="","",MAX(IF($G2715="",$I2715,$G2715)*(1/1.1),IF($G2715="",$I2715,$G2715)+(S$2*$M2715)))</f>
        <v/>
      </c>
      <c r="T2715" s="82" t="n"/>
      <c r="U2715" s="47">
        <f>IF(OR($M2715="",$T2715=""),"",$T2715+(U$2*$M2715))</f>
        <v/>
      </c>
      <c r="V2715" s="48">
        <f>IF(OR($M2715="",$T2715=""),"",$T2715+(V$2*$M2715))</f>
        <v/>
      </c>
      <c r="W2715" s="48">
        <f>IF(OR($M2715="",$T2715=""),"",$T2715+(W$2*$M2715))</f>
        <v/>
      </c>
      <c r="X2715" s="49">
        <f>IF(OR($M2715="",$T2715=""),"",$T2715+(X$2*$M2715))</f>
        <v/>
      </c>
      <c r="Y2715" s="47">
        <f>IF(OR($M2715="",$T2715=""),"",$T2715+(Y$2*$M2715))</f>
        <v/>
      </c>
      <c r="Z2715" s="49">
        <f>IF(OR($M2715="",$T2715=""),"",$T2715+(Z$2*$M2715))</f>
        <v/>
      </c>
      <c r="AA2715" s="51">
        <f>IF(OR($M2715="",$T2715=""),"",$T2715+(AA$2*$M2715))</f>
        <v/>
      </c>
      <c r="AB2715" s="48">
        <f>IF(OR($M2715="",$T2715=""),"",$T2715+(AB$2*$M2715))</f>
        <v/>
      </c>
      <c r="AC2715" s="48">
        <f>IF(OR($M2715="",$T2715=""),"",$T2715+(AC$2*$M2715))</f>
        <v/>
      </c>
      <c r="AD2715" s="48">
        <f>IF(OR($M2715="",$T2715=""),"",$T2715+(AD$2*$M2715))</f>
        <v/>
      </c>
      <c r="AE2715" s="49">
        <f>IF(OR($M2715="",$T2715=""),"",$T2715+(AE$2*$M2715))</f>
        <v/>
      </c>
      <c r="AF2715" s="52">
        <f>IF(OR(T2715="",I2715&lt;T2715),"",IFERROR(AVERAGE(T2715+M2715*{7,8,9,10,11})/IF(G2715="",I2715,G2715)-1,""))</f>
        <v/>
      </c>
      <c r="AG2715" s="55">
        <f>IF(OR(T2715="",I2715&lt;T2715),"",IFERROR(AF2715/-(R2715/IF(G2715="",I2715,G2715)-1),""))</f>
        <v/>
      </c>
      <c r="AH2715" s="94" t="n"/>
      <c r="AI2715" s="94" t="n"/>
      <c r="AJ2715" s="94" t="n"/>
      <c r="AK2715" s="94" t="n"/>
      <c r="AL2715" s="84" t="n"/>
    </row>
    <row r="2716">
      <c r="A2716" s="64" t="n"/>
      <c r="B2716" s="65" t="n"/>
      <c r="C2716" s="66" t="n"/>
      <c r="D2716" s="67" t="n"/>
      <c r="E2716" s="68" t="n"/>
      <c r="F2716" s="47">
        <f>IF(A2716="","",IF(MIN(H2716,MAX(J2716:K2716))=0,"",MIN(H2716,MAX(J2716:K2716))))</f>
        <v/>
      </c>
      <c r="G2716" s="74" t="n"/>
      <c r="H2716" s="49">
        <f>IF(M2716="","",IFERROR(ROUND(AVERAGE(T2716+M2716*{7,8,9,10,11})/1.21,4),""))</f>
        <v/>
      </c>
      <c r="I2716" s="76" t="n"/>
      <c r="J2716" s="77" t="n"/>
      <c r="K2716" s="74" t="n"/>
      <c r="L2716" s="78" t="n"/>
      <c r="M2716" s="77" t="n"/>
      <c r="N2716" s="53">
        <f>IF(M2716="","",IFERROR(M2716/I2716,""))</f>
        <v/>
      </c>
      <c r="O2716" s="50">
        <f>IF(A2716="","",IFERROR((IF(G2716="",I2716,G2716)-T2716)/M2716,""))</f>
        <v/>
      </c>
      <c r="P2716" s="50">
        <f>IFERROR((I2716/T2716-1)/N2716,"")</f>
        <v/>
      </c>
      <c r="Q2716" s="46">
        <f>IF(OR(T2716="",I2716&lt;T2716),"",IFERROR(R2716/IF(G2716="",I2716,G2716)-1,""))</f>
        <v/>
      </c>
      <c r="R2716" s="48">
        <f>IF($M2716="","",MAX(IF($G2716="",$I2716,$G2716)*(1/1.1),IF($G2716="",$I2716,$G2716)+(R$2*$M2716)))</f>
        <v/>
      </c>
      <c r="S2716" s="49">
        <f>IF($M2716="","",MAX(IF($G2716="",$I2716,$G2716)*(1/1.1),IF($G2716="",$I2716,$G2716)+(S$2*$M2716)))</f>
        <v/>
      </c>
      <c r="T2716" s="82" t="n"/>
      <c r="U2716" s="47">
        <f>IF(OR($M2716="",$T2716=""),"",$T2716+(U$2*$M2716))</f>
        <v/>
      </c>
      <c r="V2716" s="48">
        <f>IF(OR($M2716="",$T2716=""),"",$T2716+(V$2*$M2716))</f>
        <v/>
      </c>
      <c r="W2716" s="48">
        <f>IF(OR($M2716="",$T2716=""),"",$T2716+(W$2*$M2716))</f>
        <v/>
      </c>
      <c r="X2716" s="49">
        <f>IF(OR($M2716="",$T2716=""),"",$T2716+(X$2*$M2716))</f>
        <v/>
      </c>
      <c r="Y2716" s="47">
        <f>IF(OR($M2716="",$T2716=""),"",$T2716+(Y$2*$M2716))</f>
        <v/>
      </c>
      <c r="Z2716" s="49">
        <f>IF(OR($M2716="",$T2716=""),"",$T2716+(Z$2*$M2716))</f>
        <v/>
      </c>
      <c r="AA2716" s="51">
        <f>IF(OR($M2716="",$T2716=""),"",$T2716+(AA$2*$M2716))</f>
        <v/>
      </c>
      <c r="AB2716" s="48">
        <f>IF(OR($M2716="",$T2716=""),"",$T2716+(AB$2*$M2716))</f>
        <v/>
      </c>
      <c r="AC2716" s="48">
        <f>IF(OR($M2716="",$T2716=""),"",$T2716+(AC$2*$M2716))</f>
        <v/>
      </c>
      <c r="AD2716" s="48">
        <f>IF(OR($M2716="",$T2716=""),"",$T2716+(AD$2*$M2716))</f>
        <v/>
      </c>
      <c r="AE2716" s="49">
        <f>IF(OR($M2716="",$T2716=""),"",$T2716+(AE$2*$M2716))</f>
        <v/>
      </c>
      <c r="AF2716" s="52">
        <f>IF(OR(T2716="",I2716&lt;T2716),"",IFERROR(AVERAGE(T2716+M2716*{7,8,9,10,11})/IF(G2716="",I2716,G2716)-1,""))</f>
        <v/>
      </c>
      <c r="AG2716" s="55">
        <f>IF(OR(T2716="",I2716&lt;T2716),"",IFERROR(AF2716/-(R2716/IF(G2716="",I2716,G2716)-1),""))</f>
        <v/>
      </c>
      <c r="AH2716" s="94" t="n"/>
      <c r="AI2716" s="94" t="n"/>
      <c r="AJ2716" s="94" t="n"/>
      <c r="AK2716" s="94" t="n"/>
      <c r="AL2716" s="84" t="n"/>
    </row>
    <row r="2717">
      <c r="A2717" s="64" t="n"/>
      <c r="B2717" s="65" t="n"/>
      <c r="C2717" s="66" t="n"/>
      <c r="D2717" s="67" t="n"/>
      <c r="E2717" s="68" t="n"/>
      <c r="F2717" s="47">
        <f>IF(A2717="","",IF(MIN(H2717,MAX(J2717:K2717))=0,"",MIN(H2717,MAX(J2717:K2717))))</f>
        <v/>
      </c>
      <c r="G2717" s="74" t="n"/>
      <c r="H2717" s="49">
        <f>IF(M2717="","",IFERROR(ROUND(AVERAGE(T2717+M2717*{7,8,9,10,11})/1.21,4),""))</f>
        <v/>
      </c>
      <c r="I2717" s="76" t="n"/>
      <c r="J2717" s="77" t="n"/>
      <c r="K2717" s="74" t="n"/>
      <c r="L2717" s="78" t="n"/>
      <c r="M2717" s="77" t="n"/>
      <c r="N2717" s="53">
        <f>IF(M2717="","",IFERROR(M2717/I2717,""))</f>
        <v/>
      </c>
      <c r="O2717" s="50">
        <f>IF(A2717="","",IFERROR((IF(G2717="",I2717,G2717)-T2717)/M2717,""))</f>
        <v/>
      </c>
      <c r="P2717" s="50">
        <f>IFERROR((I2717/T2717-1)/N2717,"")</f>
        <v/>
      </c>
      <c r="Q2717" s="46">
        <f>IF(OR(T2717="",I2717&lt;T2717),"",IFERROR(R2717/IF(G2717="",I2717,G2717)-1,""))</f>
        <v/>
      </c>
      <c r="R2717" s="48">
        <f>IF($M2717="","",MAX(IF($G2717="",$I2717,$G2717)*(1/1.1),IF($G2717="",$I2717,$G2717)+(R$2*$M2717)))</f>
        <v/>
      </c>
      <c r="S2717" s="49">
        <f>IF($M2717="","",MAX(IF($G2717="",$I2717,$G2717)*(1/1.1),IF($G2717="",$I2717,$G2717)+(S$2*$M2717)))</f>
        <v/>
      </c>
      <c r="T2717" s="82" t="n"/>
      <c r="U2717" s="47">
        <f>IF(OR($M2717="",$T2717=""),"",$T2717+(U$2*$M2717))</f>
        <v/>
      </c>
      <c r="V2717" s="48">
        <f>IF(OR($M2717="",$T2717=""),"",$T2717+(V$2*$M2717))</f>
        <v/>
      </c>
      <c r="W2717" s="48">
        <f>IF(OR($M2717="",$T2717=""),"",$T2717+(W$2*$M2717))</f>
        <v/>
      </c>
      <c r="X2717" s="49">
        <f>IF(OR($M2717="",$T2717=""),"",$T2717+(X$2*$M2717))</f>
        <v/>
      </c>
      <c r="Y2717" s="47">
        <f>IF(OR($M2717="",$T2717=""),"",$T2717+(Y$2*$M2717))</f>
        <v/>
      </c>
      <c r="Z2717" s="49">
        <f>IF(OR($M2717="",$T2717=""),"",$T2717+(Z$2*$M2717))</f>
        <v/>
      </c>
      <c r="AA2717" s="51">
        <f>IF(OR($M2717="",$T2717=""),"",$T2717+(AA$2*$M2717))</f>
        <v/>
      </c>
      <c r="AB2717" s="48">
        <f>IF(OR($M2717="",$T2717=""),"",$T2717+(AB$2*$M2717))</f>
        <v/>
      </c>
      <c r="AC2717" s="48">
        <f>IF(OR($M2717="",$T2717=""),"",$T2717+(AC$2*$M2717))</f>
        <v/>
      </c>
      <c r="AD2717" s="48">
        <f>IF(OR($M2717="",$T2717=""),"",$T2717+(AD$2*$M2717))</f>
        <v/>
      </c>
      <c r="AE2717" s="49">
        <f>IF(OR($M2717="",$T2717=""),"",$T2717+(AE$2*$M2717))</f>
        <v/>
      </c>
      <c r="AF2717" s="52">
        <f>IF(OR(T2717="",I2717&lt;T2717),"",IFERROR(AVERAGE(T2717+M2717*{7,8,9,10,11})/IF(G2717="",I2717,G2717)-1,""))</f>
        <v/>
      </c>
      <c r="AG2717" s="55">
        <f>IF(OR(T2717="",I2717&lt;T2717),"",IFERROR(AF2717/-(R2717/IF(G2717="",I2717,G2717)-1),""))</f>
        <v/>
      </c>
      <c r="AH2717" s="94" t="n"/>
      <c r="AI2717" s="94" t="n"/>
      <c r="AJ2717" s="94" t="n"/>
      <c r="AK2717" s="94" t="n"/>
      <c r="AL2717" s="84" t="n"/>
    </row>
    <row r="2718">
      <c r="A2718" s="64" t="n"/>
      <c r="B2718" s="65" t="n"/>
      <c r="C2718" s="66" t="n"/>
      <c r="D2718" s="67" t="n"/>
      <c r="E2718" s="68" t="n"/>
      <c r="F2718" s="47">
        <f>IF(A2718="","",IF(MIN(H2718,MAX(J2718:K2718))=0,"",MIN(H2718,MAX(J2718:K2718))))</f>
        <v/>
      </c>
      <c r="G2718" s="74" t="n"/>
      <c r="H2718" s="49">
        <f>IF(M2718="","",IFERROR(ROUND(AVERAGE(T2718+M2718*{7,8,9,10,11})/1.21,4),""))</f>
        <v/>
      </c>
      <c r="I2718" s="76" t="n"/>
      <c r="J2718" s="77" t="n"/>
      <c r="K2718" s="74" t="n"/>
      <c r="L2718" s="78" t="n"/>
      <c r="M2718" s="77" t="n"/>
      <c r="N2718" s="53">
        <f>IF(M2718="","",IFERROR(M2718/I2718,""))</f>
        <v/>
      </c>
      <c r="O2718" s="50">
        <f>IF(A2718="","",IFERROR((IF(G2718="",I2718,G2718)-T2718)/M2718,""))</f>
        <v/>
      </c>
      <c r="P2718" s="50">
        <f>IFERROR((I2718/T2718-1)/N2718,"")</f>
        <v/>
      </c>
      <c r="Q2718" s="46">
        <f>IF(OR(T2718="",I2718&lt;T2718),"",IFERROR(R2718/IF(G2718="",I2718,G2718)-1,""))</f>
        <v/>
      </c>
      <c r="R2718" s="48">
        <f>IF($M2718="","",MAX(IF($G2718="",$I2718,$G2718)*(1/1.1),IF($G2718="",$I2718,$G2718)+(R$2*$M2718)))</f>
        <v/>
      </c>
      <c r="S2718" s="49">
        <f>IF($M2718="","",MAX(IF($G2718="",$I2718,$G2718)*(1/1.1),IF($G2718="",$I2718,$G2718)+(S$2*$M2718)))</f>
        <v/>
      </c>
      <c r="T2718" s="82" t="n"/>
      <c r="U2718" s="47">
        <f>IF(OR($M2718="",$T2718=""),"",$T2718+(U$2*$M2718))</f>
        <v/>
      </c>
      <c r="V2718" s="48">
        <f>IF(OR($M2718="",$T2718=""),"",$T2718+(V$2*$M2718))</f>
        <v/>
      </c>
      <c r="W2718" s="48">
        <f>IF(OR($M2718="",$T2718=""),"",$T2718+(W$2*$M2718))</f>
        <v/>
      </c>
      <c r="X2718" s="49">
        <f>IF(OR($M2718="",$T2718=""),"",$T2718+(X$2*$M2718))</f>
        <v/>
      </c>
      <c r="Y2718" s="47">
        <f>IF(OR($M2718="",$T2718=""),"",$T2718+(Y$2*$M2718))</f>
        <v/>
      </c>
      <c r="Z2718" s="49">
        <f>IF(OR($M2718="",$T2718=""),"",$T2718+(Z$2*$M2718))</f>
        <v/>
      </c>
      <c r="AA2718" s="51">
        <f>IF(OR($M2718="",$T2718=""),"",$T2718+(AA$2*$M2718))</f>
        <v/>
      </c>
      <c r="AB2718" s="48">
        <f>IF(OR($M2718="",$T2718=""),"",$T2718+(AB$2*$M2718))</f>
        <v/>
      </c>
      <c r="AC2718" s="48">
        <f>IF(OR($M2718="",$T2718=""),"",$T2718+(AC$2*$M2718))</f>
        <v/>
      </c>
      <c r="AD2718" s="48">
        <f>IF(OR($M2718="",$T2718=""),"",$T2718+(AD$2*$M2718))</f>
        <v/>
      </c>
      <c r="AE2718" s="49">
        <f>IF(OR($M2718="",$T2718=""),"",$T2718+(AE$2*$M2718))</f>
        <v/>
      </c>
      <c r="AF2718" s="52">
        <f>IF(OR(T2718="",I2718&lt;T2718),"",IFERROR(AVERAGE(T2718+M2718*{7,8,9,10,11})/IF(G2718="",I2718,G2718)-1,""))</f>
        <v/>
      </c>
      <c r="AG2718" s="55">
        <f>IF(OR(T2718="",I2718&lt;T2718),"",IFERROR(AF2718/-(R2718/IF(G2718="",I2718,G2718)-1),""))</f>
        <v/>
      </c>
      <c r="AH2718" s="94" t="n"/>
      <c r="AI2718" s="94" t="n"/>
      <c r="AJ2718" s="94" t="n"/>
      <c r="AK2718" s="94" t="n"/>
      <c r="AL2718" s="84" t="n"/>
    </row>
    <row r="2719">
      <c r="A2719" s="64" t="n"/>
      <c r="B2719" s="65" t="n"/>
      <c r="C2719" s="66" t="n"/>
      <c r="D2719" s="67" t="n"/>
      <c r="E2719" s="68" t="n"/>
      <c r="F2719" s="47">
        <f>IF(A2719="","",IF(MIN(H2719,MAX(J2719:K2719))=0,"",MIN(H2719,MAX(J2719:K2719))))</f>
        <v/>
      </c>
      <c r="G2719" s="74" t="n"/>
      <c r="H2719" s="49">
        <f>IF(M2719="","",IFERROR(ROUND(AVERAGE(T2719+M2719*{7,8,9,10,11})/1.21,4),""))</f>
        <v/>
      </c>
      <c r="I2719" s="76" t="n"/>
      <c r="J2719" s="77" t="n"/>
      <c r="K2719" s="74" t="n"/>
      <c r="L2719" s="78" t="n"/>
      <c r="M2719" s="77" t="n"/>
      <c r="N2719" s="53">
        <f>IF(M2719="","",IFERROR(M2719/I2719,""))</f>
        <v/>
      </c>
      <c r="O2719" s="50">
        <f>IF(A2719="","",IFERROR((IF(G2719="",I2719,G2719)-T2719)/M2719,""))</f>
        <v/>
      </c>
      <c r="P2719" s="50">
        <f>IFERROR((I2719/T2719-1)/N2719,"")</f>
        <v/>
      </c>
      <c r="Q2719" s="46">
        <f>IF(OR(T2719="",I2719&lt;T2719),"",IFERROR(R2719/IF(G2719="",I2719,G2719)-1,""))</f>
        <v/>
      </c>
      <c r="R2719" s="48">
        <f>IF($M2719="","",MAX(IF($G2719="",$I2719,$G2719)*(1/1.1),IF($G2719="",$I2719,$G2719)+(R$2*$M2719)))</f>
        <v/>
      </c>
      <c r="S2719" s="49">
        <f>IF($M2719="","",MAX(IF($G2719="",$I2719,$G2719)*(1/1.1),IF($G2719="",$I2719,$G2719)+(S$2*$M2719)))</f>
        <v/>
      </c>
      <c r="T2719" s="82" t="n"/>
      <c r="U2719" s="47">
        <f>IF(OR($M2719="",$T2719=""),"",$T2719+(U$2*$M2719))</f>
        <v/>
      </c>
      <c r="V2719" s="48">
        <f>IF(OR($M2719="",$T2719=""),"",$T2719+(V$2*$M2719))</f>
        <v/>
      </c>
      <c r="W2719" s="48">
        <f>IF(OR($M2719="",$T2719=""),"",$T2719+(W$2*$M2719))</f>
        <v/>
      </c>
      <c r="X2719" s="49">
        <f>IF(OR($M2719="",$T2719=""),"",$T2719+(X$2*$M2719))</f>
        <v/>
      </c>
      <c r="Y2719" s="47">
        <f>IF(OR($M2719="",$T2719=""),"",$T2719+(Y$2*$M2719))</f>
        <v/>
      </c>
      <c r="Z2719" s="49">
        <f>IF(OR($M2719="",$T2719=""),"",$T2719+(Z$2*$M2719))</f>
        <v/>
      </c>
      <c r="AA2719" s="51">
        <f>IF(OR($M2719="",$T2719=""),"",$T2719+(AA$2*$M2719))</f>
        <v/>
      </c>
      <c r="AB2719" s="48">
        <f>IF(OR($M2719="",$T2719=""),"",$T2719+(AB$2*$M2719))</f>
        <v/>
      </c>
      <c r="AC2719" s="48">
        <f>IF(OR($M2719="",$T2719=""),"",$T2719+(AC$2*$M2719))</f>
        <v/>
      </c>
      <c r="AD2719" s="48">
        <f>IF(OR($M2719="",$T2719=""),"",$T2719+(AD$2*$M2719))</f>
        <v/>
      </c>
      <c r="AE2719" s="49">
        <f>IF(OR($M2719="",$T2719=""),"",$T2719+(AE$2*$M2719))</f>
        <v/>
      </c>
      <c r="AF2719" s="52">
        <f>IF(OR(T2719="",I2719&lt;T2719),"",IFERROR(AVERAGE(T2719+M2719*{7,8,9,10,11})/IF(G2719="",I2719,G2719)-1,""))</f>
        <v/>
      </c>
      <c r="AG2719" s="55">
        <f>IF(OR(T2719="",I2719&lt;T2719),"",IFERROR(AF2719/-(R2719/IF(G2719="",I2719,G2719)-1),""))</f>
        <v/>
      </c>
      <c r="AH2719" s="94" t="n"/>
      <c r="AI2719" s="94" t="n"/>
      <c r="AJ2719" s="94" t="n"/>
      <c r="AK2719" s="94" t="n"/>
      <c r="AL2719" s="84" t="n"/>
    </row>
    <row r="2720">
      <c r="A2720" s="64" t="n"/>
      <c r="B2720" s="65" t="n"/>
      <c r="C2720" s="66" t="n"/>
      <c r="D2720" s="67" t="n"/>
      <c r="E2720" s="68" t="n"/>
      <c r="F2720" s="47">
        <f>IF(A2720="","",IF(MIN(H2720,MAX(J2720:K2720))=0,"",MIN(H2720,MAX(J2720:K2720))))</f>
        <v/>
      </c>
      <c r="G2720" s="74" t="n"/>
      <c r="H2720" s="49">
        <f>IF(M2720="","",IFERROR(ROUND(AVERAGE(T2720+M2720*{7,8,9,10,11})/1.21,4),""))</f>
        <v/>
      </c>
      <c r="I2720" s="76" t="n"/>
      <c r="J2720" s="77" t="n"/>
      <c r="K2720" s="74" t="n"/>
      <c r="L2720" s="78" t="n"/>
      <c r="M2720" s="77" t="n"/>
      <c r="N2720" s="53">
        <f>IF(M2720="","",IFERROR(M2720/I2720,""))</f>
        <v/>
      </c>
      <c r="O2720" s="50">
        <f>IF(A2720="","",IFERROR((IF(G2720="",I2720,G2720)-T2720)/M2720,""))</f>
        <v/>
      </c>
      <c r="P2720" s="50">
        <f>IFERROR((I2720/T2720-1)/N2720,"")</f>
        <v/>
      </c>
      <c r="Q2720" s="46">
        <f>IF(OR(T2720="",I2720&lt;T2720),"",IFERROR(R2720/IF(G2720="",I2720,G2720)-1,""))</f>
        <v/>
      </c>
      <c r="R2720" s="48">
        <f>IF($M2720="","",MAX(IF($G2720="",$I2720,$G2720)*(1/1.1),IF($G2720="",$I2720,$G2720)+(R$2*$M2720)))</f>
        <v/>
      </c>
      <c r="S2720" s="49">
        <f>IF($M2720="","",MAX(IF($G2720="",$I2720,$G2720)*(1/1.1),IF($G2720="",$I2720,$G2720)+(S$2*$M2720)))</f>
        <v/>
      </c>
      <c r="T2720" s="82" t="n"/>
      <c r="U2720" s="47">
        <f>IF(OR($M2720="",$T2720=""),"",$T2720+(U$2*$M2720))</f>
        <v/>
      </c>
      <c r="V2720" s="48">
        <f>IF(OR($M2720="",$T2720=""),"",$T2720+(V$2*$M2720))</f>
        <v/>
      </c>
      <c r="W2720" s="48">
        <f>IF(OR($M2720="",$T2720=""),"",$T2720+(W$2*$M2720))</f>
        <v/>
      </c>
      <c r="X2720" s="49">
        <f>IF(OR($M2720="",$T2720=""),"",$T2720+(X$2*$M2720))</f>
        <v/>
      </c>
      <c r="Y2720" s="47">
        <f>IF(OR($M2720="",$T2720=""),"",$T2720+(Y$2*$M2720))</f>
        <v/>
      </c>
      <c r="Z2720" s="49">
        <f>IF(OR($M2720="",$T2720=""),"",$T2720+(Z$2*$M2720))</f>
        <v/>
      </c>
      <c r="AA2720" s="51">
        <f>IF(OR($M2720="",$T2720=""),"",$T2720+(AA$2*$M2720))</f>
        <v/>
      </c>
      <c r="AB2720" s="48">
        <f>IF(OR($M2720="",$T2720=""),"",$T2720+(AB$2*$M2720))</f>
        <v/>
      </c>
      <c r="AC2720" s="48">
        <f>IF(OR($M2720="",$T2720=""),"",$T2720+(AC$2*$M2720))</f>
        <v/>
      </c>
      <c r="AD2720" s="48">
        <f>IF(OR($M2720="",$T2720=""),"",$T2720+(AD$2*$M2720))</f>
        <v/>
      </c>
      <c r="AE2720" s="49">
        <f>IF(OR($M2720="",$T2720=""),"",$T2720+(AE$2*$M2720))</f>
        <v/>
      </c>
      <c r="AF2720" s="52">
        <f>IF(OR(T2720="",I2720&lt;T2720),"",IFERROR(AVERAGE(T2720+M2720*{7,8,9,10,11})/IF(G2720="",I2720,G2720)-1,""))</f>
        <v/>
      </c>
      <c r="AG2720" s="55">
        <f>IF(OR(T2720="",I2720&lt;T2720),"",IFERROR(AF2720/-(R2720/IF(G2720="",I2720,G2720)-1),""))</f>
        <v/>
      </c>
      <c r="AH2720" s="94" t="n"/>
      <c r="AI2720" s="94" t="n"/>
      <c r="AJ2720" s="94" t="n"/>
      <c r="AK2720" s="94" t="n"/>
      <c r="AL2720" s="84" t="n"/>
    </row>
    <row r="2721">
      <c r="A2721" s="64" t="n"/>
      <c r="B2721" s="65" t="n"/>
      <c r="C2721" s="66" t="n"/>
      <c r="D2721" s="67" t="n"/>
      <c r="E2721" s="68" t="n"/>
      <c r="F2721" s="47">
        <f>IF(A2721="","",IF(MIN(H2721,MAX(J2721:K2721))=0,"",MIN(H2721,MAX(J2721:K2721))))</f>
        <v/>
      </c>
      <c r="G2721" s="74" t="n"/>
      <c r="H2721" s="49">
        <f>IF(M2721="","",IFERROR(ROUND(AVERAGE(T2721+M2721*{7,8,9,10,11})/1.21,4),""))</f>
        <v/>
      </c>
      <c r="I2721" s="76" t="n"/>
      <c r="J2721" s="77" t="n"/>
      <c r="K2721" s="74" t="n"/>
      <c r="L2721" s="78" t="n"/>
      <c r="M2721" s="77" t="n"/>
      <c r="N2721" s="53">
        <f>IF(M2721="","",IFERROR(M2721/I2721,""))</f>
        <v/>
      </c>
      <c r="O2721" s="50">
        <f>IF(A2721="","",IFERROR((IF(G2721="",I2721,G2721)-T2721)/M2721,""))</f>
        <v/>
      </c>
      <c r="P2721" s="50">
        <f>IFERROR((I2721/T2721-1)/N2721,"")</f>
        <v/>
      </c>
      <c r="Q2721" s="46">
        <f>IF(OR(T2721="",I2721&lt;T2721),"",IFERROR(R2721/IF(G2721="",I2721,G2721)-1,""))</f>
        <v/>
      </c>
      <c r="R2721" s="48">
        <f>IF($M2721="","",MAX(IF($G2721="",$I2721,$G2721)*(1/1.1),IF($G2721="",$I2721,$G2721)+(R$2*$M2721)))</f>
        <v/>
      </c>
      <c r="S2721" s="49">
        <f>IF($M2721="","",MAX(IF($G2721="",$I2721,$G2721)*(1/1.1),IF($G2721="",$I2721,$G2721)+(S$2*$M2721)))</f>
        <v/>
      </c>
      <c r="T2721" s="82" t="n"/>
      <c r="U2721" s="47">
        <f>IF(OR($M2721="",$T2721=""),"",$T2721+(U$2*$M2721))</f>
        <v/>
      </c>
      <c r="V2721" s="48">
        <f>IF(OR($M2721="",$T2721=""),"",$T2721+(V$2*$M2721))</f>
        <v/>
      </c>
      <c r="W2721" s="48">
        <f>IF(OR($M2721="",$T2721=""),"",$T2721+(W$2*$M2721))</f>
        <v/>
      </c>
      <c r="X2721" s="49">
        <f>IF(OR($M2721="",$T2721=""),"",$T2721+(X$2*$M2721))</f>
        <v/>
      </c>
      <c r="Y2721" s="47">
        <f>IF(OR($M2721="",$T2721=""),"",$T2721+(Y$2*$M2721))</f>
        <v/>
      </c>
      <c r="Z2721" s="49">
        <f>IF(OR($M2721="",$T2721=""),"",$T2721+(Z$2*$M2721))</f>
        <v/>
      </c>
      <c r="AA2721" s="51">
        <f>IF(OR($M2721="",$T2721=""),"",$T2721+(AA$2*$M2721))</f>
        <v/>
      </c>
      <c r="AB2721" s="48">
        <f>IF(OR($M2721="",$T2721=""),"",$T2721+(AB$2*$M2721))</f>
        <v/>
      </c>
      <c r="AC2721" s="48">
        <f>IF(OR($M2721="",$T2721=""),"",$T2721+(AC$2*$M2721))</f>
        <v/>
      </c>
      <c r="AD2721" s="48">
        <f>IF(OR($M2721="",$T2721=""),"",$T2721+(AD$2*$M2721))</f>
        <v/>
      </c>
      <c r="AE2721" s="49">
        <f>IF(OR($M2721="",$T2721=""),"",$T2721+(AE$2*$M2721))</f>
        <v/>
      </c>
      <c r="AF2721" s="52">
        <f>IF(OR(T2721="",I2721&lt;T2721),"",IFERROR(AVERAGE(T2721+M2721*{7,8,9,10,11})/IF(G2721="",I2721,G2721)-1,""))</f>
        <v/>
      </c>
      <c r="AG2721" s="55">
        <f>IF(OR(T2721="",I2721&lt;T2721),"",IFERROR(AF2721/-(R2721/IF(G2721="",I2721,G2721)-1),""))</f>
        <v/>
      </c>
      <c r="AH2721" s="94" t="n"/>
      <c r="AI2721" s="94" t="n"/>
      <c r="AJ2721" s="94" t="n"/>
      <c r="AK2721" s="94" t="n"/>
      <c r="AL2721" s="84" t="n"/>
    </row>
    <row r="2722">
      <c r="A2722" s="64" t="n"/>
      <c r="B2722" s="65" t="n"/>
      <c r="C2722" s="66" t="n"/>
      <c r="D2722" s="67" t="n"/>
      <c r="E2722" s="68" t="n"/>
      <c r="F2722" s="47">
        <f>IF(A2722="","",IF(MIN(H2722,MAX(J2722:K2722))=0,"",MIN(H2722,MAX(J2722:K2722))))</f>
        <v/>
      </c>
      <c r="G2722" s="74" t="n"/>
      <c r="H2722" s="49">
        <f>IF(M2722="","",IFERROR(ROUND(AVERAGE(T2722+M2722*{7,8,9,10,11})/1.21,4),""))</f>
        <v/>
      </c>
      <c r="I2722" s="76" t="n"/>
      <c r="J2722" s="77" t="n"/>
      <c r="K2722" s="74" t="n"/>
      <c r="L2722" s="78" t="n"/>
      <c r="M2722" s="77" t="n"/>
      <c r="N2722" s="53">
        <f>IF(M2722="","",IFERROR(M2722/I2722,""))</f>
        <v/>
      </c>
      <c r="O2722" s="50">
        <f>IF(A2722="","",IFERROR((IF(G2722="",I2722,G2722)-T2722)/M2722,""))</f>
        <v/>
      </c>
      <c r="P2722" s="50">
        <f>IFERROR((I2722/T2722-1)/N2722,"")</f>
        <v/>
      </c>
      <c r="Q2722" s="46">
        <f>IF(OR(T2722="",I2722&lt;T2722),"",IFERROR(R2722/IF(G2722="",I2722,G2722)-1,""))</f>
        <v/>
      </c>
      <c r="R2722" s="48">
        <f>IF($M2722="","",MAX(IF($G2722="",$I2722,$G2722)*(1/1.1),IF($G2722="",$I2722,$G2722)+(R$2*$M2722)))</f>
        <v/>
      </c>
      <c r="S2722" s="49">
        <f>IF($M2722="","",MAX(IF($G2722="",$I2722,$G2722)*(1/1.1),IF($G2722="",$I2722,$G2722)+(S$2*$M2722)))</f>
        <v/>
      </c>
      <c r="T2722" s="82" t="n"/>
      <c r="U2722" s="47">
        <f>IF(OR($M2722="",$T2722=""),"",$T2722+(U$2*$M2722))</f>
        <v/>
      </c>
      <c r="V2722" s="48">
        <f>IF(OR($M2722="",$T2722=""),"",$T2722+(V$2*$M2722))</f>
        <v/>
      </c>
      <c r="W2722" s="48">
        <f>IF(OR($M2722="",$T2722=""),"",$T2722+(W$2*$M2722))</f>
        <v/>
      </c>
      <c r="X2722" s="49">
        <f>IF(OR($M2722="",$T2722=""),"",$T2722+(X$2*$M2722))</f>
        <v/>
      </c>
      <c r="Y2722" s="47">
        <f>IF(OR($M2722="",$T2722=""),"",$T2722+(Y$2*$M2722))</f>
        <v/>
      </c>
      <c r="Z2722" s="49">
        <f>IF(OR($M2722="",$T2722=""),"",$T2722+(Z$2*$M2722))</f>
        <v/>
      </c>
      <c r="AA2722" s="51">
        <f>IF(OR($M2722="",$T2722=""),"",$T2722+(AA$2*$M2722))</f>
        <v/>
      </c>
      <c r="AB2722" s="48">
        <f>IF(OR($M2722="",$T2722=""),"",$T2722+(AB$2*$M2722))</f>
        <v/>
      </c>
      <c r="AC2722" s="48">
        <f>IF(OR($M2722="",$T2722=""),"",$T2722+(AC$2*$M2722))</f>
        <v/>
      </c>
      <c r="AD2722" s="48">
        <f>IF(OR($M2722="",$T2722=""),"",$T2722+(AD$2*$M2722))</f>
        <v/>
      </c>
      <c r="AE2722" s="49">
        <f>IF(OR($M2722="",$T2722=""),"",$T2722+(AE$2*$M2722))</f>
        <v/>
      </c>
      <c r="AF2722" s="52">
        <f>IF(OR(T2722="",I2722&lt;T2722),"",IFERROR(AVERAGE(T2722+M2722*{7,8,9,10,11})/IF(G2722="",I2722,G2722)-1,""))</f>
        <v/>
      </c>
      <c r="AG2722" s="55">
        <f>IF(OR(T2722="",I2722&lt;T2722),"",IFERROR(AF2722/-(R2722/IF(G2722="",I2722,G2722)-1),""))</f>
        <v/>
      </c>
      <c r="AH2722" s="94" t="n"/>
      <c r="AI2722" s="94" t="n"/>
      <c r="AJ2722" s="94" t="n"/>
      <c r="AK2722" s="94" t="n"/>
      <c r="AL2722" s="84" t="n"/>
    </row>
    <row r="2723">
      <c r="A2723" s="64" t="n"/>
      <c r="B2723" s="65" t="n"/>
      <c r="C2723" s="66" t="n"/>
      <c r="D2723" s="67" t="n"/>
      <c r="E2723" s="68" t="n"/>
      <c r="F2723" s="47">
        <f>IF(A2723="","",IF(MIN(H2723,MAX(J2723:K2723))=0,"",MIN(H2723,MAX(J2723:K2723))))</f>
        <v/>
      </c>
      <c r="G2723" s="74" t="n"/>
      <c r="H2723" s="49">
        <f>IF(M2723="","",IFERROR(ROUND(AVERAGE(T2723+M2723*{7,8,9,10,11})/1.21,4),""))</f>
        <v/>
      </c>
      <c r="I2723" s="76" t="n"/>
      <c r="J2723" s="77" t="n"/>
      <c r="K2723" s="74" t="n"/>
      <c r="L2723" s="78" t="n"/>
      <c r="M2723" s="77" t="n"/>
      <c r="N2723" s="53">
        <f>IF(M2723="","",IFERROR(M2723/I2723,""))</f>
        <v/>
      </c>
      <c r="O2723" s="50">
        <f>IF(A2723="","",IFERROR((IF(G2723="",I2723,G2723)-T2723)/M2723,""))</f>
        <v/>
      </c>
      <c r="P2723" s="50">
        <f>IFERROR((I2723/T2723-1)/N2723,"")</f>
        <v/>
      </c>
      <c r="Q2723" s="46">
        <f>IF(OR(T2723="",I2723&lt;T2723),"",IFERROR(R2723/IF(G2723="",I2723,G2723)-1,""))</f>
        <v/>
      </c>
      <c r="R2723" s="48">
        <f>IF($M2723="","",MAX(IF($G2723="",$I2723,$G2723)*(1/1.1),IF($G2723="",$I2723,$G2723)+(R$2*$M2723)))</f>
        <v/>
      </c>
      <c r="S2723" s="49">
        <f>IF($M2723="","",MAX(IF($G2723="",$I2723,$G2723)*(1/1.1),IF($G2723="",$I2723,$G2723)+(S$2*$M2723)))</f>
        <v/>
      </c>
      <c r="T2723" s="82" t="n"/>
      <c r="U2723" s="47">
        <f>IF(OR($M2723="",$T2723=""),"",$T2723+(U$2*$M2723))</f>
        <v/>
      </c>
      <c r="V2723" s="48">
        <f>IF(OR($M2723="",$T2723=""),"",$T2723+(V$2*$M2723))</f>
        <v/>
      </c>
      <c r="W2723" s="48">
        <f>IF(OR($M2723="",$T2723=""),"",$T2723+(W$2*$M2723))</f>
        <v/>
      </c>
      <c r="X2723" s="49">
        <f>IF(OR($M2723="",$T2723=""),"",$T2723+(X$2*$M2723))</f>
        <v/>
      </c>
      <c r="Y2723" s="47">
        <f>IF(OR($M2723="",$T2723=""),"",$T2723+(Y$2*$M2723))</f>
        <v/>
      </c>
      <c r="Z2723" s="49">
        <f>IF(OR($M2723="",$T2723=""),"",$T2723+(Z$2*$M2723))</f>
        <v/>
      </c>
      <c r="AA2723" s="51">
        <f>IF(OR($M2723="",$T2723=""),"",$T2723+(AA$2*$M2723))</f>
        <v/>
      </c>
      <c r="AB2723" s="48">
        <f>IF(OR($M2723="",$T2723=""),"",$T2723+(AB$2*$M2723))</f>
        <v/>
      </c>
      <c r="AC2723" s="48">
        <f>IF(OR($M2723="",$T2723=""),"",$T2723+(AC$2*$M2723))</f>
        <v/>
      </c>
      <c r="AD2723" s="48">
        <f>IF(OR($M2723="",$T2723=""),"",$T2723+(AD$2*$M2723))</f>
        <v/>
      </c>
      <c r="AE2723" s="49">
        <f>IF(OR($M2723="",$T2723=""),"",$T2723+(AE$2*$M2723))</f>
        <v/>
      </c>
      <c r="AF2723" s="52">
        <f>IF(OR(T2723="",I2723&lt;T2723),"",IFERROR(AVERAGE(T2723+M2723*{7,8,9,10,11})/IF(G2723="",I2723,G2723)-1,""))</f>
        <v/>
      </c>
      <c r="AG2723" s="55">
        <f>IF(OR(T2723="",I2723&lt;T2723),"",IFERROR(AF2723/-(R2723/IF(G2723="",I2723,G2723)-1),""))</f>
        <v/>
      </c>
      <c r="AH2723" s="94" t="n"/>
      <c r="AI2723" s="94" t="n"/>
      <c r="AJ2723" s="94" t="n"/>
      <c r="AK2723" s="94" t="n"/>
      <c r="AL2723" s="84" t="n"/>
    </row>
    <row r="2724">
      <c r="A2724" s="64" t="n"/>
      <c r="B2724" s="65" t="n"/>
      <c r="C2724" s="66" t="n"/>
      <c r="D2724" s="67" t="n"/>
      <c r="E2724" s="68" t="n"/>
      <c r="F2724" s="47">
        <f>IF(A2724="","",IF(MIN(H2724,MAX(J2724:K2724))=0,"",MIN(H2724,MAX(J2724:K2724))))</f>
        <v/>
      </c>
      <c r="G2724" s="74" t="n"/>
      <c r="H2724" s="49">
        <f>IF(M2724="","",IFERROR(ROUND(AVERAGE(T2724+M2724*{7,8,9,10,11})/1.21,4),""))</f>
        <v/>
      </c>
      <c r="I2724" s="76" t="n"/>
      <c r="J2724" s="77" t="n"/>
      <c r="K2724" s="74" t="n"/>
      <c r="L2724" s="78" t="n"/>
      <c r="M2724" s="77" t="n"/>
      <c r="N2724" s="53">
        <f>IF(M2724="","",IFERROR(M2724/I2724,""))</f>
        <v/>
      </c>
      <c r="O2724" s="50">
        <f>IF(A2724="","",IFERROR((IF(G2724="",I2724,G2724)-T2724)/M2724,""))</f>
        <v/>
      </c>
      <c r="P2724" s="50">
        <f>IFERROR((I2724/T2724-1)/N2724,"")</f>
        <v/>
      </c>
      <c r="Q2724" s="46">
        <f>IF(OR(T2724="",I2724&lt;T2724),"",IFERROR(R2724/IF(G2724="",I2724,G2724)-1,""))</f>
        <v/>
      </c>
      <c r="R2724" s="48">
        <f>IF($M2724="","",MAX(IF($G2724="",$I2724,$G2724)*(1/1.1),IF($G2724="",$I2724,$G2724)+(R$2*$M2724)))</f>
        <v/>
      </c>
      <c r="S2724" s="49">
        <f>IF($M2724="","",MAX(IF($G2724="",$I2724,$G2724)*(1/1.1),IF($G2724="",$I2724,$G2724)+(S$2*$M2724)))</f>
        <v/>
      </c>
      <c r="T2724" s="82" t="n"/>
      <c r="U2724" s="47">
        <f>IF(OR($M2724="",$T2724=""),"",$T2724+(U$2*$M2724))</f>
        <v/>
      </c>
      <c r="V2724" s="48">
        <f>IF(OR($M2724="",$T2724=""),"",$T2724+(V$2*$M2724))</f>
        <v/>
      </c>
      <c r="W2724" s="48">
        <f>IF(OR($M2724="",$T2724=""),"",$T2724+(W$2*$M2724))</f>
        <v/>
      </c>
      <c r="X2724" s="49">
        <f>IF(OR($M2724="",$T2724=""),"",$T2724+(X$2*$M2724))</f>
        <v/>
      </c>
      <c r="Y2724" s="47">
        <f>IF(OR($M2724="",$T2724=""),"",$T2724+(Y$2*$M2724))</f>
        <v/>
      </c>
      <c r="Z2724" s="49">
        <f>IF(OR($M2724="",$T2724=""),"",$T2724+(Z$2*$M2724))</f>
        <v/>
      </c>
      <c r="AA2724" s="51">
        <f>IF(OR($M2724="",$T2724=""),"",$T2724+(AA$2*$M2724))</f>
        <v/>
      </c>
      <c r="AB2724" s="48">
        <f>IF(OR($M2724="",$T2724=""),"",$T2724+(AB$2*$M2724))</f>
        <v/>
      </c>
      <c r="AC2724" s="48">
        <f>IF(OR($M2724="",$T2724=""),"",$T2724+(AC$2*$M2724))</f>
        <v/>
      </c>
      <c r="AD2724" s="48">
        <f>IF(OR($M2724="",$T2724=""),"",$T2724+(AD$2*$M2724))</f>
        <v/>
      </c>
      <c r="AE2724" s="49">
        <f>IF(OR($M2724="",$T2724=""),"",$T2724+(AE$2*$M2724))</f>
        <v/>
      </c>
      <c r="AF2724" s="52">
        <f>IF(OR(T2724="",I2724&lt;T2724),"",IFERROR(AVERAGE(T2724+M2724*{7,8,9,10,11})/IF(G2724="",I2724,G2724)-1,""))</f>
        <v/>
      </c>
      <c r="AG2724" s="55">
        <f>IF(OR(T2724="",I2724&lt;T2724),"",IFERROR(AF2724/-(R2724/IF(G2724="",I2724,G2724)-1),""))</f>
        <v/>
      </c>
      <c r="AH2724" s="94" t="n"/>
      <c r="AI2724" s="94" t="n"/>
      <c r="AJ2724" s="94" t="n"/>
      <c r="AK2724" s="94" t="n"/>
      <c r="AL2724" s="84" t="n"/>
    </row>
    <row r="2725">
      <c r="A2725" s="64" t="n"/>
      <c r="B2725" s="65" t="n"/>
      <c r="C2725" s="66" t="n"/>
      <c r="D2725" s="67" t="n"/>
      <c r="E2725" s="68" t="n"/>
      <c r="F2725" s="47">
        <f>IF(A2725="","",IF(MIN(H2725,MAX(J2725:K2725))=0,"",MIN(H2725,MAX(J2725:K2725))))</f>
        <v/>
      </c>
      <c r="G2725" s="74" t="n"/>
      <c r="H2725" s="49">
        <f>IF(M2725="","",IFERROR(ROUND(AVERAGE(T2725+M2725*{7,8,9,10,11})/1.21,4),""))</f>
        <v/>
      </c>
      <c r="I2725" s="76" t="n"/>
      <c r="J2725" s="77" t="n"/>
      <c r="K2725" s="74" t="n"/>
      <c r="L2725" s="78" t="n"/>
      <c r="M2725" s="77" t="n"/>
      <c r="N2725" s="53">
        <f>IF(M2725="","",IFERROR(M2725/I2725,""))</f>
        <v/>
      </c>
      <c r="O2725" s="50">
        <f>IF(A2725="","",IFERROR((IF(G2725="",I2725,G2725)-T2725)/M2725,""))</f>
        <v/>
      </c>
      <c r="P2725" s="50">
        <f>IFERROR((I2725/T2725-1)/N2725,"")</f>
        <v/>
      </c>
      <c r="Q2725" s="46">
        <f>IF(OR(T2725="",I2725&lt;T2725),"",IFERROR(R2725/IF(G2725="",I2725,G2725)-1,""))</f>
        <v/>
      </c>
      <c r="R2725" s="48">
        <f>IF($M2725="","",MAX(IF($G2725="",$I2725,$G2725)*(1/1.1),IF($G2725="",$I2725,$G2725)+(R$2*$M2725)))</f>
        <v/>
      </c>
      <c r="S2725" s="49">
        <f>IF($M2725="","",MAX(IF($G2725="",$I2725,$G2725)*(1/1.1),IF($G2725="",$I2725,$G2725)+(S$2*$M2725)))</f>
        <v/>
      </c>
      <c r="T2725" s="82" t="n"/>
      <c r="U2725" s="47">
        <f>IF(OR($M2725="",$T2725=""),"",$T2725+(U$2*$M2725))</f>
        <v/>
      </c>
      <c r="V2725" s="48">
        <f>IF(OR($M2725="",$T2725=""),"",$T2725+(V$2*$M2725))</f>
        <v/>
      </c>
      <c r="W2725" s="48">
        <f>IF(OR($M2725="",$T2725=""),"",$T2725+(W$2*$M2725))</f>
        <v/>
      </c>
      <c r="X2725" s="49">
        <f>IF(OR($M2725="",$T2725=""),"",$T2725+(X$2*$M2725))</f>
        <v/>
      </c>
      <c r="Y2725" s="47">
        <f>IF(OR($M2725="",$T2725=""),"",$T2725+(Y$2*$M2725))</f>
        <v/>
      </c>
      <c r="Z2725" s="49">
        <f>IF(OR($M2725="",$T2725=""),"",$T2725+(Z$2*$M2725))</f>
        <v/>
      </c>
      <c r="AA2725" s="51">
        <f>IF(OR($M2725="",$T2725=""),"",$T2725+(AA$2*$M2725))</f>
        <v/>
      </c>
      <c r="AB2725" s="48">
        <f>IF(OR($M2725="",$T2725=""),"",$T2725+(AB$2*$M2725))</f>
        <v/>
      </c>
      <c r="AC2725" s="48">
        <f>IF(OR($M2725="",$T2725=""),"",$T2725+(AC$2*$M2725))</f>
        <v/>
      </c>
      <c r="AD2725" s="48">
        <f>IF(OR($M2725="",$T2725=""),"",$T2725+(AD$2*$M2725))</f>
        <v/>
      </c>
      <c r="AE2725" s="49">
        <f>IF(OR($M2725="",$T2725=""),"",$T2725+(AE$2*$M2725))</f>
        <v/>
      </c>
      <c r="AF2725" s="52">
        <f>IF(OR(T2725="",I2725&lt;T2725),"",IFERROR(AVERAGE(T2725+M2725*{7,8,9,10,11})/IF(G2725="",I2725,G2725)-1,""))</f>
        <v/>
      </c>
      <c r="AG2725" s="55">
        <f>IF(OR(T2725="",I2725&lt;T2725),"",IFERROR(AF2725/-(R2725/IF(G2725="",I2725,G2725)-1),""))</f>
        <v/>
      </c>
      <c r="AH2725" s="94" t="n"/>
      <c r="AI2725" s="94" t="n"/>
      <c r="AJ2725" s="94" t="n"/>
      <c r="AK2725" s="94" t="n"/>
      <c r="AL2725" s="84" t="n"/>
    </row>
    <row r="2726">
      <c r="A2726" s="64" t="n"/>
      <c r="B2726" s="65" t="n"/>
      <c r="C2726" s="66" t="n"/>
      <c r="D2726" s="67" t="n"/>
      <c r="E2726" s="68" t="n"/>
      <c r="F2726" s="47">
        <f>IF(A2726="","",IF(MIN(H2726,MAX(J2726:K2726))=0,"",MIN(H2726,MAX(J2726:K2726))))</f>
        <v/>
      </c>
      <c r="G2726" s="74" t="n"/>
      <c r="H2726" s="49">
        <f>IF(M2726="","",IFERROR(ROUND(AVERAGE(T2726+M2726*{7,8,9,10,11})/1.21,4),""))</f>
        <v/>
      </c>
      <c r="I2726" s="76" t="n"/>
      <c r="J2726" s="77" t="n"/>
      <c r="K2726" s="74" t="n"/>
      <c r="L2726" s="78" t="n"/>
      <c r="M2726" s="77" t="n"/>
      <c r="N2726" s="53">
        <f>IF(M2726="","",IFERROR(M2726/I2726,""))</f>
        <v/>
      </c>
      <c r="O2726" s="50">
        <f>IF(A2726="","",IFERROR((IF(G2726="",I2726,G2726)-T2726)/M2726,""))</f>
        <v/>
      </c>
      <c r="P2726" s="50">
        <f>IFERROR((I2726/T2726-1)/N2726,"")</f>
        <v/>
      </c>
      <c r="Q2726" s="46">
        <f>IF(OR(T2726="",I2726&lt;T2726),"",IFERROR(R2726/IF(G2726="",I2726,G2726)-1,""))</f>
        <v/>
      </c>
      <c r="R2726" s="48">
        <f>IF($M2726="","",MAX(IF($G2726="",$I2726,$G2726)*(1/1.1),IF($G2726="",$I2726,$G2726)+(R$2*$M2726)))</f>
        <v/>
      </c>
      <c r="S2726" s="49">
        <f>IF($M2726="","",MAX(IF($G2726="",$I2726,$G2726)*(1/1.1),IF($G2726="",$I2726,$G2726)+(S$2*$M2726)))</f>
        <v/>
      </c>
      <c r="T2726" s="82" t="n"/>
      <c r="U2726" s="47">
        <f>IF(OR($M2726="",$T2726=""),"",$T2726+(U$2*$M2726))</f>
        <v/>
      </c>
      <c r="V2726" s="48">
        <f>IF(OR($M2726="",$T2726=""),"",$T2726+(V$2*$M2726))</f>
        <v/>
      </c>
      <c r="W2726" s="48">
        <f>IF(OR($M2726="",$T2726=""),"",$T2726+(W$2*$M2726))</f>
        <v/>
      </c>
      <c r="X2726" s="49">
        <f>IF(OR($M2726="",$T2726=""),"",$T2726+(X$2*$M2726))</f>
        <v/>
      </c>
      <c r="Y2726" s="47">
        <f>IF(OR($M2726="",$T2726=""),"",$T2726+(Y$2*$M2726))</f>
        <v/>
      </c>
      <c r="Z2726" s="49">
        <f>IF(OR($M2726="",$T2726=""),"",$T2726+(Z$2*$M2726))</f>
        <v/>
      </c>
      <c r="AA2726" s="51">
        <f>IF(OR($M2726="",$T2726=""),"",$T2726+(AA$2*$M2726))</f>
        <v/>
      </c>
      <c r="AB2726" s="48">
        <f>IF(OR($M2726="",$T2726=""),"",$T2726+(AB$2*$M2726))</f>
        <v/>
      </c>
      <c r="AC2726" s="48">
        <f>IF(OR($M2726="",$T2726=""),"",$T2726+(AC$2*$M2726))</f>
        <v/>
      </c>
      <c r="AD2726" s="48">
        <f>IF(OR($M2726="",$T2726=""),"",$T2726+(AD$2*$M2726))</f>
        <v/>
      </c>
      <c r="AE2726" s="49">
        <f>IF(OR($M2726="",$T2726=""),"",$T2726+(AE$2*$M2726))</f>
        <v/>
      </c>
      <c r="AF2726" s="52">
        <f>IF(OR(T2726="",I2726&lt;T2726),"",IFERROR(AVERAGE(T2726+M2726*{7,8,9,10,11})/IF(G2726="",I2726,G2726)-1,""))</f>
        <v/>
      </c>
      <c r="AG2726" s="55">
        <f>IF(OR(T2726="",I2726&lt;T2726),"",IFERROR(AF2726/-(R2726/IF(G2726="",I2726,G2726)-1),""))</f>
        <v/>
      </c>
      <c r="AH2726" s="94" t="n"/>
      <c r="AI2726" s="94" t="n"/>
      <c r="AJ2726" s="94" t="n"/>
      <c r="AK2726" s="94" t="n"/>
      <c r="AL2726" s="84" t="n"/>
    </row>
    <row r="2727">
      <c r="A2727" s="64" t="n"/>
      <c r="B2727" s="65" t="n"/>
      <c r="C2727" s="66" t="n"/>
      <c r="D2727" s="67" t="n"/>
      <c r="E2727" s="68" t="n"/>
      <c r="F2727" s="47">
        <f>IF(A2727="","",IF(MIN(H2727,MAX(J2727:K2727))=0,"",MIN(H2727,MAX(J2727:K2727))))</f>
        <v/>
      </c>
      <c r="G2727" s="74" t="n"/>
      <c r="H2727" s="49">
        <f>IF(M2727="","",IFERROR(ROUND(AVERAGE(T2727+M2727*{7,8,9,10,11})/1.21,4),""))</f>
        <v/>
      </c>
      <c r="I2727" s="76" t="n"/>
      <c r="J2727" s="77" t="n"/>
      <c r="K2727" s="74" t="n"/>
      <c r="L2727" s="78" t="n"/>
      <c r="M2727" s="77" t="n"/>
      <c r="N2727" s="53">
        <f>IF(M2727="","",IFERROR(M2727/I2727,""))</f>
        <v/>
      </c>
      <c r="O2727" s="50">
        <f>IF(A2727="","",IFERROR((IF(G2727="",I2727,G2727)-T2727)/M2727,""))</f>
        <v/>
      </c>
      <c r="P2727" s="50">
        <f>IFERROR((I2727/T2727-1)/N2727,"")</f>
        <v/>
      </c>
      <c r="Q2727" s="46">
        <f>IF(OR(T2727="",I2727&lt;T2727),"",IFERROR(R2727/IF(G2727="",I2727,G2727)-1,""))</f>
        <v/>
      </c>
      <c r="R2727" s="48">
        <f>IF($M2727="","",MAX(IF($G2727="",$I2727,$G2727)*(1/1.1),IF($G2727="",$I2727,$G2727)+(R$2*$M2727)))</f>
        <v/>
      </c>
      <c r="S2727" s="49">
        <f>IF($M2727="","",MAX(IF($G2727="",$I2727,$G2727)*(1/1.1),IF($G2727="",$I2727,$G2727)+(S$2*$M2727)))</f>
        <v/>
      </c>
      <c r="T2727" s="82" t="n"/>
      <c r="U2727" s="47">
        <f>IF(OR($M2727="",$T2727=""),"",$T2727+(U$2*$M2727))</f>
        <v/>
      </c>
      <c r="V2727" s="48">
        <f>IF(OR($M2727="",$T2727=""),"",$T2727+(V$2*$M2727))</f>
        <v/>
      </c>
      <c r="W2727" s="48">
        <f>IF(OR($M2727="",$T2727=""),"",$T2727+(W$2*$M2727))</f>
        <v/>
      </c>
      <c r="X2727" s="49">
        <f>IF(OR($M2727="",$T2727=""),"",$T2727+(X$2*$M2727))</f>
        <v/>
      </c>
      <c r="Y2727" s="47">
        <f>IF(OR($M2727="",$T2727=""),"",$T2727+(Y$2*$M2727))</f>
        <v/>
      </c>
      <c r="Z2727" s="49">
        <f>IF(OR($M2727="",$T2727=""),"",$T2727+(Z$2*$M2727))</f>
        <v/>
      </c>
      <c r="AA2727" s="51">
        <f>IF(OR($M2727="",$T2727=""),"",$T2727+(AA$2*$M2727))</f>
        <v/>
      </c>
      <c r="AB2727" s="48">
        <f>IF(OR($M2727="",$T2727=""),"",$T2727+(AB$2*$M2727))</f>
        <v/>
      </c>
      <c r="AC2727" s="48">
        <f>IF(OR($M2727="",$T2727=""),"",$T2727+(AC$2*$M2727))</f>
        <v/>
      </c>
      <c r="AD2727" s="48">
        <f>IF(OR($M2727="",$T2727=""),"",$T2727+(AD$2*$M2727))</f>
        <v/>
      </c>
      <c r="AE2727" s="49">
        <f>IF(OR($M2727="",$T2727=""),"",$T2727+(AE$2*$M2727))</f>
        <v/>
      </c>
      <c r="AF2727" s="52">
        <f>IF(OR(T2727="",I2727&lt;T2727),"",IFERROR(AVERAGE(T2727+M2727*{7,8,9,10,11})/IF(G2727="",I2727,G2727)-1,""))</f>
        <v/>
      </c>
      <c r="AG2727" s="55">
        <f>IF(OR(T2727="",I2727&lt;T2727),"",IFERROR(AF2727/-(R2727/IF(G2727="",I2727,G2727)-1),""))</f>
        <v/>
      </c>
      <c r="AH2727" s="94" t="n"/>
      <c r="AI2727" s="94" t="n"/>
      <c r="AJ2727" s="94" t="n"/>
      <c r="AK2727" s="94" t="n"/>
      <c r="AL2727" s="84" t="n"/>
    </row>
    <row r="2728">
      <c r="A2728" s="64" t="n"/>
      <c r="B2728" s="65" t="n"/>
      <c r="C2728" s="66" t="n"/>
      <c r="D2728" s="67" t="n"/>
      <c r="E2728" s="68" t="n"/>
      <c r="F2728" s="47">
        <f>IF(A2728="","",IF(MIN(H2728,MAX(J2728:K2728))=0,"",MIN(H2728,MAX(J2728:K2728))))</f>
        <v/>
      </c>
      <c r="G2728" s="74" t="n"/>
      <c r="H2728" s="49">
        <f>IF(M2728="","",IFERROR(ROUND(AVERAGE(T2728+M2728*{7,8,9,10,11})/1.21,4),""))</f>
        <v/>
      </c>
      <c r="I2728" s="76" t="n"/>
      <c r="J2728" s="77" t="n"/>
      <c r="K2728" s="74" t="n"/>
      <c r="L2728" s="78" t="n"/>
      <c r="M2728" s="77" t="n"/>
      <c r="N2728" s="53">
        <f>IF(M2728="","",IFERROR(M2728/I2728,""))</f>
        <v/>
      </c>
      <c r="O2728" s="50">
        <f>IF(A2728="","",IFERROR((IF(G2728="",I2728,G2728)-T2728)/M2728,""))</f>
        <v/>
      </c>
      <c r="P2728" s="50">
        <f>IFERROR((I2728/T2728-1)/N2728,"")</f>
        <v/>
      </c>
      <c r="Q2728" s="46">
        <f>IF(OR(T2728="",I2728&lt;T2728),"",IFERROR(R2728/IF(G2728="",I2728,G2728)-1,""))</f>
        <v/>
      </c>
      <c r="R2728" s="48">
        <f>IF($M2728="","",MAX(IF($G2728="",$I2728,$G2728)*(1/1.1),IF($G2728="",$I2728,$G2728)+(R$2*$M2728)))</f>
        <v/>
      </c>
      <c r="S2728" s="49">
        <f>IF($M2728="","",MAX(IF($G2728="",$I2728,$G2728)*(1/1.1),IF($G2728="",$I2728,$G2728)+(S$2*$M2728)))</f>
        <v/>
      </c>
      <c r="T2728" s="82" t="n"/>
      <c r="U2728" s="47">
        <f>IF(OR($M2728="",$T2728=""),"",$T2728+(U$2*$M2728))</f>
        <v/>
      </c>
      <c r="V2728" s="48">
        <f>IF(OR($M2728="",$T2728=""),"",$T2728+(V$2*$M2728))</f>
        <v/>
      </c>
      <c r="W2728" s="48">
        <f>IF(OR($M2728="",$T2728=""),"",$T2728+(W$2*$M2728))</f>
        <v/>
      </c>
      <c r="X2728" s="49">
        <f>IF(OR($M2728="",$T2728=""),"",$T2728+(X$2*$M2728))</f>
        <v/>
      </c>
      <c r="Y2728" s="47">
        <f>IF(OR($M2728="",$T2728=""),"",$T2728+(Y$2*$M2728))</f>
        <v/>
      </c>
      <c r="Z2728" s="49">
        <f>IF(OR($M2728="",$T2728=""),"",$T2728+(Z$2*$M2728))</f>
        <v/>
      </c>
      <c r="AA2728" s="51">
        <f>IF(OR($M2728="",$T2728=""),"",$T2728+(AA$2*$M2728))</f>
        <v/>
      </c>
      <c r="AB2728" s="48">
        <f>IF(OR($M2728="",$T2728=""),"",$T2728+(AB$2*$M2728))</f>
        <v/>
      </c>
      <c r="AC2728" s="48">
        <f>IF(OR($M2728="",$T2728=""),"",$T2728+(AC$2*$M2728))</f>
        <v/>
      </c>
      <c r="AD2728" s="48">
        <f>IF(OR($M2728="",$T2728=""),"",$T2728+(AD$2*$M2728))</f>
        <v/>
      </c>
      <c r="AE2728" s="49">
        <f>IF(OR($M2728="",$T2728=""),"",$T2728+(AE$2*$M2728))</f>
        <v/>
      </c>
      <c r="AF2728" s="52">
        <f>IF(OR(T2728="",I2728&lt;T2728),"",IFERROR(AVERAGE(T2728+M2728*{7,8,9,10,11})/IF(G2728="",I2728,G2728)-1,""))</f>
        <v/>
      </c>
      <c r="AG2728" s="55">
        <f>IF(OR(T2728="",I2728&lt;T2728),"",IFERROR(AF2728/-(R2728/IF(G2728="",I2728,G2728)-1),""))</f>
        <v/>
      </c>
      <c r="AH2728" s="94" t="n"/>
      <c r="AI2728" s="94" t="n"/>
      <c r="AJ2728" s="94" t="n"/>
      <c r="AK2728" s="94" t="n"/>
      <c r="AL2728" s="84" t="n"/>
    </row>
    <row r="2729">
      <c r="A2729" s="64" t="n"/>
      <c r="B2729" s="65" t="n"/>
      <c r="C2729" s="66" t="n"/>
      <c r="D2729" s="67" t="n"/>
      <c r="E2729" s="68" t="n"/>
      <c r="F2729" s="47">
        <f>IF(A2729="","",IF(MIN(H2729,MAX(J2729:K2729))=0,"",MIN(H2729,MAX(J2729:K2729))))</f>
        <v/>
      </c>
      <c r="G2729" s="74" t="n"/>
      <c r="H2729" s="49">
        <f>IF(M2729="","",IFERROR(ROUND(AVERAGE(T2729+M2729*{7,8,9,10,11})/1.21,4),""))</f>
        <v/>
      </c>
      <c r="I2729" s="76" t="n"/>
      <c r="J2729" s="77" t="n"/>
      <c r="K2729" s="74" t="n"/>
      <c r="L2729" s="78" t="n"/>
      <c r="M2729" s="77" t="n"/>
      <c r="N2729" s="53">
        <f>IF(M2729="","",IFERROR(M2729/I2729,""))</f>
        <v/>
      </c>
      <c r="O2729" s="50">
        <f>IF(A2729="","",IFERROR((IF(G2729="",I2729,G2729)-T2729)/M2729,""))</f>
        <v/>
      </c>
      <c r="P2729" s="50">
        <f>IFERROR((I2729/T2729-1)/N2729,"")</f>
        <v/>
      </c>
      <c r="Q2729" s="46">
        <f>IF(OR(T2729="",I2729&lt;T2729),"",IFERROR(R2729/IF(G2729="",I2729,G2729)-1,""))</f>
        <v/>
      </c>
      <c r="R2729" s="48">
        <f>IF($M2729="","",MAX(IF($G2729="",$I2729,$G2729)*(1/1.1),IF($G2729="",$I2729,$G2729)+(R$2*$M2729)))</f>
        <v/>
      </c>
      <c r="S2729" s="49">
        <f>IF($M2729="","",MAX(IF($G2729="",$I2729,$G2729)*(1/1.1),IF($G2729="",$I2729,$G2729)+(S$2*$M2729)))</f>
        <v/>
      </c>
      <c r="T2729" s="82" t="n"/>
      <c r="U2729" s="47">
        <f>IF(OR($M2729="",$T2729=""),"",$T2729+(U$2*$M2729))</f>
        <v/>
      </c>
      <c r="V2729" s="48">
        <f>IF(OR($M2729="",$T2729=""),"",$T2729+(V$2*$M2729))</f>
        <v/>
      </c>
      <c r="W2729" s="48">
        <f>IF(OR($M2729="",$T2729=""),"",$T2729+(W$2*$M2729))</f>
        <v/>
      </c>
      <c r="X2729" s="49">
        <f>IF(OR($M2729="",$T2729=""),"",$T2729+(X$2*$M2729))</f>
        <v/>
      </c>
      <c r="Y2729" s="47">
        <f>IF(OR($M2729="",$T2729=""),"",$T2729+(Y$2*$M2729))</f>
        <v/>
      </c>
      <c r="Z2729" s="49">
        <f>IF(OR($M2729="",$T2729=""),"",$T2729+(Z$2*$M2729))</f>
        <v/>
      </c>
      <c r="AA2729" s="51">
        <f>IF(OR($M2729="",$T2729=""),"",$T2729+(AA$2*$M2729))</f>
        <v/>
      </c>
      <c r="AB2729" s="48">
        <f>IF(OR($M2729="",$T2729=""),"",$T2729+(AB$2*$M2729))</f>
        <v/>
      </c>
      <c r="AC2729" s="48">
        <f>IF(OR($M2729="",$T2729=""),"",$T2729+(AC$2*$M2729))</f>
        <v/>
      </c>
      <c r="AD2729" s="48">
        <f>IF(OR($M2729="",$T2729=""),"",$T2729+(AD$2*$M2729))</f>
        <v/>
      </c>
      <c r="AE2729" s="49">
        <f>IF(OR($M2729="",$T2729=""),"",$T2729+(AE$2*$M2729))</f>
        <v/>
      </c>
      <c r="AF2729" s="52">
        <f>IF(OR(T2729="",I2729&lt;T2729),"",IFERROR(AVERAGE(T2729+M2729*{7,8,9,10,11})/IF(G2729="",I2729,G2729)-1,""))</f>
        <v/>
      </c>
      <c r="AG2729" s="55">
        <f>IF(OR(T2729="",I2729&lt;T2729),"",IFERROR(AF2729/-(R2729/IF(G2729="",I2729,G2729)-1),""))</f>
        <v/>
      </c>
      <c r="AH2729" s="94" t="n"/>
      <c r="AI2729" s="94" t="n"/>
      <c r="AJ2729" s="94" t="n"/>
      <c r="AK2729" s="94" t="n"/>
      <c r="AL2729" s="84" t="n"/>
    </row>
    <row r="2730">
      <c r="A2730" s="64" t="n"/>
      <c r="B2730" s="65" t="n"/>
      <c r="C2730" s="66" t="n"/>
      <c r="D2730" s="67" t="n"/>
      <c r="E2730" s="68" t="n"/>
      <c r="F2730" s="47">
        <f>IF(A2730="","",IF(MIN(H2730,MAX(J2730:K2730))=0,"",MIN(H2730,MAX(J2730:K2730))))</f>
        <v/>
      </c>
      <c r="G2730" s="74" t="n"/>
      <c r="H2730" s="49">
        <f>IF(M2730="","",IFERROR(ROUND(AVERAGE(T2730+M2730*{7,8,9,10,11})/1.21,4),""))</f>
        <v/>
      </c>
      <c r="I2730" s="76" t="n"/>
      <c r="J2730" s="77" t="n"/>
      <c r="K2730" s="74" t="n"/>
      <c r="L2730" s="78" t="n"/>
      <c r="M2730" s="77" t="n"/>
      <c r="N2730" s="53">
        <f>IF(M2730="","",IFERROR(M2730/I2730,""))</f>
        <v/>
      </c>
      <c r="O2730" s="50">
        <f>IF(A2730="","",IFERROR((IF(G2730="",I2730,G2730)-T2730)/M2730,""))</f>
        <v/>
      </c>
      <c r="P2730" s="50">
        <f>IFERROR((I2730/T2730-1)/N2730,"")</f>
        <v/>
      </c>
      <c r="Q2730" s="46">
        <f>IF(OR(T2730="",I2730&lt;T2730),"",IFERROR(R2730/IF(G2730="",I2730,G2730)-1,""))</f>
        <v/>
      </c>
      <c r="R2730" s="48">
        <f>IF($M2730="","",MAX(IF($G2730="",$I2730,$G2730)*(1/1.1),IF($G2730="",$I2730,$G2730)+(R$2*$M2730)))</f>
        <v/>
      </c>
      <c r="S2730" s="49">
        <f>IF($M2730="","",MAX(IF($G2730="",$I2730,$G2730)*(1/1.1),IF($G2730="",$I2730,$G2730)+(S$2*$M2730)))</f>
        <v/>
      </c>
      <c r="T2730" s="82" t="n"/>
      <c r="U2730" s="47">
        <f>IF(OR($M2730="",$T2730=""),"",$T2730+(U$2*$M2730))</f>
        <v/>
      </c>
      <c r="V2730" s="48">
        <f>IF(OR($M2730="",$T2730=""),"",$T2730+(V$2*$M2730))</f>
        <v/>
      </c>
      <c r="W2730" s="48">
        <f>IF(OR($M2730="",$T2730=""),"",$T2730+(W$2*$M2730))</f>
        <v/>
      </c>
      <c r="X2730" s="49">
        <f>IF(OR($M2730="",$T2730=""),"",$T2730+(X$2*$M2730))</f>
        <v/>
      </c>
      <c r="Y2730" s="47">
        <f>IF(OR($M2730="",$T2730=""),"",$T2730+(Y$2*$M2730))</f>
        <v/>
      </c>
      <c r="Z2730" s="49">
        <f>IF(OR($M2730="",$T2730=""),"",$T2730+(Z$2*$M2730))</f>
        <v/>
      </c>
      <c r="AA2730" s="51">
        <f>IF(OR($M2730="",$T2730=""),"",$T2730+(AA$2*$M2730))</f>
        <v/>
      </c>
      <c r="AB2730" s="48">
        <f>IF(OR($M2730="",$T2730=""),"",$T2730+(AB$2*$M2730))</f>
        <v/>
      </c>
      <c r="AC2730" s="48">
        <f>IF(OR($M2730="",$T2730=""),"",$T2730+(AC$2*$M2730))</f>
        <v/>
      </c>
      <c r="AD2730" s="48">
        <f>IF(OR($M2730="",$T2730=""),"",$T2730+(AD$2*$M2730))</f>
        <v/>
      </c>
      <c r="AE2730" s="49">
        <f>IF(OR($M2730="",$T2730=""),"",$T2730+(AE$2*$M2730))</f>
        <v/>
      </c>
      <c r="AF2730" s="52">
        <f>IF(OR(T2730="",I2730&lt;T2730),"",IFERROR(AVERAGE(T2730+M2730*{7,8,9,10,11})/IF(G2730="",I2730,G2730)-1,""))</f>
        <v/>
      </c>
      <c r="AG2730" s="55">
        <f>IF(OR(T2730="",I2730&lt;T2730),"",IFERROR(AF2730/-(R2730/IF(G2730="",I2730,G2730)-1),""))</f>
        <v/>
      </c>
      <c r="AH2730" s="94" t="n"/>
      <c r="AI2730" s="94" t="n"/>
      <c r="AJ2730" s="94" t="n"/>
      <c r="AK2730" s="94" t="n"/>
      <c r="AL2730" s="84" t="n"/>
    </row>
    <row r="2731">
      <c r="A2731" s="64" t="n"/>
      <c r="B2731" s="65" t="n"/>
      <c r="C2731" s="66" t="n"/>
      <c r="D2731" s="67" t="n"/>
      <c r="E2731" s="68" t="n"/>
      <c r="F2731" s="47">
        <f>IF(A2731="","",IF(MIN(H2731,MAX(J2731:K2731))=0,"",MIN(H2731,MAX(J2731:K2731))))</f>
        <v/>
      </c>
      <c r="G2731" s="74" t="n"/>
      <c r="H2731" s="49">
        <f>IF(M2731="","",IFERROR(ROUND(AVERAGE(T2731+M2731*{7,8,9,10,11})/1.21,4),""))</f>
        <v/>
      </c>
      <c r="I2731" s="76" t="n"/>
      <c r="J2731" s="77" t="n"/>
      <c r="K2731" s="74" t="n"/>
      <c r="L2731" s="78" t="n"/>
      <c r="M2731" s="77" t="n"/>
      <c r="N2731" s="53">
        <f>IF(M2731="","",IFERROR(M2731/I2731,""))</f>
        <v/>
      </c>
      <c r="O2731" s="50">
        <f>IF(A2731="","",IFERROR((IF(G2731="",I2731,G2731)-T2731)/M2731,""))</f>
        <v/>
      </c>
      <c r="P2731" s="50">
        <f>IFERROR((I2731/T2731-1)/N2731,"")</f>
        <v/>
      </c>
      <c r="Q2731" s="46">
        <f>IF(OR(T2731="",I2731&lt;T2731),"",IFERROR(R2731/IF(G2731="",I2731,G2731)-1,""))</f>
        <v/>
      </c>
      <c r="R2731" s="48">
        <f>IF($M2731="","",MAX(IF($G2731="",$I2731,$G2731)*(1/1.1),IF($G2731="",$I2731,$G2731)+(R$2*$M2731)))</f>
        <v/>
      </c>
      <c r="S2731" s="49">
        <f>IF($M2731="","",MAX(IF($G2731="",$I2731,$G2731)*(1/1.1),IF($G2731="",$I2731,$G2731)+(S$2*$M2731)))</f>
        <v/>
      </c>
      <c r="T2731" s="82" t="n"/>
      <c r="U2731" s="47">
        <f>IF(OR($M2731="",$T2731=""),"",$T2731+(U$2*$M2731))</f>
        <v/>
      </c>
      <c r="V2731" s="48">
        <f>IF(OR($M2731="",$T2731=""),"",$T2731+(V$2*$M2731))</f>
        <v/>
      </c>
      <c r="W2731" s="48">
        <f>IF(OR($M2731="",$T2731=""),"",$T2731+(W$2*$M2731))</f>
        <v/>
      </c>
      <c r="X2731" s="49">
        <f>IF(OR($M2731="",$T2731=""),"",$T2731+(X$2*$M2731))</f>
        <v/>
      </c>
      <c r="Y2731" s="47">
        <f>IF(OR($M2731="",$T2731=""),"",$T2731+(Y$2*$M2731))</f>
        <v/>
      </c>
      <c r="Z2731" s="49">
        <f>IF(OR($M2731="",$T2731=""),"",$T2731+(Z$2*$M2731))</f>
        <v/>
      </c>
      <c r="AA2731" s="51">
        <f>IF(OR($M2731="",$T2731=""),"",$T2731+(AA$2*$M2731))</f>
        <v/>
      </c>
      <c r="AB2731" s="48">
        <f>IF(OR($M2731="",$T2731=""),"",$T2731+(AB$2*$M2731))</f>
        <v/>
      </c>
      <c r="AC2731" s="48">
        <f>IF(OR($M2731="",$T2731=""),"",$T2731+(AC$2*$M2731))</f>
        <v/>
      </c>
      <c r="AD2731" s="48">
        <f>IF(OR($M2731="",$T2731=""),"",$T2731+(AD$2*$M2731))</f>
        <v/>
      </c>
      <c r="AE2731" s="49">
        <f>IF(OR($M2731="",$T2731=""),"",$T2731+(AE$2*$M2731))</f>
        <v/>
      </c>
      <c r="AF2731" s="52">
        <f>IF(OR(T2731="",I2731&lt;T2731),"",IFERROR(AVERAGE(T2731+M2731*{7,8,9,10,11})/IF(G2731="",I2731,G2731)-1,""))</f>
        <v/>
      </c>
      <c r="AG2731" s="55">
        <f>IF(OR(T2731="",I2731&lt;T2731),"",IFERROR(AF2731/-(R2731/IF(G2731="",I2731,G2731)-1),""))</f>
        <v/>
      </c>
      <c r="AH2731" s="94" t="n"/>
      <c r="AI2731" s="94" t="n"/>
      <c r="AJ2731" s="94" t="n"/>
      <c r="AK2731" s="94" t="n"/>
      <c r="AL2731" s="84" t="n"/>
    </row>
    <row r="2732">
      <c r="A2732" s="64" t="n"/>
      <c r="B2732" s="65" t="n"/>
      <c r="C2732" s="66" t="n"/>
      <c r="D2732" s="67" t="n"/>
      <c r="E2732" s="68" t="n"/>
      <c r="F2732" s="47">
        <f>IF(A2732="","",IF(MIN(H2732,MAX(J2732:K2732))=0,"",MIN(H2732,MAX(J2732:K2732))))</f>
        <v/>
      </c>
      <c r="G2732" s="74" t="n"/>
      <c r="H2732" s="49">
        <f>IF(M2732="","",IFERROR(ROUND(AVERAGE(T2732+M2732*{7,8,9,10,11})/1.21,4),""))</f>
        <v/>
      </c>
      <c r="I2732" s="76" t="n"/>
      <c r="J2732" s="77" t="n"/>
      <c r="K2732" s="74" t="n"/>
      <c r="L2732" s="78" t="n"/>
      <c r="M2732" s="77" t="n"/>
      <c r="N2732" s="53">
        <f>IF(M2732="","",IFERROR(M2732/I2732,""))</f>
        <v/>
      </c>
      <c r="O2732" s="50">
        <f>IF(A2732="","",IFERROR((IF(G2732="",I2732,G2732)-T2732)/M2732,""))</f>
        <v/>
      </c>
      <c r="P2732" s="50">
        <f>IFERROR((I2732/T2732-1)/N2732,"")</f>
        <v/>
      </c>
      <c r="Q2732" s="46">
        <f>IF(OR(T2732="",I2732&lt;T2732),"",IFERROR(R2732/IF(G2732="",I2732,G2732)-1,""))</f>
        <v/>
      </c>
      <c r="R2732" s="48">
        <f>IF($M2732="","",MAX(IF($G2732="",$I2732,$G2732)*(1/1.1),IF($G2732="",$I2732,$G2732)+(R$2*$M2732)))</f>
        <v/>
      </c>
      <c r="S2732" s="49">
        <f>IF($M2732="","",MAX(IF($G2732="",$I2732,$G2732)*(1/1.1),IF($G2732="",$I2732,$G2732)+(S$2*$M2732)))</f>
        <v/>
      </c>
      <c r="T2732" s="82" t="n"/>
      <c r="U2732" s="47">
        <f>IF(OR($M2732="",$T2732=""),"",$T2732+(U$2*$M2732))</f>
        <v/>
      </c>
      <c r="V2732" s="48">
        <f>IF(OR($M2732="",$T2732=""),"",$T2732+(V$2*$M2732))</f>
        <v/>
      </c>
      <c r="W2732" s="48">
        <f>IF(OR($M2732="",$T2732=""),"",$T2732+(W$2*$M2732))</f>
        <v/>
      </c>
      <c r="X2732" s="49">
        <f>IF(OR($M2732="",$T2732=""),"",$T2732+(X$2*$M2732))</f>
        <v/>
      </c>
      <c r="Y2732" s="47">
        <f>IF(OR($M2732="",$T2732=""),"",$T2732+(Y$2*$M2732))</f>
        <v/>
      </c>
      <c r="Z2732" s="49">
        <f>IF(OR($M2732="",$T2732=""),"",$T2732+(Z$2*$M2732))</f>
        <v/>
      </c>
      <c r="AA2732" s="51">
        <f>IF(OR($M2732="",$T2732=""),"",$T2732+(AA$2*$M2732))</f>
        <v/>
      </c>
      <c r="AB2732" s="48">
        <f>IF(OR($M2732="",$T2732=""),"",$T2732+(AB$2*$M2732))</f>
        <v/>
      </c>
      <c r="AC2732" s="48">
        <f>IF(OR($M2732="",$T2732=""),"",$T2732+(AC$2*$M2732))</f>
        <v/>
      </c>
      <c r="AD2732" s="48">
        <f>IF(OR($M2732="",$T2732=""),"",$T2732+(AD$2*$M2732))</f>
        <v/>
      </c>
      <c r="AE2732" s="49">
        <f>IF(OR($M2732="",$T2732=""),"",$T2732+(AE$2*$M2732))</f>
        <v/>
      </c>
      <c r="AF2732" s="52">
        <f>IF(OR(T2732="",I2732&lt;T2732),"",IFERROR(AVERAGE(T2732+M2732*{7,8,9,10,11})/IF(G2732="",I2732,G2732)-1,""))</f>
        <v/>
      </c>
      <c r="AG2732" s="55">
        <f>IF(OR(T2732="",I2732&lt;T2732),"",IFERROR(AF2732/-(R2732/IF(G2732="",I2732,G2732)-1),""))</f>
        <v/>
      </c>
      <c r="AH2732" s="94" t="n"/>
      <c r="AI2732" s="94" t="n"/>
      <c r="AJ2732" s="94" t="n"/>
      <c r="AK2732" s="94" t="n"/>
      <c r="AL2732" s="84" t="n"/>
    </row>
    <row r="2733">
      <c r="A2733" s="64" t="n"/>
      <c r="B2733" s="65" t="n"/>
      <c r="C2733" s="66" t="n"/>
      <c r="D2733" s="67" t="n"/>
      <c r="E2733" s="68" t="n"/>
      <c r="F2733" s="47">
        <f>IF(A2733="","",IF(MIN(H2733,MAX(J2733:K2733))=0,"",MIN(H2733,MAX(J2733:K2733))))</f>
        <v/>
      </c>
      <c r="G2733" s="74" t="n"/>
      <c r="H2733" s="49">
        <f>IF(M2733="","",IFERROR(ROUND(AVERAGE(T2733+M2733*{7,8,9,10,11})/1.21,4),""))</f>
        <v/>
      </c>
      <c r="I2733" s="76" t="n"/>
      <c r="J2733" s="77" t="n"/>
      <c r="K2733" s="74" t="n"/>
      <c r="L2733" s="78" t="n"/>
      <c r="M2733" s="77" t="n"/>
      <c r="N2733" s="53">
        <f>IF(M2733="","",IFERROR(M2733/I2733,""))</f>
        <v/>
      </c>
      <c r="O2733" s="50">
        <f>IF(A2733="","",IFERROR((IF(G2733="",I2733,G2733)-T2733)/M2733,""))</f>
        <v/>
      </c>
      <c r="P2733" s="50">
        <f>IFERROR((I2733/T2733-1)/N2733,"")</f>
        <v/>
      </c>
      <c r="Q2733" s="46">
        <f>IF(OR(T2733="",I2733&lt;T2733),"",IFERROR(R2733/IF(G2733="",I2733,G2733)-1,""))</f>
        <v/>
      </c>
      <c r="R2733" s="48">
        <f>IF($M2733="","",MAX(IF($G2733="",$I2733,$G2733)*(1/1.1),IF($G2733="",$I2733,$G2733)+(R$2*$M2733)))</f>
        <v/>
      </c>
      <c r="S2733" s="49">
        <f>IF($M2733="","",MAX(IF($G2733="",$I2733,$G2733)*(1/1.1),IF($G2733="",$I2733,$G2733)+(S$2*$M2733)))</f>
        <v/>
      </c>
      <c r="T2733" s="82" t="n"/>
      <c r="U2733" s="47">
        <f>IF(OR($M2733="",$T2733=""),"",$T2733+(U$2*$M2733))</f>
        <v/>
      </c>
      <c r="V2733" s="48">
        <f>IF(OR($M2733="",$T2733=""),"",$T2733+(V$2*$M2733))</f>
        <v/>
      </c>
      <c r="W2733" s="48">
        <f>IF(OR($M2733="",$T2733=""),"",$T2733+(W$2*$M2733))</f>
        <v/>
      </c>
      <c r="X2733" s="49">
        <f>IF(OR($M2733="",$T2733=""),"",$T2733+(X$2*$M2733))</f>
        <v/>
      </c>
      <c r="Y2733" s="47">
        <f>IF(OR($M2733="",$T2733=""),"",$T2733+(Y$2*$M2733))</f>
        <v/>
      </c>
      <c r="Z2733" s="49">
        <f>IF(OR($M2733="",$T2733=""),"",$T2733+(Z$2*$M2733))</f>
        <v/>
      </c>
      <c r="AA2733" s="51">
        <f>IF(OR($M2733="",$T2733=""),"",$T2733+(AA$2*$M2733))</f>
        <v/>
      </c>
      <c r="AB2733" s="48">
        <f>IF(OR($M2733="",$T2733=""),"",$T2733+(AB$2*$M2733))</f>
        <v/>
      </c>
      <c r="AC2733" s="48">
        <f>IF(OR($M2733="",$T2733=""),"",$T2733+(AC$2*$M2733))</f>
        <v/>
      </c>
      <c r="AD2733" s="48">
        <f>IF(OR($M2733="",$T2733=""),"",$T2733+(AD$2*$M2733))</f>
        <v/>
      </c>
      <c r="AE2733" s="49">
        <f>IF(OR($M2733="",$T2733=""),"",$T2733+(AE$2*$M2733))</f>
        <v/>
      </c>
      <c r="AF2733" s="52">
        <f>IF(OR(T2733="",I2733&lt;T2733),"",IFERROR(AVERAGE(T2733+M2733*{7,8,9,10,11})/IF(G2733="",I2733,G2733)-1,""))</f>
        <v/>
      </c>
      <c r="AG2733" s="55">
        <f>IF(OR(T2733="",I2733&lt;T2733),"",IFERROR(AF2733/-(R2733/IF(G2733="",I2733,G2733)-1),""))</f>
        <v/>
      </c>
      <c r="AH2733" s="94" t="n"/>
      <c r="AI2733" s="94" t="n"/>
      <c r="AJ2733" s="94" t="n"/>
      <c r="AK2733" s="94" t="n"/>
      <c r="AL2733" s="84" t="n"/>
    </row>
    <row r="2734">
      <c r="A2734" s="64" t="n"/>
      <c r="B2734" s="65" t="n"/>
      <c r="C2734" s="66" t="n"/>
      <c r="D2734" s="67" t="n"/>
      <c r="E2734" s="68" t="n"/>
      <c r="F2734" s="47">
        <f>IF(A2734="","",IF(MIN(H2734,MAX(J2734:K2734))=0,"",MIN(H2734,MAX(J2734:K2734))))</f>
        <v/>
      </c>
      <c r="G2734" s="74" t="n"/>
      <c r="H2734" s="49">
        <f>IF(M2734="","",IFERROR(ROUND(AVERAGE(T2734+M2734*{7,8,9,10,11})/1.21,4),""))</f>
        <v/>
      </c>
      <c r="I2734" s="76" t="n"/>
      <c r="J2734" s="77" t="n"/>
      <c r="K2734" s="74" t="n"/>
      <c r="L2734" s="78" t="n"/>
      <c r="M2734" s="77" t="n"/>
      <c r="N2734" s="53">
        <f>IF(M2734="","",IFERROR(M2734/I2734,""))</f>
        <v/>
      </c>
      <c r="O2734" s="50">
        <f>IF(A2734="","",IFERROR((IF(G2734="",I2734,G2734)-T2734)/M2734,""))</f>
        <v/>
      </c>
      <c r="P2734" s="50">
        <f>IFERROR((I2734/T2734-1)/N2734,"")</f>
        <v/>
      </c>
      <c r="Q2734" s="46">
        <f>IF(OR(T2734="",I2734&lt;T2734),"",IFERROR(R2734/IF(G2734="",I2734,G2734)-1,""))</f>
        <v/>
      </c>
      <c r="R2734" s="48">
        <f>IF($M2734="","",MAX(IF($G2734="",$I2734,$G2734)*(1/1.1),IF($G2734="",$I2734,$G2734)+(R$2*$M2734)))</f>
        <v/>
      </c>
      <c r="S2734" s="49">
        <f>IF($M2734="","",MAX(IF($G2734="",$I2734,$G2734)*(1/1.1),IF($G2734="",$I2734,$G2734)+(S$2*$M2734)))</f>
        <v/>
      </c>
      <c r="T2734" s="82" t="n"/>
      <c r="U2734" s="47">
        <f>IF(OR($M2734="",$T2734=""),"",$T2734+(U$2*$M2734))</f>
        <v/>
      </c>
      <c r="V2734" s="48">
        <f>IF(OR($M2734="",$T2734=""),"",$T2734+(V$2*$M2734))</f>
        <v/>
      </c>
      <c r="W2734" s="48">
        <f>IF(OR($M2734="",$T2734=""),"",$T2734+(W$2*$M2734))</f>
        <v/>
      </c>
      <c r="X2734" s="49">
        <f>IF(OR($M2734="",$T2734=""),"",$T2734+(X$2*$M2734))</f>
        <v/>
      </c>
      <c r="Y2734" s="47">
        <f>IF(OR($M2734="",$T2734=""),"",$T2734+(Y$2*$M2734))</f>
        <v/>
      </c>
      <c r="Z2734" s="49">
        <f>IF(OR($M2734="",$T2734=""),"",$T2734+(Z$2*$M2734))</f>
        <v/>
      </c>
      <c r="AA2734" s="51">
        <f>IF(OR($M2734="",$T2734=""),"",$T2734+(AA$2*$M2734))</f>
        <v/>
      </c>
      <c r="AB2734" s="48">
        <f>IF(OR($M2734="",$T2734=""),"",$T2734+(AB$2*$M2734))</f>
        <v/>
      </c>
      <c r="AC2734" s="48">
        <f>IF(OR($M2734="",$T2734=""),"",$T2734+(AC$2*$M2734))</f>
        <v/>
      </c>
      <c r="AD2734" s="48">
        <f>IF(OR($M2734="",$T2734=""),"",$T2734+(AD$2*$M2734))</f>
        <v/>
      </c>
      <c r="AE2734" s="49">
        <f>IF(OR($M2734="",$T2734=""),"",$T2734+(AE$2*$M2734))</f>
        <v/>
      </c>
      <c r="AF2734" s="52">
        <f>IF(OR(T2734="",I2734&lt;T2734),"",IFERROR(AVERAGE(T2734+M2734*{7,8,9,10,11})/IF(G2734="",I2734,G2734)-1,""))</f>
        <v/>
      </c>
      <c r="AG2734" s="55">
        <f>IF(OR(T2734="",I2734&lt;T2734),"",IFERROR(AF2734/-(R2734/IF(G2734="",I2734,G2734)-1),""))</f>
        <v/>
      </c>
      <c r="AH2734" s="94" t="n"/>
      <c r="AI2734" s="94" t="n"/>
      <c r="AJ2734" s="94" t="n"/>
      <c r="AK2734" s="94" t="n"/>
      <c r="AL2734" s="84" t="n"/>
    </row>
    <row r="2735">
      <c r="A2735" s="64" t="n"/>
      <c r="B2735" s="65" t="n"/>
      <c r="C2735" s="66" t="n"/>
      <c r="D2735" s="67" t="n"/>
      <c r="E2735" s="68" t="n"/>
      <c r="F2735" s="47">
        <f>IF(A2735="","",IF(MIN(H2735,MAX(J2735:K2735))=0,"",MIN(H2735,MAX(J2735:K2735))))</f>
        <v/>
      </c>
      <c r="G2735" s="74" t="n"/>
      <c r="H2735" s="49">
        <f>IF(M2735="","",IFERROR(ROUND(AVERAGE(T2735+M2735*{7,8,9,10,11})/1.21,4),""))</f>
        <v/>
      </c>
      <c r="I2735" s="76" t="n"/>
      <c r="J2735" s="77" t="n"/>
      <c r="K2735" s="74" t="n"/>
      <c r="L2735" s="78" t="n"/>
      <c r="M2735" s="77" t="n"/>
      <c r="N2735" s="53">
        <f>IF(M2735="","",IFERROR(M2735/I2735,""))</f>
        <v/>
      </c>
      <c r="O2735" s="50">
        <f>IF(A2735="","",IFERROR((IF(G2735="",I2735,G2735)-T2735)/M2735,""))</f>
        <v/>
      </c>
      <c r="P2735" s="50">
        <f>IFERROR((I2735/T2735-1)/N2735,"")</f>
        <v/>
      </c>
      <c r="Q2735" s="46">
        <f>IF(OR(T2735="",I2735&lt;T2735),"",IFERROR(R2735/IF(G2735="",I2735,G2735)-1,""))</f>
        <v/>
      </c>
      <c r="R2735" s="48">
        <f>IF($M2735="","",MAX(IF($G2735="",$I2735,$G2735)*(1/1.1),IF($G2735="",$I2735,$G2735)+(R$2*$M2735)))</f>
        <v/>
      </c>
      <c r="S2735" s="49">
        <f>IF($M2735="","",MAX(IF($G2735="",$I2735,$G2735)*(1/1.1),IF($G2735="",$I2735,$G2735)+(S$2*$M2735)))</f>
        <v/>
      </c>
      <c r="T2735" s="82" t="n"/>
      <c r="U2735" s="47">
        <f>IF(OR($M2735="",$T2735=""),"",$T2735+(U$2*$M2735))</f>
        <v/>
      </c>
      <c r="V2735" s="48">
        <f>IF(OR($M2735="",$T2735=""),"",$T2735+(V$2*$M2735))</f>
        <v/>
      </c>
      <c r="W2735" s="48">
        <f>IF(OR($M2735="",$T2735=""),"",$T2735+(W$2*$M2735))</f>
        <v/>
      </c>
      <c r="X2735" s="49">
        <f>IF(OR($M2735="",$T2735=""),"",$T2735+(X$2*$M2735))</f>
        <v/>
      </c>
      <c r="Y2735" s="47">
        <f>IF(OR($M2735="",$T2735=""),"",$T2735+(Y$2*$M2735))</f>
        <v/>
      </c>
      <c r="Z2735" s="49">
        <f>IF(OR($M2735="",$T2735=""),"",$T2735+(Z$2*$M2735))</f>
        <v/>
      </c>
      <c r="AA2735" s="51">
        <f>IF(OR($M2735="",$T2735=""),"",$T2735+(AA$2*$M2735))</f>
        <v/>
      </c>
      <c r="AB2735" s="48">
        <f>IF(OR($M2735="",$T2735=""),"",$T2735+(AB$2*$M2735))</f>
        <v/>
      </c>
      <c r="AC2735" s="48">
        <f>IF(OR($M2735="",$T2735=""),"",$T2735+(AC$2*$M2735))</f>
        <v/>
      </c>
      <c r="AD2735" s="48">
        <f>IF(OR($M2735="",$T2735=""),"",$T2735+(AD$2*$M2735))</f>
        <v/>
      </c>
      <c r="AE2735" s="49">
        <f>IF(OR($M2735="",$T2735=""),"",$T2735+(AE$2*$M2735))</f>
        <v/>
      </c>
      <c r="AF2735" s="52">
        <f>IF(OR(T2735="",I2735&lt;T2735),"",IFERROR(AVERAGE(T2735+M2735*{7,8,9,10,11})/IF(G2735="",I2735,G2735)-1,""))</f>
        <v/>
      </c>
      <c r="AG2735" s="55">
        <f>IF(OR(T2735="",I2735&lt;T2735),"",IFERROR(AF2735/-(R2735/IF(G2735="",I2735,G2735)-1),""))</f>
        <v/>
      </c>
      <c r="AH2735" s="94" t="n"/>
      <c r="AI2735" s="94" t="n"/>
      <c r="AJ2735" s="94" t="n"/>
      <c r="AK2735" s="94" t="n"/>
      <c r="AL2735" s="84" t="n"/>
    </row>
    <row r="2736">
      <c r="A2736" s="64" t="n"/>
      <c r="B2736" s="65" t="n"/>
      <c r="C2736" s="66" t="n"/>
      <c r="D2736" s="67" t="n"/>
      <c r="E2736" s="68" t="n"/>
      <c r="F2736" s="47">
        <f>IF(A2736="","",IF(MIN(H2736,MAX(J2736:K2736))=0,"",MIN(H2736,MAX(J2736:K2736))))</f>
        <v/>
      </c>
      <c r="G2736" s="74" t="n"/>
      <c r="H2736" s="49">
        <f>IF(M2736="","",IFERROR(ROUND(AVERAGE(T2736+M2736*{7,8,9,10,11})/1.21,4),""))</f>
        <v/>
      </c>
      <c r="I2736" s="76" t="n"/>
      <c r="J2736" s="77" t="n"/>
      <c r="K2736" s="74" t="n"/>
      <c r="L2736" s="78" t="n"/>
      <c r="M2736" s="77" t="n"/>
      <c r="N2736" s="53">
        <f>IF(M2736="","",IFERROR(M2736/I2736,""))</f>
        <v/>
      </c>
      <c r="O2736" s="50">
        <f>IF(A2736="","",IFERROR((IF(G2736="",I2736,G2736)-T2736)/M2736,""))</f>
        <v/>
      </c>
      <c r="P2736" s="50">
        <f>IFERROR((I2736/T2736-1)/N2736,"")</f>
        <v/>
      </c>
      <c r="Q2736" s="46">
        <f>IF(OR(T2736="",I2736&lt;T2736),"",IFERROR(R2736/IF(G2736="",I2736,G2736)-1,""))</f>
        <v/>
      </c>
      <c r="R2736" s="48">
        <f>IF($M2736="","",MAX(IF($G2736="",$I2736,$G2736)*(1/1.1),IF($G2736="",$I2736,$G2736)+(R$2*$M2736)))</f>
        <v/>
      </c>
      <c r="S2736" s="49">
        <f>IF($M2736="","",MAX(IF($G2736="",$I2736,$G2736)*(1/1.1),IF($G2736="",$I2736,$G2736)+(S$2*$M2736)))</f>
        <v/>
      </c>
      <c r="T2736" s="82" t="n"/>
      <c r="U2736" s="47">
        <f>IF(OR($M2736="",$T2736=""),"",$T2736+(U$2*$M2736))</f>
        <v/>
      </c>
      <c r="V2736" s="48">
        <f>IF(OR($M2736="",$T2736=""),"",$T2736+(V$2*$M2736))</f>
        <v/>
      </c>
      <c r="W2736" s="48">
        <f>IF(OR($M2736="",$T2736=""),"",$T2736+(W$2*$M2736))</f>
        <v/>
      </c>
      <c r="X2736" s="49">
        <f>IF(OR($M2736="",$T2736=""),"",$T2736+(X$2*$M2736))</f>
        <v/>
      </c>
      <c r="Y2736" s="47">
        <f>IF(OR($M2736="",$T2736=""),"",$T2736+(Y$2*$M2736))</f>
        <v/>
      </c>
      <c r="Z2736" s="49">
        <f>IF(OR($M2736="",$T2736=""),"",$T2736+(Z$2*$M2736))</f>
        <v/>
      </c>
      <c r="AA2736" s="51">
        <f>IF(OR($M2736="",$T2736=""),"",$T2736+(AA$2*$M2736))</f>
        <v/>
      </c>
      <c r="AB2736" s="48">
        <f>IF(OR($M2736="",$T2736=""),"",$T2736+(AB$2*$M2736))</f>
        <v/>
      </c>
      <c r="AC2736" s="48">
        <f>IF(OR($M2736="",$T2736=""),"",$T2736+(AC$2*$M2736))</f>
        <v/>
      </c>
      <c r="AD2736" s="48">
        <f>IF(OR($M2736="",$T2736=""),"",$T2736+(AD$2*$M2736))</f>
        <v/>
      </c>
      <c r="AE2736" s="49">
        <f>IF(OR($M2736="",$T2736=""),"",$T2736+(AE$2*$M2736))</f>
        <v/>
      </c>
      <c r="AF2736" s="52">
        <f>IF(OR(T2736="",I2736&lt;T2736),"",IFERROR(AVERAGE(T2736+M2736*{7,8,9,10,11})/IF(G2736="",I2736,G2736)-1,""))</f>
        <v/>
      </c>
      <c r="AG2736" s="55">
        <f>IF(OR(T2736="",I2736&lt;T2736),"",IFERROR(AF2736/-(R2736/IF(G2736="",I2736,G2736)-1),""))</f>
        <v/>
      </c>
      <c r="AH2736" s="94" t="n"/>
      <c r="AI2736" s="94" t="n"/>
      <c r="AJ2736" s="94" t="n"/>
      <c r="AK2736" s="94" t="n"/>
      <c r="AL2736" s="84" t="n"/>
    </row>
    <row r="2737">
      <c r="A2737" s="64" t="n"/>
      <c r="B2737" s="65" t="n"/>
      <c r="C2737" s="66" t="n"/>
      <c r="D2737" s="67" t="n"/>
      <c r="E2737" s="68" t="n"/>
      <c r="F2737" s="47">
        <f>IF(A2737="","",IF(MIN(H2737,MAX(J2737:K2737))=0,"",MIN(H2737,MAX(J2737:K2737))))</f>
        <v/>
      </c>
      <c r="G2737" s="74" t="n"/>
      <c r="H2737" s="49">
        <f>IF(M2737="","",IFERROR(ROUND(AVERAGE(T2737+M2737*{7,8,9,10,11})/1.21,4),""))</f>
        <v/>
      </c>
      <c r="I2737" s="76" t="n"/>
      <c r="J2737" s="77" t="n"/>
      <c r="K2737" s="74" t="n"/>
      <c r="L2737" s="78" t="n"/>
      <c r="M2737" s="77" t="n"/>
      <c r="N2737" s="53">
        <f>IF(M2737="","",IFERROR(M2737/I2737,""))</f>
        <v/>
      </c>
      <c r="O2737" s="50">
        <f>IF(A2737="","",IFERROR((IF(G2737="",I2737,G2737)-T2737)/M2737,""))</f>
        <v/>
      </c>
      <c r="P2737" s="50">
        <f>IFERROR((I2737/T2737-1)/N2737,"")</f>
        <v/>
      </c>
      <c r="Q2737" s="46">
        <f>IF(OR(T2737="",I2737&lt;T2737),"",IFERROR(R2737/IF(G2737="",I2737,G2737)-1,""))</f>
        <v/>
      </c>
      <c r="R2737" s="48">
        <f>IF($M2737="","",MAX(IF($G2737="",$I2737,$G2737)*(1/1.1),IF($G2737="",$I2737,$G2737)+(R$2*$M2737)))</f>
        <v/>
      </c>
      <c r="S2737" s="49">
        <f>IF($M2737="","",MAX(IF($G2737="",$I2737,$G2737)*(1/1.1),IF($G2737="",$I2737,$G2737)+(S$2*$M2737)))</f>
        <v/>
      </c>
      <c r="T2737" s="82" t="n"/>
      <c r="U2737" s="47">
        <f>IF(OR($M2737="",$T2737=""),"",$T2737+(U$2*$M2737))</f>
        <v/>
      </c>
      <c r="V2737" s="48">
        <f>IF(OR($M2737="",$T2737=""),"",$T2737+(V$2*$M2737))</f>
        <v/>
      </c>
      <c r="W2737" s="48">
        <f>IF(OR($M2737="",$T2737=""),"",$T2737+(W$2*$M2737))</f>
        <v/>
      </c>
      <c r="X2737" s="49">
        <f>IF(OR($M2737="",$T2737=""),"",$T2737+(X$2*$M2737))</f>
        <v/>
      </c>
      <c r="Y2737" s="47">
        <f>IF(OR($M2737="",$T2737=""),"",$T2737+(Y$2*$M2737))</f>
        <v/>
      </c>
      <c r="Z2737" s="49">
        <f>IF(OR($M2737="",$T2737=""),"",$T2737+(Z$2*$M2737))</f>
        <v/>
      </c>
      <c r="AA2737" s="51">
        <f>IF(OR($M2737="",$T2737=""),"",$T2737+(AA$2*$M2737))</f>
        <v/>
      </c>
      <c r="AB2737" s="48">
        <f>IF(OR($M2737="",$T2737=""),"",$T2737+(AB$2*$M2737))</f>
        <v/>
      </c>
      <c r="AC2737" s="48">
        <f>IF(OR($M2737="",$T2737=""),"",$T2737+(AC$2*$M2737))</f>
        <v/>
      </c>
      <c r="AD2737" s="48">
        <f>IF(OR($M2737="",$T2737=""),"",$T2737+(AD$2*$M2737))</f>
        <v/>
      </c>
      <c r="AE2737" s="49">
        <f>IF(OR($M2737="",$T2737=""),"",$T2737+(AE$2*$M2737))</f>
        <v/>
      </c>
      <c r="AF2737" s="52">
        <f>IF(OR(T2737="",I2737&lt;T2737),"",IFERROR(AVERAGE(T2737+M2737*{7,8,9,10,11})/IF(G2737="",I2737,G2737)-1,""))</f>
        <v/>
      </c>
      <c r="AG2737" s="55">
        <f>IF(OR(T2737="",I2737&lt;T2737),"",IFERROR(AF2737/-(R2737/IF(G2737="",I2737,G2737)-1),""))</f>
        <v/>
      </c>
      <c r="AH2737" s="94" t="n"/>
      <c r="AI2737" s="94" t="n"/>
      <c r="AJ2737" s="94" t="n"/>
      <c r="AK2737" s="94" t="n"/>
      <c r="AL2737" s="84" t="n"/>
    </row>
    <row r="2738">
      <c r="A2738" s="64" t="n"/>
      <c r="B2738" s="65" t="n"/>
      <c r="C2738" s="66" t="n"/>
      <c r="D2738" s="67" t="n"/>
      <c r="E2738" s="68" t="n"/>
      <c r="F2738" s="47">
        <f>IF(A2738="","",IF(MIN(H2738,MAX(J2738:K2738))=0,"",MIN(H2738,MAX(J2738:K2738))))</f>
        <v/>
      </c>
      <c r="G2738" s="74" t="n"/>
      <c r="H2738" s="49">
        <f>IF(M2738="","",IFERROR(ROUND(AVERAGE(T2738+M2738*{7,8,9,10,11})/1.21,4),""))</f>
        <v/>
      </c>
      <c r="I2738" s="76" t="n"/>
      <c r="J2738" s="77" t="n"/>
      <c r="K2738" s="74" t="n"/>
      <c r="L2738" s="78" t="n"/>
      <c r="M2738" s="77" t="n"/>
      <c r="N2738" s="53">
        <f>IF(M2738="","",IFERROR(M2738/I2738,""))</f>
        <v/>
      </c>
      <c r="O2738" s="50">
        <f>IF(A2738="","",IFERROR((IF(G2738="",I2738,G2738)-T2738)/M2738,""))</f>
        <v/>
      </c>
      <c r="P2738" s="50">
        <f>IFERROR((I2738/T2738-1)/N2738,"")</f>
        <v/>
      </c>
      <c r="Q2738" s="46">
        <f>IF(OR(T2738="",I2738&lt;T2738),"",IFERROR(R2738/IF(G2738="",I2738,G2738)-1,""))</f>
        <v/>
      </c>
      <c r="R2738" s="48">
        <f>IF($M2738="","",MAX(IF($G2738="",$I2738,$G2738)*(1/1.1),IF($G2738="",$I2738,$G2738)+(R$2*$M2738)))</f>
        <v/>
      </c>
      <c r="S2738" s="49">
        <f>IF($M2738="","",MAX(IF($G2738="",$I2738,$G2738)*(1/1.1),IF($G2738="",$I2738,$G2738)+(S$2*$M2738)))</f>
        <v/>
      </c>
      <c r="T2738" s="82" t="n"/>
      <c r="U2738" s="47">
        <f>IF(OR($M2738="",$T2738=""),"",$T2738+(U$2*$M2738))</f>
        <v/>
      </c>
      <c r="V2738" s="48">
        <f>IF(OR($M2738="",$T2738=""),"",$T2738+(V$2*$M2738))</f>
        <v/>
      </c>
      <c r="W2738" s="48">
        <f>IF(OR($M2738="",$T2738=""),"",$T2738+(W$2*$M2738))</f>
        <v/>
      </c>
      <c r="X2738" s="49">
        <f>IF(OR($M2738="",$T2738=""),"",$T2738+(X$2*$M2738))</f>
        <v/>
      </c>
      <c r="Y2738" s="47">
        <f>IF(OR($M2738="",$T2738=""),"",$T2738+(Y$2*$M2738))</f>
        <v/>
      </c>
      <c r="Z2738" s="49">
        <f>IF(OR($M2738="",$T2738=""),"",$T2738+(Z$2*$M2738))</f>
        <v/>
      </c>
      <c r="AA2738" s="51">
        <f>IF(OR($M2738="",$T2738=""),"",$T2738+(AA$2*$M2738))</f>
        <v/>
      </c>
      <c r="AB2738" s="48">
        <f>IF(OR($M2738="",$T2738=""),"",$T2738+(AB$2*$M2738))</f>
        <v/>
      </c>
      <c r="AC2738" s="48">
        <f>IF(OR($M2738="",$T2738=""),"",$T2738+(AC$2*$M2738))</f>
        <v/>
      </c>
      <c r="AD2738" s="48">
        <f>IF(OR($M2738="",$T2738=""),"",$T2738+(AD$2*$M2738))</f>
        <v/>
      </c>
      <c r="AE2738" s="49">
        <f>IF(OR($M2738="",$T2738=""),"",$T2738+(AE$2*$M2738))</f>
        <v/>
      </c>
      <c r="AF2738" s="52">
        <f>IF(OR(T2738="",I2738&lt;T2738),"",IFERROR(AVERAGE(T2738+M2738*{7,8,9,10,11})/IF(G2738="",I2738,G2738)-1,""))</f>
        <v/>
      </c>
      <c r="AG2738" s="55">
        <f>IF(OR(T2738="",I2738&lt;T2738),"",IFERROR(AF2738/-(R2738/IF(G2738="",I2738,G2738)-1),""))</f>
        <v/>
      </c>
      <c r="AH2738" s="94" t="n"/>
      <c r="AI2738" s="94" t="n"/>
      <c r="AJ2738" s="94" t="n"/>
      <c r="AK2738" s="94" t="n"/>
      <c r="AL2738" s="84" t="n"/>
    </row>
    <row r="2739">
      <c r="A2739" s="64" t="n"/>
      <c r="B2739" s="65" t="n"/>
      <c r="C2739" s="66" t="n"/>
      <c r="D2739" s="67" t="n"/>
      <c r="E2739" s="68" t="n"/>
      <c r="F2739" s="47">
        <f>IF(A2739="","",IF(MIN(H2739,MAX(J2739:K2739))=0,"",MIN(H2739,MAX(J2739:K2739))))</f>
        <v/>
      </c>
      <c r="G2739" s="74" t="n"/>
      <c r="H2739" s="49">
        <f>IF(M2739="","",IFERROR(ROUND(AVERAGE(T2739+M2739*{7,8,9,10,11})/1.21,4),""))</f>
        <v/>
      </c>
      <c r="I2739" s="76" t="n"/>
      <c r="J2739" s="77" t="n"/>
      <c r="K2739" s="74" t="n"/>
      <c r="L2739" s="78" t="n"/>
      <c r="M2739" s="77" t="n"/>
      <c r="N2739" s="53">
        <f>IF(M2739="","",IFERROR(M2739/I2739,""))</f>
        <v/>
      </c>
      <c r="O2739" s="50">
        <f>IF(A2739="","",IFERROR((IF(G2739="",I2739,G2739)-T2739)/M2739,""))</f>
        <v/>
      </c>
      <c r="P2739" s="50">
        <f>IFERROR((I2739/T2739-1)/N2739,"")</f>
        <v/>
      </c>
      <c r="Q2739" s="46">
        <f>IF(OR(T2739="",I2739&lt;T2739),"",IFERROR(R2739/IF(G2739="",I2739,G2739)-1,""))</f>
        <v/>
      </c>
      <c r="R2739" s="48">
        <f>IF($M2739="","",MAX(IF($G2739="",$I2739,$G2739)*(1/1.1),IF($G2739="",$I2739,$G2739)+(R$2*$M2739)))</f>
        <v/>
      </c>
      <c r="S2739" s="49">
        <f>IF($M2739="","",MAX(IF($G2739="",$I2739,$G2739)*(1/1.1),IF($G2739="",$I2739,$G2739)+(S$2*$M2739)))</f>
        <v/>
      </c>
      <c r="T2739" s="82" t="n"/>
      <c r="U2739" s="47">
        <f>IF(OR($M2739="",$T2739=""),"",$T2739+(U$2*$M2739))</f>
        <v/>
      </c>
      <c r="V2739" s="48">
        <f>IF(OR($M2739="",$T2739=""),"",$T2739+(V$2*$M2739))</f>
        <v/>
      </c>
      <c r="W2739" s="48">
        <f>IF(OR($M2739="",$T2739=""),"",$T2739+(W$2*$M2739))</f>
        <v/>
      </c>
      <c r="X2739" s="49">
        <f>IF(OR($M2739="",$T2739=""),"",$T2739+(X$2*$M2739))</f>
        <v/>
      </c>
      <c r="Y2739" s="47">
        <f>IF(OR($M2739="",$T2739=""),"",$T2739+(Y$2*$M2739))</f>
        <v/>
      </c>
      <c r="Z2739" s="49">
        <f>IF(OR($M2739="",$T2739=""),"",$T2739+(Z$2*$M2739))</f>
        <v/>
      </c>
      <c r="AA2739" s="51">
        <f>IF(OR($M2739="",$T2739=""),"",$T2739+(AA$2*$M2739))</f>
        <v/>
      </c>
      <c r="AB2739" s="48">
        <f>IF(OR($M2739="",$T2739=""),"",$T2739+(AB$2*$M2739))</f>
        <v/>
      </c>
      <c r="AC2739" s="48">
        <f>IF(OR($M2739="",$T2739=""),"",$T2739+(AC$2*$M2739))</f>
        <v/>
      </c>
      <c r="AD2739" s="48">
        <f>IF(OR($M2739="",$T2739=""),"",$T2739+(AD$2*$M2739))</f>
        <v/>
      </c>
      <c r="AE2739" s="49">
        <f>IF(OR($M2739="",$T2739=""),"",$T2739+(AE$2*$M2739))</f>
        <v/>
      </c>
      <c r="AF2739" s="52">
        <f>IF(OR(T2739="",I2739&lt;T2739),"",IFERROR(AVERAGE(T2739+M2739*{7,8,9,10,11})/IF(G2739="",I2739,G2739)-1,""))</f>
        <v/>
      </c>
      <c r="AG2739" s="55">
        <f>IF(OR(T2739="",I2739&lt;T2739),"",IFERROR(AF2739/-(R2739/IF(G2739="",I2739,G2739)-1),""))</f>
        <v/>
      </c>
      <c r="AH2739" s="94" t="n"/>
      <c r="AI2739" s="94" t="n"/>
      <c r="AJ2739" s="94" t="n"/>
      <c r="AK2739" s="94" t="n"/>
      <c r="AL2739" s="84" t="n"/>
    </row>
    <row r="2740">
      <c r="A2740" s="64" t="n"/>
      <c r="B2740" s="65" t="n"/>
      <c r="C2740" s="66" t="n"/>
      <c r="D2740" s="67" t="n"/>
      <c r="E2740" s="68" t="n"/>
      <c r="F2740" s="47">
        <f>IF(A2740="","",IF(MIN(H2740,MAX(J2740:K2740))=0,"",MIN(H2740,MAX(J2740:K2740))))</f>
        <v/>
      </c>
      <c r="G2740" s="74" t="n"/>
      <c r="H2740" s="49">
        <f>IF(M2740="","",IFERROR(ROUND(AVERAGE(T2740+M2740*{7,8,9,10,11})/1.21,4),""))</f>
        <v/>
      </c>
      <c r="I2740" s="76" t="n"/>
      <c r="J2740" s="77" t="n"/>
      <c r="K2740" s="74" t="n"/>
      <c r="L2740" s="78" t="n"/>
      <c r="M2740" s="77" t="n"/>
      <c r="N2740" s="53">
        <f>IF(M2740="","",IFERROR(M2740/I2740,""))</f>
        <v/>
      </c>
      <c r="O2740" s="50">
        <f>IF(A2740="","",IFERROR((IF(G2740="",I2740,G2740)-T2740)/M2740,""))</f>
        <v/>
      </c>
      <c r="P2740" s="50">
        <f>IFERROR((I2740/T2740-1)/N2740,"")</f>
        <v/>
      </c>
      <c r="Q2740" s="46">
        <f>IF(OR(T2740="",I2740&lt;T2740),"",IFERROR(R2740/IF(G2740="",I2740,G2740)-1,""))</f>
        <v/>
      </c>
      <c r="R2740" s="48">
        <f>IF($M2740="","",MAX(IF($G2740="",$I2740,$G2740)*(1/1.1),IF($G2740="",$I2740,$G2740)+(R$2*$M2740)))</f>
        <v/>
      </c>
      <c r="S2740" s="49">
        <f>IF($M2740="","",MAX(IF($G2740="",$I2740,$G2740)*(1/1.1),IF($G2740="",$I2740,$G2740)+(S$2*$M2740)))</f>
        <v/>
      </c>
      <c r="T2740" s="82" t="n"/>
      <c r="U2740" s="47">
        <f>IF(OR($M2740="",$T2740=""),"",$T2740+(U$2*$M2740))</f>
        <v/>
      </c>
      <c r="V2740" s="48">
        <f>IF(OR($M2740="",$T2740=""),"",$T2740+(V$2*$M2740))</f>
        <v/>
      </c>
      <c r="W2740" s="48">
        <f>IF(OR($M2740="",$T2740=""),"",$T2740+(W$2*$M2740))</f>
        <v/>
      </c>
      <c r="X2740" s="49">
        <f>IF(OR($M2740="",$T2740=""),"",$T2740+(X$2*$M2740))</f>
        <v/>
      </c>
      <c r="Y2740" s="47">
        <f>IF(OR($M2740="",$T2740=""),"",$T2740+(Y$2*$M2740))</f>
        <v/>
      </c>
      <c r="Z2740" s="49">
        <f>IF(OR($M2740="",$T2740=""),"",$T2740+(Z$2*$M2740))</f>
        <v/>
      </c>
      <c r="AA2740" s="51">
        <f>IF(OR($M2740="",$T2740=""),"",$T2740+(AA$2*$M2740))</f>
        <v/>
      </c>
      <c r="AB2740" s="48">
        <f>IF(OR($M2740="",$T2740=""),"",$T2740+(AB$2*$M2740))</f>
        <v/>
      </c>
      <c r="AC2740" s="48">
        <f>IF(OR($M2740="",$T2740=""),"",$T2740+(AC$2*$M2740))</f>
        <v/>
      </c>
      <c r="AD2740" s="48">
        <f>IF(OR($M2740="",$T2740=""),"",$T2740+(AD$2*$M2740))</f>
        <v/>
      </c>
      <c r="AE2740" s="49">
        <f>IF(OR($M2740="",$T2740=""),"",$T2740+(AE$2*$M2740))</f>
        <v/>
      </c>
      <c r="AF2740" s="52">
        <f>IF(OR(T2740="",I2740&lt;T2740),"",IFERROR(AVERAGE(T2740+M2740*{7,8,9,10,11})/IF(G2740="",I2740,G2740)-1,""))</f>
        <v/>
      </c>
      <c r="AG2740" s="55">
        <f>IF(OR(T2740="",I2740&lt;T2740),"",IFERROR(AF2740/-(R2740/IF(G2740="",I2740,G2740)-1),""))</f>
        <v/>
      </c>
      <c r="AH2740" s="94" t="n"/>
      <c r="AI2740" s="94" t="n"/>
      <c r="AJ2740" s="94" t="n"/>
      <c r="AK2740" s="94" t="n"/>
      <c r="AL2740" s="84" t="n"/>
    </row>
    <row r="2741">
      <c r="A2741" s="64" t="n"/>
      <c r="B2741" s="65" t="n"/>
      <c r="C2741" s="66" t="n"/>
      <c r="D2741" s="67" t="n"/>
      <c r="E2741" s="68" t="n"/>
      <c r="F2741" s="47">
        <f>IF(A2741="","",IF(MIN(H2741,MAX(J2741:K2741))=0,"",MIN(H2741,MAX(J2741:K2741))))</f>
        <v/>
      </c>
      <c r="G2741" s="74" t="n"/>
      <c r="H2741" s="49">
        <f>IF(M2741="","",IFERROR(ROUND(AVERAGE(T2741+M2741*{7,8,9,10,11})/1.21,4),""))</f>
        <v/>
      </c>
      <c r="I2741" s="76" t="n"/>
      <c r="J2741" s="77" t="n"/>
      <c r="K2741" s="74" t="n"/>
      <c r="L2741" s="78" t="n"/>
      <c r="M2741" s="77" t="n"/>
      <c r="N2741" s="53">
        <f>IF(M2741="","",IFERROR(M2741/I2741,""))</f>
        <v/>
      </c>
      <c r="O2741" s="50">
        <f>IF(A2741="","",IFERROR((IF(G2741="",I2741,G2741)-T2741)/M2741,""))</f>
        <v/>
      </c>
      <c r="P2741" s="50">
        <f>IFERROR((I2741/T2741-1)/N2741,"")</f>
        <v/>
      </c>
      <c r="Q2741" s="46">
        <f>IF(OR(T2741="",I2741&lt;T2741),"",IFERROR(R2741/IF(G2741="",I2741,G2741)-1,""))</f>
        <v/>
      </c>
      <c r="R2741" s="48">
        <f>IF($M2741="","",MAX(IF($G2741="",$I2741,$G2741)*(1/1.1),IF($G2741="",$I2741,$G2741)+(R$2*$M2741)))</f>
        <v/>
      </c>
      <c r="S2741" s="49">
        <f>IF($M2741="","",MAX(IF($G2741="",$I2741,$G2741)*(1/1.1),IF($G2741="",$I2741,$G2741)+(S$2*$M2741)))</f>
        <v/>
      </c>
      <c r="T2741" s="82" t="n"/>
      <c r="U2741" s="47">
        <f>IF(OR($M2741="",$T2741=""),"",$T2741+(U$2*$M2741))</f>
        <v/>
      </c>
      <c r="V2741" s="48">
        <f>IF(OR($M2741="",$T2741=""),"",$T2741+(V$2*$M2741))</f>
        <v/>
      </c>
      <c r="W2741" s="48">
        <f>IF(OR($M2741="",$T2741=""),"",$T2741+(W$2*$M2741))</f>
        <v/>
      </c>
      <c r="X2741" s="49">
        <f>IF(OR($M2741="",$T2741=""),"",$T2741+(X$2*$M2741))</f>
        <v/>
      </c>
      <c r="Y2741" s="47">
        <f>IF(OR($M2741="",$T2741=""),"",$T2741+(Y$2*$M2741))</f>
        <v/>
      </c>
      <c r="Z2741" s="49">
        <f>IF(OR($M2741="",$T2741=""),"",$T2741+(Z$2*$M2741))</f>
        <v/>
      </c>
      <c r="AA2741" s="51">
        <f>IF(OR($M2741="",$T2741=""),"",$T2741+(AA$2*$M2741))</f>
        <v/>
      </c>
      <c r="AB2741" s="48">
        <f>IF(OR($M2741="",$T2741=""),"",$T2741+(AB$2*$M2741))</f>
        <v/>
      </c>
      <c r="AC2741" s="48">
        <f>IF(OR($M2741="",$T2741=""),"",$T2741+(AC$2*$M2741))</f>
        <v/>
      </c>
      <c r="AD2741" s="48">
        <f>IF(OR($M2741="",$T2741=""),"",$T2741+(AD$2*$M2741))</f>
        <v/>
      </c>
      <c r="AE2741" s="49">
        <f>IF(OR($M2741="",$T2741=""),"",$T2741+(AE$2*$M2741))</f>
        <v/>
      </c>
      <c r="AF2741" s="52">
        <f>IF(OR(T2741="",I2741&lt;T2741),"",IFERROR(AVERAGE(T2741+M2741*{7,8,9,10,11})/IF(G2741="",I2741,G2741)-1,""))</f>
        <v/>
      </c>
      <c r="AG2741" s="55">
        <f>IF(OR(T2741="",I2741&lt;T2741),"",IFERROR(AF2741/-(R2741/IF(G2741="",I2741,G2741)-1),""))</f>
        <v/>
      </c>
      <c r="AH2741" s="94" t="n"/>
      <c r="AI2741" s="94" t="n"/>
      <c r="AJ2741" s="94" t="n"/>
      <c r="AK2741" s="94" t="n"/>
      <c r="AL2741" s="84" t="n"/>
    </row>
    <row r="2742">
      <c r="A2742" s="64" t="n"/>
      <c r="B2742" s="65" t="n"/>
      <c r="C2742" s="66" t="n"/>
      <c r="D2742" s="67" t="n"/>
      <c r="E2742" s="68" t="n"/>
      <c r="F2742" s="47">
        <f>IF(A2742="","",IF(MIN(H2742,MAX(J2742:K2742))=0,"",MIN(H2742,MAX(J2742:K2742))))</f>
        <v/>
      </c>
      <c r="G2742" s="74" t="n"/>
      <c r="H2742" s="49">
        <f>IF(M2742="","",IFERROR(ROUND(AVERAGE(T2742+M2742*{7,8,9,10,11})/1.21,4),""))</f>
        <v/>
      </c>
      <c r="I2742" s="76" t="n"/>
      <c r="J2742" s="77" t="n"/>
      <c r="K2742" s="74" t="n"/>
      <c r="L2742" s="78" t="n"/>
      <c r="M2742" s="77" t="n"/>
      <c r="N2742" s="53">
        <f>IF(M2742="","",IFERROR(M2742/I2742,""))</f>
        <v/>
      </c>
      <c r="O2742" s="50">
        <f>IF(A2742="","",IFERROR((IF(G2742="",I2742,G2742)-T2742)/M2742,""))</f>
        <v/>
      </c>
      <c r="P2742" s="50">
        <f>IFERROR((I2742/T2742-1)/N2742,"")</f>
        <v/>
      </c>
      <c r="Q2742" s="46">
        <f>IF(OR(T2742="",I2742&lt;T2742),"",IFERROR(R2742/IF(G2742="",I2742,G2742)-1,""))</f>
        <v/>
      </c>
      <c r="R2742" s="48">
        <f>IF($M2742="","",MAX(IF($G2742="",$I2742,$G2742)*(1/1.1),IF($G2742="",$I2742,$G2742)+(R$2*$M2742)))</f>
        <v/>
      </c>
      <c r="S2742" s="49">
        <f>IF($M2742="","",MAX(IF($G2742="",$I2742,$G2742)*(1/1.1),IF($G2742="",$I2742,$G2742)+(S$2*$M2742)))</f>
        <v/>
      </c>
      <c r="T2742" s="82" t="n"/>
      <c r="U2742" s="47">
        <f>IF(OR($M2742="",$T2742=""),"",$T2742+(U$2*$M2742))</f>
        <v/>
      </c>
      <c r="V2742" s="48">
        <f>IF(OR($M2742="",$T2742=""),"",$T2742+(V$2*$M2742))</f>
        <v/>
      </c>
      <c r="W2742" s="48">
        <f>IF(OR($M2742="",$T2742=""),"",$T2742+(W$2*$M2742))</f>
        <v/>
      </c>
      <c r="X2742" s="49">
        <f>IF(OR($M2742="",$T2742=""),"",$T2742+(X$2*$M2742))</f>
        <v/>
      </c>
      <c r="Y2742" s="47">
        <f>IF(OR($M2742="",$T2742=""),"",$T2742+(Y$2*$M2742))</f>
        <v/>
      </c>
      <c r="Z2742" s="49">
        <f>IF(OR($M2742="",$T2742=""),"",$T2742+(Z$2*$M2742))</f>
        <v/>
      </c>
      <c r="AA2742" s="51">
        <f>IF(OR($M2742="",$T2742=""),"",$T2742+(AA$2*$M2742))</f>
        <v/>
      </c>
      <c r="AB2742" s="48">
        <f>IF(OR($M2742="",$T2742=""),"",$T2742+(AB$2*$M2742))</f>
        <v/>
      </c>
      <c r="AC2742" s="48">
        <f>IF(OR($M2742="",$T2742=""),"",$T2742+(AC$2*$M2742))</f>
        <v/>
      </c>
      <c r="AD2742" s="48">
        <f>IF(OR($M2742="",$T2742=""),"",$T2742+(AD$2*$M2742))</f>
        <v/>
      </c>
      <c r="AE2742" s="49">
        <f>IF(OR($M2742="",$T2742=""),"",$T2742+(AE$2*$M2742))</f>
        <v/>
      </c>
      <c r="AF2742" s="52">
        <f>IF(OR(T2742="",I2742&lt;T2742),"",IFERROR(AVERAGE(T2742+M2742*{7,8,9,10,11})/IF(G2742="",I2742,G2742)-1,""))</f>
        <v/>
      </c>
      <c r="AG2742" s="55">
        <f>IF(OR(T2742="",I2742&lt;T2742),"",IFERROR(AF2742/-(R2742/IF(G2742="",I2742,G2742)-1),""))</f>
        <v/>
      </c>
      <c r="AH2742" s="94" t="n"/>
      <c r="AI2742" s="94" t="n"/>
      <c r="AJ2742" s="94" t="n"/>
      <c r="AK2742" s="94" t="n"/>
      <c r="AL2742" s="84" t="n"/>
    </row>
    <row r="2743">
      <c r="A2743" s="64" t="n"/>
      <c r="B2743" s="65" t="n"/>
      <c r="C2743" s="66" t="n"/>
      <c r="D2743" s="67" t="n"/>
      <c r="E2743" s="68" t="n"/>
      <c r="F2743" s="47">
        <f>IF(A2743="","",IF(MIN(H2743,MAX(J2743:K2743))=0,"",MIN(H2743,MAX(J2743:K2743))))</f>
        <v/>
      </c>
      <c r="G2743" s="74" t="n"/>
      <c r="H2743" s="49">
        <f>IF(M2743="","",IFERROR(ROUND(AVERAGE(T2743+M2743*{7,8,9,10,11})/1.21,4),""))</f>
        <v/>
      </c>
      <c r="I2743" s="76" t="n"/>
      <c r="J2743" s="77" t="n"/>
      <c r="K2743" s="74" t="n"/>
      <c r="L2743" s="78" t="n"/>
      <c r="M2743" s="77" t="n"/>
      <c r="N2743" s="53">
        <f>IF(M2743="","",IFERROR(M2743/I2743,""))</f>
        <v/>
      </c>
      <c r="O2743" s="50">
        <f>IF(A2743="","",IFERROR((IF(G2743="",I2743,G2743)-T2743)/M2743,""))</f>
        <v/>
      </c>
      <c r="P2743" s="50">
        <f>IFERROR((I2743/T2743-1)/N2743,"")</f>
        <v/>
      </c>
      <c r="Q2743" s="46">
        <f>IF(OR(T2743="",I2743&lt;T2743),"",IFERROR(R2743/IF(G2743="",I2743,G2743)-1,""))</f>
        <v/>
      </c>
      <c r="R2743" s="48">
        <f>IF($M2743="","",MAX(IF($G2743="",$I2743,$G2743)*(1/1.1),IF($G2743="",$I2743,$G2743)+(R$2*$M2743)))</f>
        <v/>
      </c>
      <c r="S2743" s="49">
        <f>IF($M2743="","",MAX(IF($G2743="",$I2743,$G2743)*(1/1.1),IF($G2743="",$I2743,$G2743)+(S$2*$M2743)))</f>
        <v/>
      </c>
      <c r="T2743" s="82" t="n"/>
      <c r="U2743" s="47">
        <f>IF(OR($M2743="",$T2743=""),"",$T2743+(U$2*$M2743))</f>
        <v/>
      </c>
      <c r="V2743" s="48">
        <f>IF(OR($M2743="",$T2743=""),"",$T2743+(V$2*$M2743))</f>
        <v/>
      </c>
      <c r="W2743" s="48">
        <f>IF(OR($M2743="",$T2743=""),"",$T2743+(W$2*$M2743))</f>
        <v/>
      </c>
      <c r="X2743" s="49">
        <f>IF(OR($M2743="",$T2743=""),"",$T2743+(X$2*$M2743))</f>
        <v/>
      </c>
      <c r="Y2743" s="47">
        <f>IF(OR($M2743="",$T2743=""),"",$T2743+(Y$2*$M2743))</f>
        <v/>
      </c>
      <c r="Z2743" s="49">
        <f>IF(OR($M2743="",$T2743=""),"",$T2743+(Z$2*$M2743))</f>
        <v/>
      </c>
      <c r="AA2743" s="51">
        <f>IF(OR($M2743="",$T2743=""),"",$T2743+(AA$2*$M2743))</f>
        <v/>
      </c>
      <c r="AB2743" s="48">
        <f>IF(OR($M2743="",$T2743=""),"",$T2743+(AB$2*$M2743))</f>
        <v/>
      </c>
      <c r="AC2743" s="48">
        <f>IF(OR($M2743="",$T2743=""),"",$T2743+(AC$2*$M2743))</f>
        <v/>
      </c>
      <c r="AD2743" s="48">
        <f>IF(OR($M2743="",$T2743=""),"",$T2743+(AD$2*$M2743))</f>
        <v/>
      </c>
      <c r="AE2743" s="49">
        <f>IF(OR($M2743="",$T2743=""),"",$T2743+(AE$2*$M2743))</f>
        <v/>
      </c>
      <c r="AF2743" s="52">
        <f>IF(OR(T2743="",I2743&lt;T2743),"",IFERROR(AVERAGE(T2743+M2743*{7,8,9,10,11})/IF(G2743="",I2743,G2743)-1,""))</f>
        <v/>
      </c>
      <c r="AG2743" s="55">
        <f>IF(OR(T2743="",I2743&lt;T2743),"",IFERROR(AF2743/-(R2743/IF(G2743="",I2743,G2743)-1),""))</f>
        <v/>
      </c>
      <c r="AH2743" s="94" t="n"/>
      <c r="AI2743" s="94" t="n"/>
      <c r="AJ2743" s="94" t="n"/>
      <c r="AK2743" s="94" t="n"/>
      <c r="AL2743" s="84" t="n"/>
    </row>
    <row r="2744">
      <c r="A2744" s="64" t="n"/>
      <c r="B2744" s="65" t="n"/>
      <c r="C2744" s="66" t="n"/>
      <c r="D2744" s="67" t="n"/>
      <c r="E2744" s="68" t="n"/>
      <c r="F2744" s="47">
        <f>IF(A2744="","",IF(MIN(H2744,MAX(J2744:K2744))=0,"",MIN(H2744,MAX(J2744:K2744))))</f>
        <v/>
      </c>
      <c r="G2744" s="74" t="n"/>
      <c r="H2744" s="49">
        <f>IF(M2744="","",IFERROR(ROUND(AVERAGE(T2744+M2744*{7,8,9,10,11})/1.21,4),""))</f>
        <v/>
      </c>
      <c r="I2744" s="76" t="n"/>
      <c r="J2744" s="77" t="n"/>
      <c r="K2744" s="74" t="n"/>
      <c r="L2744" s="78" t="n"/>
      <c r="M2744" s="77" t="n"/>
      <c r="N2744" s="53">
        <f>IF(M2744="","",IFERROR(M2744/I2744,""))</f>
        <v/>
      </c>
      <c r="O2744" s="50">
        <f>IF(A2744="","",IFERROR((IF(G2744="",I2744,G2744)-T2744)/M2744,""))</f>
        <v/>
      </c>
      <c r="P2744" s="50">
        <f>IFERROR((I2744/T2744-1)/N2744,"")</f>
        <v/>
      </c>
      <c r="Q2744" s="46">
        <f>IF(OR(T2744="",I2744&lt;T2744),"",IFERROR(R2744/IF(G2744="",I2744,G2744)-1,""))</f>
        <v/>
      </c>
      <c r="R2744" s="48">
        <f>IF($M2744="","",MAX(IF($G2744="",$I2744,$G2744)*(1/1.1),IF($G2744="",$I2744,$G2744)+(R$2*$M2744)))</f>
        <v/>
      </c>
      <c r="S2744" s="49">
        <f>IF($M2744="","",MAX(IF($G2744="",$I2744,$G2744)*(1/1.1),IF($G2744="",$I2744,$G2744)+(S$2*$M2744)))</f>
        <v/>
      </c>
      <c r="T2744" s="82" t="n"/>
      <c r="U2744" s="47">
        <f>IF(OR($M2744="",$T2744=""),"",$T2744+(U$2*$M2744))</f>
        <v/>
      </c>
      <c r="V2744" s="48">
        <f>IF(OR($M2744="",$T2744=""),"",$T2744+(V$2*$M2744))</f>
        <v/>
      </c>
      <c r="W2744" s="48">
        <f>IF(OR($M2744="",$T2744=""),"",$T2744+(W$2*$M2744))</f>
        <v/>
      </c>
      <c r="X2744" s="49">
        <f>IF(OR($M2744="",$T2744=""),"",$T2744+(X$2*$M2744))</f>
        <v/>
      </c>
      <c r="Y2744" s="47">
        <f>IF(OR($M2744="",$T2744=""),"",$T2744+(Y$2*$M2744))</f>
        <v/>
      </c>
      <c r="Z2744" s="49">
        <f>IF(OR($M2744="",$T2744=""),"",$T2744+(Z$2*$M2744))</f>
        <v/>
      </c>
      <c r="AA2744" s="51">
        <f>IF(OR($M2744="",$T2744=""),"",$T2744+(AA$2*$M2744))</f>
        <v/>
      </c>
      <c r="AB2744" s="48">
        <f>IF(OR($M2744="",$T2744=""),"",$T2744+(AB$2*$M2744))</f>
        <v/>
      </c>
      <c r="AC2744" s="48">
        <f>IF(OR($M2744="",$T2744=""),"",$T2744+(AC$2*$M2744))</f>
        <v/>
      </c>
      <c r="AD2744" s="48">
        <f>IF(OR($M2744="",$T2744=""),"",$T2744+(AD$2*$M2744))</f>
        <v/>
      </c>
      <c r="AE2744" s="49">
        <f>IF(OR($M2744="",$T2744=""),"",$T2744+(AE$2*$M2744))</f>
        <v/>
      </c>
      <c r="AF2744" s="52">
        <f>IF(OR(T2744="",I2744&lt;T2744),"",IFERROR(AVERAGE(T2744+M2744*{7,8,9,10,11})/IF(G2744="",I2744,G2744)-1,""))</f>
        <v/>
      </c>
      <c r="AG2744" s="55">
        <f>IF(OR(T2744="",I2744&lt;T2744),"",IFERROR(AF2744/-(R2744/IF(G2744="",I2744,G2744)-1),""))</f>
        <v/>
      </c>
      <c r="AH2744" s="94" t="n"/>
      <c r="AI2744" s="94" t="n"/>
      <c r="AJ2744" s="94" t="n"/>
      <c r="AK2744" s="94" t="n"/>
      <c r="AL2744" s="84" t="n"/>
    </row>
    <row r="2745">
      <c r="A2745" s="64" t="n"/>
      <c r="B2745" s="65" t="n"/>
      <c r="C2745" s="66" t="n"/>
      <c r="D2745" s="67" t="n"/>
      <c r="E2745" s="68" t="n"/>
      <c r="F2745" s="47">
        <f>IF(A2745="","",IF(MIN(H2745,MAX(J2745:K2745))=0,"",MIN(H2745,MAX(J2745:K2745))))</f>
        <v/>
      </c>
      <c r="G2745" s="74" t="n"/>
      <c r="H2745" s="49">
        <f>IF(M2745="","",IFERROR(ROUND(AVERAGE(T2745+M2745*{7,8,9,10,11})/1.21,4),""))</f>
        <v/>
      </c>
      <c r="I2745" s="76" t="n"/>
      <c r="J2745" s="77" t="n"/>
      <c r="K2745" s="74" t="n"/>
      <c r="L2745" s="78" t="n"/>
      <c r="M2745" s="77" t="n"/>
      <c r="N2745" s="53">
        <f>IF(M2745="","",IFERROR(M2745/I2745,""))</f>
        <v/>
      </c>
      <c r="O2745" s="50">
        <f>IF(A2745="","",IFERROR((IF(G2745="",I2745,G2745)-T2745)/M2745,""))</f>
        <v/>
      </c>
      <c r="P2745" s="50">
        <f>IFERROR((I2745/T2745-1)/N2745,"")</f>
        <v/>
      </c>
      <c r="Q2745" s="46">
        <f>IF(OR(T2745="",I2745&lt;T2745),"",IFERROR(R2745/IF(G2745="",I2745,G2745)-1,""))</f>
        <v/>
      </c>
      <c r="R2745" s="48">
        <f>IF($M2745="","",MAX(IF($G2745="",$I2745,$G2745)*(1/1.1),IF($G2745="",$I2745,$G2745)+(R$2*$M2745)))</f>
        <v/>
      </c>
      <c r="S2745" s="49">
        <f>IF($M2745="","",MAX(IF($G2745="",$I2745,$G2745)*(1/1.1),IF($G2745="",$I2745,$G2745)+(S$2*$M2745)))</f>
        <v/>
      </c>
      <c r="T2745" s="82" t="n"/>
      <c r="U2745" s="47">
        <f>IF(OR($M2745="",$T2745=""),"",$T2745+(U$2*$M2745))</f>
        <v/>
      </c>
      <c r="V2745" s="48">
        <f>IF(OR($M2745="",$T2745=""),"",$T2745+(V$2*$M2745))</f>
        <v/>
      </c>
      <c r="W2745" s="48">
        <f>IF(OR($M2745="",$T2745=""),"",$T2745+(W$2*$M2745))</f>
        <v/>
      </c>
      <c r="X2745" s="49">
        <f>IF(OR($M2745="",$T2745=""),"",$T2745+(X$2*$M2745))</f>
        <v/>
      </c>
      <c r="Y2745" s="47">
        <f>IF(OR($M2745="",$T2745=""),"",$T2745+(Y$2*$M2745))</f>
        <v/>
      </c>
      <c r="Z2745" s="49">
        <f>IF(OR($M2745="",$T2745=""),"",$T2745+(Z$2*$M2745))</f>
        <v/>
      </c>
      <c r="AA2745" s="51">
        <f>IF(OR($M2745="",$T2745=""),"",$T2745+(AA$2*$M2745))</f>
        <v/>
      </c>
      <c r="AB2745" s="48">
        <f>IF(OR($M2745="",$T2745=""),"",$T2745+(AB$2*$M2745))</f>
        <v/>
      </c>
      <c r="AC2745" s="48">
        <f>IF(OR($M2745="",$T2745=""),"",$T2745+(AC$2*$M2745))</f>
        <v/>
      </c>
      <c r="AD2745" s="48">
        <f>IF(OR($M2745="",$T2745=""),"",$T2745+(AD$2*$M2745))</f>
        <v/>
      </c>
      <c r="AE2745" s="49">
        <f>IF(OR($M2745="",$T2745=""),"",$T2745+(AE$2*$M2745))</f>
        <v/>
      </c>
      <c r="AF2745" s="52">
        <f>IF(OR(T2745="",I2745&lt;T2745),"",IFERROR(AVERAGE(T2745+M2745*{7,8,9,10,11})/IF(G2745="",I2745,G2745)-1,""))</f>
        <v/>
      </c>
      <c r="AG2745" s="55">
        <f>IF(OR(T2745="",I2745&lt;T2745),"",IFERROR(AF2745/-(R2745/IF(G2745="",I2745,G2745)-1),""))</f>
        <v/>
      </c>
      <c r="AH2745" s="94" t="n"/>
      <c r="AI2745" s="94" t="n"/>
      <c r="AJ2745" s="94" t="n"/>
      <c r="AK2745" s="94" t="n"/>
      <c r="AL2745" s="84" t="n"/>
    </row>
    <row r="2746">
      <c r="A2746" s="64" t="n"/>
      <c r="B2746" s="65" t="n"/>
      <c r="C2746" s="66" t="n"/>
      <c r="D2746" s="67" t="n"/>
      <c r="E2746" s="68" t="n"/>
      <c r="F2746" s="47">
        <f>IF(A2746="","",IF(MIN(H2746,MAX(J2746:K2746))=0,"",MIN(H2746,MAX(J2746:K2746))))</f>
        <v/>
      </c>
      <c r="G2746" s="74" t="n"/>
      <c r="H2746" s="49">
        <f>IF(M2746="","",IFERROR(ROUND(AVERAGE(T2746+M2746*{7,8,9,10,11})/1.21,4),""))</f>
        <v/>
      </c>
      <c r="I2746" s="76" t="n"/>
      <c r="J2746" s="77" t="n"/>
      <c r="K2746" s="74" t="n"/>
      <c r="L2746" s="78" t="n"/>
      <c r="M2746" s="77" t="n"/>
      <c r="N2746" s="53">
        <f>IF(M2746="","",IFERROR(M2746/I2746,""))</f>
        <v/>
      </c>
      <c r="O2746" s="50">
        <f>IF(A2746="","",IFERROR((IF(G2746="",I2746,G2746)-T2746)/M2746,""))</f>
        <v/>
      </c>
      <c r="P2746" s="50">
        <f>IFERROR((I2746/T2746-1)/N2746,"")</f>
        <v/>
      </c>
      <c r="Q2746" s="46">
        <f>IF(OR(T2746="",I2746&lt;T2746),"",IFERROR(R2746/IF(G2746="",I2746,G2746)-1,""))</f>
        <v/>
      </c>
      <c r="R2746" s="48">
        <f>IF($M2746="","",MAX(IF($G2746="",$I2746,$G2746)*(1/1.1),IF($G2746="",$I2746,$G2746)+(R$2*$M2746)))</f>
        <v/>
      </c>
      <c r="S2746" s="49">
        <f>IF($M2746="","",MAX(IF($G2746="",$I2746,$G2746)*(1/1.1),IF($G2746="",$I2746,$G2746)+(S$2*$M2746)))</f>
        <v/>
      </c>
      <c r="T2746" s="82" t="n"/>
      <c r="U2746" s="47">
        <f>IF(OR($M2746="",$T2746=""),"",$T2746+(U$2*$M2746))</f>
        <v/>
      </c>
      <c r="V2746" s="48">
        <f>IF(OR($M2746="",$T2746=""),"",$T2746+(V$2*$M2746))</f>
        <v/>
      </c>
      <c r="W2746" s="48">
        <f>IF(OR($M2746="",$T2746=""),"",$T2746+(W$2*$M2746))</f>
        <v/>
      </c>
      <c r="X2746" s="49">
        <f>IF(OR($M2746="",$T2746=""),"",$T2746+(X$2*$M2746))</f>
        <v/>
      </c>
      <c r="Y2746" s="47">
        <f>IF(OR($M2746="",$T2746=""),"",$T2746+(Y$2*$M2746))</f>
        <v/>
      </c>
      <c r="Z2746" s="49">
        <f>IF(OR($M2746="",$T2746=""),"",$T2746+(Z$2*$M2746))</f>
        <v/>
      </c>
      <c r="AA2746" s="51">
        <f>IF(OR($M2746="",$T2746=""),"",$T2746+(AA$2*$M2746))</f>
        <v/>
      </c>
      <c r="AB2746" s="48">
        <f>IF(OR($M2746="",$T2746=""),"",$T2746+(AB$2*$M2746))</f>
        <v/>
      </c>
      <c r="AC2746" s="48">
        <f>IF(OR($M2746="",$T2746=""),"",$T2746+(AC$2*$M2746))</f>
        <v/>
      </c>
      <c r="AD2746" s="48">
        <f>IF(OR($M2746="",$T2746=""),"",$T2746+(AD$2*$M2746))</f>
        <v/>
      </c>
      <c r="AE2746" s="49">
        <f>IF(OR($M2746="",$T2746=""),"",$T2746+(AE$2*$M2746))</f>
        <v/>
      </c>
      <c r="AF2746" s="52">
        <f>IF(OR(T2746="",I2746&lt;T2746),"",IFERROR(AVERAGE(T2746+M2746*{7,8,9,10,11})/IF(G2746="",I2746,G2746)-1,""))</f>
        <v/>
      </c>
      <c r="AG2746" s="55">
        <f>IF(OR(T2746="",I2746&lt;T2746),"",IFERROR(AF2746/-(R2746/IF(G2746="",I2746,G2746)-1),""))</f>
        <v/>
      </c>
      <c r="AH2746" s="94" t="n"/>
      <c r="AI2746" s="94" t="n"/>
      <c r="AJ2746" s="94" t="n"/>
      <c r="AK2746" s="94" t="n"/>
      <c r="AL2746" s="84" t="n"/>
    </row>
    <row r="2747">
      <c r="A2747" s="64" t="n"/>
      <c r="B2747" s="65" t="n"/>
      <c r="C2747" s="66" t="n"/>
      <c r="D2747" s="67" t="n"/>
      <c r="E2747" s="68" t="n"/>
      <c r="F2747" s="47">
        <f>IF(A2747="","",IF(MIN(H2747,MAX(J2747:K2747))=0,"",MIN(H2747,MAX(J2747:K2747))))</f>
        <v/>
      </c>
      <c r="G2747" s="74" t="n"/>
      <c r="H2747" s="49">
        <f>IF(M2747="","",IFERROR(ROUND(AVERAGE(T2747+M2747*{7,8,9,10,11})/1.21,4),""))</f>
        <v/>
      </c>
      <c r="I2747" s="76" t="n"/>
      <c r="J2747" s="77" t="n"/>
      <c r="K2747" s="74" t="n"/>
      <c r="L2747" s="78" t="n"/>
      <c r="M2747" s="77" t="n"/>
      <c r="N2747" s="53">
        <f>IF(M2747="","",IFERROR(M2747/I2747,""))</f>
        <v/>
      </c>
      <c r="O2747" s="50">
        <f>IF(A2747="","",IFERROR((IF(G2747="",I2747,G2747)-T2747)/M2747,""))</f>
        <v/>
      </c>
      <c r="P2747" s="50">
        <f>IFERROR((I2747/T2747-1)/N2747,"")</f>
        <v/>
      </c>
      <c r="Q2747" s="46">
        <f>IF(OR(T2747="",I2747&lt;T2747),"",IFERROR(R2747/IF(G2747="",I2747,G2747)-1,""))</f>
        <v/>
      </c>
      <c r="R2747" s="48">
        <f>IF($M2747="","",MAX(IF($G2747="",$I2747,$G2747)*(1/1.1),IF($G2747="",$I2747,$G2747)+(R$2*$M2747)))</f>
        <v/>
      </c>
      <c r="S2747" s="49">
        <f>IF($M2747="","",MAX(IF($G2747="",$I2747,$G2747)*(1/1.1),IF($G2747="",$I2747,$G2747)+(S$2*$M2747)))</f>
        <v/>
      </c>
      <c r="T2747" s="82" t="n"/>
      <c r="U2747" s="47">
        <f>IF(OR($M2747="",$T2747=""),"",$T2747+(U$2*$M2747))</f>
        <v/>
      </c>
      <c r="V2747" s="48">
        <f>IF(OR($M2747="",$T2747=""),"",$T2747+(V$2*$M2747))</f>
        <v/>
      </c>
      <c r="W2747" s="48">
        <f>IF(OR($M2747="",$T2747=""),"",$T2747+(W$2*$M2747))</f>
        <v/>
      </c>
      <c r="X2747" s="49">
        <f>IF(OR($M2747="",$T2747=""),"",$T2747+(X$2*$M2747))</f>
        <v/>
      </c>
      <c r="Y2747" s="47">
        <f>IF(OR($M2747="",$T2747=""),"",$T2747+(Y$2*$M2747))</f>
        <v/>
      </c>
      <c r="Z2747" s="49">
        <f>IF(OR($M2747="",$T2747=""),"",$T2747+(Z$2*$M2747))</f>
        <v/>
      </c>
      <c r="AA2747" s="51">
        <f>IF(OR($M2747="",$T2747=""),"",$T2747+(AA$2*$M2747))</f>
        <v/>
      </c>
      <c r="AB2747" s="48">
        <f>IF(OR($M2747="",$T2747=""),"",$T2747+(AB$2*$M2747))</f>
        <v/>
      </c>
      <c r="AC2747" s="48">
        <f>IF(OR($M2747="",$T2747=""),"",$T2747+(AC$2*$M2747))</f>
        <v/>
      </c>
      <c r="AD2747" s="48">
        <f>IF(OR($M2747="",$T2747=""),"",$T2747+(AD$2*$M2747))</f>
        <v/>
      </c>
      <c r="AE2747" s="49">
        <f>IF(OR($M2747="",$T2747=""),"",$T2747+(AE$2*$M2747))</f>
        <v/>
      </c>
      <c r="AF2747" s="52">
        <f>IF(OR(T2747="",I2747&lt;T2747),"",IFERROR(AVERAGE(T2747+M2747*{7,8,9,10,11})/IF(G2747="",I2747,G2747)-1,""))</f>
        <v/>
      </c>
      <c r="AG2747" s="55">
        <f>IF(OR(T2747="",I2747&lt;T2747),"",IFERROR(AF2747/-(R2747/IF(G2747="",I2747,G2747)-1),""))</f>
        <v/>
      </c>
      <c r="AH2747" s="94" t="n"/>
      <c r="AI2747" s="94" t="n"/>
      <c r="AJ2747" s="94" t="n"/>
      <c r="AK2747" s="94" t="n"/>
      <c r="AL2747" s="84" t="n"/>
    </row>
    <row r="2748">
      <c r="A2748" s="64" t="n"/>
      <c r="B2748" s="65" t="n"/>
      <c r="C2748" s="66" t="n"/>
      <c r="D2748" s="67" t="n"/>
      <c r="E2748" s="68" t="n"/>
      <c r="F2748" s="47">
        <f>IF(A2748="","",IF(MIN(H2748,MAX(J2748:K2748))=0,"",MIN(H2748,MAX(J2748:K2748))))</f>
        <v/>
      </c>
      <c r="G2748" s="74" t="n"/>
      <c r="H2748" s="49">
        <f>IF(M2748="","",IFERROR(ROUND(AVERAGE(T2748+M2748*{7,8,9,10,11})/1.21,4),""))</f>
        <v/>
      </c>
      <c r="I2748" s="76" t="n"/>
      <c r="J2748" s="77" t="n"/>
      <c r="K2748" s="74" t="n"/>
      <c r="L2748" s="78" t="n"/>
      <c r="M2748" s="77" t="n"/>
      <c r="N2748" s="53">
        <f>IF(M2748="","",IFERROR(M2748/I2748,""))</f>
        <v/>
      </c>
      <c r="O2748" s="50">
        <f>IF(A2748="","",IFERROR((IF(G2748="",I2748,G2748)-T2748)/M2748,""))</f>
        <v/>
      </c>
      <c r="P2748" s="50">
        <f>IFERROR((I2748/T2748-1)/N2748,"")</f>
        <v/>
      </c>
      <c r="Q2748" s="46">
        <f>IF(OR(T2748="",I2748&lt;T2748),"",IFERROR(R2748/IF(G2748="",I2748,G2748)-1,""))</f>
        <v/>
      </c>
      <c r="R2748" s="48">
        <f>IF($M2748="","",MAX(IF($G2748="",$I2748,$G2748)*(1/1.1),IF($G2748="",$I2748,$G2748)+(R$2*$M2748)))</f>
        <v/>
      </c>
      <c r="S2748" s="49">
        <f>IF($M2748="","",MAX(IF($G2748="",$I2748,$G2748)*(1/1.1),IF($G2748="",$I2748,$G2748)+(S$2*$M2748)))</f>
        <v/>
      </c>
      <c r="T2748" s="82" t="n"/>
      <c r="U2748" s="47">
        <f>IF(OR($M2748="",$T2748=""),"",$T2748+(U$2*$M2748))</f>
        <v/>
      </c>
      <c r="V2748" s="48">
        <f>IF(OR($M2748="",$T2748=""),"",$T2748+(V$2*$M2748))</f>
        <v/>
      </c>
      <c r="W2748" s="48">
        <f>IF(OR($M2748="",$T2748=""),"",$T2748+(W$2*$M2748))</f>
        <v/>
      </c>
      <c r="X2748" s="49">
        <f>IF(OR($M2748="",$T2748=""),"",$T2748+(X$2*$M2748))</f>
        <v/>
      </c>
      <c r="Y2748" s="47">
        <f>IF(OR($M2748="",$T2748=""),"",$T2748+(Y$2*$M2748))</f>
        <v/>
      </c>
      <c r="Z2748" s="49">
        <f>IF(OR($M2748="",$T2748=""),"",$T2748+(Z$2*$M2748))</f>
        <v/>
      </c>
      <c r="AA2748" s="51">
        <f>IF(OR($M2748="",$T2748=""),"",$T2748+(AA$2*$M2748))</f>
        <v/>
      </c>
      <c r="AB2748" s="48">
        <f>IF(OR($M2748="",$T2748=""),"",$T2748+(AB$2*$M2748))</f>
        <v/>
      </c>
      <c r="AC2748" s="48">
        <f>IF(OR($M2748="",$T2748=""),"",$T2748+(AC$2*$M2748))</f>
        <v/>
      </c>
      <c r="AD2748" s="48">
        <f>IF(OR($M2748="",$T2748=""),"",$T2748+(AD$2*$M2748))</f>
        <v/>
      </c>
      <c r="AE2748" s="49">
        <f>IF(OR($M2748="",$T2748=""),"",$T2748+(AE$2*$M2748))</f>
        <v/>
      </c>
      <c r="AF2748" s="52">
        <f>IF(OR(T2748="",I2748&lt;T2748),"",IFERROR(AVERAGE(T2748+M2748*{7,8,9,10,11})/IF(G2748="",I2748,G2748)-1,""))</f>
        <v/>
      </c>
      <c r="AG2748" s="55">
        <f>IF(OR(T2748="",I2748&lt;T2748),"",IFERROR(AF2748/-(R2748/IF(G2748="",I2748,G2748)-1),""))</f>
        <v/>
      </c>
      <c r="AH2748" s="94" t="n"/>
      <c r="AI2748" s="94" t="n"/>
      <c r="AJ2748" s="94" t="n"/>
      <c r="AK2748" s="94" t="n"/>
      <c r="AL2748" s="84" t="n"/>
    </row>
    <row r="2749">
      <c r="A2749" s="64" t="n"/>
      <c r="B2749" s="65" t="n"/>
      <c r="C2749" s="66" t="n"/>
      <c r="D2749" s="67" t="n"/>
      <c r="E2749" s="68" t="n"/>
      <c r="F2749" s="47">
        <f>IF(A2749="","",IF(MIN(H2749,MAX(J2749:K2749))=0,"",MIN(H2749,MAX(J2749:K2749))))</f>
        <v/>
      </c>
      <c r="G2749" s="74" t="n"/>
      <c r="H2749" s="49">
        <f>IF(M2749="","",IFERROR(ROUND(AVERAGE(T2749+M2749*{7,8,9,10,11})/1.21,4),""))</f>
        <v/>
      </c>
      <c r="I2749" s="76" t="n"/>
      <c r="J2749" s="77" t="n"/>
      <c r="K2749" s="74" t="n"/>
      <c r="L2749" s="78" t="n"/>
      <c r="M2749" s="77" t="n"/>
      <c r="N2749" s="53">
        <f>IF(M2749="","",IFERROR(M2749/I2749,""))</f>
        <v/>
      </c>
      <c r="O2749" s="50">
        <f>IF(A2749="","",IFERROR((IF(G2749="",I2749,G2749)-T2749)/M2749,""))</f>
        <v/>
      </c>
      <c r="P2749" s="50">
        <f>IFERROR((I2749/T2749-1)/N2749,"")</f>
        <v/>
      </c>
      <c r="Q2749" s="46">
        <f>IF(OR(T2749="",I2749&lt;T2749),"",IFERROR(R2749/IF(G2749="",I2749,G2749)-1,""))</f>
        <v/>
      </c>
      <c r="R2749" s="48">
        <f>IF($M2749="","",MAX(IF($G2749="",$I2749,$G2749)*(1/1.1),IF($G2749="",$I2749,$G2749)+(R$2*$M2749)))</f>
        <v/>
      </c>
      <c r="S2749" s="49">
        <f>IF($M2749="","",MAX(IF($G2749="",$I2749,$G2749)*(1/1.1),IF($G2749="",$I2749,$G2749)+(S$2*$M2749)))</f>
        <v/>
      </c>
      <c r="T2749" s="82" t="n"/>
      <c r="U2749" s="47">
        <f>IF(OR($M2749="",$T2749=""),"",$T2749+(U$2*$M2749))</f>
        <v/>
      </c>
      <c r="V2749" s="48">
        <f>IF(OR($M2749="",$T2749=""),"",$T2749+(V$2*$M2749))</f>
        <v/>
      </c>
      <c r="W2749" s="48">
        <f>IF(OR($M2749="",$T2749=""),"",$T2749+(W$2*$M2749))</f>
        <v/>
      </c>
      <c r="X2749" s="49">
        <f>IF(OR($M2749="",$T2749=""),"",$T2749+(X$2*$M2749))</f>
        <v/>
      </c>
      <c r="Y2749" s="47">
        <f>IF(OR($M2749="",$T2749=""),"",$T2749+(Y$2*$M2749))</f>
        <v/>
      </c>
      <c r="Z2749" s="49">
        <f>IF(OR($M2749="",$T2749=""),"",$T2749+(Z$2*$M2749))</f>
        <v/>
      </c>
      <c r="AA2749" s="51">
        <f>IF(OR($M2749="",$T2749=""),"",$T2749+(AA$2*$M2749))</f>
        <v/>
      </c>
      <c r="AB2749" s="48">
        <f>IF(OR($M2749="",$T2749=""),"",$T2749+(AB$2*$M2749))</f>
        <v/>
      </c>
      <c r="AC2749" s="48">
        <f>IF(OR($M2749="",$T2749=""),"",$T2749+(AC$2*$M2749))</f>
        <v/>
      </c>
      <c r="AD2749" s="48">
        <f>IF(OR($M2749="",$T2749=""),"",$T2749+(AD$2*$M2749))</f>
        <v/>
      </c>
      <c r="AE2749" s="49">
        <f>IF(OR($M2749="",$T2749=""),"",$T2749+(AE$2*$M2749))</f>
        <v/>
      </c>
      <c r="AF2749" s="52">
        <f>IF(OR(T2749="",I2749&lt;T2749),"",IFERROR(AVERAGE(T2749+M2749*{7,8,9,10,11})/IF(G2749="",I2749,G2749)-1,""))</f>
        <v/>
      </c>
      <c r="AG2749" s="55">
        <f>IF(OR(T2749="",I2749&lt;T2749),"",IFERROR(AF2749/-(R2749/IF(G2749="",I2749,G2749)-1),""))</f>
        <v/>
      </c>
      <c r="AH2749" s="94" t="n"/>
      <c r="AI2749" s="94" t="n"/>
      <c r="AJ2749" s="94" t="n"/>
      <c r="AK2749" s="94" t="n"/>
      <c r="AL2749" s="84" t="n"/>
    </row>
    <row r="2750">
      <c r="A2750" s="64" t="n"/>
      <c r="B2750" s="65" t="n"/>
      <c r="C2750" s="66" t="n"/>
      <c r="D2750" s="67" t="n"/>
      <c r="E2750" s="68" t="n"/>
      <c r="F2750" s="47">
        <f>IF(A2750="","",IF(MIN(H2750,MAX(J2750:K2750))=0,"",MIN(H2750,MAX(J2750:K2750))))</f>
        <v/>
      </c>
      <c r="G2750" s="74" t="n"/>
      <c r="H2750" s="49">
        <f>IF(M2750="","",IFERROR(ROUND(AVERAGE(T2750+M2750*{7,8,9,10,11})/1.21,4),""))</f>
        <v/>
      </c>
      <c r="I2750" s="76" t="n"/>
      <c r="J2750" s="77" t="n"/>
      <c r="K2750" s="74" t="n"/>
      <c r="L2750" s="78" t="n"/>
      <c r="M2750" s="77" t="n"/>
      <c r="N2750" s="53">
        <f>IF(M2750="","",IFERROR(M2750/I2750,""))</f>
        <v/>
      </c>
      <c r="O2750" s="50">
        <f>IF(A2750="","",IFERROR((IF(G2750="",I2750,G2750)-T2750)/M2750,""))</f>
        <v/>
      </c>
      <c r="P2750" s="50">
        <f>IFERROR((I2750/T2750-1)/N2750,"")</f>
        <v/>
      </c>
      <c r="Q2750" s="46">
        <f>IF(OR(T2750="",I2750&lt;T2750),"",IFERROR(R2750/IF(G2750="",I2750,G2750)-1,""))</f>
        <v/>
      </c>
      <c r="R2750" s="48">
        <f>IF($M2750="","",MAX(IF($G2750="",$I2750,$G2750)*(1/1.1),IF($G2750="",$I2750,$G2750)+(R$2*$M2750)))</f>
        <v/>
      </c>
      <c r="S2750" s="49">
        <f>IF($M2750="","",MAX(IF($G2750="",$I2750,$G2750)*(1/1.1),IF($G2750="",$I2750,$G2750)+(S$2*$M2750)))</f>
        <v/>
      </c>
      <c r="T2750" s="82" t="n"/>
      <c r="U2750" s="47">
        <f>IF(OR($M2750="",$T2750=""),"",$T2750+(U$2*$M2750))</f>
        <v/>
      </c>
      <c r="V2750" s="48">
        <f>IF(OR($M2750="",$T2750=""),"",$T2750+(V$2*$M2750))</f>
        <v/>
      </c>
      <c r="W2750" s="48">
        <f>IF(OR($M2750="",$T2750=""),"",$T2750+(W$2*$M2750))</f>
        <v/>
      </c>
      <c r="X2750" s="49">
        <f>IF(OR($M2750="",$T2750=""),"",$T2750+(X$2*$M2750))</f>
        <v/>
      </c>
      <c r="Y2750" s="47">
        <f>IF(OR($M2750="",$T2750=""),"",$T2750+(Y$2*$M2750))</f>
        <v/>
      </c>
      <c r="Z2750" s="49">
        <f>IF(OR($M2750="",$T2750=""),"",$T2750+(Z$2*$M2750))</f>
        <v/>
      </c>
      <c r="AA2750" s="51">
        <f>IF(OR($M2750="",$T2750=""),"",$T2750+(AA$2*$M2750))</f>
        <v/>
      </c>
      <c r="AB2750" s="48">
        <f>IF(OR($M2750="",$T2750=""),"",$T2750+(AB$2*$M2750))</f>
        <v/>
      </c>
      <c r="AC2750" s="48">
        <f>IF(OR($M2750="",$T2750=""),"",$T2750+(AC$2*$M2750))</f>
        <v/>
      </c>
      <c r="AD2750" s="48">
        <f>IF(OR($M2750="",$T2750=""),"",$T2750+(AD$2*$M2750))</f>
        <v/>
      </c>
      <c r="AE2750" s="49">
        <f>IF(OR($M2750="",$T2750=""),"",$T2750+(AE$2*$M2750))</f>
        <v/>
      </c>
      <c r="AF2750" s="52">
        <f>IF(OR(T2750="",I2750&lt;T2750),"",IFERROR(AVERAGE(T2750+M2750*{7,8,9,10,11})/IF(G2750="",I2750,G2750)-1,""))</f>
        <v/>
      </c>
      <c r="AG2750" s="55">
        <f>IF(OR(T2750="",I2750&lt;T2750),"",IFERROR(AF2750/-(R2750/IF(G2750="",I2750,G2750)-1),""))</f>
        <v/>
      </c>
      <c r="AH2750" s="94" t="n"/>
      <c r="AI2750" s="94" t="n"/>
      <c r="AJ2750" s="94" t="n"/>
      <c r="AK2750" s="94" t="n"/>
      <c r="AL2750" s="84" t="n"/>
    </row>
    <row r="2751">
      <c r="A2751" s="64" t="n"/>
      <c r="B2751" s="65" t="n"/>
      <c r="C2751" s="66" t="n"/>
      <c r="D2751" s="67" t="n"/>
      <c r="E2751" s="68" t="n"/>
      <c r="F2751" s="47">
        <f>IF(A2751="","",IF(MIN(H2751,MAX(J2751:K2751))=0,"",MIN(H2751,MAX(J2751:K2751))))</f>
        <v/>
      </c>
      <c r="G2751" s="74" t="n"/>
      <c r="H2751" s="49">
        <f>IF(M2751="","",IFERROR(ROUND(AVERAGE(T2751+M2751*{7,8,9,10,11})/1.21,4),""))</f>
        <v/>
      </c>
      <c r="I2751" s="76" t="n"/>
      <c r="J2751" s="77" t="n"/>
      <c r="K2751" s="74" t="n"/>
      <c r="L2751" s="78" t="n"/>
      <c r="M2751" s="77" t="n"/>
      <c r="N2751" s="53">
        <f>IF(M2751="","",IFERROR(M2751/I2751,""))</f>
        <v/>
      </c>
      <c r="O2751" s="50">
        <f>IF(A2751="","",IFERROR((IF(G2751="",I2751,G2751)-T2751)/M2751,""))</f>
        <v/>
      </c>
      <c r="P2751" s="50">
        <f>IFERROR((I2751/T2751-1)/N2751,"")</f>
        <v/>
      </c>
      <c r="Q2751" s="46">
        <f>IF(OR(T2751="",I2751&lt;T2751),"",IFERROR(R2751/IF(G2751="",I2751,G2751)-1,""))</f>
        <v/>
      </c>
      <c r="R2751" s="48">
        <f>IF($M2751="","",MAX(IF($G2751="",$I2751,$G2751)*(1/1.1),IF($G2751="",$I2751,$G2751)+(R$2*$M2751)))</f>
        <v/>
      </c>
      <c r="S2751" s="49">
        <f>IF($M2751="","",MAX(IF($G2751="",$I2751,$G2751)*(1/1.1),IF($G2751="",$I2751,$G2751)+(S$2*$M2751)))</f>
        <v/>
      </c>
      <c r="T2751" s="82" t="n"/>
      <c r="U2751" s="47">
        <f>IF(OR($M2751="",$T2751=""),"",$T2751+(U$2*$M2751))</f>
        <v/>
      </c>
      <c r="V2751" s="48">
        <f>IF(OR($M2751="",$T2751=""),"",$T2751+(V$2*$M2751))</f>
        <v/>
      </c>
      <c r="W2751" s="48">
        <f>IF(OR($M2751="",$T2751=""),"",$T2751+(W$2*$M2751))</f>
        <v/>
      </c>
      <c r="X2751" s="49">
        <f>IF(OR($M2751="",$T2751=""),"",$T2751+(X$2*$M2751))</f>
        <v/>
      </c>
      <c r="Y2751" s="47">
        <f>IF(OR($M2751="",$T2751=""),"",$T2751+(Y$2*$M2751))</f>
        <v/>
      </c>
      <c r="Z2751" s="49">
        <f>IF(OR($M2751="",$T2751=""),"",$T2751+(Z$2*$M2751))</f>
        <v/>
      </c>
      <c r="AA2751" s="51">
        <f>IF(OR($M2751="",$T2751=""),"",$T2751+(AA$2*$M2751))</f>
        <v/>
      </c>
      <c r="AB2751" s="48">
        <f>IF(OR($M2751="",$T2751=""),"",$T2751+(AB$2*$M2751))</f>
        <v/>
      </c>
      <c r="AC2751" s="48">
        <f>IF(OR($M2751="",$T2751=""),"",$T2751+(AC$2*$M2751))</f>
        <v/>
      </c>
      <c r="AD2751" s="48">
        <f>IF(OR($M2751="",$T2751=""),"",$T2751+(AD$2*$M2751))</f>
        <v/>
      </c>
      <c r="AE2751" s="49">
        <f>IF(OR($M2751="",$T2751=""),"",$T2751+(AE$2*$M2751))</f>
        <v/>
      </c>
      <c r="AF2751" s="52">
        <f>IF(OR(T2751="",I2751&lt;T2751),"",IFERROR(AVERAGE(T2751+M2751*{7,8,9,10,11})/IF(G2751="",I2751,G2751)-1,""))</f>
        <v/>
      </c>
      <c r="AG2751" s="55">
        <f>IF(OR(T2751="",I2751&lt;T2751),"",IFERROR(AF2751/-(R2751/IF(G2751="",I2751,G2751)-1),""))</f>
        <v/>
      </c>
      <c r="AH2751" s="94" t="n"/>
      <c r="AI2751" s="94" t="n"/>
      <c r="AJ2751" s="94" t="n"/>
      <c r="AK2751" s="94" t="n"/>
      <c r="AL2751" s="84" t="n"/>
    </row>
    <row r="2752">
      <c r="A2752" s="64" t="n"/>
      <c r="B2752" s="65" t="n"/>
      <c r="C2752" s="66" t="n"/>
      <c r="D2752" s="67" t="n"/>
      <c r="E2752" s="68" t="n"/>
      <c r="F2752" s="47">
        <f>IF(A2752="","",IF(MIN(H2752,MAX(J2752:K2752))=0,"",MIN(H2752,MAX(J2752:K2752))))</f>
        <v/>
      </c>
      <c r="G2752" s="74" t="n"/>
      <c r="H2752" s="49">
        <f>IF(M2752="","",IFERROR(ROUND(AVERAGE(T2752+M2752*{7,8,9,10,11})/1.21,4),""))</f>
        <v/>
      </c>
      <c r="I2752" s="76" t="n"/>
      <c r="J2752" s="77" t="n"/>
      <c r="K2752" s="74" t="n"/>
      <c r="L2752" s="78" t="n"/>
      <c r="M2752" s="77" t="n"/>
      <c r="N2752" s="53">
        <f>IF(M2752="","",IFERROR(M2752/I2752,""))</f>
        <v/>
      </c>
      <c r="O2752" s="50">
        <f>IF(A2752="","",IFERROR((IF(G2752="",I2752,G2752)-T2752)/M2752,""))</f>
        <v/>
      </c>
      <c r="P2752" s="50">
        <f>IFERROR((I2752/T2752-1)/N2752,"")</f>
        <v/>
      </c>
      <c r="Q2752" s="46">
        <f>IF(OR(T2752="",I2752&lt;T2752),"",IFERROR(R2752/IF(G2752="",I2752,G2752)-1,""))</f>
        <v/>
      </c>
      <c r="R2752" s="48">
        <f>IF($M2752="","",MAX(IF($G2752="",$I2752,$G2752)*(1/1.1),IF($G2752="",$I2752,$G2752)+(R$2*$M2752)))</f>
        <v/>
      </c>
      <c r="S2752" s="49">
        <f>IF($M2752="","",MAX(IF($G2752="",$I2752,$G2752)*(1/1.1),IF($G2752="",$I2752,$G2752)+(S$2*$M2752)))</f>
        <v/>
      </c>
      <c r="T2752" s="82" t="n"/>
      <c r="U2752" s="47">
        <f>IF(OR($M2752="",$T2752=""),"",$T2752+(U$2*$M2752))</f>
        <v/>
      </c>
      <c r="V2752" s="48">
        <f>IF(OR($M2752="",$T2752=""),"",$T2752+(V$2*$M2752))</f>
        <v/>
      </c>
      <c r="W2752" s="48">
        <f>IF(OR($M2752="",$T2752=""),"",$T2752+(W$2*$M2752))</f>
        <v/>
      </c>
      <c r="X2752" s="49">
        <f>IF(OR($M2752="",$T2752=""),"",$T2752+(X$2*$M2752))</f>
        <v/>
      </c>
      <c r="Y2752" s="47">
        <f>IF(OR($M2752="",$T2752=""),"",$T2752+(Y$2*$M2752))</f>
        <v/>
      </c>
      <c r="Z2752" s="49">
        <f>IF(OR($M2752="",$T2752=""),"",$T2752+(Z$2*$M2752))</f>
        <v/>
      </c>
      <c r="AA2752" s="51">
        <f>IF(OR($M2752="",$T2752=""),"",$T2752+(AA$2*$M2752))</f>
        <v/>
      </c>
      <c r="AB2752" s="48">
        <f>IF(OR($M2752="",$T2752=""),"",$T2752+(AB$2*$M2752))</f>
        <v/>
      </c>
      <c r="AC2752" s="48">
        <f>IF(OR($M2752="",$T2752=""),"",$T2752+(AC$2*$M2752))</f>
        <v/>
      </c>
      <c r="AD2752" s="48">
        <f>IF(OR($M2752="",$T2752=""),"",$T2752+(AD$2*$M2752))</f>
        <v/>
      </c>
      <c r="AE2752" s="49">
        <f>IF(OR($M2752="",$T2752=""),"",$T2752+(AE$2*$M2752))</f>
        <v/>
      </c>
      <c r="AF2752" s="52">
        <f>IF(OR(T2752="",I2752&lt;T2752),"",IFERROR(AVERAGE(T2752+M2752*{7,8,9,10,11})/IF(G2752="",I2752,G2752)-1,""))</f>
        <v/>
      </c>
      <c r="AG2752" s="55">
        <f>IF(OR(T2752="",I2752&lt;T2752),"",IFERROR(AF2752/-(R2752/IF(G2752="",I2752,G2752)-1),""))</f>
        <v/>
      </c>
      <c r="AH2752" s="94" t="n"/>
      <c r="AI2752" s="94" t="n"/>
      <c r="AJ2752" s="94" t="n"/>
      <c r="AK2752" s="94" t="n"/>
      <c r="AL2752" s="84" t="n"/>
    </row>
    <row r="2753">
      <c r="A2753" s="64" t="n"/>
      <c r="B2753" s="65" t="n"/>
      <c r="C2753" s="66" t="n"/>
      <c r="D2753" s="67" t="n"/>
      <c r="E2753" s="68" t="n"/>
      <c r="F2753" s="47">
        <f>IF(A2753="","",IF(MIN(H2753,MAX(J2753:K2753))=0,"",MIN(H2753,MAX(J2753:K2753))))</f>
        <v/>
      </c>
      <c r="G2753" s="74" t="n"/>
      <c r="H2753" s="49">
        <f>IF(M2753="","",IFERROR(ROUND(AVERAGE(T2753+M2753*{7,8,9,10,11})/1.21,4),""))</f>
        <v/>
      </c>
      <c r="I2753" s="76" t="n"/>
      <c r="J2753" s="77" t="n"/>
      <c r="K2753" s="74" t="n"/>
      <c r="L2753" s="78" t="n"/>
      <c r="M2753" s="77" t="n"/>
      <c r="N2753" s="53">
        <f>IF(M2753="","",IFERROR(M2753/I2753,""))</f>
        <v/>
      </c>
      <c r="O2753" s="50">
        <f>IF(A2753="","",IFERROR((IF(G2753="",I2753,G2753)-T2753)/M2753,""))</f>
        <v/>
      </c>
      <c r="P2753" s="50">
        <f>IFERROR((I2753/T2753-1)/N2753,"")</f>
        <v/>
      </c>
      <c r="Q2753" s="46">
        <f>IF(OR(T2753="",I2753&lt;T2753),"",IFERROR(R2753/IF(G2753="",I2753,G2753)-1,""))</f>
        <v/>
      </c>
      <c r="R2753" s="48">
        <f>IF($M2753="","",MAX(IF($G2753="",$I2753,$G2753)*(1/1.1),IF($G2753="",$I2753,$G2753)+(R$2*$M2753)))</f>
        <v/>
      </c>
      <c r="S2753" s="49">
        <f>IF($M2753="","",MAX(IF($G2753="",$I2753,$G2753)*(1/1.1),IF($G2753="",$I2753,$G2753)+(S$2*$M2753)))</f>
        <v/>
      </c>
      <c r="T2753" s="82" t="n"/>
      <c r="U2753" s="47">
        <f>IF(OR($M2753="",$T2753=""),"",$T2753+(U$2*$M2753))</f>
        <v/>
      </c>
      <c r="V2753" s="48">
        <f>IF(OR($M2753="",$T2753=""),"",$T2753+(V$2*$M2753))</f>
        <v/>
      </c>
      <c r="W2753" s="48">
        <f>IF(OR($M2753="",$T2753=""),"",$T2753+(W$2*$M2753))</f>
        <v/>
      </c>
      <c r="X2753" s="49">
        <f>IF(OR($M2753="",$T2753=""),"",$T2753+(X$2*$M2753))</f>
        <v/>
      </c>
      <c r="Y2753" s="47">
        <f>IF(OR($M2753="",$T2753=""),"",$T2753+(Y$2*$M2753))</f>
        <v/>
      </c>
      <c r="Z2753" s="49">
        <f>IF(OR($M2753="",$T2753=""),"",$T2753+(Z$2*$M2753))</f>
        <v/>
      </c>
      <c r="AA2753" s="51">
        <f>IF(OR($M2753="",$T2753=""),"",$T2753+(AA$2*$M2753))</f>
        <v/>
      </c>
      <c r="AB2753" s="48">
        <f>IF(OR($M2753="",$T2753=""),"",$T2753+(AB$2*$M2753))</f>
        <v/>
      </c>
      <c r="AC2753" s="48">
        <f>IF(OR($M2753="",$T2753=""),"",$T2753+(AC$2*$M2753))</f>
        <v/>
      </c>
      <c r="AD2753" s="48">
        <f>IF(OR($M2753="",$T2753=""),"",$T2753+(AD$2*$M2753))</f>
        <v/>
      </c>
      <c r="AE2753" s="49">
        <f>IF(OR($M2753="",$T2753=""),"",$T2753+(AE$2*$M2753))</f>
        <v/>
      </c>
      <c r="AF2753" s="52">
        <f>IF(OR(T2753="",I2753&lt;T2753),"",IFERROR(AVERAGE(T2753+M2753*{7,8,9,10,11})/IF(G2753="",I2753,G2753)-1,""))</f>
        <v/>
      </c>
      <c r="AG2753" s="55">
        <f>IF(OR(T2753="",I2753&lt;T2753),"",IFERROR(AF2753/-(R2753/IF(G2753="",I2753,G2753)-1),""))</f>
        <v/>
      </c>
      <c r="AH2753" s="94" t="n"/>
      <c r="AI2753" s="94" t="n"/>
      <c r="AJ2753" s="94" t="n"/>
      <c r="AK2753" s="94" t="n"/>
      <c r="AL2753" s="84" t="n"/>
    </row>
    <row r="2754">
      <c r="A2754" s="64" t="n"/>
      <c r="B2754" s="65" t="n"/>
      <c r="C2754" s="66" t="n"/>
      <c r="D2754" s="67" t="n"/>
      <c r="E2754" s="68" t="n"/>
      <c r="F2754" s="47">
        <f>IF(A2754="","",IF(MIN(H2754,MAX(J2754:K2754))=0,"",MIN(H2754,MAX(J2754:K2754))))</f>
        <v/>
      </c>
      <c r="G2754" s="74" t="n"/>
      <c r="H2754" s="49">
        <f>IF(M2754="","",IFERROR(ROUND(AVERAGE(T2754+M2754*{7,8,9,10,11})/1.21,4),""))</f>
        <v/>
      </c>
      <c r="I2754" s="76" t="n"/>
      <c r="J2754" s="77" t="n"/>
      <c r="K2754" s="74" t="n"/>
      <c r="L2754" s="78" t="n"/>
      <c r="M2754" s="77" t="n"/>
      <c r="N2754" s="53">
        <f>IF(M2754="","",IFERROR(M2754/I2754,""))</f>
        <v/>
      </c>
      <c r="O2754" s="50">
        <f>IF(A2754="","",IFERROR((IF(G2754="",I2754,G2754)-T2754)/M2754,""))</f>
        <v/>
      </c>
      <c r="P2754" s="50">
        <f>IFERROR((I2754/T2754-1)/N2754,"")</f>
        <v/>
      </c>
      <c r="Q2754" s="46">
        <f>IF(OR(T2754="",I2754&lt;T2754),"",IFERROR(R2754/IF(G2754="",I2754,G2754)-1,""))</f>
        <v/>
      </c>
      <c r="R2754" s="48">
        <f>IF($M2754="","",MAX(IF($G2754="",$I2754,$G2754)*(1/1.1),IF($G2754="",$I2754,$G2754)+(R$2*$M2754)))</f>
        <v/>
      </c>
      <c r="S2754" s="49">
        <f>IF($M2754="","",MAX(IF($G2754="",$I2754,$G2754)*(1/1.1),IF($G2754="",$I2754,$G2754)+(S$2*$M2754)))</f>
        <v/>
      </c>
      <c r="T2754" s="82" t="n"/>
      <c r="U2754" s="47">
        <f>IF(OR($M2754="",$T2754=""),"",$T2754+(U$2*$M2754))</f>
        <v/>
      </c>
      <c r="V2754" s="48">
        <f>IF(OR($M2754="",$T2754=""),"",$T2754+(V$2*$M2754))</f>
        <v/>
      </c>
      <c r="W2754" s="48">
        <f>IF(OR($M2754="",$T2754=""),"",$T2754+(W$2*$M2754))</f>
        <v/>
      </c>
      <c r="X2754" s="49">
        <f>IF(OR($M2754="",$T2754=""),"",$T2754+(X$2*$M2754))</f>
        <v/>
      </c>
      <c r="Y2754" s="47">
        <f>IF(OR($M2754="",$T2754=""),"",$T2754+(Y$2*$M2754))</f>
        <v/>
      </c>
      <c r="Z2754" s="49">
        <f>IF(OR($M2754="",$T2754=""),"",$T2754+(Z$2*$M2754))</f>
        <v/>
      </c>
      <c r="AA2754" s="51">
        <f>IF(OR($M2754="",$T2754=""),"",$T2754+(AA$2*$M2754))</f>
        <v/>
      </c>
      <c r="AB2754" s="48">
        <f>IF(OR($M2754="",$T2754=""),"",$T2754+(AB$2*$M2754))</f>
        <v/>
      </c>
      <c r="AC2754" s="48">
        <f>IF(OR($M2754="",$T2754=""),"",$T2754+(AC$2*$M2754))</f>
        <v/>
      </c>
      <c r="AD2754" s="48">
        <f>IF(OR($M2754="",$T2754=""),"",$T2754+(AD$2*$M2754))</f>
        <v/>
      </c>
      <c r="AE2754" s="49">
        <f>IF(OR($M2754="",$T2754=""),"",$T2754+(AE$2*$M2754))</f>
        <v/>
      </c>
      <c r="AF2754" s="52">
        <f>IF(OR(T2754="",I2754&lt;T2754),"",IFERROR(AVERAGE(T2754+M2754*{7,8,9,10,11})/IF(G2754="",I2754,G2754)-1,""))</f>
        <v/>
      </c>
      <c r="AG2754" s="55">
        <f>IF(OR(T2754="",I2754&lt;T2754),"",IFERROR(AF2754/-(R2754/IF(G2754="",I2754,G2754)-1),""))</f>
        <v/>
      </c>
      <c r="AH2754" s="94" t="n"/>
      <c r="AI2754" s="94" t="n"/>
      <c r="AJ2754" s="94" t="n"/>
      <c r="AK2754" s="94" t="n"/>
      <c r="AL2754" s="84" t="n"/>
    </row>
    <row r="2755">
      <c r="A2755" s="64" t="n"/>
      <c r="B2755" s="65" t="n"/>
      <c r="C2755" s="66" t="n"/>
      <c r="D2755" s="67" t="n"/>
      <c r="E2755" s="68" t="n"/>
      <c r="F2755" s="47">
        <f>IF(A2755="","",IF(MIN(H2755,MAX(J2755:K2755))=0,"",MIN(H2755,MAX(J2755:K2755))))</f>
        <v/>
      </c>
      <c r="G2755" s="74" t="n"/>
      <c r="H2755" s="49">
        <f>IF(M2755="","",IFERROR(ROUND(AVERAGE(T2755+M2755*{7,8,9,10,11})/1.21,4),""))</f>
        <v/>
      </c>
      <c r="I2755" s="76" t="n"/>
      <c r="J2755" s="77" t="n"/>
      <c r="K2755" s="74" t="n"/>
      <c r="L2755" s="78" t="n"/>
      <c r="M2755" s="77" t="n"/>
      <c r="N2755" s="53">
        <f>IF(M2755="","",IFERROR(M2755/I2755,""))</f>
        <v/>
      </c>
      <c r="O2755" s="50">
        <f>IF(A2755="","",IFERROR((IF(G2755="",I2755,G2755)-T2755)/M2755,""))</f>
        <v/>
      </c>
      <c r="P2755" s="50">
        <f>IFERROR((I2755/T2755-1)/N2755,"")</f>
        <v/>
      </c>
      <c r="Q2755" s="46">
        <f>IF(OR(T2755="",I2755&lt;T2755),"",IFERROR(R2755/IF(G2755="",I2755,G2755)-1,""))</f>
        <v/>
      </c>
      <c r="R2755" s="48">
        <f>IF($M2755="","",MAX(IF($G2755="",$I2755,$G2755)*(1/1.1),IF($G2755="",$I2755,$G2755)+(R$2*$M2755)))</f>
        <v/>
      </c>
      <c r="S2755" s="49">
        <f>IF($M2755="","",MAX(IF($G2755="",$I2755,$G2755)*(1/1.1),IF($G2755="",$I2755,$G2755)+(S$2*$M2755)))</f>
        <v/>
      </c>
      <c r="T2755" s="82" t="n"/>
      <c r="U2755" s="47">
        <f>IF(OR($M2755="",$T2755=""),"",$T2755+(U$2*$M2755))</f>
        <v/>
      </c>
      <c r="V2755" s="48">
        <f>IF(OR($M2755="",$T2755=""),"",$T2755+(V$2*$M2755))</f>
        <v/>
      </c>
      <c r="W2755" s="48">
        <f>IF(OR($M2755="",$T2755=""),"",$T2755+(W$2*$M2755))</f>
        <v/>
      </c>
      <c r="X2755" s="49">
        <f>IF(OR($M2755="",$T2755=""),"",$T2755+(X$2*$M2755))</f>
        <v/>
      </c>
      <c r="Y2755" s="47">
        <f>IF(OR($M2755="",$T2755=""),"",$T2755+(Y$2*$M2755))</f>
        <v/>
      </c>
      <c r="Z2755" s="49">
        <f>IF(OR($M2755="",$T2755=""),"",$T2755+(Z$2*$M2755))</f>
        <v/>
      </c>
      <c r="AA2755" s="51">
        <f>IF(OR($M2755="",$T2755=""),"",$T2755+(AA$2*$M2755))</f>
        <v/>
      </c>
      <c r="AB2755" s="48">
        <f>IF(OR($M2755="",$T2755=""),"",$T2755+(AB$2*$M2755))</f>
        <v/>
      </c>
      <c r="AC2755" s="48">
        <f>IF(OR($M2755="",$T2755=""),"",$T2755+(AC$2*$M2755))</f>
        <v/>
      </c>
      <c r="AD2755" s="48">
        <f>IF(OR($M2755="",$T2755=""),"",$T2755+(AD$2*$M2755))</f>
        <v/>
      </c>
      <c r="AE2755" s="49">
        <f>IF(OR($M2755="",$T2755=""),"",$T2755+(AE$2*$M2755))</f>
        <v/>
      </c>
      <c r="AF2755" s="52">
        <f>IF(OR(T2755="",I2755&lt;T2755),"",IFERROR(AVERAGE(T2755+M2755*{7,8,9,10,11})/IF(G2755="",I2755,G2755)-1,""))</f>
        <v/>
      </c>
      <c r="AG2755" s="55">
        <f>IF(OR(T2755="",I2755&lt;T2755),"",IFERROR(AF2755/-(R2755/IF(G2755="",I2755,G2755)-1),""))</f>
        <v/>
      </c>
      <c r="AH2755" s="94" t="n"/>
      <c r="AI2755" s="94" t="n"/>
      <c r="AJ2755" s="94" t="n"/>
      <c r="AK2755" s="94" t="n"/>
      <c r="AL2755" s="84" t="n"/>
    </row>
    <row r="2756">
      <c r="A2756" s="64" t="n"/>
      <c r="B2756" s="65" t="n"/>
      <c r="C2756" s="66" t="n"/>
      <c r="D2756" s="67" t="n"/>
      <c r="E2756" s="68" t="n"/>
      <c r="F2756" s="47">
        <f>IF(A2756="","",IF(MIN(H2756,MAX(J2756:K2756))=0,"",MIN(H2756,MAX(J2756:K2756))))</f>
        <v/>
      </c>
      <c r="G2756" s="74" t="n"/>
      <c r="H2756" s="49">
        <f>IF(M2756="","",IFERROR(ROUND(AVERAGE(T2756+M2756*{7,8,9,10,11})/1.21,4),""))</f>
        <v/>
      </c>
      <c r="I2756" s="76" t="n"/>
      <c r="J2756" s="77" t="n"/>
      <c r="K2756" s="74" t="n"/>
      <c r="L2756" s="78" t="n"/>
      <c r="M2756" s="77" t="n"/>
      <c r="N2756" s="53">
        <f>IF(M2756="","",IFERROR(M2756/I2756,""))</f>
        <v/>
      </c>
      <c r="O2756" s="50">
        <f>IF(A2756="","",IFERROR((IF(G2756="",I2756,G2756)-T2756)/M2756,""))</f>
        <v/>
      </c>
      <c r="P2756" s="50">
        <f>IFERROR((I2756/T2756-1)/N2756,"")</f>
        <v/>
      </c>
      <c r="Q2756" s="46">
        <f>IF(OR(T2756="",I2756&lt;T2756),"",IFERROR(R2756/IF(G2756="",I2756,G2756)-1,""))</f>
        <v/>
      </c>
      <c r="R2756" s="48">
        <f>IF($M2756="","",MAX(IF($G2756="",$I2756,$G2756)*(1/1.1),IF($G2756="",$I2756,$G2756)+(R$2*$M2756)))</f>
        <v/>
      </c>
      <c r="S2756" s="49">
        <f>IF($M2756="","",MAX(IF($G2756="",$I2756,$G2756)*(1/1.1),IF($G2756="",$I2756,$G2756)+(S$2*$M2756)))</f>
        <v/>
      </c>
      <c r="T2756" s="82" t="n"/>
      <c r="U2756" s="47">
        <f>IF(OR($M2756="",$T2756=""),"",$T2756+(U$2*$M2756))</f>
        <v/>
      </c>
      <c r="V2756" s="48">
        <f>IF(OR($M2756="",$T2756=""),"",$T2756+(V$2*$M2756))</f>
        <v/>
      </c>
      <c r="W2756" s="48">
        <f>IF(OR($M2756="",$T2756=""),"",$T2756+(W$2*$M2756))</f>
        <v/>
      </c>
      <c r="X2756" s="49">
        <f>IF(OR($M2756="",$T2756=""),"",$T2756+(X$2*$M2756))</f>
        <v/>
      </c>
      <c r="Y2756" s="47">
        <f>IF(OR($M2756="",$T2756=""),"",$T2756+(Y$2*$M2756))</f>
        <v/>
      </c>
      <c r="Z2756" s="49">
        <f>IF(OR($M2756="",$T2756=""),"",$T2756+(Z$2*$M2756))</f>
        <v/>
      </c>
      <c r="AA2756" s="51">
        <f>IF(OR($M2756="",$T2756=""),"",$T2756+(AA$2*$M2756))</f>
        <v/>
      </c>
      <c r="AB2756" s="48">
        <f>IF(OR($M2756="",$T2756=""),"",$T2756+(AB$2*$M2756))</f>
        <v/>
      </c>
      <c r="AC2756" s="48">
        <f>IF(OR($M2756="",$T2756=""),"",$T2756+(AC$2*$M2756))</f>
        <v/>
      </c>
      <c r="AD2756" s="48">
        <f>IF(OR($M2756="",$T2756=""),"",$T2756+(AD$2*$M2756))</f>
        <v/>
      </c>
      <c r="AE2756" s="49">
        <f>IF(OR($M2756="",$T2756=""),"",$T2756+(AE$2*$M2756))</f>
        <v/>
      </c>
      <c r="AF2756" s="52">
        <f>IF(OR(T2756="",I2756&lt;T2756),"",IFERROR(AVERAGE(T2756+M2756*{7,8,9,10,11})/IF(G2756="",I2756,G2756)-1,""))</f>
        <v/>
      </c>
      <c r="AG2756" s="55">
        <f>IF(OR(T2756="",I2756&lt;T2756),"",IFERROR(AF2756/-(R2756/IF(G2756="",I2756,G2756)-1),""))</f>
        <v/>
      </c>
      <c r="AH2756" s="94" t="n"/>
      <c r="AI2756" s="94" t="n"/>
      <c r="AJ2756" s="94" t="n"/>
      <c r="AK2756" s="94" t="n"/>
      <c r="AL2756" s="84" t="n"/>
    </row>
    <row r="2757">
      <c r="A2757" s="64" t="n"/>
      <c r="B2757" s="65" t="n"/>
      <c r="C2757" s="66" t="n"/>
      <c r="D2757" s="67" t="n"/>
      <c r="E2757" s="68" t="n"/>
      <c r="F2757" s="47">
        <f>IF(A2757="","",IF(MIN(H2757,MAX(J2757:K2757))=0,"",MIN(H2757,MAX(J2757:K2757))))</f>
        <v/>
      </c>
      <c r="G2757" s="74" t="n"/>
      <c r="H2757" s="49">
        <f>IF(M2757="","",IFERROR(ROUND(AVERAGE(T2757+M2757*{7,8,9,10,11})/1.21,4),""))</f>
        <v/>
      </c>
      <c r="I2757" s="76" t="n"/>
      <c r="J2757" s="77" t="n"/>
      <c r="K2757" s="74" t="n"/>
      <c r="L2757" s="78" t="n"/>
      <c r="M2757" s="77" t="n"/>
      <c r="N2757" s="53">
        <f>IF(M2757="","",IFERROR(M2757/I2757,""))</f>
        <v/>
      </c>
      <c r="O2757" s="50">
        <f>IF(A2757="","",IFERROR((IF(G2757="",I2757,G2757)-T2757)/M2757,""))</f>
        <v/>
      </c>
      <c r="P2757" s="50">
        <f>IFERROR((I2757/T2757-1)/N2757,"")</f>
        <v/>
      </c>
      <c r="Q2757" s="46">
        <f>IF(OR(T2757="",I2757&lt;T2757),"",IFERROR(R2757/IF(G2757="",I2757,G2757)-1,""))</f>
        <v/>
      </c>
      <c r="R2757" s="48">
        <f>IF($M2757="","",MAX(IF($G2757="",$I2757,$G2757)*(1/1.1),IF($G2757="",$I2757,$G2757)+(R$2*$M2757)))</f>
        <v/>
      </c>
      <c r="S2757" s="49">
        <f>IF($M2757="","",MAX(IF($G2757="",$I2757,$G2757)*(1/1.1),IF($G2757="",$I2757,$G2757)+(S$2*$M2757)))</f>
        <v/>
      </c>
      <c r="T2757" s="82" t="n"/>
      <c r="U2757" s="47">
        <f>IF(OR($M2757="",$T2757=""),"",$T2757+(U$2*$M2757))</f>
        <v/>
      </c>
      <c r="V2757" s="48">
        <f>IF(OR($M2757="",$T2757=""),"",$T2757+(V$2*$M2757))</f>
        <v/>
      </c>
      <c r="W2757" s="48">
        <f>IF(OR($M2757="",$T2757=""),"",$T2757+(W$2*$M2757))</f>
        <v/>
      </c>
      <c r="X2757" s="49">
        <f>IF(OR($M2757="",$T2757=""),"",$T2757+(X$2*$M2757))</f>
        <v/>
      </c>
      <c r="Y2757" s="47">
        <f>IF(OR($M2757="",$T2757=""),"",$T2757+(Y$2*$M2757))</f>
        <v/>
      </c>
      <c r="Z2757" s="49">
        <f>IF(OR($M2757="",$T2757=""),"",$T2757+(Z$2*$M2757))</f>
        <v/>
      </c>
      <c r="AA2757" s="51">
        <f>IF(OR($M2757="",$T2757=""),"",$T2757+(AA$2*$M2757))</f>
        <v/>
      </c>
      <c r="AB2757" s="48">
        <f>IF(OR($M2757="",$T2757=""),"",$T2757+(AB$2*$M2757))</f>
        <v/>
      </c>
      <c r="AC2757" s="48">
        <f>IF(OR($M2757="",$T2757=""),"",$T2757+(AC$2*$M2757))</f>
        <v/>
      </c>
      <c r="AD2757" s="48">
        <f>IF(OR($M2757="",$T2757=""),"",$T2757+(AD$2*$M2757))</f>
        <v/>
      </c>
      <c r="AE2757" s="49">
        <f>IF(OR($M2757="",$T2757=""),"",$T2757+(AE$2*$M2757))</f>
        <v/>
      </c>
      <c r="AF2757" s="52">
        <f>IF(OR(T2757="",I2757&lt;T2757),"",IFERROR(AVERAGE(T2757+M2757*{7,8,9,10,11})/IF(G2757="",I2757,G2757)-1,""))</f>
        <v/>
      </c>
      <c r="AG2757" s="55">
        <f>IF(OR(T2757="",I2757&lt;T2757),"",IFERROR(AF2757/-(R2757/IF(G2757="",I2757,G2757)-1),""))</f>
        <v/>
      </c>
      <c r="AH2757" s="94" t="n"/>
      <c r="AI2757" s="94" t="n"/>
      <c r="AJ2757" s="94" t="n"/>
      <c r="AK2757" s="94" t="n"/>
      <c r="AL2757" s="84" t="n"/>
    </row>
    <row r="2758">
      <c r="A2758" s="64" t="n"/>
      <c r="B2758" s="65" t="n"/>
      <c r="C2758" s="66" t="n"/>
      <c r="D2758" s="67" t="n"/>
      <c r="E2758" s="68" t="n"/>
      <c r="F2758" s="47">
        <f>IF(A2758="","",IF(MIN(H2758,MAX(J2758:K2758))=0,"",MIN(H2758,MAX(J2758:K2758))))</f>
        <v/>
      </c>
      <c r="G2758" s="74" t="n"/>
      <c r="H2758" s="49">
        <f>IF(M2758="","",IFERROR(ROUND(AVERAGE(T2758+M2758*{7,8,9,10,11})/1.21,4),""))</f>
        <v/>
      </c>
      <c r="I2758" s="76" t="n"/>
      <c r="J2758" s="77" t="n"/>
      <c r="K2758" s="74" t="n"/>
      <c r="L2758" s="78" t="n"/>
      <c r="M2758" s="77" t="n"/>
      <c r="N2758" s="53">
        <f>IF(M2758="","",IFERROR(M2758/I2758,""))</f>
        <v/>
      </c>
      <c r="O2758" s="50">
        <f>IF(A2758="","",IFERROR((IF(G2758="",I2758,G2758)-T2758)/M2758,""))</f>
        <v/>
      </c>
      <c r="P2758" s="50">
        <f>IFERROR((I2758/T2758-1)/N2758,"")</f>
        <v/>
      </c>
      <c r="Q2758" s="46">
        <f>IF(OR(T2758="",I2758&lt;T2758),"",IFERROR(R2758/IF(G2758="",I2758,G2758)-1,""))</f>
        <v/>
      </c>
      <c r="R2758" s="48">
        <f>IF($M2758="","",MAX(IF($G2758="",$I2758,$G2758)*(1/1.1),IF($G2758="",$I2758,$G2758)+(R$2*$M2758)))</f>
        <v/>
      </c>
      <c r="S2758" s="49">
        <f>IF($M2758="","",MAX(IF($G2758="",$I2758,$G2758)*(1/1.1),IF($G2758="",$I2758,$G2758)+(S$2*$M2758)))</f>
        <v/>
      </c>
      <c r="T2758" s="82" t="n"/>
      <c r="U2758" s="47">
        <f>IF(OR($M2758="",$T2758=""),"",$T2758+(U$2*$M2758))</f>
        <v/>
      </c>
      <c r="V2758" s="48">
        <f>IF(OR($M2758="",$T2758=""),"",$T2758+(V$2*$M2758))</f>
        <v/>
      </c>
      <c r="W2758" s="48">
        <f>IF(OR($M2758="",$T2758=""),"",$T2758+(W$2*$M2758))</f>
        <v/>
      </c>
      <c r="X2758" s="49">
        <f>IF(OR($M2758="",$T2758=""),"",$T2758+(X$2*$M2758))</f>
        <v/>
      </c>
      <c r="Y2758" s="47">
        <f>IF(OR($M2758="",$T2758=""),"",$T2758+(Y$2*$M2758))</f>
        <v/>
      </c>
      <c r="Z2758" s="49">
        <f>IF(OR($M2758="",$T2758=""),"",$T2758+(Z$2*$M2758))</f>
        <v/>
      </c>
      <c r="AA2758" s="51">
        <f>IF(OR($M2758="",$T2758=""),"",$T2758+(AA$2*$M2758))</f>
        <v/>
      </c>
      <c r="AB2758" s="48">
        <f>IF(OR($M2758="",$T2758=""),"",$T2758+(AB$2*$M2758))</f>
        <v/>
      </c>
      <c r="AC2758" s="48">
        <f>IF(OR($M2758="",$T2758=""),"",$T2758+(AC$2*$M2758))</f>
        <v/>
      </c>
      <c r="AD2758" s="48">
        <f>IF(OR($M2758="",$T2758=""),"",$T2758+(AD$2*$M2758))</f>
        <v/>
      </c>
      <c r="AE2758" s="49">
        <f>IF(OR($M2758="",$T2758=""),"",$T2758+(AE$2*$M2758))</f>
        <v/>
      </c>
      <c r="AF2758" s="52">
        <f>IF(OR(T2758="",I2758&lt;T2758),"",IFERROR(AVERAGE(T2758+M2758*{7,8,9,10,11})/IF(G2758="",I2758,G2758)-1,""))</f>
        <v/>
      </c>
      <c r="AG2758" s="55">
        <f>IF(OR(T2758="",I2758&lt;T2758),"",IFERROR(AF2758/-(R2758/IF(G2758="",I2758,G2758)-1),""))</f>
        <v/>
      </c>
      <c r="AH2758" s="94" t="n"/>
      <c r="AI2758" s="94" t="n"/>
      <c r="AJ2758" s="94" t="n"/>
      <c r="AK2758" s="94" t="n"/>
      <c r="AL2758" s="84" t="n"/>
    </row>
    <row r="2759">
      <c r="A2759" s="64" t="n"/>
      <c r="B2759" s="65" t="n"/>
      <c r="C2759" s="66" t="n"/>
      <c r="D2759" s="67" t="n"/>
      <c r="E2759" s="68" t="n"/>
      <c r="F2759" s="47">
        <f>IF(A2759="","",IF(MIN(H2759,MAX(J2759:K2759))=0,"",MIN(H2759,MAX(J2759:K2759))))</f>
        <v/>
      </c>
      <c r="G2759" s="74" t="n"/>
      <c r="H2759" s="49">
        <f>IF(M2759="","",IFERROR(ROUND(AVERAGE(T2759+M2759*{7,8,9,10,11})/1.21,4),""))</f>
        <v/>
      </c>
      <c r="I2759" s="76" t="n"/>
      <c r="J2759" s="77" t="n"/>
      <c r="K2759" s="74" t="n"/>
      <c r="L2759" s="78" t="n"/>
      <c r="M2759" s="77" t="n"/>
      <c r="N2759" s="53">
        <f>IF(M2759="","",IFERROR(M2759/I2759,""))</f>
        <v/>
      </c>
      <c r="O2759" s="50">
        <f>IF(A2759="","",IFERROR((IF(G2759="",I2759,G2759)-T2759)/M2759,""))</f>
        <v/>
      </c>
      <c r="P2759" s="50">
        <f>IFERROR((I2759/T2759-1)/N2759,"")</f>
        <v/>
      </c>
      <c r="Q2759" s="46">
        <f>IF(OR(T2759="",I2759&lt;T2759),"",IFERROR(R2759/IF(G2759="",I2759,G2759)-1,""))</f>
        <v/>
      </c>
      <c r="R2759" s="48">
        <f>IF($M2759="","",MAX(IF($G2759="",$I2759,$G2759)*(1/1.1),IF($G2759="",$I2759,$G2759)+(R$2*$M2759)))</f>
        <v/>
      </c>
      <c r="S2759" s="49">
        <f>IF($M2759="","",MAX(IF($G2759="",$I2759,$G2759)*(1/1.1),IF($G2759="",$I2759,$G2759)+(S$2*$M2759)))</f>
        <v/>
      </c>
      <c r="T2759" s="82" t="n"/>
      <c r="U2759" s="47">
        <f>IF(OR($M2759="",$T2759=""),"",$T2759+(U$2*$M2759))</f>
        <v/>
      </c>
      <c r="V2759" s="48">
        <f>IF(OR($M2759="",$T2759=""),"",$T2759+(V$2*$M2759))</f>
        <v/>
      </c>
      <c r="W2759" s="48">
        <f>IF(OR($M2759="",$T2759=""),"",$T2759+(W$2*$M2759))</f>
        <v/>
      </c>
      <c r="X2759" s="49">
        <f>IF(OR($M2759="",$T2759=""),"",$T2759+(X$2*$M2759))</f>
        <v/>
      </c>
      <c r="Y2759" s="47">
        <f>IF(OR($M2759="",$T2759=""),"",$T2759+(Y$2*$M2759))</f>
        <v/>
      </c>
      <c r="Z2759" s="49">
        <f>IF(OR($M2759="",$T2759=""),"",$T2759+(Z$2*$M2759))</f>
        <v/>
      </c>
      <c r="AA2759" s="51">
        <f>IF(OR($M2759="",$T2759=""),"",$T2759+(AA$2*$M2759))</f>
        <v/>
      </c>
      <c r="AB2759" s="48">
        <f>IF(OR($M2759="",$T2759=""),"",$T2759+(AB$2*$M2759))</f>
        <v/>
      </c>
      <c r="AC2759" s="48">
        <f>IF(OR($M2759="",$T2759=""),"",$T2759+(AC$2*$M2759))</f>
        <v/>
      </c>
      <c r="AD2759" s="48">
        <f>IF(OR($M2759="",$T2759=""),"",$T2759+(AD$2*$M2759))</f>
        <v/>
      </c>
      <c r="AE2759" s="49">
        <f>IF(OR($M2759="",$T2759=""),"",$T2759+(AE$2*$M2759))</f>
        <v/>
      </c>
      <c r="AF2759" s="52">
        <f>IF(OR(T2759="",I2759&lt;T2759),"",IFERROR(AVERAGE(T2759+M2759*{7,8,9,10,11})/IF(G2759="",I2759,G2759)-1,""))</f>
        <v/>
      </c>
      <c r="AG2759" s="55">
        <f>IF(OR(T2759="",I2759&lt;T2759),"",IFERROR(AF2759/-(R2759/IF(G2759="",I2759,G2759)-1),""))</f>
        <v/>
      </c>
      <c r="AH2759" s="94" t="n"/>
      <c r="AI2759" s="94" t="n"/>
      <c r="AJ2759" s="94" t="n"/>
      <c r="AK2759" s="94" t="n"/>
      <c r="AL2759" s="84" t="n"/>
    </row>
    <row r="2760">
      <c r="A2760" s="64" t="n"/>
      <c r="B2760" s="65" t="n"/>
      <c r="C2760" s="66" t="n"/>
      <c r="D2760" s="67" t="n"/>
      <c r="E2760" s="68" t="n"/>
      <c r="F2760" s="47">
        <f>IF(A2760="","",IF(MIN(H2760,MAX(J2760:K2760))=0,"",MIN(H2760,MAX(J2760:K2760))))</f>
        <v/>
      </c>
      <c r="G2760" s="74" t="n"/>
      <c r="H2760" s="49">
        <f>IF(M2760="","",IFERROR(ROUND(AVERAGE(T2760+M2760*{7,8,9,10,11})/1.21,4),""))</f>
        <v/>
      </c>
      <c r="I2760" s="76" t="n"/>
      <c r="J2760" s="77" t="n"/>
      <c r="K2760" s="74" t="n"/>
      <c r="L2760" s="78" t="n"/>
      <c r="M2760" s="77" t="n"/>
      <c r="N2760" s="53">
        <f>IF(M2760="","",IFERROR(M2760/I2760,""))</f>
        <v/>
      </c>
      <c r="O2760" s="50">
        <f>IF(A2760="","",IFERROR((IF(G2760="",I2760,G2760)-T2760)/M2760,""))</f>
        <v/>
      </c>
      <c r="P2760" s="50">
        <f>IFERROR((I2760/T2760-1)/N2760,"")</f>
        <v/>
      </c>
      <c r="Q2760" s="46">
        <f>IF(OR(T2760="",I2760&lt;T2760),"",IFERROR(R2760/IF(G2760="",I2760,G2760)-1,""))</f>
        <v/>
      </c>
      <c r="R2760" s="48">
        <f>IF($M2760="","",MAX(IF($G2760="",$I2760,$G2760)*(1/1.1),IF($G2760="",$I2760,$G2760)+(R$2*$M2760)))</f>
        <v/>
      </c>
      <c r="S2760" s="49">
        <f>IF($M2760="","",MAX(IF($G2760="",$I2760,$G2760)*(1/1.1),IF($G2760="",$I2760,$G2760)+(S$2*$M2760)))</f>
        <v/>
      </c>
      <c r="T2760" s="82" t="n"/>
      <c r="U2760" s="47">
        <f>IF(OR($M2760="",$T2760=""),"",$T2760+(U$2*$M2760))</f>
        <v/>
      </c>
      <c r="V2760" s="48">
        <f>IF(OR($M2760="",$T2760=""),"",$T2760+(V$2*$M2760))</f>
        <v/>
      </c>
      <c r="W2760" s="48">
        <f>IF(OR($M2760="",$T2760=""),"",$T2760+(W$2*$M2760))</f>
        <v/>
      </c>
      <c r="X2760" s="49">
        <f>IF(OR($M2760="",$T2760=""),"",$T2760+(X$2*$M2760))</f>
        <v/>
      </c>
      <c r="Y2760" s="47">
        <f>IF(OR($M2760="",$T2760=""),"",$T2760+(Y$2*$M2760))</f>
        <v/>
      </c>
      <c r="Z2760" s="49">
        <f>IF(OR($M2760="",$T2760=""),"",$T2760+(Z$2*$M2760))</f>
        <v/>
      </c>
      <c r="AA2760" s="51">
        <f>IF(OR($M2760="",$T2760=""),"",$T2760+(AA$2*$M2760))</f>
        <v/>
      </c>
      <c r="AB2760" s="48">
        <f>IF(OR($M2760="",$T2760=""),"",$T2760+(AB$2*$M2760))</f>
        <v/>
      </c>
      <c r="AC2760" s="48">
        <f>IF(OR($M2760="",$T2760=""),"",$T2760+(AC$2*$M2760))</f>
        <v/>
      </c>
      <c r="AD2760" s="48">
        <f>IF(OR($M2760="",$T2760=""),"",$T2760+(AD$2*$M2760))</f>
        <v/>
      </c>
      <c r="AE2760" s="49">
        <f>IF(OR($M2760="",$T2760=""),"",$T2760+(AE$2*$M2760))</f>
        <v/>
      </c>
      <c r="AF2760" s="52">
        <f>IF(OR(T2760="",I2760&lt;T2760),"",IFERROR(AVERAGE(T2760+M2760*{7,8,9,10,11})/IF(G2760="",I2760,G2760)-1,""))</f>
        <v/>
      </c>
      <c r="AG2760" s="55">
        <f>IF(OR(T2760="",I2760&lt;T2760),"",IFERROR(AF2760/-(R2760/IF(G2760="",I2760,G2760)-1),""))</f>
        <v/>
      </c>
      <c r="AH2760" s="94" t="n"/>
      <c r="AI2760" s="94" t="n"/>
      <c r="AJ2760" s="94" t="n"/>
      <c r="AK2760" s="94" t="n"/>
      <c r="AL2760" s="84" t="n"/>
    </row>
    <row r="2761">
      <c r="A2761" s="64" t="n"/>
      <c r="B2761" s="65" t="n"/>
      <c r="C2761" s="66" t="n"/>
      <c r="D2761" s="67" t="n"/>
      <c r="E2761" s="68" t="n"/>
      <c r="F2761" s="47">
        <f>IF(A2761="","",IF(MIN(H2761,MAX(J2761:K2761))=0,"",MIN(H2761,MAX(J2761:K2761))))</f>
        <v/>
      </c>
      <c r="G2761" s="74" t="n"/>
      <c r="H2761" s="49">
        <f>IF(M2761="","",IFERROR(ROUND(AVERAGE(T2761+M2761*{7,8,9,10,11})/1.21,4),""))</f>
        <v/>
      </c>
      <c r="I2761" s="76" t="n"/>
      <c r="J2761" s="77" t="n"/>
      <c r="K2761" s="74" t="n"/>
      <c r="L2761" s="78" t="n"/>
      <c r="M2761" s="77" t="n"/>
      <c r="N2761" s="53">
        <f>IF(M2761="","",IFERROR(M2761/I2761,""))</f>
        <v/>
      </c>
      <c r="O2761" s="50">
        <f>IF(A2761="","",IFERROR((IF(G2761="",I2761,G2761)-T2761)/M2761,""))</f>
        <v/>
      </c>
      <c r="P2761" s="50">
        <f>IFERROR((I2761/T2761-1)/N2761,"")</f>
        <v/>
      </c>
      <c r="Q2761" s="46">
        <f>IF(OR(T2761="",I2761&lt;T2761),"",IFERROR(R2761/IF(G2761="",I2761,G2761)-1,""))</f>
        <v/>
      </c>
      <c r="R2761" s="48">
        <f>IF($M2761="","",MAX(IF($G2761="",$I2761,$G2761)*(1/1.1),IF($G2761="",$I2761,$G2761)+(R$2*$M2761)))</f>
        <v/>
      </c>
      <c r="S2761" s="49">
        <f>IF($M2761="","",MAX(IF($G2761="",$I2761,$G2761)*(1/1.1),IF($G2761="",$I2761,$G2761)+(S$2*$M2761)))</f>
        <v/>
      </c>
      <c r="T2761" s="82" t="n"/>
      <c r="U2761" s="47">
        <f>IF(OR($M2761="",$T2761=""),"",$T2761+(U$2*$M2761))</f>
        <v/>
      </c>
      <c r="V2761" s="48">
        <f>IF(OR($M2761="",$T2761=""),"",$T2761+(V$2*$M2761))</f>
        <v/>
      </c>
      <c r="W2761" s="48">
        <f>IF(OR($M2761="",$T2761=""),"",$T2761+(W$2*$M2761))</f>
        <v/>
      </c>
      <c r="X2761" s="49">
        <f>IF(OR($M2761="",$T2761=""),"",$T2761+(X$2*$M2761))</f>
        <v/>
      </c>
      <c r="Y2761" s="47">
        <f>IF(OR($M2761="",$T2761=""),"",$T2761+(Y$2*$M2761))</f>
        <v/>
      </c>
      <c r="Z2761" s="49">
        <f>IF(OR($M2761="",$T2761=""),"",$T2761+(Z$2*$M2761))</f>
        <v/>
      </c>
      <c r="AA2761" s="51">
        <f>IF(OR($M2761="",$T2761=""),"",$T2761+(AA$2*$M2761))</f>
        <v/>
      </c>
      <c r="AB2761" s="48">
        <f>IF(OR($M2761="",$T2761=""),"",$T2761+(AB$2*$M2761))</f>
        <v/>
      </c>
      <c r="AC2761" s="48">
        <f>IF(OR($M2761="",$T2761=""),"",$T2761+(AC$2*$M2761))</f>
        <v/>
      </c>
      <c r="AD2761" s="48">
        <f>IF(OR($M2761="",$T2761=""),"",$T2761+(AD$2*$M2761))</f>
        <v/>
      </c>
      <c r="AE2761" s="49">
        <f>IF(OR($M2761="",$T2761=""),"",$T2761+(AE$2*$M2761))</f>
        <v/>
      </c>
      <c r="AF2761" s="52">
        <f>IF(OR(T2761="",I2761&lt;T2761),"",IFERROR(AVERAGE(T2761+M2761*{7,8,9,10,11})/IF(G2761="",I2761,G2761)-1,""))</f>
        <v/>
      </c>
      <c r="AG2761" s="55">
        <f>IF(OR(T2761="",I2761&lt;T2761),"",IFERROR(AF2761/-(R2761/IF(G2761="",I2761,G2761)-1),""))</f>
        <v/>
      </c>
      <c r="AH2761" s="94" t="n"/>
      <c r="AI2761" s="94" t="n"/>
      <c r="AJ2761" s="94" t="n"/>
      <c r="AK2761" s="94" t="n"/>
      <c r="AL2761" s="84" t="n"/>
    </row>
    <row r="2762">
      <c r="A2762" s="64" t="n"/>
      <c r="B2762" s="65" t="n"/>
      <c r="C2762" s="66" t="n"/>
      <c r="D2762" s="67" t="n"/>
      <c r="E2762" s="68" t="n"/>
      <c r="F2762" s="47">
        <f>IF(A2762="","",IF(MIN(H2762,MAX(J2762:K2762))=0,"",MIN(H2762,MAX(J2762:K2762))))</f>
        <v/>
      </c>
      <c r="G2762" s="74" t="n"/>
      <c r="H2762" s="49">
        <f>IF(M2762="","",IFERROR(ROUND(AVERAGE(T2762+M2762*{7,8,9,10,11})/1.21,4),""))</f>
        <v/>
      </c>
      <c r="I2762" s="76" t="n"/>
      <c r="J2762" s="77" t="n"/>
      <c r="K2762" s="74" t="n"/>
      <c r="L2762" s="78" t="n"/>
      <c r="M2762" s="77" t="n"/>
      <c r="N2762" s="53">
        <f>IF(M2762="","",IFERROR(M2762/I2762,""))</f>
        <v/>
      </c>
      <c r="O2762" s="50">
        <f>IF(A2762="","",IFERROR((IF(G2762="",I2762,G2762)-T2762)/M2762,""))</f>
        <v/>
      </c>
      <c r="P2762" s="50">
        <f>IFERROR((I2762/T2762-1)/N2762,"")</f>
        <v/>
      </c>
      <c r="Q2762" s="46">
        <f>IF(OR(T2762="",I2762&lt;T2762),"",IFERROR(R2762/IF(G2762="",I2762,G2762)-1,""))</f>
        <v/>
      </c>
      <c r="R2762" s="48">
        <f>IF($M2762="","",MAX(IF($G2762="",$I2762,$G2762)*(1/1.1),IF($G2762="",$I2762,$G2762)+(R$2*$M2762)))</f>
        <v/>
      </c>
      <c r="S2762" s="49">
        <f>IF($M2762="","",MAX(IF($G2762="",$I2762,$G2762)*(1/1.1),IF($G2762="",$I2762,$G2762)+(S$2*$M2762)))</f>
        <v/>
      </c>
      <c r="T2762" s="82" t="n"/>
      <c r="U2762" s="47">
        <f>IF(OR($M2762="",$T2762=""),"",$T2762+(U$2*$M2762))</f>
        <v/>
      </c>
      <c r="V2762" s="48">
        <f>IF(OR($M2762="",$T2762=""),"",$T2762+(V$2*$M2762))</f>
        <v/>
      </c>
      <c r="W2762" s="48">
        <f>IF(OR($M2762="",$T2762=""),"",$T2762+(W$2*$M2762))</f>
        <v/>
      </c>
      <c r="X2762" s="49">
        <f>IF(OR($M2762="",$T2762=""),"",$T2762+(X$2*$M2762))</f>
        <v/>
      </c>
      <c r="Y2762" s="47">
        <f>IF(OR($M2762="",$T2762=""),"",$T2762+(Y$2*$M2762))</f>
        <v/>
      </c>
      <c r="Z2762" s="49">
        <f>IF(OR($M2762="",$T2762=""),"",$T2762+(Z$2*$M2762))</f>
        <v/>
      </c>
      <c r="AA2762" s="51">
        <f>IF(OR($M2762="",$T2762=""),"",$T2762+(AA$2*$M2762))</f>
        <v/>
      </c>
      <c r="AB2762" s="48">
        <f>IF(OR($M2762="",$T2762=""),"",$T2762+(AB$2*$M2762))</f>
        <v/>
      </c>
      <c r="AC2762" s="48">
        <f>IF(OR($M2762="",$T2762=""),"",$T2762+(AC$2*$M2762))</f>
        <v/>
      </c>
      <c r="AD2762" s="48">
        <f>IF(OR($M2762="",$T2762=""),"",$T2762+(AD$2*$M2762))</f>
        <v/>
      </c>
      <c r="AE2762" s="49">
        <f>IF(OR($M2762="",$T2762=""),"",$T2762+(AE$2*$M2762))</f>
        <v/>
      </c>
      <c r="AF2762" s="52">
        <f>IF(OR(T2762="",I2762&lt;T2762),"",IFERROR(AVERAGE(T2762+M2762*{7,8,9,10,11})/IF(G2762="",I2762,G2762)-1,""))</f>
        <v/>
      </c>
      <c r="AG2762" s="55">
        <f>IF(OR(T2762="",I2762&lt;T2762),"",IFERROR(AF2762/-(R2762/IF(G2762="",I2762,G2762)-1),""))</f>
        <v/>
      </c>
      <c r="AH2762" s="94" t="n"/>
      <c r="AI2762" s="94" t="n"/>
      <c r="AJ2762" s="94" t="n"/>
      <c r="AK2762" s="94" t="n"/>
      <c r="AL2762" s="84" t="n"/>
    </row>
    <row r="2763">
      <c r="A2763" s="64" t="n"/>
      <c r="B2763" s="65" t="n"/>
      <c r="C2763" s="66" t="n"/>
      <c r="D2763" s="67" t="n"/>
      <c r="E2763" s="68" t="n"/>
      <c r="F2763" s="47">
        <f>IF(A2763="","",IF(MIN(H2763,MAX(J2763:K2763))=0,"",MIN(H2763,MAX(J2763:K2763))))</f>
        <v/>
      </c>
      <c r="G2763" s="74" t="n"/>
      <c r="H2763" s="49">
        <f>IF(M2763="","",IFERROR(ROUND(AVERAGE(T2763+M2763*{7,8,9,10,11})/1.21,4),""))</f>
        <v/>
      </c>
      <c r="I2763" s="76" t="n"/>
      <c r="J2763" s="77" t="n"/>
      <c r="K2763" s="74" t="n"/>
      <c r="L2763" s="78" t="n"/>
      <c r="M2763" s="77" t="n"/>
      <c r="N2763" s="53">
        <f>IF(M2763="","",IFERROR(M2763/I2763,""))</f>
        <v/>
      </c>
      <c r="O2763" s="50">
        <f>IF(A2763="","",IFERROR((IF(G2763="",I2763,G2763)-T2763)/M2763,""))</f>
        <v/>
      </c>
      <c r="P2763" s="50">
        <f>IFERROR((I2763/T2763-1)/N2763,"")</f>
        <v/>
      </c>
      <c r="Q2763" s="46">
        <f>IF(OR(T2763="",I2763&lt;T2763),"",IFERROR(R2763/IF(G2763="",I2763,G2763)-1,""))</f>
        <v/>
      </c>
      <c r="R2763" s="48">
        <f>IF($M2763="","",MAX(IF($G2763="",$I2763,$G2763)*(1/1.1),IF($G2763="",$I2763,$G2763)+(R$2*$M2763)))</f>
        <v/>
      </c>
      <c r="S2763" s="49">
        <f>IF($M2763="","",MAX(IF($G2763="",$I2763,$G2763)*(1/1.1),IF($G2763="",$I2763,$G2763)+(S$2*$M2763)))</f>
        <v/>
      </c>
      <c r="T2763" s="82" t="n"/>
      <c r="U2763" s="47">
        <f>IF(OR($M2763="",$T2763=""),"",$T2763+(U$2*$M2763))</f>
        <v/>
      </c>
      <c r="V2763" s="48">
        <f>IF(OR($M2763="",$T2763=""),"",$T2763+(V$2*$M2763))</f>
        <v/>
      </c>
      <c r="W2763" s="48">
        <f>IF(OR($M2763="",$T2763=""),"",$T2763+(W$2*$M2763))</f>
        <v/>
      </c>
      <c r="X2763" s="49">
        <f>IF(OR($M2763="",$T2763=""),"",$T2763+(X$2*$M2763))</f>
        <v/>
      </c>
      <c r="Y2763" s="47">
        <f>IF(OR($M2763="",$T2763=""),"",$T2763+(Y$2*$M2763))</f>
        <v/>
      </c>
      <c r="Z2763" s="49">
        <f>IF(OR($M2763="",$T2763=""),"",$T2763+(Z$2*$M2763))</f>
        <v/>
      </c>
      <c r="AA2763" s="51">
        <f>IF(OR($M2763="",$T2763=""),"",$T2763+(AA$2*$M2763))</f>
        <v/>
      </c>
      <c r="AB2763" s="48">
        <f>IF(OR($M2763="",$T2763=""),"",$T2763+(AB$2*$M2763))</f>
        <v/>
      </c>
      <c r="AC2763" s="48">
        <f>IF(OR($M2763="",$T2763=""),"",$T2763+(AC$2*$M2763))</f>
        <v/>
      </c>
      <c r="AD2763" s="48">
        <f>IF(OR($M2763="",$T2763=""),"",$T2763+(AD$2*$M2763))</f>
        <v/>
      </c>
      <c r="AE2763" s="49">
        <f>IF(OR($M2763="",$T2763=""),"",$T2763+(AE$2*$M2763))</f>
        <v/>
      </c>
      <c r="AF2763" s="52">
        <f>IF(OR(T2763="",I2763&lt;T2763),"",IFERROR(AVERAGE(T2763+M2763*{7,8,9,10,11})/IF(G2763="",I2763,G2763)-1,""))</f>
        <v/>
      </c>
      <c r="AG2763" s="55">
        <f>IF(OR(T2763="",I2763&lt;T2763),"",IFERROR(AF2763/-(R2763/IF(G2763="",I2763,G2763)-1),""))</f>
        <v/>
      </c>
      <c r="AH2763" s="94" t="n"/>
      <c r="AI2763" s="94" t="n"/>
      <c r="AJ2763" s="94" t="n"/>
      <c r="AK2763" s="94" t="n"/>
      <c r="AL2763" s="84" t="n"/>
    </row>
    <row r="2764">
      <c r="A2764" s="64" t="n"/>
      <c r="B2764" s="65" t="n"/>
      <c r="C2764" s="66" t="n"/>
      <c r="D2764" s="67" t="n"/>
      <c r="E2764" s="68" t="n"/>
      <c r="F2764" s="47">
        <f>IF(A2764="","",IF(MIN(H2764,MAX(J2764:K2764))=0,"",MIN(H2764,MAX(J2764:K2764))))</f>
        <v/>
      </c>
      <c r="G2764" s="74" t="n"/>
      <c r="H2764" s="49">
        <f>IF(M2764="","",IFERROR(ROUND(AVERAGE(T2764+M2764*{7,8,9,10,11})/1.21,4),""))</f>
        <v/>
      </c>
      <c r="I2764" s="76" t="n"/>
      <c r="J2764" s="77" t="n"/>
      <c r="K2764" s="74" t="n"/>
      <c r="L2764" s="78" t="n"/>
      <c r="M2764" s="77" t="n"/>
      <c r="N2764" s="53">
        <f>IF(M2764="","",IFERROR(M2764/I2764,""))</f>
        <v/>
      </c>
      <c r="O2764" s="50">
        <f>IF(A2764="","",IFERROR((IF(G2764="",I2764,G2764)-T2764)/M2764,""))</f>
        <v/>
      </c>
      <c r="P2764" s="50">
        <f>IFERROR((I2764/T2764-1)/N2764,"")</f>
        <v/>
      </c>
      <c r="Q2764" s="46">
        <f>IF(OR(T2764="",I2764&lt;T2764),"",IFERROR(R2764/IF(G2764="",I2764,G2764)-1,""))</f>
        <v/>
      </c>
      <c r="R2764" s="48">
        <f>IF($M2764="","",MAX(IF($G2764="",$I2764,$G2764)*(1/1.1),IF($G2764="",$I2764,$G2764)+(R$2*$M2764)))</f>
        <v/>
      </c>
      <c r="S2764" s="49">
        <f>IF($M2764="","",MAX(IF($G2764="",$I2764,$G2764)*(1/1.1),IF($G2764="",$I2764,$G2764)+(S$2*$M2764)))</f>
        <v/>
      </c>
      <c r="T2764" s="82" t="n"/>
      <c r="U2764" s="47">
        <f>IF(OR($M2764="",$T2764=""),"",$T2764+(U$2*$M2764))</f>
        <v/>
      </c>
      <c r="V2764" s="48">
        <f>IF(OR($M2764="",$T2764=""),"",$T2764+(V$2*$M2764))</f>
        <v/>
      </c>
      <c r="W2764" s="48">
        <f>IF(OR($M2764="",$T2764=""),"",$T2764+(W$2*$M2764))</f>
        <v/>
      </c>
      <c r="X2764" s="49">
        <f>IF(OR($M2764="",$T2764=""),"",$T2764+(X$2*$M2764))</f>
        <v/>
      </c>
      <c r="Y2764" s="47">
        <f>IF(OR($M2764="",$T2764=""),"",$T2764+(Y$2*$M2764))</f>
        <v/>
      </c>
      <c r="Z2764" s="49">
        <f>IF(OR($M2764="",$T2764=""),"",$T2764+(Z$2*$M2764))</f>
        <v/>
      </c>
      <c r="AA2764" s="51">
        <f>IF(OR($M2764="",$T2764=""),"",$T2764+(AA$2*$M2764))</f>
        <v/>
      </c>
      <c r="AB2764" s="48">
        <f>IF(OR($M2764="",$T2764=""),"",$T2764+(AB$2*$M2764))</f>
        <v/>
      </c>
      <c r="AC2764" s="48">
        <f>IF(OR($M2764="",$T2764=""),"",$T2764+(AC$2*$M2764))</f>
        <v/>
      </c>
      <c r="AD2764" s="48">
        <f>IF(OR($M2764="",$T2764=""),"",$T2764+(AD$2*$M2764))</f>
        <v/>
      </c>
      <c r="AE2764" s="49">
        <f>IF(OR($M2764="",$T2764=""),"",$T2764+(AE$2*$M2764))</f>
        <v/>
      </c>
      <c r="AF2764" s="52">
        <f>IF(OR(T2764="",I2764&lt;T2764),"",IFERROR(AVERAGE(T2764+M2764*{7,8,9,10,11})/IF(G2764="",I2764,G2764)-1,""))</f>
        <v/>
      </c>
      <c r="AG2764" s="55">
        <f>IF(OR(T2764="",I2764&lt;T2764),"",IFERROR(AF2764/-(R2764/IF(G2764="",I2764,G2764)-1),""))</f>
        <v/>
      </c>
      <c r="AH2764" s="94" t="n"/>
      <c r="AI2764" s="94" t="n"/>
      <c r="AJ2764" s="94" t="n"/>
      <c r="AK2764" s="94" t="n"/>
      <c r="AL2764" s="84" t="n"/>
    </row>
    <row r="2765">
      <c r="A2765" s="64" t="n"/>
      <c r="B2765" s="65" t="n"/>
      <c r="C2765" s="66" t="n"/>
      <c r="D2765" s="67" t="n"/>
      <c r="E2765" s="68" t="n"/>
      <c r="F2765" s="47">
        <f>IF(A2765="","",IF(MIN(H2765,MAX(J2765:K2765))=0,"",MIN(H2765,MAX(J2765:K2765))))</f>
        <v/>
      </c>
      <c r="G2765" s="74" t="n"/>
      <c r="H2765" s="49">
        <f>IF(M2765="","",IFERROR(ROUND(AVERAGE(T2765+M2765*{7,8,9,10,11})/1.21,4),""))</f>
        <v/>
      </c>
      <c r="I2765" s="76" t="n"/>
      <c r="J2765" s="77" t="n"/>
      <c r="K2765" s="74" t="n"/>
      <c r="L2765" s="78" t="n"/>
      <c r="M2765" s="77" t="n"/>
      <c r="N2765" s="53">
        <f>IF(M2765="","",IFERROR(M2765/I2765,""))</f>
        <v/>
      </c>
      <c r="O2765" s="50">
        <f>IF(A2765="","",IFERROR((IF(G2765="",I2765,G2765)-T2765)/M2765,""))</f>
        <v/>
      </c>
      <c r="P2765" s="50">
        <f>IFERROR((I2765/T2765-1)/N2765,"")</f>
        <v/>
      </c>
      <c r="Q2765" s="46">
        <f>IF(OR(T2765="",I2765&lt;T2765),"",IFERROR(R2765/IF(G2765="",I2765,G2765)-1,""))</f>
        <v/>
      </c>
      <c r="R2765" s="48">
        <f>IF($M2765="","",MAX(IF($G2765="",$I2765,$G2765)*(1/1.1),IF($G2765="",$I2765,$G2765)+(R$2*$M2765)))</f>
        <v/>
      </c>
      <c r="S2765" s="49">
        <f>IF($M2765="","",MAX(IF($G2765="",$I2765,$G2765)*(1/1.1),IF($G2765="",$I2765,$G2765)+(S$2*$M2765)))</f>
        <v/>
      </c>
      <c r="T2765" s="82" t="n"/>
      <c r="U2765" s="47">
        <f>IF(OR($M2765="",$T2765=""),"",$T2765+(U$2*$M2765))</f>
        <v/>
      </c>
      <c r="V2765" s="48">
        <f>IF(OR($M2765="",$T2765=""),"",$T2765+(V$2*$M2765))</f>
        <v/>
      </c>
      <c r="W2765" s="48">
        <f>IF(OR($M2765="",$T2765=""),"",$T2765+(W$2*$M2765))</f>
        <v/>
      </c>
      <c r="X2765" s="49">
        <f>IF(OR($M2765="",$T2765=""),"",$T2765+(X$2*$M2765))</f>
        <v/>
      </c>
      <c r="Y2765" s="47">
        <f>IF(OR($M2765="",$T2765=""),"",$T2765+(Y$2*$M2765))</f>
        <v/>
      </c>
      <c r="Z2765" s="49">
        <f>IF(OR($M2765="",$T2765=""),"",$T2765+(Z$2*$M2765))</f>
        <v/>
      </c>
      <c r="AA2765" s="51">
        <f>IF(OR($M2765="",$T2765=""),"",$T2765+(AA$2*$M2765))</f>
        <v/>
      </c>
      <c r="AB2765" s="48">
        <f>IF(OR($M2765="",$T2765=""),"",$T2765+(AB$2*$M2765))</f>
        <v/>
      </c>
      <c r="AC2765" s="48">
        <f>IF(OR($M2765="",$T2765=""),"",$T2765+(AC$2*$M2765))</f>
        <v/>
      </c>
      <c r="AD2765" s="48">
        <f>IF(OR($M2765="",$T2765=""),"",$T2765+(AD$2*$M2765))</f>
        <v/>
      </c>
      <c r="AE2765" s="49">
        <f>IF(OR($M2765="",$T2765=""),"",$T2765+(AE$2*$M2765))</f>
        <v/>
      </c>
      <c r="AF2765" s="52">
        <f>IF(OR(T2765="",I2765&lt;T2765),"",IFERROR(AVERAGE(T2765+M2765*{7,8,9,10,11})/IF(G2765="",I2765,G2765)-1,""))</f>
        <v/>
      </c>
      <c r="AG2765" s="55">
        <f>IF(OR(T2765="",I2765&lt;T2765),"",IFERROR(AF2765/-(R2765/IF(G2765="",I2765,G2765)-1),""))</f>
        <v/>
      </c>
      <c r="AH2765" s="94" t="n"/>
      <c r="AI2765" s="94" t="n"/>
      <c r="AJ2765" s="94" t="n"/>
      <c r="AK2765" s="94" t="n"/>
      <c r="AL2765" s="84" t="n"/>
    </row>
    <row r="2766">
      <c r="A2766" s="64" t="n"/>
      <c r="B2766" s="65" t="n"/>
      <c r="C2766" s="66" t="n"/>
      <c r="D2766" s="67" t="n"/>
      <c r="E2766" s="68" t="n"/>
      <c r="F2766" s="47">
        <f>IF(A2766="","",IF(MIN(H2766,MAX(J2766:K2766))=0,"",MIN(H2766,MAX(J2766:K2766))))</f>
        <v/>
      </c>
      <c r="G2766" s="74" t="n"/>
      <c r="H2766" s="49">
        <f>IF(M2766="","",IFERROR(ROUND(AVERAGE(T2766+M2766*{7,8,9,10,11})/1.21,4),""))</f>
        <v/>
      </c>
      <c r="I2766" s="76" t="n"/>
      <c r="J2766" s="77" t="n"/>
      <c r="K2766" s="74" t="n"/>
      <c r="L2766" s="78" t="n"/>
      <c r="M2766" s="77" t="n"/>
      <c r="N2766" s="53">
        <f>IF(M2766="","",IFERROR(M2766/I2766,""))</f>
        <v/>
      </c>
      <c r="O2766" s="50">
        <f>IF(A2766="","",IFERROR((IF(G2766="",I2766,G2766)-T2766)/M2766,""))</f>
        <v/>
      </c>
      <c r="P2766" s="50">
        <f>IFERROR((I2766/T2766-1)/N2766,"")</f>
        <v/>
      </c>
      <c r="Q2766" s="46">
        <f>IF(OR(T2766="",I2766&lt;T2766),"",IFERROR(R2766/IF(G2766="",I2766,G2766)-1,""))</f>
        <v/>
      </c>
      <c r="R2766" s="48">
        <f>IF($M2766="","",MAX(IF($G2766="",$I2766,$G2766)*(1/1.1),IF($G2766="",$I2766,$G2766)+(R$2*$M2766)))</f>
        <v/>
      </c>
      <c r="S2766" s="49">
        <f>IF($M2766="","",MAX(IF($G2766="",$I2766,$G2766)*(1/1.1),IF($G2766="",$I2766,$G2766)+(S$2*$M2766)))</f>
        <v/>
      </c>
      <c r="T2766" s="82" t="n"/>
      <c r="U2766" s="47">
        <f>IF(OR($M2766="",$T2766=""),"",$T2766+(U$2*$M2766))</f>
        <v/>
      </c>
      <c r="V2766" s="48">
        <f>IF(OR($M2766="",$T2766=""),"",$T2766+(V$2*$M2766))</f>
        <v/>
      </c>
      <c r="W2766" s="48">
        <f>IF(OR($M2766="",$T2766=""),"",$T2766+(W$2*$M2766))</f>
        <v/>
      </c>
      <c r="X2766" s="49">
        <f>IF(OR($M2766="",$T2766=""),"",$T2766+(X$2*$M2766))</f>
        <v/>
      </c>
      <c r="Y2766" s="47">
        <f>IF(OR($M2766="",$T2766=""),"",$T2766+(Y$2*$M2766))</f>
        <v/>
      </c>
      <c r="Z2766" s="49">
        <f>IF(OR($M2766="",$T2766=""),"",$T2766+(Z$2*$M2766))</f>
        <v/>
      </c>
      <c r="AA2766" s="51">
        <f>IF(OR($M2766="",$T2766=""),"",$T2766+(AA$2*$M2766))</f>
        <v/>
      </c>
      <c r="AB2766" s="48">
        <f>IF(OR($M2766="",$T2766=""),"",$T2766+(AB$2*$M2766))</f>
        <v/>
      </c>
      <c r="AC2766" s="48">
        <f>IF(OR($M2766="",$T2766=""),"",$T2766+(AC$2*$M2766))</f>
        <v/>
      </c>
      <c r="AD2766" s="48">
        <f>IF(OR($M2766="",$T2766=""),"",$T2766+(AD$2*$M2766))</f>
        <v/>
      </c>
      <c r="AE2766" s="49">
        <f>IF(OR($M2766="",$T2766=""),"",$T2766+(AE$2*$M2766))</f>
        <v/>
      </c>
      <c r="AF2766" s="52">
        <f>IF(OR(T2766="",I2766&lt;T2766),"",IFERROR(AVERAGE(T2766+M2766*{7,8,9,10,11})/IF(G2766="",I2766,G2766)-1,""))</f>
        <v/>
      </c>
      <c r="AG2766" s="55">
        <f>IF(OR(T2766="",I2766&lt;T2766),"",IFERROR(AF2766/-(R2766/IF(G2766="",I2766,G2766)-1),""))</f>
        <v/>
      </c>
      <c r="AH2766" s="94" t="n"/>
      <c r="AI2766" s="94" t="n"/>
      <c r="AJ2766" s="94" t="n"/>
      <c r="AK2766" s="94" t="n"/>
      <c r="AL2766" s="84" t="n"/>
    </row>
    <row r="2767">
      <c r="A2767" s="64" t="n"/>
      <c r="B2767" s="65" t="n"/>
      <c r="C2767" s="66" t="n"/>
      <c r="D2767" s="67" t="n"/>
      <c r="E2767" s="68" t="n"/>
      <c r="F2767" s="47">
        <f>IF(A2767="","",IF(MIN(H2767,MAX(J2767:K2767))=0,"",MIN(H2767,MAX(J2767:K2767))))</f>
        <v/>
      </c>
      <c r="G2767" s="74" t="n"/>
      <c r="H2767" s="49">
        <f>IF(M2767="","",IFERROR(ROUND(AVERAGE(T2767+M2767*{7,8,9,10,11})/1.21,4),""))</f>
        <v/>
      </c>
      <c r="I2767" s="76" t="n"/>
      <c r="J2767" s="77" t="n"/>
      <c r="K2767" s="74" t="n"/>
      <c r="L2767" s="78" t="n"/>
      <c r="M2767" s="77" t="n"/>
      <c r="N2767" s="53">
        <f>IF(M2767="","",IFERROR(M2767/I2767,""))</f>
        <v/>
      </c>
      <c r="O2767" s="50">
        <f>IF(A2767="","",IFERROR((IF(G2767="",I2767,G2767)-T2767)/M2767,""))</f>
        <v/>
      </c>
      <c r="P2767" s="50">
        <f>IFERROR((I2767/T2767-1)/N2767,"")</f>
        <v/>
      </c>
      <c r="Q2767" s="46">
        <f>IF(OR(T2767="",I2767&lt;T2767),"",IFERROR(R2767/IF(G2767="",I2767,G2767)-1,""))</f>
        <v/>
      </c>
      <c r="R2767" s="48">
        <f>IF($M2767="","",MAX(IF($G2767="",$I2767,$G2767)*(1/1.1),IF($G2767="",$I2767,$G2767)+(R$2*$M2767)))</f>
        <v/>
      </c>
      <c r="S2767" s="49">
        <f>IF($M2767="","",MAX(IF($G2767="",$I2767,$G2767)*(1/1.1),IF($G2767="",$I2767,$G2767)+(S$2*$M2767)))</f>
        <v/>
      </c>
      <c r="T2767" s="82" t="n"/>
      <c r="U2767" s="47">
        <f>IF(OR($M2767="",$T2767=""),"",$T2767+(U$2*$M2767))</f>
        <v/>
      </c>
      <c r="V2767" s="48">
        <f>IF(OR($M2767="",$T2767=""),"",$T2767+(V$2*$M2767))</f>
        <v/>
      </c>
      <c r="W2767" s="48">
        <f>IF(OR($M2767="",$T2767=""),"",$T2767+(W$2*$M2767))</f>
        <v/>
      </c>
      <c r="X2767" s="49">
        <f>IF(OR($M2767="",$T2767=""),"",$T2767+(X$2*$M2767))</f>
        <v/>
      </c>
      <c r="Y2767" s="47">
        <f>IF(OR($M2767="",$T2767=""),"",$T2767+(Y$2*$M2767))</f>
        <v/>
      </c>
      <c r="Z2767" s="49">
        <f>IF(OR($M2767="",$T2767=""),"",$T2767+(Z$2*$M2767))</f>
        <v/>
      </c>
      <c r="AA2767" s="51">
        <f>IF(OR($M2767="",$T2767=""),"",$T2767+(AA$2*$M2767))</f>
        <v/>
      </c>
      <c r="AB2767" s="48">
        <f>IF(OR($M2767="",$T2767=""),"",$T2767+(AB$2*$M2767))</f>
        <v/>
      </c>
      <c r="AC2767" s="48">
        <f>IF(OR($M2767="",$T2767=""),"",$T2767+(AC$2*$M2767))</f>
        <v/>
      </c>
      <c r="AD2767" s="48">
        <f>IF(OR($M2767="",$T2767=""),"",$T2767+(AD$2*$M2767))</f>
        <v/>
      </c>
      <c r="AE2767" s="49">
        <f>IF(OR($M2767="",$T2767=""),"",$T2767+(AE$2*$M2767))</f>
        <v/>
      </c>
      <c r="AF2767" s="52">
        <f>IF(OR(T2767="",I2767&lt;T2767),"",IFERROR(AVERAGE(T2767+M2767*{7,8,9,10,11})/IF(G2767="",I2767,G2767)-1,""))</f>
        <v/>
      </c>
      <c r="AG2767" s="55">
        <f>IF(OR(T2767="",I2767&lt;T2767),"",IFERROR(AF2767/-(R2767/IF(G2767="",I2767,G2767)-1),""))</f>
        <v/>
      </c>
      <c r="AH2767" s="94" t="n"/>
      <c r="AI2767" s="94" t="n"/>
      <c r="AJ2767" s="94" t="n"/>
      <c r="AK2767" s="94" t="n"/>
      <c r="AL2767" s="84" t="n"/>
    </row>
    <row r="2768">
      <c r="A2768" s="64" t="n"/>
      <c r="B2768" s="65" t="n"/>
      <c r="C2768" s="66" t="n"/>
      <c r="D2768" s="67" t="n"/>
      <c r="E2768" s="68" t="n"/>
      <c r="F2768" s="47">
        <f>IF(A2768="","",IF(MIN(H2768,MAX(J2768:K2768))=0,"",MIN(H2768,MAX(J2768:K2768))))</f>
        <v/>
      </c>
      <c r="G2768" s="74" t="n"/>
      <c r="H2768" s="49">
        <f>IF(M2768="","",IFERROR(ROUND(AVERAGE(T2768+M2768*{7,8,9,10,11})/1.21,4),""))</f>
        <v/>
      </c>
      <c r="I2768" s="76" t="n"/>
      <c r="J2768" s="77" t="n"/>
      <c r="K2768" s="74" t="n"/>
      <c r="L2768" s="78" t="n"/>
      <c r="M2768" s="77" t="n"/>
      <c r="N2768" s="53">
        <f>IF(M2768="","",IFERROR(M2768/I2768,""))</f>
        <v/>
      </c>
      <c r="O2768" s="50">
        <f>IF(A2768="","",IFERROR((IF(G2768="",I2768,G2768)-T2768)/M2768,""))</f>
        <v/>
      </c>
      <c r="P2768" s="50">
        <f>IFERROR((I2768/T2768-1)/N2768,"")</f>
        <v/>
      </c>
      <c r="Q2768" s="46">
        <f>IF(OR(T2768="",I2768&lt;T2768),"",IFERROR(R2768/IF(G2768="",I2768,G2768)-1,""))</f>
        <v/>
      </c>
      <c r="R2768" s="48">
        <f>IF($M2768="","",MAX(IF($G2768="",$I2768,$G2768)*(1/1.1),IF($G2768="",$I2768,$G2768)+(R$2*$M2768)))</f>
        <v/>
      </c>
      <c r="S2768" s="49">
        <f>IF($M2768="","",MAX(IF($G2768="",$I2768,$G2768)*(1/1.1),IF($G2768="",$I2768,$G2768)+(S$2*$M2768)))</f>
        <v/>
      </c>
      <c r="T2768" s="82" t="n"/>
      <c r="U2768" s="47">
        <f>IF(OR($M2768="",$T2768=""),"",$T2768+(U$2*$M2768))</f>
        <v/>
      </c>
      <c r="V2768" s="48">
        <f>IF(OR($M2768="",$T2768=""),"",$T2768+(V$2*$M2768))</f>
        <v/>
      </c>
      <c r="W2768" s="48">
        <f>IF(OR($M2768="",$T2768=""),"",$T2768+(W$2*$M2768))</f>
        <v/>
      </c>
      <c r="X2768" s="49">
        <f>IF(OR($M2768="",$T2768=""),"",$T2768+(X$2*$M2768))</f>
        <v/>
      </c>
      <c r="Y2768" s="47">
        <f>IF(OR($M2768="",$T2768=""),"",$T2768+(Y$2*$M2768))</f>
        <v/>
      </c>
      <c r="Z2768" s="49">
        <f>IF(OR($M2768="",$T2768=""),"",$T2768+(Z$2*$M2768))</f>
        <v/>
      </c>
      <c r="AA2768" s="51">
        <f>IF(OR($M2768="",$T2768=""),"",$T2768+(AA$2*$M2768))</f>
        <v/>
      </c>
      <c r="AB2768" s="48">
        <f>IF(OR($M2768="",$T2768=""),"",$T2768+(AB$2*$M2768))</f>
        <v/>
      </c>
      <c r="AC2768" s="48">
        <f>IF(OR($M2768="",$T2768=""),"",$T2768+(AC$2*$M2768))</f>
        <v/>
      </c>
      <c r="AD2768" s="48">
        <f>IF(OR($M2768="",$T2768=""),"",$T2768+(AD$2*$M2768))</f>
        <v/>
      </c>
      <c r="AE2768" s="49">
        <f>IF(OR($M2768="",$T2768=""),"",$T2768+(AE$2*$M2768))</f>
        <v/>
      </c>
      <c r="AF2768" s="52">
        <f>IF(OR(T2768="",I2768&lt;T2768),"",IFERROR(AVERAGE(T2768+M2768*{7,8,9,10,11})/IF(G2768="",I2768,G2768)-1,""))</f>
        <v/>
      </c>
      <c r="AG2768" s="55">
        <f>IF(OR(T2768="",I2768&lt;T2768),"",IFERROR(AF2768/-(R2768/IF(G2768="",I2768,G2768)-1),""))</f>
        <v/>
      </c>
      <c r="AH2768" s="94" t="n"/>
      <c r="AI2768" s="94" t="n"/>
      <c r="AJ2768" s="94" t="n"/>
      <c r="AK2768" s="94" t="n"/>
      <c r="AL2768" s="84" t="n"/>
    </row>
    <row r="2769">
      <c r="A2769" s="64" t="n"/>
      <c r="B2769" s="65" t="n"/>
      <c r="C2769" s="66" t="n"/>
      <c r="D2769" s="67" t="n"/>
      <c r="E2769" s="68" t="n"/>
      <c r="F2769" s="47">
        <f>IF(A2769="","",IF(MIN(H2769,MAX(J2769:K2769))=0,"",MIN(H2769,MAX(J2769:K2769))))</f>
        <v/>
      </c>
      <c r="G2769" s="74" t="n"/>
      <c r="H2769" s="49">
        <f>IF(M2769="","",IFERROR(ROUND(AVERAGE(T2769+M2769*{7,8,9,10,11})/1.21,4),""))</f>
        <v/>
      </c>
      <c r="I2769" s="76" t="n"/>
      <c r="J2769" s="77" t="n"/>
      <c r="K2769" s="74" t="n"/>
      <c r="L2769" s="78" t="n"/>
      <c r="M2769" s="77" t="n"/>
      <c r="N2769" s="53">
        <f>IF(M2769="","",IFERROR(M2769/I2769,""))</f>
        <v/>
      </c>
      <c r="O2769" s="50">
        <f>IF(A2769="","",IFERROR((IF(G2769="",I2769,G2769)-T2769)/M2769,""))</f>
        <v/>
      </c>
      <c r="P2769" s="50">
        <f>IFERROR((I2769/T2769-1)/N2769,"")</f>
        <v/>
      </c>
      <c r="Q2769" s="46">
        <f>IF(OR(T2769="",I2769&lt;T2769),"",IFERROR(R2769/IF(G2769="",I2769,G2769)-1,""))</f>
        <v/>
      </c>
      <c r="R2769" s="48">
        <f>IF($M2769="","",MAX(IF($G2769="",$I2769,$G2769)*(1/1.1),IF($G2769="",$I2769,$G2769)+(R$2*$M2769)))</f>
        <v/>
      </c>
      <c r="S2769" s="49">
        <f>IF($M2769="","",MAX(IF($G2769="",$I2769,$G2769)*(1/1.1),IF($G2769="",$I2769,$G2769)+(S$2*$M2769)))</f>
        <v/>
      </c>
      <c r="T2769" s="82" t="n"/>
      <c r="U2769" s="47">
        <f>IF(OR($M2769="",$T2769=""),"",$T2769+(U$2*$M2769))</f>
        <v/>
      </c>
      <c r="V2769" s="48">
        <f>IF(OR($M2769="",$T2769=""),"",$T2769+(V$2*$M2769))</f>
        <v/>
      </c>
      <c r="W2769" s="48">
        <f>IF(OR($M2769="",$T2769=""),"",$T2769+(W$2*$M2769))</f>
        <v/>
      </c>
      <c r="X2769" s="49">
        <f>IF(OR($M2769="",$T2769=""),"",$T2769+(X$2*$M2769))</f>
        <v/>
      </c>
      <c r="Y2769" s="47">
        <f>IF(OR($M2769="",$T2769=""),"",$T2769+(Y$2*$M2769))</f>
        <v/>
      </c>
      <c r="Z2769" s="49">
        <f>IF(OR($M2769="",$T2769=""),"",$T2769+(Z$2*$M2769))</f>
        <v/>
      </c>
      <c r="AA2769" s="51">
        <f>IF(OR($M2769="",$T2769=""),"",$T2769+(AA$2*$M2769))</f>
        <v/>
      </c>
      <c r="AB2769" s="48">
        <f>IF(OR($M2769="",$T2769=""),"",$T2769+(AB$2*$M2769))</f>
        <v/>
      </c>
      <c r="AC2769" s="48">
        <f>IF(OR($M2769="",$T2769=""),"",$T2769+(AC$2*$M2769))</f>
        <v/>
      </c>
      <c r="AD2769" s="48">
        <f>IF(OR($M2769="",$T2769=""),"",$T2769+(AD$2*$M2769))</f>
        <v/>
      </c>
      <c r="AE2769" s="49">
        <f>IF(OR($M2769="",$T2769=""),"",$T2769+(AE$2*$M2769))</f>
        <v/>
      </c>
      <c r="AF2769" s="52">
        <f>IF(OR(T2769="",I2769&lt;T2769),"",IFERROR(AVERAGE(T2769+M2769*{7,8,9,10,11})/IF(G2769="",I2769,G2769)-1,""))</f>
        <v/>
      </c>
      <c r="AG2769" s="55">
        <f>IF(OR(T2769="",I2769&lt;T2769),"",IFERROR(AF2769/-(R2769/IF(G2769="",I2769,G2769)-1),""))</f>
        <v/>
      </c>
      <c r="AH2769" s="94" t="n"/>
      <c r="AI2769" s="94" t="n"/>
      <c r="AJ2769" s="94" t="n"/>
      <c r="AK2769" s="94" t="n"/>
      <c r="AL2769" s="84" t="n"/>
    </row>
    <row r="2770">
      <c r="A2770" s="64" t="n"/>
      <c r="B2770" s="65" t="n"/>
      <c r="C2770" s="66" t="n"/>
      <c r="D2770" s="67" t="n"/>
      <c r="E2770" s="68" t="n"/>
      <c r="F2770" s="47">
        <f>IF(A2770="","",IF(MIN(H2770,MAX(J2770:K2770))=0,"",MIN(H2770,MAX(J2770:K2770))))</f>
        <v/>
      </c>
      <c r="G2770" s="74" t="n"/>
      <c r="H2770" s="49">
        <f>IF(M2770="","",IFERROR(ROUND(AVERAGE(T2770+M2770*{7,8,9,10,11})/1.21,4),""))</f>
        <v/>
      </c>
      <c r="I2770" s="76" t="n"/>
      <c r="J2770" s="77" t="n"/>
      <c r="K2770" s="74" t="n"/>
      <c r="L2770" s="78" t="n"/>
      <c r="M2770" s="77" t="n"/>
      <c r="N2770" s="53">
        <f>IF(M2770="","",IFERROR(M2770/I2770,""))</f>
        <v/>
      </c>
      <c r="O2770" s="50">
        <f>IF(A2770="","",IFERROR((IF(G2770="",I2770,G2770)-T2770)/M2770,""))</f>
        <v/>
      </c>
      <c r="P2770" s="50">
        <f>IFERROR((I2770/T2770-1)/N2770,"")</f>
        <v/>
      </c>
      <c r="Q2770" s="46">
        <f>IF(OR(T2770="",I2770&lt;T2770),"",IFERROR(R2770/IF(G2770="",I2770,G2770)-1,""))</f>
        <v/>
      </c>
      <c r="R2770" s="48">
        <f>IF($M2770="","",MAX(IF($G2770="",$I2770,$G2770)*(1/1.1),IF($G2770="",$I2770,$G2770)+(R$2*$M2770)))</f>
        <v/>
      </c>
      <c r="S2770" s="49">
        <f>IF($M2770="","",MAX(IF($G2770="",$I2770,$G2770)*(1/1.1),IF($G2770="",$I2770,$G2770)+(S$2*$M2770)))</f>
        <v/>
      </c>
      <c r="T2770" s="82" t="n"/>
      <c r="U2770" s="47">
        <f>IF(OR($M2770="",$T2770=""),"",$T2770+(U$2*$M2770))</f>
        <v/>
      </c>
      <c r="V2770" s="48">
        <f>IF(OR($M2770="",$T2770=""),"",$T2770+(V$2*$M2770))</f>
        <v/>
      </c>
      <c r="W2770" s="48">
        <f>IF(OR($M2770="",$T2770=""),"",$T2770+(W$2*$M2770))</f>
        <v/>
      </c>
      <c r="X2770" s="49">
        <f>IF(OR($M2770="",$T2770=""),"",$T2770+(X$2*$M2770))</f>
        <v/>
      </c>
      <c r="Y2770" s="47">
        <f>IF(OR($M2770="",$T2770=""),"",$T2770+(Y$2*$M2770))</f>
        <v/>
      </c>
      <c r="Z2770" s="49">
        <f>IF(OR($M2770="",$T2770=""),"",$T2770+(Z$2*$M2770))</f>
        <v/>
      </c>
      <c r="AA2770" s="51">
        <f>IF(OR($M2770="",$T2770=""),"",$T2770+(AA$2*$M2770))</f>
        <v/>
      </c>
      <c r="AB2770" s="48">
        <f>IF(OR($M2770="",$T2770=""),"",$T2770+(AB$2*$M2770))</f>
        <v/>
      </c>
      <c r="AC2770" s="48">
        <f>IF(OR($M2770="",$T2770=""),"",$T2770+(AC$2*$M2770))</f>
        <v/>
      </c>
      <c r="AD2770" s="48">
        <f>IF(OR($M2770="",$T2770=""),"",$T2770+(AD$2*$M2770))</f>
        <v/>
      </c>
      <c r="AE2770" s="49">
        <f>IF(OR($M2770="",$T2770=""),"",$T2770+(AE$2*$M2770))</f>
        <v/>
      </c>
      <c r="AF2770" s="52">
        <f>IF(OR(T2770="",I2770&lt;T2770),"",IFERROR(AVERAGE(T2770+M2770*{7,8,9,10,11})/IF(G2770="",I2770,G2770)-1,""))</f>
        <v/>
      </c>
      <c r="AG2770" s="55">
        <f>IF(OR(T2770="",I2770&lt;T2770),"",IFERROR(AF2770/-(R2770/IF(G2770="",I2770,G2770)-1),""))</f>
        <v/>
      </c>
      <c r="AH2770" s="94" t="n"/>
      <c r="AI2770" s="94" t="n"/>
      <c r="AJ2770" s="94" t="n"/>
      <c r="AK2770" s="94" t="n"/>
      <c r="AL2770" s="84" t="n"/>
    </row>
    <row r="2771">
      <c r="A2771" s="64" t="n"/>
      <c r="B2771" s="65" t="n"/>
      <c r="C2771" s="66" t="n"/>
      <c r="D2771" s="67" t="n"/>
      <c r="E2771" s="68" t="n"/>
      <c r="F2771" s="47">
        <f>IF(A2771="","",IF(MIN(H2771,MAX(J2771:K2771))=0,"",MIN(H2771,MAX(J2771:K2771))))</f>
        <v/>
      </c>
      <c r="G2771" s="74" t="n"/>
      <c r="H2771" s="49">
        <f>IF(M2771="","",IFERROR(ROUND(AVERAGE(T2771+M2771*{7,8,9,10,11})/1.21,4),""))</f>
        <v/>
      </c>
      <c r="I2771" s="76" t="n"/>
      <c r="J2771" s="77" t="n"/>
      <c r="K2771" s="74" t="n"/>
      <c r="L2771" s="78" t="n"/>
      <c r="M2771" s="77" t="n"/>
      <c r="N2771" s="53">
        <f>IF(M2771="","",IFERROR(M2771/I2771,""))</f>
        <v/>
      </c>
      <c r="O2771" s="50">
        <f>IF(A2771="","",IFERROR((IF(G2771="",I2771,G2771)-T2771)/M2771,""))</f>
        <v/>
      </c>
      <c r="P2771" s="50">
        <f>IFERROR((I2771/T2771-1)/N2771,"")</f>
        <v/>
      </c>
      <c r="Q2771" s="46">
        <f>IF(OR(T2771="",I2771&lt;T2771),"",IFERROR(R2771/IF(G2771="",I2771,G2771)-1,""))</f>
        <v/>
      </c>
      <c r="R2771" s="48">
        <f>IF($M2771="","",MAX(IF($G2771="",$I2771,$G2771)*(1/1.1),IF($G2771="",$I2771,$G2771)+(R$2*$M2771)))</f>
        <v/>
      </c>
      <c r="S2771" s="49">
        <f>IF($M2771="","",MAX(IF($G2771="",$I2771,$G2771)*(1/1.1),IF($G2771="",$I2771,$G2771)+(S$2*$M2771)))</f>
        <v/>
      </c>
      <c r="T2771" s="82" t="n"/>
      <c r="U2771" s="47">
        <f>IF(OR($M2771="",$T2771=""),"",$T2771+(U$2*$M2771))</f>
        <v/>
      </c>
      <c r="V2771" s="48">
        <f>IF(OR($M2771="",$T2771=""),"",$T2771+(V$2*$M2771))</f>
        <v/>
      </c>
      <c r="W2771" s="48">
        <f>IF(OR($M2771="",$T2771=""),"",$T2771+(W$2*$M2771))</f>
        <v/>
      </c>
      <c r="X2771" s="49">
        <f>IF(OR($M2771="",$T2771=""),"",$T2771+(X$2*$M2771))</f>
        <v/>
      </c>
      <c r="Y2771" s="47">
        <f>IF(OR($M2771="",$T2771=""),"",$T2771+(Y$2*$M2771))</f>
        <v/>
      </c>
      <c r="Z2771" s="49">
        <f>IF(OR($M2771="",$T2771=""),"",$T2771+(Z$2*$M2771))</f>
        <v/>
      </c>
      <c r="AA2771" s="51">
        <f>IF(OR($M2771="",$T2771=""),"",$T2771+(AA$2*$M2771))</f>
        <v/>
      </c>
      <c r="AB2771" s="48">
        <f>IF(OR($M2771="",$T2771=""),"",$T2771+(AB$2*$M2771))</f>
        <v/>
      </c>
      <c r="AC2771" s="48">
        <f>IF(OR($M2771="",$T2771=""),"",$T2771+(AC$2*$M2771))</f>
        <v/>
      </c>
      <c r="AD2771" s="48">
        <f>IF(OR($M2771="",$T2771=""),"",$T2771+(AD$2*$M2771))</f>
        <v/>
      </c>
      <c r="AE2771" s="49">
        <f>IF(OR($M2771="",$T2771=""),"",$T2771+(AE$2*$M2771))</f>
        <v/>
      </c>
      <c r="AF2771" s="52">
        <f>IF(OR(T2771="",I2771&lt;T2771),"",IFERROR(AVERAGE(T2771+M2771*{7,8,9,10,11})/IF(G2771="",I2771,G2771)-1,""))</f>
        <v/>
      </c>
      <c r="AG2771" s="55">
        <f>IF(OR(T2771="",I2771&lt;T2771),"",IFERROR(AF2771/-(R2771/IF(G2771="",I2771,G2771)-1),""))</f>
        <v/>
      </c>
      <c r="AH2771" s="94" t="n"/>
      <c r="AI2771" s="94" t="n"/>
      <c r="AJ2771" s="94" t="n"/>
      <c r="AK2771" s="94" t="n"/>
      <c r="AL2771" s="84" t="n"/>
    </row>
    <row r="2772">
      <c r="A2772" s="64" t="n"/>
      <c r="B2772" s="65" t="n"/>
      <c r="C2772" s="66" t="n"/>
      <c r="D2772" s="67" t="n"/>
      <c r="E2772" s="68" t="n"/>
      <c r="F2772" s="47">
        <f>IF(A2772="","",IF(MIN(H2772,MAX(J2772:K2772))=0,"",MIN(H2772,MAX(J2772:K2772))))</f>
        <v/>
      </c>
      <c r="G2772" s="74" t="n"/>
      <c r="H2772" s="49">
        <f>IF(M2772="","",IFERROR(ROUND(AVERAGE(T2772+M2772*{7,8,9,10,11})/1.21,4),""))</f>
        <v/>
      </c>
      <c r="I2772" s="76" t="n"/>
      <c r="J2772" s="77" t="n"/>
      <c r="K2772" s="74" t="n"/>
      <c r="L2772" s="78" t="n"/>
      <c r="M2772" s="77" t="n"/>
      <c r="N2772" s="53">
        <f>IF(M2772="","",IFERROR(M2772/I2772,""))</f>
        <v/>
      </c>
      <c r="O2772" s="50">
        <f>IF(A2772="","",IFERROR((IF(G2772="",I2772,G2772)-T2772)/M2772,""))</f>
        <v/>
      </c>
      <c r="P2772" s="50">
        <f>IFERROR((I2772/T2772-1)/N2772,"")</f>
        <v/>
      </c>
      <c r="Q2772" s="46">
        <f>IF(OR(T2772="",I2772&lt;T2772),"",IFERROR(R2772/IF(G2772="",I2772,G2772)-1,""))</f>
        <v/>
      </c>
      <c r="R2772" s="48">
        <f>IF($M2772="","",MAX(IF($G2772="",$I2772,$G2772)*(1/1.1),IF($G2772="",$I2772,$G2772)+(R$2*$M2772)))</f>
        <v/>
      </c>
      <c r="S2772" s="49">
        <f>IF($M2772="","",MAX(IF($G2772="",$I2772,$G2772)*(1/1.1),IF($G2772="",$I2772,$G2772)+(S$2*$M2772)))</f>
        <v/>
      </c>
      <c r="T2772" s="82" t="n"/>
      <c r="U2772" s="47">
        <f>IF(OR($M2772="",$T2772=""),"",$T2772+(U$2*$M2772))</f>
        <v/>
      </c>
      <c r="V2772" s="48">
        <f>IF(OR($M2772="",$T2772=""),"",$T2772+(V$2*$M2772))</f>
        <v/>
      </c>
      <c r="W2772" s="48">
        <f>IF(OR($M2772="",$T2772=""),"",$T2772+(W$2*$M2772))</f>
        <v/>
      </c>
      <c r="X2772" s="49">
        <f>IF(OR($M2772="",$T2772=""),"",$T2772+(X$2*$M2772))</f>
        <v/>
      </c>
      <c r="Y2772" s="47">
        <f>IF(OR($M2772="",$T2772=""),"",$T2772+(Y$2*$M2772))</f>
        <v/>
      </c>
      <c r="Z2772" s="49">
        <f>IF(OR($M2772="",$T2772=""),"",$T2772+(Z$2*$M2772))</f>
        <v/>
      </c>
      <c r="AA2772" s="51">
        <f>IF(OR($M2772="",$T2772=""),"",$T2772+(AA$2*$M2772))</f>
        <v/>
      </c>
      <c r="AB2772" s="48">
        <f>IF(OR($M2772="",$T2772=""),"",$T2772+(AB$2*$M2772))</f>
        <v/>
      </c>
      <c r="AC2772" s="48">
        <f>IF(OR($M2772="",$T2772=""),"",$T2772+(AC$2*$M2772))</f>
        <v/>
      </c>
      <c r="AD2772" s="48">
        <f>IF(OR($M2772="",$T2772=""),"",$T2772+(AD$2*$M2772))</f>
        <v/>
      </c>
      <c r="AE2772" s="49">
        <f>IF(OR($M2772="",$T2772=""),"",$T2772+(AE$2*$M2772))</f>
        <v/>
      </c>
      <c r="AF2772" s="52">
        <f>IF(OR(T2772="",I2772&lt;T2772),"",IFERROR(AVERAGE(T2772+M2772*{7,8,9,10,11})/IF(G2772="",I2772,G2772)-1,""))</f>
        <v/>
      </c>
      <c r="AG2772" s="55">
        <f>IF(OR(T2772="",I2772&lt;T2772),"",IFERROR(AF2772/-(R2772/IF(G2772="",I2772,G2772)-1),""))</f>
        <v/>
      </c>
      <c r="AH2772" s="94" t="n"/>
      <c r="AI2772" s="94" t="n"/>
      <c r="AJ2772" s="94" t="n"/>
      <c r="AK2772" s="94" t="n"/>
      <c r="AL2772" s="84" t="n"/>
    </row>
    <row r="2773">
      <c r="A2773" s="64" t="n"/>
      <c r="B2773" s="65" t="n"/>
      <c r="C2773" s="66" t="n"/>
      <c r="D2773" s="67" t="n"/>
      <c r="E2773" s="68" t="n"/>
      <c r="F2773" s="47">
        <f>IF(A2773="","",IF(MIN(H2773,MAX(J2773:K2773))=0,"",MIN(H2773,MAX(J2773:K2773))))</f>
        <v/>
      </c>
      <c r="G2773" s="74" t="n"/>
      <c r="H2773" s="49">
        <f>IF(M2773="","",IFERROR(ROUND(AVERAGE(T2773+M2773*{7,8,9,10,11})/1.21,4),""))</f>
        <v/>
      </c>
      <c r="I2773" s="76" t="n"/>
      <c r="J2773" s="77" t="n"/>
      <c r="K2773" s="74" t="n"/>
      <c r="L2773" s="78" t="n"/>
      <c r="M2773" s="77" t="n"/>
      <c r="N2773" s="53">
        <f>IF(M2773="","",IFERROR(M2773/I2773,""))</f>
        <v/>
      </c>
      <c r="O2773" s="50">
        <f>IF(A2773="","",IFERROR((IF(G2773="",I2773,G2773)-T2773)/M2773,""))</f>
        <v/>
      </c>
      <c r="P2773" s="50">
        <f>IFERROR((I2773/T2773-1)/N2773,"")</f>
        <v/>
      </c>
      <c r="Q2773" s="46">
        <f>IF(OR(T2773="",I2773&lt;T2773),"",IFERROR(R2773/IF(G2773="",I2773,G2773)-1,""))</f>
        <v/>
      </c>
      <c r="R2773" s="48">
        <f>IF($M2773="","",MAX(IF($G2773="",$I2773,$G2773)*(1/1.1),IF($G2773="",$I2773,$G2773)+(R$2*$M2773)))</f>
        <v/>
      </c>
      <c r="S2773" s="49">
        <f>IF($M2773="","",MAX(IF($G2773="",$I2773,$G2773)*(1/1.1),IF($G2773="",$I2773,$G2773)+(S$2*$M2773)))</f>
        <v/>
      </c>
      <c r="T2773" s="82" t="n"/>
      <c r="U2773" s="47">
        <f>IF(OR($M2773="",$T2773=""),"",$T2773+(U$2*$M2773))</f>
        <v/>
      </c>
      <c r="V2773" s="48">
        <f>IF(OR($M2773="",$T2773=""),"",$T2773+(V$2*$M2773))</f>
        <v/>
      </c>
      <c r="W2773" s="48">
        <f>IF(OR($M2773="",$T2773=""),"",$T2773+(W$2*$M2773))</f>
        <v/>
      </c>
      <c r="X2773" s="49">
        <f>IF(OR($M2773="",$T2773=""),"",$T2773+(X$2*$M2773))</f>
        <v/>
      </c>
      <c r="Y2773" s="47">
        <f>IF(OR($M2773="",$T2773=""),"",$T2773+(Y$2*$M2773))</f>
        <v/>
      </c>
      <c r="Z2773" s="49">
        <f>IF(OR($M2773="",$T2773=""),"",$T2773+(Z$2*$M2773))</f>
        <v/>
      </c>
      <c r="AA2773" s="51">
        <f>IF(OR($M2773="",$T2773=""),"",$T2773+(AA$2*$M2773))</f>
        <v/>
      </c>
      <c r="AB2773" s="48">
        <f>IF(OR($M2773="",$T2773=""),"",$T2773+(AB$2*$M2773))</f>
        <v/>
      </c>
      <c r="AC2773" s="48">
        <f>IF(OR($M2773="",$T2773=""),"",$T2773+(AC$2*$M2773))</f>
        <v/>
      </c>
      <c r="AD2773" s="48">
        <f>IF(OR($M2773="",$T2773=""),"",$T2773+(AD$2*$M2773))</f>
        <v/>
      </c>
      <c r="AE2773" s="49">
        <f>IF(OR($M2773="",$T2773=""),"",$T2773+(AE$2*$M2773))</f>
        <v/>
      </c>
      <c r="AF2773" s="52">
        <f>IF(OR(T2773="",I2773&lt;T2773),"",IFERROR(AVERAGE(T2773+M2773*{7,8,9,10,11})/IF(G2773="",I2773,G2773)-1,""))</f>
        <v/>
      </c>
      <c r="AG2773" s="55">
        <f>IF(OR(T2773="",I2773&lt;T2773),"",IFERROR(AF2773/-(R2773/IF(G2773="",I2773,G2773)-1),""))</f>
        <v/>
      </c>
      <c r="AH2773" s="94" t="n"/>
      <c r="AI2773" s="94" t="n"/>
      <c r="AJ2773" s="94" t="n"/>
      <c r="AK2773" s="94" t="n"/>
      <c r="AL2773" s="84" t="n"/>
    </row>
    <row r="2774">
      <c r="A2774" s="64" t="n"/>
      <c r="B2774" s="65" t="n"/>
      <c r="C2774" s="66" t="n"/>
      <c r="D2774" s="67" t="n"/>
      <c r="E2774" s="68" t="n"/>
      <c r="F2774" s="47">
        <f>IF(A2774="","",IF(MIN(H2774,MAX(J2774:K2774))=0,"",MIN(H2774,MAX(J2774:K2774))))</f>
        <v/>
      </c>
      <c r="G2774" s="74" t="n"/>
      <c r="H2774" s="49">
        <f>IF(M2774="","",IFERROR(ROUND(AVERAGE(T2774+M2774*{7,8,9,10,11})/1.21,4),""))</f>
        <v/>
      </c>
      <c r="I2774" s="76" t="n"/>
      <c r="J2774" s="77" t="n"/>
      <c r="K2774" s="74" t="n"/>
      <c r="L2774" s="78" t="n"/>
      <c r="M2774" s="77" t="n"/>
      <c r="N2774" s="53">
        <f>IF(M2774="","",IFERROR(M2774/I2774,""))</f>
        <v/>
      </c>
      <c r="O2774" s="50">
        <f>IF(A2774="","",IFERROR((IF(G2774="",I2774,G2774)-T2774)/M2774,""))</f>
        <v/>
      </c>
      <c r="P2774" s="50">
        <f>IFERROR((I2774/T2774-1)/N2774,"")</f>
        <v/>
      </c>
      <c r="Q2774" s="46">
        <f>IF(OR(T2774="",I2774&lt;T2774),"",IFERROR(R2774/IF(G2774="",I2774,G2774)-1,""))</f>
        <v/>
      </c>
      <c r="R2774" s="48">
        <f>IF($M2774="","",MAX(IF($G2774="",$I2774,$G2774)*(1/1.1),IF($G2774="",$I2774,$G2774)+(R$2*$M2774)))</f>
        <v/>
      </c>
      <c r="S2774" s="49">
        <f>IF($M2774="","",MAX(IF($G2774="",$I2774,$G2774)*(1/1.1),IF($G2774="",$I2774,$G2774)+(S$2*$M2774)))</f>
        <v/>
      </c>
      <c r="T2774" s="82" t="n"/>
      <c r="U2774" s="47">
        <f>IF(OR($M2774="",$T2774=""),"",$T2774+(U$2*$M2774))</f>
        <v/>
      </c>
      <c r="V2774" s="48">
        <f>IF(OR($M2774="",$T2774=""),"",$T2774+(V$2*$M2774))</f>
        <v/>
      </c>
      <c r="W2774" s="48">
        <f>IF(OR($M2774="",$T2774=""),"",$T2774+(W$2*$M2774))</f>
        <v/>
      </c>
      <c r="X2774" s="49">
        <f>IF(OR($M2774="",$T2774=""),"",$T2774+(X$2*$M2774))</f>
        <v/>
      </c>
      <c r="Y2774" s="47">
        <f>IF(OR($M2774="",$T2774=""),"",$T2774+(Y$2*$M2774))</f>
        <v/>
      </c>
      <c r="Z2774" s="49">
        <f>IF(OR($M2774="",$T2774=""),"",$T2774+(Z$2*$M2774))</f>
        <v/>
      </c>
      <c r="AA2774" s="51">
        <f>IF(OR($M2774="",$T2774=""),"",$T2774+(AA$2*$M2774))</f>
        <v/>
      </c>
      <c r="AB2774" s="48">
        <f>IF(OR($M2774="",$T2774=""),"",$T2774+(AB$2*$M2774))</f>
        <v/>
      </c>
      <c r="AC2774" s="48">
        <f>IF(OR($M2774="",$T2774=""),"",$T2774+(AC$2*$M2774))</f>
        <v/>
      </c>
      <c r="AD2774" s="48">
        <f>IF(OR($M2774="",$T2774=""),"",$T2774+(AD$2*$M2774))</f>
        <v/>
      </c>
      <c r="AE2774" s="49">
        <f>IF(OR($M2774="",$T2774=""),"",$T2774+(AE$2*$M2774))</f>
        <v/>
      </c>
      <c r="AF2774" s="52">
        <f>IF(OR(T2774="",I2774&lt;T2774),"",IFERROR(AVERAGE(T2774+M2774*{7,8,9,10,11})/IF(G2774="",I2774,G2774)-1,""))</f>
        <v/>
      </c>
      <c r="AG2774" s="55">
        <f>IF(OR(T2774="",I2774&lt;T2774),"",IFERROR(AF2774/-(R2774/IF(G2774="",I2774,G2774)-1),""))</f>
        <v/>
      </c>
      <c r="AH2774" s="94" t="n"/>
      <c r="AI2774" s="94" t="n"/>
      <c r="AJ2774" s="94" t="n"/>
      <c r="AK2774" s="94" t="n"/>
      <c r="AL2774" s="84" t="n"/>
    </row>
    <row r="2775">
      <c r="A2775" s="64" t="n"/>
      <c r="B2775" s="65" t="n"/>
      <c r="C2775" s="66" t="n"/>
      <c r="D2775" s="67" t="n"/>
      <c r="E2775" s="68" t="n"/>
      <c r="F2775" s="47">
        <f>IF(A2775="","",IF(MIN(H2775,MAX(J2775:K2775))=0,"",MIN(H2775,MAX(J2775:K2775))))</f>
        <v/>
      </c>
      <c r="G2775" s="74" t="n"/>
      <c r="H2775" s="49">
        <f>IF(M2775="","",IFERROR(ROUND(AVERAGE(T2775+M2775*{7,8,9,10,11})/1.21,4),""))</f>
        <v/>
      </c>
      <c r="I2775" s="76" t="n"/>
      <c r="J2775" s="77" t="n"/>
      <c r="K2775" s="74" t="n"/>
      <c r="L2775" s="78" t="n"/>
      <c r="M2775" s="77" t="n"/>
      <c r="N2775" s="53">
        <f>IF(M2775="","",IFERROR(M2775/I2775,""))</f>
        <v/>
      </c>
      <c r="O2775" s="50">
        <f>IF(A2775="","",IFERROR((IF(G2775="",I2775,G2775)-T2775)/M2775,""))</f>
        <v/>
      </c>
      <c r="P2775" s="50">
        <f>IFERROR((I2775/T2775-1)/N2775,"")</f>
        <v/>
      </c>
      <c r="Q2775" s="46">
        <f>IF(OR(T2775="",I2775&lt;T2775),"",IFERROR(R2775/IF(G2775="",I2775,G2775)-1,""))</f>
        <v/>
      </c>
      <c r="R2775" s="48">
        <f>IF($M2775="","",MAX(IF($G2775="",$I2775,$G2775)*(1/1.1),IF($G2775="",$I2775,$G2775)+(R$2*$M2775)))</f>
        <v/>
      </c>
      <c r="S2775" s="49">
        <f>IF($M2775="","",MAX(IF($G2775="",$I2775,$G2775)*(1/1.1),IF($G2775="",$I2775,$G2775)+(S$2*$M2775)))</f>
        <v/>
      </c>
      <c r="T2775" s="82" t="n"/>
      <c r="U2775" s="47">
        <f>IF(OR($M2775="",$T2775=""),"",$T2775+(U$2*$M2775))</f>
        <v/>
      </c>
      <c r="V2775" s="48">
        <f>IF(OR($M2775="",$T2775=""),"",$T2775+(V$2*$M2775))</f>
        <v/>
      </c>
      <c r="W2775" s="48">
        <f>IF(OR($M2775="",$T2775=""),"",$T2775+(W$2*$M2775))</f>
        <v/>
      </c>
      <c r="X2775" s="49">
        <f>IF(OR($M2775="",$T2775=""),"",$T2775+(X$2*$M2775))</f>
        <v/>
      </c>
      <c r="Y2775" s="47">
        <f>IF(OR($M2775="",$T2775=""),"",$T2775+(Y$2*$M2775))</f>
        <v/>
      </c>
      <c r="Z2775" s="49">
        <f>IF(OR($M2775="",$T2775=""),"",$T2775+(Z$2*$M2775))</f>
        <v/>
      </c>
      <c r="AA2775" s="51">
        <f>IF(OR($M2775="",$T2775=""),"",$T2775+(AA$2*$M2775))</f>
        <v/>
      </c>
      <c r="AB2775" s="48">
        <f>IF(OR($M2775="",$T2775=""),"",$T2775+(AB$2*$M2775))</f>
        <v/>
      </c>
      <c r="AC2775" s="48">
        <f>IF(OR($M2775="",$T2775=""),"",$T2775+(AC$2*$M2775))</f>
        <v/>
      </c>
      <c r="AD2775" s="48">
        <f>IF(OR($M2775="",$T2775=""),"",$T2775+(AD$2*$M2775))</f>
        <v/>
      </c>
      <c r="AE2775" s="49">
        <f>IF(OR($M2775="",$T2775=""),"",$T2775+(AE$2*$M2775))</f>
        <v/>
      </c>
      <c r="AF2775" s="52">
        <f>IF(OR(T2775="",I2775&lt;T2775),"",IFERROR(AVERAGE(T2775+M2775*{7,8,9,10,11})/IF(G2775="",I2775,G2775)-1,""))</f>
        <v/>
      </c>
      <c r="AG2775" s="55">
        <f>IF(OR(T2775="",I2775&lt;T2775),"",IFERROR(AF2775/-(R2775/IF(G2775="",I2775,G2775)-1),""))</f>
        <v/>
      </c>
      <c r="AH2775" s="94" t="n"/>
      <c r="AI2775" s="94" t="n"/>
      <c r="AJ2775" s="94" t="n"/>
      <c r="AK2775" s="94" t="n"/>
      <c r="AL2775" s="84" t="n"/>
    </row>
    <row r="2776">
      <c r="A2776" s="64" t="n"/>
      <c r="B2776" s="65" t="n"/>
      <c r="C2776" s="66" t="n"/>
      <c r="D2776" s="67" t="n"/>
      <c r="E2776" s="68" t="n"/>
      <c r="F2776" s="47">
        <f>IF(A2776="","",IF(MIN(H2776,MAX(J2776:K2776))=0,"",MIN(H2776,MAX(J2776:K2776))))</f>
        <v/>
      </c>
      <c r="G2776" s="74" t="n"/>
      <c r="H2776" s="49">
        <f>IF(M2776="","",IFERROR(ROUND(AVERAGE(T2776+M2776*{7,8,9,10,11})/1.21,4),""))</f>
        <v/>
      </c>
      <c r="I2776" s="76" t="n"/>
      <c r="J2776" s="77" t="n"/>
      <c r="K2776" s="74" t="n"/>
      <c r="L2776" s="78" t="n"/>
      <c r="M2776" s="77" t="n"/>
      <c r="N2776" s="53">
        <f>IF(M2776="","",IFERROR(M2776/I2776,""))</f>
        <v/>
      </c>
      <c r="O2776" s="50">
        <f>IF(A2776="","",IFERROR((IF(G2776="",I2776,G2776)-T2776)/M2776,""))</f>
        <v/>
      </c>
      <c r="P2776" s="50">
        <f>IFERROR((I2776/T2776-1)/N2776,"")</f>
        <v/>
      </c>
      <c r="Q2776" s="46">
        <f>IF(OR(T2776="",I2776&lt;T2776),"",IFERROR(R2776/IF(G2776="",I2776,G2776)-1,""))</f>
        <v/>
      </c>
      <c r="R2776" s="48">
        <f>IF($M2776="","",MAX(IF($G2776="",$I2776,$G2776)*(1/1.1),IF($G2776="",$I2776,$G2776)+(R$2*$M2776)))</f>
        <v/>
      </c>
      <c r="S2776" s="49">
        <f>IF($M2776="","",MAX(IF($G2776="",$I2776,$G2776)*(1/1.1),IF($G2776="",$I2776,$G2776)+(S$2*$M2776)))</f>
        <v/>
      </c>
      <c r="T2776" s="82" t="n"/>
      <c r="U2776" s="47">
        <f>IF(OR($M2776="",$T2776=""),"",$T2776+(U$2*$M2776))</f>
        <v/>
      </c>
      <c r="V2776" s="48">
        <f>IF(OR($M2776="",$T2776=""),"",$T2776+(V$2*$M2776))</f>
        <v/>
      </c>
      <c r="W2776" s="48">
        <f>IF(OR($M2776="",$T2776=""),"",$T2776+(W$2*$M2776))</f>
        <v/>
      </c>
      <c r="X2776" s="49">
        <f>IF(OR($M2776="",$T2776=""),"",$T2776+(X$2*$M2776))</f>
        <v/>
      </c>
      <c r="Y2776" s="47">
        <f>IF(OR($M2776="",$T2776=""),"",$T2776+(Y$2*$M2776))</f>
        <v/>
      </c>
      <c r="Z2776" s="49">
        <f>IF(OR($M2776="",$T2776=""),"",$T2776+(Z$2*$M2776))</f>
        <v/>
      </c>
      <c r="AA2776" s="51">
        <f>IF(OR($M2776="",$T2776=""),"",$T2776+(AA$2*$M2776))</f>
        <v/>
      </c>
      <c r="AB2776" s="48">
        <f>IF(OR($M2776="",$T2776=""),"",$T2776+(AB$2*$M2776))</f>
        <v/>
      </c>
      <c r="AC2776" s="48">
        <f>IF(OR($M2776="",$T2776=""),"",$T2776+(AC$2*$M2776))</f>
        <v/>
      </c>
      <c r="AD2776" s="48">
        <f>IF(OR($M2776="",$T2776=""),"",$T2776+(AD$2*$M2776))</f>
        <v/>
      </c>
      <c r="AE2776" s="49">
        <f>IF(OR($M2776="",$T2776=""),"",$T2776+(AE$2*$M2776))</f>
        <v/>
      </c>
      <c r="AF2776" s="52">
        <f>IF(OR(T2776="",I2776&lt;T2776),"",IFERROR(AVERAGE(T2776+M2776*{7,8,9,10,11})/IF(G2776="",I2776,G2776)-1,""))</f>
        <v/>
      </c>
      <c r="AG2776" s="55">
        <f>IF(OR(T2776="",I2776&lt;T2776),"",IFERROR(AF2776/-(R2776/IF(G2776="",I2776,G2776)-1),""))</f>
        <v/>
      </c>
      <c r="AH2776" s="94" t="n"/>
      <c r="AI2776" s="94" t="n"/>
      <c r="AJ2776" s="94" t="n"/>
      <c r="AK2776" s="94" t="n"/>
      <c r="AL2776" s="84" t="n"/>
    </row>
    <row r="2777">
      <c r="A2777" s="64" t="n"/>
      <c r="B2777" s="65" t="n"/>
      <c r="C2777" s="66" t="n"/>
      <c r="D2777" s="67" t="n"/>
      <c r="E2777" s="68" t="n"/>
      <c r="F2777" s="47">
        <f>IF(A2777="","",IF(MIN(H2777,MAX(J2777:K2777))=0,"",MIN(H2777,MAX(J2777:K2777))))</f>
        <v/>
      </c>
      <c r="G2777" s="74" t="n"/>
      <c r="H2777" s="49">
        <f>IF(M2777="","",IFERROR(ROUND(AVERAGE(T2777+M2777*{7,8,9,10,11})/1.21,4),""))</f>
        <v/>
      </c>
      <c r="I2777" s="76" t="n"/>
      <c r="J2777" s="77" t="n"/>
      <c r="K2777" s="74" t="n"/>
      <c r="L2777" s="78" t="n"/>
      <c r="M2777" s="77" t="n"/>
      <c r="N2777" s="53">
        <f>IF(M2777="","",IFERROR(M2777/I2777,""))</f>
        <v/>
      </c>
      <c r="O2777" s="50">
        <f>IF(A2777="","",IFERROR((IF(G2777="",I2777,G2777)-T2777)/M2777,""))</f>
        <v/>
      </c>
      <c r="P2777" s="50">
        <f>IFERROR((I2777/T2777-1)/N2777,"")</f>
        <v/>
      </c>
      <c r="Q2777" s="46">
        <f>IF(OR(T2777="",I2777&lt;T2777),"",IFERROR(R2777/IF(G2777="",I2777,G2777)-1,""))</f>
        <v/>
      </c>
      <c r="R2777" s="48">
        <f>IF($M2777="","",MAX(IF($G2777="",$I2777,$G2777)*(1/1.1),IF($G2777="",$I2777,$G2777)+(R$2*$M2777)))</f>
        <v/>
      </c>
      <c r="S2777" s="49">
        <f>IF($M2777="","",MAX(IF($G2777="",$I2777,$G2777)*(1/1.1),IF($G2777="",$I2777,$G2777)+(S$2*$M2777)))</f>
        <v/>
      </c>
      <c r="T2777" s="82" t="n"/>
      <c r="U2777" s="47">
        <f>IF(OR($M2777="",$T2777=""),"",$T2777+(U$2*$M2777))</f>
        <v/>
      </c>
      <c r="V2777" s="48">
        <f>IF(OR($M2777="",$T2777=""),"",$T2777+(V$2*$M2777))</f>
        <v/>
      </c>
      <c r="W2777" s="48">
        <f>IF(OR($M2777="",$T2777=""),"",$T2777+(W$2*$M2777))</f>
        <v/>
      </c>
      <c r="X2777" s="49">
        <f>IF(OR($M2777="",$T2777=""),"",$T2777+(X$2*$M2777))</f>
        <v/>
      </c>
      <c r="Y2777" s="47">
        <f>IF(OR($M2777="",$T2777=""),"",$T2777+(Y$2*$M2777))</f>
        <v/>
      </c>
      <c r="Z2777" s="49">
        <f>IF(OR($M2777="",$T2777=""),"",$T2777+(Z$2*$M2777))</f>
        <v/>
      </c>
      <c r="AA2777" s="51">
        <f>IF(OR($M2777="",$T2777=""),"",$T2777+(AA$2*$M2777))</f>
        <v/>
      </c>
      <c r="AB2777" s="48">
        <f>IF(OR($M2777="",$T2777=""),"",$T2777+(AB$2*$M2777))</f>
        <v/>
      </c>
      <c r="AC2777" s="48">
        <f>IF(OR($M2777="",$T2777=""),"",$T2777+(AC$2*$M2777))</f>
        <v/>
      </c>
      <c r="AD2777" s="48">
        <f>IF(OR($M2777="",$T2777=""),"",$T2777+(AD$2*$M2777))</f>
        <v/>
      </c>
      <c r="AE2777" s="49">
        <f>IF(OR($M2777="",$T2777=""),"",$T2777+(AE$2*$M2777))</f>
        <v/>
      </c>
      <c r="AF2777" s="52">
        <f>IF(OR(T2777="",I2777&lt;T2777),"",IFERROR(AVERAGE(T2777+M2777*{7,8,9,10,11})/IF(G2777="",I2777,G2777)-1,""))</f>
        <v/>
      </c>
      <c r="AG2777" s="55">
        <f>IF(OR(T2777="",I2777&lt;T2777),"",IFERROR(AF2777/-(R2777/IF(G2777="",I2777,G2777)-1),""))</f>
        <v/>
      </c>
      <c r="AH2777" s="94" t="n"/>
      <c r="AI2777" s="94" t="n"/>
      <c r="AJ2777" s="94" t="n"/>
      <c r="AK2777" s="94" t="n"/>
      <c r="AL2777" s="84" t="n"/>
    </row>
    <row r="2778">
      <c r="A2778" s="64" t="n"/>
      <c r="B2778" s="65" t="n"/>
      <c r="C2778" s="66" t="n"/>
      <c r="D2778" s="67" t="n"/>
      <c r="E2778" s="68" t="n"/>
      <c r="F2778" s="47">
        <f>IF(A2778="","",IF(MIN(H2778,MAX(J2778:K2778))=0,"",MIN(H2778,MAX(J2778:K2778))))</f>
        <v/>
      </c>
      <c r="G2778" s="74" t="n"/>
      <c r="H2778" s="49">
        <f>IF(M2778="","",IFERROR(ROUND(AVERAGE(T2778+M2778*{7,8,9,10,11})/1.21,4),""))</f>
        <v/>
      </c>
      <c r="I2778" s="76" t="n"/>
      <c r="J2778" s="77" t="n"/>
      <c r="K2778" s="74" t="n"/>
      <c r="L2778" s="78" t="n"/>
      <c r="M2778" s="77" t="n"/>
      <c r="N2778" s="53">
        <f>IF(M2778="","",IFERROR(M2778/I2778,""))</f>
        <v/>
      </c>
      <c r="O2778" s="50">
        <f>IF(A2778="","",IFERROR((IF(G2778="",I2778,G2778)-T2778)/M2778,""))</f>
        <v/>
      </c>
      <c r="P2778" s="50">
        <f>IFERROR((I2778/T2778-1)/N2778,"")</f>
        <v/>
      </c>
      <c r="Q2778" s="46">
        <f>IF(OR(T2778="",I2778&lt;T2778),"",IFERROR(R2778/IF(G2778="",I2778,G2778)-1,""))</f>
        <v/>
      </c>
      <c r="R2778" s="48">
        <f>IF($M2778="","",MAX(IF($G2778="",$I2778,$G2778)*(1/1.1),IF($G2778="",$I2778,$G2778)+(R$2*$M2778)))</f>
        <v/>
      </c>
      <c r="S2778" s="49">
        <f>IF($M2778="","",MAX(IF($G2778="",$I2778,$G2778)*(1/1.1),IF($G2778="",$I2778,$G2778)+(S$2*$M2778)))</f>
        <v/>
      </c>
      <c r="T2778" s="82" t="n"/>
      <c r="U2778" s="47">
        <f>IF(OR($M2778="",$T2778=""),"",$T2778+(U$2*$M2778))</f>
        <v/>
      </c>
      <c r="V2778" s="48">
        <f>IF(OR($M2778="",$T2778=""),"",$T2778+(V$2*$M2778))</f>
        <v/>
      </c>
      <c r="W2778" s="48">
        <f>IF(OR($M2778="",$T2778=""),"",$T2778+(W$2*$M2778))</f>
        <v/>
      </c>
      <c r="X2778" s="49">
        <f>IF(OR($M2778="",$T2778=""),"",$T2778+(X$2*$M2778))</f>
        <v/>
      </c>
      <c r="Y2778" s="47">
        <f>IF(OR($M2778="",$T2778=""),"",$T2778+(Y$2*$M2778))</f>
        <v/>
      </c>
      <c r="Z2778" s="49">
        <f>IF(OR($M2778="",$T2778=""),"",$T2778+(Z$2*$M2778))</f>
        <v/>
      </c>
      <c r="AA2778" s="51">
        <f>IF(OR($M2778="",$T2778=""),"",$T2778+(AA$2*$M2778))</f>
        <v/>
      </c>
      <c r="AB2778" s="48">
        <f>IF(OR($M2778="",$T2778=""),"",$T2778+(AB$2*$M2778))</f>
        <v/>
      </c>
      <c r="AC2778" s="48">
        <f>IF(OR($M2778="",$T2778=""),"",$T2778+(AC$2*$M2778))</f>
        <v/>
      </c>
      <c r="AD2778" s="48">
        <f>IF(OR($M2778="",$T2778=""),"",$T2778+(AD$2*$M2778))</f>
        <v/>
      </c>
      <c r="AE2778" s="49">
        <f>IF(OR($M2778="",$T2778=""),"",$T2778+(AE$2*$M2778))</f>
        <v/>
      </c>
      <c r="AF2778" s="52">
        <f>IF(OR(T2778="",I2778&lt;T2778),"",IFERROR(AVERAGE(T2778+M2778*{7,8,9,10,11})/IF(G2778="",I2778,G2778)-1,""))</f>
        <v/>
      </c>
      <c r="AG2778" s="55">
        <f>IF(OR(T2778="",I2778&lt;T2778),"",IFERROR(AF2778/-(R2778/IF(G2778="",I2778,G2778)-1),""))</f>
        <v/>
      </c>
      <c r="AH2778" s="94" t="n"/>
      <c r="AI2778" s="94" t="n"/>
      <c r="AJ2778" s="94" t="n"/>
      <c r="AK2778" s="94" t="n"/>
      <c r="AL2778" s="84" t="n"/>
    </row>
    <row r="2779">
      <c r="A2779" s="64" t="n"/>
      <c r="B2779" s="65" t="n"/>
      <c r="C2779" s="66" t="n"/>
      <c r="D2779" s="67" t="n"/>
      <c r="E2779" s="68" t="n"/>
      <c r="F2779" s="47">
        <f>IF(A2779="","",IF(MIN(H2779,MAX(J2779:K2779))=0,"",MIN(H2779,MAX(J2779:K2779))))</f>
        <v/>
      </c>
      <c r="G2779" s="74" t="n"/>
      <c r="H2779" s="49">
        <f>IF(M2779="","",IFERROR(ROUND(AVERAGE(T2779+M2779*{7,8,9,10,11})/1.21,4),""))</f>
        <v/>
      </c>
      <c r="I2779" s="76" t="n"/>
      <c r="J2779" s="77" t="n"/>
      <c r="K2779" s="74" t="n"/>
      <c r="L2779" s="78" t="n"/>
      <c r="M2779" s="77" t="n"/>
      <c r="N2779" s="53">
        <f>IF(M2779="","",IFERROR(M2779/I2779,""))</f>
        <v/>
      </c>
      <c r="O2779" s="50">
        <f>IF(A2779="","",IFERROR((IF(G2779="",I2779,G2779)-T2779)/M2779,""))</f>
        <v/>
      </c>
      <c r="P2779" s="50">
        <f>IFERROR((I2779/T2779-1)/N2779,"")</f>
        <v/>
      </c>
      <c r="Q2779" s="46">
        <f>IF(OR(T2779="",I2779&lt;T2779),"",IFERROR(R2779/IF(G2779="",I2779,G2779)-1,""))</f>
        <v/>
      </c>
      <c r="R2779" s="48">
        <f>IF($M2779="","",MAX(IF($G2779="",$I2779,$G2779)*(1/1.1),IF($G2779="",$I2779,$G2779)+(R$2*$M2779)))</f>
        <v/>
      </c>
      <c r="S2779" s="49">
        <f>IF($M2779="","",MAX(IF($G2779="",$I2779,$G2779)*(1/1.1),IF($G2779="",$I2779,$G2779)+(S$2*$M2779)))</f>
        <v/>
      </c>
      <c r="T2779" s="82" t="n"/>
      <c r="U2779" s="47">
        <f>IF(OR($M2779="",$T2779=""),"",$T2779+(U$2*$M2779))</f>
        <v/>
      </c>
      <c r="V2779" s="48">
        <f>IF(OR($M2779="",$T2779=""),"",$T2779+(V$2*$M2779))</f>
        <v/>
      </c>
      <c r="W2779" s="48">
        <f>IF(OR($M2779="",$T2779=""),"",$T2779+(W$2*$M2779))</f>
        <v/>
      </c>
      <c r="X2779" s="49">
        <f>IF(OR($M2779="",$T2779=""),"",$T2779+(X$2*$M2779))</f>
        <v/>
      </c>
      <c r="Y2779" s="47">
        <f>IF(OR($M2779="",$T2779=""),"",$T2779+(Y$2*$M2779))</f>
        <v/>
      </c>
      <c r="Z2779" s="49">
        <f>IF(OR($M2779="",$T2779=""),"",$T2779+(Z$2*$M2779))</f>
        <v/>
      </c>
      <c r="AA2779" s="51">
        <f>IF(OR($M2779="",$T2779=""),"",$T2779+(AA$2*$M2779))</f>
        <v/>
      </c>
      <c r="AB2779" s="48">
        <f>IF(OR($M2779="",$T2779=""),"",$T2779+(AB$2*$M2779))</f>
        <v/>
      </c>
      <c r="AC2779" s="48">
        <f>IF(OR($M2779="",$T2779=""),"",$T2779+(AC$2*$M2779))</f>
        <v/>
      </c>
      <c r="AD2779" s="48">
        <f>IF(OR($M2779="",$T2779=""),"",$T2779+(AD$2*$M2779))</f>
        <v/>
      </c>
      <c r="AE2779" s="49">
        <f>IF(OR($M2779="",$T2779=""),"",$T2779+(AE$2*$M2779))</f>
        <v/>
      </c>
      <c r="AF2779" s="52">
        <f>IF(OR(T2779="",I2779&lt;T2779),"",IFERROR(AVERAGE(T2779+M2779*{7,8,9,10,11})/IF(G2779="",I2779,G2779)-1,""))</f>
        <v/>
      </c>
      <c r="AG2779" s="55">
        <f>IF(OR(T2779="",I2779&lt;T2779),"",IFERROR(AF2779/-(R2779/IF(G2779="",I2779,G2779)-1),""))</f>
        <v/>
      </c>
      <c r="AH2779" s="94" t="n"/>
      <c r="AI2779" s="94" t="n"/>
      <c r="AJ2779" s="94" t="n"/>
      <c r="AK2779" s="94" t="n"/>
      <c r="AL2779" s="84" t="n"/>
    </row>
    <row r="2780">
      <c r="A2780" s="64" t="n"/>
      <c r="B2780" s="65" t="n"/>
      <c r="C2780" s="66" t="n"/>
      <c r="D2780" s="67" t="n"/>
      <c r="E2780" s="68" t="n"/>
      <c r="F2780" s="47">
        <f>IF(A2780="","",IF(MIN(H2780,MAX(J2780:K2780))=0,"",MIN(H2780,MAX(J2780:K2780))))</f>
        <v/>
      </c>
      <c r="G2780" s="74" t="n"/>
      <c r="H2780" s="49">
        <f>IF(M2780="","",IFERROR(ROUND(AVERAGE(T2780+M2780*{7,8,9,10,11})/1.21,4),""))</f>
        <v/>
      </c>
      <c r="I2780" s="76" t="n"/>
      <c r="J2780" s="77" t="n"/>
      <c r="K2780" s="74" t="n"/>
      <c r="L2780" s="78" t="n"/>
      <c r="M2780" s="77" t="n"/>
      <c r="N2780" s="53">
        <f>IF(M2780="","",IFERROR(M2780/I2780,""))</f>
        <v/>
      </c>
      <c r="O2780" s="50">
        <f>IF(A2780="","",IFERROR((IF(G2780="",I2780,G2780)-T2780)/M2780,""))</f>
        <v/>
      </c>
      <c r="P2780" s="50">
        <f>IFERROR((I2780/T2780-1)/N2780,"")</f>
        <v/>
      </c>
      <c r="Q2780" s="46">
        <f>IF(OR(T2780="",I2780&lt;T2780),"",IFERROR(R2780/IF(G2780="",I2780,G2780)-1,""))</f>
        <v/>
      </c>
      <c r="R2780" s="48">
        <f>IF($M2780="","",MAX(IF($G2780="",$I2780,$G2780)*(1/1.1),IF($G2780="",$I2780,$G2780)+(R$2*$M2780)))</f>
        <v/>
      </c>
      <c r="S2780" s="49">
        <f>IF($M2780="","",MAX(IF($G2780="",$I2780,$G2780)*(1/1.1),IF($G2780="",$I2780,$G2780)+(S$2*$M2780)))</f>
        <v/>
      </c>
      <c r="T2780" s="82" t="n"/>
      <c r="U2780" s="47">
        <f>IF(OR($M2780="",$T2780=""),"",$T2780+(U$2*$M2780))</f>
        <v/>
      </c>
      <c r="V2780" s="48">
        <f>IF(OR($M2780="",$T2780=""),"",$T2780+(V$2*$M2780))</f>
        <v/>
      </c>
      <c r="W2780" s="48">
        <f>IF(OR($M2780="",$T2780=""),"",$T2780+(W$2*$M2780))</f>
        <v/>
      </c>
      <c r="X2780" s="49">
        <f>IF(OR($M2780="",$T2780=""),"",$T2780+(X$2*$M2780))</f>
        <v/>
      </c>
      <c r="Y2780" s="47">
        <f>IF(OR($M2780="",$T2780=""),"",$T2780+(Y$2*$M2780))</f>
        <v/>
      </c>
      <c r="Z2780" s="49">
        <f>IF(OR($M2780="",$T2780=""),"",$T2780+(Z$2*$M2780))</f>
        <v/>
      </c>
      <c r="AA2780" s="51">
        <f>IF(OR($M2780="",$T2780=""),"",$T2780+(AA$2*$M2780))</f>
        <v/>
      </c>
      <c r="AB2780" s="48">
        <f>IF(OR($M2780="",$T2780=""),"",$T2780+(AB$2*$M2780))</f>
        <v/>
      </c>
      <c r="AC2780" s="48">
        <f>IF(OR($M2780="",$T2780=""),"",$T2780+(AC$2*$M2780))</f>
        <v/>
      </c>
      <c r="AD2780" s="48">
        <f>IF(OR($M2780="",$T2780=""),"",$T2780+(AD$2*$M2780))</f>
        <v/>
      </c>
      <c r="AE2780" s="49">
        <f>IF(OR($M2780="",$T2780=""),"",$T2780+(AE$2*$M2780))</f>
        <v/>
      </c>
      <c r="AF2780" s="52">
        <f>IF(OR(T2780="",I2780&lt;T2780),"",IFERROR(AVERAGE(T2780+M2780*{7,8,9,10,11})/IF(G2780="",I2780,G2780)-1,""))</f>
        <v/>
      </c>
      <c r="AG2780" s="55">
        <f>IF(OR(T2780="",I2780&lt;T2780),"",IFERROR(AF2780/-(R2780/IF(G2780="",I2780,G2780)-1),""))</f>
        <v/>
      </c>
      <c r="AH2780" s="94" t="n"/>
      <c r="AI2780" s="94" t="n"/>
      <c r="AJ2780" s="94" t="n"/>
      <c r="AK2780" s="94" t="n"/>
      <c r="AL2780" s="84" t="n"/>
    </row>
    <row r="2781">
      <c r="A2781" s="64" t="n"/>
      <c r="B2781" s="65" t="n"/>
      <c r="C2781" s="66" t="n"/>
      <c r="D2781" s="67" t="n"/>
      <c r="E2781" s="68" t="n"/>
      <c r="F2781" s="47">
        <f>IF(A2781="","",IF(MIN(H2781,MAX(J2781:K2781))=0,"",MIN(H2781,MAX(J2781:K2781))))</f>
        <v/>
      </c>
      <c r="G2781" s="74" t="n"/>
      <c r="H2781" s="49">
        <f>IF(M2781="","",IFERROR(ROUND(AVERAGE(T2781+M2781*{7,8,9,10,11})/1.21,4),""))</f>
        <v/>
      </c>
      <c r="I2781" s="76" t="n"/>
      <c r="J2781" s="77" t="n"/>
      <c r="K2781" s="74" t="n"/>
      <c r="L2781" s="78" t="n"/>
      <c r="M2781" s="77" t="n"/>
      <c r="N2781" s="53">
        <f>IF(M2781="","",IFERROR(M2781/I2781,""))</f>
        <v/>
      </c>
      <c r="O2781" s="50">
        <f>IF(A2781="","",IFERROR((IF(G2781="",I2781,G2781)-T2781)/M2781,""))</f>
        <v/>
      </c>
      <c r="P2781" s="50">
        <f>IFERROR((I2781/T2781-1)/N2781,"")</f>
        <v/>
      </c>
      <c r="Q2781" s="46">
        <f>IF(OR(T2781="",I2781&lt;T2781),"",IFERROR(R2781/IF(G2781="",I2781,G2781)-1,""))</f>
        <v/>
      </c>
      <c r="R2781" s="48">
        <f>IF($M2781="","",MAX(IF($G2781="",$I2781,$G2781)*(1/1.1),IF($G2781="",$I2781,$G2781)+(R$2*$M2781)))</f>
        <v/>
      </c>
      <c r="S2781" s="49">
        <f>IF($M2781="","",MAX(IF($G2781="",$I2781,$G2781)*(1/1.1),IF($G2781="",$I2781,$G2781)+(S$2*$M2781)))</f>
        <v/>
      </c>
      <c r="T2781" s="82" t="n"/>
      <c r="U2781" s="47">
        <f>IF(OR($M2781="",$T2781=""),"",$T2781+(U$2*$M2781))</f>
        <v/>
      </c>
      <c r="V2781" s="48">
        <f>IF(OR($M2781="",$T2781=""),"",$T2781+(V$2*$M2781))</f>
        <v/>
      </c>
      <c r="W2781" s="48">
        <f>IF(OR($M2781="",$T2781=""),"",$T2781+(W$2*$M2781))</f>
        <v/>
      </c>
      <c r="X2781" s="49">
        <f>IF(OR($M2781="",$T2781=""),"",$T2781+(X$2*$M2781))</f>
        <v/>
      </c>
      <c r="Y2781" s="47">
        <f>IF(OR($M2781="",$T2781=""),"",$T2781+(Y$2*$M2781))</f>
        <v/>
      </c>
      <c r="Z2781" s="49">
        <f>IF(OR($M2781="",$T2781=""),"",$T2781+(Z$2*$M2781))</f>
        <v/>
      </c>
      <c r="AA2781" s="51">
        <f>IF(OR($M2781="",$T2781=""),"",$T2781+(AA$2*$M2781))</f>
        <v/>
      </c>
      <c r="AB2781" s="48">
        <f>IF(OR($M2781="",$T2781=""),"",$T2781+(AB$2*$M2781))</f>
        <v/>
      </c>
      <c r="AC2781" s="48">
        <f>IF(OR($M2781="",$T2781=""),"",$T2781+(AC$2*$M2781))</f>
        <v/>
      </c>
      <c r="AD2781" s="48">
        <f>IF(OR($M2781="",$T2781=""),"",$T2781+(AD$2*$M2781))</f>
        <v/>
      </c>
      <c r="AE2781" s="49">
        <f>IF(OR($M2781="",$T2781=""),"",$T2781+(AE$2*$M2781))</f>
        <v/>
      </c>
      <c r="AF2781" s="52">
        <f>IF(OR(T2781="",I2781&lt;T2781),"",IFERROR(AVERAGE(T2781+M2781*{7,8,9,10,11})/IF(G2781="",I2781,G2781)-1,""))</f>
        <v/>
      </c>
      <c r="AG2781" s="55">
        <f>IF(OR(T2781="",I2781&lt;T2781),"",IFERROR(AF2781/-(R2781/IF(G2781="",I2781,G2781)-1),""))</f>
        <v/>
      </c>
      <c r="AH2781" s="94" t="n"/>
      <c r="AI2781" s="94" t="n"/>
      <c r="AJ2781" s="94" t="n"/>
      <c r="AK2781" s="94" t="n"/>
      <c r="AL2781" s="84" t="n"/>
    </row>
    <row r="2782">
      <c r="A2782" s="64" t="n"/>
      <c r="B2782" s="65" t="n"/>
      <c r="C2782" s="66" t="n"/>
      <c r="D2782" s="67" t="n"/>
      <c r="E2782" s="68" t="n"/>
      <c r="F2782" s="47">
        <f>IF(A2782="","",IF(MIN(H2782,MAX(J2782:K2782))=0,"",MIN(H2782,MAX(J2782:K2782))))</f>
        <v/>
      </c>
      <c r="G2782" s="74" t="n"/>
      <c r="H2782" s="49">
        <f>IF(M2782="","",IFERROR(ROUND(AVERAGE(T2782+M2782*{7,8,9,10,11})/1.21,4),""))</f>
        <v/>
      </c>
      <c r="I2782" s="76" t="n"/>
      <c r="J2782" s="77" t="n"/>
      <c r="K2782" s="74" t="n"/>
      <c r="L2782" s="78" t="n"/>
      <c r="M2782" s="77" t="n"/>
      <c r="N2782" s="53">
        <f>IF(M2782="","",IFERROR(M2782/I2782,""))</f>
        <v/>
      </c>
      <c r="O2782" s="50">
        <f>IF(A2782="","",IFERROR((IF(G2782="",I2782,G2782)-T2782)/M2782,""))</f>
        <v/>
      </c>
      <c r="P2782" s="50">
        <f>IFERROR((I2782/T2782-1)/N2782,"")</f>
        <v/>
      </c>
      <c r="Q2782" s="46">
        <f>IF(OR(T2782="",I2782&lt;T2782),"",IFERROR(R2782/IF(G2782="",I2782,G2782)-1,""))</f>
        <v/>
      </c>
      <c r="R2782" s="48">
        <f>IF($M2782="","",MAX(IF($G2782="",$I2782,$G2782)*(1/1.1),IF($G2782="",$I2782,$G2782)+(R$2*$M2782)))</f>
        <v/>
      </c>
      <c r="S2782" s="49">
        <f>IF($M2782="","",MAX(IF($G2782="",$I2782,$G2782)*(1/1.1),IF($G2782="",$I2782,$G2782)+(S$2*$M2782)))</f>
        <v/>
      </c>
      <c r="T2782" s="82" t="n"/>
      <c r="U2782" s="47">
        <f>IF(OR($M2782="",$T2782=""),"",$T2782+(U$2*$M2782))</f>
        <v/>
      </c>
      <c r="V2782" s="48">
        <f>IF(OR($M2782="",$T2782=""),"",$T2782+(V$2*$M2782))</f>
        <v/>
      </c>
      <c r="W2782" s="48">
        <f>IF(OR($M2782="",$T2782=""),"",$T2782+(W$2*$M2782))</f>
        <v/>
      </c>
      <c r="X2782" s="49">
        <f>IF(OR($M2782="",$T2782=""),"",$T2782+(X$2*$M2782))</f>
        <v/>
      </c>
      <c r="Y2782" s="47">
        <f>IF(OR($M2782="",$T2782=""),"",$T2782+(Y$2*$M2782))</f>
        <v/>
      </c>
      <c r="Z2782" s="49">
        <f>IF(OR($M2782="",$T2782=""),"",$T2782+(Z$2*$M2782))</f>
        <v/>
      </c>
      <c r="AA2782" s="51">
        <f>IF(OR($M2782="",$T2782=""),"",$T2782+(AA$2*$M2782))</f>
        <v/>
      </c>
      <c r="AB2782" s="48">
        <f>IF(OR($M2782="",$T2782=""),"",$T2782+(AB$2*$M2782))</f>
        <v/>
      </c>
      <c r="AC2782" s="48">
        <f>IF(OR($M2782="",$T2782=""),"",$T2782+(AC$2*$M2782))</f>
        <v/>
      </c>
      <c r="AD2782" s="48">
        <f>IF(OR($M2782="",$T2782=""),"",$T2782+(AD$2*$M2782))</f>
        <v/>
      </c>
      <c r="AE2782" s="49">
        <f>IF(OR($M2782="",$T2782=""),"",$T2782+(AE$2*$M2782))</f>
        <v/>
      </c>
      <c r="AF2782" s="52">
        <f>IF(OR(T2782="",I2782&lt;T2782),"",IFERROR(AVERAGE(T2782+M2782*{7,8,9,10,11})/IF(G2782="",I2782,G2782)-1,""))</f>
        <v/>
      </c>
      <c r="AG2782" s="55">
        <f>IF(OR(T2782="",I2782&lt;T2782),"",IFERROR(AF2782/-(R2782/IF(G2782="",I2782,G2782)-1),""))</f>
        <v/>
      </c>
      <c r="AH2782" s="94" t="n"/>
      <c r="AI2782" s="94" t="n"/>
      <c r="AJ2782" s="94" t="n"/>
      <c r="AK2782" s="94" t="n"/>
      <c r="AL2782" s="84" t="n"/>
    </row>
    <row r="2783">
      <c r="A2783" s="64" t="n"/>
      <c r="B2783" s="65" t="n"/>
      <c r="C2783" s="66" t="n"/>
      <c r="D2783" s="67" t="n"/>
      <c r="E2783" s="68" t="n"/>
      <c r="F2783" s="47">
        <f>IF(A2783="","",IF(MIN(H2783,MAX(J2783:K2783))=0,"",MIN(H2783,MAX(J2783:K2783))))</f>
        <v/>
      </c>
      <c r="G2783" s="74" t="n"/>
      <c r="H2783" s="49">
        <f>IF(M2783="","",IFERROR(ROUND(AVERAGE(T2783+M2783*{7,8,9,10,11})/1.21,4),""))</f>
        <v/>
      </c>
      <c r="I2783" s="76" t="n"/>
      <c r="J2783" s="77" t="n"/>
      <c r="K2783" s="74" t="n"/>
      <c r="L2783" s="78" t="n"/>
      <c r="M2783" s="77" t="n"/>
      <c r="N2783" s="53">
        <f>IF(M2783="","",IFERROR(M2783/I2783,""))</f>
        <v/>
      </c>
      <c r="O2783" s="50">
        <f>IF(A2783="","",IFERROR((IF(G2783="",I2783,G2783)-T2783)/M2783,""))</f>
        <v/>
      </c>
      <c r="P2783" s="50">
        <f>IFERROR((I2783/T2783-1)/N2783,"")</f>
        <v/>
      </c>
      <c r="Q2783" s="46">
        <f>IF(OR(T2783="",I2783&lt;T2783),"",IFERROR(R2783/IF(G2783="",I2783,G2783)-1,""))</f>
        <v/>
      </c>
      <c r="R2783" s="48">
        <f>IF($M2783="","",MAX(IF($G2783="",$I2783,$G2783)*(1/1.1),IF($G2783="",$I2783,$G2783)+(R$2*$M2783)))</f>
        <v/>
      </c>
      <c r="S2783" s="49">
        <f>IF($M2783="","",MAX(IF($G2783="",$I2783,$G2783)*(1/1.1),IF($G2783="",$I2783,$G2783)+(S$2*$M2783)))</f>
        <v/>
      </c>
      <c r="T2783" s="82" t="n"/>
      <c r="U2783" s="47">
        <f>IF(OR($M2783="",$T2783=""),"",$T2783+(U$2*$M2783))</f>
        <v/>
      </c>
      <c r="V2783" s="48">
        <f>IF(OR($M2783="",$T2783=""),"",$T2783+(V$2*$M2783))</f>
        <v/>
      </c>
      <c r="W2783" s="48">
        <f>IF(OR($M2783="",$T2783=""),"",$T2783+(W$2*$M2783))</f>
        <v/>
      </c>
      <c r="X2783" s="49">
        <f>IF(OR($M2783="",$T2783=""),"",$T2783+(X$2*$M2783))</f>
        <v/>
      </c>
      <c r="Y2783" s="47">
        <f>IF(OR($M2783="",$T2783=""),"",$T2783+(Y$2*$M2783))</f>
        <v/>
      </c>
      <c r="Z2783" s="49">
        <f>IF(OR($M2783="",$T2783=""),"",$T2783+(Z$2*$M2783))</f>
        <v/>
      </c>
      <c r="AA2783" s="51">
        <f>IF(OR($M2783="",$T2783=""),"",$T2783+(AA$2*$M2783))</f>
        <v/>
      </c>
      <c r="AB2783" s="48">
        <f>IF(OR($M2783="",$T2783=""),"",$T2783+(AB$2*$M2783))</f>
        <v/>
      </c>
      <c r="AC2783" s="48">
        <f>IF(OR($M2783="",$T2783=""),"",$T2783+(AC$2*$M2783))</f>
        <v/>
      </c>
      <c r="AD2783" s="48">
        <f>IF(OR($M2783="",$T2783=""),"",$T2783+(AD$2*$M2783))</f>
        <v/>
      </c>
      <c r="AE2783" s="49">
        <f>IF(OR($M2783="",$T2783=""),"",$T2783+(AE$2*$M2783))</f>
        <v/>
      </c>
      <c r="AF2783" s="52">
        <f>IF(OR(T2783="",I2783&lt;T2783),"",IFERROR(AVERAGE(T2783+M2783*{7,8,9,10,11})/IF(G2783="",I2783,G2783)-1,""))</f>
        <v/>
      </c>
      <c r="AG2783" s="55">
        <f>IF(OR(T2783="",I2783&lt;T2783),"",IFERROR(AF2783/-(R2783/IF(G2783="",I2783,G2783)-1),""))</f>
        <v/>
      </c>
      <c r="AH2783" s="94" t="n"/>
      <c r="AI2783" s="94" t="n"/>
      <c r="AJ2783" s="94" t="n"/>
      <c r="AK2783" s="94" t="n"/>
      <c r="AL2783" s="84" t="n"/>
    </row>
    <row r="2784">
      <c r="A2784" s="64" t="n"/>
      <c r="B2784" s="65" t="n"/>
      <c r="C2784" s="66" t="n"/>
      <c r="D2784" s="67" t="n"/>
      <c r="E2784" s="68" t="n"/>
      <c r="F2784" s="47">
        <f>IF(A2784="","",IF(MIN(H2784,MAX(J2784:K2784))=0,"",MIN(H2784,MAX(J2784:K2784))))</f>
        <v/>
      </c>
      <c r="G2784" s="74" t="n"/>
      <c r="H2784" s="49">
        <f>IF(M2784="","",IFERROR(ROUND(AVERAGE(T2784+M2784*{7,8,9,10,11})/1.21,4),""))</f>
        <v/>
      </c>
      <c r="I2784" s="76" t="n"/>
      <c r="J2784" s="77" t="n"/>
      <c r="K2784" s="74" t="n"/>
      <c r="L2784" s="78" t="n"/>
      <c r="M2784" s="77" t="n"/>
      <c r="N2784" s="53">
        <f>IF(M2784="","",IFERROR(M2784/I2784,""))</f>
        <v/>
      </c>
      <c r="O2784" s="50">
        <f>IF(A2784="","",IFERROR((IF(G2784="",I2784,G2784)-T2784)/M2784,""))</f>
        <v/>
      </c>
      <c r="P2784" s="50">
        <f>IFERROR((I2784/T2784-1)/N2784,"")</f>
        <v/>
      </c>
      <c r="Q2784" s="46">
        <f>IF(OR(T2784="",I2784&lt;T2784),"",IFERROR(R2784/IF(G2784="",I2784,G2784)-1,""))</f>
        <v/>
      </c>
      <c r="R2784" s="48">
        <f>IF($M2784="","",MAX(IF($G2784="",$I2784,$G2784)*(1/1.1),IF($G2784="",$I2784,$G2784)+(R$2*$M2784)))</f>
        <v/>
      </c>
      <c r="S2784" s="49">
        <f>IF($M2784="","",MAX(IF($G2784="",$I2784,$G2784)*(1/1.1),IF($G2784="",$I2784,$G2784)+(S$2*$M2784)))</f>
        <v/>
      </c>
      <c r="T2784" s="82" t="n"/>
      <c r="U2784" s="47">
        <f>IF(OR($M2784="",$T2784=""),"",$T2784+(U$2*$M2784))</f>
        <v/>
      </c>
      <c r="V2784" s="48">
        <f>IF(OR($M2784="",$T2784=""),"",$T2784+(V$2*$M2784))</f>
        <v/>
      </c>
      <c r="W2784" s="48">
        <f>IF(OR($M2784="",$T2784=""),"",$T2784+(W$2*$M2784))</f>
        <v/>
      </c>
      <c r="X2784" s="49">
        <f>IF(OR($M2784="",$T2784=""),"",$T2784+(X$2*$M2784))</f>
        <v/>
      </c>
      <c r="Y2784" s="47">
        <f>IF(OR($M2784="",$T2784=""),"",$T2784+(Y$2*$M2784))</f>
        <v/>
      </c>
      <c r="Z2784" s="49">
        <f>IF(OR($M2784="",$T2784=""),"",$T2784+(Z$2*$M2784))</f>
        <v/>
      </c>
      <c r="AA2784" s="51">
        <f>IF(OR($M2784="",$T2784=""),"",$T2784+(AA$2*$M2784))</f>
        <v/>
      </c>
      <c r="AB2784" s="48">
        <f>IF(OR($M2784="",$T2784=""),"",$T2784+(AB$2*$M2784))</f>
        <v/>
      </c>
      <c r="AC2784" s="48">
        <f>IF(OR($M2784="",$T2784=""),"",$T2784+(AC$2*$M2784))</f>
        <v/>
      </c>
      <c r="AD2784" s="48">
        <f>IF(OR($M2784="",$T2784=""),"",$T2784+(AD$2*$M2784))</f>
        <v/>
      </c>
      <c r="AE2784" s="49">
        <f>IF(OR($M2784="",$T2784=""),"",$T2784+(AE$2*$M2784))</f>
        <v/>
      </c>
      <c r="AF2784" s="52">
        <f>IF(OR(T2784="",I2784&lt;T2784),"",IFERROR(AVERAGE(T2784+M2784*{7,8,9,10,11})/IF(G2784="",I2784,G2784)-1,""))</f>
        <v/>
      </c>
      <c r="AG2784" s="55">
        <f>IF(OR(T2784="",I2784&lt;T2784),"",IFERROR(AF2784/-(R2784/IF(G2784="",I2784,G2784)-1),""))</f>
        <v/>
      </c>
      <c r="AH2784" s="94" t="n"/>
      <c r="AI2784" s="94" t="n"/>
      <c r="AJ2784" s="94" t="n"/>
      <c r="AK2784" s="94" t="n"/>
      <c r="AL2784" s="84" t="n"/>
    </row>
    <row r="2785">
      <c r="A2785" s="64" t="n"/>
      <c r="B2785" s="65" t="n"/>
      <c r="C2785" s="66" t="n"/>
      <c r="D2785" s="67" t="n"/>
      <c r="E2785" s="68" t="n"/>
      <c r="F2785" s="47">
        <f>IF(A2785="","",IF(MIN(H2785,MAX(J2785:K2785))=0,"",MIN(H2785,MAX(J2785:K2785))))</f>
        <v/>
      </c>
      <c r="G2785" s="74" t="n"/>
      <c r="H2785" s="49">
        <f>IF(M2785="","",IFERROR(ROUND(AVERAGE(T2785+M2785*{7,8,9,10,11})/1.21,4),""))</f>
        <v/>
      </c>
      <c r="I2785" s="76" t="n"/>
      <c r="J2785" s="77" t="n"/>
      <c r="K2785" s="74" t="n"/>
      <c r="L2785" s="78" t="n"/>
      <c r="M2785" s="77" t="n"/>
      <c r="N2785" s="53">
        <f>IF(M2785="","",IFERROR(M2785/I2785,""))</f>
        <v/>
      </c>
      <c r="O2785" s="50">
        <f>IF(A2785="","",IFERROR((IF(G2785="",I2785,G2785)-T2785)/M2785,""))</f>
        <v/>
      </c>
      <c r="P2785" s="50">
        <f>IFERROR((I2785/T2785-1)/N2785,"")</f>
        <v/>
      </c>
      <c r="Q2785" s="46">
        <f>IF(OR(T2785="",I2785&lt;T2785),"",IFERROR(R2785/IF(G2785="",I2785,G2785)-1,""))</f>
        <v/>
      </c>
      <c r="R2785" s="48">
        <f>IF($M2785="","",MAX(IF($G2785="",$I2785,$G2785)*(1/1.1),IF($G2785="",$I2785,$G2785)+(R$2*$M2785)))</f>
        <v/>
      </c>
      <c r="S2785" s="49">
        <f>IF($M2785="","",MAX(IF($G2785="",$I2785,$G2785)*(1/1.1),IF($G2785="",$I2785,$G2785)+(S$2*$M2785)))</f>
        <v/>
      </c>
      <c r="T2785" s="82" t="n"/>
      <c r="U2785" s="47">
        <f>IF(OR($M2785="",$T2785=""),"",$T2785+(U$2*$M2785))</f>
        <v/>
      </c>
      <c r="V2785" s="48">
        <f>IF(OR($M2785="",$T2785=""),"",$T2785+(V$2*$M2785))</f>
        <v/>
      </c>
      <c r="W2785" s="48">
        <f>IF(OR($M2785="",$T2785=""),"",$T2785+(W$2*$M2785))</f>
        <v/>
      </c>
      <c r="X2785" s="49">
        <f>IF(OR($M2785="",$T2785=""),"",$T2785+(X$2*$M2785))</f>
        <v/>
      </c>
      <c r="Y2785" s="47">
        <f>IF(OR($M2785="",$T2785=""),"",$T2785+(Y$2*$M2785))</f>
        <v/>
      </c>
      <c r="Z2785" s="49">
        <f>IF(OR($M2785="",$T2785=""),"",$T2785+(Z$2*$M2785))</f>
        <v/>
      </c>
      <c r="AA2785" s="51">
        <f>IF(OR($M2785="",$T2785=""),"",$T2785+(AA$2*$M2785))</f>
        <v/>
      </c>
      <c r="AB2785" s="48">
        <f>IF(OR($M2785="",$T2785=""),"",$T2785+(AB$2*$M2785))</f>
        <v/>
      </c>
      <c r="AC2785" s="48">
        <f>IF(OR($M2785="",$T2785=""),"",$T2785+(AC$2*$M2785))</f>
        <v/>
      </c>
      <c r="AD2785" s="48">
        <f>IF(OR($M2785="",$T2785=""),"",$T2785+(AD$2*$M2785))</f>
        <v/>
      </c>
      <c r="AE2785" s="49">
        <f>IF(OR($M2785="",$T2785=""),"",$T2785+(AE$2*$M2785))</f>
        <v/>
      </c>
      <c r="AF2785" s="52">
        <f>IF(OR(T2785="",I2785&lt;T2785),"",IFERROR(AVERAGE(T2785+M2785*{7,8,9,10,11})/IF(G2785="",I2785,G2785)-1,""))</f>
        <v/>
      </c>
      <c r="AG2785" s="55">
        <f>IF(OR(T2785="",I2785&lt;T2785),"",IFERROR(AF2785/-(R2785/IF(G2785="",I2785,G2785)-1),""))</f>
        <v/>
      </c>
      <c r="AH2785" s="94" t="n"/>
      <c r="AI2785" s="94" t="n"/>
      <c r="AJ2785" s="94" t="n"/>
      <c r="AK2785" s="94" t="n"/>
      <c r="AL2785" s="84" t="n"/>
    </row>
    <row r="2786">
      <c r="A2786" s="64" t="n"/>
      <c r="B2786" s="65" t="n"/>
      <c r="C2786" s="66" t="n"/>
      <c r="D2786" s="67" t="n"/>
      <c r="E2786" s="68" t="n"/>
      <c r="F2786" s="47">
        <f>IF(A2786="","",IF(MIN(H2786,MAX(J2786:K2786))=0,"",MIN(H2786,MAX(J2786:K2786))))</f>
        <v/>
      </c>
      <c r="G2786" s="74" t="n"/>
      <c r="H2786" s="49">
        <f>IF(M2786="","",IFERROR(ROUND(AVERAGE(T2786+M2786*{7,8,9,10,11})/1.21,4),""))</f>
        <v/>
      </c>
      <c r="I2786" s="76" t="n"/>
      <c r="J2786" s="77" t="n"/>
      <c r="K2786" s="74" t="n"/>
      <c r="L2786" s="78" t="n"/>
      <c r="M2786" s="77" t="n"/>
      <c r="N2786" s="53">
        <f>IF(M2786="","",IFERROR(M2786/I2786,""))</f>
        <v/>
      </c>
      <c r="O2786" s="50">
        <f>IF(A2786="","",IFERROR((IF(G2786="",I2786,G2786)-T2786)/M2786,""))</f>
        <v/>
      </c>
      <c r="P2786" s="50">
        <f>IFERROR((I2786/T2786-1)/N2786,"")</f>
        <v/>
      </c>
      <c r="Q2786" s="46">
        <f>IF(OR(T2786="",I2786&lt;T2786),"",IFERROR(R2786/IF(G2786="",I2786,G2786)-1,""))</f>
        <v/>
      </c>
      <c r="R2786" s="48">
        <f>IF($M2786="","",MAX(IF($G2786="",$I2786,$G2786)*(1/1.1),IF($G2786="",$I2786,$G2786)+(R$2*$M2786)))</f>
        <v/>
      </c>
      <c r="S2786" s="49">
        <f>IF($M2786="","",MAX(IF($G2786="",$I2786,$G2786)*(1/1.1),IF($G2786="",$I2786,$G2786)+(S$2*$M2786)))</f>
        <v/>
      </c>
      <c r="T2786" s="82" t="n"/>
      <c r="U2786" s="47">
        <f>IF(OR($M2786="",$T2786=""),"",$T2786+(U$2*$M2786))</f>
        <v/>
      </c>
      <c r="V2786" s="48">
        <f>IF(OR($M2786="",$T2786=""),"",$T2786+(V$2*$M2786))</f>
        <v/>
      </c>
      <c r="W2786" s="48">
        <f>IF(OR($M2786="",$T2786=""),"",$T2786+(W$2*$M2786))</f>
        <v/>
      </c>
      <c r="X2786" s="49">
        <f>IF(OR($M2786="",$T2786=""),"",$T2786+(X$2*$M2786))</f>
        <v/>
      </c>
      <c r="Y2786" s="47">
        <f>IF(OR($M2786="",$T2786=""),"",$T2786+(Y$2*$M2786))</f>
        <v/>
      </c>
      <c r="Z2786" s="49">
        <f>IF(OR($M2786="",$T2786=""),"",$T2786+(Z$2*$M2786))</f>
        <v/>
      </c>
      <c r="AA2786" s="51">
        <f>IF(OR($M2786="",$T2786=""),"",$T2786+(AA$2*$M2786))</f>
        <v/>
      </c>
      <c r="AB2786" s="48">
        <f>IF(OR($M2786="",$T2786=""),"",$T2786+(AB$2*$M2786))</f>
        <v/>
      </c>
      <c r="AC2786" s="48">
        <f>IF(OR($M2786="",$T2786=""),"",$T2786+(AC$2*$M2786))</f>
        <v/>
      </c>
      <c r="AD2786" s="48">
        <f>IF(OR($M2786="",$T2786=""),"",$T2786+(AD$2*$M2786))</f>
        <v/>
      </c>
      <c r="AE2786" s="49">
        <f>IF(OR($M2786="",$T2786=""),"",$T2786+(AE$2*$M2786))</f>
        <v/>
      </c>
      <c r="AF2786" s="52">
        <f>IF(OR(T2786="",I2786&lt;T2786),"",IFERROR(AVERAGE(T2786+M2786*{7,8,9,10,11})/IF(G2786="",I2786,G2786)-1,""))</f>
        <v/>
      </c>
      <c r="AG2786" s="55">
        <f>IF(OR(T2786="",I2786&lt;T2786),"",IFERROR(AF2786/-(R2786/IF(G2786="",I2786,G2786)-1),""))</f>
        <v/>
      </c>
      <c r="AH2786" s="94" t="n"/>
      <c r="AI2786" s="94" t="n"/>
      <c r="AJ2786" s="94" t="n"/>
      <c r="AK2786" s="94" t="n"/>
      <c r="AL2786" s="84" t="n"/>
    </row>
    <row r="2787">
      <c r="A2787" s="64" t="n"/>
      <c r="B2787" s="65" t="n"/>
      <c r="C2787" s="66" t="n"/>
      <c r="D2787" s="67" t="n"/>
      <c r="E2787" s="68" t="n"/>
      <c r="F2787" s="47">
        <f>IF(A2787="","",IF(MIN(H2787,MAX(J2787:K2787))=0,"",MIN(H2787,MAX(J2787:K2787))))</f>
        <v/>
      </c>
      <c r="G2787" s="74" t="n"/>
      <c r="H2787" s="49">
        <f>IF(M2787="","",IFERROR(ROUND(AVERAGE(T2787+M2787*{7,8,9,10,11})/1.21,4),""))</f>
        <v/>
      </c>
      <c r="I2787" s="76" t="n"/>
      <c r="J2787" s="77" t="n"/>
      <c r="K2787" s="74" t="n"/>
      <c r="L2787" s="78" t="n"/>
      <c r="M2787" s="77" t="n"/>
      <c r="N2787" s="53">
        <f>IF(M2787="","",IFERROR(M2787/I2787,""))</f>
        <v/>
      </c>
      <c r="O2787" s="50">
        <f>IF(A2787="","",IFERROR((IF(G2787="",I2787,G2787)-T2787)/M2787,""))</f>
        <v/>
      </c>
      <c r="P2787" s="50">
        <f>IFERROR((I2787/T2787-1)/N2787,"")</f>
        <v/>
      </c>
      <c r="Q2787" s="46">
        <f>IF(OR(T2787="",I2787&lt;T2787),"",IFERROR(R2787/IF(G2787="",I2787,G2787)-1,""))</f>
        <v/>
      </c>
      <c r="R2787" s="48">
        <f>IF($M2787="","",MAX(IF($G2787="",$I2787,$G2787)*(1/1.1),IF($G2787="",$I2787,$G2787)+(R$2*$M2787)))</f>
        <v/>
      </c>
      <c r="S2787" s="49">
        <f>IF($M2787="","",MAX(IF($G2787="",$I2787,$G2787)*(1/1.1),IF($G2787="",$I2787,$G2787)+(S$2*$M2787)))</f>
        <v/>
      </c>
      <c r="T2787" s="82" t="n"/>
      <c r="U2787" s="47">
        <f>IF(OR($M2787="",$T2787=""),"",$T2787+(U$2*$M2787))</f>
        <v/>
      </c>
      <c r="V2787" s="48">
        <f>IF(OR($M2787="",$T2787=""),"",$T2787+(V$2*$M2787))</f>
        <v/>
      </c>
      <c r="W2787" s="48">
        <f>IF(OR($M2787="",$T2787=""),"",$T2787+(W$2*$M2787))</f>
        <v/>
      </c>
      <c r="X2787" s="49">
        <f>IF(OR($M2787="",$T2787=""),"",$T2787+(X$2*$M2787))</f>
        <v/>
      </c>
      <c r="Y2787" s="47">
        <f>IF(OR($M2787="",$T2787=""),"",$T2787+(Y$2*$M2787))</f>
        <v/>
      </c>
      <c r="Z2787" s="49">
        <f>IF(OR($M2787="",$T2787=""),"",$T2787+(Z$2*$M2787))</f>
        <v/>
      </c>
      <c r="AA2787" s="51">
        <f>IF(OR($M2787="",$T2787=""),"",$T2787+(AA$2*$M2787))</f>
        <v/>
      </c>
      <c r="AB2787" s="48">
        <f>IF(OR($M2787="",$T2787=""),"",$T2787+(AB$2*$M2787))</f>
        <v/>
      </c>
      <c r="AC2787" s="48">
        <f>IF(OR($M2787="",$T2787=""),"",$T2787+(AC$2*$M2787))</f>
        <v/>
      </c>
      <c r="AD2787" s="48">
        <f>IF(OR($M2787="",$T2787=""),"",$T2787+(AD$2*$M2787))</f>
        <v/>
      </c>
      <c r="AE2787" s="49">
        <f>IF(OR($M2787="",$T2787=""),"",$T2787+(AE$2*$M2787))</f>
        <v/>
      </c>
      <c r="AF2787" s="52">
        <f>IF(OR(T2787="",I2787&lt;T2787),"",IFERROR(AVERAGE(T2787+M2787*{7,8,9,10,11})/IF(G2787="",I2787,G2787)-1,""))</f>
        <v/>
      </c>
      <c r="AG2787" s="55">
        <f>IF(OR(T2787="",I2787&lt;T2787),"",IFERROR(AF2787/-(R2787/IF(G2787="",I2787,G2787)-1),""))</f>
        <v/>
      </c>
      <c r="AH2787" s="94" t="n"/>
      <c r="AI2787" s="94" t="n"/>
      <c r="AJ2787" s="94" t="n"/>
      <c r="AK2787" s="94" t="n"/>
      <c r="AL2787" s="84" t="n"/>
    </row>
    <row r="2788">
      <c r="A2788" s="64" t="n"/>
      <c r="B2788" s="65" t="n"/>
      <c r="C2788" s="66" t="n"/>
      <c r="D2788" s="67" t="n"/>
      <c r="E2788" s="68" t="n"/>
      <c r="F2788" s="47">
        <f>IF(A2788="","",IF(MIN(H2788,MAX(J2788:K2788))=0,"",MIN(H2788,MAX(J2788:K2788))))</f>
        <v/>
      </c>
      <c r="G2788" s="74" t="n"/>
      <c r="H2788" s="49">
        <f>IF(M2788="","",IFERROR(ROUND(AVERAGE(T2788+M2788*{7,8,9,10,11})/1.21,4),""))</f>
        <v/>
      </c>
      <c r="I2788" s="76" t="n"/>
      <c r="J2788" s="77" t="n"/>
      <c r="K2788" s="74" t="n"/>
      <c r="L2788" s="78" t="n"/>
      <c r="M2788" s="77" t="n"/>
      <c r="N2788" s="53">
        <f>IF(M2788="","",IFERROR(M2788/I2788,""))</f>
        <v/>
      </c>
      <c r="O2788" s="50">
        <f>IF(A2788="","",IFERROR((IF(G2788="",I2788,G2788)-T2788)/M2788,""))</f>
        <v/>
      </c>
      <c r="P2788" s="50">
        <f>IFERROR((I2788/T2788-1)/N2788,"")</f>
        <v/>
      </c>
      <c r="Q2788" s="46">
        <f>IF(OR(T2788="",I2788&lt;T2788),"",IFERROR(R2788/IF(G2788="",I2788,G2788)-1,""))</f>
        <v/>
      </c>
      <c r="R2788" s="48">
        <f>IF($M2788="","",MAX(IF($G2788="",$I2788,$G2788)*(1/1.1),IF($G2788="",$I2788,$G2788)+(R$2*$M2788)))</f>
        <v/>
      </c>
      <c r="S2788" s="49">
        <f>IF($M2788="","",MAX(IF($G2788="",$I2788,$G2788)*(1/1.1),IF($G2788="",$I2788,$G2788)+(S$2*$M2788)))</f>
        <v/>
      </c>
      <c r="T2788" s="82" t="n"/>
      <c r="U2788" s="47">
        <f>IF(OR($M2788="",$T2788=""),"",$T2788+(U$2*$M2788))</f>
        <v/>
      </c>
      <c r="V2788" s="48">
        <f>IF(OR($M2788="",$T2788=""),"",$T2788+(V$2*$M2788))</f>
        <v/>
      </c>
      <c r="W2788" s="48">
        <f>IF(OR($M2788="",$T2788=""),"",$T2788+(W$2*$M2788))</f>
        <v/>
      </c>
      <c r="X2788" s="49">
        <f>IF(OR($M2788="",$T2788=""),"",$T2788+(X$2*$M2788))</f>
        <v/>
      </c>
      <c r="Y2788" s="47">
        <f>IF(OR($M2788="",$T2788=""),"",$T2788+(Y$2*$M2788))</f>
        <v/>
      </c>
      <c r="Z2788" s="49">
        <f>IF(OR($M2788="",$T2788=""),"",$T2788+(Z$2*$M2788))</f>
        <v/>
      </c>
      <c r="AA2788" s="51">
        <f>IF(OR($M2788="",$T2788=""),"",$T2788+(AA$2*$M2788))</f>
        <v/>
      </c>
      <c r="AB2788" s="48">
        <f>IF(OR($M2788="",$T2788=""),"",$T2788+(AB$2*$M2788))</f>
        <v/>
      </c>
      <c r="AC2788" s="48">
        <f>IF(OR($M2788="",$T2788=""),"",$T2788+(AC$2*$M2788))</f>
        <v/>
      </c>
      <c r="AD2788" s="48">
        <f>IF(OR($M2788="",$T2788=""),"",$T2788+(AD$2*$M2788))</f>
        <v/>
      </c>
      <c r="AE2788" s="49">
        <f>IF(OR($M2788="",$T2788=""),"",$T2788+(AE$2*$M2788))</f>
        <v/>
      </c>
      <c r="AF2788" s="52">
        <f>IF(OR(T2788="",I2788&lt;T2788),"",IFERROR(AVERAGE(T2788+M2788*{7,8,9,10,11})/IF(G2788="",I2788,G2788)-1,""))</f>
        <v/>
      </c>
      <c r="AG2788" s="55">
        <f>IF(OR(T2788="",I2788&lt;T2788),"",IFERROR(AF2788/-(R2788/IF(G2788="",I2788,G2788)-1),""))</f>
        <v/>
      </c>
      <c r="AH2788" s="94" t="n"/>
      <c r="AI2788" s="94" t="n"/>
      <c r="AJ2788" s="94" t="n"/>
      <c r="AK2788" s="94" t="n"/>
      <c r="AL2788" s="84" t="n"/>
    </row>
    <row r="2789">
      <c r="A2789" s="64" t="n"/>
      <c r="B2789" s="65" t="n"/>
      <c r="C2789" s="66" t="n"/>
      <c r="D2789" s="67" t="n"/>
      <c r="E2789" s="68" t="n"/>
      <c r="F2789" s="47">
        <f>IF(A2789="","",IF(MIN(H2789,MAX(J2789:K2789))=0,"",MIN(H2789,MAX(J2789:K2789))))</f>
        <v/>
      </c>
      <c r="G2789" s="74" t="n"/>
      <c r="H2789" s="49">
        <f>IF(M2789="","",IFERROR(ROUND(AVERAGE(T2789+M2789*{7,8,9,10,11})/1.21,4),""))</f>
        <v/>
      </c>
      <c r="I2789" s="76" t="n"/>
      <c r="J2789" s="77" t="n"/>
      <c r="K2789" s="74" t="n"/>
      <c r="L2789" s="78" t="n"/>
      <c r="M2789" s="77" t="n"/>
      <c r="N2789" s="53">
        <f>IF(M2789="","",IFERROR(M2789/I2789,""))</f>
        <v/>
      </c>
      <c r="O2789" s="50">
        <f>IF(A2789="","",IFERROR((IF(G2789="",I2789,G2789)-T2789)/M2789,""))</f>
        <v/>
      </c>
      <c r="P2789" s="50">
        <f>IFERROR((I2789/T2789-1)/N2789,"")</f>
        <v/>
      </c>
      <c r="Q2789" s="46">
        <f>IF(OR(T2789="",I2789&lt;T2789),"",IFERROR(R2789/IF(G2789="",I2789,G2789)-1,""))</f>
        <v/>
      </c>
      <c r="R2789" s="48">
        <f>IF($M2789="","",MAX(IF($G2789="",$I2789,$G2789)*(1/1.1),IF($G2789="",$I2789,$G2789)+(R$2*$M2789)))</f>
        <v/>
      </c>
      <c r="S2789" s="49">
        <f>IF($M2789="","",MAX(IF($G2789="",$I2789,$G2789)*(1/1.1),IF($G2789="",$I2789,$G2789)+(S$2*$M2789)))</f>
        <v/>
      </c>
      <c r="T2789" s="82" t="n"/>
      <c r="U2789" s="47">
        <f>IF(OR($M2789="",$T2789=""),"",$T2789+(U$2*$M2789))</f>
        <v/>
      </c>
      <c r="V2789" s="48">
        <f>IF(OR($M2789="",$T2789=""),"",$T2789+(V$2*$M2789))</f>
        <v/>
      </c>
      <c r="W2789" s="48">
        <f>IF(OR($M2789="",$T2789=""),"",$T2789+(W$2*$M2789))</f>
        <v/>
      </c>
      <c r="X2789" s="49">
        <f>IF(OR($M2789="",$T2789=""),"",$T2789+(X$2*$M2789))</f>
        <v/>
      </c>
      <c r="Y2789" s="47">
        <f>IF(OR($M2789="",$T2789=""),"",$T2789+(Y$2*$M2789))</f>
        <v/>
      </c>
      <c r="Z2789" s="49">
        <f>IF(OR($M2789="",$T2789=""),"",$T2789+(Z$2*$M2789))</f>
        <v/>
      </c>
      <c r="AA2789" s="51">
        <f>IF(OR($M2789="",$T2789=""),"",$T2789+(AA$2*$M2789))</f>
        <v/>
      </c>
      <c r="AB2789" s="48">
        <f>IF(OR($M2789="",$T2789=""),"",$T2789+(AB$2*$M2789))</f>
        <v/>
      </c>
      <c r="AC2789" s="48">
        <f>IF(OR($M2789="",$T2789=""),"",$T2789+(AC$2*$M2789))</f>
        <v/>
      </c>
      <c r="AD2789" s="48">
        <f>IF(OR($M2789="",$T2789=""),"",$T2789+(AD$2*$M2789))</f>
        <v/>
      </c>
      <c r="AE2789" s="49">
        <f>IF(OR($M2789="",$T2789=""),"",$T2789+(AE$2*$M2789))</f>
        <v/>
      </c>
      <c r="AF2789" s="52">
        <f>IF(OR(T2789="",I2789&lt;T2789),"",IFERROR(AVERAGE(T2789+M2789*{7,8,9,10,11})/IF(G2789="",I2789,G2789)-1,""))</f>
        <v/>
      </c>
      <c r="AG2789" s="55">
        <f>IF(OR(T2789="",I2789&lt;T2789),"",IFERROR(AF2789/-(R2789/IF(G2789="",I2789,G2789)-1),""))</f>
        <v/>
      </c>
      <c r="AH2789" s="94" t="n"/>
      <c r="AI2789" s="94" t="n"/>
      <c r="AJ2789" s="94" t="n"/>
      <c r="AK2789" s="94" t="n"/>
      <c r="AL2789" s="84" t="n"/>
    </row>
    <row r="2790">
      <c r="A2790" s="64" t="n"/>
      <c r="B2790" s="65" t="n"/>
      <c r="C2790" s="66" t="n"/>
      <c r="D2790" s="67" t="n"/>
      <c r="E2790" s="68" t="n"/>
      <c r="F2790" s="47">
        <f>IF(A2790="","",IF(MIN(H2790,MAX(J2790:K2790))=0,"",MIN(H2790,MAX(J2790:K2790))))</f>
        <v/>
      </c>
      <c r="G2790" s="74" t="n"/>
      <c r="H2790" s="49">
        <f>IF(M2790="","",IFERROR(ROUND(AVERAGE(T2790+M2790*{7,8,9,10,11})/1.21,4),""))</f>
        <v/>
      </c>
      <c r="I2790" s="76" t="n"/>
      <c r="J2790" s="77" t="n"/>
      <c r="K2790" s="74" t="n"/>
      <c r="L2790" s="78" t="n"/>
      <c r="M2790" s="77" t="n"/>
      <c r="N2790" s="53">
        <f>IF(M2790="","",IFERROR(M2790/I2790,""))</f>
        <v/>
      </c>
      <c r="O2790" s="50">
        <f>IF(A2790="","",IFERROR((IF(G2790="",I2790,G2790)-T2790)/M2790,""))</f>
        <v/>
      </c>
      <c r="P2790" s="50">
        <f>IFERROR((I2790/T2790-1)/N2790,"")</f>
        <v/>
      </c>
      <c r="Q2790" s="46">
        <f>IF(OR(T2790="",I2790&lt;T2790),"",IFERROR(R2790/IF(G2790="",I2790,G2790)-1,""))</f>
        <v/>
      </c>
      <c r="R2790" s="48">
        <f>IF($M2790="","",MAX(IF($G2790="",$I2790,$G2790)*(1/1.1),IF($G2790="",$I2790,$G2790)+(R$2*$M2790)))</f>
        <v/>
      </c>
      <c r="S2790" s="49">
        <f>IF($M2790="","",MAX(IF($G2790="",$I2790,$G2790)*(1/1.1),IF($G2790="",$I2790,$G2790)+(S$2*$M2790)))</f>
        <v/>
      </c>
      <c r="T2790" s="82" t="n"/>
      <c r="U2790" s="47">
        <f>IF(OR($M2790="",$T2790=""),"",$T2790+(U$2*$M2790))</f>
        <v/>
      </c>
      <c r="V2790" s="48">
        <f>IF(OR($M2790="",$T2790=""),"",$T2790+(V$2*$M2790))</f>
        <v/>
      </c>
      <c r="W2790" s="48">
        <f>IF(OR($M2790="",$T2790=""),"",$T2790+(W$2*$M2790))</f>
        <v/>
      </c>
      <c r="X2790" s="49">
        <f>IF(OR($M2790="",$T2790=""),"",$T2790+(X$2*$M2790))</f>
        <v/>
      </c>
      <c r="Y2790" s="47">
        <f>IF(OR($M2790="",$T2790=""),"",$T2790+(Y$2*$M2790))</f>
        <v/>
      </c>
      <c r="Z2790" s="49">
        <f>IF(OR($M2790="",$T2790=""),"",$T2790+(Z$2*$M2790))</f>
        <v/>
      </c>
      <c r="AA2790" s="51">
        <f>IF(OR($M2790="",$T2790=""),"",$T2790+(AA$2*$M2790))</f>
        <v/>
      </c>
      <c r="AB2790" s="48">
        <f>IF(OR($M2790="",$T2790=""),"",$T2790+(AB$2*$M2790))</f>
        <v/>
      </c>
      <c r="AC2790" s="48">
        <f>IF(OR($M2790="",$T2790=""),"",$T2790+(AC$2*$M2790))</f>
        <v/>
      </c>
      <c r="AD2790" s="48">
        <f>IF(OR($M2790="",$T2790=""),"",$T2790+(AD$2*$M2790))</f>
        <v/>
      </c>
      <c r="AE2790" s="49">
        <f>IF(OR($M2790="",$T2790=""),"",$T2790+(AE$2*$M2790))</f>
        <v/>
      </c>
      <c r="AF2790" s="52">
        <f>IF(OR(T2790="",I2790&lt;T2790),"",IFERROR(AVERAGE(T2790+M2790*{7,8,9,10,11})/IF(G2790="",I2790,G2790)-1,""))</f>
        <v/>
      </c>
      <c r="AG2790" s="55">
        <f>IF(OR(T2790="",I2790&lt;T2790),"",IFERROR(AF2790/-(R2790/IF(G2790="",I2790,G2790)-1),""))</f>
        <v/>
      </c>
      <c r="AH2790" s="94" t="n"/>
      <c r="AI2790" s="94" t="n"/>
      <c r="AJ2790" s="94" t="n"/>
      <c r="AK2790" s="94" t="n"/>
      <c r="AL2790" s="84" t="n"/>
    </row>
    <row r="2791">
      <c r="A2791" s="64" t="n"/>
      <c r="B2791" s="65" t="n"/>
      <c r="C2791" s="66" t="n"/>
      <c r="D2791" s="67" t="n"/>
      <c r="E2791" s="68" t="n"/>
      <c r="F2791" s="47">
        <f>IF(A2791="","",IF(MIN(H2791,MAX(J2791:K2791))=0,"",MIN(H2791,MAX(J2791:K2791))))</f>
        <v/>
      </c>
      <c r="G2791" s="74" t="n"/>
      <c r="H2791" s="49">
        <f>IF(M2791="","",IFERROR(ROUND(AVERAGE(T2791+M2791*{7,8,9,10,11})/1.21,4),""))</f>
        <v/>
      </c>
      <c r="I2791" s="76" t="n"/>
      <c r="J2791" s="77" t="n"/>
      <c r="K2791" s="74" t="n"/>
      <c r="L2791" s="78" t="n"/>
      <c r="M2791" s="77" t="n"/>
      <c r="N2791" s="53">
        <f>IF(M2791="","",IFERROR(M2791/I2791,""))</f>
        <v/>
      </c>
      <c r="O2791" s="50">
        <f>IF(A2791="","",IFERROR((IF(G2791="",I2791,G2791)-T2791)/M2791,""))</f>
        <v/>
      </c>
      <c r="P2791" s="50">
        <f>IFERROR((I2791/T2791-1)/N2791,"")</f>
        <v/>
      </c>
      <c r="Q2791" s="46">
        <f>IF(OR(T2791="",I2791&lt;T2791),"",IFERROR(R2791/IF(G2791="",I2791,G2791)-1,""))</f>
        <v/>
      </c>
      <c r="R2791" s="48">
        <f>IF($M2791="","",MAX(IF($G2791="",$I2791,$G2791)*(1/1.1),IF($G2791="",$I2791,$G2791)+(R$2*$M2791)))</f>
        <v/>
      </c>
      <c r="S2791" s="49">
        <f>IF($M2791="","",MAX(IF($G2791="",$I2791,$G2791)*(1/1.1),IF($G2791="",$I2791,$G2791)+(S$2*$M2791)))</f>
        <v/>
      </c>
      <c r="T2791" s="82" t="n"/>
      <c r="U2791" s="47">
        <f>IF(OR($M2791="",$T2791=""),"",$T2791+(U$2*$M2791))</f>
        <v/>
      </c>
      <c r="V2791" s="48">
        <f>IF(OR($M2791="",$T2791=""),"",$T2791+(V$2*$M2791))</f>
        <v/>
      </c>
      <c r="W2791" s="48">
        <f>IF(OR($M2791="",$T2791=""),"",$T2791+(W$2*$M2791))</f>
        <v/>
      </c>
      <c r="X2791" s="49">
        <f>IF(OR($M2791="",$T2791=""),"",$T2791+(X$2*$M2791))</f>
        <v/>
      </c>
      <c r="Y2791" s="47">
        <f>IF(OR($M2791="",$T2791=""),"",$T2791+(Y$2*$M2791))</f>
        <v/>
      </c>
      <c r="Z2791" s="49">
        <f>IF(OR($M2791="",$T2791=""),"",$T2791+(Z$2*$M2791))</f>
        <v/>
      </c>
      <c r="AA2791" s="51">
        <f>IF(OR($M2791="",$T2791=""),"",$T2791+(AA$2*$M2791))</f>
        <v/>
      </c>
      <c r="AB2791" s="48">
        <f>IF(OR($M2791="",$T2791=""),"",$T2791+(AB$2*$M2791))</f>
        <v/>
      </c>
      <c r="AC2791" s="48">
        <f>IF(OR($M2791="",$T2791=""),"",$T2791+(AC$2*$M2791))</f>
        <v/>
      </c>
      <c r="AD2791" s="48">
        <f>IF(OR($M2791="",$T2791=""),"",$T2791+(AD$2*$M2791))</f>
        <v/>
      </c>
      <c r="AE2791" s="49">
        <f>IF(OR($M2791="",$T2791=""),"",$T2791+(AE$2*$M2791))</f>
        <v/>
      </c>
      <c r="AF2791" s="52">
        <f>IF(OR(T2791="",I2791&lt;T2791),"",IFERROR(AVERAGE(T2791+M2791*{7,8,9,10,11})/IF(G2791="",I2791,G2791)-1,""))</f>
        <v/>
      </c>
      <c r="AG2791" s="55">
        <f>IF(OR(T2791="",I2791&lt;T2791),"",IFERROR(AF2791/-(R2791/IF(G2791="",I2791,G2791)-1),""))</f>
        <v/>
      </c>
      <c r="AH2791" s="94" t="n"/>
      <c r="AI2791" s="94" t="n"/>
      <c r="AJ2791" s="94" t="n"/>
      <c r="AK2791" s="94" t="n"/>
      <c r="AL2791" s="84" t="n"/>
    </row>
    <row r="2792">
      <c r="A2792" s="64" t="n"/>
      <c r="B2792" s="65" t="n"/>
      <c r="C2792" s="66" t="n"/>
      <c r="D2792" s="67" t="n"/>
      <c r="E2792" s="68" t="n"/>
      <c r="F2792" s="47">
        <f>IF(A2792="","",IF(MIN(H2792,MAX(J2792:K2792))=0,"",MIN(H2792,MAX(J2792:K2792))))</f>
        <v/>
      </c>
      <c r="G2792" s="74" t="n"/>
      <c r="H2792" s="49">
        <f>IF(M2792="","",IFERROR(ROUND(AVERAGE(T2792+M2792*{7,8,9,10,11})/1.21,4),""))</f>
        <v/>
      </c>
      <c r="I2792" s="76" t="n"/>
      <c r="J2792" s="77" t="n"/>
      <c r="K2792" s="74" t="n"/>
      <c r="L2792" s="78" t="n"/>
      <c r="M2792" s="77" t="n"/>
      <c r="N2792" s="53">
        <f>IF(M2792="","",IFERROR(M2792/I2792,""))</f>
        <v/>
      </c>
      <c r="O2792" s="50">
        <f>IF(A2792="","",IFERROR((IF(G2792="",I2792,G2792)-T2792)/M2792,""))</f>
        <v/>
      </c>
      <c r="P2792" s="50">
        <f>IFERROR((I2792/T2792-1)/N2792,"")</f>
        <v/>
      </c>
      <c r="Q2792" s="46">
        <f>IF(OR(T2792="",I2792&lt;T2792),"",IFERROR(R2792/IF(G2792="",I2792,G2792)-1,""))</f>
        <v/>
      </c>
      <c r="R2792" s="48">
        <f>IF($M2792="","",MAX(IF($G2792="",$I2792,$G2792)*(1/1.1),IF($G2792="",$I2792,$G2792)+(R$2*$M2792)))</f>
        <v/>
      </c>
      <c r="S2792" s="49">
        <f>IF($M2792="","",MAX(IF($G2792="",$I2792,$G2792)*(1/1.1),IF($G2792="",$I2792,$G2792)+(S$2*$M2792)))</f>
        <v/>
      </c>
      <c r="T2792" s="82" t="n"/>
      <c r="U2792" s="47">
        <f>IF(OR($M2792="",$T2792=""),"",$T2792+(U$2*$M2792))</f>
        <v/>
      </c>
      <c r="V2792" s="48">
        <f>IF(OR($M2792="",$T2792=""),"",$T2792+(V$2*$M2792))</f>
        <v/>
      </c>
      <c r="W2792" s="48">
        <f>IF(OR($M2792="",$T2792=""),"",$T2792+(W$2*$M2792))</f>
        <v/>
      </c>
      <c r="X2792" s="49">
        <f>IF(OR($M2792="",$T2792=""),"",$T2792+(X$2*$M2792))</f>
        <v/>
      </c>
      <c r="Y2792" s="47">
        <f>IF(OR($M2792="",$T2792=""),"",$T2792+(Y$2*$M2792))</f>
        <v/>
      </c>
      <c r="Z2792" s="49">
        <f>IF(OR($M2792="",$T2792=""),"",$T2792+(Z$2*$M2792))</f>
        <v/>
      </c>
      <c r="AA2792" s="51">
        <f>IF(OR($M2792="",$T2792=""),"",$T2792+(AA$2*$M2792))</f>
        <v/>
      </c>
      <c r="AB2792" s="48">
        <f>IF(OR($M2792="",$T2792=""),"",$T2792+(AB$2*$M2792))</f>
        <v/>
      </c>
      <c r="AC2792" s="48">
        <f>IF(OR($M2792="",$T2792=""),"",$T2792+(AC$2*$M2792))</f>
        <v/>
      </c>
      <c r="AD2792" s="48">
        <f>IF(OR($M2792="",$T2792=""),"",$T2792+(AD$2*$M2792))</f>
        <v/>
      </c>
      <c r="AE2792" s="49">
        <f>IF(OR($M2792="",$T2792=""),"",$T2792+(AE$2*$M2792))</f>
        <v/>
      </c>
      <c r="AF2792" s="52">
        <f>IF(OR(T2792="",I2792&lt;T2792),"",IFERROR(AVERAGE(T2792+M2792*{7,8,9,10,11})/IF(G2792="",I2792,G2792)-1,""))</f>
        <v/>
      </c>
      <c r="AG2792" s="55">
        <f>IF(OR(T2792="",I2792&lt;T2792),"",IFERROR(AF2792/-(R2792/IF(G2792="",I2792,G2792)-1),""))</f>
        <v/>
      </c>
      <c r="AH2792" s="94" t="n"/>
      <c r="AI2792" s="94" t="n"/>
      <c r="AJ2792" s="94" t="n"/>
      <c r="AK2792" s="94" t="n"/>
      <c r="AL2792" s="84" t="n"/>
    </row>
    <row r="2793">
      <c r="A2793" s="64" t="n"/>
      <c r="B2793" s="65" t="n"/>
      <c r="C2793" s="66" t="n"/>
      <c r="D2793" s="67" t="n"/>
      <c r="E2793" s="68" t="n"/>
      <c r="F2793" s="47">
        <f>IF(A2793="","",IF(MIN(H2793,MAX(J2793:K2793))=0,"",MIN(H2793,MAX(J2793:K2793))))</f>
        <v/>
      </c>
      <c r="G2793" s="74" t="n"/>
      <c r="H2793" s="49">
        <f>IF(M2793="","",IFERROR(ROUND(AVERAGE(T2793+M2793*{7,8,9,10,11})/1.21,4),""))</f>
        <v/>
      </c>
      <c r="I2793" s="76" t="n"/>
      <c r="J2793" s="77" t="n"/>
      <c r="K2793" s="74" t="n"/>
      <c r="L2793" s="78" t="n"/>
      <c r="M2793" s="77" t="n"/>
      <c r="N2793" s="53">
        <f>IF(M2793="","",IFERROR(M2793/I2793,""))</f>
        <v/>
      </c>
      <c r="O2793" s="50">
        <f>IF(A2793="","",IFERROR((IF(G2793="",I2793,G2793)-T2793)/M2793,""))</f>
        <v/>
      </c>
      <c r="P2793" s="50">
        <f>IFERROR((I2793/T2793-1)/N2793,"")</f>
        <v/>
      </c>
      <c r="Q2793" s="46">
        <f>IF(OR(T2793="",I2793&lt;T2793),"",IFERROR(R2793/IF(G2793="",I2793,G2793)-1,""))</f>
        <v/>
      </c>
      <c r="R2793" s="48">
        <f>IF($M2793="","",MAX(IF($G2793="",$I2793,$G2793)*(1/1.1),IF($G2793="",$I2793,$G2793)+(R$2*$M2793)))</f>
        <v/>
      </c>
      <c r="S2793" s="49">
        <f>IF($M2793="","",MAX(IF($G2793="",$I2793,$G2793)*(1/1.1),IF($G2793="",$I2793,$G2793)+(S$2*$M2793)))</f>
        <v/>
      </c>
      <c r="T2793" s="82" t="n"/>
      <c r="U2793" s="47">
        <f>IF(OR($M2793="",$T2793=""),"",$T2793+(U$2*$M2793))</f>
        <v/>
      </c>
      <c r="V2793" s="48">
        <f>IF(OR($M2793="",$T2793=""),"",$T2793+(V$2*$M2793))</f>
        <v/>
      </c>
      <c r="W2793" s="48">
        <f>IF(OR($M2793="",$T2793=""),"",$T2793+(W$2*$M2793))</f>
        <v/>
      </c>
      <c r="X2793" s="49">
        <f>IF(OR($M2793="",$T2793=""),"",$T2793+(X$2*$M2793))</f>
        <v/>
      </c>
      <c r="Y2793" s="47">
        <f>IF(OR($M2793="",$T2793=""),"",$T2793+(Y$2*$M2793))</f>
        <v/>
      </c>
      <c r="Z2793" s="49">
        <f>IF(OR($M2793="",$T2793=""),"",$T2793+(Z$2*$M2793))</f>
        <v/>
      </c>
      <c r="AA2793" s="51">
        <f>IF(OR($M2793="",$T2793=""),"",$T2793+(AA$2*$M2793))</f>
        <v/>
      </c>
      <c r="AB2793" s="48">
        <f>IF(OR($M2793="",$T2793=""),"",$T2793+(AB$2*$M2793))</f>
        <v/>
      </c>
      <c r="AC2793" s="48">
        <f>IF(OR($M2793="",$T2793=""),"",$T2793+(AC$2*$M2793))</f>
        <v/>
      </c>
      <c r="AD2793" s="48">
        <f>IF(OR($M2793="",$T2793=""),"",$T2793+(AD$2*$M2793))</f>
        <v/>
      </c>
      <c r="AE2793" s="49">
        <f>IF(OR($M2793="",$T2793=""),"",$T2793+(AE$2*$M2793))</f>
        <v/>
      </c>
      <c r="AF2793" s="52">
        <f>IF(OR(T2793="",I2793&lt;T2793),"",IFERROR(AVERAGE(T2793+M2793*{7,8,9,10,11})/IF(G2793="",I2793,G2793)-1,""))</f>
        <v/>
      </c>
      <c r="AG2793" s="55">
        <f>IF(OR(T2793="",I2793&lt;T2793),"",IFERROR(AF2793/-(R2793/IF(G2793="",I2793,G2793)-1),""))</f>
        <v/>
      </c>
      <c r="AH2793" s="94" t="n"/>
      <c r="AI2793" s="94" t="n"/>
      <c r="AJ2793" s="94" t="n"/>
      <c r="AK2793" s="94" t="n"/>
      <c r="AL2793" s="84" t="n"/>
    </row>
    <row r="2794">
      <c r="A2794" s="64" t="n"/>
      <c r="B2794" s="65" t="n"/>
      <c r="C2794" s="66" t="n"/>
      <c r="D2794" s="67" t="n"/>
      <c r="E2794" s="68" t="n"/>
      <c r="F2794" s="47">
        <f>IF(A2794="","",IF(MIN(H2794,MAX(J2794:K2794))=0,"",MIN(H2794,MAX(J2794:K2794))))</f>
        <v/>
      </c>
      <c r="G2794" s="74" t="n"/>
      <c r="H2794" s="49">
        <f>IF(M2794="","",IFERROR(ROUND(AVERAGE(T2794+M2794*{7,8,9,10,11})/1.21,4),""))</f>
        <v/>
      </c>
      <c r="I2794" s="76" t="n"/>
      <c r="J2794" s="77" t="n"/>
      <c r="K2794" s="74" t="n"/>
      <c r="L2794" s="78" t="n"/>
      <c r="M2794" s="77" t="n"/>
      <c r="N2794" s="53">
        <f>IF(M2794="","",IFERROR(M2794/I2794,""))</f>
        <v/>
      </c>
      <c r="O2794" s="50">
        <f>IF(A2794="","",IFERROR((IF(G2794="",I2794,G2794)-T2794)/M2794,""))</f>
        <v/>
      </c>
      <c r="P2794" s="50">
        <f>IFERROR((I2794/T2794-1)/N2794,"")</f>
        <v/>
      </c>
      <c r="Q2794" s="46">
        <f>IF(OR(T2794="",I2794&lt;T2794),"",IFERROR(R2794/IF(G2794="",I2794,G2794)-1,""))</f>
        <v/>
      </c>
      <c r="R2794" s="48">
        <f>IF($M2794="","",MAX(IF($G2794="",$I2794,$G2794)*(1/1.1),IF($G2794="",$I2794,$G2794)+(R$2*$M2794)))</f>
        <v/>
      </c>
      <c r="S2794" s="49">
        <f>IF($M2794="","",MAX(IF($G2794="",$I2794,$G2794)*(1/1.1),IF($G2794="",$I2794,$G2794)+(S$2*$M2794)))</f>
        <v/>
      </c>
      <c r="T2794" s="82" t="n"/>
      <c r="U2794" s="47">
        <f>IF(OR($M2794="",$T2794=""),"",$T2794+(U$2*$M2794))</f>
        <v/>
      </c>
      <c r="V2794" s="48">
        <f>IF(OR($M2794="",$T2794=""),"",$T2794+(V$2*$M2794))</f>
        <v/>
      </c>
      <c r="W2794" s="48">
        <f>IF(OR($M2794="",$T2794=""),"",$T2794+(W$2*$M2794))</f>
        <v/>
      </c>
      <c r="X2794" s="49">
        <f>IF(OR($M2794="",$T2794=""),"",$T2794+(X$2*$M2794))</f>
        <v/>
      </c>
      <c r="Y2794" s="47">
        <f>IF(OR($M2794="",$T2794=""),"",$T2794+(Y$2*$M2794))</f>
        <v/>
      </c>
      <c r="Z2794" s="49">
        <f>IF(OR($M2794="",$T2794=""),"",$T2794+(Z$2*$M2794))</f>
        <v/>
      </c>
      <c r="AA2794" s="51">
        <f>IF(OR($M2794="",$T2794=""),"",$T2794+(AA$2*$M2794))</f>
        <v/>
      </c>
      <c r="AB2794" s="48">
        <f>IF(OR($M2794="",$T2794=""),"",$T2794+(AB$2*$M2794))</f>
        <v/>
      </c>
      <c r="AC2794" s="48">
        <f>IF(OR($M2794="",$T2794=""),"",$T2794+(AC$2*$M2794))</f>
        <v/>
      </c>
      <c r="AD2794" s="48">
        <f>IF(OR($M2794="",$T2794=""),"",$T2794+(AD$2*$M2794))</f>
        <v/>
      </c>
      <c r="AE2794" s="49">
        <f>IF(OR($M2794="",$T2794=""),"",$T2794+(AE$2*$M2794))</f>
        <v/>
      </c>
      <c r="AF2794" s="52">
        <f>IF(OR(T2794="",I2794&lt;T2794),"",IFERROR(AVERAGE(T2794+M2794*{7,8,9,10,11})/IF(G2794="",I2794,G2794)-1,""))</f>
        <v/>
      </c>
      <c r="AG2794" s="55">
        <f>IF(OR(T2794="",I2794&lt;T2794),"",IFERROR(AF2794/-(R2794/IF(G2794="",I2794,G2794)-1),""))</f>
        <v/>
      </c>
      <c r="AH2794" s="94" t="n"/>
      <c r="AI2794" s="94" t="n"/>
      <c r="AJ2794" s="94" t="n"/>
      <c r="AK2794" s="94" t="n"/>
      <c r="AL2794" s="84" t="n"/>
    </row>
    <row r="2795">
      <c r="A2795" s="64" t="n"/>
      <c r="B2795" s="65" t="n"/>
      <c r="C2795" s="66" t="n"/>
      <c r="D2795" s="67" t="n"/>
      <c r="E2795" s="68" t="n"/>
      <c r="F2795" s="47">
        <f>IF(A2795="","",IF(MIN(H2795,MAX(J2795:K2795))=0,"",MIN(H2795,MAX(J2795:K2795))))</f>
        <v/>
      </c>
      <c r="G2795" s="74" t="n"/>
      <c r="H2795" s="49">
        <f>IF(M2795="","",IFERROR(ROUND(AVERAGE(T2795+M2795*{7,8,9,10,11})/1.21,4),""))</f>
        <v/>
      </c>
      <c r="I2795" s="76" t="n"/>
      <c r="J2795" s="77" t="n"/>
      <c r="K2795" s="74" t="n"/>
      <c r="L2795" s="78" t="n"/>
      <c r="M2795" s="77" t="n"/>
      <c r="N2795" s="53">
        <f>IF(M2795="","",IFERROR(M2795/I2795,""))</f>
        <v/>
      </c>
      <c r="O2795" s="50">
        <f>IF(A2795="","",IFERROR((IF(G2795="",I2795,G2795)-T2795)/M2795,""))</f>
        <v/>
      </c>
      <c r="P2795" s="50">
        <f>IFERROR((I2795/T2795-1)/N2795,"")</f>
        <v/>
      </c>
      <c r="Q2795" s="46">
        <f>IF(OR(T2795="",I2795&lt;T2795),"",IFERROR(R2795/IF(G2795="",I2795,G2795)-1,""))</f>
        <v/>
      </c>
      <c r="R2795" s="48">
        <f>IF($M2795="","",MAX(IF($G2795="",$I2795,$G2795)*(1/1.1),IF($G2795="",$I2795,$G2795)+(R$2*$M2795)))</f>
        <v/>
      </c>
      <c r="S2795" s="49">
        <f>IF($M2795="","",MAX(IF($G2795="",$I2795,$G2795)*(1/1.1),IF($G2795="",$I2795,$G2795)+(S$2*$M2795)))</f>
        <v/>
      </c>
      <c r="T2795" s="82" t="n"/>
      <c r="U2795" s="47">
        <f>IF(OR($M2795="",$T2795=""),"",$T2795+(U$2*$M2795))</f>
        <v/>
      </c>
      <c r="V2795" s="48">
        <f>IF(OR($M2795="",$T2795=""),"",$T2795+(V$2*$M2795))</f>
        <v/>
      </c>
      <c r="W2795" s="48">
        <f>IF(OR($M2795="",$T2795=""),"",$T2795+(W$2*$M2795))</f>
        <v/>
      </c>
      <c r="X2795" s="49">
        <f>IF(OR($M2795="",$T2795=""),"",$T2795+(X$2*$M2795))</f>
        <v/>
      </c>
      <c r="Y2795" s="47">
        <f>IF(OR($M2795="",$T2795=""),"",$T2795+(Y$2*$M2795))</f>
        <v/>
      </c>
      <c r="Z2795" s="49">
        <f>IF(OR($M2795="",$T2795=""),"",$T2795+(Z$2*$M2795))</f>
        <v/>
      </c>
      <c r="AA2795" s="51">
        <f>IF(OR($M2795="",$T2795=""),"",$T2795+(AA$2*$M2795))</f>
        <v/>
      </c>
      <c r="AB2795" s="48">
        <f>IF(OR($M2795="",$T2795=""),"",$T2795+(AB$2*$M2795))</f>
        <v/>
      </c>
      <c r="AC2795" s="48">
        <f>IF(OR($M2795="",$T2795=""),"",$T2795+(AC$2*$M2795))</f>
        <v/>
      </c>
      <c r="AD2795" s="48">
        <f>IF(OR($M2795="",$T2795=""),"",$T2795+(AD$2*$M2795))</f>
        <v/>
      </c>
      <c r="AE2795" s="49">
        <f>IF(OR($M2795="",$T2795=""),"",$T2795+(AE$2*$M2795))</f>
        <v/>
      </c>
      <c r="AF2795" s="52">
        <f>IF(OR(T2795="",I2795&lt;T2795),"",IFERROR(AVERAGE(T2795+M2795*{7,8,9,10,11})/IF(G2795="",I2795,G2795)-1,""))</f>
        <v/>
      </c>
      <c r="AG2795" s="55">
        <f>IF(OR(T2795="",I2795&lt;T2795),"",IFERROR(AF2795/-(R2795/IF(G2795="",I2795,G2795)-1),""))</f>
        <v/>
      </c>
      <c r="AH2795" s="94" t="n"/>
      <c r="AI2795" s="94" t="n"/>
      <c r="AJ2795" s="94" t="n"/>
      <c r="AK2795" s="94" t="n"/>
      <c r="AL2795" s="84" t="n"/>
    </row>
    <row r="2796">
      <c r="A2796" s="64" t="n"/>
      <c r="B2796" s="65" t="n"/>
      <c r="C2796" s="66" t="n"/>
      <c r="D2796" s="67" t="n"/>
      <c r="E2796" s="68" t="n"/>
      <c r="F2796" s="47">
        <f>IF(A2796="","",IF(MIN(H2796,MAX(J2796:K2796))=0,"",MIN(H2796,MAX(J2796:K2796))))</f>
        <v/>
      </c>
      <c r="G2796" s="74" t="n"/>
      <c r="H2796" s="49">
        <f>IF(M2796="","",IFERROR(ROUND(AVERAGE(T2796+M2796*{7,8,9,10,11})/1.21,4),""))</f>
        <v/>
      </c>
      <c r="I2796" s="76" t="n"/>
      <c r="J2796" s="77" t="n"/>
      <c r="K2796" s="74" t="n"/>
      <c r="L2796" s="78" t="n"/>
      <c r="M2796" s="77" t="n"/>
      <c r="N2796" s="53">
        <f>IF(M2796="","",IFERROR(M2796/I2796,""))</f>
        <v/>
      </c>
      <c r="O2796" s="50">
        <f>IF(A2796="","",IFERROR((IF(G2796="",I2796,G2796)-T2796)/M2796,""))</f>
        <v/>
      </c>
      <c r="P2796" s="50">
        <f>IFERROR((I2796/T2796-1)/N2796,"")</f>
        <v/>
      </c>
      <c r="Q2796" s="46">
        <f>IF(OR(T2796="",I2796&lt;T2796),"",IFERROR(R2796/IF(G2796="",I2796,G2796)-1,""))</f>
        <v/>
      </c>
      <c r="R2796" s="48">
        <f>IF($M2796="","",MAX(IF($G2796="",$I2796,$G2796)*(1/1.1),IF($G2796="",$I2796,$G2796)+(R$2*$M2796)))</f>
        <v/>
      </c>
      <c r="S2796" s="49">
        <f>IF($M2796="","",MAX(IF($G2796="",$I2796,$G2796)*(1/1.1),IF($G2796="",$I2796,$G2796)+(S$2*$M2796)))</f>
        <v/>
      </c>
      <c r="T2796" s="82" t="n"/>
      <c r="U2796" s="47">
        <f>IF(OR($M2796="",$T2796=""),"",$T2796+(U$2*$M2796))</f>
        <v/>
      </c>
      <c r="V2796" s="48">
        <f>IF(OR($M2796="",$T2796=""),"",$T2796+(V$2*$M2796))</f>
        <v/>
      </c>
      <c r="W2796" s="48">
        <f>IF(OR($M2796="",$T2796=""),"",$T2796+(W$2*$M2796))</f>
        <v/>
      </c>
      <c r="X2796" s="49">
        <f>IF(OR($M2796="",$T2796=""),"",$T2796+(X$2*$M2796))</f>
        <v/>
      </c>
      <c r="Y2796" s="47">
        <f>IF(OR($M2796="",$T2796=""),"",$T2796+(Y$2*$M2796))</f>
        <v/>
      </c>
      <c r="Z2796" s="49">
        <f>IF(OR($M2796="",$T2796=""),"",$T2796+(Z$2*$M2796))</f>
        <v/>
      </c>
      <c r="AA2796" s="51">
        <f>IF(OR($M2796="",$T2796=""),"",$T2796+(AA$2*$M2796))</f>
        <v/>
      </c>
      <c r="AB2796" s="48">
        <f>IF(OR($M2796="",$T2796=""),"",$T2796+(AB$2*$M2796))</f>
        <v/>
      </c>
      <c r="AC2796" s="48">
        <f>IF(OR($M2796="",$T2796=""),"",$T2796+(AC$2*$M2796))</f>
        <v/>
      </c>
      <c r="AD2796" s="48">
        <f>IF(OR($M2796="",$T2796=""),"",$T2796+(AD$2*$M2796))</f>
        <v/>
      </c>
      <c r="AE2796" s="49">
        <f>IF(OR($M2796="",$T2796=""),"",$T2796+(AE$2*$M2796))</f>
        <v/>
      </c>
      <c r="AF2796" s="52">
        <f>IF(OR(T2796="",I2796&lt;T2796),"",IFERROR(AVERAGE(T2796+M2796*{7,8,9,10,11})/IF(G2796="",I2796,G2796)-1,""))</f>
        <v/>
      </c>
      <c r="AG2796" s="55">
        <f>IF(OR(T2796="",I2796&lt;T2796),"",IFERROR(AF2796/-(R2796/IF(G2796="",I2796,G2796)-1),""))</f>
        <v/>
      </c>
      <c r="AH2796" s="94" t="n"/>
      <c r="AI2796" s="94" t="n"/>
      <c r="AJ2796" s="94" t="n"/>
      <c r="AK2796" s="94" t="n"/>
      <c r="AL2796" s="84" t="n"/>
    </row>
    <row r="2797">
      <c r="A2797" s="64" t="n"/>
      <c r="B2797" s="65" t="n"/>
      <c r="C2797" s="66" t="n"/>
      <c r="D2797" s="67" t="n"/>
      <c r="E2797" s="68" t="n"/>
      <c r="F2797" s="47">
        <f>IF(A2797="","",IF(MIN(H2797,MAX(J2797:K2797))=0,"",MIN(H2797,MAX(J2797:K2797))))</f>
        <v/>
      </c>
      <c r="G2797" s="74" t="n"/>
      <c r="H2797" s="49">
        <f>IF(M2797="","",IFERROR(ROUND(AVERAGE(T2797+M2797*{7,8,9,10,11})/1.21,4),""))</f>
        <v/>
      </c>
      <c r="I2797" s="76" t="n"/>
      <c r="J2797" s="77" t="n"/>
      <c r="K2797" s="74" t="n"/>
      <c r="L2797" s="78" t="n"/>
      <c r="M2797" s="77" t="n"/>
      <c r="N2797" s="53">
        <f>IF(M2797="","",IFERROR(M2797/I2797,""))</f>
        <v/>
      </c>
      <c r="O2797" s="50">
        <f>IF(A2797="","",IFERROR((IF(G2797="",I2797,G2797)-T2797)/M2797,""))</f>
        <v/>
      </c>
      <c r="P2797" s="50">
        <f>IFERROR((I2797/T2797-1)/N2797,"")</f>
        <v/>
      </c>
      <c r="Q2797" s="46">
        <f>IF(OR(T2797="",I2797&lt;T2797),"",IFERROR(R2797/IF(G2797="",I2797,G2797)-1,""))</f>
        <v/>
      </c>
      <c r="R2797" s="48">
        <f>IF($M2797="","",MAX(IF($G2797="",$I2797,$G2797)*(1/1.1),IF($G2797="",$I2797,$G2797)+(R$2*$M2797)))</f>
        <v/>
      </c>
      <c r="S2797" s="49">
        <f>IF($M2797="","",MAX(IF($G2797="",$I2797,$G2797)*(1/1.1),IF($G2797="",$I2797,$G2797)+(S$2*$M2797)))</f>
        <v/>
      </c>
      <c r="T2797" s="82" t="n"/>
      <c r="U2797" s="47">
        <f>IF(OR($M2797="",$T2797=""),"",$T2797+(U$2*$M2797))</f>
        <v/>
      </c>
      <c r="V2797" s="48">
        <f>IF(OR($M2797="",$T2797=""),"",$T2797+(V$2*$M2797))</f>
        <v/>
      </c>
      <c r="W2797" s="48">
        <f>IF(OR($M2797="",$T2797=""),"",$T2797+(W$2*$M2797))</f>
        <v/>
      </c>
      <c r="X2797" s="49">
        <f>IF(OR($M2797="",$T2797=""),"",$T2797+(X$2*$M2797))</f>
        <v/>
      </c>
      <c r="Y2797" s="47">
        <f>IF(OR($M2797="",$T2797=""),"",$T2797+(Y$2*$M2797))</f>
        <v/>
      </c>
      <c r="Z2797" s="49">
        <f>IF(OR($M2797="",$T2797=""),"",$T2797+(Z$2*$M2797))</f>
        <v/>
      </c>
      <c r="AA2797" s="51">
        <f>IF(OR($M2797="",$T2797=""),"",$T2797+(AA$2*$M2797))</f>
        <v/>
      </c>
      <c r="AB2797" s="48">
        <f>IF(OR($M2797="",$T2797=""),"",$T2797+(AB$2*$M2797))</f>
        <v/>
      </c>
      <c r="AC2797" s="48">
        <f>IF(OR($M2797="",$T2797=""),"",$T2797+(AC$2*$M2797))</f>
        <v/>
      </c>
      <c r="AD2797" s="48">
        <f>IF(OR($M2797="",$T2797=""),"",$T2797+(AD$2*$M2797))</f>
        <v/>
      </c>
      <c r="AE2797" s="49">
        <f>IF(OR($M2797="",$T2797=""),"",$T2797+(AE$2*$M2797))</f>
        <v/>
      </c>
      <c r="AF2797" s="52">
        <f>IF(OR(T2797="",I2797&lt;T2797),"",IFERROR(AVERAGE(T2797+M2797*{7,8,9,10,11})/IF(G2797="",I2797,G2797)-1,""))</f>
        <v/>
      </c>
      <c r="AG2797" s="55">
        <f>IF(OR(T2797="",I2797&lt;T2797),"",IFERROR(AF2797/-(R2797/IF(G2797="",I2797,G2797)-1),""))</f>
        <v/>
      </c>
      <c r="AH2797" s="94" t="n"/>
      <c r="AI2797" s="94" t="n"/>
      <c r="AJ2797" s="94" t="n"/>
      <c r="AK2797" s="94" t="n"/>
      <c r="AL2797" s="84" t="n"/>
    </row>
    <row r="2798">
      <c r="A2798" s="64" t="n"/>
      <c r="B2798" s="65" t="n"/>
      <c r="C2798" s="66" t="n"/>
      <c r="D2798" s="67" t="n"/>
      <c r="E2798" s="68" t="n"/>
      <c r="F2798" s="47">
        <f>IF(A2798="","",IF(MIN(H2798,MAX(J2798:K2798))=0,"",MIN(H2798,MAX(J2798:K2798))))</f>
        <v/>
      </c>
      <c r="G2798" s="74" t="n"/>
      <c r="H2798" s="49">
        <f>IF(M2798="","",IFERROR(ROUND(AVERAGE(T2798+M2798*{7,8,9,10,11})/1.21,4),""))</f>
        <v/>
      </c>
      <c r="I2798" s="76" t="n"/>
      <c r="J2798" s="77" t="n"/>
      <c r="K2798" s="74" t="n"/>
      <c r="L2798" s="78" t="n"/>
      <c r="M2798" s="77" t="n"/>
      <c r="N2798" s="53">
        <f>IF(M2798="","",IFERROR(M2798/I2798,""))</f>
        <v/>
      </c>
      <c r="O2798" s="50">
        <f>IF(A2798="","",IFERROR((IF(G2798="",I2798,G2798)-T2798)/M2798,""))</f>
        <v/>
      </c>
      <c r="P2798" s="50">
        <f>IFERROR((I2798/T2798-1)/N2798,"")</f>
        <v/>
      </c>
      <c r="Q2798" s="46">
        <f>IF(OR(T2798="",I2798&lt;T2798),"",IFERROR(R2798/IF(G2798="",I2798,G2798)-1,""))</f>
        <v/>
      </c>
      <c r="R2798" s="48">
        <f>IF($M2798="","",MAX(IF($G2798="",$I2798,$G2798)*(1/1.1),IF($G2798="",$I2798,$G2798)+(R$2*$M2798)))</f>
        <v/>
      </c>
      <c r="S2798" s="49">
        <f>IF($M2798="","",MAX(IF($G2798="",$I2798,$G2798)*(1/1.1),IF($G2798="",$I2798,$G2798)+(S$2*$M2798)))</f>
        <v/>
      </c>
      <c r="T2798" s="82" t="n"/>
      <c r="U2798" s="47">
        <f>IF(OR($M2798="",$T2798=""),"",$T2798+(U$2*$M2798))</f>
        <v/>
      </c>
      <c r="V2798" s="48">
        <f>IF(OR($M2798="",$T2798=""),"",$T2798+(V$2*$M2798))</f>
        <v/>
      </c>
      <c r="W2798" s="48">
        <f>IF(OR($M2798="",$T2798=""),"",$T2798+(W$2*$M2798))</f>
        <v/>
      </c>
      <c r="X2798" s="49">
        <f>IF(OR($M2798="",$T2798=""),"",$T2798+(X$2*$M2798))</f>
        <v/>
      </c>
      <c r="Y2798" s="47">
        <f>IF(OR($M2798="",$T2798=""),"",$T2798+(Y$2*$M2798))</f>
        <v/>
      </c>
      <c r="Z2798" s="49">
        <f>IF(OR($M2798="",$T2798=""),"",$T2798+(Z$2*$M2798))</f>
        <v/>
      </c>
      <c r="AA2798" s="51">
        <f>IF(OR($M2798="",$T2798=""),"",$T2798+(AA$2*$M2798))</f>
        <v/>
      </c>
      <c r="AB2798" s="48">
        <f>IF(OR($M2798="",$T2798=""),"",$T2798+(AB$2*$M2798))</f>
        <v/>
      </c>
      <c r="AC2798" s="48">
        <f>IF(OR($M2798="",$T2798=""),"",$T2798+(AC$2*$M2798))</f>
        <v/>
      </c>
      <c r="AD2798" s="48">
        <f>IF(OR($M2798="",$T2798=""),"",$T2798+(AD$2*$M2798))</f>
        <v/>
      </c>
      <c r="AE2798" s="49">
        <f>IF(OR($M2798="",$T2798=""),"",$T2798+(AE$2*$M2798))</f>
        <v/>
      </c>
      <c r="AF2798" s="52">
        <f>IF(OR(T2798="",I2798&lt;T2798),"",IFERROR(AVERAGE(T2798+M2798*{7,8,9,10,11})/IF(G2798="",I2798,G2798)-1,""))</f>
        <v/>
      </c>
      <c r="AG2798" s="55">
        <f>IF(OR(T2798="",I2798&lt;T2798),"",IFERROR(AF2798/-(R2798/IF(G2798="",I2798,G2798)-1),""))</f>
        <v/>
      </c>
      <c r="AH2798" s="94" t="n"/>
      <c r="AI2798" s="94" t="n"/>
      <c r="AJ2798" s="94" t="n"/>
      <c r="AK2798" s="94" t="n"/>
      <c r="AL2798" s="84" t="n"/>
    </row>
    <row r="2799">
      <c r="A2799" s="64" t="n"/>
      <c r="B2799" s="65" t="n"/>
      <c r="C2799" s="66" t="n"/>
      <c r="D2799" s="67" t="n"/>
      <c r="E2799" s="68" t="n"/>
      <c r="F2799" s="47">
        <f>IF(A2799="","",IF(MIN(H2799,MAX(J2799:K2799))=0,"",MIN(H2799,MAX(J2799:K2799))))</f>
        <v/>
      </c>
      <c r="G2799" s="74" t="n"/>
      <c r="H2799" s="49">
        <f>IF(M2799="","",IFERROR(ROUND(AVERAGE(T2799+M2799*{7,8,9,10,11})/1.21,4),""))</f>
        <v/>
      </c>
      <c r="I2799" s="76" t="n"/>
      <c r="J2799" s="77" t="n"/>
      <c r="K2799" s="74" t="n"/>
      <c r="L2799" s="78" t="n"/>
      <c r="M2799" s="77" t="n"/>
      <c r="N2799" s="53">
        <f>IF(M2799="","",IFERROR(M2799/I2799,""))</f>
        <v/>
      </c>
      <c r="O2799" s="50">
        <f>IF(A2799="","",IFERROR((IF(G2799="",I2799,G2799)-T2799)/M2799,""))</f>
        <v/>
      </c>
      <c r="P2799" s="50">
        <f>IFERROR((I2799/T2799-1)/N2799,"")</f>
        <v/>
      </c>
      <c r="Q2799" s="46">
        <f>IF(OR(T2799="",I2799&lt;T2799),"",IFERROR(R2799/IF(G2799="",I2799,G2799)-1,""))</f>
        <v/>
      </c>
      <c r="R2799" s="48">
        <f>IF($M2799="","",MAX(IF($G2799="",$I2799,$G2799)*(1/1.1),IF($G2799="",$I2799,$G2799)+(R$2*$M2799)))</f>
        <v/>
      </c>
      <c r="S2799" s="49">
        <f>IF($M2799="","",MAX(IF($G2799="",$I2799,$G2799)*(1/1.1),IF($G2799="",$I2799,$G2799)+(S$2*$M2799)))</f>
        <v/>
      </c>
      <c r="T2799" s="82" t="n"/>
      <c r="U2799" s="47">
        <f>IF(OR($M2799="",$T2799=""),"",$T2799+(U$2*$M2799))</f>
        <v/>
      </c>
      <c r="V2799" s="48">
        <f>IF(OR($M2799="",$T2799=""),"",$T2799+(V$2*$M2799))</f>
        <v/>
      </c>
      <c r="W2799" s="48">
        <f>IF(OR($M2799="",$T2799=""),"",$T2799+(W$2*$M2799))</f>
        <v/>
      </c>
      <c r="X2799" s="49">
        <f>IF(OR($M2799="",$T2799=""),"",$T2799+(X$2*$M2799))</f>
        <v/>
      </c>
      <c r="Y2799" s="47">
        <f>IF(OR($M2799="",$T2799=""),"",$T2799+(Y$2*$M2799))</f>
        <v/>
      </c>
      <c r="Z2799" s="49">
        <f>IF(OR($M2799="",$T2799=""),"",$T2799+(Z$2*$M2799))</f>
        <v/>
      </c>
      <c r="AA2799" s="51">
        <f>IF(OR($M2799="",$T2799=""),"",$T2799+(AA$2*$M2799))</f>
        <v/>
      </c>
      <c r="AB2799" s="48">
        <f>IF(OR($M2799="",$T2799=""),"",$T2799+(AB$2*$M2799))</f>
        <v/>
      </c>
      <c r="AC2799" s="48">
        <f>IF(OR($M2799="",$T2799=""),"",$T2799+(AC$2*$M2799))</f>
        <v/>
      </c>
      <c r="AD2799" s="48">
        <f>IF(OR($M2799="",$T2799=""),"",$T2799+(AD$2*$M2799))</f>
        <v/>
      </c>
      <c r="AE2799" s="49">
        <f>IF(OR($M2799="",$T2799=""),"",$T2799+(AE$2*$M2799))</f>
        <v/>
      </c>
      <c r="AF2799" s="52">
        <f>IF(OR(T2799="",I2799&lt;T2799),"",IFERROR(AVERAGE(T2799+M2799*{7,8,9,10,11})/IF(G2799="",I2799,G2799)-1,""))</f>
        <v/>
      </c>
      <c r="AG2799" s="55">
        <f>IF(OR(T2799="",I2799&lt;T2799),"",IFERROR(AF2799/-(R2799/IF(G2799="",I2799,G2799)-1),""))</f>
        <v/>
      </c>
      <c r="AH2799" s="94" t="n"/>
      <c r="AI2799" s="94" t="n"/>
      <c r="AJ2799" s="94" t="n"/>
      <c r="AK2799" s="94" t="n"/>
      <c r="AL2799" s="84" t="n"/>
    </row>
    <row r="2800">
      <c r="A2800" s="64" t="n"/>
      <c r="B2800" s="65" t="n"/>
      <c r="C2800" s="66" t="n"/>
      <c r="D2800" s="67" t="n"/>
      <c r="E2800" s="68" t="n"/>
      <c r="F2800" s="47">
        <f>IF(A2800="","",IF(MIN(H2800,MAX(J2800:K2800))=0,"",MIN(H2800,MAX(J2800:K2800))))</f>
        <v/>
      </c>
      <c r="G2800" s="74" t="n"/>
      <c r="H2800" s="49">
        <f>IF(M2800="","",IFERROR(ROUND(AVERAGE(T2800+M2800*{7,8,9,10,11})/1.21,4),""))</f>
        <v/>
      </c>
      <c r="I2800" s="76" t="n"/>
      <c r="J2800" s="77" t="n"/>
      <c r="K2800" s="74" t="n"/>
      <c r="L2800" s="78" t="n"/>
      <c r="M2800" s="77" t="n"/>
      <c r="N2800" s="53">
        <f>IF(M2800="","",IFERROR(M2800/I2800,""))</f>
        <v/>
      </c>
      <c r="O2800" s="50">
        <f>IF(A2800="","",IFERROR((IF(G2800="",I2800,G2800)-T2800)/M2800,""))</f>
        <v/>
      </c>
      <c r="P2800" s="50">
        <f>IFERROR((I2800/T2800-1)/N2800,"")</f>
        <v/>
      </c>
      <c r="Q2800" s="46">
        <f>IF(OR(T2800="",I2800&lt;T2800),"",IFERROR(R2800/IF(G2800="",I2800,G2800)-1,""))</f>
        <v/>
      </c>
      <c r="R2800" s="48">
        <f>IF($M2800="","",MAX(IF($G2800="",$I2800,$G2800)*(1/1.1),IF($G2800="",$I2800,$G2800)+(R$2*$M2800)))</f>
        <v/>
      </c>
      <c r="S2800" s="49">
        <f>IF($M2800="","",MAX(IF($G2800="",$I2800,$G2800)*(1/1.1),IF($G2800="",$I2800,$G2800)+(S$2*$M2800)))</f>
        <v/>
      </c>
      <c r="T2800" s="82" t="n"/>
      <c r="U2800" s="47">
        <f>IF(OR($M2800="",$T2800=""),"",$T2800+(U$2*$M2800))</f>
        <v/>
      </c>
      <c r="V2800" s="48">
        <f>IF(OR($M2800="",$T2800=""),"",$T2800+(V$2*$M2800))</f>
        <v/>
      </c>
      <c r="W2800" s="48">
        <f>IF(OR($M2800="",$T2800=""),"",$T2800+(W$2*$M2800))</f>
        <v/>
      </c>
      <c r="X2800" s="49">
        <f>IF(OR($M2800="",$T2800=""),"",$T2800+(X$2*$M2800))</f>
        <v/>
      </c>
      <c r="Y2800" s="47">
        <f>IF(OR($M2800="",$T2800=""),"",$T2800+(Y$2*$M2800))</f>
        <v/>
      </c>
      <c r="Z2800" s="49">
        <f>IF(OR($M2800="",$T2800=""),"",$T2800+(Z$2*$M2800))</f>
        <v/>
      </c>
      <c r="AA2800" s="51">
        <f>IF(OR($M2800="",$T2800=""),"",$T2800+(AA$2*$M2800))</f>
        <v/>
      </c>
      <c r="AB2800" s="48">
        <f>IF(OR($M2800="",$T2800=""),"",$T2800+(AB$2*$M2800))</f>
        <v/>
      </c>
      <c r="AC2800" s="48">
        <f>IF(OR($M2800="",$T2800=""),"",$T2800+(AC$2*$M2800))</f>
        <v/>
      </c>
      <c r="AD2800" s="48">
        <f>IF(OR($M2800="",$T2800=""),"",$T2800+(AD$2*$M2800))</f>
        <v/>
      </c>
      <c r="AE2800" s="49">
        <f>IF(OR($M2800="",$T2800=""),"",$T2800+(AE$2*$M2800))</f>
        <v/>
      </c>
      <c r="AF2800" s="52">
        <f>IF(OR(T2800="",I2800&lt;T2800),"",IFERROR(AVERAGE(T2800+M2800*{7,8,9,10,11})/IF(G2800="",I2800,G2800)-1,""))</f>
        <v/>
      </c>
      <c r="AG2800" s="55">
        <f>IF(OR(T2800="",I2800&lt;T2800),"",IFERROR(AF2800/-(R2800/IF(G2800="",I2800,G2800)-1),""))</f>
        <v/>
      </c>
      <c r="AH2800" s="94" t="n"/>
      <c r="AI2800" s="94" t="n"/>
      <c r="AJ2800" s="94" t="n"/>
      <c r="AK2800" s="94" t="n"/>
      <c r="AL2800" s="84" t="n"/>
    </row>
    <row r="2801">
      <c r="A2801" s="64" t="n"/>
      <c r="B2801" s="65" t="n"/>
      <c r="C2801" s="66" t="n"/>
      <c r="D2801" s="67" t="n"/>
      <c r="E2801" s="68" t="n"/>
      <c r="F2801" s="47">
        <f>IF(A2801="","",IF(MIN(H2801,MAX(J2801:K2801))=0,"",MIN(H2801,MAX(J2801:K2801))))</f>
        <v/>
      </c>
      <c r="G2801" s="74" t="n"/>
      <c r="H2801" s="49">
        <f>IF(M2801="","",IFERROR(ROUND(AVERAGE(T2801+M2801*{7,8,9,10,11})/1.21,4),""))</f>
        <v/>
      </c>
      <c r="I2801" s="76" t="n"/>
      <c r="J2801" s="77" t="n"/>
      <c r="K2801" s="74" t="n"/>
      <c r="L2801" s="78" t="n"/>
      <c r="M2801" s="77" t="n"/>
      <c r="N2801" s="53">
        <f>IF(M2801="","",IFERROR(M2801/I2801,""))</f>
        <v/>
      </c>
      <c r="O2801" s="50">
        <f>IF(A2801="","",IFERROR((IF(G2801="",I2801,G2801)-T2801)/M2801,""))</f>
        <v/>
      </c>
      <c r="P2801" s="50">
        <f>IFERROR((I2801/T2801-1)/N2801,"")</f>
        <v/>
      </c>
      <c r="Q2801" s="46">
        <f>IF(OR(T2801="",I2801&lt;T2801),"",IFERROR(R2801/IF(G2801="",I2801,G2801)-1,""))</f>
        <v/>
      </c>
      <c r="R2801" s="48">
        <f>IF($M2801="","",MAX(IF($G2801="",$I2801,$G2801)*(1/1.1),IF($G2801="",$I2801,$G2801)+(R$2*$M2801)))</f>
        <v/>
      </c>
      <c r="S2801" s="49">
        <f>IF($M2801="","",MAX(IF($G2801="",$I2801,$G2801)*(1/1.1),IF($G2801="",$I2801,$G2801)+(S$2*$M2801)))</f>
        <v/>
      </c>
      <c r="T2801" s="82" t="n"/>
      <c r="U2801" s="47">
        <f>IF(OR($M2801="",$T2801=""),"",$T2801+(U$2*$M2801))</f>
        <v/>
      </c>
      <c r="V2801" s="48">
        <f>IF(OR($M2801="",$T2801=""),"",$T2801+(V$2*$M2801))</f>
        <v/>
      </c>
      <c r="W2801" s="48">
        <f>IF(OR($M2801="",$T2801=""),"",$T2801+(W$2*$M2801))</f>
        <v/>
      </c>
      <c r="X2801" s="49">
        <f>IF(OR($M2801="",$T2801=""),"",$T2801+(X$2*$M2801))</f>
        <v/>
      </c>
      <c r="Y2801" s="47">
        <f>IF(OR($M2801="",$T2801=""),"",$T2801+(Y$2*$M2801))</f>
        <v/>
      </c>
      <c r="Z2801" s="49">
        <f>IF(OR($M2801="",$T2801=""),"",$T2801+(Z$2*$M2801))</f>
        <v/>
      </c>
      <c r="AA2801" s="51">
        <f>IF(OR($M2801="",$T2801=""),"",$T2801+(AA$2*$M2801))</f>
        <v/>
      </c>
      <c r="AB2801" s="48">
        <f>IF(OR($M2801="",$T2801=""),"",$T2801+(AB$2*$M2801))</f>
        <v/>
      </c>
      <c r="AC2801" s="48">
        <f>IF(OR($M2801="",$T2801=""),"",$T2801+(AC$2*$M2801))</f>
        <v/>
      </c>
      <c r="AD2801" s="48">
        <f>IF(OR($M2801="",$T2801=""),"",$T2801+(AD$2*$M2801))</f>
        <v/>
      </c>
      <c r="AE2801" s="49">
        <f>IF(OR($M2801="",$T2801=""),"",$T2801+(AE$2*$M2801))</f>
        <v/>
      </c>
      <c r="AF2801" s="52">
        <f>IF(OR(T2801="",I2801&lt;T2801),"",IFERROR(AVERAGE(T2801+M2801*{7,8,9,10,11})/IF(G2801="",I2801,G2801)-1,""))</f>
        <v/>
      </c>
      <c r="AG2801" s="55">
        <f>IF(OR(T2801="",I2801&lt;T2801),"",IFERROR(AF2801/-(R2801/IF(G2801="",I2801,G2801)-1),""))</f>
        <v/>
      </c>
      <c r="AH2801" s="94" t="n"/>
      <c r="AI2801" s="94" t="n"/>
      <c r="AJ2801" s="94" t="n"/>
      <c r="AK2801" s="94" t="n"/>
      <c r="AL2801" s="84" t="n"/>
    </row>
    <row r="2802">
      <c r="A2802" s="64" t="n"/>
      <c r="B2802" s="65" t="n"/>
      <c r="C2802" s="66" t="n"/>
      <c r="D2802" s="67" t="n"/>
      <c r="E2802" s="68" t="n"/>
      <c r="F2802" s="47">
        <f>IF(A2802="","",IF(MIN(H2802,MAX(J2802:K2802))=0,"",MIN(H2802,MAX(J2802:K2802))))</f>
        <v/>
      </c>
      <c r="G2802" s="74" t="n"/>
      <c r="H2802" s="49">
        <f>IF(M2802="","",IFERROR(ROUND(AVERAGE(T2802+M2802*{7,8,9,10,11})/1.21,4),""))</f>
        <v/>
      </c>
      <c r="I2802" s="76" t="n"/>
      <c r="J2802" s="77" t="n"/>
      <c r="K2802" s="74" t="n"/>
      <c r="L2802" s="78" t="n"/>
      <c r="M2802" s="77" t="n"/>
      <c r="N2802" s="53">
        <f>IF(M2802="","",IFERROR(M2802/I2802,""))</f>
        <v/>
      </c>
      <c r="O2802" s="50">
        <f>IF(A2802="","",IFERROR((IF(G2802="",I2802,G2802)-T2802)/M2802,""))</f>
        <v/>
      </c>
      <c r="P2802" s="50">
        <f>IFERROR((I2802/T2802-1)/N2802,"")</f>
        <v/>
      </c>
      <c r="Q2802" s="46">
        <f>IF(OR(T2802="",I2802&lt;T2802),"",IFERROR(R2802/IF(G2802="",I2802,G2802)-1,""))</f>
        <v/>
      </c>
      <c r="R2802" s="48">
        <f>IF($M2802="","",MAX(IF($G2802="",$I2802,$G2802)*(1/1.1),IF($G2802="",$I2802,$G2802)+(R$2*$M2802)))</f>
        <v/>
      </c>
      <c r="S2802" s="49">
        <f>IF($M2802="","",MAX(IF($G2802="",$I2802,$G2802)*(1/1.1),IF($G2802="",$I2802,$G2802)+(S$2*$M2802)))</f>
        <v/>
      </c>
      <c r="T2802" s="82" t="n"/>
      <c r="U2802" s="47">
        <f>IF(OR($M2802="",$T2802=""),"",$T2802+(U$2*$M2802))</f>
        <v/>
      </c>
      <c r="V2802" s="48">
        <f>IF(OR($M2802="",$T2802=""),"",$T2802+(V$2*$M2802))</f>
        <v/>
      </c>
      <c r="W2802" s="48">
        <f>IF(OR($M2802="",$T2802=""),"",$T2802+(W$2*$M2802))</f>
        <v/>
      </c>
      <c r="X2802" s="49">
        <f>IF(OR($M2802="",$T2802=""),"",$T2802+(X$2*$M2802))</f>
        <v/>
      </c>
      <c r="Y2802" s="47">
        <f>IF(OR($M2802="",$T2802=""),"",$T2802+(Y$2*$M2802))</f>
        <v/>
      </c>
      <c r="Z2802" s="49">
        <f>IF(OR($M2802="",$T2802=""),"",$T2802+(Z$2*$M2802))</f>
        <v/>
      </c>
      <c r="AA2802" s="51">
        <f>IF(OR($M2802="",$T2802=""),"",$T2802+(AA$2*$M2802))</f>
        <v/>
      </c>
      <c r="AB2802" s="48">
        <f>IF(OR($M2802="",$T2802=""),"",$T2802+(AB$2*$M2802))</f>
        <v/>
      </c>
      <c r="AC2802" s="48">
        <f>IF(OR($M2802="",$T2802=""),"",$T2802+(AC$2*$M2802))</f>
        <v/>
      </c>
      <c r="AD2802" s="48">
        <f>IF(OR($M2802="",$T2802=""),"",$T2802+(AD$2*$M2802))</f>
        <v/>
      </c>
      <c r="AE2802" s="49">
        <f>IF(OR($M2802="",$T2802=""),"",$T2802+(AE$2*$M2802))</f>
        <v/>
      </c>
      <c r="AF2802" s="52">
        <f>IF(OR(T2802="",I2802&lt;T2802),"",IFERROR(AVERAGE(T2802+M2802*{7,8,9,10,11})/IF(G2802="",I2802,G2802)-1,""))</f>
        <v/>
      </c>
      <c r="AG2802" s="55">
        <f>IF(OR(T2802="",I2802&lt;T2802),"",IFERROR(AF2802/-(R2802/IF(G2802="",I2802,G2802)-1),""))</f>
        <v/>
      </c>
      <c r="AH2802" s="94" t="n"/>
      <c r="AI2802" s="94" t="n"/>
      <c r="AJ2802" s="94" t="n"/>
      <c r="AK2802" s="94" t="n"/>
      <c r="AL2802" s="84" t="n"/>
    </row>
    <row r="2803">
      <c r="A2803" s="64" t="n"/>
      <c r="B2803" s="65" t="n"/>
      <c r="C2803" s="66" t="n"/>
      <c r="D2803" s="67" t="n"/>
      <c r="E2803" s="68" t="n"/>
      <c r="F2803" s="47">
        <f>IF(A2803="","",IF(MIN(H2803,MAX(J2803:K2803))=0,"",MIN(H2803,MAX(J2803:K2803))))</f>
        <v/>
      </c>
      <c r="G2803" s="74" t="n"/>
      <c r="H2803" s="49">
        <f>IF(M2803="","",IFERROR(ROUND(AVERAGE(T2803+M2803*{7,8,9,10,11})/1.21,4),""))</f>
        <v/>
      </c>
      <c r="I2803" s="76" t="n"/>
      <c r="J2803" s="77" t="n"/>
      <c r="K2803" s="74" t="n"/>
      <c r="L2803" s="78" t="n"/>
      <c r="M2803" s="77" t="n"/>
      <c r="N2803" s="53">
        <f>IF(M2803="","",IFERROR(M2803/I2803,""))</f>
        <v/>
      </c>
      <c r="O2803" s="50">
        <f>IF(A2803="","",IFERROR((IF(G2803="",I2803,G2803)-T2803)/M2803,""))</f>
        <v/>
      </c>
      <c r="P2803" s="50">
        <f>IFERROR((I2803/T2803-1)/N2803,"")</f>
        <v/>
      </c>
      <c r="Q2803" s="46">
        <f>IF(OR(T2803="",I2803&lt;T2803),"",IFERROR(R2803/IF(G2803="",I2803,G2803)-1,""))</f>
        <v/>
      </c>
      <c r="R2803" s="48">
        <f>IF($M2803="","",MAX(IF($G2803="",$I2803,$G2803)*(1/1.1),IF($G2803="",$I2803,$G2803)+(R$2*$M2803)))</f>
        <v/>
      </c>
      <c r="S2803" s="49">
        <f>IF($M2803="","",MAX(IF($G2803="",$I2803,$G2803)*(1/1.1),IF($G2803="",$I2803,$G2803)+(S$2*$M2803)))</f>
        <v/>
      </c>
      <c r="T2803" s="82" t="n"/>
      <c r="U2803" s="47">
        <f>IF(OR($M2803="",$T2803=""),"",$T2803+(U$2*$M2803))</f>
        <v/>
      </c>
      <c r="V2803" s="48">
        <f>IF(OR($M2803="",$T2803=""),"",$T2803+(V$2*$M2803))</f>
        <v/>
      </c>
      <c r="W2803" s="48">
        <f>IF(OR($M2803="",$T2803=""),"",$T2803+(W$2*$M2803))</f>
        <v/>
      </c>
      <c r="X2803" s="49">
        <f>IF(OR($M2803="",$T2803=""),"",$T2803+(X$2*$M2803))</f>
        <v/>
      </c>
      <c r="Y2803" s="47">
        <f>IF(OR($M2803="",$T2803=""),"",$T2803+(Y$2*$M2803))</f>
        <v/>
      </c>
      <c r="Z2803" s="49">
        <f>IF(OR($M2803="",$T2803=""),"",$T2803+(Z$2*$M2803))</f>
        <v/>
      </c>
      <c r="AA2803" s="51">
        <f>IF(OR($M2803="",$T2803=""),"",$T2803+(AA$2*$M2803))</f>
        <v/>
      </c>
      <c r="AB2803" s="48">
        <f>IF(OR($M2803="",$T2803=""),"",$T2803+(AB$2*$M2803))</f>
        <v/>
      </c>
      <c r="AC2803" s="48">
        <f>IF(OR($M2803="",$T2803=""),"",$T2803+(AC$2*$M2803))</f>
        <v/>
      </c>
      <c r="AD2803" s="48">
        <f>IF(OR($M2803="",$T2803=""),"",$T2803+(AD$2*$M2803))</f>
        <v/>
      </c>
      <c r="AE2803" s="49">
        <f>IF(OR($M2803="",$T2803=""),"",$T2803+(AE$2*$M2803))</f>
        <v/>
      </c>
      <c r="AF2803" s="52">
        <f>IF(OR(T2803="",I2803&lt;T2803),"",IFERROR(AVERAGE(T2803+M2803*{7,8,9,10,11})/IF(G2803="",I2803,G2803)-1,""))</f>
        <v/>
      </c>
      <c r="AG2803" s="55">
        <f>IF(OR(T2803="",I2803&lt;T2803),"",IFERROR(AF2803/-(R2803/IF(G2803="",I2803,G2803)-1),""))</f>
        <v/>
      </c>
      <c r="AH2803" s="94" t="n"/>
      <c r="AI2803" s="94" t="n"/>
      <c r="AJ2803" s="94" t="n"/>
      <c r="AK2803" s="94" t="n"/>
      <c r="AL2803" s="84" t="n"/>
    </row>
    <row r="2804">
      <c r="A2804" s="64" t="n"/>
      <c r="B2804" s="65" t="n"/>
      <c r="C2804" s="66" t="n"/>
      <c r="D2804" s="67" t="n"/>
      <c r="E2804" s="68" t="n"/>
      <c r="F2804" s="47">
        <f>IF(A2804="","",IF(MIN(H2804,MAX(J2804:K2804))=0,"",MIN(H2804,MAX(J2804:K2804))))</f>
        <v/>
      </c>
      <c r="G2804" s="74" t="n"/>
      <c r="H2804" s="49">
        <f>IF(M2804="","",IFERROR(ROUND(AVERAGE(T2804+M2804*{7,8,9,10,11})/1.21,4),""))</f>
        <v/>
      </c>
      <c r="I2804" s="76" t="n"/>
      <c r="J2804" s="77" t="n"/>
      <c r="K2804" s="74" t="n"/>
      <c r="L2804" s="78" t="n"/>
      <c r="M2804" s="77" t="n"/>
      <c r="N2804" s="53">
        <f>IF(M2804="","",IFERROR(M2804/I2804,""))</f>
        <v/>
      </c>
      <c r="O2804" s="50">
        <f>IF(A2804="","",IFERROR((IF(G2804="",I2804,G2804)-T2804)/M2804,""))</f>
        <v/>
      </c>
      <c r="P2804" s="50">
        <f>IFERROR((I2804/T2804-1)/N2804,"")</f>
        <v/>
      </c>
      <c r="Q2804" s="46">
        <f>IF(OR(T2804="",I2804&lt;T2804),"",IFERROR(R2804/IF(G2804="",I2804,G2804)-1,""))</f>
        <v/>
      </c>
      <c r="R2804" s="48">
        <f>IF($M2804="","",MAX(IF($G2804="",$I2804,$G2804)*(1/1.1),IF($G2804="",$I2804,$G2804)+(R$2*$M2804)))</f>
        <v/>
      </c>
      <c r="S2804" s="49">
        <f>IF($M2804="","",MAX(IF($G2804="",$I2804,$G2804)*(1/1.1),IF($G2804="",$I2804,$G2804)+(S$2*$M2804)))</f>
        <v/>
      </c>
      <c r="T2804" s="82" t="n"/>
      <c r="U2804" s="47">
        <f>IF(OR($M2804="",$T2804=""),"",$T2804+(U$2*$M2804))</f>
        <v/>
      </c>
      <c r="V2804" s="48">
        <f>IF(OR($M2804="",$T2804=""),"",$T2804+(V$2*$M2804))</f>
        <v/>
      </c>
      <c r="W2804" s="48">
        <f>IF(OR($M2804="",$T2804=""),"",$T2804+(W$2*$M2804))</f>
        <v/>
      </c>
      <c r="X2804" s="49">
        <f>IF(OR($M2804="",$T2804=""),"",$T2804+(X$2*$M2804))</f>
        <v/>
      </c>
      <c r="Y2804" s="47">
        <f>IF(OR($M2804="",$T2804=""),"",$T2804+(Y$2*$M2804))</f>
        <v/>
      </c>
      <c r="Z2804" s="49">
        <f>IF(OR($M2804="",$T2804=""),"",$T2804+(Z$2*$M2804))</f>
        <v/>
      </c>
      <c r="AA2804" s="51">
        <f>IF(OR($M2804="",$T2804=""),"",$T2804+(AA$2*$M2804))</f>
        <v/>
      </c>
      <c r="AB2804" s="48">
        <f>IF(OR($M2804="",$T2804=""),"",$T2804+(AB$2*$M2804))</f>
        <v/>
      </c>
      <c r="AC2804" s="48">
        <f>IF(OR($M2804="",$T2804=""),"",$T2804+(AC$2*$M2804))</f>
        <v/>
      </c>
      <c r="AD2804" s="48">
        <f>IF(OR($M2804="",$T2804=""),"",$T2804+(AD$2*$M2804))</f>
        <v/>
      </c>
      <c r="AE2804" s="49">
        <f>IF(OR($M2804="",$T2804=""),"",$T2804+(AE$2*$M2804))</f>
        <v/>
      </c>
      <c r="AF2804" s="52">
        <f>IF(OR(T2804="",I2804&lt;T2804),"",IFERROR(AVERAGE(T2804+M2804*{7,8,9,10,11})/IF(G2804="",I2804,G2804)-1,""))</f>
        <v/>
      </c>
      <c r="AG2804" s="55">
        <f>IF(OR(T2804="",I2804&lt;T2804),"",IFERROR(AF2804/-(R2804/IF(G2804="",I2804,G2804)-1),""))</f>
        <v/>
      </c>
      <c r="AH2804" s="94" t="n"/>
      <c r="AI2804" s="94" t="n"/>
      <c r="AJ2804" s="94" t="n"/>
      <c r="AK2804" s="94" t="n"/>
      <c r="AL2804" s="84" t="n"/>
    </row>
    <row r="2805">
      <c r="A2805" s="64" t="n"/>
      <c r="B2805" s="65" t="n"/>
      <c r="C2805" s="66" t="n"/>
      <c r="D2805" s="67" t="n"/>
      <c r="E2805" s="68" t="n"/>
      <c r="F2805" s="47">
        <f>IF(A2805="","",IF(MIN(H2805,MAX(J2805:K2805))=0,"",MIN(H2805,MAX(J2805:K2805))))</f>
        <v/>
      </c>
      <c r="G2805" s="74" t="n"/>
      <c r="H2805" s="49">
        <f>IF(M2805="","",IFERROR(ROUND(AVERAGE(T2805+M2805*{7,8,9,10,11})/1.21,4),""))</f>
        <v/>
      </c>
      <c r="I2805" s="76" t="n"/>
      <c r="J2805" s="77" t="n"/>
      <c r="K2805" s="74" t="n"/>
      <c r="L2805" s="78" t="n"/>
      <c r="M2805" s="77" t="n"/>
      <c r="N2805" s="53">
        <f>IF(M2805="","",IFERROR(M2805/I2805,""))</f>
        <v/>
      </c>
      <c r="O2805" s="50">
        <f>IF(A2805="","",IFERROR((IF(G2805="",I2805,G2805)-T2805)/M2805,""))</f>
        <v/>
      </c>
      <c r="P2805" s="50">
        <f>IFERROR((I2805/T2805-1)/N2805,"")</f>
        <v/>
      </c>
      <c r="Q2805" s="46">
        <f>IF(OR(T2805="",I2805&lt;T2805),"",IFERROR(R2805/IF(G2805="",I2805,G2805)-1,""))</f>
        <v/>
      </c>
      <c r="R2805" s="48">
        <f>IF($M2805="","",MAX(IF($G2805="",$I2805,$G2805)*(1/1.1),IF($G2805="",$I2805,$G2805)+(R$2*$M2805)))</f>
        <v/>
      </c>
      <c r="S2805" s="49">
        <f>IF($M2805="","",MAX(IF($G2805="",$I2805,$G2805)*(1/1.1),IF($G2805="",$I2805,$G2805)+(S$2*$M2805)))</f>
        <v/>
      </c>
      <c r="T2805" s="82" t="n"/>
      <c r="U2805" s="47">
        <f>IF(OR($M2805="",$T2805=""),"",$T2805+(U$2*$M2805))</f>
        <v/>
      </c>
      <c r="V2805" s="48">
        <f>IF(OR($M2805="",$T2805=""),"",$T2805+(V$2*$M2805))</f>
        <v/>
      </c>
      <c r="W2805" s="48">
        <f>IF(OR($M2805="",$T2805=""),"",$T2805+(W$2*$M2805))</f>
        <v/>
      </c>
      <c r="X2805" s="49">
        <f>IF(OR($M2805="",$T2805=""),"",$T2805+(X$2*$M2805))</f>
        <v/>
      </c>
      <c r="Y2805" s="47">
        <f>IF(OR($M2805="",$T2805=""),"",$T2805+(Y$2*$M2805))</f>
        <v/>
      </c>
      <c r="Z2805" s="49">
        <f>IF(OR($M2805="",$T2805=""),"",$T2805+(Z$2*$M2805))</f>
        <v/>
      </c>
      <c r="AA2805" s="51">
        <f>IF(OR($M2805="",$T2805=""),"",$T2805+(AA$2*$M2805))</f>
        <v/>
      </c>
      <c r="AB2805" s="48">
        <f>IF(OR($M2805="",$T2805=""),"",$T2805+(AB$2*$M2805))</f>
        <v/>
      </c>
      <c r="AC2805" s="48">
        <f>IF(OR($M2805="",$T2805=""),"",$T2805+(AC$2*$M2805))</f>
        <v/>
      </c>
      <c r="AD2805" s="48">
        <f>IF(OR($M2805="",$T2805=""),"",$T2805+(AD$2*$M2805))</f>
        <v/>
      </c>
      <c r="AE2805" s="49">
        <f>IF(OR($M2805="",$T2805=""),"",$T2805+(AE$2*$M2805))</f>
        <v/>
      </c>
      <c r="AF2805" s="52">
        <f>IF(OR(T2805="",I2805&lt;T2805),"",IFERROR(AVERAGE(T2805+M2805*{7,8,9,10,11})/IF(G2805="",I2805,G2805)-1,""))</f>
        <v/>
      </c>
      <c r="AG2805" s="55">
        <f>IF(OR(T2805="",I2805&lt;T2805),"",IFERROR(AF2805/-(R2805/IF(G2805="",I2805,G2805)-1),""))</f>
        <v/>
      </c>
      <c r="AH2805" s="94" t="n"/>
      <c r="AI2805" s="94" t="n"/>
      <c r="AJ2805" s="94" t="n"/>
      <c r="AK2805" s="94" t="n"/>
      <c r="AL2805" s="84" t="n"/>
    </row>
    <row r="2806">
      <c r="A2806" s="64" t="n"/>
      <c r="B2806" s="65" t="n"/>
      <c r="C2806" s="66" t="n"/>
      <c r="D2806" s="67" t="n"/>
      <c r="E2806" s="68" t="n"/>
      <c r="F2806" s="47">
        <f>IF(A2806="","",IF(MIN(H2806,MAX(J2806:K2806))=0,"",MIN(H2806,MAX(J2806:K2806))))</f>
        <v/>
      </c>
      <c r="G2806" s="74" t="n"/>
      <c r="H2806" s="49">
        <f>IF(M2806="","",IFERROR(ROUND(AVERAGE(T2806+M2806*{7,8,9,10,11})/1.21,4),""))</f>
        <v/>
      </c>
      <c r="I2806" s="76" t="n"/>
      <c r="J2806" s="77" t="n"/>
      <c r="K2806" s="74" t="n"/>
      <c r="L2806" s="78" t="n"/>
      <c r="M2806" s="77" t="n"/>
      <c r="N2806" s="53">
        <f>IF(M2806="","",IFERROR(M2806/I2806,""))</f>
        <v/>
      </c>
      <c r="O2806" s="50">
        <f>IF(A2806="","",IFERROR((IF(G2806="",I2806,G2806)-T2806)/M2806,""))</f>
        <v/>
      </c>
      <c r="P2806" s="50">
        <f>IFERROR((I2806/T2806-1)/N2806,"")</f>
        <v/>
      </c>
      <c r="Q2806" s="46">
        <f>IF(OR(T2806="",I2806&lt;T2806),"",IFERROR(R2806/IF(G2806="",I2806,G2806)-1,""))</f>
        <v/>
      </c>
      <c r="R2806" s="48">
        <f>IF($M2806="","",MAX(IF($G2806="",$I2806,$G2806)*(1/1.1),IF($G2806="",$I2806,$G2806)+(R$2*$M2806)))</f>
        <v/>
      </c>
      <c r="S2806" s="49">
        <f>IF($M2806="","",MAX(IF($G2806="",$I2806,$G2806)*(1/1.1),IF($G2806="",$I2806,$G2806)+(S$2*$M2806)))</f>
        <v/>
      </c>
      <c r="T2806" s="82" t="n"/>
      <c r="U2806" s="47">
        <f>IF(OR($M2806="",$T2806=""),"",$T2806+(U$2*$M2806))</f>
        <v/>
      </c>
      <c r="V2806" s="48">
        <f>IF(OR($M2806="",$T2806=""),"",$T2806+(V$2*$M2806))</f>
        <v/>
      </c>
      <c r="W2806" s="48">
        <f>IF(OR($M2806="",$T2806=""),"",$T2806+(W$2*$M2806))</f>
        <v/>
      </c>
      <c r="X2806" s="49">
        <f>IF(OR($M2806="",$T2806=""),"",$T2806+(X$2*$M2806))</f>
        <v/>
      </c>
      <c r="Y2806" s="47">
        <f>IF(OR($M2806="",$T2806=""),"",$T2806+(Y$2*$M2806))</f>
        <v/>
      </c>
      <c r="Z2806" s="49">
        <f>IF(OR($M2806="",$T2806=""),"",$T2806+(Z$2*$M2806))</f>
        <v/>
      </c>
      <c r="AA2806" s="51">
        <f>IF(OR($M2806="",$T2806=""),"",$T2806+(AA$2*$M2806))</f>
        <v/>
      </c>
      <c r="AB2806" s="48">
        <f>IF(OR($M2806="",$T2806=""),"",$T2806+(AB$2*$M2806))</f>
        <v/>
      </c>
      <c r="AC2806" s="48">
        <f>IF(OR($M2806="",$T2806=""),"",$T2806+(AC$2*$M2806))</f>
        <v/>
      </c>
      <c r="AD2806" s="48">
        <f>IF(OR($M2806="",$T2806=""),"",$T2806+(AD$2*$M2806))</f>
        <v/>
      </c>
      <c r="AE2806" s="49">
        <f>IF(OR($M2806="",$T2806=""),"",$T2806+(AE$2*$M2806))</f>
        <v/>
      </c>
      <c r="AF2806" s="52">
        <f>IF(OR(T2806="",I2806&lt;T2806),"",IFERROR(AVERAGE(T2806+M2806*{7,8,9,10,11})/IF(G2806="",I2806,G2806)-1,""))</f>
        <v/>
      </c>
      <c r="AG2806" s="55">
        <f>IF(OR(T2806="",I2806&lt;T2806),"",IFERROR(AF2806/-(R2806/IF(G2806="",I2806,G2806)-1),""))</f>
        <v/>
      </c>
      <c r="AH2806" s="94" t="n"/>
      <c r="AI2806" s="94" t="n"/>
      <c r="AJ2806" s="94" t="n"/>
      <c r="AK2806" s="94" t="n"/>
      <c r="AL2806" s="84" t="n"/>
    </row>
    <row r="2807">
      <c r="A2807" s="64" t="n"/>
      <c r="B2807" s="65" t="n"/>
      <c r="C2807" s="66" t="n"/>
      <c r="D2807" s="67" t="n"/>
      <c r="E2807" s="68" t="n"/>
      <c r="F2807" s="47">
        <f>IF(A2807="","",IF(MIN(H2807,MAX(J2807:K2807))=0,"",MIN(H2807,MAX(J2807:K2807))))</f>
        <v/>
      </c>
      <c r="G2807" s="74" t="n"/>
      <c r="H2807" s="49">
        <f>IF(M2807="","",IFERROR(ROUND(AVERAGE(T2807+M2807*{7,8,9,10,11})/1.21,4),""))</f>
        <v/>
      </c>
      <c r="I2807" s="76" t="n"/>
      <c r="J2807" s="77" t="n"/>
      <c r="K2807" s="74" t="n"/>
      <c r="L2807" s="78" t="n"/>
      <c r="M2807" s="77" t="n"/>
      <c r="N2807" s="53">
        <f>IF(M2807="","",IFERROR(M2807/I2807,""))</f>
        <v/>
      </c>
      <c r="O2807" s="50">
        <f>IF(A2807="","",IFERROR((IF(G2807="",I2807,G2807)-T2807)/M2807,""))</f>
        <v/>
      </c>
      <c r="P2807" s="50">
        <f>IFERROR((I2807/T2807-1)/N2807,"")</f>
        <v/>
      </c>
      <c r="Q2807" s="46">
        <f>IF(OR(T2807="",I2807&lt;T2807),"",IFERROR(R2807/IF(G2807="",I2807,G2807)-1,""))</f>
        <v/>
      </c>
      <c r="R2807" s="48">
        <f>IF($M2807="","",MAX(IF($G2807="",$I2807,$G2807)*(1/1.1),IF($G2807="",$I2807,$G2807)+(R$2*$M2807)))</f>
        <v/>
      </c>
      <c r="S2807" s="49">
        <f>IF($M2807="","",MAX(IF($G2807="",$I2807,$G2807)*(1/1.1),IF($G2807="",$I2807,$G2807)+(S$2*$M2807)))</f>
        <v/>
      </c>
      <c r="T2807" s="82" t="n"/>
      <c r="U2807" s="47">
        <f>IF(OR($M2807="",$T2807=""),"",$T2807+(U$2*$M2807))</f>
        <v/>
      </c>
      <c r="V2807" s="48">
        <f>IF(OR($M2807="",$T2807=""),"",$T2807+(V$2*$M2807))</f>
        <v/>
      </c>
      <c r="W2807" s="48">
        <f>IF(OR($M2807="",$T2807=""),"",$T2807+(W$2*$M2807))</f>
        <v/>
      </c>
      <c r="X2807" s="49">
        <f>IF(OR($M2807="",$T2807=""),"",$T2807+(X$2*$M2807))</f>
        <v/>
      </c>
      <c r="Y2807" s="47">
        <f>IF(OR($M2807="",$T2807=""),"",$T2807+(Y$2*$M2807))</f>
        <v/>
      </c>
      <c r="Z2807" s="49">
        <f>IF(OR($M2807="",$T2807=""),"",$T2807+(Z$2*$M2807))</f>
        <v/>
      </c>
      <c r="AA2807" s="51">
        <f>IF(OR($M2807="",$T2807=""),"",$T2807+(AA$2*$M2807))</f>
        <v/>
      </c>
      <c r="AB2807" s="48">
        <f>IF(OR($M2807="",$T2807=""),"",$T2807+(AB$2*$M2807))</f>
        <v/>
      </c>
      <c r="AC2807" s="48">
        <f>IF(OR($M2807="",$T2807=""),"",$T2807+(AC$2*$M2807))</f>
        <v/>
      </c>
      <c r="AD2807" s="48">
        <f>IF(OR($M2807="",$T2807=""),"",$T2807+(AD$2*$M2807))</f>
        <v/>
      </c>
      <c r="AE2807" s="49">
        <f>IF(OR($M2807="",$T2807=""),"",$T2807+(AE$2*$M2807))</f>
        <v/>
      </c>
      <c r="AF2807" s="52">
        <f>IF(OR(T2807="",I2807&lt;T2807),"",IFERROR(AVERAGE(T2807+M2807*{7,8,9,10,11})/IF(G2807="",I2807,G2807)-1,""))</f>
        <v/>
      </c>
      <c r="AG2807" s="55">
        <f>IF(OR(T2807="",I2807&lt;T2807),"",IFERROR(AF2807/-(R2807/IF(G2807="",I2807,G2807)-1),""))</f>
        <v/>
      </c>
      <c r="AH2807" s="94" t="n"/>
      <c r="AI2807" s="94" t="n"/>
      <c r="AJ2807" s="94" t="n"/>
      <c r="AK2807" s="94" t="n"/>
      <c r="AL2807" s="84" t="n"/>
    </row>
    <row r="2808">
      <c r="A2808" s="64" t="n"/>
      <c r="B2808" s="65" t="n"/>
      <c r="C2808" s="66" t="n"/>
      <c r="D2808" s="67" t="n"/>
      <c r="E2808" s="68" t="n"/>
      <c r="F2808" s="47">
        <f>IF(A2808="","",IF(MIN(H2808,MAX(J2808:K2808))=0,"",MIN(H2808,MAX(J2808:K2808))))</f>
        <v/>
      </c>
      <c r="G2808" s="74" t="n"/>
      <c r="H2808" s="49">
        <f>IF(M2808="","",IFERROR(ROUND(AVERAGE(T2808+M2808*{7,8,9,10,11})/1.21,4),""))</f>
        <v/>
      </c>
      <c r="I2808" s="76" t="n"/>
      <c r="J2808" s="77" t="n"/>
      <c r="K2808" s="74" t="n"/>
      <c r="L2808" s="78" t="n"/>
      <c r="M2808" s="77" t="n"/>
      <c r="N2808" s="53">
        <f>IF(M2808="","",IFERROR(M2808/I2808,""))</f>
        <v/>
      </c>
      <c r="O2808" s="50">
        <f>IF(A2808="","",IFERROR((IF(G2808="",I2808,G2808)-T2808)/M2808,""))</f>
        <v/>
      </c>
      <c r="P2808" s="50">
        <f>IFERROR((I2808/T2808-1)/N2808,"")</f>
        <v/>
      </c>
      <c r="Q2808" s="46">
        <f>IF(OR(T2808="",I2808&lt;T2808),"",IFERROR(R2808/IF(G2808="",I2808,G2808)-1,""))</f>
        <v/>
      </c>
      <c r="R2808" s="48">
        <f>IF($M2808="","",MAX(IF($G2808="",$I2808,$G2808)*(1/1.1),IF($G2808="",$I2808,$G2808)+(R$2*$M2808)))</f>
        <v/>
      </c>
      <c r="S2808" s="49">
        <f>IF($M2808="","",MAX(IF($G2808="",$I2808,$G2808)*(1/1.1),IF($G2808="",$I2808,$G2808)+(S$2*$M2808)))</f>
        <v/>
      </c>
      <c r="T2808" s="82" t="n"/>
      <c r="U2808" s="47">
        <f>IF(OR($M2808="",$T2808=""),"",$T2808+(U$2*$M2808))</f>
        <v/>
      </c>
      <c r="V2808" s="48">
        <f>IF(OR($M2808="",$T2808=""),"",$T2808+(V$2*$M2808))</f>
        <v/>
      </c>
      <c r="W2808" s="48">
        <f>IF(OR($M2808="",$T2808=""),"",$T2808+(W$2*$M2808))</f>
        <v/>
      </c>
      <c r="X2808" s="49">
        <f>IF(OR($M2808="",$T2808=""),"",$T2808+(X$2*$M2808))</f>
        <v/>
      </c>
      <c r="Y2808" s="47">
        <f>IF(OR($M2808="",$T2808=""),"",$T2808+(Y$2*$M2808))</f>
        <v/>
      </c>
      <c r="Z2808" s="49">
        <f>IF(OR($M2808="",$T2808=""),"",$T2808+(Z$2*$M2808))</f>
        <v/>
      </c>
      <c r="AA2808" s="51">
        <f>IF(OR($M2808="",$T2808=""),"",$T2808+(AA$2*$M2808))</f>
        <v/>
      </c>
      <c r="AB2808" s="48">
        <f>IF(OR($M2808="",$T2808=""),"",$T2808+(AB$2*$M2808))</f>
        <v/>
      </c>
      <c r="AC2808" s="48">
        <f>IF(OR($M2808="",$T2808=""),"",$T2808+(AC$2*$M2808))</f>
        <v/>
      </c>
      <c r="AD2808" s="48">
        <f>IF(OR($M2808="",$T2808=""),"",$T2808+(AD$2*$M2808))</f>
        <v/>
      </c>
      <c r="AE2808" s="49">
        <f>IF(OR($M2808="",$T2808=""),"",$T2808+(AE$2*$M2808))</f>
        <v/>
      </c>
      <c r="AF2808" s="52">
        <f>IF(OR(T2808="",I2808&lt;T2808),"",IFERROR(AVERAGE(T2808+M2808*{7,8,9,10,11})/IF(G2808="",I2808,G2808)-1,""))</f>
        <v/>
      </c>
      <c r="AG2808" s="55">
        <f>IF(OR(T2808="",I2808&lt;T2808),"",IFERROR(AF2808/-(R2808/IF(G2808="",I2808,G2808)-1),""))</f>
        <v/>
      </c>
      <c r="AH2808" s="94" t="n"/>
      <c r="AI2808" s="94" t="n"/>
      <c r="AJ2808" s="94" t="n"/>
      <c r="AK2808" s="94" t="n"/>
      <c r="AL2808" s="84" t="n"/>
    </row>
    <row r="2809">
      <c r="A2809" s="64" t="n"/>
      <c r="B2809" s="65" t="n"/>
      <c r="C2809" s="66" t="n"/>
      <c r="D2809" s="67" t="n"/>
      <c r="E2809" s="68" t="n"/>
      <c r="F2809" s="47">
        <f>IF(A2809="","",IF(MIN(H2809,MAX(J2809:K2809))=0,"",MIN(H2809,MAX(J2809:K2809))))</f>
        <v/>
      </c>
      <c r="G2809" s="74" t="n"/>
      <c r="H2809" s="49">
        <f>IF(M2809="","",IFERROR(ROUND(AVERAGE(T2809+M2809*{7,8,9,10,11})/1.21,4),""))</f>
        <v/>
      </c>
      <c r="I2809" s="76" t="n"/>
      <c r="J2809" s="77" t="n"/>
      <c r="K2809" s="74" t="n"/>
      <c r="L2809" s="78" t="n"/>
      <c r="M2809" s="77" t="n"/>
      <c r="N2809" s="53">
        <f>IF(M2809="","",IFERROR(M2809/I2809,""))</f>
        <v/>
      </c>
      <c r="O2809" s="50">
        <f>IF(A2809="","",IFERROR((IF(G2809="",I2809,G2809)-T2809)/M2809,""))</f>
        <v/>
      </c>
      <c r="P2809" s="50">
        <f>IFERROR((I2809/T2809-1)/N2809,"")</f>
        <v/>
      </c>
      <c r="Q2809" s="46">
        <f>IF(OR(T2809="",I2809&lt;T2809),"",IFERROR(R2809/IF(G2809="",I2809,G2809)-1,""))</f>
        <v/>
      </c>
      <c r="R2809" s="48">
        <f>IF($M2809="","",MAX(IF($G2809="",$I2809,$G2809)*(1/1.1),IF($G2809="",$I2809,$G2809)+(R$2*$M2809)))</f>
        <v/>
      </c>
      <c r="S2809" s="49">
        <f>IF($M2809="","",MAX(IF($G2809="",$I2809,$G2809)*(1/1.1),IF($G2809="",$I2809,$G2809)+(S$2*$M2809)))</f>
        <v/>
      </c>
      <c r="T2809" s="82" t="n"/>
      <c r="U2809" s="47">
        <f>IF(OR($M2809="",$T2809=""),"",$T2809+(U$2*$M2809))</f>
        <v/>
      </c>
      <c r="V2809" s="48">
        <f>IF(OR($M2809="",$T2809=""),"",$T2809+(V$2*$M2809))</f>
        <v/>
      </c>
      <c r="W2809" s="48">
        <f>IF(OR($M2809="",$T2809=""),"",$T2809+(W$2*$M2809))</f>
        <v/>
      </c>
      <c r="X2809" s="49">
        <f>IF(OR($M2809="",$T2809=""),"",$T2809+(X$2*$M2809))</f>
        <v/>
      </c>
      <c r="Y2809" s="47">
        <f>IF(OR($M2809="",$T2809=""),"",$T2809+(Y$2*$M2809))</f>
        <v/>
      </c>
      <c r="Z2809" s="49">
        <f>IF(OR($M2809="",$T2809=""),"",$T2809+(Z$2*$M2809))</f>
        <v/>
      </c>
      <c r="AA2809" s="51">
        <f>IF(OR($M2809="",$T2809=""),"",$T2809+(AA$2*$M2809))</f>
        <v/>
      </c>
      <c r="AB2809" s="48">
        <f>IF(OR($M2809="",$T2809=""),"",$T2809+(AB$2*$M2809))</f>
        <v/>
      </c>
      <c r="AC2809" s="48">
        <f>IF(OR($M2809="",$T2809=""),"",$T2809+(AC$2*$M2809))</f>
        <v/>
      </c>
      <c r="AD2809" s="48">
        <f>IF(OR($M2809="",$T2809=""),"",$T2809+(AD$2*$M2809))</f>
        <v/>
      </c>
      <c r="AE2809" s="49">
        <f>IF(OR($M2809="",$T2809=""),"",$T2809+(AE$2*$M2809))</f>
        <v/>
      </c>
      <c r="AF2809" s="52">
        <f>IF(OR(T2809="",I2809&lt;T2809),"",IFERROR(AVERAGE(T2809+M2809*{7,8,9,10,11})/IF(G2809="",I2809,G2809)-1,""))</f>
        <v/>
      </c>
      <c r="AG2809" s="55">
        <f>IF(OR(T2809="",I2809&lt;T2809),"",IFERROR(AF2809/-(R2809/IF(G2809="",I2809,G2809)-1),""))</f>
        <v/>
      </c>
      <c r="AH2809" s="94" t="n"/>
      <c r="AI2809" s="94" t="n"/>
      <c r="AJ2809" s="94" t="n"/>
      <c r="AK2809" s="94" t="n"/>
      <c r="AL2809" s="84" t="n"/>
    </row>
    <row r="2810">
      <c r="A2810" s="64" t="n"/>
      <c r="B2810" s="65" t="n"/>
      <c r="C2810" s="66" t="n"/>
      <c r="D2810" s="67" t="n"/>
      <c r="E2810" s="68" t="n"/>
      <c r="F2810" s="47">
        <f>IF(A2810="","",IF(MIN(H2810,MAX(J2810:K2810))=0,"",MIN(H2810,MAX(J2810:K2810))))</f>
        <v/>
      </c>
      <c r="G2810" s="74" t="n"/>
      <c r="H2810" s="49">
        <f>IF(M2810="","",IFERROR(ROUND(AVERAGE(T2810+M2810*{7,8,9,10,11})/1.21,4),""))</f>
        <v/>
      </c>
      <c r="I2810" s="76" t="n"/>
      <c r="J2810" s="77" t="n"/>
      <c r="K2810" s="74" t="n"/>
      <c r="L2810" s="78" t="n"/>
      <c r="M2810" s="77" t="n"/>
      <c r="N2810" s="53">
        <f>IF(M2810="","",IFERROR(M2810/I2810,""))</f>
        <v/>
      </c>
      <c r="O2810" s="50">
        <f>IF(A2810="","",IFERROR((IF(G2810="",I2810,G2810)-T2810)/M2810,""))</f>
        <v/>
      </c>
      <c r="P2810" s="50">
        <f>IFERROR((I2810/T2810-1)/N2810,"")</f>
        <v/>
      </c>
      <c r="Q2810" s="46">
        <f>IF(OR(T2810="",I2810&lt;T2810),"",IFERROR(R2810/IF(G2810="",I2810,G2810)-1,""))</f>
        <v/>
      </c>
      <c r="R2810" s="48">
        <f>IF($M2810="","",MAX(IF($G2810="",$I2810,$G2810)*(1/1.1),IF($G2810="",$I2810,$G2810)+(R$2*$M2810)))</f>
        <v/>
      </c>
      <c r="S2810" s="49">
        <f>IF($M2810="","",MAX(IF($G2810="",$I2810,$G2810)*(1/1.1),IF($G2810="",$I2810,$G2810)+(S$2*$M2810)))</f>
        <v/>
      </c>
      <c r="T2810" s="82" t="n"/>
      <c r="U2810" s="47">
        <f>IF(OR($M2810="",$T2810=""),"",$T2810+(U$2*$M2810))</f>
        <v/>
      </c>
      <c r="V2810" s="48">
        <f>IF(OR($M2810="",$T2810=""),"",$T2810+(V$2*$M2810))</f>
        <v/>
      </c>
      <c r="W2810" s="48">
        <f>IF(OR($M2810="",$T2810=""),"",$T2810+(W$2*$M2810))</f>
        <v/>
      </c>
      <c r="X2810" s="49">
        <f>IF(OR($M2810="",$T2810=""),"",$T2810+(X$2*$M2810))</f>
        <v/>
      </c>
      <c r="Y2810" s="47">
        <f>IF(OR($M2810="",$T2810=""),"",$T2810+(Y$2*$M2810))</f>
        <v/>
      </c>
      <c r="Z2810" s="49">
        <f>IF(OR($M2810="",$T2810=""),"",$T2810+(Z$2*$M2810))</f>
        <v/>
      </c>
      <c r="AA2810" s="51">
        <f>IF(OR($M2810="",$T2810=""),"",$T2810+(AA$2*$M2810))</f>
        <v/>
      </c>
      <c r="AB2810" s="48">
        <f>IF(OR($M2810="",$T2810=""),"",$T2810+(AB$2*$M2810))</f>
        <v/>
      </c>
      <c r="AC2810" s="48">
        <f>IF(OR($M2810="",$T2810=""),"",$T2810+(AC$2*$M2810))</f>
        <v/>
      </c>
      <c r="AD2810" s="48">
        <f>IF(OR($M2810="",$T2810=""),"",$T2810+(AD$2*$M2810))</f>
        <v/>
      </c>
      <c r="AE2810" s="49">
        <f>IF(OR($M2810="",$T2810=""),"",$T2810+(AE$2*$M2810))</f>
        <v/>
      </c>
      <c r="AF2810" s="52">
        <f>IF(OR(T2810="",I2810&lt;T2810),"",IFERROR(AVERAGE(T2810+M2810*{7,8,9,10,11})/IF(G2810="",I2810,G2810)-1,""))</f>
        <v/>
      </c>
      <c r="AG2810" s="55">
        <f>IF(OR(T2810="",I2810&lt;T2810),"",IFERROR(AF2810/-(R2810/IF(G2810="",I2810,G2810)-1),""))</f>
        <v/>
      </c>
      <c r="AH2810" s="94" t="n"/>
      <c r="AI2810" s="94" t="n"/>
      <c r="AJ2810" s="94" t="n"/>
      <c r="AK2810" s="94" t="n"/>
      <c r="AL2810" s="84" t="n"/>
    </row>
    <row r="2811">
      <c r="A2811" s="64" t="n"/>
      <c r="B2811" s="65" t="n"/>
      <c r="C2811" s="66" t="n"/>
      <c r="D2811" s="67" t="n"/>
      <c r="E2811" s="68" t="n"/>
      <c r="F2811" s="47">
        <f>IF(A2811="","",IF(MIN(H2811,MAX(J2811:K2811))=0,"",MIN(H2811,MAX(J2811:K2811))))</f>
        <v/>
      </c>
      <c r="G2811" s="74" t="n"/>
      <c r="H2811" s="49">
        <f>IF(M2811="","",IFERROR(ROUND(AVERAGE(T2811+M2811*{7,8,9,10,11})/1.21,4),""))</f>
        <v/>
      </c>
      <c r="I2811" s="76" t="n"/>
      <c r="J2811" s="77" t="n"/>
      <c r="K2811" s="74" t="n"/>
      <c r="L2811" s="78" t="n"/>
      <c r="M2811" s="77" t="n"/>
      <c r="N2811" s="53">
        <f>IF(M2811="","",IFERROR(M2811/I2811,""))</f>
        <v/>
      </c>
      <c r="O2811" s="50">
        <f>IF(A2811="","",IFERROR((IF(G2811="",I2811,G2811)-T2811)/M2811,""))</f>
        <v/>
      </c>
      <c r="P2811" s="50">
        <f>IFERROR((I2811/T2811-1)/N2811,"")</f>
        <v/>
      </c>
      <c r="Q2811" s="46">
        <f>IF(OR(T2811="",I2811&lt;T2811),"",IFERROR(R2811/IF(G2811="",I2811,G2811)-1,""))</f>
        <v/>
      </c>
      <c r="R2811" s="48">
        <f>IF($M2811="","",MAX(IF($G2811="",$I2811,$G2811)*(1/1.1),IF($G2811="",$I2811,$G2811)+(R$2*$M2811)))</f>
        <v/>
      </c>
      <c r="S2811" s="49">
        <f>IF($M2811="","",MAX(IF($G2811="",$I2811,$G2811)*(1/1.1),IF($G2811="",$I2811,$G2811)+(S$2*$M2811)))</f>
        <v/>
      </c>
      <c r="T2811" s="82" t="n"/>
      <c r="U2811" s="47">
        <f>IF(OR($M2811="",$T2811=""),"",$T2811+(U$2*$M2811))</f>
        <v/>
      </c>
      <c r="V2811" s="48">
        <f>IF(OR($M2811="",$T2811=""),"",$T2811+(V$2*$M2811))</f>
        <v/>
      </c>
      <c r="W2811" s="48">
        <f>IF(OR($M2811="",$T2811=""),"",$T2811+(W$2*$M2811))</f>
        <v/>
      </c>
      <c r="X2811" s="49">
        <f>IF(OR($M2811="",$T2811=""),"",$T2811+(X$2*$M2811))</f>
        <v/>
      </c>
      <c r="Y2811" s="47">
        <f>IF(OR($M2811="",$T2811=""),"",$T2811+(Y$2*$M2811))</f>
        <v/>
      </c>
      <c r="Z2811" s="49">
        <f>IF(OR($M2811="",$T2811=""),"",$T2811+(Z$2*$M2811))</f>
        <v/>
      </c>
      <c r="AA2811" s="51">
        <f>IF(OR($M2811="",$T2811=""),"",$T2811+(AA$2*$M2811))</f>
        <v/>
      </c>
      <c r="AB2811" s="48">
        <f>IF(OR($M2811="",$T2811=""),"",$T2811+(AB$2*$M2811))</f>
        <v/>
      </c>
      <c r="AC2811" s="48">
        <f>IF(OR($M2811="",$T2811=""),"",$T2811+(AC$2*$M2811))</f>
        <v/>
      </c>
      <c r="AD2811" s="48">
        <f>IF(OR($M2811="",$T2811=""),"",$T2811+(AD$2*$M2811))</f>
        <v/>
      </c>
      <c r="AE2811" s="49">
        <f>IF(OR($M2811="",$T2811=""),"",$T2811+(AE$2*$M2811))</f>
        <v/>
      </c>
      <c r="AF2811" s="52">
        <f>IF(OR(T2811="",I2811&lt;T2811),"",IFERROR(AVERAGE(T2811+M2811*{7,8,9,10,11})/IF(G2811="",I2811,G2811)-1,""))</f>
        <v/>
      </c>
      <c r="AG2811" s="55">
        <f>IF(OR(T2811="",I2811&lt;T2811),"",IFERROR(AF2811/-(R2811/IF(G2811="",I2811,G2811)-1),""))</f>
        <v/>
      </c>
      <c r="AH2811" s="94" t="n"/>
      <c r="AI2811" s="94" t="n"/>
      <c r="AJ2811" s="94" t="n"/>
      <c r="AK2811" s="94" t="n"/>
      <c r="AL2811" s="84" t="n"/>
    </row>
    <row r="2812">
      <c r="A2812" s="64" t="n"/>
      <c r="B2812" s="65" t="n"/>
      <c r="C2812" s="66" t="n"/>
      <c r="D2812" s="67" t="n"/>
      <c r="E2812" s="68" t="n"/>
      <c r="F2812" s="47">
        <f>IF(A2812="","",IF(MIN(H2812,MAX(J2812:K2812))=0,"",MIN(H2812,MAX(J2812:K2812))))</f>
        <v/>
      </c>
      <c r="G2812" s="74" t="n"/>
      <c r="H2812" s="49">
        <f>IF(M2812="","",IFERROR(ROUND(AVERAGE(T2812+M2812*{7,8,9,10,11})/1.21,4),""))</f>
        <v/>
      </c>
      <c r="I2812" s="76" t="n"/>
      <c r="J2812" s="77" t="n"/>
      <c r="K2812" s="74" t="n"/>
      <c r="L2812" s="78" t="n"/>
      <c r="M2812" s="77" t="n"/>
      <c r="N2812" s="53">
        <f>IF(M2812="","",IFERROR(M2812/I2812,""))</f>
        <v/>
      </c>
      <c r="O2812" s="50">
        <f>IF(A2812="","",IFERROR((IF(G2812="",I2812,G2812)-T2812)/M2812,""))</f>
        <v/>
      </c>
      <c r="P2812" s="50">
        <f>IFERROR((I2812/T2812-1)/N2812,"")</f>
        <v/>
      </c>
      <c r="Q2812" s="46">
        <f>IF(OR(T2812="",I2812&lt;T2812),"",IFERROR(R2812/IF(G2812="",I2812,G2812)-1,""))</f>
        <v/>
      </c>
      <c r="R2812" s="48">
        <f>IF($M2812="","",MAX(IF($G2812="",$I2812,$G2812)*(1/1.1),IF($G2812="",$I2812,$G2812)+(R$2*$M2812)))</f>
        <v/>
      </c>
      <c r="S2812" s="49">
        <f>IF($M2812="","",MAX(IF($G2812="",$I2812,$G2812)*(1/1.1),IF($G2812="",$I2812,$G2812)+(S$2*$M2812)))</f>
        <v/>
      </c>
      <c r="T2812" s="82" t="n"/>
      <c r="U2812" s="47">
        <f>IF(OR($M2812="",$T2812=""),"",$T2812+(U$2*$M2812))</f>
        <v/>
      </c>
      <c r="V2812" s="48">
        <f>IF(OR($M2812="",$T2812=""),"",$T2812+(V$2*$M2812))</f>
        <v/>
      </c>
      <c r="W2812" s="48">
        <f>IF(OR($M2812="",$T2812=""),"",$T2812+(W$2*$M2812))</f>
        <v/>
      </c>
      <c r="X2812" s="49">
        <f>IF(OR($M2812="",$T2812=""),"",$T2812+(X$2*$M2812))</f>
        <v/>
      </c>
      <c r="Y2812" s="47">
        <f>IF(OR($M2812="",$T2812=""),"",$T2812+(Y$2*$M2812))</f>
        <v/>
      </c>
      <c r="Z2812" s="49">
        <f>IF(OR($M2812="",$T2812=""),"",$T2812+(Z$2*$M2812))</f>
        <v/>
      </c>
      <c r="AA2812" s="51">
        <f>IF(OR($M2812="",$T2812=""),"",$T2812+(AA$2*$M2812))</f>
        <v/>
      </c>
      <c r="AB2812" s="48">
        <f>IF(OR($M2812="",$T2812=""),"",$T2812+(AB$2*$M2812))</f>
        <v/>
      </c>
      <c r="AC2812" s="48">
        <f>IF(OR($M2812="",$T2812=""),"",$T2812+(AC$2*$M2812))</f>
        <v/>
      </c>
      <c r="AD2812" s="48">
        <f>IF(OR($M2812="",$T2812=""),"",$T2812+(AD$2*$M2812))</f>
        <v/>
      </c>
      <c r="AE2812" s="49">
        <f>IF(OR($M2812="",$T2812=""),"",$T2812+(AE$2*$M2812))</f>
        <v/>
      </c>
      <c r="AF2812" s="52">
        <f>IF(OR(T2812="",I2812&lt;T2812),"",IFERROR(AVERAGE(T2812+M2812*{7,8,9,10,11})/IF(G2812="",I2812,G2812)-1,""))</f>
        <v/>
      </c>
      <c r="AG2812" s="55">
        <f>IF(OR(T2812="",I2812&lt;T2812),"",IFERROR(AF2812/-(R2812/IF(G2812="",I2812,G2812)-1),""))</f>
        <v/>
      </c>
      <c r="AH2812" s="94" t="n"/>
      <c r="AI2812" s="94" t="n"/>
      <c r="AJ2812" s="94" t="n"/>
      <c r="AK2812" s="94" t="n"/>
      <c r="AL2812" s="84" t="n"/>
    </row>
    <row r="2813">
      <c r="A2813" s="64" t="n"/>
      <c r="B2813" s="65" t="n"/>
      <c r="C2813" s="66" t="n"/>
      <c r="D2813" s="67" t="n"/>
      <c r="E2813" s="68" t="n"/>
      <c r="F2813" s="47">
        <f>IF(A2813="","",IF(MIN(H2813,MAX(J2813:K2813))=0,"",MIN(H2813,MAX(J2813:K2813))))</f>
        <v/>
      </c>
      <c r="G2813" s="74" t="n"/>
      <c r="H2813" s="49">
        <f>IF(M2813="","",IFERROR(ROUND(AVERAGE(T2813+M2813*{7,8,9,10,11})/1.21,4),""))</f>
        <v/>
      </c>
      <c r="I2813" s="76" t="n"/>
      <c r="J2813" s="77" t="n"/>
      <c r="K2813" s="74" t="n"/>
      <c r="L2813" s="78" t="n"/>
      <c r="M2813" s="77" t="n"/>
      <c r="N2813" s="53">
        <f>IF(M2813="","",IFERROR(M2813/I2813,""))</f>
        <v/>
      </c>
      <c r="O2813" s="50">
        <f>IF(A2813="","",IFERROR((IF(G2813="",I2813,G2813)-T2813)/M2813,""))</f>
        <v/>
      </c>
      <c r="P2813" s="50">
        <f>IFERROR((I2813/T2813-1)/N2813,"")</f>
        <v/>
      </c>
      <c r="Q2813" s="46">
        <f>IF(OR(T2813="",I2813&lt;T2813),"",IFERROR(R2813/IF(G2813="",I2813,G2813)-1,""))</f>
        <v/>
      </c>
      <c r="R2813" s="48">
        <f>IF($M2813="","",MAX(IF($G2813="",$I2813,$G2813)*(1/1.1),IF($G2813="",$I2813,$G2813)+(R$2*$M2813)))</f>
        <v/>
      </c>
      <c r="S2813" s="49">
        <f>IF($M2813="","",MAX(IF($G2813="",$I2813,$G2813)*(1/1.1),IF($G2813="",$I2813,$G2813)+(S$2*$M2813)))</f>
        <v/>
      </c>
      <c r="T2813" s="82" t="n"/>
      <c r="U2813" s="47">
        <f>IF(OR($M2813="",$T2813=""),"",$T2813+(U$2*$M2813))</f>
        <v/>
      </c>
      <c r="V2813" s="48">
        <f>IF(OR($M2813="",$T2813=""),"",$T2813+(V$2*$M2813))</f>
        <v/>
      </c>
      <c r="W2813" s="48">
        <f>IF(OR($M2813="",$T2813=""),"",$T2813+(W$2*$M2813))</f>
        <v/>
      </c>
      <c r="X2813" s="49">
        <f>IF(OR($M2813="",$T2813=""),"",$T2813+(X$2*$M2813))</f>
        <v/>
      </c>
      <c r="Y2813" s="47">
        <f>IF(OR($M2813="",$T2813=""),"",$T2813+(Y$2*$M2813))</f>
        <v/>
      </c>
      <c r="Z2813" s="49">
        <f>IF(OR($M2813="",$T2813=""),"",$T2813+(Z$2*$M2813))</f>
        <v/>
      </c>
      <c r="AA2813" s="51">
        <f>IF(OR($M2813="",$T2813=""),"",$T2813+(AA$2*$M2813))</f>
        <v/>
      </c>
      <c r="AB2813" s="48">
        <f>IF(OR($M2813="",$T2813=""),"",$T2813+(AB$2*$M2813))</f>
        <v/>
      </c>
      <c r="AC2813" s="48">
        <f>IF(OR($M2813="",$T2813=""),"",$T2813+(AC$2*$M2813))</f>
        <v/>
      </c>
      <c r="AD2813" s="48">
        <f>IF(OR($M2813="",$T2813=""),"",$T2813+(AD$2*$M2813))</f>
        <v/>
      </c>
      <c r="AE2813" s="49">
        <f>IF(OR($M2813="",$T2813=""),"",$T2813+(AE$2*$M2813))</f>
        <v/>
      </c>
      <c r="AF2813" s="52">
        <f>IF(OR(T2813="",I2813&lt;T2813),"",IFERROR(AVERAGE(T2813+M2813*{7,8,9,10,11})/IF(G2813="",I2813,G2813)-1,""))</f>
        <v/>
      </c>
      <c r="AG2813" s="55">
        <f>IF(OR(T2813="",I2813&lt;T2813),"",IFERROR(AF2813/-(R2813/IF(G2813="",I2813,G2813)-1),""))</f>
        <v/>
      </c>
      <c r="AH2813" s="94" t="n"/>
      <c r="AI2813" s="94" t="n"/>
      <c r="AJ2813" s="94" t="n"/>
      <c r="AK2813" s="94" t="n"/>
      <c r="AL2813" s="84" t="n"/>
    </row>
    <row r="2814">
      <c r="A2814" s="64" t="n"/>
      <c r="B2814" s="65" t="n"/>
      <c r="C2814" s="66" t="n"/>
      <c r="D2814" s="67" t="n"/>
      <c r="E2814" s="68" t="n"/>
      <c r="F2814" s="47">
        <f>IF(A2814="","",IF(MIN(H2814,MAX(J2814:K2814))=0,"",MIN(H2814,MAX(J2814:K2814))))</f>
        <v/>
      </c>
      <c r="G2814" s="74" t="n"/>
      <c r="H2814" s="49">
        <f>IF(M2814="","",IFERROR(ROUND(AVERAGE(T2814+M2814*{7,8,9,10,11})/1.21,4),""))</f>
        <v/>
      </c>
      <c r="I2814" s="76" t="n"/>
      <c r="J2814" s="77" t="n"/>
      <c r="K2814" s="74" t="n"/>
      <c r="L2814" s="78" t="n"/>
      <c r="M2814" s="77" t="n"/>
      <c r="N2814" s="53">
        <f>IF(M2814="","",IFERROR(M2814/I2814,""))</f>
        <v/>
      </c>
      <c r="O2814" s="50">
        <f>IF(A2814="","",IFERROR((IF(G2814="",I2814,G2814)-T2814)/M2814,""))</f>
        <v/>
      </c>
      <c r="P2814" s="50">
        <f>IFERROR((I2814/T2814-1)/N2814,"")</f>
        <v/>
      </c>
      <c r="Q2814" s="46">
        <f>IF(OR(T2814="",I2814&lt;T2814),"",IFERROR(R2814/IF(G2814="",I2814,G2814)-1,""))</f>
        <v/>
      </c>
      <c r="R2814" s="48">
        <f>IF($M2814="","",MAX(IF($G2814="",$I2814,$G2814)*(1/1.1),IF($G2814="",$I2814,$G2814)+(R$2*$M2814)))</f>
        <v/>
      </c>
      <c r="S2814" s="49">
        <f>IF($M2814="","",MAX(IF($G2814="",$I2814,$G2814)*(1/1.1),IF($G2814="",$I2814,$G2814)+(S$2*$M2814)))</f>
        <v/>
      </c>
      <c r="T2814" s="82" t="n"/>
      <c r="U2814" s="47">
        <f>IF(OR($M2814="",$T2814=""),"",$T2814+(U$2*$M2814))</f>
        <v/>
      </c>
      <c r="V2814" s="48">
        <f>IF(OR($M2814="",$T2814=""),"",$T2814+(V$2*$M2814))</f>
        <v/>
      </c>
      <c r="W2814" s="48">
        <f>IF(OR($M2814="",$T2814=""),"",$T2814+(W$2*$M2814))</f>
        <v/>
      </c>
      <c r="X2814" s="49">
        <f>IF(OR($M2814="",$T2814=""),"",$T2814+(X$2*$M2814))</f>
        <v/>
      </c>
      <c r="Y2814" s="47">
        <f>IF(OR($M2814="",$T2814=""),"",$T2814+(Y$2*$M2814))</f>
        <v/>
      </c>
      <c r="Z2814" s="49">
        <f>IF(OR($M2814="",$T2814=""),"",$T2814+(Z$2*$M2814))</f>
        <v/>
      </c>
      <c r="AA2814" s="51">
        <f>IF(OR($M2814="",$T2814=""),"",$T2814+(AA$2*$M2814))</f>
        <v/>
      </c>
      <c r="AB2814" s="48">
        <f>IF(OR($M2814="",$T2814=""),"",$T2814+(AB$2*$M2814))</f>
        <v/>
      </c>
      <c r="AC2814" s="48">
        <f>IF(OR($M2814="",$T2814=""),"",$T2814+(AC$2*$M2814))</f>
        <v/>
      </c>
      <c r="AD2814" s="48">
        <f>IF(OR($M2814="",$T2814=""),"",$T2814+(AD$2*$M2814))</f>
        <v/>
      </c>
      <c r="AE2814" s="49">
        <f>IF(OR($M2814="",$T2814=""),"",$T2814+(AE$2*$M2814))</f>
        <v/>
      </c>
      <c r="AF2814" s="52">
        <f>IF(OR(T2814="",I2814&lt;T2814),"",IFERROR(AVERAGE(T2814+M2814*{7,8,9,10,11})/IF(G2814="",I2814,G2814)-1,""))</f>
        <v/>
      </c>
      <c r="AG2814" s="55">
        <f>IF(OR(T2814="",I2814&lt;T2814),"",IFERROR(AF2814/-(R2814/IF(G2814="",I2814,G2814)-1),""))</f>
        <v/>
      </c>
      <c r="AH2814" s="94" t="n"/>
      <c r="AI2814" s="94" t="n"/>
      <c r="AJ2814" s="94" t="n"/>
      <c r="AK2814" s="94" t="n"/>
      <c r="AL2814" s="84" t="n"/>
    </row>
    <row r="2815">
      <c r="A2815" s="64" t="n"/>
      <c r="B2815" s="65" t="n"/>
      <c r="C2815" s="66" t="n"/>
      <c r="D2815" s="67" t="n"/>
      <c r="E2815" s="68" t="n"/>
      <c r="F2815" s="47">
        <f>IF(A2815="","",IF(MIN(H2815,MAX(J2815:K2815))=0,"",MIN(H2815,MAX(J2815:K2815))))</f>
        <v/>
      </c>
      <c r="G2815" s="74" t="n"/>
      <c r="H2815" s="49">
        <f>IF(M2815="","",IFERROR(ROUND(AVERAGE(T2815+M2815*{7,8,9,10,11})/1.21,4),""))</f>
        <v/>
      </c>
      <c r="I2815" s="76" t="n"/>
      <c r="J2815" s="77" t="n"/>
      <c r="K2815" s="74" t="n"/>
      <c r="L2815" s="78" t="n"/>
      <c r="M2815" s="77" t="n"/>
      <c r="N2815" s="53">
        <f>IF(M2815="","",IFERROR(M2815/I2815,""))</f>
        <v/>
      </c>
      <c r="O2815" s="50">
        <f>IF(A2815="","",IFERROR((IF(G2815="",I2815,G2815)-T2815)/M2815,""))</f>
        <v/>
      </c>
      <c r="P2815" s="50">
        <f>IFERROR((I2815/T2815-1)/N2815,"")</f>
        <v/>
      </c>
      <c r="Q2815" s="46">
        <f>IF(OR(T2815="",I2815&lt;T2815),"",IFERROR(R2815/IF(G2815="",I2815,G2815)-1,""))</f>
        <v/>
      </c>
      <c r="R2815" s="48">
        <f>IF($M2815="","",MAX(IF($G2815="",$I2815,$G2815)*(1/1.1),IF($G2815="",$I2815,$G2815)+(R$2*$M2815)))</f>
        <v/>
      </c>
      <c r="S2815" s="49">
        <f>IF($M2815="","",MAX(IF($G2815="",$I2815,$G2815)*(1/1.1),IF($G2815="",$I2815,$G2815)+(S$2*$M2815)))</f>
        <v/>
      </c>
      <c r="T2815" s="82" t="n"/>
      <c r="U2815" s="47">
        <f>IF(OR($M2815="",$T2815=""),"",$T2815+(U$2*$M2815))</f>
        <v/>
      </c>
      <c r="V2815" s="48">
        <f>IF(OR($M2815="",$T2815=""),"",$T2815+(V$2*$M2815))</f>
        <v/>
      </c>
      <c r="W2815" s="48">
        <f>IF(OR($M2815="",$T2815=""),"",$T2815+(W$2*$M2815))</f>
        <v/>
      </c>
      <c r="X2815" s="49">
        <f>IF(OR($M2815="",$T2815=""),"",$T2815+(X$2*$M2815))</f>
        <v/>
      </c>
      <c r="Y2815" s="47">
        <f>IF(OR($M2815="",$T2815=""),"",$T2815+(Y$2*$M2815))</f>
        <v/>
      </c>
      <c r="Z2815" s="49">
        <f>IF(OR($M2815="",$T2815=""),"",$T2815+(Z$2*$M2815))</f>
        <v/>
      </c>
      <c r="AA2815" s="51">
        <f>IF(OR($M2815="",$T2815=""),"",$T2815+(AA$2*$M2815))</f>
        <v/>
      </c>
      <c r="AB2815" s="48">
        <f>IF(OR($M2815="",$T2815=""),"",$T2815+(AB$2*$M2815))</f>
        <v/>
      </c>
      <c r="AC2815" s="48">
        <f>IF(OR($M2815="",$T2815=""),"",$T2815+(AC$2*$M2815))</f>
        <v/>
      </c>
      <c r="AD2815" s="48">
        <f>IF(OR($M2815="",$T2815=""),"",$T2815+(AD$2*$M2815))</f>
        <v/>
      </c>
      <c r="AE2815" s="49">
        <f>IF(OR($M2815="",$T2815=""),"",$T2815+(AE$2*$M2815))</f>
        <v/>
      </c>
      <c r="AF2815" s="52">
        <f>IF(OR(T2815="",I2815&lt;T2815),"",IFERROR(AVERAGE(T2815+M2815*{7,8,9,10,11})/IF(G2815="",I2815,G2815)-1,""))</f>
        <v/>
      </c>
      <c r="AG2815" s="55">
        <f>IF(OR(T2815="",I2815&lt;T2815),"",IFERROR(AF2815/-(R2815/IF(G2815="",I2815,G2815)-1),""))</f>
        <v/>
      </c>
      <c r="AH2815" s="94" t="n"/>
      <c r="AI2815" s="94" t="n"/>
      <c r="AJ2815" s="94" t="n"/>
      <c r="AK2815" s="94" t="n"/>
      <c r="AL2815" s="84" t="n"/>
    </row>
    <row r="2816">
      <c r="A2816" s="64" t="n"/>
      <c r="B2816" s="65" t="n"/>
      <c r="C2816" s="66" t="n"/>
      <c r="D2816" s="67" t="n"/>
      <c r="E2816" s="68" t="n"/>
      <c r="F2816" s="47">
        <f>IF(A2816="","",IF(MIN(H2816,MAX(J2816:K2816))=0,"",MIN(H2816,MAX(J2816:K2816))))</f>
        <v/>
      </c>
      <c r="G2816" s="74" t="n"/>
      <c r="H2816" s="49">
        <f>IF(M2816="","",IFERROR(ROUND(AVERAGE(T2816+M2816*{7,8,9,10,11})/1.21,4),""))</f>
        <v/>
      </c>
      <c r="I2816" s="76" t="n"/>
      <c r="J2816" s="77" t="n"/>
      <c r="K2816" s="74" t="n"/>
      <c r="L2816" s="78" t="n"/>
      <c r="M2816" s="77" t="n"/>
      <c r="N2816" s="53">
        <f>IF(M2816="","",IFERROR(M2816/I2816,""))</f>
        <v/>
      </c>
      <c r="O2816" s="50">
        <f>IF(A2816="","",IFERROR((IF(G2816="",I2816,G2816)-T2816)/M2816,""))</f>
        <v/>
      </c>
      <c r="P2816" s="50">
        <f>IFERROR((I2816/T2816-1)/N2816,"")</f>
        <v/>
      </c>
      <c r="Q2816" s="46">
        <f>IF(OR(T2816="",I2816&lt;T2816),"",IFERROR(R2816/IF(G2816="",I2816,G2816)-1,""))</f>
        <v/>
      </c>
      <c r="R2816" s="48">
        <f>IF($M2816="","",MAX(IF($G2816="",$I2816,$G2816)*(1/1.1),IF($G2816="",$I2816,$G2816)+(R$2*$M2816)))</f>
        <v/>
      </c>
      <c r="S2816" s="49">
        <f>IF($M2816="","",MAX(IF($G2816="",$I2816,$G2816)*(1/1.1),IF($G2816="",$I2816,$G2816)+(S$2*$M2816)))</f>
        <v/>
      </c>
      <c r="T2816" s="82" t="n"/>
      <c r="U2816" s="47">
        <f>IF(OR($M2816="",$T2816=""),"",$T2816+(U$2*$M2816))</f>
        <v/>
      </c>
      <c r="V2816" s="48">
        <f>IF(OR($M2816="",$T2816=""),"",$T2816+(V$2*$M2816))</f>
        <v/>
      </c>
      <c r="W2816" s="48">
        <f>IF(OR($M2816="",$T2816=""),"",$T2816+(W$2*$M2816))</f>
        <v/>
      </c>
      <c r="X2816" s="49">
        <f>IF(OR($M2816="",$T2816=""),"",$T2816+(X$2*$M2816))</f>
        <v/>
      </c>
      <c r="Y2816" s="47">
        <f>IF(OR($M2816="",$T2816=""),"",$T2816+(Y$2*$M2816))</f>
        <v/>
      </c>
      <c r="Z2816" s="49">
        <f>IF(OR($M2816="",$T2816=""),"",$T2816+(Z$2*$M2816))</f>
        <v/>
      </c>
      <c r="AA2816" s="51">
        <f>IF(OR($M2816="",$T2816=""),"",$T2816+(AA$2*$M2816))</f>
        <v/>
      </c>
      <c r="AB2816" s="48">
        <f>IF(OR($M2816="",$T2816=""),"",$T2816+(AB$2*$M2816))</f>
        <v/>
      </c>
      <c r="AC2816" s="48">
        <f>IF(OR($M2816="",$T2816=""),"",$T2816+(AC$2*$M2816))</f>
        <v/>
      </c>
      <c r="AD2816" s="48">
        <f>IF(OR($M2816="",$T2816=""),"",$T2816+(AD$2*$M2816))</f>
        <v/>
      </c>
      <c r="AE2816" s="49">
        <f>IF(OR($M2816="",$T2816=""),"",$T2816+(AE$2*$M2816))</f>
        <v/>
      </c>
      <c r="AF2816" s="52">
        <f>IF(OR(T2816="",I2816&lt;T2816),"",IFERROR(AVERAGE(T2816+M2816*{7,8,9,10,11})/IF(G2816="",I2816,G2816)-1,""))</f>
        <v/>
      </c>
      <c r="AG2816" s="55">
        <f>IF(OR(T2816="",I2816&lt;T2816),"",IFERROR(AF2816/-(R2816/IF(G2816="",I2816,G2816)-1),""))</f>
        <v/>
      </c>
      <c r="AH2816" s="94" t="n"/>
      <c r="AI2816" s="94" t="n"/>
      <c r="AJ2816" s="94" t="n"/>
      <c r="AK2816" s="94" t="n"/>
      <c r="AL2816" s="84" t="n"/>
    </row>
    <row r="2817">
      <c r="A2817" s="64" t="n"/>
      <c r="B2817" s="65" t="n"/>
      <c r="C2817" s="66" t="n"/>
      <c r="D2817" s="67" t="n"/>
      <c r="E2817" s="68" t="n"/>
      <c r="F2817" s="47">
        <f>IF(A2817="","",IF(MIN(H2817,MAX(J2817:K2817))=0,"",MIN(H2817,MAX(J2817:K2817))))</f>
        <v/>
      </c>
      <c r="G2817" s="74" t="n"/>
      <c r="H2817" s="49">
        <f>IF(M2817="","",IFERROR(ROUND(AVERAGE(T2817+M2817*{7,8,9,10,11})/1.21,4),""))</f>
        <v/>
      </c>
      <c r="I2817" s="76" t="n"/>
      <c r="J2817" s="77" t="n"/>
      <c r="K2817" s="74" t="n"/>
      <c r="L2817" s="78" t="n"/>
      <c r="M2817" s="77" t="n"/>
      <c r="N2817" s="53">
        <f>IF(M2817="","",IFERROR(M2817/I2817,""))</f>
        <v/>
      </c>
      <c r="O2817" s="50">
        <f>IF(A2817="","",IFERROR((IF(G2817="",I2817,G2817)-T2817)/M2817,""))</f>
        <v/>
      </c>
      <c r="P2817" s="50">
        <f>IFERROR((I2817/T2817-1)/N2817,"")</f>
        <v/>
      </c>
      <c r="Q2817" s="46">
        <f>IF(OR(T2817="",I2817&lt;T2817),"",IFERROR(R2817/IF(G2817="",I2817,G2817)-1,""))</f>
        <v/>
      </c>
      <c r="R2817" s="48">
        <f>IF($M2817="","",MAX(IF($G2817="",$I2817,$G2817)*(1/1.1),IF($G2817="",$I2817,$G2817)+(R$2*$M2817)))</f>
        <v/>
      </c>
      <c r="S2817" s="49">
        <f>IF($M2817="","",MAX(IF($G2817="",$I2817,$G2817)*(1/1.1),IF($G2817="",$I2817,$G2817)+(S$2*$M2817)))</f>
        <v/>
      </c>
      <c r="T2817" s="82" t="n"/>
      <c r="U2817" s="47">
        <f>IF(OR($M2817="",$T2817=""),"",$T2817+(U$2*$M2817))</f>
        <v/>
      </c>
      <c r="V2817" s="48">
        <f>IF(OR($M2817="",$T2817=""),"",$T2817+(V$2*$M2817))</f>
        <v/>
      </c>
      <c r="W2817" s="48">
        <f>IF(OR($M2817="",$T2817=""),"",$T2817+(W$2*$M2817))</f>
        <v/>
      </c>
      <c r="X2817" s="49">
        <f>IF(OR($M2817="",$T2817=""),"",$T2817+(X$2*$M2817))</f>
        <v/>
      </c>
      <c r="Y2817" s="47">
        <f>IF(OR($M2817="",$T2817=""),"",$T2817+(Y$2*$M2817))</f>
        <v/>
      </c>
      <c r="Z2817" s="49">
        <f>IF(OR($M2817="",$T2817=""),"",$T2817+(Z$2*$M2817))</f>
        <v/>
      </c>
      <c r="AA2817" s="51">
        <f>IF(OR($M2817="",$T2817=""),"",$T2817+(AA$2*$M2817))</f>
        <v/>
      </c>
      <c r="AB2817" s="48">
        <f>IF(OR($M2817="",$T2817=""),"",$T2817+(AB$2*$M2817))</f>
        <v/>
      </c>
      <c r="AC2817" s="48">
        <f>IF(OR($M2817="",$T2817=""),"",$T2817+(AC$2*$M2817))</f>
        <v/>
      </c>
      <c r="AD2817" s="48">
        <f>IF(OR($M2817="",$T2817=""),"",$T2817+(AD$2*$M2817))</f>
        <v/>
      </c>
      <c r="AE2817" s="49">
        <f>IF(OR($M2817="",$T2817=""),"",$T2817+(AE$2*$M2817))</f>
        <v/>
      </c>
      <c r="AF2817" s="52">
        <f>IF(OR(T2817="",I2817&lt;T2817),"",IFERROR(AVERAGE(T2817+M2817*{7,8,9,10,11})/IF(G2817="",I2817,G2817)-1,""))</f>
        <v/>
      </c>
      <c r="AG2817" s="55">
        <f>IF(OR(T2817="",I2817&lt;T2817),"",IFERROR(AF2817/-(R2817/IF(G2817="",I2817,G2817)-1),""))</f>
        <v/>
      </c>
      <c r="AH2817" s="94" t="n"/>
      <c r="AI2817" s="94" t="n"/>
      <c r="AJ2817" s="94" t="n"/>
      <c r="AK2817" s="94" t="n"/>
      <c r="AL2817" s="84" t="n"/>
    </row>
    <row r="2818">
      <c r="A2818" s="64" t="n"/>
      <c r="B2818" s="65" t="n"/>
      <c r="C2818" s="66" t="n"/>
      <c r="D2818" s="67" t="n"/>
      <c r="E2818" s="68" t="n"/>
      <c r="F2818" s="47">
        <f>IF(A2818="","",IF(MIN(H2818,MAX(J2818:K2818))=0,"",MIN(H2818,MAX(J2818:K2818))))</f>
        <v/>
      </c>
      <c r="G2818" s="74" t="n"/>
      <c r="H2818" s="49">
        <f>IF(M2818="","",IFERROR(ROUND(AVERAGE(T2818+M2818*{7,8,9,10,11})/1.21,4),""))</f>
        <v/>
      </c>
      <c r="I2818" s="76" t="n"/>
      <c r="J2818" s="77" t="n"/>
      <c r="K2818" s="74" t="n"/>
      <c r="L2818" s="78" t="n"/>
      <c r="M2818" s="77" t="n"/>
      <c r="N2818" s="53">
        <f>IF(M2818="","",IFERROR(M2818/I2818,""))</f>
        <v/>
      </c>
      <c r="O2818" s="50">
        <f>IF(A2818="","",IFERROR((IF(G2818="",I2818,G2818)-T2818)/M2818,""))</f>
        <v/>
      </c>
      <c r="P2818" s="50">
        <f>IFERROR((I2818/T2818-1)/N2818,"")</f>
        <v/>
      </c>
      <c r="Q2818" s="46">
        <f>IF(OR(T2818="",I2818&lt;T2818),"",IFERROR(R2818/IF(G2818="",I2818,G2818)-1,""))</f>
        <v/>
      </c>
      <c r="R2818" s="48">
        <f>IF($M2818="","",MAX(IF($G2818="",$I2818,$G2818)*(1/1.1),IF($G2818="",$I2818,$G2818)+(R$2*$M2818)))</f>
        <v/>
      </c>
      <c r="S2818" s="49">
        <f>IF($M2818="","",MAX(IF($G2818="",$I2818,$G2818)*(1/1.1),IF($G2818="",$I2818,$G2818)+(S$2*$M2818)))</f>
        <v/>
      </c>
      <c r="T2818" s="82" t="n"/>
      <c r="U2818" s="47">
        <f>IF(OR($M2818="",$T2818=""),"",$T2818+(U$2*$M2818))</f>
        <v/>
      </c>
      <c r="V2818" s="48">
        <f>IF(OR($M2818="",$T2818=""),"",$T2818+(V$2*$M2818))</f>
        <v/>
      </c>
      <c r="W2818" s="48">
        <f>IF(OR($M2818="",$T2818=""),"",$T2818+(W$2*$M2818))</f>
        <v/>
      </c>
      <c r="X2818" s="49">
        <f>IF(OR($M2818="",$T2818=""),"",$T2818+(X$2*$M2818))</f>
        <v/>
      </c>
      <c r="Y2818" s="47">
        <f>IF(OR($M2818="",$T2818=""),"",$T2818+(Y$2*$M2818))</f>
        <v/>
      </c>
      <c r="Z2818" s="49">
        <f>IF(OR($M2818="",$T2818=""),"",$T2818+(Z$2*$M2818))</f>
        <v/>
      </c>
      <c r="AA2818" s="51">
        <f>IF(OR($M2818="",$T2818=""),"",$T2818+(AA$2*$M2818))</f>
        <v/>
      </c>
      <c r="AB2818" s="48">
        <f>IF(OR($M2818="",$T2818=""),"",$T2818+(AB$2*$M2818))</f>
        <v/>
      </c>
      <c r="AC2818" s="48">
        <f>IF(OR($M2818="",$T2818=""),"",$T2818+(AC$2*$M2818))</f>
        <v/>
      </c>
      <c r="AD2818" s="48">
        <f>IF(OR($M2818="",$T2818=""),"",$T2818+(AD$2*$M2818))</f>
        <v/>
      </c>
      <c r="AE2818" s="49">
        <f>IF(OR($M2818="",$T2818=""),"",$T2818+(AE$2*$M2818))</f>
        <v/>
      </c>
      <c r="AF2818" s="52">
        <f>IF(OR(T2818="",I2818&lt;T2818),"",IFERROR(AVERAGE(T2818+M2818*{7,8,9,10,11})/IF(G2818="",I2818,G2818)-1,""))</f>
        <v/>
      </c>
      <c r="AG2818" s="55">
        <f>IF(OR(T2818="",I2818&lt;T2818),"",IFERROR(AF2818/-(R2818/IF(G2818="",I2818,G2818)-1),""))</f>
        <v/>
      </c>
      <c r="AH2818" s="94" t="n"/>
      <c r="AI2818" s="94" t="n"/>
      <c r="AJ2818" s="94" t="n"/>
      <c r="AK2818" s="94" t="n"/>
      <c r="AL2818" s="84" t="n"/>
    </row>
    <row r="2819">
      <c r="A2819" s="64" t="n"/>
      <c r="B2819" s="65" t="n"/>
      <c r="C2819" s="66" t="n"/>
      <c r="D2819" s="67" t="n"/>
      <c r="E2819" s="68" t="n"/>
      <c r="F2819" s="47">
        <f>IF(A2819="","",IF(MIN(H2819,MAX(J2819:K2819))=0,"",MIN(H2819,MAX(J2819:K2819))))</f>
        <v/>
      </c>
      <c r="G2819" s="74" t="n"/>
      <c r="H2819" s="49">
        <f>IF(M2819="","",IFERROR(ROUND(AVERAGE(T2819+M2819*{7,8,9,10,11})/1.21,4),""))</f>
        <v/>
      </c>
      <c r="I2819" s="76" t="n"/>
      <c r="J2819" s="77" t="n"/>
      <c r="K2819" s="74" t="n"/>
      <c r="L2819" s="78" t="n"/>
      <c r="M2819" s="77" t="n"/>
      <c r="N2819" s="53">
        <f>IF(M2819="","",IFERROR(M2819/I2819,""))</f>
        <v/>
      </c>
      <c r="O2819" s="50">
        <f>IF(A2819="","",IFERROR((IF(G2819="",I2819,G2819)-T2819)/M2819,""))</f>
        <v/>
      </c>
      <c r="P2819" s="50">
        <f>IFERROR((I2819/T2819-1)/N2819,"")</f>
        <v/>
      </c>
      <c r="Q2819" s="46">
        <f>IF(OR(T2819="",I2819&lt;T2819),"",IFERROR(R2819/IF(G2819="",I2819,G2819)-1,""))</f>
        <v/>
      </c>
      <c r="R2819" s="48">
        <f>IF($M2819="","",MAX(IF($G2819="",$I2819,$G2819)*(1/1.1),IF($G2819="",$I2819,$G2819)+(R$2*$M2819)))</f>
        <v/>
      </c>
      <c r="S2819" s="49">
        <f>IF($M2819="","",MAX(IF($G2819="",$I2819,$G2819)*(1/1.1),IF($G2819="",$I2819,$G2819)+(S$2*$M2819)))</f>
        <v/>
      </c>
      <c r="T2819" s="82" t="n"/>
      <c r="U2819" s="47">
        <f>IF(OR($M2819="",$T2819=""),"",$T2819+(U$2*$M2819))</f>
        <v/>
      </c>
      <c r="V2819" s="48">
        <f>IF(OR($M2819="",$T2819=""),"",$T2819+(V$2*$M2819))</f>
        <v/>
      </c>
      <c r="W2819" s="48">
        <f>IF(OR($M2819="",$T2819=""),"",$T2819+(W$2*$M2819))</f>
        <v/>
      </c>
      <c r="X2819" s="49">
        <f>IF(OR($M2819="",$T2819=""),"",$T2819+(X$2*$M2819))</f>
        <v/>
      </c>
      <c r="Y2819" s="47">
        <f>IF(OR($M2819="",$T2819=""),"",$T2819+(Y$2*$M2819))</f>
        <v/>
      </c>
      <c r="Z2819" s="49">
        <f>IF(OR($M2819="",$T2819=""),"",$T2819+(Z$2*$M2819))</f>
        <v/>
      </c>
      <c r="AA2819" s="51">
        <f>IF(OR($M2819="",$T2819=""),"",$T2819+(AA$2*$M2819))</f>
        <v/>
      </c>
      <c r="AB2819" s="48">
        <f>IF(OR($M2819="",$T2819=""),"",$T2819+(AB$2*$M2819))</f>
        <v/>
      </c>
      <c r="AC2819" s="48">
        <f>IF(OR($M2819="",$T2819=""),"",$T2819+(AC$2*$M2819))</f>
        <v/>
      </c>
      <c r="AD2819" s="48">
        <f>IF(OR($M2819="",$T2819=""),"",$T2819+(AD$2*$M2819))</f>
        <v/>
      </c>
      <c r="AE2819" s="49">
        <f>IF(OR($M2819="",$T2819=""),"",$T2819+(AE$2*$M2819))</f>
        <v/>
      </c>
      <c r="AF2819" s="52">
        <f>IF(OR(T2819="",I2819&lt;T2819),"",IFERROR(AVERAGE(T2819+M2819*{7,8,9,10,11})/IF(G2819="",I2819,G2819)-1,""))</f>
        <v/>
      </c>
      <c r="AG2819" s="55">
        <f>IF(OR(T2819="",I2819&lt;T2819),"",IFERROR(AF2819/-(R2819/IF(G2819="",I2819,G2819)-1),""))</f>
        <v/>
      </c>
      <c r="AH2819" s="94" t="n"/>
      <c r="AI2819" s="94" t="n"/>
      <c r="AJ2819" s="94" t="n"/>
      <c r="AK2819" s="94" t="n"/>
      <c r="AL2819" s="84" t="n"/>
    </row>
    <row r="2820">
      <c r="A2820" s="64" t="n"/>
      <c r="B2820" s="65" t="n"/>
      <c r="C2820" s="66" t="n"/>
      <c r="D2820" s="67" t="n"/>
      <c r="E2820" s="68" t="n"/>
      <c r="F2820" s="47">
        <f>IF(A2820="","",IF(MIN(H2820,MAX(J2820:K2820))=0,"",MIN(H2820,MAX(J2820:K2820))))</f>
        <v/>
      </c>
      <c r="G2820" s="74" t="n"/>
      <c r="H2820" s="49">
        <f>IF(M2820="","",IFERROR(ROUND(AVERAGE(T2820+M2820*{7,8,9,10,11})/1.21,4),""))</f>
        <v/>
      </c>
      <c r="I2820" s="76" t="n"/>
      <c r="J2820" s="77" t="n"/>
      <c r="K2820" s="74" t="n"/>
      <c r="L2820" s="78" t="n"/>
      <c r="M2820" s="77" t="n"/>
      <c r="N2820" s="53">
        <f>IF(M2820="","",IFERROR(M2820/I2820,""))</f>
        <v/>
      </c>
      <c r="O2820" s="50">
        <f>IF(A2820="","",IFERROR((IF(G2820="",I2820,G2820)-T2820)/M2820,""))</f>
        <v/>
      </c>
      <c r="P2820" s="50">
        <f>IFERROR((I2820/T2820-1)/N2820,"")</f>
        <v/>
      </c>
      <c r="Q2820" s="46">
        <f>IF(OR(T2820="",I2820&lt;T2820),"",IFERROR(R2820/IF(G2820="",I2820,G2820)-1,""))</f>
        <v/>
      </c>
      <c r="R2820" s="48">
        <f>IF($M2820="","",MAX(IF($G2820="",$I2820,$G2820)*(1/1.1),IF($G2820="",$I2820,$G2820)+(R$2*$M2820)))</f>
        <v/>
      </c>
      <c r="S2820" s="49">
        <f>IF($M2820="","",MAX(IF($G2820="",$I2820,$G2820)*(1/1.1),IF($G2820="",$I2820,$G2820)+(S$2*$M2820)))</f>
        <v/>
      </c>
      <c r="T2820" s="82" t="n"/>
      <c r="U2820" s="47">
        <f>IF(OR($M2820="",$T2820=""),"",$T2820+(U$2*$M2820))</f>
        <v/>
      </c>
      <c r="V2820" s="48">
        <f>IF(OR($M2820="",$T2820=""),"",$T2820+(V$2*$M2820))</f>
        <v/>
      </c>
      <c r="W2820" s="48">
        <f>IF(OR($M2820="",$T2820=""),"",$T2820+(W$2*$M2820))</f>
        <v/>
      </c>
      <c r="X2820" s="49">
        <f>IF(OR($M2820="",$T2820=""),"",$T2820+(X$2*$M2820))</f>
        <v/>
      </c>
      <c r="Y2820" s="47">
        <f>IF(OR($M2820="",$T2820=""),"",$T2820+(Y$2*$M2820))</f>
        <v/>
      </c>
      <c r="Z2820" s="49">
        <f>IF(OR($M2820="",$T2820=""),"",$T2820+(Z$2*$M2820))</f>
        <v/>
      </c>
      <c r="AA2820" s="51">
        <f>IF(OR($M2820="",$T2820=""),"",$T2820+(AA$2*$M2820))</f>
        <v/>
      </c>
      <c r="AB2820" s="48">
        <f>IF(OR($M2820="",$T2820=""),"",$T2820+(AB$2*$M2820))</f>
        <v/>
      </c>
      <c r="AC2820" s="48">
        <f>IF(OR($M2820="",$T2820=""),"",$T2820+(AC$2*$M2820))</f>
        <v/>
      </c>
      <c r="AD2820" s="48">
        <f>IF(OR($M2820="",$T2820=""),"",$T2820+(AD$2*$M2820))</f>
        <v/>
      </c>
      <c r="AE2820" s="49">
        <f>IF(OR($M2820="",$T2820=""),"",$T2820+(AE$2*$M2820))</f>
        <v/>
      </c>
      <c r="AF2820" s="52">
        <f>IF(OR(T2820="",I2820&lt;T2820),"",IFERROR(AVERAGE(T2820+M2820*{7,8,9,10,11})/IF(G2820="",I2820,G2820)-1,""))</f>
        <v/>
      </c>
      <c r="AG2820" s="55">
        <f>IF(OR(T2820="",I2820&lt;T2820),"",IFERROR(AF2820/-(R2820/IF(G2820="",I2820,G2820)-1),""))</f>
        <v/>
      </c>
      <c r="AH2820" s="94" t="n"/>
      <c r="AI2820" s="94" t="n"/>
      <c r="AJ2820" s="94" t="n"/>
      <c r="AK2820" s="94" t="n"/>
      <c r="AL2820" s="84" t="n"/>
    </row>
    <row r="2821">
      <c r="A2821" s="64" t="n"/>
      <c r="B2821" s="65" t="n"/>
      <c r="C2821" s="66" t="n"/>
      <c r="D2821" s="67" t="n"/>
      <c r="E2821" s="68" t="n"/>
      <c r="F2821" s="47">
        <f>IF(A2821="","",IF(MIN(H2821,MAX(J2821:K2821))=0,"",MIN(H2821,MAX(J2821:K2821))))</f>
        <v/>
      </c>
      <c r="G2821" s="74" t="n"/>
      <c r="H2821" s="49">
        <f>IF(M2821="","",IFERROR(ROUND(AVERAGE(T2821+M2821*{7,8,9,10,11})/1.21,4),""))</f>
        <v/>
      </c>
      <c r="I2821" s="76" t="n"/>
      <c r="J2821" s="77" t="n"/>
      <c r="K2821" s="74" t="n"/>
      <c r="L2821" s="78" t="n"/>
      <c r="M2821" s="77" t="n"/>
      <c r="N2821" s="53">
        <f>IF(M2821="","",IFERROR(M2821/I2821,""))</f>
        <v/>
      </c>
      <c r="O2821" s="50">
        <f>IF(A2821="","",IFERROR((IF(G2821="",I2821,G2821)-T2821)/M2821,""))</f>
        <v/>
      </c>
      <c r="P2821" s="50">
        <f>IFERROR((I2821/T2821-1)/N2821,"")</f>
        <v/>
      </c>
      <c r="Q2821" s="46">
        <f>IF(OR(T2821="",I2821&lt;T2821),"",IFERROR(R2821/IF(G2821="",I2821,G2821)-1,""))</f>
        <v/>
      </c>
      <c r="R2821" s="48">
        <f>IF($M2821="","",MAX(IF($G2821="",$I2821,$G2821)*(1/1.1),IF($G2821="",$I2821,$G2821)+(R$2*$M2821)))</f>
        <v/>
      </c>
      <c r="S2821" s="49">
        <f>IF($M2821="","",MAX(IF($G2821="",$I2821,$G2821)*(1/1.1),IF($G2821="",$I2821,$G2821)+(S$2*$M2821)))</f>
        <v/>
      </c>
      <c r="T2821" s="82" t="n"/>
      <c r="U2821" s="47">
        <f>IF(OR($M2821="",$T2821=""),"",$T2821+(U$2*$M2821))</f>
        <v/>
      </c>
      <c r="V2821" s="48">
        <f>IF(OR($M2821="",$T2821=""),"",$T2821+(V$2*$M2821))</f>
        <v/>
      </c>
      <c r="W2821" s="48">
        <f>IF(OR($M2821="",$T2821=""),"",$T2821+(W$2*$M2821))</f>
        <v/>
      </c>
      <c r="X2821" s="49">
        <f>IF(OR($M2821="",$T2821=""),"",$T2821+(X$2*$M2821))</f>
        <v/>
      </c>
      <c r="Y2821" s="47">
        <f>IF(OR($M2821="",$T2821=""),"",$T2821+(Y$2*$M2821))</f>
        <v/>
      </c>
      <c r="Z2821" s="49">
        <f>IF(OR($M2821="",$T2821=""),"",$T2821+(Z$2*$M2821))</f>
        <v/>
      </c>
      <c r="AA2821" s="51">
        <f>IF(OR($M2821="",$T2821=""),"",$T2821+(AA$2*$M2821))</f>
        <v/>
      </c>
      <c r="AB2821" s="48">
        <f>IF(OR($M2821="",$T2821=""),"",$T2821+(AB$2*$M2821))</f>
        <v/>
      </c>
      <c r="AC2821" s="48">
        <f>IF(OR($M2821="",$T2821=""),"",$T2821+(AC$2*$M2821))</f>
        <v/>
      </c>
      <c r="AD2821" s="48">
        <f>IF(OR($M2821="",$T2821=""),"",$T2821+(AD$2*$M2821))</f>
        <v/>
      </c>
      <c r="AE2821" s="49">
        <f>IF(OR($M2821="",$T2821=""),"",$T2821+(AE$2*$M2821))</f>
        <v/>
      </c>
      <c r="AF2821" s="52">
        <f>IF(OR(T2821="",I2821&lt;T2821),"",IFERROR(AVERAGE(T2821+M2821*{7,8,9,10,11})/IF(G2821="",I2821,G2821)-1,""))</f>
        <v/>
      </c>
      <c r="AG2821" s="55">
        <f>IF(OR(T2821="",I2821&lt;T2821),"",IFERROR(AF2821/-(R2821/IF(G2821="",I2821,G2821)-1),""))</f>
        <v/>
      </c>
      <c r="AH2821" s="94" t="n"/>
      <c r="AI2821" s="94" t="n"/>
      <c r="AJ2821" s="94" t="n"/>
      <c r="AK2821" s="94" t="n"/>
      <c r="AL2821" s="84" t="n"/>
    </row>
    <row r="2822">
      <c r="A2822" s="64" t="n"/>
      <c r="B2822" s="65" t="n"/>
      <c r="C2822" s="66" t="n"/>
      <c r="D2822" s="67" t="n"/>
      <c r="E2822" s="68" t="n"/>
      <c r="F2822" s="47">
        <f>IF(A2822="","",IF(MIN(H2822,MAX(J2822:K2822))=0,"",MIN(H2822,MAX(J2822:K2822))))</f>
        <v/>
      </c>
      <c r="G2822" s="74" t="n"/>
      <c r="H2822" s="49">
        <f>IF(M2822="","",IFERROR(ROUND(AVERAGE(T2822+M2822*{7,8,9,10,11})/1.21,4),""))</f>
        <v/>
      </c>
      <c r="I2822" s="76" t="n"/>
      <c r="J2822" s="77" t="n"/>
      <c r="K2822" s="74" t="n"/>
      <c r="L2822" s="78" t="n"/>
      <c r="M2822" s="77" t="n"/>
      <c r="N2822" s="53">
        <f>IF(M2822="","",IFERROR(M2822/I2822,""))</f>
        <v/>
      </c>
      <c r="O2822" s="50">
        <f>IF(A2822="","",IFERROR((IF(G2822="",I2822,G2822)-T2822)/M2822,""))</f>
        <v/>
      </c>
      <c r="P2822" s="50">
        <f>IFERROR((I2822/T2822-1)/N2822,"")</f>
        <v/>
      </c>
      <c r="Q2822" s="46">
        <f>IF(OR(T2822="",I2822&lt;T2822),"",IFERROR(R2822/IF(G2822="",I2822,G2822)-1,""))</f>
        <v/>
      </c>
      <c r="R2822" s="48">
        <f>IF($M2822="","",MAX(IF($G2822="",$I2822,$G2822)*(1/1.1),IF($G2822="",$I2822,$G2822)+(R$2*$M2822)))</f>
        <v/>
      </c>
      <c r="S2822" s="49">
        <f>IF($M2822="","",MAX(IF($G2822="",$I2822,$G2822)*(1/1.1),IF($G2822="",$I2822,$G2822)+(S$2*$M2822)))</f>
        <v/>
      </c>
      <c r="T2822" s="82" t="n"/>
      <c r="U2822" s="47">
        <f>IF(OR($M2822="",$T2822=""),"",$T2822+(U$2*$M2822))</f>
        <v/>
      </c>
      <c r="V2822" s="48">
        <f>IF(OR($M2822="",$T2822=""),"",$T2822+(V$2*$M2822))</f>
        <v/>
      </c>
      <c r="W2822" s="48">
        <f>IF(OR($M2822="",$T2822=""),"",$T2822+(W$2*$M2822))</f>
        <v/>
      </c>
      <c r="X2822" s="49">
        <f>IF(OR($M2822="",$T2822=""),"",$T2822+(X$2*$M2822))</f>
        <v/>
      </c>
      <c r="Y2822" s="47">
        <f>IF(OR($M2822="",$T2822=""),"",$T2822+(Y$2*$M2822))</f>
        <v/>
      </c>
      <c r="Z2822" s="49">
        <f>IF(OR($M2822="",$T2822=""),"",$T2822+(Z$2*$M2822))</f>
        <v/>
      </c>
      <c r="AA2822" s="51">
        <f>IF(OR($M2822="",$T2822=""),"",$T2822+(AA$2*$M2822))</f>
        <v/>
      </c>
      <c r="AB2822" s="48">
        <f>IF(OR($M2822="",$T2822=""),"",$T2822+(AB$2*$M2822))</f>
        <v/>
      </c>
      <c r="AC2822" s="48">
        <f>IF(OR($M2822="",$T2822=""),"",$T2822+(AC$2*$M2822))</f>
        <v/>
      </c>
      <c r="AD2822" s="48">
        <f>IF(OR($M2822="",$T2822=""),"",$T2822+(AD$2*$M2822))</f>
        <v/>
      </c>
      <c r="AE2822" s="49">
        <f>IF(OR($M2822="",$T2822=""),"",$T2822+(AE$2*$M2822))</f>
        <v/>
      </c>
      <c r="AF2822" s="52">
        <f>IF(OR(T2822="",I2822&lt;T2822),"",IFERROR(AVERAGE(T2822+M2822*{7,8,9,10,11})/IF(G2822="",I2822,G2822)-1,""))</f>
        <v/>
      </c>
      <c r="AG2822" s="55">
        <f>IF(OR(T2822="",I2822&lt;T2822),"",IFERROR(AF2822/-(R2822/IF(G2822="",I2822,G2822)-1),""))</f>
        <v/>
      </c>
      <c r="AH2822" s="94" t="n"/>
      <c r="AI2822" s="94" t="n"/>
      <c r="AJ2822" s="94" t="n"/>
      <c r="AK2822" s="94" t="n"/>
      <c r="AL2822" s="84" t="n"/>
    </row>
    <row r="2823">
      <c r="A2823" s="64" t="n"/>
      <c r="B2823" s="65" t="n"/>
      <c r="C2823" s="66" t="n"/>
      <c r="D2823" s="67" t="n"/>
      <c r="E2823" s="68" t="n"/>
      <c r="F2823" s="47">
        <f>IF(A2823="","",IF(MIN(H2823,MAX(J2823:K2823))=0,"",MIN(H2823,MAX(J2823:K2823))))</f>
        <v/>
      </c>
      <c r="G2823" s="74" t="n"/>
      <c r="H2823" s="49">
        <f>IF(M2823="","",IFERROR(ROUND(AVERAGE(T2823+M2823*{7,8,9,10,11})/1.21,4),""))</f>
        <v/>
      </c>
      <c r="I2823" s="76" t="n"/>
      <c r="J2823" s="77" t="n"/>
      <c r="K2823" s="74" t="n"/>
      <c r="L2823" s="78" t="n"/>
      <c r="M2823" s="77" t="n"/>
      <c r="N2823" s="53">
        <f>IF(M2823="","",IFERROR(M2823/I2823,""))</f>
        <v/>
      </c>
      <c r="O2823" s="50">
        <f>IF(A2823="","",IFERROR((IF(G2823="",I2823,G2823)-T2823)/M2823,""))</f>
        <v/>
      </c>
      <c r="P2823" s="50">
        <f>IFERROR((I2823/T2823-1)/N2823,"")</f>
        <v/>
      </c>
      <c r="Q2823" s="46">
        <f>IF(OR(T2823="",I2823&lt;T2823),"",IFERROR(R2823/IF(G2823="",I2823,G2823)-1,""))</f>
        <v/>
      </c>
      <c r="R2823" s="48">
        <f>IF($M2823="","",MAX(IF($G2823="",$I2823,$G2823)*(1/1.1),IF($G2823="",$I2823,$G2823)+(R$2*$M2823)))</f>
        <v/>
      </c>
      <c r="S2823" s="49">
        <f>IF($M2823="","",MAX(IF($G2823="",$I2823,$G2823)*(1/1.1),IF($G2823="",$I2823,$G2823)+(S$2*$M2823)))</f>
        <v/>
      </c>
      <c r="T2823" s="82" t="n"/>
      <c r="U2823" s="47">
        <f>IF(OR($M2823="",$T2823=""),"",$T2823+(U$2*$M2823))</f>
        <v/>
      </c>
      <c r="V2823" s="48">
        <f>IF(OR($M2823="",$T2823=""),"",$T2823+(V$2*$M2823))</f>
        <v/>
      </c>
      <c r="W2823" s="48">
        <f>IF(OR($M2823="",$T2823=""),"",$T2823+(W$2*$M2823))</f>
        <v/>
      </c>
      <c r="X2823" s="49">
        <f>IF(OR($M2823="",$T2823=""),"",$T2823+(X$2*$M2823))</f>
        <v/>
      </c>
      <c r="Y2823" s="47">
        <f>IF(OR($M2823="",$T2823=""),"",$T2823+(Y$2*$M2823))</f>
        <v/>
      </c>
      <c r="Z2823" s="49">
        <f>IF(OR($M2823="",$T2823=""),"",$T2823+(Z$2*$M2823))</f>
        <v/>
      </c>
      <c r="AA2823" s="51">
        <f>IF(OR($M2823="",$T2823=""),"",$T2823+(AA$2*$M2823))</f>
        <v/>
      </c>
      <c r="AB2823" s="48">
        <f>IF(OR($M2823="",$T2823=""),"",$T2823+(AB$2*$M2823))</f>
        <v/>
      </c>
      <c r="AC2823" s="48">
        <f>IF(OR($M2823="",$T2823=""),"",$T2823+(AC$2*$M2823))</f>
        <v/>
      </c>
      <c r="AD2823" s="48">
        <f>IF(OR($M2823="",$T2823=""),"",$T2823+(AD$2*$M2823))</f>
        <v/>
      </c>
      <c r="AE2823" s="49">
        <f>IF(OR($M2823="",$T2823=""),"",$T2823+(AE$2*$M2823))</f>
        <v/>
      </c>
      <c r="AF2823" s="52">
        <f>IF(OR(T2823="",I2823&lt;T2823),"",IFERROR(AVERAGE(T2823+M2823*{7,8,9,10,11})/IF(G2823="",I2823,G2823)-1,""))</f>
        <v/>
      </c>
      <c r="AG2823" s="55">
        <f>IF(OR(T2823="",I2823&lt;T2823),"",IFERROR(AF2823/-(R2823/IF(G2823="",I2823,G2823)-1),""))</f>
        <v/>
      </c>
      <c r="AH2823" s="94" t="n"/>
      <c r="AI2823" s="94" t="n"/>
      <c r="AJ2823" s="94" t="n"/>
      <c r="AK2823" s="94" t="n"/>
      <c r="AL2823" s="84" t="n"/>
    </row>
    <row r="2824">
      <c r="A2824" s="64" t="n"/>
      <c r="B2824" s="65" t="n"/>
      <c r="C2824" s="66" t="n"/>
      <c r="D2824" s="67" t="n"/>
      <c r="E2824" s="68" t="n"/>
      <c r="F2824" s="47">
        <f>IF(A2824="","",IF(MIN(H2824,MAX(J2824:K2824))=0,"",MIN(H2824,MAX(J2824:K2824))))</f>
        <v/>
      </c>
      <c r="G2824" s="74" t="n"/>
      <c r="H2824" s="49">
        <f>IF(M2824="","",IFERROR(ROUND(AVERAGE(T2824+M2824*{7,8,9,10,11})/1.21,4),""))</f>
        <v/>
      </c>
      <c r="I2824" s="76" t="n"/>
      <c r="J2824" s="77" t="n"/>
      <c r="K2824" s="74" t="n"/>
      <c r="L2824" s="78" t="n"/>
      <c r="M2824" s="77" t="n"/>
      <c r="N2824" s="53">
        <f>IF(M2824="","",IFERROR(M2824/I2824,""))</f>
        <v/>
      </c>
      <c r="O2824" s="50">
        <f>IF(A2824="","",IFERROR((IF(G2824="",I2824,G2824)-T2824)/M2824,""))</f>
        <v/>
      </c>
      <c r="P2824" s="50">
        <f>IFERROR((I2824/T2824-1)/N2824,"")</f>
        <v/>
      </c>
      <c r="Q2824" s="46">
        <f>IF(OR(T2824="",I2824&lt;T2824),"",IFERROR(R2824/IF(G2824="",I2824,G2824)-1,""))</f>
        <v/>
      </c>
      <c r="R2824" s="48">
        <f>IF($M2824="","",MAX(IF($G2824="",$I2824,$G2824)*(1/1.1),IF($G2824="",$I2824,$G2824)+(R$2*$M2824)))</f>
        <v/>
      </c>
      <c r="S2824" s="49">
        <f>IF($M2824="","",MAX(IF($G2824="",$I2824,$G2824)*(1/1.1),IF($G2824="",$I2824,$G2824)+(S$2*$M2824)))</f>
        <v/>
      </c>
      <c r="T2824" s="82" t="n"/>
      <c r="U2824" s="47">
        <f>IF(OR($M2824="",$T2824=""),"",$T2824+(U$2*$M2824))</f>
        <v/>
      </c>
      <c r="V2824" s="48">
        <f>IF(OR($M2824="",$T2824=""),"",$T2824+(V$2*$M2824))</f>
        <v/>
      </c>
      <c r="W2824" s="48">
        <f>IF(OR($M2824="",$T2824=""),"",$T2824+(W$2*$M2824))</f>
        <v/>
      </c>
      <c r="X2824" s="49">
        <f>IF(OR($M2824="",$T2824=""),"",$T2824+(X$2*$M2824))</f>
        <v/>
      </c>
      <c r="Y2824" s="47">
        <f>IF(OR($M2824="",$T2824=""),"",$T2824+(Y$2*$M2824))</f>
        <v/>
      </c>
      <c r="Z2824" s="49">
        <f>IF(OR($M2824="",$T2824=""),"",$T2824+(Z$2*$M2824))</f>
        <v/>
      </c>
      <c r="AA2824" s="51">
        <f>IF(OR($M2824="",$T2824=""),"",$T2824+(AA$2*$M2824))</f>
        <v/>
      </c>
      <c r="AB2824" s="48">
        <f>IF(OR($M2824="",$T2824=""),"",$T2824+(AB$2*$M2824))</f>
        <v/>
      </c>
      <c r="AC2824" s="48">
        <f>IF(OR($M2824="",$T2824=""),"",$T2824+(AC$2*$M2824))</f>
        <v/>
      </c>
      <c r="AD2824" s="48">
        <f>IF(OR($M2824="",$T2824=""),"",$T2824+(AD$2*$M2824))</f>
        <v/>
      </c>
      <c r="AE2824" s="49">
        <f>IF(OR($M2824="",$T2824=""),"",$T2824+(AE$2*$M2824))</f>
        <v/>
      </c>
      <c r="AF2824" s="52">
        <f>IF(OR(T2824="",I2824&lt;T2824),"",IFERROR(AVERAGE(T2824+M2824*{7,8,9,10,11})/IF(G2824="",I2824,G2824)-1,""))</f>
        <v/>
      </c>
      <c r="AG2824" s="55">
        <f>IF(OR(T2824="",I2824&lt;T2824),"",IFERROR(AF2824/-(R2824/IF(G2824="",I2824,G2824)-1),""))</f>
        <v/>
      </c>
      <c r="AH2824" s="94" t="n"/>
      <c r="AI2824" s="94" t="n"/>
      <c r="AJ2824" s="94" t="n"/>
      <c r="AK2824" s="94" t="n"/>
      <c r="AL2824" s="84" t="n"/>
    </row>
    <row r="2825">
      <c r="A2825" s="64" t="n"/>
      <c r="B2825" s="65" t="n"/>
      <c r="C2825" s="66" t="n"/>
      <c r="D2825" s="67" t="n"/>
      <c r="E2825" s="68" t="n"/>
      <c r="F2825" s="47">
        <f>IF(A2825="","",IF(MIN(H2825,MAX(J2825:K2825))=0,"",MIN(H2825,MAX(J2825:K2825))))</f>
        <v/>
      </c>
      <c r="G2825" s="74" t="n"/>
      <c r="H2825" s="49">
        <f>IF(M2825="","",IFERROR(ROUND(AVERAGE(T2825+M2825*{7,8,9,10,11})/1.21,4),""))</f>
        <v/>
      </c>
      <c r="I2825" s="76" t="n"/>
      <c r="J2825" s="77" t="n"/>
      <c r="K2825" s="74" t="n"/>
      <c r="L2825" s="78" t="n"/>
      <c r="M2825" s="77" t="n"/>
      <c r="N2825" s="53">
        <f>IF(M2825="","",IFERROR(M2825/I2825,""))</f>
        <v/>
      </c>
      <c r="O2825" s="50">
        <f>IF(A2825="","",IFERROR((IF(G2825="",I2825,G2825)-T2825)/M2825,""))</f>
        <v/>
      </c>
      <c r="P2825" s="50">
        <f>IFERROR((I2825/T2825-1)/N2825,"")</f>
        <v/>
      </c>
      <c r="Q2825" s="46">
        <f>IF(OR(T2825="",I2825&lt;T2825),"",IFERROR(R2825/IF(G2825="",I2825,G2825)-1,""))</f>
        <v/>
      </c>
      <c r="R2825" s="48">
        <f>IF($M2825="","",MAX(IF($G2825="",$I2825,$G2825)*(1/1.1),IF($G2825="",$I2825,$G2825)+(R$2*$M2825)))</f>
        <v/>
      </c>
      <c r="S2825" s="49">
        <f>IF($M2825="","",MAX(IF($G2825="",$I2825,$G2825)*(1/1.1),IF($G2825="",$I2825,$G2825)+(S$2*$M2825)))</f>
        <v/>
      </c>
      <c r="T2825" s="82" t="n"/>
      <c r="U2825" s="47">
        <f>IF(OR($M2825="",$T2825=""),"",$T2825+(U$2*$M2825))</f>
        <v/>
      </c>
      <c r="V2825" s="48">
        <f>IF(OR($M2825="",$T2825=""),"",$T2825+(V$2*$M2825))</f>
        <v/>
      </c>
      <c r="W2825" s="48">
        <f>IF(OR($M2825="",$T2825=""),"",$T2825+(W$2*$M2825))</f>
        <v/>
      </c>
      <c r="X2825" s="49">
        <f>IF(OR($M2825="",$T2825=""),"",$T2825+(X$2*$M2825))</f>
        <v/>
      </c>
      <c r="Y2825" s="47">
        <f>IF(OR($M2825="",$T2825=""),"",$T2825+(Y$2*$M2825))</f>
        <v/>
      </c>
      <c r="Z2825" s="49">
        <f>IF(OR($M2825="",$T2825=""),"",$T2825+(Z$2*$M2825))</f>
        <v/>
      </c>
      <c r="AA2825" s="51">
        <f>IF(OR($M2825="",$T2825=""),"",$T2825+(AA$2*$M2825))</f>
        <v/>
      </c>
      <c r="AB2825" s="48">
        <f>IF(OR($M2825="",$T2825=""),"",$T2825+(AB$2*$M2825))</f>
        <v/>
      </c>
      <c r="AC2825" s="48">
        <f>IF(OR($M2825="",$T2825=""),"",$T2825+(AC$2*$M2825))</f>
        <v/>
      </c>
      <c r="AD2825" s="48">
        <f>IF(OR($M2825="",$T2825=""),"",$T2825+(AD$2*$M2825))</f>
        <v/>
      </c>
      <c r="AE2825" s="49">
        <f>IF(OR($M2825="",$T2825=""),"",$T2825+(AE$2*$M2825))</f>
        <v/>
      </c>
      <c r="AF2825" s="52">
        <f>IF(OR(T2825="",I2825&lt;T2825),"",IFERROR(AVERAGE(T2825+M2825*{7,8,9,10,11})/IF(G2825="",I2825,G2825)-1,""))</f>
        <v/>
      </c>
      <c r="AG2825" s="55">
        <f>IF(OR(T2825="",I2825&lt;T2825),"",IFERROR(AF2825/-(R2825/IF(G2825="",I2825,G2825)-1),""))</f>
        <v/>
      </c>
      <c r="AH2825" s="94" t="n"/>
      <c r="AI2825" s="94" t="n"/>
      <c r="AJ2825" s="94" t="n"/>
      <c r="AK2825" s="94" t="n"/>
      <c r="AL2825" s="84" t="n"/>
    </row>
    <row r="2826">
      <c r="A2826" s="64" t="n"/>
      <c r="B2826" s="65" t="n"/>
      <c r="C2826" s="66" t="n"/>
      <c r="D2826" s="67" t="n"/>
      <c r="E2826" s="68" t="n"/>
      <c r="F2826" s="47">
        <f>IF(A2826="","",IF(MIN(H2826,MAX(J2826:K2826))=0,"",MIN(H2826,MAX(J2826:K2826))))</f>
        <v/>
      </c>
      <c r="G2826" s="74" t="n"/>
      <c r="H2826" s="49">
        <f>IF(M2826="","",IFERROR(ROUND(AVERAGE(T2826+M2826*{7,8,9,10,11})/1.21,4),""))</f>
        <v/>
      </c>
      <c r="I2826" s="76" t="n"/>
      <c r="J2826" s="77" t="n"/>
      <c r="K2826" s="74" t="n"/>
      <c r="L2826" s="78" t="n"/>
      <c r="M2826" s="77" t="n"/>
      <c r="N2826" s="53">
        <f>IF(M2826="","",IFERROR(M2826/I2826,""))</f>
        <v/>
      </c>
      <c r="O2826" s="50">
        <f>IF(A2826="","",IFERROR((IF(G2826="",I2826,G2826)-T2826)/M2826,""))</f>
        <v/>
      </c>
      <c r="P2826" s="50">
        <f>IFERROR((I2826/T2826-1)/N2826,"")</f>
        <v/>
      </c>
      <c r="Q2826" s="46">
        <f>IF(OR(T2826="",I2826&lt;T2826),"",IFERROR(R2826/IF(G2826="",I2826,G2826)-1,""))</f>
        <v/>
      </c>
      <c r="R2826" s="48">
        <f>IF($M2826="","",MAX(IF($G2826="",$I2826,$G2826)*(1/1.1),IF($G2826="",$I2826,$G2826)+(R$2*$M2826)))</f>
        <v/>
      </c>
      <c r="S2826" s="49">
        <f>IF($M2826="","",MAX(IF($G2826="",$I2826,$G2826)*(1/1.1),IF($G2826="",$I2826,$G2826)+(S$2*$M2826)))</f>
        <v/>
      </c>
      <c r="T2826" s="82" t="n"/>
      <c r="U2826" s="47">
        <f>IF(OR($M2826="",$T2826=""),"",$T2826+(U$2*$M2826))</f>
        <v/>
      </c>
      <c r="V2826" s="48">
        <f>IF(OR($M2826="",$T2826=""),"",$T2826+(V$2*$M2826))</f>
        <v/>
      </c>
      <c r="W2826" s="48">
        <f>IF(OR($M2826="",$T2826=""),"",$T2826+(W$2*$M2826))</f>
        <v/>
      </c>
      <c r="X2826" s="49">
        <f>IF(OR($M2826="",$T2826=""),"",$T2826+(X$2*$M2826))</f>
        <v/>
      </c>
      <c r="Y2826" s="47">
        <f>IF(OR($M2826="",$T2826=""),"",$T2826+(Y$2*$M2826))</f>
        <v/>
      </c>
      <c r="Z2826" s="49">
        <f>IF(OR($M2826="",$T2826=""),"",$T2826+(Z$2*$M2826))</f>
        <v/>
      </c>
      <c r="AA2826" s="51">
        <f>IF(OR($M2826="",$T2826=""),"",$T2826+(AA$2*$M2826))</f>
        <v/>
      </c>
      <c r="AB2826" s="48">
        <f>IF(OR($M2826="",$T2826=""),"",$T2826+(AB$2*$M2826))</f>
        <v/>
      </c>
      <c r="AC2826" s="48">
        <f>IF(OR($M2826="",$T2826=""),"",$T2826+(AC$2*$M2826))</f>
        <v/>
      </c>
      <c r="AD2826" s="48">
        <f>IF(OR($M2826="",$T2826=""),"",$T2826+(AD$2*$M2826))</f>
        <v/>
      </c>
      <c r="AE2826" s="49">
        <f>IF(OR($M2826="",$T2826=""),"",$T2826+(AE$2*$M2826))</f>
        <v/>
      </c>
      <c r="AF2826" s="52">
        <f>IF(OR(T2826="",I2826&lt;T2826),"",IFERROR(AVERAGE(T2826+M2826*{7,8,9,10,11})/IF(G2826="",I2826,G2826)-1,""))</f>
        <v/>
      </c>
      <c r="AG2826" s="55">
        <f>IF(OR(T2826="",I2826&lt;T2826),"",IFERROR(AF2826/-(R2826/IF(G2826="",I2826,G2826)-1),""))</f>
        <v/>
      </c>
      <c r="AH2826" s="94" t="n"/>
      <c r="AI2826" s="94" t="n"/>
      <c r="AJ2826" s="94" t="n"/>
      <c r="AK2826" s="94" t="n"/>
      <c r="AL2826" s="84" t="n"/>
    </row>
    <row r="2827">
      <c r="A2827" s="64" t="n"/>
      <c r="B2827" s="65" t="n"/>
      <c r="C2827" s="66" t="n"/>
      <c r="D2827" s="67" t="n"/>
      <c r="E2827" s="68" t="n"/>
      <c r="F2827" s="47">
        <f>IF(A2827="","",IF(MIN(H2827,MAX(J2827:K2827))=0,"",MIN(H2827,MAX(J2827:K2827))))</f>
        <v/>
      </c>
      <c r="G2827" s="74" t="n"/>
      <c r="H2827" s="49">
        <f>IF(M2827="","",IFERROR(ROUND(AVERAGE(T2827+M2827*{7,8,9,10,11})/1.21,4),""))</f>
        <v/>
      </c>
      <c r="I2827" s="76" t="n"/>
      <c r="J2827" s="77" t="n"/>
      <c r="K2827" s="74" t="n"/>
      <c r="L2827" s="78" t="n"/>
      <c r="M2827" s="77" t="n"/>
      <c r="N2827" s="53">
        <f>IF(M2827="","",IFERROR(M2827/I2827,""))</f>
        <v/>
      </c>
      <c r="O2827" s="50">
        <f>IF(A2827="","",IFERROR((IF(G2827="",I2827,G2827)-T2827)/M2827,""))</f>
        <v/>
      </c>
      <c r="P2827" s="50">
        <f>IFERROR((I2827/T2827-1)/N2827,"")</f>
        <v/>
      </c>
      <c r="Q2827" s="46">
        <f>IF(OR(T2827="",I2827&lt;T2827),"",IFERROR(R2827/IF(G2827="",I2827,G2827)-1,""))</f>
        <v/>
      </c>
      <c r="R2827" s="48">
        <f>IF($M2827="","",MAX(IF($G2827="",$I2827,$G2827)*(1/1.1),IF($G2827="",$I2827,$G2827)+(R$2*$M2827)))</f>
        <v/>
      </c>
      <c r="S2827" s="49">
        <f>IF($M2827="","",MAX(IF($G2827="",$I2827,$G2827)*(1/1.1),IF($G2827="",$I2827,$G2827)+(S$2*$M2827)))</f>
        <v/>
      </c>
      <c r="T2827" s="82" t="n"/>
      <c r="U2827" s="47">
        <f>IF(OR($M2827="",$T2827=""),"",$T2827+(U$2*$M2827))</f>
        <v/>
      </c>
      <c r="V2827" s="48">
        <f>IF(OR($M2827="",$T2827=""),"",$T2827+(V$2*$M2827))</f>
        <v/>
      </c>
      <c r="W2827" s="48">
        <f>IF(OR($M2827="",$T2827=""),"",$T2827+(W$2*$M2827))</f>
        <v/>
      </c>
      <c r="X2827" s="49">
        <f>IF(OR($M2827="",$T2827=""),"",$T2827+(X$2*$M2827))</f>
        <v/>
      </c>
      <c r="Y2827" s="47">
        <f>IF(OR($M2827="",$T2827=""),"",$T2827+(Y$2*$M2827))</f>
        <v/>
      </c>
      <c r="Z2827" s="49">
        <f>IF(OR($M2827="",$T2827=""),"",$T2827+(Z$2*$M2827))</f>
        <v/>
      </c>
      <c r="AA2827" s="51">
        <f>IF(OR($M2827="",$T2827=""),"",$T2827+(AA$2*$M2827))</f>
        <v/>
      </c>
      <c r="AB2827" s="48">
        <f>IF(OR($M2827="",$T2827=""),"",$T2827+(AB$2*$M2827))</f>
        <v/>
      </c>
      <c r="AC2827" s="48">
        <f>IF(OR($M2827="",$T2827=""),"",$T2827+(AC$2*$M2827))</f>
        <v/>
      </c>
      <c r="AD2827" s="48">
        <f>IF(OR($M2827="",$T2827=""),"",$T2827+(AD$2*$M2827))</f>
        <v/>
      </c>
      <c r="AE2827" s="49">
        <f>IF(OR($M2827="",$T2827=""),"",$T2827+(AE$2*$M2827))</f>
        <v/>
      </c>
      <c r="AF2827" s="52">
        <f>IF(OR(T2827="",I2827&lt;T2827),"",IFERROR(AVERAGE(T2827+M2827*{7,8,9,10,11})/IF(G2827="",I2827,G2827)-1,""))</f>
        <v/>
      </c>
      <c r="AG2827" s="55">
        <f>IF(OR(T2827="",I2827&lt;T2827),"",IFERROR(AF2827/-(R2827/IF(G2827="",I2827,G2827)-1),""))</f>
        <v/>
      </c>
      <c r="AH2827" s="94" t="n"/>
      <c r="AI2827" s="94" t="n"/>
      <c r="AJ2827" s="94" t="n"/>
      <c r="AK2827" s="94" t="n"/>
      <c r="AL2827" s="84" t="n"/>
    </row>
    <row r="2828">
      <c r="A2828" s="64" t="n"/>
      <c r="B2828" s="65" t="n"/>
      <c r="C2828" s="66" t="n"/>
      <c r="D2828" s="67" t="n"/>
      <c r="E2828" s="68" t="n"/>
      <c r="F2828" s="47">
        <f>IF(A2828="","",IF(MIN(H2828,MAX(J2828:K2828))=0,"",MIN(H2828,MAX(J2828:K2828))))</f>
        <v/>
      </c>
      <c r="G2828" s="74" t="n"/>
      <c r="H2828" s="49">
        <f>IF(M2828="","",IFERROR(ROUND(AVERAGE(T2828+M2828*{7,8,9,10,11})/1.21,4),""))</f>
        <v/>
      </c>
      <c r="I2828" s="76" t="n"/>
      <c r="J2828" s="77" t="n"/>
      <c r="K2828" s="74" t="n"/>
      <c r="L2828" s="78" t="n"/>
      <c r="M2828" s="77" t="n"/>
      <c r="N2828" s="53">
        <f>IF(M2828="","",IFERROR(M2828/I2828,""))</f>
        <v/>
      </c>
      <c r="O2828" s="50">
        <f>IF(A2828="","",IFERROR((IF(G2828="",I2828,G2828)-T2828)/M2828,""))</f>
        <v/>
      </c>
      <c r="P2828" s="50">
        <f>IFERROR((I2828/T2828-1)/N2828,"")</f>
        <v/>
      </c>
      <c r="Q2828" s="46">
        <f>IF(OR(T2828="",I2828&lt;T2828),"",IFERROR(R2828/IF(G2828="",I2828,G2828)-1,""))</f>
        <v/>
      </c>
      <c r="R2828" s="48">
        <f>IF($M2828="","",MAX(IF($G2828="",$I2828,$G2828)*(1/1.1),IF($G2828="",$I2828,$G2828)+(R$2*$M2828)))</f>
        <v/>
      </c>
      <c r="S2828" s="49">
        <f>IF($M2828="","",MAX(IF($G2828="",$I2828,$G2828)*(1/1.1),IF($G2828="",$I2828,$G2828)+(S$2*$M2828)))</f>
        <v/>
      </c>
      <c r="T2828" s="82" t="n"/>
      <c r="U2828" s="47">
        <f>IF(OR($M2828="",$T2828=""),"",$T2828+(U$2*$M2828))</f>
        <v/>
      </c>
      <c r="V2828" s="48">
        <f>IF(OR($M2828="",$T2828=""),"",$T2828+(V$2*$M2828))</f>
        <v/>
      </c>
      <c r="W2828" s="48">
        <f>IF(OR($M2828="",$T2828=""),"",$T2828+(W$2*$M2828))</f>
        <v/>
      </c>
      <c r="X2828" s="49">
        <f>IF(OR($M2828="",$T2828=""),"",$T2828+(X$2*$M2828))</f>
        <v/>
      </c>
      <c r="Y2828" s="47">
        <f>IF(OR($M2828="",$T2828=""),"",$T2828+(Y$2*$M2828))</f>
        <v/>
      </c>
      <c r="Z2828" s="49">
        <f>IF(OR($M2828="",$T2828=""),"",$T2828+(Z$2*$M2828))</f>
        <v/>
      </c>
      <c r="AA2828" s="51">
        <f>IF(OR($M2828="",$T2828=""),"",$T2828+(AA$2*$M2828))</f>
        <v/>
      </c>
      <c r="AB2828" s="48">
        <f>IF(OR($M2828="",$T2828=""),"",$T2828+(AB$2*$M2828))</f>
        <v/>
      </c>
      <c r="AC2828" s="48">
        <f>IF(OR($M2828="",$T2828=""),"",$T2828+(AC$2*$M2828))</f>
        <v/>
      </c>
      <c r="AD2828" s="48">
        <f>IF(OR($M2828="",$T2828=""),"",$T2828+(AD$2*$M2828))</f>
        <v/>
      </c>
      <c r="AE2828" s="49">
        <f>IF(OR($M2828="",$T2828=""),"",$T2828+(AE$2*$M2828))</f>
        <v/>
      </c>
      <c r="AF2828" s="52">
        <f>IF(OR(T2828="",I2828&lt;T2828),"",IFERROR(AVERAGE(T2828+M2828*{7,8,9,10,11})/IF(G2828="",I2828,G2828)-1,""))</f>
        <v/>
      </c>
      <c r="AG2828" s="55">
        <f>IF(OR(T2828="",I2828&lt;T2828),"",IFERROR(AF2828/-(R2828/IF(G2828="",I2828,G2828)-1),""))</f>
        <v/>
      </c>
      <c r="AH2828" s="94" t="n"/>
      <c r="AI2828" s="94" t="n"/>
      <c r="AJ2828" s="94" t="n"/>
      <c r="AK2828" s="94" t="n"/>
      <c r="AL2828" s="84" t="n"/>
    </row>
    <row r="2829">
      <c r="A2829" s="64" t="n"/>
      <c r="B2829" s="65" t="n"/>
      <c r="C2829" s="66" t="n"/>
      <c r="D2829" s="67" t="n"/>
      <c r="E2829" s="68" t="n"/>
      <c r="F2829" s="47">
        <f>IF(A2829="","",IF(MIN(H2829,MAX(J2829:K2829))=0,"",MIN(H2829,MAX(J2829:K2829))))</f>
        <v/>
      </c>
      <c r="G2829" s="74" t="n"/>
      <c r="H2829" s="49">
        <f>IF(M2829="","",IFERROR(ROUND(AVERAGE(T2829+M2829*{7,8,9,10,11})/1.21,4),""))</f>
        <v/>
      </c>
      <c r="I2829" s="76" t="n"/>
      <c r="J2829" s="77" t="n"/>
      <c r="K2829" s="74" t="n"/>
      <c r="L2829" s="78" t="n"/>
      <c r="M2829" s="77" t="n"/>
      <c r="N2829" s="53">
        <f>IF(M2829="","",IFERROR(M2829/I2829,""))</f>
        <v/>
      </c>
      <c r="O2829" s="50">
        <f>IF(A2829="","",IFERROR((IF(G2829="",I2829,G2829)-T2829)/M2829,""))</f>
        <v/>
      </c>
      <c r="P2829" s="50">
        <f>IFERROR((I2829/T2829-1)/N2829,"")</f>
        <v/>
      </c>
      <c r="Q2829" s="46">
        <f>IF(OR(T2829="",I2829&lt;T2829),"",IFERROR(R2829/IF(G2829="",I2829,G2829)-1,""))</f>
        <v/>
      </c>
      <c r="R2829" s="48">
        <f>IF($M2829="","",MAX(IF($G2829="",$I2829,$G2829)*(1/1.1),IF($G2829="",$I2829,$G2829)+(R$2*$M2829)))</f>
        <v/>
      </c>
      <c r="S2829" s="49">
        <f>IF($M2829="","",MAX(IF($G2829="",$I2829,$G2829)*(1/1.1),IF($G2829="",$I2829,$G2829)+(S$2*$M2829)))</f>
        <v/>
      </c>
      <c r="T2829" s="82" t="n"/>
      <c r="U2829" s="47">
        <f>IF(OR($M2829="",$T2829=""),"",$T2829+(U$2*$M2829))</f>
        <v/>
      </c>
      <c r="V2829" s="48">
        <f>IF(OR($M2829="",$T2829=""),"",$T2829+(V$2*$M2829))</f>
        <v/>
      </c>
      <c r="W2829" s="48">
        <f>IF(OR($M2829="",$T2829=""),"",$T2829+(W$2*$M2829))</f>
        <v/>
      </c>
      <c r="X2829" s="49">
        <f>IF(OR($M2829="",$T2829=""),"",$T2829+(X$2*$M2829))</f>
        <v/>
      </c>
      <c r="Y2829" s="47">
        <f>IF(OR($M2829="",$T2829=""),"",$T2829+(Y$2*$M2829))</f>
        <v/>
      </c>
      <c r="Z2829" s="49">
        <f>IF(OR($M2829="",$T2829=""),"",$T2829+(Z$2*$M2829))</f>
        <v/>
      </c>
      <c r="AA2829" s="51">
        <f>IF(OR($M2829="",$T2829=""),"",$T2829+(AA$2*$M2829))</f>
        <v/>
      </c>
      <c r="AB2829" s="48">
        <f>IF(OR($M2829="",$T2829=""),"",$T2829+(AB$2*$M2829))</f>
        <v/>
      </c>
      <c r="AC2829" s="48">
        <f>IF(OR($M2829="",$T2829=""),"",$T2829+(AC$2*$M2829))</f>
        <v/>
      </c>
      <c r="AD2829" s="48">
        <f>IF(OR($M2829="",$T2829=""),"",$T2829+(AD$2*$M2829))</f>
        <v/>
      </c>
      <c r="AE2829" s="49">
        <f>IF(OR($M2829="",$T2829=""),"",$T2829+(AE$2*$M2829))</f>
        <v/>
      </c>
      <c r="AF2829" s="52">
        <f>IF(OR(T2829="",I2829&lt;T2829),"",IFERROR(AVERAGE(T2829+M2829*{7,8,9,10,11})/IF(G2829="",I2829,G2829)-1,""))</f>
        <v/>
      </c>
      <c r="AG2829" s="55">
        <f>IF(OR(T2829="",I2829&lt;T2829),"",IFERROR(AF2829/-(R2829/IF(G2829="",I2829,G2829)-1),""))</f>
        <v/>
      </c>
      <c r="AH2829" s="94" t="n"/>
      <c r="AI2829" s="94" t="n"/>
      <c r="AJ2829" s="94" t="n"/>
      <c r="AK2829" s="94" t="n"/>
      <c r="AL2829" s="84" t="n"/>
    </row>
    <row r="2830">
      <c r="A2830" s="64" t="n"/>
      <c r="B2830" s="65" t="n"/>
      <c r="C2830" s="66" t="n"/>
      <c r="D2830" s="67" t="n"/>
      <c r="E2830" s="68" t="n"/>
      <c r="F2830" s="47">
        <f>IF(A2830="","",IF(MIN(H2830,MAX(J2830:K2830))=0,"",MIN(H2830,MAX(J2830:K2830))))</f>
        <v/>
      </c>
      <c r="G2830" s="74" t="n"/>
      <c r="H2830" s="49">
        <f>IF(M2830="","",IFERROR(ROUND(AVERAGE(T2830+M2830*{7,8,9,10,11})/1.21,4),""))</f>
        <v/>
      </c>
      <c r="I2830" s="76" t="n"/>
      <c r="J2830" s="77" t="n"/>
      <c r="K2830" s="74" t="n"/>
      <c r="L2830" s="78" t="n"/>
      <c r="M2830" s="77" t="n"/>
      <c r="N2830" s="53">
        <f>IF(M2830="","",IFERROR(M2830/I2830,""))</f>
        <v/>
      </c>
      <c r="O2830" s="50">
        <f>IF(A2830="","",IFERROR((IF(G2830="",I2830,G2830)-T2830)/M2830,""))</f>
        <v/>
      </c>
      <c r="P2830" s="50">
        <f>IFERROR((I2830/T2830-1)/N2830,"")</f>
        <v/>
      </c>
      <c r="Q2830" s="46">
        <f>IF(OR(T2830="",I2830&lt;T2830),"",IFERROR(R2830/IF(G2830="",I2830,G2830)-1,""))</f>
        <v/>
      </c>
      <c r="R2830" s="48">
        <f>IF($M2830="","",MAX(IF($G2830="",$I2830,$G2830)*(1/1.1),IF($G2830="",$I2830,$G2830)+(R$2*$M2830)))</f>
        <v/>
      </c>
      <c r="S2830" s="49">
        <f>IF($M2830="","",MAX(IF($G2830="",$I2830,$G2830)*(1/1.1),IF($G2830="",$I2830,$G2830)+(S$2*$M2830)))</f>
        <v/>
      </c>
      <c r="T2830" s="82" t="n"/>
      <c r="U2830" s="47">
        <f>IF(OR($M2830="",$T2830=""),"",$T2830+(U$2*$M2830))</f>
        <v/>
      </c>
      <c r="V2830" s="48">
        <f>IF(OR($M2830="",$T2830=""),"",$T2830+(V$2*$M2830))</f>
        <v/>
      </c>
      <c r="W2830" s="48">
        <f>IF(OR($M2830="",$T2830=""),"",$T2830+(W$2*$M2830))</f>
        <v/>
      </c>
      <c r="X2830" s="49">
        <f>IF(OR($M2830="",$T2830=""),"",$T2830+(X$2*$M2830))</f>
        <v/>
      </c>
      <c r="Y2830" s="47">
        <f>IF(OR($M2830="",$T2830=""),"",$T2830+(Y$2*$M2830))</f>
        <v/>
      </c>
      <c r="Z2830" s="49">
        <f>IF(OR($M2830="",$T2830=""),"",$T2830+(Z$2*$M2830))</f>
        <v/>
      </c>
      <c r="AA2830" s="51">
        <f>IF(OR($M2830="",$T2830=""),"",$T2830+(AA$2*$M2830))</f>
        <v/>
      </c>
      <c r="AB2830" s="48">
        <f>IF(OR($M2830="",$T2830=""),"",$T2830+(AB$2*$M2830))</f>
        <v/>
      </c>
      <c r="AC2830" s="48">
        <f>IF(OR($M2830="",$T2830=""),"",$T2830+(AC$2*$M2830))</f>
        <v/>
      </c>
      <c r="AD2830" s="48">
        <f>IF(OR($M2830="",$T2830=""),"",$T2830+(AD$2*$M2830))</f>
        <v/>
      </c>
      <c r="AE2830" s="49">
        <f>IF(OR($M2830="",$T2830=""),"",$T2830+(AE$2*$M2830))</f>
        <v/>
      </c>
      <c r="AF2830" s="52">
        <f>IF(OR(T2830="",I2830&lt;T2830),"",IFERROR(AVERAGE(T2830+M2830*{7,8,9,10,11})/IF(G2830="",I2830,G2830)-1,""))</f>
        <v/>
      </c>
      <c r="AG2830" s="55">
        <f>IF(OR(T2830="",I2830&lt;T2830),"",IFERROR(AF2830/-(R2830/IF(G2830="",I2830,G2830)-1),""))</f>
        <v/>
      </c>
      <c r="AH2830" s="94" t="n"/>
      <c r="AI2830" s="94" t="n"/>
      <c r="AJ2830" s="94" t="n"/>
      <c r="AK2830" s="94" t="n"/>
      <c r="AL2830" s="84" t="n"/>
    </row>
    <row r="2831">
      <c r="A2831" s="64" t="n"/>
      <c r="B2831" s="65" t="n"/>
      <c r="C2831" s="66" t="n"/>
      <c r="D2831" s="67" t="n"/>
      <c r="E2831" s="68" t="n"/>
      <c r="F2831" s="47">
        <f>IF(A2831="","",IF(MIN(H2831,MAX(J2831:K2831))=0,"",MIN(H2831,MAX(J2831:K2831))))</f>
        <v/>
      </c>
      <c r="G2831" s="74" t="n"/>
      <c r="H2831" s="49">
        <f>IF(M2831="","",IFERROR(ROUND(AVERAGE(T2831+M2831*{7,8,9,10,11})/1.21,4),""))</f>
        <v/>
      </c>
      <c r="I2831" s="76" t="n"/>
      <c r="J2831" s="77" t="n"/>
      <c r="K2831" s="74" t="n"/>
      <c r="L2831" s="78" t="n"/>
      <c r="M2831" s="77" t="n"/>
      <c r="N2831" s="53">
        <f>IF(M2831="","",IFERROR(M2831/I2831,""))</f>
        <v/>
      </c>
      <c r="O2831" s="50">
        <f>IF(A2831="","",IFERROR((IF(G2831="",I2831,G2831)-T2831)/M2831,""))</f>
        <v/>
      </c>
      <c r="P2831" s="50">
        <f>IFERROR((I2831/T2831-1)/N2831,"")</f>
        <v/>
      </c>
      <c r="Q2831" s="46">
        <f>IF(OR(T2831="",I2831&lt;T2831),"",IFERROR(R2831/IF(G2831="",I2831,G2831)-1,""))</f>
        <v/>
      </c>
      <c r="R2831" s="48">
        <f>IF($M2831="","",MAX(IF($G2831="",$I2831,$G2831)*(1/1.1),IF($G2831="",$I2831,$G2831)+(R$2*$M2831)))</f>
        <v/>
      </c>
      <c r="S2831" s="49">
        <f>IF($M2831="","",MAX(IF($G2831="",$I2831,$G2831)*(1/1.1),IF($G2831="",$I2831,$G2831)+(S$2*$M2831)))</f>
        <v/>
      </c>
      <c r="T2831" s="82" t="n"/>
      <c r="U2831" s="47">
        <f>IF(OR($M2831="",$T2831=""),"",$T2831+(U$2*$M2831))</f>
        <v/>
      </c>
      <c r="V2831" s="48">
        <f>IF(OR($M2831="",$T2831=""),"",$T2831+(V$2*$M2831))</f>
        <v/>
      </c>
      <c r="W2831" s="48">
        <f>IF(OR($M2831="",$T2831=""),"",$T2831+(W$2*$M2831))</f>
        <v/>
      </c>
      <c r="X2831" s="49">
        <f>IF(OR($M2831="",$T2831=""),"",$T2831+(X$2*$M2831))</f>
        <v/>
      </c>
      <c r="Y2831" s="47">
        <f>IF(OR($M2831="",$T2831=""),"",$T2831+(Y$2*$M2831))</f>
        <v/>
      </c>
      <c r="Z2831" s="49">
        <f>IF(OR($M2831="",$T2831=""),"",$T2831+(Z$2*$M2831))</f>
        <v/>
      </c>
      <c r="AA2831" s="51">
        <f>IF(OR($M2831="",$T2831=""),"",$T2831+(AA$2*$M2831))</f>
        <v/>
      </c>
      <c r="AB2831" s="48">
        <f>IF(OR($M2831="",$T2831=""),"",$T2831+(AB$2*$M2831))</f>
        <v/>
      </c>
      <c r="AC2831" s="48">
        <f>IF(OR($M2831="",$T2831=""),"",$T2831+(AC$2*$M2831))</f>
        <v/>
      </c>
      <c r="AD2831" s="48">
        <f>IF(OR($M2831="",$T2831=""),"",$T2831+(AD$2*$M2831))</f>
        <v/>
      </c>
      <c r="AE2831" s="49">
        <f>IF(OR($M2831="",$T2831=""),"",$T2831+(AE$2*$M2831))</f>
        <v/>
      </c>
      <c r="AF2831" s="52">
        <f>IF(OR(T2831="",I2831&lt;T2831),"",IFERROR(AVERAGE(T2831+M2831*{7,8,9,10,11})/IF(G2831="",I2831,G2831)-1,""))</f>
        <v/>
      </c>
      <c r="AG2831" s="55">
        <f>IF(OR(T2831="",I2831&lt;T2831),"",IFERROR(AF2831/-(R2831/IF(G2831="",I2831,G2831)-1),""))</f>
        <v/>
      </c>
      <c r="AH2831" s="94" t="n"/>
      <c r="AI2831" s="94" t="n"/>
      <c r="AJ2831" s="94" t="n"/>
      <c r="AK2831" s="94" t="n"/>
      <c r="AL2831" s="84" t="n"/>
    </row>
    <row r="2832">
      <c r="A2832" s="64" t="n"/>
      <c r="B2832" s="65" t="n"/>
      <c r="C2832" s="66" t="n"/>
      <c r="D2832" s="67" t="n"/>
      <c r="E2832" s="68" t="n"/>
      <c r="F2832" s="47">
        <f>IF(A2832="","",IF(MIN(H2832,MAX(J2832:K2832))=0,"",MIN(H2832,MAX(J2832:K2832))))</f>
        <v/>
      </c>
      <c r="G2832" s="74" t="n"/>
      <c r="H2832" s="49">
        <f>IF(M2832="","",IFERROR(ROUND(AVERAGE(T2832+M2832*{7,8,9,10,11})/1.21,4),""))</f>
        <v/>
      </c>
      <c r="I2832" s="76" t="n"/>
      <c r="J2832" s="77" t="n"/>
      <c r="K2832" s="74" t="n"/>
      <c r="L2832" s="78" t="n"/>
      <c r="M2832" s="77" t="n"/>
      <c r="N2832" s="53">
        <f>IF(M2832="","",IFERROR(M2832/I2832,""))</f>
        <v/>
      </c>
      <c r="O2832" s="50">
        <f>IF(A2832="","",IFERROR((IF(G2832="",I2832,G2832)-T2832)/M2832,""))</f>
        <v/>
      </c>
      <c r="P2832" s="50">
        <f>IFERROR((I2832/T2832-1)/N2832,"")</f>
        <v/>
      </c>
      <c r="Q2832" s="46">
        <f>IF(OR(T2832="",I2832&lt;T2832),"",IFERROR(R2832/IF(G2832="",I2832,G2832)-1,""))</f>
        <v/>
      </c>
      <c r="R2832" s="48">
        <f>IF($M2832="","",MAX(IF($G2832="",$I2832,$G2832)*(1/1.1),IF($G2832="",$I2832,$G2832)+(R$2*$M2832)))</f>
        <v/>
      </c>
      <c r="S2832" s="49">
        <f>IF($M2832="","",MAX(IF($G2832="",$I2832,$G2832)*(1/1.1),IF($G2832="",$I2832,$G2832)+(S$2*$M2832)))</f>
        <v/>
      </c>
      <c r="T2832" s="82" t="n"/>
      <c r="U2832" s="47">
        <f>IF(OR($M2832="",$T2832=""),"",$T2832+(U$2*$M2832))</f>
        <v/>
      </c>
      <c r="V2832" s="48">
        <f>IF(OR($M2832="",$T2832=""),"",$T2832+(V$2*$M2832))</f>
        <v/>
      </c>
      <c r="W2832" s="48">
        <f>IF(OR($M2832="",$T2832=""),"",$T2832+(W$2*$M2832))</f>
        <v/>
      </c>
      <c r="X2832" s="49">
        <f>IF(OR($M2832="",$T2832=""),"",$T2832+(X$2*$M2832))</f>
        <v/>
      </c>
      <c r="Y2832" s="47">
        <f>IF(OR($M2832="",$T2832=""),"",$T2832+(Y$2*$M2832))</f>
        <v/>
      </c>
      <c r="Z2832" s="49">
        <f>IF(OR($M2832="",$T2832=""),"",$T2832+(Z$2*$M2832))</f>
        <v/>
      </c>
      <c r="AA2832" s="51">
        <f>IF(OR($M2832="",$T2832=""),"",$T2832+(AA$2*$M2832))</f>
        <v/>
      </c>
      <c r="AB2832" s="48">
        <f>IF(OR($M2832="",$T2832=""),"",$T2832+(AB$2*$M2832))</f>
        <v/>
      </c>
      <c r="AC2832" s="48">
        <f>IF(OR($M2832="",$T2832=""),"",$T2832+(AC$2*$M2832))</f>
        <v/>
      </c>
      <c r="AD2832" s="48">
        <f>IF(OR($M2832="",$T2832=""),"",$T2832+(AD$2*$M2832))</f>
        <v/>
      </c>
      <c r="AE2832" s="49">
        <f>IF(OR($M2832="",$T2832=""),"",$T2832+(AE$2*$M2832))</f>
        <v/>
      </c>
      <c r="AF2832" s="52">
        <f>IF(OR(T2832="",I2832&lt;T2832),"",IFERROR(AVERAGE(T2832+M2832*{7,8,9,10,11})/IF(G2832="",I2832,G2832)-1,""))</f>
        <v/>
      </c>
      <c r="AG2832" s="55">
        <f>IF(OR(T2832="",I2832&lt;T2832),"",IFERROR(AF2832/-(R2832/IF(G2832="",I2832,G2832)-1),""))</f>
        <v/>
      </c>
      <c r="AH2832" s="94" t="n"/>
      <c r="AI2832" s="94" t="n"/>
      <c r="AJ2832" s="94" t="n"/>
      <c r="AK2832" s="94" t="n"/>
      <c r="AL2832" s="84" t="n"/>
    </row>
    <row r="2833">
      <c r="A2833" s="64" t="n"/>
      <c r="B2833" s="65" t="n"/>
      <c r="C2833" s="66" t="n"/>
      <c r="D2833" s="67" t="n"/>
      <c r="E2833" s="68" t="n"/>
      <c r="F2833" s="47">
        <f>IF(A2833="","",IF(MIN(H2833,MAX(J2833:K2833))=0,"",MIN(H2833,MAX(J2833:K2833))))</f>
        <v/>
      </c>
      <c r="G2833" s="74" t="n"/>
      <c r="H2833" s="49">
        <f>IF(M2833="","",IFERROR(ROUND(AVERAGE(T2833+M2833*{7,8,9,10,11})/1.21,4),""))</f>
        <v/>
      </c>
      <c r="I2833" s="76" t="n"/>
      <c r="J2833" s="77" t="n"/>
      <c r="K2833" s="74" t="n"/>
      <c r="L2833" s="78" t="n"/>
      <c r="M2833" s="77" t="n"/>
      <c r="N2833" s="53">
        <f>IF(M2833="","",IFERROR(M2833/I2833,""))</f>
        <v/>
      </c>
      <c r="O2833" s="50">
        <f>IF(A2833="","",IFERROR((IF(G2833="",I2833,G2833)-T2833)/M2833,""))</f>
        <v/>
      </c>
      <c r="P2833" s="50">
        <f>IFERROR((I2833/T2833-1)/N2833,"")</f>
        <v/>
      </c>
      <c r="Q2833" s="46">
        <f>IF(OR(T2833="",I2833&lt;T2833),"",IFERROR(R2833/IF(G2833="",I2833,G2833)-1,""))</f>
        <v/>
      </c>
      <c r="R2833" s="48">
        <f>IF($M2833="","",MAX(IF($G2833="",$I2833,$G2833)*(1/1.1),IF($G2833="",$I2833,$G2833)+(R$2*$M2833)))</f>
        <v/>
      </c>
      <c r="S2833" s="49">
        <f>IF($M2833="","",MAX(IF($G2833="",$I2833,$G2833)*(1/1.1),IF($G2833="",$I2833,$G2833)+(S$2*$M2833)))</f>
        <v/>
      </c>
      <c r="T2833" s="82" t="n"/>
      <c r="U2833" s="47">
        <f>IF(OR($M2833="",$T2833=""),"",$T2833+(U$2*$M2833))</f>
        <v/>
      </c>
      <c r="V2833" s="48">
        <f>IF(OR($M2833="",$T2833=""),"",$T2833+(V$2*$M2833))</f>
        <v/>
      </c>
      <c r="W2833" s="48">
        <f>IF(OR($M2833="",$T2833=""),"",$T2833+(W$2*$M2833))</f>
        <v/>
      </c>
      <c r="X2833" s="49">
        <f>IF(OR($M2833="",$T2833=""),"",$T2833+(X$2*$M2833))</f>
        <v/>
      </c>
      <c r="Y2833" s="47">
        <f>IF(OR($M2833="",$T2833=""),"",$T2833+(Y$2*$M2833))</f>
        <v/>
      </c>
      <c r="Z2833" s="49">
        <f>IF(OR($M2833="",$T2833=""),"",$T2833+(Z$2*$M2833))</f>
        <v/>
      </c>
      <c r="AA2833" s="51">
        <f>IF(OR($M2833="",$T2833=""),"",$T2833+(AA$2*$M2833))</f>
        <v/>
      </c>
      <c r="AB2833" s="48">
        <f>IF(OR($M2833="",$T2833=""),"",$T2833+(AB$2*$M2833))</f>
        <v/>
      </c>
      <c r="AC2833" s="48">
        <f>IF(OR($M2833="",$T2833=""),"",$T2833+(AC$2*$M2833))</f>
        <v/>
      </c>
      <c r="AD2833" s="48">
        <f>IF(OR($M2833="",$T2833=""),"",$T2833+(AD$2*$M2833))</f>
        <v/>
      </c>
      <c r="AE2833" s="49">
        <f>IF(OR($M2833="",$T2833=""),"",$T2833+(AE$2*$M2833))</f>
        <v/>
      </c>
      <c r="AF2833" s="52">
        <f>IF(OR(T2833="",I2833&lt;T2833),"",IFERROR(AVERAGE(T2833+M2833*{7,8,9,10,11})/IF(G2833="",I2833,G2833)-1,""))</f>
        <v/>
      </c>
      <c r="AG2833" s="55">
        <f>IF(OR(T2833="",I2833&lt;T2833),"",IFERROR(AF2833/-(R2833/IF(G2833="",I2833,G2833)-1),""))</f>
        <v/>
      </c>
      <c r="AH2833" s="94" t="n"/>
      <c r="AI2833" s="94" t="n"/>
      <c r="AJ2833" s="94" t="n"/>
      <c r="AK2833" s="94" t="n"/>
      <c r="AL2833" s="84" t="n"/>
    </row>
    <row r="2834">
      <c r="A2834" s="64" t="n"/>
      <c r="B2834" s="65" t="n"/>
      <c r="C2834" s="66" t="n"/>
      <c r="D2834" s="67" t="n"/>
      <c r="E2834" s="68" t="n"/>
      <c r="F2834" s="47">
        <f>IF(A2834="","",IF(MIN(H2834,MAX(J2834:K2834))=0,"",MIN(H2834,MAX(J2834:K2834))))</f>
        <v/>
      </c>
      <c r="G2834" s="74" t="n"/>
      <c r="H2834" s="49">
        <f>IF(M2834="","",IFERROR(ROUND(AVERAGE(T2834+M2834*{7,8,9,10,11})/1.21,4),""))</f>
        <v/>
      </c>
      <c r="I2834" s="76" t="n"/>
      <c r="J2834" s="77" t="n"/>
      <c r="K2834" s="74" t="n"/>
      <c r="L2834" s="78" t="n"/>
      <c r="M2834" s="77" t="n"/>
      <c r="N2834" s="53">
        <f>IF(M2834="","",IFERROR(M2834/I2834,""))</f>
        <v/>
      </c>
      <c r="O2834" s="50">
        <f>IF(A2834="","",IFERROR((IF(G2834="",I2834,G2834)-T2834)/M2834,""))</f>
        <v/>
      </c>
      <c r="P2834" s="50">
        <f>IFERROR((I2834/T2834-1)/N2834,"")</f>
        <v/>
      </c>
      <c r="Q2834" s="46">
        <f>IF(OR(T2834="",I2834&lt;T2834),"",IFERROR(R2834/IF(G2834="",I2834,G2834)-1,""))</f>
        <v/>
      </c>
      <c r="R2834" s="48">
        <f>IF($M2834="","",MAX(IF($G2834="",$I2834,$G2834)*(1/1.1),IF($G2834="",$I2834,$G2834)+(R$2*$M2834)))</f>
        <v/>
      </c>
      <c r="S2834" s="49">
        <f>IF($M2834="","",MAX(IF($G2834="",$I2834,$G2834)*(1/1.1),IF($G2834="",$I2834,$G2834)+(S$2*$M2834)))</f>
        <v/>
      </c>
      <c r="T2834" s="82" t="n"/>
      <c r="U2834" s="47">
        <f>IF(OR($M2834="",$T2834=""),"",$T2834+(U$2*$M2834))</f>
        <v/>
      </c>
      <c r="V2834" s="48">
        <f>IF(OR($M2834="",$T2834=""),"",$T2834+(V$2*$M2834))</f>
        <v/>
      </c>
      <c r="W2834" s="48">
        <f>IF(OR($M2834="",$T2834=""),"",$T2834+(W$2*$M2834))</f>
        <v/>
      </c>
      <c r="X2834" s="49">
        <f>IF(OR($M2834="",$T2834=""),"",$T2834+(X$2*$M2834))</f>
        <v/>
      </c>
      <c r="Y2834" s="47">
        <f>IF(OR($M2834="",$T2834=""),"",$T2834+(Y$2*$M2834))</f>
        <v/>
      </c>
      <c r="Z2834" s="49">
        <f>IF(OR($M2834="",$T2834=""),"",$T2834+(Z$2*$M2834))</f>
        <v/>
      </c>
      <c r="AA2834" s="51">
        <f>IF(OR($M2834="",$T2834=""),"",$T2834+(AA$2*$M2834))</f>
        <v/>
      </c>
      <c r="AB2834" s="48">
        <f>IF(OR($M2834="",$T2834=""),"",$T2834+(AB$2*$M2834))</f>
        <v/>
      </c>
      <c r="AC2834" s="48">
        <f>IF(OR($M2834="",$T2834=""),"",$T2834+(AC$2*$M2834))</f>
        <v/>
      </c>
      <c r="AD2834" s="48">
        <f>IF(OR($M2834="",$T2834=""),"",$T2834+(AD$2*$M2834))</f>
        <v/>
      </c>
      <c r="AE2834" s="49">
        <f>IF(OR($M2834="",$T2834=""),"",$T2834+(AE$2*$M2834))</f>
        <v/>
      </c>
      <c r="AF2834" s="52">
        <f>IF(OR(T2834="",I2834&lt;T2834),"",IFERROR(AVERAGE(T2834+M2834*{7,8,9,10,11})/IF(G2834="",I2834,G2834)-1,""))</f>
        <v/>
      </c>
      <c r="AG2834" s="55">
        <f>IF(OR(T2834="",I2834&lt;T2834),"",IFERROR(AF2834/-(R2834/IF(G2834="",I2834,G2834)-1),""))</f>
        <v/>
      </c>
      <c r="AH2834" s="94" t="n"/>
      <c r="AI2834" s="94" t="n"/>
      <c r="AJ2834" s="94" t="n"/>
      <c r="AK2834" s="94" t="n"/>
      <c r="AL2834" s="84" t="n"/>
    </row>
    <row r="2835">
      <c r="A2835" s="64" t="n"/>
      <c r="B2835" s="65" t="n"/>
      <c r="C2835" s="66" t="n"/>
      <c r="D2835" s="67" t="n"/>
      <c r="E2835" s="68" t="n"/>
      <c r="F2835" s="47">
        <f>IF(A2835="","",IF(MIN(H2835,MAX(J2835:K2835))=0,"",MIN(H2835,MAX(J2835:K2835))))</f>
        <v/>
      </c>
      <c r="G2835" s="74" t="n"/>
      <c r="H2835" s="49">
        <f>IF(M2835="","",IFERROR(ROUND(AVERAGE(T2835+M2835*{7,8,9,10,11})/1.21,4),""))</f>
        <v/>
      </c>
      <c r="I2835" s="76" t="n"/>
      <c r="J2835" s="77" t="n"/>
      <c r="K2835" s="74" t="n"/>
      <c r="L2835" s="78" t="n"/>
      <c r="M2835" s="77" t="n"/>
      <c r="N2835" s="53">
        <f>IF(M2835="","",IFERROR(M2835/I2835,""))</f>
        <v/>
      </c>
      <c r="O2835" s="50">
        <f>IF(A2835="","",IFERROR((IF(G2835="",I2835,G2835)-T2835)/M2835,""))</f>
        <v/>
      </c>
      <c r="P2835" s="50">
        <f>IFERROR((I2835/T2835-1)/N2835,"")</f>
        <v/>
      </c>
      <c r="Q2835" s="46">
        <f>IF(OR(T2835="",I2835&lt;T2835),"",IFERROR(R2835/IF(G2835="",I2835,G2835)-1,""))</f>
        <v/>
      </c>
      <c r="R2835" s="48">
        <f>IF($M2835="","",MAX(IF($G2835="",$I2835,$G2835)*(1/1.1),IF($G2835="",$I2835,$G2835)+(R$2*$M2835)))</f>
        <v/>
      </c>
      <c r="S2835" s="49">
        <f>IF($M2835="","",MAX(IF($G2835="",$I2835,$G2835)*(1/1.1),IF($G2835="",$I2835,$G2835)+(S$2*$M2835)))</f>
        <v/>
      </c>
      <c r="T2835" s="82" t="n"/>
      <c r="U2835" s="47">
        <f>IF(OR($M2835="",$T2835=""),"",$T2835+(U$2*$M2835))</f>
        <v/>
      </c>
      <c r="V2835" s="48">
        <f>IF(OR($M2835="",$T2835=""),"",$T2835+(V$2*$M2835))</f>
        <v/>
      </c>
      <c r="W2835" s="48">
        <f>IF(OR($M2835="",$T2835=""),"",$T2835+(W$2*$M2835))</f>
        <v/>
      </c>
      <c r="X2835" s="49">
        <f>IF(OR($M2835="",$T2835=""),"",$T2835+(X$2*$M2835))</f>
        <v/>
      </c>
      <c r="Y2835" s="47">
        <f>IF(OR($M2835="",$T2835=""),"",$T2835+(Y$2*$M2835))</f>
        <v/>
      </c>
      <c r="Z2835" s="49">
        <f>IF(OR($M2835="",$T2835=""),"",$T2835+(Z$2*$M2835))</f>
        <v/>
      </c>
      <c r="AA2835" s="51">
        <f>IF(OR($M2835="",$T2835=""),"",$T2835+(AA$2*$M2835))</f>
        <v/>
      </c>
      <c r="AB2835" s="48">
        <f>IF(OR($M2835="",$T2835=""),"",$T2835+(AB$2*$M2835))</f>
        <v/>
      </c>
      <c r="AC2835" s="48">
        <f>IF(OR($M2835="",$T2835=""),"",$T2835+(AC$2*$M2835))</f>
        <v/>
      </c>
      <c r="AD2835" s="48">
        <f>IF(OR($M2835="",$T2835=""),"",$T2835+(AD$2*$M2835))</f>
        <v/>
      </c>
      <c r="AE2835" s="49">
        <f>IF(OR($M2835="",$T2835=""),"",$T2835+(AE$2*$M2835))</f>
        <v/>
      </c>
      <c r="AF2835" s="52">
        <f>IF(OR(T2835="",I2835&lt;T2835),"",IFERROR(AVERAGE(T2835+M2835*{7,8,9,10,11})/IF(G2835="",I2835,G2835)-1,""))</f>
        <v/>
      </c>
      <c r="AG2835" s="55">
        <f>IF(OR(T2835="",I2835&lt;T2835),"",IFERROR(AF2835/-(R2835/IF(G2835="",I2835,G2835)-1),""))</f>
        <v/>
      </c>
      <c r="AH2835" s="94" t="n"/>
      <c r="AI2835" s="94" t="n"/>
      <c r="AJ2835" s="94" t="n"/>
      <c r="AK2835" s="94" t="n"/>
      <c r="AL2835" s="84" t="n"/>
    </row>
    <row r="2836">
      <c r="A2836" s="64" t="n"/>
      <c r="B2836" s="65" t="n"/>
      <c r="C2836" s="66" t="n"/>
      <c r="D2836" s="67" t="n"/>
      <c r="E2836" s="68" t="n"/>
      <c r="F2836" s="47">
        <f>IF(A2836="","",IF(MIN(H2836,MAX(J2836:K2836))=0,"",MIN(H2836,MAX(J2836:K2836))))</f>
        <v/>
      </c>
      <c r="G2836" s="74" t="n"/>
      <c r="H2836" s="49">
        <f>IF(M2836="","",IFERROR(ROUND(AVERAGE(T2836+M2836*{7,8,9,10,11})/1.21,4),""))</f>
        <v/>
      </c>
      <c r="I2836" s="76" t="n"/>
      <c r="J2836" s="77" t="n"/>
      <c r="K2836" s="74" t="n"/>
      <c r="L2836" s="78" t="n"/>
      <c r="M2836" s="77" t="n"/>
      <c r="N2836" s="53">
        <f>IF(M2836="","",IFERROR(M2836/I2836,""))</f>
        <v/>
      </c>
      <c r="O2836" s="50">
        <f>IF(A2836="","",IFERROR((IF(G2836="",I2836,G2836)-T2836)/M2836,""))</f>
        <v/>
      </c>
      <c r="P2836" s="50">
        <f>IFERROR((I2836/T2836-1)/N2836,"")</f>
        <v/>
      </c>
      <c r="Q2836" s="46">
        <f>IF(OR(T2836="",I2836&lt;T2836),"",IFERROR(R2836/IF(G2836="",I2836,G2836)-1,""))</f>
        <v/>
      </c>
      <c r="R2836" s="48">
        <f>IF($M2836="","",MAX(IF($G2836="",$I2836,$G2836)*(1/1.1),IF($G2836="",$I2836,$G2836)+(R$2*$M2836)))</f>
        <v/>
      </c>
      <c r="S2836" s="49">
        <f>IF($M2836="","",MAX(IF($G2836="",$I2836,$G2836)*(1/1.1),IF($G2836="",$I2836,$G2836)+(S$2*$M2836)))</f>
        <v/>
      </c>
      <c r="T2836" s="82" t="n"/>
      <c r="U2836" s="47">
        <f>IF(OR($M2836="",$T2836=""),"",$T2836+(U$2*$M2836))</f>
        <v/>
      </c>
      <c r="V2836" s="48">
        <f>IF(OR($M2836="",$T2836=""),"",$T2836+(V$2*$M2836))</f>
        <v/>
      </c>
      <c r="W2836" s="48">
        <f>IF(OR($M2836="",$T2836=""),"",$T2836+(W$2*$M2836))</f>
        <v/>
      </c>
      <c r="X2836" s="49">
        <f>IF(OR($M2836="",$T2836=""),"",$T2836+(X$2*$M2836))</f>
        <v/>
      </c>
      <c r="Y2836" s="47">
        <f>IF(OR($M2836="",$T2836=""),"",$T2836+(Y$2*$M2836))</f>
        <v/>
      </c>
      <c r="Z2836" s="49">
        <f>IF(OR($M2836="",$T2836=""),"",$T2836+(Z$2*$M2836))</f>
        <v/>
      </c>
      <c r="AA2836" s="51">
        <f>IF(OR($M2836="",$T2836=""),"",$T2836+(AA$2*$M2836))</f>
        <v/>
      </c>
      <c r="AB2836" s="48">
        <f>IF(OR($M2836="",$T2836=""),"",$T2836+(AB$2*$M2836))</f>
        <v/>
      </c>
      <c r="AC2836" s="48">
        <f>IF(OR($M2836="",$T2836=""),"",$T2836+(AC$2*$M2836))</f>
        <v/>
      </c>
      <c r="AD2836" s="48">
        <f>IF(OR($M2836="",$T2836=""),"",$T2836+(AD$2*$M2836))</f>
        <v/>
      </c>
      <c r="AE2836" s="49">
        <f>IF(OR($M2836="",$T2836=""),"",$T2836+(AE$2*$M2836))</f>
        <v/>
      </c>
      <c r="AF2836" s="52">
        <f>IF(OR(T2836="",I2836&lt;T2836),"",IFERROR(AVERAGE(T2836+M2836*{7,8,9,10,11})/IF(G2836="",I2836,G2836)-1,""))</f>
        <v/>
      </c>
      <c r="AG2836" s="55">
        <f>IF(OR(T2836="",I2836&lt;T2836),"",IFERROR(AF2836/-(R2836/IF(G2836="",I2836,G2836)-1),""))</f>
        <v/>
      </c>
      <c r="AH2836" s="94" t="n"/>
      <c r="AI2836" s="94" t="n"/>
      <c r="AJ2836" s="94" t="n"/>
      <c r="AK2836" s="94" t="n"/>
      <c r="AL2836" s="84" t="n"/>
    </row>
    <row r="2837">
      <c r="A2837" s="64" t="n"/>
      <c r="B2837" s="65" t="n"/>
      <c r="C2837" s="66" t="n"/>
      <c r="D2837" s="67" t="n"/>
      <c r="E2837" s="68" t="n"/>
      <c r="F2837" s="47">
        <f>IF(A2837="","",IF(MIN(H2837,MAX(J2837:K2837))=0,"",MIN(H2837,MAX(J2837:K2837))))</f>
        <v/>
      </c>
      <c r="G2837" s="74" t="n"/>
      <c r="H2837" s="49">
        <f>IF(M2837="","",IFERROR(ROUND(AVERAGE(T2837+M2837*{7,8,9,10,11})/1.21,4),""))</f>
        <v/>
      </c>
      <c r="I2837" s="76" t="n"/>
      <c r="J2837" s="77" t="n"/>
      <c r="K2837" s="74" t="n"/>
      <c r="L2837" s="78" t="n"/>
      <c r="M2837" s="77" t="n"/>
      <c r="N2837" s="53">
        <f>IF(M2837="","",IFERROR(M2837/I2837,""))</f>
        <v/>
      </c>
      <c r="O2837" s="50">
        <f>IF(A2837="","",IFERROR((IF(G2837="",I2837,G2837)-T2837)/M2837,""))</f>
        <v/>
      </c>
      <c r="P2837" s="50">
        <f>IFERROR((I2837/T2837-1)/N2837,"")</f>
        <v/>
      </c>
      <c r="Q2837" s="46">
        <f>IF(OR(T2837="",I2837&lt;T2837),"",IFERROR(R2837/IF(G2837="",I2837,G2837)-1,""))</f>
        <v/>
      </c>
      <c r="R2837" s="48">
        <f>IF($M2837="","",MAX(IF($G2837="",$I2837,$G2837)*(1/1.1),IF($G2837="",$I2837,$G2837)+(R$2*$M2837)))</f>
        <v/>
      </c>
      <c r="S2837" s="49">
        <f>IF($M2837="","",MAX(IF($G2837="",$I2837,$G2837)*(1/1.1),IF($G2837="",$I2837,$G2837)+(S$2*$M2837)))</f>
        <v/>
      </c>
      <c r="T2837" s="82" t="n"/>
      <c r="U2837" s="47">
        <f>IF(OR($M2837="",$T2837=""),"",$T2837+(U$2*$M2837))</f>
        <v/>
      </c>
      <c r="V2837" s="48">
        <f>IF(OR($M2837="",$T2837=""),"",$T2837+(V$2*$M2837))</f>
        <v/>
      </c>
      <c r="W2837" s="48">
        <f>IF(OR($M2837="",$T2837=""),"",$T2837+(W$2*$M2837))</f>
        <v/>
      </c>
      <c r="X2837" s="49">
        <f>IF(OR($M2837="",$T2837=""),"",$T2837+(X$2*$M2837))</f>
        <v/>
      </c>
      <c r="Y2837" s="47">
        <f>IF(OR($M2837="",$T2837=""),"",$T2837+(Y$2*$M2837))</f>
        <v/>
      </c>
      <c r="Z2837" s="49">
        <f>IF(OR($M2837="",$T2837=""),"",$T2837+(Z$2*$M2837))</f>
        <v/>
      </c>
      <c r="AA2837" s="51">
        <f>IF(OR($M2837="",$T2837=""),"",$T2837+(AA$2*$M2837))</f>
        <v/>
      </c>
      <c r="AB2837" s="48">
        <f>IF(OR($M2837="",$T2837=""),"",$T2837+(AB$2*$M2837))</f>
        <v/>
      </c>
      <c r="AC2837" s="48">
        <f>IF(OR($M2837="",$T2837=""),"",$T2837+(AC$2*$M2837))</f>
        <v/>
      </c>
      <c r="AD2837" s="48">
        <f>IF(OR($M2837="",$T2837=""),"",$T2837+(AD$2*$M2837))</f>
        <v/>
      </c>
      <c r="AE2837" s="49">
        <f>IF(OR($M2837="",$T2837=""),"",$T2837+(AE$2*$M2837))</f>
        <v/>
      </c>
      <c r="AF2837" s="52">
        <f>IF(OR(T2837="",I2837&lt;T2837),"",IFERROR(AVERAGE(T2837+M2837*{7,8,9,10,11})/IF(G2837="",I2837,G2837)-1,""))</f>
        <v/>
      </c>
      <c r="AG2837" s="55">
        <f>IF(OR(T2837="",I2837&lt;T2837),"",IFERROR(AF2837/-(R2837/IF(G2837="",I2837,G2837)-1),""))</f>
        <v/>
      </c>
      <c r="AH2837" s="94" t="n"/>
      <c r="AI2837" s="94" t="n"/>
      <c r="AJ2837" s="94" t="n"/>
      <c r="AK2837" s="94" t="n"/>
      <c r="AL2837" s="84" t="n"/>
    </row>
    <row r="2838">
      <c r="A2838" s="64" t="n"/>
      <c r="B2838" s="65" t="n"/>
      <c r="C2838" s="66" t="n"/>
      <c r="D2838" s="67" t="n"/>
      <c r="E2838" s="68" t="n"/>
      <c r="F2838" s="47">
        <f>IF(A2838="","",IF(MIN(H2838,MAX(J2838:K2838))=0,"",MIN(H2838,MAX(J2838:K2838))))</f>
        <v/>
      </c>
      <c r="G2838" s="74" t="n"/>
      <c r="H2838" s="49">
        <f>IF(M2838="","",IFERROR(ROUND(AVERAGE(T2838+M2838*{7,8,9,10,11})/1.21,4),""))</f>
        <v/>
      </c>
      <c r="I2838" s="76" t="n"/>
      <c r="J2838" s="77" t="n"/>
      <c r="K2838" s="74" t="n"/>
      <c r="L2838" s="78" t="n"/>
      <c r="M2838" s="77" t="n"/>
      <c r="N2838" s="53">
        <f>IF(M2838="","",IFERROR(M2838/I2838,""))</f>
        <v/>
      </c>
      <c r="O2838" s="50">
        <f>IF(A2838="","",IFERROR((IF(G2838="",I2838,G2838)-T2838)/M2838,""))</f>
        <v/>
      </c>
      <c r="P2838" s="50">
        <f>IFERROR((I2838/T2838-1)/N2838,"")</f>
        <v/>
      </c>
      <c r="Q2838" s="46">
        <f>IF(OR(T2838="",I2838&lt;T2838),"",IFERROR(R2838/IF(G2838="",I2838,G2838)-1,""))</f>
        <v/>
      </c>
      <c r="R2838" s="48">
        <f>IF($M2838="","",MAX(IF($G2838="",$I2838,$G2838)*(1/1.1),IF($G2838="",$I2838,$G2838)+(R$2*$M2838)))</f>
        <v/>
      </c>
      <c r="S2838" s="49">
        <f>IF($M2838="","",MAX(IF($G2838="",$I2838,$G2838)*(1/1.1),IF($G2838="",$I2838,$G2838)+(S$2*$M2838)))</f>
        <v/>
      </c>
      <c r="T2838" s="82" t="n"/>
      <c r="U2838" s="47">
        <f>IF(OR($M2838="",$T2838=""),"",$T2838+(U$2*$M2838))</f>
        <v/>
      </c>
      <c r="V2838" s="48">
        <f>IF(OR($M2838="",$T2838=""),"",$T2838+(V$2*$M2838))</f>
        <v/>
      </c>
      <c r="W2838" s="48">
        <f>IF(OR($M2838="",$T2838=""),"",$T2838+(W$2*$M2838))</f>
        <v/>
      </c>
      <c r="X2838" s="49">
        <f>IF(OR($M2838="",$T2838=""),"",$T2838+(X$2*$M2838))</f>
        <v/>
      </c>
      <c r="Y2838" s="47">
        <f>IF(OR($M2838="",$T2838=""),"",$T2838+(Y$2*$M2838))</f>
        <v/>
      </c>
      <c r="Z2838" s="49">
        <f>IF(OR($M2838="",$T2838=""),"",$T2838+(Z$2*$M2838))</f>
        <v/>
      </c>
      <c r="AA2838" s="51">
        <f>IF(OR($M2838="",$T2838=""),"",$T2838+(AA$2*$M2838))</f>
        <v/>
      </c>
      <c r="AB2838" s="48">
        <f>IF(OR($M2838="",$T2838=""),"",$T2838+(AB$2*$M2838))</f>
        <v/>
      </c>
      <c r="AC2838" s="48">
        <f>IF(OR($M2838="",$T2838=""),"",$T2838+(AC$2*$M2838))</f>
        <v/>
      </c>
      <c r="AD2838" s="48">
        <f>IF(OR($M2838="",$T2838=""),"",$T2838+(AD$2*$M2838))</f>
        <v/>
      </c>
      <c r="AE2838" s="49">
        <f>IF(OR($M2838="",$T2838=""),"",$T2838+(AE$2*$M2838))</f>
        <v/>
      </c>
      <c r="AF2838" s="52">
        <f>IF(OR(T2838="",I2838&lt;T2838),"",IFERROR(AVERAGE(T2838+M2838*{7,8,9,10,11})/IF(G2838="",I2838,G2838)-1,""))</f>
        <v/>
      </c>
      <c r="AG2838" s="55">
        <f>IF(OR(T2838="",I2838&lt;T2838),"",IFERROR(AF2838/-(R2838/IF(G2838="",I2838,G2838)-1),""))</f>
        <v/>
      </c>
      <c r="AH2838" s="94" t="n"/>
      <c r="AI2838" s="94" t="n"/>
      <c r="AJ2838" s="94" t="n"/>
      <c r="AK2838" s="94" t="n"/>
      <c r="AL2838" s="84" t="n"/>
    </row>
    <row r="2839">
      <c r="A2839" s="64" t="n"/>
      <c r="B2839" s="65" t="n"/>
      <c r="C2839" s="66" t="n"/>
      <c r="D2839" s="67" t="n"/>
      <c r="E2839" s="68" t="n"/>
      <c r="F2839" s="47">
        <f>IF(A2839="","",IF(MIN(H2839,MAX(J2839:K2839))=0,"",MIN(H2839,MAX(J2839:K2839))))</f>
        <v/>
      </c>
      <c r="G2839" s="74" t="n"/>
      <c r="H2839" s="49">
        <f>IF(M2839="","",IFERROR(ROUND(AVERAGE(T2839+M2839*{7,8,9,10,11})/1.21,4),""))</f>
        <v/>
      </c>
      <c r="I2839" s="76" t="n"/>
      <c r="J2839" s="77" t="n"/>
      <c r="K2839" s="74" t="n"/>
      <c r="L2839" s="78" t="n"/>
      <c r="M2839" s="77" t="n"/>
      <c r="N2839" s="53">
        <f>IF(M2839="","",IFERROR(M2839/I2839,""))</f>
        <v/>
      </c>
      <c r="O2839" s="50">
        <f>IF(A2839="","",IFERROR((IF(G2839="",I2839,G2839)-T2839)/M2839,""))</f>
        <v/>
      </c>
      <c r="P2839" s="50">
        <f>IFERROR((I2839/T2839-1)/N2839,"")</f>
        <v/>
      </c>
      <c r="Q2839" s="46">
        <f>IF(OR(T2839="",I2839&lt;T2839),"",IFERROR(R2839/IF(G2839="",I2839,G2839)-1,""))</f>
        <v/>
      </c>
      <c r="R2839" s="48">
        <f>IF($M2839="","",MAX(IF($G2839="",$I2839,$G2839)*(1/1.1),IF($G2839="",$I2839,$G2839)+(R$2*$M2839)))</f>
        <v/>
      </c>
      <c r="S2839" s="49">
        <f>IF($M2839="","",MAX(IF($G2839="",$I2839,$G2839)*(1/1.1),IF($G2839="",$I2839,$G2839)+(S$2*$M2839)))</f>
        <v/>
      </c>
      <c r="T2839" s="82" t="n"/>
      <c r="U2839" s="47">
        <f>IF(OR($M2839="",$T2839=""),"",$T2839+(U$2*$M2839))</f>
        <v/>
      </c>
      <c r="V2839" s="48">
        <f>IF(OR($M2839="",$T2839=""),"",$T2839+(V$2*$M2839))</f>
        <v/>
      </c>
      <c r="W2839" s="48">
        <f>IF(OR($M2839="",$T2839=""),"",$T2839+(W$2*$M2839))</f>
        <v/>
      </c>
      <c r="X2839" s="49">
        <f>IF(OR($M2839="",$T2839=""),"",$T2839+(X$2*$M2839))</f>
        <v/>
      </c>
      <c r="Y2839" s="47">
        <f>IF(OR($M2839="",$T2839=""),"",$T2839+(Y$2*$M2839))</f>
        <v/>
      </c>
      <c r="Z2839" s="49">
        <f>IF(OR($M2839="",$T2839=""),"",$T2839+(Z$2*$M2839))</f>
        <v/>
      </c>
      <c r="AA2839" s="51">
        <f>IF(OR($M2839="",$T2839=""),"",$T2839+(AA$2*$M2839))</f>
        <v/>
      </c>
      <c r="AB2839" s="48">
        <f>IF(OR($M2839="",$T2839=""),"",$T2839+(AB$2*$M2839))</f>
        <v/>
      </c>
      <c r="AC2839" s="48">
        <f>IF(OR($M2839="",$T2839=""),"",$T2839+(AC$2*$M2839))</f>
        <v/>
      </c>
      <c r="AD2839" s="48">
        <f>IF(OR($M2839="",$T2839=""),"",$T2839+(AD$2*$M2839))</f>
        <v/>
      </c>
      <c r="AE2839" s="49">
        <f>IF(OR($M2839="",$T2839=""),"",$T2839+(AE$2*$M2839))</f>
        <v/>
      </c>
      <c r="AF2839" s="52">
        <f>IF(OR(T2839="",I2839&lt;T2839),"",IFERROR(AVERAGE(T2839+M2839*{7,8,9,10,11})/IF(G2839="",I2839,G2839)-1,""))</f>
        <v/>
      </c>
      <c r="AG2839" s="55">
        <f>IF(OR(T2839="",I2839&lt;T2839),"",IFERROR(AF2839/-(R2839/IF(G2839="",I2839,G2839)-1),""))</f>
        <v/>
      </c>
      <c r="AH2839" s="94" t="n"/>
      <c r="AI2839" s="94" t="n"/>
      <c r="AJ2839" s="94" t="n"/>
      <c r="AK2839" s="94" t="n"/>
      <c r="AL2839" s="84" t="n"/>
    </row>
    <row r="2840">
      <c r="A2840" s="64" t="n"/>
      <c r="B2840" s="65" t="n"/>
      <c r="C2840" s="66" t="n"/>
      <c r="D2840" s="67" t="n"/>
      <c r="E2840" s="68" t="n"/>
      <c r="F2840" s="47">
        <f>IF(A2840="","",IF(MIN(H2840,MAX(J2840:K2840))=0,"",MIN(H2840,MAX(J2840:K2840))))</f>
        <v/>
      </c>
      <c r="G2840" s="74" t="n"/>
      <c r="H2840" s="49">
        <f>IF(M2840="","",IFERROR(ROUND(AVERAGE(T2840+M2840*{7,8,9,10,11})/1.21,4),""))</f>
        <v/>
      </c>
      <c r="I2840" s="76" t="n"/>
      <c r="J2840" s="77" t="n"/>
      <c r="K2840" s="74" t="n"/>
      <c r="L2840" s="78" t="n"/>
      <c r="M2840" s="77" t="n"/>
      <c r="N2840" s="53">
        <f>IF(M2840="","",IFERROR(M2840/I2840,""))</f>
        <v/>
      </c>
      <c r="O2840" s="50">
        <f>IF(A2840="","",IFERROR((IF(G2840="",I2840,G2840)-T2840)/M2840,""))</f>
        <v/>
      </c>
      <c r="P2840" s="50">
        <f>IFERROR((I2840/T2840-1)/N2840,"")</f>
        <v/>
      </c>
      <c r="Q2840" s="46">
        <f>IF(OR(T2840="",I2840&lt;T2840),"",IFERROR(R2840/IF(G2840="",I2840,G2840)-1,""))</f>
        <v/>
      </c>
      <c r="R2840" s="48">
        <f>IF($M2840="","",MAX(IF($G2840="",$I2840,$G2840)*(1/1.1),IF($G2840="",$I2840,$G2840)+(R$2*$M2840)))</f>
        <v/>
      </c>
      <c r="S2840" s="49">
        <f>IF($M2840="","",MAX(IF($G2840="",$I2840,$G2840)*(1/1.1),IF($G2840="",$I2840,$G2840)+(S$2*$M2840)))</f>
        <v/>
      </c>
      <c r="T2840" s="82" t="n"/>
      <c r="U2840" s="47">
        <f>IF(OR($M2840="",$T2840=""),"",$T2840+(U$2*$M2840))</f>
        <v/>
      </c>
      <c r="V2840" s="48">
        <f>IF(OR($M2840="",$T2840=""),"",$T2840+(V$2*$M2840))</f>
        <v/>
      </c>
      <c r="W2840" s="48">
        <f>IF(OR($M2840="",$T2840=""),"",$T2840+(W$2*$M2840))</f>
        <v/>
      </c>
      <c r="X2840" s="49">
        <f>IF(OR($M2840="",$T2840=""),"",$T2840+(X$2*$M2840))</f>
        <v/>
      </c>
      <c r="Y2840" s="47">
        <f>IF(OR($M2840="",$T2840=""),"",$T2840+(Y$2*$M2840))</f>
        <v/>
      </c>
      <c r="Z2840" s="49">
        <f>IF(OR($M2840="",$T2840=""),"",$T2840+(Z$2*$M2840))</f>
        <v/>
      </c>
      <c r="AA2840" s="51">
        <f>IF(OR($M2840="",$T2840=""),"",$T2840+(AA$2*$M2840))</f>
        <v/>
      </c>
      <c r="AB2840" s="48">
        <f>IF(OR($M2840="",$T2840=""),"",$T2840+(AB$2*$M2840))</f>
        <v/>
      </c>
      <c r="AC2840" s="48">
        <f>IF(OR($M2840="",$T2840=""),"",$T2840+(AC$2*$M2840))</f>
        <v/>
      </c>
      <c r="AD2840" s="48">
        <f>IF(OR($M2840="",$T2840=""),"",$T2840+(AD$2*$M2840))</f>
        <v/>
      </c>
      <c r="AE2840" s="49">
        <f>IF(OR($M2840="",$T2840=""),"",$T2840+(AE$2*$M2840))</f>
        <v/>
      </c>
      <c r="AF2840" s="52">
        <f>IF(OR(T2840="",I2840&lt;T2840),"",IFERROR(AVERAGE(T2840+M2840*{7,8,9,10,11})/IF(G2840="",I2840,G2840)-1,""))</f>
        <v/>
      </c>
      <c r="AG2840" s="55">
        <f>IF(OR(T2840="",I2840&lt;T2840),"",IFERROR(AF2840/-(R2840/IF(G2840="",I2840,G2840)-1),""))</f>
        <v/>
      </c>
      <c r="AH2840" s="94" t="n"/>
      <c r="AI2840" s="94" t="n"/>
      <c r="AJ2840" s="94" t="n"/>
      <c r="AK2840" s="94" t="n"/>
      <c r="AL2840" s="84" t="n"/>
    </row>
    <row r="2841">
      <c r="A2841" s="64" t="n"/>
      <c r="B2841" s="65" t="n"/>
      <c r="C2841" s="66" t="n"/>
      <c r="D2841" s="67" t="n"/>
      <c r="E2841" s="68" t="n"/>
      <c r="F2841" s="47">
        <f>IF(A2841="","",IF(MIN(H2841,MAX(J2841:K2841))=0,"",MIN(H2841,MAX(J2841:K2841))))</f>
        <v/>
      </c>
      <c r="G2841" s="74" t="n"/>
      <c r="H2841" s="49">
        <f>IF(M2841="","",IFERROR(ROUND(AVERAGE(T2841+M2841*{7,8,9,10,11})/1.21,4),""))</f>
        <v/>
      </c>
      <c r="I2841" s="76" t="n"/>
      <c r="J2841" s="77" t="n"/>
      <c r="K2841" s="74" t="n"/>
      <c r="L2841" s="78" t="n"/>
      <c r="M2841" s="77" t="n"/>
      <c r="N2841" s="53">
        <f>IF(M2841="","",IFERROR(M2841/I2841,""))</f>
        <v/>
      </c>
      <c r="O2841" s="50">
        <f>IF(A2841="","",IFERROR((IF(G2841="",I2841,G2841)-T2841)/M2841,""))</f>
        <v/>
      </c>
      <c r="P2841" s="50">
        <f>IFERROR((I2841/T2841-1)/N2841,"")</f>
        <v/>
      </c>
      <c r="Q2841" s="46">
        <f>IF(OR(T2841="",I2841&lt;T2841),"",IFERROR(R2841/IF(G2841="",I2841,G2841)-1,""))</f>
        <v/>
      </c>
      <c r="R2841" s="48">
        <f>IF($M2841="","",MAX(IF($G2841="",$I2841,$G2841)*(1/1.1),IF($G2841="",$I2841,$G2841)+(R$2*$M2841)))</f>
        <v/>
      </c>
      <c r="S2841" s="49">
        <f>IF($M2841="","",MAX(IF($G2841="",$I2841,$G2841)*(1/1.1),IF($G2841="",$I2841,$G2841)+(S$2*$M2841)))</f>
        <v/>
      </c>
      <c r="T2841" s="82" t="n"/>
      <c r="U2841" s="47">
        <f>IF(OR($M2841="",$T2841=""),"",$T2841+(U$2*$M2841))</f>
        <v/>
      </c>
      <c r="V2841" s="48">
        <f>IF(OR($M2841="",$T2841=""),"",$T2841+(V$2*$M2841))</f>
        <v/>
      </c>
      <c r="W2841" s="48">
        <f>IF(OR($M2841="",$T2841=""),"",$T2841+(W$2*$M2841))</f>
        <v/>
      </c>
      <c r="X2841" s="49">
        <f>IF(OR($M2841="",$T2841=""),"",$T2841+(X$2*$M2841))</f>
        <v/>
      </c>
      <c r="Y2841" s="47">
        <f>IF(OR($M2841="",$T2841=""),"",$T2841+(Y$2*$M2841))</f>
        <v/>
      </c>
      <c r="Z2841" s="49">
        <f>IF(OR($M2841="",$T2841=""),"",$T2841+(Z$2*$M2841))</f>
        <v/>
      </c>
      <c r="AA2841" s="51">
        <f>IF(OR($M2841="",$T2841=""),"",$T2841+(AA$2*$M2841))</f>
        <v/>
      </c>
      <c r="AB2841" s="48">
        <f>IF(OR($M2841="",$T2841=""),"",$T2841+(AB$2*$M2841))</f>
        <v/>
      </c>
      <c r="AC2841" s="48">
        <f>IF(OR($M2841="",$T2841=""),"",$T2841+(AC$2*$M2841))</f>
        <v/>
      </c>
      <c r="AD2841" s="48">
        <f>IF(OR($M2841="",$T2841=""),"",$T2841+(AD$2*$M2841))</f>
        <v/>
      </c>
      <c r="AE2841" s="49">
        <f>IF(OR($M2841="",$T2841=""),"",$T2841+(AE$2*$M2841))</f>
        <v/>
      </c>
      <c r="AF2841" s="52">
        <f>IF(OR(T2841="",I2841&lt;T2841),"",IFERROR(AVERAGE(T2841+M2841*{7,8,9,10,11})/IF(G2841="",I2841,G2841)-1,""))</f>
        <v/>
      </c>
      <c r="AG2841" s="55">
        <f>IF(OR(T2841="",I2841&lt;T2841),"",IFERROR(AF2841/-(R2841/IF(G2841="",I2841,G2841)-1),""))</f>
        <v/>
      </c>
      <c r="AH2841" s="94" t="n"/>
      <c r="AI2841" s="94" t="n"/>
      <c r="AJ2841" s="94" t="n"/>
      <c r="AK2841" s="94" t="n"/>
      <c r="AL2841" s="84" t="n"/>
    </row>
    <row r="2842">
      <c r="A2842" s="64" t="n"/>
      <c r="B2842" s="65" t="n"/>
      <c r="C2842" s="66" t="n"/>
      <c r="D2842" s="67" t="n"/>
      <c r="E2842" s="68" t="n"/>
      <c r="F2842" s="47">
        <f>IF(A2842="","",IF(MIN(H2842,MAX(J2842:K2842))=0,"",MIN(H2842,MAX(J2842:K2842))))</f>
        <v/>
      </c>
      <c r="G2842" s="74" t="n"/>
      <c r="H2842" s="49">
        <f>IF(M2842="","",IFERROR(ROUND(AVERAGE(T2842+M2842*{7,8,9,10,11})/1.21,4),""))</f>
        <v/>
      </c>
      <c r="I2842" s="76" t="n"/>
      <c r="J2842" s="77" t="n"/>
      <c r="K2842" s="74" t="n"/>
      <c r="L2842" s="78" t="n"/>
      <c r="M2842" s="77" t="n"/>
      <c r="N2842" s="53">
        <f>IF(M2842="","",IFERROR(M2842/I2842,""))</f>
        <v/>
      </c>
      <c r="O2842" s="50">
        <f>IF(A2842="","",IFERROR((IF(G2842="",I2842,G2842)-T2842)/M2842,""))</f>
        <v/>
      </c>
      <c r="P2842" s="50">
        <f>IFERROR((I2842/T2842-1)/N2842,"")</f>
        <v/>
      </c>
      <c r="Q2842" s="46">
        <f>IF(OR(T2842="",I2842&lt;T2842),"",IFERROR(R2842/IF(G2842="",I2842,G2842)-1,""))</f>
        <v/>
      </c>
      <c r="R2842" s="48">
        <f>IF($M2842="","",MAX(IF($G2842="",$I2842,$G2842)*(1/1.1),IF($G2842="",$I2842,$G2842)+(R$2*$M2842)))</f>
        <v/>
      </c>
      <c r="S2842" s="49">
        <f>IF($M2842="","",MAX(IF($G2842="",$I2842,$G2842)*(1/1.1),IF($G2842="",$I2842,$G2842)+(S$2*$M2842)))</f>
        <v/>
      </c>
      <c r="T2842" s="82" t="n"/>
      <c r="U2842" s="47">
        <f>IF(OR($M2842="",$T2842=""),"",$T2842+(U$2*$M2842))</f>
        <v/>
      </c>
      <c r="V2842" s="48">
        <f>IF(OR($M2842="",$T2842=""),"",$T2842+(V$2*$M2842))</f>
        <v/>
      </c>
      <c r="W2842" s="48">
        <f>IF(OR($M2842="",$T2842=""),"",$T2842+(W$2*$M2842))</f>
        <v/>
      </c>
      <c r="X2842" s="49">
        <f>IF(OR($M2842="",$T2842=""),"",$T2842+(X$2*$M2842))</f>
        <v/>
      </c>
      <c r="Y2842" s="47">
        <f>IF(OR($M2842="",$T2842=""),"",$T2842+(Y$2*$M2842))</f>
        <v/>
      </c>
      <c r="Z2842" s="49">
        <f>IF(OR($M2842="",$T2842=""),"",$T2842+(Z$2*$M2842))</f>
        <v/>
      </c>
      <c r="AA2842" s="51">
        <f>IF(OR($M2842="",$T2842=""),"",$T2842+(AA$2*$M2842))</f>
        <v/>
      </c>
      <c r="AB2842" s="48">
        <f>IF(OR($M2842="",$T2842=""),"",$T2842+(AB$2*$M2842))</f>
        <v/>
      </c>
      <c r="AC2842" s="48">
        <f>IF(OR($M2842="",$T2842=""),"",$T2842+(AC$2*$M2842))</f>
        <v/>
      </c>
      <c r="AD2842" s="48">
        <f>IF(OR($M2842="",$T2842=""),"",$T2842+(AD$2*$M2842))</f>
        <v/>
      </c>
      <c r="AE2842" s="49">
        <f>IF(OR($M2842="",$T2842=""),"",$T2842+(AE$2*$M2842))</f>
        <v/>
      </c>
      <c r="AF2842" s="52">
        <f>IF(OR(T2842="",I2842&lt;T2842),"",IFERROR(AVERAGE(T2842+M2842*{7,8,9,10,11})/IF(G2842="",I2842,G2842)-1,""))</f>
        <v/>
      </c>
      <c r="AG2842" s="55">
        <f>IF(OR(T2842="",I2842&lt;T2842),"",IFERROR(AF2842/-(R2842/IF(G2842="",I2842,G2842)-1),""))</f>
        <v/>
      </c>
      <c r="AH2842" s="94" t="n"/>
      <c r="AI2842" s="94" t="n"/>
      <c r="AJ2842" s="94" t="n"/>
      <c r="AK2842" s="94" t="n"/>
      <c r="AL2842" s="84" t="n"/>
    </row>
    <row r="2843">
      <c r="A2843" s="64" t="n"/>
      <c r="B2843" s="65" t="n"/>
      <c r="C2843" s="66" t="n"/>
      <c r="D2843" s="67" t="n"/>
      <c r="E2843" s="68" t="n"/>
      <c r="F2843" s="47">
        <f>IF(A2843="","",IF(MIN(H2843,MAX(J2843:K2843))=0,"",MIN(H2843,MAX(J2843:K2843))))</f>
        <v/>
      </c>
      <c r="G2843" s="74" t="n"/>
      <c r="H2843" s="49">
        <f>IF(M2843="","",IFERROR(ROUND(AVERAGE(T2843+M2843*{7,8,9,10,11})/1.21,4),""))</f>
        <v/>
      </c>
      <c r="I2843" s="76" t="n"/>
      <c r="J2843" s="77" t="n"/>
      <c r="K2843" s="74" t="n"/>
      <c r="L2843" s="78" t="n"/>
      <c r="M2843" s="77" t="n"/>
      <c r="N2843" s="53">
        <f>IF(M2843="","",IFERROR(M2843/I2843,""))</f>
        <v/>
      </c>
      <c r="O2843" s="50">
        <f>IF(A2843="","",IFERROR((IF(G2843="",I2843,G2843)-T2843)/M2843,""))</f>
        <v/>
      </c>
      <c r="P2843" s="50">
        <f>IFERROR((I2843/T2843-1)/N2843,"")</f>
        <v/>
      </c>
      <c r="Q2843" s="46">
        <f>IF(OR(T2843="",I2843&lt;T2843),"",IFERROR(R2843/IF(G2843="",I2843,G2843)-1,""))</f>
        <v/>
      </c>
      <c r="R2843" s="48">
        <f>IF($M2843="","",MAX(IF($G2843="",$I2843,$G2843)*(1/1.1),IF($G2843="",$I2843,$G2843)+(R$2*$M2843)))</f>
        <v/>
      </c>
      <c r="S2843" s="49">
        <f>IF($M2843="","",MAX(IF($G2843="",$I2843,$G2843)*(1/1.1),IF($G2843="",$I2843,$G2843)+(S$2*$M2843)))</f>
        <v/>
      </c>
      <c r="T2843" s="82" t="n"/>
      <c r="U2843" s="47">
        <f>IF(OR($M2843="",$T2843=""),"",$T2843+(U$2*$M2843))</f>
        <v/>
      </c>
      <c r="V2843" s="48">
        <f>IF(OR($M2843="",$T2843=""),"",$T2843+(V$2*$M2843))</f>
        <v/>
      </c>
      <c r="W2843" s="48">
        <f>IF(OR($M2843="",$T2843=""),"",$T2843+(W$2*$M2843))</f>
        <v/>
      </c>
      <c r="X2843" s="49">
        <f>IF(OR($M2843="",$T2843=""),"",$T2843+(X$2*$M2843))</f>
        <v/>
      </c>
      <c r="Y2843" s="47">
        <f>IF(OR($M2843="",$T2843=""),"",$T2843+(Y$2*$M2843))</f>
        <v/>
      </c>
      <c r="Z2843" s="49">
        <f>IF(OR($M2843="",$T2843=""),"",$T2843+(Z$2*$M2843))</f>
        <v/>
      </c>
      <c r="AA2843" s="51">
        <f>IF(OR($M2843="",$T2843=""),"",$T2843+(AA$2*$M2843))</f>
        <v/>
      </c>
      <c r="AB2843" s="48">
        <f>IF(OR($M2843="",$T2843=""),"",$T2843+(AB$2*$M2843))</f>
        <v/>
      </c>
      <c r="AC2843" s="48">
        <f>IF(OR($M2843="",$T2843=""),"",$T2843+(AC$2*$M2843))</f>
        <v/>
      </c>
      <c r="AD2843" s="48">
        <f>IF(OR($M2843="",$T2843=""),"",$T2843+(AD$2*$M2843))</f>
        <v/>
      </c>
      <c r="AE2843" s="49">
        <f>IF(OR($M2843="",$T2843=""),"",$T2843+(AE$2*$M2843))</f>
        <v/>
      </c>
      <c r="AF2843" s="52">
        <f>IF(OR(T2843="",I2843&lt;T2843),"",IFERROR(AVERAGE(T2843+M2843*{7,8,9,10,11})/IF(G2843="",I2843,G2843)-1,""))</f>
        <v/>
      </c>
      <c r="AG2843" s="55">
        <f>IF(OR(T2843="",I2843&lt;T2843),"",IFERROR(AF2843/-(R2843/IF(G2843="",I2843,G2843)-1),""))</f>
        <v/>
      </c>
      <c r="AH2843" s="94" t="n"/>
      <c r="AI2843" s="94" t="n"/>
      <c r="AJ2843" s="94" t="n"/>
      <c r="AK2843" s="94" t="n"/>
      <c r="AL2843" s="84" t="n"/>
    </row>
    <row r="2844">
      <c r="A2844" s="64" t="n"/>
      <c r="B2844" s="65" t="n"/>
      <c r="C2844" s="66" t="n"/>
      <c r="D2844" s="67" t="n"/>
      <c r="E2844" s="68" t="n"/>
      <c r="F2844" s="47">
        <f>IF(A2844="","",IF(MIN(H2844,MAX(J2844:K2844))=0,"",MIN(H2844,MAX(J2844:K2844))))</f>
        <v/>
      </c>
      <c r="G2844" s="74" t="n"/>
      <c r="H2844" s="49">
        <f>IF(M2844="","",IFERROR(ROUND(AVERAGE(T2844+M2844*{7,8,9,10,11})/1.21,4),""))</f>
        <v/>
      </c>
      <c r="I2844" s="76" t="n"/>
      <c r="J2844" s="77" t="n"/>
      <c r="K2844" s="74" t="n"/>
      <c r="L2844" s="78" t="n"/>
      <c r="M2844" s="77" t="n"/>
      <c r="N2844" s="53">
        <f>IF(M2844="","",IFERROR(M2844/I2844,""))</f>
        <v/>
      </c>
      <c r="O2844" s="50">
        <f>IF(A2844="","",IFERROR((IF(G2844="",I2844,G2844)-T2844)/M2844,""))</f>
        <v/>
      </c>
      <c r="P2844" s="50">
        <f>IFERROR((I2844/T2844-1)/N2844,"")</f>
        <v/>
      </c>
      <c r="Q2844" s="46">
        <f>IF(OR(T2844="",I2844&lt;T2844),"",IFERROR(R2844/IF(G2844="",I2844,G2844)-1,""))</f>
        <v/>
      </c>
      <c r="R2844" s="48">
        <f>IF($M2844="","",MAX(IF($G2844="",$I2844,$G2844)*(1/1.1),IF($G2844="",$I2844,$G2844)+(R$2*$M2844)))</f>
        <v/>
      </c>
      <c r="S2844" s="49">
        <f>IF($M2844="","",MAX(IF($G2844="",$I2844,$G2844)*(1/1.1),IF($G2844="",$I2844,$G2844)+(S$2*$M2844)))</f>
        <v/>
      </c>
      <c r="T2844" s="82" t="n"/>
      <c r="U2844" s="47">
        <f>IF(OR($M2844="",$T2844=""),"",$T2844+(U$2*$M2844))</f>
        <v/>
      </c>
      <c r="V2844" s="48">
        <f>IF(OR($M2844="",$T2844=""),"",$T2844+(V$2*$M2844))</f>
        <v/>
      </c>
      <c r="W2844" s="48">
        <f>IF(OR($M2844="",$T2844=""),"",$T2844+(W$2*$M2844))</f>
        <v/>
      </c>
      <c r="X2844" s="49">
        <f>IF(OR($M2844="",$T2844=""),"",$T2844+(X$2*$M2844))</f>
        <v/>
      </c>
      <c r="Y2844" s="47">
        <f>IF(OR($M2844="",$T2844=""),"",$T2844+(Y$2*$M2844))</f>
        <v/>
      </c>
      <c r="Z2844" s="49">
        <f>IF(OR($M2844="",$T2844=""),"",$T2844+(Z$2*$M2844))</f>
        <v/>
      </c>
      <c r="AA2844" s="51">
        <f>IF(OR($M2844="",$T2844=""),"",$T2844+(AA$2*$M2844))</f>
        <v/>
      </c>
      <c r="AB2844" s="48">
        <f>IF(OR($M2844="",$T2844=""),"",$T2844+(AB$2*$M2844))</f>
        <v/>
      </c>
      <c r="AC2844" s="48">
        <f>IF(OR($M2844="",$T2844=""),"",$T2844+(AC$2*$M2844))</f>
        <v/>
      </c>
      <c r="AD2844" s="48">
        <f>IF(OR($M2844="",$T2844=""),"",$T2844+(AD$2*$M2844))</f>
        <v/>
      </c>
      <c r="AE2844" s="49">
        <f>IF(OR($M2844="",$T2844=""),"",$T2844+(AE$2*$M2844))</f>
        <v/>
      </c>
      <c r="AF2844" s="52">
        <f>IF(OR(T2844="",I2844&lt;T2844),"",IFERROR(AVERAGE(T2844+M2844*{7,8,9,10,11})/IF(G2844="",I2844,G2844)-1,""))</f>
        <v/>
      </c>
      <c r="AG2844" s="55">
        <f>IF(OR(T2844="",I2844&lt;T2844),"",IFERROR(AF2844/-(R2844/IF(G2844="",I2844,G2844)-1),""))</f>
        <v/>
      </c>
      <c r="AH2844" s="94" t="n"/>
      <c r="AI2844" s="94" t="n"/>
      <c r="AJ2844" s="94" t="n"/>
      <c r="AK2844" s="94" t="n"/>
      <c r="AL2844" s="84" t="n"/>
    </row>
    <row r="2845">
      <c r="A2845" s="64" t="n"/>
      <c r="B2845" s="65" t="n"/>
      <c r="C2845" s="66" t="n"/>
      <c r="D2845" s="67" t="n"/>
      <c r="E2845" s="68" t="n"/>
      <c r="F2845" s="47">
        <f>IF(A2845="","",IF(MIN(H2845,MAX(J2845:K2845))=0,"",MIN(H2845,MAX(J2845:K2845))))</f>
        <v/>
      </c>
      <c r="G2845" s="74" t="n"/>
      <c r="H2845" s="49">
        <f>IF(M2845="","",IFERROR(ROUND(AVERAGE(T2845+M2845*{7,8,9,10,11})/1.21,4),""))</f>
        <v/>
      </c>
      <c r="I2845" s="76" t="n"/>
      <c r="J2845" s="77" t="n"/>
      <c r="K2845" s="74" t="n"/>
      <c r="L2845" s="78" t="n"/>
      <c r="M2845" s="77" t="n"/>
      <c r="N2845" s="53">
        <f>IF(M2845="","",IFERROR(M2845/I2845,""))</f>
        <v/>
      </c>
      <c r="O2845" s="50">
        <f>IF(A2845="","",IFERROR((IF(G2845="",I2845,G2845)-T2845)/M2845,""))</f>
        <v/>
      </c>
      <c r="P2845" s="50">
        <f>IFERROR((I2845/T2845-1)/N2845,"")</f>
        <v/>
      </c>
      <c r="Q2845" s="46">
        <f>IF(OR(T2845="",I2845&lt;T2845),"",IFERROR(R2845/IF(G2845="",I2845,G2845)-1,""))</f>
        <v/>
      </c>
      <c r="R2845" s="48">
        <f>IF($M2845="","",MAX(IF($G2845="",$I2845,$G2845)*(1/1.1),IF($G2845="",$I2845,$G2845)+(R$2*$M2845)))</f>
        <v/>
      </c>
      <c r="S2845" s="49">
        <f>IF($M2845="","",MAX(IF($G2845="",$I2845,$G2845)*(1/1.1),IF($G2845="",$I2845,$G2845)+(S$2*$M2845)))</f>
        <v/>
      </c>
      <c r="T2845" s="82" t="n"/>
      <c r="U2845" s="47">
        <f>IF(OR($M2845="",$T2845=""),"",$T2845+(U$2*$M2845))</f>
        <v/>
      </c>
      <c r="V2845" s="48">
        <f>IF(OR($M2845="",$T2845=""),"",$T2845+(V$2*$M2845))</f>
        <v/>
      </c>
      <c r="W2845" s="48">
        <f>IF(OR($M2845="",$T2845=""),"",$T2845+(W$2*$M2845))</f>
        <v/>
      </c>
      <c r="X2845" s="49">
        <f>IF(OR($M2845="",$T2845=""),"",$T2845+(X$2*$M2845))</f>
        <v/>
      </c>
      <c r="Y2845" s="47">
        <f>IF(OR($M2845="",$T2845=""),"",$T2845+(Y$2*$M2845))</f>
        <v/>
      </c>
      <c r="Z2845" s="49">
        <f>IF(OR($M2845="",$T2845=""),"",$T2845+(Z$2*$M2845))</f>
        <v/>
      </c>
      <c r="AA2845" s="51">
        <f>IF(OR($M2845="",$T2845=""),"",$T2845+(AA$2*$M2845))</f>
        <v/>
      </c>
      <c r="AB2845" s="48">
        <f>IF(OR($M2845="",$T2845=""),"",$T2845+(AB$2*$M2845))</f>
        <v/>
      </c>
      <c r="AC2845" s="48">
        <f>IF(OR($M2845="",$T2845=""),"",$T2845+(AC$2*$M2845))</f>
        <v/>
      </c>
      <c r="AD2845" s="48">
        <f>IF(OR($M2845="",$T2845=""),"",$T2845+(AD$2*$M2845))</f>
        <v/>
      </c>
      <c r="AE2845" s="49">
        <f>IF(OR($M2845="",$T2845=""),"",$T2845+(AE$2*$M2845))</f>
        <v/>
      </c>
      <c r="AF2845" s="52">
        <f>IF(OR(T2845="",I2845&lt;T2845),"",IFERROR(AVERAGE(T2845+M2845*{7,8,9,10,11})/IF(G2845="",I2845,G2845)-1,""))</f>
        <v/>
      </c>
      <c r="AG2845" s="55">
        <f>IF(OR(T2845="",I2845&lt;T2845),"",IFERROR(AF2845/-(R2845/IF(G2845="",I2845,G2845)-1),""))</f>
        <v/>
      </c>
      <c r="AH2845" s="94" t="n"/>
      <c r="AI2845" s="94" t="n"/>
      <c r="AJ2845" s="94" t="n"/>
      <c r="AK2845" s="94" t="n"/>
      <c r="AL2845" s="84" t="n"/>
    </row>
    <row r="2846">
      <c r="A2846" s="64" t="n"/>
      <c r="B2846" s="65" t="n"/>
      <c r="C2846" s="66" t="n"/>
      <c r="D2846" s="67" t="n"/>
      <c r="E2846" s="68" t="n"/>
      <c r="F2846" s="47">
        <f>IF(A2846="","",IF(MIN(H2846,MAX(J2846:K2846))=0,"",MIN(H2846,MAX(J2846:K2846))))</f>
        <v/>
      </c>
      <c r="G2846" s="74" t="n"/>
      <c r="H2846" s="49">
        <f>IF(M2846="","",IFERROR(ROUND(AVERAGE(T2846+M2846*{7,8,9,10,11})/1.21,4),""))</f>
        <v/>
      </c>
      <c r="I2846" s="76" t="n"/>
      <c r="J2846" s="77" t="n"/>
      <c r="K2846" s="74" t="n"/>
      <c r="L2846" s="78" t="n"/>
      <c r="M2846" s="77" t="n"/>
      <c r="N2846" s="53">
        <f>IF(M2846="","",IFERROR(M2846/I2846,""))</f>
        <v/>
      </c>
      <c r="O2846" s="50">
        <f>IF(A2846="","",IFERROR((IF(G2846="",I2846,G2846)-T2846)/M2846,""))</f>
        <v/>
      </c>
      <c r="P2846" s="50">
        <f>IFERROR((I2846/T2846-1)/N2846,"")</f>
        <v/>
      </c>
      <c r="Q2846" s="46">
        <f>IF(OR(T2846="",I2846&lt;T2846),"",IFERROR(R2846/IF(G2846="",I2846,G2846)-1,""))</f>
        <v/>
      </c>
      <c r="R2846" s="48">
        <f>IF($M2846="","",MAX(IF($G2846="",$I2846,$G2846)*(1/1.1),IF($G2846="",$I2846,$G2846)+(R$2*$M2846)))</f>
        <v/>
      </c>
      <c r="S2846" s="49">
        <f>IF($M2846="","",MAX(IF($G2846="",$I2846,$G2846)*(1/1.1),IF($G2846="",$I2846,$G2846)+(S$2*$M2846)))</f>
        <v/>
      </c>
      <c r="T2846" s="82" t="n"/>
      <c r="U2846" s="47">
        <f>IF(OR($M2846="",$T2846=""),"",$T2846+(U$2*$M2846))</f>
        <v/>
      </c>
      <c r="V2846" s="48">
        <f>IF(OR($M2846="",$T2846=""),"",$T2846+(V$2*$M2846))</f>
        <v/>
      </c>
      <c r="W2846" s="48">
        <f>IF(OR($M2846="",$T2846=""),"",$T2846+(W$2*$M2846))</f>
        <v/>
      </c>
      <c r="X2846" s="49">
        <f>IF(OR($M2846="",$T2846=""),"",$T2846+(X$2*$M2846))</f>
        <v/>
      </c>
      <c r="Y2846" s="47">
        <f>IF(OR($M2846="",$T2846=""),"",$T2846+(Y$2*$M2846))</f>
        <v/>
      </c>
      <c r="Z2846" s="49">
        <f>IF(OR($M2846="",$T2846=""),"",$T2846+(Z$2*$M2846))</f>
        <v/>
      </c>
      <c r="AA2846" s="51">
        <f>IF(OR($M2846="",$T2846=""),"",$T2846+(AA$2*$M2846))</f>
        <v/>
      </c>
      <c r="AB2846" s="48">
        <f>IF(OR($M2846="",$T2846=""),"",$T2846+(AB$2*$M2846))</f>
        <v/>
      </c>
      <c r="AC2846" s="48">
        <f>IF(OR($M2846="",$T2846=""),"",$T2846+(AC$2*$M2846))</f>
        <v/>
      </c>
      <c r="AD2846" s="48">
        <f>IF(OR($M2846="",$T2846=""),"",$T2846+(AD$2*$M2846))</f>
        <v/>
      </c>
      <c r="AE2846" s="49">
        <f>IF(OR($M2846="",$T2846=""),"",$T2846+(AE$2*$M2846))</f>
        <v/>
      </c>
      <c r="AF2846" s="52">
        <f>IF(OR(T2846="",I2846&lt;T2846),"",IFERROR(AVERAGE(T2846+M2846*{7,8,9,10,11})/IF(G2846="",I2846,G2846)-1,""))</f>
        <v/>
      </c>
      <c r="AG2846" s="55">
        <f>IF(OR(T2846="",I2846&lt;T2846),"",IFERROR(AF2846/-(R2846/IF(G2846="",I2846,G2846)-1),""))</f>
        <v/>
      </c>
      <c r="AH2846" s="94" t="n"/>
      <c r="AI2846" s="94" t="n"/>
      <c r="AJ2846" s="94" t="n"/>
      <c r="AK2846" s="94" t="n"/>
      <c r="AL2846" s="84" t="n"/>
    </row>
    <row r="2847">
      <c r="A2847" s="64" t="n"/>
      <c r="B2847" s="65" t="n"/>
      <c r="C2847" s="66" t="n"/>
      <c r="D2847" s="67" t="n"/>
      <c r="E2847" s="68" t="n"/>
      <c r="F2847" s="47">
        <f>IF(A2847="","",IF(MIN(H2847,MAX(J2847:K2847))=0,"",MIN(H2847,MAX(J2847:K2847))))</f>
        <v/>
      </c>
      <c r="G2847" s="74" t="n"/>
      <c r="H2847" s="49">
        <f>IF(M2847="","",IFERROR(ROUND(AVERAGE(T2847+M2847*{7,8,9,10,11})/1.21,4),""))</f>
        <v/>
      </c>
      <c r="I2847" s="76" t="n"/>
      <c r="J2847" s="77" t="n"/>
      <c r="K2847" s="74" t="n"/>
      <c r="L2847" s="78" t="n"/>
      <c r="M2847" s="77" t="n"/>
      <c r="N2847" s="53">
        <f>IF(M2847="","",IFERROR(M2847/I2847,""))</f>
        <v/>
      </c>
      <c r="O2847" s="50">
        <f>IF(A2847="","",IFERROR((IF(G2847="",I2847,G2847)-T2847)/M2847,""))</f>
        <v/>
      </c>
      <c r="P2847" s="50">
        <f>IFERROR((I2847/T2847-1)/N2847,"")</f>
        <v/>
      </c>
      <c r="Q2847" s="46">
        <f>IF(OR(T2847="",I2847&lt;T2847),"",IFERROR(R2847/IF(G2847="",I2847,G2847)-1,""))</f>
        <v/>
      </c>
      <c r="R2847" s="48">
        <f>IF($M2847="","",MAX(IF($G2847="",$I2847,$G2847)*(1/1.1),IF($G2847="",$I2847,$G2847)+(R$2*$M2847)))</f>
        <v/>
      </c>
      <c r="S2847" s="49">
        <f>IF($M2847="","",MAX(IF($G2847="",$I2847,$G2847)*(1/1.1),IF($G2847="",$I2847,$G2847)+(S$2*$M2847)))</f>
        <v/>
      </c>
      <c r="T2847" s="82" t="n"/>
      <c r="U2847" s="47">
        <f>IF(OR($M2847="",$T2847=""),"",$T2847+(U$2*$M2847))</f>
        <v/>
      </c>
      <c r="V2847" s="48">
        <f>IF(OR($M2847="",$T2847=""),"",$T2847+(V$2*$M2847))</f>
        <v/>
      </c>
      <c r="W2847" s="48">
        <f>IF(OR($M2847="",$T2847=""),"",$T2847+(W$2*$M2847))</f>
        <v/>
      </c>
      <c r="X2847" s="49">
        <f>IF(OR($M2847="",$T2847=""),"",$T2847+(X$2*$M2847))</f>
        <v/>
      </c>
      <c r="Y2847" s="47">
        <f>IF(OR($M2847="",$T2847=""),"",$T2847+(Y$2*$M2847))</f>
        <v/>
      </c>
      <c r="Z2847" s="49">
        <f>IF(OR($M2847="",$T2847=""),"",$T2847+(Z$2*$M2847))</f>
        <v/>
      </c>
      <c r="AA2847" s="51">
        <f>IF(OR($M2847="",$T2847=""),"",$T2847+(AA$2*$M2847))</f>
        <v/>
      </c>
      <c r="AB2847" s="48">
        <f>IF(OR($M2847="",$T2847=""),"",$T2847+(AB$2*$M2847))</f>
        <v/>
      </c>
      <c r="AC2847" s="48">
        <f>IF(OR($M2847="",$T2847=""),"",$T2847+(AC$2*$M2847))</f>
        <v/>
      </c>
      <c r="AD2847" s="48">
        <f>IF(OR($M2847="",$T2847=""),"",$T2847+(AD$2*$M2847))</f>
        <v/>
      </c>
      <c r="AE2847" s="49">
        <f>IF(OR($M2847="",$T2847=""),"",$T2847+(AE$2*$M2847))</f>
        <v/>
      </c>
      <c r="AF2847" s="52">
        <f>IF(OR(T2847="",I2847&lt;T2847),"",IFERROR(AVERAGE(T2847+M2847*{7,8,9,10,11})/IF(G2847="",I2847,G2847)-1,""))</f>
        <v/>
      </c>
      <c r="AG2847" s="55">
        <f>IF(OR(T2847="",I2847&lt;T2847),"",IFERROR(AF2847/-(R2847/IF(G2847="",I2847,G2847)-1),""))</f>
        <v/>
      </c>
      <c r="AH2847" s="94" t="n"/>
      <c r="AI2847" s="94" t="n"/>
      <c r="AJ2847" s="94" t="n"/>
      <c r="AK2847" s="94" t="n"/>
      <c r="AL2847" s="84" t="n"/>
    </row>
    <row r="2848">
      <c r="A2848" s="64" t="n"/>
      <c r="B2848" s="65" t="n"/>
      <c r="C2848" s="66" t="n"/>
      <c r="D2848" s="67" t="n"/>
      <c r="E2848" s="68" t="n"/>
      <c r="F2848" s="47">
        <f>IF(A2848="","",IF(MIN(H2848,MAX(J2848:K2848))=0,"",MIN(H2848,MAX(J2848:K2848))))</f>
        <v/>
      </c>
      <c r="G2848" s="74" t="n"/>
      <c r="H2848" s="49">
        <f>IF(M2848="","",IFERROR(ROUND(AVERAGE(T2848+M2848*{7,8,9,10,11})/1.21,4),""))</f>
        <v/>
      </c>
      <c r="I2848" s="76" t="n"/>
      <c r="J2848" s="77" t="n"/>
      <c r="K2848" s="74" t="n"/>
      <c r="L2848" s="78" t="n"/>
      <c r="M2848" s="77" t="n"/>
      <c r="N2848" s="53">
        <f>IF(M2848="","",IFERROR(M2848/I2848,""))</f>
        <v/>
      </c>
      <c r="O2848" s="50">
        <f>IF(A2848="","",IFERROR((IF(G2848="",I2848,G2848)-T2848)/M2848,""))</f>
        <v/>
      </c>
      <c r="P2848" s="50">
        <f>IFERROR((I2848/T2848-1)/N2848,"")</f>
        <v/>
      </c>
      <c r="Q2848" s="46">
        <f>IF(OR(T2848="",I2848&lt;T2848),"",IFERROR(R2848/IF(G2848="",I2848,G2848)-1,""))</f>
        <v/>
      </c>
      <c r="R2848" s="48">
        <f>IF($M2848="","",MAX(IF($G2848="",$I2848,$G2848)*(1/1.1),IF($G2848="",$I2848,$G2848)+(R$2*$M2848)))</f>
        <v/>
      </c>
      <c r="S2848" s="49">
        <f>IF($M2848="","",MAX(IF($G2848="",$I2848,$G2848)*(1/1.1),IF($G2848="",$I2848,$G2848)+(S$2*$M2848)))</f>
        <v/>
      </c>
      <c r="T2848" s="82" t="n"/>
      <c r="U2848" s="47">
        <f>IF(OR($M2848="",$T2848=""),"",$T2848+(U$2*$M2848))</f>
        <v/>
      </c>
      <c r="V2848" s="48">
        <f>IF(OR($M2848="",$T2848=""),"",$T2848+(V$2*$M2848))</f>
        <v/>
      </c>
      <c r="W2848" s="48">
        <f>IF(OR($M2848="",$T2848=""),"",$T2848+(W$2*$M2848))</f>
        <v/>
      </c>
      <c r="X2848" s="49">
        <f>IF(OR($M2848="",$T2848=""),"",$T2848+(X$2*$M2848))</f>
        <v/>
      </c>
      <c r="Y2848" s="47">
        <f>IF(OR($M2848="",$T2848=""),"",$T2848+(Y$2*$M2848))</f>
        <v/>
      </c>
      <c r="Z2848" s="49">
        <f>IF(OR($M2848="",$T2848=""),"",$T2848+(Z$2*$M2848))</f>
        <v/>
      </c>
      <c r="AA2848" s="51">
        <f>IF(OR($M2848="",$T2848=""),"",$T2848+(AA$2*$M2848))</f>
        <v/>
      </c>
      <c r="AB2848" s="48">
        <f>IF(OR($M2848="",$T2848=""),"",$T2848+(AB$2*$M2848))</f>
        <v/>
      </c>
      <c r="AC2848" s="48">
        <f>IF(OR($M2848="",$T2848=""),"",$T2848+(AC$2*$M2848))</f>
        <v/>
      </c>
      <c r="AD2848" s="48">
        <f>IF(OR($M2848="",$T2848=""),"",$T2848+(AD$2*$M2848))</f>
        <v/>
      </c>
      <c r="AE2848" s="49">
        <f>IF(OR($M2848="",$T2848=""),"",$T2848+(AE$2*$M2848))</f>
        <v/>
      </c>
      <c r="AF2848" s="52">
        <f>IF(OR(T2848="",I2848&lt;T2848),"",IFERROR(AVERAGE(T2848+M2848*{7,8,9,10,11})/IF(G2848="",I2848,G2848)-1,""))</f>
        <v/>
      </c>
      <c r="AG2848" s="55">
        <f>IF(OR(T2848="",I2848&lt;T2848),"",IFERROR(AF2848/-(R2848/IF(G2848="",I2848,G2848)-1),""))</f>
        <v/>
      </c>
      <c r="AH2848" s="94" t="n"/>
      <c r="AI2848" s="94" t="n"/>
      <c r="AJ2848" s="94" t="n"/>
      <c r="AK2848" s="94" t="n"/>
      <c r="AL2848" s="84" t="n"/>
    </row>
    <row r="2849">
      <c r="A2849" s="64" t="n"/>
      <c r="B2849" s="65" t="n"/>
      <c r="C2849" s="66" t="n"/>
      <c r="D2849" s="67" t="n"/>
      <c r="E2849" s="68" t="n"/>
      <c r="F2849" s="47">
        <f>IF(A2849="","",IF(MIN(H2849,MAX(J2849:K2849))=0,"",MIN(H2849,MAX(J2849:K2849))))</f>
        <v/>
      </c>
      <c r="G2849" s="74" t="n"/>
      <c r="H2849" s="49">
        <f>IF(M2849="","",IFERROR(ROUND(AVERAGE(T2849+M2849*{7,8,9,10,11})/1.21,4),""))</f>
        <v/>
      </c>
      <c r="I2849" s="76" t="n"/>
      <c r="J2849" s="77" t="n"/>
      <c r="K2849" s="74" t="n"/>
      <c r="L2849" s="78" t="n"/>
      <c r="M2849" s="77" t="n"/>
      <c r="N2849" s="53">
        <f>IF(M2849="","",IFERROR(M2849/I2849,""))</f>
        <v/>
      </c>
      <c r="O2849" s="50">
        <f>IF(A2849="","",IFERROR((IF(G2849="",I2849,G2849)-T2849)/M2849,""))</f>
        <v/>
      </c>
      <c r="P2849" s="50">
        <f>IFERROR((I2849/T2849-1)/N2849,"")</f>
        <v/>
      </c>
      <c r="Q2849" s="46">
        <f>IF(OR(T2849="",I2849&lt;T2849),"",IFERROR(R2849/IF(G2849="",I2849,G2849)-1,""))</f>
        <v/>
      </c>
      <c r="R2849" s="48">
        <f>IF($M2849="","",MAX(IF($G2849="",$I2849,$G2849)*(1/1.1),IF($G2849="",$I2849,$G2849)+(R$2*$M2849)))</f>
        <v/>
      </c>
      <c r="S2849" s="49">
        <f>IF($M2849="","",MAX(IF($G2849="",$I2849,$G2849)*(1/1.1),IF($G2849="",$I2849,$G2849)+(S$2*$M2849)))</f>
        <v/>
      </c>
      <c r="T2849" s="82" t="n"/>
      <c r="U2849" s="47">
        <f>IF(OR($M2849="",$T2849=""),"",$T2849+(U$2*$M2849))</f>
        <v/>
      </c>
      <c r="V2849" s="48">
        <f>IF(OR($M2849="",$T2849=""),"",$T2849+(V$2*$M2849))</f>
        <v/>
      </c>
      <c r="W2849" s="48">
        <f>IF(OR($M2849="",$T2849=""),"",$T2849+(W$2*$M2849))</f>
        <v/>
      </c>
      <c r="X2849" s="49">
        <f>IF(OR($M2849="",$T2849=""),"",$T2849+(X$2*$M2849))</f>
        <v/>
      </c>
      <c r="Y2849" s="47">
        <f>IF(OR($M2849="",$T2849=""),"",$T2849+(Y$2*$M2849))</f>
        <v/>
      </c>
      <c r="Z2849" s="49">
        <f>IF(OR($M2849="",$T2849=""),"",$T2849+(Z$2*$M2849))</f>
        <v/>
      </c>
      <c r="AA2849" s="51">
        <f>IF(OR($M2849="",$T2849=""),"",$T2849+(AA$2*$M2849))</f>
        <v/>
      </c>
      <c r="AB2849" s="48">
        <f>IF(OR($M2849="",$T2849=""),"",$T2849+(AB$2*$M2849))</f>
        <v/>
      </c>
      <c r="AC2849" s="48">
        <f>IF(OR($M2849="",$T2849=""),"",$T2849+(AC$2*$M2849))</f>
        <v/>
      </c>
      <c r="AD2849" s="48">
        <f>IF(OR($M2849="",$T2849=""),"",$T2849+(AD$2*$M2849))</f>
        <v/>
      </c>
      <c r="AE2849" s="49">
        <f>IF(OR($M2849="",$T2849=""),"",$T2849+(AE$2*$M2849))</f>
        <v/>
      </c>
      <c r="AF2849" s="52">
        <f>IF(OR(T2849="",I2849&lt;T2849),"",IFERROR(AVERAGE(T2849+M2849*{7,8,9,10,11})/IF(G2849="",I2849,G2849)-1,""))</f>
        <v/>
      </c>
      <c r="AG2849" s="55">
        <f>IF(OR(T2849="",I2849&lt;T2849),"",IFERROR(AF2849/-(R2849/IF(G2849="",I2849,G2849)-1),""))</f>
        <v/>
      </c>
      <c r="AH2849" s="94" t="n"/>
      <c r="AI2849" s="94" t="n"/>
      <c r="AJ2849" s="94" t="n"/>
      <c r="AK2849" s="94" t="n"/>
      <c r="AL2849" s="84" t="n"/>
    </row>
    <row r="2850">
      <c r="A2850" s="64" t="n"/>
      <c r="B2850" s="65" t="n"/>
      <c r="C2850" s="66" t="n"/>
      <c r="D2850" s="67" t="n"/>
      <c r="E2850" s="68" t="n"/>
      <c r="F2850" s="47">
        <f>IF(A2850="","",IF(MIN(H2850,MAX(J2850:K2850))=0,"",MIN(H2850,MAX(J2850:K2850))))</f>
        <v/>
      </c>
      <c r="G2850" s="74" t="n"/>
      <c r="H2850" s="49">
        <f>IF(M2850="","",IFERROR(ROUND(AVERAGE(T2850+M2850*{7,8,9,10,11})/1.21,4),""))</f>
        <v/>
      </c>
      <c r="I2850" s="76" t="n"/>
      <c r="J2850" s="77" t="n"/>
      <c r="K2850" s="74" t="n"/>
      <c r="L2850" s="78" t="n"/>
      <c r="M2850" s="77" t="n"/>
      <c r="N2850" s="53">
        <f>IF(M2850="","",IFERROR(M2850/I2850,""))</f>
        <v/>
      </c>
      <c r="O2850" s="50">
        <f>IF(A2850="","",IFERROR((IF(G2850="",I2850,G2850)-T2850)/M2850,""))</f>
        <v/>
      </c>
      <c r="P2850" s="50">
        <f>IFERROR((I2850/T2850-1)/N2850,"")</f>
        <v/>
      </c>
      <c r="Q2850" s="46">
        <f>IF(OR(T2850="",I2850&lt;T2850),"",IFERROR(R2850/IF(G2850="",I2850,G2850)-1,""))</f>
        <v/>
      </c>
      <c r="R2850" s="48">
        <f>IF($M2850="","",MAX(IF($G2850="",$I2850,$G2850)*(1/1.1),IF($G2850="",$I2850,$G2850)+(R$2*$M2850)))</f>
        <v/>
      </c>
      <c r="S2850" s="49">
        <f>IF($M2850="","",MAX(IF($G2850="",$I2850,$G2850)*(1/1.1),IF($G2850="",$I2850,$G2850)+(S$2*$M2850)))</f>
        <v/>
      </c>
      <c r="T2850" s="82" t="n"/>
      <c r="U2850" s="47">
        <f>IF(OR($M2850="",$T2850=""),"",$T2850+(U$2*$M2850))</f>
        <v/>
      </c>
      <c r="V2850" s="48">
        <f>IF(OR($M2850="",$T2850=""),"",$T2850+(V$2*$M2850))</f>
        <v/>
      </c>
      <c r="W2850" s="48">
        <f>IF(OR($M2850="",$T2850=""),"",$T2850+(W$2*$M2850))</f>
        <v/>
      </c>
      <c r="X2850" s="49">
        <f>IF(OR($M2850="",$T2850=""),"",$T2850+(X$2*$M2850))</f>
        <v/>
      </c>
      <c r="Y2850" s="47">
        <f>IF(OR($M2850="",$T2850=""),"",$T2850+(Y$2*$M2850))</f>
        <v/>
      </c>
      <c r="Z2850" s="49">
        <f>IF(OR($M2850="",$T2850=""),"",$T2850+(Z$2*$M2850))</f>
        <v/>
      </c>
      <c r="AA2850" s="51">
        <f>IF(OR($M2850="",$T2850=""),"",$T2850+(AA$2*$M2850))</f>
        <v/>
      </c>
      <c r="AB2850" s="48">
        <f>IF(OR($M2850="",$T2850=""),"",$T2850+(AB$2*$M2850))</f>
        <v/>
      </c>
      <c r="AC2850" s="48">
        <f>IF(OR($M2850="",$T2850=""),"",$T2850+(AC$2*$M2850))</f>
        <v/>
      </c>
      <c r="AD2850" s="48">
        <f>IF(OR($M2850="",$T2850=""),"",$T2850+(AD$2*$M2850))</f>
        <v/>
      </c>
      <c r="AE2850" s="49">
        <f>IF(OR($M2850="",$T2850=""),"",$T2850+(AE$2*$M2850))</f>
        <v/>
      </c>
      <c r="AF2850" s="52">
        <f>IF(OR(T2850="",I2850&lt;T2850),"",IFERROR(AVERAGE(T2850+M2850*{7,8,9,10,11})/IF(G2850="",I2850,G2850)-1,""))</f>
        <v/>
      </c>
      <c r="AG2850" s="55">
        <f>IF(OR(T2850="",I2850&lt;T2850),"",IFERROR(AF2850/-(R2850/IF(G2850="",I2850,G2850)-1),""))</f>
        <v/>
      </c>
      <c r="AH2850" s="94" t="n"/>
      <c r="AI2850" s="94" t="n"/>
      <c r="AJ2850" s="94" t="n"/>
      <c r="AK2850" s="94" t="n"/>
      <c r="AL2850" s="84" t="n"/>
    </row>
    <row r="2851">
      <c r="A2851" s="64" t="n"/>
      <c r="B2851" s="65" t="n"/>
      <c r="C2851" s="66" t="n"/>
      <c r="D2851" s="67" t="n"/>
      <c r="E2851" s="68" t="n"/>
      <c r="F2851" s="47">
        <f>IF(A2851="","",IF(MIN(H2851,MAX(J2851:K2851))=0,"",MIN(H2851,MAX(J2851:K2851))))</f>
        <v/>
      </c>
      <c r="G2851" s="74" t="n"/>
      <c r="H2851" s="49">
        <f>IF(M2851="","",IFERROR(ROUND(AVERAGE(T2851+M2851*{7,8,9,10,11})/1.21,4),""))</f>
        <v/>
      </c>
      <c r="I2851" s="76" t="n"/>
      <c r="J2851" s="77" t="n"/>
      <c r="K2851" s="74" t="n"/>
      <c r="L2851" s="78" t="n"/>
      <c r="M2851" s="77" t="n"/>
      <c r="N2851" s="53">
        <f>IF(M2851="","",IFERROR(M2851/I2851,""))</f>
        <v/>
      </c>
      <c r="O2851" s="50">
        <f>IF(A2851="","",IFERROR((IF(G2851="",I2851,G2851)-T2851)/M2851,""))</f>
        <v/>
      </c>
      <c r="P2851" s="50">
        <f>IFERROR((I2851/T2851-1)/N2851,"")</f>
        <v/>
      </c>
      <c r="Q2851" s="46">
        <f>IF(OR(T2851="",I2851&lt;T2851),"",IFERROR(R2851/IF(G2851="",I2851,G2851)-1,""))</f>
        <v/>
      </c>
      <c r="R2851" s="48">
        <f>IF($M2851="","",MAX(IF($G2851="",$I2851,$G2851)*(1/1.1),IF($G2851="",$I2851,$G2851)+(R$2*$M2851)))</f>
        <v/>
      </c>
      <c r="S2851" s="49">
        <f>IF($M2851="","",MAX(IF($G2851="",$I2851,$G2851)*(1/1.1),IF($G2851="",$I2851,$G2851)+(S$2*$M2851)))</f>
        <v/>
      </c>
      <c r="T2851" s="82" t="n"/>
      <c r="U2851" s="47">
        <f>IF(OR($M2851="",$T2851=""),"",$T2851+(U$2*$M2851))</f>
        <v/>
      </c>
      <c r="V2851" s="48">
        <f>IF(OR($M2851="",$T2851=""),"",$T2851+(V$2*$M2851))</f>
        <v/>
      </c>
      <c r="W2851" s="48">
        <f>IF(OR($M2851="",$T2851=""),"",$T2851+(W$2*$M2851))</f>
        <v/>
      </c>
      <c r="X2851" s="49">
        <f>IF(OR($M2851="",$T2851=""),"",$T2851+(X$2*$M2851))</f>
        <v/>
      </c>
      <c r="Y2851" s="47">
        <f>IF(OR($M2851="",$T2851=""),"",$T2851+(Y$2*$M2851))</f>
        <v/>
      </c>
      <c r="Z2851" s="49">
        <f>IF(OR($M2851="",$T2851=""),"",$T2851+(Z$2*$M2851))</f>
        <v/>
      </c>
      <c r="AA2851" s="51">
        <f>IF(OR($M2851="",$T2851=""),"",$T2851+(AA$2*$M2851))</f>
        <v/>
      </c>
      <c r="AB2851" s="48">
        <f>IF(OR($M2851="",$T2851=""),"",$T2851+(AB$2*$M2851))</f>
        <v/>
      </c>
      <c r="AC2851" s="48">
        <f>IF(OR($M2851="",$T2851=""),"",$T2851+(AC$2*$M2851))</f>
        <v/>
      </c>
      <c r="AD2851" s="48">
        <f>IF(OR($M2851="",$T2851=""),"",$T2851+(AD$2*$M2851))</f>
        <v/>
      </c>
      <c r="AE2851" s="49">
        <f>IF(OR($M2851="",$T2851=""),"",$T2851+(AE$2*$M2851))</f>
        <v/>
      </c>
      <c r="AF2851" s="52">
        <f>IF(OR(T2851="",I2851&lt;T2851),"",IFERROR(AVERAGE(T2851+M2851*{7,8,9,10,11})/IF(G2851="",I2851,G2851)-1,""))</f>
        <v/>
      </c>
      <c r="AG2851" s="55">
        <f>IF(OR(T2851="",I2851&lt;T2851),"",IFERROR(AF2851/-(R2851/IF(G2851="",I2851,G2851)-1),""))</f>
        <v/>
      </c>
      <c r="AH2851" s="94" t="n"/>
      <c r="AI2851" s="94" t="n"/>
      <c r="AJ2851" s="94" t="n"/>
      <c r="AK2851" s="94" t="n"/>
      <c r="AL2851" s="84" t="n"/>
    </row>
    <row r="2852">
      <c r="A2852" s="64" t="n"/>
      <c r="B2852" s="65" t="n"/>
      <c r="C2852" s="66" t="n"/>
      <c r="D2852" s="67" t="n"/>
      <c r="E2852" s="68" t="n"/>
      <c r="F2852" s="47">
        <f>IF(A2852="","",IF(MIN(H2852,MAX(J2852:K2852))=0,"",MIN(H2852,MAX(J2852:K2852))))</f>
        <v/>
      </c>
      <c r="G2852" s="74" t="n"/>
      <c r="H2852" s="49">
        <f>IF(M2852="","",IFERROR(ROUND(AVERAGE(T2852+M2852*{7,8,9,10,11})/1.21,4),""))</f>
        <v/>
      </c>
      <c r="I2852" s="76" t="n"/>
      <c r="J2852" s="77" t="n"/>
      <c r="K2852" s="74" t="n"/>
      <c r="L2852" s="78" t="n"/>
      <c r="M2852" s="77" t="n"/>
      <c r="N2852" s="53">
        <f>IF(M2852="","",IFERROR(M2852/I2852,""))</f>
        <v/>
      </c>
      <c r="O2852" s="50">
        <f>IF(A2852="","",IFERROR((IF(G2852="",I2852,G2852)-T2852)/M2852,""))</f>
        <v/>
      </c>
      <c r="P2852" s="50">
        <f>IFERROR((I2852/T2852-1)/N2852,"")</f>
        <v/>
      </c>
      <c r="Q2852" s="46">
        <f>IF(OR(T2852="",I2852&lt;T2852),"",IFERROR(R2852/IF(G2852="",I2852,G2852)-1,""))</f>
        <v/>
      </c>
      <c r="R2852" s="48">
        <f>IF($M2852="","",MAX(IF($G2852="",$I2852,$G2852)*(1/1.1),IF($G2852="",$I2852,$G2852)+(R$2*$M2852)))</f>
        <v/>
      </c>
      <c r="S2852" s="49">
        <f>IF($M2852="","",MAX(IF($G2852="",$I2852,$G2852)*(1/1.1),IF($G2852="",$I2852,$G2852)+(S$2*$M2852)))</f>
        <v/>
      </c>
      <c r="T2852" s="82" t="n"/>
      <c r="U2852" s="47">
        <f>IF(OR($M2852="",$T2852=""),"",$T2852+(U$2*$M2852))</f>
        <v/>
      </c>
      <c r="V2852" s="48">
        <f>IF(OR($M2852="",$T2852=""),"",$T2852+(V$2*$M2852))</f>
        <v/>
      </c>
      <c r="W2852" s="48">
        <f>IF(OR($M2852="",$T2852=""),"",$T2852+(W$2*$M2852))</f>
        <v/>
      </c>
      <c r="X2852" s="49">
        <f>IF(OR($M2852="",$T2852=""),"",$T2852+(X$2*$M2852))</f>
        <v/>
      </c>
      <c r="Y2852" s="47">
        <f>IF(OR($M2852="",$T2852=""),"",$T2852+(Y$2*$M2852))</f>
        <v/>
      </c>
      <c r="Z2852" s="49">
        <f>IF(OR($M2852="",$T2852=""),"",$T2852+(Z$2*$M2852))</f>
        <v/>
      </c>
      <c r="AA2852" s="51">
        <f>IF(OR($M2852="",$T2852=""),"",$T2852+(AA$2*$M2852))</f>
        <v/>
      </c>
      <c r="AB2852" s="48">
        <f>IF(OR($M2852="",$T2852=""),"",$T2852+(AB$2*$M2852))</f>
        <v/>
      </c>
      <c r="AC2852" s="48">
        <f>IF(OR($M2852="",$T2852=""),"",$T2852+(AC$2*$M2852))</f>
        <v/>
      </c>
      <c r="AD2852" s="48">
        <f>IF(OR($M2852="",$T2852=""),"",$T2852+(AD$2*$M2852))</f>
        <v/>
      </c>
      <c r="AE2852" s="49">
        <f>IF(OR($M2852="",$T2852=""),"",$T2852+(AE$2*$M2852))</f>
        <v/>
      </c>
      <c r="AF2852" s="52">
        <f>IF(OR(T2852="",I2852&lt;T2852),"",IFERROR(AVERAGE(T2852+M2852*{7,8,9,10,11})/IF(G2852="",I2852,G2852)-1,""))</f>
        <v/>
      </c>
      <c r="AG2852" s="55">
        <f>IF(OR(T2852="",I2852&lt;T2852),"",IFERROR(AF2852/-(R2852/IF(G2852="",I2852,G2852)-1),""))</f>
        <v/>
      </c>
      <c r="AH2852" s="94" t="n"/>
      <c r="AI2852" s="94" t="n"/>
      <c r="AJ2852" s="94" t="n"/>
      <c r="AK2852" s="94" t="n"/>
      <c r="AL2852" s="84" t="n"/>
    </row>
    <row r="2853">
      <c r="A2853" s="64" t="n"/>
      <c r="B2853" s="65" t="n"/>
      <c r="C2853" s="66" t="n"/>
      <c r="D2853" s="67" t="n"/>
      <c r="E2853" s="68" t="n"/>
      <c r="F2853" s="47">
        <f>IF(A2853="","",IF(MIN(H2853,MAX(J2853:K2853))=0,"",MIN(H2853,MAX(J2853:K2853))))</f>
        <v/>
      </c>
      <c r="G2853" s="74" t="n"/>
      <c r="H2853" s="49">
        <f>IF(M2853="","",IFERROR(ROUND(AVERAGE(T2853+M2853*{7,8,9,10,11})/1.21,4),""))</f>
        <v/>
      </c>
      <c r="I2853" s="76" t="n"/>
      <c r="J2853" s="77" t="n"/>
      <c r="K2853" s="74" t="n"/>
      <c r="L2853" s="78" t="n"/>
      <c r="M2853" s="77" t="n"/>
      <c r="N2853" s="53">
        <f>IF(M2853="","",IFERROR(M2853/I2853,""))</f>
        <v/>
      </c>
      <c r="O2853" s="50">
        <f>IF(A2853="","",IFERROR((IF(G2853="",I2853,G2853)-T2853)/M2853,""))</f>
        <v/>
      </c>
      <c r="P2853" s="50">
        <f>IFERROR((I2853/T2853-1)/N2853,"")</f>
        <v/>
      </c>
      <c r="Q2853" s="46">
        <f>IF(OR(T2853="",I2853&lt;T2853),"",IFERROR(R2853/IF(G2853="",I2853,G2853)-1,""))</f>
        <v/>
      </c>
      <c r="R2853" s="48">
        <f>IF($M2853="","",MAX(IF($G2853="",$I2853,$G2853)*(1/1.1),IF($G2853="",$I2853,$G2853)+(R$2*$M2853)))</f>
        <v/>
      </c>
      <c r="S2853" s="49">
        <f>IF($M2853="","",MAX(IF($G2853="",$I2853,$G2853)*(1/1.1),IF($G2853="",$I2853,$G2853)+(S$2*$M2853)))</f>
        <v/>
      </c>
      <c r="T2853" s="82" t="n"/>
      <c r="U2853" s="47">
        <f>IF(OR($M2853="",$T2853=""),"",$T2853+(U$2*$M2853))</f>
        <v/>
      </c>
      <c r="V2853" s="48">
        <f>IF(OR($M2853="",$T2853=""),"",$T2853+(V$2*$M2853))</f>
        <v/>
      </c>
      <c r="W2853" s="48">
        <f>IF(OR($M2853="",$T2853=""),"",$T2853+(W$2*$M2853))</f>
        <v/>
      </c>
      <c r="X2853" s="49">
        <f>IF(OR($M2853="",$T2853=""),"",$T2853+(X$2*$M2853))</f>
        <v/>
      </c>
      <c r="Y2853" s="47">
        <f>IF(OR($M2853="",$T2853=""),"",$T2853+(Y$2*$M2853))</f>
        <v/>
      </c>
      <c r="Z2853" s="49">
        <f>IF(OR($M2853="",$T2853=""),"",$T2853+(Z$2*$M2853))</f>
        <v/>
      </c>
      <c r="AA2853" s="51">
        <f>IF(OR($M2853="",$T2853=""),"",$T2853+(AA$2*$M2853))</f>
        <v/>
      </c>
      <c r="AB2853" s="48">
        <f>IF(OR($M2853="",$T2853=""),"",$T2853+(AB$2*$M2853))</f>
        <v/>
      </c>
      <c r="AC2853" s="48">
        <f>IF(OR($M2853="",$T2853=""),"",$T2853+(AC$2*$M2853))</f>
        <v/>
      </c>
      <c r="AD2853" s="48">
        <f>IF(OR($M2853="",$T2853=""),"",$T2853+(AD$2*$M2853))</f>
        <v/>
      </c>
      <c r="AE2853" s="49">
        <f>IF(OR($M2853="",$T2853=""),"",$T2853+(AE$2*$M2853))</f>
        <v/>
      </c>
      <c r="AF2853" s="52">
        <f>IF(OR(T2853="",I2853&lt;T2853),"",IFERROR(AVERAGE(T2853+M2853*{7,8,9,10,11})/IF(G2853="",I2853,G2853)-1,""))</f>
        <v/>
      </c>
      <c r="AG2853" s="55">
        <f>IF(OR(T2853="",I2853&lt;T2853),"",IFERROR(AF2853/-(R2853/IF(G2853="",I2853,G2853)-1),""))</f>
        <v/>
      </c>
      <c r="AH2853" s="94" t="n"/>
      <c r="AI2853" s="94" t="n"/>
      <c r="AJ2853" s="94" t="n"/>
      <c r="AK2853" s="94" t="n"/>
      <c r="AL2853" s="84" t="n"/>
    </row>
    <row r="2854">
      <c r="A2854" s="64" t="n"/>
      <c r="B2854" s="65" t="n"/>
      <c r="C2854" s="66" t="n"/>
      <c r="D2854" s="67" t="n"/>
      <c r="E2854" s="68" t="n"/>
      <c r="F2854" s="47">
        <f>IF(A2854="","",IF(MIN(H2854,MAX(J2854:K2854))=0,"",MIN(H2854,MAX(J2854:K2854))))</f>
        <v/>
      </c>
      <c r="G2854" s="74" t="n"/>
      <c r="H2854" s="49">
        <f>IF(M2854="","",IFERROR(ROUND(AVERAGE(T2854+M2854*{7,8,9,10,11})/1.21,4),""))</f>
        <v/>
      </c>
      <c r="I2854" s="76" t="n"/>
      <c r="J2854" s="77" t="n"/>
      <c r="K2854" s="74" t="n"/>
      <c r="L2854" s="78" t="n"/>
      <c r="M2854" s="77" t="n"/>
      <c r="N2854" s="53">
        <f>IF(M2854="","",IFERROR(M2854/I2854,""))</f>
        <v/>
      </c>
      <c r="O2854" s="50">
        <f>IF(A2854="","",IFERROR((IF(G2854="",I2854,G2854)-T2854)/M2854,""))</f>
        <v/>
      </c>
      <c r="P2854" s="50">
        <f>IFERROR((I2854/T2854-1)/N2854,"")</f>
        <v/>
      </c>
      <c r="Q2854" s="46">
        <f>IF(OR(T2854="",I2854&lt;T2854),"",IFERROR(R2854/IF(G2854="",I2854,G2854)-1,""))</f>
        <v/>
      </c>
      <c r="R2854" s="48">
        <f>IF($M2854="","",MAX(IF($G2854="",$I2854,$G2854)*(1/1.1),IF($G2854="",$I2854,$G2854)+(R$2*$M2854)))</f>
        <v/>
      </c>
      <c r="S2854" s="49">
        <f>IF($M2854="","",MAX(IF($G2854="",$I2854,$G2854)*(1/1.1),IF($G2854="",$I2854,$G2854)+(S$2*$M2854)))</f>
        <v/>
      </c>
      <c r="T2854" s="82" t="n"/>
      <c r="U2854" s="47">
        <f>IF(OR($M2854="",$T2854=""),"",$T2854+(U$2*$M2854))</f>
        <v/>
      </c>
      <c r="V2854" s="48">
        <f>IF(OR($M2854="",$T2854=""),"",$T2854+(V$2*$M2854))</f>
        <v/>
      </c>
      <c r="W2854" s="48">
        <f>IF(OR($M2854="",$T2854=""),"",$T2854+(W$2*$M2854))</f>
        <v/>
      </c>
      <c r="X2854" s="49">
        <f>IF(OR($M2854="",$T2854=""),"",$T2854+(X$2*$M2854))</f>
        <v/>
      </c>
      <c r="Y2854" s="47">
        <f>IF(OR($M2854="",$T2854=""),"",$T2854+(Y$2*$M2854))</f>
        <v/>
      </c>
      <c r="Z2854" s="49">
        <f>IF(OR($M2854="",$T2854=""),"",$T2854+(Z$2*$M2854))</f>
        <v/>
      </c>
      <c r="AA2854" s="51">
        <f>IF(OR($M2854="",$T2854=""),"",$T2854+(AA$2*$M2854))</f>
        <v/>
      </c>
      <c r="AB2854" s="48">
        <f>IF(OR($M2854="",$T2854=""),"",$T2854+(AB$2*$M2854))</f>
        <v/>
      </c>
      <c r="AC2854" s="48">
        <f>IF(OR($M2854="",$T2854=""),"",$T2854+(AC$2*$M2854))</f>
        <v/>
      </c>
      <c r="AD2854" s="48">
        <f>IF(OR($M2854="",$T2854=""),"",$T2854+(AD$2*$M2854))</f>
        <v/>
      </c>
      <c r="AE2854" s="49">
        <f>IF(OR($M2854="",$T2854=""),"",$T2854+(AE$2*$M2854))</f>
        <v/>
      </c>
      <c r="AF2854" s="52">
        <f>IF(OR(T2854="",I2854&lt;T2854),"",IFERROR(AVERAGE(T2854+M2854*{7,8,9,10,11})/IF(G2854="",I2854,G2854)-1,""))</f>
        <v/>
      </c>
      <c r="AG2854" s="55">
        <f>IF(OR(T2854="",I2854&lt;T2854),"",IFERROR(AF2854/-(R2854/IF(G2854="",I2854,G2854)-1),""))</f>
        <v/>
      </c>
      <c r="AH2854" s="94" t="n"/>
      <c r="AI2854" s="94" t="n"/>
      <c r="AJ2854" s="94" t="n"/>
      <c r="AK2854" s="94" t="n"/>
      <c r="AL2854" s="84" t="n"/>
    </row>
    <row r="2855">
      <c r="A2855" s="64" t="n"/>
      <c r="B2855" s="65" t="n"/>
      <c r="C2855" s="66" t="n"/>
      <c r="D2855" s="67" t="n"/>
      <c r="E2855" s="68" t="n"/>
      <c r="F2855" s="47">
        <f>IF(A2855="","",IF(MIN(H2855,MAX(J2855:K2855))=0,"",MIN(H2855,MAX(J2855:K2855))))</f>
        <v/>
      </c>
      <c r="G2855" s="74" t="n"/>
      <c r="H2855" s="49">
        <f>IF(M2855="","",IFERROR(ROUND(AVERAGE(T2855+M2855*{7,8,9,10,11})/1.21,4),""))</f>
        <v/>
      </c>
      <c r="I2855" s="76" t="n"/>
      <c r="J2855" s="77" t="n"/>
      <c r="K2855" s="74" t="n"/>
      <c r="L2855" s="78" t="n"/>
      <c r="M2855" s="77" t="n"/>
      <c r="N2855" s="53">
        <f>IF(M2855="","",IFERROR(M2855/I2855,""))</f>
        <v/>
      </c>
      <c r="O2855" s="50">
        <f>IF(A2855="","",IFERROR((IF(G2855="",I2855,G2855)-T2855)/M2855,""))</f>
        <v/>
      </c>
      <c r="P2855" s="50">
        <f>IFERROR((I2855/T2855-1)/N2855,"")</f>
        <v/>
      </c>
      <c r="Q2855" s="46">
        <f>IF(OR(T2855="",I2855&lt;T2855),"",IFERROR(R2855/IF(G2855="",I2855,G2855)-1,""))</f>
        <v/>
      </c>
      <c r="R2855" s="48">
        <f>IF($M2855="","",MAX(IF($G2855="",$I2855,$G2855)*(1/1.1),IF($G2855="",$I2855,$G2855)+(R$2*$M2855)))</f>
        <v/>
      </c>
      <c r="S2855" s="49">
        <f>IF($M2855="","",MAX(IF($G2855="",$I2855,$G2855)*(1/1.1),IF($G2855="",$I2855,$G2855)+(S$2*$M2855)))</f>
        <v/>
      </c>
      <c r="T2855" s="82" t="n"/>
      <c r="U2855" s="47">
        <f>IF(OR($M2855="",$T2855=""),"",$T2855+(U$2*$M2855))</f>
        <v/>
      </c>
      <c r="V2855" s="48">
        <f>IF(OR($M2855="",$T2855=""),"",$T2855+(V$2*$M2855))</f>
        <v/>
      </c>
      <c r="W2855" s="48">
        <f>IF(OR($M2855="",$T2855=""),"",$T2855+(W$2*$M2855))</f>
        <v/>
      </c>
      <c r="X2855" s="49">
        <f>IF(OR($M2855="",$T2855=""),"",$T2855+(X$2*$M2855))</f>
        <v/>
      </c>
      <c r="Y2855" s="47">
        <f>IF(OR($M2855="",$T2855=""),"",$T2855+(Y$2*$M2855))</f>
        <v/>
      </c>
      <c r="Z2855" s="49">
        <f>IF(OR($M2855="",$T2855=""),"",$T2855+(Z$2*$M2855))</f>
        <v/>
      </c>
      <c r="AA2855" s="51">
        <f>IF(OR($M2855="",$T2855=""),"",$T2855+(AA$2*$M2855))</f>
        <v/>
      </c>
      <c r="AB2855" s="48">
        <f>IF(OR($M2855="",$T2855=""),"",$T2855+(AB$2*$M2855))</f>
        <v/>
      </c>
      <c r="AC2855" s="48">
        <f>IF(OR($M2855="",$T2855=""),"",$T2855+(AC$2*$M2855))</f>
        <v/>
      </c>
      <c r="AD2855" s="48">
        <f>IF(OR($M2855="",$T2855=""),"",$T2855+(AD$2*$M2855))</f>
        <v/>
      </c>
      <c r="AE2855" s="49">
        <f>IF(OR($M2855="",$T2855=""),"",$T2855+(AE$2*$M2855))</f>
        <v/>
      </c>
      <c r="AF2855" s="52">
        <f>IF(OR(T2855="",I2855&lt;T2855),"",IFERROR(AVERAGE(T2855+M2855*{7,8,9,10,11})/IF(G2855="",I2855,G2855)-1,""))</f>
        <v/>
      </c>
      <c r="AG2855" s="55">
        <f>IF(OR(T2855="",I2855&lt;T2855),"",IFERROR(AF2855/-(R2855/IF(G2855="",I2855,G2855)-1),""))</f>
        <v/>
      </c>
      <c r="AH2855" s="94" t="n"/>
      <c r="AI2855" s="94" t="n"/>
      <c r="AJ2855" s="94" t="n"/>
      <c r="AK2855" s="94" t="n"/>
      <c r="AL2855" s="84" t="n"/>
    </row>
    <row r="2856">
      <c r="A2856" s="64" t="n"/>
      <c r="B2856" s="65" t="n"/>
      <c r="C2856" s="66" t="n"/>
      <c r="D2856" s="67" t="n"/>
      <c r="E2856" s="68" t="n"/>
      <c r="F2856" s="47">
        <f>IF(A2856="","",IF(MIN(H2856,MAX(J2856:K2856))=0,"",MIN(H2856,MAX(J2856:K2856))))</f>
        <v/>
      </c>
      <c r="G2856" s="74" t="n"/>
      <c r="H2856" s="49">
        <f>IF(M2856="","",IFERROR(ROUND(AVERAGE(T2856+M2856*{7,8,9,10,11})/1.21,4),""))</f>
        <v/>
      </c>
      <c r="I2856" s="76" t="n"/>
      <c r="J2856" s="77" t="n"/>
      <c r="K2856" s="74" t="n"/>
      <c r="L2856" s="78" t="n"/>
      <c r="M2856" s="77" t="n"/>
      <c r="N2856" s="53">
        <f>IF(M2856="","",IFERROR(M2856/I2856,""))</f>
        <v/>
      </c>
      <c r="O2856" s="50">
        <f>IF(A2856="","",IFERROR((IF(G2856="",I2856,G2856)-T2856)/M2856,""))</f>
        <v/>
      </c>
      <c r="P2856" s="50">
        <f>IFERROR((I2856/T2856-1)/N2856,"")</f>
        <v/>
      </c>
      <c r="Q2856" s="46">
        <f>IF(OR(T2856="",I2856&lt;T2856),"",IFERROR(R2856/IF(G2856="",I2856,G2856)-1,""))</f>
        <v/>
      </c>
      <c r="R2856" s="48">
        <f>IF($M2856="","",MAX(IF($G2856="",$I2856,$G2856)*(1/1.1),IF($G2856="",$I2856,$G2856)+(R$2*$M2856)))</f>
        <v/>
      </c>
      <c r="S2856" s="49">
        <f>IF($M2856="","",MAX(IF($G2856="",$I2856,$G2856)*(1/1.1),IF($G2856="",$I2856,$G2856)+(S$2*$M2856)))</f>
        <v/>
      </c>
      <c r="T2856" s="82" t="n"/>
      <c r="U2856" s="47">
        <f>IF(OR($M2856="",$T2856=""),"",$T2856+(U$2*$M2856))</f>
        <v/>
      </c>
      <c r="V2856" s="48">
        <f>IF(OR($M2856="",$T2856=""),"",$T2856+(V$2*$M2856))</f>
        <v/>
      </c>
      <c r="W2856" s="48">
        <f>IF(OR($M2856="",$T2856=""),"",$T2856+(W$2*$M2856))</f>
        <v/>
      </c>
      <c r="X2856" s="49">
        <f>IF(OR($M2856="",$T2856=""),"",$T2856+(X$2*$M2856))</f>
        <v/>
      </c>
      <c r="Y2856" s="47">
        <f>IF(OR($M2856="",$T2856=""),"",$T2856+(Y$2*$M2856))</f>
        <v/>
      </c>
      <c r="Z2856" s="49">
        <f>IF(OR($M2856="",$T2856=""),"",$T2856+(Z$2*$M2856))</f>
        <v/>
      </c>
      <c r="AA2856" s="51">
        <f>IF(OR($M2856="",$T2856=""),"",$T2856+(AA$2*$M2856))</f>
        <v/>
      </c>
      <c r="AB2856" s="48">
        <f>IF(OR($M2856="",$T2856=""),"",$T2856+(AB$2*$M2856))</f>
        <v/>
      </c>
      <c r="AC2856" s="48">
        <f>IF(OR($M2856="",$T2856=""),"",$T2856+(AC$2*$M2856))</f>
        <v/>
      </c>
      <c r="AD2856" s="48">
        <f>IF(OR($M2856="",$T2856=""),"",$T2856+(AD$2*$M2856))</f>
        <v/>
      </c>
      <c r="AE2856" s="49">
        <f>IF(OR($M2856="",$T2856=""),"",$T2856+(AE$2*$M2856))</f>
        <v/>
      </c>
      <c r="AF2856" s="52">
        <f>IF(OR(T2856="",I2856&lt;T2856),"",IFERROR(AVERAGE(T2856+M2856*{7,8,9,10,11})/IF(G2856="",I2856,G2856)-1,""))</f>
        <v/>
      </c>
      <c r="AG2856" s="55">
        <f>IF(OR(T2856="",I2856&lt;T2856),"",IFERROR(AF2856/-(R2856/IF(G2856="",I2856,G2856)-1),""))</f>
        <v/>
      </c>
      <c r="AH2856" s="94" t="n"/>
      <c r="AI2856" s="94" t="n"/>
      <c r="AJ2856" s="94" t="n"/>
      <c r="AK2856" s="94" t="n"/>
      <c r="AL2856" s="84" t="n"/>
    </row>
    <row r="2857">
      <c r="A2857" s="64" t="n"/>
      <c r="B2857" s="65" t="n"/>
      <c r="C2857" s="66" t="n"/>
      <c r="D2857" s="67" t="n"/>
      <c r="E2857" s="68" t="n"/>
      <c r="F2857" s="47">
        <f>IF(A2857="","",IF(MIN(H2857,MAX(J2857:K2857))=0,"",MIN(H2857,MAX(J2857:K2857))))</f>
        <v/>
      </c>
      <c r="G2857" s="74" t="n"/>
      <c r="H2857" s="49">
        <f>IF(M2857="","",IFERROR(ROUND(AVERAGE(T2857+M2857*{7,8,9,10,11})/1.21,4),""))</f>
        <v/>
      </c>
      <c r="I2857" s="76" t="n"/>
      <c r="J2857" s="77" t="n"/>
      <c r="K2857" s="74" t="n"/>
      <c r="L2857" s="78" t="n"/>
      <c r="M2857" s="77" t="n"/>
      <c r="N2857" s="53">
        <f>IF(M2857="","",IFERROR(M2857/I2857,""))</f>
        <v/>
      </c>
      <c r="O2857" s="50">
        <f>IF(A2857="","",IFERROR((IF(G2857="",I2857,G2857)-T2857)/M2857,""))</f>
        <v/>
      </c>
      <c r="P2857" s="50">
        <f>IFERROR((I2857/T2857-1)/N2857,"")</f>
        <v/>
      </c>
      <c r="Q2857" s="46">
        <f>IF(OR(T2857="",I2857&lt;T2857),"",IFERROR(R2857/IF(G2857="",I2857,G2857)-1,""))</f>
        <v/>
      </c>
      <c r="R2857" s="48">
        <f>IF($M2857="","",MAX(IF($G2857="",$I2857,$G2857)*(1/1.1),IF($G2857="",$I2857,$G2857)+(R$2*$M2857)))</f>
        <v/>
      </c>
      <c r="S2857" s="49">
        <f>IF($M2857="","",MAX(IF($G2857="",$I2857,$G2857)*(1/1.1),IF($G2857="",$I2857,$G2857)+(S$2*$M2857)))</f>
        <v/>
      </c>
      <c r="T2857" s="82" t="n"/>
      <c r="U2857" s="47">
        <f>IF(OR($M2857="",$T2857=""),"",$T2857+(U$2*$M2857))</f>
        <v/>
      </c>
      <c r="V2857" s="48">
        <f>IF(OR($M2857="",$T2857=""),"",$T2857+(V$2*$M2857))</f>
        <v/>
      </c>
      <c r="W2857" s="48">
        <f>IF(OR($M2857="",$T2857=""),"",$T2857+(W$2*$M2857))</f>
        <v/>
      </c>
      <c r="X2857" s="49">
        <f>IF(OR($M2857="",$T2857=""),"",$T2857+(X$2*$M2857))</f>
        <v/>
      </c>
      <c r="Y2857" s="47">
        <f>IF(OR($M2857="",$T2857=""),"",$T2857+(Y$2*$M2857))</f>
        <v/>
      </c>
      <c r="Z2857" s="49">
        <f>IF(OR($M2857="",$T2857=""),"",$T2857+(Z$2*$M2857))</f>
        <v/>
      </c>
      <c r="AA2857" s="51">
        <f>IF(OR($M2857="",$T2857=""),"",$T2857+(AA$2*$M2857))</f>
        <v/>
      </c>
      <c r="AB2857" s="48">
        <f>IF(OR($M2857="",$T2857=""),"",$T2857+(AB$2*$M2857))</f>
        <v/>
      </c>
      <c r="AC2857" s="48">
        <f>IF(OR($M2857="",$T2857=""),"",$T2857+(AC$2*$M2857))</f>
        <v/>
      </c>
      <c r="AD2857" s="48">
        <f>IF(OR($M2857="",$T2857=""),"",$T2857+(AD$2*$M2857))</f>
        <v/>
      </c>
      <c r="AE2857" s="49">
        <f>IF(OR($M2857="",$T2857=""),"",$T2857+(AE$2*$M2857))</f>
        <v/>
      </c>
      <c r="AF2857" s="52">
        <f>IF(OR(T2857="",I2857&lt;T2857),"",IFERROR(AVERAGE(T2857+M2857*{7,8,9,10,11})/IF(G2857="",I2857,G2857)-1,""))</f>
        <v/>
      </c>
      <c r="AG2857" s="55">
        <f>IF(OR(T2857="",I2857&lt;T2857),"",IFERROR(AF2857/-(R2857/IF(G2857="",I2857,G2857)-1),""))</f>
        <v/>
      </c>
      <c r="AH2857" s="94" t="n"/>
      <c r="AI2857" s="94" t="n"/>
      <c r="AJ2857" s="94" t="n"/>
      <c r="AK2857" s="94" t="n"/>
      <c r="AL2857" s="84" t="n"/>
    </row>
    <row r="2858">
      <c r="A2858" s="64" t="n"/>
      <c r="B2858" s="65" t="n"/>
      <c r="C2858" s="66" t="n"/>
      <c r="D2858" s="67" t="n"/>
      <c r="E2858" s="68" t="n"/>
      <c r="F2858" s="47">
        <f>IF(A2858="","",IF(MIN(H2858,MAX(J2858:K2858))=0,"",MIN(H2858,MAX(J2858:K2858))))</f>
        <v/>
      </c>
      <c r="G2858" s="74" t="n"/>
      <c r="H2858" s="49">
        <f>IF(M2858="","",IFERROR(ROUND(AVERAGE(T2858+M2858*{7,8,9,10,11})/1.21,4),""))</f>
        <v/>
      </c>
      <c r="I2858" s="76" t="n"/>
      <c r="J2858" s="77" t="n"/>
      <c r="K2858" s="74" t="n"/>
      <c r="L2858" s="78" t="n"/>
      <c r="M2858" s="77" t="n"/>
      <c r="N2858" s="53">
        <f>IF(M2858="","",IFERROR(M2858/I2858,""))</f>
        <v/>
      </c>
      <c r="O2858" s="50">
        <f>IF(A2858="","",IFERROR((IF(G2858="",I2858,G2858)-T2858)/M2858,""))</f>
        <v/>
      </c>
      <c r="P2858" s="50">
        <f>IFERROR((I2858/T2858-1)/N2858,"")</f>
        <v/>
      </c>
      <c r="Q2858" s="46">
        <f>IF(OR(T2858="",I2858&lt;T2858),"",IFERROR(R2858/IF(G2858="",I2858,G2858)-1,""))</f>
        <v/>
      </c>
      <c r="R2858" s="48">
        <f>IF($M2858="","",MAX(IF($G2858="",$I2858,$G2858)*(1/1.1),IF($G2858="",$I2858,$G2858)+(R$2*$M2858)))</f>
        <v/>
      </c>
      <c r="S2858" s="49">
        <f>IF($M2858="","",MAX(IF($G2858="",$I2858,$G2858)*(1/1.1),IF($G2858="",$I2858,$G2858)+(S$2*$M2858)))</f>
        <v/>
      </c>
      <c r="T2858" s="82" t="n"/>
      <c r="U2858" s="47">
        <f>IF(OR($M2858="",$T2858=""),"",$T2858+(U$2*$M2858))</f>
        <v/>
      </c>
      <c r="V2858" s="48">
        <f>IF(OR($M2858="",$T2858=""),"",$T2858+(V$2*$M2858))</f>
        <v/>
      </c>
      <c r="W2858" s="48">
        <f>IF(OR($M2858="",$T2858=""),"",$T2858+(W$2*$M2858))</f>
        <v/>
      </c>
      <c r="X2858" s="49">
        <f>IF(OR($M2858="",$T2858=""),"",$T2858+(X$2*$M2858))</f>
        <v/>
      </c>
      <c r="Y2858" s="47">
        <f>IF(OR($M2858="",$T2858=""),"",$T2858+(Y$2*$M2858))</f>
        <v/>
      </c>
      <c r="Z2858" s="49">
        <f>IF(OR($M2858="",$T2858=""),"",$T2858+(Z$2*$M2858))</f>
        <v/>
      </c>
      <c r="AA2858" s="51">
        <f>IF(OR($M2858="",$T2858=""),"",$T2858+(AA$2*$M2858))</f>
        <v/>
      </c>
      <c r="AB2858" s="48">
        <f>IF(OR($M2858="",$T2858=""),"",$T2858+(AB$2*$M2858))</f>
        <v/>
      </c>
      <c r="AC2858" s="48">
        <f>IF(OR($M2858="",$T2858=""),"",$T2858+(AC$2*$M2858))</f>
        <v/>
      </c>
      <c r="AD2858" s="48">
        <f>IF(OR($M2858="",$T2858=""),"",$T2858+(AD$2*$M2858))</f>
        <v/>
      </c>
      <c r="AE2858" s="49">
        <f>IF(OR($M2858="",$T2858=""),"",$T2858+(AE$2*$M2858))</f>
        <v/>
      </c>
      <c r="AF2858" s="52">
        <f>IF(OR(T2858="",I2858&lt;T2858),"",IFERROR(AVERAGE(T2858+M2858*{7,8,9,10,11})/IF(G2858="",I2858,G2858)-1,""))</f>
        <v/>
      </c>
      <c r="AG2858" s="55">
        <f>IF(OR(T2858="",I2858&lt;T2858),"",IFERROR(AF2858/-(R2858/IF(G2858="",I2858,G2858)-1),""))</f>
        <v/>
      </c>
      <c r="AH2858" s="94" t="n"/>
      <c r="AI2858" s="94" t="n"/>
      <c r="AJ2858" s="94" t="n"/>
      <c r="AK2858" s="94" t="n"/>
      <c r="AL2858" s="84" t="n"/>
    </row>
    <row r="2859">
      <c r="A2859" s="64" t="n"/>
      <c r="B2859" s="65" t="n"/>
      <c r="C2859" s="66" t="n"/>
      <c r="D2859" s="67" t="n"/>
      <c r="E2859" s="68" t="n"/>
      <c r="F2859" s="47">
        <f>IF(A2859="","",IF(MIN(H2859,MAX(J2859:K2859))=0,"",MIN(H2859,MAX(J2859:K2859))))</f>
        <v/>
      </c>
      <c r="G2859" s="74" t="n"/>
      <c r="H2859" s="49">
        <f>IF(M2859="","",IFERROR(ROUND(AVERAGE(T2859+M2859*{7,8,9,10,11})/1.21,4),""))</f>
        <v/>
      </c>
      <c r="I2859" s="76" t="n"/>
      <c r="J2859" s="77" t="n"/>
      <c r="K2859" s="74" t="n"/>
      <c r="L2859" s="78" t="n"/>
      <c r="M2859" s="77" t="n"/>
      <c r="N2859" s="53">
        <f>IF(M2859="","",IFERROR(M2859/I2859,""))</f>
        <v/>
      </c>
      <c r="O2859" s="50">
        <f>IF(A2859="","",IFERROR((IF(G2859="",I2859,G2859)-T2859)/M2859,""))</f>
        <v/>
      </c>
      <c r="P2859" s="50">
        <f>IFERROR((I2859/T2859-1)/N2859,"")</f>
        <v/>
      </c>
      <c r="Q2859" s="46">
        <f>IF(OR(T2859="",I2859&lt;T2859),"",IFERROR(R2859/IF(G2859="",I2859,G2859)-1,""))</f>
        <v/>
      </c>
      <c r="R2859" s="48">
        <f>IF($M2859="","",MAX(IF($G2859="",$I2859,$G2859)*(1/1.1),IF($G2859="",$I2859,$G2859)+(R$2*$M2859)))</f>
        <v/>
      </c>
      <c r="S2859" s="49">
        <f>IF($M2859="","",MAX(IF($G2859="",$I2859,$G2859)*(1/1.1),IF($G2859="",$I2859,$G2859)+(S$2*$M2859)))</f>
        <v/>
      </c>
      <c r="T2859" s="82" t="n"/>
      <c r="U2859" s="47">
        <f>IF(OR($M2859="",$T2859=""),"",$T2859+(U$2*$M2859))</f>
        <v/>
      </c>
      <c r="V2859" s="48">
        <f>IF(OR($M2859="",$T2859=""),"",$T2859+(V$2*$M2859))</f>
        <v/>
      </c>
      <c r="W2859" s="48">
        <f>IF(OR($M2859="",$T2859=""),"",$T2859+(W$2*$M2859))</f>
        <v/>
      </c>
      <c r="X2859" s="49">
        <f>IF(OR($M2859="",$T2859=""),"",$T2859+(X$2*$M2859))</f>
        <v/>
      </c>
      <c r="Y2859" s="47">
        <f>IF(OR($M2859="",$T2859=""),"",$T2859+(Y$2*$M2859))</f>
        <v/>
      </c>
      <c r="Z2859" s="49">
        <f>IF(OR($M2859="",$T2859=""),"",$T2859+(Z$2*$M2859))</f>
        <v/>
      </c>
      <c r="AA2859" s="51">
        <f>IF(OR($M2859="",$T2859=""),"",$T2859+(AA$2*$M2859))</f>
        <v/>
      </c>
      <c r="AB2859" s="48">
        <f>IF(OR($M2859="",$T2859=""),"",$T2859+(AB$2*$M2859))</f>
        <v/>
      </c>
      <c r="AC2859" s="48">
        <f>IF(OR($M2859="",$T2859=""),"",$T2859+(AC$2*$M2859))</f>
        <v/>
      </c>
      <c r="AD2859" s="48">
        <f>IF(OR($M2859="",$T2859=""),"",$T2859+(AD$2*$M2859))</f>
        <v/>
      </c>
      <c r="AE2859" s="49">
        <f>IF(OR($M2859="",$T2859=""),"",$T2859+(AE$2*$M2859))</f>
        <v/>
      </c>
      <c r="AF2859" s="52">
        <f>IF(OR(T2859="",I2859&lt;T2859),"",IFERROR(AVERAGE(T2859+M2859*{7,8,9,10,11})/IF(G2859="",I2859,G2859)-1,""))</f>
        <v/>
      </c>
      <c r="AG2859" s="55">
        <f>IF(OR(T2859="",I2859&lt;T2859),"",IFERROR(AF2859/-(R2859/IF(G2859="",I2859,G2859)-1),""))</f>
        <v/>
      </c>
      <c r="AH2859" s="94" t="n"/>
      <c r="AI2859" s="94" t="n"/>
      <c r="AJ2859" s="94" t="n"/>
      <c r="AK2859" s="94" t="n"/>
      <c r="AL2859" s="84" t="n"/>
    </row>
    <row r="2860">
      <c r="A2860" s="64" t="n"/>
      <c r="B2860" s="65" t="n"/>
      <c r="C2860" s="66" t="n"/>
      <c r="D2860" s="67" t="n"/>
      <c r="E2860" s="68" t="n"/>
      <c r="F2860" s="47">
        <f>IF(A2860="","",IF(MIN(H2860,MAX(J2860:K2860))=0,"",MIN(H2860,MAX(J2860:K2860))))</f>
        <v/>
      </c>
      <c r="G2860" s="74" t="n"/>
      <c r="H2860" s="49">
        <f>IF(M2860="","",IFERROR(ROUND(AVERAGE(T2860+M2860*{7,8,9,10,11})/1.21,4),""))</f>
        <v/>
      </c>
      <c r="I2860" s="76" t="n"/>
      <c r="J2860" s="77" t="n"/>
      <c r="K2860" s="74" t="n"/>
      <c r="L2860" s="78" t="n"/>
      <c r="M2860" s="77" t="n"/>
      <c r="N2860" s="53">
        <f>IF(M2860="","",IFERROR(M2860/I2860,""))</f>
        <v/>
      </c>
      <c r="O2860" s="50">
        <f>IF(A2860="","",IFERROR((IF(G2860="",I2860,G2860)-T2860)/M2860,""))</f>
        <v/>
      </c>
      <c r="P2860" s="50">
        <f>IFERROR((I2860/T2860-1)/N2860,"")</f>
        <v/>
      </c>
      <c r="Q2860" s="46">
        <f>IF(OR(T2860="",I2860&lt;T2860),"",IFERROR(R2860/IF(G2860="",I2860,G2860)-1,""))</f>
        <v/>
      </c>
      <c r="R2860" s="48">
        <f>IF($M2860="","",MAX(IF($G2860="",$I2860,$G2860)*(1/1.1),IF($G2860="",$I2860,$G2860)+(R$2*$M2860)))</f>
        <v/>
      </c>
      <c r="S2860" s="49">
        <f>IF($M2860="","",MAX(IF($G2860="",$I2860,$G2860)*(1/1.1),IF($G2860="",$I2860,$G2860)+(S$2*$M2860)))</f>
        <v/>
      </c>
      <c r="T2860" s="82" t="n"/>
      <c r="U2860" s="47">
        <f>IF(OR($M2860="",$T2860=""),"",$T2860+(U$2*$M2860))</f>
        <v/>
      </c>
      <c r="V2860" s="48">
        <f>IF(OR($M2860="",$T2860=""),"",$T2860+(V$2*$M2860))</f>
        <v/>
      </c>
      <c r="W2860" s="48">
        <f>IF(OR($M2860="",$T2860=""),"",$T2860+(W$2*$M2860))</f>
        <v/>
      </c>
      <c r="X2860" s="49">
        <f>IF(OR($M2860="",$T2860=""),"",$T2860+(X$2*$M2860))</f>
        <v/>
      </c>
      <c r="Y2860" s="47">
        <f>IF(OR($M2860="",$T2860=""),"",$T2860+(Y$2*$M2860))</f>
        <v/>
      </c>
      <c r="Z2860" s="49">
        <f>IF(OR($M2860="",$T2860=""),"",$T2860+(Z$2*$M2860))</f>
        <v/>
      </c>
      <c r="AA2860" s="51">
        <f>IF(OR($M2860="",$T2860=""),"",$T2860+(AA$2*$M2860))</f>
        <v/>
      </c>
      <c r="AB2860" s="48">
        <f>IF(OR($M2860="",$T2860=""),"",$T2860+(AB$2*$M2860))</f>
        <v/>
      </c>
      <c r="AC2860" s="48">
        <f>IF(OR($M2860="",$T2860=""),"",$T2860+(AC$2*$M2860))</f>
        <v/>
      </c>
      <c r="AD2860" s="48">
        <f>IF(OR($M2860="",$T2860=""),"",$T2860+(AD$2*$M2860))</f>
        <v/>
      </c>
      <c r="AE2860" s="49">
        <f>IF(OR($M2860="",$T2860=""),"",$T2860+(AE$2*$M2860))</f>
        <v/>
      </c>
      <c r="AF2860" s="52">
        <f>IF(OR(T2860="",I2860&lt;T2860),"",IFERROR(AVERAGE(T2860+M2860*{7,8,9,10,11})/IF(G2860="",I2860,G2860)-1,""))</f>
        <v/>
      </c>
      <c r="AG2860" s="55">
        <f>IF(OR(T2860="",I2860&lt;T2860),"",IFERROR(AF2860/-(R2860/IF(G2860="",I2860,G2860)-1),""))</f>
        <v/>
      </c>
      <c r="AH2860" s="94" t="n"/>
      <c r="AI2860" s="94" t="n"/>
      <c r="AJ2860" s="94" t="n"/>
      <c r="AK2860" s="94" t="n"/>
      <c r="AL2860" s="84" t="n"/>
    </row>
    <row r="2861">
      <c r="A2861" s="64" t="n"/>
      <c r="B2861" s="65" t="n"/>
      <c r="C2861" s="66" t="n"/>
      <c r="D2861" s="67" t="n"/>
      <c r="E2861" s="68" t="n"/>
      <c r="F2861" s="47">
        <f>IF(A2861="","",IF(MIN(H2861,MAX(J2861:K2861))=0,"",MIN(H2861,MAX(J2861:K2861))))</f>
        <v/>
      </c>
      <c r="G2861" s="74" t="n"/>
      <c r="H2861" s="49">
        <f>IF(M2861="","",IFERROR(ROUND(AVERAGE(T2861+M2861*{7,8,9,10,11})/1.21,4),""))</f>
        <v/>
      </c>
      <c r="I2861" s="76" t="n"/>
      <c r="J2861" s="77" t="n"/>
      <c r="K2861" s="74" t="n"/>
      <c r="L2861" s="78" t="n"/>
      <c r="M2861" s="77" t="n"/>
      <c r="N2861" s="53">
        <f>IF(M2861="","",IFERROR(M2861/I2861,""))</f>
        <v/>
      </c>
      <c r="O2861" s="50">
        <f>IF(A2861="","",IFERROR((IF(G2861="",I2861,G2861)-T2861)/M2861,""))</f>
        <v/>
      </c>
      <c r="P2861" s="50">
        <f>IFERROR((I2861/T2861-1)/N2861,"")</f>
        <v/>
      </c>
      <c r="Q2861" s="46">
        <f>IF(OR(T2861="",I2861&lt;T2861),"",IFERROR(R2861/IF(G2861="",I2861,G2861)-1,""))</f>
        <v/>
      </c>
      <c r="R2861" s="48">
        <f>IF($M2861="","",MAX(IF($G2861="",$I2861,$G2861)*(1/1.1),IF($G2861="",$I2861,$G2861)+(R$2*$M2861)))</f>
        <v/>
      </c>
      <c r="S2861" s="49">
        <f>IF($M2861="","",MAX(IF($G2861="",$I2861,$G2861)*(1/1.1),IF($G2861="",$I2861,$G2861)+(S$2*$M2861)))</f>
        <v/>
      </c>
      <c r="T2861" s="82" t="n"/>
      <c r="U2861" s="47">
        <f>IF(OR($M2861="",$T2861=""),"",$T2861+(U$2*$M2861))</f>
        <v/>
      </c>
      <c r="V2861" s="48">
        <f>IF(OR($M2861="",$T2861=""),"",$T2861+(V$2*$M2861))</f>
        <v/>
      </c>
      <c r="W2861" s="48">
        <f>IF(OR($M2861="",$T2861=""),"",$T2861+(W$2*$M2861))</f>
        <v/>
      </c>
      <c r="X2861" s="49">
        <f>IF(OR($M2861="",$T2861=""),"",$T2861+(X$2*$M2861))</f>
        <v/>
      </c>
      <c r="Y2861" s="47">
        <f>IF(OR($M2861="",$T2861=""),"",$T2861+(Y$2*$M2861))</f>
        <v/>
      </c>
      <c r="Z2861" s="49">
        <f>IF(OR($M2861="",$T2861=""),"",$T2861+(Z$2*$M2861))</f>
        <v/>
      </c>
      <c r="AA2861" s="51">
        <f>IF(OR($M2861="",$T2861=""),"",$T2861+(AA$2*$M2861))</f>
        <v/>
      </c>
      <c r="AB2861" s="48">
        <f>IF(OR($M2861="",$T2861=""),"",$T2861+(AB$2*$M2861))</f>
        <v/>
      </c>
      <c r="AC2861" s="48">
        <f>IF(OR($M2861="",$T2861=""),"",$T2861+(AC$2*$M2861))</f>
        <v/>
      </c>
      <c r="AD2861" s="48">
        <f>IF(OR($M2861="",$T2861=""),"",$T2861+(AD$2*$M2861))</f>
        <v/>
      </c>
      <c r="AE2861" s="49">
        <f>IF(OR($M2861="",$T2861=""),"",$T2861+(AE$2*$M2861))</f>
        <v/>
      </c>
      <c r="AF2861" s="52">
        <f>IF(OR(T2861="",I2861&lt;T2861),"",IFERROR(AVERAGE(T2861+M2861*{7,8,9,10,11})/IF(G2861="",I2861,G2861)-1,""))</f>
        <v/>
      </c>
      <c r="AG2861" s="55">
        <f>IF(OR(T2861="",I2861&lt;T2861),"",IFERROR(AF2861/-(R2861/IF(G2861="",I2861,G2861)-1),""))</f>
        <v/>
      </c>
      <c r="AH2861" s="94" t="n"/>
      <c r="AI2861" s="94" t="n"/>
      <c r="AJ2861" s="94" t="n"/>
      <c r="AK2861" s="94" t="n"/>
      <c r="AL2861" s="84" t="n"/>
    </row>
    <row r="2862">
      <c r="A2862" s="64" t="n"/>
      <c r="B2862" s="65" t="n"/>
      <c r="C2862" s="66" t="n"/>
      <c r="D2862" s="67" t="n"/>
      <c r="E2862" s="68" t="n"/>
      <c r="F2862" s="47">
        <f>IF(A2862="","",IF(MIN(H2862,MAX(J2862:K2862))=0,"",MIN(H2862,MAX(J2862:K2862))))</f>
        <v/>
      </c>
      <c r="G2862" s="74" t="n"/>
      <c r="H2862" s="49">
        <f>IF(M2862="","",IFERROR(ROUND(AVERAGE(T2862+M2862*{7,8,9,10,11})/1.21,4),""))</f>
        <v/>
      </c>
      <c r="I2862" s="76" t="n"/>
      <c r="J2862" s="77" t="n"/>
      <c r="K2862" s="74" t="n"/>
      <c r="L2862" s="78" t="n"/>
      <c r="M2862" s="77" t="n"/>
      <c r="N2862" s="53">
        <f>IF(M2862="","",IFERROR(M2862/I2862,""))</f>
        <v/>
      </c>
      <c r="O2862" s="50">
        <f>IF(A2862="","",IFERROR((IF(G2862="",I2862,G2862)-T2862)/M2862,""))</f>
        <v/>
      </c>
      <c r="P2862" s="50">
        <f>IFERROR((I2862/T2862-1)/N2862,"")</f>
        <v/>
      </c>
      <c r="Q2862" s="46">
        <f>IF(OR(T2862="",I2862&lt;T2862),"",IFERROR(R2862/IF(G2862="",I2862,G2862)-1,""))</f>
        <v/>
      </c>
      <c r="R2862" s="48">
        <f>IF($M2862="","",MAX(IF($G2862="",$I2862,$G2862)*(1/1.1),IF($G2862="",$I2862,$G2862)+(R$2*$M2862)))</f>
        <v/>
      </c>
      <c r="S2862" s="49">
        <f>IF($M2862="","",MAX(IF($G2862="",$I2862,$G2862)*(1/1.1),IF($G2862="",$I2862,$G2862)+(S$2*$M2862)))</f>
        <v/>
      </c>
      <c r="T2862" s="82" t="n"/>
      <c r="U2862" s="47">
        <f>IF(OR($M2862="",$T2862=""),"",$T2862+(U$2*$M2862))</f>
        <v/>
      </c>
      <c r="V2862" s="48">
        <f>IF(OR($M2862="",$T2862=""),"",$T2862+(V$2*$M2862))</f>
        <v/>
      </c>
      <c r="W2862" s="48">
        <f>IF(OR($M2862="",$T2862=""),"",$T2862+(W$2*$M2862))</f>
        <v/>
      </c>
      <c r="X2862" s="49">
        <f>IF(OR($M2862="",$T2862=""),"",$T2862+(X$2*$M2862))</f>
        <v/>
      </c>
      <c r="Y2862" s="47">
        <f>IF(OR($M2862="",$T2862=""),"",$T2862+(Y$2*$M2862))</f>
        <v/>
      </c>
      <c r="Z2862" s="49">
        <f>IF(OR($M2862="",$T2862=""),"",$T2862+(Z$2*$M2862))</f>
        <v/>
      </c>
      <c r="AA2862" s="51">
        <f>IF(OR($M2862="",$T2862=""),"",$T2862+(AA$2*$M2862))</f>
        <v/>
      </c>
      <c r="AB2862" s="48">
        <f>IF(OR($M2862="",$T2862=""),"",$T2862+(AB$2*$M2862))</f>
        <v/>
      </c>
      <c r="AC2862" s="48">
        <f>IF(OR($M2862="",$T2862=""),"",$T2862+(AC$2*$M2862))</f>
        <v/>
      </c>
      <c r="AD2862" s="48">
        <f>IF(OR($M2862="",$T2862=""),"",$T2862+(AD$2*$M2862))</f>
        <v/>
      </c>
      <c r="AE2862" s="49">
        <f>IF(OR($M2862="",$T2862=""),"",$T2862+(AE$2*$M2862))</f>
        <v/>
      </c>
      <c r="AF2862" s="52">
        <f>IF(OR(T2862="",I2862&lt;T2862),"",IFERROR(AVERAGE(T2862+M2862*{7,8,9,10,11})/IF(G2862="",I2862,G2862)-1,""))</f>
        <v/>
      </c>
      <c r="AG2862" s="55">
        <f>IF(OR(T2862="",I2862&lt;T2862),"",IFERROR(AF2862/-(R2862/IF(G2862="",I2862,G2862)-1),""))</f>
        <v/>
      </c>
      <c r="AH2862" s="94" t="n"/>
      <c r="AI2862" s="94" t="n"/>
      <c r="AJ2862" s="94" t="n"/>
      <c r="AK2862" s="94" t="n"/>
      <c r="AL2862" s="84" t="n"/>
    </row>
    <row r="2863">
      <c r="A2863" s="64" t="n"/>
      <c r="B2863" s="65" t="n"/>
      <c r="C2863" s="66" t="n"/>
      <c r="D2863" s="67" t="n"/>
      <c r="E2863" s="68" t="n"/>
      <c r="F2863" s="47">
        <f>IF(A2863="","",IF(MIN(H2863,MAX(J2863:K2863))=0,"",MIN(H2863,MAX(J2863:K2863))))</f>
        <v/>
      </c>
      <c r="G2863" s="74" t="n"/>
      <c r="H2863" s="49">
        <f>IF(M2863="","",IFERROR(ROUND(AVERAGE(T2863+M2863*{7,8,9,10,11})/1.21,4),""))</f>
        <v/>
      </c>
      <c r="I2863" s="76" t="n"/>
      <c r="J2863" s="77" t="n"/>
      <c r="K2863" s="74" t="n"/>
      <c r="L2863" s="78" t="n"/>
      <c r="M2863" s="77" t="n"/>
      <c r="N2863" s="53">
        <f>IF(M2863="","",IFERROR(M2863/I2863,""))</f>
        <v/>
      </c>
      <c r="O2863" s="50">
        <f>IF(A2863="","",IFERROR((IF(G2863="",I2863,G2863)-T2863)/M2863,""))</f>
        <v/>
      </c>
      <c r="P2863" s="50">
        <f>IFERROR((I2863/T2863-1)/N2863,"")</f>
        <v/>
      </c>
      <c r="Q2863" s="46">
        <f>IF(OR(T2863="",I2863&lt;T2863),"",IFERROR(R2863/IF(G2863="",I2863,G2863)-1,""))</f>
        <v/>
      </c>
      <c r="R2863" s="48">
        <f>IF($M2863="","",MAX(IF($G2863="",$I2863,$G2863)*(1/1.1),IF($G2863="",$I2863,$G2863)+(R$2*$M2863)))</f>
        <v/>
      </c>
      <c r="S2863" s="49">
        <f>IF($M2863="","",MAX(IF($G2863="",$I2863,$G2863)*(1/1.1),IF($G2863="",$I2863,$G2863)+(S$2*$M2863)))</f>
        <v/>
      </c>
      <c r="T2863" s="82" t="n"/>
      <c r="U2863" s="47">
        <f>IF(OR($M2863="",$T2863=""),"",$T2863+(U$2*$M2863))</f>
        <v/>
      </c>
      <c r="V2863" s="48">
        <f>IF(OR($M2863="",$T2863=""),"",$T2863+(V$2*$M2863))</f>
        <v/>
      </c>
      <c r="W2863" s="48">
        <f>IF(OR($M2863="",$T2863=""),"",$T2863+(W$2*$M2863))</f>
        <v/>
      </c>
      <c r="X2863" s="49">
        <f>IF(OR($M2863="",$T2863=""),"",$T2863+(X$2*$M2863))</f>
        <v/>
      </c>
      <c r="Y2863" s="47">
        <f>IF(OR($M2863="",$T2863=""),"",$T2863+(Y$2*$M2863))</f>
        <v/>
      </c>
      <c r="Z2863" s="49">
        <f>IF(OR($M2863="",$T2863=""),"",$T2863+(Z$2*$M2863))</f>
        <v/>
      </c>
      <c r="AA2863" s="51">
        <f>IF(OR($M2863="",$T2863=""),"",$T2863+(AA$2*$M2863))</f>
        <v/>
      </c>
      <c r="AB2863" s="48">
        <f>IF(OR($M2863="",$T2863=""),"",$T2863+(AB$2*$M2863))</f>
        <v/>
      </c>
      <c r="AC2863" s="48">
        <f>IF(OR($M2863="",$T2863=""),"",$T2863+(AC$2*$M2863))</f>
        <v/>
      </c>
      <c r="AD2863" s="48">
        <f>IF(OR($M2863="",$T2863=""),"",$T2863+(AD$2*$M2863))</f>
        <v/>
      </c>
      <c r="AE2863" s="49">
        <f>IF(OR($M2863="",$T2863=""),"",$T2863+(AE$2*$M2863))</f>
        <v/>
      </c>
      <c r="AF2863" s="52">
        <f>IF(OR(T2863="",I2863&lt;T2863),"",IFERROR(AVERAGE(T2863+M2863*{7,8,9,10,11})/IF(G2863="",I2863,G2863)-1,""))</f>
        <v/>
      </c>
      <c r="AG2863" s="55">
        <f>IF(OR(T2863="",I2863&lt;T2863),"",IFERROR(AF2863/-(R2863/IF(G2863="",I2863,G2863)-1),""))</f>
        <v/>
      </c>
      <c r="AH2863" s="94" t="n"/>
      <c r="AI2863" s="94" t="n"/>
      <c r="AJ2863" s="94" t="n"/>
      <c r="AK2863" s="94" t="n"/>
      <c r="AL2863" s="84" t="n"/>
    </row>
    <row r="2864">
      <c r="A2864" s="64" t="n"/>
      <c r="B2864" s="65" t="n"/>
      <c r="C2864" s="66" t="n"/>
      <c r="D2864" s="67" t="n"/>
      <c r="E2864" s="68" t="n"/>
      <c r="F2864" s="47">
        <f>IF(A2864="","",IF(MIN(H2864,MAX(J2864:K2864))=0,"",MIN(H2864,MAX(J2864:K2864))))</f>
        <v/>
      </c>
      <c r="G2864" s="74" t="n"/>
      <c r="H2864" s="49">
        <f>IF(M2864="","",IFERROR(ROUND(AVERAGE(T2864+M2864*{7,8,9,10,11})/1.21,4),""))</f>
        <v/>
      </c>
      <c r="I2864" s="76" t="n"/>
      <c r="J2864" s="77" t="n"/>
      <c r="K2864" s="74" t="n"/>
      <c r="L2864" s="78" t="n"/>
      <c r="M2864" s="77" t="n"/>
      <c r="N2864" s="53">
        <f>IF(M2864="","",IFERROR(M2864/I2864,""))</f>
        <v/>
      </c>
      <c r="O2864" s="50">
        <f>IF(A2864="","",IFERROR((IF(G2864="",I2864,G2864)-T2864)/M2864,""))</f>
        <v/>
      </c>
      <c r="P2864" s="50">
        <f>IFERROR((I2864/T2864-1)/N2864,"")</f>
        <v/>
      </c>
      <c r="Q2864" s="46">
        <f>IF(OR(T2864="",I2864&lt;T2864),"",IFERROR(R2864/IF(G2864="",I2864,G2864)-1,""))</f>
        <v/>
      </c>
      <c r="R2864" s="48">
        <f>IF($M2864="","",MAX(IF($G2864="",$I2864,$G2864)*(1/1.1),IF($G2864="",$I2864,$G2864)+(R$2*$M2864)))</f>
        <v/>
      </c>
      <c r="S2864" s="49">
        <f>IF($M2864="","",MAX(IF($G2864="",$I2864,$G2864)*(1/1.1),IF($G2864="",$I2864,$G2864)+(S$2*$M2864)))</f>
        <v/>
      </c>
      <c r="T2864" s="82" t="n"/>
      <c r="U2864" s="47">
        <f>IF(OR($M2864="",$T2864=""),"",$T2864+(U$2*$M2864))</f>
        <v/>
      </c>
      <c r="V2864" s="48">
        <f>IF(OR($M2864="",$T2864=""),"",$T2864+(V$2*$M2864))</f>
        <v/>
      </c>
      <c r="W2864" s="48">
        <f>IF(OR($M2864="",$T2864=""),"",$T2864+(W$2*$M2864))</f>
        <v/>
      </c>
      <c r="X2864" s="49">
        <f>IF(OR($M2864="",$T2864=""),"",$T2864+(X$2*$M2864))</f>
        <v/>
      </c>
      <c r="Y2864" s="47">
        <f>IF(OR($M2864="",$T2864=""),"",$T2864+(Y$2*$M2864))</f>
        <v/>
      </c>
      <c r="Z2864" s="49">
        <f>IF(OR($M2864="",$T2864=""),"",$T2864+(Z$2*$M2864))</f>
        <v/>
      </c>
      <c r="AA2864" s="51">
        <f>IF(OR($M2864="",$T2864=""),"",$T2864+(AA$2*$M2864))</f>
        <v/>
      </c>
      <c r="AB2864" s="48">
        <f>IF(OR($M2864="",$T2864=""),"",$T2864+(AB$2*$M2864))</f>
        <v/>
      </c>
      <c r="AC2864" s="48">
        <f>IF(OR($M2864="",$T2864=""),"",$T2864+(AC$2*$M2864))</f>
        <v/>
      </c>
      <c r="AD2864" s="48">
        <f>IF(OR($M2864="",$T2864=""),"",$T2864+(AD$2*$M2864))</f>
        <v/>
      </c>
      <c r="AE2864" s="49">
        <f>IF(OR($M2864="",$T2864=""),"",$T2864+(AE$2*$M2864))</f>
        <v/>
      </c>
      <c r="AF2864" s="52">
        <f>IF(OR(T2864="",I2864&lt;T2864),"",IFERROR(AVERAGE(T2864+M2864*{7,8,9,10,11})/IF(G2864="",I2864,G2864)-1,""))</f>
        <v/>
      </c>
      <c r="AG2864" s="55">
        <f>IF(OR(T2864="",I2864&lt;T2864),"",IFERROR(AF2864/-(R2864/IF(G2864="",I2864,G2864)-1),""))</f>
        <v/>
      </c>
      <c r="AH2864" s="94" t="n"/>
      <c r="AI2864" s="94" t="n"/>
      <c r="AJ2864" s="94" t="n"/>
      <c r="AK2864" s="94" t="n"/>
      <c r="AL2864" s="84" t="n"/>
    </row>
    <row r="2865">
      <c r="A2865" s="64" t="n"/>
      <c r="B2865" s="65" t="n"/>
      <c r="C2865" s="66" t="n"/>
      <c r="D2865" s="67" t="n"/>
      <c r="E2865" s="68" t="n"/>
      <c r="F2865" s="47">
        <f>IF(A2865="","",IF(MIN(H2865,MAX(J2865:K2865))=0,"",MIN(H2865,MAX(J2865:K2865))))</f>
        <v/>
      </c>
      <c r="G2865" s="74" t="n"/>
      <c r="H2865" s="49">
        <f>IF(M2865="","",IFERROR(ROUND(AVERAGE(T2865+M2865*{7,8,9,10,11})/1.21,4),""))</f>
        <v/>
      </c>
      <c r="I2865" s="76" t="n"/>
      <c r="J2865" s="77" t="n"/>
      <c r="K2865" s="74" t="n"/>
      <c r="L2865" s="78" t="n"/>
      <c r="M2865" s="77" t="n"/>
      <c r="N2865" s="53">
        <f>IF(M2865="","",IFERROR(M2865/I2865,""))</f>
        <v/>
      </c>
      <c r="O2865" s="50">
        <f>IF(A2865="","",IFERROR((IF(G2865="",I2865,G2865)-T2865)/M2865,""))</f>
        <v/>
      </c>
      <c r="P2865" s="50">
        <f>IFERROR((I2865/T2865-1)/N2865,"")</f>
        <v/>
      </c>
      <c r="Q2865" s="46">
        <f>IF(OR(T2865="",I2865&lt;T2865),"",IFERROR(R2865/IF(G2865="",I2865,G2865)-1,""))</f>
        <v/>
      </c>
      <c r="R2865" s="48">
        <f>IF($M2865="","",MAX(IF($G2865="",$I2865,$G2865)*(1/1.1),IF($G2865="",$I2865,$G2865)+(R$2*$M2865)))</f>
        <v/>
      </c>
      <c r="S2865" s="49">
        <f>IF($M2865="","",MAX(IF($G2865="",$I2865,$G2865)*(1/1.1),IF($G2865="",$I2865,$G2865)+(S$2*$M2865)))</f>
        <v/>
      </c>
      <c r="T2865" s="82" t="n"/>
      <c r="U2865" s="47">
        <f>IF(OR($M2865="",$T2865=""),"",$T2865+(U$2*$M2865))</f>
        <v/>
      </c>
      <c r="V2865" s="48">
        <f>IF(OR($M2865="",$T2865=""),"",$T2865+(V$2*$M2865))</f>
        <v/>
      </c>
      <c r="W2865" s="48">
        <f>IF(OR($M2865="",$T2865=""),"",$T2865+(W$2*$M2865))</f>
        <v/>
      </c>
      <c r="X2865" s="49">
        <f>IF(OR($M2865="",$T2865=""),"",$T2865+(X$2*$M2865))</f>
        <v/>
      </c>
      <c r="Y2865" s="47">
        <f>IF(OR($M2865="",$T2865=""),"",$T2865+(Y$2*$M2865))</f>
        <v/>
      </c>
      <c r="Z2865" s="49">
        <f>IF(OR($M2865="",$T2865=""),"",$T2865+(Z$2*$M2865))</f>
        <v/>
      </c>
      <c r="AA2865" s="51">
        <f>IF(OR($M2865="",$T2865=""),"",$T2865+(AA$2*$M2865))</f>
        <v/>
      </c>
      <c r="AB2865" s="48">
        <f>IF(OR($M2865="",$T2865=""),"",$T2865+(AB$2*$M2865))</f>
        <v/>
      </c>
      <c r="AC2865" s="48">
        <f>IF(OR($M2865="",$T2865=""),"",$T2865+(AC$2*$M2865))</f>
        <v/>
      </c>
      <c r="AD2865" s="48">
        <f>IF(OR($M2865="",$T2865=""),"",$T2865+(AD$2*$M2865))</f>
        <v/>
      </c>
      <c r="AE2865" s="49">
        <f>IF(OR($M2865="",$T2865=""),"",$T2865+(AE$2*$M2865))</f>
        <v/>
      </c>
      <c r="AF2865" s="52">
        <f>IF(OR(T2865="",I2865&lt;T2865),"",IFERROR(AVERAGE(T2865+M2865*{7,8,9,10,11})/IF(G2865="",I2865,G2865)-1,""))</f>
        <v/>
      </c>
      <c r="AG2865" s="55">
        <f>IF(OR(T2865="",I2865&lt;T2865),"",IFERROR(AF2865/-(R2865/IF(G2865="",I2865,G2865)-1),""))</f>
        <v/>
      </c>
      <c r="AH2865" s="94" t="n"/>
      <c r="AI2865" s="94" t="n"/>
      <c r="AJ2865" s="94" t="n"/>
      <c r="AK2865" s="94" t="n"/>
      <c r="AL2865" s="84" t="n"/>
    </row>
    <row r="2866">
      <c r="A2866" s="64" t="n"/>
      <c r="B2866" s="65" t="n"/>
      <c r="C2866" s="66" t="n"/>
      <c r="D2866" s="67" t="n"/>
      <c r="E2866" s="68" t="n"/>
      <c r="F2866" s="47">
        <f>IF(A2866="","",IF(MIN(H2866,MAX(J2866:K2866))=0,"",MIN(H2866,MAX(J2866:K2866))))</f>
        <v/>
      </c>
      <c r="G2866" s="74" t="n"/>
      <c r="H2866" s="49">
        <f>IF(M2866="","",IFERROR(ROUND(AVERAGE(T2866+M2866*{7,8,9,10,11})/1.21,4),""))</f>
        <v/>
      </c>
      <c r="I2866" s="76" t="n"/>
      <c r="J2866" s="77" t="n"/>
      <c r="K2866" s="74" t="n"/>
      <c r="L2866" s="78" t="n"/>
      <c r="M2866" s="77" t="n"/>
      <c r="N2866" s="53">
        <f>IF(M2866="","",IFERROR(M2866/I2866,""))</f>
        <v/>
      </c>
      <c r="O2866" s="50">
        <f>IF(A2866="","",IFERROR((IF(G2866="",I2866,G2866)-T2866)/M2866,""))</f>
        <v/>
      </c>
      <c r="P2866" s="50">
        <f>IFERROR((I2866/T2866-1)/N2866,"")</f>
        <v/>
      </c>
      <c r="Q2866" s="46">
        <f>IF(OR(T2866="",I2866&lt;T2866),"",IFERROR(R2866/IF(G2866="",I2866,G2866)-1,""))</f>
        <v/>
      </c>
      <c r="R2866" s="48">
        <f>IF($M2866="","",MAX(IF($G2866="",$I2866,$G2866)*(1/1.1),IF($G2866="",$I2866,$G2866)+(R$2*$M2866)))</f>
        <v/>
      </c>
      <c r="S2866" s="49">
        <f>IF($M2866="","",MAX(IF($G2866="",$I2866,$G2866)*(1/1.1),IF($G2866="",$I2866,$G2866)+(S$2*$M2866)))</f>
        <v/>
      </c>
      <c r="T2866" s="82" t="n"/>
      <c r="U2866" s="47">
        <f>IF(OR($M2866="",$T2866=""),"",$T2866+(U$2*$M2866))</f>
        <v/>
      </c>
      <c r="V2866" s="48">
        <f>IF(OR($M2866="",$T2866=""),"",$T2866+(V$2*$M2866))</f>
        <v/>
      </c>
      <c r="W2866" s="48">
        <f>IF(OR($M2866="",$T2866=""),"",$T2866+(W$2*$M2866))</f>
        <v/>
      </c>
      <c r="X2866" s="49">
        <f>IF(OR($M2866="",$T2866=""),"",$T2866+(X$2*$M2866))</f>
        <v/>
      </c>
      <c r="Y2866" s="47">
        <f>IF(OR($M2866="",$T2866=""),"",$T2866+(Y$2*$M2866))</f>
        <v/>
      </c>
      <c r="Z2866" s="49">
        <f>IF(OR($M2866="",$T2866=""),"",$T2866+(Z$2*$M2866))</f>
        <v/>
      </c>
      <c r="AA2866" s="51">
        <f>IF(OR($M2866="",$T2866=""),"",$T2866+(AA$2*$M2866))</f>
        <v/>
      </c>
      <c r="AB2866" s="48">
        <f>IF(OR($M2866="",$T2866=""),"",$T2866+(AB$2*$M2866))</f>
        <v/>
      </c>
      <c r="AC2866" s="48">
        <f>IF(OR($M2866="",$T2866=""),"",$T2866+(AC$2*$M2866))</f>
        <v/>
      </c>
      <c r="AD2866" s="48">
        <f>IF(OR($M2866="",$T2866=""),"",$T2866+(AD$2*$M2866))</f>
        <v/>
      </c>
      <c r="AE2866" s="49">
        <f>IF(OR($M2866="",$T2866=""),"",$T2866+(AE$2*$M2866))</f>
        <v/>
      </c>
      <c r="AF2866" s="52">
        <f>IF(OR(T2866="",I2866&lt;T2866),"",IFERROR(AVERAGE(T2866+M2866*{7,8,9,10,11})/IF(G2866="",I2866,G2866)-1,""))</f>
        <v/>
      </c>
      <c r="AG2866" s="55">
        <f>IF(OR(T2866="",I2866&lt;T2866),"",IFERROR(AF2866/-(R2866/IF(G2866="",I2866,G2866)-1),""))</f>
        <v/>
      </c>
      <c r="AH2866" s="94" t="n"/>
      <c r="AI2866" s="94" t="n"/>
      <c r="AJ2866" s="94" t="n"/>
      <c r="AK2866" s="94" t="n"/>
      <c r="AL2866" s="84" t="n"/>
    </row>
    <row r="2867">
      <c r="A2867" s="64" t="n"/>
      <c r="B2867" s="65" t="n"/>
      <c r="C2867" s="66" t="n"/>
      <c r="D2867" s="67" t="n"/>
      <c r="E2867" s="68" t="n"/>
      <c r="F2867" s="47">
        <f>IF(A2867="","",IF(MIN(H2867,MAX(J2867:K2867))=0,"",MIN(H2867,MAX(J2867:K2867))))</f>
        <v/>
      </c>
      <c r="G2867" s="74" t="n"/>
      <c r="H2867" s="49">
        <f>IF(M2867="","",IFERROR(ROUND(AVERAGE(T2867+M2867*{7,8,9,10,11})/1.21,4),""))</f>
        <v/>
      </c>
      <c r="I2867" s="76" t="n"/>
      <c r="J2867" s="77" t="n"/>
      <c r="K2867" s="74" t="n"/>
      <c r="L2867" s="78" t="n"/>
      <c r="M2867" s="77" t="n"/>
      <c r="N2867" s="53">
        <f>IF(M2867="","",IFERROR(M2867/I2867,""))</f>
        <v/>
      </c>
      <c r="O2867" s="50">
        <f>IF(A2867="","",IFERROR((IF(G2867="",I2867,G2867)-T2867)/M2867,""))</f>
        <v/>
      </c>
      <c r="P2867" s="50">
        <f>IFERROR((I2867/T2867-1)/N2867,"")</f>
        <v/>
      </c>
      <c r="Q2867" s="46">
        <f>IF(OR(T2867="",I2867&lt;T2867),"",IFERROR(R2867/IF(G2867="",I2867,G2867)-1,""))</f>
        <v/>
      </c>
      <c r="R2867" s="48">
        <f>IF($M2867="","",MAX(IF($G2867="",$I2867,$G2867)*(1/1.1),IF($G2867="",$I2867,$G2867)+(R$2*$M2867)))</f>
        <v/>
      </c>
      <c r="S2867" s="49">
        <f>IF($M2867="","",MAX(IF($G2867="",$I2867,$G2867)*(1/1.1),IF($G2867="",$I2867,$G2867)+(S$2*$M2867)))</f>
        <v/>
      </c>
      <c r="T2867" s="82" t="n"/>
      <c r="U2867" s="47">
        <f>IF(OR($M2867="",$T2867=""),"",$T2867+(U$2*$M2867))</f>
        <v/>
      </c>
      <c r="V2867" s="48">
        <f>IF(OR($M2867="",$T2867=""),"",$T2867+(V$2*$M2867))</f>
        <v/>
      </c>
      <c r="W2867" s="48">
        <f>IF(OR($M2867="",$T2867=""),"",$T2867+(W$2*$M2867))</f>
        <v/>
      </c>
      <c r="X2867" s="49">
        <f>IF(OR($M2867="",$T2867=""),"",$T2867+(X$2*$M2867))</f>
        <v/>
      </c>
      <c r="Y2867" s="47">
        <f>IF(OR($M2867="",$T2867=""),"",$T2867+(Y$2*$M2867))</f>
        <v/>
      </c>
      <c r="Z2867" s="49">
        <f>IF(OR($M2867="",$T2867=""),"",$T2867+(Z$2*$M2867))</f>
        <v/>
      </c>
      <c r="AA2867" s="51">
        <f>IF(OR($M2867="",$T2867=""),"",$T2867+(AA$2*$M2867))</f>
        <v/>
      </c>
      <c r="AB2867" s="48">
        <f>IF(OR($M2867="",$T2867=""),"",$T2867+(AB$2*$M2867))</f>
        <v/>
      </c>
      <c r="AC2867" s="48">
        <f>IF(OR($M2867="",$T2867=""),"",$T2867+(AC$2*$M2867))</f>
        <v/>
      </c>
      <c r="AD2867" s="48">
        <f>IF(OR($M2867="",$T2867=""),"",$T2867+(AD$2*$M2867))</f>
        <v/>
      </c>
      <c r="AE2867" s="49">
        <f>IF(OR($M2867="",$T2867=""),"",$T2867+(AE$2*$M2867))</f>
        <v/>
      </c>
      <c r="AF2867" s="52">
        <f>IF(OR(T2867="",I2867&lt;T2867),"",IFERROR(AVERAGE(T2867+M2867*{7,8,9,10,11})/IF(G2867="",I2867,G2867)-1,""))</f>
        <v/>
      </c>
      <c r="AG2867" s="55">
        <f>IF(OR(T2867="",I2867&lt;T2867),"",IFERROR(AF2867/-(R2867/IF(G2867="",I2867,G2867)-1),""))</f>
        <v/>
      </c>
      <c r="AH2867" s="94" t="n"/>
      <c r="AI2867" s="94" t="n"/>
      <c r="AJ2867" s="94" t="n"/>
      <c r="AK2867" s="94" t="n"/>
      <c r="AL2867" s="84" t="n"/>
    </row>
    <row r="2868">
      <c r="A2868" s="64" t="n"/>
      <c r="B2868" s="65" t="n"/>
      <c r="C2868" s="66" t="n"/>
      <c r="D2868" s="67" t="n"/>
      <c r="E2868" s="68" t="n"/>
      <c r="F2868" s="47">
        <f>IF(A2868="","",IF(MIN(H2868,MAX(J2868:K2868))=0,"",MIN(H2868,MAX(J2868:K2868))))</f>
        <v/>
      </c>
      <c r="G2868" s="74" t="n"/>
      <c r="H2868" s="49">
        <f>IF(M2868="","",IFERROR(ROUND(AVERAGE(T2868+M2868*{7,8,9,10,11})/1.21,4),""))</f>
        <v/>
      </c>
      <c r="I2868" s="76" t="n"/>
      <c r="J2868" s="77" t="n"/>
      <c r="K2868" s="74" t="n"/>
      <c r="L2868" s="78" t="n"/>
      <c r="M2868" s="77" t="n"/>
      <c r="N2868" s="53">
        <f>IF(M2868="","",IFERROR(M2868/I2868,""))</f>
        <v/>
      </c>
      <c r="O2868" s="50">
        <f>IF(A2868="","",IFERROR((IF(G2868="",I2868,G2868)-T2868)/M2868,""))</f>
        <v/>
      </c>
      <c r="P2868" s="50">
        <f>IFERROR((I2868/T2868-1)/N2868,"")</f>
        <v/>
      </c>
      <c r="Q2868" s="46">
        <f>IF(OR(T2868="",I2868&lt;T2868),"",IFERROR(R2868/IF(G2868="",I2868,G2868)-1,""))</f>
        <v/>
      </c>
      <c r="R2868" s="48">
        <f>IF($M2868="","",MAX(IF($G2868="",$I2868,$G2868)*(1/1.1),IF($G2868="",$I2868,$G2868)+(R$2*$M2868)))</f>
        <v/>
      </c>
      <c r="S2868" s="49">
        <f>IF($M2868="","",MAX(IF($G2868="",$I2868,$G2868)*(1/1.1),IF($G2868="",$I2868,$G2868)+(S$2*$M2868)))</f>
        <v/>
      </c>
      <c r="T2868" s="82" t="n"/>
      <c r="U2868" s="47">
        <f>IF(OR($M2868="",$T2868=""),"",$T2868+(U$2*$M2868))</f>
        <v/>
      </c>
      <c r="V2868" s="48">
        <f>IF(OR($M2868="",$T2868=""),"",$T2868+(V$2*$M2868))</f>
        <v/>
      </c>
      <c r="W2868" s="48">
        <f>IF(OR($M2868="",$T2868=""),"",$T2868+(W$2*$M2868))</f>
        <v/>
      </c>
      <c r="X2868" s="49">
        <f>IF(OR($M2868="",$T2868=""),"",$T2868+(X$2*$M2868))</f>
        <v/>
      </c>
      <c r="Y2868" s="47">
        <f>IF(OR($M2868="",$T2868=""),"",$T2868+(Y$2*$M2868))</f>
        <v/>
      </c>
      <c r="Z2868" s="49">
        <f>IF(OR($M2868="",$T2868=""),"",$T2868+(Z$2*$M2868))</f>
        <v/>
      </c>
      <c r="AA2868" s="51">
        <f>IF(OR($M2868="",$T2868=""),"",$T2868+(AA$2*$M2868))</f>
        <v/>
      </c>
      <c r="AB2868" s="48">
        <f>IF(OR($M2868="",$T2868=""),"",$T2868+(AB$2*$M2868))</f>
        <v/>
      </c>
      <c r="AC2868" s="48">
        <f>IF(OR($M2868="",$T2868=""),"",$T2868+(AC$2*$M2868))</f>
        <v/>
      </c>
      <c r="AD2868" s="48">
        <f>IF(OR($M2868="",$T2868=""),"",$T2868+(AD$2*$M2868))</f>
        <v/>
      </c>
      <c r="AE2868" s="49">
        <f>IF(OR($M2868="",$T2868=""),"",$T2868+(AE$2*$M2868))</f>
        <v/>
      </c>
      <c r="AF2868" s="52">
        <f>IF(OR(T2868="",I2868&lt;T2868),"",IFERROR(AVERAGE(T2868+M2868*{7,8,9,10,11})/IF(G2868="",I2868,G2868)-1,""))</f>
        <v/>
      </c>
      <c r="AG2868" s="55">
        <f>IF(OR(T2868="",I2868&lt;T2868),"",IFERROR(AF2868/-(R2868/IF(G2868="",I2868,G2868)-1),""))</f>
        <v/>
      </c>
      <c r="AH2868" s="94" t="n"/>
      <c r="AI2868" s="94" t="n"/>
      <c r="AJ2868" s="94" t="n"/>
      <c r="AK2868" s="94" t="n"/>
      <c r="AL2868" s="84" t="n"/>
    </row>
    <row r="2869">
      <c r="A2869" s="64" t="n"/>
      <c r="B2869" s="65" t="n"/>
      <c r="C2869" s="66" t="n"/>
      <c r="D2869" s="67" t="n"/>
      <c r="E2869" s="68" t="n"/>
      <c r="F2869" s="47">
        <f>IF(A2869="","",IF(MIN(H2869,MAX(J2869:K2869))=0,"",MIN(H2869,MAX(J2869:K2869))))</f>
        <v/>
      </c>
      <c r="G2869" s="74" t="n"/>
      <c r="H2869" s="49">
        <f>IF(M2869="","",IFERROR(ROUND(AVERAGE(T2869+M2869*{7,8,9,10,11})/1.21,4),""))</f>
        <v/>
      </c>
      <c r="I2869" s="76" t="n"/>
      <c r="J2869" s="77" t="n"/>
      <c r="K2869" s="74" t="n"/>
      <c r="L2869" s="78" t="n"/>
      <c r="M2869" s="77" t="n"/>
      <c r="N2869" s="53">
        <f>IF(M2869="","",IFERROR(M2869/I2869,""))</f>
        <v/>
      </c>
      <c r="O2869" s="50">
        <f>IF(A2869="","",IFERROR((IF(G2869="",I2869,G2869)-T2869)/M2869,""))</f>
        <v/>
      </c>
      <c r="P2869" s="50">
        <f>IFERROR((I2869/T2869-1)/N2869,"")</f>
        <v/>
      </c>
      <c r="Q2869" s="46">
        <f>IF(OR(T2869="",I2869&lt;T2869),"",IFERROR(R2869/IF(G2869="",I2869,G2869)-1,""))</f>
        <v/>
      </c>
      <c r="R2869" s="48">
        <f>IF($M2869="","",MAX(IF($G2869="",$I2869,$G2869)*(1/1.1),IF($G2869="",$I2869,$G2869)+(R$2*$M2869)))</f>
        <v/>
      </c>
      <c r="S2869" s="49">
        <f>IF($M2869="","",MAX(IF($G2869="",$I2869,$G2869)*(1/1.1),IF($G2869="",$I2869,$G2869)+(S$2*$M2869)))</f>
        <v/>
      </c>
      <c r="T2869" s="82" t="n"/>
      <c r="U2869" s="47">
        <f>IF(OR($M2869="",$T2869=""),"",$T2869+(U$2*$M2869))</f>
        <v/>
      </c>
      <c r="V2869" s="48">
        <f>IF(OR($M2869="",$T2869=""),"",$T2869+(V$2*$M2869))</f>
        <v/>
      </c>
      <c r="W2869" s="48">
        <f>IF(OR($M2869="",$T2869=""),"",$T2869+(W$2*$M2869))</f>
        <v/>
      </c>
      <c r="X2869" s="49">
        <f>IF(OR($M2869="",$T2869=""),"",$T2869+(X$2*$M2869))</f>
        <v/>
      </c>
      <c r="Y2869" s="47">
        <f>IF(OR($M2869="",$T2869=""),"",$T2869+(Y$2*$M2869))</f>
        <v/>
      </c>
      <c r="Z2869" s="49">
        <f>IF(OR($M2869="",$T2869=""),"",$T2869+(Z$2*$M2869))</f>
        <v/>
      </c>
      <c r="AA2869" s="51">
        <f>IF(OR($M2869="",$T2869=""),"",$T2869+(AA$2*$M2869))</f>
        <v/>
      </c>
      <c r="AB2869" s="48">
        <f>IF(OR($M2869="",$T2869=""),"",$T2869+(AB$2*$M2869))</f>
        <v/>
      </c>
      <c r="AC2869" s="48">
        <f>IF(OR($M2869="",$T2869=""),"",$T2869+(AC$2*$M2869))</f>
        <v/>
      </c>
      <c r="AD2869" s="48">
        <f>IF(OR($M2869="",$T2869=""),"",$T2869+(AD$2*$M2869))</f>
        <v/>
      </c>
      <c r="AE2869" s="49">
        <f>IF(OR($M2869="",$T2869=""),"",$T2869+(AE$2*$M2869))</f>
        <v/>
      </c>
      <c r="AF2869" s="52">
        <f>IF(OR(T2869="",I2869&lt;T2869),"",IFERROR(AVERAGE(T2869+M2869*{7,8,9,10,11})/IF(G2869="",I2869,G2869)-1,""))</f>
        <v/>
      </c>
      <c r="AG2869" s="55">
        <f>IF(OR(T2869="",I2869&lt;T2869),"",IFERROR(AF2869/-(R2869/IF(G2869="",I2869,G2869)-1),""))</f>
        <v/>
      </c>
      <c r="AH2869" s="94" t="n"/>
      <c r="AI2869" s="94" t="n"/>
      <c r="AJ2869" s="94" t="n"/>
      <c r="AK2869" s="94" t="n"/>
      <c r="AL2869" s="84" t="n"/>
    </row>
    <row r="2870">
      <c r="A2870" s="64" t="n"/>
      <c r="B2870" s="65" t="n"/>
      <c r="C2870" s="66" t="n"/>
      <c r="D2870" s="67" t="n"/>
      <c r="E2870" s="68" t="n"/>
      <c r="F2870" s="47">
        <f>IF(A2870="","",IF(MIN(H2870,MAX(J2870:K2870))=0,"",MIN(H2870,MAX(J2870:K2870))))</f>
        <v/>
      </c>
      <c r="G2870" s="74" t="n"/>
      <c r="H2870" s="49">
        <f>IF(M2870="","",IFERROR(ROUND(AVERAGE(T2870+M2870*{7,8,9,10,11})/1.21,4),""))</f>
        <v/>
      </c>
      <c r="I2870" s="76" t="n"/>
      <c r="J2870" s="77" t="n"/>
      <c r="K2870" s="74" t="n"/>
      <c r="L2870" s="78" t="n"/>
      <c r="M2870" s="77" t="n"/>
      <c r="N2870" s="53">
        <f>IF(M2870="","",IFERROR(M2870/I2870,""))</f>
        <v/>
      </c>
      <c r="O2870" s="50">
        <f>IF(A2870="","",IFERROR((IF(G2870="",I2870,G2870)-T2870)/M2870,""))</f>
        <v/>
      </c>
      <c r="P2870" s="50">
        <f>IFERROR((I2870/T2870-1)/N2870,"")</f>
        <v/>
      </c>
      <c r="Q2870" s="46">
        <f>IF(OR(T2870="",I2870&lt;T2870),"",IFERROR(R2870/IF(G2870="",I2870,G2870)-1,""))</f>
        <v/>
      </c>
      <c r="R2870" s="48">
        <f>IF($M2870="","",MAX(IF($G2870="",$I2870,$G2870)*(1/1.1),IF($G2870="",$I2870,$G2870)+(R$2*$M2870)))</f>
        <v/>
      </c>
      <c r="S2870" s="49">
        <f>IF($M2870="","",MAX(IF($G2870="",$I2870,$G2870)*(1/1.1),IF($G2870="",$I2870,$G2870)+(S$2*$M2870)))</f>
        <v/>
      </c>
      <c r="T2870" s="82" t="n"/>
      <c r="U2870" s="47">
        <f>IF(OR($M2870="",$T2870=""),"",$T2870+(U$2*$M2870))</f>
        <v/>
      </c>
      <c r="V2870" s="48">
        <f>IF(OR($M2870="",$T2870=""),"",$T2870+(V$2*$M2870))</f>
        <v/>
      </c>
      <c r="W2870" s="48">
        <f>IF(OR($M2870="",$T2870=""),"",$T2870+(W$2*$M2870))</f>
        <v/>
      </c>
      <c r="X2870" s="49">
        <f>IF(OR($M2870="",$T2870=""),"",$T2870+(X$2*$M2870))</f>
        <v/>
      </c>
      <c r="Y2870" s="47">
        <f>IF(OR($M2870="",$T2870=""),"",$T2870+(Y$2*$M2870))</f>
        <v/>
      </c>
      <c r="Z2870" s="49">
        <f>IF(OR($M2870="",$T2870=""),"",$T2870+(Z$2*$M2870))</f>
        <v/>
      </c>
      <c r="AA2870" s="51">
        <f>IF(OR($M2870="",$T2870=""),"",$T2870+(AA$2*$M2870))</f>
        <v/>
      </c>
      <c r="AB2870" s="48">
        <f>IF(OR($M2870="",$T2870=""),"",$T2870+(AB$2*$M2870))</f>
        <v/>
      </c>
      <c r="AC2870" s="48">
        <f>IF(OR($M2870="",$T2870=""),"",$T2870+(AC$2*$M2870))</f>
        <v/>
      </c>
      <c r="AD2870" s="48">
        <f>IF(OR($M2870="",$T2870=""),"",$T2870+(AD$2*$M2870))</f>
        <v/>
      </c>
      <c r="AE2870" s="49">
        <f>IF(OR($M2870="",$T2870=""),"",$T2870+(AE$2*$M2870))</f>
        <v/>
      </c>
      <c r="AF2870" s="52">
        <f>IF(OR(T2870="",I2870&lt;T2870),"",IFERROR(AVERAGE(T2870+M2870*{7,8,9,10,11})/IF(G2870="",I2870,G2870)-1,""))</f>
        <v/>
      </c>
      <c r="AG2870" s="55">
        <f>IF(OR(T2870="",I2870&lt;T2870),"",IFERROR(AF2870/-(R2870/IF(G2870="",I2870,G2870)-1),""))</f>
        <v/>
      </c>
      <c r="AH2870" s="94" t="n"/>
      <c r="AI2870" s="94" t="n"/>
      <c r="AJ2870" s="94" t="n"/>
      <c r="AK2870" s="94" t="n"/>
      <c r="AL2870" s="84" t="n"/>
    </row>
    <row r="2871">
      <c r="A2871" s="64" t="n"/>
      <c r="B2871" s="65" t="n"/>
      <c r="C2871" s="66" t="n"/>
      <c r="D2871" s="67" t="n"/>
      <c r="E2871" s="68" t="n"/>
      <c r="F2871" s="47">
        <f>IF(A2871="","",IF(MIN(H2871,MAX(J2871:K2871))=0,"",MIN(H2871,MAX(J2871:K2871))))</f>
        <v/>
      </c>
      <c r="G2871" s="74" t="n"/>
      <c r="H2871" s="49">
        <f>IF(M2871="","",IFERROR(ROUND(AVERAGE(T2871+M2871*{7,8,9,10,11})/1.21,4),""))</f>
        <v/>
      </c>
      <c r="I2871" s="76" t="n"/>
      <c r="J2871" s="77" t="n"/>
      <c r="K2871" s="74" t="n"/>
      <c r="L2871" s="78" t="n"/>
      <c r="M2871" s="77" t="n"/>
      <c r="N2871" s="53">
        <f>IF(M2871="","",IFERROR(M2871/I2871,""))</f>
        <v/>
      </c>
      <c r="O2871" s="50">
        <f>IF(A2871="","",IFERROR((IF(G2871="",I2871,G2871)-T2871)/M2871,""))</f>
        <v/>
      </c>
      <c r="P2871" s="50">
        <f>IFERROR((I2871/T2871-1)/N2871,"")</f>
        <v/>
      </c>
      <c r="Q2871" s="46">
        <f>IF(OR(T2871="",I2871&lt;T2871),"",IFERROR(R2871/IF(G2871="",I2871,G2871)-1,""))</f>
        <v/>
      </c>
      <c r="R2871" s="48">
        <f>IF($M2871="","",MAX(IF($G2871="",$I2871,$G2871)*(1/1.1),IF($G2871="",$I2871,$G2871)+(R$2*$M2871)))</f>
        <v/>
      </c>
      <c r="S2871" s="49">
        <f>IF($M2871="","",MAX(IF($G2871="",$I2871,$G2871)*(1/1.1),IF($G2871="",$I2871,$G2871)+(S$2*$M2871)))</f>
        <v/>
      </c>
      <c r="T2871" s="82" t="n"/>
      <c r="U2871" s="47">
        <f>IF(OR($M2871="",$T2871=""),"",$T2871+(U$2*$M2871))</f>
        <v/>
      </c>
      <c r="V2871" s="48">
        <f>IF(OR($M2871="",$T2871=""),"",$T2871+(V$2*$M2871))</f>
        <v/>
      </c>
      <c r="W2871" s="48">
        <f>IF(OR($M2871="",$T2871=""),"",$T2871+(W$2*$M2871))</f>
        <v/>
      </c>
      <c r="X2871" s="49">
        <f>IF(OR($M2871="",$T2871=""),"",$T2871+(X$2*$M2871))</f>
        <v/>
      </c>
      <c r="Y2871" s="47">
        <f>IF(OR($M2871="",$T2871=""),"",$T2871+(Y$2*$M2871))</f>
        <v/>
      </c>
      <c r="Z2871" s="49">
        <f>IF(OR($M2871="",$T2871=""),"",$T2871+(Z$2*$M2871))</f>
        <v/>
      </c>
      <c r="AA2871" s="51">
        <f>IF(OR($M2871="",$T2871=""),"",$T2871+(AA$2*$M2871))</f>
        <v/>
      </c>
      <c r="AB2871" s="48">
        <f>IF(OR($M2871="",$T2871=""),"",$T2871+(AB$2*$M2871))</f>
        <v/>
      </c>
      <c r="AC2871" s="48">
        <f>IF(OR($M2871="",$T2871=""),"",$T2871+(AC$2*$M2871))</f>
        <v/>
      </c>
      <c r="AD2871" s="48">
        <f>IF(OR($M2871="",$T2871=""),"",$T2871+(AD$2*$M2871))</f>
        <v/>
      </c>
      <c r="AE2871" s="49">
        <f>IF(OR($M2871="",$T2871=""),"",$T2871+(AE$2*$M2871))</f>
        <v/>
      </c>
      <c r="AF2871" s="52">
        <f>IF(OR(T2871="",I2871&lt;T2871),"",IFERROR(AVERAGE(T2871+M2871*{7,8,9,10,11})/IF(G2871="",I2871,G2871)-1,""))</f>
        <v/>
      </c>
      <c r="AG2871" s="55">
        <f>IF(OR(T2871="",I2871&lt;T2871),"",IFERROR(AF2871/-(R2871/IF(G2871="",I2871,G2871)-1),""))</f>
        <v/>
      </c>
      <c r="AH2871" s="94" t="n"/>
      <c r="AI2871" s="94" t="n"/>
      <c r="AJ2871" s="94" t="n"/>
      <c r="AK2871" s="94" t="n"/>
      <c r="AL2871" s="84" t="n"/>
    </row>
    <row r="2872">
      <c r="A2872" s="64" t="n"/>
      <c r="B2872" s="65" t="n"/>
      <c r="C2872" s="66" t="n"/>
      <c r="D2872" s="67" t="n"/>
      <c r="E2872" s="68" t="n"/>
      <c r="F2872" s="47">
        <f>IF(A2872="","",IF(MIN(H2872,MAX(J2872:K2872))=0,"",MIN(H2872,MAX(J2872:K2872))))</f>
        <v/>
      </c>
      <c r="G2872" s="74" t="n"/>
      <c r="H2872" s="49">
        <f>IF(M2872="","",IFERROR(ROUND(AVERAGE(T2872+M2872*{7,8,9,10,11})/1.21,4),""))</f>
        <v/>
      </c>
      <c r="I2872" s="76" t="n"/>
      <c r="J2872" s="77" t="n"/>
      <c r="K2872" s="74" t="n"/>
      <c r="L2872" s="78" t="n"/>
      <c r="M2872" s="77" t="n"/>
      <c r="N2872" s="53">
        <f>IF(M2872="","",IFERROR(M2872/I2872,""))</f>
        <v/>
      </c>
      <c r="O2872" s="50">
        <f>IF(A2872="","",IFERROR((IF(G2872="",I2872,G2872)-T2872)/M2872,""))</f>
        <v/>
      </c>
      <c r="P2872" s="50">
        <f>IFERROR((I2872/T2872-1)/N2872,"")</f>
        <v/>
      </c>
      <c r="Q2872" s="46">
        <f>IF(OR(T2872="",I2872&lt;T2872),"",IFERROR(R2872/IF(G2872="",I2872,G2872)-1,""))</f>
        <v/>
      </c>
      <c r="R2872" s="48">
        <f>IF($M2872="","",MAX(IF($G2872="",$I2872,$G2872)*(1/1.1),IF($G2872="",$I2872,$G2872)+(R$2*$M2872)))</f>
        <v/>
      </c>
      <c r="S2872" s="49">
        <f>IF($M2872="","",MAX(IF($G2872="",$I2872,$G2872)*(1/1.1),IF($G2872="",$I2872,$G2872)+(S$2*$M2872)))</f>
        <v/>
      </c>
      <c r="T2872" s="82" t="n"/>
      <c r="U2872" s="47">
        <f>IF(OR($M2872="",$T2872=""),"",$T2872+(U$2*$M2872))</f>
        <v/>
      </c>
      <c r="V2872" s="48">
        <f>IF(OR($M2872="",$T2872=""),"",$T2872+(V$2*$M2872))</f>
        <v/>
      </c>
      <c r="W2872" s="48">
        <f>IF(OR($M2872="",$T2872=""),"",$T2872+(W$2*$M2872))</f>
        <v/>
      </c>
      <c r="X2872" s="49">
        <f>IF(OR($M2872="",$T2872=""),"",$T2872+(X$2*$M2872))</f>
        <v/>
      </c>
      <c r="Y2872" s="47">
        <f>IF(OR($M2872="",$T2872=""),"",$T2872+(Y$2*$M2872))</f>
        <v/>
      </c>
      <c r="Z2872" s="49">
        <f>IF(OR($M2872="",$T2872=""),"",$T2872+(Z$2*$M2872))</f>
        <v/>
      </c>
      <c r="AA2872" s="51">
        <f>IF(OR($M2872="",$T2872=""),"",$T2872+(AA$2*$M2872))</f>
        <v/>
      </c>
      <c r="AB2872" s="48">
        <f>IF(OR($M2872="",$T2872=""),"",$T2872+(AB$2*$M2872))</f>
        <v/>
      </c>
      <c r="AC2872" s="48">
        <f>IF(OR($M2872="",$T2872=""),"",$T2872+(AC$2*$M2872))</f>
        <v/>
      </c>
      <c r="AD2872" s="48">
        <f>IF(OR($M2872="",$T2872=""),"",$T2872+(AD$2*$M2872))</f>
        <v/>
      </c>
      <c r="AE2872" s="49">
        <f>IF(OR($M2872="",$T2872=""),"",$T2872+(AE$2*$M2872))</f>
        <v/>
      </c>
      <c r="AF2872" s="52">
        <f>IF(OR(T2872="",I2872&lt;T2872),"",IFERROR(AVERAGE(T2872+M2872*{7,8,9,10,11})/IF(G2872="",I2872,G2872)-1,""))</f>
        <v/>
      </c>
      <c r="AG2872" s="55">
        <f>IF(OR(T2872="",I2872&lt;T2872),"",IFERROR(AF2872/-(R2872/IF(G2872="",I2872,G2872)-1),""))</f>
        <v/>
      </c>
      <c r="AH2872" s="94" t="n"/>
      <c r="AI2872" s="94" t="n"/>
      <c r="AJ2872" s="94" t="n"/>
      <c r="AK2872" s="94" t="n"/>
      <c r="AL2872" s="84" t="n"/>
    </row>
    <row r="2873">
      <c r="A2873" s="64" t="n"/>
      <c r="B2873" s="65" t="n"/>
      <c r="C2873" s="66" t="n"/>
      <c r="D2873" s="67" t="n"/>
      <c r="E2873" s="68" t="n"/>
      <c r="F2873" s="47">
        <f>IF(A2873="","",IF(MIN(H2873,MAX(J2873:K2873))=0,"",MIN(H2873,MAX(J2873:K2873))))</f>
        <v/>
      </c>
      <c r="G2873" s="74" t="n"/>
      <c r="H2873" s="49">
        <f>IF(M2873="","",IFERROR(ROUND(AVERAGE(T2873+M2873*{7,8,9,10,11})/1.21,4),""))</f>
        <v/>
      </c>
      <c r="I2873" s="76" t="n"/>
      <c r="J2873" s="77" t="n"/>
      <c r="K2873" s="74" t="n"/>
      <c r="L2873" s="78" t="n"/>
      <c r="M2873" s="77" t="n"/>
      <c r="N2873" s="53">
        <f>IF(M2873="","",IFERROR(M2873/I2873,""))</f>
        <v/>
      </c>
      <c r="O2873" s="50">
        <f>IF(A2873="","",IFERROR((IF(G2873="",I2873,G2873)-T2873)/M2873,""))</f>
        <v/>
      </c>
      <c r="P2873" s="50">
        <f>IFERROR((I2873/T2873-1)/N2873,"")</f>
        <v/>
      </c>
      <c r="Q2873" s="46">
        <f>IF(OR(T2873="",I2873&lt;T2873),"",IFERROR(R2873/IF(G2873="",I2873,G2873)-1,""))</f>
        <v/>
      </c>
      <c r="R2873" s="48">
        <f>IF($M2873="","",MAX(IF($G2873="",$I2873,$G2873)*(1/1.1),IF($G2873="",$I2873,$G2873)+(R$2*$M2873)))</f>
        <v/>
      </c>
      <c r="S2873" s="49">
        <f>IF($M2873="","",MAX(IF($G2873="",$I2873,$G2873)*(1/1.1),IF($G2873="",$I2873,$G2873)+(S$2*$M2873)))</f>
        <v/>
      </c>
      <c r="T2873" s="82" t="n"/>
      <c r="U2873" s="47">
        <f>IF(OR($M2873="",$T2873=""),"",$T2873+(U$2*$M2873))</f>
        <v/>
      </c>
      <c r="V2873" s="48">
        <f>IF(OR($M2873="",$T2873=""),"",$T2873+(V$2*$M2873))</f>
        <v/>
      </c>
      <c r="W2873" s="48">
        <f>IF(OR($M2873="",$T2873=""),"",$T2873+(W$2*$M2873))</f>
        <v/>
      </c>
      <c r="X2873" s="49">
        <f>IF(OR($M2873="",$T2873=""),"",$T2873+(X$2*$M2873))</f>
        <v/>
      </c>
      <c r="Y2873" s="47">
        <f>IF(OR($M2873="",$T2873=""),"",$T2873+(Y$2*$M2873))</f>
        <v/>
      </c>
      <c r="Z2873" s="49">
        <f>IF(OR($M2873="",$T2873=""),"",$T2873+(Z$2*$M2873))</f>
        <v/>
      </c>
      <c r="AA2873" s="51">
        <f>IF(OR($M2873="",$T2873=""),"",$T2873+(AA$2*$M2873))</f>
        <v/>
      </c>
      <c r="AB2873" s="48">
        <f>IF(OR($M2873="",$T2873=""),"",$T2873+(AB$2*$M2873))</f>
        <v/>
      </c>
      <c r="AC2873" s="48">
        <f>IF(OR($M2873="",$T2873=""),"",$T2873+(AC$2*$M2873))</f>
        <v/>
      </c>
      <c r="AD2873" s="48">
        <f>IF(OR($M2873="",$T2873=""),"",$T2873+(AD$2*$M2873))</f>
        <v/>
      </c>
      <c r="AE2873" s="49">
        <f>IF(OR($M2873="",$T2873=""),"",$T2873+(AE$2*$M2873))</f>
        <v/>
      </c>
      <c r="AF2873" s="52">
        <f>IF(OR(T2873="",I2873&lt;T2873),"",IFERROR(AVERAGE(T2873+M2873*{7,8,9,10,11})/IF(G2873="",I2873,G2873)-1,""))</f>
        <v/>
      </c>
      <c r="AG2873" s="55">
        <f>IF(OR(T2873="",I2873&lt;T2873),"",IFERROR(AF2873/-(R2873/IF(G2873="",I2873,G2873)-1),""))</f>
        <v/>
      </c>
      <c r="AH2873" s="94" t="n"/>
      <c r="AI2873" s="94" t="n"/>
      <c r="AJ2873" s="94" t="n"/>
      <c r="AK2873" s="94" t="n"/>
      <c r="AL2873" s="84" t="n"/>
    </row>
    <row r="2874">
      <c r="A2874" s="64" t="n"/>
      <c r="B2874" s="65" t="n"/>
      <c r="C2874" s="66" t="n"/>
      <c r="D2874" s="67" t="n"/>
      <c r="E2874" s="68" t="n"/>
      <c r="F2874" s="47">
        <f>IF(A2874="","",IF(MIN(H2874,MAX(J2874:K2874))=0,"",MIN(H2874,MAX(J2874:K2874))))</f>
        <v/>
      </c>
      <c r="G2874" s="74" t="n"/>
      <c r="H2874" s="49">
        <f>IF(M2874="","",IFERROR(ROUND(AVERAGE(T2874+M2874*{7,8,9,10,11})/1.21,4),""))</f>
        <v/>
      </c>
      <c r="I2874" s="76" t="n"/>
      <c r="J2874" s="77" t="n"/>
      <c r="K2874" s="74" t="n"/>
      <c r="L2874" s="78" t="n"/>
      <c r="M2874" s="77" t="n"/>
      <c r="N2874" s="53">
        <f>IF(M2874="","",IFERROR(M2874/I2874,""))</f>
        <v/>
      </c>
      <c r="O2874" s="50">
        <f>IF(A2874="","",IFERROR((IF(G2874="",I2874,G2874)-T2874)/M2874,""))</f>
        <v/>
      </c>
      <c r="P2874" s="50">
        <f>IFERROR((I2874/T2874-1)/N2874,"")</f>
        <v/>
      </c>
      <c r="Q2874" s="46">
        <f>IF(OR(T2874="",I2874&lt;T2874),"",IFERROR(R2874/IF(G2874="",I2874,G2874)-1,""))</f>
        <v/>
      </c>
      <c r="R2874" s="48">
        <f>IF($M2874="","",MAX(IF($G2874="",$I2874,$G2874)*(1/1.1),IF($G2874="",$I2874,$G2874)+(R$2*$M2874)))</f>
        <v/>
      </c>
      <c r="S2874" s="49">
        <f>IF($M2874="","",MAX(IF($G2874="",$I2874,$G2874)*(1/1.1),IF($G2874="",$I2874,$G2874)+(S$2*$M2874)))</f>
        <v/>
      </c>
      <c r="T2874" s="82" t="n"/>
      <c r="U2874" s="47">
        <f>IF(OR($M2874="",$T2874=""),"",$T2874+(U$2*$M2874))</f>
        <v/>
      </c>
      <c r="V2874" s="48">
        <f>IF(OR($M2874="",$T2874=""),"",$T2874+(V$2*$M2874))</f>
        <v/>
      </c>
      <c r="W2874" s="48">
        <f>IF(OR($M2874="",$T2874=""),"",$T2874+(W$2*$M2874))</f>
        <v/>
      </c>
      <c r="X2874" s="49">
        <f>IF(OR($M2874="",$T2874=""),"",$T2874+(X$2*$M2874))</f>
        <v/>
      </c>
      <c r="Y2874" s="47">
        <f>IF(OR($M2874="",$T2874=""),"",$T2874+(Y$2*$M2874))</f>
        <v/>
      </c>
      <c r="Z2874" s="49">
        <f>IF(OR($M2874="",$T2874=""),"",$T2874+(Z$2*$M2874))</f>
        <v/>
      </c>
      <c r="AA2874" s="51">
        <f>IF(OR($M2874="",$T2874=""),"",$T2874+(AA$2*$M2874))</f>
        <v/>
      </c>
      <c r="AB2874" s="48">
        <f>IF(OR($M2874="",$T2874=""),"",$T2874+(AB$2*$M2874))</f>
        <v/>
      </c>
      <c r="AC2874" s="48">
        <f>IF(OR($M2874="",$T2874=""),"",$T2874+(AC$2*$M2874))</f>
        <v/>
      </c>
      <c r="AD2874" s="48">
        <f>IF(OR($M2874="",$T2874=""),"",$T2874+(AD$2*$M2874))</f>
        <v/>
      </c>
      <c r="AE2874" s="49">
        <f>IF(OR($M2874="",$T2874=""),"",$T2874+(AE$2*$M2874))</f>
        <v/>
      </c>
      <c r="AF2874" s="52">
        <f>IF(OR(T2874="",I2874&lt;T2874),"",IFERROR(AVERAGE(T2874+M2874*{7,8,9,10,11})/IF(G2874="",I2874,G2874)-1,""))</f>
        <v/>
      </c>
      <c r="AG2874" s="55">
        <f>IF(OR(T2874="",I2874&lt;T2874),"",IFERROR(AF2874/-(R2874/IF(G2874="",I2874,G2874)-1),""))</f>
        <v/>
      </c>
      <c r="AH2874" s="94" t="n"/>
      <c r="AI2874" s="94" t="n"/>
      <c r="AJ2874" s="94" t="n"/>
      <c r="AK2874" s="94" t="n"/>
      <c r="AL2874" s="84" t="n"/>
    </row>
    <row r="2875">
      <c r="A2875" s="64" t="n"/>
      <c r="B2875" s="65" t="n"/>
      <c r="C2875" s="66" t="n"/>
      <c r="D2875" s="67" t="n"/>
      <c r="E2875" s="68" t="n"/>
      <c r="F2875" s="47">
        <f>IF(A2875="","",IF(MIN(H2875,MAX(J2875:K2875))=0,"",MIN(H2875,MAX(J2875:K2875))))</f>
        <v/>
      </c>
      <c r="G2875" s="74" t="n"/>
      <c r="H2875" s="49">
        <f>IF(M2875="","",IFERROR(ROUND(AVERAGE(T2875+M2875*{7,8,9,10,11})/1.21,4),""))</f>
        <v/>
      </c>
      <c r="I2875" s="76" t="n"/>
      <c r="J2875" s="77" t="n"/>
      <c r="K2875" s="74" t="n"/>
      <c r="L2875" s="78" t="n"/>
      <c r="M2875" s="77" t="n"/>
      <c r="N2875" s="53">
        <f>IF(M2875="","",IFERROR(M2875/I2875,""))</f>
        <v/>
      </c>
      <c r="O2875" s="50">
        <f>IF(A2875="","",IFERROR((IF(G2875="",I2875,G2875)-T2875)/M2875,""))</f>
        <v/>
      </c>
      <c r="P2875" s="50">
        <f>IFERROR((I2875/T2875-1)/N2875,"")</f>
        <v/>
      </c>
      <c r="Q2875" s="46">
        <f>IF(OR(T2875="",I2875&lt;T2875),"",IFERROR(R2875/IF(G2875="",I2875,G2875)-1,""))</f>
        <v/>
      </c>
      <c r="R2875" s="48">
        <f>IF($M2875="","",MAX(IF($G2875="",$I2875,$G2875)*(1/1.1),IF($G2875="",$I2875,$G2875)+(R$2*$M2875)))</f>
        <v/>
      </c>
      <c r="S2875" s="49">
        <f>IF($M2875="","",MAX(IF($G2875="",$I2875,$G2875)*(1/1.1),IF($G2875="",$I2875,$G2875)+(S$2*$M2875)))</f>
        <v/>
      </c>
      <c r="T2875" s="82" t="n"/>
      <c r="U2875" s="47">
        <f>IF(OR($M2875="",$T2875=""),"",$T2875+(U$2*$M2875))</f>
        <v/>
      </c>
      <c r="V2875" s="48">
        <f>IF(OR($M2875="",$T2875=""),"",$T2875+(V$2*$M2875))</f>
        <v/>
      </c>
      <c r="W2875" s="48">
        <f>IF(OR($M2875="",$T2875=""),"",$T2875+(W$2*$M2875))</f>
        <v/>
      </c>
      <c r="X2875" s="49">
        <f>IF(OR($M2875="",$T2875=""),"",$T2875+(X$2*$M2875))</f>
        <v/>
      </c>
      <c r="Y2875" s="47">
        <f>IF(OR($M2875="",$T2875=""),"",$T2875+(Y$2*$M2875))</f>
        <v/>
      </c>
      <c r="Z2875" s="49">
        <f>IF(OR($M2875="",$T2875=""),"",$T2875+(Z$2*$M2875))</f>
        <v/>
      </c>
      <c r="AA2875" s="51">
        <f>IF(OR($M2875="",$T2875=""),"",$T2875+(AA$2*$M2875))</f>
        <v/>
      </c>
      <c r="AB2875" s="48">
        <f>IF(OR($M2875="",$T2875=""),"",$T2875+(AB$2*$M2875))</f>
        <v/>
      </c>
      <c r="AC2875" s="48">
        <f>IF(OR($M2875="",$T2875=""),"",$T2875+(AC$2*$M2875))</f>
        <v/>
      </c>
      <c r="AD2875" s="48">
        <f>IF(OR($M2875="",$T2875=""),"",$T2875+(AD$2*$M2875))</f>
        <v/>
      </c>
      <c r="AE2875" s="49">
        <f>IF(OR($M2875="",$T2875=""),"",$T2875+(AE$2*$M2875))</f>
        <v/>
      </c>
      <c r="AF2875" s="52">
        <f>IF(OR(T2875="",I2875&lt;T2875),"",IFERROR(AVERAGE(T2875+M2875*{7,8,9,10,11})/IF(G2875="",I2875,G2875)-1,""))</f>
        <v/>
      </c>
      <c r="AG2875" s="55">
        <f>IF(OR(T2875="",I2875&lt;T2875),"",IFERROR(AF2875/-(R2875/IF(G2875="",I2875,G2875)-1),""))</f>
        <v/>
      </c>
      <c r="AH2875" s="94" t="n"/>
      <c r="AI2875" s="94" t="n"/>
      <c r="AJ2875" s="94" t="n"/>
      <c r="AK2875" s="94" t="n"/>
      <c r="AL2875" s="84" t="n"/>
    </row>
    <row r="2876">
      <c r="A2876" s="64" t="n"/>
      <c r="B2876" s="65" t="n"/>
      <c r="C2876" s="66" t="n"/>
      <c r="D2876" s="67" t="n"/>
      <c r="E2876" s="68" t="n"/>
      <c r="F2876" s="47">
        <f>IF(A2876="","",IF(MIN(H2876,MAX(J2876:K2876))=0,"",MIN(H2876,MAX(J2876:K2876))))</f>
        <v/>
      </c>
      <c r="G2876" s="74" t="n"/>
      <c r="H2876" s="49">
        <f>IF(M2876="","",IFERROR(ROUND(AVERAGE(T2876+M2876*{7,8,9,10,11})/1.21,4),""))</f>
        <v/>
      </c>
      <c r="I2876" s="76" t="n"/>
      <c r="J2876" s="77" t="n"/>
      <c r="K2876" s="74" t="n"/>
      <c r="L2876" s="78" t="n"/>
      <c r="M2876" s="77" t="n"/>
      <c r="N2876" s="53">
        <f>IF(M2876="","",IFERROR(M2876/I2876,""))</f>
        <v/>
      </c>
      <c r="O2876" s="50">
        <f>IF(A2876="","",IFERROR((IF(G2876="",I2876,G2876)-T2876)/M2876,""))</f>
        <v/>
      </c>
      <c r="P2876" s="50">
        <f>IFERROR((I2876/T2876-1)/N2876,"")</f>
        <v/>
      </c>
      <c r="Q2876" s="46">
        <f>IF(OR(T2876="",I2876&lt;T2876),"",IFERROR(R2876/IF(G2876="",I2876,G2876)-1,""))</f>
        <v/>
      </c>
      <c r="R2876" s="48">
        <f>IF($M2876="","",MAX(IF($G2876="",$I2876,$G2876)*(1/1.1),IF($G2876="",$I2876,$G2876)+(R$2*$M2876)))</f>
        <v/>
      </c>
      <c r="S2876" s="49">
        <f>IF($M2876="","",MAX(IF($G2876="",$I2876,$G2876)*(1/1.1),IF($G2876="",$I2876,$G2876)+(S$2*$M2876)))</f>
        <v/>
      </c>
      <c r="T2876" s="82" t="n"/>
      <c r="U2876" s="47">
        <f>IF(OR($M2876="",$T2876=""),"",$T2876+(U$2*$M2876))</f>
        <v/>
      </c>
      <c r="V2876" s="48">
        <f>IF(OR($M2876="",$T2876=""),"",$T2876+(V$2*$M2876))</f>
        <v/>
      </c>
      <c r="W2876" s="48">
        <f>IF(OR($M2876="",$T2876=""),"",$T2876+(W$2*$M2876))</f>
        <v/>
      </c>
      <c r="X2876" s="49">
        <f>IF(OR($M2876="",$T2876=""),"",$T2876+(X$2*$M2876))</f>
        <v/>
      </c>
      <c r="Y2876" s="47">
        <f>IF(OR($M2876="",$T2876=""),"",$T2876+(Y$2*$M2876))</f>
        <v/>
      </c>
      <c r="Z2876" s="49">
        <f>IF(OR($M2876="",$T2876=""),"",$T2876+(Z$2*$M2876))</f>
        <v/>
      </c>
      <c r="AA2876" s="51">
        <f>IF(OR($M2876="",$T2876=""),"",$T2876+(AA$2*$M2876))</f>
        <v/>
      </c>
      <c r="AB2876" s="48">
        <f>IF(OR($M2876="",$T2876=""),"",$T2876+(AB$2*$M2876))</f>
        <v/>
      </c>
      <c r="AC2876" s="48">
        <f>IF(OR($M2876="",$T2876=""),"",$T2876+(AC$2*$M2876))</f>
        <v/>
      </c>
      <c r="AD2876" s="48">
        <f>IF(OR($M2876="",$T2876=""),"",$T2876+(AD$2*$M2876))</f>
        <v/>
      </c>
      <c r="AE2876" s="49">
        <f>IF(OR($M2876="",$T2876=""),"",$T2876+(AE$2*$M2876))</f>
        <v/>
      </c>
      <c r="AF2876" s="52">
        <f>IF(OR(T2876="",I2876&lt;T2876),"",IFERROR(AVERAGE(T2876+M2876*{7,8,9,10,11})/IF(G2876="",I2876,G2876)-1,""))</f>
        <v/>
      </c>
      <c r="AG2876" s="55">
        <f>IF(OR(T2876="",I2876&lt;T2876),"",IFERROR(AF2876/-(R2876/IF(G2876="",I2876,G2876)-1),""))</f>
        <v/>
      </c>
      <c r="AH2876" s="94" t="n"/>
      <c r="AI2876" s="94" t="n"/>
      <c r="AJ2876" s="94" t="n"/>
      <c r="AK2876" s="94" t="n"/>
      <c r="AL2876" s="84" t="n"/>
    </row>
    <row r="2877">
      <c r="A2877" s="64" t="n"/>
      <c r="B2877" s="65" t="n"/>
      <c r="C2877" s="66" t="n"/>
      <c r="D2877" s="67" t="n"/>
      <c r="E2877" s="68" t="n"/>
      <c r="F2877" s="47">
        <f>IF(A2877="","",IF(MIN(H2877,MAX(J2877:K2877))=0,"",MIN(H2877,MAX(J2877:K2877))))</f>
        <v/>
      </c>
      <c r="G2877" s="74" t="n"/>
      <c r="H2877" s="49">
        <f>IF(M2877="","",IFERROR(ROUND(AVERAGE(T2877+M2877*{7,8,9,10,11})/1.21,4),""))</f>
        <v/>
      </c>
      <c r="I2877" s="76" t="n"/>
      <c r="J2877" s="77" t="n"/>
      <c r="K2877" s="74" t="n"/>
      <c r="L2877" s="78" t="n"/>
      <c r="M2877" s="77" t="n"/>
      <c r="N2877" s="53">
        <f>IF(M2877="","",IFERROR(M2877/I2877,""))</f>
        <v/>
      </c>
      <c r="O2877" s="50">
        <f>IF(A2877="","",IFERROR((IF(G2877="",I2877,G2877)-T2877)/M2877,""))</f>
        <v/>
      </c>
      <c r="P2877" s="50">
        <f>IFERROR((I2877/T2877-1)/N2877,"")</f>
        <v/>
      </c>
      <c r="Q2877" s="46">
        <f>IF(OR(T2877="",I2877&lt;T2877),"",IFERROR(R2877/IF(G2877="",I2877,G2877)-1,""))</f>
        <v/>
      </c>
      <c r="R2877" s="48">
        <f>IF($M2877="","",MAX(IF($G2877="",$I2877,$G2877)*(1/1.1),IF($G2877="",$I2877,$G2877)+(R$2*$M2877)))</f>
        <v/>
      </c>
      <c r="S2877" s="49">
        <f>IF($M2877="","",MAX(IF($G2877="",$I2877,$G2877)*(1/1.1),IF($G2877="",$I2877,$G2877)+(S$2*$M2877)))</f>
        <v/>
      </c>
      <c r="T2877" s="82" t="n"/>
      <c r="U2877" s="47">
        <f>IF(OR($M2877="",$T2877=""),"",$T2877+(U$2*$M2877))</f>
        <v/>
      </c>
      <c r="V2877" s="48">
        <f>IF(OR($M2877="",$T2877=""),"",$T2877+(V$2*$M2877))</f>
        <v/>
      </c>
      <c r="W2877" s="48">
        <f>IF(OR($M2877="",$T2877=""),"",$T2877+(W$2*$M2877))</f>
        <v/>
      </c>
      <c r="X2877" s="49">
        <f>IF(OR($M2877="",$T2877=""),"",$T2877+(X$2*$M2877))</f>
        <v/>
      </c>
      <c r="Y2877" s="47">
        <f>IF(OR($M2877="",$T2877=""),"",$T2877+(Y$2*$M2877))</f>
        <v/>
      </c>
      <c r="Z2877" s="49">
        <f>IF(OR($M2877="",$T2877=""),"",$T2877+(Z$2*$M2877))</f>
        <v/>
      </c>
      <c r="AA2877" s="51">
        <f>IF(OR($M2877="",$T2877=""),"",$T2877+(AA$2*$M2877))</f>
        <v/>
      </c>
      <c r="AB2877" s="48">
        <f>IF(OR($M2877="",$T2877=""),"",$T2877+(AB$2*$M2877))</f>
        <v/>
      </c>
      <c r="AC2877" s="48">
        <f>IF(OR($M2877="",$T2877=""),"",$T2877+(AC$2*$M2877))</f>
        <v/>
      </c>
      <c r="AD2877" s="48">
        <f>IF(OR($M2877="",$T2877=""),"",$T2877+(AD$2*$M2877))</f>
        <v/>
      </c>
      <c r="AE2877" s="49">
        <f>IF(OR($M2877="",$T2877=""),"",$T2877+(AE$2*$M2877))</f>
        <v/>
      </c>
      <c r="AF2877" s="52">
        <f>IF(OR(T2877="",I2877&lt;T2877),"",IFERROR(AVERAGE(T2877+M2877*{7,8,9,10,11})/IF(G2877="",I2877,G2877)-1,""))</f>
        <v/>
      </c>
      <c r="AG2877" s="55">
        <f>IF(OR(T2877="",I2877&lt;T2877),"",IFERROR(AF2877/-(R2877/IF(G2877="",I2877,G2877)-1),""))</f>
        <v/>
      </c>
      <c r="AH2877" s="94" t="n"/>
      <c r="AI2877" s="94" t="n"/>
      <c r="AJ2877" s="94" t="n"/>
      <c r="AK2877" s="94" t="n"/>
      <c r="AL2877" s="84" t="n"/>
    </row>
    <row r="2878">
      <c r="A2878" s="64" t="n"/>
      <c r="B2878" s="65" t="n"/>
      <c r="C2878" s="66" t="n"/>
      <c r="D2878" s="67" t="n"/>
      <c r="E2878" s="68" t="n"/>
      <c r="F2878" s="47">
        <f>IF(A2878="","",IF(MIN(H2878,MAX(J2878:K2878))=0,"",MIN(H2878,MAX(J2878:K2878))))</f>
        <v/>
      </c>
      <c r="G2878" s="74" t="n"/>
      <c r="H2878" s="49">
        <f>IF(M2878="","",IFERROR(ROUND(AVERAGE(T2878+M2878*{7,8,9,10,11})/1.21,4),""))</f>
        <v/>
      </c>
      <c r="I2878" s="76" t="n"/>
      <c r="J2878" s="77" t="n"/>
      <c r="K2878" s="74" t="n"/>
      <c r="L2878" s="78" t="n"/>
      <c r="M2878" s="77" t="n"/>
      <c r="N2878" s="53">
        <f>IF(M2878="","",IFERROR(M2878/I2878,""))</f>
        <v/>
      </c>
      <c r="O2878" s="50">
        <f>IF(A2878="","",IFERROR((IF(G2878="",I2878,G2878)-T2878)/M2878,""))</f>
        <v/>
      </c>
      <c r="P2878" s="50">
        <f>IFERROR((I2878/T2878-1)/N2878,"")</f>
        <v/>
      </c>
      <c r="Q2878" s="46">
        <f>IF(OR(T2878="",I2878&lt;T2878),"",IFERROR(R2878/IF(G2878="",I2878,G2878)-1,""))</f>
        <v/>
      </c>
      <c r="R2878" s="48">
        <f>IF($M2878="","",MAX(IF($G2878="",$I2878,$G2878)*(1/1.1),IF($G2878="",$I2878,$G2878)+(R$2*$M2878)))</f>
        <v/>
      </c>
      <c r="S2878" s="49">
        <f>IF($M2878="","",MAX(IF($G2878="",$I2878,$G2878)*(1/1.1),IF($G2878="",$I2878,$G2878)+(S$2*$M2878)))</f>
        <v/>
      </c>
      <c r="T2878" s="82" t="n"/>
      <c r="U2878" s="47">
        <f>IF(OR($M2878="",$T2878=""),"",$T2878+(U$2*$M2878))</f>
        <v/>
      </c>
      <c r="V2878" s="48">
        <f>IF(OR($M2878="",$T2878=""),"",$T2878+(V$2*$M2878))</f>
        <v/>
      </c>
      <c r="W2878" s="48">
        <f>IF(OR($M2878="",$T2878=""),"",$T2878+(W$2*$M2878))</f>
        <v/>
      </c>
      <c r="X2878" s="49">
        <f>IF(OR($M2878="",$T2878=""),"",$T2878+(X$2*$M2878))</f>
        <v/>
      </c>
      <c r="Y2878" s="47">
        <f>IF(OR($M2878="",$T2878=""),"",$T2878+(Y$2*$M2878))</f>
        <v/>
      </c>
      <c r="Z2878" s="49">
        <f>IF(OR($M2878="",$T2878=""),"",$T2878+(Z$2*$M2878))</f>
        <v/>
      </c>
      <c r="AA2878" s="51">
        <f>IF(OR($M2878="",$T2878=""),"",$T2878+(AA$2*$M2878))</f>
        <v/>
      </c>
      <c r="AB2878" s="48">
        <f>IF(OR($M2878="",$T2878=""),"",$T2878+(AB$2*$M2878))</f>
        <v/>
      </c>
      <c r="AC2878" s="48">
        <f>IF(OR($M2878="",$T2878=""),"",$T2878+(AC$2*$M2878))</f>
        <v/>
      </c>
      <c r="AD2878" s="48">
        <f>IF(OR($M2878="",$T2878=""),"",$T2878+(AD$2*$M2878))</f>
        <v/>
      </c>
      <c r="AE2878" s="49">
        <f>IF(OR($M2878="",$T2878=""),"",$T2878+(AE$2*$M2878))</f>
        <v/>
      </c>
      <c r="AF2878" s="52">
        <f>IF(OR(T2878="",I2878&lt;T2878),"",IFERROR(AVERAGE(T2878+M2878*{7,8,9,10,11})/IF(G2878="",I2878,G2878)-1,""))</f>
        <v/>
      </c>
      <c r="AG2878" s="55">
        <f>IF(OR(T2878="",I2878&lt;T2878),"",IFERROR(AF2878/-(R2878/IF(G2878="",I2878,G2878)-1),""))</f>
        <v/>
      </c>
      <c r="AH2878" s="94" t="n"/>
      <c r="AI2878" s="94" t="n"/>
      <c r="AJ2878" s="94" t="n"/>
      <c r="AK2878" s="94" t="n"/>
      <c r="AL2878" s="84" t="n"/>
    </row>
    <row r="2879">
      <c r="A2879" s="64" t="n"/>
      <c r="B2879" s="65" t="n"/>
      <c r="C2879" s="66" t="n"/>
      <c r="D2879" s="67" t="n"/>
      <c r="E2879" s="68" t="n"/>
      <c r="F2879" s="47">
        <f>IF(A2879="","",IF(MIN(H2879,MAX(J2879:K2879))=0,"",MIN(H2879,MAX(J2879:K2879))))</f>
        <v/>
      </c>
      <c r="G2879" s="74" t="n"/>
      <c r="H2879" s="49">
        <f>IF(M2879="","",IFERROR(ROUND(AVERAGE(T2879+M2879*{7,8,9,10,11})/1.21,4),""))</f>
        <v/>
      </c>
      <c r="I2879" s="76" t="n"/>
      <c r="J2879" s="77" t="n"/>
      <c r="K2879" s="74" t="n"/>
      <c r="L2879" s="78" t="n"/>
      <c r="M2879" s="77" t="n"/>
      <c r="N2879" s="53">
        <f>IF(M2879="","",IFERROR(M2879/I2879,""))</f>
        <v/>
      </c>
      <c r="O2879" s="50">
        <f>IF(A2879="","",IFERROR((IF(G2879="",I2879,G2879)-T2879)/M2879,""))</f>
        <v/>
      </c>
      <c r="P2879" s="50">
        <f>IFERROR((I2879/T2879-1)/N2879,"")</f>
        <v/>
      </c>
      <c r="Q2879" s="46">
        <f>IF(OR(T2879="",I2879&lt;T2879),"",IFERROR(R2879/IF(G2879="",I2879,G2879)-1,""))</f>
        <v/>
      </c>
      <c r="R2879" s="48">
        <f>IF($M2879="","",MAX(IF($G2879="",$I2879,$G2879)*(1/1.1),IF($G2879="",$I2879,$G2879)+(R$2*$M2879)))</f>
        <v/>
      </c>
      <c r="S2879" s="49">
        <f>IF($M2879="","",MAX(IF($G2879="",$I2879,$G2879)*(1/1.1),IF($G2879="",$I2879,$G2879)+(S$2*$M2879)))</f>
        <v/>
      </c>
      <c r="T2879" s="82" t="n"/>
      <c r="U2879" s="47">
        <f>IF(OR($M2879="",$T2879=""),"",$T2879+(U$2*$M2879))</f>
        <v/>
      </c>
      <c r="V2879" s="48">
        <f>IF(OR($M2879="",$T2879=""),"",$T2879+(V$2*$M2879))</f>
        <v/>
      </c>
      <c r="W2879" s="48">
        <f>IF(OR($M2879="",$T2879=""),"",$T2879+(W$2*$M2879))</f>
        <v/>
      </c>
      <c r="X2879" s="49">
        <f>IF(OR($M2879="",$T2879=""),"",$T2879+(X$2*$M2879))</f>
        <v/>
      </c>
      <c r="Y2879" s="47">
        <f>IF(OR($M2879="",$T2879=""),"",$T2879+(Y$2*$M2879))</f>
        <v/>
      </c>
      <c r="Z2879" s="49">
        <f>IF(OR($M2879="",$T2879=""),"",$T2879+(Z$2*$M2879))</f>
        <v/>
      </c>
      <c r="AA2879" s="51">
        <f>IF(OR($M2879="",$T2879=""),"",$T2879+(AA$2*$M2879))</f>
        <v/>
      </c>
      <c r="AB2879" s="48">
        <f>IF(OR($M2879="",$T2879=""),"",$T2879+(AB$2*$M2879))</f>
        <v/>
      </c>
      <c r="AC2879" s="48">
        <f>IF(OR($M2879="",$T2879=""),"",$T2879+(AC$2*$M2879))</f>
        <v/>
      </c>
      <c r="AD2879" s="48">
        <f>IF(OR($M2879="",$T2879=""),"",$T2879+(AD$2*$M2879))</f>
        <v/>
      </c>
      <c r="AE2879" s="49">
        <f>IF(OR($M2879="",$T2879=""),"",$T2879+(AE$2*$M2879))</f>
        <v/>
      </c>
      <c r="AF2879" s="52">
        <f>IF(OR(T2879="",I2879&lt;T2879),"",IFERROR(AVERAGE(T2879+M2879*{7,8,9,10,11})/IF(G2879="",I2879,G2879)-1,""))</f>
        <v/>
      </c>
      <c r="AG2879" s="55">
        <f>IF(OR(T2879="",I2879&lt;T2879),"",IFERROR(AF2879/-(R2879/IF(G2879="",I2879,G2879)-1),""))</f>
        <v/>
      </c>
      <c r="AH2879" s="94" t="n"/>
      <c r="AI2879" s="94" t="n"/>
      <c r="AJ2879" s="94" t="n"/>
      <c r="AK2879" s="94" t="n"/>
      <c r="AL2879" s="84" t="n"/>
    </row>
    <row r="2880">
      <c r="A2880" s="64" t="n"/>
      <c r="B2880" s="65" t="n"/>
      <c r="C2880" s="66" t="n"/>
      <c r="D2880" s="67" t="n"/>
      <c r="E2880" s="68" t="n"/>
      <c r="F2880" s="47">
        <f>IF(A2880="","",IF(MIN(H2880,MAX(J2880:K2880))=0,"",MIN(H2880,MAX(J2880:K2880))))</f>
        <v/>
      </c>
      <c r="G2880" s="74" t="n"/>
      <c r="H2880" s="49">
        <f>IF(M2880="","",IFERROR(ROUND(AVERAGE(T2880+M2880*{7,8,9,10,11})/1.21,4),""))</f>
        <v/>
      </c>
      <c r="I2880" s="76" t="n"/>
      <c r="J2880" s="77" t="n"/>
      <c r="K2880" s="74" t="n"/>
      <c r="L2880" s="78" t="n"/>
      <c r="M2880" s="77" t="n"/>
      <c r="N2880" s="53">
        <f>IF(M2880="","",IFERROR(M2880/I2880,""))</f>
        <v/>
      </c>
      <c r="O2880" s="50">
        <f>IF(A2880="","",IFERROR((IF(G2880="",I2880,G2880)-T2880)/M2880,""))</f>
        <v/>
      </c>
      <c r="P2880" s="50">
        <f>IFERROR((I2880/T2880-1)/N2880,"")</f>
        <v/>
      </c>
      <c r="Q2880" s="46">
        <f>IF(OR(T2880="",I2880&lt;T2880),"",IFERROR(R2880/IF(G2880="",I2880,G2880)-1,""))</f>
        <v/>
      </c>
      <c r="R2880" s="48">
        <f>IF($M2880="","",MAX(IF($G2880="",$I2880,$G2880)*(1/1.1),IF($G2880="",$I2880,$G2880)+(R$2*$M2880)))</f>
        <v/>
      </c>
      <c r="S2880" s="49">
        <f>IF($M2880="","",MAX(IF($G2880="",$I2880,$G2880)*(1/1.1),IF($G2880="",$I2880,$G2880)+(S$2*$M2880)))</f>
        <v/>
      </c>
      <c r="T2880" s="82" t="n"/>
      <c r="U2880" s="47">
        <f>IF(OR($M2880="",$T2880=""),"",$T2880+(U$2*$M2880))</f>
        <v/>
      </c>
      <c r="V2880" s="48">
        <f>IF(OR($M2880="",$T2880=""),"",$T2880+(V$2*$M2880))</f>
        <v/>
      </c>
      <c r="W2880" s="48">
        <f>IF(OR($M2880="",$T2880=""),"",$T2880+(W$2*$M2880))</f>
        <v/>
      </c>
      <c r="X2880" s="49">
        <f>IF(OR($M2880="",$T2880=""),"",$T2880+(X$2*$M2880))</f>
        <v/>
      </c>
      <c r="Y2880" s="47">
        <f>IF(OR($M2880="",$T2880=""),"",$T2880+(Y$2*$M2880))</f>
        <v/>
      </c>
      <c r="Z2880" s="49">
        <f>IF(OR($M2880="",$T2880=""),"",$T2880+(Z$2*$M2880))</f>
        <v/>
      </c>
      <c r="AA2880" s="51">
        <f>IF(OR($M2880="",$T2880=""),"",$T2880+(AA$2*$M2880))</f>
        <v/>
      </c>
      <c r="AB2880" s="48">
        <f>IF(OR($M2880="",$T2880=""),"",$T2880+(AB$2*$M2880))</f>
        <v/>
      </c>
      <c r="AC2880" s="48">
        <f>IF(OR($M2880="",$T2880=""),"",$T2880+(AC$2*$M2880))</f>
        <v/>
      </c>
      <c r="AD2880" s="48">
        <f>IF(OR($M2880="",$T2880=""),"",$T2880+(AD$2*$M2880))</f>
        <v/>
      </c>
      <c r="AE2880" s="49">
        <f>IF(OR($M2880="",$T2880=""),"",$T2880+(AE$2*$M2880))</f>
        <v/>
      </c>
      <c r="AF2880" s="52">
        <f>IF(OR(T2880="",I2880&lt;T2880),"",IFERROR(AVERAGE(T2880+M2880*{7,8,9,10,11})/IF(G2880="",I2880,G2880)-1,""))</f>
        <v/>
      </c>
      <c r="AG2880" s="55">
        <f>IF(OR(T2880="",I2880&lt;T2880),"",IFERROR(AF2880/-(R2880/IF(G2880="",I2880,G2880)-1),""))</f>
        <v/>
      </c>
      <c r="AH2880" s="94" t="n"/>
      <c r="AI2880" s="94" t="n"/>
      <c r="AJ2880" s="94" t="n"/>
      <c r="AK2880" s="94" t="n"/>
      <c r="AL2880" s="84" t="n"/>
    </row>
    <row r="2881">
      <c r="A2881" s="64" t="n"/>
      <c r="B2881" s="65" t="n"/>
      <c r="C2881" s="66" t="n"/>
      <c r="D2881" s="67" t="n"/>
      <c r="E2881" s="68" t="n"/>
      <c r="F2881" s="47">
        <f>IF(A2881="","",IF(MIN(H2881,MAX(J2881:K2881))=0,"",MIN(H2881,MAX(J2881:K2881))))</f>
        <v/>
      </c>
      <c r="G2881" s="74" t="n"/>
      <c r="H2881" s="49">
        <f>IF(M2881="","",IFERROR(ROUND(AVERAGE(T2881+M2881*{7,8,9,10,11})/1.21,4),""))</f>
        <v/>
      </c>
      <c r="I2881" s="76" t="n"/>
      <c r="J2881" s="77" t="n"/>
      <c r="K2881" s="74" t="n"/>
      <c r="L2881" s="78" t="n"/>
      <c r="M2881" s="77" t="n"/>
      <c r="N2881" s="53">
        <f>IF(M2881="","",IFERROR(M2881/I2881,""))</f>
        <v/>
      </c>
      <c r="O2881" s="50">
        <f>IF(A2881="","",IFERROR((IF(G2881="",I2881,G2881)-T2881)/M2881,""))</f>
        <v/>
      </c>
      <c r="P2881" s="50">
        <f>IFERROR((I2881/T2881-1)/N2881,"")</f>
        <v/>
      </c>
      <c r="Q2881" s="46">
        <f>IF(OR(T2881="",I2881&lt;T2881),"",IFERROR(R2881/IF(G2881="",I2881,G2881)-1,""))</f>
        <v/>
      </c>
      <c r="R2881" s="48">
        <f>IF($M2881="","",MAX(IF($G2881="",$I2881,$G2881)*(1/1.1),IF($G2881="",$I2881,$G2881)+(R$2*$M2881)))</f>
        <v/>
      </c>
      <c r="S2881" s="49">
        <f>IF($M2881="","",MAX(IF($G2881="",$I2881,$G2881)*(1/1.1),IF($G2881="",$I2881,$G2881)+(S$2*$M2881)))</f>
        <v/>
      </c>
      <c r="T2881" s="82" t="n"/>
      <c r="U2881" s="47">
        <f>IF(OR($M2881="",$T2881=""),"",$T2881+(U$2*$M2881))</f>
        <v/>
      </c>
      <c r="V2881" s="48">
        <f>IF(OR($M2881="",$T2881=""),"",$T2881+(V$2*$M2881))</f>
        <v/>
      </c>
      <c r="W2881" s="48">
        <f>IF(OR($M2881="",$T2881=""),"",$T2881+(W$2*$M2881))</f>
        <v/>
      </c>
      <c r="X2881" s="49">
        <f>IF(OR($M2881="",$T2881=""),"",$T2881+(X$2*$M2881))</f>
        <v/>
      </c>
      <c r="Y2881" s="47">
        <f>IF(OR($M2881="",$T2881=""),"",$T2881+(Y$2*$M2881))</f>
        <v/>
      </c>
      <c r="Z2881" s="49">
        <f>IF(OR($M2881="",$T2881=""),"",$T2881+(Z$2*$M2881))</f>
        <v/>
      </c>
      <c r="AA2881" s="51">
        <f>IF(OR($M2881="",$T2881=""),"",$T2881+(AA$2*$M2881))</f>
        <v/>
      </c>
      <c r="AB2881" s="48">
        <f>IF(OR($M2881="",$T2881=""),"",$T2881+(AB$2*$M2881))</f>
        <v/>
      </c>
      <c r="AC2881" s="48">
        <f>IF(OR($M2881="",$T2881=""),"",$T2881+(AC$2*$M2881))</f>
        <v/>
      </c>
      <c r="AD2881" s="48">
        <f>IF(OR($M2881="",$T2881=""),"",$T2881+(AD$2*$M2881))</f>
        <v/>
      </c>
      <c r="AE2881" s="49">
        <f>IF(OR($M2881="",$T2881=""),"",$T2881+(AE$2*$M2881))</f>
        <v/>
      </c>
      <c r="AF2881" s="52">
        <f>IF(OR(T2881="",I2881&lt;T2881),"",IFERROR(AVERAGE(T2881+M2881*{7,8,9,10,11})/IF(G2881="",I2881,G2881)-1,""))</f>
        <v/>
      </c>
      <c r="AG2881" s="55">
        <f>IF(OR(T2881="",I2881&lt;T2881),"",IFERROR(AF2881/-(R2881/IF(G2881="",I2881,G2881)-1),""))</f>
        <v/>
      </c>
      <c r="AH2881" s="94" t="n"/>
      <c r="AI2881" s="94" t="n"/>
      <c r="AJ2881" s="94" t="n"/>
      <c r="AK2881" s="94" t="n"/>
      <c r="AL2881" s="84" t="n"/>
    </row>
    <row r="2882">
      <c r="A2882" s="64" t="n"/>
      <c r="B2882" s="65" t="n"/>
      <c r="C2882" s="66" t="n"/>
      <c r="D2882" s="67" t="n"/>
      <c r="E2882" s="68" t="n"/>
      <c r="F2882" s="47">
        <f>IF(A2882="","",IF(MIN(H2882,MAX(J2882:K2882))=0,"",MIN(H2882,MAX(J2882:K2882))))</f>
        <v/>
      </c>
      <c r="G2882" s="74" t="n"/>
      <c r="H2882" s="49">
        <f>IF(M2882="","",IFERROR(ROUND(AVERAGE(T2882+M2882*{7,8,9,10,11})/1.21,4),""))</f>
        <v/>
      </c>
      <c r="I2882" s="76" t="n"/>
      <c r="J2882" s="77" t="n"/>
      <c r="K2882" s="74" t="n"/>
      <c r="L2882" s="78" t="n"/>
      <c r="M2882" s="77" t="n"/>
      <c r="N2882" s="53">
        <f>IF(M2882="","",IFERROR(M2882/I2882,""))</f>
        <v/>
      </c>
      <c r="O2882" s="50">
        <f>IF(A2882="","",IFERROR((IF(G2882="",I2882,G2882)-T2882)/M2882,""))</f>
        <v/>
      </c>
      <c r="P2882" s="50">
        <f>IFERROR((I2882/T2882-1)/N2882,"")</f>
        <v/>
      </c>
      <c r="Q2882" s="46">
        <f>IF(OR(T2882="",I2882&lt;T2882),"",IFERROR(R2882/IF(G2882="",I2882,G2882)-1,""))</f>
        <v/>
      </c>
      <c r="R2882" s="48">
        <f>IF($M2882="","",MAX(IF($G2882="",$I2882,$G2882)*(1/1.1),IF($G2882="",$I2882,$G2882)+(R$2*$M2882)))</f>
        <v/>
      </c>
      <c r="S2882" s="49">
        <f>IF($M2882="","",MAX(IF($G2882="",$I2882,$G2882)*(1/1.1),IF($G2882="",$I2882,$G2882)+(S$2*$M2882)))</f>
        <v/>
      </c>
      <c r="T2882" s="82" t="n"/>
      <c r="U2882" s="47">
        <f>IF(OR($M2882="",$T2882=""),"",$T2882+(U$2*$M2882))</f>
        <v/>
      </c>
      <c r="V2882" s="48">
        <f>IF(OR($M2882="",$T2882=""),"",$T2882+(V$2*$M2882))</f>
        <v/>
      </c>
      <c r="W2882" s="48">
        <f>IF(OR($M2882="",$T2882=""),"",$T2882+(W$2*$M2882))</f>
        <v/>
      </c>
      <c r="X2882" s="49">
        <f>IF(OR($M2882="",$T2882=""),"",$T2882+(X$2*$M2882))</f>
        <v/>
      </c>
      <c r="Y2882" s="47">
        <f>IF(OR($M2882="",$T2882=""),"",$T2882+(Y$2*$M2882))</f>
        <v/>
      </c>
      <c r="Z2882" s="49">
        <f>IF(OR($M2882="",$T2882=""),"",$T2882+(Z$2*$M2882))</f>
        <v/>
      </c>
      <c r="AA2882" s="51">
        <f>IF(OR($M2882="",$T2882=""),"",$T2882+(AA$2*$M2882))</f>
        <v/>
      </c>
      <c r="AB2882" s="48">
        <f>IF(OR($M2882="",$T2882=""),"",$T2882+(AB$2*$M2882))</f>
        <v/>
      </c>
      <c r="AC2882" s="48">
        <f>IF(OR($M2882="",$T2882=""),"",$T2882+(AC$2*$M2882))</f>
        <v/>
      </c>
      <c r="AD2882" s="48">
        <f>IF(OR($M2882="",$T2882=""),"",$T2882+(AD$2*$M2882))</f>
        <v/>
      </c>
      <c r="AE2882" s="49">
        <f>IF(OR($M2882="",$T2882=""),"",$T2882+(AE$2*$M2882))</f>
        <v/>
      </c>
      <c r="AF2882" s="52">
        <f>IF(OR(T2882="",I2882&lt;T2882),"",IFERROR(AVERAGE(T2882+M2882*{7,8,9,10,11})/IF(G2882="",I2882,G2882)-1,""))</f>
        <v/>
      </c>
      <c r="AG2882" s="55">
        <f>IF(OR(T2882="",I2882&lt;T2882),"",IFERROR(AF2882/-(R2882/IF(G2882="",I2882,G2882)-1),""))</f>
        <v/>
      </c>
      <c r="AH2882" s="94" t="n"/>
      <c r="AI2882" s="94" t="n"/>
      <c r="AJ2882" s="94" t="n"/>
      <c r="AK2882" s="94" t="n"/>
      <c r="AL2882" s="84" t="n"/>
    </row>
    <row r="2883">
      <c r="A2883" s="64" t="n"/>
      <c r="B2883" s="65" t="n"/>
      <c r="C2883" s="66" t="n"/>
      <c r="D2883" s="67" t="n"/>
      <c r="E2883" s="68" t="n"/>
      <c r="F2883" s="47">
        <f>IF(A2883="","",IF(MIN(H2883,MAX(J2883:K2883))=0,"",MIN(H2883,MAX(J2883:K2883))))</f>
        <v/>
      </c>
      <c r="G2883" s="74" t="n"/>
      <c r="H2883" s="49">
        <f>IF(M2883="","",IFERROR(ROUND(AVERAGE(T2883+M2883*{7,8,9,10,11})/1.21,4),""))</f>
        <v/>
      </c>
      <c r="I2883" s="76" t="n"/>
      <c r="J2883" s="77" t="n"/>
      <c r="K2883" s="74" t="n"/>
      <c r="L2883" s="78" t="n"/>
      <c r="M2883" s="77" t="n"/>
      <c r="N2883" s="53">
        <f>IF(M2883="","",IFERROR(M2883/I2883,""))</f>
        <v/>
      </c>
      <c r="O2883" s="50">
        <f>IF(A2883="","",IFERROR((IF(G2883="",I2883,G2883)-T2883)/M2883,""))</f>
        <v/>
      </c>
      <c r="P2883" s="50">
        <f>IFERROR((I2883/T2883-1)/N2883,"")</f>
        <v/>
      </c>
      <c r="Q2883" s="46">
        <f>IF(OR(T2883="",I2883&lt;T2883),"",IFERROR(R2883/IF(G2883="",I2883,G2883)-1,""))</f>
        <v/>
      </c>
      <c r="R2883" s="48">
        <f>IF($M2883="","",MAX(IF($G2883="",$I2883,$G2883)*(1/1.1),IF($G2883="",$I2883,$G2883)+(R$2*$M2883)))</f>
        <v/>
      </c>
      <c r="S2883" s="49">
        <f>IF($M2883="","",MAX(IF($G2883="",$I2883,$G2883)*(1/1.1),IF($G2883="",$I2883,$G2883)+(S$2*$M2883)))</f>
        <v/>
      </c>
      <c r="T2883" s="82" t="n"/>
      <c r="U2883" s="47">
        <f>IF(OR($M2883="",$T2883=""),"",$T2883+(U$2*$M2883))</f>
        <v/>
      </c>
      <c r="V2883" s="48">
        <f>IF(OR($M2883="",$T2883=""),"",$T2883+(V$2*$M2883))</f>
        <v/>
      </c>
      <c r="W2883" s="48">
        <f>IF(OR($M2883="",$T2883=""),"",$T2883+(W$2*$M2883))</f>
        <v/>
      </c>
      <c r="X2883" s="49">
        <f>IF(OR($M2883="",$T2883=""),"",$T2883+(X$2*$M2883))</f>
        <v/>
      </c>
      <c r="Y2883" s="47">
        <f>IF(OR($M2883="",$T2883=""),"",$T2883+(Y$2*$M2883))</f>
        <v/>
      </c>
      <c r="Z2883" s="49">
        <f>IF(OR($M2883="",$T2883=""),"",$T2883+(Z$2*$M2883))</f>
        <v/>
      </c>
      <c r="AA2883" s="51">
        <f>IF(OR($M2883="",$T2883=""),"",$T2883+(AA$2*$M2883))</f>
        <v/>
      </c>
      <c r="AB2883" s="48">
        <f>IF(OR($M2883="",$T2883=""),"",$T2883+(AB$2*$M2883))</f>
        <v/>
      </c>
      <c r="AC2883" s="48">
        <f>IF(OR($M2883="",$T2883=""),"",$T2883+(AC$2*$M2883))</f>
        <v/>
      </c>
      <c r="AD2883" s="48">
        <f>IF(OR($M2883="",$T2883=""),"",$T2883+(AD$2*$M2883))</f>
        <v/>
      </c>
      <c r="AE2883" s="49">
        <f>IF(OR($M2883="",$T2883=""),"",$T2883+(AE$2*$M2883))</f>
        <v/>
      </c>
      <c r="AF2883" s="52">
        <f>IF(OR(T2883="",I2883&lt;T2883),"",IFERROR(AVERAGE(T2883+M2883*{7,8,9,10,11})/IF(G2883="",I2883,G2883)-1,""))</f>
        <v/>
      </c>
      <c r="AG2883" s="55">
        <f>IF(OR(T2883="",I2883&lt;T2883),"",IFERROR(AF2883/-(R2883/IF(G2883="",I2883,G2883)-1),""))</f>
        <v/>
      </c>
      <c r="AH2883" s="94" t="n"/>
      <c r="AI2883" s="94" t="n"/>
      <c r="AJ2883" s="94" t="n"/>
      <c r="AK2883" s="94" t="n"/>
      <c r="AL2883" s="84" t="n"/>
    </row>
    <row r="2884">
      <c r="A2884" s="64" t="n"/>
      <c r="B2884" s="65" t="n"/>
      <c r="C2884" s="66" t="n"/>
      <c r="D2884" s="67" t="n"/>
      <c r="E2884" s="68" t="n"/>
      <c r="F2884" s="47">
        <f>IF(A2884="","",IF(MIN(H2884,MAX(J2884:K2884))=0,"",MIN(H2884,MAX(J2884:K2884))))</f>
        <v/>
      </c>
      <c r="G2884" s="74" t="n"/>
      <c r="H2884" s="49">
        <f>IF(M2884="","",IFERROR(ROUND(AVERAGE(T2884+M2884*{7,8,9,10,11})/1.21,4),""))</f>
        <v/>
      </c>
      <c r="I2884" s="76" t="n"/>
      <c r="J2884" s="77" t="n"/>
      <c r="K2884" s="74" t="n"/>
      <c r="L2884" s="78" t="n"/>
      <c r="M2884" s="77" t="n"/>
      <c r="N2884" s="53">
        <f>IF(M2884="","",IFERROR(M2884/I2884,""))</f>
        <v/>
      </c>
      <c r="O2884" s="50">
        <f>IF(A2884="","",IFERROR((IF(G2884="",I2884,G2884)-T2884)/M2884,""))</f>
        <v/>
      </c>
      <c r="P2884" s="50">
        <f>IFERROR((I2884/T2884-1)/N2884,"")</f>
        <v/>
      </c>
      <c r="Q2884" s="46">
        <f>IF(OR(T2884="",I2884&lt;T2884),"",IFERROR(R2884/IF(G2884="",I2884,G2884)-1,""))</f>
        <v/>
      </c>
      <c r="R2884" s="48">
        <f>IF($M2884="","",MAX(IF($G2884="",$I2884,$G2884)*(1/1.1),IF($G2884="",$I2884,$G2884)+(R$2*$M2884)))</f>
        <v/>
      </c>
      <c r="S2884" s="49">
        <f>IF($M2884="","",MAX(IF($G2884="",$I2884,$G2884)*(1/1.1),IF($G2884="",$I2884,$G2884)+(S$2*$M2884)))</f>
        <v/>
      </c>
      <c r="T2884" s="82" t="n"/>
      <c r="U2884" s="47">
        <f>IF(OR($M2884="",$T2884=""),"",$T2884+(U$2*$M2884))</f>
        <v/>
      </c>
      <c r="V2884" s="48">
        <f>IF(OR($M2884="",$T2884=""),"",$T2884+(V$2*$M2884))</f>
        <v/>
      </c>
      <c r="W2884" s="48">
        <f>IF(OR($M2884="",$T2884=""),"",$T2884+(W$2*$M2884))</f>
        <v/>
      </c>
      <c r="X2884" s="49">
        <f>IF(OR($M2884="",$T2884=""),"",$T2884+(X$2*$M2884))</f>
        <v/>
      </c>
      <c r="Y2884" s="47">
        <f>IF(OR($M2884="",$T2884=""),"",$T2884+(Y$2*$M2884))</f>
        <v/>
      </c>
      <c r="Z2884" s="49">
        <f>IF(OR($M2884="",$T2884=""),"",$T2884+(Z$2*$M2884))</f>
        <v/>
      </c>
      <c r="AA2884" s="51">
        <f>IF(OR($M2884="",$T2884=""),"",$T2884+(AA$2*$M2884))</f>
        <v/>
      </c>
      <c r="AB2884" s="48">
        <f>IF(OR($M2884="",$T2884=""),"",$T2884+(AB$2*$M2884))</f>
        <v/>
      </c>
      <c r="AC2884" s="48">
        <f>IF(OR($M2884="",$T2884=""),"",$T2884+(AC$2*$M2884))</f>
        <v/>
      </c>
      <c r="AD2884" s="48">
        <f>IF(OR($M2884="",$T2884=""),"",$T2884+(AD$2*$M2884))</f>
        <v/>
      </c>
      <c r="AE2884" s="49">
        <f>IF(OR($M2884="",$T2884=""),"",$T2884+(AE$2*$M2884))</f>
        <v/>
      </c>
      <c r="AF2884" s="52">
        <f>IF(OR(T2884="",I2884&lt;T2884),"",IFERROR(AVERAGE(T2884+M2884*{7,8,9,10,11})/IF(G2884="",I2884,G2884)-1,""))</f>
        <v/>
      </c>
      <c r="AG2884" s="55">
        <f>IF(OR(T2884="",I2884&lt;T2884),"",IFERROR(AF2884/-(R2884/IF(G2884="",I2884,G2884)-1),""))</f>
        <v/>
      </c>
      <c r="AH2884" s="94" t="n"/>
      <c r="AI2884" s="94" t="n"/>
      <c r="AJ2884" s="94" t="n"/>
      <c r="AK2884" s="94" t="n"/>
      <c r="AL2884" s="84" t="n"/>
    </row>
    <row r="2885" ht="15" customHeight="1" thickBot="1">
      <c r="A2885" s="69" t="n"/>
      <c r="B2885" s="70" t="n"/>
      <c r="C2885" s="71" t="n"/>
      <c r="D2885" s="72" t="n"/>
      <c r="E2885" s="73" t="n"/>
      <c r="F2885" s="56">
        <f>IF(A2885="","",IF(MIN(H2885,MAX(J2885:K2885))=0,"",MIN(H2885,MAX(J2885:K2885))))</f>
        <v/>
      </c>
      <c r="G2885" s="75" t="n"/>
      <c r="H2885" s="57">
        <f>IF(M2885="","",IFERROR(ROUND(AVERAGE(T2885+M2885*{7,8,9,10,11})/1.21,4),""))</f>
        <v/>
      </c>
      <c r="I2885" s="79" t="n"/>
      <c r="J2885" s="80" t="n"/>
      <c r="K2885" s="75" t="n"/>
      <c r="L2885" s="81" t="n"/>
      <c r="M2885" s="80" t="n"/>
      <c r="N2885" s="58">
        <f>IF(M2885="","",IFERROR(M2885/I2885,""))</f>
        <v/>
      </c>
      <c r="O2885" s="59">
        <f>IF(A2885="","",IFERROR((IF(G2885="",I2885,G2885)-T2885)/M2885,""))</f>
        <v/>
      </c>
      <c r="P2885" s="59">
        <f>IFERROR((I2885/T2885-1)/N2885,"")</f>
        <v/>
      </c>
      <c r="Q2885" s="60">
        <f>IF(OR(T2885="",I2885&lt;T2885),"",IFERROR(R2885/IF(G2885="",I2885,G2885)-1,""))</f>
        <v/>
      </c>
      <c r="R2885" s="54">
        <f>IF($M2885="","",MAX(IF($G2885="",$I2885,$G2885)*(1/1.1),IF($G2885="",$I2885,$G2885)+(R$2*$M2885)))</f>
        <v/>
      </c>
      <c r="S2885" s="57">
        <f>IF($M2885="","",MAX(IF($G2885="",$I2885,$G2885)*(1/1.1),IF($G2885="",$I2885,$G2885)+(S$2*$M2885)))</f>
        <v/>
      </c>
      <c r="T2885" s="83" t="n"/>
      <c r="U2885" s="56">
        <f>IF(OR($M2885="",$T2885=""),"",$T2885+(U$2*$M2885))</f>
        <v/>
      </c>
      <c r="V2885" s="54">
        <f>IF(OR($M2885="",$T2885=""),"",$T2885+(V$2*$M2885))</f>
        <v/>
      </c>
      <c r="W2885" s="54">
        <f>IF(OR($M2885="",$T2885=""),"",$T2885+(W$2*$M2885))</f>
        <v/>
      </c>
      <c r="X2885" s="57">
        <f>IF(OR($M2885="",$T2885=""),"",$T2885+(X$2*$M2885))</f>
        <v/>
      </c>
      <c r="Y2885" s="56">
        <f>IF(OR($M2885="",$T2885=""),"",$T2885+(Y$2*$M2885))</f>
        <v/>
      </c>
      <c r="Z2885" s="57">
        <f>IF(OR($M2885="",$T2885=""),"",$T2885+(Z$2*$M2885))</f>
        <v/>
      </c>
      <c r="AA2885" s="61">
        <f>IF(OR($M2885="",$T2885=""),"",$T2885+(AA$2*$M2885))</f>
        <v/>
      </c>
      <c r="AB2885" s="54">
        <f>IF(OR($M2885="",$T2885=""),"",$T2885+(AB$2*$M2885))</f>
        <v/>
      </c>
      <c r="AC2885" s="54">
        <f>IF(OR($M2885="",$T2885=""),"",$T2885+(AC$2*$M2885))</f>
        <v/>
      </c>
      <c r="AD2885" s="54">
        <f>IF(OR($M2885="",$T2885=""),"",$T2885+(AD$2*$M2885))</f>
        <v/>
      </c>
      <c r="AE2885" s="57">
        <f>IF(OR($M2885="",$T2885=""),"",$T2885+(AE$2*$M2885))</f>
        <v/>
      </c>
      <c r="AF2885" s="62">
        <f>IF(OR(T2885="",I2885&lt;T2885),"",IFERROR(AVERAGE(T2885+M2885*{7,8,9,10,11})/IF(G2885="",I2885,G2885)-1,""))</f>
        <v/>
      </c>
      <c r="AG2885" s="63">
        <f>IF(OR(T2885="",I2885&lt;T2885),"",IFERROR(AF2885/-(R2885/IF(G2885="",I2885,G2885)-1),""))</f>
        <v/>
      </c>
      <c r="AH2885" s="94" t="n"/>
      <c r="AI2885" s="94" t="n"/>
      <c r="AJ2885" s="94" t="n"/>
      <c r="AK2885" s="94" t="n"/>
      <c r="AL2885" s="84" t="n"/>
    </row>
    <row r="2886" ht="15" customHeight="1" thickTop="1">
      <c r="A2886" s="84" t="n"/>
      <c r="B2886" s="85" t="n"/>
      <c r="C2886" s="85" t="n"/>
      <c r="D2886" s="86" t="n"/>
      <c r="E2886" s="86" t="n"/>
      <c r="F2886" s="87" t="n"/>
      <c r="G2886" s="87" t="n"/>
      <c r="H2886" s="87" t="n"/>
      <c r="I2886" s="87" t="n"/>
      <c r="J2886" s="87" t="n"/>
      <c r="K2886" s="87" t="n"/>
      <c r="L2886" s="87" t="n"/>
      <c r="M2886" s="87" t="n"/>
      <c r="N2886" s="88" t="n"/>
      <c r="O2886" s="87" t="n"/>
      <c r="P2886" s="87" t="n"/>
      <c r="Q2886" s="89" t="n"/>
      <c r="R2886" s="87" t="n"/>
      <c r="S2886" s="87" t="n"/>
      <c r="T2886" s="87" t="n"/>
      <c r="U2886" s="87" t="n"/>
      <c r="V2886" s="87" t="n"/>
      <c r="W2886" s="87" t="n"/>
      <c r="X2886" s="87" t="n"/>
      <c r="Y2886" s="87" t="n"/>
      <c r="Z2886" s="87" t="n"/>
      <c r="AA2886" s="87" t="n"/>
      <c r="AB2886" s="87" t="n"/>
      <c r="AC2886" s="87" t="n"/>
      <c r="AD2886" s="87" t="n"/>
      <c r="AE2886" s="87" t="n"/>
      <c r="AF2886" s="89" t="n"/>
      <c r="AG2886" s="87" t="n"/>
      <c r="AH2886" s="87" t="n"/>
      <c r="AI2886" s="87" t="n"/>
      <c r="AJ2886" s="87" t="n"/>
      <c r="AK2886" s="87" t="n"/>
      <c r="AL2886" s="84" t="n"/>
    </row>
    <row r="2887">
      <c r="A2887" s="84" t="n"/>
      <c r="B2887" s="84" t="n"/>
      <c r="C2887" s="84" t="n"/>
      <c r="D2887" s="84" t="n"/>
      <c r="E2887" s="84" t="n"/>
      <c r="F2887" s="84" t="n"/>
      <c r="G2887" s="84" t="n"/>
      <c r="H2887" s="84" t="n"/>
      <c r="I2887" s="84" t="n"/>
      <c r="J2887" s="84" t="n"/>
      <c r="K2887" s="84" t="n"/>
      <c r="L2887" s="84" t="n"/>
      <c r="M2887" s="84" t="n"/>
      <c r="N2887" s="84" t="n"/>
      <c r="O2887" s="84" t="n"/>
      <c r="P2887" s="84" t="n"/>
      <c r="Q2887" s="84" t="n"/>
      <c r="R2887" s="84" t="n"/>
      <c r="S2887" s="84" t="n"/>
      <c r="T2887" s="84" t="n"/>
      <c r="U2887" s="84" t="n"/>
      <c r="V2887" s="84" t="n"/>
      <c r="W2887" s="84" t="n"/>
      <c r="X2887" s="84" t="n"/>
      <c r="Y2887" s="84" t="n"/>
      <c r="Z2887" s="84" t="n"/>
      <c r="AA2887" s="84" t="n"/>
      <c r="AB2887" s="84" t="n"/>
      <c r="AC2887" s="84" t="n"/>
      <c r="AD2887" s="84" t="n"/>
      <c r="AE2887" s="84" t="n"/>
      <c r="AF2887" s="84" t="n"/>
      <c r="AG2887" s="84" t="n"/>
      <c r="AH2887" s="84" t="n"/>
      <c r="AI2887" s="84" t="n"/>
      <c r="AJ2887" s="84" t="n"/>
      <c r="AK2887" s="84" t="n"/>
      <c r="AL2887" s="84" t="n"/>
    </row>
    <row r="2888">
      <c r="A2888" s="84" t="n"/>
      <c r="B2888" s="84" t="n"/>
      <c r="C2888" s="84" t="n"/>
      <c r="D2888" s="84" t="n"/>
      <c r="E2888" s="84" t="n"/>
      <c r="F2888" s="84" t="n"/>
      <c r="G2888" s="84" t="n"/>
      <c r="H2888" s="84" t="n"/>
      <c r="I2888" s="84" t="n"/>
      <c r="J2888" s="84" t="n"/>
      <c r="K2888" s="84" t="n"/>
      <c r="L2888" s="84" t="n"/>
      <c r="M2888" s="84" t="n"/>
      <c r="N2888" s="84" t="n"/>
      <c r="O2888" s="84" t="n"/>
      <c r="P2888" s="84" t="n"/>
      <c r="Q2888" s="84" t="n"/>
      <c r="R2888" s="84" t="n"/>
      <c r="S2888" s="84" t="n"/>
      <c r="T2888" s="84" t="n"/>
      <c r="U2888" s="84" t="n"/>
      <c r="V2888" s="84" t="n"/>
      <c r="W2888" s="84" t="n"/>
      <c r="X2888" s="84" t="n"/>
      <c r="Y2888" s="84" t="n"/>
      <c r="Z2888" s="84" t="n"/>
      <c r="AA2888" s="84" t="n"/>
      <c r="AB2888" s="84" t="n"/>
      <c r="AC2888" s="84" t="n"/>
      <c r="AD2888" s="84" t="n"/>
      <c r="AE2888" s="84" t="n"/>
      <c r="AF2888" s="84" t="n"/>
      <c r="AG2888" s="84" t="n"/>
      <c r="AH2888" s="84" t="n"/>
      <c r="AI2888" s="84" t="n"/>
      <c r="AJ2888" s="84" t="n"/>
      <c r="AK2888" s="84" t="n"/>
      <c r="AL2888" s="84" t="n"/>
    </row>
    <row r="2889">
      <c r="A2889" s="84" t="n"/>
      <c r="B2889" s="84" t="n"/>
      <c r="C2889" s="84" t="n"/>
      <c r="D2889" s="84" t="n"/>
      <c r="E2889" s="84" t="n"/>
      <c r="F2889" s="84" t="n"/>
      <c r="G2889" s="84" t="n"/>
      <c r="H2889" s="84" t="n"/>
      <c r="I2889" s="84" t="n"/>
      <c r="J2889" s="84" t="n"/>
      <c r="K2889" s="84" t="n"/>
      <c r="L2889" s="84" t="n"/>
      <c r="M2889" s="84" t="n"/>
      <c r="N2889" s="84" t="n"/>
      <c r="O2889" s="84" t="n"/>
      <c r="P2889" s="84" t="n"/>
      <c r="Q2889" s="84" t="n"/>
      <c r="R2889" s="84" t="n"/>
      <c r="S2889" s="84" t="n"/>
      <c r="T2889" s="84" t="n"/>
      <c r="U2889" s="84" t="n"/>
      <c r="V2889" s="84" t="n"/>
      <c r="W2889" s="84" t="n"/>
      <c r="X2889" s="84" t="n"/>
      <c r="Y2889" s="84" t="n"/>
      <c r="Z2889" s="84" t="n"/>
      <c r="AA2889" s="84" t="n"/>
      <c r="AB2889" s="84" t="n"/>
      <c r="AC2889" s="84" t="n"/>
      <c r="AD2889" s="84" t="n"/>
      <c r="AE2889" s="84" t="n"/>
      <c r="AF2889" s="84" t="n"/>
      <c r="AG2889" s="84" t="n"/>
      <c r="AH2889" s="84" t="n"/>
      <c r="AI2889" s="84" t="n"/>
      <c r="AJ2889" s="84" t="n"/>
      <c r="AK2889" s="84" t="n"/>
      <c r="AL2889" s="84" t="n"/>
    </row>
    <row r="2890">
      <c r="A2890" s="84" t="n"/>
      <c r="B2890" s="84" t="n"/>
      <c r="C2890" s="84" t="n"/>
      <c r="D2890" s="84" t="n"/>
      <c r="E2890" s="84" t="n"/>
      <c r="F2890" s="84" t="n"/>
      <c r="G2890" s="84" t="n"/>
      <c r="H2890" s="84" t="n"/>
      <c r="I2890" s="84" t="n"/>
      <c r="J2890" s="84" t="n"/>
      <c r="K2890" s="84" t="n"/>
      <c r="L2890" s="84" t="n"/>
      <c r="M2890" s="84" t="n"/>
      <c r="N2890" s="84" t="n"/>
      <c r="O2890" s="84" t="n"/>
      <c r="P2890" s="84" t="n"/>
      <c r="Q2890" s="84" t="n"/>
      <c r="R2890" s="84" t="n"/>
      <c r="S2890" s="84" t="n"/>
      <c r="T2890" s="84" t="n"/>
      <c r="U2890" s="84" t="n"/>
      <c r="V2890" s="84" t="n"/>
      <c r="W2890" s="84" t="n"/>
      <c r="X2890" s="84" t="n"/>
      <c r="Y2890" s="84" t="n"/>
      <c r="Z2890" s="84" t="n"/>
      <c r="AA2890" s="84" t="n"/>
      <c r="AB2890" s="84" t="n"/>
      <c r="AC2890" s="84" t="n"/>
      <c r="AD2890" s="84" t="n"/>
      <c r="AE2890" s="84" t="n"/>
      <c r="AF2890" s="84" t="n"/>
      <c r="AG2890" s="84" t="n"/>
      <c r="AH2890" s="84" t="n"/>
      <c r="AI2890" s="84" t="n"/>
      <c r="AJ2890" s="84" t="n"/>
      <c r="AK2890" s="84" t="n"/>
      <c r="AL2890" s="84" t="n"/>
    </row>
    <row r="2891">
      <c r="A2891" s="84" t="n"/>
      <c r="B2891" s="84" t="n"/>
      <c r="C2891" s="84" t="n"/>
      <c r="D2891" s="84" t="n"/>
      <c r="E2891" s="84" t="n"/>
      <c r="F2891" s="84" t="n"/>
      <c r="G2891" s="84" t="n"/>
      <c r="H2891" s="84" t="n"/>
      <c r="I2891" s="84" t="n"/>
      <c r="J2891" s="84" t="n"/>
      <c r="K2891" s="84" t="n"/>
      <c r="L2891" s="84" t="n"/>
      <c r="M2891" s="84" t="n"/>
      <c r="N2891" s="84" t="n"/>
      <c r="O2891" s="84" t="n"/>
      <c r="P2891" s="84" t="n"/>
      <c r="Q2891" s="84" t="n"/>
      <c r="R2891" s="84" t="n"/>
      <c r="S2891" s="84" t="n"/>
      <c r="T2891" s="84" t="n"/>
      <c r="U2891" s="84" t="n"/>
      <c r="V2891" s="84" t="n"/>
      <c r="W2891" s="84" t="n"/>
      <c r="X2891" s="84" t="n"/>
      <c r="Y2891" s="84" t="n"/>
      <c r="Z2891" s="84" t="n"/>
      <c r="AA2891" s="84" t="n"/>
      <c r="AB2891" s="84" t="n"/>
      <c r="AC2891" s="84" t="n"/>
      <c r="AD2891" s="84" t="n"/>
      <c r="AE2891" s="84" t="n"/>
      <c r="AF2891" s="84" t="n"/>
      <c r="AG2891" s="84" t="n"/>
      <c r="AH2891" s="84" t="n"/>
      <c r="AI2891" s="84" t="n"/>
      <c r="AJ2891" s="84" t="n"/>
      <c r="AK2891" s="84" t="n"/>
      <c r="AL2891" s="84" t="n"/>
    </row>
    <row r="2892">
      <c r="A2892" s="84" t="n"/>
      <c r="B2892" s="84" t="n"/>
      <c r="C2892" s="84" t="n"/>
      <c r="D2892" s="84" t="n"/>
      <c r="E2892" s="84" t="n"/>
      <c r="F2892" s="84" t="n"/>
      <c r="G2892" s="84" t="n"/>
      <c r="H2892" s="84" t="n"/>
      <c r="I2892" s="84" t="n"/>
      <c r="J2892" s="84" t="n"/>
      <c r="K2892" s="84" t="n"/>
      <c r="L2892" s="84" t="n"/>
      <c r="M2892" s="84" t="n"/>
      <c r="N2892" s="84" t="n"/>
      <c r="O2892" s="84" t="n"/>
      <c r="P2892" s="84" t="n"/>
      <c r="Q2892" s="84" t="n"/>
      <c r="R2892" s="84" t="n"/>
      <c r="S2892" s="84" t="n"/>
      <c r="T2892" s="84" t="n"/>
      <c r="U2892" s="84" t="n"/>
      <c r="V2892" s="84" t="n"/>
      <c r="W2892" s="84" t="n"/>
      <c r="X2892" s="84" t="n"/>
      <c r="Y2892" s="84" t="n"/>
      <c r="Z2892" s="84" t="n"/>
      <c r="AA2892" s="84" t="n"/>
      <c r="AB2892" s="84" t="n"/>
      <c r="AC2892" s="84" t="n"/>
      <c r="AD2892" s="84" t="n"/>
      <c r="AE2892" s="84" t="n"/>
      <c r="AF2892" s="84" t="n"/>
      <c r="AG2892" s="84" t="n"/>
      <c r="AH2892" s="84" t="n"/>
      <c r="AI2892" s="84" t="n"/>
      <c r="AJ2892" s="84" t="n"/>
      <c r="AK2892" s="84" t="n"/>
      <c r="AL2892" s="84" t="n"/>
    </row>
    <row r="2893">
      <c r="A2893" s="84" t="n"/>
      <c r="B2893" s="84" t="n"/>
      <c r="C2893" s="84" t="n"/>
      <c r="D2893" s="84" t="n"/>
      <c r="E2893" s="84" t="n"/>
      <c r="F2893" s="84" t="n"/>
      <c r="G2893" s="84" t="n"/>
      <c r="H2893" s="84" t="n"/>
      <c r="I2893" s="84" t="n"/>
      <c r="J2893" s="84" t="n"/>
      <c r="K2893" s="84" t="n"/>
      <c r="L2893" s="84" t="n"/>
      <c r="M2893" s="84" t="n"/>
      <c r="N2893" s="84" t="n"/>
      <c r="O2893" s="84" t="n"/>
      <c r="P2893" s="84" t="n"/>
      <c r="Q2893" s="84" t="n"/>
      <c r="R2893" s="84" t="n"/>
      <c r="S2893" s="84" t="n"/>
      <c r="T2893" s="84" t="n"/>
      <c r="U2893" s="84" t="n"/>
      <c r="V2893" s="84" t="n"/>
      <c r="W2893" s="84" t="n"/>
      <c r="X2893" s="84" t="n"/>
      <c r="Y2893" s="84" t="n"/>
      <c r="Z2893" s="84" t="n"/>
      <c r="AA2893" s="84" t="n"/>
      <c r="AB2893" s="84" t="n"/>
      <c r="AC2893" s="84" t="n"/>
      <c r="AD2893" s="84" t="n"/>
      <c r="AE2893" s="84" t="n"/>
      <c r="AF2893" s="84" t="n"/>
      <c r="AG2893" s="84" t="n"/>
      <c r="AH2893" s="84" t="n"/>
      <c r="AI2893" s="84" t="n"/>
      <c r="AJ2893" s="84" t="n"/>
      <c r="AK2893" s="84" t="n"/>
      <c r="AL2893" s="84" t="n"/>
    </row>
    <row r="2894">
      <c r="A2894" s="84" t="n"/>
      <c r="B2894" s="84" t="n"/>
      <c r="C2894" s="84" t="n"/>
      <c r="D2894" s="84" t="n"/>
      <c r="E2894" s="84" t="n"/>
      <c r="F2894" s="84" t="n"/>
      <c r="G2894" s="84" t="n"/>
      <c r="H2894" s="84" t="n"/>
      <c r="I2894" s="84" t="n"/>
      <c r="J2894" s="84" t="n"/>
      <c r="K2894" s="84" t="n"/>
      <c r="L2894" s="84" t="n"/>
      <c r="M2894" s="84" t="n"/>
      <c r="N2894" s="84" t="n"/>
      <c r="O2894" s="84" t="n"/>
      <c r="P2894" s="84" t="n"/>
      <c r="Q2894" s="84" t="n"/>
      <c r="R2894" s="84" t="n"/>
      <c r="S2894" s="84" t="n"/>
      <c r="T2894" s="84" t="n"/>
      <c r="U2894" s="84" t="n"/>
      <c r="V2894" s="84" t="n"/>
      <c r="W2894" s="84" t="n"/>
      <c r="X2894" s="84" t="n"/>
      <c r="Y2894" s="84" t="n"/>
      <c r="Z2894" s="84" t="n"/>
      <c r="AA2894" s="84" t="n"/>
      <c r="AB2894" s="84" t="n"/>
      <c r="AC2894" s="84" t="n"/>
      <c r="AD2894" s="84" t="n"/>
      <c r="AE2894" s="84" t="n"/>
      <c r="AF2894" s="84" t="n"/>
      <c r="AG2894" s="84" t="n"/>
      <c r="AH2894" s="84" t="n"/>
      <c r="AI2894" s="84" t="n"/>
      <c r="AJ2894" s="84" t="n"/>
      <c r="AK2894" s="84" t="n"/>
      <c r="AL2894" s="84" t="n"/>
    </row>
    <row r="2895">
      <c r="A2895" s="84" t="n"/>
      <c r="B2895" s="84" t="n"/>
      <c r="C2895" s="84" t="n"/>
      <c r="D2895" s="84" t="n"/>
      <c r="E2895" s="84" t="n"/>
      <c r="F2895" s="84" t="n"/>
      <c r="G2895" s="84" t="n"/>
      <c r="H2895" s="84" t="n"/>
      <c r="I2895" s="84" t="n"/>
      <c r="J2895" s="84" t="n"/>
      <c r="K2895" s="84" t="n"/>
      <c r="L2895" s="84" t="n"/>
      <c r="M2895" s="84" t="n"/>
      <c r="N2895" s="84" t="n"/>
      <c r="O2895" s="84" t="n"/>
      <c r="P2895" s="84" t="n"/>
      <c r="Q2895" s="84" t="n"/>
      <c r="R2895" s="84" t="n"/>
      <c r="S2895" s="84" t="n"/>
      <c r="T2895" s="84" t="n"/>
      <c r="U2895" s="84" t="n"/>
      <c r="V2895" s="84" t="n"/>
      <c r="W2895" s="84" t="n"/>
      <c r="X2895" s="84" t="n"/>
      <c r="Y2895" s="84" t="n"/>
      <c r="Z2895" s="84" t="n"/>
      <c r="AA2895" s="84" t="n"/>
      <c r="AB2895" s="84" t="n"/>
      <c r="AC2895" s="84" t="n"/>
      <c r="AD2895" s="84" t="n"/>
      <c r="AE2895" s="84" t="n"/>
      <c r="AF2895" s="84" t="n"/>
      <c r="AG2895" s="84" t="n"/>
      <c r="AH2895" s="84" t="n"/>
      <c r="AI2895" s="84" t="n"/>
      <c r="AJ2895" s="84" t="n"/>
      <c r="AK2895" s="84" t="n"/>
      <c r="AL2895" s="84" t="n"/>
    </row>
    <row r="2896">
      <c r="A2896" s="84" t="n"/>
      <c r="B2896" s="84" t="n"/>
      <c r="C2896" s="84" t="n"/>
      <c r="D2896" s="84" t="n"/>
      <c r="E2896" s="84" t="n"/>
      <c r="F2896" s="84" t="n"/>
      <c r="G2896" s="84" t="n"/>
      <c r="H2896" s="84" t="n"/>
      <c r="I2896" s="84" t="n"/>
      <c r="J2896" s="84" t="n"/>
      <c r="K2896" s="84" t="n"/>
      <c r="L2896" s="84" t="n"/>
      <c r="M2896" s="84" t="n"/>
      <c r="N2896" s="84" t="n"/>
      <c r="O2896" s="84" t="n"/>
      <c r="P2896" s="84" t="n"/>
      <c r="Q2896" s="84" t="n"/>
      <c r="R2896" s="84" t="n"/>
      <c r="S2896" s="84" t="n"/>
      <c r="T2896" s="84" t="n"/>
      <c r="U2896" s="84" t="n"/>
      <c r="V2896" s="84" t="n"/>
      <c r="W2896" s="84" t="n"/>
      <c r="X2896" s="84" t="n"/>
      <c r="Y2896" s="84" t="n"/>
      <c r="Z2896" s="84" t="n"/>
      <c r="AA2896" s="84" t="n"/>
      <c r="AB2896" s="84" t="n"/>
      <c r="AC2896" s="84" t="n"/>
      <c r="AD2896" s="84" t="n"/>
      <c r="AE2896" s="84" t="n"/>
      <c r="AF2896" s="84" t="n"/>
      <c r="AG2896" s="84" t="n"/>
      <c r="AH2896" s="84" t="n"/>
      <c r="AI2896" s="84" t="n"/>
      <c r="AJ2896" s="84" t="n"/>
      <c r="AK2896" s="84" t="n"/>
      <c r="AL2896" s="84" t="n"/>
    </row>
    <row r="2897">
      <c r="A2897" s="84" t="n"/>
      <c r="B2897" s="84" t="n"/>
      <c r="C2897" s="84" t="n"/>
      <c r="D2897" s="84" t="n"/>
      <c r="E2897" s="84" t="n"/>
      <c r="F2897" s="84" t="n"/>
      <c r="G2897" s="84" t="n"/>
      <c r="H2897" s="84" t="n"/>
      <c r="I2897" s="84" t="n"/>
      <c r="J2897" s="84" t="n"/>
      <c r="K2897" s="84" t="n"/>
      <c r="L2897" s="84" t="n"/>
      <c r="M2897" s="84" t="n"/>
      <c r="N2897" s="84" t="n"/>
      <c r="O2897" s="84" t="n"/>
      <c r="P2897" s="84" t="n"/>
      <c r="Q2897" s="84" t="n"/>
      <c r="R2897" s="84" t="n"/>
      <c r="S2897" s="84" t="n"/>
      <c r="T2897" s="84" t="n"/>
      <c r="U2897" s="84" t="n"/>
      <c r="V2897" s="84" t="n"/>
      <c r="W2897" s="84" t="n"/>
      <c r="X2897" s="84" t="n"/>
      <c r="Y2897" s="84" t="n"/>
      <c r="Z2897" s="84" t="n"/>
      <c r="AA2897" s="84" t="n"/>
      <c r="AB2897" s="84" t="n"/>
      <c r="AC2897" s="84" t="n"/>
      <c r="AD2897" s="84" t="n"/>
      <c r="AE2897" s="84" t="n"/>
      <c r="AF2897" s="84" t="n"/>
      <c r="AG2897" s="84" t="n"/>
      <c r="AH2897" s="84" t="n"/>
      <c r="AI2897" s="84" t="n"/>
      <c r="AJ2897" s="84" t="n"/>
      <c r="AK2897" s="84" t="n"/>
      <c r="AL2897" s="84" t="n"/>
    </row>
    <row r="2898">
      <c r="A2898" s="84" t="n"/>
      <c r="B2898" s="84" t="n"/>
      <c r="C2898" s="84" t="n"/>
      <c r="D2898" s="84" t="n"/>
      <c r="E2898" s="84" t="n"/>
      <c r="F2898" s="84" t="n"/>
      <c r="G2898" s="84" t="n"/>
      <c r="H2898" s="84" t="n"/>
      <c r="I2898" s="84" t="n"/>
      <c r="J2898" s="84" t="n"/>
      <c r="K2898" s="84" t="n"/>
      <c r="L2898" s="84" t="n"/>
      <c r="M2898" s="84" t="n"/>
      <c r="N2898" s="84" t="n"/>
      <c r="O2898" s="84" t="n"/>
      <c r="P2898" s="84" t="n"/>
      <c r="Q2898" s="84" t="n"/>
      <c r="R2898" s="84" t="n"/>
      <c r="S2898" s="84" t="n"/>
      <c r="T2898" s="84" t="n"/>
      <c r="U2898" s="84" t="n"/>
      <c r="V2898" s="84" t="n"/>
      <c r="W2898" s="84" t="n"/>
      <c r="X2898" s="84" t="n"/>
      <c r="Y2898" s="84" t="n"/>
      <c r="Z2898" s="84" t="n"/>
      <c r="AA2898" s="84" t="n"/>
      <c r="AB2898" s="84" t="n"/>
      <c r="AC2898" s="84" t="n"/>
      <c r="AD2898" s="84" t="n"/>
      <c r="AE2898" s="84" t="n"/>
      <c r="AF2898" s="84" t="n"/>
      <c r="AG2898" s="84" t="n"/>
      <c r="AH2898" s="84" t="n"/>
      <c r="AI2898" s="84" t="n"/>
      <c r="AJ2898" s="84" t="n"/>
      <c r="AK2898" s="84" t="n"/>
      <c r="AL2898" s="84" t="n"/>
    </row>
    <row r="2899">
      <c r="A2899" s="84" t="n"/>
      <c r="B2899" s="84" t="n"/>
      <c r="C2899" s="84" t="n"/>
      <c r="D2899" s="84" t="n"/>
      <c r="E2899" s="84" t="n"/>
      <c r="F2899" s="84" t="n"/>
      <c r="G2899" s="84" t="n"/>
      <c r="H2899" s="84" t="n"/>
      <c r="I2899" s="84" t="n"/>
      <c r="J2899" s="84" t="n"/>
      <c r="K2899" s="84" t="n"/>
      <c r="L2899" s="84" t="n"/>
      <c r="M2899" s="84" t="n"/>
      <c r="N2899" s="84" t="n"/>
      <c r="O2899" s="84" t="n"/>
      <c r="P2899" s="84" t="n"/>
      <c r="Q2899" s="84" t="n"/>
      <c r="R2899" s="84" t="n"/>
      <c r="S2899" s="84" t="n"/>
      <c r="T2899" s="84" t="n"/>
      <c r="U2899" s="84" t="n"/>
      <c r="V2899" s="84" t="n"/>
      <c r="W2899" s="84" t="n"/>
      <c r="X2899" s="84" t="n"/>
      <c r="Y2899" s="84" t="n"/>
      <c r="Z2899" s="84" t="n"/>
      <c r="AA2899" s="84" t="n"/>
      <c r="AB2899" s="84" t="n"/>
      <c r="AC2899" s="84" t="n"/>
      <c r="AD2899" s="84" t="n"/>
      <c r="AE2899" s="84" t="n"/>
      <c r="AF2899" s="84" t="n"/>
      <c r="AG2899" s="84" t="n"/>
      <c r="AH2899" s="84" t="n"/>
      <c r="AI2899" s="84" t="n"/>
      <c r="AJ2899" s="84" t="n"/>
      <c r="AK2899" s="84" t="n"/>
      <c r="AL2899" s="84" t="n"/>
    </row>
    <row r="2900">
      <c r="A2900" s="84" t="n"/>
      <c r="B2900" s="84" t="n"/>
      <c r="C2900" s="84" t="n"/>
      <c r="D2900" s="84" t="n"/>
      <c r="E2900" s="84" t="n"/>
      <c r="F2900" s="84" t="n"/>
      <c r="G2900" s="84" t="n"/>
      <c r="H2900" s="84" t="n"/>
      <c r="I2900" s="84" t="n"/>
      <c r="J2900" s="84" t="n"/>
      <c r="K2900" s="84" t="n"/>
      <c r="L2900" s="84" t="n"/>
      <c r="M2900" s="84" t="n"/>
      <c r="N2900" s="84" t="n"/>
      <c r="O2900" s="84" t="n"/>
      <c r="P2900" s="84" t="n"/>
      <c r="Q2900" s="84" t="n"/>
      <c r="R2900" s="84" t="n"/>
      <c r="S2900" s="84" t="n"/>
      <c r="T2900" s="84" t="n"/>
      <c r="U2900" s="84" t="n"/>
      <c r="V2900" s="84" t="n"/>
      <c r="W2900" s="84" t="n"/>
      <c r="X2900" s="84" t="n"/>
      <c r="Y2900" s="84" t="n"/>
      <c r="Z2900" s="84" t="n"/>
      <c r="AA2900" s="84" t="n"/>
      <c r="AB2900" s="84" t="n"/>
      <c r="AC2900" s="84" t="n"/>
      <c r="AD2900" s="84" t="n"/>
      <c r="AE2900" s="84" t="n"/>
      <c r="AF2900" s="84" t="n"/>
      <c r="AG2900" s="84" t="n"/>
      <c r="AH2900" s="84" t="n"/>
      <c r="AI2900" s="84" t="n"/>
      <c r="AJ2900" s="84" t="n"/>
      <c r="AK2900" s="84" t="n"/>
      <c r="AL2900" s="84" t="n"/>
    </row>
  </sheetData>
  <autoFilter ref="A2:AN2"/>
  <conditionalFormatting sqref="A3:A2886">
    <cfRule type="expression" priority="19" dxfId="3" stopIfTrue="1">
      <formula>AND(I3&lt;&gt;"",T3&lt;&gt;"",X3&lt;&gt;"",I3&gt;=T3,X3&gt;=I3,N3&gt;=3%)</formula>
    </cfRule>
    <cfRule type="expression" priority="20" dxfId="12" stopIfTrue="1">
      <formula>AND(I3&lt;&gt;"",T3&lt;&gt;"",X3&lt;&gt;"",I3&gt;=T3,X3&gt;=I3,N3&lt;3%)</formula>
    </cfRule>
    <cfRule type="expression" priority="21" dxfId="2" stopIfTrue="1">
      <formula>AND(I3&lt;&gt;"",T3&lt;&gt;"",T3&gt;I3)</formula>
    </cfRule>
  </conditionalFormatting>
  <conditionalFormatting sqref="B3:C2886">
    <cfRule type="expression" priority="35" dxfId="18" stopIfTrue="1">
      <formula>AND(B3&lt;&gt;"",B3&gt;0.1)</formula>
    </cfRule>
  </conditionalFormatting>
  <conditionalFormatting sqref="B3:E2886">
    <cfRule type="expression" priority="34" dxfId="2" stopIfTrue="1">
      <formula>AND(B3&lt;&gt;"",B3&lt;0)</formula>
    </cfRule>
  </conditionalFormatting>
  <conditionalFormatting sqref="G3:G2886">
    <cfRule type="expression" priority="42" dxfId="3" stopIfTrue="1">
      <formula>AND(N3&lt;&gt;"",N3&gt;=3%,O3&gt;0,O3&lt;=4,B3&lt;&gt;"",B3&gt;=0,C3&lt;&gt;"",C3&gt;=0,OR(B3&gt;0,C3&gt;0),D3&lt;&gt;"",D3&gt;=0,E3&lt;&gt;"",E3&gt;=0,#REF!&lt;&gt;"",#REF!&gt;=0,I3&gt;=F3,I3&lt;=H3,AG3&lt;&gt;"",AG3&gt;=2,#REF!&lt;&gt;"",#REF!&gt;=50,#REF!&lt;&gt;"",#REF!&gt;=50,#REF!&lt;&gt;"",#REF!&gt;=50,#REF!&lt;&gt;"",#REF!&gt;=2,OR(#REF!="2A",#REF!="2B"))</formula>
    </cfRule>
    <cfRule type="expression" priority="43" dxfId="18" stopIfTrue="1">
      <formula>AND(B3&lt;&gt;"",B3&gt;=0,C3&lt;&gt;"",C3&gt;=0,OR(B3&gt;0,C3&gt;0),D3&lt;&gt;"",D3&gt;=0,E3&lt;&gt;"",E3&gt;=0,#REF!&lt;&gt;"",#REF!&gt;=0,I3&gt;=F3,I3&lt;=H3,AG3&lt;&gt;"",AG3&gt;=2,#REF!&lt;&gt;"",#REF!&gt;=50,#REF!&lt;&gt;"",#REF!&gt;=50,#REF!&lt;&gt;"",#REF!&gt;=50,#REF!&lt;&gt;"",#REF!&gt;=2,OR(#REF!="2A",#REF!="2B"))</formula>
    </cfRule>
  </conditionalFormatting>
  <conditionalFormatting sqref="J3:K2886">
    <cfRule type="expression" priority="28" dxfId="3" stopIfTrue="1">
      <formula>AND($I3&lt;&gt;"",$J3&lt;&gt;"",$K3&lt;&gt;"",$T3&lt;&gt;"",$I3&gt;=$J3,$J3&gt;=$K3,$K3&gt;=$T3)</formula>
    </cfRule>
  </conditionalFormatting>
  <conditionalFormatting sqref="J3:L2886">
    <cfRule type="expression" priority="32" dxfId="3" stopIfTrue="1">
      <formula>AND($I3&lt;&gt;"",$J3&lt;&gt;"",$K3&lt;&gt;"",$L3&lt;&gt;"",$T3&lt;&gt;"",$I3&gt;=$J3,$J3&gt;=$K3,$K3&gt;=$T3,$T3&gt;=$L3)</formula>
    </cfRule>
  </conditionalFormatting>
  <conditionalFormatting sqref="N3:N2886">
    <cfRule type="expression" priority="33" dxfId="2" stopIfTrue="1">
      <formula>AND(N3&lt;&gt;"",N3&lt;0.03)</formula>
    </cfRule>
  </conditionalFormatting>
  <conditionalFormatting sqref="O3:P2886">
    <cfRule type="expression" priority="4" dxfId="14" stopIfTrue="1">
      <formula>AND(O3&lt;&gt;"",OR(O3&lt;=0,O3&gt;=10))</formula>
    </cfRule>
    <cfRule type="expression" priority="5" dxfId="2" stopIfTrue="1">
      <formula>AND(O3&lt;&gt;"",O3&gt;=7)</formula>
    </cfRule>
    <cfRule type="expression" priority="6" dxfId="12" stopIfTrue="1">
      <formula>AND(O3&lt;&gt;"",O3&gt;4,O3&lt;7)</formula>
    </cfRule>
    <cfRule type="expression" priority="7" dxfId="3" stopIfTrue="1">
      <formula>AND(O3&lt;&gt;"",O3&gt;=0,O3&lt;=4)</formula>
    </cfRule>
  </conditionalFormatting>
  <conditionalFormatting sqref="R3:T2886">
    <cfRule type="expression" priority="18" dxfId="2" stopIfTrue="1">
      <formula>AND($I3&lt;&gt;"",R3&lt;&gt;"",$I3&lt;=R3)</formula>
    </cfRule>
  </conditionalFormatting>
  <conditionalFormatting sqref="T3:T2886">
    <cfRule type="expression" priority="9" dxfId="3" stopIfTrue="1">
      <formula>AND($I3&lt;&gt;"",T3=$I3)</formula>
    </cfRule>
  </conditionalFormatting>
  <conditionalFormatting sqref="T3:AE2886">
    <cfRule type="expression" priority="16" dxfId="8" stopIfTrue="1">
      <formula>AND(T3&lt;&gt;"",$I3&lt;&gt;"",$I3&gt;T3)</formula>
    </cfRule>
  </conditionalFormatting>
  <conditionalFormatting sqref="U3:AD2886">
    <cfRule type="expression" priority="17" dxfId="3" stopIfTrue="1">
      <formula>AND(U3&lt;&gt;"",$I3&lt;&gt;"",$I3&gt;T3,$I3&lt;=U3)</formula>
    </cfRule>
  </conditionalFormatting>
  <conditionalFormatting sqref="U2:AE2">
    <cfRule type="colorScale" priority="37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AE3:AE2886">
    <cfRule type="expression" priority="8" dxfId="3" stopIfTrue="1">
      <formula>AND(I3&lt;&gt;"",AD3&lt;&gt;"",AE3&lt;&gt;"",I3&gt;AD3,I3&lt;=AE3)</formula>
    </cfRule>
  </conditionalFormatting>
  <conditionalFormatting sqref="AF3 AF4:AG2886">
    <cfRule type="expression" priority="38" dxfId="3" stopIfTrue="1">
      <formula>AND($I3&lt;#REF!,$I3&gt;=AE3,$I3&lt;AF3,AVERAGE(AE3:AF3)&gt;=$I3)</formula>
    </cfRule>
    <cfRule type="expression" priority="36" dxfId="2" stopIfTrue="1">
      <formula>AND(AF3&lt;&gt;"",AF3&lt;0.21)</formula>
    </cfRule>
  </conditionalFormatting>
  <conditionalFormatting sqref="AG3:AG2886">
    <cfRule type="expression" priority="22" dxfId="3" stopIfTrue="1">
      <formula>AND(AG3&lt;&gt;"",AG3&gt;=3)</formula>
    </cfRule>
    <cfRule type="expression" priority="23" dxfId="2" stopIfTrue="1">
      <formula>AND(AG3&lt;&gt;"",AG3&lt;=1)</formula>
    </cfRule>
  </conditionalFormatting>
  <conditionalFormatting sqref="AH1:AH1048576">
    <cfRule type="cellIs" priority="2" operator="equal" dxfId="0">
      <formula>1</formula>
    </cfRule>
  </conditionalFormatting>
  <conditionalFormatting sqref="AJ1:AJ1048576">
    <cfRule type="cellIs" priority="1" operator="equal" dxfId="0">
      <formula>1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mbp16</dc:creator>
  <dcterms:created xmlns:dcterms="http://purl.org/dc/terms/" xmlns:xsi="http://www.w3.org/2001/XMLSchema-instance" xsi:type="dcterms:W3CDTF">2025-05-27T10:31:47Z</dcterms:created>
  <dcterms:modified xmlns:dcterms="http://purl.org/dc/terms/" xmlns:xsi="http://www.w3.org/2001/XMLSchema-instance" xsi:type="dcterms:W3CDTF">2026-01-17T02:55:40Z</dcterms:modified>
  <cp:lastModifiedBy>Kok Wai Wong</cp:lastModifiedBy>
</cp:coreProperties>
</file>